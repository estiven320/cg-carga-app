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ICIO" sheetId="1" state="visible" r:id="rId1"/>
    <sheet name="TABLERO" sheetId="2" state="visible" r:id="rId2"/>
    <sheet name="NOVEDADES" sheetId="3" state="visible" r:id="rId3"/>
    <sheet name="ENVIOS" sheetId="4" state="visible" r:id="rId4"/>
    <sheet name="CONFIG" sheetId="5" state="visible" r:id="rId5"/>
  </sheets>
  <definedNames>
    <definedName name="TIPOS_NOVEDAD">OFFSET(CONFIG!$A$4,0,0,MAX(1,COUNTA(CONFIG!$A$4:$A$63)),1)</definedName>
    <definedName name="CAUSAS_RAIZ">OFFSET(CONFIG!$G$4,0,0,MAX(1,COUNTA(CONFIG!$G$4:$G$63)),1)</definedName>
    <definedName name="ESTADOS_NOVEDAD">OFFSET(CONFIG!$K$4,0,0,MAX(1,COUNTA(CONFIG!$K$4:$K$63)),1)</definedName>
    <definedName name="PUNTOS_OCURRENCIA">OFFSET(CONFIG!$N$4,0,0,MAX(1,COUNTA(CONFIG!$N$4:$N$63)),1)</definedName>
    <definedName name="ORIGENES">OFFSET(CONFIG!$P$4,0,0,MAX(1,COUNTA(CONFIG!$P$4:$P$63)),1)</definedName>
    <definedName name="TRANSPORTADORAS">OFFSET(CONFIG!$R$4,0,0,MAX(1,COUNTA(CONFIG!$R$4:$R$63)),1)</definedName>
    <definedName name="RESPONSABLES">OFFSET(CONFIG!$T$4,0,0,MAX(1,COUNTA(CONFIG!$T$4:$T$63)),1)</definedName>
    <definedName name="_xlnm._FilterDatabase" localSheetId="2" hidden="1">'NOVEDADES'!$A$3:$AC$1503</definedName>
    <definedName name="_xlnm._FilterDatabase" localSheetId="3" hidden="1">'ENVIOS'!$A$3:$Q$3003</definedName>
  </definedNames>
  <calcPr calcId="124519" fullCalcOnLoad="1"/>
</workbook>
</file>

<file path=xl/styles.xml><?xml version="1.0" encoding="utf-8"?>
<styleSheet xmlns="http://schemas.openxmlformats.org/spreadsheetml/2006/main">
  <numFmts count="5">
    <numFmt numFmtId="164" formatCode="dd/mm/yyyy"/>
    <numFmt numFmtId="165" formatCode="&quot;$&quot;#,##0"/>
    <numFmt numFmtId="166" formatCode="#,##0.0"/>
    <numFmt numFmtId="167" formatCode="0.0%"/>
    <numFmt numFmtId="168" formatCode="0.00000"/>
  </numFmts>
  <fonts count="13">
    <font>
      <name val="Calibri"/>
      <family val="2"/>
      <color theme="1"/>
      <sz val="11"/>
      <scheme val="minor"/>
    </font>
    <font>
      <name val="Calibri"/>
      <b val="1"/>
      <color rgb="FFFFFFFF"/>
      <sz val="18"/>
    </font>
    <font>
      <name val="Calibri"/>
      <i val="1"/>
      <color rgb="FF475569"/>
      <sz val="9"/>
    </font>
    <font>
      <name val="Calibri"/>
      <b val="1"/>
      <color rgb="FFFFFFFF"/>
      <sz val="10"/>
    </font>
    <font>
      <name val="Calibri"/>
      <color rgb="FF0F172A"/>
      <sz val="10"/>
    </font>
    <font>
      <name val="Calibri"/>
      <b val="1"/>
      <color rgb="FFFFFFFF"/>
      <sz val="9"/>
    </font>
    <font>
      <name val="Calibri"/>
      <b val="1"/>
      <color rgb="FF0F172A"/>
      <sz val="10"/>
    </font>
    <font>
      <name val="Calibri"/>
      <b val="1"/>
      <color rgb="FF0F172A"/>
      <sz val="11"/>
    </font>
    <font>
      <name val="Calibri"/>
      <b val="1"/>
      <color rgb="FF475569"/>
      <sz val="9"/>
    </font>
    <font>
      <name val="Calibri"/>
      <b val="1"/>
      <color rgb="FF0F172A"/>
      <sz val="22"/>
    </font>
    <font>
      <name val="Calibri"/>
      <b val="1"/>
      <color rgb="FFFFFFFF"/>
      <sz val="11"/>
    </font>
    <font>
      <name val="Calibri"/>
      <b val="1"/>
      <color rgb="FF0F172A"/>
      <sz val="12"/>
    </font>
    <font>
      <name val="Calibri"/>
      <b val="1"/>
      <color rgb="FFFFFFFF"/>
      <sz val="16"/>
    </font>
  </fonts>
  <fills count="11">
    <fill>
      <patternFill/>
    </fill>
    <fill>
      <patternFill patternType="gray125"/>
    </fill>
    <fill>
      <patternFill patternType="solid">
        <fgColor rgb="FF0F172A"/>
      </patternFill>
    </fill>
    <fill>
      <patternFill patternType="solid">
        <fgColor rgb="FFD97706"/>
      </patternFill>
    </fill>
    <fill>
      <patternFill patternType="solid">
        <fgColor rgb="FFFEF3C7"/>
      </patternFill>
    </fill>
    <fill>
      <patternFill patternType="solid">
        <fgColor rgb="FF1E293B"/>
      </patternFill>
    </fill>
    <fill>
      <patternFill patternType="solid">
        <fgColor rgb="FF475569"/>
      </patternFill>
    </fill>
    <fill>
      <patternFill patternType="solid">
        <fgColor rgb="FF2563EB"/>
      </patternFill>
    </fill>
    <fill>
      <patternFill patternType="solid">
        <fgColor rgb="FFF8FAFC"/>
      </patternFill>
    </fill>
    <fill>
      <patternFill patternType="solid">
        <fgColor rgb="FFF1F5F9"/>
      </patternFill>
    </fill>
    <fill>
      <patternFill patternType="solid">
        <fgColor rgb="FFFFFFFF"/>
      </patternFill>
    </fill>
  </fills>
  <borders count="10">
    <border>
      <left/>
      <right/>
      <top/>
      <bottom/>
      <diagonal/>
    </border>
    <border>
      <left style="thin">
        <color rgb="FFE2E8F0"/>
      </left>
      <right style="thin">
        <color rgb="FFE2E8F0"/>
      </right>
      <top style="thin">
        <color rgb="FFE2E8F0"/>
      </top>
      <bottom style="thin">
        <color rgb="FFE2E8F0"/>
      </bottom>
    </border>
    <border>
      <left/>
      <right/>
      <top style="thin">
        <color rgb="FFE2E8F0"/>
      </top>
      <bottom/>
      <diagonal/>
    </border>
    <border>
      <left/>
      <right style="thin">
        <color rgb="FFE2E8F0"/>
      </right>
      <top style="thin">
        <color rgb="FFE2E8F0"/>
      </top>
      <bottom/>
      <diagonal/>
    </border>
    <border>
      <left/>
      <right style="thin">
        <color rgb="FFE2E8F0"/>
      </right>
      <top style="thin">
        <color rgb="FFE2E8F0"/>
      </top>
      <bottom style="thin">
        <color rgb="FFE2E8F0"/>
      </bottom>
      <diagonal/>
    </border>
    <border>
      <left style="thin">
        <color rgb="FFE2E8F0"/>
      </left>
      <right/>
      <top/>
      <bottom/>
      <diagonal/>
    </border>
    <border>
      <left/>
      <right style="thin">
        <color rgb="FFE2E8F0"/>
      </right>
      <top/>
      <bottom/>
      <diagonal/>
    </border>
    <border>
      <left style="thin">
        <color rgb="FFE2E8F0"/>
      </left>
      <right/>
      <top/>
      <bottom style="thin">
        <color rgb="FFE2E8F0"/>
      </bottom>
      <diagonal/>
    </border>
    <border>
      <left/>
      <right style="thin">
        <color rgb="FFE2E8F0"/>
      </right>
      <top/>
      <bottom style="thin">
        <color rgb="FFE2E8F0"/>
      </bottom>
      <diagonal/>
    </border>
    <border>
      <left/>
      <right/>
      <top style="thin">
        <color rgb="FFE2E8F0"/>
      </top>
      <bottom style="thin">
        <color rgb="FFE2E8F0"/>
      </bottom>
      <diagonal/>
    </border>
  </borders>
  <cellStyleXfs count="1">
    <xf numFmtId="0" fontId="0" fillId="0" borderId="0"/>
  </cellStyleXfs>
  <cellXfs count="60">
    <xf numFmtId="0" fontId="0" fillId="0" borderId="0" pivotButton="0" quotePrefix="0" xfId="0"/>
    <xf numFmtId="0" fontId="1" fillId="2" borderId="0" applyAlignment="1" pivotButton="0" quotePrefix="0" xfId="0">
      <alignment horizontal="left" vertical="center" indent="1"/>
    </xf>
    <xf numFmtId="0" fontId="0" fillId="10" borderId="0" pivotButton="0" quotePrefix="0" xfId="0"/>
    <xf numFmtId="0" fontId="4" fillId="0" borderId="0" applyAlignment="1" pivotButton="0" quotePrefix="0" xfId="0">
      <alignment horizontal="left" vertical="center" wrapText="1"/>
    </xf>
    <xf numFmtId="0" fontId="10" fillId="5" borderId="0" applyAlignment="1" pivotButton="0" quotePrefix="0" xfId="0">
      <alignment horizontal="left" vertical="center" indent="1"/>
    </xf>
    <xf numFmtId="0" fontId="12" fillId="7" borderId="0" applyAlignment="1" pivotButton="0" quotePrefix="0" xfId="0">
      <alignment horizontal="center" vertical="center" wrapText="1"/>
    </xf>
    <xf numFmtId="0" fontId="4" fillId="9" borderId="0" applyAlignment="1" pivotButton="0" quotePrefix="0" xfId="0">
      <alignment horizontal="left" vertical="center" wrapText="1"/>
    </xf>
    <xf numFmtId="0" fontId="2" fillId="0" borderId="0" pivotButton="0" quotePrefix="0" xfId="0"/>
    <xf numFmtId="0" fontId="3" fillId="5" borderId="1" applyAlignment="1" pivotButton="0" quotePrefix="0" xfId="0">
      <alignment horizontal="center" vertical="center" wrapText="1"/>
    </xf>
    <xf numFmtId="0" fontId="0" fillId="0" borderId="4" pivotButton="0" quotePrefix="0" xfId="0"/>
    <xf numFmtId="0" fontId="6" fillId="0" borderId="0" applyAlignment="1" pivotButton="0" quotePrefix="0" xfId="0">
      <alignment horizontal="right" vertical="center"/>
    </xf>
    <xf numFmtId="164" fontId="7" fillId="4" borderId="1" applyAlignment="1" applyProtection="1" pivotButton="0" quotePrefix="0" xfId="0">
      <alignment horizontal="center" vertical="center" wrapText="1"/>
      <protection locked="0" hidden="0"/>
    </xf>
    <xf numFmtId="0" fontId="2" fillId="0" borderId="0" applyAlignment="1" pivotButton="0" quotePrefix="0" xfId="0">
      <alignment horizontal="left" vertical="center"/>
    </xf>
    <xf numFmtId="0" fontId="0" fillId="0" borderId="3" pivotButton="0" quotePrefix="0" xfId="0"/>
    <xf numFmtId="0" fontId="8" fillId="9" borderId="1" applyAlignment="1" pivotButton="0" quotePrefix="0" xfId="0">
      <alignment horizontal="center" vertical="center" wrapText="1"/>
    </xf>
    <xf numFmtId="0" fontId="0" fillId="0" borderId="7" pivotButton="0" quotePrefix="0" xfId="0"/>
    <xf numFmtId="0" fontId="0" fillId="0" borderId="8" pivotButton="0" quotePrefix="0" xfId="0"/>
    <xf numFmtId="9" fontId="9" fillId="9" borderId="1" applyAlignment="1" pivotButton="0" quotePrefix="0" xfId="0">
      <alignment horizontal="center" vertical="center" wrapText="1"/>
    </xf>
    <xf numFmtId="165" fontId="9" fillId="9" borderId="1" applyAlignment="1" pivotButton="0" quotePrefix="0" xfId="0">
      <alignment horizontal="center" vertical="center" wrapText="1"/>
    </xf>
    <xf numFmtId="3" fontId="9" fillId="9" borderId="1" applyAlignment="1" pivotButton="0" quotePrefix="0" xfId="0">
      <alignment horizontal="center" vertical="center" wrapText="1"/>
    </xf>
    <xf numFmtId="166" fontId="9" fillId="9" borderId="1" applyAlignment="1" pivotButton="0" quotePrefix="0" xfId="0">
      <alignment horizontal="center" vertical="center" wrapText="1"/>
    </xf>
    <xf numFmtId="0" fontId="7" fillId="9"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horizontal="left" vertical="center"/>
    </xf>
    <xf numFmtId="3" fontId="4" fillId="8" borderId="1" applyAlignment="1" pivotButton="0" quotePrefix="0" xfId="0">
      <alignment horizontal="center" vertical="center" wrapText="1"/>
    </xf>
    <xf numFmtId="167" fontId="4" fillId="8" borderId="1" applyAlignment="1" pivotButton="0" quotePrefix="0" xfId="0">
      <alignment horizontal="center" vertical="center" wrapText="1"/>
    </xf>
    <xf numFmtId="166" fontId="4" fillId="8" borderId="1" applyAlignment="1" pivotButton="0" quotePrefix="0" xfId="0">
      <alignment horizontal="center" vertical="center" wrapText="1"/>
    </xf>
    <xf numFmtId="165" fontId="4"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6" fillId="9" borderId="1" applyAlignment="1" pivotButton="0" quotePrefix="0" xfId="0">
      <alignment horizontal="left" vertical="center"/>
    </xf>
    <xf numFmtId="3" fontId="6" fillId="9" borderId="1" applyAlignment="1" pivotButton="0" quotePrefix="0" xfId="0">
      <alignment horizontal="center" vertical="center" wrapText="1"/>
    </xf>
    <xf numFmtId="167" fontId="6" fillId="9" borderId="1" applyAlignment="1" pivotButton="0" quotePrefix="0" xfId="0">
      <alignment horizontal="center" vertical="center" wrapText="1"/>
    </xf>
    <xf numFmtId="166" fontId="6" fillId="9" borderId="1" applyAlignment="1" pivotButton="0" quotePrefix="0" xfId="0">
      <alignment horizontal="center" vertical="center" wrapText="1"/>
    </xf>
    <xf numFmtId="165" fontId="6" fillId="9" borderId="1" applyAlignment="1" pivotButton="0" quotePrefix="0" xfId="0">
      <alignment horizontal="center" vertical="center" wrapText="1"/>
    </xf>
    <xf numFmtId="0" fontId="6"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11" fillId="4" borderId="1" applyAlignment="1" applyProtection="1" pivotButton="0" quotePrefix="0" xfId="0">
      <alignment horizontal="center" vertical="center" wrapText="1"/>
      <protection locked="0" hidden="0"/>
    </xf>
    <xf numFmtId="0" fontId="0" fillId="0" borderId="4" applyProtection="1" pivotButton="0" quotePrefix="0" xfId="0">
      <protection locked="0" hidden="0"/>
    </xf>
    <xf numFmtId="0" fontId="4" fillId="9" borderId="1" applyAlignment="1" pivotButton="0" quotePrefix="0" xfId="0">
      <alignment horizontal="left" vertical="center"/>
    </xf>
    <xf numFmtId="0" fontId="6" fillId="8" borderId="1" applyAlignment="1" pivotButton="0" quotePrefix="0" xfId="0">
      <alignment horizontal="left" vertical="center"/>
    </xf>
    <xf numFmtId="0" fontId="0" fillId="0" borderId="9" pivotButton="0" quotePrefix="0" xfId="0"/>
    <xf numFmtId="164" fontId="6" fillId="8" borderId="1" applyAlignment="1" pivotButton="0" quotePrefix="0" xfId="0">
      <alignment horizontal="left" vertical="center"/>
    </xf>
    <xf numFmtId="3" fontId="6" fillId="8" borderId="1" applyAlignment="1" pivotButton="0" quotePrefix="0" xfId="0">
      <alignment horizontal="left" vertical="center"/>
    </xf>
    <xf numFmtId="165" fontId="6" fillId="8" borderId="1" applyAlignment="1" pivotButton="0" quotePrefix="0" xfId="0">
      <alignment horizontal="left" vertical="center"/>
    </xf>
    <xf numFmtId="0" fontId="5" fillId="5" borderId="0" applyAlignment="1" pivotButton="0" quotePrefix="0" xfId="0">
      <alignment horizontal="center" vertical="center" wrapText="1"/>
    </xf>
    <xf numFmtId="0" fontId="5" fillId="6" borderId="0" applyAlignment="1" pivotButton="0" quotePrefix="0" xfId="0">
      <alignment horizontal="center" vertical="center" wrapText="1"/>
    </xf>
    <xf numFmtId="0" fontId="3" fillId="3" borderId="1" applyAlignment="1" pivotButton="0" quotePrefix="0" xfId="0">
      <alignment horizontal="center" vertical="center" wrapText="1"/>
    </xf>
    <xf numFmtId="164" fontId="4" fillId="4" borderId="1" applyAlignment="1" applyProtection="1" pivotButton="0" quotePrefix="0" xfId="0">
      <alignment horizontal="center" vertical="center" wrapText="1"/>
      <protection locked="0" hidden="0"/>
    </xf>
    <xf numFmtId="0" fontId="4" fillId="4" borderId="1" applyAlignment="1" applyProtection="1" pivotButton="0" quotePrefix="0" xfId="0">
      <alignment horizontal="center" vertical="center" wrapText="1"/>
      <protection locked="0" hidden="0"/>
    </xf>
    <xf numFmtId="164" fontId="4" fillId="8" borderId="1" applyAlignment="1" pivotButton="0" quotePrefix="0" xfId="0">
      <alignment horizontal="center" vertical="center" wrapText="1"/>
    </xf>
    <xf numFmtId="0" fontId="4" fillId="4" borderId="1" applyAlignment="1" applyProtection="1" pivotButton="0" quotePrefix="0" xfId="0">
      <alignment horizontal="left" vertical="center"/>
      <protection locked="0" hidden="0"/>
    </xf>
    <xf numFmtId="3" fontId="4" fillId="4" borderId="1" applyAlignment="1" applyProtection="1" pivotButton="0" quotePrefix="0" xfId="0">
      <alignment horizontal="center" vertical="center" wrapText="1"/>
      <protection locked="0" hidden="0"/>
    </xf>
    <xf numFmtId="165" fontId="4" fillId="4" borderId="1" applyAlignment="1" applyProtection="1" pivotButton="0" quotePrefix="0" xfId="0">
      <alignment horizontal="right" vertical="center"/>
      <protection locked="0" hidden="0"/>
    </xf>
    <xf numFmtId="168" fontId="4" fillId="8" borderId="1" applyAlignment="1" pivotButton="0" quotePrefix="0" xfId="0">
      <alignment horizontal="center" vertical="center" wrapText="1"/>
    </xf>
    <xf numFmtId="166" fontId="9" fillId="9" borderId="1" applyAlignment="1" pivotButton="0" quotePrefix="0" xfId="0">
      <alignment horizontal="center" vertical="center" wrapText="1"/>
    </xf>
    <xf numFmtId="167" fontId="4" fillId="8" borderId="1" applyAlignment="1" pivotButton="0" quotePrefix="0" xfId="0">
      <alignment horizontal="center" vertical="center" wrapText="1"/>
    </xf>
    <xf numFmtId="166" fontId="4" fillId="8" borderId="1" applyAlignment="1" pivotButton="0" quotePrefix="0" xfId="0">
      <alignment horizontal="center" vertical="center" wrapText="1"/>
    </xf>
    <xf numFmtId="167" fontId="6" fillId="9" borderId="1" applyAlignment="1" pivotButton="0" quotePrefix="0" xfId="0">
      <alignment horizontal="center" vertical="center" wrapText="1"/>
    </xf>
    <xf numFmtId="166" fontId="6" fillId="9" borderId="1" applyAlignment="1" pivotButton="0" quotePrefix="0" xfId="0">
      <alignment horizontal="center" vertical="center" wrapText="1"/>
    </xf>
    <xf numFmtId="168" fontId="4" fillId="8" borderId="1" applyAlignment="1" pivotButton="0" quotePrefix="0" xfId="0">
      <alignment horizontal="center" vertical="center" wrapText="1"/>
    </xf>
  </cellXfs>
  <cellStyles count="1">
    <cellStyle name="Normal" xfId="0" builtinId="0" hidden="0"/>
  </cellStyles>
  <dxfs count="14">
    <dxf>
      <font>
        <name val="Calibri"/>
        <b val="1"/>
        <color rgb="FF166534"/>
        <sz val="18"/>
      </font>
      <fill>
        <patternFill patternType="solid">
          <fgColor rgb="FFDCFCE7"/>
        </patternFill>
      </fill>
    </dxf>
    <dxf>
      <font>
        <name val="Calibri"/>
        <b val="1"/>
        <color rgb="FF991B1B"/>
        <sz val="18"/>
      </font>
      <fill>
        <patternFill patternType="solid">
          <fgColor rgb="FFFEE2E2"/>
        </patternFill>
      </fill>
    </dxf>
    <dxf>
      <font>
        <name val="Calibri"/>
        <b val="1"/>
        <color rgb="FF854D0E"/>
        <sz val="18"/>
      </font>
      <fill>
        <patternFill patternType="solid">
          <fgColor rgb="FFFEF9C3"/>
        </patternFill>
      </fill>
    </dxf>
    <dxf>
      <font>
        <name val="Calibri"/>
        <b val="1"/>
        <color rgb="FF1E40AF"/>
        <sz val="18"/>
      </font>
      <fill>
        <patternFill patternType="solid">
          <fgColor rgb="FFDBEAFE"/>
        </patternFill>
      </fill>
    </dxf>
    <dxf>
      <font>
        <name val="Calibri"/>
        <b val="1"/>
        <color rgb="FF166534"/>
        <sz val="10"/>
      </font>
      <fill>
        <patternFill patternType="solid">
          <fgColor rgb="FFDCFCE7"/>
        </patternFill>
      </fill>
    </dxf>
    <dxf>
      <font>
        <name val="Calibri"/>
        <b val="1"/>
        <color rgb="FF1E40AF"/>
        <sz val="10"/>
      </font>
      <fill>
        <patternFill patternType="solid">
          <fgColor rgb="FFDBEAFE"/>
        </patternFill>
      </fill>
    </dxf>
    <dxf>
      <font>
        <name val="Calibri"/>
        <b val="1"/>
        <color rgb="FF854D0E"/>
        <sz val="10"/>
      </font>
      <fill>
        <patternFill patternType="solid">
          <fgColor rgb="FFFEF9C3"/>
        </patternFill>
      </fill>
    </dxf>
    <dxf>
      <font>
        <name val="Calibri"/>
        <b val="1"/>
        <color rgb="FF991B1B"/>
        <sz val="10"/>
      </font>
      <fill>
        <patternFill patternType="solid">
          <fgColor rgb="FFFEE2E2"/>
        </patternFill>
      </fill>
    </dxf>
    <dxf>
      <font>
        <name val="Calibri"/>
        <b val="1"/>
        <color rgb="FFFFFFFF"/>
        <sz val="10"/>
      </font>
      <fill>
        <patternFill patternType="solid">
          <fgColor rgb="FF991B1B"/>
        </patternFill>
      </fill>
    </dxf>
    <dxf>
      <font>
        <name val="Calibri"/>
        <b val="1"/>
        <color rgb="FF475569"/>
        <sz val="10"/>
      </font>
      <fill>
        <patternFill patternType="solid">
          <fgColor rgb="FFF1F5F9"/>
        </patternFill>
      </fill>
    </dxf>
    <dxf>
      <font>
        <name val="Calibri"/>
        <b val="1"/>
        <color rgb="FF9A3412"/>
        <sz val="10"/>
      </font>
      <fill>
        <patternFill patternType="solid">
          <fgColor rgb="FFFFE4C4"/>
        </patternFill>
      </fill>
    </dxf>
    <dxf>
      <font>
        <name val="Calibri"/>
        <color rgb="FF475569"/>
        <sz val="10"/>
      </font>
      <fill>
        <patternFill patternType="solid">
          <fgColor rgb="FFF1F5F9"/>
        </patternFill>
      </fill>
    </dxf>
    <dxf>
      <font>
        <name val="Calibri"/>
        <b val="1"/>
        <color rgb="FF991B1B"/>
        <sz val="10"/>
      </font>
    </dxf>
    <dxf>
      <font>
        <name val="Calibri"/>
        <b val="1"/>
        <color rgb="FF9A3412"/>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OTIF por transportadora</a:t>
            </a:r>
          </a:p>
        </rich>
      </tx>
    </title>
    <plotArea>
      <barChart>
        <barDir val="col"/>
        <grouping val="clustered"/>
        <ser>
          <idx val="0"/>
          <order val="0"/>
          <spPr>
            <a:solidFill>
              <a:srgbClr val="2563EB"/>
            </a:solidFill>
            <a:ln>
              <a:noFill/>
              <a:prstDash val="solid"/>
            </a:ln>
          </spPr>
          <cat>
            <numRef>
              <f>'TABLERO'!$B$18:$B$27</f>
            </numRef>
          </cat>
          <val>
            <numRef>
              <f>'TABLERO'!$E$18:$E$27</f>
            </numRef>
          </val>
        </ser>
        <dLbls>
          <numFmt formatCode="0%"/>
          <showLegendKey val="0"/>
          <showVal val="1"/>
          <showCatName val="0"/>
          <showSerName val="0"/>
        </dLbls>
        <gapWidth val="45"/>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Causas que más pesan</a:t>
            </a:r>
          </a:p>
        </rich>
      </tx>
    </title>
    <plotArea>
      <barChart>
        <barDir val="bar"/>
        <grouping val="clustered"/>
        <ser>
          <idx val="0"/>
          <order val="0"/>
          <spPr>
            <a:solidFill>
              <a:srgbClr val="2563EB"/>
            </a:solidFill>
            <a:ln>
              <a:noFill/>
              <a:prstDash val="solid"/>
            </a:ln>
          </spPr>
          <cat>
            <numRef>
              <f>'TABLERO'!$B$33:$B$44</f>
            </numRef>
          </cat>
          <val>
            <numRef>
              <f>'TABLERO'!$D$33:$D$44</f>
            </numRef>
          </val>
        </ser>
        <dLbls>
          <showLegendKey val="0"/>
          <showVal val="1"/>
          <showCatName val="0"/>
          <showSerName val="0"/>
        </dLbls>
        <gapWidth val="45"/>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Novedades por tipo</a:t>
            </a:r>
          </a:p>
        </rich>
      </tx>
    </title>
    <plotArea>
      <barChart>
        <barDir val="bar"/>
        <grouping val="clustered"/>
        <ser>
          <idx val="0"/>
          <order val="0"/>
          <spPr>
            <a:solidFill>
              <a:srgbClr val="2563EB"/>
            </a:solidFill>
            <a:ln>
              <a:noFill/>
              <a:prstDash val="solid"/>
            </a:ln>
          </spPr>
          <cat>
            <numRef>
              <f>'TABLERO'!$B$49:$B$80</f>
            </numRef>
          </cat>
          <val>
            <numRef>
              <f>'TABLERO'!$D$49:$D$80</f>
            </numRef>
          </val>
        </ser>
        <dLbls>
          <showLegendKey val="0"/>
          <showVal val="1"/>
          <showCatName val="0"/>
          <showSerName val="0"/>
        </dLbls>
        <gapWidth val="45"/>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Dónde se rompe la operación</a:t>
            </a:r>
          </a:p>
        </rich>
      </tx>
    </title>
    <plotArea>
      <barChart>
        <barDir val="bar"/>
        <grouping val="clustered"/>
        <ser>
          <idx val="0"/>
          <order val="0"/>
          <spPr>
            <a:solidFill>
              <a:srgbClr val="0F766E"/>
            </a:solidFill>
            <a:ln>
              <a:noFill/>
              <a:prstDash val="solid"/>
            </a:ln>
          </spPr>
          <cat>
            <numRef>
              <f>'TABLERO'!$B$86:$B$97</f>
            </numRef>
          </cat>
          <val>
            <numRef>
              <f>'TABLERO'!$D$86:$D$97</f>
            </numRef>
          </val>
        </ser>
        <dLbls>
          <showLegendKey val="0"/>
          <showVal val="1"/>
          <showCatName val="0"/>
          <showSerName val="0"/>
        </dLbls>
        <gapWidth val="45"/>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Estado de la gestión</a:t>
            </a:r>
          </a:p>
        </rich>
      </tx>
    </title>
    <plotArea>
      <barChart>
        <barDir val="bar"/>
        <grouping val="clustered"/>
        <ser>
          <idx val="0"/>
          <order val="0"/>
          <spPr>
            <a:solidFill>
              <a:srgbClr val="D97706"/>
            </a:solidFill>
            <a:ln>
              <a:noFill/>
              <a:prstDash val="solid"/>
            </a:ln>
          </spPr>
          <cat>
            <numRef>
              <f>'TABLERO'!$B$102:$B$107</f>
            </numRef>
          </cat>
          <val>
            <numRef>
              <f>'TABLERO'!$D$102:$D$107</f>
            </numRef>
          </val>
        </ser>
        <dLbls>
          <showLegendKey val="0"/>
          <showVal val="1"/>
          <showCatName val="0"/>
          <showSerName val="0"/>
        </dLbls>
        <gapWidth val="45"/>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14</col>
      <colOff>0</colOff>
      <row>16</row>
      <rowOff>0</rowOff>
    </from>
    <ext cx="5580000" cy="3060000"/>
    <graphicFrame>
      <nvGraphicFramePr>
        <cNvPr id="1" name="Chart 1"/>
        <cNvGraphicFramePr/>
      </nvGraphicFramePr>
      <xfrm/>
      <a:graphic>
        <a:graphicData uri="http://schemas.openxmlformats.org/drawingml/2006/chart">
          <c:chart r:id="rId1"/>
        </a:graphicData>
      </a:graphic>
    </graphicFrame>
    <clientData/>
  </oneCellAnchor>
  <oneCellAnchor>
    <from>
      <col>14</col>
      <colOff>0</colOff>
      <row>34</row>
      <rowOff>0</rowOff>
    </from>
    <ext cx="5580000" cy="4140000"/>
    <graphicFrame>
      <nvGraphicFramePr>
        <cNvPr id="2" name="Chart 2"/>
        <cNvGraphicFramePr/>
      </nvGraphicFramePr>
      <xfrm/>
      <a:graphic>
        <a:graphicData uri="http://schemas.openxmlformats.org/drawingml/2006/chart">
          <c:chart r:id="rId2"/>
        </a:graphicData>
      </a:graphic>
    </graphicFrame>
    <clientData/>
  </oneCellAnchor>
  <oneCellAnchor>
    <from>
      <col>14</col>
      <colOff>0</colOff>
      <row>58</row>
      <rowOff>0</rowOff>
    </from>
    <ext cx="5580000" cy="6480000"/>
    <graphicFrame>
      <nvGraphicFramePr>
        <cNvPr id="3" name="Chart 3"/>
        <cNvGraphicFramePr/>
      </nvGraphicFramePr>
      <xfrm/>
      <a:graphic>
        <a:graphicData uri="http://schemas.openxmlformats.org/drawingml/2006/chart">
          <c:chart r:id="rId3"/>
        </a:graphicData>
      </a:graphic>
    </graphicFrame>
    <clientData/>
  </oneCellAnchor>
  <oneCellAnchor>
    <from>
      <col>14</col>
      <colOff>0</colOff>
      <row>94</row>
      <rowOff>0</rowOff>
    </from>
    <ext cx="5580000" cy="4140000"/>
    <graphicFrame>
      <nvGraphicFramePr>
        <cNvPr id="4" name="Chart 4"/>
        <cNvGraphicFramePr/>
      </nvGraphicFramePr>
      <xfrm/>
      <a:graphic>
        <a:graphicData uri="http://schemas.openxmlformats.org/drawingml/2006/chart">
          <c:chart r:id="rId4"/>
        </a:graphicData>
      </a:graphic>
    </graphicFrame>
    <clientData/>
  </oneCellAnchor>
  <oneCellAnchor>
    <from>
      <col>14</col>
      <colOff>0</colOff>
      <row>118</row>
      <rowOff>0</rowOff>
    </from>
    <ext cx="5580000" cy="234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FF16A34A"/>
    <outlinePr summaryBelow="1" summaryRight="1"/>
    <pageSetUpPr/>
  </sheetPr>
  <dimension ref="B2:C30"/>
  <sheetViews>
    <sheetView showGridLines="0" workbookViewId="0">
      <selection activeCell="A1" sqref="A1"/>
    </sheetView>
  </sheetViews>
  <sheetFormatPr baseColWidth="8" defaultRowHeight="15"/>
  <cols>
    <col width="2" customWidth="1" min="1" max="1"/>
    <col width="6" customWidth="1" min="2" max="2"/>
    <col width="148" customWidth="1" min="3" max="3"/>
  </cols>
  <sheetData>
    <row r="2" ht="40" customHeight="1">
      <c r="B2" s="1" t="inlineStr">
        <is>
          <t>MATRIZ DE NOVEDADES · LOGÍSTICA Y TRANSPORTE</t>
        </is>
      </c>
    </row>
    <row r="3" ht="32" customHeight="1">
      <c r="B3" s="2" t="n"/>
      <c r="C3" s="3" t="inlineStr">
        <is>
          <t>Un solo archivo para registrar todo lo que sale mal —en la carretera y dentro de la empresa—, saber a quién cobrárselo y medir si la operación está mejorando.</t>
        </is>
      </c>
    </row>
    <row r="4" ht="24" customHeight="1">
      <c r="B4" s="4" t="inlineStr">
        <is>
          <t>CÓMO SE USA — TRES PASOS</t>
        </is>
      </c>
    </row>
    <row r="5" ht="42" customHeight="1">
      <c r="B5" s="5" t="inlineStr">
        <is>
          <t>1</t>
        </is>
      </c>
      <c r="C5" s="6" t="inlineStr">
        <is>
          <t>ENVÍOS.  Cada despacho es una fila. Escriba Nº de guía, Nº de pedido, fecha, cliente, ciudad, transportadora, conductor, placa, unidades, valor y la FECHA PROMESA DE ENTREGA. Cuando llegue, escriba la fecha de entrega real. Con eso el archivo calcula solo si llegó a tiempo y si llegó completo.</t>
        </is>
      </c>
    </row>
    <row r="6" ht="42" customHeight="1">
      <c r="B6" s="5" t="inlineStr">
        <is>
          <t>2</t>
        </is>
      </c>
      <c r="C6" s="6" t="inlineStr">
        <is>
          <t>NOVEDADES.  ¿Algo salió mal? Escriba la fecha, marque el ORIGEN y clasifique. Si fue en ruta, agregue el Nº de guía: el Nº de pedido, el cliente, la ciudad, la transportadora, el conductor y la placa se traen solos.</t>
        </is>
      </c>
    </row>
    <row r="7" ht="42" customHeight="1">
      <c r="B7" s="5" t="inlineStr">
        <is>
          <t>3</t>
        </is>
      </c>
      <c r="C7" s="6" t="inlineStr">
        <is>
          <t>TABLERO.  Ponga el periodo arriba y lea. Le dice su OTIF, qué transportadora rinde y cuál no, en qué punto de la operación se rompe y cuáles causas explican el 80% de sus problemas.</t>
        </is>
      </c>
    </row>
    <row r="8" ht="24" customHeight="1">
      <c r="B8" s="4" t="inlineStr">
        <is>
          <t>LAS DOS CLASES DE NOVEDAD</t>
        </is>
      </c>
    </row>
    <row r="9" ht="32" customHeight="1">
      <c r="B9" s="2" t="n"/>
      <c r="C9" s="3" t="inlineStr">
        <is>
          <t>EN RUTA: pasó con un envío ya despachado (cliente ausente, avería, retraso, rechazo). Lleva Nº de guía y se le carga a la transportadora.</t>
        </is>
      </c>
    </row>
    <row r="10" ht="32" customHeight="1">
      <c r="B10" s="2" t="n"/>
      <c r="C10" s="3" t="inlineStr">
        <is>
          <t>INTERNA: pasó dentro de la empresa, casi siempre antes de despachar (error de alistamiento, descuadre de inventario, demora en el cargue, falla de un equipo de bodega, accidente laboral). NO lleva guía: deje esa casilla vacía y la validación dirá «Sin guía (interna)», que es lo correcto.</t>
        </is>
      </c>
    </row>
    <row r="11" ht="32" customHeight="1">
      <c r="B11" s="2" t="n"/>
      <c r="C11" s="3" t="inlineStr">
        <is>
          <t>Las internas nunca entran al scorecard de transportadoras ni a la tasa de novedades por envío, porque no son culpa del transportador ni corresponden a una entrega. Sí entran al Pareto de causas, a las 6M y al punto de ocurrencia — que es donde usted mira su propia casa.</t>
        </is>
      </c>
    </row>
    <row r="12" ht="24" customHeight="1">
      <c r="B12" s="4" t="inlineStr">
        <is>
          <t>GUÍA Y PEDIDO</t>
        </is>
      </c>
    </row>
    <row r="13" ht="32" customHeight="1">
      <c r="B13" s="2" t="n"/>
      <c r="C13" s="3" t="inlineStr">
        <is>
          <t>La LLAVE es el Nº de guía o remisión: es el documento de transporte, uno por viaje, y es lo que amarra la novedad con el transportador. El Nº de pedido va al lado para dar trazabilidad de punta a punta: pedido → guía → cliente → novedad. No se usa como llave porque un mismo pedido puede salir en dos guías. En el buscador del tablero sirve cualquiera de los dos.</t>
        </is>
      </c>
    </row>
    <row r="14" ht="24" customHeight="1">
      <c r="B14" s="4" t="inlineStr">
        <is>
          <t>LA REGLA DE COLORES</t>
        </is>
      </c>
    </row>
    <row r="15" ht="32" customHeight="1">
      <c r="B15" s="2" t="n"/>
      <c r="C15" s="3" t="inlineStr">
        <is>
          <t>AMARILLO = usted lo escribe.        GRIS = se calcula solo, no lo toque.        Encabezado dorado = columna de captura.        Encabezado azul = columna calculada.</t>
        </is>
      </c>
    </row>
    <row r="16" ht="32" customHeight="1">
      <c r="B16" s="2" t="n"/>
      <c r="C16" s="3" t="inlineStr">
        <is>
          <t>Además, cada hoja tiene una banda oscura arriba que separa las zonas: lo que se digita, lo que se calcula y lo que es seguimiento.</t>
        </is>
      </c>
    </row>
    <row r="17" ht="24" customHeight="1">
      <c r="B17" s="4" t="inlineStr">
        <is>
          <t>LOS NÚMEROS QUE IMPORTAN</t>
        </is>
      </c>
    </row>
    <row r="18" ht="32" customHeight="1">
      <c r="B18" s="2" t="n"/>
      <c r="C18" s="3" t="inlineStr">
        <is>
          <t>OTIF (On Time In Full): de los envíos ya entregados, cuántos llegaron a tiempo Y completos. Es el estándar de la industria; una operación sana anda por encima del 95%.</t>
        </is>
      </c>
    </row>
    <row r="19" ht="32" customHeight="1">
      <c r="B19" s="2" t="n"/>
      <c r="C19" s="3" t="inlineStr">
        <is>
          <t>TASA DE NOVEDADES: de cada 100 envíos, cuántos tuvieron algún problema en ruta. Cuenta envíos afectados, no novedades, para que no se infle cuando un envío genera tres.</t>
        </is>
      </c>
    </row>
    <row r="20" ht="32" customHeight="1">
      <c r="B20" s="2" t="n"/>
      <c r="C20" s="3" t="inlineStr">
        <is>
          <t>% INTERNAS: qué parte de sus novedades nace adentro. Si es alto, el problema no es el transportador.</t>
        </is>
      </c>
    </row>
    <row r="21" ht="32" customHeight="1">
      <c r="B21" s="2" t="n"/>
      <c r="C21" s="3" t="inlineStr">
        <is>
          <t>CUMPLIMIENTO DE SLA: de las novedades ya resueltas, cuántas se resolvieron dentro del plazo que usted mismo definió por tipo.</t>
        </is>
      </c>
    </row>
    <row r="22" ht="32" customHeight="1">
      <c r="B22" s="2" t="n"/>
      <c r="C22" s="3" t="inlineStr">
        <is>
          <t>PUNTAJE Y NOTA POR TRANSPORTADORA: A, B, C o D. Es la hoja que se lleva a la reunión de negociación.</t>
        </is>
      </c>
    </row>
    <row r="23" ht="24" customHeight="1">
      <c r="B23" s="4" t="inlineStr">
        <is>
          <t>CÓMO CAMBIAR LAS REGLAS SIN TOCAR FÓRMULAS</t>
        </is>
      </c>
    </row>
    <row r="24" ht="32" customHeight="1">
      <c r="B24" s="2" t="n"/>
      <c r="C24" s="3" t="inlineStr">
        <is>
          <t>Todo vive en la hoja CONFIG: los tipos de novedad con su ámbito, su gravedad y su plazo en días hábiles; las causas raíz con su familia 6M y su área responsable; los estados y cuáles cierran el caso; los puntos de ocurrencia, las transportadoras y los responsables.</t>
        </is>
      </c>
    </row>
    <row r="25" ht="32" customHeight="1">
      <c r="B25" s="2" t="n"/>
      <c r="C25" s="3" t="inlineStr">
        <is>
          <t>Agregue filas hacia abajo y listo: las listas desplegables crecen solas y el tablero las recoge en el siguiente cálculo. Reemplace «Transportadora A, B, C» por los nombres reales antes de empezar.</t>
        </is>
      </c>
    </row>
    <row r="26" ht="24" customHeight="1">
      <c r="B26" s="4" t="inlineStr">
        <is>
          <t>SOBRE LA CAUSA RAÍZ (LAS 6M)</t>
        </is>
      </c>
    </row>
    <row r="27" ht="32" customHeight="1">
      <c r="B27" s="2" t="n"/>
      <c r="C27" s="3" t="inlineStr">
        <is>
          <t>Cada causa está clasificada en una de las seis familias del diagrama de Ishikawa: Método, Material, Medición, Mano de obra, Máquina y Medio ambiente (más Externo y Por definir). Sirve para ver si sus problemas son de proceso, de gente, de equipos o de afuera — y esa respuesta cambia qué se hace al respecto.</t>
        </is>
      </c>
    </row>
    <row r="28" ht="24" customHeight="1">
      <c r="B28" s="4" t="inlineStr">
        <is>
          <t>DETALLES PRÁCTICOS</t>
        </is>
      </c>
    </row>
    <row r="29" ht="32" customHeight="1">
      <c r="B29" s="2" t="n"/>
      <c r="C29" s="3" t="inlineStr">
        <is>
          <t>Las hojas están protegidas para no dañar las fórmulas, pero SIN contraseña: Revisar → Desproteger hoja y ya. Los plazos se cuentan en días hábiles (sin sábados ni domingos); si quiere descontar festivos, agregue una columna de fechas festivas en CONFIG y páselas como tercer argumento de DIA.LAB.</t>
        </is>
      </c>
    </row>
    <row r="30" ht="32" customHeight="1">
      <c r="B30" s="2" t="n"/>
      <c r="C30" s="3" t="inlineStr">
        <is>
          <t>Capacidad: 3.000 envíos y 1.500 novedades. Cuando se acerque al tope, guarde una copia con el nombre del periodo y borre solo las celdas amarillas.</t>
        </is>
      </c>
    </row>
  </sheetData>
  <sheetProtection selectLockedCells="0" selectUnlockedCells="0" sheet="1" objects="0" insertRows="1" insertHyperlinks="1" autoFilter="0" scenarios="0" formatColumns="0" deleteColumns="1" insertColumns="1" pivotTables="1" deleteRows="1" formatCells="1" formatRows="0" sort="0"/>
  <mergeCells count="9">
    <mergeCell ref="B2:C2"/>
    <mergeCell ref="B28:C28"/>
    <mergeCell ref="B23:C23"/>
    <mergeCell ref="B14:C14"/>
    <mergeCell ref="B26:C26"/>
    <mergeCell ref="B8:C8"/>
    <mergeCell ref="B4:C4"/>
    <mergeCell ref="B17:C17"/>
    <mergeCell ref="B12:C12"/>
  </mergeCells>
  <pageMargins left="0.75" right="0.75" top="1" bottom="1" header="0.5" footer="0.5"/>
</worksheet>
</file>

<file path=xl/worksheets/sheet2.xml><?xml version="1.0" encoding="utf-8"?>
<worksheet xmlns="http://schemas.openxmlformats.org/spreadsheetml/2006/main">
  <sheetPr>
    <tabColor rgb="FF0F172A"/>
    <outlinePr summaryBelow="1" summaryRight="1"/>
    <pageSetUpPr/>
  </sheetPr>
  <dimension ref="B2:V132"/>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4" customWidth="1" min="2" max="2"/>
    <col width="15"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5" customWidth="1" min="11" max="11"/>
    <col width="13" customWidth="1" min="12" max="12"/>
    <col width="13" customWidth="1" min="13" max="13"/>
    <col width="2"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s>
  <sheetData>
    <row r="2" ht="34" customHeight="1">
      <c r="B2" s="1" t="inlineStr">
        <is>
          <t>TABLERO DE NOVEDADES · logística y transporte</t>
        </is>
      </c>
    </row>
    <row r="3">
      <c r="B3" s="7" t="inlineStr">
        <is>
          <t>Todo se filtra por el periodo de abajo. Novedades por su fecha de registro; envíos por su fecha de despacho.</t>
        </is>
      </c>
    </row>
    <row r="4" ht="22" customHeight="1">
      <c r="B4" s="8" t="inlineStr">
        <is>
          <t>PERIODO</t>
        </is>
      </c>
      <c r="C4" s="9" t="n"/>
      <c r="D4" s="10" t="inlineStr">
        <is>
          <t>Desde:</t>
        </is>
      </c>
      <c r="E4" s="11" t="n">
        <v>46023</v>
      </c>
      <c r="F4" s="10" t="inlineStr">
        <is>
          <t>Hasta:</t>
        </is>
      </c>
      <c r="G4" s="11" t="n">
        <v>46387</v>
      </c>
      <c r="H4" s="12" t="inlineStr">
        <is>
          <t>◄ cambie estas dos fechas y todo el tablero se recalcula</t>
        </is>
      </c>
    </row>
    <row r="6" ht="20" customHeight="1">
      <c r="B6" s="8" t="inlineStr">
        <is>
          <t>LAS ENTREGAS</t>
        </is>
      </c>
      <c r="C6" s="13" t="n"/>
      <c r="D6" s="14" t="inlineStr">
        <is>
          <t>OTIF (a tiempo y completo)</t>
        </is>
      </c>
      <c r="E6" s="9" t="n"/>
      <c r="F6" s="14" t="inlineStr">
        <is>
          <t>ENTREGAS A TIEMPO</t>
        </is>
      </c>
      <c r="G6" s="9" t="n"/>
      <c r="H6" s="14" t="inlineStr">
        <is>
          <t>TASA DE NOVEDADES</t>
        </is>
      </c>
      <c r="I6" s="9" t="n"/>
      <c r="J6" s="14" t="inlineStr">
        <is>
          <t>VALOR AFECTADO</t>
        </is>
      </c>
      <c r="K6" s="9" t="n"/>
      <c r="L6" s="14" t="inlineStr">
        <is>
          <t>ENVÍOS DEL PERIODO</t>
        </is>
      </c>
      <c r="M6" s="9" t="n"/>
    </row>
    <row r="7" ht="34" customHeight="1">
      <c r="B7" s="15" t="n"/>
      <c r="C7" s="16" t="n"/>
      <c r="D7" s="17">
        <f>IFERROR(COUNTIFS(ENVIOS!$Q$4:$Q$3003,"OTIF",ENVIOS!$C$4:$C$3003,"&gt;="&amp;$E$4,ENVIOS!$C$4:$C$3003,"&lt;="&amp;$G$4)/(COUNTIFS(ENVIOS!$Q$4:$Q$3003,"OTIF",ENVIOS!$C$4:$C$3003,"&gt;="&amp;$E$4,ENVIOS!$C$4:$C$3003,"&lt;="&amp;$G$4)+COUNTIFS(ENVIOS!$Q$4:$Q$3003,"Falló",ENVIOS!$C$4:$C$3003,"&gt;="&amp;$E$4,ENVIOS!$C$4:$C$3003,"&lt;="&amp;$G$4)),"—")</f>
        <v/>
      </c>
      <c r="E7" s="9" t="n"/>
      <c r="F7" s="17">
        <f>IFERROR(COUNTIFS(ENVIOS!$N$4:$N$3003,"Sí",ENVIOS!$C$4:$C$3003,"&gt;="&amp;$E$4,ENVIOS!$C$4:$C$3003,"&lt;="&amp;$G$4)/(COUNTIFS(ENVIOS!$Q$4:$Q$3003,"OTIF",ENVIOS!$C$4:$C$3003,"&gt;="&amp;$E$4,ENVIOS!$C$4:$C$3003,"&lt;="&amp;$G$4)+COUNTIFS(ENVIOS!$Q$4:$Q$3003,"Falló",ENVIOS!$C$4:$C$3003,"&gt;="&amp;$E$4,ENVIOS!$C$4:$C$3003,"&lt;="&amp;$G$4)),"—")</f>
        <v/>
      </c>
      <c r="G7" s="9" t="n"/>
      <c r="H7" s="17">
        <f>IFERROR(COUNTIFS(ENVIOS!$O$4:$O$3003,"&gt;0",ENVIOS!$C$4:$C$3003,"&gt;="&amp;$E$4,ENVIOS!$C$4:$C$3003,"&lt;="&amp;$G$4)/COUNTIFS(ENVIOS!$C$4:$C$3003,"&gt;="&amp;$E$4,ENVIOS!$C$4:$C$3003,"&lt;="&amp;$G$4),"—")</f>
        <v/>
      </c>
      <c r="I7" s="9" t="n"/>
      <c r="J7" s="18">
        <f>SUMIFS(NOVEDADES!$U$4:$U$1503,NOVEDADES!$B$4:$B$1503,"&gt;="&amp;$E$4,NOVEDADES!$B$4:$B$1503,"&lt;="&amp;$G$4)</f>
        <v/>
      </c>
      <c r="K7" s="9" t="n"/>
      <c r="L7" s="19">
        <f>COUNTIFS(ENVIOS!$C$4:$C$3003,"&gt;="&amp;$E$4,ENVIOS!$C$4:$C$3003,"&lt;="&amp;$G$4)</f>
        <v/>
      </c>
      <c r="M7" s="9" t="n"/>
    </row>
    <row r="9" ht="20" customHeight="1">
      <c r="B9" s="8" t="inlineStr">
        <is>
          <t>LA GESTIÓN</t>
        </is>
      </c>
      <c r="C9" s="13" t="n"/>
      <c r="D9" s="14" t="inlineStr">
        <is>
          <t>NOVEDADES</t>
        </is>
      </c>
      <c r="E9" s="9" t="n"/>
      <c r="F9" s="14" t="inlineStr">
        <is>
          <t>ABIERTAS</t>
        </is>
      </c>
      <c r="G9" s="9" t="n"/>
      <c r="H9" s="14" t="inlineStr">
        <is>
          <t>VENCIDAS (SLA roto)</t>
        </is>
      </c>
      <c r="I9" s="9" t="n"/>
      <c r="J9" s="14" t="inlineStr">
        <is>
          <t>DÍAS PROM. SOLUCIÓN</t>
        </is>
      </c>
      <c r="K9" s="9" t="n"/>
      <c r="L9" s="14" t="inlineStr">
        <is>
          <t>CUMPLIMIENTO DE SLA</t>
        </is>
      </c>
      <c r="M9" s="9" t="n"/>
    </row>
    <row r="10" ht="34" customHeight="1">
      <c r="B10" s="15" t="n"/>
      <c r="C10" s="16" t="n"/>
      <c r="D10" s="19">
        <f>COUNTIFS(NOVEDADES!$B$4:$B$1503,"&gt;="&amp;$E$4,NOVEDADES!$B$4:$B$1503,"&lt;="&amp;$G$4)</f>
        <v/>
      </c>
      <c r="E10" s="9" t="n"/>
      <c r="F10" s="19">
        <f>COUNTIFS(NOVEDADES!$AA$4:$AA$1503,"En plazo",NOVEDADES!$B$4:$B$1503,"&gt;="&amp;$E$4,NOVEDADES!$B$4:$B$1503,"&lt;="&amp;$G$4)+COUNTIFS(NOVEDADES!$AA$4:$AA$1503,"Por vencer",NOVEDADES!$B$4:$B$1503,"&gt;="&amp;$E$4,NOVEDADES!$B$4:$B$1503,"&lt;="&amp;$G$4)+COUNTIFS(NOVEDADES!$AA$4:$AA$1503,"Vencida",NOVEDADES!$B$4:$B$1503,"&gt;="&amp;$E$4,NOVEDADES!$B$4:$B$1503,"&lt;="&amp;$G$4)+COUNTIFS(NOVEDADES!$AA$4:$AA$1503,"Sin clasificar",NOVEDADES!$B$4:$B$1503,"&gt;="&amp;$E$4,NOVEDADES!$B$4:$B$1503,"&lt;="&amp;$G$4)</f>
        <v/>
      </c>
      <c r="G10" s="9" t="n"/>
      <c r="H10" s="19">
        <f>COUNTIFS(NOVEDADES!$AA$4:$AA$1503,"Vencida",NOVEDADES!$B$4:$B$1503,"&gt;="&amp;$E$4,NOVEDADES!$B$4:$B$1503,"&lt;="&amp;$G$4)</f>
        <v/>
      </c>
      <c r="I10" s="9" t="n"/>
      <c r="J10" s="54">
        <f>IFERROR(ROUND(AVERAGEIFS(NOVEDADES!$Z$4:$Z$1503,NOVEDADES!$B$4:$B$1503,"&gt;="&amp;$E$4,NOVEDADES!$B$4:$B$1503,"&lt;="&amp;$G$4),1),0)</f>
        <v/>
      </c>
      <c r="K10" s="9" t="n"/>
      <c r="L10" s="17">
        <f>IFERROR(COUNTIFS(NOVEDADES!$AA$4:$AA$1503,"Resuelta a tiempo",NOVEDADES!$B$4:$B$1503,"&gt;="&amp;$E$4,NOVEDADES!$B$4:$B$1503,"&lt;="&amp;$G$4)/COUNTIFS(NOVEDADES!$AA$4:$AA$1503,"Resuelta*",NOVEDADES!$B$4:$B$1503,"&gt;="&amp;$E$4,NOVEDADES!$B$4:$B$1503,"&lt;="&amp;$G$4),"—")</f>
        <v/>
      </c>
      <c r="M10" s="9" t="n"/>
    </row>
    <row r="12" ht="20" customHeight="1">
      <c r="B12" s="8" t="inlineStr">
        <is>
          <t>DÓNDE NACEN</t>
        </is>
      </c>
      <c r="C12" s="13" t="n"/>
      <c r="D12" s="14" t="inlineStr">
        <is>
          <t>EN RUTA (transporte)</t>
        </is>
      </c>
      <c r="E12" s="9" t="n"/>
      <c r="F12" s="14" t="inlineStr">
        <is>
          <t>INTERNAS (la empresa)</t>
        </is>
      </c>
      <c r="G12" s="9" t="n"/>
      <c r="H12" s="14" t="inlineStr">
        <is>
          <t>% INTERNAS</t>
        </is>
      </c>
      <c r="I12" s="9" t="n"/>
      <c r="J12" s="14" t="inlineStr">
        <is>
          <t>VALOR DE LAS INTERNAS</t>
        </is>
      </c>
      <c r="K12" s="9" t="n"/>
      <c r="L12" s="14" t="inlineStr">
        <is>
          <t>PUNTO INTERNO MÁS FRECUENTE</t>
        </is>
      </c>
      <c r="M12" s="9" t="n"/>
    </row>
    <row r="13" ht="34" customHeight="1">
      <c r="B13" s="15" t="n"/>
      <c r="C13" s="16" t="n"/>
      <c r="D13" s="19">
        <f>COUNTIFS(NOVEDADES!$C$4:$C$1503,"En ruta",NOVEDADES!$B$4:$B$1503,"&gt;="&amp;$E$4,NOVEDADES!$B$4:$B$1503,"&lt;="&amp;$G$4)</f>
        <v/>
      </c>
      <c r="E13" s="9" t="n"/>
      <c r="F13" s="19">
        <f>COUNTIFS(NOVEDADES!$C$4:$C$1503,"Interna",NOVEDADES!$B$4:$B$1503,"&gt;="&amp;$E$4,NOVEDADES!$B$4:$B$1503,"&lt;="&amp;$G$4)</f>
        <v/>
      </c>
      <c r="G13" s="9" t="n"/>
      <c r="H13" s="17">
        <f>IFERROR(COUNTIFS(NOVEDADES!$C$4:$C$1503,"Interna",NOVEDADES!$B$4:$B$1503,"&gt;="&amp;$E$4,NOVEDADES!$B$4:$B$1503,"&lt;="&amp;$G$4)/COUNTIFS(NOVEDADES!$B$4:$B$1503,"&gt;="&amp;$E$4,NOVEDADES!$B$4:$B$1503,"&lt;="&amp;$G$4),"—")</f>
        <v/>
      </c>
      <c r="I13" s="9" t="n"/>
      <c r="J13" s="18">
        <f>SUMIFS(NOVEDADES!$U$4:$U$1503,NOVEDADES!$C$4:$C$1503,"Interna",NOVEDADES!$B$4:$B$1503,"&gt;="&amp;$E$4,NOVEDADES!$B$4:$B$1503,"&lt;="&amp;$G$4)</f>
        <v/>
      </c>
      <c r="K13" s="9" t="n"/>
      <c r="L13" s="21">
        <f>IF(MAX($D$87:$D$97)=0,"—",IFERROR(INDEX($B$87:$B$97,MATCH(MAX($D$87:$D$97),$D$87:$D$97,0)),"—"))</f>
        <v/>
      </c>
      <c r="M13" s="9" t="n"/>
    </row>
    <row r="15" ht="22" customHeight="1">
      <c r="B15" s="4" t="inlineStr">
        <is>
          <t>1 · SCORECARD DE TRANSPORTADORAS</t>
        </is>
      </c>
      <c r="O15" s="12" t="inlineStr">
        <is>
          <t>Las gráficas se recalculan con el periodo de arriba.</t>
        </is>
      </c>
    </row>
    <row r="16">
      <c r="B16" s="7" t="inlineStr">
        <is>
          <t>Solo cuenta las novedades EN RUTA: las internas no son culpa del transportador.   Nota A = 90 puntos o más · B = 80 a 89 · C = 70 a 79 · D = menos de 70.   Puntaje = OTIF ×60 + (1 − tasa) ×25 + (1 − vencidas/novedades) ×15.</t>
        </is>
      </c>
    </row>
    <row r="17" ht="32" customHeight="1">
      <c r="B17" s="22" t="inlineStr">
        <is>
          <t>Transportadora</t>
        </is>
      </c>
      <c r="C17" s="9" t="n"/>
      <c r="D17" s="22" t="inlineStr">
        <is>
          <t>Envíos</t>
        </is>
      </c>
      <c r="E17" s="22" t="inlineStr">
        <is>
          <t>OTIF</t>
        </is>
      </c>
      <c r="F17" s="22" t="inlineStr">
        <is>
          <t>Novedades</t>
        </is>
      </c>
      <c r="G17" s="22" t="inlineStr">
        <is>
          <t>Tasa</t>
        </is>
      </c>
      <c r="H17" s="22" t="inlineStr">
        <is>
          <t>Abiertas</t>
        </is>
      </c>
      <c r="I17" s="22" t="inlineStr">
        <is>
          <t>Vencidas</t>
        </is>
      </c>
      <c r="J17" s="22" t="inlineStr">
        <is>
          <t>Días prom.</t>
        </is>
      </c>
      <c r="K17" s="22" t="inlineStr">
        <is>
          <t>Valor afectado</t>
        </is>
      </c>
      <c r="L17" s="22" t="inlineStr">
        <is>
          <t>Puntaje</t>
        </is>
      </c>
      <c r="M17" s="22" t="inlineStr">
        <is>
          <t>Nota</t>
        </is>
      </c>
    </row>
    <row r="18">
      <c r="B18" s="23">
        <f>IF(CONFIG!$R4="","",CONFIG!$R4)</f>
        <v/>
      </c>
      <c r="C18" s="9" t="n"/>
      <c r="D18" s="24">
        <f>IF($B18="","",COUNTIFS(ENVIOS!$F$4:$F$3003,$B18,ENVIOS!$C$4:$C$3003,"&gt;="&amp;$E$4,ENVIOS!$C$4:$C$3003,"&lt;="&amp;$G$4))</f>
        <v/>
      </c>
      <c r="E18" s="55">
        <f>IF($B18="","",IFERROR(COUNTIFS(ENVIOS!$F$4:$F$3003,$B18,ENVIOS!$Q$4:$Q$3003,"OTIF",ENVIOS!$C$4:$C$3003,"&gt;="&amp;$E$4,ENVIOS!$C$4:$C$3003,"&lt;="&amp;$G$4)/(COUNTIFS(ENVIOS!$F$4:$F$3003,$B18,ENVIOS!$Q$4:$Q$3003,"OTIF",ENVIOS!$C$4:$C$3003,"&gt;="&amp;$E$4,ENVIOS!$C$4:$C$3003,"&lt;="&amp;$G$4)+COUNTIFS(ENVIOS!$F$4:$F$3003,$B18,ENVIOS!$Q$4:$Q$3003,"Falló",ENVIOS!$C$4:$C$3003,"&gt;="&amp;$E$4,ENVIOS!$C$4:$C$3003,"&lt;="&amp;$G$4)),"—"))</f>
        <v/>
      </c>
      <c r="F18" s="24">
        <f>IF($B18="","",COUNTIFS(NOVEDADES!$I$4:$I$1503,$B18,NOVEDADES!$B$4:$B$1503,"&gt;="&amp;$E$4,NOVEDADES!$B$4:$B$1503,"&lt;="&amp;$G$4))</f>
        <v/>
      </c>
      <c r="G18" s="55">
        <f>IF($B18="","",IFERROR(COUNTIFS(ENVIOS!$F$4:$F$3003,$B18,ENVIOS!$O$4:$O$3003,"&gt;0",ENVIOS!$C$4:$C$3003,"&gt;="&amp;$E$4,ENVIOS!$C$4:$C$3003,"&lt;="&amp;$G$4)/$D18,"—"))</f>
        <v/>
      </c>
      <c r="H18" s="24">
        <f>IF($B18="","",COUNTIFS(NOVEDADES!$AA$4:$AA$1503,"En plazo",NOVEDADES!$B$4:$B$1503,"&gt;="&amp;$E$4,NOVEDADES!$B$4:$B$1503,"&lt;="&amp;$G$4,NOVEDADES!$I$4:$I$1503,$B18)+COUNTIFS(NOVEDADES!$AA$4:$AA$1503,"Por vencer",NOVEDADES!$B$4:$B$1503,"&gt;="&amp;$E$4,NOVEDADES!$B$4:$B$1503,"&lt;="&amp;$G$4,NOVEDADES!$I$4:$I$1503,$B18)+COUNTIFS(NOVEDADES!$AA$4:$AA$1503,"Vencida",NOVEDADES!$B$4:$B$1503,"&gt;="&amp;$E$4,NOVEDADES!$B$4:$B$1503,"&lt;="&amp;$G$4,NOVEDADES!$I$4:$I$1503,$B18)+COUNTIFS(NOVEDADES!$AA$4:$AA$1503,"Sin clasificar",NOVEDADES!$B$4:$B$1503,"&gt;="&amp;$E$4,NOVEDADES!$B$4:$B$1503,"&lt;="&amp;$G$4,NOVEDADES!$I$4:$I$1503,$B18))</f>
        <v/>
      </c>
      <c r="I18" s="24">
        <f>IF($B18="","",COUNTIFS(NOVEDADES!$I$4:$I$1503,$B18,NOVEDADES!$AA$4:$AA$1503,"Vencida",NOVEDADES!$B$4:$B$1503,"&gt;="&amp;$E$4,NOVEDADES!$B$4:$B$1503,"&lt;="&amp;$G$4))</f>
        <v/>
      </c>
      <c r="J18" s="56">
        <f>IF($B18="","",IFERROR(ROUND(AVERAGEIFS(NOVEDADES!$Z$4:$Z$1503,NOVEDADES!$I$4:$I$1503,$B18,NOVEDADES!$B$4:$B$1503,"&gt;="&amp;$E$4,NOVEDADES!$B$4:$B$1503,"&lt;="&amp;$G$4),1),0))</f>
        <v/>
      </c>
      <c r="K18" s="27">
        <f>IF($B18="","",SUMIFS(NOVEDADES!$U$4:$U$1503,NOVEDADES!$I$4:$I$1503,$B18,NOVEDADES!$B$4:$B$1503,"&gt;="&amp;$E$4,NOVEDADES!$B$4:$B$1503,"&lt;="&amp;$G$4))</f>
        <v/>
      </c>
      <c r="L18" s="24">
        <f>IF(OR($B18="",$D18=0,NOT(ISNUMBER($E18))),"—",ROUND($E18*60+(1-N($G18))*25+IF($F18=0,15,(1-$I18/$F18)*15),0))</f>
        <v/>
      </c>
      <c r="M18" s="28">
        <f>IF(NOT(ISNUMBER($L18)),"—",IF($L18&gt;=90,"A",IF($L18&gt;=80,"B",IF($L18&gt;=70,"C","D"))))</f>
        <v/>
      </c>
    </row>
    <row r="19">
      <c r="B19" s="23">
        <f>IF(CONFIG!$R5="","",CONFIG!$R5)</f>
        <v/>
      </c>
      <c r="C19" s="9" t="n"/>
      <c r="D19" s="24">
        <f>IF($B19="","",COUNTIFS(ENVIOS!$F$4:$F$3003,$B19,ENVIOS!$C$4:$C$3003,"&gt;="&amp;$E$4,ENVIOS!$C$4:$C$3003,"&lt;="&amp;$G$4))</f>
        <v/>
      </c>
      <c r="E19" s="55">
        <f>IF($B19="","",IFERROR(COUNTIFS(ENVIOS!$F$4:$F$3003,$B19,ENVIOS!$Q$4:$Q$3003,"OTIF",ENVIOS!$C$4:$C$3003,"&gt;="&amp;$E$4,ENVIOS!$C$4:$C$3003,"&lt;="&amp;$G$4)/(COUNTIFS(ENVIOS!$F$4:$F$3003,$B19,ENVIOS!$Q$4:$Q$3003,"OTIF",ENVIOS!$C$4:$C$3003,"&gt;="&amp;$E$4,ENVIOS!$C$4:$C$3003,"&lt;="&amp;$G$4)+COUNTIFS(ENVIOS!$F$4:$F$3003,$B19,ENVIOS!$Q$4:$Q$3003,"Falló",ENVIOS!$C$4:$C$3003,"&gt;="&amp;$E$4,ENVIOS!$C$4:$C$3003,"&lt;="&amp;$G$4)),"—"))</f>
        <v/>
      </c>
      <c r="F19" s="24">
        <f>IF($B19="","",COUNTIFS(NOVEDADES!$I$4:$I$1503,$B19,NOVEDADES!$B$4:$B$1503,"&gt;="&amp;$E$4,NOVEDADES!$B$4:$B$1503,"&lt;="&amp;$G$4))</f>
        <v/>
      </c>
      <c r="G19" s="55">
        <f>IF($B19="","",IFERROR(COUNTIFS(ENVIOS!$F$4:$F$3003,$B19,ENVIOS!$O$4:$O$3003,"&gt;0",ENVIOS!$C$4:$C$3003,"&gt;="&amp;$E$4,ENVIOS!$C$4:$C$3003,"&lt;="&amp;$G$4)/$D19,"—"))</f>
        <v/>
      </c>
      <c r="H19" s="24">
        <f>IF($B19="","",COUNTIFS(NOVEDADES!$AA$4:$AA$1503,"En plazo",NOVEDADES!$B$4:$B$1503,"&gt;="&amp;$E$4,NOVEDADES!$B$4:$B$1503,"&lt;="&amp;$G$4,NOVEDADES!$I$4:$I$1503,$B19)+COUNTIFS(NOVEDADES!$AA$4:$AA$1503,"Por vencer",NOVEDADES!$B$4:$B$1503,"&gt;="&amp;$E$4,NOVEDADES!$B$4:$B$1503,"&lt;="&amp;$G$4,NOVEDADES!$I$4:$I$1503,$B19)+COUNTIFS(NOVEDADES!$AA$4:$AA$1503,"Vencida",NOVEDADES!$B$4:$B$1503,"&gt;="&amp;$E$4,NOVEDADES!$B$4:$B$1503,"&lt;="&amp;$G$4,NOVEDADES!$I$4:$I$1503,$B19)+COUNTIFS(NOVEDADES!$AA$4:$AA$1503,"Sin clasificar",NOVEDADES!$B$4:$B$1503,"&gt;="&amp;$E$4,NOVEDADES!$B$4:$B$1503,"&lt;="&amp;$G$4,NOVEDADES!$I$4:$I$1503,$B19))</f>
        <v/>
      </c>
      <c r="I19" s="24">
        <f>IF($B19="","",COUNTIFS(NOVEDADES!$I$4:$I$1503,$B19,NOVEDADES!$AA$4:$AA$1503,"Vencida",NOVEDADES!$B$4:$B$1503,"&gt;="&amp;$E$4,NOVEDADES!$B$4:$B$1503,"&lt;="&amp;$G$4))</f>
        <v/>
      </c>
      <c r="J19" s="56">
        <f>IF($B19="","",IFERROR(ROUND(AVERAGEIFS(NOVEDADES!$Z$4:$Z$1503,NOVEDADES!$I$4:$I$1503,$B19,NOVEDADES!$B$4:$B$1503,"&gt;="&amp;$E$4,NOVEDADES!$B$4:$B$1503,"&lt;="&amp;$G$4),1),0))</f>
        <v/>
      </c>
      <c r="K19" s="27">
        <f>IF($B19="","",SUMIFS(NOVEDADES!$U$4:$U$1503,NOVEDADES!$I$4:$I$1503,$B19,NOVEDADES!$B$4:$B$1503,"&gt;="&amp;$E$4,NOVEDADES!$B$4:$B$1503,"&lt;="&amp;$G$4))</f>
        <v/>
      </c>
      <c r="L19" s="24">
        <f>IF(OR($B19="",$D19=0,NOT(ISNUMBER($E19))),"—",ROUND($E19*60+(1-N($G19))*25+IF($F19=0,15,(1-$I19/$F19)*15),0))</f>
        <v/>
      </c>
      <c r="M19" s="28">
        <f>IF(NOT(ISNUMBER($L19)),"—",IF($L19&gt;=90,"A",IF($L19&gt;=80,"B",IF($L19&gt;=70,"C","D"))))</f>
        <v/>
      </c>
    </row>
    <row r="20">
      <c r="B20" s="23">
        <f>IF(CONFIG!$R6="","",CONFIG!$R6)</f>
        <v/>
      </c>
      <c r="C20" s="9" t="n"/>
      <c r="D20" s="24">
        <f>IF($B20="","",COUNTIFS(ENVIOS!$F$4:$F$3003,$B20,ENVIOS!$C$4:$C$3003,"&gt;="&amp;$E$4,ENVIOS!$C$4:$C$3003,"&lt;="&amp;$G$4))</f>
        <v/>
      </c>
      <c r="E20" s="55">
        <f>IF($B20="","",IFERROR(COUNTIFS(ENVIOS!$F$4:$F$3003,$B20,ENVIOS!$Q$4:$Q$3003,"OTIF",ENVIOS!$C$4:$C$3003,"&gt;="&amp;$E$4,ENVIOS!$C$4:$C$3003,"&lt;="&amp;$G$4)/(COUNTIFS(ENVIOS!$F$4:$F$3003,$B20,ENVIOS!$Q$4:$Q$3003,"OTIF",ENVIOS!$C$4:$C$3003,"&gt;="&amp;$E$4,ENVIOS!$C$4:$C$3003,"&lt;="&amp;$G$4)+COUNTIFS(ENVIOS!$F$4:$F$3003,$B20,ENVIOS!$Q$4:$Q$3003,"Falló",ENVIOS!$C$4:$C$3003,"&gt;="&amp;$E$4,ENVIOS!$C$4:$C$3003,"&lt;="&amp;$G$4)),"—"))</f>
        <v/>
      </c>
      <c r="F20" s="24">
        <f>IF($B20="","",COUNTIFS(NOVEDADES!$I$4:$I$1503,$B20,NOVEDADES!$B$4:$B$1503,"&gt;="&amp;$E$4,NOVEDADES!$B$4:$B$1503,"&lt;="&amp;$G$4))</f>
        <v/>
      </c>
      <c r="G20" s="55">
        <f>IF($B20="","",IFERROR(COUNTIFS(ENVIOS!$F$4:$F$3003,$B20,ENVIOS!$O$4:$O$3003,"&gt;0",ENVIOS!$C$4:$C$3003,"&gt;="&amp;$E$4,ENVIOS!$C$4:$C$3003,"&lt;="&amp;$G$4)/$D20,"—"))</f>
        <v/>
      </c>
      <c r="H20" s="24">
        <f>IF($B20="","",COUNTIFS(NOVEDADES!$AA$4:$AA$1503,"En plazo",NOVEDADES!$B$4:$B$1503,"&gt;="&amp;$E$4,NOVEDADES!$B$4:$B$1503,"&lt;="&amp;$G$4,NOVEDADES!$I$4:$I$1503,$B20)+COUNTIFS(NOVEDADES!$AA$4:$AA$1503,"Por vencer",NOVEDADES!$B$4:$B$1503,"&gt;="&amp;$E$4,NOVEDADES!$B$4:$B$1503,"&lt;="&amp;$G$4,NOVEDADES!$I$4:$I$1503,$B20)+COUNTIFS(NOVEDADES!$AA$4:$AA$1503,"Vencida",NOVEDADES!$B$4:$B$1503,"&gt;="&amp;$E$4,NOVEDADES!$B$4:$B$1503,"&lt;="&amp;$G$4,NOVEDADES!$I$4:$I$1503,$B20)+COUNTIFS(NOVEDADES!$AA$4:$AA$1503,"Sin clasificar",NOVEDADES!$B$4:$B$1503,"&gt;="&amp;$E$4,NOVEDADES!$B$4:$B$1503,"&lt;="&amp;$G$4,NOVEDADES!$I$4:$I$1503,$B20))</f>
        <v/>
      </c>
      <c r="I20" s="24">
        <f>IF($B20="","",COUNTIFS(NOVEDADES!$I$4:$I$1503,$B20,NOVEDADES!$AA$4:$AA$1503,"Vencida",NOVEDADES!$B$4:$B$1503,"&gt;="&amp;$E$4,NOVEDADES!$B$4:$B$1503,"&lt;="&amp;$G$4))</f>
        <v/>
      </c>
      <c r="J20" s="56">
        <f>IF($B20="","",IFERROR(ROUND(AVERAGEIFS(NOVEDADES!$Z$4:$Z$1503,NOVEDADES!$I$4:$I$1503,$B20,NOVEDADES!$B$4:$B$1503,"&gt;="&amp;$E$4,NOVEDADES!$B$4:$B$1503,"&lt;="&amp;$G$4),1),0))</f>
        <v/>
      </c>
      <c r="K20" s="27">
        <f>IF($B20="","",SUMIFS(NOVEDADES!$U$4:$U$1503,NOVEDADES!$I$4:$I$1503,$B20,NOVEDADES!$B$4:$B$1503,"&gt;="&amp;$E$4,NOVEDADES!$B$4:$B$1503,"&lt;="&amp;$G$4))</f>
        <v/>
      </c>
      <c r="L20" s="24">
        <f>IF(OR($B20="",$D20=0,NOT(ISNUMBER($E20))),"—",ROUND($E20*60+(1-N($G20))*25+IF($F20=0,15,(1-$I20/$F20)*15),0))</f>
        <v/>
      </c>
      <c r="M20" s="28">
        <f>IF(NOT(ISNUMBER($L20)),"—",IF($L20&gt;=90,"A",IF($L20&gt;=80,"B",IF($L20&gt;=70,"C","D"))))</f>
        <v/>
      </c>
    </row>
    <row r="21">
      <c r="B21" s="23">
        <f>IF(CONFIG!$R7="","",CONFIG!$R7)</f>
        <v/>
      </c>
      <c r="C21" s="9" t="n"/>
      <c r="D21" s="24">
        <f>IF($B21="","",COUNTIFS(ENVIOS!$F$4:$F$3003,$B21,ENVIOS!$C$4:$C$3003,"&gt;="&amp;$E$4,ENVIOS!$C$4:$C$3003,"&lt;="&amp;$G$4))</f>
        <v/>
      </c>
      <c r="E21" s="55">
        <f>IF($B21="","",IFERROR(COUNTIFS(ENVIOS!$F$4:$F$3003,$B21,ENVIOS!$Q$4:$Q$3003,"OTIF",ENVIOS!$C$4:$C$3003,"&gt;="&amp;$E$4,ENVIOS!$C$4:$C$3003,"&lt;="&amp;$G$4)/(COUNTIFS(ENVIOS!$F$4:$F$3003,$B21,ENVIOS!$Q$4:$Q$3003,"OTIF",ENVIOS!$C$4:$C$3003,"&gt;="&amp;$E$4,ENVIOS!$C$4:$C$3003,"&lt;="&amp;$G$4)+COUNTIFS(ENVIOS!$F$4:$F$3003,$B21,ENVIOS!$Q$4:$Q$3003,"Falló",ENVIOS!$C$4:$C$3003,"&gt;="&amp;$E$4,ENVIOS!$C$4:$C$3003,"&lt;="&amp;$G$4)),"—"))</f>
        <v/>
      </c>
      <c r="F21" s="24">
        <f>IF($B21="","",COUNTIFS(NOVEDADES!$I$4:$I$1503,$B21,NOVEDADES!$B$4:$B$1503,"&gt;="&amp;$E$4,NOVEDADES!$B$4:$B$1503,"&lt;="&amp;$G$4))</f>
        <v/>
      </c>
      <c r="G21" s="55">
        <f>IF($B21="","",IFERROR(COUNTIFS(ENVIOS!$F$4:$F$3003,$B21,ENVIOS!$O$4:$O$3003,"&gt;0",ENVIOS!$C$4:$C$3003,"&gt;="&amp;$E$4,ENVIOS!$C$4:$C$3003,"&lt;="&amp;$G$4)/$D21,"—"))</f>
        <v/>
      </c>
      <c r="H21" s="24">
        <f>IF($B21="","",COUNTIFS(NOVEDADES!$AA$4:$AA$1503,"En plazo",NOVEDADES!$B$4:$B$1503,"&gt;="&amp;$E$4,NOVEDADES!$B$4:$B$1503,"&lt;="&amp;$G$4,NOVEDADES!$I$4:$I$1503,$B21)+COUNTIFS(NOVEDADES!$AA$4:$AA$1503,"Por vencer",NOVEDADES!$B$4:$B$1503,"&gt;="&amp;$E$4,NOVEDADES!$B$4:$B$1503,"&lt;="&amp;$G$4,NOVEDADES!$I$4:$I$1503,$B21)+COUNTIFS(NOVEDADES!$AA$4:$AA$1503,"Vencida",NOVEDADES!$B$4:$B$1503,"&gt;="&amp;$E$4,NOVEDADES!$B$4:$B$1503,"&lt;="&amp;$G$4,NOVEDADES!$I$4:$I$1503,$B21)+COUNTIFS(NOVEDADES!$AA$4:$AA$1503,"Sin clasificar",NOVEDADES!$B$4:$B$1503,"&gt;="&amp;$E$4,NOVEDADES!$B$4:$B$1503,"&lt;="&amp;$G$4,NOVEDADES!$I$4:$I$1503,$B21))</f>
        <v/>
      </c>
      <c r="I21" s="24">
        <f>IF($B21="","",COUNTIFS(NOVEDADES!$I$4:$I$1503,$B21,NOVEDADES!$AA$4:$AA$1503,"Vencida",NOVEDADES!$B$4:$B$1503,"&gt;="&amp;$E$4,NOVEDADES!$B$4:$B$1503,"&lt;="&amp;$G$4))</f>
        <v/>
      </c>
      <c r="J21" s="56">
        <f>IF($B21="","",IFERROR(ROUND(AVERAGEIFS(NOVEDADES!$Z$4:$Z$1503,NOVEDADES!$I$4:$I$1503,$B21,NOVEDADES!$B$4:$B$1503,"&gt;="&amp;$E$4,NOVEDADES!$B$4:$B$1503,"&lt;="&amp;$G$4),1),0))</f>
        <v/>
      </c>
      <c r="K21" s="27">
        <f>IF($B21="","",SUMIFS(NOVEDADES!$U$4:$U$1503,NOVEDADES!$I$4:$I$1503,$B21,NOVEDADES!$B$4:$B$1503,"&gt;="&amp;$E$4,NOVEDADES!$B$4:$B$1503,"&lt;="&amp;$G$4))</f>
        <v/>
      </c>
      <c r="L21" s="24">
        <f>IF(OR($B21="",$D21=0,NOT(ISNUMBER($E21))),"—",ROUND($E21*60+(1-N($G21))*25+IF($F21=0,15,(1-$I21/$F21)*15),0))</f>
        <v/>
      </c>
      <c r="M21" s="28">
        <f>IF(NOT(ISNUMBER($L21)),"—",IF($L21&gt;=90,"A",IF($L21&gt;=80,"B",IF($L21&gt;=70,"C","D"))))</f>
        <v/>
      </c>
    </row>
    <row r="22">
      <c r="B22" s="23">
        <f>IF(CONFIG!$R8="","",CONFIG!$R8)</f>
        <v/>
      </c>
      <c r="C22" s="9" t="n"/>
      <c r="D22" s="24">
        <f>IF($B22="","",COUNTIFS(ENVIOS!$F$4:$F$3003,$B22,ENVIOS!$C$4:$C$3003,"&gt;="&amp;$E$4,ENVIOS!$C$4:$C$3003,"&lt;="&amp;$G$4))</f>
        <v/>
      </c>
      <c r="E22" s="55">
        <f>IF($B22="","",IFERROR(COUNTIFS(ENVIOS!$F$4:$F$3003,$B22,ENVIOS!$Q$4:$Q$3003,"OTIF",ENVIOS!$C$4:$C$3003,"&gt;="&amp;$E$4,ENVIOS!$C$4:$C$3003,"&lt;="&amp;$G$4)/(COUNTIFS(ENVIOS!$F$4:$F$3003,$B22,ENVIOS!$Q$4:$Q$3003,"OTIF",ENVIOS!$C$4:$C$3003,"&gt;="&amp;$E$4,ENVIOS!$C$4:$C$3003,"&lt;="&amp;$G$4)+COUNTIFS(ENVIOS!$F$4:$F$3003,$B22,ENVIOS!$Q$4:$Q$3003,"Falló",ENVIOS!$C$4:$C$3003,"&gt;="&amp;$E$4,ENVIOS!$C$4:$C$3003,"&lt;="&amp;$G$4)),"—"))</f>
        <v/>
      </c>
      <c r="F22" s="24">
        <f>IF($B22="","",COUNTIFS(NOVEDADES!$I$4:$I$1503,$B22,NOVEDADES!$B$4:$B$1503,"&gt;="&amp;$E$4,NOVEDADES!$B$4:$B$1503,"&lt;="&amp;$G$4))</f>
        <v/>
      </c>
      <c r="G22" s="55">
        <f>IF($B22="","",IFERROR(COUNTIFS(ENVIOS!$F$4:$F$3003,$B22,ENVIOS!$O$4:$O$3003,"&gt;0",ENVIOS!$C$4:$C$3003,"&gt;="&amp;$E$4,ENVIOS!$C$4:$C$3003,"&lt;="&amp;$G$4)/$D22,"—"))</f>
        <v/>
      </c>
      <c r="H22" s="24">
        <f>IF($B22="","",COUNTIFS(NOVEDADES!$AA$4:$AA$1503,"En plazo",NOVEDADES!$B$4:$B$1503,"&gt;="&amp;$E$4,NOVEDADES!$B$4:$B$1503,"&lt;="&amp;$G$4,NOVEDADES!$I$4:$I$1503,$B22)+COUNTIFS(NOVEDADES!$AA$4:$AA$1503,"Por vencer",NOVEDADES!$B$4:$B$1503,"&gt;="&amp;$E$4,NOVEDADES!$B$4:$B$1503,"&lt;="&amp;$G$4,NOVEDADES!$I$4:$I$1503,$B22)+COUNTIFS(NOVEDADES!$AA$4:$AA$1503,"Vencida",NOVEDADES!$B$4:$B$1503,"&gt;="&amp;$E$4,NOVEDADES!$B$4:$B$1503,"&lt;="&amp;$G$4,NOVEDADES!$I$4:$I$1503,$B22)+COUNTIFS(NOVEDADES!$AA$4:$AA$1503,"Sin clasificar",NOVEDADES!$B$4:$B$1503,"&gt;="&amp;$E$4,NOVEDADES!$B$4:$B$1503,"&lt;="&amp;$G$4,NOVEDADES!$I$4:$I$1503,$B22))</f>
        <v/>
      </c>
      <c r="I22" s="24">
        <f>IF($B22="","",COUNTIFS(NOVEDADES!$I$4:$I$1503,$B22,NOVEDADES!$AA$4:$AA$1503,"Vencida",NOVEDADES!$B$4:$B$1503,"&gt;="&amp;$E$4,NOVEDADES!$B$4:$B$1503,"&lt;="&amp;$G$4))</f>
        <v/>
      </c>
      <c r="J22" s="56">
        <f>IF($B22="","",IFERROR(ROUND(AVERAGEIFS(NOVEDADES!$Z$4:$Z$1503,NOVEDADES!$I$4:$I$1503,$B22,NOVEDADES!$B$4:$B$1503,"&gt;="&amp;$E$4,NOVEDADES!$B$4:$B$1503,"&lt;="&amp;$G$4),1),0))</f>
        <v/>
      </c>
      <c r="K22" s="27">
        <f>IF($B22="","",SUMIFS(NOVEDADES!$U$4:$U$1503,NOVEDADES!$I$4:$I$1503,$B22,NOVEDADES!$B$4:$B$1503,"&gt;="&amp;$E$4,NOVEDADES!$B$4:$B$1503,"&lt;="&amp;$G$4))</f>
        <v/>
      </c>
      <c r="L22" s="24">
        <f>IF(OR($B22="",$D22=0,NOT(ISNUMBER($E22))),"—",ROUND($E22*60+(1-N($G22))*25+IF($F22=0,15,(1-$I22/$F22)*15),0))</f>
        <v/>
      </c>
      <c r="M22" s="28">
        <f>IF(NOT(ISNUMBER($L22)),"—",IF($L22&gt;=90,"A",IF($L22&gt;=80,"B",IF($L22&gt;=70,"C","D"))))</f>
        <v/>
      </c>
    </row>
    <row r="23">
      <c r="B23" s="23">
        <f>IF(CONFIG!$R9="","",CONFIG!$R9)</f>
        <v/>
      </c>
      <c r="C23" s="9" t="n"/>
      <c r="D23" s="24">
        <f>IF($B23="","",COUNTIFS(ENVIOS!$F$4:$F$3003,$B23,ENVIOS!$C$4:$C$3003,"&gt;="&amp;$E$4,ENVIOS!$C$4:$C$3003,"&lt;="&amp;$G$4))</f>
        <v/>
      </c>
      <c r="E23" s="55">
        <f>IF($B23="","",IFERROR(COUNTIFS(ENVIOS!$F$4:$F$3003,$B23,ENVIOS!$Q$4:$Q$3003,"OTIF",ENVIOS!$C$4:$C$3003,"&gt;="&amp;$E$4,ENVIOS!$C$4:$C$3003,"&lt;="&amp;$G$4)/(COUNTIFS(ENVIOS!$F$4:$F$3003,$B23,ENVIOS!$Q$4:$Q$3003,"OTIF",ENVIOS!$C$4:$C$3003,"&gt;="&amp;$E$4,ENVIOS!$C$4:$C$3003,"&lt;="&amp;$G$4)+COUNTIFS(ENVIOS!$F$4:$F$3003,$B23,ENVIOS!$Q$4:$Q$3003,"Falló",ENVIOS!$C$4:$C$3003,"&gt;="&amp;$E$4,ENVIOS!$C$4:$C$3003,"&lt;="&amp;$G$4)),"—"))</f>
        <v/>
      </c>
      <c r="F23" s="24">
        <f>IF($B23="","",COUNTIFS(NOVEDADES!$I$4:$I$1503,$B23,NOVEDADES!$B$4:$B$1503,"&gt;="&amp;$E$4,NOVEDADES!$B$4:$B$1503,"&lt;="&amp;$G$4))</f>
        <v/>
      </c>
      <c r="G23" s="55">
        <f>IF($B23="","",IFERROR(COUNTIFS(ENVIOS!$F$4:$F$3003,$B23,ENVIOS!$O$4:$O$3003,"&gt;0",ENVIOS!$C$4:$C$3003,"&gt;="&amp;$E$4,ENVIOS!$C$4:$C$3003,"&lt;="&amp;$G$4)/$D23,"—"))</f>
        <v/>
      </c>
      <c r="H23" s="24">
        <f>IF($B23="","",COUNTIFS(NOVEDADES!$AA$4:$AA$1503,"En plazo",NOVEDADES!$B$4:$B$1503,"&gt;="&amp;$E$4,NOVEDADES!$B$4:$B$1503,"&lt;="&amp;$G$4,NOVEDADES!$I$4:$I$1503,$B23)+COUNTIFS(NOVEDADES!$AA$4:$AA$1503,"Por vencer",NOVEDADES!$B$4:$B$1503,"&gt;="&amp;$E$4,NOVEDADES!$B$4:$B$1503,"&lt;="&amp;$G$4,NOVEDADES!$I$4:$I$1503,$B23)+COUNTIFS(NOVEDADES!$AA$4:$AA$1503,"Vencida",NOVEDADES!$B$4:$B$1503,"&gt;="&amp;$E$4,NOVEDADES!$B$4:$B$1503,"&lt;="&amp;$G$4,NOVEDADES!$I$4:$I$1503,$B23)+COUNTIFS(NOVEDADES!$AA$4:$AA$1503,"Sin clasificar",NOVEDADES!$B$4:$B$1503,"&gt;="&amp;$E$4,NOVEDADES!$B$4:$B$1503,"&lt;="&amp;$G$4,NOVEDADES!$I$4:$I$1503,$B23))</f>
        <v/>
      </c>
      <c r="I23" s="24">
        <f>IF($B23="","",COUNTIFS(NOVEDADES!$I$4:$I$1503,$B23,NOVEDADES!$AA$4:$AA$1503,"Vencida",NOVEDADES!$B$4:$B$1503,"&gt;="&amp;$E$4,NOVEDADES!$B$4:$B$1503,"&lt;="&amp;$G$4))</f>
        <v/>
      </c>
      <c r="J23" s="56">
        <f>IF($B23="","",IFERROR(ROUND(AVERAGEIFS(NOVEDADES!$Z$4:$Z$1503,NOVEDADES!$I$4:$I$1503,$B23,NOVEDADES!$B$4:$B$1503,"&gt;="&amp;$E$4,NOVEDADES!$B$4:$B$1503,"&lt;="&amp;$G$4),1),0))</f>
        <v/>
      </c>
      <c r="K23" s="27">
        <f>IF($B23="","",SUMIFS(NOVEDADES!$U$4:$U$1503,NOVEDADES!$I$4:$I$1503,$B23,NOVEDADES!$B$4:$B$1503,"&gt;="&amp;$E$4,NOVEDADES!$B$4:$B$1503,"&lt;="&amp;$G$4))</f>
        <v/>
      </c>
      <c r="L23" s="24">
        <f>IF(OR($B23="",$D23=0,NOT(ISNUMBER($E23))),"—",ROUND($E23*60+(1-N($G23))*25+IF($F23=0,15,(1-$I23/$F23)*15),0))</f>
        <v/>
      </c>
      <c r="M23" s="28">
        <f>IF(NOT(ISNUMBER($L23)),"—",IF($L23&gt;=90,"A",IF($L23&gt;=80,"B",IF($L23&gt;=70,"C","D"))))</f>
        <v/>
      </c>
    </row>
    <row r="24">
      <c r="B24" s="23">
        <f>IF(CONFIG!$R10="","",CONFIG!$R10)</f>
        <v/>
      </c>
      <c r="C24" s="9" t="n"/>
      <c r="D24" s="24">
        <f>IF($B24="","",COUNTIFS(ENVIOS!$F$4:$F$3003,$B24,ENVIOS!$C$4:$C$3003,"&gt;="&amp;$E$4,ENVIOS!$C$4:$C$3003,"&lt;="&amp;$G$4))</f>
        <v/>
      </c>
      <c r="E24" s="55">
        <f>IF($B24="","",IFERROR(COUNTIFS(ENVIOS!$F$4:$F$3003,$B24,ENVIOS!$Q$4:$Q$3003,"OTIF",ENVIOS!$C$4:$C$3003,"&gt;="&amp;$E$4,ENVIOS!$C$4:$C$3003,"&lt;="&amp;$G$4)/(COUNTIFS(ENVIOS!$F$4:$F$3003,$B24,ENVIOS!$Q$4:$Q$3003,"OTIF",ENVIOS!$C$4:$C$3003,"&gt;="&amp;$E$4,ENVIOS!$C$4:$C$3003,"&lt;="&amp;$G$4)+COUNTIFS(ENVIOS!$F$4:$F$3003,$B24,ENVIOS!$Q$4:$Q$3003,"Falló",ENVIOS!$C$4:$C$3003,"&gt;="&amp;$E$4,ENVIOS!$C$4:$C$3003,"&lt;="&amp;$G$4)),"—"))</f>
        <v/>
      </c>
      <c r="F24" s="24">
        <f>IF($B24="","",COUNTIFS(NOVEDADES!$I$4:$I$1503,$B24,NOVEDADES!$B$4:$B$1503,"&gt;="&amp;$E$4,NOVEDADES!$B$4:$B$1503,"&lt;="&amp;$G$4))</f>
        <v/>
      </c>
      <c r="G24" s="55">
        <f>IF($B24="","",IFERROR(COUNTIFS(ENVIOS!$F$4:$F$3003,$B24,ENVIOS!$O$4:$O$3003,"&gt;0",ENVIOS!$C$4:$C$3003,"&gt;="&amp;$E$4,ENVIOS!$C$4:$C$3003,"&lt;="&amp;$G$4)/$D24,"—"))</f>
        <v/>
      </c>
      <c r="H24" s="24">
        <f>IF($B24="","",COUNTIFS(NOVEDADES!$AA$4:$AA$1503,"En plazo",NOVEDADES!$B$4:$B$1503,"&gt;="&amp;$E$4,NOVEDADES!$B$4:$B$1503,"&lt;="&amp;$G$4,NOVEDADES!$I$4:$I$1503,$B24)+COUNTIFS(NOVEDADES!$AA$4:$AA$1503,"Por vencer",NOVEDADES!$B$4:$B$1503,"&gt;="&amp;$E$4,NOVEDADES!$B$4:$B$1503,"&lt;="&amp;$G$4,NOVEDADES!$I$4:$I$1503,$B24)+COUNTIFS(NOVEDADES!$AA$4:$AA$1503,"Vencida",NOVEDADES!$B$4:$B$1503,"&gt;="&amp;$E$4,NOVEDADES!$B$4:$B$1503,"&lt;="&amp;$G$4,NOVEDADES!$I$4:$I$1503,$B24)+COUNTIFS(NOVEDADES!$AA$4:$AA$1503,"Sin clasificar",NOVEDADES!$B$4:$B$1503,"&gt;="&amp;$E$4,NOVEDADES!$B$4:$B$1503,"&lt;="&amp;$G$4,NOVEDADES!$I$4:$I$1503,$B24))</f>
        <v/>
      </c>
      <c r="I24" s="24">
        <f>IF($B24="","",COUNTIFS(NOVEDADES!$I$4:$I$1503,$B24,NOVEDADES!$AA$4:$AA$1503,"Vencida",NOVEDADES!$B$4:$B$1503,"&gt;="&amp;$E$4,NOVEDADES!$B$4:$B$1503,"&lt;="&amp;$G$4))</f>
        <v/>
      </c>
      <c r="J24" s="56">
        <f>IF($B24="","",IFERROR(ROUND(AVERAGEIFS(NOVEDADES!$Z$4:$Z$1503,NOVEDADES!$I$4:$I$1503,$B24,NOVEDADES!$B$4:$B$1503,"&gt;="&amp;$E$4,NOVEDADES!$B$4:$B$1503,"&lt;="&amp;$G$4),1),0))</f>
        <v/>
      </c>
      <c r="K24" s="27">
        <f>IF($B24="","",SUMIFS(NOVEDADES!$U$4:$U$1503,NOVEDADES!$I$4:$I$1503,$B24,NOVEDADES!$B$4:$B$1503,"&gt;="&amp;$E$4,NOVEDADES!$B$4:$B$1503,"&lt;="&amp;$G$4))</f>
        <v/>
      </c>
      <c r="L24" s="24">
        <f>IF(OR($B24="",$D24=0,NOT(ISNUMBER($E24))),"—",ROUND($E24*60+(1-N($G24))*25+IF($F24=0,15,(1-$I24/$F24)*15),0))</f>
        <v/>
      </c>
      <c r="M24" s="28">
        <f>IF(NOT(ISNUMBER($L24)),"—",IF($L24&gt;=90,"A",IF($L24&gt;=80,"B",IF($L24&gt;=70,"C","D"))))</f>
        <v/>
      </c>
    </row>
    <row r="25">
      <c r="B25" s="23">
        <f>IF(CONFIG!$R11="","",CONFIG!$R11)</f>
        <v/>
      </c>
      <c r="C25" s="9" t="n"/>
      <c r="D25" s="24">
        <f>IF($B25="","",COUNTIFS(ENVIOS!$F$4:$F$3003,$B25,ENVIOS!$C$4:$C$3003,"&gt;="&amp;$E$4,ENVIOS!$C$4:$C$3003,"&lt;="&amp;$G$4))</f>
        <v/>
      </c>
      <c r="E25" s="55">
        <f>IF($B25="","",IFERROR(COUNTIFS(ENVIOS!$F$4:$F$3003,$B25,ENVIOS!$Q$4:$Q$3003,"OTIF",ENVIOS!$C$4:$C$3003,"&gt;="&amp;$E$4,ENVIOS!$C$4:$C$3003,"&lt;="&amp;$G$4)/(COUNTIFS(ENVIOS!$F$4:$F$3003,$B25,ENVIOS!$Q$4:$Q$3003,"OTIF",ENVIOS!$C$4:$C$3003,"&gt;="&amp;$E$4,ENVIOS!$C$4:$C$3003,"&lt;="&amp;$G$4)+COUNTIFS(ENVIOS!$F$4:$F$3003,$B25,ENVIOS!$Q$4:$Q$3003,"Falló",ENVIOS!$C$4:$C$3003,"&gt;="&amp;$E$4,ENVIOS!$C$4:$C$3003,"&lt;="&amp;$G$4)),"—"))</f>
        <v/>
      </c>
      <c r="F25" s="24">
        <f>IF($B25="","",COUNTIFS(NOVEDADES!$I$4:$I$1503,$B25,NOVEDADES!$B$4:$B$1503,"&gt;="&amp;$E$4,NOVEDADES!$B$4:$B$1503,"&lt;="&amp;$G$4))</f>
        <v/>
      </c>
      <c r="G25" s="55">
        <f>IF($B25="","",IFERROR(COUNTIFS(ENVIOS!$F$4:$F$3003,$B25,ENVIOS!$O$4:$O$3003,"&gt;0",ENVIOS!$C$4:$C$3003,"&gt;="&amp;$E$4,ENVIOS!$C$4:$C$3003,"&lt;="&amp;$G$4)/$D25,"—"))</f>
        <v/>
      </c>
      <c r="H25" s="24">
        <f>IF($B25="","",COUNTIFS(NOVEDADES!$AA$4:$AA$1503,"En plazo",NOVEDADES!$B$4:$B$1503,"&gt;="&amp;$E$4,NOVEDADES!$B$4:$B$1503,"&lt;="&amp;$G$4,NOVEDADES!$I$4:$I$1503,$B25)+COUNTIFS(NOVEDADES!$AA$4:$AA$1503,"Por vencer",NOVEDADES!$B$4:$B$1503,"&gt;="&amp;$E$4,NOVEDADES!$B$4:$B$1503,"&lt;="&amp;$G$4,NOVEDADES!$I$4:$I$1503,$B25)+COUNTIFS(NOVEDADES!$AA$4:$AA$1503,"Vencida",NOVEDADES!$B$4:$B$1503,"&gt;="&amp;$E$4,NOVEDADES!$B$4:$B$1503,"&lt;="&amp;$G$4,NOVEDADES!$I$4:$I$1503,$B25)+COUNTIFS(NOVEDADES!$AA$4:$AA$1503,"Sin clasificar",NOVEDADES!$B$4:$B$1503,"&gt;="&amp;$E$4,NOVEDADES!$B$4:$B$1503,"&lt;="&amp;$G$4,NOVEDADES!$I$4:$I$1503,$B25))</f>
        <v/>
      </c>
      <c r="I25" s="24">
        <f>IF($B25="","",COUNTIFS(NOVEDADES!$I$4:$I$1503,$B25,NOVEDADES!$AA$4:$AA$1503,"Vencida",NOVEDADES!$B$4:$B$1503,"&gt;="&amp;$E$4,NOVEDADES!$B$4:$B$1503,"&lt;="&amp;$G$4))</f>
        <v/>
      </c>
      <c r="J25" s="56">
        <f>IF($B25="","",IFERROR(ROUND(AVERAGEIFS(NOVEDADES!$Z$4:$Z$1503,NOVEDADES!$I$4:$I$1503,$B25,NOVEDADES!$B$4:$B$1503,"&gt;="&amp;$E$4,NOVEDADES!$B$4:$B$1503,"&lt;="&amp;$G$4),1),0))</f>
        <v/>
      </c>
      <c r="K25" s="27">
        <f>IF($B25="","",SUMIFS(NOVEDADES!$U$4:$U$1503,NOVEDADES!$I$4:$I$1503,$B25,NOVEDADES!$B$4:$B$1503,"&gt;="&amp;$E$4,NOVEDADES!$B$4:$B$1503,"&lt;="&amp;$G$4))</f>
        <v/>
      </c>
      <c r="L25" s="24">
        <f>IF(OR($B25="",$D25=0,NOT(ISNUMBER($E25))),"—",ROUND($E25*60+(1-N($G25))*25+IF($F25=0,15,(1-$I25/$F25)*15),0))</f>
        <v/>
      </c>
      <c r="M25" s="28">
        <f>IF(NOT(ISNUMBER($L25)),"—",IF($L25&gt;=90,"A",IF($L25&gt;=80,"B",IF($L25&gt;=70,"C","D"))))</f>
        <v/>
      </c>
    </row>
    <row r="26">
      <c r="B26" s="23">
        <f>IF(CONFIG!$R12="","",CONFIG!$R12)</f>
        <v/>
      </c>
      <c r="C26" s="9" t="n"/>
      <c r="D26" s="24">
        <f>IF($B26="","",COUNTIFS(ENVIOS!$F$4:$F$3003,$B26,ENVIOS!$C$4:$C$3003,"&gt;="&amp;$E$4,ENVIOS!$C$4:$C$3003,"&lt;="&amp;$G$4))</f>
        <v/>
      </c>
      <c r="E26" s="55">
        <f>IF($B26="","",IFERROR(COUNTIFS(ENVIOS!$F$4:$F$3003,$B26,ENVIOS!$Q$4:$Q$3003,"OTIF",ENVIOS!$C$4:$C$3003,"&gt;="&amp;$E$4,ENVIOS!$C$4:$C$3003,"&lt;="&amp;$G$4)/(COUNTIFS(ENVIOS!$F$4:$F$3003,$B26,ENVIOS!$Q$4:$Q$3003,"OTIF",ENVIOS!$C$4:$C$3003,"&gt;="&amp;$E$4,ENVIOS!$C$4:$C$3003,"&lt;="&amp;$G$4)+COUNTIFS(ENVIOS!$F$4:$F$3003,$B26,ENVIOS!$Q$4:$Q$3003,"Falló",ENVIOS!$C$4:$C$3003,"&gt;="&amp;$E$4,ENVIOS!$C$4:$C$3003,"&lt;="&amp;$G$4)),"—"))</f>
        <v/>
      </c>
      <c r="F26" s="24">
        <f>IF($B26="","",COUNTIFS(NOVEDADES!$I$4:$I$1503,$B26,NOVEDADES!$B$4:$B$1503,"&gt;="&amp;$E$4,NOVEDADES!$B$4:$B$1503,"&lt;="&amp;$G$4))</f>
        <v/>
      </c>
      <c r="G26" s="55">
        <f>IF($B26="","",IFERROR(COUNTIFS(ENVIOS!$F$4:$F$3003,$B26,ENVIOS!$O$4:$O$3003,"&gt;0",ENVIOS!$C$4:$C$3003,"&gt;="&amp;$E$4,ENVIOS!$C$4:$C$3003,"&lt;="&amp;$G$4)/$D26,"—"))</f>
        <v/>
      </c>
      <c r="H26" s="24">
        <f>IF($B26="","",COUNTIFS(NOVEDADES!$AA$4:$AA$1503,"En plazo",NOVEDADES!$B$4:$B$1503,"&gt;="&amp;$E$4,NOVEDADES!$B$4:$B$1503,"&lt;="&amp;$G$4,NOVEDADES!$I$4:$I$1503,$B26)+COUNTIFS(NOVEDADES!$AA$4:$AA$1503,"Por vencer",NOVEDADES!$B$4:$B$1503,"&gt;="&amp;$E$4,NOVEDADES!$B$4:$B$1503,"&lt;="&amp;$G$4,NOVEDADES!$I$4:$I$1503,$B26)+COUNTIFS(NOVEDADES!$AA$4:$AA$1503,"Vencida",NOVEDADES!$B$4:$B$1503,"&gt;="&amp;$E$4,NOVEDADES!$B$4:$B$1503,"&lt;="&amp;$G$4,NOVEDADES!$I$4:$I$1503,$B26)+COUNTIFS(NOVEDADES!$AA$4:$AA$1503,"Sin clasificar",NOVEDADES!$B$4:$B$1503,"&gt;="&amp;$E$4,NOVEDADES!$B$4:$B$1503,"&lt;="&amp;$G$4,NOVEDADES!$I$4:$I$1503,$B26))</f>
        <v/>
      </c>
      <c r="I26" s="24">
        <f>IF($B26="","",COUNTIFS(NOVEDADES!$I$4:$I$1503,$B26,NOVEDADES!$AA$4:$AA$1503,"Vencida",NOVEDADES!$B$4:$B$1503,"&gt;="&amp;$E$4,NOVEDADES!$B$4:$B$1503,"&lt;="&amp;$G$4))</f>
        <v/>
      </c>
      <c r="J26" s="56">
        <f>IF($B26="","",IFERROR(ROUND(AVERAGEIFS(NOVEDADES!$Z$4:$Z$1503,NOVEDADES!$I$4:$I$1503,$B26,NOVEDADES!$B$4:$B$1503,"&gt;="&amp;$E$4,NOVEDADES!$B$4:$B$1503,"&lt;="&amp;$G$4),1),0))</f>
        <v/>
      </c>
      <c r="K26" s="27">
        <f>IF($B26="","",SUMIFS(NOVEDADES!$U$4:$U$1503,NOVEDADES!$I$4:$I$1503,$B26,NOVEDADES!$B$4:$B$1503,"&gt;="&amp;$E$4,NOVEDADES!$B$4:$B$1503,"&lt;="&amp;$G$4))</f>
        <v/>
      </c>
      <c r="L26" s="24">
        <f>IF(OR($B26="",$D26=0,NOT(ISNUMBER($E26))),"—",ROUND($E26*60+(1-N($G26))*25+IF($F26=0,15,(1-$I26/$F26)*15),0))</f>
        <v/>
      </c>
      <c r="M26" s="28">
        <f>IF(NOT(ISNUMBER($L26)),"—",IF($L26&gt;=90,"A",IF($L26&gt;=80,"B",IF($L26&gt;=70,"C","D"))))</f>
        <v/>
      </c>
    </row>
    <row r="27">
      <c r="B27" s="23">
        <f>IF(CONFIG!$R13="","",CONFIG!$R13)</f>
        <v/>
      </c>
      <c r="C27" s="9" t="n"/>
      <c r="D27" s="24">
        <f>IF($B27="","",COUNTIFS(ENVIOS!$F$4:$F$3003,$B27,ENVIOS!$C$4:$C$3003,"&gt;="&amp;$E$4,ENVIOS!$C$4:$C$3003,"&lt;="&amp;$G$4))</f>
        <v/>
      </c>
      <c r="E27" s="55">
        <f>IF($B27="","",IFERROR(COUNTIFS(ENVIOS!$F$4:$F$3003,$B27,ENVIOS!$Q$4:$Q$3003,"OTIF",ENVIOS!$C$4:$C$3003,"&gt;="&amp;$E$4,ENVIOS!$C$4:$C$3003,"&lt;="&amp;$G$4)/(COUNTIFS(ENVIOS!$F$4:$F$3003,$B27,ENVIOS!$Q$4:$Q$3003,"OTIF",ENVIOS!$C$4:$C$3003,"&gt;="&amp;$E$4,ENVIOS!$C$4:$C$3003,"&lt;="&amp;$G$4)+COUNTIFS(ENVIOS!$F$4:$F$3003,$B27,ENVIOS!$Q$4:$Q$3003,"Falló",ENVIOS!$C$4:$C$3003,"&gt;="&amp;$E$4,ENVIOS!$C$4:$C$3003,"&lt;="&amp;$G$4)),"—"))</f>
        <v/>
      </c>
      <c r="F27" s="24">
        <f>IF($B27="","",COUNTIFS(NOVEDADES!$I$4:$I$1503,$B27,NOVEDADES!$B$4:$B$1503,"&gt;="&amp;$E$4,NOVEDADES!$B$4:$B$1503,"&lt;="&amp;$G$4))</f>
        <v/>
      </c>
      <c r="G27" s="55">
        <f>IF($B27="","",IFERROR(COUNTIFS(ENVIOS!$F$4:$F$3003,$B27,ENVIOS!$O$4:$O$3003,"&gt;0",ENVIOS!$C$4:$C$3003,"&gt;="&amp;$E$4,ENVIOS!$C$4:$C$3003,"&lt;="&amp;$G$4)/$D27,"—"))</f>
        <v/>
      </c>
      <c r="H27" s="24">
        <f>IF($B27="","",COUNTIFS(NOVEDADES!$AA$4:$AA$1503,"En plazo",NOVEDADES!$B$4:$B$1503,"&gt;="&amp;$E$4,NOVEDADES!$B$4:$B$1503,"&lt;="&amp;$G$4,NOVEDADES!$I$4:$I$1503,$B27)+COUNTIFS(NOVEDADES!$AA$4:$AA$1503,"Por vencer",NOVEDADES!$B$4:$B$1503,"&gt;="&amp;$E$4,NOVEDADES!$B$4:$B$1503,"&lt;="&amp;$G$4,NOVEDADES!$I$4:$I$1503,$B27)+COUNTIFS(NOVEDADES!$AA$4:$AA$1503,"Vencida",NOVEDADES!$B$4:$B$1503,"&gt;="&amp;$E$4,NOVEDADES!$B$4:$B$1503,"&lt;="&amp;$G$4,NOVEDADES!$I$4:$I$1503,$B27)+COUNTIFS(NOVEDADES!$AA$4:$AA$1503,"Sin clasificar",NOVEDADES!$B$4:$B$1503,"&gt;="&amp;$E$4,NOVEDADES!$B$4:$B$1503,"&lt;="&amp;$G$4,NOVEDADES!$I$4:$I$1503,$B27))</f>
        <v/>
      </c>
      <c r="I27" s="24">
        <f>IF($B27="","",COUNTIFS(NOVEDADES!$I$4:$I$1503,$B27,NOVEDADES!$AA$4:$AA$1503,"Vencida",NOVEDADES!$B$4:$B$1503,"&gt;="&amp;$E$4,NOVEDADES!$B$4:$B$1503,"&lt;="&amp;$G$4))</f>
        <v/>
      </c>
      <c r="J27" s="56">
        <f>IF($B27="","",IFERROR(ROUND(AVERAGEIFS(NOVEDADES!$Z$4:$Z$1503,NOVEDADES!$I$4:$I$1503,$B27,NOVEDADES!$B$4:$B$1503,"&gt;="&amp;$E$4,NOVEDADES!$B$4:$B$1503,"&lt;="&amp;$G$4),1),0))</f>
        <v/>
      </c>
      <c r="K27" s="27">
        <f>IF($B27="","",SUMIFS(NOVEDADES!$U$4:$U$1503,NOVEDADES!$I$4:$I$1503,$B27,NOVEDADES!$B$4:$B$1503,"&gt;="&amp;$E$4,NOVEDADES!$B$4:$B$1503,"&lt;="&amp;$G$4))</f>
        <v/>
      </c>
      <c r="L27" s="24">
        <f>IF(OR($B27="",$D27=0,NOT(ISNUMBER($E27))),"—",ROUND($E27*60+(1-N($G27))*25+IF($F27=0,15,(1-$I27/$F27)*15),0))</f>
        <v/>
      </c>
      <c r="M27" s="28">
        <f>IF(NOT(ISNUMBER($L27)),"—",IF($L27&gt;=90,"A",IF($L27&gt;=80,"B",IF($L27&gt;=70,"C","D"))))</f>
        <v/>
      </c>
    </row>
    <row r="28">
      <c r="B28" s="29">
        <f>"TOTAL"</f>
        <v/>
      </c>
      <c r="C28" s="9" t="n"/>
      <c r="D28" s="30">
        <f>SUM($D$18:$D$27)</f>
        <v/>
      </c>
      <c r="E28" s="57">
        <f>IFERROR(COUNTIFS(ENVIOS!$Q$4:$Q$3003,"OTIF",ENVIOS!$C$4:$C$3003,"&gt;="&amp;$E$4,ENVIOS!$C$4:$C$3003,"&lt;="&amp;$G$4)/(COUNTIFS(ENVIOS!$Q$4:$Q$3003,"OTIF",ENVIOS!$C$4:$C$3003,"&gt;="&amp;$E$4,ENVIOS!$C$4:$C$3003,"&lt;="&amp;$G$4)+COUNTIFS(ENVIOS!$Q$4:$Q$3003,"Falló",ENVIOS!$C$4:$C$3003,"&gt;="&amp;$E$4,ENVIOS!$C$4:$C$3003,"&lt;="&amp;$G$4)),"—")</f>
        <v/>
      </c>
      <c r="F28" s="30">
        <f>SUM($F$18:$F$27)</f>
        <v/>
      </c>
      <c r="G28" s="57">
        <f>IFERROR(COUNTIFS(ENVIOS!$O$4:$O$3003,"&gt;0",ENVIOS!$C$4:$C$3003,"&gt;="&amp;$E$4,ENVIOS!$C$4:$C$3003,"&lt;="&amp;$G$4)/COUNTIFS(ENVIOS!$C$4:$C$3003,"&gt;="&amp;$E$4,ENVIOS!$C$4:$C$3003,"&lt;="&amp;$G$4),"—")</f>
        <v/>
      </c>
      <c r="H28" s="30">
        <f>SUM($H$18:$H$27)</f>
        <v/>
      </c>
      <c r="I28" s="30">
        <f>SUM($I$18:$I$27)</f>
        <v/>
      </c>
      <c r="J28" s="58">
        <f>IFERROR(ROUND(AVERAGEIFS(NOVEDADES!$Z$4:$Z$1503,NOVEDADES!$C$4:$C$1503,"En ruta",NOVEDADES!$B$4:$B$1503,"&gt;="&amp;$E$4,NOVEDADES!$B$4:$B$1503,"&lt;="&amp;$G$4),1),0)</f>
        <v/>
      </c>
      <c r="K28" s="33">
        <f>SUM($K$18:$K$27)</f>
        <v/>
      </c>
      <c r="L28" s="34" t="n"/>
      <c r="M28" s="34" t="n"/>
    </row>
    <row r="30" ht="22" customHeight="1">
      <c r="B30" s="4" t="inlineStr">
        <is>
          <t>2 · PARETO DE CAUSA RAÍZ — dónde atacar primero</t>
        </is>
      </c>
    </row>
    <row r="31">
      <c r="B31" s="7" t="inlineStr">
        <is>
          <t>Regla 80/20: las causas que aparecen hasta llegar a 80% en la columna «% acumulado» son las que explican casi todas sus novedades. Empiece por ahí. Incluye en ruta e internas.</t>
        </is>
      </c>
    </row>
    <row r="32" ht="32" customHeight="1">
      <c r="B32" s="22" t="inlineStr">
        <is>
          <t>Causa raíz</t>
        </is>
      </c>
      <c r="C32" s="9" t="n"/>
      <c r="D32" s="22" t="inlineStr">
        <is>
          <t>Casos</t>
        </is>
      </c>
      <c r="E32" s="22" t="inlineStr">
        <is>
          <t>% de las novedades</t>
        </is>
      </c>
      <c r="F32" s="22" t="inlineStr">
        <is>
          <t>% acumulado</t>
        </is>
      </c>
      <c r="G32" s="22" t="inlineStr">
        <is>
          <t>Valor afectado</t>
        </is>
      </c>
      <c r="H32" s="22" t="inlineStr">
        <is>
          <t>Familia (6M)</t>
        </is>
      </c>
      <c r="I32" s="22" t="inlineStr">
        <is>
          <t>Área responsable</t>
        </is>
      </c>
      <c r="J32" s="22" t="n"/>
      <c r="K32" s="22" t="n"/>
      <c r="L32" s="22" t="n"/>
      <c r="M32" s="22" t="n"/>
    </row>
    <row r="33">
      <c r="B33" s="23">
        <f>IFERROR(INDEX(CONFIG!$G$4:$G$33,MATCH(LARGE(CONFIG!$V$4:$V$33,1),CONFIG!$V$4:$V$33,0)),"")</f>
        <v/>
      </c>
      <c r="C33" s="9" t="n"/>
      <c r="D33" s="24">
        <f>IF($B33="","",ROUNDDOWN(LARGE(CONFIG!$V$4:$V$33,1),0))</f>
        <v/>
      </c>
      <c r="E33" s="55">
        <f>IF($B33="","",IFERROR($D33/$D$45,0))</f>
        <v/>
      </c>
      <c r="F33" s="55">
        <f>IF($B33="","",IFERROR(SUM($D$33:$D33)/$D$45,0))</f>
        <v/>
      </c>
      <c r="G33" s="27">
        <f>IF($B33="","",SUMIFS(NOVEDADES!$U$4:$U$1503,NOVEDADES!$Q$4:$Q$1503,$B33,NOVEDADES!$B$4:$B$1503,"&gt;="&amp;$E$4,NOVEDADES!$B$4:$B$1503,"&lt;="&amp;$G$4))</f>
        <v/>
      </c>
      <c r="H33" s="28">
        <f>IF($B33="","",IFERROR(INDEX(CONFIG!$H$4:$H$63,MATCH($B33,CONFIG!$G$4:$G$63,0)),""))</f>
        <v/>
      </c>
      <c r="I33" s="28">
        <f>IF($B33="","",IFERROR(INDEX(CONFIG!$I$4:$I$63,MATCH($B33,CONFIG!$G$4:$G$63,0)),""))</f>
        <v/>
      </c>
      <c r="J33" s="28" t="n"/>
      <c r="K33" s="28" t="n"/>
      <c r="L33" s="28" t="n"/>
      <c r="M33" s="28" t="n"/>
    </row>
    <row r="34">
      <c r="B34" s="23">
        <f>IFERROR(INDEX(CONFIG!$G$4:$G$33,MATCH(LARGE(CONFIG!$V$4:$V$33,2),CONFIG!$V$4:$V$33,0)),"")</f>
        <v/>
      </c>
      <c r="C34" s="9" t="n"/>
      <c r="D34" s="24">
        <f>IF($B34="","",ROUNDDOWN(LARGE(CONFIG!$V$4:$V$33,2),0))</f>
        <v/>
      </c>
      <c r="E34" s="55">
        <f>IF($B34="","",IFERROR($D34/$D$45,0))</f>
        <v/>
      </c>
      <c r="F34" s="55">
        <f>IF($B34="","",IFERROR(SUM($D$33:$D34)/$D$45,0))</f>
        <v/>
      </c>
      <c r="G34" s="27">
        <f>IF($B34="","",SUMIFS(NOVEDADES!$U$4:$U$1503,NOVEDADES!$Q$4:$Q$1503,$B34,NOVEDADES!$B$4:$B$1503,"&gt;="&amp;$E$4,NOVEDADES!$B$4:$B$1503,"&lt;="&amp;$G$4))</f>
        <v/>
      </c>
      <c r="H34" s="28">
        <f>IF($B34="","",IFERROR(INDEX(CONFIG!$H$4:$H$63,MATCH($B34,CONFIG!$G$4:$G$63,0)),""))</f>
        <v/>
      </c>
      <c r="I34" s="28">
        <f>IF($B34="","",IFERROR(INDEX(CONFIG!$I$4:$I$63,MATCH($B34,CONFIG!$G$4:$G$63,0)),""))</f>
        <v/>
      </c>
      <c r="J34" s="28" t="n"/>
      <c r="K34" s="28" t="n"/>
      <c r="L34" s="28" t="n"/>
      <c r="M34" s="28" t="n"/>
    </row>
    <row r="35">
      <c r="B35" s="23">
        <f>IFERROR(INDEX(CONFIG!$G$4:$G$33,MATCH(LARGE(CONFIG!$V$4:$V$33,3),CONFIG!$V$4:$V$33,0)),"")</f>
        <v/>
      </c>
      <c r="C35" s="9" t="n"/>
      <c r="D35" s="24">
        <f>IF($B35="","",ROUNDDOWN(LARGE(CONFIG!$V$4:$V$33,3),0))</f>
        <v/>
      </c>
      <c r="E35" s="55">
        <f>IF($B35="","",IFERROR($D35/$D$45,0))</f>
        <v/>
      </c>
      <c r="F35" s="55">
        <f>IF($B35="","",IFERROR(SUM($D$33:$D35)/$D$45,0))</f>
        <v/>
      </c>
      <c r="G35" s="27">
        <f>IF($B35="","",SUMIFS(NOVEDADES!$U$4:$U$1503,NOVEDADES!$Q$4:$Q$1503,$B35,NOVEDADES!$B$4:$B$1503,"&gt;="&amp;$E$4,NOVEDADES!$B$4:$B$1503,"&lt;="&amp;$G$4))</f>
        <v/>
      </c>
      <c r="H35" s="28">
        <f>IF($B35="","",IFERROR(INDEX(CONFIG!$H$4:$H$63,MATCH($B35,CONFIG!$G$4:$G$63,0)),""))</f>
        <v/>
      </c>
      <c r="I35" s="28">
        <f>IF($B35="","",IFERROR(INDEX(CONFIG!$I$4:$I$63,MATCH($B35,CONFIG!$G$4:$G$63,0)),""))</f>
        <v/>
      </c>
      <c r="J35" s="28" t="n"/>
      <c r="K35" s="28" t="n"/>
      <c r="L35" s="28" t="n"/>
      <c r="M35" s="28" t="n"/>
    </row>
    <row r="36">
      <c r="B36" s="23">
        <f>IFERROR(INDEX(CONFIG!$G$4:$G$33,MATCH(LARGE(CONFIG!$V$4:$V$33,4),CONFIG!$V$4:$V$33,0)),"")</f>
        <v/>
      </c>
      <c r="C36" s="9" t="n"/>
      <c r="D36" s="24">
        <f>IF($B36="","",ROUNDDOWN(LARGE(CONFIG!$V$4:$V$33,4),0))</f>
        <v/>
      </c>
      <c r="E36" s="55">
        <f>IF($B36="","",IFERROR($D36/$D$45,0))</f>
        <v/>
      </c>
      <c r="F36" s="55">
        <f>IF($B36="","",IFERROR(SUM($D$33:$D36)/$D$45,0))</f>
        <v/>
      </c>
      <c r="G36" s="27">
        <f>IF($B36="","",SUMIFS(NOVEDADES!$U$4:$U$1503,NOVEDADES!$Q$4:$Q$1503,$B36,NOVEDADES!$B$4:$B$1503,"&gt;="&amp;$E$4,NOVEDADES!$B$4:$B$1503,"&lt;="&amp;$G$4))</f>
        <v/>
      </c>
      <c r="H36" s="28">
        <f>IF($B36="","",IFERROR(INDEX(CONFIG!$H$4:$H$63,MATCH($B36,CONFIG!$G$4:$G$63,0)),""))</f>
        <v/>
      </c>
      <c r="I36" s="28">
        <f>IF($B36="","",IFERROR(INDEX(CONFIG!$I$4:$I$63,MATCH($B36,CONFIG!$G$4:$G$63,0)),""))</f>
        <v/>
      </c>
      <c r="J36" s="28" t="n"/>
      <c r="K36" s="28" t="n"/>
      <c r="L36" s="28" t="n"/>
      <c r="M36" s="28" t="n"/>
    </row>
    <row r="37">
      <c r="B37" s="23">
        <f>IFERROR(INDEX(CONFIG!$G$4:$G$33,MATCH(LARGE(CONFIG!$V$4:$V$33,5),CONFIG!$V$4:$V$33,0)),"")</f>
        <v/>
      </c>
      <c r="C37" s="9" t="n"/>
      <c r="D37" s="24">
        <f>IF($B37="","",ROUNDDOWN(LARGE(CONFIG!$V$4:$V$33,5),0))</f>
        <v/>
      </c>
      <c r="E37" s="55">
        <f>IF($B37="","",IFERROR($D37/$D$45,0))</f>
        <v/>
      </c>
      <c r="F37" s="55">
        <f>IF($B37="","",IFERROR(SUM($D$33:$D37)/$D$45,0))</f>
        <v/>
      </c>
      <c r="G37" s="27">
        <f>IF($B37="","",SUMIFS(NOVEDADES!$U$4:$U$1503,NOVEDADES!$Q$4:$Q$1503,$B37,NOVEDADES!$B$4:$B$1503,"&gt;="&amp;$E$4,NOVEDADES!$B$4:$B$1503,"&lt;="&amp;$G$4))</f>
        <v/>
      </c>
      <c r="H37" s="28">
        <f>IF($B37="","",IFERROR(INDEX(CONFIG!$H$4:$H$63,MATCH($B37,CONFIG!$G$4:$G$63,0)),""))</f>
        <v/>
      </c>
      <c r="I37" s="28">
        <f>IF($B37="","",IFERROR(INDEX(CONFIG!$I$4:$I$63,MATCH($B37,CONFIG!$G$4:$G$63,0)),""))</f>
        <v/>
      </c>
      <c r="J37" s="28" t="n"/>
      <c r="K37" s="28" t="n"/>
      <c r="L37" s="28" t="n"/>
      <c r="M37" s="28" t="n"/>
    </row>
    <row r="38">
      <c r="B38" s="23">
        <f>IFERROR(INDEX(CONFIG!$G$4:$G$33,MATCH(LARGE(CONFIG!$V$4:$V$33,6),CONFIG!$V$4:$V$33,0)),"")</f>
        <v/>
      </c>
      <c r="C38" s="9" t="n"/>
      <c r="D38" s="24">
        <f>IF($B38="","",ROUNDDOWN(LARGE(CONFIG!$V$4:$V$33,6),0))</f>
        <v/>
      </c>
      <c r="E38" s="55">
        <f>IF($B38="","",IFERROR($D38/$D$45,0))</f>
        <v/>
      </c>
      <c r="F38" s="55">
        <f>IF($B38="","",IFERROR(SUM($D$33:$D38)/$D$45,0))</f>
        <v/>
      </c>
      <c r="G38" s="27">
        <f>IF($B38="","",SUMIFS(NOVEDADES!$U$4:$U$1503,NOVEDADES!$Q$4:$Q$1503,$B38,NOVEDADES!$B$4:$B$1503,"&gt;="&amp;$E$4,NOVEDADES!$B$4:$B$1503,"&lt;="&amp;$G$4))</f>
        <v/>
      </c>
      <c r="H38" s="28">
        <f>IF($B38="","",IFERROR(INDEX(CONFIG!$H$4:$H$63,MATCH($B38,CONFIG!$G$4:$G$63,0)),""))</f>
        <v/>
      </c>
      <c r="I38" s="28">
        <f>IF($B38="","",IFERROR(INDEX(CONFIG!$I$4:$I$63,MATCH($B38,CONFIG!$G$4:$G$63,0)),""))</f>
        <v/>
      </c>
      <c r="J38" s="28" t="n"/>
      <c r="K38" s="28" t="n"/>
      <c r="L38" s="28" t="n"/>
      <c r="M38" s="28" t="n"/>
    </row>
    <row r="39">
      <c r="B39" s="23">
        <f>IFERROR(INDEX(CONFIG!$G$4:$G$33,MATCH(LARGE(CONFIG!$V$4:$V$33,7),CONFIG!$V$4:$V$33,0)),"")</f>
        <v/>
      </c>
      <c r="C39" s="9" t="n"/>
      <c r="D39" s="24">
        <f>IF($B39="","",ROUNDDOWN(LARGE(CONFIG!$V$4:$V$33,7),0))</f>
        <v/>
      </c>
      <c r="E39" s="55">
        <f>IF($B39="","",IFERROR($D39/$D$45,0))</f>
        <v/>
      </c>
      <c r="F39" s="55">
        <f>IF($B39="","",IFERROR(SUM($D$33:$D39)/$D$45,0))</f>
        <v/>
      </c>
      <c r="G39" s="27">
        <f>IF($B39="","",SUMIFS(NOVEDADES!$U$4:$U$1503,NOVEDADES!$Q$4:$Q$1503,$B39,NOVEDADES!$B$4:$B$1503,"&gt;="&amp;$E$4,NOVEDADES!$B$4:$B$1503,"&lt;="&amp;$G$4))</f>
        <v/>
      </c>
      <c r="H39" s="28">
        <f>IF($B39="","",IFERROR(INDEX(CONFIG!$H$4:$H$63,MATCH($B39,CONFIG!$G$4:$G$63,0)),""))</f>
        <v/>
      </c>
      <c r="I39" s="28">
        <f>IF($B39="","",IFERROR(INDEX(CONFIG!$I$4:$I$63,MATCH($B39,CONFIG!$G$4:$G$63,0)),""))</f>
        <v/>
      </c>
      <c r="J39" s="28" t="n"/>
      <c r="K39" s="28" t="n"/>
      <c r="L39" s="28" t="n"/>
      <c r="M39" s="28" t="n"/>
    </row>
    <row r="40">
      <c r="B40" s="23">
        <f>IFERROR(INDEX(CONFIG!$G$4:$G$33,MATCH(LARGE(CONFIG!$V$4:$V$33,8),CONFIG!$V$4:$V$33,0)),"")</f>
        <v/>
      </c>
      <c r="C40" s="9" t="n"/>
      <c r="D40" s="24">
        <f>IF($B40="","",ROUNDDOWN(LARGE(CONFIG!$V$4:$V$33,8),0))</f>
        <v/>
      </c>
      <c r="E40" s="55">
        <f>IF($B40="","",IFERROR($D40/$D$45,0))</f>
        <v/>
      </c>
      <c r="F40" s="55">
        <f>IF($B40="","",IFERROR(SUM($D$33:$D40)/$D$45,0))</f>
        <v/>
      </c>
      <c r="G40" s="27">
        <f>IF($B40="","",SUMIFS(NOVEDADES!$U$4:$U$1503,NOVEDADES!$Q$4:$Q$1503,$B40,NOVEDADES!$B$4:$B$1503,"&gt;="&amp;$E$4,NOVEDADES!$B$4:$B$1503,"&lt;="&amp;$G$4))</f>
        <v/>
      </c>
      <c r="H40" s="28">
        <f>IF($B40="","",IFERROR(INDEX(CONFIG!$H$4:$H$63,MATCH($B40,CONFIG!$G$4:$G$63,0)),""))</f>
        <v/>
      </c>
      <c r="I40" s="28">
        <f>IF($B40="","",IFERROR(INDEX(CONFIG!$I$4:$I$63,MATCH($B40,CONFIG!$G$4:$G$63,0)),""))</f>
        <v/>
      </c>
      <c r="J40" s="28" t="n"/>
      <c r="K40" s="28" t="n"/>
      <c r="L40" s="28" t="n"/>
      <c r="M40" s="28" t="n"/>
    </row>
    <row r="41">
      <c r="B41" s="23">
        <f>IFERROR(INDEX(CONFIG!$G$4:$G$33,MATCH(LARGE(CONFIG!$V$4:$V$33,9),CONFIG!$V$4:$V$33,0)),"")</f>
        <v/>
      </c>
      <c r="C41" s="9" t="n"/>
      <c r="D41" s="24">
        <f>IF($B41="","",ROUNDDOWN(LARGE(CONFIG!$V$4:$V$33,9),0))</f>
        <v/>
      </c>
      <c r="E41" s="55">
        <f>IF($B41="","",IFERROR($D41/$D$45,0))</f>
        <v/>
      </c>
      <c r="F41" s="55">
        <f>IF($B41="","",IFERROR(SUM($D$33:$D41)/$D$45,0))</f>
        <v/>
      </c>
      <c r="G41" s="27">
        <f>IF($B41="","",SUMIFS(NOVEDADES!$U$4:$U$1503,NOVEDADES!$Q$4:$Q$1503,$B41,NOVEDADES!$B$4:$B$1503,"&gt;="&amp;$E$4,NOVEDADES!$B$4:$B$1503,"&lt;="&amp;$G$4))</f>
        <v/>
      </c>
      <c r="H41" s="28">
        <f>IF($B41="","",IFERROR(INDEX(CONFIG!$H$4:$H$63,MATCH($B41,CONFIG!$G$4:$G$63,0)),""))</f>
        <v/>
      </c>
      <c r="I41" s="28">
        <f>IF($B41="","",IFERROR(INDEX(CONFIG!$I$4:$I$63,MATCH($B41,CONFIG!$G$4:$G$63,0)),""))</f>
        <v/>
      </c>
      <c r="J41" s="28" t="n"/>
      <c r="K41" s="28" t="n"/>
      <c r="L41" s="28" t="n"/>
      <c r="M41" s="28" t="n"/>
    </row>
    <row r="42">
      <c r="B42" s="23">
        <f>IFERROR(INDEX(CONFIG!$G$4:$G$33,MATCH(LARGE(CONFIG!$V$4:$V$33,10),CONFIG!$V$4:$V$33,0)),"")</f>
        <v/>
      </c>
      <c r="C42" s="9" t="n"/>
      <c r="D42" s="24">
        <f>IF($B42="","",ROUNDDOWN(LARGE(CONFIG!$V$4:$V$33,10),0))</f>
        <v/>
      </c>
      <c r="E42" s="55">
        <f>IF($B42="","",IFERROR($D42/$D$45,0))</f>
        <v/>
      </c>
      <c r="F42" s="55">
        <f>IF($B42="","",IFERROR(SUM($D$33:$D42)/$D$45,0))</f>
        <v/>
      </c>
      <c r="G42" s="27">
        <f>IF($B42="","",SUMIFS(NOVEDADES!$U$4:$U$1503,NOVEDADES!$Q$4:$Q$1503,$B42,NOVEDADES!$B$4:$B$1503,"&gt;="&amp;$E$4,NOVEDADES!$B$4:$B$1503,"&lt;="&amp;$G$4))</f>
        <v/>
      </c>
      <c r="H42" s="28">
        <f>IF($B42="","",IFERROR(INDEX(CONFIG!$H$4:$H$63,MATCH($B42,CONFIG!$G$4:$G$63,0)),""))</f>
        <v/>
      </c>
      <c r="I42" s="28">
        <f>IF($B42="","",IFERROR(INDEX(CONFIG!$I$4:$I$63,MATCH($B42,CONFIG!$G$4:$G$63,0)),""))</f>
        <v/>
      </c>
      <c r="J42" s="28" t="n"/>
      <c r="K42" s="28" t="n"/>
      <c r="L42" s="28" t="n"/>
      <c r="M42" s="28" t="n"/>
    </row>
    <row r="43">
      <c r="B43" s="23">
        <f>IFERROR(INDEX(CONFIG!$G$4:$G$33,MATCH(LARGE(CONFIG!$V$4:$V$33,11),CONFIG!$V$4:$V$33,0)),"")</f>
        <v/>
      </c>
      <c r="C43" s="9" t="n"/>
      <c r="D43" s="24">
        <f>IF($B43="","",ROUNDDOWN(LARGE(CONFIG!$V$4:$V$33,11),0))</f>
        <v/>
      </c>
      <c r="E43" s="55">
        <f>IF($B43="","",IFERROR($D43/$D$45,0))</f>
        <v/>
      </c>
      <c r="F43" s="55">
        <f>IF($B43="","",IFERROR(SUM($D$33:$D43)/$D$45,0))</f>
        <v/>
      </c>
      <c r="G43" s="27">
        <f>IF($B43="","",SUMIFS(NOVEDADES!$U$4:$U$1503,NOVEDADES!$Q$4:$Q$1503,$B43,NOVEDADES!$B$4:$B$1503,"&gt;="&amp;$E$4,NOVEDADES!$B$4:$B$1503,"&lt;="&amp;$G$4))</f>
        <v/>
      </c>
      <c r="H43" s="28">
        <f>IF($B43="","",IFERROR(INDEX(CONFIG!$H$4:$H$63,MATCH($B43,CONFIG!$G$4:$G$63,0)),""))</f>
        <v/>
      </c>
      <c r="I43" s="28">
        <f>IF($B43="","",IFERROR(INDEX(CONFIG!$I$4:$I$63,MATCH($B43,CONFIG!$G$4:$G$63,0)),""))</f>
        <v/>
      </c>
      <c r="J43" s="28" t="n"/>
      <c r="K43" s="28" t="n"/>
      <c r="L43" s="28" t="n"/>
      <c r="M43" s="28" t="n"/>
    </row>
    <row r="44">
      <c r="B44" s="23">
        <f>IFERROR(INDEX(CONFIG!$G$4:$G$33,MATCH(LARGE(CONFIG!$V$4:$V$33,12),CONFIG!$V$4:$V$33,0)),"")</f>
        <v/>
      </c>
      <c r="C44" s="9" t="n"/>
      <c r="D44" s="24">
        <f>IF($B44="","",ROUNDDOWN(LARGE(CONFIG!$V$4:$V$33,12),0))</f>
        <v/>
      </c>
      <c r="E44" s="55">
        <f>IF($B44="","",IFERROR($D44/$D$45,0))</f>
        <v/>
      </c>
      <c r="F44" s="55">
        <f>IF($B44="","",IFERROR(SUM($D$33:$D44)/$D$45,0))</f>
        <v/>
      </c>
      <c r="G44" s="27">
        <f>IF($B44="","",SUMIFS(NOVEDADES!$U$4:$U$1503,NOVEDADES!$Q$4:$Q$1503,$B44,NOVEDADES!$B$4:$B$1503,"&gt;="&amp;$E$4,NOVEDADES!$B$4:$B$1503,"&lt;="&amp;$G$4))</f>
        <v/>
      </c>
      <c r="H44" s="28">
        <f>IF($B44="","",IFERROR(INDEX(CONFIG!$H$4:$H$63,MATCH($B44,CONFIG!$G$4:$G$63,0)),""))</f>
        <v/>
      </c>
      <c r="I44" s="28">
        <f>IF($B44="","",IFERROR(INDEX(CONFIG!$I$4:$I$63,MATCH($B44,CONFIG!$G$4:$G$63,0)),""))</f>
        <v/>
      </c>
      <c r="J44" s="28" t="n"/>
      <c r="K44" s="28" t="n"/>
      <c r="L44" s="28" t="n"/>
      <c r="M44" s="28" t="n"/>
    </row>
    <row r="45">
      <c r="B45" s="29">
        <f>"TOTAL de novedades del periodo"</f>
        <v/>
      </c>
      <c r="C45" s="9" t="n"/>
      <c r="D45" s="30">
        <f>COUNTIFS(NOVEDADES!$B$4:$B$1503,"&gt;="&amp;$E$4,NOVEDADES!$B$4:$B$1503,"&lt;="&amp;$G$4)</f>
        <v/>
      </c>
      <c r="E45" s="57">
        <f>IF($D$45=0,0,1)</f>
        <v/>
      </c>
      <c r="F45" s="34" t="inlineStr"/>
      <c r="G45" s="33">
        <f>SUMIFS(NOVEDADES!$U$4:$U$1503,NOVEDADES!$B$4:$B$1503,"&gt;="&amp;$E$4,NOVEDADES!$B$4:$B$1503,"&lt;="&amp;$G$4)</f>
        <v/>
      </c>
      <c r="H45" s="34" t="n"/>
      <c r="I45" s="34" t="n"/>
      <c r="J45" s="34" t="n"/>
      <c r="K45" s="34" t="n"/>
      <c r="L45" s="34" t="n"/>
      <c r="M45" s="34" t="n"/>
    </row>
    <row r="47" ht="22" customHeight="1">
      <c r="B47" s="4" t="inlineStr">
        <is>
          <t>3 · NOVEDADES POR TIPO — qué está pasando</t>
        </is>
      </c>
    </row>
    <row r="48" ht="32" customHeight="1">
      <c r="B48" s="22" t="inlineStr">
        <is>
          <t>Tipo de novedad</t>
        </is>
      </c>
      <c r="C48" s="9" t="n"/>
      <c r="D48" s="22" t="inlineStr">
        <is>
          <t>Casos</t>
        </is>
      </c>
      <c r="E48" s="22" t="inlineStr">
        <is>
          <t>% del total</t>
        </is>
      </c>
      <c r="F48" s="22" t="inlineStr">
        <is>
          <t>Valor afectado</t>
        </is>
      </c>
      <c r="G48" s="22" t="inlineStr">
        <is>
          <t>Ámbito</t>
        </is>
      </c>
      <c r="H48" s="22" t="inlineStr">
        <is>
          <t>Gravedad</t>
        </is>
      </c>
      <c r="I48" s="22" t="inlineStr">
        <is>
          <t>Abiertas</t>
        </is>
      </c>
      <c r="J48" s="22" t="inlineStr">
        <is>
          <t>Vencidas</t>
        </is>
      </c>
      <c r="K48" s="22" t="inlineStr">
        <is>
          <t>Días prom.</t>
        </is>
      </c>
      <c r="L48" s="22" t="n"/>
      <c r="M48" s="22" t="n"/>
    </row>
    <row r="49">
      <c r="B49" s="23">
        <f>IF(CONFIG!$A4="","",CONFIG!$A4)</f>
        <v/>
      </c>
      <c r="C49" s="9" t="n"/>
      <c r="D49" s="24">
        <f>IF($B49="","",COUNTIFS(NOVEDADES!$M$4:$M$1503,$B49,NOVEDADES!$B$4:$B$1503,"&gt;="&amp;$E$4,NOVEDADES!$B$4:$B$1503,"&lt;="&amp;$G$4))</f>
        <v/>
      </c>
      <c r="E49" s="55">
        <f>IF($B49="","",IFERROR($D49/$D$81,0))</f>
        <v/>
      </c>
      <c r="F49" s="27">
        <f>IF($B49="","",SUMIFS(NOVEDADES!$U$4:$U$1503,NOVEDADES!$M$4:$M$1503,$B49,NOVEDADES!$B$4:$B$1503,"&gt;="&amp;$E$4,NOVEDADES!$B$4:$B$1503,"&lt;="&amp;$G$4))</f>
        <v/>
      </c>
      <c r="G49" s="28">
        <f>IF($B49="","",IFERROR(INDEX(CONFIG!$B$4:$B$63,MATCH($B49,CONFIG!$A$4:$A$63,0)),""))</f>
        <v/>
      </c>
      <c r="H49" s="28">
        <f>IF($B49="","",IFERROR(INDEX(CONFIG!$C$4:$C$63,MATCH($B49,CONFIG!$A$4:$A$63,0)),""))</f>
        <v/>
      </c>
      <c r="I49" s="24">
        <f>IF($B49="","",COUNTIFS(NOVEDADES!$AA$4:$AA$1503,"En plazo",NOVEDADES!$B$4:$B$1503,"&gt;="&amp;$E$4,NOVEDADES!$B$4:$B$1503,"&lt;="&amp;$G$4,NOVEDADES!$M$4:$M$1503,$B49)+COUNTIFS(NOVEDADES!$AA$4:$AA$1503,"Por vencer",NOVEDADES!$B$4:$B$1503,"&gt;="&amp;$E$4,NOVEDADES!$B$4:$B$1503,"&lt;="&amp;$G$4,NOVEDADES!$M$4:$M$1503,$B49)+COUNTIFS(NOVEDADES!$AA$4:$AA$1503,"Vencida",NOVEDADES!$B$4:$B$1503,"&gt;="&amp;$E$4,NOVEDADES!$B$4:$B$1503,"&lt;="&amp;$G$4,NOVEDADES!$M$4:$M$1503,$B49)+COUNTIFS(NOVEDADES!$AA$4:$AA$1503,"Sin clasificar",NOVEDADES!$B$4:$B$1503,"&gt;="&amp;$E$4,NOVEDADES!$B$4:$B$1503,"&lt;="&amp;$G$4,NOVEDADES!$M$4:$M$1503,$B49))</f>
        <v/>
      </c>
      <c r="J49" s="24">
        <f>IF($B49="","",COUNTIFS(NOVEDADES!$M$4:$M$1503,$B49,NOVEDADES!$AA$4:$AA$1503,"Vencida",NOVEDADES!$B$4:$B$1503,"&gt;="&amp;$E$4,NOVEDADES!$B$4:$B$1503,"&lt;="&amp;$G$4))</f>
        <v/>
      </c>
      <c r="K49" s="56">
        <f>IF($B49="","",IFERROR(ROUND(AVERAGEIFS(NOVEDADES!$Z$4:$Z$1503,NOVEDADES!$M$4:$M$1503,$B49,NOVEDADES!$B$4:$B$1503,"&gt;="&amp;$E$4,NOVEDADES!$B$4:$B$1503,"&lt;="&amp;$G$4),1),0))</f>
        <v/>
      </c>
      <c r="L49" s="28" t="n"/>
      <c r="M49" s="28" t="n"/>
    </row>
    <row r="50">
      <c r="B50" s="23">
        <f>IF(CONFIG!$A5="","",CONFIG!$A5)</f>
        <v/>
      </c>
      <c r="C50" s="9" t="n"/>
      <c r="D50" s="24">
        <f>IF($B50="","",COUNTIFS(NOVEDADES!$M$4:$M$1503,$B50,NOVEDADES!$B$4:$B$1503,"&gt;="&amp;$E$4,NOVEDADES!$B$4:$B$1503,"&lt;="&amp;$G$4))</f>
        <v/>
      </c>
      <c r="E50" s="55">
        <f>IF($B50="","",IFERROR($D50/$D$81,0))</f>
        <v/>
      </c>
      <c r="F50" s="27">
        <f>IF($B50="","",SUMIFS(NOVEDADES!$U$4:$U$1503,NOVEDADES!$M$4:$M$1503,$B50,NOVEDADES!$B$4:$B$1503,"&gt;="&amp;$E$4,NOVEDADES!$B$4:$B$1503,"&lt;="&amp;$G$4))</f>
        <v/>
      </c>
      <c r="G50" s="28">
        <f>IF($B50="","",IFERROR(INDEX(CONFIG!$B$4:$B$63,MATCH($B50,CONFIG!$A$4:$A$63,0)),""))</f>
        <v/>
      </c>
      <c r="H50" s="28">
        <f>IF($B50="","",IFERROR(INDEX(CONFIG!$C$4:$C$63,MATCH($B50,CONFIG!$A$4:$A$63,0)),""))</f>
        <v/>
      </c>
      <c r="I50" s="24">
        <f>IF($B50="","",COUNTIFS(NOVEDADES!$AA$4:$AA$1503,"En plazo",NOVEDADES!$B$4:$B$1503,"&gt;="&amp;$E$4,NOVEDADES!$B$4:$B$1503,"&lt;="&amp;$G$4,NOVEDADES!$M$4:$M$1503,$B50)+COUNTIFS(NOVEDADES!$AA$4:$AA$1503,"Por vencer",NOVEDADES!$B$4:$B$1503,"&gt;="&amp;$E$4,NOVEDADES!$B$4:$B$1503,"&lt;="&amp;$G$4,NOVEDADES!$M$4:$M$1503,$B50)+COUNTIFS(NOVEDADES!$AA$4:$AA$1503,"Vencida",NOVEDADES!$B$4:$B$1503,"&gt;="&amp;$E$4,NOVEDADES!$B$4:$B$1503,"&lt;="&amp;$G$4,NOVEDADES!$M$4:$M$1503,$B50)+COUNTIFS(NOVEDADES!$AA$4:$AA$1503,"Sin clasificar",NOVEDADES!$B$4:$B$1503,"&gt;="&amp;$E$4,NOVEDADES!$B$4:$B$1503,"&lt;="&amp;$G$4,NOVEDADES!$M$4:$M$1503,$B50))</f>
        <v/>
      </c>
      <c r="J50" s="24">
        <f>IF($B50="","",COUNTIFS(NOVEDADES!$M$4:$M$1503,$B50,NOVEDADES!$AA$4:$AA$1503,"Vencida",NOVEDADES!$B$4:$B$1503,"&gt;="&amp;$E$4,NOVEDADES!$B$4:$B$1503,"&lt;="&amp;$G$4))</f>
        <v/>
      </c>
      <c r="K50" s="56">
        <f>IF($B50="","",IFERROR(ROUND(AVERAGEIFS(NOVEDADES!$Z$4:$Z$1503,NOVEDADES!$M$4:$M$1503,$B50,NOVEDADES!$B$4:$B$1503,"&gt;="&amp;$E$4,NOVEDADES!$B$4:$B$1503,"&lt;="&amp;$G$4),1),0))</f>
        <v/>
      </c>
      <c r="L50" s="28" t="n"/>
      <c r="M50" s="28" t="n"/>
    </row>
    <row r="51">
      <c r="B51" s="23">
        <f>IF(CONFIG!$A6="","",CONFIG!$A6)</f>
        <v/>
      </c>
      <c r="C51" s="9" t="n"/>
      <c r="D51" s="24">
        <f>IF($B51="","",COUNTIFS(NOVEDADES!$M$4:$M$1503,$B51,NOVEDADES!$B$4:$B$1503,"&gt;="&amp;$E$4,NOVEDADES!$B$4:$B$1503,"&lt;="&amp;$G$4))</f>
        <v/>
      </c>
      <c r="E51" s="55">
        <f>IF($B51="","",IFERROR($D51/$D$81,0))</f>
        <v/>
      </c>
      <c r="F51" s="27">
        <f>IF($B51="","",SUMIFS(NOVEDADES!$U$4:$U$1503,NOVEDADES!$M$4:$M$1503,$B51,NOVEDADES!$B$4:$B$1503,"&gt;="&amp;$E$4,NOVEDADES!$B$4:$B$1503,"&lt;="&amp;$G$4))</f>
        <v/>
      </c>
      <c r="G51" s="28">
        <f>IF($B51="","",IFERROR(INDEX(CONFIG!$B$4:$B$63,MATCH($B51,CONFIG!$A$4:$A$63,0)),""))</f>
        <v/>
      </c>
      <c r="H51" s="28">
        <f>IF($B51="","",IFERROR(INDEX(CONFIG!$C$4:$C$63,MATCH($B51,CONFIG!$A$4:$A$63,0)),""))</f>
        <v/>
      </c>
      <c r="I51" s="24">
        <f>IF($B51="","",COUNTIFS(NOVEDADES!$AA$4:$AA$1503,"En plazo",NOVEDADES!$B$4:$B$1503,"&gt;="&amp;$E$4,NOVEDADES!$B$4:$B$1503,"&lt;="&amp;$G$4,NOVEDADES!$M$4:$M$1503,$B51)+COUNTIFS(NOVEDADES!$AA$4:$AA$1503,"Por vencer",NOVEDADES!$B$4:$B$1503,"&gt;="&amp;$E$4,NOVEDADES!$B$4:$B$1503,"&lt;="&amp;$G$4,NOVEDADES!$M$4:$M$1503,$B51)+COUNTIFS(NOVEDADES!$AA$4:$AA$1503,"Vencida",NOVEDADES!$B$4:$B$1503,"&gt;="&amp;$E$4,NOVEDADES!$B$4:$B$1503,"&lt;="&amp;$G$4,NOVEDADES!$M$4:$M$1503,$B51)+COUNTIFS(NOVEDADES!$AA$4:$AA$1503,"Sin clasificar",NOVEDADES!$B$4:$B$1503,"&gt;="&amp;$E$4,NOVEDADES!$B$4:$B$1503,"&lt;="&amp;$G$4,NOVEDADES!$M$4:$M$1503,$B51))</f>
        <v/>
      </c>
      <c r="J51" s="24">
        <f>IF($B51="","",COUNTIFS(NOVEDADES!$M$4:$M$1503,$B51,NOVEDADES!$AA$4:$AA$1503,"Vencida",NOVEDADES!$B$4:$B$1503,"&gt;="&amp;$E$4,NOVEDADES!$B$4:$B$1503,"&lt;="&amp;$G$4))</f>
        <v/>
      </c>
      <c r="K51" s="56">
        <f>IF($B51="","",IFERROR(ROUND(AVERAGEIFS(NOVEDADES!$Z$4:$Z$1503,NOVEDADES!$M$4:$M$1503,$B51,NOVEDADES!$B$4:$B$1503,"&gt;="&amp;$E$4,NOVEDADES!$B$4:$B$1503,"&lt;="&amp;$G$4),1),0))</f>
        <v/>
      </c>
      <c r="L51" s="28" t="n"/>
      <c r="M51" s="28" t="n"/>
    </row>
    <row r="52">
      <c r="B52" s="23">
        <f>IF(CONFIG!$A7="","",CONFIG!$A7)</f>
        <v/>
      </c>
      <c r="C52" s="9" t="n"/>
      <c r="D52" s="24">
        <f>IF($B52="","",COUNTIFS(NOVEDADES!$M$4:$M$1503,$B52,NOVEDADES!$B$4:$B$1503,"&gt;="&amp;$E$4,NOVEDADES!$B$4:$B$1503,"&lt;="&amp;$G$4))</f>
        <v/>
      </c>
      <c r="E52" s="55">
        <f>IF($B52="","",IFERROR($D52/$D$81,0))</f>
        <v/>
      </c>
      <c r="F52" s="27">
        <f>IF($B52="","",SUMIFS(NOVEDADES!$U$4:$U$1503,NOVEDADES!$M$4:$M$1503,$B52,NOVEDADES!$B$4:$B$1503,"&gt;="&amp;$E$4,NOVEDADES!$B$4:$B$1503,"&lt;="&amp;$G$4))</f>
        <v/>
      </c>
      <c r="G52" s="28">
        <f>IF($B52="","",IFERROR(INDEX(CONFIG!$B$4:$B$63,MATCH($B52,CONFIG!$A$4:$A$63,0)),""))</f>
        <v/>
      </c>
      <c r="H52" s="28">
        <f>IF($B52="","",IFERROR(INDEX(CONFIG!$C$4:$C$63,MATCH($B52,CONFIG!$A$4:$A$63,0)),""))</f>
        <v/>
      </c>
      <c r="I52" s="24">
        <f>IF($B52="","",COUNTIFS(NOVEDADES!$AA$4:$AA$1503,"En plazo",NOVEDADES!$B$4:$B$1503,"&gt;="&amp;$E$4,NOVEDADES!$B$4:$B$1503,"&lt;="&amp;$G$4,NOVEDADES!$M$4:$M$1503,$B52)+COUNTIFS(NOVEDADES!$AA$4:$AA$1503,"Por vencer",NOVEDADES!$B$4:$B$1503,"&gt;="&amp;$E$4,NOVEDADES!$B$4:$B$1503,"&lt;="&amp;$G$4,NOVEDADES!$M$4:$M$1503,$B52)+COUNTIFS(NOVEDADES!$AA$4:$AA$1503,"Vencida",NOVEDADES!$B$4:$B$1503,"&gt;="&amp;$E$4,NOVEDADES!$B$4:$B$1503,"&lt;="&amp;$G$4,NOVEDADES!$M$4:$M$1503,$B52)+COUNTIFS(NOVEDADES!$AA$4:$AA$1503,"Sin clasificar",NOVEDADES!$B$4:$B$1503,"&gt;="&amp;$E$4,NOVEDADES!$B$4:$B$1503,"&lt;="&amp;$G$4,NOVEDADES!$M$4:$M$1503,$B52))</f>
        <v/>
      </c>
      <c r="J52" s="24">
        <f>IF($B52="","",COUNTIFS(NOVEDADES!$M$4:$M$1503,$B52,NOVEDADES!$AA$4:$AA$1503,"Vencida",NOVEDADES!$B$4:$B$1503,"&gt;="&amp;$E$4,NOVEDADES!$B$4:$B$1503,"&lt;="&amp;$G$4))</f>
        <v/>
      </c>
      <c r="K52" s="56">
        <f>IF($B52="","",IFERROR(ROUND(AVERAGEIFS(NOVEDADES!$Z$4:$Z$1503,NOVEDADES!$M$4:$M$1503,$B52,NOVEDADES!$B$4:$B$1503,"&gt;="&amp;$E$4,NOVEDADES!$B$4:$B$1503,"&lt;="&amp;$G$4),1),0))</f>
        <v/>
      </c>
      <c r="L52" s="28" t="n"/>
      <c r="M52" s="28" t="n"/>
    </row>
    <row r="53">
      <c r="B53" s="23">
        <f>IF(CONFIG!$A8="","",CONFIG!$A8)</f>
        <v/>
      </c>
      <c r="C53" s="9" t="n"/>
      <c r="D53" s="24">
        <f>IF($B53="","",COUNTIFS(NOVEDADES!$M$4:$M$1503,$B53,NOVEDADES!$B$4:$B$1503,"&gt;="&amp;$E$4,NOVEDADES!$B$4:$B$1503,"&lt;="&amp;$G$4))</f>
        <v/>
      </c>
      <c r="E53" s="55">
        <f>IF($B53="","",IFERROR($D53/$D$81,0))</f>
        <v/>
      </c>
      <c r="F53" s="27">
        <f>IF($B53="","",SUMIFS(NOVEDADES!$U$4:$U$1503,NOVEDADES!$M$4:$M$1503,$B53,NOVEDADES!$B$4:$B$1503,"&gt;="&amp;$E$4,NOVEDADES!$B$4:$B$1503,"&lt;="&amp;$G$4))</f>
        <v/>
      </c>
      <c r="G53" s="28">
        <f>IF($B53="","",IFERROR(INDEX(CONFIG!$B$4:$B$63,MATCH($B53,CONFIG!$A$4:$A$63,0)),""))</f>
        <v/>
      </c>
      <c r="H53" s="28">
        <f>IF($B53="","",IFERROR(INDEX(CONFIG!$C$4:$C$63,MATCH($B53,CONFIG!$A$4:$A$63,0)),""))</f>
        <v/>
      </c>
      <c r="I53" s="24">
        <f>IF($B53="","",COUNTIFS(NOVEDADES!$AA$4:$AA$1503,"En plazo",NOVEDADES!$B$4:$B$1503,"&gt;="&amp;$E$4,NOVEDADES!$B$4:$B$1503,"&lt;="&amp;$G$4,NOVEDADES!$M$4:$M$1503,$B53)+COUNTIFS(NOVEDADES!$AA$4:$AA$1503,"Por vencer",NOVEDADES!$B$4:$B$1503,"&gt;="&amp;$E$4,NOVEDADES!$B$4:$B$1503,"&lt;="&amp;$G$4,NOVEDADES!$M$4:$M$1503,$B53)+COUNTIFS(NOVEDADES!$AA$4:$AA$1503,"Vencida",NOVEDADES!$B$4:$B$1503,"&gt;="&amp;$E$4,NOVEDADES!$B$4:$B$1503,"&lt;="&amp;$G$4,NOVEDADES!$M$4:$M$1503,$B53)+COUNTIFS(NOVEDADES!$AA$4:$AA$1503,"Sin clasificar",NOVEDADES!$B$4:$B$1503,"&gt;="&amp;$E$4,NOVEDADES!$B$4:$B$1503,"&lt;="&amp;$G$4,NOVEDADES!$M$4:$M$1503,$B53))</f>
        <v/>
      </c>
      <c r="J53" s="24">
        <f>IF($B53="","",COUNTIFS(NOVEDADES!$M$4:$M$1503,$B53,NOVEDADES!$AA$4:$AA$1503,"Vencida",NOVEDADES!$B$4:$B$1503,"&gt;="&amp;$E$4,NOVEDADES!$B$4:$B$1503,"&lt;="&amp;$G$4))</f>
        <v/>
      </c>
      <c r="K53" s="56">
        <f>IF($B53="","",IFERROR(ROUND(AVERAGEIFS(NOVEDADES!$Z$4:$Z$1503,NOVEDADES!$M$4:$M$1503,$B53,NOVEDADES!$B$4:$B$1503,"&gt;="&amp;$E$4,NOVEDADES!$B$4:$B$1503,"&lt;="&amp;$G$4),1),0))</f>
        <v/>
      </c>
      <c r="L53" s="28" t="n"/>
      <c r="M53" s="28" t="n"/>
    </row>
    <row r="54">
      <c r="B54" s="23">
        <f>IF(CONFIG!$A9="","",CONFIG!$A9)</f>
        <v/>
      </c>
      <c r="C54" s="9" t="n"/>
      <c r="D54" s="24">
        <f>IF($B54="","",COUNTIFS(NOVEDADES!$M$4:$M$1503,$B54,NOVEDADES!$B$4:$B$1503,"&gt;="&amp;$E$4,NOVEDADES!$B$4:$B$1503,"&lt;="&amp;$G$4))</f>
        <v/>
      </c>
      <c r="E54" s="55">
        <f>IF($B54="","",IFERROR($D54/$D$81,0))</f>
        <v/>
      </c>
      <c r="F54" s="27">
        <f>IF($B54="","",SUMIFS(NOVEDADES!$U$4:$U$1503,NOVEDADES!$M$4:$M$1503,$B54,NOVEDADES!$B$4:$B$1503,"&gt;="&amp;$E$4,NOVEDADES!$B$4:$B$1503,"&lt;="&amp;$G$4))</f>
        <v/>
      </c>
      <c r="G54" s="28">
        <f>IF($B54="","",IFERROR(INDEX(CONFIG!$B$4:$B$63,MATCH($B54,CONFIG!$A$4:$A$63,0)),""))</f>
        <v/>
      </c>
      <c r="H54" s="28">
        <f>IF($B54="","",IFERROR(INDEX(CONFIG!$C$4:$C$63,MATCH($B54,CONFIG!$A$4:$A$63,0)),""))</f>
        <v/>
      </c>
      <c r="I54" s="24">
        <f>IF($B54="","",COUNTIFS(NOVEDADES!$AA$4:$AA$1503,"En plazo",NOVEDADES!$B$4:$B$1503,"&gt;="&amp;$E$4,NOVEDADES!$B$4:$B$1503,"&lt;="&amp;$G$4,NOVEDADES!$M$4:$M$1503,$B54)+COUNTIFS(NOVEDADES!$AA$4:$AA$1503,"Por vencer",NOVEDADES!$B$4:$B$1503,"&gt;="&amp;$E$4,NOVEDADES!$B$4:$B$1503,"&lt;="&amp;$G$4,NOVEDADES!$M$4:$M$1503,$B54)+COUNTIFS(NOVEDADES!$AA$4:$AA$1503,"Vencida",NOVEDADES!$B$4:$B$1503,"&gt;="&amp;$E$4,NOVEDADES!$B$4:$B$1503,"&lt;="&amp;$G$4,NOVEDADES!$M$4:$M$1503,$B54)+COUNTIFS(NOVEDADES!$AA$4:$AA$1503,"Sin clasificar",NOVEDADES!$B$4:$B$1503,"&gt;="&amp;$E$4,NOVEDADES!$B$4:$B$1503,"&lt;="&amp;$G$4,NOVEDADES!$M$4:$M$1503,$B54))</f>
        <v/>
      </c>
      <c r="J54" s="24">
        <f>IF($B54="","",COUNTIFS(NOVEDADES!$M$4:$M$1503,$B54,NOVEDADES!$AA$4:$AA$1503,"Vencida",NOVEDADES!$B$4:$B$1503,"&gt;="&amp;$E$4,NOVEDADES!$B$4:$B$1503,"&lt;="&amp;$G$4))</f>
        <v/>
      </c>
      <c r="K54" s="56">
        <f>IF($B54="","",IFERROR(ROUND(AVERAGEIFS(NOVEDADES!$Z$4:$Z$1503,NOVEDADES!$M$4:$M$1503,$B54,NOVEDADES!$B$4:$B$1503,"&gt;="&amp;$E$4,NOVEDADES!$B$4:$B$1503,"&lt;="&amp;$G$4),1),0))</f>
        <v/>
      </c>
      <c r="L54" s="28" t="n"/>
      <c r="M54" s="28" t="n"/>
    </row>
    <row r="55">
      <c r="B55" s="23">
        <f>IF(CONFIG!$A10="","",CONFIG!$A10)</f>
        <v/>
      </c>
      <c r="C55" s="9" t="n"/>
      <c r="D55" s="24">
        <f>IF($B55="","",COUNTIFS(NOVEDADES!$M$4:$M$1503,$B55,NOVEDADES!$B$4:$B$1503,"&gt;="&amp;$E$4,NOVEDADES!$B$4:$B$1503,"&lt;="&amp;$G$4))</f>
        <v/>
      </c>
      <c r="E55" s="55">
        <f>IF($B55="","",IFERROR($D55/$D$81,0))</f>
        <v/>
      </c>
      <c r="F55" s="27">
        <f>IF($B55="","",SUMIFS(NOVEDADES!$U$4:$U$1503,NOVEDADES!$M$4:$M$1503,$B55,NOVEDADES!$B$4:$B$1503,"&gt;="&amp;$E$4,NOVEDADES!$B$4:$B$1503,"&lt;="&amp;$G$4))</f>
        <v/>
      </c>
      <c r="G55" s="28">
        <f>IF($B55="","",IFERROR(INDEX(CONFIG!$B$4:$B$63,MATCH($B55,CONFIG!$A$4:$A$63,0)),""))</f>
        <v/>
      </c>
      <c r="H55" s="28">
        <f>IF($B55="","",IFERROR(INDEX(CONFIG!$C$4:$C$63,MATCH($B55,CONFIG!$A$4:$A$63,0)),""))</f>
        <v/>
      </c>
      <c r="I55" s="24">
        <f>IF($B55="","",COUNTIFS(NOVEDADES!$AA$4:$AA$1503,"En plazo",NOVEDADES!$B$4:$B$1503,"&gt;="&amp;$E$4,NOVEDADES!$B$4:$B$1503,"&lt;="&amp;$G$4,NOVEDADES!$M$4:$M$1503,$B55)+COUNTIFS(NOVEDADES!$AA$4:$AA$1503,"Por vencer",NOVEDADES!$B$4:$B$1503,"&gt;="&amp;$E$4,NOVEDADES!$B$4:$B$1503,"&lt;="&amp;$G$4,NOVEDADES!$M$4:$M$1503,$B55)+COUNTIFS(NOVEDADES!$AA$4:$AA$1503,"Vencida",NOVEDADES!$B$4:$B$1503,"&gt;="&amp;$E$4,NOVEDADES!$B$4:$B$1503,"&lt;="&amp;$G$4,NOVEDADES!$M$4:$M$1503,$B55)+COUNTIFS(NOVEDADES!$AA$4:$AA$1503,"Sin clasificar",NOVEDADES!$B$4:$B$1503,"&gt;="&amp;$E$4,NOVEDADES!$B$4:$B$1503,"&lt;="&amp;$G$4,NOVEDADES!$M$4:$M$1503,$B55))</f>
        <v/>
      </c>
      <c r="J55" s="24">
        <f>IF($B55="","",COUNTIFS(NOVEDADES!$M$4:$M$1503,$B55,NOVEDADES!$AA$4:$AA$1503,"Vencida",NOVEDADES!$B$4:$B$1503,"&gt;="&amp;$E$4,NOVEDADES!$B$4:$B$1503,"&lt;="&amp;$G$4))</f>
        <v/>
      </c>
      <c r="K55" s="56">
        <f>IF($B55="","",IFERROR(ROUND(AVERAGEIFS(NOVEDADES!$Z$4:$Z$1503,NOVEDADES!$M$4:$M$1503,$B55,NOVEDADES!$B$4:$B$1503,"&gt;="&amp;$E$4,NOVEDADES!$B$4:$B$1503,"&lt;="&amp;$G$4),1),0))</f>
        <v/>
      </c>
      <c r="L55" s="28" t="n"/>
      <c r="M55" s="28" t="n"/>
    </row>
    <row r="56">
      <c r="B56" s="23">
        <f>IF(CONFIG!$A11="","",CONFIG!$A11)</f>
        <v/>
      </c>
      <c r="C56" s="9" t="n"/>
      <c r="D56" s="24">
        <f>IF($B56="","",COUNTIFS(NOVEDADES!$M$4:$M$1503,$B56,NOVEDADES!$B$4:$B$1503,"&gt;="&amp;$E$4,NOVEDADES!$B$4:$B$1503,"&lt;="&amp;$G$4))</f>
        <v/>
      </c>
      <c r="E56" s="55">
        <f>IF($B56="","",IFERROR($D56/$D$81,0))</f>
        <v/>
      </c>
      <c r="F56" s="27">
        <f>IF($B56="","",SUMIFS(NOVEDADES!$U$4:$U$1503,NOVEDADES!$M$4:$M$1503,$B56,NOVEDADES!$B$4:$B$1503,"&gt;="&amp;$E$4,NOVEDADES!$B$4:$B$1503,"&lt;="&amp;$G$4))</f>
        <v/>
      </c>
      <c r="G56" s="28">
        <f>IF($B56="","",IFERROR(INDEX(CONFIG!$B$4:$B$63,MATCH($B56,CONFIG!$A$4:$A$63,0)),""))</f>
        <v/>
      </c>
      <c r="H56" s="28">
        <f>IF($B56="","",IFERROR(INDEX(CONFIG!$C$4:$C$63,MATCH($B56,CONFIG!$A$4:$A$63,0)),""))</f>
        <v/>
      </c>
      <c r="I56" s="24">
        <f>IF($B56="","",COUNTIFS(NOVEDADES!$AA$4:$AA$1503,"En plazo",NOVEDADES!$B$4:$B$1503,"&gt;="&amp;$E$4,NOVEDADES!$B$4:$B$1503,"&lt;="&amp;$G$4,NOVEDADES!$M$4:$M$1503,$B56)+COUNTIFS(NOVEDADES!$AA$4:$AA$1503,"Por vencer",NOVEDADES!$B$4:$B$1503,"&gt;="&amp;$E$4,NOVEDADES!$B$4:$B$1503,"&lt;="&amp;$G$4,NOVEDADES!$M$4:$M$1503,$B56)+COUNTIFS(NOVEDADES!$AA$4:$AA$1503,"Vencida",NOVEDADES!$B$4:$B$1503,"&gt;="&amp;$E$4,NOVEDADES!$B$4:$B$1503,"&lt;="&amp;$G$4,NOVEDADES!$M$4:$M$1503,$B56)+COUNTIFS(NOVEDADES!$AA$4:$AA$1503,"Sin clasificar",NOVEDADES!$B$4:$B$1503,"&gt;="&amp;$E$4,NOVEDADES!$B$4:$B$1503,"&lt;="&amp;$G$4,NOVEDADES!$M$4:$M$1503,$B56))</f>
        <v/>
      </c>
      <c r="J56" s="24">
        <f>IF($B56="","",COUNTIFS(NOVEDADES!$M$4:$M$1503,$B56,NOVEDADES!$AA$4:$AA$1503,"Vencida",NOVEDADES!$B$4:$B$1503,"&gt;="&amp;$E$4,NOVEDADES!$B$4:$B$1503,"&lt;="&amp;$G$4))</f>
        <v/>
      </c>
      <c r="K56" s="56">
        <f>IF($B56="","",IFERROR(ROUND(AVERAGEIFS(NOVEDADES!$Z$4:$Z$1503,NOVEDADES!$M$4:$M$1503,$B56,NOVEDADES!$B$4:$B$1503,"&gt;="&amp;$E$4,NOVEDADES!$B$4:$B$1503,"&lt;="&amp;$G$4),1),0))</f>
        <v/>
      </c>
      <c r="L56" s="28" t="n"/>
      <c r="M56" s="28" t="n"/>
    </row>
    <row r="57">
      <c r="B57" s="23">
        <f>IF(CONFIG!$A12="","",CONFIG!$A12)</f>
        <v/>
      </c>
      <c r="C57" s="9" t="n"/>
      <c r="D57" s="24">
        <f>IF($B57="","",COUNTIFS(NOVEDADES!$M$4:$M$1503,$B57,NOVEDADES!$B$4:$B$1503,"&gt;="&amp;$E$4,NOVEDADES!$B$4:$B$1503,"&lt;="&amp;$G$4))</f>
        <v/>
      </c>
      <c r="E57" s="55">
        <f>IF($B57="","",IFERROR($D57/$D$81,0))</f>
        <v/>
      </c>
      <c r="F57" s="27">
        <f>IF($B57="","",SUMIFS(NOVEDADES!$U$4:$U$1503,NOVEDADES!$M$4:$M$1503,$B57,NOVEDADES!$B$4:$B$1503,"&gt;="&amp;$E$4,NOVEDADES!$B$4:$B$1503,"&lt;="&amp;$G$4))</f>
        <v/>
      </c>
      <c r="G57" s="28">
        <f>IF($B57="","",IFERROR(INDEX(CONFIG!$B$4:$B$63,MATCH($B57,CONFIG!$A$4:$A$63,0)),""))</f>
        <v/>
      </c>
      <c r="H57" s="28">
        <f>IF($B57="","",IFERROR(INDEX(CONFIG!$C$4:$C$63,MATCH($B57,CONFIG!$A$4:$A$63,0)),""))</f>
        <v/>
      </c>
      <c r="I57" s="24">
        <f>IF($B57="","",COUNTIFS(NOVEDADES!$AA$4:$AA$1503,"En plazo",NOVEDADES!$B$4:$B$1503,"&gt;="&amp;$E$4,NOVEDADES!$B$4:$B$1503,"&lt;="&amp;$G$4,NOVEDADES!$M$4:$M$1503,$B57)+COUNTIFS(NOVEDADES!$AA$4:$AA$1503,"Por vencer",NOVEDADES!$B$4:$B$1503,"&gt;="&amp;$E$4,NOVEDADES!$B$4:$B$1503,"&lt;="&amp;$G$4,NOVEDADES!$M$4:$M$1503,$B57)+COUNTIFS(NOVEDADES!$AA$4:$AA$1503,"Vencida",NOVEDADES!$B$4:$B$1503,"&gt;="&amp;$E$4,NOVEDADES!$B$4:$B$1503,"&lt;="&amp;$G$4,NOVEDADES!$M$4:$M$1503,$B57)+COUNTIFS(NOVEDADES!$AA$4:$AA$1503,"Sin clasificar",NOVEDADES!$B$4:$B$1503,"&gt;="&amp;$E$4,NOVEDADES!$B$4:$B$1503,"&lt;="&amp;$G$4,NOVEDADES!$M$4:$M$1503,$B57))</f>
        <v/>
      </c>
      <c r="J57" s="24">
        <f>IF($B57="","",COUNTIFS(NOVEDADES!$M$4:$M$1503,$B57,NOVEDADES!$AA$4:$AA$1503,"Vencida",NOVEDADES!$B$4:$B$1503,"&gt;="&amp;$E$4,NOVEDADES!$B$4:$B$1503,"&lt;="&amp;$G$4))</f>
        <v/>
      </c>
      <c r="K57" s="56">
        <f>IF($B57="","",IFERROR(ROUND(AVERAGEIFS(NOVEDADES!$Z$4:$Z$1503,NOVEDADES!$M$4:$M$1503,$B57,NOVEDADES!$B$4:$B$1503,"&gt;="&amp;$E$4,NOVEDADES!$B$4:$B$1503,"&lt;="&amp;$G$4),1),0))</f>
        <v/>
      </c>
      <c r="L57" s="28" t="n"/>
      <c r="M57" s="28" t="n"/>
    </row>
    <row r="58">
      <c r="B58" s="23">
        <f>IF(CONFIG!$A13="","",CONFIG!$A13)</f>
        <v/>
      </c>
      <c r="C58" s="9" t="n"/>
      <c r="D58" s="24">
        <f>IF($B58="","",COUNTIFS(NOVEDADES!$M$4:$M$1503,$B58,NOVEDADES!$B$4:$B$1503,"&gt;="&amp;$E$4,NOVEDADES!$B$4:$B$1503,"&lt;="&amp;$G$4))</f>
        <v/>
      </c>
      <c r="E58" s="55">
        <f>IF($B58="","",IFERROR($D58/$D$81,0))</f>
        <v/>
      </c>
      <c r="F58" s="27">
        <f>IF($B58="","",SUMIFS(NOVEDADES!$U$4:$U$1503,NOVEDADES!$M$4:$M$1503,$B58,NOVEDADES!$B$4:$B$1503,"&gt;="&amp;$E$4,NOVEDADES!$B$4:$B$1503,"&lt;="&amp;$G$4))</f>
        <v/>
      </c>
      <c r="G58" s="28">
        <f>IF($B58="","",IFERROR(INDEX(CONFIG!$B$4:$B$63,MATCH($B58,CONFIG!$A$4:$A$63,0)),""))</f>
        <v/>
      </c>
      <c r="H58" s="28">
        <f>IF($B58="","",IFERROR(INDEX(CONFIG!$C$4:$C$63,MATCH($B58,CONFIG!$A$4:$A$63,0)),""))</f>
        <v/>
      </c>
      <c r="I58" s="24">
        <f>IF($B58="","",COUNTIFS(NOVEDADES!$AA$4:$AA$1503,"En plazo",NOVEDADES!$B$4:$B$1503,"&gt;="&amp;$E$4,NOVEDADES!$B$4:$B$1503,"&lt;="&amp;$G$4,NOVEDADES!$M$4:$M$1503,$B58)+COUNTIFS(NOVEDADES!$AA$4:$AA$1503,"Por vencer",NOVEDADES!$B$4:$B$1503,"&gt;="&amp;$E$4,NOVEDADES!$B$4:$B$1503,"&lt;="&amp;$G$4,NOVEDADES!$M$4:$M$1503,$B58)+COUNTIFS(NOVEDADES!$AA$4:$AA$1503,"Vencida",NOVEDADES!$B$4:$B$1503,"&gt;="&amp;$E$4,NOVEDADES!$B$4:$B$1503,"&lt;="&amp;$G$4,NOVEDADES!$M$4:$M$1503,$B58)+COUNTIFS(NOVEDADES!$AA$4:$AA$1503,"Sin clasificar",NOVEDADES!$B$4:$B$1503,"&gt;="&amp;$E$4,NOVEDADES!$B$4:$B$1503,"&lt;="&amp;$G$4,NOVEDADES!$M$4:$M$1503,$B58))</f>
        <v/>
      </c>
      <c r="J58" s="24">
        <f>IF($B58="","",COUNTIFS(NOVEDADES!$M$4:$M$1503,$B58,NOVEDADES!$AA$4:$AA$1503,"Vencida",NOVEDADES!$B$4:$B$1503,"&gt;="&amp;$E$4,NOVEDADES!$B$4:$B$1503,"&lt;="&amp;$G$4))</f>
        <v/>
      </c>
      <c r="K58" s="56">
        <f>IF($B58="","",IFERROR(ROUND(AVERAGEIFS(NOVEDADES!$Z$4:$Z$1503,NOVEDADES!$M$4:$M$1503,$B58,NOVEDADES!$B$4:$B$1503,"&gt;="&amp;$E$4,NOVEDADES!$B$4:$B$1503,"&lt;="&amp;$G$4),1),0))</f>
        <v/>
      </c>
      <c r="L58" s="28" t="n"/>
      <c r="M58" s="28" t="n"/>
    </row>
    <row r="59">
      <c r="B59" s="23">
        <f>IF(CONFIG!$A14="","",CONFIG!$A14)</f>
        <v/>
      </c>
      <c r="C59" s="9" t="n"/>
      <c r="D59" s="24">
        <f>IF($B59="","",COUNTIFS(NOVEDADES!$M$4:$M$1503,$B59,NOVEDADES!$B$4:$B$1503,"&gt;="&amp;$E$4,NOVEDADES!$B$4:$B$1503,"&lt;="&amp;$G$4))</f>
        <v/>
      </c>
      <c r="E59" s="55">
        <f>IF($B59="","",IFERROR($D59/$D$81,0))</f>
        <v/>
      </c>
      <c r="F59" s="27">
        <f>IF($B59="","",SUMIFS(NOVEDADES!$U$4:$U$1503,NOVEDADES!$M$4:$M$1503,$B59,NOVEDADES!$B$4:$B$1503,"&gt;="&amp;$E$4,NOVEDADES!$B$4:$B$1503,"&lt;="&amp;$G$4))</f>
        <v/>
      </c>
      <c r="G59" s="28">
        <f>IF($B59="","",IFERROR(INDEX(CONFIG!$B$4:$B$63,MATCH($B59,CONFIG!$A$4:$A$63,0)),""))</f>
        <v/>
      </c>
      <c r="H59" s="28">
        <f>IF($B59="","",IFERROR(INDEX(CONFIG!$C$4:$C$63,MATCH($B59,CONFIG!$A$4:$A$63,0)),""))</f>
        <v/>
      </c>
      <c r="I59" s="24">
        <f>IF($B59="","",COUNTIFS(NOVEDADES!$AA$4:$AA$1503,"En plazo",NOVEDADES!$B$4:$B$1503,"&gt;="&amp;$E$4,NOVEDADES!$B$4:$B$1503,"&lt;="&amp;$G$4,NOVEDADES!$M$4:$M$1503,$B59)+COUNTIFS(NOVEDADES!$AA$4:$AA$1503,"Por vencer",NOVEDADES!$B$4:$B$1503,"&gt;="&amp;$E$4,NOVEDADES!$B$4:$B$1503,"&lt;="&amp;$G$4,NOVEDADES!$M$4:$M$1503,$B59)+COUNTIFS(NOVEDADES!$AA$4:$AA$1503,"Vencida",NOVEDADES!$B$4:$B$1503,"&gt;="&amp;$E$4,NOVEDADES!$B$4:$B$1503,"&lt;="&amp;$G$4,NOVEDADES!$M$4:$M$1503,$B59)+COUNTIFS(NOVEDADES!$AA$4:$AA$1503,"Sin clasificar",NOVEDADES!$B$4:$B$1503,"&gt;="&amp;$E$4,NOVEDADES!$B$4:$B$1503,"&lt;="&amp;$G$4,NOVEDADES!$M$4:$M$1503,$B59))</f>
        <v/>
      </c>
      <c r="J59" s="24">
        <f>IF($B59="","",COUNTIFS(NOVEDADES!$M$4:$M$1503,$B59,NOVEDADES!$AA$4:$AA$1503,"Vencida",NOVEDADES!$B$4:$B$1503,"&gt;="&amp;$E$4,NOVEDADES!$B$4:$B$1503,"&lt;="&amp;$G$4))</f>
        <v/>
      </c>
      <c r="K59" s="56">
        <f>IF($B59="","",IFERROR(ROUND(AVERAGEIFS(NOVEDADES!$Z$4:$Z$1503,NOVEDADES!$M$4:$M$1503,$B59,NOVEDADES!$B$4:$B$1503,"&gt;="&amp;$E$4,NOVEDADES!$B$4:$B$1503,"&lt;="&amp;$G$4),1),0))</f>
        <v/>
      </c>
      <c r="L59" s="28" t="n"/>
      <c r="M59" s="28" t="n"/>
    </row>
    <row r="60">
      <c r="B60" s="23">
        <f>IF(CONFIG!$A15="","",CONFIG!$A15)</f>
        <v/>
      </c>
      <c r="C60" s="9" t="n"/>
      <c r="D60" s="24">
        <f>IF($B60="","",COUNTIFS(NOVEDADES!$M$4:$M$1503,$B60,NOVEDADES!$B$4:$B$1503,"&gt;="&amp;$E$4,NOVEDADES!$B$4:$B$1503,"&lt;="&amp;$G$4))</f>
        <v/>
      </c>
      <c r="E60" s="55">
        <f>IF($B60="","",IFERROR($D60/$D$81,0))</f>
        <v/>
      </c>
      <c r="F60" s="27">
        <f>IF($B60="","",SUMIFS(NOVEDADES!$U$4:$U$1503,NOVEDADES!$M$4:$M$1503,$B60,NOVEDADES!$B$4:$B$1503,"&gt;="&amp;$E$4,NOVEDADES!$B$4:$B$1503,"&lt;="&amp;$G$4))</f>
        <v/>
      </c>
      <c r="G60" s="28">
        <f>IF($B60="","",IFERROR(INDEX(CONFIG!$B$4:$B$63,MATCH($B60,CONFIG!$A$4:$A$63,0)),""))</f>
        <v/>
      </c>
      <c r="H60" s="28">
        <f>IF($B60="","",IFERROR(INDEX(CONFIG!$C$4:$C$63,MATCH($B60,CONFIG!$A$4:$A$63,0)),""))</f>
        <v/>
      </c>
      <c r="I60" s="24">
        <f>IF($B60="","",COUNTIFS(NOVEDADES!$AA$4:$AA$1503,"En plazo",NOVEDADES!$B$4:$B$1503,"&gt;="&amp;$E$4,NOVEDADES!$B$4:$B$1503,"&lt;="&amp;$G$4,NOVEDADES!$M$4:$M$1503,$B60)+COUNTIFS(NOVEDADES!$AA$4:$AA$1503,"Por vencer",NOVEDADES!$B$4:$B$1503,"&gt;="&amp;$E$4,NOVEDADES!$B$4:$B$1503,"&lt;="&amp;$G$4,NOVEDADES!$M$4:$M$1503,$B60)+COUNTIFS(NOVEDADES!$AA$4:$AA$1503,"Vencida",NOVEDADES!$B$4:$B$1503,"&gt;="&amp;$E$4,NOVEDADES!$B$4:$B$1503,"&lt;="&amp;$G$4,NOVEDADES!$M$4:$M$1503,$B60)+COUNTIFS(NOVEDADES!$AA$4:$AA$1503,"Sin clasificar",NOVEDADES!$B$4:$B$1503,"&gt;="&amp;$E$4,NOVEDADES!$B$4:$B$1503,"&lt;="&amp;$G$4,NOVEDADES!$M$4:$M$1503,$B60))</f>
        <v/>
      </c>
      <c r="J60" s="24">
        <f>IF($B60="","",COUNTIFS(NOVEDADES!$M$4:$M$1503,$B60,NOVEDADES!$AA$4:$AA$1503,"Vencida",NOVEDADES!$B$4:$B$1503,"&gt;="&amp;$E$4,NOVEDADES!$B$4:$B$1503,"&lt;="&amp;$G$4))</f>
        <v/>
      </c>
      <c r="K60" s="56">
        <f>IF($B60="","",IFERROR(ROUND(AVERAGEIFS(NOVEDADES!$Z$4:$Z$1503,NOVEDADES!$M$4:$M$1503,$B60,NOVEDADES!$B$4:$B$1503,"&gt;="&amp;$E$4,NOVEDADES!$B$4:$B$1503,"&lt;="&amp;$G$4),1),0))</f>
        <v/>
      </c>
      <c r="L60" s="28" t="n"/>
      <c r="M60" s="28" t="n"/>
    </row>
    <row r="61">
      <c r="B61" s="23">
        <f>IF(CONFIG!$A16="","",CONFIG!$A16)</f>
        <v/>
      </c>
      <c r="C61" s="9" t="n"/>
      <c r="D61" s="24">
        <f>IF($B61="","",COUNTIFS(NOVEDADES!$M$4:$M$1503,$B61,NOVEDADES!$B$4:$B$1503,"&gt;="&amp;$E$4,NOVEDADES!$B$4:$B$1503,"&lt;="&amp;$G$4))</f>
        <v/>
      </c>
      <c r="E61" s="55">
        <f>IF($B61="","",IFERROR($D61/$D$81,0))</f>
        <v/>
      </c>
      <c r="F61" s="27">
        <f>IF($B61="","",SUMIFS(NOVEDADES!$U$4:$U$1503,NOVEDADES!$M$4:$M$1503,$B61,NOVEDADES!$B$4:$B$1503,"&gt;="&amp;$E$4,NOVEDADES!$B$4:$B$1503,"&lt;="&amp;$G$4))</f>
        <v/>
      </c>
      <c r="G61" s="28">
        <f>IF($B61="","",IFERROR(INDEX(CONFIG!$B$4:$B$63,MATCH($B61,CONFIG!$A$4:$A$63,0)),""))</f>
        <v/>
      </c>
      <c r="H61" s="28">
        <f>IF($B61="","",IFERROR(INDEX(CONFIG!$C$4:$C$63,MATCH($B61,CONFIG!$A$4:$A$63,0)),""))</f>
        <v/>
      </c>
      <c r="I61" s="24">
        <f>IF($B61="","",COUNTIFS(NOVEDADES!$AA$4:$AA$1503,"En plazo",NOVEDADES!$B$4:$B$1503,"&gt;="&amp;$E$4,NOVEDADES!$B$4:$B$1503,"&lt;="&amp;$G$4,NOVEDADES!$M$4:$M$1503,$B61)+COUNTIFS(NOVEDADES!$AA$4:$AA$1503,"Por vencer",NOVEDADES!$B$4:$B$1503,"&gt;="&amp;$E$4,NOVEDADES!$B$4:$B$1503,"&lt;="&amp;$G$4,NOVEDADES!$M$4:$M$1503,$B61)+COUNTIFS(NOVEDADES!$AA$4:$AA$1503,"Vencida",NOVEDADES!$B$4:$B$1503,"&gt;="&amp;$E$4,NOVEDADES!$B$4:$B$1503,"&lt;="&amp;$G$4,NOVEDADES!$M$4:$M$1503,$B61)+COUNTIFS(NOVEDADES!$AA$4:$AA$1503,"Sin clasificar",NOVEDADES!$B$4:$B$1503,"&gt;="&amp;$E$4,NOVEDADES!$B$4:$B$1503,"&lt;="&amp;$G$4,NOVEDADES!$M$4:$M$1503,$B61))</f>
        <v/>
      </c>
      <c r="J61" s="24">
        <f>IF($B61="","",COUNTIFS(NOVEDADES!$M$4:$M$1503,$B61,NOVEDADES!$AA$4:$AA$1503,"Vencida",NOVEDADES!$B$4:$B$1503,"&gt;="&amp;$E$4,NOVEDADES!$B$4:$B$1503,"&lt;="&amp;$G$4))</f>
        <v/>
      </c>
      <c r="K61" s="56">
        <f>IF($B61="","",IFERROR(ROUND(AVERAGEIFS(NOVEDADES!$Z$4:$Z$1503,NOVEDADES!$M$4:$M$1503,$B61,NOVEDADES!$B$4:$B$1503,"&gt;="&amp;$E$4,NOVEDADES!$B$4:$B$1503,"&lt;="&amp;$G$4),1),0))</f>
        <v/>
      </c>
      <c r="L61" s="28" t="n"/>
      <c r="M61" s="28" t="n"/>
    </row>
    <row r="62">
      <c r="B62" s="23">
        <f>IF(CONFIG!$A17="","",CONFIG!$A17)</f>
        <v/>
      </c>
      <c r="C62" s="9" t="n"/>
      <c r="D62" s="24">
        <f>IF($B62="","",COUNTIFS(NOVEDADES!$M$4:$M$1503,$B62,NOVEDADES!$B$4:$B$1503,"&gt;="&amp;$E$4,NOVEDADES!$B$4:$B$1503,"&lt;="&amp;$G$4))</f>
        <v/>
      </c>
      <c r="E62" s="55">
        <f>IF($B62="","",IFERROR($D62/$D$81,0))</f>
        <v/>
      </c>
      <c r="F62" s="27">
        <f>IF($B62="","",SUMIFS(NOVEDADES!$U$4:$U$1503,NOVEDADES!$M$4:$M$1503,$B62,NOVEDADES!$B$4:$B$1503,"&gt;="&amp;$E$4,NOVEDADES!$B$4:$B$1503,"&lt;="&amp;$G$4))</f>
        <v/>
      </c>
      <c r="G62" s="28">
        <f>IF($B62="","",IFERROR(INDEX(CONFIG!$B$4:$B$63,MATCH($B62,CONFIG!$A$4:$A$63,0)),""))</f>
        <v/>
      </c>
      <c r="H62" s="28">
        <f>IF($B62="","",IFERROR(INDEX(CONFIG!$C$4:$C$63,MATCH($B62,CONFIG!$A$4:$A$63,0)),""))</f>
        <v/>
      </c>
      <c r="I62" s="24">
        <f>IF($B62="","",COUNTIFS(NOVEDADES!$AA$4:$AA$1503,"En plazo",NOVEDADES!$B$4:$B$1503,"&gt;="&amp;$E$4,NOVEDADES!$B$4:$B$1503,"&lt;="&amp;$G$4,NOVEDADES!$M$4:$M$1503,$B62)+COUNTIFS(NOVEDADES!$AA$4:$AA$1503,"Por vencer",NOVEDADES!$B$4:$B$1503,"&gt;="&amp;$E$4,NOVEDADES!$B$4:$B$1503,"&lt;="&amp;$G$4,NOVEDADES!$M$4:$M$1503,$B62)+COUNTIFS(NOVEDADES!$AA$4:$AA$1503,"Vencida",NOVEDADES!$B$4:$B$1503,"&gt;="&amp;$E$4,NOVEDADES!$B$4:$B$1503,"&lt;="&amp;$G$4,NOVEDADES!$M$4:$M$1503,$B62)+COUNTIFS(NOVEDADES!$AA$4:$AA$1503,"Sin clasificar",NOVEDADES!$B$4:$B$1503,"&gt;="&amp;$E$4,NOVEDADES!$B$4:$B$1503,"&lt;="&amp;$G$4,NOVEDADES!$M$4:$M$1503,$B62))</f>
        <v/>
      </c>
      <c r="J62" s="24">
        <f>IF($B62="","",COUNTIFS(NOVEDADES!$M$4:$M$1503,$B62,NOVEDADES!$AA$4:$AA$1503,"Vencida",NOVEDADES!$B$4:$B$1503,"&gt;="&amp;$E$4,NOVEDADES!$B$4:$B$1503,"&lt;="&amp;$G$4))</f>
        <v/>
      </c>
      <c r="K62" s="56">
        <f>IF($B62="","",IFERROR(ROUND(AVERAGEIFS(NOVEDADES!$Z$4:$Z$1503,NOVEDADES!$M$4:$M$1503,$B62,NOVEDADES!$B$4:$B$1503,"&gt;="&amp;$E$4,NOVEDADES!$B$4:$B$1503,"&lt;="&amp;$G$4),1),0))</f>
        <v/>
      </c>
      <c r="L62" s="28" t="n"/>
      <c r="M62" s="28" t="n"/>
    </row>
    <row r="63">
      <c r="B63" s="23">
        <f>IF(CONFIG!$A18="","",CONFIG!$A18)</f>
        <v/>
      </c>
      <c r="C63" s="9" t="n"/>
      <c r="D63" s="24">
        <f>IF($B63="","",COUNTIFS(NOVEDADES!$M$4:$M$1503,$B63,NOVEDADES!$B$4:$B$1503,"&gt;="&amp;$E$4,NOVEDADES!$B$4:$B$1503,"&lt;="&amp;$G$4))</f>
        <v/>
      </c>
      <c r="E63" s="55">
        <f>IF($B63="","",IFERROR($D63/$D$81,0))</f>
        <v/>
      </c>
      <c r="F63" s="27">
        <f>IF($B63="","",SUMIFS(NOVEDADES!$U$4:$U$1503,NOVEDADES!$M$4:$M$1503,$B63,NOVEDADES!$B$4:$B$1503,"&gt;="&amp;$E$4,NOVEDADES!$B$4:$B$1503,"&lt;="&amp;$G$4))</f>
        <v/>
      </c>
      <c r="G63" s="28">
        <f>IF($B63="","",IFERROR(INDEX(CONFIG!$B$4:$B$63,MATCH($B63,CONFIG!$A$4:$A$63,0)),""))</f>
        <v/>
      </c>
      <c r="H63" s="28">
        <f>IF($B63="","",IFERROR(INDEX(CONFIG!$C$4:$C$63,MATCH($B63,CONFIG!$A$4:$A$63,0)),""))</f>
        <v/>
      </c>
      <c r="I63" s="24">
        <f>IF($B63="","",COUNTIFS(NOVEDADES!$AA$4:$AA$1503,"En plazo",NOVEDADES!$B$4:$B$1503,"&gt;="&amp;$E$4,NOVEDADES!$B$4:$B$1503,"&lt;="&amp;$G$4,NOVEDADES!$M$4:$M$1503,$B63)+COUNTIFS(NOVEDADES!$AA$4:$AA$1503,"Por vencer",NOVEDADES!$B$4:$B$1503,"&gt;="&amp;$E$4,NOVEDADES!$B$4:$B$1503,"&lt;="&amp;$G$4,NOVEDADES!$M$4:$M$1503,$B63)+COUNTIFS(NOVEDADES!$AA$4:$AA$1503,"Vencida",NOVEDADES!$B$4:$B$1503,"&gt;="&amp;$E$4,NOVEDADES!$B$4:$B$1503,"&lt;="&amp;$G$4,NOVEDADES!$M$4:$M$1503,$B63)+COUNTIFS(NOVEDADES!$AA$4:$AA$1503,"Sin clasificar",NOVEDADES!$B$4:$B$1503,"&gt;="&amp;$E$4,NOVEDADES!$B$4:$B$1503,"&lt;="&amp;$G$4,NOVEDADES!$M$4:$M$1503,$B63))</f>
        <v/>
      </c>
      <c r="J63" s="24">
        <f>IF($B63="","",COUNTIFS(NOVEDADES!$M$4:$M$1503,$B63,NOVEDADES!$AA$4:$AA$1503,"Vencida",NOVEDADES!$B$4:$B$1503,"&gt;="&amp;$E$4,NOVEDADES!$B$4:$B$1503,"&lt;="&amp;$G$4))</f>
        <v/>
      </c>
      <c r="K63" s="56">
        <f>IF($B63="","",IFERROR(ROUND(AVERAGEIFS(NOVEDADES!$Z$4:$Z$1503,NOVEDADES!$M$4:$M$1503,$B63,NOVEDADES!$B$4:$B$1503,"&gt;="&amp;$E$4,NOVEDADES!$B$4:$B$1503,"&lt;="&amp;$G$4),1),0))</f>
        <v/>
      </c>
      <c r="L63" s="28" t="n"/>
      <c r="M63" s="28" t="n"/>
    </row>
    <row r="64">
      <c r="B64" s="23">
        <f>IF(CONFIG!$A19="","",CONFIG!$A19)</f>
        <v/>
      </c>
      <c r="C64" s="9" t="n"/>
      <c r="D64" s="24">
        <f>IF($B64="","",COUNTIFS(NOVEDADES!$M$4:$M$1503,$B64,NOVEDADES!$B$4:$B$1503,"&gt;="&amp;$E$4,NOVEDADES!$B$4:$B$1503,"&lt;="&amp;$G$4))</f>
        <v/>
      </c>
      <c r="E64" s="55">
        <f>IF($B64="","",IFERROR($D64/$D$81,0))</f>
        <v/>
      </c>
      <c r="F64" s="27">
        <f>IF($B64="","",SUMIFS(NOVEDADES!$U$4:$U$1503,NOVEDADES!$M$4:$M$1503,$B64,NOVEDADES!$B$4:$B$1503,"&gt;="&amp;$E$4,NOVEDADES!$B$4:$B$1503,"&lt;="&amp;$G$4))</f>
        <v/>
      </c>
      <c r="G64" s="28">
        <f>IF($B64="","",IFERROR(INDEX(CONFIG!$B$4:$B$63,MATCH($B64,CONFIG!$A$4:$A$63,0)),""))</f>
        <v/>
      </c>
      <c r="H64" s="28">
        <f>IF($B64="","",IFERROR(INDEX(CONFIG!$C$4:$C$63,MATCH($B64,CONFIG!$A$4:$A$63,0)),""))</f>
        <v/>
      </c>
      <c r="I64" s="24">
        <f>IF($B64="","",COUNTIFS(NOVEDADES!$AA$4:$AA$1503,"En plazo",NOVEDADES!$B$4:$B$1503,"&gt;="&amp;$E$4,NOVEDADES!$B$4:$B$1503,"&lt;="&amp;$G$4,NOVEDADES!$M$4:$M$1503,$B64)+COUNTIFS(NOVEDADES!$AA$4:$AA$1503,"Por vencer",NOVEDADES!$B$4:$B$1503,"&gt;="&amp;$E$4,NOVEDADES!$B$4:$B$1503,"&lt;="&amp;$G$4,NOVEDADES!$M$4:$M$1503,$B64)+COUNTIFS(NOVEDADES!$AA$4:$AA$1503,"Vencida",NOVEDADES!$B$4:$B$1503,"&gt;="&amp;$E$4,NOVEDADES!$B$4:$B$1503,"&lt;="&amp;$G$4,NOVEDADES!$M$4:$M$1503,$B64)+COUNTIFS(NOVEDADES!$AA$4:$AA$1503,"Sin clasificar",NOVEDADES!$B$4:$B$1503,"&gt;="&amp;$E$4,NOVEDADES!$B$4:$B$1503,"&lt;="&amp;$G$4,NOVEDADES!$M$4:$M$1503,$B64))</f>
        <v/>
      </c>
      <c r="J64" s="24">
        <f>IF($B64="","",COUNTIFS(NOVEDADES!$M$4:$M$1503,$B64,NOVEDADES!$AA$4:$AA$1503,"Vencida",NOVEDADES!$B$4:$B$1503,"&gt;="&amp;$E$4,NOVEDADES!$B$4:$B$1503,"&lt;="&amp;$G$4))</f>
        <v/>
      </c>
      <c r="K64" s="56">
        <f>IF($B64="","",IFERROR(ROUND(AVERAGEIFS(NOVEDADES!$Z$4:$Z$1503,NOVEDADES!$M$4:$M$1503,$B64,NOVEDADES!$B$4:$B$1503,"&gt;="&amp;$E$4,NOVEDADES!$B$4:$B$1503,"&lt;="&amp;$G$4),1),0))</f>
        <v/>
      </c>
      <c r="L64" s="28" t="n"/>
      <c r="M64" s="28" t="n"/>
    </row>
    <row r="65">
      <c r="B65" s="23">
        <f>IF(CONFIG!$A20="","",CONFIG!$A20)</f>
        <v/>
      </c>
      <c r="C65" s="9" t="n"/>
      <c r="D65" s="24">
        <f>IF($B65="","",COUNTIFS(NOVEDADES!$M$4:$M$1503,$B65,NOVEDADES!$B$4:$B$1503,"&gt;="&amp;$E$4,NOVEDADES!$B$4:$B$1503,"&lt;="&amp;$G$4))</f>
        <v/>
      </c>
      <c r="E65" s="55">
        <f>IF($B65="","",IFERROR($D65/$D$81,0))</f>
        <v/>
      </c>
      <c r="F65" s="27">
        <f>IF($B65="","",SUMIFS(NOVEDADES!$U$4:$U$1503,NOVEDADES!$M$4:$M$1503,$B65,NOVEDADES!$B$4:$B$1503,"&gt;="&amp;$E$4,NOVEDADES!$B$4:$B$1503,"&lt;="&amp;$G$4))</f>
        <v/>
      </c>
      <c r="G65" s="28">
        <f>IF($B65="","",IFERROR(INDEX(CONFIG!$B$4:$B$63,MATCH($B65,CONFIG!$A$4:$A$63,0)),""))</f>
        <v/>
      </c>
      <c r="H65" s="28">
        <f>IF($B65="","",IFERROR(INDEX(CONFIG!$C$4:$C$63,MATCH($B65,CONFIG!$A$4:$A$63,0)),""))</f>
        <v/>
      </c>
      <c r="I65" s="24">
        <f>IF($B65="","",COUNTIFS(NOVEDADES!$AA$4:$AA$1503,"En plazo",NOVEDADES!$B$4:$B$1503,"&gt;="&amp;$E$4,NOVEDADES!$B$4:$B$1503,"&lt;="&amp;$G$4,NOVEDADES!$M$4:$M$1503,$B65)+COUNTIFS(NOVEDADES!$AA$4:$AA$1503,"Por vencer",NOVEDADES!$B$4:$B$1503,"&gt;="&amp;$E$4,NOVEDADES!$B$4:$B$1503,"&lt;="&amp;$G$4,NOVEDADES!$M$4:$M$1503,$B65)+COUNTIFS(NOVEDADES!$AA$4:$AA$1503,"Vencida",NOVEDADES!$B$4:$B$1503,"&gt;="&amp;$E$4,NOVEDADES!$B$4:$B$1503,"&lt;="&amp;$G$4,NOVEDADES!$M$4:$M$1503,$B65)+COUNTIFS(NOVEDADES!$AA$4:$AA$1503,"Sin clasificar",NOVEDADES!$B$4:$B$1503,"&gt;="&amp;$E$4,NOVEDADES!$B$4:$B$1503,"&lt;="&amp;$G$4,NOVEDADES!$M$4:$M$1503,$B65))</f>
        <v/>
      </c>
      <c r="J65" s="24">
        <f>IF($B65="","",COUNTIFS(NOVEDADES!$M$4:$M$1503,$B65,NOVEDADES!$AA$4:$AA$1503,"Vencida",NOVEDADES!$B$4:$B$1503,"&gt;="&amp;$E$4,NOVEDADES!$B$4:$B$1503,"&lt;="&amp;$G$4))</f>
        <v/>
      </c>
      <c r="K65" s="56">
        <f>IF($B65="","",IFERROR(ROUND(AVERAGEIFS(NOVEDADES!$Z$4:$Z$1503,NOVEDADES!$M$4:$M$1503,$B65,NOVEDADES!$B$4:$B$1503,"&gt;="&amp;$E$4,NOVEDADES!$B$4:$B$1503,"&lt;="&amp;$G$4),1),0))</f>
        <v/>
      </c>
      <c r="L65" s="28" t="n"/>
      <c r="M65" s="28" t="n"/>
    </row>
    <row r="66">
      <c r="B66" s="23">
        <f>IF(CONFIG!$A21="","",CONFIG!$A21)</f>
        <v/>
      </c>
      <c r="C66" s="9" t="n"/>
      <c r="D66" s="24">
        <f>IF($B66="","",COUNTIFS(NOVEDADES!$M$4:$M$1503,$B66,NOVEDADES!$B$4:$B$1503,"&gt;="&amp;$E$4,NOVEDADES!$B$4:$B$1503,"&lt;="&amp;$G$4))</f>
        <v/>
      </c>
      <c r="E66" s="55">
        <f>IF($B66="","",IFERROR($D66/$D$81,0))</f>
        <v/>
      </c>
      <c r="F66" s="27">
        <f>IF($B66="","",SUMIFS(NOVEDADES!$U$4:$U$1503,NOVEDADES!$M$4:$M$1503,$B66,NOVEDADES!$B$4:$B$1503,"&gt;="&amp;$E$4,NOVEDADES!$B$4:$B$1503,"&lt;="&amp;$G$4))</f>
        <v/>
      </c>
      <c r="G66" s="28">
        <f>IF($B66="","",IFERROR(INDEX(CONFIG!$B$4:$B$63,MATCH($B66,CONFIG!$A$4:$A$63,0)),""))</f>
        <v/>
      </c>
      <c r="H66" s="28">
        <f>IF($B66="","",IFERROR(INDEX(CONFIG!$C$4:$C$63,MATCH($B66,CONFIG!$A$4:$A$63,0)),""))</f>
        <v/>
      </c>
      <c r="I66" s="24">
        <f>IF($B66="","",COUNTIFS(NOVEDADES!$AA$4:$AA$1503,"En plazo",NOVEDADES!$B$4:$B$1503,"&gt;="&amp;$E$4,NOVEDADES!$B$4:$B$1503,"&lt;="&amp;$G$4,NOVEDADES!$M$4:$M$1503,$B66)+COUNTIFS(NOVEDADES!$AA$4:$AA$1503,"Por vencer",NOVEDADES!$B$4:$B$1503,"&gt;="&amp;$E$4,NOVEDADES!$B$4:$B$1503,"&lt;="&amp;$G$4,NOVEDADES!$M$4:$M$1503,$B66)+COUNTIFS(NOVEDADES!$AA$4:$AA$1503,"Vencida",NOVEDADES!$B$4:$B$1503,"&gt;="&amp;$E$4,NOVEDADES!$B$4:$B$1503,"&lt;="&amp;$G$4,NOVEDADES!$M$4:$M$1503,$B66)+COUNTIFS(NOVEDADES!$AA$4:$AA$1503,"Sin clasificar",NOVEDADES!$B$4:$B$1503,"&gt;="&amp;$E$4,NOVEDADES!$B$4:$B$1503,"&lt;="&amp;$G$4,NOVEDADES!$M$4:$M$1503,$B66))</f>
        <v/>
      </c>
      <c r="J66" s="24">
        <f>IF($B66="","",COUNTIFS(NOVEDADES!$M$4:$M$1503,$B66,NOVEDADES!$AA$4:$AA$1503,"Vencida",NOVEDADES!$B$4:$B$1503,"&gt;="&amp;$E$4,NOVEDADES!$B$4:$B$1503,"&lt;="&amp;$G$4))</f>
        <v/>
      </c>
      <c r="K66" s="56">
        <f>IF($B66="","",IFERROR(ROUND(AVERAGEIFS(NOVEDADES!$Z$4:$Z$1503,NOVEDADES!$M$4:$M$1503,$B66,NOVEDADES!$B$4:$B$1503,"&gt;="&amp;$E$4,NOVEDADES!$B$4:$B$1503,"&lt;="&amp;$G$4),1),0))</f>
        <v/>
      </c>
      <c r="L66" s="28" t="n"/>
      <c r="M66" s="28" t="n"/>
    </row>
    <row r="67">
      <c r="B67" s="23">
        <f>IF(CONFIG!$A22="","",CONFIG!$A22)</f>
        <v/>
      </c>
      <c r="C67" s="9" t="n"/>
      <c r="D67" s="24">
        <f>IF($B67="","",COUNTIFS(NOVEDADES!$M$4:$M$1503,$B67,NOVEDADES!$B$4:$B$1503,"&gt;="&amp;$E$4,NOVEDADES!$B$4:$B$1503,"&lt;="&amp;$G$4))</f>
        <v/>
      </c>
      <c r="E67" s="55">
        <f>IF($B67="","",IFERROR($D67/$D$81,0))</f>
        <v/>
      </c>
      <c r="F67" s="27">
        <f>IF($B67="","",SUMIFS(NOVEDADES!$U$4:$U$1503,NOVEDADES!$M$4:$M$1503,$B67,NOVEDADES!$B$4:$B$1503,"&gt;="&amp;$E$4,NOVEDADES!$B$4:$B$1503,"&lt;="&amp;$G$4))</f>
        <v/>
      </c>
      <c r="G67" s="28">
        <f>IF($B67="","",IFERROR(INDEX(CONFIG!$B$4:$B$63,MATCH($B67,CONFIG!$A$4:$A$63,0)),""))</f>
        <v/>
      </c>
      <c r="H67" s="28">
        <f>IF($B67="","",IFERROR(INDEX(CONFIG!$C$4:$C$63,MATCH($B67,CONFIG!$A$4:$A$63,0)),""))</f>
        <v/>
      </c>
      <c r="I67" s="24">
        <f>IF($B67="","",COUNTIFS(NOVEDADES!$AA$4:$AA$1503,"En plazo",NOVEDADES!$B$4:$B$1503,"&gt;="&amp;$E$4,NOVEDADES!$B$4:$B$1503,"&lt;="&amp;$G$4,NOVEDADES!$M$4:$M$1503,$B67)+COUNTIFS(NOVEDADES!$AA$4:$AA$1503,"Por vencer",NOVEDADES!$B$4:$B$1503,"&gt;="&amp;$E$4,NOVEDADES!$B$4:$B$1503,"&lt;="&amp;$G$4,NOVEDADES!$M$4:$M$1503,$B67)+COUNTIFS(NOVEDADES!$AA$4:$AA$1503,"Vencida",NOVEDADES!$B$4:$B$1503,"&gt;="&amp;$E$4,NOVEDADES!$B$4:$B$1503,"&lt;="&amp;$G$4,NOVEDADES!$M$4:$M$1503,$B67)+COUNTIFS(NOVEDADES!$AA$4:$AA$1503,"Sin clasificar",NOVEDADES!$B$4:$B$1503,"&gt;="&amp;$E$4,NOVEDADES!$B$4:$B$1503,"&lt;="&amp;$G$4,NOVEDADES!$M$4:$M$1503,$B67))</f>
        <v/>
      </c>
      <c r="J67" s="24">
        <f>IF($B67="","",COUNTIFS(NOVEDADES!$M$4:$M$1503,$B67,NOVEDADES!$AA$4:$AA$1503,"Vencida",NOVEDADES!$B$4:$B$1503,"&gt;="&amp;$E$4,NOVEDADES!$B$4:$B$1503,"&lt;="&amp;$G$4))</f>
        <v/>
      </c>
      <c r="K67" s="56">
        <f>IF($B67="","",IFERROR(ROUND(AVERAGEIFS(NOVEDADES!$Z$4:$Z$1503,NOVEDADES!$M$4:$M$1503,$B67,NOVEDADES!$B$4:$B$1503,"&gt;="&amp;$E$4,NOVEDADES!$B$4:$B$1503,"&lt;="&amp;$G$4),1),0))</f>
        <v/>
      </c>
      <c r="L67" s="28" t="n"/>
      <c r="M67" s="28" t="n"/>
    </row>
    <row r="68">
      <c r="B68" s="23">
        <f>IF(CONFIG!$A23="","",CONFIG!$A23)</f>
        <v/>
      </c>
      <c r="C68" s="9" t="n"/>
      <c r="D68" s="24">
        <f>IF($B68="","",COUNTIFS(NOVEDADES!$M$4:$M$1503,$B68,NOVEDADES!$B$4:$B$1503,"&gt;="&amp;$E$4,NOVEDADES!$B$4:$B$1503,"&lt;="&amp;$G$4))</f>
        <v/>
      </c>
      <c r="E68" s="55">
        <f>IF($B68="","",IFERROR($D68/$D$81,0))</f>
        <v/>
      </c>
      <c r="F68" s="27">
        <f>IF($B68="","",SUMIFS(NOVEDADES!$U$4:$U$1503,NOVEDADES!$M$4:$M$1503,$B68,NOVEDADES!$B$4:$B$1503,"&gt;="&amp;$E$4,NOVEDADES!$B$4:$B$1503,"&lt;="&amp;$G$4))</f>
        <v/>
      </c>
      <c r="G68" s="28">
        <f>IF($B68="","",IFERROR(INDEX(CONFIG!$B$4:$B$63,MATCH($B68,CONFIG!$A$4:$A$63,0)),""))</f>
        <v/>
      </c>
      <c r="H68" s="28">
        <f>IF($B68="","",IFERROR(INDEX(CONFIG!$C$4:$C$63,MATCH($B68,CONFIG!$A$4:$A$63,0)),""))</f>
        <v/>
      </c>
      <c r="I68" s="24">
        <f>IF($B68="","",COUNTIFS(NOVEDADES!$AA$4:$AA$1503,"En plazo",NOVEDADES!$B$4:$B$1503,"&gt;="&amp;$E$4,NOVEDADES!$B$4:$B$1503,"&lt;="&amp;$G$4,NOVEDADES!$M$4:$M$1503,$B68)+COUNTIFS(NOVEDADES!$AA$4:$AA$1503,"Por vencer",NOVEDADES!$B$4:$B$1503,"&gt;="&amp;$E$4,NOVEDADES!$B$4:$B$1503,"&lt;="&amp;$G$4,NOVEDADES!$M$4:$M$1503,$B68)+COUNTIFS(NOVEDADES!$AA$4:$AA$1503,"Vencida",NOVEDADES!$B$4:$B$1503,"&gt;="&amp;$E$4,NOVEDADES!$B$4:$B$1503,"&lt;="&amp;$G$4,NOVEDADES!$M$4:$M$1503,$B68)+COUNTIFS(NOVEDADES!$AA$4:$AA$1503,"Sin clasificar",NOVEDADES!$B$4:$B$1503,"&gt;="&amp;$E$4,NOVEDADES!$B$4:$B$1503,"&lt;="&amp;$G$4,NOVEDADES!$M$4:$M$1503,$B68))</f>
        <v/>
      </c>
      <c r="J68" s="24">
        <f>IF($B68="","",COUNTIFS(NOVEDADES!$M$4:$M$1503,$B68,NOVEDADES!$AA$4:$AA$1503,"Vencida",NOVEDADES!$B$4:$B$1503,"&gt;="&amp;$E$4,NOVEDADES!$B$4:$B$1503,"&lt;="&amp;$G$4))</f>
        <v/>
      </c>
      <c r="K68" s="56">
        <f>IF($B68="","",IFERROR(ROUND(AVERAGEIFS(NOVEDADES!$Z$4:$Z$1503,NOVEDADES!$M$4:$M$1503,$B68,NOVEDADES!$B$4:$B$1503,"&gt;="&amp;$E$4,NOVEDADES!$B$4:$B$1503,"&lt;="&amp;$G$4),1),0))</f>
        <v/>
      </c>
      <c r="L68" s="28" t="n"/>
      <c r="M68" s="28" t="n"/>
    </row>
    <row r="69">
      <c r="B69" s="23">
        <f>IF(CONFIG!$A24="","",CONFIG!$A24)</f>
        <v/>
      </c>
      <c r="C69" s="9" t="n"/>
      <c r="D69" s="24">
        <f>IF($B69="","",COUNTIFS(NOVEDADES!$M$4:$M$1503,$B69,NOVEDADES!$B$4:$B$1503,"&gt;="&amp;$E$4,NOVEDADES!$B$4:$B$1503,"&lt;="&amp;$G$4))</f>
        <v/>
      </c>
      <c r="E69" s="55">
        <f>IF($B69="","",IFERROR($D69/$D$81,0))</f>
        <v/>
      </c>
      <c r="F69" s="27">
        <f>IF($B69="","",SUMIFS(NOVEDADES!$U$4:$U$1503,NOVEDADES!$M$4:$M$1503,$B69,NOVEDADES!$B$4:$B$1503,"&gt;="&amp;$E$4,NOVEDADES!$B$4:$B$1503,"&lt;="&amp;$G$4))</f>
        <v/>
      </c>
      <c r="G69" s="28">
        <f>IF($B69="","",IFERROR(INDEX(CONFIG!$B$4:$B$63,MATCH($B69,CONFIG!$A$4:$A$63,0)),""))</f>
        <v/>
      </c>
      <c r="H69" s="28">
        <f>IF($B69="","",IFERROR(INDEX(CONFIG!$C$4:$C$63,MATCH($B69,CONFIG!$A$4:$A$63,0)),""))</f>
        <v/>
      </c>
      <c r="I69" s="24">
        <f>IF($B69="","",COUNTIFS(NOVEDADES!$AA$4:$AA$1503,"En plazo",NOVEDADES!$B$4:$B$1503,"&gt;="&amp;$E$4,NOVEDADES!$B$4:$B$1503,"&lt;="&amp;$G$4,NOVEDADES!$M$4:$M$1503,$B69)+COUNTIFS(NOVEDADES!$AA$4:$AA$1503,"Por vencer",NOVEDADES!$B$4:$B$1503,"&gt;="&amp;$E$4,NOVEDADES!$B$4:$B$1503,"&lt;="&amp;$G$4,NOVEDADES!$M$4:$M$1503,$B69)+COUNTIFS(NOVEDADES!$AA$4:$AA$1503,"Vencida",NOVEDADES!$B$4:$B$1503,"&gt;="&amp;$E$4,NOVEDADES!$B$4:$B$1503,"&lt;="&amp;$G$4,NOVEDADES!$M$4:$M$1503,$B69)+COUNTIFS(NOVEDADES!$AA$4:$AA$1503,"Sin clasificar",NOVEDADES!$B$4:$B$1503,"&gt;="&amp;$E$4,NOVEDADES!$B$4:$B$1503,"&lt;="&amp;$G$4,NOVEDADES!$M$4:$M$1503,$B69))</f>
        <v/>
      </c>
      <c r="J69" s="24">
        <f>IF($B69="","",COUNTIFS(NOVEDADES!$M$4:$M$1503,$B69,NOVEDADES!$AA$4:$AA$1503,"Vencida",NOVEDADES!$B$4:$B$1503,"&gt;="&amp;$E$4,NOVEDADES!$B$4:$B$1503,"&lt;="&amp;$G$4))</f>
        <v/>
      </c>
      <c r="K69" s="56">
        <f>IF($B69="","",IFERROR(ROUND(AVERAGEIFS(NOVEDADES!$Z$4:$Z$1503,NOVEDADES!$M$4:$M$1503,$B69,NOVEDADES!$B$4:$B$1503,"&gt;="&amp;$E$4,NOVEDADES!$B$4:$B$1503,"&lt;="&amp;$G$4),1),0))</f>
        <v/>
      </c>
      <c r="L69" s="28" t="n"/>
      <c r="M69" s="28" t="n"/>
    </row>
    <row r="70">
      <c r="B70" s="23">
        <f>IF(CONFIG!$A25="","",CONFIG!$A25)</f>
        <v/>
      </c>
      <c r="C70" s="9" t="n"/>
      <c r="D70" s="24">
        <f>IF($B70="","",COUNTIFS(NOVEDADES!$M$4:$M$1503,$B70,NOVEDADES!$B$4:$B$1503,"&gt;="&amp;$E$4,NOVEDADES!$B$4:$B$1503,"&lt;="&amp;$G$4))</f>
        <v/>
      </c>
      <c r="E70" s="55">
        <f>IF($B70="","",IFERROR($D70/$D$81,0))</f>
        <v/>
      </c>
      <c r="F70" s="27">
        <f>IF($B70="","",SUMIFS(NOVEDADES!$U$4:$U$1503,NOVEDADES!$M$4:$M$1503,$B70,NOVEDADES!$B$4:$B$1503,"&gt;="&amp;$E$4,NOVEDADES!$B$4:$B$1503,"&lt;="&amp;$G$4))</f>
        <v/>
      </c>
      <c r="G70" s="28">
        <f>IF($B70="","",IFERROR(INDEX(CONFIG!$B$4:$B$63,MATCH($B70,CONFIG!$A$4:$A$63,0)),""))</f>
        <v/>
      </c>
      <c r="H70" s="28">
        <f>IF($B70="","",IFERROR(INDEX(CONFIG!$C$4:$C$63,MATCH($B70,CONFIG!$A$4:$A$63,0)),""))</f>
        <v/>
      </c>
      <c r="I70" s="24">
        <f>IF($B70="","",COUNTIFS(NOVEDADES!$AA$4:$AA$1503,"En plazo",NOVEDADES!$B$4:$B$1503,"&gt;="&amp;$E$4,NOVEDADES!$B$4:$B$1503,"&lt;="&amp;$G$4,NOVEDADES!$M$4:$M$1503,$B70)+COUNTIFS(NOVEDADES!$AA$4:$AA$1503,"Por vencer",NOVEDADES!$B$4:$B$1503,"&gt;="&amp;$E$4,NOVEDADES!$B$4:$B$1503,"&lt;="&amp;$G$4,NOVEDADES!$M$4:$M$1503,$B70)+COUNTIFS(NOVEDADES!$AA$4:$AA$1503,"Vencida",NOVEDADES!$B$4:$B$1503,"&gt;="&amp;$E$4,NOVEDADES!$B$4:$B$1503,"&lt;="&amp;$G$4,NOVEDADES!$M$4:$M$1503,$B70)+COUNTIFS(NOVEDADES!$AA$4:$AA$1503,"Sin clasificar",NOVEDADES!$B$4:$B$1503,"&gt;="&amp;$E$4,NOVEDADES!$B$4:$B$1503,"&lt;="&amp;$G$4,NOVEDADES!$M$4:$M$1503,$B70))</f>
        <v/>
      </c>
      <c r="J70" s="24">
        <f>IF($B70="","",COUNTIFS(NOVEDADES!$M$4:$M$1503,$B70,NOVEDADES!$AA$4:$AA$1503,"Vencida",NOVEDADES!$B$4:$B$1503,"&gt;="&amp;$E$4,NOVEDADES!$B$4:$B$1503,"&lt;="&amp;$G$4))</f>
        <v/>
      </c>
      <c r="K70" s="56">
        <f>IF($B70="","",IFERROR(ROUND(AVERAGEIFS(NOVEDADES!$Z$4:$Z$1503,NOVEDADES!$M$4:$M$1503,$B70,NOVEDADES!$B$4:$B$1503,"&gt;="&amp;$E$4,NOVEDADES!$B$4:$B$1503,"&lt;="&amp;$G$4),1),0))</f>
        <v/>
      </c>
      <c r="L70" s="28" t="n"/>
      <c r="M70" s="28" t="n"/>
    </row>
    <row r="71">
      <c r="B71" s="23">
        <f>IF(CONFIG!$A26="","",CONFIG!$A26)</f>
        <v/>
      </c>
      <c r="C71" s="9" t="n"/>
      <c r="D71" s="24">
        <f>IF($B71="","",COUNTIFS(NOVEDADES!$M$4:$M$1503,$B71,NOVEDADES!$B$4:$B$1503,"&gt;="&amp;$E$4,NOVEDADES!$B$4:$B$1503,"&lt;="&amp;$G$4))</f>
        <v/>
      </c>
      <c r="E71" s="55">
        <f>IF($B71="","",IFERROR($D71/$D$81,0))</f>
        <v/>
      </c>
      <c r="F71" s="27">
        <f>IF($B71="","",SUMIFS(NOVEDADES!$U$4:$U$1503,NOVEDADES!$M$4:$M$1503,$B71,NOVEDADES!$B$4:$B$1503,"&gt;="&amp;$E$4,NOVEDADES!$B$4:$B$1503,"&lt;="&amp;$G$4))</f>
        <v/>
      </c>
      <c r="G71" s="28">
        <f>IF($B71="","",IFERROR(INDEX(CONFIG!$B$4:$B$63,MATCH($B71,CONFIG!$A$4:$A$63,0)),""))</f>
        <v/>
      </c>
      <c r="H71" s="28">
        <f>IF($B71="","",IFERROR(INDEX(CONFIG!$C$4:$C$63,MATCH($B71,CONFIG!$A$4:$A$63,0)),""))</f>
        <v/>
      </c>
      <c r="I71" s="24">
        <f>IF($B71="","",COUNTIFS(NOVEDADES!$AA$4:$AA$1503,"En plazo",NOVEDADES!$B$4:$B$1503,"&gt;="&amp;$E$4,NOVEDADES!$B$4:$B$1503,"&lt;="&amp;$G$4,NOVEDADES!$M$4:$M$1503,$B71)+COUNTIFS(NOVEDADES!$AA$4:$AA$1503,"Por vencer",NOVEDADES!$B$4:$B$1503,"&gt;="&amp;$E$4,NOVEDADES!$B$4:$B$1503,"&lt;="&amp;$G$4,NOVEDADES!$M$4:$M$1503,$B71)+COUNTIFS(NOVEDADES!$AA$4:$AA$1503,"Vencida",NOVEDADES!$B$4:$B$1503,"&gt;="&amp;$E$4,NOVEDADES!$B$4:$B$1503,"&lt;="&amp;$G$4,NOVEDADES!$M$4:$M$1503,$B71)+COUNTIFS(NOVEDADES!$AA$4:$AA$1503,"Sin clasificar",NOVEDADES!$B$4:$B$1503,"&gt;="&amp;$E$4,NOVEDADES!$B$4:$B$1503,"&lt;="&amp;$G$4,NOVEDADES!$M$4:$M$1503,$B71))</f>
        <v/>
      </c>
      <c r="J71" s="24">
        <f>IF($B71="","",COUNTIFS(NOVEDADES!$M$4:$M$1503,$B71,NOVEDADES!$AA$4:$AA$1503,"Vencida",NOVEDADES!$B$4:$B$1503,"&gt;="&amp;$E$4,NOVEDADES!$B$4:$B$1503,"&lt;="&amp;$G$4))</f>
        <v/>
      </c>
      <c r="K71" s="56">
        <f>IF($B71="","",IFERROR(ROUND(AVERAGEIFS(NOVEDADES!$Z$4:$Z$1503,NOVEDADES!$M$4:$M$1503,$B71,NOVEDADES!$B$4:$B$1503,"&gt;="&amp;$E$4,NOVEDADES!$B$4:$B$1503,"&lt;="&amp;$G$4),1),0))</f>
        <v/>
      </c>
      <c r="L71" s="28" t="n"/>
      <c r="M71" s="28" t="n"/>
    </row>
    <row r="72">
      <c r="B72" s="23">
        <f>IF(CONFIG!$A27="","",CONFIG!$A27)</f>
        <v/>
      </c>
      <c r="C72" s="9" t="n"/>
      <c r="D72" s="24">
        <f>IF($B72="","",COUNTIFS(NOVEDADES!$M$4:$M$1503,$B72,NOVEDADES!$B$4:$B$1503,"&gt;="&amp;$E$4,NOVEDADES!$B$4:$B$1503,"&lt;="&amp;$G$4))</f>
        <v/>
      </c>
      <c r="E72" s="55">
        <f>IF($B72="","",IFERROR($D72/$D$81,0))</f>
        <v/>
      </c>
      <c r="F72" s="27">
        <f>IF($B72="","",SUMIFS(NOVEDADES!$U$4:$U$1503,NOVEDADES!$M$4:$M$1503,$B72,NOVEDADES!$B$4:$B$1503,"&gt;="&amp;$E$4,NOVEDADES!$B$4:$B$1503,"&lt;="&amp;$G$4))</f>
        <v/>
      </c>
      <c r="G72" s="28">
        <f>IF($B72="","",IFERROR(INDEX(CONFIG!$B$4:$B$63,MATCH($B72,CONFIG!$A$4:$A$63,0)),""))</f>
        <v/>
      </c>
      <c r="H72" s="28">
        <f>IF($B72="","",IFERROR(INDEX(CONFIG!$C$4:$C$63,MATCH($B72,CONFIG!$A$4:$A$63,0)),""))</f>
        <v/>
      </c>
      <c r="I72" s="24">
        <f>IF($B72="","",COUNTIFS(NOVEDADES!$AA$4:$AA$1503,"En plazo",NOVEDADES!$B$4:$B$1503,"&gt;="&amp;$E$4,NOVEDADES!$B$4:$B$1503,"&lt;="&amp;$G$4,NOVEDADES!$M$4:$M$1503,$B72)+COUNTIFS(NOVEDADES!$AA$4:$AA$1503,"Por vencer",NOVEDADES!$B$4:$B$1503,"&gt;="&amp;$E$4,NOVEDADES!$B$4:$B$1503,"&lt;="&amp;$G$4,NOVEDADES!$M$4:$M$1503,$B72)+COUNTIFS(NOVEDADES!$AA$4:$AA$1503,"Vencida",NOVEDADES!$B$4:$B$1503,"&gt;="&amp;$E$4,NOVEDADES!$B$4:$B$1503,"&lt;="&amp;$G$4,NOVEDADES!$M$4:$M$1503,$B72)+COUNTIFS(NOVEDADES!$AA$4:$AA$1503,"Sin clasificar",NOVEDADES!$B$4:$B$1503,"&gt;="&amp;$E$4,NOVEDADES!$B$4:$B$1503,"&lt;="&amp;$G$4,NOVEDADES!$M$4:$M$1503,$B72))</f>
        <v/>
      </c>
      <c r="J72" s="24">
        <f>IF($B72="","",COUNTIFS(NOVEDADES!$M$4:$M$1503,$B72,NOVEDADES!$AA$4:$AA$1503,"Vencida",NOVEDADES!$B$4:$B$1503,"&gt;="&amp;$E$4,NOVEDADES!$B$4:$B$1503,"&lt;="&amp;$G$4))</f>
        <v/>
      </c>
      <c r="K72" s="56">
        <f>IF($B72="","",IFERROR(ROUND(AVERAGEIFS(NOVEDADES!$Z$4:$Z$1503,NOVEDADES!$M$4:$M$1503,$B72,NOVEDADES!$B$4:$B$1503,"&gt;="&amp;$E$4,NOVEDADES!$B$4:$B$1503,"&lt;="&amp;$G$4),1),0))</f>
        <v/>
      </c>
      <c r="L72" s="28" t="n"/>
      <c r="M72" s="28" t="n"/>
    </row>
    <row r="73">
      <c r="B73" s="23">
        <f>IF(CONFIG!$A28="","",CONFIG!$A28)</f>
        <v/>
      </c>
      <c r="C73" s="9" t="n"/>
      <c r="D73" s="24">
        <f>IF($B73="","",COUNTIFS(NOVEDADES!$M$4:$M$1503,$B73,NOVEDADES!$B$4:$B$1503,"&gt;="&amp;$E$4,NOVEDADES!$B$4:$B$1503,"&lt;="&amp;$G$4))</f>
        <v/>
      </c>
      <c r="E73" s="55">
        <f>IF($B73="","",IFERROR($D73/$D$81,0))</f>
        <v/>
      </c>
      <c r="F73" s="27">
        <f>IF($B73="","",SUMIFS(NOVEDADES!$U$4:$U$1503,NOVEDADES!$M$4:$M$1503,$B73,NOVEDADES!$B$4:$B$1503,"&gt;="&amp;$E$4,NOVEDADES!$B$4:$B$1503,"&lt;="&amp;$G$4))</f>
        <v/>
      </c>
      <c r="G73" s="28">
        <f>IF($B73="","",IFERROR(INDEX(CONFIG!$B$4:$B$63,MATCH($B73,CONFIG!$A$4:$A$63,0)),""))</f>
        <v/>
      </c>
      <c r="H73" s="28">
        <f>IF($B73="","",IFERROR(INDEX(CONFIG!$C$4:$C$63,MATCH($B73,CONFIG!$A$4:$A$63,0)),""))</f>
        <v/>
      </c>
      <c r="I73" s="24">
        <f>IF($B73="","",COUNTIFS(NOVEDADES!$AA$4:$AA$1503,"En plazo",NOVEDADES!$B$4:$B$1503,"&gt;="&amp;$E$4,NOVEDADES!$B$4:$B$1503,"&lt;="&amp;$G$4,NOVEDADES!$M$4:$M$1503,$B73)+COUNTIFS(NOVEDADES!$AA$4:$AA$1503,"Por vencer",NOVEDADES!$B$4:$B$1503,"&gt;="&amp;$E$4,NOVEDADES!$B$4:$B$1503,"&lt;="&amp;$G$4,NOVEDADES!$M$4:$M$1503,$B73)+COUNTIFS(NOVEDADES!$AA$4:$AA$1503,"Vencida",NOVEDADES!$B$4:$B$1503,"&gt;="&amp;$E$4,NOVEDADES!$B$4:$B$1503,"&lt;="&amp;$G$4,NOVEDADES!$M$4:$M$1503,$B73)+COUNTIFS(NOVEDADES!$AA$4:$AA$1503,"Sin clasificar",NOVEDADES!$B$4:$B$1503,"&gt;="&amp;$E$4,NOVEDADES!$B$4:$B$1503,"&lt;="&amp;$G$4,NOVEDADES!$M$4:$M$1503,$B73))</f>
        <v/>
      </c>
      <c r="J73" s="24">
        <f>IF($B73="","",COUNTIFS(NOVEDADES!$M$4:$M$1503,$B73,NOVEDADES!$AA$4:$AA$1503,"Vencida",NOVEDADES!$B$4:$B$1503,"&gt;="&amp;$E$4,NOVEDADES!$B$4:$B$1503,"&lt;="&amp;$G$4))</f>
        <v/>
      </c>
      <c r="K73" s="56">
        <f>IF($B73="","",IFERROR(ROUND(AVERAGEIFS(NOVEDADES!$Z$4:$Z$1503,NOVEDADES!$M$4:$M$1503,$B73,NOVEDADES!$B$4:$B$1503,"&gt;="&amp;$E$4,NOVEDADES!$B$4:$B$1503,"&lt;="&amp;$G$4),1),0))</f>
        <v/>
      </c>
      <c r="L73" s="28" t="n"/>
      <c r="M73" s="28" t="n"/>
    </row>
    <row r="74">
      <c r="B74" s="23">
        <f>IF(CONFIG!$A29="","",CONFIG!$A29)</f>
        <v/>
      </c>
      <c r="C74" s="9" t="n"/>
      <c r="D74" s="24">
        <f>IF($B74="","",COUNTIFS(NOVEDADES!$M$4:$M$1503,$B74,NOVEDADES!$B$4:$B$1503,"&gt;="&amp;$E$4,NOVEDADES!$B$4:$B$1503,"&lt;="&amp;$G$4))</f>
        <v/>
      </c>
      <c r="E74" s="55">
        <f>IF($B74="","",IFERROR($D74/$D$81,0))</f>
        <v/>
      </c>
      <c r="F74" s="27">
        <f>IF($B74="","",SUMIFS(NOVEDADES!$U$4:$U$1503,NOVEDADES!$M$4:$M$1503,$B74,NOVEDADES!$B$4:$B$1503,"&gt;="&amp;$E$4,NOVEDADES!$B$4:$B$1503,"&lt;="&amp;$G$4))</f>
        <v/>
      </c>
      <c r="G74" s="28">
        <f>IF($B74="","",IFERROR(INDEX(CONFIG!$B$4:$B$63,MATCH($B74,CONFIG!$A$4:$A$63,0)),""))</f>
        <v/>
      </c>
      <c r="H74" s="28">
        <f>IF($B74="","",IFERROR(INDEX(CONFIG!$C$4:$C$63,MATCH($B74,CONFIG!$A$4:$A$63,0)),""))</f>
        <v/>
      </c>
      <c r="I74" s="24">
        <f>IF($B74="","",COUNTIFS(NOVEDADES!$AA$4:$AA$1503,"En plazo",NOVEDADES!$B$4:$B$1503,"&gt;="&amp;$E$4,NOVEDADES!$B$4:$B$1503,"&lt;="&amp;$G$4,NOVEDADES!$M$4:$M$1503,$B74)+COUNTIFS(NOVEDADES!$AA$4:$AA$1503,"Por vencer",NOVEDADES!$B$4:$B$1503,"&gt;="&amp;$E$4,NOVEDADES!$B$4:$B$1503,"&lt;="&amp;$G$4,NOVEDADES!$M$4:$M$1503,$B74)+COUNTIFS(NOVEDADES!$AA$4:$AA$1503,"Vencida",NOVEDADES!$B$4:$B$1503,"&gt;="&amp;$E$4,NOVEDADES!$B$4:$B$1503,"&lt;="&amp;$G$4,NOVEDADES!$M$4:$M$1503,$B74)+COUNTIFS(NOVEDADES!$AA$4:$AA$1503,"Sin clasificar",NOVEDADES!$B$4:$B$1503,"&gt;="&amp;$E$4,NOVEDADES!$B$4:$B$1503,"&lt;="&amp;$G$4,NOVEDADES!$M$4:$M$1503,$B74))</f>
        <v/>
      </c>
      <c r="J74" s="24">
        <f>IF($B74="","",COUNTIFS(NOVEDADES!$M$4:$M$1503,$B74,NOVEDADES!$AA$4:$AA$1503,"Vencida",NOVEDADES!$B$4:$B$1503,"&gt;="&amp;$E$4,NOVEDADES!$B$4:$B$1503,"&lt;="&amp;$G$4))</f>
        <v/>
      </c>
      <c r="K74" s="56">
        <f>IF($B74="","",IFERROR(ROUND(AVERAGEIFS(NOVEDADES!$Z$4:$Z$1503,NOVEDADES!$M$4:$M$1503,$B74,NOVEDADES!$B$4:$B$1503,"&gt;="&amp;$E$4,NOVEDADES!$B$4:$B$1503,"&lt;="&amp;$G$4),1),0))</f>
        <v/>
      </c>
      <c r="L74" s="28" t="n"/>
      <c r="M74" s="28" t="n"/>
    </row>
    <row r="75">
      <c r="B75" s="23">
        <f>IF(CONFIG!$A30="","",CONFIG!$A30)</f>
        <v/>
      </c>
      <c r="C75" s="9" t="n"/>
      <c r="D75" s="24">
        <f>IF($B75="","",COUNTIFS(NOVEDADES!$M$4:$M$1503,$B75,NOVEDADES!$B$4:$B$1503,"&gt;="&amp;$E$4,NOVEDADES!$B$4:$B$1503,"&lt;="&amp;$G$4))</f>
        <v/>
      </c>
      <c r="E75" s="55">
        <f>IF($B75="","",IFERROR($D75/$D$81,0))</f>
        <v/>
      </c>
      <c r="F75" s="27">
        <f>IF($B75="","",SUMIFS(NOVEDADES!$U$4:$U$1503,NOVEDADES!$M$4:$M$1503,$B75,NOVEDADES!$B$4:$B$1503,"&gt;="&amp;$E$4,NOVEDADES!$B$4:$B$1503,"&lt;="&amp;$G$4))</f>
        <v/>
      </c>
      <c r="G75" s="28">
        <f>IF($B75="","",IFERROR(INDEX(CONFIG!$B$4:$B$63,MATCH($B75,CONFIG!$A$4:$A$63,0)),""))</f>
        <v/>
      </c>
      <c r="H75" s="28">
        <f>IF($B75="","",IFERROR(INDEX(CONFIG!$C$4:$C$63,MATCH($B75,CONFIG!$A$4:$A$63,0)),""))</f>
        <v/>
      </c>
      <c r="I75" s="24">
        <f>IF($B75="","",COUNTIFS(NOVEDADES!$AA$4:$AA$1503,"En plazo",NOVEDADES!$B$4:$B$1503,"&gt;="&amp;$E$4,NOVEDADES!$B$4:$B$1503,"&lt;="&amp;$G$4,NOVEDADES!$M$4:$M$1503,$B75)+COUNTIFS(NOVEDADES!$AA$4:$AA$1503,"Por vencer",NOVEDADES!$B$4:$B$1503,"&gt;="&amp;$E$4,NOVEDADES!$B$4:$B$1503,"&lt;="&amp;$G$4,NOVEDADES!$M$4:$M$1503,$B75)+COUNTIFS(NOVEDADES!$AA$4:$AA$1503,"Vencida",NOVEDADES!$B$4:$B$1503,"&gt;="&amp;$E$4,NOVEDADES!$B$4:$B$1503,"&lt;="&amp;$G$4,NOVEDADES!$M$4:$M$1503,$B75)+COUNTIFS(NOVEDADES!$AA$4:$AA$1503,"Sin clasificar",NOVEDADES!$B$4:$B$1503,"&gt;="&amp;$E$4,NOVEDADES!$B$4:$B$1503,"&lt;="&amp;$G$4,NOVEDADES!$M$4:$M$1503,$B75))</f>
        <v/>
      </c>
      <c r="J75" s="24">
        <f>IF($B75="","",COUNTIFS(NOVEDADES!$M$4:$M$1503,$B75,NOVEDADES!$AA$4:$AA$1503,"Vencida",NOVEDADES!$B$4:$B$1503,"&gt;="&amp;$E$4,NOVEDADES!$B$4:$B$1503,"&lt;="&amp;$G$4))</f>
        <v/>
      </c>
      <c r="K75" s="56">
        <f>IF($B75="","",IFERROR(ROUND(AVERAGEIFS(NOVEDADES!$Z$4:$Z$1503,NOVEDADES!$M$4:$M$1503,$B75,NOVEDADES!$B$4:$B$1503,"&gt;="&amp;$E$4,NOVEDADES!$B$4:$B$1503,"&lt;="&amp;$G$4),1),0))</f>
        <v/>
      </c>
      <c r="L75" s="28" t="n"/>
      <c r="M75" s="28" t="n"/>
    </row>
    <row r="76">
      <c r="B76" s="23">
        <f>IF(CONFIG!$A31="","",CONFIG!$A31)</f>
        <v/>
      </c>
      <c r="C76" s="9" t="n"/>
      <c r="D76" s="24">
        <f>IF($B76="","",COUNTIFS(NOVEDADES!$M$4:$M$1503,$B76,NOVEDADES!$B$4:$B$1503,"&gt;="&amp;$E$4,NOVEDADES!$B$4:$B$1503,"&lt;="&amp;$G$4))</f>
        <v/>
      </c>
      <c r="E76" s="55">
        <f>IF($B76="","",IFERROR($D76/$D$81,0))</f>
        <v/>
      </c>
      <c r="F76" s="27">
        <f>IF($B76="","",SUMIFS(NOVEDADES!$U$4:$U$1503,NOVEDADES!$M$4:$M$1503,$B76,NOVEDADES!$B$4:$B$1503,"&gt;="&amp;$E$4,NOVEDADES!$B$4:$B$1503,"&lt;="&amp;$G$4))</f>
        <v/>
      </c>
      <c r="G76" s="28">
        <f>IF($B76="","",IFERROR(INDEX(CONFIG!$B$4:$B$63,MATCH($B76,CONFIG!$A$4:$A$63,0)),""))</f>
        <v/>
      </c>
      <c r="H76" s="28">
        <f>IF($B76="","",IFERROR(INDEX(CONFIG!$C$4:$C$63,MATCH($B76,CONFIG!$A$4:$A$63,0)),""))</f>
        <v/>
      </c>
      <c r="I76" s="24">
        <f>IF($B76="","",COUNTIFS(NOVEDADES!$AA$4:$AA$1503,"En plazo",NOVEDADES!$B$4:$B$1503,"&gt;="&amp;$E$4,NOVEDADES!$B$4:$B$1503,"&lt;="&amp;$G$4,NOVEDADES!$M$4:$M$1503,$B76)+COUNTIFS(NOVEDADES!$AA$4:$AA$1503,"Por vencer",NOVEDADES!$B$4:$B$1503,"&gt;="&amp;$E$4,NOVEDADES!$B$4:$B$1503,"&lt;="&amp;$G$4,NOVEDADES!$M$4:$M$1503,$B76)+COUNTIFS(NOVEDADES!$AA$4:$AA$1503,"Vencida",NOVEDADES!$B$4:$B$1503,"&gt;="&amp;$E$4,NOVEDADES!$B$4:$B$1503,"&lt;="&amp;$G$4,NOVEDADES!$M$4:$M$1503,$B76)+COUNTIFS(NOVEDADES!$AA$4:$AA$1503,"Sin clasificar",NOVEDADES!$B$4:$B$1503,"&gt;="&amp;$E$4,NOVEDADES!$B$4:$B$1503,"&lt;="&amp;$G$4,NOVEDADES!$M$4:$M$1503,$B76))</f>
        <v/>
      </c>
      <c r="J76" s="24">
        <f>IF($B76="","",COUNTIFS(NOVEDADES!$M$4:$M$1503,$B76,NOVEDADES!$AA$4:$AA$1503,"Vencida",NOVEDADES!$B$4:$B$1503,"&gt;="&amp;$E$4,NOVEDADES!$B$4:$B$1503,"&lt;="&amp;$G$4))</f>
        <v/>
      </c>
      <c r="K76" s="56">
        <f>IF($B76="","",IFERROR(ROUND(AVERAGEIFS(NOVEDADES!$Z$4:$Z$1503,NOVEDADES!$M$4:$M$1503,$B76,NOVEDADES!$B$4:$B$1503,"&gt;="&amp;$E$4,NOVEDADES!$B$4:$B$1503,"&lt;="&amp;$G$4),1),0))</f>
        <v/>
      </c>
      <c r="L76" s="28" t="n"/>
      <c r="M76" s="28" t="n"/>
    </row>
    <row r="77">
      <c r="B77" s="23">
        <f>IF(CONFIG!$A32="","",CONFIG!$A32)</f>
        <v/>
      </c>
      <c r="C77" s="9" t="n"/>
      <c r="D77" s="24">
        <f>IF($B77="","",COUNTIFS(NOVEDADES!$M$4:$M$1503,$B77,NOVEDADES!$B$4:$B$1503,"&gt;="&amp;$E$4,NOVEDADES!$B$4:$B$1503,"&lt;="&amp;$G$4))</f>
        <v/>
      </c>
      <c r="E77" s="55">
        <f>IF($B77="","",IFERROR($D77/$D$81,0))</f>
        <v/>
      </c>
      <c r="F77" s="27">
        <f>IF($B77="","",SUMIFS(NOVEDADES!$U$4:$U$1503,NOVEDADES!$M$4:$M$1503,$B77,NOVEDADES!$B$4:$B$1503,"&gt;="&amp;$E$4,NOVEDADES!$B$4:$B$1503,"&lt;="&amp;$G$4))</f>
        <v/>
      </c>
      <c r="G77" s="28">
        <f>IF($B77="","",IFERROR(INDEX(CONFIG!$B$4:$B$63,MATCH($B77,CONFIG!$A$4:$A$63,0)),""))</f>
        <v/>
      </c>
      <c r="H77" s="28">
        <f>IF($B77="","",IFERROR(INDEX(CONFIG!$C$4:$C$63,MATCH($B77,CONFIG!$A$4:$A$63,0)),""))</f>
        <v/>
      </c>
      <c r="I77" s="24">
        <f>IF($B77="","",COUNTIFS(NOVEDADES!$AA$4:$AA$1503,"En plazo",NOVEDADES!$B$4:$B$1503,"&gt;="&amp;$E$4,NOVEDADES!$B$4:$B$1503,"&lt;="&amp;$G$4,NOVEDADES!$M$4:$M$1503,$B77)+COUNTIFS(NOVEDADES!$AA$4:$AA$1503,"Por vencer",NOVEDADES!$B$4:$B$1503,"&gt;="&amp;$E$4,NOVEDADES!$B$4:$B$1503,"&lt;="&amp;$G$4,NOVEDADES!$M$4:$M$1503,$B77)+COUNTIFS(NOVEDADES!$AA$4:$AA$1503,"Vencida",NOVEDADES!$B$4:$B$1503,"&gt;="&amp;$E$4,NOVEDADES!$B$4:$B$1503,"&lt;="&amp;$G$4,NOVEDADES!$M$4:$M$1503,$B77)+COUNTIFS(NOVEDADES!$AA$4:$AA$1503,"Sin clasificar",NOVEDADES!$B$4:$B$1503,"&gt;="&amp;$E$4,NOVEDADES!$B$4:$B$1503,"&lt;="&amp;$G$4,NOVEDADES!$M$4:$M$1503,$B77))</f>
        <v/>
      </c>
      <c r="J77" s="24">
        <f>IF($B77="","",COUNTIFS(NOVEDADES!$M$4:$M$1503,$B77,NOVEDADES!$AA$4:$AA$1503,"Vencida",NOVEDADES!$B$4:$B$1503,"&gt;="&amp;$E$4,NOVEDADES!$B$4:$B$1503,"&lt;="&amp;$G$4))</f>
        <v/>
      </c>
      <c r="K77" s="56">
        <f>IF($B77="","",IFERROR(ROUND(AVERAGEIFS(NOVEDADES!$Z$4:$Z$1503,NOVEDADES!$M$4:$M$1503,$B77,NOVEDADES!$B$4:$B$1503,"&gt;="&amp;$E$4,NOVEDADES!$B$4:$B$1503,"&lt;="&amp;$G$4),1),0))</f>
        <v/>
      </c>
      <c r="L77" s="28" t="n"/>
      <c r="M77" s="28" t="n"/>
    </row>
    <row r="78">
      <c r="B78" s="23">
        <f>IF(CONFIG!$A33="","",CONFIG!$A33)</f>
        <v/>
      </c>
      <c r="C78" s="9" t="n"/>
      <c r="D78" s="24">
        <f>IF($B78="","",COUNTIFS(NOVEDADES!$M$4:$M$1503,$B78,NOVEDADES!$B$4:$B$1503,"&gt;="&amp;$E$4,NOVEDADES!$B$4:$B$1503,"&lt;="&amp;$G$4))</f>
        <v/>
      </c>
      <c r="E78" s="55">
        <f>IF($B78="","",IFERROR($D78/$D$81,0))</f>
        <v/>
      </c>
      <c r="F78" s="27">
        <f>IF($B78="","",SUMIFS(NOVEDADES!$U$4:$U$1503,NOVEDADES!$M$4:$M$1503,$B78,NOVEDADES!$B$4:$B$1503,"&gt;="&amp;$E$4,NOVEDADES!$B$4:$B$1503,"&lt;="&amp;$G$4))</f>
        <v/>
      </c>
      <c r="G78" s="28">
        <f>IF($B78="","",IFERROR(INDEX(CONFIG!$B$4:$B$63,MATCH($B78,CONFIG!$A$4:$A$63,0)),""))</f>
        <v/>
      </c>
      <c r="H78" s="28">
        <f>IF($B78="","",IFERROR(INDEX(CONFIG!$C$4:$C$63,MATCH($B78,CONFIG!$A$4:$A$63,0)),""))</f>
        <v/>
      </c>
      <c r="I78" s="24">
        <f>IF($B78="","",COUNTIFS(NOVEDADES!$AA$4:$AA$1503,"En plazo",NOVEDADES!$B$4:$B$1503,"&gt;="&amp;$E$4,NOVEDADES!$B$4:$B$1503,"&lt;="&amp;$G$4,NOVEDADES!$M$4:$M$1503,$B78)+COUNTIFS(NOVEDADES!$AA$4:$AA$1503,"Por vencer",NOVEDADES!$B$4:$B$1503,"&gt;="&amp;$E$4,NOVEDADES!$B$4:$B$1503,"&lt;="&amp;$G$4,NOVEDADES!$M$4:$M$1503,$B78)+COUNTIFS(NOVEDADES!$AA$4:$AA$1503,"Vencida",NOVEDADES!$B$4:$B$1503,"&gt;="&amp;$E$4,NOVEDADES!$B$4:$B$1503,"&lt;="&amp;$G$4,NOVEDADES!$M$4:$M$1503,$B78)+COUNTIFS(NOVEDADES!$AA$4:$AA$1503,"Sin clasificar",NOVEDADES!$B$4:$B$1503,"&gt;="&amp;$E$4,NOVEDADES!$B$4:$B$1503,"&lt;="&amp;$G$4,NOVEDADES!$M$4:$M$1503,$B78))</f>
        <v/>
      </c>
      <c r="J78" s="24">
        <f>IF($B78="","",COUNTIFS(NOVEDADES!$M$4:$M$1503,$B78,NOVEDADES!$AA$4:$AA$1503,"Vencida",NOVEDADES!$B$4:$B$1503,"&gt;="&amp;$E$4,NOVEDADES!$B$4:$B$1503,"&lt;="&amp;$G$4))</f>
        <v/>
      </c>
      <c r="K78" s="56">
        <f>IF($B78="","",IFERROR(ROUND(AVERAGEIFS(NOVEDADES!$Z$4:$Z$1503,NOVEDADES!$M$4:$M$1503,$B78,NOVEDADES!$B$4:$B$1503,"&gt;="&amp;$E$4,NOVEDADES!$B$4:$B$1503,"&lt;="&amp;$G$4),1),0))</f>
        <v/>
      </c>
      <c r="L78" s="28" t="n"/>
      <c r="M78" s="28" t="n"/>
    </row>
    <row r="79">
      <c r="B79" s="23">
        <f>IF(CONFIG!$A34="","",CONFIG!$A34)</f>
        <v/>
      </c>
      <c r="C79" s="9" t="n"/>
      <c r="D79" s="24">
        <f>IF($B79="","",COUNTIFS(NOVEDADES!$M$4:$M$1503,$B79,NOVEDADES!$B$4:$B$1503,"&gt;="&amp;$E$4,NOVEDADES!$B$4:$B$1503,"&lt;="&amp;$G$4))</f>
        <v/>
      </c>
      <c r="E79" s="55">
        <f>IF($B79="","",IFERROR($D79/$D$81,0))</f>
        <v/>
      </c>
      <c r="F79" s="27">
        <f>IF($B79="","",SUMIFS(NOVEDADES!$U$4:$U$1503,NOVEDADES!$M$4:$M$1503,$B79,NOVEDADES!$B$4:$B$1503,"&gt;="&amp;$E$4,NOVEDADES!$B$4:$B$1503,"&lt;="&amp;$G$4))</f>
        <v/>
      </c>
      <c r="G79" s="28">
        <f>IF($B79="","",IFERROR(INDEX(CONFIG!$B$4:$B$63,MATCH($B79,CONFIG!$A$4:$A$63,0)),""))</f>
        <v/>
      </c>
      <c r="H79" s="28">
        <f>IF($B79="","",IFERROR(INDEX(CONFIG!$C$4:$C$63,MATCH($B79,CONFIG!$A$4:$A$63,0)),""))</f>
        <v/>
      </c>
      <c r="I79" s="24">
        <f>IF($B79="","",COUNTIFS(NOVEDADES!$AA$4:$AA$1503,"En plazo",NOVEDADES!$B$4:$B$1503,"&gt;="&amp;$E$4,NOVEDADES!$B$4:$B$1503,"&lt;="&amp;$G$4,NOVEDADES!$M$4:$M$1503,$B79)+COUNTIFS(NOVEDADES!$AA$4:$AA$1503,"Por vencer",NOVEDADES!$B$4:$B$1503,"&gt;="&amp;$E$4,NOVEDADES!$B$4:$B$1503,"&lt;="&amp;$G$4,NOVEDADES!$M$4:$M$1503,$B79)+COUNTIFS(NOVEDADES!$AA$4:$AA$1503,"Vencida",NOVEDADES!$B$4:$B$1503,"&gt;="&amp;$E$4,NOVEDADES!$B$4:$B$1503,"&lt;="&amp;$G$4,NOVEDADES!$M$4:$M$1503,$B79)+COUNTIFS(NOVEDADES!$AA$4:$AA$1503,"Sin clasificar",NOVEDADES!$B$4:$B$1503,"&gt;="&amp;$E$4,NOVEDADES!$B$4:$B$1503,"&lt;="&amp;$G$4,NOVEDADES!$M$4:$M$1503,$B79))</f>
        <v/>
      </c>
      <c r="J79" s="24">
        <f>IF($B79="","",COUNTIFS(NOVEDADES!$M$4:$M$1503,$B79,NOVEDADES!$AA$4:$AA$1503,"Vencida",NOVEDADES!$B$4:$B$1503,"&gt;="&amp;$E$4,NOVEDADES!$B$4:$B$1503,"&lt;="&amp;$G$4))</f>
        <v/>
      </c>
      <c r="K79" s="56">
        <f>IF($B79="","",IFERROR(ROUND(AVERAGEIFS(NOVEDADES!$Z$4:$Z$1503,NOVEDADES!$M$4:$M$1503,$B79,NOVEDADES!$B$4:$B$1503,"&gt;="&amp;$E$4,NOVEDADES!$B$4:$B$1503,"&lt;="&amp;$G$4),1),0))</f>
        <v/>
      </c>
      <c r="L79" s="28" t="n"/>
      <c r="M79" s="28" t="n"/>
    </row>
    <row r="80">
      <c r="B80" s="23">
        <f>IF(CONFIG!$A35="","",CONFIG!$A35)</f>
        <v/>
      </c>
      <c r="C80" s="9" t="n"/>
      <c r="D80" s="24">
        <f>IF($B80="","",COUNTIFS(NOVEDADES!$M$4:$M$1503,$B80,NOVEDADES!$B$4:$B$1503,"&gt;="&amp;$E$4,NOVEDADES!$B$4:$B$1503,"&lt;="&amp;$G$4))</f>
        <v/>
      </c>
      <c r="E80" s="55">
        <f>IF($B80="","",IFERROR($D80/$D$81,0))</f>
        <v/>
      </c>
      <c r="F80" s="27">
        <f>IF($B80="","",SUMIFS(NOVEDADES!$U$4:$U$1503,NOVEDADES!$M$4:$M$1503,$B80,NOVEDADES!$B$4:$B$1503,"&gt;="&amp;$E$4,NOVEDADES!$B$4:$B$1503,"&lt;="&amp;$G$4))</f>
        <v/>
      </c>
      <c r="G80" s="28">
        <f>IF($B80="","",IFERROR(INDEX(CONFIG!$B$4:$B$63,MATCH($B80,CONFIG!$A$4:$A$63,0)),""))</f>
        <v/>
      </c>
      <c r="H80" s="28">
        <f>IF($B80="","",IFERROR(INDEX(CONFIG!$C$4:$C$63,MATCH($B80,CONFIG!$A$4:$A$63,0)),""))</f>
        <v/>
      </c>
      <c r="I80" s="24">
        <f>IF($B80="","",COUNTIFS(NOVEDADES!$AA$4:$AA$1503,"En plazo",NOVEDADES!$B$4:$B$1503,"&gt;="&amp;$E$4,NOVEDADES!$B$4:$B$1503,"&lt;="&amp;$G$4,NOVEDADES!$M$4:$M$1503,$B80)+COUNTIFS(NOVEDADES!$AA$4:$AA$1503,"Por vencer",NOVEDADES!$B$4:$B$1503,"&gt;="&amp;$E$4,NOVEDADES!$B$4:$B$1503,"&lt;="&amp;$G$4,NOVEDADES!$M$4:$M$1503,$B80)+COUNTIFS(NOVEDADES!$AA$4:$AA$1503,"Vencida",NOVEDADES!$B$4:$B$1503,"&gt;="&amp;$E$4,NOVEDADES!$B$4:$B$1503,"&lt;="&amp;$G$4,NOVEDADES!$M$4:$M$1503,$B80)+COUNTIFS(NOVEDADES!$AA$4:$AA$1503,"Sin clasificar",NOVEDADES!$B$4:$B$1503,"&gt;="&amp;$E$4,NOVEDADES!$B$4:$B$1503,"&lt;="&amp;$G$4,NOVEDADES!$M$4:$M$1503,$B80))</f>
        <v/>
      </c>
      <c r="J80" s="24">
        <f>IF($B80="","",COUNTIFS(NOVEDADES!$M$4:$M$1503,$B80,NOVEDADES!$AA$4:$AA$1503,"Vencida",NOVEDADES!$B$4:$B$1503,"&gt;="&amp;$E$4,NOVEDADES!$B$4:$B$1503,"&lt;="&amp;$G$4))</f>
        <v/>
      </c>
      <c r="K80" s="56">
        <f>IF($B80="","",IFERROR(ROUND(AVERAGEIFS(NOVEDADES!$Z$4:$Z$1503,NOVEDADES!$M$4:$M$1503,$B80,NOVEDADES!$B$4:$B$1503,"&gt;="&amp;$E$4,NOVEDADES!$B$4:$B$1503,"&lt;="&amp;$G$4),1),0))</f>
        <v/>
      </c>
      <c r="L80" s="28" t="n"/>
      <c r="M80" s="28" t="n"/>
    </row>
    <row r="81">
      <c r="B81" s="29">
        <f>"TOTAL"</f>
        <v/>
      </c>
      <c r="C81" s="9" t="n"/>
      <c r="D81" s="30">
        <f>SUM($D$49:$D$80)</f>
        <v/>
      </c>
      <c r="E81" s="57">
        <f>IF($D$81=0,0,1)</f>
        <v/>
      </c>
      <c r="F81" s="33">
        <f>SUM($F$49:$F$80)</f>
        <v/>
      </c>
      <c r="G81" s="34" t="n"/>
      <c r="H81" s="34" t="n"/>
      <c r="I81" s="30">
        <f>SUM($I$49:$I$80)</f>
        <v/>
      </c>
      <c r="J81" s="30">
        <f>SUM($J$49:$J$80)</f>
        <v/>
      </c>
      <c r="K81" s="58">
        <f>IFERROR(ROUND(AVERAGEIFS(NOVEDADES!$Z$4:$Z$1503,NOVEDADES!$B$4:$B$1503,"&gt;="&amp;$E$4,NOVEDADES!$B$4:$B$1503,"&lt;="&amp;$G$4),1),0)</f>
        <v/>
      </c>
      <c r="L81" s="34" t="n"/>
      <c r="M81" s="34" t="n"/>
    </row>
    <row r="83" ht="22" customHeight="1">
      <c r="B83" s="4" t="inlineStr">
        <is>
          <t>4 · PUNTO DE OCURRENCIA — en qué parte de la operación se rompe</t>
        </is>
      </c>
    </row>
    <row r="84">
      <c r="B84" s="7" t="inlineStr">
        <is>
          <t>Aquí se ve si el problema nace en la carretera o adentro: bodega, alistamiento, cargue, facturación. Es el mapa de la casa propia.</t>
        </is>
      </c>
    </row>
    <row r="85" ht="32" customHeight="1">
      <c r="B85" s="22" t="inlineStr">
        <is>
          <t>Punto de ocurrencia</t>
        </is>
      </c>
      <c r="C85" s="9" t="n"/>
      <c r="D85" s="22" t="inlineStr">
        <is>
          <t>Casos</t>
        </is>
      </c>
      <c r="E85" s="22" t="inlineStr">
        <is>
          <t>% del total</t>
        </is>
      </c>
      <c r="F85" s="22" t="inlineStr">
        <is>
          <t>Valor afectado</t>
        </is>
      </c>
      <c r="G85" s="22" t="inlineStr">
        <is>
          <t>Abiertas</t>
        </is>
      </c>
      <c r="H85" s="22" t="inlineStr">
        <is>
          <t>Vencidas</t>
        </is>
      </c>
      <c r="I85" s="22" t="inlineStr">
        <is>
          <t>Días prom.</t>
        </is>
      </c>
      <c r="J85" s="22" t="n"/>
      <c r="K85" s="22" t="n"/>
      <c r="L85" s="22" t="n"/>
      <c r="M85" s="22" t="n"/>
    </row>
    <row r="86">
      <c r="B86" s="23">
        <f>IF(CONFIG!$N4="","",CONFIG!$N4)</f>
        <v/>
      </c>
      <c r="C86" s="9" t="n"/>
      <c r="D86" s="24">
        <f>IF($B86="","",COUNTIFS(NOVEDADES!$P$4:$P$1503,$B86,NOVEDADES!$B$4:$B$1503,"&gt;="&amp;$E$4,NOVEDADES!$B$4:$B$1503,"&lt;="&amp;$G$4))</f>
        <v/>
      </c>
      <c r="E86" s="55">
        <f>IF($B86="","",IFERROR($D86/$D$98,0))</f>
        <v/>
      </c>
      <c r="F86" s="27">
        <f>IF($B86="","",SUMIFS(NOVEDADES!$U$4:$U$1503,NOVEDADES!$P$4:$P$1503,$B86,NOVEDADES!$B$4:$B$1503,"&gt;="&amp;$E$4,NOVEDADES!$B$4:$B$1503,"&lt;="&amp;$G$4))</f>
        <v/>
      </c>
      <c r="G86" s="24">
        <f>IF($B86="","",COUNTIFS(NOVEDADES!$AA$4:$AA$1503,"En plazo",NOVEDADES!$B$4:$B$1503,"&gt;="&amp;$E$4,NOVEDADES!$B$4:$B$1503,"&lt;="&amp;$G$4,NOVEDADES!$P$4:$P$1503,$B86)+COUNTIFS(NOVEDADES!$AA$4:$AA$1503,"Por vencer",NOVEDADES!$B$4:$B$1503,"&gt;="&amp;$E$4,NOVEDADES!$B$4:$B$1503,"&lt;="&amp;$G$4,NOVEDADES!$P$4:$P$1503,$B86)+COUNTIFS(NOVEDADES!$AA$4:$AA$1503,"Vencida",NOVEDADES!$B$4:$B$1503,"&gt;="&amp;$E$4,NOVEDADES!$B$4:$B$1503,"&lt;="&amp;$G$4,NOVEDADES!$P$4:$P$1503,$B86)+COUNTIFS(NOVEDADES!$AA$4:$AA$1503,"Sin clasificar",NOVEDADES!$B$4:$B$1503,"&gt;="&amp;$E$4,NOVEDADES!$B$4:$B$1503,"&lt;="&amp;$G$4,NOVEDADES!$P$4:$P$1503,$B86))</f>
        <v/>
      </c>
      <c r="H86" s="24">
        <f>IF($B86="","",COUNTIFS(NOVEDADES!$P$4:$P$1503,$B86,NOVEDADES!$AA$4:$AA$1503,"Vencida",NOVEDADES!$B$4:$B$1503,"&gt;="&amp;$E$4,NOVEDADES!$B$4:$B$1503,"&lt;="&amp;$G$4))</f>
        <v/>
      </c>
      <c r="I86" s="56">
        <f>IF($B86="","",IFERROR(ROUND(AVERAGEIFS(NOVEDADES!$Z$4:$Z$1503,NOVEDADES!$P$4:$P$1503,$B86,NOVEDADES!$B$4:$B$1503,"&gt;="&amp;$E$4,NOVEDADES!$B$4:$B$1503,"&lt;="&amp;$G$4),1),0))</f>
        <v/>
      </c>
      <c r="J86" s="28" t="n"/>
      <c r="K86" s="28" t="n"/>
      <c r="L86" s="28" t="n"/>
      <c r="M86" s="28" t="n"/>
    </row>
    <row r="87">
      <c r="B87" s="23">
        <f>IF(CONFIG!$N5="","",CONFIG!$N5)</f>
        <v/>
      </c>
      <c r="C87" s="9" t="n"/>
      <c r="D87" s="24">
        <f>IF($B87="","",COUNTIFS(NOVEDADES!$P$4:$P$1503,$B87,NOVEDADES!$B$4:$B$1503,"&gt;="&amp;$E$4,NOVEDADES!$B$4:$B$1503,"&lt;="&amp;$G$4))</f>
        <v/>
      </c>
      <c r="E87" s="55">
        <f>IF($B87="","",IFERROR($D87/$D$98,0))</f>
        <v/>
      </c>
      <c r="F87" s="27">
        <f>IF($B87="","",SUMIFS(NOVEDADES!$U$4:$U$1503,NOVEDADES!$P$4:$P$1503,$B87,NOVEDADES!$B$4:$B$1503,"&gt;="&amp;$E$4,NOVEDADES!$B$4:$B$1503,"&lt;="&amp;$G$4))</f>
        <v/>
      </c>
      <c r="G87" s="24">
        <f>IF($B87="","",COUNTIFS(NOVEDADES!$AA$4:$AA$1503,"En plazo",NOVEDADES!$B$4:$B$1503,"&gt;="&amp;$E$4,NOVEDADES!$B$4:$B$1503,"&lt;="&amp;$G$4,NOVEDADES!$P$4:$P$1503,$B87)+COUNTIFS(NOVEDADES!$AA$4:$AA$1503,"Por vencer",NOVEDADES!$B$4:$B$1503,"&gt;="&amp;$E$4,NOVEDADES!$B$4:$B$1503,"&lt;="&amp;$G$4,NOVEDADES!$P$4:$P$1503,$B87)+COUNTIFS(NOVEDADES!$AA$4:$AA$1503,"Vencida",NOVEDADES!$B$4:$B$1503,"&gt;="&amp;$E$4,NOVEDADES!$B$4:$B$1503,"&lt;="&amp;$G$4,NOVEDADES!$P$4:$P$1503,$B87)+COUNTIFS(NOVEDADES!$AA$4:$AA$1503,"Sin clasificar",NOVEDADES!$B$4:$B$1503,"&gt;="&amp;$E$4,NOVEDADES!$B$4:$B$1503,"&lt;="&amp;$G$4,NOVEDADES!$P$4:$P$1503,$B87))</f>
        <v/>
      </c>
      <c r="H87" s="24">
        <f>IF($B87="","",COUNTIFS(NOVEDADES!$P$4:$P$1503,$B87,NOVEDADES!$AA$4:$AA$1503,"Vencida",NOVEDADES!$B$4:$B$1503,"&gt;="&amp;$E$4,NOVEDADES!$B$4:$B$1503,"&lt;="&amp;$G$4))</f>
        <v/>
      </c>
      <c r="I87" s="56">
        <f>IF($B87="","",IFERROR(ROUND(AVERAGEIFS(NOVEDADES!$Z$4:$Z$1503,NOVEDADES!$P$4:$P$1503,$B87,NOVEDADES!$B$4:$B$1503,"&gt;="&amp;$E$4,NOVEDADES!$B$4:$B$1503,"&lt;="&amp;$G$4),1),0))</f>
        <v/>
      </c>
      <c r="J87" s="28" t="n"/>
      <c r="K87" s="28" t="n"/>
      <c r="L87" s="28" t="n"/>
      <c r="M87" s="28" t="n"/>
    </row>
    <row r="88">
      <c r="B88" s="23">
        <f>IF(CONFIG!$N6="","",CONFIG!$N6)</f>
        <v/>
      </c>
      <c r="C88" s="9" t="n"/>
      <c r="D88" s="24">
        <f>IF($B88="","",COUNTIFS(NOVEDADES!$P$4:$P$1503,$B88,NOVEDADES!$B$4:$B$1503,"&gt;="&amp;$E$4,NOVEDADES!$B$4:$B$1503,"&lt;="&amp;$G$4))</f>
        <v/>
      </c>
      <c r="E88" s="55">
        <f>IF($B88="","",IFERROR($D88/$D$98,0))</f>
        <v/>
      </c>
      <c r="F88" s="27">
        <f>IF($B88="","",SUMIFS(NOVEDADES!$U$4:$U$1503,NOVEDADES!$P$4:$P$1503,$B88,NOVEDADES!$B$4:$B$1503,"&gt;="&amp;$E$4,NOVEDADES!$B$4:$B$1503,"&lt;="&amp;$G$4))</f>
        <v/>
      </c>
      <c r="G88" s="24">
        <f>IF($B88="","",COUNTIFS(NOVEDADES!$AA$4:$AA$1503,"En plazo",NOVEDADES!$B$4:$B$1503,"&gt;="&amp;$E$4,NOVEDADES!$B$4:$B$1503,"&lt;="&amp;$G$4,NOVEDADES!$P$4:$P$1503,$B88)+COUNTIFS(NOVEDADES!$AA$4:$AA$1503,"Por vencer",NOVEDADES!$B$4:$B$1503,"&gt;="&amp;$E$4,NOVEDADES!$B$4:$B$1503,"&lt;="&amp;$G$4,NOVEDADES!$P$4:$P$1503,$B88)+COUNTIFS(NOVEDADES!$AA$4:$AA$1503,"Vencida",NOVEDADES!$B$4:$B$1503,"&gt;="&amp;$E$4,NOVEDADES!$B$4:$B$1503,"&lt;="&amp;$G$4,NOVEDADES!$P$4:$P$1503,$B88)+COUNTIFS(NOVEDADES!$AA$4:$AA$1503,"Sin clasificar",NOVEDADES!$B$4:$B$1503,"&gt;="&amp;$E$4,NOVEDADES!$B$4:$B$1503,"&lt;="&amp;$G$4,NOVEDADES!$P$4:$P$1503,$B88))</f>
        <v/>
      </c>
      <c r="H88" s="24">
        <f>IF($B88="","",COUNTIFS(NOVEDADES!$P$4:$P$1503,$B88,NOVEDADES!$AA$4:$AA$1503,"Vencida",NOVEDADES!$B$4:$B$1503,"&gt;="&amp;$E$4,NOVEDADES!$B$4:$B$1503,"&lt;="&amp;$G$4))</f>
        <v/>
      </c>
      <c r="I88" s="56">
        <f>IF($B88="","",IFERROR(ROUND(AVERAGEIFS(NOVEDADES!$Z$4:$Z$1503,NOVEDADES!$P$4:$P$1503,$B88,NOVEDADES!$B$4:$B$1503,"&gt;="&amp;$E$4,NOVEDADES!$B$4:$B$1503,"&lt;="&amp;$G$4),1),0))</f>
        <v/>
      </c>
      <c r="J88" s="28" t="n"/>
      <c r="K88" s="28" t="n"/>
      <c r="L88" s="28" t="n"/>
      <c r="M88" s="28" t="n"/>
    </row>
    <row r="89">
      <c r="B89" s="23">
        <f>IF(CONFIG!$N7="","",CONFIG!$N7)</f>
        <v/>
      </c>
      <c r="C89" s="9" t="n"/>
      <c r="D89" s="24">
        <f>IF($B89="","",COUNTIFS(NOVEDADES!$P$4:$P$1503,$B89,NOVEDADES!$B$4:$B$1503,"&gt;="&amp;$E$4,NOVEDADES!$B$4:$B$1503,"&lt;="&amp;$G$4))</f>
        <v/>
      </c>
      <c r="E89" s="55">
        <f>IF($B89="","",IFERROR($D89/$D$98,0))</f>
        <v/>
      </c>
      <c r="F89" s="27">
        <f>IF($B89="","",SUMIFS(NOVEDADES!$U$4:$U$1503,NOVEDADES!$P$4:$P$1503,$B89,NOVEDADES!$B$4:$B$1503,"&gt;="&amp;$E$4,NOVEDADES!$B$4:$B$1503,"&lt;="&amp;$G$4))</f>
        <v/>
      </c>
      <c r="G89" s="24">
        <f>IF($B89="","",COUNTIFS(NOVEDADES!$AA$4:$AA$1503,"En plazo",NOVEDADES!$B$4:$B$1503,"&gt;="&amp;$E$4,NOVEDADES!$B$4:$B$1503,"&lt;="&amp;$G$4,NOVEDADES!$P$4:$P$1503,$B89)+COUNTIFS(NOVEDADES!$AA$4:$AA$1503,"Por vencer",NOVEDADES!$B$4:$B$1503,"&gt;="&amp;$E$4,NOVEDADES!$B$4:$B$1503,"&lt;="&amp;$G$4,NOVEDADES!$P$4:$P$1503,$B89)+COUNTIFS(NOVEDADES!$AA$4:$AA$1503,"Vencida",NOVEDADES!$B$4:$B$1503,"&gt;="&amp;$E$4,NOVEDADES!$B$4:$B$1503,"&lt;="&amp;$G$4,NOVEDADES!$P$4:$P$1503,$B89)+COUNTIFS(NOVEDADES!$AA$4:$AA$1503,"Sin clasificar",NOVEDADES!$B$4:$B$1503,"&gt;="&amp;$E$4,NOVEDADES!$B$4:$B$1503,"&lt;="&amp;$G$4,NOVEDADES!$P$4:$P$1503,$B89))</f>
        <v/>
      </c>
      <c r="H89" s="24">
        <f>IF($B89="","",COUNTIFS(NOVEDADES!$P$4:$P$1503,$B89,NOVEDADES!$AA$4:$AA$1503,"Vencida",NOVEDADES!$B$4:$B$1503,"&gt;="&amp;$E$4,NOVEDADES!$B$4:$B$1503,"&lt;="&amp;$G$4))</f>
        <v/>
      </c>
      <c r="I89" s="56">
        <f>IF($B89="","",IFERROR(ROUND(AVERAGEIFS(NOVEDADES!$Z$4:$Z$1503,NOVEDADES!$P$4:$P$1503,$B89,NOVEDADES!$B$4:$B$1503,"&gt;="&amp;$E$4,NOVEDADES!$B$4:$B$1503,"&lt;="&amp;$G$4),1),0))</f>
        <v/>
      </c>
      <c r="J89" s="28" t="n"/>
      <c r="K89" s="28" t="n"/>
      <c r="L89" s="28" t="n"/>
      <c r="M89" s="28" t="n"/>
    </row>
    <row r="90">
      <c r="B90" s="23">
        <f>IF(CONFIG!$N8="","",CONFIG!$N8)</f>
        <v/>
      </c>
      <c r="C90" s="9" t="n"/>
      <c r="D90" s="24">
        <f>IF($B90="","",COUNTIFS(NOVEDADES!$P$4:$P$1503,$B90,NOVEDADES!$B$4:$B$1503,"&gt;="&amp;$E$4,NOVEDADES!$B$4:$B$1503,"&lt;="&amp;$G$4))</f>
        <v/>
      </c>
      <c r="E90" s="55">
        <f>IF($B90="","",IFERROR($D90/$D$98,0))</f>
        <v/>
      </c>
      <c r="F90" s="27">
        <f>IF($B90="","",SUMIFS(NOVEDADES!$U$4:$U$1503,NOVEDADES!$P$4:$P$1503,$B90,NOVEDADES!$B$4:$B$1503,"&gt;="&amp;$E$4,NOVEDADES!$B$4:$B$1503,"&lt;="&amp;$G$4))</f>
        <v/>
      </c>
      <c r="G90" s="24">
        <f>IF($B90="","",COUNTIFS(NOVEDADES!$AA$4:$AA$1503,"En plazo",NOVEDADES!$B$4:$B$1503,"&gt;="&amp;$E$4,NOVEDADES!$B$4:$B$1503,"&lt;="&amp;$G$4,NOVEDADES!$P$4:$P$1503,$B90)+COUNTIFS(NOVEDADES!$AA$4:$AA$1503,"Por vencer",NOVEDADES!$B$4:$B$1503,"&gt;="&amp;$E$4,NOVEDADES!$B$4:$B$1503,"&lt;="&amp;$G$4,NOVEDADES!$P$4:$P$1503,$B90)+COUNTIFS(NOVEDADES!$AA$4:$AA$1503,"Vencida",NOVEDADES!$B$4:$B$1503,"&gt;="&amp;$E$4,NOVEDADES!$B$4:$B$1503,"&lt;="&amp;$G$4,NOVEDADES!$P$4:$P$1503,$B90)+COUNTIFS(NOVEDADES!$AA$4:$AA$1503,"Sin clasificar",NOVEDADES!$B$4:$B$1503,"&gt;="&amp;$E$4,NOVEDADES!$B$4:$B$1503,"&lt;="&amp;$G$4,NOVEDADES!$P$4:$P$1503,$B90))</f>
        <v/>
      </c>
      <c r="H90" s="24">
        <f>IF($B90="","",COUNTIFS(NOVEDADES!$P$4:$P$1503,$B90,NOVEDADES!$AA$4:$AA$1503,"Vencida",NOVEDADES!$B$4:$B$1503,"&gt;="&amp;$E$4,NOVEDADES!$B$4:$B$1503,"&lt;="&amp;$G$4))</f>
        <v/>
      </c>
      <c r="I90" s="56">
        <f>IF($B90="","",IFERROR(ROUND(AVERAGEIFS(NOVEDADES!$Z$4:$Z$1503,NOVEDADES!$P$4:$P$1503,$B90,NOVEDADES!$B$4:$B$1503,"&gt;="&amp;$E$4,NOVEDADES!$B$4:$B$1503,"&lt;="&amp;$G$4),1),0))</f>
        <v/>
      </c>
      <c r="J90" s="28" t="n"/>
      <c r="K90" s="28" t="n"/>
      <c r="L90" s="28" t="n"/>
      <c r="M90" s="28" t="n"/>
    </row>
    <row r="91">
      <c r="B91" s="23">
        <f>IF(CONFIG!$N9="","",CONFIG!$N9)</f>
        <v/>
      </c>
      <c r="C91" s="9" t="n"/>
      <c r="D91" s="24">
        <f>IF($B91="","",COUNTIFS(NOVEDADES!$P$4:$P$1503,$B91,NOVEDADES!$B$4:$B$1503,"&gt;="&amp;$E$4,NOVEDADES!$B$4:$B$1503,"&lt;="&amp;$G$4))</f>
        <v/>
      </c>
      <c r="E91" s="55">
        <f>IF($B91="","",IFERROR($D91/$D$98,0))</f>
        <v/>
      </c>
      <c r="F91" s="27">
        <f>IF($B91="","",SUMIFS(NOVEDADES!$U$4:$U$1503,NOVEDADES!$P$4:$P$1503,$B91,NOVEDADES!$B$4:$B$1503,"&gt;="&amp;$E$4,NOVEDADES!$B$4:$B$1503,"&lt;="&amp;$G$4))</f>
        <v/>
      </c>
      <c r="G91" s="24">
        <f>IF($B91="","",COUNTIFS(NOVEDADES!$AA$4:$AA$1503,"En plazo",NOVEDADES!$B$4:$B$1503,"&gt;="&amp;$E$4,NOVEDADES!$B$4:$B$1503,"&lt;="&amp;$G$4,NOVEDADES!$P$4:$P$1503,$B91)+COUNTIFS(NOVEDADES!$AA$4:$AA$1503,"Por vencer",NOVEDADES!$B$4:$B$1503,"&gt;="&amp;$E$4,NOVEDADES!$B$4:$B$1503,"&lt;="&amp;$G$4,NOVEDADES!$P$4:$P$1503,$B91)+COUNTIFS(NOVEDADES!$AA$4:$AA$1503,"Vencida",NOVEDADES!$B$4:$B$1503,"&gt;="&amp;$E$4,NOVEDADES!$B$4:$B$1503,"&lt;="&amp;$G$4,NOVEDADES!$P$4:$P$1503,$B91)+COUNTIFS(NOVEDADES!$AA$4:$AA$1503,"Sin clasificar",NOVEDADES!$B$4:$B$1503,"&gt;="&amp;$E$4,NOVEDADES!$B$4:$B$1503,"&lt;="&amp;$G$4,NOVEDADES!$P$4:$P$1503,$B91))</f>
        <v/>
      </c>
      <c r="H91" s="24">
        <f>IF($B91="","",COUNTIFS(NOVEDADES!$P$4:$P$1503,$B91,NOVEDADES!$AA$4:$AA$1503,"Vencida",NOVEDADES!$B$4:$B$1503,"&gt;="&amp;$E$4,NOVEDADES!$B$4:$B$1503,"&lt;="&amp;$G$4))</f>
        <v/>
      </c>
      <c r="I91" s="56">
        <f>IF($B91="","",IFERROR(ROUND(AVERAGEIFS(NOVEDADES!$Z$4:$Z$1503,NOVEDADES!$P$4:$P$1503,$B91,NOVEDADES!$B$4:$B$1503,"&gt;="&amp;$E$4,NOVEDADES!$B$4:$B$1503,"&lt;="&amp;$G$4),1),0))</f>
        <v/>
      </c>
      <c r="J91" s="28" t="n"/>
      <c r="K91" s="28" t="n"/>
      <c r="L91" s="28" t="n"/>
      <c r="M91" s="28" t="n"/>
    </row>
    <row r="92">
      <c r="B92" s="23">
        <f>IF(CONFIG!$N10="","",CONFIG!$N10)</f>
        <v/>
      </c>
      <c r="C92" s="9" t="n"/>
      <c r="D92" s="24">
        <f>IF($B92="","",COUNTIFS(NOVEDADES!$P$4:$P$1503,$B92,NOVEDADES!$B$4:$B$1503,"&gt;="&amp;$E$4,NOVEDADES!$B$4:$B$1503,"&lt;="&amp;$G$4))</f>
        <v/>
      </c>
      <c r="E92" s="55">
        <f>IF($B92="","",IFERROR($D92/$D$98,0))</f>
        <v/>
      </c>
      <c r="F92" s="27">
        <f>IF($B92="","",SUMIFS(NOVEDADES!$U$4:$U$1503,NOVEDADES!$P$4:$P$1503,$B92,NOVEDADES!$B$4:$B$1503,"&gt;="&amp;$E$4,NOVEDADES!$B$4:$B$1503,"&lt;="&amp;$G$4))</f>
        <v/>
      </c>
      <c r="G92" s="24">
        <f>IF($B92="","",COUNTIFS(NOVEDADES!$AA$4:$AA$1503,"En plazo",NOVEDADES!$B$4:$B$1503,"&gt;="&amp;$E$4,NOVEDADES!$B$4:$B$1503,"&lt;="&amp;$G$4,NOVEDADES!$P$4:$P$1503,$B92)+COUNTIFS(NOVEDADES!$AA$4:$AA$1503,"Por vencer",NOVEDADES!$B$4:$B$1503,"&gt;="&amp;$E$4,NOVEDADES!$B$4:$B$1503,"&lt;="&amp;$G$4,NOVEDADES!$P$4:$P$1503,$B92)+COUNTIFS(NOVEDADES!$AA$4:$AA$1503,"Vencida",NOVEDADES!$B$4:$B$1503,"&gt;="&amp;$E$4,NOVEDADES!$B$4:$B$1503,"&lt;="&amp;$G$4,NOVEDADES!$P$4:$P$1503,$B92)+COUNTIFS(NOVEDADES!$AA$4:$AA$1503,"Sin clasificar",NOVEDADES!$B$4:$B$1503,"&gt;="&amp;$E$4,NOVEDADES!$B$4:$B$1503,"&lt;="&amp;$G$4,NOVEDADES!$P$4:$P$1503,$B92))</f>
        <v/>
      </c>
      <c r="H92" s="24">
        <f>IF($B92="","",COUNTIFS(NOVEDADES!$P$4:$P$1503,$B92,NOVEDADES!$AA$4:$AA$1503,"Vencida",NOVEDADES!$B$4:$B$1503,"&gt;="&amp;$E$4,NOVEDADES!$B$4:$B$1503,"&lt;="&amp;$G$4))</f>
        <v/>
      </c>
      <c r="I92" s="56">
        <f>IF($B92="","",IFERROR(ROUND(AVERAGEIFS(NOVEDADES!$Z$4:$Z$1503,NOVEDADES!$P$4:$P$1503,$B92,NOVEDADES!$B$4:$B$1503,"&gt;="&amp;$E$4,NOVEDADES!$B$4:$B$1503,"&lt;="&amp;$G$4),1),0))</f>
        <v/>
      </c>
      <c r="J92" s="28" t="n"/>
      <c r="K92" s="28" t="n"/>
      <c r="L92" s="28" t="n"/>
      <c r="M92" s="28" t="n"/>
    </row>
    <row r="93">
      <c r="B93" s="23">
        <f>IF(CONFIG!$N11="","",CONFIG!$N11)</f>
        <v/>
      </c>
      <c r="C93" s="9" t="n"/>
      <c r="D93" s="24">
        <f>IF($B93="","",COUNTIFS(NOVEDADES!$P$4:$P$1503,$B93,NOVEDADES!$B$4:$B$1503,"&gt;="&amp;$E$4,NOVEDADES!$B$4:$B$1503,"&lt;="&amp;$G$4))</f>
        <v/>
      </c>
      <c r="E93" s="55">
        <f>IF($B93="","",IFERROR($D93/$D$98,0))</f>
        <v/>
      </c>
      <c r="F93" s="27">
        <f>IF($B93="","",SUMIFS(NOVEDADES!$U$4:$U$1503,NOVEDADES!$P$4:$P$1503,$B93,NOVEDADES!$B$4:$B$1503,"&gt;="&amp;$E$4,NOVEDADES!$B$4:$B$1503,"&lt;="&amp;$G$4))</f>
        <v/>
      </c>
      <c r="G93" s="24">
        <f>IF($B93="","",COUNTIFS(NOVEDADES!$AA$4:$AA$1503,"En plazo",NOVEDADES!$B$4:$B$1503,"&gt;="&amp;$E$4,NOVEDADES!$B$4:$B$1503,"&lt;="&amp;$G$4,NOVEDADES!$P$4:$P$1503,$B93)+COUNTIFS(NOVEDADES!$AA$4:$AA$1503,"Por vencer",NOVEDADES!$B$4:$B$1503,"&gt;="&amp;$E$4,NOVEDADES!$B$4:$B$1503,"&lt;="&amp;$G$4,NOVEDADES!$P$4:$P$1503,$B93)+COUNTIFS(NOVEDADES!$AA$4:$AA$1503,"Vencida",NOVEDADES!$B$4:$B$1503,"&gt;="&amp;$E$4,NOVEDADES!$B$4:$B$1503,"&lt;="&amp;$G$4,NOVEDADES!$P$4:$P$1503,$B93)+COUNTIFS(NOVEDADES!$AA$4:$AA$1503,"Sin clasificar",NOVEDADES!$B$4:$B$1503,"&gt;="&amp;$E$4,NOVEDADES!$B$4:$B$1503,"&lt;="&amp;$G$4,NOVEDADES!$P$4:$P$1503,$B93))</f>
        <v/>
      </c>
      <c r="H93" s="24">
        <f>IF($B93="","",COUNTIFS(NOVEDADES!$P$4:$P$1503,$B93,NOVEDADES!$AA$4:$AA$1503,"Vencida",NOVEDADES!$B$4:$B$1503,"&gt;="&amp;$E$4,NOVEDADES!$B$4:$B$1503,"&lt;="&amp;$G$4))</f>
        <v/>
      </c>
      <c r="I93" s="56">
        <f>IF($B93="","",IFERROR(ROUND(AVERAGEIFS(NOVEDADES!$Z$4:$Z$1503,NOVEDADES!$P$4:$P$1503,$B93,NOVEDADES!$B$4:$B$1503,"&gt;="&amp;$E$4,NOVEDADES!$B$4:$B$1503,"&lt;="&amp;$G$4),1),0))</f>
        <v/>
      </c>
      <c r="J93" s="28" t="n"/>
      <c r="K93" s="28" t="n"/>
      <c r="L93" s="28" t="n"/>
      <c r="M93" s="28" t="n"/>
    </row>
    <row r="94">
      <c r="B94" s="23">
        <f>IF(CONFIG!$N12="","",CONFIG!$N12)</f>
        <v/>
      </c>
      <c r="C94" s="9" t="n"/>
      <c r="D94" s="24">
        <f>IF($B94="","",COUNTIFS(NOVEDADES!$P$4:$P$1503,$B94,NOVEDADES!$B$4:$B$1503,"&gt;="&amp;$E$4,NOVEDADES!$B$4:$B$1503,"&lt;="&amp;$G$4))</f>
        <v/>
      </c>
      <c r="E94" s="55">
        <f>IF($B94="","",IFERROR($D94/$D$98,0))</f>
        <v/>
      </c>
      <c r="F94" s="27">
        <f>IF($B94="","",SUMIFS(NOVEDADES!$U$4:$U$1503,NOVEDADES!$P$4:$P$1503,$B94,NOVEDADES!$B$4:$B$1503,"&gt;="&amp;$E$4,NOVEDADES!$B$4:$B$1503,"&lt;="&amp;$G$4))</f>
        <v/>
      </c>
      <c r="G94" s="24">
        <f>IF($B94="","",COUNTIFS(NOVEDADES!$AA$4:$AA$1503,"En plazo",NOVEDADES!$B$4:$B$1503,"&gt;="&amp;$E$4,NOVEDADES!$B$4:$B$1503,"&lt;="&amp;$G$4,NOVEDADES!$P$4:$P$1503,$B94)+COUNTIFS(NOVEDADES!$AA$4:$AA$1503,"Por vencer",NOVEDADES!$B$4:$B$1503,"&gt;="&amp;$E$4,NOVEDADES!$B$4:$B$1503,"&lt;="&amp;$G$4,NOVEDADES!$P$4:$P$1503,$B94)+COUNTIFS(NOVEDADES!$AA$4:$AA$1503,"Vencida",NOVEDADES!$B$4:$B$1503,"&gt;="&amp;$E$4,NOVEDADES!$B$4:$B$1503,"&lt;="&amp;$G$4,NOVEDADES!$P$4:$P$1503,$B94)+COUNTIFS(NOVEDADES!$AA$4:$AA$1503,"Sin clasificar",NOVEDADES!$B$4:$B$1503,"&gt;="&amp;$E$4,NOVEDADES!$B$4:$B$1503,"&lt;="&amp;$G$4,NOVEDADES!$P$4:$P$1503,$B94))</f>
        <v/>
      </c>
      <c r="H94" s="24">
        <f>IF($B94="","",COUNTIFS(NOVEDADES!$P$4:$P$1503,$B94,NOVEDADES!$AA$4:$AA$1503,"Vencida",NOVEDADES!$B$4:$B$1503,"&gt;="&amp;$E$4,NOVEDADES!$B$4:$B$1503,"&lt;="&amp;$G$4))</f>
        <v/>
      </c>
      <c r="I94" s="56">
        <f>IF($B94="","",IFERROR(ROUND(AVERAGEIFS(NOVEDADES!$Z$4:$Z$1503,NOVEDADES!$P$4:$P$1503,$B94,NOVEDADES!$B$4:$B$1503,"&gt;="&amp;$E$4,NOVEDADES!$B$4:$B$1503,"&lt;="&amp;$G$4),1),0))</f>
        <v/>
      </c>
      <c r="J94" s="28" t="n"/>
      <c r="K94" s="28" t="n"/>
      <c r="L94" s="28" t="n"/>
      <c r="M94" s="28" t="n"/>
    </row>
    <row r="95">
      <c r="B95" s="23">
        <f>IF(CONFIG!$N13="","",CONFIG!$N13)</f>
        <v/>
      </c>
      <c r="C95" s="9" t="n"/>
      <c r="D95" s="24">
        <f>IF($B95="","",COUNTIFS(NOVEDADES!$P$4:$P$1503,$B95,NOVEDADES!$B$4:$B$1503,"&gt;="&amp;$E$4,NOVEDADES!$B$4:$B$1503,"&lt;="&amp;$G$4))</f>
        <v/>
      </c>
      <c r="E95" s="55">
        <f>IF($B95="","",IFERROR($D95/$D$98,0))</f>
        <v/>
      </c>
      <c r="F95" s="27">
        <f>IF($B95="","",SUMIFS(NOVEDADES!$U$4:$U$1503,NOVEDADES!$P$4:$P$1503,$B95,NOVEDADES!$B$4:$B$1503,"&gt;="&amp;$E$4,NOVEDADES!$B$4:$B$1503,"&lt;="&amp;$G$4))</f>
        <v/>
      </c>
      <c r="G95" s="24">
        <f>IF($B95="","",COUNTIFS(NOVEDADES!$AA$4:$AA$1503,"En plazo",NOVEDADES!$B$4:$B$1503,"&gt;="&amp;$E$4,NOVEDADES!$B$4:$B$1503,"&lt;="&amp;$G$4,NOVEDADES!$P$4:$P$1503,$B95)+COUNTIFS(NOVEDADES!$AA$4:$AA$1503,"Por vencer",NOVEDADES!$B$4:$B$1503,"&gt;="&amp;$E$4,NOVEDADES!$B$4:$B$1503,"&lt;="&amp;$G$4,NOVEDADES!$P$4:$P$1503,$B95)+COUNTIFS(NOVEDADES!$AA$4:$AA$1503,"Vencida",NOVEDADES!$B$4:$B$1503,"&gt;="&amp;$E$4,NOVEDADES!$B$4:$B$1503,"&lt;="&amp;$G$4,NOVEDADES!$P$4:$P$1503,$B95)+COUNTIFS(NOVEDADES!$AA$4:$AA$1503,"Sin clasificar",NOVEDADES!$B$4:$B$1503,"&gt;="&amp;$E$4,NOVEDADES!$B$4:$B$1503,"&lt;="&amp;$G$4,NOVEDADES!$P$4:$P$1503,$B95))</f>
        <v/>
      </c>
      <c r="H95" s="24">
        <f>IF($B95="","",COUNTIFS(NOVEDADES!$P$4:$P$1503,$B95,NOVEDADES!$AA$4:$AA$1503,"Vencida",NOVEDADES!$B$4:$B$1503,"&gt;="&amp;$E$4,NOVEDADES!$B$4:$B$1503,"&lt;="&amp;$G$4))</f>
        <v/>
      </c>
      <c r="I95" s="56">
        <f>IF($B95="","",IFERROR(ROUND(AVERAGEIFS(NOVEDADES!$Z$4:$Z$1503,NOVEDADES!$P$4:$P$1503,$B95,NOVEDADES!$B$4:$B$1503,"&gt;="&amp;$E$4,NOVEDADES!$B$4:$B$1503,"&lt;="&amp;$G$4),1),0))</f>
        <v/>
      </c>
      <c r="J95" s="28" t="n"/>
      <c r="K95" s="28" t="n"/>
      <c r="L95" s="28" t="n"/>
      <c r="M95" s="28" t="n"/>
    </row>
    <row r="96">
      <c r="B96" s="23">
        <f>IF(CONFIG!$N14="","",CONFIG!$N14)</f>
        <v/>
      </c>
      <c r="C96" s="9" t="n"/>
      <c r="D96" s="24">
        <f>IF($B96="","",COUNTIFS(NOVEDADES!$P$4:$P$1503,$B96,NOVEDADES!$B$4:$B$1503,"&gt;="&amp;$E$4,NOVEDADES!$B$4:$B$1503,"&lt;="&amp;$G$4))</f>
        <v/>
      </c>
      <c r="E96" s="55">
        <f>IF($B96="","",IFERROR($D96/$D$98,0))</f>
        <v/>
      </c>
      <c r="F96" s="27">
        <f>IF($B96="","",SUMIFS(NOVEDADES!$U$4:$U$1503,NOVEDADES!$P$4:$P$1503,$B96,NOVEDADES!$B$4:$B$1503,"&gt;="&amp;$E$4,NOVEDADES!$B$4:$B$1503,"&lt;="&amp;$G$4))</f>
        <v/>
      </c>
      <c r="G96" s="24">
        <f>IF($B96="","",COUNTIFS(NOVEDADES!$AA$4:$AA$1503,"En plazo",NOVEDADES!$B$4:$B$1503,"&gt;="&amp;$E$4,NOVEDADES!$B$4:$B$1503,"&lt;="&amp;$G$4,NOVEDADES!$P$4:$P$1503,$B96)+COUNTIFS(NOVEDADES!$AA$4:$AA$1503,"Por vencer",NOVEDADES!$B$4:$B$1503,"&gt;="&amp;$E$4,NOVEDADES!$B$4:$B$1503,"&lt;="&amp;$G$4,NOVEDADES!$P$4:$P$1503,$B96)+COUNTIFS(NOVEDADES!$AA$4:$AA$1503,"Vencida",NOVEDADES!$B$4:$B$1503,"&gt;="&amp;$E$4,NOVEDADES!$B$4:$B$1503,"&lt;="&amp;$G$4,NOVEDADES!$P$4:$P$1503,$B96)+COUNTIFS(NOVEDADES!$AA$4:$AA$1503,"Sin clasificar",NOVEDADES!$B$4:$B$1503,"&gt;="&amp;$E$4,NOVEDADES!$B$4:$B$1503,"&lt;="&amp;$G$4,NOVEDADES!$P$4:$P$1503,$B96))</f>
        <v/>
      </c>
      <c r="H96" s="24">
        <f>IF($B96="","",COUNTIFS(NOVEDADES!$P$4:$P$1503,$B96,NOVEDADES!$AA$4:$AA$1503,"Vencida",NOVEDADES!$B$4:$B$1503,"&gt;="&amp;$E$4,NOVEDADES!$B$4:$B$1503,"&lt;="&amp;$G$4))</f>
        <v/>
      </c>
      <c r="I96" s="56">
        <f>IF($B96="","",IFERROR(ROUND(AVERAGEIFS(NOVEDADES!$Z$4:$Z$1503,NOVEDADES!$P$4:$P$1503,$B96,NOVEDADES!$B$4:$B$1503,"&gt;="&amp;$E$4,NOVEDADES!$B$4:$B$1503,"&lt;="&amp;$G$4),1),0))</f>
        <v/>
      </c>
      <c r="J96" s="28" t="n"/>
      <c r="K96" s="28" t="n"/>
      <c r="L96" s="28" t="n"/>
      <c r="M96" s="28" t="n"/>
    </row>
    <row r="97">
      <c r="B97" s="23">
        <f>IF(CONFIG!$N15="","",CONFIG!$N15)</f>
        <v/>
      </c>
      <c r="C97" s="9" t="n"/>
      <c r="D97" s="24">
        <f>IF($B97="","",COUNTIFS(NOVEDADES!$P$4:$P$1503,$B97,NOVEDADES!$B$4:$B$1503,"&gt;="&amp;$E$4,NOVEDADES!$B$4:$B$1503,"&lt;="&amp;$G$4))</f>
        <v/>
      </c>
      <c r="E97" s="55">
        <f>IF($B97="","",IFERROR($D97/$D$98,0))</f>
        <v/>
      </c>
      <c r="F97" s="27">
        <f>IF($B97="","",SUMIFS(NOVEDADES!$U$4:$U$1503,NOVEDADES!$P$4:$P$1503,$B97,NOVEDADES!$B$4:$B$1503,"&gt;="&amp;$E$4,NOVEDADES!$B$4:$B$1503,"&lt;="&amp;$G$4))</f>
        <v/>
      </c>
      <c r="G97" s="24">
        <f>IF($B97="","",COUNTIFS(NOVEDADES!$AA$4:$AA$1503,"En plazo",NOVEDADES!$B$4:$B$1503,"&gt;="&amp;$E$4,NOVEDADES!$B$4:$B$1503,"&lt;="&amp;$G$4,NOVEDADES!$P$4:$P$1503,$B97)+COUNTIFS(NOVEDADES!$AA$4:$AA$1503,"Por vencer",NOVEDADES!$B$4:$B$1503,"&gt;="&amp;$E$4,NOVEDADES!$B$4:$B$1503,"&lt;="&amp;$G$4,NOVEDADES!$P$4:$P$1503,$B97)+COUNTIFS(NOVEDADES!$AA$4:$AA$1503,"Vencida",NOVEDADES!$B$4:$B$1503,"&gt;="&amp;$E$4,NOVEDADES!$B$4:$B$1503,"&lt;="&amp;$G$4,NOVEDADES!$P$4:$P$1503,$B97)+COUNTIFS(NOVEDADES!$AA$4:$AA$1503,"Sin clasificar",NOVEDADES!$B$4:$B$1503,"&gt;="&amp;$E$4,NOVEDADES!$B$4:$B$1503,"&lt;="&amp;$G$4,NOVEDADES!$P$4:$P$1503,$B97))</f>
        <v/>
      </c>
      <c r="H97" s="24">
        <f>IF($B97="","",COUNTIFS(NOVEDADES!$P$4:$P$1503,$B97,NOVEDADES!$AA$4:$AA$1503,"Vencida",NOVEDADES!$B$4:$B$1503,"&gt;="&amp;$E$4,NOVEDADES!$B$4:$B$1503,"&lt;="&amp;$G$4))</f>
        <v/>
      </c>
      <c r="I97" s="56">
        <f>IF($B97="","",IFERROR(ROUND(AVERAGEIFS(NOVEDADES!$Z$4:$Z$1503,NOVEDADES!$P$4:$P$1503,$B97,NOVEDADES!$B$4:$B$1503,"&gt;="&amp;$E$4,NOVEDADES!$B$4:$B$1503,"&lt;="&amp;$G$4),1),0))</f>
        <v/>
      </c>
      <c r="J97" s="28" t="n"/>
      <c r="K97" s="28" t="n"/>
      <c r="L97" s="28" t="n"/>
      <c r="M97" s="28" t="n"/>
    </row>
    <row r="98">
      <c r="B98" s="29">
        <f>"TOTAL con punto asignado"</f>
        <v/>
      </c>
      <c r="C98" s="9" t="n"/>
      <c r="D98" s="30">
        <f>SUM($D$86:$D$97)</f>
        <v/>
      </c>
      <c r="E98" s="57">
        <f>IF($D$98=0,0,1)</f>
        <v/>
      </c>
      <c r="F98" s="33">
        <f>SUM($F$86:$F$97)</f>
        <v/>
      </c>
      <c r="G98" s="30">
        <f>SUM($G$86:$G$97)</f>
        <v/>
      </c>
      <c r="H98" s="30">
        <f>SUM($H$86:$H$97)</f>
        <v/>
      </c>
      <c r="I98" s="34" t="n"/>
      <c r="J98" s="34" t="n"/>
      <c r="K98" s="34" t="n"/>
      <c r="L98" s="34" t="n"/>
      <c r="M98" s="34" t="n"/>
    </row>
    <row r="100" ht="22" customHeight="1">
      <c r="B100" s="4" t="inlineStr">
        <is>
          <t>5 · ESTADO DE LA GESTIÓN  y  FAMILIA DE LA CAUSA (6M de Ishikawa)</t>
        </is>
      </c>
    </row>
    <row r="101" ht="32" customHeight="1">
      <c r="B101" s="22" t="inlineStr">
        <is>
          <t>Estado</t>
        </is>
      </c>
      <c r="C101" s="9" t="n"/>
      <c r="D101" s="22" t="inlineStr">
        <is>
          <t>Casos</t>
        </is>
      </c>
      <c r="E101" s="22" t="inlineStr">
        <is>
          <t>% del total</t>
        </is>
      </c>
      <c r="F101" s="22" t="n"/>
      <c r="G101" s="22" t="inlineStr">
        <is>
          <t>Familia (6M)</t>
        </is>
      </c>
      <c r="H101" s="9" t="n"/>
      <c r="I101" s="22" t="inlineStr">
        <is>
          <t>Casos</t>
        </is>
      </c>
      <c r="J101" s="22" t="inlineStr">
        <is>
          <t>% del total</t>
        </is>
      </c>
      <c r="K101" s="22" t="inlineStr">
        <is>
          <t>Valor afectado</t>
        </is>
      </c>
      <c r="L101" s="22" t="n"/>
      <c r="M101" s="22" t="n"/>
    </row>
    <row r="102">
      <c r="B102" s="23">
        <f>IF(CONFIG!$K4="","",CONFIG!$K4)</f>
        <v/>
      </c>
      <c r="C102" s="9" t="n"/>
      <c r="D102" s="24">
        <f>IF($B102="","",COUNTIFS(NOVEDADES!$V$4:$V$1503,$B102,NOVEDADES!$B$4:$B$1503,"&gt;="&amp;$E$4,NOVEDADES!$B$4:$B$1503,"&lt;="&amp;$G$4))</f>
        <v/>
      </c>
      <c r="E102" s="55">
        <f>IF($B102="","",IFERROR($D102/$D$110,0))</f>
        <v/>
      </c>
      <c r="F102" s="28" t="n"/>
      <c r="G102" s="23" t="inlineStr">
        <is>
          <t>Método</t>
        </is>
      </c>
      <c r="H102" s="9" t="n"/>
      <c r="I102" s="24">
        <f>COUNTIFS(NOVEDADES!$R$4:$R$1503,$G102,NOVEDADES!$B$4:$B$1503,"&gt;="&amp;$E$4,NOVEDADES!$B$4:$B$1503,"&lt;="&amp;$G$4)</f>
        <v/>
      </c>
      <c r="J102" s="55">
        <f>IFERROR($I102/$I$110,0)</f>
        <v/>
      </c>
      <c r="K102" s="27">
        <f>SUMIFS(NOVEDADES!$U$4:$U$1503,NOVEDADES!$R$4:$R$1503,$G102,NOVEDADES!$B$4:$B$1503,"&gt;="&amp;$E$4,NOVEDADES!$B$4:$B$1503,"&lt;="&amp;$G$4)</f>
        <v/>
      </c>
      <c r="L102" s="28" t="n"/>
      <c r="M102" s="28" t="n"/>
    </row>
    <row r="103">
      <c r="B103" s="23">
        <f>IF(CONFIG!$K5="","",CONFIG!$K5)</f>
        <v/>
      </c>
      <c r="C103" s="9" t="n"/>
      <c r="D103" s="24">
        <f>IF($B103="","",COUNTIFS(NOVEDADES!$V$4:$V$1503,$B103,NOVEDADES!$B$4:$B$1503,"&gt;="&amp;$E$4,NOVEDADES!$B$4:$B$1503,"&lt;="&amp;$G$4))</f>
        <v/>
      </c>
      <c r="E103" s="55">
        <f>IF($B103="","",IFERROR($D103/$D$110,0))</f>
        <v/>
      </c>
      <c r="F103" s="28" t="n"/>
      <c r="G103" s="23" t="inlineStr">
        <is>
          <t>Material</t>
        </is>
      </c>
      <c r="H103" s="9" t="n"/>
      <c r="I103" s="24">
        <f>COUNTIFS(NOVEDADES!$R$4:$R$1503,$G103,NOVEDADES!$B$4:$B$1503,"&gt;="&amp;$E$4,NOVEDADES!$B$4:$B$1503,"&lt;="&amp;$G$4)</f>
        <v/>
      </c>
      <c r="J103" s="55">
        <f>IFERROR($I103/$I$110,0)</f>
        <v/>
      </c>
      <c r="K103" s="27">
        <f>SUMIFS(NOVEDADES!$U$4:$U$1503,NOVEDADES!$R$4:$R$1503,$G103,NOVEDADES!$B$4:$B$1503,"&gt;="&amp;$E$4,NOVEDADES!$B$4:$B$1503,"&lt;="&amp;$G$4)</f>
        <v/>
      </c>
      <c r="L103" s="28" t="n"/>
      <c r="M103" s="28" t="n"/>
    </row>
    <row r="104">
      <c r="B104" s="23">
        <f>IF(CONFIG!$K6="","",CONFIG!$K6)</f>
        <v/>
      </c>
      <c r="C104" s="9" t="n"/>
      <c r="D104" s="24">
        <f>IF($B104="","",COUNTIFS(NOVEDADES!$V$4:$V$1503,$B104,NOVEDADES!$B$4:$B$1503,"&gt;="&amp;$E$4,NOVEDADES!$B$4:$B$1503,"&lt;="&amp;$G$4))</f>
        <v/>
      </c>
      <c r="E104" s="55">
        <f>IF($B104="","",IFERROR($D104/$D$110,0))</f>
        <v/>
      </c>
      <c r="F104" s="28" t="n"/>
      <c r="G104" s="23" t="inlineStr">
        <is>
          <t>Medición</t>
        </is>
      </c>
      <c r="H104" s="9" t="n"/>
      <c r="I104" s="24">
        <f>COUNTIFS(NOVEDADES!$R$4:$R$1503,$G104,NOVEDADES!$B$4:$B$1503,"&gt;="&amp;$E$4,NOVEDADES!$B$4:$B$1503,"&lt;="&amp;$G$4)</f>
        <v/>
      </c>
      <c r="J104" s="55">
        <f>IFERROR($I104/$I$110,0)</f>
        <v/>
      </c>
      <c r="K104" s="27">
        <f>SUMIFS(NOVEDADES!$U$4:$U$1503,NOVEDADES!$R$4:$R$1503,$G104,NOVEDADES!$B$4:$B$1503,"&gt;="&amp;$E$4,NOVEDADES!$B$4:$B$1503,"&lt;="&amp;$G$4)</f>
        <v/>
      </c>
      <c r="L104" s="28" t="n"/>
      <c r="M104" s="28" t="n"/>
    </row>
    <row r="105">
      <c r="B105" s="23">
        <f>IF(CONFIG!$K7="","",CONFIG!$K7)</f>
        <v/>
      </c>
      <c r="C105" s="9" t="n"/>
      <c r="D105" s="24">
        <f>IF($B105="","",COUNTIFS(NOVEDADES!$V$4:$V$1503,$B105,NOVEDADES!$B$4:$B$1503,"&gt;="&amp;$E$4,NOVEDADES!$B$4:$B$1503,"&lt;="&amp;$G$4))</f>
        <v/>
      </c>
      <c r="E105" s="55">
        <f>IF($B105="","",IFERROR($D105/$D$110,0))</f>
        <v/>
      </c>
      <c r="F105" s="28" t="n"/>
      <c r="G105" s="23" t="inlineStr">
        <is>
          <t>Mano de obra</t>
        </is>
      </c>
      <c r="H105" s="9" t="n"/>
      <c r="I105" s="24">
        <f>COUNTIFS(NOVEDADES!$R$4:$R$1503,$G105,NOVEDADES!$B$4:$B$1503,"&gt;="&amp;$E$4,NOVEDADES!$B$4:$B$1503,"&lt;="&amp;$G$4)</f>
        <v/>
      </c>
      <c r="J105" s="55">
        <f>IFERROR($I105/$I$110,0)</f>
        <v/>
      </c>
      <c r="K105" s="27">
        <f>SUMIFS(NOVEDADES!$U$4:$U$1503,NOVEDADES!$R$4:$R$1503,$G105,NOVEDADES!$B$4:$B$1503,"&gt;="&amp;$E$4,NOVEDADES!$B$4:$B$1503,"&lt;="&amp;$G$4)</f>
        <v/>
      </c>
      <c r="L105" s="28" t="n"/>
      <c r="M105" s="28" t="n"/>
    </row>
    <row r="106">
      <c r="B106" s="23">
        <f>IF(CONFIG!$K8="","",CONFIG!$K8)</f>
        <v/>
      </c>
      <c r="C106" s="9" t="n"/>
      <c r="D106" s="24">
        <f>IF($B106="","",COUNTIFS(NOVEDADES!$V$4:$V$1503,$B106,NOVEDADES!$B$4:$B$1503,"&gt;="&amp;$E$4,NOVEDADES!$B$4:$B$1503,"&lt;="&amp;$G$4))</f>
        <v/>
      </c>
      <c r="E106" s="55">
        <f>IF($B106="","",IFERROR($D106/$D$110,0))</f>
        <v/>
      </c>
      <c r="F106" s="28" t="n"/>
      <c r="G106" s="23" t="inlineStr">
        <is>
          <t>Máquina</t>
        </is>
      </c>
      <c r="H106" s="9" t="n"/>
      <c r="I106" s="24">
        <f>COUNTIFS(NOVEDADES!$R$4:$R$1503,$G106,NOVEDADES!$B$4:$B$1503,"&gt;="&amp;$E$4,NOVEDADES!$B$4:$B$1503,"&lt;="&amp;$G$4)</f>
        <v/>
      </c>
      <c r="J106" s="55">
        <f>IFERROR($I106/$I$110,0)</f>
        <v/>
      </c>
      <c r="K106" s="27">
        <f>SUMIFS(NOVEDADES!$U$4:$U$1503,NOVEDADES!$R$4:$R$1503,$G106,NOVEDADES!$B$4:$B$1503,"&gt;="&amp;$E$4,NOVEDADES!$B$4:$B$1503,"&lt;="&amp;$G$4)</f>
        <v/>
      </c>
      <c r="L106" s="28" t="n"/>
      <c r="M106" s="28" t="n"/>
    </row>
    <row r="107">
      <c r="B107" s="23">
        <f>IF(CONFIG!$K9="","",CONFIG!$K9)</f>
        <v/>
      </c>
      <c r="C107" s="9" t="n"/>
      <c r="D107" s="24">
        <f>IF($B107="","",COUNTIFS(NOVEDADES!$V$4:$V$1503,$B107,NOVEDADES!$B$4:$B$1503,"&gt;="&amp;$E$4,NOVEDADES!$B$4:$B$1503,"&lt;="&amp;$G$4))</f>
        <v/>
      </c>
      <c r="E107" s="55">
        <f>IF($B107="","",IFERROR($D107/$D$110,0))</f>
        <v/>
      </c>
      <c r="F107" s="28" t="n"/>
      <c r="G107" s="23" t="inlineStr">
        <is>
          <t>Medio ambiente</t>
        </is>
      </c>
      <c r="H107" s="9" t="n"/>
      <c r="I107" s="24">
        <f>COUNTIFS(NOVEDADES!$R$4:$R$1503,$G107,NOVEDADES!$B$4:$B$1503,"&gt;="&amp;$E$4,NOVEDADES!$B$4:$B$1503,"&lt;="&amp;$G$4)</f>
        <v/>
      </c>
      <c r="J107" s="55">
        <f>IFERROR($I107/$I$110,0)</f>
        <v/>
      </c>
      <c r="K107" s="27">
        <f>SUMIFS(NOVEDADES!$U$4:$U$1503,NOVEDADES!$R$4:$R$1503,$G107,NOVEDADES!$B$4:$B$1503,"&gt;="&amp;$E$4,NOVEDADES!$B$4:$B$1503,"&lt;="&amp;$G$4)</f>
        <v/>
      </c>
      <c r="L107" s="28" t="n"/>
      <c r="M107" s="28" t="n"/>
    </row>
    <row r="108">
      <c r="B108" s="23" t="n"/>
      <c r="C108" s="9" t="n"/>
      <c r="D108" s="28" t="n"/>
      <c r="E108" s="28" t="n"/>
      <c r="F108" s="28" t="n"/>
      <c r="G108" s="23" t="inlineStr">
        <is>
          <t>Externo</t>
        </is>
      </c>
      <c r="H108" s="9" t="n"/>
      <c r="I108" s="24">
        <f>COUNTIFS(NOVEDADES!$R$4:$R$1503,$G108,NOVEDADES!$B$4:$B$1503,"&gt;="&amp;$E$4,NOVEDADES!$B$4:$B$1503,"&lt;="&amp;$G$4)</f>
        <v/>
      </c>
      <c r="J108" s="55">
        <f>IFERROR($I108/$I$110,0)</f>
        <v/>
      </c>
      <c r="K108" s="27">
        <f>SUMIFS(NOVEDADES!$U$4:$U$1503,NOVEDADES!$R$4:$R$1503,$G108,NOVEDADES!$B$4:$B$1503,"&gt;="&amp;$E$4,NOVEDADES!$B$4:$B$1503,"&lt;="&amp;$G$4)</f>
        <v/>
      </c>
      <c r="L108" s="28" t="n"/>
      <c r="M108" s="28" t="n"/>
    </row>
    <row r="109">
      <c r="B109" s="23" t="n"/>
      <c r="C109" s="9" t="n"/>
      <c r="D109" s="28" t="n"/>
      <c r="E109" s="28" t="n"/>
      <c r="F109" s="28" t="n"/>
      <c r="G109" s="23" t="inlineStr">
        <is>
          <t>Por definir</t>
        </is>
      </c>
      <c r="H109" s="9" t="n"/>
      <c r="I109" s="24">
        <f>COUNTIFS(NOVEDADES!$R$4:$R$1503,$G109,NOVEDADES!$B$4:$B$1503,"&gt;="&amp;$E$4,NOVEDADES!$B$4:$B$1503,"&lt;="&amp;$G$4)</f>
        <v/>
      </c>
      <c r="J109" s="55">
        <f>IFERROR($I109/$I$110,0)</f>
        <v/>
      </c>
      <c r="K109" s="27">
        <f>SUMIFS(NOVEDADES!$U$4:$U$1503,NOVEDADES!$R$4:$R$1503,$G109,NOVEDADES!$B$4:$B$1503,"&gt;="&amp;$E$4,NOVEDADES!$B$4:$B$1503,"&lt;="&amp;$G$4)</f>
        <v/>
      </c>
      <c r="L109" s="28" t="n"/>
      <c r="M109" s="28" t="n"/>
    </row>
    <row r="110">
      <c r="B110" s="29">
        <f>"TOTAL"</f>
        <v/>
      </c>
      <c r="C110" s="9" t="n"/>
      <c r="D110" s="30">
        <f>SUM($D$102:$D$107)</f>
        <v/>
      </c>
      <c r="E110" s="57">
        <f>IF($D$110=0,0,1)</f>
        <v/>
      </c>
      <c r="F110" s="35" t="n"/>
      <c r="G110" s="29" t="inlineStr">
        <is>
          <t>TOTAL</t>
        </is>
      </c>
      <c r="H110" s="9" t="n"/>
      <c r="I110" s="30">
        <f>SUM($I$102:$I$109)</f>
        <v/>
      </c>
      <c r="J110" s="57">
        <f>IF($I$110=0,0,1)</f>
        <v/>
      </c>
      <c r="K110" s="33">
        <f>SUM($K$102:$K$109)</f>
        <v/>
      </c>
      <c r="L110" s="34" t="n"/>
      <c r="M110" s="34" t="n"/>
    </row>
    <row r="112" ht="22" customHeight="1">
      <c r="B112" s="4" t="inlineStr">
        <is>
          <t>6 · BUSCADOR — la ficha completa de un envío</t>
        </is>
      </c>
    </row>
    <row r="113" ht="22" customHeight="1">
      <c r="B113" s="29" t="inlineStr">
        <is>
          <t>Escriba el Nº de guía o de pedido →</t>
        </is>
      </c>
      <c r="C113" s="9" t="n"/>
      <c r="D113" s="36" t="inlineStr">
        <is>
          <t>P-5017</t>
        </is>
      </c>
      <c r="E113" s="37" t="n"/>
      <c r="F113" s="12" t="inlineStr">
        <is>
          <t>◄ sirve cualquiera de los dos; la ficha de abajo se llena sola</t>
        </is>
      </c>
    </row>
    <row r="115" ht="16" customHeight="1">
      <c r="B115" s="38" t="inlineStr">
        <is>
          <t>Nº Guía / Remisión</t>
        </is>
      </c>
      <c r="C115" s="9" t="n"/>
      <c r="D115" s="39">
        <f>IF($D$113="","—",IFERROR(INDEX(ENVIOS!$A$4:$A$3003,CONFIG!$X$4),"—"))</f>
        <v/>
      </c>
      <c r="E115" s="40" t="n"/>
      <c r="F115" s="9" t="n"/>
    </row>
    <row r="116" ht="16" customHeight="1">
      <c r="B116" s="38" t="inlineStr">
        <is>
          <t>Nº Pedido</t>
        </is>
      </c>
      <c r="C116" s="9" t="n"/>
      <c r="D116" s="39">
        <f>IF($D$113="","—",IFERROR(INDEX(ENVIOS!$B$4:$B$3003,CONFIG!$X$4),"—"))</f>
        <v/>
      </c>
      <c r="E116" s="40" t="n"/>
      <c r="F116" s="9" t="n"/>
    </row>
    <row r="117" ht="16" customHeight="1">
      <c r="B117" s="38" t="inlineStr">
        <is>
          <t>Cliente</t>
        </is>
      </c>
      <c r="C117" s="9" t="n"/>
      <c r="D117" s="39">
        <f>IF($D$113="","—",IFERROR(INDEX(ENVIOS!$D$4:$D$3003,CONFIG!$X$4),"—"))</f>
        <v/>
      </c>
      <c r="E117" s="40" t="n"/>
      <c r="F117" s="9" t="n"/>
    </row>
    <row r="118" ht="16" customHeight="1">
      <c r="B118" s="38" t="inlineStr">
        <is>
          <t>Ciudad destino</t>
        </is>
      </c>
      <c r="C118" s="9" t="n"/>
      <c r="D118" s="39">
        <f>IF($D$113="","—",IFERROR(INDEX(ENVIOS!$E$4:$E$3003,CONFIG!$X$4),"—"))</f>
        <v/>
      </c>
      <c r="E118" s="40" t="n"/>
      <c r="F118" s="9" t="n"/>
    </row>
    <row r="119" ht="16" customHeight="1">
      <c r="B119" s="38" t="inlineStr">
        <is>
          <t>Transportadora</t>
        </is>
      </c>
      <c r="C119" s="9" t="n"/>
      <c r="D119" s="39">
        <f>IF($D$113="","—",IFERROR(INDEX(ENVIOS!$F$4:$F$3003,CONFIG!$X$4),"—"))</f>
        <v/>
      </c>
      <c r="E119" s="40" t="n"/>
      <c r="F119" s="9" t="n"/>
    </row>
    <row r="120" ht="16" customHeight="1">
      <c r="B120" s="38" t="inlineStr">
        <is>
          <t>Conductor</t>
        </is>
      </c>
      <c r="C120" s="9" t="n"/>
      <c r="D120" s="39">
        <f>IF($D$113="","—",IFERROR(INDEX(ENVIOS!$G$4:$G$3003,CONFIG!$X$4),"—"))</f>
        <v/>
      </c>
      <c r="E120" s="40" t="n"/>
      <c r="F120" s="9" t="n"/>
    </row>
    <row r="121" ht="16" customHeight="1">
      <c r="B121" s="38" t="inlineStr">
        <is>
          <t>Placa</t>
        </is>
      </c>
      <c r="C121" s="9" t="n"/>
      <c r="D121" s="39">
        <f>IF($D$113="","—",IFERROR(INDEX(ENVIOS!$H$4:$H$3003,CONFIG!$X$4),"—"))</f>
        <v/>
      </c>
      <c r="E121" s="40" t="n"/>
      <c r="F121" s="9" t="n"/>
    </row>
    <row r="122" ht="16" customHeight="1">
      <c r="B122" s="38" t="inlineStr">
        <is>
          <t>Fecha despacho</t>
        </is>
      </c>
      <c r="C122" s="9" t="n"/>
      <c r="D122" s="41">
        <f>IF($D$113="","—",IFERROR(INDEX(ENVIOS!$C$4:$C$3003,CONFIG!$X$4),"—"))</f>
        <v/>
      </c>
      <c r="E122" s="40" t="n"/>
      <c r="F122" s="9" t="n"/>
    </row>
    <row r="123" ht="16" customHeight="1">
      <c r="B123" s="38" t="inlineStr">
        <is>
          <t>Fecha promesa</t>
        </is>
      </c>
      <c r="C123" s="9" t="n"/>
      <c r="D123" s="41">
        <f>IF($D$113="","—",IFERROR(INDEX(ENVIOS!$K$4:$K$3003,CONFIG!$X$4),"—"))</f>
        <v/>
      </c>
      <c r="E123" s="40" t="n"/>
      <c r="F123" s="9" t="n"/>
    </row>
    <row r="124" ht="16" customHeight="1">
      <c r="B124" s="38" t="inlineStr">
        <is>
          <t>Fecha entrega real</t>
        </is>
      </c>
      <c r="C124" s="9" t="n"/>
      <c r="D124" s="41">
        <f>IF($D$113="","—",IFERROR(INDEX(ENVIOS!$L$4:$L$3003,CONFIG!$X$4),"—"))</f>
        <v/>
      </c>
      <c r="E124" s="40" t="n"/>
      <c r="F124" s="9" t="n"/>
    </row>
    <row r="125" ht="16" customHeight="1">
      <c r="B125" s="38" t="inlineStr">
        <is>
          <t>¿Llegó a tiempo?</t>
        </is>
      </c>
      <c r="C125" s="9" t="n"/>
      <c r="D125" s="39">
        <f>IF($D$113="","—",IFERROR(INDEX(ENVIOS!$N$4:$N$3003,CONFIG!$X$4),"—"))</f>
        <v/>
      </c>
      <c r="E125" s="40" t="n"/>
      <c r="F125" s="9" t="n"/>
    </row>
    <row r="126" ht="16" customHeight="1">
      <c r="B126" s="38" t="inlineStr">
        <is>
          <t>¿Llegó completa?</t>
        </is>
      </c>
      <c r="C126" s="9" t="n"/>
      <c r="D126" s="39">
        <f>IF($D$113="","—",IFERROR(INDEX(ENVIOS!$P$4:$P$3003,CONFIG!$X$4),"—"))</f>
        <v/>
      </c>
      <c r="E126" s="40" t="n"/>
      <c r="F126" s="9" t="n"/>
    </row>
    <row r="127" ht="16" customHeight="1">
      <c r="B127" s="38" t="inlineStr">
        <is>
          <t>OTIF</t>
        </is>
      </c>
      <c r="C127" s="9" t="n"/>
      <c r="D127" s="39">
        <f>IF($D$113="","—",IFERROR(INDEX(ENVIOS!$Q$4:$Q$3003,CONFIG!$X$4),"—"))</f>
        <v/>
      </c>
      <c r="E127" s="40" t="n"/>
      <c r="F127" s="9" t="n"/>
    </row>
    <row r="128" ht="16" customHeight="1">
      <c r="B128" s="38" t="inlineStr">
        <is>
          <t>Novedades registradas</t>
        </is>
      </c>
      <c r="C128" s="9" t="n"/>
      <c r="D128" s="42">
        <f>IF($D$115="—","—",COUNTIFS(NOVEDADES!$D$4:$D$1503,$D$115))</f>
        <v/>
      </c>
      <c r="E128" s="40" t="n"/>
      <c r="F128" s="9" t="n"/>
    </row>
    <row r="129" ht="16" customHeight="1">
      <c r="B129" s="38" t="inlineStr">
        <is>
          <t>Valor afectado</t>
        </is>
      </c>
      <c r="C129" s="9" t="n"/>
      <c r="D129" s="43">
        <f>IF($D$115="—","—",SUMIFS(NOVEDADES!$U$4:$U$1503,NOVEDADES!$D$4:$D$1503,$D$115))</f>
        <v/>
      </c>
      <c r="E129" s="40" t="n"/>
      <c r="F129" s="9" t="n"/>
    </row>
    <row r="130" ht="16" customHeight="1">
      <c r="B130" s="38" t="inlineStr">
        <is>
          <t>Última novedad</t>
        </is>
      </c>
      <c r="C130" s="9" t="n"/>
      <c r="D130" s="39">
        <f>IF($D$115="—","—",IFERROR(LOOKUP(2,1/(NOVEDADES!$D$4:$D$1503=$D$115),NOVEDADES!$M$4:$M$1503),"—"))</f>
        <v/>
      </c>
      <c r="E130" s="40" t="n"/>
      <c r="F130" s="9" t="n"/>
    </row>
    <row r="131" ht="16" customHeight="1">
      <c r="B131" s="38" t="inlineStr">
        <is>
          <t>Estado de esa novedad</t>
        </is>
      </c>
      <c r="C131" s="9" t="n"/>
      <c r="D131" s="39">
        <f>IF($D$115="—","—",IFERROR(LOOKUP(2,1/(NOVEDADES!$D$4:$D$1503=$D$115),NOVEDADES!$V$4:$V$1503),"—"))</f>
        <v/>
      </c>
      <c r="E131" s="40" t="n"/>
      <c r="F131" s="9" t="n"/>
    </row>
    <row r="132" ht="16" customHeight="1">
      <c r="B132" s="38" t="inlineStr">
        <is>
          <t>Estado SLA</t>
        </is>
      </c>
      <c r="C132" s="9" t="n"/>
      <c r="D132" s="39">
        <f>IF($D$115="—","—",IFERROR(LOOKUP(2,1/(NOVEDADES!$D$4:$D$1503=$D$115),NOVEDADES!$AA$4:$AA$1503),"—"))</f>
        <v/>
      </c>
      <c r="E132" s="40" t="n"/>
      <c r="F132" s="9" t="n"/>
    </row>
  </sheetData>
  <sheetProtection selectLockedCells="0" selectUnlockedCells="0" sheet="1" objects="0" insertRows="1" insertHyperlinks="1" autoFilter="0" scenarios="0" formatColumns="0" deleteColumns="1" insertColumns="1" pivotTables="1" deleteRows="1" formatCells="1" formatRows="0" sort="0"/>
  <mergeCells count="180">
    <mergeCell ref="B91:C91"/>
    <mergeCell ref="B2:M2"/>
    <mergeCell ref="D116:F116"/>
    <mergeCell ref="H10:I10"/>
    <mergeCell ref="J10:K10"/>
    <mergeCell ref="B22:C22"/>
    <mergeCell ref="B115:C115"/>
    <mergeCell ref="B93:C93"/>
    <mergeCell ref="B102:C102"/>
    <mergeCell ref="H9:I9"/>
    <mergeCell ref="J9:K9"/>
    <mergeCell ref="B77:C77"/>
    <mergeCell ref="D6:E6"/>
    <mergeCell ref="B21:C21"/>
    <mergeCell ref="B86:C86"/>
    <mergeCell ref="L12:M12"/>
    <mergeCell ref="D13:E13"/>
    <mergeCell ref="B67:C67"/>
    <mergeCell ref="B61:C61"/>
    <mergeCell ref="F113:M113"/>
    <mergeCell ref="B84:M84"/>
    <mergeCell ref="B101:C101"/>
    <mergeCell ref="B30:M30"/>
    <mergeCell ref="B69:C69"/>
    <mergeCell ref="B38:C38"/>
    <mergeCell ref="B15:M15"/>
    <mergeCell ref="B78:C78"/>
    <mergeCell ref="D7:E7"/>
    <mergeCell ref="D129:F129"/>
    <mergeCell ref="G108:H108"/>
    <mergeCell ref="B127:C127"/>
    <mergeCell ref="F13:G13"/>
    <mergeCell ref="B40:C40"/>
    <mergeCell ref="H13:I13"/>
    <mergeCell ref="B49:C49"/>
    <mergeCell ref="G110:H110"/>
    <mergeCell ref="B55:C55"/>
    <mergeCell ref="D119:F119"/>
    <mergeCell ref="B24:C24"/>
    <mergeCell ref="B64:C64"/>
    <mergeCell ref="D128:F128"/>
    <mergeCell ref="B33:C33"/>
    <mergeCell ref="B104:C104"/>
    <mergeCell ref="B51:C51"/>
    <mergeCell ref="D113:E113"/>
    <mergeCell ref="B32:C32"/>
    <mergeCell ref="B63:C63"/>
    <mergeCell ref="B26:C26"/>
    <mergeCell ref="B41:C41"/>
    <mergeCell ref="B35:C35"/>
    <mergeCell ref="G102:H102"/>
    <mergeCell ref="B106:C106"/>
    <mergeCell ref="B129:C129"/>
    <mergeCell ref="L7:M7"/>
    <mergeCell ref="D10:E10"/>
    <mergeCell ref="B25:C25"/>
    <mergeCell ref="F10:G10"/>
    <mergeCell ref="B90:C90"/>
    <mergeCell ref="D120:F120"/>
    <mergeCell ref="F6:G6"/>
    <mergeCell ref="B66:C66"/>
    <mergeCell ref="B131:C131"/>
    <mergeCell ref="O15:V15"/>
    <mergeCell ref="B18:C18"/>
    <mergeCell ref="B27:C27"/>
    <mergeCell ref="B9:C10"/>
    <mergeCell ref="B130:C130"/>
    <mergeCell ref="B117:C117"/>
    <mergeCell ref="D130:F130"/>
    <mergeCell ref="B132:C132"/>
    <mergeCell ref="B83:M83"/>
    <mergeCell ref="B53:C53"/>
    <mergeCell ref="D117:F117"/>
    <mergeCell ref="B119:C119"/>
    <mergeCell ref="B116:C116"/>
    <mergeCell ref="D132:F132"/>
    <mergeCell ref="B103:C103"/>
    <mergeCell ref="B37:C37"/>
    <mergeCell ref="G104:H104"/>
    <mergeCell ref="B118:C118"/>
    <mergeCell ref="D9:E9"/>
    <mergeCell ref="F9:G9"/>
    <mergeCell ref="B47:M47"/>
    <mergeCell ref="H12:I12"/>
    <mergeCell ref="J12:K12"/>
    <mergeCell ref="L6:M6"/>
    <mergeCell ref="B80:C80"/>
    <mergeCell ref="B95:C95"/>
    <mergeCell ref="B31:M31"/>
    <mergeCell ref="B89:C89"/>
    <mergeCell ref="B79:C79"/>
    <mergeCell ref="B97:C97"/>
    <mergeCell ref="B54:C54"/>
    <mergeCell ref="B125:C125"/>
    <mergeCell ref="B72:C72"/>
    <mergeCell ref="B81:C81"/>
    <mergeCell ref="B121:C121"/>
    <mergeCell ref="B122:C122"/>
    <mergeCell ref="B56:C56"/>
    <mergeCell ref="B71:C71"/>
    <mergeCell ref="B96:C96"/>
    <mergeCell ref="B105:C105"/>
    <mergeCell ref="F7:G7"/>
    <mergeCell ref="B43:C43"/>
    <mergeCell ref="B58:C58"/>
    <mergeCell ref="B52:C52"/>
    <mergeCell ref="D122:F122"/>
    <mergeCell ref="G101:H101"/>
    <mergeCell ref="B120:C120"/>
    <mergeCell ref="B98:C98"/>
    <mergeCell ref="B42:C42"/>
    <mergeCell ref="G103:H103"/>
    <mergeCell ref="B107:C107"/>
    <mergeCell ref="B60:C60"/>
    <mergeCell ref="B17:C17"/>
    <mergeCell ref="B57:C57"/>
    <mergeCell ref="B88:C88"/>
    <mergeCell ref="D121:F121"/>
    <mergeCell ref="B44:C44"/>
    <mergeCell ref="B19:C19"/>
    <mergeCell ref="B34:C34"/>
    <mergeCell ref="L10:M10"/>
    <mergeCell ref="D123:F123"/>
    <mergeCell ref="B28:C28"/>
    <mergeCell ref="B108:C108"/>
    <mergeCell ref="D115:F115"/>
    <mergeCell ref="L9:M9"/>
    <mergeCell ref="D12:E12"/>
    <mergeCell ref="B92:C92"/>
    <mergeCell ref="B12:C13"/>
    <mergeCell ref="B100:M100"/>
    <mergeCell ref="B124:C124"/>
    <mergeCell ref="B20:C20"/>
    <mergeCell ref="B76:C76"/>
    <mergeCell ref="B45:C45"/>
    <mergeCell ref="B85:C85"/>
    <mergeCell ref="G106:H106"/>
    <mergeCell ref="B94:C94"/>
    <mergeCell ref="D124:F124"/>
    <mergeCell ref="B4:C4"/>
    <mergeCell ref="B126:C126"/>
    <mergeCell ref="B75:C75"/>
    <mergeCell ref="G105:H105"/>
    <mergeCell ref="B109:C109"/>
    <mergeCell ref="B62:C62"/>
    <mergeCell ref="B59:C59"/>
    <mergeCell ref="D126:F126"/>
    <mergeCell ref="B6:C7"/>
    <mergeCell ref="G107:H107"/>
    <mergeCell ref="J13:K13"/>
    <mergeCell ref="L13:M13"/>
    <mergeCell ref="D125:F125"/>
    <mergeCell ref="B39:C39"/>
    <mergeCell ref="B70:C70"/>
    <mergeCell ref="F12:G12"/>
    <mergeCell ref="B48:C48"/>
    <mergeCell ref="H6:I6"/>
    <mergeCell ref="B112:M112"/>
    <mergeCell ref="J6:K6"/>
    <mergeCell ref="D118:F118"/>
    <mergeCell ref="B23:C23"/>
    <mergeCell ref="D127:F127"/>
    <mergeCell ref="B73:C73"/>
    <mergeCell ref="B87:C87"/>
    <mergeCell ref="H7:I7"/>
    <mergeCell ref="B128:C128"/>
    <mergeCell ref="J7:K7"/>
    <mergeCell ref="B65:C65"/>
    <mergeCell ref="B74:C74"/>
    <mergeCell ref="B16:M16"/>
    <mergeCell ref="B68:C68"/>
    <mergeCell ref="G109:H109"/>
    <mergeCell ref="B3:M3"/>
    <mergeCell ref="H4:M4"/>
    <mergeCell ref="D131:F131"/>
    <mergeCell ref="B123:C123"/>
    <mergeCell ref="B36:C36"/>
    <mergeCell ref="B50:C50"/>
    <mergeCell ref="B110:C110"/>
    <mergeCell ref="B113:C113"/>
  </mergeCells>
  <conditionalFormatting sqref="D7">
    <cfRule type="cellIs" priority="1" operator="greaterThanOrEqual" dxfId="0">
      <formula>0.95</formula>
    </cfRule>
    <cfRule type="cellIs" priority="2" operator="lessThan" dxfId="1">
      <formula>0.9</formula>
    </cfRule>
  </conditionalFormatting>
  <conditionalFormatting sqref="F7">
    <cfRule type="cellIs" priority="3" operator="greaterThanOrEqual" dxfId="0">
      <formula>0.95</formula>
    </cfRule>
    <cfRule type="cellIs" priority="4" operator="lessThan" dxfId="1">
      <formula>0.9</formula>
    </cfRule>
  </conditionalFormatting>
  <conditionalFormatting sqref="H7">
    <cfRule type="cellIs" priority="5" operator="greaterThan" dxfId="1">
      <formula>0.05</formula>
    </cfRule>
    <cfRule type="cellIs" priority="6" operator="lessThanOrEqual" dxfId="0">
      <formula>0.03</formula>
    </cfRule>
  </conditionalFormatting>
  <conditionalFormatting sqref="H10">
    <cfRule type="cellIs" priority="7" operator="greaterThan" dxfId="1">
      <formula>0</formula>
    </cfRule>
  </conditionalFormatting>
  <conditionalFormatting sqref="F10">
    <cfRule type="cellIs" priority="8" operator="greaterThan" dxfId="2">
      <formula>0</formula>
    </cfRule>
  </conditionalFormatting>
  <conditionalFormatting sqref="L10">
    <cfRule type="cellIs" priority="9" operator="lessThan" dxfId="1">
      <formula>0.9</formula>
    </cfRule>
    <cfRule type="cellIs" priority="10" operator="greaterThanOrEqual" dxfId="0">
      <formula>0.9</formula>
    </cfRule>
  </conditionalFormatting>
  <conditionalFormatting sqref="H13">
    <cfRule type="cellIs" priority="11" operator="greaterThan" dxfId="2">
      <formula>0.3</formula>
    </cfRule>
  </conditionalFormatting>
  <conditionalFormatting sqref="F13">
    <cfRule type="cellIs" priority="12" operator="greaterThan" dxfId="3">
      <formula>0</formula>
    </cfRule>
  </conditionalFormatting>
  <conditionalFormatting sqref="M18:M27">
    <cfRule type="cellIs" priority="13" operator="equal" dxfId="4">
      <formula>"A"</formula>
    </cfRule>
    <cfRule type="cellIs" priority="14" operator="equal" dxfId="5">
      <formula>"B"</formula>
    </cfRule>
    <cfRule type="cellIs" priority="15" operator="equal" dxfId="6">
      <formula>"C"</formula>
    </cfRule>
    <cfRule type="cellIs" priority="16" operator="equal" dxfId="7">
      <formula>"D"</formula>
    </cfRule>
  </conditionalFormatting>
  <conditionalFormatting sqref="E18:E27">
    <cfRule type="cellIs" priority="17" operator="greaterThanOrEqual" dxfId="4">
      <formula>0.95</formula>
    </cfRule>
    <cfRule type="cellIs" priority="18" operator="lessThan" dxfId="7">
      <formula>0.9</formula>
    </cfRule>
  </conditionalFormatting>
  <conditionalFormatting sqref="G18:G27">
    <cfRule type="cellIs" priority="19" operator="greaterThan" dxfId="7">
      <formula>0.05</formula>
    </cfRule>
  </conditionalFormatting>
  <conditionalFormatting sqref="I18:I27">
    <cfRule type="cellIs" priority="20" operator="greaterThan" dxfId="7">
      <formula>0</formula>
    </cfRule>
  </conditionalFormatting>
  <conditionalFormatting sqref="L18:L27">
    <cfRule type="dataBar" priority="21">
      <dataBar showValue="1">
        <cfvo type="num" val="0"/>
        <cfvo type="num" val="100"/>
        <color rgb="002563EB"/>
      </dataBar>
    </cfRule>
  </conditionalFormatting>
  <conditionalFormatting sqref="F33:F44">
    <cfRule type="cellIs" priority="22" operator="lessThanOrEqual" dxfId="6">
      <formula>0.8</formula>
    </cfRule>
  </conditionalFormatting>
  <conditionalFormatting sqref="D33:D44">
    <cfRule type="dataBar" priority="23">
      <dataBar showValue="1">
        <cfvo type="num" val="0"/>
        <cfvo type="percentile" val="100"/>
        <color rgb="002563EB"/>
      </dataBar>
    </cfRule>
  </conditionalFormatting>
  <conditionalFormatting sqref="D49:D80">
    <cfRule type="dataBar" priority="24">
      <dataBar showValue="1">
        <cfvo type="num" val="0"/>
        <cfvo type="percentile" val="100"/>
        <color rgb="002563EB"/>
      </dataBar>
    </cfRule>
  </conditionalFormatting>
  <conditionalFormatting sqref="D86:D97">
    <cfRule type="dataBar" priority="25">
      <dataBar showValue="1">
        <cfvo type="num" val="0"/>
        <cfvo type="percentile" val="100"/>
        <color rgb="002563EB"/>
      </dataBar>
    </cfRule>
  </conditionalFormatting>
  <conditionalFormatting sqref="I102:I109">
    <cfRule type="dataBar" priority="26">
      <dataBar showValue="1">
        <cfvo type="num" val="0"/>
        <cfvo type="percentile" val="100"/>
        <color rgb="002563EB"/>
      </dataBar>
    </cfRule>
  </conditionalFormatting>
  <conditionalFormatting sqref="H49:H80">
    <cfRule type="cellIs" priority="27" operator="equal" dxfId="8">
      <formula>"Crítica"</formula>
    </cfRule>
    <cfRule type="cellIs" priority="28" operator="equal" dxfId="7">
      <formula>"Alta"</formula>
    </cfRule>
    <cfRule type="cellIs" priority="29" operator="equal" dxfId="6">
      <formula>"Media"</formula>
    </cfRule>
    <cfRule type="cellIs" priority="30" operator="equal" dxfId="4">
      <formula>"Baja"</formula>
    </cfRule>
  </conditionalFormatting>
  <conditionalFormatting sqref="G49:G80">
    <cfRule type="cellIs" priority="31" operator="equal" dxfId="5">
      <formula>"Interna"</formula>
    </cfRule>
    <cfRule type="cellIs" priority="32" operator="equal" dxfId="9">
      <formula>"En ruta"</formula>
    </cfRule>
  </conditionalFormatting>
  <conditionalFormatting sqref="J49:J80">
    <cfRule type="cellIs" priority="33" operator="greaterThan" dxfId="7">
      <formula>0</formula>
    </cfRule>
  </conditionalFormatting>
  <conditionalFormatting sqref="H86:H97">
    <cfRule type="cellIs" priority="34" operator="greaterThan" dxfId="7">
      <formula>0</formula>
    </cfRule>
  </conditionalFormatting>
  <conditionalFormatting sqref="D115:D132">
    <cfRule type="cellIs" priority="35" operator="equal" dxfId="4">
      <formula>"Sí"</formula>
    </cfRule>
    <cfRule type="cellIs" priority="36" operator="equal" dxfId="7">
      <formula>"No"</formula>
    </cfRule>
    <cfRule type="cellIs" priority="37" operator="equal" dxfId="4">
      <formula>"OTIF"</formula>
    </cfRule>
    <cfRule type="cellIs" priority="38" operator="equal" dxfId="7">
      <formula>"Falló"</formula>
    </cfRule>
    <cfRule type="cellIs" priority="39" operator="equal" dxfId="9">
      <formula>"En ruta"</formula>
    </cfRule>
    <cfRule type="cellIs" priority="40" operator="equal" dxfId="7">
      <formula>"Atrasado"</formula>
    </cfRule>
    <cfRule type="cellIs" priority="41" operator="equal" dxfId="7">
      <formula>"Vencida"</formula>
    </cfRule>
    <cfRule type="cellIs" priority="42" operator="equal" dxfId="4">
      <formula>"En plazo"</formula>
    </cfRule>
    <cfRule type="cellIs" priority="43" operator="equal" dxfId="6">
      <formula>"Por vencer"</formula>
    </cfRule>
    <cfRule type="cellIs" priority="44" operator="equal" dxfId="5">
      <formula>"Resuelta a tiempo"</formula>
    </cfRule>
    <cfRule type="cellIs" priority="45" operator="equal" dxfId="10">
      <formula>"Resuelta tarde"</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FFD97706"/>
    <outlinePr summaryBelow="1" summaryRight="1"/>
    <pageSetUpPr/>
  </sheetPr>
  <dimension ref="A1:AC1503"/>
  <sheetViews>
    <sheetView showGridLines="0" workbookViewId="0">
      <pane xSplit="4" ySplit="3" topLeftCell="E4"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4" customWidth="1" min="2" max="2"/>
    <col width="12" customWidth="1" min="3" max="3"/>
    <col width="16" customWidth="1" min="4" max="4"/>
    <col width="16" customWidth="1" min="5" max="5"/>
    <col width="13" customWidth="1" min="6" max="6"/>
    <col width="28" customWidth="1" min="7" max="7"/>
    <col width="16" customWidth="1" min="8" max="8"/>
    <col width="18" customWidth="1" min="9" max="9"/>
    <col width="20" customWidth="1" min="10" max="10"/>
    <col width="10" customWidth="1" min="11" max="11"/>
    <col width="13" customWidth="1" min="12" max="12"/>
    <col width="34" customWidth="1" min="13" max="13"/>
    <col width="11" customWidth="1" min="14" max="14"/>
    <col width="13" customWidth="1" min="15" max="15"/>
    <col width="24" customWidth="1" min="16" max="16"/>
    <col width="34" customWidth="1" min="17" max="17"/>
    <col width="15" customWidth="1" min="18" max="18"/>
    <col width="15" customWidth="1" min="19" max="19"/>
    <col width="13" customWidth="1" min="20" max="20"/>
    <col width="15" customWidth="1" min="21" max="21"/>
    <col width="26" customWidth="1" min="22" max="22"/>
    <col width="24" customWidth="1" min="23" max="23"/>
    <col width="13" customWidth="1" min="24" max="24"/>
    <col width="14" customWidth="1" min="25" max="25"/>
    <col width="11" customWidth="1" min="26" max="26"/>
    <col width="18" customWidth="1" min="27" max="27"/>
    <col width="38" customWidth="1" min="28" max="28"/>
    <col width="32" customWidth="1" min="29" max="29"/>
  </cols>
  <sheetData>
    <row r="1" ht="34" customHeight="1">
      <c r="A1" s="1" t="inlineStr">
        <is>
          <t>MATRIZ DE NOVEDADES · logística y transporte</t>
        </is>
      </c>
    </row>
    <row r="2" ht="17" customHeight="1">
      <c r="A2" s="44" t="inlineStr">
        <is>
          <t>① IDENTIFICAR  ·  fecha y origen siempre; el Nº de guía solo si la novedad fue en ruta</t>
        </is>
      </c>
      <c r="M2" s="45" t="inlineStr">
        <is>
          <t>② CLASIFICAR  ·  qué pasó, dónde y por qué</t>
        </is>
      </c>
      <c r="T2" s="44" t="inlineStr">
        <is>
          <t>③ IMPACTO</t>
        </is>
      </c>
      <c r="V2" s="45" t="inlineStr">
        <is>
          <t>④ GESTIONAR Y CERRAR</t>
        </is>
      </c>
      <c r="AB2" s="44" t="inlineStr">
        <is>
          <t>⑤ CONSTANCIA</t>
        </is>
      </c>
    </row>
    <row r="3" ht="34" customHeight="1">
      <c r="A3" s="22" t="inlineStr">
        <is>
          <t>ID</t>
        </is>
      </c>
      <c r="B3" s="46" t="inlineStr">
        <is>
          <t>Fecha de la novedad</t>
        </is>
      </c>
      <c r="C3" s="46" t="inlineStr">
        <is>
          <t>Origen</t>
        </is>
      </c>
      <c r="D3" s="46" t="inlineStr">
        <is>
          <t>Nº Guía / Remisión</t>
        </is>
      </c>
      <c r="E3" s="22" t="inlineStr">
        <is>
          <t>Validación</t>
        </is>
      </c>
      <c r="F3" s="22" t="inlineStr">
        <is>
          <t>Nº Pedido</t>
        </is>
      </c>
      <c r="G3" s="22" t="inlineStr">
        <is>
          <t>Cliente</t>
        </is>
      </c>
      <c r="H3" s="22" t="inlineStr">
        <is>
          <t>Ciudad destino</t>
        </is>
      </c>
      <c r="I3" s="22" t="inlineStr">
        <is>
          <t>Transportadora</t>
        </is>
      </c>
      <c r="J3" s="22" t="inlineStr">
        <is>
          <t>Conductor</t>
        </is>
      </c>
      <c r="K3" s="22" t="inlineStr">
        <is>
          <t>Placa</t>
        </is>
      </c>
      <c r="L3" s="22" t="inlineStr">
        <is>
          <t>Fecha despacho</t>
        </is>
      </c>
      <c r="M3" s="46" t="inlineStr">
        <is>
          <t>Tipo de novedad</t>
        </is>
      </c>
      <c r="N3" s="22" t="inlineStr">
        <is>
          <t>Gravedad</t>
        </is>
      </c>
      <c r="O3" s="22" t="inlineStr">
        <is>
          <t>¿Afecta la entrega?</t>
        </is>
      </c>
      <c r="P3" s="46" t="inlineStr">
        <is>
          <t>Punto de ocurrencia</t>
        </is>
      </c>
      <c r="Q3" s="46" t="inlineStr">
        <is>
          <t>Causa raíz</t>
        </is>
      </c>
      <c r="R3" s="22" t="inlineStr">
        <is>
          <t>Familia (6M)</t>
        </is>
      </c>
      <c r="S3" s="22" t="inlineStr">
        <is>
          <t>Área responsable</t>
        </is>
      </c>
      <c r="T3" s="46" t="inlineStr">
        <is>
          <t>Unidades afectadas</t>
        </is>
      </c>
      <c r="U3" s="46" t="inlineStr">
        <is>
          <t>Valor afectado</t>
        </is>
      </c>
      <c r="V3" s="46" t="inlineStr">
        <is>
          <t>Estado</t>
        </is>
      </c>
      <c r="W3" s="46" t="inlineStr">
        <is>
          <t>Responsable</t>
        </is>
      </c>
      <c r="X3" s="22" t="inlineStr">
        <is>
          <t>Fecha límite</t>
        </is>
      </c>
      <c r="Y3" s="46" t="inlineStr">
        <is>
          <t>Fecha de solución</t>
        </is>
      </c>
      <c r="Z3" s="22" t="inlineStr">
        <is>
          <t>Días abiertos</t>
        </is>
      </c>
      <c r="AA3" s="22" t="inlineStr">
        <is>
          <t>Estado SLA</t>
        </is>
      </c>
      <c r="AB3" s="46" t="inlineStr">
        <is>
          <t>Qué se hizo</t>
        </is>
      </c>
      <c r="AC3" s="46" t="inlineStr">
        <is>
          <t>Notas / soporte</t>
        </is>
      </c>
    </row>
    <row r="4" ht="16" customHeight="1">
      <c r="A4" s="28">
        <f>IF($B4="","","N-"&amp;TEXT(ROW()-3,"0000"))</f>
        <v/>
      </c>
      <c r="B4" s="47" t="n">
        <v>46247</v>
      </c>
      <c r="C4" s="48" t="inlineStr">
        <is>
          <t>En ruta</t>
        </is>
      </c>
      <c r="D4" s="48" t="inlineStr">
        <is>
          <t>G-2403</t>
        </is>
      </c>
      <c r="E4" s="28">
        <f>IF($C4="","",IF($D4="",IF($C4="Interna","Sin guía (interna)","FALTA GUÍA"),IF(COUNTIFS(ENVIOS!$A$4:$A$3003,$D4)=0,"NO EXISTE",IF(COUNTIFS(ENVIOS!$A$4:$A$3003,$D4)&gt;1,"DUPLICADA","OK"))))</f>
        <v/>
      </c>
      <c r="F4" s="28">
        <f>IF($D4="","",IFERROR(INDEX(ENVIOS!$B$4:$B$3003,MATCH($D4,ENVIOS!$A$4:$A$3003,0)),"—"))</f>
        <v/>
      </c>
      <c r="G4" s="23">
        <f>IF($D4="","",IFERROR(INDEX(ENVIOS!$D$4:$D$3003,MATCH($D4,ENVIOS!$A$4:$A$3003,0)),"—"))</f>
        <v/>
      </c>
      <c r="H4" s="23">
        <f>IF($D4="","",IFERROR(INDEX(ENVIOS!$E$4:$E$3003,MATCH($D4,ENVIOS!$A$4:$A$3003,0)),"—"))</f>
        <v/>
      </c>
      <c r="I4" s="23">
        <f>IF($D4="","",IFERROR(INDEX(ENVIOS!$F$4:$F$3003,MATCH($D4,ENVIOS!$A$4:$A$3003,0)),"—"))</f>
        <v/>
      </c>
      <c r="J4" s="23">
        <f>IF($D4="","",IFERROR(INDEX(ENVIOS!$G$4:$G$3003,MATCH($D4,ENVIOS!$A$4:$A$3003,0)),"—"))</f>
        <v/>
      </c>
      <c r="K4" s="28">
        <f>IF($D4="","",IFERROR(INDEX(ENVIOS!$H$4:$H$3003,MATCH($D4,ENVIOS!$A$4:$A$3003,0)),"—"))</f>
        <v/>
      </c>
      <c r="L4" s="49">
        <f>IF($D4="","",IFERROR(INDEX(ENVIOS!$C$4:$C$3003,MATCH($D4,ENVIOS!$A$4:$A$3003,0)),""))</f>
        <v/>
      </c>
      <c r="M4" s="50" t="inlineStr">
        <is>
          <t>Empaque en mal estado</t>
        </is>
      </c>
      <c r="N4" s="28">
        <f>IF($M4="","",IFERROR(INDEX(CONFIG!$C$4:$C$63,MATCH($M4,CONFIG!$A$4:$A$63,0)),"Media"))</f>
        <v/>
      </c>
      <c r="O4" s="28">
        <f>IF($M4="","",IF($C4="Interna","NO",IFERROR(INDEX(CONFIG!$E$4:$E$63,MATCH($M4,CONFIG!$A$4:$A$63,0)),"NO")))</f>
        <v/>
      </c>
      <c r="P4" s="50" t="inlineStr">
        <is>
          <t>En ruta / entrega al cliente</t>
        </is>
      </c>
      <c r="Q4" s="50" t="inlineStr">
        <is>
          <t>Embalaje o estibado deficiente</t>
        </is>
      </c>
      <c r="R4" s="28">
        <f>IF($Q4="","",IFERROR(INDEX(CONFIG!$H$4:$H$63,MATCH($Q4,CONFIG!$G$4:$G$63,0)),"Por definir"))</f>
        <v/>
      </c>
      <c r="S4" s="28">
        <f>IF($Q4="","",IFERROR(INDEX(CONFIG!$I$4:$I$63,MATCH($Q4,CONFIG!$G$4:$G$63,0)),"Por definir"))</f>
        <v/>
      </c>
      <c r="T4" s="51" t="n">
        <v>1</v>
      </c>
      <c r="U4" s="52" t="n">
        <v>0</v>
      </c>
      <c r="V4" s="50" t="inlineStr">
        <is>
          <t>Resuelta</t>
        </is>
      </c>
      <c r="W4" s="50" t="inlineStr">
        <is>
          <t>Jefe de bodega</t>
        </is>
      </c>
      <c r="X4" s="49">
        <f>IF(OR($B4="",$M4=""),"",WORKDAY($B4,IFERROR(INDEX(CONFIG!$D$4:$D$63,MATCH($M4,CONFIG!$A$4:$A$63,0)),3)))</f>
        <v/>
      </c>
      <c r="Y4" s="47" t="n">
        <v>46248</v>
      </c>
      <c r="Z4" s="24">
        <f>IF($B4="","",IF($Y4&lt;&gt;"",$Y4-$B4,TODAY()-$B4))</f>
        <v/>
      </c>
      <c r="AA4" s="28">
        <f>IF($B4="","",IF(IFERROR(INDEX(CONFIG!$L$4:$L$63,MATCH($V4,CONFIG!$K$4:$K$63,0)),"NO")="SÍ",IF(OR($Y4="",$X4=""),"Resuelta",IF($Y4&gt;$X4,"Resuelta tarde","Resuelta a tiempo")),IF($X4="","Sin clasificar",IF(TODAY()&gt;$X4,"Vencida",IF(TODAY()&gt;=$X4-1,"Por vencer","En plazo")))))</f>
        <v/>
      </c>
      <c r="AB4" s="50" t="inlineStr">
        <is>
          <t>Se cambió el empaque y se reforzó el estibado</t>
        </is>
      </c>
      <c r="AC4" s="50" t="n"/>
    </row>
    <row r="5" ht="16" customHeight="1">
      <c r="A5" s="28">
        <f>IF($B5="","","N-"&amp;TEXT(ROW()-3,"0000"))</f>
        <v/>
      </c>
      <c r="B5" s="47" t="n">
        <v>46252</v>
      </c>
      <c r="C5" s="48" t="inlineStr">
        <is>
          <t>En ruta</t>
        </is>
      </c>
      <c r="D5" s="48" t="inlineStr">
        <is>
          <t>G-2410</t>
        </is>
      </c>
      <c r="E5" s="28">
        <f>IF($C5="","",IF($D5="",IF($C5="Interna","Sin guía (interna)","FALTA GUÍA"),IF(COUNTIFS(ENVIOS!$A$4:$A$3003,$D5)=0,"NO EXISTE",IF(COUNTIFS(ENVIOS!$A$4:$A$3003,$D5)&gt;1,"DUPLICADA","OK"))))</f>
        <v/>
      </c>
      <c r="F5" s="28">
        <f>IF($D5="","",IFERROR(INDEX(ENVIOS!$B$4:$B$3003,MATCH($D5,ENVIOS!$A$4:$A$3003,0)),"—"))</f>
        <v/>
      </c>
      <c r="G5" s="23">
        <f>IF($D5="","",IFERROR(INDEX(ENVIOS!$D$4:$D$3003,MATCH($D5,ENVIOS!$A$4:$A$3003,0)),"—"))</f>
        <v/>
      </c>
      <c r="H5" s="23">
        <f>IF($D5="","",IFERROR(INDEX(ENVIOS!$E$4:$E$3003,MATCH($D5,ENVIOS!$A$4:$A$3003,0)),"—"))</f>
        <v/>
      </c>
      <c r="I5" s="23">
        <f>IF($D5="","",IFERROR(INDEX(ENVIOS!$F$4:$F$3003,MATCH($D5,ENVIOS!$A$4:$A$3003,0)),"—"))</f>
        <v/>
      </c>
      <c r="J5" s="23">
        <f>IF($D5="","",IFERROR(INDEX(ENVIOS!$G$4:$G$3003,MATCH($D5,ENVIOS!$A$4:$A$3003,0)),"—"))</f>
        <v/>
      </c>
      <c r="K5" s="28">
        <f>IF($D5="","",IFERROR(INDEX(ENVIOS!$H$4:$H$3003,MATCH($D5,ENVIOS!$A$4:$A$3003,0)),"—"))</f>
        <v/>
      </c>
      <c r="L5" s="49">
        <f>IF($D5="","",IFERROR(INDEX(ENVIOS!$C$4:$C$3003,MATCH($D5,ENVIOS!$A$4:$A$3003,0)),""))</f>
        <v/>
      </c>
      <c r="M5" s="50" t="inlineStr">
        <is>
          <t>Retraso en vía</t>
        </is>
      </c>
      <c r="N5" s="28">
        <f>IF($M5="","",IFERROR(INDEX(CONFIG!$C$4:$C$63,MATCH($M5,CONFIG!$A$4:$A$63,0)),"Media"))</f>
        <v/>
      </c>
      <c r="O5" s="28">
        <f>IF($M5="","",IF($C5="Interna","NO",IFERROR(INDEX(CONFIG!$E$4:$E$63,MATCH($M5,CONFIG!$A$4:$A$63,0)),"NO")))</f>
        <v/>
      </c>
      <c r="P5" s="50" t="inlineStr">
        <is>
          <t>En ruta / entrega al cliente</t>
        </is>
      </c>
      <c r="Q5" s="50" t="inlineStr">
        <is>
          <t>Tráfico, cierre vial u orden público</t>
        </is>
      </c>
      <c r="R5" s="28">
        <f>IF($Q5="","",IFERROR(INDEX(CONFIG!$H$4:$H$63,MATCH($Q5,CONFIG!$G$4:$G$63,0)),"Por definir"))</f>
        <v/>
      </c>
      <c r="S5" s="28">
        <f>IF($Q5="","",IFERROR(INDEX(CONFIG!$I$4:$I$63,MATCH($Q5,CONFIG!$G$4:$G$63,0)),"Por definir"))</f>
        <v/>
      </c>
      <c r="T5" s="51" t="n">
        <v>0</v>
      </c>
      <c r="U5" s="52" t="n">
        <v>0</v>
      </c>
      <c r="V5" s="50" t="inlineStr">
        <is>
          <t>Resuelta</t>
        </is>
      </c>
      <c r="W5" s="50" t="inlineStr">
        <is>
          <t>Analista de transporte</t>
        </is>
      </c>
      <c r="X5" s="49">
        <f>IF(OR($B5="",$M5=""),"",WORKDAY($B5,IFERROR(INDEX(CONFIG!$D$4:$D$63,MATCH($M5,CONFIG!$A$4:$A$63,0)),3)))</f>
        <v/>
      </c>
      <c r="Y5" s="47" t="n">
        <v>46253</v>
      </c>
      <c r="Z5" s="24">
        <f>IF($B5="","",IF($Y5&lt;&gt;"",$Y5-$B5,TODAY()-$B5))</f>
        <v/>
      </c>
      <c r="AA5" s="28">
        <f>IF($B5="","",IF(IFERROR(INDEX(CONFIG!$L$4:$L$63,MATCH($V5,CONFIG!$K$4:$K$63,0)),"NO")="SÍ",IF(OR($Y5="",$X5=""),"Resuelta",IF($Y5&gt;$X5,"Resuelta tarde","Resuelta a tiempo")),IF($X5="","Sin clasificar",IF(TODAY()&gt;$X5,"Vencida",IF(TODAY()&gt;=$X5-1,"Por vencer","En plazo")))))</f>
        <v/>
      </c>
      <c r="AB5" s="50" t="inlineStr">
        <is>
          <t>Cierre en La Línea; se reprogramó la ruta</t>
        </is>
      </c>
      <c r="AC5" s="50" t="n"/>
    </row>
    <row r="6" ht="16" customHeight="1">
      <c r="A6" s="28">
        <f>IF($B6="","","N-"&amp;TEXT(ROW()-3,"0000"))</f>
        <v/>
      </c>
      <c r="B6" s="47" t="n">
        <v>46254</v>
      </c>
      <c r="C6" s="48" t="inlineStr">
        <is>
          <t>En ruta</t>
        </is>
      </c>
      <c r="D6" s="48" t="inlineStr">
        <is>
          <t>G-2417</t>
        </is>
      </c>
      <c r="E6" s="28">
        <f>IF($C6="","",IF($D6="",IF($C6="Interna","Sin guía (interna)","FALTA GUÍA"),IF(COUNTIFS(ENVIOS!$A$4:$A$3003,$D6)=0,"NO EXISTE",IF(COUNTIFS(ENVIOS!$A$4:$A$3003,$D6)&gt;1,"DUPLICADA","OK"))))</f>
        <v/>
      </c>
      <c r="F6" s="28">
        <f>IF($D6="","",IFERROR(INDEX(ENVIOS!$B$4:$B$3003,MATCH($D6,ENVIOS!$A$4:$A$3003,0)),"—"))</f>
        <v/>
      </c>
      <c r="G6" s="23">
        <f>IF($D6="","",IFERROR(INDEX(ENVIOS!$D$4:$D$3003,MATCH($D6,ENVIOS!$A$4:$A$3003,0)),"—"))</f>
        <v/>
      </c>
      <c r="H6" s="23">
        <f>IF($D6="","",IFERROR(INDEX(ENVIOS!$E$4:$E$3003,MATCH($D6,ENVIOS!$A$4:$A$3003,0)),"—"))</f>
        <v/>
      </c>
      <c r="I6" s="23">
        <f>IF($D6="","",IFERROR(INDEX(ENVIOS!$F$4:$F$3003,MATCH($D6,ENVIOS!$A$4:$A$3003,0)),"—"))</f>
        <v/>
      </c>
      <c r="J6" s="23">
        <f>IF($D6="","",IFERROR(INDEX(ENVIOS!$G$4:$G$3003,MATCH($D6,ENVIOS!$A$4:$A$3003,0)),"—"))</f>
        <v/>
      </c>
      <c r="K6" s="28">
        <f>IF($D6="","",IFERROR(INDEX(ENVIOS!$H$4:$H$3003,MATCH($D6,ENVIOS!$A$4:$A$3003,0)),"—"))</f>
        <v/>
      </c>
      <c r="L6" s="49">
        <f>IF($D6="","",IFERROR(INDEX(ENVIOS!$C$4:$C$3003,MATCH($D6,ENVIOS!$A$4:$A$3003,0)),""))</f>
        <v/>
      </c>
      <c r="M6" s="50" t="inlineStr">
        <is>
          <t>Avería / producto dañado</t>
        </is>
      </c>
      <c r="N6" s="28">
        <f>IF($M6="","",IFERROR(INDEX(CONFIG!$C$4:$C$63,MATCH($M6,CONFIG!$A$4:$A$63,0)),"Media"))</f>
        <v/>
      </c>
      <c r="O6" s="28">
        <f>IF($M6="","",IF($C6="Interna","NO",IFERROR(INDEX(CONFIG!$E$4:$E$63,MATCH($M6,CONFIG!$A$4:$A$63,0)),"NO")))</f>
        <v/>
      </c>
      <c r="P6" s="50" t="inlineStr">
        <is>
          <t>En ruta / entrega al cliente</t>
        </is>
      </c>
      <c r="Q6" s="50" t="inlineStr">
        <is>
          <t>Manipulación brusca en cargue/descargue</t>
        </is>
      </c>
      <c r="R6" s="28">
        <f>IF($Q6="","",IFERROR(INDEX(CONFIG!$H$4:$H$63,MATCH($Q6,CONFIG!$G$4:$G$63,0)),"Por definir"))</f>
        <v/>
      </c>
      <c r="S6" s="28">
        <f>IF($Q6="","",IFERROR(INDEX(CONFIG!$I$4:$I$63,MATCH($Q6,CONFIG!$G$4:$G$63,0)),"Por definir"))</f>
        <v/>
      </c>
      <c r="T6" s="51" t="n">
        <v>4</v>
      </c>
      <c r="U6" s="52" t="n">
        <v>1380000</v>
      </c>
      <c r="V6" s="50" t="inlineStr">
        <is>
          <t>Resuelta</t>
        </is>
      </c>
      <c r="W6" s="50" t="inlineStr">
        <is>
          <t>Coordinador de logística</t>
        </is>
      </c>
      <c r="X6" s="49">
        <f>IF(OR($B6="",$M6=""),"",WORKDAY($B6,IFERROR(INDEX(CONFIG!$D$4:$D$63,MATCH($M6,CONFIG!$A$4:$A$63,0)),3)))</f>
        <v/>
      </c>
      <c r="Y6" s="47" t="n">
        <v>46259</v>
      </c>
      <c r="Z6" s="24">
        <f>IF($B6="","",IF($Y6&lt;&gt;"",$Y6-$B6,TODAY()-$B6))</f>
        <v/>
      </c>
      <c r="AA6" s="28">
        <f>IF($B6="","",IF(IFERROR(INDEX(CONFIG!$L$4:$L$63,MATCH($V6,CONFIG!$K$4:$K$63,0)),"NO")="SÍ",IF(OR($Y6="",$X6=""),"Resuelta",IF($Y6&gt;$X6,"Resuelta tarde","Resuelta a tiempo")),IF($X6="","Sin clasificar",IF(TODAY()&gt;$X6,"Vencida",IF(TODAY()&gt;=$X6-1,"Por vencer","En plazo")))))</f>
        <v/>
      </c>
      <c r="AB6" s="50" t="inlineStr">
        <is>
          <t>Nota crédito y recobro a la transportadora</t>
        </is>
      </c>
      <c r="AC6" s="50" t="inlineStr">
        <is>
          <t>Se pidió reinducción al equipo de cargue</t>
        </is>
      </c>
    </row>
    <row r="7" ht="16" customHeight="1">
      <c r="A7" s="28">
        <f>IF($B7="","","N-"&amp;TEXT(ROW()-3,"0000"))</f>
        <v/>
      </c>
      <c r="B7" s="47" t="n">
        <v>46254</v>
      </c>
      <c r="C7" s="48" t="inlineStr">
        <is>
          <t>En ruta</t>
        </is>
      </c>
      <c r="D7" s="48" t="inlineStr">
        <is>
          <t>G-2417</t>
        </is>
      </c>
      <c r="E7" s="28">
        <f>IF($C7="","",IF($D7="",IF($C7="Interna","Sin guía (interna)","FALTA GUÍA"),IF(COUNTIFS(ENVIOS!$A$4:$A$3003,$D7)=0,"NO EXISTE",IF(COUNTIFS(ENVIOS!$A$4:$A$3003,$D7)&gt;1,"DUPLICADA","OK"))))</f>
        <v/>
      </c>
      <c r="F7" s="28">
        <f>IF($D7="","",IFERROR(INDEX(ENVIOS!$B$4:$B$3003,MATCH($D7,ENVIOS!$A$4:$A$3003,0)),"—"))</f>
        <v/>
      </c>
      <c r="G7" s="23">
        <f>IF($D7="","",IFERROR(INDEX(ENVIOS!$D$4:$D$3003,MATCH($D7,ENVIOS!$A$4:$A$3003,0)),"—"))</f>
        <v/>
      </c>
      <c r="H7" s="23">
        <f>IF($D7="","",IFERROR(INDEX(ENVIOS!$E$4:$E$3003,MATCH($D7,ENVIOS!$A$4:$A$3003,0)),"—"))</f>
        <v/>
      </c>
      <c r="I7" s="23">
        <f>IF($D7="","",IFERROR(INDEX(ENVIOS!$F$4:$F$3003,MATCH($D7,ENVIOS!$A$4:$A$3003,0)),"—"))</f>
        <v/>
      </c>
      <c r="J7" s="23">
        <f>IF($D7="","",IFERROR(INDEX(ENVIOS!$G$4:$G$3003,MATCH($D7,ENVIOS!$A$4:$A$3003,0)),"—"))</f>
        <v/>
      </c>
      <c r="K7" s="28">
        <f>IF($D7="","",IFERROR(INDEX(ENVIOS!$H$4:$H$3003,MATCH($D7,ENVIOS!$A$4:$A$3003,0)),"—"))</f>
        <v/>
      </c>
      <c r="L7" s="49">
        <f>IF($D7="","",IFERROR(INDEX(ENVIOS!$C$4:$C$3003,MATCH($D7,ENVIOS!$A$4:$A$3003,0)),""))</f>
        <v/>
      </c>
      <c r="M7" s="50" t="inlineStr">
        <is>
          <t>Faltante (llegó de menos)</t>
        </is>
      </c>
      <c r="N7" s="28">
        <f>IF($M7="","",IFERROR(INDEX(CONFIG!$C$4:$C$63,MATCH($M7,CONFIG!$A$4:$A$63,0)),"Media"))</f>
        <v/>
      </c>
      <c r="O7" s="28">
        <f>IF($M7="","",IF($C7="Interna","NO",IFERROR(INDEX(CONFIG!$E$4:$E$63,MATCH($M7,CONFIG!$A$4:$A$63,0)),"NO")))</f>
        <v/>
      </c>
      <c r="P7" s="50" t="inlineStr">
        <is>
          <t>Alistamiento (picking)</t>
        </is>
      </c>
      <c r="Q7" s="50" t="inlineStr">
        <is>
          <t>Error de alistamiento (picking)</t>
        </is>
      </c>
      <c r="R7" s="28">
        <f>IF($Q7="","",IFERROR(INDEX(CONFIG!$H$4:$H$63,MATCH($Q7,CONFIG!$G$4:$G$63,0)),"Por definir"))</f>
        <v/>
      </c>
      <c r="S7" s="28">
        <f>IF($Q7="","",IFERROR(INDEX(CONFIG!$I$4:$I$63,MATCH($Q7,CONFIG!$G$4:$G$63,0)),"Por definir"))</f>
        <v/>
      </c>
      <c r="T7" s="51" t="n">
        <v>2</v>
      </c>
      <c r="U7" s="52" t="n">
        <v>690000</v>
      </c>
      <c r="V7" s="50" t="inlineStr">
        <is>
          <t>Resuelta</t>
        </is>
      </c>
      <c r="W7" s="50" t="inlineStr">
        <is>
          <t>Jefe de bodega</t>
        </is>
      </c>
      <c r="X7" s="49">
        <f>IF(OR($B7="",$M7=""),"",WORKDAY($B7,IFERROR(INDEX(CONFIG!$D$4:$D$63,MATCH($M7,CONFIG!$A$4:$A$63,0)),3)))</f>
        <v/>
      </c>
      <c r="Y7" s="47" t="n">
        <v>46258</v>
      </c>
      <c r="Z7" s="24">
        <f>IF($B7="","",IF($Y7&lt;&gt;"",$Y7-$B7,TODAY()-$B7))</f>
        <v/>
      </c>
      <c r="AA7" s="28">
        <f>IF($B7="","",IF(IFERROR(INDEX(CONFIG!$L$4:$L$63,MATCH($V7,CONFIG!$K$4:$K$63,0)),"NO")="SÍ",IF(OR($Y7="",$X7=""),"Resuelta",IF($Y7&gt;$X7,"Resuelta tarde","Resuelta a tiempo")),IF($X7="","Sin clasificar",IF(TODAY()&gt;$X7,"Vencida",IF(TODAY()&gt;=$X7-1,"Por vencer","En plazo")))))</f>
        <v/>
      </c>
      <c r="AB7" s="50" t="inlineStr">
        <is>
          <t>Reconteo en bodega y despacho del faltante</t>
        </is>
      </c>
      <c r="AC7" s="50" t="n"/>
    </row>
    <row r="8" ht="16" customHeight="1">
      <c r="A8" s="28">
        <f>IF($B8="","","N-"&amp;TEXT(ROW()-3,"0000"))</f>
        <v/>
      </c>
      <c r="B8" s="47" t="n">
        <v>46259</v>
      </c>
      <c r="C8" s="48" t="inlineStr">
        <is>
          <t>En ruta</t>
        </is>
      </c>
      <c r="D8" s="48" t="inlineStr">
        <is>
          <t>G-2426</t>
        </is>
      </c>
      <c r="E8" s="28">
        <f>IF($C8="","",IF($D8="",IF($C8="Interna","Sin guía (interna)","FALTA GUÍA"),IF(COUNTIFS(ENVIOS!$A$4:$A$3003,$D8)=0,"NO EXISTE",IF(COUNTIFS(ENVIOS!$A$4:$A$3003,$D8)&gt;1,"DUPLICADA","OK"))))</f>
        <v/>
      </c>
      <c r="F8" s="28">
        <f>IF($D8="","",IFERROR(INDEX(ENVIOS!$B$4:$B$3003,MATCH($D8,ENVIOS!$A$4:$A$3003,0)),"—"))</f>
        <v/>
      </c>
      <c r="G8" s="23">
        <f>IF($D8="","",IFERROR(INDEX(ENVIOS!$D$4:$D$3003,MATCH($D8,ENVIOS!$A$4:$A$3003,0)),"—"))</f>
        <v/>
      </c>
      <c r="H8" s="23">
        <f>IF($D8="","",IFERROR(INDEX(ENVIOS!$E$4:$E$3003,MATCH($D8,ENVIOS!$A$4:$A$3003,0)),"—"))</f>
        <v/>
      </c>
      <c r="I8" s="23">
        <f>IF($D8="","",IFERROR(INDEX(ENVIOS!$F$4:$F$3003,MATCH($D8,ENVIOS!$A$4:$A$3003,0)),"—"))</f>
        <v/>
      </c>
      <c r="J8" s="23">
        <f>IF($D8="","",IFERROR(INDEX(ENVIOS!$G$4:$G$3003,MATCH($D8,ENVIOS!$A$4:$A$3003,0)),"—"))</f>
        <v/>
      </c>
      <c r="K8" s="28">
        <f>IF($D8="","",IFERROR(INDEX(ENVIOS!$H$4:$H$3003,MATCH($D8,ENVIOS!$A$4:$A$3003,0)),"—"))</f>
        <v/>
      </c>
      <c r="L8" s="49">
        <f>IF($D8="","",IFERROR(INDEX(ENVIOS!$C$4:$C$3003,MATCH($D8,ENVIOS!$A$4:$A$3003,0)),""))</f>
        <v/>
      </c>
      <c r="M8" s="50" t="inlineStr">
        <is>
          <t>Faltante (llegó de menos)</t>
        </is>
      </c>
      <c r="N8" s="28">
        <f>IF($M8="","",IFERROR(INDEX(CONFIG!$C$4:$C$63,MATCH($M8,CONFIG!$A$4:$A$63,0)),"Media"))</f>
        <v/>
      </c>
      <c r="O8" s="28">
        <f>IF($M8="","",IF($C8="Interna","NO",IFERROR(INDEX(CONFIG!$E$4:$E$63,MATCH($M8,CONFIG!$A$4:$A$63,0)),"NO")))</f>
        <v/>
      </c>
      <c r="P8" s="50" t="inlineStr">
        <is>
          <t>Alistamiento (picking)</t>
        </is>
      </c>
      <c r="Q8" s="50" t="inlineStr">
        <is>
          <t>Inventario descuadrado</t>
        </is>
      </c>
      <c r="R8" s="28">
        <f>IF($Q8="","",IFERROR(INDEX(CONFIG!$H$4:$H$63,MATCH($Q8,CONFIG!$G$4:$G$63,0)),"Por definir"))</f>
        <v/>
      </c>
      <c r="S8" s="28">
        <f>IF($Q8="","",IFERROR(INDEX(CONFIG!$I$4:$I$63,MATCH($Q8,CONFIG!$G$4:$G$63,0)),"Por definir"))</f>
        <v/>
      </c>
      <c r="T8" s="51" t="n">
        <v>2</v>
      </c>
      <c r="U8" s="52" t="n">
        <v>630000</v>
      </c>
      <c r="V8" s="50" t="inlineStr">
        <is>
          <t>Resuelta</t>
        </is>
      </c>
      <c r="W8" s="50" t="inlineStr">
        <is>
          <t>Jefe de bodega</t>
        </is>
      </c>
      <c r="X8" s="49">
        <f>IF(OR($B8="",$M8=""),"",WORKDAY($B8,IFERROR(INDEX(CONFIG!$D$4:$D$63,MATCH($M8,CONFIG!$A$4:$A$63,0)),3)))</f>
        <v/>
      </c>
      <c r="Y8" s="47" t="n">
        <v>46261</v>
      </c>
      <c r="Z8" s="24">
        <f>IF($B8="","",IF($Y8&lt;&gt;"",$Y8-$B8,TODAY()-$B8))</f>
        <v/>
      </c>
      <c r="AA8" s="28">
        <f>IF($B8="","",IF(IFERROR(INDEX(CONFIG!$L$4:$L$63,MATCH($V8,CONFIG!$K$4:$K$63,0)),"NO")="SÍ",IF(OR($Y8="",$X8=""),"Resuelta",IF($Y8&gt;$X8,"Resuelta tarde","Resuelta a tiempo")),IF($X8="","Sin clasificar",IF(TODAY()&gt;$X8,"Vencida",IF(TODAY()&gt;=$X8-1,"Por vencer","En plazo")))))</f>
        <v/>
      </c>
      <c r="AB8" s="50" t="inlineStr">
        <is>
          <t>Se despachó el faltante al día siguiente</t>
        </is>
      </c>
      <c r="AC8" s="50" t="inlineStr">
        <is>
          <t>Llegó a tiempo pero incompleta: cuenta como entrega a tiempo y NO como OTIF</t>
        </is>
      </c>
    </row>
    <row r="9" ht="16" customHeight="1">
      <c r="A9" s="28">
        <f>IF($B9="","","N-"&amp;TEXT(ROW()-3,"0000"))</f>
        <v/>
      </c>
      <c r="B9" s="47" t="n">
        <v>46261</v>
      </c>
      <c r="C9" s="48" t="inlineStr">
        <is>
          <t>En ruta</t>
        </is>
      </c>
      <c r="D9" s="48" t="inlineStr">
        <is>
          <t>G-2419</t>
        </is>
      </c>
      <c r="E9" s="28">
        <f>IF($C9="","",IF($D9="",IF($C9="Interna","Sin guía (interna)","FALTA GUÍA"),IF(COUNTIFS(ENVIOS!$A$4:$A$3003,$D9)=0,"NO EXISTE",IF(COUNTIFS(ENVIOS!$A$4:$A$3003,$D9)&gt;1,"DUPLICADA","OK"))))</f>
        <v/>
      </c>
      <c r="F9" s="28">
        <f>IF($D9="","",IFERROR(INDEX(ENVIOS!$B$4:$B$3003,MATCH($D9,ENVIOS!$A$4:$A$3003,0)),"—"))</f>
        <v/>
      </c>
      <c r="G9" s="23">
        <f>IF($D9="","",IFERROR(INDEX(ENVIOS!$D$4:$D$3003,MATCH($D9,ENVIOS!$A$4:$A$3003,0)),"—"))</f>
        <v/>
      </c>
      <c r="H9" s="23">
        <f>IF($D9="","",IFERROR(INDEX(ENVIOS!$E$4:$E$3003,MATCH($D9,ENVIOS!$A$4:$A$3003,0)),"—"))</f>
        <v/>
      </c>
      <c r="I9" s="23">
        <f>IF($D9="","",IFERROR(INDEX(ENVIOS!$F$4:$F$3003,MATCH($D9,ENVIOS!$A$4:$A$3003,0)),"—"))</f>
        <v/>
      </c>
      <c r="J9" s="23">
        <f>IF($D9="","",IFERROR(INDEX(ENVIOS!$G$4:$G$3003,MATCH($D9,ENVIOS!$A$4:$A$3003,0)),"—"))</f>
        <v/>
      </c>
      <c r="K9" s="28">
        <f>IF($D9="","",IFERROR(INDEX(ENVIOS!$H$4:$H$3003,MATCH($D9,ENVIOS!$A$4:$A$3003,0)),"—"))</f>
        <v/>
      </c>
      <c r="L9" s="49">
        <f>IF($D9="","",IFERROR(INDEX(ENVIOS!$C$4:$C$3003,MATCH($D9,ENVIOS!$A$4:$A$3003,0)),""))</f>
        <v/>
      </c>
      <c r="M9" s="50" t="inlineStr">
        <is>
          <t>Cliente ausente / no atiende</t>
        </is>
      </c>
      <c r="N9" s="28">
        <f>IF($M9="","",IFERROR(INDEX(CONFIG!$C$4:$C$63,MATCH($M9,CONFIG!$A$4:$A$63,0)),"Media"))</f>
        <v/>
      </c>
      <c r="O9" s="28">
        <f>IF($M9="","",IF($C9="Interna","NO",IFERROR(INDEX(CONFIG!$E$4:$E$63,MATCH($M9,CONFIG!$A$4:$A$63,0)),"NO")))</f>
        <v/>
      </c>
      <c r="P9" s="50" t="inlineStr">
        <is>
          <t>En ruta / entrega al cliente</t>
        </is>
      </c>
      <c r="Q9" s="50" t="inlineStr">
        <is>
          <t>Datos del cliente desactualizados</t>
        </is>
      </c>
      <c r="R9" s="28">
        <f>IF($Q9="","",IFERROR(INDEX(CONFIG!$H$4:$H$63,MATCH($Q9,CONFIG!$G$4:$G$63,0)),"Por definir"))</f>
        <v/>
      </c>
      <c r="S9" s="28">
        <f>IF($Q9="","",IFERROR(INDEX(CONFIG!$I$4:$I$63,MATCH($Q9,CONFIG!$G$4:$G$63,0)),"Por definir"))</f>
        <v/>
      </c>
      <c r="T9" s="51" t="n">
        <v>9</v>
      </c>
      <c r="U9" s="52" t="n">
        <v>2900000</v>
      </c>
      <c r="V9" s="50" t="inlineStr">
        <is>
          <t>Resuelta</t>
        </is>
      </c>
      <c r="W9" s="50" t="inlineStr">
        <is>
          <t>Servicio al cliente</t>
        </is>
      </c>
      <c r="X9" s="49">
        <f>IF(OR($B9="",$M9=""),"",WORKDAY($B9,IFERROR(INDEX(CONFIG!$D$4:$D$63,MATCH($M9,CONFIG!$A$4:$A$63,0)),3)))</f>
        <v/>
      </c>
      <c r="Y9" s="47" t="n">
        <v>46265</v>
      </c>
      <c r="Z9" s="24">
        <f>IF($B9="","",IF($Y9&lt;&gt;"",$Y9-$B9,TODAY()-$B9))</f>
        <v/>
      </c>
      <c r="AA9" s="28">
        <f>IF($B9="","",IF(IFERROR(INDEX(CONFIG!$L$4:$L$63,MATCH($V9,CONFIG!$K$4:$K$63,0)),"NO")="SÍ",IF(OR($Y9="",$X9=""),"Resuelta",IF($Y9&gt;$X9,"Resuelta tarde","Resuelta a tiempo")),IF($X9="","Sin clasificar",IF(TODAY()&gt;$X9,"Vencida",IF(TODAY()&gt;=$X9-1,"Por vencer","En plazo")))))</f>
        <v/>
      </c>
      <c r="AB9" s="50" t="inlineStr">
        <is>
          <t>Se actualizó el contacto y se reprogramó</t>
        </is>
      </c>
      <c r="AC9" s="50" t="n"/>
    </row>
    <row r="10" ht="16" customHeight="1">
      <c r="A10" s="28">
        <f>IF($B10="","","N-"&amp;TEXT(ROW()-3,"0000"))</f>
        <v/>
      </c>
      <c r="B10" s="47" t="n">
        <v>46265</v>
      </c>
      <c r="C10" s="48" t="inlineStr">
        <is>
          <t>En ruta</t>
        </is>
      </c>
      <c r="D10" s="48" t="inlineStr">
        <is>
          <t>G-2420</t>
        </is>
      </c>
      <c r="E10" s="28">
        <f>IF($C10="","",IF($D10="",IF($C10="Interna","Sin guía (interna)","FALTA GUÍA"),IF(COUNTIFS(ENVIOS!$A$4:$A$3003,$D10)=0,"NO EXISTE",IF(COUNTIFS(ENVIOS!$A$4:$A$3003,$D10)&gt;1,"DUPLICADA","OK"))))</f>
        <v/>
      </c>
      <c r="F10" s="28">
        <f>IF($D10="","",IFERROR(INDEX(ENVIOS!$B$4:$B$3003,MATCH($D10,ENVIOS!$A$4:$A$3003,0)),"—"))</f>
        <v/>
      </c>
      <c r="G10" s="23">
        <f>IF($D10="","",IFERROR(INDEX(ENVIOS!$D$4:$D$3003,MATCH($D10,ENVIOS!$A$4:$A$3003,0)),"—"))</f>
        <v/>
      </c>
      <c r="H10" s="23">
        <f>IF($D10="","",IFERROR(INDEX(ENVIOS!$E$4:$E$3003,MATCH($D10,ENVIOS!$A$4:$A$3003,0)),"—"))</f>
        <v/>
      </c>
      <c r="I10" s="23">
        <f>IF($D10="","",IFERROR(INDEX(ENVIOS!$F$4:$F$3003,MATCH($D10,ENVIOS!$A$4:$A$3003,0)),"—"))</f>
        <v/>
      </c>
      <c r="J10" s="23">
        <f>IF($D10="","",IFERROR(INDEX(ENVIOS!$G$4:$G$3003,MATCH($D10,ENVIOS!$A$4:$A$3003,0)),"—"))</f>
        <v/>
      </c>
      <c r="K10" s="28">
        <f>IF($D10="","",IFERROR(INDEX(ENVIOS!$H$4:$H$3003,MATCH($D10,ENVIOS!$A$4:$A$3003,0)),"—"))</f>
        <v/>
      </c>
      <c r="L10" s="49">
        <f>IF($D10="","",IFERROR(INDEX(ENVIOS!$C$4:$C$3003,MATCH($D10,ENVIOS!$A$4:$A$3003,0)),""))</f>
        <v/>
      </c>
      <c r="M10" s="50" t="inlineStr">
        <is>
          <t>Cliente rechaza el envío</t>
        </is>
      </c>
      <c r="N10" s="28">
        <f>IF($M10="","",IFERROR(INDEX(CONFIG!$C$4:$C$63,MATCH($M10,CONFIG!$A$4:$A$63,0)),"Media"))</f>
        <v/>
      </c>
      <c r="O10" s="28">
        <f>IF($M10="","",IF($C10="Interna","NO",IFERROR(INDEX(CONFIG!$E$4:$E$63,MATCH($M10,CONFIG!$A$4:$A$63,0)),"NO")))</f>
        <v/>
      </c>
      <c r="P10" s="50" t="inlineStr">
        <is>
          <t>En ruta / entrega al cliente</t>
        </is>
      </c>
      <c r="Q10" s="50" t="inlineStr">
        <is>
          <t>Cliente sin cupo / cartera bloqueada</t>
        </is>
      </c>
      <c r="R10" s="28">
        <f>IF($Q10="","",IFERROR(INDEX(CONFIG!$H$4:$H$63,MATCH($Q10,CONFIG!$G$4:$G$63,0)),"Por definir"))</f>
        <v/>
      </c>
      <c r="S10" s="28">
        <f>IF($Q10="","",IFERROR(INDEX(CONFIG!$I$4:$I$63,MATCH($Q10,CONFIG!$G$4:$G$63,0)),"Por definir"))</f>
        <v/>
      </c>
      <c r="T10" s="51" t="n">
        <v>12</v>
      </c>
      <c r="U10" s="52" t="n">
        <v>3800000</v>
      </c>
      <c r="V10" s="50" t="inlineStr">
        <is>
          <t>Esperando al cliente</t>
        </is>
      </c>
      <c r="W10" s="50" t="inlineStr">
        <is>
          <t>Cartera</t>
        </is>
      </c>
      <c r="X10" s="49">
        <f>IF(OR($B10="",$M10=""),"",WORKDAY($B10,IFERROR(INDEX(CONFIG!$D$4:$D$63,MATCH($M10,CONFIG!$A$4:$A$63,0)),3)))</f>
        <v/>
      </c>
      <c r="Y10" s="47" t="n"/>
      <c r="Z10" s="24">
        <f>IF($B10="","",IF($Y10&lt;&gt;"",$Y10-$B10,TODAY()-$B10))</f>
        <v/>
      </c>
      <c r="AA10" s="28">
        <f>IF($B10="","",IF(IFERROR(INDEX(CONFIG!$L$4:$L$63,MATCH($V10,CONFIG!$K$4:$K$63,0)),"NO")="SÍ",IF(OR($Y10="",$X10=""),"Resuelta",IF($Y10&gt;$X10,"Resuelta tarde","Resuelta a tiempo")),IF($X10="","Sin clasificar",IF(TODAY()&gt;$X10,"Vencida",IF(TODAY()&gt;=$X10-1,"Por vencer","En plazo")))))</f>
        <v/>
      </c>
      <c r="AB10" s="50" t="n"/>
      <c r="AC10" s="50" t="inlineStr">
        <is>
          <t>Cartera está revisando el cupo</t>
        </is>
      </c>
    </row>
    <row r="11" ht="16" customHeight="1">
      <c r="A11" s="28">
        <f>IF($B11="","","N-"&amp;TEXT(ROW()-3,"0000"))</f>
        <v/>
      </c>
      <c r="B11" s="47" t="n">
        <v>46265</v>
      </c>
      <c r="C11" s="48" t="inlineStr">
        <is>
          <t>En ruta</t>
        </is>
      </c>
      <c r="D11" s="48" t="inlineStr">
        <is>
          <t>G-2413</t>
        </is>
      </c>
      <c r="E11" s="28">
        <f>IF($C11="","",IF($D11="",IF($C11="Interna","Sin guía (interna)","FALTA GUÍA"),IF(COUNTIFS(ENVIOS!$A$4:$A$3003,$D11)=0,"NO EXISTE",IF(COUNTIFS(ENVIOS!$A$4:$A$3003,$D11)&gt;1,"DUPLICADA","OK"))))</f>
        <v/>
      </c>
      <c r="F11" s="28">
        <f>IF($D11="","",IFERROR(INDEX(ENVIOS!$B$4:$B$3003,MATCH($D11,ENVIOS!$A$4:$A$3003,0)),"—"))</f>
        <v/>
      </c>
      <c r="G11" s="23">
        <f>IF($D11="","",IFERROR(INDEX(ENVIOS!$D$4:$D$3003,MATCH($D11,ENVIOS!$A$4:$A$3003,0)),"—"))</f>
        <v/>
      </c>
      <c r="H11" s="23">
        <f>IF($D11="","",IFERROR(INDEX(ENVIOS!$E$4:$E$3003,MATCH($D11,ENVIOS!$A$4:$A$3003,0)),"—"))</f>
        <v/>
      </c>
      <c r="I11" s="23">
        <f>IF($D11="","",IFERROR(INDEX(ENVIOS!$F$4:$F$3003,MATCH($D11,ENVIOS!$A$4:$A$3003,0)),"—"))</f>
        <v/>
      </c>
      <c r="J11" s="23">
        <f>IF($D11="","",IFERROR(INDEX(ENVIOS!$G$4:$G$3003,MATCH($D11,ENVIOS!$A$4:$A$3003,0)),"—"))</f>
        <v/>
      </c>
      <c r="K11" s="28">
        <f>IF($D11="","",IFERROR(INDEX(ENVIOS!$H$4:$H$3003,MATCH($D11,ENVIOS!$A$4:$A$3003,0)),"—"))</f>
        <v/>
      </c>
      <c r="L11" s="49">
        <f>IF($D11="","",IFERROR(INDEX(ENVIOS!$C$4:$C$3003,MATCH($D11,ENVIOS!$A$4:$A$3003,0)),""))</f>
        <v/>
      </c>
      <c r="M11" s="50" t="inlineStr">
        <is>
          <t>Producto equivocado</t>
        </is>
      </c>
      <c r="N11" s="28">
        <f>IF($M11="","",IFERROR(INDEX(CONFIG!$C$4:$C$63,MATCH($M11,CONFIG!$A$4:$A$63,0)),"Media"))</f>
        <v/>
      </c>
      <c r="O11" s="28">
        <f>IF($M11="","",IF($C11="Interna","NO",IFERROR(INDEX(CONFIG!$E$4:$E$63,MATCH($M11,CONFIG!$A$4:$A$63,0)),"NO")))</f>
        <v/>
      </c>
      <c r="P11" s="50" t="inlineStr">
        <is>
          <t>Alistamiento (picking)</t>
        </is>
      </c>
      <c r="Q11" s="50" t="inlineStr">
        <is>
          <t>Error de alistamiento (picking)</t>
        </is>
      </c>
      <c r="R11" s="28">
        <f>IF($Q11="","",IFERROR(INDEX(CONFIG!$H$4:$H$63,MATCH($Q11,CONFIG!$G$4:$G$63,0)),"Por definir"))</f>
        <v/>
      </c>
      <c r="S11" s="28">
        <f>IF($Q11="","",IFERROR(INDEX(CONFIG!$I$4:$I$63,MATCH($Q11,CONFIG!$G$4:$G$63,0)),"Por definir"))</f>
        <v/>
      </c>
      <c r="T11" s="51" t="n">
        <v>3</v>
      </c>
      <c r="U11" s="52" t="n">
        <v>980000</v>
      </c>
      <c r="V11" s="50" t="inlineStr">
        <is>
          <t>Resuelta</t>
        </is>
      </c>
      <c r="W11" s="50" t="inlineStr">
        <is>
          <t>Jefe de bodega</t>
        </is>
      </c>
      <c r="X11" s="49">
        <f>IF(OR($B11="",$M11=""),"",WORKDAY($B11,IFERROR(INDEX(CONFIG!$D$4:$D$63,MATCH($M11,CONFIG!$A$4:$A$63,0)),3)))</f>
        <v/>
      </c>
      <c r="Y11" s="47" t="n">
        <v>46268</v>
      </c>
      <c r="Z11" s="24">
        <f>IF($B11="","",IF($Y11&lt;&gt;"",$Y11-$B11,TODAY()-$B11))</f>
        <v/>
      </c>
      <c r="AA11" s="28">
        <f>IF($B11="","",IF(IFERROR(INDEX(CONFIG!$L$4:$L$63,MATCH($V11,CONFIG!$K$4:$K$63,0)),"NO")="SÍ",IF(OR($Y11="",$X11=""),"Resuelta",IF($Y11&gt;$X11,"Resuelta tarde","Resuelta a tiempo")),IF($X11="","Sin clasificar",IF(TODAY()&gt;$X11,"Vencida",IF(TODAY()&gt;=$X11-1,"Por vencer","En plazo")))))</f>
        <v/>
      </c>
      <c r="AB11" s="50" t="inlineStr">
        <is>
          <t>Se recogió y se despachó la referencia correcta</t>
        </is>
      </c>
      <c r="AC11" s="50" t="n"/>
    </row>
    <row r="12" ht="16" customHeight="1">
      <c r="A12" s="28">
        <f>IF($B12="","","N-"&amp;TEXT(ROW()-3,"0000"))</f>
        <v/>
      </c>
      <c r="B12" s="47" t="n">
        <v>46267</v>
      </c>
      <c r="C12" s="48" t="inlineStr">
        <is>
          <t>En ruta</t>
        </is>
      </c>
      <c r="D12" s="48" t="inlineStr">
        <is>
          <t>G-2425</t>
        </is>
      </c>
      <c r="E12" s="28">
        <f>IF($C12="","",IF($D12="",IF($C12="Interna","Sin guía (interna)","FALTA GUÍA"),IF(COUNTIFS(ENVIOS!$A$4:$A$3003,$D12)=0,"NO EXISTE",IF(COUNTIFS(ENVIOS!$A$4:$A$3003,$D12)&gt;1,"DUPLICADA","OK"))))</f>
        <v/>
      </c>
      <c r="F12" s="28">
        <f>IF($D12="","",IFERROR(INDEX(ENVIOS!$B$4:$B$3003,MATCH($D12,ENVIOS!$A$4:$A$3003,0)),"—"))</f>
        <v/>
      </c>
      <c r="G12" s="23">
        <f>IF($D12="","",IFERROR(INDEX(ENVIOS!$D$4:$D$3003,MATCH($D12,ENVIOS!$A$4:$A$3003,0)),"—"))</f>
        <v/>
      </c>
      <c r="H12" s="23">
        <f>IF($D12="","",IFERROR(INDEX(ENVIOS!$E$4:$E$3003,MATCH($D12,ENVIOS!$A$4:$A$3003,0)),"—"))</f>
        <v/>
      </c>
      <c r="I12" s="23">
        <f>IF($D12="","",IFERROR(INDEX(ENVIOS!$F$4:$F$3003,MATCH($D12,ENVIOS!$A$4:$A$3003,0)),"—"))</f>
        <v/>
      </c>
      <c r="J12" s="23">
        <f>IF($D12="","",IFERROR(INDEX(ENVIOS!$G$4:$G$3003,MATCH($D12,ENVIOS!$A$4:$A$3003,0)),"—"))</f>
        <v/>
      </c>
      <c r="K12" s="28">
        <f>IF($D12="","",IFERROR(INDEX(ENVIOS!$H$4:$H$3003,MATCH($D12,ENVIOS!$A$4:$A$3003,0)),"—"))</f>
        <v/>
      </c>
      <c r="L12" s="49">
        <f>IF($D12="","",IFERROR(INDEX(ENVIOS!$C$4:$C$3003,MATCH($D12,ENVIOS!$A$4:$A$3003,0)),""))</f>
        <v/>
      </c>
      <c r="M12" s="50" t="inlineStr">
        <is>
          <t>Soporte de entrega sin firmar</t>
        </is>
      </c>
      <c r="N12" s="28">
        <f>IF($M12="","",IFERROR(INDEX(CONFIG!$C$4:$C$63,MATCH($M12,CONFIG!$A$4:$A$63,0)),"Media"))</f>
        <v/>
      </c>
      <c r="O12" s="28">
        <f>IF($M12="","",IF($C12="Interna","NO",IFERROR(INDEX(CONFIG!$E$4:$E$63,MATCH($M12,CONFIG!$A$4:$A$63,0)),"NO")))</f>
        <v/>
      </c>
      <c r="P12" s="50" t="inlineStr">
        <is>
          <t>En ruta / entrega al cliente</t>
        </is>
      </c>
      <c r="Q12" s="50" t="inlineStr">
        <is>
          <t>Conductor sin capacitación o procedimiento</t>
        </is>
      </c>
      <c r="R12" s="28">
        <f>IF($Q12="","",IFERROR(INDEX(CONFIG!$H$4:$H$63,MATCH($Q12,CONFIG!$G$4:$G$63,0)),"Por definir"))</f>
        <v/>
      </c>
      <c r="S12" s="28">
        <f>IF($Q12="","",IFERROR(INDEX(CONFIG!$I$4:$I$63,MATCH($Q12,CONFIG!$G$4:$G$63,0)),"Por definir"))</f>
        <v/>
      </c>
      <c r="T12" s="51" t="n">
        <v>0</v>
      </c>
      <c r="U12" s="52" t="n">
        <v>0</v>
      </c>
      <c r="V12" s="50" t="inlineStr">
        <is>
          <t>En gestión</t>
        </is>
      </c>
      <c r="W12" s="50" t="inlineStr">
        <is>
          <t>Analista de transporte</t>
        </is>
      </c>
      <c r="X12" s="49">
        <f>IF(OR($B12="",$M12=""),"",WORKDAY($B12,IFERROR(INDEX(CONFIG!$D$4:$D$63,MATCH($M12,CONFIG!$A$4:$A$63,0)),3)))</f>
        <v/>
      </c>
      <c r="Y12" s="47" t="n"/>
      <c r="Z12" s="24">
        <f>IF($B12="","",IF($Y12&lt;&gt;"",$Y12-$B12,TODAY()-$B12))</f>
        <v/>
      </c>
      <c r="AA12" s="28">
        <f>IF($B12="","",IF(IFERROR(INDEX(CONFIG!$L$4:$L$63,MATCH($V12,CONFIG!$K$4:$K$63,0)),"NO")="SÍ",IF(OR($Y12="",$X12=""),"Resuelta",IF($Y12&gt;$X12,"Resuelta tarde","Resuelta a tiempo")),IF($X12="","Sin clasificar",IF(TODAY()&gt;$X12,"Vencida",IF(TODAY()&gt;=$X12-1,"Por vencer","En plazo")))))</f>
        <v/>
      </c>
      <c r="AB12" s="50" t="n"/>
      <c r="AC12" s="50" t="inlineStr">
        <is>
          <t>Falta el sello del cliente</t>
        </is>
      </c>
    </row>
    <row r="13" ht="16" customHeight="1">
      <c r="A13" s="28">
        <f>IF($B13="","","N-"&amp;TEXT(ROW()-3,"0000"))</f>
        <v/>
      </c>
      <c r="B13" s="47" t="n">
        <v>46272</v>
      </c>
      <c r="C13" s="48" t="inlineStr">
        <is>
          <t>En ruta</t>
        </is>
      </c>
      <c r="D13" s="48" t="inlineStr">
        <is>
          <t>G-2415</t>
        </is>
      </c>
      <c r="E13" s="28">
        <f>IF($C13="","",IF($D13="",IF($C13="Interna","Sin guía (interna)","FALTA GUÍA"),IF(COUNTIFS(ENVIOS!$A$4:$A$3003,$D13)=0,"NO EXISTE",IF(COUNTIFS(ENVIOS!$A$4:$A$3003,$D13)&gt;1,"DUPLICADA","OK"))))</f>
        <v/>
      </c>
      <c r="F13" s="28">
        <f>IF($D13="","",IFERROR(INDEX(ENVIOS!$B$4:$B$3003,MATCH($D13,ENVIOS!$A$4:$A$3003,0)),"—"))</f>
        <v/>
      </c>
      <c r="G13" s="23">
        <f>IF($D13="","",IFERROR(INDEX(ENVIOS!$D$4:$D$3003,MATCH($D13,ENVIOS!$A$4:$A$3003,0)),"—"))</f>
        <v/>
      </c>
      <c r="H13" s="23">
        <f>IF($D13="","",IFERROR(INDEX(ENVIOS!$E$4:$E$3003,MATCH($D13,ENVIOS!$A$4:$A$3003,0)),"—"))</f>
        <v/>
      </c>
      <c r="I13" s="23">
        <f>IF($D13="","",IFERROR(INDEX(ENVIOS!$F$4:$F$3003,MATCH($D13,ENVIOS!$A$4:$A$3003,0)),"—"))</f>
        <v/>
      </c>
      <c r="J13" s="23">
        <f>IF($D13="","",IFERROR(INDEX(ENVIOS!$G$4:$G$3003,MATCH($D13,ENVIOS!$A$4:$A$3003,0)),"—"))</f>
        <v/>
      </c>
      <c r="K13" s="28">
        <f>IF($D13="","",IFERROR(INDEX(ENVIOS!$H$4:$H$3003,MATCH($D13,ENVIOS!$A$4:$A$3003,0)),"—"))</f>
        <v/>
      </c>
      <c r="L13" s="49">
        <f>IF($D13="","",IFERROR(INDEX(ENVIOS!$C$4:$C$3003,MATCH($D13,ENVIOS!$A$4:$A$3003,0)),""))</f>
        <v/>
      </c>
      <c r="M13" s="50" t="inlineStr">
        <is>
          <t>Retraso en vía</t>
        </is>
      </c>
      <c r="N13" s="28">
        <f>IF($M13="","",IFERROR(INDEX(CONFIG!$C$4:$C$63,MATCH($M13,CONFIG!$A$4:$A$63,0)),"Media"))</f>
        <v/>
      </c>
      <c r="O13" s="28">
        <f>IF($M13="","",IF($C13="Interna","NO",IFERROR(INDEX(CONFIG!$E$4:$E$63,MATCH($M13,CONFIG!$A$4:$A$63,0)),"NO")))</f>
        <v/>
      </c>
      <c r="P13" s="50" t="inlineStr">
        <is>
          <t>Despacho y coordinación</t>
        </is>
      </c>
      <c r="Q13" s="50" t="inlineStr">
        <is>
          <t>Ruta mal planeada o secuencia errada</t>
        </is>
      </c>
      <c r="R13" s="28">
        <f>IF($Q13="","",IFERROR(INDEX(CONFIG!$H$4:$H$63,MATCH($Q13,CONFIG!$G$4:$G$63,0)),"Por definir"))</f>
        <v/>
      </c>
      <c r="S13" s="28">
        <f>IF($Q13="","",IFERROR(INDEX(CONFIG!$I$4:$I$63,MATCH($Q13,CONFIG!$G$4:$G$63,0)),"Por definir"))</f>
        <v/>
      </c>
      <c r="T13" s="51" t="n">
        <v>0</v>
      </c>
      <c r="U13" s="52" t="n">
        <v>0</v>
      </c>
      <c r="V13" s="50" t="inlineStr">
        <is>
          <t>En gestión</t>
        </is>
      </c>
      <c r="W13" s="50" t="inlineStr">
        <is>
          <t>Coordinador de logística</t>
        </is>
      </c>
      <c r="X13" s="49">
        <f>IF(OR($B13="",$M13=""),"",WORKDAY($B13,IFERROR(INDEX(CONFIG!$D$4:$D$63,MATCH($M13,CONFIG!$A$4:$A$63,0)),3)))</f>
        <v/>
      </c>
      <c r="Y13" s="47" t="n"/>
      <c r="Z13" s="24">
        <f>IF($B13="","",IF($Y13&lt;&gt;"",$Y13-$B13,TODAY()-$B13))</f>
        <v/>
      </c>
      <c r="AA13" s="28">
        <f>IF($B13="","",IF(IFERROR(INDEX(CONFIG!$L$4:$L$63,MATCH($V13,CONFIG!$K$4:$K$63,0)),"NO")="SÍ",IF(OR($Y13="",$X13=""),"Resuelta",IF($Y13&gt;$X13,"Resuelta tarde","Resuelta a tiempo")),IF($X13="","Sin clasificar",IF(TODAY()&gt;$X13,"Vencida",IF(TODAY()&gt;=$X13-1,"Por vencer","En plazo")))))</f>
        <v/>
      </c>
      <c r="AB13" s="50" t="n"/>
      <c r="AC13" s="50" t="inlineStr">
        <is>
          <t>Se está revisando la secuencia de entrega</t>
        </is>
      </c>
    </row>
    <row r="14" ht="16" customHeight="1">
      <c r="A14" s="28">
        <f>IF($B14="","","N-"&amp;TEXT(ROW()-3,"0000"))</f>
        <v/>
      </c>
      <c r="B14" s="47" t="n">
        <v>46273</v>
      </c>
      <c r="C14" s="48" t="inlineStr">
        <is>
          <t>En ruta</t>
        </is>
      </c>
      <c r="D14" s="48" t="inlineStr">
        <is>
          <t>G-2422</t>
        </is>
      </c>
      <c r="E14" s="28">
        <f>IF($C14="","",IF($D14="",IF($C14="Interna","Sin guía (interna)","FALTA GUÍA"),IF(COUNTIFS(ENVIOS!$A$4:$A$3003,$D14)=0,"NO EXISTE",IF(COUNTIFS(ENVIOS!$A$4:$A$3003,$D14)&gt;1,"DUPLICADA","OK"))))</f>
        <v/>
      </c>
      <c r="F14" s="28">
        <f>IF($D14="","",IFERROR(INDEX(ENVIOS!$B$4:$B$3003,MATCH($D14,ENVIOS!$A$4:$A$3003,0)),"—"))</f>
        <v/>
      </c>
      <c r="G14" s="23">
        <f>IF($D14="","",IFERROR(INDEX(ENVIOS!$D$4:$D$3003,MATCH($D14,ENVIOS!$A$4:$A$3003,0)),"—"))</f>
        <v/>
      </c>
      <c r="H14" s="23">
        <f>IF($D14="","",IFERROR(INDEX(ENVIOS!$E$4:$E$3003,MATCH($D14,ENVIOS!$A$4:$A$3003,0)),"—"))</f>
        <v/>
      </c>
      <c r="I14" s="23">
        <f>IF($D14="","",IFERROR(INDEX(ENVIOS!$F$4:$F$3003,MATCH($D14,ENVIOS!$A$4:$A$3003,0)),"—"))</f>
        <v/>
      </c>
      <c r="J14" s="23">
        <f>IF($D14="","",IFERROR(INDEX(ENVIOS!$G$4:$G$3003,MATCH($D14,ENVIOS!$A$4:$A$3003,0)),"—"))</f>
        <v/>
      </c>
      <c r="K14" s="28">
        <f>IF($D14="","",IFERROR(INDEX(ENVIOS!$H$4:$H$3003,MATCH($D14,ENVIOS!$A$4:$A$3003,0)),"—"))</f>
        <v/>
      </c>
      <c r="L14" s="49">
        <f>IF($D14="","",IFERROR(INDEX(ENVIOS!$C$4:$C$3003,MATCH($D14,ENVIOS!$A$4:$A$3003,0)),""))</f>
        <v/>
      </c>
      <c r="M14" s="50" t="inlineStr">
        <is>
          <t>Avería / producto dañado</t>
        </is>
      </c>
      <c r="N14" s="28">
        <f>IF($M14="","",IFERROR(INDEX(CONFIG!$C$4:$C$63,MATCH($M14,CONFIG!$A$4:$A$63,0)),"Media"))</f>
        <v/>
      </c>
      <c r="O14" s="28">
        <f>IF($M14="","",IF($C14="Interna","NO",IFERROR(INDEX(CONFIG!$E$4:$E$63,MATCH($M14,CONFIG!$A$4:$A$63,0)),"NO")))</f>
        <v/>
      </c>
      <c r="P14" s="50" t="inlineStr">
        <is>
          <t>Cargue del vehículo</t>
        </is>
      </c>
      <c r="Q14" s="50" t="inlineStr">
        <is>
          <t>Manipulación brusca en cargue/descargue</t>
        </is>
      </c>
      <c r="R14" s="28">
        <f>IF($Q14="","",IFERROR(INDEX(CONFIG!$H$4:$H$63,MATCH($Q14,CONFIG!$G$4:$G$63,0)),"Por definir"))</f>
        <v/>
      </c>
      <c r="S14" s="28">
        <f>IF($Q14="","",IFERROR(INDEX(CONFIG!$I$4:$I$63,MATCH($Q14,CONFIG!$G$4:$G$63,0)),"Por definir"))</f>
        <v/>
      </c>
      <c r="T14" s="51" t="n">
        <v>5</v>
      </c>
      <c r="U14" s="52" t="n">
        <v>1640000</v>
      </c>
      <c r="V14" s="50" t="inlineStr">
        <is>
          <t>Escalada a transportadora</t>
        </is>
      </c>
      <c r="W14" s="50" t="inlineStr">
        <is>
          <t>Analista de transporte</t>
        </is>
      </c>
      <c r="X14" s="49">
        <f>IF(OR($B14="",$M14=""),"",WORKDAY($B14,IFERROR(INDEX(CONFIG!$D$4:$D$63,MATCH($M14,CONFIG!$A$4:$A$63,0)),3)))</f>
        <v/>
      </c>
      <c r="Y14" s="47" t="n"/>
      <c r="Z14" s="24">
        <f>IF($B14="","",IF($Y14&lt;&gt;"",$Y14-$B14,TODAY()-$B14))</f>
        <v/>
      </c>
      <c r="AA14" s="28">
        <f>IF($B14="","",IF(IFERROR(INDEX(CONFIG!$L$4:$L$63,MATCH($V14,CONFIG!$K$4:$K$63,0)),"NO")="SÍ",IF(OR($Y14="",$X14=""),"Resuelta",IF($Y14&gt;$X14,"Resuelta tarde","Resuelta a tiempo")),IF($X14="","Sin clasificar",IF(TODAY()&gt;$X14,"Vencida",IF(TODAY()&gt;=$X14-1,"Por vencer","En plazo")))))</f>
        <v/>
      </c>
      <c r="AB14" s="50" t="n"/>
      <c r="AC14" s="50" t="inlineStr">
        <is>
          <t>Tercer caso del mismo conductor</t>
        </is>
      </c>
    </row>
    <row r="15" ht="16" customHeight="1">
      <c r="A15" s="28">
        <f>IF($B15="","","N-"&amp;TEXT(ROW()-3,"0000"))</f>
        <v/>
      </c>
      <c r="B15" s="47" t="n">
        <v>46273</v>
      </c>
      <c r="C15" s="48" t="inlineStr">
        <is>
          <t>En ruta</t>
        </is>
      </c>
      <c r="D15" s="48" t="inlineStr">
        <is>
          <t>G-2422</t>
        </is>
      </c>
      <c r="E15" s="28">
        <f>IF($C15="","",IF($D15="",IF($C15="Interna","Sin guía (interna)","FALTA GUÍA"),IF(COUNTIFS(ENVIOS!$A$4:$A$3003,$D15)=0,"NO EXISTE",IF(COUNTIFS(ENVIOS!$A$4:$A$3003,$D15)&gt;1,"DUPLICADA","OK"))))</f>
        <v/>
      </c>
      <c r="F15" s="28">
        <f>IF($D15="","",IFERROR(INDEX(ENVIOS!$B$4:$B$3003,MATCH($D15,ENVIOS!$A$4:$A$3003,0)),"—"))</f>
        <v/>
      </c>
      <c r="G15" s="23">
        <f>IF($D15="","",IFERROR(INDEX(ENVIOS!$D$4:$D$3003,MATCH($D15,ENVIOS!$A$4:$A$3003,0)),"—"))</f>
        <v/>
      </c>
      <c r="H15" s="23">
        <f>IF($D15="","",IFERROR(INDEX(ENVIOS!$E$4:$E$3003,MATCH($D15,ENVIOS!$A$4:$A$3003,0)),"—"))</f>
        <v/>
      </c>
      <c r="I15" s="23">
        <f>IF($D15="","",IFERROR(INDEX(ENVIOS!$F$4:$F$3003,MATCH($D15,ENVIOS!$A$4:$A$3003,0)),"—"))</f>
        <v/>
      </c>
      <c r="J15" s="23">
        <f>IF($D15="","",IFERROR(INDEX(ENVIOS!$G$4:$G$3003,MATCH($D15,ENVIOS!$A$4:$A$3003,0)),"—"))</f>
        <v/>
      </c>
      <c r="K15" s="28">
        <f>IF($D15="","",IFERROR(INDEX(ENVIOS!$H$4:$H$3003,MATCH($D15,ENVIOS!$A$4:$A$3003,0)),"—"))</f>
        <v/>
      </c>
      <c r="L15" s="49">
        <f>IF($D15="","",IFERROR(INDEX(ENVIOS!$C$4:$C$3003,MATCH($D15,ENVIOS!$A$4:$A$3003,0)),""))</f>
        <v/>
      </c>
      <c r="M15" s="50" t="inlineStr">
        <is>
          <t>Vehículo varado / falla mecánica</t>
        </is>
      </c>
      <c r="N15" s="28">
        <f>IF($M15="","",IFERROR(INDEX(CONFIG!$C$4:$C$63,MATCH($M15,CONFIG!$A$4:$A$63,0)),"Media"))</f>
        <v/>
      </c>
      <c r="O15" s="28">
        <f>IF($M15="","",IF($C15="Interna","NO",IFERROR(INDEX(CONFIG!$E$4:$E$63,MATCH($M15,CONFIG!$A$4:$A$63,0)),"NO")))</f>
        <v/>
      </c>
      <c r="P15" s="50" t="inlineStr">
        <is>
          <t>En ruta / entrega al cliente</t>
        </is>
      </c>
      <c r="Q15" s="50" t="inlineStr">
        <is>
          <t>Falla mecánica del vehículo</t>
        </is>
      </c>
      <c r="R15" s="28">
        <f>IF($Q15="","",IFERROR(INDEX(CONFIG!$H$4:$H$63,MATCH($Q15,CONFIG!$G$4:$G$63,0)),"Por definir"))</f>
        <v/>
      </c>
      <c r="S15" s="28">
        <f>IF($Q15="","",IFERROR(INDEX(CONFIG!$I$4:$I$63,MATCH($Q15,CONFIG!$G$4:$G$63,0)),"Por definir"))</f>
        <v/>
      </c>
      <c r="T15" s="51" t="n">
        <v>25</v>
      </c>
      <c r="U15" s="52" t="n">
        <v>8200000</v>
      </c>
      <c r="V15" s="50" t="inlineStr">
        <is>
          <t>Esperando a la transportadora</t>
        </is>
      </c>
      <c r="W15" s="50" t="inlineStr">
        <is>
          <t>Analista de transporte</t>
        </is>
      </c>
      <c r="X15" s="49">
        <f>IF(OR($B15="",$M15=""),"",WORKDAY($B15,IFERROR(INDEX(CONFIG!$D$4:$D$63,MATCH($M15,CONFIG!$A$4:$A$63,0)),3)))</f>
        <v/>
      </c>
      <c r="Y15" s="47" t="n"/>
      <c r="Z15" s="24">
        <f>IF($B15="","",IF($Y15&lt;&gt;"",$Y15-$B15,TODAY()-$B15))</f>
        <v/>
      </c>
      <c r="AA15" s="28">
        <f>IF($B15="","",IF(IFERROR(INDEX(CONFIG!$L$4:$L$63,MATCH($V15,CONFIG!$K$4:$K$63,0)),"NO")="SÍ",IF(OR($Y15="",$X15=""),"Resuelta",IF($Y15&gt;$X15,"Resuelta tarde","Resuelta a tiempo")),IF($X15="","Sin clasificar",IF(TODAY()&gt;$X15,"Vencida",IF(TODAY()&gt;=$X15-1,"Por vencer","En plazo")))))</f>
        <v/>
      </c>
      <c r="AB15" s="50" t="n"/>
      <c r="AC15" s="50" t="inlineStr">
        <is>
          <t>El vehículo quedó varado en la vía</t>
        </is>
      </c>
    </row>
    <row r="16" ht="16" customHeight="1">
      <c r="A16" s="28">
        <f>IF($B16="","","N-"&amp;TEXT(ROW()-3,"0000"))</f>
        <v/>
      </c>
      <c r="B16" s="47" t="n">
        <v>46274</v>
      </c>
      <c r="C16" s="48" t="inlineStr">
        <is>
          <t>En ruta</t>
        </is>
      </c>
      <c r="D16" s="48" t="inlineStr">
        <is>
          <t>G-2423</t>
        </is>
      </c>
      <c r="E16" s="28">
        <f>IF($C16="","",IF($D16="",IF($C16="Interna","Sin guía (interna)","FALTA GUÍA"),IF(COUNTIFS(ENVIOS!$A$4:$A$3003,$D16)=0,"NO EXISTE",IF(COUNTIFS(ENVIOS!$A$4:$A$3003,$D16)&gt;1,"DUPLICADA","OK"))))</f>
        <v/>
      </c>
      <c r="F16" s="28">
        <f>IF($D16="","",IFERROR(INDEX(ENVIOS!$B$4:$B$3003,MATCH($D16,ENVIOS!$A$4:$A$3003,0)),"—"))</f>
        <v/>
      </c>
      <c r="G16" s="23">
        <f>IF($D16="","",IFERROR(INDEX(ENVIOS!$D$4:$D$3003,MATCH($D16,ENVIOS!$A$4:$A$3003,0)),"—"))</f>
        <v/>
      </c>
      <c r="H16" s="23">
        <f>IF($D16="","",IFERROR(INDEX(ENVIOS!$E$4:$E$3003,MATCH($D16,ENVIOS!$A$4:$A$3003,0)),"—"))</f>
        <v/>
      </c>
      <c r="I16" s="23">
        <f>IF($D16="","",IFERROR(INDEX(ENVIOS!$F$4:$F$3003,MATCH($D16,ENVIOS!$A$4:$A$3003,0)),"—"))</f>
        <v/>
      </c>
      <c r="J16" s="23">
        <f>IF($D16="","",IFERROR(INDEX(ENVIOS!$G$4:$G$3003,MATCH($D16,ENVIOS!$A$4:$A$3003,0)),"—"))</f>
        <v/>
      </c>
      <c r="K16" s="28">
        <f>IF($D16="","",IFERROR(INDEX(ENVIOS!$H$4:$H$3003,MATCH($D16,ENVIOS!$A$4:$A$3003,0)),"—"))</f>
        <v/>
      </c>
      <c r="L16" s="49">
        <f>IF($D16="","",IFERROR(INDEX(ENVIOS!$C$4:$C$3003,MATCH($D16,ENVIOS!$A$4:$A$3003,0)),""))</f>
        <v/>
      </c>
      <c r="M16" s="50" t="inlineStr">
        <is>
          <t>Retraso en vía</t>
        </is>
      </c>
      <c r="N16" s="28">
        <f>IF($M16="","",IFERROR(INDEX(CONFIG!$C$4:$C$63,MATCH($M16,CONFIG!$A$4:$A$63,0)),"Media"))</f>
        <v/>
      </c>
      <c r="O16" s="28">
        <f>IF($M16="","",IF($C16="Interna","NO",IFERROR(INDEX(CONFIG!$E$4:$E$63,MATCH($M16,CONFIG!$A$4:$A$63,0)),"NO")))</f>
        <v/>
      </c>
      <c r="P16" s="50" t="inlineStr">
        <is>
          <t>En ruta / entrega al cliente</t>
        </is>
      </c>
      <c r="Q16" s="50" t="inlineStr">
        <is>
          <t>Falla mecánica del vehículo</t>
        </is>
      </c>
      <c r="R16" s="28">
        <f>IF($Q16="","",IFERROR(INDEX(CONFIG!$H$4:$H$63,MATCH($Q16,CONFIG!$G$4:$G$63,0)),"Por definir"))</f>
        <v/>
      </c>
      <c r="S16" s="28">
        <f>IF($Q16="","",IFERROR(INDEX(CONFIG!$I$4:$I$63,MATCH($Q16,CONFIG!$G$4:$G$63,0)),"Por definir"))</f>
        <v/>
      </c>
      <c r="T16" s="51" t="n">
        <v>11</v>
      </c>
      <c r="U16" s="52" t="n">
        <v>3500000</v>
      </c>
      <c r="V16" s="50" t="inlineStr">
        <is>
          <t>Sin gestionar</t>
        </is>
      </c>
      <c r="W16" s="50" t="inlineStr">
        <is>
          <t>Coordinador de logística</t>
        </is>
      </c>
      <c r="X16" s="49">
        <f>IF(OR($B16="",$M16=""),"",WORKDAY($B16,IFERROR(INDEX(CONFIG!$D$4:$D$63,MATCH($M16,CONFIG!$A$4:$A$63,0)),3)))</f>
        <v/>
      </c>
      <c r="Y16" s="47" t="n"/>
      <c r="Z16" s="24">
        <f>IF($B16="","",IF($Y16&lt;&gt;"",$Y16-$B16,TODAY()-$B16))</f>
        <v/>
      </c>
      <c r="AA16" s="28">
        <f>IF($B16="","",IF(IFERROR(INDEX(CONFIG!$L$4:$L$63,MATCH($V16,CONFIG!$K$4:$K$63,0)),"NO")="SÍ",IF(OR($Y16="",$X16=""),"Resuelta",IF($Y16&gt;$X16,"Resuelta tarde","Resuelta a tiempo")),IF($X16="","Sin clasificar",IF(TODAY()&gt;$X16,"Vencida",IF(TODAY()&gt;=$X16-1,"Por vencer","En plazo")))))</f>
        <v/>
      </c>
      <c r="AB16" s="50" t="n"/>
      <c r="AC16" s="50" t="n"/>
    </row>
    <row r="17" ht="16" customHeight="1">
      <c r="A17" s="28">
        <f>IF($B17="","","N-"&amp;TEXT(ROW()-3,"0000"))</f>
        <v/>
      </c>
      <c r="B17" s="47" t="n">
        <v>46274</v>
      </c>
      <c r="C17" s="48" t="inlineStr">
        <is>
          <t>En ruta</t>
        </is>
      </c>
      <c r="D17" s="48" t="inlineStr">
        <is>
          <t>G-2416</t>
        </is>
      </c>
      <c r="E17" s="28">
        <f>IF($C17="","",IF($D17="",IF($C17="Interna","Sin guía (interna)","FALTA GUÍA"),IF(COUNTIFS(ENVIOS!$A$4:$A$3003,$D17)=0,"NO EXISTE",IF(COUNTIFS(ENVIOS!$A$4:$A$3003,$D17)&gt;1,"DUPLICADA","OK"))))</f>
        <v/>
      </c>
      <c r="F17" s="28">
        <f>IF($D17="","",IFERROR(INDEX(ENVIOS!$B$4:$B$3003,MATCH($D17,ENVIOS!$A$4:$A$3003,0)),"—"))</f>
        <v/>
      </c>
      <c r="G17" s="23">
        <f>IF($D17="","",IFERROR(INDEX(ENVIOS!$D$4:$D$3003,MATCH($D17,ENVIOS!$A$4:$A$3003,0)),"—"))</f>
        <v/>
      </c>
      <c r="H17" s="23">
        <f>IF($D17="","",IFERROR(INDEX(ENVIOS!$E$4:$E$3003,MATCH($D17,ENVIOS!$A$4:$A$3003,0)),"—"))</f>
        <v/>
      </c>
      <c r="I17" s="23">
        <f>IF($D17="","",IFERROR(INDEX(ENVIOS!$F$4:$F$3003,MATCH($D17,ENVIOS!$A$4:$A$3003,0)),"—"))</f>
        <v/>
      </c>
      <c r="J17" s="23">
        <f>IF($D17="","",IFERROR(INDEX(ENVIOS!$G$4:$G$3003,MATCH($D17,ENVIOS!$A$4:$A$3003,0)),"—"))</f>
        <v/>
      </c>
      <c r="K17" s="28">
        <f>IF($D17="","",IFERROR(INDEX(ENVIOS!$H$4:$H$3003,MATCH($D17,ENVIOS!$A$4:$A$3003,0)),"—"))</f>
        <v/>
      </c>
      <c r="L17" s="49">
        <f>IF($D17="","",IFERROR(INDEX(ENVIOS!$C$4:$C$3003,MATCH($D17,ENVIOS!$A$4:$A$3003,0)),""))</f>
        <v/>
      </c>
      <c r="M17" s="50" t="inlineStr">
        <is>
          <t>Error en factura o precio</t>
        </is>
      </c>
      <c r="N17" s="28">
        <f>IF($M17="","",IFERROR(INDEX(CONFIG!$C$4:$C$63,MATCH($M17,CONFIG!$A$4:$A$63,0)),"Media"))</f>
        <v/>
      </c>
      <c r="O17" s="28">
        <f>IF($M17="","",IF($C17="Interna","NO",IFERROR(INDEX(CONFIG!$E$4:$E$63,MATCH($M17,CONFIG!$A$4:$A$63,0)),"NO")))</f>
        <v/>
      </c>
      <c r="P17" s="50" t="inlineStr">
        <is>
          <t>Facturación y documentos</t>
        </is>
      </c>
      <c r="Q17" s="50" t="inlineStr">
        <is>
          <t>Error en facturación o precio</t>
        </is>
      </c>
      <c r="R17" s="28">
        <f>IF($Q17="","",IFERROR(INDEX(CONFIG!$H$4:$H$63,MATCH($Q17,CONFIG!$G$4:$G$63,0)),"Por definir"))</f>
        <v/>
      </c>
      <c r="S17" s="28">
        <f>IF($Q17="","",IFERROR(INDEX(CONFIG!$I$4:$I$63,MATCH($Q17,CONFIG!$G$4:$G$63,0)),"Por definir"))</f>
        <v/>
      </c>
      <c r="T17" s="51" t="n">
        <v>0</v>
      </c>
      <c r="U17" s="52" t="n">
        <v>210000</v>
      </c>
      <c r="V17" s="50" t="inlineStr">
        <is>
          <t>En gestión</t>
        </is>
      </c>
      <c r="W17" s="50" t="inlineStr">
        <is>
          <t>Facturación</t>
        </is>
      </c>
      <c r="X17" s="49">
        <f>IF(OR($B17="",$M17=""),"",WORKDAY($B17,IFERROR(INDEX(CONFIG!$D$4:$D$63,MATCH($M17,CONFIG!$A$4:$A$63,0)),3)))</f>
        <v/>
      </c>
      <c r="Y17" s="47" t="n"/>
      <c r="Z17" s="24">
        <f>IF($B17="","",IF($Y17&lt;&gt;"",$Y17-$B17,TODAY()-$B17))</f>
        <v/>
      </c>
      <c r="AA17" s="28">
        <f>IF($B17="","",IF(IFERROR(INDEX(CONFIG!$L$4:$L$63,MATCH($V17,CONFIG!$K$4:$K$63,0)),"NO")="SÍ",IF(OR($Y17="",$X17=""),"Resuelta",IF($Y17&gt;$X17,"Resuelta tarde","Resuelta a tiempo")),IF($X17="","Sin clasificar",IF(TODAY()&gt;$X17,"Vencida",IF(TODAY()&gt;=$X17-1,"Por vencer","En plazo")))))</f>
        <v/>
      </c>
      <c r="AB17" s="50" t="n"/>
      <c r="AC17" s="50" t="inlineStr">
        <is>
          <t>Diferencia de precio en dos referencias</t>
        </is>
      </c>
    </row>
    <row r="18" ht="16" customHeight="1">
      <c r="A18" s="28">
        <f>IF($B18="","","N-"&amp;TEXT(ROW()-3,"0000"))</f>
        <v/>
      </c>
      <c r="B18" s="47" t="n">
        <v>46246</v>
      </c>
      <c r="C18" s="48" t="inlineStr">
        <is>
          <t>Interna</t>
        </is>
      </c>
      <c r="D18" s="48" t="n"/>
      <c r="E18" s="28">
        <f>IF($C18="","",IF($D18="",IF($C18="Interna","Sin guía (interna)","FALTA GUÍA"),IF(COUNTIFS(ENVIOS!$A$4:$A$3003,$D18)=0,"NO EXISTE",IF(COUNTIFS(ENVIOS!$A$4:$A$3003,$D18)&gt;1,"DUPLICADA","OK"))))</f>
        <v/>
      </c>
      <c r="F18" s="28">
        <f>IF($D18="","",IFERROR(INDEX(ENVIOS!$B$4:$B$3003,MATCH($D18,ENVIOS!$A$4:$A$3003,0)),"—"))</f>
        <v/>
      </c>
      <c r="G18" s="23">
        <f>IF($D18="","",IFERROR(INDEX(ENVIOS!$D$4:$D$3003,MATCH($D18,ENVIOS!$A$4:$A$3003,0)),"—"))</f>
        <v/>
      </c>
      <c r="H18" s="23">
        <f>IF($D18="","",IFERROR(INDEX(ENVIOS!$E$4:$E$3003,MATCH($D18,ENVIOS!$A$4:$A$3003,0)),"—"))</f>
        <v/>
      </c>
      <c r="I18" s="23">
        <f>IF($D18="","",IFERROR(INDEX(ENVIOS!$F$4:$F$3003,MATCH($D18,ENVIOS!$A$4:$A$3003,0)),"—"))</f>
        <v/>
      </c>
      <c r="J18" s="23">
        <f>IF($D18="","",IFERROR(INDEX(ENVIOS!$G$4:$G$3003,MATCH($D18,ENVIOS!$A$4:$A$3003,0)),"—"))</f>
        <v/>
      </c>
      <c r="K18" s="28">
        <f>IF($D18="","",IFERROR(INDEX(ENVIOS!$H$4:$H$3003,MATCH($D18,ENVIOS!$A$4:$A$3003,0)),"—"))</f>
        <v/>
      </c>
      <c r="L18" s="49">
        <f>IF($D18="","",IFERROR(INDEX(ENVIOS!$C$4:$C$3003,MATCH($D18,ENVIOS!$A$4:$A$3003,0)),""))</f>
        <v/>
      </c>
      <c r="M18" s="50" t="inlineStr">
        <is>
          <t>Error de alistamiento detectado en bodega</t>
        </is>
      </c>
      <c r="N18" s="28">
        <f>IF($M18="","",IFERROR(INDEX(CONFIG!$C$4:$C$63,MATCH($M18,CONFIG!$A$4:$A$63,0)),"Media"))</f>
        <v/>
      </c>
      <c r="O18" s="28">
        <f>IF($M18="","",IF($C18="Interna","NO",IFERROR(INDEX(CONFIG!$E$4:$E$63,MATCH($M18,CONFIG!$A$4:$A$63,0)),"NO")))</f>
        <v/>
      </c>
      <c r="P18" s="50" t="inlineStr">
        <is>
          <t>Alistamiento (picking)</t>
        </is>
      </c>
      <c r="Q18" s="50" t="inlineStr">
        <is>
          <t>Falta de espacio u orden en bodega</t>
        </is>
      </c>
      <c r="R18" s="28">
        <f>IF($Q18="","",IFERROR(INDEX(CONFIG!$H$4:$H$63,MATCH($Q18,CONFIG!$G$4:$G$63,0)),"Por definir"))</f>
        <v/>
      </c>
      <c r="S18" s="28">
        <f>IF($Q18="","",IFERROR(INDEX(CONFIG!$I$4:$I$63,MATCH($Q18,CONFIG!$G$4:$G$63,0)),"Por definir"))</f>
        <v/>
      </c>
      <c r="T18" s="51" t="n">
        <v>6</v>
      </c>
      <c r="U18" s="52" t="n">
        <v>0</v>
      </c>
      <c r="V18" s="50" t="inlineStr">
        <is>
          <t>Resuelta</t>
        </is>
      </c>
      <c r="W18" s="50" t="inlineStr">
        <is>
          <t>Jefe de bodega</t>
        </is>
      </c>
      <c r="X18" s="49">
        <f>IF(OR($B18="",$M18=""),"",WORKDAY($B18,IFERROR(INDEX(CONFIG!$D$4:$D$63,MATCH($M18,CONFIG!$A$4:$A$63,0)),3)))</f>
        <v/>
      </c>
      <c r="Y18" s="47" t="n">
        <v>46247</v>
      </c>
      <c r="Z18" s="24">
        <f>IF($B18="","",IF($Y18&lt;&gt;"",$Y18-$B18,TODAY()-$B18))</f>
        <v/>
      </c>
      <c r="AA18" s="28">
        <f>IF($B18="","",IF(IFERROR(INDEX(CONFIG!$L$4:$L$63,MATCH($V18,CONFIG!$K$4:$K$63,0)),"NO")="SÍ",IF(OR($Y18="",$X18=""),"Resuelta",IF($Y18&gt;$X18,"Resuelta tarde","Resuelta a tiempo")),IF($X18="","Sin clasificar",IF(TODAY()&gt;$X18,"Vencida",IF(TODAY()&gt;=$X18-1,"Por vencer","En plazo")))))</f>
        <v/>
      </c>
      <c r="AB18" s="50" t="inlineStr">
        <is>
          <t>Se reorganizó la zona de picking</t>
        </is>
      </c>
      <c r="AC18" s="50" t="inlineStr">
        <is>
          <t>Detectado antes de despachar: no llegó al cliente</t>
        </is>
      </c>
    </row>
    <row r="19" ht="16" customHeight="1">
      <c r="A19" s="28">
        <f>IF($B19="","","N-"&amp;TEXT(ROW()-3,"0000"))</f>
        <v/>
      </c>
      <c r="B19" s="47" t="n">
        <v>46253</v>
      </c>
      <c r="C19" s="48" t="inlineStr">
        <is>
          <t>Interna</t>
        </is>
      </c>
      <c r="D19" s="48" t="n"/>
      <c r="E19" s="28">
        <f>IF($C19="","",IF($D19="",IF($C19="Interna","Sin guía (interna)","FALTA GUÍA"),IF(COUNTIFS(ENVIOS!$A$4:$A$3003,$D19)=0,"NO EXISTE",IF(COUNTIFS(ENVIOS!$A$4:$A$3003,$D19)&gt;1,"DUPLICADA","OK"))))</f>
        <v/>
      </c>
      <c r="F19" s="28">
        <f>IF($D19="","",IFERROR(INDEX(ENVIOS!$B$4:$B$3003,MATCH($D19,ENVIOS!$A$4:$A$3003,0)),"—"))</f>
        <v/>
      </c>
      <c r="G19" s="23">
        <f>IF($D19="","",IFERROR(INDEX(ENVIOS!$D$4:$D$3003,MATCH($D19,ENVIOS!$A$4:$A$3003,0)),"—"))</f>
        <v/>
      </c>
      <c r="H19" s="23">
        <f>IF($D19="","",IFERROR(INDEX(ENVIOS!$E$4:$E$3003,MATCH($D19,ENVIOS!$A$4:$A$3003,0)),"—"))</f>
        <v/>
      </c>
      <c r="I19" s="23">
        <f>IF($D19="","",IFERROR(INDEX(ENVIOS!$F$4:$F$3003,MATCH($D19,ENVIOS!$A$4:$A$3003,0)),"—"))</f>
        <v/>
      </c>
      <c r="J19" s="23">
        <f>IF($D19="","",IFERROR(INDEX(ENVIOS!$G$4:$G$3003,MATCH($D19,ENVIOS!$A$4:$A$3003,0)),"—"))</f>
        <v/>
      </c>
      <c r="K19" s="28">
        <f>IF($D19="","",IFERROR(INDEX(ENVIOS!$H$4:$H$3003,MATCH($D19,ENVIOS!$A$4:$A$3003,0)),"—"))</f>
        <v/>
      </c>
      <c r="L19" s="49">
        <f>IF($D19="","",IFERROR(INDEX(ENVIOS!$C$4:$C$3003,MATCH($D19,ENVIOS!$A$4:$A$3003,0)),""))</f>
        <v/>
      </c>
      <c r="M19" s="50" t="inlineStr">
        <is>
          <t>Diferencia de inventario</t>
        </is>
      </c>
      <c r="N19" s="28">
        <f>IF($M19="","",IFERROR(INDEX(CONFIG!$C$4:$C$63,MATCH($M19,CONFIG!$A$4:$A$63,0)),"Media"))</f>
        <v/>
      </c>
      <c r="O19" s="28">
        <f>IF($M19="","",IF($C19="Interna","NO",IFERROR(INDEX(CONFIG!$E$4:$E$63,MATCH($M19,CONFIG!$A$4:$A$63,0)),"NO")))</f>
        <v/>
      </c>
      <c r="P19" s="50" t="inlineStr">
        <is>
          <t>Almacenamiento</t>
        </is>
      </c>
      <c r="Q19" s="50" t="inlineStr">
        <is>
          <t>Inventario descuadrado</t>
        </is>
      </c>
      <c r="R19" s="28">
        <f>IF($Q19="","",IFERROR(INDEX(CONFIG!$H$4:$H$63,MATCH($Q19,CONFIG!$G$4:$G$63,0)),"Por definir"))</f>
        <v/>
      </c>
      <c r="S19" s="28">
        <f>IF($Q19="","",IFERROR(INDEX(CONFIG!$I$4:$I$63,MATCH($Q19,CONFIG!$G$4:$G$63,0)),"Por definir"))</f>
        <v/>
      </c>
      <c r="T19" s="51" t="n">
        <v>34</v>
      </c>
      <c r="U19" s="52" t="n">
        <v>1150000</v>
      </c>
      <c r="V19" s="50" t="inlineStr">
        <is>
          <t>En gestión</t>
        </is>
      </c>
      <c r="W19" s="50" t="inlineStr">
        <is>
          <t>Jefe de bodega</t>
        </is>
      </c>
      <c r="X19" s="49">
        <f>IF(OR($B19="",$M19=""),"",WORKDAY($B19,IFERROR(INDEX(CONFIG!$D$4:$D$63,MATCH($M19,CONFIG!$A$4:$A$63,0)),3)))</f>
        <v/>
      </c>
      <c r="Y19" s="47" t="n"/>
      <c r="Z19" s="24">
        <f>IF($B19="","",IF($Y19&lt;&gt;"",$Y19-$B19,TODAY()-$B19))</f>
        <v/>
      </c>
      <c r="AA19" s="28">
        <f>IF($B19="","",IF(IFERROR(INDEX(CONFIG!$L$4:$L$63,MATCH($V19,CONFIG!$K$4:$K$63,0)),"NO")="SÍ",IF(OR($Y19="",$X19=""),"Resuelta",IF($Y19&gt;$X19,"Resuelta tarde","Resuelta a tiempo")),IF($X19="","Sin clasificar",IF(TODAY()&gt;$X19,"Vencida",IF(TODAY()&gt;=$X19-1,"Por vencer","En plazo")))))</f>
        <v/>
      </c>
      <c r="AB19" s="50" t="n"/>
      <c r="AC19" s="50" t="inlineStr">
        <is>
          <t>Conteo cíclico de la zona B</t>
        </is>
      </c>
    </row>
    <row r="20" ht="16" customHeight="1">
      <c r="A20" s="28">
        <f>IF($B20="","","N-"&amp;TEXT(ROW()-3,"0000"))</f>
        <v/>
      </c>
      <c r="B20" s="47" t="n">
        <v>46255</v>
      </c>
      <c r="C20" s="48" t="inlineStr">
        <is>
          <t>Interna</t>
        </is>
      </c>
      <c r="D20" s="48" t="n"/>
      <c r="E20" s="28">
        <f>IF($C20="","",IF($D20="",IF($C20="Interna","Sin guía (interna)","FALTA GUÍA"),IF(COUNTIFS(ENVIOS!$A$4:$A$3003,$D20)=0,"NO EXISTE",IF(COUNTIFS(ENVIOS!$A$4:$A$3003,$D20)&gt;1,"DUPLICADA","OK"))))</f>
        <v/>
      </c>
      <c r="F20" s="28">
        <f>IF($D20="","",IFERROR(INDEX(ENVIOS!$B$4:$B$3003,MATCH($D20,ENVIOS!$A$4:$A$3003,0)),"—"))</f>
        <v/>
      </c>
      <c r="G20" s="23">
        <f>IF($D20="","",IFERROR(INDEX(ENVIOS!$D$4:$D$3003,MATCH($D20,ENVIOS!$A$4:$A$3003,0)),"—"))</f>
        <v/>
      </c>
      <c r="H20" s="23">
        <f>IF($D20="","",IFERROR(INDEX(ENVIOS!$E$4:$E$3003,MATCH($D20,ENVIOS!$A$4:$A$3003,0)),"—"))</f>
        <v/>
      </c>
      <c r="I20" s="23">
        <f>IF($D20="","",IFERROR(INDEX(ENVIOS!$F$4:$F$3003,MATCH($D20,ENVIOS!$A$4:$A$3003,0)),"—"))</f>
        <v/>
      </c>
      <c r="J20" s="23">
        <f>IF($D20="","",IFERROR(INDEX(ENVIOS!$G$4:$G$3003,MATCH($D20,ENVIOS!$A$4:$A$3003,0)),"—"))</f>
        <v/>
      </c>
      <c r="K20" s="28">
        <f>IF($D20="","",IFERROR(INDEX(ENVIOS!$H$4:$H$3003,MATCH($D20,ENVIOS!$A$4:$A$3003,0)),"—"))</f>
        <v/>
      </c>
      <c r="L20" s="49">
        <f>IF($D20="","",IFERROR(INDEX(ENVIOS!$C$4:$C$3003,MATCH($D20,ENVIOS!$A$4:$A$3003,0)),""))</f>
        <v/>
      </c>
      <c r="M20" s="50" t="inlineStr">
        <is>
          <t>Falla de equipo en bodega</t>
        </is>
      </c>
      <c r="N20" s="28">
        <f>IF($M20="","",IFERROR(INDEX(CONFIG!$C$4:$C$63,MATCH($M20,CONFIG!$A$4:$A$63,0)),"Media"))</f>
        <v/>
      </c>
      <c r="O20" s="28">
        <f>IF($M20="","",IF($C20="Interna","NO",IFERROR(INDEX(CONFIG!$E$4:$E$63,MATCH($M20,CONFIG!$A$4:$A$63,0)),"NO")))</f>
        <v/>
      </c>
      <c r="P20" s="50" t="inlineStr">
        <is>
          <t>Cargue del vehículo</t>
        </is>
      </c>
      <c r="Q20" s="50" t="inlineStr">
        <is>
          <t>Equipo de bodega fuera de servicio</t>
        </is>
      </c>
      <c r="R20" s="28">
        <f>IF($Q20="","",IFERROR(INDEX(CONFIG!$H$4:$H$63,MATCH($Q20,CONFIG!$G$4:$G$63,0)),"Por definir"))</f>
        <v/>
      </c>
      <c r="S20" s="28">
        <f>IF($Q20="","",IFERROR(INDEX(CONFIG!$I$4:$I$63,MATCH($Q20,CONFIG!$G$4:$G$63,0)),"Por definir"))</f>
        <v/>
      </c>
      <c r="T20" s="51" t="n">
        <v>0</v>
      </c>
      <c r="U20" s="52" t="n">
        <v>480000</v>
      </c>
      <c r="V20" s="50" t="inlineStr">
        <is>
          <t>Resuelta</t>
        </is>
      </c>
      <c r="W20" s="50" t="inlineStr">
        <is>
          <t>Jefe de operaciones</t>
        </is>
      </c>
      <c r="X20" s="49">
        <f>IF(OR($B20="",$M20=""),"",WORKDAY($B20,IFERROR(INDEX(CONFIG!$D$4:$D$63,MATCH($M20,CONFIG!$A$4:$A$63,0)),3)))</f>
        <v/>
      </c>
      <c r="Y20" s="47" t="n">
        <v>46258</v>
      </c>
      <c r="Z20" s="24">
        <f>IF($B20="","",IF($Y20&lt;&gt;"",$Y20-$B20,TODAY()-$B20))</f>
        <v/>
      </c>
      <c r="AA20" s="28">
        <f>IF($B20="","",IF(IFERROR(INDEX(CONFIG!$L$4:$L$63,MATCH($V20,CONFIG!$K$4:$K$63,0)),"NO")="SÍ",IF(OR($Y20="",$X20=""),"Resuelta",IF($Y20&gt;$X20,"Resuelta tarde","Resuelta a tiempo")),IF($X20="","Sin clasificar",IF(TODAY()&gt;$X20,"Vencida",IF(TODAY()&gt;=$X20-1,"Por vencer","En plazo")))))</f>
        <v/>
      </c>
      <c r="AB20" s="50" t="inlineStr">
        <is>
          <t>Se reparó el montacargas</t>
        </is>
      </c>
      <c r="AC20" s="50" t="inlineStr">
        <is>
          <t>Dos días de cargue manual</t>
        </is>
      </c>
    </row>
    <row r="21" ht="16" customHeight="1">
      <c r="A21" s="28">
        <f>IF($B21="","","N-"&amp;TEXT(ROW()-3,"0000"))</f>
        <v/>
      </c>
      <c r="B21" s="47" t="n">
        <v>46260</v>
      </c>
      <c r="C21" s="48" t="inlineStr">
        <is>
          <t>Interna</t>
        </is>
      </c>
      <c r="D21" s="48" t="n"/>
      <c r="E21" s="28">
        <f>IF($C21="","",IF($D21="",IF($C21="Interna","Sin guía (interna)","FALTA GUÍA"),IF(COUNTIFS(ENVIOS!$A$4:$A$3003,$D21)=0,"NO EXISTE",IF(COUNTIFS(ENVIOS!$A$4:$A$3003,$D21)&gt;1,"DUPLICADA","OK"))))</f>
        <v/>
      </c>
      <c r="F21" s="28">
        <f>IF($D21="","",IFERROR(INDEX(ENVIOS!$B$4:$B$3003,MATCH($D21,ENVIOS!$A$4:$A$3003,0)),"—"))</f>
        <v/>
      </c>
      <c r="G21" s="23">
        <f>IF($D21="","",IFERROR(INDEX(ENVIOS!$D$4:$D$3003,MATCH($D21,ENVIOS!$A$4:$A$3003,0)),"—"))</f>
        <v/>
      </c>
      <c r="H21" s="23">
        <f>IF($D21="","",IFERROR(INDEX(ENVIOS!$E$4:$E$3003,MATCH($D21,ENVIOS!$A$4:$A$3003,0)),"—"))</f>
        <v/>
      </c>
      <c r="I21" s="23">
        <f>IF($D21="","",IFERROR(INDEX(ENVIOS!$F$4:$F$3003,MATCH($D21,ENVIOS!$A$4:$A$3003,0)),"—"))</f>
        <v/>
      </c>
      <c r="J21" s="23">
        <f>IF($D21="","",IFERROR(INDEX(ENVIOS!$G$4:$G$3003,MATCH($D21,ENVIOS!$A$4:$A$3003,0)),"—"))</f>
        <v/>
      </c>
      <c r="K21" s="28">
        <f>IF($D21="","",IFERROR(INDEX(ENVIOS!$H$4:$H$3003,MATCH($D21,ENVIOS!$A$4:$A$3003,0)),"—"))</f>
        <v/>
      </c>
      <c r="L21" s="49">
        <f>IF($D21="","",IFERROR(INDEX(ENVIOS!$C$4:$C$3003,MATCH($D21,ENVIOS!$A$4:$A$3003,0)),""))</f>
        <v/>
      </c>
      <c r="M21" s="50" t="inlineStr">
        <is>
          <t>Demora en el cargue</t>
        </is>
      </c>
      <c r="N21" s="28">
        <f>IF($M21="","",IFERROR(INDEX(CONFIG!$C$4:$C$63,MATCH($M21,CONFIG!$A$4:$A$63,0)),"Media"))</f>
        <v/>
      </c>
      <c r="O21" s="28">
        <f>IF($M21="","",IF($C21="Interna","NO",IFERROR(INDEX(CONFIG!$E$4:$E$63,MATCH($M21,CONFIG!$A$4:$A$63,0)),"NO")))</f>
        <v/>
      </c>
      <c r="P21" s="50" t="inlineStr">
        <is>
          <t>Cargue del vehículo</t>
        </is>
      </c>
      <c r="Q21" s="50" t="inlineStr">
        <is>
          <t>Personal insuficiente en el turno</t>
        </is>
      </c>
      <c r="R21" s="28">
        <f>IF($Q21="","",IFERROR(INDEX(CONFIG!$H$4:$H$63,MATCH($Q21,CONFIG!$G$4:$G$63,0)),"Por definir"))</f>
        <v/>
      </c>
      <c r="S21" s="28">
        <f>IF($Q21="","",IFERROR(INDEX(CONFIG!$I$4:$I$63,MATCH($Q21,CONFIG!$G$4:$G$63,0)),"Por definir"))</f>
        <v/>
      </c>
      <c r="T21" s="51" t="n">
        <v>0</v>
      </c>
      <c r="U21" s="52" t="n">
        <v>0</v>
      </c>
      <c r="V21" s="50" t="inlineStr">
        <is>
          <t>Resuelta</t>
        </is>
      </c>
      <c r="W21" s="50" t="inlineStr">
        <is>
          <t>Jefe de operaciones</t>
        </is>
      </c>
      <c r="X21" s="49">
        <f>IF(OR($B21="",$M21=""),"",WORKDAY($B21,IFERROR(INDEX(CONFIG!$D$4:$D$63,MATCH($M21,CONFIG!$A$4:$A$63,0)),3)))</f>
        <v/>
      </c>
      <c r="Y21" s="47" t="n">
        <v>46261</v>
      </c>
      <c r="Z21" s="24">
        <f>IF($B21="","",IF($Y21&lt;&gt;"",$Y21-$B21,TODAY()-$B21))</f>
        <v/>
      </c>
      <c r="AA21" s="28">
        <f>IF($B21="","",IF(IFERROR(INDEX(CONFIG!$L$4:$L$63,MATCH($V21,CONFIG!$K$4:$K$63,0)),"NO")="SÍ",IF(OR($Y21="",$X21=""),"Resuelta",IF($Y21&gt;$X21,"Resuelta tarde","Resuelta a tiempo")),IF($X21="","Sin clasificar",IF(TODAY()&gt;$X21,"Vencida",IF(TODAY()&gt;=$X21-1,"Por vencer","En plazo")))))</f>
        <v/>
      </c>
      <c r="AB21" s="50" t="inlineStr">
        <is>
          <t>Se reforzó el turno de la mañana</t>
        </is>
      </c>
      <c r="AC21" s="50" t="n"/>
    </row>
    <row r="22" ht="16" customHeight="1">
      <c r="A22" s="28">
        <f>IF($B22="","","N-"&amp;TEXT(ROW()-3,"0000"))</f>
        <v/>
      </c>
      <c r="B22" s="47" t="n">
        <v>46266</v>
      </c>
      <c r="C22" s="48" t="inlineStr">
        <is>
          <t>Interna</t>
        </is>
      </c>
      <c r="D22" s="48" t="n"/>
      <c r="E22" s="28">
        <f>IF($C22="","",IF($D22="",IF($C22="Interna","Sin guía (interna)","FALTA GUÍA"),IF(COUNTIFS(ENVIOS!$A$4:$A$3003,$D22)=0,"NO EXISTE",IF(COUNTIFS(ENVIOS!$A$4:$A$3003,$D22)&gt;1,"DUPLICADA","OK"))))</f>
        <v/>
      </c>
      <c r="F22" s="28">
        <f>IF($D22="","",IFERROR(INDEX(ENVIOS!$B$4:$B$3003,MATCH($D22,ENVIOS!$A$4:$A$3003,0)),"—"))</f>
        <v/>
      </c>
      <c r="G22" s="23">
        <f>IF($D22="","",IFERROR(INDEX(ENVIOS!$D$4:$D$3003,MATCH($D22,ENVIOS!$A$4:$A$3003,0)),"—"))</f>
        <v/>
      </c>
      <c r="H22" s="23">
        <f>IF($D22="","",IFERROR(INDEX(ENVIOS!$E$4:$E$3003,MATCH($D22,ENVIOS!$A$4:$A$3003,0)),"—"))</f>
        <v/>
      </c>
      <c r="I22" s="23">
        <f>IF($D22="","",IFERROR(INDEX(ENVIOS!$F$4:$F$3003,MATCH($D22,ENVIOS!$A$4:$A$3003,0)),"—"))</f>
        <v/>
      </c>
      <c r="J22" s="23">
        <f>IF($D22="","",IFERROR(INDEX(ENVIOS!$G$4:$G$3003,MATCH($D22,ENVIOS!$A$4:$A$3003,0)),"—"))</f>
        <v/>
      </c>
      <c r="K22" s="28">
        <f>IF($D22="","",IFERROR(INDEX(ENVIOS!$H$4:$H$3003,MATCH($D22,ENVIOS!$A$4:$A$3003,0)),"—"))</f>
        <v/>
      </c>
      <c r="L22" s="49">
        <f>IF($D22="","",IFERROR(INDEX(ENVIOS!$C$4:$C$3003,MATCH($D22,ENVIOS!$A$4:$A$3003,0)),""))</f>
        <v/>
      </c>
      <c r="M22" s="50" t="inlineStr">
        <is>
          <t>Producto averiado en bodega</t>
        </is>
      </c>
      <c r="N22" s="28">
        <f>IF($M22="","",IFERROR(INDEX(CONFIG!$C$4:$C$63,MATCH($M22,CONFIG!$A$4:$A$63,0)),"Media"))</f>
        <v/>
      </c>
      <c r="O22" s="28">
        <f>IF($M22="","",IF($C22="Interna","NO",IFERROR(INDEX(CONFIG!$E$4:$E$63,MATCH($M22,CONFIG!$A$4:$A$63,0)),"NO")))</f>
        <v/>
      </c>
      <c r="P22" s="50" t="inlineStr">
        <is>
          <t>Almacenamiento</t>
        </is>
      </c>
      <c r="Q22" s="50" t="inlineStr">
        <is>
          <t>Falta de espacio u orden en bodega</t>
        </is>
      </c>
      <c r="R22" s="28">
        <f>IF($Q22="","",IFERROR(INDEX(CONFIG!$H$4:$H$63,MATCH($Q22,CONFIG!$G$4:$G$63,0)),"Por definir"))</f>
        <v/>
      </c>
      <c r="S22" s="28">
        <f>IF($Q22="","",IFERROR(INDEX(CONFIG!$I$4:$I$63,MATCH($Q22,CONFIG!$G$4:$G$63,0)),"Por definir"))</f>
        <v/>
      </c>
      <c r="T22" s="51" t="n">
        <v>8</v>
      </c>
      <c r="U22" s="52" t="n">
        <v>2350000</v>
      </c>
      <c r="V22" s="50" t="inlineStr">
        <is>
          <t>En gestión</t>
        </is>
      </c>
      <c r="W22" s="50" t="inlineStr">
        <is>
          <t>Jefe de bodega</t>
        </is>
      </c>
      <c r="X22" s="49">
        <f>IF(OR($B22="",$M22=""),"",WORKDAY($B22,IFERROR(INDEX(CONFIG!$D$4:$D$63,MATCH($M22,CONFIG!$A$4:$A$63,0)),3)))</f>
        <v/>
      </c>
      <c r="Y22" s="47" t="n"/>
      <c r="Z22" s="24">
        <f>IF($B22="","",IF($Y22&lt;&gt;"",$Y22-$B22,TODAY()-$B22))</f>
        <v/>
      </c>
      <c r="AA22" s="28">
        <f>IF($B22="","",IF(IFERROR(INDEX(CONFIG!$L$4:$L$63,MATCH($V22,CONFIG!$K$4:$K$63,0)),"NO")="SÍ",IF(OR($Y22="",$X22=""),"Resuelta",IF($Y22&gt;$X22,"Resuelta tarde","Resuelta a tiempo")),IF($X22="","Sin clasificar",IF(TODAY()&gt;$X22,"Vencida",IF(TODAY()&gt;=$X22-1,"Por vencer","En plazo")))))</f>
        <v/>
      </c>
      <c r="AB22" s="50" t="n"/>
      <c r="AC22" s="50" t="inlineStr">
        <is>
          <t>Estiba mal apilada en la zona de tránsito</t>
        </is>
      </c>
    </row>
    <row r="23" ht="16" customHeight="1">
      <c r="A23" s="28">
        <f>IF($B23="","","N-"&amp;TEXT(ROW()-3,"0000"))</f>
        <v/>
      </c>
      <c r="B23" s="47" t="n">
        <v>46268</v>
      </c>
      <c r="C23" s="48" t="inlineStr">
        <is>
          <t>Interna</t>
        </is>
      </c>
      <c r="D23" s="48" t="n"/>
      <c r="E23" s="28">
        <f>IF($C23="","",IF($D23="",IF($C23="Interna","Sin guía (interna)","FALTA GUÍA"),IF(COUNTIFS(ENVIOS!$A$4:$A$3003,$D23)=0,"NO EXISTE",IF(COUNTIFS(ENVIOS!$A$4:$A$3003,$D23)&gt;1,"DUPLICADA","OK"))))</f>
        <v/>
      </c>
      <c r="F23" s="28">
        <f>IF($D23="","",IFERROR(INDEX(ENVIOS!$B$4:$B$3003,MATCH($D23,ENVIOS!$A$4:$A$3003,0)),"—"))</f>
        <v/>
      </c>
      <c r="G23" s="23">
        <f>IF($D23="","",IFERROR(INDEX(ENVIOS!$D$4:$D$3003,MATCH($D23,ENVIOS!$A$4:$A$3003,0)),"—"))</f>
        <v/>
      </c>
      <c r="H23" s="23">
        <f>IF($D23="","",IFERROR(INDEX(ENVIOS!$E$4:$E$3003,MATCH($D23,ENVIOS!$A$4:$A$3003,0)),"—"))</f>
        <v/>
      </c>
      <c r="I23" s="23">
        <f>IF($D23="","",IFERROR(INDEX(ENVIOS!$F$4:$F$3003,MATCH($D23,ENVIOS!$A$4:$A$3003,0)),"—"))</f>
        <v/>
      </c>
      <c r="J23" s="23">
        <f>IF($D23="","",IFERROR(INDEX(ENVIOS!$G$4:$G$3003,MATCH($D23,ENVIOS!$A$4:$A$3003,0)),"—"))</f>
        <v/>
      </c>
      <c r="K23" s="28">
        <f>IF($D23="","",IFERROR(INDEX(ENVIOS!$H$4:$H$3003,MATCH($D23,ENVIOS!$A$4:$A$3003,0)),"—"))</f>
        <v/>
      </c>
      <c r="L23" s="49">
        <f>IF($D23="","",IFERROR(INDEX(ENVIOS!$C$4:$C$3003,MATCH($D23,ENVIOS!$A$4:$A$3003,0)),""))</f>
        <v/>
      </c>
      <c r="M23" s="50" t="inlineStr">
        <is>
          <t>Demora en facturación o documentos</t>
        </is>
      </c>
      <c r="N23" s="28">
        <f>IF($M23="","",IFERROR(INDEX(CONFIG!$C$4:$C$63,MATCH($M23,CONFIG!$A$4:$A$63,0)),"Media"))</f>
        <v/>
      </c>
      <c r="O23" s="28">
        <f>IF($M23="","",IF($C23="Interna","NO",IFERROR(INDEX(CONFIG!$E$4:$E$63,MATCH($M23,CONFIG!$A$4:$A$63,0)),"NO")))</f>
        <v/>
      </c>
      <c r="P23" s="50" t="inlineStr">
        <is>
          <t>Facturación y documentos</t>
        </is>
      </c>
      <c r="Q23" s="50" t="inlineStr">
        <is>
          <t>Documentación incompleta</t>
        </is>
      </c>
      <c r="R23" s="28">
        <f>IF($Q23="","",IFERROR(INDEX(CONFIG!$H$4:$H$63,MATCH($Q23,CONFIG!$G$4:$G$63,0)),"Por definir"))</f>
        <v/>
      </c>
      <c r="S23" s="28">
        <f>IF($Q23="","",IFERROR(INDEX(CONFIG!$I$4:$I$63,MATCH($Q23,CONFIG!$G$4:$G$63,0)),"Por definir"))</f>
        <v/>
      </c>
      <c r="T23" s="51" t="n">
        <v>0</v>
      </c>
      <c r="U23" s="52" t="n">
        <v>0</v>
      </c>
      <c r="V23" s="50" t="inlineStr">
        <is>
          <t>Resuelta</t>
        </is>
      </c>
      <c r="W23" s="50" t="inlineStr">
        <is>
          <t>Facturación</t>
        </is>
      </c>
      <c r="X23" s="49">
        <f>IF(OR($B23="",$M23=""),"",WORKDAY($B23,IFERROR(INDEX(CONFIG!$D$4:$D$63,MATCH($M23,CONFIG!$A$4:$A$63,0)),3)))</f>
        <v/>
      </c>
      <c r="Y23" s="47" t="n">
        <v>46269</v>
      </c>
      <c r="Z23" s="24">
        <f>IF($B23="","",IF($Y23&lt;&gt;"",$Y23-$B23,TODAY()-$B23))</f>
        <v/>
      </c>
      <c r="AA23" s="28">
        <f>IF($B23="","",IF(IFERROR(INDEX(CONFIG!$L$4:$L$63,MATCH($V23,CONFIG!$K$4:$K$63,0)),"NO")="SÍ",IF(OR($Y23="",$X23=""),"Resuelta",IF($Y23&gt;$X23,"Resuelta tarde","Resuelta a tiempo")),IF($X23="","Sin clasificar",IF(TODAY()&gt;$X23,"Vencida",IF(TODAY()&gt;=$X23-1,"Por vencer","En plazo")))))</f>
        <v/>
      </c>
      <c r="AB23" s="50" t="inlineStr">
        <is>
          <t>Se completaron los soportes</t>
        </is>
      </c>
      <c r="AC23" s="50" t="n"/>
    </row>
    <row r="24" ht="16" customHeight="1">
      <c r="A24" s="28">
        <f>IF($B24="","","N-"&amp;TEXT(ROW()-3,"0000"))</f>
        <v/>
      </c>
      <c r="B24" s="47" t="n">
        <v>46272</v>
      </c>
      <c r="C24" s="48" t="inlineStr">
        <is>
          <t>Interna</t>
        </is>
      </c>
      <c r="D24" s="48" t="n"/>
      <c r="E24" s="28">
        <f>IF($C24="","",IF($D24="",IF($C24="Interna","Sin guía (interna)","FALTA GUÍA"),IF(COUNTIFS(ENVIOS!$A$4:$A$3003,$D24)=0,"NO EXISTE",IF(COUNTIFS(ENVIOS!$A$4:$A$3003,$D24)&gt;1,"DUPLICADA","OK"))))</f>
        <v/>
      </c>
      <c r="F24" s="28">
        <f>IF($D24="","",IFERROR(INDEX(ENVIOS!$B$4:$B$3003,MATCH($D24,ENVIOS!$A$4:$A$3003,0)),"—"))</f>
        <v/>
      </c>
      <c r="G24" s="23">
        <f>IF($D24="","",IFERROR(INDEX(ENVIOS!$D$4:$D$3003,MATCH($D24,ENVIOS!$A$4:$A$3003,0)),"—"))</f>
        <v/>
      </c>
      <c r="H24" s="23">
        <f>IF($D24="","",IFERROR(INDEX(ENVIOS!$E$4:$E$3003,MATCH($D24,ENVIOS!$A$4:$A$3003,0)),"—"))</f>
        <v/>
      </c>
      <c r="I24" s="23">
        <f>IF($D24="","",IFERROR(INDEX(ENVIOS!$F$4:$F$3003,MATCH($D24,ENVIOS!$A$4:$A$3003,0)),"—"))</f>
        <v/>
      </c>
      <c r="J24" s="23">
        <f>IF($D24="","",IFERROR(INDEX(ENVIOS!$G$4:$G$3003,MATCH($D24,ENVIOS!$A$4:$A$3003,0)),"—"))</f>
        <v/>
      </c>
      <c r="K24" s="28">
        <f>IF($D24="","",IFERROR(INDEX(ENVIOS!$H$4:$H$3003,MATCH($D24,ENVIOS!$A$4:$A$3003,0)),"—"))</f>
        <v/>
      </c>
      <c r="L24" s="49">
        <f>IF($D24="","",IFERROR(INDEX(ENVIOS!$C$4:$C$3003,MATCH($D24,ENVIOS!$A$4:$A$3003,0)),""))</f>
        <v/>
      </c>
      <c r="M24" s="50" t="inlineStr">
        <is>
          <t>Devolución recibida sin soporte</t>
        </is>
      </c>
      <c r="N24" s="28">
        <f>IF($M24="","",IFERROR(INDEX(CONFIG!$C$4:$C$63,MATCH($M24,CONFIG!$A$4:$A$63,0)),"Media"))</f>
        <v/>
      </c>
      <c r="O24" s="28">
        <f>IF($M24="","",IF($C24="Interna","NO",IFERROR(INDEX(CONFIG!$E$4:$E$63,MATCH($M24,CONFIG!$A$4:$A$63,0)),"NO")))</f>
        <v/>
      </c>
      <c r="P24" s="50" t="inlineStr">
        <is>
          <t>Bodega de devoluciones</t>
        </is>
      </c>
      <c r="Q24" s="50" t="inlineStr">
        <is>
          <t>Procedimiento no seguido</t>
        </is>
      </c>
      <c r="R24" s="28">
        <f>IF($Q24="","",IFERROR(INDEX(CONFIG!$H$4:$H$63,MATCH($Q24,CONFIG!$G$4:$G$63,0)),"Por definir"))</f>
        <v/>
      </c>
      <c r="S24" s="28">
        <f>IF($Q24="","",IFERROR(INDEX(CONFIG!$I$4:$I$63,MATCH($Q24,CONFIG!$G$4:$G$63,0)),"Por definir"))</f>
        <v/>
      </c>
      <c r="T24" s="51" t="n">
        <v>5</v>
      </c>
      <c r="U24" s="52" t="n">
        <v>720000</v>
      </c>
      <c r="V24" s="50" t="inlineStr">
        <is>
          <t>Sin gestionar</t>
        </is>
      </c>
      <c r="W24" s="50" t="inlineStr">
        <is>
          <t>Jefe de bodega</t>
        </is>
      </c>
      <c r="X24" s="49">
        <f>IF(OR($B24="",$M24=""),"",WORKDAY($B24,IFERROR(INDEX(CONFIG!$D$4:$D$63,MATCH($M24,CONFIG!$A$4:$A$63,0)),3)))</f>
        <v/>
      </c>
      <c r="Y24" s="47" t="n"/>
      <c r="Z24" s="24">
        <f>IF($B24="","",IF($Y24&lt;&gt;"",$Y24-$B24,TODAY()-$B24))</f>
        <v/>
      </c>
      <c r="AA24" s="28">
        <f>IF($B24="","",IF(IFERROR(INDEX(CONFIG!$L$4:$L$63,MATCH($V24,CONFIG!$K$4:$K$63,0)),"NO")="SÍ",IF(OR($Y24="",$X24=""),"Resuelta",IF($Y24&gt;$X24,"Resuelta tarde","Resuelta a tiempo")),IF($X24="","Sin clasificar",IF(TODAY()&gt;$X24,"Vencida",IF(TODAY()&gt;=$X24-1,"Por vencer","En plazo")))))</f>
        <v/>
      </c>
      <c r="AB24" s="50" t="n"/>
      <c r="AC24" s="50" t="inlineStr">
        <is>
          <t>Llegó sin la remisión de retorno</t>
        </is>
      </c>
    </row>
    <row r="25" ht="16" customHeight="1">
      <c r="A25" s="28">
        <f>IF($B25="","","N-"&amp;TEXT(ROW()-3,"0000"))</f>
        <v/>
      </c>
      <c r="B25" s="47" t="n">
        <v>46273</v>
      </c>
      <c r="C25" s="48" t="inlineStr">
        <is>
          <t>Interna</t>
        </is>
      </c>
      <c r="D25" s="48" t="n"/>
      <c r="E25" s="28">
        <f>IF($C25="","",IF($D25="",IF($C25="Interna","Sin guía (interna)","FALTA GUÍA"),IF(COUNTIFS(ENVIOS!$A$4:$A$3003,$D25)=0,"NO EXISTE",IF(COUNTIFS(ENVIOS!$A$4:$A$3003,$D25)&gt;1,"DUPLICADA","OK"))))</f>
        <v/>
      </c>
      <c r="F25" s="28">
        <f>IF($D25="","",IFERROR(INDEX(ENVIOS!$B$4:$B$3003,MATCH($D25,ENVIOS!$A$4:$A$3003,0)),"—"))</f>
        <v/>
      </c>
      <c r="G25" s="23">
        <f>IF($D25="","",IFERROR(INDEX(ENVIOS!$D$4:$D$3003,MATCH($D25,ENVIOS!$A$4:$A$3003,0)),"—"))</f>
        <v/>
      </c>
      <c r="H25" s="23">
        <f>IF($D25="","",IFERROR(INDEX(ENVIOS!$E$4:$E$3003,MATCH($D25,ENVIOS!$A$4:$A$3003,0)),"—"))</f>
        <v/>
      </c>
      <c r="I25" s="23">
        <f>IF($D25="","",IFERROR(INDEX(ENVIOS!$F$4:$F$3003,MATCH($D25,ENVIOS!$A$4:$A$3003,0)),"—"))</f>
        <v/>
      </c>
      <c r="J25" s="23">
        <f>IF($D25="","",IFERROR(INDEX(ENVIOS!$G$4:$G$3003,MATCH($D25,ENVIOS!$A$4:$A$3003,0)),"—"))</f>
        <v/>
      </c>
      <c r="K25" s="28">
        <f>IF($D25="","",IFERROR(INDEX(ENVIOS!$H$4:$H$3003,MATCH($D25,ENVIOS!$A$4:$A$3003,0)),"—"))</f>
        <v/>
      </c>
      <c r="L25" s="49">
        <f>IF($D25="","",IFERROR(INDEX(ENVIOS!$C$4:$C$3003,MATCH($D25,ENVIOS!$A$4:$A$3003,0)),""))</f>
        <v/>
      </c>
      <c r="M25" s="50" t="inlineStr">
        <is>
          <t>Incidente de seguridad o accidente laboral</t>
        </is>
      </c>
      <c r="N25" s="28">
        <f>IF($M25="","",IFERROR(INDEX(CONFIG!$C$4:$C$63,MATCH($M25,CONFIG!$A$4:$A$63,0)),"Media"))</f>
        <v/>
      </c>
      <c r="O25" s="28">
        <f>IF($M25="","",IF($C25="Interna","NO",IFERROR(INDEX(CONFIG!$E$4:$E$63,MATCH($M25,CONFIG!$A$4:$A$63,0)),"NO")))</f>
        <v/>
      </c>
      <c r="P25" s="50" t="inlineStr">
        <is>
          <t>Patio / zona de maniobras</t>
        </is>
      </c>
      <c r="Q25" s="50" t="inlineStr">
        <is>
          <t>Procedimiento no seguido</t>
        </is>
      </c>
      <c r="R25" s="28">
        <f>IF($Q25="","",IFERROR(INDEX(CONFIG!$H$4:$H$63,MATCH($Q25,CONFIG!$G$4:$G$63,0)),"Por definir"))</f>
        <v/>
      </c>
      <c r="S25" s="28">
        <f>IF($Q25="","",IFERROR(INDEX(CONFIG!$I$4:$I$63,MATCH($Q25,CONFIG!$G$4:$G$63,0)),"Por definir"))</f>
        <v/>
      </c>
      <c r="T25" s="51" t="n">
        <v>0</v>
      </c>
      <c r="U25" s="52" t="n">
        <v>0</v>
      </c>
      <c r="V25" s="50" t="inlineStr">
        <is>
          <t>En gestión</t>
        </is>
      </c>
      <c r="W25" s="50" t="inlineStr">
        <is>
          <t>Seguridad y salud</t>
        </is>
      </c>
      <c r="X25" s="49">
        <f>IF(OR($B25="",$M25=""),"",WORKDAY($B25,IFERROR(INDEX(CONFIG!$D$4:$D$63,MATCH($M25,CONFIG!$A$4:$A$63,0)),3)))</f>
        <v/>
      </c>
      <c r="Y25" s="47" t="n"/>
      <c r="Z25" s="24">
        <f>IF($B25="","",IF($Y25&lt;&gt;"",$Y25-$B25,TODAY()-$B25))</f>
        <v/>
      </c>
      <c r="AA25" s="28">
        <f>IF($B25="","",IF(IFERROR(INDEX(CONFIG!$L$4:$L$63,MATCH($V25,CONFIG!$K$4:$K$63,0)),"NO")="SÍ",IF(OR($Y25="",$X25=""),"Resuelta",IF($Y25&gt;$X25,"Resuelta tarde","Resuelta a tiempo")),IF($X25="","Sin clasificar",IF(TODAY()&gt;$X25,"Vencida",IF(TODAY()&gt;=$X25-1,"Por vencer","En plazo")))))</f>
        <v/>
      </c>
      <c r="AB25" s="50" t="n"/>
      <c r="AC25" s="50" t="inlineStr">
        <is>
          <t>Golpe leve durante maniobra; se abrió investigación</t>
        </is>
      </c>
    </row>
    <row r="26" ht="16" customHeight="1">
      <c r="A26" s="28">
        <f>IF($B26="","","N-"&amp;TEXT(ROW()-3,"0000"))</f>
        <v/>
      </c>
      <c r="B26" s="47" t="n"/>
      <c r="C26" s="48" t="n"/>
      <c r="D26" s="48" t="n"/>
      <c r="E26" s="28">
        <f>IF($C26="","",IF($D26="",IF($C26="Interna","Sin guía (interna)","FALTA GUÍA"),IF(COUNTIFS(ENVIOS!$A$4:$A$3003,$D26)=0,"NO EXISTE",IF(COUNTIFS(ENVIOS!$A$4:$A$3003,$D26)&gt;1,"DUPLICADA","OK"))))</f>
        <v/>
      </c>
      <c r="F26" s="28">
        <f>IF($D26="","",IFERROR(INDEX(ENVIOS!$B$4:$B$3003,MATCH($D26,ENVIOS!$A$4:$A$3003,0)),"—"))</f>
        <v/>
      </c>
      <c r="G26" s="23">
        <f>IF($D26="","",IFERROR(INDEX(ENVIOS!$D$4:$D$3003,MATCH($D26,ENVIOS!$A$4:$A$3003,0)),"—"))</f>
        <v/>
      </c>
      <c r="H26" s="23">
        <f>IF($D26="","",IFERROR(INDEX(ENVIOS!$E$4:$E$3003,MATCH($D26,ENVIOS!$A$4:$A$3003,0)),"—"))</f>
        <v/>
      </c>
      <c r="I26" s="23">
        <f>IF($D26="","",IFERROR(INDEX(ENVIOS!$F$4:$F$3003,MATCH($D26,ENVIOS!$A$4:$A$3003,0)),"—"))</f>
        <v/>
      </c>
      <c r="J26" s="23">
        <f>IF($D26="","",IFERROR(INDEX(ENVIOS!$G$4:$G$3003,MATCH($D26,ENVIOS!$A$4:$A$3003,0)),"—"))</f>
        <v/>
      </c>
      <c r="K26" s="28">
        <f>IF($D26="","",IFERROR(INDEX(ENVIOS!$H$4:$H$3003,MATCH($D26,ENVIOS!$A$4:$A$3003,0)),"—"))</f>
        <v/>
      </c>
      <c r="L26" s="49">
        <f>IF($D26="","",IFERROR(INDEX(ENVIOS!$C$4:$C$3003,MATCH($D26,ENVIOS!$A$4:$A$3003,0)),""))</f>
        <v/>
      </c>
      <c r="M26" s="50" t="n"/>
      <c r="N26" s="28">
        <f>IF($M26="","",IFERROR(INDEX(CONFIG!$C$4:$C$63,MATCH($M26,CONFIG!$A$4:$A$63,0)),"Media"))</f>
        <v/>
      </c>
      <c r="O26" s="28">
        <f>IF($M26="","",IF($C26="Interna","NO",IFERROR(INDEX(CONFIG!$E$4:$E$63,MATCH($M26,CONFIG!$A$4:$A$63,0)),"NO")))</f>
        <v/>
      </c>
      <c r="P26" s="50" t="n"/>
      <c r="Q26" s="50" t="n"/>
      <c r="R26" s="28">
        <f>IF($Q26="","",IFERROR(INDEX(CONFIG!$H$4:$H$63,MATCH($Q26,CONFIG!$G$4:$G$63,0)),"Por definir"))</f>
        <v/>
      </c>
      <c r="S26" s="28">
        <f>IF($Q26="","",IFERROR(INDEX(CONFIG!$I$4:$I$63,MATCH($Q26,CONFIG!$G$4:$G$63,0)),"Por definir"))</f>
        <v/>
      </c>
      <c r="T26" s="51" t="n"/>
      <c r="U26" s="52" t="n"/>
      <c r="V26" s="50" t="n"/>
      <c r="W26" s="50" t="n"/>
      <c r="X26" s="49">
        <f>IF(OR($B26="",$M26=""),"",WORKDAY($B26,IFERROR(INDEX(CONFIG!$D$4:$D$63,MATCH($M26,CONFIG!$A$4:$A$63,0)),3)))</f>
        <v/>
      </c>
      <c r="Y26" s="47" t="n"/>
      <c r="Z26" s="24">
        <f>IF($B26="","",IF($Y26&lt;&gt;"",$Y26-$B26,TODAY()-$B26))</f>
        <v/>
      </c>
      <c r="AA26" s="28">
        <f>IF($B26="","",IF(IFERROR(INDEX(CONFIG!$L$4:$L$63,MATCH($V26,CONFIG!$K$4:$K$63,0)),"NO")="SÍ",IF(OR($Y26="",$X26=""),"Resuelta",IF($Y26&gt;$X26,"Resuelta tarde","Resuelta a tiempo")),IF($X26="","Sin clasificar",IF(TODAY()&gt;$X26,"Vencida",IF(TODAY()&gt;=$X26-1,"Por vencer","En plazo")))))</f>
        <v/>
      </c>
      <c r="AB26" s="50" t="n"/>
      <c r="AC26" s="50" t="n"/>
    </row>
    <row r="27" ht="16" customHeight="1">
      <c r="A27" s="28">
        <f>IF($B27="","","N-"&amp;TEXT(ROW()-3,"0000"))</f>
        <v/>
      </c>
      <c r="B27" s="47" t="n"/>
      <c r="C27" s="48" t="n"/>
      <c r="D27" s="48" t="n"/>
      <c r="E27" s="28">
        <f>IF($C27="","",IF($D27="",IF($C27="Interna","Sin guía (interna)","FALTA GUÍA"),IF(COUNTIFS(ENVIOS!$A$4:$A$3003,$D27)=0,"NO EXISTE",IF(COUNTIFS(ENVIOS!$A$4:$A$3003,$D27)&gt;1,"DUPLICADA","OK"))))</f>
        <v/>
      </c>
      <c r="F27" s="28">
        <f>IF($D27="","",IFERROR(INDEX(ENVIOS!$B$4:$B$3003,MATCH($D27,ENVIOS!$A$4:$A$3003,0)),"—"))</f>
        <v/>
      </c>
      <c r="G27" s="23">
        <f>IF($D27="","",IFERROR(INDEX(ENVIOS!$D$4:$D$3003,MATCH($D27,ENVIOS!$A$4:$A$3003,0)),"—"))</f>
        <v/>
      </c>
      <c r="H27" s="23">
        <f>IF($D27="","",IFERROR(INDEX(ENVIOS!$E$4:$E$3003,MATCH($D27,ENVIOS!$A$4:$A$3003,0)),"—"))</f>
        <v/>
      </c>
      <c r="I27" s="23">
        <f>IF($D27="","",IFERROR(INDEX(ENVIOS!$F$4:$F$3003,MATCH($D27,ENVIOS!$A$4:$A$3003,0)),"—"))</f>
        <v/>
      </c>
      <c r="J27" s="23">
        <f>IF($D27="","",IFERROR(INDEX(ENVIOS!$G$4:$G$3003,MATCH($D27,ENVIOS!$A$4:$A$3003,0)),"—"))</f>
        <v/>
      </c>
      <c r="K27" s="28">
        <f>IF($D27="","",IFERROR(INDEX(ENVIOS!$H$4:$H$3003,MATCH($D27,ENVIOS!$A$4:$A$3003,0)),"—"))</f>
        <v/>
      </c>
      <c r="L27" s="49">
        <f>IF($D27="","",IFERROR(INDEX(ENVIOS!$C$4:$C$3003,MATCH($D27,ENVIOS!$A$4:$A$3003,0)),""))</f>
        <v/>
      </c>
      <c r="M27" s="50" t="n"/>
      <c r="N27" s="28">
        <f>IF($M27="","",IFERROR(INDEX(CONFIG!$C$4:$C$63,MATCH($M27,CONFIG!$A$4:$A$63,0)),"Media"))</f>
        <v/>
      </c>
      <c r="O27" s="28">
        <f>IF($M27="","",IF($C27="Interna","NO",IFERROR(INDEX(CONFIG!$E$4:$E$63,MATCH($M27,CONFIG!$A$4:$A$63,0)),"NO")))</f>
        <v/>
      </c>
      <c r="P27" s="50" t="n"/>
      <c r="Q27" s="50" t="n"/>
      <c r="R27" s="28">
        <f>IF($Q27="","",IFERROR(INDEX(CONFIG!$H$4:$H$63,MATCH($Q27,CONFIG!$G$4:$G$63,0)),"Por definir"))</f>
        <v/>
      </c>
      <c r="S27" s="28">
        <f>IF($Q27="","",IFERROR(INDEX(CONFIG!$I$4:$I$63,MATCH($Q27,CONFIG!$G$4:$G$63,0)),"Por definir"))</f>
        <v/>
      </c>
      <c r="T27" s="51" t="n"/>
      <c r="U27" s="52" t="n"/>
      <c r="V27" s="50" t="n"/>
      <c r="W27" s="50" t="n"/>
      <c r="X27" s="49">
        <f>IF(OR($B27="",$M27=""),"",WORKDAY($B27,IFERROR(INDEX(CONFIG!$D$4:$D$63,MATCH($M27,CONFIG!$A$4:$A$63,0)),3)))</f>
        <v/>
      </c>
      <c r="Y27" s="47" t="n"/>
      <c r="Z27" s="24">
        <f>IF($B27="","",IF($Y27&lt;&gt;"",$Y27-$B27,TODAY()-$B27))</f>
        <v/>
      </c>
      <c r="AA27" s="28">
        <f>IF($B27="","",IF(IFERROR(INDEX(CONFIG!$L$4:$L$63,MATCH($V27,CONFIG!$K$4:$K$63,0)),"NO")="SÍ",IF(OR($Y27="",$X27=""),"Resuelta",IF($Y27&gt;$X27,"Resuelta tarde","Resuelta a tiempo")),IF($X27="","Sin clasificar",IF(TODAY()&gt;$X27,"Vencida",IF(TODAY()&gt;=$X27-1,"Por vencer","En plazo")))))</f>
        <v/>
      </c>
      <c r="AB27" s="50" t="n"/>
      <c r="AC27" s="50" t="n"/>
    </row>
    <row r="28" ht="16" customHeight="1">
      <c r="A28" s="28">
        <f>IF($B28="","","N-"&amp;TEXT(ROW()-3,"0000"))</f>
        <v/>
      </c>
      <c r="B28" s="47" t="n"/>
      <c r="C28" s="48" t="n"/>
      <c r="D28" s="48" t="n"/>
      <c r="E28" s="28">
        <f>IF($C28="","",IF($D28="",IF($C28="Interna","Sin guía (interna)","FALTA GUÍA"),IF(COUNTIFS(ENVIOS!$A$4:$A$3003,$D28)=0,"NO EXISTE",IF(COUNTIFS(ENVIOS!$A$4:$A$3003,$D28)&gt;1,"DUPLICADA","OK"))))</f>
        <v/>
      </c>
      <c r="F28" s="28">
        <f>IF($D28="","",IFERROR(INDEX(ENVIOS!$B$4:$B$3003,MATCH($D28,ENVIOS!$A$4:$A$3003,0)),"—"))</f>
        <v/>
      </c>
      <c r="G28" s="23">
        <f>IF($D28="","",IFERROR(INDEX(ENVIOS!$D$4:$D$3003,MATCH($D28,ENVIOS!$A$4:$A$3003,0)),"—"))</f>
        <v/>
      </c>
      <c r="H28" s="23">
        <f>IF($D28="","",IFERROR(INDEX(ENVIOS!$E$4:$E$3003,MATCH($D28,ENVIOS!$A$4:$A$3003,0)),"—"))</f>
        <v/>
      </c>
      <c r="I28" s="23">
        <f>IF($D28="","",IFERROR(INDEX(ENVIOS!$F$4:$F$3003,MATCH($D28,ENVIOS!$A$4:$A$3003,0)),"—"))</f>
        <v/>
      </c>
      <c r="J28" s="23">
        <f>IF($D28="","",IFERROR(INDEX(ENVIOS!$G$4:$G$3003,MATCH($D28,ENVIOS!$A$4:$A$3003,0)),"—"))</f>
        <v/>
      </c>
      <c r="K28" s="28">
        <f>IF($D28="","",IFERROR(INDEX(ENVIOS!$H$4:$H$3003,MATCH($D28,ENVIOS!$A$4:$A$3003,0)),"—"))</f>
        <v/>
      </c>
      <c r="L28" s="49">
        <f>IF($D28="","",IFERROR(INDEX(ENVIOS!$C$4:$C$3003,MATCH($D28,ENVIOS!$A$4:$A$3003,0)),""))</f>
        <v/>
      </c>
      <c r="M28" s="50" t="n"/>
      <c r="N28" s="28">
        <f>IF($M28="","",IFERROR(INDEX(CONFIG!$C$4:$C$63,MATCH($M28,CONFIG!$A$4:$A$63,0)),"Media"))</f>
        <v/>
      </c>
      <c r="O28" s="28">
        <f>IF($M28="","",IF($C28="Interna","NO",IFERROR(INDEX(CONFIG!$E$4:$E$63,MATCH($M28,CONFIG!$A$4:$A$63,0)),"NO")))</f>
        <v/>
      </c>
      <c r="P28" s="50" t="n"/>
      <c r="Q28" s="50" t="n"/>
      <c r="R28" s="28">
        <f>IF($Q28="","",IFERROR(INDEX(CONFIG!$H$4:$H$63,MATCH($Q28,CONFIG!$G$4:$G$63,0)),"Por definir"))</f>
        <v/>
      </c>
      <c r="S28" s="28">
        <f>IF($Q28="","",IFERROR(INDEX(CONFIG!$I$4:$I$63,MATCH($Q28,CONFIG!$G$4:$G$63,0)),"Por definir"))</f>
        <v/>
      </c>
      <c r="T28" s="51" t="n"/>
      <c r="U28" s="52" t="n"/>
      <c r="V28" s="50" t="n"/>
      <c r="W28" s="50" t="n"/>
      <c r="X28" s="49">
        <f>IF(OR($B28="",$M28=""),"",WORKDAY($B28,IFERROR(INDEX(CONFIG!$D$4:$D$63,MATCH($M28,CONFIG!$A$4:$A$63,0)),3)))</f>
        <v/>
      </c>
      <c r="Y28" s="47" t="n"/>
      <c r="Z28" s="24">
        <f>IF($B28="","",IF($Y28&lt;&gt;"",$Y28-$B28,TODAY()-$B28))</f>
        <v/>
      </c>
      <c r="AA28" s="28">
        <f>IF($B28="","",IF(IFERROR(INDEX(CONFIG!$L$4:$L$63,MATCH($V28,CONFIG!$K$4:$K$63,0)),"NO")="SÍ",IF(OR($Y28="",$X28=""),"Resuelta",IF($Y28&gt;$X28,"Resuelta tarde","Resuelta a tiempo")),IF($X28="","Sin clasificar",IF(TODAY()&gt;$X28,"Vencida",IF(TODAY()&gt;=$X28-1,"Por vencer","En plazo")))))</f>
        <v/>
      </c>
      <c r="AB28" s="50" t="n"/>
      <c r="AC28" s="50" t="n"/>
    </row>
    <row r="29" ht="16" customHeight="1">
      <c r="A29" s="28">
        <f>IF($B29="","","N-"&amp;TEXT(ROW()-3,"0000"))</f>
        <v/>
      </c>
      <c r="B29" s="47" t="n"/>
      <c r="C29" s="48" t="n"/>
      <c r="D29" s="48" t="n"/>
      <c r="E29" s="28">
        <f>IF($C29="","",IF($D29="",IF($C29="Interna","Sin guía (interna)","FALTA GUÍA"),IF(COUNTIFS(ENVIOS!$A$4:$A$3003,$D29)=0,"NO EXISTE",IF(COUNTIFS(ENVIOS!$A$4:$A$3003,$D29)&gt;1,"DUPLICADA","OK"))))</f>
        <v/>
      </c>
      <c r="F29" s="28">
        <f>IF($D29="","",IFERROR(INDEX(ENVIOS!$B$4:$B$3003,MATCH($D29,ENVIOS!$A$4:$A$3003,0)),"—"))</f>
        <v/>
      </c>
      <c r="G29" s="23">
        <f>IF($D29="","",IFERROR(INDEX(ENVIOS!$D$4:$D$3003,MATCH($D29,ENVIOS!$A$4:$A$3003,0)),"—"))</f>
        <v/>
      </c>
      <c r="H29" s="23">
        <f>IF($D29="","",IFERROR(INDEX(ENVIOS!$E$4:$E$3003,MATCH($D29,ENVIOS!$A$4:$A$3003,0)),"—"))</f>
        <v/>
      </c>
      <c r="I29" s="23">
        <f>IF($D29="","",IFERROR(INDEX(ENVIOS!$F$4:$F$3003,MATCH($D29,ENVIOS!$A$4:$A$3003,0)),"—"))</f>
        <v/>
      </c>
      <c r="J29" s="23">
        <f>IF($D29="","",IFERROR(INDEX(ENVIOS!$G$4:$G$3003,MATCH($D29,ENVIOS!$A$4:$A$3003,0)),"—"))</f>
        <v/>
      </c>
      <c r="K29" s="28">
        <f>IF($D29="","",IFERROR(INDEX(ENVIOS!$H$4:$H$3003,MATCH($D29,ENVIOS!$A$4:$A$3003,0)),"—"))</f>
        <v/>
      </c>
      <c r="L29" s="49">
        <f>IF($D29="","",IFERROR(INDEX(ENVIOS!$C$4:$C$3003,MATCH($D29,ENVIOS!$A$4:$A$3003,0)),""))</f>
        <v/>
      </c>
      <c r="M29" s="50" t="n"/>
      <c r="N29" s="28">
        <f>IF($M29="","",IFERROR(INDEX(CONFIG!$C$4:$C$63,MATCH($M29,CONFIG!$A$4:$A$63,0)),"Media"))</f>
        <v/>
      </c>
      <c r="O29" s="28">
        <f>IF($M29="","",IF($C29="Interna","NO",IFERROR(INDEX(CONFIG!$E$4:$E$63,MATCH($M29,CONFIG!$A$4:$A$63,0)),"NO")))</f>
        <v/>
      </c>
      <c r="P29" s="50" t="n"/>
      <c r="Q29" s="50" t="n"/>
      <c r="R29" s="28">
        <f>IF($Q29="","",IFERROR(INDEX(CONFIG!$H$4:$H$63,MATCH($Q29,CONFIG!$G$4:$G$63,0)),"Por definir"))</f>
        <v/>
      </c>
      <c r="S29" s="28">
        <f>IF($Q29="","",IFERROR(INDEX(CONFIG!$I$4:$I$63,MATCH($Q29,CONFIG!$G$4:$G$63,0)),"Por definir"))</f>
        <v/>
      </c>
      <c r="T29" s="51" t="n"/>
      <c r="U29" s="52" t="n"/>
      <c r="V29" s="50" t="n"/>
      <c r="W29" s="50" t="n"/>
      <c r="X29" s="49">
        <f>IF(OR($B29="",$M29=""),"",WORKDAY($B29,IFERROR(INDEX(CONFIG!$D$4:$D$63,MATCH($M29,CONFIG!$A$4:$A$63,0)),3)))</f>
        <v/>
      </c>
      <c r="Y29" s="47" t="n"/>
      <c r="Z29" s="24">
        <f>IF($B29="","",IF($Y29&lt;&gt;"",$Y29-$B29,TODAY()-$B29))</f>
        <v/>
      </c>
      <c r="AA29" s="28">
        <f>IF($B29="","",IF(IFERROR(INDEX(CONFIG!$L$4:$L$63,MATCH($V29,CONFIG!$K$4:$K$63,0)),"NO")="SÍ",IF(OR($Y29="",$X29=""),"Resuelta",IF($Y29&gt;$X29,"Resuelta tarde","Resuelta a tiempo")),IF($X29="","Sin clasificar",IF(TODAY()&gt;$X29,"Vencida",IF(TODAY()&gt;=$X29-1,"Por vencer","En plazo")))))</f>
        <v/>
      </c>
      <c r="AB29" s="50" t="n"/>
      <c r="AC29" s="50" t="n"/>
    </row>
    <row r="30" ht="16" customHeight="1">
      <c r="A30" s="28">
        <f>IF($B30="","","N-"&amp;TEXT(ROW()-3,"0000"))</f>
        <v/>
      </c>
      <c r="B30" s="47" t="n"/>
      <c r="C30" s="48" t="n"/>
      <c r="D30" s="48" t="n"/>
      <c r="E30" s="28">
        <f>IF($C30="","",IF($D30="",IF($C30="Interna","Sin guía (interna)","FALTA GUÍA"),IF(COUNTIFS(ENVIOS!$A$4:$A$3003,$D30)=0,"NO EXISTE",IF(COUNTIFS(ENVIOS!$A$4:$A$3003,$D30)&gt;1,"DUPLICADA","OK"))))</f>
        <v/>
      </c>
      <c r="F30" s="28">
        <f>IF($D30="","",IFERROR(INDEX(ENVIOS!$B$4:$B$3003,MATCH($D30,ENVIOS!$A$4:$A$3003,0)),"—"))</f>
        <v/>
      </c>
      <c r="G30" s="23">
        <f>IF($D30="","",IFERROR(INDEX(ENVIOS!$D$4:$D$3003,MATCH($D30,ENVIOS!$A$4:$A$3003,0)),"—"))</f>
        <v/>
      </c>
      <c r="H30" s="23">
        <f>IF($D30="","",IFERROR(INDEX(ENVIOS!$E$4:$E$3003,MATCH($D30,ENVIOS!$A$4:$A$3003,0)),"—"))</f>
        <v/>
      </c>
      <c r="I30" s="23">
        <f>IF($D30="","",IFERROR(INDEX(ENVIOS!$F$4:$F$3003,MATCH($D30,ENVIOS!$A$4:$A$3003,0)),"—"))</f>
        <v/>
      </c>
      <c r="J30" s="23">
        <f>IF($D30="","",IFERROR(INDEX(ENVIOS!$G$4:$G$3003,MATCH($D30,ENVIOS!$A$4:$A$3003,0)),"—"))</f>
        <v/>
      </c>
      <c r="K30" s="28">
        <f>IF($D30="","",IFERROR(INDEX(ENVIOS!$H$4:$H$3003,MATCH($D30,ENVIOS!$A$4:$A$3003,0)),"—"))</f>
        <v/>
      </c>
      <c r="L30" s="49">
        <f>IF($D30="","",IFERROR(INDEX(ENVIOS!$C$4:$C$3003,MATCH($D30,ENVIOS!$A$4:$A$3003,0)),""))</f>
        <v/>
      </c>
      <c r="M30" s="50" t="n"/>
      <c r="N30" s="28">
        <f>IF($M30="","",IFERROR(INDEX(CONFIG!$C$4:$C$63,MATCH($M30,CONFIG!$A$4:$A$63,0)),"Media"))</f>
        <v/>
      </c>
      <c r="O30" s="28">
        <f>IF($M30="","",IF($C30="Interna","NO",IFERROR(INDEX(CONFIG!$E$4:$E$63,MATCH($M30,CONFIG!$A$4:$A$63,0)),"NO")))</f>
        <v/>
      </c>
      <c r="P30" s="50" t="n"/>
      <c r="Q30" s="50" t="n"/>
      <c r="R30" s="28">
        <f>IF($Q30="","",IFERROR(INDEX(CONFIG!$H$4:$H$63,MATCH($Q30,CONFIG!$G$4:$G$63,0)),"Por definir"))</f>
        <v/>
      </c>
      <c r="S30" s="28">
        <f>IF($Q30="","",IFERROR(INDEX(CONFIG!$I$4:$I$63,MATCH($Q30,CONFIG!$G$4:$G$63,0)),"Por definir"))</f>
        <v/>
      </c>
      <c r="T30" s="51" t="n"/>
      <c r="U30" s="52" t="n"/>
      <c r="V30" s="50" t="n"/>
      <c r="W30" s="50" t="n"/>
      <c r="X30" s="49">
        <f>IF(OR($B30="",$M30=""),"",WORKDAY($B30,IFERROR(INDEX(CONFIG!$D$4:$D$63,MATCH($M30,CONFIG!$A$4:$A$63,0)),3)))</f>
        <v/>
      </c>
      <c r="Y30" s="47" t="n"/>
      <c r="Z30" s="24">
        <f>IF($B30="","",IF($Y30&lt;&gt;"",$Y30-$B30,TODAY()-$B30))</f>
        <v/>
      </c>
      <c r="AA30" s="28">
        <f>IF($B30="","",IF(IFERROR(INDEX(CONFIG!$L$4:$L$63,MATCH($V30,CONFIG!$K$4:$K$63,0)),"NO")="SÍ",IF(OR($Y30="",$X30=""),"Resuelta",IF($Y30&gt;$X30,"Resuelta tarde","Resuelta a tiempo")),IF($X30="","Sin clasificar",IF(TODAY()&gt;$X30,"Vencida",IF(TODAY()&gt;=$X30-1,"Por vencer","En plazo")))))</f>
        <v/>
      </c>
      <c r="AB30" s="50" t="n"/>
      <c r="AC30" s="50" t="n"/>
    </row>
    <row r="31" ht="16" customHeight="1">
      <c r="A31" s="28">
        <f>IF($B31="","","N-"&amp;TEXT(ROW()-3,"0000"))</f>
        <v/>
      </c>
      <c r="B31" s="47" t="n"/>
      <c r="C31" s="48" t="n"/>
      <c r="D31" s="48" t="n"/>
      <c r="E31" s="28">
        <f>IF($C31="","",IF($D31="",IF($C31="Interna","Sin guía (interna)","FALTA GUÍA"),IF(COUNTIFS(ENVIOS!$A$4:$A$3003,$D31)=0,"NO EXISTE",IF(COUNTIFS(ENVIOS!$A$4:$A$3003,$D31)&gt;1,"DUPLICADA","OK"))))</f>
        <v/>
      </c>
      <c r="F31" s="28">
        <f>IF($D31="","",IFERROR(INDEX(ENVIOS!$B$4:$B$3003,MATCH($D31,ENVIOS!$A$4:$A$3003,0)),"—"))</f>
        <v/>
      </c>
      <c r="G31" s="23">
        <f>IF($D31="","",IFERROR(INDEX(ENVIOS!$D$4:$D$3003,MATCH($D31,ENVIOS!$A$4:$A$3003,0)),"—"))</f>
        <v/>
      </c>
      <c r="H31" s="23">
        <f>IF($D31="","",IFERROR(INDEX(ENVIOS!$E$4:$E$3003,MATCH($D31,ENVIOS!$A$4:$A$3003,0)),"—"))</f>
        <v/>
      </c>
      <c r="I31" s="23">
        <f>IF($D31="","",IFERROR(INDEX(ENVIOS!$F$4:$F$3003,MATCH($D31,ENVIOS!$A$4:$A$3003,0)),"—"))</f>
        <v/>
      </c>
      <c r="J31" s="23">
        <f>IF($D31="","",IFERROR(INDEX(ENVIOS!$G$4:$G$3003,MATCH($D31,ENVIOS!$A$4:$A$3003,0)),"—"))</f>
        <v/>
      </c>
      <c r="K31" s="28">
        <f>IF($D31="","",IFERROR(INDEX(ENVIOS!$H$4:$H$3003,MATCH($D31,ENVIOS!$A$4:$A$3003,0)),"—"))</f>
        <v/>
      </c>
      <c r="L31" s="49">
        <f>IF($D31="","",IFERROR(INDEX(ENVIOS!$C$4:$C$3003,MATCH($D31,ENVIOS!$A$4:$A$3003,0)),""))</f>
        <v/>
      </c>
      <c r="M31" s="50" t="n"/>
      <c r="N31" s="28">
        <f>IF($M31="","",IFERROR(INDEX(CONFIG!$C$4:$C$63,MATCH($M31,CONFIG!$A$4:$A$63,0)),"Media"))</f>
        <v/>
      </c>
      <c r="O31" s="28">
        <f>IF($M31="","",IF($C31="Interna","NO",IFERROR(INDEX(CONFIG!$E$4:$E$63,MATCH($M31,CONFIG!$A$4:$A$63,0)),"NO")))</f>
        <v/>
      </c>
      <c r="P31" s="50" t="n"/>
      <c r="Q31" s="50" t="n"/>
      <c r="R31" s="28">
        <f>IF($Q31="","",IFERROR(INDEX(CONFIG!$H$4:$H$63,MATCH($Q31,CONFIG!$G$4:$G$63,0)),"Por definir"))</f>
        <v/>
      </c>
      <c r="S31" s="28">
        <f>IF($Q31="","",IFERROR(INDEX(CONFIG!$I$4:$I$63,MATCH($Q31,CONFIG!$G$4:$G$63,0)),"Por definir"))</f>
        <v/>
      </c>
      <c r="T31" s="51" t="n"/>
      <c r="U31" s="52" t="n"/>
      <c r="V31" s="50" t="n"/>
      <c r="W31" s="50" t="n"/>
      <c r="X31" s="49">
        <f>IF(OR($B31="",$M31=""),"",WORKDAY($B31,IFERROR(INDEX(CONFIG!$D$4:$D$63,MATCH($M31,CONFIG!$A$4:$A$63,0)),3)))</f>
        <v/>
      </c>
      <c r="Y31" s="47" t="n"/>
      <c r="Z31" s="24">
        <f>IF($B31="","",IF($Y31&lt;&gt;"",$Y31-$B31,TODAY()-$B31))</f>
        <v/>
      </c>
      <c r="AA31" s="28">
        <f>IF($B31="","",IF(IFERROR(INDEX(CONFIG!$L$4:$L$63,MATCH($V31,CONFIG!$K$4:$K$63,0)),"NO")="SÍ",IF(OR($Y31="",$X31=""),"Resuelta",IF($Y31&gt;$X31,"Resuelta tarde","Resuelta a tiempo")),IF($X31="","Sin clasificar",IF(TODAY()&gt;$X31,"Vencida",IF(TODAY()&gt;=$X31-1,"Por vencer","En plazo")))))</f>
        <v/>
      </c>
      <c r="AB31" s="50" t="n"/>
      <c r="AC31" s="50" t="n"/>
    </row>
    <row r="32" ht="16" customHeight="1">
      <c r="A32" s="28">
        <f>IF($B32="","","N-"&amp;TEXT(ROW()-3,"0000"))</f>
        <v/>
      </c>
      <c r="B32" s="47" t="n"/>
      <c r="C32" s="48" t="n"/>
      <c r="D32" s="48" t="n"/>
      <c r="E32" s="28">
        <f>IF($C32="","",IF($D32="",IF($C32="Interna","Sin guía (interna)","FALTA GUÍA"),IF(COUNTIFS(ENVIOS!$A$4:$A$3003,$D32)=0,"NO EXISTE",IF(COUNTIFS(ENVIOS!$A$4:$A$3003,$D32)&gt;1,"DUPLICADA","OK"))))</f>
        <v/>
      </c>
      <c r="F32" s="28">
        <f>IF($D32="","",IFERROR(INDEX(ENVIOS!$B$4:$B$3003,MATCH($D32,ENVIOS!$A$4:$A$3003,0)),"—"))</f>
        <v/>
      </c>
      <c r="G32" s="23">
        <f>IF($D32="","",IFERROR(INDEX(ENVIOS!$D$4:$D$3003,MATCH($D32,ENVIOS!$A$4:$A$3003,0)),"—"))</f>
        <v/>
      </c>
      <c r="H32" s="23">
        <f>IF($D32="","",IFERROR(INDEX(ENVIOS!$E$4:$E$3003,MATCH($D32,ENVIOS!$A$4:$A$3003,0)),"—"))</f>
        <v/>
      </c>
      <c r="I32" s="23">
        <f>IF($D32="","",IFERROR(INDEX(ENVIOS!$F$4:$F$3003,MATCH($D32,ENVIOS!$A$4:$A$3003,0)),"—"))</f>
        <v/>
      </c>
      <c r="J32" s="23">
        <f>IF($D32="","",IFERROR(INDEX(ENVIOS!$G$4:$G$3003,MATCH($D32,ENVIOS!$A$4:$A$3003,0)),"—"))</f>
        <v/>
      </c>
      <c r="K32" s="28">
        <f>IF($D32="","",IFERROR(INDEX(ENVIOS!$H$4:$H$3003,MATCH($D32,ENVIOS!$A$4:$A$3003,0)),"—"))</f>
        <v/>
      </c>
      <c r="L32" s="49">
        <f>IF($D32="","",IFERROR(INDEX(ENVIOS!$C$4:$C$3003,MATCH($D32,ENVIOS!$A$4:$A$3003,0)),""))</f>
        <v/>
      </c>
      <c r="M32" s="50" t="n"/>
      <c r="N32" s="28">
        <f>IF($M32="","",IFERROR(INDEX(CONFIG!$C$4:$C$63,MATCH($M32,CONFIG!$A$4:$A$63,0)),"Media"))</f>
        <v/>
      </c>
      <c r="O32" s="28">
        <f>IF($M32="","",IF($C32="Interna","NO",IFERROR(INDEX(CONFIG!$E$4:$E$63,MATCH($M32,CONFIG!$A$4:$A$63,0)),"NO")))</f>
        <v/>
      </c>
      <c r="P32" s="50" t="n"/>
      <c r="Q32" s="50" t="n"/>
      <c r="R32" s="28">
        <f>IF($Q32="","",IFERROR(INDEX(CONFIG!$H$4:$H$63,MATCH($Q32,CONFIG!$G$4:$G$63,0)),"Por definir"))</f>
        <v/>
      </c>
      <c r="S32" s="28">
        <f>IF($Q32="","",IFERROR(INDEX(CONFIG!$I$4:$I$63,MATCH($Q32,CONFIG!$G$4:$G$63,0)),"Por definir"))</f>
        <v/>
      </c>
      <c r="T32" s="51" t="n"/>
      <c r="U32" s="52" t="n"/>
      <c r="V32" s="50" t="n"/>
      <c r="W32" s="50" t="n"/>
      <c r="X32" s="49">
        <f>IF(OR($B32="",$M32=""),"",WORKDAY($B32,IFERROR(INDEX(CONFIG!$D$4:$D$63,MATCH($M32,CONFIG!$A$4:$A$63,0)),3)))</f>
        <v/>
      </c>
      <c r="Y32" s="47" t="n"/>
      <c r="Z32" s="24">
        <f>IF($B32="","",IF($Y32&lt;&gt;"",$Y32-$B32,TODAY()-$B32))</f>
        <v/>
      </c>
      <c r="AA32" s="28">
        <f>IF($B32="","",IF(IFERROR(INDEX(CONFIG!$L$4:$L$63,MATCH($V32,CONFIG!$K$4:$K$63,0)),"NO")="SÍ",IF(OR($Y32="",$X32=""),"Resuelta",IF($Y32&gt;$X32,"Resuelta tarde","Resuelta a tiempo")),IF($X32="","Sin clasificar",IF(TODAY()&gt;$X32,"Vencida",IF(TODAY()&gt;=$X32-1,"Por vencer","En plazo")))))</f>
        <v/>
      </c>
      <c r="AB32" s="50" t="n"/>
      <c r="AC32" s="50" t="n"/>
    </row>
    <row r="33" ht="16" customHeight="1">
      <c r="A33" s="28">
        <f>IF($B33="","","N-"&amp;TEXT(ROW()-3,"0000"))</f>
        <v/>
      </c>
      <c r="B33" s="47" t="n"/>
      <c r="C33" s="48" t="n"/>
      <c r="D33" s="48" t="n"/>
      <c r="E33" s="28">
        <f>IF($C33="","",IF($D33="",IF($C33="Interna","Sin guía (interna)","FALTA GUÍA"),IF(COUNTIFS(ENVIOS!$A$4:$A$3003,$D33)=0,"NO EXISTE",IF(COUNTIFS(ENVIOS!$A$4:$A$3003,$D33)&gt;1,"DUPLICADA","OK"))))</f>
        <v/>
      </c>
      <c r="F33" s="28">
        <f>IF($D33="","",IFERROR(INDEX(ENVIOS!$B$4:$B$3003,MATCH($D33,ENVIOS!$A$4:$A$3003,0)),"—"))</f>
        <v/>
      </c>
      <c r="G33" s="23">
        <f>IF($D33="","",IFERROR(INDEX(ENVIOS!$D$4:$D$3003,MATCH($D33,ENVIOS!$A$4:$A$3003,0)),"—"))</f>
        <v/>
      </c>
      <c r="H33" s="23">
        <f>IF($D33="","",IFERROR(INDEX(ENVIOS!$E$4:$E$3003,MATCH($D33,ENVIOS!$A$4:$A$3003,0)),"—"))</f>
        <v/>
      </c>
      <c r="I33" s="23">
        <f>IF($D33="","",IFERROR(INDEX(ENVIOS!$F$4:$F$3003,MATCH($D33,ENVIOS!$A$4:$A$3003,0)),"—"))</f>
        <v/>
      </c>
      <c r="J33" s="23">
        <f>IF($D33="","",IFERROR(INDEX(ENVIOS!$G$4:$G$3003,MATCH($D33,ENVIOS!$A$4:$A$3003,0)),"—"))</f>
        <v/>
      </c>
      <c r="K33" s="28">
        <f>IF($D33="","",IFERROR(INDEX(ENVIOS!$H$4:$H$3003,MATCH($D33,ENVIOS!$A$4:$A$3003,0)),"—"))</f>
        <v/>
      </c>
      <c r="L33" s="49">
        <f>IF($D33="","",IFERROR(INDEX(ENVIOS!$C$4:$C$3003,MATCH($D33,ENVIOS!$A$4:$A$3003,0)),""))</f>
        <v/>
      </c>
      <c r="M33" s="50" t="n"/>
      <c r="N33" s="28">
        <f>IF($M33="","",IFERROR(INDEX(CONFIG!$C$4:$C$63,MATCH($M33,CONFIG!$A$4:$A$63,0)),"Media"))</f>
        <v/>
      </c>
      <c r="O33" s="28">
        <f>IF($M33="","",IF($C33="Interna","NO",IFERROR(INDEX(CONFIG!$E$4:$E$63,MATCH($M33,CONFIG!$A$4:$A$63,0)),"NO")))</f>
        <v/>
      </c>
      <c r="P33" s="50" t="n"/>
      <c r="Q33" s="50" t="n"/>
      <c r="R33" s="28">
        <f>IF($Q33="","",IFERROR(INDEX(CONFIG!$H$4:$H$63,MATCH($Q33,CONFIG!$G$4:$G$63,0)),"Por definir"))</f>
        <v/>
      </c>
      <c r="S33" s="28">
        <f>IF($Q33="","",IFERROR(INDEX(CONFIG!$I$4:$I$63,MATCH($Q33,CONFIG!$G$4:$G$63,0)),"Por definir"))</f>
        <v/>
      </c>
      <c r="T33" s="51" t="n"/>
      <c r="U33" s="52" t="n"/>
      <c r="V33" s="50" t="n"/>
      <c r="W33" s="50" t="n"/>
      <c r="X33" s="49">
        <f>IF(OR($B33="",$M33=""),"",WORKDAY($B33,IFERROR(INDEX(CONFIG!$D$4:$D$63,MATCH($M33,CONFIG!$A$4:$A$63,0)),3)))</f>
        <v/>
      </c>
      <c r="Y33" s="47" t="n"/>
      <c r="Z33" s="24">
        <f>IF($B33="","",IF($Y33&lt;&gt;"",$Y33-$B33,TODAY()-$B33))</f>
        <v/>
      </c>
      <c r="AA33" s="28">
        <f>IF($B33="","",IF(IFERROR(INDEX(CONFIG!$L$4:$L$63,MATCH($V33,CONFIG!$K$4:$K$63,0)),"NO")="SÍ",IF(OR($Y33="",$X33=""),"Resuelta",IF($Y33&gt;$X33,"Resuelta tarde","Resuelta a tiempo")),IF($X33="","Sin clasificar",IF(TODAY()&gt;$X33,"Vencida",IF(TODAY()&gt;=$X33-1,"Por vencer","En plazo")))))</f>
        <v/>
      </c>
      <c r="AB33" s="50" t="n"/>
      <c r="AC33" s="50" t="n"/>
    </row>
    <row r="34" ht="16" customHeight="1">
      <c r="A34" s="28">
        <f>IF($B34="","","N-"&amp;TEXT(ROW()-3,"0000"))</f>
        <v/>
      </c>
      <c r="B34" s="47" t="n"/>
      <c r="C34" s="48" t="n"/>
      <c r="D34" s="48" t="n"/>
      <c r="E34" s="28">
        <f>IF($C34="","",IF($D34="",IF($C34="Interna","Sin guía (interna)","FALTA GUÍA"),IF(COUNTIFS(ENVIOS!$A$4:$A$3003,$D34)=0,"NO EXISTE",IF(COUNTIFS(ENVIOS!$A$4:$A$3003,$D34)&gt;1,"DUPLICADA","OK"))))</f>
        <v/>
      </c>
      <c r="F34" s="28">
        <f>IF($D34="","",IFERROR(INDEX(ENVIOS!$B$4:$B$3003,MATCH($D34,ENVIOS!$A$4:$A$3003,0)),"—"))</f>
        <v/>
      </c>
      <c r="G34" s="23">
        <f>IF($D34="","",IFERROR(INDEX(ENVIOS!$D$4:$D$3003,MATCH($D34,ENVIOS!$A$4:$A$3003,0)),"—"))</f>
        <v/>
      </c>
      <c r="H34" s="23">
        <f>IF($D34="","",IFERROR(INDEX(ENVIOS!$E$4:$E$3003,MATCH($D34,ENVIOS!$A$4:$A$3003,0)),"—"))</f>
        <v/>
      </c>
      <c r="I34" s="23">
        <f>IF($D34="","",IFERROR(INDEX(ENVIOS!$F$4:$F$3003,MATCH($D34,ENVIOS!$A$4:$A$3003,0)),"—"))</f>
        <v/>
      </c>
      <c r="J34" s="23">
        <f>IF($D34="","",IFERROR(INDEX(ENVIOS!$G$4:$G$3003,MATCH($D34,ENVIOS!$A$4:$A$3003,0)),"—"))</f>
        <v/>
      </c>
      <c r="K34" s="28">
        <f>IF($D34="","",IFERROR(INDEX(ENVIOS!$H$4:$H$3003,MATCH($D34,ENVIOS!$A$4:$A$3003,0)),"—"))</f>
        <v/>
      </c>
      <c r="L34" s="49">
        <f>IF($D34="","",IFERROR(INDEX(ENVIOS!$C$4:$C$3003,MATCH($D34,ENVIOS!$A$4:$A$3003,0)),""))</f>
        <v/>
      </c>
      <c r="M34" s="50" t="n"/>
      <c r="N34" s="28">
        <f>IF($M34="","",IFERROR(INDEX(CONFIG!$C$4:$C$63,MATCH($M34,CONFIG!$A$4:$A$63,0)),"Media"))</f>
        <v/>
      </c>
      <c r="O34" s="28">
        <f>IF($M34="","",IF($C34="Interna","NO",IFERROR(INDEX(CONFIG!$E$4:$E$63,MATCH($M34,CONFIG!$A$4:$A$63,0)),"NO")))</f>
        <v/>
      </c>
      <c r="P34" s="50" t="n"/>
      <c r="Q34" s="50" t="n"/>
      <c r="R34" s="28">
        <f>IF($Q34="","",IFERROR(INDEX(CONFIG!$H$4:$H$63,MATCH($Q34,CONFIG!$G$4:$G$63,0)),"Por definir"))</f>
        <v/>
      </c>
      <c r="S34" s="28">
        <f>IF($Q34="","",IFERROR(INDEX(CONFIG!$I$4:$I$63,MATCH($Q34,CONFIG!$G$4:$G$63,0)),"Por definir"))</f>
        <v/>
      </c>
      <c r="T34" s="51" t="n"/>
      <c r="U34" s="52" t="n"/>
      <c r="V34" s="50" t="n"/>
      <c r="W34" s="50" t="n"/>
      <c r="X34" s="49">
        <f>IF(OR($B34="",$M34=""),"",WORKDAY($B34,IFERROR(INDEX(CONFIG!$D$4:$D$63,MATCH($M34,CONFIG!$A$4:$A$63,0)),3)))</f>
        <v/>
      </c>
      <c r="Y34" s="47" t="n"/>
      <c r="Z34" s="24">
        <f>IF($B34="","",IF($Y34&lt;&gt;"",$Y34-$B34,TODAY()-$B34))</f>
        <v/>
      </c>
      <c r="AA34" s="28">
        <f>IF($B34="","",IF(IFERROR(INDEX(CONFIG!$L$4:$L$63,MATCH($V34,CONFIG!$K$4:$K$63,0)),"NO")="SÍ",IF(OR($Y34="",$X34=""),"Resuelta",IF($Y34&gt;$X34,"Resuelta tarde","Resuelta a tiempo")),IF($X34="","Sin clasificar",IF(TODAY()&gt;$X34,"Vencida",IF(TODAY()&gt;=$X34-1,"Por vencer","En plazo")))))</f>
        <v/>
      </c>
      <c r="AB34" s="50" t="n"/>
      <c r="AC34" s="50" t="n"/>
    </row>
    <row r="35" ht="16" customHeight="1">
      <c r="A35" s="28">
        <f>IF($B35="","","N-"&amp;TEXT(ROW()-3,"0000"))</f>
        <v/>
      </c>
      <c r="B35" s="47" t="n"/>
      <c r="C35" s="48" t="n"/>
      <c r="D35" s="48" t="n"/>
      <c r="E35" s="28">
        <f>IF($C35="","",IF($D35="",IF($C35="Interna","Sin guía (interna)","FALTA GUÍA"),IF(COUNTIFS(ENVIOS!$A$4:$A$3003,$D35)=0,"NO EXISTE",IF(COUNTIFS(ENVIOS!$A$4:$A$3003,$D35)&gt;1,"DUPLICADA","OK"))))</f>
        <v/>
      </c>
      <c r="F35" s="28">
        <f>IF($D35="","",IFERROR(INDEX(ENVIOS!$B$4:$B$3003,MATCH($D35,ENVIOS!$A$4:$A$3003,0)),"—"))</f>
        <v/>
      </c>
      <c r="G35" s="23">
        <f>IF($D35="","",IFERROR(INDEX(ENVIOS!$D$4:$D$3003,MATCH($D35,ENVIOS!$A$4:$A$3003,0)),"—"))</f>
        <v/>
      </c>
      <c r="H35" s="23">
        <f>IF($D35="","",IFERROR(INDEX(ENVIOS!$E$4:$E$3003,MATCH($D35,ENVIOS!$A$4:$A$3003,0)),"—"))</f>
        <v/>
      </c>
      <c r="I35" s="23">
        <f>IF($D35="","",IFERROR(INDEX(ENVIOS!$F$4:$F$3003,MATCH($D35,ENVIOS!$A$4:$A$3003,0)),"—"))</f>
        <v/>
      </c>
      <c r="J35" s="23">
        <f>IF($D35="","",IFERROR(INDEX(ENVIOS!$G$4:$G$3003,MATCH($D35,ENVIOS!$A$4:$A$3003,0)),"—"))</f>
        <v/>
      </c>
      <c r="K35" s="28">
        <f>IF($D35="","",IFERROR(INDEX(ENVIOS!$H$4:$H$3003,MATCH($D35,ENVIOS!$A$4:$A$3003,0)),"—"))</f>
        <v/>
      </c>
      <c r="L35" s="49">
        <f>IF($D35="","",IFERROR(INDEX(ENVIOS!$C$4:$C$3003,MATCH($D35,ENVIOS!$A$4:$A$3003,0)),""))</f>
        <v/>
      </c>
      <c r="M35" s="50" t="n"/>
      <c r="N35" s="28">
        <f>IF($M35="","",IFERROR(INDEX(CONFIG!$C$4:$C$63,MATCH($M35,CONFIG!$A$4:$A$63,0)),"Media"))</f>
        <v/>
      </c>
      <c r="O35" s="28">
        <f>IF($M35="","",IF($C35="Interna","NO",IFERROR(INDEX(CONFIG!$E$4:$E$63,MATCH($M35,CONFIG!$A$4:$A$63,0)),"NO")))</f>
        <v/>
      </c>
      <c r="P35" s="50" t="n"/>
      <c r="Q35" s="50" t="n"/>
      <c r="R35" s="28">
        <f>IF($Q35="","",IFERROR(INDEX(CONFIG!$H$4:$H$63,MATCH($Q35,CONFIG!$G$4:$G$63,0)),"Por definir"))</f>
        <v/>
      </c>
      <c r="S35" s="28">
        <f>IF($Q35="","",IFERROR(INDEX(CONFIG!$I$4:$I$63,MATCH($Q35,CONFIG!$G$4:$G$63,0)),"Por definir"))</f>
        <v/>
      </c>
      <c r="T35" s="51" t="n"/>
      <c r="U35" s="52" t="n"/>
      <c r="V35" s="50" t="n"/>
      <c r="W35" s="50" t="n"/>
      <c r="X35" s="49">
        <f>IF(OR($B35="",$M35=""),"",WORKDAY($B35,IFERROR(INDEX(CONFIG!$D$4:$D$63,MATCH($M35,CONFIG!$A$4:$A$63,0)),3)))</f>
        <v/>
      </c>
      <c r="Y35" s="47" t="n"/>
      <c r="Z35" s="24">
        <f>IF($B35="","",IF($Y35&lt;&gt;"",$Y35-$B35,TODAY()-$B35))</f>
        <v/>
      </c>
      <c r="AA35" s="28">
        <f>IF($B35="","",IF(IFERROR(INDEX(CONFIG!$L$4:$L$63,MATCH($V35,CONFIG!$K$4:$K$63,0)),"NO")="SÍ",IF(OR($Y35="",$X35=""),"Resuelta",IF($Y35&gt;$X35,"Resuelta tarde","Resuelta a tiempo")),IF($X35="","Sin clasificar",IF(TODAY()&gt;$X35,"Vencida",IF(TODAY()&gt;=$X35-1,"Por vencer","En plazo")))))</f>
        <v/>
      </c>
      <c r="AB35" s="50" t="n"/>
      <c r="AC35" s="50" t="n"/>
    </row>
    <row r="36" ht="16" customHeight="1">
      <c r="A36" s="28">
        <f>IF($B36="","","N-"&amp;TEXT(ROW()-3,"0000"))</f>
        <v/>
      </c>
      <c r="B36" s="47" t="n"/>
      <c r="C36" s="48" t="n"/>
      <c r="D36" s="48" t="n"/>
      <c r="E36" s="28">
        <f>IF($C36="","",IF($D36="",IF($C36="Interna","Sin guía (interna)","FALTA GUÍA"),IF(COUNTIFS(ENVIOS!$A$4:$A$3003,$D36)=0,"NO EXISTE",IF(COUNTIFS(ENVIOS!$A$4:$A$3003,$D36)&gt;1,"DUPLICADA","OK"))))</f>
        <v/>
      </c>
      <c r="F36" s="28">
        <f>IF($D36="","",IFERROR(INDEX(ENVIOS!$B$4:$B$3003,MATCH($D36,ENVIOS!$A$4:$A$3003,0)),"—"))</f>
        <v/>
      </c>
      <c r="G36" s="23">
        <f>IF($D36="","",IFERROR(INDEX(ENVIOS!$D$4:$D$3003,MATCH($D36,ENVIOS!$A$4:$A$3003,0)),"—"))</f>
        <v/>
      </c>
      <c r="H36" s="23">
        <f>IF($D36="","",IFERROR(INDEX(ENVIOS!$E$4:$E$3003,MATCH($D36,ENVIOS!$A$4:$A$3003,0)),"—"))</f>
        <v/>
      </c>
      <c r="I36" s="23">
        <f>IF($D36="","",IFERROR(INDEX(ENVIOS!$F$4:$F$3003,MATCH($D36,ENVIOS!$A$4:$A$3003,0)),"—"))</f>
        <v/>
      </c>
      <c r="J36" s="23">
        <f>IF($D36="","",IFERROR(INDEX(ENVIOS!$G$4:$G$3003,MATCH($D36,ENVIOS!$A$4:$A$3003,0)),"—"))</f>
        <v/>
      </c>
      <c r="K36" s="28">
        <f>IF($D36="","",IFERROR(INDEX(ENVIOS!$H$4:$H$3003,MATCH($D36,ENVIOS!$A$4:$A$3003,0)),"—"))</f>
        <v/>
      </c>
      <c r="L36" s="49">
        <f>IF($D36="","",IFERROR(INDEX(ENVIOS!$C$4:$C$3003,MATCH($D36,ENVIOS!$A$4:$A$3003,0)),""))</f>
        <v/>
      </c>
      <c r="M36" s="50" t="n"/>
      <c r="N36" s="28">
        <f>IF($M36="","",IFERROR(INDEX(CONFIG!$C$4:$C$63,MATCH($M36,CONFIG!$A$4:$A$63,0)),"Media"))</f>
        <v/>
      </c>
      <c r="O36" s="28">
        <f>IF($M36="","",IF($C36="Interna","NO",IFERROR(INDEX(CONFIG!$E$4:$E$63,MATCH($M36,CONFIG!$A$4:$A$63,0)),"NO")))</f>
        <v/>
      </c>
      <c r="P36" s="50" t="n"/>
      <c r="Q36" s="50" t="n"/>
      <c r="R36" s="28">
        <f>IF($Q36="","",IFERROR(INDEX(CONFIG!$H$4:$H$63,MATCH($Q36,CONFIG!$G$4:$G$63,0)),"Por definir"))</f>
        <v/>
      </c>
      <c r="S36" s="28">
        <f>IF($Q36="","",IFERROR(INDEX(CONFIG!$I$4:$I$63,MATCH($Q36,CONFIG!$G$4:$G$63,0)),"Por definir"))</f>
        <v/>
      </c>
      <c r="T36" s="51" t="n"/>
      <c r="U36" s="52" t="n"/>
      <c r="V36" s="50" t="n"/>
      <c r="W36" s="50" t="n"/>
      <c r="X36" s="49">
        <f>IF(OR($B36="",$M36=""),"",WORKDAY($B36,IFERROR(INDEX(CONFIG!$D$4:$D$63,MATCH($M36,CONFIG!$A$4:$A$63,0)),3)))</f>
        <v/>
      </c>
      <c r="Y36" s="47" t="n"/>
      <c r="Z36" s="24">
        <f>IF($B36="","",IF($Y36&lt;&gt;"",$Y36-$B36,TODAY()-$B36))</f>
        <v/>
      </c>
      <c r="AA36" s="28">
        <f>IF($B36="","",IF(IFERROR(INDEX(CONFIG!$L$4:$L$63,MATCH($V36,CONFIG!$K$4:$K$63,0)),"NO")="SÍ",IF(OR($Y36="",$X36=""),"Resuelta",IF($Y36&gt;$X36,"Resuelta tarde","Resuelta a tiempo")),IF($X36="","Sin clasificar",IF(TODAY()&gt;$X36,"Vencida",IF(TODAY()&gt;=$X36-1,"Por vencer","En plazo")))))</f>
        <v/>
      </c>
      <c r="AB36" s="50" t="n"/>
      <c r="AC36" s="50" t="n"/>
    </row>
    <row r="37" ht="16" customHeight="1">
      <c r="A37" s="28">
        <f>IF($B37="","","N-"&amp;TEXT(ROW()-3,"0000"))</f>
        <v/>
      </c>
      <c r="B37" s="47" t="n"/>
      <c r="C37" s="48" t="n"/>
      <c r="D37" s="48" t="n"/>
      <c r="E37" s="28">
        <f>IF($C37="","",IF($D37="",IF($C37="Interna","Sin guía (interna)","FALTA GUÍA"),IF(COUNTIFS(ENVIOS!$A$4:$A$3003,$D37)=0,"NO EXISTE",IF(COUNTIFS(ENVIOS!$A$4:$A$3003,$D37)&gt;1,"DUPLICADA","OK"))))</f>
        <v/>
      </c>
      <c r="F37" s="28">
        <f>IF($D37="","",IFERROR(INDEX(ENVIOS!$B$4:$B$3003,MATCH($D37,ENVIOS!$A$4:$A$3003,0)),"—"))</f>
        <v/>
      </c>
      <c r="G37" s="23">
        <f>IF($D37="","",IFERROR(INDEX(ENVIOS!$D$4:$D$3003,MATCH($D37,ENVIOS!$A$4:$A$3003,0)),"—"))</f>
        <v/>
      </c>
      <c r="H37" s="23">
        <f>IF($D37="","",IFERROR(INDEX(ENVIOS!$E$4:$E$3003,MATCH($D37,ENVIOS!$A$4:$A$3003,0)),"—"))</f>
        <v/>
      </c>
      <c r="I37" s="23">
        <f>IF($D37="","",IFERROR(INDEX(ENVIOS!$F$4:$F$3003,MATCH($D37,ENVIOS!$A$4:$A$3003,0)),"—"))</f>
        <v/>
      </c>
      <c r="J37" s="23">
        <f>IF($D37="","",IFERROR(INDEX(ENVIOS!$G$4:$G$3003,MATCH($D37,ENVIOS!$A$4:$A$3003,0)),"—"))</f>
        <v/>
      </c>
      <c r="K37" s="28">
        <f>IF($D37="","",IFERROR(INDEX(ENVIOS!$H$4:$H$3003,MATCH($D37,ENVIOS!$A$4:$A$3003,0)),"—"))</f>
        <v/>
      </c>
      <c r="L37" s="49">
        <f>IF($D37="","",IFERROR(INDEX(ENVIOS!$C$4:$C$3003,MATCH($D37,ENVIOS!$A$4:$A$3003,0)),""))</f>
        <v/>
      </c>
      <c r="M37" s="50" t="n"/>
      <c r="N37" s="28">
        <f>IF($M37="","",IFERROR(INDEX(CONFIG!$C$4:$C$63,MATCH($M37,CONFIG!$A$4:$A$63,0)),"Media"))</f>
        <v/>
      </c>
      <c r="O37" s="28">
        <f>IF($M37="","",IF($C37="Interna","NO",IFERROR(INDEX(CONFIG!$E$4:$E$63,MATCH($M37,CONFIG!$A$4:$A$63,0)),"NO")))</f>
        <v/>
      </c>
      <c r="P37" s="50" t="n"/>
      <c r="Q37" s="50" t="n"/>
      <c r="R37" s="28">
        <f>IF($Q37="","",IFERROR(INDEX(CONFIG!$H$4:$H$63,MATCH($Q37,CONFIG!$G$4:$G$63,0)),"Por definir"))</f>
        <v/>
      </c>
      <c r="S37" s="28">
        <f>IF($Q37="","",IFERROR(INDEX(CONFIG!$I$4:$I$63,MATCH($Q37,CONFIG!$G$4:$G$63,0)),"Por definir"))</f>
        <v/>
      </c>
      <c r="T37" s="51" t="n"/>
      <c r="U37" s="52" t="n"/>
      <c r="V37" s="50" t="n"/>
      <c r="W37" s="50" t="n"/>
      <c r="X37" s="49">
        <f>IF(OR($B37="",$M37=""),"",WORKDAY($B37,IFERROR(INDEX(CONFIG!$D$4:$D$63,MATCH($M37,CONFIG!$A$4:$A$63,0)),3)))</f>
        <v/>
      </c>
      <c r="Y37" s="47" t="n"/>
      <c r="Z37" s="24">
        <f>IF($B37="","",IF($Y37&lt;&gt;"",$Y37-$B37,TODAY()-$B37))</f>
        <v/>
      </c>
      <c r="AA37" s="28">
        <f>IF($B37="","",IF(IFERROR(INDEX(CONFIG!$L$4:$L$63,MATCH($V37,CONFIG!$K$4:$K$63,0)),"NO")="SÍ",IF(OR($Y37="",$X37=""),"Resuelta",IF($Y37&gt;$X37,"Resuelta tarde","Resuelta a tiempo")),IF($X37="","Sin clasificar",IF(TODAY()&gt;$X37,"Vencida",IF(TODAY()&gt;=$X37-1,"Por vencer","En plazo")))))</f>
        <v/>
      </c>
      <c r="AB37" s="50" t="n"/>
      <c r="AC37" s="50" t="n"/>
    </row>
    <row r="38" ht="16" customHeight="1">
      <c r="A38" s="28">
        <f>IF($B38="","","N-"&amp;TEXT(ROW()-3,"0000"))</f>
        <v/>
      </c>
      <c r="B38" s="47" t="n"/>
      <c r="C38" s="48" t="n"/>
      <c r="D38" s="48" t="n"/>
      <c r="E38" s="28">
        <f>IF($C38="","",IF($D38="",IF($C38="Interna","Sin guía (interna)","FALTA GUÍA"),IF(COUNTIFS(ENVIOS!$A$4:$A$3003,$D38)=0,"NO EXISTE",IF(COUNTIFS(ENVIOS!$A$4:$A$3003,$D38)&gt;1,"DUPLICADA","OK"))))</f>
        <v/>
      </c>
      <c r="F38" s="28">
        <f>IF($D38="","",IFERROR(INDEX(ENVIOS!$B$4:$B$3003,MATCH($D38,ENVIOS!$A$4:$A$3003,0)),"—"))</f>
        <v/>
      </c>
      <c r="G38" s="23">
        <f>IF($D38="","",IFERROR(INDEX(ENVIOS!$D$4:$D$3003,MATCH($D38,ENVIOS!$A$4:$A$3003,0)),"—"))</f>
        <v/>
      </c>
      <c r="H38" s="23">
        <f>IF($D38="","",IFERROR(INDEX(ENVIOS!$E$4:$E$3003,MATCH($D38,ENVIOS!$A$4:$A$3003,0)),"—"))</f>
        <v/>
      </c>
      <c r="I38" s="23">
        <f>IF($D38="","",IFERROR(INDEX(ENVIOS!$F$4:$F$3003,MATCH($D38,ENVIOS!$A$4:$A$3003,0)),"—"))</f>
        <v/>
      </c>
      <c r="J38" s="23">
        <f>IF($D38="","",IFERROR(INDEX(ENVIOS!$G$4:$G$3003,MATCH($D38,ENVIOS!$A$4:$A$3003,0)),"—"))</f>
        <v/>
      </c>
      <c r="K38" s="28">
        <f>IF($D38="","",IFERROR(INDEX(ENVIOS!$H$4:$H$3003,MATCH($D38,ENVIOS!$A$4:$A$3003,0)),"—"))</f>
        <v/>
      </c>
      <c r="L38" s="49">
        <f>IF($D38="","",IFERROR(INDEX(ENVIOS!$C$4:$C$3003,MATCH($D38,ENVIOS!$A$4:$A$3003,0)),""))</f>
        <v/>
      </c>
      <c r="M38" s="50" t="n"/>
      <c r="N38" s="28">
        <f>IF($M38="","",IFERROR(INDEX(CONFIG!$C$4:$C$63,MATCH($M38,CONFIG!$A$4:$A$63,0)),"Media"))</f>
        <v/>
      </c>
      <c r="O38" s="28">
        <f>IF($M38="","",IF($C38="Interna","NO",IFERROR(INDEX(CONFIG!$E$4:$E$63,MATCH($M38,CONFIG!$A$4:$A$63,0)),"NO")))</f>
        <v/>
      </c>
      <c r="P38" s="50" t="n"/>
      <c r="Q38" s="50" t="n"/>
      <c r="R38" s="28">
        <f>IF($Q38="","",IFERROR(INDEX(CONFIG!$H$4:$H$63,MATCH($Q38,CONFIG!$G$4:$G$63,0)),"Por definir"))</f>
        <v/>
      </c>
      <c r="S38" s="28">
        <f>IF($Q38="","",IFERROR(INDEX(CONFIG!$I$4:$I$63,MATCH($Q38,CONFIG!$G$4:$G$63,0)),"Por definir"))</f>
        <v/>
      </c>
      <c r="T38" s="51" t="n"/>
      <c r="U38" s="52" t="n"/>
      <c r="V38" s="50" t="n"/>
      <c r="W38" s="50" t="n"/>
      <c r="X38" s="49">
        <f>IF(OR($B38="",$M38=""),"",WORKDAY($B38,IFERROR(INDEX(CONFIG!$D$4:$D$63,MATCH($M38,CONFIG!$A$4:$A$63,0)),3)))</f>
        <v/>
      </c>
      <c r="Y38" s="47" t="n"/>
      <c r="Z38" s="24">
        <f>IF($B38="","",IF($Y38&lt;&gt;"",$Y38-$B38,TODAY()-$B38))</f>
        <v/>
      </c>
      <c r="AA38" s="28">
        <f>IF($B38="","",IF(IFERROR(INDEX(CONFIG!$L$4:$L$63,MATCH($V38,CONFIG!$K$4:$K$63,0)),"NO")="SÍ",IF(OR($Y38="",$X38=""),"Resuelta",IF($Y38&gt;$X38,"Resuelta tarde","Resuelta a tiempo")),IF($X38="","Sin clasificar",IF(TODAY()&gt;$X38,"Vencida",IF(TODAY()&gt;=$X38-1,"Por vencer","En plazo")))))</f>
        <v/>
      </c>
      <c r="AB38" s="50" t="n"/>
      <c r="AC38" s="50" t="n"/>
    </row>
    <row r="39" ht="16" customHeight="1">
      <c r="A39" s="28">
        <f>IF($B39="","","N-"&amp;TEXT(ROW()-3,"0000"))</f>
        <v/>
      </c>
      <c r="B39" s="47" t="n"/>
      <c r="C39" s="48" t="n"/>
      <c r="D39" s="48" t="n"/>
      <c r="E39" s="28">
        <f>IF($C39="","",IF($D39="",IF($C39="Interna","Sin guía (interna)","FALTA GUÍA"),IF(COUNTIFS(ENVIOS!$A$4:$A$3003,$D39)=0,"NO EXISTE",IF(COUNTIFS(ENVIOS!$A$4:$A$3003,$D39)&gt;1,"DUPLICADA","OK"))))</f>
        <v/>
      </c>
      <c r="F39" s="28">
        <f>IF($D39="","",IFERROR(INDEX(ENVIOS!$B$4:$B$3003,MATCH($D39,ENVIOS!$A$4:$A$3003,0)),"—"))</f>
        <v/>
      </c>
      <c r="G39" s="23">
        <f>IF($D39="","",IFERROR(INDEX(ENVIOS!$D$4:$D$3003,MATCH($D39,ENVIOS!$A$4:$A$3003,0)),"—"))</f>
        <v/>
      </c>
      <c r="H39" s="23">
        <f>IF($D39="","",IFERROR(INDEX(ENVIOS!$E$4:$E$3003,MATCH($D39,ENVIOS!$A$4:$A$3003,0)),"—"))</f>
        <v/>
      </c>
      <c r="I39" s="23">
        <f>IF($D39="","",IFERROR(INDEX(ENVIOS!$F$4:$F$3003,MATCH($D39,ENVIOS!$A$4:$A$3003,0)),"—"))</f>
        <v/>
      </c>
      <c r="J39" s="23">
        <f>IF($D39="","",IFERROR(INDEX(ENVIOS!$G$4:$G$3003,MATCH($D39,ENVIOS!$A$4:$A$3003,0)),"—"))</f>
        <v/>
      </c>
      <c r="K39" s="28">
        <f>IF($D39="","",IFERROR(INDEX(ENVIOS!$H$4:$H$3003,MATCH($D39,ENVIOS!$A$4:$A$3003,0)),"—"))</f>
        <v/>
      </c>
      <c r="L39" s="49">
        <f>IF($D39="","",IFERROR(INDEX(ENVIOS!$C$4:$C$3003,MATCH($D39,ENVIOS!$A$4:$A$3003,0)),""))</f>
        <v/>
      </c>
      <c r="M39" s="50" t="n"/>
      <c r="N39" s="28">
        <f>IF($M39="","",IFERROR(INDEX(CONFIG!$C$4:$C$63,MATCH($M39,CONFIG!$A$4:$A$63,0)),"Media"))</f>
        <v/>
      </c>
      <c r="O39" s="28">
        <f>IF($M39="","",IF($C39="Interna","NO",IFERROR(INDEX(CONFIG!$E$4:$E$63,MATCH($M39,CONFIG!$A$4:$A$63,0)),"NO")))</f>
        <v/>
      </c>
      <c r="P39" s="50" t="n"/>
      <c r="Q39" s="50" t="n"/>
      <c r="R39" s="28">
        <f>IF($Q39="","",IFERROR(INDEX(CONFIG!$H$4:$H$63,MATCH($Q39,CONFIG!$G$4:$G$63,0)),"Por definir"))</f>
        <v/>
      </c>
      <c r="S39" s="28">
        <f>IF($Q39="","",IFERROR(INDEX(CONFIG!$I$4:$I$63,MATCH($Q39,CONFIG!$G$4:$G$63,0)),"Por definir"))</f>
        <v/>
      </c>
      <c r="T39" s="51" t="n"/>
      <c r="U39" s="52" t="n"/>
      <c r="V39" s="50" t="n"/>
      <c r="W39" s="50" t="n"/>
      <c r="X39" s="49">
        <f>IF(OR($B39="",$M39=""),"",WORKDAY($B39,IFERROR(INDEX(CONFIG!$D$4:$D$63,MATCH($M39,CONFIG!$A$4:$A$63,0)),3)))</f>
        <v/>
      </c>
      <c r="Y39" s="47" t="n"/>
      <c r="Z39" s="24">
        <f>IF($B39="","",IF($Y39&lt;&gt;"",$Y39-$B39,TODAY()-$B39))</f>
        <v/>
      </c>
      <c r="AA39" s="28">
        <f>IF($B39="","",IF(IFERROR(INDEX(CONFIG!$L$4:$L$63,MATCH($V39,CONFIG!$K$4:$K$63,0)),"NO")="SÍ",IF(OR($Y39="",$X39=""),"Resuelta",IF($Y39&gt;$X39,"Resuelta tarde","Resuelta a tiempo")),IF($X39="","Sin clasificar",IF(TODAY()&gt;$X39,"Vencida",IF(TODAY()&gt;=$X39-1,"Por vencer","En plazo")))))</f>
        <v/>
      </c>
      <c r="AB39" s="50" t="n"/>
      <c r="AC39" s="50" t="n"/>
    </row>
    <row r="40" ht="16" customHeight="1">
      <c r="A40" s="28">
        <f>IF($B40="","","N-"&amp;TEXT(ROW()-3,"0000"))</f>
        <v/>
      </c>
      <c r="B40" s="47" t="n"/>
      <c r="C40" s="48" t="n"/>
      <c r="D40" s="48" t="n"/>
      <c r="E40" s="28">
        <f>IF($C40="","",IF($D40="",IF($C40="Interna","Sin guía (interna)","FALTA GUÍA"),IF(COUNTIFS(ENVIOS!$A$4:$A$3003,$D40)=0,"NO EXISTE",IF(COUNTIFS(ENVIOS!$A$4:$A$3003,$D40)&gt;1,"DUPLICADA","OK"))))</f>
        <v/>
      </c>
      <c r="F40" s="28">
        <f>IF($D40="","",IFERROR(INDEX(ENVIOS!$B$4:$B$3003,MATCH($D40,ENVIOS!$A$4:$A$3003,0)),"—"))</f>
        <v/>
      </c>
      <c r="G40" s="23">
        <f>IF($D40="","",IFERROR(INDEX(ENVIOS!$D$4:$D$3003,MATCH($D40,ENVIOS!$A$4:$A$3003,0)),"—"))</f>
        <v/>
      </c>
      <c r="H40" s="23">
        <f>IF($D40="","",IFERROR(INDEX(ENVIOS!$E$4:$E$3003,MATCH($D40,ENVIOS!$A$4:$A$3003,0)),"—"))</f>
        <v/>
      </c>
      <c r="I40" s="23">
        <f>IF($D40="","",IFERROR(INDEX(ENVIOS!$F$4:$F$3003,MATCH($D40,ENVIOS!$A$4:$A$3003,0)),"—"))</f>
        <v/>
      </c>
      <c r="J40" s="23">
        <f>IF($D40="","",IFERROR(INDEX(ENVIOS!$G$4:$G$3003,MATCH($D40,ENVIOS!$A$4:$A$3003,0)),"—"))</f>
        <v/>
      </c>
      <c r="K40" s="28">
        <f>IF($D40="","",IFERROR(INDEX(ENVIOS!$H$4:$H$3003,MATCH($D40,ENVIOS!$A$4:$A$3003,0)),"—"))</f>
        <v/>
      </c>
      <c r="L40" s="49">
        <f>IF($D40="","",IFERROR(INDEX(ENVIOS!$C$4:$C$3003,MATCH($D40,ENVIOS!$A$4:$A$3003,0)),""))</f>
        <v/>
      </c>
      <c r="M40" s="50" t="n"/>
      <c r="N40" s="28">
        <f>IF($M40="","",IFERROR(INDEX(CONFIG!$C$4:$C$63,MATCH($M40,CONFIG!$A$4:$A$63,0)),"Media"))</f>
        <v/>
      </c>
      <c r="O40" s="28">
        <f>IF($M40="","",IF($C40="Interna","NO",IFERROR(INDEX(CONFIG!$E$4:$E$63,MATCH($M40,CONFIG!$A$4:$A$63,0)),"NO")))</f>
        <v/>
      </c>
      <c r="P40" s="50" t="n"/>
      <c r="Q40" s="50" t="n"/>
      <c r="R40" s="28">
        <f>IF($Q40="","",IFERROR(INDEX(CONFIG!$H$4:$H$63,MATCH($Q40,CONFIG!$G$4:$G$63,0)),"Por definir"))</f>
        <v/>
      </c>
      <c r="S40" s="28">
        <f>IF($Q40="","",IFERROR(INDEX(CONFIG!$I$4:$I$63,MATCH($Q40,CONFIG!$G$4:$G$63,0)),"Por definir"))</f>
        <v/>
      </c>
      <c r="T40" s="51" t="n"/>
      <c r="U40" s="52" t="n"/>
      <c r="V40" s="50" t="n"/>
      <c r="W40" s="50" t="n"/>
      <c r="X40" s="49">
        <f>IF(OR($B40="",$M40=""),"",WORKDAY($B40,IFERROR(INDEX(CONFIG!$D$4:$D$63,MATCH($M40,CONFIG!$A$4:$A$63,0)),3)))</f>
        <v/>
      </c>
      <c r="Y40" s="47" t="n"/>
      <c r="Z40" s="24">
        <f>IF($B40="","",IF($Y40&lt;&gt;"",$Y40-$B40,TODAY()-$B40))</f>
        <v/>
      </c>
      <c r="AA40" s="28">
        <f>IF($B40="","",IF(IFERROR(INDEX(CONFIG!$L$4:$L$63,MATCH($V40,CONFIG!$K$4:$K$63,0)),"NO")="SÍ",IF(OR($Y40="",$X40=""),"Resuelta",IF($Y40&gt;$X40,"Resuelta tarde","Resuelta a tiempo")),IF($X40="","Sin clasificar",IF(TODAY()&gt;$X40,"Vencida",IF(TODAY()&gt;=$X40-1,"Por vencer","En plazo")))))</f>
        <v/>
      </c>
      <c r="AB40" s="50" t="n"/>
      <c r="AC40" s="50" t="n"/>
    </row>
    <row r="41" ht="16" customHeight="1">
      <c r="A41" s="28">
        <f>IF($B41="","","N-"&amp;TEXT(ROW()-3,"0000"))</f>
        <v/>
      </c>
      <c r="B41" s="47" t="n"/>
      <c r="C41" s="48" t="n"/>
      <c r="D41" s="48" t="n"/>
      <c r="E41" s="28">
        <f>IF($C41="","",IF($D41="",IF($C41="Interna","Sin guía (interna)","FALTA GUÍA"),IF(COUNTIFS(ENVIOS!$A$4:$A$3003,$D41)=0,"NO EXISTE",IF(COUNTIFS(ENVIOS!$A$4:$A$3003,$D41)&gt;1,"DUPLICADA","OK"))))</f>
        <v/>
      </c>
      <c r="F41" s="28">
        <f>IF($D41="","",IFERROR(INDEX(ENVIOS!$B$4:$B$3003,MATCH($D41,ENVIOS!$A$4:$A$3003,0)),"—"))</f>
        <v/>
      </c>
      <c r="G41" s="23">
        <f>IF($D41="","",IFERROR(INDEX(ENVIOS!$D$4:$D$3003,MATCH($D41,ENVIOS!$A$4:$A$3003,0)),"—"))</f>
        <v/>
      </c>
      <c r="H41" s="23">
        <f>IF($D41="","",IFERROR(INDEX(ENVIOS!$E$4:$E$3003,MATCH($D41,ENVIOS!$A$4:$A$3003,0)),"—"))</f>
        <v/>
      </c>
      <c r="I41" s="23">
        <f>IF($D41="","",IFERROR(INDEX(ENVIOS!$F$4:$F$3003,MATCH($D41,ENVIOS!$A$4:$A$3003,0)),"—"))</f>
        <v/>
      </c>
      <c r="J41" s="23">
        <f>IF($D41="","",IFERROR(INDEX(ENVIOS!$G$4:$G$3003,MATCH($D41,ENVIOS!$A$4:$A$3003,0)),"—"))</f>
        <v/>
      </c>
      <c r="K41" s="28">
        <f>IF($D41="","",IFERROR(INDEX(ENVIOS!$H$4:$H$3003,MATCH($D41,ENVIOS!$A$4:$A$3003,0)),"—"))</f>
        <v/>
      </c>
      <c r="L41" s="49">
        <f>IF($D41="","",IFERROR(INDEX(ENVIOS!$C$4:$C$3003,MATCH($D41,ENVIOS!$A$4:$A$3003,0)),""))</f>
        <v/>
      </c>
      <c r="M41" s="50" t="n"/>
      <c r="N41" s="28">
        <f>IF($M41="","",IFERROR(INDEX(CONFIG!$C$4:$C$63,MATCH($M41,CONFIG!$A$4:$A$63,0)),"Media"))</f>
        <v/>
      </c>
      <c r="O41" s="28">
        <f>IF($M41="","",IF($C41="Interna","NO",IFERROR(INDEX(CONFIG!$E$4:$E$63,MATCH($M41,CONFIG!$A$4:$A$63,0)),"NO")))</f>
        <v/>
      </c>
      <c r="P41" s="50" t="n"/>
      <c r="Q41" s="50" t="n"/>
      <c r="R41" s="28">
        <f>IF($Q41="","",IFERROR(INDEX(CONFIG!$H$4:$H$63,MATCH($Q41,CONFIG!$G$4:$G$63,0)),"Por definir"))</f>
        <v/>
      </c>
      <c r="S41" s="28">
        <f>IF($Q41="","",IFERROR(INDEX(CONFIG!$I$4:$I$63,MATCH($Q41,CONFIG!$G$4:$G$63,0)),"Por definir"))</f>
        <v/>
      </c>
      <c r="T41" s="51" t="n"/>
      <c r="U41" s="52" t="n"/>
      <c r="V41" s="50" t="n"/>
      <c r="W41" s="50" t="n"/>
      <c r="X41" s="49">
        <f>IF(OR($B41="",$M41=""),"",WORKDAY($B41,IFERROR(INDEX(CONFIG!$D$4:$D$63,MATCH($M41,CONFIG!$A$4:$A$63,0)),3)))</f>
        <v/>
      </c>
      <c r="Y41" s="47" t="n"/>
      <c r="Z41" s="24">
        <f>IF($B41="","",IF($Y41&lt;&gt;"",$Y41-$B41,TODAY()-$B41))</f>
        <v/>
      </c>
      <c r="AA41" s="28">
        <f>IF($B41="","",IF(IFERROR(INDEX(CONFIG!$L$4:$L$63,MATCH($V41,CONFIG!$K$4:$K$63,0)),"NO")="SÍ",IF(OR($Y41="",$X41=""),"Resuelta",IF($Y41&gt;$X41,"Resuelta tarde","Resuelta a tiempo")),IF($X41="","Sin clasificar",IF(TODAY()&gt;$X41,"Vencida",IF(TODAY()&gt;=$X41-1,"Por vencer","En plazo")))))</f>
        <v/>
      </c>
      <c r="AB41" s="50" t="n"/>
      <c r="AC41" s="50" t="n"/>
    </row>
    <row r="42" ht="16" customHeight="1">
      <c r="A42" s="28">
        <f>IF($B42="","","N-"&amp;TEXT(ROW()-3,"0000"))</f>
        <v/>
      </c>
      <c r="B42" s="47" t="n"/>
      <c r="C42" s="48" t="n"/>
      <c r="D42" s="48" t="n"/>
      <c r="E42" s="28">
        <f>IF($C42="","",IF($D42="",IF($C42="Interna","Sin guía (interna)","FALTA GUÍA"),IF(COUNTIFS(ENVIOS!$A$4:$A$3003,$D42)=0,"NO EXISTE",IF(COUNTIFS(ENVIOS!$A$4:$A$3003,$D42)&gt;1,"DUPLICADA","OK"))))</f>
        <v/>
      </c>
      <c r="F42" s="28">
        <f>IF($D42="","",IFERROR(INDEX(ENVIOS!$B$4:$B$3003,MATCH($D42,ENVIOS!$A$4:$A$3003,0)),"—"))</f>
        <v/>
      </c>
      <c r="G42" s="23">
        <f>IF($D42="","",IFERROR(INDEX(ENVIOS!$D$4:$D$3003,MATCH($D42,ENVIOS!$A$4:$A$3003,0)),"—"))</f>
        <v/>
      </c>
      <c r="H42" s="23">
        <f>IF($D42="","",IFERROR(INDEX(ENVIOS!$E$4:$E$3003,MATCH($D42,ENVIOS!$A$4:$A$3003,0)),"—"))</f>
        <v/>
      </c>
      <c r="I42" s="23">
        <f>IF($D42="","",IFERROR(INDEX(ENVIOS!$F$4:$F$3003,MATCH($D42,ENVIOS!$A$4:$A$3003,0)),"—"))</f>
        <v/>
      </c>
      <c r="J42" s="23">
        <f>IF($D42="","",IFERROR(INDEX(ENVIOS!$G$4:$G$3003,MATCH($D42,ENVIOS!$A$4:$A$3003,0)),"—"))</f>
        <v/>
      </c>
      <c r="K42" s="28">
        <f>IF($D42="","",IFERROR(INDEX(ENVIOS!$H$4:$H$3003,MATCH($D42,ENVIOS!$A$4:$A$3003,0)),"—"))</f>
        <v/>
      </c>
      <c r="L42" s="49">
        <f>IF($D42="","",IFERROR(INDEX(ENVIOS!$C$4:$C$3003,MATCH($D42,ENVIOS!$A$4:$A$3003,0)),""))</f>
        <v/>
      </c>
      <c r="M42" s="50" t="n"/>
      <c r="N42" s="28">
        <f>IF($M42="","",IFERROR(INDEX(CONFIG!$C$4:$C$63,MATCH($M42,CONFIG!$A$4:$A$63,0)),"Media"))</f>
        <v/>
      </c>
      <c r="O42" s="28">
        <f>IF($M42="","",IF($C42="Interna","NO",IFERROR(INDEX(CONFIG!$E$4:$E$63,MATCH($M42,CONFIG!$A$4:$A$63,0)),"NO")))</f>
        <v/>
      </c>
      <c r="P42" s="50" t="n"/>
      <c r="Q42" s="50" t="n"/>
      <c r="R42" s="28">
        <f>IF($Q42="","",IFERROR(INDEX(CONFIG!$H$4:$H$63,MATCH($Q42,CONFIG!$G$4:$G$63,0)),"Por definir"))</f>
        <v/>
      </c>
      <c r="S42" s="28">
        <f>IF($Q42="","",IFERROR(INDEX(CONFIG!$I$4:$I$63,MATCH($Q42,CONFIG!$G$4:$G$63,0)),"Por definir"))</f>
        <v/>
      </c>
      <c r="T42" s="51" t="n"/>
      <c r="U42" s="52" t="n"/>
      <c r="V42" s="50" t="n"/>
      <c r="W42" s="50" t="n"/>
      <c r="X42" s="49">
        <f>IF(OR($B42="",$M42=""),"",WORKDAY($B42,IFERROR(INDEX(CONFIG!$D$4:$D$63,MATCH($M42,CONFIG!$A$4:$A$63,0)),3)))</f>
        <v/>
      </c>
      <c r="Y42" s="47" t="n"/>
      <c r="Z42" s="24">
        <f>IF($B42="","",IF($Y42&lt;&gt;"",$Y42-$B42,TODAY()-$B42))</f>
        <v/>
      </c>
      <c r="AA42" s="28">
        <f>IF($B42="","",IF(IFERROR(INDEX(CONFIG!$L$4:$L$63,MATCH($V42,CONFIG!$K$4:$K$63,0)),"NO")="SÍ",IF(OR($Y42="",$X42=""),"Resuelta",IF($Y42&gt;$X42,"Resuelta tarde","Resuelta a tiempo")),IF($X42="","Sin clasificar",IF(TODAY()&gt;$X42,"Vencida",IF(TODAY()&gt;=$X42-1,"Por vencer","En plazo")))))</f>
        <v/>
      </c>
      <c r="AB42" s="50" t="n"/>
      <c r="AC42" s="50" t="n"/>
    </row>
    <row r="43" ht="16" customHeight="1">
      <c r="A43" s="28">
        <f>IF($B43="","","N-"&amp;TEXT(ROW()-3,"0000"))</f>
        <v/>
      </c>
      <c r="B43" s="47" t="n"/>
      <c r="C43" s="48" t="n"/>
      <c r="D43" s="48" t="n"/>
      <c r="E43" s="28">
        <f>IF($C43="","",IF($D43="",IF($C43="Interna","Sin guía (interna)","FALTA GUÍA"),IF(COUNTIFS(ENVIOS!$A$4:$A$3003,$D43)=0,"NO EXISTE",IF(COUNTIFS(ENVIOS!$A$4:$A$3003,$D43)&gt;1,"DUPLICADA","OK"))))</f>
        <v/>
      </c>
      <c r="F43" s="28">
        <f>IF($D43="","",IFERROR(INDEX(ENVIOS!$B$4:$B$3003,MATCH($D43,ENVIOS!$A$4:$A$3003,0)),"—"))</f>
        <v/>
      </c>
      <c r="G43" s="23">
        <f>IF($D43="","",IFERROR(INDEX(ENVIOS!$D$4:$D$3003,MATCH($D43,ENVIOS!$A$4:$A$3003,0)),"—"))</f>
        <v/>
      </c>
      <c r="H43" s="23">
        <f>IF($D43="","",IFERROR(INDEX(ENVIOS!$E$4:$E$3003,MATCH($D43,ENVIOS!$A$4:$A$3003,0)),"—"))</f>
        <v/>
      </c>
      <c r="I43" s="23">
        <f>IF($D43="","",IFERROR(INDEX(ENVIOS!$F$4:$F$3003,MATCH($D43,ENVIOS!$A$4:$A$3003,0)),"—"))</f>
        <v/>
      </c>
      <c r="J43" s="23">
        <f>IF($D43="","",IFERROR(INDEX(ENVIOS!$G$4:$G$3003,MATCH($D43,ENVIOS!$A$4:$A$3003,0)),"—"))</f>
        <v/>
      </c>
      <c r="K43" s="28">
        <f>IF($D43="","",IFERROR(INDEX(ENVIOS!$H$4:$H$3003,MATCH($D43,ENVIOS!$A$4:$A$3003,0)),"—"))</f>
        <v/>
      </c>
      <c r="L43" s="49">
        <f>IF($D43="","",IFERROR(INDEX(ENVIOS!$C$4:$C$3003,MATCH($D43,ENVIOS!$A$4:$A$3003,0)),""))</f>
        <v/>
      </c>
      <c r="M43" s="50" t="n"/>
      <c r="N43" s="28">
        <f>IF($M43="","",IFERROR(INDEX(CONFIG!$C$4:$C$63,MATCH($M43,CONFIG!$A$4:$A$63,0)),"Media"))</f>
        <v/>
      </c>
      <c r="O43" s="28">
        <f>IF($M43="","",IF($C43="Interna","NO",IFERROR(INDEX(CONFIG!$E$4:$E$63,MATCH($M43,CONFIG!$A$4:$A$63,0)),"NO")))</f>
        <v/>
      </c>
      <c r="P43" s="50" t="n"/>
      <c r="Q43" s="50" t="n"/>
      <c r="R43" s="28">
        <f>IF($Q43="","",IFERROR(INDEX(CONFIG!$H$4:$H$63,MATCH($Q43,CONFIG!$G$4:$G$63,0)),"Por definir"))</f>
        <v/>
      </c>
      <c r="S43" s="28">
        <f>IF($Q43="","",IFERROR(INDEX(CONFIG!$I$4:$I$63,MATCH($Q43,CONFIG!$G$4:$G$63,0)),"Por definir"))</f>
        <v/>
      </c>
      <c r="T43" s="51" t="n"/>
      <c r="U43" s="52" t="n"/>
      <c r="V43" s="50" t="n"/>
      <c r="W43" s="50" t="n"/>
      <c r="X43" s="49">
        <f>IF(OR($B43="",$M43=""),"",WORKDAY($B43,IFERROR(INDEX(CONFIG!$D$4:$D$63,MATCH($M43,CONFIG!$A$4:$A$63,0)),3)))</f>
        <v/>
      </c>
      <c r="Y43" s="47" t="n"/>
      <c r="Z43" s="24">
        <f>IF($B43="","",IF($Y43&lt;&gt;"",$Y43-$B43,TODAY()-$B43))</f>
        <v/>
      </c>
      <c r="AA43" s="28">
        <f>IF($B43="","",IF(IFERROR(INDEX(CONFIG!$L$4:$L$63,MATCH($V43,CONFIG!$K$4:$K$63,0)),"NO")="SÍ",IF(OR($Y43="",$X43=""),"Resuelta",IF($Y43&gt;$X43,"Resuelta tarde","Resuelta a tiempo")),IF($X43="","Sin clasificar",IF(TODAY()&gt;$X43,"Vencida",IF(TODAY()&gt;=$X43-1,"Por vencer","En plazo")))))</f>
        <v/>
      </c>
      <c r="AB43" s="50" t="n"/>
      <c r="AC43" s="50" t="n"/>
    </row>
    <row r="44" ht="16" customHeight="1">
      <c r="A44" s="28">
        <f>IF($B44="","","N-"&amp;TEXT(ROW()-3,"0000"))</f>
        <v/>
      </c>
      <c r="B44" s="47" t="n"/>
      <c r="C44" s="48" t="n"/>
      <c r="D44" s="48" t="n"/>
      <c r="E44" s="28">
        <f>IF($C44="","",IF($D44="",IF($C44="Interna","Sin guía (interna)","FALTA GUÍA"),IF(COUNTIFS(ENVIOS!$A$4:$A$3003,$D44)=0,"NO EXISTE",IF(COUNTIFS(ENVIOS!$A$4:$A$3003,$D44)&gt;1,"DUPLICADA","OK"))))</f>
        <v/>
      </c>
      <c r="F44" s="28">
        <f>IF($D44="","",IFERROR(INDEX(ENVIOS!$B$4:$B$3003,MATCH($D44,ENVIOS!$A$4:$A$3003,0)),"—"))</f>
        <v/>
      </c>
      <c r="G44" s="23">
        <f>IF($D44="","",IFERROR(INDEX(ENVIOS!$D$4:$D$3003,MATCH($D44,ENVIOS!$A$4:$A$3003,0)),"—"))</f>
        <v/>
      </c>
      <c r="H44" s="23">
        <f>IF($D44="","",IFERROR(INDEX(ENVIOS!$E$4:$E$3003,MATCH($D44,ENVIOS!$A$4:$A$3003,0)),"—"))</f>
        <v/>
      </c>
      <c r="I44" s="23">
        <f>IF($D44="","",IFERROR(INDEX(ENVIOS!$F$4:$F$3003,MATCH($D44,ENVIOS!$A$4:$A$3003,0)),"—"))</f>
        <v/>
      </c>
      <c r="J44" s="23">
        <f>IF($D44="","",IFERROR(INDEX(ENVIOS!$G$4:$G$3003,MATCH($D44,ENVIOS!$A$4:$A$3003,0)),"—"))</f>
        <v/>
      </c>
      <c r="K44" s="28">
        <f>IF($D44="","",IFERROR(INDEX(ENVIOS!$H$4:$H$3003,MATCH($D44,ENVIOS!$A$4:$A$3003,0)),"—"))</f>
        <v/>
      </c>
      <c r="L44" s="49">
        <f>IF($D44="","",IFERROR(INDEX(ENVIOS!$C$4:$C$3003,MATCH($D44,ENVIOS!$A$4:$A$3003,0)),""))</f>
        <v/>
      </c>
      <c r="M44" s="50" t="n"/>
      <c r="N44" s="28">
        <f>IF($M44="","",IFERROR(INDEX(CONFIG!$C$4:$C$63,MATCH($M44,CONFIG!$A$4:$A$63,0)),"Media"))</f>
        <v/>
      </c>
      <c r="O44" s="28">
        <f>IF($M44="","",IF($C44="Interna","NO",IFERROR(INDEX(CONFIG!$E$4:$E$63,MATCH($M44,CONFIG!$A$4:$A$63,0)),"NO")))</f>
        <v/>
      </c>
      <c r="P44" s="50" t="n"/>
      <c r="Q44" s="50" t="n"/>
      <c r="R44" s="28">
        <f>IF($Q44="","",IFERROR(INDEX(CONFIG!$H$4:$H$63,MATCH($Q44,CONFIG!$G$4:$G$63,0)),"Por definir"))</f>
        <v/>
      </c>
      <c r="S44" s="28">
        <f>IF($Q44="","",IFERROR(INDEX(CONFIG!$I$4:$I$63,MATCH($Q44,CONFIG!$G$4:$G$63,0)),"Por definir"))</f>
        <v/>
      </c>
      <c r="T44" s="51" t="n"/>
      <c r="U44" s="52" t="n"/>
      <c r="V44" s="50" t="n"/>
      <c r="W44" s="50" t="n"/>
      <c r="X44" s="49">
        <f>IF(OR($B44="",$M44=""),"",WORKDAY($B44,IFERROR(INDEX(CONFIG!$D$4:$D$63,MATCH($M44,CONFIG!$A$4:$A$63,0)),3)))</f>
        <v/>
      </c>
      <c r="Y44" s="47" t="n"/>
      <c r="Z44" s="24">
        <f>IF($B44="","",IF($Y44&lt;&gt;"",$Y44-$B44,TODAY()-$B44))</f>
        <v/>
      </c>
      <c r="AA44" s="28">
        <f>IF($B44="","",IF(IFERROR(INDEX(CONFIG!$L$4:$L$63,MATCH($V44,CONFIG!$K$4:$K$63,0)),"NO")="SÍ",IF(OR($Y44="",$X44=""),"Resuelta",IF($Y44&gt;$X44,"Resuelta tarde","Resuelta a tiempo")),IF($X44="","Sin clasificar",IF(TODAY()&gt;$X44,"Vencida",IF(TODAY()&gt;=$X44-1,"Por vencer","En plazo")))))</f>
        <v/>
      </c>
      <c r="AB44" s="50" t="n"/>
      <c r="AC44" s="50" t="n"/>
    </row>
    <row r="45" ht="16" customHeight="1">
      <c r="A45" s="28">
        <f>IF($B45="","","N-"&amp;TEXT(ROW()-3,"0000"))</f>
        <v/>
      </c>
      <c r="B45" s="47" t="n"/>
      <c r="C45" s="48" t="n"/>
      <c r="D45" s="48" t="n"/>
      <c r="E45" s="28">
        <f>IF($C45="","",IF($D45="",IF($C45="Interna","Sin guía (interna)","FALTA GUÍA"),IF(COUNTIFS(ENVIOS!$A$4:$A$3003,$D45)=0,"NO EXISTE",IF(COUNTIFS(ENVIOS!$A$4:$A$3003,$D45)&gt;1,"DUPLICADA","OK"))))</f>
        <v/>
      </c>
      <c r="F45" s="28">
        <f>IF($D45="","",IFERROR(INDEX(ENVIOS!$B$4:$B$3003,MATCH($D45,ENVIOS!$A$4:$A$3003,0)),"—"))</f>
        <v/>
      </c>
      <c r="G45" s="23">
        <f>IF($D45="","",IFERROR(INDEX(ENVIOS!$D$4:$D$3003,MATCH($D45,ENVIOS!$A$4:$A$3003,0)),"—"))</f>
        <v/>
      </c>
      <c r="H45" s="23">
        <f>IF($D45="","",IFERROR(INDEX(ENVIOS!$E$4:$E$3003,MATCH($D45,ENVIOS!$A$4:$A$3003,0)),"—"))</f>
        <v/>
      </c>
      <c r="I45" s="23">
        <f>IF($D45="","",IFERROR(INDEX(ENVIOS!$F$4:$F$3003,MATCH($D45,ENVIOS!$A$4:$A$3003,0)),"—"))</f>
        <v/>
      </c>
      <c r="J45" s="23">
        <f>IF($D45="","",IFERROR(INDEX(ENVIOS!$G$4:$G$3003,MATCH($D45,ENVIOS!$A$4:$A$3003,0)),"—"))</f>
        <v/>
      </c>
      <c r="K45" s="28">
        <f>IF($D45="","",IFERROR(INDEX(ENVIOS!$H$4:$H$3003,MATCH($D45,ENVIOS!$A$4:$A$3003,0)),"—"))</f>
        <v/>
      </c>
      <c r="L45" s="49">
        <f>IF($D45="","",IFERROR(INDEX(ENVIOS!$C$4:$C$3003,MATCH($D45,ENVIOS!$A$4:$A$3003,0)),""))</f>
        <v/>
      </c>
      <c r="M45" s="50" t="n"/>
      <c r="N45" s="28">
        <f>IF($M45="","",IFERROR(INDEX(CONFIG!$C$4:$C$63,MATCH($M45,CONFIG!$A$4:$A$63,0)),"Media"))</f>
        <v/>
      </c>
      <c r="O45" s="28">
        <f>IF($M45="","",IF($C45="Interna","NO",IFERROR(INDEX(CONFIG!$E$4:$E$63,MATCH($M45,CONFIG!$A$4:$A$63,0)),"NO")))</f>
        <v/>
      </c>
      <c r="P45" s="50" t="n"/>
      <c r="Q45" s="50" t="n"/>
      <c r="R45" s="28">
        <f>IF($Q45="","",IFERROR(INDEX(CONFIG!$H$4:$H$63,MATCH($Q45,CONFIG!$G$4:$G$63,0)),"Por definir"))</f>
        <v/>
      </c>
      <c r="S45" s="28">
        <f>IF($Q45="","",IFERROR(INDEX(CONFIG!$I$4:$I$63,MATCH($Q45,CONFIG!$G$4:$G$63,0)),"Por definir"))</f>
        <v/>
      </c>
      <c r="T45" s="51" t="n"/>
      <c r="U45" s="52" t="n"/>
      <c r="V45" s="50" t="n"/>
      <c r="W45" s="50" t="n"/>
      <c r="X45" s="49">
        <f>IF(OR($B45="",$M45=""),"",WORKDAY($B45,IFERROR(INDEX(CONFIG!$D$4:$D$63,MATCH($M45,CONFIG!$A$4:$A$63,0)),3)))</f>
        <v/>
      </c>
      <c r="Y45" s="47" t="n"/>
      <c r="Z45" s="24">
        <f>IF($B45="","",IF($Y45&lt;&gt;"",$Y45-$B45,TODAY()-$B45))</f>
        <v/>
      </c>
      <c r="AA45" s="28">
        <f>IF($B45="","",IF(IFERROR(INDEX(CONFIG!$L$4:$L$63,MATCH($V45,CONFIG!$K$4:$K$63,0)),"NO")="SÍ",IF(OR($Y45="",$X45=""),"Resuelta",IF($Y45&gt;$X45,"Resuelta tarde","Resuelta a tiempo")),IF($X45="","Sin clasificar",IF(TODAY()&gt;$X45,"Vencida",IF(TODAY()&gt;=$X45-1,"Por vencer","En plazo")))))</f>
        <v/>
      </c>
      <c r="AB45" s="50" t="n"/>
      <c r="AC45" s="50" t="n"/>
    </row>
    <row r="46" ht="16" customHeight="1">
      <c r="A46" s="28">
        <f>IF($B46="","","N-"&amp;TEXT(ROW()-3,"0000"))</f>
        <v/>
      </c>
      <c r="B46" s="47" t="n"/>
      <c r="C46" s="48" t="n"/>
      <c r="D46" s="48" t="n"/>
      <c r="E46" s="28">
        <f>IF($C46="","",IF($D46="",IF($C46="Interna","Sin guía (interna)","FALTA GUÍA"),IF(COUNTIFS(ENVIOS!$A$4:$A$3003,$D46)=0,"NO EXISTE",IF(COUNTIFS(ENVIOS!$A$4:$A$3003,$D46)&gt;1,"DUPLICADA","OK"))))</f>
        <v/>
      </c>
      <c r="F46" s="28">
        <f>IF($D46="","",IFERROR(INDEX(ENVIOS!$B$4:$B$3003,MATCH($D46,ENVIOS!$A$4:$A$3003,0)),"—"))</f>
        <v/>
      </c>
      <c r="G46" s="23">
        <f>IF($D46="","",IFERROR(INDEX(ENVIOS!$D$4:$D$3003,MATCH($D46,ENVIOS!$A$4:$A$3003,0)),"—"))</f>
        <v/>
      </c>
      <c r="H46" s="23">
        <f>IF($D46="","",IFERROR(INDEX(ENVIOS!$E$4:$E$3003,MATCH($D46,ENVIOS!$A$4:$A$3003,0)),"—"))</f>
        <v/>
      </c>
      <c r="I46" s="23">
        <f>IF($D46="","",IFERROR(INDEX(ENVIOS!$F$4:$F$3003,MATCH($D46,ENVIOS!$A$4:$A$3003,0)),"—"))</f>
        <v/>
      </c>
      <c r="J46" s="23">
        <f>IF($D46="","",IFERROR(INDEX(ENVIOS!$G$4:$G$3003,MATCH($D46,ENVIOS!$A$4:$A$3003,0)),"—"))</f>
        <v/>
      </c>
      <c r="K46" s="28">
        <f>IF($D46="","",IFERROR(INDEX(ENVIOS!$H$4:$H$3003,MATCH($D46,ENVIOS!$A$4:$A$3003,0)),"—"))</f>
        <v/>
      </c>
      <c r="L46" s="49">
        <f>IF($D46="","",IFERROR(INDEX(ENVIOS!$C$4:$C$3003,MATCH($D46,ENVIOS!$A$4:$A$3003,0)),""))</f>
        <v/>
      </c>
      <c r="M46" s="50" t="n"/>
      <c r="N46" s="28">
        <f>IF($M46="","",IFERROR(INDEX(CONFIG!$C$4:$C$63,MATCH($M46,CONFIG!$A$4:$A$63,0)),"Media"))</f>
        <v/>
      </c>
      <c r="O46" s="28">
        <f>IF($M46="","",IF($C46="Interna","NO",IFERROR(INDEX(CONFIG!$E$4:$E$63,MATCH($M46,CONFIG!$A$4:$A$63,0)),"NO")))</f>
        <v/>
      </c>
      <c r="P46" s="50" t="n"/>
      <c r="Q46" s="50" t="n"/>
      <c r="R46" s="28">
        <f>IF($Q46="","",IFERROR(INDEX(CONFIG!$H$4:$H$63,MATCH($Q46,CONFIG!$G$4:$G$63,0)),"Por definir"))</f>
        <v/>
      </c>
      <c r="S46" s="28">
        <f>IF($Q46="","",IFERROR(INDEX(CONFIG!$I$4:$I$63,MATCH($Q46,CONFIG!$G$4:$G$63,0)),"Por definir"))</f>
        <v/>
      </c>
      <c r="T46" s="51" t="n"/>
      <c r="U46" s="52" t="n"/>
      <c r="V46" s="50" t="n"/>
      <c r="W46" s="50" t="n"/>
      <c r="X46" s="49">
        <f>IF(OR($B46="",$M46=""),"",WORKDAY($B46,IFERROR(INDEX(CONFIG!$D$4:$D$63,MATCH($M46,CONFIG!$A$4:$A$63,0)),3)))</f>
        <v/>
      </c>
      <c r="Y46" s="47" t="n"/>
      <c r="Z46" s="24">
        <f>IF($B46="","",IF($Y46&lt;&gt;"",$Y46-$B46,TODAY()-$B46))</f>
        <v/>
      </c>
      <c r="AA46" s="28">
        <f>IF($B46="","",IF(IFERROR(INDEX(CONFIG!$L$4:$L$63,MATCH($V46,CONFIG!$K$4:$K$63,0)),"NO")="SÍ",IF(OR($Y46="",$X46=""),"Resuelta",IF($Y46&gt;$X46,"Resuelta tarde","Resuelta a tiempo")),IF($X46="","Sin clasificar",IF(TODAY()&gt;$X46,"Vencida",IF(TODAY()&gt;=$X46-1,"Por vencer","En plazo")))))</f>
        <v/>
      </c>
      <c r="AB46" s="50" t="n"/>
      <c r="AC46" s="50" t="n"/>
    </row>
    <row r="47" ht="16" customHeight="1">
      <c r="A47" s="28">
        <f>IF($B47="","","N-"&amp;TEXT(ROW()-3,"0000"))</f>
        <v/>
      </c>
      <c r="B47" s="47" t="n"/>
      <c r="C47" s="48" t="n"/>
      <c r="D47" s="48" t="n"/>
      <c r="E47" s="28">
        <f>IF($C47="","",IF($D47="",IF($C47="Interna","Sin guía (interna)","FALTA GUÍA"),IF(COUNTIFS(ENVIOS!$A$4:$A$3003,$D47)=0,"NO EXISTE",IF(COUNTIFS(ENVIOS!$A$4:$A$3003,$D47)&gt;1,"DUPLICADA","OK"))))</f>
        <v/>
      </c>
      <c r="F47" s="28">
        <f>IF($D47="","",IFERROR(INDEX(ENVIOS!$B$4:$B$3003,MATCH($D47,ENVIOS!$A$4:$A$3003,0)),"—"))</f>
        <v/>
      </c>
      <c r="G47" s="23">
        <f>IF($D47="","",IFERROR(INDEX(ENVIOS!$D$4:$D$3003,MATCH($D47,ENVIOS!$A$4:$A$3003,0)),"—"))</f>
        <v/>
      </c>
      <c r="H47" s="23">
        <f>IF($D47="","",IFERROR(INDEX(ENVIOS!$E$4:$E$3003,MATCH($D47,ENVIOS!$A$4:$A$3003,0)),"—"))</f>
        <v/>
      </c>
      <c r="I47" s="23">
        <f>IF($D47="","",IFERROR(INDEX(ENVIOS!$F$4:$F$3003,MATCH($D47,ENVIOS!$A$4:$A$3003,0)),"—"))</f>
        <v/>
      </c>
      <c r="J47" s="23">
        <f>IF($D47="","",IFERROR(INDEX(ENVIOS!$G$4:$G$3003,MATCH($D47,ENVIOS!$A$4:$A$3003,0)),"—"))</f>
        <v/>
      </c>
      <c r="K47" s="28">
        <f>IF($D47="","",IFERROR(INDEX(ENVIOS!$H$4:$H$3003,MATCH($D47,ENVIOS!$A$4:$A$3003,0)),"—"))</f>
        <v/>
      </c>
      <c r="L47" s="49">
        <f>IF($D47="","",IFERROR(INDEX(ENVIOS!$C$4:$C$3003,MATCH($D47,ENVIOS!$A$4:$A$3003,0)),""))</f>
        <v/>
      </c>
      <c r="M47" s="50" t="n"/>
      <c r="N47" s="28">
        <f>IF($M47="","",IFERROR(INDEX(CONFIG!$C$4:$C$63,MATCH($M47,CONFIG!$A$4:$A$63,0)),"Media"))</f>
        <v/>
      </c>
      <c r="O47" s="28">
        <f>IF($M47="","",IF($C47="Interna","NO",IFERROR(INDEX(CONFIG!$E$4:$E$63,MATCH($M47,CONFIG!$A$4:$A$63,0)),"NO")))</f>
        <v/>
      </c>
      <c r="P47" s="50" t="n"/>
      <c r="Q47" s="50" t="n"/>
      <c r="R47" s="28">
        <f>IF($Q47="","",IFERROR(INDEX(CONFIG!$H$4:$H$63,MATCH($Q47,CONFIG!$G$4:$G$63,0)),"Por definir"))</f>
        <v/>
      </c>
      <c r="S47" s="28">
        <f>IF($Q47="","",IFERROR(INDEX(CONFIG!$I$4:$I$63,MATCH($Q47,CONFIG!$G$4:$G$63,0)),"Por definir"))</f>
        <v/>
      </c>
      <c r="T47" s="51" t="n"/>
      <c r="U47" s="52" t="n"/>
      <c r="V47" s="50" t="n"/>
      <c r="W47" s="50" t="n"/>
      <c r="X47" s="49">
        <f>IF(OR($B47="",$M47=""),"",WORKDAY($B47,IFERROR(INDEX(CONFIG!$D$4:$D$63,MATCH($M47,CONFIG!$A$4:$A$63,0)),3)))</f>
        <v/>
      </c>
      <c r="Y47" s="47" t="n"/>
      <c r="Z47" s="24">
        <f>IF($B47="","",IF($Y47&lt;&gt;"",$Y47-$B47,TODAY()-$B47))</f>
        <v/>
      </c>
      <c r="AA47" s="28">
        <f>IF($B47="","",IF(IFERROR(INDEX(CONFIG!$L$4:$L$63,MATCH($V47,CONFIG!$K$4:$K$63,0)),"NO")="SÍ",IF(OR($Y47="",$X47=""),"Resuelta",IF($Y47&gt;$X47,"Resuelta tarde","Resuelta a tiempo")),IF($X47="","Sin clasificar",IF(TODAY()&gt;$X47,"Vencida",IF(TODAY()&gt;=$X47-1,"Por vencer","En plazo")))))</f>
        <v/>
      </c>
      <c r="AB47" s="50" t="n"/>
      <c r="AC47" s="50" t="n"/>
    </row>
    <row r="48" ht="16" customHeight="1">
      <c r="A48" s="28">
        <f>IF($B48="","","N-"&amp;TEXT(ROW()-3,"0000"))</f>
        <v/>
      </c>
      <c r="B48" s="47" t="n"/>
      <c r="C48" s="48" t="n"/>
      <c r="D48" s="48" t="n"/>
      <c r="E48" s="28">
        <f>IF($C48="","",IF($D48="",IF($C48="Interna","Sin guía (interna)","FALTA GUÍA"),IF(COUNTIFS(ENVIOS!$A$4:$A$3003,$D48)=0,"NO EXISTE",IF(COUNTIFS(ENVIOS!$A$4:$A$3003,$D48)&gt;1,"DUPLICADA","OK"))))</f>
        <v/>
      </c>
      <c r="F48" s="28">
        <f>IF($D48="","",IFERROR(INDEX(ENVIOS!$B$4:$B$3003,MATCH($D48,ENVIOS!$A$4:$A$3003,0)),"—"))</f>
        <v/>
      </c>
      <c r="G48" s="23">
        <f>IF($D48="","",IFERROR(INDEX(ENVIOS!$D$4:$D$3003,MATCH($D48,ENVIOS!$A$4:$A$3003,0)),"—"))</f>
        <v/>
      </c>
      <c r="H48" s="23">
        <f>IF($D48="","",IFERROR(INDEX(ENVIOS!$E$4:$E$3003,MATCH($D48,ENVIOS!$A$4:$A$3003,0)),"—"))</f>
        <v/>
      </c>
      <c r="I48" s="23">
        <f>IF($D48="","",IFERROR(INDEX(ENVIOS!$F$4:$F$3003,MATCH($D48,ENVIOS!$A$4:$A$3003,0)),"—"))</f>
        <v/>
      </c>
      <c r="J48" s="23">
        <f>IF($D48="","",IFERROR(INDEX(ENVIOS!$G$4:$G$3003,MATCH($D48,ENVIOS!$A$4:$A$3003,0)),"—"))</f>
        <v/>
      </c>
      <c r="K48" s="28">
        <f>IF($D48="","",IFERROR(INDEX(ENVIOS!$H$4:$H$3003,MATCH($D48,ENVIOS!$A$4:$A$3003,0)),"—"))</f>
        <v/>
      </c>
      <c r="L48" s="49">
        <f>IF($D48="","",IFERROR(INDEX(ENVIOS!$C$4:$C$3003,MATCH($D48,ENVIOS!$A$4:$A$3003,0)),""))</f>
        <v/>
      </c>
      <c r="M48" s="50" t="n"/>
      <c r="N48" s="28">
        <f>IF($M48="","",IFERROR(INDEX(CONFIG!$C$4:$C$63,MATCH($M48,CONFIG!$A$4:$A$63,0)),"Media"))</f>
        <v/>
      </c>
      <c r="O48" s="28">
        <f>IF($M48="","",IF($C48="Interna","NO",IFERROR(INDEX(CONFIG!$E$4:$E$63,MATCH($M48,CONFIG!$A$4:$A$63,0)),"NO")))</f>
        <v/>
      </c>
      <c r="P48" s="50" t="n"/>
      <c r="Q48" s="50" t="n"/>
      <c r="R48" s="28">
        <f>IF($Q48="","",IFERROR(INDEX(CONFIG!$H$4:$H$63,MATCH($Q48,CONFIG!$G$4:$G$63,0)),"Por definir"))</f>
        <v/>
      </c>
      <c r="S48" s="28">
        <f>IF($Q48="","",IFERROR(INDEX(CONFIG!$I$4:$I$63,MATCH($Q48,CONFIG!$G$4:$G$63,0)),"Por definir"))</f>
        <v/>
      </c>
      <c r="T48" s="51" t="n"/>
      <c r="U48" s="52" t="n"/>
      <c r="V48" s="50" t="n"/>
      <c r="W48" s="50" t="n"/>
      <c r="X48" s="49">
        <f>IF(OR($B48="",$M48=""),"",WORKDAY($B48,IFERROR(INDEX(CONFIG!$D$4:$D$63,MATCH($M48,CONFIG!$A$4:$A$63,0)),3)))</f>
        <v/>
      </c>
      <c r="Y48" s="47" t="n"/>
      <c r="Z48" s="24">
        <f>IF($B48="","",IF($Y48&lt;&gt;"",$Y48-$B48,TODAY()-$B48))</f>
        <v/>
      </c>
      <c r="AA48" s="28">
        <f>IF($B48="","",IF(IFERROR(INDEX(CONFIG!$L$4:$L$63,MATCH($V48,CONFIG!$K$4:$K$63,0)),"NO")="SÍ",IF(OR($Y48="",$X48=""),"Resuelta",IF($Y48&gt;$X48,"Resuelta tarde","Resuelta a tiempo")),IF($X48="","Sin clasificar",IF(TODAY()&gt;$X48,"Vencida",IF(TODAY()&gt;=$X48-1,"Por vencer","En plazo")))))</f>
        <v/>
      </c>
      <c r="AB48" s="50" t="n"/>
      <c r="AC48" s="50" t="n"/>
    </row>
    <row r="49" ht="16" customHeight="1">
      <c r="A49" s="28">
        <f>IF($B49="","","N-"&amp;TEXT(ROW()-3,"0000"))</f>
        <v/>
      </c>
      <c r="B49" s="47" t="n"/>
      <c r="C49" s="48" t="n"/>
      <c r="D49" s="48" t="n"/>
      <c r="E49" s="28">
        <f>IF($C49="","",IF($D49="",IF($C49="Interna","Sin guía (interna)","FALTA GUÍA"),IF(COUNTIFS(ENVIOS!$A$4:$A$3003,$D49)=0,"NO EXISTE",IF(COUNTIFS(ENVIOS!$A$4:$A$3003,$D49)&gt;1,"DUPLICADA","OK"))))</f>
        <v/>
      </c>
      <c r="F49" s="28">
        <f>IF($D49="","",IFERROR(INDEX(ENVIOS!$B$4:$B$3003,MATCH($D49,ENVIOS!$A$4:$A$3003,0)),"—"))</f>
        <v/>
      </c>
      <c r="G49" s="23">
        <f>IF($D49="","",IFERROR(INDEX(ENVIOS!$D$4:$D$3003,MATCH($D49,ENVIOS!$A$4:$A$3003,0)),"—"))</f>
        <v/>
      </c>
      <c r="H49" s="23">
        <f>IF($D49="","",IFERROR(INDEX(ENVIOS!$E$4:$E$3003,MATCH($D49,ENVIOS!$A$4:$A$3003,0)),"—"))</f>
        <v/>
      </c>
      <c r="I49" s="23">
        <f>IF($D49="","",IFERROR(INDEX(ENVIOS!$F$4:$F$3003,MATCH($D49,ENVIOS!$A$4:$A$3003,0)),"—"))</f>
        <v/>
      </c>
      <c r="J49" s="23">
        <f>IF($D49="","",IFERROR(INDEX(ENVIOS!$G$4:$G$3003,MATCH($D49,ENVIOS!$A$4:$A$3003,0)),"—"))</f>
        <v/>
      </c>
      <c r="K49" s="28">
        <f>IF($D49="","",IFERROR(INDEX(ENVIOS!$H$4:$H$3003,MATCH($D49,ENVIOS!$A$4:$A$3003,0)),"—"))</f>
        <v/>
      </c>
      <c r="L49" s="49">
        <f>IF($D49="","",IFERROR(INDEX(ENVIOS!$C$4:$C$3003,MATCH($D49,ENVIOS!$A$4:$A$3003,0)),""))</f>
        <v/>
      </c>
      <c r="M49" s="50" t="n"/>
      <c r="N49" s="28">
        <f>IF($M49="","",IFERROR(INDEX(CONFIG!$C$4:$C$63,MATCH($M49,CONFIG!$A$4:$A$63,0)),"Media"))</f>
        <v/>
      </c>
      <c r="O49" s="28">
        <f>IF($M49="","",IF($C49="Interna","NO",IFERROR(INDEX(CONFIG!$E$4:$E$63,MATCH($M49,CONFIG!$A$4:$A$63,0)),"NO")))</f>
        <v/>
      </c>
      <c r="P49" s="50" t="n"/>
      <c r="Q49" s="50" t="n"/>
      <c r="R49" s="28">
        <f>IF($Q49="","",IFERROR(INDEX(CONFIG!$H$4:$H$63,MATCH($Q49,CONFIG!$G$4:$G$63,0)),"Por definir"))</f>
        <v/>
      </c>
      <c r="S49" s="28">
        <f>IF($Q49="","",IFERROR(INDEX(CONFIG!$I$4:$I$63,MATCH($Q49,CONFIG!$G$4:$G$63,0)),"Por definir"))</f>
        <v/>
      </c>
      <c r="T49" s="51" t="n"/>
      <c r="U49" s="52" t="n"/>
      <c r="V49" s="50" t="n"/>
      <c r="W49" s="50" t="n"/>
      <c r="X49" s="49">
        <f>IF(OR($B49="",$M49=""),"",WORKDAY($B49,IFERROR(INDEX(CONFIG!$D$4:$D$63,MATCH($M49,CONFIG!$A$4:$A$63,0)),3)))</f>
        <v/>
      </c>
      <c r="Y49" s="47" t="n"/>
      <c r="Z49" s="24">
        <f>IF($B49="","",IF($Y49&lt;&gt;"",$Y49-$B49,TODAY()-$B49))</f>
        <v/>
      </c>
      <c r="AA49" s="28">
        <f>IF($B49="","",IF(IFERROR(INDEX(CONFIG!$L$4:$L$63,MATCH($V49,CONFIG!$K$4:$K$63,0)),"NO")="SÍ",IF(OR($Y49="",$X49=""),"Resuelta",IF($Y49&gt;$X49,"Resuelta tarde","Resuelta a tiempo")),IF($X49="","Sin clasificar",IF(TODAY()&gt;$X49,"Vencida",IF(TODAY()&gt;=$X49-1,"Por vencer","En plazo")))))</f>
        <v/>
      </c>
      <c r="AB49" s="50" t="n"/>
      <c r="AC49" s="50" t="n"/>
    </row>
    <row r="50" ht="16" customHeight="1">
      <c r="A50" s="28">
        <f>IF($B50="","","N-"&amp;TEXT(ROW()-3,"0000"))</f>
        <v/>
      </c>
      <c r="B50" s="47" t="n"/>
      <c r="C50" s="48" t="n"/>
      <c r="D50" s="48" t="n"/>
      <c r="E50" s="28">
        <f>IF($C50="","",IF($D50="",IF($C50="Interna","Sin guía (interna)","FALTA GUÍA"),IF(COUNTIFS(ENVIOS!$A$4:$A$3003,$D50)=0,"NO EXISTE",IF(COUNTIFS(ENVIOS!$A$4:$A$3003,$D50)&gt;1,"DUPLICADA","OK"))))</f>
        <v/>
      </c>
      <c r="F50" s="28">
        <f>IF($D50="","",IFERROR(INDEX(ENVIOS!$B$4:$B$3003,MATCH($D50,ENVIOS!$A$4:$A$3003,0)),"—"))</f>
        <v/>
      </c>
      <c r="G50" s="23">
        <f>IF($D50="","",IFERROR(INDEX(ENVIOS!$D$4:$D$3003,MATCH($D50,ENVIOS!$A$4:$A$3003,0)),"—"))</f>
        <v/>
      </c>
      <c r="H50" s="23">
        <f>IF($D50="","",IFERROR(INDEX(ENVIOS!$E$4:$E$3003,MATCH($D50,ENVIOS!$A$4:$A$3003,0)),"—"))</f>
        <v/>
      </c>
      <c r="I50" s="23">
        <f>IF($D50="","",IFERROR(INDEX(ENVIOS!$F$4:$F$3003,MATCH($D50,ENVIOS!$A$4:$A$3003,0)),"—"))</f>
        <v/>
      </c>
      <c r="J50" s="23">
        <f>IF($D50="","",IFERROR(INDEX(ENVIOS!$G$4:$G$3003,MATCH($D50,ENVIOS!$A$4:$A$3003,0)),"—"))</f>
        <v/>
      </c>
      <c r="K50" s="28">
        <f>IF($D50="","",IFERROR(INDEX(ENVIOS!$H$4:$H$3003,MATCH($D50,ENVIOS!$A$4:$A$3003,0)),"—"))</f>
        <v/>
      </c>
      <c r="L50" s="49">
        <f>IF($D50="","",IFERROR(INDEX(ENVIOS!$C$4:$C$3003,MATCH($D50,ENVIOS!$A$4:$A$3003,0)),""))</f>
        <v/>
      </c>
      <c r="M50" s="50" t="n"/>
      <c r="N50" s="28">
        <f>IF($M50="","",IFERROR(INDEX(CONFIG!$C$4:$C$63,MATCH($M50,CONFIG!$A$4:$A$63,0)),"Media"))</f>
        <v/>
      </c>
      <c r="O50" s="28">
        <f>IF($M50="","",IF($C50="Interna","NO",IFERROR(INDEX(CONFIG!$E$4:$E$63,MATCH($M50,CONFIG!$A$4:$A$63,0)),"NO")))</f>
        <v/>
      </c>
      <c r="P50" s="50" t="n"/>
      <c r="Q50" s="50" t="n"/>
      <c r="R50" s="28">
        <f>IF($Q50="","",IFERROR(INDEX(CONFIG!$H$4:$H$63,MATCH($Q50,CONFIG!$G$4:$G$63,0)),"Por definir"))</f>
        <v/>
      </c>
      <c r="S50" s="28">
        <f>IF($Q50="","",IFERROR(INDEX(CONFIG!$I$4:$I$63,MATCH($Q50,CONFIG!$G$4:$G$63,0)),"Por definir"))</f>
        <v/>
      </c>
      <c r="T50" s="51" t="n"/>
      <c r="U50" s="52" t="n"/>
      <c r="V50" s="50" t="n"/>
      <c r="W50" s="50" t="n"/>
      <c r="X50" s="49">
        <f>IF(OR($B50="",$M50=""),"",WORKDAY($B50,IFERROR(INDEX(CONFIG!$D$4:$D$63,MATCH($M50,CONFIG!$A$4:$A$63,0)),3)))</f>
        <v/>
      </c>
      <c r="Y50" s="47" t="n"/>
      <c r="Z50" s="24">
        <f>IF($B50="","",IF($Y50&lt;&gt;"",$Y50-$B50,TODAY()-$B50))</f>
        <v/>
      </c>
      <c r="AA50" s="28">
        <f>IF($B50="","",IF(IFERROR(INDEX(CONFIG!$L$4:$L$63,MATCH($V50,CONFIG!$K$4:$K$63,0)),"NO")="SÍ",IF(OR($Y50="",$X50=""),"Resuelta",IF($Y50&gt;$X50,"Resuelta tarde","Resuelta a tiempo")),IF($X50="","Sin clasificar",IF(TODAY()&gt;$X50,"Vencida",IF(TODAY()&gt;=$X50-1,"Por vencer","En plazo")))))</f>
        <v/>
      </c>
      <c r="AB50" s="50" t="n"/>
      <c r="AC50" s="50" t="n"/>
    </row>
    <row r="51" ht="16" customHeight="1">
      <c r="A51" s="28">
        <f>IF($B51="","","N-"&amp;TEXT(ROW()-3,"0000"))</f>
        <v/>
      </c>
      <c r="B51" s="47" t="n"/>
      <c r="C51" s="48" t="n"/>
      <c r="D51" s="48" t="n"/>
      <c r="E51" s="28">
        <f>IF($C51="","",IF($D51="",IF($C51="Interna","Sin guía (interna)","FALTA GUÍA"),IF(COUNTIFS(ENVIOS!$A$4:$A$3003,$D51)=0,"NO EXISTE",IF(COUNTIFS(ENVIOS!$A$4:$A$3003,$D51)&gt;1,"DUPLICADA","OK"))))</f>
        <v/>
      </c>
      <c r="F51" s="28">
        <f>IF($D51="","",IFERROR(INDEX(ENVIOS!$B$4:$B$3003,MATCH($D51,ENVIOS!$A$4:$A$3003,0)),"—"))</f>
        <v/>
      </c>
      <c r="G51" s="23">
        <f>IF($D51="","",IFERROR(INDEX(ENVIOS!$D$4:$D$3003,MATCH($D51,ENVIOS!$A$4:$A$3003,0)),"—"))</f>
        <v/>
      </c>
      <c r="H51" s="23">
        <f>IF($D51="","",IFERROR(INDEX(ENVIOS!$E$4:$E$3003,MATCH($D51,ENVIOS!$A$4:$A$3003,0)),"—"))</f>
        <v/>
      </c>
      <c r="I51" s="23">
        <f>IF($D51="","",IFERROR(INDEX(ENVIOS!$F$4:$F$3003,MATCH($D51,ENVIOS!$A$4:$A$3003,0)),"—"))</f>
        <v/>
      </c>
      <c r="J51" s="23">
        <f>IF($D51="","",IFERROR(INDEX(ENVIOS!$G$4:$G$3003,MATCH($D51,ENVIOS!$A$4:$A$3003,0)),"—"))</f>
        <v/>
      </c>
      <c r="K51" s="28">
        <f>IF($D51="","",IFERROR(INDEX(ENVIOS!$H$4:$H$3003,MATCH($D51,ENVIOS!$A$4:$A$3003,0)),"—"))</f>
        <v/>
      </c>
      <c r="L51" s="49">
        <f>IF($D51="","",IFERROR(INDEX(ENVIOS!$C$4:$C$3003,MATCH($D51,ENVIOS!$A$4:$A$3003,0)),""))</f>
        <v/>
      </c>
      <c r="M51" s="50" t="n"/>
      <c r="N51" s="28">
        <f>IF($M51="","",IFERROR(INDEX(CONFIG!$C$4:$C$63,MATCH($M51,CONFIG!$A$4:$A$63,0)),"Media"))</f>
        <v/>
      </c>
      <c r="O51" s="28">
        <f>IF($M51="","",IF($C51="Interna","NO",IFERROR(INDEX(CONFIG!$E$4:$E$63,MATCH($M51,CONFIG!$A$4:$A$63,0)),"NO")))</f>
        <v/>
      </c>
      <c r="P51" s="50" t="n"/>
      <c r="Q51" s="50" t="n"/>
      <c r="R51" s="28">
        <f>IF($Q51="","",IFERROR(INDEX(CONFIG!$H$4:$H$63,MATCH($Q51,CONFIG!$G$4:$G$63,0)),"Por definir"))</f>
        <v/>
      </c>
      <c r="S51" s="28">
        <f>IF($Q51="","",IFERROR(INDEX(CONFIG!$I$4:$I$63,MATCH($Q51,CONFIG!$G$4:$G$63,0)),"Por definir"))</f>
        <v/>
      </c>
      <c r="T51" s="51" t="n"/>
      <c r="U51" s="52" t="n"/>
      <c r="V51" s="50" t="n"/>
      <c r="W51" s="50" t="n"/>
      <c r="X51" s="49">
        <f>IF(OR($B51="",$M51=""),"",WORKDAY($B51,IFERROR(INDEX(CONFIG!$D$4:$D$63,MATCH($M51,CONFIG!$A$4:$A$63,0)),3)))</f>
        <v/>
      </c>
      <c r="Y51" s="47" t="n"/>
      <c r="Z51" s="24">
        <f>IF($B51="","",IF($Y51&lt;&gt;"",$Y51-$B51,TODAY()-$B51))</f>
        <v/>
      </c>
      <c r="AA51" s="28">
        <f>IF($B51="","",IF(IFERROR(INDEX(CONFIG!$L$4:$L$63,MATCH($V51,CONFIG!$K$4:$K$63,0)),"NO")="SÍ",IF(OR($Y51="",$X51=""),"Resuelta",IF($Y51&gt;$X51,"Resuelta tarde","Resuelta a tiempo")),IF($X51="","Sin clasificar",IF(TODAY()&gt;$X51,"Vencida",IF(TODAY()&gt;=$X51-1,"Por vencer","En plazo")))))</f>
        <v/>
      </c>
      <c r="AB51" s="50" t="n"/>
      <c r="AC51" s="50" t="n"/>
    </row>
    <row r="52" ht="16" customHeight="1">
      <c r="A52" s="28">
        <f>IF($B52="","","N-"&amp;TEXT(ROW()-3,"0000"))</f>
        <v/>
      </c>
      <c r="B52" s="47" t="n"/>
      <c r="C52" s="48" t="n"/>
      <c r="D52" s="48" t="n"/>
      <c r="E52" s="28">
        <f>IF($C52="","",IF($D52="",IF($C52="Interna","Sin guía (interna)","FALTA GUÍA"),IF(COUNTIFS(ENVIOS!$A$4:$A$3003,$D52)=0,"NO EXISTE",IF(COUNTIFS(ENVIOS!$A$4:$A$3003,$D52)&gt;1,"DUPLICADA","OK"))))</f>
        <v/>
      </c>
      <c r="F52" s="28">
        <f>IF($D52="","",IFERROR(INDEX(ENVIOS!$B$4:$B$3003,MATCH($D52,ENVIOS!$A$4:$A$3003,0)),"—"))</f>
        <v/>
      </c>
      <c r="G52" s="23">
        <f>IF($D52="","",IFERROR(INDEX(ENVIOS!$D$4:$D$3003,MATCH($D52,ENVIOS!$A$4:$A$3003,0)),"—"))</f>
        <v/>
      </c>
      <c r="H52" s="23">
        <f>IF($D52="","",IFERROR(INDEX(ENVIOS!$E$4:$E$3003,MATCH($D52,ENVIOS!$A$4:$A$3003,0)),"—"))</f>
        <v/>
      </c>
      <c r="I52" s="23">
        <f>IF($D52="","",IFERROR(INDEX(ENVIOS!$F$4:$F$3003,MATCH($D52,ENVIOS!$A$4:$A$3003,0)),"—"))</f>
        <v/>
      </c>
      <c r="J52" s="23">
        <f>IF($D52="","",IFERROR(INDEX(ENVIOS!$G$4:$G$3003,MATCH($D52,ENVIOS!$A$4:$A$3003,0)),"—"))</f>
        <v/>
      </c>
      <c r="K52" s="28">
        <f>IF($D52="","",IFERROR(INDEX(ENVIOS!$H$4:$H$3003,MATCH($D52,ENVIOS!$A$4:$A$3003,0)),"—"))</f>
        <v/>
      </c>
      <c r="L52" s="49">
        <f>IF($D52="","",IFERROR(INDEX(ENVIOS!$C$4:$C$3003,MATCH($D52,ENVIOS!$A$4:$A$3003,0)),""))</f>
        <v/>
      </c>
      <c r="M52" s="50" t="n"/>
      <c r="N52" s="28">
        <f>IF($M52="","",IFERROR(INDEX(CONFIG!$C$4:$C$63,MATCH($M52,CONFIG!$A$4:$A$63,0)),"Media"))</f>
        <v/>
      </c>
      <c r="O52" s="28">
        <f>IF($M52="","",IF($C52="Interna","NO",IFERROR(INDEX(CONFIG!$E$4:$E$63,MATCH($M52,CONFIG!$A$4:$A$63,0)),"NO")))</f>
        <v/>
      </c>
      <c r="P52" s="50" t="n"/>
      <c r="Q52" s="50" t="n"/>
      <c r="R52" s="28">
        <f>IF($Q52="","",IFERROR(INDEX(CONFIG!$H$4:$H$63,MATCH($Q52,CONFIG!$G$4:$G$63,0)),"Por definir"))</f>
        <v/>
      </c>
      <c r="S52" s="28">
        <f>IF($Q52="","",IFERROR(INDEX(CONFIG!$I$4:$I$63,MATCH($Q52,CONFIG!$G$4:$G$63,0)),"Por definir"))</f>
        <v/>
      </c>
      <c r="T52" s="51" t="n"/>
      <c r="U52" s="52" t="n"/>
      <c r="V52" s="50" t="n"/>
      <c r="W52" s="50" t="n"/>
      <c r="X52" s="49">
        <f>IF(OR($B52="",$M52=""),"",WORKDAY($B52,IFERROR(INDEX(CONFIG!$D$4:$D$63,MATCH($M52,CONFIG!$A$4:$A$63,0)),3)))</f>
        <v/>
      </c>
      <c r="Y52" s="47" t="n"/>
      <c r="Z52" s="24">
        <f>IF($B52="","",IF($Y52&lt;&gt;"",$Y52-$B52,TODAY()-$B52))</f>
        <v/>
      </c>
      <c r="AA52" s="28">
        <f>IF($B52="","",IF(IFERROR(INDEX(CONFIG!$L$4:$L$63,MATCH($V52,CONFIG!$K$4:$K$63,0)),"NO")="SÍ",IF(OR($Y52="",$X52=""),"Resuelta",IF($Y52&gt;$X52,"Resuelta tarde","Resuelta a tiempo")),IF($X52="","Sin clasificar",IF(TODAY()&gt;$X52,"Vencida",IF(TODAY()&gt;=$X52-1,"Por vencer","En plazo")))))</f>
        <v/>
      </c>
      <c r="AB52" s="50" t="n"/>
      <c r="AC52" s="50" t="n"/>
    </row>
    <row r="53" ht="16" customHeight="1">
      <c r="A53" s="28">
        <f>IF($B53="","","N-"&amp;TEXT(ROW()-3,"0000"))</f>
        <v/>
      </c>
      <c r="B53" s="47" t="n"/>
      <c r="C53" s="48" t="n"/>
      <c r="D53" s="48" t="n"/>
      <c r="E53" s="28">
        <f>IF($C53="","",IF($D53="",IF($C53="Interna","Sin guía (interna)","FALTA GUÍA"),IF(COUNTIFS(ENVIOS!$A$4:$A$3003,$D53)=0,"NO EXISTE",IF(COUNTIFS(ENVIOS!$A$4:$A$3003,$D53)&gt;1,"DUPLICADA","OK"))))</f>
        <v/>
      </c>
      <c r="F53" s="28">
        <f>IF($D53="","",IFERROR(INDEX(ENVIOS!$B$4:$B$3003,MATCH($D53,ENVIOS!$A$4:$A$3003,0)),"—"))</f>
        <v/>
      </c>
      <c r="G53" s="23">
        <f>IF($D53="","",IFERROR(INDEX(ENVIOS!$D$4:$D$3003,MATCH($D53,ENVIOS!$A$4:$A$3003,0)),"—"))</f>
        <v/>
      </c>
      <c r="H53" s="23">
        <f>IF($D53="","",IFERROR(INDEX(ENVIOS!$E$4:$E$3003,MATCH($D53,ENVIOS!$A$4:$A$3003,0)),"—"))</f>
        <v/>
      </c>
      <c r="I53" s="23">
        <f>IF($D53="","",IFERROR(INDEX(ENVIOS!$F$4:$F$3003,MATCH($D53,ENVIOS!$A$4:$A$3003,0)),"—"))</f>
        <v/>
      </c>
      <c r="J53" s="23">
        <f>IF($D53="","",IFERROR(INDEX(ENVIOS!$G$4:$G$3003,MATCH($D53,ENVIOS!$A$4:$A$3003,0)),"—"))</f>
        <v/>
      </c>
      <c r="K53" s="28">
        <f>IF($D53="","",IFERROR(INDEX(ENVIOS!$H$4:$H$3003,MATCH($D53,ENVIOS!$A$4:$A$3003,0)),"—"))</f>
        <v/>
      </c>
      <c r="L53" s="49">
        <f>IF($D53="","",IFERROR(INDEX(ENVIOS!$C$4:$C$3003,MATCH($D53,ENVIOS!$A$4:$A$3003,0)),""))</f>
        <v/>
      </c>
      <c r="M53" s="50" t="n"/>
      <c r="N53" s="28">
        <f>IF($M53="","",IFERROR(INDEX(CONFIG!$C$4:$C$63,MATCH($M53,CONFIG!$A$4:$A$63,0)),"Media"))</f>
        <v/>
      </c>
      <c r="O53" s="28">
        <f>IF($M53="","",IF($C53="Interna","NO",IFERROR(INDEX(CONFIG!$E$4:$E$63,MATCH($M53,CONFIG!$A$4:$A$63,0)),"NO")))</f>
        <v/>
      </c>
      <c r="P53" s="50" t="n"/>
      <c r="Q53" s="50" t="n"/>
      <c r="R53" s="28">
        <f>IF($Q53="","",IFERROR(INDEX(CONFIG!$H$4:$H$63,MATCH($Q53,CONFIG!$G$4:$G$63,0)),"Por definir"))</f>
        <v/>
      </c>
      <c r="S53" s="28">
        <f>IF($Q53="","",IFERROR(INDEX(CONFIG!$I$4:$I$63,MATCH($Q53,CONFIG!$G$4:$G$63,0)),"Por definir"))</f>
        <v/>
      </c>
      <c r="T53" s="51" t="n"/>
      <c r="U53" s="52" t="n"/>
      <c r="V53" s="50" t="n"/>
      <c r="W53" s="50" t="n"/>
      <c r="X53" s="49">
        <f>IF(OR($B53="",$M53=""),"",WORKDAY($B53,IFERROR(INDEX(CONFIG!$D$4:$D$63,MATCH($M53,CONFIG!$A$4:$A$63,0)),3)))</f>
        <v/>
      </c>
      <c r="Y53" s="47" t="n"/>
      <c r="Z53" s="24">
        <f>IF($B53="","",IF($Y53&lt;&gt;"",$Y53-$B53,TODAY()-$B53))</f>
        <v/>
      </c>
      <c r="AA53" s="28">
        <f>IF($B53="","",IF(IFERROR(INDEX(CONFIG!$L$4:$L$63,MATCH($V53,CONFIG!$K$4:$K$63,0)),"NO")="SÍ",IF(OR($Y53="",$X53=""),"Resuelta",IF($Y53&gt;$X53,"Resuelta tarde","Resuelta a tiempo")),IF($X53="","Sin clasificar",IF(TODAY()&gt;$X53,"Vencida",IF(TODAY()&gt;=$X53-1,"Por vencer","En plazo")))))</f>
        <v/>
      </c>
      <c r="AB53" s="50" t="n"/>
      <c r="AC53" s="50" t="n"/>
    </row>
    <row r="54" ht="16" customHeight="1">
      <c r="A54" s="28">
        <f>IF($B54="","","N-"&amp;TEXT(ROW()-3,"0000"))</f>
        <v/>
      </c>
      <c r="B54" s="47" t="n"/>
      <c r="C54" s="48" t="n"/>
      <c r="D54" s="48" t="n"/>
      <c r="E54" s="28">
        <f>IF($C54="","",IF($D54="",IF($C54="Interna","Sin guía (interna)","FALTA GUÍA"),IF(COUNTIFS(ENVIOS!$A$4:$A$3003,$D54)=0,"NO EXISTE",IF(COUNTIFS(ENVIOS!$A$4:$A$3003,$D54)&gt;1,"DUPLICADA","OK"))))</f>
        <v/>
      </c>
      <c r="F54" s="28">
        <f>IF($D54="","",IFERROR(INDEX(ENVIOS!$B$4:$B$3003,MATCH($D54,ENVIOS!$A$4:$A$3003,0)),"—"))</f>
        <v/>
      </c>
      <c r="G54" s="23">
        <f>IF($D54="","",IFERROR(INDEX(ENVIOS!$D$4:$D$3003,MATCH($D54,ENVIOS!$A$4:$A$3003,0)),"—"))</f>
        <v/>
      </c>
      <c r="H54" s="23">
        <f>IF($D54="","",IFERROR(INDEX(ENVIOS!$E$4:$E$3003,MATCH($D54,ENVIOS!$A$4:$A$3003,0)),"—"))</f>
        <v/>
      </c>
      <c r="I54" s="23">
        <f>IF($D54="","",IFERROR(INDEX(ENVIOS!$F$4:$F$3003,MATCH($D54,ENVIOS!$A$4:$A$3003,0)),"—"))</f>
        <v/>
      </c>
      <c r="J54" s="23">
        <f>IF($D54="","",IFERROR(INDEX(ENVIOS!$G$4:$G$3003,MATCH($D54,ENVIOS!$A$4:$A$3003,0)),"—"))</f>
        <v/>
      </c>
      <c r="K54" s="28">
        <f>IF($D54="","",IFERROR(INDEX(ENVIOS!$H$4:$H$3003,MATCH($D54,ENVIOS!$A$4:$A$3003,0)),"—"))</f>
        <v/>
      </c>
      <c r="L54" s="49">
        <f>IF($D54="","",IFERROR(INDEX(ENVIOS!$C$4:$C$3003,MATCH($D54,ENVIOS!$A$4:$A$3003,0)),""))</f>
        <v/>
      </c>
      <c r="M54" s="50" t="n"/>
      <c r="N54" s="28">
        <f>IF($M54="","",IFERROR(INDEX(CONFIG!$C$4:$C$63,MATCH($M54,CONFIG!$A$4:$A$63,0)),"Media"))</f>
        <v/>
      </c>
      <c r="O54" s="28">
        <f>IF($M54="","",IF($C54="Interna","NO",IFERROR(INDEX(CONFIG!$E$4:$E$63,MATCH($M54,CONFIG!$A$4:$A$63,0)),"NO")))</f>
        <v/>
      </c>
      <c r="P54" s="50" t="n"/>
      <c r="Q54" s="50" t="n"/>
      <c r="R54" s="28">
        <f>IF($Q54="","",IFERROR(INDEX(CONFIG!$H$4:$H$63,MATCH($Q54,CONFIG!$G$4:$G$63,0)),"Por definir"))</f>
        <v/>
      </c>
      <c r="S54" s="28">
        <f>IF($Q54="","",IFERROR(INDEX(CONFIG!$I$4:$I$63,MATCH($Q54,CONFIG!$G$4:$G$63,0)),"Por definir"))</f>
        <v/>
      </c>
      <c r="T54" s="51" t="n"/>
      <c r="U54" s="52" t="n"/>
      <c r="V54" s="50" t="n"/>
      <c r="W54" s="50" t="n"/>
      <c r="X54" s="49">
        <f>IF(OR($B54="",$M54=""),"",WORKDAY($B54,IFERROR(INDEX(CONFIG!$D$4:$D$63,MATCH($M54,CONFIG!$A$4:$A$63,0)),3)))</f>
        <v/>
      </c>
      <c r="Y54" s="47" t="n"/>
      <c r="Z54" s="24">
        <f>IF($B54="","",IF($Y54&lt;&gt;"",$Y54-$B54,TODAY()-$B54))</f>
        <v/>
      </c>
      <c r="AA54" s="28">
        <f>IF($B54="","",IF(IFERROR(INDEX(CONFIG!$L$4:$L$63,MATCH($V54,CONFIG!$K$4:$K$63,0)),"NO")="SÍ",IF(OR($Y54="",$X54=""),"Resuelta",IF($Y54&gt;$X54,"Resuelta tarde","Resuelta a tiempo")),IF($X54="","Sin clasificar",IF(TODAY()&gt;$X54,"Vencida",IF(TODAY()&gt;=$X54-1,"Por vencer","En plazo")))))</f>
        <v/>
      </c>
      <c r="AB54" s="50" t="n"/>
      <c r="AC54" s="50" t="n"/>
    </row>
    <row r="55" ht="16" customHeight="1">
      <c r="A55" s="28">
        <f>IF($B55="","","N-"&amp;TEXT(ROW()-3,"0000"))</f>
        <v/>
      </c>
      <c r="B55" s="47" t="n"/>
      <c r="C55" s="48" t="n"/>
      <c r="D55" s="48" t="n"/>
      <c r="E55" s="28">
        <f>IF($C55="","",IF($D55="",IF($C55="Interna","Sin guía (interna)","FALTA GUÍA"),IF(COUNTIFS(ENVIOS!$A$4:$A$3003,$D55)=0,"NO EXISTE",IF(COUNTIFS(ENVIOS!$A$4:$A$3003,$D55)&gt;1,"DUPLICADA","OK"))))</f>
        <v/>
      </c>
      <c r="F55" s="28">
        <f>IF($D55="","",IFERROR(INDEX(ENVIOS!$B$4:$B$3003,MATCH($D55,ENVIOS!$A$4:$A$3003,0)),"—"))</f>
        <v/>
      </c>
      <c r="G55" s="23">
        <f>IF($D55="","",IFERROR(INDEX(ENVIOS!$D$4:$D$3003,MATCH($D55,ENVIOS!$A$4:$A$3003,0)),"—"))</f>
        <v/>
      </c>
      <c r="H55" s="23">
        <f>IF($D55="","",IFERROR(INDEX(ENVIOS!$E$4:$E$3003,MATCH($D55,ENVIOS!$A$4:$A$3003,0)),"—"))</f>
        <v/>
      </c>
      <c r="I55" s="23">
        <f>IF($D55="","",IFERROR(INDEX(ENVIOS!$F$4:$F$3003,MATCH($D55,ENVIOS!$A$4:$A$3003,0)),"—"))</f>
        <v/>
      </c>
      <c r="J55" s="23">
        <f>IF($D55="","",IFERROR(INDEX(ENVIOS!$G$4:$G$3003,MATCH($D55,ENVIOS!$A$4:$A$3003,0)),"—"))</f>
        <v/>
      </c>
      <c r="K55" s="28">
        <f>IF($D55="","",IFERROR(INDEX(ENVIOS!$H$4:$H$3003,MATCH($D55,ENVIOS!$A$4:$A$3003,0)),"—"))</f>
        <v/>
      </c>
      <c r="L55" s="49">
        <f>IF($D55="","",IFERROR(INDEX(ENVIOS!$C$4:$C$3003,MATCH($D55,ENVIOS!$A$4:$A$3003,0)),""))</f>
        <v/>
      </c>
      <c r="M55" s="50" t="n"/>
      <c r="N55" s="28">
        <f>IF($M55="","",IFERROR(INDEX(CONFIG!$C$4:$C$63,MATCH($M55,CONFIG!$A$4:$A$63,0)),"Media"))</f>
        <v/>
      </c>
      <c r="O55" s="28">
        <f>IF($M55="","",IF($C55="Interna","NO",IFERROR(INDEX(CONFIG!$E$4:$E$63,MATCH($M55,CONFIG!$A$4:$A$63,0)),"NO")))</f>
        <v/>
      </c>
      <c r="P55" s="50" t="n"/>
      <c r="Q55" s="50" t="n"/>
      <c r="R55" s="28">
        <f>IF($Q55="","",IFERROR(INDEX(CONFIG!$H$4:$H$63,MATCH($Q55,CONFIG!$G$4:$G$63,0)),"Por definir"))</f>
        <v/>
      </c>
      <c r="S55" s="28">
        <f>IF($Q55="","",IFERROR(INDEX(CONFIG!$I$4:$I$63,MATCH($Q55,CONFIG!$G$4:$G$63,0)),"Por definir"))</f>
        <v/>
      </c>
      <c r="T55" s="51" t="n"/>
      <c r="U55" s="52" t="n"/>
      <c r="V55" s="50" t="n"/>
      <c r="W55" s="50" t="n"/>
      <c r="X55" s="49">
        <f>IF(OR($B55="",$M55=""),"",WORKDAY($B55,IFERROR(INDEX(CONFIG!$D$4:$D$63,MATCH($M55,CONFIG!$A$4:$A$63,0)),3)))</f>
        <v/>
      </c>
      <c r="Y55" s="47" t="n"/>
      <c r="Z55" s="24">
        <f>IF($B55="","",IF($Y55&lt;&gt;"",$Y55-$B55,TODAY()-$B55))</f>
        <v/>
      </c>
      <c r="AA55" s="28">
        <f>IF($B55="","",IF(IFERROR(INDEX(CONFIG!$L$4:$L$63,MATCH($V55,CONFIG!$K$4:$K$63,0)),"NO")="SÍ",IF(OR($Y55="",$X55=""),"Resuelta",IF($Y55&gt;$X55,"Resuelta tarde","Resuelta a tiempo")),IF($X55="","Sin clasificar",IF(TODAY()&gt;$X55,"Vencida",IF(TODAY()&gt;=$X55-1,"Por vencer","En plazo")))))</f>
        <v/>
      </c>
      <c r="AB55" s="50" t="n"/>
      <c r="AC55" s="50" t="n"/>
    </row>
    <row r="56" ht="16" customHeight="1">
      <c r="A56" s="28">
        <f>IF($B56="","","N-"&amp;TEXT(ROW()-3,"0000"))</f>
        <v/>
      </c>
      <c r="B56" s="47" t="n"/>
      <c r="C56" s="48" t="n"/>
      <c r="D56" s="48" t="n"/>
      <c r="E56" s="28">
        <f>IF($C56="","",IF($D56="",IF($C56="Interna","Sin guía (interna)","FALTA GUÍA"),IF(COUNTIFS(ENVIOS!$A$4:$A$3003,$D56)=0,"NO EXISTE",IF(COUNTIFS(ENVIOS!$A$4:$A$3003,$D56)&gt;1,"DUPLICADA","OK"))))</f>
        <v/>
      </c>
      <c r="F56" s="28">
        <f>IF($D56="","",IFERROR(INDEX(ENVIOS!$B$4:$B$3003,MATCH($D56,ENVIOS!$A$4:$A$3003,0)),"—"))</f>
        <v/>
      </c>
      <c r="G56" s="23">
        <f>IF($D56="","",IFERROR(INDEX(ENVIOS!$D$4:$D$3003,MATCH($D56,ENVIOS!$A$4:$A$3003,0)),"—"))</f>
        <v/>
      </c>
      <c r="H56" s="23">
        <f>IF($D56="","",IFERROR(INDEX(ENVIOS!$E$4:$E$3003,MATCH($D56,ENVIOS!$A$4:$A$3003,0)),"—"))</f>
        <v/>
      </c>
      <c r="I56" s="23">
        <f>IF($D56="","",IFERROR(INDEX(ENVIOS!$F$4:$F$3003,MATCH($D56,ENVIOS!$A$4:$A$3003,0)),"—"))</f>
        <v/>
      </c>
      <c r="J56" s="23">
        <f>IF($D56="","",IFERROR(INDEX(ENVIOS!$G$4:$G$3003,MATCH($D56,ENVIOS!$A$4:$A$3003,0)),"—"))</f>
        <v/>
      </c>
      <c r="K56" s="28">
        <f>IF($D56="","",IFERROR(INDEX(ENVIOS!$H$4:$H$3003,MATCH($D56,ENVIOS!$A$4:$A$3003,0)),"—"))</f>
        <v/>
      </c>
      <c r="L56" s="49">
        <f>IF($D56="","",IFERROR(INDEX(ENVIOS!$C$4:$C$3003,MATCH($D56,ENVIOS!$A$4:$A$3003,0)),""))</f>
        <v/>
      </c>
      <c r="M56" s="50" t="n"/>
      <c r="N56" s="28">
        <f>IF($M56="","",IFERROR(INDEX(CONFIG!$C$4:$C$63,MATCH($M56,CONFIG!$A$4:$A$63,0)),"Media"))</f>
        <v/>
      </c>
      <c r="O56" s="28">
        <f>IF($M56="","",IF($C56="Interna","NO",IFERROR(INDEX(CONFIG!$E$4:$E$63,MATCH($M56,CONFIG!$A$4:$A$63,0)),"NO")))</f>
        <v/>
      </c>
      <c r="P56" s="50" t="n"/>
      <c r="Q56" s="50" t="n"/>
      <c r="R56" s="28">
        <f>IF($Q56="","",IFERROR(INDEX(CONFIG!$H$4:$H$63,MATCH($Q56,CONFIG!$G$4:$G$63,0)),"Por definir"))</f>
        <v/>
      </c>
      <c r="S56" s="28">
        <f>IF($Q56="","",IFERROR(INDEX(CONFIG!$I$4:$I$63,MATCH($Q56,CONFIG!$G$4:$G$63,0)),"Por definir"))</f>
        <v/>
      </c>
      <c r="T56" s="51" t="n"/>
      <c r="U56" s="52" t="n"/>
      <c r="V56" s="50" t="n"/>
      <c r="W56" s="50" t="n"/>
      <c r="X56" s="49">
        <f>IF(OR($B56="",$M56=""),"",WORKDAY($B56,IFERROR(INDEX(CONFIG!$D$4:$D$63,MATCH($M56,CONFIG!$A$4:$A$63,0)),3)))</f>
        <v/>
      </c>
      <c r="Y56" s="47" t="n"/>
      <c r="Z56" s="24">
        <f>IF($B56="","",IF($Y56&lt;&gt;"",$Y56-$B56,TODAY()-$B56))</f>
        <v/>
      </c>
      <c r="AA56" s="28">
        <f>IF($B56="","",IF(IFERROR(INDEX(CONFIG!$L$4:$L$63,MATCH($V56,CONFIG!$K$4:$K$63,0)),"NO")="SÍ",IF(OR($Y56="",$X56=""),"Resuelta",IF($Y56&gt;$X56,"Resuelta tarde","Resuelta a tiempo")),IF($X56="","Sin clasificar",IF(TODAY()&gt;$X56,"Vencida",IF(TODAY()&gt;=$X56-1,"Por vencer","En plazo")))))</f>
        <v/>
      </c>
      <c r="AB56" s="50" t="n"/>
      <c r="AC56" s="50" t="n"/>
    </row>
    <row r="57" ht="16" customHeight="1">
      <c r="A57" s="28">
        <f>IF($B57="","","N-"&amp;TEXT(ROW()-3,"0000"))</f>
        <v/>
      </c>
      <c r="B57" s="47" t="n"/>
      <c r="C57" s="48" t="n"/>
      <c r="D57" s="48" t="n"/>
      <c r="E57" s="28">
        <f>IF($C57="","",IF($D57="",IF($C57="Interna","Sin guía (interna)","FALTA GUÍA"),IF(COUNTIFS(ENVIOS!$A$4:$A$3003,$D57)=0,"NO EXISTE",IF(COUNTIFS(ENVIOS!$A$4:$A$3003,$D57)&gt;1,"DUPLICADA","OK"))))</f>
        <v/>
      </c>
      <c r="F57" s="28">
        <f>IF($D57="","",IFERROR(INDEX(ENVIOS!$B$4:$B$3003,MATCH($D57,ENVIOS!$A$4:$A$3003,0)),"—"))</f>
        <v/>
      </c>
      <c r="G57" s="23">
        <f>IF($D57="","",IFERROR(INDEX(ENVIOS!$D$4:$D$3003,MATCH($D57,ENVIOS!$A$4:$A$3003,0)),"—"))</f>
        <v/>
      </c>
      <c r="H57" s="23">
        <f>IF($D57="","",IFERROR(INDEX(ENVIOS!$E$4:$E$3003,MATCH($D57,ENVIOS!$A$4:$A$3003,0)),"—"))</f>
        <v/>
      </c>
      <c r="I57" s="23">
        <f>IF($D57="","",IFERROR(INDEX(ENVIOS!$F$4:$F$3003,MATCH($D57,ENVIOS!$A$4:$A$3003,0)),"—"))</f>
        <v/>
      </c>
      <c r="J57" s="23">
        <f>IF($D57="","",IFERROR(INDEX(ENVIOS!$G$4:$G$3003,MATCH($D57,ENVIOS!$A$4:$A$3003,0)),"—"))</f>
        <v/>
      </c>
      <c r="K57" s="28">
        <f>IF($D57="","",IFERROR(INDEX(ENVIOS!$H$4:$H$3003,MATCH($D57,ENVIOS!$A$4:$A$3003,0)),"—"))</f>
        <v/>
      </c>
      <c r="L57" s="49">
        <f>IF($D57="","",IFERROR(INDEX(ENVIOS!$C$4:$C$3003,MATCH($D57,ENVIOS!$A$4:$A$3003,0)),""))</f>
        <v/>
      </c>
      <c r="M57" s="50" t="n"/>
      <c r="N57" s="28">
        <f>IF($M57="","",IFERROR(INDEX(CONFIG!$C$4:$C$63,MATCH($M57,CONFIG!$A$4:$A$63,0)),"Media"))</f>
        <v/>
      </c>
      <c r="O57" s="28">
        <f>IF($M57="","",IF($C57="Interna","NO",IFERROR(INDEX(CONFIG!$E$4:$E$63,MATCH($M57,CONFIG!$A$4:$A$63,0)),"NO")))</f>
        <v/>
      </c>
      <c r="P57" s="50" t="n"/>
      <c r="Q57" s="50" t="n"/>
      <c r="R57" s="28">
        <f>IF($Q57="","",IFERROR(INDEX(CONFIG!$H$4:$H$63,MATCH($Q57,CONFIG!$G$4:$G$63,0)),"Por definir"))</f>
        <v/>
      </c>
      <c r="S57" s="28">
        <f>IF($Q57="","",IFERROR(INDEX(CONFIG!$I$4:$I$63,MATCH($Q57,CONFIG!$G$4:$G$63,0)),"Por definir"))</f>
        <v/>
      </c>
      <c r="T57" s="51" t="n"/>
      <c r="U57" s="52" t="n"/>
      <c r="V57" s="50" t="n"/>
      <c r="W57" s="50" t="n"/>
      <c r="X57" s="49">
        <f>IF(OR($B57="",$M57=""),"",WORKDAY($B57,IFERROR(INDEX(CONFIG!$D$4:$D$63,MATCH($M57,CONFIG!$A$4:$A$63,0)),3)))</f>
        <v/>
      </c>
      <c r="Y57" s="47" t="n"/>
      <c r="Z57" s="24">
        <f>IF($B57="","",IF($Y57&lt;&gt;"",$Y57-$B57,TODAY()-$B57))</f>
        <v/>
      </c>
      <c r="AA57" s="28">
        <f>IF($B57="","",IF(IFERROR(INDEX(CONFIG!$L$4:$L$63,MATCH($V57,CONFIG!$K$4:$K$63,0)),"NO")="SÍ",IF(OR($Y57="",$X57=""),"Resuelta",IF($Y57&gt;$X57,"Resuelta tarde","Resuelta a tiempo")),IF($X57="","Sin clasificar",IF(TODAY()&gt;$X57,"Vencida",IF(TODAY()&gt;=$X57-1,"Por vencer","En plazo")))))</f>
        <v/>
      </c>
      <c r="AB57" s="50" t="n"/>
      <c r="AC57" s="50" t="n"/>
    </row>
    <row r="58" ht="16" customHeight="1">
      <c r="A58" s="28">
        <f>IF($B58="","","N-"&amp;TEXT(ROW()-3,"0000"))</f>
        <v/>
      </c>
      <c r="B58" s="47" t="n"/>
      <c r="C58" s="48" t="n"/>
      <c r="D58" s="48" t="n"/>
      <c r="E58" s="28">
        <f>IF($C58="","",IF($D58="",IF($C58="Interna","Sin guía (interna)","FALTA GUÍA"),IF(COUNTIFS(ENVIOS!$A$4:$A$3003,$D58)=0,"NO EXISTE",IF(COUNTIFS(ENVIOS!$A$4:$A$3003,$D58)&gt;1,"DUPLICADA","OK"))))</f>
        <v/>
      </c>
      <c r="F58" s="28">
        <f>IF($D58="","",IFERROR(INDEX(ENVIOS!$B$4:$B$3003,MATCH($D58,ENVIOS!$A$4:$A$3003,0)),"—"))</f>
        <v/>
      </c>
      <c r="G58" s="23">
        <f>IF($D58="","",IFERROR(INDEX(ENVIOS!$D$4:$D$3003,MATCH($D58,ENVIOS!$A$4:$A$3003,0)),"—"))</f>
        <v/>
      </c>
      <c r="H58" s="23">
        <f>IF($D58="","",IFERROR(INDEX(ENVIOS!$E$4:$E$3003,MATCH($D58,ENVIOS!$A$4:$A$3003,0)),"—"))</f>
        <v/>
      </c>
      <c r="I58" s="23">
        <f>IF($D58="","",IFERROR(INDEX(ENVIOS!$F$4:$F$3003,MATCH($D58,ENVIOS!$A$4:$A$3003,0)),"—"))</f>
        <v/>
      </c>
      <c r="J58" s="23">
        <f>IF($D58="","",IFERROR(INDEX(ENVIOS!$G$4:$G$3003,MATCH($D58,ENVIOS!$A$4:$A$3003,0)),"—"))</f>
        <v/>
      </c>
      <c r="K58" s="28">
        <f>IF($D58="","",IFERROR(INDEX(ENVIOS!$H$4:$H$3003,MATCH($D58,ENVIOS!$A$4:$A$3003,0)),"—"))</f>
        <v/>
      </c>
      <c r="L58" s="49">
        <f>IF($D58="","",IFERROR(INDEX(ENVIOS!$C$4:$C$3003,MATCH($D58,ENVIOS!$A$4:$A$3003,0)),""))</f>
        <v/>
      </c>
      <c r="M58" s="50" t="n"/>
      <c r="N58" s="28">
        <f>IF($M58="","",IFERROR(INDEX(CONFIG!$C$4:$C$63,MATCH($M58,CONFIG!$A$4:$A$63,0)),"Media"))</f>
        <v/>
      </c>
      <c r="O58" s="28">
        <f>IF($M58="","",IF($C58="Interna","NO",IFERROR(INDEX(CONFIG!$E$4:$E$63,MATCH($M58,CONFIG!$A$4:$A$63,0)),"NO")))</f>
        <v/>
      </c>
      <c r="P58" s="50" t="n"/>
      <c r="Q58" s="50" t="n"/>
      <c r="R58" s="28">
        <f>IF($Q58="","",IFERROR(INDEX(CONFIG!$H$4:$H$63,MATCH($Q58,CONFIG!$G$4:$G$63,0)),"Por definir"))</f>
        <v/>
      </c>
      <c r="S58" s="28">
        <f>IF($Q58="","",IFERROR(INDEX(CONFIG!$I$4:$I$63,MATCH($Q58,CONFIG!$G$4:$G$63,0)),"Por definir"))</f>
        <v/>
      </c>
      <c r="T58" s="51" t="n"/>
      <c r="U58" s="52" t="n"/>
      <c r="V58" s="50" t="n"/>
      <c r="W58" s="50" t="n"/>
      <c r="X58" s="49">
        <f>IF(OR($B58="",$M58=""),"",WORKDAY($B58,IFERROR(INDEX(CONFIG!$D$4:$D$63,MATCH($M58,CONFIG!$A$4:$A$63,0)),3)))</f>
        <v/>
      </c>
      <c r="Y58" s="47" t="n"/>
      <c r="Z58" s="24">
        <f>IF($B58="","",IF($Y58&lt;&gt;"",$Y58-$B58,TODAY()-$B58))</f>
        <v/>
      </c>
      <c r="AA58" s="28">
        <f>IF($B58="","",IF(IFERROR(INDEX(CONFIG!$L$4:$L$63,MATCH($V58,CONFIG!$K$4:$K$63,0)),"NO")="SÍ",IF(OR($Y58="",$X58=""),"Resuelta",IF($Y58&gt;$X58,"Resuelta tarde","Resuelta a tiempo")),IF($X58="","Sin clasificar",IF(TODAY()&gt;$X58,"Vencida",IF(TODAY()&gt;=$X58-1,"Por vencer","En plazo")))))</f>
        <v/>
      </c>
      <c r="AB58" s="50" t="n"/>
      <c r="AC58" s="50" t="n"/>
    </row>
    <row r="59" ht="16" customHeight="1">
      <c r="A59" s="28">
        <f>IF($B59="","","N-"&amp;TEXT(ROW()-3,"0000"))</f>
        <v/>
      </c>
      <c r="B59" s="47" t="n"/>
      <c r="C59" s="48" t="n"/>
      <c r="D59" s="48" t="n"/>
      <c r="E59" s="28">
        <f>IF($C59="","",IF($D59="",IF($C59="Interna","Sin guía (interna)","FALTA GUÍA"),IF(COUNTIFS(ENVIOS!$A$4:$A$3003,$D59)=0,"NO EXISTE",IF(COUNTIFS(ENVIOS!$A$4:$A$3003,$D59)&gt;1,"DUPLICADA","OK"))))</f>
        <v/>
      </c>
      <c r="F59" s="28">
        <f>IF($D59="","",IFERROR(INDEX(ENVIOS!$B$4:$B$3003,MATCH($D59,ENVIOS!$A$4:$A$3003,0)),"—"))</f>
        <v/>
      </c>
      <c r="G59" s="23">
        <f>IF($D59="","",IFERROR(INDEX(ENVIOS!$D$4:$D$3003,MATCH($D59,ENVIOS!$A$4:$A$3003,0)),"—"))</f>
        <v/>
      </c>
      <c r="H59" s="23">
        <f>IF($D59="","",IFERROR(INDEX(ENVIOS!$E$4:$E$3003,MATCH($D59,ENVIOS!$A$4:$A$3003,0)),"—"))</f>
        <v/>
      </c>
      <c r="I59" s="23">
        <f>IF($D59="","",IFERROR(INDEX(ENVIOS!$F$4:$F$3003,MATCH($D59,ENVIOS!$A$4:$A$3003,0)),"—"))</f>
        <v/>
      </c>
      <c r="J59" s="23">
        <f>IF($D59="","",IFERROR(INDEX(ENVIOS!$G$4:$G$3003,MATCH($D59,ENVIOS!$A$4:$A$3003,0)),"—"))</f>
        <v/>
      </c>
      <c r="K59" s="28">
        <f>IF($D59="","",IFERROR(INDEX(ENVIOS!$H$4:$H$3003,MATCH($D59,ENVIOS!$A$4:$A$3003,0)),"—"))</f>
        <v/>
      </c>
      <c r="L59" s="49">
        <f>IF($D59="","",IFERROR(INDEX(ENVIOS!$C$4:$C$3003,MATCH($D59,ENVIOS!$A$4:$A$3003,0)),""))</f>
        <v/>
      </c>
      <c r="M59" s="50" t="n"/>
      <c r="N59" s="28">
        <f>IF($M59="","",IFERROR(INDEX(CONFIG!$C$4:$C$63,MATCH($M59,CONFIG!$A$4:$A$63,0)),"Media"))</f>
        <v/>
      </c>
      <c r="O59" s="28">
        <f>IF($M59="","",IF($C59="Interna","NO",IFERROR(INDEX(CONFIG!$E$4:$E$63,MATCH($M59,CONFIG!$A$4:$A$63,0)),"NO")))</f>
        <v/>
      </c>
      <c r="P59" s="50" t="n"/>
      <c r="Q59" s="50" t="n"/>
      <c r="R59" s="28">
        <f>IF($Q59="","",IFERROR(INDEX(CONFIG!$H$4:$H$63,MATCH($Q59,CONFIG!$G$4:$G$63,0)),"Por definir"))</f>
        <v/>
      </c>
      <c r="S59" s="28">
        <f>IF($Q59="","",IFERROR(INDEX(CONFIG!$I$4:$I$63,MATCH($Q59,CONFIG!$G$4:$G$63,0)),"Por definir"))</f>
        <v/>
      </c>
      <c r="T59" s="51" t="n"/>
      <c r="U59" s="52" t="n"/>
      <c r="V59" s="50" t="n"/>
      <c r="W59" s="50" t="n"/>
      <c r="X59" s="49">
        <f>IF(OR($B59="",$M59=""),"",WORKDAY($B59,IFERROR(INDEX(CONFIG!$D$4:$D$63,MATCH($M59,CONFIG!$A$4:$A$63,0)),3)))</f>
        <v/>
      </c>
      <c r="Y59" s="47" t="n"/>
      <c r="Z59" s="24">
        <f>IF($B59="","",IF($Y59&lt;&gt;"",$Y59-$B59,TODAY()-$B59))</f>
        <v/>
      </c>
      <c r="AA59" s="28">
        <f>IF($B59="","",IF(IFERROR(INDEX(CONFIG!$L$4:$L$63,MATCH($V59,CONFIG!$K$4:$K$63,0)),"NO")="SÍ",IF(OR($Y59="",$X59=""),"Resuelta",IF($Y59&gt;$X59,"Resuelta tarde","Resuelta a tiempo")),IF($X59="","Sin clasificar",IF(TODAY()&gt;$X59,"Vencida",IF(TODAY()&gt;=$X59-1,"Por vencer","En plazo")))))</f>
        <v/>
      </c>
      <c r="AB59" s="50" t="n"/>
      <c r="AC59" s="50" t="n"/>
    </row>
    <row r="60" ht="16" customHeight="1">
      <c r="A60" s="28">
        <f>IF($B60="","","N-"&amp;TEXT(ROW()-3,"0000"))</f>
        <v/>
      </c>
      <c r="B60" s="47" t="n"/>
      <c r="C60" s="48" t="n"/>
      <c r="D60" s="48" t="n"/>
      <c r="E60" s="28">
        <f>IF($C60="","",IF($D60="",IF($C60="Interna","Sin guía (interna)","FALTA GUÍA"),IF(COUNTIFS(ENVIOS!$A$4:$A$3003,$D60)=0,"NO EXISTE",IF(COUNTIFS(ENVIOS!$A$4:$A$3003,$D60)&gt;1,"DUPLICADA","OK"))))</f>
        <v/>
      </c>
      <c r="F60" s="28">
        <f>IF($D60="","",IFERROR(INDEX(ENVIOS!$B$4:$B$3003,MATCH($D60,ENVIOS!$A$4:$A$3003,0)),"—"))</f>
        <v/>
      </c>
      <c r="G60" s="23">
        <f>IF($D60="","",IFERROR(INDEX(ENVIOS!$D$4:$D$3003,MATCH($D60,ENVIOS!$A$4:$A$3003,0)),"—"))</f>
        <v/>
      </c>
      <c r="H60" s="23">
        <f>IF($D60="","",IFERROR(INDEX(ENVIOS!$E$4:$E$3003,MATCH($D60,ENVIOS!$A$4:$A$3003,0)),"—"))</f>
        <v/>
      </c>
      <c r="I60" s="23">
        <f>IF($D60="","",IFERROR(INDEX(ENVIOS!$F$4:$F$3003,MATCH($D60,ENVIOS!$A$4:$A$3003,0)),"—"))</f>
        <v/>
      </c>
      <c r="J60" s="23">
        <f>IF($D60="","",IFERROR(INDEX(ENVIOS!$G$4:$G$3003,MATCH($D60,ENVIOS!$A$4:$A$3003,0)),"—"))</f>
        <v/>
      </c>
      <c r="K60" s="28">
        <f>IF($D60="","",IFERROR(INDEX(ENVIOS!$H$4:$H$3003,MATCH($D60,ENVIOS!$A$4:$A$3003,0)),"—"))</f>
        <v/>
      </c>
      <c r="L60" s="49">
        <f>IF($D60="","",IFERROR(INDEX(ENVIOS!$C$4:$C$3003,MATCH($D60,ENVIOS!$A$4:$A$3003,0)),""))</f>
        <v/>
      </c>
      <c r="M60" s="50" t="n"/>
      <c r="N60" s="28">
        <f>IF($M60="","",IFERROR(INDEX(CONFIG!$C$4:$C$63,MATCH($M60,CONFIG!$A$4:$A$63,0)),"Media"))</f>
        <v/>
      </c>
      <c r="O60" s="28">
        <f>IF($M60="","",IF($C60="Interna","NO",IFERROR(INDEX(CONFIG!$E$4:$E$63,MATCH($M60,CONFIG!$A$4:$A$63,0)),"NO")))</f>
        <v/>
      </c>
      <c r="P60" s="50" t="n"/>
      <c r="Q60" s="50" t="n"/>
      <c r="R60" s="28">
        <f>IF($Q60="","",IFERROR(INDEX(CONFIG!$H$4:$H$63,MATCH($Q60,CONFIG!$G$4:$G$63,0)),"Por definir"))</f>
        <v/>
      </c>
      <c r="S60" s="28">
        <f>IF($Q60="","",IFERROR(INDEX(CONFIG!$I$4:$I$63,MATCH($Q60,CONFIG!$G$4:$G$63,0)),"Por definir"))</f>
        <v/>
      </c>
      <c r="T60" s="51" t="n"/>
      <c r="U60" s="52" t="n"/>
      <c r="V60" s="50" t="n"/>
      <c r="W60" s="50" t="n"/>
      <c r="X60" s="49">
        <f>IF(OR($B60="",$M60=""),"",WORKDAY($B60,IFERROR(INDEX(CONFIG!$D$4:$D$63,MATCH($M60,CONFIG!$A$4:$A$63,0)),3)))</f>
        <v/>
      </c>
      <c r="Y60" s="47" t="n"/>
      <c r="Z60" s="24">
        <f>IF($B60="","",IF($Y60&lt;&gt;"",$Y60-$B60,TODAY()-$B60))</f>
        <v/>
      </c>
      <c r="AA60" s="28">
        <f>IF($B60="","",IF(IFERROR(INDEX(CONFIG!$L$4:$L$63,MATCH($V60,CONFIG!$K$4:$K$63,0)),"NO")="SÍ",IF(OR($Y60="",$X60=""),"Resuelta",IF($Y60&gt;$X60,"Resuelta tarde","Resuelta a tiempo")),IF($X60="","Sin clasificar",IF(TODAY()&gt;$X60,"Vencida",IF(TODAY()&gt;=$X60-1,"Por vencer","En plazo")))))</f>
        <v/>
      </c>
      <c r="AB60" s="50" t="n"/>
      <c r="AC60" s="50" t="n"/>
    </row>
    <row r="61" ht="16" customHeight="1">
      <c r="A61" s="28">
        <f>IF($B61="","","N-"&amp;TEXT(ROW()-3,"0000"))</f>
        <v/>
      </c>
      <c r="B61" s="47" t="n"/>
      <c r="C61" s="48" t="n"/>
      <c r="D61" s="48" t="n"/>
      <c r="E61" s="28">
        <f>IF($C61="","",IF($D61="",IF($C61="Interna","Sin guía (interna)","FALTA GUÍA"),IF(COUNTIFS(ENVIOS!$A$4:$A$3003,$D61)=0,"NO EXISTE",IF(COUNTIFS(ENVIOS!$A$4:$A$3003,$D61)&gt;1,"DUPLICADA","OK"))))</f>
        <v/>
      </c>
      <c r="F61" s="28">
        <f>IF($D61="","",IFERROR(INDEX(ENVIOS!$B$4:$B$3003,MATCH($D61,ENVIOS!$A$4:$A$3003,0)),"—"))</f>
        <v/>
      </c>
      <c r="G61" s="23">
        <f>IF($D61="","",IFERROR(INDEX(ENVIOS!$D$4:$D$3003,MATCH($D61,ENVIOS!$A$4:$A$3003,0)),"—"))</f>
        <v/>
      </c>
      <c r="H61" s="23">
        <f>IF($D61="","",IFERROR(INDEX(ENVIOS!$E$4:$E$3003,MATCH($D61,ENVIOS!$A$4:$A$3003,0)),"—"))</f>
        <v/>
      </c>
      <c r="I61" s="23">
        <f>IF($D61="","",IFERROR(INDEX(ENVIOS!$F$4:$F$3003,MATCH($D61,ENVIOS!$A$4:$A$3003,0)),"—"))</f>
        <v/>
      </c>
      <c r="J61" s="23">
        <f>IF($D61="","",IFERROR(INDEX(ENVIOS!$G$4:$G$3003,MATCH($D61,ENVIOS!$A$4:$A$3003,0)),"—"))</f>
        <v/>
      </c>
      <c r="K61" s="28">
        <f>IF($D61="","",IFERROR(INDEX(ENVIOS!$H$4:$H$3003,MATCH($D61,ENVIOS!$A$4:$A$3003,0)),"—"))</f>
        <v/>
      </c>
      <c r="L61" s="49">
        <f>IF($D61="","",IFERROR(INDEX(ENVIOS!$C$4:$C$3003,MATCH($D61,ENVIOS!$A$4:$A$3003,0)),""))</f>
        <v/>
      </c>
      <c r="M61" s="50" t="n"/>
      <c r="N61" s="28">
        <f>IF($M61="","",IFERROR(INDEX(CONFIG!$C$4:$C$63,MATCH($M61,CONFIG!$A$4:$A$63,0)),"Media"))</f>
        <v/>
      </c>
      <c r="O61" s="28">
        <f>IF($M61="","",IF($C61="Interna","NO",IFERROR(INDEX(CONFIG!$E$4:$E$63,MATCH($M61,CONFIG!$A$4:$A$63,0)),"NO")))</f>
        <v/>
      </c>
      <c r="P61" s="50" t="n"/>
      <c r="Q61" s="50" t="n"/>
      <c r="R61" s="28">
        <f>IF($Q61="","",IFERROR(INDEX(CONFIG!$H$4:$H$63,MATCH($Q61,CONFIG!$G$4:$G$63,0)),"Por definir"))</f>
        <v/>
      </c>
      <c r="S61" s="28">
        <f>IF($Q61="","",IFERROR(INDEX(CONFIG!$I$4:$I$63,MATCH($Q61,CONFIG!$G$4:$G$63,0)),"Por definir"))</f>
        <v/>
      </c>
      <c r="T61" s="51" t="n"/>
      <c r="U61" s="52" t="n"/>
      <c r="V61" s="50" t="n"/>
      <c r="W61" s="50" t="n"/>
      <c r="X61" s="49">
        <f>IF(OR($B61="",$M61=""),"",WORKDAY($B61,IFERROR(INDEX(CONFIG!$D$4:$D$63,MATCH($M61,CONFIG!$A$4:$A$63,0)),3)))</f>
        <v/>
      </c>
      <c r="Y61" s="47" t="n"/>
      <c r="Z61" s="24">
        <f>IF($B61="","",IF($Y61&lt;&gt;"",$Y61-$B61,TODAY()-$B61))</f>
        <v/>
      </c>
      <c r="AA61" s="28">
        <f>IF($B61="","",IF(IFERROR(INDEX(CONFIG!$L$4:$L$63,MATCH($V61,CONFIG!$K$4:$K$63,0)),"NO")="SÍ",IF(OR($Y61="",$X61=""),"Resuelta",IF($Y61&gt;$X61,"Resuelta tarde","Resuelta a tiempo")),IF($X61="","Sin clasificar",IF(TODAY()&gt;$X61,"Vencida",IF(TODAY()&gt;=$X61-1,"Por vencer","En plazo")))))</f>
        <v/>
      </c>
      <c r="AB61" s="50" t="n"/>
      <c r="AC61" s="50" t="n"/>
    </row>
    <row r="62" ht="16" customHeight="1">
      <c r="A62" s="28">
        <f>IF($B62="","","N-"&amp;TEXT(ROW()-3,"0000"))</f>
        <v/>
      </c>
      <c r="B62" s="47" t="n"/>
      <c r="C62" s="48" t="n"/>
      <c r="D62" s="48" t="n"/>
      <c r="E62" s="28">
        <f>IF($C62="","",IF($D62="",IF($C62="Interna","Sin guía (interna)","FALTA GUÍA"),IF(COUNTIFS(ENVIOS!$A$4:$A$3003,$D62)=0,"NO EXISTE",IF(COUNTIFS(ENVIOS!$A$4:$A$3003,$D62)&gt;1,"DUPLICADA","OK"))))</f>
        <v/>
      </c>
      <c r="F62" s="28">
        <f>IF($D62="","",IFERROR(INDEX(ENVIOS!$B$4:$B$3003,MATCH($D62,ENVIOS!$A$4:$A$3003,0)),"—"))</f>
        <v/>
      </c>
      <c r="G62" s="23">
        <f>IF($D62="","",IFERROR(INDEX(ENVIOS!$D$4:$D$3003,MATCH($D62,ENVIOS!$A$4:$A$3003,0)),"—"))</f>
        <v/>
      </c>
      <c r="H62" s="23">
        <f>IF($D62="","",IFERROR(INDEX(ENVIOS!$E$4:$E$3003,MATCH($D62,ENVIOS!$A$4:$A$3003,0)),"—"))</f>
        <v/>
      </c>
      <c r="I62" s="23">
        <f>IF($D62="","",IFERROR(INDEX(ENVIOS!$F$4:$F$3003,MATCH($D62,ENVIOS!$A$4:$A$3003,0)),"—"))</f>
        <v/>
      </c>
      <c r="J62" s="23">
        <f>IF($D62="","",IFERROR(INDEX(ENVIOS!$G$4:$G$3003,MATCH($D62,ENVIOS!$A$4:$A$3003,0)),"—"))</f>
        <v/>
      </c>
      <c r="K62" s="28">
        <f>IF($D62="","",IFERROR(INDEX(ENVIOS!$H$4:$H$3003,MATCH($D62,ENVIOS!$A$4:$A$3003,0)),"—"))</f>
        <v/>
      </c>
      <c r="L62" s="49">
        <f>IF($D62="","",IFERROR(INDEX(ENVIOS!$C$4:$C$3003,MATCH($D62,ENVIOS!$A$4:$A$3003,0)),""))</f>
        <v/>
      </c>
      <c r="M62" s="50" t="n"/>
      <c r="N62" s="28">
        <f>IF($M62="","",IFERROR(INDEX(CONFIG!$C$4:$C$63,MATCH($M62,CONFIG!$A$4:$A$63,0)),"Media"))</f>
        <v/>
      </c>
      <c r="O62" s="28">
        <f>IF($M62="","",IF($C62="Interna","NO",IFERROR(INDEX(CONFIG!$E$4:$E$63,MATCH($M62,CONFIG!$A$4:$A$63,0)),"NO")))</f>
        <v/>
      </c>
      <c r="P62" s="50" t="n"/>
      <c r="Q62" s="50" t="n"/>
      <c r="R62" s="28">
        <f>IF($Q62="","",IFERROR(INDEX(CONFIG!$H$4:$H$63,MATCH($Q62,CONFIG!$G$4:$G$63,0)),"Por definir"))</f>
        <v/>
      </c>
      <c r="S62" s="28">
        <f>IF($Q62="","",IFERROR(INDEX(CONFIG!$I$4:$I$63,MATCH($Q62,CONFIG!$G$4:$G$63,0)),"Por definir"))</f>
        <v/>
      </c>
      <c r="T62" s="51" t="n"/>
      <c r="U62" s="52" t="n"/>
      <c r="V62" s="50" t="n"/>
      <c r="W62" s="50" t="n"/>
      <c r="X62" s="49">
        <f>IF(OR($B62="",$M62=""),"",WORKDAY($B62,IFERROR(INDEX(CONFIG!$D$4:$D$63,MATCH($M62,CONFIG!$A$4:$A$63,0)),3)))</f>
        <v/>
      </c>
      <c r="Y62" s="47" t="n"/>
      <c r="Z62" s="24">
        <f>IF($B62="","",IF($Y62&lt;&gt;"",$Y62-$B62,TODAY()-$B62))</f>
        <v/>
      </c>
      <c r="AA62" s="28">
        <f>IF($B62="","",IF(IFERROR(INDEX(CONFIG!$L$4:$L$63,MATCH($V62,CONFIG!$K$4:$K$63,0)),"NO")="SÍ",IF(OR($Y62="",$X62=""),"Resuelta",IF($Y62&gt;$X62,"Resuelta tarde","Resuelta a tiempo")),IF($X62="","Sin clasificar",IF(TODAY()&gt;$X62,"Vencida",IF(TODAY()&gt;=$X62-1,"Por vencer","En plazo")))))</f>
        <v/>
      </c>
      <c r="AB62" s="50" t="n"/>
      <c r="AC62" s="50" t="n"/>
    </row>
    <row r="63" ht="16" customHeight="1">
      <c r="A63" s="28">
        <f>IF($B63="","","N-"&amp;TEXT(ROW()-3,"0000"))</f>
        <v/>
      </c>
      <c r="B63" s="47" t="n"/>
      <c r="C63" s="48" t="n"/>
      <c r="D63" s="48" t="n"/>
      <c r="E63" s="28">
        <f>IF($C63="","",IF($D63="",IF($C63="Interna","Sin guía (interna)","FALTA GUÍA"),IF(COUNTIFS(ENVIOS!$A$4:$A$3003,$D63)=0,"NO EXISTE",IF(COUNTIFS(ENVIOS!$A$4:$A$3003,$D63)&gt;1,"DUPLICADA","OK"))))</f>
        <v/>
      </c>
      <c r="F63" s="28">
        <f>IF($D63="","",IFERROR(INDEX(ENVIOS!$B$4:$B$3003,MATCH($D63,ENVIOS!$A$4:$A$3003,0)),"—"))</f>
        <v/>
      </c>
      <c r="G63" s="23">
        <f>IF($D63="","",IFERROR(INDEX(ENVIOS!$D$4:$D$3003,MATCH($D63,ENVIOS!$A$4:$A$3003,0)),"—"))</f>
        <v/>
      </c>
      <c r="H63" s="23">
        <f>IF($D63="","",IFERROR(INDEX(ENVIOS!$E$4:$E$3003,MATCH($D63,ENVIOS!$A$4:$A$3003,0)),"—"))</f>
        <v/>
      </c>
      <c r="I63" s="23">
        <f>IF($D63="","",IFERROR(INDEX(ENVIOS!$F$4:$F$3003,MATCH($D63,ENVIOS!$A$4:$A$3003,0)),"—"))</f>
        <v/>
      </c>
      <c r="J63" s="23">
        <f>IF($D63="","",IFERROR(INDEX(ENVIOS!$G$4:$G$3003,MATCH($D63,ENVIOS!$A$4:$A$3003,0)),"—"))</f>
        <v/>
      </c>
      <c r="K63" s="28">
        <f>IF($D63="","",IFERROR(INDEX(ENVIOS!$H$4:$H$3003,MATCH($D63,ENVIOS!$A$4:$A$3003,0)),"—"))</f>
        <v/>
      </c>
      <c r="L63" s="49">
        <f>IF($D63="","",IFERROR(INDEX(ENVIOS!$C$4:$C$3003,MATCH($D63,ENVIOS!$A$4:$A$3003,0)),""))</f>
        <v/>
      </c>
      <c r="M63" s="50" t="n"/>
      <c r="N63" s="28">
        <f>IF($M63="","",IFERROR(INDEX(CONFIG!$C$4:$C$63,MATCH($M63,CONFIG!$A$4:$A$63,0)),"Media"))</f>
        <v/>
      </c>
      <c r="O63" s="28">
        <f>IF($M63="","",IF($C63="Interna","NO",IFERROR(INDEX(CONFIG!$E$4:$E$63,MATCH($M63,CONFIG!$A$4:$A$63,0)),"NO")))</f>
        <v/>
      </c>
      <c r="P63" s="50" t="n"/>
      <c r="Q63" s="50" t="n"/>
      <c r="R63" s="28">
        <f>IF($Q63="","",IFERROR(INDEX(CONFIG!$H$4:$H$63,MATCH($Q63,CONFIG!$G$4:$G$63,0)),"Por definir"))</f>
        <v/>
      </c>
      <c r="S63" s="28">
        <f>IF($Q63="","",IFERROR(INDEX(CONFIG!$I$4:$I$63,MATCH($Q63,CONFIG!$G$4:$G$63,0)),"Por definir"))</f>
        <v/>
      </c>
      <c r="T63" s="51" t="n"/>
      <c r="U63" s="52" t="n"/>
      <c r="V63" s="50" t="n"/>
      <c r="W63" s="50" t="n"/>
      <c r="X63" s="49">
        <f>IF(OR($B63="",$M63=""),"",WORKDAY($B63,IFERROR(INDEX(CONFIG!$D$4:$D$63,MATCH($M63,CONFIG!$A$4:$A$63,0)),3)))</f>
        <v/>
      </c>
      <c r="Y63" s="47" t="n"/>
      <c r="Z63" s="24">
        <f>IF($B63="","",IF($Y63&lt;&gt;"",$Y63-$B63,TODAY()-$B63))</f>
        <v/>
      </c>
      <c r="AA63" s="28">
        <f>IF($B63="","",IF(IFERROR(INDEX(CONFIG!$L$4:$L$63,MATCH($V63,CONFIG!$K$4:$K$63,0)),"NO")="SÍ",IF(OR($Y63="",$X63=""),"Resuelta",IF($Y63&gt;$X63,"Resuelta tarde","Resuelta a tiempo")),IF($X63="","Sin clasificar",IF(TODAY()&gt;$X63,"Vencida",IF(TODAY()&gt;=$X63-1,"Por vencer","En plazo")))))</f>
        <v/>
      </c>
      <c r="AB63" s="50" t="n"/>
      <c r="AC63" s="50" t="n"/>
    </row>
    <row r="64" ht="16" customHeight="1">
      <c r="A64" s="28">
        <f>IF($B64="","","N-"&amp;TEXT(ROW()-3,"0000"))</f>
        <v/>
      </c>
      <c r="B64" s="47" t="n"/>
      <c r="C64" s="48" t="n"/>
      <c r="D64" s="48" t="n"/>
      <c r="E64" s="28">
        <f>IF($C64="","",IF($D64="",IF($C64="Interna","Sin guía (interna)","FALTA GUÍA"),IF(COUNTIFS(ENVIOS!$A$4:$A$3003,$D64)=0,"NO EXISTE",IF(COUNTIFS(ENVIOS!$A$4:$A$3003,$D64)&gt;1,"DUPLICADA","OK"))))</f>
        <v/>
      </c>
      <c r="F64" s="28">
        <f>IF($D64="","",IFERROR(INDEX(ENVIOS!$B$4:$B$3003,MATCH($D64,ENVIOS!$A$4:$A$3003,0)),"—"))</f>
        <v/>
      </c>
      <c r="G64" s="23">
        <f>IF($D64="","",IFERROR(INDEX(ENVIOS!$D$4:$D$3003,MATCH($D64,ENVIOS!$A$4:$A$3003,0)),"—"))</f>
        <v/>
      </c>
      <c r="H64" s="23">
        <f>IF($D64="","",IFERROR(INDEX(ENVIOS!$E$4:$E$3003,MATCH($D64,ENVIOS!$A$4:$A$3003,0)),"—"))</f>
        <v/>
      </c>
      <c r="I64" s="23">
        <f>IF($D64="","",IFERROR(INDEX(ENVIOS!$F$4:$F$3003,MATCH($D64,ENVIOS!$A$4:$A$3003,0)),"—"))</f>
        <v/>
      </c>
      <c r="J64" s="23">
        <f>IF($D64="","",IFERROR(INDEX(ENVIOS!$G$4:$G$3003,MATCH($D64,ENVIOS!$A$4:$A$3003,0)),"—"))</f>
        <v/>
      </c>
      <c r="K64" s="28">
        <f>IF($D64="","",IFERROR(INDEX(ENVIOS!$H$4:$H$3003,MATCH($D64,ENVIOS!$A$4:$A$3003,0)),"—"))</f>
        <v/>
      </c>
      <c r="L64" s="49">
        <f>IF($D64="","",IFERROR(INDEX(ENVIOS!$C$4:$C$3003,MATCH($D64,ENVIOS!$A$4:$A$3003,0)),""))</f>
        <v/>
      </c>
      <c r="M64" s="50" t="n"/>
      <c r="N64" s="28">
        <f>IF($M64="","",IFERROR(INDEX(CONFIG!$C$4:$C$63,MATCH($M64,CONFIG!$A$4:$A$63,0)),"Media"))</f>
        <v/>
      </c>
      <c r="O64" s="28">
        <f>IF($M64="","",IF($C64="Interna","NO",IFERROR(INDEX(CONFIG!$E$4:$E$63,MATCH($M64,CONFIG!$A$4:$A$63,0)),"NO")))</f>
        <v/>
      </c>
      <c r="P64" s="50" t="n"/>
      <c r="Q64" s="50" t="n"/>
      <c r="R64" s="28">
        <f>IF($Q64="","",IFERROR(INDEX(CONFIG!$H$4:$H$63,MATCH($Q64,CONFIG!$G$4:$G$63,0)),"Por definir"))</f>
        <v/>
      </c>
      <c r="S64" s="28">
        <f>IF($Q64="","",IFERROR(INDEX(CONFIG!$I$4:$I$63,MATCH($Q64,CONFIG!$G$4:$G$63,0)),"Por definir"))</f>
        <v/>
      </c>
      <c r="T64" s="51" t="n"/>
      <c r="U64" s="52" t="n"/>
      <c r="V64" s="50" t="n"/>
      <c r="W64" s="50" t="n"/>
      <c r="X64" s="49">
        <f>IF(OR($B64="",$M64=""),"",WORKDAY($B64,IFERROR(INDEX(CONFIG!$D$4:$D$63,MATCH($M64,CONFIG!$A$4:$A$63,0)),3)))</f>
        <v/>
      </c>
      <c r="Y64" s="47" t="n"/>
      <c r="Z64" s="24">
        <f>IF($B64="","",IF($Y64&lt;&gt;"",$Y64-$B64,TODAY()-$B64))</f>
        <v/>
      </c>
      <c r="AA64" s="28">
        <f>IF($B64="","",IF(IFERROR(INDEX(CONFIG!$L$4:$L$63,MATCH($V64,CONFIG!$K$4:$K$63,0)),"NO")="SÍ",IF(OR($Y64="",$X64=""),"Resuelta",IF($Y64&gt;$X64,"Resuelta tarde","Resuelta a tiempo")),IF($X64="","Sin clasificar",IF(TODAY()&gt;$X64,"Vencida",IF(TODAY()&gt;=$X64-1,"Por vencer","En plazo")))))</f>
        <v/>
      </c>
      <c r="AB64" s="50" t="n"/>
      <c r="AC64" s="50" t="n"/>
    </row>
    <row r="65" ht="16" customHeight="1">
      <c r="A65" s="28">
        <f>IF($B65="","","N-"&amp;TEXT(ROW()-3,"0000"))</f>
        <v/>
      </c>
      <c r="B65" s="47" t="n"/>
      <c r="C65" s="48" t="n"/>
      <c r="D65" s="48" t="n"/>
      <c r="E65" s="28">
        <f>IF($C65="","",IF($D65="",IF($C65="Interna","Sin guía (interna)","FALTA GUÍA"),IF(COUNTIFS(ENVIOS!$A$4:$A$3003,$D65)=0,"NO EXISTE",IF(COUNTIFS(ENVIOS!$A$4:$A$3003,$D65)&gt;1,"DUPLICADA","OK"))))</f>
        <v/>
      </c>
      <c r="F65" s="28">
        <f>IF($D65="","",IFERROR(INDEX(ENVIOS!$B$4:$B$3003,MATCH($D65,ENVIOS!$A$4:$A$3003,0)),"—"))</f>
        <v/>
      </c>
      <c r="G65" s="23">
        <f>IF($D65="","",IFERROR(INDEX(ENVIOS!$D$4:$D$3003,MATCH($D65,ENVIOS!$A$4:$A$3003,0)),"—"))</f>
        <v/>
      </c>
      <c r="H65" s="23">
        <f>IF($D65="","",IFERROR(INDEX(ENVIOS!$E$4:$E$3003,MATCH($D65,ENVIOS!$A$4:$A$3003,0)),"—"))</f>
        <v/>
      </c>
      <c r="I65" s="23">
        <f>IF($D65="","",IFERROR(INDEX(ENVIOS!$F$4:$F$3003,MATCH($D65,ENVIOS!$A$4:$A$3003,0)),"—"))</f>
        <v/>
      </c>
      <c r="J65" s="23">
        <f>IF($D65="","",IFERROR(INDEX(ENVIOS!$G$4:$G$3003,MATCH($D65,ENVIOS!$A$4:$A$3003,0)),"—"))</f>
        <v/>
      </c>
      <c r="K65" s="28">
        <f>IF($D65="","",IFERROR(INDEX(ENVIOS!$H$4:$H$3003,MATCH($D65,ENVIOS!$A$4:$A$3003,0)),"—"))</f>
        <v/>
      </c>
      <c r="L65" s="49">
        <f>IF($D65="","",IFERROR(INDEX(ENVIOS!$C$4:$C$3003,MATCH($D65,ENVIOS!$A$4:$A$3003,0)),""))</f>
        <v/>
      </c>
      <c r="M65" s="50" t="n"/>
      <c r="N65" s="28">
        <f>IF($M65="","",IFERROR(INDEX(CONFIG!$C$4:$C$63,MATCH($M65,CONFIG!$A$4:$A$63,0)),"Media"))</f>
        <v/>
      </c>
      <c r="O65" s="28">
        <f>IF($M65="","",IF($C65="Interna","NO",IFERROR(INDEX(CONFIG!$E$4:$E$63,MATCH($M65,CONFIG!$A$4:$A$63,0)),"NO")))</f>
        <v/>
      </c>
      <c r="P65" s="50" t="n"/>
      <c r="Q65" s="50" t="n"/>
      <c r="R65" s="28">
        <f>IF($Q65="","",IFERROR(INDEX(CONFIG!$H$4:$H$63,MATCH($Q65,CONFIG!$G$4:$G$63,0)),"Por definir"))</f>
        <v/>
      </c>
      <c r="S65" s="28">
        <f>IF($Q65="","",IFERROR(INDEX(CONFIG!$I$4:$I$63,MATCH($Q65,CONFIG!$G$4:$G$63,0)),"Por definir"))</f>
        <v/>
      </c>
      <c r="T65" s="51" t="n"/>
      <c r="U65" s="52" t="n"/>
      <c r="V65" s="50" t="n"/>
      <c r="W65" s="50" t="n"/>
      <c r="X65" s="49">
        <f>IF(OR($B65="",$M65=""),"",WORKDAY($B65,IFERROR(INDEX(CONFIG!$D$4:$D$63,MATCH($M65,CONFIG!$A$4:$A$63,0)),3)))</f>
        <v/>
      </c>
      <c r="Y65" s="47" t="n"/>
      <c r="Z65" s="24">
        <f>IF($B65="","",IF($Y65&lt;&gt;"",$Y65-$B65,TODAY()-$B65))</f>
        <v/>
      </c>
      <c r="AA65" s="28">
        <f>IF($B65="","",IF(IFERROR(INDEX(CONFIG!$L$4:$L$63,MATCH($V65,CONFIG!$K$4:$K$63,0)),"NO")="SÍ",IF(OR($Y65="",$X65=""),"Resuelta",IF($Y65&gt;$X65,"Resuelta tarde","Resuelta a tiempo")),IF($X65="","Sin clasificar",IF(TODAY()&gt;$X65,"Vencida",IF(TODAY()&gt;=$X65-1,"Por vencer","En plazo")))))</f>
        <v/>
      </c>
      <c r="AB65" s="50" t="n"/>
      <c r="AC65" s="50" t="n"/>
    </row>
    <row r="66" ht="16" customHeight="1">
      <c r="A66" s="28">
        <f>IF($B66="","","N-"&amp;TEXT(ROW()-3,"0000"))</f>
        <v/>
      </c>
      <c r="B66" s="47" t="n"/>
      <c r="C66" s="48" t="n"/>
      <c r="D66" s="48" t="n"/>
      <c r="E66" s="28">
        <f>IF($C66="","",IF($D66="",IF($C66="Interna","Sin guía (interna)","FALTA GUÍA"),IF(COUNTIFS(ENVIOS!$A$4:$A$3003,$D66)=0,"NO EXISTE",IF(COUNTIFS(ENVIOS!$A$4:$A$3003,$D66)&gt;1,"DUPLICADA","OK"))))</f>
        <v/>
      </c>
      <c r="F66" s="28">
        <f>IF($D66="","",IFERROR(INDEX(ENVIOS!$B$4:$B$3003,MATCH($D66,ENVIOS!$A$4:$A$3003,0)),"—"))</f>
        <v/>
      </c>
      <c r="G66" s="23">
        <f>IF($D66="","",IFERROR(INDEX(ENVIOS!$D$4:$D$3003,MATCH($D66,ENVIOS!$A$4:$A$3003,0)),"—"))</f>
        <v/>
      </c>
      <c r="H66" s="23">
        <f>IF($D66="","",IFERROR(INDEX(ENVIOS!$E$4:$E$3003,MATCH($D66,ENVIOS!$A$4:$A$3003,0)),"—"))</f>
        <v/>
      </c>
      <c r="I66" s="23">
        <f>IF($D66="","",IFERROR(INDEX(ENVIOS!$F$4:$F$3003,MATCH($D66,ENVIOS!$A$4:$A$3003,0)),"—"))</f>
        <v/>
      </c>
      <c r="J66" s="23">
        <f>IF($D66="","",IFERROR(INDEX(ENVIOS!$G$4:$G$3003,MATCH($D66,ENVIOS!$A$4:$A$3003,0)),"—"))</f>
        <v/>
      </c>
      <c r="K66" s="28">
        <f>IF($D66="","",IFERROR(INDEX(ENVIOS!$H$4:$H$3003,MATCH($D66,ENVIOS!$A$4:$A$3003,0)),"—"))</f>
        <v/>
      </c>
      <c r="L66" s="49">
        <f>IF($D66="","",IFERROR(INDEX(ENVIOS!$C$4:$C$3003,MATCH($D66,ENVIOS!$A$4:$A$3003,0)),""))</f>
        <v/>
      </c>
      <c r="M66" s="50" t="n"/>
      <c r="N66" s="28">
        <f>IF($M66="","",IFERROR(INDEX(CONFIG!$C$4:$C$63,MATCH($M66,CONFIG!$A$4:$A$63,0)),"Media"))</f>
        <v/>
      </c>
      <c r="O66" s="28">
        <f>IF($M66="","",IF($C66="Interna","NO",IFERROR(INDEX(CONFIG!$E$4:$E$63,MATCH($M66,CONFIG!$A$4:$A$63,0)),"NO")))</f>
        <v/>
      </c>
      <c r="P66" s="50" t="n"/>
      <c r="Q66" s="50" t="n"/>
      <c r="R66" s="28">
        <f>IF($Q66="","",IFERROR(INDEX(CONFIG!$H$4:$H$63,MATCH($Q66,CONFIG!$G$4:$G$63,0)),"Por definir"))</f>
        <v/>
      </c>
      <c r="S66" s="28">
        <f>IF($Q66="","",IFERROR(INDEX(CONFIG!$I$4:$I$63,MATCH($Q66,CONFIG!$G$4:$G$63,0)),"Por definir"))</f>
        <v/>
      </c>
      <c r="T66" s="51" t="n"/>
      <c r="U66" s="52" t="n"/>
      <c r="V66" s="50" t="n"/>
      <c r="W66" s="50" t="n"/>
      <c r="X66" s="49">
        <f>IF(OR($B66="",$M66=""),"",WORKDAY($B66,IFERROR(INDEX(CONFIG!$D$4:$D$63,MATCH($M66,CONFIG!$A$4:$A$63,0)),3)))</f>
        <v/>
      </c>
      <c r="Y66" s="47" t="n"/>
      <c r="Z66" s="24">
        <f>IF($B66="","",IF($Y66&lt;&gt;"",$Y66-$B66,TODAY()-$B66))</f>
        <v/>
      </c>
      <c r="AA66" s="28">
        <f>IF($B66="","",IF(IFERROR(INDEX(CONFIG!$L$4:$L$63,MATCH($V66,CONFIG!$K$4:$K$63,0)),"NO")="SÍ",IF(OR($Y66="",$X66=""),"Resuelta",IF($Y66&gt;$X66,"Resuelta tarde","Resuelta a tiempo")),IF($X66="","Sin clasificar",IF(TODAY()&gt;$X66,"Vencida",IF(TODAY()&gt;=$X66-1,"Por vencer","En plazo")))))</f>
        <v/>
      </c>
      <c r="AB66" s="50" t="n"/>
      <c r="AC66" s="50" t="n"/>
    </row>
    <row r="67" ht="16" customHeight="1">
      <c r="A67" s="28">
        <f>IF($B67="","","N-"&amp;TEXT(ROW()-3,"0000"))</f>
        <v/>
      </c>
      <c r="B67" s="47" t="n"/>
      <c r="C67" s="48" t="n"/>
      <c r="D67" s="48" t="n"/>
      <c r="E67" s="28">
        <f>IF($C67="","",IF($D67="",IF($C67="Interna","Sin guía (interna)","FALTA GUÍA"),IF(COUNTIFS(ENVIOS!$A$4:$A$3003,$D67)=0,"NO EXISTE",IF(COUNTIFS(ENVIOS!$A$4:$A$3003,$D67)&gt;1,"DUPLICADA","OK"))))</f>
        <v/>
      </c>
      <c r="F67" s="28">
        <f>IF($D67="","",IFERROR(INDEX(ENVIOS!$B$4:$B$3003,MATCH($D67,ENVIOS!$A$4:$A$3003,0)),"—"))</f>
        <v/>
      </c>
      <c r="G67" s="23">
        <f>IF($D67="","",IFERROR(INDEX(ENVIOS!$D$4:$D$3003,MATCH($D67,ENVIOS!$A$4:$A$3003,0)),"—"))</f>
        <v/>
      </c>
      <c r="H67" s="23">
        <f>IF($D67="","",IFERROR(INDEX(ENVIOS!$E$4:$E$3003,MATCH($D67,ENVIOS!$A$4:$A$3003,0)),"—"))</f>
        <v/>
      </c>
      <c r="I67" s="23">
        <f>IF($D67="","",IFERROR(INDEX(ENVIOS!$F$4:$F$3003,MATCH($D67,ENVIOS!$A$4:$A$3003,0)),"—"))</f>
        <v/>
      </c>
      <c r="J67" s="23">
        <f>IF($D67="","",IFERROR(INDEX(ENVIOS!$G$4:$G$3003,MATCH($D67,ENVIOS!$A$4:$A$3003,0)),"—"))</f>
        <v/>
      </c>
      <c r="K67" s="28">
        <f>IF($D67="","",IFERROR(INDEX(ENVIOS!$H$4:$H$3003,MATCH($D67,ENVIOS!$A$4:$A$3003,0)),"—"))</f>
        <v/>
      </c>
      <c r="L67" s="49">
        <f>IF($D67="","",IFERROR(INDEX(ENVIOS!$C$4:$C$3003,MATCH($D67,ENVIOS!$A$4:$A$3003,0)),""))</f>
        <v/>
      </c>
      <c r="M67" s="50" t="n"/>
      <c r="N67" s="28">
        <f>IF($M67="","",IFERROR(INDEX(CONFIG!$C$4:$C$63,MATCH($M67,CONFIG!$A$4:$A$63,0)),"Media"))</f>
        <v/>
      </c>
      <c r="O67" s="28">
        <f>IF($M67="","",IF($C67="Interna","NO",IFERROR(INDEX(CONFIG!$E$4:$E$63,MATCH($M67,CONFIG!$A$4:$A$63,0)),"NO")))</f>
        <v/>
      </c>
      <c r="P67" s="50" t="n"/>
      <c r="Q67" s="50" t="n"/>
      <c r="R67" s="28">
        <f>IF($Q67="","",IFERROR(INDEX(CONFIG!$H$4:$H$63,MATCH($Q67,CONFIG!$G$4:$G$63,0)),"Por definir"))</f>
        <v/>
      </c>
      <c r="S67" s="28">
        <f>IF($Q67="","",IFERROR(INDEX(CONFIG!$I$4:$I$63,MATCH($Q67,CONFIG!$G$4:$G$63,0)),"Por definir"))</f>
        <v/>
      </c>
      <c r="T67" s="51" t="n"/>
      <c r="U67" s="52" t="n"/>
      <c r="V67" s="50" t="n"/>
      <c r="W67" s="50" t="n"/>
      <c r="X67" s="49">
        <f>IF(OR($B67="",$M67=""),"",WORKDAY($B67,IFERROR(INDEX(CONFIG!$D$4:$D$63,MATCH($M67,CONFIG!$A$4:$A$63,0)),3)))</f>
        <v/>
      </c>
      <c r="Y67" s="47" t="n"/>
      <c r="Z67" s="24">
        <f>IF($B67="","",IF($Y67&lt;&gt;"",$Y67-$B67,TODAY()-$B67))</f>
        <v/>
      </c>
      <c r="AA67" s="28">
        <f>IF($B67="","",IF(IFERROR(INDEX(CONFIG!$L$4:$L$63,MATCH($V67,CONFIG!$K$4:$K$63,0)),"NO")="SÍ",IF(OR($Y67="",$X67=""),"Resuelta",IF($Y67&gt;$X67,"Resuelta tarde","Resuelta a tiempo")),IF($X67="","Sin clasificar",IF(TODAY()&gt;$X67,"Vencida",IF(TODAY()&gt;=$X67-1,"Por vencer","En plazo")))))</f>
        <v/>
      </c>
      <c r="AB67" s="50" t="n"/>
      <c r="AC67" s="50" t="n"/>
    </row>
    <row r="68" ht="16" customHeight="1">
      <c r="A68" s="28">
        <f>IF($B68="","","N-"&amp;TEXT(ROW()-3,"0000"))</f>
        <v/>
      </c>
      <c r="B68" s="47" t="n"/>
      <c r="C68" s="48" t="n"/>
      <c r="D68" s="48" t="n"/>
      <c r="E68" s="28">
        <f>IF($C68="","",IF($D68="",IF($C68="Interna","Sin guía (interna)","FALTA GUÍA"),IF(COUNTIFS(ENVIOS!$A$4:$A$3003,$D68)=0,"NO EXISTE",IF(COUNTIFS(ENVIOS!$A$4:$A$3003,$D68)&gt;1,"DUPLICADA","OK"))))</f>
        <v/>
      </c>
      <c r="F68" s="28">
        <f>IF($D68="","",IFERROR(INDEX(ENVIOS!$B$4:$B$3003,MATCH($D68,ENVIOS!$A$4:$A$3003,0)),"—"))</f>
        <v/>
      </c>
      <c r="G68" s="23">
        <f>IF($D68="","",IFERROR(INDEX(ENVIOS!$D$4:$D$3003,MATCH($D68,ENVIOS!$A$4:$A$3003,0)),"—"))</f>
        <v/>
      </c>
      <c r="H68" s="23">
        <f>IF($D68="","",IFERROR(INDEX(ENVIOS!$E$4:$E$3003,MATCH($D68,ENVIOS!$A$4:$A$3003,0)),"—"))</f>
        <v/>
      </c>
      <c r="I68" s="23">
        <f>IF($D68="","",IFERROR(INDEX(ENVIOS!$F$4:$F$3003,MATCH($D68,ENVIOS!$A$4:$A$3003,0)),"—"))</f>
        <v/>
      </c>
      <c r="J68" s="23">
        <f>IF($D68="","",IFERROR(INDEX(ENVIOS!$G$4:$G$3003,MATCH($D68,ENVIOS!$A$4:$A$3003,0)),"—"))</f>
        <v/>
      </c>
      <c r="K68" s="28">
        <f>IF($D68="","",IFERROR(INDEX(ENVIOS!$H$4:$H$3003,MATCH($D68,ENVIOS!$A$4:$A$3003,0)),"—"))</f>
        <v/>
      </c>
      <c r="L68" s="49">
        <f>IF($D68="","",IFERROR(INDEX(ENVIOS!$C$4:$C$3003,MATCH($D68,ENVIOS!$A$4:$A$3003,0)),""))</f>
        <v/>
      </c>
      <c r="M68" s="50" t="n"/>
      <c r="N68" s="28">
        <f>IF($M68="","",IFERROR(INDEX(CONFIG!$C$4:$C$63,MATCH($M68,CONFIG!$A$4:$A$63,0)),"Media"))</f>
        <v/>
      </c>
      <c r="O68" s="28">
        <f>IF($M68="","",IF($C68="Interna","NO",IFERROR(INDEX(CONFIG!$E$4:$E$63,MATCH($M68,CONFIG!$A$4:$A$63,0)),"NO")))</f>
        <v/>
      </c>
      <c r="P68" s="50" t="n"/>
      <c r="Q68" s="50" t="n"/>
      <c r="R68" s="28">
        <f>IF($Q68="","",IFERROR(INDEX(CONFIG!$H$4:$H$63,MATCH($Q68,CONFIG!$G$4:$G$63,0)),"Por definir"))</f>
        <v/>
      </c>
      <c r="S68" s="28">
        <f>IF($Q68="","",IFERROR(INDEX(CONFIG!$I$4:$I$63,MATCH($Q68,CONFIG!$G$4:$G$63,0)),"Por definir"))</f>
        <v/>
      </c>
      <c r="T68" s="51" t="n"/>
      <c r="U68" s="52" t="n"/>
      <c r="V68" s="50" t="n"/>
      <c r="W68" s="50" t="n"/>
      <c r="X68" s="49">
        <f>IF(OR($B68="",$M68=""),"",WORKDAY($B68,IFERROR(INDEX(CONFIG!$D$4:$D$63,MATCH($M68,CONFIG!$A$4:$A$63,0)),3)))</f>
        <v/>
      </c>
      <c r="Y68" s="47" t="n"/>
      <c r="Z68" s="24">
        <f>IF($B68="","",IF($Y68&lt;&gt;"",$Y68-$B68,TODAY()-$B68))</f>
        <v/>
      </c>
      <c r="AA68" s="28">
        <f>IF($B68="","",IF(IFERROR(INDEX(CONFIG!$L$4:$L$63,MATCH($V68,CONFIG!$K$4:$K$63,0)),"NO")="SÍ",IF(OR($Y68="",$X68=""),"Resuelta",IF($Y68&gt;$X68,"Resuelta tarde","Resuelta a tiempo")),IF($X68="","Sin clasificar",IF(TODAY()&gt;$X68,"Vencida",IF(TODAY()&gt;=$X68-1,"Por vencer","En plazo")))))</f>
        <v/>
      </c>
      <c r="AB68" s="50" t="n"/>
      <c r="AC68" s="50" t="n"/>
    </row>
    <row r="69" ht="16" customHeight="1">
      <c r="A69" s="28">
        <f>IF($B69="","","N-"&amp;TEXT(ROW()-3,"0000"))</f>
        <v/>
      </c>
      <c r="B69" s="47" t="n"/>
      <c r="C69" s="48" t="n"/>
      <c r="D69" s="48" t="n"/>
      <c r="E69" s="28">
        <f>IF($C69="","",IF($D69="",IF($C69="Interna","Sin guía (interna)","FALTA GUÍA"),IF(COUNTIFS(ENVIOS!$A$4:$A$3003,$D69)=0,"NO EXISTE",IF(COUNTIFS(ENVIOS!$A$4:$A$3003,$D69)&gt;1,"DUPLICADA","OK"))))</f>
        <v/>
      </c>
      <c r="F69" s="28">
        <f>IF($D69="","",IFERROR(INDEX(ENVIOS!$B$4:$B$3003,MATCH($D69,ENVIOS!$A$4:$A$3003,0)),"—"))</f>
        <v/>
      </c>
      <c r="G69" s="23">
        <f>IF($D69="","",IFERROR(INDEX(ENVIOS!$D$4:$D$3003,MATCH($D69,ENVIOS!$A$4:$A$3003,0)),"—"))</f>
        <v/>
      </c>
      <c r="H69" s="23">
        <f>IF($D69="","",IFERROR(INDEX(ENVIOS!$E$4:$E$3003,MATCH($D69,ENVIOS!$A$4:$A$3003,0)),"—"))</f>
        <v/>
      </c>
      <c r="I69" s="23">
        <f>IF($D69="","",IFERROR(INDEX(ENVIOS!$F$4:$F$3003,MATCH($D69,ENVIOS!$A$4:$A$3003,0)),"—"))</f>
        <v/>
      </c>
      <c r="J69" s="23">
        <f>IF($D69="","",IFERROR(INDEX(ENVIOS!$G$4:$G$3003,MATCH($D69,ENVIOS!$A$4:$A$3003,0)),"—"))</f>
        <v/>
      </c>
      <c r="K69" s="28">
        <f>IF($D69="","",IFERROR(INDEX(ENVIOS!$H$4:$H$3003,MATCH($D69,ENVIOS!$A$4:$A$3003,0)),"—"))</f>
        <v/>
      </c>
      <c r="L69" s="49">
        <f>IF($D69="","",IFERROR(INDEX(ENVIOS!$C$4:$C$3003,MATCH($D69,ENVIOS!$A$4:$A$3003,0)),""))</f>
        <v/>
      </c>
      <c r="M69" s="50" t="n"/>
      <c r="N69" s="28">
        <f>IF($M69="","",IFERROR(INDEX(CONFIG!$C$4:$C$63,MATCH($M69,CONFIG!$A$4:$A$63,0)),"Media"))</f>
        <v/>
      </c>
      <c r="O69" s="28">
        <f>IF($M69="","",IF($C69="Interna","NO",IFERROR(INDEX(CONFIG!$E$4:$E$63,MATCH($M69,CONFIG!$A$4:$A$63,0)),"NO")))</f>
        <v/>
      </c>
      <c r="P69" s="50" t="n"/>
      <c r="Q69" s="50" t="n"/>
      <c r="R69" s="28">
        <f>IF($Q69="","",IFERROR(INDEX(CONFIG!$H$4:$H$63,MATCH($Q69,CONFIG!$G$4:$G$63,0)),"Por definir"))</f>
        <v/>
      </c>
      <c r="S69" s="28">
        <f>IF($Q69="","",IFERROR(INDEX(CONFIG!$I$4:$I$63,MATCH($Q69,CONFIG!$G$4:$G$63,0)),"Por definir"))</f>
        <v/>
      </c>
      <c r="T69" s="51" t="n"/>
      <c r="U69" s="52" t="n"/>
      <c r="V69" s="50" t="n"/>
      <c r="W69" s="50" t="n"/>
      <c r="X69" s="49">
        <f>IF(OR($B69="",$M69=""),"",WORKDAY($B69,IFERROR(INDEX(CONFIG!$D$4:$D$63,MATCH($M69,CONFIG!$A$4:$A$63,0)),3)))</f>
        <v/>
      </c>
      <c r="Y69" s="47" t="n"/>
      <c r="Z69" s="24">
        <f>IF($B69="","",IF($Y69&lt;&gt;"",$Y69-$B69,TODAY()-$B69))</f>
        <v/>
      </c>
      <c r="AA69" s="28">
        <f>IF($B69="","",IF(IFERROR(INDEX(CONFIG!$L$4:$L$63,MATCH($V69,CONFIG!$K$4:$K$63,0)),"NO")="SÍ",IF(OR($Y69="",$X69=""),"Resuelta",IF($Y69&gt;$X69,"Resuelta tarde","Resuelta a tiempo")),IF($X69="","Sin clasificar",IF(TODAY()&gt;$X69,"Vencida",IF(TODAY()&gt;=$X69-1,"Por vencer","En plazo")))))</f>
        <v/>
      </c>
      <c r="AB69" s="50" t="n"/>
      <c r="AC69" s="50" t="n"/>
    </row>
    <row r="70" ht="16" customHeight="1">
      <c r="A70" s="28">
        <f>IF($B70="","","N-"&amp;TEXT(ROW()-3,"0000"))</f>
        <v/>
      </c>
      <c r="B70" s="47" t="n"/>
      <c r="C70" s="48" t="n"/>
      <c r="D70" s="48" t="n"/>
      <c r="E70" s="28">
        <f>IF($C70="","",IF($D70="",IF($C70="Interna","Sin guía (interna)","FALTA GUÍA"),IF(COUNTIFS(ENVIOS!$A$4:$A$3003,$D70)=0,"NO EXISTE",IF(COUNTIFS(ENVIOS!$A$4:$A$3003,$D70)&gt;1,"DUPLICADA","OK"))))</f>
        <v/>
      </c>
      <c r="F70" s="28">
        <f>IF($D70="","",IFERROR(INDEX(ENVIOS!$B$4:$B$3003,MATCH($D70,ENVIOS!$A$4:$A$3003,0)),"—"))</f>
        <v/>
      </c>
      <c r="G70" s="23">
        <f>IF($D70="","",IFERROR(INDEX(ENVIOS!$D$4:$D$3003,MATCH($D70,ENVIOS!$A$4:$A$3003,0)),"—"))</f>
        <v/>
      </c>
      <c r="H70" s="23">
        <f>IF($D70="","",IFERROR(INDEX(ENVIOS!$E$4:$E$3003,MATCH($D70,ENVIOS!$A$4:$A$3003,0)),"—"))</f>
        <v/>
      </c>
      <c r="I70" s="23">
        <f>IF($D70="","",IFERROR(INDEX(ENVIOS!$F$4:$F$3003,MATCH($D70,ENVIOS!$A$4:$A$3003,0)),"—"))</f>
        <v/>
      </c>
      <c r="J70" s="23">
        <f>IF($D70="","",IFERROR(INDEX(ENVIOS!$G$4:$G$3003,MATCH($D70,ENVIOS!$A$4:$A$3003,0)),"—"))</f>
        <v/>
      </c>
      <c r="K70" s="28">
        <f>IF($D70="","",IFERROR(INDEX(ENVIOS!$H$4:$H$3003,MATCH($D70,ENVIOS!$A$4:$A$3003,0)),"—"))</f>
        <v/>
      </c>
      <c r="L70" s="49">
        <f>IF($D70="","",IFERROR(INDEX(ENVIOS!$C$4:$C$3003,MATCH($D70,ENVIOS!$A$4:$A$3003,0)),""))</f>
        <v/>
      </c>
      <c r="M70" s="50" t="n"/>
      <c r="N70" s="28">
        <f>IF($M70="","",IFERROR(INDEX(CONFIG!$C$4:$C$63,MATCH($M70,CONFIG!$A$4:$A$63,0)),"Media"))</f>
        <v/>
      </c>
      <c r="O70" s="28">
        <f>IF($M70="","",IF($C70="Interna","NO",IFERROR(INDEX(CONFIG!$E$4:$E$63,MATCH($M70,CONFIG!$A$4:$A$63,0)),"NO")))</f>
        <v/>
      </c>
      <c r="P70" s="50" t="n"/>
      <c r="Q70" s="50" t="n"/>
      <c r="R70" s="28">
        <f>IF($Q70="","",IFERROR(INDEX(CONFIG!$H$4:$H$63,MATCH($Q70,CONFIG!$G$4:$G$63,0)),"Por definir"))</f>
        <v/>
      </c>
      <c r="S70" s="28">
        <f>IF($Q70="","",IFERROR(INDEX(CONFIG!$I$4:$I$63,MATCH($Q70,CONFIG!$G$4:$G$63,0)),"Por definir"))</f>
        <v/>
      </c>
      <c r="T70" s="51" t="n"/>
      <c r="U70" s="52" t="n"/>
      <c r="V70" s="50" t="n"/>
      <c r="W70" s="50" t="n"/>
      <c r="X70" s="49">
        <f>IF(OR($B70="",$M70=""),"",WORKDAY($B70,IFERROR(INDEX(CONFIG!$D$4:$D$63,MATCH($M70,CONFIG!$A$4:$A$63,0)),3)))</f>
        <v/>
      </c>
      <c r="Y70" s="47" t="n"/>
      <c r="Z70" s="24">
        <f>IF($B70="","",IF($Y70&lt;&gt;"",$Y70-$B70,TODAY()-$B70))</f>
        <v/>
      </c>
      <c r="AA70" s="28">
        <f>IF($B70="","",IF(IFERROR(INDEX(CONFIG!$L$4:$L$63,MATCH($V70,CONFIG!$K$4:$K$63,0)),"NO")="SÍ",IF(OR($Y70="",$X70=""),"Resuelta",IF($Y70&gt;$X70,"Resuelta tarde","Resuelta a tiempo")),IF($X70="","Sin clasificar",IF(TODAY()&gt;$X70,"Vencida",IF(TODAY()&gt;=$X70-1,"Por vencer","En plazo")))))</f>
        <v/>
      </c>
      <c r="AB70" s="50" t="n"/>
      <c r="AC70" s="50" t="n"/>
    </row>
    <row r="71" ht="16" customHeight="1">
      <c r="A71" s="28">
        <f>IF($B71="","","N-"&amp;TEXT(ROW()-3,"0000"))</f>
        <v/>
      </c>
      <c r="B71" s="47" t="n"/>
      <c r="C71" s="48" t="n"/>
      <c r="D71" s="48" t="n"/>
      <c r="E71" s="28">
        <f>IF($C71="","",IF($D71="",IF($C71="Interna","Sin guía (interna)","FALTA GUÍA"),IF(COUNTIFS(ENVIOS!$A$4:$A$3003,$D71)=0,"NO EXISTE",IF(COUNTIFS(ENVIOS!$A$4:$A$3003,$D71)&gt;1,"DUPLICADA","OK"))))</f>
        <v/>
      </c>
      <c r="F71" s="28">
        <f>IF($D71="","",IFERROR(INDEX(ENVIOS!$B$4:$B$3003,MATCH($D71,ENVIOS!$A$4:$A$3003,0)),"—"))</f>
        <v/>
      </c>
      <c r="G71" s="23">
        <f>IF($D71="","",IFERROR(INDEX(ENVIOS!$D$4:$D$3003,MATCH($D71,ENVIOS!$A$4:$A$3003,0)),"—"))</f>
        <v/>
      </c>
      <c r="H71" s="23">
        <f>IF($D71="","",IFERROR(INDEX(ENVIOS!$E$4:$E$3003,MATCH($D71,ENVIOS!$A$4:$A$3003,0)),"—"))</f>
        <v/>
      </c>
      <c r="I71" s="23">
        <f>IF($D71="","",IFERROR(INDEX(ENVIOS!$F$4:$F$3003,MATCH($D71,ENVIOS!$A$4:$A$3003,0)),"—"))</f>
        <v/>
      </c>
      <c r="J71" s="23">
        <f>IF($D71="","",IFERROR(INDEX(ENVIOS!$G$4:$G$3003,MATCH($D71,ENVIOS!$A$4:$A$3003,0)),"—"))</f>
        <v/>
      </c>
      <c r="K71" s="28">
        <f>IF($D71="","",IFERROR(INDEX(ENVIOS!$H$4:$H$3003,MATCH($D71,ENVIOS!$A$4:$A$3003,0)),"—"))</f>
        <v/>
      </c>
      <c r="L71" s="49">
        <f>IF($D71="","",IFERROR(INDEX(ENVIOS!$C$4:$C$3003,MATCH($D71,ENVIOS!$A$4:$A$3003,0)),""))</f>
        <v/>
      </c>
      <c r="M71" s="50" t="n"/>
      <c r="N71" s="28">
        <f>IF($M71="","",IFERROR(INDEX(CONFIG!$C$4:$C$63,MATCH($M71,CONFIG!$A$4:$A$63,0)),"Media"))</f>
        <v/>
      </c>
      <c r="O71" s="28">
        <f>IF($M71="","",IF($C71="Interna","NO",IFERROR(INDEX(CONFIG!$E$4:$E$63,MATCH($M71,CONFIG!$A$4:$A$63,0)),"NO")))</f>
        <v/>
      </c>
      <c r="P71" s="50" t="n"/>
      <c r="Q71" s="50" t="n"/>
      <c r="R71" s="28">
        <f>IF($Q71="","",IFERROR(INDEX(CONFIG!$H$4:$H$63,MATCH($Q71,CONFIG!$G$4:$G$63,0)),"Por definir"))</f>
        <v/>
      </c>
      <c r="S71" s="28">
        <f>IF($Q71="","",IFERROR(INDEX(CONFIG!$I$4:$I$63,MATCH($Q71,CONFIG!$G$4:$G$63,0)),"Por definir"))</f>
        <v/>
      </c>
      <c r="T71" s="51" t="n"/>
      <c r="U71" s="52" t="n"/>
      <c r="V71" s="50" t="n"/>
      <c r="W71" s="50" t="n"/>
      <c r="X71" s="49">
        <f>IF(OR($B71="",$M71=""),"",WORKDAY($B71,IFERROR(INDEX(CONFIG!$D$4:$D$63,MATCH($M71,CONFIG!$A$4:$A$63,0)),3)))</f>
        <v/>
      </c>
      <c r="Y71" s="47" t="n"/>
      <c r="Z71" s="24">
        <f>IF($B71="","",IF($Y71&lt;&gt;"",$Y71-$B71,TODAY()-$B71))</f>
        <v/>
      </c>
      <c r="AA71" s="28">
        <f>IF($B71="","",IF(IFERROR(INDEX(CONFIG!$L$4:$L$63,MATCH($V71,CONFIG!$K$4:$K$63,0)),"NO")="SÍ",IF(OR($Y71="",$X71=""),"Resuelta",IF($Y71&gt;$X71,"Resuelta tarde","Resuelta a tiempo")),IF($X71="","Sin clasificar",IF(TODAY()&gt;$X71,"Vencida",IF(TODAY()&gt;=$X71-1,"Por vencer","En plazo")))))</f>
        <v/>
      </c>
      <c r="AB71" s="50" t="n"/>
      <c r="AC71" s="50" t="n"/>
    </row>
    <row r="72" ht="16" customHeight="1">
      <c r="A72" s="28">
        <f>IF($B72="","","N-"&amp;TEXT(ROW()-3,"0000"))</f>
        <v/>
      </c>
      <c r="B72" s="47" t="n"/>
      <c r="C72" s="48" t="n"/>
      <c r="D72" s="48" t="n"/>
      <c r="E72" s="28">
        <f>IF($C72="","",IF($D72="",IF($C72="Interna","Sin guía (interna)","FALTA GUÍA"),IF(COUNTIFS(ENVIOS!$A$4:$A$3003,$D72)=0,"NO EXISTE",IF(COUNTIFS(ENVIOS!$A$4:$A$3003,$D72)&gt;1,"DUPLICADA","OK"))))</f>
        <v/>
      </c>
      <c r="F72" s="28">
        <f>IF($D72="","",IFERROR(INDEX(ENVIOS!$B$4:$B$3003,MATCH($D72,ENVIOS!$A$4:$A$3003,0)),"—"))</f>
        <v/>
      </c>
      <c r="G72" s="23">
        <f>IF($D72="","",IFERROR(INDEX(ENVIOS!$D$4:$D$3003,MATCH($D72,ENVIOS!$A$4:$A$3003,0)),"—"))</f>
        <v/>
      </c>
      <c r="H72" s="23">
        <f>IF($D72="","",IFERROR(INDEX(ENVIOS!$E$4:$E$3003,MATCH($D72,ENVIOS!$A$4:$A$3003,0)),"—"))</f>
        <v/>
      </c>
      <c r="I72" s="23">
        <f>IF($D72="","",IFERROR(INDEX(ENVIOS!$F$4:$F$3003,MATCH($D72,ENVIOS!$A$4:$A$3003,0)),"—"))</f>
        <v/>
      </c>
      <c r="J72" s="23">
        <f>IF($D72="","",IFERROR(INDEX(ENVIOS!$G$4:$G$3003,MATCH($D72,ENVIOS!$A$4:$A$3003,0)),"—"))</f>
        <v/>
      </c>
      <c r="K72" s="28">
        <f>IF($D72="","",IFERROR(INDEX(ENVIOS!$H$4:$H$3003,MATCH($D72,ENVIOS!$A$4:$A$3003,0)),"—"))</f>
        <v/>
      </c>
      <c r="L72" s="49">
        <f>IF($D72="","",IFERROR(INDEX(ENVIOS!$C$4:$C$3003,MATCH($D72,ENVIOS!$A$4:$A$3003,0)),""))</f>
        <v/>
      </c>
      <c r="M72" s="50" t="n"/>
      <c r="N72" s="28">
        <f>IF($M72="","",IFERROR(INDEX(CONFIG!$C$4:$C$63,MATCH($M72,CONFIG!$A$4:$A$63,0)),"Media"))</f>
        <v/>
      </c>
      <c r="O72" s="28">
        <f>IF($M72="","",IF($C72="Interna","NO",IFERROR(INDEX(CONFIG!$E$4:$E$63,MATCH($M72,CONFIG!$A$4:$A$63,0)),"NO")))</f>
        <v/>
      </c>
      <c r="P72" s="50" t="n"/>
      <c r="Q72" s="50" t="n"/>
      <c r="R72" s="28">
        <f>IF($Q72="","",IFERROR(INDEX(CONFIG!$H$4:$H$63,MATCH($Q72,CONFIG!$G$4:$G$63,0)),"Por definir"))</f>
        <v/>
      </c>
      <c r="S72" s="28">
        <f>IF($Q72="","",IFERROR(INDEX(CONFIG!$I$4:$I$63,MATCH($Q72,CONFIG!$G$4:$G$63,0)),"Por definir"))</f>
        <v/>
      </c>
      <c r="T72" s="51" t="n"/>
      <c r="U72" s="52" t="n"/>
      <c r="V72" s="50" t="n"/>
      <c r="W72" s="50" t="n"/>
      <c r="X72" s="49">
        <f>IF(OR($B72="",$M72=""),"",WORKDAY($B72,IFERROR(INDEX(CONFIG!$D$4:$D$63,MATCH($M72,CONFIG!$A$4:$A$63,0)),3)))</f>
        <v/>
      </c>
      <c r="Y72" s="47" t="n"/>
      <c r="Z72" s="24">
        <f>IF($B72="","",IF($Y72&lt;&gt;"",$Y72-$B72,TODAY()-$B72))</f>
        <v/>
      </c>
      <c r="AA72" s="28">
        <f>IF($B72="","",IF(IFERROR(INDEX(CONFIG!$L$4:$L$63,MATCH($V72,CONFIG!$K$4:$K$63,0)),"NO")="SÍ",IF(OR($Y72="",$X72=""),"Resuelta",IF($Y72&gt;$X72,"Resuelta tarde","Resuelta a tiempo")),IF($X72="","Sin clasificar",IF(TODAY()&gt;$X72,"Vencida",IF(TODAY()&gt;=$X72-1,"Por vencer","En plazo")))))</f>
        <v/>
      </c>
      <c r="AB72" s="50" t="n"/>
      <c r="AC72" s="50" t="n"/>
    </row>
    <row r="73" ht="16" customHeight="1">
      <c r="A73" s="28">
        <f>IF($B73="","","N-"&amp;TEXT(ROW()-3,"0000"))</f>
        <v/>
      </c>
      <c r="B73" s="47" t="n"/>
      <c r="C73" s="48" t="n"/>
      <c r="D73" s="48" t="n"/>
      <c r="E73" s="28">
        <f>IF($C73="","",IF($D73="",IF($C73="Interna","Sin guía (interna)","FALTA GUÍA"),IF(COUNTIFS(ENVIOS!$A$4:$A$3003,$D73)=0,"NO EXISTE",IF(COUNTIFS(ENVIOS!$A$4:$A$3003,$D73)&gt;1,"DUPLICADA","OK"))))</f>
        <v/>
      </c>
      <c r="F73" s="28">
        <f>IF($D73="","",IFERROR(INDEX(ENVIOS!$B$4:$B$3003,MATCH($D73,ENVIOS!$A$4:$A$3003,0)),"—"))</f>
        <v/>
      </c>
      <c r="G73" s="23">
        <f>IF($D73="","",IFERROR(INDEX(ENVIOS!$D$4:$D$3003,MATCH($D73,ENVIOS!$A$4:$A$3003,0)),"—"))</f>
        <v/>
      </c>
      <c r="H73" s="23">
        <f>IF($D73="","",IFERROR(INDEX(ENVIOS!$E$4:$E$3003,MATCH($D73,ENVIOS!$A$4:$A$3003,0)),"—"))</f>
        <v/>
      </c>
      <c r="I73" s="23">
        <f>IF($D73="","",IFERROR(INDEX(ENVIOS!$F$4:$F$3003,MATCH($D73,ENVIOS!$A$4:$A$3003,0)),"—"))</f>
        <v/>
      </c>
      <c r="J73" s="23">
        <f>IF($D73="","",IFERROR(INDEX(ENVIOS!$G$4:$G$3003,MATCH($D73,ENVIOS!$A$4:$A$3003,0)),"—"))</f>
        <v/>
      </c>
      <c r="K73" s="28">
        <f>IF($D73="","",IFERROR(INDEX(ENVIOS!$H$4:$H$3003,MATCH($D73,ENVIOS!$A$4:$A$3003,0)),"—"))</f>
        <v/>
      </c>
      <c r="L73" s="49">
        <f>IF($D73="","",IFERROR(INDEX(ENVIOS!$C$4:$C$3003,MATCH($D73,ENVIOS!$A$4:$A$3003,0)),""))</f>
        <v/>
      </c>
      <c r="M73" s="50" t="n"/>
      <c r="N73" s="28">
        <f>IF($M73="","",IFERROR(INDEX(CONFIG!$C$4:$C$63,MATCH($M73,CONFIG!$A$4:$A$63,0)),"Media"))</f>
        <v/>
      </c>
      <c r="O73" s="28">
        <f>IF($M73="","",IF($C73="Interna","NO",IFERROR(INDEX(CONFIG!$E$4:$E$63,MATCH($M73,CONFIG!$A$4:$A$63,0)),"NO")))</f>
        <v/>
      </c>
      <c r="P73" s="50" t="n"/>
      <c r="Q73" s="50" t="n"/>
      <c r="R73" s="28">
        <f>IF($Q73="","",IFERROR(INDEX(CONFIG!$H$4:$H$63,MATCH($Q73,CONFIG!$G$4:$G$63,0)),"Por definir"))</f>
        <v/>
      </c>
      <c r="S73" s="28">
        <f>IF($Q73="","",IFERROR(INDEX(CONFIG!$I$4:$I$63,MATCH($Q73,CONFIG!$G$4:$G$63,0)),"Por definir"))</f>
        <v/>
      </c>
      <c r="T73" s="51" t="n"/>
      <c r="U73" s="52" t="n"/>
      <c r="V73" s="50" t="n"/>
      <c r="W73" s="50" t="n"/>
      <c r="X73" s="49">
        <f>IF(OR($B73="",$M73=""),"",WORKDAY($B73,IFERROR(INDEX(CONFIG!$D$4:$D$63,MATCH($M73,CONFIG!$A$4:$A$63,0)),3)))</f>
        <v/>
      </c>
      <c r="Y73" s="47" t="n"/>
      <c r="Z73" s="24">
        <f>IF($B73="","",IF($Y73&lt;&gt;"",$Y73-$B73,TODAY()-$B73))</f>
        <v/>
      </c>
      <c r="AA73" s="28">
        <f>IF($B73="","",IF(IFERROR(INDEX(CONFIG!$L$4:$L$63,MATCH($V73,CONFIG!$K$4:$K$63,0)),"NO")="SÍ",IF(OR($Y73="",$X73=""),"Resuelta",IF($Y73&gt;$X73,"Resuelta tarde","Resuelta a tiempo")),IF($X73="","Sin clasificar",IF(TODAY()&gt;$X73,"Vencida",IF(TODAY()&gt;=$X73-1,"Por vencer","En plazo")))))</f>
        <v/>
      </c>
      <c r="AB73" s="50" t="n"/>
      <c r="AC73" s="50" t="n"/>
    </row>
    <row r="74" ht="16" customHeight="1">
      <c r="A74" s="28">
        <f>IF($B74="","","N-"&amp;TEXT(ROW()-3,"0000"))</f>
        <v/>
      </c>
      <c r="B74" s="47" t="n"/>
      <c r="C74" s="48" t="n"/>
      <c r="D74" s="48" t="n"/>
      <c r="E74" s="28">
        <f>IF($C74="","",IF($D74="",IF($C74="Interna","Sin guía (interna)","FALTA GUÍA"),IF(COUNTIFS(ENVIOS!$A$4:$A$3003,$D74)=0,"NO EXISTE",IF(COUNTIFS(ENVIOS!$A$4:$A$3003,$D74)&gt;1,"DUPLICADA","OK"))))</f>
        <v/>
      </c>
      <c r="F74" s="28">
        <f>IF($D74="","",IFERROR(INDEX(ENVIOS!$B$4:$B$3003,MATCH($D74,ENVIOS!$A$4:$A$3003,0)),"—"))</f>
        <v/>
      </c>
      <c r="G74" s="23">
        <f>IF($D74="","",IFERROR(INDEX(ENVIOS!$D$4:$D$3003,MATCH($D74,ENVIOS!$A$4:$A$3003,0)),"—"))</f>
        <v/>
      </c>
      <c r="H74" s="23">
        <f>IF($D74="","",IFERROR(INDEX(ENVIOS!$E$4:$E$3003,MATCH($D74,ENVIOS!$A$4:$A$3003,0)),"—"))</f>
        <v/>
      </c>
      <c r="I74" s="23">
        <f>IF($D74="","",IFERROR(INDEX(ENVIOS!$F$4:$F$3003,MATCH($D74,ENVIOS!$A$4:$A$3003,0)),"—"))</f>
        <v/>
      </c>
      <c r="J74" s="23">
        <f>IF($D74="","",IFERROR(INDEX(ENVIOS!$G$4:$G$3003,MATCH($D74,ENVIOS!$A$4:$A$3003,0)),"—"))</f>
        <v/>
      </c>
      <c r="K74" s="28">
        <f>IF($D74="","",IFERROR(INDEX(ENVIOS!$H$4:$H$3003,MATCH($D74,ENVIOS!$A$4:$A$3003,0)),"—"))</f>
        <v/>
      </c>
      <c r="L74" s="49">
        <f>IF($D74="","",IFERROR(INDEX(ENVIOS!$C$4:$C$3003,MATCH($D74,ENVIOS!$A$4:$A$3003,0)),""))</f>
        <v/>
      </c>
      <c r="M74" s="50" t="n"/>
      <c r="N74" s="28">
        <f>IF($M74="","",IFERROR(INDEX(CONFIG!$C$4:$C$63,MATCH($M74,CONFIG!$A$4:$A$63,0)),"Media"))</f>
        <v/>
      </c>
      <c r="O74" s="28">
        <f>IF($M74="","",IF($C74="Interna","NO",IFERROR(INDEX(CONFIG!$E$4:$E$63,MATCH($M74,CONFIG!$A$4:$A$63,0)),"NO")))</f>
        <v/>
      </c>
      <c r="P74" s="50" t="n"/>
      <c r="Q74" s="50" t="n"/>
      <c r="R74" s="28">
        <f>IF($Q74="","",IFERROR(INDEX(CONFIG!$H$4:$H$63,MATCH($Q74,CONFIG!$G$4:$G$63,0)),"Por definir"))</f>
        <v/>
      </c>
      <c r="S74" s="28">
        <f>IF($Q74="","",IFERROR(INDEX(CONFIG!$I$4:$I$63,MATCH($Q74,CONFIG!$G$4:$G$63,0)),"Por definir"))</f>
        <v/>
      </c>
      <c r="T74" s="51" t="n"/>
      <c r="U74" s="52" t="n"/>
      <c r="V74" s="50" t="n"/>
      <c r="W74" s="50" t="n"/>
      <c r="X74" s="49">
        <f>IF(OR($B74="",$M74=""),"",WORKDAY($B74,IFERROR(INDEX(CONFIG!$D$4:$D$63,MATCH($M74,CONFIG!$A$4:$A$63,0)),3)))</f>
        <v/>
      </c>
      <c r="Y74" s="47" t="n"/>
      <c r="Z74" s="24">
        <f>IF($B74="","",IF($Y74&lt;&gt;"",$Y74-$B74,TODAY()-$B74))</f>
        <v/>
      </c>
      <c r="AA74" s="28">
        <f>IF($B74="","",IF(IFERROR(INDEX(CONFIG!$L$4:$L$63,MATCH($V74,CONFIG!$K$4:$K$63,0)),"NO")="SÍ",IF(OR($Y74="",$X74=""),"Resuelta",IF($Y74&gt;$X74,"Resuelta tarde","Resuelta a tiempo")),IF($X74="","Sin clasificar",IF(TODAY()&gt;$X74,"Vencida",IF(TODAY()&gt;=$X74-1,"Por vencer","En plazo")))))</f>
        <v/>
      </c>
      <c r="AB74" s="50" t="n"/>
      <c r="AC74" s="50" t="n"/>
    </row>
    <row r="75" ht="16" customHeight="1">
      <c r="A75" s="28">
        <f>IF($B75="","","N-"&amp;TEXT(ROW()-3,"0000"))</f>
        <v/>
      </c>
      <c r="B75" s="47" t="n"/>
      <c r="C75" s="48" t="n"/>
      <c r="D75" s="48" t="n"/>
      <c r="E75" s="28">
        <f>IF($C75="","",IF($D75="",IF($C75="Interna","Sin guía (interna)","FALTA GUÍA"),IF(COUNTIFS(ENVIOS!$A$4:$A$3003,$D75)=0,"NO EXISTE",IF(COUNTIFS(ENVIOS!$A$4:$A$3003,$D75)&gt;1,"DUPLICADA","OK"))))</f>
        <v/>
      </c>
      <c r="F75" s="28">
        <f>IF($D75="","",IFERROR(INDEX(ENVIOS!$B$4:$B$3003,MATCH($D75,ENVIOS!$A$4:$A$3003,0)),"—"))</f>
        <v/>
      </c>
      <c r="G75" s="23">
        <f>IF($D75="","",IFERROR(INDEX(ENVIOS!$D$4:$D$3003,MATCH($D75,ENVIOS!$A$4:$A$3003,0)),"—"))</f>
        <v/>
      </c>
      <c r="H75" s="23">
        <f>IF($D75="","",IFERROR(INDEX(ENVIOS!$E$4:$E$3003,MATCH($D75,ENVIOS!$A$4:$A$3003,0)),"—"))</f>
        <v/>
      </c>
      <c r="I75" s="23">
        <f>IF($D75="","",IFERROR(INDEX(ENVIOS!$F$4:$F$3003,MATCH($D75,ENVIOS!$A$4:$A$3003,0)),"—"))</f>
        <v/>
      </c>
      <c r="J75" s="23">
        <f>IF($D75="","",IFERROR(INDEX(ENVIOS!$G$4:$G$3003,MATCH($D75,ENVIOS!$A$4:$A$3003,0)),"—"))</f>
        <v/>
      </c>
      <c r="K75" s="28">
        <f>IF($D75="","",IFERROR(INDEX(ENVIOS!$H$4:$H$3003,MATCH($D75,ENVIOS!$A$4:$A$3003,0)),"—"))</f>
        <v/>
      </c>
      <c r="L75" s="49">
        <f>IF($D75="","",IFERROR(INDEX(ENVIOS!$C$4:$C$3003,MATCH($D75,ENVIOS!$A$4:$A$3003,0)),""))</f>
        <v/>
      </c>
      <c r="M75" s="50" t="n"/>
      <c r="N75" s="28">
        <f>IF($M75="","",IFERROR(INDEX(CONFIG!$C$4:$C$63,MATCH($M75,CONFIG!$A$4:$A$63,0)),"Media"))</f>
        <v/>
      </c>
      <c r="O75" s="28">
        <f>IF($M75="","",IF($C75="Interna","NO",IFERROR(INDEX(CONFIG!$E$4:$E$63,MATCH($M75,CONFIG!$A$4:$A$63,0)),"NO")))</f>
        <v/>
      </c>
      <c r="P75" s="50" t="n"/>
      <c r="Q75" s="50" t="n"/>
      <c r="R75" s="28">
        <f>IF($Q75="","",IFERROR(INDEX(CONFIG!$H$4:$H$63,MATCH($Q75,CONFIG!$G$4:$G$63,0)),"Por definir"))</f>
        <v/>
      </c>
      <c r="S75" s="28">
        <f>IF($Q75="","",IFERROR(INDEX(CONFIG!$I$4:$I$63,MATCH($Q75,CONFIG!$G$4:$G$63,0)),"Por definir"))</f>
        <v/>
      </c>
      <c r="T75" s="51" t="n"/>
      <c r="U75" s="52" t="n"/>
      <c r="V75" s="50" t="n"/>
      <c r="W75" s="50" t="n"/>
      <c r="X75" s="49">
        <f>IF(OR($B75="",$M75=""),"",WORKDAY($B75,IFERROR(INDEX(CONFIG!$D$4:$D$63,MATCH($M75,CONFIG!$A$4:$A$63,0)),3)))</f>
        <v/>
      </c>
      <c r="Y75" s="47" t="n"/>
      <c r="Z75" s="24">
        <f>IF($B75="","",IF($Y75&lt;&gt;"",$Y75-$B75,TODAY()-$B75))</f>
        <v/>
      </c>
      <c r="AA75" s="28">
        <f>IF($B75="","",IF(IFERROR(INDEX(CONFIG!$L$4:$L$63,MATCH($V75,CONFIG!$K$4:$K$63,0)),"NO")="SÍ",IF(OR($Y75="",$X75=""),"Resuelta",IF($Y75&gt;$X75,"Resuelta tarde","Resuelta a tiempo")),IF($X75="","Sin clasificar",IF(TODAY()&gt;$X75,"Vencida",IF(TODAY()&gt;=$X75-1,"Por vencer","En plazo")))))</f>
        <v/>
      </c>
      <c r="AB75" s="50" t="n"/>
      <c r="AC75" s="50" t="n"/>
    </row>
    <row r="76" ht="16" customHeight="1">
      <c r="A76" s="28">
        <f>IF($B76="","","N-"&amp;TEXT(ROW()-3,"0000"))</f>
        <v/>
      </c>
      <c r="B76" s="47" t="n"/>
      <c r="C76" s="48" t="n"/>
      <c r="D76" s="48" t="n"/>
      <c r="E76" s="28">
        <f>IF($C76="","",IF($D76="",IF($C76="Interna","Sin guía (interna)","FALTA GUÍA"),IF(COUNTIFS(ENVIOS!$A$4:$A$3003,$D76)=0,"NO EXISTE",IF(COUNTIFS(ENVIOS!$A$4:$A$3003,$D76)&gt;1,"DUPLICADA","OK"))))</f>
        <v/>
      </c>
      <c r="F76" s="28">
        <f>IF($D76="","",IFERROR(INDEX(ENVIOS!$B$4:$B$3003,MATCH($D76,ENVIOS!$A$4:$A$3003,0)),"—"))</f>
        <v/>
      </c>
      <c r="G76" s="23">
        <f>IF($D76="","",IFERROR(INDEX(ENVIOS!$D$4:$D$3003,MATCH($D76,ENVIOS!$A$4:$A$3003,0)),"—"))</f>
        <v/>
      </c>
      <c r="H76" s="23">
        <f>IF($D76="","",IFERROR(INDEX(ENVIOS!$E$4:$E$3003,MATCH($D76,ENVIOS!$A$4:$A$3003,0)),"—"))</f>
        <v/>
      </c>
      <c r="I76" s="23">
        <f>IF($D76="","",IFERROR(INDEX(ENVIOS!$F$4:$F$3003,MATCH($D76,ENVIOS!$A$4:$A$3003,0)),"—"))</f>
        <v/>
      </c>
      <c r="J76" s="23">
        <f>IF($D76="","",IFERROR(INDEX(ENVIOS!$G$4:$G$3003,MATCH($D76,ENVIOS!$A$4:$A$3003,0)),"—"))</f>
        <v/>
      </c>
      <c r="K76" s="28">
        <f>IF($D76="","",IFERROR(INDEX(ENVIOS!$H$4:$H$3003,MATCH($D76,ENVIOS!$A$4:$A$3003,0)),"—"))</f>
        <v/>
      </c>
      <c r="L76" s="49">
        <f>IF($D76="","",IFERROR(INDEX(ENVIOS!$C$4:$C$3003,MATCH($D76,ENVIOS!$A$4:$A$3003,0)),""))</f>
        <v/>
      </c>
      <c r="M76" s="50" t="n"/>
      <c r="N76" s="28">
        <f>IF($M76="","",IFERROR(INDEX(CONFIG!$C$4:$C$63,MATCH($M76,CONFIG!$A$4:$A$63,0)),"Media"))</f>
        <v/>
      </c>
      <c r="O76" s="28">
        <f>IF($M76="","",IF($C76="Interna","NO",IFERROR(INDEX(CONFIG!$E$4:$E$63,MATCH($M76,CONFIG!$A$4:$A$63,0)),"NO")))</f>
        <v/>
      </c>
      <c r="P76" s="50" t="n"/>
      <c r="Q76" s="50" t="n"/>
      <c r="R76" s="28">
        <f>IF($Q76="","",IFERROR(INDEX(CONFIG!$H$4:$H$63,MATCH($Q76,CONFIG!$G$4:$G$63,0)),"Por definir"))</f>
        <v/>
      </c>
      <c r="S76" s="28">
        <f>IF($Q76="","",IFERROR(INDEX(CONFIG!$I$4:$I$63,MATCH($Q76,CONFIG!$G$4:$G$63,0)),"Por definir"))</f>
        <v/>
      </c>
      <c r="T76" s="51" t="n"/>
      <c r="U76" s="52" t="n"/>
      <c r="V76" s="50" t="n"/>
      <c r="W76" s="50" t="n"/>
      <c r="X76" s="49">
        <f>IF(OR($B76="",$M76=""),"",WORKDAY($B76,IFERROR(INDEX(CONFIG!$D$4:$D$63,MATCH($M76,CONFIG!$A$4:$A$63,0)),3)))</f>
        <v/>
      </c>
      <c r="Y76" s="47" t="n"/>
      <c r="Z76" s="24">
        <f>IF($B76="","",IF($Y76&lt;&gt;"",$Y76-$B76,TODAY()-$B76))</f>
        <v/>
      </c>
      <c r="AA76" s="28">
        <f>IF($B76="","",IF(IFERROR(INDEX(CONFIG!$L$4:$L$63,MATCH($V76,CONFIG!$K$4:$K$63,0)),"NO")="SÍ",IF(OR($Y76="",$X76=""),"Resuelta",IF($Y76&gt;$X76,"Resuelta tarde","Resuelta a tiempo")),IF($X76="","Sin clasificar",IF(TODAY()&gt;$X76,"Vencida",IF(TODAY()&gt;=$X76-1,"Por vencer","En plazo")))))</f>
        <v/>
      </c>
      <c r="AB76" s="50" t="n"/>
      <c r="AC76" s="50" t="n"/>
    </row>
    <row r="77" ht="16" customHeight="1">
      <c r="A77" s="28">
        <f>IF($B77="","","N-"&amp;TEXT(ROW()-3,"0000"))</f>
        <v/>
      </c>
      <c r="B77" s="47" t="n"/>
      <c r="C77" s="48" t="n"/>
      <c r="D77" s="48" t="n"/>
      <c r="E77" s="28">
        <f>IF($C77="","",IF($D77="",IF($C77="Interna","Sin guía (interna)","FALTA GUÍA"),IF(COUNTIFS(ENVIOS!$A$4:$A$3003,$D77)=0,"NO EXISTE",IF(COUNTIFS(ENVIOS!$A$4:$A$3003,$D77)&gt;1,"DUPLICADA","OK"))))</f>
        <v/>
      </c>
      <c r="F77" s="28">
        <f>IF($D77="","",IFERROR(INDEX(ENVIOS!$B$4:$B$3003,MATCH($D77,ENVIOS!$A$4:$A$3003,0)),"—"))</f>
        <v/>
      </c>
      <c r="G77" s="23">
        <f>IF($D77="","",IFERROR(INDEX(ENVIOS!$D$4:$D$3003,MATCH($D77,ENVIOS!$A$4:$A$3003,0)),"—"))</f>
        <v/>
      </c>
      <c r="H77" s="23">
        <f>IF($D77="","",IFERROR(INDEX(ENVIOS!$E$4:$E$3003,MATCH($D77,ENVIOS!$A$4:$A$3003,0)),"—"))</f>
        <v/>
      </c>
      <c r="I77" s="23">
        <f>IF($D77="","",IFERROR(INDEX(ENVIOS!$F$4:$F$3003,MATCH($D77,ENVIOS!$A$4:$A$3003,0)),"—"))</f>
        <v/>
      </c>
      <c r="J77" s="23">
        <f>IF($D77="","",IFERROR(INDEX(ENVIOS!$G$4:$G$3003,MATCH($D77,ENVIOS!$A$4:$A$3003,0)),"—"))</f>
        <v/>
      </c>
      <c r="K77" s="28">
        <f>IF($D77="","",IFERROR(INDEX(ENVIOS!$H$4:$H$3003,MATCH($D77,ENVIOS!$A$4:$A$3003,0)),"—"))</f>
        <v/>
      </c>
      <c r="L77" s="49">
        <f>IF($D77="","",IFERROR(INDEX(ENVIOS!$C$4:$C$3003,MATCH($D77,ENVIOS!$A$4:$A$3003,0)),""))</f>
        <v/>
      </c>
      <c r="M77" s="50" t="n"/>
      <c r="N77" s="28">
        <f>IF($M77="","",IFERROR(INDEX(CONFIG!$C$4:$C$63,MATCH($M77,CONFIG!$A$4:$A$63,0)),"Media"))</f>
        <v/>
      </c>
      <c r="O77" s="28">
        <f>IF($M77="","",IF($C77="Interna","NO",IFERROR(INDEX(CONFIG!$E$4:$E$63,MATCH($M77,CONFIG!$A$4:$A$63,0)),"NO")))</f>
        <v/>
      </c>
      <c r="P77" s="50" t="n"/>
      <c r="Q77" s="50" t="n"/>
      <c r="R77" s="28">
        <f>IF($Q77="","",IFERROR(INDEX(CONFIG!$H$4:$H$63,MATCH($Q77,CONFIG!$G$4:$G$63,0)),"Por definir"))</f>
        <v/>
      </c>
      <c r="S77" s="28">
        <f>IF($Q77="","",IFERROR(INDEX(CONFIG!$I$4:$I$63,MATCH($Q77,CONFIG!$G$4:$G$63,0)),"Por definir"))</f>
        <v/>
      </c>
      <c r="T77" s="51" t="n"/>
      <c r="U77" s="52" t="n"/>
      <c r="V77" s="50" t="n"/>
      <c r="W77" s="50" t="n"/>
      <c r="X77" s="49">
        <f>IF(OR($B77="",$M77=""),"",WORKDAY($B77,IFERROR(INDEX(CONFIG!$D$4:$D$63,MATCH($M77,CONFIG!$A$4:$A$63,0)),3)))</f>
        <v/>
      </c>
      <c r="Y77" s="47" t="n"/>
      <c r="Z77" s="24">
        <f>IF($B77="","",IF($Y77&lt;&gt;"",$Y77-$B77,TODAY()-$B77))</f>
        <v/>
      </c>
      <c r="AA77" s="28">
        <f>IF($B77="","",IF(IFERROR(INDEX(CONFIG!$L$4:$L$63,MATCH($V77,CONFIG!$K$4:$K$63,0)),"NO")="SÍ",IF(OR($Y77="",$X77=""),"Resuelta",IF($Y77&gt;$X77,"Resuelta tarde","Resuelta a tiempo")),IF($X77="","Sin clasificar",IF(TODAY()&gt;$X77,"Vencida",IF(TODAY()&gt;=$X77-1,"Por vencer","En plazo")))))</f>
        <v/>
      </c>
      <c r="AB77" s="50" t="n"/>
      <c r="AC77" s="50" t="n"/>
    </row>
    <row r="78" ht="16" customHeight="1">
      <c r="A78" s="28">
        <f>IF($B78="","","N-"&amp;TEXT(ROW()-3,"0000"))</f>
        <v/>
      </c>
      <c r="B78" s="47" t="n"/>
      <c r="C78" s="48" t="n"/>
      <c r="D78" s="48" t="n"/>
      <c r="E78" s="28">
        <f>IF($C78="","",IF($D78="",IF($C78="Interna","Sin guía (interna)","FALTA GUÍA"),IF(COUNTIFS(ENVIOS!$A$4:$A$3003,$D78)=0,"NO EXISTE",IF(COUNTIFS(ENVIOS!$A$4:$A$3003,$D78)&gt;1,"DUPLICADA","OK"))))</f>
        <v/>
      </c>
      <c r="F78" s="28">
        <f>IF($D78="","",IFERROR(INDEX(ENVIOS!$B$4:$B$3003,MATCH($D78,ENVIOS!$A$4:$A$3003,0)),"—"))</f>
        <v/>
      </c>
      <c r="G78" s="23">
        <f>IF($D78="","",IFERROR(INDEX(ENVIOS!$D$4:$D$3003,MATCH($D78,ENVIOS!$A$4:$A$3003,0)),"—"))</f>
        <v/>
      </c>
      <c r="H78" s="23">
        <f>IF($D78="","",IFERROR(INDEX(ENVIOS!$E$4:$E$3003,MATCH($D78,ENVIOS!$A$4:$A$3003,0)),"—"))</f>
        <v/>
      </c>
      <c r="I78" s="23">
        <f>IF($D78="","",IFERROR(INDEX(ENVIOS!$F$4:$F$3003,MATCH($D78,ENVIOS!$A$4:$A$3003,0)),"—"))</f>
        <v/>
      </c>
      <c r="J78" s="23">
        <f>IF($D78="","",IFERROR(INDEX(ENVIOS!$G$4:$G$3003,MATCH($D78,ENVIOS!$A$4:$A$3003,0)),"—"))</f>
        <v/>
      </c>
      <c r="K78" s="28">
        <f>IF($D78="","",IFERROR(INDEX(ENVIOS!$H$4:$H$3003,MATCH($D78,ENVIOS!$A$4:$A$3003,0)),"—"))</f>
        <v/>
      </c>
      <c r="L78" s="49">
        <f>IF($D78="","",IFERROR(INDEX(ENVIOS!$C$4:$C$3003,MATCH($D78,ENVIOS!$A$4:$A$3003,0)),""))</f>
        <v/>
      </c>
      <c r="M78" s="50" t="n"/>
      <c r="N78" s="28">
        <f>IF($M78="","",IFERROR(INDEX(CONFIG!$C$4:$C$63,MATCH($M78,CONFIG!$A$4:$A$63,0)),"Media"))</f>
        <v/>
      </c>
      <c r="O78" s="28">
        <f>IF($M78="","",IF($C78="Interna","NO",IFERROR(INDEX(CONFIG!$E$4:$E$63,MATCH($M78,CONFIG!$A$4:$A$63,0)),"NO")))</f>
        <v/>
      </c>
      <c r="P78" s="50" t="n"/>
      <c r="Q78" s="50" t="n"/>
      <c r="R78" s="28">
        <f>IF($Q78="","",IFERROR(INDEX(CONFIG!$H$4:$H$63,MATCH($Q78,CONFIG!$G$4:$G$63,0)),"Por definir"))</f>
        <v/>
      </c>
      <c r="S78" s="28">
        <f>IF($Q78="","",IFERROR(INDEX(CONFIG!$I$4:$I$63,MATCH($Q78,CONFIG!$G$4:$G$63,0)),"Por definir"))</f>
        <v/>
      </c>
      <c r="T78" s="51" t="n"/>
      <c r="U78" s="52" t="n"/>
      <c r="V78" s="50" t="n"/>
      <c r="W78" s="50" t="n"/>
      <c r="X78" s="49">
        <f>IF(OR($B78="",$M78=""),"",WORKDAY($B78,IFERROR(INDEX(CONFIG!$D$4:$D$63,MATCH($M78,CONFIG!$A$4:$A$63,0)),3)))</f>
        <v/>
      </c>
      <c r="Y78" s="47" t="n"/>
      <c r="Z78" s="24">
        <f>IF($B78="","",IF($Y78&lt;&gt;"",$Y78-$B78,TODAY()-$B78))</f>
        <v/>
      </c>
      <c r="AA78" s="28">
        <f>IF($B78="","",IF(IFERROR(INDEX(CONFIG!$L$4:$L$63,MATCH($V78,CONFIG!$K$4:$K$63,0)),"NO")="SÍ",IF(OR($Y78="",$X78=""),"Resuelta",IF($Y78&gt;$X78,"Resuelta tarde","Resuelta a tiempo")),IF($X78="","Sin clasificar",IF(TODAY()&gt;$X78,"Vencida",IF(TODAY()&gt;=$X78-1,"Por vencer","En plazo")))))</f>
        <v/>
      </c>
      <c r="AB78" s="50" t="n"/>
      <c r="AC78" s="50" t="n"/>
    </row>
    <row r="79" ht="16" customHeight="1">
      <c r="A79" s="28">
        <f>IF($B79="","","N-"&amp;TEXT(ROW()-3,"0000"))</f>
        <v/>
      </c>
      <c r="B79" s="47" t="n"/>
      <c r="C79" s="48" t="n"/>
      <c r="D79" s="48" t="n"/>
      <c r="E79" s="28">
        <f>IF($C79="","",IF($D79="",IF($C79="Interna","Sin guía (interna)","FALTA GUÍA"),IF(COUNTIFS(ENVIOS!$A$4:$A$3003,$D79)=0,"NO EXISTE",IF(COUNTIFS(ENVIOS!$A$4:$A$3003,$D79)&gt;1,"DUPLICADA","OK"))))</f>
        <v/>
      </c>
      <c r="F79" s="28">
        <f>IF($D79="","",IFERROR(INDEX(ENVIOS!$B$4:$B$3003,MATCH($D79,ENVIOS!$A$4:$A$3003,0)),"—"))</f>
        <v/>
      </c>
      <c r="G79" s="23">
        <f>IF($D79="","",IFERROR(INDEX(ENVIOS!$D$4:$D$3003,MATCH($D79,ENVIOS!$A$4:$A$3003,0)),"—"))</f>
        <v/>
      </c>
      <c r="H79" s="23">
        <f>IF($D79="","",IFERROR(INDEX(ENVIOS!$E$4:$E$3003,MATCH($D79,ENVIOS!$A$4:$A$3003,0)),"—"))</f>
        <v/>
      </c>
      <c r="I79" s="23">
        <f>IF($D79="","",IFERROR(INDEX(ENVIOS!$F$4:$F$3003,MATCH($D79,ENVIOS!$A$4:$A$3003,0)),"—"))</f>
        <v/>
      </c>
      <c r="J79" s="23">
        <f>IF($D79="","",IFERROR(INDEX(ENVIOS!$G$4:$G$3003,MATCH($D79,ENVIOS!$A$4:$A$3003,0)),"—"))</f>
        <v/>
      </c>
      <c r="K79" s="28">
        <f>IF($D79="","",IFERROR(INDEX(ENVIOS!$H$4:$H$3003,MATCH($D79,ENVIOS!$A$4:$A$3003,0)),"—"))</f>
        <v/>
      </c>
      <c r="L79" s="49">
        <f>IF($D79="","",IFERROR(INDEX(ENVIOS!$C$4:$C$3003,MATCH($D79,ENVIOS!$A$4:$A$3003,0)),""))</f>
        <v/>
      </c>
      <c r="M79" s="50" t="n"/>
      <c r="N79" s="28">
        <f>IF($M79="","",IFERROR(INDEX(CONFIG!$C$4:$C$63,MATCH($M79,CONFIG!$A$4:$A$63,0)),"Media"))</f>
        <v/>
      </c>
      <c r="O79" s="28">
        <f>IF($M79="","",IF($C79="Interna","NO",IFERROR(INDEX(CONFIG!$E$4:$E$63,MATCH($M79,CONFIG!$A$4:$A$63,0)),"NO")))</f>
        <v/>
      </c>
      <c r="P79" s="50" t="n"/>
      <c r="Q79" s="50" t="n"/>
      <c r="R79" s="28">
        <f>IF($Q79="","",IFERROR(INDEX(CONFIG!$H$4:$H$63,MATCH($Q79,CONFIG!$G$4:$G$63,0)),"Por definir"))</f>
        <v/>
      </c>
      <c r="S79" s="28">
        <f>IF($Q79="","",IFERROR(INDEX(CONFIG!$I$4:$I$63,MATCH($Q79,CONFIG!$G$4:$G$63,0)),"Por definir"))</f>
        <v/>
      </c>
      <c r="T79" s="51" t="n"/>
      <c r="U79" s="52" t="n"/>
      <c r="V79" s="50" t="n"/>
      <c r="W79" s="50" t="n"/>
      <c r="X79" s="49">
        <f>IF(OR($B79="",$M79=""),"",WORKDAY($B79,IFERROR(INDEX(CONFIG!$D$4:$D$63,MATCH($M79,CONFIG!$A$4:$A$63,0)),3)))</f>
        <v/>
      </c>
      <c r="Y79" s="47" t="n"/>
      <c r="Z79" s="24">
        <f>IF($B79="","",IF($Y79&lt;&gt;"",$Y79-$B79,TODAY()-$B79))</f>
        <v/>
      </c>
      <c r="AA79" s="28">
        <f>IF($B79="","",IF(IFERROR(INDEX(CONFIG!$L$4:$L$63,MATCH($V79,CONFIG!$K$4:$K$63,0)),"NO")="SÍ",IF(OR($Y79="",$X79=""),"Resuelta",IF($Y79&gt;$X79,"Resuelta tarde","Resuelta a tiempo")),IF($X79="","Sin clasificar",IF(TODAY()&gt;$X79,"Vencida",IF(TODAY()&gt;=$X79-1,"Por vencer","En plazo")))))</f>
        <v/>
      </c>
      <c r="AB79" s="50" t="n"/>
      <c r="AC79" s="50" t="n"/>
    </row>
    <row r="80" ht="16" customHeight="1">
      <c r="A80" s="28">
        <f>IF($B80="","","N-"&amp;TEXT(ROW()-3,"0000"))</f>
        <v/>
      </c>
      <c r="B80" s="47" t="n"/>
      <c r="C80" s="48" t="n"/>
      <c r="D80" s="48" t="n"/>
      <c r="E80" s="28">
        <f>IF($C80="","",IF($D80="",IF($C80="Interna","Sin guía (interna)","FALTA GUÍA"),IF(COUNTIFS(ENVIOS!$A$4:$A$3003,$D80)=0,"NO EXISTE",IF(COUNTIFS(ENVIOS!$A$4:$A$3003,$D80)&gt;1,"DUPLICADA","OK"))))</f>
        <v/>
      </c>
      <c r="F80" s="28">
        <f>IF($D80="","",IFERROR(INDEX(ENVIOS!$B$4:$B$3003,MATCH($D80,ENVIOS!$A$4:$A$3003,0)),"—"))</f>
        <v/>
      </c>
      <c r="G80" s="23">
        <f>IF($D80="","",IFERROR(INDEX(ENVIOS!$D$4:$D$3003,MATCH($D80,ENVIOS!$A$4:$A$3003,0)),"—"))</f>
        <v/>
      </c>
      <c r="H80" s="23">
        <f>IF($D80="","",IFERROR(INDEX(ENVIOS!$E$4:$E$3003,MATCH($D80,ENVIOS!$A$4:$A$3003,0)),"—"))</f>
        <v/>
      </c>
      <c r="I80" s="23">
        <f>IF($D80="","",IFERROR(INDEX(ENVIOS!$F$4:$F$3003,MATCH($D80,ENVIOS!$A$4:$A$3003,0)),"—"))</f>
        <v/>
      </c>
      <c r="J80" s="23">
        <f>IF($D80="","",IFERROR(INDEX(ENVIOS!$G$4:$G$3003,MATCH($D80,ENVIOS!$A$4:$A$3003,0)),"—"))</f>
        <v/>
      </c>
      <c r="K80" s="28">
        <f>IF($D80="","",IFERROR(INDEX(ENVIOS!$H$4:$H$3003,MATCH($D80,ENVIOS!$A$4:$A$3003,0)),"—"))</f>
        <v/>
      </c>
      <c r="L80" s="49">
        <f>IF($D80="","",IFERROR(INDEX(ENVIOS!$C$4:$C$3003,MATCH($D80,ENVIOS!$A$4:$A$3003,0)),""))</f>
        <v/>
      </c>
      <c r="M80" s="50" t="n"/>
      <c r="N80" s="28">
        <f>IF($M80="","",IFERROR(INDEX(CONFIG!$C$4:$C$63,MATCH($M80,CONFIG!$A$4:$A$63,0)),"Media"))</f>
        <v/>
      </c>
      <c r="O80" s="28">
        <f>IF($M80="","",IF($C80="Interna","NO",IFERROR(INDEX(CONFIG!$E$4:$E$63,MATCH($M80,CONFIG!$A$4:$A$63,0)),"NO")))</f>
        <v/>
      </c>
      <c r="P80" s="50" t="n"/>
      <c r="Q80" s="50" t="n"/>
      <c r="R80" s="28">
        <f>IF($Q80="","",IFERROR(INDEX(CONFIG!$H$4:$H$63,MATCH($Q80,CONFIG!$G$4:$G$63,0)),"Por definir"))</f>
        <v/>
      </c>
      <c r="S80" s="28">
        <f>IF($Q80="","",IFERROR(INDEX(CONFIG!$I$4:$I$63,MATCH($Q80,CONFIG!$G$4:$G$63,0)),"Por definir"))</f>
        <v/>
      </c>
      <c r="T80" s="51" t="n"/>
      <c r="U80" s="52" t="n"/>
      <c r="V80" s="50" t="n"/>
      <c r="W80" s="50" t="n"/>
      <c r="X80" s="49">
        <f>IF(OR($B80="",$M80=""),"",WORKDAY($B80,IFERROR(INDEX(CONFIG!$D$4:$D$63,MATCH($M80,CONFIG!$A$4:$A$63,0)),3)))</f>
        <v/>
      </c>
      <c r="Y80" s="47" t="n"/>
      <c r="Z80" s="24">
        <f>IF($B80="","",IF($Y80&lt;&gt;"",$Y80-$B80,TODAY()-$B80))</f>
        <v/>
      </c>
      <c r="AA80" s="28">
        <f>IF($B80="","",IF(IFERROR(INDEX(CONFIG!$L$4:$L$63,MATCH($V80,CONFIG!$K$4:$K$63,0)),"NO")="SÍ",IF(OR($Y80="",$X80=""),"Resuelta",IF($Y80&gt;$X80,"Resuelta tarde","Resuelta a tiempo")),IF($X80="","Sin clasificar",IF(TODAY()&gt;$X80,"Vencida",IF(TODAY()&gt;=$X80-1,"Por vencer","En plazo")))))</f>
        <v/>
      </c>
      <c r="AB80" s="50" t="n"/>
      <c r="AC80" s="50" t="n"/>
    </row>
    <row r="81" ht="16" customHeight="1">
      <c r="A81" s="28">
        <f>IF($B81="","","N-"&amp;TEXT(ROW()-3,"0000"))</f>
        <v/>
      </c>
      <c r="B81" s="47" t="n"/>
      <c r="C81" s="48" t="n"/>
      <c r="D81" s="48" t="n"/>
      <c r="E81" s="28">
        <f>IF($C81="","",IF($D81="",IF($C81="Interna","Sin guía (interna)","FALTA GUÍA"),IF(COUNTIFS(ENVIOS!$A$4:$A$3003,$D81)=0,"NO EXISTE",IF(COUNTIFS(ENVIOS!$A$4:$A$3003,$D81)&gt;1,"DUPLICADA","OK"))))</f>
        <v/>
      </c>
      <c r="F81" s="28">
        <f>IF($D81="","",IFERROR(INDEX(ENVIOS!$B$4:$B$3003,MATCH($D81,ENVIOS!$A$4:$A$3003,0)),"—"))</f>
        <v/>
      </c>
      <c r="G81" s="23">
        <f>IF($D81="","",IFERROR(INDEX(ENVIOS!$D$4:$D$3003,MATCH($D81,ENVIOS!$A$4:$A$3003,0)),"—"))</f>
        <v/>
      </c>
      <c r="H81" s="23">
        <f>IF($D81="","",IFERROR(INDEX(ENVIOS!$E$4:$E$3003,MATCH($D81,ENVIOS!$A$4:$A$3003,0)),"—"))</f>
        <v/>
      </c>
      <c r="I81" s="23">
        <f>IF($D81="","",IFERROR(INDEX(ENVIOS!$F$4:$F$3003,MATCH($D81,ENVIOS!$A$4:$A$3003,0)),"—"))</f>
        <v/>
      </c>
      <c r="J81" s="23">
        <f>IF($D81="","",IFERROR(INDEX(ENVIOS!$G$4:$G$3003,MATCH($D81,ENVIOS!$A$4:$A$3003,0)),"—"))</f>
        <v/>
      </c>
      <c r="K81" s="28">
        <f>IF($D81="","",IFERROR(INDEX(ENVIOS!$H$4:$H$3003,MATCH($D81,ENVIOS!$A$4:$A$3003,0)),"—"))</f>
        <v/>
      </c>
      <c r="L81" s="49">
        <f>IF($D81="","",IFERROR(INDEX(ENVIOS!$C$4:$C$3003,MATCH($D81,ENVIOS!$A$4:$A$3003,0)),""))</f>
        <v/>
      </c>
      <c r="M81" s="50" t="n"/>
      <c r="N81" s="28">
        <f>IF($M81="","",IFERROR(INDEX(CONFIG!$C$4:$C$63,MATCH($M81,CONFIG!$A$4:$A$63,0)),"Media"))</f>
        <v/>
      </c>
      <c r="O81" s="28">
        <f>IF($M81="","",IF($C81="Interna","NO",IFERROR(INDEX(CONFIG!$E$4:$E$63,MATCH($M81,CONFIG!$A$4:$A$63,0)),"NO")))</f>
        <v/>
      </c>
      <c r="P81" s="50" t="n"/>
      <c r="Q81" s="50" t="n"/>
      <c r="R81" s="28">
        <f>IF($Q81="","",IFERROR(INDEX(CONFIG!$H$4:$H$63,MATCH($Q81,CONFIG!$G$4:$G$63,0)),"Por definir"))</f>
        <v/>
      </c>
      <c r="S81" s="28">
        <f>IF($Q81="","",IFERROR(INDEX(CONFIG!$I$4:$I$63,MATCH($Q81,CONFIG!$G$4:$G$63,0)),"Por definir"))</f>
        <v/>
      </c>
      <c r="T81" s="51" t="n"/>
      <c r="U81" s="52" t="n"/>
      <c r="V81" s="50" t="n"/>
      <c r="W81" s="50" t="n"/>
      <c r="X81" s="49">
        <f>IF(OR($B81="",$M81=""),"",WORKDAY($B81,IFERROR(INDEX(CONFIG!$D$4:$D$63,MATCH($M81,CONFIG!$A$4:$A$63,0)),3)))</f>
        <v/>
      </c>
      <c r="Y81" s="47" t="n"/>
      <c r="Z81" s="24">
        <f>IF($B81="","",IF($Y81&lt;&gt;"",$Y81-$B81,TODAY()-$B81))</f>
        <v/>
      </c>
      <c r="AA81" s="28">
        <f>IF($B81="","",IF(IFERROR(INDEX(CONFIG!$L$4:$L$63,MATCH($V81,CONFIG!$K$4:$K$63,0)),"NO")="SÍ",IF(OR($Y81="",$X81=""),"Resuelta",IF($Y81&gt;$X81,"Resuelta tarde","Resuelta a tiempo")),IF($X81="","Sin clasificar",IF(TODAY()&gt;$X81,"Vencida",IF(TODAY()&gt;=$X81-1,"Por vencer","En plazo")))))</f>
        <v/>
      </c>
      <c r="AB81" s="50" t="n"/>
      <c r="AC81" s="50" t="n"/>
    </row>
    <row r="82" ht="16" customHeight="1">
      <c r="A82" s="28">
        <f>IF($B82="","","N-"&amp;TEXT(ROW()-3,"0000"))</f>
        <v/>
      </c>
      <c r="B82" s="47" t="n"/>
      <c r="C82" s="48" t="n"/>
      <c r="D82" s="48" t="n"/>
      <c r="E82" s="28">
        <f>IF($C82="","",IF($D82="",IF($C82="Interna","Sin guía (interna)","FALTA GUÍA"),IF(COUNTIFS(ENVIOS!$A$4:$A$3003,$D82)=0,"NO EXISTE",IF(COUNTIFS(ENVIOS!$A$4:$A$3003,$D82)&gt;1,"DUPLICADA","OK"))))</f>
        <v/>
      </c>
      <c r="F82" s="28">
        <f>IF($D82="","",IFERROR(INDEX(ENVIOS!$B$4:$B$3003,MATCH($D82,ENVIOS!$A$4:$A$3003,0)),"—"))</f>
        <v/>
      </c>
      <c r="G82" s="23">
        <f>IF($D82="","",IFERROR(INDEX(ENVIOS!$D$4:$D$3003,MATCH($D82,ENVIOS!$A$4:$A$3003,0)),"—"))</f>
        <v/>
      </c>
      <c r="H82" s="23">
        <f>IF($D82="","",IFERROR(INDEX(ENVIOS!$E$4:$E$3003,MATCH($D82,ENVIOS!$A$4:$A$3003,0)),"—"))</f>
        <v/>
      </c>
      <c r="I82" s="23">
        <f>IF($D82="","",IFERROR(INDEX(ENVIOS!$F$4:$F$3003,MATCH($D82,ENVIOS!$A$4:$A$3003,0)),"—"))</f>
        <v/>
      </c>
      <c r="J82" s="23">
        <f>IF($D82="","",IFERROR(INDEX(ENVIOS!$G$4:$G$3003,MATCH($D82,ENVIOS!$A$4:$A$3003,0)),"—"))</f>
        <v/>
      </c>
      <c r="K82" s="28">
        <f>IF($D82="","",IFERROR(INDEX(ENVIOS!$H$4:$H$3003,MATCH($D82,ENVIOS!$A$4:$A$3003,0)),"—"))</f>
        <v/>
      </c>
      <c r="L82" s="49">
        <f>IF($D82="","",IFERROR(INDEX(ENVIOS!$C$4:$C$3003,MATCH($D82,ENVIOS!$A$4:$A$3003,0)),""))</f>
        <v/>
      </c>
      <c r="M82" s="50" t="n"/>
      <c r="N82" s="28">
        <f>IF($M82="","",IFERROR(INDEX(CONFIG!$C$4:$C$63,MATCH($M82,CONFIG!$A$4:$A$63,0)),"Media"))</f>
        <v/>
      </c>
      <c r="O82" s="28">
        <f>IF($M82="","",IF($C82="Interna","NO",IFERROR(INDEX(CONFIG!$E$4:$E$63,MATCH($M82,CONFIG!$A$4:$A$63,0)),"NO")))</f>
        <v/>
      </c>
      <c r="P82" s="50" t="n"/>
      <c r="Q82" s="50" t="n"/>
      <c r="R82" s="28">
        <f>IF($Q82="","",IFERROR(INDEX(CONFIG!$H$4:$H$63,MATCH($Q82,CONFIG!$G$4:$G$63,0)),"Por definir"))</f>
        <v/>
      </c>
      <c r="S82" s="28">
        <f>IF($Q82="","",IFERROR(INDEX(CONFIG!$I$4:$I$63,MATCH($Q82,CONFIG!$G$4:$G$63,0)),"Por definir"))</f>
        <v/>
      </c>
      <c r="T82" s="51" t="n"/>
      <c r="U82" s="52" t="n"/>
      <c r="V82" s="50" t="n"/>
      <c r="W82" s="50" t="n"/>
      <c r="X82" s="49">
        <f>IF(OR($B82="",$M82=""),"",WORKDAY($B82,IFERROR(INDEX(CONFIG!$D$4:$D$63,MATCH($M82,CONFIG!$A$4:$A$63,0)),3)))</f>
        <v/>
      </c>
      <c r="Y82" s="47" t="n"/>
      <c r="Z82" s="24">
        <f>IF($B82="","",IF($Y82&lt;&gt;"",$Y82-$B82,TODAY()-$B82))</f>
        <v/>
      </c>
      <c r="AA82" s="28">
        <f>IF($B82="","",IF(IFERROR(INDEX(CONFIG!$L$4:$L$63,MATCH($V82,CONFIG!$K$4:$K$63,0)),"NO")="SÍ",IF(OR($Y82="",$X82=""),"Resuelta",IF($Y82&gt;$X82,"Resuelta tarde","Resuelta a tiempo")),IF($X82="","Sin clasificar",IF(TODAY()&gt;$X82,"Vencida",IF(TODAY()&gt;=$X82-1,"Por vencer","En plazo")))))</f>
        <v/>
      </c>
      <c r="AB82" s="50" t="n"/>
      <c r="AC82" s="50" t="n"/>
    </row>
    <row r="83" ht="16" customHeight="1">
      <c r="A83" s="28">
        <f>IF($B83="","","N-"&amp;TEXT(ROW()-3,"0000"))</f>
        <v/>
      </c>
      <c r="B83" s="47" t="n"/>
      <c r="C83" s="48" t="n"/>
      <c r="D83" s="48" t="n"/>
      <c r="E83" s="28">
        <f>IF($C83="","",IF($D83="",IF($C83="Interna","Sin guía (interna)","FALTA GUÍA"),IF(COUNTIFS(ENVIOS!$A$4:$A$3003,$D83)=0,"NO EXISTE",IF(COUNTIFS(ENVIOS!$A$4:$A$3003,$D83)&gt;1,"DUPLICADA","OK"))))</f>
        <v/>
      </c>
      <c r="F83" s="28">
        <f>IF($D83="","",IFERROR(INDEX(ENVIOS!$B$4:$B$3003,MATCH($D83,ENVIOS!$A$4:$A$3003,0)),"—"))</f>
        <v/>
      </c>
      <c r="G83" s="23">
        <f>IF($D83="","",IFERROR(INDEX(ENVIOS!$D$4:$D$3003,MATCH($D83,ENVIOS!$A$4:$A$3003,0)),"—"))</f>
        <v/>
      </c>
      <c r="H83" s="23">
        <f>IF($D83="","",IFERROR(INDEX(ENVIOS!$E$4:$E$3003,MATCH($D83,ENVIOS!$A$4:$A$3003,0)),"—"))</f>
        <v/>
      </c>
      <c r="I83" s="23">
        <f>IF($D83="","",IFERROR(INDEX(ENVIOS!$F$4:$F$3003,MATCH($D83,ENVIOS!$A$4:$A$3003,0)),"—"))</f>
        <v/>
      </c>
      <c r="J83" s="23">
        <f>IF($D83="","",IFERROR(INDEX(ENVIOS!$G$4:$G$3003,MATCH($D83,ENVIOS!$A$4:$A$3003,0)),"—"))</f>
        <v/>
      </c>
      <c r="K83" s="28">
        <f>IF($D83="","",IFERROR(INDEX(ENVIOS!$H$4:$H$3003,MATCH($D83,ENVIOS!$A$4:$A$3003,0)),"—"))</f>
        <v/>
      </c>
      <c r="L83" s="49">
        <f>IF($D83="","",IFERROR(INDEX(ENVIOS!$C$4:$C$3003,MATCH($D83,ENVIOS!$A$4:$A$3003,0)),""))</f>
        <v/>
      </c>
      <c r="M83" s="50" t="n"/>
      <c r="N83" s="28">
        <f>IF($M83="","",IFERROR(INDEX(CONFIG!$C$4:$C$63,MATCH($M83,CONFIG!$A$4:$A$63,0)),"Media"))</f>
        <v/>
      </c>
      <c r="O83" s="28">
        <f>IF($M83="","",IF($C83="Interna","NO",IFERROR(INDEX(CONFIG!$E$4:$E$63,MATCH($M83,CONFIG!$A$4:$A$63,0)),"NO")))</f>
        <v/>
      </c>
      <c r="P83" s="50" t="n"/>
      <c r="Q83" s="50" t="n"/>
      <c r="R83" s="28">
        <f>IF($Q83="","",IFERROR(INDEX(CONFIG!$H$4:$H$63,MATCH($Q83,CONFIG!$G$4:$G$63,0)),"Por definir"))</f>
        <v/>
      </c>
      <c r="S83" s="28">
        <f>IF($Q83="","",IFERROR(INDEX(CONFIG!$I$4:$I$63,MATCH($Q83,CONFIG!$G$4:$G$63,0)),"Por definir"))</f>
        <v/>
      </c>
      <c r="T83" s="51" t="n"/>
      <c r="U83" s="52" t="n"/>
      <c r="V83" s="50" t="n"/>
      <c r="W83" s="50" t="n"/>
      <c r="X83" s="49">
        <f>IF(OR($B83="",$M83=""),"",WORKDAY($B83,IFERROR(INDEX(CONFIG!$D$4:$D$63,MATCH($M83,CONFIG!$A$4:$A$63,0)),3)))</f>
        <v/>
      </c>
      <c r="Y83" s="47" t="n"/>
      <c r="Z83" s="24">
        <f>IF($B83="","",IF($Y83&lt;&gt;"",$Y83-$B83,TODAY()-$B83))</f>
        <v/>
      </c>
      <c r="AA83" s="28">
        <f>IF($B83="","",IF(IFERROR(INDEX(CONFIG!$L$4:$L$63,MATCH($V83,CONFIG!$K$4:$K$63,0)),"NO")="SÍ",IF(OR($Y83="",$X83=""),"Resuelta",IF($Y83&gt;$X83,"Resuelta tarde","Resuelta a tiempo")),IF($X83="","Sin clasificar",IF(TODAY()&gt;$X83,"Vencida",IF(TODAY()&gt;=$X83-1,"Por vencer","En plazo")))))</f>
        <v/>
      </c>
      <c r="AB83" s="50" t="n"/>
      <c r="AC83" s="50" t="n"/>
    </row>
    <row r="84" ht="16" customHeight="1">
      <c r="A84" s="28">
        <f>IF($B84="","","N-"&amp;TEXT(ROW()-3,"0000"))</f>
        <v/>
      </c>
      <c r="B84" s="47" t="n"/>
      <c r="C84" s="48" t="n"/>
      <c r="D84" s="48" t="n"/>
      <c r="E84" s="28">
        <f>IF($C84="","",IF($D84="",IF($C84="Interna","Sin guía (interna)","FALTA GUÍA"),IF(COUNTIFS(ENVIOS!$A$4:$A$3003,$D84)=0,"NO EXISTE",IF(COUNTIFS(ENVIOS!$A$4:$A$3003,$D84)&gt;1,"DUPLICADA","OK"))))</f>
        <v/>
      </c>
      <c r="F84" s="28">
        <f>IF($D84="","",IFERROR(INDEX(ENVIOS!$B$4:$B$3003,MATCH($D84,ENVIOS!$A$4:$A$3003,0)),"—"))</f>
        <v/>
      </c>
      <c r="G84" s="23">
        <f>IF($D84="","",IFERROR(INDEX(ENVIOS!$D$4:$D$3003,MATCH($D84,ENVIOS!$A$4:$A$3003,0)),"—"))</f>
        <v/>
      </c>
      <c r="H84" s="23">
        <f>IF($D84="","",IFERROR(INDEX(ENVIOS!$E$4:$E$3003,MATCH($D84,ENVIOS!$A$4:$A$3003,0)),"—"))</f>
        <v/>
      </c>
      <c r="I84" s="23">
        <f>IF($D84="","",IFERROR(INDEX(ENVIOS!$F$4:$F$3003,MATCH($D84,ENVIOS!$A$4:$A$3003,0)),"—"))</f>
        <v/>
      </c>
      <c r="J84" s="23">
        <f>IF($D84="","",IFERROR(INDEX(ENVIOS!$G$4:$G$3003,MATCH($D84,ENVIOS!$A$4:$A$3003,0)),"—"))</f>
        <v/>
      </c>
      <c r="K84" s="28">
        <f>IF($D84="","",IFERROR(INDEX(ENVIOS!$H$4:$H$3003,MATCH($D84,ENVIOS!$A$4:$A$3003,0)),"—"))</f>
        <v/>
      </c>
      <c r="L84" s="49">
        <f>IF($D84="","",IFERROR(INDEX(ENVIOS!$C$4:$C$3003,MATCH($D84,ENVIOS!$A$4:$A$3003,0)),""))</f>
        <v/>
      </c>
      <c r="M84" s="50" t="n"/>
      <c r="N84" s="28">
        <f>IF($M84="","",IFERROR(INDEX(CONFIG!$C$4:$C$63,MATCH($M84,CONFIG!$A$4:$A$63,0)),"Media"))</f>
        <v/>
      </c>
      <c r="O84" s="28">
        <f>IF($M84="","",IF($C84="Interna","NO",IFERROR(INDEX(CONFIG!$E$4:$E$63,MATCH($M84,CONFIG!$A$4:$A$63,0)),"NO")))</f>
        <v/>
      </c>
      <c r="P84" s="50" t="n"/>
      <c r="Q84" s="50" t="n"/>
      <c r="R84" s="28">
        <f>IF($Q84="","",IFERROR(INDEX(CONFIG!$H$4:$H$63,MATCH($Q84,CONFIG!$G$4:$G$63,0)),"Por definir"))</f>
        <v/>
      </c>
      <c r="S84" s="28">
        <f>IF($Q84="","",IFERROR(INDEX(CONFIG!$I$4:$I$63,MATCH($Q84,CONFIG!$G$4:$G$63,0)),"Por definir"))</f>
        <v/>
      </c>
      <c r="T84" s="51" t="n"/>
      <c r="U84" s="52" t="n"/>
      <c r="V84" s="50" t="n"/>
      <c r="W84" s="50" t="n"/>
      <c r="X84" s="49">
        <f>IF(OR($B84="",$M84=""),"",WORKDAY($B84,IFERROR(INDEX(CONFIG!$D$4:$D$63,MATCH($M84,CONFIG!$A$4:$A$63,0)),3)))</f>
        <v/>
      </c>
      <c r="Y84" s="47" t="n"/>
      <c r="Z84" s="24">
        <f>IF($B84="","",IF($Y84&lt;&gt;"",$Y84-$B84,TODAY()-$B84))</f>
        <v/>
      </c>
      <c r="AA84" s="28">
        <f>IF($B84="","",IF(IFERROR(INDEX(CONFIG!$L$4:$L$63,MATCH($V84,CONFIG!$K$4:$K$63,0)),"NO")="SÍ",IF(OR($Y84="",$X84=""),"Resuelta",IF($Y84&gt;$X84,"Resuelta tarde","Resuelta a tiempo")),IF($X84="","Sin clasificar",IF(TODAY()&gt;$X84,"Vencida",IF(TODAY()&gt;=$X84-1,"Por vencer","En plazo")))))</f>
        <v/>
      </c>
      <c r="AB84" s="50" t="n"/>
      <c r="AC84" s="50" t="n"/>
    </row>
    <row r="85" ht="16" customHeight="1">
      <c r="A85" s="28">
        <f>IF($B85="","","N-"&amp;TEXT(ROW()-3,"0000"))</f>
        <v/>
      </c>
      <c r="B85" s="47" t="n"/>
      <c r="C85" s="48" t="n"/>
      <c r="D85" s="48" t="n"/>
      <c r="E85" s="28">
        <f>IF($C85="","",IF($D85="",IF($C85="Interna","Sin guía (interna)","FALTA GUÍA"),IF(COUNTIFS(ENVIOS!$A$4:$A$3003,$D85)=0,"NO EXISTE",IF(COUNTIFS(ENVIOS!$A$4:$A$3003,$D85)&gt;1,"DUPLICADA","OK"))))</f>
        <v/>
      </c>
      <c r="F85" s="28">
        <f>IF($D85="","",IFERROR(INDEX(ENVIOS!$B$4:$B$3003,MATCH($D85,ENVIOS!$A$4:$A$3003,0)),"—"))</f>
        <v/>
      </c>
      <c r="G85" s="23">
        <f>IF($D85="","",IFERROR(INDEX(ENVIOS!$D$4:$D$3003,MATCH($D85,ENVIOS!$A$4:$A$3003,0)),"—"))</f>
        <v/>
      </c>
      <c r="H85" s="23">
        <f>IF($D85="","",IFERROR(INDEX(ENVIOS!$E$4:$E$3003,MATCH($D85,ENVIOS!$A$4:$A$3003,0)),"—"))</f>
        <v/>
      </c>
      <c r="I85" s="23">
        <f>IF($D85="","",IFERROR(INDEX(ENVIOS!$F$4:$F$3003,MATCH($D85,ENVIOS!$A$4:$A$3003,0)),"—"))</f>
        <v/>
      </c>
      <c r="J85" s="23">
        <f>IF($D85="","",IFERROR(INDEX(ENVIOS!$G$4:$G$3003,MATCH($D85,ENVIOS!$A$4:$A$3003,0)),"—"))</f>
        <v/>
      </c>
      <c r="K85" s="28">
        <f>IF($D85="","",IFERROR(INDEX(ENVIOS!$H$4:$H$3003,MATCH($D85,ENVIOS!$A$4:$A$3003,0)),"—"))</f>
        <v/>
      </c>
      <c r="L85" s="49">
        <f>IF($D85="","",IFERROR(INDEX(ENVIOS!$C$4:$C$3003,MATCH($D85,ENVIOS!$A$4:$A$3003,0)),""))</f>
        <v/>
      </c>
      <c r="M85" s="50" t="n"/>
      <c r="N85" s="28">
        <f>IF($M85="","",IFERROR(INDEX(CONFIG!$C$4:$C$63,MATCH($M85,CONFIG!$A$4:$A$63,0)),"Media"))</f>
        <v/>
      </c>
      <c r="O85" s="28">
        <f>IF($M85="","",IF($C85="Interna","NO",IFERROR(INDEX(CONFIG!$E$4:$E$63,MATCH($M85,CONFIG!$A$4:$A$63,0)),"NO")))</f>
        <v/>
      </c>
      <c r="P85" s="50" t="n"/>
      <c r="Q85" s="50" t="n"/>
      <c r="R85" s="28">
        <f>IF($Q85="","",IFERROR(INDEX(CONFIG!$H$4:$H$63,MATCH($Q85,CONFIG!$G$4:$G$63,0)),"Por definir"))</f>
        <v/>
      </c>
      <c r="S85" s="28">
        <f>IF($Q85="","",IFERROR(INDEX(CONFIG!$I$4:$I$63,MATCH($Q85,CONFIG!$G$4:$G$63,0)),"Por definir"))</f>
        <v/>
      </c>
      <c r="T85" s="51" t="n"/>
      <c r="U85" s="52" t="n"/>
      <c r="V85" s="50" t="n"/>
      <c r="W85" s="50" t="n"/>
      <c r="X85" s="49">
        <f>IF(OR($B85="",$M85=""),"",WORKDAY($B85,IFERROR(INDEX(CONFIG!$D$4:$D$63,MATCH($M85,CONFIG!$A$4:$A$63,0)),3)))</f>
        <v/>
      </c>
      <c r="Y85" s="47" t="n"/>
      <c r="Z85" s="24">
        <f>IF($B85="","",IF($Y85&lt;&gt;"",$Y85-$B85,TODAY()-$B85))</f>
        <v/>
      </c>
      <c r="AA85" s="28">
        <f>IF($B85="","",IF(IFERROR(INDEX(CONFIG!$L$4:$L$63,MATCH($V85,CONFIG!$K$4:$K$63,0)),"NO")="SÍ",IF(OR($Y85="",$X85=""),"Resuelta",IF($Y85&gt;$X85,"Resuelta tarde","Resuelta a tiempo")),IF($X85="","Sin clasificar",IF(TODAY()&gt;$X85,"Vencida",IF(TODAY()&gt;=$X85-1,"Por vencer","En plazo")))))</f>
        <v/>
      </c>
      <c r="AB85" s="50" t="n"/>
      <c r="AC85" s="50" t="n"/>
    </row>
    <row r="86" ht="16" customHeight="1">
      <c r="A86" s="28">
        <f>IF($B86="","","N-"&amp;TEXT(ROW()-3,"0000"))</f>
        <v/>
      </c>
      <c r="B86" s="47" t="n"/>
      <c r="C86" s="48" t="n"/>
      <c r="D86" s="48" t="n"/>
      <c r="E86" s="28">
        <f>IF($C86="","",IF($D86="",IF($C86="Interna","Sin guía (interna)","FALTA GUÍA"),IF(COUNTIFS(ENVIOS!$A$4:$A$3003,$D86)=0,"NO EXISTE",IF(COUNTIFS(ENVIOS!$A$4:$A$3003,$D86)&gt;1,"DUPLICADA","OK"))))</f>
        <v/>
      </c>
      <c r="F86" s="28">
        <f>IF($D86="","",IFERROR(INDEX(ENVIOS!$B$4:$B$3003,MATCH($D86,ENVIOS!$A$4:$A$3003,0)),"—"))</f>
        <v/>
      </c>
      <c r="G86" s="23">
        <f>IF($D86="","",IFERROR(INDEX(ENVIOS!$D$4:$D$3003,MATCH($D86,ENVIOS!$A$4:$A$3003,0)),"—"))</f>
        <v/>
      </c>
      <c r="H86" s="23">
        <f>IF($D86="","",IFERROR(INDEX(ENVIOS!$E$4:$E$3003,MATCH($D86,ENVIOS!$A$4:$A$3003,0)),"—"))</f>
        <v/>
      </c>
      <c r="I86" s="23">
        <f>IF($D86="","",IFERROR(INDEX(ENVIOS!$F$4:$F$3003,MATCH($D86,ENVIOS!$A$4:$A$3003,0)),"—"))</f>
        <v/>
      </c>
      <c r="J86" s="23">
        <f>IF($D86="","",IFERROR(INDEX(ENVIOS!$G$4:$G$3003,MATCH($D86,ENVIOS!$A$4:$A$3003,0)),"—"))</f>
        <v/>
      </c>
      <c r="K86" s="28">
        <f>IF($D86="","",IFERROR(INDEX(ENVIOS!$H$4:$H$3003,MATCH($D86,ENVIOS!$A$4:$A$3003,0)),"—"))</f>
        <v/>
      </c>
      <c r="L86" s="49">
        <f>IF($D86="","",IFERROR(INDEX(ENVIOS!$C$4:$C$3003,MATCH($D86,ENVIOS!$A$4:$A$3003,0)),""))</f>
        <v/>
      </c>
      <c r="M86" s="50" t="n"/>
      <c r="N86" s="28">
        <f>IF($M86="","",IFERROR(INDEX(CONFIG!$C$4:$C$63,MATCH($M86,CONFIG!$A$4:$A$63,0)),"Media"))</f>
        <v/>
      </c>
      <c r="O86" s="28">
        <f>IF($M86="","",IF($C86="Interna","NO",IFERROR(INDEX(CONFIG!$E$4:$E$63,MATCH($M86,CONFIG!$A$4:$A$63,0)),"NO")))</f>
        <v/>
      </c>
      <c r="P86" s="50" t="n"/>
      <c r="Q86" s="50" t="n"/>
      <c r="R86" s="28">
        <f>IF($Q86="","",IFERROR(INDEX(CONFIG!$H$4:$H$63,MATCH($Q86,CONFIG!$G$4:$G$63,0)),"Por definir"))</f>
        <v/>
      </c>
      <c r="S86" s="28">
        <f>IF($Q86="","",IFERROR(INDEX(CONFIG!$I$4:$I$63,MATCH($Q86,CONFIG!$G$4:$G$63,0)),"Por definir"))</f>
        <v/>
      </c>
      <c r="T86" s="51" t="n"/>
      <c r="U86" s="52" t="n"/>
      <c r="V86" s="50" t="n"/>
      <c r="W86" s="50" t="n"/>
      <c r="X86" s="49">
        <f>IF(OR($B86="",$M86=""),"",WORKDAY($B86,IFERROR(INDEX(CONFIG!$D$4:$D$63,MATCH($M86,CONFIG!$A$4:$A$63,0)),3)))</f>
        <v/>
      </c>
      <c r="Y86" s="47" t="n"/>
      <c r="Z86" s="24">
        <f>IF($B86="","",IF($Y86&lt;&gt;"",$Y86-$B86,TODAY()-$B86))</f>
        <v/>
      </c>
      <c r="AA86" s="28">
        <f>IF($B86="","",IF(IFERROR(INDEX(CONFIG!$L$4:$L$63,MATCH($V86,CONFIG!$K$4:$K$63,0)),"NO")="SÍ",IF(OR($Y86="",$X86=""),"Resuelta",IF($Y86&gt;$X86,"Resuelta tarde","Resuelta a tiempo")),IF($X86="","Sin clasificar",IF(TODAY()&gt;$X86,"Vencida",IF(TODAY()&gt;=$X86-1,"Por vencer","En plazo")))))</f>
        <v/>
      </c>
      <c r="AB86" s="50" t="n"/>
      <c r="AC86" s="50" t="n"/>
    </row>
    <row r="87" ht="16" customHeight="1">
      <c r="A87" s="28">
        <f>IF($B87="","","N-"&amp;TEXT(ROW()-3,"0000"))</f>
        <v/>
      </c>
      <c r="B87" s="47" t="n"/>
      <c r="C87" s="48" t="n"/>
      <c r="D87" s="48" t="n"/>
      <c r="E87" s="28">
        <f>IF($C87="","",IF($D87="",IF($C87="Interna","Sin guía (interna)","FALTA GUÍA"),IF(COUNTIFS(ENVIOS!$A$4:$A$3003,$D87)=0,"NO EXISTE",IF(COUNTIFS(ENVIOS!$A$4:$A$3003,$D87)&gt;1,"DUPLICADA","OK"))))</f>
        <v/>
      </c>
      <c r="F87" s="28">
        <f>IF($D87="","",IFERROR(INDEX(ENVIOS!$B$4:$B$3003,MATCH($D87,ENVIOS!$A$4:$A$3003,0)),"—"))</f>
        <v/>
      </c>
      <c r="G87" s="23">
        <f>IF($D87="","",IFERROR(INDEX(ENVIOS!$D$4:$D$3003,MATCH($D87,ENVIOS!$A$4:$A$3003,0)),"—"))</f>
        <v/>
      </c>
      <c r="H87" s="23">
        <f>IF($D87="","",IFERROR(INDEX(ENVIOS!$E$4:$E$3003,MATCH($D87,ENVIOS!$A$4:$A$3003,0)),"—"))</f>
        <v/>
      </c>
      <c r="I87" s="23">
        <f>IF($D87="","",IFERROR(INDEX(ENVIOS!$F$4:$F$3003,MATCH($D87,ENVIOS!$A$4:$A$3003,0)),"—"))</f>
        <v/>
      </c>
      <c r="J87" s="23">
        <f>IF($D87="","",IFERROR(INDEX(ENVIOS!$G$4:$G$3003,MATCH($D87,ENVIOS!$A$4:$A$3003,0)),"—"))</f>
        <v/>
      </c>
      <c r="K87" s="28">
        <f>IF($D87="","",IFERROR(INDEX(ENVIOS!$H$4:$H$3003,MATCH($D87,ENVIOS!$A$4:$A$3003,0)),"—"))</f>
        <v/>
      </c>
      <c r="L87" s="49">
        <f>IF($D87="","",IFERROR(INDEX(ENVIOS!$C$4:$C$3003,MATCH($D87,ENVIOS!$A$4:$A$3003,0)),""))</f>
        <v/>
      </c>
      <c r="M87" s="50" t="n"/>
      <c r="N87" s="28">
        <f>IF($M87="","",IFERROR(INDEX(CONFIG!$C$4:$C$63,MATCH($M87,CONFIG!$A$4:$A$63,0)),"Media"))</f>
        <v/>
      </c>
      <c r="O87" s="28">
        <f>IF($M87="","",IF($C87="Interna","NO",IFERROR(INDEX(CONFIG!$E$4:$E$63,MATCH($M87,CONFIG!$A$4:$A$63,0)),"NO")))</f>
        <v/>
      </c>
      <c r="P87" s="50" t="n"/>
      <c r="Q87" s="50" t="n"/>
      <c r="R87" s="28">
        <f>IF($Q87="","",IFERROR(INDEX(CONFIG!$H$4:$H$63,MATCH($Q87,CONFIG!$G$4:$G$63,0)),"Por definir"))</f>
        <v/>
      </c>
      <c r="S87" s="28">
        <f>IF($Q87="","",IFERROR(INDEX(CONFIG!$I$4:$I$63,MATCH($Q87,CONFIG!$G$4:$G$63,0)),"Por definir"))</f>
        <v/>
      </c>
      <c r="T87" s="51" t="n"/>
      <c r="U87" s="52" t="n"/>
      <c r="V87" s="50" t="n"/>
      <c r="W87" s="50" t="n"/>
      <c r="X87" s="49">
        <f>IF(OR($B87="",$M87=""),"",WORKDAY($B87,IFERROR(INDEX(CONFIG!$D$4:$D$63,MATCH($M87,CONFIG!$A$4:$A$63,0)),3)))</f>
        <v/>
      </c>
      <c r="Y87" s="47" t="n"/>
      <c r="Z87" s="24">
        <f>IF($B87="","",IF($Y87&lt;&gt;"",$Y87-$B87,TODAY()-$B87))</f>
        <v/>
      </c>
      <c r="AA87" s="28">
        <f>IF($B87="","",IF(IFERROR(INDEX(CONFIG!$L$4:$L$63,MATCH($V87,CONFIG!$K$4:$K$63,0)),"NO")="SÍ",IF(OR($Y87="",$X87=""),"Resuelta",IF($Y87&gt;$X87,"Resuelta tarde","Resuelta a tiempo")),IF($X87="","Sin clasificar",IF(TODAY()&gt;$X87,"Vencida",IF(TODAY()&gt;=$X87-1,"Por vencer","En plazo")))))</f>
        <v/>
      </c>
      <c r="AB87" s="50" t="n"/>
      <c r="AC87" s="50" t="n"/>
    </row>
    <row r="88" ht="16" customHeight="1">
      <c r="A88" s="28">
        <f>IF($B88="","","N-"&amp;TEXT(ROW()-3,"0000"))</f>
        <v/>
      </c>
      <c r="B88" s="47" t="n"/>
      <c r="C88" s="48" t="n"/>
      <c r="D88" s="48" t="n"/>
      <c r="E88" s="28">
        <f>IF($C88="","",IF($D88="",IF($C88="Interna","Sin guía (interna)","FALTA GUÍA"),IF(COUNTIFS(ENVIOS!$A$4:$A$3003,$D88)=0,"NO EXISTE",IF(COUNTIFS(ENVIOS!$A$4:$A$3003,$D88)&gt;1,"DUPLICADA","OK"))))</f>
        <v/>
      </c>
      <c r="F88" s="28">
        <f>IF($D88="","",IFERROR(INDEX(ENVIOS!$B$4:$B$3003,MATCH($D88,ENVIOS!$A$4:$A$3003,0)),"—"))</f>
        <v/>
      </c>
      <c r="G88" s="23">
        <f>IF($D88="","",IFERROR(INDEX(ENVIOS!$D$4:$D$3003,MATCH($D88,ENVIOS!$A$4:$A$3003,0)),"—"))</f>
        <v/>
      </c>
      <c r="H88" s="23">
        <f>IF($D88="","",IFERROR(INDEX(ENVIOS!$E$4:$E$3003,MATCH($D88,ENVIOS!$A$4:$A$3003,0)),"—"))</f>
        <v/>
      </c>
      <c r="I88" s="23">
        <f>IF($D88="","",IFERROR(INDEX(ENVIOS!$F$4:$F$3003,MATCH($D88,ENVIOS!$A$4:$A$3003,0)),"—"))</f>
        <v/>
      </c>
      <c r="J88" s="23">
        <f>IF($D88="","",IFERROR(INDEX(ENVIOS!$G$4:$G$3003,MATCH($D88,ENVIOS!$A$4:$A$3003,0)),"—"))</f>
        <v/>
      </c>
      <c r="K88" s="28">
        <f>IF($D88="","",IFERROR(INDEX(ENVIOS!$H$4:$H$3003,MATCH($D88,ENVIOS!$A$4:$A$3003,0)),"—"))</f>
        <v/>
      </c>
      <c r="L88" s="49">
        <f>IF($D88="","",IFERROR(INDEX(ENVIOS!$C$4:$C$3003,MATCH($D88,ENVIOS!$A$4:$A$3003,0)),""))</f>
        <v/>
      </c>
      <c r="M88" s="50" t="n"/>
      <c r="N88" s="28">
        <f>IF($M88="","",IFERROR(INDEX(CONFIG!$C$4:$C$63,MATCH($M88,CONFIG!$A$4:$A$63,0)),"Media"))</f>
        <v/>
      </c>
      <c r="O88" s="28">
        <f>IF($M88="","",IF($C88="Interna","NO",IFERROR(INDEX(CONFIG!$E$4:$E$63,MATCH($M88,CONFIG!$A$4:$A$63,0)),"NO")))</f>
        <v/>
      </c>
      <c r="P88" s="50" t="n"/>
      <c r="Q88" s="50" t="n"/>
      <c r="R88" s="28">
        <f>IF($Q88="","",IFERROR(INDEX(CONFIG!$H$4:$H$63,MATCH($Q88,CONFIG!$G$4:$G$63,0)),"Por definir"))</f>
        <v/>
      </c>
      <c r="S88" s="28">
        <f>IF($Q88="","",IFERROR(INDEX(CONFIG!$I$4:$I$63,MATCH($Q88,CONFIG!$G$4:$G$63,0)),"Por definir"))</f>
        <v/>
      </c>
      <c r="T88" s="51" t="n"/>
      <c r="U88" s="52" t="n"/>
      <c r="V88" s="50" t="n"/>
      <c r="W88" s="50" t="n"/>
      <c r="X88" s="49">
        <f>IF(OR($B88="",$M88=""),"",WORKDAY($B88,IFERROR(INDEX(CONFIG!$D$4:$D$63,MATCH($M88,CONFIG!$A$4:$A$63,0)),3)))</f>
        <v/>
      </c>
      <c r="Y88" s="47" t="n"/>
      <c r="Z88" s="24">
        <f>IF($B88="","",IF($Y88&lt;&gt;"",$Y88-$B88,TODAY()-$B88))</f>
        <v/>
      </c>
      <c r="AA88" s="28">
        <f>IF($B88="","",IF(IFERROR(INDEX(CONFIG!$L$4:$L$63,MATCH($V88,CONFIG!$K$4:$K$63,0)),"NO")="SÍ",IF(OR($Y88="",$X88=""),"Resuelta",IF($Y88&gt;$X88,"Resuelta tarde","Resuelta a tiempo")),IF($X88="","Sin clasificar",IF(TODAY()&gt;$X88,"Vencida",IF(TODAY()&gt;=$X88-1,"Por vencer","En plazo")))))</f>
        <v/>
      </c>
      <c r="AB88" s="50" t="n"/>
      <c r="AC88" s="50" t="n"/>
    </row>
    <row r="89" ht="16" customHeight="1">
      <c r="A89" s="28">
        <f>IF($B89="","","N-"&amp;TEXT(ROW()-3,"0000"))</f>
        <v/>
      </c>
      <c r="B89" s="47" t="n"/>
      <c r="C89" s="48" t="n"/>
      <c r="D89" s="48" t="n"/>
      <c r="E89" s="28">
        <f>IF($C89="","",IF($D89="",IF($C89="Interna","Sin guía (interna)","FALTA GUÍA"),IF(COUNTIFS(ENVIOS!$A$4:$A$3003,$D89)=0,"NO EXISTE",IF(COUNTIFS(ENVIOS!$A$4:$A$3003,$D89)&gt;1,"DUPLICADA","OK"))))</f>
        <v/>
      </c>
      <c r="F89" s="28">
        <f>IF($D89="","",IFERROR(INDEX(ENVIOS!$B$4:$B$3003,MATCH($D89,ENVIOS!$A$4:$A$3003,0)),"—"))</f>
        <v/>
      </c>
      <c r="G89" s="23">
        <f>IF($D89="","",IFERROR(INDEX(ENVIOS!$D$4:$D$3003,MATCH($D89,ENVIOS!$A$4:$A$3003,0)),"—"))</f>
        <v/>
      </c>
      <c r="H89" s="23">
        <f>IF($D89="","",IFERROR(INDEX(ENVIOS!$E$4:$E$3003,MATCH($D89,ENVIOS!$A$4:$A$3003,0)),"—"))</f>
        <v/>
      </c>
      <c r="I89" s="23">
        <f>IF($D89="","",IFERROR(INDEX(ENVIOS!$F$4:$F$3003,MATCH($D89,ENVIOS!$A$4:$A$3003,0)),"—"))</f>
        <v/>
      </c>
      <c r="J89" s="23">
        <f>IF($D89="","",IFERROR(INDEX(ENVIOS!$G$4:$G$3003,MATCH($D89,ENVIOS!$A$4:$A$3003,0)),"—"))</f>
        <v/>
      </c>
      <c r="K89" s="28">
        <f>IF($D89="","",IFERROR(INDEX(ENVIOS!$H$4:$H$3003,MATCH($D89,ENVIOS!$A$4:$A$3003,0)),"—"))</f>
        <v/>
      </c>
      <c r="L89" s="49">
        <f>IF($D89="","",IFERROR(INDEX(ENVIOS!$C$4:$C$3003,MATCH($D89,ENVIOS!$A$4:$A$3003,0)),""))</f>
        <v/>
      </c>
      <c r="M89" s="50" t="n"/>
      <c r="N89" s="28">
        <f>IF($M89="","",IFERROR(INDEX(CONFIG!$C$4:$C$63,MATCH($M89,CONFIG!$A$4:$A$63,0)),"Media"))</f>
        <v/>
      </c>
      <c r="O89" s="28">
        <f>IF($M89="","",IF($C89="Interna","NO",IFERROR(INDEX(CONFIG!$E$4:$E$63,MATCH($M89,CONFIG!$A$4:$A$63,0)),"NO")))</f>
        <v/>
      </c>
      <c r="P89" s="50" t="n"/>
      <c r="Q89" s="50" t="n"/>
      <c r="R89" s="28">
        <f>IF($Q89="","",IFERROR(INDEX(CONFIG!$H$4:$H$63,MATCH($Q89,CONFIG!$G$4:$G$63,0)),"Por definir"))</f>
        <v/>
      </c>
      <c r="S89" s="28">
        <f>IF($Q89="","",IFERROR(INDEX(CONFIG!$I$4:$I$63,MATCH($Q89,CONFIG!$G$4:$G$63,0)),"Por definir"))</f>
        <v/>
      </c>
      <c r="T89" s="51" t="n"/>
      <c r="U89" s="52" t="n"/>
      <c r="V89" s="50" t="n"/>
      <c r="W89" s="50" t="n"/>
      <c r="X89" s="49">
        <f>IF(OR($B89="",$M89=""),"",WORKDAY($B89,IFERROR(INDEX(CONFIG!$D$4:$D$63,MATCH($M89,CONFIG!$A$4:$A$63,0)),3)))</f>
        <v/>
      </c>
      <c r="Y89" s="47" t="n"/>
      <c r="Z89" s="24">
        <f>IF($B89="","",IF($Y89&lt;&gt;"",$Y89-$B89,TODAY()-$B89))</f>
        <v/>
      </c>
      <c r="AA89" s="28">
        <f>IF($B89="","",IF(IFERROR(INDEX(CONFIG!$L$4:$L$63,MATCH($V89,CONFIG!$K$4:$K$63,0)),"NO")="SÍ",IF(OR($Y89="",$X89=""),"Resuelta",IF($Y89&gt;$X89,"Resuelta tarde","Resuelta a tiempo")),IF($X89="","Sin clasificar",IF(TODAY()&gt;$X89,"Vencida",IF(TODAY()&gt;=$X89-1,"Por vencer","En plazo")))))</f>
        <v/>
      </c>
      <c r="AB89" s="50" t="n"/>
      <c r="AC89" s="50" t="n"/>
    </row>
    <row r="90" ht="16" customHeight="1">
      <c r="A90" s="28">
        <f>IF($B90="","","N-"&amp;TEXT(ROW()-3,"0000"))</f>
        <v/>
      </c>
      <c r="B90" s="47" t="n"/>
      <c r="C90" s="48" t="n"/>
      <c r="D90" s="48" t="n"/>
      <c r="E90" s="28">
        <f>IF($C90="","",IF($D90="",IF($C90="Interna","Sin guía (interna)","FALTA GUÍA"),IF(COUNTIFS(ENVIOS!$A$4:$A$3003,$D90)=0,"NO EXISTE",IF(COUNTIFS(ENVIOS!$A$4:$A$3003,$D90)&gt;1,"DUPLICADA","OK"))))</f>
        <v/>
      </c>
      <c r="F90" s="28">
        <f>IF($D90="","",IFERROR(INDEX(ENVIOS!$B$4:$B$3003,MATCH($D90,ENVIOS!$A$4:$A$3003,0)),"—"))</f>
        <v/>
      </c>
      <c r="G90" s="23">
        <f>IF($D90="","",IFERROR(INDEX(ENVIOS!$D$4:$D$3003,MATCH($D90,ENVIOS!$A$4:$A$3003,0)),"—"))</f>
        <v/>
      </c>
      <c r="H90" s="23">
        <f>IF($D90="","",IFERROR(INDEX(ENVIOS!$E$4:$E$3003,MATCH($D90,ENVIOS!$A$4:$A$3003,0)),"—"))</f>
        <v/>
      </c>
      <c r="I90" s="23">
        <f>IF($D90="","",IFERROR(INDEX(ENVIOS!$F$4:$F$3003,MATCH($D90,ENVIOS!$A$4:$A$3003,0)),"—"))</f>
        <v/>
      </c>
      <c r="J90" s="23">
        <f>IF($D90="","",IFERROR(INDEX(ENVIOS!$G$4:$G$3003,MATCH($D90,ENVIOS!$A$4:$A$3003,0)),"—"))</f>
        <v/>
      </c>
      <c r="K90" s="28">
        <f>IF($D90="","",IFERROR(INDEX(ENVIOS!$H$4:$H$3003,MATCH($D90,ENVIOS!$A$4:$A$3003,0)),"—"))</f>
        <v/>
      </c>
      <c r="L90" s="49">
        <f>IF($D90="","",IFERROR(INDEX(ENVIOS!$C$4:$C$3003,MATCH($D90,ENVIOS!$A$4:$A$3003,0)),""))</f>
        <v/>
      </c>
      <c r="M90" s="50" t="n"/>
      <c r="N90" s="28">
        <f>IF($M90="","",IFERROR(INDEX(CONFIG!$C$4:$C$63,MATCH($M90,CONFIG!$A$4:$A$63,0)),"Media"))</f>
        <v/>
      </c>
      <c r="O90" s="28">
        <f>IF($M90="","",IF($C90="Interna","NO",IFERROR(INDEX(CONFIG!$E$4:$E$63,MATCH($M90,CONFIG!$A$4:$A$63,0)),"NO")))</f>
        <v/>
      </c>
      <c r="P90" s="50" t="n"/>
      <c r="Q90" s="50" t="n"/>
      <c r="R90" s="28">
        <f>IF($Q90="","",IFERROR(INDEX(CONFIG!$H$4:$H$63,MATCH($Q90,CONFIG!$G$4:$G$63,0)),"Por definir"))</f>
        <v/>
      </c>
      <c r="S90" s="28">
        <f>IF($Q90="","",IFERROR(INDEX(CONFIG!$I$4:$I$63,MATCH($Q90,CONFIG!$G$4:$G$63,0)),"Por definir"))</f>
        <v/>
      </c>
      <c r="T90" s="51" t="n"/>
      <c r="U90" s="52" t="n"/>
      <c r="V90" s="50" t="n"/>
      <c r="W90" s="50" t="n"/>
      <c r="X90" s="49">
        <f>IF(OR($B90="",$M90=""),"",WORKDAY($B90,IFERROR(INDEX(CONFIG!$D$4:$D$63,MATCH($M90,CONFIG!$A$4:$A$63,0)),3)))</f>
        <v/>
      </c>
      <c r="Y90" s="47" t="n"/>
      <c r="Z90" s="24">
        <f>IF($B90="","",IF($Y90&lt;&gt;"",$Y90-$B90,TODAY()-$B90))</f>
        <v/>
      </c>
      <c r="AA90" s="28">
        <f>IF($B90="","",IF(IFERROR(INDEX(CONFIG!$L$4:$L$63,MATCH($V90,CONFIG!$K$4:$K$63,0)),"NO")="SÍ",IF(OR($Y90="",$X90=""),"Resuelta",IF($Y90&gt;$X90,"Resuelta tarde","Resuelta a tiempo")),IF($X90="","Sin clasificar",IF(TODAY()&gt;$X90,"Vencida",IF(TODAY()&gt;=$X90-1,"Por vencer","En plazo")))))</f>
        <v/>
      </c>
      <c r="AB90" s="50" t="n"/>
      <c r="AC90" s="50" t="n"/>
    </row>
    <row r="91" ht="16" customHeight="1">
      <c r="A91" s="28">
        <f>IF($B91="","","N-"&amp;TEXT(ROW()-3,"0000"))</f>
        <v/>
      </c>
      <c r="B91" s="47" t="n"/>
      <c r="C91" s="48" t="n"/>
      <c r="D91" s="48" t="n"/>
      <c r="E91" s="28">
        <f>IF($C91="","",IF($D91="",IF($C91="Interna","Sin guía (interna)","FALTA GUÍA"),IF(COUNTIFS(ENVIOS!$A$4:$A$3003,$D91)=0,"NO EXISTE",IF(COUNTIFS(ENVIOS!$A$4:$A$3003,$D91)&gt;1,"DUPLICADA","OK"))))</f>
        <v/>
      </c>
      <c r="F91" s="28">
        <f>IF($D91="","",IFERROR(INDEX(ENVIOS!$B$4:$B$3003,MATCH($D91,ENVIOS!$A$4:$A$3003,0)),"—"))</f>
        <v/>
      </c>
      <c r="G91" s="23">
        <f>IF($D91="","",IFERROR(INDEX(ENVIOS!$D$4:$D$3003,MATCH($D91,ENVIOS!$A$4:$A$3003,0)),"—"))</f>
        <v/>
      </c>
      <c r="H91" s="23">
        <f>IF($D91="","",IFERROR(INDEX(ENVIOS!$E$4:$E$3003,MATCH($D91,ENVIOS!$A$4:$A$3003,0)),"—"))</f>
        <v/>
      </c>
      <c r="I91" s="23">
        <f>IF($D91="","",IFERROR(INDEX(ENVIOS!$F$4:$F$3003,MATCH($D91,ENVIOS!$A$4:$A$3003,0)),"—"))</f>
        <v/>
      </c>
      <c r="J91" s="23">
        <f>IF($D91="","",IFERROR(INDEX(ENVIOS!$G$4:$G$3003,MATCH($D91,ENVIOS!$A$4:$A$3003,0)),"—"))</f>
        <v/>
      </c>
      <c r="K91" s="28">
        <f>IF($D91="","",IFERROR(INDEX(ENVIOS!$H$4:$H$3003,MATCH($D91,ENVIOS!$A$4:$A$3003,0)),"—"))</f>
        <v/>
      </c>
      <c r="L91" s="49">
        <f>IF($D91="","",IFERROR(INDEX(ENVIOS!$C$4:$C$3003,MATCH($D91,ENVIOS!$A$4:$A$3003,0)),""))</f>
        <v/>
      </c>
      <c r="M91" s="50" t="n"/>
      <c r="N91" s="28">
        <f>IF($M91="","",IFERROR(INDEX(CONFIG!$C$4:$C$63,MATCH($M91,CONFIG!$A$4:$A$63,0)),"Media"))</f>
        <v/>
      </c>
      <c r="O91" s="28">
        <f>IF($M91="","",IF($C91="Interna","NO",IFERROR(INDEX(CONFIG!$E$4:$E$63,MATCH($M91,CONFIG!$A$4:$A$63,0)),"NO")))</f>
        <v/>
      </c>
      <c r="P91" s="50" t="n"/>
      <c r="Q91" s="50" t="n"/>
      <c r="R91" s="28">
        <f>IF($Q91="","",IFERROR(INDEX(CONFIG!$H$4:$H$63,MATCH($Q91,CONFIG!$G$4:$G$63,0)),"Por definir"))</f>
        <v/>
      </c>
      <c r="S91" s="28">
        <f>IF($Q91="","",IFERROR(INDEX(CONFIG!$I$4:$I$63,MATCH($Q91,CONFIG!$G$4:$G$63,0)),"Por definir"))</f>
        <v/>
      </c>
      <c r="T91" s="51" t="n"/>
      <c r="U91" s="52" t="n"/>
      <c r="V91" s="50" t="n"/>
      <c r="W91" s="50" t="n"/>
      <c r="X91" s="49">
        <f>IF(OR($B91="",$M91=""),"",WORKDAY($B91,IFERROR(INDEX(CONFIG!$D$4:$D$63,MATCH($M91,CONFIG!$A$4:$A$63,0)),3)))</f>
        <v/>
      </c>
      <c r="Y91" s="47" t="n"/>
      <c r="Z91" s="24">
        <f>IF($B91="","",IF($Y91&lt;&gt;"",$Y91-$B91,TODAY()-$B91))</f>
        <v/>
      </c>
      <c r="AA91" s="28">
        <f>IF($B91="","",IF(IFERROR(INDEX(CONFIG!$L$4:$L$63,MATCH($V91,CONFIG!$K$4:$K$63,0)),"NO")="SÍ",IF(OR($Y91="",$X91=""),"Resuelta",IF($Y91&gt;$X91,"Resuelta tarde","Resuelta a tiempo")),IF($X91="","Sin clasificar",IF(TODAY()&gt;$X91,"Vencida",IF(TODAY()&gt;=$X91-1,"Por vencer","En plazo")))))</f>
        <v/>
      </c>
      <c r="AB91" s="50" t="n"/>
      <c r="AC91" s="50" t="n"/>
    </row>
    <row r="92" ht="16" customHeight="1">
      <c r="A92" s="28">
        <f>IF($B92="","","N-"&amp;TEXT(ROW()-3,"0000"))</f>
        <v/>
      </c>
      <c r="B92" s="47" t="n"/>
      <c r="C92" s="48" t="n"/>
      <c r="D92" s="48" t="n"/>
      <c r="E92" s="28">
        <f>IF($C92="","",IF($D92="",IF($C92="Interna","Sin guía (interna)","FALTA GUÍA"),IF(COUNTIFS(ENVIOS!$A$4:$A$3003,$D92)=0,"NO EXISTE",IF(COUNTIFS(ENVIOS!$A$4:$A$3003,$D92)&gt;1,"DUPLICADA","OK"))))</f>
        <v/>
      </c>
      <c r="F92" s="28">
        <f>IF($D92="","",IFERROR(INDEX(ENVIOS!$B$4:$B$3003,MATCH($D92,ENVIOS!$A$4:$A$3003,0)),"—"))</f>
        <v/>
      </c>
      <c r="G92" s="23">
        <f>IF($D92="","",IFERROR(INDEX(ENVIOS!$D$4:$D$3003,MATCH($D92,ENVIOS!$A$4:$A$3003,0)),"—"))</f>
        <v/>
      </c>
      <c r="H92" s="23">
        <f>IF($D92="","",IFERROR(INDEX(ENVIOS!$E$4:$E$3003,MATCH($D92,ENVIOS!$A$4:$A$3003,0)),"—"))</f>
        <v/>
      </c>
      <c r="I92" s="23">
        <f>IF($D92="","",IFERROR(INDEX(ENVIOS!$F$4:$F$3003,MATCH($D92,ENVIOS!$A$4:$A$3003,0)),"—"))</f>
        <v/>
      </c>
      <c r="J92" s="23">
        <f>IF($D92="","",IFERROR(INDEX(ENVIOS!$G$4:$G$3003,MATCH($D92,ENVIOS!$A$4:$A$3003,0)),"—"))</f>
        <v/>
      </c>
      <c r="K92" s="28">
        <f>IF($D92="","",IFERROR(INDEX(ENVIOS!$H$4:$H$3003,MATCH($D92,ENVIOS!$A$4:$A$3003,0)),"—"))</f>
        <v/>
      </c>
      <c r="L92" s="49">
        <f>IF($D92="","",IFERROR(INDEX(ENVIOS!$C$4:$C$3003,MATCH($D92,ENVIOS!$A$4:$A$3003,0)),""))</f>
        <v/>
      </c>
      <c r="M92" s="50" t="n"/>
      <c r="N92" s="28">
        <f>IF($M92="","",IFERROR(INDEX(CONFIG!$C$4:$C$63,MATCH($M92,CONFIG!$A$4:$A$63,0)),"Media"))</f>
        <v/>
      </c>
      <c r="O92" s="28">
        <f>IF($M92="","",IF($C92="Interna","NO",IFERROR(INDEX(CONFIG!$E$4:$E$63,MATCH($M92,CONFIG!$A$4:$A$63,0)),"NO")))</f>
        <v/>
      </c>
      <c r="P92" s="50" t="n"/>
      <c r="Q92" s="50" t="n"/>
      <c r="R92" s="28">
        <f>IF($Q92="","",IFERROR(INDEX(CONFIG!$H$4:$H$63,MATCH($Q92,CONFIG!$G$4:$G$63,0)),"Por definir"))</f>
        <v/>
      </c>
      <c r="S92" s="28">
        <f>IF($Q92="","",IFERROR(INDEX(CONFIG!$I$4:$I$63,MATCH($Q92,CONFIG!$G$4:$G$63,0)),"Por definir"))</f>
        <v/>
      </c>
      <c r="T92" s="51" t="n"/>
      <c r="U92" s="52" t="n"/>
      <c r="V92" s="50" t="n"/>
      <c r="W92" s="50" t="n"/>
      <c r="X92" s="49">
        <f>IF(OR($B92="",$M92=""),"",WORKDAY($B92,IFERROR(INDEX(CONFIG!$D$4:$D$63,MATCH($M92,CONFIG!$A$4:$A$63,0)),3)))</f>
        <v/>
      </c>
      <c r="Y92" s="47" t="n"/>
      <c r="Z92" s="24">
        <f>IF($B92="","",IF($Y92&lt;&gt;"",$Y92-$B92,TODAY()-$B92))</f>
        <v/>
      </c>
      <c r="AA92" s="28">
        <f>IF($B92="","",IF(IFERROR(INDEX(CONFIG!$L$4:$L$63,MATCH($V92,CONFIG!$K$4:$K$63,0)),"NO")="SÍ",IF(OR($Y92="",$X92=""),"Resuelta",IF($Y92&gt;$X92,"Resuelta tarde","Resuelta a tiempo")),IF($X92="","Sin clasificar",IF(TODAY()&gt;$X92,"Vencida",IF(TODAY()&gt;=$X92-1,"Por vencer","En plazo")))))</f>
        <v/>
      </c>
      <c r="AB92" s="50" t="n"/>
      <c r="AC92" s="50" t="n"/>
    </row>
    <row r="93" ht="16" customHeight="1">
      <c r="A93" s="28">
        <f>IF($B93="","","N-"&amp;TEXT(ROW()-3,"0000"))</f>
        <v/>
      </c>
      <c r="B93" s="47" t="n"/>
      <c r="C93" s="48" t="n"/>
      <c r="D93" s="48" t="n"/>
      <c r="E93" s="28">
        <f>IF($C93="","",IF($D93="",IF($C93="Interna","Sin guía (interna)","FALTA GUÍA"),IF(COUNTIFS(ENVIOS!$A$4:$A$3003,$D93)=0,"NO EXISTE",IF(COUNTIFS(ENVIOS!$A$4:$A$3003,$D93)&gt;1,"DUPLICADA","OK"))))</f>
        <v/>
      </c>
      <c r="F93" s="28">
        <f>IF($D93="","",IFERROR(INDEX(ENVIOS!$B$4:$B$3003,MATCH($D93,ENVIOS!$A$4:$A$3003,0)),"—"))</f>
        <v/>
      </c>
      <c r="G93" s="23">
        <f>IF($D93="","",IFERROR(INDEX(ENVIOS!$D$4:$D$3003,MATCH($D93,ENVIOS!$A$4:$A$3003,0)),"—"))</f>
        <v/>
      </c>
      <c r="H93" s="23">
        <f>IF($D93="","",IFERROR(INDEX(ENVIOS!$E$4:$E$3003,MATCH($D93,ENVIOS!$A$4:$A$3003,0)),"—"))</f>
        <v/>
      </c>
      <c r="I93" s="23">
        <f>IF($D93="","",IFERROR(INDEX(ENVIOS!$F$4:$F$3003,MATCH($D93,ENVIOS!$A$4:$A$3003,0)),"—"))</f>
        <v/>
      </c>
      <c r="J93" s="23">
        <f>IF($D93="","",IFERROR(INDEX(ENVIOS!$G$4:$G$3003,MATCH($D93,ENVIOS!$A$4:$A$3003,0)),"—"))</f>
        <v/>
      </c>
      <c r="K93" s="28">
        <f>IF($D93="","",IFERROR(INDEX(ENVIOS!$H$4:$H$3003,MATCH($D93,ENVIOS!$A$4:$A$3003,0)),"—"))</f>
        <v/>
      </c>
      <c r="L93" s="49">
        <f>IF($D93="","",IFERROR(INDEX(ENVIOS!$C$4:$C$3003,MATCH($D93,ENVIOS!$A$4:$A$3003,0)),""))</f>
        <v/>
      </c>
      <c r="M93" s="50" t="n"/>
      <c r="N93" s="28">
        <f>IF($M93="","",IFERROR(INDEX(CONFIG!$C$4:$C$63,MATCH($M93,CONFIG!$A$4:$A$63,0)),"Media"))</f>
        <v/>
      </c>
      <c r="O93" s="28">
        <f>IF($M93="","",IF($C93="Interna","NO",IFERROR(INDEX(CONFIG!$E$4:$E$63,MATCH($M93,CONFIG!$A$4:$A$63,0)),"NO")))</f>
        <v/>
      </c>
      <c r="P93" s="50" t="n"/>
      <c r="Q93" s="50" t="n"/>
      <c r="R93" s="28">
        <f>IF($Q93="","",IFERROR(INDEX(CONFIG!$H$4:$H$63,MATCH($Q93,CONFIG!$G$4:$G$63,0)),"Por definir"))</f>
        <v/>
      </c>
      <c r="S93" s="28">
        <f>IF($Q93="","",IFERROR(INDEX(CONFIG!$I$4:$I$63,MATCH($Q93,CONFIG!$G$4:$G$63,0)),"Por definir"))</f>
        <v/>
      </c>
      <c r="T93" s="51" t="n"/>
      <c r="U93" s="52" t="n"/>
      <c r="V93" s="50" t="n"/>
      <c r="W93" s="50" t="n"/>
      <c r="X93" s="49">
        <f>IF(OR($B93="",$M93=""),"",WORKDAY($B93,IFERROR(INDEX(CONFIG!$D$4:$D$63,MATCH($M93,CONFIG!$A$4:$A$63,0)),3)))</f>
        <v/>
      </c>
      <c r="Y93" s="47" t="n"/>
      <c r="Z93" s="24">
        <f>IF($B93="","",IF($Y93&lt;&gt;"",$Y93-$B93,TODAY()-$B93))</f>
        <v/>
      </c>
      <c r="AA93" s="28">
        <f>IF($B93="","",IF(IFERROR(INDEX(CONFIG!$L$4:$L$63,MATCH($V93,CONFIG!$K$4:$K$63,0)),"NO")="SÍ",IF(OR($Y93="",$X93=""),"Resuelta",IF($Y93&gt;$X93,"Resuelta tarde","Resuelta a tiempo")),IF($X93="","Sin clasificar",IF(TODAY()&gt;$X93,"Vencida",IF(TODAY()&gt;=$X93-1,"Por vencer","En plazo")))))</f>
        <v/>
      </c>
      <c r="AB93" s="50" t="n"/>
      <c r="AC93" s="50" t="n"/>
    </row>
    <row r="94" ht="16" customHeight="1">
      <c r="A94" s="28">
        <f>IF($B94="","","N-"&amp;TEXT(ROW()-3,"0000"))</f>
        <v/>
      </c>
      <c r="B94" s="47" t="n"/>
      <c r="C94" s="48" t="n"/>
      <c r="D94" s="48" t="n"/>
      <c r="E94" s="28">
        <f>IF($C94="","",IF($D94="",IF($C94="Interna","Sin guía (interna)","FALTA GUÍA"),IF(COUNTIFS(ENVIOS!$A$4:$A$3003,$D94)=0,"NO EXISTE",IF(COUNTIFS(ENVIOS!$A$4:$A$3003,$D94)&gt;1,"DUPLICADA","OK"))))</f>
        <v/>
      </c>
      <c r="F94" s="28">
        <f>IF($D94="","",IFERROR(INDEX(ENVIOS!$B$4:$B$3003,MATCH($D94,ENVIOS!$A$4:$A$3003,0)),"—"))</f>
        <v/>
      </c>
      <c r="G94" s="23">
        <f>IF($D94="","",IFERROR(INDEX(ENVIOS!$D$4:$D$3003,MATCH($D94,ENVIOS!$A$4:$A$3003,0)),"—"))</f>
        <v/>
      </c>
      <c r="H94" s="23">
        <f>IF($D94="","",IFERROR(INDEX(ENVIOS!$E$4:$E$3003,MATCH($D94,ENVIOS!$A$4:$A$3003,0)),"—"))</f>
        <v/>
      </c>
      <c r="I94" s="23">
        <f>IF($D94="","",IFERROR(INDEX(ENVIOS!$F$4:$F$3003,MATCH($D94,ENVIOS!$A$4:$A$3003,0)),"—"))</f>
        <v/>
      </c>
      <c r="J94" s="23">
        <f>IF($D94="","",IFERROR(INDEX(ENVIOS!$G$4:$G$3003,MATCH($D94,ENVIOS!$A$4:$A$3003,0)),"—"))</f>
        <v/>
      </c>
      <c r="K94" s="28">
        <f>IF($D94="","",IFERROR(INDEX(ENVIOS!$H$4:$H$3003,MATCH($D94,ENVIOS!$A$4:$A$3003,0)),"—"))</f>
        <v/>
      </c>
      <c r="L94" s="49">
        <f>IF($D94="","",IFERROR(INDEX(ENVIOS!$C$4:$C$3003,MATCH($D94,ENVIOS!$A$4:$A$3003,0)),""))</f>
        <v/>
      </c>
      <c r="M94" s="50" t="n"/>
      <c r="N94" s="28">
        <f>IF($M94="","",IFERROR(INDEX(CONFIG!$C$4:$C$63,MATCH($M94,CONFIG!$A$4:$A$63,0)),"Media"))</f>
        <v/>
      </c>
      <c r="O94" s="28">
        <f>IF($M94="","",IF($C94="Interna","NO",IFERROR(INDEX(CONFIG!$E$4:$E$63,MATCH($M94,CONFIG!$A$4:$A$63,0)),"NO")))</f>
        <v/>
      </c>
      <c r="P94" s="50" t="n"/>
      <c r="Q94" s="50" t="n"/>
      <c r="R94" s="28">
        <f>IF($Q94="","",IFERROR(INDEX(CONFIG!$H$4:$H$63,MATCH($Q94,CONFIG!$G$4:$G$63,0)),"Por definir"))</f>
        <v/>
      </c>
      <c r="S94" s="28">
        <f>IF($Q94="","",IFERROR(INDEX(CONFIG!$I$4:$I$63,MATCH($Q94,CONFIG!$G$4:$G$63,0)),"Por definir"))</f>
        <v/>
      </c>
      <c r="T94" s="51" t="n"/>
      <c r="U94" s="52" t="n"/>
      <c r="V94" s="50" t="n"/>
      <c r="W94" s="50" t="n"/>
      <c r="X94" s="49">
        <f>IF(OR($B94="",$M94=""),"",WORKDAY($B94,IFERROR(INDEX(CONFIG!$D$4:$D$63,MATCH($M94,CONFIG!$A$4:$A$63,0)),3)))</f>
        <v/>
      </c>
      <c r="Y94" s="47" t="n"/>
      <c r="Z94" s="24">
        <f>IF($B94="","",IF($Y94&lt;&gt;"",$Y94-$B94,TODAY()-$B94))</f>
        <v/>
      </c>
      <c r="AA94" s="28">
        <f>IF($B94="","",IF(IFERROR(INDEX(CONFIG!$L$4:$L$63,MATCH($V94,CONFIG!$K$4:$K$63,0)),"NO")="SÍ",IF(OR($Y94="",$X94=""),"Resuelta",IF($Y94&gt;$X94,"Resuelta tarde","Resuelta a tiempo")),IF($X94="","Sin clasificar",IF(TODAY()&gt;$X94,"Vencida",IF(TODAY()&gt;=$X94-1,"Por vencer","En plazo")))))</f>
        <v/>
      </c>
      <c r="AB94" s="50" t="n"/>
      <c r="AC94" s="50" t="n"/>
    </row>
    <row r="95" ht="16" customHeight="1">
      <c r="A95" s="28">
        <f>IF($B95="","","N-"&amp;TEXT(ROW()-3,"0000"))</f>
        <v/>
      </c>
      <c r="B95" s="47" t="n"/>
      <c r="C95" s="48" t="n"/>
      <c r="D95" s="48" t="n"/>
      <c r="E95" s="28">
        <f>IF($C95="","",IF($D95="",IF($C95="Interna","Sin guía (interna)","FALTA GUÍA"),IF(COUNTIFS(ENVIOS!$A$4:$A$3003,$D95)=0,"NO EXISTE",IF(COUNTIFS(ENVIOS!$A$4:$A$3003,$D95)&gt;1,"DUPLICADA","OK"))))</f>
        <v/>
      </c>
      <c r="F95" s="28">
        <f>IF($D95="","",IFERROR(INDEX(ENVIOS!$B$4:$B$3003,MATCH($D95,ENVIOS!$A$4:$A$3003,0)),"—"))</f>
        <v/>
      </c>
      <c r="G95" s="23">
        <f>IF($D95="","",IFERROR(INDEX(ENVIOS!$D$4:$D$3003,MATCH($D95,ENVIOS!$A$4:$A$3003,0)),"—"))</f>
        <v/>
      </c>
      <c r="H95" s="23">
        <f>IF($D95="","",IFERROR(INDEX(ENVIOS!$E$4:$E$3003,MATCH($D95,ENVIOS!$A$4:$A$3003,0)),"—"))</f>
        <v/>
      </c>
      <c r="I95" s="23">
        <f>IF($D95="","",IFERROR(INDEX(ENVIOS!$F$4:$F$3003,MATCH($D95,ENVIOS!$A$4:$A$3003,0)),"—"))</f>
        <v/>
      </c>
      <c r="J95" s="23">
        <f>IF($D95="","",IFERROR(INDEX(ENVIOS!$G$4:$G$3003,MATCH($D95,ENVIOS!$A$4:$A$3003,0)),"—"))</f>
        <v/>
      </c>
      <c r="K95" s="28">
        <f>IF($D95="","",IFERROR(INDEX(ENVIOS!$H$4:$H$3003,MATCH($D95,ENVIOS!$A$4:$A$3003,0)),"—"))</f>
        <v/>
      </c>
      <c r="L95" s="49">
        <f>IF($D95="","",IFERROR(INDEX(ENVIOS!$C$4:$C$3003,MATCH($D95,ENVIOS!$A$4:$A$3003,0)),""))</f>
        <v/>
      </c>
      <c r="M95" s="50" t="n"/>
      <c r="N95" s="28">
        <f>IF($M95="","",IFERROR(INDEX(CONFIG!$C$4:$C$63,MATCH($M95,CONFIG!$A$4:$A$63,0)),"Media"))</f>
        <v/>
      </c>
      <c r="O95" s="28">
        <f>IF($M95="","",IF($C95="Interna","NO",IFERROR(INDEX(CONFIG!$E$4:$E$63,MATCH($M95,CONFIG!$A$4:$A$63,0)),"NO")))</f>
        <v/>
      </c>
      <c r="P95" s="50" t="n"/>
      <c r="Q95" s="50" t="n"/>
      <c r="R95" s="28">
        <f>IF($Q95="","",IFERROR(INDEX(CONFIG!$H$4:$H$63,MATCH($Q95,CONFIG!$G$4:$G$63,0)),"Por definir"))</f>
        <v/>
      </c>
      <c r="S95" s="28">
        <f>IF($Q95="","",IFERROR(INDEX(CONFIG!$I$4:$I$63,MATCH($Q95,CONFIG!$G$4:$G$63,0)),"Por definir"))</f>
        <v/>
      </c>
      <c r="T95" s="51" t="n"/>
      <c r="U95" s="52" t="n"/>
      <c r="V95" s="50" t="n"/>
      <c r="W95" s="50" t="n"/>
      <c r="X95" s="49">
        <f>IF(OR($B95="",$M95=""),"",WORKDAY($B95,IFERROR(INDEX(CONFIG!$D$4:$D$63,MATCH($M95,CONFIG!$A$4:$A$63,0)),3)))</f>
        <v/>
      </c>
      <c r="Y95" s="47" t="n"/>
      <c r="Z95" s="24">
        <f>IF($B95="","",IF($Y95&lt;&gt;"",$Y95-$B95,TODAY()-$B95))</f>
        <v/>
      </c>
      <c r="AA95" s="28">
        <f>IF($B95="","",IF(IFERROR(INDEX(CONFIG!$L$4:$L$63,MATCH($V95,CONFIG!$K$4:$K$63,0)),"NO")="SÍ",IF(OR($Y95="",$X95=""),"Resuelta",IF($Y95&gt;$X95,"Resuelta tarde","Resuelta a tiempo")),IF($X95="","Sin clasificar",IF(TODAY()&gt;$X95,"Vencida",IF(TODAY()&gt;=$X95-1,"Por vencer","En plazo")))))</f>
        <v/>
      </c>
      <c r="AB95" s="50" t="n"/>
      <c r="AC95" s="50" t="n"/>
    </row>
    <row r="96" ht="16" customHeight="1">
      <c r="A96" s="28">
        <f>IF($B96="","","N-"&amp;TEXT(ROW()-3,"0000"))</f>
        <v/>
      </c>
      <c r="B96" s="47" t="n"/>
      <c r="C96" s="48" t="n"/>
      <c r="D96" s="48" t="n"/>
      <c r="E96" s="28">
        <f>IF($C96="","",IF($D96="",IF($C96="Interna","Sin guía (interna)","FALTA GUÍA"),IF(COUNTIFS(ENVIOS!$A$4:$A$3003,$D96)=0,"NO EXISTE",IF(COUNTIFS(ENVIOS!$A$4:$A$3003,$D96)&gt;1,"DUPLICADA","OK"))))</f>
        <v/>
      </c>
      <c r="F96" s="28">
        <f>IF($D96="","",IFERROR(INDEX(ENVIOS!$B$4:$B$3003,MATCH($D96,ENVIOS!$A$4:$A$3003,0)),"—"))</f>
        <v/>
      </c>
      <c r="G96" s="23">
        <f>IF($D96="","",IFERROR(INDEX(ENVIOS!$D$4:$D$3003,MATCH($D96,ENVIOS!$A$4:$A$3003,0)),"—"))</f>
        <v/>
      </c>
      <c r="H96" s="23">
        <f>IF($D96="","",IFERROR(INDEX(ENVIOS!$E$4:$E$3003,MATCH($D96,ENVIOS!$A$4:$A$3003,0)),"—"))</f>
        <v/>
      </c>
      <c r="I96" s="23">
        <f>IF($D96="","",IFERROR(INDEX(ENVIOS!$F$4:$F$3003,MATCH($D96,ENVIOS!$A$4:$A$3003,0)),"—"))</f>
        <v/>
      </c>
      <c r="J96" s="23">
        <f>IF($D96="","",IFERROR(INDEX(ENVIOS!$G$4:$G$3003,MATCH($D96,ENVIOS!$A$4:$A$3003,0)),"—"))</f>
        <v/>
      </c>
      <c r="K96" s="28">
        <f>IF($D96="","",IFERROR(INDEX(ENVIOS!$H$4:$H$3003,MATCH($D96,ENVIOS!$A$4:$A$3003,0)),"—"))</f>
        <v/>
      </c>
      <c r="L96" s="49">
        <f>IF($D96="","",IFERROR(INDEX(ENVIOS!$C$4:$C$3003,MATCH($D96,ENVIOS!$A$4:$A$3003,0)),""))</f>
        <v/>
      </c>
      <c r="M96" s="50" t="n"/>
      <c r="N96" s="28">
        <f>IF($M96="","",IFERROR(INDEX(CONFIG!$C$4:$C$63,MATCH($M96,CONFIG!$A$4:$A$63,0)),"Media"))</f>
        <v/>
      </c>
      <c r="O96" s="28">
        <f>IF($M96="","",IF($C96="Interna","NO",IFERROR(INDEX(CONFIG!$E$4:$E$63,MATCH($M96,CONFIG!$A$4:$A$63,0)),"NO")))</f>
        <v/>
      </c>
      <c r="P96" s="50" t="n"/>
      <c r="Q96" s="50" t="n"/>
      <c r="R96" s="28">
        <f>IF($Q96="","",IFERROR(INDEX(CONFIG!$H$4:$H$63,MATCH($Q96,CONFIG!$G$4:$G$63,0)),"Por definir"))</f>
        <v/>
      </c>
      <c r="S96" s="28">
        <f>IF($Q96="","",IFERROR(INDEX(CONFIG!$I$4:$I$63,MATCH($Q96,CONFIG!$G$4:$G$63,0)),"Por definir"))</f>
        <v/>
      </c>
      <c r="T96" s="51" t="n"/>
      <c r="U96" s="52" t="n"/>
      <c r="V96" s="50" t="n"/>
      <c r="W96" s="50" t="n"/>
      <c r="X96" s="49">
        <f>IF(OR($B96="",$M96=""),"",WORKDAY($B96,IFERROR(INDEX(CONFIG!$D$4:$D$63,MATCH($M96,CONFIG!$A$4:$A$63,0)),3)))</f>
        <v/>
      </c>
      <c r="Y96" s="47" t="n"/>
      <c r="Z96" s="24">
        <f>IF($B96="","",IF($Y96&lt;&gt;"",$Y96-$B96,TODAY()-$B96))</f>
        <v/>
      </c>
      <c r="AA96" s="28">
        <f>IF($B96="","",IF(IFERROR(INDEX(CONFIG!$L$4:$L$63,MATCH($V96,CONFIG!$K$4:$K$63,0)),"NO")="SÍ",IF(OR($Y96="",$X96=""),"Resuelta",IF($Y96&gt;$X96,"Resuelta tarde","Resuelta a tiempo")),IF($X96="","Sin clasificar",IF(TODAY()&gt;$X96,"Vencida",IF(TODAY()&gt;=$X96-1,"Por vencer","En plazo")))))</f>
        <v/>
      </c>
      <c r="AB96" s="50" t="n"/>
      <c r="AC96" s="50" t="n"/>
    </row>
    <row r="97" ht="16" customHeight="1">
      <c r="A97" s="28">
        <f>IF($B97="","","N-"&amp;TEXT(ROW()-3,"0000"))</f>
        <v/>
      </c>
      <c r="B97" s="47" t="n"/>
      <c r="C97" s="48" t="n"/>
      <c r="D97" s="48" t="n"/>
      <c r="E97" s="28">
        <f>IF($C97="","",IF($D97="",IF($C97="Interna","Sin guía (interna)","FALTA GUÍA"),IF(COUNTIFS(ENVIOS!$A$4:$A$3003,$D97)=0,"NO EXISTE",IF(COUNTIFS(ENVIOS!$A$4:$A$3003,$D97)&gt;1,"DUPLICADA","OK"))))</f>
        <v/>
      </c>
      <c r="F97" s="28">
        <f>IF($D97="","",IFERROR(INDEX(ENVIOS!$B$4:$B$3003,MATCH($D97,ENVIOS!$A$4:$A$3003,0)),"—"))</f>
        <v/>
      </c>
      <c r="G97" s="23">
        <f>IF($D97="","",IFERROR(INDEX(ENVIOS!$D$4:$D$3003,MATCH($D97,ENVIOS!$A$4:$A$3003,0)),"—"))</f>
        <v/>
      </c>
      <c r="H97" s="23">
        <f>IF($D97="","",IFERROR(INDEX(ENVIOS!$E$4:$E$3003,MATCH($D97,ENVIOS!$A$4:$A$3003,0)),"—"))</f>
        <v/>
      </c>
      <c r="I97" s="23">
        <f>IF($D97="","",IFERROR(INDEX(ENVIOS!$F$4:$F$3003,MATCH($D97,ENVIOS!$A$4:$A$3003,0)),"—"))</f>
        <v/>
      </c>
      <c r="J97" s="23">
        <f>IF($D97="","",IFERROR(INDEX(ENVIOS!$G$4:$G$3003,MATCH($D97,ENVIOS!$A$4:$A$3003,0)),"—"))</f>
        <v/>
      </c>
      <c r="K97" s="28">
        <f>IF($D97="","",IFERROR(INDEX(ENVIOS!$H$4:$H$3003,MATCH($D97,ENVIOS!$A$4:$A$3003,0)),"—"))</f>
        <v/>
      </c>
      <c r="L97" s="49">
        <f>IF($D97="","",IFERROR(INDEX(ENVIOS!$C$4:$C$3003,MATCH($D97,ENVIOS!$A$4:$A$3003,0)),""))</f>
        <v/>
      </c>
      <c r="M97" s="50" t="n"/>
      <c r="N97" s="28">
        <f>IF($M97="","",IFERROR(INDEX(CONFIG!$C$4:$C$63,MATCH($M97,CONFIG!$A$4:$A$63,0)),"Media"))</f>
        <v/>
      </c>
      <c r="O97" s="28">
        <f>IF($M97="","",IF($C97="Interna","NO",IFERROR(INDEX(CONFIG!$E$4:$E$63,MATCH($M97,CONFIG!$A$4:$A$63,0)),"NO")))</f>
        <v/>
      </c>
      <c r="P97" s="50" t="n"/>
      <c r="Q97" s="50" t="n"/>
      <c r="R97" s="28">
        <f>IF($Q97="","",IFERROR(INDEX(CONFIG!$H$4:$H$63,MATCH($Q97,CONFIG!$G$4:$G$63,0)),"Por definir"))</f>
        <v/>
      </c>
      <c r="S97" s="28">
        <f>IF($Q97="","",IFERROR(INDEX(CONFIG!$I$4:$I$63,MATCH($Q97,CONFIG!$G$4:$G$63,0)),"Por definir"))</f>
        <v/>
      </c>
      <c r="T97" s="51" t="n"/>
      <c r="U97" s="52" t="n"/>
      <c r="V97" s="50" t="n"/>
      <c r="W97" s="50" t="n"/>
      <c r="X97" s="49">
        <f>IF(OR($B97="",$M97=""),"",WORKDAY($B97,IFERROR(INDEX(CONFIG!$D$4:$D$63,MATCH($M97,CONFIG!$A$4:$A$63,0)),3)))</f>
        <v/>
      </c>
      <c r="Y97" s="47" t="n"/>
      <c r="Z97" s="24">
        <f>IF($B97="","",IF($Y97&lt;&gt;"",$Y97-$B97,TODAY()-$B97))</f>
        <v/>
      </c>
      <c r="AA97" s="28">
        <f>IF($B97="","",IF(IFERROR(INDEX(CONFIG!$L$4:$L$63,MATCH($V97,CONFIG!$K$4:$K$63,0)),"NO")="SÍ",IF(OR($Y97="",$X97=""),"Resuelta",IF($Y97&gt;$X97,"Resuelta tarde","Resuelta a tiempo")),IF($X97="","Sin clasificar",IF(TODAY()&gt;$X97,"Vencida",IF(TODAY()&gt;=$X97-1,"Por vencer","En plazo")))))</f>
        <v/>
      </c>
      <c r="AB97" s="50" t="n"/>
      <c r="AC97" s="50" t="n"/>
    </row>
    <row r="98" ht="16" customHeight="1">
      <c r="A98" s="28">
        <f>IF($B98="","","N-"&amp;TEXT(ROW()-3,"0000"))</f>
        <v/>
      </c>
      <c r="B98" s="47" t="n"/>
      <c r="C98" s="48" t="n"/>
      <c r="D98" s="48" t="n"/>
      <c r="E98" s="28">
        <f>IF($C98="","",IF($D98="",IF($C98="Interna","Sin guía (interna)","FALTA GUÍA"),IF(COUNTIFS(ENVIOS!$A$4:$A$3003,$D98)=0,"NO EXISTE",IF(COUNTIFS(ENVIOS!$A$4:$A$3003,$D98)&gt;1,"DUPLICADA","OK"))))</f>
        <v/>
      </c>
      <c r="F98" s="28">
        <f>IF($D98="","",IFERROR(INDEX(ENVIOS!$B$4:$B$3003,MATCH($D98,ENVIOS!$A$4:$A$3003,0)),"—"))</f>
        <v/>
      </c>
      <c r="G98" s="23">
        <f>IF($D98="","",IFERROR(INDEX(ENVIOS!$D$4:$D$3003,MATCH($D98,ENVIOS!$A$4:$A$3003,0)),"—"))</f>
        <v/>
      </c>
      <c r="H98" s="23">
        <f>IF($D98="","",IFERROR(INDEX(ENVIOS!$E$4:$E$3003,MATCH($D98,ENVIOS!$A$4:$A$3003,0)),"—"))</f>
        <v/>
      </c>
      <c r="I98" s="23">
        <f>IF($D98="","",IFERROR(INDEX(ENVIOS!$F$4:$F$3003,MATCH($D98,ENVIOS!$A$4:$A$3003,0)),"—"))</f>
        <v/>
      </c>
      <c r="J98" s="23">
        <f>IF($D98="","",IFERROR(INDEX(ENVIOS!$G$4:$G$3003,MATCH($D98,ENVIOS!$A$4:$A$3003,0)),"—"))</f>
        <v/>
      </c>
      <c r="K98" s="28">
        <f>IF($D98="","",IFERROR(INDEX(ENVIOS!$H$4:$H$3003,MATCH($D98,ENVIOS!$A$4:$A$3003,0)),"—"))</f>
        <v/>
      </c>
      <c r="L98" s="49">
        <f>IF($D98="","",IFERROR(INDEX(ENVIOS!$C$4:$C$3003,MATCH($D98,ENVIOS!$A$4:$A$3003,0)),""))</f>
        <v/>
      </c>
      <c r="M98" s="50" t="n"/>
      <c r="N98" s="28">
        <f>IF($M98="","",IFERROR(INDEX(CONFIG!$C$4:$C$63,MATCH($M98,CONFIG!$A$4:$A$63,0)),"Media"))</f>
        <v/>
      </c>
      <c r="O98" s="28">
        <f>IF($M98="","",IF($C98="Interna","NO",IFERROR(INDEX(CONFIG!$E$4:$E$63,MATCH($M98,CONFIG!$A$4:$A$63,0)),"NO")))</f>
        <v/>
      </c>
      <c r="P98" s="50" t="n"/>
      <c r="Q98" s="50" t="n"/>
      <c r="R98" s="28">
        <f>IF($Q98="","",IFERROR(INDEX(CONFIG!$H$4:$H$63,MATCH($Q98,CONFIG!$G$4:$G$63,0)),"Por definir"))</f>
        <v/>
      </c>
      <c r="S98" s="28">
        <f>IF($Q98="","",IFERROR(INDEX(CONFIG!$I$4:$I$63,MATCH($Q98,CONFIG!$G$4:$G$63,0)),"Por definir"))</f>
        <v/>
      </c>
      <c r="T98" s="51" t="n"/>
      <c r="U98" s="52" t="n"/>
      <c r="V98" s="50" t="n"/>
      <c r="W98" s="50" t="n"/>
      <c r="X98" s="49">
        <f>IF(OR($B98="",$M98=""),"",WORKDAY($B98,IFERROR(INDEX(CONFIG!$D$4:$D$63,MATCH($M98,CONFIG!$A$4:$A$63,0)),3)))</f>
        <v/>
      </c>
      <c r="Y98" s="47" t="n"/>
      <c r="Z98" s="24">
        <f>IF($B98="","",IF($Y98&lt;&gt;"",$Y98-$B98,TODAY()-$B98))</f>
        <v/>
      </c>
      <c r="AA98" s="28">
        <f>IF($B98="","",IF(IFERROR(INDEX(CONFIG!$L$4:$L$63,MATCH($V98,CONFIG!$K$4:$K$63,0)),"NO")="SÍ",IF(OR($Y98="",$X98=""),"Resuelta",IF($Y98&gt;$X98,"Resuelta tarde","Resuelta a tiempo")),IF($X98="","Sin clasificar",IF(TODAY()&gt;$X98,"Vencida",IF(TODAY()&gt;=$X98-1,"Por vencer","En plazo")))))</f>
        <v/>
      </c>
      <c r="AB98" s="50" t="n"/>
      <c r="AC98" s="50" t="n"/>
    </row>
    <row r="99" ht="16" customHeight="1">
      <c r="A99" s="28">
        <f>IF($B99="","","N-"&amp;TEXT(ROW()-3,"0000"))</f>
        <v/>
      </c>
      <c r="B99" s="47" t="n"/>
      <c r="C99" s="48" t="n"/>
      <c r="D99" s="48" t="n"/>
      <c r="E99" s="28">
        <f>IF($C99="","",IF($D99="",IF($C99="Interna","Sin guía (interna)","FALTA GUÍA"),IF(COUNTIFS(ENVIOS!$A$4:$A$3003,$D99)=0,"NO EXISTE",IF(COUNTIFS(ENVIOS!$A$4:$A$3003,$D99)&gt;1,"DUPLICADA","OK"))))</f>
        <v/>
      </c>
      <c r="F99" s="28">
        <f>IF($D99="","",IFERROR(INDEX(ENVIOS!$B$4:$B$3003,MATCH($D99,ENVIOS!$A$4:$A$3003,0)),"—"))</f>
        <v/>
      </c>
      <c r="G99" s="23">
        <f>IF($D99="","",IFERROR(INDEX(ENVIOS!$D$4:$D$3003,MATCH($D99,ENVIOS!$A$4:$A$3003,0)),"—"))</f>
        <v/>
      </c>
      <c r="H99" s="23">
        <f>IF($D99="","",IFERROR(INDEX(ENVIOS!$E$4:$E$3003,MATCH($D99,ENVIOS!$A$4:$A$3003,0)),"—"))</f>
        <v/>
      </c>
      <c r="I99" s="23">
        <f>IF($D99="","",IFERROR(INDEX(ENVIOS!$F$4:$F$3003,MATCH($D99,ENVIOS!$A$4:$A$3003,0)),"—"))</f>
        <v/>
      </c>
      <c r="J99" s="23">
        <f>IF($D99="","",IFERROR(INDEX(ENVIOS!$G$4:$G$3003,MATCH($D99,ENVIOS!$A$4:$A$3003,0)),"—"))</f>
        <v/>
      </c>
      <c r="K99" s="28">
        <f>IF($D99="","",IFERROR(INDEX(ENVIOS!$H$4:$H$3003,MATCH($D99,ENVIOS!$A$4:$A$3003,0)),"—"))</f>
        <v/>
      </c>
      <c r="L99" s="49">
        <f>IF($D99="","",IFERROR(INDEX(ENVIOS!$C$4:$C$3003,MATCH($D99,ENVIOS!$A$4:$A$3003,0)),""))</f>
        <v/>
      </c>
      <c r="M99" s="50" t="n"/>
      <c r="N99" s="28">
        <f>IF($M99="","",IFERROR(INDEX(CONFIG!$C$4:$C$63,MATCH($M99,CONFIG!$A$4:$A$63,0)),"Media"))</f>
        <v/>
      </c>
      <c r="O99" s="28">
        <f>IF($M99="","",IF($C99="Interna","NO",IFERROR(INDEX(CONFIG!$E$4:$E$63,MATCH($M99,CONFIG!$A$4:$A$63,0)),"NO")))</f>
        <v/>
      </c>
      <c r="P99" s="50" t="n"/>
      <c r="Q99" s="50" t="n"/>
      <c r="R99" s="28">
        <f>IF($Q99="","",IFERROR(INDEX(CONFIG!$H$4:$H$63,MATCH($Q99,CONFIG!$G$4:$G$63,0)),"Por definir"))</f>
        <v/>
      </c>
      <c r="S99" s="28">
        <f>IF($Q99="","",IFERROR(INDEX(CONFIG!$I$4:$I$63,MATCH($Q99,CONFIG!$G$4:$G$63,0)),"Por definir"))</f>
        <v/>
      </c>
      <c r="T99" s="51" t="n"/>
      <c r="U99" s="52" t="n"/>
      <c r="V99" s="50" t="n"/>
      <c r="W99" s="50" t="n"/>
      <c r="X99" s="49">
        <f>IF(OR($B99="",$M99=""),"",WORKDAY($B99,IFERROR(INDEX(CONFIG!$D$4:$D$63,MATCH($M99,CONFIG!$A$4:$A$63,0)),3)))</f>
        <v/>
      </c>
      <c r="Y99" s="47" t="n"/>
      <c r="Z99" s="24">
        <f>IF($B99="","",IF($Y99&lt;&gt;"",$Y99-$B99,TODAY()-$B99))</f>
        <v/>
      </c>
      <c r="AA99" s="28">
        <f>IF($B99="","",IF(IFERROR(INDEX(CONFIG!$L$4:$L$63,MATCH($V99,CONFIG!$K$4:$K$63,0)),"NO")="SÍ",IF(OR($Y99="",$X99=""),"Resuelta",IF($Y99&gt;$X99,"Resuelta tarde","Resuelta a tiempo")),IF($X99="","Sin clasificar",IF(TODAY()&gt;$X99,"Vencida",IF(TODAY()&gt;=$X99-1,"Por vencer","En plazo")))))</f>
        <v/>
      </c>
      <c r="AB99" s="50" t="n"/>
      <c r="AC99" s="50" t="n"/>
    </row>
    <row r="100" ht="16" customHeight="1">
      <c r="A100" s="28">
        <f>IF($B100="","","N-"&amp;TEXT(ROW()-3,"0000"))</f>
        <v/>
      </c>
      <c r="B100" s="47" t="n"/>
      <c r="C100" s="48" t="n"/>
      <c r="D100" s="48" t="n"/>
      <c r="E100" s="28">
        <f>IF($C100="","",IF($D100="",IF($C100="Interna","Sin guía (interna)","FALTA GUÍA"),IF(COUNTIFS(ENVIOS!$A$4:$A$3003,$D100)=0,"NO EXISTE",IF(COUNTIFS(ENVIOS!$A$4:$A$3003,$D100)&gt;1,"DUPLICADA","OK"))))</f>
        <v/>
      </c>
      <c r="F100" s="28">
        <f>IF($D100="","",IFERROR(INDEX(ENVIOS!$B$4:$B$3003,MATCH($D100,ENVIOS!$A$4:$A$3003,0)),"—"))</f>
        <v/>
      </c>
      <c r="G100" s="23">
        <f>IF($D100="","",IFERROR(INDEX(ENVIOS!$D$4:$D$3003,MATCH($D100,ENVIOS!$A$4:$A$3003,0)),"—"))</f>
        <v/>
      </c>
      <c r="H100" s="23">
        <f>IF($D100="","",IFERROR(INDEX(ENVIOS!$E$4:$E$3003,MATCH($D100,ENVIOS!$A$4:$A$3003,0)),"—"))</f>
        <v/>
      </c>
      <c r="I100" s="23">
        <f>IF($D100="","",IFERROR(INDEX(ENVIOS!$F$4:$F$3003,MATCH($D100,ENVIOS!$A$4:$A$3003,0)),"—"))</f>
        <v/>
      </c>
      <c r="J100" s="23">
        <f>IF($D100="","",IFERROR(INDEX(ENVIOS!$G$4:$G$3003,MATCH($D100,ENVIOS!$A$4:$A$3003,0)),"—"))</f>
        <v/>
      </c>
      <c r="K100" s="28">
        <f>IF($D100="","",IFERROR(INDEX(ENVIOS!$H$4:$H$3003,MATCH($D100,ENVIOS!$A$4:$A$3003,0)),"—"))</f>
        <v/>
      </c>
      <c r="L100" s="49">
        <f>IF($D100="","",IFERROR(INDEX(ENVIOS!$C$4:$C$3003,MATCH($D100,ENVIOS!$A$4:$A$3003,0)),""))</f>
        <v/>
      </c>
      <c r="M100" s="50" t="n"/>
      <c r="N100" s="28">
        <f>IF($M100="","",IFERROR(INDEX(CONFIG!$C$4:$C$63,MATCH($M100,CONFIG!$A$4:$A$63,0)),"Media"))</f>
        <v/>
      </c>
      <c r="O100" s="28">
        <f>IF($M100="","",IF($C100="Interna","NO",IFERROR(INDEX(CONFIG!$E$4:$E$63,MATCH($M100,CONFIG!$A$4:$A$63,0)),"NO")))</f>
        <v/>
      </c>
      <c r="P100" s="50" t="n"/>
      <c r="Q100" s="50" t="n"/>
      <c r="R100" s="28">
        <f>IF($Q100="","",IFERROR(INDEX(CONFIG!$H$4:$H$63,MATCH($Q100,CONFIG!$G$4:$G$63,0)),"Por definir"))</f>
        <v/>
      </c>
      <c r="S100" s="28">
        <f>IF($Q100="","",IFERROR(INDEX(CONFIG!$I$4:$I$63,MATCH($Q100,CONFIG!$G$4:$G$63,0)),"Por definir"))</f>
        <v/>
      </c>
      <c r="T100" s="51" t="n"/>
      <c r="U100" s="52" t="n"/>
      <c r="V100" s="50" t="n"/>
      <c r="W100" s="50" t="n"/>
      <c r="X100" s="49">
        <f>IF(OR($B100="",$M100=""),"",WORKDAY($B100,IFERROR(INDEX(CONFIG!$D$4:$D$63,MATCH($M100,CONFIG!$A$4:$A$63,0)),3)))</f>
        <v/>
      </c>
      <c r="Y100" s="47" t="n"/>
      <c r="Z100" s="24">
        <f>IF($B100="","",IF($Y100&lt;&gt;"",$Y100-$B100,TODAY()-$B100))</f>
        <v/>
      </c>
      <c r="AA100" s="28">
        <f>IF($B100="","",IF(IFERROR(INDEX(CONFIG!$L$4:$L$63,MATCH($V100,CONFIG!$K$4:$K$63,0)),"NO")="SÍ",IF(OR($Y100="",$X100=""),"Resuelta",IF($Y100&gt;$X100,"Resuelta tarde","Resuelta a tiempo")),IF($X100="","Sin clasificar",IF(TODAY()&gt;$X100,"Vencida",IF(TODAY()&gt;=$X100-1,"Por vencer","En plazo")))))</f>
        <v/>
      </c>
      <c r="AB100" s="50" t="n"/>
      <c r="AC100" s="50" t="n"/>
    </row>
    <row r="101" ht="16" customHeight="1">
      <c r="A101" s="28">
        <f>IF($B101="","","N-"&amp;TEXT(ROW()-3,"0000"))</f>
        <v/>
      </c>
      <c r="B101" s="47" t="n"/>
      <c r="C101" s="48" t="n"/>
      <c r="D101" s="48" t="n"/>
      <c r="E101" s="28">
        <f>IF($C101="","",IF($D101="",IF($C101="Interna","Sin guía (interna)","FALTA GUÍA"),IF(COUNTIFS(ENVIOS!$A$4:$A$3003,$D101)=0,"NO EXISTE",IF(COUNTIFS(ENVIOS!$A$4:$A$3003,$D101)&gt;1,"DUPLICADA","OK"))))</f>
        <v/>
      </c>
      <c r="F101" s="28">
        <f>IF($D101="","",IFERROR(INDEX(ENVIOS!$B$4:$B$3003,MATCH($D101,ENVIOS!$A$4:$A$3003,0)),"—"))</f>
        <v/>
      </c>
      <c r="G101" s="23">
        <f>IF($D101="","",IFERROR(INDEX(ENVIOS!$D$4:$D$3003,MATCH($D101,ENVIOS!$A$4:$A$3003,0)),"—"))</f>
        <v/>
      </c>
      <c r="H101" s="23">
        <f>IF($D101="","",IFERROR(INDEX(ENVIOS!$E$4:$E$3003,MATCH($D101,ENVIOS!$A$4:$A$3003,0)),"—"))</f>
        <v/>
      </c>
      <c r="I101" s="23">
        <f>IF($D101="","",IFERROR(INDEX(ENVIOS!$F$4:$F$3003,MATCH($D101,ENVIOS!$A$4:$A$3003,0)),"—"))</f>
        <v/>
      </c>
      <c r="J101" s="23">
        <f>IF($D101="","",IFERROR(INDEX(ENVIOS!$G$4:$G$3003,MATCH($D101,ENVIOS!$A$4:$A$3003,0)),"—"))</f>
        <v/>
      </c>
      <c r="K101" s="28">
        <f>IF($D101="","",IFERROR(INDEX(ENVIOS!$H$4:$H$3003,MATCH($D101,ENVIOS!$A$4:$A$3003,0)),"—"))</f>
        <v/>
      </c>
      <c r="L101" s="49">
        <f>IF($D101="","",IFERROR(INDEX(ENVIOS!$C$4:$C$3003,MATCH($D101,ENVIOS!$A$4:$A$3003,0)),""))</f>
        <v/>
      </c>
      <c r="M101" s="50" t="n"/>
      <c r="N101" s="28">
        <f>IF($M101="","",IFERROR(INDEX(CONFIG!$C$4:$C$63,MATCH($M101,CONFIG!$A$4:$A$63,0)),"Media"))</f>
        <v/>
      </c>
      <c r="O101" s="28">
        <f>IF($M101="","",IF($C101="Interna","NO",IFERROR(INDEX(CONFIG!$E$4:$E$63,MATCH($M101,CONFIG!$A$4:$A$63,0)),"NO")))</f>
        <v/>
      </c>
      <c r="P101" s="50" t="n"/>
      <c r="Q101" s="50" t="n"/>
      <c r="R101" s="28">
        <f>IF($Q101="","",IFERROR(INDEX(CONFIG!$H$4:$H$63,MATCH($Q101,CONFIG!$G$4:$G$63,0)),"Por definir"))</f>
        <v/>
      </c>
      <c r="S101" s="28">
        <f>IF($Q101="","",IFERROR(INDEX(CONFIG!$I$4:$I$63,MATCH($Q101,CONFIG!$G$4:$G$63,0)),"Por definir"))</f>
        <v/>
      </c>
      <c r="T101" s="51" t="n"/>
      <c r="U101" s="52" t="n"/>
      <c r="V101" s="50" t="n"/>
      <c r="W101" s="50" t="n"/>
      <c r="X101" s="49">
        <f>IF(OR($B101="",$M101=""),"",WORKDAY($B101,IFERROR(INDEX(CONFIG!$D$4:$D$63,MATCH($M101,CONFIG!$A$4:$A$63,0)),3)))</f>
        <v/>
      </c>
      <c r="Y101" s="47" t="n"/>
      <c r="Z101" s="24">
        <f>IF($B101="","",IF($Y101&lt;&gt;"",$Y101-$B101,TODAY()-$B101))</f>
        <v/>
      </c>
      <c r="AA101" s="28">
        <f>IF($B101="","",IF(IFERROR(INDEX(CONFIG!$L$4:$L$63,MATCH($V101,CONFIG!$K$4:$K$63,0)),"NO")="SÍ",IF(OR($Y101="",$X101=""),"Resuelta",IF($Y101&gt;$X101,"Resuelta tarde","Resuelta a tiempo")),IF($X101="","Sin clasificar",IF(TODAY()&gt;$X101,"Vencida",IF(TODAY()&gt;=$X101-1,"Por vencer","En plazo")))))</f>
        <v/>
      </c>
      <c r="AB101" s="50" t="n"/>
      <c r="AC101" s="50" t="n"/>
    </row>
    <row r="102" ht="16" customHeight="1">
      <c r="A102" s="28">
        <f>IF($B102="","","N-"&amp;TEXT(ROW()-3,"0000"))</f>
        <v/>
      </c>
      <c r="B102" s="47" t="n"/>
      <c r="C102" s="48" t="n"/>
      <c r="D102" s="48" t="n"/>
      <c r="E102" s="28">
        <f>IF($C102="","",IF($D102="",IF($C102="Interna","Sin guía (interna)","FALTA GUÍA"),IF(COUNTIFS(ENVIOS!$A$4:$A$3003,$D102)=0,"NO EXISTE",IF(COUNTIFS(ENVIOS!$A$4:$A$3003,$D102)&gt;1,"DUPLICADA","OK"))))</f>
        <v/>
      </c>
      <c r="F102" s="28">
        <f>IF($D102="","",IFERROR(INDEX(ENVIOS!$B$4:$B$3003,MATCH($D102,ENVIOS!$A$4:$A$3003,0)),"—"))</f>
        <v/>
      </c>
      <c r="G102" s="23">
        <f>IF($D102="","",IFERROR(INDEX(ENVIOS!$D$4:$D$3003,MATCH($D102,ENVIOS!$A$4:$A$3003,0)),"—"))</f>
        <v/>
      </c>
      <c r="H102" s="23">
        <f>IF($D102="","",IFERROR(INDEX(ENVIOS!$E$4:$E$3003,MATCH($D102,ENVIOS!$A$4:$A$3003,0)),"—"))</f>
        <v/>
      </c>
      <c r="I102" s="23">
        <f>IF($D102="","",IFERROR(INDEX(ENVIOS!$F$4:$F$3003,MATCH($D102,ENVIOS!$A$4:$A$3003,0)),"—"))</f>
        <v/>
      </c>
      <c r="J102" s="23">
        <f>IF($D102="","",IFERROR(INDEX(ENVIOS!$G$4:$G$3003,MATCH($D102,ENVIOS!$A$4:$A$3003,0)),"—"))</f>
        <v/>
      </c>
      <c r="K102" s="28">
        <f>IF($D102="","",IFERROR(INDEX(ENVIOS!$H$4:$H$3003,MATCH($D102,ENVIOS!$A$4:$A$3003,0)),"—"))</f>
        <v/>
      </c>
      <c r="L102" s="49">
        <f>IF($D102="","",IFERROR(INDEX(ENVIOS!$C$4:$C$3003,MATCH($D102,ENVIOS!$A$4:$A$3003,0)),""))</f>
        <v/>
      </c>
      <c r="M102" s="50" t="n"/>
      <c r="N102" s="28">
        <f>IF($M102="","",IFERROR(INDEX(CONFIG!$C$4:$C$63,MATCH($M102,CONFIG!$A$4:$A$63,0)),"Media"))</f>
        <v/>
      </c>
      <c r="O102" s="28">
        <f>IF($M102="","",IF($C102="Interna","NO",IFERROR(INDEX(CONFIG!$E$4:$E$63,MATCH($M102,CONFIG!$A$4:$A$63,0)),"NO")))</f>
        <v/>
      </c>
      <c r="P102" s="50" t="n"/>
      <c r="Q102" s="50" t="n"/>
      <c r="R102" s="28">
        <f>IF($Q102="","",IFERROR(INDEX(CONFIG!$H$4:$H$63,MATCH($Q102,CONFIG!$G$4:$G$63,0)),"Por definir"))</f>
        <v/>
      </c>
      <c r="S102" s="28">
        <f>IF($Q102="","",IFERROR(INDEX(CONFIG!$I$4:$I$63,MATCH($Q102,CONFIG!$G$4:$G$63,0)),"Por definir"))</f>
        <v/>
      </c>
      <c r="T102" s="51" t="n"/>
      <c r="U102" s="52" t="n"/>
      <c r="V102" s="50" t="n"/>
      <c r="W102" s="50" t="n"/>
      <c r="X102" s="49">
        <f>IF(OR($B102="",$M102=""),"",WORKDAY($B102,IFERROR(INDEX(CONFIG!$D$4:$D$63,MATCH($M102,CONFIG!$A$4:$A$63,0)),3)))</f>
        <v/>
      </c>
      <c r="Y102" s="47" t="n"/>
      <c r="Z102" s="24">
        <f>IF($B102="","",IF($Y102&lt;&gt;"",$Y102-$B102,TODAY()-$B102))</f>
        <v/>
      </c>
      <c r="AA102" s="28">
        <f>IF($B102="","",IF(IFERROR(INDEX(CONFIG!$L$4:$L$63,MATCH($V102,CONFIG!$K$4:$K$63,0)),"NO")="SÍ",IF(OR($Y102="",$X102=""),"Resuelta",IF($Y102&gt;$X102,"Resuelta tarde","Resuelta a tiempo")),IF($X102="","Sin clasificar",IF(TODAY()&gt;$X102,"Vencida",IF(TODAY()&gt;=$X102-1,"Por vencer","En plazo")))))</f>
        <v/>
      </c>
      <c r="AB102" s="50" t="n"/>
      <c r="AC102" s="50" t="n"/>
    </row>
    <row r="103" ht="16" customHeight="1">
      <c r="A103" s="28">
        <f>IF($B103="","","N-"&amp;TEXT(ROW()-3,"0000"))</f>
        <v/>
      </c>
      <c r="B103" s="47" t="n"/>
      <c r="C103" s="48" t="n"/>
      <c r="D103" s="48" t="n"/>
      <c r="E103" s="28">
        <f>IF($C103="","",IF($D103="",IF($C103="Interna","Sin guía (interna)","FALTA GUÍA"),IF(COUNTIFS(ENVIOS!$A$4:$A$3003,$D103)=0,"NO EXISTE",IF(COUNTIFS(ENVIOS!$A$4:$A$3003,$D103)&gt;1,"DUPLICADA","OK"))))</f>
        <v/>
      </c>
      <c r="F103" s="28">
        <f>IF($D103="","",IFERROR(INDEX(ENVIOS!$B$4:$B$3003,MATCH($D103,ENVIOS!$A$4:$A$3003,0)),"—"))</f>
        <v/>
      </c>
      <c r="G103" s="23">
        <f>IF($D103="","",IFERROR(INDEX(ENVIOS!$D$4:$D$3003,MATCH($D103,ENVIOS!$A$4:$A$3003,0)),"—"))</f>
        <v/>
      </c>
      <c r="H103" s="23">
        <f>IF($D103="","",IFERROR(INDEX(ENVIOS!$E$4:$E$3003,MATCH($D103,ENVIOS!$A$4:$A$3003,0)),"—"))</f>
        <v/>
      </c>
      <c r="I103" s="23">
        <f>IF($D103="","",IFERROR(INDEX(ENVIOS!$F$4:$F$3003,MATCH($D103,ENVIOS!$A$4:$A$3003,0)),"—"))</f>
        <v/>
      </c>
      <c r="J103" s="23">
        <f>IF($D103="","",IFERROR(INDEX(ENVIOS!$G$4:$G$3003,MATCH($D103,ENVIOS!$A$4:$A$3003,0)),"—"))</f>
        <v/>
      </c>
      <c r="K103" s="28">
        <f>IF($D103="","",IFERROR(INDEX(ENVIOS!$H$4:$H$3003,MATCH($D103,ENVIOS!$A$4:$A$3003,0)),"—"))</f>
        <v/>
      </c>
      <c r="L103" s="49">
        <f>IF($D103="","",IFERROR(INDEX(ENVIOS!$C$4:$C$3003,MATCH($D103,ENVIOS!$A$4:$A$3003,0)),""))</f>
        <v/>
      </c>
      <c r="M103" s="50" t="n"/>
      <c r="N103" s="28">
        <f>IF($M103="","",IFERROR(INDEX(CONFIG!$C$4:$C$63,MATCH($M103,CONFIG!$A$4:$A$63,0)),"Media"))</f>
        <v/>
      </c>
      <c r="O103" s="28">
        <f>IF($M103="","",IF($C103="Interna","NO",IFERROR(INDEX(CONFIG!$E$4:$E$63,MATCH($M103,CONFIG!$A$4:$A$63,0)),"NO")))</f>
        <v/>
      </c>
      <c r="P103" s="50" t="n"/>
      <c r="Q103" s="50" t="n"/>
      <c r="R103" s="28">
        <f>IF($Q103="","",IFERROR(INDEX(CONFIG!$H$4:$H$63,MATCH($Q103,CONFIG!$G$4:$G$63,0)),"Por definir"))</f>
        <v/>
      </c>
      <c r="S103" s="28">
        <f>IF($Q103="","",IFERROR(INDEX(CONFIG!$I$4:$I$63,MATCH($Q103,CONFIG!$G$4:$G$63,0)),"Por definir"))</f>
        <v/>
      </c>
      <c r="T103" s="51" t="n"/>
      <c r="U103" s="52" t="n"/>
      <c r="V103" s="50" t="n"/>
      <c r="W103" s="50" t="n"/>
      <c r="X103" s="49">
        <f>IF(OR($B103="",$M103=""),"",WORKDAY($B103,IFERROR(INDEX(CONFIG!$D$4:$D$63,MATCH($M103,CONFIG!$A$4:$A$63,0)),3)))</f>
        <v/>
      </c>
      <c r="Y103" s="47" t="n"/>
      <c r="Z103" s="24">
        <f>IF($B103="","",IF($Y103&lt;&gt;"",$Y103-$B103,TODAY()-$B103))</f>
        <v/>
      </c>
      <c r="AA103" s="28">
        <f>IF($B103="","",IF(IFERROR(INDEX(CONFIG!$L$4:$L$63,MATCH($V103,CONFIG!$K$4:$K$63,0)),"NO")="SÍ",IF(OR($Y103="",$X103=""),"Resuelta",IF($Y103&gt;$X103,"Resuelta tarde","Resuelta a tiempo")),IF($X103="","Sin clasificar",IF(TODAY()&gt;$X103,"Vencida",IF(TODAY()&gt;=$X103-1,"Por vencer","En plazo")))))</f>
        <v/>
      </c>
      <c r="AB103" s="50" t="n"/>
      <c r="AC103" s="50" t="n"/>
    </row>
    <row r="104" ht="16" customHeight="1">
      <c r="A104" s="28">
        <f>IF($B104="","","N-"&amp;TEXT(ROW()-3,"0000"))</f>
        <v/>
      </c>
      <c r="B104" s="47" t="n"/>
      <c r="C104" s="48" t="n"/>
      <c r="D104" s="48" t="n"/>
      <c r="E104" s="28">
        <f>IF($C104="","",IF($D104="",IF($C104="Interna","Sin guía (interna)","FALTA GUÍA"),IF(COUNTIFS(ENVIOS!$A$4:$A$3003,$D104)=0,"NO EXISTE",IF(COUNTIFS(ENVIOS!$A$4:$A$3003,$D104)&gt;1,"DUPLICADA","OK"))))</f>
        <v/>
      </c>
      <c r="F104" s="28">
        <f>IF($D104="","",IFERROR(INDEX(ENVIOS!$B$4:$B$3003,MATCH($D104,ENVIOS!$A$4:$A$3003,0)),"—"))</f>
        <v/>
      </c>
      <c r="G104" s="23">
        <f>IF($D104="","",IFERROR(INDEX(ENVIOS!$D$4:$D$3003,MATCH($D104,ENVIOS!$A$4:$A$3003,0)),"—"))</f>
        <v/>
      </c>
      <c r="H104" s="23">
        <f>IF($D104="","",IFERROR(INDEX(ENVIOS!$E$4:$E$3003,MATCH($D104,ENVIOS!$A$4:$A$3003,0)),"—"))</f>
        <v/>
      </c>
      <c r="I104" s="23">
        <f>IF($D104="","",IFERROR(INDEX(ENVIOS!$F$4:$F$3003,MATCH($D104,ENVIOS!$A$4:$A$3003,0)),"—"))</f>
        <v/>
      </c>
      <c r="J104" s="23">
        <f>IF($D104="","",IFERROR(INDEX(ENVIOS!$G$4:$G$3003,MATCH($D104,ENVIOS!$A$4:$A$3003,0)),"—"))</f>
        <v/>
      </c>
      <c r="K104" s="28">
        <f>IF($D104="","",IFERROR(INDEX(ENVIOS!$H$4:$H$3003,MATCH($D104,ENVIOS!$A$4:$A$3003,0)),"—"))</f>
        <v/>
      </c>
      <c r="L104" s="49">
        <f>IF($D104="","",IFERROR(INDEX(ENVIOS!$C$4:$C$3003,MATCH($D104,ENVIOS!$A$4:$A$3003,0)),""))</f>
        <v/>
      </c>
      <c r="M104" s="50" t="n"/>
      <c r="N104" s="28">
        <f>IF($M104="","",IFERROR(INDEX(CONFIG!$C$4:$C$63,MATCH($M104,CONFIG!$A$4:$A$63,0)),"Media"))</f>
        <v/>
      </c>
      <c r="O104" s="28">
        <f>IF($M104="","",IF($C104="Interna","NO",IFERROR(INDEX(CONFIG!$E$4:$E$63,MATCH($M104,CONFIG!$A$4:$A$63,0)),"NO")))</f>
        <v/>
      </c>
      <c r="P104" s="50" t="n"/>
      <c r="Q104" s="50" t="n"/>
      <c r="R104" s="28">
        <f>IF($Q104="","",IFERROR(INDEX(CONFIG!$H$4:$H$63,MATCH($Q104,CONFIG!$G$4:$G$63,0)),"Por definir"))</f>
        <v/>
      </c>
      <c r="S104" s="28">
        <f>IF($Q104="","",IFERROR(INDEX(CONFIG!$I$4:$I$63,MATCH($Q104,CONFIG!$G$4:$G$63,0)),"Por definir"))</f>
        <v/>
      </c>
      <c r="T104" s="51" t="n"/>
      <c r="U104" s="52" t="n"/>
      <c r="V104" s="50" t="n"/>
      <c r="W104" s="50" t="n"/>
      <c r="X104" s="49">
        <f>IF(OR($B104="",$M104=""),"",WORKDAY($B104,IFERROR(INDEX(CONFIG!$D$4:$D$63,MATCH($M104,CONFIG!$A$4:$A$63,0)),3)))</f>
        <v/>
      </c>
      <c r="Y104" s="47" t="n"/>
      <c r="Z104" s="24">
        <f>IF($B104="","",IF($Y104&lt;&gt;"",$Y104-$B104,TODAY()-$B104))</f>
        <v/>
      </c>
      <c r="AA104" s="28">
        <f>IF($B104="","",IF(IFERROR(INDEX(CONFIG!$L$4:$L$63,MATCH($V104,CONFIG!$K$4:$K$63,0)),"NO")="SÍ",IF(OR($Y104="",$X104=""),"Resuelta",IF($Y104&gt;$X104,"Resuelta tarde","Resuelta a tiempo")),IF($X104="","Sin clasificar",IF(TODAY()&gt;$X104,"Vencida",IF(TODAY()&gt;=$X104-1,"Por vencer","En plazo")))))</f>
        <v/>
      </c>
      <c r="AB104" s="50" t="n"/>
      <c r="AC104" s="50" t="n"/>
    </row>
    <row r="105" ht="16" customHeight="1">
      <c r="A105" s="28">
        <f>IF($B105="","","N-"&amp;TEXT(ROW()-3,"0000"))</f>
        <v/>
      </c>
      <c r="B105" s="47" t="n"/>
      <c r="C105" s="48" t="n"/>
      <c r="D105" s="48" t="n"/>
      <c r="E105" s="28">
        <f>IF($C105="","",IF($D105="",IF($C105="Interna","Sin guía (interna)","FALTA GUÍA"),IF(COUNTIFS(ENVIOS!$A$4:$A$3003,$D105)=0,"NO EXISTE",IF(COUNTIFS(ENVIOS!$A$4:$A$3003,$D105)&gt;1,"DUPLICADA","OK"))))</f>
        <v/>
      </c>
      <c r="F105" s="28">
        <f>IF($D105="","",IFERROR(INDEX(ENVIOS!$B$4:$B$3003,MATCH($D105,ENVIOS!$A$4:$A$3003,0)),"—"))</f>
        <v/>
      </c>
      <c r="G105" s="23">
        <f>IF($D105="","",IFERROR(INDEX(ENVIOS!$D$4:$D$3003,MATCH($D105,ENVIOS!$A$4:$A$3003,0)),"—"))</f>
        <v/>
      </c>
      <c r="H105" s="23">
        <f>IF($D105="","",IFERROR(INDEX(ENVIOS!$E$4:$E$3003,MATCH($D105,ENVIOS!$A$4:$A$3003,0)),"—"))</f>
        <v/>
      </c>
      <c r="I105" s="23">
        <f>IF($D105="","",IFERROR(INDEX(ENVIOS!$F$4:$F$3003,MATCH($D105,ENVIOS!$A$4:$A$3003,0)),"—"))</f>
        <v/>
      </c>
      <c r="J105" s="23">
        <f>IF($D105="","",IFERROR(INDEX(ENVIOS!$G$4:$G$3003,MATCH($D105,ENVIOS!$A$4:$A$3003,0)),"—"))</f>
        <v/>
      </c>
      <c r="K105" s="28">
        <f>IF($D105="","",IFERROR(INDEX(ENVIOS!$H$4:$H$3003,MATCH($D105,ENVIOS!$A$4:$A$3003,0)),"—"))</f>
        <v/>
      </c>
      <c r="L105" s="49">
        <f>IF($D105="","",IFERROR(INDEX(ENVIOS!$C$4:$C$3003,MATCH($D105,ENVIOS!$A$4:$A$3003,0)),""))</f>
        <v/>
      </c>
      <c r="M105" s="50" t="n"/>
      <c r="N105" s="28">
        <f>IF($M105="","",IFERROR(INDEX(CONFIG!$C$4:$C$63,MATCH($M105,CONFIG!$A$4:$A$63,0)),"Media"))</f>
        <v/>
      </c>
      <c r="O105" s="28">
        <f>IF($M105="","",IF($C105="Interna","NO",IFERROR(INDEX(CONFIG!$E$4:$E$63,MATCH($M105,CONFIG!$A$4:$A$63,0)),"NO")))</f>
        <v/>
      </c>
      <c r="P105" s="50" t="n"/>
      <c r="Q105" s="50" t="n"/>
      <c r="R105" s="28">
        <f>IF($Q105="","",IFERROR(INDEX(CONFIG!$H$4:$H$63,MATCH($Q105,CONFIG!$G$4:$G$63,0)),"Por definir"))</f>
        <v/>
      </c>
      <c r="S105" s="28">
        <f>IF($Q105="","",IFERROR(INDEX(CONFIG!$I$4:$I$63,MATCH($Q105,CONFIG!$G$4:$G$63,0)),"Por definir"))</f>
        <v/>
      </c>
      <c r="T105" s="51" t="n"/>
      <c r="U105" s="52" t="n"/>
      <c r="V105" s="50" t="n"/>
      <c r="W105" s="50" t="n"/>
      <c r="X105" s="49">
        <f>IF(OR($B105="",$M105=""),"",WORKDAY($B105,IFERROR(INDEX(CONFIG!$D$4:$D$63,MATCH($M105,CONFIG!$A$4:$A$63,0)),3)))</f>
        <v/>
      </c>
      <c r="Y105" s="47" t="n"/>
      <c r="Z105" s="24">
        <f>IF($B105="","",IF($Y105&lt;&gt;"",$Y105-$B105,TODAY()-$B105))</f>
        <v/>
      </c>
      <c r="AA105" s="28">
        <f>IF($B105="","",IF(IFERROR(INDEX(CONFIG!$L$4:$L$63,MATCH($V105,CONFIG!$K$4:$K$63,0)),"NO")="SÍ",IF(OR($Y105="",$X105=""),"Resuelta",IF($Y105&gt;$X105,"Resuelta tarde","Resuelta a tiempo")),IF($X105="","Sin clasificar",IF(TODAY()&gt;$X105,"Vencida",IF(TODAY()&gt;=$X105-1,"Por vencer","En plazo")))))</f>
        <v/>
      </c>
      <c r="AB105" s="50" t="n"/>
      <c r="AC105" s="50" t="n"/>
    </row>
    <row r="106" ht="16" customHeight="1">
      <c r="A106" s="28">
        <f>IF($B106="","","N-"&amp;TEXT(ROW()-3,"0000"))</f>
        <v/>
      </c>
      <c r="B106" s="47" t="n"/>
      <c r="C106" s="48" t="n"/>
      <c r="D106" s="48" t="n"/>
      <c r="E106" s="28">
        <f>IF($C106="","",IF($D106="",IF($C106="Interna","Sin guía (interna)","FALTA GUÍA"),IF(COUNTIFS(ENVIOS!$A$4:$A$3003,$D106)=0,"NO EXISTE",IF(COUNTIFS(ENVIOS!$A$4:$A$3003,$D106)&gt;1,"DUPLICADA","OK"))))</f>
        <v/>
      </c>
      <c r="F106" s="28">
        <f>IF($D106="","",IFERROR(INDEX(ENVIOS!$B$4:$B$3003,MATCH($D106,ENVIOS!$A$4:$A$3003,0)),"—"))</f>
        <v/>
      </c>
      <c r="G106" s="23">
        <f>IF($D106="","",IFERROR(INDEX(ENVIOS!$D$4:$D$3003,MATCH($D106,ENVIOS!$A$4:$A$3003,0)),"—"))</f>
        <v/>
      </c>
      <c r="H106" s="23">
        <f>IF($D106="","",IFERROR(INDEX(ENVIOS!$E$4:$E$3003,MATCH($D106,ENVIOS!$A$4:$A$3003,0)),"—"))</f>
        <v/>
      </c>
      <c r="I106" s="23">
        <f>IF($D106="","",IFERROR(INDEX(ENVIOS!$F$4:$F$3003,MATCH($D106,ENVIOS!$A$4:$A$3003,0)),"—"))</f>
        <v/>
      </c>
      <c r="J106" s="23">
        <f>IF($D106="","",IFERROR(INDEX(ENVIOS!$G$4:$G$3003,MATCH($D106,ENVIOS!$A$4:$A$3003,0)),"—"))</f>
        <v/>
      </c>
      <c r="K106" s="28">
        <f>IF($D106="","",IFERROR(INDEX(ENVIOS!$H$4:$H$3003,MATCH($D106,ENVIOS!$A$4:$A$3003,0)),"—"))</f>
        <v/>
      </c>
      <c r="L106" s="49">
        <f>IF($D106="","",IFERROR(INDEX(ENVIOS!$C$4:$C$3003,MATCH($D106,ENVIOS!$A$4:$A$3003,0)),""))</f>
        <v/>
      </c>
      <c r="M106" s="50" t="n"/>
      <c r="N106" s="28">
        <f>IF($M106="","",IFERROR(INDEX(CONFIG!$C$4:$C$63,MATCH($M106,CONFIG!$A$4:$A$63,0)),"Media"))</f>
        <v/>
      </c>
      <c r="O106" s="28">
        <f>IF($M106="","",IF($C106="Interna","NO",IFERROR(INDEX(CONFIG!$E$4:$E$63,MATCH($M106,CONFIG!$A$4:$A$63,0)),"NO")))</f>
        <v/>
      </c>
      <c r="P106" s="50" t="n"/>
      <c r="Q106" s="50" t="n"/>
      <c r="R106" s="28">
        <f>IF($Q106="","",IFERROR(INDEX(CONFIG!$H$4:$H$63,MATCH($Q106,CONFIG!$G$4:$G$63,0)),"Por definir"))</f>
        <v/>
      </c>
      <c r="S106" s="28">
        <f>IF($Q106="","",IFERROR(INDEX(CONFIG!$I$4:$I$63,MATCH($Q106,CONFIG!$G$4:$G$63,0)),"Por definir"))</f>
        <v/>
      </c>
      <c r="T106" s="51" t="n"/>
      <c r="U106" s="52" t="n"/>
      <c r="V106" s="50" t="n"/>
      <c r="W106" s="50" t="n"/>
      <c r="X106" s="49">
        <f>IF(OR($B106="",$M106=""),"",WORKDAY($B106,IFERROR(INDEX(CONFIG!$D$4:$D$63,MATCH($M106,CONFIG!$A$4:$A$63,0)),3)))</f>
        <v/>
      </c>
      <c r="Y106" s="47" t="n"/>
      <c r="Z106" s="24">
        <f>IF($B106="","",IF($Y106&lt;&gt;"",$Y106-$B106,TODAY()-$B106))</f>
        <v/>
      </c>
      <c r="AA106" s="28">
        <f>IF($B106="","",IF(IFERROR(INDEX(CONFIG!$L$4:$L$63,MATCH($V106,CONFIG!$K$4:$K$63,0)),"NO")="SÍ",IF(OR($Y106="",$X106=""),"Resuelta",IF($Y106&gt;$X106,"Resuelta tarde","Resuelta a tiempo")),IF($X106="","Sin clasificar",IF(TODAY()&gt;$X106,"Vencida",IF(TODAY()&gt;=$X106-1,"Por vencer","En plazo")))))</f>
        <v/>
      </c>
      <c r="AB106" s="50" t="n"/>
      <c r="AC106" s="50" t="n"/>
    </row>
    <row r="107" ht="16" customHeight="1">
      <c r="A107" s="28">
        <f>IF($B107="","","N-"&amp;TEXT(ROW()-3,"0000"))</f>
        <v/>
      </c>
      <c r="B107" s="47" t="n"/>
      <c r="C107" s="48" t="n"/>
      <c r="D107" s="48" t="n"/>
      <c r="E107" s="28">
        <f>IF($C107="","",IF($D107="",IF($C107="Interna","Sin guía (interna)","FALTA GUÍA"),IF(COUNTIFS(ENVIOS!$A$4:$A$3003,$D107)=0,"NO EXISTE",IF(COUNTIFS(ENVIOS!$A$4:$A$3003,$D107)&gt;1,"DUPLICADA","OK"))))</f>
        <v/>
      </c>
      <c r="F107" s="28">
        <f>IF($D107="","",IFERROR(INDEX(ENVIOS!$B$4:$B$3003,MATCH($D107,ENVIOS!$A$4:$A$3003,0)),"—"))</f>
        <v/>
      </c>
      <c r="G107" s="23">
        <f>IF($D107="","",IFERROR(INDEX(ENVIOS!$D$4:$D$3003,MATCH($D107,ENVIOS!$A$4:$A$3003,0)),"—"))</f>
        <v/>
      </c>
      <c r="H107" s="23">
        <f>IF($D107="","",IFERROR(INDEX(ENVIOS!$E$4:$E$3003,MATCH($D107,ENVIOS!$A$4:$A$3003,0)),"—"))</f>
        <v/>
      </c>
      <c r="I107" s="23">
        <f>IF($D107="","",IFERROR(INDEX(ENVIOS!$F$4:$F$3003,MATCH($D107,ENVIOS!$A$4:$A$3003,0)),"—"))</f>
        <v/>
      </c>
      <c r="J107" s="23">
        <f>IF($D107="","",IFERROR(INDEX(ENVIOS!$G$4:$G$3003,MATCH($D107,ENVIOS!$A$4:$A$3003,0)),"—"))</f>
        <v/>
      </c>
      <c r="K107" s="28">
        <f>IF($D107="","",IFERROR(INDEX(ENVIOS!$H$4:$H$3003,MATCH($D107,ENVIOS!$A$4:$A$3003,0)),"—"))</f>
        <v/>
      </c>
      <c r="L107" s="49">
        <f>IF($D107="","",IFERROR(INDEX(ENVIOS!$C$4:$C$3003,MATCH($D107,ENVIOS!$A$4:$A$3003,0)),""))</f>
        <v/>
      </c>
      <c r="M107" s="50" t="n"/>
      <c r="N107" s="28">
        <f>IF($M107="","",IFERROR(INDEX(CONFIG!$C$4:$C$63,MATCH($M107,CONFIG!$A$4:$A$63,0)),"Media"))</f>
        <v/>
      </c>
      <c r="O107" s="28">
        <f>IF($M107="","",IF($C107="Interna","NO",IFERROR(INDEX(CONFIG!$E$4:$E$63,MATCH($M107,CONFIG!$A$4:$A$63,0)),"NO")))</f>
        <v/>
      </c>
      <c r="P107" s="50" t="n"/>
      <c r="Q107" s="50" t="n"/>
      <c r="R107" s="28">
        <f>IF($Q107="","",IFERROR(INDEX(CONFIG!$H$4:$H$63,MATCH($Q107,CONFIG!$G$4:$G$63,0)),"Por definir"))</f>
        <v/>
      </c>
      <c r="S107" s="28">
        <f>IF($Q107="","",IFERROR(INDEX(CONFIG!$I$4:$I$63,MATCH($Q107,CONFIG!$G$4:$G$63,0)),"Por definir"))</f>
        <v/>
      </c>
      <c r="T107" s="51" t="n"/>
      <c r="U107" s="52" t="n"/>
      <c r="V107" s="50" t="n"/>
      <c r="W107" s="50" t="n"/>
      <c r="X107" s="49">
        <f>IF(OR($B107="",$M107=""),"",WORKDAY($B107,IFERROR(INDEX(CONFIG!$D$4:$D$63,MATCH($M107,CONFIG!$A$4:$A$63,0)),3)))</f>
        <v/>
      </c>
      <c r="Y107" s="47" t="n"/>
      <c r="Z107" s="24">
        <f>IF($B107="","",IF($Y107&lt;&gt;"",$Y107-$B107,TODAY()-$B107))</f>
        <v/>
      </c>
      <c r="AA107" s="28">
        <f>IF($B107="","",IF(IFERROR(INDEX(CONFIG!$L$4:$L$63,MATCH($V107,CONFIG!$K$4:$K$63,0)),"NO")="SÍ",IF(OR($Y107="",$X107=""),"Resuelta",IF($Y107&gt;$X107,"Resuelta tarde","Resuelta a tiempo")),IF($X107="","Sin clasificar",IF(TODAY()&gt;$X107,"Vencida",IF(TODAY()&gt;=$X107-1,"Por vencer","En plazo")))))</f>
        <v/>
      </c>
      <c r="AB107" s="50" t="n"/>
      <c r="AC107" s="50" t="n"/>
    </row>
    <row r="108" ht="16" customHeight="1">
      <c r="A108" s="28">
        <f>IF($B108="","","N-"&amp;TEXT(ROW()-3,"0000"))</f>
        <v/>
      </c>
      <c r="B108" s="47" t="n"/>
      <c r="C108" s="48" t="n"/>
      <c r="D108" s="48" t="n"/>
      <c r="E108" s="28">
        <f>IF($C108="","",IF($D108="",IF($C108="Interna","Sin guía (interna)","FALTA GUÍA"),IF(COUNTIFS(ENVIOS!$A$4:$A$3003,$D108)=0,"NO EXISTE",IF(COUNTIFS(ENVIOS!$A$4:$A$3003,$D108)&gt;1,"DUPLICADA","OK"))))</f>
        <v/>
      </c>
      <c r="F108" s="28">
        <f>IF($D108="","",IFERROR(INDEX(ENVIOS!$B$4:$B$3003,MATCH($D108,ENVIOS!$A$4:$A$3003,0)),"—"))</f>
        <v/>
      </c>
      <c r="G108" s="23">
        <f>IF($D108="","",IFERROR(INDEX(ENVIOS!$D$4:$D$3003,MATCH($D108,ENVIOS!$A$4:$A$3003,0)),"—"))</f>
        <v/>
      </c>
      <c r="H108" s="23">
        <f>IF($D108="","",IFERROR(INDEX(ENVIOS!$E$4:$E$3003,MATCH($D108,ENVIOS!$A$4:$A$3003,0)),"—"))</f>
        <v/>
      </c>
      <c r="I108" s="23">
        <f>IF($D108="","",IFERROR(INDEX(ENVIOS!$F$4:$F$3003,MATCH($D108,ENVIOS!$A$4:$A$3003,0)),"—"))</f>
        <v/>
      </c>
      <c r="J108" s="23">
        <f>IF($D108="","",IFERROR(INDEX(ENVIOS!$G$4:$G$3003,MATCH($D108,ENVIOS!$A$4:$A$3003,0)),"—"))</f>
        <v/>
      </c>
      <c r="K108" s="28">
        <f>IF($D108="","",IFERROR(INDEX(ENVIOS!$H$4:$H$3003,MATCH($D108,ENVIOS!$A$4:$A$3003,0)),"—"))</f>
        <v/>
      </c>
      <c r="L108" s="49">
        <f>IF($D108="","",IFERROR(INDEX(ENVIOS!$C$4:$C$3003,MATCH($D108,ENVIOS!$A$4:$A$3003,0)),""))</f>
        <v/>
      </c>
      <c r="M108" s="50" t="n"/>
      <c r="N108" s="28">
        <f>IF($M108="","",IFERROR(INDEX(CONFIG!$C$4:$C$63,MATCH($M108,CONFIG!$A$4:$A$63,0)),"Media"))</f>
        <v/>
      </c>
      <c r="O108" s="28">
        <f>IF($M108="","",IF($C108="Interna","NO",IFERROR(INDEX(CONFIG!$E$4:$E$63,MATCH($M108,CONFIG!$A$4:$A$63,0)),"NO")))</f>
        <v/>
      </c>
      <c r="P108" s="50" t="n"/>
      <c r="Q108" s="50" t="n"/>
      <c r="R108" s="28">
        <f>IF($Q108="","",IFERROR(INDEX(CONFIG!$H$4:$H$63,MATCH($Q108,CONFIG!$G$4:$G$63,0)),"Por definir"))</f>
        <v/>
      </c>
      <c r="S108" s="28">
        <f>IF($Q108="","",IFERROR(INDEX(CONFIG!$I$4:$I$63,MATCH($Q108,CONFIG!$G$4:$G$63,0)),"Por definir"))</f>
        <v/>
      </c>
      <c r="T108" s="51" t="n"/>
      <c r="U108" s="52" t="n"/>
      <c r="V108" s="50" t="n"/>
      <c r="W108" s="50" t="n"/>
      <c r="X108" s="49">
        <f>IF(OR($B108="",$M108=""),"",WORKDAY($B108,IFERROR(INDEX(CONFIG!$D$4:$D$63,MATCH($M108,CONFIG!$A$4:$A$63,0)),3)))</f>
        <v/>
      </c>
      <c r="Y108" s="47" t="n"/>
      <c r="Z108" s="24">
        <f>IF($B108="","",IF($Y108&lt;&gt;"",$Y108-$B108,TODAY()-$B108))</f>
        <v/>
      </c>
      <c r="AA108" s="28">
        <f>IF($B108="","",IF(IFERROR(INDEX(CONFIG!$L$4:$L$63,MATCH($V108,CONFIG!$K$4:$K$63,0)),"NO")="SÍ",IF(OR($Y108="",$X108=""),"Resuelta",IF($Y108&gt;$X108,"Resuelta tarde","Resuelta a tiempo")),IF($X108="","Sin clasificar",IF(TODAY()&gt;$X108,"Vencida",IF(TODAY()&gt;=$X108-1,"Por vencer","En plazo")))))</f>
        <v/>
      </c>
      <c r="AB108" s="50" t="n"/>
      <c r="AC108" s="50" t="n"/>
    </row>
    <row r="109" ht="16" customHeight="1">
      <c r="A109" s="28">
        <f>IF($B109="","","N-"&amp;TEXT(ROW()-3,"0000"))</f>
        <v/>
      </c>
      <c r="B109" s="47" t="n"/>
      <c r="C109" s="48" t="n"/>
      <c r="D109" s="48" t="n"/>
      <c r="E109" s="28">
        <f>IF($C109="","",IF($D109="",IF($C109="Interna","Sin guía (interna)","FALTA GUÍA"),IF(COUNTIFS(ENVIOS!$A$4:$A$3003,$D109)=0,"NO EXISTE",IF(COUNTIFS(ENVIOS!$A$4:$A$3003,$D109)&gt;1,"DUPLICADA","OK"))))</f>
        <v/>
      </c>
      <c r="F109" s="28">
        <f>IF($D109="","",IFERROR(INDEX(ENVIOS!$B$4:$B$3003,MATCH($D109,ENVIOS!$A$4:$A$3003,0)),"—"))</f>
        <v/>
      </c>
      <c r="G109" s="23">
        <f>IF($D109="","",IFERROR(INDEX(ENVIOS!$D$4:$D$3003,MATCH($D109,ENVIOS!$A$4:$A$3003,0)),"—"))</f>
        <v/>
      </c>
      <c r="H109" s="23">
        <f>IF($D109="","",IFERROR(INDEX(ENVIOS!$E$4:$E$3003,MATCH($D109,ENVIOS!$A$4:$A$3003,0)),"—"))</f>
        <v/>
      </c>
      <c r="I109" s="23">
        <f>IF($D109="","",IFERROR(INDEX(ENVIOS!$F$4:$F$3003,MATCH($D109,ENVIOS!$A$4:$A$3003,0)),"—"))</f>
        <v/>
      </c>
      <c r="J109" s="23">
        <f>IF($D109="","",IFERROR(INDEX(ENVIOS!$G$4:$G$3003,MATCH($D109,ENVIOS!$A$4:$A$3003,0)),"—"))</f>
        <v/>
      </c>
      <c r="K109" s="28">
        <f>IF($D109="","",IFERROR(INDEX(ENVIOS!$H$4:$H$3003,MATCH($D109,ENVIOS!$A$4:$A$3003,0)),"—"))</f>
        <v/>
      </c>
      <c r="L109" s="49">
        <f>IF($D109="","",IFERROR(INDEX(ENVIOS!$C$4:$C$3003,MATCH($D109,ENVIOS!$A$4:$A$3003,0)),""))</f>
        <v/>
      </c>
      <c r="M109" s="50" t="n"/>
      <c r="N109" s="28">
        <f>IF($M109="","",IFERROR(INDEX(CONFIG!$C$4:$C$63,MATCH($M109,CONFIG!$A$4:$A$63,0)),"Media"))</f>
        <v/>
      </c>
      <c r="O109" s="28">
        <f>IF($M109="","",IF($C109="Interna","NO",IFERROR(INDEX(CONFIG!$E$4:$E$63,MATCH($M109,CONFIG!$A$4:$A$63,0)),"NO")))</f>
        <v/>
      </c>
      <c r="P109" s="50" t="n"/>
      <c r="Q109" s="50" t="n"/>
      <c r="R109" s="28">
        <f>IF($Q109="","",IFERROR(INDEX(CONFIG!$H$4:$H$63,MATCH($Q109,CONFIG!$G$4:$G$63,0)),"Por definir"))</f>
        <v/>
      </c>
      <c r="S109" s="28">
        <f>IF($Q109="","",IFERROR(INDEX(CONFIG!$I$4:$I$63,MATCH($Q109,CONFIG!$G$4:$G$63,0)),"Por definir"))</f>
        <v/>
      </c>
      <c r="T109" s="51" t="n"/>
      <c r="U109" s="52" t="n"/>
      <c r="V109" s="50" t="n"/>
      <c r="W109" s="50" t="n"/>
      <c r="X109" s="49">
        <f>IF(OR($B109="",$M109=""),"",WORKDAY($B109,IFERROR(INDEX(CONFIG!$D$4:$D$63,MATCH($M109,CONFIG!$A$4:$A$63,0)),3)))</f>
        <v/>
      </c>
      <c r="Y109" s="47" t="n"/>
      <c r="Z109" s="24">
        <f>IF($B109="","",IF($Y109&lt;&gt;"",$Y109-$B109,TODAY()-$B109))</f>
        <v/>
      </c>
      <c r="AA109" s="28">
        <f>IF($B109="","",IF(IFERROR(INDEX(CONFIG!$L$4:$L$63,MATCH($V109,CONFIG!$K$4:$K$63,0)),"NO")="SÍ",IF(OR($Y109="",$X109=""),"Resuelta",IF($Y109&gt;$X109,"Resuelta tarde","Resuelta a tiempo")),IF($X109="","Sin clasificar",IF(TODAY()&gt;$X109,"Vencida",IF(TODAY()&gt;=$X109-1,"Por vencer","En plazo")))))</f>
        <v/>
      </c>
      <c r="AB109" s="50" t="n"/>
      <c r="AC109" s="50" t="n"/>
    </row>
    <row r="110" ht="16" customHeight="1">
      <c r="A110" s="28">
        <f>IF($B110="","","N-"&amp;TEXT(ROW()-3,"0000"))</f>
        <v/>
      </c>
      <c r="B110" s="47" t="n"/>
      <c r="C110" s="48" t="n"/>
      <c r="D110" s="48" t="n"/>
      <c r="E110" s="28">
        <f>IF($C110="","",IF($D110="",IF($C110="Interna","Sin guía (interna)","FALTA GUÍA"),IF(COUNTIFS(ENVIOS!$A$4:$A$3003,$D110)=0,"NO EXISTE",IF(COUNTIFS(ENVIOS!$A$4:$A$3003,$D110)&gt;1,"DUPLICADA","OK"))))</f>
        <v/>
      </c>
      <c r="F110" s="28">
        <f>IF($D110="","",IFERROR(INDEX(ENVIOS!$B$4:$B$3003,MATCH($D110,ENVIOS!$A$4:$A$3003,0)),"—"))</f>
        <v/>
      </c>
      <c r="G110" s="23">
        <f>IF($D110="","",IFERROR(INDEX(ENVIOS!$D$4:$D$3003,MATCH($D110,ENVIOS!$A$4:$A$3003,0)),"—"))</f>
        <v/>
      </c>
      <c r="H110" s="23">
        <f>IF($D110="","",IFERROR(INDEX(ENVIOS!$E$4:$E$3003,MATCH($D110,ENVIOS!$A$4:$A$3003,0)),"—"))</f>
        <v/>
      </c>
      <c r="I110" s="23">
        <f>IF($D110="","",IFERROR(INDEX(ENVIOS!$F$4:$F$3003,MATCH($D110,ENVIOS!$A$4:$A$3003,0)),"—"))</f>
        <v/>
      </c>
      <c r="J110" s="23">
        <f>IF($D110="","",IFERROR(INDEX(ENVIOS!$G$4:$G$3003,MATCH($D110,ENVIOS!$A$4:$A$3003,0)),"—"))</f>
        <v/>
      </c>
      <c r="K110" s="28">
        <f>IF($D110="","",IFERROR(INDEX(ENVIOS!$H$4:$H$3003,MATCH($D110,ENVIOS!$A$4:$A$3003,0)),"—"))</f>
        <v/>
      </c>
      <c r="L110" s="49">
        <f>IF($D110="","",IFERROR(INDEX(ENVIOS!$C$4:$C$3003,MATCH($D110,ENVIOS!$A$4:$A$3003,0)),""))</f>
        <v/>
      </c>
      <c r="M110" s="50" t="n"/>
      <c r="N110" s="28">
        <f>IF($M110="","",IFERROR(INDEX(CONFIG!$C$4:$C$63,MATCH($M110,CONFIG!$A$4:$A$63,0)),"Media"))</f>
        <v/>
      </c>
      <c r="O110" s="28">
        <f>IF($M110="","",IF($C110="Interna","NO",IFERROR(INDEX(CONFIG!$E$4:$E$63,MATCH($M110,CONFIG!$A$4:$A$63,0)),"NO")))</f>
        <v/>
      </c>
      <c r="P110" s="50" t="n"/>
      <c r="Q110" s="50" t="n"/>
      <c r="R110" s="28">
        <f>IF($Q110="","",IFERROR(INDEX(CONFIG!$H$4:$H$63,MATCH($Q110,CONFIG!$G$4:$G$63,0)),"Por definir"))</f>
        <v/>
      </c>
      <c r="S110" s="28">
        <f>IF($Q110="","",IFERROR(INDEX(CONFIG!$I$4:$I$63,MATCH($Q110,CONFIG!$G$4:$G$63,0)),"Por definir"))</f>
        <v/>
      </c>
      <c r="T110" s="51" t="n"/>
      <c r="U110" s="52" t="n"/>
      <c r="V110" s="50" t="n"/>
      <c r="W110" s="50" t="n"/>
      <c r="X110" s="49">
        <f>IF(OR($B110="",$M110=""),"",WORKDAY($B110,IFERROR(INDEX(CONFIG!$D$4:$D$63,MATCH($M110,CONFIG!$A$4:$A$63,0)),3)))</f>
        <v/>
      </c>
      <c r="Y110" s="47" t="n"/>
      <c r="Z110" s="24">
        <f>IF($B110="","",IF($Y110&lt;&gt;"",$Y110-$B110,TODAY()-$B110))</f>
        <v/>
      </c>
      <c r="AA110" s="28">
        <f>IF($B110="","",IF(IFERROR(INDEX(CONFIG!$L$4:$L$63,MATCH($V110,CONFIG!$K$4:$K$63,0)),"NO")="SÍ",IF(OR($Y110="",$X110=""),"Resuelta",IF($Y110&gt;$X110,"Resuelta tarde","Resuelta a tiempo")),IF($X110="","Sin clasificar",IF(TODAY()&gt;$X110,"Vencida",IF(TODAY()&gt;=$X110-1,"Por vencer","En plazo")))))</f>
        <v/>
      </c>
      <c r="AB110" s="50" t="n"/>
      <c r="AC110" s="50" t="n"/>
    </row>
    <row r="111" ht="16" customHeight="1">
      <c r="A111" s="28">
        <f>IF($B111="","","N-"&amp;TEXT(ROW()-3,"0000"))</f>
        <v/>
      </c>
      <c r="B111" s="47" t="n"/>
      <c r="C111" s="48" t="n"/>
      <c r="D111" s="48" t="n"/>
      <c r="E111" s="28">
        <f>IF($C111="","",IF($D111="",IF($C111="Interna","Sin guía (interna)","FALTA GUÍA"),IF(COUNTIFS(ENVIOS!$A$4:$A$3003,$D111)=0,"NO EXISTE",IF(COUNTIFS(ENVIOS!$A$4:$A$3003,$D111)&gt;1,"DUPLICADA","OK"))))</f>
        <v/>
      </c>
      <c r="F111" s="28">
        <f>IF($D111="","",IFERROR(INDEX(ENVIOS!$B$4:$B$3003,MATCH($D111,ENVIOS!$A$4:$A$3003,0)),"—"))</f>
        <v/>
      </c>
      <c r="G111" s="23">
        <f>IF($D111="","",IFERROR(INDEX(ENVIOS!$D$4:$D$3003,MATCH($D111,ENVIOS!$A$4:$A$3003,0)),"—"))</f>
        <v/>
      </c>
      <c r="H111" s="23">
        <f>IF($D111="","",IFERROR(INDEX(ENVIOS!$E$4:$E$3003,MATCH($D111,ENVIOS!$A$4:$A$3003,0)),"—"))</f>
        <v/>
      </c>
      <c r="I111" s="23">
        <f>IF($D111="","",IFERROR(INDEX(ENVIOS!$F$4:$F$3003,MATCH($D111,ENVIOS!$A$4:$A$3003,0)),"—"))</f>
        <v/>
      </c>
      <c r="J111" s="23">
        <f>IF($D111="","",IFERROR(INDEX(ENVIOS!$G$4:$G$3003,MATCH($D111,ENVIOS!$A$4:$A$3003,0)),"—"))</f>
        <v/>
      </c>
      <c r="K111" s="28">
        <f>IF($D111="","",IFERROR(INDEX(ENVIOS!$H$4:$H$3003,MATCH($D111,ENVIOS!$A$4:$A$3003,0)),"—"))</f>
        <v/>
      </c>
      <c r="L111" s="49">
        <f>IF($D111="","",IFERROR(INDEX(ENVIOS!$C$4:$C$3003,MATCH($D111,ENVIOS!$A$4:$A$3003,0)),""))</f>
        <v/>
      </c>
      <c r="M111" s="50" t="n"/>
      <c r="N111" s="28">
        <f>IF($M111="","",IFERROR(INDEX(CONFIG!$C$4:$C$63,MATCH($M111,CONFIG!$A$4:$A$63,0)),"Media"))</f>
        <v/>
      </c>
      <c r="O111" s="28">
        <f>IF($M111="","",IF($C111="Interna","NO",IFERROR(INDEX(CONFIG!$E$4:$E$63,MATCH($M111,CONFIG!$A$4:$A$63,0)),"NO")))</f>
        <v/>
      </c>
      <c r="P111" s="50" t="n"/>
      <c r="Q111" s="50" t="n"/>
      <c r="R111" s="28">
        <f>IF($Q111="","",IFERROR(INDEX(CONFIG!$H$4:$H$63,MATCH($Q111,CONFIG!$G$4:$G$63,0)),"Por definir"))</f>
        <v/>
      </c>
      <c r="S111" s="28">
        <f>IF($Q111="","",IFERROR(INDEX(CONFIG!$I$4:$I$63,MATCH($Q111,CONFIG!$G$4:$G$63,0)),"Por definir"))</f>
        <v/>
      </c>
      <c r="T111" s="51" t="n"/>
      <c r="U111" s="52" t="n"/>
      <c r="V111" s="50" t="n"/>
      <c r="W111" s="50" t="n"/>
      <c r="X111" s="49">
        <f>IF(OR($B111="",$M111=""),"",WORKDAY($B111,IFERROR(INDEX(CONFIG!$D$4:$D$63,MATCH($M111,CONFIG!$A$4:$A$63,0)),3)))</f>
        <v/>
      </c>
      <c r="Y111" s="47" t="n"/>
      <c r="Z111" s="24">
        <f>IF($B111="","",IF($Y111&lt;&gt;"",$Y111-$B111,TODAY()-$B111))</f>
        <v/>
      </c>
      <c r="AA111" s="28">
        <f>IF($B111="","",IF(IFERROR(INDEX(CONFIG!$L$4:$L$63,MATCH($V111,CONFIG!$K$4:$K$63,0)),"NO")="SÍ",IF(OR($Y111="",$X111=""),"Resuelta",IF($Y111&gt;$X111,"Resuelta tarde","Resuelta a tiempo")),IF($X111="","Sin clasificar",IF(TODAY()&gt;$X111,"Vencida",IF(TODAY()&gt;=$X111-1,"Por vencer","En plazo")))))</f>
        <v/>
      </c>
      <c r="AB111" s="50" t="n"/>
      <c r="AC111" s="50" t="n"/>
    </row>
    <row r="112" ht="16" customHeight="1">
      <c r="A112" s="28">
        <f>IF($B112="","","N-"&amp;TEXT(ROW()-3,"0000"))</f>
        <v/>
      </c>
      <c r="B112" s="47" t="n"/>
      <c r="C112" s="48" t="n"/>
      <c r="D112" s="48" t="n"/>
      <c r="E112" s="28">
        <f>IF($C112="","",IF($D112="",IF($C112="Interna","Sin guía (interna)","FALTA GUÍA"),IF(COUNTIFS(ENVIOS!$A$4:$A$3003,$D112)=0,"NO EXISTE",IF(COUNTIFS(ENVIOS!$A$4:$A$3003,$D112)&gt;1,"DUPLICADA","OK"))))</f>
        <v/>
      </c>
      <c r="F112" s="28">
        <f>IF($D112="","",IFERROR(INDEX(ENVIOS!$B$4:$B$3003,MATCH($D112,ENVIOS!$A$4:$A$3003,0)),"—"))</f>
        <v/>
      </c>
      <c r="G112" s="23">
        <f>IF($D112="","",IFERROR(INDEX(ENVIOS!$D$4:$D$3003,MATCH($D112,ENVIOS!$A$4:$A$3003,0)),"—"))</f>
        <v/>
      </c>
      <c r="H112" s="23">
        <f>IF($D112="","",IFERROR(INDEX(ENVIOS!$E$4:$E$3003,MATCH($D112,ENVIOS!$A$4:$A$3003,0)),"—"))</f>
        <v/>
      </c>
      <c r="I112" s="23">
        <f>IF($D112="","",IFERROR(INDEX(ENVIOS!$F$4:$F$3003,MATCH($D112,ENVIOS!$A$4:$A$3003,0)),"—"))</f>
        <v/>
      </c>
      <c r="J112" s="23">
        <f>IF($D112="","",IFERROR(INDEX(ENVIOS!$G$4:$G$3003,MATCH($D112,ENVIOS!$A$4:$A$3003,0)),"—"))</f>
        <v/>
      </c>
      <c r="K112" s="28">
        <f>IF($D112="","",IFERROR(INDEX(ENVIOS!$H$4:$H$3003,MATCH($D112,ENVIOS!$A$4:$A$3003,0)),"—"))</f>
        <v/>
      </c>
      <c r="L112" s="49">
        <f>IF($D112="","",IFERROR(INDEX(ENVIOS!$C$4:$C$3003,MATCH($D112,ENVIOS!$A$4:$A$3003,0)),""))</f>
        <v/>
      </c>
      <c r="M112" s="50" t="n"/>
      <c r="N112" s="28">
        <f>IF($M112="","",IFERROR(INDEX(CONFIG!$C$4:$C$63,MATCH($M112,CONFIG!$A$4:$A$63,0)),"Media"))</f>
        <v/>
      </c>
      <c r="O112" s="28">
        <f>IF($M112="","",IF($C112="Interna","NO",IFERROR(INDEX(CONFIG!$E$4:$E$63,MATCH($M112,CONFIG!$A$4:$A$63,0)),"NO")))</f>
        <v/>
      </c>
      <c r="P112" s="50" t="n"/>
      <c r="Q112" s="50" t="n"/>
      <c r="R112" s="28">
        <f>IF($Q112="","",IFERROR(INDEX(CONFIG!$H$4:$H$63,MATCH($Q112,CONFIG!$G$4:$G$63,0)),"Por definir"))</f>
        <v/>
      </c>
      <c r="S112" s="28">
        <f>IF($Q112="","",IFERROR(INDEX(CONFIG!$I$4:$I$63,MATCH($Q112,CONFIG!$G$4:$G$63,0)),"Por definir"))</f>
        <v/>
      </c>
      <c r="T112" s="51" t="n"/>
      <c r="U112" s="52" t="n"/>
      <c r="V112" s="50" t="n"/>
      <c r="W112" s="50" t="n"/>
      <c r="X112" s="49">
        <f>IF(OR($B112="",$M112=""),"",WORKDAY($B112,IFERROR(INDEX(CONFIG!$D$4:$D$63,MATCH($M112,CONFIG!$A$4:$A$63,0)),3)))</f>
        <v/>
      </c>
      <c r="Y112" s="47" t="n"/>
      <c r="Z112" s="24">
        <f>IF($B112="","",IF($Y112&lt;&gt;"",$Y112-$B112,TODAY()-$B112))</f>
        <v/>
      </c>
      <c r="AA112" s="28">
        <f>IF($B112="","",IF(IFERROR(INDEX(CONFIG!$L$4:$L$63,MATCH($V112,CONFIG!$K$4:$K$63,0)),"NO")="SÍ",IF(OR($Y112="",$X112=""),"Resuelta",IF($Y112&gt;$X112,"Resuelta tarde","Resuelta a tiempo")),IF($X112="","Sin clasificar",IF(TODAY()&gt;$X112,"Vencida",IF(TODAY()&gt;=$X112-1,"Por vencer","En plazo")))))</f>
        <v/>
      </c>
      <c r="AB112" s="50" t="n"/>
      <c r="AC112" s="50" t="n"/>
    </row>
    <row r="113" ht="16" customHeight="1">
      <c r="A113" s="28">
        <f>IF($B113="","","N-"&amp;TEXT(ROW()-3,"0000"))</f>
        <v/>
      </c>
      <c r="B113" s="47" t="n"/>
      <c r="C113" s="48" t="n"/>
      <c r="D113" s="48" t="n"/>
      <c r="E113" s="28">
        <f>IF($C113="","",IF($D113="",IF($C113="Interna","Sin guía (interna)","FALTA GUÍA"),IF(COUNTIFS(ENVIOS!$A$4:$A$3003,$D113)=0,"NO EXISTE",IF(COUNTIFS(ENVIOS!$A$4:$A$3003,$D113)&gt;1,"DUPLICADA","OK"))))</f>
        <v/>
      </c>
      <c r="F113" s="28">
        <f>IF($D113="","",IFERROR(INDEX(ENVIOS!$B$4:$B$3003,MATCH($D113,ENVIOS!$A$4:$A$3003,0)),"—"))</f>
        <v/>
      </c>
      <c r="G113" s="23">
        <f>IF($D113="","",IFERROR(INDEX(ENVIOS!$D$4:$D$3003,MATCH($D113,ENVIOS!$A$4:$A$3003,0)),"—"))</f>
        <v/>
      </c>
      <c r="H113" s="23">
        <f>IF($D113="","",IFERROR(INDEX(ENVIOS!$E$4:$E$3003,MATCH($D113,ENVIOS!$A$4:$A$3003,0)),"—"))</f>
        <v/>
      </c>
      <c r="I113" s="23">
        <f>IF($D113="","",IFERROR(INDEX(ENVIOS!$F$4:$F$3003,MATCH($D113,ENVIOS!$A$4:$A$3003,0)),"—"))</f>
        <v/>
      </c>
      <c r="J113" s="23">
        <f>IF($D113="","",IFERROR(INDEX(ENVIOS!$G$4:$G$3003,MATCH($D113,ENVIOS!$A$4:$A$3003,0)),"—"))</f>
        <v/>
      </c>
      <c r="K113" s="28">
        <f>IF($D113="","",IFERROR(INDEX(ENVIOS!$H$4:$H$3003,MATCH($D113,ENVIOS!$A$4:$A$3003,0)),"—"))</f>
        <v/>
      </c>
      <c r="L113" s="49">
        <f>IF($D113="","",IFERROR(INDEX(ENVIOS!$C$4:$C$3003,MATCH($D113,ENVIOS!$A$4:$A$3003,0)),""))</f>
        <v/>
      </c>
      <c r="M113" s="50" t="n"/>
      <c r="N113" s="28">
        <f>IF($M113="","",IFERROR(INDEX(CONFIG!$C$4:$C$63,MATCH($M113,CONFIG!$A$4:$A$63,0)),"Media"))</f>
        <v/>
      </c>
      <c r="O113" s="28">
        <f>IF($M113="","",IF($C113="Interna","NO",IFERROR(INDEX(CONFIG!$E$4:$E$63,MATCH($M113,CONFIG!$A$4:$A$63,0)),"NO")))</f>
        <v/>
      </c>
      <c r="P113" s="50" t="n"/>
      <c r="Q113" s="50" t="n"/>
      <c r="R113" s="28">
        <f>IF($Q113="","",IFERROR(INDEX(CONFIG!$H$4:$H$63,MATCH($Q113,CONFIG!$G$4:$G$63,0)),"Por definir"))</f>
        <v/>
      </c>
      <c r="S113" s="28">
        <f>IF($Q113="","",IFERROR(INDEX(CONFIG!$I$4:$I$63,MATCH($Q113,CONFIG!$G$4:$G$63,0)),"Por definir"))</f>
        <v/>
      </c>
      <c r="T113" s="51" t="n"/>
      <c r="U113" s="52" t="n"/>
      <c r="V113" s="50" t="n"/>
      <c r="W113" s="50" t="n"/>
      <c r="X113" s="49">
        <f>IF(OR($B113="",$M113=""),"",WORKDAY($B113,IFERROR(INDEX(CONFIG!$D$4:$D$63,MATCH($M113,CONFIG!$A$4:$A$63,0)),3)))</f>
        <v/>
      </c>
      <c r="Y113" s="47" t="n"/>
      <c r="Z113" s="24">
        <f>IF($B113="","",IF($Y113&lt;&gt;"",$Y113-$B113,TODAY()-$B113))</f>
        <v/>
      </c>
      <c r="AA113" s="28">
        <f>IF($B113="","",IF(IFERROR(INDEX(CONFIG!$L$4:$L$63,MATCH($V113,CONFIG!$K$4:$K$63,0)),"NO")="SÍ",IF(OR($Y113="",$X113=""),"Resuelta",IF($Y113&gt;$X113,"Resuelta tarde","Resuelta a tiempo")),IF($X113="","Sin clasificar",IF(TODAY()&gt;$X113,"Vencida",IF(TODAY()&gt;=$X113-1,"Por vencer","En plazo")))))</f>
        <v/>
      </c>
      <c r="AB113" s="50" t="n"/>
      <c r="AC113" s="50" t="n"/>
    </row>
    <row r="114" ht="16" customHeight="1">
      <c r="A114" s="28">
        <f>IF($B114="","","N-"&amp;TEXT(ROW()-3,"0000"))</f>
        <v/>
      </c>
      <c r="B114" s="47" t="n"/>
      <c r="C114" s="48" t="n"/>
      <c r="D114" s="48" t="n"/>
      <c r="E114" s="28">
        <f>IF($C114="","",IF($D114="",IF($C114="Interna","Sin guía (interna)","FALTA GUÍA"),IF(COUNTIFS(ENVIOS!$A$4:$A$3003,$D114)=0,"NO EXISTE",IF(COUNTIFS(ENVIOS!$A$4:$A$3003,$D114)&gt;1,"DUPLICADA","OK"))))</f>
        <v/>
      </c>
      <c r="F114" s="28">
        <f>IF($D114="","",IFERROR(INDEX(ENVIOS!$B$4:$B$3003,MATCH($D114,ENVIOS!$A$4:$A$3003,0)),"—"))</f>
        <v/>
      </c>
      <c r="G114" s="23">
        <f>IF($D114="","",IFERROR(INDEX(ENVIOS!$D$4:$D$3003,MATCH($D114,ENVIOS!$A$4:$A$3003,0)),"—"))</f>
        <v/>
      </c>
      <c r="H114" s="23">
        <f>IF($D114="","",IFERROR(INDEX(ENVIOS!$E$4:$E$3003,MATCH($D114,ENVIOS!$A$4:$A$3003,0)),"—"))</f>
        <v/>
      </c>
      <c r="I114" s="23">
        <f>IF($D114="","",IFERROR(INDEX(ENVIOS!$F$4:$F$3003,MATCH($D114,ENVIOS!$A$4:$A$3003,0)),"—"))</f>
        <v/>
      </c>
      <c r="J114" s="23">
        <f>IF($D114="","",IFERROR(INDEX(ENVIOS!$G$4:$G$3003,MATCH($D114,ENVIOS!$A$4:$A$3003,0)),"—"))</f>
        <v/>
      </c>
      <c r="K114" s="28">
        <f>IF($D114="","",IFERROR(INDEX(ENVIOS!$H$4:$H$3003,MATCH($D114,ENVIOS!$A$4:$A$3003,0)),"—"))</f>
        <v/>
      </c>
      <c r="L114" s="49">
        <f>IF($D114="","",IFERROR(INDEX(ENVIOS!$C$4:$C$3003,MATCH($D114,ENVIOS!$A$4:$A$3003,0)),""))</f>
        <v/>
      </c>
      <c r="M114" s="50" t="n"/>
      <c r="N114" s="28">
        <f>IF($M114="","",IFERROR(INDEX(CONFIG!$C$4:$C$63,MATCH($M114,CONFIG!$A$4:$A$63,0)),"Media"))</f>
        <v/>
      </c>
      <c r="O114" s="28">
        <f>IF($M114="","",IF($C114="Interna","NO",IFERROR(INDEX(CONFIG!$E$4:$E$63,MATCH($M114,CONFIG!$A$4:$A$63,0)),"NO")))</f>
        <v/>
      </c>
      <c r="P114" s="50" t="n"/>
      <c r="Q114" s="50" t="n"/>
      <c r="R114" s="28">
        <f>IF($Q114="","",IFERROR(INDEX(CONFIG!$H$4:$H$63,MATCH($Q114,CONFIG!$G$4:$G$63,0)),"Por definir"))</f>
        <v/>
      </c>
      <c r="S114" s="28">
        <f>IF($Q114="","",IFERROR(INDEX(CONFIG!$I$4:$I$63,MATCH($Q114,CONFIG!$G$4:$G$63,0)),"Por definir"))</f>
        <v/>
      </c>
      <c r="T114" s="51" t="n"/>
      <c r="U114" s="52" t="n"/>
      <c r="V114" s="50" t="n"/>
      <c r="W114" s="50" t="n"/>
      <c r="X114" s="49">
        <f>IF(OR($B114="",$M114=""),"",WORKDAY($B114,IFERROR(INDEX(CONFIG!$D$4:$D$63,MATCH($M114,CONFIG!$A$4:$A$63,0)),3)))</f>
        <v/>
      </c>
      <c r="Y114" s="47" t="n"/>
      <c r="Z114" s="24">
        <f>IF($B114="","",IF($Y114&lt;&gt;"",$Y114-$B114,TODAY()-$B114))</f>
        <v/>
      </c>
      <c r="AA114" s="28">
        <f>IF($B114="","",IF(IFERROR(INDEX(CONFIG!$L$4:$L$63,MATCH($V114,CONFIG!$K$4:$K$63,0)),"NO")="SÍ",IF(OR($Y114="",$X114=""),"Resuelta",IF($Y114&gt;$X114,"Resuelta tarde","Resuelta a tiempo")),IF($X114="","Sin clasificar",IF(TODAY()&gt;$X114,"Vencida",IF(TODAY()&gt;=$X114-1,"Por vencer","En plazo")))))</f>
        <v/>
      </c>
      <c r="AB114" s="50" t="n"/>
      <c r="AC114" s="50" t="n"/>
    </row>
    <row r="115" ht="16" customHeight="1">
      <c r="A115" s="28">
        <f>IF($B115="","","N-"&amp;TEXT(ROW()-3,"0000"))</f>
        <v/>
      </c>
      <c r="B115" s="47" t="n"/>
      <c r="C115" s="48" t="n"/>
      <c r="D115" s="48" t="n"/>
      <c r="E115" s="28">
        <f>IF($C115="","",IF($D115="",IF($C115="Interna","Sin guía (interna)","FALTA GUÍA"),IF(COUNTIFS(ENVIOS!$A$4:$A$3003,$D115)=0,"NO EXISTE",IF(COUNTIFS(ENVIOS!$A$4:$A$3003,$D115)&gt;1,"DUPLICADA","OK"))))</f>
        <v/>
      </c>
      <c r="F115" s="28">
        <f>IF($D115="","",IFERROR(INDEX(ENVIOS!$B$4:$B$3003,MATCH($D115,ENVIOS!$A$4:$A$3003,0)),"—"))</f>
        <v/>
      </c>
      <c r="G115" s="23">
        <f>IF($D115="","",IFERROR(INDEX(ENVIOS!$D$4:$D$3003,MATCH($D115,ENVIOS!$A$4:$A$3003,0)),"—"))</f>
        <v/>
      </c>
      <c r="H115" s="23">
        <f>IF($D115="","",IFERROR(INDEX(ENVIOS!$E$4:$E$3003,MATCH($D115,ENVIOS!$A$4:$A$3003,0)),"—"))</f>
        <v/>
      </c>
      <c r="I115" s="23">
        <f>IF($D115="","",IFERROR(INDEX(ENVIOS!$F$4:$F$3003,MATCH($D115,ENVIOS!$A$4:$A$3003,0)),"—"))</f>
        <v/>
      </c>
      <c r="J115" s="23">
        <f>IF($D115="","",IFERROR(INDEX(ENVIOS!$G$4:$G$3003,MATCH($D115,ENVIOS!$A$4:$A$3003,0)),"—"))</f>
        <v/>
      </c>
      <c r="K115" s="28">
        <f>IF($D115="","",IFERROR(INDEX(ENVIOS!$H$4:$H$3003,MATCH($D115,ENVIOS!$A$4:$A$3003,0)),"—"))</f>
        <v/>
      </c>
      <c r="L115" s="49">
        <f>IF($D115="","",IFERROR(INDEX(ENVIOS!$C$4:$C$3003,MATCH($D115,ENVIOS!$A$4:$A$3003,0)),""))</f>
        <v/>
      </c>
      <c r="M115" s="50" t="n"/>
      <c r="N115" s="28">
        <f>IF($M115="","",IFERROR(INDEX(CONFIG!$C$4:$C$63,MATCH($M115,CONFIG!$A$4:$A$63,0)),"Media"))</f>
        <v/>
      </c>
      <c r="O115" s="28">
        <f>IF($M115="","",IF($C115="Interna","NO",IFERROR(INDEX(CONFIG!$E$4:$E$63,MATCH($M115,CONFIG!$A$4:$A$63,0)),"NO")))</f>
        <v/>
      </c>
      <c r="P115" s="50" t="n"/>
      <c r="Q115" s="50" t="n"/>
      <c r="R115" s="28">
        <f>IF($Q115="","",IFERROR(INDEX(CONFIG!$H$4:$H$63,MATCH($Q115,CONFIG!$G$4:$G$63,0)),"Por definir"))</f>
        <v/>
      </c>
      <c r="S115" s="28">
        <f>IF($Q115="","",IFERROR(INDEX(CONFIG!$I$4:$I$63,MATCH($Q115,CONFIG!$G$4:$G$63,0)),"Por definir"))</f>
        <v/>
      </c>
      <c r="T115" s="51" t="n"/>
      <c r="U115" s="52" t="n"/>
      <c r="V115" s="50" t="n"/>
      <c r="W115" s="50" t="n"/>
      <c r="X115" s="49">
        <f>IF(OR($B115="",$M115=""),"",WORKDAY($B115,IFERROR(INDEX(CONFIG!$D$4:$D$63,MATCH($M115,CONFIG!$A$4:$A$63,0)),3)))</f>
        <v/>
      </c>
      <c r="Y115" s="47" t="n"/>
      <c r="Z115" s="24">
        <f>IF($B115="","",IF($Y115&lt;&gt;"",$Y115-$B115,TODAY()-$B115))</f>
        <v/>
      </c>
      <c r="AA115" s="28">
        <f>IF($B115="","",IF(IFERROR(INDEX(CONFIG!$L$4:$L$63,MATCH($V115,CONFIG!$K$4:$K$63,0)),"NO")="SÍ",IF(OR($Y115="",$X115=""),"Resuelta",IF($Y115&gt;$X115,"Resuelta tarde","Resuelta a tiempo")),IF($X115="","Sin clasificar",IF(TODAY()&gt;$X115,"Vencida",IF(TODAY()&gt;=$X115-1,"Por vencer","En plazo")))))</f>
        <v/>
      </c>
      <c r="AB115" s="50" t="n"/>
      <c r="AC115" s="50" t="n"/>
    </row>
    <row r="116" ht="16" customHeight="1">
      <c r="A116" s="28">
        <f>IF($B116="","","N-"&amp;TEXT(ROW()-3,"0000"))</f>
        <v/>
      </c>
      <c r="B116" s="47" t="n"/>
      <c r="C116" s="48" t="n"/>
      <c r="D116" s="48" t="n"/>
      <c r="E116" s="28">
        <f>IF($C116="","",IF($D116="",IF($C116="Interna","Sin guía (interna)","FALTA GUÍA"),IF(COUNTIFS(ENVIOS!$A$4:$A$3003,$D116)=0,"NO EXISTE",IF(COUNTIFS(ENVIOS!$A$4:$A$3003,$D116)&gt;1,"DUPLICADA","OK"))))</f>
        <v/>
      </c>
      <c r="F116" s="28">
        <f>IF($D116="","",IFERROR(INDEX(ENVIOS!$B$4:$B$3003,MATCH($D116,ENVIOS!$A$4:$A$3003,0)),"—"))</f>
        <v/>
      </c>
      <c r="G116" s="23">
        <f>IF($D116="","",IFERROR(INDEX(ENVIOS!$D$4:$D$3003,MATCH($D116,ENVIOS!$A$4:$A$3003,0)),"—"))</f>
        <v/>
      </c>
      <c r="H116" s="23">
        <f>IF($D116="","",IFERROR(INDEX(ENVIOS!$E$4:$E$3003,MATCH($D116,ENVIOS!$A$4:$A$3003,0)),"—"))</f>
        <v/>
      </c>
      <c r="I116" s="23">
        <f>IF($D116="","",IFERROR(INDEX(ENVIOS!$F$4:$F$3003,MATCH($D116,ENVIOS!$A$4:$A$3003,0)),"—"))</f>
        <v/>
      </c>
      <c r="J116" s="23">
        <f>IF($D116="","",IFERROR(INDEX(ENVIOS!$G$4:$G$3003,MATCH($D116,ENVIOS!$A$4:$A$3003,0)),"—"))</f>
        <v/>
      </c>
      <c r="K116" s="28">
        <f>IF($D116="","",IFERROR(INDEX(ENVIOS!$H$4:$H$3003,MATCH($D116,ENVIOS!$A$4:$A$3003,0)),"—"))</f>
        <v/>
      </c>
      <c r="L116" s="49">
        <f>IF($D116="","",IFERROR(INDEX(ENVIOS!$C$4:$C$3003,MATCH($D116,ENVIOS!$A$4:$A$3003,0)),""))</f>
        <v/>
      </c>
      <c r="M116" s="50" t="n"/>
      <c r="N116" s="28">
        <f>IF($M116="","",IFERROR(INDEX(CONFIG!$C$4:$C$63,MATCH($M116,CONFIG!$A$4:$A$63,0)),"Media"))</f>
        <v/>
      </c>
      <c r="O116" s="28">
        <f>IF($M116="","",IF($C116="Interna","NO",IFERROR(INDEX(CONFIG!$E$4:$E$63,MATCH($M116,CONFIG!$A$4:$A$63,0)),"NO")))</f>
        <v/>
      </c>
      <c r="P116" s="50" t="n"/>
      <c r="Q116" s="50" t="n"/>
      <c r="R116" s="28">
        <f>IF($Q116="","",IFERROR(INDEX(CONFIG!$H$4:$H$63,MATCH($Q116,CONFIG!$G$4:$G$63,0)),"Por definir"))</f>
        <v/>
      </c>
      <c r="S116" s="28">
        <f>IF($Q116="","",IFERROR(INDEX(CONFIG!$I$4:$I$63,MATCH($Q116,CONFIG!$G$4:$G$63,0)),"Por definir"))</f>
        <v/>
      </c>
      <c r="T116" s="51" t="n"/>
      <c r="U116" s="52" t="n"/>
      <c r="V116" s="50" t="n"/>
      <c r="W116" s="50" t="n"/>
      <c r="X116" s="49">
        <f>IF(OR($B116="",$M116=""),"",WORKDAY($B116,IFERROR(INDEX(CONFIG!$D$4:$D$63,MATCH($M116,CONFIG!$A$4:$A$63,0)),3)))</f>
        <v/>
      </c>
      <c r="Y116" s="47" t="n"/>
      <c r="Z116" s="24">
        <f>IF($B116="","",IF($Y116&lt;&gt;"",$Y116-$B116,TODAY()-$B116))</f>
        <v/>
      </c>
      <c r="AA116" s="28">
        <f>IF($B116="","",IF(IFERROR(INDEX(CONFIG!$L$4:$L$63,MATCH($V116,CONFIG!$K$4:$K$63,0)),"NO")="SÍ",IF(OR($Y116="",$X116=""),"Resuelta",IF($Y116&gt;$X116,"Resuelta tarde","Resuelta a tiempo")),IF($X116="","Sin clasificar",IF(TODAY()&gt;$X116,"Vencida",IF(TODAY()&gt;=$X116-1,"Por vencer","En plazo")))))</f>
        <v/>
      </c>
      <c r="AB116" s="50" t="n"/>
      <c r="AC116" s="50" t="n"/>
    </row>
    <row r="117" ht="16" customHeight="1">
      <c r="A117" s="28">
        <f>IF($B117="","","N-"&amp;TEXT(ROW()-3,"0000"))</f>
        <v/>
      </c>
      <c r="B117" s="47" t="n"/>
      <c r="C117" s="48" t="n"/>
      <c r="D117" s="48" t="n"/>
      <c r="E117" s="28">
        <f>IF($C117="","",IF($D117="",IF($C117="Interna","Sin guía (interna)","FALTA GUÍA"),IF(COUNTIFS(ENVIOS!$A$4:$A$3003,$D117)=0,"NO EXISTE",IF(COUNTIFS(ENVIOS!$A$4:$A$3003,$D117)&gt;1,"DUPLICADA","OK"))))</f>
        <v/>
      </c>
      <c r="F117" s="28">
        <f>IF($D117="","",IFERROR(INDEX(ENVIOS!$B$4:$B$3003,MATCH($D117,ENVIOS!$A$4:$A$3003,0)),"—"))</f>
        <v/>
      </c>
      <c r="G117" s="23">
        <f>IF($D117="","",IFERROR(INDEX(ENVIOS!$D$4:$D$3003,MATCH($D117,ENVIOS!$A$4:$A$3003,0)),"—"))</f>
        <v/>
      </c>
      <c r="H117" s="23">
        <f>IF($D117="","",IFERROR(INDEX(ENVIOS!$E$4:$E$3003,MATCH($D117,ENVIOS!$A$4:$A$3003,0)),"—"))</f>
        <v/>
      </c>
      <c r="I117" s="23">
        <f>IF($D117="","",IFERROR(INDEX(ENVIOS!$F$4:$F$3003,MATCH($D117,ENVIOS!$A$4:$A$3003,0)),"—"))</f>
        <v/>
      </c>
      <c r="J117" s="23">
        <f>IF($D117="","",IFERROR(INDEX(ENVIOS!$G$4:$G$3003,MATCH($D117,ENVIOS!$A$4:$A$3003,0)),"—"))</f>
        <v/>
      </c>
      <c r="K117" s="28">
        <f>IF($D117="","",IFERROR(INDEX(ENVIOS!$H$4:$H$3003,MATCH($D117,ENVIOS!$A$4:$A$3003,0)),"—"))</f>
        <v/>
      </c>
      <c r="L117" s="49">
        <f>IF($D117="","",IFERROR(INDEX(ENVIOS!$C$4:$C$3003,MATCH($D117,ENVIOS!$A$4:$A$3003,0)),""))</f>
        <v/>
      </c>
      <c r="M117" s="50" t="n"/>
      <c r="N117" s="28">
        <f>IF($M117="","",IFERROR(INDEX(CONFIG!$C$4:$C$63,MATCH($M117,CONFIG!$A$4:$A$63,0)),"Media"))</f>
        <v/>
      </c>
      <c r="O117" s="28">
        <f>IF($M117="","",IF($C117="Interna","NO",IFERROR(INDEX(CONFIG!$E$4:$E$63,MATCH($M117,CONFIG!$A$4:$A$63,0)),"NO")))</f>
        <v/>
      </c>
      <c r="P117" s="50" t="n"/>
      <c r="Q117" s="50" t="n"/>
      <c r="R117" s="28">
        <f>IF($Q117="","",IFERROR(INDEX(CONFIG!$H$4:$H$63,MATCH($Q117,CONFIG!$G$4:$G$63,0)),"Por definir"))</f>
        <v/>
      </c>
      <c r="S117" s="28">
        <f>IF($Q117="","",IFERROR(INDEX(CONFIG!$I$4:$I$63,MATCH($Q117,CONFIG!$G$4:$G$63,0)),"Por definir"))</f>
        <v/>
      </c>
      <c r="T117" s="51" t="n"/>
      <c r="U117" s="52" t="n"/>
      <c r="V117" s="50" t="n"/>
      <c r="W117" s="50" t="n"/>
      <c r="X117" s="49">
        <f>IF(OR($B117="",$M117=""),"",WORKDAY($B117,IFERROR(INDEX(CONFIG!$D$4:$D$63,MATCH($M117,CONFIG!$A$4:$A$63,0)),3)))</f>
        <v/>
      </c>
      <c r="Y117" s="47" t="n"/>
      <c r="Z117" s="24">
        <f>IF($B117="","",IF($Y117&lt;&gt;"",$Y117-$B117,TODAY()-$B117))</f>
        <v/>
      </c>
      <c r="AA117" s="28">
        <f>IF($B117="","",IF(IFERROR(INDEX(CONFIG!$L$4:$L$63,MATCH($V117,CONFIG!$K$4:$K$63,0)),"NO")="SÍ",IF(OR($Y117="",$X117=""),"Resuelta",IF($Y117&gt;$X117,"Resuelta tarde","Resuelta a tiempo")),IF($X117="","Sin clasificar",IF(TODAY()&gt;$X117,"Vencida",IF(TODAY()&gt;=$X117-1,"Por vencer","En plazo")))))</f>
        <v/>
      </c>
      <c r="AB117" s="50" t="n"/>
      <c r="AC117" s="50" t="n"/>
    </row>
    <row r="118" ht="16" customHeight="1">
      <c r="A118" s="28">
        <f>IF($B118="","","N-"&amp;TEXT(ROW()-3,"0000"))</f>
        <v/>
      </c>
      <c r="B118" s="47" t="n"/>
      <c r="C118" s="48" t="n"/>
      <c r="D118" s="48" t="n"/>
      <c r="E118" s="28">
        <f>IF($C118="","",IF($D118="",IF($C118="Interna","Sin guía (interna)","FALTA GUÍA"),IF(COUNTIFS(ENVIOS!$A$4:$A$3003,$D118)=0,"NO EXISTE",IF(COUNTIFS(ENVIOS!$A$4:$A$3003,$D118)&gt;1,"DUPLICADA","OK"))))</f>
        <v/>
      </c>
      <c r="F118" s="28">
        <f>IF($D118="","",IFERROR(INDEX(ENVIOS!$B$4:$B$3003,MATCH($D118,ENVIOS!$A$4:$A$3003,0)),"—"))</f>
        <v/>
      </c>
      <c r="G118" s="23">
        <f>IF($D118="","",IFERROR(INDEX(ENVIOS!$D$4:$D$3003,MATCH($D118,ENVIOS!$A$4:$A$3003,0)),"—"))</f>
        <v/>
      </c>
      <c r="H118" s="23">
        <f>IF($D118="","",IFERROR(INDEX(ENVIOS!$E$4:$E$3003,MATCH($D118,ENVIOS!$A$4:$A$3003,0)),"—"))</f>
        <v/>
      </c>
      <c r="I118" s="23">
        <f>IF($D118="","",IFERROR(INDEX(ENVIOS!$F$4:$F$3003,MATCH($D118,ENVIOS!$A$4:$A$3003,0)),"—"))</f>
        <v/>
      </c>
      <c r="J118" s="23">
        <f>IF($D118="","",IFERROR(INDEX(ENVIOS!$G$4:$G$3003,MATCH($D118,ENVIOS!$A$4:$A$3003,0)),"—"))</f>
        <v/>
      </c>
      <c r="K118" s="28">
        <f>IF($D118="","",IFERROR(INDEX(ENVIOS!$H$4:$H$3003,MATCH($D118,ENVIOS!$A$4:$A$3003,0)),"—"))</f>
        <v/>
      </c>
      <c r="L118" s="49">
        <f>IF($D118="","",IFERROR(INDEX(ENVIOS!$C$4:$C$3003,MATCH($D118,ENVIOS!$A$4:$A$3003,0)),""))</f>
        <v/>
      </c>
      <c r="M118" s="50" t="n"/>
      <c r="N118" s="28">
        <f>IF($M118="","",IFERROR(INDEX(CONFIG!$C$4:$C$63,MATCH($M118,CONFIG!$A$4:$A$63,0)),"Media"))</f>
        <v/>
      </c>
      <c r="O118" s="28">
        <f>IF($M118="","",IF($C118="Interna","NO",IFERROR(INDEX(CONFIG!$E$4:$E$63,MATCH($M118,CONFIG!$A$4:$A$63,0)),"NO")))</f>
        <v/>
      </c>
      <c r="P118" s="50" t="n"/>
      <c r="Q118" s="50" t="n"/>
      <c r="R118" s="28">
        <f>IF($Q118="","",IFERROR(INDEX(CONFIG!$H$4:$H$63,MATCH($Q118,CONFIG!$G$4:$G$63,0)),"Por definir"))</f>
        <v/>
      </c>
      <c r="S118" s="28">
        <f>IF($Q118="","",IFERROR(INDEX(CONFIG!$I$4:$I$63,MATCH($Q118,CONFIG!$G$4:$G$63,0)),"Por definir"))</f>
        <v/>
      </c>
      <c r="T118" s="51" t="n"/>
      <c r="U118" s="52" t="n"/>
      <c r="V118" s="50" t="n"/>
      <c r="W118" s="50" t="n"/>
      <c r="X118" s="49">
        <f>IF(OR($B118="",$M118=""),"",WORKDAY($B118,IFERROR(INDEX(CONFIG!$D$4:$D$63,MATCH($M118,CONFIG!$A$4:$A$63,0)),3)))</f>
        <v/>
      </c>
      <c r="Y118" s="47" t="n"/>
      <c r="Z118" s="24">
        <f>IF($B118="","",IF($Y118&lt;&gt;"",$Y118-$B118,TODAY()-$B118))</f>
        <v/>
      </c>
      <c r="AA118" s="28">
        <f>IF($B118="","",IF(IFERROR(INDEX(CONFIG!$L$4:$L$63,MATCH($V118,CONFIG!$K$4:$K$63,0)),"NO")="SÍ",IF(OR($Y118="",$X118=""),"Resuelta",IF($Y118&gt;$X118,"Resuelta tarde","Resuelta a tiempo")),IF($X118="","Sin clasificar",IF(TODAY()&gt;$X118,"Vencida",IF(TODAY()&gt;=$X118-1,"Por vencer","En plazo")))))</f>
        <v/>
      </c>
      <c r="AB118" s="50" t="n"/>
      <c r="AC118" s="50" t="n"/>
    </row>
    <row r="119" ht="16" customHeight="1">
      <c r="A119" s="28">
        <f>IF($B119="","","N-"&amp;TEXT(ROW()-3,"0000"))</f>
        <v/>
      </c>
      <c r="B119" s="47" t="n"/>
      <c r="C119" s="48" t="n"/>
      <c r="D119" s="48" t="n"/>
      <c r="E119" s="28">
        <f>IF($C119="","",IF($D119="",IF($C119="Interna","Sin guía (interna)","FALTA GUÍA"),IF(COUNTIFS(ENVIOS!$A$4:$A$3003,$D119)=0,"NO EXISTE",IF(COUNTIFS(ENVIOS!$A$4:$A$3003,$D119)&gt;1,"DUPLICADA","OK"))))</f>
        <v/>
      </c>
      <c r="F119" s="28">
        <f>IF($D119="","",IFERROR(INDEX(ENVIOS!$B$4:$B$3003,MATCH($D119,ENVIOS!$A$4:$A$3003,0)),"—"))</f>
        <v/>
      </c>
      <c r="G119" s="23">
        <f>IF($D119="","",IFERROR(INDEX(ENVIOS!$D$4:$D$3003,MATCH($D119,ENVIOS!$A$4:$A$3003,0)),"—"))</f>
        <v/>
      </c>
      <c r="H119" s="23">
        <f>IF($D119="","",IFERROR(INDEX(ENVIOS!$E$4:$E$3003,MATCH($D119,ENVIOS!$A$4:$A$3003,0)),"—"))</f>
        <v/>
      </c>
      <c r="I119" s="23">
        <f>IF($D119="","",IFERROR(INDEX(ENVIOS!$F$4:$F$3003,MATCH($D119,ENVIOS!$A$4:$A$3003,0)),"—"))</f>
        <v/>
      </c>
      <c r="J119" s="23">
        <f>IF($D119="","",IFERROR(INDEX(ENVIOS!$G$4:$G$3003,MATCH($D119,ENVIOS!$A$4:$A$3003,0)),"—"))</f>
        <v/>
      </c>
      <c r="K119" s="28">
        <f>IF($D119="","",IFERROR(INDEX(ENVIOS!$H$4:$H$3003,MATCH($D119,ENVIOS!$A$4:$A$3003,0)),"—"))</f>
        <v/>
      </c>
      <c r="L119" s="49">
        <f>IF($D119="","",IFERROR(INDEX(ENVIOS!$C$4:$C$3003,MATCH($D119,ENVIOS!$A$4:$A$3003,0)),""))</f>
        <v/>
      </c>
      <c r="M119" s="50" t="n"/>
      <c r="N119" s="28">
        <f>IF($M119="","",IFERROR(INDEX(CONFIG!$C$4:$C$63,MATCH($M119,CONFIG!$A$4:$A$63,0)),"Media"))</f>
        <v/>
      </c>
      <c r="O119" s="28">
        <f>IF($M119="","",IF($C119="Interna","NO",IFERROR(INDEX(CONFIG!$E$4:$E$63,MATCH($M119,CONFIG!$A$4:$A$63,0)),"NO")))</f>
        <v/>
      </c>
      <c r="P119" s="50" t="n"/>
      <c r="Q119" s="50" t="n"/>
      <c r="R119" s="28">
        <f>IF($Q119="","",IFERROR(INDEX(CONFIG!$H$4:$H$63,MATCH($Q119,CONFIG!$G$4:$G$63,0)),"Por definir"))</f>
        <v/>
      </c>
      <c r="S119" s="28">
        <f>IF($Q119="","",IFERROR(INDEX(CONFIG!$I$4:$I$63,MATCH($Q119,CONFIG!$G$4:$G$63,0)),"Por definir"))</f>
        <v/>
      </c>
      <c r="T119" s="51" t="n"/>
      <c r="U119" s="52" t="n"/>
      <c r="V119" s="50" t="n"/>
      <c r="W119" s="50" t="n"/>
      <c r="X119" s="49">
        <f>IF(OR($B119="",$M119=""),"",WORKDAY($B119,IFERROR(INDEX(CONFIG!$D$4:$D$63,MATCH($M119,CONFIG!$A$4:$A$63,0)),3)))</f>
        <v/>
      </c>
      <c r="Y119" s="47" t="n"/>
      <c r="Z119" s="24">
        <f>IF($B119="","",IF($Y119&lt;&gt;"",$Y119-$B119,TODAY()-$B119))</f>
        <v/>
      </c>
      <c r="AA119" s="28">
        <f>IF($B119="","",IF(IFERROR(INDEX(CONFIG!$L$4:$L$63,MATCH($V119,CONFIG!$K$4:$K$63,0)),"NO")="SÍ",IF(OR($Y119="",$X119=""),"Resuelta",IF($Y119&gt;$X119,"Resuelta tarde","Resuelta a tiempo")),IF($X119="","Sin clasificar",IF(TODAY()&gt;$X119,"Vencida",IF(TODAY()&gt;=$X119-1,"Por vencer","En plazo")))))</f>
        <v/>
      </c>
      <c r="AB119" s="50" t="n"/>
      <c r="AC119" s="50" t="n"/>
    </row>
    <row r="120" ht="16" customHeight="1">
      <c r="A120" s="28">
        <f>IF($B120="","","N-"&amp;TEXT(ROW()-3,"0000"))</f>
        <v/>
      </c>
      <c r="B120" s="47" t="n"/>
      <c r="C120" s="48" t="n"/>
      <c r="D120" s="48" t="n"/>
      <c r="E120" s="28">
        <f>IF($C120="","",IF($D120="",IF($C120="Interna","Sin guía (interna)","FALTA GUÍA"),IF(COUNTIFS(ENVIOS!$A$4:$A$3003,$D120)=0,"NO EXISTE",IF(COUNTIFS(ENVIOS!$A$4:$A$3003,$D120)&gt;1,"DUPLICADA","OK"))))</f>
        <v/>
      </c>
      <c r="F120" s="28">
        <f>IF($D120="","",IFERROR(INDEX(ENVIOS!$B$4:$B$3003,MATCH($D120,ENVIOS!$A$4:$A$3003,0)),"—"))</f>
        <v/>
      </c>
      <c r="G120" s="23">
        <f>IF($D120="","",IFERROR(INDEX(ENVIOS!$D$4:$D$3003,MATCH($D120,ENVIOS!$A$4:$A$3003,0)),"—"))</f>
        <v/>
      </c>
      <c r="H120" s="23">
        <f>IF($D120="","",IFERROR(INDEX(ENVIOS!$E$4:$E$3003,MATCH($D120,ENVIOS!$A$4:$A$3003,0)),"—"))</f>
        <v/>
      </c>
      <c r="I120" s="23">
        <f>IF($D120="","",IFERROR(INDEX(ENVIOS!$F$4:$F$3003,MATCH($D120,ENVIOS!$A$4:$A$3003,0)),"—"))</f>
        <v/>
      </c>
      <c r="J120" s="23">
        <f>IF($D120="","",IFERROR(INDEX(ENVIOS!$G$4:$G$3003,MATCH($D120,ENVIOS!$A$4:$A$3003,0)),"—"))</f>
        <v/>
      </c>
      <c r="K120" s="28">
        <f>IF($D120="","",IFERROR(INDEX(ENVIOS!$H$4:$H$3003,MATCH($D120,ENVIOS!$A$4:$A$3003,0)),"—"))</f>
        <v/>
      </c>
      <c r="L120" s="49">
        <f>IF($D120="","",IFERROR(INDEX(ENVIOS!$C$4:$C$3003,MATCH($D120,ENVIOS!$A$4:$A$3003,0)),""))</f>
        <v/>
      </c>
      <c r="M120" s="50" t="n"/>
      <c r="N120" s="28">
        <f>IF($M120="","",IFERROR(INDEX(CONFIG!$C$4:$C$63,MATCH($M120,CONFIG!$A$4:$A$63,0)),"Media"))</f>
        <v/>
      </c>
      <c r="O120" s="28">
        <f>IF($M120="","",IF($C120="Interna","NO",IFERROR(INDEX(CONFIG!$E$4:$E$63,MATCH($M120,CONFIG!$A$4:$A$63,0)),"NO")))</f>
        <v/>
      </c>
      <c r="P120" s="50" t="n"/>
      <c r="Q120" s="50" t="n"/>
      <c r="R120" s="28">
        <f>IF($Q120="","",IFERROR(INDEX(CONFIG!$H$4:$H$63,MATCH($Q120,CONFIG!$G$4:$G$63,0)),"Por definir"))</f>
        <v/>
      </c>
      <c r="S120" s="28">
        <f>IF($Q120="","",IFERROR(INDEX(CONFIG!$I$4:$I$63,MATCH($Q120,CONFIG!$G$4:$G$63,0)),"Por definir"))</f>
        <v/>
      </c>
      <c r="T120" s="51" t="n"/>
      <c r="U120" s="52" t="n"/>
      <c r="V120" s="50" t="n"/>
      <c r="W120" s="50" t="n"/>
      <c r="X120" s="49">
        <f>IF(OR($B120="",$M120=""),"",WORKDAY($B120,IFERROR(INDEX(CONFIG!$D$4:$D$63,MATCH($M120,CONFIG!$A$4:$A$63,0)),3)))</f>
        <v/>
      </c>
      <c r="Y120" s="47" t="n"/>
      <c r="Z120" s="24">
        <f>IF($B120="","",IF($Y120&lt;&gt;"",$Y120-$B120,TODAY()-$B120))</f>
        <v/>
      </c>
      <c r="AA120" s="28">
        <f>IF($B120="","",IF(IFERROR(INDEX(CONFIG!$L$4:$L$63,MATCH($V120,CONFIG!$K$4:$K$63,0)),"NO")="SÍ",IF(OR($Y120="",$X120=""),"Resuelta",IF($Y120&gt;$X120,"Resuelta tarde","Resuelta a tiempo")),IF($X120="","Sin clasificar",IF(TODAY()&gt;$X120,"Vencida",IF(TODAY()&gt;=$X120-1,"Por vencer","En plazo")))))</f>
        <v/>
      </c>
      <c r="AB120" s="50" t="n"/>
      <c r="AC120" s="50" t="n"/>
    </row>
    <row r="121" ht="16" customHeight="1">
      <c r="A121" s="28">
        <f>IF($B121="","","N-"&amp;TEXT(ROW()-3,"0000"))</f>
        <v/>
      </c>
      <c r="B121" s="47" t="n"/>
      <c r="C121" s="48" t="n"/>
      <c r="D121" s="48" t="n"/>
      <c r="E121" s="28">
        <f>IF($C121="","",IF($D121="",IF($C121="Interna","Sin guía (interna)","FALTA GUÍA"),IF(COUNTIFS(ENVIOS!$A$4:$A$3003,$D121)=0,"NO EXISTE",IF(COUNTIFS(ENVIOS!$A$4:$A$3003,$D121)&gt;1,"DUPLICADA","OK"))))</f>
        <v/>
      </c>
      <c r="F121" s="28">
        <f>IF($D121="","",IFERROR(INDEX(ENVIOS!$B$4:$B$3003,MATCH($D121,ENVIOS!$A$4:$A$3003,0)),"—"))</f>
        <v/>
      </c>
      <c r="G121" s="23">
        <f>IF($D121="","",IFERROR(INDEX(ENVIOS!$D$4:$D$3003,MATCH($D121,ENVIOS!$A$4:$A$3003,0)),"—"))</f>
        <v/>
      </c>
      <c r="H121" s="23">
        <f>IF($D121="","",IFERROR(INDEX(ENVIOS!$E$4:$E$3003,MATCH($D121,ENVIOS!$A$4:$A$3003,0)),"—"))</f>
        <v/>
      </c>
      <c r="I121" s="23">
        <f>IF($D121="","",IFERROR(INDEX(ENVIOS!$F$4:$F$3003,MATCH($D121,ENVIOS!$A$4:$A$3003,0)),"—"))</f>
        <v/>
      </c>
      <c r="J121" s="23">
        <f>IF($D121="","",IFERROR(INDEX(ENVIOS!$G$4:$G$3003,MATCH($D121,ENVIOS!$A$4:$A$3003,0)),"—"))</f>
        <v/>
      </c>
      <c r="K121" s="28">
        <f>IF($D121="","",IFERROR(INDEX(ENVIOS!$H$4:$H$3003,MATCH($D121,ENVIOS!$A$4:$A$3003,0)),"—"))</f>
        <v/>
      </c>
      <c r="L121" s="49">
        <f>IF($D121="","",IFERROR(INDEX(ENVIOS!$C$4:$C$3003,MATCH($D121,ENVIOS!$A$4:$A$3003,0)),""))</f>
        <v/>
      </c>
      <c r="M121" s="50" t="n"/>
      <c r="N121" s="28">
        <f>IF($M121="","",IFERROR(INDEX(CONFIG!$C$4:$C$63,MATCH($M121,CONFIG!$A$4:$A$63,0)),"Media"))</f>
        <v/>
      </c>
      <c r="O121" s="28">
        <f>IF($M121="","",IF($C121="Interna","NO",IFERROR(INDEX(CONFIG!$E$4:$E$63,MATCH($M121,CONFIG!$A$4:$A$63,0)),"NO")))</f>
        <v/>
      </c>
      <c r="P121" s="50" t="n"/>
      <c r="Q121" s="50" t="n"/>
      <c r="R121" s="28">
        <f>IF($Q121="","",IFERROR(INDEX(CONFIG!$H$4:$H$63,MATCH($Q121,CONFIG!$G$4:$G$63,0)),"Por definir"))</f>
        <v/>
      </c>
      <c r="S121" s="28">
        <f>IF($Q121="","",IFERROR(INDEX(CONFIG!$I$4:$I$63,MATCH($Q121,CONFIG!$G$4:$G$63,0)),"Por definir"))</f>
        <v/>
      </c>
      <c r="T121" s="51" t="n"/>
      <c r="U121" s="52" t="n"/>
      <c r="V121" s="50" t="n"/>
      <c r="W121" s="50" t="n"/>
      <c r="X121" s="49">
        <f>IF(OR($B121="",$M121=""),"",WORKDAY($B121,IFERROR(INDEX(CONFIG!$D$4:$D$63,MATCH($M121,CONFIG!$A$4:$A$63,0)),3)))</f>
        <v/>
      </c>
      <c r="Y121" s="47" t="n"/>
      <c r="Z121" s="24">
        <f>IF($B121="","",IF($Y121&lt;&gt;"",$Y121-$B121,TODAY()-$B121))</f>
        <v/>
      </c>
      <c r="AA121" s="28">
        <f>IF($B121="","",IF(IFERROR(INDEX(CONFIG!$L$4:$L$63,MATCH($V121,CONFIG!$K$4:$K$63,0)),"NO")="SÍ",IF(OR($Y121="",$X121=""),"Resuelta",IF($Y121&gt;$X121,"Resuelta tarde","Resuelta a tiempo")),IF($X121="","Sin clasificar",IF(TODAY()&gt;$X121,"Vencida",IF(TODAY()&gt;=$X121-1,"Por vencer","En plazo")))))</f>
        <v/>
      </c>
      <c r="AB121" s="50" t="n"/>
      <c r="AC121" s="50" t="n"/>
    </row>
    <row r="122" ht="16" customHeight="1">
      <c r="A122" s="28">
        <f>IF($B122="","","N-"&amp;TEXT(ROW()-3,"0000"))</f>
        <v/>
      </c>
      <c r="B122" s="47" t="n"/>
      <c r="C122" s="48" t="n"/>
      <c r="D122" s="48" t="n"/>
      <c r="E122" s="28">
        <f>IF($C122="","",IF($D122="",IF($C122="Interna","Sin guía (interna)","FALTA GUÍA"),IF(COUNTIFS(ENVIOS!$A$4:$A$3003,$D122)=0,"NO EXISTE",IF(COUNTIFS(ENVIOS!$A$4:$A$3003,$D122)&gt;1,"DUPLICADA","OK"))))</f>
        <v/>
      </c>
      <c r="F122" s="28">
        <f>IF($D122="","",IFERROR(INDEX(ENVIOS!$B$4:$B$3003,MATCH($D122,ENVIOS!$A$4:$A$3003,0)),"—"))</f>
        <v/>
      </c>
      <c r="G122" s="23">
        <f>IF($D122="","",IFERROR(INDEX(ENVIOS!$D$4:$D$3003,MATCH($D122,ENVIOS!$A$4:$A$3003,0)),"—"))</f>
        <v/>
      </c>
      <c r="H122" s="23">
        <f>IF($D122="","",IFERROR(INDEX(ENVIOS!$E$4:$E$3003,MATCH($D122,ENVIOS!$A$4:$A$3003,0)),"—"))</f>
        <v/>
      </c>
      <c r="I122" s="23">
        <f>IF($D122="","",IFERROR(INDEX(ENVIOS!$F$4:$F$3003,MATCH($D122,ENVIOS!$A$4:$A$3003,0)),"—"))</f>
        <v/>
      </c>
      <c r="J122" s="23">
        <f>IF($D122="","",IFERROR(INDEX(ENVIOS!$G$4:$G$3003,MATCH($D122,ENVIOS!$A$4:$A$3003,0)),"—"))</f>
        <v/>
      </c>
      <c r="K122" s="28">
        <f>IF($D122="","",IFERROR(INDEX(ENVIOS!$H$4:$H$3003,MATCH($D122,ENVIOS!$A$4:$A$3003,0)),"—"))</f>
        <v/>
      </c>
      <c r="L122" s="49">
        <f>IF($D122="","",IFERROR(INDEX(ENVIOS!$C$4:$C$3003,MATCH($D122,ENVIOS!$A$4:$A$3003,0)),""))</f>
        <v/>
      </c>
      <c r="M122" s="50" t="n"/>
      <c r="N122" s="28">
        <f>IF($M122="","",IFERROR(INDEX(CONFIG!$C$4:$C$63,MATCH($M122,CONFIG!$A$4:$A$63,0)),"Media"))</f>
        <v/>
      </c>
      <c r="O122" s="28">
        <f>IF($M122="","",IF($C122="Interna","NO",IFERROR(INDEX(CONFIG!$E$4:$E$63,MATCH($M122,CONFIG!$A$4:$A$63,0)),"NO")))</f>
        <v/>
      </c>
      <c r="P122" s="50" t="n"/>
      <c r="Q122" s="50" t="n"/>
      <c r="R122" s="28">
        <f>IF($Q122="","",IFERROR(INDEX(CONFIG!$H$4:$H$63,MATCH($Q122,CONFIG!$G$4:$G$63,0)),"Por definir"))</f>
        <v/>
      </c>
      <c r="S122" s="28">
        <f>IF($Q122="","",IFERROR(INDEX(CONFIG!$I$4:$I$63,MATCH($Q122,CONFIG!$G$4:$G$63,0)),"Por definir"))</f>
        <v/>
      </c>
      <c r="T122" s="51" t="n"/>
      <c r="U122" s="52" t="n"/>
      <c r="V122" s="50" t="n"/>
      <c r="W122" s="50" t="n"/>
      <c r="X122" s="49">
        <f>IF(OR($B122="",$M122=""),"",WORKDAY($B122,IFERROR(INDEX(CONFIG!$D$4:$D$63,MATCH($M122,CONFIG!$A$4:$A$63,0)),3)))</f>
        <v/>
      </c>
      <c r="Y122" s="47" t="n"/>
      <c r="Z122" s="24">
        <f>IF($B122="","",IF($Y122&lt;&gt;"",$Y122-$B122,TODAY()-$B122))</f>
        <v/>
      </c>
      <c r="AA122" s="28">
        <f>IF($B122="","",IF(IFERROR(INDEX(CONFIG!$L$4:$L$63,MATCH($V122,CONFIG!$K$4:$K$63,0)),"NO")="SÍ",IF(OR($Y122="",$X122=""),"Resuelta",IF($Y122&gt;$X122,"Resuelta tarde","Resuelta a tiempo")),IF($X122="","Sin clasificar",IF(TODAY()&gt;$X122,"Vencida",IF(TODAY()&gt;=$X122-1,"Por vencer","En plazo")))))</f>
        <v/>
      </c>
      <c r="AB122" s="50" t="n"/>
      <c r="AC122" s="50" t="n"/>
    </row>
    <row r="123" ht="16" customHeight="1">
      <c r="A123" s="28">
        <f>IF($B123="","","N-"&amp;TEXT(ROW()-3,"0000"))</f>
        <v/>
      </c>
      <c r="B123" s="47" t="n"/>
      <c r="C123" s="48" t="n"/>
      <c r="D123" s="48" t="n"/>
      <c r="E123" s="28">
        <f>IF($C123="","",IF($D123="",IF($C123="Interna","Sin guía (interna)","FALTA GUÍA"),IF(COUNTIFS(ENVIOS!$A$4:$A$3003,$D123)=0,"NO EXISTE",IF(COUNTIFS(ENVIOS!$A$4:$A$3003,$D123)&gt;1,"DUPLICADA","OK"))))</f>
        <v/>
      </c>
      <c r="F123" s="28">
        <f>IF($D123="","",IFERROR(INDEX(ENVIOS!$B$4:$B$3003,MATCH($D123,ENVIOS!$A$4:$A$3003,0)),"—"))</f>
        <v/>
      </c>
      <c r="G123" s="23">
        <f>IF($D123="","",IFERROR(INDEX(ENVIOS!$D$4:$D$3003,MATCH($D123,ENVIOS!$A$4:$A$3003,0)),"—"))</f>
        <v/>
      </c>
      <c r="H123" s="23">
        <f>IF($D123="","",IFERROR(INDEX(ENVIOS!$E$4:$E$3003,MATCH($D123,ENVIOS!$A$4:$A$3003,0)),"—"))</f>
        <v/>
      </c>
      <c r="I123" s="23">
        <f>IF($D123="","",IFERROR(INDEX(ENVIOS!$F$4:$F$3003,MATCH($D123,ENVIOS!$A$4:$A$3003,0)),"—"))</f>
        <v/>
      </c>
      <c r="J123" s="23">
        <f>IF($D123="","",IFERROR(INDEX(ENVIOS!$G$4:$G$3003,MATCH($D123,ENVIOS!$A$4:$A$3003,0)),"—"))</f>
        <v/>
      </c>
      <c r="K123" s="28">
        <f>IF($D123="","",IFERROR(INDEX(ENVIOS!$H$4:$H$3003,MATCH($D123,ENVIOS!$A$4:$A$3003,0)),"—"))</f>
        <v/>
      </c>
      <c r="L123" s="49">
        <f>IF($D123="","",IFERROR(INDEX(ENVIOS!$C$4:$C$3003,MATCH($D123,ENVIOS!$A$4:$A$3003,0)),""))</f>
        <v/>
      </c>
      <c r="M123" s="50" t="n"/>
      <c r="N123" s="28">
        <f>IF($M123="","",IFERROR(INDEX(CONFIG!$C$4:$C$63,MATCH($M123,CONFIG!$A$4:$A$63,0)),"Media"))</f>
        <v/>
      </c>
      <c r="O123" s="28">
        <f>IF($M123="","",IF($C123="Interna","NO",IFERROR(INDEX(CONFIG!$E$4:$E$63,MATCH($M123,CONFIG!$A$4:$A$63,0)),"NO")))</f>
        <v/>
      </c>
      <c r="P123" s="50" t="n"/>
      <c r="Q123" s="50" t="n"/>
      <c r="R123" s="28">
        <f>IF($Q123="","",IFERROR(INDEX(CONFIG!$H$4:$H$63,MATCH($Q123,CONFIG!$G$4:$G$63,0)),"Por definir"))</f>
        <v/>
      </c>
      <c r="S123" s="28">
        <f>IF($Q123="","",IFERROR(INDEX(CONFIG!$I$4:$I$63,MATCH($Q123,CONFIG!$G$4:$G$63,0)),"Por definir"))</f>
        <v/>
      </c>
      <c r="T123" s="51" t="n"/>
      <c r="U123" s="52" t="n"/>
      <c r="V123" s="50" t="n"/>
      <c r="W123" s="50" t="n"/>
      <c r="X123" s="49">
        <f>IF(OR($B123="",$M123=""),"",WORKDAY($B123,IFERROR(INDEX(CONFIG!$D$4:$D$63,MATCH($M123,CONFIG!$A$4:$A$63,0)),3)))</f>
        <v/>
      </c>
      <c r="Y123" s="47" t="n"/>
      <c r="Z123" s="24">
        <f>IF($B123="","",IF($Y123&lt;&gt;"",$Y123-$B123,TODAY()-$B123))</f>
        <v/>
      </c>
      <c r="AA123" s="28">
        <f>IF($B123="","",IF(IFERROR(INDEX(CONFIG!$L$4:$L$63,MATCH($V123,CONFIG!$K$4:$K$63,0)),"NO")="SÍ",IF(OR($Y123="",$X123=""),"Resuelta",IF($Y123&gt;$X123,"Resuelta tarde","Resuelta a tiempo")),IF($X123="","Sin clasificar",IF(TODAY()&gt;$X123,"Vencida",IF(TODAY()&gt;=$X123-1,"Por vencer","En plazo")))))</f>
        <v/>
      </c>
      <c r="AB123" s="50" t="n"/>
      <c r="AC123" s="50" t="n"/>
    </row>
    <row r="124" ht="16" customHeight="1">
      <c r="A124" s="28">
        <f>IF($B124="","","N-"&amp;TEXT(ROW()-3,"0000"))</f>
        <v/>
      </c>
      <c r="B124" s="47" t="n"/>
      <c r="C124" s="48" t="n"/>
      <c r="D124" s="48" t="n"/>
      <c r="E124" s="28">
        <f>IF($C124="","",IF($D124="",IF($C124="Interna","Sin guía (interna)","FALTA GUÍA"),IF(COUNTIFS(ENVIOS!$A$4:$A$3003,$D124)=0,"NO EXISTE",IF(COUNTIFS(ENVIOS!$A$4:$A$3003,$D124)&gt;1,"DUPLICADA","OK"))))</f>
        <v/>
      </c>
      <c r="F124" s="28">
        <f>IF($D124="","",IFERROR(INDEX(ENVIOS!$B$4:$B$3003,MATCH($D124,ENVIOS!$A$4:$A$3003,0)),"—"))</f>
        <v/>
      </c>
      <c r="G124" s="23">
        <f>IF($D124="","",IFERROR(INDEX(ENVIOS!$D$4:$D$3003,MATCH($D124,ENVIOS!$A$4:$A$3003,0)),"—"))</f>
        <v/>
      </c>
      <c r="H124" s="23">
        <f>IF($D124="","",IFERROR(INDEX(ENVIOS!$E$4:$E$3003,MATCH($D124,ENVIOS!$A$4:$A$3003,0)),"—"))</f>
        <v/>
      </c>
      <c r="I124" s="23">
        <f>IF($D124="","",IFERROR(INDEX(ENVIOS!$F$4:$F$3003,MATCH($D124,ENVIOS!$A$4:$A$3003,0)),"—"))</f>
        <v/>
      </c>
      <c r="J124" s="23">
        <f>IF($D124="","",IFERROR(INDEX(ENVIOS!$G$4:$G$3003,MATCH($D124,ENVIOS!$A$4:$A$3003,0)),"—"))</f>
        <v/>
      </c>
      <c r="K124" s="28">
        <f>IF($D124="","",IFERROR(INDEX(ENVIOS!$H$4:$H$3003,MATCH($D124,ENVIOS!$A$4:$A$3003,0)),"—"))</f>
        <v/>
      </c>
      <c r="L124" s="49">
        <f>IF($D124="","",IFERROR(INDEX(ENVIOS!$C$4:$C$3003,MATCH($D124,ENVIOS!$A$4:$A$3003,0)),""))</f>
        <v/>
      </c>
      <c r="M124" s="50" t="n"/>
      <c r="N124" s="28">
        <f>IF($M124="","",IFERROR(INDEX(CONFIG!$C$4:$C$63,MATCH($M124,CONFIG!$A$4:$A$63,0)),"Media"))</f>
        <v/>
      </c>
      <c r="O124" s="28">
        <f>IF($M124="","",IF($C124="Interna","NO",IFERROR(INDEX(CONFIG!$E$4:$E$63,MATCH($M124,CONFIG!$A$4:$A$63,0)),"NO")))</f>
        <v/>
      </c>
      <c r="P124" s="50" t="n"/>
      <c r="Q124" s="50" t="n"/>
      <c r="R124" s="28">
        <f>IF($Q124="","",IFERROR(INDEX(CONFIG!$H$4:$H$63,MATCH($Q124,CONFIG!$G$4:$G$63,0)),"Por definir"))</f>
        <v/>
      </c>
      <c r="S124" s="28">
        <f>IF($Q124="","",IFERROR(INDEX(CONFIG!$I$4:$I$63,MATCH($Q124,CONFIG!$G$4:$G$63,0)),"Por definir"))</f>
        <v/>
      </c>
      <c r="T124" s="51" t="n"/>
      <c r="U124" s="52" t="n"/>
      <c r="V124" s="50" t="n"/>
      <c r="W124" s="50" t="n"/>
      <c r="X124" s="49">
        <f>IF(OR($B124="",$M124=""),"",WORKDAY($B124,IFERROR(INDEX(CONFIG!$D$4:$D$63,MATCH($M124,CONFIG!$A$4:$A$63,0)),3)))</f>
        <v/>
      </c>
      <c r="Y124" s="47" t="n"/>
      <c r="Z124" s="24">
        <f>IF($B124="","",IF($Y124&lt;&gt;"",$Y124-$B124,TODAY()-$B124))</f>
        <v/>
      </c>
      <c r="AA124" s="28">
        <f>IF($B124="","",IF(IFERROR(INDEX(CONFIG!$L$4:$L$63,MATCH($V124,CONFIG!$K$4:$K$63,0)),"NO")="SÍ",IF(OR($Y124="",$X124=""),"Resuelta",IF($Y124&gt;$X124,"Resuelta tarde","Resuelta a tiempo")),IF($X124="","Sin clasificar",IF(TODAY()&gt;$X124,"Vencida",IF(TODAY()&gt;=$X124-1,"Por vencer","En plazo")))))</f>
        <v/>
      </c>
      <c r="AB124" s="50" t="n"/>
      <c r="AC124" s="50" t="n"/>
    </row>
    <row r="125" ht="16" customHeight="1">
      <c r="A125" s="28">
        <f>IF($B125="","","N-"&amp;TEXT(ROW()-3,"0000"))</f>
        <v/>
      </c>
      <c r="B125" s="47" t="n"/>
      <c r="C125" s="48" t="n"/>
      <c r="D125" s="48" t="n"/>
      <c r="E125" s="28">
        <f>IF($C125="","",IF($D125="",IF($C125="Interna","Sin guía (interna)","FALTA GUÍA"),IF(COUNTIFS(ENVIOS!$A$4:$A$3003,$D125)=0,"NO EXISTE",IF(COUNTIFS(ENVIOS!$A$4:$A$3003,$D125)&gt;1,"DUPLICADA","OK"))))</f>
        <v/>
      </c>
      <c r="F125" s="28">
        <f>IF($D125="","",IFERROR(INDEX(ENVIOS!$B$4:$B$3003,MATCH($D125,ENVIOS!$A$4:$A$3003,0)),"—"))</f>
        <v/>
      </c>
      <c r="G125" s="23">
        <f>IF($D125="","",IFERROR(INDEX(ENVIOS!$D$4:$D$3003,MATCH($D125,ENVIOS!$A$4:$A$3003,0)),"—"))</f>
        <v/>
      </c>
      <c r="H125" s="23">
        <f>IF($D125="","",IFERROR(INDEX(ENVIOS!$E$4:$E$3003,MATCH($D125,ENVIOS!$A$4:$A$3003,0)),"—"))</f>
        <v/>
      </c>
      <c r="I125" s="23">
        <f>IF($D125="","",IFERROR(INDEX(ENVIOS!$F$4:$F$3003,MATCH($D125,ENVIOS!$A$4:$A$3003,0)),"—"))</f>
        <v/>
      </c>
      <c r="J125" s="23">
        <f>IF($D125="","",IFERROR(INDEX(ENVIOS!$G$4:$G$3003,MATCH($D125,ENVIOS!$A$4:$A$3003,0)),"—"))</f>
        <v/>
      </c>
      <c r="K125" s="28">
        <f>IF($D125="","",IFERROR(INDEX(ENVIOS!$H$4:$H$3003,MATCH($D125,ENVIOS!$A$4:$A$3003,0)),"—"))</f>
        <v/>
      </c>
      <c r="L125" s="49">
        <f>IF($D125="","",IFERROR(INDEX(ENVIOS!$C$4:$C$3003,MATCH($D125,ENVIOS!$A$4:$A$3003,0)),""))</f>
        <v/>
      </c>
      <c r="M125" s="50" t="n"/>
      <c r="N125" s="28">
        <f>IF($M125="","",IFERROR(INDEX(CONFIG!$C$4:$C$63,MATCH($M125,CONFIG!$A$4:$A$63,0)),"Media"))</f>
        <v/>
      </c>
      <c r="O125" s="28">
        <f>IF($M125="","",IF($C125="Interna","NO",IFERROR(INDEX(CONFIG!$E$4:$E$63,MATCH($M125,CONFIG!$A$4:$A$63,0)),"NO")))</f>
        <v/>
      </c>
      <c r="P125" s="50" t="n"/>
      <c r="Q125" s="50" t="n"/>
      <c r="R125" s="28">
        <f>IF($Q125="","",IFERROR(INDEX(CONFIG!$H$4:$H$63,MATCH($Q125,CONFIG!$G$4:$G$63,0)),"Por definir"))</f>
        <v/>
      </c>
      <c r="S125" s="28">
        <f>IF($Q125="","",IFERROR(INDEX(CONFIG!$I$4:$I$63,MATCH($Q125,CONFIG!$G$4:$G$63,0)),"Por definir"))</f>
        <v/>
      </c>
      <c r="T125" s="51" t="n"/>
      <c r="U125" s="52" t="n"/>
      <c r="V125" s="50" t="n"/>
      <c r="W125" s="50" t="n"/>
      <c r="X125" s="49">
        <f>IF(OR($B125="",$M125=""),"",WORKDAY($B125,IFERROR(INDEX(CONFIG!$D$4:$D$63,MATCH($M125,CONFIG!$A$4:$A$63,0)),3)))</f>
        <v/>
      </c>
      <c r="Y125" s="47" t="n"/>
      <c r="Z125" s="24">
        <f>IF($B125="","",IF($Y125&lt;&gt;"",$Y125-$B125,TODAY()-$B125))</f>
        <v/>
      </c>
      <c r="AA125" s="28">
        <f>IF($B125="","",IF(IFERROR(INDEX(CONFIG!$L$4:$L$63,MATCH($V125,CONFIG!$K$4:$K$63,0)),"NO")="SÍ",IF(OR($Y125="",$X125=""),"Resuelta",IF($Y125&gt;$X125,"Resuelta tarde","Resuelta a tiempo")),IF($X125="","Sin clasificar",IF(TODAY()&gt;$X125,"Vencida",IF(TODAY()&gt;=$X125-1,"Por vencer","En plazo")))))</f>
        <v/>
      </c>
      <c r="AB125" s="50" t="n"/>
      <c r="AC125" s="50" t="n"/>
    </row>
    <row r="126" ht="16" customHeight="1">
      <c r="A126" s="28">
        <f>IF($B126="","","N-"&amp;TEXT(ROW()-3,"0000"))</f>
        <v/>
      </c>
      <c r="B126" s="47" t="n"/>
      <c r="C126" s="48" t="n"/>
      <c r="D126" s="48" t="n"/>
      <c r="E126" s="28">
        <f>IF($C126="","",IF($D126="",IF($C126="Interna","Sin guía (interna)","FALTA GUÍA"),IF(COUNTIFS(ENVIOS!$A$4:$A$3003,$D126)=0,"NO EXISTE",IF(COUNTIFS(ENVIOS!$A$4:$A$3003,$D126)&gt;1,"DUPLICADA","OK"))))</f>
        <v/>
      </c>
      <c r="F126" s="28">
        <f>IF($D126="","",IFERROR(INDEX(ENVIOS!$B$4:$B$3003,MATCH($D126,ENVIOS!$A$4:$A$3003,0)),"—"))</f>
        <v/>
      </c>
      <c r="G126" s="23">
        <f>IF($D126="","",IFERROR(INDEX(ENVIOS!$D$4:$D$3003,MATCH($D126,ENVIOS!$A$4:$A$3003,0)),"—"))</f>
        <v/>
      </c>
      <c r="H126" s="23">
        <f>IF($D126="","",IFERROR(INDEX(ENVIOS!$E$4:$E$3003,MATCH($D126,ENVIOS!$A$4:$A$3003,0)),"—"))</f>
        <v/>
      </c>
      <c r="I126" s="23">
        <f>IF($D126="","",IFERROR(INDEX(ENVIOS!$F$4:$F$3003,MATCH($D126,ENVIOS!$A$4:$A$3003,0)),"—"))</f>
        <v/>
      </c>
      <c r="J126" s="23">
        <f>IF($D126="","",IFERROR(INDEX(ENVIOS!$G$4:$G$3003,MATCH($D126,ENVIOS!$A$4:$A$3003,0)),"—"))</f>
        <v/>
      </c>
      <c r="K126" s="28">
        <f>IF($D126="","",IFERROR(INDEX(ENVIOS!$H$4:$H$3003,MATCH($D126,ENVIOS!$A$4:$A$3003,0)),"—"))</f>
        <v/>
      </c>
      <c r="L126" s="49">
        <f>IF($D126="","",IFERROR(INDEX(ENVIOS!$C$4:$C$3003,MATCH($D126,ENVIOS!$A$4:$A$3003,0)),""))</f>
        <v/>
      </c>
      <c r="M126" s="50" t="n"/>
      <c r="N126" s="28">
        <f>IF($M126="","",IFERROR(INDEX(CONFIG!$C$4:$C$63,MATCH($M126,CONFIG!$A$4:$A$63,0)),"Media"))</f>
        <v/>
      </c>
      <c r="O126" s="28">
        <f>IF($M126="","",IF($C126="Interna","NO",IFERROR(INDEX(CONFIG!$E$4:$E$63,MATCH($M126,CONFIG!$A$4:$A$63,0)),"NO")))</f>
        <v/>
      </c>
      <c r="P126" s="50" t="n"/>
      <c r="Q126" s="50" t="n"/>
      <c r="R126" s="28">
        <f>IF($Q126="","",IFERROR(INDEX(CONFIG!$H$4:$H$63,MATCH($Q126,CONFIG!$G$4:$G$63,0)),"Por definir"))</f>
        <v/>
      </c>
      <c r="S126" s="28">
        <f>IF($Q126="","",IFERROR(INDEX(CONFIG!$I$4:$I$63,MATCH($Q126,CONFIG!$G$4:$G$63,0)),"Por definir"))</f>
        <v/>
      </c>
      <c r="T126" s="51" t="n"/>
      <c r="U126" s="52" t="n"/>
      <c r="V126" s="50" t="n"/>
      <c r="W126" s="50" t="n"/>
      <c r="X126" s="49">
        <f>IF(OR($B126="",$M126=""),"",WORKDAY($B126,IFERROR(INDEX(CONFIG!$D$4:$D$63,MATCH($M126,CONFIG!$A$4:$A$63,0)),3)))</f>
        <v/>
      </c>
      <c r="Y126" s="47" t="n"/>
      <c r="Z126" s="24">
        <f>IF($B126="","",IF($Y126&lt;&gt;"",$Y126-$B126,TODAY()-$B126))</f>
        <v/>
      </c>
      <c r="AA126" s="28">
        <f>IF($B126="","",IF(IFERROR(INDEX(CONFIG!$L$4:$L$63,MATCH($V126,CONFIG!$K$4:$K$63,0)),"NO")="SÍ",IF(OR($Y126="",$X126=""),"Resuelta",IF($Y126&gt;$X126,"Resuelta tarde","Resuelta a tiempo")),IF($X126="","Sin clasificar",IF(TODAY()&gt;$X126,"Vencida",IF(TODAY()&gt;=$X126-1,"Por vencer","En plazo")))))</f>
        <v/>
      </c>
      <c r="AB126" s="50" t="n"/>
      <c r="AC126" s="50" t="n"/>
    </row>
    <row r="127" ht="16" customHeight="1">
      <c r="A127" s="28">
        <f>IF($B127="","","N-"&amp;TEXT(ROW()-3,"0000"))</f>
        <v/>
      </c>
      <c r="B127" s="47" t="n"/>
      <c r="C127" s="48" t="n"/>
      <c r="D127" s="48" t="n"/>
      <c r="E127" s="28">
        <f>IF($C127="","",IF($D127="",IF($C127="Interna","Sin guía (interna)","FALTA GUÍA"),IF(COUNTIFS(ENVIOS!$A$4:$A$3003,$D127)=0,"NO EXISTE",IF(COUNTIFS(ENVIOS!$A$4:$A$3003,$D127)&gt;1,"DUPLICADA","OK"))))</f>
        <v/>
      </c>
      <c r="F127" s="28">
        <f>IF($D127="","",IFERROR(INDEX(ENVIOS!$B$4:$B$3003,MATCH($D127,ENVIOS!$A$4:$A$3003,0)),"—"))</f>
        <v/>
      </c>
      <c r="G127" s="23">
        <f>IF($D127="","",IFERROR(INDEX(ENVIOS!$D$4:$D$3003,MATCH($D127,ENVIOS!$A$4:$A$3003,0)),"—"))</f>
        <v/>
      </c>
      <c r="H127" s="23">
        <f>IF($D127="","",IFERROR(INDEX(ENVIOS!$E$4:$E$3003,MATCH($D127,ENVIOS!$A$4:$A$3003,0)),"—"))</f>
        <v/>
      </c>
      <c r="I127" s="23">
        <f>IF($D127="","",IFERROR(INDEX(ENVIOS!$F$4:$F$3003,MATCH($D127,ENVIOS!$A$4:$A$3003,0)),"—"))</f>
        <v/>
      </c>
      <c r="J127" s="23">
        <f>IF($D127="","",IFERROR(INDEX(ENVIOS!$G$4:$G$3003,MATCH($D127,ENVIOS!$A$4:$A$3003,0)),"—"))</f>
        <v/>
      </c>
      <c r="K127" s="28">
        <f>IF($D127="","",IFERROR(INDEX(ENVIOS!$H$4:$H$3003,MATCH($D127,ENVIOS!$A$4:$A$3003,0)),"—"))</f>
        <v/>
      </c>
      <c r="L127" s="49">
        <f>IF($D127="","",IFERROR(INDEX(ENVIOS!$C$4:$C$3003,MATCH($D127,ENVIOS!$A$4:$A$3003,0)),""))</f>
        <v/>
      </c>
      <c r="M127" s="50" t="n"/>
      <c r="N127" s="28">
        <f>IF($M127="","",IFERROR(INDEX(CONFIG!$C$4:$C$63,MATCH($M127,CONFIG!$A$4:$A$63,0)),"Media"))</f>
        <v/>
      </c>
      <c r="O127" s="28">
        <f>IF($M127="","",IF($C127="Interna","NO",IFERROR(INDEX(CONFIG!$E$4:$E$63,MATCH($M127,CONFIG!$A$4:$A$63,0)),"NO")))</f>
        <v/>
      </c>
      <c r="P127" s="50" t="n"/>
      <c r="Q127" s="50" t="n"/>
      <c r="R127" s="28">
        <f>IF($Q127="","",IFERROR(INDEX(CONFIG!$H$4:$H$63,MATCH($Q127,CONFIG!$G$4:$G$63,0)),"Por definir"))</f>
        <v/>
      </c>
      <c r="S127" s="28">
        <f>IF($Q127="","",IFERROR(INDEX(CONFIG!$I$4:$I$63,MATCH($Q127,CONFIG!$G$4:$G$63,0)),"Por definir"))</f>
        <v/>
      </c>
      <c r="T127" s="51" t="n"/>
      <c r="U127" s="52" t="n"/>
      <c r="V127" s="50" t="n"/>
      <c r="W127" s="50" t="n"/>
      <c r="X127" s="49">
        <f>IF(OR($B127="",$M127=""),"",WORKDAY($B127,IFERROR(INDEX(CONFIG!$D$4:$D$63,MATCH($M127,CONFIG!$A$4:$A$63,0)),3)))</f>
        <v/>
      </c>
      <c r="Y127" s="47" t="n"/>
      <c r="Z127" s="24">
        <f>IF($B127="","",IF($Y127&lt;&gt;"",$Y127-$B127,TODAY()-$B127))</f>
        <v/>
      </c>
      <c r="AA127" s="28">
        <f>IF($B127="","",IF(IFERROR(INDEX(CONFIG!$L$4:$L$63,MATCH($V127,CONFIG!$K$4:$K$63,0)),"NO")="SÍ",IF(OR($Y127="",$X127=""),"Resuelta",IF($Y127&gt;$X127,"Resuelta tarde","Resuelta a tiempo")),IF($X127="","Sin clasificar",IF(TODAY()&gt;$X127,"Vencida",IF(TODAY()&gt;=$X127-1,"Por vencer","En plazo")))))</f>
        <v/>
      </c>
      <c r="AB127" s="50" t="n"/>
      <c r="AC127" s="50" t="n"/>
    </row>
    <row r="128" ht="16" customHeight="1">
      <c r="A128" s="28">
        <f>IF($B128="","","N-"&amp;TEXT(ROW()-3,"0000"))</f>
        <v/>
      </c>
      <c r="B128" s="47" t="n"/>
      <c r="C128" s="48" t="n"/>
      <c r="D128" s="48" t="n"/>
      <c r="E128" s="28">
        <f>IF($C128="","",IF($D128="",IF($C128="Interna","Sin guía (interna)","FALTA GUÍA"),IF(COUNTIFS(ENVIOS!$A$4:$A$3003,$D128)=0,"NO EXISTE",IF(COUNTIFS(ENVIOS!$A$4:$A$3003,$D128)&gt;1,"DUPLICADA","OK"))))</f>
        <v/>
      </c>
      <c r="F128" s="28">
        <f>IF($D128="","",IFERROR(INDEX(ENVIOS!$B$4:$B$3003,MATCH($D128,ENVIOS!$A$4:$A$3003,0)),"—"))</f>
        <v/>
      </c>
      <c r="G128" s="23">
        <f>IF($D128="","",IFERROR(INDEX(ENVIOS!$D$4:$D$3003,MATCH($D128,ENVIOS!$A$4:$A$3003,0)),"—"))</f>
        <v/>
      </c>
      <c r="H128" s="23">
        <f>IF($D128="","",IFERROR(INDEX(ENVIOS!$E$4:$E$3003,MATCH($D128,ENVIOS!$A$4:$A$3003,0)),"—"))</f>
        <v/>
      </c>
      <c r="I128" s="23">
        <f>IF($D128="","",IFERROR(INDEX(ENVIOS!$F$4:$F$3003,MATCH($D128,ENVIOS!$A$4:$A$3003,0)),"—"))</f>
        <v/>
      </c>
      <c r="J128" s="23">
        <f>IF($D128="","",IFERROR(INDEX(ENVIOS!$G$4:$G$3003,MATCH($D128,ENVIOS!$A$4:$A$3003,0)),"—"))</f>
        <v/>
      </c>
      <c r="K128" s="28">
        <f>IF($D128="","",IFERROR(INDEX(ENVIOS!$H$4:$H$3003,MATCH($D128,ENVIOS!$A$4:$A$3003,0)),"—"))</f>
        <v/>
      </c>
      <c r="L128" s="49">
        <f>IF($D128="","",IFERROR(INDEX(ENVIOS!$C$4:$C$3003,MATCH($D128,ENVIOS!$A$4:$A$3003,0)),""))</f>
        <v/>
      </c>
      <c r="M128" s="50" t="n"/>
      <c r="N128" s="28">
        <f>IF($M128="","",IFERROR(INDEX(CONFIG!$C$4:$C$63,MATCH($M128,CONFIG!$A$4:$A$63,0)),"Media"))</f>
        <v/>
      </c>
      <c r="O128" s="28">
        <f>IF($M128="","",IF($C128="Interna","NO",IFERROR(INDEX(CONFIG!$E$4:$E$63,MATCH($M128,CONFIG!$A$4:$A$63,0)),"NO")))</f>
        <v/>
      </c>
      <c r="P128" s="50" t="n"/>
      <c r="Q128" s="50" t="n"/>
      <c r="R128" s="28">
        <f>IF($Q128="","",IFERROR(INDEX(CONFIG!$H$4:$H$63,MATCH($Q128,CONFIG!$G$4:$G$63,0)),"Por definir"))</f>
        <v/>
      </c>
      <c r="S128" s="28">
        <f>IF($Q128="","",IFERROR(INDEX(CONFIG!$I$4:$I$63,MATCH($Q128,CONFIG!$G$4:$G$63,0)),"Por definir"))</f>
        <v/>
      </c>
      <c r="T128" s="51" t="n"/>
      <c r="U128" s="52" t="n"/>
      <c r="V128" s="50" t="n"/>
      <c r="W128" s="50" t="n"/>
      <c r="X128" s="49">
        <f>IF(OR($B128="",$M128=""),"",WORKDAY($B128,IFERROR(INDEX(CONFIG!$D$4:$D$63,MATCH($M128,CONFIG!$A$4:$A$63,0)),3)))</f>
        <v/>
      </c>
      <c r="Y128" s="47" t="n"/>
      <c r="Z128" s="24">
        <f>IF($B128="","",IF($Y128&lt;&gt;"",$Y128-$B128,TODAY()-$B128))</f>
        <v/>
      </c>
      <c r="AA128" s="28">
        <f>IF($B128="","",IF(IFERROR(INDEX(CONFIG!$L$4:$L$63,MATCH($V128,CONFIG!$K$4:$K$63,0)),"NO")="SÍ",IF(OR($Y128="",$X128=""),"Resuelta",IF($Y128&gt;$X128,"Resuelta tarde","Resuelta a tiempo")),IF($X128="","Sin clasificar",IF(TODAY()&gt;$X128,"Vencida",IF(TODAY()&gt;=$X128-1,"Por vencer","En plazo")))))</f>
        <v/>
      </c>
      <c r="AB128" s="50" t="n"/>
      <c r="AC128" s="50" t="n"/>
    </row>
    <row r="129" ht="16" customHeight="1">
      <c r="A129" s="28">
        <f>IF($B129="","","N-"&amp;TEXT(ROW()-3,"0000"))</f>
        <v/>
      </c>
      <c r="B129" s="47" t="n"/>
      <c r="C129" s="48" t="n"/>
      <c r="D129" s="48" t="n"/>
      <c r="E129" s="28">
        <f>IF($C129="","",IF($D129="",IF($C129="Interna","Sin guía (interna)","FALTA GUÍA"),IF(COUNTIFS(ENVIOS!$A$4:$A$3003,$D129)=0,"NO EXISTE",IF(COUNTIFS(ENVIOS!$A$4:$A$3003,$D129)&gt;1,"DUPLICADA","OK"))))</f>
        <v/>
      </c>
      <c r="F129" s="28">
        <f>IF($D129="","",IFERROR(INDEX(ENVIOS!$B$4:$B$3003,MATCH($D129,ENVIOS!$A$4:$A$3003,0)),"—"))</f>
        <v/>
      </c>
      <c r="G129" s="23">
        <f>IF($D129="","",IFERROR(INDEX(ENVIOS!$D$4:$D$3003,MATCH($D129,ENVIOS!$A$4:$A$3003,0)),"—"))</f>
        <v/>
      </c>
      <c r="H129" s="23">
        <f>IF($D129="","",IFERROR(INDEX(ENVIOS!$E$4:$E$3003,MATCH($D129,ENVIOS!$A$4:$A$3003,0)),"—"))</f>
        <v/>
      </c>
      <c r="I129" s="23">
        <f>IF($D129="","",IFERROR(INDEX(ENVIOS!$F$4:$F$3003,MATCH($D129,ENVIOS!$A$4:$A$3003,0)),"—"))</f>
        <v/>
      </c>
      <c r="J129" s="23">
        <f>IF($D129="","",IFERROR(INDEX(ENVIOS!$G$4:$G$3003,MATCH($D129,ENVIOS!$A$4:$A$3003,0)),"—"))</f>
        <v/>
      </c>
      <c r="K129" s="28">
        <f>IF($D129="","",IFERROR(INDEX(ENVIOS!$H$4:$H$3003,MATCH($D129,ENVIOS!$A$4:$A$3003,0)),"—"))</f>
        <v/>
      </c>
      <c r="L129" s="49">
        <f>IF($D129="","",IFERROR(INDEX(ENVIOS!$C$4:$C$3003,MATCH($D129,ENVIOS!$A$4:$A$3003,0)),""))</f>
        <v/>
      </c>
      <c r="M129" s="50" t="n"/>
      <c r="N129" s="28">
        <f>IF($M129="","",IFERROR(INDEX(CONFIG!$C$4:$C$63,MATCH($M129,CONFIG!$A$4:$A$63,0)),"Media"))</f>
        <v/>
      </c>
      <c r="O129" s="28">
        <f>IF($M129="","",IF($C129="Interna","NO",IFERROR(INDEX(CONFIG!$E$4:$E$63,MATCH($M129,CONFIG!$A$4:$A$63,0)),"NO")))</f>
        <v/>
      </c>
      <c r="P129" s="50" t="n"/>
      <c r="Q129" s="50" t="n"/>
      <c r="R129" s="28">
        <f>IF($Q129="","",IFERROR(INDEX(CONFIG!$H$4:$H$63,MATCH($Q129,CONFIG!$G$4:$G$63,0)),"Por definir"))</f>
        <v/>
      </c>
      <c r="S129" s="28">
        <f>IF($Q129="","",IFERROR(INDEX(CONFIG!$I$4:$I$63,MATCH($Q129,CONFIG!$G$4:$G$63,0)),"Por definir"))</f>
        <v/>
      </c>
      <c r="T129" s="51" t="n"/>
      <c r="U129" s="52" t="n"/>
      <c r="V129" s="50" t="n"/>
      <c r="W129" s="50" t="n"/>
      <c r="X129" s="49">
        <f>IF(OR($B129="",$M129=""),"",WORKDAY($B129,IFERROR(INDEX(CONFIG!$D$4:$D$63,MATCH($M129,CONFIG!$A$4:$A$63,0)),3)))</f>
        <v/>
      </c>
      <c r="Y129" s="47" t="n"/>
      <c r="Z129" s="24">
        <f>IF($B129="","",IF($Y129&lt;&gt;"",$Y129-$B129,TODAY()-$B129))</f>
        <v/>
      </c>
      <c r="AA129" s="28">
        <f>IF($B129="","",IF(IFERROR(INDEX(CONFIG!$L$4:$L$63,MATCH($V129,CONFIG!$K$4:$K$63,0)),"NO")="SÍ",IF(OR($Y129="",$X129=""),"Resuelta",IF($Y129&gt;$X129,"Resuelta tarde","Resuelta a tiempo")),IF($X129="","Sin clasificar",IF(TODAY()&gt;$X129,"Vencida",IF(TODAY()&gt;=$X129-1,"Por vencer","En plazo")))))</f>
        <v/>
      </c>
      <c r="AB129" s="50" t="n"/>
      <c r="AC129" s="50" t="n"/>
    </row>
    <row r="130" ht="16" customHeight="1">
      <c r="A130" s="28">
        <f>IF($B130="","","N-"&amp;TEXT(ROW()-3,"0000"))</f>
        <v/>
      </c>
      <c r="B130" s="47" t="n"/>
      <c r="C130" s="48" t="n"/>
      <c r="D130" s="48" t="n"/>
      <c r="E130" s="28">
        <f>IF($C130="","",IF($D130="",IF($C130="Interna","Sin guía (interna)","FALTA GUÍA"),IF(COUNTIFS(ENVIOS!$A$4:$A$3003,$D130)=0,"NO EXISTE",IF(COUNTIFS(ENVIOS!$A$4:$A$3003,$D130)&gt;1,"DUPLICADA","OK"))))</f>
        <v/>
      </c>
      <c r="F130" s="28">
        <f>IF($D130="","",IFERROR(INDEX(ENVIOS!$B$4:$B$3003,MATCH($D130,ENVIOS!$A$4:$A$3003,0)),"—"))</f>
        <v/>
      </c>
      <c r="G130" s="23">
        <f>IF($D130="","",IFERROR(INDEX(ENVIOS!$D$4:$D$3003,MATCH($D130,ENVIOS!$A$4:$A$3003,0)),"—"))</f>
        <v/>
      </c>
      <c r="H130" s="23">
        <f>IF($D130="","",IFERROR(INDEX(ENVIOS!$E$4:$E$3003,MATCH($D130,ENVIOS!$A$4:$A$3003,0)),"—"))</f>
        <v/>
      </c>
      <c r="I130" s="23">
        <f>IF($D130="","",IFERROR(INDEX(ENVIOS!$F$4:$F$3003,MATCH($D130,ENVIOS!$A$4:$A$3003,0)),"—"))</f>
        <v/>
      </c>
      <c r="J130" s="23">
        <f>IF($D130="","",IFERROR(INDEX(ENVIOS!$G$4:$G$3003,MATCH($D130,ENVIOS!$A$4:$A$3003,0)),"—"))</f>
        <v/>
      </c>
      <c r="K130" s="28">
        <f>IF($D130="","",IFERROR(INDEX(ENVIOS!$H$4:$H$3003,MATCH($D130,ENVIOS!$A$4:$A$3003,0)),"—"))</f>
        <v/>
      </c>
      <c r="L130" s="49">
        <f>IF($D130="","",IFERROR(INDEX(ENVIOS!$C$4:$C$3003,MATCH($D130,ENVIOS!$A$4:$A$3003,0)),""))</f>
        <v/>
      </c>
      <c r="M130" s="50" t="n"/>
      <c r="N130" s="28">
        <f>IF($M130="","",IFERROR(INDEX(CONFIG!$C$4:$C$63,MATCH($M130,CONFIG!$A$4:$A$63,0)),"Media"))</f>
        <v/>
      </c>
      <c r="O130" s="28">
        <f>IF($M130="","",IF($C130="Interna","NO",IFERROR(INDEX(CONFIG!$E$4:$E$63,MATCH($M130,CONFIG!$A$4:$A$63,0)),"NO")))</f>
        <v/>
      </c>
      <c r="P130" s="50" t="n"/>
      <c r="Q130" s="50" t="n"/>
      <c r="R130" s="28">
        <f>IF($Q130="","",IFERROR(INDEX(CONFIG!$H$4:$H$63,MATCH($Q130,CONFIG!$G$4:$G$63,0)),"Por definir"))</f>
        <v/>
      </c>
      <c r="S130" s="28">
        <f>IF($Q130="","",IFERROR(INDEX(CONFIG!$I$4:$I$63,MATCH($Q130,CONFIG!$G$4:$G$63,0)),"Por definir"))</f>
        <v/>
      </c>
      <c r="T130" s="51" t="n"/>
      <c r="U130" s="52" t="n"/>
      <c r="V130" s="50" t="n"/>
      <c r="W130" s="50" t="n"/>
      <c r="X130" s="49">
        <f>IF(OR($B130="",$M130=""),"",WORKDAY($B130,IFERROR(INDEX(CONFIG!$D$4:$D$63,MATCH($M130,CONFIG!$A$4:$A$63,0)),3)))</f>
        <v/>
      </c>
      <c r="Y130" s="47" t="n"/>
      <c r="Z130" s="24">
        <f>IF($B130="","",IF($Y130&lt;&gt;"",$Y130-$B130,TODAY()-$B130))</f>
        <v/>
      </c>
      <c r="AA130" s="28">
        <f>IF($B130="","",IF(IFERROR(INDEX(CONFIG!$L$4:$L$63,MATCH($V130,CONFIG!$K$4:$K$63,0)),"NO")="SÍ",IF(OR($Y130="",$X130=""),"Resuelta",IF($Y130&gt;$X130,"Resuelta tarde","Resuelta a tiempo")),IF($X130="","Sin clasificar",IF(TODAY()&gt;$X130,"Vencida",IF(TODAY()&gt;=$X130-1,"Por vencer","En plazo")))))</f>
        <v/>
      </c>
      <c r="AB130" s="50" t="n"/>
      <c r="AC130" s="50" t="n"/>
    </row>
    <row r="131" ht="16" customHeight="1">
      <c r="A131" s="28">
        <f>IF($B131="","","N-"&amp;TEXT(ROW()-3,"0000"))</f>
        <v/>
      </c>
      <c r="B131" s="47" t="n"/>
      <c r="C131" s="48" t="n"/>
      <c r="D131" s="48" t="n"/>
      <c r="E131" s="28">
        <f>IF($C131="","",IF($D131="",IF($C131="Interna","Sin guía (interna)","FALTA GUÍA"),IF(COUNTIFS(ENVIOS!$A$4:$A$3003,$D131)=0,"NO EXISTE",IF(COUNTIFS(ENVIOS!$A$4:$A$3003,$D131)&gt;1,"DUPLICADA","OK"))))</f>
        <v/>
      </c>
      <c r="F131" s="28">
        <f>IF($D131="","",IFERROR(INDEX(ENVIOS!$B$4:$B$3003,MATCH($D131,ENVIOS!$A$4:$A$3003,0)),"—"))</f>
        <v/>
      </c>
      <c r="G131" s="23">
        <f>IF($D131="","",IFERROR(INDEX(ENVIOS!$D$4:$D$3003,MATCH($D131,ENVIOS!$A$4:$A$3003,0)),"—"))</f>
        <v/>
      </c>
      <c r="H131" s="23">
        <f>IF($D131="","",IFERROR(INDEX(ENVIOS!$E$4:$E$3003,MATCH($D131,ENVIOS!$A$4:$A$3003,0)),"—"))</f>
        <v/>
      </c>
      <c r="I131" s="23">
        <f>IF($D131="","",IFERROR(INDEX(ENVIOS!$F$4:$F$3003,MATCH($D131,ENVIOS!$A$4:$A$3003,0)),"—"))</f>
        <v/>
      </c>
      <c r="J131" s="23">
        <f>IF($D131="","",IFERROR(INDEX(ENVIOS!$G$4:$G$3003,MATCH($D131,ENVIOS!$A$4:$A$3003,0)),"—"))</f>
        <v/>
      </c>
      <c r="K131" s="28">
        <f>IF($D131="","",IFERROR(INDEX(ENVIOS!$H$4:$H$3003,MATCH($D131,ENVIOS!$A$4:$A$3003,0)),"—"))</f>
        <v/>
      </c>
      <c r="L131" s="49">
        <f>IF($D131="","",IFERROR(INDEX(ENVIOS!$C$4:$C$3003,MATCH($D131,ENVIOS!$A$4:$A$3003,0)),""))</f>
        <v/>
      </c>
      <c r="M131" s="50" t="n"/>
      <c r="N131" s="28">
        <f>IF($M131="","",IFERROR(INDEX(CONFIG!$C$4:$C$63,MATCH($M131,CONFIG!$A$4:$A$63,0)),"Media"))</f>
        <v/>
      </c>
      <c r="O131" s="28">
        <f>IF($M131="","",IF($C131="Interna","NO",IFERROR(INDEX(CONFIG!$E$4:$E$63,MATCH($M131,CONFIG!$A$4:$A$63,0)),"NO")))</f>
        <v/>
      </c>
      <c r="P131" s="50" t="n"/>
      <c r="Q131" s="50" t="n"/>
      <c r="R131" s="28">
        <f>IF($Q131="","",IFERROR(INDEX(CONFIG!$H$4:$H$63,MATCH($Q131,CONFIG!$G$4:$G$63,0)),"Por definir"))</f>
        <v/>
      </c>
      <c r="S131" s="28">
        <f>IF($Q131="","",IFERROR(INDEX(CONFIG!$I$4:$I$63,MATCH($Q131,CONFIG!$G$4:$G$63,0)),"Por definir"))</f>
        <v/>
      </c>
      <c r="T131" s="51" t="n"/>
      <c r="U131" s="52" t="n"/>
      <c r="V131" s="50" t="n"/>
      <c r="W131" s="50" t="n"/>
      <c r="X131" s="49">
        <f>IF(OR($B131="",$M131=""),"",WORKDAY($B131,IFERROR(INDEX(CONFIG!$D$4:$D$63,MATCH($M131,CONFIG!$A$4:$A$63,0)),3)))</f>
        <v/>
      </c>
      <c r="Y131" s="47" t="n"/>
      <c r="Z131" s="24">
        <f>IF($B131="","",IF($Y131&lt;&gt;"",$Y131-$B131,TODAY()-$B131))</f>
        <v/>
      </c>
      <c r="AA131" s="28">
        <f>IF($B131="","",IF(IFERROR(INDEX(CONFIG!$L$4:$L$63,MATCH($V131,CONFIG!$K$4:$K$63,0)),"NO")="SÍ",IF(OR($Y131="",$X131=""),"Resuelta",IF($Y131&gt;$X131,"Resuelta tarde","Resuelta a tiempo")),IF($X131="","Sin clasificar",IF(TODAY()&gt;$X131,"Vencida",IF(TODAY()&gt;=$X131-1,"Por vencer","En plazo")))))</f>
        <v/>
      </c>
      <c r="AB131" s="50" t="n"/>
      <c r="AC131" s="50" t="n"/>
    </row>
    <row r="132" ht="16" customHeight="1">
      <c r="A132" s="28">
        <f>IF($B132="","","N-"&amp;TEXT(ROW()-3,"0000"))</f>
        <v/>
      </c>
      <c r="B132" s="47" t="n"/>
      <c r="C132" s="48" t="n"/>
      <c r="D132" s="48" t="n"/>
      <c r="E132" s="28">
        <f>IF($C132="","",IF($D132="",IF($C132="Interna","Sin guía (interna)","FALTA GUÍA"),IF(COUNTIFS(ENVIOS!$A$4:$A$3003,$D132)=0,"NO EXISTE",IF(COUNTIFS(ENVIOS!$A$4:$A$3003,$D132)&gt;1,"DUPLICADA","OK"))))</f>
        <v/>
      </c>
      <c r="F132" s="28">
        <f>IF($D132="","",IFERROR(INDEX(ENVIOS!$B$4:$B$3003,MATCH($D132,ENVIOS!$A$4:$A$3003,0)),"—"))</f>
        <v/>
      </c>
      <c r="G132" s="23">
        <f>IF($D132="","",IFERROR(INDEX(ENVIOS!$D$4:$D$3003,MATCH($D132,ENVIOS!$A$4:$A$3003,0)),"—"))</f>
        <v/>
      </c>
      <c r="H132" s="23">
        <f>IF($D132="","",IFERROR(INDEX(ENVIOS!$E$4:$E$3003,MATCH($D132,ENVIOS!$A$4:$A$3003,0)),"—"))</f>
        <v/>
      </c>
      <c r="I132" s="23">
        <f>IF($D132="","",IFERROR(INDEX(ENVIOS!$F$4:$F$3003,MATCH($D132,ENVIOS!$A$4:$A$3003,0)),"—"))</f>
        <v/>
      </c>
      <c r="J132" s="23">
        <f>IF($D132="","",IFERROR(INDEX(ENVIOS!$G$4:$G$3003,MATCH($D132,ENVIOS!$A$4:$A$3003,0)),"—"))</f>
        <v/>
      </c>
      <c r="K132" s="28">
        <f>IF($D132="","",IFERROR(INDEX(ENVIOS!$H$4:$H$3003,MATCH($D132,ENVIOS!$A$4:$A$3003,0)),"—"))</f>
        <v/>
      </c>
      <c r="L132" s="49">
        <f>IF($D132="","",IFERROR(INDEX(ENVIOS!$C$4:$C$3003,MATCH($D132,ENVIOS!$A$4:$A$3003,0)),""))</f>
        <v/>
      </c>
      <c r="M132" s="50" t="n"/>
      <c r="N132" s="28">
        <f>IF($M132="","",IFERROR(INDEX(CONFIG!$C$4:$C$63,MATCH($M132,CONFIG!$A$4:$A$63,0)),"Media"))</f>
        <v/>
      </c>
      <c r="O132" s="28">
        <f>IF($M132="","",IF($C132="Interna","NO",IFERROR(INDEX(CONFIG!$E$4:$E$63,MATCH($M132,CONFIG!$A$4:$A$63,0)),"NO")))</f>
        <v/>
      </c>
      <c r="P132" s="50" t="n"/>
      <c r="Q132" s="50" t="n"/>
      <c r="R132" s="28">
        <f>IF($Q132="","",IFERROR(INDEX(CONFIG!$H$4:$H$63,MATCH($Q132,CONFIG!$G$4:$G$63,0)),"Por definir"))</f>
        <v/>
      </c>
      <c r="S132" s="28">
        <f>IF($Q132="","",IFERROR(INDEX(CONFIG!$I$4:$I$63,MATCH($Q132,CONFIG!$G$4:$G$63,0)),"Por definir"))</f>
        <v/>
      </c>
      <c r="T132" s="51" t="n"/>
      <c r="U132" s="52" t="n"/>
      <c r="V132" s="50" t="n"/>
      <c r="W132" s="50" t="n"/>
      <c r="X132" s="49">
        <f>IF(OR($B132="",$M132=""),"",WORKDAY($B132,IFERROR(INDEX(CONFIG!$D$4:$D$63,MATCH($M132,CONFIG!$A$4:$A$63,0)),3)))</f>
        <v/>
      </c>
      <c r="Y132" s="47" t="n"/>
      <c r="Z132" s="24">
        <f>IF($B132="","",IF($Y132&lt;&gt;"",$Y132-$B132,TODAY()-$B132))</f>
        <v/>
      </c>
      <c r="AA132" s="28">
        <f>IF($B132="","",IF(IFERROR(INDEX(CONFIG!$L$4:$L$63,MATCH($V132,CONFIG!$K$4:$K$63,0)),"NO")="SÍ",IF(OR($Y132="",$X132=""),"Resuelta",IF($Y132&gt;$X132,"Resuelta tarde","Resuelta a tiempo")),IF($X132="","Sin clasificar",IF(TODAY()&gt;$X132,"Vencida",IF(TODAY()&gt;=$X132-1,"Por vencer","En plazo")))))</f>
        <v/>
      </c>
      <c r="AB132" s="50" t="n"/>
      <c r="AC132" s="50" t="n"/>
    </row>
    <row r="133" ht="16" customHeight="1">
      <c r="A133" s="28">
        <f>IF($B133="","","N-"&amp;TEXT(ROW()-3,"0000"))</f>
        <v/>
      </c>
      <c r="B133" s="47" t="n"/>
      <c r="C133" s="48" t="n"/>
      <c r="D133" s="48" t="n"/>
      <c r="E133" s="28">
        <f>IF($C133="","",IF($D133="",IF($C133="Interna","Sin guía (interna)","FALTA GUÍA"),IF(COUNTIFS(ENVIOS!$A$4:$A$3003,$D133)=0,"NO EXISTE",IF(COUNTIFS(ENVIOS!$A$4:$A$3003,$D133)&gt;1,"DUPLICADA","OK"))))</f>
        <v/>
      </c>
      <c r="F133" s="28">
        <f>IF($D133="","",IFERROR(INDEX(ENVIOS!$B$4:$B$3003,MATCH($D133,ENVIOS!$A$4:$A$3003,0)),"—"))</f>
        <v/>
      </c>
      <c r="G133" s="23">
        <f>IF($D133="","",IFERROR(INDEX(ENVIOS!$D$4:$D$3003,MATCH($D133,ENVIOS!$A$4:$A$3003,0)),"—"))</f>
        <v/>
      </c>
      <c r="H133" s="23">
        <f>IF($D133="","",IFERROR(INDEX(ENVIOS!$E$4:$E$3003,MATCH($D133,ENVIOS!$A$4:$A$3003,0)),"—"))</f>
        <v/>
      </c>
      <c r="I133" s="23">
        <f>IF($D133="","",IFERROR(INDEX(ENVIOS!$F$4:$F$3003,MATCH($D133,ENVIOS!$A$4:$A$3003,0)),"—"))</f>
        <v/>
      </c>
      <c r="J133" s="23">
        <f>IF($D133="","",IFERROR(INDEX(ENVIOS!$G$4:$G$3003,MATCH($D133,ENVIOS!$A$4:$A$3003,0)),"—"))</f>
        <v/>
      </c>
      <c r="K133" s="28">
        <f>IF($D133="","",IFERROR(INDEX(ENVIOS!$H$4:$H$3003,MATCH($D133,ENVIOS!$A$4:$A$3003,0)),"—"))</f>
        <v/>
      </c>
      <c r="L133" s="49">
        <f>IF($D133="","",IFERROR(INDEX(ENVIOS!$C$4:$C$3003,MATCH($D133,ENVIOS!$A$4:$A$3003,0)),""))</f>
        <v/>
      </c>
      <c r="M133" s="50" t="n"/>
      <c r="N133" s="28">
        <f>IF($M133="","",IFERROR(INDEX(CONFIG!$C$4:$C$63,MATCH($M133,CONFIG!$A$4:$A$63,0)),"Media"))</f>
        <v/>
      </c>
      <c r="O133" s="28">
        <f>IF($M133="","",IF($C133="Interna","NO",IFERROR(INDEX(CONFIG!$E$4:$E$63,MATCH($M133,CONFIG!$A$4:$A$63,0)),"NO")))</f>
        <v/>
      </c>
      <c r="P133" s="50" t="n"/>
      <c r="Q133" s="50" t="n"/>
      <c r="R133" s="28">
        <f>IF($Q133="","",IFERROR(INDEX(CONFIG!$H$4:$H$63,MATCH($Q133,CONFIG!$G$4:$G$63,0)),"Por definir"))</f>
        <v/>
      </c>
      <c r="S133" s="28">
        <f>IF($Q133="","",IFERROR(INDEX(CONFIG!$I$4:$I$63,MATCH($Q133,CONFIG!$G$4:$G$63,0)),"Por definir"))</f>
        <v/>
      </c>
      <c r="T133" s="51" t="n"/>
      <c r="U133" s="52" t="n"/>
      <c r="V133" s="50" t="n"/>
      <c r="W133" s="50" t="n"/>
      <c r="X133" s="49">
        <f>IF(OR($B133="",$M133=""),"",WORKDAY($B133,IFERROR(INDEX(CONFIG!$D$4:$D$63,MATCH($M133,CONFIG!$A$4:$A$63,0)),3)))</f>
        <v/>
      </c>
      <c r="Y133" s="47" t="n"/>
      <c r="Z133" s="24">
        <f>IF($B133="","",IF($Y133&lt;&gt;"",$Y133-$B133,TODAY()-$B133))</f>
        <v/>
      </c>
      <c r="AA133" s="28">
        <f>IF($B133="","",IF(IFERROR(INDEX(CONFIG!$L$4:$L$63,MATCH($V133,CONFIG!$K$4:$K$63,0)),"NO")="SÍ",IF(OR($Y133="",$X133=""),"Resuelta",IF($Y133&gt;$X133,"Resuelta tarde","Resuelta a tiempo")),IF($X133="","Sin clasificar",IF(TODAY()&gt;$X133,"Vencida",IF(TODAY()&gt;=$X133-1,"Por vencer","En plazo")))))</f>
        <v/>
      </c>
      <c r="AB133" s="50" t="n"/>
      <c r="AC133" s="50" t="n"/>
    </row>
    <row r="134" ht="16" customHeight="1">
      <c r="A134" s="28">
        <f>IF($B134="","","N-"&amp;TEXT(ROW()-3,"0000"))</f>
        <v/>
      </c>
      <c r="B134" s="47" t="n"/>
      <c r="C134" s="48" t="n"/>
      <c r="D134" s="48" t="n"/>
      <c r="E134" s="28">
        <f>IF($C134="","",IF($D134="",IF($C134="Interna","Sin guía (interna)","FALTA GUÍA"),IF(COUNTIFS(ENVIOS!$A$4:$A$3003,$D134)=0,"NO EXISTE",IF(COUNTIFS(ENVIOS!$A$4:$A$3003,$D134)&gt;1,"DUPLICADA","OK"))))</f>
        <v/>
      </c>
      <c r="F134" s="28">
        <f>IF($D134="","",IFERROR(INDEX(ENVIOS!$B$4:$B$3003,MATCH($D134,ENVIOS!$A$4:$A$3003,0)),"—"))</f>
        <v/>
      </c>
      <c r="G134" s="23">
        <f>IF($D134="","",IFERROR(INDEX(ENVIOS!$D$4:$D$3003,MATCH($D134,ENVIOS!$A$4:$A$3003,0)),"—"))</f>
        <v/>
      </c>
      <c r="H134" s="23">
        <f>IF($D134="","",IFERROR(INDEX(ENVIOS!$E$4:$E$3003,MATCH($D134,ENVIOS!$A$4:$A$3003,0)),"—"))</f>
        <v/>
      </c>
      <c r="I134" s="23">
        <f>IF($D134="","",IFERROR(INDEX(ENVIOS!$F$4:$F$3003,MATCH($D134,ENVIOS!$A$4:$A$3003,0)),"—"))</f>
        <v/>
      </c>
      <c r="J134" s="23">
        <f>IF($D134="","",IFERROR(INDEX(ENVIOS!$G$4:$G$3003,MATCH($D134,ENVIOS!$A$4:$A$3003,0)),"—"))</f>
        <v/>
      </c>
      <c r="K134" s="28">
        <f>IF($D134="","",IFERROR(INDEX(ENVIOS!$H$4:$H$3003,MATCH($D134,ENVIOS!$A$4:$A$3003,0)),"—"))</f>
        <v/>
      </c>
      <c r="L134" s="49">
        <f>IF($D134="","",IFERROR(INDEX(ENVIOS!$C$4:$C$3003,MATCH($D134,ENVIOS!$A$4:$A$3003,0)),""))</f>
        <v/>
      </c>
      <c r="M134" s="50" t="n"/>
      <c r="N134" s="28">
        <f>IF($M134="","",IFERROR(INDEX(CONFIG!$C$4:$C$63,MATCH($M134,CONFIG!$A$4:$A$63,0)),"Media"))</f>
        <v/>
      </c>
      <c r="O134" s="28">
        <f>IF($M134="","",IF($C134="Interna","NO",IFERROR(INDEX(CONFIG!$E$4:$E$63,MATCH($M134,CONFIG!$A$4:$A$63,0)),"NO")))</f>
        <v/>
      </c>
      <c r="P134" s="50" t="n"/>
      <c r="Q134" s="50" t="n"/>
      <c r="R134" s="28">
        <f>IF($Q134="","",IFERROR(INDEX(CONFIG!$H$4:$H$63,MATCH($Q134,CONFIG!$G$4:$G$63,0)),"Por definir"))</f>
        <v/>
      </c>
      <c r="S134" s="28">
        <f>IF($Q134="","",IFERROR(INDEX(CONFIG!$I$4:$I$63,MATCH($Q134,CONFIG!$G$4:$G$63,0)),"Por definir"))</f>
        <v/>
      </c>
      <c r="T134" s="51" t="n"/>
      <c r="U134" s="52" t="n"/>
      <c r="V134" s="50" t="n"/>
      <c r="W134" s="50" t="n"/>
      <c r="X134" s="49">
        <f>IF(OR($B134="",$M134=""),"",WORKDAY($B134,IFERROR(INDEX(CONFIG!$D$4:$D$63,MATCH($M134,CONFIG!$A$4:$A$63,0)),3)))</f>
        <v/>
      </c>
      <c r="Y134" s="47" t="n"/>
      <c r="Z134" s="24">
        <f>IF($B134="","",IF($Y134&lt;&gt;"",$Y134-$B134,TODAY()-$B134))</f>
        <v/>
      </c>
      <c r="AA134" s="28">
        <f>IF($B134="","",IF(IFERROR(INDEX(CONFIG!$L$4:$L$63,MATCH($V134,CONFIG!$K$4:$K$63,0)),"NO")="SÍ",IF(OR($Y134="",$X134=""),"Resuelta",IF($Y134&gt;$X134,"Resuelta tarde","Resuelta a tiempo")),IF($X134="","Sin clasificar",IF(TODAY()&gt;$X134,"Vencida",IF(TODAY()&gt;=$X134-1,"Por vencer","En plazo")))))</f>
        <v/>
      </c>
      <c r="AB134" s="50" t="n"/>
      <c r="AC134" s="50" t="n"/>
    </row>
    <row r="135" ht="16" customHeight="1">
      <c r="A135" s="28">
        <f>IF($B135="","","N-"&amp;TEXT(ROW()-3,"0000"))</f>
        <v/>
      </c>
      <c r="B135" s="47" t="n"/>
      <c r="C135" s="48" t="n"/>
      <c r="D135" s="48" t="n"/>
      <c r="E135" s="28">
        <f>IF($C135="","",IF($D135="",IF($C135="Interna","Sin guía (interna)","FALTA GUÍA"),IF(COUNTIFS(ENVIOS!$A$4:$A$3003,$D135)=0,"NO EXISTE",IF(COUNTIFS(ENVIOS!$A$4:$A$3003,$D135)&gt;1,"DUPLICADA","OK"))))</f>
        <v/>
      </c>
      <c r="F135" s="28">
        <f>IF($D135="","",IFERROR(INDEX(ENVIOS!$B$4:$B$3003,MATCH($D135,ENVIOS!$A$4:$A$3003,0)),"—"))</f>
        <v/>
      </c>
      <c r="G135" s="23">
        <f>IF($D135="","",IFERROR(INDEX(ENVIOS!$D$4:$D$3003,MATCH($D135,ENVIOS!$A$4:$A$3003,0)),"—"))</f>
        <v/>
      </c>
      <c r="H135" s="23">
        <f>IF($D135="","",IFERROR(INDEX(ENVIOS!$E$4:$E$3003,MATCH($D135,ENVIOS!$A$4:$A$3003,0)),"—"))</f>
        <v/>
      </c>
      <c r="I135" s="23">
        <f>IF($D135="","",IFERROR(INDEX(ENVIOS!$F$4:$F$3003,MATCH($D135,ENVIOS!$A$4:$A$3003,0)),"—"))</f>
        <v/>
      </c>
      <c r="J135" s="23">
        <f>IF($D135="","",IFERROR(INDEX(ENVIOS!$G$4:$G$3003,MATCH($D135,ENVIOS!$A$4:$A$3003,0)),"—"))</f>
        <v/>
      </c>
      <c r="K135" s="28">
        <f>IF($D135="","",IFERROR(INDEX(ENVIOS!$H$4:$H$3003,MATCH($D135,ENVIOS!$A$4:$A$3003,0)),"—"))</f>
        <v/>
      </c>
      <c r="L135" s="49">
        <f>IF($D135="","",IFERROR(INDEX(ENVIOS!$C$4:$C$3003,MATCH($D135,ENVIOS!$A$4:$A$3003,0)),""))</f>
        <v/>
      </c>
      <c r="M135" s="50" t="n"/>
      <c r="N135" s="28">
        <f>IF($M135="","",IFERROR(INDEX(CONFIG!$C$4:$C$63,MATCH($M135,CONFIG!$A$4:$A$63,0)),"Media"))</f>
        <v/>
      </c>
      <c r="O135" s="28">
        <f>IF($M135="","",IF($C135="Interna","NO",IFERROR(INDEX(CONFIG!$E$4:$E$63,MATCH($M135,CONFIG!$A$4:$A$63,0)),"NO")))</f>
        <v/>
      </c>
      <c r="P135" s="50" t="n"/>
      <c r="Q135" s="50" t="n"/>
      <c r="R135" s="28">
        <f>IF($Q135="","",IFERROR(INDEX(CONFIG!$H$4:$H$63,MATCH($Q135,CONFIG!$G$4:$G$63,0)),"Por definir"))</f>
        <v/>
      </c>
      <c r="S135" s="28">
        <f>IF($Q135="","",IFERROR(INDEX(CONFIG!$I$4:$I$63,MATCH($Q135,CONFIG!$G$4:$G$63,0)),"Por definir"))</f>
        <v/>
      </c>
      <c r="T135" s="51" t="n"/>
      <c r="U135" s="52" t="n"/>
      <c r="V135" s="50" t="n"/>
      <c r="W135" s="50" t="n"/>
      <c r="X135" s="49">
        <f>IF(OR($B135="",$M135=""),"",WORKDAY($B135,IFERROR(INDEX(CONFIG!$D$4:$D$63,MATCH($M135,CONFIG!$A$4:$A$63,0)),3)))</f>
        <v/>
      </c>
      <c r="Y135" s="47" t="n"/>
      <c r="Z135" s="24">
        <f>IF($B135="","",IF($Y135&lt;&gt;"",$Y135-$B135,TODAY()-$B135))</f>
        <v/>
      </c>
      <c r="AA135" s="28">
        <f>IF($B135="","",IF(IFERROR(INDEX(CONFIG!$L$4:$L$63,MATCH($V135,CONFIG!$K$4:$K$63,0)),"NO")="SÍ",IF(OR($Y135="",$X135=""),"Resuelta",IF($Y135&gt;$X135,"Resuelta tarde","Resuelta a tiempo")),IF($X135="","Sin clasificar",IF(TODAY()&gt;$X135,"Vencida",IF(TODAY()&gt;=$X135-1,"Por vencer","En plazo")))))</f>
        <v/>
      </c>
      <c r="AB135" s="50" t="n"/>
      <c r="AC135" s="50" t="n"/>
    </row>
    <row r="136" ht="16" customHeight="1">
      <c r="A136" s="28">
        <f>IF($B136="","","N-"&amp;TEXT(ROW()-3,"0000"))</f>
        <v/>
      </c>
      <c r="B136" s="47" t="n"/>
      <c r="C136" s="48" t="n"/>
      <c r="D136" s="48" t="n"/>
      <c r="E136" s="28">
        <f>IF($C136="","",IF($D136="",IF($C136="Interna","Sin guía (interna)","FALTA GUÍA"),IF(COUNTIFS(ENVIOS!$A$4:$A$3003,$D136)=0,"NO EXISTE",IF(COUNTIFS(ENVIOS!$A$4:$A$3003,$D136)&gt;1,"DUPLICADA","OK"))))</f>
        <v/>
      </c>
      <c r="F136" s="28">
        <f>IF($D136="","",IFERROR(INDEX(ENVIOS!$B$4:$B$3003,MATCH($D136,ENVIOS!$A$4:$A$3003,0)),"—"))</f>
        <v/>
      </c>
      <c r="G136" s="23">
        <f>IF($D136="","",IFERROR(INDEX(ENVIOS!$D$4:$D$3003,MATCH($D136,ENVIOS!$A$4:$A$3003,0)),"—"))</f>
        <v/>
      </c>
      <c r="H136" s="23">
        <f>IF($D136="","",IFERROR(INDEX(ENVIOS!$E$4:$E$3003,MATCH($D136,ENVIOS!$A$4:$A$3003,0)),"—"))</f>
        <v/>
      </c>
      <c r="I136" s="23">
        <f>IF($D136="","",IFERROR(INDEX(ENVIOS!$F$4:$F$3003,MATCH($D136,ENVIOS!$A$4:$A$3003,0)),"—"))</f>
        <v/>
      </c>
      <c r="J136" s="23">
        <f>IF($D136="","",IFERROR(INDEX(ENVIOS!$G$4:$G$3003,MATCH($D136,ENVIOS!$A$4:$A$3003,0)),"—"))</f>
        <v/>
      </c>
      <c r="K136" s="28">
        <f>IF($D136="","",IFERROR(INDEX(ENVIOS!$H$4:$H$3003,MATCH($D136,ENVIOS!$A$4:$A$3003,0)),"—"))</f>
        <v/>
      </c>
      <c r="L136" s="49">
        <f>IF($D136="","",IFERROR(INDEX(ENVIOS!$C$4:$C$3003,MATCH($D136,ENVIOS!$A$4:$A$3003,0)),""))</f>
        <v/>
      </c>
      <c r="M136" s="50" t="n"/>
      <c r="N136" s="28">
        <f>IF($M136="","",IFERROR(INDEX(CONFIG!$C$4:$C$63,MATCH($M136,CONFIG!$A$4:$A$63,0)),"Media"))</f>
        <v/>
      </c>
      <c r="O136" s="28">
        <f>IF($M136="","",IF($C136="Interna","NO",IFERROR(INDEX(CONFIG!$E$4:$E$63,MATCH($M136,CONFIG!$A$4:$A$63,0)),"NO")))</f>
        <v/>
      </c>
      <c r="P136" s="50" t="n"/>
      <c r="Q136" s="50" t="n"/>
      <c r="R136" s="28">
        <f>IF($Q136="","",IFERROR(INDEX(CONFIG!$H$4:$H$63,MATCH($Q136,CONFIG!$G$4:$G$63,0)),"Por definir"))</f>
        <v/>
      </c>
      <c r="S136" s="28">
        <f>IF($Q136="","",IFERROR(INDEX(CONFIG!$I$4:$I$63,MATCH($Q136,CONFIG!$G$4:$G$63,0)),"Por definir"))</f>
        <v/>
      </c>
      <c r="T136" s="51" t="n"/>
      <c r="U136" s="52" t="n"/>
      <c r="V136" s="50" t="n"/>
      <c r="W136" s="50" t="n"/>
      <c r="X136" s="49">
        <f>IF(OR($B136="",$M136=""),"",WORKDAY($B136,IFERROR(INDEX(CONFIG!$D$4:$D$63,MATCH($M136,CONFIG!$A$4:$A$63,0)),3)))</f>
        <v/>
      </c>
      <c r="Y136" s="47" t="n"/>
      <c r="Z136" s="24">
        <f>IF($B136="","",IF($Y136&lt;&gt;"",$Y136-$B136,TODAY()-$B136))</f>
        <v/>
      </c>
      <c r="AA136" s="28">
        <f>IF($B136="","",IF(IFERROR(INDEX(CONFIG!$L$4:$L$63,MATCH($V136,CONFIG!$K$4:$K$63,0)),"NO")="SÍ",IF(OR($Y136="",$X136=""),"Resuelta",IF($Y136&gt;$X136,"Resuelta tarde","Resuelta a tiempo")),IF($X136="","Sin clasificar",IF(TODAY()&gt;$X136,"Vencida",IF(TODAY()&gt;=$X136-1,"Por vencer","En plazo")))))</f>
        <v/>
      </c>
      <c r="AB136" s="50" t="n"/>
      <c r="AC136" s="50" t="n"/>
    </row>
    <row r="137" ht="16" customHeight="1">
      <c r="A137" s="28">
        <f>IF($B137="","","N-"&amp;TEXT(ROW()-3,"0000"))</f>
        <v/>
      </c>
      <c r="B137" s="47" t="n"/>
      <c r="C137" s="48" t="n"/>
      <c r="D137" s="48" t="n"/>
      <c r="E137" s="28">
        <f>IF($C137="","",IF($D137="",IF($C137="Interna","Sin guía (interna)","FALTA GUÍA"),IF(COUNTIFS(ENVIOS!$A$4:$A$3003,$D137)=0,"NO EXISTE",IF(COUNTIFS(ENVIOS!$A$4:$A$3003,$D137)&gt;1,"DUPLICADA","OK"))))</f>
        <v/>
      </c>
      <c r="F137" s="28">
        <f>IF($D137="","",IFERROR(INDEX(ENVIOS!$B$4:$B$3003,MATCH($D137,ENVIOS!$A$4:$A$3003,0)),"—"))</f>
        <v/>
      </c>
      <c r="G137" s="23">
        <f>IF($D137="","",IFERROR(INDEX(ENVIOS!$D$4:$D$3003,MATCH($D137,ENVIOS!$A$4:$A$3003,0)),"—"))</f>
        <v/>
      </c>
      <c r="H137" s="23">
        <f>IF($D137="","",IFERROR(INDEX(ENVIOS!$E$4:$E$3003,MATCH($D137,ENVIOS!$A$4:$A$3003,0)),"—"))</f>
        <v/>
      </c>
      <c r="I137" s="23">
        <f>IF($D137="","",IFERROR(INDEX(ENVIOS!$F$4:$F$3003,MATCH($D137,ENVIOS!$A$4:$A$3003,0)),"—"))</f>
        <v/>
      </c>
      <c r="J137" s="23">
        <f>IF($D137="","",IFERROR(INDEX(ENVIOS!$G$4:$G$3003,MATCH($D137,ENVIOS!$A$4:$A$3003,0)),"—"))</f>
        <v/>
      </c>
      <c r="K137" s="28">
        <f>IF($D137="","",IFERROR(INDEX(ENVIOS!$H$4:$H$3003,MATCH($D137,ENVIOS!$A$4:$A$3003,0)),"—"))</f>
        <v/>
      </c>
      <c r="L137" s="49">
        <f>IF($D137="","",IFERROR(INDEX(ENVIOS!$C$4:$C$3003,MATCH($D137,ENVIOS!$A$4:$A$3003,0)),""))</f>
        <v/>
      </c>
      <c r="M137" s="50" t="n"/>
      <c r="N137" s="28">
        <f>IF($M137="","",IFERROR(INDEX(CONFIG!$C$4:$C$63,MATCH($M137,CONFIG!$A$4:$A$63,0)),"Media"))</f>
        <v/>
      </c>
      <c r="O137" s="28">
        <f>IF($M137="","",IF($C137="Interna","NO",IFERROR(INDEX(CONFIG!$E$4:$E$63,MATCH($M137,CONFIG!$A$4:$A$63,0)),"NO")))</f>
        <v/>
      </c>
      <c r="P137" s="50" t="n"/>
      <c r="Q137" s="50" t="n"/>
      <c r="R137" s="28">
        <f>IF($Q137="","",IFERROR(INDEX(CONFIG!$H$4:$H$63,MATCH($Q137,CONFIG!$G$4:$G$63,0)),"Por definir"))</f>
        <v/>
      </c>
      <c r="S137" s="28">
        <f>IF($Q137="","",IFERROR(INDEX(CONFIG!$I$4:$I$63,MATCH($Q137,CONFIG!$G$4:$G$63,0)),"Por definir"))</f>
        <v/>
      </c>
      <c r="T137" s="51" t="n"/>
      <c r="U137" s="52" t="n"/>
      <c r="V137" s="50" t="n"/>
      <c r="W137" s="50" t="n"/>
      <c r="X137" s="49">
        <f>IF(OR($B137="",$M137=""),"",WORKDAY($B137,IFERROR(INDEX(CONFIG!$D$4:$D$63,MATCH($M137,CONFIG!$A$4:$A$63,0)),3)))</f>
        <v/>
      </c>
      <c r="Y137" s="47" t="n"/>
      <c r="Z137" s="24">
        <f>IF($B137="","",IF($Y137&lt;&gt;"",$Y137-$B137,TODAY()-$B137))</f>
        <v/>
      </c>
      <c r="AA137" s="28">
        <f>IF($B137="","",IF(IFERROR(INDEX(CONFIG!$L$4:$L$63,MATCH($V137,CONFIG!$K$4:$K$63,0)),"NO")="SÍ",IF(OR($Y137="",$X137=""),"Resuelta",IF($Y137&gt;$X137,"Resuelta tarde","Resuelta a tiempo")),IF($X137="","Sin clasificar",IF(TODAY()&gt;$X137,"Vencida",IF(TODAY()&gt;=$X137-1,"Por vencer","En plazo")))))</f>
        <v/>
      </c>
      <c r="AB137" s="50" t="n"/>
      <c r="AC137" s="50" t="n"/>
    </row>
    <row r="138" ht="16" customHeight="1">
      <c r="A138" s="28">
        <f>IF($B138="","","N-"&amp;TEXT(ROW()-3,"0000"))</f>
        <v/>
      </c>
      <c r="B138" s="47" t="n"/>
      <c r="C138" s="48" t="n"/>
      <c r="D138" s="48" t="n"/>
      <c r="E138" s="28">
        <f>IF($C138="","",IF($D138="",IF($C138="Interna","Sin guía (interna)","FALTA GUÍA"),IF(COUNTIFS(ENVIOS!$A$4:$A$3003,$D138)=0,"NO EXISTE",IF(COUNTIFS(ENVIOS!$A$4:$A$3003,$D138)&gt;1,"DUPLICADA","OK"))))</f>
        <v/>
      </c>
      <c r="F138" s="28">
        <f>IF($D138="","",IFERROR(INDEX(ENVIOS!$B$4:$B$3003,MATCH($D138,ENVIOS!$A$4:$A$3003,0)),"—"))</f>
        <v/>
      </c>
      <c r="G138" s="23">
        <f>IF($D138="","",IFERROR(INDEX(ENVIOS!$D$4:$D$3003,MATCH($D138,ENVIOS!$A$4:$A$3003,0)),"—"))</f>
        <v/>
      </c>
      <c r="H138" s="23">
        <f>IF($D138="","",IFERROR(INDEX(ENVIOS!$E$4:$E$3003,MATCH($D138,ENVIOS!$A$4:$A$3003,0)),"—"))</f>
        <v/>
      </c>
      <c r="I138" s="23">
        <f>IF($D138="","",IFERROR(INDEX(ENVIOS!$F$4:$F$3003,MATCH($D138,ENVIOS!$A$4:$A$3003,0)),"—"))</f>
        <v/>
      </c>
      <c r="J138" s="23">
        <f>IF($D138="","",IFERROR(INDEX(ENVIOS!$G$4:$G$3003,MATCH($D138,ENVIOS!$A$4:$A$3003,0)),"—"))</f>
        <v/>
      </c>
      <c r="K138" s="28">
        <f>IF($D138="","",IFERROR(INDEX(ENVIOS!$H$4:$H$3003,MATCH($D138,ENVIOS!$A$4:$A$3003,0)),"—"))</f>
        <v/>
      </c>
      <c r="L138" s="49">
        <f>IF($D138="","",IFERROR(INDEX(ENVIOS!$C$4:$C$3003,MATCH($D138,ENVIOS!$A$4:$A$3003,0)),""))</f>
        <v/>
      </c>
      <c r="M138" s="50" t="n"/>
      <c r="N138" s="28">
        <f>IF($M138="","",IFERROR(INDEX(CONFIG!$C$4:$C$63,MATCH($M138,CONFIG!$A$4:$A$63,0)),"Media"))</f>
        <v/>
      </c>
      <c r="O138" s="28">
        <f>IF($M138="","",IF($C138="Interna","NO",IFERROR(INDEX(CONFIG!$E$4:$E$63,MATCH($M138,CONFIG!$A$4:$A$63,0)),"NO")))</f>
        <v/>
      </c>
      <c r="P138" s="50" t="n"/>
      <c r="Q138" s="50" t="n"/>
      <c r="R138" s="28">
        <f>IF($Q138="","",IFERROR(INDEX(CONFIG!$H$4:$H$63,MATCH($Q138,CONFIG!$G$4:$G$63,0)),"Por definir"))</f>
        <v/>
      </c>
      <c r="S138" s="28">
        <f>IF($Q138="","",IFERROR(INDEX(CONFIG!$I$4:$I$63,MATCH($Q138,CONFIG!$G$4:$G$63,0)),"Por definir"))</f>
        <v/>
      </c>
      <c r="T138" s="51" t="n"/>
      <c r="U138" s="52" t="n"/>
      <c r="V138" s="50" t="n"/>
      <c r="W138" s="50" t="n"/>
      <c r="X138" s="49">
        <f>IF(OR($B138="",$M138=""),"",WORKDAY($B138,IFERROR(INDEX(CONFIG!$D$4:$D$63,MATCH($M138,CONFIG!$A$4:$A$63,0)),3)))</f>
        <v/>
      </c>
      <c r="Y138" s="47" t="n"/>
      <c r="Z138" s="24">
        <f>IF($B138="","",IF($Y138&lt;&gt;"",$Y138-$B138,TODAY()-$B138))</f>
        <v/>
      </c>
      <c r="AA138" s="28">
        <f>IF($B138="","",IF(IFERROR(INDEX(CONFIG!$L$4:$L$63,MATCH($V138,CONFIG!$K$4:$K$63,0)),"NO")="SÍ",IF(OR($Y138="",$X138=""),"Resuelta",IF($Y138&gt;$X138,"Resuelta tarde","Resuelta a tiempo")),IF($X138="","Sin clasificar",IF(TODAY()&gt;$X138,"Vencida",IF(TODAY()&gt;=$X138-1,"Por vencer","En plazo")))))</f>
        <v/>
      </c>
      <c r="AB138" s="50" t="n"/>
      <c r="AC138" s="50" t="n"/>
    </row>
    <row r="139" ht="16" customHeight="1">
      <c r="A139" s="28">
        <f>IF($B139="","","N-"&amp;TEXT(ROW()-3,"0000"))</f>
        <v/>
      </c>
      <c r="B139" s="47" t="n"/>
      <c r="C139" s="48" t="n"/>
      <c r="D139" s="48" t="n"/>
      <c r="E139" s="28">
        <f>IF($C139="","",IF($D139="",IF($C139="Interna","Sin guía (interna)","FALTA GUÍA"),IF(COUNTIFS(ENVIOS!$A$4:$A$3003,$D139)=0,"NO EXISTE",IF(COUNTIFS(ENVIOS!$A$4:$A$3003,$D139)&gt;1,"DUPLICADA","OK"))))</f>
        <v/>
      </c>
      <c r="F139" s="28">
        <f>IF($D139="","",IFERROR(INDEX(ENVIOS!$B$4:$B$3003,MATCH($D139,ENVIOS!$A$4:$A$3003,0)),"—"))</f>
        <v/>
      </c>
      <c r="G139" s="23">
        <f>IF($D139="","",IFERROR(INDEX(ENVIOS!$D$4:$D$3003,MATCH($D139,ENVIOS!$A$4:$A$3003,0)),"—"))</f>
        <v/>
      </c>
      <c r="H139" s="23">
        <f>IF($D139="","",IFERROR(INDEX(ENVIOS!$E$4:$E$3003,MATCH($D139,ENVIOS!$A$4:$A$3003,0)),"—"))</f>
        <v/>
      </c>
      <c r="I139" s="23">
        <f>IF($D139="","",IFERROR(INDEX(ENVIOS!$F$4:$F$3003,MATCH($D139,ENVIOS!$A$4:$A$3003,0)),"—"))</f>
        <v/>
      </c>
      <c r="J139" s="23">
        <f>IF($D139="","",IFERROR(INDEX(ENVIOS!$G$4:$G$3003,MATCH($D139,ENVIOS!$A$4:$A$3003,0)),"—"))</f>
        <v/>
      </c>
      <c r="K139" s="28">
        <f>IF($D139="","",IFERROR(INDEX(ENVIOS!$H$4:$H$3003,MATCH($D139,ENVIOS!$A$4:$A$3003,0)),"—"))</f>
        <v/>
      </c>
      <c r="L139" s="49">
        <f>IF($D139="","",IFERROR(INDEX(ENVIOS!$C$4:$C$3003,MATCH($D139,ENVIOS!$A$4:$A$3003,0)),""))</f>
        <v/>
      </c>
      <c r="M139" s="50" t="n"/>
      <c r="N139" s="28">
        <f>IF($M139="","",IFERROR(INDEX(CONFIG!$C$4:$C$63,MATCH($M139,CONFIG!$A$4:$A$63,0)),"Media"))</f>
        <v/>
      </c>
      <c r="O139" s="28">
        <f>IF($M139="","",IF($C139="Interna","NO",IFERROR(INDEX(CONFIG!$E$4:$E$63,MATCH($M139,CONFIG!$A$4:$A$63,0)),"NO")))</f>
        <v/>
      </c>
      <c r="P139" s="50" t="n"/>
      <c r="Q139" s="50" t="n"/>
      <c r="R139" s="28">
        <f>IF($Q139="","",IFERROR(INDEX(CONFIG!$H$4:$H$63,MATCH($Q139,CONFIG!$G$4:$G$63,0)),"Por definir"))</f>
        <v/>
      </c>
      <c r="S139" s="28">
        <f>IF($Q139="","",IFERROR(INDEX(CONFIG!$I$4:$I$63,MATCH($Q139,CONFIG!$G$4:$G$63,0)),"Por definir"))</f>
        <v/>
      </c>
      <c r="T139" s="51" t="n"/>
      <c r="U139" s="52" t="n"/>
      <c r="V139" s="50" t="n"/>
      <c r="W139" s="50" t="n"/>
      <c r="X139" s="49">
        <f>IF(OR($B139="",$M139=""),"",WORKDAY($B139,IFERROR(INDEX(CONFIG!$D$4:$D$63,MATCH($M139,CONFIG!$A$4:$A$63,0)),3)))</f>
        <v/>
      </c>
      <c r="Y139" s="47" t="n"/>
      <c r="Z139" s="24">
        <f>IF($B139="","",IF($Y139&lt;&gt;"",$Y139-$B139,TODAY()-$B139))</f>
        <v/>
      </c>
      <c r="AA139" s="28">
        <f>IF($B139="","",IF(IFERROR(INDEX(CONFIG!$L$4:$L$63,MATCH($V139,CONFIG!$K$4:$K$63,0)),"NO")="SÍ",IF(OR($Y139="",$X139=""),"Resuelta",IF($Y139&gt;$X139,"Resuelta tarde","Resuelta a tiempo")),IF($X139="","Sin clasificar",IF(TODAY()&gt;$X139,"Vencida",IF(TODAY()&gt;=$X139-1,"Por vencer","En plazo")))))</f>
        <v/>
      </c>
      <c r="AB139" s="50" t="n"/>
      <c r="AC139" s="50" t="n"/>
    </row>
    <row r="140" ht="16" customHeight="1">
      <c r="A140" s="28">
        <f>IF($B140="","","N-"&amp;TEXT(ROW()-3,"0000"))</f>
        <v/>
      </c>
      <c r="B140" s="47" t="n"/>
      <c r="C140" s="48" t="n"/>
      <c r="D140" s="48" t="n"/>
      <c r="E140" s="28">
        <f>IF($C140="","",IF($D140="",IF($C140="Interna","Sin guía (interna)","FALTA GUÍA"),IF(COUNTIFS(ENVIOS!$A$4:$A$3003,$D140)=0,"NO EXISTE",IF(COUNTIFS(ENVIOS!$A$4:$A$3003,$D140)&gt;1,"DUPLICADA","OK"))))</f>
        <v/>
      </c>
      <c r="F140" s="28">
        <f>IF($D140="","",IFERROR(INDEX(ENVIOS!$B$4:$B$3003,MATCH($D140,ENVIOS!$A$4:$A$3003,0)),"—"))</f>
        <v/>
      </c>
      <c r="G140" s="23">
        <f>IF($D140="","",IFERROR(INDEX(ENVIOS!$D$4:$D$3003,MATCH($D140,ENVIOS!$A$4:$A$3003,0)),"—"))</f>
        <v/>
      </c>
      <c r="H140" s="23">
        <f>IF($D140="","",IFERROR(INDEX(ENVIOS!$E$4:$E$3003,MATCH($D140,ENVIOS!$A$4:$A$3003,0)),"—"))</f>
        <v/>
      </c>
      <c r="I140" s="23">
        <f>IF($D140="","",IFERROR(INDEX(ENVIOS!$F$4:$F$3003,MATCH($D140,ENVIOS!$A$4:$A$3003,0)),"—"))</f>
        <v/>
      </c>
      <c r="J140" s="23">
        <f>IF($D140="","",IFERROR(INDEX(ENVIOS!$G$4:$G$3003,MATCH($D140,ENVIOS!$A$4:$A$3003,0)),"—"))</f>
        <v/>
      </c>
      <c r="K140" s="28">
        <f>IF($D140="","",IFERROR(INDEX(ENVIOS!$H$4:$H$3003,MATCH($D140,ENVIOS!$A$4:$A$3003,0)),"—"))</f>
        <v/>
      </c>
      <c r="L140" s="49">
        <f>IF($D140="","",IFERROR(INDEX(ENVIOS!$C$4:$C$3003,MATCH($D140,ENVIOS!$A$4:$A$3003,0)),""))</f>
        <v/>
      </c>
      <c r="M140" s="50" t="n"/>
      <c r="N140" s="28">
        <f>IF($M140="","",IFERROR(INDEX(CONFIG!$C$4:$C$63,MATCH($M140,CONFIG!$A$4:$A$63,0)),"Media"))</f>
        <v/>
      </c>
      <c r="O140" s="28">
        <f>IF($M140="","",IF($C140="Interna","NO",IFERROR(INDEX(CONFIG!$E$4:$E$63,MATCH($M140,CONFIG!$A$4:$A$63,0)),"NO")))</f>
        <v/>
      </c>
      <c r="P140" s="50" t="n"/>
      <c r="Q140" s="50" t="n"/>
      <c r="R140" s="28">
        <f>IF($Q140="","",IFERROR(INDEX(CONFIG!$H$4:$H$63,MATCH($Q140,CONFIG!$G$4:$G$63,0)),"Por definir"))</f>
        <v/>
      </c>
      <c r="S140" s="28">
        <f>IF($Q140="","",IFERROR(INDEX(CONFIG!$I$4:$I$63,MATCH($Q140,CONFIG!$G$4:$G$63,0)),"Por definir"))</f>
        <v/>
      </c>
      <c r="T140" s="51" t="n"/>
      <c r="U140" s="52" t="n"/>
      <c r="V140" s="50" t="n"/>
      <c r="W140" s="50" t="n"/>
      <c r="X140" s="49">
        <f>IF(OR($B140="",$M140=""),"",WORKDAY($B140,IFERROR(INDEX(CONFIG!$D$4:$D$63,MATCH($M140,CONFIG!$A$4:$A$63,0)),3)))</f>
        <v/>
      </c>
      <c r="Y140" s="47" t="n"/>
      <c r="Z140" s="24">
        <f>IF($B140="","",IF($Y140&lt;&gt;"",$Y140-$B140,TODAY()-$B140))</f>
        <v/>
      </c>
      <c r="AA140" s="28">
        <f>IF($B140="","",IF(IFERROR(INDEX(CONFIG!$L$4:$L$63,MATCH($V140,CONFIG!$K$4:$K$63,0)),"NO")="SÍ",IF(OR($Y140="",$X140=""),"Resuelta",IF($Y140&gt;$X140,"Resuelta tarde","Resuelta a tiempo")),IF($X140="","Sin clasificar",IF(TODAY()&gt;$X140,"Vencida",IF(TODAY()&gt;=$X140-1,"Por vencer","En plazo")))))</f>
        <v/>
      </c>
      <c r="AB140" s="50" t="n"/>
      <c r="AC140" s="50" t="n"/>
    </row>
    <row r="141" ht="16" customHeight="1">
      <c r="A141" s="28">
        <f>IF($B141="","","N-"&amp;TEXT(ROW()-3,"0000"))</f>
        <v/>
      </c>
      <c r="B141" s="47" t="n"/>
      <c r="C141" s="48" t="n"/>
      <c r="D141" s="48" t="n"/>
      <c r="E141" s="28">
        <f>IF($C141="","",IF($D141="",IF($C141="Interna","Sin guía (interna)","FALTA GUÍA"),IF(COUNTIFS(ENVIOS!$A$4:$A$3003,$D141)=0,"NO EXISTE",IF(COUNTIFS(ENVIOS!$A$4:$A$3003,$D141)&gt;1,"DUPLICADA","OK"))))</f>
        <v/>
      </c>
      <c r="F141" s="28">
        <f>IF($D141="","",IFERROR(INDEX(ENVIOS!$B$4:$B$3003,MATCH($D141,ENVIOS!$A$4:$A$3003,0)),"—"))</f>
        <v/>
      </c>
      <c r="G141" s="23">
        <f>IF($D141="","",IFERROR(INDEX(ENVIOS!$D$4:$D$3003,MATCH($D141,ENVIOS!$A$4:$A$3003,0)),"—"))</f>
        <v/>
      </c>
      <c r="H141" s="23">
        <f>IF($D141="","",IFERROR(INDEX(ENVIOS!$E$4:$E$3003,MATCH($D141,ENVIOS!$A$4:$A$3003,0)),"—"))</f>
        <v/>
      </c>
      <c r="I141" s="23">
        <f>IF($D141="","",IFERROR(INDEX(ENVIOS!$F$4:$F$3003,MATCH($D141,ENVIOS!$A$4:$A$3003,0)),"—"))</f>
        <v/>
      </c>
      <c r="J141" s="23">
        <f>IF($D141="","",IFERROR(INDEX(ENVIOS!$G$4:$G$3003,MATCH($D141,ENVIOS!$A$4:$A$3003,0)),"—"))</f>
        <v/>
      </c>
      <c r="K141" s="28">
        <f>IF($D141="","",IFERROR(INDEX(ENVIOS!$H$4:$H$3003,MATCH($D141,ENVIOS!$A$4:$A$3003,0)),"—"))</f>
        <v/>
      </c>
      <c r="L141" s="49">
        <f>IF($D141="","",IFERROR(INDEX(ENVIOS!$C$4:$C$3003,MATCH($D141,ENVIOS!$A$4:$A$3003,0)),""))</f>
        <v/>
      </c>
      <c r="M141" s="50" t="n"/>
      <c r="N141" s="28">
        <f>IF($M141="","",IFERROR(INDEX(CONFIG!$C$4:$C$63,MATCH($M141,CONFIG!$A$4:$A$63,0)),"Media"))</f>
        <v/>
      </c>
      <c r="O141" s="28">
        <f>IF($M141="","",IF($C141="Interna","NO",IFERROR(INDEX(CONFIG!$E$4:$E$63,MATCH($M141,CONFIG!$A$4:$A$63,0)),"NO")))</f>
        <v/>
      </c>
      <c r="P141" s="50" t="n"/>
      <c r="Q141" s="50" t="n"/>
      <c r="R141" s="28">
        <f>IF($Q141="","",IFERROR(INDEX(CONFIG!$H$4:$H$63,MATCH($Q141,CONFIG!$G$4:$G$63,0)),"Por definir"))</f>
        <v/>
      </c>
      <c r="S141" s="28">
        <f>IF($Q141="","",IFERROR(INDEX(CONFIG!$I$4:$I$63,MATCH($Q141,CONFIG!$G$4:$G$63,0)),"Por definir"))</f>
        <v/>
      </c>
      <c r="T141" s="51" t="n"/>
      <c r="U141" s="52" t="n"/>
      <c r="V141" s="50" t="n"/>
      <c r="W141" s="50" t="n"/>
      <c r="X141" s="49">
        <f>IF(OR($B141="",$M141=""),"",WORKDAY($B141,IFERROR(INDEX(CONFIG!$D$4:$D$63,MATCH($M141,CONFIG!$A$4:$A$63,0)),3)))</f>
        <v/>
      </c>
      <c r="Y141" s="47" t="n"/>
      <c r="Z141" s="24">
        <f>IF($B141="","",IF($Y141&lt;&gt;"",$Y141-$B141,TODAY()-$B141))</f>
        <v/>
      </c>
      <c r="AA141" s="28">
        <f>IF($B141="","",IF(IFERROR(INDEX(CONFIG!$L$4:$L$63,MATCH($V141,CONFIG!$K$4:$K$63,0)),"NO")="SÍ",IF(OR($Y141="",$X141=""),"Resuelta",IF($Y141&gt;$X141,"Resuelta tarde","Resuelta a tiempo")),IF($X141="","Sin clasificar",IF(TODAY()&gt;$X141,"Vencida",IF(TODAY()&gt;=$X141-1,"Por vencer","En plazo")))))</f>
        <v/>
      </c>
      <c r="AB141" s="50" t="n"/>
      <c r="AC141" s="50" t="n"/>
    </row>
    <row r="142" ht="16" customHeight="1">
      <c r="A142" s="28">
        <f>IF($B142="","","N-"&amp;TEXT(ROW()-3,"0000"))</f>
        <v/>
      </c>
      <c r="B142" s="47" t="n"/>
      <c r="C142" s="48" t="n"/>
      <c r="D142" s="48" t="n"/>
      <c r="E142" s="28">
        <f>IF($C142="","",IF($D142="",IF($C142="Interna","Sin guía (interna)","FALTA GUÍA"),IF(COUNTIFS(ENVIOS!$A$4:$A$3003,$D142)=0,"NO EXISTE",IF(COUNTIFS(ENVIOS!$A$4:$A$3003,$D142)&gt;1,"DUPLICADA","OK"))))</f>
        <v/>
      </c>
      <c r="F142" s="28">
        <f>IF($D142="","",IFERROR(INDEX(ENVIOS!$B$4:$B$3003,MATCH($D142,ENVIOS!$A$4:$A$3003,0)),"—"))</f>
        <v/>
      </c>
      <c r="G142" s="23">
        <f>IF($D142="","",IFERROR(INDEX(ENVIOS!$D$4:$D$3003,MATCH($D142,ENVIOS!$A$4:$A$3003,0)),"—"))</f>
        <v/>
      </c>
      <c r="H142" s="23">
        <f>IF($D142="","",IFERROR(INDEX(ENVIOS!$E$4:$E$3003,MATCH($D142,ENVIOS!$A$4:$A$3003,0)),"—"))</f>
        <v/>
      </c>
      <c r="I142" s="23">
        <f>IF($D142="","",IFERROR(INDEX(ENVIOS!$F$4:$F$3003,MATCH($D142,ENVIOS!$A$4:$A$3003,0)),"—"))</f>
        <v/>
      </c>
      <c r="J142" s="23">
        <f>IF($D142="","",IFERROR(INDEX(ENVIOS!$G$4:$G$3003,MATCH($D142,ENVIOS!$A$4:$A$3003,0)),"—"))</f>
        <v/>
      </c>
      <c r="K142" s="28">
        <f>IF($D142="","",IFERROR(INDEX(ENVIOS!$H$4:$H$3003,MATCH($D142,ENVIOS!$A$4:$A$3003,0)),"—"))</f>
        <v/>
      </c>
      <c r="L142" s="49">
        <f>IF($D142="","",IFERROR(INDEX(ENVIOS!$C$4:$C$3003,MATCH($D142,ENVIOS!$A$4:$A$3003,0)),""))</f>
        <v/>
      </c>
      <c r="M142" s="50" t="n"/>
      <c r="N142" s="28">
        <f>IF($M142="","",IFERROR(INDEX(CONFIG!$C$4:$C$63,MATCH($M142,CONFIG!$A$4:$A$63,0)),"Media"))</f>
        <v/>
      </c>
      <c r="O142" s="28">
        <f>IF($M142="","",IF($C142="Interna","NO",IFERROR(INDEX(CONFIG!$E$4:$E$63,MATCH($M142,CONFIG!$A$4:$A$63,0)),"NO")))</f>
        <v/>
      </c>
      <c r="P142" s="50" t="n"/>
      <c r="Q142" s="50" t="n"/>
      <c r="R142" s="28">
        <f>IF($Q142="","",IFERROR(INDEX(CONFIG!$H$4:$H$63,MATCH($Q142,CONFIG!$G$4:$G$63,0)),"Por definir"))</f>
        <v/>
      </c>
      <c r="S142" s="28">
        <f>IF($Q142="","",IFERROR(INDEX(CONFIG!$I$4:$I$63,MATCH($Q142,CONFIG!$G$4:$G$63,0)),"Por definir"))</f>
        <v/>
      </c>
      <c r="T142" s="51" t="n"/>
      <c r="U142" s="52" t="n"/>
      <c r="V142" s="50" t="n"/>
      <c r="W142" s="50" t="n"/>
      <c r="X142" s="49">
        <f>IF(OR($B142="",$M142=""),"",WORKDAY($B142,IFERROR(INDEX(CONFIG!$D$4:$D$63,MATCH($M142,CONFIG!$A$4:$A$63,0)),3)))</f>
        <v/>
      </c>
      <c r="Y142" s="47" t="n"/>
      <c r="Z142" s="24">
        <f>IF($B142="","",IF($Y142&lt;&gt;"",$Y142-$B142,TODAY()-$B142))</f>
        <v/>
      </c>
      <c r="AA142" s="28">
        <f>IF($B142="","",IF(IFERROR(INDEX(CONFIG!$L$4:$L$63,MATCH($V142,CONFIG!$K$4:$K$63,0)),"NO")="SÍ",IF(OR($Y142="",$X142=""),"Resuelta",IF($Y142&gt;$X142,"Resuelta tarde","Resuelta a tiempo")),IF($X142="","Sin clasificar",IF(TODAY()&gt;$X142,"Vencida",IF(TODAY()&gt;=$X142-1,"Por vencer","En plazo")))))</f>
        <v/>
      </c>
      <c r="AB142" s="50" t="n"/>
      <c r="AC142" s="50" t="n"/>
    </row>
    <row r="143" ht="16" customHeight="1">
      <c r="A143" s="28">
        <f>IF($B143="","","N-"&amp;TEXT(ROW()-3,"0000"))</f>
        <v/>
      </c>
      <c r="B143" s="47" t="n"/>
      <c r="C143" s="48" t="n"/>
      <c r="D143" s="48" t="n"/>
      <c r="E143" s="28">
        <f>IF($C143="","",IF($D143="",IF($C143="Interna","Sin guía (interna)","FALTA GUÍA"),IF(COUNTIFS(ENVIOS!$A$4:$A$3003,$D143)=0,"NO EXISTE",IF(COUNTIFS(ENVIOS!$A$4:$A$3003,$D143)&gt;1,"DUPLICADA","OK"))))</f>
        <v/>
      </c>
      <c r="F143" s="28">
        <f>IF($D143="","",IFERROR(INDEX(ENVIOS!$B$4:$B$3003,MATCH($D143,ENVIOS!$A$4:$A$3003,0)),"—"))</f>
        <v/>
      </c>
      <c r="G143" s="23">
        <f>IF($D143="","",IFERROR(INDEX(ENVIOS!$D$4:$D$3003,MATCH($D143,ENVIOS!$A$4:$A$3003,0)),"—"))</f>
        <v/>
      </c>
      <c r="H143" s="23">
        <f>IF($D143="","",IFERROR(INDEX(ENVIOS!$E$4:$E$3003,MATCH($D143,ENVIOS!$A$4:$A$3003,0)),"—"))</f>
        <v/>
      </c>
      <c r="I143" s="23">
        <f>IF($D143="","",IFERROR(INDEX(ENVIOS!$F$4:$F$3003,MATCH($D143,ENVIOS!$A$4:$A$3003,0)),"—"))</f>
        <v/>
      </c>
      <c r="J143" s="23">
        <f>IF($D143="","",IFERROR(INDEX(ENVIOS!$G$4:$G$3003,MATCH($D143,ENVIOS!$A$4:$A$3003,0)),"—"))</f>
        <v/>
      </c>
      <c r="K143" s="28">
        <f>IF($D143="","",IFERROR(INDEX(ENVIOS!$H$4:$H$3003,MATCH($D143,ENVIOS!$A$4:$A$3003,0)),"—"))</f>
        <v/>
      </c>
      <c r="L143" s="49">
        <f>IF($D143="","",IFERROR(INDEX(ENVIOS!$C$4:$C$3003,MATCH($D143,ENVIOS!$A$4:$A$3003,0)),""))</f>
        <v/>
      </c>
      <c r="M143" s="50" t="n"/>
      <c r="N143" s="28">
        <f>IF($M143="","",IFERROR(INDEX(CONFIG!$C$4:$C$63,MATCH($M143,CONFIG!$A$4:$A$63,0)),"Media"))</f>
        <v/>
      </c>
      <c r="O143" s="28">
        <f>IF($M143="","",IF($C143="Interna","NO",IFERROR(INDEX(CONFIG!$E$4:$E$63,MATCH($M143,CONFIG!$A$4:$A$63,0)),"NO")))</f>
        <v/>
      </c>
      <c r="P143" s="50" t="n"/>
      <c r="Q143" s="50" t="n"/>
      <c r="R143" s="28">
        <f>IF($Q143="","",IFERROR(INDEX(CONFIG!$H$4:$H$63,MATCH($Q143,CONFIG!$G$4:$G$63,0)),"Por definir"))</f>
        <v/>
      </c>
      <c r="S143" s="28">
        <f>IF($Q143="","",IFERROR(INDEX(CONFIG!$I$4:$I$63,MATCH($Q143,CONFIG!$G$4:$G$63,0)),"Por definir"))</f>
        <v/>
      </c>
      <c r="T143" s="51" t="n"/>
      <c r="U143" s="52" t="n"/>
      <c r="V143" s="50" t="n"/>
      <c r="W143" s="50" t="n"/>
      <c r="X143" s="49">
        <f>IF(OR($B143="",$M143=""),"",WORKDAY($B143,IFERROR(INDEX(CONFIG!$D$4:$D$63,MATCH($M143,CONFIG!$A$4:$A$63,0)),3)))</f>
        <v/>
      </c>
      <c r="Y143" s="47" t="n"/>
      <c r="Z143" s="24">
        <f>IF($B143="","",IF($Y143&lt;&gt;"",$Y143-$B143,TODAY()-$B143))</f>
        <v/>
      </c>
      <c r="AA143" s="28">
        <f>IF($B143="","",IF(IFERROR(INDEX(CONFIG!$L$4:$L$63,MATCH($V143,CONFIG!$K$4:$K$63,0)),"NO")="SÍ",IF(OR($Y143="",$X143=""),"Resuelta",IF($Y143&gt;$X143,"Resuelta tarde","Resuelta a tiempo")),IF($X143="","Sin clasificar",IF(TODAY()&gt;$X143,"Vencida",IF(TODAY()&gt;=$X143-1,"Por vencer","En plazo")))))</f>
        <v/>
      </c>
      <c r="AB143" s="50" t="n"/>
      <c r="AC143" s="50" t="n"/>
    </row>
    <row r="144" ht="16" customHeight="1">
      <c r="A144" s="28">
        <f>IF($B144="","","N-"&amp;TEXT(ROW()-3,"0000"))</f>
        <v/>
      </c>
      <c r="B144" s="47" t="n"/>
      <c r="C144" s="48" t="n"/>
      <c r="D144" s="48" t="n"/>
      <c r="E144" s="28">
        <f>IF($C144="","",IF($D144="",IF($C144="Interna","Sin guía (interna)","FALTA GUÍA"),IF(COUNTIFS(ENVIOS!$A$4:$A$3003,$D144)=0,"NO EXISTE",IF(COUNTIFS(ENVIOS!$A$4:$A$3003,$D144)&gt;1,"DUPLICADA","OK"))))</f>
        <v/>
      </c>
      <c r="F144" s="28">
        <f>IF($D144="","",IFERROR(INDEX(ENVIOS!$B$4:$B$3003,MATCH($D144,ENVIOS!$A$4:$A$3003,0)),"—"))</f>
        <v/>
      </c>
      <c r="G144" s="23">
        <f>IF($D144="","",IFERROR(INDEX(ENVIOS!$D$4:$D$3003,MATCH($D144,ENVIOS!$A$4:$A$3003,0)),"—"))</f>
        <v/>
      </c>
      <c r="H144" s="23">
        <f>IF($D144="","",IFERROR(INDEX(ENVIOS!$E$4:$E$3003,MATCH($D144,ENVIOS!$A$4:$A$3003,0)),"—"))</f>
        <v/>
      </c>
      <c r="I144" s="23">
        <f>IF($D144="","",IFERROR(INDEX(ENVIOS!$F$4:$F$3003,MATCH($D144,ENVIOS!$A$4:$A$3003,0)),"—"))</f>
        <v/>
      </c>
      <c r="J144" s="23">
        <f>IF($D144="","",IFERROR(INDEX(ENVIOS!$G$4:$G$3003,MATCH($D144,ENVIOS!$A$4:$A$3003,0)),"—"))</f>
        <v/>
      </c>
      <c r="K144" s="28">
        <f>IF($D144="","",IFERROR(INDEX(ENVIOS!$H$4:$H$3003,MATCH($D144,ENVIOS!$A$4:$A$3003,0)),"—"))</f>
        <v/>
      </c>
      <c r="L144" s="49">
        <f>IF($D144="","",IFERROR(INDEX(ENVIOS!$C$4:$C$3003,MATCH($D144,ENVIOS!$A$4:$A$3003,0)),""))</f>
        <v/>
      </c>
      <c r="M144" s="50" t="n"/>
      <c r="N144" s="28">
        <f>IF($M144="","",IFERROR(INDEX(CONFIG!$C$4:$C$63,MATCH($M144,CONFIG!$A$4:$A$63,0)),"Media"))</f>
        <v/>
      </c>
      <c r="O144" s="28">
        <f>IF($M144="","",IF($C144="Interna","NO",IFERROR(INDEX(CONFIG!$E$4:$E$63,MATCH($M144,CONFIG!$A$4:$A$63,0)),"NO")))</f>
        <v/>
      </c>
      <c r="P144" s="50" t="n"/>
      <c r="Q144" s="50" t="n"/>
      <c r="R144" s="28">
        <f>IF($Q144="","",IFERROR(INDEX(CONFIG!$H$4:$H$63,MATCH($Q144,CONFIG!$G$4:$G$63,0)),"Por definir"))</f>
        <v/>
      </c>
      <c r="S144" s="28">
        <f>IF($Q144="","",IFERROR(INDEX(CONFIG!$I$4:$I$63,MATCH($Q144,CONFIG!$G$4:$G$63,0)),"Por definir"))</f>
        <v/>
      </c>
      <c r="T144" s="51" t="n"/>
      <c r="U144" s="52" t="n"/>
      <c r="V144" s="50" t="n"/>
      <c r="W144" s="50" t="n"/>
      <c r="X144" s="49">
        <f>IF(OR($B144="",$M144=""),"",WORKDAY($B144,IFERROR(INDEX(CONFIG!$D$4:$D$63,MATCH($M144,CONFIG!$A$4:$A$63,0)),3)))</f>
        <v/>
      </c>
      <c r="Y144" s="47" t="n"/>
      <c r="Z144" s="24">
        <f>IF($B144="","",IF($Y144&lt;&gt;"",$Y144-$B144,TODAY()-$B144))</f>
        <v/>
      </c>
      <c r="AA144" s="28">
        <f>IF($B144="","",IF(IFERROR(INDEX(CONFIG!$L$4:$L$63,MATCH($V144,CONFIG!$K$4:$K$63,0)),"NO")="SÍ",IF(OR($Y144="",$X144=""),"Resuelta",IF($Y144&gt;$X144,"Resuelta tarde","Resuelta a tiempo")),IF($X144="","Sin clasificar",IF(TODAY()&gt;$X144,"Vencida",IF(TODAY()&gt;=$X144-1,"Por vencer","En plazo")))))</f>
        <v/>
      </c>
      <c r="AB144" s="50" t="n"/>
      <c r="AC144" s="50" t="n"/>
    </row>
    <row r="145" ht="16" customHeight="1">
      <c r="A145" s="28">
        <f>IF($B145="","","N-"&amp;TEXT(ROW()-3,"0000"))</f>
        <v/>
      </c>
      <c r="B145" s="47" t="n"/>
      <c r="C145" s="48" t="n"/>
      <c r="D145" s="48" t="n"/>
      <c r="E145" s="28">
        <f>IF($C145="","",IF($D145="",IF($C145="Interna","Sin guía (interna)","FALTA GUÍA"),IF(COUNTIFS(ENVIOS!$A$4:$A$3003,$D145)=0,"NO EXISTE",IF(COUNTIFS(ENVIOS!$A$4:$A$3003,$D145)&gt;1,"DUPLICADA","OK"))))</f>
        <v/>
      </c>
      <c r="F145" s="28">
        <f>IF($D145="","",IFERROR(INDEX(ENVIOS!$B$4:$B$3003,MATCH($D145,ENVIOS!$A$4:$A$3003,0)),"—"))</f>
        <v/>
      </c>
      <c r="G145" s="23">
        <f>IF($D145="","",IFERROR(INDEX(ENVIOS!$D$4:$D$3003,MATCH($D145,ENVIOS!$A$4:$A$3003,0)),"—"))</f>
        <v/>
      </c>
      <c r="H145" s="23">
        <f>IF($D145="","",IFERROR(INDEX(ENVIOS!$E$4:$E$3003,MATCH($D145,ENVIOS!$A$4:$A$3003,0)),"—"))</f>
        <v/>
      </c>
      <c r="I145" s="23">
        <f>IF($D145="","",IFERROR(INDEX(ENVIOS!$F$4:$F$3003,MATCH($D145,ENVIOS!$A$4:$A$3003,0)),"—"))</f>
        <v/>
      </c>
      <c r="J145" s="23">
        <f>IF($D145="","",IFERROR(INDEX(ENVIOS!$G$4:$G$3003,MATCH($D145,ENVIOS!$A$4:$A$3003,0)),"—"))</f>
        <v/>
      </c>
      <c r="K145" s="28">
        <f>IF($D145="","",IFERROR(INDEX(ENVIOS!$H$4:$H$3003,MATCH($D145,ENVIOS!$A$4:$A$3003,0)),"—"))</f>
        <v/>
      </c>
      <c r="L145" s="49">
        <f>IF($D145="","",IFERROR(INDEX(ENVIOS!$C$4:$C$3003,MATCH($D145,ENVIOS!$A$4:$A$3003,0)),""))</f>
        <v/>
      </c>
      <c r="M145" s="50" t="n"/>
      <c r="N145" s="28">
        <f>IF($M145="","",IFERROR(INDEX(CONFIG!$C$4:$C$63,MATCH($M145,CONFIG!$A$4:$A$63,0)),"Media"))</f>
        <v/>
      </c>
      <c r="O145" s="28">
        <f>IF($M145="","",IF($C145="Interna","NO",IFERROR(INDEX(CONFIG!$E$4:$E$63,MATCH($M145,CONFIG!$A$4:$A$63,0)),"NO")))</f>
        <v/>
      </c>
      <c r="P145" s="50" t="n"/>
      <c r="Q145" s="50" t="n"/>
      <c r="R145" s="28">
        <f>IF($Q145="","",IFERROR(INDEX(CONFIG!$H$4:$H$63,MATCH($Q145,CONFIG!$G$4:$G$63,0)),"Por definir"))</f>
        <v/>
      </c>
      <c r="S145" s="28">
        <f>IF($Q145="","",IFERROR(INDEX(CONFIG!$I$4:$I$63,MATCH($Q145,CONFIG!$G$4:$G$63,0)),"Por definir"))</f>
        <v/>
      </c>
      <c r="T145" s="51" t="n"/>
      <c r="U145" s="52" t="n"/>
      <c r="V145" s="50" t="n"/>
      <c r="W145" s="50" t="n"/>
      <c r="X145" s="49">
        <f>IF(OR($B145="",$M145=""),"",WORKDAY($B145,IFERROR(INDEX(CONFIG!$D$4:$D$63,MATCH($M145,CONFIG!$A$4:$A$63,0)),3)))</f>
        <v/>
      </c>
      <c r="Y145" s="47" t="n"/>
      <c r="Z145" s="24">
        <f>IF($B145="","",IF($Y145&lt;&gt;"",$Y145-$B145,TODAY()-$B145))</f>
        <v/>
      </c>
      <c r="AA145" s="28">
        <f>IF($B145="","",IF(IFERROR(INDEX(CONFIG!$L$4:$L$63,MATCH($V145,CONFIG!$K$4:$K$63,0)),"NO")="SÍ",IF(OR($Y145="",$X145=""),"Resuelta",IF($Y145&gt;$X145,"Resuelta tarde","Resuelta a tiempo")),IF($X145="","Sin clasificar",IF(TODAY()&gt;$X145,"Vencida",IF(TODAY()&gt;=$X145-1,"Por vencer","En plazo")))))</f>
        <v/>
      </c>
      <c r="AB145" s="50" t="n"/>
      <c r="AC145" s="50" t="n"/>
    </row>
    <row r="146" ht="16" customHeight="1">
      <c r="A146" s="28">
        <f>IF($B146="","","N-"&amp;TEXT(ROW()-3,"0000"))</f>
        <v/>
      </c>
      <c r="B146" s="47" t="n"/>
      <c r="C146" s="48" t="n"/>
      <c r="D146" s="48" t="n"/>
      <c r="E146" s="28">
        <f>IF($C146="","",IF($D146="",IF($C146="Interna","Sin guía (interna)","FALTA GUÍA"),IF(COUNTIFS(ENVIOS!$A$4:$A$3003,$D146)=0,"NO EXISTE",IF(COUNTIFS(ENVIOS!$A$4:$A$3003,$D146)&gt;1,"DUPLICADA","OK"))))</f>
        <v/>
      </c>
      <c r="F146" s="28">
        <f>IF($D146="","",IFERROR(INDEX(ENVIOS!$B$4:$B$3003,MATCH($D146,ENVIOS!$A$4:$A$3003,0)),"—"))</f>
        <v/>
      </c>
      <c r="G146" s="23">
        <f>IF($D146="","",IFERROR(INDEX(ENVIOS!$D$4:$D$3003,MATCH($D146,ENVIOS!$A$4:$A$3003,0)),"—"))</f>
        <v/>
      </c>
      <c r="H146" s="23">
        <f>IF($D146="","",IFERROR(INDEX(ENVIOS!$E$4:$E$3003,MATCH($D146,ENVIOS!$A$4:$A$3003,0)),"—"))</f>
        <v/>
      </c>
      <c r="I146" s="23">
        <f>IF($D146="","",IFERROR(INDEX(ENVIOS!$F$4:$F$3003,MATCH($D146,ENVIOS!$A$4:$A$3003,0)),"—"))</f>
        <v/>
      </c>
      <c r="J146" s="23">
        <f>IF($D146="","",IFERROR(INDEX(ENVIOS!$G$4:$G$3003,MATCH($D146,ENVIOS!$A$4:$A$3003,0)),"—"))</f>
        <v/>
      </c>
      <c r="K146" s="28">
        <f>IF($D146="","",IFERROR(INDEX(ENVIOS!$H$4:$H$3003,MATCH($D146,ENVIOS!$A$4:$A$3003,0)),"—"))</f>
        <v/>
      </c>
      <c r="L146" s="49">
        <f>IF($D146="","",IFERROR(INDEX(ENVIOS!$C$4:$C$3003,MATCH($D146,ENVIOS!$A$4:$A$3003,0)),""))</f>
        <v/>
      </c>
      <c r="M146" s="50" t="n"/>
      <c r="N146" s="28">
        <f>IF($M146="","",IFERROR(INDEX(CONFIG!$C$4:$C$63,MATCH($M146,CONFIG!$A$4:$A$63,0)),"Media"))</f>
        <v/>
      </c>
      <c r="O146" s="28">
        <f>IF($M146="","",IF($C146="Interna","NO",IFERROR(INDEX(CONFIG!$E$4:$E$63,MATCH($M146,CONFIG!$A$4:$A$63,0)),"NO")))</f>
        <v/>
      </c>
      <c r="P146" s="50" t="n"/>
      <c r="Q146" s="50" t="n"/>
      <c r="R146" s="28">
        <f>IF($Q146="","",IFERROR(INDEX(CONFIG!$H$4:$H$63,MATCH($Q146,CONFIG!$G$4:$G$63,0)),"Por definir"))</f>
        <v/>
      </c>
      <c r="S146" s="28">
        <f>IF($Q146="","",IFERROR(INDEX(CONFIG!$I$4:$I$63,MATCH($Q146,CONFIG!$G$4:$G$63,0)),"Por definir"))</f>
        <v/>
      </c>
      <c r="T146" s="51" t="n"/>
      <c r="U146" s="52" t="n"/>
      <c r="V146" s="50" t="n"/>
      <c r="W146" s="50" t="n"/>
      <c r="X146" s="49">
        <f>IF(OR($B146="",$M146=""),"",WORKDAY($B146,IFERROR(INDEX(CONFIG!$D$4:$D$63,MATCH($M146,CONFIG!$A$4:$A$63,0)),3)))</f>
        <v/>
      </c>
      <c r="Y146" s="47" t="n"/>
      <c r="Z146" s="24">
        <f>IF($B146="","",IF($Y146&lt;&gt;"",$Y146-$B146,TODAY()-$B146))</f>
        <v/>
      </c>
      <c r="AA146" s="28">
        <f>IF($B146="","",IF(IFERROR(INDEX(CONFIG!$L$4:$L$63,MATCH($V146,CONFIG!$K$4:$K$63,0)),"NO")="SÍ",IF(OR($Y146="",$X146=""),"Resuelta",IF($Y146&gt;$X146,"Resuelta tarde","Resuelta a tiempo")),IF($X146="","Sin clasificar",IF(TODAY()&gt;$X146,"Vencida",IF(TODAY()&gt;=$X146-1,"Por vencer","En plazo")))))</f>
        <v/>
      </c>
      <c r="AB146" s="50" t="n"/>
      <c r="AC146" s="50" t="n"/>
    </row>
    <row r="147" ht="16" customHeight="1">
      <c r="A147" s="28">
        <f>IF($B147="","","N-"&amp;TEXT(ROW()-3,"0000"))</f>
        <v/>
      </c>
      <c r="B147" s="47" t="n"/>
      <c r="C147" s="48" t="n"/>
      <c r="D147" s="48" t="n"/>
      <c r="E147" s="28">
        <f>IF($C147="","",IF($D147="",IF($C147="Interna","Sin guía (interna)","FALTA GUÍA"),IF(COUNTIFS(ENVIOS!$A$4:$A$3003,$D147)=0,"NO EXISTE",IF(COUNTIFS(ENVIOS!$A$4:$A$3003,$D147)&gt;1,"DUPLICADA","OK"))))</f>
        <v/>
      </c>
      <c r="F147" s="28">
        <f>IF($D147="","",IFERROR(INDEX(ENVIOS!$B$4:$B$3003,MATCH($D147,ENVIOS!$A$4:$A$3003,0)),"—"))</f>
        <v/>
      </c>
      <c r="G147" s="23">
        <f>IF($D147="","",IFERROR(INDEX(ENVIOS!$D$4:$D$3003,MATCH($D147,ENVIOS!$A$4:$A$3003,0)),"—"))</f>
        <v/>
      </c>
      <c r="H147" s="23">
        <f>IF($D147="","",IFERROR(INDEX(ENVIOS!$E$4:$E$3003,MATCH($D147,ENVIOS!$A$4:$A$3003,0)),"—"))</f>
        <v/>
      </c>
      <c r="I147" s="23">
        <f>IF($D147="","",IFERROR(INDEX(ENVIOS!$F$4:$F$3003,MATCH($D147,ENVIOS!$A$4:$A$3003,0)),"—"))</f>
        <v/>
      </c>
      <c r="J147" s="23">
        <f>IF($D147="","",IFERROR(INDEX(ENVIOS!$G$4:$G$3003,MATCH($D147,ENVIOS!$A$4:$A$3003,0)),"—"))</f>
        <v/>
      </c>
      <c r="K147" s="28">
        <f>IF($D147="","",IFERROR(INDEX(ENVIOS!$H$4:$H$3003,MATCH($D147,ENVIOS!$A$4:$A$3003,0)),"—"))</f>
        <v/>
      </c>
      <c r="L147" s="49">
        <f>IF($D147="","",IFERROR(INDEX(ENVIOS!$C$4:$C$3003,MATCH($D147,ENVIOS!$A$4:$A$3003,0)),""))</f>
        <v/>
      </c>
      <c r="M147" s="50" t="n"/>
      <c r="N147" s="28">
        <f>IF($M147="","",IFERROR(INDEX(CONFIG!$C$4:$C$63,MATCH($M147,CONFIG!$A$4:$A$63,0)),"Media"))</f>
        <v/>
      </c>
      <c r="O147" s="28">
        <f>IF($M147="","",IF($C147="Interna","NO",IFERROR(INDEX(CONFIG!$E$4:$E$63,MATCH($M147,CONFIG!$A$4:$A$63,0)),"NO")))</f>
        <v/>
      </c>
      <c r="P147" s="50" t="n"/>
      <c r="Q147" s="50" t="n"/>
      <c r="R147" s="28">
        <f>IF($Q147="","",IFERROR(INDEX(CONFIG!$H$4:$H$63,MATCH($Q147,CONFIG!$G$4:$G$63,0)),"Por definir"))</f>
        <v/>
      </c>
      <c r="S147" s="28">
        <f>IF($Q147="","",IFERROR(INDEX(CONFIG!$I$4:$I$63,MATCH($Q147,CONFIG!$G$4:$G$63,0)),"Por definir"))</f>
        <v/>
      </c>
      <c r="T147" s="51" t="n"/>
      <c r="U147" s="52" t="n"/>
      <c r="V147" s="50" t="n"/>
      <c r="W147" s="50" t="n"/>
      <c r="X147" s="49">
        <f>IF(OR($B147="",$M147=""),"",WORKDAY($B147,IFERROR(INDEX(CONFIG!$D$4:$D$63,MATCH($M147,CONFIG!$A$4:$A$63,0)),3)))</f>
        <v/>
      </c>
      <c r="Y147" s="47" t="n"/>
      <c r="Z147" s="24">
        <f>IF($B147="","",IF($Y147&lt;&gt;"",$Y147-$B147,TODAY()-$B147))</f>
        <v/>
      </c>
      <c r="AA147" s="28">
        <f>IF($B147="","",IF(IFERROR(INDEX(CONFIG!$L$4:$L$63,MATCH($V147,CONFIG!$K$4:$K$63,0)),"NO")="SÍ",IF(OR($Y147="",$X147=""),"Resuelta",IF($Y147&gt;$X147,"Resuelta tarde","Resuelta a tiempo")),IF($X147="","Sin clasificar",IF(TODAY()&gt;$X147,"Vencida",IF(TODAY()&gt;=$X147-1,"Por vencer","En plazo")))))</f>
        <v/>
      </c>
      <c r="AB147" s="50" t="n"/>
      <c r="AC147" s="50" t="n"/>
    </row>
    <row r="148" ht="16" customHeight="1">
      <c r="A148" s="28">
        <f>IF($B148="","","N-"&amp;TEXT(ROW()-3,"0000"))</f>
        <v/>
      </c>
      <c r="B148" s="47" t="n"/>
      <c r="C148" s="48" t="n"/>
      <c r="D148" s="48" t="n"/>
      <c r="E148" s="28">
        <f>IF($C148="","",IF($D148="",IF($C148="Interna","Sin guía (interna)","FALTA GUÍA"),IF(COUNTIFS(ENVIOS!$A$4:$A$3003,$D148)=0,"NO EXISTE",IF(COUNTIFS(ENVIOS!$A$4:$A$3003,$D148)&gt;1,"DUPLICADA","OK"))))</f>
        <v/>
      </c>
      <c r="F148" s="28">
        <f>IF($D148="","",IFERROR(INDEX(ENVIOS!$B$4:$B$3003,MATCH($D148,ENVIOS!$A$4:$A$3003,0)),"—"))</f>
        <v/>
      </c>
      <c r="G148" s="23">
        <f>IF($D148="","",IFERROR(INDEX(ENVIOS!$D$4:$D$3003,MATCH($D148,ENVIOS!$A$4:$A$3003,0)),"—"))</f>
        <v/>
      </c>
      <c r="H148" s="23">
        <f>IF($D148="","",IFERROR(INDEX(ENVIOS!$E$4:$E$3003,MATCH($D148,ENVIOS!$A$4:$A$3003,0)),"—"))</f>
        <v/>
      </c>
      <c r="I148" s="23">
        <f>IF($D148="","",IFERROR(INDEX(ENVIOS!$F$4:$F$3003,MATCH($D148,ENVIOS!$A$4:$A$3003,0)),"—"))</f>
        <v/>
      </c>
      <c r="J148" s="23">
        <f>IF($D148="","",IFERROR(INDEX(ENVIOS!$G$4:$G$3003,MATCH($D148,ENVIOS!$A$4:$A$3003,0)),"—"))</f>
        <v/>
      </c>
      <c r="K148" s="28">
        <f>IF($D148="","",IFERROR(INDEX(ENVIOS!$H$4:$H$3003,MATCH($D148,ENVIOS!$A$4:$A$3003,0)),"—"))</f>
        <v/>
      </c>
      <c r="L148" s="49">
        <f>IF($D148="","",IFERROR(INDEX(ENVIOS!$C$4:$C$3003,MATCH($D148,ENVIOS!$A$4:$A$3003,0)),""))</f>
        <v/>
      </c>
      <c r="M148" s="50" t="n"/>
      <c r="N148" s="28">
        <f>IF($M148="","",IFERROR(INDEX(CONFIG!$C$4:$C$63,MATCH($M148,CONFIG!$A$4:$A$63,0)),"Media"))</f>
        <v/>
      </c>
      <c r="O148" s="28">
        <f>IF($M148="","",IF($C148="Interna","NO",IFERROR(INDEX(CONFIG!$E$4:$E$63,MATCH($M148,CONFIG!$A$4:$A$63,0)),"NO")))</f>
        <v/>
      </c>
      <c r="P148" s="50" t="n"/>
      <c r="Q148" s="50" t="n"/>
      <c r="R148" s="28">
        <f>IF($Q148="","",IFERROR(INDEX(CONFIG!$H$4:$H$63,MATCH($Q148,CONFIG!$G$4:$G$63,0)),"Por definir"))</f>
        <v/>
      </c>
      <c r="S148" s="28">
        <f>IF($Q148="","",IFERROR(INDEX(CONFIG!$I$4:$I$63,MATCH($Q148,CONFIG!$G$4:$G$63,0)),"Por definir"))</f>
        <v/>
      </c>
      <c r="T148" s="51" t="n"/>
      <c r="U148" s="52" t="n"/>
      <c r="V148" s="50" t="n"/>
      <c r="W148" s="50" t="n"/>
      <c r="X148" s="49">
        <f>IF(OR($B148="",$M148=""),"",WORKDAY($B148,IFERROR(INDEX(CONFIG!$D$4:$D$63,MATCH($M148,CONFIG!$A$4:$A$63,0)),3)))</f>
        <v/>
      </c>
      <c r="Y148" s="47" t="n"/>
      <c r="Z148" s="24">
        <f>IF($B148="","",IF($Y148&lt;&gt;"",$Y148-$B148,TODAY()-$B148))</f>
        <v/>
      </c>
      <c r="AA148" s="28">
        <f>IF($B148="","",IF(IFERROR(INDEX(CONFIG!$L$4:$L$63,MATCH($V148,CONFIG!$K$4:$K$63,0)),"NO")="SÍ",IF(OR($Y148="",$X148=""),"Resuelta",IF($Y148&gt;$X148,"Resuelta tarde","Resuelta a tiempo")),IF($X148="","Sin clasificar",IF(TODAY()&gt;$X148,"Vencida",IF(TODAY()&gt;=$X148-1,"Por vencer","En plazo")))))</f>
        <v/>
      </c>
      <c r="AB148" s="50" t="n"/>
      <c r="AC148" s="50" t="n"/>
    </row>
    <row r="149" ht="16" customHeight="1">
      <c r="A149" s="28">
        <f>IF($B149="","","N-"&amp;TEXT(ROW()-3,"0000"))</f>
        <v/>
      </c>
      <c r="B149" s="47" t="n"/>
      <c r="C149" s="48" t="n"/>
      <c r="D149" s="48" t="n"/>
      <c r="E149" s="28">
        <f>IF($C149="","",IF($D149="",IF($C149="Interna","Sin guía (interna)","FALTA GUÍA"),IF(COUNTIFS(ENVIOS!$A$4:$A$3003,$D149)=0,"NO EXISTE",IF(COUNTIFS(ENVIOS!$A$4:$A$3003,$D149)&gt;1,"DUPLICADA","OK"))))</f>
        <v/>
      </c>
      <c r="F149" s="28">
        <f>IF($D149="","",IFERROR(INDEX(ENVIOS!$B$4:$B$3003,MATCH($D149,ENVIOS!$A$4:$A$3003,0)),"—"))</f>
        <v/>
      </c>
      <c r="G149" s="23">
        <f>IF($D149="","",IFERROR(INDEX(ENVIOS!$D$4:$D$3003,MATCH($D149,ENVIOS!$A$4:$A$3003,0)),"—"))</f>
        <v/>
      </c>
      <c r="H149" s="23">
        <f>IF($D149="","",IFERROR(INDEX(ENVIOS!$E$4:$E$3003,MATCH($D149,ENVIOS!$A$4:$A$3003,0)),"—"))</f>
        <v/>
      </c>
      <c r="I149" s="23">
        <f>IF($D149="","",IFERROR(INDEX(ENVIOS!$F$4:$F$3003,MATCH($D149,ENVIOS!$A$4:$A$3003,0)),"—"))</f>
        <v/>
      </c>
      <c r="J149" s="23">
        <f>IF($D149="","",IFERROR(INDEX(ENVIOS!$G$4:$G$3003,MATCH($D149,ENVIOS!$A$4:$A$3003,0)),"—"))</f>
        <v/>
      </c>
      <c r="K149" s="28">
        <f>IF($D149="","",IFERROR(INDEX(ENVIOS!$H$4:$H$3003,MATCH($D149,ENVIOS!$A$4:$A$3003,0)),"—"))</f>
        <v/>
      </c>
      <c r="L149" s="49">
        <f>IF($D149="","",IFERROR(INDEX(ENVIOS!$C$4:$C$3003,MATCH($D149,ENVIOS!$A$4:$A$3003,0)),""))</f>
        <v/>
      </c>
      <c r="M149" s="50" t="n"/>
      <c r="N149" s="28">
        <f>IF($M149="","",IFERROR(INDEX(CONFIG!$C$4:$C$63,MATCH($M149,CONFIG!$A$4:$A$63,0)),"Media"))</f>
        <v/>
      </c>
      <c r="O149" s="28">
        <f>IF($M149="","",IF($C149="Interna","NO",IFERROR(INDEX(CONFIG!$E$4:$E$63,MATCH($M149,CONFIG!$A$4:$A$63,0)),"NO")))</f>
        <v/>
      </c>
      <c r="P149" s="50" t="n"/>
      <c r="Q149" s="50" t="n"/>
      <c r="R149" s="28">
        <f>IF($Q149="","",IFERROR(INDEX(CONFIG!$H$4:$H$63,MATCH($Q149,CONFIG!$G$4:$G$63,0)),"Por definir"))</f>
        <v/>
      </c>
      <c r="S149" s="28">
        <f>IF($Q149="","",IFERROR(INDEX(CONFIG!$I$4:$I$63,MATCH($Q149,CONFIG!$G$4:$G$63,0)),"Por definir"))</f>
        <v/>
      </c>
      <c r="T149" s="51" t="n"/>
      <c r="U149" s="52" t="n"/>
      <c r="V149" s="50" t="n"/>
      <c r="W149" s="50" t="n"/>
      <c r="X149" s="49">
        <f>IF(OR($B149="",$M149=""),"",WORKDAY($B149,IFERROR(INDEX(CONFIG!$D$4:$D$63,MATCH($M149,CONFIG!$A$4:$A$63,0)),3)))</f>
        <v/>
      </c>
      <c r="Y149" s="47" t="n"/>
      <c r="Z149" s="24">
        <f>IF($B149="","",IF($Y149&lt;&gt;"",$Y149-$B149,TODAY()-$B149))</f>
        <v/>
      </c>
      <c r="AA149" s="28">
        <f>IF($B149="","",IF(IFERROR(INDEX(CONFIG!$L$4:$L$63,MATCH($V149,CONFIG!$K$4:$K$63,0)),"NO")="SÍ",IF(OR($Y149="",$X149=""),"Resuelta",IF($Y149&gt;$X149,"Resuelta tarde","Resuelta a tiempo")),IF($X149="","Sin clasificar",IF(TODAY()&gt;$X149,"Vencida",IF(TODAY()&gt;=$X149-1,"Por vencer","En plazo")))))</f>
        <v/>
      </c>
      <c r="AB149" s="50" t="n"/>
      <c r="AC149" s="50" t="n"/>
    </row>
    <row r="150" ht="16" customHeight="1">
      <c r="A150" s="28">
        <f>IF($B150="","","N-"&amp;TEXT(ROW()-3,"0000"))</f>
        <v/>
      </c>
      <c r="B150" s="47" t="n"/>
      <c r="C150" s="48" t="n"/>
      <c r="D150" s="48" t="n"/>
      <c r="E150" s="28">
        <f>IF($C150="","",IF($D150="",IF($C150="Interna","Sin guía (interna)","FALTA GUÍA"),IF(COUNTIFS(ENVIOS!$A$4:$A$3003,$D150)=0,"NO EXISTE",IF(COUNTIFS(ENVIOS!$A$4:$A$3003,$D150)&gt;1,"DUPLICADA","OK"))))</f>
        <v/>
      </c>
      <c r="F150" s="28">
        <f>IF($D150="","",IFERROR(INDEX(ENVIOS!$B$4:$B$3003,MATCH($D150,ENVIOS!$A$4:$A$3003,0)),"—"))</f>
        <v/>
      </c>
      <c r="G150" s="23">
        <f>IF($D150="","",IFERROR(INDEX(ENVIOS!$D$4:$D$3003,MATCH($D150,ENVIOS!$A$4:$A$3003,0)),"—"))</f>
        <v/>
      </c>
      <c r="H150" s="23">
        <f>IF($D150="","",IFERROR(INDEX(ENVIOS!$E$4:$E$3003,MATCH($D150,ENVIOS!$A$4:$A$3003,0)),"—"))</f>
        <v/>
      </c>
      <c r="I150" s="23">
        <f>IF($D150="","",IFERROR(INDEX(ENVIOS!$F$4:$F$3003,MATCH($D150,ENVIOS!$A$4:$A$3003,0)),"—"))</f>
        <v/>
      </c>
      <c r="J150" s="23">
        <f>IF($D150="","",IFERROR(INDEX(ENVIOS!$G$4:$G$3003,MATCH($D150,ENVIOS!$A$4:$A$3003,0)),"—"))</f>
        <v/>
      </c>
      <c r="K150" s="28">
        <f>IF($D150="","",IFERROR(INDEX(ENVIOS!$H$4:$H$3003,MATCH($D150,ENVIOS!$A$4:$A$3003,0)),"—"))</f>
        <v/>
      </c>
      <c r="L150" s="49">
        <f>IF($D150="","",IFERROR(INDEX(ENVIOS!$C$4:$C$3003,MATCH($D150,ENVIOS!$A$4:$A$3003,0)),""))</f>
        <v/>
      </c>
      <c r="M150" s="50" t="n"/>
      <c r="N150" s="28">
        <f>IF($M150="","",IFERROR(INDEX(CONFIG!$C$4:$C$63,MATCH($M150,CONFIG!$A$4:$A$63,0)),"Media"))</f>
        <v/>
      </c>
      <c r="O150" s="28">
        <f>IF($M150="","",IF($C150="Interna","NO",IFERROR(INDEX(CONFIG!$E$4:$E$63,MATCH($M150,CONFIG!$A$4:$A$63,0)),"NO")))</f>
        <v/>
      </c>
      <c r="P150" s="50" t="n"/>
      <c r="Q150" s="50" t="n"/>
      <c r="R150" s="28">
        <f>IF($Q150="","",IFERROR(INDEX(CONFIG!$H$4:$H$63,MATCH($Q150,CONFIG!$G$4:$G$63,0)),"Por definir"))</f>
        <v/>
      </c>
      <c r="S150" s="28">
        <f>IF($Q150="","",IFERROR(INDEX(CONFIG!$I$4:$I$63,MATCH($Q150,CONFIG!$G$4:$G$63,0)),"Por definir"))</f>
        <v/>
      </c>
      <c r="T150" s="51" t="n"/>
      <c r="U150" s="52" t="n"/>
      <c r="V150" s="50" t="n"/>
      <c r="W150" s="50" t="n"/>
      <c r="X150" s="49">
        <f>IF(OR($B150="",$M150=""),"",WORKDAY($B150,IFERROR(INDEX(CONFIG!$D$4:$D$63,MATCH($M150,CONFIG!$A$4:$A$63,0)),3)))</f>
        <v/>
      </c>
      <c r="Y150" s="47" t="n"/>
      <c r="Z150" s="24">
        <f>IF($B150="","",IF($Y150&lt;&gt;"",$Y150-$B150,TODAY()-$B150))</f>
        <v/>
      </c>
      <c r="AA150" s="28">
        <f>IF($B150="","",IF(IFERROR(INDEX(CONFIG!$L$4:$L$63,MATCH($V150,CONFIG!$K$4:$K$63,0)),"NO")="SÍ",IF(OR($Y150="",$X150=""),"Resuelta",IF($Y150&gt;$X150,"Resuelta tarde","Resuelta a tiempo")),IF($X150="","Sin clasificar",IF(TODAY()&gt;$X150,"Vencida",IF(TODAY()&gt;=$X150-1,"Por vencer","En plazo")))))</f>
        <v/>
      </c>
      <c r="AB150" s="50" t="n"/>
      <c r="AC150" s="50" t="n"/>
    </row>
    <row r="151" ht="16" customHeight="1">
      <c r="A151" s="28">
        <f>IF($B151="","","N-"&amp;TEXT(ROW()-3,"0000"))</f>
        <v/>
      </c>
      <c r="B151" s="47" t="n"/>
      <c r="C151" s="48" t="n"/>
      <c r="D151" s="48" t="n"/>
      <c r="E151" s="28">
        <f>IF($C151="","",IF($D151="",IF($C151="Interna","Sin guía (interna)","FALTA GUÍA"),IF(COUNTIFS(ENVIOS!$A$4:$A$3003,$D151)=0,"NO EXISTE",IF(COUNTIFS(ENVIOS!$A$4:$A$3003,$D151)&gt;1,"DUPLICADA","OK"))))</f>
        <v/>
      </c>
      <c r="F151" s="28">
        <f>IF($D151="","",IFERROR(INDEX(ENVIOS!$B$4:$B$3003,MATCH($D151,ENVIOS!$A$4:$A$3003,0)),"—"))</f>
        <v/>
      </c>
      <c r="G151" s="23">
        <f>IF($D151="","",IFERROR(INDEX(ENVIOS!$D$4:$D$3003,MATCH($D151,ENVIOS!$A$4:$A$3003,0)),"—"))</f>
        <v/>
      </c>
      <c r="H151" s="23">
        <f>IF($D151="","",IFERROR(INDEX(ENVIOS!$E$4:$E$3003,MATCH($D151,ENVIOS!$A$4:$A$3003,0)),"—"))</f>
        <v/>
      </c>
      <c r="I151" s="23">
        <f>IF($D151="","",IFERROR(INDEX(ENVIOS!$F$4:$F$3003,MATCH($D151,ENVIOS!$A$4:$A$3003,0)),"—"))</f>
        <v/>
      </c>
      <c r="J151" s="23">
        <f>IF($D151="","",IFERROR(INDEX(ENVIOS!$G$4:$G$3003,MATCH($D151,ENVIOS!$A$4:$A$3003,0)),"—"))</f>
        <v/>
      </c>
      <c r="K151" s="28">
        <f>IF($D151="","",IFERROR(INDEX(ENVIOS!$H$4:$H$3003,MATCH($D151,ENVIOS!$A$4:$A$3003,0)),"—"))</f>
        <v/>
      </c>
      <c r="L151" s="49">
        <f>IF($D151="","",IFERROR(INDEX(ENVIOS!$C$4:$C$3003,MATCH($D151,ENVIOS!$A$4:$A$3003,0)),""))</f>
        <v/>
      </c>
      <c r="M151" s="50" t="n"/>
      <c r="N151" s="28">
        <f>IF($M151="","",IFERROR(INDEX(CONFIG!$C$4:$C$63,MATCH($M151,CONFIG!$A$4:$A$63,0)),"Media"))</f>
        <v/>
      </c>
      <c r="O151" s="28">
        <f>IF($M151="","",IF($C151="Interna","NO",IFERROR(INDEX(CONFIG!$E$4:$E$63,MATCH($M151,CONFIG!$A$4:$A$63,0)),"NO")))</f>
        <v/>
      </c>
      <c r="P151" s="50" t="n"/>
      <c r="Q151" s="50" t="n"/>
      <c r="R151" s="28">
        <f>IF($Q151="","",IFERROR(INDEX(CONFIG!$H$4:$H$63,MATCH($Q151,CONFIG!$G$4:$G$63,0)),"Por definir"))</f>
        <v/>
      </c>
      <c r="S151" s="28">
        <f>IF($Q151="","",IFERROR(INDEX(CONFIG!$I$4:$I$63,MATCH($Q151,CONFIG!$G$4:$G$63,0)),"Por definir"))</f>
        <v/>
      </c>
      <c r="T151" s="51" t="n"/>
      <c r="U151" s="52" t="n"/>
      <c r="V151" s="50" t="n"/>
      <c r="W151" s="50" t="n"/>
      <c r="X151" s="49">
        <f>IF(OR($B151="",$M151=""),"",WORKDAY($B151,IFERROR(INDEX(CONFIG!$D$4:$D$63,MATCH($M151,CONFIG!$A$4:$A$63,0)),3)))</f>
        <v/>
      </c>
      <c r="Y151" s="47" t="n"/>
      <c r="Z151" s="24">
        <f>IF($B151="","",IF($Y151&lt;&gt;"",$Y151-$B151,TODAY()-$B151))</f>
        <v/>
      </c>
      <c r="AA151" s="28">
        <f>IF($B151="","",IF(IFERROR(INDEX(CONFIG!$L$4:$L$63,MATCH($V151,CONFIG!$K$4:$K$63,0)),"NO")="SÍ",IF(OR($Y151="",$X151=""),"Resuelta",IF($Y151&gt;$X151,"Resuelta tarde","Resuelta a tiempo")),IF($X151="","Sin clasificar",IF(TODAY()&gt;$X151,"Vencida",IF(TODAY()&gt;=$X151-1,"Por vencer","En plazo")))))</f>
        <v/>
      </c>
      <c r="AB151" s="50" t="n"/>
      <c r="AC151" s="50" t="n"/>
    </row>
    <row r="152" ht="16" customHeight="1">
      <c r="A152" s="28">
        <f>IF($B152="","","N-"&amp;TEXT(ROW()-3,"0000"))</f>
        <v/>
      </c>
      <c r="B152" s="47" t="n"/>
      <c r="C152" s="48" t="n"/>
      <c r="D152" s="48" t="n"/>
      <c r="E152" s="28">
        <f>IF($C152="","",IF($D152="",IF($C152="Interna","Sin guía (interna)","FALTA GUÍA"),IF(COUNTIFS(ENVIOS!$A$4:$A$3003,$D152)=0,"NO EXISTE",IF(COUNTIFS(ENVIOS!$A$4:$A$3003,$D152)&gt;1,"DUPLICADA","OK"))))</f>
        <v/>
      </c>
      <c r="F152" s="28">
        <f>IF($D152="","",IFERROR(INDEX(ENVIOS!$B$4:$B$3003,MATCH($D152,ENVIOS!$A$4:$A$3003,0)),"—"))</f>
        <v/>
      </c>
      <c r="G152" s="23">
        <f>IF($D152="","",IFERROR(INDEX(ENVIOS!$D$4:$D$3003,MATCH($D152,ENVIOS!$A$4:$A$3003,0)),"—"))</f>
        <v/>
      </c>
      <c r="H152" s="23">
        <f>IF($D152="","",IFERROR(INDEX(ENVIOS!$E$4:$E$3003,MATCH($D152,ENVIOS!$A$4:$A$3003,0)),"—"))</f>
        <v/>
      </c>
      <c r="I152" s="23">
        <f>IF($D152="","",IFERROR(INDEX(ENVIOS!$F$4:$F$3003,MATCH($D152,ENVIOS!$A$4:$A$3003,0)),"—"))</f>
        <v/>
      </c>
      <c r="J152" s="23">
        <f>IF($D152="","",IFERROR(INDEX(ENVIOS!$G$4:$G$3003,MATCH($D152,ENVIOS!$A$4:$A$3003,0)),"—"))</f>
        <v/>
      </c>
      <c r="K152" s="28">
        <f>IF($D152="","",IFERROR(INDEX(ENVIOS!$H$4:$H$3003,MATCH($D152,ENVIOS!$A$4:$A$3003,0)),"—"))</f>
        <v/>
      </c>
      <c r="L152" s="49">
        <f>IF($D152="","",IFERROR(INDEX(ENVIOS!$C$4:$C$3003,MATCH($D152,ENVIOS!$A$4:$A$3003,0)),""))</f>
        <v/>
      </c>
      <c r="M152" s="50" t="n"/>
      <c r="N152" s="28">
        <f>IF($M152="","",IFERROR(INDEX(CONFIG!$C$4:$C$63,MATCH($M152,CONFIG!$A$4:$A$63,0)),"Media"))</f>
        <v/>
      </c>
      <c r="O152" s="28">
        <f>IF($M152="","",IF($C152="Interna","NO",IFERROR(INDEX(CONFIG!$E$4:$E$63,MATCH($M152,CONFIG!$A$4:$A$63,0)),"NO")))</f>
        <v/>
      </c>
      <c r="P152" s="50" t="n"/>
      <c r="Q152" s="50" t="n"/>
      <c r="R152" s="28">
        <f>IF($Q152="","",IFERROR(INDEX(CONFIG!$H$4:$H$63,MATCH($Q152,CONFIG!$G$4:$G$63,0)),"Por definir"))</f>
        <v/>
      </c>
      <c r="S152" s="28">
        <f>IF($Q152="","",IFERROR(INDEX(CONFIG!$I$4:$I$63,MATCH($Q152,CONFIG!$G$4:$G$63,0)),"Por definir"))</f>
        <v/>
      </c>
      <c r="T152" s="51" t="n"/>
      <c r="U152" s="52" t="n"/>
      <c r="V152" s="50" t="n"/>
      <c r="W152" s="50" t="n"/>
      <c r="X152" s="49">
        <f>IF(OR($B152="",$M152=""),"",WORKDAY($B152,IFERROR(INDEX(CONFIG!$D$4:$D$63,MATCH($M152,CONFIG!$A$4:$A$63,0)),3)))</f>
        <v/>
      </c>
      <c r="Y152" s="47" t="n"/>
      <c r="Z152" s="24">
        <f>IF($B152="","",IF($Y152&lt;&gt;"",$Y152-$B152,TODAY()-$B152))</f>
        <v/>
      </c>
      <c r="AA152" s="28">
        <f>IF($B152="","",IF(IFERROR(INDEX(CONFIG!$L$4:$L$63,MATCH($V152,CONFIG!$K$4:$K$63,0)),"NO")="SÍ",IF(OR($Y152="",$X152=""),"Resuelta",IF($Y152&gt;$X152,"Resuelta tarde","Resuelta a tiempo")),IF($X152="","Sin clasificar",IF(TODAY()&gt;$X152,"Vencida",IF(TODAY()&gt;=$X152-1,"Por vencer","En plazo")))))</f>
        <v/>
      </c>
      <c r="AB152" s="50" t="n"/>
      <c r="AC152" s="50" t="n"/>
    </row>
    <row r="153" ht="16" customHeight="1">
      <c r="A153" s="28">
        <f>IF($B153="","","N-"&amp;TEXT(ROW()-3,"0000"))</f>
        <v/>
      </c>
      <c r="B153" s="47" t="n"/>
      <c r="C153" s="48" t="n"/>
      <c r="D153" s="48" t="n"/>
      <c r="E153" s="28">
        <f>IF($C153="","",IF($D153="",IF($C153="Interna","Sin guía (interna)","FALTA GUÍA"),IF(COUNTIFS(ENVIOS!$A$4:$A$3003,$D153)=0,"NO EXISTE",IF(COUNTIFS(ENVIOS!$A$4:$A$3003,$D153)&gt;1,"DUPLICADA","OK"))))</f>
        <v/>
      </c>
      <c r="F153" s="28">
        <f>IF($D153="","",IFERROR(INDEX(ENVIOS!$B$4:$B$3003,MATCH($D153,ENVIOS!$A$4:$A$3003,0)),"—"))</f>
        <v/>
      </c>
      <c r="G153" s="23">
        <f>IF($D153="","",IFERROR(INDEX(ENVIOS!$D$4:$D$3003,MATCH($D153,ENVIOS!$A$4:$A$3003,0)),"—"))</f>
        <v/>
      </c>
      <c r="H153" s="23">
        <f>IF($D153="","",IFERROR(INDEX(ENVIOS!$E$4:$E$3003,MATCH($D153,ENVIOS!$A$4:$A$3003,0)),"—"))</f>
        <v/>
      </c>
      <c r="I153" s="23">
        <f>IF($D153="","",IFERROR(INDEX(ENVIOS!$F$4:$F$3003,MATCH($D153,ENVIOS!$A$4:$A$3003,0)),"—"))</f>
        <v/>
      </c>
      <c r="J153" s="23">
        <f>IF($D153="","",IFERROR(INDEX(ENVIOS!$G$4:$G$3003,MATCH($D153,ENVIOS!$A$4:$A$3003,0)),"—"))</f>
        <v/>
      </c>
      <c r="K153" s="28">
        <f>IF($D153="","",IFERROR(INDEX(ENVIOS!$H$4:$H$3003,MATCH($D153,ENVIOS!$A$4:$A$3003,0)),"—"))</f>
        <v/>
      </c>
      <c r="L153" s="49">
        <f>IF($D153="","",IFERROR(INDEX(ENVIOS!$C$4:$C$3003,MATCH($D153,ENVIOS!$A$4:$A$3003,0)),""))</f>
        <v/>
      </c>
      <c r="M153" s="50" t="n"/>
      <c r="N153" s="28">
        <f>IF($M153="","",IFERROR(INDEX(CONFIG!$C$4:$C$63,MATCH($M153,CONFIG!$A$4:$A$63,0)),"Media"))</f>
        <v/>
      </c>
      <c r="O153" s="28">
        <f>IF($M153="","",IF($C153="Interna","NO",IFERROR(INDEX(CONFIG!$E$4:$E$63,MATCH($M153,CONFIG!$A$4:$A$63,0)),"NO")))</f>
        <v/>
      </c>
      <c r="P153" s="50" t="n"/>
      <c r="Q153" s="50" t="n"/>
      <c r="R153" s="28">
        <f>IF($Q153="","",IFERROR(INDEX(CONFIG!$H$4:$H$63,MATCH($Q153,CONFIG!$G$4:$G$63,0)),"Por definir"))</f>
        <v/>
      </c>
      <c r="S153" s="28">
        <f>IF($Q153="","",IFERROR(INDEX(CONFIG!$I$4:$I$63,MATCH($Q153,CONFIG!$G$4:$G$63,0)),"Por definir"))</f>
        <v/>
      </c>
      <c r="T153" s="51" t="n"/>
      <c r="U153" s="52" t="n"/>
      <c r="V153" s="50" t="n"/>
      <c r="W153" s="50" t="n"/>
      <c r="X153" s="49">
        <f>IF(OR($B153="",$M153=""),"",WORKDAY($B153,IFERROR(INDEX(CONFIG!$D$4:$D$63,MATCH($M153,CONFIG!$A$4:$A$63,0)),3)))</f>
        <v/>
      </c>
      <c r="Y153" s="47" t="n"/>
      <c r="Z153" s="24">
        <f>IF($B153="","",IF($Y153&lt;&gt;"",$Y153-$B153,TODAY()-$B153))</f>
        <v/>
      </c>
      <c r="AA153" s="28">
        <f>IF($B153="","",IF(IFERROR(INDEX(CONFIG!$L$4:$L$63,MATCH($V153,CONFIG!$K$4:$K$63,0)),"NO")="SÍ",IF(OR($Y153="",$X153=""),"Resuelta",IF($Y153&gt;$X153,"Resuelta tarde","Resuelta a tiempo")),IF($X153="","Sin clasificar",IF(TODAY()&gt;$X153,"Vencida",IF(TODAY()&gt;=$X153-1,"Por vencer","En plazo")))))</f>
        <v/>
      </c>
      <c r="AB153" s="50" t="n"/>
      <c r="AC153" s="50" t="n"/>
    </row>
    <row r="154" ht="16" customHeight="1">
      <c r="A154" s="28">
        <f>IF($B154="","","N-"&amp;TEXT(ROW()-3,"0000"))</f>
        <v/>
      </c>
      <c r="B154" s="47" t="n"/>
      <c r="C154" s="48" t="n"/>
      <c r="D154" s="48" t="n"/>
      <c r="E154" s="28">
        <f>IF($C154="","",IF($D154="",IF($C154="Interna","Sin guía (interna)","FALTA GUÍA"),IF(COUNTIFS(ENVIOS!$A$4:$A$3003,$D154)=0,"NO EXISTE",IF(COUNTIFS(ENVIOS!$A$4:$A$3003,$D154)&gt;1,"DUPLICADA","OK"))))</f>
        <v/>
      </c>
      <c r="F154" s="28">
        <f>IF($D154="","",IFERROR(INDEX(ENVIOS!$B$4:$B$3003,MATCH($D154,ENVIOS!$A$4:$A$3003,0)),"—"))</f>
        <v/>
      </c>
      <c r="G154" s="23">
        <f>IF($D154="","",IFERROR(INDEX(ENVIOS!$D$4:$D$3003,MATCH($D154,ENVIOS!$A$4:$A$3003,0)),"—"))</f>
        <v/>
      </c>
      <c r="H154" s="23">
        <f>IF($D154="","",IFERROR(INDEX(ENVIOS!$E$4:$E$3003,MATCH($D154,ENVIOS!$A$4:$A$3003,0)),"—"))</f>
        <v/>
      </c>
      <c r="I154" s="23">
        <f>IF($D154="","",IFERROR(INDEX(ENVIOS!$F$4:$F$3003,MATCH($D154,ENVIOS!$A$4:$A$3003,0)),"—"))</f>
        <v/>
      </c>
      <c r="J154" s="23">
        <f>IF($D154="","",IFERROR(INDEX(ENVIOS!$G$4:$G$3003,MATCH($D154,ENVIOS!$A$4:$A$3003,0)),"—"))</f>
        <v/>
      </c>
      <c r="K154" s="28">
        <f>IF($D154="","",IFERROR(INDEX(ENVIOS!$H$4:$H$3003,MATCH($D154,ENVIOS!$A$4:$A$3003,0)),"—"))</f>
        <v/>
      </c>
      <c r="L154" s="49">
        <f>IF($D154="","",IFERROR(INDEX(ENVIOS!$C$4:$C$3003,MATCH($D154,ENVIOS!$A$4:$A$3003,0)),""))</f>
        <v/>
      </c>
      <c r="M154" s="50" t="n"/>
      <c r="N154" s="28">
        <f>IF($M154="","",IFERROR(INDEX(CONFIG!$C$4:$C$63,MATCH($M154,CONFIG!$A$4:$A$63,0)),"Media"))</f>
        <v/>
      </c>
      <c r="O154" s="28">
        <f>IF($M154="","",IF($C154="Interna","NO",IFERROR(INDEX(CONFIG!$E$4:$E$63,MATCH($M154,CONFIG!$A$4:$A$63,0)),"NO")))</f>
        <v/>
      </c>
      <c r="P154" s="50" t="n"/>
      <c r="Q154" s="50" t="n"/>
      <c r="R154" s="28">
        <f>IF($Q154="","",IFERROR(INDEX(CONFIG!$H$4:$H$63,MATCH($Q154,CONFIG!$G$4:$G$63,0)),"Por definir"))</f>
        <v/>
      </c>
      <c r="S154" s="28">
        <f>IF($Q154="","",IFERROR(INDEX(CONFIG!$I$4:$I$63,MATCH($Q154,CONFIG!$G$4:$G$63,0)),"Por definir"))</f>
        <v/>
      </c>
      <c r="T154" s="51" t="n"/>
      <c r="U154" s="52" t="n"/>
      <c r="V154" s="50" t="n"/>
      <c r="W154" s="50" t="n"/>
      <c r="X154" s="49">
        <f>IF(OR($B154="",$M154=""),"",WORKDAY($B154,IFERROR(INDEX(CONFIG!$D$4:$D$63,MATCH($M154,CONFIG!$A$4:$A$63,0)),3)))</f>
        <v/>
      </c>
      <c r="Y154" s="47" t="n"/>
      <c r="Z154" s="24">
        <f>IF($B154="","",IF($Y154&lt;&gt;"",$Y154-$B154,TODAY()-$B154))</f>
        <v/>
      </c>
      <c r="AA154" s="28">
        <f>IF($B154="","",IF(IFERROR(INDEX(CONFIG!$L$4:$L$63,MATCH($V154,CONFIG!$K$4:$K$63,0)),"NO")="SÍ",IF(OR($Y154="",$X154=""),"Resuelta",IF($Y154&gt;$X154,"Resuelta tarde","Resuelta a tiempo")),IF($X154="","Sin clasificar",IF(TODAY()&gt;$X154,"Vencida",IF(TODAY()&gt;=$X154-1,"Por vencer","En plazo")))))</f>
        <v/>
      </c>
      <c r="AB154" s="50" t="n"/>
      <c r="AC154" s="50" t="n"/>
    </row>
    <row r="155" ht="16" customHeight="1">
      <c r="A155" s="28">
        <f>IF($B155="","","N-"&amp;TEXT(ROW()-3,"0000"))</f>
        <v/>
      </c>
      <c r="B155" s="47" t="n"/>
      <c r="C155" s="48" t="n"/>
      <c r="D155" s="48" t="n"/>
      <c r="E155" s="28">
        <f>IF($C155="","",IF($D155="",IF($C155="Interna","Sin guía (interna)","FALTA GUÍA"),IF(COUNTIFS(ENVIOS!$A$4:$A$3003,$D155)=0,"NO EXISTE",IF(COUNTIFS(ENVIOS!$A$4:$A$3003,$D155)&gt;1,"DUPLICADA","OK"))))</f>
        <v/>
      </c>
      <c r="F155" s="28">
        <f>IF($D155="","",IFERROR(INDEX(ENVIOS!$B$4:$B$3003,MATCH($D155,ENVIOS!$A$4:$A$3003,0)),"—"))</f>
        <v/>
      </c>
      <c r="G155" s="23">
        <f>IF($D155="","",IFERROR(INDEX(ENVIOS!$D$4:$D$3003,MATCH($D155,ENVIOS!$A$4:$A$3003,0)),"—"))</f>
        <v/>
      </c>
      <c r="H155" s="23">
        <f>IF($D155="","",IFERROR(INDEX(ENVIOS!$E$4:$E$3003,MATCH($D155,ENVIOS!$A$4:$A$3003,0)),"—"))</f>
        <v/>
      </c>
      <c r="I155" s="23">
        <f>IF($D155="","",IFERROR(INDEX(ENVIOS!$F$4:$F$3003,MATCH($D155,ENVIOS!$A$4:$A$3003,0)),"—"))</f>
        <v/>
      </c>
      <c r="J155" s="23">
        <f>IF($D155="","",IFERROR(INDEX(ENVIOS!$G$4:$G$3003,MATCH($D155,ENVIOS!$A$4:$A$3003,0)),"—"))</f>
        <v/>
      </c>
      <c r="K155" s="28">
        <f>IF($D155="","",IFERROR(INDEX(ENVIOS!$H$4:$H$3003,MATCH($D155,ENVIOS!$A$4:$A$3003,0)),"—"))</f>
        <v/>
      </c>
      <c r="L155" s="49">
        <f>IF($D155="","",IFERROR(INDEX(ENVIOS!$C$4:$C$3003,MATCH($D155,ENVIOS!$A$4:$A$3003,0)),""))</f>
        <v/>
      </c>
      <c r="M155" s="50" t="n"/>
      <c r="N155" s="28">
        <f>IF($M155="","",IFERROR(INDEX(CONFIG!$C$4:$C$63,MATCH($M155,CONFIG!$A$4:$A$63,0)),"Media"))</f>
        <v/>
      </c>
      <c r="O155" s="28">
        <f>IF($M155="","",IF($C155="Interna","NO",IFERROR(INDEX(CONFIG!$E$4:$E$63,MATCH($M155,CONFIG!$A$4:$A$63,0)),"NO")))</f>
        <v/>
      </c>
      <c r="P155" s="50" t="n"/>
      <c r="Q155" s="50" t="n"/>
      <c r="R155" s="28">
        <f>IF($Q155="","",IFERROR(INDEX(CONFIG!$H$4:$H$63,MATCH($Q155,CONFIG!$G$4:$G$63,0)),"Por definir"))</f>
        <v/>
      </c>
      <c r="S155" s="28">
        <f>IF($Q155="","",IFERROR(INDEX(CONFIG!$I$4:$I$63,MATCH($Q155,CONFIG!$G$4:$G$63,0)),"Por definir"))</f>
        <v/>
      </c>
      <c r="T155" s="51" t="n"/>
      <c r="U155" s="52" t="n"/>
      <c r="V155" s="50" t="n"/>
      <c r="W155" s="50" t="n"/>
      <c r="X155" s="49">
        <f>IF(OR($B155="",$M155=""),"",WORKDAY($B155,IFERROR(INDEX(CONFIG!$D$4:$D$63,MATCH($M155,CONFIG!$A$4:$A$63,0)),3)))</f>
        <v/>
      </c>
      <c r="Y155" s="47" t="n"/>
      <c r="Z155" s="24">
        <f>IF($B155="","",IF($Y155&lt;&gt;"",$Y155-$B155,TODAY()-$B155))</f>
        <v/>
      </c>
      <c r="AA155" s="28">
        <f>IF($B155="","",IF(IFERROR(INDEX(CONFIG!$L$4:$L$63,MATCH($V155,CONFIG!$K$4:$K$63,0)),"NO")="SÍ",IF(OR($Y155="",$X155=""),"Resuelta",IF($Y155&gt;$X155,"Resuelta tarde","Resuelta a tiempo")),IF($X155="","Sin clasificar",IF(TODAY()&gt;$X155,"Vencida",IF(TODAY()&gt;=$X155-1,"Por vencer","En plazo")))))</f>
        <v/>
      </c>
      <c r="AB155" s="50" t="n"/>
      <c r="AC155" s="50" t="n"/>
    </row>
    <row r="156" ht="16" customHeight="1">
      <c r="A156" s="28">
        <f>IF($B156="","","N-"&amp;TEXT(ROW()-3,"0000"))</f>
        <v/>
      </c>
      <c r="B156" s="47" t="n"/>
      <c r="C156" s="48" t="n"/>
      <c r="D156" s="48" t="n"/>
      <c r="E156" s="28">
        <f>IF($C156="","",IF($D156="",IF($C156="Interna","Sin guía (interna)","FALTA GUÍA"),IF(COUNTIFS(ENVIOS!$A$4:$A$3003,$D156)=0,"NO EXISTE",IF(COUNTIFS(ENVIOS!$A$4:$A$3003,$D156)&gt;1,"DUPLICADA","OK"))))</f>
        <v/>
      </c>
      <c r="F156" s="28">
        <f>IF($D156="","",IFERROR(INDEX(ENVIOS!$B$4:$B$3003,MATCH($D156,ENVIOS!$A$4:$A$3003,0)),"—"))</f>
        <v/>
      </c>
      <c r="G156" s="23">
        <f>IF($D156="","",IFERROR(INDEX(ENVIOS!$D$4:$D$3003,MATCH($D156,ENVIOS!$A$4:$A$3003,0)),"—"))</f>
        <v/>
      </c>
      <c r="H156" s="23">
        <f>IF($D156="","",IFERROR(INDEX(ENVIOS!$E$4:$E$3003,MATCH($D156,ENVIOS!$A$4:$A$3003,0)),"—"))</f>
        <v/>
      </c>
      <c r="I156" s="23">
        <f>IF($D156="","",IFERROR(INDEX(ENVIOS!$F$4:$F$3003,MATCH($D156,ENVIOS!$A$4:$A$3003,0)),"—"))</f>
        <v/>
      </c>
      <c r="J156" s="23">
        <f>IF($D156="","",IFERROR(INDEX(ENVIOS!$G$4:$G$3003,MATCH($D156,ENVIOS!$A$4:$A$3003,0)),"—"))</f>
        <v/>
      </c>
      <c r="K156" s="28">
        <f>IF($D156="","",IFERROR(INDEX(ENVIOS!$H$4:$H$3003,MATCH($D156,ENVIOS!$A$4:$A$3003,0)),"—"))</f>
        <v/>
      </c>
      <c r="L156" s="49">
        <f>IF($D156="","",IFERROR(INDEX(ENVIOS!$C$4:$C$3003,MATCH($D156,ENVIOS!$A$4:$A$3003,0)),""))</f>
        <v/>
      </c>
      <c r="M156" s="50" t="n"/>
      <c r="N156" s="28">
        <f>IF($M156="","",IFERROR(INDEX(CONFIG!$C$4:$C$63,MATCH($M156,CONFIG!$A$4:$A$63,0)),"Media"))</f>
        <v/>
      </c>
      <c r="O156" s="28">
        <f>IF($M156="","",IF($C156="Interna","NO",IFERROR(INDEX(CONFIG!$E$4:$E$63,MATCH($M156,CONFIG!$A$4:$A$63,0)),"NO")))</f>
        <v/>
      </c>
      <c r="P156" s="50" t="n"/>
      <c r="Q156" s="50" t="n"/>
      <c r="R156" s="28">
        <f>IF($Q156="","",IFERROR(INDEX(CONFIG!$H$4:$H$63,MATCH($Q156,CONFIG!$G$4:$G$63,0)),"Por definir"))</f>
        <v/>
      </c>
      <c r="S156" s="28">
        <f>IF($Q156="","",IFERROR(INDEX(CONFIG!$I$4:$I$63,MATCH($Q156,CONFIG!$G$4:$G$63,0)),"Por definir"))</f>
        <v/>
      </c>
      <c r="T156" s="51" t="n"/>
      <c r="U156" s="52" t="n"/>
      <c r="V156" s="50" t="n"/>
      <c r="W156" s="50" t="n"/>
      <c r="X156" s="49">
        <f>IF(OR($B156="",$M156=""),"",WORKDAY($B156,IFERROR(INDEX(CONFIG!$D$4:$D$63,MATCH($M156,CONFIG!$A$4:$A$63,0)),3)))</f>
        <v/>
      </c>
      <c r="Y156" s="47" t="n"/>
      <c r="Z156" s="24">
        <f>IF($B156="","",IF($Y156&lt;&gt;"",$Y156-$B156,TODAY()-$B156))</f>
        <v/>
      </c>
      <c r="AA156" s="28">
        <f>IF($B156="","",IF(IFERROR(INDEX(CONFIG!$L$4:$L$63,MATCH($V156,CONFIG!$K$4:$K$63,0)),"NO")="SÍ",IF(OR($Y156="",$X156=""),"Resuelta",IF($Y156&gt;$X156,"Resuelta tarde","Resuelta a tiempo")),IF($X156="","Sin clasificar",IF(TODAY()&gt;$X156,"Vencida",IF(TODAY()&gt;=$X156-1,"Por vencer","En plazo")))))</f>
        <v/>
      </c>
      <c r="AB156" s="50" t="n"/>
      <c r="AC156" s="50" t="n"/>
    </row>
    <row r="157" ht="16" customHeight="1">
      <c r="A157" s="28">
        <f>IF($B157="","","N-"&amp;TEXT(ROW()-3,"0000"))</f>
        <v/>
      </c>
      <c r="B157" s="47" t="n"/>
      <c r="C157" s="48" t="n"/>
      <c r="D157" s="48" t="n"/>
      <c r="E157" s="28">
        <f>IF($C157="","",IF($D157="",IF($C157="Interna","Sin guía (interna)","FALTA GUÍA"),IF(COUNTIFS(ENVIOS!$A$4:$A$3003,$D157)=0,"NO EXISTE",IF(COUNTIFS(ENVIOS!$A$4:$A$3003,$D157)&gt;1,"DUPLICADA","OK"))))</f>
        <v/>
      </c>
      <c r="F157" s="28">
        <f>IF($D157="","",IFERROR(INDEX(ENVIOS!$B$4:$B$3003,MATCH($D157,ENVIOS!$A$4:$A$3003,0)),"—"))</f>
        <v/>
      </c>
      <c r="G157" s="23">
        <f>IF($D157="","",IFERROR(INDEX(ENVIOS!$D$4:$D$3003,MATCH($D157,ENVIOS!$A$4:$A$3003,0)),"—"))</f>
        <v/>
      </c>
      <c r="H157" s="23">
        <f>IF($D157="","",IFERROR(INDEX(ENVIOS!$E$4:$E$3003,MATCH($D157,ENVIOS!$A$4:$A$3003,0)),"—"))</f>
        <v/>
      </c>
      <c r="I157" s="23">
        <f>IF($D157="","",IFERROR(INDEX(ENVIOS!$F$4:$F$3003,MATCH($D157,ENVIOS!$A$4:$A$3003,0)),"—"))</f>
        <v/>
      </c>
      <c r="J157" s="23">
        <f>IF($D157="","",IFERROR(INDEX(ENVIOS!$G$4:$G$3003,MATCH($D157,ENVIOS!$A$4:$A$3003,0)),"—"))</f>
        <v/>
      </c>
      <c r="K157" s="28">
        <f>IF($D157="","",IFERROR(INDEX(ENVIOS!$H$4:$H$3003,MATCH($D157,ENVIOS!$A$4:$A$3003,0)),"—"))</f>
        <v/>
      </c>
      <c r="L157" s="49">
        <f>IF($D157="","",IFERROR(INDEX(ENVIOS!$C$4:$C$3003,MATCH($D157,ENVIOS!$A$4:$A$3003,0)),""))</f>
        <v/>
      </c>
      <c r="M157" s="50" t="n"/>
      <c r="N157" s="28">
        <f>IF($M157="","",IFERROR(INDEX(CONFIG!$C$4:$C$63,MATCH($M157,CONFIG!$A$4:$A$63,0)),"Media"))</f>
        <v/>
      </c>
      <c r="O157" s="28">
        <f>IF($M157="","",IF($C157="Interna","NO",IFERROR(INDEX(CONFIG!$E$4:$E$63,MATCH($M157,CONFIG!$A$4:$A$63,0)),"NO")))</f>
        <v/>
      </c>
      <c r="P157" s="50" t="n"/>
      <c r="Q157" s="50" t="n"/>
      <c r="R157" s="28">
        <f>IF($Q157="","",IFERROR(INDEX(CONFIG!$H$4:$H$63,MATCH($Q157,CONFIG!$G$4:$G$63,0)),"Por definir"))</f>
        <v/>
      </c>
      <c r="S157" s="28">
        <f>IF($Q157="","",IFERROR(INDEX(CONFIG!$I$4:$I$63,MATCH($Q157,CONFIG!$G$4:$G$63,0)),"Por definir"))</f>
        <v/>
      </c>
      <c r="T157" s="51" t="n"/>
      <c r="U157" s="52" t="n"/>
      <c r="V157" s="50" t="n"/>
      <c r="W157" s="50" t="n"/>
      <c r="X157" s="49">
        <f>IF(OR($B157="",$M157=""),"",WORKDAY($B157,IFERROR(INDEX(CONFIG!$D$4:$D$63,MATCH($M157,CONFIG!$A$4:$A$63,0)),3)))</f>
        <v/>
      </c>
      <c r="Y157" s="47" t="n"/>
      <c r="Z157" s="24">
        <f>IF($B157="","",IF($Y157&lt;&gt;"",$Y157-$B157,TODAY()-$B157))</f>
        <v/>
      </c>
      <c r="AA157" s="28">
        <f>IF($B157="","",IF(IFERROR(INDEX(CONFIG!$L$4:$L$63,MATCH($V157,CONFIG!$K$4:$K$63,0)),"NO")="SÍ",IF(OR($Y157="",$X157=""),"Resuelta",IF($Y157&gt;$X157,"Resuelta tarde","Resuelta a tiempo")),IF($X157="","Sin clasificar",IF(TODAY()&gt;$X157,"Vencida",IF(TODAY()&gt;=$X157-1,"Por vencer","En plazo")))))</f>
        <v/>
      </c>
      <c r="AB157" s="50" t="n"/>
      <c r="AC157" s="50" t="n"/>
    </row>
    <row r="158" ht="16" customHeight="1">
      <c r="A158" s="28">
        <f>IF($B158="","","N-"&amp;TEXT(ROW()-3,"0000"))</f>
        <v/>
      </c>
      <c r="B158" s="47" t="n"/>
      <c r="C158" s="48" t="n"/>
      <c r="D158" s="48" t="n"/>
      <c r="E158" s="28">
        <f>IF($C158="","",IF($D158="",IF($C158="Interna","Sin guía (interna)","FALTA GUÍA"),IF(COUNTIFS(ENVIOS!$A$4:$A$3003,$D158)=0,"NO EXISTE",IF(COUNTIFS(ENVIOS!$A$4:$A$3003,$D158)&gt;1,"DUPLICADA","OK"))))</f>
        <v/>
      </c>
      <c r="F158" s="28">
        <f>IF($D158="","",IFERROR(INDEX(ENVIOS!$B$4:$B$3003,MATCH($D158,ENVIOS!$A$4:$A$3003,0)),"—"))</f>
        <v/>
      </c>
      <c r="G158" s="23">
        <f>IF($D158="","",IFERROR(INDEX(ENVIOS!$D$4:$D$3003,MATCH($D158,ENVIOS!$A$4:$A$3003,0)),"—"))</f>
        <v/>
      </c>
      <c r="H158" s="23">
        <f>IF($D158="","",IFERROR(INDEX(ENVIOS!$E$4:$E$3003,MATCH($D158,ENVIOS!$A$4:$A$3003,0)),"—"))</f>
        <v/>
      </c>
      <c r="I158" s="23">
        <f>IF($D158="","",IFERROR(INDEX(ENVIOS!$F$4:$F$3003,MATCH($D158,ENVIOS!$A$4:$A$3003,0)),"—"))</f>
        <v/>
      </c>
      <c r="J158" s="23">
        <f>IF($D158="","",IFERROR(INDEX(ENVIOS!$G$4:$G$3003,MATCH($D158,ENVIOS!$A$4:$A$3003,0)),"—"))</f>
        <v/>
      </c>
      <c r="K158" s="28">
        <f>IF($D158="","",IFERROR(INDEX(ENVIOS!$H$4:$H$3003,MATCH($D158,ENVIOS!$A$4:$A$3003,0)),"—"))</f>
        <v/>
      </c>
      <c r="L158" s="49">
        <f>IF($D158="","",IFERROR(INDEX(ENVIOS!$C$4:$C$3003,MATCH($D158,ENVIOS!$A$4:$A$3003,0)),""))</f>
        <v/>
      </c>
      <c r="M158" s="50" t="n"/>
      <c r="N158" s="28">
        <f>IF($M158="","",IFERROR(INDEX(CONFIG!$C$4:$C$63,MATCH($M158,CONFIG!$A$4:$A$63,0)),"Media"))</f>
        <v/>
      </c>
      <c r="O158" s="28">
        <f>IF($M158="","",IF($C158="Interna","NO",IFERROR(INDEX(CONFIG!$E$4:$E$63,MATCH($M158,CONFIG!$A$4:$A$63,0)),"NO")))</f>
        <v/>
      </c>
      <c r="P158" s="50" t="n"/>
      <c r="Q158" s="50" t="n"/>
      <c r="R158" s="28">
        <f>IF($Q158="","",IFERROR(INDEX(CONFIG!$H$4:$H$63,MATCH($Q158,CONFIG!$G$4:$G$63,0)),"Por definir"))</f>
        <v/>
      </c>
      <c r="S158" s="28">
        <f>IF($Q158="","",IFERROR(INDEX(CONFIG!$I$4:$I$63,MATCH($Q158,CONFIG!$G$4:$G$63,0)),"Por definir"))</f>
        <v/>
      </c>
      <c r="T158" s="51" t="n"/>
      <c r="U158" s="52" t="n"/>
      <c r="V158" s="50" t="n"/>
      <c r="W158" s="50" t="n"/>
      <c r="X158" s="49">
        <f>IF(OR($B158="",$M158=""),"",WORKDAY($B158,IFERROR(INDEX(CONFIG!$D$4:$D$63,MATCH($M158,CONFIG!$A$4:$A$63,0)),3)))</f>
        <v/>
      </c>
      <c r="Y158" s="47" t="n"/>
      <c r="Z158" s="24">
        <f>IF($B158="","",IF($Y158&lt;&gt;"",$Y158-$B158,TODAY()-$B158))</f>
        <v/>
      </c>
      <c r="AA158" s="28">
        <f>IF($B158="","",IF(IFERROR(INDEX(CONFIG!$L$4:$L$63,MATCH($V158,CONFIG!$K$4:$K$63,0)),"NO")="SÍ",IF(OR($Y158="",$X158=""),"Resuelta",IF($Y158&gt;$X158,"Resuelta tarde","Resuelta a tiempo")),IF($X158="","Sin clasificar",IF(TODAY()&gt;$X158,"Vencida",IF(TODAY()&gt;=$X158-1,"Por vencer","En plazo")))))</f>
        <v/>
      </c>
      <c r="AB158" s="50" t="n"/>
      <c r="AC158" s="50" t="n"/>
    </row>
    <row r="159" ht="16" customHeight="1">
      <c r="A159" s="28">
        <f>IF($B159="","","N-"&amp;TEXT(ROW()-3,"0000"))</f>
        <v/>
      </c>
      <c r="B159" s="47" t="n"/>
      <c r="C159" s="48" t="n"/>
      <c r="D159" s="48" t="n"/>
      <c r="E159" s="28">
        <f>IF($C159="","",IF($D159="",IF($C159="Interna","Sin guía (interna)","FALTA GUÍA"),IF(COUNTIFS(ENVIOS!$A$4:$A$3003,$D159)=0,"NO EXISTE",IF(COUNTIFS(ENVIOS!$A$4:$A$3003,$D159)&gt;1,"DUPLICADA","OK"))))</f>
        <v/>
      </c>
      <c r="F159" s="28">
        <f>IF($D159="","",IFERROR(INDEX(ENVIOS!$B$4:$B$3003,MATCH($D159,ENVIOS!$A$4:$A$3003,0)),"—"))</f>
        <v/>
      </c>
      <c r="G159" s="23">
        <f>IF($D159="","",IFERROR(INDEX(ENVIOS!$D$4:$D$3003,MATCH($D159,ENVIOS!$A$4:$A$3003,0)),"—"))</f>
        <v/>
      </c>
      <c r="H159" s="23">
        <f>IF($D159="","",IFERROR(INDEX(ENVIOS!$E$4:$E$3003,MATCH($D159,ENVIOS!$A$4:$A$3003,0)),"—"))</f>
        <v/>
      </c>
      <c r="I159" s="23">
        <f>IF($D159="","",IFERROR(INDEX(ENVIOS!$F$4:$F$3003,MATCH($D159,ENVIOS!$A$4:$A$3003,0)),"—"))</f>
        <v/>
      </c>
      <c r="J159" s="23">
        <f>IF($D159="","",IFERROR(INDEX(ENVIOS!$G$4:$G$3003,MATCH($D159,ENVIOS!$A$4:$A$3003,0)),"—"))</f>
        <v/>
      </c>
      <c r="K159" s="28">
        <f>IF($D159="","",IFERROR(INDEX(ENVIOS!$H$4:$H$3003,MATCH($D159,ENVIOS!$A$4:$A$3003,0)),"—"))</f>
        <v/>
      </c>
      <c r="L159" s="49">
        <f>IF($D159="","",IFERROR(INDEX(ENVIOS!$C$4:$C$3003,MATCH($D159,ENVIOS!$A$4:$A$3003,0)),""))</f>
        <v/>
      </c>
      <c r="M159" s="50" t="n"/>
      <c r="N159" s="28">
        <f>IF($M159="","",IFERROR(INDEX(CONFIG!$C$4:$C$63,MATCH($M159,CONFIG!$A$4:$A$63,0)),"Media"))</f>
        <v/>
      </c>
      <c r="O159" s="28">
        <f>IF($M159="","",IF($C159="Interna","NO",IFERROR(INDEX(CONFIG!$E$4:$E$63,MATCH($M159,CONFIG!$A$4:$A$63,0)),"NO")))</f>
        <v/>
      </c>
      <c r="P159" s="50" t="n"/>
      <c r="Q159" s="50" t="n"/>
      <c r="R159" s="28">
        <f>IF($Q159="","",IFERROR(INDEX(CONFIG!$H$4:$H$63,MATCH($Q159,CONFIG!$G$4:$G$63,0)),"Por definir"))</f>
        <v/>
      </c>
      <c r="S159" s="28">
        <f>IF($Q159="","",IFERROR(INDEX(CONFIG!$I$4:$I$63,MATCH($Q159,CONFIG!$G$4:$G$63,0)),"Por definir"))</f>
        <v/>
      </c>
      <c r="T159" s="51" t="n"/>
      <c r="U159" s="52" t="n"/>
      <c r="V159" s="50" t="n"/>
      <c r="W159" s="50" t="n"/>
      <c r="X159" s="49">
        <f>IF(OR($B159="",$M159=""),"",WORKDAY($B159,IFERROR(INDEX(CONFIG!$D$4:$D$63,MATCH($M159,CONFIG!$A$4:$A$63,0)),3)))</f>
        <v/>
      </c>
      <c r="Y159" s="47" t="n"/>
      <c r="Z159" s="24">
        <f>IF($B159="","",IF($Y159&lt;&gt;"",$Y159-$B159,TODAY()-$B159))</f>
        <v/>
      </c>
      <c r="AA159" s="28">
        <f>IF($B159="","",IF(IFERROR(INDEX(CONFIG!$L$4:$L$63,MATCH($V159,CONFIG!$K$4:$K$63,0)),"NO")="SÍ",IF(OR($Y159="",$X159=""),"Resuelta",IF($Y159&gt;$X159,"Resuelta tarde","Resuelta a tiempo")),IF($X159="","Sin clasificar",IF(TODAY()&gt;$X159,"Vencida",IF(TODAY()&gt;=$X159-1,"Por vencer","En plazo")))))</f>
        <v/>
      </c>
      <c r="AB159" s="50" t="n"/>
      <c r="AC159" s="50" t="n"/>
    </row>
    <row r="160" ht="16" customHeight="1">
      <c r="A160" s="28">
        <f>IF($B160="","","N-"&amp;TEXT(ROW()-3,"0000"))</f>
        <v/>
      </c>
      <c r="B160" s="47" t="n"/>
      <c r="C160" s="48" t="n"/>
      <c r="D160" s="48" t="n"/>
      <c r="E160" s="28">
        <f>IF($C160="","",IF($D160="",IF($C160="Interna","Sin guía (interna)","FALTA GUÍA"),IF(COUNTIFS(ENVIOS!$A$4:$A$3003,$D160)=0,"NO EXISTE",IF(COUNTIFS(ENVIOS!$A$4:$A$3003,$D160)&gt;1,"DUPLICADA","OK"))))</f>
        <v/>
      </c>
      <c r="F160" s="28">
        <f>IF($D160="","",IFERROR(INDEX(ENVIOS!$B$4:$B$3003,MATCH($D160,ENVIOS!$A$4:$A$3003,0)),"—"))</f>
        <v/>
      </c>
      <c r="G160" s="23">
        <f>IF($D160="","",IFERROR(INDEX(ENVIOS!$D$4:$D$3003,MATCH($D160,ENVIOS!$A$4:$A$3003,0)),"—"))</f>
        <v/>
      </c>
      <c r="H160" s="23">
        <f>IF($D160="","",IFERROR(INDEX(ENVIOS!$E$4:$E$3003,MATCH($D160,ENVIOS!$A$4:$A$3003,0)),"—"))</f>
        <v/>
      </c>
      <c r="I160" s="23">
        <f>IF($D160="","",IFERROR(INDEX(ENVIOS!$F$4:$F$3003,MATCH($D160,ENVIOS!$A$4:$A$3003,0)),"—"))</f>
        <v/>
      </c>
      <c r="J160" s="23">
        <f>IF($D160="","",IFERROR(INDEX(ENVIOS!$G$4:$G$3003,MATCH($D160,ENVIOS!$A$4:$A$3003,0)),"—"))</f>
        <v/>
      </c>
      <c r="K160" s="28">
        <f>IF($D160="","",IFERROR(INDEX(ENVIOS!$H$4:$H$3003,MATCH($D160,ENVIOS!$A$4:$A$3003,0)),"—"))</f>
        <v/>
      </c>
      <c r="L160" s="49">
        <f>IF($D160="","",IFERROR(INDEX(ENVIOS!$C$4:$C$3003,MATCH($D160,ENVIOS!$A$4:$A$3003,0)),""))</f>
        <v/>
      </c>
      <c r="M160" s="50" t="n"/>
      <c r="N160" s="28">
        <f>IF($M160="","",IFERROR(INDEX(CONFIG!$C$4:$C$63,MATCH($M160,CONFIG!$A$4:$A$63,0)),"Media"))</f>
        <v/>
      </c>
      <c r="O160" s="28">
        <f>IF($M160="","",IF($C160="Interna","NO",IFERROR(INDEX(CONFIG!$E$4:$E$63,MATCH($M160,CONFIG!$A$4:$A$63,0)),"NO")))</f>
        <v/>
      </c>
      <c r="P160" s="50" t="n"/>
      <c r="Q160" s="50" t="n"/>
      <c r="R160" s="28">
        <f>IF($Q160="","",IFERROR(INDEX(CONFIG!$H$4:$H$63,MATCH($Q160,CONFIG!$G$4:$G$63,0)),"Por definir"))</f>
        <v/>
      </c>
      <c r="S160" s="28">
        <f>IF($Q160="","",IFERROR(INDEX(CONFIG!$I$4:$I$63,MATCH($Q160,CONFIG!$G$4:$G$63,0)),"Por definir"))</f>
        <v/>
      </c>
      <c r="T160" s="51" t="n"/>
      <c r="U160" s="52" t="n"/>
      <c r="V160" s="50" t="n"/>
      <c r="W160" s="50" t="n"/>
      <c r="X160" s="49">
        <f>IF(OR($B160="",$M160=""),"",WORKDAY($B160,IFERROR(INDEX(CONFIG!$D$4:$D$63,MATCH($M160,CONFIG!$A$4:$A$63,0)),3)))</f>
        <v/>
      </c>
      <c r="Y160" s="47" t="n"/>
      <c r="Z160" s="24">
        <f>IF($B160="","",IF($Y160&lt;&gt;"",$Y160-$B160,TODAY()-$B160))</f>
        <v/>
      </c>
      <c r="AA160" s="28">
        <f>IF($B160="","",IF(IFERROR(INDEX(CONFIG!$L$4:$L$63,MATCH($V160,CONFIG!$K$4:$K$63,0)),"NO")="SÍ",IF(OR($Y160="",$X160=""),"Resuelta",IF($Y160&gt;$X160,"Resuelta tarde","Resuelta a tiempo")),IF($X160="","Sin clasificar",IF(TODAY()&gt;$X160,"Vencida",IF(TODAY()&gt;=$X160-1,"Por vencer","En plazo")))))</f>
        <v/>
      </c>
      <c r="AB160" s="50" t="n"/>
      <c r="AC160" s="50" t="n"/>
    </row>
    <row r="161" ht="16" customHeight="1">
      <c r="A161" s="28">
        <f>IF($B161="","","N-"&amp;TEXT(ROW()-3,"0000"))</f>
        <v/>
      </c>
      <c r="B161" s="47" t="n"/>
      <c r="C161" s="48" t="n"/>
      <c r="D161" s="48" t="n"/>
      <c r="E161" s="28">
        <f>IF($C161="","",IF($D161="",IF($C161="Interna","Sin guía (interna)","FALTA GUÍA"),IF(COUNTIFS(ENVIOS!$A$4:$A$3003,$D161)=0,"NO EXISTE",IF(COUNTIFS(ENVIOS!$A$4:$A$3003,$D161)&gt;1,"DUPLICADA","OK"))))</f>
        <v/>
      </c>
      <c r="F161" s="28">
        <f>IF($D161="","",IFERROR(INDEX(ENVIOS!$B$4:$B$3003,MATCH($D161,ENVIOS!$A$4:$A$3003,0)),"—"))</f>
        <v/>
      </c>
      <c r="G161" s="23">
        <f>IF($D161="","",IFERROR(INDEX(ENVIOS!$D$4:$D$3003,MATCH($D161,ENVIOS!$A$4:$A$3003,0)),"—"))</f>
        <v/>
      </c>
      <c r="H161" s="23">
        <f>IF($D161="","",IFERROR(INDEX(ENVIOS!$E$4:$E$3003,MATCH($D161,ENVIOS!$A$4:$A$3003,0)),"—"))</f>
        <v/>
      </c>
      <c r="I161" s="23">
        <f>IF($D161="","",IFERROR(INDEX(ENVIOS!$F$4:$F$3003,MATCH($D161,ENVIOS!$A$4:$A$3003,0)),"—"))</f>
        <v/>
      </c>
      <c r="J161" s="23">
        <f>IF($D161="","",IFERROR(INDEX(ENVIOS!$G$4:$G$3003,MATCH($D161,ENVIOS!$A$4:$A$3003,0)),"—"))</f>
        <v/>
      </c>
      <c r="K161" s="28">
        <f>IF($D161="","",IFERROR(INDEX(ENVIOS!$H$4:$H$3003,MATCH($D161,ENVIOS!$A$4:$A$3003,0)),"—"))</f>
        <v/>
      </c>
      <c r="L161" s="49">
        <f>IF($D161="","",IFERROR(INDEX(ENVIOS!$C$4:$C$3003,MATCH($D161,ENVIOS!$A$4:$A$3003,0)),""))</f>
        <v/>
      </c>
      <c r="M161" s="50" t="n"/>
      <c r="N161" s="28">
        <f>IF($M161="","",IFERROR(INDEX(CONFIG!$C$4:$C$63,MATCH($M161,CONFIG!$A$4:$A$63,0)),"Media"))</f>
        <v/>
      </c>
      <c r="O161" s="28">
        <f>IF($M161="","",IF($C161="Interna","NO",IFERROR(INDEX(CONFIG!$E$4:$E$63,MATCH($M161,CONFIG!$A$4:$A$63,0)),"NO")))</f>
        <v/>
      </c>
      <c r="P161" s="50" t="n"/>
      <c r="Q161" s="50" t="n"/>
      <c r="R161" s="28">
        <f>IF($Q161="","",IFERROR(INDEX(CONFIG!$H$4:$H$63,MATCH($Q161,CONFIG!$G$4:$G$63,0)),"Por definir"))</f>
        <v/>
      </c>
      <c r="S161" s="28">
        <f>IF($Q161="","",IFERROR(INDEX(CONFIG!$I$4:$I$63,MATCH($Q161,CONFIG!$G$4:$G$63,0)),"Por definir"))</f>
        <v/>
      </c>
      <c r="T161" s="51" t="n"/>
      <c r="U161" s="52" t="n"/>
      <c r="V161" s="50" t="n"/>
      <c r="W161" s="50" t="n"/>
      <c r="X161" s="49">
        <f>IF(OR($B161="",$M161=""),"",WORKDAY($B161,IFERROR(INDEX(CONFIG!$D$4:$D$63,MATCH($M161,CONFIG!$A$4:$A$63,0)),3)))</f>
        <v/>
      </c>
      <c r="Y161" s="47" t="n"/>
      <c r="Z161" s="24">
        <f>IF($B161="","",IF($Y161&lt;&gt;"",$Y161-$B161,TODAY()-$B161))</f>
        <v/>
      </c>
      <c r="AA161" s="28">
        <f>IF($B161="","",IF(IFERROR(INDEX(CONFIG!$L$4:$L$63,MATCH($V161,CONFIG!$K$4:$K$63,0)),"NO")="SÍ",IF(OR($Y161="",$X161=""),"Resuelta",IF($Y161&gt;$X161,"Resuelta tarde","Resuelta a tiempo")),IF($X161="","Sin clasificar",IF(TODAY()&gt;$X161,"Vencida",IF(TODAY()&gt;=$X161-1,"Por vencer","En plazo")))))</f>
        <v/>
      </c>
      <c r="AB161" s="50" t="n"/>
      <c r="AC161" s="50" t="n"/>
    </row>
    <row r="162" ht="16" customHeight="1">
      <c r="A162" s="28">
        <f>IF($B162="","","N-"&amp;TEXT(ROW()-3,"0000"))</f>
        <v/>
      </c>
      <c r="B162" s="47" t="n"/>
      <c r="C162" s="48" t="n"/>
      <c r="D162" s="48" t="n"/>
      <c r="E162" s="28">
        <f>IF($C162="","",IF($D162="",IF($C162="Interna","Sin guía (interna)","FALTA GUÍA"),IF(COUNTIFS(ENVIOS!$A$4:$A$3003,$D162)=0,"NO EXISTE",IF(COUNTIFS(ENVIOS!$A$4:$A$3003,$D162)&gt;1,"DUPLICADA","OK"))))</f>
        <v/>
      </c>
      <c r="F162" s="28">
        <f>IF($D162="","",IFERROR(INDEX(ENVIOS!$B$4:$B$3003,MATCH($D162,ENVIOS!$A$4:$A$3003,0)),"—"))</f>
        <v/>
      </c>
      <c r="G162" s="23">
        <f>IF($D162="","",IFERROR(INDEX(ENVIOS!$D$4:$D$3003,MATCH($D162,ENVIOS!$A$4:$A$3003,0)),"—"))</f>
        <v/>
      </c>
      <c r="H162" s="23">
        <f>IF($D162="","",IFERROR(INDEX(ENVIOS!$E$4:$E$3003,MATCH($D162,ENVIOS!$A$4:$A$3003,0)),"—"))</f>
        <v/>
      </c>
      <c r="I162" s="23">
        <f>IF($D162="","",IFERROR(INDEX(ENVIOS!$F$4:$F$3003,MATCH($D162,ENVIOS!$A$4:$A$3003,0)),"—"))</f>
        <v/>
      </c>
      <c r="J162" s="23">
        <f>IF($D162="","",IFERROR(INDEX(ENVIOS!$G$4:$G$3003,MATCH($D162,ENVIOS!$A$4:$A$3003,0)),"—"))</f>
        <v/>
      </c>
      <c r="K162" s="28">
        <f>IF($D162="","",IFERROR(INDEX(ENVIOS!$H$4:$H$3003,MATCH($D162,ENVIOS!$A$4:$A$3003,0)),"—"))</f>
        <v/>
      </c>
      <c r="L162" s="49">
        <f>IF($D162="","",IFERROR(INDEX(ENVIOS!$C$4:$C$3003,MATCH($D162,ENVIOS!$A$4:$A$3003,0)),""))</f>
        <v/>
      </c>
      <c r="M162" s="50" t="n"/>
      <c r="N162" s="28">
        <f>IF($M162="","",IFERROR(INDEX(CONFIG!$C$4:$C$63,MATCH($M162,CONFIG!$A$4:$A$63,0)),"Media"))</f>
        <v/>
      </c>
      <c r="O162" s="28">
        <f>IF($M162="","",IF($C162="Interna","NO",IFERROR(INDEX(CONFIG!$E$4:$E$63,MATCH($M162,CONFIG!$A$4:$A$63,0)),"NO")))</f>
        <v/>
      </c>
      <c r="P162" s="50" t="n"/>
      <c r="Q162" s="50" t="n"/>
      <c r="R162" s="28">
        <f>IF($Q162="","",IFERROR(INDEX(CONFIG!$H$4:$H$63,MATCH($Q162,CONFIG!$G$4:$G$63,0)),"Por definir"))</f>
        <v/>
      </c>
      <c r="S162" s="28">
        <f>IF($Q162="","",IFERROR(INDEX(CONFIG!$I$4:$I$63,MATCH($Q162,CONFIG!$G$4:$G$63,0)),"Por definir"))</f>
        <v/>
      </c>
      <c r="T162" s="51" t="n"/>
      <c r="U162" s="52" t="n"/>
      <c r="V162" s="50" t="n"/>
      <c r="W162" s="50" t="n"/>
      <c r="X162" s="49">
        <f>IF(OR($B162="",$M162=""),"",WORKDAY($B162,IFERROR(INDEX(CONFIG!$D$4:$D$63,MATCH($M162,CONFIG!$A$4:$A$63,0)),3)))</f>
        <v/>
      </c>
      <c r="Y162" s="47" t="n"/>
      <c r="Z162" s="24">
        <f>IF($B162="","",IF($Y162&lt;&gt;"",$Y162-$B162,TODAY()-$B162))</f>
        <v/>
      </c>
      <c r="AA162" s="28">
        <f>IF($B162="","",IF(IFERROR(INDEX(CONFIG!$L$4:$L$63,MATCH($V162,CONFIG!$K$4:$K$63,0)),"NO")="SÍ",IF(OR($Y162="",$X162=""),"Resuelta",IF($Y162&gt;$X162,"Resuelta tarde","Resuelta a tiempo")),IF($X162="","Sin clasificar",IF(TODAY()&gt;$X162,"Vencida",IF(TODAY()&gt;=$X162-1,"Por vencer","En plazo")))))</f>
        <v/>
      </c>
      <c r="AB162" s="50" t="n"/>
      <c r="AC162" s="50" t="n"/>
    </row>
    <row r="163" ht="16" customHeight="1">
      <c r="A163" s="28">
        <f>IF($B163="","","N-"&amp;TEXT(ROW()-3,"0000"))</f>
        <v/>
      </c>
      <c r="B163" s="47" t="n"/>
      <c r="C163" s="48" t="n"/>
      <c r="D163" s="48" t="n"/>
      <c r="E163" s="28">
        <f>IF($C163="","",IF($D163="",IF($C163="Interna","Sin guía (interna)","FALTA GUÍA"),IF(COUNTIFS(ENVIOS!$A$4:$A$3003,$D163)=0,"NO EXISTE",IF(COUNTIFS(ENVIOS!$A$4:$A$3003,$D163)&gt;1,"DUPLICADA","OK"))))</f>
        <v/>
      </c>
      <c r="F163" s="28">
        <f>IF($D163="","",IFERROR(INDEX(ENVIOS!$B$4:$B$3003,MATCH($D163,ENVIOS!$A$4:$A$3003,0)),"—"))</f>
        <v/>
      </c>
      <c r="G163" s="23">
        <f>IF($D163="","",IFERROR(INDEX(ENVIOS!$D$4:$D$3003,MATCH($D163,ENVIOS!$A$4:$A$3003,0)),"—"))</f>
        <v/>
      </c>
      <c r="H163" s="23">
        <f>IF($D163="","",IFERROR(INDEX(ENVIOS!$E$4:$E$3003,MATCH($D163,ENVIOS!$A$4:$A$3003,0)),"—"))</f>
        <v/>
      </c>
      <c r="I163" s="23">
        <f>IF($D163="","",IFERROR(INDEX(ENVIOS!$F$4:$F$3003,MATCH($D163,ENVIOS!$A$4:$A$3003,0)),"—"))</f>
        <v/>
      </c>
      <c r="J163" s="23">
        <f>IF($D163="","",IFERROR(INDEX(ENVIOS!$G$4:$G$3003,MATCH($D163,ENVIOS!$A$4:$A$3003,0)),"—"))</f>
        <v/>
      </c>
      <c r="K163" s="28">
        <f>IF($D163="","",IFERROR(INDEX(ENVIOS!$H$4:$H$3003,MATCH($D163,ENVIOS!$A$4:$A$3003,0)),"—"))</f>
        <v/>
      </c>
      <c r="L163" s="49">
        <f>IF($D163="","",IFERROR(INDEX(ENVIOS!$C$4:$C$3003,MATCH($D163,ENVIOS!$A$4:$A$3003,0)),""))</f>
        <v/>
      </c>
      <c r="M163" s="50" t="n"/>
      <c r="N163" s="28">
        <f>IF($M163="","",IFERROR(INDEX(CONFIG!$C$4:$C$63,MATCH($M163,CONFIG!$A$4:$A$63,0)),"Media"))</f>
        <v/>
      </c>
      <c r="O163" s="28">
        <f>IF($M163="","",IF($C163="Interna","NO",IFERROR(INDEX(CONFIG!$E$4:$E$63,MATCH($M163,CONFIG!$A$4:$A$63,0)),"NO")))</f>
        <v/>
      </c>
      <c r="P163" s="50" t="n"/>
      <c r="Q163" s="50" t="n"/>
      <c r="R163" s="28">
        <f>IF($Q163="","",IFERROR(INDEX(CONFIG!$H$4:$H$63,MATCH($Q163,CONFIG!$G$4:$G$63,0)),"Por definir"))</f>
        <v/>
      </c>
      <c r="S163" s="28">
        <f>IF($Q163="","",IFERROR(INDEX(CONFIG!$I$4:$I$63,MATCH($Q163,CONFIG!$G$4:$G$63,0)),"Por definir"))</f>
        <v/>
      </c>
      <c r="T163" s="51" t="n"/>
      <c r="U163" s="52" t="n"/>
      <c r="V163" s="50" t="n"/>
      <c r="W163" s="50" t="n"/>
      <c r="X163" s="49">
        <f>IF(OR($B163="",$M163=""),"",WORKDAY($B163,IFERROR(INDEX(CONFIG!$D$4:$D$63,MATCH($M163,CONFIG!$A$4:$A$63,0)),3)))</f>
        <v/>
      </c>
      <c r="Y163" s="47" t="n"/>
      <c r="Z163" s="24">
        <f>IF($B163="","",IF($Y163&lt;&gt;"",$Y163-$B163,TODAY()-$B163))</f>
        <v/>
      </c>
      <c r="AA163" s="28">
        <f>IF($B163="","",IF(IFERROR(INDEX(CONFIG!$L$4:$L$63,MATCH($V163,CONFIG!$K$4:$K$63,0)),"NO")="SÍ",IF(OR($Y163="",$X163=""),"Resuelta",IF($Y163&gt;$X163,"Resuelta tarde","Resuelta a tiempo")),IF($X163="","Sin clasificar",IF(TODAY()&gt;$X163,"Vencida",IF(TODAY()&gt;=$X163-1,"Por vencer","En plazo")))))</f>
        <v/>
      </c>
      <c r="AB163" s="50" t="n"/>
      <c r="AC163" s="50" t="n"/>
    </row>
    <row r="164" ht="16" customHeight="1">
      <c r="A164" s="28">
        <f>IF($B164="","","N-"&amp;TEXT(ROW()-3,"0000"))</f>
        <v/>
      </c>
      <c r="B164" s="47" t="n"/>
      <c r="C164" s="48" t="n"/>
      <c r="D164" s="48" t="n"/>
      <c r="E164" s="28">
        <f>IF($C164="","",IF($D164="",IF($C164="Interna","Sin guía (interna)","FALTA GUÍA"),IF(COUNTIFS(ENVIOS!$A$4:$A$3003,$D164)=0,"NO EXISTE",IF(COUNTIFS(ENVIOS!$A$4:$A$3003,$D164)&gt;1,"DUPLICADA","OK"))))</f>
        <v/>
      </c>
      <c r="F164" s="28">
        <f>IF($D164="","",IFERROR(INDEX(ENVIOS!$B$4:$B$3003,MATCH($D164,ENVIOS!$A$4:$A$3003,0)),"—"))</f>
        <v/>
      </c>
      <c r="G164" s="23">
        <f>IF($D164="","",IFERROR(INDEX(ENVIOS!$D$4:$D$3003,MATCH($D164,ENVIOS!$A$4:$A$3003,0)),"—"))</f>
        <v/>
      </c>
      <c r="H164" s="23">
        <f>IF($D164="","",IFERROR(INDEX(ENVIOS!$E$4:$E$3003,MATCH($D164,ENVIOS!$A$4:$A$3003,0)),"—"))</f>
        <v/>
      </c>
      <c r="I164" s="23">
        <f>IF($D164="","",IFERROR(INDEX(ENVIOS!$F$4:$F$3003,MATCH($D164,ENVIOS!$A$4:$A$3003,0)),"—"))</f>
        <v/>
      </c>
      <c r="J164" s="23">
        <f>IF($D164="","",IFERROR(INDEX(ENVIOS!$G$4:$G$3003,MATCH($D164,ENVIOS!$A$4:$A$3003,0)),"—"))</f>
        <v/>
      </c>
      <c r="K164" s="28">
        <f>IF($D164="","",IFERROR(INDEX(ENVIOS!$H$4:$H$3003,MATCH($D164,ENVIOS!$A$4:$A$3003,0)),"—"))</f>
        <v/>
      </c>
      <c r="L164" s="49">
        <f>IF($D164="","",IFERROR(INDEX(ENVIOS!$C$4:$C$3003,MATCH($D164,ENVIOS!$A$4:$A$3003,0)),""))</f>
        <v/>
      </c>
      <c r="M164" s="50" t="n"/>
      <c r="N164" s="28">
        <f>IF($M164="","",IFERROR(INDEX(CONFIG!$C$4:$C$63,MATCH($M164,CONFIG!$A$4:$A$63,0)),"Media"))</f>
        <v/>
      </c>
      <c r="O164" s="28">
        <f>IF($M164="","",IF($C164="Interna","NO",IFERROR(INDEX(CONFIG!$E$4:$E$63,MATCH($M164,CONFIG!$A$4:$A$63,0)),"NO")))</f>
        <v/>
      </c>
      <c r="P164" s="50" t="n"/>
      <c r="Q164" s="50" t="n"/>
      <c r="R164" s="28">
        <f>IF($Q164="","",IFERROR(INDEX(CONFIG!$H$4:$H$63,MATCH($Q164,CONFIG!$G$4:$G$63,0)),"Por definir"))</f>
        <v/>
      </c>
      <c r="S164" s="28">
        <f>IF($Q164="","",IFERROR(INDEX(CONFIG!$I$4:$I$63,MATCH($Q164,CONFIG!$G$4:$G$63,0)),"Por definir"))</f>
        <v/>
      </c>
      <c r="T164" s="51" t="n"/>
      <c r="U164" s="52" t="n"/>
      <c r="V164" s="50" t="n"/>
      <c r="W164" s="50" t="n"/>
      <c r="X164" s="49">
        <f>IF(OR($B164="",$M164=""),"",WORKDAY($B164,IFERROR(INDEX(CONFIG!$D$4:$D$63,MATCH($M164,CONFIG!$A$4:$A$63,0)),3)))</f>
        <v/>
      </c>
      <c r="Y164" s="47" t="n"/>
      <c r="Z164" s="24">
        <f>IF($B164="","",IF($Y164&lt;&gt;"",$Y164-$B164,TODAY()-$B164))</f>
        <v/>
      </c>
      <c r="AA164" s="28">
        <f>IF($B164="","",IF(IFERROR(INDEX(CONFIG!$L$4:$L$63,MATCH($V164,CONFIG!$K$4:$K$63,0)),"NO")="SÍ",IF(OR($Y164="",$X164=""),"Resuelta",IF($Y164&gt;$X164,"Resuelta tarde","Resuelta a tiempo")),IF($X164="","Sin clasificar",IF(TODAY()&gt;$X164,"Vencida",IF(TODAY()&gt;=$X164-1,"Por vencer","En plazo")))))</f>
        <v/>
      </c>
      <c r="AB164" s="50" t="n"/>
      <c r="AC164" s="50" t="n"/>
    </row>
    <row r="165" ht="16" customHeight="1">
      <c r="A165" s="28">
        <f>IF($B165="","","N-"&amp;TEXT(ROW()-3,"0000"))</f>
        <v/>
      </c>
      <c r="B165" s="47" t="n"/>
      <c r="C165" s="48" t="n"/>
      <c r="D165" s="48" t="n"/>
      <c r="E165" s="28">
        <f>IF($C165="","",IF($D165="",IF($C165="Interna","Sin guía (interna)","FALTA GUÍA"),IF(COUNTIFS(ENVIOS!$A$4:$A$3003,$D165)=0,"NO EXISTE",IF(COUNTIFS(ENVIOS!$A$4:$A$3003,$D165)&gt;1,"DUPLICADA","OK"))))</f>
        <v/>
      </c>
      <c r="F165" s="28">
        <f>IF($D165="","",IFERROR(INDEX(ENVIOS!$B$4:$B$3003,MATCH($D165,ENVIOS!$A$4:$A$3003,0)),"—"))</f>
        <v/>
      </c>
      <c r="G165" s="23">
        <f>IF($D165="","",IFERROR(INDEX(ENVIOS!$D$4:$D$3003,MATCH($D165,ENVIOS!$A$4:$A$3003,0)),"—"))</f>
        <v/>
      </c>
      <c r="H165" s="23">
        <f>IF($D165="","",IFERROR(INDEX(ENVIOS!$E$4:$E$3003,MATCH($D165,ENVIOS!$A$4:$A$3003,0)),"—"))</f>
        <v/>
      </c>
      <c r="I165" s="23">
        <f>IF($D165="","",IFERROR(INDEX(ENVIOS!$F$4:$F$3003,MATCH($D165,ENVIOS!$A$4:$A$3003,0)),"—"))</f>
        <v/>
      </c>
      <c r="J165" s="23">
        <f>IF($D165="","",IFERROR(INDEX(ENVIOS!$G$4:$G$3003,MATCH($D165,ENVIOS!$A$4:$A$3003,0)),"—"))</f>
        <v/>
      </c>
      <c r="K165" s="28">
        <f>IF($D165="","",IFERROR(INDEX(ENVIOS!$H$4:$H$3003,MATCH($D165,ENVIOS!$A$4:$A$3003,0)),"—"))</f>
        <v/>
      </c>
      <c r="L165" s="49">
        <f>IF($D165="","",IFERROR(INDEX(ENVIOS!$C$4:$C$3003,MATCH($D165,ENVIOS!$A$4:$A$3003,0)),""))</f>
        <v/>
      </c>
      <c r="M165" s="50" t="n"/>
      <c r="N165" s="28">
        <f>IF($M165="","",IFERROR(INDEX(CONFIG!$C$4:$C$63,MATCH($M165,CONFIG!$A$4:$A$63,0)),"Media"))</f>
        <v/>
      </c>
      <c r="O165" s="28">
        <f>IF($M165="","",IF($C165="Interna","NO",IFERROR(INDEX(CONFIG!$E$4:$E$63,MATCH($M165,CONFIG!$A$4:$A$63,0)),"NO")))</f>
        <v/>
      </c>
      <c r="P165" s="50" t="n"/>
      <c r="Q165" s="50" t="n"/>
      <c r="R165" s="28">
        <f>IF($Q165="","",IFERROR(INDEX(CONFIG!$H$4:$H$63,MATCH($Q165,CONFIG!$G$4:$G$63,0)),"Por definir"))</f>
        <v/>
      </c>
      <c r="S165" s="28">
        <f>IF($Q165="","",IFERROR(INDEX(CONFIG!$I$4:$I$63,MATCH($Q165,CONFIG!$G$4:$G$63,0)),"Por definir"))</f>
        <v/>
      </c>
      <c r="T165" s="51" t="n"/>
      <c r="U165" s="52" t="n"/>
      <c r="V165" s="50" t="n"/>
      <c r="W165" s="50" t="n"/>
      <c r="X165" s="49">
        <f>IF(OR($B165="",$M165=""),"",WORKDAY($B165,IFERROR(INDEX(CONFIG!$D$4:$D$63,MATCH($M165,CONFIG!$A$4:$A$63,0)),3)))</f>
        <v/>
      </c>
      <c r="Y165" s="47" t="n"/>
      <c r="Z165" s="24">
        <f>IF($B165="","",IF($Y165&lt;&gt;"",$Y165-$B165,TODAY()-$B165))</f>
        <v/>
      </c>
      <c r="AA165" s="28">
        <f>IF($B165="","",IF(IFERROR(INDEX(CONFIG!$L$4:$L$63,MATCH($V165,CONFIG!$K$4:$K$63,0)),"NO")="SÍ",IF(OR($Y165="",$X165=""),"Resuelta",IF($Y165&gt;$X165,"Resuelta tarde","Resuelta a tiempo")),IF($X165="","Sin clasificar",IF(TODAY()&gt;$X165,"Vencida",IF(TODAY()&gt;=$X165-1,"Por vencer","En plazo")))))</f>
        <v/>
      </c>
      <c r="AB165" s="50" t="n"/>
      <c r="AC165" s="50" t="n"/>
    </row>
    <row r="166" ht="16" customHeight="1">
      <c r="A166" s="28">
        <f>IF($B166="","","N-"&amp;TEXT(ROW()-3,"0000"))</f>
        <v/>
      </c>
      <c r="B166" s="47" t="n"/>
      <c r="C166" s="48" t="n"/>
      <c r="D166" s="48" t="n"/>
      <c r="E166" s="28">
        <f>IF($C166="","",IF($D166="",IF($C166="Interna","Sin guía (interna)","FALTA GUÍA"),IF(COUNTIFS(ENVIOS!$A$4:$A$3003,$D166)=0,"NO EXISTE",IF(COUNTIFS(ENVIOS!$A$4:$A$3003,$D166)&gt;1,"DUPLICADA","OK"))))</f>
        <v/>
      </c>
      <c r="F166" s="28">
        <f>IF($D166="","",IFERROR(INDEX(ENVIOS!$B$4:$B$3003,MATCH($D166,ENVIOS!$A$4:$A$3003,0)),"—"))</f>
        <v/>
      </c>
      <c r="G166" s="23">
        <f>IF($D166="","",IFERROR(INDEX(ENVIOS!$D$4:$D$3003,MATCH($D166,ENVIOS!$A$4:$A$3003,0)),"—"))</f>
        <v/>
      </c>
      <c r="H166" s="23">
        <f>IF($D166="","",IFERROR(INDEX(ENVIOS!$E$4:$E$3003,MATCH($D166,ENVIOS!$A$4:$A$3003,0)),"—"))</f>
        <v/>
      </c>
      <c r="I166" s="23">
        <f>IF($D166="","",IFERROR(INDEX(ENVIOS!$F$4:$F$3003,MATCH($D166,ENVIOS!$A$4:$A$3003,0)),"—"))</f>
        <v/>
      </c>
      <c r="J166" s="23">
        <f>IF($D166="","",IFERROR(INDEX(ENVIOS!$G$4:$G$3003,MATCH($D166,ENVIOS!$A$4:$A$3003,0)),"—"))</f>
        <v/>
      </c>
      <c r="K166" s="28">
        <f>IF($D166="","",IFERROR(INDEX(ENVIOS!$H$4:$H$3003,MATCH($D166,ENVIOS!$A$4:$A$3003,0)),"—"))</f>
        <v/>
      </c>
      <c r="L166" s="49">
        <f>IF($D166="","",IFERROR(INDEX(ENVIOS!$C$4:$C$3003,MATCH($D166,ENVIOS!$A$4:$A$3003,0)),""))</f>
        <v/>
      </c>
      <c r="M166" s="50" t="n"/>
      <c r="N166" s="28">
        <f>IF($M166="","",IFERROR(INDEX(CONFIG!$C$4:$C$63,MATCH($M166,CONFIG!$A$4:$A$63,0)),"Media"))</f>
        <v/>
      </c>
      <c r="O166" s="28">
        <f>IF($M166="","",IF($C166="Interna","NO",IFERROR(INDEX(CONFIG!$E$4:$E$63,MATCH($M166,CONFIG!$A$4:$A$63,0)),"NO")))</f>
        <v/>
      </c>
      <c r="P166" s="50" t="n"/>
      <c r="Q166" s="50" t="n"/>
      <c r="R166" s="28">
        <f>IF($Q166="","",IFERROR(INDEX(CONFIG!$H$4:$H$63,MATCH($Q166,CONFIG!$G$4:$G$63,0)),"Por definir"))</f>
        <v/>
      </c>
      <c r="S166" s="28">
        <f>IF($Q166="","",IFERROR(INDEX(CONFIG!$I$4:$I$63,MATCH($Q166,CONFIG!$G$4:$G$63,0)),"Por definir"))</f>
        <v/>
      </c>
      <c r="T166" s="51" t="n"/>
      <c r="U166" s="52" t="n"/>
      <c r="V166" s="50" t="n"/>
      <c r="W166" s="50" t="n"/>
      <c r="X166" s="49">
        <f>IF(OR($B166="",$M166=""),"",WORKDAY($B166,IFERROR(INDEX(CONFIG!$D$4:$D$63,MATCH($M166,CONFIG!$A$4:$A$63,0)),3)))</f>
        <v/>
      </c>
      <c r="Y166" s="47" t="n"/>
      <c r="Z166" s="24">
        <f>IF($B166="","",IF($Y166&lt;&gt;"",$Y166-$B166,TODAY()-$B166))</f>
        <v/>
      </c>
      <c r="AA166" s="28">
        <f>IF($B166="","",IF(IFERROR(INDEX(CONFIG!$L$4:$L$63,MATCH($V166,CONFIG!$K$4:$K$63,0)),"NO")="SÍ",IF(OR($Y166="",$X166=""),"Resuelta",IF($Y166&gt;$X166,"Resuelta tarde","Resuelta a tiempo")),IF($X166="","Sin clasificar",IF(TODAY()&gt;$X166,"Vencida",IF(TODAY()&gt;=$X166-1,"Por vencer","En plazo")))))</f>
        <v/>
      </c>
      <c r="AB166" s="50" t="n"/>
      <c r="AC166" s="50" t="n"/>
    </row>
    <row r="167" ht="16" customHeight="1">
      <c r="A167" s="28">
        <f>IF($B167="","","N-"&amp;TEXT(ROW()-3,"0000"))</f>
        <v/>
      </c>
      <c r="B167" s="47" t="n"/>
      <c r="C167" s="48" t="n"/>
      <c r="D167" s="48" t="n"/>
      <c r="E167" s="28">
        <f>IF($C167="","",IF($D167="",IF($C167="Interna","Sin guía (interna)","FALTA GUÍA"),IF(COUNTIFS(ENVIOS!$A$4:$A$3003,$D167)=0,"NO EXISTE",IF(COUNTIFS(ENVIOS!$A$4:$A$3003,$D167)&gt;1,"DUPLICADA","OK"))))</f>
        <v/>
      </c>
      <c r="F167" s="28">
        <f>IF($D167="","",IFERROR(INDEX(ENVIOS!$B$4:$B$3003,MATCH($D167,ENVIOS!$A$4:$A$3003,0)),"—"))</f>
        <v/>
      </c>
      <c r="G167" s="23">
        <f>IF($D167="","",IFERROR(INDEX(ENVIOS!$D$4:$D$3003,MATCH($D167,ENVIOS!$A$4:$A$3003,0)),"—"))</f>
        <v/>
      </c>
      <c r="H167" s="23">
        <f>IF($D167="","",IFERROR(INDEX(ENVIOS!$E$4:$E$3003,MATCH($D167,ENVIOS!$A$4:$A$3003,0)),"—"))</f>
        <v/>
      </c>
      <c r="I167" s="23">
        <f>IF($D167="","",IFERROR(INDEX(ENVIOS!$F$4:$F$3003,MATCH($D167,ENVIOS!$A$4:$A$3003,0)),"—"))</f>
        <v/>
      </c>
      <c r="J167" s="23">
        <f>IF($D167="","",IFERROR(INDEX(ENVIOS!$G$4:$G$3003,MATCH($D167,ENVIOS!$A$4:$A$3003,0)),"—"))</f>
        <v/>
      </c>
      <c r="K167" s="28">
        <f>IF($D167="","",IFERROR(INDEX(ENVIOS!$H$4:$H$3003,MATCH($D167,ENVIOS!$A$4:$A$3003,0)),"—"))</f>
        <v/>
      </c>
      <c r="L167" s="49">
        <f>IF($D167="","",IFERROR(INDEX(ENVIOS!$C$4:$C$3003,MATCH($D167,ENVIOS!$A$4:$A$3003,0)),""))</f>
        <v/>
      </c>
      <c r="M167" s="50" t="n"/>
      <c r="N167" s="28">
        <f>IF($M167="","",IFERROR(INDEX(CONFIG!$C$4:$C$63,MATCH($M167,CONFIG!$A$4:$A$63,0)),"Media"))</f>
        <v/>
      </c>
      <c r="O167" s="28">
        <f>IF($M167="","",IF($C167="Interna","NO",IFERROR(INDEX(CONFIG!$E$4:$E$63,MATCH($M167,CONFIG!$A$4:$A$63,0)),"NO")))</f>
        <v/>
      </c>
      <c r="P167" s="50" t="n"/>
      <c r="Q167" s="50" t="n"/>
      <c r="R167" s="28">
        <f>IF($Q167="","",IFERROR(INDEX(CONFIG!$H$4:$H$63,MATCH($Q167,CONFIG!$G$4:$G$63,0)),"Por definir"))</f>
        <v/>
      </c>
      <c r="S167" s="28">
        <f>IF($Q167="","",IFERROR(INDEX(CONFIG!$I$4:$I$63,MATCH($Q167,CONFIG!$G$4:$G$63,0)),"Por definir"))</f>
        <v/>
      </c>
      <c r="T167" s="51" t="n"/>
      <c r="U167" s="52" t="n"/>
      <c r="V167" s="50" t="n"/>
      <c r="W167" s="50" t="n"/>
      <c r="X167" s="49">
        <f>IF(OR($B167="",$M167=""),"",WORKDAY($B167,IFERROR(INDEX(CONFIG!$D$4:$D$63,MATCH($M167,CONFIG!$A$4:$A$63,0)),3)))</f>
        <v/>
      </c>
      <c r="Y167" s="47" t="n"/>
      <c r="Z167" s="24">
        <f>IF($B167="","",IF($Y167&lt;&gt;"",$Y167-$B167,TODAY()-$B167))</f>
        <v/>
      </c>
      <c r="AA167" s="28">
        <f>IF($B167="","",IF(IFERROR(INDEX(CONFIG!$L$4:$L$63,MATCH($V167,CONFIG!$K$4:$K$63,0)),"NO")="SÍ",IF(OR($Y167="",$X167=""),"Resuelta",IF($Y167&gt;$X167,"Resuelta tarde","Resuelta a tiempo")),IF($X167="","Sin clasificar",IF(TODAY()&gt;$X167,"Vencida",IF(TODAY()&gt;=$X167-1,"Por vencer","En plazo")))))</f>
        <v/>
      </c>
      <c r="AB167" s="50" t="n"/>
      <c r="AC167" s="50" t="n"/>
    </row>
    <row r="168" ht="16" customHeight="1">
      <c r="A168" s="28">
        <f>IF($B168="","","N-"&amp;TEXT(ROW()-3,"0000"))</f>
        <v/>
      </c>
      <c r="B168" s="47" t="n"/>
      <c r="C168" s="48" t="n"/>
      <c r="D168" s="48" t="n"/>
      <c r="E168" s="28">
        <f>IF($C168="","",IF($D168="",IF($C168="Interna","Sin guía (interna)","FALTA GUÍA"),IF(COUNTIFS(ENVIOS!$A$4:$A$3003,$D168)=0,"NO EXISTE",IF(COUNTIFS(ENVIOS!$A$4:$A$3003,$D168)&gt;1,"DUPLICADA","OK"))))</f>
        <v/>
      </c>
      <c r="F168" s="28">
        <f>IF($D168="","",IFERROR(INDEX(ENVIOS!$B$4:$B$3003,MATCH($D168,ENVIOS!$A$4:$A$3003,0)),"—"))</f>
        <v/>
      </c>
      <c r="G168" s="23">
        <f>IF($D168="","",IFERROR(INDEX(ENVIOS!$D$4:$D$3003,MATCH($D168,ENVIOS!$A$4:$A$3003,0)),"—"))</f>
        <v/>
      </c>
      <c r="H168" s="23">
        <f>IF($D168="","",IFERROR(INDEX(ENVIOS!$E$4:$E$3003,MATCH($D168,ENVIOS!$A$4:$A$3003,0)),"—"))</f>
        <v/>
      </c>
      <c r="I168" s="23">
        <f>IF($D168="","",IFERROR(INDEX(ENVIOS!$F$4:$F$3003,MATCH($D168,ENVIOS!$A$4:$A$3003,0)),"—"))</f>
        <v/>
      </c>
      <c r="J168" s="23">
        <f>IF($D168="","",IFERROR(INDEX(ENVIOS!$G$4:$G$3003,MATCH($D168,ENVIOS!$A$4:$A$3003,0)),"—"))</f>
        <v/>
      </c>
      <c r="K168" s="28">
        <f>IF($D168="","",IFERROR(INDEX(ENVIOS!$H$4:$H$3003,MATCH($D168,ENVIOS!$A$4:$A$3003,0)),"—"))</f>
        <v/>
      </c>
      <c r="L168" s="49">
        <f>IF($D168="","",IFERROR(INDEX(ENVIOS!$C$4:$C$3003,MATCH($D168,ENVIOS!$A$4:$A$3003,0)),""))</f>
        <v/>
      </c>
      <c r="M168" s="50" t="n"/>
      <c r="N168" s="28">
        <f>IF($M168="","",IFERROR(INDEX(CONFIG!$C$4:$C$63,MATCH($M168,CONFIG!$A$4:$A$63,0)),"Media"))</f>
        <v/>
      </c>
      <c r="O168" s="28">
        <f>IF($M168="","",IF($C168="Interna","NO",IFERROR(INDEX(CONFIG!$E$4:$E$63,MATCH($M168,CONFIG!$A$4:$A$63,0)),"NO")))</f>
        <v/>
      </c>
      <c r="P168" s="50" t="n"/>
      <c r="Q168" s="50" t="n"/>
      <c r="R168" s="28">
        <f>IF($Q168="","",IFERROR(INDEX(CONFIG!$H$4:$H$63,MATCH($Q168,CONFIG!$G$4:$G$63,0)),"Por definir"))</f>
        <v/>
      </c>
      <c r="S168" s="28">
        <f>IF($Q168="","",IFERROR(INDEX(CONFIG!$I$4:$I$63,MATCH($Q168,CONFIG!$G$4:$G$63,0)),"Por definir"))</f>
        <v/>
      </c>
      <c r="T168" s="51" t="n"/>
      <c r="U168" s="52" t="n"/>
      <c r="V168" s="50" t="n"/>
      <c r="W168" s="50" t="n"/>
      <c r="X168" s="49">
        <f>IF(OR($B168="",$M168=""),"",WORKDAY($B168,IFERROR(INDEX(CONFIG!$D$4:$D$63,MATCH($M168,CONFIG!$A$4:$A$63,0)),3)))</f>
        <v/>
      </c>
      <c r="Y168" s="47" t="n"/>
      <c r="Z168" s="24">
        <f>IF($B168="","",IF($Y168&lt;&gt;"",$Y168-$B168,TODAY()-$B168))</f>
        <v/>
      </c>
      <c r="AA168" s="28">
        <f>IF($B168="","",IF(IFERROR(INDEX(CONFIG!$L$4:$L$63,MATCH($V168,CONFIG!$K$4:$K$63,0)),"NO")="SÍ",IF(OR($Y168="",$X168=""),"Resuelta",IF($Y168&gt;$X168,"Resuelta tarde","Resuelta a tiempo")),IF($X168="","Sin clasificar",IF(TODAY()&gt;$X168,"Vencida",IF(TODAY()&gt;=$X168-1,"Por vencer","En plazo")))))</f>
        <v/>
      </c>
      <c r="AB168" s="50" t="n"/>
      <c r="AC168" s="50" t="n"/>
    </row>
    <row r="169" ht="16" customHeight="1">
      <c r="A169" s="28">
        <f>IF($B169="","","N-"&amp;TEXT(ROW()-3,"0000"))</f>
        <v/>
      </c>
      <c r="B169" s="47" t="n"/>
      <c r="C169" s="48" t="n"/>
      <c r="D169" s="48" t="n"/>
      <c r="E169" s="28">
        <f>IF($C169="","",IF($D169="",IF($C169="Interna","Sin guía (interna)","FALTA GUÍA"),IF(COUNTIFS(ENVIOS!$A$4:$A$3003,$D169)=0,"NO EXISTE",IF(COUNTIFS(ENVIOS!$A$4:$A$3003,$D169)&gt;1,"DUPLICADA","OK"))))</f>
        <v/>
      </c>
      <c r="F169" s="28">
        <f>IF($D169="","",IFERROR(INDEX(ENVIOS!$B$4:$B$3003,MATCH($D169,ENVIOS!$A$4:$A$3003,0)),"—"))</f>
        <v/>
      </c>
      <c r="G169" s="23">
        <f>IF($D169="","",IFERROR(INDEX(ENVIOS!$D$4:$D$3003,MATCH($D169,ENVIOS!$A$4:$A$3003,0)),"—"))</f>
        <v/>
      </c>
      <c r="H169" s="23">
        <f>IF($D169="","",IFERROR(INDEX(ENVIOS!$E$4:$E$3003,MATCH($D169,ENVIOS!$A$4:$A$3003,0)),"—"))</f>
        <v/>
      </c>
      <c r="I169" s="23">
        <f>IF($D169="","",IFERROR(INDEX(ENVIOS!$F$4:$F$3003,MATCH($D169,ENVIOS!$A$4:$A$3003,0)),"—"))</f>
        <v/>
      </c>
      <c r="J169" s="23">
        <f>IF($D169="","",IFERROR(INDEX(ENVIOS!$G$4:$G$3003,MATCH($D169,ENVIOS!$A$4:$A$3003,0)),"—"))</f>
        <v/>
      </c>
      <c r="K169" s="28">
        <f>IF($D169="","",IFERROR(INDEX(ENVIOS!$H$4:$H$3003,MATCH($D169,ENVIOS!$A$4:$A$3003,0)),"—"))</f>
        <v/>
      </c>
      <c r="L169" s="49">
        <f>IF($D169="","",IFERROR(INDEX(ENVIOS!$C$4:$C$3003,MATCH($D169,ENVIOS!$A$4:$A$3003,0)),""))</f>
        <v/>
      </c>
      <c r="M169" s="50" t="n"/>
      <c r="N169" s="28">
        <f>IF($M169="","",IFERROR(INDEX(CONFIG!$C$4:$C$63,MATCH($M169,CONFIG!$A$4:$A$63,0)),"Media"))</f>
        <v/>
      </c>
      <c r="O169" s="28">
        <f>IF($M169="","",IF($C169="Interna","NO",IFERROR(INDEX(CONFIG!$E$4:$E$63,MATCH($M169,CONFIG!$A$4:$A$63,0)),"NO")))</f>
        <v/>
      </c>
      <c r="P169" s="50" t="n"/>
      <c r="Q169" s="50" t="n"/>
      <c r="R169" s="28">
        <f>IF($Q169="","",IFERROR(INDEX(CONFIG!$H$4:$H$63,MATCH($Q169,CONFIG!$G$4:$G$63,0)),"Por definir"))</f>
        <v/>
      </c>
      <c r="S169" s="28">
        <f>IF($Q169="","",IFERROR(INDEX(CONFIG!$I$4:$I$63,MATCH($Q169,CONFIG!$G$4:$G$63,0)),"Por definir"))</f>
        <v/>
      </c>
      <c r="T169" s="51" t="n"/>
      <c r="U169" s="52" t="n"/>
      <c r="V169" s="50" t="n"/>
      <c r="W169" s="50" t="n"/>
      <c r="X169" s="49">
        <f>IF(OR($B169="",$M169=""),"",WORKDAY($B169,IFERROR(INDEX(CONFIG!$D$4:$D$63,MATCH($M169,CONFIG!$A$4:$A$63,0)),3)))</f>
        <v/>
      </c>
      <c r="Y169" s="47" t="n"/>
      <c r="Z169" s="24">
        <f>IF($B169="","",IF($Y169&lt;&gt;"",$Y169-$B169,TODAY()-$B169))</f>
        <v/>
      </c>
      <c r="AA169" s="28">
        <f>IF($B169="","",IF(IFERROR(INDEX(CONFIG!$L$4:$L$63,MATCH($V169,CONFIG!$K$4:$K$63,0)),"NO")="SÍ",IF(OR($Y169="",$X169=""),"Resuelta",IF($Y169&gt;$X169,"Resuelta tarde","Resuelta a tiempo")),IF($X169="","Sin clasificar",IF(TODAY()&gt;$X169,"Vencida",IF(TODAY()&gt;=$X169-1,"Por vencer","En plazo")))))</f>
        <v/>
      </c>
      <c r="AB169" s="50" t="n"/>
      <c r="AC169" s="50" t="n"/>
    </row>
    <row r="170" ht="16" customHeight="1">
      <c r="A170" s="28">
        <f>IF($B170="","","N-"&amp;TEXT(ROW()-3,"0000"))</f>
        <v/>
      </c>
      <c r="B170" s="47" t="n"/>
      <c r="C170" s="48" t="n"/>
      <c r="D170" s="48" t="n"/>
      <c r="E170" s="28">
        <f>IF($C170="","",IF($D170="",IF($C170="Interna","Sin guía (interna)","FALTA GUÍA"),IF(COUNTIFS(ENVIOS!$A$4:$A$3003,$D170)=0,"NO EXISTE",IF(COUNTIFS(ENVIOS!$A$4:$A$3003,$D170)&gt;1,"DUPLICADA","OK"))))</f>
        <v/>
      </c>
      <c r="F170" s="28">
        <f>IF($D170="","",IFERROR(INDEX(ENVIOS!$B$4:$B$3003,MATCH($D170,ENVIOS!$A$4:$A$3003,0)),"—"))</f>
        <v/>
      </c>
      <c r="G170" s="23">
        <f>IF($D170="","",IFERROR(INDEX(ENVIOS!$D$4:$D$3003,MATCH($D170,ENVIOS!$A$4:$A$3003,0)),"—"))</f>
        <v/>
      </c>
      <c r="H170" s="23">
        <f>IF($D170="","",IFERROR(INDEX(ENVIOS!$E$4:$E$3003,MATCH($D170,ENVIOS!$A$4:$A$3003,0)),"—"))</f>
        <v/>
      </c>
      <c r="I170" s="23">
        <f>IF($D170="","",IFERROR(INDEX(ENVIOS!$F$4:$F$3003,MATCH($D170,ENVIOS!$A$4:$A$3003,0)),"—"))</f>
        <v/>
      </c>
      <c r="J170" s="23">
        <f>IF($D170="","",IFERROR(INDEX(ENVIOS!$G$4:$G$3003,MATCH($D170,ENVIOS!$A$4:$A$3003,0)),"—"))</f>
        <v/>
      </c>
      <c r="K170" s="28">
        <f>IF($D170="","",IFERROR(INDEX(ENVIOS!$H$4:$H$3003,MATCH($D170,ENVIOS!$A$4:$A$3003,0)),"—"))</f>
        <v/>
      </c>
      <c r="L170" s="49">
        <f>IF($D170="","",IFERROR(INDEX(ENVIOS!$C$4:$C$3003,MATCH($D170,ENVIOS!$A$4:$A$3003,0)),""))</f>
        <v/>
      </c>
      <c r="M170" s="50" t="n"/>
      <c r="N170" s="28">
        <f>IF($M170="","",IFERROR(INDEX(CONFIG!$C$4:$C$63,MATCH($M170,CONFIG!$A$4:$A$63,0)),"Media"))</f>
        <v/>
      </c>
      <c r="O170" s="28">
        <f>IF($M170="","",IF($C170="Interna","NO",IFERROR(INDEX(CONFIG!$E$4:$E$63,MATCH($M170,CONFIG!$A$4:$A$63,0)),"NO")))</f>
        <v/>
      </c>
      <c r="P170" s="50" t="n"/>
      <c r="Q170" s="50" t="n"/>
      <c r="R170" s="28">
        <f>IF($Q170="","",IFERROR(INDEX(CONFIG!$H$4:$H$63,MATCH($Q170,CONFIG!$G$4:$G$63,0)),"Por definir"))</f>
        <v/>
      </c>
      <c r="S170" s="28">
        <f>IF($Q170="","",IFERROR(INDEX(CONFIG!$I$4:$I$63,MATCH($Q170,CONFIG!$G$4:$G$63,0)),"Por definir"))</f>
        <v/>
      </c>
      <c r="T170" s="51" t="n"/>
      <c r="U170" s="52" t="n"/>
      <c r="V170" s="50" t="n"/>
      <c r="W170" s="50" t="n"/>
      <c r="X170" s="49">
        <f>IF(OR($B170="",$M170=""),"",WORKDAY($B170,IFERROR(INDEX(CONFIG!$D$4:$D$63,MATCH($M170,CONFIG!$A$4:$A$63,0)),3)))</f>
        <v/>
      </c>
      <c r="Y170" s="47" t="n"/>
      <c r="Z170" s="24">
        <f>IF($B170="","",IF($Y170&lt;&gt;"",$Y170-$B170,TODAY()-$B170))</f>
        <v/>
      </c>
      <c r="AA170" s="28">
        <f>IF($B170="","",IF(IFERROR(INDEX(CONFIG!$L$4:$L$63,MATCH($V170,CONFIG!$K$4:$K$63,0)),"NO")="SÍ",IF(OR($Y170="",$X170=""),"Resuelta",IF($Y170&gt;$X170,"Resuelta tarde","Resuelta a tiempo")),IF($X170="","Sin clasificar",IF(TODAY()&gt;$X170,"Vencida",IF(TODAY()&gt;=$X170-1,"Por vencer","En plazo")))))</f>
        <v/>
      </c>
      <c r="AB170" s="50" t="n"/>
      <c r="AC170" s="50" t="n"/>
    </row>
    <row r="171" ht="16" customHeight="1">
      <c r="A171" s="28">
        <f>IF($B171="","","N-"&amp;TEXT(ROW()-3,"0000"))</f>
        <v/>
      </c>
      <c r="B171" s="47" t="n"/>
      <c r="C171" s="48" t="n"/>
      <c r="D171" s="48" t="n"/>
      <c r="E171" s="28">
        <f>IF($C171="","",IF($D171="",IF($C171="Interna","Sin guía (interna)","FALTA GUÍA"),IF(COUNTIFS(ENVIOS!$A$4:$A$3003,$D171)=0,"NO EXISTE",IF(COUNTIFS(ENVIOS!$A$4:$A$3003,$D171)&gt;1,"DUPLICADA","OK"))))</f>
        <v/>
      </c>
      <c r="F171" s="28">
        <f>IF($D171="","",IFERROR(INDEX(ENVIOS!$B$4:$B$3003,MATCH($D171,ENVIOS!$A$4:$A$3003,0)),"—"))</f>
        <v/>
      </c>
      <c r="G171" s="23">
        <f>IF($D171="","",IFERROR(INDEX(ENVIOS!$D$4:$D$3003,MATCH($D171,ENVIOS!$A$4:$A$3003,0)),"—"))</f>
        <v/>
      </c>
      <c r="H171" s="23">
        <f>IF($D171="","",IFERROR(INDEX(ENVIOS!$E$4:$E$3003,MATCH($D171,ENVIOS!$A$4:$A$3003,0)),"—"))</f>
        <v/>
      </c>
      <c r="I171" s="23">
        <f>IF($D171="","",IFERROR(INDEX(ENVIOS!$F$4:$F$3003,MATCH($D171,ENVIOS!$A$4:$A$3003,0)),"—"))</f>
        <v/>
      </c>
      <c r="J171" s="23">
        <f>IF($D171="","",IFERROR(INDEX(ENVIOS!$G$4:$G$3003,MATCH($D171,ENVIOS!$A$4:$A$3003,0)),"—"))</f>
        <v/>
      </c>
      <c r="K171" s="28">
        <f>IF($D171="","",IFERROR(INDEX(ENVIOS!$H$4:$H$3003,MATCH($D171,ENVIOS!$A$4:$A$3003,0)),"—"))</f>
        <v/>
      </c>
      <c r="L171" s="49">
        <f>IF($D171="","",IFERROR(INDEX(ENVIOS!$C$4:$C$3003,MATCH($D171,ENVIOS!$A$4:$A$3003,0)),""))</f>
        <v/>
      </c>
      <c r="M171" s="50" t="n"/>
      <c r="N171" s="28">
        <f>IF($M171="","",IFERROR(INDEX(CONFIG!$C$4:$C$63,MATCH($M171,CONFIG!$A$4:$A$63,0)),"Media"))</f>
        <v/>
      </c>
      <c r="O171" s="28">
        <f>IF($M171="","",IF($C171="Interna","NO",IFERROR(INDEX(CONFIG!$E$4:$E$63,MATCH($M171,CONFIG!$A$4:$A$63,0)),"NO")))</f>
        <v/>
      </c>
      <c r="P171" s="50" t="n"/>
      <c r="Q171" s="50" t="n"/>
      <c r="R171" s="28">
        <f>IF($Q171="","",IFERROR(INDEX(CONFIG!$H$4:$H$63,MATCH($Q171,CONFIG!$G$4:$G$63,0)),"Por definir"))</f>
        <v/>
      </c>
      <c r="S171" s="28">
        <f>IF($Q171="","",IFERROR(INDEX(CONFIG!$I$4:$I$63,MATCH($Q171,CONFIG!$G$4:$G$63,0)),"Por definir"))</f>
        <v/>
      </c>
      <c r="T171" s="51" t="n"/>
      <c r="U171" s="52" t="n"/>
      <c r="V171" s="50" t="n"/>
      <c r="W171" s="50" t="n"/>
      <c r="X171" s="49">
        <f>IF(OR($B171="",$M171=""),"",WORKDAY($B171,IFERROR(INDEX(CONFIG!$D$4:$D$63,MATCH($M171,CONFIG!$A$4:$A$63,0)),3)))</f>
        <v/>
      </c>
      <c r="Y171" s="47" t="n"/>
      <c r="Z171" s="24">
        <f>IF($B171="","",IF($Y171&lt;&gt;"",$Y171-$B171,TODAY()-$B171))</f>
        <v/>
      </c>
      <c r="AA171" s="28">
        <f>IF($B171="","",IF(IFERROR(INDEX(CONFIG!$L$4:$L$63,MATCH($V171,CONFIG!$K$4:$K$63,0)),"NO")="SÍ",IF(OR($Y171="",$X171=""),"Resuelta",IF($Y171&gt;$X171,"Resuelta tarde","Resuelta a tiempo")),IF($X171="","Sin clasificar",IF(TODAY()&gt;$X171,"Vencida",IF(TODAY()&gt;=$X171-1,"Por vencer","En plazo")))))</f>
        <v/>
      </c>
      <c r="AB171" s="50" t="n"/>
      <c r="AC171" s="50" t="n"/>
    </row>
    <row r="172" ht="16" customHeight="1">
      <c r="A172" s="28">
        <f>IF($B172="","","N-"&amp;TEXT(ROW()-3,"0000"))</f>
        <v/>
      </c>
      <c r="B172" s="47" t="n"/>
      <c r="C172" s="48" t="n"/>
      <c r="D172" s="48" t="n"/>
      <c r="E172" s="28">
        <f>IF($C172="","",IF($D172="",IF($C172="Interna","Sin guía (interna)","FALTA GUÍA"),IF(COUNTIFS(ENVIOS!$A$4:$A$3003,$D172)=0,"NO EXISTE",IF(COUNTIFS(ENVIOS!$A$4:$A$3003,$D172)&gt;1,"DUPLICADA","OK"))))</f>
        <v/>
      </c>
      <c r="F172" s="28">
        <f>IF($D172="","",IFERROR(INDEX(ENVIOS!$B$4:$B$3003,MATCH($D172,ENVIOS!$A$4:$A$3003,0)),"—"))</f>
        <v/>
      </c>
      <c r="G172" s="23">
        <f>IF($D172="","",IFERROR(INDEX(ENVIOS!$D$4:$D$3003,MATCH($D172,ENVIOS!$A$4:$A$3003,0)),"—"))</f>
        <v/>
      </c>
      <c r="H172" s="23">
        <f>IF($D172="","",IFERROR(INDEX(ENVIOS!$E$4:$E$3003,MATCH($D172,ENVIOS!$A$4:$A$3003,0)),"—"))</f>
        <v/>
      </c>
      <c r="I172" s="23">
        <f>IF($D172="","",IFERROR(INDEX(ENVIOS!$F$4:$F$3003,MATCH($D172,ENVIOS!$A$4:$A$3003,0)),"—"))</f>
        <v/>
      </c>
      <c r="J172" s="23">
        <f>IF($D172="","",IFERROR(INDEX(ENVIOS!$G$4:$G$3003,MATCH($D172,ENVIOS!$A$4:$A$3003,0)),"—"))</f>
        <v/>
      </c>
      <c r="K172" s="28">
        <f>IF($D172="","",IFERROR(INDEX(ENVIOS!$H$4:$H$3003,MATCH($D172,ENVIOS!$A$4:$A$3003,0)),"—"))</f>
        <v/>
      </c>
      <c r="L172" s="49">
        <f>IF($D172="","",IFERROR(INDEX(ENVIOS!$C$4:$C$3003,MATCH($D172,ENVIOS!$A$4:$A$3003,0)),""))</f>
        <v/>
      </c>
      <c r="M172" s="50" t="n"/>
      <c r="N172" s="28">
        <f>IF($M172="","",IFERROR(INDEX(CONFIG!$C$4:$C$63,MATCH($M172,CONFIG!$A$4:$A$63,0)),"Media"))</f>
        <v/>
      </c>
      <c r="O172" s="28">
        <f>IF($M172="","",IF($C172="Interna","NO",IFERROR(INDEX(CONFIG!$E$4:$E$63,MATCH($M172,CONFIG!$A$4:$A$63,0)),"NO")))</f>
        <v/>
      </c>
      <c r="P172" s="50" t="n"/>
      <c r="Q172" s="50" t="n"/>
      <c r="R172" s="28">
        <f>IF($Q172="","",IFERROR(INDEX(CONFIG!$H$4:$H$63,MATCH($Q172,CONFIG!$G$4:$G$63,0)),"Por definir"))</f>
        <v/>
      </c>
      <c r="S172" s="28">
        <f>IF($Q172="","",IFERROR(INDEX(CONFIG!$I$4:$I$63,MATCH($Q172,CONFIG!$G$4:$G$63,0)),"Por definir"))</f>
        <v/>
      </c>
      <c r="T172" s="51" t="n"/>
      <c r="U172" s="52" t="n"/>
      <c r="V172" s="50" t="n"/>
      <c r="W172" s="50" t="n"/>
      <c r="X172" s="49">
        <f>IF(OR($B172="",$M172=""),"",WORKDAY($B172,IFERROR(INDEX(CONFIG!$D$4:$D$63,MATCH($M172,CONFIG!$A$4:$A$63,0)),3)))</f>
        <v/>
      </c>
      <c r="Y172" s="47" t="n"/>
      <c r="Z172" s="24">
        <f>IF($B172="","",IF($Y172&lt;&gt;"",$Y172-$B172,TODAY()-$B172))</f>
        <v/>
      </c>
      <c r="AA172" s="28">
        <f>IF($B172="","",IF(IFERROR(INDEX(CONFIG!$L$4:$L$63,MATCH($V172,CONFIG!$K$4:$K$63,0)),"NO")="SÍ",IF(OR($Y172="",$X172=""),"Resuelta",IF($Y172&gt;$X172,"Resuelta tarde","Resuelta a tiempo")),IF($X172="","Sin clasificar",IF(TODAY()&gt;$X172,"Vencida",IF(TODAY()&gt;=$X172-1,"Por vencer","En plazo")))))</f>
        <v/>
      </c>
      <c r="AB172" s="50" t="n"/>
      <c r="AC172" s="50" t="n"/>
    </row>
    <row r="173" ht="16" customHeight="1">
      <c r="A173" s="28">
        <f>IF($B173="","","N-"&amp;TEXT(ROW()-3,"0000"))</f>
        <v/>
      </c>
      <c r="B173" s="47" t="n"/>
      <c r="C173" s="48" t="n"/>
      <c r="D173" s="48" t="n"/>
      <c r="E173" s="28">
        <f>IF($C173="","",IF($D173="",IF($C173="Interna","Sin guía (interna)","FALTA GUÍA"),IF(COUNTIFS(ENVIOS!$A$4:$A$3003,$D173)=0,"NO EXISTE",IF(COUNTIFS(ENVIOS!$A$4:$A$3003,$D173)&gt;1,"DUPLICADA","OK"))))</f>
        <v/>
      </c>
      <c r="F173" s="28">
        <f>IF($D173="","",IFERROR(INDEX(ENVIOS!$B$4:$B$3003,MATCH($D173,ENVIOS!$A$4:$A$3003,0)),"—"))</f>
        <v/>
      </c>
      <c r="G173" s="23">
        <f>IF($D173="","",IFERROR(INDEX(ENVIOS!$D$4:$D$3003,MATCH($D173,ENVIOS!$A$4:$A$3003,0)),"—"))</f>
        <v/>
      </c>
      <c r="H173" s="23">
        <f>IF($D173="","",IFERROR(INDEX(ENVIOS!$E$4:$E$3003,MATCH($D173,ENVIOS!$A$4:$A$3003,0)),"—"))</f>
        <v/>
      </c>
      <c r="I173" s="23">
        <f>IF($D173="","",IFERROR(INDEX(ENVIOS!$F$4:$F$3003,MATCH($D173,ENVIOS!$A$4:$A$3003,0)),"—"))</f>
        <v/>
      </c>
      <c r="J173" s="23">
        <f>IF($D173="","",IFERROR(INDEX(ENVIOS!$G$4:$G$3003,MATCH($D173,ENVIOS!$A$4:$A$3003,0)),"—"))</f>
        <v/>
      </c>
      <c r="K173" s="28">
        <f>IF($D173="","",IFERROR(INDEX(ENVIOS!$H$4:$H$3003,MATCH($D173,ENVIOS!$A$4:$A$3003,0)),"—"))</f>
        <v/>
      </c>
      <c r="L173" s="49">
        <f>IF($D173="","",IFERROR(INDEX(ENVIOS!$C$4:$C$3003,MATCH($D173,ENVIOS!$A$4:$A$3003,0)),""))</f>
        <v/>
      </c>
      <c r="M173" s="50" t="n"/>
      <c r="N173" s="28">
        <f>IF($M173="","",IFERROR(INDEX(CONFIG!$C$4:$C$63,MATCH($M173,CONFIG!$A$4:$A$63,0)),"Media"))</f>
        <v/>
      </c>
      <c r="O173" s="28">
        <f>IF($M173="","",IF($C173="Interna","NO",IFERROR(INDEX(CONFIG!$E$4:$E$63,MATCH($M173,CONFIG!$A$4:$A$63,0)),"NO")))</f>
        <v/>
      </c>
      <c r="P173" s="50" t="n"/>
      <c r="Q173" s="50" t="n"/>
      <c r="R173" s="28">
        <f>IF($Q173="","",IFERROR(INDEX(CONFIG!$H$4:$H$63,MATCH($Q173,CONFIG!$G$4:$G$63,0)),"Por definir"))</f>
        <v/>
      </c>
      <c r="S173" s="28">
        <f>IF($Q173="","",IFERROR(INDEX(CONFIG!$I$4:$I$63,MATCH($Q173,CONFIG!$G$4:$G$63,0)),"Por definir"))</f>
        <v/>
      </c>
      <c r="T173" s="51" t="n"/>
      <c r="U173" s="52" t="n"/>
      <c r="V173" s="50" t="n"/>
      <c r="W173" s="50" t="n"/>
      <c r="X173" s="49">
        <f>IF(OR($B173="",$M173=""),"",WORKDAY($B173,IFERROR(INDEX(CONFIG!$D$4:$D$63,MATCH($M173,CONFIG!$A$4:$A$63,0)),3)))</f>
        <v/>
      </c>
      <c r="Y173" s="47" t="n"/>
      <c r="Z173" s="24">
        <f>IF($B173="","",IF($Y173&lt;&gt;"",$Y173-$B173,TODAY()-$B173))</f>
        <v/>
      </c>
      <c r="AA173" s="28">
        <f>IF($B173="","",IF(IFERROR(INDEX(CONFIG!$L$4:$L$63,MATCH($V173,CONFIG!$K$4:$K$63,0)),"NO")="SÍ",IF(OR($Y173="",$X173=""),"Resuelta",IF($Y173&gt;$X173,"Resuelta tarde","Resuelta a tiempo")),IF($X173="","Sin clasificar",IF(TODAY()&gt;$X173,"Vencida",IF(TODAY()&gt;=$X173-1,"Por vencer","En plazo")))))</f>
        <v/>
      </c>
      <c r="AB173" s="50" t="n"/>
      <c r="AC173" s="50" t="n"/>
    </row>
    <row r="174" ht="16" customHeight="1">
      <c r="A174" s="28">
        <f>IF($B174="","","N-"&amp;TEXT(ROW()-3,"0000"))</f>
        <v/>
      </c>
      <c r="B174" s="47" t="n"/>
      <c r="C174" s="48" t="n"/>
      <c r="D174" s="48" t="n"/>
      <c r="E174" s="28">
        <f>IF($C174="","",IF($D174="",IF($C174="Interna","Sin guía (interna)","FALTA GUÍA"),IF(COUNTIFS(ENVIOS!$A$4:$A$3003,$D174)=0,"NO EXISTE",IF(COUNTIFS(ENVIOS!$A$4:$A$3003,$D174)&gt;1,"DUPLICADA","OK"))))</f>
        <v/>
      </c>
      <c r="F174" s="28">
        <f>IF($D174="","",IFERROR(INDEX(ENVIOS!$B$4:$B$3003,MATCH($D174,ENVIOS!$A$4:$A$3003,0)),"—"))</f>
        <v/>
      </c>
      <c r="G174" s="23">
        <f>IF($D174="","",IFERROR(INDEX(ENVIOS!$D$4:$D$3003,MATCH($D174,ENVIOS!$A$4:$A$3003,0)),"—"))</f>
        <v/>
      </c>
      <c r="H174" s="23">
        <f>IF($D174="","",IFERROR(INDEX(ENVIOS!$E$4:$E$3003,MATCH($D174,ENVIOS!$A$4:$A$3003,0)),"—"))</f>
        <v/>
      </c>
      <c r="I174" s="23">
        <f>IF($D174="","",IFERROR(INDEX(ENVIOS!$F$4:$F$3003,MATCH($D174,ENVIOS!$A$4:$A$3003,0)),"—"))</f>
        <v/>
      </c>
      <c r="J174" s="23">
        <f>IF($D174="","",IFERROR(INDEX(ENVIOS!$G$4:$G$3003,MATCH($D174,ENVIOS!$A$4:$A$3003,0)),"—"))</f>
        <v/>
      </c>
      <c r="K174" s="28">
        <f>IF($D174="","",IFERROR(INDEX(ENVIOS!$H$4:$H$3003,MATCH($D174,ENVIOS!$A$4:$A$3003,0)),"—"))</f>
        <v/>
      </c>
      <c r="L174" s="49">
        <f>IF($D174="","",IFERROR(INDEX(ENVIOS!$C$4:$C$3003,MATCH($D174,ENVIOS!$A$4:$A$3003,0)),""))</f>
        <v/>
      </c>
      <c r="M174" s="50" t="n"/>
      <c r="N174" s="28">
        <f>IF($M174="","",IFERROR(INDEX(CONFIG!$C$4:$C$63,MATCH($M174,CONFIG!$A$4:$A$63,0)),"Media"))</f>
        <v/>
      </c>
      <c r="O174" s="28">
        <f>IF($M174="","",IF($C174="Interna","NO",IFERROR(INDEX(CONFIG!$E$4:$E$63,MATCH($M174,CONFIG!$A$4:$A$63,0)),"NO")))</f>
        <v/>
      </c>
      <c r="P174" s="50" t="n"/>
      <c r="Q174" s="50" t="n"/>
      <c r="R174" s="28">
        <f>IF($Q174="","",IFERROR(INDEX(CONFIG!$H$4:$H$63,MATCH($Q174,CONFIG!$G$4:$G$63,0)),"Por definir"))</f>
        <v/>
      </c>
      <c r="S174" s="28">
        <f>IF($Q174="","",IFERROR(INDEX(CONFIG!$I$4:$I$63,MATCH($Q174,CONFIG!$G$4:$G$63,0)),"Por definir"))</f>
        <v/>
      </c>
      <c r="T174" s="51" t="n"/>
      <c r="U174" s="52" t="n"/>
      <c r="V174" s="50" t="n"/>
      <c r="W174" s="50" t="n"/>
      <c r="X174" s="49">
        <f>IF(OR($B174="",$M174=""),"",WORKDAY($B174,IFERROR(INDEX(CONFIG!$D$4:$D$63,MATCH($M174,CONFIG!$A$4:$A$63,0)),3)))</f>
        <v/>
      </c>
      <c r="Y174" s="47" t="n"/>
      <c r="Z174" s="24">
        <f>IF($B174="","",IF($Y174&lt;&gt;"",$Y174-$B174,TODAY()-$B174))</f>
        <v/>
      </c>
      <c r="AA174" s="28">
        <f>IF($B174="","",IF(IFERROR(INDEX(CONFIG!$L$4:$L$63,MATCH($V174,CONFIG!$K$4:$K$63,0)),"NO")="SÍ",IF(OR($Y174="",$X174=""),"Resuelta",IF($Y174&gt;$X174,"Resuelta tarde","Resuelta a tiempo")),IF($X174="","Sin clasificar",IF(TODAY()&gt;$X174,"Vencida",IF(TODAY()&gt;=$X174-1,"Por vencer","En plazo")))))</f>
        <v/>
      </c>
      <c r="AB174" s="50" t="n"/>
      <c r="AC174" s="50" t="n"/>
    </row>
    <row r="175" ht="16" customHeight="1">
      <c r="A175" s="28">
        <f>IF($B175="","","N-"&amp;TEXT(ROW()-3,"0000"))</f>
        <v/>
      </c>
      <c r="B175" s="47" t="n"/>
      <c r="C175" s="48" t="n"/>
      <c r="D175" s="48" t="n"/>
      <c r="E175" s="28">
        <f>IF($C175="","",IF($D175="",IF($C175="Interna","Sin guía (interna)","FALTA GUÍA"),IF(COUNTIFS(ENVIOS!$A$4:$A$3003,$D175)=0,"NO EXISTE",IF(COUNTIFS(ENVIOS!$A$4:$A$3003,$D175)&gt;1,"DUPLICADA","OK"))))</f>
        <v/>
      </c>
      <c r="F175" s="28">
        <f>IF($D175="","",IFERROR(INDEX(ENVIOS!$B$4:$B$3003,MATCH($D175,ENVIOS!$A$4:$A$3003,0)),"—"))</f>
        <v/>
      </c>
      <c r="G175" s="23">
        <f>IF($D175="","",IFERROR(INDEX(ENVIOS!$D$4:$D$3003,MATCH($D175,ENVIOS!$A$4:$A$3003,0)),"—"))</f>
        <v/>
      </c>
      <c r="H175" s="23">
        <f>IF($D175="","",IFERROR(INDEX(ENVIOS!$E$4:$E$3003,MATCH($D175,ENVIOS!$A$4:$A$3003,0)),"—"))</f>
        <v/>
      </c>
      <c r="I175" s="23">
        <f>IF($D175="","",IFERROR(INDEX(ENVIOS!$F$4:$F$3003,MATCH($D175,ENVIOS!$A$4:$A$3003,0)),"—"))</f>
        <v/>
      </c>
      <c r="J175" s="23">
        <f>IF($D175="","",IFERROR(INDEX(ENVIOS!$G$4:$G$3003,MATCH($D175,ENVIOS!$A$4:$A$3003,0)),"—"))</f>
        <v/>
      </c>
      <c r="K175" s="28">
        <f>IF($D175="","",IFERROR(INDEX(ENVIOS!$H$4:$H$3003,MATCH($D175,ENVIOS!$A$4:$A$3003,0)),"—"))</f>
        <v/>
      </c>
      <c r="L175" s="49">
        <f>IF($D175="","",IFERROR(INDEX(ENVIOS!$C$4:$C$3003,MATCH($D175,ENVIOS!$A$4:$A$3003,0)),""))</f>
        <v/>
      </c>
      <c r="M175" s="50" t="n"/>
      <c r="N175" s="28">
        <f>IF($M175="","",IFERROR(INDEX(CONFIG!$C$4:$C$63,MATCH($M175,CONFIG!$A$4:$A$63,0)),"Media"))</f>
        <v/>
      </c>
      <c r="O175" s="28">
        <f>IF($M175="","",IF($C175="Interna","NO",IFERROR(INDEX(CONFIG!$E$4:$E$63,MATCH($M175,CONFIG!$A$4:$A$63,0)),"NO")))</f>
        <v/>
      </c>
      <c r="P175" s="50" t="n"/>
      <c r="Q175" s="50" t="n"/>
      <c r="R175" s="28">
        <f>IF($Q175="","",IFERROR(INDEX(CONFIG!$H$4:$H$63,MATCH($Q175,CONFIG!$G$4:$G$63,0)),"Por definir"))</f>
        <v/>
      </c>
      <c r="S175" s="28">
        <f>IF($Q175="","",IFERROR(INDEX(CONFIG!$I$4:$I$63,MATCH($Q175,CONFIG!$G$4:$G$63,0)),"Por definir"))</f>
        <v/>
      </c>
      <c r="T175" s="51" t="n"/>
      <c r="U175" s="52" t="n"/>
      <c r="V175" s="50" t="n"/>
      <c r="W175" s="50" t="n"/>
      <c r="X175" s="49">
        <f>IF(OR($B175="",$M175=""),"",WORKDAY($B175,IFERROR(INDEX(CONFIG!$D$4:$D$63,MATCH($M175,CONFIG!$A$4:$A$63,0)),3)))</f>
        <v/>
      </c>
      <c r="Y175" s="47" t="n"/>
      <c r="Z175" s="24">
        <f>IF($B175="","",IF($Y175&lt;&gt;"",$Y175-$B175,TODAY()-$B175))</f>
        <v/>
      </c>
      <c r="AA175" s="28">
        <f>IF($B175="","",IF(IFERROR(INDEX(CONFIG!$L$4:$L$63,MATCH($V175,CONFIG!$K$4:$K$63,0)),"NO")="SÍ",IF(OR($Y175="",$X175=""),"Resuelta",IF($Y175&gt;$X175,"Resuelta tarde","Resuelta a tiempo")),IF($X175="","Sin clasificar",IF(TODAY()&gt;$X175,"Vencida",IF(TODAY()&gt;=$X175-1,"Por vencer","En plazo")))))</f>
        <v/>
      </c>
      <c r="AB175" s="50" t="n"/>
      <c r="AC175" s="50" t="n"/>
    </row>
    <row r="176" ht="16" customHeight="1">
      <c r="A176" s="28">
        <f>IF($B176="","","N-"&amp;TEXT(ROW()-3,"0000"))</f>
        <v/>
      </c>
      <c r="B176" s="47" t="n"/>
      <c r="C176" s="48" t="n"/>
      <c r="D176" s="48" t="n"/>
      <c r="E176" s="28">
        <f>IF($C176="","",IF($D176="",IF($C176="Interna","Sin guía (interna)","FALTA GUÍA"),IF(COUNTIFS(ENVIOS!$A$4:$A$3003,$D176)=0,"NO EXISTE",IF(COUNTIFS(ENVIOS!$A$4:$A$3003,$D176)&gt;1,"DUPLICADA","OK"))))</f>
        <v/>
      </c>
      <c r="F176" s="28">
        <f>IF($D176="","",IFERROR(INDEX(ENVIOS!$B$4:$B$3003,MATCH($D176,ENVIOS!$A$4:$A$3003,0)),"—"))</f>
        <v/>
      </c>
      <c r="G176" s="23">
        <f>IF($D176="","",IFERROR(INDEX(ENVIOS!$D$4:$D$3003,MATCH($D176,ENVIOS!$A$4:$A$3003,0)),"—"))</f>
        <v/>
      </c>
      <c r="H176" s="23">
        <f>IF($D176="","",IFERROR(INDEX(ENVIOS!$E$4:$E$3003,MATCH($D176,ENVIOS!$A$4:$A$3003,0)),"—"))</f>
        <v/>
      </c>
      <c r="I176" s="23">
        <f>IF($D176="","",IFERROR(INDEX(ENVIOS!$F$4:$F$3003,MATCH($D176,ENVIOS!$A$4:$A$3003,0)),"—"))</f>
        <v/>
      </c>
      <c r="J176" s="23">
        <f>IF($D176="","",IFERROR(INDEX(ENVIOS!$G$4:$G$3003,MATCH($D176,ENVIOS!$A$4:$A$3003,0)),"—"))</f>
        <v/>
      </c>
      <c r="K176" s="28">
        <f>IF($D176="","",IFERROR(INDEX(ENVIOS!$H$4:$H$3003,MATCH($D176,ENVIOS!$A$4:$A$3003,0)),"—"))</f>
        <v/>
      </c>
      <c r="L176" s="49">
        <f>IF($D176="","",IFERROR(INDEX(ENVIOS!$C$4:$C$3003,MATCH($D176,ENVIOS!$A$4:$A$3003,0)),""))</f>
        <v/>
      </c>
      <c r="M176" s="50" t="n"/>
      <c r="N176" s="28">
        <f>IF($M176="","",IFERROR(INDEX(CONFIG!$C$4:$C$63,MATCH($M176,CONFIG!$A$4:$A$63,0)),"Media"))</f>
        <v/>
      </c>
      <c r="O176" s="28">
        <f>IF($M176="","",IF($C176="Interna","NO",IFERROR(INDEX(CONFIG!$E$4:$E$63,MATCH($M176,CONFIG!$A$4:$A$63,0)),"NO")))</f>
        <v/>
      </c>
      <c r="P176" s="50" t="n"/>
      <c r="Q176" s="50" t="n"/>
      <c r="R176" s="28">
        <f>IF($Q176="","",IFERROR(INDEX(CONFIG!$H$4:$H$63,MATCH($Q176,CONFIG!$G$4:$G$63,0)),"Por definir"))</f>
        <v/>
      </c>
      <c r="S176" s="28">
        <f>IF($Q176="","",IFERROR(INDEX(CONFIG!$I$4:$I$63,MATCH($Q176,CONFIG!$G$4:$G$63,0)),"Por definir"))</f>
        <v/>
      </c>
      <c r="T176" s="51" t="n"/>
      <c r="U176" s="52" t="n"/>
      <c r="V176" s="50" t="n"/>
      <c r="W176" s="50" t="n"/>
      <c r="X176" s="49">
        <f>IF(OR($B176="",$M176=""),"",WORKDAY($B176,IFERROR(INDEX(CONFIG!$D$4:$D$63,MATCH($M176,CONFIG!$A$4:$A$63,0)),3)))</f>
        <v/>
      </c>
      <c r="Y176" s="47" t="n"/>
      <c r="Z176" s="24">
        <f>IF($B176="","",IF($Y176&lt;&gt;"",$Y176-$B176,TODAY()-$B176))</f>
        <v/>
      </c>
      <c r="AA176" s="28">
        <f>IF($B176="","",IF(IFERROR(INDEX(CONFIG!$L$4:$L$63,MATCH($V176,CONFIG!$K$4:$K$63,0)),"NO")="SÍ",IF(OR($Y176="",$X176=""),"Resuelta",IF($Y176&gt;$X176,"Resuelta tarde","Resuelta a tiempo")),IF($X176="","Sin clasificar",IF(TODAY()&gt;$X176,"Vencida",IF(TODAY()&gt;=$X176-1,"Por vencer","En plazo")))))</f>
        <v/>
      </c>
      <c r="AB176" s="50" t="n"/>
      <c r="AC176" s="50" t="n"/>
    </row>
    <row r="177" ht="16" customHeight="1">
      <c r="A177" s="28">
        <f>IF($B177="","","N-"&amp;TEXT(ROW()-3,"0000"))</f>
        <v/>
      </c>
      <c r="B177" s="47" t="n"/>
      <c r="C177" s="48" t="n"/>
      <c r="D177" s="48" t="n"/>
      <c r="E177" s="28">
        <f>IF($C177="","",IF($D177="",IF($C177="Interna","Sin guía (interna)","FALTA GUÍA"),IF(COUNTIFS(ENVIOS!$A$4:$A$3003,$D177)=0,"NO EXISTE",IF(COUNTIFS(ENVIOS!$A$4:$A$3003,$D177)&gt;1,"DUPLICADA","OK"))))</f>
        <v/>
      </c>
      <c r="F177" s="28">
        <f>IF($D177="","",IFERROR(INDEX(ENVIOS!$B$4:$B$3003,MATCH($D177,ENVIOS!$A$4:$A$3003,0)),"—"))</f>
        <v/>
      </c>
      <c r="G177" s="23">
        <f>IF($D177="","",IFERROR(INDEX(ENVIOS!$D$4:$D$3003,MATCH($D177,ENVIOS!$A$4:$A$3003,0)),"—"))</f>
        <v/>
      </c>
      <c r="H177" s="23">
        <f>IF($D177="","",IFERROR(INDEX(ENVIOS!$E$4:$E$3003,MATCH($D177,ENVIOS!$A$4:$A$3003,0)),"—"))</f>
        <v/>
      </c>
      <c r="I177" s="23">
        <f>IF($D177="","",IFERROR(INDEX(ENVIOS!$F$4:$F$3003,MATCH($D177,ENVIOS!$A$4:$A$3003,0)),"—"))</f>
        <v/>
      </c>
      <c r="J177" s="23">
        <f>IF($D177="","",IFERROR(INDEX(ENVIOS!$G$4:$G$3003,MATCH($D177,ENVIOS!$A$4:$A$3003,0)),"—"))</f>
        <v/>
      </c>
      <c r="K177" s="28">
        <f>IF($D177="","",IFERROR(INDEX(ENVIOS!$H$4:$H$3003,MATCH($D177,ENVIOS!$A$4:$A$3003,0)),"—"))</f>
        <v/>
      </c>
      <c r="L177" s="49">
        <f>IF($D177="","",IFERROR(INDEX(ENVIOS!$C$4:$C$3003,MATCH($D177,ENVIOS!$A$4:$A$3003,0)),""))</f>
        <v/>
      </c>
      <c r="M177" s="50" t="n"/>
      <c r="N177" s="28">
        <f>IF($M177="","",IFERROR(INDEX(CONFIG!$C$4:$C$63,MATCH($M177,CONFIG!$A$4:$A$63,0)),"Media"))</f>
        <v/>
      </c>
      <c r="O177" s="28">
        <f>IF($M177="","",IF($C177="Interna","NO",IFERROR(INDEX(CONFIG!$E$4:$E$63,MATCH($M177,CONFIG!$A$4:$A$63,0)),"NO")))</f>
        <v/>
      </c>
      <c r="P177" s="50" t="n"/>
      <c r="Q177" s="50" t="n"/>
      <c r="R177" s="28">
        <f>IF($Q177="","",IFERROR(INDEX(CONFIG!$H$4:$H$63,MATCH($Q177,CONFIG!$G$4:$G$63,0)),"Por definir"))</f>
        <v/>
      </c>
      <c r="S177" s="28">
        <f>IF($Q177="","",IFERROR(INDEX(CONFIG!$I$4:$I$63,MATCH($Q177,CONFIG!$G$4:$G$63,0)),"Por definir"))</f>
        <v/>
      </c>
      <c r="T177" s="51" t="n"/>
      <c r="U177" s="52" t="n"/>
      <c r="V177" s="50" t="n"/>
      <c r="W177" s="50" t="n"/>
      <c r="X177" s="49">
        <f>IF(OR($B177="",$M177=""),"",WORKDAY($B177,IFERROR(INDEX(CONFIG!$D$4:$D$63,MATCH($M177,CONFIG!$A$4:$A$63,0)),3)))</f>
        <v/>
      </c>
      <c r="Y177" s="47" t="n"/>
      <c r="Z177" s="24">
        <f>IF($B177="","",IF($Y177&lt;&gt;"",$Y177-$B177,TODAY()-$B177))</f>
        <v/>
      </c>
      <c r="AA177" s="28">
        <f>IF($B177="","",IF(IFERROR(INDEX(CONFIG!$L$4:$L$63,MATCH($V177,CONFIG!$K$4:$K$63,0)),"NO")="SÍ",IF(OR($Y177="",$X177=""),"Resuelta",IF($Y177&gt;$X177,"Resuelta tarde","Resuelta a tiempo")),IF($X177="","Sin clasificar",IF(TODAY()&gt;$X177,"Vencida",IF(TODAY()&gt;=$X177-1,"Por vencer","En plazo")))))</f>
        <v/>
      </c>
      <c r="AB177" s="50" t="n"/>
      <c r="AC177" s="50" t="n"/>
    </row>
    <row r="178" ht="16" customHeight="1">
      <c r="A178" s="28">
        <f>IF($B178="","","N-"&amp;TEXT(ROW()-3,"0000"))</f>
        <v/>
      </c>
      <c r="B178" s="47" t="n"/>
      <c r="C178" s="48" t="n"/>
      <c r="D178" s="48" t="n"/>
      <c r="E178" s="28">
        <f>IF($C178="","",IF($D178="",IF($C178="Interna","Sin guía (interna)","FALTA GUÍA"),IF(COUNTIFS(ENVIOS!$A$4:$A$3003,$D178)=0,"NO EXISTE",IF(COUNTIFS(ENVIOS!$A$4:$A$3003,$D178)&gt;1,"DUPLICADA","OK"))))</f>
        <v/>
      </c>
      <c r="F178" s="28">
        <f>IF($D178="","",IFERROR(INDEX(ENVIOS!$B$4:$B$3003,MATCH($D178,ENVIOS!$A$4:$A$3003,0)),"—"))</f>
        <v/>
      </c>
      <c r="G178" s="23">
        <f>IF($D178="","",IFERROR(INDEX(ENVIOS!$D$4:$D$3003,MATCH($D178,ENVIOS!$A$4:$A$3003,0)),"—"))</f>
        <v/>
      </c>
      <c r="H178" s="23">
        <f>IF($D178="","",IFERROR(INDEX(ENVIOS!$E$4:$E$3003,MATCH($D178,ENVIOS!$A$4:$A$3003,0)),"—"))</f>
        <v/>
      </c>
      <c r="I178" s="23">
        <f>IF($D178="","",IFERROR(INDEX(ENVIOS!$F$4:$F$3003,MATCH($D178,ENVIOS!$A$4:$A$3003,0)),"—"))</f>
        <v/>
      </c>
      <c r="J178" s="23">
        <f>IF($D178="","",IFERROR(INDEX(ENVIOS!$G$4:$G$3003,MATCH($D178,ENVIOS!$A$4:$A$3003,0)),"—"))</f>
        <v/>
      </c>
      <c r="K178" s="28">
        <f>IF($D178="","",IFERROR(INDEX(ENVIOS!$H$4:$H$3003,MATCH($D178,ENVIOS!$A$4:$A$3003,0)),"—"))</f>
        <v/>
      </c>
      <c r="L178" s="49">
        <f>IF($D178="","",IFERROR(INDEX(ENVIOS!$C$4:$C$3003,MATCH($D178,ENVIOS!$A$4:$A$3003,0)),""))</f>
        <v/>
      </c>
      <c r="M178" s="50" t="n"/>
      <c r="N178" s="28">
        <f>IF($M178="","",IFERROR(INDEX(CONFIG!$C$4:$C$63,MATCH($M178,CONFIG!$A$4:$A$63,0)),"Media"))</f>
        <v/>
      </c>
      <c r="O178" s="28">
        <f>IF($M178="","",IF($C178="Interna","NO",IFERROR(INDEX(CONFIG!$E$4:$E$63,MATCH($M178,CONFIG!$A$4:$A$63,0)),"NO")))</f>
        <v/>
      </c>
      <c r="P178" s="50" t="n"/>
      <c r="Q178" s="50" t="n"/>
      <c r="R178" s="28">
        <f>IF($Q178="","",IFERROR(INDEX(CONFIG!$H$4:$H$63,MATCH($Q178,CONFIG!$G$4:$G$63,0)),"Por definir"))</f>
        <v/>
      </c>
      <c r="S178" s="28">
        <f>IF($Q178="","",IFERROR(INDEX(CONFIG!$I$4:$I$63,MATCH($Q178,CONFIG!$G$4:$G$63,0)),"Por definir"))</f>
        <v/>
      </c>
      <c r="T178" s="51" t="n"/>
      <c r="U178" s="52" t="n"/>
      <c r="V178" s="50" t="n"/>
      <c r="W178" s="50" t="n"/>
      <c r="X178" s="49">
        <f>IF(OR($B178="",$M178=""),"",WORKDAY($B178,IFERROR(INDEX(CONFIG!$D$4:$D$63,MATCH($M178,CONFIG!$A$4:$A$63,0)),3)))</f>
        <v/>
      </c>
      <c r="Y178" s="47" t="n"/>
      <c r="Z178" s="24">
        <f>IF($B178="","",IF($Y178&lt;&gt;"",$Y178-$B178,TODAY()-$B178))</f>
        <v/>
      </c>
      <c r="AA178" s="28">
        <f>IF($B178="","",IF(IFERROR(INDEX(CONFIG!$L$4:$L$63,MATCH($V178,CONFIG!$K$4:$K$63,0)),"NO")="SÍ",IF(OR($Y178="",$X178=""),"Resuelta",IF($Y178&gt;$X178,"Resuelta tarde","Resuelta a tiempo")),IF($X178="","Sin clasificar",IF(TODAY()&gt;$X178,"Vencida",IF(TODAY()&gt;=$X178-1,"Por vencer","En plazo")))))</f>
        <v/>
      </c>
      <c r="AB178" s="50" t="n"/>
      <c r="AC178" s="50" t="n"/>
    </row>
    <row r="179" ht="16" customHeight="1">
      <c r="A179" s="28">
        <f>IF($B179="","","N-"&amp;TEXT(ROW()-3,"0000"))</f>
        <v/>
      </c>
      <c r="B179" s="47" t="n"/>
      <c r="C179" s="48" t="n"/>
      <c r="D179" s="48" t="n"/>
      <c r="E179" s="28">
        <f>IF($C179="","",IF($D179="",IF($C179="Interna","Sin guía (interna)","FALTA GUÍA"),IF(COUNTIFS(ENVIOS!$A$4:$A$3003,$D179)=0,"NO EXISTE",IF(COUNTIFS(ENVIOS!$A$4:$A$3003,$D179)&gt;1,"DUPLICADA","OK"))))</f>
        <v/>
      </c>
      <c r="F179" s="28">
        <f>IF($D179="","",IFERROR(INDEX(ENVIOS!$B$4:$B$3003,MATCH($D179,ENVIOS!$A$4:$A$3003,0)),"—"))</f>
        <v/>
      </c>
      <c r="G179" s="23">
        <f>IF($D179="","",IFERROR(INDEX(ENVIOS!$D$4:$D$3003,MATCH($D179,ENVIOS!$A$4:$A$3003,0)),"—"))</f>
        <v/>
      </c>
      <c r="H179" s="23">
        <f>IF($D179="","",IFERROR(INDEX(ENVIOS!$E$4:$E$3003,MATCH($D179,ENVIOS!$A$4:$A$3003,0)),"—"))</f>
        <v/>
      </c>
      <c r="I179" s="23">
        <f>IF($D179="","",IFERROR(INDEX(ENVIOS!$F$4:$F$3003,MATCH($D179,ENVIOS!$A$4:$A$3003,0)),"—"))</f>
        <v/>
      </c>
      <c r="J179" s="23">
        <f>IF($D179="","",IFERROR(INDEX(ENVIOS!$G$4:$G$3003,MATCH($D179,ENVIOS!$A$4:$A$3003,0)),"—"))</f>
        <v/>
      </c>
      <c r="K179" s="28">
        <f>IF($D179="","",IFERROR(INDEX(ENVIOS!$H$4:$H$3003,MATCH($D179,ENVIOS!$A$4:$A$3003,0)),"—"))</f>
        <v/>
      </c>
      <c r="L179" s="49">
        <f>IF($D179="","",IFERROR(INDEX(ENVIOS!$C$4:$C$3003,MATCH($D179,ENVIOS!$A$4:$A$3003,0)),""))</f>
        <v/>
      </c>
      <c r="M179" s="50" t="n"/>
      <c r="N179" s="28">
        <f>IF($M179="","",IFERROR(INDEX(CONFIG!$C$4:$C$63,MATCH($M179,CONFIG!$A$4:$A$63,0)),"Media"))</f>
        <v/>
      </c>
      <c r="O179" s="28">
        <f>IF($M179="","",IF($C179="Interna","NO",IFERROR(INDEX(CONFIG!$E$4:$E$63,MATCH($M179,CONFIG!$A$4:$A$63,0)),"NO")))</f>
        <v/>
      </c>
      <c r="P179" s="50" t="n"/>
      <c r="Q179" s="50" t="n"/>
      <c r="R179" s="28">
        <f>IF($Q179="","",IFERROR(INDEX(CONFIG!$H$4:$H$63,MATCH($Q179,CONFIG!$G$4:$G$63,0)),"Por definir"))</f>
        <v/>
      </c>
      <c r="S179" s="28">
        <f>IF($Q179="","",IFERROR(INDEX(CONFIG!$I$4:$I$63,MATCH($Q179,CONFIG!$G$4:$G$63,0)),"Por definir"))</f>
        <v/>
      </c>
      <c r="T179" s="51" t="n"/>
      <c r="U179" s="52" t="n"/>
      <c r="V179" s="50" t="n"/>
      <c r="W179" s="50" t="n"/>
      <c r="X179" s="49">
        <f>IF(OR($B179="",$M179=""),"",WORKDAY($B179,IFERROR(INDEX(CONFIG!$D$4:$D$63,MATCH($M179,CONFIG!$A$4:$A$63,0)),3)))</f>
        <v/>
      </c>
      <c r="Y179" s="47" t="n"/>
      <c r="Z179" s="24">
        <f>IF($B179="","",IF($Y179&lt;&gt;"",$Y179-$B179,TODAY()-$B179))</f>
        <v/>
      </c>
      <c r="AA179" s="28">
        <f>IF($B179="","",IF(IFERROR(INDEX(CONFIG!$L$4:$L$63,MATCH($V179,CONFIG!$K$4:$K$63,0)),"NO")="SÍ",IF(OR($Y179="",$X179=""),"Resuelta",IF($Y179&gt;$X179,"Resuelta tarde","Resuelta a tiempo")),IF($X179="","Sin clasificar",IF(TODAY()&gt;$X179,"Vencida",IF(TODAY()&gt;=$X179-1,"Por vencer","En plazo")))))</f>
        <v/>
      </c>
      <c r="AB179" s="50" t="n"/>
      <c r="AC179" s="50" t="n"/>
    </row>
    <row r="180" ht="16" customHeight="1">
      <c r="A180" s="28">
        <f>IF($B180="","","N-"&amp;TEXT(ROW()-3,"0000"))</f>
        <v/>
      </c>
      <c r="B180" s="47" t="n"/>
      <c r="C180" s="48" t="n"/>
      <c r="D180" s="48" t="n"/>
      <c r="E180" s="28">
        <f>IF($C180="","",IF($D180="",IF($C180="Interna","Sin guía (interna)","FALTA GUÍA"),IF(COUNTIFS(ENVIOS!$A$4:$A$3003,$D180)=0,"NO EXISTE",IF(COUNTIFS(ENVIOS!$A$4:$A$3003,$D180)&gt;1,"DUPLICADA","OK"))))</f>
        <v/>
      </c>
      <c r="F180" s="28">
        <f>IF($D180="","",IFERROR(INDEX(ENVIOS!$B$4:$B$3003,MATCH($D180,ENVIOS!$A$4:$A$3003,0)),"—"))</f>
        <v/>
      </c>
      <c r="G180" s="23">
        <f>IF($D180="","",IFERROR(INDEX(ENVIOS!$D$4:$D$3003,MATCH($D180,ENVIOS!$A$4:$A$3003,0)),"—"))</f>
        <v/>
      </c>
      <c r="H180" s="23">
        <f>IF($D180="","",IFERROR(INDEX(ENVIOS!$E$4:$E$3003,MATCH($D180,ENVIOS!$A$4:$A$3003,0)),"—"))</f>
        <v/>
      </c>
      <c r="I180" s="23">
        <f>IF($D180="","",IFERROR(INDEX(ENVIOS!$F$4:$F$3003,MATCH($D180,ENVIOS!$A$4:$A$3003,0)),"—"))</f>
        <v/>
      </c>
      <c r="J180" s="23">
        <f>IF($D180="","",IFERROR(INDEX(ENVIOS!$G$4:$G$3003,MATCH($D180,ENVIOS!$A$4:$A$3003,0)),"—"))</f>
        <v/>
      </c>
      <c r="K180" s="28">
        <f>IF($D180="","",IFERROR(INDEX(ENVIOS!$H$4:$H$3003,MATCH($D180,ENVIOS!$A$4:$A$3003,0)),"—"))</f>
        <v/>
      </c>
      <c r="L180" s="49">
        <f>IF($D180="","",IFERROR(INDEX(ENVIOS!$C$4:$C$3003,MATCH($D180,ENVIOS!$A$4:$A$3003,0)),""))</f>
        <v/>
      </c>
      <c r="M180" s="50" t="n"/>
      <c r="N180" s="28">
        <f>IF($M180="","",IFERROR(INDEX(CONFIG!$C$4:$C$63,MATCH($M180,CONFIG!$A$4:$A$63,0)),"Media"))</f>
        <v/>
      </c>
      <c r="O180" s="28">
        <f>IF($M180="","",IF($C180="Interna","NO",IFERROR(INDEX(CONFIG!$E$4:$E$63,MATCH($M180,CONFIG!$A$4:$A$63,0)),"NO")))</f>
        <v/>
      </c>
      <c r="P180" s="50" t="n"/>
      <c r="Q180" s="50" t="n"/>
      <c r="R180" s="28">
        <f>IF($Q180="","",IFERROR(INDEX(CONFIG!$H$4:$H$63,MATCH($Q180,CONFIG!$G$4:$G$63,0)),"Por definir"))</f>
        <v/>
      </c>
      <c r="S180" s="28">
        <f>IF($Q180="","",IFERROR(INDEX(CONFIG!$I$4:$I$63,MATCH($Q180,CONFIG!$G$4:$G$63,0)),"Por definir"))</f>
        <v/>
      </c>
      <c r="T180" s="51" t="n"/>
      <c r="U180" s="52" t="n"/>
      <c r="V180" s="50" t="n"/>
      <c r="W180" s="50" t="n"/>
      <c r="X180" s="49">
        <f>IF(OR($B180="",$M180=""),"",WORKDAY($B180,IFERROR(INDEX(CONFIG!$D$4:$D$63,MATCH($M180,CONFIG!$A$4:$A$63,0)),3)))</f>
        <v/>
      </c>
      <c r="Y180" s="47" t="n"/>
      <c r="Z180" s="24">
        <f>IF($B180="","",IF($Y180&lt;&gt;"",$Y180-$B180,TODAY()-$B180))</f>
        <v/>
      </c>
      <c r="AA180" s="28">
        <f>IF($B180="","",IF(IFERROR(INDEX(CONFIG!$L$4:$L$63,MATCH($V180,CONFIG!$K$4:$K$63,0)),"NO")="SÍ",IF(OR($Y180="",$X180=""),"Resuelta",IF($Y180&gt;$X180,"Resuelta tarde","Resuelta a tiempo")),IF($X180="","Sin clasificar",IF(TODAY()&gt;$X180,"Vencida",IF(TODAY()&gt;=$X180-1,"Por vencer","En plazo")))))</f>
        <v/>
      </c>
      <c r="AB180" s="50" t="n"/>
      <c r="AC180" s="50" t="n"/>
    </row>
    <row r="181" ht="16" customHeight="1">
      <c r="A181" s="28">
        <f>IF($B181="","","N-"&amp;TEXT(ROW()-3,"0000"))</f>
        <v/>
      </c>
      <c r="B181" s="47" t="n"/>
      <c r="C181" s="48" t="n"/>
      <c r="D181" s="48" t="n"/>
      <c r="E181" s="28">
        <f>IF($C181="","",IF($D181="",IF($C181="Interna","Sin guía (interna)","FALTA GUÍA"),IF(COUNTIFS(ENVIOS!$A$4:$A$3003,$D181)=0,"NO EXISTE",IF(COUNTIFS(ENVIOS!$A$4:$A$3003,$D181)&gt;1,"DUPLICADA","OK"))))</f>
        <v/>
      </c>
      <c r="F181" s="28">
        <f>IF($D181="","",IFERROR(INDEX(ENVIOS!$B$4:$B$3003,MATCH($D181,ENVIOS!$A$4:$A$3003,0)),"—"))</f>
        <v/>
      </c>
      <c r="G181" s="23">
        <f>IF($D181="","",IFERROR(INDEX(ENVIOS!$D$4:$D$3003,MATCH($D181,ENVIOS!$A$4:$A$3003,0)),"—"))</f>
        <v/>
      </c>
      <c r="H181" s="23">
        <f>IF($D181="","",IFERROR(INDEX(ENVIOS!$E$4:$E$3003,MATCH($D181,ENVIOS!$A$4:$A$3003,0)),"—"))</f>
        <v/>
      </c>
      <c r="I181" s="23">
        <f>IF($D181="","",IFERROR(INDEX(ENVIOS!$F$4:$F$3003,MATCH($D181,ENVIOS!$A$4:$A$3003,0)),"—"))</f>
        <v/>
      </c>
      <c r="J181" s="23">
        <f>IF($D181="","",IFERROR(INDEX(ENVIOS!$G$4:$G$3003,MATCH($D181,ENVIOS!$A$4:$A$3003,0)),"—"))</f>
        <v/>
      </c>
      <c r="K181" s="28">
        <f>IF($D181="","",IFERROR(INDEX(ENVIOS!$H$4:$H$3003,MATCH($D181,ENVIOS!$A$4:$A$3003,0)),"—"))</f>
        <v/>
      </c>
      <c r="L181" s="49">
        <f>IF($D181="","",IFERROR(INDEX(ENVIOS!$C$4:$C$3003,MATCH($D181,ENVIOS!$A$4:$A$3003,0)),""))</f>
        <v/>
      </c>
      <c r="M181" s="50" t="n"/>
      <c r="N181" s="28">
        <f>IF($M181="","",IFERROR(INDEX(CONFIG!$C$4:$C$63,MATCH($M181,CONFIG!$A$4:$A$63,0)),"Media"))</f>
        <v/>
      </c>
      <c r="O181" s="28">
        <f>IF($M181="","",IF($C181="Interna","NO",IFERROR(INDEX(CONFIG!$E$4:$E$63,MATCH($M181,CONFIG!$A$4:$A$63,0)),"NO")))</f>
        <v/>
      </c>
      <c r="P181" s="50" t="n"/>
      <c r="Q181" s="50" t="n"/>
      <c r="R181" s="28">
        <f>IF($Q181="","",IFERROR(INDEX(CONFIG!$H$4:$H$63,MATCH($Q181,CONFIG!$G$4:$G$63,0)),"Por definir"))</f>
        <v/>
      </c>
      <c r="S181" s="28">
        <f>IF($Q181="","",IFERROR(INDEX(CONFIG!$I$4:$I$63,MATCH($Q181,CONFIG!$G$4:$G$63,0)),"Por definir"))</f>
        <v/>
      </c>
      <c r="T181" s="51" t="n"/>
      <c r="U181" s="52" t="n"/>
      <c r="V181" s="50" t="n"/>
      <c r="W181" s="50" t="n"/>
      <c r="X181" s="49">
        <f>IF(OR($B181="",$M181=""),"",WORKDAY($B181,IFERROR(INDEX(CONFIG!$D$4:$D$63,MATCH($M181,CONFIG!$A$4:$A$63,0)),3)))</f>
        <v/>
      </c>
      <c r="Y181" s="47" t="n"/>
      <c r="Z181" s="24">
        <f>IF($B181="","",IF($Y181&lt;&gt;"",$Y181-$B181,TODAY()-$B181))</f>
        <v/>
      </c>
      <c r="AA181" s="28">
        <f>IF($B181="","",IF(IFERROR(INDEX(CONFIG!$L$4:$L$63,MATCH($V181,CONFIG!$K$4:$K$63,0)),"NO")="SÍ",IF(OR($Y181="",$X181=""),"Resuelta",IF($Y181&gt;$X181,"Resuelta tarde","Resuelta a tiempo")),IF($X181="","Sin clasificar",IF(TODAY()&gt;$X181,"Vencida",IF(TODAY()&gt;=$X181-1,"Por vencer","En plazo")))))</f>
        <v/>
      </c>
      <c r="AB181" s="50" t="n"/>
      <c r="AC181" s="50" t="n"/>
    </row>
    <row r="182" ht="16" customHeight="1">
      <c r="A182" s="28">
        <f>IF($B182="","","N-"&amp;TEXT(ROW()-3,"0000"))</f>
        <v/>
      </c>
      <c r="B182" s="47" t="n"/>
      <c r="C182" s="48" t="n"/>
      <c r="D182" s="48" t="n"/>
      <c r="E182" s="28">
        <f>IF($C182="","",IF($D182="",IF($C182="Interna","Sin guía (interna)","FALTA GUÍA"),IF(COUNTIFS(ENVIOS!$A$4:$A$3003,$D182)=0,"NO EXISTE",IF(COUNTIFS(ENVIOS!$A$4:$A$3003,$D182)&gt;1,"DUPLICADA","OK"))))</f>
        <v/>
      </c>
      <c r="F182" s="28">
        <f>IF($D182="","",IFERROR(INDEX(ENVIOS!$B$4:$B$3003,MATCH($D182,ENVIOS!$A$4:$A$3003,0)),"—"))</f>
        <v/>
      </c>
      <c r="G182" s="23">
        <f>IF($D182="","",IFERROR(INDEX(ENVIOS!$D$4:$D$3003,MATCH($D182,ENVIOS!$A$4:$A$3003,0)),"—"))</f>
        <v/>
      </c>
      <c r="H182" s="23">
        <f>IF($D182="","",IFERROR(INDEX(ENVIOS!$E$4:$E$3003,MATCH($D182,ENVIOS!$A$4:$A$3003,0)),"—"))</f>
        <v/>
      </c>
      <c r="I182" s="23">
        <f>IF($D182="","",IFERROR(INDEX(ENVIOS!$F$4:$F$3003,MATCH($D182,ENVIOS!$A$4:$A$3003,0)),"—"))</f>
        <v/>
      </c>
      <c r="J182" s="23">
        <f>IF($D182="","",IFERROR(INDEX(ENVIOS!$G$4:$G$3003,MATCH($D182,ENVIOS!$A$4:$A$3003,0)),"—"))</f>
        <v/>
      </c>
      <c r="K182" s="28">
        <f>IF($D182="","",IFERROR(INDEX(ENVIOS!$H$4:$H$3003,MATCH($D182,ENVIOS!$A$4:$A$3003,0)),"—"))</f>
        <v/>
      </c>
      <c r="L182" s="49">
        <f>IF($D182="","",IFERROR(INDEX(ENVIOS!$C$4:$C$3003,MATCH($D182,ENVIOS!$A$4:$A$3003,0)),""))</f>
        <v/>
      </c>
      <c r="M182" s="50" t="n"/>
      <c r="N182" s="28">
        <f>IF($M182="","",IFERROR(INDEX(CONFIG!$C$4:$C$63,MATCH($M182,CONFIG!$A$4:$A$63,0)),"Media"))</f>
        <v/>
      </c>
      <c r="O182" s="28">
        <f>IF($M182="","",IF($C182="Interna","NO",IFERROR(INDEX(CONFIG!$E$4:$E$63,MATCH($M182,CONFIG!$A$4:$A$63,0)),"NO")))</f>
        <v/>
      </c>
      <c r="P182" s="50" t="n"/>
      <c r="Q182" s="50" t="n"/>
      <c r="R182" s="28">
        <f>IF($Q182="","",IFERROR(INDEX(CONFIG!$H$4:$H$63,MATCH($Q182,CONFIG!$G$4:$G$63,0)),"Por definir"))</f>
        <v/>
      </c>
      <c r="S182" s="28">
        <f>IF($Q182="","",IFERROR(INDEX(CONFIG!$I$4:$I$63,MATCH($Q182,CONFIG!$G$4:$G$63,0)),"Por definir"))</f>
        <v/>
      </c>
      <c r="T182" s="51" t="n"/>
      <c r="U182" s="52" t="n"/>
      <c r="V182" s="50" t="n"/>
      <c r="W182" s="50" t="n"/>
      <c r="X182" s="49">
        <f>IF(OR($B182="",$M182=""),"",WORKDAY($B182,IFERROR(INDEX(CONFIG!$D$4:$D$63,MATCH($M182,CONFIG!$A$4:$A$63,0)),3)))</f>
        <v/>
      </c>
      <c r="Y182" s="47" t="n"/>
      <c r="Z182" s="24">
        <f>IF($B182="","",IF($Y182&lt;&gt;"",$Y182-$B182,TODAY()-$B182))</f>
        <v/>
      </c>
      <c r="AA182" s="28">
        <f>IF($B182="","",IF(IFERROR(INDEX(CONFIG!$L$4:$L$63,MATCH($V182,CONFIG!$K$4:$K$63,0)),"NO")="SÍ",IF(OR($Y182="",$X182=""),"Resuelta",IF($Y182&gt;$X182,"Resuelta tarde","Resuelta a tiempo")),IF($X182="","Sin clasificar",IF(TODAY()&gt;$X182,"Vencida",IF(TODAY()&gt;=$X182-1,"Por vencer","En plazo")))))</f>
        <v/>
      </c>
      <c r="AB182" s="50" t="n"/>
      <c r="AC182" s="50" t="n"/>
    </row>
    <row r="183" ht="16" customHeight="1">
      <c r="A183" s="28">
        <f>IF($B183="","","N-"&amp;TEXT(ROW()-3,"0000"))</f>
        <v/>
      </c>
      <c r="B183" s="47" t="n"/>
      <c r="C183" s="48" t="n"/>
      <c r="D183" s="48" t="n"/>
      <c r="E183" s="28">
        <f>IF($C183="","",IF($D183="",IF($C183="Interna","Sin guía (interna)","FALTA GUÍA"),IF(COUNTIFS(ENVIOS!$A$4:$A$3003,$D183)=0,"NO EXISTE",IF(COUNTIFS(ENVIOS!$A$4:$A$3003,$D183)&gt;1,"DUPLICADA","OK"))))</f>
        <v/>
      </c>
      <c r="F183" s="28">
        <f>IF($D183="","",IFERROR(INDEX(ENVIOS!$B$4:$B$3003,MATCH($D183,ENVIOS!$A$4:$A$3003,0)),"—"))</f>
        <v/>
      </c>
      <c r="G183" s="23">
        <f>IF($D183="","",IFERROR(INDEX(ENVIOS!$D$4:$D$3003,MATCH($D183,ENVIOS!$A$4:$A$3003,0)),"—"))</f>
        <v/>
      </c>
      <c r="H183" s="23">
        <f>IF($D183="","",IFERROR(INDEX(ENVIOS!$E$4:$E$3003,MATCH($D183,ENVIOS!$A$4:$A$3003,0)),"—"))</f>
        <v/>
      </c>
      <c r="I183" s="23">
        <f>IF($D183="","",IFERROR(INDEX(ENVIOS!$F$4:$F$3003,MATCH($D183,ENVIOS!$A$4:$A$3003,0)),"—"))</f>
        <v/>
      </c>
      <c r="J183" s="23">
        <f>IF($D183="","",IFERROR(INDEX(ENVIOS!$G$4:$G$3003,MATCH($D183,ENVIOS!$A$4:$A$3003,0)),"—"))</f>
        <v/>
      </c>
      <c r="K183" s="28">
        <f>IF($D183="","",IFERROR(INDEX(ENVIOS!$H$4:$H$3003,MATCH($D183,ENVIOS!$A$4:$A$3003,0)),"—"))</f>
        <v/>
      </c>
      <c r="L183" s="49">
        <f>IF($D183="","",IFERROR(INDEX(ENVIOS!$C$4:$C$3003,MATCH($D183,ENVIOS!$A$4:$A$3003,0)),""))</f>
        <v/>
      </c>
      <c r="M183" s="50" t="n"/>
      <c r="N183" s="28">
        <f>IF($M183="","",IFERROR(INDEX(CONFIG!$C$4:$C$63,MATCH($M183,CONFIG!$A$4:$A$63,0)),"Media"))</f>
        <v/>
      </c>
      <c r="O183" s="28">
        <f>IF($M183="","",IF($C183="Interna","NO",IFERROR(INDEX(CONFIG!$E$4:$E$63,MATCH($M183,CONFIG!$A$4:$A$63,0)),"NO")))</f>
        <v/>
      </c>
      <c r="P183" s="50" t="n"/>
      <c r="Q183" s="50" t="n"/>
      <c r="R183" s="28">
        <f>IF($Q183="","",IFERROR(INDEX(CONFIG!$H$4:$H$63,MATCH($Q183,CONFIG!$G$4:$G$63,0)),"Por definir"))</f>
        <v/>
      </c>
      <c r="S183" s="28">
        <f>IF($Q183="","",IFERROR(INDEX(CONFIG!$I$4:$I$63,MATCH($Q183,CONFIG!$G$4:$G$63,0)),"Por definir"))</f>
        <v/>
      </c>
      <c r="T183" s="51" t="n"/>
      <c r="U183" s="52" t="n"/>
      <c r="V183" s="50" t="n"/>
      <c r="W183" s="50" t="n"/>
      <c r="X183" s="49">
        <f>IF(OR($B183="",$M183=""),"",WORKDAY($B183,IFERROR(INDEX(CONFIG!$D$4:$D$63,MATCH($M183,CONFIG!$A$4:$A$63,0)),3)))</f>
        <v/>
      </c>
      <c r="Y183" s="47" t="n"/>
      <c r="Z183" s="24">
        <f>IF($B183="","",IF($Y183&lt;&gt;"",$Y183-$B183,TODAY()-$B183))</f>
        <v/>
      </c>
      <c r="AA183" s="28">
        <f>IF($B183="","",IF(IFERROR(INDEX(CONFIG!$L$4:$L$63,MATCH($V183,CONFIG!$K$4:$K$63,0)),"NO")="SÍ",IF(OR($Y183="",$X183=""),"Resuelta",IF($Y183&gt;$X183,"Resuelta tarde","Resuelta a tiempo")),IF($X183="","Sin clasificar",IF(TODAY()&gt;$X183,"Vencida",IF(TODAY()&gt;=$X183-1,"Por vencer","En plazo")))))</f>
        <v/>
      </c>
      <c r="AB183" s="50" t="n"/>
      <c r="AC183" s="50" t="n"/>
    </row>
    <row r="184" ht="16" customHeight="1">
      <c r="A184" s="28">
        <f>IF($B184="","","N-"&amp;TEXT(ROW()-3,"0000"))</f>
        <v/>
      </c>
      <c r="B184" s="47" t="n"/>
      <c r="C184" s="48" t="n"/>
      <c r="D184" s="48" t="n"/>
      <c r="E184" s="28">
        <f>IF($C184="","",IF($D184="",IF($C184="Interna","Sin guía (interna)","FALTA GUÍA"),IF(COUNTIFS(ENVIOS!$A$4:$A$3003,$D184)=0,"NO EXISTE",IF(COUNTIFS(ENVIOS!$A$4:$A$3003,$D184)&gt;1,"DUPLICADA","OK"))))</f>
        <v/>
      </c>
      <c r="F184" s="28">
        <f>IF($D184="","",IFERROR(INDEX(ENVIOS!$B$4:$B$3003,MATCH($D184,ENVIOS!$A$4:$A$3003,0)),"—"))</f>
        <v/>
      </c>
      <c r="G184" s="23">
        <f>IF($D184="","",IFERROR(INDEX(ENVIOS!$D$4:$D$3003,MATCH($D184,ENVIOS!$A$4:$A$3003,0)),"—"))</f>
        <v/>
      </c>
      <c r="H184" s="23">
        <f>IF($D184="","",IFERROR(INDEX(ENVIOS!$E$4:$E$3003,MATCH($D184,ENVIOS!$A$4:$A$3003,0)),"—"))</f>
        <v/>
      </c>
      <c r="I184" s="23">
        <f>IF($D184="","",IFERROR(INDEX(ENVIOS!$F$4:$F$3003,MATCH($D184,ENVIOS!$A$4:$A$3003,0)),"—"))</f>
        <v/>
      </c>
      <c r="J184" s="23">
        <f>IF($D184="","",IFERROR(INDEX(ENVIOS!$G$4:$G$3003,MATCH($D184,ENVIOS!$A$4:$A$3003,0)),"—"))</f>
        <v/>
      </c>
      <c r="K184" s="28">
        <f>IF($D184="","",IFERROR(INDEX(ENVIOS!$H$4:$H$3003,MATCH($D184,ENVIOS!$A$4:$A$3003,0)),"—"))</f>
        <v/>
      </c>
      <c r="L184" s="49">
        <f>IF($D184="","",IFERROR(INDEX(ENVIOS!$C$4:$C$3003,MATCH($D184,ENVIOS!$A$4:$A$3003,0)),""))</f>
        <v/>
      </c>
      <c r="M184" s="50" t="n"/>
      <c r="N184" s="28">
        <f>IF($M184="","",IFERROR(INDEX(CONFIG!$C$4:$C$63,MATCH($M184,CONFIG!$A$4:$A$63,0)),"Media"))</f>
        <v/>
      </c>
      <c r="O184" s="28">
        <f>IF($M184="","",IF($C184="Interna","NO",IFERROR(INDEX(CONFIG!$E$4:$E$63,MATCH($M184,CONFIG!$A$4:$A$63,0)),"NO")))</f>
        <v/>
      </c>
      <c r="P184" s="50" t="n"/>
      <c r="Q184" s="50" t="n"/>
      <c r="R184" s="28">
        <f>IF($Q184="","",IFERROR(INDEX(CONFIG!$H$4:$H$63,MATCH($Q184,CONFIG!$G$4:$G$63,0)),"Por definir"))</f>
        <v/>
      </c>
      <c r="S184" s="28">
        <f>IF($Q184="","",IFERROR(INDEX(CONFIG!$I$4:$I$63,MATCH($Q184,CONFIG!$G$4:$G$63,0)),"Por definir"))</f>
        <v/>
      </c>
      <c r="T184" s="51" t="n"/>
      <c r="U184" s="52" t="n"/>
      <c r="V184" s="50" t="n"/>
      <c r="W184" s="50" t="n"/>
      <c r="X184" s="49">
        <f>IF(OR($B184="",$M184=""),"",WORKDAY($B184,IFERROR(INDEX(CONFIG!$D$4:$D$63,MATCH($M184,CONFIG!$A$4:$A$63,0)),3)))</f>
        <v/>
      </c>
      <c r="Y184" s="47" t="n"/>
      <c r="Z184" s="24">
        <f>IF($B184="","",IF($Y184&lt;&gt;"",$Y184-$B184,TODAY()-$B184))</f>
        <v/>
      </c>
      <c r="AA184" s="28">
        <f>IF($B184="","",IF(IFERROR(INDEX(CONFIG!$L$4:$L$63,MATCH($V184,CONFIG!$K$4:$K$63,0)),"NO")="SÍ",IF(OR($Y184="",$X184=""),"Resuelta",IF($Y184&gt;$X184,"Resuelta tarde","Resuelta a tiempo")),IF($X184="","Sin clasificar",IF(TODAY()&gt;$X184,"Vencida",IF(TODAY()&gt;=$X184-1,"Por vencer","En plazo")))))</f>
        <v/>
      </c>
      <c r="AB184" s="50" t="n"/>
      <c r="AC184" s="50" t="n"/>
    </row>
    <row r="185" ht="16" customHeight="1">
      <c r="A185" s="28">
        <f>IF($B185="","","N-"&amp;TEXT(ROW()-3,"0000"))</f>
        <v/>
      </c>
      <c r="B185" s="47" t="n"/>
      <c r="C185" s="48" t="n"/>
      <c r="D185" s="48" t="n"/>
      <c r="E185" s="28">
        <f>IF($C185="","",IF($D185="",IF($C185="Interna","Sin guía (interna)","FALTA GUÍA"),IF(COUNTIFS(ENVIOS!$A$4:$A$3003,$D185)=0,"NO EXISTE",IF(COUNTIFS(ENVIOS!$A$4:$A$3003,$D185)&gt;1,"DUPLICADA","OK"))))</f>
        <v/>
      </c>
      <c r="F185" s="28">
        <f>IF($D185="","",IFERROR(INDEX(ENVIOS!$B$4:$B$3003,MATCH($D185,ENVIOS!$A$4:$A$3003,0)),"—"))</f>
        <v/>
      </c>
      <c r="G185" s="23">
        <f>IF($D185="","",IFERROR(INDEX(ENVIOS!$D$4:$D$3003,MATCH($D185,ENVIOS!$A$4:$A$3003,0)),"—"))</f>
        <v/>
      </c>
      <c r="H185" s="23">
        <f>IF($D185="","",IFERROR(INDEX(ENVIOS!$E$4:$E$3003,MATCH($D185,ENVIOS!$A$4:$A$3003,0)),"—"))</f>
        <v/>
      </c>
      <c r="I185" s="23">
        <f>IF($D185="","",IFERROR(INDEX(ENVIOS!$F$4:$F$3003,MATCH($D185,ENVIOS!$A$4:$A$3003,0)),"—"))</f>
        <v/>
      </c>
      <c r="J185" s="23">
        <f>IF($D185="","",IFERROR(INDEX(ENVIOS!$G$4:$G$3003,MATCH($D185,ENVIOS!$A$4:$A$3003,0)),"—"))</f>
        <v/>
      </c>
      <c r="K185" s="28">
        <f>IF($D185="","",IFERROR(INDEX(ENVIOS!$H$4:$H$3003,MATCH($D185,ENVIOS!$A$4:$A$3003,0)),"—"))</f>
        <v/>
      </c>
      <c r="L185" s="49">
        <f>IF($D185="","",IFERROR(INDEX(ENVIOS!$C$4:$C$3003,MATCH($D185,ENVIOS!$A$4:$A$3003,0)),""))</f>
        <v/>
      </c>
      <c r="M185" s="50" t="n"/>
      <c r="N185" s="28">
        <f>IF($M185="","",IFERROR(INDEX(CONFIG!$C$4:$C$63,MATCH($M185,CONFIG!$A$4:$A$63,0)),"Media"))</f>
        <v/>
      </c>
      <c r="O185" s="28">
        <f>IF($M185="","",IF($C185="Interna","NO",IFERROR(INDEX(CONFIG!$E$4:$E$63,MATCH($M185,CONFIG!$A$4:$A$63,0)),"NO")))</f>
        <v/>
      </c>
      <c r="P185" s="50" t="n"/>
      <c r="Q185" s="50" t="n"/>
      <c r="R185" s="28">
        <f>IF($Q185="","",IFERROR(INDEX(CONFIG!$H$4:$H$63,MATCH($Q185,CONFIG!$G$4:$G$63,0)),"Por definir"))</f>
        <v/>
      </c>
      <c r="S185" s="28">
        <f>IF($Q185="","",IFERROR(INDEX(CONFIG!$I$4:$I$63,MATCH($Q185,CONFIG!$G$4:$G$63,0)),"Por definir"))</f>
        <v/>
      </c>
      <c r="T185" s="51" t="n"/>
      <c r="U185" s="52" t="n"/>
      <c r="V185" s="50" t="n"/>
      <c r="W185" s="50" t="n"/>
      <c r="X185" s="49">
        <f>IF(OR($B185="",$M185=""),"",WORKDAY($B185,IFERROR(INDEX(CONFIG!$D$4:$D$63,MATCH($M185,CONFIG!$A$4:$A$63,0)),3)))</f>
        <v/>
      </c>
      <c r="Y185" s="47" t="n"/>
      <c r="Z185" s="24">
        <f>IF($B185="","",IF($Y185&lt;&gt;"",$Y185-$B185,TODAY()-$B185))</f>
        <v/>
      </c>
      <c r="AA185" s="28">
        <f>IF($B185="","",IF(IFERROR(INDEX(CONFIG!$L$4:$L$63,MATCH($V185,CONFIG!$K$4:$K$63,0)),"NO")="SÍ",IF(OR($Y185="",$X185=""),"Resuelta",IF($Y185&gt;$X185,"Resuelta tarde","Resuelta a tiempo")),IF($X185="","Sin clasificar",IF(TODAY()&gt;$X185,"Vencida",IF(TODAY()&gt;=$X185-1,"Por vencer","En plazo")))))</f>
        <v/>
      </c>
      <c r="AB185" s="50" t="n"/>
      <c r="AC185" s="50" t="n"/>
    </row>
    <row r="186" ht="16" customHeight="1">
      <c r="A186" s="28">
        <f>IF($B186="","","N-"&amp;TEXT(ROW()-3,"0000"))</f>
        <v/>
      </c>
      <c r="B186" s="47" t="n"/>
      <c r="C186" s="48" t="n"/>
      <c r="D186" s="48" t="n"/>
      <c r="E186" s="28">
        <f>IF($C186="","",IF($D186="",IF($C186="Interna","Sin guía (interna)","FALTA GUÍA"),IF(COUNTIFS(ENVIOS!$A$4:$A$3003,$D186)=0,"NO EXISTE",IF(COUNTIFS(ENVIOS!$A$4:$A$3003,$D186)&gt;1,"DUPLICADA","OK"))))</f>
        <v/>
      </c>
      <c r="F186" s="28">
        <f>IF($D186="","",IFERROR(INDEX(ENVIOS!$B$4:$B$3003,MATCH($D186,ENVIOS!$A$4:$A$3003,0)),"—"))</f>
        <v/>
      </c>
      <c r="G186" s="23">
        <f>IF($D186="","",IFERROR(INDEX(ENVIOS!$D$4:$D$3003,MATCH($D186,ENVIOS!$A$4:$A$3003,0)),"—"))</f>
        <v/>
      </c>
      <c r="H186" s="23">
        <f>IF($D186="","",IFERROR(INDEX(ENVIOS!$E$4:$E$3003,MATCH($D186,ENVIOS!$A$4:$A$3003,0)),"—"))</f>
        <v/>
      </c>
      <c r="I186" s="23">
        <f>IF($D186="","",IFERROR(INDEX(ENVIOS!$F$4:$F$3003,MATCH($D186,ENVIOS!$A$4:$A$3003,0)),"—"))</f>
        <v/>
      </c>
      <c r="J186" s="23">
        <f>IF($D186="","",IFERROR(INDEX(ENVIOS!$G$4:$G$3003,MATCH($D186,ENVIOS!$A$4:$A$3003,0)),"—"))</f>
        <v/>
      </c>
      <c r="K186" s="28">
        <f>IF($D186="","",IFERROR(INDEX(ENVIOS!$H$4:$H$3003,MATCH($D186,ENVIOS!$A$4:$A$3003,0)),"—"))</f>
        <v/>
      </c>
      <c r="L186" s="49">
        <f>IF($D186="","",IFERROR(INDEX(ENVIOS!$C$4:$C$3003,MATCH($D186,ENVIOS!$A$4:$A$3003,0)),""))</f>
        <v/>
      </c>
      <c r="M186" s="50" t="n"/>
      <c r="N186" s="28">
        <f>IF($M186="","",IFERROR(INDEX(CONFIG!$C$4:$C$63,MATCH($M186,CONFIG!$A$4:$A$63,0)),"Media"))</f>
        <v/>
      </c>
      <c r="O186" s="28">
        <f>IF($M186="","",IF($C186="Interna","NO",IFERROR(INDEX(CONFIG!$E$4:$E$63,MATCH($M186,CONFIG!$A$4:$A$63,0)),"NO")))</f>
        <v/>
      </c>
      <c r="P186" s="50" t="n"/>
      <c r="Q186" s="50" t="n"/>
      <c r="R186" s="28">
        <f>IF($Q186="","",IFERROR(INDEX(CONFIG!$H$4:$H$63,MATCH($Q186,CONFIG!$G$4:$G$63,0)),"Por definir"))</f>
        <v/>
      </c>
      <c r="S186" s="28">
        <f>IF($Q186="","",IFERROR(INDEX(CONFIG!$I$4:$I$63,MATCH($Q186,CONFIG!$G$4:$G$63,0)),"Por definir"))</f>
        <v/>
      </c>
      <c r="T186" s="51" t="n"/>
      <c r="U186" s="52" t="n"/>
      <c r="V186" s="50" t="n"/>
      <c r="W186" s="50" t="n"/>
      <c r="X186" s="49">
        <f>IF(OR($B186="",$M186=""),"",WORKDAY($B186,IFERROR(INDEX(CONFIG!$D$4:$D$63,MATCH($M186,CONFIG!$A$4:$A$63,0)),3)))</f>
        <v/>
      </c>
      <c r="Y186" s="47" t="n"/>
      <c r="Z186" s="24">
        <f>IF($B186="","",IF($Y186&lt;&gt;"",$Y186-$B186,TODAY()-$B186))</f>
        <v/>
      </c>
      <c r="AA186" s="28">
        <f>IF($B186="","",IF(IFERROR(INDEX(CONFIG!$L$4:$L$63,MATCH($V186,CONFIG!$K$4:$K$63,0)),"NO")="SÍ",IF(OR($Y186="",$X186=""),"Resuelta",IF($Y186&gt;$X186,"Resuelta tarde","Resuelta a tiempo")),IF($X186="","Sin clasificar",IF(TODAY()&gt;$X186,"Vencida",IF(TODAY()&gt;=$X186-1,"Por vencer","En plazo")))))</f>
        <v/>
      </c>
      <c r="AB186" s="50" t="n"/>
      <c r="AC186" s="50" t="n"/>
    </row>
    <row r="187" ht="16" customHeight="1">
      <c r="A187" s="28">
        <f>IF($B187="","","N-"&amp;TEXT(ROW()-3,"0000"))</f>
        <v/>
      </c>
      <c r="B187" s="47" t="n"/>
      <c r="C187" s="48" t="n"/>
      <c r="D187" s="48" t="n"/>
      <c r="E187" s="28">
        <f>IF($C187="","",IF($D187="",IF($C187="Interna","Sin guía (interna)","FALTA GUÍA"),IF(COUNTIFS(ENVIOS!$A$4:$A$3003,$D187)=0,"NO EXISTE",IF(COUNTIFS(ENVIOS!$A$4:$A$3003,$D187)&gt;1,"DUPLICADA","OK"))))</f>
        <v/>
      </c>
      <c r="F187" s="28">
        <f>IF($D187="","",IFERROR(INDEX(ENVIOS!$B$4:$B$3003,MATCH($D187,ENVIOS!$A$4:$A$3003,0)),"—"))</f>
        <v/>
      </c>
      <c r="G187" s="23">
        <f>IF($D187="","",IFERROR(INDEX(ENVIOS!$D$4:$D$3003,MATCH($D187,ENVIOS!$A$4:$A$3003,0)),"—"))</f>
        <v/>
      </c>
      <c r="H187" s="23">
        <f>IF($D187="","",IFERROR(INDEX(ENVIOS!$E$4:$E$3003,MATCH($D187,ENVIOS!$A$4:$A$3003,0)),"—"))</f>
        <v/>
      </c>
      <c r="I187" s="23">
        <f>IF($D187="","",IFERROR(INDEX(ENVIOS!$F$4:$F$3003,MATCH($D187,ENVIOS!$A$4:$A$3003,0)),"—"))</f>
        <v/>
      </c>
      <c r="J187" s="23">
        <f>IF($D187="","",IFERROR(INDEX(ENVIOS!$G$4:$G$3003,MATCH($D187,ENVIOS!$A$4:$A$3003,0)),"—"))</f>
        <v/>
      </c>
      <c r="K187" s="28">
        <f>IF($D187="","",IFERROR(INDEX(ENVIOS!$H$4:$H$3003,MATCH($D187,ENVIOS!$A$4:$A$3003,0)),"—"))</f>
        <v/>
      </c>
      <c r="L187" s="49">
        <f>IF($D187="","",IFERROR(INDEX(ENVIOS!$C$4:$C$3003,MATCH($D187,ENVIOS!$A$4:$A$3003,0)),""))</f>
        <v/>
      </c>
      <c r="M187" s="50" t="n"/>
      <c r="N187" s="28">
        <f>IF($M187="","",IFERROR(INDEX(CONFIG!$C$4:$C$63,MATCH($M187,CONFIG!$A$4:$A$63,0)),"Media"))</f>
        <v/>
      </c>
      <c r="O187" s="28">
        <f>IF($M187="","",IF($C187="Interna","NO",IFERROR(INDEX(CONFIG!$E$4:$E$63,MATCH($M187,CONFIG!$A$4:$A$63,0)),"NO")))</f>
        <v/>
      </c>
      <c r="P187" s="50" t="n"/>
      <c r="Q187" s="50" t="n"/>
      <c r="R187" s="28">
        <f>IF($Q187="","",IFERROR(INDEX(CONFIG!$H$4:$H$63,MATCH($Q187,CONFIG!$G$4:$G$63,0)),"Por definir"))</f>
        <v/>
      </c>
      <c r="S187" s="28">
        <f>IF($Q187="","",IFERROR(INDEX(CONFIG!$I$4:$I$63,MATCH($Q187,CONFIG!$G$4:$G$63,0)),"Por definir"))</f>
        <v/>
      </c>
      <c r="T187" s="51" t="n"/>
      <c r="U187" s="52" t="n"/>
      <c r="V187" s="50" t="n"/>
      <c r="W187" s="50" t="n"/>
      <c r="X187" s="49">
        <f>IF(OR($B187="",$M187=""),"",WORKDAY($B187,IFERROR(INDEX(CONFIG!$D$4:$D$63,MATCH($M187,CONFIG!$A$4:$A$63,0)),3)))</f>
        <v/>
      </c>
      <c r="Y187" s="47" t="n"/>
      <c r="Z187" s="24">
        <f>IF($B187="","",IF($Y187&lt;&gt;"",$Y187-$B187,TODAY()-$B187))</f>
        <v/>
      </c>
      <c r="AA187" s="28">
        <f>IF($B187="","",IF(IFERROR(INDEX(CONFIG!$L$4:$L$63,MATCH($V187,CONFIG!$K$4:$K$63,0)),"NO")="SÍ",IF(OR($Y187="",$X187=""),"Resuelta",IF($Y187&gt;$X187,"Resuelta tarde","Resuelta a tiempo")),IF($X187="","Sin clasificar",IF(TODAY()&gt;$X187,"Vencida",IF(TODAY()&gt;=$X187-1,"Por vencer","En plazo")))))</f>
        <v/>
      </c>
      <c r="AB187" s="50" t="n"/>
      <c r="AC187" s="50" t="n"/>
    </row>
    <row r="188" ht="16" customHeight="1">
      <c r="A188" s="28">
        <f>IF($B188="","","N-"&amp;TEXT(ROW()-3,"0000"))</f>
        <v/>
      </c>
      <c r="B188" s="47" t="n"/>
      <c r="C188" s="48" t="n"/>
      <c r="D188" s="48" t="n"/>
      <c r="E188" s="28">
        <f>IF($C188="","",IF($D188="",IF($C188="Interna","Sin guía (interna)","FALTA GUÍA"),IF(COUNTIFS(ENVIOS!$A$4:$A$3003,$D188)=0,"NO EXISTE",IF(COUNTIFS(ENVIOS!$A$4:$A$3003,$D188)&gt;1,"DUPLICADA","OK"))))</f>
        <v/>
      </c>
      <c r="F188" s="28">
        <f>IF($D188="","",IFERROR(INDEX(ENVIOS!$B$4:$B$3003,MATCH($D188,ENVIOS!$A$4:$A$3003,0)),"—"))</f>
        <v/>
      </c>
      <c r="G188" s="23">
        <f>IF($D188="","",IFERROR(INDEX(ENVIOS!$D$4:$D$3003,MATCH($D188,ENVIOS!$A$4:$A$3003,0)),"—"))</f>
        <v/>
      </c>
      <c r="H188" s="23">
        <f>IF($D188="","",IFERROR(INDEX(ENVIOS!$E$4:$E$3003,MATCH($D188,ENVIOS!$A$4:$A$3003,0)),"—"))</f>
        <v/>
      </c>
      <c r="I188" s="23">
        <f>IF($D188="","",IFERROR(INDEX(ENVIOS!$F$4:$F$3003,MATCH($D188,ENVIOS!$A$4:$A$3003,0)),"—"))</f>
        <v/>
      </c>
      <c r="J188" s="23">
        <f>IF($D188="","",IFERROR(INDEX(ENVIOS!$G$4:$G$3003,MATCH($D188,ENVIOS!$A$4:$A$3003,0)),"—"))</f>
        <v/>
      </c>
      <c r="K188" s="28">
        <f>IF($D188="","",IFERROR(INDEX(ENVIOS!$H$4:$H$3003,MATCH($D188,ENVIOS!$A$4:$A$3003,0)),"—"))</f>
        <v/>
      </c>
      <c r="L188" s="49">
        <f>IF($D188="","",IFERROR(INDEX(ENVIOS!$C$4:$C$3003,MATCH($D188,ENVIOS!$A$4:$A$3003,0)),""))</f>
        <v/>
      </c>
      <c r="M188" s="50" t="n"/>
      <c r="N188" s="28">
        <f>IF($M188="","",IFERROR(INDEX(CONFIG!$C$4:$C$63,MATCH($M188,CONFIG!$A$4:$A$63,0)),"Media"))</f>
        <v/>
      </c>
      <c r="O188" s="28">
        <f>IF($M188="","",IF($C188="Interna","NO",IFERROR(INDEX(CONFIG!$E$4:$E$63,MATCH($M188,CONFIG!$A$4:$A$63,0)),"NO")))</f>
        <v/>
      </c>
      <c r="P188" s="50" t="n"/>
      <c r="Q188" s="50" t="n"/>
      <c r="R188" s="28">
        <f>IF($Q188="","",IFERROR(INDEX(CONFIG!$H$4:$H$63,MATCH($Q188,CONFIG!$G$4:$G$63,0)),"Por definir"))</f>
        <v/>
      </c>
      <c r="S188" s="28">
        <f>IF($Q188="","",IFERROR(INDEX(CONFIG!$I$4:$I$63,MATCH($Q188,CONFIG!$G$4:$G$63,0)),"Por definir"))</f>
        <v/>
      </c>
      <c r="T188" s="51" t="n"/>
      <c r="U188" s="52" t="n"/>
      <c r="V188" s="50" t="n"/>
      <c r="W188" s="50" t="n"/>
      <c r="X188" s="49">
        <f>IF(OR($B188="",$M188=""),"",WORKDAY($B188,IFERROR(INDEX(CONFIG!$D$4:$D$63,MATCH($M188,CONFIG!$A$4:$A$63,0)),3)))</f>
        <v/>
      </c>
      <c r="Y188" s="47" t="n"/>
      <c r="Z188" s="24">
        <f>IF($B188="","",IF($Y188&lt;&gt;"",$Y188-$B188,TODAY()-$B188))</f>
        <v/>
      </c>
      <c r="AA188" s="28">
        <f>IF($B188="","",IF(IFERROR(INDEX(CONFIG!$L$4:$L$63,MATCH($V188,CONFIG!$K$4:$K$63,0)),"NO")="SÍ",IF(OR($Y188="",$X188=""),"Resuelta",IF($Y188&gt;$X188,"Resuelta tarde","Resuelta a tiempo")),IF($X188="","Sin clasificar",IF(TODAY()&gt;$X188,"Vencida",IF(TODAY()&gt;=$X188-1,"Por vencer","En plazo")))))</f>
        <v/>
      </c>
      <c r="AB188" s="50" t="n"/>
      <c r="AC188" s="50" t="n"/>
    </row>
    <row r="189" ht="16" customHeight="1">
      <c r="A189" s="28">
        <f>IF($B189="","","N-"&amp;TEXT(ROW()-3,"0000"))</f>
        <v/>
      </c>
      <c r="B189" s="47" t="n"/>
      <c r="C189" s="48" t="n"/>
      <c r="D189" s="48" t="n"/>
      <c r="E189" s="28">
        <f>IF($C189="","",IF($D189="",IF($C189="Interna","Sin guía (interna)","FALTA GUÍA"),IF(COUNTIFS(ENVIOS!$A$4:$A$3003,$D189)=0,"NO EXISTE",IF(COUNTIFS(ENVIOS!$A$4:$A$3003,$D189)&gt;1,"DUPLICADA","OK"))))</f>
        <v/>
      </c>
      <c r="F189" s="28">
        <f>IF($D189="","",IFERROR(INDEX(ENVIOS!$B$4:$B$3003,MATCH($D189,ENVIOS!$A$4:$A$3003,0)),"—"))</f>
        <v/>
      </c>
      <c r="G189" s="23">
        <f>IF($D189="","",IFERROR(INDEX(ENVIOS!$D$4:$D$3003,MATCH($D189,ENVIOS!$A$4:$A$3003,0)),"—"))</f>
        <v/>
      </c>
      <c r="H189" s="23">
        <f>IF($D189="","",IFERROR(INDEX(ENVIOS!$E$4:$E$3003,MATCH($D189,ENVIOS!$A$4:$A$3003,0)),"—"))</f>
        <v/>
      </c>
      <c r="I189" s="23">
        <f>IF($D189="","",IFERROR(INDEX(ENVIOS!$F$4:$F$3003,MATCH($D189,ENVIOS!$A$4:$A$3003,0)),"—"))</f>
        <v/>
      </c>
      <c r="J189" s="23">
        <f>IF($D189="","",IFERROR(INDEX(ENVIOS!$G$4:$G$3003,MATCH($D189,ENVIOS!$A$4:$A$3003,0)),"—"))</f>
        <v/>
      </c>
      <c r="K189" s="28">
        <f>IF($D189="","",IFERROR(INDEX(ENVIOS!$H$4:$H$3003,MATCH($D189,ENVIOS!$A$4:$A$3003,0)),"—"))</f>
        <v/>
      </c>
      <c r="L189" s="49">
        <f>IF($D189="","",IFERROR(INDEX(ENVIOS!$C$4:$C$3003,MATCH($D189,ENVIOS!$A$4:$A$3003,0)),""))</f>
        <v/>
      </c>
      <c r="M189" s="50" t="n"/>
      <c r="N189" s="28">
        <f>IF($M189="","",IFERROR(INDEX(CONFIG!$C$4:$C$63,MATCH($M189,CONFIG!$A$4:$A$63,0)),"Media"))</f>
        <v/>
      </c>
      <c r="O189" s="28">
        <f>IF($M189="","",IF($C189="Interna","NO",IFERROR(INDEX(CONFIG!$E$4:$E$63,MATCH($M189,CONFIG!$A$4:$A$63,0)),"NO")))</f>
        <v/>
      </c>
      <c r="P189" s="50" t="n"/>
      <c r="Q189" s="50" t="n"/>
      <c r="R189" s="28">
        <f>IF($Q189="","",IFERROR(INDEX(CONFIG!$H$4:$H$63,MATCH($Q189,CONFIG!$G$4:$G$63,0)),"Por definir"))</f>
        <v/>
      </c>
      <c r="S189" s="28">
        <f>IF($Q189="","",IFERROR(INDEX(CONFIG!$I$4:$I$63,MATCH($Q189,CONFIG!$G$4:$G$63,0)),"Por definir"))</f>
        <v/>
      </c>
      <c r="T189" s="51" t="n"/>
      <c r="U189" s="52" t="n"/>
      <c r="V189" s="50" t="n"/>
      <c r="W189" s="50" t="n"/>
      <c r="X189" s="49">
        <f>IF(OR($B189="",$M189=""),"",WORKDAY($B189,IFERROR(INDEX(CONFIG!$D$4:$D$63,MATCH($M189,CONFIG!$A$4:$A$63,0)),3)))</f>
        <v/>
      </c>
      <c r="Y189" s="47" t="n"/>
      <c r="Z189" s="24">
        <f>IF($B189="","",IF($Y189&lt;&gt;"",$Y189-$B189,TODAY()-$B189))</f>
        <v/>
      </c>
      <c r="AA189" s="28">
        <f>IF($B189="","",IF(IFERROR(INDEX(CONFIG!$L$4:$L$63,MATCH($V189,CONFIG!$K$4:$K$63,0)),"NO")="SÍ",IF(OR($Y189="",$X189=""),"Resuelta",IF($Y189&gt;$X189,"Resuelta tarde","Resuelta a tiempo")),IF($X189="","Sin clasificar",IF(TODAY()&gt;$X189,"Vencida",IF(TODAY()&gt;=$X189-1,"Por vencer","En plazo")))))</f>
        <v/>
      </c>
      <c r="AB189" s="50" t="n"/>
      <c r="AC189" s="50" t="n"/>
    </row>
    <row r="190" ht="16" customHeight="1">
      <c r="A190" s="28">
        <f>IF($B190="","","N-"&amp;TEXT(ROW()-3,"0000"))</f>
        <v/>
      </c>
      <c r="B190" s="47" t="n"/>
      <c r="C190" s="48" t="n"/>
      <c r="D190" s="48" t="n"/>
      <c r="E190" s="28">
        <f>IF($C190="","",IF($D190="",IF($C190="Interna","Sin guía (interna)","FALTA GUÍA"),IF(COUNTIFS(ENVIOS!$A$4:$A$3003,$D190)=0,"NO EXISTE",IF(COUNTIFS(ENVIOS!$A$4:$A$3003,$D190)&gt;1,"DUPLICADA","OK"))))</f>
        <v/>
      </c>
      <c r="F190" s="28">
        <f>IF($D190="","",IFERROR(INDEX(ENVIOS!$B$4:$B$3003,MATCH($D190,ENVIOS!$A$4:$A$3003,0)),"—"))</f>
        <v/>
      </c>
      <c r="G190" s="23">
        <f>IF($D190="","",IFERROR(INDEX(ENVIOS!$D$4:$D$3003,MATCH($D190,ENVIOS!$A$4:$A$3003,0)),"—"))</f>
        <v/>
      </c>
      <c r="H190" s="23">
        <f>IF($D190="","",IFERROR(INDEX(ENVIOS!$E$4:$E$3003,MATCH($D190,ENVIOS!$A$4:$A$3003,0)),"—"))</f>
        <v/>
      </c>
      <c r="I190" s="23">
        <f>IF($D190="","",IFERROR(INDEX(ENVIOS!$F$4:$F$3003,MATCH($D190,ENVIOS!$A$4:$A$3003,0)),"—"))</f>
        <v/>
      </c>
      <c r="J190" s="23">
        <f>IF($D190="","",IFERROR(INDEX(ENVIOS!$G$4:$G$3003,MATCH($D190,ENVIOS!$A$4:$A$3003,0)),"—"))</f>
        <v/>
      </c>
      <c r="K190" s="28">
        <f>IF($D190="","",IFERROR(INDEX(ENVIOS!$H$4:$H$3003,MATCH($D190,ENVIOS!$A$4:$A$3003,0)),"—"))</f>
        <v/>
      </c>
      <c r="L190" s="49">
        <f>IF($D190="","",IFERROR(INDEX(ENVIOS!$C$4:$C$3003,MATCH($D190,ENVIOS!$A$4:$A$3003,0)),""))</f>
        <v/>
      </c>
      <c r="M190" s="50" t="n"/>
      <c r="N190" s="28">
        <f>IF($M190="","",IFERROR(INDEX(CONFIG!$C$4:$C$63,MATCH($M190,CONFIG!$A$4:$A$63,0)),"Media"))</f>
        <v/>
      </c>
      <c r="O190" s="28">
        <f>IF($M190="","",IF($C190="Interna","NO",IFERROR(INDEX(CONFIG!$E$4:$E$63,MATCH($M190,CONFIG!$A$4:$A$63,0)),"NO")))</f>
        <v/>
      </c>
      <c r="P190" s="50" t="n"/>
      <c r="Q190" s="50" t="n"/>
      <c r="R190" s="28">
        <f>IF($Q190="","",IFERROR(INDEX(CONFIG!$H$4:$H$63,MATCH($Q190,CONFIG!$G$4:$G$63,0)),"Por definir"))</f>
        <v/>
      </c>
      <c r="S190" s="28">
        <f>IF($Q190="","",IFERROR(INDEX(CONFIG!$I$4:$I$63,MATCH($Q190,CONFIG!$G$4:$G$63,0)),"Por definir"))</f>
        <v/>
      </c>
      <c r="T190" s="51" t="n"/>
      <c r="U190" s="52" t="n"/>
      <c r="V190" s="50" t="n"/>
      <c r="W190" s="50" t="n"/>
      <c r="X190" s="49">
        <f>IF(OR($B190="",$M190=""),"",WORKDAY($B190,IFERROR(INDEX(CONFIG!$D$4:$D$63,MATCH($M190,CONFIG!$A$4:$A$63,0)),3)))</f>
        <v/>
      </c>
      <c r="Y190" s="47" t="n"/>
      <c r="Z190" s="24">
        <f>IF($B190="","",IF($Y190&lt;&gt;"",$Y190-$B190,TODAY()-$B190))</f>
        <v/>
      </c>
      <c r="AA190" s="28">
        <f>IF($B190="","",IF(IFERROR(INDEX(CONFIG!$L$4:$L$63,MATCH($V190,CONFIG!$K$4:$K$63,0)),"NO")="SÍ",IF(OR($Y190="",$X190=""),"Resuelta",IF($Y190&gt;$X190,"Resuelta tarde","Resuelta a tiempo")),IF($X190="","Sin clasificar",IF(TODAY()&gt;$X190,"Vencida",IF(TODAY()&gt;=$X190-1,"Por vencer","En plazo")))))</f>
        <v/>
      </c>
      <c r="AB190" s="50" t="n"/>
      <c r="AC190" s="50" t="n"/>
    </row>
    <row r="191" ht="16" customHeight="1">
      <c r="A191" s="28">
        <f>IF($B191="","","N-"&amp;TEXT(ROW()-3,"0000"))</f>
        <v/>
      </c>
      <c r="B191" s="47" t="n"/>
      <c r="C191" s="48" t="n"/>
      <c r="D191" s="48" t="n"/>
      <c r="E191" s="28">
        <f>IF($C191="","",IF($D191="",IF($C191="Interna","Sin guía (interna)","FALTA GUÍA"),IF(COUNTIFS(ENVIOS!$A$4:$A$3003,$D191)=0,"NO EXISTE",IF(COUNTIFS(ENVIOS!$A$4:$A$3003,$D191)&gt;1,"DUPLICADA","OK"))))</f>
        <v/>
      </c>
      <c r="F191" s="28">
        <f>IF($D191="","",IFERROR(INDEX(ENVIOS!$B$4:$B$3003,MATCH($D191,ENVIOS!$A$4:$A$3003,0)),"—"))</f>
        <v/>
      </c>
      <c r="G191" s="23">
        <f>IF($D191="","",IFERROR(INDEX(ENVIOS!$D$4:$D$3003,MATCH($D191,ENVIOS!$A$4:$A$3003,0)),"—"))</f>
        <v/>
      </c>
      <c r="H191" s="23">
        <f>IF($D191="","",IFERROR(INDEX(ENVIOS!$E$4:$E$3003,MATCH($D191,ENVIOS!$A$4:$A$3003,0)),"—"))</f>
        <v/>
      </c>
      <c r="I191" s="23">
        <f>IF($D191="","",IFERROR(INDEX(ENVIOS!$F$4:$F$3003,MATCH($D191,ENVIOS!$A$4:$A$3003,0)),"—"))</f>
        <v/>
      </c>
      <c r="J191" s="23">
        <f>IF($D191="","",IFERROR(INDEX(ENVIOS!$G$4:$G$3003,MATCH($D191,ENVIOS!$A$4:$A$3003,0)),"—"))</f>
        <v/>
      </c>
      <c r="K191" s="28">
        <f>IF($D191="","",IFERROR(INDEX(ENVIOS!$H$4:$H$3003,MATCH($D191,ENVIOS!$A$4:$A$3003,0)),"—"))</f>
        <v/>
      </c>
      <c r="L191" s="49">
        <f>IF($D191="","",IFERROR(INDEX(ENVIOS!$C$4:$C$3003,MATCH($D191,ENVIOS!$A$4:$A$3003,0)),""))</f>
        <v/>
      </c>
      <c r="M191" s="50" t="n"/>
      <c r="N191" s="28">
        <f>IF($M191="","",IFERROR(INDEX(CONFIG!$C$4:$C$63,MATCH($M191,CONFIG!$A$4:$A$63,0)),"Media"))</f>
        <v/>
      </c>
      <c r="O191" s="28">
        <f>IF($M191="","",IF($C191="Interna","NO",IFERROR(INDEX(CONFIG!$E$4:$E$63,MATCH($M191,CONFIG!$A$4:$A$63,0)),"NO")))</f>
        <v/>
      </c>
      <c r="P191" s="50" t="n"/>
      <c r="Q191" s="50" t="n"/>
      <c r="R191" s="28">
        <f>IF($Q191="","",IFERROR(INDEX(CONFIG!$H$4:$H$63,MATCH($Q191,CONFIG!$G$4:$G$63,0)),"Por definir"))</f>
        <v/>
      </c>
      <c r="S191" s="28">
        <f>IF($Q191="","",IFERROR(INDEX(CONFIG!$I$4:$I$63,MATCH($Q191,CONFIG!$G$4:$G$63,0)),"Por definir"))</f>
        <v/>
      </c>
      <c r="T191" s="51" t="n"/>
      <c r="U191" s="52" t="n"/>
      <c r="V191" s="50" t="n"/>
      <c r="W191" s="50" t="n"/>
      <c r="X191" s="49">
        <f>IF(OR($B191="",$M191=""),"",WORKDAY($B191,IFERROR(INDEX(CONFIG!$D$4:$D$63,MATCH($M191,CONFIG!$A$4:$A$63,0)),3)))</f>
        <v/>
      </c>
      <c r="Y191" s="47" t="n"/>
      <c r="Z191" s="24">
        <f>IF($B191="","",IF($Y191&lt;&gt;"",$Y191-$B191,TODAY()-$B191))</f>
        <v/>
      </c>
      <c r="AA191" s="28">
        <f>IF($B191="","",IF(IFERROR(INDEX(CONFIG!$L$4:$L$63,MATCH($V191,CONFIG!$K$4:$K$63,0)),"NO")="SÍ",IF(OR($Y191="",$X191=""),"Resuelta",IF($Y191&gt;$X191,"Resuelta tarde","Resuelta a tiempo")),IF($X191="","Sin clasificar",IF(TODAY()&gt;$X191,"Vencida",IF(TODAY()&gt;=$X191-1,"Por vencer","En plazo")))))</f>
        <v/>
      </c>
      <c r="AB191" s="50" t="n"/>
      <c r="AC191" s="50" t="n"/>
    </row>
    <row r="192" ht="16" customHeight="1">
      <c r="A192" s="28">
        <f>IF($B192="","","N-"&amp;TEXT(ROW()-3,"0000"))</f>
        <v/>
      </c>
      <c r="B192" s="47" t="n"/>
      <c r="C192" s="48" t="n"/>
      <c r="D192" s="48" t="n"/>
      <c r="E192" s="28">
        <f>IF($C192="","",IF($D192="",IF($C192="Interna","Sin guía (interna)","FALTA GUÍA"),IF(COUNTIFS(ENVIOS!$A$4:$A$3003,$D192)=0,"NO EXISTE",IF(COUNTIFS(ENVIOS!$A$4:$A$3003,$D192)&gt;1,"DUPLICADA","OK"))))</f>
        <v/>
      </c>
      <c r="F192" s="28">
        <f>IF($D192="","",IFERROR(INDEX(ENVIOS!$B$4:$B$3003,MATCH($D192,ENVIOS!$A$4:$A$3003,0)),"—"))</f>
        <v/>
      </c>
      <c r="G192" s="23">
        <f>IF($D192="","",IFERROR(INDEX(ENVIOS!$D$4:$D$3003,MATCH($D192,ENVIOS!$A$4:$A$3003,0)),"—"))</f>
        <v/>
      </c>
      <c r="H192" s="23">
        <f>IF($D192="","",IFERROR(INDEX(ENVIOS!$E$4:$E$3003,MATCH($D192,ENVIOS!$A$4:$A$3003,0)),"—"))</f>
        <v/>
      </c>
      <c r="I192" s="23">
        <f>IF($D192="","",IFERROR(INDEX(ENVIOS!$F$4:$F$3003,MATCH($D192,ENVIOS!$A$4:$A$3003,0)),"—"))</f>
        <v/>
      </c>
      <c r="J192" s="23">
        <f>IF($D192="","",IFERROR(INDEX(ENVIOS!$G$4:$G$3003,MATCH($D192,ENVIOS!$A$4:$A$3003,0)),"—"))</f>
        <v/>
      </c>
      <c r="K192" s="28">
        <f>IF($D192="","",IFERROR(INDEX(ENVIOS!$H$4:$H$3003,MATCH($D192,ENVIOS!$A$4:$A$3003,0)),"—"))</f>
        <v/>
      </c>
      <c r="L192" s="49">
        <f>IF($D192="","",IFERROR(INDEX(ENVIOS!$C$4:$C$3003,MATCH($D192,ENVIOS!$A$4:$A$3003,0)),""))</f>
        <v/>
      </c>
      <c r="M192" s="50" t="n"/>
      <c r="N192" s="28">
        <f>IF($M192="","",IFERROR(INDEX(CONFIG!$C$4:$C$63,MATCH($M192,CONFIG!$A$4:$A$63,0)),"Media"))</f>
        <v/>
      </c>
      <c r="O192" s="28">
        <f>IF($M192="","",IF($C192="Interna","NO",IFERROR(INDEX(CONFIG!$E$4:$E$63,MATCH($M192,CONFIG!$A$4:$A$63,0)),"NO")))</f>
        <v/>
      </c>
      <c r="P192" s="50" t="n"/>
      <c r="Q192" s="50" t="n"/>
      <c r="R192" s="28">
        <f>IF($Q192="","",IFERROR(INDEX(CONFIG!$H$4:$H$63,MATCH($Q192,CONFIG!$G$4:$G$63,0)),"Por definir"))</f>
        <v/>
      </c>
      <c r="S192" s="28">
        <f>IF($Q192="","",IFERROR(INDEX(CONFIG!$I$4:$I$63,MATCH($Q192,CONFIG!$G$4:$G$63,0)),"Por definir"))</f>
        <v/>
      </c>
      <c r="T192" s="51" t="n"/>
      <c r="U192" s="52" t="n"/>
      <c r="V192" s="50" t="n"/>
      <c r="W192" s="50" t="n"/>
      <c r="X192" s="49">
        <f>IF(OR($B192="",$M192=""),"",WORKDAY($B192,IFERROR(INDEX(CONFIG!$D$4:$D$63,MATCH($M192,CONFIG!$A$4:$A$63,0)),3)))</f>
        <v/>
      </c>
      <c r="Y192" s="47" t="n"/>
      <c r="Z192" s="24">
        <f>IF($B192="","",IF($Y192&lt;&gt;"",$Y192-$B192,TODAY()-$B192))</f>
        <v/>
      </c>
      <c r="AA192" s="28">
        <f>IF($B192="","",IF(IFERROR(INDEX(CONFIG!$L$4:$L$63,MATCH($V192,CONFIG!$K$4:$K$63,0)),"NO")="SÍ",IF(OR($Y192="",$X192=""),"Resuelta",IF($Y192&gt;$X192,"Resuelta tarde","Resuelta a tiempo")),IF($X192="","Sin clasificar",IF(TODAY()&gt;$X192,"Vencida",IF(TODAY()&gt;=$X192-1,"Por vencer","En plazo")))))</f>
        <v/>
      </c>
      <c r="AB192" s="50" t="n"/>
      <c r="AC192" s="50" t="n"/>
    </row>
    <row r="193" ht="16" customHeight="1">
      <c r="A193" s="28">
        <f>IF($B193="","","N-"&amp;TEXT(ROW()-3,"0000"))</f>
        <v/>
      </c>
      <c r="B193" s="47" t="n"/>
      <c r="C193" s="48" t="n"/>
      <c r="D193" s="48" t="n"/>
      <c r="E193" s="28">
        <f>IF($C193="","",IF($D193="",IF($C193="Interna","Sin guía (interna)","FALTA GUÍA"),IF(COUNTIFS(ENVIOS!$A$4:$A$3003,$D193)=0,"NO EXISTE",IF(COUNTIFS(ENVIOS!$A$4:$A$3003,$D193)&gt;1,"DUPLICADA","OK"))))</f>
        <v/>
      </c>
      <c r="F193" s="28">
        <f>IF($D193="","",IFERROR(INDEX(ENVIOS!$B$4:$B$3003,MATCH($D193,ENVIOS!$A$4:$A$3003,0)),"—"))</f>
        <v/>
      </c>
      <c r="G193" s="23">
        <f>IF($D193="","",IFERROR(INDEX(ENVIOS!$D$4:$D$3003,MATCH($D193,ENVIOS!$A$4:$A$3003,0)),"—"))</f>
        <v/>
      </c>
      <c r="H193" s="23">
        <f>IF($D193="","",IFERROR(INDEX(ENVIOS!$E$4:$E$3003,MATCH($D193,ENVIOS!$A$4:$A$3003,0)),"—"))</f>
        <v/>
      </c>
      <c r="I193" s="23">
        <f>IF($D193="","",IFERROR(INDEX(ENVIOS!$F$4:$F$3003,MATCH($D193,ENVIOS!$A$4:$A$3003,0)),"—"))</f>
        <v/>
      </c>
      <c r="J193" s="23">
        <f>IF($D193="","",IFERROR(INDEX(ENVIOS!$G$4:$G$3003,MATCH($D193,ENVIOS!$A$4:$A$3003,0)),"—"))</f>
        <v/>
      </c>
      <c r="K193" s="28">
        <f>IF($D193="","",IFERROR(INDEX(ENVIOS!$H$4:$H$3003,MATCH($D193,ENVIOS!$A$4:$A$3003,0)),"—"))</f>
        <v/>
      </c>
      <c r="L193" s="49">
        <f>IF($D193="","",IFERROR(INDEX(ENVIOS!$C$4:$C$3003,MATCH($D193,ENVIOS!$A$4:$A$3003,0)),""))</f>
        <v/>
      </c>
      <c r="M193" s="50" t="n"/>
      <c r="N193" s="28">
        <f>IF($M193="","",IFERROR(INDEX(CONFIG!$C$4:$C$63,MATCH($M193,CONFIG!$A$4:$A$63,0)),"Media"))</f>
        <v/>
      </c>
      <c r="O193" s="28">
        <f>IF($M193="","",IF($C193="Interna","NO",IFERROR(INDEX(CONFIG!$E$4:$E$63,MATCH($M193,CONFIG!$A$4:$A$63,0)),"NO")))</f>
        <v/>
      </c>
      <c r="P193" s="50" t="n"/>
      <c r="Q193" s="50" t="n"/>
      <c r="R193" s="28">
        <f>IF($Q193="","",IFERROR(INDEX(CONFIG!$H$4:$H$63,MATCH($Q193,CONFIG!$G$4:$G$63,0)),"Por definir"))</f>
        <v/>
      </c>
      <c r="S193" s="28">
        <f>IF($Q193="","",IFERROR(INDEX(CONFIG!$I$4:$I$63,MATCH($Q193,CONFIG!$G$4:$G$63,0)),"Por definir"))</f>
        <v/>
      </c>
      <c r="T193" s="51" t="n"/>
      <c r="U193" s="52" t="n"/>
      <c r="V193" s="50" t="n"/>
      <c r="W193" s="50" t="n"/>
      <c r="X193" s="49">
        <f>IF(OR($B193="",$M193=""),"",WORKDAY($B193,IFERROR(INDEX(CONFIG!$D$4:$D$63,MATCH($M193,CONFIG!$A$4:$A$63,0)),3)))</f>
        <v/>
      </c>
      <c r="Y193" s="47" t="n"/>
      <c r="Z193" s="24">
        <f>IF($B193="","",IF($Y193&lt;&gt;"",$Y193-$B193,TODAY()-$B193))</f>
        <v/>
      </c>
      <c r="AA193" s="28">
        <f>IF($B193="","",IF(IFERROR(INDEX(CONFIG!$L$4:$L$63,MATCH($V193,CONFIG!$K$4:$K$63,0)),"NO")="SÍ",IF(OR($Y193="",$X193=""),"Resuelta",IF($Y193&gt;$X193,"Resuelta tarde","Resuelta a tiempo")),IF($X193="","Sin clasificar",IF(TODAY()&gt;$X193,"Vencida",IF(TODAY()&gt;=$X193-1,"Por vencer","En plazo")))))</f>
        <v/>
      </c>
      <c r="AB193" s="50" t="n"/>
      <c r="AC193" s="50" t="n"/>
    </row>
    <row r="194" ht="16" customHeight="1">
      <c r="A194" s="28">
        <f>IF($B194="","","N-"&amp;TEXT(ROW()-3,"0000"))</f>
        <v/>
      </c>
      <c r="B194" s="47" t="n"/>
      <c r="C194" s="48" t="n"/>
      <c r="D194" s="48" t="n"/>
      <c r="E194" s="28">
        <f>IF($C194="","",IF($D194="",IF($C194="Interna","Sin guía (interna)","FALTA GUÍA"),IF(COUNTIFS(ENVIOS!$A$4:$A$3003,$D194)=0,"NO EXISTE",IF(COUNTIFS(ENVIOS!$A$4:$A$3003,$D194)&gt;1,"DUPLICADA","OK"))))</f>
        <v/>
      </c>
      <c r="F194" s="28">
        <f>IF($D194="","",IFERROR(INDEX(ENVIOS!$B$4:$B$3003,MATCH($D194,ENVIOS!$A$4:$A$3003,0)),"—"))</f>
        <v/>
      </c>
      <c r="G194" s="23">
        <f>IF($D194="","",IFERROR(INDEX(ENVIOS!$D$4:$D$3003,MATCH($D194,ENVIOS!$A$4:$A$3003,0)),"—"))</f>
        <v/>
      </c>
      <c r="H194" s="23">
        <f>IF($D194="","",IFERROR(INDEX(ENVIOS!$E$4:$E$3003,MATCH($D194,ENVIOS!$A$4:$A$3003,0)),"—"))</f>
        <v/>
      </c>
      <c r="I194" s="23">
        <f>IF($D194="","",IFERROR(INDEX(ENVIOS!$F$4:$F$3003,MATCH($D194,ENVIOS!$A$4:$A$3003,0)),"—"))</f>
        <v/>
      </c>
      <c r="J194" s="23">
        <f>IF($D194="","",IFERROR(INDEX(ENVIOS!$G$4:$G$3003,MATCH($D194,ENVIOS!$A$4:$A$3003,0)),"—"))</f>
        <v/>
      </c>
      <c r="K194" s="28">
        <f>IF($D194="","",IFERROR(INDEX(ENVIOS!$H$4:$H$3003,MATCH($D194,ENVIOS!$A$4:$A$3003,0)),"—"))</f>
        <v/>
      </c>
      <c r="L194" s="49">
        <f>IF($D194="","",IFERROR(INDEX(ENVIOS!$C$4:$C$3003,MATCH($D194,ENVIOS!$A$4:$A$3003,0)),""))</f>
        <v/>
      </c>
      <c r="M194" s="50" t="n"/>
      <c r="N194" s="28">
        <f>IF($M194="","",IFERROR(INDEX(CONFIG!$C$4:$C$63,MATCH($M194,CONFIG!$A$4:$A$63,0)),"Media"))</f>
        <v/>
      </c>
      <c r="O194" s="28">
        <f>IF($M194="","",IF($C194="Interna","NO",IFERROR(INDEX(CONFIG!$E$4:$E$63,MATCH($M194,CONFIG!$A$4:$A$63,0)),"NO")))</f>
        <v/>
      </c>
      <c r="P194" s="50" t="n"/>
      <c r="Q194" s="50" t="n"/>
      <c r="R194" s="28">
        <f>IF($Q194="","",IFERROR(INDEX(CONFIG!$H$4:$H$63,MATCH($Q194,CONFIG!$G$4:$G$63,0)),"Por definir"))</f>
        <v/>
      </c>
      <c r="S194" s="28">
        <f>IF($Q194="","",IFERROR(INDEX(CONFIG!$I$4:$I$63,MATCH($Q194,CONFIG!$G$4:$G$63,0)),"Por definir"))</f>
        <v/>
      </c>
      <c r="T194" s="51" t="n"/>
      <c r="U194" s="52" t="n"/>
      <c r="V194" s="50" t="n"/>
      <c r="W194" s="50" t="n"/>
      <c r="X194" s="49">
        <f>IF(OR($B194="",$M194=""),"",WORKDAY($B194,IFERROR(INDEX(CONFIG!$D$4:$D$63,MATCH($M194,CONFIG!$A$4:$A$63,0)),3)))</f>
        <v/>
      </c>
      <c r="Y194" s="47" t="n"/>
      <c r="Z194" s="24">
        <f>IF($B194="","",IF($Y194&lt;&gt;"",$Y194-$B194,TODAY()-$B194))</f>
        <v/>
      </c>
      <c r="AA194" s="28">
        <f>IF($B194="","",IF(IFERROR(INDEX(CONFIG!$L$4:$L$63,MATCH($V194,CONFIG!$K$4:$K$63,0)),"NO")="SÍ",IF(OR($Y194="",$X194=""),"Resuelta",IF($Y194&gt;$X194,"Resuelta tarde","Resuelta a tiempo")),IF($X194="","Sin clasificar",IF(TODAY()&gt;$X194,"Vencida",IF(TODAY()&gt;=$X194-1,"Por vencer","En plazo")))))</f>
        <v/>
      </c>
      <c r="AB194" s="50" t="n"/>
      <c r="AC194" s="50" t="n"/>
    </row>
    <row r="195" ht="16" customHeight="1">
      <c r="A195" s="28">
        <f>IF($B195="","","N-"&amp;TEXT(ROW()-3,"0000"))</f>
        <v/>
      </c>
      <c r="B195" s="47" t="n"/>
      <c r="C195" s="48" t="n"/>
      <c r="D195" s="48" t="n"/>
      <c r="E195" s="28">
        <f>IF($C195="","",IF($D195="",IF($C195="Interna","Sin guía (interna)","FALTA GUÍA"),IF(COUNTIFS(ENVIOS!$A$4:$A$3003,$D195)=0,"NO EXISTE",IF(COUNTIFS(ENVIOS!$A$4:$A$3003,$D195)&gt;1,"DUPLICADA","OK"))))</f>
        <v/>
      </c>
      <c r="F195" s="28">
        <f>IF($D195="","",IFERROR(INDEX(ENVIOS!$B$4:$B$3003,MATCH($D195,ENVIOS!$A$4:$A$3003,0)),"—"))</f>
        <v/>
      </c>
      <c r="G195" s="23">
        <f>IF($D195="","",IFERROR(INDEX(ENVIOS!$D$4:$D$3003,MATCH($D195,ENVIOS!$A$4:$A$3003,0)),"—"))</f>
        <v/>
      </c>
      <c r="H195" s="23">
        <f>IF($D195="","",IFERROR(INDEX(ENVIOS!$E$4:$E$3003,MATCH($D195,ENVIOS!$A$4:$A$3003,0)),"—"))</f>
        <v/>
      </c>
      <c r="I195" s="23">
        <f>IF($D195="","",IFERROR(INDEX(ENVIOS!$F$4:$F$3003,MATCH($D195,ENVIOS!$A$4:$A$3003,0)),"—"))</f>
        <v/>
      </c>
      <c r="J195" s="23">
        <f>IF($D195="","",IFERROR(INDEX(ENVIOS!$G$4:$G$3003,MATCH($D195,ENVIOS!$A$4:$A$3003,0)),"—"))</f>
        <v/>
      </c>
      <c r="K195" s="28">
        <f>IF($D195="","",IFERROR(INDEX(ENVIOS!$H$4:$H$3003,MATCH($D195,ENVIOS!$A$4:$A$3003,0)),"—"))</f>
        <v/>
      </c>
      <c r="L195" s="49">
        <f>IF($D195="","",IFERROR(INDEX(ENVIOS!$C$4:$C$3003,MATCH($D195,ENVIOS!$A$4:$A$3003,0)),""))</f>
        <v/>
      </c>
      <c r="M195" s="50" t="n"/>
      <c r="N195" s="28">
        <f>IF($M195="","",IFERROR(INDEX(CONFIG!$C$4:$C$63,MATCH($M195,CONFIG!$A$4:$A$63,0)),"Media"))</f>
        <v/>
      </c>
      <c r="O195" s="28">
        <f>IF($M195="","",IF($C195="Interna","NO",IFERROR(INDEX(CONFIG!$E$4:$E$63,MATCH($M195,CONFIG!$A$4:$A$63,0)),"NO")))</f>
        <v/>
      </c>
      <c r="P195" s="50" t="n"/>
      <c r="Q195" s="50" t="n"/>
      <c r="R195" s="28">
        <f>IF($Q195="","",IFERROR(INDEX(CONFIG!$H$4:$H$63,MATCH($Q195,CONFIG!$G$4:$G$63,0)),"Por definir"))</f>
        <v/>
      </c>
      <c r="S195" s="28">
        <f>IF($Q195="","",IFERROR(INDEX(CONFIG!$I$4:$I$63,MATCH($Q195,CONFIG!$G$4:$G$63,0)),"Por definir"))</f>
        <v/>
      </c>
      <c r="T195" s="51" t="n"/>
      <c r="U195" s="52" t="n"/>
      <c r="V195" s="50" t="n"/>
      <c r="W195" s="50" t="n"/>
      <c r="X195" s="49">
        <f>IF(OR($B195="",$M195=""),"",WORKDAY($B195,IFERROR(INDEX(CONFIG!$D$4:$D$63,MATCH($M195,CONFIG!$A$4:$A$63,0)),3)))</f>
        <v/>
      </c>
      <c r="Y195" s="47" t="n"/>
      <c r="Z195" s="24">
        <f>IF($B195="","",IF($Y195&lt;&gt;"",$Y195-$B195,TODAY()-$B195))</f>
        <v/>
      </c>
      <c r="AA195" s="28">
        <f>IF($B195="","",IF(IFERROR(INDEX(CONFIG!$L$4:$L$63,MATCH($V195,CONFIG!$K$4:$K$63,0)),"NO")="SÍ",IF(OR($Y195="",$X195=""),"Resuelta",IF($Y195&gt;$X195,"Resuelta tarde","Resuelta a tiempo")),IF($X195="","Sin clasificar",IF(TODAY()&gt;$X195,"Vencida",IF(TODAY()&gt;=$X195-1,"Por vencer","En plazo")))))</f>
        <v/>
      </c>
      <c r="AB195" s="50" t="n"/>
      <c r="AC195" s="50" t="n"/>
    </row>
    <row r="196" ht="16" customHeight="1">
      <c r="A196" s="28">
        <f>IF($B196="","","N-"&amp;TEXT(ROW()-3,"0000"))</f>
        <v/>
      </c>
      <c r="B196" s="47" t="n"/>
      <c r="C196" s="48" t="n"/>
      <c r="D196" s="48" t="n"/>
      <c r="E196" s="28">
        <f>IF($C196="","",IF($D196="",IF($C196="Interna","Sin guía (interna)","FALTA GUÍA"),IF(COUNTIFS(ENVIOS!$A$4:$A$3003,$D196)=0,"NO EXISTE",IF(COUNTIFS(ENVIOS!$A$4:$A$3003,$D196)&gt;1,"DUPLICADA","OK"))))</f>
        <v/>
      </c>
      <c r="F196" s="28">
        <f>IF($D196="","",IFERROR(INDEX(ENVIOS!$B$4:$B$3003,MATCH($D196,ENVIOS!$A$4:$A$3003,0)),"—"))</f>
        <v/>
      </c>
      <c r="G196" s="23">
        <f>IF($D196="","",IFERROR(INDEX(ENVIOS!$D$4:$D$3003,MATCH($D196,ENVIOS!$A$4:$A$3003,0)),"—"))</f>
        <v/>
      </c>
      <c r="H196" s="23">
        <f>IF($D196="","",IFERROR(INDEX(ENVIOS!$E$4:$E$3003,MATCH($D196,ENVIOS!$A$4:$A$3003,0)),"—"))</f>
        <v/>
      </c>
      <c r="I196" s="23">
        <f>IF($D196="","",IFERROR(INDEX(ENVIOS!$F$4:$F$3003,MATCH($D196,ENVIOS!$A$4:$A$3003,0)),"—"))</f>
        <v/>
      </c>
      <c r="J196" s="23">
        <f>IF($D196="","",IFERROR(INDEX(ENVIOS!$G$4:$G$3003,MATCH($D196,ENVIOS!$A$4:$A$3003,0)),"—"))</f>
        <v/>
      </c>
      <c r="K196" s="28">
        <f>IF($D196="","",IFERROR(INDEX(ENVIOS!$H$4:$H$3003,MATCH($D196,ENVIOS!$A$4:$A$3003,0)),"—"))</f>
        <v/>
      </c>
      <c r="L196" s="49">
        <f>IF($D196="","",IFERROR(INDEX(ENVIOS!$C$4:$C$3003,MATCH($D196,ENVIOS!$A$4:$A$3003,0)),""))</f>
        <v/>
      </c>
      <c r="M196" s="50" t="n"/>
      <c r="N196" s="28">
        <f>IF($M196="","",IFERROR(INDEX(CONFIG!$C$4:$C$63,MATCH($M196,CONFIG!$A$4:$A$63,0)),"Media"))</f>
        <v/>
      </c>
      <c r="O196" s="28">
        <f>IF($M196="","",IF($C196="Interna","NO",IFERROR(INDEX(CONFIG!$E$4:$E$63,MATCH($M196,CONFIG!$A$4:$A$63,0)),"NO")))</f>
        <v/>
      </c>
      <c r="P196" s="50" t="n"/>
      <c r="Q196" s="50" t="n"/>
      <c r="R196" s="28">
        <f>IF($Q196="","",IFERROR(INDEX(CONFIG!$H$4:$H$63,MATCH($Q196,CONFIG!$G$4:$G$63,0)),"Por definir"))</f>
        <v/>
      </c>
      <c r="S196" s="28">
        <f>IF($Q196="","",IFERROR(INDEX(CONFIG!$I$4:$I$63,MATCH($Q196,CONFIG!$G$4:$G$63,0)),"Por definir"))</f>
        <v/>
      </c>
      <c r="T196" s="51" t="n"/>
      <c r="U196" s="52" t="n"/>
      <c r="V196" s="50" t="n"/>
      <c r="W196" s="50" t="n"/>
      <c r="X196" s="49">
        <f>IF(OR($B196="",$M196=""),"",WORKDAY($B196,IFERROR(INDEX(CONFIG!$D$4:$D$63,MATCH($M196,CONFIG!$A$4:$A$63,0)),3)))</f>
        <v/>
      </c>
      <c r="Y196" s="47" t="n"/>
      <c r="Z196" s="24">
        <f>IF($B196="","",IF($Y196&lt;&gt;"",$Y196-$B196,TODAY()-$B196))</f>
        <v/>
      </c>
      <c r="AA196" s="28">
        <f>IF($B196="","",IF(IFERROR(INDEX(CONFIG!$L$4:$L$63,MATCH($V196,CONFIG!$K$4:$K$63,0)),"NO")="SÍ",IF(OR($Y196="",$X196=""),"Resuelta",IF($Y196&gt;$X196,"Resuelta tarde","Resuelta a tiempo")),IF($X196="","Sin clasificar",IF(TODAY()&gt;$X196,"Vencida",IF(TODAY()&gt;=$X196-1,"Por vencer","En plazo")))))</f>
        <v/>
      </c>
      <c r="AB196" s="50" t="n"/>
      <c r="AC196" s="50" t="n"/>
    </row>
    <row r="197" ht="16" customHeight="1">
      <c r="A197" s="28">
        <f>IF($B197="","","N-"&amp;TEXT(ROW()-3,"0000"))</f>
        <v/>
      </c>
      <c r="B197" s="47" t="n"/>
      <c r="C197" s="48" t="n"/>
      <c r="D197" s="48" t="n"/>
      <c r="E197" s="28">
        <f>IF($C197="","",IF($D197="",IF($C197="Interna","Sin guía (interna)","FALTA GUÍA"),IF(COUNTIFS(ENVIOS!$A$4:$A$3003,$D197)=0,"NO EXISTE",IF(COUNTIFS(ENVIOS!$A$4:$A$3003,$D197)&gt;1,"DUPLICADA","OK"))))</f>
        <v/>
      </c>
      <c r="F197" s="28">
        <f>IF($D197="","",IFERROR(INDEX(ENVIOS!$B$4:$B$3003,MATCH($D197,ENVIOS!$A$4:$A$3003,0)),"—"))</f>
        <v/>
      </c>
      <c r="G197" s="23">
        <f>IF($D197="","",IFERROR(INDEX(ENVIOS!$D$4:$D$3003,MATCH($D197,ENVIOS!$A$4:$A$3003,0)),"—"))</f>
        <v/>
      </c>
      <c r="H197" s="23">
        <f>IF($D197="","",IFERROR(INDEX(ENVIOS!$E$4:$E$3003,MATCH($D197,ENVIOS!$A$4:$A$3003,0)),"—"))</f>
        <v/>
      </c>
      <c r="I197" s="23">
        <f>IF($D197="","",IFERROR(INDEX(ENVIOS!$F$4:$F$3003,MATCH($D197,ENVIOS!$A$4:$A$3003,0)),"—"))</f>
        <v/>
      </c>
      <c r="J197" s="23">
        <f>IF($D197="","",IFERROR(INDEX(ENVIOS!$G$4:$G$3003,MATCH($D197,ENVIOS!$A$4:$A$3003,0)),"—"))</f>
        <v/>
      </c>
      <c r="K197" s="28">
        <f>IF($D197="","",IFERROR(INDEX(ENVIOS!$H$4:$H$3003,MATCH($D197,ENVIOS!$A$4:$A$3003,0)),"—"))</f>
        <v/>
      </c>
      <c r="L197" s="49">
        <f>IF($D197="","",IFERROR(INDEX(ENVIOS!$C$4:$C$3003,MATCH($D197,ENVIOS!$A$4:$A$3003,0)),""))</f>
        <v/>
      </c>
      <c r="M197" s="50" t="n"/>
      <c r="N197" s="28">
        <f>IF($M197="","",IFERROR(INDEX(CONFIG!$C$4:$C$63,MATCH($M197,CONFIG!$A$4:$A$63,0)),"Media"))</f>
        <v/>
      </c>
      <c r="O197" s="28">
        <f>IF($M197="","",IF($C197="Interna","NO",IFERROR(INDEX(CONFIG!$E$4:$E$63,MATCH($M197,CONFIG!$A$4:$A$63,0)),"NO")))</f>
        <v/>
      </c>
      <c r="P197" s="50" t="n"/>
      <c r="Q197" s="50" t="n"/>
      <c r="R197" s="28">
        <f>IF($Q197="","",IFERROR(INDEX(CONFIG!$H$4:$H$63,MATCH($Q197,CONFIG!$G$4:$G$63,0)),"Por definir"))</f>
        <v/>
      </c>
      <c r="S197" s="28">
        <f>IF($Q197="","",IFERROR(INDEX(CONFIG!$I$4:$I$63,MATCH($Q197,CONFIG!$G$4:$G$63,0)),"Por definir"))</f>
        <v/>
      </c>
      <c r="T197" s="51" t="n"/>
      <c r="U197" s="52" t="n"/>
      <c r="V197" s="50" t="n"/>
      <c r="W197" s="50" t="n"/>
      <c r="X197" s="49">
        <f>IF(OR($B197="",$M197=""),"",WORKDAY($B197,IFERROR(INDEX(CONFIG!$D$4:$D$63,MATCH($M197,CONFIG!$A$4:$A$63,0)),3)))</f>
        <v/>
      </c>
      <c r="Y197" s="47" t="n"/>
      <c r="Z197" s="24">
        <f>IF($B197="","",IF($Y197&lt;&gt;"",$Y197-$B197,TODAY()-$B197))</f>
        <v/>
      </c>
      <c r="AA197" s="28">
        <f>IF($B197="","",IF(IFERROR(INDEX(CONFIG!$L$4:$L$63,MATCH($V197,CONFIG!$K$4:$K$63,0)),"NO")="SÍ",IF(OR($Y197="",$X197=""),"Resuelta",IF($Y197&gt;$X197,"Resuelta tarde","Resuelta a tiempo")),IF($X197="","Sin clasificar",IF(TODAY()&gt;$X197,"Vencida",IF(TODAY()&gt;=$X197-1,"Por vencer","En plazo")))))</f>
        <v/>
      </c>
      <c r="AB197" s="50" t="n"/>
      <c r="AC197" s="50" t="n"/>
    </row>
    <row r="198" ht="16" customHeight="1">
      <c r="A198" s="28">
        <f>IF($B198="","","N-"&amp;TEXT(ROW()-3,"0000"))</f>
        <v/>
      </c>
      <c r="B198" s="47" t="n"/>
      <c r="C198" s="48" t="n"/>
      <c r="D198" s="48" t="n"/>
      <c r="E198" s="28">
        <f>IF($C198="","",IF($D198="",IF($C198="Interna","Sin guía (interna)","FALTA GUÍA"),IF(COUNTIFS(ENVIOS!$A$4:$A$3003,$D198)=0,"NO EXISTE",IF(COUNTIFS(ENVIOS!$A$4:$A$3003,$D198)&gt;1,"DUPLICADA","OK"))))</f>
        <v/>
      </c>
      <c r="F198" s="28">
        <f>IF($D198="","",IFERROR(INDEX(ENVIOS!$B$4:$B$3003,MATCH($D198,ENVIOS!$A$4:$A$3003,0)),"—"))</f>
        <v/>
      </c>
      <c r="G198" s="23">
        <f>IF($D198="","",IFERROR(INDEX(ENVIOS!$D$4:$D$3003,MATCH($D198,ENVIOS!$A$4:$A$3003,0)),"—"))</f>
        <v/>
      </c>
      <c r="H198" s="23">
        <f>IF($D198="","",IFERROR(INDEX(ENVIOS!$E$4:$E$3003,MATCH($D198,ENVIOS!$A$4:$A$3003,0)),"—"))</f>
        <v/>
      </c>
      <c r="I198" s="23">
        <f>IF($D198="","",IFERROR(INDEX(ENVIOS!$F$4:$F$3003,MATCH($D198,ENVIOS!$A$4:$A$3003,0)),"—"))</f>
        <v/>
      </c>
      <c r="J198" s="23">
        <f>IF($D198="","",IFERROR(INDEX(ENVIOS!$G$4:$G$3003,MATCH($D198,ENVIOS!$A$4:$A$3003,0)),"—"))</f>
        <v/>
      </c>
      <c r="K198" s="28">
        <f>IF($D198="","",IFERROR(INDEX(ENVIOS!$H$4:$H$3003,MATCH($D198,ENVIOS!$A$4:$A$3003,0)),"—"))</f>
        <v/>
      </c>
      <c r="L198" s="49">
        <f>IF($D198="","",IFERROR(INDEX(ENVIOS!$C$4:$C$3003,MATCH($D198,ENVIOS!$A$4:$A$3003,0)),""))</f>
        <v/>
      </c>
      <c r="M198" s="50" t="n"/>
      <c r="N198" s="28">
        <f>IF($M198="","",IFERROR(INDEX(CONFIG!$C$4:$C$63,MATCH($M198,CONFIG!$A$4:$A$63,0)),"Media"))</f>
        <v/>
      </c>
      <c r="O198" s="28">
        <f>IF($M198="","",IF($C198="Interna","NO",IFERROR(INDEX(CONFIG!$E$4:$E$63,MATCH($M198,CONFIG!$A$4:$A$63,0)),"NO")))</f>
        <v/>
      </c>
      <c r="P198" s="50" t="n"/>
      <c r="Q198" s="50" t="n"/>
      <c r="R198" s="28">
        <f>IF($Q198="","",IFERROR(INDEX(CONFIG!$H$4:$H$63,MATCH($Q198,CONFIG!$G$4:$G$63,0)),"Por definir"))</f>
        <v/>
      </c>
      <c r="S198" s="28">
        <f>IF($Q198="","",IFERROR(INDEX(CONFIG!$I$4:$I$63,MATCH($Q198,CONFIG!$G$4:$G$63,0)),"Por definir"))</f>
        <v/>
      </c>
      <c r="T198" s="51" t="n"/>
      <c r="U198" s="52" t="n"/>
      <c r="V198" s="50" t="n"/>
      <c r="W198" s="50" t="n"/>
      <c r="X198" s="49">
        <f>IF(OR($B198="",$M198=""),"",WORKDAY($B198,IFERROR(INDEX(CONFIG!$D$4:$D$63,MATCH($M198,CONFIG!$A$4:$A$63,0)),3)))</f>
        <v/>
      </c>
      <c r="Y198" s="47" t="n"/>
      <c r="Z198" s="24">
        <f>IF($B198="","",IF($Y198&lt;&gt;"",$Y198-$B198,TODAY()-$B198))</f>
        <v/>
      </c>
      <c r="AA198" s="28">
        <f>IF($B198="","",IF(IFERROR(INDEX(CONFIG!$L$4:$L$63,MATCH($V198,CONFIG!$K$4:$K$63,0)),"NO")="SÍ",IF(OR($Y198="",$X198=""),"Resuelta",IF($Y198&gt;$X198,"Resuelta tarde","Resuelta a tiempo")),IF($X198="","Sin clasificar",IF(TODAY()&gt;$X198,"Vencida",IF(TODAY()&gt;=$X198-1,"Por vencer","En plazo")))))</f>
        <v/>
      </c>
      <c r="AB198" s="50" t="n"/>
      <c r="AC198" s="50" t="n"/>
    </row>
    <row r="199" ht="16" customHeight="1">
      <c r="A199" s="28">
        <f>IF($B199="","","N-"&amp;TEXT(ROW()-3,"0000"))</f>
        <v/>
      </c>
      <c r="B199" s="47" t="n"/>
      <c r="C199" s="48" t="n"/>
      <c r="D199" s="48" t="n"/>
      <c r="E199" s="28">
        <f>IF($C199="","",IF($D199="",IF($C199="Interna","Sin guía (interna)","FALTA GUÍA"),IF(COUNTIFS(ENVIOS!$A$4:$A$3003,$D199)=0,"NO EXISTE",IF(COUNTIFS(ENVIOS!$A$4:$A$3003,$D199)&gt;1,"DUPLICADA","OK"))))</f>
        <v/>
      </c>
      <c r="F199" s="28">
        <f>IF($D199="","",IFERROR(INDEX(ENVIOS!$B$4:$B$3003,MATCH($D199,ENVIOS!$A$4:$A$3003,0)),"—"))</f>
        <v/>
      </c>
      <c r="G199" s="23">
        <f>IF($D199="","",IFERROR(INDEX(ENVIOS!$D$4:$D$3003,MATCH($D199,ENVIOS!$A$4:$A$3003,0)),"—"))</f>
        <v/>
      </c>
      <c r="H199" s="23">
        <f>IF($D199="","",IFERROR(INDEX(ENVIOS!$E$4:$E$3003,MATCH($D199,ENVIOS!$A$4:$A$3003,0)),"—"))</f>
        <v/>
      </c>
      <c r="I199" s="23">
        <f>IF($D199="","",IFERROR(INDEX(ENVIOS!$F$4:$F$3003,MATCH($D199,ENVIOS!$A$4:$A$3003,0)),"—"))</f>
        <v/>
      </c>
      <c r="J199" s="23">
        <f>IF($D199="","",IFERROR(INDEX(ENVIOS!$G$4:$G$3003,MATCH($D199,ENVIOS!$A$4:$A$3003,0)),"—"))</f>
        <v/>
      </c>
      <c r="K199" s="28">
        <f>IF($D199="","",IFERROR(INDEX(ENVIOS!$H$4:$H$3003,MATCH($D199,ENVIOS!$A$4:$A$3003,0)),"—"))</f>
        <v/>
      </c>
      <c r="L199" s="49">
        <f>IF($D199="","",IFERROR(INDEX(ENVIOS!$C$4:$C$3003,MATCH($D199,ENVIOS!$A$4:$A$3003,0)),""))</f>
        <v/>
      </c>
      <c r="M199" s="50" t="n"/>
      <c r="N199" s="28">
        <f>IF($M199="","",IFERROR(INDEX(CONFIG!$C$4:$C$63,MATCH($M199,CONFIG!$A$4:$A$63,0)),"Media"))</f>
        <v/>
      </c>
      <c r="O199" s="28">
        <f>IF($M199="","",IF($C199="Interna","NO",IFERROR(INDEX(CONFIG!$E$4:$E$63,MATCH($M199,CONFIG!$A$4:$A$63,0)),"NO")))</f>
        <v/>
      </c>
      <c r="P199" s="50" t="n"/>
      <c r="Q199" s="50" t="n"/>
      <c r="R199" s="28">
        <f>IF($Q199="","",IFERROR(INDEX(CONFIG!$H$4:$H$63,MATCH($Q199,CONFIG!$G$4:$G$63,0)),"Por definir"))</f>
        <v/>
      </c>
      <c r="S199" s="28">
        <f>IF($Q199="","",IFERROR(INDEX(CONFIG!$I$4:$I$63,MATCH($Q199,CONFIG!$G$4:$G$63,0)),"Por definir"))</f>
        <v/>
      </c>
      <c r="T199" s="51" t="n"/>
      <c r="U199" s="52" t="n"/>
      <c r="V199" s="50" t="n"/>
      <c r="W199" s="50" t="n"/>
      <c r="X199" s="49">
        <f>IF(OR($B199="",$M199=""),"",WORKDAY($B199,IFERROR(INDEX(CONFIG!$D$4:$D$63,MATCH($M199,CONFIG!$A$4:$A$63,0)),3)))</f>
        <v/>
      </c>
      <c r="Y199" s="47" t="n"/>
      <c r="Z199" s="24">
        <f>IF($B199="","",IF($Y199&lt;&gt;"",$Y199-$B199,TODAY()-$B199))</f>
        <v/>
      </c>
      <c r="AA199" s="28">
        <f>IF($B199="","",IF(IFERROR(INDEX(CONFIG!$L$4:$L$63,MATCH($V199,CONFIG!$K$4:$K$63,0)),"NO")="SÍ",IF(OR($Y199="",$X199=""),"Resuelta",IF($Y199&gt;$X199,"Resuelta tarde","Resuelta a tiempo")),IF($X199="","Sin clasificar",IF(TODAY()&gt;$X199,"Vencida",IF(TODAY()&gt;=$X199-1,"Por vencer","En plazo")))))</f>
        <v/>
      </c>
      <c r="AB199" s="50" t="n"/>
      <c r="AC199" s="50" t="n"/>
    </row>
    <row r="200" ht="16" customHeight="1">
      <c r="A200" s="28">
        <f>IF($B200="","","N-"&amp;TEXT(ROW()-3,"0000"))</f>
        <v/>
      </c>
      <c r="B200" s="47" t="n"/>
      <c r="C200" s="48" t="n"/>
      <c r="D200" s="48" t="n"/>
      <c r="E200" s="28">
        <f>IF($C200="","",IF($D200="",IF($C200="Interna","Sin guía (interna)","FALTA GUÍA"),IF(COUNTIFS(ENVIOS!$A$4:$A$3003,$D200)=0,"NO EXISTE",IF(COUNTIFS(ENVIOS!$A$4:$A$3003,$D200)&gt;1,"DUPLICADA","OK"))))</f>
        <v/>
      </c>
      <c r="F200" s="28">
        <f>IF($D200="","",IFERROR(INDEX(ENVIOS!$B$4:$B$3003,MATCH($D200,ENVIOS!$A$4:$A$3003,0)),"—"))</f>
        <v/>
      </c>
      <c r="G200" s="23">
        <f>IF($D200="","",IFERROR(INDEX(ENVIOS!$D$4:$D$3003,MATCH($D200,ENVIOS!$A$4:$A$3003,0)),"—"))</f>
        <v/>
      </c>
      <c r="H200" s="23">
        <f>IF($D200="","",IFERROR(INDEX(ENVIOS!$E$4:$E$3003,MATCH($D200,ENVIOS!$A$4:$A$3003,0)),"—"))</f>
        <v/>
      </c>
      <c r="I200" s="23">
        <f>IF($D200="","",IFERROR(INDEX(ENVIOS!$F$4:$F$3003,MATCH($D200,ENVIOS!$A$4:$A$3003,0)),"—"))</f>
        <v/>
      </c>
      <c r="J200" s="23">
        <f>IF($D200="","",IFERROR(INDEX(ENVIOS!$G$4:$G$3003,MATCH($D200,ENVIOS!$A$4:$A$3003,0)),"—"))</f>
        <v/>
      </c>
      <c r="K200" s="28">
        <f>IF($D200="","",IFERROR(INDEX(ENVIOS!$H$4:$H$3003,MATCH($D200,ENVIOS!$A$4:$A$3003,0)),"—"))</f>
        <v/>
      </c>
      <c r="L200" s="49">
        <f>IF($D200="","",IFERROR(INDEX(ENVIOS!$C$4:$C$3003,MATCH($D200,ENVIOS!$A$4:$A$3003,0)),""))</f>
        <v/>
      </c>
      <c r="M200" s="50" t="n"/>
      <c r="N200" s="28">
        <f>IF($M200="","",IFERROR(INDEX(CONFIG!$C$4:$C$63,MATCH($M200,CONFIG!$A$4:$A$63,0)),"Media"))</f>
        <v/>
      </c>
      <c r="O200" s="28">
        <f>IF($M200="","",IF($C200="Interna","NO",IFERROR(INDEX(CONFIG!$E$4:$E$63,MATCH($M200,CONFIG!$A$4:$A$63,0)),"NO")))</f>
        <v/>
      </c>
      <c r="P200" s="50" t="n"/>
      <c r="Q200" s="50" t="n"/>
      <c r="R200" s="28">
        <f>IF($Q200="","",IFERROR(INDEX(CONFIG!$H$4:$H$63,MATCH($Q200,CONFIG!$G$4:$G$63,0)),"Por definir"))</f>
        <v/>
      </c>
      <c r="S200" s="28">
        <f>IF($Q200="","",IFERROR(INDEX(CONFIG!$I$4:$I$63,MATCH($Q200,CONFIG!$G$4:$G$63,0)),"Por definir"))</f>
        <v/>
      </c>
      <c r="T200" s="51" t="n"/>
      <c r="U200" s="52" t="n"/>
      <c r="V200" s="50" t="n"/>
      <c r="W200" s="50" t="n"/>
      <c r="X200" s="49">
        <f>IF(OR($B200="",$M200=""),"",WORKDAY($B200,IFERROR(INDEX(CONFIG!$D$4:$D$63,MATCH($M200,CONFIG!$A$4:$A$63,0)),3)))</f>
        <v/>
      </c>
      <c r="Y200" s="47" t="n"/>
      <c r="Z200" s="24">
        <f>IF($B200="","",IF($Y200&lt;&gt;"",$Y200-$B200,TODAY()-$B200))</f>
        <v/>
      </c>
      <c r="AA200" s="28">
        <f>IF($B200="","",IF(IFERROR(INDEX(CONFIG!$L$4:$L$63,MATCH($V200,CONFIG!$K$4:$K$63,0)),"NO")="SÍ",IF(OR($Y200="",$X200=""),"Resuelta",IF($Y200&gt;$X200,"Resuelta tarde","Resuelta a tiempo")),IF($X200="","Sin clasificar",IF(TODAY()&gt;$X200,"Vencida",IF(TODAY()&gt;=$X200-1,"Por vencer","En plazo")))))</f>
        <v/>
      </c>
      <c r="AB200" s="50" t="n"/>
      <c r="AC200" s="50" t="n"/>
    </row>
    <row r="201" ht="16" customHeight="1">
      <c r="A201" s="28">
        <f>IF($B201="","","N-"&amp;TEXT(ROW()-3,"0000"))</f>
        <v/>
      </c>
      <c r="B201" s="47" t="n"/>
      <c r="C201" s="48" t="n"/>
      <c r="D201" s="48" t="n"/>
      <c r="E201" s="28">
        <f>IF($C201="","",IF($D201="",IF($C201="Interna","Sin guía (interna)","FALTA GUÍA"),IF(COUNTIFS(ENVIOS!$A$4:$A$3003,$D201)=0,"NO EXISTE",IF(COUNTIFS(ENVIOS!$A$4:$A$3003,$D201)&gt;1,"DUPLICADA","OK"))))</f>
        <v/>
      </c>
      <c r="F201" s="28">
        <f>IF($D201="","",IFERROR(INDEX(ENVIOS!$B$4:$B$3003,MATCH($D201,ENVIOS!$A$4:$A$3003,0)),"—"))</f>
        <v/>
      </c>
      <c r="G201" s="23">
        <f>IF($D201="","",IFERROR(INDEX(ENVIOS!$D$4:$D$3003,MATCH($D201,ENVIOS!$A$4:$A$3003,0)),"—"))</f>
        <v/>
      </c>
      <c r="H201" s="23">
        <f>IF($D201="","",IFERROR(INDEX(ENVIOS!$E$4:$E$3003,MATCH($D201,ENVIOS!$A$4:$A$3003,0)),"—"))</f>
        <v/>
      </c>
      <c r="I201" s="23">
        <f>IF($D201="","",IFERROR(INDEX(ENVIOS!$F$4:$F$3003,MATCH($D201,ENVIOS!$A$4:$A$3003,0)),"—"))</f>
        <v/>
      </c>
      <c r="J201" s="23">
        <f>IF($D201="","",IFERROR(INDEX(ENVIOS!$G$4:$G$3003,MATCH($D201,ENVIOS!$A$4:$A$3003,0)),"—"))</f>
        <v/>
      </c>
      <c r="K201" s="28">
        <f>IF($D201="","",IFERROR(INDEX(ENVIOS!$H$4:$H$3003,MATCH($D201,ENVIOS!$A$4:$A$3003,0)),"—"))</f>
        <v/>
      </c>
      <c r="L201" s="49">
        <f>IF($D201="","",IFERROR(INDEX(ENVIOS!$C$4:$C$3003,MATCH($D201,ENVIOS!$A$4:$A$3003,0)),""))</f>
        <v/>
      </c>
      <c r="M201" s="50" t="n"/>
      <c r="N201" s="28">
        <f>IF($M201="","",IFERROR(INDEX(CONFIG!$C$4:$C$63,MATCH($M201,CONFIG!$A$4:$A$63,0)),"Media"))</f>
        <v/>
      </c>
      <c r="O201" s="28">
        <f>IF($M201="","",IF($C201="Interna","NO",IFERROR(INDEX(CONFIG!$E$4:$E$63,MATCH($M201,CONFIG!$A$4:$A$63,0)),"NO")))</f>
        <v/>
      </c>
      <c r="P201" s="50" t="n"/>
      <c r="Q201" s="50" t="n"/>
      <c r="R201" s="28">
        <f>IF($Q201="","",IFERROR(INDEX(CONFIG!$H$4:$H$63,MATCH($Q201,CONFIG!$G$4:$G$63,0)),"Por definir"))</f>
        <v/>
      </c>
      <c r="S201" s="28">
        <f>IF($Q201="","",IFERROR(INDEX(CONFIG!$I$4:$I$63,MATCH($Q201,CONFIG!$G$4:$G$63,0)),"Por definir"))</f>
        <v/>
      </c>
      <c r="T201" s="51" t="n"/>
      <c r="U201" s="52" t="n"/>
      <c r="V201" s="50" t="n"/>
      <c r="W201" s="50" t="n"/>
      <c r="X201" s="49">
        <f>IF(OR($B201="",$M201=""),"",WORKDAY($B201,IFERROR(INDEX(CONFIG!$D$4:$D$63,MATCH($M201,CONFIG!$A$4:$A$63,0)),3)))</f>
        <v/>
      </c>
      <c r="Y201" s="47" t="n"/>
      <c r="Z201" s="24">
        <f>IF($B201="","",IF($Y201&lt;&gt;"",$Y201-$B201,TODAY()-$B201))</f>
        <v/>
      </c>
      <c r="AA201" s="28">
        <f>IF($B201="","",IF(IFERROR(INDEX(CONFIG!$L$4:$L$63,MATCH($V201,CONFIG!$K$4:$K$63,0)),"NO")="SÍ",IF(OR($Y201="",$X201=""),"Resuelta",IF($Y201&gt;$X201,"Resuelta tarde","Resuelta a tiempo")),IF($X201="","Sin clasificar",IF(TODAY()&gt;$X201,"Vencida",IF(TODAY()&gt;=$X201-1,"Por vencer","En plazo")))))</f>
        <v/>
      </c>
      <c r="AB201" s="50" t="n"/>
      <c r="AC201" s="50" t="n"/>
    </row>
    <row r="202" ht="16" customHeight="1">
      <c r="A202" s="28">
        <f>IF($B202="","","N-"&amp;TEXT(ROW()-3,"0000"))</f>
        <v/>
      </c>
      <c r="B202" s="47" t="n"/>
      <c r="C202" s="48" t="n"/>
      <c r="D202" s="48" t="n"/>
      <c r="E202" s="28">
        <f>IF($C202="","",IF($D202="",IF($C202="Interna","Sin guía (interna)","FALTA GUÍA"),IF(COUNTIFS(ENVIOS!$A$4:$A$3003,$D202)=0,"NO EXISTE",IF(COUNTIFS(ENVIOS!$A$4:$A$3003,$D202)&gt;1,"DUPLICADA","OK"))))</f>
        <v/>
      </c>
      <c r="F202" s="28">
        <f>IF($D202="","",IFERROR(INDEX(ENVIOS!$B$4:$B$3003,MATCH($D202,ENVIOS!$A$4:$A$3003,0)),"—"))</f>
        <v/>
      </c>
      <c r="G202" s="23">
        <f>IF($D202="","",IFERROR(INDEX(ENVIOS!$D$4:$D$3003,MATCH($D202,ENVIOS!$A$4:$A$3003,0)),"—"))</f>
        <v/>
      </c>
      <c r="H202" s="23">
        <f>IF($D202="","",IFERROR(INDEX(ENVIOS!$E$4:$E$3003,MATCH($D202,ENVIOS!$A$4:$A$3003,0)),"—"))</f>
        <v/>
      </c>
      <c r="I202" s="23">
        <f>IF($D202="","",IFERROR(INDEX(ENVIOS!$F$4:$F$3003,MATCH($D202,ENVIOS!$A$4:$A$3003,0)),"—"))</f>
        <v/>
      </c>
      <c r="J202" s="23">
        <f>IF($D202="","",IFERROR(INDEX(ENVIOS!$G$4:$G$3003,MATCH($D202,ENVIOS!$A$4:$A$3003,0)),"—"))</f>
        <v/>
      </c>
      <c r="K202" s="28">
        <f>IF($D202="","",IFERROR(INDEX(ENVIOS!$H$4:$H$3003,MATCH($D202,ENVIOS!$A$4:$A$3003,0)),"—"))</f>
        <v/>
      </c>
      <c r="L202" s="49">
        <f>IF($D202="","",IFERROR(INDEX(ENVIOS!$C$4:$C$3003,MATCH($D202,ENVIOS!$A$4:$A$3003,0)),""))</f>
        <v/>
      </c>
      <c r="M202" s="50" t="n"/>
      <c r="N202" s="28">
        <f>IF($M202="","",IFERROR(INDEX(CONFIG!$C$4:$C$63,MATCH($M202,CONFIG!$A$4:$A$63,0)),"Media"))</f>
        <v/>
      </c>
      <c r="O202" s="28">
        <f>IF($M202="","",IF($C202="Interna","NO",IFERROR(INDEX(CONFIG!$E$4:$E$63,MATCH($M202,CONFIG!$A$4:$A$63,0)),"NO")))</f>
        <v/>
      </c>
      <c r="P202" s="50" t="n"/>
      <c r="Q202" s="50" t="n"/>
      <c r="R202" s="28">
        <f>IF($Q202="","",IFERROR(INDEX(CONFIG!$H$4:$H$63,MATCH($Q202,CONFIG!$G$4:$G$63,0)),"Por definir"))</f>
        <v/>
      </c>
      <c r="S202" s="28">
        <f>IF($Q202="","",IFERROR(INDEX(CONFIG!$I$4:$I$63,MATCH($Q202,CONFIG!$G$4:$G$63,0)),"Por definir"))</f>
        <v/>
      </c>
      <c r="T202" s="51" t="n"/>
      <c r="U202" s="52" t="n"/>
      <c r="V202" s="50" t="n"/>
      <c r="W202" s="50" t="n"/>
      <c r="X202" s="49">
        <f>IF(OR($B202="",$M202=""),"",WORKDAY($B202,IFERROR(INDEX(CONFIG!$D$4:$D$63,MATCH($M202,CONFIG!$A$4:$A$63,0)),3)))</f>
        <v/>
      </c>
      <c r="Y202" s="47" t="n"/>
      <c r="Z202" s="24">
        <f>IF($B202="","",IF($Y202&lt;&gt;"",$Y202-$B202,TODAY()-$B202))</f>
        <v/>
      </c>
      <c r="AA202" s="28">
        <f>IF($B202="","",IF(IFERROR(INDEX(CONFIG!$L$4:$L$63,MATCH($V202,CONFIG!$K$4:$K$63,0)),"NO")="SÍ",IF(OR($Y202="",$X202=""),"Resuelta",IF($Y202&gt;$X202,"Resuelta tarde","Resuelta a tiempo")),IF($X202="","Sin clasificar",IF(TODAY()&gt;$X202,"Vencida",IF(TODAY()&gt;=$X202-1,"Por vencer","En plazo")))))</f>
        <v/>
      </c>
      <c r="AB202" s="50" t="n"/>
      <c r="AC202" s="50" t="n"/>
    </row>
    <row r="203" ht="16" customHeight="1">
      <c r="A203" s="28">
        <f>IF($B203="","","N-"&amp;TEXT(ROW()-3,"0000"))</f>
        <v/>
      </c>
      <c r="B203" s="47" t="n"/>
      <c r="C203" s="48" t="n"/>
      <c r="D203" s="48" t="n"/>
      <c r="E203" s="28">
        <f>IF($C203="","",IF($D203="",IF($C203="Interna","Sin guía (interna)","FALTA GUÍA"),IF(COUNTIFS(ENVIOS!$A$4:$A$3003,$D203)=0,"NO EXISTE",IF(COUNTIFS(ENVIOS!$A$4:$A$3003,$D203)&gt;1,"DUPLICADA","OK"))))</f>
        <v/>
      </c>
      <c r="F203" s="28">
        <f>IF($D203="","",IFERROR(INDEX(ENVIOS!$B$4:$B$3003,MATCH($D203,ENVIOS!$A$4:$A$3003,0)),"—"))</f>
        <v/>
      </c>
      <c r="G203" s="23">
        <f>IF($D203="","",IFERROR(INDEX(ENVIOS!$D$4:$D$3003,MATCH($D203,ENVIOS!$A$4:$A$3003,0)),"—"))</f>
        <v/>
      </c>
      <c r="H203" s="23">
        <f>IF($D203="","",IFERROR(INDEX(ENVIOS!$E$4:$E$3003,MATCH($D203,ENVIOS!$A$4:$A$3003,0)),"—"))</f>
        <v/>
      </c>
      <c r="I203" s="23">
        <f>IF($D203="","",IFERROR(INDEX(ENVIOS!$F$4:$F$3003,MATCH($D203,ENVIOS!$A$4:$A$3003,0)),"—"))</f>
        <v/>
      </c>
      <c r="J203" s="23">
        <f>IF($D203="","",IFERROR(INDEX(ENVIOS!$G$4:$G$3003,MATCH($D203,ENVIOS!$A$4:$A$3003,0)),"—"))</f>
        <v/>
      </c>
      <c r="K203" s="28">
        <f>IF($D203="","",IFERROR(INDEX(ENVIOS!$H$4:$H$3003,MATCH($D203,ENVIOS!$A$4:$A$3003,0)),"—"))</f>
        <v/>
      </c>
      <c r="L203" s="49">
        <f>IF($D203="","",IFERROR(INDEX(ENVIOS!$C$4:$C$3003,MATCH($D203,ENVIOS!$A$4:$A$3003,0)),""))</f>
        <v/>
      </c>
      <c r="M203" s="50" t="n"/>
      <c r="N203" s="28">
        <f>IF($M203="","",IFERROR(INDEX(CONFIG!$C$4:$C$63,MATCH($M203,CONFIG!$A$4:$A$63,0)),"Media"))</f>
        <v/>
      </c>
      <c r="O203" s="28">
        <f>IF($M203="","",IF($C203="Interna","NO",IFERROR(INDEX(CONFIG!$E$4:$E$63,MATCH($M203,CONFIG!$A$4:$A$63,0)),"NO")))</f>
        <v/>
      </c>
      <c r="P203" s="50" t="n"/>
      <c r="Q203" s="50" t="n"/>
      <c r="R203" s="28">
        <f>IF($Q203="","",IFERROR(INDEX(CONFIG!$H$4:$H$63,MATCH($Q203,CONFIG!$G$4:$G$63,0)),"Por definir"))</f>
        <v/>
      </c>
      <c r="S203" s="28">
        <f>IF($Q203="","",IFERROR(INDEX(CONFIG!$I$4:$I$63,MATCH($Q203,CONFIG!$G$4:$G$63,0)),"Por definir"))</f>
        <v/>
      </c>
      <c r="T203" s="51" t="n"/>
      <c r="U203" s="52" t="n"/>
      <c r="V203" s="50" t="n"/>
      <c r="W203" s="50" t="n"/>
      <c r="X203" s="49">
        <f>IF(OR($B203="",$M203=""),"",WORKDAY($B203,IFERROR(INDEX(CONFIG!$D$4:$D$63,MATCH($M203,CONFIG!$A$4:$A$63,0)),3)))</f>
        <v/>
      </c>
      <c r="Y203" s="47" t="n"/>
      <c r="Z203" s="24">
        <f>IF($B203="","",IF($Y203&lt;&gt;"",$Y203-$B203,TODAY()-$B203))</f>
        <v/>
      </c>
      <c r="AA203" s="28">
        <f>IF($B203="","",IF(IFERROR(INDEX(CONFIG!$L$4:$L$63,MATCH($V203,CONFIG!$K$4:$K$63,0)),"NO")="SÍ",IF(OR($Y203="",$X203=""),"Resuelta",IF($Y203&gt;$X203,"Resuelta tarde","Resuelta a tiempo")),IF($X203="","Sin clasificar",IF(TODAY()&gt;$X203,"Vencida",IF(TODAY()&gt;=$X203-1,"Por vencer","En plazo")))))</f>
        <v/>
      </c>
      <c r="AB203" s="50" t="n"/>
      <c r="AC203" s="50" t="n"/>
    </row>
    <row r="204" ht="16" customHeight="1">
      <c r="A204" s="28">
        <f>IF($B204="","","N-"&amp;TEXT(ROW()-3,"0000"))</f>
        <v/>
      </c>
      <c r="B204" s="47" t="n"/>
      <c r="C204" s="48" t="n"/>
      <c r="D204" s="48" t="n"/>
      <c r="E204" s="28">
        <f>IF($C204="","",IF($D204="",IF($C204="Interna","Sin guía (interna)","FALTA GUÍA"),IF(COUNTIFS(ENVIOS!$A$4:$A$3003,$D204)=0,"NO EXISTE",IF(COUNTIFS(ENVIOS!$A$4:$A$3003,$D204)&gt;1,"DUPLICADA","OK"))))</f>
        <v/>
      </c>
      <c r="F204" s="28">
        <f>IF($D204="","",IFERROR(INDEX(ENVIOS!$B$4:$B$3003,MATCH($D204,ENVIOS!$A$4:$A$3003,0)),"—"))</f>
        <v/>
      </c>
      <c r="G204" s="23">
        <f>IF($D204="","",IFERROR(INDEX(ENVIOS!$D$4:$D$3003,MATCH($D204,ENVIOS!$A$4:$A$3003,0)),"—"))</f>
        <v/>
      </c>
      <c r="H204" s="23">
        <f>IF($D204="","",IFERROR(INDEX(ENVIOS!$E$4:$E$3003,MATCH($D204,ENVIOS!$A$4:$A$3003,0)),"—"))</f>
        <v/>
      </c>
      <c r="I204" s="23">
        <f>IF($D204="","",IFERROR(INDEX(ENVIOS!$F$4:$F$3003,MATCH($D204,ENVIOS!$A$4:$A$3003,0)),"—"))</f>
        <v/>
      </c>
      <c r="J204" s="23">
        <f>IF($D204="","",IFERROR(INDEX(ENVIOS!$G$4:$G$3003,MATCH($D204,ENVIOS!$A$4:$A$3003,0)),"—"))</f>
        <v/>
      </c>
      <c r="K204" s="28">
        <f>IF($D204="","",IFERROR(INDEX(ENVIOS!$H$4:$H$3003,MATCH($D204,ENVIOS!$A$4:$A$3003,0)),"—"))</f>
        <v/>
      </c>
      <c r="L204" s="49">
        <f>IF($D204="","",IFERROR(INDEX(ENVIOS!$C$4:$C$3003,MATCH($D204,ENVIOS!$A$4:$A$3003,0)),""))</f>
        <v/>
      </c>
      <c r="M204" s="50" t="n"/>
      <c r="N204" s="28">
        <f>IF($M204="","",IFERROR(INDEX(CONFIG!$C$4:$C$63,MATCH($M204,CONFIG!$A$4:$A$63,0)),"Media"))</f>
        <v/>
      </c>
      <c r="O204" s="28">
        <f>IF($M204="","",IF($C204="Interna","NO",IFERROR(INDEX(CONFIG!$E$4:$E$63,MATCH($M204,CONFIG!$A$4:$A$63,0)),"NO")))</f>
        <v/>
      </c>
      <c r="P204" s="50" t="n"/>
      <c r="Q204" s="50" t="n"/>
      <c r="R204" s="28">
        <f>IF($Q204="","",IFERROR(INDEX(CONFIG!$H$4:$H$63,MATCH($Q204,CONFIG!$G$4:$G$63,0)),"Por definir"))</f>
        <v/>
      </c>
      <c r="S204" s="28">
        <f>IF($Q204="","",IFERROR(INDEX(CONFIG!$I$4:$I$63,MATCH($Q204,CONFIG!$G$4:$G$63,0)),"Por definir"))</f>
        <v/>
      </c>
      <c r="T204" s="51" t="n"/>
      <c r="U204" s="52" t="n"/>
      <c r="V204" s="50" t="n"/>
      <c r="W204" s="50" t="n"/>
      <c r="X204" s="49">
        <f>IF(OR($B204="",$M204=""),"",WORKDAY($B204,IFERROR(INDEX(CONFIG!$D$4:$D$63,MATCH($M204,CONFIG!$A$4:$A$63,0)),3)))</f>
        <v/>
      </c>
      <c r="Y204" s="47" t="n"/>
      <c r="Z204" s="24">
        <f>IF($B204="","",IF($Y204&lt;&gt;"",$Y204-$B204,TODAY()-$B204))</f>
        <v/>
      </c>
      <c r="AA204" s="28">
        <f>IF($B204="","",IF(IFERROR(INDEX(CONFIG!$L$4:$L$63,MATCH($V204,CONFIG!$K$4:$K$63,0)),"NO")="SÍ",IF(OR($Y204="",$X204=""),"Resuelta",IF($Y204&gt;$X204,"Resuelta tarde","Resuelta a tiempo")),IF($X204="","Sin clasificar",IF(TODAY()&gt;$X204,"Vencida",IF(TODAY()&gt;=$X204-1,"Por vencer","En plazo")))))</f>
        <v/>
      </c>
      <c r="AB204" s="50" t="n"/>
      <c r="AC204" s="50" t="n"/>
    </row>
    <row r="205" ht="16" customHeight="1">
      <c r="A205" s="28">
        <f>IF($B205="","","N-"&amp;TEXT(ROW()-3,"0000"))</f>
        <v/>
      </c>
      <c r="B205" s="47" t="n"/>
      <c r="C205" s="48" t="n"/>
      <c r="D205" s="48" t="n"/>
      <c r="E205" s="28">
        <f>IF($C205="","",IF($D205="",IF($C205="Interna","Sin guía (interna)","FALTA GUÍA"),IF(COUNTIFS(ENVIOS!$A$4:$A$3003,$D205)=0,"NO EXISTE",IF(COUNTIFS(ENVIOS!$A$4:$A$3003,$D205)&gt;1,"DUPLICADA","OK"))))</f>
        <v/>
      </c>
      <c r="F205" s="28">
        <f>IF($D205="","",IFERROR(INDEX(ENVIOS!$B$4:$B$3003,MATCH($D205,ENVIOS!$A$4:$A$3003,0)),"—"))</f>
        <v/>
      </c>
      <c r="G205" s="23">
        <f>IF($D205="","",IFERROR(INDEX(ENVIOS!$D$4:$D$3003,MATCH($D205,ENVIOS!$A$4:$A$3003,0)),"—"))</f>
        <v/>
      </c>
      <c r="H205" s="23">
        <f>IF($D205="","",IFERROR(INDEX(ENVIOS!$E$4:$E$3003,MATCH($D205,ENVIOS!$A$4:$A$3003,0)),"—"))</f>
        <v/>
      </c>
      <c r="I205" s="23">
        <f>IF($D205="","",IFERROR(INDEX(ENVIOS!$F$4:$F$3003,MATCH($D205,ENVIOS!$A$4:$A$3003,0)),"—"))</f>
        <v/>
      </c>
      <c r="J205" s="23">
        <f>IF($D205="","",IFERROR(INDEX(ENVIOS!$G$4:$G$3003,MATCH($D205,ENVIOS!$A$4:$A$3003,0)),"—"))</f>
        <v/>
      </c>
      <c r="K205" s="28">
        <f>IF($D205="","",IFERROR(INDEX(ENVIOS!$H$4:$H$3003,MATCH($D205,ENVIOS!$A$4:$A$3003,0)),"—"))</f>
        <v/>
      </c>
      <c r="L205" s="49">
        <f>IF($D205="","",IFERROR(INDEX(ENVIOS!$C$4:$C$3003,MATCH($D205,ENVIOS!$A$4:$A$3003,0)),""))</f>
        <v/>
      </c>
      <c r="M205" s="50" t="n"/>
      <c r="N205" s="28">
        <f>IF($M205="","",IFERROR(INDEX(CONFIG!$C$4:$C$63,MATCH($M205,CONFIG!$A$4:$A$63,0)),"Media"))</f>
        <v/>
      </c>
      <c r="O205" s="28">
        <f>IF($M205="","",IF($C205="Interna","NO",IFERROR(INDEX(CONFIG!$E$4:$E$63,MATCH($M205,CONFIG!$A$4:$A$63,0)),"NO")))</f>
        <v/>
      </c>
      <c r="P205" s="50" t="n"/>
      <c r="Q205" s="50" t="n"/>
      <c r="R205" s="28">
        <f>IF($Q205="","",IFERROR(INDEX(CONFIG!$H$4:$H$63,MATCH($Q205,CONFIG!$G$4:$G$63,0)),"Por definir"))</f>
        <v/>
      </c>
      <c r="S205" s="28">
        <f>IF($Q205="","",IFERROR(INDEX(CONFIG!$I$4:$I$63,MATCH($Q205,CONFIG!$G$4:$G$63,0)),"Por definir"))</f>
        <v/>
      </c>
      <c r="T205" s="51" t="n"/>
      <c r="U205" s="52" t="n"/>
      <c r="V205" s="50" t="n"/>
      <c r="W205" s="50" t="n"/>
      <c r="X205" s="49">
        <f>IF(OR($B205="",$M205=""),"",WORKDAY($B205,IFERROR(INDEX(CONFIG!$D$4:$D$63,MATCH($M205,CONFIG!$A$4:$A$63,0)),3)))</f>
        <v/>
      </c>
      <c r="Y205" s="47" t="n"/>
      <c r="Z205" s="24">
        <f>IF($B205="","",IF($Y205&lt;&gt;"",$Y205-$B205,TODAY()-$B205))</f>
        <v/>
      </c>
      <c r="AA205" s="28">
        <f>IF($B205="","",IF(IFERROR(INDEX(CONFIG!$L$4:$L$63,MATCH($V205,CONFIG!$K$4:$K$63,0)),"NO")="SÍ",IF(OR($Y205="",$X205=""),"Resuelta",IF($Y205&gt;$X205,"Resuelta tarde","Resuelta a tiempo")),IF($X205="","Sin clasificar",IF(TODAY()&gt;$X205,"Vencida",IF(TODAY()&gt;=$X205-1,"Por vencer","En plazo")))))</f>
        <v/>
      </c>
      <c r="AB205" s="50" t="n"/>
      <c r="AC205" s="50" t="n"/>
    </row>
    <row r="206" ht="16" customHeight="1">
      <c r="A206" s="28">
        <f>IF($B206="","","N-"&amp;TEXT(ROW()-3,"0000"))</f>
        <v/>
      </c>
      <c r="B206" s="47" t="n"/>
      <c r="C206" s="48" t="n"/>
      <c r="D206" s="48" t="n"/>
      <c r="E206" s="28">
        <f>IF($C206="","",IF($D206="",IF($C206="Interna","Sin guía (interna)","FALTA GUÍA"),IF(COUNTIFS(ENVIOS!$A$4:$A$3003,$D206)=0,"NO EXISTE",IF(COUNTIFS(ENVIOS!$A$4:$A$3003,$D206)&gt;1,"DUPLICADA","OK"))))</f>
        <v/>
      </c>
      <c r="F206" s="28">
        <f>IF($D206="","",IFERROR(INDEX(ENVIOS!$B$4:$B$3003,MATCH($D206,ENVIOS!$A$4:$A$3003,0)),"—"))</f>
        <v/>
      </c>
      <c r="G206" s="23">
        <f>IF($D206="","",IFERROR(INDEX(ENVIOS!$D$4:$D$3003,MATCH($D206,ENVIOS!$A$4:$A$3003,0)),"—"))</f>
        <v/>
      </c>
      <c r="H206" s="23">
        <f>IF($D206="","",IFERROR(INDEX(ENVIOS!$E$4:$E$3003,MATCH($D206,ENVIOS!$A$4:$A$3003,0)),"—"))</f>
        <v/>
      </c>
      <c r="I206" s="23">
        <f>IF($D206="","",IFERROR(INDEX(ENVIOS!$F$4:$F$3003,MATCH($D206,ENVIOS!$A$4:$A$3003,0)),"—"))</f>
        <v/>
      </c>
      <c r="J206" s="23">
        <f>IF($D206="","",IFERROR(INDEX(ENVIOS!$G$4:$G$3003,MATCH($D206,ENVIOS!$A$4:$A$3003,0)),"—"))</f>
        <v/>
      </c>
      <c r="K206" s="28">
        <f>IF($D206="","",IFERROR(INDEX(ENVIOS!$H$4:$H$3003,MATCH($D206,ENVIOS!$A$4:$A$3003,0)),"—"))</f>
        <v/>
      </c>
      <c r="L206" s="49">
        <f>IF($D206="","",IFERROR(INDEX(ENVIOS!$C$4:$C$3003,MATCH($D206,ENVIOS!$A$4:$A$3003,0)),""))</f>
        <v/>
      </c>
      <c r="M206" s="50" t="n"/>
      <c r="N206" s="28">
        <f>IF($M206="","",IFERROR(INDEX(CONFIG!$C$4:$C$63,MATCH($M206,CONFIG!$A$4:$A$63,0)),"Media"))</f>
        <v/>
      </c>
      <c r="O206" s="28">
        <f>IF($M206="","",IF($C206="Interna","NO",IFERROR(INDEX(CONFIG!$E$4:$E$63,MATCH($M206,CONFIG!$A$4:$A$63,0)),"NO")))</f>
        <v/>
      </c>
      <c r="P206" s="50" t="n"/>
      <c r="Q206" s="50" t="n"/>
      <c r="R206" s="28">
        <f>IF($Q206="","",IFERROR(INDEX(CONFIG!$H$4:$H$63,MATCH($Q206,CONFIG!$G$4:$G$63,0)),"Por definir"))</f>
        <v/>
      </c>
      <c r="S206" s="28">
        <f>IF($Q206="","",IFERROR(INDEX(CONFIG!$I$4:$I$63,MATCH($Q206,CONFIG!$G$4:$G$63,0)),"Por definir"))</f>
        <v/>
      </c>
      <c r="T206" s="51" t="n"/>
      <c r="U206" s="52" t="n"/>
      <c r="V206" s="50" t="n"/>
      <c r="W206" s="50" t="n"/>
      <c r="X206" s="49">
        <f>IF(OR($B206="",$M206=""),"",WORKDAY($B206,IFERROR(INDEX(CONFIG!$D$4:$D$63,MATCH($M206,CONFIG!$A$4:$A$63,0)),3)))</f>
        <v/>
      </c>
      <c r="Y206" s="47" t="n"/>
      <c r="Z206" s="24">
        <f>IF($B206="","",IF($Y206&lt;&gt;"",$Y206-$B206,TODAY()-$B206))</f>
        <v/>
      </c>
      <c r="AA206" s="28">
        <f>IF($B206="","",IF(IFERROR(INDEX(CONFIG!$L$4:$L$63,MATCH($V206,CONFIG!$K$4:$K$63,0)),"NO")="SÍ",IF(OR($Y206="",$X206=""),"Resuelta",IF($Y206&gt;$X206,"Resuelta tarde","Resuelta a tiempo")),IF($X206="","Sin clasificar",IF(TODAY()&gt;$X206,"Vencida",IF(TODAY()&gt;=$X206-1,"Por vencer","En plazo")))))</f>
        <v/>
      </c>
      <c r="AB206" s="50" t="n"/>
      <c r="AC206" s="50" t="n"/>
    </row>
    <row r="207" ht="16" customHeight="1">
      <c r="A207" s="28">
        <f>IF($B207="","","N-"&amp;TEXT(ROW()-3,"0000"))</f>
        <v/>
      </c>
      <c r="B207" s="47" t="n"/>
      <c r="C207" s="48" t="n"/>
      <c r="D207" s="48" t="n"/>
      <c r="E207" s="28">
        <f>IF($C207="","",IF($D207="",IF($C207="Interna","Sin guía (interna)","FALTA GUÍA"),IF(COUNTIFS(ENVIOS!$A$4:$A$3003,$D207)=0,"NO EXISTE",IF(COUNTIFS(ENVIOS!$A$4:$A$3003,$D207)&gt;1,"DUPLICADA","OK"))))</f>
        <v/>
      </c>
      <c r="F207" s="28">
        <f>IF($D207="","",IFERROR(INDEX(ENVIOS!$B$4:$B$3003,MATCH($D207,ENVIOS!$A$4:$A$3003,0)),"—"))</f>
        <v/>
      </c>
      <c r="G207" s="23">
        <f>IF($D207="","",IFERROR(INDEX(ENVIOS!$D$4:$D$3003,MATCH($D207,ENVIOS!$A$4:$A$3003,0)),"—"))</f>
        <v/>
      </c>
      <c r="H207" s="23">
        <f>IF($D207="","",IFERROR(INDEX(ENVIOS!$E$4:$E$3003,MATCH($D207,ENVIOS!$A$4:$A$3003,0)),"—"))</f>
        <v/>
      </c>
      <c r="I207" s="23">
        <f>IF($D207="","",IFERROR(INDEX(ENVIOS!$F$4:$F$3003,MATCH($D207,ENVIOS!$A$4:$A$3003,0)),"—"))</f>
        <v/>
      </c>
      <c r="J207" s="23">
        <f>IF($D207="","",IFERROR(INDEX(ENVIOS!$G$4:$G$3003,MATCH($D207,ENVIOS!$A$4:$A$3003,0)),"—"))</f>
        <v/>
      </c>
      <c r="K207" s="28">
        <f>IF($D207="","",IFERROR(INDEX(ENVIOS!$H$4:$H$3003,MATCH($D207,ENVIOS!$A$4:$A$3003,0)),"—"))</f>
        <v/>
      </c>
      <c r="L207" s="49">
        <f>IF($D207="","",IFERROR(INDEX(ENVIOS!$C$4:$C$3003,MATCH($D207,ENVIOS!$A$4:$A$3003,0)),""))</f>
        <v/>
      </c>
      <c r="M207" s="50" t="n"/>
      <c r="N207" s="28">
        <f>IF($M207="","",IFERROR(INDEX(CONFIG!$C$4:$C$63,MATCH($M207,CONFIG!$A$4:$A$63,0)),"Media"))</f>
        <v/>
      </c>
      <c r="O207" s="28">
        <f>IF($M207="","",IF($C207="Interna","NO",IFERROR(INDEX(CONFIG!$E$4:$E$63,MATCH($M207,CONFIG!$A$4:$A$63,0)),"NO")))</f>
        <v/>
      </c>
      <c r="P207" s="50" t="n"/>
      <c r="Q207" s="50" t="n"/>
      <c r="R207" s="28">
        <f>IF($Q207="","",IFERROR(INDEX(CONFIG!$H$4:$H$63,MATCH($Q207,CONFIG!$G$4:$G$63,0)),"Por definir"))</f>
        <v/>
      </c>
      <c r="S207" s="28">
        <f>IF($Q207="","",IFERROR(INDEX(CONFIG!$I$4:$I$63,MATCH($Q207,CONFIG!$G$4:$G$63,0)),"Por definir"))</f>
        <v/>
      </c>
      <c r="T207" s="51" t="n"/>
      <c r="U207" s="52" t="n"/>
      <c r="V207" s="50" t="n"/>
      <c r="W207" s="50" t="n"/>
      <c r="X207" s="49">
        <f>IF(OR($B207="",$M207=""),"",WORKDAY($B207,IFERROR(INDEX(CONFIG!$D$4:$D$63,MATCH($M207,CONFIG!$A$4:$A$63,0)),3)))</f>
        <v/>
      </c>
      <c r="Y207" s="47" t="n"/>
      <c r="Z207" s="24">
        <f>IF($B207="","",IF($Y207&lt;&gt;"",$Y207-$B207,TODAY()-$B207))</f>
        <v/>
      </c>
      <c r="AA207" s="28">
        <f>IF($B207="","",IF(IFERROR(INDEX(CONFIG!$L$4:$L$63,MATCH($V207,CONFIG!$K$4:$K$63,0)),"NO")="SÍ",IF(OR($Y207="",$X207=""),"Resuelta",IF($Y207&gt;$X207,"Resuelta tarde","Resuelta a tiempo")),IF($X207="","Sin clasificar",IF(TODAY()&gt;$X207,"Vencida",IF(TODAY()&gt;=$X207-1,"Por vencer","En plazo")))))</f>
        <v/>
      </c>
      <c r="AB207" s="50" t="n"/>
      <c r="AC207" s="50" t="n"/>
    </row>
    <row r="208" ht="16" customHeight="1">
      <c r="A208" s="28">
        <f>IF($B208="","","N-"&amp;TEXT(ROW()-3,"0000"))</f>
        <v/>
      </c>
      <c r="B208" s="47" t="n"/>
      <c r="C208" s="48" t="n"/>
      <c r="D208" s="48" t="n"/>
      <c r="E208" s="28">
        <f>IF($C208="","",IF($D208="",IF($C208="Interna","Sin guía (interna)","FALTA GUÍA"),IF(COUNTIFS(ENVIOS!$A$4:$A$3003,$D208)=0,"NO EXISTE",IF(COUNTIFS(ENVIOS!$A$4:$A$3003,$D208)&gt;1,"DUPLICADA","OK"))))</f>
        <v/>
      </c>
      <c r="F208" s="28">
        <f>IF($D208="","",IFERROR(INDEX(ENVIOS!$B$4:$B$3003,MATCH($D208,ENVIOS!$A$4:$A$3003,0)),"—"))</f>
        <v/>
      </c>
      <c r="G208" s="23">
        <f>IF($D208="","",IFERROR(INDEX(ENVIOS!$D$4:$D$3003,MATCH($D208,ENVIOS!$A$4:$A$3003,0)),"—"))</f>
        <v/>
      </c>
      <c r="H208" s="23">
        <f>IF($D208="","",IFERROR(INDEX(ENVIOS!$E$4:$E$3003,MATCH($D208,ENVIOS!$A$4:$A$3003,0)),"—"))</f>
        <v/>
      </c>
      <c r="I208" s="23">
        <f>IF($D208="","",IFERROR(INDEX(ENVIOS!$F$4:$F$3003,MATCH($D208,ENVIOS!$A$4:$A$3003,0)),"—"))</f>
        <v/>
      </c>
      <c r="J208" s="23">
        <f>IF($D208="","",IFERROR(INDEX(ENVIOS!$G$4:$G$3003,MATCH($D208,ENVIOS!$A$4:$A$3003,0)),"—"))</f>
        <v/>
      </c>
      <c r="K208" s="28">
        <f>IF($D208="","",IFERROR(INDEX(ENVIOS!$H$4:$H$3003,MATCH($D208,ENVIOS!$A$4:$A$3003,0)),"—"))</f>
        <v/>
      </c>
      <c r="L208" s="49">
        <f>IF($D208="","",IFERROR(INDEX(ENVIOS!$C$4:$C$3003,MATCH($D208,ENVIOS!$A$4:$A$3003,0)),""))</f>
        <v/>
      </c>
      <c r="M208" s="50" t="n"/>
      <c r="N208" s="28">
        <f>IF($M208="","",IFERROR(INDEX(CONFIG!$C$4:$C$63,MATCH($M208,CONFIG!$A$4:$A$63,0)),"Media"))</f>
        <v/>
      </c>
      <c r="O208" s="28">
        <f>IF($M208="","",IF($C208="Interna","NO",IFERROR(INDEX(CONFIG!$E$4:$E$63,MATCH($M208,CONFIG!$A$4:$A$63,0)),"NO")))</f>
        <v/>
      </c>
      <c r="P208" s="50" t="n"/>
      <c r="Q208" s="50" t="n"/>
      <c r="R208" s="28">
        <f>IF($Q208="","",IFERROR(INDEX(CONFIG!$H$4:$H$63,MATCH($Q208,CONFIG!$G$4:$G$63,0)),"Por definir"))</f>
        <v/>
      </c>
      <c r="S208" s="28">
        <f>IF($Q208="","",IFERROR(INDEX(CONFIG!$I$4:$I$63,MATCH($Q208,CONFIG!$G$4:$G$63,0)),"Por definir"))</f>
        <v/>
      </c>
      <c r="T208" s="51" t="n"/>
      <c r="U208" s="52" t="n"/>
      <c r="V208" s="50" t="n"/>
      <c r="W208" s="50" t="n"/>
      <c r="X208" s="49">
        <f>IF(OR($B208="",$M208=""),"",WORKDAY($B208,IFERROR(INDEX(CONFIG!$D$4:$D$63,MATCH($M208,CONFIG!$A$4:$A$63,0)),3)))</f>
        <v/>
      </c>
      <c r="Y208" s="47" t="n"/>
      <c r="Z208" s="24">
        <f>IF($B208="","",IF($Y208&lt;&gt;"",$Y208-$B208,TODAY()-$B208))</f>
        <v/>
      </c>
      <c r="AA208" s="28">
        <f>IF($B208="","",IF(IFERROR(INDEX(CONFIG!$L$4:$L$63,MATCH($V208,CONFIG!$K$4:$K$63,0)),"NO")="SÍ",IF(OR($Y208="",$X208=""),"Resuelta",IF($Y208&gt;$X208,"Resuelta tarde","Resuelta a tiempo")),IF($X208="","Sin clasificar",IF(TODAY()&gt;$X208,"Vencida",IF(TODAY()&gt;=$X208-1,"Por vencer","En plazo")))))</f>
        <v/>
      </c>
      <c r="AB208" s="50" t="n"/>
      <c r="AC208" s="50" t="n"/>
    </row>
    <row r="209" ht="16" customHeight="1">
      <c r="A209" s="28">
        <f>IF($B209="","","N-"&amp;TEXT(ROW()-3,"0000"))</f>
        <v/>
      </c>
      <c r="B209" s="47" t="n"/>
      <c r="C209" s="48" t="n"/>
      <c r="D209" s="48" t="n"/>
      <c r="E209" s="28">
        <f>IF($C209="","",IF($D209="",IF($C209="Interna","Sin guía (interna)","FALTA GUÍA"),IF(COUNTIFS(ENVIOS!$A$4:$A$3003,$D209)=0,"NO EXISTE",IF(COUNTIFS(ENVIOS!$A$4:$A$3003,$D209)&gt;1,"DUPLICADA","OK"))))</f>
        <v/>
      </c>
      <c r="F209" s="28">
        <f>IF($D209="","",IFERROR(INDEX(ENVIOS!$B$4:$B$3003,MATCH($D209,ENVIOS!$A$4:$A$3003,0)),"—"))</f>
        <v/>
      </c>
      <c r="G209" s="23">
        <f>IF($D209="","",IFERROR(INDEX(ENVIOS!$D$4:$D$3003,MATCH($D209,ENVIOS!$A$4:$A$3003,0)),"—"))</f>
        <v/>
      </c>
      <c r="H209" s="23">
        <f>IF($D209="","",IFERROR(INDEX(ENVIOS!$E$4:$E$3003,MATCH($D209,ENVIOS!$A$4:$A$3003,0)),"—"))</f>
        <v/>
      </c>
      <c r="I209" s="23">
        <f>IF($D209="","",IFERROR(INDEX(ENVIOS!$F$4:$F$3003,MATCH($D209,ENVIOS!$A$4:$A$3003,0)),"—"))</f>
        <v/>
      </c>
      <c r="J209" s="23">
        <f>IF($D209="","",IFERROR(INDEX(ENVIOS!$G$4:$G$3003,MATCH($D209,ENVIOS!$A$4:$A$3003,0)),"—"))</f>
        <v/>
      </c>
      <c r="K209" s="28">
        <f>IF($D209="","",IFERROR(INDEX(ENVIOS!$H$4:$H$3003,MATCH($D209,ENVIOS!$A$4:$A$3003,0)),"—"))</f>
        <v/>
      </c>
      <c r="L209" s="49">
        <f>IF($D209="","",IFERROR(INDEX(ENVIOS!$C$4:$C$3003,MATCH($D209,ENVIOS!$A$4:$A$3003,0)),""))</f>
        <v/>
      </c>
      <c r="M209" s="50" t="n"/>
      <c r="N209" s="28">
        <f>IF($M209="","",IFERROR(INDEX(CONFIG!$C$4:$C$63,MATCH($M209,CONFIG!$A$4:$A$63,0)),"Media"))</f>
        <v/>
      </c>
      <c r="O209" s="28">
        <f>IF($M209="","",IF($C209="Interna","NO",IFERROR(INDEX(CONFIG!$E$4:$E$63,MATCH($M209,CONFIG!$A$4:$A$63,0)),"NO")))</f>
        <v/>
      </c>
      <c r="P209" s="50" t="n"/>
      <c r="Q209" s="50" t="n"/>
      <c r="R209" s="28">
        <f>IF($Q209="","",IFERROR(INDEX(CONFIG!$H$4:$H$63,MATCH($Q209,CONFIG!$G$4:$G$63,0)),"Por definir"))</f>
        <v/>
      </c>
      <c r="S209" s="28">
        <f>IF($Q209="","",IFERROR(INDEX(CONFIG!$I$4:$I$63,MATCH($Q209,CONFIG!$G$4:$G$63,0)),"Por definir"))</f>
        <v/>
      </c>
      <c r="T209" s="51" t="n"/>
      <c r="U209" s="52" t="n"/>
      <c r="V209" s="50" t="n"/>
      <c r="W209" s="50" t="n"/>
      <c r="X209" s="49">
        <f>IF(OR($B209="",$M209=""),"",WORKDAY($B209,IFERROR(INDEX(CONFIG!$D$4:$D$63,MATCH($M209,CONFIG!$A$4:$A$63,0)),3)))</f>
        <v/>
      </c>
      <c r="Y209" s="47" t="n"/>
      <c r="Z209" s="24">
        <f>IF($B209="","",IF($Y209&lt;&gt;"",$Y209-$B209,TODAY()-$B209))</f>
        <v/>
      </c>
      <c r="AA209" s="28">
        <f>IF($B209="","",IF(IFERROR(INDEX(CONFIG!$L$4:$L$63,MATCH($V209,CONFIG!$K$4:$K$63,0)),"NO")="SÍ",IF(OR($Y209="",$X209=""),"Resuelta",IF($Y209&gt;$X209,"Resuelta tarde","Resuelta a tiempo")),IF($X209="","Sin clasificar",IF(TODAY()&gt;$X209,"Vencida",IF(TODAY()&gt;=$X209-1,"Por vencer","En plazo")))))</f>
        <v/>
      </c>
      <c r="AB209" s="50" t="n"/>
      <c r="AC209" s="50" t="n"/>
    </row>
    <row r="210" ht="16" customHeight="1">
      <c r="A210" s="28">
        <f>IF($B210="","","N-"&amp;TEXT(ROW()-3,"0000"))</f>
        <v/>
      </c>
      <c r="B210" s="47" t="n"/>
      <c r="C210" s="48" t="n"/>
      <c r="D210" s="48" t="n"/>
      <c r="E210" s="28">
        <f>IF($C210="","",IF($D210="",IF($C210="Interna","Sin guía (interna)","FALTA GUÍA"),IF(COUNTIFS(ENVIOS!$A$4:$A$3003,$D210)=0,"NO EXISTE",IF(COUNTIFS(ENVIOS!$A$4:$A$3003,$D210)&gt;1,"DUPLICADA","OK"))))</f>
        <v/>
      </c>
      <c r="F210" s="28">
        <f>IF($D210="","",IFERROR(INDEX(ENVIOS!$B$4:$B$3003,MATCH($D210,ENVIOS!$A$4:$A$3003,0)),"—"))</f>
        <v/>
      </c>
      <c r="G210" s="23">
        <f>IF($D210="","",IFERROR(INDEX(ENVIOS!$D$4:$D$3003,MATCH($D210,ENVIOS!$A$4:$A$3003,0)),"—"))</f>
        <v/>
      </c>
      <c r="H210" s="23">
        <f>IF($D210="","",IFERROR(INDEX(ENVIOS!$E$4:$E$3003,MATCH($D210,ENVIOS!$A$4:$A$3003,0)),"—"))</f>
        <v/>
      </c>
      <c r="I210" s="23">
        <f>IF($D210="","",IFERROR(INDEX(ENVIOS!$F$4:$F$3003,MATCH($D210,ENVIOS!$A$4:$A$3003,0)),"—"))</f>
        <v/>
      </c>
      <c r="J210" s="23">
        <f>IF($D210="","",IFERROR(INDEX(ENVIOS!$G$4:$G$3003,MATCH($D210,ENVIOS!$A$4:$A$3003,0)),"—"))</f>
        <v/>
      </c>
      <c r="K210" s="28">
        <f>IF($D210="","",IFERROR(INDEX(ENVIOS!$H$4:$H$3003,MATCH($D210,ENVIOS!$A$4:$A$3003,0)),"—"))</f>
        <v/>
      </c>
      <c r="L210" s="49">
        <f>IF($D210="","",IFERROR(INDEX(ENVIOS!$C$4:$C$3003,MATCH($D210,ENVIOS!$A$4:$A$3003,0)),""))</f>
        <v/>
      </c>
      <c r="M210" s="50" t="n"/>
      <c r="N210" s="28">
        <f>IF($M210="","",IFERROR(INDEX(CONFIG!$C$4:$C$63,MATCH($M210,CONFIG!$A$4:$A$63,0)),"Media"))</f>
        <v/>
      </c>
      <c r="O210" s="28">
        <f>IF($M210="","",IF($C210="Interna","NO",IFERROR(INDEX(CONFIG!$E$4:$E$63,MATCH($M210,CONFIG!$A$4:$A$63,0)),"NO")))</f>
        <v/>
      </c>
      <c r="P210" s="50" t="n"/>
      <c r="Q210" s="50" t="n"/>
      <c r="R210" s="28">
        <f>IF($Q210="","",IFERROR(INDEX(CONFIG!$H$4:$H$63,MATCH($Q210,CONFIG!$G$4:$G$63,0)),"Por definir"))</f>
        <v/>
      </c>
      <c r="S210" s="28">
        <f>IF($Q210="","",IFERROR(INDEX(CONFIG!$I$4:$I$63,MATCH($Q210,CONFIG!$G$4:$G$63,0)),"Por definir"))</f>
        <v/>
      </c>
      <c r="T210" s="51" t="n"/>
      <c r="U210" s="52" t="n"/>
      <c r="V210" s="50" t="n"/>
      <c r="W210" s="50" t="n"/>
      <c r="X210" s="49">
        <f>IF(OR($B210="",$M210=""),"",WORKDAY($B210,IFERROR(INDEX(CONFIG!$D$4:$D$63,MATCH($M210,CONFIG!$A$4:$A$63,0)),3)))</f>
        <v/>
      </c>
      <c r="Y210" s="47" t="n"/>
      <c r="Z210" s="24">
        <f>IF($B210="","",IF($Y210&lt;&gt;"",$Y210-$B210,TODAY()-$B210))</f>
        <v/>
      </c>
      <c r="AA210" s="28">
        <f>IF($B210="","",IF(IFERROR(INDEX(CONFIG!$L$4:$L$63,MATCH($V210,CONFIG!$K$4:$K$63,0)),"NO")="SÍ",IF(OR($Y210="",$X210=""),"Resuelta",IF($Y210&gt;$X210,"Resuelta tarde","Resuelta a tiempo")),IF($X210="","Sin clasificar",IF(TODAY()&gt;$X210,"Vencida",IF(TODAY()&gt;=$X210-1,"Por vencer","En plazo")))))</f>
        <v/>
      </c>
      <c r="AB210" s="50" t="n"/>
      <c r="AC210" s="50" t="n"/>
    </row>
    <row r="211" ht="16" customHeight="1">
      <c r="A211" s="28">
        <f>IF($B211="","","N-"&amp;TEXT(ROW()-3,"0000"))</f>
        <v/>
      </c>
      <c r="B211" s="47" t="n"/>
      <c r="C211" s="48" t="n"/>
      <c r="D211" s="48" t="n"/>
      <c r="E211" s="28">
        <f>IF($C211="","",IF($D211="",IF($C211="Interna","Sin guía (interna)","FALTA GUÍA"),IF(COUNTIFS(ENVIOS!$A$4:$A$3003,$D211)=0,"NO EXISTE",IF(COUNTIFS(ENVIOS!$A$4:$A$3003,$D211)&gt;1,"DUPLICADA","OK"))))</f>
        <v/>
      </c>
      <c r="F211" s="28">
        <f>IF($D211="","",IFERROR(INDEX(ENVIOS!$B$4:$B$3003,MATCH($D211,ENVIOS!$A$4:$A$3003,0)),"—"))</f>
        <v/>
      </c>
      <c r="G211" s="23">
        <f>IF($D211="","",IFERROR(INDEX(ENVIOS!$D$4:$D$3003,MATCH($D211,ENVIOS!$A$4:$A$3003,0)),"—"))</f>
        <v/>
      </c>
      <c r="H211" s="23">
        <f>IF($D211="","",IFERROR(INDEX(ENVIOS!$E$4:$E$3003,MATCH($D211,ENVIOS!$A$4:$A$3003,0)),"—"))</f>
        <v/>
      </c>
      <c r="I211" s="23">
        <f>IF($D211="","",IFERROR(INDEX(ENVIOS!$F$4:$F$3003,MATCH($D211,ENVIOS!$A$4:$A$3003,0)),"—"))</f>
        <v/>
      </c>
      <c r="J211" s="23">
        <f>IF($D211="","",IFERROR(INDEX(ENVIOS!$G$4:$G$3003,MATCH($D211,ENVIOS!$A$4:$A$3003,0)),"—"))</f>
        <v/>
      </c>
      <c r="K211" s="28">
        <f>IF($D211="","",IFERROR(INDEX(ENVIOS!$H$4:$H$3003,MATCH($D211,ENVIOS!$A$4:$A$3003,0)),"—"))</f>
        <v/>
      </c>
      <c r="L211" s="49">
        <f>IF($D211="","",IFERROR(INDEX(ENVIOS!$C$4:$C$3003,MATCH($D211,ENVIOS!$A$4:$A$3003,0)),""))</f>
        <v/>
      </c>
      <c r="M211" s="50" t="n"/>
      <c r="N211" s="28">
        <f>IF($M211="","",IFERROR(INDEX(CONFIG!$C$4:$C$63,MATCH($M211,CONFIG!$A$4:$A$63,0)),"Media"))</f>
        <v/>
      </c>
      <c r="O211" s="28">
        <f>IF($M211="","",IF($C211="Interna","NO",IFERROR(INDEX(CONFIG!$E$4:$E$63,MATCH($M211,CONFIG!$A$4:$A$63,0)),"NO")))</f>
        <v/>
      </c>
      <c r="P211" s="50" t="n"/>
      <c r="Q211" s="50" t="n"/>
      <c r="R211" s="28">
        <f>IF($Q211="","",IFERROR(INDEX(CONFIG!$H$4:$H$63,MATCH($Q211,CONFIG!$G$4:$G$63,0)),"Por definir"))</f>
        <v/>
      </c>
      <c r="S211" s="28">
        <f>IF($Q211="","",IFERROR(INDEX(CONFIG!$I$4:$I$63,MATCH($Q211,CONFIG!$G$4:$G$63,0)),"Por definir"))</f>
        <v/>
      </c>
      <c r="T211" s="51" t="n"/>
      <c r="U211" s="52" t="n"/>
      <c r="V211" s="50" t="n"/>
      <c r="W211" s="50" t="n"/>
      <c r="X211" s="49">
        <f>IF(OR($B211="",$M211=""),"",WORKDAY($B211,IFERROR(INDEX(CONFIG!$D$4:$D$63,MATCH($M211,CONFIG!$A$4:$A$63,0)),3)))</f>
        <v/>
      </c>
      <c r="Y211" s="47" t="n"/>
      <c r="Z211" s="24">
        <f>IF($B211="","",IF($Y211&lt;&gt;"",$Y211-$B211,TODAY()-$B211))</f>
        <v/>
      </c>
      <c r="AA211" s="28">
        <f>IF($B211="","",IF(IFERROR(INDEX(CONFIG!$L$4:$L$63,MATCH($V211,CONFIG!$K$4:$K$63,0)),"NO")="SÍ",IF(OR($Y211="",$X211=""),"Resuelta",IF($Y211&gt;$X211,"Resuelta tarde","Resuelta a tiempo")),IF($X211="","Sin clasificar",IF(TODAY()&gt;$X211,"Vencida",IF(TODAY()&gt;=$X211-1,"Por vencer","En plazo")))))</f>
        <v/>
      </c>
      <c r="AB211" s="50" t="n"/>
      <c r="AC211" s="50" t="n"/>
    </row>
    <row r="212" ht="16" customHeight="1">
      <c r="A212" s="28">
        <f>IF($B212="","","N-"&amp;TEXT(ROW()-3,"0000"))</f>
        <v/>
      </c>
      <c r="B212" s="47" t="n"/>
      <c r="C212" s="48" t="n"/>
      <c r="D212" s="48" t="n"/>
      <c r="E212" s="28">
        <f>IF($C212="","",IF($D212="",IF($C212="Interna","Sin guía (interna)","FALTA GUÍA"),IF(COUNTIFS(ENVIOS!$A$4:$A$3003,$D212)=0,"NO EXISTE",IF(COUNTIFS(ENVIOS!$A$4:$A$3003,$D212)&gt;1,"DUPLICADA","OK"))))</f>
        <v/>
      </c>
      <c r="F212" s="28">
        <f>IF($D212="","",IFERROR(INDEX(ENVIOS!$B$4:$B$3003,MATCH($D212,ENVIOS!$A$4:$A$3003,0)),"—"))</f>
        <v/>
      </c>
      <c r="G212" s="23">
        <f>IF($D212="","",IFERROR(INDEX(ENVIOS!$D$4:$D$3003,MATCH($D212,ENVIOS!$A$4:$A$3003,0)),"—"))</f>
        <v/>
      </c>
      <c r="H212" s="23">
        <f>IF($D212="","",IFERROR(INDEX(ENVIOS!$E$4:$E$3003,MATCH($D212,ENVIOS!$A$4:$A$3003,0)),"—"))</f>
        <v/>
      </c>
      <c r="I212" s="23">
        <f>IF($D212="","",IFERROR(INDEX(ENVIOS!$F$4:$F$3003,MATCH($D212,ENVIOS!$A$4:$A$3003,0)),"—"))</f>
        <v/>
      </c>
      <c r="J212" s="23">
        <f>IF($D212="","",IFERROR(INDEX(ENVIOS!$G$4:$G$3003,MATCH($D212,ENVIOS!$A$4:$A$3003,0)),"—"))</f>
        <v/>
      </c>
      <c r="K212" s="28">
        <f>IF($D212="","",IFERROR(INDEX(ENVIOS!$H$4:$H$3003,MATCH($D212,ENVIOS!$A$4:$A$3003,0)),"—"))</f>
        <v/>
      </c>
      <c r="L212" s="49">
        <f>IF($D212="","",IFERROR(INDEX(ENVIOS!$C$4:$C$3003,MATCH($D212,ENVIOS!$A$4:$A$3003,0)),""))</f>
        <v/>
      </c>
      <c r="M212" s="50" t="n"/>
      <c r="N212" s="28">
        <f>IF($M212="","",IFERROR(INDEX(CONFIG!$C$4:$C$63,MATCH($M212,CONFIG!$A$4:$A$63,0)),"Media"))</f>
        <v/>
      </c>
      <c r="O212" s="28">
        <f>IF($M212="","",IF($C212="Interna","NO",IFERROR(INDEX(CONFIG!$E$4:$E$63,MATCH($M212,CONFIG!$A$4:$A$63,0)),"NO")))</f>
        <v/>
      </c>
      <c r="P212" s="50" t="n"/>
      <c r="Q212" s="50" t="n"/>
      <c r="R212" s="28">
        <f>IF($Q212="","",IFERROR(INDEX(CONFIG!$H$4:$H$63,MATCH($Q212,CONFIG!$G$4:$G$63,0)),"Por definir"))</f>
        <v/>
      </c>
      <c r="S212" s="28">
        <f>IF($Q212="","",IFERROR(INDEX(CONFIG!$I$4:$I$63,MATCH($Q212,CONFIG!$G$4:$G$63,0)),"Por definir"))</f>
        <v/>
      </c>
      <c r="T212" s="51" t="n"/>
      <c r="U212" s="52" t="n"/>
      <c r="V212" s="50" t="n"/>
      <c r="W212" s="50" t="n"/>
      <c r="X212" s="49">
        <f>IF(OR($B212="",$M212=""),"",WORKDAY($B212,IFERROR(INDEX(CONFIG!$D$4:$D$63,MATCH($M212,CONFIG!$A$4:$A$63,0)),3)))</f>
        <v/>
      </c>
      <c r="Y212" s="47" t="n"/>
      <c r="Z212" s="24">
        <f>IF($B212="","",IF($Y212&lt;&gt;"",$Y212-$B212,TODAY()-$B212))</f>
        <v/>
      </c>
      <c r="AA212" s="28">
        <f>IF($B212="","",IF(IFERROR(INDEX(CONFIG!$L$4:$L$63,MATCH($V212,CONFIG!$K$4:$K$63,0)),"NO")="SÍ",IF(OR($Y212="",$X212=""),"Resuelta",IF($Y212&gt;$X212,"Resuelta tarde","Resuelta a tiempo")),IF($X212="","Sin clasificar",IF(TODAY()&gt;$X212,"Vencida",IF(TODAY()&gt;=$X212-1,"Por vencer","En plazo")))))</f>
        <v/>
      </c>
      <c r="AB212" s="50" t="n"/>
      <c r="AC212" s="50" t="n"/>
    </row>
    <row r="213" ht="16" customHeight="1">
      <c r="A213" s="28">
        <f>IF($B213="","","N-"&amp;TEXT(ROW()-3,"0000"))</f>
        <v/>
      </c>
      <c r="B213" s="47" t="n"/>
      <c r="C213" s="48" t="n"/>
      <c r="D213" s="48" t="n"/>
      <c r="E213" s="28">
        <f>IF($C213="","",IF($D213="",IF($C213="Interna","Sin guía (interna)","FALTA GUÍA"),IF(COUNTIFS(ENVIOS!$A$4:$A$3003,$D213)=0,"NO EXISTE",IF(COUNTIFS(ENVIOS!$A$4:$A$3003,$D213)&gt;1,"DUPLICADA","OK"))))</f>
        <v/>
      </c>
      <c r="F213" s="28">
        <f>IF($D213="","",IFERROR(INDEX(ENVIOS!$B$4:$B$3003,MATCH($D213,ENVIOS!$A$4:$A$3003,0)),"—"))</f>
        <v/>
      </c>
      <c r="G213" s="23">
        <f>IF($D213="","",IFERROR(INDEX(ENVIOS!$D$4:$D$3003,MATCH($D213,ENVIOS!$A$4:$A$3003,0)),"—"))</f>
        <v/>
      </c>
      <c r="H213" s="23">
        <f>IF($D213="","",IFERROR(INDEX(ENVIOS!$E$4:$E$3003,MATCH($D213,ENVIOS!$A$4:$A$3003,0)),"—"))</f>
        <v/>
      </c>
      <c r="I213" s="23">
        <f>IF($D213="","",IFERROR(INDEX(ENVIOS!$F$4:$F$3003,MATCH($D213,ENVIOS!$A$4:$A$3003,0)),"—"))</f>
        <v/>
      </c>
      <c r="J213" s="23">
        <f>IF($D213="","",IFERROR(INDEX(ENVIOS!$G$4:$G$3003,MATCH($D213,ENVIOS!$A$4:$A$3003,0)),"—"))</f>
        <v/>
      </c>
      <c r="K213" s="28">
        <f>IF($D213="","",IFERROR(INDEX(ENVIOS!$H$4:$H$3003,MATCH($D213,ENVIOS!$A$4:$A$3003,0)),"—"))</f>
        <v/>
      </c>
      <c r="L213" s="49">
        <f>IF($D213="","",IFERROR(INDEX(ENVIOS!$C$4:$C$3003,MATCH($D213,ENVIOS!$A$4:$A$3003,0)),""))</f>
        <v/>
      </c>
      <c r="M213" s="50" t="n"/>
      <c r="N213" s="28">
        <f>IF($M213="","",IFERROR(INDEX(CONFIG!$C$4:$C$63,MATCH($M213,CONFIG!$A$4:$A$63,0)),"Media"))</f>
        <v/>
      </c>
      <c r="O213" s="28">
        <f>IF($M213="","",IF($C213="Interna","NO",IFERROR(INDEX(CONFIG!$E$4:$E$63,MATCH($M213,CONFIG!$A$4:$A$63,0)),"NO")))</f>
        <v/>
      </c>
      <c r="P213" s="50" t="n"/>
      <c r="Q213" s="50" t="n"/>
      <c r="R213" s="28">
        <f>IF($Q213="","",IFERROR(INDEX(CONFIG!$H$4:$H$63,MATCH($Q213,CONFIG!$G$4:$G$63,0)),"Por definir"))</f>
        <v/>
      </c>
      <c r="S213" s="28">
        <f>IF($Q213="","",IFERROR(INDEX(CONFIG!$I$4:$I$63,MATCH($Q213,CONFIG!$G$4:$G$63,0)),"Por definir"))</f>
        <v/>
      </c>
      <c r="T213" s="51" t="n"/>
      <c r="U213" s="52" t="n"/>
      <c r="V213" s="50" t="n"/>
      <c r="W213" s="50" t="n"/>
      <c r="X213" s="49">
        <f>IF(OR($B213="",$M213=""),"",WORKDAY($B213,IFERROR(INDEX(CONFIG!$D$4:$D$63,MATCH($M213,CONFIG!$A$4:$A$63,0)),3)))</f>
        <v/>
      </c>
      <c r="Y213" s="47" t="n"/>
      <c r="Z213" s="24">
        <f>IF($B213="","",IF($Y213&lt;&gt;"",$Y213-$B213,TODAY()-$B213))</f>
        <v/>
      </c>
      <c r="AA213" s="28">
        <f>IF($B213="","",IF(IFERROR(INDEX(CONFIG!$L$4:$L$63,MATCH($V213,CONFIG!$K$4:$K$63,0)),"NO")="SÍ",IF(OR($Y213="",$X213=""),"Resuelta",IF($Y213&gt;$X213,"Resuelta tarde","Resuelta a tiempo")),IF($X213="","Sin clasificar",IF(TODAY()&gt;$X213,"Vencida",IF(TODAY()&gt;=$X213-1,"Por vencer","En plazo")))))</f>
        <v/>
      </c>
      <c r="AB213" s="50" t="n"/>
      <c r="AC213" s="50" t="n"/>
    </row>
    <row r="214" ht="16" customHeight="1">
      <c r="A214" s="28">
        <f>IF($B214="","","N-"&amp;TEXT(ROW()-3,"0000"))</f>
        <v/>
      </c>
      <c r="B214" s="47" t="n"/>
      <c r="C214" s="48" t="n"/>
      <c r="D214" s="48" t="n"/>
      <c r="E214" s="28">
        <f>IF($C214="","",IF($D214="",IF($C214="Interna","Sin guía (interna)","FALTA GUÍA"),IF(COUNTIFS(ENVIOS!$A$4:$A$3003,$D214)=0,"NO EXISTE",IF(COUNTIFS(ENVIOS!$A$4:$A$3003,$D214)&gt;1,"DUPLICADA","OK"))))</f>
        <v/>
      </c>
      <c r="F214" s="28">
        <f>IF($D214="","",IFERROR(INDEX(ENVIOS!$B$4:$B$3003,MATCH($D214,ENVIOS!$A$4:$A$3003,0)),"—"))</f>
        <v/>
      </c>
      <c r="G214" s="23">
        <f>IF($D214="","",IFERROR(INDEX(ENVIOS!$D$4:$D$3003,MATCH($D214,ENVIOS!$A$4:$A$3003,0)),"—"))</f>
        <v/>
      </c>
      <c r="H214" s="23">
        <f>IF($D214="","",IFERROR(INDEX(ENVIOS!$E$4:$E$3003,MATCH($D214,ENVIOS!$A$4:$A$3003,0)),"—"))</f>
        <v/>
      </c>
      <c r="I214" s="23">
        <f>IF($D214="","",IFERROR(INDEX(ENVIOS!$F$4:$F$3003,MATCH($D214,ENVIOS!$A$4:$A$3003,0)),"—"))</f>
        <v/>
      </c>
      <c r="J214" s="23">
        <f>IF($D214="","",IFERROR(INDEX(ENVIOS!$G$4:$G$3003,MATCH($D214,ENVIOS!$A$4:$A$3003,0)),"—"))</f>
        <v/>
      </c>
      <c r="K214" s="28">
        <f>IF($D214="","",IFERROR(INDEX(ENVIOS!$H$4:$H$3003,MATCH($D214,ENVIOS!$A$4:$A$3003,0)),"—"))</f>
        <v/>
      </c>
      <c r="L214" s="49">
        <f>IF($D214="","",IFERROR(INDEX(ENVIOS!$C$4:$C$3003,MATCH($D214,ENVIOS!$A$4:$A$3003,0)),""))</f>
        <v/>
      </c>
      <c r="M214" s="50" t="n"/>
      <c r="N214" s="28">
        <f>IF($M214="","",IFERROR(INDEX(CONFIG!$C$4:$C$63,MATCH($M214,CONFIG!$A$4:$A$63,0)),"Media"))</f>
        <v/>
      </c>
      <c r="O214" s="28">
        <f>IF($M214="","",IF($C214="Interna","NO",IFERROR(INDEX(CONFIG!$E$4:$E$63,MATCH($M214,CONFIG!$A$4:$A$63,0)),"NO")))</f>
        <v/>
      </c>
      <c r="P214" s="50" t="n"/>
      <c r="Q214" s="50" t="n"/>
      <c r="R214" s="28">
        <f>IF($Q214="","",IFERROR(INDEX(CONFIG!$H$4:$H$63,MATCH($Q214,CONFIG!$G$4:$G$63,0)),"Por definir"))</f>
        <v/>
      </c>
      <c r="S214" s="28">
        <f>IF($Q214="","",IFERROR(INDEX(CONFIG!$I$4:$I$63,MATCH($Q214,CONFIG!$G$4:$G$63,0)),"Por definir"))</f>
        <v/>
      </c>
      <c r="T214" s="51" t="n"/>
      <c r="U214" s="52" t="n"/>
      <c r="V214" s="50" t="n"/>
      <c r="W214" s="50" t="n"/>
      <c r="X214" s="49">
        <f>IF(OR($B214="",$M214=""),"",WORKDAY($B214,IFERROR(INDEX(CONFIG!$D$4:$D$63,MATCH($M214,CONFIG!$A$4:$A$63,0)),3)))</f>
        <v/>
      </c>
      <c r="Y214" s="47" t="n"/>
      <c r="Z214" s="24">
        <f>IF($B214="","",IF($Y214&lt;&gt;"",$Y214-$B214,TODAY()-$B214))</f>
        <v/>
      </c>
      <c r="AA214" s="28">
        <f>IF($B214="","",IF(IFERROR(INDEX(CONFIG!$L$4:$L$63,MATCH($V214,CONFIG!$K$4:$K$63,0)),"NO")="SÍ",IF(OR($Y214="",$X214=""),"Resuelta",IF($Y214&gt;$X214,"Resuelta tarde","Resuelta a tiempo")),IF($X214="","Sin clasificar",IF(TODAY()&gt;$X214,"Vencida",IF(TODAY()&gt;=$X214-1,"Por vencer","En plazo")))))</f>
        <v/>
      </c>
      <c r="AB214" s="50" t="n"/>
      <c r="AC214" s="50" t="n"/>
    </row>
    <row r="215" ht="16" customHeight="1">
      <c r="A215" s="28">
        <f>IF($B215="","","N-"&amp;TEXT(ROW()-3,"0000"))</f>
        <v/>
      </c>
      <c r="B215" s="47" t="n"/>
      <c r="C215" s="48" t="n"/>
      <c r="D215" s="48" t="n"/>
      <c r="E215" s="28">
        <f>IF($C215="","",IF($D215="",IF($C215="Interna","Sin guía (interna)","FALTA GUÍA"),IF(COUNTIFS(ENVIOS!$A$4:$A$3003,$D215)=0,"NO EXISTE",IF(COUNTIFS(ENVIOS!$A$4:$A$3003,$D215)&gt;1,"DUPLICADA","OK"))))</f>
        <v/>
      </c>
      <c r="F215" s="28">
        <f>IF($D215="","",IFERROR(INDEX(ENVIOS!$B$4:$B$3003,MATCH($D215,ENVIOS!$A$4:$A$3003,0)),"—"))</f>
        <v/>
      </c>
      <c r="G215" s="23">
        <f>IF($D215="","",IFERROR(INDEX(ENVIOS!$D$4:$D$3003,MATCH($D215,ENVIOS!$A$4:$A$3003,0)),"—"))</f>
        <v/>
      </c>
      <c r="H215" s="23">
        <f>IF($D215="","",IFERROR(INDEX(ENVIOS!$E$4:$E$3003,MATCH($D215,ENVIOS!$A$4:$A$3003,0)),"—"))</f>
        <v/>
      </c>
      <c r="I215" s="23">
        <f>IF($D215="","",IFERROR(INDEX(ENVIOS!$F$4:$F$3003,MATCH($D215,ENVIOS!$A$4:$A$3003,0)),"—"))</f>
        <v/>
      </c>
      <c r="J215" s="23">
        <f>IF($D215="","",IFERROR(INDEX(ENVIOS!$G$4:$G$3003,MATCH($D215,ENVIOS!$A$4:$A$3003,0)),"—"))</f>
        <v/>
      </c>
      <c r="K215" s="28">
        <f>IF($D215="","",IFERROR(INDEX(ENVIOS!$H$4:$H$3003,MATCH($D215,ENVIOS!$A$4:$A$3003,0)),"—"))</f>
        <v/>
      </c>
      <c r="L215" s="49">
        <f>IF($D215="","",IFERROR(INDEX(ENVIOS!$C$4:$C$3003,MATCH($D215,ENVIOS!$A$4:$A$3003,0)),""))</f>
        <v/>
      </c>
      <c r="M215" s="50" t="n"/>
      <c r="N215" s="28">
        <f>IF($M215="","",IFERROR(INDEX(CONFIG!$C$4:$C$63,MATCH($M215,CONFIG!$A$4:$A$63,0)),"Media"))</f>
        <v/>
      </c>
      <c r="O215" s="28">
        <f>IF($M215="","",IF($C215="Interna","NO",IFERROR(INDEX(CONFIG!$E$4:$E$63,MATCH($M215,CONFIG!$A$4:$A$63,0)),"NO")))</f>
        <v/>
      </c>
      <c r="P215" s="50" t="n"/>
      <c r="Q215" s="50" t="n"/>
      <c r="R215" s="28">
        <f>IF($Q215="","",IFERROR(INDEX(CONFIG!$H$4:$H$63,MATCH($Q215,CONFIG!$G$4:$G$63,0)),"Por definir"))</f>
        <v/>
      </c>
      <c r="S215" s="28">
        <f>IF($Q215="","",IFERROR(INDEX(CONFIG!$I$4:$I$63,MATCH($Q215,CONFIG!$G$4:$G$63,0)),"Por definir"))</f>
        <v/>
      </c>
      <c r="T215" s="51" t="n"/>
      <c r="U215" s="52" t="n"/>
      <c r="V215" s="50" t="n"/>
      <c r="W215" s="50" t="n"/>
      <c r="X215" s="49">
        <f>IF(OR($B215="",$M215=""),"",WORKDAY($B215,IFERROR(INDEX(CONFIG!$D$4:$D$63,MATCH($M215,CONFIG!$A$4:$A$63,0)),3)))</f>
        <v/>
      </c>
      <c r="Y215" s="47" t="n"/>
      <c r="Z215" s="24">
        <f>IF($B215="","",IF($Y215&lt;&gt;"",$Y215-$B215,TODAY()-$B215))</f>
        <v/>
      </c>
      <c r="AA215" s="28">
        <f>IF($B215="","",IF(IFERROR(INDEX(CONFIG!$L$4:$L$63,MATCH($V215,CONFIG!$K$4:$K$63,0)),"NO")="SÍ",IF(OR($Y215="",$X215=""),"Resuelta",IF($Y215&gt;$X215,"Resuelta tarde","Resuelta a tiempo")),IF($X215="","Sin clasificar",IF(TODAY()&gt;$X215,"Vencida",IF(TODAY()&gt;=$X215-1,"Por vencer","En plazo")))))</f>
        <v/>
      </c>
      <c r="AB215" s="50" t="n"/>
      <c r="AC215" s="50" t="n"/>
    </row>
    <row r="216" ht="16" customHeight="1">
      <c r="A216" s="28">
        <f>IF($B216="","","N-"&amp;TEXT(ROW()-3,"0000"))</f>
        <v/>
      </c>
      <c r="B216" s="47" t="n"/>
      <c r="C216" s="48" t="n"/>
      <c r="D216" s="48" t="n"/>
      <c r="E216" s="28">
        <f>IF($C216="","",IF($D216="",IF($C216="Interna","Sin guía (interna)","FALTA GUÍA"),IF(COUNTIFS(ENVIOS!$A$4:$A$3003,$D216)=0,"NO EXISTE",IF(COUNTIFS(ENVIOS!$A$4:$A$3003,$D216)&gt;1,"DUPLICADA","OK"))))</f>
        <v/>
      </c>
      <c r="F216" s="28">
        <f>IF($D216="","",IFERROR(INDEX(ENVIOS!$B$4:$B$3003,MATCH($D216,ENVIOS!$A$4:$A$3003,0)),"—"))</f>
        <v/>
      </c>
      <c r="G216" s="23">
        <f>IF($D216="","",IFERROR(INDEX(ENVIOS!$D$4:$D$3003,MATCH($D216,ENVIOS!$A$4:$A$3003,0)),"—"))</f>
        <v/>
      </c>
      <c r="H216" s="23">
        <f>IF($D216="","",IFERROR(INDEX(ENVIOS!$E$4:$E$3003,MATCH($D216,ENVIOS!$A$4:$A$3003,0)),"—"))</f>
        <v/>
      </c>
      <c r="I216" s="23">
        <f>IF($D216="","",IFERROR(INDEX(ENVIOS!$F$4:$F$3003,MATCH($D216,ENVIOS!$A$4:$A$3003,0)),"—"))</f>
        <v/>
      </c>
      <c r="J216" s="23">
        <f>IF($D216="","",IFERROR(INDEX(ENVIOS!$G$4:$G$3003,MATCH($D216,ENVIOS!$A$4:$A$3003,0)),"—"))</f>
        <v/>
      </c>
      <c r="K216" s="28">
        <f>IF($D216="","",IFERROR(INDEX(ENVIOS!$H$4:$H$3003,MATCH($D216,ENVIOS!$A$4:$A$3003,0)),"—"))</f>
        <v/>
      </c>
      <c r="L216" s="49">
        <f>IF($D216="","",IFERROR(INDEX(ENVIOS!$C$4:$C$3003,MATCH($D216,ENVIOS!$A$4:$A$3003,0)),""))</f>
        <v/>
      </c>
      <c r="M216" s="50" t="n"/>
      <c r="N216" s="28">
        <f>IF($M216="","",IFERROR(INDEX(CONFIG!$C$4:$C$63,MATCH($M216,CONFIG!$A$4:$A$63,0)),"Media"))</f>
        <v/>
      </c>
      <c r="O216" s="28">
        <f>IF($M216="","",IF($C216="Interna","NO",IFERROR(INDEX(CONFIG!$E$4:$E$63,MATCH($M216,CONFIG!$A$4:$A$63,0)),"NO")))</f>
        <v/>
      </c>
      <c r="P216" s="50" t="n"/>
      <c r="Q216" s="50" t="n"/>
      <c r="R216" s="28">
        <f>IF($Q216="","",IFERROR(INDEX(CONFIG!$H$4:$H$63,MATCH($Q216,CONFIG!$G$4:$G$63,0)),"Por definir"))</f>
        <v/>
      </c>
      <c r="S216" s="28">
        <f>IF($Q216="","",IFERROR(INDEX(CONFIG!$I$4:$I$63,MATCH($Q216,CONFIG!$G$4:$G$63,0)),"Por definir"))</f>
        <v/>
      </c>
      <c r="T216" s="51" t="n"/>
      <c r="U216" s="52" t="n"/>
      <c r="V216" s="50" t="n"/>
      <c r="W216" s="50" t="n"/>
      <c r="X216" s="49">
        <f>IF(OR($B216="",$M216=""),"",WORKDAY($B216,IFERROR(INDEX(CONFIG!$D$4:$D$63,MATCH($M216,CONFIG!$A$4:$A$63,0)),3)))</f>
        <v/>
      </c>
      <c r="Y216" s="47" t="n"/>
      <c r="Z216" s="24">
        <f>IF($B216="","",IF($Y216&lt;&gt;"",$Y216-$B216,TODAY()-$B216))</f>
        <v/>
      </c>
      <c r="AA216" s="28">
        <f>IF($B216="","",IF(IFERROR(INDEX(CONFIG!$L$4:$L$63,MATCH($V216,CONFIG!$K$4:$K$63,0)),"NO")="SÍ",IF(OR($Y216="",$X216=""),"Resuelta",IF($Y216&gt;$X216,"Resuelta tarde","Resuelta a tiempo")),IF($X216="","Sin clasificar",IF(TODAY()&gt;$X216,"Vencida",IF(TODAY()&gt;=$X216-1,"Por vencer","En plazo")))))</f>
        <v/>
      </c>
      <c r="AB216" s="50" t="n"/>
      <c r="AC216" s="50" t="n"/>
    </row>
    <row r="217" ht="16" customHeight="1">
      <c r="A217" s="28">
        <f>IF($B217="","","N-"&amp;TEXT(ROW()-3,"0000"))</f>
        <v/>
      </c>
      <c r="B217" s="47" t="n"/>
      <c r="C217" s="48" t="n"/>
      <c r="D217" s="48" t="n"/>
      <c r="E217" s="28">
        <f>IF($C217="","",IF($D217="",IF($C217="Interna","Sin guía (interna)","FALTA GUÍA"),IF(COUNTIFS(ENVIOS!$A$4:$A$3003,$D217)=0,"NO EXISTE",IF(COUNTIFS(ENVIOS!$A$4:$A$3003,$D217)&gt;1,"DUPLICADA","OK"))))</f>
        <v/>
      </c>
      <c r="F217" s="28">
        <f>IF($D217="","",IFERROR(INDEX(ENVIOS!$B$4:$B$3003,MATCH($D217,ENVIOS!$A$4:$A$3003,0)),"—"))</f>
        <v/>
      </c>
      <c r="G217" s="23">
        <f>IF($D217="","",IFERROR(INDEX(ENVIOS!$D$4:$D$3003,MATCH($D217,ENVIOS!$A$4:$A$3003,0)),"—"))</f>
        <v/>
      </c>
      <c r="H217" s="23">
        <f>IF($D217="","",IFERROR(INDEX(ENVIOS!$E$4:$E$3003,MATCH($D217,ENVIOS!$A$4:$A$3003,0)),"—"))</f>
        <v/>
      </c>
      <c r="I217" s="23">
        <f>IF($D217="","",IFERROR(INDEX(ENVIOS!$F$4:$F$3003,MATCH($D217,ENVIOS!$A$4:$A$3003,0)),"—"))</f>
        <v/>
      </c>
      <c r="J217" s="23">
        <f>IF($D217="","",IFERROR(INDEX(ENVIOS!$G$4:$G$3003,MATCH($D217,ENVIOS!$A$4:$A$3003,0)),"—"))</f>
        <v/>
      </c>
      <c r="K217" s="28">
        <f>IF($D217="","",IFERROR(INDEX(ENVIOS!$H$4:$H$3003,MATCH($D217,ENVIOS!$A$4:$A$3003,0)),"—"))</f>
        <v/>
      </c>
      <c r="L217" s="49">
        <f>IF($D217="","",IFERROR(INDEX(ENVIOS!$C$4:$C$3003,MATCH($D217,ENVIOS!$A$4:$A$3003,0)),""))</f>
        <v/>
      </c>
      <c r="M217" s="50" t="n"/>
      <c r="N217" s="28">
        <f>IF($M217="","",IFERROR(INDEX(CONFIG!$C$4:$C$63,MATCH($M217,CONFIG!$A$4:$A$63,0)),"Media"))</f>
        <v/>
      </c>
      <c r="O217" s="28">
        <f>IF($M217="","",IF($C217="Interna","NO",IFERROR(INDEX(CONFIG!$E$4:$E$63,MATCH($M217,CONFIG!$A$4:$A$63,0)),"NO")))</f>
        <v/>
      </c>
      <c r="P217" s="50" t="n"/>
      <c r="Q217" s="50" t="n"/>
      <c r="R217" s="28">
        <f>IF($Q217="","",IFERROR(INDEX(CONFIG!$H$4:$H$63,MATCH($Q217,CONFIG!$G$4:$G$63,0)),"Por definir"))</f>
        <v/>
      </c>
      <c r="S217" s="28">
        <f>IF($Q217="","",IFERROR(INDEX(CONFIG!$I$4:$I$63,MATCH($Q217,CONFIG!$G$4:$G$63,0)),"Por definir"))</f>
        <v/>
      </c>
      <c r="T217" s="51" t="n"/>
      <c r="U217" s="52" t="n"/>
      <c r="V217" s="50" t="n"/>
      <c r="W217" s="50" t="n"/>
      <c r="X217" s="49">
        <f>IF(OR($B217="",$M217=""),"",WORKDAY($B217,IFERROR(INDEX(CONFIG!$D$4:$D$63,MATCH($M217,CONFIG!$A$4:$A$63,0)),3)))</f>
        <v/>
      </c>
      <c r="Y217" s="47" t="n"/>
      <c r="Z217" s="24">
        <f>IF($B217="","",IF($Y217&lt;&gt;"",$Y217-$B217,TODAY()-$B217))</f>
        <v/>
      </c>
      <c r="AA217" s="28">
        <f>IF($B217="","",IF(IFERROR(INDEX(CONFIG!$L$4:$L$63,MATCH($V217,CONFIG!$K$4:$K$63,0)),"NO")="SÍ",IF(OR($Y217="",$X217=""),"Resuelta",IF($Y217&gt;$X217,"Resuelta tarde","Resuelta a tiempo")),IF($X217="","Sin clasificar",IF(TODAY()&gt;$X217,"Vencida",IF(TODAY()&gt;=$X217-1,"Por vencer","En plazo")))))</f>
        <v/>
      </c>
      <c r="AB217" s="50" t="n"/>
      <c r="AC217" s="50" t="n"/>
    </row>
    <row r="218" ht="16" customHeight="1">
      <c r="A218" s="28">
        <f>IF($B218="","","N-"&amp;TEXT(ROW()-3,"0000"))</f>
        <v/>
      </c>
      <c r="B218" s="47" t="n"/>
      <c r="C218" s="48" t="n"/>
      <c r="D218" s="48" t="n"/>
      <c r="E218" s="28">
        <f>IF($C218="","",IF($D218="",IF($C218="Interna","Sin guía (interna)","FALTA GUÍA"),IF(COUNTIFS(ENVIOS!$A$4:$A$3003,$D218)=0,"NO EXISTE",IF(COUNTIFS(ENVIOS!$A$4:$A$3003,$D218)&gt;1,"DUPLICADA","OK"))))</f>
        <v/>
      </c>
      <c r="F218" s="28">
        <f>IF($D218="","",IFERROR(INDEX(ENVIOS!$B$4:$B$3003,MATCH($D218,ENVIOS!$A$4:$A$3003,0)),"—"))</f>
        <v/>
      </c>
      <c r="G218" s="23">
        <f>IF($D218="","",IFERROR(INDEX(ENVIOS!$D$4:$D$3003,MATCH($D218,ENVIOS!$A$4:$A$3003,0)),"—"))</f>
        <v/>
      </c>
      <c r="H218" s="23">
        <f>IF($D218="","",IFERROR(INDEX(ENVIOS!$E$4:$E$3003,MATCH($D218,ENVIOS!$A$4:$A$3003,0)),"—"))</f>
        <v/>
      </c>
      <c r="I218" s="23">
        <f>IF($D218="","",IFERROR(INDEX(ENVIOS!$F$4:$F$3003,MATCH($D218,ENVIOS!$A$4:$A$3003,0)),"—"))</f>
        <v/>
      </c>
      <c r="J218" s="23">
        <f>IF($D218="","",IFERROR(INDEX(ENVIOS!$G$4:$G$3003,MATCH($D218,ENVIOS!$A$4:$A$3003,0)),"—"))</f>
        <v/>
      </c>
      <c r="K218" s="28">
        <f>IF($D218="","",IFERROR(INDEX(ENVIOS!$H$4:$H$3003,MATCH($D218,ENVIOS!$A$4:$A$3003,0)),"—"))</f>
        <v/>
      </c>
      <c r="L218" s="49">
        <f>IF($D218="","",IFERROR(INDEX(ENVIOS!$C$4:$C$3003,MATCH($D218,ENVIOS!$A$4:$A$3003,0)),""))</f>
        <v/>
      </c>
      <c r="M218" s="50" t="n"/>
      <c r="N218" s="28">
        <f>IF($M218="","",IFERROR(INDEX(CONFIG!$C$4:$C$63,MATCH($M218,CONFIG!$A$4:$A$63,0)),"Media"))</f>
        <v/>
      </c>
      <c r="O218" s="28">
        <f>IF($M218="","",IF($C218="Interna","NO",IFERROR(INDEX(CONFIG!$E$4:$E$63,MATCH($M218,CONFIG!$A$4:$A$63,0)),"NO")))</f>
        <v/>
      </c>
      <c r="P218" s="50" t="n"/>
      <c r="Q218" s="50" t="n"/>
      <c r="R218" s="28">
        <f>IF($Q218="","",IFERROR(INDEX(CONFIG!$H$4:$H$63,MATCH($Q218,CONFIG!$G$4:$G$63,0)),"Por definir"))</f>
        <v/>
      </c>
      <c r="S218" s="28">
        <f>IF($Q218="","",IFERROR(INDEX(CONFIG!$I$4:$I$63,MATCH($Q218,CONFIG!$G$4:$G$63,0)),"Por definir"))</f>
        <v/>
      </c>
      <c r="T218" s="51" t="n"/>
      <c r="U218" s="52" t="n"/>
      <c r="V218" s="50" t="n"/>
      <c r="W218" s="50" t="n"/>
      <c r="X218" s="49">
        <f>IF(OR($B218="",$M218=""),"",WORKDAY($B218,IFERROR(INDEX(CONFIG!$D$4:$D$63,MATCH($M218,CONFIG!$A$4:$A$63,0)),3)))</f>
        <v/>
      </c>
      <c r="Y218" s="47" t="n"/>
      <c r="Z218" s="24">
        <f>IF($B218="","",IF($Y218&lt;&gt;"",$Y218-$B218,TODAY()-$B218))</f>
        <v/>
      </c>
      <c r="AA218" s="28">
        <f>IF($B218="","",IF(IFERROR(INDEX(CONFIG!$L$4:$L$63,MATCH($V218,CONFIG!$K$4:$K$63,0)),"NO")="SÍ",IF(OR($Y218="",$X218=""),"Resuelta",IF($Y218&gt;$X218,"Resuelta tarde","Resuelta a tiempo")),IF($X218="","Sin clasificar",IF(TODAY()&gt;$X218,"Vencida",IF(TODAY()&gt;=$X218-1,"Por vencer","En plazo")))))</f>
        <v/>
      </c>
      <c r="AB218" s="50" t="n"/>
      <c r="AC218" s="50" t="n"/>
    </row>
    <row r="219" ht="16" customHeight="1">
      <c r="A219" s="28">
        <f>IF($B219="","","N-"&amp;TEXT(ROW()-3,"0000"))</f>
        <v/>
      </c>
      <c r="B219" s="47" t="n"/>
      <c r="C219" s="48" t="n"/>
      <c r="D219" s="48" t="n"/>
      <c r="E219" s="28">
        <f>IF($C219="","",IF($D219="",IF($C219="Interna","Sin guía (interna)","FALTA GUÍA"),IF(COUNTIFS(ENVIOS!$A$4:$A$3003,$D219)=0,"NO EXISTE",IF(COUNTIFS(ENVIOS!$A$4:$A$3003,$D219)&gt;1,"DUPLICADA","OK"))))</f>
        <v/>
      </c>
      <c r="F219" s="28">
        <f>IF($D219="","",IFERROR(INDEX(ENVIOS!$B$4:$B$3003,MATCH($D219,ENVIOS!$A$4:$A$3003,0)),"—"))</f>
        <v/>
      </c>
      <c r="G219" s="23">
        <f>IF($D219="","",IFERROR(INDEX(ENVIOS!$D$4:$D$3003,MATCH($D219,ENVIOS!$A$4:$A$3003,0)),"—"))</f>
        <v/>
      </c>
      <c r="H219" s="23">
        <f>IF($D219="","",IFERROR(INDEX(ENVIOS!$E$4:$E$3003,MATCH($D219,ENVIOS!$A$4:$A$3003,0)),"—"))</f>
        <v/>
      </c>
      <c r="I219" s="23">
        <f>IF($D219="","",IFERROR(INDEX(ENVIOS!$F$4:$F$3003,MATCH($D219,ENVIOS!$A$4:$A$3003,0)),"—"))</f>
        <v/>
      </c>
      <c r="J219" s="23">
        <f>IF($D219="","",IFERROR(INDEX(ENVIOS!$G$4:$G$3003,MATCH($D219,ENVIOS!$A$4:$A$3003,0)),"—"))</f>
        <v/>
      </c>
      <c r="K219" s="28">
        <f>IF($D219="","",IFERROR(INDEX(ENVIOS!$H$4:$H$3003,MATCH($D219,ENVIOS!$A$4:$A$3003,0)),"—"))</f>
        <v/>
      </c>
      <c r="L219" s="49">
        <f>IF($D219="","",IFERROR(INDEX(ENVIOS!$C$4:$C$3003,MATCH($D219,ENVIOS!$A$4:$A$3003,0)),""))</f>
        <v/>
      </c>
      <c r="M219" s="50" t="n"/>
      <c r="N219" s="28">
        <f>IF($M219="","",IFERROR(INDEX(CONFIG!$C$4:$C$63,MATCH($M219,CONFIG!$A$4:$A$63,0)),"Media"))</f>
        <v/>
      </c>
      <c r="O219" s="28">
        <f>IF($M219="","",IF($C219="Interna","NO",IFERROR(INDEX(CONFIG!$E$4:$E$63,MATCH($M219,CONFIG!$A$4:$A$63,0)),"NO")))</f>
        <v/>
      </c>
      <c r="P219" s="50" t="n"/>
      <c r="Q219" s="50" t="n"/>
      <c r="R219" s="28">
        <f>IF($Q219="","",IFERROR(INDEX(CONFIG!$H$4:$H$63,MATCH($Q219,CONFIG!$G$4:$G$63,0)),"Por definir"))</f>
        <v/>
      </c>
      <c r="S219" s="28">
        <f>IF($Q219="","",IFERROR(INDEX(CONFIG!$I$4:$I$63,MATCH($Q219,CONFIG!$G$4:$G$63,0)),"Por definir"))</f>
        <v/>
      </c>
      <c r="T219" s="51" t="n"/>
      <c r="U219" s="52" t="n"/>
      <c r="V219" s="50" t="n"/>
      <c r="W219" s="50" t="n"/>
      <c r="X219" s="49">
        <f>IF(OR($B219="",$M219=""),"",WORKDAY($B219,IFERROR(INDEX(CONFIG!$D$4:$D$63,MATCH($M219,CONFIG!$A$4:$A$63,0)),3)))</f>
        <v/>
      </c>
      <c r="Y219" s="47" t="n"/>
      <c r="Z219" s="24">
        <f>IF($B219="","",IF($Y219&lt;&gt;"",$Y219-$B219,TODAY()-$B219))</f>
        <v/>
      </c>
      <c r="AA219" s="28">
        <f>IF($B219="","",IF(IFERROR(INDEX(CONFIG!$L$4:$L$63,MATCH($V219,CONFIG!$K$4:$K$63,0)),"NO")="SÍ",IF(OR($Y219="",$X219=""),"Resuelta",IF($Y219&gt;$X219,"Resuelta tarde","Resuelta a tiempo")),IF($X219="","Sin clasificar",IF(TODAY()&gt;$X219,"Vencida",IF(TODAY()&gt;=$X219-1,"Por vencer","En plazo")))))</f>
        <v/>
      </c>
      <c r="AB219" s="50" t="n"/>
      <c r="AC219" s="50" t="n"/>
    </row>
    <row r="220" ht="16" customHeight="1">
      <c r="A220" s="28">
        <f>IF($B220="","","N-"&amp;TEXT(ROW()-3,"0000"))</f>
        <v/>
      </c>
      <c r="B220" s="47" t="n"/>
      <c r="C220" s="48" t="n"/>
      <c r="D220" s="48" t="n"/>
      <c r="E220" s="28">
        <f>IF($C220="","",IF($D220="",IF($C220="Interna","Sin guía (interna)","FALTA GUÍA"),IF(COUNTIFS(ENVIOS!$A$4:$A$3003,$D220)=0,"NO EXISTE",IF(COUNTIFS(ENVIOS!$A$4:$A$3003,$D220)&gt;1,"DUPLICADA","OK"))))</f>
        <v/>
      </c>
      <c r="F220" s="28">
        <f>IF($D220="","",IFERROR(INDEX(ENVIOS!$B$4:$B$3003,MATCH($D220,ENVIOS!$A$4:$A$3003,0)),"—"))</f>
        <v/>
      </c>
      <c r="G220" s="23">
        <f>IF($D220="","",IFERROR(INDEX(ENVIOS!$D$4:$D$3003,MATCH($D220,ENVIOS!$A$4:$A$3003,0)),"—"))</f>
        <v/>
      </c>
      <c r="H220" s="23">
        <f>IF($D220="","",IFERROR(INDEX(ENVIOS!$E$4:$E$3003,MATCH($D220,ENVIOS!$A$4:$A$3003,0)),"—"))</f>
        <v/>
      </c>
      <c r="I220" s="23">
        <f>IF($D220="","",IFERROR(INDEX(ENVIOS!$F$4:$F$3003,MATCH($D220,ENVIOS!$A$4:$A$3003,0)),"—"))</f>
        <v/>
      </c>
      <c r="J220" s="23">
        <f>IF($D220="","",IFERROR(INDEX(ENVIOS!$G$4:$G$3003,MATCH($D220,ENVIOS!$A$4:$A$3003,0)),"—"))</f>
        <v/>
      </c>
      <c r="K220" s="28">
        <f>IF($D220="","",IFERROR(INDEX(ENVIOS!$H$4:$H$3003,MATCH($D220,ENVIOS!$A$4:$A$3003,0)),"—"))</f>
        <v/>
      </c>
      <c r="L220" s="49">
        <f>IF($D220="","",IFERROR(INDEX(ENVIOS!$C$4:$C$3003,MATCH($D220,ENVIOS!$A$4:$A$3003,0)),""))</f>
        <v/>
      </c>
      <c r="M220" s="50" t="n"/>
      <c r="N220" s="28">
        <f>IF($M220="","",IFERROR(INDEX(CONFIG!$C$4:$C$63,MATCH($M220,CONFIG!$A$4:$A$63,0)),"Media"))</f>
        <v/>
      </c>
      <c r="O220" s="28">
        <f>IF($M220="","",IF($C220="Interna","NO",IFERROR(INDEX(CONFIG!$E$4:$E$63,MATCH($M220,CONFIG!$A$4:$A$63,0)),"NO")))</f>
        <v/>
      </c>
      <c r="P220" s="50" t="n"/>
      <c r="Q220" s="50" t="n"/>
      <c r="R220" s="28">
        <f>IF($Q220="","",IFERROR(INDEX(CONFIG!$H$4:$H$63,MATCH($Q220,CONFIG!$G$4:$G$63,0)),"Por definir"))</f>
        <v/>
      </c>
      <c r="S220" s="28">
        <f>IF($Q220="","",IFERROR(INDEX(CONFIG!$I$4:$I$63,MATCH($Q220,CONFIG!$G$4:$G$63,0)),"Por definir"))</f>
        <v/>
      </c>
      <c r="T220" s="51" t="n"/>
      <c r="U220" s="52" t="n"/>
      <c r="V220" s="50" t="n"/>
      <c r="W220" s="50" t="n"/>
      <c r="X220" s="49">
        <f>IF(OR($B220="",$M220=""),"",WORKDAY($B220,IFERROR(INDEX(CONFIG!$D$4:$D$63,MATCH($M220,CONFIG!$A$4:$A$63,0)),3)))</f>
        <v/>
      </c>
      <c r="Y220" s="47" t="n"/>
      <c r="Z220" s="24">
        <f>IF($B220="","",IF($Y220&lt;&gt;"",$Y220-$B220,TODAY()-$B220))</f>
        <v/>
      </c>
      <c r="AA220" s="28">
        <f>IF($B220="","",IF(IFERROR(INDEX(CONFIG!$L$4:$L$63,MATCH($V220,CONFIG!$K$4:$K$63,0)),"NO")="SÍ",IF(OR($Y220="",$X220=""),"Resuelta",IF($Y220&gt;$X220,"Resuelta tarde","Resuelta a tiempo")),IF($X220="","Sin clasificar",IF(TODAY()&gt;$X220,"Vencida",IF(TODAY()&gt;=$X220-1,"Por vencer","En plazo")))))</f>
        <v/>
      </c>
      <c r="AB220" s="50" t="n"/>
      <c r="AC220" s="50" t="n"/>
    </row>
    <row r="221" ht="16" customHeight="1">
      <c r="A221" s="28">
        <f>IF($B221="","","N-"&amp;TEXT(ROW()-3,"0000"))</f>
        <v/>
      </c>
      <c r="B221" s="47" t="n"/>
      <c r="C221" s="48" t="n"/>
      <c r="D221" s="48" t="n"/>
      <c r="E221" s="28">
        <f>IF($C221="","",IF($D221="",IF($C221="Interna","Sin guía (interna)","FALTA GUÍA"),IF(COUNTIFS(ENVIOS!$A$4:$A$3003,$D221)=0,"NO EXISTE",IF(COUNTIFS(ENVIOS!$A$4:$A$3003,$D221)&gt;1,"DUPLICADA","OK"))))</f>
        <v/>
      </c>
      <c r="F221" s="28">
        <f>IF($D221="","",IFERROR(INDEX(ENVIOS!$B$4:$B$3003,MATCH($D221,ENVIOS!$A$4:$A$3003,0)),"—"))</f>
        <v/>
      </c>
      <c r="G221" s="23">
        <f>IF($D221="","",IFERROR(INDEX(ENVIOS!$D$4:$D$3003,MATCH($D221,ENVIOS!$A$4:$A$3003,0)),"—"))</f>
        <v/>
      </c>
      <c r="H221" s="23">
        <f>IF($D221="","",IFERROR(INDEX(ENVIOS!$E$4:$E$3003,MATCH($D221,ENVIOS!$A$4:$A$3003,0)),"—"))</f>
        <v/>
      </c>
      <c r="I221" s="23">
        <f>IF($D221="","",IFERROR(INDEX(ENVIOS!$F$4:$F$3003,MATCH($D221,ENVIOS!$A$4:$A$3003,0)),"—"))</f>
        <v/>
      </c>
      <c r="J221" s="23">
        <f>IF($D221="","",IFERROR(INDEX(ENVIOS!$G$4:$G$3003,MATCH($D221,ENVIOS!$A$4:$A$3003,0)),"—"))</f>
        <v/>
      </c>
      <c r="K221" s="28">
        <f>IF($D221="","",IFERROR(INDEX(ENVIOS!$H$4:$H$3003,MATCH($D221,ENVIOS!$A$4:$A$3003,0)),"—"))</f>
        <v/>
      </c>
      <c r="L221" s="49">
        <f>IF($D221="","",IFERROR(INDEX(ENVIOS!$C$4:$C$3003,MATCH($D221,ENVIOS!$A$4:$A$3003,0)),""))</f>
        <v/>
      </c>
      <c r="M221" s="50" t="n"/>
      <c r="N221" s="28">
        <f>IF($M221="","",IFERROR(INDEX(CONFIG!$C$4:$C$63,MATCH($M221,CONFIG!$A$4:$A$63,0)),"Media"))</f>
        <v/>
      </c>
      <c r="O221" s="28">
        <f>IF($M221="","",IF($C221="Interna","NO",IFERROR(INDEX(CONFIG!$E$4:$E$63,MATCH($M221,CONFIG!$A$4:$A$63,0)),"NO")))</f>
        <v/>
      </c>
      <c r="P221" s="50" t="n"/>
      <c r="Q221" s="50" t="n"/>
      <c r="R221" s="28">
        <f>IF($Q221="","",IFERROR(INDEX(CONFIG!$H$4:$H$63,MATCH($Q221,CONFIG!$G$4:$G$63,0)),"Por definir"))</f>
        <v/>
      </c>
      <c r="S221" s="28">
        <f>IF($Q221="","",IFERROR(INDEX(CONFIG!$I$4:$I$63,MATCH($Q221,CONFIG!$G$4:$G$63,0)),"Por definir"))</f>
        <v/>
      </c>
      <c r="T221" s="51" t="n"/>
      <c r="U221" s="52" t="n"/>
      <c r="V221" s="50" t="n"/>
      <c r="W221" s="50" t="n"/>
      <c r="X221" s="49">
        <f>IF(OR($B221="",$M221=""),"",WORKDAY($B221,IFERROR(INDEX(CONFIG!$D$4:$D$63,MATCH($M221,CONFIG!$A$4:$A$63,0)),3)))</f>
        <v/>
      </c>
      <c r="Y221" s="47" t="n"/>
      <c r="Z221" s="24">
        <f>IF($B221="","",IF($Y221&lt;&gt;"",$Y221-$B221,TODAY()-$B221))</f>
        <v/>
      </c>
      <c r="AA221" s="28">
        <f>IF($B221="","",IF(IFERROR(INDEX(CONFIG!$L$4:$L$63,MATCH($V221,CONFIG!$K$4:$K$63,0)),"NO")="SÍ",IF(OR($Y221="",$X221=""),"Resuelta",IF($Y221&gt;$X221,"Resuelta tarde","Resuelta a tiempo")),IF($X221="","Sin clasificar",IF(TODAY()&gt;$X221,"Vencida",IF(TODAY()&gt;=$X221-1,"Por vencer","En plazo")))))</f>
        <v/>
      </c>
      <c r="AB221" s="50" t="n"/>
      <c r="AC221" s="50" t="n"/>
    </row>
    <row r="222" ht="16" customHeight="1">
      <c r="A222" s="28">
        <f>IF($B222="","","N-"&amp;TEXT(ROW()-3,"0000"))</f>
        <v/>
      </c>
      <c r="B222" s="47" t="n"/>
      <c r="C222" s="48" t="n"/>
      <c r="D222" s="48" t="n"/>
      <c r="E222" s="28">
        <f>IF($C222="","",IF($D222="",IF($C222="Interna","Sin guía (interna)","FALTA GUÍA"),IF(COUNTIFS(ENVIOS!$A$4:$A$3003,$D222)=0,"NO EXISTE",IF(COUNTIFS(ENVIOS!$A$4:$A$3003,$D222)&gt;1,"DUPLICADA","OK"))))</f>
        <v/>
      </c>
      <c r="F222" s="28">
        <f>IF($D222="","",IFERROR(INDEX(ENVIOS!$B$4:$B$3003,MATCH($D222,ENVIOS!$A$4:$A$3003,0)),"—"))</f>
        <v/>
      </c>
      <c r="G222" s="23">
        <f>IF($D222="","",IFERROR(INDEX(ENVIOS!$D$4:$D$3003,MATCH($D222,ENVIOS!$A$4:$A$3003,0)),"—"))</f>
        <v/>
      </c>
      <c r="H222" s="23">
        <f>IF($D222="","",IFERROR(INDEX(ENVIOS!$E$4:$E$3003,MATCH($D222,ENVIOS!$A$4:$A$3003,0)),"—"))</f>
        <v/>
      </c>
      <c r="I222" s="23">
        <f>IF($D222="","",IFERROR(INDEX(ENVIOS!$F$4:$F$3003,MATCH($D222,ENVIOS!$A$4:$A$3003,0)),"—"))</f>
        <v/>
      </c>
      <c r="J222" s="23">
        <f>IF($D222="","",IFERROR(INDEX(ENVIOS!$G$4:$G$3003,MATCH($D222,ENVIOS!$A$4:$A$3003,0)),"—"))</f>
        <v/>
      </c>
      <c r="K222" s="28">
        <f>IF($D222="","",IFERROR(INDEX(ENVIOS!$H$4:$H$3003,MATCH($D222,ENVIOS!$A$4:$A$3003,0)),"—"))</f>
        <v/>
      </c>
      <c r="L222" s="49">
        <f>IF($D222="","",IFERROR(INDEX(ENVIOS!$C$4:$C$3003,MATCH($D222,ENVIOS!$A$4:$A$3003,0)),""))</f>
        <v/>
      </c>
      <c r="M222" s="50" t="n"/>
      <c r="N222" s="28">
        <f>IF($M222="","",IFERROR(INDEX(CONFIG!$C$4:$C$63,MATCH($M222,CONFIG!$A$4:$A$63,0)),"Media"))</f>
        <v/>
      </c>
      <c r="O222" s="28">
        <f>IF($M222="","",IF($C222="Interna","NO",IFERROR(INDEX(CONFIG!$E$4:$E$63,MATCH($M222,CONFIG!$A$4:$A$63,0)),"NO")))</f>
        <v/>
      </c>
      <c r="P222" s="50" t="n"/>
      <c r="Q222" s="50" t="n"/>
      <c r="R222" s="28">
        <f>IF($Q222="","",IFERROR(INDEX(CONFIG!$H$4:$H$63,MATCH($Q222,CONFIG!$G$4:$G$63,0)),"Por definir"))</f>
        <v/>
      </c>
      <c r="S222" s="28">
        <f>IF($Q222="","",IFERROR(INDEX(CONFIG!$I$4:$I$63,MATCH($Q222,CONFIG!$G$4:$G$63,0)),"Por definir"))</f>
        <v/>
      </c>
      <c r="T222" s="51" t="n"/>
      <c r="U222" s="52" t="n"/>
      <c r="V222" s="50" t="n"/>
      <c r="W222" s="50" t="n"/>
      <c r="X222" s="49">
        <f>IF(OR($B222="",$M222=""),"",WORKDAY($B222,IFERROR(INDEX(CONFIG!$D$4:$D$63,MATCH($M222,CONFIG!$A$4:$A$63,0)),3)))</f>
        <v/>
      </c>
      <c r="Y222" s="47" t="n"/>
      <c r="Z222" s="24">
        <f>IF($B222="","",IF($Y222&lt;&gt;"",$Y222-$B222,TODAY()-$B222))</f>
        <v/>
      </c>
      <c r="AA222" s="28">
        <f>IF($B222="","",IF(IFERROR(INDEX(CONFIG!$L$4:$L$63,MATCH($V222,CONFIG!$K$4:$K$63,0)),"NO")="SÍ",IF(OR($Y222="",$X222=""),"Resuelta",IF($Y222&gt;$X222,"Resuelta tarde","Resuelta a tiempo")),IF($X222="","Sin clasificar",IF(TODAY()&gt;$X222,"Vencida",IF(TODAY()&gt;=$X222-1,"Por vencer","En plazo")))))</f>
        <v/>
      </c>
      <c r="AB222" s="50" t="n"/>
      <c r="AC222" s="50" t="n"/>
    </row>
    <row r="223" ht="16" customHeight="1">
      <c r="A223" s="28">
        <f>IF($B223="","","N-"&amp;TEXT(ROW()-3,"0000"))</f>
        <v/>
      </c>
      <c r="B223" s="47" t="n"/>
      <c r="C223" s="48" t="n"/>
      <c r="D223" s="48" t="n"/>
      <c r="E223" s="28">
        <f>IF($C223="","",IF($D223="",IF($C223="Interna","Sin guía (interna)","FALTA GUÍA"),IF(COUNTIFS(ENVIOS!$A$4:$A$3003,$D223)=0,"NO EXISTE",IF(COUNTIFS(ENVIOS!$A$4:$A$3003,$D223)&gt;1,"DUPLICADA","OK"))))</f>
        <v/>
      </c>
      <c r="F223" s="28">
        <f>IF($D223="","",IFERROR(INDEX(ENVIOS!$B$4:$B$3003,MATCH($D223,ENVIOS!$A$4:$A$3003,0)),"—"))</f>
        <v/>
      </c>
      <c r="G223" s="23">
        <f>IF($D223="","",IFERROR(INDEX(ENVIOS!$D$4:$D$3003,MATCH($D223,ENVIOS!$A$4:$A$3003,0)),"—"))</f>
        <v/>
      </c>
      <c r="H223" s="23">
        <f>IF($D223="","",IFERROR(INDEX(ENVIOS!$E$4:$E$3003,MATCH($D223,ENVIOS!$A$4:$A$3003,0)),"—"))</f>
        <v/>
      </c>
      <c r="I223" s="23">
        <f>IF($D223="","",IFERROR(INDEX(ENVIOS!$F$4:$F$3003,MATCH($D223,ENVIOS!$A$4:$A$3003,0)),"—"))</f>
        <v/>
      </c>
      <c r="J223" s="23">
        <f>IF($D223="","",IFERROR(INDEX(ENVIOS!$G$4:$G$3003,MATCH($D223,ENVIOS!$A$4:$A$3003,0)),"—"))</f>
        <v/>
      </c>
      <c r="K223" s="28">
        <f>IF($D223="","",IFERROR(INDEX(ENVIOS!$H$4:$H$3003,MATCH($D223,ENVIOS!$A$4:$A$3003,0)),"—"))</f>
        <v/>
      </c>
      <c r="L223" s="49">
        <f>IF($D223="","",IFERROR(INDEX(ENVIOS!$C$4:$C$3003,MATCH($D223,ENVIOS!$A$4:$A$3003,0)),""))</f>
        <v/>
      </c>
      <c r="M223" s="50" t="n"/>
      <c r="N223" s="28">
        <f>IF($M223="","",IFERROR(INDEX(CONFIG!$C$4:$C$63,MATCH($M223,CONFIG!$A$4:$A$63,0)),"Media"))</f>
        <v/>
      </c>
      <c r="O223" s="28">
        <f>IF($M223="","",IF($C223="Interna","NO",IFERROR(INDEX(CONFIG!$E$4:$E$63,MATCH($M223,CONFIG!$A$4:$A$63,0)),"NO")))</f>
        <v/>
      </c>
      <c r="P223" s="50" t="n"/>
      <c r="Q223" s="50" t="n"/>
      <c r="R223" s="28">
        <f>IF($Q223="","",IFERROR(INDEX(CONFIG!$H$4:$H$63,MATCH($Q223,CONFIG!$G$4:$G$63,0)),"Por definir"))</f>
        <v/>
      </c>
      <c r="S223" s="28">
        <f>IF($Q223="","",IFERROR(INDEX(CONFIG!$I$4:$I$63,MATCH($Q223,CONFIG!$G$4:$G$63,0)),"Por definir"))</f>
        <v/>
      </c>
      <c r="T223" s="51" t="n"/>
      <c r="U223" s="52" t="n"/>
      <c r="V223" s="50" t="n"/>
      <c r="W223" s="50" t="n"/>
      <c r="X223" s="49">
        <f>IF(OR($B223="",$M223=""),"",WORKDAY($B223,IFERROR(INDEX(CONFIG!$D$4:$D$63,MATCH($M223,CONFIG!$A$4:$A$63,0)),3)))</f>
        <v/>
      </c>
      <c r="Y223" s="47" t="n"/>
      <c r="Z223" s="24">
        <f>IF($B223="","",IF($Y223&lt;&gt;"",$Y223-$B223,TODAY()-$B223))</f>
        <v/>
      </c>
      <c r="AA223" s="28">
        <f>IF($B223="","",IF(IFERROR(INDEX(CONFIG!$L$4:$L$63,MATCH($V223,CONFIG!$K$4:$K$63,0)),"NO")="SÍ",IF(OR($Y223="",$X223=""),"Resuelta",IF($Y223&gt;$X223,"Resuelta tarde","Resuelta a tiempo")),IF($X223="","Sin clasificar",IF(TODAY()&gt;$X223,"Vencida",IF(TODAY()&gt;=$X223-1,"Por vencer","En plazo")))))</f>
        <v/>
      </c>
      <c r="AB223" s="50" t="n"/>
      <c r="AC223" s="50" t="n"/>
    </row>
    <row r="224" ht="16" customHeight="1">
      <c r="A224" s="28">
        <f>IF($B224="","","N-"&amp;TEXT(ROW()-3,"0000"))</f>
        <v/>
      </c>
      <c r="B224" s="47" t="n"/>
      <c r="C224" s="48" t="n"/>
      <c r="D224" s="48" t="n"/>
      <c r="E224" s="28">
        <f>IF($C224="","",IF($D224="",IF($C224="Interna","Sin guía (interna)","FALTA GUÍA"),IF(COUNTIFS(ENVIOS!$A$4:$A$3003,$D224)=0,"NO EXISTE",IF(COUNTIFS(ENVIOS!$A$4:$A$3003,$D224)&gt;1,"DUPLICADA","OK"))))</f>
        <v/>
      </c>
      <c r="F224" s="28">
        <f>IF($D224="","",IFERROR(INDEX(ENVIOS!$B$4:$B$3003,MATCH($D224,ENVIOS!$A$4:$A$3003,0)),"—"))</f>
        <v/>
      </c>
      <c r="G224" s="23">
        <f>IF($D224="","",IFERROR(INDEX(ENVIOS!$D$4:$D$3003,MATCH($D224,ENVIOS!$A$4:$A$3003,0)),"—"))</f>
        <v/>
      </c>
      <c r="H224" s="23">
        <f>IF($D224="","",IFERROR(INDEX(ENVIOS!$E$4:$E$3003,MATCH($D224,ENVIOS!$A$4:$A$3003,0)),"—"))</f>
        <v/>
      </c>
      <c r="I224" s="23">
        <f>IF($D224="","",IFERROR(INDEX(ENVIOS!$F$4:$F$3003,MATCH($D224,ENVIOS!$A$4:$A$3003,0)),"—"))</f>
        <v/>
      </c>
      <c r="J224" s="23">
        <f>IF($D224="","",IFERROR(INDEX(ENVIOS!$G$4:$G$3003,MATCH($D224,ENVIOS!$A$4:$A$3003,0)),"—"))</f>
        <v/>
      </c>
      <c r="K224" s="28">
        <f>IF($D224="","",IFERROR(INDEX(ENVIOS!$H$4:$H$3003,MATCH($D224,ENVIOS!$A$4:$A$3003,0)),"—"))</f>
        <v/>
      </c>
      <c r="L224" s="49">
        <f>IF($D224="","",IFERROR(INDEX(ENVIOS!$C$4:$C$3003,MATCH($D224,ENVIOS!$A$4:$A$3003,0)),""))</f>
        <v/>
      </c>
      <c r="M224" s="50" t="n"/>
      <c r="N224" s="28">
        <f>IF($M224="","",IFERROR(INDEX(CONFIG!$C$4:$C$63,MATCH($M224,CONFIG!$A$4:$A$63,0)),"Media"))</f>
        <v/>
      </c>
      <c r="O224" s="28">
        <f>IF($M224="","",IF($C224="Interna","NO",IFERROR(INDEX(CONFIG!$E$4:$E$63,MATCH($M224,CONFIG!$A$4:$A$63,0)),"NO")))</f>
        <v/>
      </c>
      <c r="P224" s="50" t="n"/>
      <c r="Q224" s="50" t="n"/>
      <c r="R224" s="28">
        <f>IF($Q224="","",IFERROR(INDEX(CONFIG!$H$4:$H$63,MATCH($Q224,CONFIG!$G$4:$G$63,0)),"Por definir"))</f>
        <v/>
      </c>
      <c r="S224" s="28">
        <f>IF($Q224="","",IFERROR(INDEX(CONFIG!$I$4:$I$63,MATCH($Q224,CONFIG!$G$4:$G$63,0)),"Por definir"))</f>
        <v/>
      </c>
      <c r="T224" s="51" t="n"/>
      <c r="U224" s="52" t="n"/>
      <c r="V224" s="50" t="n"/>
      <c r="W224" s="50" t="n"/>
      <c r="X224" s="49">
        <f>IF(OR($B224="",$M224=""),"",WORKDAY($B224,IFERROR(INDEX(CONFIG!$D$4:$D$63,MATCH($M224,CONFIG!$A$4:$A$63,0)),3)))</f>
        <v/>
      </c>
      <c r="Y224" s="47" t="n"/>
      <c r="Z224" s="24">
        <f>IF($B224="","",IF($Y224&lt;&gt;"",$Y224-$B224,TODAY()-$B224))</f>
        <v/>
      </c>
      <c r="AA224" s="28">
        <f>IF($B224="","",IF(IFERROR(INDEX(CONFIG!$L$4:$L$63,MATCH($V224,CONFIG!$K$4:$K$63,0)),"NO")="SÍ",IF(OR($Y224="",$X224=""),"Resuelta",IF($Y224&gt;$X224,"Resuelta tarde","Resuelta a tiempo")),IF($X224="","Sin clasificar",IF(TODAY()&gt;$X224,"Vencida",IF(TODAY()&gt;=$X224-1,"Por vencer","En plazo")))))</f>
        <v/>
      </c>
      <c r="AB224" s="50" t="n"/>
      <c r="AC224" s="50" t="n"/>
    </row>
    <row r="225" ht="16" customHeight="1">
      <c r="A225" s="28">
        <f>IF($B225="","","N-"&amp;TEXT(ROW()-3,"0000"))</f>
        <v/>
      </c>
      <c r="B225" s="47" t="n"/>
      <c r="C225" s="48" t="n"/>
      <c r="D225" s="48" t="n"/>
      <c r="E225" s="28">
        <f>IF($C225="","",IF($D225="",IF($C225="Interna","Sin guía (interna)","FALTA GUÍA"),IF(COUNTIFS(ENVIOS!$A$4:$A$3003,$D225)=0,"NO EXISTE",IF(COUNTIFS(ENVIOS!$A$4:$A$3003,$D225)&gt;1,"DUPLICADA","OK"))))</f>
        <v/>
      </c>
      <c r="F225" s="28">
        <f>IF($D225="","",IFERROR(INDEX(ENVIOS!$B$4:$B$3003,MATCH($D225,ENVIOS!$A$4:$A$3003,0)),"—"))</f>
        <v/>
      </c>
      <c r="G225" s="23">
        <f>IF($D225="","",IFERROR(INDEX(ENVIOS!$D$4:$D$3003,MATCH($D225,ENVIOS!$A$4:$A$3003,0)),"—"))</f>
        <v/>
      </c>
      <c r="H225" s="23">
        <f>IF($D225="","",IFERROR(INDEX(ENVIOS!$E$4:$E$3003,MATCH($D225,ENVIOS!$A$4:$A$3003,0)),"—"))</f>
        <v/>
      </c>
      <c r="I225" s="23">
        <f>IF($D225="","",IFERROR(INDEX(ENVIOS!$F$4:$F$3003,MATCH($D225,ENVIOS!$A$4:$A$3003,0)),"—"))</f>
        <v/>
      </c>
      <c r="J225" s="23">
        <f>IF($D225="","",IFERROR(INDEX(ENVIOS!$G$4:$G$3003,MATCH($D225,ENVIOS!$A$4:$A$3003,0)),"—"))</f>
        <v/>
      </c>
      <c r="K225" s="28">
        <f>IF($D225="","",IFERROR(INDEX(ENVIOS!$H$4:$H$3003,MATCH($D225,ENVIOS!$A$4:$A$3003,0)),"—"))</f>
        <v/>
      </c>
      <c r="L225" s="49">
        <f>IF($D225="","",IFERROR(INDEX(ENVIOS!$C$4:$C$3003,MATCH($D225,ENVIOS!$A$4:$A$3003,0)),""))</f>
        <v/>
      </c>
      <c r="M225" s="50" t="n"/>
      <c r="N225" s="28">
        <f>IF($M225="","",IFERROR(INDEX(CONFIG!$C$4:$C$63,MATCH($M225,CONFIG!$A$4:$A$63,0)),"Media"))</f>
        <v/>
      </c>
      <c r="O225" s="28">
        <f>IF($M225="","",IF($C225="Interna","NO",IFERROR(INDEX(CONFIG!$E$4:$E$63,MATCH($M225,CONFIG!$A$4:$A$63,0)),"NO")))</f>
        <v/>
      </c>
      <c r="P225" s="50" t="n"/>
      <c r="Q225" s="50" t="n"/>
      <c r="R225" s="28">
        <f>IF($Q225="","",IFERROR(INDEX(CONFIG!$H$4:$H$63,MATCH($Q225,CONFIG!$G$4:$G$63,0)),"Por definir"))</f>
        <v/>
      </c>
      <c r="S225" s="28">
        <f>IF($Q225="","",IFERROR(INDEX(CONFIG!$I$4:$I$63,MATCH($Q225,CONFIG!$G$4:$G$63,0)),"Por definir"))</f>
        <v/>
      </c>
      <c r="T225" s="51" t="n"/>
      <c r="U225" s="52" t="n"/>
      <c r="V225" s="50" t="n"/>
      <c r="W225" s="50" t="n"/>
      <c r="X225" s="49">
        <f>IF(OR($B225="",$M225=""),"",WORKDAY($B225,IFERROR(INDEX(CONFIG!$D$4:$D$63,MATCH($M225,CONFIG!$A$4:$A$63,0)),3)))</f>
        <v/>
      </c>
      <c r="Y225" s="47" t="n"/>
      <c r="Z225" s="24">
        <f>IF($B225="","",IF($Y225&lt;&gt;"",$Y225-$B225,TODAY()-$B225))</f>
        <v/>
      </c>
      <c r="AA225" s="28">
        <f>IF($B225="","",IF(IFERROR(INDEX(CONFIG!$L$4:$L$63,MATCH($V225,CONFIG!$K$4:$K$63,0)),"NO")="SÍ",IF(OR($Y225="",$X225=""),"Resuelta",IF($Y225&gt;$X225,"Resuelta tarde","Resuelta a tiempo")),IF($X225="","Sin clasificar",IF(TODAY()&gt;$X225,"Vencida",IF(TODAY()&gt;=$X225-1,"Por vencer","En plazo")))))</f>
        <v/>
      </c>
      <c r="AB225" s="50" t="n"/>
      <c r="AC225" s="50" t="n"/>
    </row>
    <row r="226" ht="16" customHeight="1">
      <c r="A226" s="28">
        <f>IF($B226="","","N-"&amp;TEXT(ROW()-3,"0000"))</f>
        <v/>
      </c>
      <c r="B226" s="47" t="n"/>
      <c r="C226" s="48" t="n"/>
      <c r="D226" s="48" t="n"/>
      <c r="E226" s="28">
        <f>IF($C226="","",IF($D226="",IF($C226="Interna","Sin guía (interna)","FALTA GUÍA"),IF(COUNTIFS(ENVIOS!$A$4:$A$3003,$D226)=0,"NO EXISTE",IF(COUNTIFS(ENVIOS!$A$4:$A$3003,$D226)&gt;1,"DUPLICADA","OK"))))</f>
        <v/>
      </c>
      <c r="F226" s="28">
        <f>IF($D226="","",IFERROR(INDEX(ENVIOS!$B$4:$B$3003,MATCH($D226,ENVIOS!$A$4:$A$3003,0)),"—"))</f>
        <v/>
      </c>
      <c r="G226" s="23">
        <f>IF($D226="","",IFERROR(INDEX(ENVIOS!$D$4:$D$3003,MATCH($D226,ENVIOS!$A$4:$A$3003,0)),"—"))</f>
        <v/>
      </c>
      <c r="H226" s="23">
        <f>IF($D226="","",IFERROR(INDEX(ENVIOS!$E$4:$E$3003,MATCH($D226,ENVIOS!$A$4:$A$3003,0)),"—"))</f>
        <v/>
      </c>
      <c r="I226" s="23">
        <f>IF($D226="","",IFERROR(INDEX(ENVIOS!$F$4:$F$3003,MATCH($D226,ENVIOS!$A$4:$A$3003,0)),"—"))</f>
        <v/>
      </c>
      <c r="J226" s="23">
        <f>IF($D226="","",IFERROR(INDEX(ENVIOS!$G$4:$G$3003,MATCH($D226,ENVIOS!$A$4:$A$3003,0)),"—"))</f>
        <v/>
      </c>
      <c r="K226" s="28">
        <f>IF($D226="","",IFERROR(INDEX(ENVIOS!$H$4:$H$3003,MATCH($D226,ENVIOS!$A$4:$A$3003,0)),"—"))</f>
        <v/>
      </c>
      <c r="L226" s="49">
        <f>IF($D226="","",IFERROR(INDEX(ENVIOS!$C$4:$C$3003,MATCH($D226,ENVIOS!$A$4:$A$3003,0)),""))</f>
        <v/>
      </c>
      <c r="M226" s="50" t="n"/>
      <c r="N226" s="28">
        <f>IF($M226="","",IFERROR(INDEX(CONFIG!$C$4:$C$63,MATCH($M226,CONFIG!$A$4:$A$63,0)),"Media"))</f>
        <v/>
      </c>
      <c r="O226" s="28">
        <f>IF($M226="","",IF($C226="Interna","NO",IFERROR(INDEX(CONFIG!$E$4:$E$63,MATCH($M226,CONFIG!$A$4:$A$63,0)),"NO")))</f>
        <v/>
      </c>
      <c r="P226" s="50" t="n"/>
      <c r="Q226" s="50" t="n"/>
      <c r="R226" s="28">
        <f>IF($Q226="","",IFERROR(INDEX(CONFIG!$H$4:$H$63,MATCH($Q226,CONFIG!$G$4:$G$63,0)),"Por definir"))</f>
        <v/>
      </c>
      <c r="S226" s="28">
        <f>IF($Q226="","",IFERROR(INDEX(CONFIG!$I$4:$I$63,MATCH($Q226,CONFIG!$G$4:$G$63,0)),"Por definir"))</f>
        <v/>
      </c>
      <c r="T226" s="51" t="n"/>
      <c r="U226" s="52" t="n"/>
      <c r="V226" s="50" t="n"/>
      <c r="W226" s="50" t="n"/>
      <c r="X226" s="49">
        <f>IF(OR($B226="",$M226=""),"",WORKDAY($B226,IFERROR(INDEX(CONFIG!$D$4:$D$63,MATCH($M226,CONFIG!$A$4:$A$63,0)),3)))</f>
        <v/>
      </c>
      <c r="Y226" s="47" t="n"/>
      <c r="Z226" s="24">
        <f>IF($B226="","",IF($Y226&lt;&gt;"",$Y226-$B226,TODAY()-$B226))</f>
        <v/>
      </c>
      <c r="AA226" s="28">
        <f>IF($B226="","",IF(IFERROR(INDEX(CONFIG!$L$4:$L$63,MATCH($V226,CONFIG!$K$4:$K$63,0)),"NO")="SÍ",IF(OR($Y226="",$X226=""),"Resuelta",IF($Y226&gt;$X226,"Resuelta tarde","Resuelta a tiempo")),IF($X226="","Sin clasificar",IF(TODAY()&gt;$X226,"Vencida",IF(TODAY()&gt;=$X226-1,"Por vencer","En plazo")))))</f>
        <v/>
      </c>
      <c r="AB226" s="50" t="n"/>
      <c r="AC226" s="50" t="n"/>
    </row>
    <row r="227" ht="16" customHeight="1">
      <c r="A227" s="28">
        <f>IF($B227="","","N-"&amp;TEXT(ROW()-3,"0000"))</f>
        <v/>
      </c>
      <c r="B227" s="47" t="n"/>
      <c r="C227" s="48" t="n"/>
      <c r="D227" s="48" t="n"/>
      <c r="E227" s="28">
        <f>IF($C227="","",IF($D227="",IF($C227="Interna","Sin guía (interna)","FALTA GUÍA"),IF(COUNTIFS(ENVIOS!$A$4:$A$3003,$D227)=0,"NO EXISTE",IF(COUNTIFS(ENVIOS!$A$4:$A$3003,$D227)&gt;1,"DUPLICADA","OK"))))</f>
        <v/>
      </c>
      <c r="F227" s="28">
        <f>IF($D227="","",IFERROR(INDEX(ENVIOS!$B$4:$B$3003,MATCH($D227,ENVIOS!$A$4:$A$3003,0)),"—"))</f>
        <v/>
      </c>
      <c r="G227" s="23">
        <f>IF($D227="","",IFERROR(INDEX(ENVIOS!$D$4:$D$3003,MATCH($D227,ENVIOS!$A$4:$A$3003,0)),"—"))</f>
        <v/>
      </c>
      <c r="H227" s="23">
        <f>IF($D227="","",IFERROR(INDEX(ENVIOS!$E$4:$E$3003,MATCH($D227,ENVIOS!$A$4:$A$3003,0)),"—"))</f>
        <v/>
      </c>
      <c r="I227" s="23">
        <f>IF($D227="","",IFERROR(INDEX(ENVIOS!$F$4:$F$3003,MATCH($D227,ENVIOS!$A$4:$A$3003,0)),"—"))</f>
        <v/>
      </c>
      <c r="J227" s="23">
        <f>IF($D227="","",IFERROR(INDEX(ENVIOS!$G$4:$G$3003,MATCH($D227,ENVIOS!$A$4:$A$3003,0)),"—"))</f>
        <v/>
      </c>
      <c r="K227" s="28">
        <f>IF($D227="","",IFERROR(INDEX(ENVIOS!$H$4:$H$3003,MATCH($D227,ENVIOS!$A$4:$A$3003,0)),"—"))</f>
        <v/>
      </c>
      <c r="L227" s="49">
        <f>IF($D227="","",IFERROR(INDEX(ENVIOS!$C$4:$C$3003,MATCH($D227,ENVIOS!$A$4:$A$3003,0)),""))</f>
        <v/>
      </c>
      <c r="M227" s="50" t="n"/>
      <c r="N227" s="28">
        <f>IF($M227="","",IFERROR(INDEX(CONFIG!$C$4:$C$63,MATCH($M227,CONFIG!$A$4:$A$63,0)),"Media"))</f>
        <v/>
      </c>
      <c r="O227" s="28">
        <f>IF($M227="","",IF($C227="Interna","NO",IFERROR(INDEX(CONFIG!$E$4:$E$63,MATCH($M227,CONFIG!$A$4:$A$63,0)),"NO")))</f>
        <v/>
      </c>
      <c r="P227" s="50" t="n"/>
      <c r="Q227" s="50" t="n"/>
      <c r="R227" s="28">
        <f>IF($Q227="","",IFERROR(INDEX(CONFIG!$H$4:$H$63,MATCH($Q227,CONFIG!$G$4:$G$63,0)),"Por definir"))</f>
        <v/>
      </c>
      <c r="S227" s="28">
        <f>IF($Q227="","",IFERROR(INDEX(CONFIG!$I$4:$I$63,MATCH($Q227,CONFIG!$G$4:$G$63,0)),"Por definir"))</f>
        <v/>
      </c>
      <c r="T227" s="51" t="n"/>
      <c r="U227" s="52" t="n"/>
      <c r="V227" s="50" t="n"/>
      <c r="W227" s="50" t="n"/>
      <c r="X227" s="49">
        <f>IF(OR($B227="",$M227=""),"",WORKDAY($B227,IFERROR(INDEX(CONFIG!$D$4:$D$63,MATCH($M227,CONFIG!$A$4:$A$63,0)),3)))</f>
        <v/>
      </c>
      <c r="Y227" s="47" t="n"/>
      <c r="Z227" s="24">
        <f>IF($B227="","",IF($Y227&lt;&gt;"",$Y227-$B227,TODAY()-$B227))</f>
        <v/>
      </c>
      <c r="AA227" s="28">
        <f>IF($B227="","",IF(IFERROR(INDEX(CONFIG!$L$4:$L$63,MATCH($V227,CONFIG!$K$4:$K$63,0)),"NO")="SÍ",IF(OR($Y227="",$X227=""),"Resuelta",IF($Y227&gt;$X227,"Resuelta tarde","Resuelta a tiempo")),IF($X227="","Sin clasificar",IF(TODAY()&gt;$X227,"Vencida",IF(TODAY()&gt;=$X227-1,"Por vencer","En plazo")))))</f>
        <v/>
      </c>
      <c r="AB227" s="50" t="n"/>
      <c r="AC227" s="50" t="n"/>
    </row>
    <row r="228" ht="16" customHeight="1">
      <c r="A228" s="28">
        <f>IF($B228="","","N-"&amp;TEXT(ROW()-3,"0000"))</f>
        <v/>
      </c>
      <c r="B228" s="47" t="n"/>
      <c r="C228" s="48" t="n"/>
      <c r="D228" s="48" t="n"/>
      <c r="E228" s="28">
        <f>IF($C228="","",IF($D228="",IF($C228="Interna","Sin guía (interna)","FALTA GUÍA"),IF(COUNTIFS(ENVIOS!$A$4:$A$3003,$D228)=0,"NO EXISTE",IF(COUNTIFS(ENVIOS!$A$4:$A$3003,$D228)&gt;1,"DUPLICADA","OK"))))</f>
        <v/>
      </c>
      <c r="F228" s="28">
        <f>IF($D228="","",IFERROR(INDEX(ENVIOS!$B$4:$B$3003,MATCH($D228,ENVIOS!$A$4:$A$3003,0)),"—"))</f>
        <v/>
      </c>
      <c r="G228" s="23">
        <f>IF($D228="","",IFERROR(INDEX(ENVIOS!$D$4:$D$3003,MATCH($D228,ENVIOS!$A$4:$A$3003,0)),"—"))</f>
        <v/>
      </c>
      <c r="H228" s="23">
        <f>IF($D228="","",IFERROR(INDEX(ENVIOS!$E$4:$E$3003,MATCH($D228,ENVIOS!$A$4:$A$3003,0)),"—"))</f>
        <v/>
      </c>
      <c r="I228" s="23">
        <f>IF($D228="","",IFERROR(INDEX(ENVIOS!$F$4:$F$3003,MATCH($D228,ENVIOS!$A$4:$A$3003,0)),"—"))</f>
        <v/>
      </c>
      <c r="J228" s="23">
        <f>IF($D228="","",IFERROR(INDEX(ENVIOS!$G$4:$G$3003,MATCH($D228,ENVIOS!$A$4:$A$3003,0)),"—"))</f>
        <v/>
      </c>
      <c r="K228" s="28">
        <f>IF($D228="","",IFERROR(INDEX(ENVIOS!$H$4:$H$3003,MATCH($D228,ENVIOS!$A$4:$A$3003,0)),"—"))</f>
        <v/>
      </c>
      <c r="L228" s="49">
        <f>IF($D228="","",IFERROR(INDEX(ENVIOS!$C$4:$C$3003,MATCH($D228,ENVIOS!$A$4:$A$3003,0)),""))</f>
        <v/>
      </c>
      <c r="M228" s="50" t="n"/>
      <c r="N228" s="28">
        <f>IF($M228="","",IFERROR(INDEX(CONFIG!$C$4:$C$63,MATCH($M228,CONFIG!$A$4:$A$63,0)),"Media"))</f>
        <v/>
      </c>
      <c r="O228" s="28">
        <f>IF($M228="","",IF($C228="Interna","NO",IFERROR(INDEX(CONFIG!$E$4:$E$63,MATCH($M228,CONFIG!$A$4:$A$63,0)),"NO")))</f>
        <v/>
      </c>
      <c r="P228" s="50" t="n"/>
      <c r="Q228" s="50" t="n"/>
      <c r="R228" s="28">
        <f>IF($Q228="","",IFERROR(INDEX(CONFIG!$H$4:$H$63,MATCH($Q228,CONFIG!$G$4:$G$63,0)),"Por definir"))</f>
        <v/>
      </c>
      <c r="S228" s="28">
        <f>IF($Q228="","",IFERROR(INDEX(CONFIG!$I$4:$I$63,MATCH($Q228,CONFIG!$G$4:$G$63,0)),"Por definir"))</f>
        <v/>
      </c>
      <c r="T228" s="51" t="n"/>
      <c r="U228" s="52" t="n"/>
      <c r="V228" s="50" t="n"/>
      <c r="W228" s="50" t="n"/>
      <c r="X228" s="49">
        <f>IF(OR($B228="",$M228=""),"",WORKDAY($B228,IFERROR(INDEX(CONFIG!$D$4:$D$63,MATCH($M228,CONFIG!$A$4:$A$63,0)),3)))</f>
        <v/>
      </c>
      <c r="Y228" s="47" t="n"/>
      <c r="Z228" s="24">
        <f>IF($B228="","",IF($Y228&lt;&gt;"",$Y228-$B228,TODAY()-$B228))</f>
        <v/>
      </c>
      <c r="AA228" s="28">
        <f>IF($B228="","",IF(IFERROR(INDEX(CONFIG!$L$4:$L$63,MATCH($V228,CONFIG!$K$4:$K$63,0)),"NO")="SÍ",IF(OR($Y228="",$X228=""),"Resuelta",IF($Y228&gt;$X228,"Resuelta tarde","Resuelta a tiempo")),IF($X228="","Sin clasificar",IF(TODAY()&gt;$X228,"Vencida",IF(TODAY()&gt;=$X228-1,"Por vencer","En plazo")))))</f>
        <v/>
      </c>
      <c r="AB228" s="50" t="n"/>
      <c r="AC228" s="50" t="n"/>
    </row>
    <row r="229" ht="16" customHeight="1">
      <c r="A229" s="28">
        <f>IF($B229="","","N-"&amp;TEXT(ROW()-3,"0000"))</f>
        <v/>
      </c>
      <c r="B229" s="47" t="n"/>
      <c r="C229" s="48" t="n"/>
      <c r="D229" s="48" t="n"/>
      <c r="E229" s="28">
        <f>IF($C229="","",IF($D229="",IF($C229="Interna","Sin guía (interna)","FALTA GUÍA"),IF(COUNTIFS(ENVIOS!$A$4:$A$3003,$D229)=0,"NO EXISTE",IF(COUNTIFS(ENVIOS!$A$4:$A$3003,$D229)&gt;1,"DUPLICADA","OK"))))</f>
        <v/>
      </c>
      <c r="F229" s="28">
        <f>IF($D229="","",IFERROR(INDEX(ENVIOS!$B$4:$B$3003,MATCH($D229,ENVIOS!$A$4:$A$3003,0)),"—"))</f>
        <v/>
      </c>
      <c r="G229" s="23">
        <f>IF($D229="","",IFERROR(INDEX(ENVIOS!$D$4:$D$3003,MATCH($D229,ENVIOS!$A$4:$A$3003,0)),"—"))</f>
        <v/>
      </c>
      <c r="H229" s="23">
        <f>IF($D229="","",IFERROR(INDEX(ENVIOS!$E$4:$E$3003,MATCH($D229,ENVIOS!$A$4:$A$3003,0)),"—"))</f>
        <v/>
      </c>
      <c r="I229" s="23">
        <f>IF($D229="","",IFERROR(INDEX(ENVIOS!$F$4:$F$3003,MATCH($D229,ENVIOS!$A$4:$A$3003,0)),"—"))</f>
        <v/>
      </c>
      <c r="J229" s="23">
        <f>IF($D229="","",IFERROR(INDEX(ENVIOS!$G$4:$G$3003,MATCH($D229,ENVIOS!$A$4:$A$3003,0)),"—"))</f>
        <v/>
      </c>
      <c r="K229" s="28">
        <f>IF($D229="","",IFERROR(INDEX(ENVIOS!$H$4:$H$3003,MATCH($D229,ENVIOS!$A$4:$A$3003,0)),"—"))</f>
        <v/>
      </c>
      <c r="L229" s="49">
        <f>IF($D229="","",IFERROR(INDEX(ENVIOS!$C$4:$C$3003,MATCH($D229,ENVIOS!$A$4:$A$3003,0)),""))</f>
        <v/>
      </c>
      <c r="M229" s="50" t="n"/>
      <c r="N229" s="28">
        <f>IF($M229="","",IFERROR(INDEX(CONFIG!$C$4:$C$63,MATCH($M229,CONFIG!$A$4:$A$63,0)),"Media"))</f>
        <v/>
      </c>
      <c r="O229" s="28">
        <f>IF($M229="","",IF($C229="Interna","NO",IFERROR(INDEX(CONFIG!$E$4:$E$63,MATCH($M229,CONFIG!$A$4:$A$63,0)),"NO")))</f>
        <v/>
      </c>
      <c r="P229" s="50" t="n"/>
      <c r="Q229" s="50" t="n"/>
      <c r="R229" s="28">
        <f>IF($Q229="","",IFERROR(INDEX(CONFIG!$H$4:$H$63,MATCH($Q229,CONFIG!$G$4:$G$63,0)),"Por definir"))</f>
        <v/>
      </c>
      <c r="S229" s="28">
        <f>IF($Q229="","",IFERROR(INDEX(CONFIG!$I$4:$I$63,MATCH($Q229,CONFIG!$G$4:$G$63,0)),"Por definir"))</f>
        <v/>
      </c>
      <c r="T229" s="51" t="n"/>
      <c r="U229" s="52" t="n"/>
      <c r="V229" s="50" t="n"/>
      <c r="W229" s="50" t="n"/>
      <c r="X229" s="49">
        <f>IF(OR($B229="",$M229=""),"",WORKDAY($B229,IFERROR(INDEX(CONFIG!$D$4:$D$63,MATCH($M229,CONFIG!$A$4:$A$63,0)),3)))</f>
        <v/>
      </c>
      <c r="Y229" s="47" t="n"/>
      <c r="Z229" s="24">
        <f>IF($B229="","",IF($Y229&lt;&gt;"",$Y229-$B229,TODAY()-$B229))</f>
        <v/>
      </c>
      <c r="AA229" s="28">
        <f>IF($B229="","",IF(IFERROR(INDEX(CONFIG!$L$4:$L$63,MATCH($V229,CONFIG!$K$4:$K$63,0)),"NO")="SÍ",IF(OR($Y229="",$X229=""),"Resuelta",IF($Y229&gt;$X229,"Resuelta tarde","Resuelta a tiempo")),IF($X229="","Sin clasificar",IF(TODAY()&gt;$X229,"Vencida",IF(TODAY()&gt;=$X229-1,"Por vencer","En plazo")))))</f>
        <v/>
      </c>
      <c r="AB229" s="50" t="n"/>
      <c r="AC229" s="50" t="n"/>
    </row>
    <row r="230" ht="16" customHeight="1">
      <c r="A230" s="28">
        <f>IF($B230="","","N-"&amp;TEXT(ROW()-3,"0000"))</f>
        <v/>
      </c>
      <c r="B230" s="47" t="n"/>
      <c r="C230" s="48" t="n"/>
      <c r="D230" s="48" t="n"/>
      <c r="E230" s="28">
        <f>IF($C230="","",IF($D230="",IF($C230="Interna","Sin guía (interna)","FALTA GUÍA"),IF(COUNTIFS(ENVIOS!$A$4:$A$3003,$D230)=0,"NO EXISTE",IF(COUNTIFS(ENVIOS!$A$4:$A$3003,$D230)&gt;1,"DUPLICADA","OK"))))</f>
        <v/>
      </c>
      <c r="F230" s="28">
        <f>IF($D230="","",IFERROR(INDEX(ENVIOS!$B$4:$B$3003,MATCH($D230,ENVIOS!$A$4:$A$3003,0)),"—"))</f>
        <v/>
      </c>
      <c r="G230" s="23">
        <f>IF($D230="","",IFERROR(INDEX(ENVIOS!$D$4:$D$3003,MATCH($D230,ENVIOS!$A$4:$A$3003,0)),"—"))</f>
        <v/>
      </c>
      <c r="H230" s="23">
        <f>IF($D230="","",IFERROR(INDEX(ENVIOS!$E$4:$E$3003,MATCH($D230,ENVIOS!$A$4:$A$3003,0)),"—"))</f>
        <v/>
      </c>
      <c r="I230" s="23">
        <f>IF($D230="","",IFERROR(INDEX(ENVIOS!$F$4:$F$3003,MATCH($D230,ENVIOS!$A$4:$A$3003,0)),"—"))</f>
        <v/>
      </c>
      <c r="J230" s="23">
        <f>IF($D230="","",IFERROR(INDEX(ENVIOS!$G$4:$G$3003,MATCH($D230,ENVIOS!$A$4:$A$3003,0)),"—"))</f>
        <v/>
      </c>
      <c r="K230" s="28">
        <f>IF($D230="","",IFERROR(INDEX(ENVIOS!$H$4:$H$3003,MATCH($D230,ENVIOS!$A$4:$A$3003,0)),"—"))</f>
        <v/>
      </c>
      <c r="L230" s="49">
        <f>IF($D230="","",IFERROR(INDEX(ENVIOS!$C$4:$C$3003,MATCH($D230,ENVIOS!$A$4:$A$3003,0)),""))</f>
        <v/>
      </c>
      <c r="M230" s="50" t="n"/>
      <c r="N230" s="28">
        <f>IF($M230="","",IFERROR(INDEX(CONFIG!$C$4:$C$63,MATCH($M230,CONFIG!$A$4:$A$63,0)),"Media"))</f>
        <v/>
      </c>
      <c r="O230" s="28">
        <f>IF($M230="","",IF($C230="Interna","NO",IFERROR(INDEX(CONFIG!$E$4:$E$63,MATCH($M230,CONFIG!$A$4:$A$63,0)),"NO")))</f>
        <v/>
      </c>
      <c r="P230" s="50" t="n"/>
      <c r="Q230" s="50" t="n"/>
      <c r="R230" s="28">
        <f>IF($Q230="","",IFERROR(INDEX(CONFIG!$H$4:$H$63,MATCH($Q230,CONFIG!$G$4:$G$63,0)),"Por definir"))</f>
        <v/>
      </c>
      <c r="S230" s="28">
        <f>IF($Q230="","",IFERROR(INDEX(CONFIG!$I$4:$I$63,MATCH($Q230,CONFIG!$G$4:$G$63,0)),"Por definir"))</f>
        <v/>
      </c>
      <c r="T230" s="51" t="n"/>
      <c r="U230" s="52" t="n"/>
      <c r="V230" s="50" t="n"/>
      <c r="W230" s="50" t="n"/>
      <c r="X230" s="49">
        <f>IF(OR($B230="",$M230=""),"",WORKDAY($B230,IFERROR(INDEX(CONFIG!$D$4:$D$63,MATCH($M230,CONFIG!$A$4:$A$63,0)),3)))</f>
        <v/>
      </c>
      <c r="Y230" s="47" t="n"/>
      <c r="Z230" s="24">
        <f>IF($B230="","",IF($Y230&lt;&gt;"",$Y230-$B230,TODAY()-$B230))</f>
        <v/>
      </c>
      <c r="AA230" s="28">
        <f>IF($B230="","",IF(IFERROR(INDEX(CONFIG!$L$4:$L$63,MATCH($V230,CONFIG!$K$4:$K$63,0)),"NO")="SÍ",IF(OR($Y230="",$X230=""),"Resuelta",IF($Y230&gt;$X230,"Resuelta tarde","Resuelta a tiempo")),IF($X230="","Sin clasificar",IF(TODAY()&gt;$X230,"Vencida",IF(TODAY()&gt;=$X230-1,"Por vencer","En plazo")))))</f>
        <v/>
      </c>
      <c r="AB230" s="50" t="n"/>
      <c r="AC230" s="50" t="n"/>
    </row>
    <row r="231" ht="16" customHeight="1">
      <c r="A231" s="28">
        <f>IF($B231="","","N-"&amp;TEXT(ROW()-3,"0000"))</f>
        <v/>
      </c>
      <c r="B231" s="47" t="n"/>
      <c r="C231" s="48" t="n"/>
      <c r="D231" s="48" t="n"/>
      <c r="E231" s="28">
        <f>IF($C231="","",IF($D231="",IF($C231="Interna","Sin guía (interna)","FALTA GUÍA"),IF(COUNTIFS(ENVIOS!$A$4:$A$3003,$D231)=0,"NO EXISTE",IF(COUNTIFS(ENVIOS!$A$4:$A$3003,$D231)&gt;1,"DUPLICADA","OK"))))</f>
        <v/>
      </c>
      <c r="F231" s="28">
        <f>IF($D231="","",IFERROR(INDEX(ENVIOS!$B$4:$B$3003,MATCH($D231,ENVIOS!$A$4:$A$3003,0)),"—"))</f>
        <v/>
      </c>
      <c r="G231" s="23">
        <f>IF($D231="","",IFERROR(INDEX(ENVIOS!$D$4:$D$3003,MATCH($D231,ENVIOS!$A$4:$A$3003,0)),"—"))</f>
        <v/>
      </c>
      <c r="H231" s="23">
        <f>IF($D231="","",IFERROR(INDEX(ENVIOS!$E$4:$E$3003,MATCH($D231,ENVIOS!$A$4:$A$3003,0)),"—"))</f>
        <v/>
      </c>
      <c r="I231" s="23">
        <f>IF($D231="","",IFERROR(INDEX(ENVIOS!$F$4:$F$3003,MATCH($D231,ENVIOS!$A$4:$A$3003,0)),"—"))</f>
        <v/>
      </c>
      <c r="J231" s="23">
        <f>IF($D231="","",IFERROR(INDEX(ENVIOS!$G$4:$G$3003,MATCH($D231,ENVIOS!$A$4:$A$3003,0)),"—"))</f>
        <v/>
      </c>
      <c r="K231" s="28">
        <f>IF($D231="","",IFERROR(INDEX(ENVIOS!$H$4:$H$3003,MATCH($D231,ENVIOS!$A$4:$A$3003,0)),"—"))</f>
        <v/>
      </c>
      <c r="L231" s="49">
        <f>IF($D231="","",IFERROR(INDEX(ENVIOS!$C$4:$C$3003,MATCH($D231,ENVIOS!$A$4:$A$3003,0)),""))</f>
        <v/>
      </c>
      <c r="M231" s="50" t="n"/>
      <c r="N231" s="28">
        <f>IF($M231="","",IFERROR(INDEX(CONFIG!$C$4:$C$63,MATCH($M231,CONFIG!$A$4:$A$63,0)),"Media"))</f>
        <v/>
      </c>
      <c r="O231" s="28">
        <f>IF($M231="","",IF($C231="Interna","NO",IFERROR(INDEX(CONFIG!$E$4:$E$63,MATCH($M231,CONFIG!$A$4:$A$63,0)),"NO")))</f>
        <v/>
      </c>
      <c r="P231" s="50" t="n"/>
      <c r="Q231" s="50" t="n"/>
      <c r="R231" s="28">
        <f>IF($Q231="","",IFERROR(INDEX(CONFIG!$H$4:$H$63,MATCH($Q231,CONFIG!$G$4:$G$63,0)),"Por definir"))</f>
        <v/>
      </c>
      <c r="S231" s="28">
        <f>IF($Q231="","",IFERROR(INDEX(CONFIG!$I$4:$I$63,MATCH($Q231,CONFIG!$G$4:$G$63,0)),"Por definir"))</f>
        <v/>
      </c>
      <c r="T231" s="51" t="n"/>
      <c r="U231" s="52" t="n"/>
      <c r="V231" s="50" t="n"/>
      <c r="W231" s="50" t="n"/>
      <c r="X231" s="49">
        <f>IF(OR($B231="",$M231=""),"",WORKDAY($B231,IFERROR(INDEX(CONFIG!$D$4:$D$63,MATCH($M231,CONFIG!$A$4:$A$63,0)),3)))</f>
        <v/>
      </c>
      <c r="Y231" s="47" t="n"/>
      <c r="Z231" s="24">
        <f>IF($B231="","",IF($Y231&lt;&gt;"",$Y231-$B231,TODAY()-$B231))</f>
        <v/>
      </c>
      <c r="AA231" s="28">
        <f>IF($B231="","",IF(IFERROR(INDEX(CONFIG!$L$4:$L$63,MATCH($V231,CONFIG!$K$4:$K$63,0)),"NO")="SÍ",IF(OR($Y231="",$X231=""),"Resuelta",IF($Y231&gt;$X231,"Resuelta tarde","Resuelta a tiempo")),IF($X231="","Sin clasificar",IF(TODAY()&gt;$X231,"Vencida",IF(TODAY()&gt;=$X231-1,"Por vencer","En plazo")))))</f>
        <v/>
      </c>
      <c r="AB231" s="50" t="n"/>
      <c r="AC231" s="50" t="n"/>
    </row>
    <row r="232" ht="16" customHeight="1">
      <c r="A232" s="28">
        <f>IF($B232="","","N-"&amp;TEXT(ROW()-3,"0000"))</f>
        <v/>
      </c>
      <c r="B232" s="47" t="n"/>
      <c r="C232" s="48" t="n"/>
      <c r="D232" s="48" t="n"/>
      <c r="E232" s="28">
        <f>IF($C232="","",IF($D232="",IF($C232="Interna","Sin guía (interna)","FALTA GUÍA"),IF(COUNTIFS(ENVIOS!$A$4:$A$3003,$D232)=0,"NO EXISTE",IF(COUNTIFS(ENVIOS!$A$4:$A$3003,$D232)&gt;1,"DUPLICADA","OK"))))</f>
        <v/>
      </c>
      <c r="F232" s="28">
        <f>IF($D232="","",IFERROR(INDEX(ENVIOS!$B$4:$B$3003,MATCH($D232,ENVIOS!$A$4:$A$3003,0)),"—"))</f>
        <v/>
      </c>
      <c r="G232" s="23">
        <f>IF($D232="","",IFERROR(INDEX(ENVIOS!$D$4:$D$3003,MATCH($D232,ENVIOS!$A$4:$A$3003,0)),"—"))</f>
        <v/>
      </c>
      <c r="H232" s="23">
        <f>IF($D232="","",IFERROR(INDEX(ENVIOS!$E$4:$E$3003,MATCH($D232,ENVIOS!$A$4:$A$3003,0)),"—"))</f>
        <v/>
      </c>
      <c r="I232" s="23">
        <f>IF($D232="","",IFERROR(INDEX(ENVIOS!$F$4:$F$3003,MATCH($D232,ENVIOS!$A$4:$A$3003,0)),"—"))</f>
        <v/>
      </c>
      <c r="J232" s="23">
        <f>IF($D232="","",IFERROR(INDEX(ENVIOS!$G$4:$G$3003,MATCH($D232,ENVIOS!$A$4:$A$3003,0)),"—"))</f>
        <v/>
      </c>
      <c r="K232" s="28">
        <f>IF($D232="","",IFERROR(INDEX(ENVIOS!$H$4:$H$3003,MATCH($D232,ENVIOS!$A$4:$A$3003,0)),"—"))</f>
        <v/>
      </c>
      <c r="L232" s="49">
        <f>IF($D232="","",IFERROR(INDEX(ENVIOS!$C$4:$C$3003,MATCH($D232,ENVIOS!$A$4:$A$3003,0)),""))</f>
        <v/>
      </c>
      <c r="M232" s="50" t="n"/>
      <c r="N232" s="28">
        <f>IF($M232="","",IFERROR(INDEX(CONFIG!$C$4:$C$63,MATCH($M232,CONFIG!$A$4:$A$63,0)),"Media"))</f>
        <v/>
      </c>
      <c r="O232" s="28">
        <f>IF($M232="","",IF($C232="Interna","NO",IFERROR(INDEX(CONFIG!$E$4:$E$63,MATCH($M232,CONFIG!$A$4:$A$63,0)),"NO")))</f>
        <v/>
      </c>
      <c r="P232" s="50" t="n"/>
      <c r="Q232" s="50" t="n"/>
      <c r="R232" s="28">
        <f>IF($Q232="","",IFERROR(INDEX(CONFIG!$H$4:$H$63,MATCH($Q232,CONFIG!$G$4:$G$63,0)),"Por definir"))</f>
        <v/>
      </c>
      <c r="S232" s="28">
        <f>IF($Q232="","",IFERROR(INDEX(CONFIG!$I$4:$I$63,MATCH($Q232,CONFIG!$G$4:$G$63,0)),"Por definir"))</f>
        <v/>
      </c>
      <c r="T232" s="51" t="n"/>
      <c r="U232" s="52" t="n"/>
      <c r="V232" s="50" t="n"/>
      <c r="W232" s="50" t="n"/>
      <c r="X232" s="49">
        <f>IF(OR($B232="",$M232=""),"",WORKDAY($B232,IFERROR(INDEX(CONFIG!$D$4:$D$63,MATCH($M232,CONFIG!$A$4:$A$63,0)),3)))</f>
        <v/>
      </c>
      <c r="Y232" s="47" t="n"/>
      <c r="Z232" s="24">
        <f>IF($B232="","",IF($Y232&lt;&gt;"",$Y232-$B232,TODAY()-$B232))</f>
        <v/>
      </c>
      <c r="AA232" s="28">
        <f>IF($B232="","",IF(IFERROR(INDEX(CONFIG!$L$4:$L$63,MATCH($V232,CONFIG!$K$4:$K$63,0)),"NO")="SÍ",IF(OR($Y232="",$X232=""),"Resuelta",IF($Y232&gt;$X232,"Resuelta tarde","Resuelta a tiempo")),IF($X232="","Sin clasificar",IF(TODAY()&gt;$X232,"Vencida",IF(TODAY()&gt;=$X232-1,"Por vencer","En plazo")))))</f>
        <v/>
      </c>
      <c r="AB232" s="50" t="n"/>
      <c r="AC232" s="50" t="n"/>
    </row>
    <row r="233" ht="16" customHeight="1">
      <c r="A233" s="28">
        <f>IF($B233="","","N-"&amp;TEXT(ROW()-3,"0000"))</f>
        <v/>
      </c>
      <c r="B233" s="47" t="n"/>
      <c r="C233" s="48" t="n"/>
      <c r="D233" s="48" t="n"/>
      <c r="E233" s="28">
        <f>IF($C233="","",IF($D233="",IF($C233="Interna","Sin guía (interna)","FALTA GUÍA"),IF(COUNTIFS(ENVIOS!$A$4:$A$3003,$D233)=0,"NO EXISTE",IF(COUNTIFS(ENVIOS!$A$4:$A$3003,$D233)&gt;1,"DUPLICADA","OK"))))</f>
        <v/>
      </c>
      <c r="F233" s="28">
        <f>IF($D233="","",IFERROR(INDEX(ENVIOS!$B$4:$B$3003,MATCH($D233,ENVIOS!$A$4:$A$3003,0)),"—"))</f>
        <v/>
      </c>
      <c r="G233" s="23">
        <f>IF($D233="","",IFERROR(INDEX(ENVIOS!$D$4:$D$3003,MATCH($D233,ENVIOS!$A$4:$A$3003,0)),"—"))</f>
        <v/>
      </c>
      <c r="H233" s="23">
        <f>IF($D233="","",IFERROR(INDEX(ENVIOS!$E$4:$E$3003,MATCH($D233,ENVIOS!$A$4:$A$3003,0)),"—"))</f>
        <v/>
      </c>
      <c r="I233" s="23">
        <f>IF($D233="","",IFERROR(INDEX(ENVIOS!$F$4:$F$3003,MATCH($D233,ENVIOS!$A$4:$A$3003,0)),"—"))</f>
        <v/>
      </c>
      <c r="J233" s="23">
        <f>IF($D233="","",IFERROR(INDEX(ENVIOS!$G$4:$G$3003,MATCH($D233,ENVIOS!$A$4:$A$3003,0)),"—"))</f>
        <v/>
      </c>
      <c r="K233" s="28">
        <f>IF($D233="","",IFERROR(INDEX(ENVIOS!$H$4:$H$3003,MATCH($D233,ENVIOS!$A$4:$A$3003,0)),"—"))</f>
        <v/>
      </c>
      <c r="L233" s="49">
        <f>IF($D233="","",IFERROR(INDEX(ENVIOS!$C$4:$C$3003,MATCH($D233,ENVIOS!$A$4:$A$3003,0)),""))</f>
        <v/>
      </c>
      <c r="M233" s="50" t="n"/>
      <c r="N233" s="28">
        <f>IF($M233="","",IFERROR(INDEX(CONFIG!$C$4:$C$63,MATCH($M233,CONFIG!$A$4:$A$63,0)),"Media"))</f>
        <v/>
      </c>
      <c r="O233" s="28">
        <f>IF($M233="","",IF($C233="Interna","NO",IFERROR(INDEX(CONFIG!$E$4:$E$63,MATCH($M233,CONFIG!$A$4:$A$63,0)),"NO")))</f>
        <v/>
      </c>
      <c r="P233" s="50" t="n"/>
      <c r="Q233" s="50" t="n"/>
      <c r="R233" s="28">
        <f>IF($Q233="","",IFERROR(INDEX(CONFIG!$H$4:$H$63,MATCH($Q233,CONFIG!$G$4:$G$63,0)),"Por definir"))</f>
        <v/>
      </c>
      <c r="S233" s="28">
        <f>IF($Q233="","",IFERROR(INDEX(CONFIG!$I$4:$I$63,MATCH($Q233,CONFIG!$G$4:$G$63,0)),"Por definir"))</f>
        <v/>
      </c>
      <c r="T233" s="51" t="n"/>
      <c r="U233" s="52" t="n"/>
      <c r="V233" s="50" t="n"/>
      <c r="W233" s="50" t="n"/>
      <c r="X233" s="49">
        <f>IF(OR($B233="",$M233=""),"",WORKDAY($B233,IFERROR(INDEX(CONFIG!$D$4:$D$63,MATCH($M233,CONFIG!$A$4:$A$63,0)),3)))</f>
        <v/>
      </c>
      <c r="Y233" s="47" t="n"/>
      <c r="Z233" s="24">
        <f>IF($B233="","",IF($Y233&lt;&gt;"",$Y233-$B233,TODAY()-$B233))</f>
        <v/>
      </c>
      <c r="AA233" s="28">
        <f>IF($B233="","",IF(IFERROR(INDEX(CONFIG!$L$4:$L$63,MATCH($V233,CONFIG!$K$4:$K$63,0)),"NO")="SÍ",IF(OR($Y233="",$X233=""),"Resuelta",IF($Y233&gt;$X233,"Resuelta tarde","Resuelta a tiempo")),IF($X233="","Sin clasificar",IF(TODAY()&gt;$X233,"Vencida",IF(TODAY()&gt;=$X233-1,"Por vencer","En plazo")))))</f>
        <v/>
      </c>
      <c r="AB233" s="50" t="n"/>
      <c r="AC233" s="50" t="n"/>
    </row>
    <row r="234" ht="16" customHeight="1">
      <c r="A234" s="28">
        <f>IF($B234="","","N-"&amp;TEXT(ROW()-3,"0000"))</f>
        <v/>
      </c>
      <c r="B234" s="47" t="n"/>
      <c r="C234" s="48" t="n"/>
      <c r="D234" s="48" t="n"/>
      <c r="E234" s="28">
        <f>IF($C234="","",IF($D234="",IF($C234="Interna","Sin guía (interna)","FALTA GUÍA"),IF(COUNTIFS(ENVIOS!$A$4:$A$3003,$D234)=0,"NO EXISTE",IF(COUNTIFS(ENVIOS!$A$4:$A$3003,$D234)&gt;1,"DUPLICADA","OK"))))</f>
        <v/>
      </c>
      <c r="F234" s="28">
        <f>IF($D234="","",IFERROR(INDEX(ENVIOS!$B$4:$B$3003,MATCH($D234,ENVIOS!$A$4:$A$3003,0)),"—"))</f>
        <v/>
      </c>
      <c r="G234" s="23">
        <f>IF($D234="","",IFERROR(INDEX(ENVIOS!$D$4:$D$3003,MATCH($D234,ENVIOS!$A$4:$A$3003,0)),"—"))</f>
        <v/>
      </c>
      <c r="H234" s="23">
        <f>IF($D234="","",IFERROR(INDEX(ENVIOS!$E$4:$E$3003,MATCH($D234,ENVIOS!$A$4:$A$3003,0)),"—"))</f>
        <v/>
      </c>
      <c r="I234" s="23">
        <f>IF($D234="","",IFERROR(INDEX(ENVIOS!$F$4:$F$3003,MATCH($D234,ENVIOS!$A$4:$A$3003,0)),"—"))</f>
        <v/>
      </c>
      <c r="J234" s="23">
        <f>IF($D234="","",IFERROR(INDEX(ENVIOS!$G$4:$G$3003,MATCH($D234,ENVIOS!$A$4:$A$3003,0)),"—"))</f>
        <v/>
      </c>
      <c r="K234" s="28">
        <f>IF($D234="","",IFERROR(INDEX(ENVIOS!$H$4:$H$3003,MATCH($D234,ENVIOS!$A$4:$A$3003,0)),"—"))</f>
        <v/>
      </c>
      <c r="L234" s="49">
        <f>IF($D234="","",IFERROR(INDEX(ENVIOS!$C$4:$C$3003,MATCH($D234,ENVIOS!$A$4:$A$3003,0)),""))</f>
        <v/>
      </c>
      <c r="M234" s="50" t="n"/>
      <c r="N234" s="28">
        <f>IF($M234="","",IFERROR(INDEX(CONFIG!$C$4:$C$63,MATCH($M234,CONFIG!$A$4:$A$63,0)),"Media"))</f>
        <v/>
      </c>
      <c r="O234" s="28">
        <f>IF($M234="","",IF($C234="Interna","NO",IFERROR(INDEX(CONFIG!$E$4:$E$63,MATCH($M234,CONFIG!$A$4:$A$63,0)),"NO")))</f>
        <v/>
      </c>
      <c r="P234" s="50" t="n"/>
      <c r="Q234" s="50" t="n"/>
      <c r="R234" s="28">
        <f>IF($Q234="","",IFERROR(INDEX(CONFIG!$H$4:$H$63,MATCH($Q234,CONFIG!$G$4:$G$63,0)),"Por definir"))</f>
        <v/>
      </c>
      <c r="S234" s="28">
        <f>IF($Q234="","",IFERROR(INDEX(CONFIG!$I$4:$I$63,MATCH($Q234,CONFIG!$G$4:$G$63,0)),"Por definir"))</f>
        <v/>
      </c>
      <c r="T234" s="51" t="n"/>
      <c r="U234" s="52" t="n"/>
      <c r="V234" s="50" t="n"/>
      <c r="W234" s="50" t="n"/>
      <c r="X234" s="49">
        <f>IF(OR($B234="",$M234=""),"",WORKDAY($B234,IFERROR(INDEX(CONFIG!$D$4:$D$63,MATCH($M234,CONFIG!$A$4:$A$63,0)),3)))</f>
        <v/>
      </c>
      <c r="Y234" s="47" t="n"/>
      <c r="Z234" s="24">
        <f>IF($B234="","",IF($Y234&lt;&gt;"",$Y234-$B234,TODAY()-$B234))</f>
        <v/>
      </c>
      <c r="AA234" s="28">
        <f>IF($B234="","",IF(IFERROR(INDEX(CONFIG!$L$4:$L$63,MATCH($V234,CONFIG!$K$4:$K$63,0)),"NO")="SÍ",IF(OR($Y234="",$X234=""),"Resuelta",IF($Y234&gt;$X234,"Resuelta tarde","Resuelta a tiempo")),IF($X234="","Sin clasificar",IF(TODAY()&gt;$X234,"Vencida",IF(TODAY()&gt;=$X234-1,"Por vencer","En plazo")))))</f>
        <v/>
      </c>
      <c r="AB234" s="50" t="n"/>
      <c r="AC234" s="50" t="n"/>
    </row>
    <row r="235" ht="16" customHeight="1">
      <c r="A235" s="28">
        <f>IF($B235="","","N-"&amp;TEXT(ROW()-3,"0000"))</f>
        <v/>
      </c>
      <c r="B235" s="47" t="n"/>
      <c r="C235" s="48" t="n"/>
      <c r="D235" s="48" t="n"/>
      <c r="E235" s="28">
        <f>IF($C235="","",IF($D235="",IF($C235="Interna","Sin guía (interna)","FALTA GUÍA"),IF(COUNTIFS(ENVIOS!$A$4:$A$3003,$D235)=0,"NO EXISTE",IF(COUNTIFS(ENVIOS!$A$4:$A$3003,$D235)&gt;1,"DUPLICADA","OK"))))</f>
        <v/>
      </c>
      <c r="F235" s="28">
        <f>IF($D235="","",IFERROR(INDEX(ENVIOS!$B$4:$B$3003,MATCH($D235,ENVIOS!$A$4:$A$3003,0)),"—"))</f>
        <v/>
      </c>
      <c r="G235" s="23">
        <f>IF($D235="","",IFERROR(INDEX(ENVIOS!$D$4:$D$3003,MATCH($D235,ENVIOS!$A$4:$A$3003,0)),"—"))</f>
        <v/>
      </c>
      <c r="H235" s="23">
        <f>IF($D235="","",IFERROR(INDEX(ENVIOS!$E$4:$E$3003,MATCH($D235,ENVIOS!$A$4:$A$3003,0)),"—"))</f>
        <v/>
      </c>
      <c r="I235" s="23">
        <f>IF($D235="","",IFERROR(INDEX(ENVIOS!$F$4:$F$3003,MATCH($D235,ENVIOS!$A$4:$A$3003,0)),"—"))</f>
        <v/>
      </c>
      <c r="J235" s="23">
        <f>IF($D235="","",IFERROR(INDEX(ENVIOS!$G$4:$G$3003,MATCH($D235,ENVIOS!$A$4:$A$3003,0)),"—"))</f>
        <v/>
      </c>
      <c r="K235" s="28">
        <f>IF($D235="","",IFERROR(INDEX(ENVIOS!$H$4:$H$3003,MATCH($D235,ENVIOS!$A$4:$A$3003,0)),"—"))</f>
        <v/>
      </c>
      <c r="L235" s="49">
        <f>IF($D235="","",IFERROR(INDEX(ENVIOS!$C$4:$C$3003,MATCH($D235,ENVIOS!$A$4:$A$3003,0)),""))</f>
        <v/>
      </c>
      <c r="M235" s="50" t="n"/>
      <c r="N235" s="28">
        <f>IF($M235="","",IFERROR(INDEX(CONFIG!$C$4:$C$63,MATCH($M235,CONFIG!$A$4:$A$63,0)),"Media"))</f>
        <v/>
      </c>
      <c r="O235" s="28">
        <f>IF($M235="","",IF($C235="Interna","NO",IFERROR(INDEX(CONFIG!$E$4:$E$63,MATCH($M235,CONFIG!$A$4:$A$63,0)),"NO")))</f>
        <v/>
      </c>
      <c r="P235" s="50" t="n"/>
      <c r="Q235" s="50" t="n"/>
      <c r="R235" s="28">
        <f>IF($Q235="","",IFERROR(INDEX(CONFIG!$H$4:$H$63,MATCH($Q235,CONFIG!$G$4:$G$63,0)),"Por definir"))</f>
        <v/>
      </c>
      <c r="S235" s="28">
        <f>IF($Q235="","",IFERROR(INDEX(CONFIG!$I$4:$I$63,MATCH($Q235,CONFIG!$G$4:$G$63,0)),"Por definir"))</f>
        <v/>
      </c>
      <c r="T235" s="51" t="n"/>
      <c r="U235" s="52" t="n"/>
      <c r="V235" s="50" t="n"/>
      <c r="W235" s="50" t="n"/>
      <c r="X235" s="49">
        <f>IF(OR($B235="",$M235=""),"",WORKDAY($B235,IFERROR(INDEX(CONFIG!$D$4:$D$63,MATCH($M235,CONFIG!$A$4:$A$63,0)),3)))</f>
        <v/>
      </c>
      <c r="Y235" s="47" t="n"/>
      <c r="Z235" s="24">
        <f>IF($B235="","",IF($Y235&lt;&gt;"",$Y235-$B235,TODAY()-$B235))</f>
        <v/>
      </c>
      <c r="AA235" s="28">
        <f>IF($B235="","",IF(IFERROR(INDEX(CONFIG!$L$4:$L$63,MATCH($V235,CONFIG!$K$4:$K$63,0)),"NO")="SÍ",IF(OR($Y235="",$X235=""),"Resuelta",IF($Y235&gt;$X235,"Resuelta tarde","Resuelta a tiempo")),IF($X235="","Sin clasificar",IF(TODAY()&gt;$X235,"Vencida",IF(TODAY()&gt;=$X235-1,"Por vencer","En plazo")))))</f>
        <v/>
      </c>
      <c r="AB235" s="50" t="n"/>
      <c r="AC235" s="50" t="n"/>
    </row>
    <row r="236" ht="16" customHeight="1">
      <c r="A236" s="28">
        <f>IF($B236="","","N-"&amp;TEXT(ROW()-3,"0000"))</f>
        <v/>
      </c>
      <c r="B236" s="47" t="n"/>
      <c r="C236" s="48" t="n"/>
      <c r="D236" s="48" t="n"/>
      <c r="E236" s="28">
        <f>IF($C236="","",IF($D236="",IF($C236="Interna","Sin guía (interna)","FALTA GUÍA"),IF(COUNTIFS(ENVIOS!$A$4:$A$3003,$D236)=0,"NO EXISTE",IF(COUNTIFS(ENVIOS!$A$4:$A$3003,$D236)&gt;1,"DUPLICADA","OK"))))</f>
        <v/>
      </c>
      <c r="F236" s="28">
        <f>IF($D236="","",IFERROR(INDEX(ENVIOS!$B$4:$B$3003,MATCH($D236,ENVIOS!$A$4:$A$3003,0)),"—"))</f>
        <v/>
      </c>
      <c r="G236" s="23">
        <f>IF($D236="","",IFERROR(INDEX(ENVIOS!$D$4:$D$3003,MATCH($D236,ENVIOS!$A$4:$A$3003,0)),"—"))</f>
        <v/>
      </c>
      <c r="H236" s="23">
        <f>IF($D236="","",IFERROR(INDEX(ENVIOS!$E$4:$E$3003,MATCH($D236,ENVIOS!$A$4:$A$3003,0)),"—"))</f>
        <v/>
      </c>
      <c r="I236" s="23">
        <f>IF($D236="","",IFERROR(INDEX(ENVIOS!$F$4:$F$3003,MATCH($D236,ENVIOS!$A$4:$A$3003,0)),"—"))</f>
        <v/>
      </c>
      <c r="J236" s="23">
        <f>IF($D236="","",IFERROR(INDEX(ENVIOS!$G$4:$G$3003,MATCH($D236,ENVIOS!$A$4:$A$3003,0)),"—"))</f>
        <v/>
      </c>
      <c r="K236" s="28">
        <f>IF($D236="","",IFERROR(INDEX(ENVIOS!$H$4:$H$3003,MATCH($D236,ENVIOS!$A$4:$A$3003,0)),"—"))</f>
        <v/>
      </c>
      <c r="L236" s="49">
        <f>IF($D236="","",IFERROR(INDEX(ENVIOS!$C$4:$C$3003,MATCH($D236,ENVIOS!$A$4:$A$3003,0)),""))</f>
        <v/>
      </c>
      <c r="M236" s="50" t="n"/>
      <c r="N236" s="28">
        <f>IF($M236="","",IFERROR(INDEX(CONFIG!$C$4:$C$63,MATCH($M236,CONFIG!$A$4:$A$63,0)),"Media"))</f>
        <v/>
      </c>
      <c r="O236" s="28">
        <f>IF($M236="","",IF($C236="Interna","NO",IFERROR(INDEX(CONFIG!$E$4:$E$63,MATCH($M236,CONFIG!$A$4:$A$63,0)),"NO")))</f>
        <v/>
      </c>
      <c r="P236" s="50" t="n"/>
      <c r="Q236" s="50" t="n"/>
      <c r="R236" s="28">
        <f>IF($Q236="","",IFERROR(INDEX(CONFIG!$H$4:$H$63,MATCH($Q236,CONFIG!$G$4:$G$63,0)),"Por definir"))</f>
        <v/>
      </c>
      <c r="S236" s="28">
        <f>IF($Q236="","",IFERROR(INDEX(CONFIG!$I$4:$I$63,MATCH($Q236,CONFIG!$G$4:$G$63,0)),"Por definir"))</f>
        <v/>
      </c>
      <c r="T236" s="51" t="n"/>
      <c r="U236" s="52" t="n"/>
      <c r="V236" s="50" t="n"/>
      <c r="W236" s="50" t="n"/>
      <c r="X236" s="49">
        <f>IF(OR($B236="",$M236=""),"",WORKDAY($B236,IFERROR(INDEX(CONFIG!$D$4:$D$63,MATCH($M236,CONFIG!$A$4:$A$63,0)),3)))</f>
        <v/>
      </c>
      <c r="Y236" s="47" t="n"/>
      <c r="Z236" s="24">
        <f>IF($B236="","",IF($Y236&lt;&gt;"",$Y236-$B236,TODAY()-$B236))</f>
        <v/>
      </c>
      <c r="AA236" s="28">
        <f>IF($B236="","",IF(IFERROR(INDEX(CONFIG!$L$4:$L$63,MATCH($V236,CONFIG!$K$4:$K$63,0)),"NO")="SÍ",IF(OR($Y236="",$X236=""),"Resuelta",IF($Y236&gt;$X236,"Resuelta tarde","Resuelta a tiempo")),IF($X236="","Sin clasificar",IF(TODAY()&gt;$X236,"Vencida",IF(TODAY()&gt;=$X236-1,"Por vencer","En plazo")))))</f>
        <v/>
      </c>
      <c r="AB236" s="50" t="n"/>
      <c r="AC236" s="50" t="n"/>
    </row>
    <row r="237" ht="16" customHeight="1">
      <c r="A237" s="28">
        <f>IF($B237="","","N-"&amp;TEXT(ROW()-3,"0000"))</f>
        <v/>
      </c>
      <c r="B237" s="47" t="n"/>
      <c r="C237" s="48" t="n"/>
      <c r="D237" s="48" t="n"/>
      <c r="E237" s="28">
        <f>IF($C237="","",IF($D237="",IF($C237="Interna","Sin guía (interna)","FALTA GUÍA"),IF(COUNTIFS(ENVIOS!$A$4:$A$3003,$D237)=0,"NO EXISTE",IF(COUNTIFS(ENVIOS!$A$4:$A$3003,$D237)&gt;1,"DUPLICADA","OK"))))</f>
        <v/>
      </c>
      <c r="F237" s="28">
        <f>IF($D237="","",IFERROR(INDEX(ENVIOS!$B$4:$B$3003,MATCH($D237,ENVIOS!$A$4:$A$3003,0)),"—"))</f>
        <v/>
      </c>
      <c r="G237" s="23">
        <f>IF($D237="","",IFERROR(INDEX(ENVIOS!$D$4:$D$3003,MATCH($D237,ENVIOS!$A$4:$A$3003,0)),"—"))</f>
        <v/>
      </c>
      <c r="H237" s="23">
        <f>IF($D237="","",IFERROR(INDEX(ENVIOS!$E$4:$E$3003,MATCH($D237,ENVIOS!$A$4:$A$3003,0)),"—"))</f>
        <v/>
      </c>
      <c r="I237" s="23">
        <f>IF($D237="","",IFERROR(INDEX(ENVIOS!$F$4:$F$3003,MATCH($D237,ENVIOS!$A$4:$A$3003,0)),"—"))</f>
        <v/>
      </c>
      <c r="J237" s="23">
        <f>IF($D237="","",IFERROR(INDEX(ENVIOS!$G$4:$G$3003,MATCH($D237,ENVIOS!$A$4:$A$3003,0)),"—"))</f>
        <v/>
      </c>
      <c r="K237" s="28">
        <f>IF($D237="","",IFERROR(INDEX(ENVIOS!$H$4:$H$3003,MATCH($D237,ENVIOS!$A$4:$A$3003,0)),"—"))</f>
        <v/>
      </c>
      <c r="L237" s="49">
        <f>IF($D237="","",IFERROR(INDEX(ENVIOS!$C$4:$C$3003,MATCH($D237,ENVIOS!$A$4:$A$3003,0)),""))</f>
        <v/>
      </c>
      <c r="M237" s="50" t="n"/>
      <c r="N237" s="28">
        <f>IF($M237="","",IFERROR(INDEX(CONFIG!$C$4:$C$63,MATCH($M237,CONFIG!$A$4:$A$63,0)),"Media"))</f>
        <v/>
      </c>
      <c r="O237" s="28">
        <f>IF($M237="","",IF($C237="Interna","NO",IFERROR(INDEX(CONFIG!$E$4:$E$63,MATCH($M237,CONFIG!$A$4:$A$63,0)),"NO")))</f>
        <v/>
      </c>
      <c r="P237" s="50" t="n"/>
      <c r="Q237" s="50" t="n"/>
      <c r="R237" s="28">
        <f>IF($Q237="","",IFERROR(INDEX(CONFIG!$H$4:$H$63,MATCH($Q237,CONFIG!$G$4:$G$63,0)),"Por definir"))</f>
        <v/>
      </c>
      <c r="S237" s="28">
        <f>IF($Q237="","",IFERROR(INDEX(CONFIG!$I$4:$I$63,MATCH($Q237,CONFIG!$G$4:$G$63,0)),"Por definir"))</f>
        <v/>
      </c>
      <c r="T237" s="51" t="n"/>
      <c r="U237" s="52" t="n"/>
      <c r="V237" s="50" t="n"/>
      <c r="W237" s="50" t="n"/>
      <c r="X237" s="49">
        <f>IF(OR($B237="",$M237=""),"",WORKDAY($B237,IFERROR(INDEX(CONFIG!$D$4:$D$63,MATCH($M237,CONFIG!$A$4:$A$63,0)),3)))</f>
        <v/>
      </c>
      <c r="Y237" s="47" t="n"/>
      <c r="Z237" s="24">
        <f>IF($B237="","",IF($Y237&lt;&gt;"",$Y237-$B237,TODAY()-$B237))</f>
        <v/>
      </c>
      <c r="AA237" s="28">
        <f>IF($B237="","",IF(IFERROR(INDEX(CONFIG!$L$4:$L$63,MATCH($V237,CONFIG!$K$4:$K$63,0)),"NO")="SÍ",IF(OR($Y237="",$X237=""),"Resuelta",IF($Y237&gt;$X237,"Resuelta tarde","Resuelta a tiempo")),IF($X237="","Sin clasificar",IF(TODAY()&gt;$X237,"Vencida",IF(TODAY()&gt;=$X237-1,"Por vencer","En plazo")))))</f>
        <v/>
      </c>
      <c r="AB237" s="50" t="n"/>
      <c r="AC237" s="50" t="n"/>
    </row>
    <row r="238" ht="16" customHeight="1">
      <c r="A238" s="28">
        <f>IF($B238="","","N-"&amp;TEXT(ROW()-3,"0000"))</f>
        <v/>
      </c>
      <c r="B238" s="47" t="n"/>
      <c r="C238" s="48" t="n"/>
      <c r="D238" s="48" t="n"/>
      <c r="E238" s="28">
        <f>IF($C238="","",IF($D238="",IF($C238="Interna","Sin guía (interna)","FALTA GUÍA"),IF(COUNTIFS(ENVIOS!$A$4:$A$3003,$D238)=0,"NO EXISTE",IF(COUNTIFS(ENVIOS!$A$4:$A$3003,$D238)&gt;1,"DUPLICADA","OK"))))</f>
        <v/>
      </c>
      <c r="F238" s="28">
        <f>IF($D238="","",IFERROR(INDEX(ENVIOS!$B$4:$B$3003,MATCH($D238,ENVIOS!$A$4:$A$3003,0)),"—"))</f>
        <v/>
      </c>
      <c r="G238" s="23">
        <f>IF($D238="","",IFERROR(INDEX(ENVIOS!$D$4:$D$3003,MATCH($D238,ENVIOS!$A$4:$A$3003,0)),"—"))</f>
        <v/>
      </c>
      <c r="H238" s="23">
        <f>IF($D238="","",IFERROR(INDEX(ENVIOS!$E$4:$E$3003,MATCH($D238,ENVIOS!$A$4:$A$3003,0)),"—"))</f>
        <v/>
      </c>
      <c r="I238" s="23">
        <f>IF($D238="","",IFERROR(INDEX(ENVIOS!$F$4:$F$3003,MATCH($D238,ENVIOS!$A$4:$A$3003,0)),"—"))</f>
        <v/>
      </c>
      <c r="J238" s="23">
        <f>IF($D238="","",IFERROR(INDEX(ENVIOS!$G$4:$G$3003,MATCH($D238,ENVIOS!$A$4:$A$3003,0)),"—"))</f>
        <v/>
      </c>
      <c r="K238" s="28">
        <f>IF($D238="","",IFERROR(INDEX(ENVIOS!$H$4:$H$3003,MATCH($D238,ENVIOS!$A$4:$A$3003,0)),"—"))</f>
        <v/>
      </c>
      <c r="L238" s="49">
        <f>IF($D238="","",IFERROR(INDEX(ENVIOS!$C$4:$C$3003,MATCH($D238,ENVIOS!$A$4:$A$3003,0)),""))</f>
        <v/>
      </c>
      <c r="M238" s="50" t="n"/>
      <c r="N238" s="28">
        <f>IF($M238="","",IFERROR(INDEX(CONFIG!$C$4:$C$63,MATCH($M238,CONFIG!$A$4:$A$63,0)),"Media"))</f>
        <v/>
      </c>
      <c r="O238" s="28">
        <f>IF($M238="","",IF($C238="Interna","NO",IFERROR(INDEX(CONFIG!$E$4:$E$63,MATCH($M238,CONFIG!$A$4:$A$63,0)),"NO")))</f>
        <v/>
      </c>
      <c r="P238" s="50" t="n"/>
      <c r="Q238" s="50" t="n"/>
      <c r="R238" s="28">
        <f>IF($Q238="","",IFERROR(INDEX(CONFIG!$H$4:$H$63,MATCH($Q238,CONFIG!$G$4:$G$63,0)),"Por definir"))</f>
        <v/>
      </c>
      <c r="S238" s="28">
        <f>IF($Q238="","",IFERROR(INDEX(CONFIG!$I$4:$I$63,MATCH($Q238,CONFIG!$G$4:$G$63,0)),"Por definir"))</f>
        <v/>
      </c>
      <c r="T238" s="51" t="n"/>
      <c r="U238" s="52" t="n"/>
      <c r="V238" s="50" t="n"/>
      <c r="W238" s="50" t="n"/>
      <c r="X238" s="49">
        <f>IF(OR($B238="",$M238=""),"",WORKDAY($B238,IFERROR(INDEX(CONFIG!$D$4:$D$63,MATCH($M238,CONFIG!$A$4:$A$63,0)),3)))</f>
        <v/>
      </c>
      <c r="Y238" s="47" t="n"/>
      <c r="Z238" s="24">
        <f>IF($B238="","",IF($Y238&lt;&gt;"",$Y238-$B238,TODAY()-$B238))</f>
        <v/>
      </c>
      <c r="AA238" s="28">
        <f>IF($B238="","",IF(IFERROR(INDEX(CONFIG!$L$4:$L$63,MATCH($V238,CONFIG!$K$4:$K$63,0)),"NO")="SÍ",IF(OR($Y238="",$X238=""),"Resuelta",IF($Y238&gt;$X238,"Resuelta tarde","Resuelta a tiempo")),IF($X238="","Sin clasificar",IF(TODAY()&gt;$X238,"Vencida",IF(TODAY()&gt;=$X238-1,"Por vencer","En plazo")))))</f>
        <v/>
      </c>
      <c r="AB238" s="50" t="n"/>
      <c r="AC238" s="50" t="n"/>
    </row>
    <row r="239" ht="16" customHeight="1">
      <c r="A239" s="28">
        <f>IF($B239="","","N-"&amp;TEXT(ROW()-3,"0000"))</f>
        <v/>
      </c>
      <c r="B239" s="47" t="n"/>
      <c r="C239" s="48" t="n"/>
      <c r="D239" s="48" t="n"/>
      <c r="E239" s="28">
        <f>IF($C239="","",IF($D239="",IF($C239="Interna","Sin guía (interna)","FALTA GUÍA"),IF(COUNTIFS(ENVIOS!$A$4:$A$3003,$D239)=0,"NO EXISTE",IF(COUNTIFS(ENVIOS!$A$4:$A$3003,$D239)&gt;1,"DUPLICADA","OK"))))</f>
        <v/>
      </c>
      <c r="F239" s="28">
        <f>IF($D239="","",IFERROR(INDEX(ENVIOS!$B$4:$B$3003,MATCH($D239,ENVIOS!$A$4:$A$3003,0)),"—"))</f>
        <v/>
      </c>
      <c r="G239" s="23">
        <f>IF($D239="","",IFERROR(INDEX(ENVIOS!$D$4:$D$3003,MATCH($D239,ENVIOS!$A$4:$A$3003,0)),"—"))</f>
        <v/>
      </c>
      <c r="H239" s="23">
        <f>IF($D239="","",IFERROR(INDEX(ENVIOS!$E$4:$E$3003,MATCH($D239,ENVIOS!$A$4:$A$3003,0)),"—"))</f>
        <v/>
      </c>
      <c r="I239" s="23">
        <f>IF($D239="","",IFERROR(INDEX(ENVIOS!$F$4:$F$3003,MATCH($D239,ENVIOS!$A$4:$A$3003,0)),"—"))</f>
        <v/>
      </c>
      <c r="J239" s="23">
        <f>IF($D239="","",IFERROR(INDEX(ENVIOS!$G$4:$G$3003,MATCH($D239,ENVIOS!$A$4:$A$3003,0)),"—"))</f>
        <v/>
      </c>
      <c r="K239" s="28">
        <f>IF($D239="","",IFERROR(INDEX(ENVIOS!$H$4:$H$3003,MATCH($D239,ENVIOS!$A$4:$A$3003,0)),"—"))</f>
        <v/>
      </c>
      <c r="L239" s="49">
        <f>IF($D239="","",IFERROR(INDEX(ENVIOS!$C$4:$C$3003,MATCH($D239,ENVIOS!$A$4:$A$3003,0)),""))</f>
        <v/>
      </c>
      <c r="M239" s="50" t="n"/>
      <c r="N239" s="28">
        <f>IF($M239="","",IFERROR(INDEX(CONFIG!$C$4:$C$63,MATCH($M239,CONFIG!$A$4:$A$63,0)),"Media"))</f>
        <v/>
      </c>
      <c r="O239" s="28">
        <f>IF($M239="","",IF($C239="Interna","NO",IFERROR(INDEX(CONFIG!$E$4:$E$63,MATCH($M239,CONFIG!$A$4:$A$63,0)),"NO")))</f>
        <v/>
      </c>
      <c r="P239" s="50" t="n"/>
      <c r="Q239" s="50" t="n"/>
      <c r="R239" s="28">
        <f>IF($Q239="","",IFERROR(INDEX(CONFIG!$H$4:$H$63,MATCH($Q239,CONFIG!$G$4:$G$63,0)),"Por definir"))</f>
        <v/>
      </c>
      <c r="S239" s="28">
        <f>IF($Q239="","",IFERROR(INDEX(CONFIG!$I$4:$I$63,MATCH($Q239,CONFIG!$G$4:$G$63,0)),"Por definir"))</f>
        <v/>
      </c>
      <c r="T239" s="51" t="n"/>
      <c r="U239" s="52" t="n"/>
      <c r="V239" s="50" t="n"/>
      <c r="W239" s="50" t="n"/>
      <c r="X239" s="49">
        <f>IF(OR($B239="",$M239=""),"",WORKDAY($B239,IFERROR(INDEX(CONFIG!$D$4:$D$63,MATCH($M239,CONFIG!$A$4:$A$63,0)),3)))</f>
        <v/>
      </c>
      <c r="Y239" s="47" t="n"/>
      <c r="Z239" s="24">
        <f>IF($B239="","",IF($Y239&lt;&gt;"",$Y239-$B239,TODAY()-$B239))</f>
        <v/>
      </c>
      <c r="AA239" s="28">
        <f>IF($B239="","",IF(IFERROR(INDEX(CONFIG!$L$4:$L$63,MATCH($V239,CONFIG!$K$4:$K$63,0)),"NO")="SÍ",IF(OR($Y239="",$X239=""),"Resuelta",IF($Y239&gt;$X239,"Resuelta tarde","Resuelta a tiempo")),IF($X239="","Sin clasificar",IF(TODAY()&gt;$X239,"Vencida",IF(TODAY()&gt;=$X239-1,"Por vencer","En plazo")))))</f>
        <v/>
      </c>
      <c r="AB239" s="50" t="n"/>
      <c r="AC239" s="50" t="n"/>
    </row>
    <row r="240" ht="16" customHeight="1">
      <c r="A240" s="28">
        <f>IF($B240="","","N-"&amp;TEXT(ROW()-3,"0000"))</f>
        <v/>
      </c>
      <c r="B240" s="47" t="n"/>
      <c r="C240" s="48" t="n"/>
      <c r="D240" s="48" t="n"/>
      <c r="E240" s="28">
        <f>IF($C240="","",IF($D240="",IF($C240="Interna","Sin guía (interna)","FALTA GUÍA"),IF(COUNTIFS(ENVIOS!$A$4:$A$3003,$D240)=0,"NO EXISTE",IF(COUNTIFS(ENVIOS!$A$4:$A$3003,$D240)&gt;1,"DUPLICADA","OK"))))</f>
        <v/>
      </c>
      <c r="F240" s="28">
        <f>IF($D240="","",IFERROR(INDEX(ENVIOS!$B$4:$B$3003,MATCH($D240,ENVIOS!$A$4:$A$3003,0)),"—"))</f>
        <v/>
      </c>
      <c r="G240" s="23">
        <f>IF($D240="","",IFERROR(INDEX(ENVIOS!$D$4:$D$3003,MATCH($D240,ENVIOS!$A$4:$A$3003,0)),"—"))</f>
        <v/>
      </c>
      <c r="H240" s="23">
        <f>IF($D240="","",IFERROR(INDEX(ENVIOS!$E$4:$E$3003,MATCH($D240,ENVIOS!$A$4:$A$3003,0)),"—"))</f>
        <v/>
      </c>
      <c r="I240" s="23">
        <f>IF($D240="","",IFERROR(INDEX(ENVIOS!$F$4:$F$3003,MATCH($D240,ENVIOS!$A$4:$A$3003,0)),"—"))</f>
        <v/>
      </c>
      <c r="J240" s="23">
        <f>IF($D240="","",IFERROR(INDEX(ENVIOS!$G$4:$G$3003,MATCH($D240,ENVIOS!$A$4:$A$3003,0)),"—"))</f>
        <v/>
      </c>
      <c r="K240" s="28">
        <f>IF($D240="","",IFERROR(INDEX(ENVIOS!$H$4:$H$3003,MATCH($D240,ENVIOS!$A$4:$A$3003,0)),"—"))</f>
        <v/>
      </c>
      <c r="L240" s="49">
        <f>IF($D240="","",IFERROR(INDEX(ENVIOS!$C$4:$C$3003,MATCH($D240,ENVIOS!$A$4:$A$3003,0)),""))</f>
        <v/>
      </c>
      <c r="M240" s="50" t="n"/>
      <c r="N240" s="28">
        <f>IF($M240="","",IFERROR(INDEX(CONFIG!$C$4:$C$63,MATCH($M240,CONFIG!$A$4:$A$63,0)),"Media"))</f>
        <v/>
      </c>
      <c r="O240" s="28">
        <f>IF($M240="","",IF($C240="Interna","NO",IFERROR(INDEX(CONFIG!$E$4:$E$63,MATCH($M240,CONFIG!$A$4:$A$63,0)),"NO")))</f>
        <v/>
      </c>
      <c r="P240" s="50" t="n"/>
      <c r="Q240" s="50" t="n"/>
      <c r="R240" s="28">
        <f>IF($Q240="","",IFERROR(INDEX(CONFIG!$H$4:$H$63,MATCH($Q240,CONFIG!$G$4:$G$63,0)),"Por definir"))</f>
        <v/>
      </c>
      <c r="S240" s="28">
        <f>IF($Q240="","",IFERROR(INDEX(CONFIG!$I$4:$I$63,MATCH($Q240,CONFIG!$G$4:$G$63,0)),"Por definir"))</f>
        <v/>
      </c>
      <c r="T240" s="51" t="n"/>
      <c r="U240" s="52" t="n"/>
      <c r="V240" s="50" t="n"/>
      <c r="W240" s="50" t="n"/>
      <c r="X240" s="49">
        <f>IF(OR($B240="",$M240=""),"",WORKDAY($B240,IFERROR(INDEX(CONFIG!$D$4:$D$63,MATCH($M240,CONFIG!$A$4:$A$63,0)),3)))</f>
        <v/>
      </c>
      <c r="Y240" s="47" t="n"/>
      <c r="Z240" s="24">
        <f>IF($B240="","",IF($Y240&lt;&gt;"",$Y240-$B240,TODAY()-$B240))</f>
        <v/>
      </c>
      <c r="AA240" s="28">
        <f>IF($B240="","",IF(IFERROR(INDEX(CONFIG!$L$4:$L$63,MATCH($V240,CONFIG!$K$4:$K$63,0)),"NO")="SÍ",IF(OR($Y240="",$X240=""),"Resuelta",IF($Y240&gt;$X240,"Resuelta tarde","Resuelta a tiempo")),IF($X240="","Sin clasificar",IF(TODAY()&gt;$X240,"Vencida",IF(TODAY()&gt;=$X240-1,"Por vencer","En plazo")))))</f>
        <v/>
      </c>
      <c r="AB240" s="50" t="n"/>
      <c r="AC240" s="50" t="n"/>
    </row>
    <row r="241" ht="16" customHeight="1">
      <c r="A241" s="28">
        <f>IF($B241="","","N-"&amp;TEXT(ROW()-3,"0000"))</f>
        <v/>
      </c>
      <c r="B241" s="47" t="n"/>
      <c r="C241" s="48" t="n"/>
      <c r="D241" s="48" t="n"/>
      <c r="E241" s="28">
        <f>IF($C241="","",IF($D241="",IF($C241="Interna","Sin guía (interna)","FALTA GUÍA"),IF(COUNTIFS(ENVIOS!$A$4:$A$3003,$D241)=0,"NO EXISTE",IF(COUNTIFS(ENVIOS!$A$4:$A$3003,$D241)&gt;1,"DUPLICADA","OK"))))</f>
        <v/>
      </c>
      <c r="F241" s="28">
        <f>IF($D241="","",IFERROR(INDEX(ENVIOS!$B$4:$B$3003,MATCH($D241,ENVIOS!$A$4:$A$3003,0)),"—"))</f>
        <v/>
      </c>
      <c r="G241" s="23">
        <f>IF($D241="","",IFERROR(INDEX(ENVIOS!$D$4:$D$3003,MATCH($D241,ENVIOS!$A$4:$A$3003,0)),"—"))</f>
        <v/>
      </c>
      <c r="H241" s="23">
        <f>IF($D241="","",IFERROR(INDEX(ENVIOS!$E$4:$E$3003,MATCH($D241,ENVIOS!$A$4:$A$3003,0)),"—"))</f>
        <v/>
      </c>
      <c r="I241" s="23">
        <f>IF($D241="","",IFERROR(INDEX(ENVIOS!$F$4:$F$3003,MATCH($D241,ENVIOS!$A$4:$A$3003,0)),"—"))</f>
        <v/>
      </c>
      <c r="J241" s="23">
        <f>IF($D241="","",IFERROR(INDEX(ENVIOS!$G$4:$G$3003,MATCH($D241,ENVIOS!$A$4:$A$3003,0)),"—"))</f>
        <v/>
      </c>
      <c r="K241" s="28">
        <f>IF($D241="","",IFERROR(INDEX(ENVIOS!$H$4:$H$3003,MATCH($D241,ENVIOS!$A$4:$A$3003,0)),"—"))</f>
        <v/>
      </c>
      <c r="L241" s="49">
        <f>IF($D241="","",IFERROR(INDEX(ENVIOS!$C$4:$C$3003,MATCH($D241,ENVIOS!$A$4:$A$3003,0)),""))</f>
        <v/>
      </c>
      <c r="M241" s="50" t="n"/>
      <c r="N241" s="28">
        <f>IF($M241="","",IFERROR(INDEX(CONFIG!$C$4:$C$63,MATCH($M241,CONFIG!$A$4:$A$63,0)),"Media"))</f>
        <v/>
      </c>
      <c r="O241" s="28">
        <f>IF($M241="","",IF($C241="Interna","NO",IFERROR(INDEX(CONFIG!$E$4:$E$63,MATCH($M241,CONFIG!$A$4:$A$63,0)),"NO")))</f>
        <v/>
      </c>
      <c r="P241" s="50" t="n"/>
      <c r="Q241" s="50" t="n"/>
      <c r="R241" s="28">
        <f>IF($Q241="","",IFERROR(INDEX(CONFIG!$H$4:$H$63,MATCH($Q241,CONFIG!$G$4:$G$63,0)),"Por definir"))</f>
        <v/>
      </c>
      <c r="S241" s="28">
        <f>IF($Q241="","",IFERROR(INDEX(CONFIG!$I$4:$I$63,MATCH($Q241,CONFIG!$G$4:$G$63,0)),"Por definir"))</f>
        <v/>
      </c>
      <c r="T241" s="51" t="n"/>
      <c r="U241" s="52" t="n"/>
      <c r="V241" s="50" t="n"/>
      <c r="W241" s="50" t="n"/>
      <c r="X241" s="49">
        <f>IF(OR($B241="",$M241=""),"",WORKDAY($B241,IFERROR(INDEX(CONFIG!$D$4:$D$63,MATCH($M241,CONFIG!$A$4:$A$63,0)),3)))</f>
        <v/>
      </c>
      <c r="Y241" s="47" t="n"/>
      <c r="Z241" s="24">
        <f>IF($B241="","",IF($Y241&lt;&gt;"",$Y241-$B241,TODAY()-$B241))</f>
        <v/>
      </c>
      <c r="AA241" s="28">
        <f>IF($B241="","",IF(IFERROR(INDEX(CONFIG!$L$4:$L$63,MATCH($V241,CONFIG!$K$4:$K$63,0)),"NO")="SÍ",IF(OR($Y241="",$X241=""),"Resuelta",IF($Y241&gt;$X241,"Resuelta tarde","Resuelta a tiempo")),IF($X241="","Sin clasificar",IF(TODAY()&gt;$X241,"Vencida",IF(TODAY()&gt;=$X241-1,"Por vencer","En plazo")))))</f>
        <v/>
      </c>
      <c r="AB241" s="50" t="n"/>
      <c r="AC241" s="50" t="n"/>
    </row>
    <row r="242" ht="16" customHeight="1">
      <c r="A242" s="28">
        <f>IF($B242="","","N-"&amp;TEXT(ROW()-3,"0000"))</f>
        <v/>
      </c>
      <c r="B242" s="47" t="n"/>
      <c r="C242" s="48" t="n"/>
      <c r="D242" s="48" t="n"/>
      <c r="E242" s="28">
        <f>IF($C242="","",IF($D242="",IF($C242="Interna","Sin guía (interna)","FALTA GUÍA"),IF(COUNTIFS(ENVIOS!$A$4:$A$3003,$D242)=0,"NO EXISTE",IF(COUNTIFS(ENVIOS!$A$4:$A$3003,$D242)&gt;1,"DUPLICADA","OK"))))</f>
        <v/>
      </c>
      <c r="F242" s="28">
        <f>IF($D242="","",IFERROR(INDEX(ENVIOS!$B$4:$B$3003,MATCH($D242,ENVIOS!$A$4:$A$3003,0)),"—"))</f>
        <v/>
      </c>
      <c r="G242" s="23">
        <f>IF($D242="","",IFERROR(INDEX(ENVIOS!$D$4:$D$3003,MATCH($D242,ENVIOS!$A$4:$A$3003,0)),"—"))</f>
        <v/>
      </c>
      <c r="H242" s="23">
        <f>IF($D242="","",IFERROR(INDEX(ENVIOS!$E$4:$E$3003,MATCH($D242,ENVIOS!$A$4:$A$3003,0)),"—"))</f>
        <v/>
      </c>
      <c r="I242" s="23">
        <f>IF($D242="","",IFERROR(INDEX(ENVIOS!$F$4:$F$3003,MATCH($D242,ENVIOS!$A$4:$A$3003,0)),"—"))</f>
        <v/>
      </c>
      <c r="J242" s="23">
        <f>IF($D242="","",IFERROR(INDEX(ENVIOS!$G$4:$G$3003,MATCH($D242,ENVIOS!$A$4:$A$3003,0)),"—"))</f>
        <v/>
      </c>
      <c r="K242" s="28">
        <f>IF($D242="","",IFERROR(INDEX(ENVIOS!$H$4:$H$3003,MATCH($D242,ENVIOS!$A$4:$A$3003,0)),"—"))</f>
        <v/>
      </c>
      <c r="L242" s="49">
        <f>IF($D242="","",IFERROR(INDEX(ENVIOS!$C$4:$C$3003,MATCH($D242,ENVIOS!$A$4:$A$3003,0)),""))</f>
        <v/>
      </c>
      <c r="M242" s="50" t="n"/>
      <c r="N242" s="28">
        <f>IF($M242="","",IFERROR(INDEX(CONFIG!$C$4:$C$63,MATCH($M242,CONFIG!$A$4:$A$63,0)),"Media"))</f>
        <v/>
      </c>
      <c r="O242" s="28">
        <f>IF($M242="","",IF($C242="Interna","NO",IFERROR(INDEX(CONFIG!$E$4:$E$63,MATCH($M242,CONFIG!$A$4:$A$63,0)),"NO")))</f>
        <v/>
      </c>
      <c r="P242" s="50" t="n"/>
      <c r="Q242" s="50" t="n"/>
      <c r="R242" s="28">
        <f>IF($Q242="","",IFERROR(INDEX(CONFIG!$H$4:$H$63,MATCH($Q242,CONFIG!$G$4:$G$63,0)),"Por definir"))</f>
        <v/>
      </c>
      <c r="S242" s="28">
        <f>IF($Q242="","",IFERROR(INDEX(CONFIG!$I$4:$I$63,MATCH($Q242,CONFIG!$G$4:$G$63,0)),"Por definir"))</f>
        <v/>
      </c>
      <c r="T242" s="51" t="n"/>
      <c r="U242" s="52" t="n"/>
      <c r="V242" s="50" t="n"/>
      <c r="W242" s="50" t="n"/>
      <c r="X242" s="49">
        <f>IF(OR($B242="",$M242=""),"",WORKDAY($B242,IFERROR(INDEX(CONFIG!$D$4:$D$63,MATCH($M242,CONFIG!$A$4:$A$63,0)),3)))</f>
        <v/>
      </c>
      <c r="Y242" s="47" t="n"/>
      <c r="Z242" s="24">
        <f>IF($B242="","",IF($Y242&lt;&gt;"",$Y242-$B242,TODAY()-$B242))</f>
        <v/>
      </c>
      <c r="AA242" s="28">
        <f>IF($B242="","",IF(IFERROR(INDEX(CONFIG!$L$4:$L$63,MATCH($V242,CONFIG!$K$4:$K$63,0)),"NO")="SÍ",IF(OR($Y242="",$X242=""),"Resuelta",IF($Y242&gt;$X242,"Resuelta tarde","Resuelta a tiempo")),IF($X242="","Sin clasificar",IF(TODAY()&gt;$X242,"Vencida",IF(TODAY()&gt;=$X242-1,"Por vencer","En plazo")))))</f>
        <v/>
      </c>
      <c r="AB242" s="50" t="n"/>
      <c r="AC242" s="50" t="n"/>
    </row>
    <row r="243" ht="16" customHeight="1">
      <c r="A243" s="28">
        <f>IF($B243="","","N-"&amp;TEXT(ROW()-3,"0000"))</f>
        <v/>
      </c>
      <c r="B243" s="47" t="n"/>
      <c r="C243" s="48" t="n"/>
      <c r="D243" s="48" t="n"/>
      <c r="E243" s="28">
        <f>IF($C243="","",IF($D243="",IF($C243="Interna","Sin guía (interna)","FALTA GUÍA"),IF(COUNTIFS(ENVIOS!$A$4:$A$3003,$D243)=0,"NO EXISTE",IF(COUNTIFS(ENVIOS!$A$4:$A$3003,$D243)&gt;1,"DUPLICADA","OK"))))</f>
        <v/>
      </c>
      <c r="F243" s="28">
        <f>IF($D243="","",IFERROR(INDEX(ENVIOS!$B$4:$B$3003,MATCH($D243,ENVIOS!$A$4:$A$3003,0)),"—"))</f>
        <v/>
      </c>
      <c r="G243" s="23">
        <f>IF($D243="","",IFERROR(INDEX(ENVIOS!$D$4:$D$3003,MATCH($D243,ENVIOS!$A$4:$A$3003,0)),"—"))</f>
        <v/>
      </c>
      <c r="H243" s="23">
        <f>IF($D243="","",IFERROR(INDEX(ENVIOS!$E$4:$E$3003,MATCH($D243,ENVIOS!$A$4:$A$3003,0)),"—"))</f>
        <v/>
      </c>
      <c r="I243" s="23">
        <f>IF($D243="","",IFERROR(INDEX(ENVIOS!$F$4:$F$3003,MATCH($D243,ENVIOS!$A$4:$A$3003,0)),"—"))</f>
        <v/>
      </c>
      <c r="J243" s="23">
        <f>IF($D243="","",IFERROR(INDEX(ENVIOS!$G$4:$G$3003,MATCH($D243,ENVIOS!$A$4:$A$3003,0)),"—"))</f>
        <v/>
      </c>
      <c r="K243" s="28">
        <f>IF($D243="","",IFERROR(INDEX(ENVIOS!$H$4:$H$3003,MATCH($D243,ENVIOS!$A$4:$A$3003,0)),"—"))</f>
        <v/>
      </c>
      <c r="L243" s="49">
        <f>IF($D243="","",IFERROR(INDEX(ENVIOS!$C$4:$C$3003,MATCH($D243,ENVIOS!$A$4:$A$3003,0)),""))</f>
        <v/>
      </c>
      <c r="M243" s="50" t="n"/>
      <c r="N243" s="28">
        <f>IF($M243="","",IFERROR(INDEX(CONFIG!$C$4:$C$63,MATCH($M243,CONFIG!$A$4:$A$63,0)),"Media"))</f>
        <v/>
      </c>
      <c r="O243" s="28">
        <f>IF($M243="","",IF($C243="Interna","NO",IFERROR(INDEX(CONFIG!$E$4:$E$63,MATCH($M243,CONFIG!$A$4:$A$63,0)),"NO")))</f>
        <v/>
      </c>
      <c r="P243" s="50" t="n"/>
      <c r="Q243" s="50" t="n"/>
      <c r="R243" s="28">
        <f>IF($Q243="","",IFERROR(INDEX(CONFIG!$H$4:$H$63,MATCH($Q243,CONFIG!$G$4:$G$63,0)),"Por definir"))</f>
        <v/>
      </c>
      <c r="S243" s="28">
        <f>IF($Q243="","",IFERROR(INDEX(CONFIG!$I$4:$I$63,MATCH($Q243,CONFIG!$G$4:$G$63,0)),"Por definir"))</f>
        <v/>
      </c>
      <c r="T243" s="51" t="n"/>
      <c r="U243" s="52" t="n"/>
      <c r="V243" s="50" t="n"/>
      <c r="W243" s="50" t="n"/>
      <c r="X243" s="49">
        <f>IF(OR($B243="",$M243=""),"",WORKDAY($B243,IFERROR(INDEX(CONFIG!$D$4:$D$63,MATCH($M243,CONFIG!$A$4:$A$63,0)),3)))</f>
        <v/>
      </c>
      <c r="Y243" s="47" t="n"/>
      <c r="Z243" s="24">
        <f>IF($B243="","",IF($Y243&lt;&gt;"",$Y243-$B243,TODAY()-$B243))</f>
        <v/>
      </c>
      <c r="AA243" s="28">
        <f>IF($B243="","",IF(IFERROR(INDEX(CONFIG!$L$4:$L$63,MATCH($V243,CONFIG!$K$4:$K$63,0)),"NO")="SÍ",IF(OR($Y243="",$X243=""),"Resuelta",IF($Y243&gt;$X243,"Resuelta tarde","Resuelta a tiempo")),IF($X243="","Sin clasificar",IF(TODAY()&gt;$X243,"Vencida",IF(TODAY()&gt;=$X243-1,"Por vencer","En plazo")))))</f>
        <v/>
      </c>
      <c r="AB243" s="50" t="n"/>
      <c r="AC243" s="50" t="n"/>
    </row>
    <row r="244" ht="16" customHeight="1">
      <c r="A244" s="28">
        <f>IF($B244="","","N-"&amp;TEXT(ROW()-3,"0000"))</f>
        <v/>
      </c>
      <c r="B244" s="47" t="n"/>
      <c r="C244" s="48" t="n"/>
      <c r="D244" s="48" t="n"/>
      <c r="E244" s="28">
        <f>IF($C244="","",IF($D244="",IF($C244="Interna","Sin guía (interna)","FALTA GUÍA"),IF(COUNTIFS(ENVIOS!$A$4:$A$3003,$D244)=0,"NO EXISTE",IF(COUNTIFS(ENVIOS!$A$4:$A$3003,$D244)&gt;1,"DUPLICADA","OK"))))</f>
        <v/>
      </c>
      <c r="F244" s="28">
        <f>IF($D244="","",IFERROR(INDEX(ENVIOS!$B$4:$B$3003,MATCH($D244,ENVIOS!$A$4:$A$3003,0)),"—"))</f>
        <v/>
      </c>
      <c r="G244" s="23">
        <f>IF($D244="","",IFERROR(INDEX(ENVIOS!$D$4:$D$3003,MATCH($D244,ENVIOS!$A$4:$A$3003,0)),"—"))</f>
        <v/>
      </c>
      <c r="H244" s="23">
        <f>IF($D244="","",IFERROR(INDEX(ENVIOS!$E$4:$E$3003,MATCH($D244,ENVIOS!$A$4:$A$3003,0)),"—"))</f>
        <v/>
      </c>
      <c r="I244" s="23">
        <f>IF($D244="","",IFERROR(INDEX(ENVIOS!$F$4:$F$3003,MATCH($D244,ENVIOS!$A$4:$A$3003,0)),"—"))</f>
        <v/>
      </c>
      <c r="J244" s="23">
        <f>IF($D244="","",IFERROR(INDEX(ENVIOS!$G$4:$G$3003,MATCH($D244,ENVIOS!$A$4:$A$3003,0)),"—"))</f>
        <v/>
      </c>
      <c r="K244" s="28">
        <f>IF($D244="","",IFERROR(INDEX(ENVIOS!$H$4:$H$3003,MATCH($D244,ENVIOS!$A$4:$A$3003,0)),"—"))</f>
        <v/>
      </c>
      <c r="L244" s="49">
        <f>IF($D244="","",IFERROR(INDEX(ENVIOS!$C$4:$C$3003,MATCH($D244,ENVIOS!$A$4:$A$3003,0)),""))</f>
        <v/>
      </c>
      <c r="M244" s="50" t="n"/>
      <c r="N244" s="28">
        <f>IF($M244="","",IFERROR(INDEX(CONFIG!$C$4:$C$63,MATCH($M244,CONFIG!$A$4:$A$63,0)),"Media"))</f>
        <v/>
      </c>
      <c r="O244" s="28">
        <f>IF($M244="","",IF($C244="Interna","NO",IFERROR(INDEX(CONFIG!$E$4:$E$63,MATCH($M244,CONFIG!$A$4:$A$63,0)),"NO")))</f>
        <v/>
      </c>
      <c r="P244" s="50" t="n"/>
      <c r="Q244" s="50" t="n"/>
      <c r="R244" s="28">
        <f>IF($Q244="","",IFERROR(INDEX(CONFIG!$H$4:$H$63,MATCH($Q244,CONFIG!$G$4:$G$63,0)),"Por definir"))</f>
        <v/>
      </c>
      <c r="S244" s="28">
        <f>IF($Q244="","",IFERROR(INDEX(CONFIG!$I$4:$I$63,MATCH($Q244,CONFIG!$G$4:$G$63,0)),"Por definir"))</f>
        <v/>
      </c>
      <c r="T244" s="51" t="n"/>
      <c r="U244" s="52" t="n"/>
      <c r="V244" s="50" t="n"/>
      <c r="W244" s="50" t="n"/>
      <c r="X244" s="49">
        <f>IF(OR($B244="",$M244=""),"",WORKDAY($B244,IFERROR(INDEX(CONFIG!$D$4:$D$63,MATCH($M244,CONFIG!$A$4:$A$63,0)),3)))</f>
        <v/>
      </c>
      <c r="Y244" s="47" t="n"/>
      <c r="Z244" s="24">
        <f>IF($B244="","",IF($Y244&lt;&gt;"",$Y244-$B244,TODAY()-$B244))</f>
        <v/>
      </c>
      <c r="AA244" s="28">
        <f>IF($B244="","",IF(IFERROR(INDEX(CONFIG!$L$4:$L$63,MATCH($V244,CONFIG!$K$4:$K$63,0)),"NO")="SÍ",IF(OR($Y244="",$X244=""),"Resuelta",IF($Y244&gt;$X244,"Resuelta tarde","Resuelta a tiempo")),IF($X244="","Sin clasificar",IF(TODAY()&gt;$X244,"Vencida",IF(TODAY()&gt;=$X244-1,"Por vencer","En plazo")))))</f>
        <v/>
      </c>
      <c r="AB244" s="50" t="n"/>
      <c r="AC244" s="50" t="n"/>
    </row>
    <row r="245" ht="16" customHeight="1">
      <c r="A245" s="28">
        <f>IF($B245="","","N-"&amp;TEXT(ROW()-3,"0000"))</f>
        <v/>
      </c>
      <c r="B245" s="47" t="n"/>
      <c r="C245" s="48" t="n"/>
      <c r="D245" s="48" t="n"/>
      <c r="E245" s="28">
        <f>IF($C245="","",IF($D245="",IF($C245="Interna","Sin guía (interna)","FALTA GUÍA"),IF(COUNTIFS(ENVIOS!$A$4:$A$3003,$D245)=0,"NO EXISTE",IF(COUNTIFS(ENVIOS!$A$4:$A$3003,$D245)&gt;1,"DUPLICADA","OK"))))</f>
        <v/>
      </c>
      <c r="F245" s="28">
        <f>IF($D245="","",IFERROR(INDEX(ENVIOS!$B$4:$B$3003,MATCH($D245,ENVIOS!$A$4:$A$3003,0)),"—"))</f>
        <v/>
      </c>
      <c r="G245" s="23">
        <f>IF($D245="","",IFERROR(INDEX(ENVIOS!$D$4:$D$3003,MATCH($D245,ENVIOS!$A$4:$A$3003,0)),"—"))</f>
        <v/>
      </c>
      <c r="H245" s="23">
        <f>IF($D245="","",IFERROR(INDEX(ENVIOS!$E$4:$E$3003,MATCH($D245,ENVIOS!$A$4:$A$3003,0)),"—"))</f>
        <v/>
      </c>
      <c r="I245" s="23">
        <f>IF($D245="","",IFERROR(INDEX(ENVIOS!$F$4:$F$3003,MATCH($D245,ENVIOS!$A$4:$A$3003,0)),"—"))</f>
        <v/>
      </c>
      <c r="J245" s="23">
        <f>IF($D245="","",IFERROR(INDEX(ENVIOS!$G$4:$G$3003,MATCH($D245,ENVIOS!$A$4:$A$3003,0)),"—"))</f>
        <v/>
      </c>
      <c r="K245" s="28">
        <f>IF($D245="","",IFERROR(INDEX(ENVIOS!$H$4:$H$3003,MATCH($D245,ENVIOS!$A$4:$A$3003,0)),"—"))</f>
        <v/>
      </c>
      <c r="L245" s="49">
        <f>IF($D245="","",IFERROR(INDEX(ENVIOS!$C$4:$C$3003,MATCH($D245,ENVIOS!$A$4:$A$3003,0)),""))</f>
        <v/>
      </c>
      <c r="M245" s="50" t="n"/>
      <c r="N245" s="28">
        <f>IF($M245="","",IFERROR(INDEX(CONFIG!$C$4:$C$63,MATCH($M245,CONFIG!$A$4:$A$63,0)),"Media"))</f>
        <v/>
      </c>
      <c r="O245" s="28">
        <f>IF($M245="","",IF($C245="Interna","NO",IFERROR(INDEX(CONFIG!$E$4:$E$63,MATCH($M245,CONFIG!$A$4:$A$63,0)),"NO")))</f>
        <v/>
      </c>
      <c r="P245" s="50" t="n"/>
      <c r="Q245" s="50" t="n"/>
      <c r="R245" s="28">
        <f>IF($Q245="","",IFERROR(INDEX(CONFIG!$H$4:$H$63,MATCH($Q245,CONFIG!$G$4:$G$63,0)),"Por definir"))</f>
        <v/>
      </c>
      <c r="S245" s="28">
        <f>IF($Q245="","",IFERROR(INDEX(CONFIG!$I$4:$I$63,MATCH($Q245,CONFIG!$G$4:$G$63,0)),"Por definir"))</f>
        <v/>
      </c>
      <c r="T245" s="51" t="n"/>
      <c r="U245" s="52" t="n"/>
      <c r="V245" s="50" t="n"/>
      <c r="W245" s="50" t="n"/>
      <c r="X245" s="49">
        <f>IF(OR($B245="",$M245=""),"",WORKDAY($B245,IFERROR(INDEX(CONFIG!$D$4:$D$63,MATCH($M245,CONFIG!$A$4:$A$63,0)),3)))</f>
        <v/>
      </c>
      <c r="Y245" s="47" t="n"/>
      <c r="Z245" s="24">
        <f>IF($B245="","",IF($Y245&lt;&gt;"",$Y245-$B245,TODAY()-$B245))</f>
        <v/>
      </c>
      <c r="AA245" s="28">
        <f>IF($B245="","",IF(IFERROR(INDEX(CONFIG!$L$4:$L$63,MATCH($V245,CONFIG!$K$4:$K$63,0)),"NO")="SÍ",IF(OR($Y245="",$X245=""),"Resuelta",IF($Y245&gt;$X245,"Resuelta tarde","Resuelta a tiempo")),IF($X245="","Sin clasificar",IF(TODAY()&gt;$X245,"Vencida",IF(TODAY()&gt;=$X245-1,"Por vencer","En plazo")))))</f>
        <v/>
      </c>
      <c r="AB245" s="50" t="n"/>
      <c r="AC245" s="50" t="n"/>
    </row>
    <row r="246" ht="16" customHeight="1">
      <c r="A246" s="28">
        <f>IF($B246="","","N-"&amp;TEXT(ROW()-3,"0000"))</f>
        <v/>
      </c>
      <c r="B246" s="47" t="n"/>
      <c r="C246" s="48" t="n"/>
      <c r="D246" s="48" t="n"/>
      <c r="E246" s="28">
        <f>IF($C246="","",IF($D246="",IF($C246="Interna","Sin guía (interna)","FALTA GUÍA"),IF(COUNTIFS(ENVIOS!$A$4:$A$3003,$D246)=0,"NO EXISTE",IF(COUNTIFS(ENVIOS!$A$4:$A$3003,$D246)&gt;1,"DUPLICADA","OK"))))</f>
        <v/>
      </c>
      <c r="F246" s="28">
        <f>IF($D246="","",IFERROR(INDEX(ENVIOS!$B$4:$B$3003,MATCH($D246,ENVIOS!$A$4:$A$3003,0)),"—"))</f>
        <v/>
      </c>
      <c r="G246" s="23">
        <f>IF($D246="","",IFERROR(INDEX(ENVIOS!$D$4:$D$3003,MATCH($D246,ENVIOS!$A$4:$A$3003,0)),"—"))</f>
        <v/>
      </c>
      <c r="H246" s="23">
        <f>IF($D246="","",IFERROR(INDEX(ENVIOS!$E$4:$E$3003,MATCH($D246,ENVIOS!$A$4:$A$3003,0)),"—"))</f>
        <v/>
      </c>
      <c r="I246" s="23">
        <f>IF($D246="","",IFERROR(INDEX(ENVIOS!$F$4:$F$3003,MATCH($D246,ENVIOS!$A$4:$A$3003,0)),"—"))</f>
        <v/>
      </c>
      <c r="J246" s="23">
        <f>IF($D246="","",IFERROR(INDEX(ENVIOS!$G$4:$G$3003,MATCH($D246,ENVIOS!$A$4:$A$3003,0)),"—"))</f>
        <v/>
      </c>
      <c r="K246" s="28">
        <f>IF($D246="","",IFERROR(INDEX(ENVIOS!$H$4:$H$3003,MATCH($D246,ENVIOS!$A$4:$A$3003,0)),"—"))</f>
        <v/>
      </c>
      <c r="L246" s="49">
        <f>IF($D246="","",IFERROR(INDEX(ENVIOS!$C$4:$C$3003,MATCH($D246,ENVIOS!$A$4:$A$3003,0)),""))</f>
        <v/>
      </c>
      <c r="M246" s="50" t="n"/>
      <c r="N246" s="28">
        <f>IF($M246="","",IFERROR(INDEX(CONFIG!$C$4:$C$63,MATCH($M246,CONFIG!$A$4:$A$63,0)),"Media"))</f>
        <v/>
      </c>
      <c r="O246" s="28">
        <f>IF($M246="","",IF($C246="Interna","NO",IFERROR(INDEX(CONFIG!$E$4:$E$63,MATCH($M246,CONFIG!$A$4:$A$63,0)),"NO")))</f>
        <v/>
      </c>
      <c r="P246" s="50" t="n"/>
      <c r="Q246" s="50" t="n"/>
      <c r="R246" s="28">
        <f>IF($Q246="","",IFERROR(INDEX(CONFIG!$H$4:$H$63,MATCH($Q246,CONFIG!$G$4:$G$63,0)),"Por definir"))</f>
        <v/>
      </c>
      <c r="S246" s="28">
        <f>IF($Q246="","",IFERROR(INDEX(CONFIG!$I$4:$I$63,MATCH($Q246,CONFIG!$G$4:$G$63,0)),"Por definir"))</f>
        <v/>
      </c>
      <c r="T246" s="51" t="n"/>
      <c r="U246" s="52" t="n"/>
      <c r="V246" s="50" t="n"/>
      <c r="W246" s="50" t="n"/>
      <c r="X246" s="49">
        <f>IF(OR($B246="",$M246=""),"",WORKDAY($B246,IFERROR(INDEX(CONFIG!$D$4:$D$63,MATCH($M246,CONFIG!$A$4:$A$63,0)),3)))</f>
        <v/>
      </c>
      <c r="Y246" s="47" t="n"/>
      <c r="Z246" s="24">
        <f>IF($B246="","",IF($Y246&lt;&gt;"",$Y246-$B246,TODAY()-$B246))</f>
        <v/>
      </c>
      <c r="AA246" s="28">
        <f>IF($B246="","",IF(IFERROR(INDEX(CONFIG!$L$4:$L$63,MATCH($V246,CONFIG!$K$4:$K$63,0)),"NO")="SÍ",IF(OR($Y246="",$X246=""),"Resuelta",IF($Y246&gt;$X246,"Resuelta tarde","Resuelta a tiempo")),IF($X246="","Sin clasificar",IF(TODAY()&gt;$X246,"Vencida",IF(TODAY()&gt;=$X246-1,"Por vencer","En plazo")))))</f>
        <v/>
      </c>
      <c r="AB246" s="50" t="n"/>
      <c r="AC246" s="50" t="n"/>
    </row>
    <row r="247" ht="16" customHeight="1">
      <c r="A247" s="28">
        <f>IF($B247="","","N-"&amp;TEXT(ROW()-3,"0000"))</f>
        <v/>
      </c>
      <c r="B247" s="47" t="n"/>
      <c r="C247" s="48" t="n"/>
      <c r="D247" s="48" t="n"/>
      <c r="E247" s="28">
        <f>IF($C247="","",IF($D247="",IF($C247="Interna","Sin guía (interna)","FALTA GUÍA"),IF(COUNTIFS(ENVIOS!$A$4:$A$3003,$D247)=0,"NO EXISTE",IF(COUNTIFS(ENVIOS!$A$4:$A$3003,$D247)&gt;1,"DUPLICADA","OK"))))</f>
        <v/>
      </c>
      <c r="F247" s="28">
        <f>IF($D247="","",IFERROR(INDEX(ENVIOS!$B$4:$B$3003,MATCH($D247,ENVIOS!$A$4:$A$3003,0)),"—"))</f>
        <v/>
      </c>
      <c r="G247" s="23">
        <f>IF($D247="","",IFERROR(INDEX(ENVIOS!$D$4:$D$3003,MATCH($D247,ENVIOS!$A$4:$A$3003,0)),"—"))</f>
        <v/>
      </c>
      <c r="H247" s="23">
        <f>IF($D247="","",IFERROR(INDEX(ENVIOS!$E$4:$E$3003,MATCH($D247,ENVIOS!$A$4:$A$3003,0)),"—"))</f>
        <v/>
      </c>
      <c r="I247" s="23">
        <f>IF($D247="","",IFERROR(INDEX(ENVIOS!$F$4:$F$3003,MATCH($D247,ENVIOS!$A$4:$A$3003,0)),"—"))</f>
        <v/>
      </c>
      <c r="J247" s="23">
        <f>IF($D247="","",IFERROR(INDEX(ENVIOS!$G$4:$G$3003,MATCH($D247,ENVIOS!$A$4:$A$3003,0)),"—"))</f>
        <v/>
      </c>
      <c r="K247" s="28">
        <f>IF($D247="","",IFERROR(INDEX(ENVIOS!$H$4:$H$3003,MATCH($D247,ENVIOS!$A$4:$A$3003,0)),"—"))</f>
        <v/>
      </c>
      <c r="L247" s="49">
        <f>IF($D247="","",IFERROR(INDEX(ENVIOS!$C$4:$C$3003,MATCH($D247,ENVIOS!$A$4:$A$3003,0)),""))</f>
        <v/>
      </c>
      <c r="M247" s="50" t="n"/>
      <c r="N247" s="28">
        <f>IF($M247="","",IFERROR(INDEX(CONFIG!$C$4:$C$63,MATCH($M247,CONFIG!$A$4:$A$63,0)),"Media"))</f>
        <v/>
      </c>
      <c r="O247" s="28">
        <f>IF($M247="","",IF($C247="Interna","NO",IFERROR(INDEX(CONFIG!$E$4:$E$63,MATCH($M247,CONFIG!$A$4:$A$63,0)),"NO")))</f>
        <v/>
      </c>
      <c r="P247" s="50" t="n"/>
      <c r="Q247" s="50" t="n"/>
      <c r="R247" s="28">
        <f>IF($Q247="","",IFERROR(INDEX(CONFIG!$H$4:$H$63,MATCH($Q247,CONFIG!$G$4:$G$63,0)),"Por definir"))</f>
        <v/>
      </c>
      <c r="S247" s="28">
        <f>IF($Q247="","",IFERROR(INDEX(CONFIG!$I$4:$I$63,MATCH($Q247,CONFIG!$G$4:$G$63,0)),"Por definir"))</f>
        <v/>
      </c>
      <c r="T247" s="51" t="n"/>
      <c r="U247" s="52" t="n"/>
      <c r="V247" s="50" t="n"/>
      <c r="W247" s="50" t="n"/>
      <c r="X247" s="49">
        <f>IF(OR($B247="",$M247=""),"",WORKDAY($B247,IFERROR(INDEX(CONFIG!$D$4:$D$63,MATCH($M247,CONFIG!$A$4:$A$63,0)),3)))</f>
        <v/>
      </c>
      <c r="Y247" s="47" t="n"/>
      <c r="Z247" s="24">
        <f>IF($B247="","",IF($Y247&lt;&gt;"",$Y247-$B247,TODAY()-$B247))</f>
        <v/>
      </c>
      <c r="AA247" s="28">
        <f>IF($B247="","",IF(IFERROR(INDEX(CONFIG!$L$4:$L$63,MATCH($V247,CONFIG!$K$4:$K$63,0)),"NO")="SÍ",IF(OR($Y247="",$X247=""),"Resuelta",IF($Y247&gt;$X247,"Resuelta tarde","Resuelta a tiempo")),IF($X247="","Sin clasificar",IF(TODAY()&gt;$X247,"Vencida",IF(TODAY()&gt;=$X247-1,"Por vencer","En plazo")))))</f>
        <v/>
      </c>
      <c r="AB247" s="50" t="n"/>
      <c r="AC247" s="50" t="n"/>
    </row>
    <row r="248" ht="16" customHeight="1">
      <c r="A248" s="28">
        <f>IF($B248="","","N-"&amp;TEXT(ROW()-3,"0000"))</f>
        <v/>
      </c>
      <c r="B248" s="47" t="n"/>
      <c r="C248" s="48" t="n"/>
      <c r="D248" s="48" t="n"/>
      <c r="E248" s="28">
        <f>IF($C248="","",IF($D248="",IF($C248="Interna","Sin guía (interna)","FALTA GUÍA"),IF(COUNTIFS(ENVIOS!$A$4:$A$3003,$D248)=0,"NO EXISTE",IF(COUNTIFS(ENVIOS!$A$4:$A$3003,$D248)&gt;1,"DUPLICADA","OK"))))</f>
        <v/>
      </c>
      <c r="F248" s="28">
        <f>IF($D248="","",IFERROR(INDEX(ENVIOS!$B$4:$B$3003,MATCH($D248,ENVIOS!$A$4:$A$3003,0)),"—"))</f>
        <v/>
      </c>
      <c r="G248" s="23">
        <f>IF($D248="","",IFERROR(INDEX(ENVIOS!$D$4:$D$3003,MATCH($D248,ENVIOS!$A$4:$A$3003,0)),"—"))</f>
        <v/>
      </c>
      <c r="H248" s="23">
        <f>IF($D248="","",IFERROR(INDEX(ENVIOS!$E$4:$E$3003,MATCH($D248,ENVIOS!$A$4:$A$3003,0)),"—"))</f>
        <v/>
      </c>
      <c r="I248" s="23">
        <f>IF($D248="","",IFERROR(INDEX(ENVIOS!$F$4:$F$3003,MATCH($D248,ENVIOS!$A$4:$A$3003,0)),"—"))</f>
        <v/>
      </c>
      <c r="J248" s="23">
        <f>IF($D248="","",IFERROR(INDEX(ENVIOS!$G$4:$G$3003,MATCH($D248,ENVIOS!$A$4:$A$3003,0)),"—"))</f>
        <v/>
      </c>
      <c r="K248" s="28">
        <f>IF($D248="","",IFERROR(INDEX(ENVIOS!$H$4:$H$3003,MATCH($D248,ENVIOS!$A$4:$A$3003,0)),"—"))</f>
        <v/>
      </c>
      <c r="L248" s="49">
        <f>IF($D248="","",IFERROR(INDEX(ENVIOS!$C$4:$C$3003,MATCH($D248,ENVIOS!$A$4:$A$3003,0)),""))</f>
        <v/>
      </c>
      <c r="M248" s="50" t="n"/>
      <c r="N248" s="28">
        <f>IF($M248="","",IFERROR(INDEX(CONFIG!$C$4:$C$63,MATCH($M248,CONFIG!$A$4:$A$63,0)),"Media"))</f>
        <v/>
      </c>
      <c r="O248" s="28">
        <f>IF($M248="","",IF($C248="Interna","NO",IFERROR(INDEX(CONFIG!$E$4:$E$63,MATCH($M248,CONFIG!$A$4:$A$63,0)),"NO")))</f>
        <v/>
      </c>
      <c r="P248" s="50" t="n"/>
      <c r="Q248" s="50" t="n"/>
      <c r="R248" s="28">
        <f>IF($Q248="","",IFERROR(INDEX(CONFIG!$H$4:$H$63,MATCH($Q248,CONFIG!$G$4:$G$63,0)),"Por definir"))</f>
        <v/>
      </c>
      <c r="S248" s="28">
        <f>IF($Q248="","",IFERROR(INDEX(CONFIG!$I$4:$I$63,MATCH($Q248,CONFIG!$G$4:$G$63,0)),"Por definir"))</f>
        <v/>
      </c>
      <c r="T248" s="51" t="n"/>
      <c r="U248" s="52" t="n"/>
      <c r="V248" s="50" t="n"/>
      <c r="W248" s="50" t="n"/>
      <c r="X248" s="49">
        <f>IF(OR($B248="",$M248=""),"",WORKDAY($B248,IFERROR(INDEX(CONFIG!$D$4:$D$63,MATCH($M248,CONFIG!$A$4:$A$63,0)),3)))</f>
        <v/>
      </c>
      <c r="Y248" s="47" t="n"/>
      <c r="Z248" s="24">
        <f>IF($B248="","",IF($Y248&lt;&gt;"",$Y248-$B248,TODAY()-$B248))</f>
        <v/>
      </c>
      <c r="AA248" s="28">
        <f>IF($B248="","",IF(IFERROR(INDEX(CONFIG!$L$4:$L$63,MATCH($V248,CONFIG!$K$4:$K$63,0)),"NO")="SÍ",IF(OR($Y248="",$X248=""),"Resuelta",IF($Y248&gt;$X248,"Resuelta tarde","Resuelta a tiempo")),IF($X248="","Sin clasificar",IF(TODAY()&gt;$X248,"Vencida",IF(TODAY()&gt;=$X248-1,"Por vencer","En plazo")))))</f>
        <v/>
      </c>
      <c r="AB248" s="50" t="n"/>
      <c r="AC248" s="50" t="n"/>
    </row>
    <row r="249" ht="16" customHeight="1">
      <c r="A249" s="28">
        <f>IF($B249="","","N-"&amp;TEXT(ROW()-3,"0000"))</f>
        <v/>
      </c>
      <c r="B249" s="47" t="n"/>
      <c r="C249" s="48" t="n"/>
      <c r="D249" s="48" t="n"/>
      <c r="E249" s="28">
        <f>IF($C249="","",IF($D249="",IF($C249="Interna","Sin guía (interna)","FALTA GUÍA"),IF(COUNTIFS(ENVIOS!$A$4:$A$3003,$D249)=0,"NO EXISTE",IF(COUNTIFS(ENVIOS!$A$4:$A$3003,$D249)&gt;1,"DUPLICADA","OK"))))</f>
        <v/>
      </c>
      <c r="F249" s="28">
        <f>IF($D249="","",IFERROR(INDEX(ENVIOS!$B$4:$B$3003,MATCH($D249,ENVIOS!$A$4:$A$3003,0)),"—"))</f>
        <v/>
      </c>
      <c r="G249" s="23">
        <f>IF($D249="","",IFERROR(INDEX(ENVIOS!$D$4:$D$3003,MATCH($D249,ENVIOS!$A$4:$A$3003,0)),"—"))</f>
        <v/>
      </c>
      <c r="H249" s="23">
        <f>IF($D249="","",IFERROR(INDEX(ENVIOS!$E$4:$E$3003,MATCH($D249,ENVIOS!$A$4:$A$3003,0)),"—"))</f>
        <v/>
      </c>
      <c r="I249" s="23">
        <f>IF($D249="","",IFERROR(INDEX(ENVIOS!$F$4:$F$3003,MATCH($D249,ENVIOS!$A$4:$A$3003,0)),"—"))</f>
        <v/>
      </c>
      <c r="J249" s="23">
        <f>IF($D249="","",IFERROR(INDEX(ENVIOS!$G$4:$G$3003,MATCH($D249,ENVIOS!$A$4:$A$3003,0)),"—"))</f>
        <v/>
      </c>
      <c r="K249" s="28">
        <f>IF($D249="","",IFERROR(INDEX(ENVIOS!$H$4:$H$3003,MATCH($D249,ENVIOS!$A$4:$A$3003,0)),"—"))</f>
        <v/>
      </c>
      <c r="L249" s="49">
        <f>IF($D249="","",IFERROR(INDEX(ENVIOS!$C$4:$C$3003,MATCH($D249,ENVIOS!$A$4:$A$3003,0)),""))</f>
        <v/>
      </c>
      <c r="M249" s="50" t="n"/>
      <c r="N249" s="28">
        <f>IF($M249="","",IFERROR(INDEX(CONFIG!$C$4:$C$63,MATCH($M249,CONFIG!$A$4:$A$63,0)),"Media"))</f>
        <v/>
      </c>
      <c r="O249" s="28">
        <f>IF($M249="","",IF($C249="Interna","NO",IFERROR(INDEX(CONFIG!$E$4:$E$63,MATCH($M249,CONFIG!$A$4:$A$63,0)),"NO")))</f>
        <v/>
      </c>
      <c r="P249" s="50" t="n"/>
      <c r="Q249" s="50" t="n"/>
      <c r="R249" s="28">
        <f>IF($Q249="","",IFERROR(INDEX(CONFIG!$H$4:$H$63,MATCH($Q249,CONFIG!$G$4:$G$63,0)),"Por definir"))</f>
        <v/>
      </c>
      <c r="S249" s="28">
        <f>IF($Q249="","",IFERROR(INDEX(CONFIG!$I$4:$I$63,MATCH($Q249,CONFIG!$G$4:$G$63,0)),"Por definir"))</f>
        <v/>
      </c>
      <c r="T249" s="51" t="n"/>
      <c r="U249" s="52" t="n"/>
      <c r="V249" s="50" t="n"/>
      <c r="W249" s="50" t="n"/>
      <c r="X249" s="49">
        <f>IF(OR($B249="",$M249=""),"",WORKDAY($B249,IFERROR(INDEX(CONFIG!$D$4:$D$63,MATCH($M249,CONFIG!$A$4:$A$63,0)),3)))</f>
        <v/>
      </c>
      <c r="Y249" s="47" t="n"/>
      <c r="Z249" s="24">
        <f>IF($B249="","",IF($Y249&lt;&gt;"",$Y249-$B249,TODAY()-$B249))</f>
        <v/>
      </c>
      <c r="AA249" s="28">
        <f>IF($B249="","",IF(IFERROR(INDEX(CONFIG!$L$4:$L$63,MATCH($V249,CONFIG!$K$4:$K$63,0)),"NO")="SÍ",IF(OR($Y249="",$X249=""),"Resuelta",IF($Y249&gt;$X249,"Resuelta tarde","Resuelta a tiempo")),IF($X249="","Sin clasificar",IF(TODAY()&gt;$X249,"Vencida",IF(TODAY()&gt;=$X249-1,"Por vencer","En plazo")))))</f>
        <v/>
      </c>
      <c r="AB249" s="50" t="n"/>
      <c r="AC249" s="50" t="n"/>
    </row>
    <row r="250" ht="16" customHeight="1">
      <c r="A250" s="28">
        <f>IF($B250="","","N-"&amp;TEXT(ROW()-3,"0000"))</f>
        <v/>
      </c>
      <c r="B250" s="47" t="n"/>
      <c r="C250" s="48" t="n"/>
      <c r="D250" s="48" t="n"/>
      <c r="E250" s="28">
        <f>IF($C250="","",IF($D250="",IF($C250="Interna","Sin guía (interna)","FALTA GUÍA"),IF(COUNTIFS(ENVIOS!$A$4:$A$3003,$D250)=0,"NO EXISTE",IF(COUNTIFS(ENVIOS!$A$4:$A$3003,$D250)&gt;1,"DUPLICADA","OK"))))</f>
        <v/>
      </c>
      <c r="F250" s="28">
        <f>IF($D250="","",IFERROR(INDEX(ENVIOS!$B$4:$B$3003,MATCH($D250,ENVIOS!$A$4:$A$3003,0)),"—"))</f>
        <v/>
      </c>
      <c r="G250" s="23">
        <f>IF($D250="","",IFERROR(INDEX(ENVIOS!$D$4:$D$3003,MATCH($D250,ENVIOS!$A$4:$A$3003,0)),"—"))</f>
        <v/>
      </c>
      <c r="H250" s="23">
        <f>IF($D250="","",IFERROR(INDEX(ENVIOS!$E$4:$E$3003,MATCH($D250,ENVIOS!$A$4:$A$3003,0)),"—"))</f>
        <v/>
      </c>
      <c r="I250" s="23">
        <f>IF($D250="","",IFERROR(INDEX(ENVIOS!$F$4:$F$3003,MATCH($D250,ENVIOS!$A$4:$A$3003,0)),"—"))</f>
        <v/>
      </c>
      <c r="J250" s="23">
        <f>IF($D250="","",IFERROR(INDEX(ENVIOS!$G$4:$G$3003,MATCH($D250,ENVIOS!$A$4:$A$3003,0)),"—"))</f>
        <v/>
      </c>
      <c r="K250" s="28">
        <f>IF($D250="","",IFERROR(INDEX(ENVIOS!$H$4:$H$3003,MATCH($D250,ENVIOS!$A$4:$A$3003,0)),"—"))</f>
        <v/>
      </c>
      <c r="L250" s="49">
        <f>IF($D250="","",IFERROR(INDEX(ENVIOS!$C$4:$C$3003,MATCH($D250,ENVIOS!$A$4:$A$3003,0)),""))</f>
        <v/>
      </c>
      <c r="M250" s="50" t="n"/>
      <c r="N250" s="28">
        <f>IF($M250="","",IFERROR(INDEX(CONFIG!$C$4:$C$63,MATCH($M250,CONFIG!$A$4:$A$63,0)),"Media"))</f>
        <v/>
      </c>
      <c r="O250" s="28">
        <f>IF($M250="","",IF($C250="Interna","NO",IFERROR(INDEX(CONFIG!$E$4:$E$63,MATCH($M250,CONFIG!$A$4:$A$63,0)),"NO")))</f>
        <v/>
      </c>
      <c r="P250" s="50" t="n"/>
      <c r="Q250" s="50" t="n"/>
      <c r="R250" s="28">
        <f>IF($Q250="","",IFERROR(INDEX(CONFIG!$H$4:$H$63,MATCH($Q250,CONFIG!$G$4:$G$63,0)),"Por definir"))</f>
        <v/>
      </c>
      <c r="S250" s="28">
        <f>IF($Q250="","",IFERROR(INDEX(CONFIG!$I$4:$I$63,MATCH($Q250,CONFIG!$G$4:$G$63,0)),"Por definir"))</f>
        <v/>
      </c>
      <c r="T250" s="51" t="n"/>
      <c r="U250" s="52" t="n"/>
      <c r="V250" s="50" t="n"/>
      <c r="W250" s="50" t="n"/>
      <c r="X250" s="49">
        <f>IF(OR($B250="",$M250=""),"",WORKDAY($B250,IFERROR(INDEX(CONFIG!$D$4:$D$63,MATCH($M250,CONFIG!$A$4:$A$63,0)),3)))</f>
        <v/>
      </c>
      <c r="Y250" s="47" t="n"/>
      <c r="Z250" s="24">
        <f>IF($B250="","",IF($Y250&lt;&gt;"",$Y250-$B250,TODAY()-$B250))</f>
        <v/>
      </c>
      <c r="AA250" s="28">
        <f>IF($B250="","",IF(IFERROR(INDEX(CONFIG!$L$4:$L$63,MATCH($V250,CONFIG!$K$4:$K$63,0)),"NO")="SÍ",IF(OR($Y250="",$X250=""),"Resuelta",IF($Y250&gt;$X250,"Resuelta tarde","Resuelta a tiempo")),IF($X250="","Sin clasificar",IF(TODAY()&gt;$X250,"Vencida",IF(TODAY()&gt;=$X250-1,"Por vencer","En plazo")))))</f>
        <v/>
      </c>
      <c r="AB250" s="50" t="n"/>
      <c r="AC250" s="50" t="n"/>
    </row>
    <row r="251" ht="16" customHeight="1">
      <c r="A251" s="28">
        <f>IF($B251="","","N-"&amp;TEXT(ROW()-3,"0000"))</f>
        <v/>
      </c>
      <c r="B251" s="47" t="n"/>
      <c r="C251" s="48" t="n"/>
      <c r="D251" s="48" t="n"/>
      <c r="E251" s="28">
        <f>IF($C251="","",IF($D251="",IF($C251="Interna","Sin guía (interna)","FALTA GUÍA"),IF(COUNTIFS(ENVIOS!$A$4:$A$3003,$D251)=0,"NO EXISTE",IF(COUNTIFS(ENVIOS!$A$4:$A$3003,$D251)&gt;1,"DUPLICADA","OK"))))</f>
        <v/>
      </c>
      <c r="F251" s="28">
        <f>IF($D251="","",IFERROR(INDEX(ENVIOS!$B$4:$B$3003,MATCH($D251,ENVIOS!$A$4:$A$3003,0)),"—"))</f>
        <v/>
      </c>
      <c r="G251" s="23">
        <f>IF($D251="","",IFERROR(INDEX(ENVIOS!$D$4:$D$3003,MATCH($D251,ENVIOS!$A$4:$A$3003,0)),"—"))</f>
        <v/>
      </c>
      <c r="H251" s="23">
        <f>IF($D251="","",IFERROR(INDEX(ENVIOS!$E$4:$E$3003,MATCH($D251,ENVIOS!$A$4:$A$3003,0)),"—"))</f>
        <v/>
      </c>
      <c r="I251" s="23">
        <f>IF($D251="","",IFERROR(INDEX(ENVIOS!$F$4:$F$3003,MATCH($D251,ENVIOS!$A$4:$A$3003,0)),"—"))</f>
        <v/>
      </c>
      <c r="J251" s="23">
        <f>IF($D251="","",IFERROR(INDEX(ENVIOS!$G$4:$G$3003,MATCH($D251,ENVIOS!$A$4:$A$3003,0)),"—"))</f>
        <v/>
      </c>
      <c r="K251" s="28">
        <f>IF($D251="","",IFERROR(INDEX(ENVIOS!$H$4:$H$3003,MATCH($D251,ENVIOS!$A$4:$A$3003,0)),"—"))</f>
        <v/>
      </c>
      <c r="L251" s="49">
        <f>IF($D251="","",IFERROR(INDEX(ENVIOS!$C$4:$C$3003,MATCH($D251,ENVIOS!$A$4:$A$3003,0)),""))</f>
        <v/>
      </c>
      <c r="M251" s="50" t="n"/>
      <c r="N251" s="28">
        <f>IF($M251="","",IFERROR(INDEX(CONFIG!$C$4:$C$63,MATCH($M251,CONFIG!$A$4:$A$63,0)),"Media"))</f>
        <v/>
      </c>
      <c r="O251" s="28">
        <f>IF($M251="","",IF($C251="Interna","NO",IFERROR(INDEX(CONFIG!$E$4:$E$63,MATCH($M251,CONFIG!$A$4:$A$63,0)),"NO")))</f>
        <v/>
      </c>
      <c r="P251" s="50" t="n"/>
      <c r="Q251" s="50" t="n"/>
      <c r="R251" s="28">
        <f>IF($Q251="","",IFERROR(INDEX(CONFIG!$H$4:$H$63,MATCH($Q251,CONFIG!$G$4:$G$63,0)),"Por definir"))</f>
        <v/>
      </c>
      <c r="S251" s="28">
        <f>IF($Q251="","",IFERROR(INDEX(CONFIG!$I$4:$I$63,MATCH($Q251,CONFIG!$G$4:$G$63,0)),"Por definir"))</f>
        <v/>
      </c>
      <c r="T251" s="51" t="n"/>
      <c r="U251" s="52" t="n"/>
      <c r="V251" s="50" t="n"/>
      <c r="W251" s="50" t="n"/>
      <c r="X251" s="49">
        <f>IF(OR($B251="",$M251=""),"",WORKDAY($B251,IFERROR(INDEX(CONFIG!$D$4:$D$63,MATCH($M251,CONFIG!$A$4:$A$63,0)),3)))</f>
        <v/>
      </c>
      <c r="Y251" s="47" t="n"/>
      <c r="Z251" s="24">
        <f>IF($B251="","",IF($Y251&lt;&gt;"",$Y251-$B251,TODAY()-$B251))</f>
        <v/>
      </c>
      <c r="AA251" s="28">
        <f>IF($B251="","",IF(IFERROR(INDEX(CONFIG!$L$4:$L$63,MATCH($V251,CONFIG!$K$4:$K$63,0)),"NO")="SÍ",IF(OR($Y251="",$X251=""),"Resuelta",IF($Y251&gt;$X251,"Resuelta tarde","Resuelta a tiempo")),IF($X251="","Sin clasificar",IF(TODAY()&gt;$X251,"Vencida",IF(TODAY()&gt;=$X251-1,"Por vencer","En plazo")))))</f>
        <v/>
      </c>
      <c r="AB251" s="50" t="n"/>
      <c r="AC251" s="50" t="n"/>
    </row>
    <row r="252" ht="16" customHeight="1">
      <c r="A252" s="28">
        <f>IF($B252="","","N-"&amp;TEXT(ROW()-3,"0000"))</f>
        <v/>
      </c>
      <c r="B252" s="47" t="n"/>
      <c r="C252" s="48" t="n"/>
      <c r="D252" s="48" t="n"/>
      <c r="E252" s="28">
        <f>IF($C252="","",IF($D252="",IF($C252="Interna","Sin guía (interna)","FALTA GUÍA"),IF(COUNTIFS(ENVIOS!$A$4:$A$3003,$D252)=0,"NO EXISTE",IF(COUNTIFS(ENVIOS!$A$4:$A$3003,$D252)&gt;1,"DUPLICADA","OK"))))</f>
        <v/>
      </c>
      <c r="F252" s="28">
        <f>IF($D252="","",IFERROR(INDEX(ENVIOS!$B$4:$B$3003,MATCH($D252,ENVIOS!$A$4:$A$3003,0)),"—"))</f>
        <v/>
      </c>
      <c r="G252" s="23">
        <f>IF($D252="","",IFERROR(INDEX(ENVIOS!$D$4:$D$3003,MATCH($D252,ENVIOS!$A$4:$A$3003,0)),"—"))</f>
        <v/>
      </c>
      <c r="H252" s="23">
        <f>IF($D252="","",IFERROR(INDEX(ENVIOS!$E$4:$E$3003,MATCH($D252,ENVIOS!$A$4:$A$3003,0)),"—"))</f>
        <v/>
      </c>
      <c r="I252" s="23">
        <f>IF($D252="","",IFERROR(INDEX(ENVIOS!$F$4:$F$3003,MATCH($D252,ENVIOS!$A$4:$A$3003,0)),"—"))</f>
        <v/>
      </c>
      <c r="J252" s="23">
        <f>IF($D252="","",IFERROR(INDEX(ENVIOS!$G$4:$G$3003,MATCH($D252,ENVIOS!$A$4:$A$3003,0)),"—"))</f>
        <v/>
      </c>
      <c r="K252" s="28">
        <f>IF($D252="","",IFERROR(INDEX(ENVIOS!$H$4:$H$3003,MATCH($D252,ENVIOS!$A$4:$A$3003,0)),"—"))</f>
        <v/>
      </c>
      <c r="L252" s="49">
        <f>IF($D252="","",IFERROR(INDEX(ENVIOS!$C$4:$C$3003,MATCH($D252,ENVIOS!$A$4:$A$3003,0)),""))</f>
        <v/>
      </c>
      <c r="M252" s="50" t="n"/>
      <c r="N252" s="28">
        <f>IF($M252="","",IFERROR(INDEX(CONFIG!$C$4:$C$63,MATCH($M252,CONFIG!$A$4:$A$63,0)),"Media"))</f>
        <v/>
      </c>
      <c r="O252" s="28">
        <f>IF($M252="","",IF($C252="Interna","NO",IFERROR(INDEX(CONFIG!$E$4:$E$63,MATCH($M252,CONFIG!$A$4:$A$63,0)),"NO")))</f>
        <v/>
      </c>
      <c r="P252" s="50" t="n"/>
      <c r="Q252" s="50" t="n"/>
      <c r="R252" s="28">
        <f>IF($Q252="","",IFERROR(INDEX(CONFIG!$H$4:$H$63,MATCH($Q252,CONFIG!$G$4:$G$63,0)),"Por definir"))</f>
        <v/>
      </c>
      <c r="S252" s="28">
        <f>IF($Q252="","",IFERROR(INDEX(CONFIG!$I$4:$I$63,MATCH($Q252,CONFIG!$G$4:$G$63,0)),"Por definir"))</f>
        <v/>
      </c>
      <c r="T252" s="51" t="n"/>
      <c r="U252" s="52" t="n"/>
      <c r="V252" s="50" t="n"/>
      <c r="W252" s="50" t="n"/>
      <c r="X252" s="49">
        <f>IF(OR($B252="",$M252=""),"",WORKDAY($B252,IFERROR(INDEX(CONFIG!$D$4:$D$63,MATCH($M252,CONFIG!$A$4:$A$63,0)),3)))</f>
        <v/>
      </c>
      <c r="Y252" s="47" t="n"/>
      <c r="Z252" s="24">
        <f>IF($B252="","",IF($Y252&lt;&gt;"",$Y252-$B252,TODAY()-$B252))</f>
        <v/>
      </c>
      <c r="AA252" s="28">
        <f>IF($B252="","",IF(IFERROR(INDEX(CONFIG!$L$4:$L$63,MATCH($V252,CONFIG!$K$4:$K$63,0)),"NO")="SÍ",IF(OR($Y252="",$X252=""),"Resuelta",IF($Y252&gt;$X252,"Resuelta tarde","Resuelta a tiempo")),IF($X252="","Sin clasificar",IF(TODAY()&gt;$X252,"Vencida",IF(TODAY()&gt;=$X252-1,"Por vencer","En plazo")))))</f>
        <v/>
      </c>
      <c r="AB252" s="50" t="n"/>
      <c r="AC252" s="50" t="n"/>
    </row>
    <row r="253" ht="16" customHeight="1">
      <c r="A253" s="28">
        <f>IF($B253="","","N-"&amp;TEXT(ROW()-3,"0000"))</f>
        <v/>
      </c>
      <c r="B253" s="47" t="n"/>
      <c r="C253" s="48" t="n"/>
      <c r="D253" s="48" t="n"/>
      <c r="E253" s="28">
        <f>IF($C253="","",IF($D253="",IF($C253="Interna","Sin guía (interna)","FALTA GUÍA"),IF(COUNTIFS(ENVIOS!$A$4:$A$3003,$D253)=0,"NO EXISTE",IF(COUNTIFS(ENVIOS!$A$4:$A$3003,$D253)&gt;1,"DUPLICADA","OK"))))</f>
        <v/>
      </c>
      <c r="F253" s="28">
        <f>IF($D253="","",IFERROR(INDEX(ENVIOS!$B$4:$B$3003,MATCH($D253,ENVIOS!$A$4:$A$3003,0)),"—"))</f>
        <v/>
      </c>
      <c r="G253" s="23">
        <f>IF($D253="","",IFERROR(INDEX(ENVIOS!$D$4:$D$3003,MATCH($D253,ENVIOS!$A$4:$A$3003,0)),"—"))</f>
        <v/>
      </c>
      <c r="H253" s="23">
        <f>IF($D253="","",IFERROR(INDEX(ENVIOS!$E$4:$E$3003,MATCH($D253,ENVIOS!$A$4:$A$3003,0)),"—"))</f>
        <v/>
      </c>
      <c r="I253" s="23">
        <f>IF($D253="","",IFERROR(INDEX(ENVIOS!$F$4:$F$3003,MATCH($D253,ENVIOS!$A$4:$A$3003,0)),"—"))</f>
        <v/>
      </c>
      <c r="J253" s="23">
        <f>IF($D253="","",IFERROR(INDEX(ENVIOS!$G$4:$G$3003,MATCH($D253,ENVIOS!$A$4:$A$3003,0)),"—"))</f>
        <v/>
      </c>
      <c r="K253" s="28">
        <f>IF($D253="","",IFERROR(INDEX(ENVIOS!$H$4:$H$3003,MATCH($D253,ENVIOS!$A$4:$A$3003,0)),"—"))</f>
        <v/>
      </c>
      <c r="L253" s="49">
        <f>IF($D253="","",IFERROR(INDEX(ENVIOS!$C$4:$C$3003,MATCH($D253,ENVIOS!$A$4:$A$3003,0)),""))</f>
        <v/>
      </c>
      <c r="M253" s="50" t="n"/>
      <c r="N253" s="28">
        <f>IF($M253="","",IFERROR(INDEX(CONFIG!$C$4:$C$63,MATCH($M253,CONFIG!$A$4:$A$63,0)),"Media"))</f>
        <v/>
      </c>
      <c r="O253" s="28">
        <f>IF($M253="","",IF($C253="Interna","NO",IFERROR(INDEX(CONFIG!$E$4:$E$63,MATCH($M253,CONFIG!$A$4:$A$63,0)),"NO")))</f>
        <v/>
      </c>
      <c r="P253" s="50" t="n"/>
      <c r="Q253" s="50" t="n"/>
      <c r="R253" s="28">
        <f>IF($Q253="","",IFERROR(INDEX(CONFIG!$H$4:$H$63,MATCH($Q253,CONFIG!$G$4:$G$63,0)),"Por definir"))</f>
        <v/>
      </c>
      <c r="S253" s="28">
        <f>IF($Q253="","",IFERROR(INDEX(CONFIG!$I$4:$I$63,MATCH($Q253,CONFIG!$G$4:$G$63,0)),"Por definir"))</f>
        <v/>
      </c>
      <c r="T253" s="51" t="n"/>
      <c r="U253" s="52" t="n"/>
      <c r="V253" s="50" t="n"/>
      <c r="W253" s="50" t="n"/>
      <c r="X253" s="49">
        <f>IF(OR($B253="",$M253=""),"",WORKDAY($B253,IFERROR(INDEX(CONFIG!$D$4:$D$63,MATCH($M253,CONFIG!$A$4:$A$63,0)),3)))</f>
        <v/>
      </c>
      <c r="Y253" s="47" t="n"/>
      <c r="Z253" s="24">
        <f>IF($B253="","",IF($Y253&lt;&gt;"",$Y253-$B253,TODAY()-$B253))</f>
        <v/>
      </c>
      <c r="AA253" s="28">
        <f>IF($B253="","",IF(IFERROR(INDEX(CONFIG!$L$4:$L$63,MATCH($V253,CONFIG!$K$4:$K$63,0)),"NO")="SÍ",IF(OR($Y253="",$X253=""),"Resuelta",IF($Y253&gt;$X253,"Resuelta tarde","Resuelta a tiempo")),IF($X253="","Sin clasificar",IF(TODAY()&gt;$X253,"Vencida",IF(TODAY()&gt;=$X253-1,"Por vencer","En plazo")))))</f>
        <v/>
      </c>
      <c r="AB253" s="50" t="n"/>
      <c r="AC253" s="50" t="n"/>
    </row>
    <row r="254" ht="16" customHeight="1">
      <c r="A254" s="28">
        <f>IF($B254="","","N-"&amp;TEXT(ROW()-3,"0000"))</f>
        <v/>
      </c>
      <c r="B254" s="47" t="n"/>
      <c r="C254" s="48" t="n"/>
      <c r="D254" s="48" t="n"/>
      <c r="E254" s="28">
        <f>IF($C254="","",IF($D254="",IF($C254="Interna","Sin guía (interna)","FALTA GUÍA"),IF(COUNTIFS(ENVIOS!$A$4:$A$3003,$D254)=0,"NO EXISTE",IF(COUNTIFS(ENVIOS!$A$4:$A$3003,$D254)&gt;1,"DUPLICADA","OK"))))</f>
        <v/>
      </c>
      <c r="F254" s="28">
        <f>IF($D254="","",IFERROR(INDEX(ENVIOS!$B$4:$B$3003,MATCH($D254,ENVIOS!$A$4:$A$3003,0)),"—"))</f>
        <v/>
      </c>
      <c r="G254" s="23">
        <f>IF($D254="","",IFERROR(INDEX(ENVIOS!$D$4:$D$3003,MATCH($D254,ENVIOS!$A$4:$A$3003,0)),"—"))</f>
        <v/>
      </c>
      <c r="H254" s="23">
        <f>IF($D254="","",IFERROR(INDEX(ENVIOS!$E$4:$E$3003,MATCH($D254,ENVIOS!$A$4:$A$3003,0)),"—"))</f>
        <v/>
      </c>
      <c r="I254" s="23">
        <f>IF($D254="","",IFERROR(INDEX(ENVIOS!$F$4:$F$3003,MATCH($D254,ENVIOS!$A$4:$A$3003,0)),"—"))</f>
        <v/>
      </c>
      <c r="J254" s="23">
        <f>IF($D254="","",IFERROR(INDEX(ENVIOS!$G$4:$G$3003,MATCH($D254,ENVIOS!$A$4:$A$3003,0)),"—"))</f>
        <v/>
      </c>
      <c r="K254" s="28">
        <f>IF($D254="","",IFERROR(INDEX(ENVIOS!$H$4:$H$3003,MATCH($D254,ENVIOS!$A$4:$A$3003,0)),"—"))</f>
        <v/>
      </c>
      <c r="L254" s="49">
        <f>IF($D254="","",IFERROR(INDEX(ENVIOS!$C$4:$C$3003,MATCH($D254,ENVIOS!$A$4:$A$3003,0)),""))</f>
        <v/>
      </c>
      <c r="M254" s="50" t="n"/>
      <c r="N254" s="28">
        <f>IF($M254="","",IFERROR(INDEX(CONFIG!$C$4:$C$63,MATCH($M254,CONFIG!$A$4:$A$63,0)),"Media"))</f>
        <v/>
      </c>
      <c r="O254" s="28">
        <f>IF($M254="","",IF($C254="Interna","NO",IFERROR(INDEX(CONFIG!$E$4:$E$63,MATCH($M254,CONFIG!$A$4:$A$63,0)),"NO")))</f>
        <v/>
      </c>
      <c r="P254" s="50" t="n"/>
      <c r="Q254" s="50" t="n"/>
      <c r="R254" s="28">
        <f>IF($Q254="","",IFERROR(INDEX(CONFIG!$H$4:$H$63,MATCH($Q254,CONFIG!$G$4:$G$63,0)),"Por definir"))</f>
        <v/>
      </c>
      <c r="S254" s="28">
        <f>IF($Q254="","",IFERROR(INDEX(CONFIG!$I$4:$I$63,MATCH($Q254,CONFIG!$G$4:$G$63,0)),"Por definir"))</f>
        <v/>
      </c>
      <c r="T254" s="51" t="n"/>
      <c r="U254" s="52" t="n"/>
      <c r="V254" s="50" t="n"/>
      <c r="W254" s="50" t="n"/>
      <c r="X254" s="49">
        <f>IF(OR($B254="",$M254=""),"",WORKDAY($B254,IFERROR(INDEX(CONFIG!$D$4:$D$63,MATCH($M254,CONFIG!$A$4:$A$63,0)),3)))</f>
        <v/>
      </c>
      <c r="Y254" s="47" t="n"/>
      <c r="Z254" s="24">
        <f>IF($B254="","",IF($Y254&lt;&gt;"",$Y254-$B254,TODAY()-$B254))</f>
        <v/>
      </c>
      <c r="AA254" s="28">
        <f>IF($B254="","",IF(IFERROR(INDEX(CONFIG!$L$4:$L$63,MATCH($V254,CONFIG!$K$4:$K$63,0)),"NO")="SÍ",IF(OR($Y254="",$X254=""),"Resuelta",IF($Y254&gt;$X254,"Resuelta tarde","Resuelta a tiempo")),IF($X254="","Sin clasificar",IF(TODAY()&gt;$X254,"Vencida",IF(TODAY()&gt;=$X254-1,"Por vencer","En plazo")))))</f>
        <v/>
      </c>
      <c r="AB254" s="50" t="n"/>
      <c r="AC254" s="50" t="n"/>
    </row>
    <row r="255" ht="16" customHeight="1">
      <c r="A255" s="28">
        <f>IF($B255="","","N-"&amp;TEXT(ROW()-3,"0000"))</f>
        <v/>
      </c>
      <c r="B255" s="47" t="n"/>
      <c r="C255" s="48" t="n"/>
      <c r="D255" s="48" t="n"/>
      <c r="E255" s="28">
        <f>IF($C255="","",IF($D255="",IF($C255="Interna","Sin guía (interna)","FALTA GUÍA"),IF(COUNTIFS(ENVIOS!$A$4:$A$3003,$D255)=0,"NO EXISTE",IF(COUNTIFS(ENVIOS!$A$4:$A$3003,$D255)&gt;1,"DUPLICADA","OK"))))</f>
        <v/>
      </c>
      <c r="F255" s="28">
        <f>IF($D255="","",IFERROR(INDEX(ENVIOS!$B$4:$B$3003,MATCH($D255,ENVIOS!$A$4:$A$3003,0)),"—"))</f>
        <v/>
      </c>
      <c r="G255" s="23">
        <f>IF($D255="","",IFERROR(INDEX(ENVIOS!$D$4:$D$3003,MATCH($D255,ENVIOS!$A$4:$A$3003,0)),"—"))</f>
        <v/>
      </c>
      <c r="H255" s="23">
        <f>IF($D255="","",IFERROR(INDEX(ENVIOS!$E$4:$E$3003,MATCH($D255,ENVIOS!$A$4:$A$3003,0)),"—"))</f>
        <v/>
      </c>
      <c r="I255" s="23">
        <f>IF($D255="","",IFERROR(INDEX(ENVIOS!$F$4:$F$3003,MATCH($D255,ENVIOS!$A$4:$A$3003,0)),"—"))</f>
        <v/>
      </c>
      <c r="J255" s="23">
        <f>IF($D255="","",IFERROR(INDEX(ENVIOS!$G$4:$G$3003,MATCH($D255,ENVIOS!$A$4:$A$3003,0)),"—"))</f>
        <v/>
      </c>
      <c r="K255" s="28">
        <f>IF($D255="","",IFERROR(INDEX(ENVIOS!$H$4:$H$3003,MATCH($D255,ENVIOS!$A$4:$A$3003,0)),"—"))</f>
        <v/>
      </c>
      <c r="L255" s="49">
        <f>IF($D255="","",IFERROR(INDEX(ENVIOS!$C$4:$C$3003,MATCH($D255,ENVIOS!$A$4:$A$3003,0)),""))</f>
        <v/>
      </c>
      <c r="M255" s="50" t="n"/>
      <c r="N255" s="28">
        <f>IF($M255="","",IFERROR(INDEX(CONFIG!$C$4:$C$63,MATCH($M255,CONFIG!$A$4:$A$63,0)),"Media"))</f>
        <v/>
      </c>
      <c r="O255" s="28">
        <f>IF($M255="","",IF($C255="Interna","NO",IFERROR(INDEX(CONFIG!$E$4:$E$63,MATCH($M255,CONFIG!$A$4:$A$63,0)),"NO")))</f>
        <v/>
      </c>
      <c r="P255" s="50" t="n"/>
      <c r="Q255" s="50" t="n"/>
      <c r="R255" s="28">
        <f>IF($Q255="","",IFERROR(INDEX(CONFIG!$H$4:$H$63,MATCH($Q255,CONFIG!$G$4:$G$63,0)),"Por definir"))</f>
        <v/>
      </c>
      <c r="S255" s="28">
        <f>IF($Q255="","",IFERROR(INDEX(CONFIG!$I$4:$I$63,MATCH($Q255,CONFIG!$G$4:$G$63,0)),"Por definir"))</f>
        <v/>
      </c>
      <c r="T255" s="51" t="n"/>
      <c r="U255" s="52" t="n"/>
      <c r="V255" s="50" t="n"/>
      <c r="W255" s="50" t="n"/>
      <c r="X255" s="49">
        <f>IF(OR($B255="",$M255=""),"",WORKDAY($B255,IFERROR(INDEX(CONFIG!$D$4:$D$63,MATCH($M255,CONFIG!$A$4:$A$63,0)),3)))</f>
        <v/>
      </c>
      <c r="Y255" s="47" t="n"/>
      <c r="Z255" s="24">
        <f>IF($B255="","",IF($Y255&lt;&gt;"",$Y255-$B255,TODAY()-$B255))</f>
        <v/>
      </c>
      <c r="AA255" s="28">
        <f>IF($B255="","",IF(IFERROR(INDEX(CONFIG!$L$4:$L$63,MATCH($V255,CONFIG!$K$4:$K$63,0)),"NO")="SÍ",IF(OR($Y255="",$X255=""),"Resuelta",IF($Y255&gt;$X255,"Resuelta tarde","Resuelta a tiempo")),IF($X255="","Sin clasificar",IF(TODAY()&gt;$X255,"Vencida",IF(TODAY()&gt;=$X255-1,"Por vencer","En plazo")))))</f>
        <v/>
      </c>
      <c r="AB255" s="50" t="n"/>
      <c r="AC255" s="50" t="n"/>
    </row>
    <row r="256" ht="16" customHeight="1">
      <c r="A256" s="28">
        <f>IF($B256="","","N-"&amp;TEXT(ROW()-3,"0000"))</f>
        <v/>
      </c>
      <c r="B256" s="47" t="n"/>
      <c r="C256" s="48" t="n"/>
      <c r="D256" s="48" t="n"/>
      <c r="E256" s="28">
        <f>IF($C256="","",IF($D256="",IF($C256="Interna","Sin guía (interna)","FALTA GUÍA"),IF(COUNTIFS(ENVIOS!$A$4:$A$3003,$D256)=0,"NO EXISTE",IF(COUNTIFS(ENVIOS!$A$4:$A$3003,$D256)&gt;1,"DUPLICADA","OK"))))</f>
        <v/>
      </c>
      <c r="F256" s="28">
        <f>IF($D256="","",IFERROR(INDEX(ENVIOS!$B$4:$B$3003,MATCH($D256,ENVIOS!$A$4:$A$3003,0)),"—"))</f>
        <v/>
      </c>
      <c r="G256" s="23">
        <f>IF($D256="","",IFERROR(INDEX(ENVIOS!$D$4:$D$3003,MATCH($D256,ENVIOS!$A$4:$A$3003,0)),"—"))</f>
        <v/>
      </c>
      <c r="H256" s="23">
        <f>IF($D256="","",IFERROR(INDEX(ENVIOS!$E$4:$E$3003,MATCH($D256,ENVIOS!$A$4:$A$3003,0)),"—"))</f>
        <v/>
      </c>
      <c r="I256" s="23">
        <f>IF($D256="","",IFERROR(INDEX(ENVIOS!$F$4:$F$3003,MATCH($D256,ENVIOS!$A$4:$A$3003,0)),"—"))</f>
        <v/>
      </c>
      <c r="J256" s="23">
        <f>IF($D256="","",IFERROR(INDEX(ENVIOS!$G$4:$G$3003,MATCH($D256,ENVIOS!$A$4:$A$3003,0)),"—"))</f>
        <v/>
      </c>
      <c r="K256" s="28">
        <f>IF($D256="","",IFERROR(INDEX(ENVIOS!$H$4:$H$3003,MATCH($D256,ENVIOS!$A$4:$A$3003,0)),"—"))</f>
        <v/>
      </c>
      <c r="L256" s="49">
        <f>IF($D256="","",IFERROR(INDEX(ENVIOS!$C$4:$C$3003,MATCH($D256,ENVIOS!$A$4:$A$3003,0)),""))</f>
        <v/>
      </c>
      <c r="M256" s="50" t="n"/>
      <c r="N256" s="28">
        <f>IF($M256="","",IFERROR(INDEX(CONFIG!$C$4:$C$63,MATCH($M256,CONFIG!$A$4:$A$63,0)),"Media"))</f>
        <v/>
      </c>
      <c r="O256" s="28">
        <f>IF($M256="","",IF($C256="Interna","NO",IFERROR(INDEX(CONFIG!$E$4:$E$63,MATCH($M256,CONFIG!$A$4:$A$63,0)),"NO")))</f>
        <v/>
      </c>
      <c r="P256" s="50" t="n"/>
      <c r="Q256" s="50" t="n"/>
      <c r="R256" s="28">
        <f>IF($Q256="","",IFERROR(INDEX(CONFIG!$H$4:$H$63,MATCH($Q256,CONFIG!$G$4:$G$63,0)),"Por definir"))</f>
        <v/>
      </c>
      <c r="S256" s="28">
        <f>IF($Q256="","",IFERROR(INDEX(CONFIG!$I$4:$I$63,MATCH($Q256,CONFIG!$G$4:$G$63,0)),"Por definir"))</f>
        <v/>
      </c>
      <c r="T256" s="51" t="n"/>
      <c r="U256" s="52" t="n"/>
      <c r="V256" s="50" t="n"/>
      <c r="W256" s="50" t="n"/>
      <c r="X256" s="49">
        <f>IF(OR($B256="",$M256=""),"",WORKDAY($B256,IFERROR(INDEX(CONFIG!$D$4:$D$63,MATCH($M256,CONFIG!$A$4:$A$63,0)),3)))</f>
        <v/>
      </c>
      <c r="Y256" s="47" t="n"/>
      <c r="Z256" s="24">
        <f>IF($B256="","",IF($Y256&lt;&gt;"",$Y256-$B256,TODAY()-$B256))</f>
        <v/>
      </c>
      <c r="AA256" s="28">
        <f>IF($B256="","",IF(IFERROR(INDEX(CONFIG!$L$4:$L$63,MATCH($V256,CONFIG!$K$4:$K$63,0)),"NO")="SÍ",IF(OR($Y256="",$X256=""),"Resuelta",IF($Y256&gt;$X256,"Resuelta tarde","Resuelta a tiempo")),IF($X256="","Sin clasificar",IF(TODAY()&gt;$X256,"Vencida",IF(TODAY()&gt;=$X256-1,"Por vencer","En plazo")))))</f>
        <v/>
      </c>
      <c r="AB256" s="50" t="n"/>
      <c r="AC256" s="50" t="n"/>
    </row>
    <row r="257" ht="16" customHeight="1">
      <c r="A257" s="28">
        <f>IF($B257="","","N-"&amp;TEXT(ROW()-3,"0000"))</f>
        <v/>
      </c>
      <c r="B257" s="47" t="n"/>
      <c r="C257" s="48" t="n"/>
      <c r="D257" s="48" t="n"/>
      <c r="E257" s="28">
        <f>IF($C257="","",IF($D257="",IF($C257="Interna","Sin guía (interna)","FALTA GUÍA"),IF(COUNTIFS(ENVIOS!$A$4:$A$3003,$D257)=0,"NO EXISTE",IF(COUNTIFS(ENVIOS!$A$4:$A$3003,$D257)&gt;1,"DUPLICADA","OK"))))</f>
        <v/>
      </c>
      <c r="F257" s="28">
        <f>IF($D257="","",IFERROR(INDEX(ENVIOS!$B$4:$B$3003,MATCH($D257,ENVIOS!$A$4:$A$3003,0)),"—"))</f>
        <v/>
      </c>
      <c r="G257" s="23">
        <f>IF($D257="","",IFERROR(INDEX(ENVIOS!$D$4:$D$3003,MATCH($D257,ENVIOS!$A$4:$A$3003,0)),"—"))</f>
        <v/>
      </c>
      <c r="H257" s="23">
        <f>IF($D257="","",IFERROR(INDEX(ENVIOS!$E$4:$E$3003,MATCH($D257,ENVIOS!$A$4:$A$3003,0)),"—"))</f>
        <v/>
      </c>
      <c r="I257" s="23">
        <f>IF($D257="","",IFERROR(INDEX(ENVIOS!$F$4:$F$3003,MATCH($D257,ENVIOS!$A$4:$A$3003,0)),"—"))</f>
        <v/>
      </c>
      <c r="J257" s="23">
        <f>IF($D257="","",IFERROR(INDEX(ENVIOS!$G$4:$G$3003,MATCH($D257,ENVIOS!$A$4:$A$3003,0)),"—"))</f>
        <v/>
      </c>
      <c r="K257" s="28">
        <f>IF($D257="","",IFERROR(INDEX(ENVIOS!$H$4:$H$3003,MATCH($D257,ENVIOS!$A$4:$A$3003,0)),"—"))</f>
        <v/>
      </c>
      <c r="L257" s="49">
        <f>IF($D257="","",IFERROR(INDEX(ENVIOS!$C$4:$C$3003,MATCH($D257,ENVIOS!$A$4:$A$3003,0)),""))</f>
        <v/>
      </c>
      <c r="M257" s="50" t="n"/>
      <c r="N257" s="28">
        <f>IF($M257="","",IFERROR(INDEX(CONFIG!$C$4:$C$63,MATCH($M257,CONFIG!$A$4:$A$63,0)),"Media"))</f>
        <v/>
      </c>
      <c r="O257" s="28">
        <f>IF($M257="","",IF($C257="Interna","NO",IFERROR(INDEX(CONFIG!$E$4:$E$63,MATCH($M257,CONFIG!$A$4:$A$63,0)),"NO")))</f>
        <v/>
      </c>
      <c r="P257" s="50" t="n"/>
      <c r="Q257" s="50" t="n"/>
      <c r="R257" s="28">
        <f>IF($Q257="","",IFERROR(INDEX(CONFIG!$H$4:$H$63,MATCH($Q257,CONFIG!$G$4:$G$63,0)),"Por definir"))</f>
        <v/>
      </c>
      <c r="S257" s="28">
        <f>IF($Q257="","",IFERROR(INDEX(CONFIG!$I$4:$I$63,MATCH($Q257,CONFIG!$G$4:$G$63,0)),"Por definir"))</f>
        <v/>
      </c>
      <c r="T257" s="51" t="n"/>
      <c r="U257" s="52" t="n"/>
      <c r="V257" s="50" t="n"/>
      <c r="W257" s="50" t="n"/>
      <c r="X257" s="49">
        <f>IF(OR($B257="",$M257=""),"",WORKDAY($B257,IFERROR(INDEX(CONFIG!$D$4:$D$63,MATCH($M257,CONFIG!$A$4:$A$63,0)),3)))</f>
        <v/>
      </c>
      <c r="Y257" s="47" t="n"/>
      <c r="Z257" s="24">
        <f>IF($B257="","",IF($Y257&lt;&gt;"",$Y257-$B257,TODAY()-$B257))</f>
        <v/>
      </c>
      <c r="AA257" s="28">
        <f>IF($B257="","",IF(IFERROR(INDEX(CONFIG!$L$4:$L$63,MATCH($V257,CONFIG!$K$4:$K$63,0)),"NO")="SÍ",IF(OR($Y257="",$X257=""),"Resuelta",IF($Y257&gt;$X257,"Resuelta tarde","Resuelta a tiempo")),IF($X257="","Sin clasificar",IF(TODAY()&gt;$X257,"Vencida",IF(TODAY()&gt;=$X257-1,"Por vencer","En plazo")))))</f>
        <v/>
      </c>
      <c r="AB257" s="50" t="n"/>
      <c r="AC257" s="50" t="n"/>
    </row>
    <row r="258" ht="16" customHeight="1">
      <c r="A258" s="28">
        <f>IF($B258="","","N-"&amp;TEXT(ROW()-3,"0000"))</f>
        <v/>
      </c>
      <c r="B258" s="47" t="n"/>
      <c r="C258" s="48" t="n"/>
      <c r="D258" s="48" t="n"/>
      <c r="E258" s="28">
        <f>IF($C258="","",IF($D258="",IF($C258="Interna","Sin guía (interna)","FALTA GUÍA"),IF(COUNTIFS(ENVIOS!$A$4:$A$3003,$D258)=0,"NO EXISTE",IF(COUNTIFS(ENVIOS!$A$4:$A$3003,$D258)&gt;1,"DUPLICADA","OK"))))</f>
        <v/>
      </c>
      <c r="F258" s="28">
        <f>IF($D258="","",IFERROR(INDEX(ENVIOS!$B$4:$B$3003,MATCH($D258,ENVIOS!$A$4:$A$3003,0)),"—"))</f>
        <v/>
      </c>
      <c r="G258" s="23">
        <f>IF($D258="","",IFERROR(INDEX(ENVIOS!$D$4:$D$3003,MATCH($D258,ENVIOS!$A$4:$A$3003,0)),"—"))</f>
        <v/>
      </c>
      <c r="H258" s="23">
        <f>IF($D258="","",IFERROR(INDEX(ENVIOS!$E$4:$E$3003,MATCH($D258,ENVIOS!$A$4:$A$3003,0)),"—"))</f>
        <v/>
      </c>
      <c r="I258" s="23">
        <f>IF($D258="","",IFERROR(INDEX(ENVIOS!$F$4:$F$3003,MATCH($D258,ENVIOS!$A$4:$A$3003,0)),"—"))</f>
        <v/>
      </c>
      <c r="J258" s="23">
        <f>IF($D258="","",IFERROR(INDEX(ENVIOS!$G$4:$G$3003,MATCH($D258,ENVIOS!$A$4:$A$3003,0)),"—"))</f>
        <v/>
      </c>
      <c r="K258" s="28">
        <f>IF($D258="","",IFERROR(INDEX(ENVIOS!$H$4:$H$3003,MATCH($D258,ENVIOS!$A$4:$A$3003,0)),"—"))</f>
        <v/>
      </c>
      <c r="L258" s="49">
        <f>IF($D258="","",IFERROR(INDEX(ENVIOS!$C$4:$C$3003,MATCH($D258,ENVIOS!$A$4:$A$3003,0)),""))</f>
        <v/>
      </c>
      <c r="M258" s="50" t="n"/>
      <c r="N258" s="28">
        <f>IF($M258="","",IFERROR(INDEX(CONFIG!$C$4:$C$63,MATCH($M258,CONFIG!$A$4:$A$63,0)),"Media"))</f>
        <v/>
      </c>
      <c r="O258" s="28">
        <f>IF($M258="","",IF($C258="Interna","NO",IFERROR(INDEX(CONFIG!$E$4:$E$63,MATCH($M258,CONFIG!$A$4:$A$63,0)),"NO")))</f>
        <v/>
      </c>
      <c r="P258" s="50" t="n"/>
      <c r="Q258" s="50" t="n"/>
      <c r="R258" s="28">
        <f>IF($Q258="","",IFERROR(INDEX(CONFIG!$H$4:$H$63,MATCH($Q258,CONFIG!$G$4:$G$63,0)),"Por definir"))</f>
        <v/>
      </c>
      <c r="S258" s="28">
        <f>IF($Q258="","",IFERROR(INDEX(CONFIG!$I$4:$I$63,MATCH($Q258,CONFIG!$G$4:$G$63,0)),"Por definir"))</f>
        <v/>
      </c>
      <c r="T258" s="51" t="n"/>
      <c r="U258" s="52" t="n"/>
      <c r="V258" s="50" t="n"/>
      <c r="W258" s="50" t="n"/>
      <c r="X258" s="49">
        <f>IF(OR($B258="",$M258=""),"",WORKDAY($B258,IFERROR(INDEX(CONFIG!$D$4:$D$63,MATCH($M258,CONFIG!$A$4:$A$63,0)),3)))</f>
        <v/>
      </c>
      <c r="Y258" s="47" t="n"/>
      <c r="Z258" s="24">
        <f>IF($B258="","",IF($Y258&lt;&gt;"",$Y258-$B258,TODAY()-$B258))</f>
        <v/>
      </c>
      <c r="AA258" s="28">
        <f>IF($B258="","",IF(IFERROR(INDEX(CONFIG!$L$4:$L$63,MATCH($V258,CONFIG!$K$4:$K$63,0)),"NO")="SÍ",IF(OR($Y258="",$X258=""),"Resuelta",IF($Y258&gt;$X258,"Resuelta tarde","Resuelta a tiempo")),IF($X258="","Sin clasificar",IF(TODAY()&gt;$X258,"Vencida",IF(TODAY()&gt;=$X258-1,"Por vencer","En plazo")))))</f>
        <v/>
      </c>
      <c r="AB258" s="50" t="n"/>
      <c r="AC258" s="50" t="n"/>
    </row>
    <row r="259" ht="16" customHeight="1">
      <c r="A259" s="28">
        <f>IF($B259="","","N-"&amp;TEXT(ROW()-3,"0000"))</f>
        <v/>
      </c>
      <c r="B259" s="47" t="n"/>
      <c r="C259" s="48" t="n"/>
      <c r="D259" s="48" t="n"/>
      <c r="E259" s="28">
        <f>IF($C259="","",IF($D259="",IF($C259="Interna","Sin guía (interna)","FALTA GUÍA"),IF(COUNTIFS(ENVIOS!$A$4:$A$3003,$D259)=0,"NO EXISTE",IF(COUNTIFS(ENVIOS!$A$4:$A$3003,$D259)&gt;1,"DUPLICADA","OK"))))</f>
        <v/>
      </c>
      <c r="F259" s="28">
        <f>IF($D259="","",IFERROR(INDEX(ENVIOS!$B$4:$B$3003,MATCH($D259,ENVIOS!$A$4:$A$3003,0)),"—"))</f>
        <v/>
      </c>
      <c r="G259" s="23">
        <f>IF($D259="","",IFERROR(INDEX(ENVIOS!$D$4:$D$3003,MATCH($D259,ENVIOS!$A$4:$A$3003,0)),"—"))</f>
        <v/>
      </c>
      <c r="H259" s="23">
        <f>IF($D259="","",IFERROR(INDEX(ENVIOS!$E$4:$E$3003,MATCH($D259,ENVIOS!$A$4:$A$3003,0)),"—"))</f>
        <v/>
      </c>
      <c r="I259" s="23">
        <f>IF($D259="","",IFERROR(INDEX(ENVIOS!$F$4:$F$3003,MATCH($D259,ENVIOS!$A$4:$A$3003,0)),"—"))</f>
        <v/>
      </c>
      <c r="J259" s="23">
        <f>IF($D259="","",IFERROR(INDEX(ENVIOS!$G$4:$G$3003,MATCH($D259,ENVIOS!$A$4:$A$3003,0)),"—"))</f>
        <v/>
      </c>
      <c r="K259" s="28">
        <f>IF($D259="","",IFERROR(INDEX(ENVIOS!$H$4:$H$3003,MATCH($D259,ENVIOS!$A$4:$A$3003,0)),"—"))</f>
        <v/>
      </c>
      <c r="L259" s="49">
        <f>IF($D259="","",IFERROR(INDEX(ENVIOS!$C$4:$C$3003,MATCH($D259,ENVIOS!$A$4:$A$3003,0)),""))</f>
        <v/>
      </c>
      <c r="M259" s="50" t="n"/>
      <c r="N259" s="28">
        <f>IF($M259="","",IFERROR(INDEX(CONFIG!$C$4:$C$63,MATCH($M259,CONFIG!$A$4:$A$63,0)),"Media"))</f>
        <v/>
      </c>
      <c r="O259" s="28">
        <f>IF($M259="","",IF($C259="Interna","NO",IFERROR(INDEX(CONFIG!$E$4:$E$63,MATCH($M259,CONFIG!$A$4:$A$63,0)),"NO")))</f>
        <v/>
      </c>
      <c r="P259" s="50" t="n"/>
      <c r="Q259" s="50" t="n"/>
      <c r="R259" s="28">
        <f>IF($Q259="","",IFERROR(INDEX(CONFIG!$H$4:$H$63,MATCH($Q259,CONFIG!$G$4:$G$63,0)),"Por definir"))</f>
        <v/>
      </c>
      <c r="S259" s="28">
        <f>IF($Q259="","",IFERROR(INDEX(CONFIG!$I$4:$I$63,MATCH($Q259,CONFIG!$G$4:$G$63,0)),"Por definir"))</f>
        <v/>
      </c>
      <c r="T259" s="51" t="n"/>
      <c r="U259" s="52" t="n"/>
      <c r="V259" s="50" t="n"/>
      <c r="W259" s="50" t="n"/>
      <c r="X259" s="49">
        <f>IF(OR($B259="",$M259=""),"",WORKDAY($B259,IFERROR(INDEX(CONFIG!$D$4:$D$63,MATCH($M259,CONFIG!$A$4:$A$63,0)),3)))</f>
        <v/>
      </c>
      <c r="Y259" s="47" t="n"/>
      <c r="Z259" s="24">
        <f>IF($B259="","",IF($Y259&lt;&gt;"",$Y259-$B259,TODAY()-$B259))</f>
        <v/>
      </c>
      <c r="AA259" s="28">
        <f>IF($B259="","",IF(IFERROR(INDEX(CONFIG!$L$4:$L$63,MATCH($V259,CONFIG!$K$4:$K$63,0)),"NO")="SÍ",IF(OR($Y259="",$X259=""),"Resuelta",IF($Y259&gt;$X259,"Resuelta tarde","Resuelta a tiempo")),IF($X259="","Sin clasificar",IF(TODAY()&gt;$X259,"Vencida",IF(TODAY()&gt;=$X259-1,"Por vencer","En plazo")))))</f>
        <v/>
      </c>
      <c r="AB259" s="50" t="n"/>
      <c r="AC259" s="50" t="n"/>
    </row>
    <row r="260" ht="16" customHeight="1">
      <c r="A260" s="28">
        <f>IF($B260="","","N-"&amp;TEXT(ROW()-3,"0000"))</f>
        <v/>
      </c>
      <c r="B260" s="47" t="n"/>
      <c r="C260" s="48" t="n"/>
      <c r="D260" s="48" t="n"/>
      <c r="E260" s="28">
        <f>IF($C260="","",IF($D260="",IF($C260="Interna","Sin guía (interna)","FALTA GUÍA"),IF(COUNTIFS(ENVIOS!$A$4:$A$3003,$D260)=0,"NO EXISTE",IF(COUNTIFS(ENVIOS!$A$4:$A$3003,$D260)&gt;1,"DUPLICADA","OK"))))</f>
        <v/>
      </c>
      <c r="F260" s="28">
        <f>IF($D260="","",IFERROR(INDEX(ENVIOS!$B$4:$B$3003,MATCH($D260,ENVIOS!$A$4:$A$3003,0)),"—"))</f>
        <v/>
      </c>
      <c r="G260" s="23">
        <f>IF($D260="","",IFERROR(INDEX(ENVIOS!$D$4:$D$3003,MATCH($D260,ENVIOS!$A$4:$A$3003,0)),"—"))</f>
        <v/>
      </c>
      <c r="H260" s="23">
        <f>IF($D260="","",IFERROR(INDEX(ENVIOS!$E$4:$E$3003,MATCH($D260,ENVIOS!$A$4:$A$3003,0)),"—"))</f>
        <v/>
      </c>
      <c r="I260" s="23">
        <f>IF($D260="","",IFERROR(INDEX(ENVIOS!$F$4:$F$3003,MATCH($D260,ENVIOS!$A$4:$A$3003,0)),"—"))</f>
        <v/>
      </c>
      <c r="J260" s="23">
        <f>IF($D260="","",IFERROR(INDEX(ENVIOS!$G$4:$G$3003,MATCH($D260,ENVIOS!$A$4:$A$3003,0)),"—"))</f>
        <v/>
      </c>
      <c r="K260" s="28">
        <f>IF($D260="","",IFERROR(INDEX(ENVIOS!$H$4:$H$3003,MATCH($D260,ENVIOS!$A$4:$A$3003,0)),"—"))</f>
        <v/>
      </c>
      <c r="L260" s="49">
        <f>IF($D260="","",IFERROR(INDEX(ENVIOS!$C$4:$C$3003,MATCH($D260,ENVIOS!$A$4:$A$3003,0)),""))</f>
        <v/>
      </c>
      <c r="M260" s="50" t="n"/>
      <c r="N260" s="28">
        <f>IF($M260="","",IFERROR(INDEX(CONFIG!$C$4:$C$63,MATCH($M260,CONFIG!$A$4:$A$63,0)),"Media"))</f>
        <v/>
      </c>
      <c r="O260" s="28">
        <f>IF($M260="","",IF($C260="Interna","NO",IFERROR(INDEX(CONFIG!$E$4:$E$63,MATCH($M260,CONFIG!$A$4:$A$63,0)),"NO")))</f>
        <v/>
      </c>
      <c r="P260" s="50" t="n"/>
      <c r="Q260" s="50" t="n"/>
      <c r="R260" s="28">
        <f>IF($Q260="","",IFERROR(INDEX(CONFIG!$H$4:$H$63,MATCH($Q260,CONFIG!$G$4:$G$63,0)),"Por definir"))</f>
        <v/>
      </c>
      <c r="S260" s="28">
        <f>IF($Q260="","",IFERROR(INDEX(CONFIG!$I$4:$I$63,MATCH($Q260,CONFIG!$G$4:$G$63,0)),"Por definir"))</f>
        <v/>
      </c>
      <c r="T260" s="51" t="n"/>
      <c r="U260" s="52" t="n"/>
      <c r="V260" s="50" t="n"/>
      <c r="W260" s="50" t="n"/>
      <c r="X260" s="49">
        <f>IF(OR($B260="",$M260=""),"",WORKDAY($B260,IFERROR(INDEX(CONFIG!$D$4:$D$63,MATCH($M260,CONFIG!$A$4:$A$63,0)),3)))</f>
        <v/>
      </c>
      <c r="Y260" s="47" t="n"/>
      <c r="Z260" s="24">
        <f>IF($B260="","",IF($Y260&lt;&gt;"",$Y260-$B260,TODAY()-$B260))</f>
        <v/>
      </c>
      <c r="AA260" s="28">
        <f>IF($B260="","",IF(IFERROR(INDEX(CONFIG!$L$4:$L$63,MATCH($V260,CONFIG!$K$4:$K$63,0)),"NO")="SÍ",IF(OR($Y260="",$X260=""),"Resuelta",IF($Y260&gt;$X260,"Resuelta tarde","Resuelta a tiempo")),IF($X260="","Sin clasificar",IF(TODAY()&gt;$X260,"Vencida",IF(TODAY()&gt;=$X260-1,"Por vencer","En plazo")))))</f>
        <v/>
      </c>
      <c r="AB260" s="50" t="n"/>
      <c r="AC260" s="50" t="n"/>
    </row>
    <row r="261" ht="16" customHeight="1">
      <c r="A261" s="28">
        <f>IF($B261="","","N-"&amp;TEXT(ROW()-3,"0000"))</f>
        <v/>
      </c>
      <c r="B261" s="47" t="n"/>
      <c r="C261" s="48" t="n"/>
      <c r="D261" s="48" t="n"/>
      <c r="E261" s="28">
        <f>IF($C261="","",IF($D261="",IF($C261="Interna","Sin guía (interna)","FALTA GUÍA"),IF(COUNTIFS(ENVIOS!$A$4:$A$3003,$D261)=0,"NO EXISTE",IF(COUNTIFS(ENVIOS!$A$4:$A$3003,$D261)&gt;1,"DUPLICADA","OK"))))</f>
        <v/>
      </c>
      <c r="F261" s="28">
        <f>IF($D261="","",IFERROR(INDEX(ENVIOS!$B$4:$B$3003,MATCH($D261,ENVIOS!$A$4:$A$3003,0)),"—"))</f>
        <v/>
      </c>
      <c r="G261" s="23">
        <f>IF($D261="","",IFERROR(INDEX(ENVIOS!$D$4:$D$3003,MATCH($D261,ENVIOS!$A$4:$A$3003,0)),"—"))</f>
        <v/>
      </c>
      <c r="H261" s="23">
        <f>IF($D261="","",IFERROR(INDEX(ENVIOS!$E$4:$E$3003,MATCH($D261,ENVIOS!$A$4:$A$3003,0)),"—"))</f>
        <v/>
      </c>
      <c r="I261" s="23">
        <f>IF($D261="","",IFERROR(INDEX(ENVIOS!$F$4:$F$3003,MATCH($D261,ENVIOS!$A$4:$A$3003,0)),"—"))</f>
        <v/>
      </c>
      <c r="J261" s="23">
        <f>IF($D261="","",IFERROR(INDEX(ENVIOS!$G$4:$G$3003,MATCH($D261,ENVIOS!$A$4:$A$3003,0)),"—"))</f>
        <v/>
      </c>
      <c r="K261" s="28">
        <f>IF($D261="","",IFERROR(INDEX(ENVIOS!$H$4:$H$3003,MATCH($D261,ENVIOS!$A$4:$A$3003,0)),"—"))</f>
        <v/>
      </c>
      <c r="L261" s="49">
        <f>IF($D261="","",IFERROR(INDEX(ENVIOS!$C$4:$C$3003,MATCH($D261,ENVIOS!$A$4:$A$3003,0)),""))</f>
        <v/>
      </c>
      <c r="M261" s="50" t="n"/>
      <c r="N261" s="28">
        <f>IF($M261="","",IFERROR(INDEX(CONFIG!$C$4:$C$63,MATCH($M261,CONFIG!$A$4:$A$63,0)),"Media"))</f>
        <v/>
      </c>
      <c r="O261" s="28">
        <f>IF($M261="","",IF($C261="Interna","NO",IFERROR(INDEX(CONFIG!$E$4:$E$63,MATCH($M261,CONFIG!$A$4:$A$63,0)),"NO")))</f>
        <v/>
      </c>
      <c r="P261" s="50" t="n"/>
      <c r="Q261" s="50" t="n"/>
      <c r="R261" s="28">
        <f>IF($Q261="","",IFERROR(INDEX(CONFIG!$H$4:$H$63,MATCH($Q261,CONFIG!$G$4:$G$63,0)),"Por definir"))</f>
        <v/>
      </c>
      <c r="S261" s="28">
        <f>IF($Q261="","",IFERROR(INDEX(CONFIG!$I$4:$I$63,MATCH($Q261,CONFIG!$G$4:$G$63,0)),"Por definir"))</f>
        <v/>
      </c>
      <c r="T261" s="51" t="n"/>
      <c r="U261" s="52" t="n"/>
      <c r="V261" s="50" t="n"/>
      <c r="W261" s="50" t="n"/>
      <c r="X261" s="49">
        <f>IF(OR($B261="",$M261=""),"",WORKDAY($B261,IFERROR(INDEX(CONFIG!$D$4:$D$63,MATCH($M261,CONFIG!$A$4:$A$63,0)),3)))</f>
        <v/>
      </c>
      <c r="Y261" s="47" t="n"/>
      <c r="Z261" s="24">
        <f>IF($B261="","",IF($Y261&lt;&gt;"",$Y261-$B261,TODAY()-$B261))</f>
        <v/>
      </c>
      <c r="AA261" s="28">
        <f>IF($B261="","",IF(IFERROR(INDEX(CONFIG!$L$4:$L$63,MATCH($V261,CONFIG!$K$4:$K$63,0)),"NO")="SÍ",IF(OR($Y261="",$X261=""),"Resuelta",IF($Y261&gt;$X261,"Resuelta tarde","Resuelta a tiempo")),IF($X261="","Sin clasificar",IF(TODAY()&gt;$X261,"Vencida",IF(TODAY()&gt;=$X261-1,"Por vencer","En plazo")))))</f>
        <v/>
      </c>
      <c r="AB261" s="50" t="n"/>
      <c r="AC261" s="50" t="n"/>
    </row>
    <row r="262" ht="16" customHeight="1">
      <c r="A262" s="28">
        <f>IF($B262="","","N-"&amp;TEXT(ROW()-3,"0000"))</f>
        <v/>
      </c>
      <c r="B262" s="47" t="n"/>
      <c r="C262" s="48" t="n"/>
      <c r="D262" s="48" t="n"/>
      <c r="E262" s="28">
        <f>IF($C262="","",IF($D262="",IF($C262="Interna","Sin guía (interna)","FALTA GUÍA"),IF(COUNTIFS(ENVIOS!$A$4:$A$3003,$D262)=0,"NO EXISTE",IF(COUNTIFS(ENVIOS!$A$4:$A$3003,$D262)&gt;1,"DUPLICADA","OK"))))</f>
        <v/>
      </c>
      <c r="F262" s="28">
        <f>IF($D262="","",IFERROR(INDEX(ENVIOS!$B$4:$B$3003,MATCH($D262,ENVIOS!$A$4:$A$3003,0)),"—"))</f>
        <v/>
      </c>
      <c r="G262" s="23">
        <f>IF($D262="","",IFERROR(INDEX(ENVIOS!$D$4:$D$3003,MATCH($D262,ENVIOS!$A$4:$A$3003,0)),"—"))</f>
        <v/>
      </c>
      <c r="H262" s="23">
        <f>IF($D262="","",IFERROR(INDEX(ENVIOS!$E$4:$E$3003,MATCH($D262,ENVIOS!$A$4:$A$3003,0)),"—"))</f>
        <v/>
      </c>
      <c r="I262" s="23">
        <f>IF($D262="","",IFERROR(INDEX(ENVIOS!$F$4:$F$3003,MATCH($D262,ENVIOS!$A$4:$A$3003,0)),"—"))</f>
        <v/>
      </c>
      <c r="J262" s="23">
        <f>IF($D262="","",IFERROR(INDEX(ENVIOS!$G$4:$G$3003,MATCH($D262,ENVIOS!$A$4:$A$3003,0)),"—"))</f>
        <v/>
      </c>
      <c r="K262" s="28">
        <f>IF($D262="","",IFERROR(INDEX(ENVIOS!$H$4:$H$3003,MATCH($D262,ENVIOS!$A$4:$A$3003,0)),"—"))</f>
        <v/>
      </c>
      <c r="L262" s="49">
        <f>IF($D262="","",IFERROR(INDEX(ENVIOS!$C$4:$C$3003,MATCH($D262,ENVIOS!$A$4:$A$3003,0)),""))</f>
        <v/>
      </c>
      <c r="M262" s="50" t="n"/>
      <c r="N262" s="28">
        <f>IF($M262="","",IFERROR(INDEX(CONFIG!$C$4:$C$63,MATCH($M262,CONFIG!$A$4:$A$63,0)),"Media"))</f>
        <v/>
      </c>
      <c r="O262" s="28">
        <f>IF($M262="","",IF($C262="Interna","NO",IFERROR(INDEX(CONFIG!$E$4:$E$63,MATCH($M262,CONFIG!$A$4:$A$63,0)),"NO")))</f>
        <v/>
      </c>
      <c r="P262" s="50" t="n"/>
      <c r="Q262" s="50" t="n"/>
      <c r="R262" s="28">
        <f>IF($Q262="","",IFERROR(INDEX(CONFIG!$H$4:$H$63,MATCH($Q262,CONFIG!$G$4:$G$63,0)),"Por definir"))</f>
        <v/>
      </c>
      <c r="S262" s="28">
        <f>IF($Q262="","",IFERROR(INDEX(CONFIG!$I$4:$I$63,MATCH($Q262,CONFIG!$G$4:$G$63,0)),"Por definir"))</f>
        <v/>
      </c>
      <c r="T262" s="51" t="n"/>
      <c r="U262" s="52" t="n"/>
      <c r="V262" s="50" t="n"/>
      <c r="W262" s="50" t="n"/>
      <c r="X262" s="49">
        <f>IF(OR($B262="",$M262=""),"",WORKDAY($B262,IFERROR(INDEX(CONFIG!$D$4:$D$63,MATCH($M262,CONFIG!$A$4:$A$63,0)),3)))</f>
        <v/>
      </c>
      <c r="Y262" s="47" t="n"/>
      <c r="Z262" s="24">
        <f>IF($B262="","",IF($Y262&lt;&gt;"",$Y262-$B262,TODAY()-$B262))</f>
        <v/>
      </c>
      <c r="AA262" s="28">
        <f>IF($B262="","",IF(IFERROR(INDEX(CONFIG!$L$4:$L$63,MATCH($V262,CONFIG!$K$4:$K$63,0)),"NO")="SÍ",IF(OR($Y262="",$X262=""),"Resuelta",IF($Y262&gt;$X262,"Resuelta tarde","Resuelta a tiempo")),IF($X262="","Sin clasificar",IF(TODAY()&gt;$X262,"Vencida",IF(TODAY()&gt;=$X262-1,"Por vencer","En plazo")))))</f>
        <v/>
      </c>
      <c r="AB262" s="50" t="n"/>
      <c r="AC262" s="50" t="n"/>
    </row>
    <row r="263" ht="16" customHeight="1">
      <c r="A263" s="28">
        <f>IF($B263="","","N-"&amp;TEXT(ROW()-3,"0000"))</f>
        <v/>
      </c>
      <c r="B263" s="47" t="n"/>
      <c r="C263" s="48" t="n"/>
      <c r="D263" s="48" t="n"/>
      <c r="E263" s="28">
        <f>IF($C263="","",IF($D263="",IF($C263="Interna","Sin guía (interna)","FALTA GUÍA"),IF(COUNTIFS(ENVIOS!$A$4:$A$3003,$D263)=0,"NO EXISTE",IF(COUNTIFS(ENVIOS!$A$4:$A$3003,$D263)&gt;1,"DUPLICADA","OK"))))</f>
        <v/>
      </c>
      <c r="F263" s="28">
        <f>IF($D263="","",IFERROR(INDEX(ENVIOS!$B$4:$B$3003,MATCH($D263,ENVIOS!$A$4:$A$3003,0)),"—"))</f>
        <v/>
      </c>
      <c r="G263" s="23">
        <f>IF($D263="","",IFERROR(INDEX(ENVIOS!$D$4:$D$3003,MATCH($D263,ENVIOS!$A$4:$A$3003,0)),"—"))</f>
        <v/>
      </c>
      <c r="H263" s="23">
        <f>IF($D263="","",IFERROR(INDEX(ENVIOS!$E$4:$E$3003,MATCH($D263,ENVIOS!$A$4:$A$3003,0)),"—"))</f>
        <v/>
      </c>
      <c r="I263" s="23">
        <f>IF($D263="","",IFERROR(INDEX(ENVIOS!$F$4:$F$3003,MATCH($D263,ENVIOS!$A$4:$A$3003,0)),"—"))</f>
        <v/>
      </c>
      <c r="J263" s="23">
        <f>IF($D263="","",IFERROR(INDEX(ENVIOS!$G$4:$G$3003,MATCH($D263,ENVIOS!$A$4:$A$3003,0)),"—"))</f>
        <v/>
      </c>
      <c r="K263" s="28">
        <f>IF($D263="","",IFERROR(INDEX(ENVIOS!$H$4:$H$3003,MATCH($D263,ENVIOS!$A$4:$A$3003,0)),"—"))</f>
        <v/>
      </c>
      <c r="L263" s="49">
        <f>IF($D263="","",IFERROR(INDEX(ENVIOS!$C$4:$C$3003,MATCH($D263,ENVIOS!$A$4:$A$3003,0)),""))</f>
        <v/>
      </c>
      <c r="M263" s="50" t="n"/>
      <c r="N263" s="28">
        <f>IF($M263="","",IFERROR(INDEX(CONFIG!$C$4:$C$63,MATCH($M263,CONFIG!$A$4:$A$63,0)),"Media"))</f>
        <v/>
      </c>
      <c r="O263" s="28">
        <f>IF($M263="","",IF($C263="Interna","NO",IFERROR(INDEX(CONFIG!$E$4:$E$63,MATCH($M263,CONFIG!$A$4:$A$63,0)),"NO")))</f>
        <v/>
      </c>
      <c r="P263" s="50" t="n"/>
      <c r="Q263" s="50" t="n"/>
      <c r="R263" s="28">
        <f>IF($Q263="","",IFERROR(INDEX(CONFIG!$H$4:$H$63,MATCH($Q263,CONFIG!$G$4:$G$63,0)),"Por definir"))</f>
        <v/>
      </c>
      <c r="S263" s="28">
        <f>IF($Q263="","",IFERROR(INDEX(CONFIG!$I$4:$I$63,MATCH($Q263,CONFIG!$G$4:$G$63,0)),"Por definir"))</f>
        <v/>
      </c>
      <c r="T263" s="51" t="n"/>
      <c r="U263" s="52" t="n"/>
      <c r="V263" s="50" t="n"/>
      <c r="W263" s="50" t="n"/>
      <c r="X263" s="49">
        <f>IF(OR($B263="",$M263=""),"",WORKDAY($B263,IFERROR(INDEX(CONFIG!$D$4:$D$63,MATCH($M263,CONFIG!$A$4:$A$63,0)),3)))</f>
        <v/>
      </c>
      <c r="Y263" s="47" t="n"/>
      <c r="Z263" s="24">
        <f>IF($B263="","",IF($Y263&lt;&gt;"",$Y263-$B263,TODAY()-$B263))</f>
        <v/>
      </c>
      <c r="AA263" s="28">
        <f>IF($B263="","",IF(IFERROR(INDEX(CONFIG!$L$4:$L$63,MATCH($V263,CONFIG!$K$4:$K$63,0)),"NO")="SÍ",IF(OR($Y263="",$X263=""),"Resuelta",IF($Y263&gt;$X263,"Resuelta tarde","Resuelta a tiempo")),IF($X263="","Sin clasificar",IF(TODAY()&gt;$X263,"Vencida",IF(TODAY()&gt;=$X263-1,"Por vencer","En plazo")))))</f>
        <v/>
      </c>
      <c r="AB263" s="50" t="n"/>
      <c r="AC263" s="50" t="n"/>
    </row>
    <row r="264" ht="16" customHeight="1">
      <c r="A264" s="28">
        <f>IF($B264="","","N-"&amp;TEXT(ROW()-3,"0000"))</f>
        <v/>
      </c>
      <c r="B264" s="47" t="n"/>
      <c r="C264" s="48" t="n"/>
      <c r="D264" s="48" t="n"/>
      <c r="E264" s="28">
        <f>IF($C264="","",IF($D264="",IF($C264="Interna","Sin guía (interna)","FALTA GUÍA"),IF(COUNTIFS(ENVIOS!$A$4:$A$3003,$D264)=0,"NO EXISTE",IF(COUNTIFS(ENVIOS!$A$4:$A$3003,$D264)&gt;1,"DUPLICADA","OK"))))</f>
        <v/>
      </c>
      <c r="F264" s="28">
        <f>IF($D264="","",IFERROR(INDEX(ENVIOS!$B$4:$B$3003,MATCH($D264,ENVIOS!$A$4:$A$3003,0)),"—"))</f>
        <v/>
      </c>
      <c r="G264" s="23">
        <f>IF($D264="","",IFERROR(INDEX(ENVIOS!$D$4:$D$3003,MATCH($D264,ENVIOS!$A$4:$A$3003,0)),"—"))</f>
        <v/>
      </c>
      <c r="H264" s="23">
        <f>IF($D264="","",IFERROR(INDEX(ENVIOS!$E$4:$E$3003,MATCH($D264,ENVIOS!$A$4:$A$3003,0)),"—"))</f>
        <v/>
      </c>
      <c r="I264" s="23">
        <f>IF($D264="","",IFERROR(INDEX(ENVIOS!$F$4:$F$3003,MATCH($D264,ENVIOS!$A$4:$A$3003,0)),"—"))</f>
        <v/>
      </c>
      <c r="J264" s="23">
        <f>IF($D264="","",IFERROR(INDEX(ENVIOS!$G$4:$G$3003,MATCH($D264,ENVIOS!$A$4:$A$3003,0)),"—"))</f>
        <v/>
      </c>
      <c r="K264" s="28">
        <f>IF($D264="","",IFERROR(INDEX(ENVIOS!$H$4:$H$3003,MATCH($D264,ENVIOS!$A$4:$A$3003,0)),"—"))</f>
        <v/>
      </c>
      <c r="L264" s="49">
        <f>IF($D264="","",IFERROR(INDEX(ENVIOS!$C$4:$C$3003,MATCH($D264,ENVIOS!$A$4:$A$3003,0)),""))</f>
        <v/>
      </c>
      <c r="M264" s="50" t="n"/>
      <c r="N264" s="28">
        <f>IF($M264="","",IFERROR(INDEX(CONFIG!$C$4:$C$63,MATCH($M264,CONFIG!$A$4:$A$63,0)),"Media"))</f>
        <v/>
      </c>
      <c r="O264" s="28">
        <f>IF($M264="","",IF($C264="Interna","NO",IFERROR(INDEX(CONFIG!$E$4:$E$63,MATCH($M264,CONFIG!$A$4:$A$63,0)),"NO")))</f>
        <v/>
      </c>
      <c r="P264" s="50" t="n"/>
      <c r="Q264" s="50" t="n"/>
      <c r="R264" s="28">
        <f>IF($Q264="","",IFERROR(INDEX(CONFIG!$H$4:$H$63,MATCH($Q264,CONFIG!$G$4:$G$63,0)),"Por definir"))</f>
        <v/>
      </c>
      <c r="S264" s="28">
        <f>IF($Q264="","",IFERROR(INDEX(CONFIG!$I$4:$I$63,MATCH($Q264,CONFIG!$G$4:$G$63,0)),"Por definir"))</f>
        <v/>
      </c>
      <c r="T264" s="51" t="n"/>
      <c r="U264" s="52" t="n"/>
      <c r="V264" s="50" t="n"/>
      <c r="W264" s="50" t="n"/>
      <c r="X264" s="49">
        <f>IF(OR($B264="",$M264=""),"",WORKDAY($B264,IFERROR(INDEX(CONFIG!$D$4:$D$63,MATCH($M264,CONFIG!$A$4:$A$63,0)),3)))</f>
        <v/>
      </c>
      <c r="Y264" s="47" t="n"/>
      <c r="Z264" s="24">
        <f>IF($B264="","",IF($Y264&lt;&gt;"",$Y264-$B264,TODAY()-$B264))</f>
        <v/>
      </c>
      <c r="AA264" s="28">
        <f>IF($B264="","",IF(IFERROR(INDEX(CONFIG!$L$4:$L$63,MATCH($V264,CONFIG!$K$4:$K$63,0)),"NO")="SÍ",IF(OR($Y264="",$X264=""),"Resuelta",IF($Y264&gt;$X264,"Resuelta tarde","Resuelta a tiempo")),IF($X264="","Sin clasificar",IF(TODAY()&gt;$X264,"Vencida",IF(TODAY()&gt;=$X264-1,"Por vencer","En plazo")))))</f>
        <v/>
      </c>
      <c r="AB264" s="50" t="n"/>
      <c r="AC264" s="50" t="n"/>
    </row>
    <row r="265" ht="16" customHeight="1">
      <c r="A265" s="28">
        <f>IF($B265="","","N-"&amp;TEXT(ROW()-3,"0000"))</f>
        <v/>
      </c>
      <c r="B265" s="47" t="n"/>
      <c r="C265" s="48" t="n"/>
      <c r="D265" s="48" t="n"/>
      <c r="E265" s="28">
        <f>IF($C265="","",IF($D265="",IF($C265="Interna","Sin guía (interna)","FALTA GUÍA"),IF(COUNTIFS(ENVIOS!$A$4:$A$3003,$D265)=0,"NO EXISTE",IF(COUNTIFS(ENVIOS!$A$4:$A$3003,$D265)&gt;1,"DUPLICADA","OK"))))</f>
        <v/>
      </c>
      <c r="F265" s="28">
        <f>IF($D265="","",IFERROR(INDEX(ENVIOS!$B$4:$B$3003,MATCH($D265,ENVIOS!$A$4:$A$3003,0)),"—"))</f>
        <v/>
      </c>
      <c r="G265" s="23">
        <f>IF($D265="","",IFERROR(INDEX(ENVIOS!$D$4:$D$3003,MATCH($D265,ENVIOS!$A$4:$A$3003,0)),"—"))</f>
        <v/>
      </c>
      <c r="H265" s="23">
        <f>IF($D265="","",IFERROR(INDEX(ENVIOS!$E$4:$E$3003,MATCH($D265,ENVIOS!$A$4:$A$3003,0)),"—"))</f>
        <v/>
      </c>
      <c r="I265" s="23">
        <f>IF($D265="","",IFERROR(INDEX(ENVIOS!$F$4:$F$3003,MATCH($D265,ENVIOS!$A$4:$A$3003,0)),"—"))</f>
        <v/>
      </c>
      <c r="J265" s="23">
        <f>IF($D265="","",IFERROR(INDEX(ENVIOS!$G$4:$G$3003,MATCH($D265,ENVIOS!$A$4:$A$3003,0)),"—"))</f>
        <v/>
      </c>
      <c r="K265" s="28">
        <f>IF($D265="","",IFERROR(INDEX(ENVIOS!$H$4:$H$3003,MATCH($D265,ENVIOS!$A$4:$A$3003,0)),"—"))</f>
        <v/>
      </c>
      <c r="L265" s="49">
        <f>IF($D265="","",IFERROR(INDEX(ENVIOS!$C$4:$C$3003,MATCH($D265,ENVIOS!$A$4:$A$3003,0)),""))</f>
        <v/>
      </c>
      <c r="M265" s="50" t="n"/>
      <c r="N265" s="28">
        <f>IF($M265="","",IFERROR(INDEX(CONFIG!$C$4:$C$63,MATCH($M265,CONFIG!$A$4:$A$63,0)),"Media"))</f>
        <v/>
      </c>
      <c r="O265" s="28">
        <f>IF($M265="","",IF($C265="Interna","NO",IFERROR(INDEX(CONFIG!$E$4:$E$63,MATCH($M265,CONFIG!$A$4:$A$63,0)),"NO")))</f>
        <v/>
      </c>
      <c r="P265" s="50" t="n"/>
      <c r="Q265" s="50" t="n"/>
      <c r="R265" s="28">
        <f>IF($Q265="","",IFERROR(INDEX(CONFIG!$H$4:$H$63,MATCH($Q265,CONFIG!$G$4:$G$63,0)),"Por definir"))</f>
        <v/>
      </c>
      <c r="S265" s="28">
        <f>IF($Q265="","",IFERROR(INDEX(CONFIG!$I$4:$I$63,MATCH($Q265,CONFIG!$G$4:$G$63,0)),"Por definir"))</f>
        <v/>
      </c>
      <c r="T265" s="51" t="n"/>
      <c r="U265" s="52" t="n"/>
      <c r="V265" s="50" t="n"/>
      <c r="W265" s="50" t="n"/>
      <c r="X265" s="49">
        <f>IF(OR($B265="",$M265=""),"",WORKDAY($B265,IFERROR(INDEX(CONFIG!$D$4:$D$63,MATCH($M265,CONFIG!$A$4:$A$63,0)),3)))</f>
        <v/>
      </c>
      <c r="Y265" s="47" t="n"/>
      <c r="Z265" s="24">
        <f>IF($B265="","",IF($Y265&lt;&gt;"",$Y265-$B265,TODAY()-$B265))</f>
        <v/>
      </c>
      <c r="AA265" s="28">
        <f>IF($B265="","",IF(IFERROR(INDEX(CONFIG!$L$4:$L$63,MATCH($V265,CONFIG!$K$4:$K$63,0)),"NO")="SÍ",IF(OR($Y265="",$X265=""),"Resuelta",IF($Y265&gt;$X265,"Resuelta tarde","Resuelta a tiempo")),IF($X265="","Sin clasificar",IF(TODAY()&gt;$X265,"Vencida",IF(TODAY()&gt;=$X265-1,"Por vencer","En plazo")))))</f>
        <v/>
      </c>
      <c r="AB265" s="50" t="n"/>
      <c r="AC265" s="50" t="n"/>
    </row>
    <row r="266" ht="16" customHeight="1">
      <c r="A266" s="28">
        <f>IF($B266="","","N-"&amp;TEXT(ROW()-3,"0000"))</f>
        <v/>
      </c>
      <c r="B266" s="47" t="n"/>
      <c r="C266" s="48" t="n"/>
      <c r="D266" s="48" t="n"/>
      <c r="E266" s="28">
        <f>IF($C266="","",IF($D266="",IF($C266="Interna","Sin guía (interna)","FALTA GUÍA"),IF(COUNTIFS(ENVIOS!$A$4:$A$3003,$D266)=0,"NO EXISTE",IF(COUNTIFS(ENVIOS!$A$4:$A$3003,$D266)&gt;1,"DUPLICADA","OK"))))</f>
        <v/>
      </c>
      <c r="F266" s="28">
        <f>IF($D266="","",IFERROR(INDEX(ENVIOS!$B$4:$B$3003,MATCH($D266,ENVIOS!$A$4:$A$3003,0)),"—"))</f>
        <v/>
      </c>
      <c r="G266" s="23">
        <f>IF($D266="","",IFERROR(INDEX(ENVIOS!$D$4:$D$3003,MATCH($D266,ENVIOS!$A$4:$A$3003,0)),"—"))</f>
        <v/>
      </c>
      <c r="H266" s="23">
        <f>IF($D266="","",IFERROR(INDEX(ENVIOS!$E$4:$E$3003,MATCH($D266,ENVIOS!$A$4:$A$3003,0)),"—"))</f>
        <v/>
      </c>
      <c r="I266" s="23">
        <f>IF($D266="","",IFERROR(INDEX(ENVIOS!$F$4:$F$3003,MATCH($D266,ENVIOS!$A$4:$A$3003,0)),"—"))</f>
        <v/>
      </c>
      <c r="J266" s="23">
        <f>IF($D266="","",IFERROR(INDEX(ENVIOS!$G$4:$G$3003,MATCH($D266,ENVIOS!$A$4:$A$3003,0)),"—"))</f>
        <v/>
      </c>
      <c r="K266" s="28">
        <f>IF($D266="","",IFERROR(INDEX(ENVIOS!$H$4:$H$3003,MATCH($D266,ENVIOS!$A$4:$A$3003,0)),"—"))</f>
        <v/>
      </c>
      <c r="L266" s="49">
        <f>IF($D266="","",IFERROR(INDEX(ENVIOS!$C$4:$C$3003,MATCH($D266,ENVIOS!$A$4:$A$3003,0)),""))</f>
        <v/>
      </c>
      <c r="M266" s="50" t="n"/>
      <c r="N266" s="28">
        <f>IF($M266="","",IFERROR(INDEX(CONFIG!$C$4:$C$63,MATCH($M266,CONFIG!$A$4:$A$63,0)),"Media"))</f>
        <v/>
      </c>
      <c r="O266" s="28">
        <f>IF($M266="","",IF($C266="Interna","NO",IFERROR(INDEX(CONFIG!$E$4:$E$63,MATCH($M266,CONFIG!$A$4:$A$63,0)),"NO")))</f>
        <v/>
      </c>
      <c r="P266" s="50" t="n"/>
      <c r="Q266" s="50" t="n"/>
      <c r="R266" s="28">
        <f>IF($Q266="","",IFERROR(INDEX(CONFIG!$H$4:$H$63,MATCH($Q266,CONFIG!$G$4:$G$63,0)),"Por definir"))</f>
        <v/>
      </c>
      <c r="S266" s="28">
        <f>IF($Q266="","",IFERROR(INDEX(CONFIG!$I$4:$I$63,MATCH($Q266,CONFIG!$G$4:$G$63,0)),"Por definir"))</f>
        <v/>
      </c>
      <c r="T266" s="51" t="n"/>
      <c r="U266" s="52" t="n"/>
      <c r="V266" s="50" t="n"/>
      <c r="W266" s="50" t="n"/>
      <c r="X266" s="49">
        <f>IF(OR($B266="",$M266=""),"",WORKDAY($B266,IFERROR(INDEX(CONFIG!$D$4:$D$63,MATCH($M266,CONFIG!$A$4:$A$63,0)),3)))</f>
        <v/>
      </c>
      <c r="Y266" s="47" t="n"/>
      <c r="Z266" s="24">
        <f>IF($B266="","",IF($Y266&lt;&gt;"",$Y266-$B266,TODAY()-$B266))</f>
        <v/>
      </c>
      <c r="AA266" s="28">
        <f>IF($B266="","",IF(IFERROR(INDEX(CONFIG!$L$4:$L$63,MATCH($V266,CONFIG!$K$4:$K$63,0)),"NO")="SÍ",IF(OR($Y266="",$X266=""),"Resuelta",IF($Y266&gt;$X266,"Resuelta tarde","Resuelta a tiempo")),IF($X266="","Sin clasificar",IF(TODAY()&gt;$X266,"Vencida",IF(TODAY()&gt;=$X266-1,"Por vencer","En plazo")))))</f>
        <v/>
      </c>
      <c r="AB266" s="50" t="n"/>
      <c r="AC266" s="50" t="n"/>
    </row>
    <row r="267" ht="16" customHeight="1">
      <c r="A267" s="28">
        <f>IF($B267="","","N-"&amp;TEXT(ROW()-3,"0000"))</f>
        <v/>
      </c>
      <c r="B267" s="47" t="n"/>
      <c r="C267" s="48" t="n"/>
      <c r="D267" s="48" t="n"/>
      <c r="E267" s="28">
        <f>IF($C267="","",IF($D267="",IF($C267="Interna","Sin guía (interna)","FALTA GUÍA"),IF(COUNTIFS(ENVIOS!$A$4:$A$3003,$D267)=0,"NO EXISTE",IF(COUNTIFS(ENVIOS!$A$4:$A$3003,$D267)&gt;1,"DUPLICADA","OK"))))</f>
        <v/>
      </c>
      <c r="F267" s="28">
        <f>IF($D267="","",IFERROR(INDEX(ENVIOS!$B$4:$B$3003,MATCH($D267,ENVIOS!$A$4:$A$3003,0)),"—"))</f>
        <v/>
      </c>
      <c r="G267" s="23">
        <f>IF($D267="","",IFERROR(INDEX(ENVIOS!$D$4:$D$3003,MATCH($D267,ENVIOS!$A$4:$A$3003,0)),"—"))</f>
        <v/>
      </c>
      <c r="H267" s="23">
        <f>IF($D267="","",IFERROR(INDEX(ENVIOS!$E$4:$E$3003,MATCH($D267,ENVIOS!$A$4:$A$3003,0)),"—"))</f>
        <v/>
      </c>
      <c r="I267" s="23">
        <f>IF($D267="","",IFERROR(INDEX(ENVIOS!$F$4:$F$3003,MATCH($D267,ENVIOS!$A$4:$A$3003,0)),"—"))</f>
        <v/>
      </c>
      <c r="J267" s="23">
        <f>IF($D267="","",IFERROR(INDEX(ENVIOS!$G$4:$G$3003,MATCH($D267,ENVIOS!$A$4:$A$3003,0)),"—"))</f>
        <v/>
      </c>
      <c r="K267" s="28">
        <f>IF($D267="","",IFERROR(INDEX(ENVIOS!$H$4:$H$3003,MATCH($D267,ENVIOS!$A$4:$A$3003,0)),"—"))</f>
        <v/>
      </c>
      <c r="L267" s="49">
        <f>IF($D267="","",IFERROR(INDEX(ENVIOS!$C$4:$C$3003,MATCH($D267,ENVIOS!$A$4:$A$3003,0)),""))</f>
        <v/>
      </c>
      <c r="M267" s="50" t="n"/>
      <c r="N267" s="28">
        <f>IF($M267="","",IFERROR(INDEX(CONFIG!$C$4:$C$63,MATCH($M267,CONFIG!$A$4:$A$63,0)),"Media"))</f>
        <v/>
      </c>
      <c r="O267" s="28">
        <f>IF($M267="","",IF($C267="Interna","NO",IFERROR(INDEX(CONFIG!$E$4:$E$63,MATCH($M267,CONFIG!$A$4:$A$63,0)),"NO")))</f>
        <v/>
      </c>
      <c r="P267" s="50" t="n"/>
      <c r="Q267" s="50" t="n"/>
      <c r="R267" s="28">
        <f>IF($Q267="","",IFERROR(INDEX(CONFIG!$H$4:$H$63,MATCH($Q267,CONFIG!$G$4:$G$63,0)),"Por definir"))</f>
        <v/>
      </c>
      <c r="S267" s="28">
        <f>IF($Q267="","",IFERROR(INDEX(CONFIG!$I$4:$I$63,MATCH($Q267,CONFIG!$G$4:$G$63,0)),"Por definir"))</f>
        <v/>
      </c>
      <c r="T267" s="51" t="n"/>
      <c r="U267" s="52" t="n"/>
      <c r="V267" s="50" t="n"/>
      <c r="W267" s="50" t="n"/>
      <c r="X267" s="49">
        <f>IF(OR($B267="",$M267=""),"",WORKDAY($B267,IFERROR(INDEX(CONFIG!$D$4:$D$63,MATCH($M267,CONFIG!$A$4:$A$63,0)),3)))</f>
        <v/>
      </c>
      <c r="Y267" s="47" t="n"/>
      <c r="Z267" s="24">
        <f>IF($B267="","",IF($Y267&lt;&gt;"",$Y267-$B267,TODAY()-$B267))</f>
        <v/>
      </c>
      <c r="AA267" s="28">
        <f>IF($B267="","",IF(IFERROR(INDEX(CONFIG!$L$4:$L$63,MATCH($V267,CONFIG!$K$4:$K$63,0)),"NO")="SÍ",IF(OR($Y267="",$X267=""),"Resuelta",IF($Y267&gt;$X267,"Resuelta tarde","Resuelta a tiempo")),IF($X267="","Sin clasificar",IF(TODAY()&gt;$X267,"Vencida",IF(TODAY()&gt;=$X267-1,"Por vencer","En plazo")))))</f>
        <v/>
      </c>
      <c r="AB267" s="50" t="n"/>
      <c r="AC267" s="50" t="n"/>
    </row>
    <row r="268" ht="16" customHeight="1">
      <c r="A268" s="28">
        <f>IF($B268="","","N-"&amp;TEXT(ROW()-3,"0000"))</f>
        <v/>
      </c>
      <c r="B268" s="47" t="n"/>
      <c r="C268" s="48" t="n"/>
      <c r="D268" s="48" t="n"/>
      <c r="E268" s="28">
        <f>IF($C268="","",IF($D268="",IF($C268="Interna","Sin guía (interna)","FALTA GUÍA"),IF(COUNTIFS(ENVIOS!$A$4:$A$3003,$D268)=0,"NO EXISTE",IF(COUNTIFS(ENVIOS!$A$4:$A$3003,$D268)&gt;1,"DUPLICADA","OK"))))</f>
        <v/>
      </c>
      <c r="F268" s="28">
        <f>IF($D268="","",IFERROR(INDEX(ENVIOS!$B$4:$B$3003,MATCH($D268,ENVIOS!$A$4:$A$3003,0)),"—"))</f>
        <v/>
      </c>
      <c r="G268" s="23">
        <f>IF($D268="","",IFERROR(INDEX(ENVIOS!$D$4:$D$3003,MATCH($D268,ENVIOS!$A$4:$A$3003,0)),"—"))</f>
        <v/>
      </c>
      <c r="H268" s="23">
        <f>IF($D268="","",IFERROR(INDEX(ENVIOS!$E$4:$E$3003,MATCH($D268,ENVIOS!$A$4:$A$3003,0)),"—"))</f>
        <v/>
      </c>
      <c r="I268" s="23">
        <f>IF($D268="","",IFERROR(INDEX(ENVIOS!$F$4:$F$3003,MATCH($D268,ENVIOS!$A$4:$A$3003,0)),"—"))</f>
        <v/>
      </c>
      <c r="J268" s="23">
        <f>IF($D268="","",IFERROR(INDEX(ENVIOS!$G$4:$G$3003,MATCH($D268,ENVIOS!$A$4:$A$3003,0)),"—"))</f>
        <v/>
      </c>
      <c r="K268" s="28">
        <f>IF($D268="","",IFERROR(INDEX(ENVIOS!$H$4:$H$3003,MATCH($D268,ENVIOS!$A$4:$A$3003,0)),"—"))</f>
        <v/>
      </c>
      <c r="L268" s="49">
        <f>IF($D268="","",IFERROR(INDEX(ENVIOS!$C$4:$C$3003,MATCH($D268,ENVIOS!$A$4:$A$3003,0)),""))</f>
        <v/>
      </c>
      <c r="M268" s="50" t="n"/>
      <c r="N268" s="28">
        <f>IF($M268="","",IFERROR(INDEX(CONFIG!$C$4:$C$63,MATCH($M268,CONFIG!$A$4:$A$63,0)),"Media"))</f>
        <v/>
      </c>
      <c r="O268" s="28">
        <f>IF($M268="","",IF($C268="Interna","NO",IFERROR(INDEX(CONFIG!$E$4:$E$63,MATCH($M268,CONFIG!$A$4:$A$63,0)),"NO")))</f>
        <v/>
      </c>
      <c r="P268" s="50" t="n"/>
      <c r="Q268" s="50" t="n"/>
      <c r="R268" s="28">
        <f>IF($Q268="","",IFERROR(INDEX(CONFIG!$H$4:$H$63,MATCH($Q268,CONFIG!$G$4:$G$63,0)),"Por definir"))</f>
        <v/>
      </c>
      <c r="S268" s="28">
        <f>IF($Q268="","",IFERROR(INDEX(CONFIG!$I$4:$I$63,MATCH($Q268,CONFIG!$G$4:$G$63,0)),"Por definir"))</f>
        <v/>
      </c>
      <c r="T268" s="51" t="n"/>
      <c r="U268" s="52" t="n"/>
      <c r="V268" s="50" t="n"/>
      <c r="W268" s="50" t="n"/>
      <c r="X268" s="49">
        <f>IF(OR($B268="",$M268=""),"",WORKDAY($B268,IFERROR(INDEX(CONFIG!$D$4:$D$63,MATCH($M268,CONFIG!$A$4:$A$63,0)),3)))</f>
        <v/>
      </c>
      <c r="Y268" s="47" t="n"/>
      <c r="Z268" s="24">
        <f>IF($B268="","",IF($Y268&lt;&gt;"",$Y268-$B268,TODAY()-$B268))</f>
        <v/>
      </c>
      <c r="AA268" s="28">
        <f>IF($B268="","",IF(IFERROR(INDEX(CONFIG!$L$4:$L$63,MATCH($V268,CONFIG!$K$4:$K$63,0)),"NO")="SÍ",IF(OR($Y268="",$X268=""),"Resuelta",IF($Y268&gt;$X268,"Resuelta tarde","Resuelta a tiempo")),IF($X268="","Sin clasificar",IF(TODAY()&gt;$X268,"Vencida",IF(TODAY()&gt;=$X268-1,"Por vencer","En plazo")))))</f>
        <v/>
      </c>
      <c r="AB268" s="50" t="n"/>
      <c r="AC268" s="50" t="n"/>
    </row>
    <row r="269" ht="16" customHeight="1">
      <c r="A269" s="28">
        <f>IF($B269="","","N-"&amp;TEXT(ROW()-3,"0000"))</f>
        <v/>
      </c>
      <c r="B269" s="47" t="n"/>
      <c r="C269" s="48" t="n"/>
      <c r="D269" s="48" t="n"/>
      <c r="E269" s="28">
        <f>IF($C269="","",IF($D269="",IF($C269="Interna","Sin guía (interna)","FALTA GUÍA"),IF(COUNTIFS(ENVIOS!$A$4:$A$3003,$D269)=0,"NO EXISTE",IF(COUNTIFS(ENVIOS!$A$4:$A$3003,$D269)&gt;1,"DUPLICADA","OK"))))</f>
        <v/>
      </c>
      <c r="F269" s="28">
        <f>IF($D269="","",IFERROR(INDEX(ENVIOS!$B$4:$B$3003,MATCH($D269,ENVIOS!$A$4:$A$3003,0)),"—"))</f>
        <v/>
      </c>
      <c r="G269" s="23">
        <f>IF($D269="","",IFERROR(INDEX(ENVIOS!$D$4:$D$3003,MATCH($D269,ENVIOS!$A$4:$A$3003,0)),"—"))</f>
        <v/>
      </c>
      <c r="H269" s="23">
        <f>IF($D269="","",IFERROR(INDEX(ENVIOS!$E$4:$E$3003,MATCH($D269,ENVIOS!$A$4:$A$3003,0)),"—"))</f>
        <v/>
      </c>
      <c r="I269" s="23">
        <f>IF($D269="","",IFERROR(INDEX(ENVIOS!$F$4:$F$3003,MATCH($D269,ENVIOS!$A$4:$A$3003,0)),"—"))</f>
        <v/>
      </c>
      <c r="J269" s="23">
        <f>IF($D269="","",IFERROR(INDEX(ENVIOS!$G$4:$G$3003,MATCH($D269,ENVIOS!$A$4:$A$3003,0)),"—"))</f>
        <v/>
      </c>
      <c r="K269" s="28">
        <f>IF($D269="","",IFERROR(INDEX(ENVIOS!$H$4:$H$3003,MATCH($D269,ENVIOS!$A$4:$A$3003,0)),"—"))</f>
        <v/>
      </c>
      <c r="L269" s="49">
        <f>IF($D269="","",IFERROR(INDEX(ENVIOS!$C$4:$C$3003,MATCH($D269,ENVIOS!$A$4:$A$3003,0)),""))</f>
        <v/>
      </c>
      <c r="M269" s="50" t="n"/>
      <c r="N269" s="28">
        <f>IF($M269="","",IFERROR(INDEX(CONFIG!$C$4:$C$63,MATCH($M269,CONFIG!$A$4:$A$63,0)),"Media"))</f>
        <v/>
      </c>
      <c r="O269" s="28">
        <f>IF($M269="","",IF($C269="Interna","NO",IFERROR(INDEX(CONFIG!$E$4:$E$63,MATCH($M269,CONFIG!$A$4:$A$63,0)),"NO")))</f>
        <v/>
      </c>
      <c r="P269" s="50" t="n"/>
      <c r="Q269" s="50" t="n"/>
      <c r="R269" s="28">
        <f>IF($Q269="","",IFERROR(INDEX(CONFIG!$H$4:$H$63,MATCH($Q269,CONFIG!$G$4:$G$63,0)),"Por definir"))</f>
        <v/>
      </c>
      <c r="S269" s="28">
        <f>IF($Q269="","",IFERROR(INDEX(CONFIG!$I$4:$I$63,MATCH($Q269,CONFIG!$G$4:$G$63,0)),"Por definir"))</f>
        <v/>
      </c>
      <c r="T269" s="51" t="n"/>
      <c r="U269" s="52" t="n"/>
      <c r="V269" s="50" t="n"/>
      <c r="W269" s="50" t="n"/>
      <c r="X269" s="49">
        <f>IF(OR($B269="",$M269=""),"",WORKDAY($B269,IFERROR(INDEX(CONFIG!$D$4:$D$63,MATCH($M269,CONFIG!$A$4:$A$63,0)),3)))</f>
        <v/>
      </c>
      <c r="Y269" s="47" t="n"/>
      <c r="Z269" s="24">
        <f>IF($B269="","",IF($Y269&lt;&gt;"",$Y269-$B269,TODAY()-$B269))</f>
        <v/>
      </c>
      <c r="AA269" s="28">
        <f>IF($B269="","",IF(IFERROR(INDEX(CONFIG!$L$4:$L$63,MATCH($V269,CONFIG!$K$4:$K$63,0)),"NO")="SÍ",IF(OR($Y269="",$X269=""),"Resuelta",IF($Y269&gt;$X269,"Resuelta tarde","Resuelta a tiempo")),IF($X269="","Sin clasificar",IF(TODAY()&gt;$X269,"Vencida",IF(TODAY()&gt;=$X269-1,"Por vencer","En plazo")))))</f>
        <v/>
      </c>
      <c r="AB269" s="50" t="n"/>
      <c r="AC269" s="50" t="n"/>
    </row>
    <row r="270" ht="16" customHeight="1">
      <c r="A270" s="28">
        <f>IF($B270="","","N-"&amp;TEXT(ROW()-3,"0000"))</f>
        <v/>
      </c>
      <c r="B270" s="47" t="n"/>
      <c r="C270" s="48" t="n"/>
      <c r="D270" s="48" t="n"/>
      <c r="E270" s="28">
        <f>IF($C270="","",IF($D270="",IF($C270="Interna","Sin guía (interna)","FALTA GUÍA"),IF(COUNTIFS(ENVIOS!$A$4:$A$3003,$D270)=0,"NO EXISTE",IF(COUNTIFS(ENVIOS!$A$4:$A$3003,$D270)&gt;1,"DUPLICADA","OK"))))</f>
        <v/>
      </c>
      <c r="F270" s="28">
        <f>IF($D270="","",IFERROR(INDEX(ENVIOS!$B$4:$B$3003,MATCH($D270,ENVIOS!$A$4:$A$3003,0)),"—"))</f>
        <v/>
      </c>
      <c r="G270" s="23">
        <f>IF($D270="","",IFERROR(INDEX(ENVIOS!$D$4:$D$3003,MATCH($D270,ENVIOS!$A$4:$A$3003,0)),"—"))</f>
        <v/>
      </c>
      <c r="H270" s="23">
        <f>IF($D270="","",IFERROR(INDEX(ENVIOS!$E$4:$E$3003,MATCH($D270,ENVIOS!$A$4:$A$3003,0)),"—"))</f>
        <v/>
      </c>
      <c r="I270" s="23">
        <f>IF($D270="","",IFERROR(INDEX(ENVIOS!$F$4:$F$3003,MATCH($D270,ENVIOS!$A$4:$A$3003,0)),"—"))</f>
        <v/>
      </c>
      <c r="J270" s="23">
        <f>IF($D270="","",IFERROR(INDEX(ENVIOS!$G$4:$G$3003,MATCH($D270,ENVIOS!$A$4:$A$3003,0)),"—"))</f>
        <v/>
      </c>
      <c r="K270" s="28">
        <f>IF($D270="","",IFERROR(INDEX(ENVIOS!$H$4:$H$3003,MATCH($D270,ENVIOS!$A$4:$A$3003,0)),"—"))</f>
        <v/>
      </c>
      <c r="L270" s="49">
        <f>IF($D270="","",IFERROR(INDEX(ENVIOS!$C$4:$C$3003,MATCH($D270,ENVIOS!$A$4:$A$3003,0)),""))</f>
        <v/>
      </c>
      <c r="M270" s="50" t="n"/>
      <c r="N270" s="28">
        <f>IF($M270="","",IFERROR(INDEX(CONFIG!$C$4:$C$63,MATCH($M270,CONFIG!$A$4:$A$63,0)),"Media"))</f>
        <v/>
      </c>
      <c r="O270" s="28">
        <f>IF($M270="","",IF($C270="Interna","NO",IFERROR(INDEX(CONFIG!$E$4:$E$63,MATCH($M270,CONFIG!$A$4:$A$63,0)),"NO")))</f>
        <v/>
      </c>
      <c r="P270" s="50" t="n"/>
      <c r="Q270" s="50" t="n"/>
      <c r="R270" s="28">
        <f>IF($Q270="","",IFERROR(INDEX(CONFIG!$H$4:$H$63,MATCH($Q270,CONFIG!$G$4:$G$63,0)),"Por definir"))</f>
        <v/>
      </c>
      <c r="S270" s="28">
        <f>IF($Q270="","",IFERROR(INDEX(CONFIG!$I$4:$I$63,MATCH($Q270,CONFIG!$G$4:$G$63,0)),"Por definir"))</f>
        <v/>
      </c>
      <c r="T270" s="51" t="n"/>
      <c r="U270" s="52" t="n"/>
      <c r="V270" s="50" t="n"/>
      <c r="W270" s="50" t="n"/>
      <c r="X270" s="49">
        <f>IF(OR($B270="",$M270=""),"",WORKDAY($B270,IFERROR(INDEX(CONFIG!$D$4:$D$63,MATCH($M270,CONFIG!$A$4:$A$63,0)),3)))</f>
        <v/>
      </c>
      <c r="Y270" s="47" t="n"/>
      <c r="Z270" s="24">
        <f>IF($B270="","",IF($Y270&lt;&gt;"",$Y270-$B270,TODAY()-$B270))</f>
        <v/>
      </c>
      <c r="AA270" s="28">
        <f>IF($B270="","",IF(IFERROR(INDEX(CONFIG!$L$4:$L$63,MATCH($V270,CONFIG!$K$4:$K$63,0)),"NO")="SÍ",IF(OR($Y270="",$X270=""),"Resuelta",IF($Y270&gt;$X270,"Resuelta tarde","Resuelta a tiempo")),IF($X270="","Sin clasificar",IF(TODAY()&gt;$X270,"Vencida",IF(TODAY()&gt;=$X270-1,"Por vencer","En plazo")))))</f>
        <v/>
      </c>
      <c r="AB270" s="50" t="n"/>
      <c r="AC270" s="50" t="n"/>
    </row>
    <row r="271" ht="16" customHeight="1">
      <c r="A271" s="28">
        <f>IF($B271="","","N-"&amp;TEXT(ROW()-3,"0000"))</f>
        <v/>
      </c>
      <c r="B271" s="47" t="n"/>
      <c r="C271" s="48" t="n"/>
      <c r="D271" s="48" t="n"/>
      <c r="E271" s="28">
        <f>IF($C271="","",IF($D271="",IF($C271="Interna","Sin guía (interna)","FALTA GUÍA"),IF(COUNTIFS(ENVIOS!$A$4:$A$3003,$D271)=0,"NO EXISTE",IF(COUNTIFS(ENVIOS!$A$4:$A$3003,$D271)&gt;1,"DUPLICADA","OK"))))</f>
        <v/>
      </c>
      <c r="F271" s="28">
        <f>IF($D271="","",IFERROR(INDEX(ENVIOS!$B$4:$B$3003,MATCH($D271,ENVIOS!$A$4:$A$3003,0)),"—"))</f>
        <v/>
      </c>
      <c r="G271" s="23">
        <f>IF($D271="","",IFERROR(INDEX(ENVIOS!$D$4:$D$3003,MATCH($D271,ENVIOS!$A$4:$A$3003,0)),"—"))</f>
        <v/>
      </c>
      <c r="H271" s="23">
        <f>IF($D271="","",IFERROR(INDEX(ENVIOS!$E$4:$E$3003,MATCH($D271,ENVIOS!$A$4:$A$3003,0)),"—"))</f>
        <v/>
      </c>
      <c r="I271" s="23">
        <f>IF($D271="","",IFERROR(INDEX(ENVIOS!$F$4:$F$3003,MATCH($D271,ENVIOS!$A$4:$A$3003,0)),"—"))</f>
        <v/>
      </c>
      <c r="J271" s="23">
        <f>IF($D271="","",IFERROR(INDEX(ENVIOS!$G$4:$G$3003,MATCH($D271,ENVIOS!$A$4:$A$3003,0)),"—"))</f>
        <v/>
      </c>
      <c r="K271" s="28">
        <f>IF($D271="","",IFERROR(INDEX(ENVIOS!$H$4:$H$3003,MATCH($D271,ENVIOS!$A$4:$A$3003,0)),"—"))</f>
        <v/>
      </c>
      <c r="L271" s="49">
        <f>IF($D271="","",IFERROR(INDEX(ENVIOS!$C$4:$C$3003,MATCH($D271,ENVIOS!$A$4:$A$3003,0)),""))</f>
        <v/>
      </c>
      <c r="M271" s="50" t="n"/>
      <c r="N271" s="28">
        <f>IF($M271="","",IFERROR(INDEX(CONFIG!$C$4:$C$63,MATCH($M271,CONFIG!$A$4:$A$63,0)),"Media"))</f>
        <v/>
      </c>
      <c r="O271" s="28">
        <f>IF($M271="","",IF($C271="Interna","NO",IFERROR(INDEX(CONFIG!$E$4:$E$63,MATCH($M271,CONFIG!$A$4:$A$63,0)),"NO")))</f>
        <v/>
      </c>
      <c r="P271" s="50" t="n"/>
      <c r="Q271" s="50" t="n"/>
      <c r="R271" s="28">
        <f>IF($Q271="","",IFERROR(INDEX(CONFIG!$H$4:$H$63,MATCH($Q271,CONFIG!$G$4:$G$63,0)),"Por definir"))</f>
        <v/>
      </c>
      <c r="S271" s="28">
        <f>IF($Q271="","",IFERROR(INDEX(CONFIG!$I$4:$I$63,MATCH($Q271,CONFIG!$G$4:$G$63,0)),"Por definir"))</f>
        <v/>
      </c>
      <c r="T271" s="51" t="n"/>
      <c r="U271" s="52" t="n"/>
      <c r="V271" s="50" t="n"/>
      <c r="W271" s="50" t="n"/>
      <c r="X271" s="49">
        <f>IF(OR($B271="",$M271=""),"",WORKDAY($B271,IFERROR(INDEX(CONFIG!$D$4:$D$63,MATCH($M271,CONFIG!$A$4:$A$63,0)),3)))</f>
        <v/>
      </c>
      <c r="Y271" s="47" t="n"/>
      <c r="Z271" s="24">
        <f>IF($B271="","",IF($Y271&lt;&gt;"",$Y271-$B271,TODAY()-$B271))</f>
        <v/>
      </c>
      <c r="AA271" s="28">
        <f>IF($B271="","",IF(IFERROR(INDEX(CONFIG!$L$4:$L$63,MATCH($V271,CONFIG!$K$4:$K$63,0)),"NO")="SÍ",IF(OR($Y271="",$X271=""),"Resuelta",IF($Y271&gt;$X271,"Resuelta tarde","Resuelta a tiempo")),IF($X271="","Sin clasificar",IF(TODAY()&gt;$X271,"Vencida",IF(TODAY()&gt;=$X271-1,"Por vencer","En plazo")))))</f>
        <v/>
      </c>
      <c r="AB271" s="50" t="n"/>
      <c r="AC271" s="50" t="n"/>
    </row>
    <row r="272" ht="16" customHeight="1">
      <c r="A272" s="28">
        <f>IF($B272="","","N-"&amp;TEXT(ROW()-3,"0000"))</f>
        <v/>
      </c>
      <c r="B272" s="47" t="n"/>
      <c r="C272" s="48" t="n"/>
      <c r="D272" s="48" t="n"/>
      <c r="E272" s="28">
        <f>IF($C272="","",IF($D272="",IF($C272="Interna","Sin guía (interna)","FALTA GUÍA"),IF(COUNTIFS(ENVIOS!$A$4:$A$3003,$D272)=0,"NO EXISTE",IF(COUNTIFS(ENVIOS!$A$4:$A$3003,$D272)&gt;1,"DUPLICADA","OK"))))</f>
        <v/>
      </c>
      <c r="F272" s="28">
        <f>IF($D272="","",IFERROR(INDEX(ENVIOS!$B$4:$B$3003,MATCH($D272,ENVIOS!$A$4:$A$3003,0)),"—"))</f>
        <v/>
      </c>
      <c r="G272" s="23">
        <f>IF($D272="","",IFERROR(INDEX(ENVIOS!$D$4:$D$3003,MATCH($D272,ENVIOS!$A$4:$A$3003,0)),"—"))</f>
        <v/>
      </c>
      <c r="H272" s="23">
        <f>IF($D272="","",IFERROR(INDEX(ENVIOS!$E$4:$E$3003,MATCH($D272,ENVIOS!$A$4:$A$3003,0)),"—"))</f>
        <v/>
      </c>
      <c r="I272" s="23">
        <f>IF($D272="","",IFERROR(INDEX(ENVIOS!$F$4:$F$3003,MATCH($D272,ENVIOS!$A$4:$A$3003,0)),"—"))</f>
        <v/>
      </c>
      <c r="J272" s="23">
        <f>IF($D272="","",IFERROR(INDEX(ENVIOS!$G$4:$G$3003,MATCH($D272,ENVIOS!$A$4:$A$3003,0)),"—"))</f>
        <v/>
      </c>
      <c r="K272" s="28">
        <f>IF($D272="","",IFERROR(INDEX(ENVIOS!$H$4:$H$3003,MATCH($D272,ENVIOS!$A$4:$A$3003,0)),"—"))</f>
        <v/>
      </c>
      <c r="L272" s="49">
        <f>IF($D272="","",IFERROR(INDEX(ENVIOS!$C$4:$C$3003,MATCH($D272,ENVIOS!$A$4:$A$3003,0)),""))</f>
        <v/>
      </c>
      <c r="M272" s="50" t="n"/>
      <c r="N272" s="28">
        <f>IF($M272="","",IFERROR(INDEX(CONFIG!$C$4:$C$63,MATCH($M272,CONFIG!$A$4:$A$63,0)),"Media"))</f>
        <v/>
      </c>
      <c r="O272" s="28">
        <f>IF($M272="","",IF($C272="Interna","NO",IFERROR(INDEX(CONFIG!$E$4:$E$63,MATCH($M272,CONFIG!$A$4:$A$63,0)),"NO")))</f>
        <v/>
      </c>
      <c r="P272" s="50" t="n"/>
      <c r="Q272" s="50" t="n"/>
      <c r="R272" s="28">
        <f>IF($Q272="","",IFERROR(INDEX(CONFIG!$H$4:$H$63,MATCH($Q272,CONFIG!$G$4:$G$63,0)),"Por definir"))</f>
        <v/>
      </c>
      <c r="S272" s="28">
        <f>IF($Q272="","",IFERROR(INDEX(CONFIG!$I$4:$I$63,MATCH($Q272,CONFIG!$G$4:$G$63,0)),"Por definir"))</f>
        <v/>
      </c>
      <c r="T272" s="51" t="n"/>
      <c r="U272" s="52" t="n"/>
      <c r="V272" s="50" t="n"/>
      <c r="W272" s="50" t="n"/>
      <c r="X272" s="49">
        <f>IF(OR($B272="",$M272=""),"",WORKDAY($B272,IFERROR(INDEX(CONFIG!$D$4:$D$63,MATCH($M272,CONFIG!$A$4:$A$63,0)),3)))</f>
        <v/>
      </c>
      <c r="Y272" s="47" t="n"/>
      <c r="Z272" s="24">
        <f>IF($B272="","",IF($Y272&lt;&gt;"",$Y272-$B272,TODAY()-$B272))</f>
        <v/>
      </c>
      <c r="AA272" s="28">
        <f>IF($B272="","",IF(IFERROR(INDEX(CONFIG!$L$4:$L$63,MATCH($V272,CONFIG!$K$4:$K$63,0)),"NO")="SÍ",IF(OR($Y272="",$X272=""),"Resuelta",IF($Y272&gt;$X272,"Resuelta tarde","Resuelta a tiempo")),IF($X272="","Sin clasificar",IF(TODAY()&gt;$X272,"Vencida",IF(TODAY()&gt;=$X272-1,"Por vencer","En plazo")))))</f>
        <v/>
      </c>
      <c r="AB272" s="50" t="n"/>
      <c r="AC272" s="50" t="n"/>
    </row>
    <row r="273" ht="16" customHeight="1">
      <c r="A273" s="28">
        <f>IF($B273="","","N-"&amp;TEXT(ROW()-3,"0000"))</f>
        <v/>
      </c>
      <c r="B273" s="47" t="n"/>
      <c r="C273" s="48" t="n"/>
      <c r="D273" s="48" t="n"/>
      <c r="E273" s="28">
        <f>IF($C273="","",IF($D273="",IF($C273="Interna","Sin guía (interna)","FALTA GUÍA"),IF(COUNTIFS(ENVIOS!$A$4:$A$3003,$D273)=0,"NO EXISTE",IF(COUNTIFS(ENVIOS!$A$4:$A$3003,$D273)&gt;1,"DUPLICADA","OK"))))</f>
        <v/>
      </c>
      <c r="F273" s="28">
        <f>IF($D273="","",IFERROR(INDEX(ENVIOS!$B$4:$B$3003,MATCH($D273,ENVIOS!$A$4:$A$3003,0)),"—"))</f>
        <v/>
      </c>
      <c r="G273" s="23">
        <f>IF($D273="","",IFERROR(INDEX(ENVIOS!$D$4:$D$3003,MATCH($D273,ENVIOS!$A$4:$A$3003,0)),"—"))</f>
        <v/>
      </c>
      <c r="H273" s="23">
        <f>IF($D273="","",IFERROR(INDEX(ENVIOS!$E$4:$E$3003,MATCH($D273,ENVIOS!$A$4:$A$3003,0)),"—"))</f>
        <v/>
      </c>
      <c r="I273" s="23">
        <f>IF($D273="","",IFERROR(INDEX(ENVIOS!$F$4:$F$3003,MATCH($D273,ENVIOS!$A$4:$A$3003,0)),"—"))</f>
        <v/>
      </c>
      <c r="J273" s="23">
        <f>IF($D273="","",IFERROR(INDEX(ENVIOS!$G$4:$G$3003,MATCH($D273,ENVIOS!$A$4:$A$3003,0)),"—"))</f>
        <v/>
      </c>
      <c r="K273" s="28">
        <f>IF($D273="","",IFERROR(INDEX(ENVIOS!$H$4:$H$3003,MATCH($D273,ENVIOS!$A$4:$A$3003,0)),"—"))</f>
        <v/>
      </c>
      <c r="L273" s="49">
        <f>IF($D273="","",IFERROR(INDEX(ENVIOS!$C$4:$C$3003,MATCH($D273,ENVIOS!$A$4:$A$3003,0)),""))</f>
        <v/>
      </c>
      <c r="M273" s="50" t="n"/>
      <c r="N273" s="28">
        <f>IF($M273="","",IFERROR(INDEX(CONFIG!$C$4:$C$63,MATCH($M273,CONFIG!$A$4:$A$63,0)),"Media"))</f>
        <v/>
      </c>
      <c r="O273" s="28">
        <f>IF($M273="","",IF($C273="Interna","NO",IFERROR(INDEX(CONFIG!$E$4:$E$63,MATCH($M273,CONFIG!$A$4:$A$63,0)),"NO")))</f>
        <v/>
      </c>
      <c r="P273" s="50" t="n"/>
      <c r="Q273" s="50" t="n"/>
      <c r="R273" s="28">
        <f>IF($Q273="","",IFERROR(INDEX(CONFIG!$H$4:$H$63,MATCH($Q273,CONFIG!$G$4:$G$63,0)),"Por definir"))</f>
        <v/>
      </c>
      <c r="S273" s="28">
        <f>IF($Q273="","",IFERROR(INDEX(CONFIG!$I$4:$I$63,MATCH($Q273,CONFIG!$G$4:$G$63,0)),"Por definir"))</f>
        <v/>
      </c>
      <c r="T273" s="51" t="n"/>
      <c r="U273" s="52" t="n"/>
      <c r="V273" s="50" t="n"/>
      <c r="W273" s="50" t="n"/>
      <c r="X273" s="49">
        <f>IF(OR($B273="",$M273=""),"",WORKDAY($B273,IFERROR(INDEX(CONFIG!$D$4:$D$63,MATCH($M273,CONFIG!$A$4:$A$63,0)),3)))</f>
        <v/>
      </c>
      <c r="Y273" s="47" t="n"/>
      <c r="Z273" s="24">
        <f>IF($B273="","",IF($Y273&lt;&gt;"",$Y273-$B273,TODAY()-$B273))</f>
        <v/>
      </c>
      <c r="AA273" s="28">
        <f>IF($B273="","",IF(IFERROR(INDEX(CONFIG!$L$4:$L$63,MATCH($V273,CONFIG!$K$4:$K$63,0)),"NO")="SÍ",IF(OR($Y273="",$X273=""),"Resuelta",IF($Y273&gt;$X273,"Resuelta tarde","Resuelta a tiempo")),IF($X273="","Sin clasificar",IF(TODAY()&gt;$X273,"Vencida",IF(TODAY()&gt;=$X273-1,"Por vencer","En plazo")))))</f>
        <v/>
      </c>
      <c r="AB273" s="50" t="n"/>
      <c r="AC273" s="50" t="n"/>
    </row>
    <row r="274" ht="16" customHeight="1">
      <c r="A274" s="28">
        <f>IF($B274="","","N-"&amp;TEXT(ROW()-3,"0000"))</f>
        <v/>
      </c>
      <c r="B274" s="47" t="n"/>
      <c r="C274" s="48" t="n"/>
      <c r="D274" s="48" t="n"/>
      <c r="E274" s="28">
        <f>IF($C274="","",IF($D274="",IF($C274="Interna","Sin guía (interna)","FALTA GUÍA"),IF(COUNTIFS(ENVIOS!$A$4:$A$3003,$D274)=0,"NO EXISTE",IF(COUNTIFS(ENVIOS!$A$4:$A$3003,$D274)&gt;1,"DUPLICADA","OK"))))</f>
        <v/>
      </c>
      <c r="F274" s="28">
        <f>IF($D274="","",IFERROR(INDEX(ENVIOS!$B$4:$B$3003,MATCH($D274,ENVIOS!$A$4:$A$3003,0)),"—"))</f>
        <v/>
      </c>
      <c r="G274" s="23">
        <f>IF($D274="","",IFERROR(INDEX(ENVIOS!$D$4:$D$3003,MATCH($D274,ENVIOS!$A$4:$A$3003,0)),"—"))</f>
        <v/>
      </c>
      <c r="H274" s="23">
        <f>IF($D274="","",IFERROR(INDEX(ENVIOS!$E$4:$E$3003,MATCH($D274,ENVIOS!$A$4:$A$3003,0)),"—"))</f>
        <v/>
      </c>
      <c r="I274" s="23">
        <f>IF($D274="","",IFERROR(INDEX(ENVIOS!$F$4:$F$3003,MATCH($D274,ENVIOS!$A$4:$A$3003,0)),"—"))</f>
        <v/>
      </c>
      <c r="J274" s="23">
        <f>IF($D274="","",IFERROR(INDEX(ENVIOS!$G$4:$G$3003,MATCH($D274,ENVIOS!$A$4:$A$3003,0)),"—"))</f>
        <v/>
      </c>
      <c r="K274" s="28">
        <f>IF($D274="","",IFERROR(INDEX(ENVIOS!$H$4:$H$3003,MATCH($D274,ENVIOS!$A$4:$A$3003,0)),"—"))</f>
        <v/>
      </c>
      <c r="L274" s="49">
        <f>IF($D274="","",IFERROR(INDEX(ENVIOS!$C$4:$C$3003,MATCH($D274,ENVIOS!$A$4:$A$3003,0)),""))</f>
        <v/>
      </c>
      <c r="M274" s="50" t="n"/>
      <c r="N274" s="28">
        <f>IF($M274="","",IFERROR(INDEX(CONFIG!$C$4:$C$63,MATCH($M274,CONFIG!$A$4:$A$63,0)),"Media"))</f>
        <v/>
      </c>
      <c r="O274" s="28">
        <f>IF($M274="","",IF($C274="Interna","NO",IFERROR(INDEX(CONFIG!$E$4:$E$63,MATCH($M274,CONFIG!$A$4:$A$63,0)),"NO")))</f>
        <v/>
      </c>
      <c r="P274" s="50" t="n"/>
      <c r="Q274" s="50" t="n"/>
      <c r="R274" s="28">
        <f>IF($Q274="","",IFERROR(INDEX(CONFIG!$H$4:$H$63,MATCH($Q274,CONFIG!$G$4:$G$63,0)),"Por definir"))</f>
        <v/>
      </c>
      <c r="S274" s="28">
        <f>IF($Q274="","",IFERROR(INDEX(CONFIG!$I$4:$I$63,MATCH($Q274,CONFIG!$G$4:$G$63,0)),"Por definir"))</f>
        <v/>
      </c>
      <c r="T274" s="51" t="n"/>
      <c r="U274" s="52" t="n"/>
      <c r="V274" s="50" t="n"/>
      <c r="W274" s="50" t="n"/>
      <c r="X274" s="49">
        <f>IF(OR($B274="",$M274=""),"",WORKDAY($B274,IFERROR(INDEX(CONFIG!$D$4:$D$63,MATCH($M274,CONFIG!$A$4:$A$63,0)),3)))</f>
        <v/>
      </c>
      <c r="Y274" s="47" t="n"/>
      <c r="Z274" s="24">
        <f>IF($B274="","",IF($Y274&lt;&gt;"",$Y274-$B274,TODAY()-$B274))</f>
        <v/>
      </c>
      <c r="AA274" s="28">
        <f>IF($B274="","",IF(IFERROR(INDEX(CONFIG!$L$4:$L$63,MATCH($V274,CONFIG!$K$4:$K$63,0)),"NO")="SÍ",IF(OR($Y274="",$X274=""),"Resuelta",IF($Y274&gt;$X274,"Resuelta tarde","Resuelta a tiempo")),IF($X274="","Sin clasificar",IF(TODAY()&gt;$X274,"Vencida",IF(TODAY()&gt;=$X274-1,"Por vencer","En plazo")))))</f>
        <v/>
      </c>
      <c r="AB274" s="50" t="n"/>
      <c r="AC274" s="50" t="n"/>
    </row>
    <row r="275" ht="16" customHeight="1">
      <c r="A275" s="28">
        <f>IF($B275="","","N-"&amp;TEXT(ROW()-3,"0000"))</f>
        <v/>
      </c>
      <c r="B275" s="47" t="n"/>
      <c r="C275" s="48" t="n"/>
      <c r="D275" s="48" t="n"/>
      <c r="E275" s="28">
        <f>IF($C275="","",IF($D275="",IF($C275="Interna","Sin guía (interna)","FALTA GUÍA"),IF(COUNTIFS(ENVIOS!$A$4:$A$3003,$D275)=0,"NO EXISTE",IF(COUNTIFS(ENVIOS!$A$4:$A$3003,$D275)&gt;1,"DUPLICADA","OK"))))</f>
        <v/>
      </c>
      <c r="F275" s="28">
        <f>IF($D275="","",IFERROR(INDEX(ENVIOS!$B$4:$B$3003,MATCH($D275,ENVIOS!$A$4:$A$3003,0)),"—"))</f>
        <v/>
      </c>
      <c r="G275" s="23">
        <f>IF($D275="","",IFERROR(INDEX(ENVIOS!$D$4:$D$3003,MATCH($D275,ENVIOS!$A$4:$A$3003,0)),"—"))</f>
        <v/>
      </c>
      <c r="H275" s="23">
        <f>IF($D275="","",IFERROR(INDEX(ENVIOS!$E$4:$E$3003,MATCH($D275,ENVIOS!$A$4:$A$3003,0)),"—"))</f>
        <v/>
      </c>
      <c r="I275" s="23">
        <f>IF($D275="","",IFERROR(INDEX(ENVIOS!$F$4:$F$3003,MATCH($D275,ENVIOS!$A$4:$A$3003,0)),"—"))</f>
        <v/>
      </c>
      <c r="J275" s="23">
        <f>IF($D275="","",IFERROR(INDEX(ENVIOS!$G$4:$G$3003,MATCH($D275,ENVIOS!$A$4:$A$3003,0)),"—"))</f>
        <v/>
      </c>
      <c r="K275" s="28">
        <f>IF($D275="","",IFERROR(INDEX(ENVIOS!$H$4:$H$3003,MATCH($D275,ENVIOS!$A$4:$A$3003,0)),"—"))</f>
        <v/>
      </c>
      <c r="L275" s="49">
        <f>IF($D275="","",IFERROR(INDEX(ENVIOS!$C$4:$C$3003,MATCH($D275,ENVIOS!$A$4:$A$3003,0)),""))</f>
        <v/>
      </c>
      <c r="M275" s="50" t="n"/>
      <c r="N275" s="28">
        <f>IF($M275="","",IFERROR(INDEX(CONFIG!$C$4:$C$63,MATCH($M275,CONFIG!$A$4:$A$63,0)),"Media"))</f>
        <v/>
      </c>
      <c r="O275" s="28">
        <f>IF($M275="","",IF($C275="Interna","NO",IFERROR(INDEX(CONFIG!$E$4:$E$63,MATCH($M275,CONFIG!$A$4:$A$63,0)),"NO")))</f>
        <v/>
      </c>
      <c r="P275" s="50" t="n"/>
      <c r="Q275" s="50" t="n"/>
      <c r="R275" s="28">
        <f>IF($Q275="","",IFERROR(INDEX(CONFIG!$H$4:$H$63,MATCH($Q275,CONFIG!$G$4:$G$63,0)),"Por definir"))</f>
        <v/>
      </c>
      <c r="S275" s="28">
        <f>IF($Q275="","",IFERROR(INDEX(CONFIG!$I$4:$I$63,MATCH($Q275,CONFIG!$G$4:$G$63,0)),"Por definir"))</f>
        <v/>
      </c>
      <c r="T275" s="51" t="n"/>
      <c r="U275" s="52" t="n"/>
      <c r="V275" s="50" t="n"/>
      <c r="W275" s="50" t="n"/>
      <c r="X275" s="49">
        <f>IF(OR($B275="",$M275=""),"",WORKDAY($B275,IFERROR(INDEX(CONFIG!$D$4:$D$63,MATCH($M275,CONFIG!$A$4:$A$63,0)),3)))</f>
        <v/>
      </c>
      <c r="Y275" s="47" t="n"/>
      <c r="Z275" s="24">
        <f>IF($B275="","",IF($Y275&lt;&gt;"",$Y275-$B275,TODAY()-$B275))</f>
        <v/>
      </c>
      <c r="AA275" s="28">
        <f>IF($B275="","",IF(IFERROR(INDEX(CONFIG!$L$4:$L$63,MATCH($V275,CONFIG!$K$4:$K$63,0)),"NO")="SÍ",IF(OR($Y275="",$X275=""),"Resuelta",IF($Y275&gt;$X275,"Resuelta tarde","Resuelta a tiempo")),IF($X275="","Sin clasificar",IF(TODAY()&gt;$X275,"Vencida",IF(TODAY()&gt;=$X275-1,"Por vencer","En plazo")))))</f>
        <v/>
      </c>
      <c r="AB275" s="50" t="n"/>
      <c r="AC275" s="50" t="n"/>
    </row>
    <row r="276" ht="16" customHeight="1">
      <c r="A276" s="28">
        <f>IF($B276="","","N-"&amp;TEXT(ROW()-3,"0000"))</f>
        <v/>
      </c>
      <c r="B276" s="47" t="n"/>
      <c r="C276" s="48" t="n"/>
      <c r="D276" s="48" t="n"/>
      <c r="E276" s="28">
        <f>IF($C276="","",IF($D276="",IF($C276="Interna","Sin guía (interna)","FALTA GUÍA"),IF(COUNTIFS(ENVIOS!$A$4:$A$3003,$D276)=0,"NO EXISTE",IF(COUNTIFS(ENVIOS!$A$4:$A$3003,$D276)&gt;1,"DUPLICADA","OK"))))</f>
        <v/>
      </c>
      <c r="F276" s="28">
        <f>IF($D276="","",IFERROR(INDEX(ENVIOS!$B$4:$B$3003,MATCH($D276,ENVIOS!$A$4:$A$3003,0)),"—"))</f>
        <v/>
      </c>
      <c r="G276" s="23">
        <f>IF($D276="","",IFERROR(INDEX(ENVIOS!$D$4:$D$3003,MATCH($D276,ENVIOS!$A$4:$A$3003,0)),"—"))</f>
        <v/>
      </c>
      <c r="H276" s="23">
        <f>IF($D276="","",IFERROR(INDEX(ENVIOS!$E$4:$E$3003,MATCH($D276,ENVIOS!$A$4:$A$3003,0)),"—"))</f>
        <v/>
      </c>
      <c r="I276" s="23">
        <f>IF($D276="","",IFERROR(INDEX(ENVIOS!$F$4:$F$3003,MATCH($D276,ENVIOS!$A$4:$A$3003,0)),"—"))</f>
        <v/>
      </c>
      <c r="J276" s="23">
        <f>IF($D276="","",IFERROR(INDEX(ENVIOS!$G$4:$G$3003,MATCH($D276,ENVIOS!$A$4:$A$3003,0)),"—"))</f>
        <v/>
      </c>
      <c r="K276" s="28">
        <f>IF($D276="","",IFERROR(INDEX(ENVIOS!$H$4:$H$3003,MATCH($D276,ENVIOS!$A$4:$A$3003,0)),"—"))</f>
        <v/>
      </c>
      <c r="L276" s="49">
        <f>IF($D276="","",IFERROR(INDEX(ENVIOS!$C$4:$C$3003,MATCH($D276,ENVIOS!$A$4:$A$3003,0)),""))</f>
        <v/>
      </c>
      <c r="M276" s="50" t="n"/>
      <c r="N276" s="28">
        <f>IF($M276="","",IFERROR(INDEX(CONFIG!$C$4:$C$63,MATCH($M276,CONFIG!$A$4:$A$63,0)),"Media"))</f>
        <v/>
      </c>
      <c r="O276" s="28">
        <f>IF($M276="","",IF($C276="Interna","NO",IFERROR(INDEX(CONFIG!$E$4:$E$63,MATCH($M276,CONFIG!$A$4:$A$63,0)),"NO")))</f>
        <v/>
      </c>
      <c r="P276" s="50" t="n"/>
      <c r="Q276" s="50" t="n"/>
      <c r="R276" s="28">
        <f>IF($Q276="","",IFERROR(INDEX(CONFIG!$H$4:$H$63,MATCH($Q276,CONFIG!$G$4:$G$63,0)),"Por definir"))</f>
        <v/>
      </c>
      <c r="S276" s="28">
        <f>IF($Q276="","",IFERROR(INDEX(CONFIG!$I$4:$I$63,MATCH($Q276,CONFIG!$G$4:$G$63,0)),"Por definir"))</f>
        <v/>
      </c>
      <c r="T276" s="51" t="n"/>
      <c r="U276" s="52" t="n"/>
      <c r="V276" s="50" t="n"/>
      <c r="W276" s="50" t="n"/>
      <c r="X276" s="49">
        <f>IF(OR($B276="",$M276=""),"",WORKDAY($B276,IFERROR(INDEX(CONFIG!$D$4:$D$63,MATCH($M276,CONFIG!$A$4:$A$63,0)),3)))</f>
        <v/>
      </c>
      <c r="Y276" s="47" t="n"/>
      <c r="Z276" s="24">
        <f>IF($B276="","",IF($Y276&lt;&gt;"",$Y276-$B276,TODAY()-$B276))</f>
        <v/>
      </c>
      <c r="AA276" s="28">
        <f>IF($B276="","",IF(IFERROR(INDEX(CONFIG!$L$4:$L$63,MATCH($V276,CONFIG!$K$4:$K$63,0)),"NO")="SÍ",IF(OR($Y276="",$X276=""),"Resuelta",IF($Y276&gt;$X276,"Resuelta tarde","Resuelta a tiempo")),IF($X276="","Sin clasificar",IF(TODAY()&gt;$X276,"Vencida",IF(TODAY()&gt;=$X276-1,"Por vencer","En plazo")))))</f>
        <v/>
      </c>
      <c r="AB276" s="50" t="n"/>
      <c r="AC276" s="50" t="n"/>
    </row>
    <row r="277" ht="16" customHeight="1">
      <c r="A277" s="28">
        <f>IF($B277="","","N-"&amp;TEXT(ROW()-3,"0000"))</f>
        <v/>
      </c>
      <c r="B277" s="47" t="n"/>
      <c r="C277" s="48" t="n"/>
      <c r="D277" s="48" t="n"/>
      <c r="E277" s="28">
        <f>IF($C277="","",IF($D277="",IF($C277="Interna","Sin guía (interna)","FALTA GUÍA"),IF(COUNTIFS(ENVIOS!$A$4:$A$3003,$D277)=0,"NO EXISTE",IF(COUNTIFS(ENVIOS!$A$4:$A$3003,$D277)&gt;1,"DUPLICADA","OK"))))</f>
        <v/>
      </c>
      <c r="F277" s="28">
        <f>IF($D277="","",IFERROR(INDEX(ENVIOS!$B$4:$B$3003,MATCH($D277,ENVIOS!$A$4:$A$3003,0)),"—"))</f>
        <v/>
      </c>
      <c r="G277" s="23">
        <f>IF($D277="","",IFERROR(INDEX(ENVIOS!$D$4:$D$3003,MATCH($D277,ENVIOS!$A$4:$A$3003,0)),"—"))</f>
        <v/>
      </c>
      <c r="H277" s="23">
        <f>IF($D277="","",IFERROR(INDEX(ENVIOS!$E$4:$E$3003,MATCH($D277,ENVIOS!$A$4:$A$3003,0)),"—"))</f>
        <v/>
      </c>
      <c r="I277" s="23">
        <f>IF($D277="","",IFERROR(INDEX(ENVIOS!$F$4:$F$3003,MATCH($D277,ENVIOS!$A$4:$A$3003,0)),"—"))</f>
        <v/>
      </c>
      <c r="J277" s="23">
        <f>IF($D277="","",IFERROR(INDEX(ENVIOS!$G$4:$G$3003,MATCH($D277,ENVIOS!$A$4:$A$3003,0)),"—"))</f>
        <v/>
      </c>
      <c r="K277" s="28">
        <f>IF($D277="","",IFERROR(INDEX(ENVIOS!$H$4:$H$3003,MATCH($D277,ENVIOS!$A$4:$A$3003,0)),"—"))</f>
        <v/>
      </c>
      <c r="L277" s="49">
        <f>IF($D277="","",IFERROR(INDEX(ENVIOS!$C$4:$C$3003,MATCH($D277,ENVIOS!$A$4:$A$3003,0)),""))</f>
        <v/>
      </c>
      <c r="M277" s="50" t="n"/>
      <c r="N277" s="28">
        <f>IF($M277="","",IFERROR(INDEX(CONFIG!$C$4:$C$63,MATCH($M277,CONFIG!$A$4:$A$63,0)),"Media"))</f>
        <v/>
      </c>
      <c r="O277" s="28">
        <f>IF($M277="","",IF($C277="Interna","NO",IFERROR(INDEX(CONFIG!$E$4:$E$63,MATCH($M277,CONFIG!$A$4:$A$63,0)),"NO")))</f>
        <v/>
      </c>
      <c r="P277" s="50" t="n"/>
      <c r="Q277" s="50" t="n"/>
      <c r="R277" s="28">
        <f>IF($Q277="","",IFERROR(INDEX(CONFIG!$H$4:$H$63,MATCH($Q277,CONFIG!$G$4:$G$63,0)),"Por definir"))</f>
        <v/>
      </c>
      <c r="S277" s="28">
        <f>IF($Q277="","",IFERROR(INDEX(CONFIG!$I$4:$I$63,MATCH($Q277,CONFIG!$G$4:$G$63,0)),"Por definir"))</f>
        <v/>
      </c>
      <c r="T277" s="51" t="n"/>
      <c r="U277" s="52" t="n"/>
      <c r="V277" s="50" t="n"/>
      <c r="W277" s="50" t="n"/>
      <c r="X277" s="49">
        <f>IF(OR($B277="",$M277=""),"",WORKDAY($B277,IFERROR(INDEX(CONFIG!$D$4:$D$63,MATCH($M277,CONFIG!$A$4:$A$63,0)),3)))</f>
        <v/>
      </c>
      <c r="Y277" s="47" t="n"/>
      <c r="Z277" s="24">
        <f>IF($B277="","",IF($Y277&lt;&gt;"",$Y277-$B277,TODAY()-$B277))</f>
        <v/>
      </c>
      <c r="AA277" s="28">
        <f>IF($B277="","",IF(IFERROR(INDEX(CONFIG!$L$4:$L$63,MATCH($V277,CONFIG!$K$4:$K$63,0)),"NO")="SÍ",IF(OR($Y277="",$X277=""),"Resuelta",IF($Y277&gt;$X277,"Resuelta tarde","Resuelta a tiempo")),IF($X277="","Sin clasificar",IF(TODAY()&gt;$X277,"Vencida",IF(TODAY()&gt;=$X277-1,"Por vencer","En plazo")))))</f>
        <v/>
      </c>
      <c r="AB277" s="50" t="n"/>
      <c r="AC277" s="50" t="n"/>
    </row>
    <row r="278" ht="16" customHeight="1">
      <c r="A278" s="28">
        <f>IF($B278="","","N-"&amp;TEXT(ROW()-3,"0000"))</f>
        <v/>
      </c>
      <c r="B278" s="47" t="n"/>
      <c r="C278" s="48" t="n"/>
      <c r="D278" s="48" t="n"/>
      <c r="E278" s="28">
        <f>IF($C278="","",IF($D278="",IF($C278="Interna","Sin guía (interna)","FALTA GUÍA"),IF(COUNTIFS(ENVIOS!$A$4:$A$3003,$D278)=0,"NO EXISTE",IF(COUNTIFS(ENVIOS!$A$4:$A$3003,$D278)&gt;1,"DUPLICADA","OK"))))</f>
        <v/>
      </c>
      <c r="F278" s="28">
        <f>IF($D278="","",IFERROR(INDEX(ENVIOS!$B$4:$B$3003,MATCH($D278,ENVIOS!$A$4:$A$3003,0)),"—"))</f>
        <v/>
      </c>
      <c r="G278" s="23">
        <f>IF($D278="","",IFERROR(INDEX(ENVIOS!$D$4:$D$3003,MATCH($D278,ENVIOS!$A$4:$A$3003,0)),"—"))</f>
        <v/>
      </c>
      <c r="H278" s="23">
        <f>IF($D278="","",IFERROR(INDEX(ENVIOS!$E$4:$E$3003,MATCH($D278,ENVIOS!$A$4:$A$3003,0)),"—"))</f>
        <v/>
      </c>
      <c r="I278" s="23">
        <f>IF($D278="","",IFERROR(INDEX(ENVIOS!$F$4:$F$3003,MATCH($D278,ENVIOS!$A$4:$A$3003,0)),"—"))</f>
        <v/>
      </c>
      <c r="J278" s="23">
        <f>IF($D278="","",IFERROR(INDEX(ENVIOS!$G$4:$G$3003,MATCH($D278,ENVIOS!$A$4:$A$3003,0)),"—"))</f>
        <v/>
      </c>
      <c r="K278" s="28">
        <f>IF($D278="","",IFERROR(INDEX(ENVIOS!$H$4:$H$3003,MATCH($D278,ENVIOS!$A$4:$A$3003,0)),"—"))</f>
        <v/>
      </c>
      <c r="L278" s="49">
        <f>IF($D278="","",IFERROR(INDEX(ENVIOS!$C$4:$C$3003,MATCH($D278,ENVIOS!$A$4:$A$3003,0)),""))</f>
        <v/>
      </c>
      <c r="M278" s="50" t="n"/>
      <c r="N278" s="28">
        <f>IF($M278="","",IFERROR(INDEX(CONFIG!$C$4:$C$63,MATCH($M278,CONFIG!$A$4:$A$63,0)),"Media"))</f>
        <v/>
      </c>
      <c r="O278" s="28">
        <f>IF($M278="","",IF($C278="Interna","NO",IFERROR(INDEX(CONFIG!$E$4:$E$63,MATCH($M278,CONFIG!$A$4:$A$63,0)),"NO")))</f>
        <v/>
      </c>
      <c r="P278" s="50" t="n"/>
      <c r="Q278" s="50" t="n"/>
      <c r="R278" s="28">
        <f>IF($Q278="","",IFERROR(INDEX(CONFIG!$H$4:$H$63,MATCH($Q278,CONFIG!$G$4:$G$63,0)),"Por definir"))</f>
        <v/>
      </c>
      <c r="S278" s="28">
        <f>IF($Q278="","",IFERROR(INDEX(CONFIG!$I$4:$I$63,MATCH($Q278,CONFIG!$G$4:$G$63,0)),"Por definir"))</f>
        <v/>
      </c>
      <c r="T278" s="51" t="n"/>
      <c r="U278" s="52" t="n"/>
      <c r="V278" s="50" t="n"/>
      <c r="W278" s="50" t="n"/>
      <c r="X278" s="49">
        <f>IF(OR($B278="",$M278=""),"",WORKDAY($B278,IFERROR(INDEX(CONFIG!$D$4:$D$63,MATCH($M278,CONFIG!$A$4:$A$63,0)),3)))</f>
        <v/>
      </c>
      <c r="Y278" s="47" t="n"/>
      <c r="Z278" s="24">
        <f>IF($B278="","",IF($Y278&lt;&gt;"",$Y278-$B278,TODAY()-$B278))</f>
        <v/>
      </c>
      <c r="AA278" s="28">
        <f>IF($B278="","",IF(IFERROR(INDEX(CONFIG!$L$4:$L$63,MATCH($V278,CONFIG!$K$4:$K$63,0)),"NO")="SÍ",IF(OR($Y278="",$X278=""),"Resuelta",IF($Y278&gt;$X278,"Resuelta tarde","Resuelta a tiempo")),IF($X278="","Sin clasificar",IF(TODAY()&gt;$X278,"Vencida",IF(TODAY()&gt;=$X278-1,"Por vencer","En plazo")))))</f>
        <v/>
      </c>
      <c r="AB278" s="50" t="n"/>
      <c r="AC278" s="50" t="n"/>
    </row>
    <row r="279" ht="16" customHeight="1">
      <c r="A279" s="28">
        <f>IF($B279="","","N-"&amp;TEXT(ROW()-3,"0000"))</f>
        <v/>
      </c>
      <c r="B279" s="47" t="n"/>
      <c r="C279" s="48" t="n"/>
      <c r="D279" s="48" t="n"/>
      <c r="E279" s="28">
        <f>IF($C279="","",IF($D279="",IF($C279="Interna","Sin guía (interna)","FALTA GUÍA"),IF(COUNTIFS(ENVIOS!$A$4:$A$3003,$D279)=0,"NO EXISTE",IF(COUNTIFS(ENVIOS!$A$4:$A$3003,$D279)&gt;1,"DUPLICADA","OK"))))</f>
        <v/>
      </c>
      <c r="F279" s="28">
        <f>IF($D279="","",IFERROR(INDEX(ENVIOS!$B$4:$B$3003,MATCH($D279,ENVIOS!$A$4:$A$3003,0)),"—"))</f>
        <v/>
      </c>
      <c r="G279" s="23">
        <f>IF($D279="","",IFERROR(INDEX(ENVIOS!$D$4:$D$3003,MATCH($D279,ENVIOS!$A$4:$A$3003,0)),"—"))</f>
        <v/>
      </c>
      <c r="H279" s="23">
        <f>IF($D279="","",IFERROR(INDEX(ENVIOS!$E$4:$E$3003,MATCH($D279,ENVIOS!$A$4:$A$3003,0)),"—"))</f>
        <v/>
      </c>
      <c r="I279" s="23">
        <f>IF($D279="","",IFERROR(INDEX(ENVIOS!$F$4:$F$3003,MATCH($D279,ENVIOS!$A$4:$A$3003,0)),"—"))</f>
        <v/>
      </c>
      <c r="J279" s="23">
        <f>IF($D279="","",IFERROR(INDEX(ENVIOS!$G$4:$G$3003,MATCH($D279,ENVIOS!$A$4:$A$3003,0)),"—"))</f>
        <v/>
      </c>
      <c r="K279" s="28">
        <f>IF($D279="","",IFERROR(INDEX(ENVIOS!$H$4:$H$3003,MATCH($D279,ENVIOS!$A$4:$A$3003,0)),"—"))</f>
        <v/>
      </c>
      <c r="L279" s="49">
        <f>IF($D279="","",IFERROR(INDEX(ENVIOS!$C$4:$C$3003,MATCH($D279,ENVIOS!$A$4:$A$3003,0)),""))</f>
        <v/>
      </c>
      <c r="M279" s="50" t="n"/>
      <c r="N279" s="28">
        <f>IF($M279="","",IFERROR(INDEX(CONFIG!$C$4:$C$63,MATCH($M279,CONFIG!$A$4:$A$63,0)),"Media"))</f>
        <v/>
      </c>
      <c r="O279" s="28">
        <f>IF($M279="","",IF($C279="Interna","NO",IFERROR(INDEX(CONFIG!$E$4:$E$63,MATCH($M279,CONFIG!$A$4:$A$63,0)),"NO")))</f>
        <v/>
      </c>
      <c r="P279" s="50" t="n"/>
      <c r="Q279" s="50" t="n"/>
      <c r="R279" s="28">
        <f>IF($Q279="","",IFERROR(INDEX(CONFIG!$H$4:$H$63,MATCH($Q279,CONFIG!$G$4:$G$63,0)),"Por definir"))</f>
        <v/>
      </c>
      <c r="S279" s="28">
        <f>IF($Q279="","",IFERROR(INDEX(CONFIG!$I$4:$I$63,MATCH($Q279,CONFIG!$G$4:$G$63,0)),"Por definir"))</f>
        <v/>
      </c>
      <c r="T279" s="51" t="n"/>
      <c r="U279" s="52" t="n"/>
      <c r="V279" s="50" t="n"/>
      <c r="W279" s="50" t="n"/>
      <c r="X279" s="49">
        <f>IF(OR($B279="",$M279=""),"",WORKDAY($B279,IFERROR(INDEX(CONFIG!$D$4:$D$63,MATCH($M279,CONFIG!$A$4:$A$63,0)),3)))</f>
        <v/>
      </c>
      <c r="Y279" s="47" t="n"/>
      <c r="Z279" s="24">
        <f>IF($B279="","",IF($Y279&lt;&gt;"",$Y279-$B279,TODAY()-$B279))</f>
        <v/>
      </c>
      <c r="AA279" s="28">
        <f>IF($B279="","",IF(IFERROR(INDEX(CONFIG!$L$4:$L$63,MATCH($V279,CONFIG!$K$4:$K$63,0)),"NO")="SÍ",IF(OR($Y279="",$X279=""),"Resuelta",IF($Y279&gt;$X279,"Resuelta tarde","Resuelta a tiempo")),IF($X279="","Sin clasificar",IF(TODAY()&gt;$X279,"Vencida",IF(TODAY()&gt;=$X279-1,"Por vencer","En plazo")))))</f>
        <v/>
      </c>
      <c r="AB279" s="50" t="n"/>
      <c r="AC279" s="50" t="n"/>
    </row>
    <row r="280" ht="16" customHeight="1">
      <c r="A280" s="28">
        <f>IF($B280="","","N-"&amp;TEXT(ROW()-3,"0000"))</f>
        <v/>
      </c>
      <c r="B280" s="47" t="n"/>
      <c r="C280" s="48" t="n"/>
      <c r="D280" s="48" t="n"/>
      <c r="E280" s="28">
        <f>IF($C280="","",IF($D280="",IF($C280="Interna","Sin guía (interna)","FALTA GUÍA"),IF(COUNTIFS(ENVIOS!$A$4:$A$3003,$D280)=0,"NO EXISTE",IF(COUNTIFS(ENVIOS!$A$4:$A$3003,$D280)&gt;1,"DUPLICADA","OK"))))</f>
        <v/>
      </c>
      <c r="F280" s="28">
        <f>IF($D280="","",IFERROR(INDEX(ENVIOS!$B$4:$B$3003,MATCH($D280,ENVIOS!$A$4:$A$3003,0)),"—"))</f>
        <v/>
      </c>
      <c r="G280" s="23">
        <f>IF($D280="","",IFERROR(INDEX(ENVIOS!$D$4:$D$3003,MATCH($D280,ENVIOS!$A$4:$A$3003,0)),"—"))</f>
        <v/>
      </c>
      <c r="H280" s="23">
        <f>IF($D280="","",IFERROR(INDEX(ENVIOS!$E$4:$E$3003,MATCH($D280,ENVIOS!$A$4:$A$3003,0)),"—"))</f>
        <v/>
      </c>
      <c r="I280" s="23">
        <f>IF($D280="","",IFERROR(INDEX(ENVIOS!$F$4:$F$3003,MATCH($D280,ENVIOS!$A$4:$A$3003,0)),"—"))</f>
        <v/>
      </c>
      <c r="J280" s="23">
        <f>IF($D280="","",IFERROR(INDEX(ENVIOS!$G$4:$G$3003,MATCH($D280,ENVIOS!$A$4:$A$3003,0)),"—"))</f>
        <v/>
      </c>
      <c r="K280" s="28">
        <f>IF($D280="","",IFERROR(INDEX(ENVIOS!$H$4:$H$3003,MATCH($D280,ENVIOS!$A$4:$A$3003,0)),"—"))</f>
        <v/>
      </c>
      <c r="L280" s="49">
        <f>IF($D280="","",IFERROR(INDEX(ENVIOS!$C$4:$C$3003,MATCH($D280,ENVIOS!$A$4:$A$3003,0)),""))</f>
        <v/>
      </c>
      <c r="M280" s="50" t="n"/>
      <c r="N280" s="28">
        <f>IF($M280="","",IFERROR(INDEX(CONFIG!$C$4:$C$63,MATCH($M280,CONFIG!$A$4:$A$63,0)),"Media"))</f>
        <v/>
      </c>
      <c r="O280" s="28">
        <f>IF($M280="","",IF($C280="Interna","NO",IFERROR(INDEX(CONFIG!$E$4:$E$63,MATCH($M280,CONFIG!$A$4:$A$63,0)),"NO")))</f>
        <v/>
      </c>
      <c r="P280" s="50" t="n"/>
      <c r="Q280" s="50" t="n"/>
      <c r="R280" s="28">
        <f>IF($Q280="","",IFERROR(INDEX(CONFIG!$H$4:$H$63,MATCH($Q280,CONFIG!$G$4:$G$63,0)),"Por definir"))</f>
        <v/>
      </c>
      <c r="S280" s="28">
        <f>IF($Q280="","",IFERROR(INDEX(CONFIG!$I$4:$I$63,MATCH($Q280,CONFIG!$G$4:$G$63,0)),"Por definir"))</f>
        <v/>
      </c>
      <c r="T280" s="51" t="n"/>
      <c r="U280" s="52" t="n"/>
      <c r="V280" s="50" t="n"/>
      <c r="W280" s="50" t="n"/>
      <c r="X280" s="49">
        <f>IF(OR($B280="",$M280=""),"",WORKDAY($B280,IFERROR(INDEX(CONFIG!$D$4:$D$63,MATCH($M280,CONFIG!$A$4:$A$63,0)),3)))</f>
        <v/>
      </c>
      <c r="Y280" s="47" t="n"/>
      <c r="Z280" s="24">
        <f>IF($B280="","",IF($Y280&lt;&gt;"",$Y280-$B280,TODAY()-$B280))</f>
        <v/>
      </c>
      <c r="AA280" s="28">
        <f>IF($B280="","",IF(IFERROR(INDEX(CONFIG!$L$4:$L$63,MATCH($V280,CONFIG!$K$4:$K$63,0)),"NO")="SÍ",IF(OR($Y280="",$X280=""),"Resuelta",IF($Y280&gt;$X280,"Resuelta tarde","Resuelta a tiempo")),IF($X280="","Sin clasificar",IF(TODAY()&gt;$X280,"Vencida",IF(TODAY()&gt;=$X280-1,"Por vencer","En plazo")))))</f>
        <v/>
      </c>
      <c r="AB280" s="50" t="n"/>
      <c r="AC280" s="50" t="n"/>
    </row>
    <row r="281" ht="16" customHeight="1">
      <c r="A281" s="28">
        <f>IF($B281="","","N-"&amp;TEXT(ROW()-3,"0000"))</f>
        <v/>
      </c>
      <c r="B281" s="47" t="n"/>
      <c r="C281" s="48" t="n"/>
      <c r="D281" s="48" t="n"/>
      <c r="E281" s="28">
        <f>IF($C281="","",IF($D281="",IF($C281="Interna","Sin guía (interna)","FALTA GUÍA"),IF(COUNTIFS(ENVIOS!$A$4:$A$3003,$D281)=0,"NO EXISTE",IF(COUNTIFS(ENVIOS!$A$4:$A$3003,$D281)&gt;1,"DUPLICADA","OK"))))</f>
        <v/>
      </c>
      <c r="F281" s="28">
        <f>IF($D281="","",IFERROR(INDEX(ENVIOS!$B$4:$B$3003,MATCH($D281,ENVIOS!$A$4:$A$3003,0)),"—"))</f>
        <v/>
      </c>
      <c r="G281" s="23">
        <f>IF($D281="","",IFERROR(INDEX(ENVIOS!$D$4:$D$3003,MATCH($D281,ENVIOS!$A$4:$A$3003,0)),"—"))</f>
        <v/>
      </c>
      <c r="H281" s="23">
        <f>IF($D281="","",IFERROR(INDEX(ENVIOS!$E$4:$E$3003,MATCH($D281,ENVIOS!$A$4:$A$3003,0)),"—"))</f>
        <v/>
      </c>
      <c r="I281" s="23">
        <f>IF($D281="","",IFERROR(INDEX(ENVIOS!$F$4:$F$3003,MATCH($D281,ENVIOS!$A$4:$A$3003,0)),"—"))</f>
        <v/>
      </c>
      <c r="J281" s="23">
        <f>IF($D281="","",IFERROR(INDEX(ENVIOS!$G$4:$G$3003,MATCH($D281,ENVIOS!$A$4:$A$3003,0)),"—"))</f>
        <v/>
      </c>
      <c r="K281" s="28">
        <f>IF($D281="","",IFERROR(INDEX(ENVIOS!$H$4:$H$3003,MATCH($D281,ENVIOS!$A$4:$A$3003,0)),"—"))</f>
        <v/>
      </c>
      <c r="L281" s="49">
        <f>IF($D281="","",IFERROR(INDEX(ENVIOS!$C$4:$C$3003,MATCH($D281,ENVIOS!$A$4:$A$3003,0)),""))</f>
        <v/>
      </c>
      <c r="M281" s="50" t="n"/>
      <c r="N281" s="28">
        <f>IF($M281="","",IFERROR(INDEX(CONFIG!$C$4:$C$63,MATCH($M281,CONFIG!$A$4:$A$63,0)),"Media"))</f>
        <v/>
      </c>
      <c r="O281" s="28">
        <f>IF($M281="","",IF($C281="Interna","NO",IFERROR(INDEX(CONFIG!$E$4:$E$63,MATCH($M281,CONFIG!$A$4:$A$63,0)),"NO")))</f>
        <v/>
      </c>
      <c r="P281" s="50" t="n"/>
      <c r="Q281" s="50" t="n"/>
      <c r="R281" s="28">
        <f>IF($Q281="","",IFERROR(INDEX(CONFIG!$H$4:$H$63,MATCH($Q281,CONFIG!$G$4:$G$63,0)),"Por definir"))</f>
        <v/>
      </c>
      <c r="S281" s="28">
        <f>IF($Q281="","",IFERROR(INDEX(CONFIG!$I$4:$I$63,MATCH($Q281,CONFIG!$G$4:$G$63,0)),"Por definir"))</f>
        <v/>
      </c>
      <c r="T281" s="51" t="n"/>
      <c r="U281" s="52" t="n"/>
      <c r="V281" s="50" t="n"/>
      <c r="W281" s="50" t="n"/>
      <c r="X281" s="49">
        <f>IF(OR($B281="",$M281=""),"",WORKDAY($B281,IFERROR(INDEX(CONFIG!$D$4:$D$63,MATCH($M281,CONFIG!$A$4:$A$63,0)),3)))</f>
        <v/>
      </c>
      <c r="Y281" s="47" t="n"/>
      <c r="Z281" s="24">
        <f>IF($B281="","",IF($Y281&lt;&gt;"",$Y281-$B281,TODAY()-$B281))</f>
        <v/>
      </c>
      <c r="AA281" s="28">
        <f>IF($B281="","",IF(IFERROR(INDEX(CONFIG!$L$4:$L$63,MATCH($V281,CONFIG!$K$4:$K$63,0)),"NO")="SÍ",IF(OR($Y281="",$X281=""),"Resuelta",IF($Y281&gt;$X281,"Resuelta tarde","Resuelta a tiempo")),IF($X281="","Sin clasificar",IF(TODAY()&gt;$X281,"Vencida",IF(TODAY()&gt;=$X281-1,"Por vencer","En plazo")))))</f>
        <v/>
      </c>
      <c r="AB281" s="50" t="n"/>
      <c r="AC281" s="50" t="n"/>
    </row>
    <row r="282" ht="16" customHeight="1">
      <c r="A282" s="28">
        <f>IF($B282="","","N-"&amp;TEXT(ROW()-3,"0000"))</f>
        <v/>
      </c>
      <c r="B282" s="47" t="n"/>
      <c r="C282" s="48" t="n"/>
      <c r="D282" s="48" t="n"/>
      <c r="E282" s="28">
        <f>IF($C282="","",IF($D282="",IF($C282="Interna","Sin guía (interna)","FALTA GUÍA"),IF(COUNTIFS(ENVIOS!$A$4:$A$3003,$D282)=0,"NO EXISTE",IF(COUNTIFS(ENVIOS!$A$4:$A$3003,$D282)&gt;1,"DUPLICADA","OK"))))</f>
        <v/>
      </c>
      <c r="F282" s="28">
        <f>IF($D282="","",IFERROR(INDEX(ENVIOS!$B$4:$B$3003,MATCH($D282,ENVIOS!$A$4:$A$3003,0)),"—"))</f>
        <v/>
      </c>
      <c r="G282" s="23">
        <f>IF($D282="","",IFERROR(INDEX(ENVIOS!$D$4:$D$3003,MATCH($D282,ENVIOS!$A$4:$A$3003,0)),"—"))</f>
        <v/>
      </c>
      <c r="H282" s="23">
        <f>IF($D282="","",IFERROR(INDEX(ENVIOS!$E$4:$E$3003,MATCH($D282,ENVIOS!$A$4:$A$3003,0)),"—"))</f>
        <v/>
      </c>
      <c r="I282" s="23">
        <f>IF($D282="","",IFERROR(INDEX(ENVIOS!$F$4:$F$3003,MATCH($D282,ENVIOS!$A$4:$A$3003,0)),"—"))</f>
        <v/>
      </c>
      <c r="J282" s="23">
        <f>IF($D282="","",IFERROR(INDEX(ENVIOS!$G$4:$G$3003,MATCH($D282,ENVIOS!$A$4:$A$3003,0)),"—"))</f>
        <v/>
      </c>
      <c r="K282" s="28">
        <f>IF($D282="","",IFERROR(INDEX(ENVIOS!$H$4:$H$3003,MATCH($D282,ENVIOS!$A$4:$A$3003,0)),"—"))</f>
        <v/>
      </c>
      <c r="L282" s="49">
        <f>IF($D282="","",IFERROR(INDEX(ENVIOS!$C$4:$C$3003,MATCH($D282,ENVIOS!$A$4:$A$3003,0)),""))</f>
        <v/>
      </c>
      <c r="M282" s="50" t="n"/>
      <c r="N282" s="28">
        <f>IF($M282="","",IFERROR(INDEX(CONFIG!$C$4:$C$63,MATCH($M282,CONFIG!$A$4:$A$63,0)),"Media"))</f>
        <v/>
      </c>
      <c r="O282" s="28">
        <f>IF($M282="","",IF($C282="Interna","NO",IFERROR(INDEX(CONFIG!$E$4:$E$63,MATCH($M282,CONFIG!$A$4:$A$63,0)),"NO")))</f>
        <v/>
      </c>
      <c r="P282" s="50" t="n"/>
      <c r="Q282" s="50" t="n"/>
      <c r="R282" s="28">
        <f>IF($Q282="","",IFERROR(INDEX(CONFIG!$H$4:$H$63,MATCH($Q282,CONFIG!$G$4:$G$63,0)),"Por definir"))</f>
        <v/>
      </c>
      <c r="S282" s="28">
        <f>IF($Q282="","",IFERROR(INDEX(CONFIG!$I$4:$I$63,MATCH($Q282,CONFIG!$G$4:$G$63,0)),"Por definir"))</f>
        <v/>
      </c>
      <c r="T282" s="51" t="n"/>
      <c r="U282" s="52" t="n"/>
      <c r="V282" s="50" t="n"/>
      <c r="W282" s="50" t="n"/>
      <c r="X282" s="49">
        <f>IF(OR($B282="",$M282=""),"",WORKDAY($B282,IFERROR(INDEX(CONFIG!$D$4:$D$63,MATCH($M282,CONFIG!$A$4:$A$63,0)),3)))</f>
        <v/>
      </c>
      <c r="Y282" s="47" t="n"/>
      <c r="Z282" s="24">
        <f>IF($B282="","",IF($Y282&lt;&gt;"",$Y282-$B282,TODAY()-$B282))</f>
        <v/>
      </c>
      <c r="AA282" s="28">
        <f>IF($B282="","",IF(IFERROR(INDEX(CONFIG!$L$4:$L$63,MATCH($V282,CONFIG!$K$4:$K$63,0)),"NO")="SÍ",IF(OR($Y282="",$X282=""),"Resuelta",IF($Y282&gt;$X282,"Resuelta tarde","Resuelta a tiempo")),IF($X282="","Sin clasificar",IF(TODAY()&gt;$X282,"Vencida",IF(TODAY()&gt;=$X282-1,"Por vencer","En plazo")))))</f>
        <v/>
      </c>
      <c r="AB282" s="50" t="n"/>
      <c r="AC282" s="50" t="n"/>
    </row>
    <row r="283" ht="16" customHeight="1">
      <c r="A283" s="28">
        <f>IF($B283="","","N-"&amp;TEXT(ROW()-3,"0000"))</f>
        <v/>
      </c>
      <c r="B283" s="47" t="n"/>
      <c r="C283" s="48" t="n"/>
      <c r="D283" s="48" t="n"/>
      <c r="E283" s="28">
        <f>IF($C283="","",IF($D283="",IF($C283="Interna","Sin guía (interna)","FALTA GUÍA"),IF(COUNTIFS(ENVIOS!$A$4:$A$3003,$D283)=0,"NO EXISTE",IF(COUNTIFS(ENVIOS!$A$4:$A$3003,$D283)&gt;1,"DUPLICADA","OK"))))</f>
        <v/>
      </c>
      <c r="F283" s="28">
        <f>IF($D283="","",IFERROR(INDEX(ENVIOS!$B$4:$B$3003,MATCH($D283,ENVIOS!$A$4:$A$3003,0)),"—"))</f>
        <v/>
      </c>
      <c r="G283" s="23">
        <f>IF($D283="","",IFERROR(INDEX(ENVIOS!$D$4:$D$3003,MATCH($D283,ENVIOS!$A$4:$A$3003,0)),"—"))</f>
        <v/>
      </c>
      <c r="H283" s="23">
        <f>IF($D283="","",IFERROR(INDEX(ENVIOS!$E$4:$E$3003,MATCH($D283,ENVIOS!$A$4:$A$3003,0)),"—"))</f>
        <v/>
      </c>
      <c r="I283" s="23">
        <f>IF($D283="","",IFERROR(INDEX(ENVIOS!$F$4:$F$3003,MATCH($D283,ENVIOS!$A$4:$A$3003,0)),"—"))</f>
        <v/>
      </c>
      <c r="J283" s="23">
        <f>IF($D283="","",IFERROR(INDEX(ENVIOS!$G$4:$G$3003,MATCH($D283,ENVIOS!$A$4:$A$3003,0)),"—"))</f>
        <v/>
      </c>
      <c r="K283" s="28">
        <f>IF($D283="","",IFERROR(INDEX(ENVIOS!$H$4:$H$3003,MATCH($D283,ENVIOS!$A$4:$A$3003,0)),"—"))</f>
        <v/>
      </c>
      <c r="L283" s="49">
        <f>IF($D283="","",IFERROR(INDEX(ENVIOS!$C$4:$C$3003,MATCH($D283,ENVIOS!$A$4:$A$3003,0)),""))</f>
        <v/>
      </c>
      <c r="M283" s="50" t="n"/>
      <c r="N283" s="28">
        <f>IF($M283="","",IFERROR(INDEX(CONFIG!$C$4:$C$63,MATCH($M283,CONFIG!$A$4:$A$63,0)),"Media"))</f>
        <v/>
      </c>
      <c r="O283" s="28">
        <f>IF($M283="","",IF($C283="Interna","NO",IFERROR(INDEX(CONFIG!$E$4:$E$63,MATCH($M283,CONFIG!$A$4:$A$63,0)),"NO")))</f>
        <v/>
      </c>
      <c r="P283" s="50" t="n"/>
      <c r="Q283" s="50" t="n"/>
      <c r="R283" s="28">
        <f>IF($Q283="","",IFERROR(INDEX(CONFIG!$H$4:$H$63,MATCH($Q283,CONFIG!$G$4:$G$63,0)),"Por definir"))</f>
        <v/>
      </c>
      <c r="S283" s="28">
        <f>IF($Q283="","",IFERROR(INDEX(CONFIG!$I$4:$I$63,MATCH($Q283,CONFIG!$G$4:$G$63,0)),"Por definir"))</f>
        <v/>
      </c>
      <c r="T283" s="51" t="n"/>
      <c r="U283" s="52" t="n"/>
      <c r="V283" s="50" t="n"/>
      <c r="W283" s="50" t="n"/>
      <c r="X283" s="49">
        <f>IF(OR($B283="",$M283=""),"",WORKDAY($B283,IFERROR(INDEX(CONFIG!$D$4:$D$63,MATCH($M283,CONFIG!$A$4:$A$63,0)),3)))</f>
        <v/>
      </c>
      <c r="Y283" s="47" t="n"/>
      <c r="Z283" s="24">
        <f>IF($B283="","",IF($Y283&lt;&gt;"",$Y283-$B283,TODAY()-$B283))</f>
        <v/>
      </c>
      <c r="AA283" s="28">
        <f>IF($B283="","",IF(IFERROR(INDEX(CONFIG!$L$4:$L$63,MATCH($V283,CONFIG!$K$4:$K$63,0)),"NO")="SÍ",IF(OR($Y283="",$X283=""),"Resuelta",IF($Y283&gt;$X283,"Resuelta tarde","Resuelta a tiempo")),IF($X283="","Sin clasificar",IF(TODAY()&gt;$X283,"Vencida",IF(TODAY()&gt;=$X283-1,"Por vencer","En plazo")))))</f>
        <v/>
      </c>
      <c r="AB283" s="50" t="n"/>
      <c r="AC283" s="50" t="n"/>
    </row>
    <row r="284" ht="16" customHeight="1">
      <c r="A284" s="28">
        <f>IF($B284="","","N-"&amp;TEXT(ROW()-3,"0000"))</f>
        <v/>
      </c>
      <c r="B284" s="47" t="n"/>
      <c r="C284" s="48" t="n"/>
      <c r="D284" s="48" t="n"/>
      <c r="E284" s="28">
        <f>IF($C284="","",IF($D284="",IF($C284="Interna","Sin guía (interna)","FALTA GUÍA"),IF(COUNTIFS(ENVIOS!$A$4:$A$3003,$D284)=0,"NO EXISTE",IF(COUNTIFS(ENVIOS!$A$4:$A$3003,$D284)&gt;1,"DUPLICADA","OK"))))</f>
        <v/>
      </c>
      <c r="F284" s="28">
        <f>IF($D284="","",IFERROR(INDEX(ENVIOS!$B$4:$B$3003,MATCH($D284,ENVIOS!$A$4:$A$3003,0)),"—"))</f>
        <v/>
      </c>
      <c r="G284" s="23">
        <f>IF($D284="","",IFERROR(INDEX(ENVIOS!$D$4:$D$3003,MATCH($D284,ENVIOS!$A$4:$A$3003,0)),"—"))</f>
        <v/>
      </c>
      <c r="H284" s="23">
        <f>IF($D284="","",IFERROR(INDEX(ENVIOS!$E$4:$E$3003,MATCH($D284,ENVIOS!$A$4:$A$3003,0)),"—"))</f>
        <v/>
      </c>
      <c r="I284" s="23">
        <f>IF($D284="","",IFERROR(INDEX(ENVIOS!$F$4:$F$3003,MATCH($D284,ENVIOS!$A$4:$A$3003,0)),"—"))</f>
        <v/>
      </c>
      <c r="J284" s="23">
        <f>IF($D284="","",IFERROR(INDEX(ENVIOS!$G$4:$G$3003,MATCH($D284,ENVIOS!$A$4:$A$3003,0)),"—"))</f>
        <v/>
      </c>
      <c r="K284" s="28">
        <f>IF($D284="","",IFERROR(INDEX(ENVIOS!$H$4:$H$3003,MATCH($D284,ENVIOS!$A$4:$A$3003,0)),"—"))</f>
        <v/>
      </c>
      <c r="L284" s="49">
        <f>IF($D284="","",IFERROR(INDEX(ENVIOS!$C$4:$C$3003,MATCH($D284,ENVIOS!$A$4:$A$3003,0)),""))</f>
        <v/>
      </c>
      <c r="M284" s="50" t="n"/>
      <c r="N284" s="28">
        <f>IF($M284="","",IFERROR(INDEX(CONFIG!$C$4:$C$63,MATCH($M284,CONFIG!$A$4:$A$63,0)),"Media"))</f>
        <v/>
      </c>
      <c r="O284" s="28">
        <f>IF($M284="","",IF($C284="Interna","NO",IFERROR(INDEX(CONFIG!$E$4:$E$63,MATCH($M284,CONFIG!$A$4:$A$63,0)),"NO")))</f>
        <v/>
      </c>
      <c r="P284" s="50" t="n"/>
      <c r="Q284" s="50" t="n"/>
      <c r="R284" s="28">
        <f>IF($Q284="","",IFERROR(INDEX(CONFIG!$H$4:$H$63,MATCH($Q284,CONFIG!$G$4:$G$63,0)),"Por definir"))</f>
        <v/>
      </c>
      <c r="S284" s="28">
        <f>IF($Q284="","",IFERROR(INDEX(CONFIG!$I$4:$I$63,MATCH($Q284,CONFIG!$G$4:$G$63,0)),"Por definir"))</f>
        <v/>
      </c>
      <c r="T284" s="51" t="n"/>
      <c r="U284" s="52" t="n"/>
      <c r="V284" s="50" t="n"/>
      <c r="W284" s="50" t="n"/>
      <c r="X284" s="49">
        <f>IF(OR($B284="",$M284=""),"",WORKDAY($B284,IFERROR(INDEX(CONFIG!$D$4:$D$63,MATCH($M284,CONFIG!$A$4:$A$63,0)),3)))</f>
        <v/>
      </c>
      <c r="Y284" s="47" t="n"/>
      <c r="Z284" s="24">
        <f>IF($B284="","",IF($Y284&lt;&gt;"",$Y284-$B284,TODAY()-$B284))</f>
        <v/>
      </c>
      <c r="AA284" s="28">
        <f>IF($B284="","",IF(IFERROR(INDEX(CONFIG!$L$4:$L$63,MATCH($V284,CONFIG!$K$4:$K$63,0)),"NO")="SÍ",IF(OR($Y284="",$X284=""),"Resuelta",IF($Y284&gt;$X284,"Resuelta tarde","Resuelta a tiempo")),IF($X284="","Sin clasificar",IF(TODAY()&gt;$X284,"Vencida",IF(TODAY()&gt;=$X284-1,"Por vencer","En plazo")))))</f>
        <v/>
      </c>
      <c r="AB284" s="50" t="n"/>
      <c r="AC284" s="50" t="n"/>
    </row>
    <row r="285" ht="16" customHeight="1">
      <c r="A285" s="28">
        <f>IF($B285="","","N-"&amp;TEXT(ROW()-3,"0000"))</f>
        <v/>
      </c>
      <c r="B285" s="47" t="n"/>
      <c r="C285" s="48" t="n"/>
      <c r="D285" s="48" t="n"/>
      <c r="E285" s="28">
        <f>IF($C285="","",IF($D285="",IF($C285="Interna","Sin guía (interna)","FALTA GUÍA"),IF(COUNTIFS(ENVIOS!$A$4:$A$3003,$D285)=0,"NO EXISTE",IF(COUNTIFS(ENVIOS!$A$4:$A$3003,$D285)&gt;1,"DUPLICADA","OK"))))</f>
        <v/>
      </c>
      <c r="F285" s="28">
        <f>IF($D285="","",IFERROR(INDEX(ENVIOS!$B$4:$B$3003,MATCH($D285,ENVIOS!$A$4:$A$3003,0)),"—"))</f>
        <v/>
      </c>
      <c r="G285" s="23">
        <f>IF($D285="","",IFERROR(INDEX(ENVIOS!$D$4:$D$3003,MATCH($D285,ENVIOS!$A$4:$A$3003,0)),"—"))</f>
        <v/>
      </c>
      <c r="H285" s="23">
        <f>IF($D285="","",IFERROR(INDEX(ENVIOS!$E$4:$E$3003,MATCH($D285,ENVIOS!$A$4:$A$3003,0)),"—"))</f>
        <v/>
      </c>
      <c r="I285" s="23">
        <f>IF($D285="","",IFERROR(INDEX(ENVIOS!$F$4:$F$3003,MATCH($D285,ENVIOS!$A$4:$A$3003,0)),"—"))</f>
        <v/>
      </c>
      <c r="J285" s="23">
        <f>IF($D285="","",IFERROR(INDEX(ENVIOS!$G$4:$G$3003,MATCH($D285,ENVIOS!$A$4:$A$3003,0)),"—"))</f>
        <v/>
      </c>
      <c r="K285" s="28">
        <f>IF($D285="","",IFERROR(INDEX(ENVIOS!$H$4:$H$3003,MATCH($D285,ENVIOS!$A$4:$A$3003,0)),"—"))</f>
        <v/>
      </c>
      <c r="L285" s="49">
        <f>IF($D285="","",IFERROR(INDEX(ENVIOS!$C$4:$C$3003,MATCH($D285,ENVIOS!$A$4:$A$3003,0)),""))</f>
        <v/>
      </c>
      <c r="M285" s="50" t="n"/>
      <c r="N285" s="28">
        <f>IF($M285="","",IFERROR(INDEX(CONFIG!$C$4:$C$63,MATCH($M285,CONFIG!$A$4:$A$63,0)),"Media"))</f>
        <v/>
      </c>
      <c r="O285" s="28">
        <f>IF($M285="","",IF($C285="Interna","NO",IFERROR(INDEX(CONFIG!$E$4:$E$63,MATCH($M285,CONFIG!$A$4:$A$63,0)),"NO")))</f>
        <v/>
      </c>
      <c r="P285" s="50" t="n"/>
      <c r="Q285" s="50" t="n"/>
      <c r="R285" s="28">
        <f>IF($Q285="","",IFERROR(INDEX(CONFIG!$H$4:$H$63,MATCH($Q285,CONFIG!$G$4:$G$63,0)),"Por definir"))</f>
        <v/>
      </c>
      <c r="S285" s="28">
        <f>IF($Q285="","",IFERROR(INDEX(CONFIG!$I$4:$I$63,MATCH($Q285,CONFIG!$G$4:$G$63,0)),"Por definir"))</f>
        <v/>
      </c>
      <c r="T285" s="51" t="n"/>
      <c r="U285" s="52" t="n"/>
      <c r="V285" s="50" t="n"/>
      <c r="W285" s="50" t="n"/>
      <c r="X285" s="49">
        <f>IF(OR($B285="",$M285=""),"",WORKDAY($B285,IFERROR(INDEX(CONFIG!$D$4:$D$63,MATCH($M285,CONFIG!$A$4:$A$63,0)),3)))</f>
        <v/>
      </c>
      <c r="Y285" s="47" t="n"/>
      <c r="Z285" s="24">
        <f>IF($B285="","",IF($Y285&lt;&gt;"",$Y285-$B285,TODAY()-$B285))</f>
        <v/>
      </c>
      <c r="AA285" s="28">
        <f>IF($B285="","",IF(IFERROR(INDEX(CONFIG!$L$4:$L$63,MATCH($V285,CONFIG!$K$4:$K$63,0)),"NO")="SÍ",IF(OR($Y285="",$X285=""),"Resuelta",IF($Y285&gt;$X285,"Resuelta tarde","Resuelta a tiempo")),IF($X285="","Sin clasificar",IF(TODAY()&gt;$X285,"Vencida",IF(TODAY()&gt;=$X285-1,"Por vencer","En plazo")))))</f>
        <v/>
      </c>
      <c r="AB285" s="50" t="n"/>
      <c r="AC285" s="50" t="n"/>
    </row>
    <row r="286" ht="16" customHeight="1">
      <c r="A286" s="28">
        <f>IF($B286="","","N-"&amp;TEXT(ROW()-3,"0000"))</f>
        <v/>
      </c>
      <c r="B286" s="47" t="n"/>
      <c r="C286" s="48" t="n"/>
      <c r="D286" s="48" t="n"/>
      <c r="E286" s="28">
        <f>IF($C286="","",IF($D286="",IF($C286="Interna","Sin guía (interna)","FALTA GUÍA"),IF(COUNTIFS(ENVIOS!$A$4:$A$3003,$D286)=0,"NO EXISTE",IF(COUNTIFS(ENVIOS!$A$4:$A$3003,$D286)&gt;1,"DUPLICADA","OK"))))</f>
        <v/>
      </c>
      <c r="F286" s="28">
        <f>IF($D286="","",IFERROR(INDEX(ENVIOS!$B$4:$B$3003,MATCH($D286,ENVIOS!$A$4:$A$3003,0)),"—"))</f>
        <v/>
      </c>
      <c r="G286" s="23">
        <f>IF($D286="","",IFERROR(INDEX(ENVIOS!$D$4:$D$3003,MATCH($D286,ENVIOS!$A$4:$A$3003,0)),"—"))</f>
        <v/>
      </c>
      <c r="H286" s="23">
        <f>IF($D286="","",IFERROR(INDEX(ENVIOS!$E$4:$E$3003,MATCH($D286,ENVIOS!$A$4:$A$3003,0)),"—"))</f>
        <v/>
      </c>
      <c r="I286" s="23">
        <f>IF($D286="","",IFERROR(INDEX(ENVIOS!$F$4:$F$3003,MATCH($D286,ENVIOS!$A$4:$A$3003,0)),"—"))</f>
        <v/>
      </c>
      <c r="J286" s="23">
        <f>IF($D286="","",IFERROR(INDEX(ENVIOS!$G$4:$G$3003,MATCH($D286,ENVIOS!$A$4:$A$3003,0)),"—"))</f>
        <v/>
      </c>
      <c r="K286" s="28">
        <f>IF($D286="","",IFERROR(INDEX(ENVIOS!$H$4:$H$3003,MATCH($D286,ENVIOS!$A$4:$A$3003,0)),"—"))</f>
        <v/>
      </c>
      <c r="L286" s="49">
        <f>IF($D286="","",IFERROR(INDEX(ENVIOS!$C$4:$C$3003,MATCH($D286,ENVIOS!$A$4:$A$3003,0)),""))</f>
        <v/>
      </c>
      <c r="M286" s="50" t="n"/>
      <c r="N286" s="28">
        <f>IF($M286="","",IFERROR(INDEX(CONFIG!$C$4:$C$63,MATCH($M286,CONFIG!$A$4:$A$63,0)),"Media"))</f>
        <v/>
      </c>
      <c r="O286" s="28">
        <f>IF($M286="","",IF($C286="Interna","NO",IFERROR(INDEX(CONFIG!$E$4:$E$63,MATCH($M286,CONFIG!$A$4:$A$63,0)),"NO")))</f>
        <v/>
      </c>
      <c r="P286" s="50" t="n"/>
      <c r="Q286" s="50" t="n"/>
      <c r="R286" s="28">
        <f>IF($Q286="","",IFERROR(INDEX(CONFIG!$H$4:$H$63,MATCH($Q286,CONFIG!$G$4:$G$63,0)),"Por definir"))</f>
        <v/>
      </c>
      <c r="S286" s="28">
        <f>IF($Q286="","",IFERROR(INDEX(CONFIG!$I$4:$I$63,MATCH($Q286,CONFIG!$G$4:$G$63,0)),"Por definir"))</f>
        <v/>
      </c>
      <c r="T286" s="51" t="n"/>
      <c r="U286" s="52" t="n"/>
      <c r="V286" s="50" t="n"/>
      <c r="W286" s="50" t="n"/>
      <c r="X286" s="49">
        <f>IF(OR($B286="",$M286=""),"",WORKDAY($B286,IFERROR(INDEX(CONFIG!$D$4:$D$63,MATCH($M286,CONFIG!$A$4:$A$63,0)),3)))</f>
        <v/>
      </c>
      <c r="Y286" s="47" t="n"/>
      <c r="Z286" s="24">
        <f>IF($B286="","",IF($Y286&lt;&gt;"",$Y286-$B286,TODAY()-$B286))</f>
        <v/>
      </c>
      <c r="AA286" s="28">
        <f>IF($B286="","",IF(IFERROR(INDEX(CONFIG!$L$4:$L$63,MATCH($V286,CONFIG!$K$4:$K$63,0)),"NO")="SÍ",IF(OR($Y286="",$X286=""),"Resuelta",IF($Y286&gt;$X286,"Resuelta tarde","Resuelta a tiempo")),IF($X286="","Sin clasificar",IF(TODAY()&gt;$X286,"Vencida",IF(TODAY()&gt;=$X286-1,"Por vencer","En plazo")))))</f>
        <v/>
      </c>
      <c r="AB286" s="50" t="n"/>
      <c r="AC286" s="50" t="n"/>
    </row>
    <row r="287" ht="16" customHeight="1">
      <c r="A287" s="28">
        <f>IF($B287="","","N-"&amp;TEXT(ROW()-3,"0000"))</f>
        <v/>
      </c>
      <c r="B287" s="47" t="n"/>
      <c r="C287" s="48" t="n"/>
      <c r="D287" s="48" t="n"/>
      <c r="E287" s="28">
        <f>IF($C287="","",IF($D287="",IF($C287="Interna","Sin guía (interna)","FALTA GUÍA"),IF(COUNTIFS(ENVIOS!$A$4:$A$3003,$D287)=0,"NO EXISTE",IF(COUNTIFS(ENVIOS!$A$4:$A$3003,$D287)&gt;1,"DUPLICADA","OK"))))</f>
        <v/>
      </c>
      <c r="F287" s="28">
        <f>IF($D287="","",IFERROR(INDEX(ENVIOS!$B$4:$B$3003,MATCH($D287,ENVIOS!$A$4:$A$3003,0)),"—"))</f>
        <v/>
      </c>
      <c r="G287" s="23">
        <f>IF($D287="","",IFERROR(INDEX(ENVIOS!$D$4:$D$3003,MATCH($D287,ENVIOS!$A$4:$A$3003,0)),"—"))</f>
        <v/>
      </c>
      <c r="H287" s="23">
        <f>IF($D287="","",IFERROR(INDEX(ENVIOS!$E$4:$E$3003,MATCH($D287,ENVIOS!$A$4:$A$3003,0)),"—"))</f>
        <v/>
      </c>
      <c r="I287" s="23">
        <f>IF($D287="","",IFERROR(INDEX(ENVIOS!$F$4:$F$3003,MATCH($D287,ENVIOS!$A$4:$A$3003,0)),"—"))</f>
        <v/>
      </c>
      <c r="J287" s="23">
        <f>IF($D287="","",IFERROR(INDEX(ENVIOS!$G$4:$G$3003,MATCH($D287,ENVIOS!$A$4:$A$3003,0)),"—"))</f>
        <v/>
      </c>
      <c r="K287" s="28">
        <f>IF($D287="","",IFERROR(INDEX(ENVIOS!$H$4:$H$3003,MATCH($D287,ENVIOS!$A$4:$A$3003,0)),"—"))</f>
        <v/>
      </c>
      <c r="L287" s="49">
        <f>IF($D287="","",IFERROR(INDEX(ENVIOS!$C$4:$C$3003,MATCH($D287,ENVIOS!$A$4:$A$3003,0)),""))</f>
        <v/>
      </c>
      <c r="M287" s="50" t="n"/>
      <c r="N287" s="28">
        <f>IF($M287="","",IFERROR(INDEX(CONFIG!$C$4:$C$63,MATCH($M287,CONFIG!$A$4:$A$63,0)),"Media"))</f>
        <v/>
      </c>
      <c r="O287" s="28">
        <f>IF($M287="","",IF($C287="Interna","NO",IFERROR(INDEX(CONFIG!$E$4:$E$63,MATCH($M287,CONFIG!$A$4:$A$63,0)),"NO")))</f>
        <v/>
      </c>
      <c r="P287" s="50" t="n"/>
      <c r="Q287" s="50" t="n"/>
      <c r="R287" s="28">
        <f>IF($Q287="","",IFERROR(INDEX(CONFIG!$H$4:$H$63,MATCH($Q287,CONFIG!$G$4:$G$63,0)),"Por definir"))</f>
        <v/>
      </c>
      <c r="S287" s="28">
        <f>IF($Q287="","",IFERROR(INDEX(CONFIG!$I$4:$I$63,MATCH($Q287,CONFIG!$G$4:$G$63,0)),"Por definir"))</f>
        <v/>
      </c>
      <c r="T287" s="51" t="n"/>
      <c r="U287" s="52" t="n"/>
      <c r="V287" s="50" t="n"/>
      <c r="W287" s="50" t="n"/>
      <c r="X287" s="49">
        <f>IF(OR($B287="",$M287=""),"",WORKDAY($B287,IFERROR(INDEX(CONFIG!$D$4:$D$63,MATCH($M287,CONFIG!$A$4:$A$63,0)),3)))</f>
        <v/>
      </c>
      <c r="Y287" s="47" t="n"/>
      <c r="Z287" s="24">
        <f>IF($B287="","",IF($Y287&lt;&gt;"",$Y287-$B287,TODAY()-$B287))</f>
        <v/>
      </c>
      <c r="AA287" s="28">
        <f>IF($B287="","",IF(IFERROR(INDEX(CONFIG!$L$4:$L$63,MATCH($V287,CONFIG!$K$4:$K$63,0)),"NO")="SÍ",IF(OR($Y287="",$X287=""),"Resuelta",IF($Y287&gt;$X287,"Resuelta tarde","Resuelta a tiempo")),IF($X287="","Sin clasificar",IF(TODAY()&gt;$X287,"Vencida",IF(TODAY()&gt;=$X287-1,"Por vencer","En plazo")))))</f>
        <v/>
      </c>
      <c r="AB287" s="50" t="n"/>
      <c r="AC287" s="50" t="n"/>
    </row>
    <row r="288" ht="16" customHeight="1">
      <c r="A288" s="28">
        <f>IF($B288="","","N-"&amp;TEXT(ROW()-3,"0000"))</f>
        <v/>
      </c>
      <c r="B288" s="47" t="n"/>
      <c r="C288" s="48" t="n"/>
      <c r="D288" s="48" t="n"/>
      <c r="E288" s="28">
        <f>IF($C288="","",IF($D288="",IF($C288="Interna","Sin guía (interna)","FALTA GUÍA"),IF(COUNTIFS(ENVIOS!$A$4:$A$3003,$D288)=0,"NO EXISTE",IF(COUNTIFS(ENVIOS!$A$4:$A$3003,$D288)&gt;1,"DUPLICADA","OK"))))</f>
        <v/>
      </c>
      <c r="F288" s="28">
        <f>IF($D288="","",IFERROR(INDEX(ENVIOS!$B$4:$B$3003,MATCH($D288,ENVIOS!$A$4:$A$3003,0)),"—"))</f>
        <v/>
      </c>
      <c r="G288" s="23">
        <f>IF($D288="","",IFERROR(INDEX(ENVIOS!$D$4:$D$3003,MATCH($D288,ENVIOS!$A$4:$A$3003,0)),"—"))</f>
        <v/>
      </c>
      <c r="H288" s="23">
        <f>IF($D288="","",IFERROR(INDEX(ENVIOS!$E$4:$E$3003,MATCH($D288,ENVIOS!$A$4:$A$3003,0)),"—"))</f>
        <v/>
      </c>
      <c r="I288" s="23">
        <f>IF($D288="","",IFERROR(INDEX(ENVIOS!$F$4:$F$3003,MATCH($D288,ENVIOS!$A$4:$A$3003,0)),"—"))</f>
        <v/>
      </c>
      <c r="J288" s="23">
        <f>IF($D288="","",IFERROR(INDEX(ENVIOS!$G$4:$G$3003,MATCH($D288,ENVIOS!$A$4:$A$3003,0)),"—"))</f>
        <v/>
      </c>
      <c r="K288" s="28">
        <f>IF($D288="","",IFERROR(INDEX(ENVIOS!$H$4:$H$3003,MATCH($D288,ENVIOS!$A$4:$A$3003,0)),"—"))</f>
        <v/>
      </c>
      <c r="L288" s="49">
        <f>IF($D288="","",IFERROR(INDEX(ENVIOS!$C$4:$C$3003,MATCH($D288,ENVIOS!$A$4:$A$3003,0)),""))</f>
        <v/>
      </c>
      <c r="M288" s="50" t="n"/>
      <c r="N288" s="28">
        <f>IF($M288="","",IFERROR(INDEX(CONFIG!$C$4:$C$63,MATCH($M288,CONFIG!$A$4:$A$63,0)),"Media"))</f>
        <v/>
      </c>
      <c r="O288" s="28">
        <f>IF($M288="","",IF($C288="Interna","NO",IFERROR(INDEX(CONFIG!$E$4:$E$63,MATCH($M288,CONFIG!$A$4:$A$63,0)),"NO")))</f>
        <v/>
      </c>
      <c r="P288" s="50" t="n"/>
      <c r="Q288" s="50" t="n"/>
      <c r="R288" s="28">
        <f>IF($Q288="","",IFERROR(INDEX(CONFIG!$H$4:$H$63,MATCH($Q288,CONFIG!$G$4:$G$63,0)),"Por definir"))</f>
        <v/>
      </c>
      <c r="S288" s="28">
        <f>IF($Q288="","",IFERROR(INDEX(CONFIG!$I$4:$I$63,MATCH($Q288,CONFIG!$G$4:$G$63,0)),"Por definir"))</f>
        <v/>
      </c>
      <c r="T288" s="51" t="n"/>
      <c r="U288" s="52" t="n"/>
      <c r="V288" s="50" t="n"/>
      <c r="W288" s="50" t="n"/>
      <c r="X288" s="49">
        <f>IF(OR($B288="",$M288=""),"",WORKDAY($B288,IFERROR(INDEX(CONFIG!$D$4:$D$63,MATCH($M288,CONFIG!$A$4:$A$63,0)),3)))</f>
        <v/>
      </c>
      <c r="Y288" s="47" t="n"/>
      <c r="Z288" s="24">
        <f>IF($B288="","",IF($Y288&lt;&gt;"",$Y288-$B288,TODAY()-$B288))</f>
        <v/>
      </c>
      <c r="AA288" s="28">
        <f>IF($B288="","",IF(IFERROR(INDEX(CONFIG!$L$4:$L$63,MATCH($V288,CONFIG!$K$4:$K$63,0)),"NO")="SÍ",IF(OR($Y288="",$X288=""),"Resuelta",IF($Y288&gt;$X288,"Resuelta tarde","Resuelta a tiempo")),IF($X288="","Sin clasificar",IF(TODAY()&gt;$X288,"Vencida",IF(TODAY()&gt;=$X288-1,"Por vencer","En plazo")))))</f>
        <v/>
      </c>
      <c r="AB288" s="50" t="n"/>
      <c r="AC288" s="50" t="n"/>
    </row>
    <row r="289" ht="16" customHeight="1">
      <c r="A289" s="28">
        <f>IF($B289="","","N-"&amp;TEXT(ROW()-3,"0000"))</f>
        <v/>
      </c>
      <c r="B289" s="47" t="n"/>
      <c r="C289" s="48" t="n"/>
      <c r="D289" s="48" t="n"/>
      <c r="E289" s="28">
        <f>IF($C289="","",IF($D289="",IF($C289="Interna","Sin guía (interna)","FALTA GUÍA"),IF(COUNTIFS(ENVIOS!$A$4:$A$3003,$D289)=0,"NO EXISTE",IF(COUNTIFS(ENVIOS!$A$4:$A$3003,$D289)&gt;1,"DUPLICADA","OK"))))</f>
        <v/>
      </c>
      <c r="F289" s="28">
        <f>IF($D289="","",IFERROR(INDEX(ENVIOS!$B$4:$B$3003,MATCH($D289,ENVIOS!$A$4:$A$3003,0)),"—"))</f>
        <v/>
      </c>
      <c r="G289" s="23">
        <f>IF($D289="","",IFERROR(INDEX(ENVIOS!$D$4:$D$3003,MATCH($D289,ENVIOS!$A$4:$A$3003,0)),"—"))</f>
        <v/>
      </c>
      <c r="H289" s="23">
        <f>IF($D289="","",IFERROR(INDEX(ENVIOS!$E$4:$E$3003,MATCH($D289,ENVIOS!$A$4:$A$3003,0)),"—"))</f>
        <v/>
      </c>
      <c r="I289" s="23">
        <f>IF($D289="","",IFERROR(INDEX(ENVIOS!$F$4:$F$3003,MATCH($D289,ENVIOS!$A$4:$A$3003,0)),"—"))</f>
        <v/>
      </c>
      <c r="J289" s="23">
        <f>IF($D289="","",IFERROR(INDEX(ENVIOS!$G$4:$G$3003,MATCH($D289,ENVIOS!$A$4:$A$3003,0)),"—"))</f>
        <v/>
      </c>
      <c r="K289" s="28">
        <f>IF($D289="","",IFERROR(INDEX(ENVIOS!$H$4:$H$3003,MATCH($D289,ENVIOS!$A$4:$A$3003,0)),"—"))</f>
        <v/>
      </c>
      <c r="L289" s="49">
        <f>IF($D289="","",IFERROR(INDEX(ENVIOS!$C$4:$C$3003,MATCH($D289,ENVIOS!$A$4:$A$3003,0)),""))</f>
        <v/>
      </c>
      <c r="M289" s="50" t="n"/>
      <c r="N289" s="28">
        <f>IF($M289="","",IFERROR(INDEX(CONFIG!$C$4:$C$63,MATCH($M289,CONFIG!$A$4:$A$63,0)),"Media"))</f>
        <v/>
      </c>
      <c r="O289" s="28">
        <f>IF($M289="","",IF($C289="Interna","NO",IFERROR(INDEX(CONFIG!$E$4:$E$63,MATCH($M289,CONFIG!$A$4:$A$63,0)),"NO")))</f>
        <v/>
      </c>
      <c r="P289" s="50" t="n"/>
      <c r="Q289" s="50" t="n"/>
      <c r="R289" s="28">
        <f>IF($Q289="","",IFERROR(INDEX(CONFIG!$H$4:$H$63,MATCH($Q289,CONFIG!$G$4:$G$63,0)),"Por definir"))</f>
        <v/>
      </c>
      <c r="S289" s="28">
        <f>IF($Q289="","",IFERROR(INDEX(CONFIG!$I$4:$I$63,MATCH($Q289,CONFIG!$G$4:$G$63,0)),"Por definir"))</f>
        <v/>
      </c>
      <c r="T289" s="51" t="n"/>
      <c r="U289" s="52" t="n"/>
      <c r="V289" s="50" t="n"/>
      <c r="W289" s="50" t="n"/>
      <c r="X289" s="49">
        <f>IF(OR($B289="",$M289=""),"",WORKDAY($B289,IFERROR(INDEX(CONFIG!$D$4:$D$63,MATCH($M289,CONFIG!$A$4:$A$63,0)),3)))</f>
        <v/>
      </c>
      <c r="Y289" s="47" t="n"/>
      <c r="Z289" s="24">
        <f>IF($B289="","",IF($Y289&lt;&gt;"",$Y289-$B289,TODAY()-$B289))</f>
        <v/>
      </c>
      <c r="AA289" s="28">
        <f>IF($B289="","",IF(IFERROR(INDEX(CONFIG!$L$4:$L$63,MATCH($V289,CONFIG!$K$4:$K$63,0)),"NO")="SÍ",IF(OR($Y289="",$X289=""),"Resuelta",IF($Y289&gt;$X289,"Resuelta tarde","Resuelta a tiempo")),IF($X289="","Sin clasificar",IF(TODAY()&gt;$X289,"Vencida",IF(TODAY()&gt;=$X289-1,"Por vencer","En plazo")))))</f>
        <v/>
      </c>
      <c r="AB289" s="50" t="n"/>
      <c r="AC289" s="50" t="n"/>
    </row>
    <row r="290" ht="16" customHeight="1">
      <c r="A290" s="28">
        <f>IF($B290="","","N-"&amp;TEXT(ROW()-3,"0000"))</f>
        <v/>
      </c>
      <c r="B290" s="47" t="n"/>
      <c r="C290" s="48" t="n"/>
      <c r="D290" s="48" t="n"/>
      <c r="E290" s="28">
        <f>IF($C290="","",IF($D290="",IF($C290="Interna","Sin guía (interna)","FALTA GUÍA"),IF(COUNTIFS(ENVIOS!$A$4:$A$3003,$D290)=0,"NO EXISTE",IF(COUNTIFS(ENVIOS!$A$4:$A$3003,$D290)&gt;1,"DUPLICADA","OK"))))</f>
        <v/>
      </c>
      <c r="F290" s="28">
        <f>IF($D290="","",IFERROR(INDEX(ENVIOS!$B$4:$B$3003,MATCH($D290,ENVIOS!$A$4:$A$3003,0)),"—"))</f>
        <v/>
      </c>
      <c r="G290" s="23">
        <f>IF($D290="","",IFERROR(INDEX(ENVIOS!$D$4:$D$3003,MATCH($D290,ENVIOS!$A$4:$A$3003,0)),"—"))</f>
        <v/>
      </c>
      <c r="H290" s="23">
        <f>IF($D290="","",IFERROR(INDEX(ENVIOS!$E$4:$E$3003,MATCH($D290,ENVIOS!$A$4:$A$3003,0)),"—"))</f>
        <v/>
      </c>
      <c r="I290" s="23">
        <f>IF($D290="","",IFERROR(INDEX(ENVIOS!$F$4:$F$3003,MATCH($D290,ENVIOS!$A$4:$A$3003,0)),"—"))</f>
        <v/>
      </c>
      <c r="J290" s="23">
        <f>IF($D290="","",IFERROR(INDEX(ENVIOS!$G$4:$G$3003,MATCH($D290,ENVIOS!$A$4:$A$3003,0)),"—"))</f>
        <v/>
      </c>
      <c r="K290" s="28">
        <f>IF($D290="","",IFERROR(INDEX(ENVIOS!$H$4:$H$3003,MATCH($D290,ENVIOS!$A$4:$A$3003,0)),"—"))</f>
        <v/>
      </c>
      <c r="L290" s="49">
        <f>IF($D290="","",IFERROR(INDEX(ENVIOS!$C$4:$C$3003,MATCH($D290,ENVIOS!$A$4:$A$3003,0)),""))</f>
        <v/>
      </c>
      <c r="M290" s="50" t="n"/>
      <c r="N290" s="28">
        <f>IF($M290="","",IFERROR(INDEX(CONFIG!$C$4:$C$63,MATCH($M290,CONFIG!$A$4:$A$63,0)),"Media"))</f>
        <v/>
      </c>
      <c r="O290" s="28">
        <f>IF($M290="","",IF($C290="Interna","NO",IFERROR(INDEX(CONFIG!$E$4:$E$63,MATCH($M290,CONFIG!$A$4:$A$63,0)),"NO")))</f>
        <v/>
      </c>
      <c r="P290" s="50" t="n"/>
      <c r="Q290" s="50" t="n"/>
      <c r="R290" s="28">
        <f>IF($Q290="","",IFERROR(INDEX(CONFIG!$H$4:$H$63,MATCH($Q290,CONFIG!$G$4:$G$63,0)),"Por definir"))</f>
        <v/>
      </c>
      <c r="S290" s="28">
        <f>IF($Q290="","",IFERROR(INDEX(CONFIG!$I$4:$I$63,MATCH($Q290,CONFIG!$G$4:$G$63,0)),"Por definir"))</f>
        <v/>
      </c>
      <c r="T290" s="51" t="n"/>
      <c r="U290" s="52" t="n"/>
      <c r="V290" s="50" t="n"/>
      <c r="W290" s="50" t="n"/>
      <c r="X290" s="49">
        <f>IF(OR($B290="",$M290=""),"",WORKDAY($B290,IFERROR(INDEX(CONFIG!$D$4:$D$63,MATCH($M290,CONFIG!$A$4:$A$63,0)),3)))</f>
        <v/>
      </c>
      <c r="Y290" s="47" t="n"/>
      <c r="Z290" s="24">
        <f>IF($B290="","",IF($Y290&lt;&gt;"",$Y290-$B290,TODAY()-$B290))</f>
        <v/>
      </c>
      <c r="AA290" s="28">
        <f>IF($B290="","",IF(IFERROR(INDEX(CONFIG!$L$4:$L$63,MATCH($V290,CONFIG!$K$4:$K$63,0)),"NO")="SÍ",IF(OR($Y290="",$X290=""),"Resuelta",IF($Y290&gt;$X290,"Resuelta tarde","Resuelta a tiempo")),IF($X290="","Sin clasificar",IF(TODAY()&gt;$X290,"Vencida",IF(TODAY()&gt;=$X290-1,"Por vencer","En plazo")))))</f>
        <v/>
      </c>
      <c r="AB290" s="50" t="n"/>
      <c r="AC290" s="50" t="n"/>
    </row>
    <row r="291" ht="16" customHeight="1">
      <c r="A291" s="28">
        <f>IF($B291="","","N-"&amp;TEXT(ROW()-3,"0000"))</f>
        <v/>
      </c>
      <c r="B291" s="47" t="n"/>
      <c r="C291" s="48" t="n"/>
      <c r="D291" s="48" t="n"/>
      <c r="E291" s="28">
        <f>IF($C291="","",IF($D291="",IF($C291="Interna","Sin guía (interna)","FALTA GUÍA"),IF(COUNTIFS(ENVIOS!$A$4:$A$3003,$D291)=0,"NO EXISTE",IF(COUNTIFS(ENVIOS!$A$4:$A$3003,$D291)&gt;1,"DUPLICADA","OK"))))</f>
        <v/>
      </c>
      <c r="F291" s="28">
        <f>IF($D291="","",IFERROR(INDEX(ENVIOS!$B$4:$B$3003,MATCH($D291,ENVIOS!$A$4:$A$3003,0)),"—"))</f>
        <v/>
      </c>
      <c r="G291" s="23">
        <f>IF($D291="","",IFERROR(INDEX(ENVIOS!$D$4:$D$3003,MATCH($D291,ENVIOS!$A$4:$A$3003,0)),"—"))</f>
        <v/>
      </c>
      <c r="H291" s="23">
        <f>IF($D291="","",IFERROR(INDEX(ENVIOS!$E$4:$E$3003,MATCH($D291,ENVIOS!$A$4:$A$3003,0)),"—"))</f>
        <v/>
      </c>
      <c r="I291" s="23">
        <f>IF($D291="","",IFERROR(INDEX(ENVIOS!$F$4:$F$3003,MATCH($D291,ENVIOS!$A$4:$A$3003,0)),"—"))</f>
        <v/>
      </c>
      <c r="J291" s="23">
        <f>IF($D291="","",IFERROR(INDEX(ENVIOS!$G$4:$G$3003,MATCH($D291,ENVIOS!$A$4:$A$3003,0)),"—"))</f>
        <v/>
      </c>
      <c r="K291" s="28">
        <f>IF($D291="","",IFERROR(INDEX(ENVIOS!$H$4:$H$3003,MATCH($D291,ENVIOS!$A$4:$A$3003,0)),"—"))</f>
        <v/>
      </c>
      <c r="L291" s="49">
        <f>IF($D291="","",IFERROR(INDEX(ENVIOS!$C$4:$C$3003,MATCH($D291,ENVIOS!$A$4:$A$3003,0)),""))</f>
        <v/>
      </c>
      <c r="M291" s="50" t="n"/>
      <c r="N291" s="28">
        <f>IF($M291="","",IFERROR(INDEX(CONFIG!$C$4:$C$63,MATCH($M291,CONFIG!$A$4:$A$63,0)),"Media"))</f>
        <v/>
      </c>
      <c r="O291" s="28">
        <f>IF($M291="","",IF($C291="Interna","NO",IFERROR(INDEX(CONFIG!$E$4:$E$63,MATCH($M291,CONFIG!$A$4:$A$63,0)),"NO")))</f>
        <v/>
      </c>
      <c r="P291" s="50" t="n"/>
      <c r="Q291" s="50" t="n"/>
      <c r="R291" s="28">
        <f>IF($Q291="","",IFERROR(INDEX(CONFIG!$H$4:$H$63,MATCH($Q291,CONFIG!$G$4:$G$63,0)),"Por definir"))</f>
        <v/>
      </c>
      <c r="S291" s="28">
        <f>IF($Q291="","",IFERROR(INDEX(CONFIG!$I$4:$I$63,MATCH($Q291,CONFIG!$G$4:$G$63,0)),"Por definir"))</f>
        <v/>
      </c>
      <c r="T291" s="51" t="n"/>
      <c r="U291" s="52" t="n"/>
      <c r="V291" s="50" t="n"/>
      <c r="W291" s="50" t="n"/>
      <c r="X291" s="49">
        <f>IF(OR($B291="",$M291=""),"",WORKDAY($B291,IFERROR(INDEX(CONFIG!$D$4:$D$63,MATCH($M291,CONFIG!$A$4:$A$63,0)),3)))</f>
        <v/>
      </c>
      <c r="Y291" s="47" t="n"/>
      <c r="Z291" s="24">
        <f>IF($B291="","",IF($Y291&lt;&gt;"",$Y291-$B291,TODAY()-$B291))</f>
        <v/>
      </c>
      <c r="AA291" s="28">
        <f>IF($B291="","",IF(IFERROR(INDEX(CONFIG!$L$4:$L$63,MATCH($V291,CONFIG!$K$4:$K$63,0)),"NO")="SÍ",IF(OR($Y291="",$X291=""),"Resuelta",IF($Y291&gt;$X291,"Resuelta tarde","Resuelta a tiempo")),IF($X291="","Sin clasificar",IF(TODAY()&gt;$X291,"Vencida",IF(TODAY()&gt;=$X291-1,"Por vencer","En plazo")))))</f>
        <v/>
      </c>
      <c r="AB291" s="50" t="n"/>
      <c r="AC291" s="50" t="n"/>
    </row>
    <row r="292" ht="16" customHeight="1">
      <c r="A292" s="28">
        <f>IF($B292="","","N-"&amp;TEXT(ROW()-3,"0000"))</f>
        <v/>
      </c>
      <c r="B292" s="47" t="n"/>
      <c r="C292" s="48" t="n"/>
      <c r="D292" s="48" t="n"/>
      <c r="E292" s="28">
        <f>IF($C292="","",IF($D292="",IF($C292="Interna","Sin guía (interna)","FALTA GUÍA"),IF(COUNTIFS(ENVIOS!$A$4:$A$3003,$D292)=0,"NO EXISTE",IF(COUNTIFS(ENVIOS!$A$4:$A$3003,$D292)&gt;1,"DUPLICADA","OK"))))</f>
        <v/>
      </c>
      <c r="F292" s="28">
        <f>IF($D292="","",IFERROR(INDEX(ENVIOS!$B$4:$B$3003,MATCH($D292,ENVIOS!$A$4:$A$3003,0)),"—"))</f>
        <v/>
      </c>
      <c r="G292" s="23">
        <f>IF($D292="","",IFERROR(INDEX(ENVIOS!$D$4:$D$3003,MATCH($D292,ENVIOS!$A$4:$A$3003,0)),"—"))</f>
        <v/>
      </c>
      <c r="H292" s="23">
        <f>IF($D292="","",IFERROR(INDEX(ENVIOS!$E$4:$E$3003,MATCH($D292,ENVIOS!$A$4:$A$3003,0)),"—"))</f>
        <v/>
      </c>
      <c r="I292" s="23">
        <f>IF($D292="","",IFERROR(INDEX(ENVIOS!$F$4:$F$3003,MATCH($D292,ENVIOS!$A$4:$A$3003,0)),"—"))</f>
        <v/>
      </c>
      <c r="J292" s="23">
        <f>IF($D292="","",IFERROR(INDEX(ENVIOS!$G$4:$G$3003,MATCH($D292,ENVIOS!$A$4:$A$3003,0)),"—"))</f>
        <v/>
      </c>
      <c r="K292" s="28">
        <f>IF($D292="","",IFERROR(INDEX(ENVIOS!$H$4:$H$3003,MATCH($D292,ENVIOS!$A$4:$A$3003,0)),"—"))</f>
        <v/>
      </c>
      <c r="L292" s="49">
        <f>IF($D292="","",IFERROR(INDEX(ENVIOS!$C$4:$C$3003,MATCH($D292,ENVIOS!$A$4:$A$3003,0)),""))</f>
        <v/>
      </c>
      <c r="M292" s="50" t="n"/>
      <c r="N292" s="28">
        <f>IF($M292="","",IFERROR(INDEX(CONFIG!$C$4:$C$63,MATCH($M292,CONFIG!$A$4:$A$63,0)),"Media"))</f>
        <v/>
      </c>
      <c r="O292" s="28">
        <f>IF($M292="","",IF($C292="Interna","NO",IFERROR(INDEX(CONFIG!$E$4:$E$63,MATCH($M292,CONFIG!$A$4:$A$63,0)),"NO")))</f>
        <v/>
      </c>
      <c r="P292" s="50" t="n"/>
      <c r="Q292" s="50" t="n"/>
      <c r="R292" s="28">
        <f>IF($Q292="","",IFERROR(INDEX(CONFIG!$H$4:$H$63,MATCH($Q292,CONFIG!$G$4:$G$63,0)),"Por definir"))</f>
        <v/>
      </c>
      <c r="S292" s="28">
        <f>IF($Q292="","",IFERROR(INDEX(CONFIG!$I$4:$I$63,MATCH($Q292,CONFIG!$G$4:$G$63,0)),"Por definir"))</f>
        <v/>
      </c>
      <c r="T292" s="51" t="n"/>
      <c r="U292" s="52" t="n"/>
      <c r="V292" s="50" t="n"/>
      <c r="W292" s="50" t="n"/>
      <c r="X292" s="49">
        <f>IF(OR($B292="",$M292=""),"",WORKDAY($B292,IFERROR(INDEX(CONFIG!$D$4:$D$63,MATCH($M292,CONFIG!$A$4:$A$63,0)),3)))</f>
        <v/>
      </c>
      <c r="Y292" s="47" t="n"/>
      <c r="Z292" s="24">
        <f>IF($B292="","",IF($Y292&lt;&gt;"",$Y292-$B292,TODAY()-$B292))</f>
        <v/>
      </c>
      <c r="AA292" s="28">
        <f>IF($B292="","",IF(IFERROR(INDEX(CONFIG!$L$4:$L$63,MATCH($V292,CONFIG!$K$4:$K$63,0)),"NO")="SÍ",IF(OR($Y292="",$X292=""),"Resuelta",IF($Y292&gt;$X292,"Resuelta tarde","Resuelta a tiempo")),IF($X292="","Sin clasificar",IF(TODAY()&gt;$X292,"Vencida",IF(TODAY()&gt;=$X292-1,"Por vencer","En plazo")))))</f>
        <v/>
      </c>
      <c r="AB292" s="50" t="n"/>
      <c r="AC292" s="50" t="n"/>
    </row>
    <row r="293" ht="16" customHeight="1">
      <c r="A293" s="28">
        <f>IF($B293="","","N-"&amp;TEXT(ROW()-3,"0000"))</f>
        <v/>
      </c>
      <c r="B293" s="47" t="n"/>
      <c r="C293" s="48" t="n"/>
      <c r="D293" s="48" t="n"/>
      <c r="E293" s="28">
        <f>IF($C293="","",IF($D293="",IF($C293="Interna","Sin guía (interna)","FALTA GUÍA"),IF(COUNTIFS(ENVIOS!$A$4:$A$3003,$D293)=0,"NO EXISTE",IF(COUNTIFS(ENVIOS!$A$4:$A$3003,$D293)&gt;1,"DUPLICADA","OK"))))</f>
        <v/>
      </c>
      <c r="F293" s="28">
        <f>IF($D293="","",IFERROR(INDEX(ENVIOS!$B$4:$B$3003,MATCH($D293,ENVIOS!$A$4:$A$3003,0)),"—"))</f>
        <v/>
      </c>
      <c r="G293" s="23">
        <f>IF($D293="","",IFERROR(INDEX(ENVIOS!$D$4:$D$3003,MATCH($D293,ENVIOS!$A$4:$A$3003,0)),"—"))</f>
        <v/>
      </c>
      <c r="H293" s="23">
        <f>IF($D293="","",IFERROR(INDEX(ENVIOS!$E$4:$E$3003,MATCH($D293,ENVIOS!$A$4:$A$3003,0)),"—"))</f>
        <v/>
      </c>
      <c r="I293" s="23">
        <f>IF($D293="","",IFERROR(INDEX(ENVIOS!$F$4:$F$3003,MATCH($D293,ENVIOS!$A$4:$A$3003,0)),"—"))</f>
        <v/>
      </c>
      <c r="J293" s="23">
        <f>IF($D293="","",IFERROR(INDEX(ENVIOS!$G$4:$G$3003,MATCH($D293,ENVIOS!$A$4:$A$3003,0)),"—"))</f>
        <v/>
      </c>
      <c r="K293" s="28">
        <f>IF($D293="","",IFERROR(INDEX(ENVIOS!$H$4:$H$3003,MATCH($D293,ENVIOS!$A$4:$A$3003,0)),"—"))</f>
        <v/>
      </c>
      <c r="L293" s="49">
        <f>IF($D293="","",IFERROR(INDEX(ENVIOS!$C$4:$C$3003,MATCH($D293,ENVIOS!$A$4:$A$3003,0)),""))</f>
        <v/>
      </c>
      <c r="M293" s="50" t="n"/>
      <c r="N293" s="28">
        <f>IF($M293="","",IFERROR(INDEX(CONFIG!$C$4:$C$63,MATCH($M293,CONFIG!$A$4:$A$63,0)),"Media"))</f>
        <v/>
      </c>
      <c r="O293" s="28">
        <f>IF($M293="","",IF($C293="Interna","NO",IFERROR(INDEX(CONFIG!$E$4:$E$63,MATCH($M293,CONFIG!$A$4:$A$63,0)),"NO")))</f>
        <v/>
      </c>
      <c r="P293" s="50" t="n"/>
      <c r="Q293" s="50" t="n"/>
      <c r="R293" s="28">
        <f>IF($Q293="","",IFERROR(INDEX(CONFIG!$H$4:$H$63,MATCH($Q293,CONFIG!$G$4:$G$63,0)),"Por definir"))</f>
        <v/>
      </c>
      <c r="S293" s="28">
        <f>IF($Q293="","",IFERROR(INDEX(CONFIG!$I$4:$I$63,MATCH($Q293,CONFIG!$G$4:$G$63,0)),"Por definir"))</f>
        <v/>
      </c>
      <c r="T293" s="51" t="n"/>
      <c r="U293" s="52" t="n"/>
      <c r="V293" s="50" t="n"/>
      <c r="W293" s="50" t="n"/>
      <c r="X293" s="49">
        <f>IF(OR($B293="",$M293=""),"",WORKDAY($B293,IFERROR(INDEX(CONFIG!$D$4:$D$63,MATCH($M293,CONFIG!$A$4:$A$63,0)),3)))</f>
        <v/>
      </c>
      <c r="Y293" s="47" t="n"/>
      <c r="Z293" s="24">
        <f>IF($B293="","",IF($Y293&lt;&gt;"",$Y293-$B293,TODAY()-$B293))</f>
        <v/>
      </c>
      <c r="AA293" s="28">
        <f>IF($B293="","",IF(IFERROR(INDEX(CONFIG!$L$4:$L$63,MATCH($V293,CONFIG!$K$4:$K$63,0)),"NO")="SÍ",IF(OR($Y293="",$X293=""),"Resuelta",IF($Y293&gt;$X293,"Resuelta tarde","Resuelta a tiempo")),IF($X293="","Sin clasificar",IF(TODAY()&gt;$X293,"Vencida",IF(TODAY()&gt;=$X293-1,"Por vencer","En plazo")))))</f>
        <v/>
      </c>
      <c r="AB293" s="50" t="n"/>
      <c r="AC293" s="50" t="n"/>
    </row>
    <row r="294" ht="16" customHeight="1">
      <c r="A294" s="28">
        <f>IF($B294="","","N-"&amp;TEXT(ROW()-3,"0000"))</f>
        <v/>
      </c>
      <c r="B294" s="47" t="n"/>
      <c r="C294" s="48" t="n"/>
      <c r="D294" s="48" t="n"/>
      <c r="E294" s="28">
        <f>IF($C294="","",IF($D294="",IF($C294="Interna","Sin guía (interna)","FALTA GUÍA"),IF(COUNTIFS(ENVIOS!$A$4:$A$3003,$D294)=0,"NO EXISTE",IF(COUNTIFS(ENVIOS!$A$4:$A$3003,$D294)&gt;1,"DUPLICADA","OK"))))</f>
        <v/>
      </c>
      <c r="F294" s="28">
        <f>IF($D294="","",IFERROR(INDEX(ENVIOS!$B$4:$B$3003,MATCH($D294,ENVIOS!$A$4:$A$3003,0)),"—"))</f>
        <v/>
      </c>
      <c r="G294" s="23">
        <f>IF($D294="","",IFERROR(INDEX(ENVIOS!$D$4:$D$3003,MATCH($D294,ENVIOS!$A$4:$A$3003,0)),"—"))</f>
        <v/>
      </c>
      <c r="H294" s="23">
        <f>IF($D294="","",IFERROR(INDEX(ENVIOS!$E$4:$E$3003,MATCH($D294,ENVIOS!$A$4:$A$3003,0)),"—"))</f>
        <v/>
      </c>
      <c r="I294" s="23">
        <f>IF($D294="","",IFERROR(INDEX(ENVIOS!$F$4:$F$3003,MATCH($D294,ENVIOS!$A$4:$A$3003,0)),"—"))</f>
        <v/>
      </c>
      <c r="J294" s="23">
        <f>IF($D294="","",IFERROR(INDEX(ENVIOS!$G$4:$G$3003,MATCH($D294,ENVIOS!$A$4:$A$3003,0)),"—"))</f>
        <v/>
      </c>
      <c r="K294" s="28">
        <f>IF($D294="","",IFERROR(INDEX(ENVIOS!$H$4:$H$3003,MATCH($D294,ENVIOS!$A$4:$A$3003,0)),"—"))</f>
        <v/>
      </c>
      <c r="L294" s="49">
        <f>IF($D294="","",IFERROR(INDEX(ENVIOS!$C$4:$C$3003,MATCH($D294,ENVIOS!$A$4:$A$3003,0)),""))</f>
        <v/>
      </c>
      <c r="M294" s="50" t="n"/>
      <c r="N294" s="28">
        <f>IF($M294="","",IFERROR(INDEX(CONFIG!$C$4:$C$63,MATCH($M294,CONFIG!$A$4:$A$63,0)),"Media"))</f>
        <v/>
      </c>
      <c r="O294" s="28">
        <f>IF($M294="","",IF($C294="Interna","NO",IFERROR(INDEX(CONFIG!$E$4:$E$63,MATCH($M294,CONFIG!$A$4:$A$63,0)),"NO")))</f>
        <v/>
      </c>
      <c r="P294" s="50" t="n"/>
      <c r="Q294" s="50" t="n"/>
      <c r="R294" s="28">
        <f>IF($Q294="","",IFERROR(INDEX(CONFIG!$H$4:$H$63,MATCH($Q294,CONFIG!$G$4:$G$63,0)),"Por definir"))</f>
        <v/>
      </c>
      <c r="S294" s="28">
        <f>IF($Q294="","",IFERROR(INDEX(CONFIG!$I$4:$I$63,MATCH($Q294,CONFIG!$G$4:$G$63,0)),"Por definir"))</f>
        <v/>
      </c>
      <c r="T294" s="51" t="n"/>
      <c r="U294" s="52" t="n"/>
      <c r="V294" s="50" t="n"/>
      <c r="W294" s="50" t="n"/>
      <c r="X294" s="49">
        <f>IF(OR($B294="",$M294=""),"",WORKDAY($B294,IFERROR(INDEX(CONFIG!$D$4:$D$63,MATCH($M294,CONFIG!$A$4:$A$63,0)),3)))</f>
        <v/>
      </c>
      <c r="Y294" s="47" t="n"/>
      <c r="Z294" s="24">
        <f>IF($B294="","",IF($Y294&lt;&gt;"",$Y294-$B294,TODAY()-$B294))</f>
        <v/>
      </c>
      <c r="AA294" s="28">
        <f>IF($B294="","",IF(IFERROR(INDEX(CONFIG!$L$4:$L$63,MATCH($V294,CONFIG!$K$4:$K$63,0)),"NO")="SÍ",IF(OR($Y294="",$X294=""),"Resuelta",IF($Y294&gt;$X294,"Resuelta tarde","Resuelta a tiempo")),IF($X294="","Sin clasificar",IF(TODAY()&gt;$X294,"Vencida",IF(TODAY()&gt;=$X294-1,"Por vencer","En plazo")))))</f>
        <v/>
      </c>
      <c r="AB294" s="50" t="n"/>
      <c r="AC294" s="50" t="n"/>
    </row>
    <row r="295" ht="16" customHeight="1">
      <c r="A295" s="28">
        <f>IF($B295="","","N-"&amp;TEXT(ROW()-3,"0000"))</f>
        <v/>
      </c>
      <c r="B295" s="47" t="n"/>
      <c r="C295" s="48" t="n"/>
      <c r="D295" s="48" t="n"/>
      <c r="E295" s="28">
        <f>IF($C295="","",IF($D295="",IF($C295="Interna","Sin guía (interna)","FALTA GUÍA"),IF(COUNTIFS(ENVIOS!$A$4:$A$3003,$D295)=0,"NO EXISTE",IF(COUNTIFS(ENVIOS!$A$4:$A$3003,$D295)&gt;1,"DUPLICADA","OK"))))</f>
        <v/>
      </c>
      <c r="F295" s="28">
        <f>IF($D295="","",IFERROR(INDEX(ENVIOS!$B$4:$B$3003,MATCH($D295,ENVIOS!$A$4:$A$3003,0)),"—"))</f>
        <v/>
      </c>
      <c r="G295" s="23">
        <f>IF($D295="","",IFERROR(INDEX(ENVIOS!$D$4:$D$3003,MATCH($D295,ENVIOS!$A$4:$A$3003,0)),"—"))</f>
        <v/>
      </c>
      <c r="H295" s="23">
        <f>IF($D295="","",IFERROR(INDEX(ENVIOS!$E$4:$E$3003,MATCH($D295,ENVIOS!$A$4:$A$3003,0)),"—"))</f>
        <v/>
      </c>
      <c r="I295" s="23">
        <f>IF($D295="","",IFERROR(INDEX(ENVIOS!$F$4:$F$3003,MATCH($D295,ENVIOS!$A$4:$A$3003,0)),"—"))</f>
        <v/>
      </c>
      <c r="J295" s="23">
        <f>IF($D295="","",IFERROR(INDEX(ENVIOS!$G$4:$G$3003,MATCH($D295,ENVIOS!$A$4:$A$3003,0)),"—"))</f>
        <v/>
      </c>
      <c r="K295" s="28">
        <f>IF($D295="","",IFERROR(INDEX(ENVIOS!$H$4:$H$3003,MATCH($D295,ENVIOS!$A$4:$A$3003,0)),"—"))</f>
        <v/>
      </c>
      <c r="L295" s="49">
        <f>IF($D295="","",IFERROR(INDEX(ENVIOS!$C$4:$C$3003,MATCH($D295,ENVIOS!$A$4:$A$3003,0)),""))</f>
        <v/>
      </c>
      <c r="M295" s="50" t="n"/>
      <c r="N295" s="28">
        <f>IF($M295="","",IFERROR(INDEX(CONFIG!$C$4:$C$63,MATCH($M295,CONFIG!$A$4:$A$63,0)),"Media"))</f>
        <v/>
      </c>
      <c r="O295" s="28">
        <f>IF($M295="","",IF($C295="Interna","NO",IFERROR(INDEX(CONFIG!$E$4:$E$63,MATCH($M295,CONFIG!$A$4:$A$63,0)),"NO")))</f>
        <v/>
      </c>
      <c r="P295" s="50" t="n"/>
      <c r="Q295" s="50" t="n"/>
      <c r="R295" s="28">
        <f>IF($Q295="","",IFERROR(INDEX(CONFIG!$H$4:$H$63,MATCH($Q295,CONFIG!$G$4:$G$63,0)),"Por definir"))</f>
        <v/>
      </c>
      <c r="S295" s="28">
        <f>IF($Q295="","",IFERROR(INDEX(CONFIG!$I$4:$I$63,MATCH($Q295,CONFIG!$G$4:$G$63,0)),"Por definir"))</f>
        <v/>
      </c>
      <c r="T295" s="51" t="n"/>
      <c r="U295" s="52" t="n"/>
      <c r="V295" s="50" t="n"/>
      <c r="W295" s="50" t="n"/>
      <c r="X295" s="49">
        <f>IF(OR($B295="",$M295=""),"",WORKDAY($B295,IFERROR(INDEX(CONFIG!$D$4:$D$63,MATCH($M295,CONFIG!$A$4:$A$63,0)),3)))</f>
        <v/>
      </c>
      <c r="Y295" s="47" t="n"/>
      <c r="Z295" s="24">
        <f>IF($B295="","",IF($Y295&lt;&gt;"",$Y295-$B295,TODAY()-$B295))</f>
        <v/>
      </c>
      <c r="AA295" s="28">
        <f>IF($B295="","",IF(IFERROR(INDEX(CONFIG!$L$4:$L$63,MATCH($V295,CONFIG!$K$4:$K$63,0)),"NO")="SÍ",IF(OR($Y295="",$X295=""),"Resuelta",IF($Y295&gt;$X295,"Resuelta tarde","Resuelta a tiempo")),IF($X295="","Sin clasificar",IF(TODAY()&gt;$X295,"Vencida",IF(TODAY()&gt;=$X295-1,"Por vencer","En plazo")))))</f>
        <v/>
      </c>
      <c r="AB295" s="50" t="n"/>
      <c r="AC295" s="50" t="n"/>
    </row>
    <row r="296" ht="16" customHeight="1">
      <c r="A296" s="28">
        <f>IF($B296="","","N-"&amp;TEXT(ROW()-3,"0000"))</f>
        <v/>
      </c>
      <c r="B296" s="47" t="n"/>
      <c r="C296" s="48" t="n"/>
      <c r="D296" s="48" t="n"/>
      <c r="E296" s="28">
        <f>IF($C296="","",IF($D296="",IF($C296="Interna","Sin guía (interna)","FALTA GUÍA"),IF(COUNTIFS(ENVIOS!$A$4:$A$3003,$D296)=0,"NO EXISTE",IF(COUNTIFS(ENVIOS!$A$4:$A$3003,$D296)&gt;1,"DUPLICADA","OK"))))</f>
        <v/>
      </c>
      <c r="F296" s="28">
        <f>IF($D296="","",IFERROR(INDEX(ENVIOS!$B$4:$B$3003,MATCH($D296,ENVIOS!$A$4:$A$3003,0)),"—"))</f>
        <v/>
      </c>
      <c r="G296" s="23">
        <f>IF($D296="","",IFERROR(INDEX(ENVIOS!$D$4:$D$3003,MATCH($D296,ENVIOS!$A$4:$A$3003,0)),"—"))</f>
        <v/>
      </c>
      <c r="H296" s="23">
        <f>IF($D296="","",IFERROR(INDEX(ENVIOS!$E$4:$E$3003,MATCH($D296,ENVIOS!$A$4:$A$3003,0)),"—"))</f>
        <v/>
      </c>
      <c r="I296" s="23">
        <f>IF($D296="","",IFERROR(INDEX(ENVIOS!$F$4:$F$3003,MATCH($D296,ENVIOS!$A$4:$A$3003,0)),"—"))</f>
        <v/>
      </c>
      <c r="J296" s="23">
        <f>IF($D296="","",IFERROR(INDEX(ENVIOS!$G$4:$G$3003,MATCH($D296,ENVIOS!$A$4:$A$3003,0)),"—"))</f>
        <v/>
      </c>
      <c r="K296" s="28">
        <f>IF($D296="","",IFERROR(INDEX(ENVIOS!$H$4:$H$3003,MATCH($D296,ENVIOS!$A$4:$A$3003,0)),"—"))</f>
        <v/>
      </c>
      <c r="L296" s="49">
        <f>IF($D296="","",IFERROR(INDEX(ENVIOS!$C$4:$C$3003,MATCH($D296,ENVIOS!$A$4:$A$3003,0)),""))</f>
        <v/>
      </c>
      <c r="M296" s="50" t="n"/>
      <c r="N296" s="28">
        <f>IF($M296="","",IFERROR(INDEX(CONFIG!$C$4:$C$63,MATCH($M296,CONFIG!$A$4:$A$63,0)),"Media"))</f>
        <v/>
      </c>
      <c r="O296" s="28">
        <f>IF($M296="","",IF($C296="Interna","NO",IFERROR(INDEX(CONFIG!$E$4:$E$63,MATCH($M296,CONFIG!$A$4:$A$63,0)),"NO")))</f>
        <v/>
      </c>
      <c r="P296" s="50" t="n"/>
      <c r="Q296" s="50" t="n"/>
      <c r="R296" s="28">
        <f>IF($Q296="","",IFERROR(INDEX(CONFIG!$H$4:$H$63,MATCH($Q296,CONFIG!$G$4:$G$63,0)),"Por definir"))</f>
        <v/>
      </c>
      <c r="S296" s="28">
        <f>IF($Q296="","",IFERROR(INDEX(CONFIG!$I$4:$I$63,MATCH($Q296,CONFIG!$G$4:$G$63,0)),"Por definir"))</f>
        <v/>
      </c>
      <c r="T296" s="51" t="n"/>
      <c r="U296" s="52" t="n"/>
      <c r="V296" s="50" t="n"/>
      <c r="W296" s="50" t="n"/>
      <c r="X296" s="49">
        <f>IF(OR($B296="",$M296=""),"",WORKDAY($B296,IFERROR(INDEX(CONFIG!$D$4:$D$63,MATCH($M296,CONFIG!$A$4:$A$63,0)),3)))</f>
        <v/>
      </c>
      <c r="Y296" s="47" t="n"/>
      <c r="Z296" s="24">
        <f>IF($B296="","",IF($Y296&lt;&gt;"",$Y296-$B296,TODAY()-$B296))</f>
        <v/>
      </c>
      <c r="AA296" s="28">
        <f>IF($B296="","",IF(IFERROR(INDEX(CONFIG!$L$4:$L$63,MATCH($V296,CONFIG!$K$4:$K$63,0)),"NO")="SÍ",IF(OR($Y296="",$X296=""),"Resuelta",IF($Y296&gt;$X296,"Resuelta tarde","Resuelta a tiempo")),IF($X296="","Sin clasificar",IF(TODAY()&gt;$X296,"Vencida",IF(TODAY()&gt;=$X296-1,"Por vencer","En plazo")))))</f>
        <v/>
      </c>
      <c r="AB296" s="50" t="n"/>
      <c r="AC296" s="50" t="n"/>
    </row>
    <row r="297" ht="16" customHeight="1">
      <c r="A297" s="28">
        <f>IF($B297="","","N-"&amp;TEXT(ROW()-3,"0000"))</f>
        <v/>
      </c>
      <c r="B297" s="47" t="n"/>
      <c r="C297" s="48" t="n"/>
      <c r="D297" s="48" t="n"/>
      <c r="E297" s="28">
        <f>IF($C297="","",IF($D297="",IF($C297="Interna","Sin guía (interna)","FALTA GUÍA"),IF(COUNTIFS(ENVIOS!$A$4:$A$3003,$D297)=0,"NO EXISTE",IF(COUNTIFS(ENVIOS!$A$4:$A$3003,$D297)&gt;1,"DUPLICADA","OK"))))</f>
        <v/>
      </c>
      <c r="F297" s="28">
        <f>IF($D297="","",IFERROR(INDEX(ENVIOS!$B$4:$B$3003,MATCH($D297,ENVIOS!$A$4:$A$3003,0)),"—"))</f>
        <v/>
      </c>
      <c r="G297" s="23">
        <f>IF($D297="","",IFERROR(INDEX(ENVIOS!$D$4:$D$3003,MATCH($D297,ENVIOS!$A$4:$A$3003,0)),"—"))</f>
        <v/>
      </c>
      <c r="H297" s="23">
        <f>IF($D297="","",IFERROR(INDEX(ENVIOS!$E$4:$E$3003,MATCH($D297,ENVIOS!$A$4:$A$3003,0)),"—"))</f>
        <v/>
      </c>
      <c r="I297" s="23">
        <f>IF($D297="","",IFERROR(INDEX(ENVIOS!$F$4:$F$3003,MATCH($D297,ENVIOS!$A$4:$A$3003,0)),"—"))</f>
        <v/>
      </c>
      <c r="J297" s="23">
        <f>IF($D297="","",IFERROR(INDEX(ENVIOS!$G$4:$G$3003,MATCH($D297,ENVIOS!$A$4:$A$3003,0)),"—"))</f>
        <v/>
      </c>
      <c r="K297" s="28">
        <f>IF($D297="","",IFERROR(INDEX(ENVIOS!$H$4:$H$3003,MATCH($D297,ENVIOS!$A$4:$A$3003,0)),"—"))</f>
        <v/>
      </c>
      <c r="L297" s="49">
        <f>IF($D297="","",IFERROR(INDEX(ENVIOS!$C$4:$C$3003,MATCH($D297,ENVIOS!$A$4:$A$3003,0)),""))</f>
        <v/>
      </c>
      <c r="M297" s="50" t="n"/>
      <c r="N297" s="28">
        <f>IF($M297="","",IFERROR(INDEX(CONFIG!$C$4:$C$63,MATCH($M297,CONFIG!$A$4:$A$63,0)),"Media"))</f>
        <v/>
      </c>
      <c r="O297" s="28">
        <f>IF($M297="","",IF($C297="Interna","NO",IFERROR(INDEX(CONFIG!$E$4:$E$63,MATCH($M297,CONFIG!$A$4:$A$63,0)),"NO")))</f>
        <v/>
      </c>
      <c r="P297" s="50" t="n"/>
      <c r="Q297" s="50" t="n"/>
      <c r="R297" s="28">
        <f>IF($Q297="","",IFERROR(INDEX(CONFIG!$H$4:$H$63,MATCH($Q297,CONFIG!$G$4:$G$63,0)),"Por definir"))</f>
        <v/>
      </c>
      <c r="S297" s="28">
        <f>IF($Q297="","",IFERROR(INDEX(CONFIG!$I$4:$I$63,MATCH($Q297,CONFIG!$G$4:$G$63,0)),"Por definir"))</f>
        <v/>
      </c>
      <c r="T297" s="51" t="n"/>
      <c r="U297" s="52" t="n"/>
      <c r="V297" s="50" t="n"/>
      <c r="W297" s="50" t="n"/>
      <c r="X297" s="49">
        <f>IF(OR($B297="",$M297=""),"",WORKDAY($B297,IFERROR(INDEX(CONFIG!$D$4:$D$63,MATCH($M297,CONFIG!$A$4:$A$63,0)),3)))</f>
        <v/>
      </c>
      <c r="Y297" s="47" t="n"/>
      <c r="Z297" s="24">
        <f>IF($B297="","",IF($Y297&lt;&gt;"",$Y297-$B297,TODAY()-$B297))</f>
        <v/>
      </c>
      <c r="AA297" s="28">
        <f>IF($B297="","",IF(IFERROR(INDEX(CONFIG!$L$4:$L$63,MATCH($V297,CONFIG!$K$4:$K$63,0)),"NO")="SÍ",IF(OR($Y297="",$X297=""),"Resuelta",IF($Y297&gt;$X297,"Resuelta tarde","Resuelta a tiempo")),IF($X297="","Sin clasificar",IF(TODAY()&gt;$X297,"Vencida",IF(TODAY()&gt;=$X297-1,"Por vencer","En plazo")))))</f>
        <v/>
      </c>
      <c r="AB297" s="50" t="n"/>
      <c r="AC297" s="50" t="n"/>
    </row>
    <row r="298" ht="16" customHeight="1">
      <c r="A298" s="28">
        <f>IF($B298="","","N-"&amp;TEXT(ROW()-3,"0000"))</f>
        <v/>
      </c>
      <c r="B298" s="47" t="n"/>
      <c r="C298" s="48" t="n"/>
      <c r="D298" s="48" t="n"/>
      <c r="E298" s="28">
        <f>IF($C298="","",IF($D298="",IF($C298="Interna","Sin guía (interna)","FALTA GUÍA"),IF(COUNTIFS(ENVIOS!$A$4:$A$3003,$D298)=0,"NO EXISTE",IF(COUNTIFS(ENVIOS!$A$4:$A$3003,$D298)&gt;1,"DUPLICADA","OK"))))</f>
        <v/>
      </c>
      <c r="F298" s="28">
        <f>IF($D298="","",IFERROR(INDEX(ENVIOS!$B$4:$B$3003,MATCH($D298,ENVIOS!$A$4:$A$3003,0)),"—"))</f>
        <v/>
      </c>
      <c r="G298" s="23">
        <f>IF($D298="","",IFERROR(INDEX(ENVIOS!$D$4:$D$3003,MATCH($D298,ENVIOS!$A$4:$A$3003,0)),"—"))</f>
        <v/>
      </c>
      <c r="H298" s="23">
        <f>IF($D298="","",IFERROR(INDEX(ENVIOS!$E$4:$E$3003,MATCH($D298,ENVIOS!$A$4:$A$3003,0)),"—"))</f>
        <v/>
      </c>
      <c r="I298" s="23">
        <f>IF($D298="","",IFERROR(INDEX(ENVIOS!$F$4:$F$3003,MATCH($D298,ENVIOS!$A$4:$A$3003,0)),"—"))</f>
        <v/>
      </c>
      <c r="J298" s="23">
        <f>IF($D298="","",IFERROR(INDEX(ENVIOS!$G$4:$G$3003,MATCH($D298,ENVIOS!$A$4:$A$3003,0)),"—"))</f>
        <v/>
      </c>
      <c r="K298" s="28">
        <f>IF($D298="","",IFERROR(INDEX(ENVIOS!$H$4:$H$3003,MATCH($D298,ENVIOS!$A$4:$A$3003,0)),"—"))</f>
        <v/>
      </c>
      <c r="L298" s="49">
        <f>IF($D298="","",IFERROR(INDEX(ENVIOS!$C$4:$C$3003,MATCH($D298,ENVIOS!$A$4:$A$3003,0)),""))</f>
        <v/>
      </c>
      <c r="M298" s="50" t="n"/>
      <c r="N298" s="28">
        <f>IF($M298="","",IFERROR(INDEX(CONFIG!$C$4:$C$63,MATCH($M298,CONFIG!$A$4:$A$63,0)),"Media"))</f>
        <v/>
      </c>
      <c r="O298" s="28">
        <f>IF($M298="","",IF($C298="Interna","NO",IFERROR(INDEX(CONFIG!$E$4:$E$63,MATCH($M298,CONFIG!$A$4:$A$63,0)),"NO")))</f>
        <v/>
      </c>
      <c r="P298" s="50" t="n"/>
      <c r="Q298" s="50" t="n"/>
      <c r="R298" s="28">
        <f>IF($Q298="","",IFERROR(INDEX(CONFIG!$H$4:$H$63,MATCH($Q298,CONFIG!$G$4:$G$63,0)),"Por definir"))</f>
        <v/>
      </c>
      <c r="S298" s="28">
        <f>IF($Q298="","",IFERROR(INDEX(CONFIG!$I$4:$I$63,MATCH($Q298,CONFIG!$G$4:$G$63,0)),"Por definir"))</f>
        <v/>
      </c>
      <c r="T298" s="51" t="n"/>
      <c r="U298" s="52" t="n"/>
      <c r="V298" s="50" t="n"/>
      <c r="W298" s="50" t="n"/>
      <c r="X298" s="49">
        <f>IF(OR($B298="",$M298=""),"",WORKDAY($B298,IFERROR(INDEX(CONFIG!$D$4:$D$63,MATCH($M298,CONFIG!$A$4:$A$63,0)),3)))</f>
        <v/>
      </c>
      <c r="Y298" s="47" t="n"/>
      <c r="Z298" s="24">
        <f>IF($B298="","",IF($Y298&lt;&gt;"",$Y298-$B298,TODAY()-$B298))</f>
        <v/>
      </c>
      <c r="AA298" s="28">
        <f>IF($B298="","",IF(IFERROR(INDEX(CONFIG!$L$4:$L$63,MATCH($V298,CONFIG!$K$4:$K$63,0)),"NO")="SÍ",IF(OR($Y298="",$X298=""),"Resuelta",IF($Y298&gt;$X298,"Resuelta tarde","Resuelta a tiempo")),IF($X298="","Sin clasificar",IF(TODAY()&gt;$X298,"Vencida",IF(TODAY()&gt;=$X298-1,"Por vencer","En plazo")))))</f>
        <v/>
      </c>
      <c r="AB298" s="50" t="n"/>
      <c r="AC298" s="50" t="n"/>
    </row>
    <row r="299" ht="16" customHeight="1">
      <c r="A299" s="28">
        <f>IF($B299="","","N-"&amp;TEXT(ROW()-3,"0000"))</f>
        <v/>
      </c>
      <c r="B299" s="47" t="n"/>
      <c r="C299" s="48" t="n"/>
      <c r="D299" s="48" t="n"/>
      <c r="E299" s="28">
        <f>IF($C299="","",IF($D299="",IF($C299="Interna","Sin guía (interna)","FALTA GUÍA"),IF(COUNTIFS(ENVIOS!$A$4:$A$3003,$D299)=0,"NO EXISTE",IF(COUNTIFS(ENVIOS!$A$4:$A$3003,$D299)&gt;1,"DUPLICADA","OK"))))</f>
        <v/>
      </c>
      <c r="F299" s="28">
        <f>IF($D299="","",IFERROR(INDEX(ENVIOS!$B$4:$B$3003,MATCH($D299,ENVIOS!$A$4:$A$3003,0)),"—"))</f>
        <v/>
      </c>
      <c r="G299" s="23">
        <f>IF($D299="","",IFERROR(INDEX(ENVIOS!$D$4:$D$3003,MATCH($D299,ENVIOS!$A$4:$A$3003,0)),"—"))</f>
        <v/>
      </c>
      <c r="H299" s="23">
        <f>IF($D299="","",IFERROR(INDEX(ENVIOS!$E$4:$E$3003,MATCH($D299,ENVIOS!$A$4:$A$3003,0)),"—"))</f>
        <v/>
      </c>
      <c r="I299" s="23">
        <f>IF($D299="","",IFERROR(INDEX(ENVIOS!$F$4:$F$3003,MATCH($D299,ENVIOS!$A$4:$A$3003,0)),"—"))</f>
        <v/>
      </c>
      <c r="J299" s="23">
        <f>IF($D299="","",IFERROR(INDEX(ENVIOS!$G$4:$G$3003,MATCH($D299,ENVIOS!$A$4:$A$3003,0)),"—"))</f>
        <v/>
      </c>
      <c r="K299" s="28">
        <f>IF($D299="","",IFERROR(INDEX(ENVIOS!$H$4:$H$3003,MATCH($D299,ENVIOS!$A$4:$A$3003,0)),"—"))</f>
        <v/>
      </c>
      <c r="L299" s="49">
        <f>IF($D299="","",IFERROR(INDEX(ENVIOS!$C$4:$C$3003,MATCH($D299,ENVIOS!$A$4:$A$3003,0)),""))</f>
        <v/>
      </c>
      <c r="M299" s="50" t="n"/>
      <c r="N299" s="28">
        <f>IF($M299="","",IFERROR(INDEX(CONFIG!$C$4:$C$63,MATCH($M299,CONFIG!$A$4:$A$63,0)),"Media"))</f>
        <v/>
      </c>
      <c r="O299" s="28">
        <f>IF($M299="","",IF($C299="Interna","NO",IFERROR(INDEX(CONFIG!$E$4:$E$63,MATCH($M299,CONFIG!$A$4:$A$63,0)),"NO")))</f>
        <v/>
      </c>
      <c r="P299" s="50" t="n"/>
      <c r="Q299" s="50" t="n"/>
      <c r="R299" s="28">
        <f>IF($Q299="","",IFERROR(INDEX(CONFIG!$H$4:$H$63,MATCH($Q299,CONFIG!$G$4:$G$63,0)),"Por definir"))</f>
        <v/>
      </c>
      <c r="S299" s="28">
        <f>IF($Q299="","",IFERROR(INDEX(CONFIG!$I$4:$I$63,MATCH($Q299,CONFIG!$G$4:$G$63,0)),"Por definir"))</f>
        <v/>
      </c>
      <c r="T299" s="51" t="n"/>
      <c r="U299" s="52" t="n"/>
      <c r="V299" s="50" t="n"/>
      <c r="W299" s="50" t="n"/>
      <c r="X299" s="49">
        <f>IF(OR($B299="",$M299=""),"",WORKDAY($B299,IFERROR(INDEX(CONFIG!$D$4:$D$63,MATCH($M299,CONFIG!$A$4:$A$63,0)),3)))</f>
        <v/>
      </c>
      <c r="Y299" s="47" t="n"/>
      <c r="Z299" s="24">
        <f>IF($B299="","",IF($Y299&lt;&gt;"",$Y299-$B299,TODAY()-$B299))</f>
        <v/>
      </c>
      <c r="AA299" s="28">
        <f>IF($B299="","",IF(IFERROR(INDEX(CONFIG!$L$4:$L$63,MATCH($V299,CONFIG!$K$4:$K$63,0)),"NO")="SÍ",IF(OR($Y299="",$X299=""),"Resuelta",IF($Y299&gt;$X299,"Resuelta tarde","Resuelta a tiempo")),IF($X299="","Sin clasificar",IF(TODAY()&gt;$X299,"Vencida",IF(TODAY()&gt;=$X299-1,"Por vencer","En plazo")))))</f>
        <v/>
      </c>
      <c r="AB299" s="50" t="n"/>
      <c r="AC299" s="50" t="n"/>
    </row>
    <row r="300" ht="16" customHeight="1">
      <c r="A300" s="28">
        <f>IF($B300="","","N-"&amp;TEXT(ROW()-3,"0000"))</f>
        <v/>
      </c>
      <c r="B300" s="47" t="n"/>
      <c r="C300" s="48" t="n"/>
      <c r="D300" s="48" t="n"/>
      <c r="E300" s="28">
        <f>IF($C300="","",IF($D300="",IF($C300="Interna","Sin guía (interna)","FALTA GUÍA"),IF(COUNTIFS(ENVIOS!$A$4:$A$3003,$D300)=0,"NO EXISTE",IF(COUNTIFS(ENVIOS!$A$4:$A$3003,$D300)&gt;1,"DUPLICADA","OK"))))</f>
        <v/>
      </c>
      <c r="F300" s="28">
        <f>IF($D300="","",IFERROR(INDEX(ENVIOS!$B$4:$B$3003,MATCH($D300,ENVIOS!$A$4:$A$3003,0)),"—"))</f>
        <v/>
      </c>
      <c r="G300" s="23">
        <f>IF($D300="","",IFERROR(INDEX(ENVIOS!$D$4:$D$3003,MATCH($D300,ENVIOS!$A$4:$A$3003,0)),"—"))</f>
        <v/>
      </c>
      <c r="H300" s="23">
        <f>IF($D300="","",IFERROR(INDEX(ENVIOS!$E$4:$E$3003,MATCH($D300,ENVIOS!$A$4:$A$3003,0)),"—"))</f>
        <v/>
      </c>
      <c r="I300" s="23">
        <f>IF($D300="","",IFERROR(INDEX(ENVIOS!$F$4:$F$3003,MATCH($D300,ENVIOS!$A$4:$A$3003,0)),"—"))</f>
        <v/>
      </c>
      <c r="J300" s="23">
        <f>IF($D300="","",IFERROR(INDEX(ENVIOS!$G$4:$G$3003,MATCH($D300,ENVIOS!$A$4:$A$3003,0)),"—"))</f>
        <v/>
      </c>
      <c r="K300" s="28">
        <f>IF($D300="","",IFERROR(INDEX(ENVIOS!$H$4:$H$3003,MATCH($D300,ENVIOS!$A$4:$A$3003,0)),"—"))</f>
        <v/>
      </c>
      <c r="L300" s="49">
        <f>IF($D300="","",IFERROR(INDEX(ENVIOS!$C$4:$C$3003,MATCH($D300,ENVIOS!$A$4:$A$3003,0)),""))</f>
        <v/>
      </c>
      <c r="M300" s="50" t="n"/>
      <c r="N300" s="28">
        <f>IF($M300="","",IFERROR(INDEX(CONFIG!$C$4:$C$63,MATCH($M300,CONFIG!$A$4:$A$63,0)),"Media"))</f>
        <v/>
      </c>
      <c r="O300" s="28">
        <f>IF($M300="","",IF($C300="Interna","NO",IFERROR(INDEX(CONFIG!$E$4:$E$63,MATCH($M300,CONFIG!$A$4:$A$63,0)),"NO")))</f>
        <v/>
      </c>
      <c r="P300" s="50" t="n"/>
      <c r="Q300" s="50" t="n"/>
      <c r="R300" s="28">
        <f>IF($Q300="","",IFERROR(INDEX(CONFIG!$H$4:$H$63,MATCH($Q300,CONFIG!$G$4:$G$63,0)),"Por definir"))</f>
        <v/>
      </c>
      <c r="S300" s="28">
        <f>IF($Q300="","",IFERROR(INDEX(CONFIG!$I$4:$I$63,MATCH($Q300,CONFIG!$G$4:$G$63,0)),"Por definir"))</f>
        <v/>
      </c>
      <c r="T300" s="51" t="n"/>
      <c r="U300" s="52" t="n"/>
      <c r="V300" s="50" t="n"/>
      <c r="W300" s="50" t="n"/>
      <c r="X300" s="49">
        <f>IF(OR($B300="",$M300=""),"",WORKDAY($B300,IFERROR(INDEX(CONFIG!$D$4:$D$63,MATCH($M300,CONFIG!$A$4:$A$63,0)),3)))</f>
        <v/>
      </c>
      <c r="Y300" s="47" t="n"/>
      <c r="Z300" s="24">
        <f>IF($B300="","",IF($Y300&lt;&gt;"",$Y300-$B300,TODAY()-$B300))</f>
        <v/>
      </c>
      <c r="AA300" s="28">
        <f>IF($B300="","",IF(IFERROR(INDEX(CONFIG!$L$4:$L$63,MATCH($V300,CONFIG!$K$4:$K$63,0)),"NO")="SÍ",IF(OR($Y300="",$X300=""),"Resuelta",IF($Y300&gt;$X300,"Resuelta tarde","Resuelta a tiempo")),IF($X300="","Sin clasificar",IF(TODAY()&gt;$X300,"Vencida",IF(TODAY()&gt;=$X300-1,"Por vencer","En plazo")))))</f>
        <v/>
      </c>
      <c r="AB300" s="50" t="n"/>
      <c r="AC300" s="50" t="n"/>
    </row>
    <row r="301" ht="16" customHeight="1">
      <c r="A301" s="28">
        <f>IF($B301="","","N-"&amp;TEXT(ROW()-3,"0000"))</f>
        <v/>
      </c>
      <c r="B301" s="47" t="n"/>
      <c r="C301" s="48" t="n"/>
      <c r="D301" s="48" t="n"/>
      <c r="E301" s="28">
        <f>IF($C301="","",IF($D301="",IF($C301="Interna","Sin guía (interna)","FALTA GUÍA"),IF(COUNTIFS(ENVIOS!$A$4:$A$3003,$D301)=0,"NO EXISTE",IF(COUNTIFS(ENVIOS!$A$4:$A$3003,$D301)&gt;1,"DUPLICADA","OK"))))</f>
        <v/>
      </c>
      <c r="F301" s="28">
        <f>IF($D301="","",IFERROR(INDEX(ENVIOS!$B$4:$B$3003,MATCH($D301,ENVIOS!$A$4:$A$3003,0)),"—"))</f>
        <v/>
      </c>
      <c r="G301" s="23">
        <f>IF($D301="","",IFERROR(INDEX(ENVIOS!$D$4:$D$3003,MATCH($D301,ENVIOS!$A$4:$A$3003,0)),"—"))</f>
        <v/>
      </c>
      <c r="H301" s="23">
        <f>IF($D301="","",IFERROR(INDEX(ENVIOS!$E$4:$E$3003,MATCH($D301,ENVIOS!$A$4:$A$3003,0)),"—"))</f>
        <v/>
      </c>
      <c r="I301" s="23">
        <f>IF($D301="","",IFERROR(INDEX(ENVIOS!$F$4:$F$3003,MATCH($D301,ENVIOS!$A$4:$A$3003,0)),"—"))</f>
        <v/>
      </c>
      <c r="J301" s="23">
        <f>IF($D301="","",IFERROR(INDEX(ENVIOS!$G$4:$G$3003,MATCH($D301,ENVIOS!$A$4:$A$3003,0)),"—"))</f>
        <v/>
      </c>
      <c r="K301" s="28">
        <f>IF($D301="","",IFERROR(INDEX(ENVIOS!$H$4:$H$3003,MATCH($D301,ENVIOS!$A$4:$A$3003,0)),"—"))</f>
        <v/>
      </c>
      <c r="L301" s="49">
        <f>IF($D301="","",IFERROR(INDEX(ENVIOS!$C$4:$C$3003,MATCH($D301,ENVIOS!$A$4:$A$3003,0)),""))</f>
        <v/>
      </c>
      <c r="M301" s="50" t="n"/>
      <c r="N301" s="28">
        <f>IF($M301="","",IFERROR(INDEX(CONFIG!$C$4:$C$63,MATCH($M301,CONFIG!$A$4:$A$63,0)),"Media"))</f>
        <v/>
      </c>
      <c r="O301" s="28">
        <f>IF($M301="","",IF($C301="Interna","NO",IFERROR(INDEX(CONFIG!$E$4:$E$63,MATCH($M301,CONFIG!$A$4:$A$63,0)),"NO")))</f>
        <v/>
      </c>
      <c r="P301" s="50" t="n"/>
      <c r="Q301" s="50" t="n"/>
      <c r="R301" s="28">
        <f>IF($Q301="","",IFERROR(INDEX(CONFIG!$H$4:$H$63,MATCH($Q301,CONFIG!$G$4:$G$63,0)),"Por definir"))</f>
        <v/>
      </c>
      <c r="S301" s="28">
        <f>IF($Q301="","",IFERROR(INDEX(CONFIG!$I$4:$I$63,MATCH($Q301,CONFIG!$G$4:$G$63,0)),"Por definir"))</f>
        <v/>
      </c>
      <c r="T301" s="51" t="n"/>
      <c r="U301" s="52" t="n"/>
      <c r="V301" s="50" t="n"/>
      <c r="W301" s="50" t="n"/>
      <c r="X301" s="49">
        <f>IF(OR($B301="",$M301=""),"",WORKDAY($B301,IFERROR(INDEX(CONFIG!$D$4:$D$63,MATCH($M301,CONFIG!$A$4:$A$63,0)),3)))</f>
        <v/>
      </c>
      <c r="Y301" s="47" t="n"/>
      <c r="Z301" s="24">
        <f>IF($B301="","",IF($Y301&lt;&gt;"",$Y301-$B301,TODAY()-$B301))</f>
        <v/>
      </c>
      <c r="AA301" s="28">
        <f>IF($B301="","",IF(IFERROR(INDEX(CONFIG!$L$4:$L$63,MATCH($V301,CONFIG!$K$4:$K$63,0)),"NO")="SÍ",IF(OR($Y301="",$X301=""),"Resuelta",IF($Y301&gt;$X301,"Resuelta tarde","Resuelta a tiempo")),IF($X301="","Sin clasificar",IF(TODAY()&gt;$X301,"Vencida",IF(TODAY()&gt;=$X301-1,"Por vencer","En plazo")))))</f>
        <v/>
      </c>
      <c r="AB301" s="50" t="n"/>
      <c r="AC301" s="50" t="n"/>
    </row>
    <row r="302" ht="16" customHeight="1">
      <c r="A302" s="28">
        <f>IF($B302="","","N-"&amp;TEXT(ROW()-3,"0000"))</f>
        <v/>
      </c>
      <c r="B302" s="47" t="n"/>
      <c r="C302" s="48" t="n"/>
      <c r="D302" s="48" t="n"/>
      <c r="E302" s="28">
        <f>IF($C302="","",IF($D302="",IF($C302="Interna","Sin guía (interna)","FALTA GUÍA"),IF(COUNTIFS(ENVIOS!$A$4:$A$3003,$D302)=0,"NO EXISTE",IF(COUNTIFS(ENVIOS!$A$4:$A$3003,$D302)&gt;1,"DUPLICADA","OK"))))</f>
        <v/>
      </c>
      <c r="F302" s="28">
        <f>IF($D302="","",IFERROR(INDEX(ENVIOS!$B$4:$B$3003,MATCH($D302,ENVIOS!$A$4:$A$3003,0)),"—"))</f>
        <v/>
      </c>
      <c r="G302" s="23">
        <f>IF($D302="","",IFERROR(INDEX(ENVIOS!$D$4:$D$3003,MATCH($D302,ENVIOS!$A$4:$A$3003,0)),"—"))</f>
        <v/>
      </c>
      <c r="H302" s="23">
        <f>IF($D302="","",IFERROR(INDEX(ENVIOS!$E$4:$E$3003,MATCH($D302,ENVIOS!$A$4:$A$3003,0)),"—"))</f>
        <v/>
      </c>
      <c r="I302" s="23">
        <f>IF($D302="","",IFERROR(INDEX(ENVIOS!$F$4:$F$3003,MATCH($D302,ENVIOS!$A$4:$A$3003,0)),"—"))</f>
        <v/>
      </c>
      <c r="J302" s="23">
        <f>IF($D302="","",IFERROR(INDEX(ENVIOS!$G$4:$G$3003,MATCH($D302,ENVIOS!$A$4:$A$3003,0)),"—"))</f>
        <v/>
      </c>
      <c r="K302" s="28">
        <f>IF($D302="","",IFERROR(INDEX(ENVIOS!$H$4:$H$3003,MATCH($D302,ENVIOS!$A$4:$A$3003,0)),"—"))</f>
        <v/>
      </c>
      <c r="L302" s="49">
        <f>IF($D302="","",IFERROR(INDEX(ENVIOS!$C$4:$C$3003,MATCH($D302,ENVIOS!$A$4:$A$3003,0)),""))</f>
        <v/>
      </c>
      <c r="M302" s="50" t="n"/>
      <c r="N302" s="28">
        <f>IF($M302="","",IFERROR(INDEX(CONFIG!$C$4:$C$63,MATCH($M302,CONFIG!$A$4:$A$63,0)),"Media"))</f>
        <v/>
      </c>
      <c r="O302" s="28">
        <f>IF($M302="","",IF($C302="Interna","NO",IFERROR(INDEX(CONFIG!$E$4:$E$63,MATCH($M302,CONFIG!$A$4:$A$63,0)),"NO")))</f>
        <v/>
      </c>
      <c r="P302" s="50" t="n"/>
      <c r="Q302" s="50" t="n"/>
      <c r="R302" s="28">
        <f>IF($Q302="","",IFERROR(INDEX(CONFIG!$H$4:$H$63,MATCH($Q302,CONFIG!$G$4:$G$63,0)),"Por definir"))</f>
        <v/>
      </c>
      <c r="S302" s="28">
        <f>IF($Q302="","",IFERROR(INDEX(CONFIG!$I$4:$I$63,MATCH($Q302,CONFIG!$G$4:$G$63,0)),"Por definir"))</f>
        <v/>
      </c>
      <c r="T302" s="51" t="n"/>
      <c r="U302" s="52" t="n"/>
      <c r="V302" s="50" t="n"/>
      <c r="W302" s="50" t="n"/>
      <c r="X302" s="49">
        <f>IF(OR($B302="",$M302=""),"",WORKDAY($B302,IFERROR(INDEX(CONFIG!$D$4:$D$63,MATCH($M302,CONFIG!$A$4:$A$63,0)),3)))</f>
        <v/>
      </c>
      <c r="Y302" s="47" t="n"/>
      <c r="Z302" s="24">
        <f>IF($B302="","",IF($Y302&lt;&gt;"",$Y302-$B302,TODAY()-$B302))</f>
        <v/>
      </c>
      <c r="AA302" s="28">
        <f>IF($B302="","",IF(IFERROR(INDEX(CONFIG!$L$4:$L$63,MATCH($V302,CONFIG!$K$4:$K$63,0)),"NO")="SÍ",IF(OR($Y302="",$X302=""),"Resuelta",IF($Y302&gt;$X302,"Resuelta tarde","Resuelta a tiempo")),IF($X302="","Sin clasificar",IF(TODAY()&gt;$X302,"Vencida",IF(TODAY()&gt;=$X302-1,"Por vencer","En plazo")))))</f>
        <v/>
      </c>
      <c r="AB302" s="50" t="n"/>
      <c r="AC302" s="50" t="n"/>
    </row>
    <row r="303" ht="16" customHeight="1">
      <c r="A303" s="28">
        <f>IF($B303="","","N-"&amp;TEXT(ROW()-3,"0000"))</f>
        <v/>
      </c>
      <c r="B303" s="47" t="n"/>
      <c r="C303" s="48" t="n"/>
      <c r="D303" s="48" t="n"/>
      <c r="E303" s="28">
        <f>IF($C303="","",IF($D303="",IF($C303="Interna","Sin guía (interna)","FALTA GUÍA"),IF(COUNTIFS(ENVIOS!$A$4:$A$3003,$D303)=0,"NO EXISTE",IF(COUNTIFS(ENVIOS!$A$4:$A$3003,$D303)&gt;1,"DUPLICADA","OK"))))</f>
        <v/>
      </c>
      <c r="F303" s="28">
        <f>IF($D303="","",IFERROR(INDEX(ENVIOS!$B$4:$B$3003,MATCH($D303,ENVIOS!$A$4:$A$3003,0)),"—"))</f>
        <v/>
      </c>
      <c r="G303" s="23">
        <f>IF($D303="","",IFERROR(INDEX(ENVIOS!$D$4:$D$3003,MATCH($D303,ENVIOS!$A$4:$A$3003,0)),"—"))</f>
        <v/>
      </c>
      <c r="H303" s="23">
        <f>IF($D303="","",IFERROR(INDEX(ENVIOS!$E$4:$E$3003,MATCH($D303,ENVIOS!$A$4:$A$3003,0)),"—"))</f>
        <v/>
      </c>
      <c r="I303" s="23">
        <f>IF($D303="","",IFERROR(INDEX(ENVIOS!$F$4:$F$3003,MATCH($D303,ENVIOS!$A$4:$A$3003,0)),"—"))</f>
        <v/>
      </c>
      <c r="J303" s="23">
        <f>IF($D303="","",IFERROR(INDEX(ENVIOS!$G$4:$G$3003,MATCH($D303,ENVIOS!$A$4:$A$3003,0)),"—"))</f>
        <v/>
      </c>
      <c r="K303" s="28">
        <f>IF($D303="","",IFERROR(INDEX(ENVIOS!$H$4:$H$3003,MATCH($D303,ENVIOS!$A$4:$A$3003,0)),"—"))</f>
        <v/>
      </c>
      <c r="L303" s="49">
        <f>IF($D303="","",IFERROR(INDEX(ENVIOS!$C$4:$C$3003,MATCH($D303,ENVIOS!$A$4:$A$3003,0)),""))</f>
        <v/>
      </c>
      <c r="M303" s="50" t="n"/>
      <c r="N303" s="28">
        <f>IF($M303="","",IFERROR(INDEX(CONFIG!$C$4:$C$63,MATCH($M303,CONFIG!$A$4:$A$63,0)),"Media"))</f>
        <v/>
      </c>
      <c r="O303" s="28">
        <f>IF($M303="","",IF($C303="Interna","NO",IFERROR(INDEX(CONFIG!$E$4:$E$63,MATCH($M303,CONFIG!$A$4:$A$63,0)),"NO")))</f>
        <v/>
      </c>
      <c r="P303" s="50" t="n"/>
      <c r="Q303" s="50" t="n"/>
      <c r="R303" s="28">
        <f>IF($Q303="","",IFERROR(INDEX(CONFIG!$H$4:$H$63,MATCH($Q303,CONFIG!$G$4:$G$63,0)),"Por definir"))</f>
        <v/>
      </c>
      <c r="S303" s="28">
        <f>IF($Q303="","",IFERROR(INDEX(CONFIG!$I$4:$I$63,MATCH($Q303,CONFIG!$G$4:$G$63,0)),"Por definir"))</f>
        <v/>
      </c>
      <c r="T303" s="51" t="n"/>
      <c r="U303" s="52" t="n"/>
      <c r="V303" s="50" t="n"/>
      <c r="W303" s="50" t="n"/>
      <c r="X303" s="49">
        <f>IF(OR($B303="",$M303=""),"",WORKDAY($B303,IFERROR(INDEX(CONFIG!$D$4:$D$63,MATCH($M303,CONFIG!$A$4:$A$63,0)),3)))</f>
        <v/>
      </c>
      <c r="Y303" s="47" t="n"/>
      <c r="Z303" s="24">
        <f>IF($B303="","",IF($Y303&lt;&gt;"",$Y303-$B303,TODAY()-$B303))</f>
        <v/>
      </c>
      <c r="AA303" s="28">
        <f>IF($B303="","",IF(IFERROR(INDEX(CONFIG!$L$4:$L$63,MATCH($V303,CONFIG!$K$4:$K$63,0)),"NO")="SÍ",IF(OR($Y303="",$X303=""),"Resuelta",IF($Y303&gt;$X303,"Resuelta tarde","Resuelta a tiempo")),IF($X303="","Sin clasificar",IF(TODAY()&gt;$X303,"Vencida",IF(TODAY()&gt;=$X303-1,"Por vencer","En plazo")))))</f>
        <v/>
      </c>
      <c r="AB303" s="50" t="n"/>
      <c r="AC303" s="50" t="n"/>
    </row>
    <row r="304" ht="16" customHeight="1">
      <c r="A304" s="28">
        <f>IF($B304="","","N-"&amp;TEXT(ROW()-3,"0000"))</f>
        <v/>
      </c>
      <c r="B304" s="47" t="n"/>
      <c r="C304" s="48" t="n"/>
      <c r="D304" s="48" t="n"/>
      <c r="E304" s="28">
        <f>IF($C304="","",IF($D304="",IF($C304="Interna","Sin guía (interna)","FALTA GUÍA"),IF(COUNTIFS(ENVIOS!$A$4:$A$3003,$D304)=0,"NO EXISTE",IF(COUNTIFS(ENVIOS!$A$4:$A$3003,$D304)&gt;1,"DUPLICADA","OK"))))</f>
        <v/>
      </c>
      <c r="F304" s="28">
        <f>IF($D304="","",IFERROR(INDEX(ENVIOS!$B$4:$B$3003,MATCH($D304,ENVIOS!$A$4:$A$3003,0)),"—"))</f>
        <v/>
      </c>
      <c r="G304" s="23">
        <f>IF($D304="","",IFERROR(INDEX(ENVIOS!$D$4:$D$3003,MATCH($D304,ENVIOS!$A$4:$A$3003,0)),"—"))</f>
        <v/>
      </c>
      <c r="H304" s="23">
        <f>IF($D304="","",IFERROR(INDEX(ENVIOS!$E$4:$E$3003,MATCH($D304,ENVIOS!$A$4:$A$3003,0)),"—"))</f>
        <v/>
      </c>
      <c r="I304" s="23">
        <f>IF($D304="","",IFERROR(INDEX(ENVIOS!$F$4:$F$3003,MATCH($D304,ENVIOS!$A$4:$A$3003,0)),"—"))</f>
        <v/>
      </c>
      <c r="J304" s="23">
        <f>IF($D304="","",IFERROR(INDEX(ENVIOS!$G$4:$G$3003,MATCH($D304,ENVIOS!$A$4:$A$3003,0)),"—"))</f>
        <v/>
      </c>
      <c r="K304" s="28">
        <f>IF($D304="","",IFERROR(INDEX(ENVIOS!$H$4:$H$3003,MATCH($D304,ENVIOS!$A$4:$A$3003,0)),"—"))</f>
        <v/>
      </c>
      <c r="L304" s="49">
        <f>IF($D304="","",IFERROR(INDEX(ENVIOS!$C$4:$C$3003,MATCH($D304,ENVIOS!$A$4:$A$3003,0)),""))</f>
        <v/>
      </c>
      <c r="M304" s="50" t="n"/>
      <c r="N304" s="28">
        <f>IF($M304="","",IFERROR(INDEX(CONFIG!$C$4:$C$63,MATCH($M304,CONFIG!$A$4:$A$63,0)),"Media"))</f>
        <v/>
      </c>
      <c r="O304" s="28">
        <f>IF($M304="","",IF($C304="Interna","NO",IFERROR(INDEX(CONFIG!$E$4:$E$63,MATCH($M304,CONFIG!$A$4:$A$63,0)),"NO")))</f>
        <v/>
      </c>
      <c r="P304" s="50" t="n"/>
      <c r="Q304" s="50" t="n"/>
      <c r="R304" s="28">
        <f>IF($Q304="","",IFERROR(INDEX(CONFIG!$H$4:$H$63,MATCH($Q304,CONFIG!$G$4:$G$63,0)),"Por definir"))</f>
        <v/>
      </c>
      <c r="S304" s="28">
        <f>IF($Q304="","",IFERROR(INDEX(CONFIG!$I$4:$I$63,MATCH($Q304,CONFIG!$G$4:$G$63,0)),"Por definir"))</f>
        <v/>
      </c>
      <c r="T304" s="51" t="n"/>
      <c r="U304" s="52" t="n"/>
      <c r="V304" s="50" t="n"/>
      <c r="W304" s="50" t="n"/>
      <c r="X304" s="49">
        <f>IF(OR($B304="",$M304=""),"",WORKDAY($B304,IFERROR(INDEX(CONFIG!$D$4:$D$63,MATCH($M304,CONFIG!$A$4:$A$63,0)),3)))</f>
        <v/>
      </c>
      <c r="Y304" s="47" t="n"/>
      <c r="Z304" s="24">
        <f>IF($B304="","",IF($Y304&lt;&gt;"",$Y304-$B304,TODAY()-$B304))</f>
        <v/>
      </c>
      <c r="AA304" s="28">
        <f>IF($B304="","",IF(IFERROR(INDEX(CONFIG!$L$4:$L$63,MATCH($V304,CONFIG!$K$4:$K$63,0)),"NO")="SÍ",IF(OR($Y304="",$X304=""),"Resuelta",IF($Y304&gt;$X304,"Resuelta tarde","Resuelta a tiempo")),IF($X304="","Sin clasificar",IF(TODAY()&gt;$X304,"Vencida",IF(TODAY()&gt;=$X304-1,"Por vencer","En plazo")))))</f>
        <v/>
      </c>
      <c r="AB304" s="50" t="n"/>
      <c r="AC304" s="50" t="n"/>
    </row>
    <row r="305" ht="16" customHeight="1">
      <c r="A305" s="28">
        <f>IF($B305="","","N-"&amp;TEXT(ROW()-3,"0000"))</f>
        <v/>
      </c>
      <c r="B305" s="47" t="n"/>
      <c r="C305" s="48" t="n"/>
      <c r="D305" s="48" t="n"/>
      <c r="E305" s="28">
        <f>IF($C305="","",IF($D305="",IF($C305="Interna","Sin guía (interna)","FALTA GUÍA"),IF(COUNTIFS(ENVIOS!$A$4:$A$3003,$D305)=0,"NO EXISTE",IF(COUNTIFS(ENVIOS!$A$4:$A$3003,$D305)&gt;1,"DUPLICADA","OK"))))</f>
        <v/>
      </c>
      <c r="F305" s="28">
        <f>IF($D305="","",IFERROR(INDEX(ENVIOS!$B$4:$B$3003,MATCH($D305,ENVIOS!$A$4:$A$3003,0)),"—"))</f>
        <v/>
      </c>
      <c r="G305" s="23">
        <f>IF($D305="","",IFERROR(INDEX(ENVIOS!$D$4:$D$3003,MATCH($D305,ENVIOS!$A$4:$A$3003,0)),"—"))</f>
        <v/>
      </c>
      <c r="H305" s="23">
        <f>IF($D305="","",IFERROR(INDEX(ENVIOS!$E$4:$E$3003,MATCH($D305,ENVIOS!$A$4:$A$3003,0)),"—"))</f>
        <v/>
      </c>
      <c r="I305" s="23">
        <f>IF($D305="","",IFERROR(INDEX(ENVIOS!$F$4:$F$3003,MATCH($D305,ENVIOS!$A$4:$A$3003,0)),"—"))</f>
        <v/>
      </c>
      <c r="J305" s="23">
        <f>IF($D305="","",IFERROR(INDEX(ENVIOS!$G$4:$G$3003,MATCH($D305,ENVIOS!$A$4:$A$3003,0)),"—"))</f>
        <v/>
      </c>
      <c r="K305" s="28">
        <f>IF($D305="","",IFERROR(INDEX(ENVIOS!$H$4:$H$3003,MATCH($D305,ENVIOS!$A$4:$A$3003,0)),"—"))</f>
        <v/>
      </c>
      <c r="L305" s="49">
        <f>IF($D305="","",IFERROR(INDEX(ENVIOS!$C$4:$C$3003,MATCH($D305,ENVIOS!$A$4:$A$3003,0)),""))</f>
        <v/>
      </c>
      <c r="M305" s="50" t="n"/>
      <c r="N305" s="28">
        <f>IF($M305="","",IFERROR(INDEX(CONFIG!$C$4:$C$63,MATCH($M305,CONFIG!$A$4:$A$63,0)),"Media"))</f>
        <v/>
      </c>
      <c r="O305" s="28">
        <f>IF($M305="","",IF($C305="Interna","NO",IFERROR(INDEX(CONFIG!$E$4:$E$63,MATCH($M305,CONFIG!$A$4:$A$63,0)),"NO")))</f>
        <v/>
      </c>
      <c r="P305" s="50" t="n"/>
      <c r="Q305" s="50" t="n"/>
      <c r="R305" s="28">
        <f>IF($Q305="","",IFERROR(INDEX(CONFIG!$H$4:$H$63,MATCH($Q305,CONFIG!$G$4:$G$63,0)),"Por definir"))</f>
        <v/>
      </c>
      <c r="S305" s="28">
        <f>IF($Q305="","",IFERROR(INDEX(CONFIG!$I$4:$I$63,MATCH($Q305,CONFIG!$G$4:$G$63,0)),"Por definir"))</f>
        <v/>
      </c>
      <c r="T305" s="51" t="n"/>
      <c r="U305" s="52" t="n"/>
      <c r="V305" s="50" t="n"/>
      <c r="W305" s="50" t="n"/>
      <c r="X305" s="49">
        <f>IF(OR($B305="",$M305=""),"",WORKDAY($B305,IFERROR(INDEX(CONFIG!$D$4:$D$63,MATCH($M305,CONFIG!$A$4:$A$63,0)),3)))</f>
        <v/>
      </c>
      <c r="Y305" s="47" t="n"/>
      <c r="Z305" s="24">
        <f>IF($B305="","",IF($Y305&lt;&gt;"",$Y305-$B305,TODAY()-$B305))</f>
        <v/>
      </c>
      <c r="AA305" s="28">
        <f>IF($B305="","",IF(IFERROR(INDEX(CONFIG!$L$4:$L$63,MATCH($V305,CONFIG!$K$4:$K$63,0)),"NO")="SÍ",IF(OR($Y305="",$X305=""),"Resuelta",IF($Y305&gt;$X305,"Resuelta tarde","Resuelta a tiempo")),IF($X305="","Sin clasificar",IF(TODAY()&gt;$X305,"Vencida",IF(TODAY()&gt;=$X305-1,"Por vencer","En plazo")))))</f>
        <v/>
      </c>
      <c r="AB305" s="50" t="n"/>
      <c r="AC305" s="50" t="n"/>
    </row>
    <row r="306" ht="16" customHeight="1">
      <c r="A306" s="28">
        <f>IF($B306="","","N-"&amp;TEXT(ROW()-3,"0000"))</f>
        <v/>
      </c>
      <c r="B306" s="47" t="n"/>
      <c r="C306" s="48" t="n"/>
      <c r="D306" s="48" t="n"/>
      <c r="E306" s="28">
        <f>IF($C306="","",IF($D306="",IF($C306="Interna","Sin guía (interna)","FALTA GUÍA"),IF(COUNTIFS(ENVIOS!$A$4:$A$3003,$D306)=0,"NO EXISTE",IF(COUNTIFS(ENVIOS!$A$4:$A$3003,$D306)&gt;1,"DUPLICADA","OK"))))</f>
        <v/>
      </c>
      <c r="F306" s="28">
        <f>IF($D306="","",IFERROR(INDEX(ENVIOS!$B$4:$B$3003,MATCH($D306,ENVIOS!$A$4:$A$3003,0)),"—"))</f>
        <v/>
      </c>
      <c r="G306" s="23">
        <f>IF($D306="","",IFERROR(INDEX(ENVIOS!$D$4:$D$3003,MATCH($D306,ENVIOS!$A$4:$A$3003,0)),"—"))</f>
        <v/>
      </c>
      <c r="H306" s="23">
        <f>IF($D306="","",IFERROR(INDEX(ENVIOS!$E$4:$E$3003,MATCH($D306,ENVIOS!$A$4:$A$3003,0)),"—"))</f>
        <v/>
      </c>
      <c r="I306" s="23">
        <f>IF($D306="","",IFERROR(INDEX(ENVIOS!$F$4:$F$3003,MATCH($D306,ENVIOS!$A$4:$A$3003,0)),"—"))</f>
        <v/>
      </c>
      <c r="J306" s="23">
        <f>IF($D306="","",IFERROR(INDEX(ENVIOS!$G$4:$G$3003,MATCH($D306,ENVIOS!$A$4:$A$3003,0)),"—"))</f>
        <v/>
      </c>
      <c r="K306" s="28">
        <f>IF($D306="","",IFERROR(INDEX(ENVIOS!$H$4:$H$3003,MATCH($D306,ENVIOS!$A$4:$A$3003,0)),"—"))</f>
        <v/>
      </c>
      <c r="L306" s="49">
        <f>IF($D306="","",IFERROR(INDEX(ENVIOS!$C$4:$C$3003,MATCH($D306,ENVIOS!$A$4:$A$3003,0)),""))</f>
        <v/>
      </c>
      <c r="M306" s="50" t="n"/>
      <c r="N306" s="28">
        <f>IF($M306="","",IFERROR(INDEX(CONFIG!$C$4:$C$63,MATCH($M306,CONFIG!$A$4:$A$63,0)),"Media"))</f>
        <v/>
      </c>
      <c r="O306" s="28">
        <f>IF($M306="","",IF($C306="Interna","NO",IFERROR(INDEX(CONFIG!$E$4:$E$63,MATCH($M306,CONFIG!$A$4:$A$63,0)),"NO")))</f>
        <v/>
      </c>
      <c r="P306" s="50" t="n"/>
      <c r="Q306" s="50" t="n"/>
      <c r="R306" s="28">
        <f>IF($Q306="","",IFERROR(INDEX(CONFIG!$H$4:$H$63,MATCH($Q306,CONFIG!$G$4:$G$63,0)),"Por definir"))</f>
        <v/>
      </c>
      <c r="S306" s="28">
        <f>IF($Q306="","",IFERROR(INDEX(CONFIG!$I$4:$I$63,MATCH($Q306,CONFIG!$G$4:$G$63,0)),"Por definir"))</f>
        <v/>
      </c>
      <c r="T306" s="51" t="n"/>
      <c r="U306" s="52" t="n"/>
      <c r="V306" s="50" t="n"/>
      <c r="W306" s="50" t="n"/>
      <c r="X306" s="49">
        <f>IF(OR($B306="",$M306=""),"",WORKDAY($B306,IFERROR(INDEX(CONFIG!$D$4:$D$63,MATCH($M306,CONFIG!$A$4:$A$63,0)),3)))</f>
        <v/>
      </c>
      <c r="Y306" s="47" t="n"/>
      <c r="Z306" s="24">
        <f>IF($B306="","",IF($Y306&lt;&gt;"",$Y306-$B306,TODAY()-$B306))</f>
        <v/>
      </c>
      <c r="AA306" s="28">
        <f>IF($B306="","",IF(IFERROR(INDEX(CONFIG!$L$4:$L$63,MATCH($V306,CONFIG!$K$4:$K$63,0)),"NO")="SÍ",IF(OR($Y306="",$X306=""),"Resuelta",IF($Y306&gt;$X306,"Resuelta tarde","Resuelta a tiempo")),IF($X306="","Sin clasificar",IF(TODAY()&gt;$X306,"Vencida",IF(TODAY()&gt;=$X306-1,"Por vencer","En plazo")))))</f>
        <v/>
      </c>
      <c r="AB306" s="50" t="n"/>
      <c r="AC306" s="50" t="n"/>
    </row>
    <row r="307" ht="16" customHeight="1">
      <c r="A307" s="28">
        <f>IF($B307="","","N-"&amp;TEXT(ROW()-3,"0000"))</f>
        <v/>
      </c>
      <c r="B307" s="47" t="n"/>
      <c r="C307" s="48" t="n"/>
      <c r="D307" s="48" t="n"/>
      <c r="E307" s="28">
        <f>IF($C307="","",IF($D307="",IF($C307="Interna","Sin guía (interna)","FALTA GUÍA"),IF(COUNTIFS(ENVIOS!$A$4:$A$3003,$D307)=0,"NO EXISTE",IF(COUNTIFS(ENVIOS!$A$4:$A$3003,$D307)&gt;1,"DUPLICADA","OK"))))</f>
        <v/>
      </c>
      <c r="F307" s="28">
        <f>IF($D307="","",IFERROR(INDEX(ENVIOS!$B$4:$B$3003,MATCH($D307,ENVIOS!$A$4:$A$3003,0)),"—"))</f>
        <v/>
      </c>
      <c r="G307" s="23">
        <f>IF($D307="","",IFERROR(INDEX(ENVIOS!$D$4:$D$3003,MATCH($D307,ENVIOS!$A$4:$A$3003,0)),"—"))</f>
        <v/>
      </c>
      <c r="H307" s="23">
        <f>IF($D307="","",IFERROR(INDEX(ENVIOS!$E$4:$E$3003,MATCH($D307,ENVIOS!$A$4:$A$3003,0)),"—"))</f>
        <v/>
      </c>
      <c r="I307" s="23">
        <f>IF($D307="","",IFERROR(INDEX(ENVIOS!$F$4:$F$3003,MATCH($D307,ENVIOS!$A$4:$A$3003,0)),"—"))</f>
        <v/>
      </c>
      <c r="J307" s="23">
        <f>IF($D307="","",IFERROR(INDEX(ENVIOS!$G$4:$G$3003,MATCH($D307,ENVIOS!$A$4:$A$3003,0)),"—"))</f>
        <v/>
      </c>
      <c r="K307" s="28">
        <f>IF($D307="","",IFERROR(INDEX(ENVIOS!$H$4:$H$3003,MATCH($D307,ENVIOS!$A$4:$A$3003,0)),"—"))</f>
        <v/>
      </c>
      <c r="L307" s="49">
        <f>IF($D307="","",IFERROR(INDEX(ENVIOS!$C$4:$C$3003,MATCH($D307,ENVIOS!$A$4:$A$3003,0)),""))</f>
        <v/>
      </c>
      <c r="M307" s="50" t="n"/>
      <c r="N307" s="28">
        <f>IF($M307="","",IFERROR(INDEX(CONFIG!$C$4:$C$63,MATCH($M307,CONFIG!$A$4:$A$63,0)),"Media"))</f>
        <v/>
      </c>
      <c r="O307" s="28">
        <f>IF($M307="","",IF($C307="Interna","NO",IFERROR(INDEX(CONFIG!$E$4:$E$63,MATCH($M307,CONFIG!$A$4:$A$63,0)),"NO")))</f>
        <v/>
      </c>
      <c r="P307" s="50" t="n"/>
      <c r="Q307" s="50" t="n"/>
      <c r="R307" s="28">
        <f>IF($Q307="","",IFERROR(INDEX(CONFIG!$H$4:$H$63,MATCH($Q307,CONFIG!$G$4:$G$63,0)),"Por definir"))</f>
        <v/>
      </c>
      <c r="S307" s="28">
        <f>IF($Q307="","",IFERROR(INDEX(CONFIG!$I$4:$I$63,MATCH($Q307,CONFIG!$G$4:$G$63,0)),"Por definir"))</f>
        <v/>
      </c>
      <c r="T307" s="51" t="n"/>
      <c r="U307" s="52" t="n"/>
      <c r="V307" s="50" t="n"/>
      <c r="W307" s="50" t="n"/>
      <c r="X307" s="49">
        <f>IF(OR($B307="",$M307=""),"",WORKDAY($B307,IFERROR(INDEX(CONFIG!$D$4:$D$63,MATCH($M307,CONFIG!$A$4:$A$63,0)),3)))</f>
        <v/>
      </c>
      <c r="Y307" s="47" t="n"/>
      <c r="Z307" s="24">
        <f>IF($B307="","",IF($Y307&lt;&gt;"",$Y307-$B307,TODAY()-$B307))</f>
        <v/>
      </c>
      <c r="AA307" s="28">
        <f>IF($B307="","",IF(IFERROR(INDEX(CONFIG!$L$4:$L$63,MATCH($V307,CONFIG!$K$4:$K$63,0)),"NO")="SÍ",IF(OR($Y307="",$X307=""),"Resuelta",IF($Y307&gt;$X307,"Resuelta tarde","Resuelta a tiempo")),IF($X307="","Sin clasificar",IF(TODAY()&gt;$X307,"Vencida",IF(TODAY()&gt;=$X307-1,"Por vencer","En plazo")))))</f>
        <v/>
      </c>
      <c r="AB307" s="50" t="n"/>
      <c r="AC307" s="50" t="n"/>
    </row>
    <row r="308" ht="16" customHeight="1">
      <c r="A308" s="28">
        <f>IF($B308="","","N-"&amp;TEXT(ROW()-3,"0000"))</f>
        <v/>
      </c>
      <c r="B308" s="47" t="n"/>
      <c r="C308" s="48" t="n"/>
      <c r="D308" s="48" t="n"/>
      <c r="E308" s="28">
        <f>IF($C308="","",IF($D308="",IF($C308="Interna","Sin guía (interna)","FALTA GUÍA"),IF(COUNTIFS(ENVIOS!$A$4:$A$3003,$D308)=0,"NO EXISTE",IF(COUNTIFS(ENVIOS!$A$4:$A$3003,$D308)&gt;1,"DUPLICADA","OK"))))</f>
        <v/>
      </c>
      <c r="F308" s="28">
        <f>IF($D308="","",IFERROR(INDEX(ENVIOS!$B$4:$B$3003,MATCH($D308,ENVIOS!$A$4:$A$3003,0)),"—"))</f>
        <v/>
      </c>
      <c r="G308" s="23">
        <f>IF($D308="","",IFERROR(INDEX(ENVIOS!$D$4:$D$3003,MATCH($D308,ENVIOS!$A$4:$A$3003,0)),"—"))</f>
        <v/>
      </c>
      <c r="H308" s="23">
        <f>IF($D308="","",IFERROR(INDEX(ENVIOS!$E$4:$E$3003,MATCH($D308,ENVIOS!$A$4:$A$3003,0)),"—"))</f>
        <v/>
      </c>
      <c r="I308" s="23">
        <f>IF($D308="","",IFERROR(INDEX(ENVIOS!$F$4:$F$3003,MATCH($D308,ENVIOS!$A$4:$A$3003,0)),"—"))</f>
        <v/>
      </c>
      <c r="J308" s="23">
        <f>IF($D308="","",IFERROR(INDEX(ENVIOS!$G$4:$G$3003,MATCH($D308,ENVIOS!$A$4:$A$3003,0)),"—"))</f>
        <v/>
      </c>
      <c r="K308" s="28">
        <f>IF($D308="","",IFERROR(INDEX(ENVIOS!$H$4:$H$3003,MATCH($D308,ENVIOS!$A$4:$A$3003,0)),"—"))</f>
        <v/>
      </c>
      <c r="L308" s="49">
        <f>IF($D308="","",IFERROR(INDEX(ENVIOS!$C$4:$C$3003,MATCH($D308,ENVIOS!$A$4:$A$3003,0)),""))</f>
        <v/>
      </c>
      <c r="M308" s="50" t="n"/>
      <c r="N308" s="28">
        <f>IF($M308="","",IFERROR(INDEX(CONFIG!$C$4:$C$63,MATCH($M308,CONFIG!$A$4:$A$63,0)),"Media"))</f>
        <v/>
      </c>
      <c r="O308" s="28">
        <f>IF($M308="","",IF($C308="Interna","NO",IFERROR(INDEX(CONFIG!$E$4:$E$63,MATCH($M308,CONFIG!$A$4:$A$63,0)),"NO")))</f>
        <v/>
      </c>
      <c r="P308" s="50" t="n"/>
      <c r="Q308" s="50" t="n"/>
      <c r="R308" s="28">
        <f>IF($Q308="","",IFERROR(INDEX(CONFIG!$H$4:$H$63,MATCH($Q308,CONFIG!$G$4:$G$63,0)),"Por definir"))</f>
        <v/>
      </c>
      <c r="S308" s="28">
        <f>IF($Q308="","",IFERROR(INDEX(CONFIG!$I$4:$I$63,MATCH($Q308,CONFIG!$G$4:$G$63,0)),"Por definir"))</f>
        <v/>
      </c>
      <c r="T308" s="51" t="n"/>
      <c r="U308" s="52" t="n"/>
      <c r="V308" s="50" t="n"/>
      <c r="W308" s="50" t="n"/>
      <c r="X308" s="49">
        <f>IF(OR($B308="",$M308=""),"",WORKDAY($B308,IFERROR(INDEX(CONFIG!$D$4:$D$63,MATCH($M308,CONFIG!$A$4:$A$63,0)),3)))</f>
        <v/>
      </c>
      <c r="Y308" s="47" t="n"/>
      <c r="Z308" s="24">
        <f>IF($B308="","",IF($Y308&lt;&gt;"",$Y308-$B308,TODAY()-$B308))</f>
        <v/>
      </c>
      <c r="AA308" s="28">
        <f>IF($B308="","",IF(IFERROR(INDEX(CONFIG!$L$4:$L$63,MATCH($V308,CONFIG!$K$4:$K$63,0)),"NO")="SÍ",IF(OR($Y308="",$X308=""),"Resuelta",IF($Y308&gt;$X308,"Resuelta tarde","Resuelta a tiempo")),IF($X308="","Sin clasificar",IF(TODAY()&gt;$X308,"Vencida",IF(TODAY()&gt;=$X308-1,"Por vencer","En plazo")))))</f>
        <v/>
      </c>
      <c r="AB308" s="50" t="n"/>
      <c r="AC308" s="50" t="n"/>
    </row>
    <row r="309" ht="16" customHeight="1">
      <c r="A309" s="28">
        <f>IF($B309="","","N-"&amp;TEXT(ROW()-3,"0000"))</f>
        <v/>
      </c>
      <c r="B309" s="47" t="n"/>
      <c r="C309" s="48" t="n"/>
      <c r="D309" s="48" t="n"/>
      <c r="E309" s="28">
        <f>IF($C309="","",IF($D309="",IF($C309="Interna","Sin guía (interna)","FALTA GUÍA"),IF(COUNTIFS(ENVIOS!$A$4:$A$3003,$D309)=0,"NO EXISTE",IF(COUNTIFS(ENVIOS!$A$4:$A$3003,$D309)&gt;1,"DUPLICADA","OK"))))</f>
        <v/>
      </c>
      <c r="F309" s="28">
        <f>IF($D309="","",IFERROR(INDEX(ENVIOS!$B$4:$B$3003,MATCH($D309,ENVIOS!$A$4:$A$3003,0)),"—"))</f>
        <v/>
      </c>
      <c r="G309" s="23">
        <f>IF($D309="","",IFERROR(INDEX(ENVIOS!$D$4:$D$3003,MATCH($D309,ENVIOS!$A$4:$A$3003,0)),"—"))</f>
        <v/>
      </c>
      <c r="H309" s="23">
        <f>IF($D309="","",IFERROR(INDEX(ENVIOS!$E$4:$E$3003,MATCH($D309,ENVIOS!$A$4:$A$3003,0)),"—"))</f>
        <v/>
      </c>
      <c r="I309" s="23">
        <f>IF($D309="","",IFERROR(INDEX(ENVIOS!$F$4:$F$3003,MATCH($D309,ENVIOS!$A$4:$A$3003,0)),"—"))</f>
        <v/>
      </c>
      <c r="J309" s="23">
        <f>IF($D309="","",IFERROR(INDEX(ENVIOS!$G$4:$G$3003,MATCH($D309,ENVIOS!$A$4:$A$3003,0)),"—"))</f>
        <v/>
      </c>
      <c r="K309" s="28">
        <f>IF($D309="","",IFERROR(INDEX(ENVIOS!$H$4:$H$3003,MATCH($D309,ENVIOS!$A$4:$A$3003,0)),"—"))</f>
        <v/>
      </c>
      <c r="L309" s="49">
        <f>IF($D309="","",IFERROR(INDEX(ENVIOS!$C$4:$C$3003,MATCH($D309,ENVIOS!$A$4:$A$3003,0)),""))</f>
        <v/>
      </c>
      <c r="M309" s="50" t="n"/>
      <c r="N309" s="28">
        <f>IF($M309="","",IFERROR(INDEX(CONFIG!$C$4:$C$63,MATCH($M309,CONFIG!$A$4:$A$63,0)),"Media"))</f>
        <v/>
      </c>
      <c r="O309" s="28">
        <f>IF($M309="","",IF($C309="Interna","NO",IFERROR(INDEX(CONFIG!$E$4:$E$63,MATCH($M309,CONFIG!$A$4:$A$63,0)),"NO")))</f>
        <v/>
      </c>
      <c r="P309" s="50" t="n"/>
      <c r="Q309" s="50" t="n"/>
      <c r="R309" s="28">
        <f>IF($Q309="","",IFERROR(INDEX(CONFIG!$H$4:$H$63,MATCH($Q309,CONFIG!$G$4:$G$63,0)),"Por definir"))</f>
        <v/>
      </c>
      <c r="S309" s="28">
        <f>IF($Q309="","",IFERROR(INDEX(CONFIG!$I$4:$I$63,MATCH($Q309,CONFIG!$G$4:$G$63,0)),"Por definir"))</f>
        <v/>
      </c>
      <c r="T309" s="51" t="n"/>
      <c r="U309" s="52" t="n"/>
      <c r="V309" s="50" t="n"/>
      <c r="W309" s="50" t="n"/>
      <c r="X309" s="49">
        <f>IF(OR($B309="",$M309=""),"",WORKDAY($B309,IFERROR(INDEX(CONFIG!$D$4:$D$63,MATCH($M309,CONFIG!$A$4:$A$63,0)),3)))</f>
        <v/>
      </c>
      <c r="Y309" s="47" t="n"/>
      <c r="Z309" s="24">
        <f>IF($B309="","",IF($Y309&lt;&gt;"",$Y309-$B309,TODAY()-$B309))</f>
        <v/>
      </c>
      <c r="AA309" s="28">
        <f>IF($B309="","",IF(IFERROR(INDEX(CONFIG!$L$4:$L$63,MATCH($V309,CONFIG!$K$4:$K$63,0)),"NO")="SÍ",IF(OR($Y309="",$X309=""),"Resuelta",IF($Y309&gt;$X309,"Resuelta tarde","Resuelta a tiempo")),IF($X309="","Sin clasificar",IF(TODAY()&gt;$X309,"Vencida",IF(TODAY()&gt;=$X309-1,"Por vencer","En plazo")))))</f>
        <v/>
      </c>
      <c r="AB309" s="50" t="n"/>
      <c r="AC309" s="50" t="n"/>
    </row>
    <row r="310" ht="16" customHeight="1">
      <c r="A310" s="28">
        <f>IF($B310="","","N-"&amp;TEXT(ROW()-3,"0000"))</f>
        <v/>
      </c>
      <c r="B310" s="47" t="n"/>
      <c r="C310" s="48" t="n"/>
      <c r="D310" s="48" t="n"/>
      <c r="E310" s="28">
        <f>IF($C310="","",IF($D310="",IF($C310="Interna","Sin guía (interna)","FALTA GUÍA"),IF(COUNTIFS(ENVIOS!$A$4:$A$3003,$D310)=0,"NO EXISTE",IF(COUNTIFS(ENVIOS!$A$4:$A$3003,$D310)&gt;1,"DUPLICADA","OK"))))</f>
        <v/>
      </c>
      <c r="F310" s="28">
        <f>IF($D310="","",IFERROR(INDEX(ENVIOS!$B$4:$B$3003,MATCH($D310,ENVIOS!$A$4:$A$3003,0)),"—"))</f>
        <v/>
      </c>
      <c r="G310" s="23">
        <f>IF($D310="","",IFERROR(INDEX(ENVIOS!$D$4:$D$3003,MATCH($D310,ENVIOS!$A$4:$A$3003,0)),"—"))</f>
        <v/>
      </c>
      <c r="H310" s="23">
        <f>IF($D310="","",IFERROR(INDEX(ENVIOS!$E$4:$E$3003,MATCH($D310,ENVIOS!$A$4:$A$3003,0)),"—"))</f>
        <v/>
      </c>
      <c r="I310" s="23">
        <f>IF($D310="","",IFERROR(INDEX(ENVIOS!$F$4:$F$3003,MATCH($D310,ENVIOS!$A$4:$A$3003,0)),"—"))</f>
        <v/>
      </c>
      <c r="J310" s="23">
        <f>IF($D310="","",IFERROR(INDEX(ENVIOS!$G$4:$G$3003,MATCH($D310,ENVIOS!$A$4:$A$3003,0)),"—"))</f>
        <v/>
      </c>
      <c r="K310" s="28">
        <f>IF($D310="","",IFERROR(INDEX(ENVIOS!$H$4:$H$3003,MATCH($D310,ENVIOS!$A$4:$A$3003,0)),"—"))</f>
        <v/>
      </c>
      <c r="L310" s="49">
        <f>IF($D310="","",IFERROR(INDEX(ENVIOS!$C$4:$C$3003,MATCH($D310,ENVIOS!$A$4:$A$3003,0)),""))</f>
        <v/>
      </c>
      <c r="M310" s="50" t="n"/>
      <c r="N310" s="28">
        <f>IF($M310="","",IFERROR(INDEX(CONFIG!$C$4:$C$63,MATCH($M310,CONFIG!$A$4:$A$63,0)),"Media"))</f>
        <v/>
      </c>
      <c r="O310" s="28">
        <f>IF($M310="","",IF($C310="Interna","NO",IFERROR(INDEX(CONFIG!$E$4:$E$63,MATCH($M310,CONFIG!$A$4:$A$63,0)),"NO")))</f>
        <v/>
      </c>
      <c r="P310" s="50" t="n"/>
      <c r="Q310" s="50" t="n"/>
      <c r="R310" s="28">
        <f>IF($Q310="","",IFERROR(INDEX(CONFIG!$H$4:$H$63,MATCH($Q310,CONFIG!$G$4:$G$63,0)),"Por definir"))</f>
        <v/>
      </c>
      <c r="S310" s="28">
        <f>IF($Q310="","",IFERROR(INDEX(CONFIG!$I$4:$I$63,MATCH($Q310,CONFIG!$G$4:$G$63,0)),"Por definir"))</f>
        <v/>
      </c>
      <c r="T310" s="51" t="n"/>
      <c r="U310" s="52" t="n"/>
      <c r="V310" s="50" t="n"/>
      <c r="W310" s="50" t="n"/>
      <c r="X310" s="49">
        <f>IF(OR($B310="",$M310=""),"",WORKDAY($B310,IFERROR(INDEX(CONFIG!$D$4:$D$63,MATCH($M310,CONFIG!$A$4:$A$63,0)),3)))</f>
        <v/>
      </c>
      <c r="Y310" s="47" t="n"/>
      <c r="Z310" s="24">
        <f>IF($B310="","",IF($Y310&lt;&gt;"",$Y310-$B310,TODAY()-$B310))</f>
        <v/>
      </c>
      <c r="AA310" s="28">
        <f>IF($B310="","",IF(IFERROR(INDEX(CONFIG!$L$4:$L$63,MATCH($V310,CONFIG!$K$4:$K$63,0)),"NO")="SÍ",IF(OR($Y310="",$X310=""),"Resuelta",IF($Y310&gt;$X310,"Resuelta tarde","Resuelta a tiempo")),IF($X310="","Sin clasificar",IF(TODAY()&gt;$X310,"Vencida",IF(TODAY()&gt;=$X310-1,"Por vencer","En plazo")))))</f>
        <v/>
      </c>
      <c r="AB310" s="50" t="n"/>
      <c r="AC310" s="50" t="n"/>
    </row>
    <row r="311" ht="16" customHeight="1">
      <c r="A311" s="28">
        <f>IF($B311="","","N-"&amp;TEXT(ROW()-3,"0000"))</f>
        <v/>
      </c>
      <c r="B311" s="47" t="n"/>
      <c r="C311" s="48" t="n"/>
      <c r="D311" s="48" t="n"/>
      <c r="E311" s="28">
        <f>IF($C311="","",IF($D311="",IF($C311="Interna","Sin guía (interna)","FALTA GUÍA"),IF(COUNTIFS(ENVIOS!$A$4:$A$3003,$D311)=0,"NO EXISTE",IF(COUNTIFS(ENVIOS!$A$4:$A$3003,$D311)&gt;1,"DUPLICADA","OK"))))</f>
        <v/>
      </c>
      <c r="F311" s="28">
        <f>IF($D311="","",IFERROR(INDEX(ENVIOS!$B$4:$B$3003,MATCH($D311,ENVIOS!$A$4:$A$3003,0)),"—"))</f>
        <v/>
      </c>
      <c r="G311" s="23">
        <f>IF($D311="","",IFERROR(INDEX(ENVIOS!$D$4:$D$3003,MATCH($D311,ENVIOS!$A$4:$A$3003,0)),"—"))</f>
        <v/>
      </c>
      <c r="H311" s="23">
        <f>IF($D311="","",IFERROR(INDEX(ENVIOS!$E$4:$E$3003,MATCH($D311,ENVIOS!$A$4:$A$3003,0)),"—"))</f>
        <v/>
      </c>
      <c r="I311" s="23">
        <f>IF($D311="","",IFERROR(INDEX(ENVIOS!$F$4:$F$3003,MATCH($D311,ENVIOS!$A$4:$A$3003,0)),"—"))</f>
        <v/>
      </c>
      <c r="J311" s="23">
        <f>IF($D311="","",IFERROR(INDEX(ENVIOS!$G$4:$G$3003,MATCH($D311,ENVIOS!$A$4:$A$3003,0)),"—"))</f>
        <v/>
      </c>
      <c r="K311" s="28">
        <f>IF($D311="","",IFERROR(INDEX(ENVIOS!$H$4:$H$3003,MATCH($D311,ENVIOS!$A$4:$A$3003,0)),"—"))</f>
        <v/>
      </c>
      <c r="L311" s="49">
        <f>IF($D311="","",IFERROR(INDEX(ENVIOS!$C$4:$C$3003,MATCH($D311,ENVIOS!$A$4:$A$3003,0)),""))</f>
        <v/>
      </c>
      <c r="M311" s="50" t="n"/>
      <c r="N311" s="28">
        <f>IF($M311="","",IFERROR(INDEX(CONFIG!$C$4:$C$63,MATCH($M311,CONFIG!$A$4:$A$63,0)),"Media"))</f>
        <v/>
      </c>
      <c r="O311" s="28">
        <f>IF($M311="","",IF($C311="Interna","NO",IFERROR(INDEX(CONFIG!$E$4:$E$63,MATCH($M311,CONFIG!$A$4:$A$63,0)),"NO")))</f>
        <v/>
      </c>
      <c r="P311" s="50" t="n"/>
      <c r="Q311" s="50" t="n"/>
      <c r="R311" s="28">
        <f>IF($Q311="","",IFERROR(INDEX(CONFIG!$H$4:$H$63,MATCH($Q311,CONFIG!$G$4:$G$63,0)),"Por definir"))</f>
        <v/>
      </c>
      <c r="S311" s="28">
        <f>IF($Q311="","",IFERROR(INDEX(CONFIG!$I$4:$I$63,MATCH($Q311,CONFIG!$G$4:$G$63,0)),"Por definir"))</f>
        <v/>
      </c>
      <c r="T311" s="51" t="n"/>
      <c r="U311" s="52" t="n"/>
      <c r="V311" s="50" t="n"/>
      <c r="W311" s="50" t="n"/>
      <c r="X311" s="49">
        <f>IF(OR($B311="",$M311=""),"",WORKDAY($B311,IFERROR(INDEX(CONFIG!$D$4:$D$63,MATCH($M311,CONFIG!$A$4:$A$63,0)),3)))</f>
        <v/>
      </c>
      <c r="Y311" s="47" t="n"/>
      <c r="Z311" s="24">
        <f>IF($B311="","",IF($Y311&lt;&gt;"",$Y311-$B311,TODAY()-$B311))</f>
        <v/>
      </c>
      <c r="AA311" s="28">
        <f>IF($B311="","",IF(IFERROR(INDEX(CONFIG!$L$4:$L$63,MATCH($V311,CONFIG!$K$4:$K$63,0)),"NO")="SÍ",IF(OR($Y311="",$X311=""),"Resuelta",IF($Y311&gt;$X311,"Resuelta tarde","Resuelta a tiempo")),IF($X311="","Sin clasificar",IF(TODAY()&gt;$X311,"Vencida",IF(TODAY()&gt;=$X311-1,"Por vencer","En plazo")))))</f>
        <v/>
      </c>
      <c r="AB311" s="50" t="n"/>
      <c r="AC311" s="50" t="n"/>
    </row>
    <row r="312" ht="16" customHeight="1">
      <c r="A312" s="28">
        <f>IF($B312="","","N-"&amp;TEXT(ROW()-3,"0000"))</f>
        <v/>
      </c>
      <c r="B312" s="47" t="n"/>
      <c r="C312" s="48" t="n"/>
      <c r="D312" s="48" t="n"/>
      <c r="E312" s="28">
        <f>IF($C312="","",IF($D312="",IF($C312="Interna","Sin guía (interna)","FALTA GUÍA"),IF(COUNTIFS(ENVIOS!$A$4:$A$3003,$D312)=0,"NO EXISTE",IF(COUNTIFS(ENVIOS!$A$4:$A$3003,$D312)&gt;1,"DUPLICADA","OK"))))</f>
        <v/>
      </c>
      <c r="F312" s="28">
        <f>IF($D312="","",IFERROR(INDEX(ENVIOS!$B$4:$B$3003,MATCH($D312,ENVIOS!$A$4:$A$3003,0)),"—"))</f>
        <v/>
      </c>
      <c r="G312" s="23">
        <f>IF($D312="","",IFERROR(INDEX(ENVIOS!$D$4:$D$3003,MATCH($D312,ENVIOS!$A$4:$A$3003,0)),"—"))</f>
        <v/>
      </c>
      <c r="H312" s="23">
        <f>IF($D312="","",IFERROR(INDEX(ENVIOS!$E$4:$E$3003,MATCH($D312,ENVIOS!$A$4:$A$3003,0)),"—"))</f>
        <v/>
      </c>
      <c r="I312" s="23">
        <f>IF($D312="","",IFERROR(INDEX(ENVIOS!$F$4:$F$3003,MATCH($D312,ENVIOS!$A$4:$A$3003,0)),"—"))</f>
        <v/>
      </c>
      <c r="J312" s="23">
        <f>IF($D312="","",IFERROR(INDEX(ENVIOS!$G$4:$G$3003,MATCH($D312,ENVIOS!$A$4:$A$3003,0)),"—"))</f>
        <v/>
      </c>
      <c r="K312" s="28">
        <f>IF($D312="","",IFERROR(INDEX(ENVIOS!$H$4:$H$3003,MATCH($D312,ENVIOS!$A$4:$A$3003,0)),"—"))</f>
        <v/>
      </c>
      <c r="L312" s="49">
        <f>IF($D312="","",IFERROR(INDEX(ENVIOS!$C$4:$C$3003,MATCH($D312,ENVIOS!$A$4:$A$3003,0)),""))</f>
        <v/>
      </c>
      <c r="M312" s="50" t="n"/>
      <c r="N312" s="28">
        <f>IF($M312="","",IFERROR(INDEX(CONFIG!$C$4:$C$63,MATCH($M312,CONFIG!$A$4:$A$63,0)),"Media"))</f>
        <v/>
      </c>
      <c r="O312" s="28">
        <f>IF($M312="","",IF($C312="Interna","NO",IFERROR(INDEX(CONFIG!$E$4:$E$63,MATCH($M312,CONFIG!$A$4:$A$63,0)),"NO")))</f>
        <v/>
      </c>
      <c r="P312" s="50" t="n"/>
      <c r="Q312" s="50" t="n"/>
      <c r="R312" s="28">
        <f>IF($Q312="","",IFERROR(INDEX(CONFIG!$H$4:$H$63,MATCH($Q312,CONFIG!$G$4:$G$63,0)),"Por definir"))</f>
        <v/>
      </c>
      <c r="S312" s="28">
        <f>IF($Q312="","",IFERROR(INDEX(CONFIG!$I$4:$I$63,MATCH($Q312,CONFIG!$G$4:$G$63,0)),"Por definir"))</f>
        <v/>
      </c>
      <c r="T312" s="51" t="n"/>
      <c r="U312" s="52" t="n"/>
      <c r="V312" s="50" t="n"/>
      <c r="W312" s="50" t="n"/>
      <c r="X312" s="49">
        <f>IF(OR($B312="",$M312=""),"",WORKDAY($B312,IFERROR(INDEX(CONFIG!$D$4:$D$63,MATCH($M312,CONFIG!$A$4:$A$63,0)),3)))</f>
        <v/>
      </c>
      <c r="Y312" s="47" t="n"/>
      <c r="Z312" s="24">
        <f>IF($B312="","",IF($Y312&lt;&gt;"",$Y312-$B312,TODAY()-$B312))</f>
        <v/>
      </c>
      <c r="AA312" s="28">
        <f>IF($B312="","",IF(IFERROR(INDEX(CONFIG!$L$4:$L$63,MATCH($V312,CONFIG!$K$4:$K$63,0)),"NO")="SÍ",IF(OR($Y312="",$X312=""),"Resuelta",IF($Y312&gt;$X312,"Resuelta tarde","Resuelta a tiempo")),IF($X312="","Sin clasificar",IF(TODAY()&gt;$X312,"Vencida",IF(TODAY()&gt;=$X312-1,"Por vencer","En plazo")))))</f>
        <v/>
      </c>
      <c r="AB312" s="50" t="n"/>
      <c r="AC312" s="50" t="n"/>
    </row>
    <row r="313" ht="16" customHeight="1">
      <c r="A313" s="28">
        <f>IF($B313="","","N-"&amp;TEXT(ROW()-3,"0000"))</f>
        <v/>
      </c>
      <c r="B313" s="47" t="n"/>
      <c r="C313" s="48" t="n"/>
      <c r="D313" s="48" t="n"/>
      <c r="E313" s="28">
        <f>IF($C313="","",IF($D313="",IF($C313="Interna","Sin guía (interna)","FALTA GUÍA"),IF(COUNTIFS(ENVIOS!$A$4:$A$3003,$D313)=0,"NO EXISTE",IF(COUNTIFS(ENVIOS!$A$4:$A$3003,$D313)&gt;1,"DUPLICADA","OK"))))</f>
        <v/>
      </c>
      <c r="F313" s="28">
        <f>IF($D313="","",IFERROR(INDEX(ENVIOS!$B$4:$B$3003,MATCH($D313,ENVIOS!$A$4:$A$3003,0)),"—"))</f>
        <v/>
      </c>
      <c r="G313" s="23">
        <f>IF($D313="","",IFERROR(INDEX(ENVIOS!$D$4:$D$3003,MATCH($D313,ENVIOS!$A$4:$A$3003,0)),"—"))</f>
        <v/>
      </c>
      <c r="H313" s="23">
        <f>IF($D313="","",IFERROR(INDEX(ENVIOS!$E$4:$E$3003,MATCH($D313,ENVIOS!$A$4:$A$3003,0)),"—"))</f>
        <v/>
      </c>
      <c r="I313" s="23">
        <f>IF($D313="","",IFERROR(INDEX(ENVIOS!$F$4:$F$3003,MATCH($D313,ENVIOS!$A$4:$A$3003,0)),"—"))</f>
        <v/>
      </c>
      <c r="J313" s="23">
        <f>IF($D313="","",IFERROR(INDEX(ENVIOS!$G$4:$G$3003,MATCH($D313,ENVIOS!$A$4:$A$3003,0)),"—"))</f>
        <v/>
      </c>
      <c r="K313" s="28">
        <f>IF($D313="","",IFERROR(INDEX(ENVIOS!$H$4:$H$3003,MATCH($D313,ENVIOS!$A$4:$A$3003,0)),"—"))</f>
        <v/>
      </c>
      <c r="L313" s="49">
        <f>IF($D313="","",IFERROR(INDEX(ENVIOS!$C$4:$C$3003,MATCH($D313,ENVIOS!$A$4:$A$3003,0)),""))</f>
        <v/>
      </c>
      <c r="M313" s="50" t="n"/>
      <c r="N313" s="28">
        <f>IF($M313="","",IFERROR(INDEX(CONFIG!$C$4:$C$63,MATCH($M313,CONFIG!$A$4:$A$63,0)),"Media"))</f>
        <v/>
      </c>
      <c r="O313" s="28">
        <f>IF($M313="","",IF($C313="Interna","NO",IFERROR(INDEX(CONFIG!$E$4:$E$63,MATCH($M313,CONFIG!$A$4:$A$63,0)),"NO")))</f>
        <v/>
      </c>
      <c r="P313" s="50" t="n"/>
      <c r="Q313" s="50" t="n"/>
      <c r="R313" s="28">
        <f>IF($Q313="","",IFERROR(INDEX(CONFIG!$H$4:$H$63,MATCH($Q313,CONFIG!$G$4:$G$63,0)),"Por definir"))</f>
        <v/>
      </c>
      <c r="S313" s="28">
        <f>IF($Q313="","",IFERROR(INDEX(CONFIG!$I$4:$I$63,MATCH($Q313,CONFIG!$G$4:$G$63,0)),"Por definir"))</f>
        <v/>
      </c>
      <c r="T313" s="51" t="n"/>
      <c r="U313" s="52" t="n"/>
      <c r="V313" s="50" t="n"/>
      <c r="W313" s="50" t="n"/>
      <c r="X313" s="49">
        <f>IF(OR($B313="",$M313=""),"",WORKDAY($B313,IFERROR(INDEX(CONFIG!$D$4:$D$63,MATCH($M313,CONFIG!$A$4:$A$63,0)),3)))</f>
        <v/>
      </c>
      <c r="Y313" s="47" t="n"/>
      <c r="Z313" s="24">
        <f>IF($B313="","",IF($Y313&lt;&gt;"",$Y313-$B313,TODAY()-$B313))</f>
        <v/>
      </c>
      <c r="AA313" s="28">
        <f>IF($B313="","",IF(IFERROR(INDEX(CONFIG!$L$4:$L$63,MATCH($V313,CONFIG!$K$4:$K$63,0)),"NO")="SÍ",IF(OR($Y313="",$X313=""),"Resuelta",IF($Y313&gt;$X313,"Resuelta tarde","Resuelta a tiempo")),IF($X313="","Sin clasificar",IF(TODAY()&gt;$X313,"Vencida",IF(TODAY()&gt;=$X313-1,"Por vencer","En plazo")))))</f>
        <v/>
      </c>
      <c r="AB313" s="50" t="n"/>
      <c r="AC313" s="50" t="n"/>
    </row>
    <row r="314" ht="16" customHeight="1">
      <c r="A314" s="28">
        <f>IF($B314="","","N-"&amp;TEXT(ROW()-3,"0000"))</f>
        <v/>
      </c>
      <c r="B314" s="47" t="n"/>
      <c r="C314" s="48" t="n"/>
      <c r="D314" s="48" t="n"/>
      <c r="E314" s="28">
        <f>IF($C314="","",IF($D314="",IF($C314="Interna","Sin guía (interna)","FALTA GUÍA"),IF(COUNTIFS(ENVIOS!$A$4:$A$3003,$D314)=0,"NO EXISTE",IF(COUNTIFS(ENVIOS!$A$4:$A$3003,$D314)&gt;1,"DUPLICADA","OK"))))</f>
        <v/>
      </c>
      <c r="F314" s="28">
        <f>IF($D314="","",IFERROR(INDEX(ENVIOS!$B$4:$B$3003,MATCH($D314,ENVIOS!$A$4:$A$3003,0)),"—"))</f>
        <v/>
      </c>
      <c r="G314" s="23">
        <f>IF($D314="","",IFERROR(INDEX(ENVIOS!$D$4:$D$3003,MATCH($D314,ENVIOS!$A$4:$A$3003,0)),"—"))</f>
        <v/>
      </c>
      <c r="H314" s="23">
        <f>IF($D314="","",IFERROR(INDEX(ENVIOS!$E$4:$E$3003,MATCH($D314,ENVIOS!$A$4:$A$3003,0)),"—"))</f>
        <v/>
      </c>
      <c r="I314" s="23">
        <f>IF($D314="","",IFERROR(INDEX(ENVIOS!$F$4:$F$3003,MATCH($D314,ENVIOS!$A$4:$A$3003,0)),"—"))</f>
        <v/>
      </c>
      <c r="J314" s="23">
        <f>IF($D314="","",IFERROR(INDEX(ENVIOS!$G$4:$G$3003,MATCH($D314,ENVIOS!$A$4:$A$3003,0)),"—"))</f>
        <v/>
      </c>
      <c r="K314" s="28">
        <f>IF($D314="","",IFERROR(INDEX(ENVIOS!$H$4:$H$3003,MATCH($D314,ENVIOS!$A$4:$A$3003,0)),"—"))</f>
        <v/>
      </c>
      <c r="L314" s="49">
        <f>IF($D314="","",IFERROR(INDEX(ENVIOS!$C$4:$C$3003,MATCH($D314,ENVIOS!$A$4:$A$3003,0)),""))</f>
        <v/>
      </c>
      <c r="M314" s="50" t="n"/>
      <c r="N314" s="28">
        <f>IF($M314="","",IFERROR(INDEX(CONFIG!$C$4:$C$63,MATCH($M314,CONFIG!$A$4:$A$63,0)),"Media"))</f>
        <v/>
      </c>
      <c r="O314" s="28">
        <f>IF($M314="","",IF($C314="Interna","NO",IFERROR(INDEX(CONFIG!$E$4:$E$63,MATCH($M314,CONFIG!$A$4:$A$63,0)),"NO")))</f>
        <v/>
      </c>
      <c r="P314" s="50" t="n"/>
      <c r="Q314" s="50" t="n"/>
      <c r="R314" s="28">
        <f>IF($Q314="","",IFERROR(INDEX(CONFIG!$H$4:$H$63,MATCH($Q314,CONFIG!$G$4:$G$63,0)),"Por definir"))</f>
        <v/>
      </c>
      <c r="S314" s="28">
        <f>IF($Q314="","",IFERROR(INDEX(CONFIG!$I$4:$I$63,MATCH($Q314,CONFIG!$G$4:$G$63,0)),"Por definir"))</f>
        <v/>
      </c>
      <c r="T314" s="51" t="n"/>
      <c r="U314" s="52" t="n"/>
      <c r="V314" s="50" t="n"/>
      <c r="W314" s="50" t="n"/>
      <c r="X314" s="49">
        <f>IF(OR($B314="",$M314=""),"",WORKDAY($B314,IFERROR(INDEX(CONFIG!$D$4:$D$63,MATCH($M314,CONFIG!$A$4:$A$63,0)),3)))</f>
        <v/>
      </c>
      <c r="Y314" s="47" t="n"/>
      <c r="Z314" s="24">
        <f>IF($B314="","",IF($Y314&lt;&gt;"",$Y314-$B314,TODAY()-$B314))</f>
        <v/>
      </c>
      <c r="AA314" s="28">
        <f>IF($B314="","",IF(IFERROR(INDEX(CONFIG!$L$4:$L$63,MATCH($V314,CONFIG!$K$4:$K$63,0)),"NO")="SÍ",IF(OR($Y314="",$X314=""),"Resuelta",IF($Y314&gt;$X314,"Resuelta tarde","Resuelta a tiempo")),IF($X314="","Sin clasificar",IF(TODAY()&gt;$X314,"Vencida",IF(TODAY()&gt;=$X314-1,"Por vencer","En plazo")))))</f>
        <v/>
      </c>
      <c r="AB314" s="50" t="n"/>
      <c r="AC314" s="50" t="n"/>
    </row>
    <row r="315" ht="16" customHeight="1">
      <c r="A315" s="28">
        <f>IF($B315="","","N-"&amp;TEXT(ROW()-3,"0000"))</f>
        <v/>
      </c>
      <c r="B315" s="47" t="n"/>
      <c r="C315" s="48" t="n"/>
      <c r="D315" s="48" t="n"/>
      <c r="E315" s="28">
        <f>IF($C315="","",IF($D315="",IF($C315="Interna","Sin guía (interna)","FALTA GUÍA"),IF(COUNTIFS(ENVIOS!$A$4:$A$3003,$D315)=0,"NO EXISTE",IF(COUNTIFS(ENVIOS!$A$4:$A$3003,$D315)&gt;1,"DUPLICADA","OK"))))</f>
        <v/>
      </c>
      <c r="F315" s="28">
        <f>IF($D315="","",IFERROR(INDEX(ENVIOS!$B$4:$B$3003,MATCH($D315,ENVIOS!$A$4:$A$3003,0)),"—"))</f>
        <v/>
      </c>
      <c r="G315" s="23">
        <f>IF($D315="","",IFERROR(INDEX(ENVIOS!$D$4:$D$3003,MATCH($D315,ENVIOS!$A$4:$A$3003,0)),"—"))</f>
        <v/>
      </c>
      <c r="H315" s="23">
        <f>IF($D315="","",IFERROR(INDEX(ENVIOS!$E$4:$E$3003,MATCH($D315,ENVIOS!$A$4:$A$3003,0)),"—"))</f>
        <v/>
      </c>
      <c r="I315" s="23">
        <f>IF($D315="","",IFERROR(INDEX(ENVIOS!$F$4:$F$3003,MATCH($D315,ENVIOS!$A$4:$A$3003,0)),"—"))</f>
        <v/>
      </c>
      <c r="J315" s="23">
        <f>IF($D315="","",IFERROR(INDEX(ENVIOS!$G$4:$G$3003,MATCH($D315,ENVIOS!$A$4:$A$3003,0)),"—"))</f>
        <v/>
      </c>
      <c r="K315" s="28">
        <f>IF($D315="","",IFERROR(INDEX(ENVIOS!$H$4:$H$3003,MATCH($D315,ENVIOS!$A$4:$A$3003,0)),"—"))</f>
        <v/>
      </c>
      <c r="L315" s="49">
        <f>IF($D315="","",IFERROR(INDEX(ENVIOS!$C$4:$C$3003,MATCH($D315,ENVIOS!$A$4:$A$3003,0)),""))</f>
        <v/>
      </c>
      <c r="M315" s="50" t="n"/>
      <c r="N315" s="28">
        <f>IF($M315="","",IFERROR(INDEX(CONFIG!$C$4:$C$63,MATCH($M315,CONFIG!$A$4:$A$63,0)),"Media"))</f>
        <v/>
      </c>
      <c r="O315" s="28">
        <f>IF($M315="","",IF($C315="Interna","NO",IFERROR(INDEX(CONFIG!$E$4:$E$63,MATCH($M315,CONFIG!$A$4:$A$63,0)),"NO")))</f>
        <v/>
      </c>
      <c r="P315" s="50" t="n"/>
      <c r="Q315" s="50" t="n"/>
      <c r="R315" s="28">
        <f>IF($Q315="","",IFERROR(INDEX(CONFIG!$H$4:$H$63,MATCH($Q315,CONFIG!$G$4:$G$63,0)),"Por definir"))</f>
        <v/>
      </c>
      <c r="S315" s="28">
        <f>IF($Q315="","",IFERROR(INDEX(CONFIG!$I$4:$I$63,MATCH($Q315,CONFIG!$G$4:$G$63,0)),"Por definir"))</f>
        <v/>
      </c>
      <c r="T315" s="51" t="n"/>
      <c r="U315" s="52" t="n"/>
      <c r="V315" s="50" t="n"/>
      <c r="W315" s="50" t="n"/>
      <c r="X315" s="49">
        <f>IF(OR($B315="",$M315=""),"",WORKDAY($B315,IFERROR(INDEX(CONFIG!$D$4:$D$63,MATCH($M315,CONFIG!$A$4:$A$63,0)),3)))</f>
        <v/>
      </c>
      <c r="Y315" s="47" t="n"/>
      <c r="Z315" s="24">
        <f>IF($B315="","",IF($Y315&lt;&gt;"",$Y315-$B315,TODAY()-$B315))</f>
        <v/>
      </c>
      <c r="AA315" s="28">
        <f>IF($B315="","",IF(IFERROR(INDEX(CONFIG!$L$4:$L$63,MATCH($V315,CONFIG!$K$4:$K$63,0)),"NO")="SÍ",IF(OR($Y315="",$X315=""),"Resuelta",IF($Y315&gt;$X315,"Resuelta tarde","Resuelta a tiempo")),IF($X315="","Sin clasificar",IF(TODAY()&gt;$X315,"Vencida",IF(TODAY()&gt;=$X315-1,"Por vencer","En plazo")))))</f>
        <v/>
      </c>
      <c r="AB315" s="50" t="n"/>
      <c r="AC315" s="50" t="n"/>
    </row>
    <row r="316" ht="16" customHeight="1">
      <c r="A316" s="28">
        <f>IF($B316="","","N-"&amp;TEXT(ROW()-3,"0000"))</f>
        <v/>
      </c>
      <c r="B316" s="47" t="n"/>
      <c r="C316" s="48" t="n"/>
      <c r="D316" s="48" t="n"/>
      <c r="E316" s="28">
        <f>IF($C316="","",IF($D316="",IF($C316="Interna","Sin guía (interna)","FALTA GUÍA"),IF(COUNTIFS(ENVIOS!$A$4:$A$3003,$D316)=0,"NO EXISTE",IF(COUNTIFS(ENVIOS!$A$4:$A$3003,$D316)&gt;1,"DUPLICADA","OK"))))</f>
        <v/>
      </c>
      <c r="F316" s="28">
        <f>IF($D316="","",IFERROR(INDEX(ENVIOS!$B$4:$B$3003,MATCH($D316,ENVIOS!$A$4:$A$3003,0)),"—"))</f>
        <v/>
      </c>
      <c r="G316" s="23">
        <f>IF($D316="","",IFERROR(INDEX(ENVIOS!$D$4:$D$3003,MATCH($D316,ENVIOS!$A$4:$A$3003,0)),"—"))</f>
        <v/>
      </c>
      <c r="H316" s="23">
        <f>IF($D316="","",IFERROR(INDEX(ENVIOS!$E$4:$E$3003,MATCH($D316,ENVIOS!$A$4:$A$3003,0)),"—"))</f>
        <v/>
      </c>
      <c r="I316" s="23">
        <f>IF($D316="","",IFERROR(INDEX(ENVIOS!$F$4:$F$3003,MATCH($D316,ENVIOS!$A$4:$A$3003,0)),"—"))</f>
        <v/>
      </c>
      <c r="J316" s="23">
        <f>IF($D316="","",IFERROR(INDEX(ENVIOS!$G$4:$G$3003,MATCH($D316,ENVIOS!$A$4:$A$3003,0)),"—"))</f>
        <v/>
      </c>
      <c r="K316" s="28">
        <f>IF($D316="","",IFERROR(INDEX(ENVIOS!$H$4:$H$3003,MATCH($D316,ENVIOS!$A$4:$A$3003,0)),"—"))</f>
        <v/>
      </c>
      <c r="L316" s="49">
        <f>IF($D316="","",IFERROR(INDEX(ENVIOS!$C$4:$C$3003,MATCH($D316,ENVIOS!$A$4:$A$3003,0)),""))</f>
        <v/>
      </c>
      <c r="M316" s="50" t="n"/>
      <c r="N316" s="28">
        <f>IF($M316="","",IFERROR(INDEX(CONFIG!$C$4:$C$63,MATCH($M316,CONFIG!$A$4:$A$63,0)),"Media"))</f>
        <v/>
      </c>
      <c r="O316" s="28">
        <f>IF($M316="","",IF($C316="Interna","NO",IFERROR(INDEX(CONFIG!$E$4:$E$63,MATCH($M316,CONFIG!$A$4:$A$63,0)),"NO")))</f>
        <v/>
      </c>
      <c r="P316" s="50" t="n"/>
      <c r="Q316" s="50" t="n"/>
      <c r="R316" s="28">
        <f>IF($Q316="","",IFERROR(INDEX(CONFIG!$H$4:$H$63,MATCH($Q316,CONFIG!$G$4:$G$63,0)),"Por definir"))</f>
        <v/>
      </c>
      <c r="S316" s="28">
        <f>IF($Q316="","",IFERROR(INDEX(CONFIG!$I$4:$I$63,MATCH($Q316,CONFIG!$G$4:$G$63,0)),"Por definir"))</f>
        <v/>
      </c>
      <c r="T316" s="51" t="n"/>
      <c r="U316" s="52" t="n"/>
      <c r="V316" s="50" t="n"/>
      <c r="W316" s="50" t="n"/>
      <c r="X316" s="49">
        <f>IF(OR($B316="",$M316=""),"",WORKDAY($B316,IFERROR(INDEX(CONFIG!$D$4:$D$63,MATCH($M316,CONFIG!$A$4:$A$63,0)),3)))</f>
        <v/>
      </c>
      <c r="Y316" s="47" t="n"/>
      <c r="Z316" s="24">
        <f>IF($B316="","",IF($Y316&lt;&gt;"",$Y316-$B316,TODAY()-$B316))</f>
        <v/>
      </c>
      <c r="AA316" s="28">
        <f>IF($B316="","",IF(IFERROR(INDEX(CONFIG!$L$4:$L$63,MATCH($V316,CONFIG!$K$4:$K$63,0)),"NO")="SÍ",IF(OR($Y316="",$X316=""),"Resuelta",IF($Y316&gt;$X316,"Resuelta tarde","Resuelta a tiempo")),IF($X316="","Sin clasificar",IF(TODAY()&gt;$X316,"Vencida",IF(TODAY()&gt;=$X316-1,"Por vencer","En plazo")))))</f>
        <v/>
      </c>
      <c r="AB316" s="50" t="n"/>
      <c r="AC316" s="50" t="n"/>
    </row>
    <row r="317" ht="16" customHeight="1">
      <c r="A317" s="28">
        <f>IF($B317="","","N-"&amp;TEXT(ROW()-3,"0000"))</f>
        <v/>
      </c>
      <c r="B317" s="47" t="n"/>
      <c r="C317" s="48" t="n"/>
      <c r="D317" s="48" t="n"/>
      <c r="E317" s="28">
        <f>IF($C317="","",IF($D317="",IF($C317="Interna","Sin guía (interna)","FALTA GUÍA"),IF(COUNTIFS(ENVIOS!$A$4:$A$3003,$D317)=0,"NO EXISTE",IF(COUNTIFS(ENVIOS!$A$4:$A$3003,$D317)&gt;1,"DUPLICADA","OK"))))</f>
        <v/>
      </c>
      <c r="F317" s="28">
        <f>IF($D317="","",IFERROR(INDEX(ENVIOS!$B$4:$B$3003,MATCH($D317,ENVIOS!$A$4:$A$3003,0)),"—"))</f>
        <v/>
      </c>
      <c r="G317" s="23">
        <f>IF($D317="","",IFERROR(INDEX(ENVIOS!$D$4:$D$3003,MATCH($D317,ENVIOS!$A$4:$A$3003,0)),"—"))</f>
        <v/>
      </c>
      <c r="H317" s="23">
        <f>IF($D317="","",IFERROR(INDEX(ENVIOS!$E$4:$E$3003,MATCH($D317,ENVIOS!$A$4:$A$3003,0)),"—"))</f>
        <v/>
      </c>
      <c r="I317" s="23">
        <f>IF($D317="","",IFERROR(INDEX(ENVIOS!$F$4:$F$3003,MATCH($D317,ENVIOS!$A$4:$A$3003,0)),"—"))</f>
        <v/>
      </c>
      <c r="J317" s="23">
        <f>IF($D317="","",IFERROR(INDEX(ENVIOS!$G$4:$G$3003,MATCH($D317,ENVIOS!$A$4:$A$3003,0)),"—"))</f>
        <v/>
      </c>
      <c r="K317" s="28">
        <f>IF($D317="","",IFERROR(INDEX(ENVIOS!$H$4:$H$3003,MATCH($D317,ENVIOS!$A$4:$A$3003,0)),"—"))</f>
        <v/>
      </c>
      <c r="L317" s="49">
        <f>IF($D317="","",IFERROR(INDEX(ENVIOS!$C$4:$C$3003,MATCH($D317,ENVIOS!$A$4:$A$3003,0)),""))</f>
        <v/>
      </c>
      <c r="M317" s="50" t="n"/>
      <c r="N317" s="28">
        <f>IF($M317="","",IFERROR(INDEX(CONFIG!$C$4:$C$63,MATCH($M317,CONFIG!$A$4:$A$63,0)),"Media"))</f>
        <v/>
      </c>
      <c r="O317" s="28">
        <f>IF($M317="","",IF($C317="Interna","NO",IFERROR(INDEX(CONFIG!$E$4:$E$63,MATCH($M317,CONFIG!$A$4:$A$63,0)),"NO")))</f>
        <v/>
      </c>
      <c r="P317" s="50" t="n"/>
      <c r="Q317" s="50" t="n"/>
      <c r="R317" s="28">
        <f>IF($Q317="","",IFERROR(INDEX(CONFIG!$H$4:$H$63,MATCH($Q317,CONFIG!$G$4:$G$63,0)),"Por definir"))</f>
        <v/>
      </c>
      <c r="S317" s="28">
        <f>IF($Q317="","",IFERROR(INDEX(CONFIG!$I$4:$I$63,MATCH($Q317,CONFIG!$G$4:$G$63,0)),"Por definir"))</f>
        <v/>
      </c>
      <c r="T317" s="51" t="n"/>
      <c r="U317" s="52" t="n"/>
      <c r="V317" s="50" t="n"/>
      <c r="W317" s="50" t="n"/>
      <c r="X317" s="49">
        <f>IF(OR($B317="",$M317=""),"",WORKDAY($B317,IFERROR(INDEX(CONFIG!$D$4:$D$63,MATCH($M317,CONFIG!$A$4:$A$63,0)),3)))</f>
        <v/>
      </c>
      <c r="Y317" s="47" t="n"/>
      <c r="Z317" s="24">
        <f>IF($B317="","",IF($Y317&lt;&gt;"",$Y317-$B317,TODAY()-$B317))</f>
        <v/>
      </c>
      <c r="AA317" s="28">
        <f>IF($B317="","",IF(IFERROR(INDEX(CONFIG!$L$4:$L$63,MATCH($V317,CONFIG!$K$4:$K$63,0)),"NO")="SÍ",IF(OR($Y317="",$X317=""),"Resuelta",IF($Y317&gt;$X317,"Resuelta tarde","Resuelta a tiempo")),IF($X317="","Sin clasificar",IF(TODAY()&gt;$X317,"Vencida",IF(TODAY()&gt;=$X317-1,"Por vencer","En plazo")))))</f>
        <v/>
      </c>
      <c r="AB317" s="50" t="n"/>
      <c r="AC317" s="50" t="n"/>
    </row>
    <row r="318" ht="16" customHeight="1">
      <c r="A318" s="28">
        <f>IF($B318="","","N-"&amp;TEXT(ROW()-3,"0000"))</f>
        <v/>
      </c>
      <c r="B318" s="47" t="n"/>
      <c r="C318" s="48" t="n"/>
      <c r="D318" s="48" t="n"/>
      <c r="E318" s="28">
        <f>IF($C318="","",IF($D318="",IF($C318="Interna","Sin guía (interna)","FALTA GUÍA"),IF(COUNTIFS(ENVIOS!$A$4:$A$3003,$D318)=0,"NO EXISTE",IF(COUNTIFS(ENVIOS!$A$4:$A$3003,$D318)&gt;1,"DUPLICADA","OK"))))</f>
        <v/>
      </c>
      <c r="F318" s="28">
        <f>IF($D318="","",IFERROR(INDEX(ENVIOS!$B$4:$B$3003,MATCH($D318,ENVIOS!$A$4:$A$3003,0)),"—"))</f>
        <v/>
      </c>
      <c r="G318" s="23">
        <f>IF($D318="","",IFERROR(INDEX(ENVIOS!$D$4:$D$3003,MATCH($D318,ENVIOS!$A$4:$A$3003,0)),"—"))</f>
        <v/>
      </c>
      <c r="H318" s="23">
        <f>IF($D318="","",IFERROR(INDEX(ENVIOS!$E$4:$E$3003,MATCH($D318,ENVIOS!$A$4:$A$3003,0)),"—"))</f>
        <v/>
      </c>
      <c r="I318" s="23">
        <f>IF($D318="","",IFERROR(INDEX(ENVIOS!$F$4:$F$3003,MATCH($D318,ENVIOS!$A$4:$A$3003,0)),"—"))</f>
        <v/>
      </c>
      <c r="J318" s="23">
        <f>IF($D318="","",IFERROR(INDEX(ENVIOS!$G$4:$G$3003,MATCH($D318,ENVIOS!$A$4:$A$3003,0)),"—"))</f>
        <v/>
      </c>
      <c r="K318" s="28">
        <f>IF($D318="","",IFERROR(INDEX(ENVIOS!$H$4:$H$3003,MATCH($D318,ENVIOS!$A$4:$A$3003,0)),"—"))</f>
        <v/>
      </c>
      <c r="L318" s="49">
        <f>IF($D318="","",IFERROR(INDEX(ENVIOS!$C$4:$C$3003,MATCH($D318,ENVIOS!$A$4:$A$3003,0)),""))</f>
        <v/>
      </c>
      <c r="M318" s="50" t="n"/>
      <c r="N318" s="28">
        <f>IF($M318="","",IFERROR(INDEX(CONFIG!$C$4:$C$63,MATCH($M318,CONFIG!$A$4:$A$63,0)),"Media"))</f>
        <v/>
      </c>
      <c r="O318" s="28">
        <f>IF($M318="","",IF($C318="Interna","NO",IFERROR(INDEX(CONFIG!$E$4:$E$63,MATCH($M318,CONFIG!$A$4:$A$63,0)),"NO")))</f>
        <v/>
      </c>
      <c r="P318" s="50" t="n"/>
      <c r="Q318" s="50" t="n"/>
      <c r="R318" s="28">
        <f>IF($Q318="","",IFERROR(INDEX(CONFIG!$H$4:$H$63,MATCH($Q318,CONFIG!$G$4:$G$63,0)),"Por definir"))</f>
        <v/>
      </c>
      <c r="S318" s="28">
        <f>IF($Q318="","",IFERROR(INDEX(CONFIG!$I$4:$I$63,MATCH($Q318,CONFIG!$G$4:$G$63,0)),"Por definir"))</f>
        <v/>
      </c>
      <c r="T318" s="51" t="n"/>
      <c r="U318" s="52" t="n"/>
      <c r="V318" s="50" t="n"/>
      <c r="W318" s="50" t="n"/>
      <c r="X318" s="49">
        <f>IF(OR($B318="",$M318=""),"",WORKDAY($B318,IFERROR(INDEX(CONFIG!$D$4:$D$63,MATCH($M318,CONFIG!$A$4:$A$63,0)),3)))</f>
        <v/>
      </c>
      <c r="Y318" s="47" t="n"/>
      <c r="Z318" s="24">
        <f>IF($B318="","",IF($Y318&lt;&gt;"",$Y318-$B318,TODAY()-$B318))</f>
        <v/>
      </c>
      <c r="AA318" s="28">
        <f>IF($B318="","",IF(IFERROR(INDEX(CONFIG!$L$4:$L$63,MATCH($V318,CONFIG!$K$4:$K$63,0)),"NO")="SÍ",IF(OR($Y318="",$X318=""),"Resuelta",IF($Y318&gt;$X318,"Resuelta tarde","Resuelta a tiempo")),IF($X318="","Sin clasificar",IF(TODAY()&gt;$X318,"Vencida",IF(TODAY()&gt;=$X318-1,"Por vencer","En plazo")))))</f>
        <v/>
      </c>
      <c r="AB318" s="50" t="n"/>
      <c r="AC318" s="50" t="n"/>
    </row>
    <row r="319" ht="16" customHeight="1">
      <c r="A319" s="28">
        <f>IF($B319="","","N-"&amp;TEXT(ROW()-3,"0000"))</f>
        <v/>
      </c>
      <c r="B319" s="47" t="n"/>
      <c r="C319" s="48" t="n"/>
      <c r="D319" s="48" t="n"/>
      <c r="E319" s="28">
        <f>IF($C319="","",IF($D319="",IF($C319="Interna","Sin guía (interna)","FALTA GUÍA"),IF(COUNTIFS(ENVIOS!$A$4:$A$3003,$D319)=0,"NO EXISTE",IF(COUNTIFS(ENVIOS!$A$4:$A$3003,$D319)&gt;1,"DUPLICADA","OK"))))</f>
        <v/>
      </c>
      <c r="F319" s="28">
        <f>IF($D319="","",IFERROR(INDEX(ENVIOS!$B$4:$B$3003,MATCH($D319,ENVIOS!$A$4:$A$3003,0)),"—"))</f>
        <v/>
      </c>
      <c r="G319" s="23">
        <f>IF($D319="","",IFERROR(INDEX(ENVIOS!$D$4:$D$3003,MATCH($D319,ENVIOS!$A$4:$A$3003,0)),"—"))</f>
        <v/>
      </c>
      <c r="H319" s="23">
        <f>IF($D319="","",IFERROR(INDEX(ENVIOS!$E$4:$E$3003,MATCH($D319,ENVIOS!$A$4:$A$3003,0)),"—"))</f>
        <v/>
      </c>
      <c r="I319" s="23">
        <f>IF($D319="","",IFERROR(INDEX(ENVIOS!$F$4:$F$3003,MATCH($D319,ENVIOS!$A$4:$A$3003,0)),"—"))</f>
        <v/>
      </c>
      <c r="J319" s="23">
        <f>IF($D319="","",IFERROR(INDEX(ENVIOS!$G$4:$G$3003,MATCH($D319,ENVIOS!$A$4:$A$3003,0)),"—"))</f>
        <v/>
      </c>
      <c r="K319" s="28">
        <f>IF($D319="","",IFERROR(INDEX(ENVIOS!$H$4:$H$3003,MATCH($D319,ENVIOS!$A$4:$A$3003,0)),"—"))</f>
        <v/>
      </c>
      <c r="L319" s="49">
        <f>IF($D319="","",IFERROR(INDEX(ENVIOS!$C$4:$C$3003,MATCH($D319,ENVIOS!$A$4:$A$3003,0)),""))</f>
        <v/>
      </c>
      <c r="M319" s="50" t="n"/>
      <c r="N319" s="28">
        <f>IF($M319="","",IFERROR(INDEX(CONFIG!$C$4:$C$63,MATCH($M319,CONFIG!$A$4:$A$63,0)),"Media"))</f>
        <v/>
      </c>
      <c r="O319" s="28">
        <f>IF($M319="","",IF($C319="Interna","NO",IFERROR(INDEX(CONFIG!$E$4:$E$63,MATCH($M319,CONFIG!$A$4:$A$63,0)),"NO")))</f>
        <v/>
      </c>
      <c r="P319" s="50" t="n"/>
      <c r="Q319" s="50" t="n"/>
      <c r="R319" s="28">
        <f>IF($Q319="","",IFERROR(INDEX(CONFIG!$H$4:$H$63,MATCH($Q319,CONFIG!$G$4:$G$63,0)),"Por definir"))</f>
        <v/>
      </c>
      <c r="S319" s="28">
        <f>IF($Q319="","",IFERROR(INDEX(CONFIG!$I$4:$I$63,MATCH($Q319,CONFIG!$G$4:$G$63,0)),"Por definir"))</f>
        <v/>
      </c>
      <c r="T319" s="51" t="n"/>
      <c r="U319" s="52" t="n"/>
      <c r="V319" s="50" t="n"/>
      <c r="W319" s="50" t="n"/>
      <c r="X319" s="49">
        <f>IF(OR($B319="",$M319=""),"",WORKDAY($B319,IFERROR(INDEX(CONFIG!$D$4:$D$63,MATCH($M319,CONFIG!$A$4:$A$63,0)),3)))</f>
        <v/>
      </c>
      <c r="Y319" s="47" t="n"/>
      <c r="Z319" s="24">
        <f>IF($B319="","",IF($Y319&lt;&gt;"",$Y319-$B319,TODAY()-$B319))</f>
        <v/>
      </c>
      <c r="AA319" s="28">
        <f>IF($B319="","",IF(IFERROR(INDEX(CONFIG!$L$4:$L$63,MATCH($V319,CONFIG!$K$4:$K$63,0)),"NO")="SÍ",IF(OR($Y319="",$X319=""),"Resuelta",IF($Y319&gt;$X319,"Resuelta tarde","Resuelta a tiempo")),IF($X319="","Sin clasificar",IF(TODAY()&gt;$X319,"Vencida",IF(TODAY()&gt;=$X319-1,"Por vencer","En plazo")))))</f>
        <v/>
      </c>
      <c r="AB319" s="50" t="n"/>
      <c r="AC319" s="50" t="n"/>
    </row>
    <row r="320" ht="16" customHeight="1">
      <c r="A320" s="28">
        <f>IF($B320="","","N-"&amp;TEXT(ROW()-3,"0000"))</f>
        <v/>
      </c>
      <c r="B320" s="47" t="n"/>
      <c r="C320" s="48" t="n"/>
      <c r="D320" s="48" t="n"/>
      <c r="E320" s="28">
        <f>IF($C320="","",IF($D320="",IF($C320="Interna","Sin guía (interna)","FALTA GUÍA"),IF(COUNTIFS(ENVIOS!$A$4:$A$3003,$D320)=0,"NO EXISTE",IF(COUNTIFS(ENVIOS!$A$4:$A$3003,$D320)&gt;1,"DUPLICADA","OK"))))</f>
        <v/>
      </c>
      <c r="F320" s="28">
        <f>IF($D320="","",IFERROR(INDEX(ENVIOS!$B$4:$B$3003,MATCH($D320,ENVIOS!$A$4:$A$3003,0)),"—"))</f>
        <v/>
      </c>
      <c r="G320" s="23">
        <f>IF($D320="","",IFERROR(INDEX(ENVIOS!$D$4:$D$3003,MATCH($D320,ENVIOS!$A$4:$A$3003,0)),"—"))</f>
        <v/>
      </c>
      <c r="H320" s="23">
        <f>IF($D320="","",IFERROR(INDEX(ENVIOS!$E$4:$E$3003,MATCH($D320,ENVIOS!$A$4:$A$3003,0)),"—"))</f>
        <v/>
      </c>
      <c r="I320" s="23">
        <f>IF($D320="","",IFERROR(INDEX(ENVIOS!$F$4:$F$3003,MATCH($D320,ENVIOS!$A$4:$A$3003,0)),"—"))</f>
        <v/>
      </c>
      <c r="J320" s="23">
        <f>IF($D320="","",IFERROR(INDEX(ENVIOS!$G$4:$G$3003,MATCH($D320,ENVIOS!$A$4:$A$3003,0)),"—"))</f>
        <v/>
      </c>
      <c r="K320" s="28">
        <f>IF($D320="","",IFERROR(INDEX(ENVIOS!$H$4:$H$3003,MATCH($D320,ENVIOS!$A$4:$A$3003,0)),"—"))</f>
        <v/>
      </c>
      <c r="L320" s="49">
        <f>IF($D320="","",IFERROR(INDEX(ENVIOS!$C$4:$C$3003,MATCH($D320,ENVIOS!$A$4:$A$3003,0)),""))</f>
        <v/>
      </c>
      <c r="M320" s="50" t="n"/>
      <c r="N320" s="28">
        <f>IF($M320="","",IFERROR(INDEX(CONFIG!$C$4:$C$63,MATCH($M320,CONFIG!$A$4:$A$63,0)),"Media"))</f>
        <v/>
      </c>
      <c r="O320" s="28">
        <f>IF($M320="","",IF($C320="Interna","NO",IFERROR(INDEX(CONFIG!$E$4:$E$63,MATCH($M320,CONFIG!$A$4:$A$63,0)),"NO")))</f>
        <v/>
      </c>
      <c r="P320" s="50" t="n"/>
      <c r="Q320" s="50" t="n"/>
      <c r="R320" s="28">
        <f>IF($Q320="","",IFERROR(INDEX(CONFIG!$H$4:$H$63,MATCH($Q320,CONFIG!$G$4:$G$63,0)),"Por definir"))</f>
        <v/>
      </c>
      <c r="S320" s="28">
        <f>IF($Q320="","",IFERROR(INDEX(CONFIG!$I$4:$I$63,MATCH($Q320,CONFIG!$G$4:$G$63,0)),"Por definir"))</f>
        <v/>
      </c>
      <c r="T320" s="51" t="n"/>
      <c r="U320" s="52" t="n"/>
      <c r="V320" s="50" t="n"/>
      <c r="W320" s="50" t="n"/>
      <c r="X320" s="49">
        <f>IF(OR($B320="",$M320=""),"",WORKDAY($B320,IFERROR(INDEX(CONFIG!$D$4:$D$63,MATCH($M320,CONFIG!$A$4:$A$63,0)),3)))</f>
        <v/>
      </c>
      <c r="Y320" s="47" t="n"/>
      <c r="Z320" s="24">
        <f>IF($B320="","",IF($Y320&lt;&gt;"",$Y320-$B320,TODAY()-$B320))</f>
        <v/>
      </c>
      <c r="AA320" s="28">
        <f>IF($B320="","",IF(IFERROR(INDEX(CONFIG!$L$4:$L$63,MATCH($V320,CONFIG!$K$4:$K$63,0)),"NO")="SÍ",IF(OR($Y320="",$X320=""),"Resuelta",IF($Y320&gt;$X320,"Resuelta tarde","Resuelta a tiempo")),IF($X320="","Sin clasificar",IF(TODAY()&gt;$X320,"Vencida",IF(TODAY()&gt;=$X320-1,"Por vencer","En plazo")))))</f>
        <v/>
      </c>
      <c r="AB320" s="50" t="n"/>
      <c r="AC320" s="50" t="n"/>
    </row>
    <row r="321" ht="16" customHeight="1">
      <c r="A321" s="28">
        <f>IF($B321="","","N-"&amp;TEXT(ROW()-3,"0000"))</f>
        <v/>
      </c>
      <c r="B321" s="47" t="n"/>
      <c r="C321" s="48" t="n"/>
      <c r="D321" s="48" t="n"/>
      <c r="E321" s="28">
        <f>IF($C321="","",IF($D321="",IF($C321="Interna","Sin guía (interna)","FALTA GUÍA"),IF(COUNTIFS(ENVIOS!$A$4:$A$3003,$D321)=0,"NO EXISTE",IF(COUNTIFS(ENVIOS!$A$4:$A$3003,$D321)&gt;1,"DUPLICADA","OK"))))</f>
        <v/>
      </c>
      <c r="F321" s="28">
        <f>IF($D321="","",IFERROR(INDEX(ENVIOS!$B$4:$B$3003,MATCH($D321,ENVIOS!$A$4:$A$3003,0)),"—"))</f>
        <v/>
      </c>
      <c r="G321" s="23">
        <f>IF($D321="","",IFERROR(INDEX(ENVIOS!$D$4:$D$3003,MATCH($D321,ENVIOS!$A$4:$A$3003,0)),"—"))</f>
        <v/>
      </c>
      <c r="H321" s="23">
        <f>IF($D321="","",IFERROR(INDEX(ENVIOS!$E$4:$E$3003,MATCH($D321,ENVIOS!$A$4:$A$3003,0)),"—"))</f>
        <v/>
      </c>
      <c r="I321" s="23">
        <f>IF($D321="","",IFERROR(INDEX(ENVIOS!$F$4:$F$3003,MATCH($D321,ENVIOS!$A$4:$A$3003,0)),"—"))</f>
        <v/>
      </c>
      <c r="J321" s="23">
        <f>IF($D321="","",IFERROR(INDEX(ENVIOS!$G$4:$G$3003,MATCH($D321,ENVIOS!$A$4:$A$3003,0)),"—"))</f>
        <v/>
      </c>
      <c r="K321" s="28">
        <f>IF($D321="","",IFERROR(INDEX(ENVIOS!$H$4:$H$3003,MATCH($D321,ENVIOS!$A$4:$A$3003,0)),"—"))</f>
        <v/>
      </c>
      <c r="L321" s="49">
        <f>IF($D321="","",IFERROR(INDEX(ENVIOS!$C$4:$C$3003,MATCH($D321,ENVIOS!$A$4:$A$3003,0)),""))</f>
        <v/>
      </c>
      <c r="M321" s="50" t="n"/>
      <c r="N321" s="28">
        <f>IF($M321="","",IFERROR(INDEX(CONFIG!$C$4:$C$63,MATCH($M321,CONFIG!$A$4:$A$63,0)),"Media"))</f>
        <v/>
      </c>
      <c r="O321" s="28">
        <f>IF($M321="","",IF($C321="Interna","NO",IFERROR(INDEX(CONFIG!$E$4:$E$63,MATCH($M321,CONFIG!$A$4:$A$63,0)),"NO")))</f>
        <v/>
      </c>
      <c r="P321" s="50" t="n"/>
      <c r="Q321" s="50" t="n"/>
      <c r="R321" s="28">
        <f>IF($Q321="","",IFERROR(INDEX(CONFIG!$H$4:$H$63,MATCH($Q321,CONFIG!$G$4:$G$63,0)),"Por definir"))</f>
        <v/>
      </c>
      <c r="S321" s="28">
        <f>IF($Q321="","",IFERROR(INDEX(CONFIG!$I$4:$I$63,MATCH($Q321,CONFIG!$G$4:$G$63,0)),"Por definir"))</f>
        <v/>
      </c>
      <c r="T321" s="51" t="n"/>
      <c r="U321" s="52" t="n"/>
      <c r="V321" s="50" t="n"/>
      <c r="W321" s="50" t="n"/>
      <c r="X321" s="49">
        <f>IF(OR($B321="",$M321=""),"",WORKDAY($B321,IFERROR(INDEX(CONFIG!$D$4:$D$63,MATCH($M321,CONFIG!$A$4:$A$63,0)),3)))</f>
        <v/>
      </c>
      <c r="Y321" s="47" t="n"/>
      <c r="Z321" s="24">
        <f>IF($B321="","",IF($Y321&lt;&gt;"",$Y321-$B321,TODAY()-$B321))</f>
        <v/>
      </c>
      <c r="AA321" s="28">
        <f>IF($B321="","",IF(IFERROR(INDEX(CONFIG!$L$4:$L$63,MATCH($V321,CONFIG!$K$4:$K$63,0)),"NO")="SÍ",IF(OR($Y321="",$X321=""),"Resuelta",IF($Y321&gt;$X321,"Resuelta tarde","Resuelta a tiempo")),IF($X321="","Sin clasificar",IF(TODAY()&gt;$X321,"Vencida",IF(TODAY()&gt;=$X321-1,"Por vencer","En plazo")))))</f>
        <v/>
      </c>
      <c r="AB321" s="50" t="n"/>
      <c r="AC321" s="50" t="n"/>
    </row>
    <row r="322" ht="16" customHeight="1">
      <c r="A322" s="28">
        <f>IF($B322="","","N-"&amp;TEXT(ROW()-3,"0000"))</f>
        <v/>
      </c>
      <c r="B322" s="47" t="n"/>
      <c r="C322" s="48" t="n"/>
      <c r="D322" s="48" t="n"/>
      <c r="E322" s="28">
        <f>IF($C322="","",IF($D322="",IF($C322="Interna","Sin guía (interna)","FALTA GUÍA"),IF(COUNTIFS(ENVIOS!$A$4:$A$3003,$D322)=0,"NO EXISTE",IF(COUNTIFS(ENVIOS!$A$4:$A$3003,$D322)&gt;1,"DUPLICADA","OK"))))</f>
        <v/>
      </c>
      <c r="F322" s="28">
        <f>IF($D322="","",IFERROR(INDEX(ENVIOS!$B$4:$B$3003,MATCH($D322,ENVIOS!$A$4:$A$3003,0)),"—"))</f>
        <v/>
      </c>
      <c r="G322" s="23">
        <f>IF($D322="","",IFERROR(INDEX(ENVIOS!$D$4:$D$3003,MATCH($D322,ENVIOS!$A$4:$A$3003,0)),"—"))</f>
        <v/>
      </c>
      <c r="H322" s="23">
        <f>IF($D322="","",IFERROR(INDEX(ENVIOS!$E$4:$E$3003,MATCH($D322,ENVIOS!$A$4:$A$3003,0)),"—"))</f>
        <v/>
      </c>
      <c r="I322" s="23">
        <f>IF($D322="","",IFERROR(INDEX(ENVIOS!$F$4:$F$3003,MATCH($D322,ENVIOS!$A$4:$A$3003,0)),"—"))</f>
        <v/>
      </c>
      <c r="J322" s="23">
        <f>IF($D322="","",IFERROR(INDEX(ENVIOS!$G$4:$G$3003,MATCH($D322,ENVIOS!$A$4:$A$3003,0)),"—"))</f>
        <v/>
      </c>
      <c r="K322" s="28">
        <f>IF($D322="","",IFERROR(INDEX(ENVIOS!$H$4:$H$3003,MATCH($D322,ENVIOS!$A$4:$A$3003,0)),"—"))</f>
        <v/>
      </c>
      <c r="L322" s="49">
        <f>IF($D322="","",IFERROR(INDEX(ENVIOS!$C$4:$C$3003,MATCH($D322,ENVIOS!$A$4:$A$3003,0)),""))</f>
        <v/>
      </c>
      <c r="M322" s="50" t="n"/>
      <c r="N322" s="28">
        <f>IF($M322="","",IFERROR(INDEX(CONFIG!$C$4:$C$63,MATCH($M322,CONFIG!$A$4:$A$63,0)),"Media"))</f>
        <v/>
      </c>
      <c r="O322" s="28">
        <f>IF($M322="","",IF($C322="Interna","NO",IFERROR(INDEX(CONFIG!$E$4:$E$63,MATCH($M322,CONFIG!$A$4:$A$63,0)),"NO")))</f>
        <v/>
      </c>
      <c r="P322" s="50" t="n"/>
      <c r="Q322" s="50" t="n"/>
      <c r="R322" s="28">
        <f>IF($Q322="","",IFERROR(INDEX(CONFIG!$H$4:$H$63,MATCH($Q322,CONFIG!$G$4:$G$63,0)),"Por definir"))</f>
        <v/>
      </c>
      <c r="S322" s="28">
        <f>IF($Q322="","",IFERROR(INDEX(CONFIG!$I$4:$I$63,MATCH($Q322,CONFIG!$G$4:$G$63,0)),"Por definir"))</f>
        <v/>
      </c>
      <c r="T322" s="51" t="n"/>
      <c r="U322" s="52" t="n"/>
      <c r="V322" s="50" t="n"/>
      <c r="W322" s="50" t="n"/>
      <c r="X322" s="49">
        <f>IF(OR($B322="",$M322=""),"",WORKDAY($B322,IFERROR(INDEX(CONFIG!$D$4:$D$63,MATCH($M322,CONFIG!$A$4:$A$63,0)),3)))</f>
        <v/>
      </c>
      <c r="Y322" s="47" t="n"/>
      <c r="Z322" s="24">
        <f>IF($B322="","",IF($Y322&lt;&gt;"",$Y322-$B322,TODAY()-$B322))</f>
        <v/>
      </c>
      <c r="AA322" s="28">
        <f>IF($B322="","",IF(IFERROR(INDEX(CONFIG!$L$4:$L$63,MATCH($V322,CONFIG!$K$4:$K$63,0)),"NO")="SÍ",IF(OR($Y322="",$X322=""),"Resuelta",IF($Y322&gt;$X322,"Resuelta tarde","Resuelta a tiempo")),IF($X322="","Sin clasificar",IF(TODAY()&gt;$X322,"Vencida",IF(TODAY()&gt;=$X322-1,"Por vencer","En plazo")))))</f>
        <v/>
      </c>
      <c r="AB322" s="50" t="n"/>
      <c r="AC322" s="50" t="n"/>
    </row>
    <row r="323" ht="16" customHeight="1">
      <c r="A323" s="28">
        <f>IF($B323="","","N-"&amp;TEXT(ROW()-3,"0000"))</f>
        <v/>
      </c>
      <c r="B323" s="47" t="n"/>
      <c r="C323" s="48" t="n"/>
      <c r="D323" s="48" t="n"/>
      <c r="E323" s="28">
        <f>IF($C323="","",IF($D323="",IF($C323="Interna","Sin guía (interna)","FALTA GUÍA"),IF(COUNTIFS(ENVIOS!$A$4:$A$3003,$D323)=0,"NO EXISTE",IF(COUNTIFS(ENVIOS!$A$4:$A$3003,$D323)&gt;1,"DUPLICADA","OK"))))</f>
        <v/>
      </c>
      <c r="F323" s="28">
        <f>IF($D323="","",IFERROR(INDEX(ENVIOS!$B$4:$B$3003,MATCH($D323,ENVIOS!$A$4:$A$3003,0)),"—"))</f>
        <v/>
      </c>
      <c r="G323" s="23">
        <f>IF($D323="","",IFERROR(INDEX(ENVIOS!$D$4:$D$3003,MATCH($D323,ENVIOS!$A$4:$A$3003,0)),"—"))</f>
        <v/>
      </c>
      <c r="H323" s="23">
        <f>IF($D323="","",IFERROR(INDEX(ENVIOS!$E$4:$E$3003,MATCH($D323,ENVIOS!$A$4:$A$3003,0)),"—"))</f>
        <v/>
      </c>
      <c r="I323" s="23">
        <f>IF($D323="","",IFERROR(INDEX(ENVIOS!$F$4:$F$3003,MATCH($D323,ENVIOS!$A$4:$A$3003,0)),"—"))</f>
        <v/>
      </c>
      <c r="J323" s="23">
        <f>IF($D323="","",IFERROR(INDEX(ENVIOS!$G$4:$G$3003,MATCH($D323,ENVIOS!$A$4:$A$3003,0)),"—"))</f>
        <v/>
      </c>
      <c r="K323" s="28">
        <f>IF($D323="","",IFERROR(INDEX(ENVIOS!$H$4:$H$3003,MATCH($D323,ENVIOS!$A$4:$A$3003,0)),"—"))</f>
        <v/>
      </c>
      <c r="L323" s="49">
        <f>IF($D323="","",IFERROR(INDEX(ENVIOS!$C$4:$C$3003,MATCH($D323,ENVIOS!$A$4:$A$3003,0)),""))</f>
        <v/>
      </c>
      <c r="M323" s="50" t="n"/>
      <c r="N323" s="28">
        <f>IF($M323="","",IFERROR(INDEX(CONFIG!$C$4:$C$63,MATCH($M323,CONFIG!$A$4:$A$63,0)),"Media"))</f>
        <v/>
      </c>
      <c r="O323" s="28">
        <f>IF($M323="","",IF($C323="Interna","NO",IFERROR(INDEX(CONFIG!$E$4:$E$63,MATCH($M323,CONFIG!$A$4:$A$63,0)),"NO")))</f>
        <v/>
      </c>
      <c r="P323" s="50" t="n"/>
      <c r="Q323" s="50" t="n"/>
      <c r="R323" s="28">
        <f>IF($Q323="","",IFERROR(INDEX(CONFIG!$H$4:$H$63,MATCH($Q323,CONFIG!$G$4:$G$63,0)),"Por definir"))</f>
        <v/>
      </c>
      <c r="S323" s="28">
        <f>IF($Q323="","",IFERROR(INDEX(CONFIG!$I$4:$I$63,MATCH($Q323,CONFIG!$G$4:$G$63,0)),"Por definir"))</f>
        <v/>
      </c>
      <c r="T323" s="51" t="n"/>
      <c r="U323" s="52" t="n"/>
      <c r="V323" s="50" t="n"/>
      <c r="W323" s="50" t="n"/>
      <c r="X323" s="49">
        <f>IF(OR($B323="",$M323=""),"",WORKDAY($B323,IFERROR(INDEX(CONFIG!$D$4:$D$63,MATCH($M323,CONFIG!$A$4:$A$63,0)),3)))</f>
        <v/>
      </c>
      <c r="Y323" s="47" t="n"/>
      <c r="Z323" s="24">
        <f>IF($B323="","",IF($Y323&lt;&gt;"",$Y323-$B323,TODAY()-$B323))</f>
        <v/>
      </c>
      <c r="AA323" s="28">
        <f>IF($B323="","",IF(IFERROR(INDEX(CONFIG!$L$4:$L$63,MATCH($V323,CONFIG!$K$4:$K$63,0)),"NO")="SÍ",IF(OR($Y323="",$X323=""),"Resuelta",IF($Y323&gt;$X323,"Resuelta tarde","Resuelta a tiempo")),IF($X323="","Sin clasificar",IF(TODAY()&gt;$X323,"Vencida",IF(TODAY()&gt;=$X323-1,"Por vencer","En plazo")))))</f>
        <v/>
      </c>
      <c r="AB323" s="50" t="n"/>
      <c r="AC323" s="50" t="n"/>
    </row>
    <row r="324" ht="16" customHeight="1">
      <c r="A324" s="28">
        <f>IF($B324="","","N-"&amp;TEXT(ROW()-3,"0000"))</f>
        <v/>
      </c>
      <c r="B324" s="47" t="n"/>
      <c r="C324" s="48" t="n"/>
      <c r="D324" s="48" t="n"/>
      <c r="E324" s="28">
        <f>IF($C324="","",IF($D324="",IF($C324="Interna","Sin guía (interna)","FALTA GUÍA"),IF(COUNTIFS(ENVIOS!$A$4:$A$3003,$D324)=0,"NO EXISTE",IF(COUNTIFS(ENVIOS!$A$4:$A$3003,$D324)&gt;1,"DUPLICADA","OK"))))</f>
        <v/>
      </c>
      <c r="F324" s="28">
        <f>IF($D324="","",IFERROR(INDEX(ENVIOS!$B$4:$B$3003,MATCH($D324,ENVIOS!$A$4:$A$3003,0)),"—"))</f>
        <v/>
      </c>
      <c r="G324" s="23">
        <f>IF($D324="","",IFERROR(INDEX(ENVIOS!$D$4:$D$3003,MATCH($D324,ENVIOS!$A$4:$A$3003,0)),"—"))</f>
        <v/>
      </c>
      <c r="H324" s="23">
        <f>IF($D324="","",IFERROR(INDEX(ENVIOS!$E$4:$E$3003,MATCH($D324,ENVIOS!$A$4:$A$3003,0)),"—"))</f>
        <v/>
      </c>
      <c r="I324" s="23">
        <f>IF($D324="","",IFERROR(INDEX(ENVIOS!$F$4:$F$3003,MATCH($D324,ENVIOS!$A$4:$A$3003,0)),"—"))</f>
        <v/>
      </c>
      <c r="J324" s="23">
        <f>IF($D324="","",IFERROR(INDEX(ENVIOS!$G$4:$G$3003,MATCH($D324,ENVIOS!$A$4:$A$3003,0)),"—"))</f>
        <v/>
      </c>
      <c r="K324" s="28">
        <f>IF($D324="","",IFERROR(INDEX(ENVIOS!$H$4:$H$3003,MATCH($D324,ENVIOS!$A$4:$A$3003,0)),"—"))</f>
        <v/>
      </c>
      <c r="L324" s="49">
        <f>IF($D324="","",IFERROR(INDEX(ENVIOS!$C$4:$C$3003,MATCH($D324,ENVIOS!$A$4:$A$3003,0)),""))</f>
        <v/>
      </c>
      <c r="M324" s="50" t="n"/>
      <c r="N324" s="28">
        <f>IF($M324="","",IFERROR(INDEX(CONFIG!$C$4:$C$63,MATCH($M324,CONFIG!$A$4:$A$63,0)),"Media"))</f>
        <v/>
      </c>
      <c r="O324" s="28">
        <f>IF($M324="","",IF($C324="Interna","NO",IFERROR(INDEX(CONFIG!$E$4:$E$63,MATCH($M324,CONFIG!$A$4:$A$63,0)),"NO")))</f>
        <v/>
      </c>
      <c r="P324" s="50" t="n"/>
      <c r="Q324" s="50" t="n"/>
      <c r="R324" s="28">
        <f>IF($Q324="","",IFERROR(INDEX(CONFIG!$H$4:$H$63,MATCH($Q324,CONFIG!$G$4:$G$63,0)),"Por definir"))</f>
        <v/>
      </c>
      <c r="S324" s="28">
        <f>IF($Q324="","",IFERROR(INDEX(CONFIG!$I$4:$I$63,MATCH($Q324,CONFIG!$G$4:$G$63,0)),"Por definir"))</f>
        <v/>
      </c>
      <c r="T324" s="51" t="n"/>
      <c r="U324" s="52" t="n"/>
      <c r="V324" s="50" t="n"/>
      <c r="W324" s="50" t="n"/>
      <c r="X324" s="49">
        <f>IF(OR($B324="",$M324=""),"",WORKDAY($B324,IFERROR(INDEX(CONFIG!$D$4:$D$63,MATCH($M324,CONFIG!$A$4:$A$63,0)),3)))</f>
        <v/>
      </c>
      <c r="Y324" s="47" t="n"/>
      <c r="Z324" s="24">
        <f>IF($B324="","",IF($Y324&lt;&gt;"",$Y324-$B324,TODAY()-$B324))</f>
        <v/>
      </c>
      <c r="AA324" s="28">
        <f>IF($B324="","",IF(IFERROR(INDEX(CONFIG!$L$4:$L$63,MATCH($V324,CONFIG!$K$4:$K$63,0)),"NO")="SÍ",IF(OR($Y324="",$X324=""),"Resuelta",IF($Y324&gt;$X324,"Resuelta tarde","Resuelta a tiempo")),IF($X324="","Sin clasificar",IF(TODAY()&gt;$X324,"Vencida",IF(TODAY()&gt;=$X324-1,"Por vencer","En plazo")))))</f>
        <v/>
      </c>
      <c r="AB324" s="50" t="n"/>
      <c r="AC324" s="50" t="n"/>
    </row>
    <row r="325" ht="16" customHeight="1">
      <c r="A325" s="28">
        <f>IF($B325="","","N-"&amp;TEXT(ROW()-3,"0000"))</f>
        <v/>
      </c>
      <c r="B325" s="47" t="n"/>
      <c r="C325" s="48" t="n"/>
      <c r="D325" s="48" t="n"/>
      <c r="E325" s="28">
        <f>IF($C325="","",IF($D325="",IF($C325="Interna","Sin guía (interna)","FALTA GUÍA"),IF(COUNTIFS(ENVIOS!$A$4:$A$3003,$D325)=0,"NO EXISTE",IF(COUNTIFS(ENVIOS!$A$4:$A$3003,$D325)&gt;1,"DUPLICADA","OK"))))</f>
        <v/>
      </c>
      <c r="F325" s="28">
        <f>IF($D325="","",IFERROR(INDEX(ENVIOS!$B$4:$B$3003,MATCH($D325,ENVIOS!$A$4:$A$3003,0)),"—"))</f>
        <v/>
      </c>
      <c r="G325" s="23">
        <f>IF($D325="","",IFERROR(INDEX(ENVIOS!$D$4:$D$3003,MATCH($D325,ENVIOS!$A$4:$A$3003,0)),"—"))</f>
        <v/>
      </c>
      <c r="H325" s="23">
        <f>IF($D325="","",IFERROR(INDEX(ENVIOS!$E$4:$E$3003,MATCH($D325,ENVIOS!$A$4:$A$3003,0)),"—"))</f>
        <v/>
      </c>
      <c r="I325" s="23">
        <f>IF($D325="","",IFERROR(INDEX(ENVIOS!$F$4:$F$3003,MATCH($D325,ENVIOS!$A$4:$A$3003,0)),"—"))</f>
        <v/>
      </c>
      <c r="J325" s="23">
        <f>IF($D325="","",IFERROR(INDEX(ENVIOS!$G$4:$G$3003,MATCH($D325,ENVIOS!$A$4:$A$3003,0)),"—"))</f>
        <v/>
      </c>
      <c r="K325" s="28">
        <f>IF($D325="","",IFERROR(INDEX(ENVIOS!$H$4:$H$3003,MATCH($D325,ENVIOS!$A$4:$A$3003,0)),"—"))</f>
        <v/>
      </c>
      <c r="L325" s="49">
        <f>IF($D325="","",IFERROR(INDEX(ENVIOS!$C$4:$C$3003,MATCH($D325,ENVIOS!$A$4:$A$3003,0)),""))</f>
        <v/>
      </c>
      <c r="M325" s="50" t="n"/>
      <c r="N325" s="28">
        <f>IF($M325="","",IFERROR(INDEX(CONFIG!$C$4:$C$63,MATCH($M325,CONFIG!$A$4:$A$63,0)),"Media"))</f>
        <v/>
      </c>
      <c r="O325" s="28">
        <f>IF($M325="","",IF($C325="Interna","NO",IFERROR(INDEX(CONFIG!$E$4:$E$63,MATCH($M325,CONFIG!$A$4:$A$63,0)),"NO")))</f>
        <v/>
      </c>
      <c r="P325" s="50" t="n"/>
      <c r="Q325" s="50" t="n"/>
      <c r="R325" s="28">
        <f>IF($Q325="","",IFERROR(INDEX(CONFIG!$H$4:$H$63,MATCH($Q325,CONFIG!$G$4:$G$63,0)),"Por definir"))</f>
        <v/>
      </c>
      <c r="S325" s="28">
        <f>IF($Q325="","",IFERROR(INDEX(CONFIG!$I$4:$I$63,MATCH($Q325,CONFIG!$G$4:$G$63,0)),"Por definir"))</f>
        <v/>
      </c>
      <c r="T325" s="51" t="n"/>
      <c r="U325" s="52" t="n"/>
      <c r="V325" s="50" t="n"/>
      <c r="W325" s="50" t="n"/>
      <c r="X325" s="49">
        <f>IF(OR($B325="",$M325=""),"",WORKDAY($B325,IFERROR(INDEX(CONFIG!$D$4:$D$63,MATCH($M325,CONFIG!$A$4:$A$63,0)),3)))</f>
        <v/>
      </c>
      <c r="Y325" s="47" t="n"/>
      <c r="Z325" s="24">
        <f>IF($B325="","",IF($Y325&lt;&gt;"",$Y325-$B325,TODAY()-$B325))</f>
        <v/>
      </c>
      <c r="AA325" s="28">
        <f>IF($B325="","",IF(IFERROR(INDEX(CONFIG!$L$4:$L$63,MATCH($V325,CONFIG!$K$4:$K$63,0)),"NO")="SÍ",IF(OR($Y325="",$X325=""),"Resuelta",IF($Y325&gt;$X325,"Resuelta tarde","Resuelta a tiempo")),IF($X325="","Sin clasificar",IF(TODAY()&gt;$X325,"Vencida",IF(TODAY()&gt;=$X325-1,"Por vencer","En plazo")))))</f>
        <v/>
      </c>
      <c r="AB325" s="50" t="n"/>
      <c r="AC325" s="50" t="n"/>
    </row>
    <row r="326" ht="16" customHeight="1">
      <c r="A326" s="28">
        <f>IF($B326="","","N-"&amp;TEXT(ROW()-3,"0000"))</f>
        <v/>
      </c>
      <c r="B326" s="47" t="n"/>
      <c r="C326" s="48" t="n"/>
      <c r="D326" s="48" t="n"/>
      <c r="E326" s="28">
        <f>IF($C326="","",IF($D326="",IF($C326="Interna","Sin guía (interna)","FALTA GUÍA"),IF(COUNTIFS(ENVIOS!$A$4:$A$3003,$D326)=0,"NO EXISTE",IF(COUNTIFS(ENVIOS!$A$4:$A$3003,$D326)&gt;1,"DUPLICADA","OK"))))</f>
        <v/>
      </c>
      <c r="F326" s="28">
        <f>IF($D326="","",IFERROR(INDEX(ENVIOS!$B$4:$B$3003,MATCH($D326,ENVIOS!$A$4:$A$3003,0)),"—"))</f>
        <v/>
      </c>
      <c r="G326" s="23">
        <f>IF($D326="","",IFERROR(INDEX(ENVIOS!$D$4:$D$3003,MATCH($D326,ENVIOS!$A$4:$A$3003,0)),"—"))</f>
        <v/>
      </c>
      <c r="H326" s="23">
        <f>IF($D326="","",IFERROR(INDEX(ENVIOS!$E$4:$E$3003,MATCH($D326,ENVIOS!$A$4:$A$3003,0)),"—"))</f>
        <v/>
      </c>
      <c r="I326" s="23">
        <f>IF($D326="","",IFERROR(INDEX(ENVIOS!$F$4:$F$3003,MATCH($D326,ENVIOS!$A$4:$A$3003,0)),"—"))</f>
        <v/>
      </c>
      <c r="J326" s="23">
        <f>IF($D326="","",IFERROR(INDEX(ENVIOS!$G$4:$G$3003,MATCH($D326,ENVIOS!$A$4:$A$3003,0)),"—"))</f>
        <v/>
      </c>
      <c r="K326" s="28">
        <f>IF($D326="","",IFERROR(INDEX(ENVIOS!$H$4:$H$3003,MATCH($D326,ENVIOS!$A$4:$A$3003,0)),"—"))</f>
        <v/>
      </c>
      <c r="L326" s="49">
        <f>IF($D326="","",IFERROR(INDEX(ENVIOS!$C$4:$C$3003,MATCH($D326,ENVIOS!$A$4:$A$3003,0)),""))</f>
        <v/>
      </c>
      <c r="M326" s="50" t="n"/>
      <c r="N326" s="28">
        <f>IF($M326="","",IFERROR(INDEX(CONFIG!$C$4:$C$63,MATCH($M326,CONFIG!$A$4:$A$63,0)),"Media"))</f>
        <v/>
      </c>
      <c r="O326" s="28">
        <f>IF($M326="","",IF($C326="Interna","NO",IFERROR(INDEX(CONFIG!$E$4:$E$63,MATCH($M326,CONFIG!$A$4:$A$63,0)),"NO")))</f>
        <v/>
      </c>
      <c r="P326" s="50" t="n"/>
      <c r="Q326" s="50" t="n"/>
      <c r="R326" s="28">
        <f>IF($Q326="","",IFERROR(INDEX(CONFIG!$H$4:$H$63,MATCH($Q326,CONFIG!$G$4:$G$63,0)),"Por definir"))</f>
        <v/>
      </c>
      <c r="S326" s="28">
        <f>IF($Q326="","",IFERROR(INDEX(CONFIG!$I$4:$I$63,MATCH($Q326,CONFIG!$G$4:$G$63,0)),"Por definir"))</f>
        <v/>
      </c>
      <c r="T326" s="51" t="n"/>
      <c r="U326" s="52" t="n"/>
      <c r="V326" s="50" t="n"/>
      <c r="W326" s="50" t="n"/>
      <c r="X326" s="49">
        <f>IF(OR($B326="",$M326=""),"",WORKDAY($B326,IFERROR(INDEX(CONFIG!$D$4:$D$63,MATCH($M326,CONFIG!$A$4:$A$63,0)),3)))</f>
        <v/>
      </c>
      <c r="Y326" s="47" t="n"/>
      <c r="Z326" s="24">
        <f>IF($B326="","",IF($Y326&lt;&gt;"",$Y326-$B326,TODAY()-$B326))</f>
        <v/>
      </c>
      <c r="AA326" s="28">
        <f>IF($B326="","",IF(IFERROR(INDEX(CONFIG!$L$4:$L$63,MATCH($V326,CONFIG!$K$4:$K$63,0)),"NO")="SÍ",IF(OR($Y326="",$X326=""),"Resuelta",IF($Y326&gt;$X326,"Resuelta tarde","Resuelta a tiempo")),IF($X326="","Sin clasificar",IF(TODAY()&gt;$X326,"Vencida",IF(TODAY()&gt;=$X326-1,"Por vencer","En plazo")))))</f>
        <v/>
      </c>
      <c r="AB326" s="50" t="n"/>
      <c r="AC326" s="50" t="n"/>
    </row>
    <row r="327" ht="16" customHeight="1">
      <c r="A327" s="28">
        <f>IF($B327="","","N-"&amp;TEXT(ROW()-3,"0000"))</f>
        <v/>
      </c>
      <c r="B327" s="47" t="n"/>
      <c r="C327" s="48" t="n"/>
      <c r="D327" s="48" t="n"/>
      <c r="E327" s="28">
        <f>IF($C327="","",IF($D327="",IF($C327="Interna","Sin guía (interna)","FALTA GUÍA"),IF(COUNTIFS(ENVIOS!$A$4:$A$3003,$D327)=0,"NO EXISTE",IF(COUNTIFS(ENVIOS!$A$4:$A$3003,$D327)&gt;1,"DUPLICADA","OK"))))</f>
        <v/>
      </c>
      <c r="F327" s="28">
        <f>IF($D327="","",IFERROR(INDEX(ENVIOS!$B$4:$B$3003,MATCH($D327,ENVIOS!$A$4:$A$3003,0)),"—"))</f>
        <v/>
      </c>
      <c r="G327" s="23">
        <f>IF($D327="","",IFERROR(INDEX(ENVIOS!$D$4:$D$3003,MATCH($D327,ENVIOS!$A$4:$A$3003,0)),"—"))</f>
        <v/>
      </c>
      <c r="H327" s="23">
        <f>IF($D327="","",IFERROR(INDEX(ENVIOS!$E$4:$E$3003,MATCH($D327,ENVIOS!$A$4:$A$3003,0)),"—"))</f>
        <v/>
      </c>
      <c r="I327" s="23">
        <f>IF($D327="","",IFERROR(INDEX(ENVIOS!$F$4:$F$3003,MATCH($D327,ENVIOS!$A$4:$A$3003,0)),"—"))</f>
        <v/>
      </c>
      <c r="J327" s="23">
        <f>IF($D327="","",IFERROR(INDEX(ENVIOS!$G$4:$G$3003,MATCH($D327,ENVIOS!$A$4:$A$3003,0)),"—"))</f>
        <v/>
      </c>
      <c r="K327" s="28">
        <f>IF($D327="","",IFERROR(INDEX(ENVIOS!$H$4:$H$3003,MATCH($D327,ENVIOS!$A$4:$A$3003,0)),"—"))</f>
        <v/>
      </c>
      <c r="L327" s="49">
        <f>IF($D327="","",IFERROR(INDEX(ENVIOS!$C$4:$C$3003,MATCH($D327,ENVIOS!$A$4:$A$3003,0)),""))</f>
        <v/>
      </c>
      <c r="M327" s="50" t="n"/>
      <c r="N327" s="28">
        <f>IF($M327="","",IFERROR(INDEX(CONFIG!$C$4:$C$63,MATCH($M327,CONFIG!$A$4:$A$63,0)),"Media"))</f>
        <v/>
      </c>
      <c r="O327" s="28">
        <f>IF($M327="","",IF($C327="Interna","NO",IFERROR(INDEX(CONFIG!$E$4:$E$63,MATCH($M327,CONFIG!$A$4:$A$63,0)),"NO")))</f>
        <v/>
      </c>
      <c r="P327" s="50" t="n"/>
      <c r="Q327" s="50" t="n"/>
      <c r="R327" s="28">
        <f>IF($Q327="","",IFERROR(INDEX(CONFIG!$H$4:$H$63,MATCH($Q327,CONFIG!$G$4:$G$63,0)),"Por definir"))</f>
        <v/>
      </c>
      <c r="S327" s="28">
        <f>IF($Q327="","",IFERROR(INDEX(CONFIG!$I$4:$I$63,MATCH($Q327,CONFIG!$G$4:$G$63,0)),"Por definir"))</f>
        <v/>
      </c>
      <c r="T327" s="51" t="n"/>
      <c r="U327" s="52" t="n"/>
      <c r="V327" s="50" t="n"/>
      <c r="W327" s="50" t="n"/>
      <c r="X327" s="49">
        <f>IF(OR($B327="",$M327=""),"",WORKDAY($B327,IFERROR(INDEX(CONFIG!$D$4:$D$63,MATCH($M327,CONFIG!$A$4:$A$63,0)),3)))</f>
        <v/>
      </c>
      <c r="Y327" s="47" t="n"/>
      <c r="Z327" s="24">
        <f>IF($B327="","",IF($Y327&lt;&gt;"",$Y327-$B327,TODAY()-$B327))</f>
        <v/>
      </c>
      <c r="AA327" s="28">
        <f>IF($B327="","",IF(IFERROR(INDEX(CONFIG!$L$4:$L$63,MATCH($V327,CONFIG!$K$4:$K$63,0)),"NO")="SÍ",IF(OR($Y327="",$X327=""),"Resuelta",IF($Y327&gt;$X327,"Resuelta tarde","Resuelta a tiempo")),IF($X327="","Sin clasificar",IF(TODAY()&gt;$X327,"Vencida",IF(TODAY()&gt;=$X327-1,"Por vencer","En plazo")))))</f>
        <v/>
      </c>
      <c r="AB327" s="50" t="n"/>
      <c r="AC327" s="50" t="n"/>
    </row>
    <row r="328" ht="16" customHeight="1">
      <c r="A328" s="28">
        <f>IF($B328="","","N-"&amp;TEXT(ROW()-3,"0000"))</f>
        <v/>
      </c>
      <c r="B328" s="47" t="n"/>
      <c r="C328" s="48" t="n"/>
      <c r="D328" s="48" t="n"/>
      <c r="E328" s="28">
        <f>IF($C328="","",IF($D328="",IF($C328="Interna","Sin guía (interna)","FALTA GUÍA"),IF(COUNTIFS(ENVIOS!$A$4:$A$3003,$D328)=0,"NO EXISTE",IF(COUNTIFS(ENVIOS!$A$4:$A$3003,$D328)&gt;1,"DUPLICADA","OK"))))</f>
        <v/>
      </c>
      <c r="F328" s="28">
        <f>IF($D328="","",IFERROR(INDEX(ENVIOS!$B$4:$B$3003,MATCH($D328,ENVIOS!$A$4:$A$3003,0)),"—"))</f>
        <v/>
      </c>
      <c r="G328" s="23">
        <f>IF($D328="","",IFERROR(INDEX(ENVIOS!$D$4:$D$3003,MATCH($D328,ENVIOS!$A$4:$A$3003,0)),"—"))</f>
        <v/>
      </c>
      <c r="H328" s="23">
        <f>IF($D328="","",IFERROR(INDEX(ENVIOS!$E$4:$E$3003,MATCH($D328,ENVIOS!$A$4:$A$3003,0)),"—"))</f>
        <v/>
      </c>
      <c r="I328" s="23">
        <f>IF($D328="","",IFERROR(INDEX(ENVIOS!$F$4:$F$3003,MATCH($D328,ENVIOS!$A$4:$A$3003,0)),"—"))</f>
        <v/>
      </c>
      <c r="J328" s="23">
        <f>IF($D328="","",IFERROR(INDEX(ENVIOS!$G$4:$G$3003,MATCH($D328,ENVIOS!$A$4:$A$3003,0)),"—"))</f>
        <v/>
      </c>
      <c r="K328" s="28">
        <f>IF($D328="","",IFERROR(INDEX(ENVIOS!$H$4:$H$3003,MATCH($D328,ENVIOS!$A$4:$A$3003,0)),"—"))</f>
        <v/>
      </c>
      <c r="L328" s="49">
        <f>IF($D328="","",IFERROR(INDEX(ENVIOS!$C$4:$C$3003,MATCH($D328,ENVIOS!$A$4:$A$3003,0)),""))</f>
        <v/>
      </c>
      <c r="M328" s="50" t="n"/>
      <c r="N328" s="28">
        <f>IF($M328="","",IFERROR(INDEX(CONFIG!$C$4:$C$63,MATCH($M328,CONFIG!$A$4:$A$63,0)),"Media"))</f>
        <v/>
      </c>
      <c r="O328" s="28">
        <f>IF($M328="","",IF($C328="Interna","NO",IFERROR(INDEX(CONFIG!$E$4:$E$63,MATCH($M328,CONFIG!$A$4:$A$63,0)),"NO")))</f>
        <v/>
      </c>
      <c r="P328" s="50" t="n"/>
      <c r="Q328" s="50" t="n"/>
      <c r="R328" s="28">
        <f>IF($Q328="","",IFERROR(INDEX(CONFIG!$H$4:$H$63,MATCH($Q328,CONFIG!$G$4:$G$63,0)),"Por definir"))</f>
        <v/>
      </c>
      <c r="S328" s="28">
        <f>IF($Q328="","",IFERROR(INDEX(CONFIG!$I$4:$I$63,MATCH($Q328,CONFIG!$G$4:$G$63,0)),"Por definir"))</f>
        <v/>
      </c>
      <c r="T328" s="51" t="n"/>
      <c r="U328" s="52" t="n"/>
      <c r="V328" s="50" t="n"/>
      <c r="W328" s="50" t="n"/>
      <c r="X328" s="49">
        <f>IF(OR($B328="",$M328=""),"",WORKDAY($B328,IFERROR(INDEX(CONFIG!$D$4:$D$63,MATCH($M328,CONFIG!$A$4:$A$63,0)),3)))</f>
        <v/>
      </c>
      <c r="Y328" s="47" t="n"/>
      <c r="Z328" s="24">
        <f>IF($B328="","",IF($Y328&lt;&gt;"",$Y328-$B328,TODAY()-$B328))</f>
        <v/>
      </c>
      <c r="AA328" s="28">
        <f>IF($B328="","",IF(IFERROR(INDEX(CONFIG!$L$4:$L$63,MATCH($V328,CONFIG!$K$4:$K$63,0)),"NO")="SÍ",IF(OR($Y328="",$X328=""),"Resuelta",IF($Y328&gt;$X328,"Resuelta tarde","Resuelta a tiempo")),IF($X328="","Sin clasificar",IF(TODAY()&gt;$X328,"Vencida",IF(TODAY()&gt;=$X328-1,"Por vencer","En plazo")))))</f>
        <v/>
      </c>
      <c r="AB328" s="50" t="n"/>
      <c r="AC328" s="50" t="n"/>
    </row>
    <row r="329" ht="16" customHeight="1">
      <c r="A329" s="28">
        <f>IF($B329="","","N-"&amp;TEXT(ROW()-3,"0000"))</f>
        <v/>
      </c>
      <c r="B329" s="47" t="n"/>
      <c r="C329" s="48" t="n"/>
      <c r="D329" s="48" t="n"/>
      <c r="E329" s="28">
        <f>IF($C329="","",IF($D329="",IF($C329="Interna","Sin guía (interna)","FALTA GUÍA"),IF(COUNTIFS(ENVIOS!$A$4:$A$3003,$D329)=0,"NO EXISTE",IF(COUNTIFS(ENVIOS!$A$4:$A$3003,$D329)&gt;1,"DUPLICADA","OK"))))</f>
        <v/>
      </c>
      <c r="F329" s="28">
        <f>IF($D329="","",IFERROR(INDEX(ENVIOS!$B$4:$B$3003,MATCH($D329,ENVIOS!$A$4:$A$3003,0)),"—"))</f>
        <v/>
      </c>
      <c r="G329" s="23">
        <f>IF($D329="","",IFERROR(INDEX(ENVIOS!$D$4:$D$3003,MATCH($D329,ENVIOS!$A$4:$A$3003,0)),"—"))</f>
        <v/>
      </c>
      <c r="H329" s="23">
        <f>IF($D329="","",IFERROR(INDEX(ENVIOS!$E$4:$E$3003,MATCH($D329,ENVIOS!$A$4:$A$3003,0)),"—"))</f>
        <v/>
      </c>
      <c r="I329" s="23">
        <f>IF($D329="","",IFERROR(INDEX(ENVIOS!$F$4:$F$3003,MATCH($D329,ENVIOS!$A$4:$A$3003,0)),"—"))</f>
        <v/>
      </c>
      <c r="J329" s="23">
        <f>IF($D329="","",IFERROR(INDEX(ENVIOS!$G$4:$G$3003,MATCH($D329,ENVIOS!$A$4:$A$3003,0)),"—"))</f>
        <v/>
      </c>
      <c r="K329" s="28">
        <f>IF($D329="","",IFERROR(INDEX(ENVIOS!$H$4:$H$3003,MATCH($D329,ENVIOS!$A$4:$A$3003,0)),"—"))</f>
        <v/>
      </c>
      <c r="L329" s="49">
        <f>IF($D329="","",IFERROR(INDEX(ENVIOS!$C$4:$C$3003,MATCH($D329,ENVIOS!$A$4:$A$3003,0)),""))</f>
        <v/>
      </c>
      <c r="M329" s="50" t="n"/>
      <c r="N329" s="28">
        <f>IF($M329="","",IFERROR(INDEX(CONFIG!$C$4:$C$63,MATCH($M329,CONFIG!$A$4:$A$63,0)),"Media"))</f>
        <v/>
      </c>
      <c r="O329" s="28">
        <f>IF($M329="","",IF($C329="Interna","NO",IFERROR(INDEX(CONFIG!$E$4:$E$63,MATCH($M329,CONFIG!$A$4:$A$63,0)),"NO")))</f>
        <v/>
      </c>
      <c r="P329" s="50" t="n"/>
      <c r="Q329" s="50" t="n"/>
      <c r="R329" s="28">
        <f>IF($Q329="","",IFERROR(INDEX(CONFIG!$H$4:$H$63,MATCH($Q329,CONFIG!$G$4:$G$63,0)),"Por definir"))</f>
        <v/>
      </c>
      <c r="S329" s="28">
        <f>IF($Q329="","",IFERROR(INDEX(CONFIG!$I$4:$I$63,MATCH($Q329,CONFIG!$G$4:$G$63,0)),"Por definir"))</f>
        <v/>
      </c>
      <c r="T329" s="51" t="n"/>
      <c r="U329" s="52" t="n"/>
      <c r="V329" s="50" t="n"/>
      <c r="W329" s="50" t="n"/>
      <c r="X329" s="49">
        <f>IF(OR($B329="",$M329=""),"",WORKDAY($B329,IFERROR(INDEX(CONFIG!$D$4:$D$63,MATCH($M329,CONFIG!$A$4:$A$63,0)),3)))</f>
        <v/>
      </c>
      <c r="Y329" s="47" t="n"/>
      <c r="Z329" s="24">
        <f>IF($B329="","",IF($Y329&lt;&gt;"",$Y329-$B329,TODAY()-$B329))</f>
        <v/>
      </c>
      <c r="AA329" s="28">
        <f>IF($B329="","",IF(IFERROR(INDEX(CONFIG!$L$4:$L$63,MATCH($V329,CONFIG!$K$4:$K$63,0)),"NO")="SÍ",IF(OR($Y329="",$X329=""),"Resuelta",IF($Y329&gt;$X329,"Resuelta tarde","Resuelta a tiempo")),IF($X329="","Sin clasificar",IF(TODAY()&gt;$X329,"Vencida",IF(TODAY()&gt;=$X329-1,"Por vencer","En plazo")))))</f>
        <v/>
      </c>
      <c r="AB329" s="50" t="n"/>
      <c r="AC329" s="50" t="n"/>
    </row>
    <row r="330" ht="16" customHeight="1">
      <c r="A330" s="28">
        <f>IF($B330="","","N-"&amp;TEXT(ROW()-3,"0000"))</f>
        <v/>
      </c>
      <c r="B330" s="47" t="n"/>
      <c r="C330" s="48" t="n"/>
      <c r="D330" s="48" t="n"/>
      <c r="E330" s="28">
        <f>IF($C330="","",IF($D330="",IF($C330="Interna","Sin guía (interna)","FALTA GUÍA"),IF(COUNTIFS(ENVIOS!$A$4:$A$3003,$D330)=0,"NO EXISTE",IF(COUNTIFS(ENVIOS!$A$4:$A$3003,$D330)&gt;1,"DUPLICADA","OK"))))</f>
        <v/>
      </c>
      <c r="F330" s="28">
        <f>IF($D330="","",IFERROR(INDEX(ENVIOS!$B$4:$B$3003,MATCH($D330,ENVIOS!$A$4:$A$3003,0)),"—"))</f>
        <v/>
      </c>
      <c r="G330" s="23">
        <f>IF($D330="","",IFERROR(INDEX(ENVIOS!$D$4:$D$3003,MATCH($D330,ENVIOS!$A$4:$A$3003,0)),"—"))</f>
        <v/>
      </c>
      <c r="H330" s="23">
        <f>IF($D330="","",IFERROR(INDEX(ENVIOS!$E$4:$E$3003,MATCH($D330,ENVIOS!$A$4:$A$3003,0)),"—"))</f>
        <v/>
      </c>
      <c r="I330" s="23">
        <f>IF($D330="","",IFERROR(INDEX(ENVIOS!$F$4:$F$3003,MATCH($D330,ENVIOS!$A$4:$A$3003,0)),"—"))</f>
        <v/>
      </c>
      <c r="J330" s="23">
        <f>IF($D330="","",IFERROR(INDEX(ENVIOS!$G$4:$G$3003,MATCH($D330,ENVIOS!$A$4:$A$3003,0)),"—"))</f>
        <v/>
      </c>
      <c r="K330" s="28">
        <f>IF($D330="","",IFERROR(INDEX(ENVIOS!$H$4:$H$3003,MATCH($D330,ENVIOS!$A$4:$A$3003,0)),"—"))</f>
        <v/>
      </c>
      <c r="L330" s="49">
        <f>IF($D330="","",IFERROR(INDEX(ENVIOS!$C$4:$C$3003,MATCH($D330,ENVIOS!$A$4:$A$3003,0)),""))</f>
        <v/>
      </c>
      <c r="M330" s="50" t="n"/>
      <c r="N330" s="28">
        <f>IF($M330="","",IFERROR(INDEX(CONFIG!$C$4:$C$63,MATCH($M330,CONFIG!$A$4:$A$63,0)),"Media"))</f>
        <v/>
      </c>
      <c r="O330" s="28">
        <f>IF($M330="","",IF($C330="Interna","NO",IFERROR(INDEX(CONFIG!$E$4:$E$63,MATCH($M330,CONFIG!$A$4:$A$63,0)),"NO")))</f>
        <v/>
      </c>
      <c r="P330" s="50" t="n"/>
      <c r="Q330" s="50" t="n"/>
      <c r="R330" s="28">
        <f>IF($Q330="","",IFERROR(INDEX(CONFIG!$H$4:$H$63,MATCH($Q330,CONFIG!$G$4:$G$63,0)),"Por definir"))</f>
        <v/>
      </c>
      <c r="S330" s="28">
        <f>IF($Q330="","",IFERROR(INDEX(CONFIG!$I$4:$I$63,MATCH($Q330,CONFIG!$G$4:$G$63,0)),"Por definir"))</f>
        <v/>
      </c>
      <c r="T330" s="51" t="n"/>
      <c r="U330" s="52" t="n"/>
      <c r="V330" s="50" t="n"/>
      <c r="W330" s="50" t="n"/>
      <c r="X330" s="49">
        <f>IF(OR($B330="",$M330=""),"",WORKDAY($B330,IFERROR(INDEX(CONFIG!$D$4:$D$63,MATCH($M330,CONFIG!$A$4:$A$63,0)),3)))</f>
        <v/>
      </c>
      <c r="Y330" s="47" t="n"/>
      <c r="Z330" s="24">
        <f>IF($B330="","",IF($Y330&lt;&gt;"",$Y330-$B330,TODAY()-$B330))</f>
        <v/>
      </c>
      <c r="AA330" s="28">
        <f>IF($B330="","",IF(IFERROR(INDEX(CONFIG!$L$4:$L$63,MATCH($V330,CONFIG!$K$4:$K$63,0)),"NO")="SÍ",IF(OR($Y330="",$X330=""),"Resuelta",IF($Y330&gt;$X330,"Resuelta tarde","Resuelta a tiempo")),IF($X330="","Sin clasificar",IF(TODAY()&gt;$X330,"Vencida",IF(TODAY()&gt;=$X330-1,"Por vencer","En plazo")))))</f>
        <v/>
      </c>
      <c r="AB330" s="50" t="n"/>
      <c r="AC330" s="50" t="n"/>
    </row>
    <row r="331" ht="16" customHeight="1">
      <c r="A331" s="28">
        <f>IF($B331="","","N-"&amp;TEXT(ROW()-3,"0000"))</f>
        <v/>
      </c>
      <c r="B331" s="47" t="n"/>
      <c r="C331" s="48" t="n"/>
      <c r="D331" s="48" t="n"/>
      <c r="E331" s="28">
        <f>IF($C331="","",IF($D331="",IF($C331="Interna","Sin guía (interna)","FALTA GUÍA"),IF(COUNTIFS(ENVIOS!$A$4:$A$3003,$D331)=0,"NO EXISTE",IF(COUNTIFS(ENVIOS!$A$4:$A$3003,$D331)&gt;1,"DUPLICADA","OK"))))</f>
        <v/>
      </c>
      <c r="F331" s="28">
        <f>IF($D331="","",IFERROR(INDEX(ENVIOS!$B$4:$B$3003,MATCH($D331,ENVIOS!$A$4:$A$3003,0)),"—"))</f>
        <v/>
      </c>
      <c r="G331" s="23">
        <f>IF($D331="","",IFERROR(INDEX(ENVIOS!$D$4:$D$3003,MATCH($D331,ENVIOS!$A$4:$A$3003,0)),"—"))</f>
        <v/>
      </c>
      <c r="H331" s="23">
        <f>IF($D331="","",IFERROR(INDEX(ENVIOS!$E$4:$E$3003,MATCH($D331,ENVIOS!$A$4:$A$3003,0)),"—"))</f>
        <v/>
      </c>
      <c r="I331" s="23">
        <f>IF($D331="","",IFERROR(INDEX(ENVIOS!$F$4:$F$3003,MATCH($D331,ENVIOS!$A$4:$A$3003,0)),"—"))</f>
        <v/>
      </c>
      <c r="J331" s="23">
        <f>IF($D331="","",IFERROR(INDEX(ENVIOS!$G$4:$G$3003,MATCH($D331,ENVIOS!$A$4:$A$3003,0)),"—"))</f>
        <v/>
      </c>
      <c r="K331" s="28">
        <f>IF($D331="","",IFERROR(INDEX(ENVIOS!$H$4:$H$3003,MATCH($D331,ENVIOS!$A$4:$A$3003,0)),"—"))</f>
        <v/>
      </c>
      <c r="L331" s="49">
        <f>IF($D331="","",IFERROR(INDEX(ENVIOS!$C$4:$C$3003,MATCH($D331,ENVIOS!$A$4:$A$3003,0)),""))</f>
        <v/>
      </c>
      <c r="M331" s="50" t="n"/>
      <c r="N331" s="28">
        <f>IF($M331="","",IFERROR(INDEX(CONFIG!$C$4:$C$63,MATCH($M331,CONFIG!$A$4:$A$63,0)),"Media"))</f>
        <v/>
      </c>
      <c r="O331" s="28">
        <f>IF($M331="","",IF($C331="Interna","NO",IFERROR(INDEX(CONFIG!$E$4:$E$63,MATCH($M331,CONFIG!$A$4:$A$63,0)),"NO")))</f>
        <v/>
      </c>
      <c r="P331" s="50" t="n"/>
      <c r="Q331" s="50" t="n"/>
      <c r="R331" s="28">
        <f>IF($Q331="","",IFERROR(INDEX(CONFIG!$H$4:$H$63,MATCH($Q331,CONFIG!$G$4:$G$63,0)),"Por definir"))</f>
        <v/>
      </c>
      <c r="S331" s="28">
        <f>IF($Q331="","",IFERROR(INDEX(CONFIG!$I$4:$I$63,MATCH($Q331,CONFIG!$G$4:$G$63,0)),"Por definir"))</f>
        <v/>
      </c>
      <c r="T331" s="51" t="n"/>
      <c r="U331" s="52" t="n"/>
      <c r="V331" s="50" t="n"/>
      <c r="W331" s="50" t="n"/>
      <c r="X331" s="49">
        <f>IF(OR($B331="",$M331=""),"",WORKDAY($B331,IFERROR(INDEX(CONFIG!$D$4:$D$63,MATCH($M331,CONFIG!$A$4:$A$63,0)),3)))</f>
        <v/>
      </c>
      <c r="Y331" s="47" t="n"/>
      <c r="Z331" s="24">
        <f>IF($B331="","",IF($Y331&lt;&gt;"",$Y331-$B331,TODAY()-$B331))</f>
        <v/>
      </c>
      <c r="AA331" s="28">
        <f>IF($B331="","",IF(IFERROR(INDEX(CONFIG!$L$4:$L$63,MATCH($V331,CONFIG!$K$4:$K$63,0)),"NO")="SÍ",IF(OR($Y331="",$X331=""),"Resuelta",IF($Y331&gt;$X331,"Resuelta tarde","Resuelta a tiempo")),IF($X331="","Sin clasificar",IF(TODAY()&gt;$X331,"Vencida",IF(TODAY()&gt;=$X331-1,"Por vencer","En plazo")))))</f>
        <v/>
      </c>
      <c r="AB331" s="50" t="n"/>
      <c r="AC331" s="50" t="n"/>
    </row>
    <row r="332" ht="16" customHeight="1">
      <c r="A332" s="28">
        <f>IF($B332="","","N-"&amp;TEXT(ROW()-3,"0000"))</f>
        <v/>
      </c>
      <c r="B332" s="47" t="n"/>
      <c r="C332" s="48" t="n"/>
      <c r="D332" s="48" t="n"/>
      <c r="E332" s="28">
        <f>IF($C332="","",IF($D332="",IF($C332="Interna","Sin guía (interna)","FALTA GUÍA"),IF(COUNTIFS(ENVIOS!$A$4:$A$3003,$D332)=0,"NO EXISTE",IF(COUNTIFS(ENVIOS!$A$4:$A$3003,$D332)&gt;1,"DUPLICADA","OK"))))</f>
        <v/>
      </c>
      <c r="F332" s="28">
        <f>IF($D332="","",IFERROR(INDEX(ENVIOS!$B$4:$B$3003,MATCH($D332,ENVIOS!$A$4:$A$3003,0)),"—"))</f>
        <v/>
      </c>
      <c r="G332" s="23">
        <f>IF($D332="","",IFERROR(INDEX(ENVIOS!$D$4:$D$3003,MATCH($D332,ENVIOS!$A$4:$A$3003,0)),"—"))</f>
        <v/>
      </c>
      <c r="H332" s="23">
        <f>IF($D332="","",IFERROR(INDEX(ENVIOS!$E$4:$E$3003,MATCH($D332,ENVIOS!$A$4:$A$3003,0)),"—"))</f>
        <v/>
      </c>
      <c r="I332" s="23">
        <f>IF($D332="","",IFERROR(INDEX(ENVIOS!$F$4:$F$3003,MATCH($D332,ENVIOS!$A$4:$A$3003,0)),"—"))</f>
        <v/>
      </c>
      <c r="J332" s="23">
        <f>IF($D332="","",IFERROR(INDEX(ENVIOS!$G$4:$G$3003,MATCH($D332,ENVIOS!$A$4:$A$3003,0)),"—"))</f>
        <v/>
      </c>
      <c r="K332" s="28">
        <f>IF($D332="","",IFERROR(INDEX(ENVIOS!$H$4:$H$3003,MATCH($D332,ENVIOS!$A$4:$A$3003,0)),"—"))</f>
        <v/>
      </c>
      <c r="L332" s="49">
        <f>IF($D332="","",IFERROR(INDEX(ENVIOS!$C$4:$C$3003,MATCH($D332,ENVIOS!$A$4:$A$3003,0)),""))</f>
        <v/>
      </c>
      <c r="M332" s="50" t="n"/>
      <c r="N332" s="28">
        <f>IF($M332="","",IFERROR(INDEX(CONFIG!$C$4:$C$63,MATCH($M332,CONFIG!$A$4:$A$63,0)),"Media"))</f>
        <v/>
      </c>
      <c r="O332" s="28">
        <f>IF($M332="","",IF($C332="Interna","NO",IFERROR(INDEX(CONFIG!$E$4:$E$63,MATCH($M332,CONFIG!$A$4:$A$63,0)),"NO")))</f>
        <v/>
      </c>
      <c r="P332" s="50" t="n"/>
      <c r="Q332" s="50" t="n"/>
      <c r="R332" s="28">
        <f>IF($Q332="","",IFERROR(INDEX(CONFIG!$H$4:$H$63,MATCH($Q332,CONFIG!$G$4:$G$63,0)),"Por definir"))</f>
        <v/>
      </c>
      <c r="S332" s="28">
        <f>IF($Q332="","",IFERROR(INDEX(CONFIG!$I$4:$I$63,MATCH($Q332,CONFIG!$G$4:$G$63,0)),"Por definir"))</f>
        <v/>
      </c>
      <c r="T332" s="51" t="n"/>
      <c r="U332" s="52" t="n"/>
      <c r="V332" s="50" t="n"/>
      <c r="W332" s="50" t="n"/>
      <c r="X332" s="49">
        <f>IF(OR($B332="",$M332=""),"",WORKDAY($B332,IFERROR(INDEX(CONFIG!$D$4:$D$63,MATCH($M332,CONFIG!$A$4:$A$63,0)),3)))</f>
        <v/>
      </c>
      <c r="Y332" s="47" t="n"/>
      <c r="Z332" s="24">
        <f>IF($B332="","",IF($Y332&lt;&gt;"",$Y332-$B332,TODAY()-$B332))</f>
        <v/>
      </c>
      <c r="AA332" s="28">
        <f>IF($B332="","",IF(IFERROR(INDEX(CONFIG!$L$4:$L$63,MATCH($V332,CONFIG!$K$4:$K$63,0)),"NO")="SÍ",IF(OR($Y332="",$X332=""),"Resuelta",IF($Y332&gt;$X332,"Resuelta tarde","Resuelta a tiempo")),IF($X332="","Sin clasificar",IF(TODAY()&gt;$X332,"Vencida",IF(TODAY()&gt;=$X332-1,"Por vencer","En plazo")))))</f>
        <v/>
      </c>
      <c r="AB332" s="50" t="n"/>
      <c r="AC332" s="50" t="n"/>
    </row>
    <row r="333" ht="16" customHeight="1">
      <c r="A333" s="28">
        <f>IF($B333="","","N-"&amp;TEXT(ROW()-3,"0000"))</f>
        <v/>
      </c>
      <c r="B333" s="47" t="n"/>
      <c r="C333" s="48" t="n"/>
      <c r="D333" s="48" t="n"/>
      <c r="E333" s="28">
        <f>IF($C333="","",IF($D333="",IF($C333="Interna","Sin guía (interna)","FALTA GUÍA"),IF(COUNTIFS(ENVIOS!$A$4:$A$3003,$D333)=0,"NO EXISTE",IF(COUNTIFS(ENVIOS!$A$4:$A$3003,$D333)&gt;1,"DUPLICADA","OK"))))</f>
        <v/>
      </c>
      <c r="F333" s="28">
        <f>IF($D333="","",IFERROR(INDEX(ENVIOS!$B$4:$B$3003,MATCH($D333,ENVIOS!$A$4:$A$3003,0)),"—"))</f>
        <v/>
      </c>
      <c r="G333" s="23">
        <f>IF($D333="","",IFERROR(INDEX(ENVIOS!$D$4:$D$3003,MATCH($D333,ENVIOS!$A$4:$A$3003,0)),"—"))</f>
        <v/>
      </c>
      <c r="H333" s="23">
        <f>IF($D333="","",IFERROR(INDEX(ENVIOS!$E$4:$E$3003,MATCH($D333,ENVIOS!$A$4:$A$3003,0)),"—"))</f>
        <v/>
      </c>
      <c r="I333" s="23">
        <f>IF($D333="","",IFERROR(INDEX(ENVIOS!$F$4:$F$3003,MATCH($D333,ENVIOS!$A$4:$A$3003,0)),"—"))</f>
        <v/>
      </c>
      <c r="J333" s="23">
        <f>IF($D333="","",IFERROR(INDEX(ENVIOS!$G$4:$G$3003,MATCH($D333,ENVIOS!$A$4:$A$3003,0)),"—"))</f>
        <v/>
      </c>
      <c r="K333" s="28">
        <f>IF($D333="","",IFERROR(INDEX(ENVIOS!$H$4:$H$3003,MATCH($D333,ENVIOS!$A$4:$A$3003,0)),"—"))</f>
        <v/>
      </c>
      <c r="L333" s="49">
        <f>IF($D333="","",IFERROR(INDEX(ENVIOS!$C$4:$C$3003,MATCH($D333,ENVIOS!$A$4:$A$3003,0)),""))</f>
        <v/>
      </c>
      <c r="M333" s="50" t="n"/>
      <c r="N333" s="28">
        <f>IF($M333="","",IFERROR(INDEX(CONFIG!$C$4:$C$63,MATCH($M333,CONFIG!$A$4:$A$63,0)),"Media"))</f>
        <v/>
      </c>
      <c r="O333" s="28">
        <f>IF($M333="","",IF($C333="Interna","NO",IFERROR(INDEX(CONFIG!$E$4:$E$63,MATCH($M333,CONFIG!$A$4:$A$63,0)),"NO")))</f>
        <v/>
      </c>
      <c r="P333" s="50" t="n"/>
      <c r="Q333" s="50" t="n"/>
      <c r="R333" s="28">
        <f>IF($Q333="","",IFERROR(INDEX(CONFIG!$H$4:$H$63,MATCH($Q333,CONFIG!$G$4:$G$63,0)),"Por definir"))</f>
        <v/>
      </c>
      <c r="S333" s="28">
        <f>IF($Q333="","",IFERROR(INDEX(CONFIG!$I$4:$I$63,MATCH($Q333,CONFIG!$G$4:$G$63,0)),"Por definir"))</f>
        <v/>
      </c>
      <c r="T333" s="51" t="n"/>
      <c r="U333" s="52" t="n"/>
      <c r="V333" s="50" t="n"/>
      <c r="W333" s="50" t="n"/>
      <c r="X333" s="49">
        <f>IF(OR($B333="",$M333=""),"",WORKDAY($B333,IFERROR(INDEX(CONFIG!$D$4:$D$63,MATCH($M333,CONFIG!$A$4:$A$63,0)),3)))</f>
        <v/>
      </c>
      <c r="Y333" s="47" t="n"/>
      <c r="Z333" s="24">
        <f>IF($B333="","",IF($Y333&lt;&gt;"",$Y333-$B333,TODAY()-$B333))</f>
        <v/>
      </c>
      <c r="AA333" s="28">
        <f>IF($B333="","",IF(IFERROR(INDEX(CONFIG!$L$4:$L$63,MATCH($V333,CONFIG!$K$4:$K$63,0)),"NO")="SÍ",IF(OR($Y333="",$X333=""),"Resuelta",IF($Y333&gt;$X333,"Resuelta tarde","Resuelta a tiempo")),IF($X333="","Sin clasificar",IF(TODAY()&gt;$X333,"Vencida",IF(TODAY()&gt;=$X333-1,"Por vencer","En plazo")))))</f>
        <v/>
      </c>
      <c r="AB333" s="50" t="n"/>
      <c r="AC333" s="50" t="n"/>
    </row>
    <row r="334" ht="16" customHeight="1">
      <c r="A334" s="28">
        <f>IF($B334="","","N-"&amp;TEXT(ROW()-3,"0000"))</f>
        <v/>
      </c>
      <c r="B334" s="47" t="n"/>
      <c r="C334" s="48" t="n"/>
      <c r="D334" s="48" t="n"/>
      <c r="E334" s="28">
        <f>IF($C334="","",IF($D334="",IF($C334="Interna","Sin guía (interna)","FALTA GUÍA"),IF(COUNTIFS(ENVIOS!$A$4:$A$3003,$D334)=0,"NO EXISTE",IF(COUNTIFS(ENVIOS!$A$4:$A$3003,$D334)&gt;1,"DUPLICADA","OK"))))</f>
        <v/>
      </c>
      <c r="F334" s="28">
        <f>IF($D334="","",IFERROR(INDEX(ENVIOS!$B$4:$B$3003,MATCH($D334,ENVIOS!$A$4:$A$3003,0)),"—"))</f>
        <v/>
      </c>
      <c r="G334" s="23">
        <f>IF($D334="","",IFERROR(INDEX(ENVIOS!$D$4:$D$3003,MATCH($D334,ENVIOS!$A$4:$A$3003,0)),"—"))</f>
        <v/>
      </c>
      <c r="H334" s="23">
        <f>IF($D334="","",IFERROR(INDEX(ENVIOS!$E$4:$E$3003,MATCH($D334,ENVIOS!$A$4:$A$3003,0)),"—"))</f>
        <v/>
      </c>
      <c r="I334" s="23">
        <f>IF($D334="","",IFERROR(INDEX(ENVIOS!$F$4:$F$3003,MATCH($D334,ENVIOS!$A$4:$A$3003,0)),"—"))</f>
        <v/>
      </c>
      <c r="J334" s="23">
        <f>IF($D334="","",IFERROR(INDEX(ENVIOS!$G$4:$G$3003,MATCH($D334,ENVIOS!$A$4:$A$3003,0)),"—"))</f>
        <v/>
      </c>
      <c r="K334" s="28">
        <f>IF($D334="","",IFERROR(INDEX(ENVIOS!$H$4:$H$3003,MATCH($D334,ENVIOS!$A$4:$A$3003,0)),"—"))</f>
        <v/>
      </c>
      <c r="L334" s="49">
        <f>IF($D334="","",IFERROR(INDEX(ENVIOS!$C$4:$C$3003,MATCH($D334,ENVIOS!$A$4:$A$3003,0)),""))</f>
        <v/>
      </c>
      <c r="M334" s="50" t="n"/>
      <c r="N334" s="28">
        <f>IF($M334="","",IFERROR(INDEX(CONFIG!$C$4:$C$63,MATCH($M334,CONFIG!$A$4:$A$63,0)),"Media"))</f>
        <v/>
      </c>
      <c r="O334" s="28">
        <f>IF($M334="","",IF($C334="Interna","NO",IFERROR(INDEX(CONFIG!$E$4:$E$63,MATCH($M334,CONFIG!$A$4:$A$63,0)),"NO")))</f>
        <v/>
      </c>
      <c r="P334" s="50" t="n"/>
      <c r="Q334" s="50" t="n"/>
      <c r="R334" s="28">
        <f>IF($Q334="","",IFERROR(INDEX(CONFIG!$H$4:$H$63,MATCH($Q334,CONFIG!$G$4:$G$63,0)),"Por definir"))</f>
        <v/>
      </c>
      <c r="S334" s="28">
        <f>IF($Q334="","",IFERROR(INDEX(CONFIG!$I$4:$I$63,MATCH($Q334,CONFIG!$G$4:$G$63,0)),"Por definir"))</f>
        <v/>
      </c>
      <c r="T334" s="51" t="n"/>
      <c r="U334" s="52" t="n"/>
      <c r="V334" s="50" t="n"/>
      <c r="W334" s="50" t="n"/>
      <c r="X334" s="49">
        <f>IF(OR($B334="",$M334=""),"",WORKDAY($B334,IFERROR(INDEX(CONFIG!$D$4:$D$63,MATCH($M334,CONFIG!$A$4:$A$63,0)),3)))</f>
        <v/>
      </c>
      <c r="Y334" s="47" t="n"/>
      <c r="Z334" s="24">
        <f>IF($B334="","",IF($Y334&lt;&gt;"",$Y334-$B334,TODAY()-$B334))</f>
        <v/>
      </c>
      <c r="AA334" s="28">
        <f>IF($B334="","",IF(IFERROR(INDEX(CONFIG!$L$4:$L$63,MATCH($V334,CONFIG!$K$4:$K$63,0)),"NO")="SÍ",IF(OR($Y334="",$X334=""),"Resuelta",IF($Y334&gt;$X334,"Resuelta tarde","Resuelta a tiempo")),IF($X334="","Sin clasificar",IF(TODAY()&gt;$X334,"Vencida",IF(TODAY()&gt;=$X334-1,"Por vencer","En plazo")))))</f>
        <v/>
      </c>
      <c r="AB334" s="50" t="n"/>
      <c r="AC334" s="50" t="n"/>
    </row>
    <row r="335" ht="16" customHeight="1">
      <c r="A335" s="28">
        <f>IF($B335="","","N-"&amp;TEXT(ROW()-3,"0000"))</f>
        <v/>
      </c>
      <c r="B335" s="47" t="n"/>
      <c r="C335" s="48" t="n"/>
      <c r="D335" s="48" t="n"/>
      <c r="E335" s="28">
        <f>IF($C335="","",IF($D335="",IF($C335="Interna","Sin guía (interna)","FALTA GUÍA"),IF(COUNTIFS(ENVIOS!$A$4:$A$3003,$D335)=0,"NO EXISTE",IF(COUNTIFS(ENVIOS!$A$4:$A$3003,$D335)&gt;1,"DUPLICADA","OK"))))</f>
        <v/>
      </c>
      <c r="F335" s="28">
        <f>IF($D335="","",IFERROR(INDEX(ENVIOS!$B$4:$B$3003,MATCH($D335,ENVIOS!$A$4:$A$3003,0)),"—"))</f>
        <v/>
      </c>
      <c r="G335" s="23">
        <f>IF($D335="","",IFERROR(INDEX(ENVIOS!$D$4:$D$3003,MATCH($D335,ENVIOS!$A$4:$A$3003,0)),"—"))</f>
        <v/>
      </c>
      <c r="H335" s="23">
        <f>IF($D335="","",IFERROR(INDEX(ENVIOS!$E$4:$E$3003,MATCH($D335,ENVIOS!$A$4:$A$3003,0)),"—"))</f>
        <v/>
      </c>
      <c r="I335" s="23">
        <f>IF($D335="","",IFERROR(INDEX(ENVIOS!$F$4:$F$3003,MATCH($D335,ENVIOS!$A$4:$A$3003,0)),"—"))</f>
        <v/>
      </c>
      <c r="J335" s="23">
        <f>IF($D335="","",IFERROR(INDEX(ENVIOS!$G$4:$G$3003,MATCH($D335,ENVIOS!$A$4:$A$3003,0)),"—"))</f>
        <v/>
      </c>
      <c r="K335" s="28">
        <f>IF($D335="","",IFERROR(INDEX(ENVIOS!$H$4:$H$3003,MATCH($D335,ENVIOS!$A$4:$A$3003,0)),"—"))</f>
        <v/>
      </c>
      <c r="L335" s="49">
        <f>IF($D335="","",IFERROR(INDEX(ENVIOS!$C$4:$C$3003,MATCH($D335,ENVIOS!$A$4:$A$3003,0)),""))</f>
        <v/>
      </c>
      <c r="M335" s="50" t="n"/>
      <c r="N335" s="28">
        <f>IF($M335="","",IFERROR(INDEX(CONFIG!$C$4:$C$63,MATCH($M335,CONFIG!$A$4:$A$63,0)),"Media"))</f>
        <v/>
      </c>
      <c r="O335" s="28">
        <f>IF($M335="","",IF($C335="Interna","NO",IFERROR(INDEX(CONFIG!$E$4:$E$63,MATCH($M335,CONFIG!$A$4:$A$63,0)),"NO")))</f>
        <v/>
      </c>
      <c r="P335" s="50" t="n"/>
      <c r="Q335" s="50" t="n"/>
      <c r="R335" s="28">
        <f>IF($Q335="","",IFERROR(INDEX(CONFIG!$H$4:$H$63,MATCH($Q335,CONFIG!$G$4:$G$63,0)),"Por definir"))</f>
        <v/>
      </c>
      <c r="S335" s="28">
        <f>IF($Q335="","",IFERROR(INDEX(CONFIG!$I$4:$I$63,MATCH($Q335,CONFIG!$G$4:$G$63,0)),"Por definir"))</f>
        <v/>
      </c>
      <c r="T335" s="51" t="n"/>
      <c r="U335" s="52" t="n"/>
      <c r="V335" s="50" t="n"/>
      <c r="W335" s="50" t="n"/>
      <c r="X335" s="49">
        <f>IF(OR($B335="",$M335=""),"",WORKDAY($B335,IFERROR(INDEX(CONFIG!$D$4:$D$63,MATCH($M335,CONFIG!$A$4:$A$63,0)),3)))</f>
        <v/>
      </c>
      <c r="Y335" s="47" t="n"/>
      <c r="Z335" s="24">
        <f>IF($B335="","",IF($Y335&lt;&gt;"",$Y335-$B335,TODAY()-$B335))</f>
        <v/>
      </c>
      <c r="AA335" s="28">
        <f>IF($B335="","",IF(IFERROR(INDEX(CONFIG!$L$4:$L$63,MATCH($V335,CONFIG!$K$4:$K$63,0)),"NO")="SÍ",IF(OR($Y335="",$X335=""),"Resuelta",IF($Y335&gt;$X335,"Resuelta tarde","Resuelta a tiempo")),IF($X335="","Sin clasificar",IF(TODAY()&gt;$X335,"Vencida",IF(TODAY()&gt;=$X335-1,"Por vencer","En plazo")))))</f>
        <v/>
      </c>
      <c r="AB335" s="50" t="n"/>
      <c r="AC335" s="50" t="n"/>
    </row>
    <row r="336" ht="16" customHeight="1">
      <c r="A336" s="28">
        <f>IF($B336="","","N-"&amp;TEXT(ROW()-3,"0000"))</f>
        <v/>
      </c>
      <c r="B336" s="47" t="n"/>
      <c r="C336" s="48" t="n"/>
      <c r="D336" s="48" t="n"/>
      <c r="E336" s="28">
        <f>IF($C336="","",IF($D336="",IF($C336="Interna","Sin guía (interna)","FALTA GUÍA"),IF(COUNTIFS(ENVIOS!$A$4:$A$3003,$D336)=0,"NO EXISTE",IF(COUNTIFS(ENVIOS!$A$4:$A$3003,$D336)&gt;1,"DUPLICADA","OK"))))</f>
        <v/>
      </c>
      <c r="F336" s="28">
        <f>IF($D336="","",IFERROR(INDEX(ENVIOS!$B$4:$B$3003,MATCH($D336,ENVIOS!$A$4:$A$3003,0)),"—"))</f>
        <v/>
      </c>
      <c r="G336" s="23">
        <f>IF($D336="","",IFERROR(INDEX(ENVIOS!$D$4:$D$3003,MATCH($D336,ENVIOS!$A$4:$A$3003,0)),"—"))</f>
        <v/>
      </c>
      <c r="H336" s="23">
        <f>IF($D336="","",IFERROR(INDEX(ENVIOS!$E$4:$E$3003,MATCH($D336,ENVIOS!$A$4:$A$3003,0)),"—"))</f>
        <v/>
      </c>
      <c r="I336" s="23">
        <f>IF($D336="","",IFERROR(INDEX(ENVIOS!$F$4:$F$3003,MATCH($D336,ENVIOS!$A$4:$A$3003,0)),"—"))</f>
        <v/>
      </c>
      <c r="J336" s="23">
        <f>IF($D336="","",IFERROR(INDEX(ENVIOS!$G$4:$G$3003,MATCH($D336,ENVIOS!$A$4:$A$3003,0)),"—"))</f>
        <v/>
      </c>
      <c r="K336" s="28">
        <f>IF($D336="","",IFERROR(INDEX(ENVIOS!$H$4:$H$3003,MATCH($D336,ENVIOS!$A$4:$A$3003,0)),"—"))</f>
        <v/>
      </c>
      <c r="L336" s="49">
        <f>IF($D336="","",IFERROR(INDEX(ENVIOS!$C$4:$C$3003,MATCH($D336,ENVIOS!$A$4:$A$3003,0)),""))</f>
        <v/>
      </c>
      <c r="M336" s="50" t="n"/>
      <c r="N336" s="28">
        <f>IF($M336="","",IFERROR(INDEX(CONFIG!$C$4:$C$63,MATCH($M336,CONFIG!$A$4:$A$63,0)),"Media"))</f>
        <v/>
      </c>
      <c r="O336" s="28">
        <f>IF($M336="","",IF($C336="Interna","NO",IFERROR(INDEX(CONFIG!$E$4:$E$63,MATCH($M336,CONFIG!$A$4:$A$63,0)),"NO")))</f>
        <v/>
      </c>
      <c r="P336" s="50" t="n"/>
      <c r="Q336" s="50" t="n"/>
      <c r="R336" s="28">
        <f>IF($Q336="","",IFERROR(INDEX(CONFIG!$H$4:$H$63,MATCH($Q336,CONFIG!$G$4:$G$63,0)),"Por definir"))</f>
        <v/>
      </c>
      <c r="S336" s="28">
        <f>IF($Q336="","",IFERROR(INDEX(CONFIG!$I$4:$I$63,MATCH($Q336,CONFIG!$G$4:$G$63,0)),"Por definir"))</f>
        <v/>
      </c>
      <c r="T336" s="51" t="n"/>
      <c r="U336" s="52" t="n"/>
      <c r="V336" s="50" t="n"/>
      <c r="W336" s="50" t="n"/>
      <c r="X336" s="49">
        <f>IF(OR($B336="",$M336=""),"",WORKDAY($B336,IFERROR(INDEX(CONFIG!$D$4:$D$63,MATCH($M336,CONFIG!$A$4:$A$63,0)),3)))</f>
        <v/>
      </c>
      <c r="Y336" s="47" t="n"/>
      <c r="Z336" s="24">
        <f>IF($B336="","",IF($Y336&lt;&gt;"",$Y336-$B336,TODAY()-$B336))</f>
        <v/>
      </c>
      <c r="AA336" s="28">
        <f>IF($B336="","",IF(IFERROR(INDEX(CONFIG!$L$4:$L$63,MATCH($V336,CONFIG!$K$4:$K$63,0)),"NO")="SÍ",IF(OR($Y336="",$X336=""),"Resuelta",IF($Y336&gt;$X336,"Resuelta tarde","Resuelta a tiempo")),IF($X336="","Sin clasificar",IF(TODAY()&gt;$X336,"Vencida",IF(TODAY()&gt;=$X336-1,"Por vencer","En plazo")))))</f>
        <v/>
      </c>
      <c r="AB336" s="50" t="n"/>
      <c r="AC336" s="50" t="n"/>
    </row>
    <row r="337" ht="16" customHeight="1">
      <c r="A337" s="28">
        <f>IF($B337="","","N-"&amp;TEXT(ROW()-3,"0000"))</f>
        <v/>
      </c>
      <c r="B337" s="47" t="n"/>
      <c r="C337" s="48" t="n"/>
      <c r="D337" s="48" t="n"/>
      <c r="E337" s="28">
        <f>IF($C337="","",IF($D337="",IF($C337="Interna","Sin guía (interna)","FALTA GUÍA"),IF(COUNTIFS(ENVIOS!$A$4:$A$3003,$D337)=0,"NO EXISTE",IF(COUNTIFS(ENVIOS!$A$4:$A$3003,$D337)&gt;1,"DUPLICADA","OK"))))</f>
        <v/>
      </c>
      <c r="F337" s="28">
        <f>IF($D337="","",IFERROR(INDEX(ENVIOS!$B$4:$B$3003,MATCH($D337,ENVIOS!$A$4:$A$3003,0)),"—"))</f>
        <v/>
      </c>
      <c r="G337" s="23">
        <f>IF($D337="","",IFERROR(INDEX(ENVIOS!$D$4:$D$3003,MATCH($D337,ENVIOS!$A$4:$A$3003,0)),"—"))</f>
        <v/>
      </c>
      <c r="H337" s="23">
        <f>IF($D337="","",IFERROR(INDEX(ENVIOS!$E$4:$E$3003,MATCH($D337,ENVIOS!$A$4:$A$3003,0)),"—"))</f>
        <v/>
      </c>
      <c r="I337" s="23">
        <f>IF($D337="","",IFERROR(INDEX(ENVIOS!$F$4:$F$3003,MATCH($D337,ENVIOS!$A$4:$A$3003,0)),"—"))</f>
        <v/>
      </c>
      <c r="J337" s="23">
        <f>IF($D337="","",IFERROR(INDEX(ENVIOS!$G$4:$G$3003,MATCH($D337,ENVIOS!$A$4:$A$3003,0)),"—"))</f>
        <v/>
      </c>
      <c r="K337" s="28">
        <f>IF($D337="","",IFERROR(INDEX(ENVIOS!$H$4:$H$3003,MATCH($D337,ENVIOS!$A$4:$A$3003,0)),"—"))</f>
        <v/>
      </c>
      <c r="L337" s="49">
        <f>IF($D337="","",IFERROR(INDEX(ENVIOS!$C$4:$C$3003,MATCH($D337,ENVIOS!$A$4:$A$3003,0)),""))</f>
        <v/>
      </c>
      <c r="M337" s="50" t="n"/>
      <c r="N337" s="28">
        <f>IF($M337="","",IFERROR(INDEX(CONFIG!$C$4:$C$63,MATCH($M337,CONFIG!$A$4:$A$63,0)),"Media"))</f>
        <v/>
      </c>
      <c r="O337" s="28">
        <f>IF($M337="","",IF($C337="Interna","NO",IFERROR(INDEX(CONFIG!$E$4:$E$63,MATCH($M337,CONFIG!$A$4:$A$63,0)),"NO")))</f>
        <v/>
      </c>
      <c r="P337" s="50" t="n"/>
      <c r="Q337" s="50" t="n"/>
      <c r="R337" s="28">
        <f>IF($Q337="","",IFERROR(INDEX(CONFIG!$H$4:$H$63,MATCH($Q337,CONFIG!$G$4:$G$63,0)),"Por definir"))</f>
        <v/>
      </c>
      <c r="S337" s="28">
        <f>IF($Q337="","",IFERROR(INDEX(CONFIG!$I$4:$I$63,MATCH($Q337,CONFIG!$G$4:$G$63,0)),"Por definir"))</f>
        <v/>
      </c>
      <c r="T337" s="51" t="n"/>
      <c r="U337" s="52" t="n"/>
      <c r="V337" s="50" t="n"/>
      <c r="W337" s="50" t="n"/>
      <c r="X337" s="49">
        <f>IF(OR($B337="",$M337=""),"",WORKDAY($B337,IFERROR(INDEX(CONFIG!$D$4:$D$63,MATCH($M337,CONFIG!$A$4:$A$63,0)),3)))</f>
        <v/>
      </c>
      <c r="Y337" s="47" t="n"/>
      <c r="Z337" s="24">
        <f>IF($B337="","",IF($Y337&lt;&gt;"",$Y337-$B337,TODAY()-$B337))</f>
        <v/>
      </c>
      <c r="AA337" s="28">
        <f>IF($B337="","",IF(IFERROR(INDEX(CONFIG!$L$4:$L$63,MATCH($V337,CONFIG!$K$4:$K$63,0)),"NO")="SÍ",IF(OR($Y337="",$X337=""),"Resuelta",IF($Y337&gt;$X337,"Resuelta tarde","Resuelta a tiempo")),IF($X337="","Sin clasificar",IF(TODAY()&gt;$X337,"Vencida",IF(TODAY()&gt;=$X337-1,"Por vencer","En plazo")))))</f>
        <v/>
      </c>
      <c r="AB337" s="50" t="n"/>
      <c r="AC337" s="50" t="n"/>
    </row>
    <row r="338" ht="16" customHeight="1">
      <c r="A338" s="28">
        <f>IF($B338="","","N-"&amp;TEXT(ROW()-3,"0000"))</f>
        <v/>
      </c>
      <c r="B338" s="47" t="n"/>
      <c r="C338" s="48" t="n"/>
      <c r="D338" s="48" t="n"/>
      <c r="E338" s="28">
        <f>IF($C338="","",IF($D338="",IF($C338="Interna","Sin guía (interna)","FALTA GUÍA"),IF(COUNTIFS(ENVIOS!$A$4:$A$3003,$D338)=0,"NO EXISTE",IF(COUNTIFS(ENVIOS!$A$4:$A$3003,$D338)&gt;1,"DUPLICADA","OK"))))</f>
        <v/>
      </c>
      <c r="F338" s="28">
        <f>IF($D338="","",IFERROR(INDEX(ENVIOS!$B$4:$B$3003,MATCH($D338,ENVIOS!$A$4:$A$3003,0)),"—"))</f>
        <v/>
      </c>
      <c r="G338" s="23">
        <f>IF($D338="","",IFERROR(INDEX(ENVIOS!$D$4:$D$3003,MATCH($D338,ENVIOS!$A$4:$A$3003,0)),"—"))</f>
        <v/>
      </c>
      <c r="H338" s="23">
        <f>IF($D338="","",IFERROR(INDEX(ENVIOS!$E$4:$E$3003,MATCH($D338,ENVIOS!$A$4:$A$3003,0)),"—"))</f>
        <v/>
      </c>
      <c r="I338" s="23">
        <f>IF($D338="","",IFERROR(INDEX(ENVIOS!$F$4:$F$3003,MATCH($D338,ENVIOS!$A$4:$A$3003,0)),"—"))</f>
        <v/>
      </c>
      <c r="J338" s="23">
        <f>IF($D338="","",IFERROR(INDEX(ENVIOS!$G$4:$G$3003,MATCH($D338,ENVIOS!$A$4:$A$3003,0)),"—"))</f>
        <v/>
      </c>
      <c r="K338" s="28">
        <f>IF($D338="","",IFERROR(INDEX(ENVIOS!$H$4:$H$3003,MATCH($D338,ENVIOS!$A$4:$A$3003,0)),"—"))</f>
        <v/>
      </c>
      <c r="L338" s="49">
        <f>IF($D338="","",IFERROR(INDEX(ENVIOS!$C$4:$C$3003,MATCH($D338,ENVIOS!$A$4:$A$3003,0)),""))</f>
        <v/>
      </c>
      <c r="M338" s="50" t="n"/>
      <c r="N338" s="28">
        <f>IF($M338="","",IFERROR(INDEX(CONFIG!$C$4:$C$63,MATCH($M338,CONFIG!$A$4:$A$63,0)),"Media"))</f>
        <v/>
      </c>
      <c r="O338" s="28">
        <f>IF($M338="","",IF($C338="Interna","NO",IFERROR(INDEX(CONFIG!$E$4:$E$63,MATCH($M338,CONFIG!$A$4:$A$63,0)),"NO")))</f>
        <v/>
      </c>
      <c r="P338" s="50" t="n"/>
      <c r="Q338" s="50" t="n"/>
      <c r="R338" s="28">
        <f>IF($Q338="","",IFERROR(INDEX(CONFIG!$H$4:$H$63,MATCH($Q338,CONFIG!$G$4:$G$63,0)),"Por definir"))</f>
        <v/>
      </c>
      <c r="S338" s="28">
        <f>IF($Q338="","",IFERROR(INDEX(CONFIG!$I$4:$I$63,MATCH($Q338,CONFIG!$G$4:$G$63,0)),"Por definir"))</f>
        <v/>
      </c>
      <c r="T338" s="51" t="n"/>
      <c r="U338" s="52" t="n"/>
      <c r="V338" s="50" t="n"/>
      <c r="W338" s="50" t="n"/>
      <c r="X338" s="49">
        <f>IF(OR($B338="",$M338=""),"",WORKDAY($B338,IFERROR(INDEX(CONFIG!$D$4:$D$63,MATCH($M338,CONFIG!$A$4:$A$63,0)),3)))</f>
        <v/>
      </c>
      <c r="Y338" s="47" t="n"/>
      <c r="Z338" s="24">
        <f>IF($B338="","",IF($Y338&lt;&gt;"",$Y338-$B338,TODAY()-$B338))</f>
        <v/>
      </c>
      <c r="AA338" s="28">
        <f>IF($B338="","",IF(IFERROR(INDEX(CONFIG!$L$4:$L$63,MATCH($V338,CONFIG!$K$4:$K$63,0)),"NO")="SÍ",IF(OR($Y338="",$X338=""),"Resuelta",IF($Y338&gt;$X338,"Resuelta tarde","Resuelta a tiempo")),IF($X338="","Sin clasificar",IF(TODAY()&gt;$X338,"Vencida",IF(TODAY()&gt;=$X338-1,"Por vencer","En plazo")))))</f>
        <v/>
      </c>
      <c r="AB338" s="50" t="n"/>
      <c r="AC338" s="50" t="n"/>
    </row>
    <row r="339" ht="16" customHeight="1">
      <c r="A339" s="28">
        <f>IF($B339="","","N-"&amp;TEXT(ROW()-3,"0000"))</f>
        <v/>
      </c>
      <c r="B339" s="47" t="n"/>
      <c r="C339" s="48" t="n"/>
      <c r="D339" s="48" t="n"/>
      <c r="E339" s="28">
        <f>IF($C339="","",IF($D339="",IF($C339="Interna","Sin guía (interna)","FALTA GUÍA"),IF(COUNTIFS(ENVIOS!$A$4:$A$3003,$D339)=0,"NO EXISTE",IF(COUNTIFS(ENVIOS!$A$4:$A$3003,$D339)&gt;1,"DUPLICADA","OK"))))</f>
        <v/>
      </c>
      <c r="F339" s="28">
        <f>IF($D339="","",IFERROR(INDEX(ENVIOS!$B$4:$B$3003,MATCH($D339,ENVIOS!$A$4:$A$3003,0)),"—"))</f>
        <v/>
      </c>
      <c r="G339" s="23">
        <f>IF($D339="","",IFERROR(INDEX(ENVIOS!$D$4:$D$3003,MATCH($D339,ENVIOS!$A$4:$A$3003,0)),"—"))</f>
        <v/>
      </c>
      <c r="H339" s="23">
        <f>IF($D339="","",IFERROR(INDEX(ENVIOS!$E$4:$E$3003,MATCH($D339,ENVIOS!$A$4:$A$3003,0)),"—"))</f>
        <v/>
      </c>
      <c r="I339" s="23">
        <f>IF($D339="","",IFERROR(INDEX(ENVIOS!$F$4:$F$3003,MATCH($D339,ENVIOS!$A$4:$A$3003,0)),"—"))</f>
        <v/>
      </c>
      <c r="J339" s="23">
        <f>IF($D339="","",IFERROR(INDEX(ENVIOS!$G$4:$G$3003,MATCH($D339,ENVIOS!$A$4:$A$3003,0)),"—"))</f>
        <v/>
      </c>
      <c r="K339" s="28">
        <f>IF($D339="","",IFERROR(INDEX(ENVIOS!$H$4:$H$3003,MATCH($D339,ENVIOS!$A$4:$A$3003,0)),"—"))</f>
        <v/>
      </c>
      <c r="L339" s="49">
        <f>IF($D339="","",IFERROR(INDEX(ENVIOS!$C$4:$C$3003,MATCH($D339,ENVIOS!$A$4:$A$3003,0)),""))</f>
        <v/>
      </c>
      <c r="M339" s="50" t="n"/>
      <c r="N339" s="28">
        <f>IF($M339="","",IFERROR(INDEX(CONFIG!$C$4:$C$63,MATCH($M339,CONFIG!$A$4:$A$63,0)),"Media"))</f>
        <v/>
      </c>
      <c r="O339" s="28">
        <f>IF($M339="","",IF($C339="Interna","NO",IFERROR(INDEX(CONFIG!$E$4:$E$63,MATCH($M339,CONFIG!$A$4:$A$63,0)),"NO")))</f>
        <v/>
      </c>
      <c r="P339" s="50" t="n"/>
      <c r="Q339" s="50" t="n"/>
      <c r="R339" s="28">
        <f>IF($Q339="","",IFERROR(INDEX(CONFIG!$H$4:$H$63,MATCH($Q339,CONFIG!$G$4:$G$63,0)),"Por definir"))</f>
        <v/>
      </c>
      <c r="S339" s="28">
        <f>IF($Q339="","",IFERROR(INDEX(CONFIG!$I$4:$I$63,MATCH($Q339,CONFIG!$G$4:$G$63,0)),"Por definir"))</f>
        <v/>
      </c>
      <c r="T339" s="51" t="n"/>
      <c r="U339" s="52" t="n"/>
      <c r="V339" s="50" t="n"/>
      <c r="W339" s="50" t="n"/>
      <c r="X339" s="49">
        <f>IF(OR($B339="",$M339=""),"",WORKDAY($B339,IFERROR(INDEX(CONFIG!$D$4:$D$63,MATCH($M339,CONFIG!$A$4:$A$63,0)),3)))</f>
        <v/>
      </c>
      <c r="Y339" s="47" t="n"/>
      <c r="Z339" s="24">
        <f>IF($B339="","",IF($Y339&lt;&gt;"",$Y339-$B339,TODAY()-$B339))</f>
        <v/>
      </c>
      <c r="AA339" s="28">
        <f>IF($B339="","",IF(IFERROR(INDEX(CONFIG!$L$4:$L$63,MATCH($V339,CONFIG!$K$4:$K$63,0)),"NO")="SÍ",IF(OR($Y339="",$X339=""),"Resuelta",IF($Y339&gt;$X339,"Resuelta tarde","Resuelta a tiempo")),IF($X339="","Sin clasificar",IF(TODAY()&gt;$X339,"Vencida",IF(TODAY()&gt;=$X339-1,"Por vencer","En plazo")))))</f>
        <v/>
      </c>
      <c r="AB339" s="50" t="n"/>
      <c r="AC339" s="50" t="n"/>
    </row>
    <row r="340" ht="16" customHeight="1">
      <c r="A340" s="28">
        <f>IF($B340="","","N-"&amp;TEXT(ROW()-3,"0000"))</f>
        <v/>
      </c>
      <c r="B340" s="47" t="n"/>
      <c r="C340" s="48" t="n"/>
      <c r="D340" s="48" t="n"/>
      <c r="E340" s="28">
        <f>IF($C340="","",IF($D340="",IF($C340="Interna","Sin guía (interna)","FALTA GUÍA"),IF(COUNTIFS(ENVIOS!$A$4:$A$3003,$D340)=0,"NO EXISTE",IF(COUNTIFS(ENVIOS!$A$4:$A$3003,$D340)&gt;1,"DUPLICADA","OK"))))</f>
        <v/>
      </c>
      <c r="F340" s="28">
        <f>IF($D340="","",IFERROR(INDEX(ENVIOS!$B$4:$B$3003,MATCH($D340,ENVIOS!$A$4:$A$3003,0)),"—"))</f>
        <v/>
      </c>
      <c r="G340" s="23">
        <f>IF($D340="","",IFERROR(INDEX(ENVIOS!$D$4:$D$3003,MATCH($D340,ENVIOS!$A$4:$A$3003,0)),"—"))</f>
        <v/>
      </c>
      <c r="H340" s="23">
        <f>IF($D340="","",IFERROR(INDEX(ENVIOS!$E$4:$E$3003,MATCH($D340,ENVIOS!$A$4:$A$3003,0)),"—"))</f>
        <v/>
      </c>
      <c r="I340" s="23">
        <f>IF($D340="","",IFERROR(INDEX(ENVIOS!$F$4:$F$3003,MATCH($D340,ENVIOS!$A$4:$A$3003,0)),"—"))</f>
        <v/>
      </c>
      <c r="J340" s="23">
        <f>IF($D340="","",IFERROR(INDEX(ENVIOS!$G$4:$G$3003,MATCH($D340,ENVIOS!$A$4:$A$3003,0)),"—"))</f>
        <v/>
      </c>
      <c r="K340" s="28">
        <f>IF($D340="","",IFERROR(INDEX(ENVIOS!$H$4:$H$3003,MATCH($D340,ENVIOS!$A$4:$A$3003,0)),"—"))</f>
        <v/>
      </c>
      <c r="L340" s="49">
        <f>IF($D340="","",IFERROR(INDEX(ENVIOS!$C$4:$C$3003,MATCH($D340,ENVIOS!$A$4:$A$3003,0)),""))</f>
        <v/>
      </c>
      <c r="M340" s="50" t="n"/>
      <c r="N340" s="28">
        <f>IF($M340="","",IFERROR(INDEX(CONFIG!$C$4:$C$63,MATCH($M340,CONFIG!$A$4:$A$63,0)),"Media"))</f>
        <v/>
      </c>
      <c r="O340" s="28">
        <f>IF($M340="","",IF($C340="Interna","NO",IFERROR(INDEX(CONFIG!$E$4:$E$63,MATCH($M340,CONFIG!$A$4:$A$63,0)),"NO")))</f>
        <v/>
      </c>
      <c r="P340" s="50" t="n"/>
      <c r="Q340" s="50" t="n"/>
      <c r="R340" s="28">
        <f>IF($Q340="","",IFERROR(INDEX(CONFIG!$H$4:$H$63,MATCH($Q340,CONFIG!$G$4:$G$63,0)),"Por definir"))</f>
        <v/>
      </c>
      <c r="S340" s="28">
        <f>IF($Q340="","",IFERROR(INDEX(CONFIG!$I$4:$I$63,MATCH($Q340,CONFIG!$G$4:$G$63,0)),"Por definir"))</f>
        <v/>
      </c>
      <c r="T340" s="51" t="n"/>
      <c r="U340" s="52" t="n"/>
      <c r="V340" s="50" t="n"/>
      <c r="W340" s="50" t="n"/>
      <c r="X340" s="49">
        <f>IF(OR($B340="",$M340=""),"",WORKDAY($B340,IFERROR(INDEX(CONFIG!$D$4:$D$63,MATCH($M340,CONFIG!$A$4:$A$63,0)),3)))</f>
        <v/>
      </c>
      <c r="Y340" s="47" t="n"/>
      <c r="Z340" s="24">
        <f>IF($B340="","",IF($Y340&lt;&gt;"",$Y340-$B340,TODAY()-$B340))</f>
        <v/>
      </c>
      <c r="AA340" s="28">
        <f>IF($B340="","",IF(IFERROR(INDEX(CONFIG!$L$4:$L$63,MATCH($V340,CONFIG!$K$4:$K$63,0)),"NO")="SÍ",IF(OR($Y340="",$X340=""),"Resuelta",IF($Y340&gt;$X340,"Resuelta tarde","Resuelta a tiempo")),IF($X340="","Sin clasificar",IF(TODAY()&gt;$X340,"Vencida",IF(TODAY()&gt;=$X340-1,"Por vencer","En plazo")))))</f>
        <v/>
      </c>
      <c r="AB340" s="50" t="n"/>
      <c r="AC340" s="50" t="n"/>
    </row>
    <row r="341" ht="16" customHeight="1">
      <c r="A341" s="28">
        <f>IF($B341="","","N-"&amp;TEXT(ROW()-3,"0000"))</f>
        <v/>
      </c>
      <c r="B341" s="47" t="n"/>
      <c r="C341" s="48" t="n"/>
      <c r="D341" s="48" t="n"/>
      <c r="E341" s="28">
        <f>IF($C341="","",IF($D341="",IF($C341="Interna","Sin guía (interna)","FALTA GUÍA"),IF(COUNTIFS(ENVIOS!$A$4:$A$3003,$D341)=0,"NO EXISTE",IF(COUNTIFS(ENVIOS!$A$4:$A$3003,$D341)&gt;1,"DUPLICADA","OK"))))</f>
        <v/>
      </c>
      <c r="F341" s="28">
        <f>IF($D341="","",IFERROR(INDEX(ENVIOS!$B$4:$B$3003,MATCH($D341,ENVIOS!$A$4:$A$3003,0)),"—"))</f>
        <v/>
      </c>
      <c r="G341" s="23">
        <f>IF($D341="","",IFERROR(INDEX(ENVIOS!$D$4:$D$3003,MATCH($D341,ENVIOS!$A$4:$A$3003,0)),"—"))</f>
        <v/>
      </c>
      <c r="H341" s="23">
        <f>IF($D341="","",IFERROR(INDEX(ENVIOS!$E$4:$E$3003,MATCH($D341,ENVIOS!$A$4:$A$3003,0)),"—"))</f>
        <v/>
      </c>
      <c r="I341" s="23">
        <f>IF($D341="","",IFERROR(INDEX(ENVIOS!$F$4:$F$3003,MATCH($D341,ENVIOS!$A$4:$A$3003,0)),"—"))</f>
        <v/>
      </c>
      <c r="J341" s="23">
        <f>IF($D341="","",IFERROR(INDEX(ENVIOS!$G$4:$G$3003,MATCH($D341,ENVIOS!$A$4:$A$3003,0)),"—"))</f>
        <v/>
      </c>
      <c r="K341" s="28">
        <f>IF($D341="","",IFERROR(INDEX(ENVIOS!$H$4:$H$3003,MATCH($D341,ENVIOS!$A$4:$A$3003,0)),"—"))</f>
        <v/>
      </c>
      <c r="L341" s="49">
        <f>IF($D341="","",IFERROR(INDEX(ENVIOS!$C$4:$C$3003,MATCH($D341,ENVIOS!$A$4:$A$3003,0)),""))</f>
        <v/>
      </c>
      <c r="M341" s="50" t="n"/>
      <c r="N341" s="28">
        <f>IF($M341="","",IFERROR(INDEX(CONFIG!$C$4:$C$63,MATCH($M341,CONFIG!$A$4:$A$63,0)),"Media"))</f>
        <v/>
      </c>
      <c r="O341" s="28">
        <f>IF($M341="","",IF($C341="Interna","NO",IFERROR(INDEX(CONFIG!$E$4:$E$63,MATCH($M341,CONFIG!$A$4:$A$63,0)),"NO")))</f>
        <v/>
      </c>
      <c r="P341" s="50" t="n"/>
      <c r="Q341" s="50" t="n"/>
      <c r="R341" s="28">
        <f>IF($Q341="","",IFERROR(INDEX(CONFIG!$H$4:$H$63,MATCH($Q341,CONFIG!$G$4:$G$63,0)),"Por definir"))</f>
        <v/>
      </c>
      <c r="S341" s="28">
        <f>IF($Q341="","",IFERROR(INDEX(CONFIG!$I$4:$I$63,MATCH($Q341,CONFIG!$G$4:$G$63,0)),"Por definir"))</f>
        <v/>
      </c>
      <c r="T341" s="51" t="n"/>
      <c r="U341" s="52" t="n"/>
      <c r="V341" s="50" t="n"/>
      <c r="W341" s="50" t="n"/>
      <c r="X341" s="49">
        <f>IF(OR($B341="",$M341=""),"",WORKDAY($B341,IFERROR(INDEX(CONFIG!$D$4:$D$63,MATCH($M341,CONFIG!$A$4:$A$63,0)),3)))</f>
        <v/>
      </c>
      <c r="Y341" s="47" t="n"/>
      <c r="Z341" s="24">
        <f>IF($B341="","",IF($Y341&lt;&gt;"",$Y341-$B341,TODAY()-$B341))</f>
        <v/>
      </c>
      <c r="AA341" s="28">
        <f>IF($B341="","",IF(IFERROR(INDEX(CONFIG!$L$4:$L$63,MATCH($V341,CONFIG!$K$4:$K$63,0)),"NO")="SÍ",IF(OR($Y341="",$X341=""),"Resuelta",IF($Y341&gt;$X341,"Resuelta tarde","Resuelta a tiempo")),IF($X341="","Sin clasificar",IF(TODAY()&gt;$X341,"Vencida",IF(TODAY()&gt;=$X341-1,"Por vencer","En plazo")))))</f>
        <v/>
      </c>
      <c r="AB341" s="50" t="n"/>
      <c r="AC341" s="50" t="n"/>
    </row>
    <row r="342" ht="16" customHeight="1">
      <c r="A342" s="28">
        <f>IF($B342="","","N-"&amp;TEXT(ROW()-3,"0000"))</f>
        <v/>
      </c>
      <c r="B342" s="47" t="n"/>
      <c r="C342" s="48" t="n"/>
      <c r="D342" s="48" t="n"/>
      <c r="E342" s="28">
        <f>IF($C342="","",IF($D342="",IF($C342="Interna","Sin guía (interna)","FALTA GUÍA"),IF(COUNTIFS(ENVIOS!$A$4:$A$3003,$D342)=0,"NO EXISTE",IF(COUNTIFS(ENVIOS!$A$4:$A$3003,$D342)&gt;1,"DUPLICADA","OK"))))</f>
        <v/>
      </c>
      <c r="F342" s="28">
        <f>IF($D342="","",IFERROR(INDEX(ENVIOS!$B$4:$B$3003,MATCH($D342,ENVIOS!$A$4:$A$3003,0)),"—"))</f>
        <v/>
      </c>
      <c r="G342" s="23">
        <f>IF($D342="","",IFERROR(INDEX(ENVIOS!$D$4:$D$3003,MATCH($D342,ENVIOS!$A$4:$A$3003,0)),"—"))</f>
        <v/>
      </c>
      <c r="H342" s="23">
        <f>IF($D342="","",IFERROR(INDEX(ENVIOS!$E$4:$E$3003,MATCH($D342,ENVIOS!$A$4:$A$3003,0)),"—"))</f>
        <v/>
      </c>
      <c r="I342" s="23">
        <f>IF($D342="","",IFERROR(INDEX(ENVIOS!$F$4:$F$3003,MATCH($D342,ENVIOS!$A$4:$A$3003,0)),"—"))</f>
        <v/>
      </c>
      <c r="J342" s="23">
        <f>IF($D342="","",IFERROR(INDEX(ENVIOS!$G$4:$G$3003,MATCH($D342,ENVIOS!$A$4:$A$3003,0)),"—"))</f>
        <v/>
      </c>
      <c r="K342" s="28">
        <f>IF($D342="","",IFERROR(INDEX(ENVIOS!$H$4:$H$3003,MATCH($D342,ENVIOS!$A$4:$A$3003,0)),"—"))</f>
        <v/>
      </c>
      <c r="L342" s="49">
        <f>IF($D342="","",IFERROR(INDEX(ENVIOS!$C$4:$C$3003,MATCH($D342,ENVIOS!$A$4:$A$3003,0)),""))</f>
        <v/>
      </c>
      <c r="M342" s="50" t="n"/>
      <c r="N342" s="28">
        <f>IF($M342="","",IFERROR(INDEX(CONFIG!$C$4:$C$63,MATCH($M342,CONFIG!$A$4:$A$63,0)),"Media"))</f>
        <v/>
      </c>
      <c r="O342" s="28">
        <f>IF($M342="","",IF($C342="Interna","NO",IFERROR(INDEX(CONFIG!$E$4:$E$63,MATCH($M342,CONFIG!$A$4:$A$63,0)),"NO")))</f>
        <v/>
      </c>
      <c r="P342" s="50" t="n"/>
      <c r="Q342" s="50" t="n"/>
      <c r="R342" s="28">
        <f>IF($Q342="","",IFERROR(INDEX(CONFIG!$H$4:$H$63,MATCH($Q342,CONFIG!$G$4:$G$63,0)),"Por definir"))</f>
        <v/>
      </c>
      <c r="S342" s="28">
        <f>IF($Q342="","",IFERROR(INDEX(CONFIG!$I$4:$I$63,MATCH($Q342,CONFIG!$G$4:$G$63,0)),"Por definir"))</f>
        <v/>
      </c>
      <c r="T342" s="51" t="n"/>
      <c r="U342" s="52" t="n"/>
      <c r="V342" s="50" t="n"/>
      <c r="W342" s="50" t="n"/>
      <c r="X342" s="49">
        <f>IF(OR($B342="",$M342=""),"",WORKDAY($B342,IFERROR(INDEX(CONFIG!$D$4:$D$63,MATCH($M342,CONFIG!$A$4:$A$63,0)),3)))</f>
        <v/>
      </c>
      <c r="Y342" s="47" t="n"/>
      <c r="Z342" s="24">
        <f>IF($B342="","",IF($Y342&lt;&gt;"",$Y342-$B342,TODAY()-$B342))</f>
        <v/>
      </c>
      <c r="AA342" s="28">
        <f>IF($B342="","",IF(IFERROR(INDEX(CONFIG!$L$4:$L$63,MATCH($V342,CONFIG!$K$4:$K$63,0)),"NO")="SÍ",IF(OR($Y342="",$X342=""),"Resuelta",IF($Y342&gt;$X342,"Resuelta tarde","Resuelta a tiempo")),IF($X342="","Sin clasificar",IF(TODAY()&gt;$X342,"Vencida",IF(TODAY()&gt;=$X342-1,"Por vencer","En plazo")))))</f>
        <v/>
      </c>
      <c r="AB342" s="50" t="n"/>
      <c r="AC342" s="50" t="n"/>
    </row>
    <row r="343" ht="16" customHeight="1">
      <c r="A343" s="28">
        <f>IF($B343="","","N-"&amp;TEXT(ROW()-3,"0000"))</f>
        <v/>
      </c>
      <c r="B343" s="47" t="n"/>
      <c r="C343" s="48" t="n"/>
      <c r="D343" s="48" t="n"/>
      <c r="E343" s="28">
        <f>IF($C343="","",IF($D343="",IF($C343="Interna","Sin guía (interna)","FALTA GUÍA"),IF(COUNTIFS(ENVIOS!$A$4:$A$3003,$D343)=0,"NO EXISTE",IF(COUNTIFS(ENVIOS!$A$4:$A$3003,$D343)&gt;1,"DUPLICADA","OK"))))</f>
        <v/>
      </c>
      <c r="F343" s="28">
        <f>IF($D343="","",IFERROR(INDEX(ENVIOS!$B$4:$B$3003,MATCH($D343,ENVIOS!$A$4:$A$3003,0)),"—"))</f>
        <v/>
      </c>
      <c r="G343" s="23">
        <f>IF($D343="","",IFERROR(INDEX(ENVIOS!$D$4:$D$3003,MATCH($D343,ENVIOS!$A$4:$A$3003,0)),"—"))</f>
        <v/>
      </c>
      <c r="H343" s="23">
        <f>IF($D343="","",IFERROR(INDEX(ENVIOS!$E$4:$E$3003,MATCH($D343,ENVIOS!$A$4:$A$3003,0)),"—"))</f>
        <v/>
      </c>
      <c r="I343" s="23">
        <f>IF($D343="","",IFERROR(INDEX(ENVIOS!$F$4:$F$3003,MATCH($D343,ENVIOS!$A$4:$A$3003,0)),"—"))</f>
        <v/>
      </c>
      <c r="J343" s="23">
        <f>IF($D343="","",IFERROR(INDEX(ENVIOS!$G$4:$G$3003,MATCH($D343,ENVIOS!$A$4:$A$3003,0)),"—"))</f>
        <v/>
      </c>
      <c r="K343" s="28">
        <f>IF($D343="","",IFERROR(INDEX(ENVIOS!$H$4:$H$3003,MATCH($D343,ENVIOS!$A$4:$A$3003,0)),"—"))</f>
        <v/>
      </c>
      <c r="L343" s="49">
        <f>IF($D343="","",IFERROR(INDEX(ENVIOS!$C$4:$C$3003,MATCH($D343,ENVIOS!$A$4:$A$3003,0)),""))</f>
        <v/>
      </c>
      <c r="M343" s="50" t="n"/>
      <c r="N343" s="28">
        <f>IF($M343="","",IFERROR(INDEX(CONFIG!$C$4:$C$63,MATCH($M343,CONFIG!$A$4:$A$63,0)),"Media"))</f>
        <v/>
      </c>
      <c r="O343" s="28">
        <f>IF($M343="","",IF($C343="Interna","NO",IFERROR(INDEX(CONFIG!$E$4:$E$63,MATCH($M343,CONFIG!$A$4:$A$63,0)),"NO")))</f>
        <v/>
      </c>
      <c r="P343" s="50" t="n"/>
      <c r="Q343" s="50" t="n"/>
      <c r="R343" s="28">
        <f>IF($Q343="","",IFERROR(INDEX(CONFIG!$H$4:$H$63,MATCH($Q343,CONFIG!$G$4:$G$63,0)),"Por definir"))</f>
        <v/>
      </c>
      <c r="S343" s="28">
        <f>IF($Q343="","",IFERROR(INDEX(CONFIG!$I$4:$I$63,MATCH($Q343,CONFIG!$G$4:$G$63,0)),"Por definir"))</f>
        <v/>
      </c>
      <c r="T343" s="51" t="n"/>
      <c r="U343" s="52" t="n"/>
      <c r="V343" s="50" t="n"/>
      <c r="W343" s="50" t="n"/>
      <c r="X343" s="49">
        <f>IF(OR($B343="",$M343=""),"",WORKDAY($B343,IFERROR(INDEX(CONFIG!$D$4:$D$63,MATCH($M343,CONFIG!$A$4:$A$63,0)),3)))</f>
        <v/>
      </c>
      <c r="Y343" s="47" t="n"/>
      <c r="Z343" s="24">
        <f>IF($B343="","",IF($Y343&lt;&gt;"",$Y343-$B343,TODAY()-$B343))</f>
        <v/>
      </c>
      <c r="AA343" s="28">
        <f>IF($B343="","",IF(IFERROR(INDEX(CONFIG!$L$4:$L$63,MATCH($V343,CONFIG!$K$4:$K$63,0)),"NO")="SÍ",IF(OR($Y343="",$X343=""),"Resuelta",IF($Y343&gt;$X343,"Resuelta tarde","Resuelta a tiempo")),IF($X343="","Sin clasificar",IF(TODAY()&gt;$X343,"Vencida",IF(TODAY()&gt;=$X343-1,"Por vencer","En plazo")))))</f>
        <v/>
      </c>
      <c r="AB343" s="50" t="n"/>
      <c r="AC343" s="50" t="n"/>
    </row>
    <row r="344" ht="16" customHeight="1">
      <c r="A344" s="28">
        <f>IF($B344="","","N-"&amp;TEXT(ROW()-3,"0000"))</f>
        <v/>
      </c>
      <c r="B344" s="47" t="n"/>
      <c r="C344" s="48" t="n"/>
      <c r="D344" s="48" t="n"/>
      <c r="E344" s="28">
        <f>IF($C344="","",IF($D344="",IF($C344="Interna","Sin guía (interna)","FALTA GUÍA"),IF(COUNTIFS(ENVIOS!$A$4:$A$3003,$D344)=0,"NO EXISTE",IF(COUNTIFS(ENVIOS!$A$4:$A$3003,$D344)&gt;1,"DUPLICADA","OK"))))</f>
        <v/>
      </c>
      <c r="F344" s="28">
        <f>IF($D344="","",IFERROR(INDEX(ENVIOS!$B$4:$B$3003,MATCH($D344,ENVIOS!$A$4:$A$3003,0)),"—"))</f>
        <v/>
      </c>
      <c r="G344" s="23">
        <f>IF($D344="","",IFERROR(INDEX(ENVIOS!$D$4:$D$3003,MATCH($D344,ENVIOS!$A$4:$A$3003,0)),"—"))</f>
        <v/>
      </c>
      <c r="H344" s="23">
        <f>IF($D344="","",IFERROR(INDEX(ENVIOS!$E$4:$E$3003,MATCH($D344,ENVIOS!$A$4:$A$3003,0)),"—"))</f>
        <v/>
      </c>
      <c r="I344" s="23">
        <f>IF($D344="","",IFERROR(INDEX(ENVIOS!$F$4:$F$3003,MATCH($D344,ENVIOS!$A$4:$A$3003,0)),"—"))</f>
        <v/>
      </c>
      <c r="J344" s="23">
        <f>IF($D344="","",IFERROR(INDEX(ENVIOS!$G$4:$G$3003,MATCH($D344,ENVIOS!$A$4:$A$3003,0)),"—"))</f>
        <v/>
      </c>
      <c r="K344" s="28">
        <f>IF($D344="","",IFERROR(INDEX(ENVIOS!$H$4:$H$3003,MATCH($D344,ENVIOS!$A$4:$A$3003,0)),"—"))</f>
        <v/>
      </c>
      <c r="L344" s="49">
        <f>IF($D344="","",IFERROR(INDEX(ENVIOS!$C$4:$C$3003,MATCH($D344,ENVIOS!$A$4:$A$3003,0)),""))</f>
        <v/>
      </c>
      <c r="M344" s="50" t="n"/>
      <c r="N344" s="28">
        <f>IF($M344="","",IFERROR(INDEX(CONFIG!$C$4:$C$63,MATCH($M344,CONFIG!$A$4:$A$63,0)),"Media"))</f>
        <v/>
      </c>
      <c r="O344" s="28">
        <f>IF($M344="","",IF($C344="Interna","NO",IFERROR(INDEX(CONFIG!$E$4:$E$63,MATCH($M344,CONFIG!$A$4:$A$63,0)),"NO")))</f>
        <v/>
      </c>
      <c r="P344" s="50" t="n"/>
      <c r="Q344" s="50" t="n"/>
      <c r="R344" s="28">
        <f>IF($Q344="","",IFERROR(INDEX(CONFIG!$H$4:$H$63,MATCH($Q344,CONFIG!$G$4:$G$63,0)),"Por definir"))</f>
        <v/>
      </c>
      <c r="S344" s="28">
        <f>IF($Q344="","",IFERROR(INDEX(CONFIG!$I$4:$I$63,MATCH($Q344,CONFIG!$G$4:$G$63,0)),"Por definir"))</f>
        <v/>
      </c>
      <c r="T344" s="51" t="n"/>
      <c r="U344" s="52" t="n"/>
      <c r="V344" s="50" t="n"/>
      <c r="W344" s="50" t="n"/>
      <c r="X344" s="49">
        <f>IF(OR($B344="",$M344=""),"",WORKDAY($B344,IFERROR(INDEX(CONFIG!$D$4:$D$63,MATCH($M344,CONFIG!$A$4:$A$63,0)),3)))</f>
        <v/>
      </c>
      <c r="Y344" s="47" t="n"/>
      <c r="Z344" s="24">
        <f>IF($B344="","",IF($Y344&lt;&gt;"",$Y344-$B344,TODAY()-$B344))</f>
        <v/>
      </c>
      <c r="AA344" s="28">
        <f>IF($B344="","",IF(IFERROR(INDEX(CONFIG!$L$4:$L$63,MATCH($V344,CONFIG!$K$4:$K$63,0)),"NO")="SÍ",IF(OR($Y344="",$X344=""),"Resuelta",IF($Y344&gt;$X344,"Resuelta tarde","Resuelta a tiempo")),IF($X344="","Sin clasificar",IF(TODAY()&gt;$X344,"Vencida",IF(TODAY()&gt;=$X344-1,"Por vencer","En plazo")))))</f>
        <v/>
      </c>
      <c r="AB344" s="50" t="n"/>
      <c r="AC344" s="50" t="n"/>
    </row>
    <row r="345" ht="16" customHeight="1">
      <c r="A345" s="28">
        <f>IF($B345="","","N-"&amp;TEXT(ROW()-3,"0000"))</f>
        <v/>
      </c>
      <c r="B345" s="47" t="n"/>
      <c r="C345" s="48" t="n"/>
      <c r="D345" s="48" t="n"/>
      <c r="E345" s="28">
        <f>IF($C345="","",IF($D345="",IF($C345="Interna","Sin guía (interna)","FALTA GUÍA"),IF(COUNTIFS(ENVIOS!$A$4:$A$3003,$D345)=0,"NO EXISTE",IF(COUNTIFS(ENVIOS!$A$4:$A$3003,$D345)&gt;1,"DUPLICADA","OK"))))</f>
        <v/>
      </c>
      <c r="F345" s="28">
        <f>IF($D345="","",IFERROR(INDEX(ENVIOS!$B$4:$B$3003,MATCH($D345,ENVIOS!$A$4:$A$3003,0)),"—"))</f>
        <v/>
      </c>
      <c r="G345" s="23">
        <f>IF($D345="","",IFERROR(INDEX(ENVIOS!$D$4:$D$3003,MATCH($D345,ENVIOS!$A$4:$A$3003,0)),"—"))</f>
        <v/>
      </c>
      <c r="H345" s="23">
        <f>IF($D345="","",IFERROR(INDEX(ENVIOS!$E$4:$E$3003,MATCH($D345,ENVIOS!$A$4:$A$3003,0)),"—"))</f>
        <v/>
      </c>
      <c r="I345" s="23">
        <f>IF($D345="","",IFERROR(INDEX(ENVIOS!$F$4:$F$3003,MATCH($D345,ENVIOS!$A$4:$A$3003,0)),"—"))</f>
        <v/>
      </c>
      <c r="J345" s="23">
        <f>IF($D345="","",IFERROR(INDEX(ENVIOS!$G$4:$G$3003,MATCH($D345,ENVIOS!$A$4:$A$3003,0)),"—"))</f>
        <v/>
      </c>
      <c r="K345" s="28">
        <f>IF($D345="","",IFERROR(INDEX(ENVIOS!$H$4:$H$3003,MATCH($D345,ENVIOS!$A$4:$A$3003,0)),"—"))</f>
        <v/>
      </c>
      <c r="L345" s="49">
        <f>IF($D345="","",IFERROR(INDEX(ENVIOS!$C$4:$C$3003,MATCH($D345,ENVIOS!$A$4:$A$3003,0)),""))</f>
        <v/>
      </c>
      <c r="M345" s="50" t="n"/>
      <c r="N345" s="28">
        <f>IF($M345="","",IFERROR(INDEX(CONFIG!$C$4:$C$63,MATCH($M345,CONFIG!$A$4:$A$63,0)),"Media"))</f>
        <v/>
      </c>
      <c r="O345" s="28">
        <f>IF($M345="","",IF($C345="Interna","NO",IFERROR(INDEX(CONFIG!$E$4:$E$63,MATCH($M345,CONFIG!$A$4:$A$63,0)),"NO")))</f>
        <v/>
      </c>
      <c r="P345" s="50" t="n"/>
      <c r="Q345" s="50" t="n"/>
      <c r="R345" s="28">
        <f>IF($Q345="","",IFERROR(INDEX(CONFIG!$H$4:$H$63,MATCH($Q345,CONFIG!$G$4:$G$63,0)),"Por definir"))</f>
        <v/>
      </c>
      <c r="S345" s="28">
        <f>IF($Q345="","",IFERROR(INDEX(CONFIG!$I$4:$I$63,MATCH($Q345,CONFIG!$G$4:$G$63,0)),"Por definir"))</f>
        <v/>
      </c>
      <c r="T345" s="51" t="n"/>
      <c r="U345" s="52" t="n"/>
      <c r="V345" s="50" t="n"/>
      <c r="W345" s="50" t="n"/>
      <c r="X345" s="49">
        <f>IF(OR($B345="",$M345=""),"",WORKDAY($B345,IFERROR(INDEX(CONFIG!$D$4:$D$63,MATCH($M345,CONFIG!$A$4:$A$63,0)),3)))</f>
        <v/>
      </c>
      <c r="Y345" s="47" t="n"/>
      <c r="Z345" s="24">
        <f>IF($B345="","",IF($Y345&lt;&gt;"",$Y345-$B345,TODAY()-$B345))</f>
        <v/>
      </c>
      <c r="AA345" s="28">
        <f>IF($B345="","",IF(IFERROR(INDEX(CONFIG!$L$4:$L$63,MATCH($V345,CONFIG!$K$4:$K$63,0)),"NO")="SÍ",IF(OR($Y345="",$X345=""),"Resuelta",IF($Y345&gt;$X345,"Resuelta tarde","Resuelta a tiempo")),IF($X345="","Sin clasificar",IF(TODAY()&gt;$X345,"Vencida",IF(TODAY()&gt;=$X345-1,"Por vencer","En plazo")))))</f>
        <v/>
      </c>
      <c r="AB345" s="50" t="n"/>
      <c r="AC345" s="50" t="n"/>
    </row>
    <row r="346" ht="16" customHeight="1">
      <c r="A346" s="28">
        <f>IF($B346="","","N-"&amp;TEXT(ROW()-3,"0000"))</f>
        <v/>
      </c>
      <c r="B346" s="47" t="n"/>
      <c r="C346" s="48" t="n"/>
      <c r="D346" s="48" t="n"/>
      <c r="E346" s="28">
        <f>IF($C346="","",IF($D346="",IF($C346="Interna","Sin guía (interna)","FALTA GUÍA"),IF(COUNTIFS(ENVIOS!$A$4:$A$3003,$D346)=0,"NO EXISTE",IF(COUNTIFS(ENVIOS!$A$4:$A$3003,$D346)&gt;1,"DUPLICADA","OK"))))</f>
        <v/>
      </c>
      <c r="F346" s="28">
        <f>IF($D346="","",IFERROR(INDEX(ENVIOS!$B$4:$B$3003,MATCH($D346,ENVIOS!$A$4:$A$3003,0)),"—"))</f>
        <v/>
      </c>
      <c r="G346" s="23">
        <f>IF($D346="","",IFERROR(INDEX(ENVIOS!$D$4:$D$3003,MATCH($D346,ENVIOS!$A$4:$A$3003,0)),"—"))</f>
        <v/>
      </c>
      <c r="H346" s="23">
        <f>IF($D346="","",IFERROR(INDEX(ENVIOS!$E$4:$E$3003,MATCH($D346,ENVIOS!$A$4:$A$3003,0)),"—"))</f>
        <v/>
      </c>
      <c r="I346" s="23">
        <f>IF($D346="","",IFERROR(INDEX(ENVIOS!$F$4:$F$3003,MATCH($D346,ENVIOS!$A$4:$A$3003,0)),"—"))</f>
        <v/>
      </c>
      <c r="J346" s="23">
        <f>IF($D346="","",IFERROR(INDEX(ENVIOS!$G$4:$G$3003,MATCH($D346,ENVIOS!$A$4:$A$3003,0)),"—"))</f>
        <v/>
      </c>
      <c r="K346" s="28">
        <f>IF($D346="","",IFERROR(INDEX(ENVIOS!$H$4:$H$3003,MATCH($D346,ENVIOS!$A$4:$A$3003,0)),"—"))</f>
        <v/>
      </c>
      <c r="L346" s="49">
        <f>IF($D346="","",IFERROR(INDEX(ENVIOS!$C$4:$C$3003,MATCH($D346,ENVIOS!$A$4:$A$3003,0)),""))</f>
        <v/>
      </c>
      <c r="M346" s="50" t="n"/>
      <c r="N346" s="28">
        <f>IF($M346="","",IFERROR(INDEX(CONFIG!$C$4:$C$63,MATCH($M346,CONFIG!$A$4:$A$63,0)),"Media"))</f>
        <v/>
      </c>
      <c r="O346" s="28">
        <f>IF($M346="","",IF($C346="Interna","NO",IFERROR(INDEX(CONFIG!$E$4:$E$63,MATCH($M346,CONFIG!$A$4:$A$63,0)),"NO")))</f>
        <v/>
      </c>
      <c r="P346" s="50" t="n"/>
      <c r="Q346" s="50" t="n"/>
      <c r="R346" s="28">
        <f>IF($Q346="","",IFERROR(INDEX(CONFIG!$H$4:$H$63,MATCH($Q346,CONFIG!$G$4:$G$63,0)),"Por definir"))</f>
        <v/>
      </c>
      <c r="S346" s="28">
        <f>IF($Q346="","",IFERROR(INDEX(CONFIG!$I$4:$I$63,MATCH($Q346,CONFIG!$G$4:$G$63,0)),"Por definir"))</f>
        <v/>
      </c>
      <c r="T346" s="51" t="n"/>
      <c r="U346" s="52" t="n"/>
      <c r="V346" s="50" t="n"/>
      <c r="W346" s="50" t="n"/>
      <c r="X346" s="49">
        <f>IF(OR($B346="",$M346=""),"",WORKDAY($B346,IFERROR(INDEX(CONFIG!$D$4:$D$63,MATCH($M346,CONFIG!$A$4:$A$63,0)),3)))</f>
        <v/>
      </c>
      <c r="Y346" s="47" t="n"/>
      <c r="Z346" s="24">
        <f>IF($B346="","",IF($Y346&lt;&gt;"",$Y346-$B346,TODAY()-$B346))</f>
        <v/>
      </c>
      <c r="AA346" s="28">
        <f>IF($B346="","",IF(IFERROR(INDEX(CONFIG!$L$4:$L$63,MATCH($V346,CONFIG!$K$4:$K$63,0)),"NO")="SÍ",IF(OR($Y346="",$X346=""),"Resuelta",IF($Y346&gt;$X346,"Resuelta tarde","Resuelta a tiempo")),IF($X346="","Sin clasificar",IF(TODAY()&gt;$X346,"Vencida",IF(TODAY()&gt;=$X346-1,"Por vencer","En plazo")))))</f>
        <v/>
      </c>
      <c r="AB346" s="50" t="n"/>
      <c r="AC346" s="50" t="n"/>
    </row>
    <row r="347" ht="16" customHeight="1">
      <c r="A347" s="28">
        <f>IF($B347="","","N-"&amp;TEXT(ROW()-3,"0000"))</f>
        <v/>
      </c>
      <c r="B347" s="47" t="n"/>
      <c r="C347" s="48" t="n"/>
      <c r="D347" s="48" t="n"/>
      <c r="E347" s="28">
        <f>IF($C347="","",IF($D347="",IF($C347="Interna","Sin guía (interna)","FALTA GUÍA"),IF(COUNTIFS(ENVIOS!$A$4:$A$3003,$D347)=0,"NO EXISTE",IF(COUNTIFS(ENVIOS!$A$4:$A$3003,$D347)&gt;1,"DUPLICADA","OK"))))</f>
        <v/>
      </c>
      <c r="F347" s="28">
        <f>IF($D347="","",IFERROR(INDEX(ENVIOS!$B$4:$B$3003,MATCH($D347,ENVIOS!$A$4:$A$3003,0)),"—"))</f>
        <v/>
      </c>
      <c r="G347" s="23">
        <f>IF($D347="","",IFERROR(INDEX(ENVIOS!$D$4:$D$3003,MATCH($D347,ENVIOS!$A$4:$A$3003,0)),"—"))</f>
        <v/>
      </c>
      <c r="H347" s="23">
        <f>IF($D347="","",IFERROR(INDEX(ENVIOS!$E$4:$E$3003,MATCH($D347,ENVIOS!$A$4:$A$3003,0)),"—"))</f>
        <v/>
      </c>
      <c r="I347" s="23">
        <f>IF($D347="","",IFERROR(INDEX(ENVIOS!$F$4:$F$3003,MATCH($D347,ENVIOS!$A$4:$A$3003,0)),"—"))</f>
        <v/>
      </c>
      <c r="J347" s="23">
        <f>IF($D347="","",IFERROR(INDEX(ENVIOS!$G$4:$G$3003,MATCH($D347,ENVIOS!$A$4:$A$3003,0)),"—"))</f>
        <v/>
      </c>
      <c r="K347" s="28">
        <f>IF($D347="","",IFERROR(INDEX(ENVIOS!$H$4:$H$3003,MATCH($D347,ENVIOS!$A$4:$A$3003,0)),"—"))</f>
        <v/>
      </c>
      <c r="L347" s="49">
        <f>IF($D347="","",IFERROR(INDEX(ENVIOS!$C$4:$C$3003,MATCH($D347,ENVIOS!$A$4:$A$3003,0)),""))</f>
        <v/>
      </c>
      <c r="M347" s="50" t="n"/>
      <c r="N347" s="28">
        <f>IF($M347="","",IFERROR(INDEX(CONFIG!$C$4:$C$63,MATCH($M347,CONFIG!$A$4:$A$63,0)),"Media"))</f>
        <v/>
      </c>
      <c r="O347" s="28">
        <f>IF($M347="","",IF($C347="Interna","NO",IFERROR(INDEX(CONFIG!$E$4:$E$63,MATCH($M347,CONFIG!$A$4:$A$63,0)),"NO")))</f>
        <v/>
      </c>
      <c r="P347" s="50" t="n"/>
      <c r="Q347" s="50" t="n"/>
      <c r="R347" s="28">
        <f>IF($Q347="","",IFERROR(INDEX(CONFIG!$H$4:$H$63,MATCH($Q347,CONFIG!$G$4:$G$63,0)),"Por definir"))</f>
        <v/>
      </c>
      <c r="S347" s="28">
        <f>IF($Q347="","",IFERROR(INDEX(CONFIG!$I$4:$I$63,MATCH($Q347,CONFIG!$G$4:$G$63,0)),"Por definir"))</f>
        <v/>
      </c>
      <c r="T347" s="51" t="n"/>
      <c r="U347" s="52" t="n"/>
      <c r="V347" s="50" t="n"/>
      <c r="W347" s="50" t="n"/>
      <c r="X347" s="49">
        <f>IF(OR($B347="",$M347=""),"",WORKDAY($B347,IFERROR(INDEX(CONFIG!$D$4:$D$63,MATCH($M347,CONFIG!$A$4:$A$63,0)),3)))</f>
        <v/>
      </c>
      <c r="Y347" s="47" t="n"/>
      <c r="Z347" s="24">
        <f>IF($B347="","",IF($Y347&lt;&gt;"",$Y347-$B347,TODAY()-$B347))</f>
        <v/>
      </c>
      <c r="AA347" s="28">
        <f>IF($B347="","",IF(IFERROR(INDEX(CONFIG!$L$4:$L$63,MATCH($V347,CONFIG!$K$4:$K$63,0)),"NO")="SÍ",IF(OR($Y347="",$X347=""),"Resuelta",IF($Y347&gt;$X347,"Resuelta tarde","Resuelta a tiempo")),IF($X347="","Sin clasificar",IF(TODAY()&gt;$X347,"Vencida",IF(TODAY()&gt;=$X347-1,"Por vencer","En plazo")))))</f>
        <v/>
      </c>
      <c r="AB347" s="50" t="n"/>
      <c r="AC347" s="50" t="n"/>
    </row>
    <row r="348" ht="16" customHeight="1">
      <c r="A348" s="28">
        <f>IF($B348="","","N-"&amp;TEXT(ROW()-3,"0000"))</f>
        <v/>
      </c>
      <c r="B348" s="47" t="n"/>
      <c r="C348" s="48" t="n"/>
      <c r="D348" s="48" t="n"/>
      <c r="E348" s="28">
        <f>IF($C348="","",IF($D348="",IF($C348="Interna","Sin guía (interna)","FALTA GUÍA"),IF(COUNTIFS(ENVIOS!$A$4:$A$3003,$D348)=0,"NO EXISTE",IF(COUNTIFS(ENVIOS!$A$4:$A$3003,$D348)&gt;1,"DUPLICADA","OK"))))</f>
        <v/>
      </c>
      <c r="F348" s="28">
        <f>IF($D348="","",IFERROR(INDEX(ENVIOS!$B$4:$B$3003,MATCH($D348,ENVIOS!$A$4:$A$3003,0)),"—"))</f>
        <v/>
      </c>
      <c r="G348" s="23">
        <f>IF($D348="","",IFERROR(INDEX(ENVIOS!$D$4:$D$3003,MATCH($D348,ENVIOS!$A$4:$A$3003,0)),"—"))</f>
        <v/>
      </c>
      <c r="H348" s="23">
        <f>IF($D348="","",IFERROR(INDEX(ENVIOS!$E$4:$E$3003,MATCH($D348,ENVIOS!$A$4:$A$3003,0)),"—"))</f>
        <v/>
      </c>
      <c r="I348" s="23">
        <f>IF($D348="","",IFERROR(INDEX(ENVIOS!$F$4:$F$3003,MATCH($D348,ENVIOS!$A$4:$A$3003,0)),"—"))</f>
        <v/>
      </c>
      <c r="J348" s="23">
        <f>IF($D348="","",IFERROR(INDEX(ENVIOS!$G$4:$G$3003,MATCH($D348,ENVIOS!$A$4:$A$3003,0)),"—"))</f>
        <v/>
      </c>
      <c r="K348" s="28">
        <f>IF($D348="","",IFERROR(INDEX(ENVIOS!$H$4:$H$3003,MATCH($D348,ENVIOS!$A$4:$A$3003,0)),"—"))</f>
        <v/>
      </c>
      <c r="L348" s="49">
        <f>IF($D348="","",IFERROR(INDEX(ENVIOS!$C$4:$C$3003,MATCH($D348,ENVIOS!$A$4:$A$3003,0)),""))</f>
        <v/>
      </c>
      <c r="M348" s="50" t="n"/>
      <c r="N348" s="28">
        <f>IF($M348="","",IFERROR(INDEX(CONFIG!$C$4:$C$63,MATCH($M348,CONFIG!$A$4:$A$63,0)),"Media"))</f>
        <v/>
      </c>
      <c r="O348" s="28">
        <f>IF($M348="","",IF($C348="Interna","NO",IFERROR(INDEX(CONFIG!$E$4:$E$63,MATCH($M348,CONFIG!$A$4:$A$63,0)),"NO")))</f>
        <v/>
      </c>
      <c r="P348" s="50" t="n"/>
      <c r="Q348" s="50" t="n"/>
      <c r="R348" s="28">
        <f>IF($Q348="","",IFERROR(INDEX(CONFIG!$H$4:$H$63,MATCH($Q348,CONFIG!$G$4:$G$63,0)),"Por definir"))</f>
        <v/>
      </c>
      <c r="S348" s="28">
        <f>IF($Q348="","",IFERROR(INDEX(CONFIG!$I$4:$I$63,MATCH($Q348,CONFIG!$G$4:$G$63,0)),"Por definir"))</f>
        <v/>
      </c>
      <c r="T348" s="51" t="n"/>
      <c r="U348" s="52" t="n"/>
      <c r="V348" s="50" t="n"/>
      <c r="W348" s="50" t="n"/>
      <c r="X348" s="49">
        <f>IF(OR($B348="",$M348=""),"",WORKDAY($B348,IFERROR(INDEX(CONFIG!$D$4:$D$63,MATCH($M348,CONFIG!$A$4:$A$63,0)),3)))</f>
        <v/>
      </c>
      <c r="Y348" s="47" t="n"/>
      <c r="Z348" s="24">
        <f>IF($B348="","",IF($Y348&lt;&gt;"",$Y348-$B348,TODAY()-$B348))</f>
        <v/>
      </c>
      <c r="AA348" s="28">
        <f>IF($B348="","",IF(IFERROR(INDEX(CONFIG!$L$4:$L$63,MATCH($V348,CONFIG!$K$4:$K$63,0)),"NO")="SÍ",IF(OR($Y348="",$X348=""),"Resuelta",IF($Y348&gt;$X348,"Resuelta tarde","Resuelta a tiempo")),IF($X348="","Sin clasificar",IF(TODAY()&gt;$X348,"Vencida",IF(TODAY()&gt;=$X348-1,"Por vencer","En plazo")))))</f>
        <v/>
      </c>
      <c r="AB348" s="50" t="n"/>
      <c r="AC348" s="50" t="n"/>
    </row>
    <row r="349" ht="16" customHeight="1">
      <c r="A349" s="28">
        <f>IF($B349="","","N-"&amp;TEXT(ROW()-3,"0000"))</f>
        <v/>
      </c>
      <c r="B349" s="47" t="n"/>
      <c r="C349" s="48" t="n"/>
      <c r="D349" s="48" t="n"/>
      <c r="E349" s="28">
        <f>IF($C349="","",IF($D349="",IF($C349="Interna","Sin guía (interna)","FALTA GUÍA"),IF(COUNTIFS(ENVIOS!$A$4:$A$3003,$D349)=0,"NO EXISTE",IF(COUNTIFS(ENVIOS!$A$4:$A$3003,$D349)&gt;1,"DUPLICADA","OK"))))</f>
        <v/>
      </c>
      <c r="F349" s="28">
        <f>IF($D349="","",IFERROR(INDEX(ENVIOS!$B$4:$B$3003,MATCH($D349,ENVIOS!$A$4:$A$3003,0)),"—"))</f>
        <v/>
      </c>
      <c r="G349" s="23">
        <f>IF($D349="","",IFERROR(INDEX(ENVIOS!$D$4:$D$3003,MATCH($D349,ENVIOS!$A$4:$A$3003,0)),"—"))</f>
        <v/>
      </c>
      <c r="H349" s="23">
        <f>IF($D349="","",IFERROR(INDEX(ENVIOS!$E$4:$E$3003,MATCH($D349,ENVIOS!$A$4:$A$3003,0)),"—"))</f>
        <v/>
      </c>
      <c r="I349" s="23">
        <f>IF($D349="","",IFERROR(INDEX(ENVIOS!$F$4:$F$3003,MATCH($D349,ENVIOS!$A$4:$A$3003,0)),"—"))</f>
        <v/>
      </c>
      <c r="J349" s="23">
        <f>IF($D349="","",IFERROR(INDEX(ENVIOS!$G$4:$G$3003,MATCH($D349,ENVIOS!$A$4:$A$3003,0)),"—"))</f>
        <v/>
      </c>
      <c r="K349" s="28">
        <f>IF($D349="","",IFERROR(INDEX(ENVIOS!$H$4:$H$3003,MATCH($D349,ENVIOS!$A$4:$A$3003,0)),"—"))</f>
        <v/>
      </c>
      <c r="L349" s="49">
        <f>IF($D349="","",IFERROR(INDEX(ENVIOS!$C$4:$C$3003,MATCH($D349,ENVIOS!$A$4:$A$3003,0)),""))</f>
        <v/>
      </c>
      <c r="M349" s="50" t="n"/>
      <c r="N349" s="28">
        <f>IF($M349="","",IFERROR(INDEX(CONFIG!$C$4:$C$63,MATCH($M349,CONFIG!$A$4:$A$63,0)),"Media"))</f>
        <v/>
      </c>
      <c r="O349" s="28">
        <f>IF($M349="","",IF($C349="Interna","NO",IFERROR(INDEX(CONFIG!$E$4:$E$63,MATCH($M349,CONFIG!$A$4:$A$63,0)),"NO")))</f>
        <v/>
      </c>
      <c r="P349" s="50" t="n"/>
      <c r="Q349" s="50" t="n"/>
      <c r="R349" s="28">
        <f>IF($Q349="","",IFERROR(INDEX(CONFIG!$H$4:$H$63,MATCH($Q349,CONFIG!$G$4:$G$63,0)),"Por definir"))</f>
        <v/>
      </c>
      <c r="S349" s="28">
        <f>IF($Q349="","",IFERROR(INDEX(CONFIG!$I$4:$I$63,MATCH($Q349,CONFIG!$G$4:$G$63,0)),"Por definir"))</f>
        <v/>
      </c>
      <c r="T349" s="51" t="n"/>
      <c r="U349" s="52" t="n"/>
      <c r="V349" s="50" t="n"/>
      <c r="W349" s="50" t="n"/>
      <c r="X349" s="49">
        <f>IF(OR($B349="",$M349=""),"",WORKDAY($B349,IFERROR(INDEX(CONFIG!$D$4:$D$63,MATCH($M349,CONFIG!$A$4:$A$63,0)),3)))</f>
        <v/>
      </c>
      <c r="Y349" s="47" t="n"/>
      <c r="Z349" s="24">
        <f>IF($B349="","",IF($Y349&lt;&gt;"",$Y349-$B349,TODAY()-$B349))</f>
        <v/>
      </c>
      <c r="AA349" s="28">
        <f>IF($B349="","",IF(IFERROR(INDEX(CONFIG!$L$4:$L$63,MATCH($V349,CONFIG!$K$4:$K$63,0)),"NO")="SÍ",IF(OR($Y349="",$X349=""),"Resuelta",IF($Y349&gt;$X349,"Resuelta tarde","Resuelta a tiempo")),IF($X349="","Sin clasificar",IF(TODAY()&gt;$X349,"Vencida",IF(TODAY()&gt;=$X349-1,"Por vencer","En plazo")))))</f>
        <v/>
      </c>
      <c r="AB349" s="50" t="n"/>
      <c r="AC349" s="50" t="n"/>
    </row>
    <row r="350" ht="16" customHeight="1">
      <c r="A350" s="28">
        <f>IF($B350="","","N-"&amp;TEXT(ROW()-3,"0000"))</f>
        <v/>
      </c>
      <c r="B350" s="47" t="n"/>
      <c r="C350" s="48" t="n"/>
      <c r="D350" s="48" t="n"/>
      <c r="E350" s="28">
        <f>IF($C350="","",IF($D350="",IF($C350="Interna","Sin guía (interna)","FALTA GUÍA"),IF(COUNTIFS(ENVIOS!$A$4:$A$3003,$D350)=0,"NO EXISTE",IF(COUNTIFS(ENVIOS!$A$4:$A$3003,$D350)&gt;1,"DUPLICADA","OK"))))</f>
        <v/>
      </c>
      <c r="F350" s="28">
        <f>IF($D350="","",IFERROR(INDEX(ENVIOS!$B$4:$B$3003,MATCH($D350,ENVIOS!$A$4:$A$3003,0)),"—"))</f>
        <v/>
      </c>
      <c r="G350" s="23">
        <f>IF($D350="","",IFERROR(INDEX(ENVIOS!$D$4:$D$3003,MATCH($D350,ENVIOS!$A$4:$A$3003,0)),"—"))</f>
        <v/>
      </c>
      <c r="H350" s="23">
        <f>IF($D350="","",IFERROR(INDEX(ENVIOS!$E$4:$E$3003,MATCH($D350,ENVIOS!$A$4:$A$3003,0)),"—"))</f>
        <v/>
      </c>
      <c r="I350" s="23">
        <f>IF($D350="","",IFERROR(INDEX(ENVIOS!$F$4:$F$3003,MATCH($D350,ENVIOS!$A$4:$A$3003,0)),"—"))</f>
        <v/>
      </c>
      <c r="J350" s="23">
        <f>IF($D350="","",IFERROR(INDEX(ENVIOS!$G$4:$G$3003,MATCH($D350,ENVIOS!$A$4:$A$3003,0)),"—"))</f>
        <v/>
      </c>
      <c r="K350" s="28">
        <f>IF($D350="","",IFERROR(INDEX(ENVIOS!$H$4:$H$3003,MATCH($D350,ENVIOS!$A$4:$A$3003,0)),"—"))</f>
        <v/>
      </c>
      <c r="L350" s="49">
        <f>IF($D350="","",IFERROR(INDEX(ENVIOS!$C$4:$C$3003,MATCH($D350,ENVIOS!$A$4:$A$3003,0)),""))</f>
        <v/>
      </c>
      <c r="M350" s="50" t="n"/>
      <c r="N350" s="28">
        <f>IF($M350="","",IFERROR(INDEX(CONFIG!$C$4:$C$63,MATCH($M350,CONFIG!$A$4:$A$63,0)),"Media"))</f>
        <v/>
      </c>
      <c r="O350" s="28">
        <f>IF($M350="","",IF($C350="Interna","NO",IFERROR(INDEX(CONFIG!$E$4:$E$63,MATCH($M350,CONFIG!$A$4:$A$63,0)),"NO")))</f>
        <v/>
      </c>
      <c r="P350" s="50" t="n"/>
      <c r="Q350" s="50" t="n"/>
      <c r="R350" s="28">
        <f>IF($Q350="","",IFERROR(INDEX(CONFIG!$H$4:$H$63,MATCH($Q350,CONFIG!$G$4:$G$63,0)),"Por definir"))</f>
        <v/>
      </c>
      <c r="S350" s="28">
        <f>IF($Q350="","",IFERROR(INDEX(CONFIG!$I$4:$I$63,MATCH($Q350,CONFIG!$G$4:$G$63,0)),"Por definir"))</f>
        <v/>
      </c>
      <c r="T350" s="51" t="n"/>
      <c r="U350" s="52" t="n"/>
      <c r="V350" s="50" t="n"/>
      <c r="W350" s="50" t="n"/>
      <c r="X350" s="49">
        <f>IF(OR($B350="",$M350=""),"",WORKDAY($B350,IFERROR(INDEX(CONFIG!$D$4:$D$63,MATCH($M350,CONFIG!$A$4:$A$63,0)),3)))</f>
        <v/>
      </c>
      <c r="Y350" s="47" t="n"/>
      <c r="Z350" s="24">
        <f>IF($B350="","",IF($Y350&lt;&gt;"",$Y350-$B350,TODAY()-$B350))</f>
        <v/>
      </c>
      <c r="AA350" s="28">
        <f>IF($B350="","",IF(IFERROR(INDEX(CONFIG!$L$4:$L$63,MATCH($V350,CONFIG!$K$4:$K$63,0)),"NO")="SÍ",IF(OR($Y350="",$X350=""),"Resuelta",IF($Y350&gt;$X350,"Resuelta tarde","Resuelta a tiempo")),IF($X350="","Sin clasificar",IF(TODAY()&gt;$X350,"Vencida",IF(TODAY()&gt;=$X350-1,"Por vencer","En plazo")))))</f>
        <v/>
      </c>
      <c r="AB350" s="50" t="n"/>
      <c r="AC350" s="50" t="n"/>
    </row>
    <row r="351" ht="16" customHeight="1">
      <c r="A351" s="28">
        <f>IF($B351="","","N-"&amp;TEXT(ROW()-3,"0000"))</f>
        <v/>
      </c>
      <c r="B351" s="47" t="n"/>
      <c r="C351" s="48" t="n"/>
      <c r="D351" s="48" t="n"/>
      <c r="E351" s="28">
        <f>IF($C351="","",IF($D351="",IF($C351="Interna","Sin guía (interna)","FALTA GUÍA"),IF(COUNTIFS(ENVIOS!$A$4:$A$3003,$D351)=0,"NO EXISTE",IF(COUNTIFS(ENVIOS!$A$4:$A$3003,$D351)&gt;1,"DUPLICADA","OK"))))</f>
        <v/>
      </c>
      <c r="F351" s="28">
        <f>IF($D351="","",IFERROR(INDEX(ENVIOS!$B$4:$B$3003,MATCH($D351,ENVIOS!$A$4:$A$3003,0)),"—"))</f>
        <v/>
      </c>
      <c r="G351" s="23">
        <f>IF($D351="","",IFERROR(INDEX(ENVIOS!$D$4:$D$3003,MATCH($D351,ENVIOS!$A$4:$A$3003,0)),"—"))</f>
        <v/>
      </c>
      <c r="H351" s="23">
        <f>IF($D351="","",IFERROR(INDEX(ENVIOS!$E$4:$E$3003,MATCH($D351,ENVIOS!$A$4:$A$3003,0)),"—"))</f>
        <v/>
      </c>
      <c r="I351" s="23">
        <f>IF($D351="","",IFERROR(INDEX(ENVIOS!$F$4:$F$3003,MATCH($D351,ENVIOS!$A$4:$A$3003,0)),"—"))</f>
        <v/>
      </c>
      <c r="J351" s="23">
        <f>IF($D351="","",IFERROR(INDEX(ENVIOS!$G$4:$G$3003,MATCH($D351,ENVIOS!$A$4:$A$3003,0)),"—"))</f>
        <v/>
      </c>
      <c r="K351" s="28">
        <f>IF($D351="","",IFERROR(INDEX(ENVIOS!$H$4:$H$3003,MATCH($D351,ENVIOS!$A$4:$A$3003,0)),"—"))</f>
        <v/>
      </c>
      <c r="L351" s="49">
        <f>IF($D351="","",IFERROR(INDEX(ENVIOS!$C$4:$C$3003,MATCH($D351,ENVIOS!$A$4:$A$3003,0)),""))</f>
        <v/>
      </c>
      <c r="M351" s="50" t="n"/>
      <c r="N351" s="28">
        <f>IF($M351="","",IFERROR(INDEX(CONFIG!$C$4:$C$63,MATCH($M351,CONFIG!$A$4:$A$63,0)),"Media"))</f>
        <v/>
      </c>
      <c r="O351" s="28">
        <f>IF($M351="","",IF($C351="Interna","NO",IFERROR(INDEX(CONFIG!$E$4:$E$63,MATCH($M351,CONFIG!$A$4:$A$63,0)),"NO")))</f>
        <v/>
      </c>
      <c r="P351" s="50" t="n"/>
      <c r="Q351" s="50" t="n"/>
      <c r="R351" s="28">
        <f>IF($Q351="","",IFERROR(INDEX(CONFIG!$H$4:$H$63,MATCH($Q351,CONFIG!$G$4:$G$63,0)),"Por definir"))</f>
        <v/>
      </c>
      <c r="S351" s="28">
        <f>IF($Q351="","",IFERROR(INDEX(CONFIG!$I$4:$I$63,MATCH($Q351,CONFIG!$G$4:$G$63,0)),"Por definir"))</f>
        <v/>
      </c>
      <c r="T351" s="51" t="n"/>
      <c r="U351" s="52" t="n"/>
      <c r="V351" s="50" t="n"/>
      <c r="W351" s="50" t="n"/>
      <c r="X351" s="49">
        <f>IF(OR($B351="",$M351=""),"",WORKDAY($B351,IFERROR(INDEX(CONFIG!$D$4:$D$63,MATCH($M351,CONFIG!$A$4:$A$63,0)),3)))</f>
        <v/>
      </c>
      <c r="Y351" s="47" t="n"/>
      <c r="Z351" s="24">
        <f>IF($B351="","",IF($Y351&lt;&gt;"",$Y351-$B351,TODAY()-$B351))</f>
        <v/>
      </c>
      <c r="AA351" s="28">
        <f>IF($B351="","",IF(IFERROR(INDEX(CONFIG!$L$4:$L$63,MATCH($V351,CONFIG!$K$4:$K$63,0)),"NO")="SÍ",IF(OR($Y351="",$X351=""),"Resuelta",IF($Y351&gt;$X351,"Resuelta tarde","Resuelta a tiempo")),IF($X351="","Sin clasificar",IF(TODAY()&gt;$X351,"Vencida",IF(TODAY()&gt;=$X351-1,"Por vencer","En plazo")))))</f>
        <v/>
      </c>
      <c r="AB351" s="50" t="n"/>
      <c r="AC351" s="50" t="n"/>
    </row>
    <row r="352" ht="16" customHeight="1">
      <c r="A352" s="28">
        <f>IF($B352="","","N-"&amp;TEXT(ROW()-3,"0000"))</f>
        <v/>
      </c>
      <c r="B352" s="47" t="n"/>
      <c r="C352" s="48" t="n"/>
      <c r="D352" s="48" t="n"/>
      <c r="E352" s="28">
        <f>IF($C352="","",IF($D352="",IF($C352="Interna","Sin guía (interna)","FALTA GUÍA"),IF(COUNTIFS(ENVIOS!$A$4:$A$3003,$D352)=0,"NO EXISTE",IF(COUNTIFS(ENVIOS!$A$4:$A$3003,$D352)&gt;1,"DUPLICADA","OK"))))</f>
        <v/>
      </c>
      <c r="F352" s="28">
        <f>IF($D352="","",IFERROR(INDEX(ENVIOS!$B$4:$B$3003,MATCH($D352,ENVIOS!$A$4:$A$3003,0)),"—"))</f>
        <v/>
      </c>
      <c r="G352" s="23">
        <f>IF($D352="","",IFERROR(INDEX(ENVIOS!$D$4:$D$3003,MATCH($D352,ENVIOS!$A$4:$A$3003,0)),"—"))</f>
        <v/>
      </c>
      <c r="H352" s="23">
        <f>IF($D352="","",IFERROR(INDEX(ENVIOS!$E$4:$E$3003,MATCH($D352,ENVIOS!$A$4:$A$3003,0)),"—"))</f>
        <v/>
      </c>
      <c r="I352" s="23">
        <f>IF($D352="","",IFERROR(INDEX(ENVIOS!$F$4:$F$3003,MATCH($D352,ENVIOS!$A$4:$A$3003,0)),"—"))</f>
        <v/>
      </c>
      <c r="J352" s="23">
        <f>IF($D352="","",IFERROR(INDEX(ENVIOS!$G$4:$G$3003,MATCH($D352,ENVIOS!$A$4:$A$3003,0)),"—"))</f>
        <v/>
      </c>
      <c r="K352" s="28">
        <f>IF($D352="","",IFERROR(INDEX(ENVIOS!$H$4:$H$3003,MATCH($D352,ENVIOS!$A$4:$A$3003,0)),"—"))</f>
        <v/>
      </c>
      <c r="L352" s="49">
        <f>IF($D352="","",IFERROR(INDEX(ENVIOS!$C$4:$C$3003,MATCH($D352,ENVIOS!$A$4:$A$3003,0)),""))</f>
        <v/>
      </c>
      <c r="M352" s="50" t="n"/>
      <c r="N352" s="28">
        <f>IF($M352="","",IFERROR(INDEX(CONFIG!$C$4:$C$63,MATCH($M352,CONFIG!$A$4:$A$63,0)),"Media"))</f>
        <v/>
      </c>
      <c r="O352" s="28">
        <f>IF($M352="","",IF($C352="Interna","NO",IFERROR(INDEX(CONFIG!$E$4:$E$63,MATCH($M352,CONFIG!$A$4:$A$63,0)),"NO")))</f>
        <v/>
      </c>
      <c r="P352" s="50" t="n"/>
      <c r="Q352" s="50" t="n"/>
      <c r="R352" s="28">
        <f>IF($Q352="","",IFERROR(INDEX(CONFIG!$H$4:$H$63,MATCH($Q352,CONFIG!$G$4:$G$63,0)),"Por definir"))</f>
        <v/>
      </c>
      <c r="S352" s="28">
        <f>IF($Q352="","",IFERROR(INDEX(CONFIG!$I$4:$I$63,MATCH($Q352,CONFIG!$G$4:$G$63,0)),"Por definir"))</f>
        <v/>
      </c>
      <c r="T352" s="51" t="n"/>
      <c r="U352" s="52" t="n"/>
      <c r="V352" s="50" t="n"/>
      <c r="W352" s="50" t="n"/>
      <c r="X352" s="49">
        <f>IF(OR($B352="",$M352=""),"",WORKDAY($B352,IFERROR(INDEX(CONFIG!$D$4:$D$63,MATCH($M352,CONFIG!$A$4:$A$63,0)),3)))</f>
        <v/>
      </c>
      <c r="Y352" s="47" t="n"/>
      <c r="Z352" s="24">
        <f>IF($B352="","",IF($Y352&lt;&gt;"",$Y352-$B352,TODAY()-$B352))</f>
        <v/>
      </c>
      <c r="AA352" s="28">
        <f>IF($B352="","",IF(IFERROR(INDEX(CONFIG!$L$4:$L$63,MATCH($V352,CONFIG!$K$4:$K$63,0)),"NO")="SÍ",IF(OR($Y352="",$X352=""),"Resuelta",IF($Y352&gt;$X352,"Resuelta tarde","Resuelta a tiempo")),IF($X352="","Sin clasificar",IF(TODAY()&gt;$X352,"Vencida",IF(TODAY()&gt;=$X352-1,"Por vencer","En plazo")))))</f>
        <v/>
      </c>
      <c r="AB352" s="50" t="n"/>
      <c r="AC352" s="50" t="n"/>
    </row>
    <row r="353" ht="16" customHeight="1">
      <c r="A353" s="28">
        <f>IF($B353="","","N-"&amp;TEXT(ROW()-3,"0000"))</f>
        <v/>
      </c>
      <c r="B353" s="47" t="n"/>
      <c r="C353" s="48" t="n"/>
      <c r="D353" s="48" t="n"/>
      <c r="E353" s="28">
        <f>IF($C353="","",IF($D353="",IF($C353="Interna","Sin guía (interna)","FALTA GUÍA"),IF(COUNTIFS(ENVIOS!$A$4:$A$3003,$D353)=0,"NO EXISTE",IF(COUNTIFS(ENVIOS!$A$4:$A$3003,$D353)&gt;1,"DUPLICADA","OK"))))</f>
        <v/>
      </c>
      <c r="F353" s="28">
        <f>IF($D353="","",IFERROR(INDEX(ENVIOS!$B$4:$B$3003,MATCH($D353,ENVIOS!$A$4:$A$3003,0)),"—"))</f>
        <v/>
      </c>
      <c r="G353" s="23">
        <f>IF($D353="","",IFERROR(INDEX(ENVIOS!$D$4:$D$3003,MATCH($D353,ENVIOS!$A$4:$A$3003,0)),"—"))</f>
        <v/>
      </c>
      <c r="H353" s="23">
        <f>IF($D353="","",IFERROR(INDEX(ENVIOS!$E$4:$E$3003,MATCH($D353,ENVIOS!$A$4:$A$3003,0)),"—"))</f>
        <v/>
      </c>
      <c r="I353" s="23">
        <f>IF($D353="","",IFERROR(INDEX(ENVIOS!$F$4:$F$3003,MATCH($D353,ENVIOS!$A$4:$A$3003,0)),"—"))</f>
        <v/>
      </c>
      <c r="J353" s="23">
        <f>IF($D353="","",IFERROR(INDEX(ENVIOS!$G$4:$G$3003,MATCH($D353,ENVIOS!$A$4:$A$3003,0)),"—"))</f>
        <v/>
      </c>
      <c r="K353" s="28">
        <f>IF($D353="","",IFERROR(INDEX(ENVIOS!$H$4:$H$3003,MATCH($D353,ENVIOS!$A$4:$A$3003,0)),"—"))</f>
        <v/>
      </c>
      <c r="L353" s="49">
        <f>IF($D353="","",IFERROR(INDEX(ENVIOS!$C$4:$C$3003,MATCH($D353,ENVIOS!$A$4:$A$3003,0)),""))</f>
        <v/>
      </c>
      <c r="M353" s="50" t="n"/>
      <c r="N353" s="28">
        <f>IF($M353="","",IFERROR(INDEX(CONFIG!$C$4:$C$63,MATCH($M353,CONFIG!$A$4:$A$63,0)),"Media"))</f>
        <v/>
      </c>
      <c r="O353" s="28">
        <f>IF($M353="","",IF($C353="Interna","NO",IFERROR(INDEX(CONFIG!$E$4:$E$63,MATCH($M353,CONFIG!$A$4:$A$63,0)),"NO")))</f>
        <v/>
      </c>
      <c r="P353" s="50" t="n"/>
      <c r="Q353" s="50" t="n"/>
      <c r="R353" s="28">
        <f>IF($Q353="","",IFERROR(INDEX(CONFIG!$H$4:$H$63,MATCH($Q353,CONFIG!$G$4:$G$63,0)),"Por definir"))</f>
        <v/>
      </c>
      <c r="S353" s="28">
        <f>IF($Q353="","",IFERROR(INDEX(CONFIG!$I$4:$I$63,MATCH($Q353,CONFIG!$G$4:$G$63,0)),"Por definir"))</f>
        <v/>
      </c>
      <c r="T353" s="51" t="n"/>
      <c r="U353" s="52" t="n"/>
      <c r="V353" s="50" t="n"/>
      <c r="W353" s="50" t="n"/>
      <c r="X353" s="49">
        <f>IF(OR($B353="",$M353=""),"",WORKDAY($B353,IFERROR(INDEX(CONFIG!$D$4:$D$63,MATCH($M353,CONFIG!$A$4:$A$63,0)),3)))</f>
        <v/>
      </c>
      <c r="Y353" s="47" t="n"/>
      <c r="Z353" s="24">
        <f>IF($B353="","",IF($Y353&lt;&gt;"",$Y353-$B353,TODAY()-$B353))</f>
        <v/>
      </c>
      <c r="AA353" s="28">
        <f>IF($B353="","",IF(IFERROR(INDEX(CONFIG!$L$4:$L$63,MATCH($V353,CONFIG!$K$4:$K$63,0)),"NO")="SÍ",IF(OR($Y353="",$X353=""),"Resuelta",IF($Y353&gt;$X353,"Resuelta tarde","Resuelta a tiempo")),IF($X353="","Sin clasificar",IF(TODAY()&gt;$X353,"Vencida",IF(TODAY()&gt;=$X353-1,"Por vencer","En plazo")))))</f>
        <v/>
      </c>
      <c r="AB353" s="50" t="n"/>
      <c r="AC353" s="50" t="n"/>
    </row>
    <row r="354" ht="16" customHeight="1">
      <c r="A354" s="28">
        <f>IF($B354="","","N-"&amp;TEXT(ROW()-3,"0000"))</f>
        <v/>
      </c>
      <c r="B354" s="47" t="n"/>
      <c r="C354" s="48" t="n"/>
      <c r="D354" s="48" t="n"/>
      <c r="E354" s="28">
        <f>IF($C354="","",IF($D354="",IF($C354="Interna","Sin guía (interna)","FALTA GUÍA"),IF(COUNTIFS(ENVIOS!$A$4:$A$3003,$D354)=0,"NO EXISTE",IF(COUNTIFS(ENVIOS!$A$4:$A$3003,$D354)&gt;1,"DUPLICADA","OK"))))</f>
        <v/>
      </c>
      <c r="F354" s="28">
        <f>IF($D354="","",IFERROR(INDEX(ENVIOS!$B$4:$B$3003,MATCH($D354,ENVIOS!$A$4:$A$3003,0)),"—"))</f>
        <v/>
      </c>
      <c r="G354" s="23">
        <f>IF($D354="","",IFERROR(INDEX(ENVIOS!$D$4:$D$3003,MATCH($D354,ENVIOS!$A$4:$A$3003,0)),"—"))</f>
        <v/>
      </c>
      <c r="H354" s="23">
        <f>IF($D354="","",IFERROR(INDEX(ENVIOS!$E$4:$E$3003,MATCH($D354,ENVIOS!$A$4:$A$3003,0)),"—"))</f>
        <v/>
      </c>
      <c r="I354" s="23">
        <f>IF($D354="","",IFERROR(INDEX(ENVIOS!$F$4:$F$3003,MATCH($D354,ENVIOS!$A$4:$A$3003,0)),"—"))</f>
        <v/>
      </c>
      <c r="J354" s="23">
        <f>IF($D354="","",IFERROR(INDEX(ENVIOS!$G$4:$G$3003,MATCH($D354,ENVIOS!$A$4:$A$3003,0)),"—"))</f>
        <v/>
      </c>
      <c r="K354" s="28">
        <f>IF($D354="","",IFERROR(INDEX(ENVIOS!$H$4:$H$3003,MATCH($D354,ENVIOS!$A$4:$A$3003,0)),"—"))</f>
        <v/>
      </c>
      <c r="L354" s="49">
        <f>IF($D354="","",IFERROR(INDEX(ENVIOS!$C$4:$C$3003,MATCH($D354,ENVIOS!$A$4:$A$3003,0)),""))</f>
        <v/>
      </c>
      <c r="M354" s="50" t="n"/>
      <c r="N354" s="28">
        <f>IF($M354="","",IFERROR(INDEX(CONFIG!$C$4:$C$63,MATCH($M354,CONFIG!$A$4:$A$63,0)),"Media"))</f>
        <v/>
      </c>
      <c r="O354" s="28">
        <f>IF($M354="","",IF($C354="Interna","NO",IFERROR(INDEX(CONFIG!$E$4:$E$63,MATCH($M354,CONFIG!$A$4:$A$63,0)),"NO")))</f>
        <v/>
      </c>
      <c r="P354" s="50" t="n"/>
      <c r="Q354" s="50" t="n"/>
      <c r="R354" s="28">
        <f>IF($Q354="","",IFERROR(INDEX(CONFIG!$H$4:$H$63,MATCH($Q354,CONFIG!$G$4:$G$63,0)),"Por definir"))</f>
        <v/>
      </c>
      <c r="S354" s="28">
        <f>IF($Q354="","",IFERROR(INDEX(CONFIG!$I$4:$I$63,MATCH($Q354,CONFIG!$G$4:$G$63,0)),"Por definir"))</f>
        <v/>
      </c>
      <c r="T354" s="51" t="n"/>
      <c r="U354" s="52" t="n"/>
      <c r="V354" s="50" t="n"/>
      <c r="W354" s="50" t="n"/>
      <c r="X354" s="49">
        <f>IF(OR($B354="",$M354=""),"",WORKDAY($B354,IFERROR(INDEX(CONFIG!$D$4:$D$63,MATCH($M354,CONFIG!$A$4:$A$63,0)),3)))</f>
        <v/>
      </c>
      <c r="Y354" s="47" t="n"/>
      <c r="Z354" s="24">
        <f>IF($B354="","",IF($Y354&lt;&gt;"",$Y354-$B354,TODAY()-$B354))</f>
        <v/>
      </c>
      <c r="AA354" s="28">
        <f>IF($B354="","",IF(IFERROR(INDEX(CONFIG!$L$4:$L$63,MATCH($V354,CONFIG!$K$4:$K$63,0)),"NO")="SÍ",IF(OR($Y354="",$X354=""),"Resuelta",IF($Y354&gt;$X354,"Resuelta tarde","Resuelta a tiempo")),IF($X354="","Sin clasificar",IF(TODAY()&gt;$X354,"Vencida",IF(TODAY()&gt;=$X354-1,"Por vencer","En plazo")))))</f>
        <v/>
      </c>
      <c r="AB354" s="50" t="n"/>
      <c r="AC354" s="50" t="n"/>
    </row>
    <row r="355" ht="16" customHeight="1">
      <c r="A355" s="28">
        <f>IF($B355="","","N-"&amp;TEXT(ROW()-3,"0000"))</f>
        <v/>
      </c>
      <c r="B355" s="47" t="n"/>
      <c r="C355" s="48" t="n"/>
      <c r="D355" s="48" t="n"/>
      <c r="E355" s="28">
        <f>IF($C355="","",IF($D355="",IF($C355="Interna","Sin guía (interna)","FALTA GUÍA"),IF(COUNTIFS(ENVIOS!$A$4:$A$3003,$D355)=0,"NO EXISTE",IF(COUNTIFS(ENVIOS!$A$4:$A$3003,$D355)&gt;1,"DUPLICADA","OK"))))</f>
        <v/>
      </c>
      <c r="F355" s="28">
        <f>IF($D355="","",IFERROR(INDEX(ENVIOS!$B$4:$B$3003,MATCH($D355,ENVIOS!$A$4:$A$3003,0)),"—"))</f>
        <v/>
      </c>
      <c r="G355" s="23">
        <f>IF($D355="","",IFERROR(INDEX(ENVIOS!$D$4:$D$3003,MATCH($D355,ENVIOS!$A$4:$A$3003,0)),"—"))</f>
        <v/>
      </c>
      <c r="H355" s="23">
        <f>IF($D355="","",IFERROR(INDEX(ENVIOS!$E$4:$E$3003,MATCH($D355,ENVIOS!$A$4:$A$3003,0)),"—"))</f>
        <v/>
      </c>
      <c r="I355" s="23">
        <f>IF($D355="","",IFERROR(INDEX(ENVIOS!$F$4:$F$3003,MATCH($D355,ENVIOS!$A$4:$A$3003,0)),"—"))</f>
        <v/>
      </c>
      <c r="J355" s="23">
        <f>IF($D355="","",IFERROR(INDEX(ENVIOS!$G$4:$G$3003,MATCH($D355,ENVIOS!$A$4:$A$3003,0)),"—"))</f>
        <v/>
      </c>
      <c r="K355" s="28">
        <f>IF($D355="","",IFERROR(INDEX(ENVIOS!$H$4:$H$3003,MATCH($D355,ENVIOS!$A$4:$A$3003,0)),"—"))</f>
        <v/>
      </c>
      <c r="L355" s="49">
        <f>IF($D355="","",IFERROR(INDEX(ENVIOS!$C$4:$C$3003,MATCH($D355,ENVIOS!$A$4:$A$3003,0)),""))</f>
        <v/>
      </c>
      <c r="M355" s="50" t="n"/>
      <c r="N355" s="28">
        <f>IF($M355="","",IFERROR(INDEX(CONFIG!$C$4:$C$63,MATCH($M355,CONFIG!$A$4:$A$63,0)),"Media"))</f>
        <v/>
      </c>
      <c r="O355" s="28">
        <f>IF($M355="","",IF($C355="Interna","NO",IFERROR(INDEX(CONFIG!$E$4:$E$63,MATCH($M355,CONFIG!$A$4:$A$63,0)),"NO")))</f>
        <v/>
      </c>
      <c r="P355" s="50" t="n"/>
      <c r="Q355" s="50" t="n"/>
      <c r="R355" s="28">
        <f>IF($Q355="","",IFERROR(INDEX(CONFIG!$H$4:$H$63,MATCH($Q355,CONFIG!$G$4:$G$63,0)),"Por definir"))</f>
        <v/>
      </c>
      <c r="S355" s="28">
        <f>IF($Q355="","",IFERROR(INDEX(CONFIG!$I$4:$I$63,MATCH($Q355,CONFIG!$G$4:$G$63,0)),"Por definir"))</f>
        <v/>
      </c>
      <c r="T355" s="51" t="n"/>
      <c r="U355" s="52" t="n"/>
      <c r="V355" s="50" t="n"/>
      <c r="W355" s="50" t="n"/>
      <c r="X355" s="49">
        <f>IF(OR($B355="",$M355=""),"",WORKDAY($B355,IFERROR(INDEX(CONFIG!$D$4:$D$63,MATCH($M355,CONFIG!$A$4:$A$63,0)),3)))</f>
        <v/>
      </c>
      <c r="Y355" s="47" t="n"/>
      <c r="Z355" s="24">
        <f>IF($B355="","",IF($Y355&lt;&gt;"",$Y355-$B355,TODAY()-$B355))</f>
        <v/>
      </c>
      <c r="AA355" s="28">
        <f>IF($B355="","",IF(IFERROR(INDEX(CONFIG!$L$4:$L$63,MATCH($V355,CONFIG!$K$4:$K$63,0)),"NO")="SÍ",IF(OR($Y355="",$X355=""),"Resuelta",IF($Y355&gt;$X355,"Resuelta tarde","Resuelta a tiempo")),IF($X355="","Sin clasificar",IF(TODAY()&gt;$X355,"Vencida",IF(TODAY()&gt;=$X355-1,"Por vencer","En plazo")))))</f>
        <v/>
      </c>
      <c r="AB355" s="50" t="n"/>
      <c r="AC355" s="50" t="n"/>
    </row>
    <row r="356" ht="16" customHeight="1">
      <c r="A356" s="28">
        <f>IF($B356="","","N-"&amp;TEXT(ROW()-3,"0000"))</f>
        <v/>
      </c>
      <c r="B356" s="47" t="n"/>
      <c r="C356" s="48" t="n"/>
      <c r="D356" s="48" t="n"/>
      <c r="E356" s="28">
        <f>IF($C356="","",IF($D356="",IF($C356="Interna","Sin guía (interna)","FALTA GUÍA"),IF(COUNTIFS(ENVIOS!$A$4:$A$3003,$D356)=0,"NO EXISTE",IF(COUNTIFS(ENVIOS!$A$4:$A$3003,$D356)&gt;1,"DUPLICADA","OK"))))</f>
        <v/>
      </c>
      <c r="F356" s="28">
        <f>IF($D356="","",IFERROR(INDEX(ENVIOS!$B$4:$B$3003,MATCH($D356,ENVIOS!$A$4:$A$3003,0)),"—"))</f>
        <v/>
      </c>
      <c r="G356" s="23">
        <f>IF($D356="","",IFERROR(INDEX(ENVIOS!$D$4:$D$3003,MATCH($D356,ENVIOS!$A$4:$A$3003,0)),"—"))</f>
        <v/>
      </c>
      <c r="H356" s="23">
        <f>IF($D356="","",IFERROR(INDEX(ENVIOS!$E$4:$E$3003,MATCH($D356,ENVIOS!$A$4:$A$3003,0)),"—"))</f>
        <v/>
      </c>
      <c r="I356" s="23">
        <f>IF($D356="","",IFERROR(INDEX(ENVIOS!$F$4:$F$3003,MATCH($D356,ENVIOS!$A$4:$A$3003,0)),"—"))</f>
        <v/>
      </c>
      <c r="J356" s="23">
        <f>IF($D356="","",IFERROR(INDEX(ENVIOS!$G$4:$G$3003,MATCH($D356,ENVIOS!$A$4:$A$3003,0)),"—"))</f>
        <v/>
      </c>
      <c r="K356" s="28">
        <f>IF($D356="","",IFERROR(INDEX(ENVIOS!$H$4:$H$3003,MATCH($D356,ENVIOS!$A$4:$A$3003,0)),"—"))</f>
        <v/>
      </c>
      <c r="L356" s="49">
        <f>IF($D356="","",IFERROR(INDEX(ENVIOS!$C$4:$C$3003,MATCH($D356,ENVIOS!$A$4:$A$3003,0)),""))</f>
        <v/>
      </c>
      <c r="M356" s="50" t="n"/>
      <c r="N356" s="28">
        <f>IF($M356="","",IFERROR(INDEX(CONFIG!$C$4:$C$63,MATCH($M356,CONFIG!$A$4:$A$63,0)),"Media"))</f>
        <v/>
      </c>
      <c r="O356" s="28">
        <f>IF($M356="","",IF($C356="Interna","NO",IFERROR(INDEX(CONFIG!$E$4:$E$63,MATCH($M356,CONFIG!$A$4:$A$63,0)),"NO")))</f>
        <v/>
      </c>
      <c r="P356" s="50" t="n"/>
      <c r="Q356" s="50" t="n"/>
      <c r="R356" s="28">
        <f>IF($Q356="","",IFERROR(INDEX(CONFIG!$H$4:$H$63,MATCH($Q356,CONFIG!$G$4:$G$63,0)),"Por definir"))</f>
        <v/>
      </c>
      <c r="S356" s="28">
        <f>IF($Q356="","",IFERROR(INDEX(CONFIG!$I$4:$I$63,MATCH($Q356,CONFIG!$G$4:$G$63,0)),"Por definir"))</f>
        <v/>
      </c>
      <c r="T356" s="51" t="n"/>
      <c r="U356" s="52" t="n"/>
      <c r="V356" s="50" t="n"/>
      <c r="W356" s="50" t="n"/>
      <c r="X356" s="49">
        <f>IF(OR($B356="",$M356=""),"",WORKDAY($B356,IFERROR(INDEX(CONFIG!$D$4:$D$63,MATCH($M356,CONFIG!$A$4:$A$63,0)),3)))</f>
        <v/>
      </c>
      <c r="Y356" s="47" t="n"/>
      <c r="Z356" s="24">
        <f>IF($B356="","",IF($Y356&lt;&gt;"",$Y356-$B356,TODAY()-$B356))</f>
        <v/>
      </c>
      <c r="AA356" s="28">
        <f>IF($B356="","",IF(IFERROR(INDEX(CONFIG!$L$4:$L$63,MATCH($V356,CONFIG!$K$4:$K$63,0)),"NO")="SÍ",IF(OR($Y356="",$X356=""),"Resuelta",IF($Y356&gt;$X356,"Resuelta tarde","Resuelta a tiempo")),IF($X356="","Sin clasificar",IF(TODAY()&gt;$X356,"Vencida",IF(TODAY()&gt;=$X356-1,"Por vencer","En plazo")))))</f>
        <v/>
      </c>
      <c r="AB356" s="50" t="n"/>
      <c r="AC356" s="50" t="n"/>
    </row>
    <row r="357" ht="16" customHeight="1">
      <c r="A357" s="28">
        <f>IF($B357="","","N-"&amp;TEXT(ROW()-3,"0000"))</f>
        <v/>
      </c>
      <c r="B357" s="47" t="n"/>
      <c r="C357" s="48" t="n"/>
      <c r="D357" s="48" t="n"/>
      <c r="E357" s="28">
        <f>IF($C357="","",IF($D357="",IF($C357="Interna","Sin guía (interna)","FALTA GUÍA"),IF(COUNTIFS(ENVIOS!$A$4:$A$3003,$D357)=0,"NO EXISTE",IF(COUNTIFS(ENVIOS!$A$4:$A$3003,$D357)&gt;1,"DUPLICADA","OK"))))</f>
        <v/>
      </c>
      <c r="F357" s="28">
        <f>IF($D357="","",IFERROR(INDEX(ENVIOS!$B$4:$B$3003,MATCH($D357,ENVIOS!$A$4:$A$3003,0)),"—"))</f>
        <v/>
      </c>
      <c r="G357" s="23">
        <f>IF($D357="","",IFERROR(INDEX(ENVIOS!$D$4:$D$3003,MATCH($D357,ENVIOS!$A$4:$A$3003,0)),"—"))</f>
        <v/>
      </c>
      <c r="H357" s="23">
        <f>IF($D357="","",IFERROR(INDEX(ENVIOS!$E$4:$E$3003,MATCH($D357,ENVIOS!$A$4:$A$3003,0)),"—"))</f>
        <v/>
      </c>
      <c r="I357" s="23">
        <f>IF($D357="","",IFERROR(INDEX(ENVIOS!$F$4:$F$3003,MATCH($D357,ENVIOS!$A$4:$A$3003,0)),"—"))</f>
        <v/>
      </c>
      <c r="J357" s="23">
        <f>IF($D357="","",IFERROR(INDEX(ENVIOS!$G$4:$G$3003,MATCH($D357,ENVIOS!$A$4:$A$3003,0)),"—"))</f>
        <v/>
      </c>
      <c r="K357" s="28">
        <f>IF($D357="","",IFERROR(INDEX(ENVIOS!$H$4:$H$3003,MATCH($D357,ENVIOS!$A$4:$A$3003,0)),"—"))</f>
        <v/>
      </c>
      <c r="L357" s="49">
        <f>IF($D357="","",IFERROR(INDEX(ENVIOS!$C$4:$C$3003,MATCH($D357,ENVIOS!$A$4:$A$3003,0)),""))</f>
        <v/>
      </c>
      <c r="M357" s="50" t="n"/>
      <c r="N357" s="28">
        <f>IF($M357="","",IFERROR(INDEX(CONFIG!$C$4:$C$63,MATCH($M357,CONFIG!$A$4:$A$63,0)),"Media"))</f>
        <v/>
      </c>
      <c r="O357" s="28">
        <f>IF($M357="","",IF($C357="Interna","NO",IFERROR(INDEX(CONFIG!$E$4:$E$63,MATCH($M357,CONFIG!$A$4:$A$63,0)),"NO")))</f>
        <v/>
      </c>
      <c r="P357" s="50" t="n"/>
      <c r="Q357" s="50" t="n"/>
      <c r="R357" s="28">
        <f>IF($Q357="","",IFERROR(INDEX(CONFIG!$H$4:$H$63,MATCH($Q357,CONFIG!$G$4:$G$63,0)),"Por definir"))</f>
        <v/>
      </c>
      <c r="S357" s="28">
        <f>IF($Q357="","",IFERROR(INDEX(CONFIG!$I$4:$I$63,MATCH($Q357,CONFIG!$G$4:$G$63,0)),"Por definir"))</f>
        <v/>
      </c>
      <c r="T357" s="51" t="n"/>
      <c r="U357" s="52" t="n"/>
      <c r="V357" s="50" t="n"/>
      <c r="W357" s="50" t="n"/>
      <c r="X357" s="49">
        <f>IF(OR($B357="",$M357=""),"",WORKDAY($B357,IFERROR(INDEX(CONFIG!$D$4:$D$63,MATCH($M357,CONFIG!$A$4:$A$63,0)),3)))</f>
        <v/>
      </c>
      <c r="Y357" s="47" t="n"/>
      <c r="Z357" s="24">
        <f>IF($B357="","",IF($Y357&lt;&gt;"",$Y357-$B357,TODAY()-$B357))</f>
        <v/>
      </c>
      <c r="AA357" s="28">
        <f>IF($B357="","",IF(IFERROR(INDEX(CONFIG!$L$4:$L$63,MATCH($V357,CONFIG!$K$4:$K$63,0)),"NO")="SÍ",IF(OR($Y357="",$X357=""),"Resuelta",IF($Y357&gt;$X357,"Resuelta tarde","Resuelta a tiempo")),IF($X357="","Sin clasificar",IF(TODAY()&gt;$X357,"Vencida",IF(TODAY()&gt;=$X357-1,"Por vencer","En plazo")))))</f>
        <v/>
      </c>
      <c r="AB357" s="50" t="n"/>
      <c r="AC357" s="50" t="n"/>
    </row>
    <row r="358" ht="16" customHeight="1">
      <c r="A358" s="28">
        <f>IF($B358="","","N-"&amp;TEXT(ROW()-3,"0000"))</f>
        <v/>
      </c>
      <c r="B358" s="47" t="n"/>
      <c r="C358" s="48" t="n"/>
      <c r="D358" s="48" t="n"/>
      <c r="E358" s="28">
        <f>IF($C358="","",IF($D358="",IF($C358="Interna","Sin guía (interna)","FALTA GUÍA"),IF(COUNTIFS(ENVIOS!$A$4:$A$3003,$D358)=0,"NO EXISTE",IF(COUNTIFS(ENVIOS!$A$4:$A$3003,$D358)&gt;1,"DUPLICADA","OK"))))</f>
        <v/>
      </c>
      <c r="F358" s="28">
        <f>IF($D358="","",IFERROR(INDEX(ENVIOS!$B$4:$B$3003,MATCH($D358,ENVIOS!$A$4:$A$3003,0)),"—"))</f>
        <v/>
      </c>
      <c r="G358" s="23">
        <f>IF($D358="","",IFERROR(INDEX(ENVIOS!$D$4:$D$3003,MATCH($D358,ENVIOS!$A$4:$A$3003,0)),"—"))</f>
        <v/>
      </c>
      <c r="H358" s="23">
        <f>IF($D358="","",IFERROR(INDEX(ENVIOS!$E$4:$E$3003,MATCH($D358,ENVIOS!$A$4:$A$3003,0)),"—"))</f>
        <v/>
      </c>
      <c r="I358" s="23">
        <f>IF($D358="","",IFERROR(INDEX(ENVIOS!$F$4:$F$3003,MATCH($D358,ENVIOS!$A$4:$A$3003,0)),"—"))</f>
        <v/>
      </c>
      <c r="J358" s="23">
        <f>IF($D358="","",IFERROR(INDEX(ENVIOS!$G$4:$G$3003,MATCH($D358,ENVIOS!$A$4:$A$3003,0)),"—"))</f>
        <v/>
      </c>
      <c r="K358" s="28">
        <f>IF($D358="","",IFERROR(INDEX(ENVIOS!$H$4:$H$3003,MATCH($D358,ENVIOS!$A$4:$A$3003,0)),"—"))</f>
        <v/>
      </c>
      <c r="L358" s="49">
        <f>IF($D358="","",IFERROR(INDEX(ENVIOS!$C$4:$C$3003,MATCH($D358,ENVIOS!$A$4:$A$3003,0)),""))</f>
        <v/>
      </c>
      <c r="M358" s="50" t="n"/>
      <c r="N358" s="28">
        <f>IF($M358="","",IFERROR(INDEX(CONFIG!$C$4:$C$63,MATCH($M358,CONFIG!$A$4:$A$63,0)),"Media"))</f>
        <v/>
      </c>
      <c r="O358" s="28">
        <f>IF($M358="","",IF($C358="Interna","NO",IFERROR(INDEX(CONFIG!$E$4:$E$63,MATCH($M358,CONFIG!$A$4:$A$63,0)),"NO")))</f>
        <v/>
      </c>
      <c r="P358" s="50" t="n"/>
      <c r="Q358" s="50" t="n"/>
      <c r="R358" s="28">
        <f>IF($Q358="","",IFERROR(INDEX(CONFIG!$H$4:$H$63,MATCH($Q358,CONFIG!$G$4:$G$63,0)),"Por definir"))</f>
        <v/>
      </c>
      <c r="S358" s="28">
        <f>IF($Q358="","",IFERROR(INDEX(CONFIG!$I$4:$I$63,MATCH($Q358,CONFIG!$G$4:$G$63,0)),"Por definir"))</f>
        <v/>
      </c>
      <c r="T358" s="51" t="n"/>
      <c r="U358" s="52" t="n"/>
      <c r="V358" s="50" t="n"/>
      <c r="W358" s="50" t="n"/>
      <c r="X358" s="49">
        <f>IF(OR($B358="",$M358=""),"",WORKDAY($B358,IFERROR(INDEX(CONFIG!$D$4:$D$63,MATCH($M358,CONFIG!$A$4:$A$63,0)),3)))</f>
        <v/>
      </c>
      <c r="Y358" s="47" t="n"/>
      <c r="Z358" s="24">
        <f>IF($B358="","",IF($Y358&lt;&gt;"",$Y358-$B358,TODAY()-$B358))</f>
        <v/>
      </c>
      <c r="AA358" s="28">
        <f>IF($B358="","",IF(IFERROR(INDEX(CONFIG!$L$4:$L$63,MATCH($V358,CONFIG!$K$4:$K$63,0)),"NO")="SÍ",IF(OR($Y358="",$X358=""),"Resuelta",IF($Y358&gt;$X358,"Resuelta tarde","Resuelta a tiempo")),IF($X358="","Sin clasificar",IF(TODAY()&gt;$X358,"Vencida",IF(TODAY()&gt;=$X358-1,"Por vencer","En plazo")))))</f>
        <v/>
      </c>
      <c r="AB358" s="50" t="n"/>
      <c r="AC358" s="50" t="n"/>
    </row>
    <row r="359" ht="16" customHeight="1">
      <c r="A359" s="28">
        <f>IF($B359="","","N-"&amp;TEXT(ROW()-3,"0000"))</f>
        <v/>
      </c>
      <c r="B359" s="47" t="n"/>
      <c r="C359" s="48" t="n"/>
      <c r="D359" s="48" t="n"/>
      <c r="E359" s="28">
        <f>IF($C359="","",IF($D359="",IF($C359="Interna","Sin guía (interna)","FALTA GUÍA"),IF(COUNTIFS(ENVIOS!$A$4:$A$3003,$D359)=0,"NO EXISTE",IF(COUNTIFS(ENVIOS!$A$4:$A$3003,$D359)&gt;1,"DUPLICADA","OK"))))</f>
        <v/>
      </c>
      <c r="F359" s="28">
        <f>IF($D359="","",IFERROR(INDEX(ENVIOS!$B$4:$B$3003,MATCH($D359,ENVIOS!$A$4:$A$3003,0)),"—"))</f>
        <v/>
      </c>
      <c r="G359" s="23">
        <f>IF($D359="","",IFERROR(INDEX(ENVIOS!$D$4:$D$3003,MATCH($D359,ENVIOS!$A$4:$A$3003,0)),"—"))</f>
        <v/>
      </c>
      <c r="H359" s="23">
        <f>IF($D359="","",IFERROR(INDEX(ENVIOS!$E$4:$E$3003,MATCH($D359,ENVIOS!$A$4:$A$3003,0)),"—"))</f>
        <v/>
      </c>
      <c r="I359" s="23">
        <f>IF($D359="","",IFERROR(INDEX(ENVIOS!$F$4:$F$3003,MATCH($D359,ENVIOS!$A$4:$A$3003,0)),"—"))</f>
        <v/>
      </c>
      <c r="J359" s="23">
        <f>IF($D359="","",IFERROR(INDEX(ENVIOS!$G$4:$G$3003,MATCH($D359,ENVIOS!$A$4:$A$3003,0)),"—"))</f>
        <v/>
      </c>
      <c r="K359" s="28">
        <f>IF($D359="","",IFERROR(INDEX(ENVIOS!$H$4:$H$3003,MATCH($D359,ENVIOS!$A$4:$A$3003,0)),"—"))</f>
        <v/>
      </c>
      <c r="L359" s="49">
        <f>IF($D359="","",IFERROR(INDEX(ENVIOS!$C$4:$C$3003,MATCH($D359,ENVIOS!$A$4:$A$3003,0)),""))</f>
        <v/>
      </c>
      <c r="M359" s="50" t="n"/>
      <c r="N359" s="28">
        <f>IF($M359="","",IFERROR(INDEX(CONFIG!$C$4:$C$63,MATCH($M359,CONFIG!$A$4:$A$63,0)),"Media"))</f>
        <v/>
      </c>
      <c r="O359" s="28">
        <f>IF($M359="","",IF($C359="Interna","NO",IFERROR(INDEX(CONFIG!$E$4:$E$63,MATCH($M359,CONFIG!$A$4:$A$63,0)),"NO")))</f>
        <v/>
      </c>
      <c r="P359" s="50" t="n"/>
      <c r="Q359" s="50" t="n"/>
      <c r="R359" s="28">
        <f>IF($Q359="","",IFERROR(INDEX(CONFIG!$H$4:$H$63,MATCH($Q359,CONFIG!$G$4:$G$63,0)),"Por definir"))</f>
        <v/>
      </c>
      <c r="S359" s="28">
        <f>IF($Q359="","",IFERROR(INDEX(CONFIG!$I$4:$I$63,MATCH($Q359,CONFIG!$G$4:$G$63,0)),"Por definir"))</f>
        <v/>
      </c>
      <c r="T359" s="51" t="n"/>
      <c r="U359" s="52" t="n"/>
      <c r="V359" s="50" t="n"/>
      <c r="W359" s="50" t="n"/>
      <c r="X359" s="49">
        <f>IF(OR($B359="",$M359=""),"",WORKDAY($B359,IFERROR(INDEX(CONFIG!$D$4:$D$63,MATCH($M359,CONFIG!$A$4:$A$63,0)),3)))</f>
        <v/>
      </c>
      <c r="Y359" s="47" t="n"/>
      <c r="Z359" s="24">
        <f>IF($B359="","",IF($Y359&lt;&gt;"",$Y359-$B359,TODAY()-$B359))</f>
        <v/>
      </c>
      <c r="AA359" s="28">
        <f>IF($B359="","",IF(IFERROR(INDEX(CONFIG!$L$4:$L$63,MATCH($V359,CONFIG!$K$4:$K$63,0)),"NO")="SÍ",IF(OR($Y359="",$X359=""),"Resuelta",IF($Y359&gt;$X359,"Resuelta tarde","Resuelta a tiempo")),IF($X359="","Sin clasificar",IF(TODAY()&gt;$X359,"Vencida",IF(TODAY()&gt;=$X359-1,"Por vencer","En plazo")))))</f>
        <v/>
      </c>
      <c r="AB359" s="50" t="n"/>
      <c r="AC359" s="50" t="n"/>
    </row>
    <row r="360" ht="16" customHeight="1">
      <c r="A360" s="28">
        <f>IF($B360="","","N-"&amp;TEXT(ROW()-3,"0000"))</f>
        <v/>
      </c>
      <c r="B360" s="47" t="n"/>
      <c r="C360" s="48" t="n"/>
      <c r="D360" s="48" t="n"/>
      <c r="E360" s="28">
        <f>IF($C360="","",IF($D360="",IF($C360="Interna","Sin guía (interna)","FALTA GUÍA"),IF(COUNTIFS(ENVIOS!$A$4:$A$3003,$D360)=0,"NO EXISTE",IF(COUNTIFS(ENVIOS!$A$4:$A$3003,$D360)&gt;1,"DUPLICADA","OK"))))</f>
        <v/>
      </c>
      <c r="F360" s="28">
        <f>IF($D360="","",IFERROR(INDEX(ENVIOS!$B$4:$B$3003,MATCH($D360,ENVIOS!$A$4:$A$3003,0)),"—"))</f>
        <v/>
      </c>
      <c r="G360" s="23">
        <f>IF($D360="","",IFERROR(INDEX(ENVIOS!$D$4:$D$3003,MATCH($D360,ENVIOS!$A$4:$A$3003,0)),"—"))</f>
        <v/>
      </c>
      <c r="H360" s="23">
        <f>IF($D360="","",IFERROR(INDEX(ENVIOS!$E$4:$E$3003,MATCH($D360,ENVIOS!$A$4:$A$3003,0)),"—"))</f>
        <v/>
      </c>
      <c r="I360" s="23">
        <f>IF($D360="","",IFERROR(INDEX(ENVIOS!$F$4:$F$3003,MATCH($D360,ENVIOS!$A$4:$A$3003,0)),"—"))</f>
        <v/>
      </c>
      <c r="J360" s="23">
        <f>IF($D360="","",IFERROR(INDEX(ENVIOS!$G$4:$G$3003,MATCH($D360,ENVIOS!$A$4:$A$3003,0)),"—"))</f>
        <v/>
      </c>
      <c r="K360" s="28">
        <f>IF($D360="","",IFERROR(INDEX(ENVIOS!$H$4:$H$3003,MATCH($D360,ENVIOS!$A$4:$A$3003,0)),"—"))</f>
        <v/>
      </c>
      <c r="L360" s="49">
        <f>IF($D360="","",IFERROR(INDEX(ENVIOS!$C$4:$C$3003,MATCH($D360,ENVIOS!$A$4:$A$3003,0)),""))</f>
        <v/>
      </c>
      <c r="M360" s="50" t="n"/>
      <c r="N360" s="28">
        <f>IF($M360="","",IFERROR(INDEX(CONFIG!$C$4:$C$63,MATCH($M360,CONFIG!$A$4:$A$63,0)),"Media"))</f>
        <v/>
      </c>
      <c r="O360" s="28">
        <f>IF($M360="","",IF($C360="Interna","NO",IFERROR(INDEX(CONFIG!$E$4:$E$63,MATCH($M360,CONFIG!$A$4:$A$63,0)),"NO")))</f>
        <v/>
      </c>
      <c r="P360" s="50" t="n"/>
      <c r="Q360" s="50" t="n"/>
      <c r="R360" s="28">
        <f>IF($Q360="","",IFERROR(INDEX(CONFIG!$H$4:$H$63,MATCH($Q360,CONFIG!$G$4:$G$63,0)),"Por definir"))</f>
        <v/>
      </c>
      <c r="S360" s="28">
        <f>IF($Q360="","",IFERROR(INDEX(CONFIG!$I$4:$I$63,MATCH($Q360,CONFIG!$G$4:$G$63,0)),"Por definir"))</f>
        <v/>
      </c>
      <c r="T360" s="51" t="n"/>
      <c r="U360" s="52" t="n"/>
      <c r="V360" s="50" t="n"/>
      <c r="W360" s="50" t="n"/>
      <c r="X360" s="49">
        <f>IF(OR($B360="",$M360=""),"",WORKDAY($B360,IFERROR(INDEX(CONFIG!$D$4:$D$63,MATCH($M360,CONFIG!$A$4:$A$63,0)),3)))</f>
        <v/>
      </c>
      <c r="Y360" s="47" t="n"/>
      <c r="Z360" s="24">
        <f>IF($B360="","",IF($Y360&lt;&gt;"",$Y360-$B360,TODAY()-$B360))</f>
        <v/>
      </c>
      <c r="AA360" s="28">
        <f>IF($B360="","",IF(IFERROR(INDEX(CONFIG!$L$4:$L$63,MATCH($V360,CONFIG!$K$4:$K$63,0)),"NO")="SÍ",IF(OR($Y360="",$X360=""),"Resuelta",IF($Y360&gt;$X360,"Resuelta tarde","Resuelta a tiempo")),IF($X360="","Sin clasificar",IF(TODAY()&gt;$X360,"Vencida",IF(TODAY()&gt;=$X360-1,"Por vencer","En plazo")))))</f>
        <v/>
      </c>
      <c r="AB360" s="50" t="n"/>
      <c r="AC360" s="50" t="n"/>
    </row>
    <row r="361" ht="16" customHeight="1">
      <c r="A361" s="28">
        <f>IF($B361="","","N-"&amp;TEXT(ROW()-3,"0000"))</f>
        <v/>
      </c>
      <c r="B361" s="47" t="n"/>
      <c r="C361" s="48" t="n"/>
      <c r="D361" s="48" t="n"/>
      <c r="E361" s="28">
        <f>IF($C361="","",IF($D361="",IF($C361="Interna","Sin guía (interna)","FALTA GUÍA"),IF(COUNTIFS(ENVIOS!$A$4:$A$3003,$D361)=0,"NO EXISTE",IF(COUNTIFS(ENVIOS!$A$4:$A$3003,$D361)&gt;1,"DUPLICADA","OK"))))</f>
        <v/>
      </c>
      <c r="F361" s="28">
        <f>IF($D361="","",IFERROR(INDEX(ENVIOS!$B$4:$B$3003,MATCH($D361,ENVIOS!$A$4:$A$3003,0)),"—"))</f>
        <v/>
      </c>
      <c r="G361" s="23">
        <f>IF($D361="","",IFERROR(INDEX(ENVIOS!$D$4:$D$3003,MATCH($D361,ENVIOS!$A$4:$A$3003,0)),"—"))</f>
        <v/>
      </c>
      <c r="H361" s="23">
        <f>IF($D361="","",IFERROR(INDEX(ENVIOS!$E$4:$E$3003,MATCH($D361,ENVIOS!$A$4:$A$3003,0)),"—"))</f>
        <v/>
      </c>
      <c r="I361" s="23">
        <f>IF($D361="","",IFERROR(INDEX(ENVIOS!$F$4:$F$3003,MATCH($D361,ENVIOS!$A$4:$A$3003,0)),"—"))</f>
        <v/>
      </c>
      <c r="J361" s="23">
        <f>IF($D361="","",IFERROR(INDEX(ENVIOS!$G$4:$G$3003,MATCH($D361,ENVIOS!$A$4:$A$3003,0)),"—"))</f>
        <v/>
      </c>
      <c r="K361" s="28">
        <f>IF($D361="","",IFERROR(INDEX(ENVIOS!$H$4:$H$3003,MATCH($D361,ENVIOS!$A$4:$A$3003,0)),"—"))</f>
        <v/>
      </c>
      <c r="L361" s="49">
        <f>IF($D361="","",IFERROR(INDEX(ENVIOS!$C$4:$C$3003,MATCH($D361,ENVIOS!$A$4:$A$3003,0)),""))</f>
        <v/>
      </c>
      <c r="M361" s="50" t="n"/>
      <c r="N361" s="28">
        <f>IF($M361="","",IFERROR(INDEX(CONFIG!$C$4:$C$63,MATCH($M361,CONFIG!$A$4:$A$63,0)),"Media"))</f>
        <v/>
      </c>
      <c r="O361" s="28">
        <f>IF($M361="","",IF($C361="Interna","NO",IFERROR(INDEX(CONFIG!$E$4:$E$63,MATCH($M361,CONFIG!$A$4:$A$63,0)),"NO")))</f>
        <v/>
      </c>
      <c r="P361" s="50" t="n"/>
      <c r="Q361" s="50" t="n"/>
      <c r="R361" s="28">
        <f>IF($Q361="","",IFERROR(INDEX(CONFIG!$H$4:$H$63,MATCH($Q361,CONFIG!$G$4:$G$63,0)),"Por definir"))</f>
        <v/>
      </c>
      <c r="S361" s="28">
        <f>IF($Q361="","",IFERROR(INDEX(CONFIG!$I$4:$I$63,MATCH($Q361,CONFIG!$G$4:$G$63,0)),"Por definir"))</f>
        <v/>
      </c>
      <c r="T361" s="51" t="n"/>
      <c r="U361" s="52" t="n"/>
      <c r="V361" s="50" t="n"/>
      <c r="W361" s="50" t="n"/>
      <c r="X361" s="49">
        <f>IF(OR($B361="",$M361=""),"",WORKDAY($B361,IFERROR(INDEX(CONFIG!$D$4:$D$63,MATCH($M361,CONFIG!$A$4:$A$63,0)),3)))</f>
        <v/>
      </c>
      <c r="Y361" s="47" t="n"/>
      <c r="Z361" s="24">
        <f>IF($B361="","",IF($Y361&lt;&gt;"",$Y361-$B361,TODAY()-$B361))</f>
        <v/>
      </c>
      <c r="AA361" s="28">
        <f>IF($B361="","",IF(IFERROR(INDEX(CONFIG!$L$4:$L$63,MATCH($V361,CONFIG!$K$4:$K$63,0)),"NO")="SÍ",IF(OR($Y361="",$X361=""),"Resuelta",IF($Y361&gt;$X361,"Resuelta tarde","Resuelta a tiempo")),IF($X361="","Sin clasificar",IF(TODAY()&gt;$X361,"Vencida",IF(TODAY()&gt;=$X361-1,"Por vencer","En plazo")))))</f>
        <v/>
      </c>
      <c r="AB361" s="50" t="n"/>
      <c r="AC361" s="50" t="n"/>
    </row>
    <row r="362" ht="16" customHeight="1">
      <c r="A362" s="28">
        <f>IF($B362="","","N-"&amp;TEXT(ROW()-3,"0000"))</f>
        <v/>
      </c>
      <c r="B362" s="47" t="n"/>
      <c r="C362" s="48" t="n"/>
      <c r="D362" s="48" t="n"/>
      <c r="E362" s="28">
        <f>IF($C362="","",IF($D362="",IF($C362="Interna","Sin guía (interna)","FALTA GUÍA"),IF(COUNTIFS(ENVIOS!$A$4:$A$3003,$D362)=0,"NO EXISTE",IF(COUNTIFS(ENVIOS!$A$4:$A$3003,$D362)&gt;1,"DUPLICADA","OK"))))</f>
        <v/>
      </c>
      <c r="F362" s="28">
        <f>IF($D362="","",IFERROR(INDEX(ENVIOS!$B$4:$B$3003,MATCH($D362,ENVIOS!$A$4:$A$3003,0)),"—"))</f>
        <v/>
      </c>
      <c r="G362" s="23">
        <f>IF($D362="","",IFERROR(INDEX(ENVIOS!$D$4:$D$3003,MATCH($D362,ENVIOS!$A$4:$A$3003,0)),"—"))</f>
        <v/>
      </c>
      <c r="H362" s="23">
        <f>IF($D362="","",IFERROR(INDEX(ENVIOS!$E$4:$E$3003,MATCH($D362,ENVIOS!$A$4:$A$3003,0)),"—"))</f>
        <v/>
      </c>
      <c r="I362" s="23">
        <f>IF($D362="","",IFERROR(INDEX(ENVIOS!$F$4:$F$3003,MATCH($D362,ENVIOS!$A$4:$A$3003,0)),"—"))</f>
        <v/>
      </c>
      <c r="J362" s="23">
        <f>IF($D362="","",IFERROR(INDEX(ENVIOS!$G$4:$G$3003,MATCH($D362,ENVIOS!$A$4:$A$3003,0)),"—"))</f>
        <v/>
      </c>
      <c r="K362" s="28">
        <f>IF($D362="","",IFERROR(INDEX(ENVIOS!$H$4:$H$3003,MATCH($D362,ENVIOS!$A$4:$A$3003,0)),"—"))</f>
        <v/>
      </c>
      <c r="L362" s="49">
        <f>IF($D362="","",IFERROR(INDEX(ENVIOS!$C$4:$C$3003,MATCH($D362,ENVIOS!$A$4:$A$3003,0)),""))</f>
        <v/>
      </c>
      <c r="M362" s="50" t="n"/>
      <c r="N362" s="28">
        <f>IF($M362="","",IFERROR(INDEX(CONFIG!$C$4:$C$63,MATCH($M362,CONFIG!$A$4:$A$63,0)),"Media"))</f>
        <v/>
      </c>
      <c r="O362" s="28">
        <f>IF($M362="","",IF($C362="Interna","NO",IFERROR(INDEX(CONFIG!$E$4:$E$63,MATCH($M362,CONFIG!$A$4:$A$63,0)),"NO")))</f>
        <v/>
      </c>
      <c r="P362" s="50" t="n"/>
      <c r="Q362" s="50" t="n"/>
      <c r="R362" s="28">
        <f>IF($Q362="","",IFERROR(INDEX(CONFIG!$H$4:$H$63,MATCH($Q362,CONFIG!$G$4:$G$63,0)),"Por definir"))</f>
        <v/>
      </c>
      <c r="S362" s="28">
        <f>IF($Q362="","",IFERROR(INDEX(CONFIG!$I$4:$I$63,MATCH($Q362,CONFIG!$G$4:$G$63,0)),"Por definir"))</f>
        <v/>
      </c>
      <c r="T362" s="51" t="n"/>
      <c r="U362" s="52" t="n"/>
      <c r="V362" s="50" t="n"/>
      <c r="W362" s="50" t="n"/>
      <c r="X362" s="49">
        <f>IF(OR($B362="",$M362=""),"",WORKDAY($B362,IFERROR(INDEX(CONFIG!$D$4:$D$63,MATCH($M362,CONFIG!$A$4:$A$63,0)),3)))</f>
        <v/>
      </c>
      <c r="Y362" s="47" t="n"/>
      <c r="Z362" s="24">
        <f>IF($B362="","",IF($Y362&lt;&gt;"",$Y362-$B362,TODAY()-$B362))</f>
        <v/>
      </c>
      <c r="AA362" s="28">
        <f>IF($B362="","",IF(IFERROR(INDEX(CONFIG!$L$4:$L$63,MATCH($V362,CONFIG!$K$4:$K$63,0)),"NO")="SÍ",IF(OR($Y362="",$X362=""),"Resuelta",IF($Y362&gt;$X362,"Resuelta tarde","Resuelta a tiempo")),IF($X362="","Sin clasificar",IF(TODAY()&gt;$X362,"Vencida",IF(TODAY()&gt;=$X362-1,"Por vencer","En plazo")))))</f>
        <v/>
      </c>
      <c r="AB362" s="50" t="n"/>
      <c r="AC362" s="50" t="n"/>
    </row>
    <row r="363" ht="16" customHeight="1">
      <c r="A363" s="28">
        <f>IF($B363="","","N-"&amp;TEXT(ROW()-3,"0000"))</f>
        <v/>
      </c>
      <c r="B363" s="47" t="n"/>
      <c r="C363" s="48" t="n"/>
      <c r="D363" s="48" t="n"/>
      <c r="E363" s="28">
        <f>IF($C363="","",IF($D363="",IF($C363="Interna","Sin guía (interna)","FALTA GUÍA"),IF(COUNTIFS(ENVIOS!$A$4:$A$3003,$D363)=0,"NO EXISTE",IF(COUNTIFS(ENVIOS!$A$4:$A$3003,$D363)&gt;1,"DUPLICADA","OK"))))</f>
        <v/>
      </c>
      <c r="F363" s="28">
        <f>IF($D363="","",IFERROR(INDEX(ENVIOS!$B$4:$B$3003,MATCH($D363,ENVIOS!$A$4:$A$3003,0)),"—"))</f>
        <v/>
      </c>
      <c r="G363" s="23">
        <f>IF($D363="","",IFERROR(INDEX(ENVIOS!$D$4:$D$3003,MATCH($D363,ENVIOS!$A$4:$A$3003,0)),"—"))</f>
        <v/>
      </c>
      <c r="H363" s="23">
        <f>IF($D363="","",IFERROR(INDEX(ENVIOS!$E$4:$E$3003,MATCH($D363,ENVIOS!$A$4:$A$3003,0)),"—"))</f>
        <v/>
      </c>
      <c r="I363" s="23">
        <f>IF($D363="","",IFERROR(INDEX(ENVIOS!$F$4:$F$3003,MATCH($D363,ENVIOS!$A$4:$A$3003,0)),"—"))</f>
        <v/>
      </c>
      <c r="J363" s="23">
        <f>IF($D363="","",IFERROR(INDEX(ENVIOS!$G$4:$G$3003,MATCH($D363,ENVIOS!$A$4:$A$3003,0)),"—"))</f>
        <v/>
      </c>
      <c r="K363" s="28">
        <f>IF($D363="","",IFERROR(INDEX(ENVIOS!$H$4:$H$3003,MATCH($D363,ENVIOS!$A$4:$A$3003,0)),"—"))</f>
        <v/>
      </c>
      <c r="L363" s="49">
        <f>IF($D363="","",IFERROR(INDEX(ENVIOS!$C$4:$C$3003,MATCH($D363,ENVIOS!$A$4:$A$3003,0)),""))</f>
        <v/>
      </c>
      <c r="M363" s="50" t="n"/>
      <c r="N363" s="28">
        <f>IF($M363="","",IFERROR(INDEX(CONFIG!$C$4:$C$63,MATCH($M363,CONFIG!$A$4:$A$63,0)),"Media"))</f>
        <v/>
      </c>
      <c r="O363" s="28">
        <f>IF($M363="","",IF($C363="Interna","NO",IFERROR(INDEX(CONFIG!$E$4:$E$63,MATCH($M363,CONFIG!$A$4:$A$63,0)),"NO")))</f>
        <v/>
      </c>
      <c r="P363" s="50" t="n"/>
      <c r="Q363" s="50" t="n"/>
      <c r="R363" s="28">
        <f>IF($Q363="","",IFERROR(INDEX(CONFIG!$H$4:$H$63,MATCH($Q363,CONFIG!$G$4:$G$63,0)),"Por definir"))</f>
        <v/>
      </c>
      <c r="S363" s="28">
        <f>IF($Q363="","",IFERROR(INDEX(CONFIG!$I$4:$I$63,MATCH($Q363,CONFIG!$G$4:$G$63,0)),"Por definir"))</f>
        <v/>
      </c>
      <c r="T363" s="51" t="n"/>
      <c r="U363" s="52" t="n"/>
      <c r="V363" s="50" t="n"/>
      <c r="W363" s="50" t="n"/>
      <c r="X363" s="49">
        <f>IF(OR($B363="",$M363=""),"",WORKDAY($B363,IFERROR(INDEX(CONFIG!$D$4:$D$63,MATCH($M363,CONFIG!$A$4:$A$63,0)),3)))</f>
        <v/>
      </c>
      <c r="Y363" s="47" t="n"/>
      <c r="Z363" s="24">
        <f>IF($B363="","",IF($Y363&lt;&gt;"",$Y363-$B363,TODAY()-$B363))</f>
        <v/>
      </c>
      <c r="AA363" s="28">
        <f>IF($B363="","",IF(IFERROR(INDEX(CONFIG!$L$4:$L$63,MATCH($V363,CONFIG!$K$4:$K$63,0)),"NO")="SÍ",IF(OR($Y363="",$X363=""),"Resuelta",IF($Y363&gt;$X363,"Resuelta tarde","Resuelta a tiempo")),IF($X363="","Sin clasificar",IF(TODAY()&gt;$X363,"Vencida",IF(TODAY()&gt;=$X363-1,"Por vencer","En plazo")))))</f>
        <v/>
      </c>
      <c r="AB363" s="50" t="n"/>
      <c r="AC363" s="50" t="n"/>
    </row>
    <row r="364" ht="16" customHeight="1">
      <c r="A364" s="28">
        <f>IF($B364="","","N-"&amp;TEXT(ROW()-3,"0000"))</f>
        <v/>
      </c>
      <c r="B364" s="47" t="n"/>
      <c r="C364" s="48" t="n"/>
      <c r="D364" s="48" t="n"/>
      <c r="E364" s="28">
        <f>IF($C364="","",IF($D364="",IF($C364="Interna","Sin guía (interna)","FALTA GUÍA"),IF(COUNTIFS(ENVIOS!$A$4:$A$3003,$D364)=0,"NO EXISTE",IF(COUNTIFS(ENVIOS!$A$4:$A$3003,$D364)&gt;1,"DUPLICADA","OK"))))</f>
        <v/>
      </c>
      <c r="F364" s="28">
        <f>IF($D364="","",IFERROR(INDEX(ENVIOS!$B$4:$B$3003,MATCH($D364,ENVIOS!$A$4:$A$3003,0)),"—"))</f>
        <v/>
      </c>
      <c r="G364" s="23">
        <f>IF($D364="","",IFERROR(INDEX(ENVIOS!$D$4:$D$3003,MATCH($D364,ENVIOS!$A$4:$A$3003,0)),"—"))</f>
        <v/>
      </c>
      <c r="H364" s="23">
        <f>IF($D364="","",IFERROR(INDEX(ENVIOS!$E$4:$E$3003,MATCH($D364,ENVIOS!$A$4:$A$3003,0)),"—"))</f>
        <v/>
      </c>
      <c r="I364" s="23">
        <f>IF($D364="","",IFERROR(INDEX(ENVIOS!$F$4:$F$3003,MATCH($D364,ENVIOS!$A$4:$A$3003,0)),"—"))</f>
        <v/>
      </c>
      <c r="J364" s="23">
        <f>IF($D364="","",IFERROR(INDEX(ENVIOS!$G$4:$G$3003,MATCH($D364,ENVIOS!$A$4:$A$3003,0)),"—"))</f>
        <v/>
      </c>
      <c r="K364" s="28">
        <f>IF($D364="","",IFERROR(INDEX(ENVIOS!$H$4:$H$3003,MATCH($D364,ENVIOS!$A$4:$A$3003,0)),"—"))</f>
        <v/>
      </c>
      <c r="L364" s="49">
        <f>IF($D364="","",IFERROR(INDEX(ENVIOS!$C$4:$C$3003,MATCH($D364,ENVIOS!$A$4:$A$3003,0)),""))</f>
        <v/>
      </c>
      <c r="M364" s="50" t="n"/>
      <c r="N364" s="28">
        <f>IF($M364="","",IFERROR(INDEX(CONFIG!$C$4:$C$63,MATCH($M364,CONFIG!$A$4:$A$63,0)),"Media"))</f>
        <v/>
      </c>
      <c r="O364" s="28">
        <f>IF($M364="","",IF($C364="Interna","NO",IFERROR(INDEX(CONFIG!$E$4:$E$63,MATCH($M364,CONFIG!$A$4:$A$63,0)),"NO")))</f>
        <v/>
      </c>
      <c r="P364" s="50" t="n"/>
      <c r="Q364" s="50" t="n"/>
      <c r="R364" s="28">
        <f>IF($Q364="","",IFERROR(INDEX(CONFIG!$H$4:$H$63,MATCH($Q364,CONFIG!$G$4:$G$63,0)),"Por definir"))</f>
        <v/>
      </c>
      <c r="S364" s="28">
        <f>IF($Q364="","",IFERROR(INDEX(CONFIG!$I$4:$I$63,MATCH($Q364,CONFIG!$G$4:$G$63,0)),"Por definir"))</f>
        <v/>
      </c>
      <c r="T364" s="51" t="n"/>
      <c r="U364" s="52" t="n"/>
      <c r="V364" s="50" t="n"/>
      <c r="W364" s="50" t="n"/>
      <c r="X364" s="49">
        <f>IF(OR($B364="",$M364=""),"",WORKDAY($B364,IFERROR(INDEX(CONFIG!$D$4:$D$63,MATCH($M364,CONFIG!$A$4:$A$63,0)),3)))</f>
        <v/>
      </c>
      <c r="Y364" s="47" t="n"/>
      <c r="Z364" s="24">
        <f>IF($B364="","",IF($Y364&lt;&gt;"",$Y364-$B364,TODAY()-$B364))</f>
        <v/>
      </c>
      <c r="AA364" s="28">
        <f>IF($B364="","",IF(IFERROR(INDEX(CONFIG!$L$4:$L$63,MATCH($V364,CONFIG!$K$4:$K$63,0)),"NO")="SÍ",IF(OR($Y364="",$X364=""),"Resuelta",IF($Y364&gt;$X364,"Resuelta tarde","Resuelta a tiempo")),IF($X364="","Sin clasificar",IF(TODAY()&gt;$X364,"Vencida",IF(TODAY()&gt;=$X364-1,"Por vencer","En plazo")))))</f>
        <v/>
      </c>
      <c r="AB364" s="50" t="n"/>
      <c r="AC364" s="50" t="n"/>
    </row>
    <row r="365" ht="16" customHeight="1">
      <c r="A365" s="28">
        <f>IF($B365="","","N-"&amp;TEXT(ROW()-3,"0000"))</f>
        <v/>
      </c>
      <c r="B365" s="47" t="n"/>
      <c r="C365" s="48" t="n"/>
      <c r="D365" s="48" t="n"/>
      <c r="E365" s="28">
        <f>IF($C365="","",IF($D365="",IF($C365="Interna","Sin guía (interna)","FALTA GUÍA"),IF(COUNTIFS(ENVIOS!$A$4:$A$3003,$D365)=0,"NO EXISTE",IF(COUNTIFS(ENVIOS!$A$4:$A$3003,$D365)&gt;1,"DUPLICADA","OK"))))</f>
        <v/>
      </c>
      <c r="F365" s="28">
        <f>IF($D365="","",IFERROR(INDEX(ENVIOS!$B$4:$B$3003,MATCH($D365,ENVIOS!$A$4:$A$3003,0)),"—"))</f>
        <v/>
      </c>
      <c r="G365" s="23">
        <f>IF($D365="","",IFERROR(INDEX(ENVIOS!$D$4:$D$3003,MATCH($D365,ENVIOS!$A$4:$A$3003,0)),"—"))</f>
        <v/>
      </c>
      <c r="H365" s="23">
        <f>IF($D365="","",IFERROR(INDEX(ENVIOS!$E$4:$E$3003,MATCH($D365,ENVIOS!$A$4:$A$3003,0)),"—"))</f>
        <v/>
      </c>
      <c r="I365" s="23">
        <f>IF($D365="","",IFERROR(INDEX(ENVIOS!$F$4:$F$3003,MATCH($D365,ENVIOS!$A$4:$A$3003,0)),"—"))</f>
        <v/>
      </c>
      <c r="J365" s="23">
        <f>IF($D365="","",IFERROR(INDEX(ENVIOS!$G$4:$G$3003,MATCH($D365,ENVIOS!$A$4:$A$3003,0)),"—"))</f>
        <v/>
      </c>
      <c r="K365" s="28">
        <f>IF($D365="","",IFERROR(INDEX(ENVIOS!$H$4:$H$3003,MATCH($D365,ENVIOS!$A$4:$A$3003,0)),"—"))</f>
        <v/>
      </c>
      <c r="L365" s="49">
        <f>IF($D365="","",IFERROR(INDEX(ENVIOS!$C$4:$C$3003,MATCH($D365,ENVIOS!$A$4:$A$3003,0)),""))</f>
        <v/>
      </c>
      <c r="M365" s="50" t="n"/>
      <c r="N365" s="28">
        <f>IF($M365="","",IFERROR(INDEX(CONFIG!$C$4:$C$63,MATCH($M365,CONFIG!$A$4:$A$63,0)),"Media"))</f>
        <v/>
      </c>
      <c r="O365" s="28">
        <f>IF($M365="","",IF($C365="Interna","NO",IFERROR(INDEX(CONFIG!$E$4:$E$63,MATCH($M365,CONFIG!$A$4:$A$63,0)),"NO")))</f>
        <v/>
      </c>
      <c r="P365" s="50" t="n"/>
      <c r="Q365" s="50" t="n"/>
      <c r="R365" s="28">
        <f>IF($Q365="","",IFERROR(INDEX(CONFIG!$H$4:$H$63,MATCH($Q365,CONFIG!$G$4:$G$63,0)),"Por definir"))</f>
        <v/>
      </c>
      <c r="S365" s="28">
        <f>IF($Q365="","",IFERROR(INDEX(CONFIG!$I$4:$I$63,MATCH($Q365,CONFIG!$G$4:$G$63,0)),"Por definir"))</f>
        <v/>
      </c>
      <c r="T365" s="51" t="n"/>
      <c r="U365" s="52" t="n"/>
      <c r="V365" s="50" t="n"/>
      <c r="W365" s="50" t="n"/>
      <c r="X365" s="49">
        <f>IF(OR($B365="",$M365=""),"",WORKDAY($B365,IFERROR(INDEX(CONFIG!$D$4:$D$63,MATCH($M365,CONFIG!$A$4:$A$63,0)),3)))</f>
        <v/>
      </c>
      <c r="Y365" s="47" t="n"/>
      <c r="Z365" s="24">
        <f>IF($B365="","",IF($Y365&lt;&gt;"",$Y365-$B365,TODAY()-$B365))</f>
        <v/>
      </c>
      <c r="AA365" s="28">
        <f>IF($B365="","",IF(IFERROR(INDEX(CONFIG!$L$4:$L$63,MATCH($V365,CONFIG!$K$4:$K$63,0)),"NO")="SÍ",IF(OR($Y365="",$X365=""),"Resuelta",IF($Y365&gt;$X365,"Resuelta tarde","Resuelta a tiempo")),IF($X365="","Sin clasificar",IF(TODAY()&gt;$X365,"Vencida",IF(TODAY()&gt;=$X365-1,"Por vencer","En plazo")))))</f>
        <v/>
      </c>
      <c r="AB365" s="50" t="n"/>
      <c r="AC365" s="50" t="n"/>
    </row>
    <row r="366" ht="16" customHeight="1">
      <c r="A366" s="28">
        <f>IF($B366="","","N-"&amp;TEXT(ROW()-3,"0000"))</f>
        <v/>
      </c>
      <c r="B366" s="47" t="n"/>
      <c r="C366" s="48" t="n"/>
      <c r="D366" s="48" t="n"/>
      <c r="E366" s="28">
        <f>IF($C366="","",IF($D366="",IF($C366="Interna","Sin guía (interna)","FALTA GUÍA"),IF(COUNTIFS(ENVIOS!$A$4:$A$3003,$D366)=0,"NO EXISTE",IF(COUNTIFS(ENVIOS!$A$4:$A$3003,$D366)&gt;1,"DUPLICADA","OK"))))</f>
        <v/>
      </c>
      <c r="F366" s="28">
        <f>IF($D366="","",IFERROR(INDEX(ENVIOS!$B$4:$B$3003,MATCH($D366,ENVIOS!$A$4:$A$3003,0)),"—"))</f>
        <v/>
      </c>
      <c r="G366" s="23">
        <f>IF($D366="","",IFERROR(INDEX(ENVIOS!$D$4:$D$3003,MATCH($D366,ENVIOS!$A$4:$A$3003,0)),"—"))</f>
        <v/>
      </c>
      <c r="H366" s="23">
        <f>IF($D366="","",IFERROR(INDEX(ENVIOS!$E$4:$E$3003,MATCH($D366,ENVIOS!$A$4:$A$3003,0)),"—"))</f>
        <v/>
      </c>
      <c r="I366" s="23">
        <f>IF($D366="","",IFERROR(INDEX(ENVIOS!$F$4:$F$3003,MATCH($D366,ENVIOS!$A$4:$A$3003,0)),"—"))</f>
        <v/>
      </c>
      <c r="J366" s="23">
        <f>IF($D366="","",IFERROR(INDEX(ENVIOS!$G$4:$G$3003,MATCH($D366,ENVIOS!$A$4:$A$3003,0)),"—"))</f>
        <v/>
      </c>
      <c r="K366" s="28">
        <f>IF($D366="","",IFERROR(INDEX(ENVIOS!$H$4:$H$3003,MATCH($D366,ENVIOS!$A$4:$A$3003,0)),"—"))</f>
        <v/>
      </c>
      <c r="L366" s="49">
        <f>IF($D366="","",IFERROR(INDEX(ENVIOS!$C$4:$C$3003,MATCH($D366,ENVIOS!$A$4:$A$3003,0)),""))</f>
        <v/>
      </c>
      <c r="M366" s="50" t="n"/>
      <c r="N366" s="28">
        <f>IF($M366="","",IFERROR(INDEX(CONFIG!$C$4:$C$63,MATCH($M366,CONFIG!$A$4:$A$63,0)),"Media"))</f>
        <v/>
      </c>
      <c r="O366" s="28">
        <f>IF($M366="","",IF($C366="Interna","NO",IFERROR(INDEX(CONFIG!$E$4:$E$63,MATCH($M366,CONFIG!$A$4:$A$63,0)),"NO")))</f>
        <v/>
      </c>
      <c r="P366" s="50" t="n"/>
      <c r="Q366" s="50" t="n"/>
      <c r="R366" s="28">
        <f>IF($Q366="","",IFERROR(INDEX(CONFIG!$H$4:$H$63,MATCH($Q366,CONFIG!$G$4:$G$63,0)),"Por definir"))</f>
        <v/>
      </c>
      <c r="S366" s="28">
        <f>IF($Q366="","",IFERROR(INDEX(CONFIG!$I$4:$I$63,MATCH($Q366,CONFIG!$G$4:$G$63,0)),"Por definir"))</f>
        <v/>
      </c>
      <c r="T366" s="51" t="n"/>
      <c r="U366" s="52" t="n"/>
      <c r="V366" s="50" t="n"/>
      <c r="W366" s="50" t="n"/>
      <c r="X366" s="49">
        <f>IF(OR($B366="",$M366=""),"",WORKDAY($B366,IFERROR(INDEX(CONFIG!$D$4:$D$63,MATCH($M366,CONFIG!$A$4:$A$63,0)),3)))</f>
        <v/>
      </c>
      <c r="Y366" s="47" t="n"/>
      <c r="Z366" s="24">
        <f>IF($B366="","",IF($Y366&lt;&gt;"",$Y366-$B366,TODAY()-$B366))</f>
        <v/>
      </c>
      <c r="AA366" s="28">
        <f>IF($B366="","",IF(IFERROR(INDEX(CONFIG!$L$4:$L$63,MATCH($V366,CONFIG!$K$4:$K$63,0)),"NO")="SÍ",IF(OR($Y366="",$X366=""),"Resuelta",IF($Y366&gt;$X366,"Resuelta tarde","Resuelta a tiempo")),IF($X366="","Sin clasificar",IF(TODAY()&gt;$X366,"Vencida",IF(TODAY()&gt;=$X366-1,"Por vencer","En plazo")))))</f>
        <v/>
      </c>
      <c r="AB366" s="50" t="n"/>
      <c r="AC366" s="50" t="n"/>
    </row>
    <row r="367" ht="16" customHeight="1">
      <c r="A367" s="28">
        <f>IF($B367="","","N-"&amp;TEXT(ROW()-3,"0000"))</f>
        <v/>
      </c>
      <c r="B367" s="47" t="n"/>
      <c r="C367" s="48" t="n"/>
      <c r="D367" s="48" t="n"/>
      <c r="E367" s="28">
        <f>IF($C367="","",IF($D367="",IF($C367="Interna","Sin guía (interna)","FALTA GUÍA"),IF(COUNTIFS(ENVIOS!$A$4:$A$3003,$D367)=0,"NO EXISTE",IF(COUNTIFS(ENVIOS!$A$4:$A$3003,$D367)&gt;1,"DUPLICADA","OK"))))</f>
        <v/>
      </c>
      <c r="F367" s="28">
        <f>IF($D367="","",IFERROR(INDEX(ENVIOS!$B$4:$B$3003,MATCH($D367,ENVIOS!$A$4:$A$3003,0)),"—"))</f>
        <v/>
      </c>
      <c r="G367" s="23">
        <f>IF($D367="","",IFERROR(INDEX(ENVIOS!$D$4:$D$3003,MATCH($D367,ENVIOS!$A$4:$A$3003,0)),"—"))</f>
        <v/>
      </c>
      <c r="H367" s="23">
        <f>IF($D367="","",IFERROR(INDEX(ENVIOS!$E$4:$E$3003,MATCH($D367,ENVIOS!$A$4:$A$3003,0)),"—"))</f>
        <v/>
      </c>
      <c r="I367" s="23">
        <f>IF($D367="","",IFERROR(INDEX(ENVIOS!$F$4:$F$3003,MATCH($D367,ENVIOS!$A$4:$A$3003,0)),"—"))</f>
        <v/>
      </c>
      <c r="J367" s="23">
        <f>IF($D367="","",IFERROR(INDEX(ENVIOS!$G$4:$G$3003,MATCH($D367,ENVIOS!$A$4:$A$3003,0)),"—"))</f>
        <v/>
      </c>
      <c r="K367" s="28">
        <f>IF($D367="","",IFERROR(INDEX(ENVIOS!$H$4:$H$3003,MATCH($D367,ENVIOS!$A$4:$A$3003,0)),"—"))</f>
        <v/>
      </c>
      <c r="L367" s="49">
        <f>IF($D367="","",IFERROR(INDEX(ENVIOS!$C$4:$C$3003,MATCH($D367,ENVIOS!$A$4:$A$3003,0)),""))</f>
        <v/>
      </c>
      <c r="M367" s="50" t="n"/>
      <c r="N367" s="28">
        <f>IF($M367="","",IFERROR(INDEX(CONFIG!$C$4:$C$63,MATCH($M367,CONFIG!$A$4:$A$63,0)),"Media"))</f>
        <v/>
      </c>
      <c r="O367" s="28">
        <f>IF($M367="","",IF($C367="Interna","NO",IFERROR(INDEX(CONFIG!$E$4:$E$63,MATCH($M367,CONFIG!$A$4:$A$63,0)),"NO")))</f>
        <v/>
      </c>
      <c r="P367" s="50" t="n"/>
      <c r="Q367" s="50" t="n"/>
      <c r="R367" s="28">
        <f>IF($Q367="","",IFERROR(INDEX(CONFIG!$H$4:$H$63,MATCH($Q367,CONFIG!$G$4:$G$63,0)),"Por definir"))</f>
        <v/>
      </c>
      <c r="S367" s="28">
        <f>IF($Q367="","",IFERROR(INDEX(CONFIG!$I$4:$I$63,MATCH($Q367,CONFIG!$G$4:$G$63,0)),"Por definir"))</f>
        <v/>
      </c>
      <c r="T367" s="51" t="n"/>
      <c r="U367" s="52" t="n"/>
      <c r="V367" s="50" t="n"/>
      <c r="W367" s="50" t="n"/>
      <c r="X367" s="49">
        <f>IF(OR($B367="",$M367=""),"",WORKDAY($B367,IFERROR(INDEX(CONFIG!$D$4:$D$63,MATCH($M367,CONFIG!$A$4:$A$63,0)),3)))</f>
        <v/>
      </c>
      <c r="Y367" s="47" t="n"/>
      <c r="Z367" s="24">
        <f>IF($B367="","",IF($Y367&lt;&gt;"",$Y367-$B367,TODAY()-$B367))</f>
        <v/>
      </c>
      <c r="AA367" s="28">
        <f>IF($B367="","",IF(IFERROR(INDEX(CONFIG!$L$4:$L$63,MATCH($V367,CONFIG!$K$4:$K$63,0)),"NO")="SÍ",IF(OR($Y367="",$X367=""),"Resuelta",IF($Y367&gt;$X367,"Resuelta tarde","Resuelta a tiempo")),IF($X367="","Sin clasificar",IF(TODAY()&gt;$X367,"Vencida",IF(TODAY()&gt;=$X367-1,"Por vencer","En plazo")))))</f>
        <v/>
      </c>
      <c r="AB367" s="50" t="n"/>
      <c r="AC367" s="50" t="n"/>
    </row>
    <row r="368" ht="16" customHeight="1">
      <c r="A368" s="28">
        <f>IF($B368="","","N-"&amp;TEXT(ROW()-3,"0000"))</f>
        <v/>
      </c>
      <c r="B368" s="47" t="n"/>
      <c r="C368" s="48" t="n"/>
      <c r="D368" s="48" t="n"/>
      <c r="E368" s="28">
        <f>IF($C368="","",IF($D368="",IF($C368="Interna","Sin guía (interna)","FALTA GUÍA"),IF(COUNTIFS(ENVIOS!$A$4:$A$3003,$D368)=0,"NO EXISTE",IF(COUNTIFS(ENVIOS!$A$4:$A$3003,$D368)&gt;1,"DUPLICADA","OK"))))</f>
        <v/>
      </c>
      <c r="F368" s="28">
        <f>IF($D368="","",IFERROR(INDEX(ENVIOS!$B$4:$B$3003,MATCH($D368,ENVIOS!$A$4:$A$3003,0)),"—"))</f>
        <v/>
      </c>
      <c r="G368" s="23">
        <f>IF($D368="","",IFERROR(INDEX(ENVIOS!$D$4:$D$3003,MATCH($D368,ENVIOS!$A$4:$A$3003,0)),"—"))</f>
        <v/>
      </c>
      <c r="H368" s="23">
        <f>IF($D368="","",IFERROR(INDEX(ENVIOS!$E$4:$E$3003,MATCH($D368,ENVIOS!$A$4:$A$3003,0)),"—"))</f>
        <v/>
      </c>
      <c r="I368" s="23">
        <f>IF($D368="","",IFERROR(INDEX(ENVIOS!$F$4:$F$3003,MATCH($D368,ENVIOS!$A$4:$A$3003,0)),"—"))</f>
        <v/>
      </c>
      <c r="J368" s="23">
        <f>IF($D368="","",IFERROR(INDEX(ENVIOS!$G$4:$G$3003,MATCH($D368,ENVIOS!$A$4:$A$3003,0)),"—"))</f>
        <v/>
      </c>
      <c r="K368" s="28">
        <f>IF($D368="","",IFERROR(INDEX(ENVIOS!$H$4:$H$3003,MATCH($D368,ENVIOS!$A$4:$A$3003,0)),"—"))</f>
        <v/>
      </c>
      <c r="L368" s="49">
        <f>IF($D368="","",IFERROR(INDEX(ENVIOS!$C$4:$C$3003,MATCH($D368,ENVIOS!$A$4:$A$3003,0)),""))</f>
        <v/>
      </c>
      <c r="M368" s="50" t="n"/>
      <c r="N368" s="28">
        <f>IF($M368="","",IFERROR(INDEX(CONFIG!$C$4:$C$63,MATCH($M368,CONFIG!$A$4:$A$63,0)),"Media"))</f>
        <v/>
      </c>
      <c r="O368" s="28">
        <f>IF($M368="","",IF($C368="Interna","NO",IFERROR(INDEX(CONFIG!$E$4:$E$63,MATCH($M368,CONFIG!$A$4:$A$63,0)),"NO")))</f>
        <v/>
      </c>
      <c r="P368" s="50" t="n"/>
      <c r="Q368" s="50" t="n"/>
      <c r="R368" s="28">
        <f>IF($Q368="","",IFERROR(INDEX(CONFIG!$H$4:$H$63,MATCH($Q368,CONFIG!$G$4:$G$63,0)),"Por definir"))</f>
        <v/>
      </c>
      <c r="S368" s="28">
        <f>IF($Q368="","",IFERROR(INDEX(CONFIG!$I$4:$I$63,MATCH($Q368,CONFIG!$G$4:$G$63,0)),"Por definir"))</f>
        <v/>
      </c>
      <c r="T368" s="51" t="n"/>
      <c r="U368" s="52" t="n"/>
      <c r="V368" s="50" t="n"/>
      <c r="W368" s="50" t="n"/>
      <c r="X368" s="49">
        <f>IF(OR($B368="",$M368=""),"",WORKDAY($B368,IFERROR(INDEX(CONFIG!$D$4:$D$63,MATCH($M368,CONFIG!$A$4:$A$63,0)),3)))</f>
        <v/>
      </c>
      <c r="Y368" s="47" t="n"/>
      <c r="Z368" s="24">
        <f>IF($B368="","",IF($Y368&lt;&gt;"",$Y368-$B368,TODAY()-$B368))</f>
        <v/>
      </c>
      <c r="AA368" s="28">
        <f>IF($B368="","",IF(IFERROR(INDEX(CONFIG!$L$4:$L$63,MATCH($V368,CONFIG!$K$4:$K$63,0)),"NO")="SÍ",IF(OR($Y368="",$X368=""),"Resuelta",IF($Y368&gt;$X368,"Resuelta tarde","Resuelta a tiempo")),IF($X368="","Sin clasificar",IF(TODAY()&gt;$X368,"Vencida",IF(TODAY()&gt;=$X368-1,"Por vencer","En plazo")))))</f>
        <v/>
      </c>
      <c r="AB368" s="50" t="n"/>
      <c r="AC368" s="50" t="n"/>
    </row>
    <row r="369" ht="16" customHeight="1">
      <c r="A369" s="28">
        <f>IF($B369="","","N-"&amp;TEXT(ROW()-3,"0000"))</f>
        <v/>
      </c>
      <c r="B369" s="47" t="n"/>
      <c r="C369" s="48" t="n"/>
      <c r="D369" s="48" t="n"/>
      <c r="E369" s="28">
        <f>IF($C369="","",IF($D369="",IF($C369="Interna","Sin guía (interna)","FALTA GUÍA"),IF(COUNTIFS(ENVIOS!$A$4:$A$3003,$D369)=0,"NO EXISTE",IF(COUNTIFS(ENVIOS!$A$4:$A$3003,$D369)&gt;1,"DUPLICADA","OK"))))</f>
        <v/>
      </c>
      <c r="F369" s="28">
        <f>IF($D369="","",IFERROR(INDEX(ENVIOS!$B$4:$B$3003,MATCH($D369,ENVIOS!$A$4:$A$3003,0)),"—"))</f>
        <v/>
      </c>
      <c r="G369" s="23">
        <f>IF($D369="","",IFERROR(INDEX(ENVIOS!$D$4:$D$3003,MATCH($D369,ENVIOS!$A$4:$A$3003,0)),"—"))</f>
        <v/>
      </c>
      <c r="H369" s="23">
        <f>IF($D369="","",IFERROR(INDEX(ENVIOS!$E$4:$E$3003,MATCH($D369,ENVIOS!$A$4:$A$3003,0)),"—"))</f>
        <v/>
      </c>
      <c r="I369" s="23">
        <f>IF($D369="","",IFERROR(INDEX(ENVIOS!$F$4:$F$3003,MATCH($D369,ENVIOS!$A$4:$A$3003,0)),"—"))</f>
        <v/>
      </c>
      <c r="J369" s="23">
        <f>IF($D369="","",IFERROR(INDEX(ENVIOS!$G$4:$G$3003,MATCH($D369,ENVIOS!$A$4:$A$3003,0)),"—"))</f>
        <v/>
      </c>
      <c r="K369" s="28">
        <f>IF($D369="","",IFERROR(INDEX(ENVIOS!$H$4:$H$3003,MATCH($D369,ENVIOS!$A$4:$A$3003,0)),"—"))</f>
        <v/>
      </c>
      <c r="L369" s="49">
        <f>IF($D369="","",IFERROR(INDEX(ENVIOS!$C$4:$C$3003,MATCH($D369,ENVIOS!$A$4:$A$3003,0)),""))</f>
        <v/>
      </c>
      <c r="M369" s="50" t="n"/>
      <c r="N369" s="28">
        <f>IF($M369="","",IFERROR(INDEX(CONFIG!$C$4:$C$63,MATCH($M369,CONFIG!$A$4:$A$63,0)),"Media"))</f>
        <v/>
      </c>
      <c r="O369" s="28">
        <f>IF($M369="","",IF($C369="Interna","NO",IFERROR(INDEX(CONFIG!$E$4:$E$63,MATCH($M369,CONFIG!$A$4:$A$63,0)),"NO")))</f>
        <v/>
      </c>
      <c r="P369" s="50" t="n"/>
      <c r="Q369" s="50" t="n"/>
      <c r="R369" s="28">
        <f>IF($Q369="","",IFERROR(INDEX(CONFIG!$H$4:$H$63,MATCH($Q369,CONFIG!$G$4:$G$63,0)),"Por definir"))</f>
        <v/>
      </c>
      <c r="S369" s="28">
        <f>IF($Q369="","",IFERROR(INDEX(CONFIG!$I$4:$I$63,MATCH($Q369,CONFIG!$G$4:$G$63,0)),"Por definir"))</f>
        <v/>
      </c>
      <c r="T369" s="51" t="n"/>
      <c r="U369" s="52" t="n"/>
      <c r="V369" s="50" t="n"/>
      <c r="W369" s="50" t="n"/>
      <c r="X369" s="49">
        <f>IF(OR($B369="",$M369=""),"",WORKDAY($B369,IFERROR(INDEX(CONFIG!$D$4:$D$63,MATCH($M369,CONFIG!$A$4:$A$63,0)),3)))</f>
        <v/>
      </c>
      <c r="Y369" s="47" t="n"/>
      <c r="Z369" s="24">
        <f>IF($B369="","",IF($Y369&lt;&gt;"",$Y369-$B369,TODAY()-$B369))</f>
        <v/>
      </c>
      <c r="AA369" s="28">
        <f>IF($B369="","",IF(IFERROR(INDEX(CONFIG!$L$4:$L$63,MATCH($V369,CONFIG!$K$4:$K$63,0)),"NO")="SÍ",IF(OR($Y369="",$X369=""),"Resuelta",IF($Y369&gt;$X369,"Resuelta tarde","Resuelta a tiempo")),IF($X369="","Sin clasificar",IF(TODAY()&gt;$X369,"Vencida",IF(TODAY()&gt;=$X369-1,"Por vencer","En plazo")))))</f>
        <v/>
      </c>
      <c r="AB369" s="50" t="n"/>
      <c r="AC369" s="50" t="n"/>
    </row>
    <row r="370" ht="16" customHeight="1">
      <c r="A370" s="28">
        <f>IF($B370="","","N-"&amp;TEXT(ROW()-3,"0000"))</f>
        <v/>
      </c>
      <c r="B370" s="47" t="n"/>
      <c r="C370" s="48" t="n"/>
      <c r="D370" s="48" t="n"/>
      <c r="E370" s="28">
        <f>IF($C370="","",IF($D370="",IF($C370="Interna","Sin guía (interna)","FALTA GUÍA"),IF(COUNTIFS(ENVIOS!$A$4:$A$3003,$D370)=0,"NO EXISTE",IF(COUNTIFS(ENVIOS!$A$4:$A$3003,$D370)&gt;1,"DUPLICADA","OK"))))</f>
        <v/>
      </c>
      <c r="F370" s="28">
        <f>IF($D370="","",IFERROR(INDEX(ENVIOS!$B$4:$B$3003,MATCH($D370,ENVIOS!$A$4:$A$3003,0)),"—"))</f>
        <v/>
      </c>
      <c r="G370" s="23">
        <f>IF($D370="","",IFERROR(INDEX(ENVIOS!$D$4:$D$3003,MATCH($D370,ENVIOS!$A$4:$A$3003,0)),"—"))</f>
        <v/>
      </c>
      <c r="H370" s="23">
        <f>IF($D370="","",IFERROR(INDEX(ENVIOS!$E$4:$E$3003,MATCH($D370,ENVIOS!$A$4:$A$3003,0)),"—"))</f>
        <v/>
      </c>
      <c r="I370" s="23">
        <f>IF($D370="","",IFERROR(INDEX(ENVIOS!$F$4:$F$3003,MATCH($D370,ENVIOS!$A$4:$A$3003,0)),"—"))</f>
        <v/>
      </c>
      <c r="J370" s="23">
        <f>IF($D370="","",IFERROR(INDEX(ENVIOS!$G$4:$G$3003,MATCH($D370,ENVIOS!$A$4:$A$3003,0)),"—"))</f>
        <v/>
      </c>
      <c r="K370" s="28">
        <f>IF($D370="","",IFERROR(INDEX(ENVIOS!$H$4:$H$3003,MATCH($D370,ENVIOS!$A$4:$A$3003,0)),"—"))</f>
        <v/>
      </c>
      <c r="L370" s="49">
        <f>IF($D370="","",IFERROR(INDEX(ENVIOS!$C$4:$C$3003,MATCH($D370,ENVIOS!$A$4:$A$3003,0)),""))</f>
        <v/>
      </c>
      <c r="M370" s="50" t="n"/>
      <c r="N370" s="28">
        <f>IF($M370="","",IFERROR(INDEX(CONFIG!$C$4:$C$63,MATCH($M370,CONFIG!$A$4:$A$63,0)),"Media"))</f>
        <v/>
      </c>
      <c r="O370" s="28">
        <f>IF($M370="","",IF($C370="Interna","NO",IFERROR(INDEX(CONFIG!$E$4:$E$63,MATCH($M370,CONFIG!$A$4:$A$63,0)),"NO")))</f>
        <v/>
      </c>
      <c r="P370" s="50" t="n"/>
      <c r="Q370" s="50" t="n"/>
      <c r="R370" s="28">
        <f>IF($Q370="","",IFERROR(INDEX(CONFIG!$H$4:$H$63,MATCH($Q370,CONFIG!$G$4:$G$63,0)),"Por definir"))</f>
        <v/>
      </c>
      <c r="S370" s="28">
        <f>IF($Q370="","",IFERROR(INDEX(CONFIG!$I$4:$I$63,MATCH($Q370,CONFIG!$G$4:$G$63,0)),"Por definir"))</f>
        <v/>
      </c>
      <c r="T370" s="51" t="n"/>
      <c r="U370" s="52" t="n"/>
      <c r="V370" s="50" t="n"/>
      <c r="W370" s="50" t="n"/>
      <c r="X370" s="49">
        <f>IF(OR($B370="",$M370=""),"",WORKDAY($B370,IFERROR(INDEX(CONFIG!$D$4:$D$63,MATCH($M370,CONFIG!$A$4:$A$63,0)),3)))</f>
        <v/>
      </c>
      <c r="Y370" s="47" t="n"/>
      <c r="Z370" s="24">
        <f>IF($B370="","",IF($Y370&lt;&gt;"",$Y370-$B370,TODAY()-$B370))</f>
        <v/>
      </c>
      <c r="AA370" s="28">
        <f>IF($B370="","",IF(IFERROR(INDEX(CONFIG!$L$4:$L$63,MATCH($V370,CONFIG!$K$4:$K$63,0)),"NO")="SÍ",IF(OR($Y370="",$X370=""),"Resuelta",IF($Y370&gt;$X370,"Resuelta tarde","Resuelta a tiempo")),IF($X370="","Sin clasificar",IF(TODAY()&gt;$X370,"Vencida",IF(TODAY()&gt;=$X370-1,"Por vencer","En plazo")))))</f>
        <v/>
      </c>
      <c r="AB370" s="50" t="n"/>
      <c r="AC370" s="50" t="n"/>
    </row>
    <row r="371" ht="16" customHeight="1">
      <c r="A371" s="28">
        <f>IF($B371="","","N-"&amp;TEXT(ROW()-3,"0000"))</f>
        <v/>
      </c>
      <c r="B371" s="47" t="n"/>
      <c r="C371" s="48" t="n"/>
      <c r="D371" s="48" t="n"/>
      <c r="E371" s="28">
        <f>IF($C371="","",IF($D371="",IF($C371="Interna","Sin guía (interna)","FALTA GUÍA"),IF(COUNTIFS(ENVIOS!$A$4:$A$3003,$D371)=0,"NO EXISTE",IF(COUNTIFS(ENVIOS!$A$4:$A$3003,$D371)&gt;1,"DUPLICADA","OK"))))</f>
        <v/>
      </c>
      <c r="F371" s="28">
        <f>IF($D371="","",IFERROR(INDEX(ENVIOS!$B$4:$B$3003,MATCH($D371,ENVIOS!$A$4:$A$3003,0)),"—"))</f>
        <v/>
      </c>
      <c r="G371" s="23">
        <f>IF($D371="","",IFERROR(INDEX(ENVIOS!$D$4:$D$3003,MATCH($D371,ENVIOS!$A$4:$A$3003,0)),"—"))</f>
        <v/>
      </c>
      <c r="H371" s="23">
        <f>IF($D371="","",IFERROR(INDEX(ENVIOS!$E$4:$E$3003,MATCH($D371,ENVIOS!$A$4:$A$3003,0)),"—"))</f>
        <v/>
      </c>
      <c r="I371" s="23">
        <f>IF($D371="","",IFERROR(INDEX(ENVIOS!$F$4:$F$3003,MATCH($D371,ENVIOS!$A$4:$A$3003,0)),"—"))</f>
        <v/>
      </c>
      <c r="J371" s="23">
        <f>IF($D371="","",IFERROR(INDEX(ENVIOS!$G$4:$G$3003,MATCH($D371,ENVIOS!$A$4:$A$3003,0)),"—"))</f>
        <v/>
      </c>
      <c r="K371" s="28">
        <f>IF($D371="","",IFERROR(INDEX(ENVIOS!$H$4:$H$3003,MATCH($D371,ENVIOS!$A$4:$A$3003,0)),"—"))</f>
        <v/>
      </c>
      <c r="L371" s="49">
        <f>IF($D371="","",IFERROR(INDEX(ENVIOS!$C$4:$C$3003,MATCH($D371,ENVIOS!$A$4:$A$3003,0)),""))</f>
        <v/>
      </c>
      <c r="M371" s="50" t="n"/>
      <c r="N371" s="28">
        <f>IF($M371="","",IFERROR(INDEX(CONFIG!$C$4:$C$63,MATCH($M371,CONFIG!$A$4:$A$63,0)),"Media"))</f>
        <v/>
      </c>
      <c r="O371" s="28">
        <f>IF($M371="","",IF($C371="Interna","NO",IFERROR(INDEX(CONFIG!$E$4:$E$63,MATCH($M371,CONFIG!$A$4:$A$63,0)),"NO")))</f>
        <v/>
      </c>
      <c r="P371" s="50" t="n"/>
      <c r="Q371" s="50" t="n"/>
      <c r="R371" s="28">
        <f>IF($Q371="","",IFERROR(INDEX(CONFIG!$H$4:$H$63,MATCH($Q371,CONFIG!$G$4:$G$63,0)),"Por definir"))</f>
        <v/>
      </c>
      <c r="S371" s="28">
        <f>IF($Q371="","",IFERROR(INDEX(CONFIG!$I$4:$I$63,MATCH($Q371,CONFIG!$G$4:$G$63,0)),"Por definir"))</f>
        <v/>
      </c>
      <c r="T371" s="51" t="n"/>
      <c r="U371" s="52" t="n"/>
      <c r="V371" s="50" t="n"/>
      <c r="W371" s="50" t="n"/>
      <c r="X371" s="49">
        <f>IF(OR($B371="",$M371=""),"",WORKDAY($B371,IFERROR(INDEX(CONFIG!$D$4:$D$63,MATCH($M371,CONFIG!$A$4:$A$63,0)),3)))</f>
        <v/>
      </c>
      <c r="Y371" s="47" t="n"/>
      <c r="Z371" s="24">
        <f>IF($B371="","",IF($Y371&lt;&gt;"",$Y371-$B371,TODAY()-$B371))</f>
        <v/>
      </c>
      <c r="AA371" s="28">
        <f>IF($B371="","",IF(IFERROR(INDEX(CONFIG!$L$4:$L$63,MATCH($V371,CONFIG!$K$4:$K$63,0)),"NO")="SÍ",IF(OR($Y371="",$X371=""),"Resuelta",IF($Y371&gt;$X371,"Resuelta tarde","Resuelta a tiempo")),IF($X371="","Sin clasificar",IF(TODAY()&gt;$X371,"Vencida",IF(TODAY()&gt;=$X371-1,"Por vencer","En plazo")))))</f>
        <v/>
      </c>
      <c r="AB371" s="50" t="n"/>
      <c r="AC371" s="50" t="n"/>
    </row>
    <row r="372" ht="16" customHeight="1">
      <c r="A372" s="28">
        <f>IF($B372="","","N-"&amp;TEXT(ROW()-3,"0000"))</f>
        <v/>
      </c>
      <c r="B372" s="47" t="n"/>
      <c r="C372" s="48" t="n"/>
      <c r="D372" s="48" t="n"/>
      <c r="E372" s="28">
        <f>IF($C372="","",IF($D372="",IF($C372="Interna","Sin guía (interna)","FALTA GUÍA"),IF(COUNTIFS(ENVIOS!$A$4:$A$3003,$D372)=0,"NO EXISTE",IF(COUNTIFS(ENVIOS!$A$4:$A$3003,$D372)&gt;1,"DUPLICADA","OK"))))</f>
        <v/>
      </c>
      <c r="F372" s="28">
        <f>IF($D372="","",IFERROR(INDEX(ENVIOS!$B$4:$B$3003,MATCH($D372,ENVIOS!$A$4:$A$3003,0)),"—"))</f>
        <v/>
      </c>
      <c r="G372" s="23">
        <f>IF($D372="","",IFERROR(INDEX(ENVIOS!$D$4:$D$3003,MATCH($D372,ENVIOS!$A$4:$A$3003,0)),"—"))</f>
        <v/>
      </c>
      <c r="H372" s="23">
        <f>IF($D372="","",IFERROR(INDEX(ENVIOS!$E$4:$E$3003,MATCH($D372,ENVIOS!$A$4:$A$3003,0)),"—"))</f>
        <v/>
      </c>
      <c r="I372" s="23">
        <f>IF($D372="","",IFERROR(INDEX(ENVIOS!$F$4:$F$3003,MATCH($D372,ENVIOS!$A$4:$A$3003,0)),"—"))</f>
        <v/>
      </c>
      <c r="J372" s="23">
        <f>IF($D372="","",IFERROR(INDEX(ENVIOS!$G$4:$G$3003,MATCH($D372,ENVIOS!$A$4:$A$3003,0)),"—"))</f>
        <v/>
      </c>
      <c r="K372" s="28">
        <f>IF($D372="","",IFERROR(INDEX(ENVIOS!$H$4:$H$3003,MATCH($D372,ENVIOS!$A$4:$A$3003,0)),"—"))</f>
        <v/>
      </c>
      <c r="L372" s="49">
        <f>IF($D372="","",IFERROR(INDEX(ENVIOS!$C$4:$C$3003,MATCH($D372,ENVIOS!$A$4:$A$3003,0)),""))</f>
        <v/>
      </c>
      <c r="M372" s="50" t="n"/>
      <c r="N372" s="28">
        <f>IF($M372="","",IFERROR(INDEX(CONFIG!$C$4:$C$63,MATCH($M372,CONFIG!$A$4:$A$63,0)),"Media"))</f>
        <v/>
      </c>
      <c r="O372" s="28">
        <f>IF($M372="","",IF($C372="Interna","NO",IFERROR(INDEX(CONFIG!$E$4:$E$63,MATCH($M372,CONFIG!$A$4:$A$63,0)),"NO")))</f>
        <v/>
      </c>
      <c r="P372" s="50" t="n"/>
      <c r="Q372" s="50" t="n"/>
      <c r="R372" s="28">
        <f>IF($Q372="","",IFERROR(INDEX(CONFIG!$H$4:$H$63,MATCH($Q372,CONFIG!$G$4:$G$63,0)),"Por definir"))</f>
        <v/>
      </c>
      <c r="S372" s="28">
        <f>IF($Q372="","",IFERROR(INDEX(CONFIG!$I$4:$I$63,MATCH($Q372,CONFIG!$G$4:$G$63,0)),"Por definir"))</f>
        <v/>
      </c>
      <c r="T372" s="51" t="n"/>
      <c r="U372" s="52" t="n"/>
      <c r="V372" s="50" t="n"/>
      <c r="W372" s="50" t="n"/>
      <c r="X372" s="49">
        <f>IF(OR($B372="",$M372=""),"",WORKDAY($B372,IFERROR(INDEX(CONFIG!$D$4:$D$63,MATCH($M372,CONFIG!$A$4:$A$63,0)),3)))</f>
        <v/>
      </c>
      <c r="Y372" s="47" t="n"/>
      <c r="Z372" s="24">
        <f>IF($B372="","",IF($Y372&lt;&gt;"",$Y372-$B372,TODAY()-$B372))</f>
        <v/>
      </c>
      <c r="AA372" s="28">
        <f>IF($B372="","",IF(IFERROR(INDEX(CONFIG!$L$4:$L$63,MATCH($V372,CONFIG!$K$4:$K$63,0)),"NO")="SÍ",IF(OR($Y372="",$X372=""),"Resuelta",IF($Y372&gt;$X372,"Resuelta tarde","Resuelta a tiempo")),IF($X372="","Sin clasificar",IF(TODAY()&gt;$X372,"Vencida",IF(TODAY()&gt;=$X372-1,"Por vencer","En plazo")))))</f>
        <v/>
      </c>
      <c r="AB372" s="50" t="n"/>
      <c r="AC372" s="50" t="n"/>
    </row>
    <row r="373" ht="16" customHeight="1">
      <c r="A373" s="28">
        <f>IF($B373="","","N-"&amp;TEXT(ROW()-3,"0000"))</f>
        <v/>
      </c>
      <c r="B373" s="47" t="n"/>
      <c r="C373" s="48" t="n"/>
      <c r="D373" s="48" t="n"/>
      <c r="E373" s="28">
        <f>IF($C373="","",IF($D373="",IF($C373="Interna","Sin guía (interna)","FALTA GUÍA"),IF(COUNTIFS(ENVIOS!$A$4:$A$3003,$D373)=0,"NO EXISTE",IF(COUNTIFS(ENVIOS!$A$4:$A$3003,$D373)&gt;1,"DUPLICADA","OK"))))</f>
        <v/>
      </c>
      <c r="F373" s="28">
        <f>IF($D373="","",IFERROR(INDEX(ENVIOS!$B$4:$B$3003,MATCH($D373,ENVIOS!$A$4:$A$3003,0)),"—"))</f>
        <v/>
      </c>
      <c r="G373" s="23">
        <f>IF($D373="","",IFERROR(INDEX(ENVIOS!$D$4:$D$3003,MATCH($D373,ENVIOS!$A$4:$A$3003,0)),"—"))</f>
        <v/>
      </c>
      <c r="H373" s="23">
        <f>IF($D373="","",IFERROR(INDEX(ENVIOS!$E$4:$E$3003,MATCH($D373,ENVIOS!$A$4:$A$3003,0)),"—"))</f>
        <v/>
      </c>
      <c r="I373" s="23">
        <f>IF($D373="","",IFERROR(INDEX(ENVIOS!$F$4:$F$3003,MATCH($D373,ENVIOS!$A$4:$A$3003,0)),"—"))</f>
        <v/>
      </c>
      <c r="J373" s="23">
        <f>IF($D373="","",IFERROR(INDEX(ENVIOS!$G$4:$G$3003,MATCH($D373,ENVIOS!$A$4:$A$3003,0)),"—"))</f>
        <v/>
      </c>
      <c r="K373" s="28">
        <f>IF($D373="","",IFERROR(INDEX(ENVIOS!$H$4:$H$3003,MATCH($D373,ENVIOS!$A$4:$A$3003,0)),"—"))</f>
        <v/>
      </c>
      <c r="L373" s="49">
        <f>IF($D373="","",IFERROR(INDEX(ENVIOS!$C$4:$C$3003,MATCH($D373,ENVIOS!$A$4:$A$3003,0)),""))</f>
        <v/>
      </c>
      <c r="M373" s="50" t="n"/>
      <c r="N373" s="28">
        <f>IF($M373="","",IFERROR(INDEX(CONFIG!$C$4:$C$63,MATCH($M373,CONFIG!$A$4:$A$63,0)),"Media"))</f>
        <v/>
      </c>
      <c r="O373" s="28">
        <f>IF($M373="","",IF($C373="Interna","NO",IFERROR(INDEX(CONFIG!$E$4:$E$63,MATCH($M373,CONFIG!$A$4:$A$63,0)),"NO")))</f>
        <v/>
      </c>
      <c r="P373" s="50" t="n"/>
      <c r="Q373" s="50" t="n"/>
      <c r="R373" s="28">
        <f>IF($Q373="","",IFERROR(INDEX(CONFIG!$H$4:$H$63,MATCH($Q373,CONFIG!$G$4:$G$63,0)),"Por definir"))</f>
        <v/>
      </c>
      <c r="S373" s="28">
        <f>IF($Q373="","",IFERROR(INDEX(CONFIG!$I$4:$I$63,MATCH($Q373,CONFIG!$G$4:$G$63,0)),"Por definir"))</f>
        <v/>
      </c>
      <c r="T373" s="51" t="n"/>
      <c r="U373" s="52" t="n"/>
      <c r="V373" s="50" t="n"/>
      <c r="W373" s="50" t="n"/>
      <c r="X373" s="49">
        <f>IF(OR($B373="",$M373=""),"",WORKDAY($B373,IFERROR(INDEX(CONFIG!$D$4:$D$63,MATCH($M373,CONFIG!$A$4:$A$63,0)),3)))</f>
        <v/>
      </c>
      <c r="Y373" s="47" t="n"/>
      <c r="Z373" s="24">
        <f>IF($B373="","",IF($Y373&lt;&gt;"",$Y373-$B373,TODAY()-$B373))</f>
        <v/>
      </c>
      <c r="AA373" s="28">
        <f>IF($B373="","",IF(IFERROR(INDEX(CONFIG!$L$4:$L$63,MATCH($V373,CONFIG!$K$4:$K$63,0)),"NO")="SÍ",IF(OR($Y373="",$X373=""),"Resuelta",IF($Y373&gt;$X373,"Resuelta tarde","Resuelta a tiempo")),IF($X373="","Sin clasificar",IF(TODAY()&gt;$X373,"Vencida",IF(TODAY()&gt;=$X373-1,"Por vencer","En plazo")))))</f>
        <v/>
      </c>
      <c r="AB373" s="50" t="n"/>
      <c r="AC373" s="50" t="n"/>
    </row>
    <row r="374" ht="16" customHeight="1">
      <c r="A374" s="28">
        <f>IF($B374="","","N-"&amp;TEXT(ROW()-3,"0000"))</f>
        <v/>
      </c>
      <c r="B374" s="47" t="n"/>
      <c r="C374" s="48" t="n"/>
      <c r="D374" s="48" t="n"/>
      <c r="E374" s="28">
        <f>IF($C374="","",IF($D374="",IF($C374="Interna","Sin guía (interna)","FALTA GUÍA"),IF(COUNTIFS(ENVIOS!$A$4:$A$3003,$D374)=0,"NO EXISTE",IF(COUNTIFS(ENVIOS!$A$4:$A$3003,$D374)&gt;1,"DUPLICADA","OK"))))</f>
        <v/>
      </c>
      <c r="F374" s="28">
        <f>IF($D374="","",IFERROR(INDEX(ENVIOS!$B$4:$B$3003,MATCH($D374,ENVIOS!$A$4:$A$3003,0)),"—"))</f>
        <v/>
      </c>
      <c r="G374" s="23">
        <f>IF($D374="","",IFERROR(INDEX(ENVIOS!$D$4:$D$3003,MATCH($D374,ENVIOS!$A$4:$A$3003,0)),"—"))</f>
        <v/>
      </c>
      <c r="H374" s="23">
        <f>IF($D374="","",IFERROR(INDEX(ENVIOS!$E$4:$E$3003,MATCH($D374,ENVIOS!$A$4:$A$3003,0)),"—"))</f>
        <v/>
      </c>
      <c r="I374" s="23">
        <f>IF($D374="","",IFERROR(INDEX(ENVIOS!$F$4:$F$3003,MATCH($D374,ENVIOS!$A$4:$A$3003,0)),"—"))</f>
        <v/>
      </c>
      <c r="J374" s="23">
        <f>IF($D374="","",IFERROR(INDEX(ENVIOS!$G$4:$G$3003,MATCH($D374,ENVIOS!$A$4:$A$3003,0)),"—"))</f>
        <v/>
      </c>
      <c r="K374" s="28">
        <f>IF($D374="","",IFERROR(INDEX(ENVIOS!$H$4:$H$3003,MATCH($D374,ENVIOS!$A$4:$A$3003,0)),"—"))</f>
        <v/>
      </c>
      <c r="L374" s="49">
        <f>IF($D374="","",IFERROR(INDEX(ENVIOS!$C$4:$C$3003,MATCH($D374,ENVIOS!$A$4:$A$3003,0)),""))</f>
        <v/>
      </c>
      <c r="M374" s="50" t="n"/>
      <c r="N374" s="28">
        <f>IF($M374="","",IFERROR(INDEX(CONFIG!$C$4:$C$63,MATCH($M374,CONFIG!$A$4:$A$63,0)),"Media"))</f>
        <v/>
      </c>
      <c r="O374" s="28">
        <f>IF($M374="","",IF($C374="Interna","NO",IFERROR(INDEX(CONFIG!$E$4:$E$63,MATCH($M374,CONFIG!$A$4:$A$63,0)),"NO")))</f>
        <v/>
      </c>
      <c r="P374" s="50" t="n"/>
      <c r="Q374" s="50" t="n"/>
      <c r="R374" s="28">
        <f>IF($Q374="","",IFERROR(INDEX(CONFIG!$H$4:$H$63,MATCH($Q374,CONFIG!$G$4:$G$63,0)),"Por definir"))</f>
        <v/>
      </c>
      <c r="S374" s="28">
        <f>IF($Q374="","",IFERROR(INDEX(CONFIG!$I$4:$I$63,MATCH($Q374,CONFIG!$G$4:$G$63,0)),"Por definir"))</f>
        <v/>
      </c>
      <c r="T374" s="51" t="n"/>
      <c r="U374" s="52" t="n"/>
      <c r="V374" s="50" t="n"/>
      <c r="W374" s="50" t="n"/>
      <c r="X374" s="49">
        <f>IF(OR($B374="",$M374=""),"",WORKDAY($B374,IFERROR(INDEX(CONFIG!$D$4:$D$63,MATCH($M374,CONFIG!$A$4:$A$63,0)),3)))</f>
        <v/>
      </c>
      <c r="Y374" s="47" t="n"/>
      <c r="Z374" s="24">
        <f>IF($B374="","",IF($Y374&lt;&gt;"",$Y374-$B374,TODAY()-$B374))</f>
        <v/>
      </c>
      <c r="AA374" s="28">
        <f>IF($B374="","",IF(IFERROR(INDEX(CONFIG!$L$4:$L$63,MATCH($V374,CONFIG!$K$4:$K$63,0)),"NO")="SÍ",IF(OR($Y374="",$X374=""),"Resuelta",IF($Y374&gt;$X374,"Resuelta tarde","Resuelta a tiempo")),IF($X374="","Sin clasificar",IF(TODAY()&gt;$X374,"Vencida",IF(TODAY()&gt;=$X374-1,"Por vencer","En plazo")))))</f>
        <v/>
      </c>
      <c r="AB374" s="50" t="n"/>
      <c r="AC374" s="50" t="n"/>
    </row>
    <row r="375" ht="16" customHeight="1">
      <c r="A375" s="28">
        <f>IF($B375="","","N-"&amp;TEXT(ROW()-3,"0000"))</f>
        <v/>
      </c>
      <c r="B375" s="47" t="n"/>
      <c r="C375" s="48" t="n"/>
      <c r="D375" s="48" t="n"/>
      <c r="E375" s="28">
        <f>IF($C375="","",IF($D375="",IF($C375="Interna","Sin guía (interna)","FALTA GUÍA"),IF(COUNTIFS(ENVIOS!$A$4:$A$3003,$D375)=0,"NO EXISTE",IF(COUNTIFS(ENVIOS!$A$4:$A$3003,$D375)&gt;1,"DUPLICADA","OK"))))</f>
        <v/>
      </c>
      <c r="F375" s="28">
        <f>IF($D375="","",IFERROR(INDEX(ENVIOS!$B$4:$B$3003,MATCH($D375,ENVIOS!$A$4:$A$3003,0)),"—"))</f>
        <v/>
      </c>
      <c r="G375" s="23">
        <f>IF($D375="","",IFERROR(INDEX(ENVIOS!$D$4:$D$3003,MATCH($D375,ENVIOS!$A$4:$A$3003,0)),"—"))</f>
        <v/>
      </c>
      <c r="H375" s="23">
        <f>IF($D375="","",IFERROR(INDEX(ENVIOS!$E$4:$E$3003,MATCH($D375,ENVIOS!$A$4:$A$3003,0)),"—"))</f>
        <v/>
      </c>
      <c r="I375" s="23">
        <f>IF($D375="","",IFERROR(INDEX(ENVIOS!$F$4:$F$3003,MATCH($D375,ENVIOS!$A$4:$A$3003,0)),"—"))</f>
        <v/>
      </c>
      <c r="J375" s="23">
        <f>IF($D375="","",IFERROR(INDEX(ENVIOS!$G$4:$G$3003,MATCH($D375,ENVIOS!$A$4:$A$3003,0)),"—"))</f>
        <v/>
      </c>
      <c r="K375" s="28">
        <f>IF($D375="","",IFERROR(INDEX(ENVIOS!$H$4:$H$3003,MATCH($D375,ENVIOS!$A$4:$A$3003,0)),"—"))</f>
        <v/>
      </c>
      <c r="L375" s="49">
        <f>IF($D375="","",IFERROR(INDEX(ENVIOS!$C$4:$C$3003,MATCH($D375,ENVIOS!$A$4:$A$3003,0)),""))</f>
        <v/>
      </c>
      <c r="M375" s="50" t="n"/>
      <c r="N375" s="28">
        <f>IF($M375="","",IFERROR(INDEX(CONFIG!$C$4:$C$63,MATCH($M375,CONFIG!$A$4:$A$63,0)),"Media"))</f>
        <v/>
      </c>
      <c r="O375" s="28">
        <f>IF($M375="","",IF($C375="Interna","NO",IFERROR(INDEX(CONFIG!$E$4:$E$63,MATCH($M375,CONFIG!$A$4:$A$63,0)),"NO")))</f>
        <v/>
      </c>
      <c r="P375" s="50" t="n"/>
      <c r="Q375" s="50" t="n"/>
      <c r="R375" s="28">
        <f>IF($Q375="","",IFERROR(INDEX(CONFIG!$H$4:$H$63,MATCH($Q375,CONFIG!$G$4:$G$63,0)),"Por definir"))</f>
        <v/>
      </c>
      <c r="S375" s="28">
        <f>IF($Q375="","",IFERROR(INDEX(CONFIG!$I$4:$I$63,MATCH($Q375,CONFIG!$G$4:$G$63,0)),"Por definir"))</f>
        <v/>
      </c>
      <c r="T375" s="51" t="n"/>
      <c r="U375" s="52" t="n"/>
      <c r="V375" s="50" t="n"/>
      <c r="W375" s="50" t="n"/>
      <c r="X375" s="49">
        <f>IF(OR($B375="",$M375=""),"",WORKDAY($B375,IFERROR(INDEX(CONFIG!$D$4:$D$63,MATCH($M375,CONFIG!$A$4:$A$63,0)),3)))</f>
        <v/>
      </c>
      <c r="Y375" s="47" t="n"/>
      <c r="Z375" s="24">
        <f>IF($B375="","",IF($Y375&lt;&gt;"",$Y375-$B375,TODAY()-$B375))</f>
        <v/>
      </c>
      <c r="AA375" s="28">
        <f>IF($B375="","",IF(IFERROR(INDEX(CONFIG!$L$4:$L$63,MATCH($V375,CONFIG!$K$4:$K$63,0)),"NO")="SÍ",IF(OR($Y375="",$X375=""),"Resuelta",IF($Y375&gt;$X375,"Resuelta tarde","Resuelta a tiempo")),IF($X375="","Sin clasificar",IF(TODAY()&gt;$X375,"Vencida",IF(TODAY()&gt;=$X375-1,"Por vencer","En plazo")))))</f>
        <v/>
      </c>
      <c r="AB375" s="50" t="n"/>
      <c r="AC375" s="50" t="n"/>
    </row>
    <row r="376" ht="16" customHeight="1">
      <c r="A376" s="28">
        <f>IF($B376="","","N-"&amp;TEXT(ROW()-3,"0000"))</f>
        <v/>
      </c>
      <c r="B376" s="47" t="n"/>
      <c r="C376" s="48" t="n"/>
      <c r="D376" s="48" t="n"/>
      <c r="E376" s="28">
        <f>IF($C376="","",IF($D376="",IF($C376="Interna","Sin guía (interna)","FALTA GUÍA"),IF(COUNTIFS(ENVIOS!$A$4:$A$3003,$D376)=0,"NO EXISTE",IF(COUNTIFS(ENVIOS!$A$4:$A$3003,$D376)&gt;1,"DUPLICADA","OK"))))</f>
        <v/>
      </c>
      <c r="F376" s="28">
        <f>IF($D376="","",IFERROR(INDEX(ENVIOS!$B$4:$B$3003,MATCH($D376,ENVIOS!$A$4:$A$3003,0)),"—"))</f>
        <v/>
      </c>
      <c r="G376" s="23">
        <f>IF($D376="","",IFERROR(INDEX(ENVIOS!$D$4:$D$3003,MATCH($D376,ENVIOS!$A$4:$A$3003,0)),"—"))</f>
        <v/>
      </c>
      <c r="H376" s="23">
        <f>IF($D376="","",IFERROR(INDEX(ENVIOS!$E$4:$E$3003,MATCH($D376,ENVIOS!$A$4:$A$3003,0)),"—"))</f>
        <v/>
      </c>
      <c r="I376" s="23">
        <f>IF($D376="","",IFERROR(INDEX(ENVIOS!$F$4:$F$3003,MATCH($D376,ENVIOS!$A$4:$A$3003,0)),"—"))</f>
        <v/>
      </c>
      <c r="J376" s="23">
        <f>IF($D376="","",IFERROR(INDEX(ENVIOS!$G$4:$G$3003,MATCH($D376,ENVIOS!$A$4:$A$3003,0)),"—"))</f>
        <v/>
      </c>
      <c r="K376" s="28">
        <f>IF($D376="","",IFERROR(INDEX(ENVIOS!$H$4:$H$3003,MATCH($D376,ENVIOS!$A$4:$A$3003,0)),"—"))</f>
        <v/>
      </c>
      <c r="L376" s="49">
        <f>IF($D376="","",IFERROR(INDEX(ENVIOS!$C$4:$C$3003,MATCH($D376,ENVIOS!$A$4:$A$3003,0)),""))</f>
        <v/>
      </c>
      <c r="M376" s="50" t="n"/>
      <c r="N376" s="28">
        <f>IF($M376="","",IFERROR(INDEX(CONFIG!$C$4:$C$63,MATCH($M376,CONFIG!$A$4:$A$63,0)),"Media"))</f>
        <v/>
      </c>
      <c r="O376" s="28">
        <f>IF($M376="","",IF($C376="Interna","NO",IFERROR(INDEX(CONFIG!$E$4:$E$63,MATCH($M376,CONFIG!$A$4:$A$63,0)),"NO")))</f>
        <v/>
      </c>
      <c r="P376" s="50" t="n"/>
      <c r="Q376" s="50" t="n"/>
      <c r="R376" s="28">
        <f>IF($Q376="","",IFERROR(INDEX(CONFIG!$H$4:$H$63,MATCH($Q376,CONFIG!$G$4:$G$63,0)),"Por definir"))</f>
        <v/>
      </c>
      <c r="S376" s="28">
        <f>IF($Q376="","",IFERROR(INDEX(CONFIG!$I$4:$I$63,MATCH($Q376,CONFIG!$G$4:$G$63,0)),"Por definir"))</f>
        <v/>
      </c>
      <c r="T376" s="51" t="n"/>
      <c r="U376" s="52" t="n"/>
      <c r="V376" s="50" t="n"/>
      <c r="W376" s="50" t="n"/>
      <c r="X376" s="49">
        <f>IF(OR($B376="",$M376=""),"",WORKDAY($B376,IFERROR(INDEX(CONFIG!$D$4:$D$63,MATCH($M376,CONFIG!$A$4:$A$63,0)),3)))</f>
        <v/>
      </c>
      <c r="Y376" s="47" t="n"/>
      <c r="Z376" s="24">
        <f>IF($B376="","",IF($Y376&lt;&gt;"",$Y376-$B376,TODAY()-$B376))</f>
        <v/>
      </c>
      <c r="AA376" s="28">
        <f>IF($B376="","",IF(IFERROR(INDEX(CONFIG!$L$4:$L$63,MATCH($V376,CONFIG!$K$4:$K$63,0)),"NO")="SÍ",IF(OR($Y376="",$X376=""),"Resuelta",IF($Y376&gt;$X376,"Resuelta tarde","Resuelta a tiempo")),IF($X376="","Sin clasificar",IF(TODAY()&gt;$X376,"Vencida",IF(TODAY()&gt;=$X376-1,"Por vencer","En plazo")))))</f>
        <v/>
      </c>
      <c r="AB376" s="50" t="n"/>
      <c r="AC376" s="50" t="n"/>
    </row>
    <row r="377" ht="16" customHeight="1">
      <c r="A377" s="28">
        <f>IF($B377="","","N-"&amp;TEXT(ROW()-3,"0000"))</f>
        <v/>
      </c>
      <c r="B377" s="47" t="n"/>
      <c r="C377" s="48" t="n"/>
      <c r="D377" s="48" t="n"/>
      <c r="E377" s="28">
        <f>IF($C377="","",IF($D377="",IF($C377="Interna","Sin guía (interna)","FALTA GUÍA"),IF(COUNTIFS(ENVIOS!$A$4:$A$3003,$D377)=0,"NO EXISTE",IF(COUNTIFS(ENVIOS!$A$4:$A$3003,$D377)&gt;1,"DUPLICADA","OK"))))</f>
        <v/>
      </c>
      <c r="F377" s="28">
        <f>IF($D377="","",IFERROR(INDEX(ENVIOS!$B$4:$B$3003,MATCH($D377,ENVIOS!$A$4:$A$3003,0)),"—"))</f>
        <v/>
      </c>
      <c r="G377" s="23">
        <f>IF($D377="","",IFERROR(INDEX(ENVIOS!$D$4:$D$3003,MATCH($D377,ENVIOS!$A$4:$A$3003,0)),"—"))</f>
        <v/>
      </c>
      <c r="H377" s="23">
        <f>IF($D377="","",IFERROR(INDEX(ENVIOS!$E$4:$E$3003,MATCH($D377,ENVIOS!$A$4:$A$3003,0)),"—"))</f>
        <v/>
      </c>
      <c r="I377" s="23">
        <f>IF($D377="","",IFERROR(INDEX(ENVIOS!$F$4:$F$3003,MATCH($D377,ENVIOS!$A$4:$A$3003,0)),"—"))</f>
        <v/>
      </c>
      <c r="J377" s="23">
        <f>IF($D377="","",IFERROR(INDEX(ENVIOS!$G$4:$G$3003,MATCH($D377,ENVIOS!$A$4:$A$3003,0)),"—"))</f>
        <v/>
      </c>
      <c r="K377" s="28">
        <f>IF($D377="","",IFERROR(INDEX(ENVIOS!$H$4:$H$3003,MATCH($D377,ENVIOS!$A$4:$A$3003,0)),"—"))</f>
        <v/>
      </c>
      <c r="L377" s="49">
        <f>IF($D377="","",IFERROR(INDEX(ENVIOS!$C$4:$C$3003,MATCH($D377,ENVIOS!$A$4:$A$3003,0)),""))</f>
        <v/>
      </c>
      <c r="M377" s="50" t="n"/>
      <c r="N377" s="28">
        <f>IF($M377="","",IFERROR(INDEX(CONFIG!$C$4:$C$63,MATCH($M377,CONFIG!$A$4:$A$63,0)),"Media"))</f>
        <v/>
      </c>
      <c r="O377" s="28">
        <f>IF($M377="","",IF($C377="Interna","NO",IFERROR(INDEX(CONFIG!$E$4:$E$63,MATCH($M377,CONFIG!$A$4:$A$63,0)),"NO")))</f>
        <v/>
      </c>
      <c r="P377" s="50" t="n"/>
      <c r="Q377" s="50" t="n"/>
      <c r="R377" s="28">
        <f>IF($Q377="","",IFERROR(INDEX(CONFIG!$H$4:$H$63,MATCH($Q377,CONFIG!$G$4:$G$63,0)),"Por definir"))</f>
        <v/>
      </c>
      <c r="S377" s="28">
        <f>IF($Q377="","",IFERROR(INDEX(CONFIG!$I$4:$I$63,MATCH($Q377,CONFIG!$G$4:$G$63,0)),"Por definir"))</f>
        <v/>
      </c>
      <c r="T377" s="51" t="n"/>
      <c r="U377" s="52" t="n"/>
      <c r="V377" s="50" t="n"/>
      <c r="W377" s="50" t="n"/>
      <c r="X377" s="49">
        <f>IF(OR($B377="",$M377=""),"",WORKDAY($B377,IFERROR(INDEX(CONFIG!$D$4:$D$63,MATCH($M377,CONFIG!$A$4:$A$63,0)),3)))</f>
        <v/>
      </c>
      <c r="Y377" s="47" t="n"/>
      <c r="Z377" s="24">
        <f>IF($B377="","",IF($Y377&lt;&gt;"",$Y377-$B377,TODAY()-$B377))</f>
        <v/>
      </c>
      <c r="AA377" s="28">
        <f>IF($B377="","",IF(IFERROR(INDEX(CONFIG!$L$4:$L$63,MATCH($V377,CONFIG!$K$4:$K$63,0)),"NO")="SÍ",IF(OR($Y377="",$X377=""),"Resuelta",IF($Y377&gt;$X377,"Resuelta tarde","Resuelta a tiempo")),IF($X377="","Sin clasificar",IF(TODAY()&gt;$X377,"Vencida",IF(TODAY()&gt;=$X377-1,"Por vencer","En plazo")))))</f>
        <v/>
      </c>
      <c r="AB377" s="50" t="n"/>
      <c r="AC377" s="50" t="n"/>
    </row>
    <row r="378" ht="16" customHeight="1">
      <c r="A378" s="28">
        <f>IF($B378="","","N-"&amp;TEXT(ROW()-3,"0000"))</f>
        <v/>
      </c>
      <c r="B378" s="47" t="n"/>
      <c r="C378" s="48" t="n"/>
      <c r="D378" s="48" t="n"/>
      <c r="E378" s="28">
        <f>IF($C378="","",IF($D378="",IF($C378="Interna","Sin guía (interna)","FALTA GUÍA"),IF(COUNTIFS(ENVIOS!$A$4:$A$3003,$D378)=0,"NO EXISTE",IF(COUNTIFS(ENVIOS!$A$4:$A$3003,$D378)&gt;1,"DUPLICADA","OK"))))</f>
        <v/>
      </c>
      <c r="F378" s="28">
        <f>IF($D378="","",IFERROR(INDEX(ENVIOS!$B$4:$B$3003,MATCH($D378,ENVIOS!$A$4:$A$3003,0)),"—"))</f>
        <v/>
      </c>
      <c r="G378" s="23">
        <f>IF($D378="","",IFERROR(INDEX(ENVIOS!$D$4:$D$3003,MATCH($D378,ENVIOS!$A$4:$A$3003,0)),"—"))</f>
        <v/>
      </c>
      <c r="H378" s="23">
        <f>IF($D378="","",IFERROR(INDEX(ENVIOS!$E$4:$E$3003,MATCH($D378,ENVIOS!$A$4:$A$3003,0)),"—"))</f>
        <v/>
      </c>
      <c r="I378" s="23">
        <f>IF($D378="","",IFERROR(INDEX(ENVIOS!$F$4:$F$3003,MATCH($D378,ENVIOS!$A$4:$A$3003,0)),"—"))</f>
        <v/>
      </c>
      <c r="J378" s="23">
        <f>IF($D378="","",IFERROR(INDEX(ENVIOS!$G$4:$G$3003,MATCH($D378,ENVIOS!$A$4:$A$3003,0)),"—"))</f>
        <v/>
      </c>
      <c r="K378" s="28">
        <f>IF($D378="","",IFERROR(INDEX(ENVIOS!$H$4:$H$3003,MATCH($D378,ENVIOS!$A$4:$A$3003,0)),"—"))</f>
        <v/>
      </c>
      <c r="L378" s="49">
        <f>IF($D378="","",IFERROR(INDEX(ENVIOS!$C$4:$C$3003,MATCH($D378,ENVIOS!$A$4:$A$3003,0)),""))</f>
        <v/>
      </c>
      <c r="M378" s="50" t="n"/>
      <c r="N378" s="28">
        <f>IF($M378="","",IFERROR(INDEX(CONFIG!$C$4:$C$63,MATCH($M378,CONFIG!$A$4:$A$63,0)),"Media"))</f>
        <v/>
      </c>
      <c r="O378" s="28">
        <f>IF($M378="","",IF($C378="Interna","NO",IFERROR(INDEX(CONFIG!$E$4:$E$63,MATCH($M378,CONFIG!$A$4:$A$63,0)),"NO")))</f>
        <v/>
      </c>
      <c r="P378" s="50" t="n"/>
      <c r="Q378" s="50" t="n"/>
      <c r="R378" s="28">
        <f>IF($Q378="","",IFERROR(INDEX(CONFIG!$H$4:$H$63,MATCH($Q378,CONFIG!$G$4:$G$63,0)),"Por definir"))</f>
        <v/>
      </c>
      <c r="S378" s="28">
        <f>IF($Q378="","",IFERROR(INDEX(CONFIG!$I$4:$I$63,MATCH($Q378,CONFIG!$G$4:$G$63,0)),"Por definir"))</f>
        <v/>
      </c>
      <c r="T378" s="51" t="n"/>
      <c r="U378" s="52" t="n"/>
      <c r="V378" s="50" t="n"/>
      <c r="W378" s="50" t="n"/>
      <c r="X378" s="49">
        <f>IF(OR($B378="",$M378=""),"",WORKDAY($B378,IFERROR(INDEX(CONFIG!$D$4:$D$63,MATCH($M378,CONFIG!$A$4:$A$63,0)),3)))</f>
        <v/>
      </c>
      <c r="Y378" s="47" t="n"/>
      <c r="Z378" s="24">
        <f>IF($B378="","",IF($Y378&lt;&gt;"",$Y378-$B378,TODAY()-$B378))</f>
        <v/>
      </c>
      <c r="AA378" s="28">
        <f>IF($B378="","",IF(IFERROR(INDEX(CONFIG!$L$4:$L$63,MATCH($V378,CONFIG!$K$4:$K$63,0)),"NO")="SÍ",IF(OR($Y378="",$X378=""),"Resuelta",IF($Y378&gt;$X378,"Resuelta tarde","Resuelta a tiempo")),IF($X378="","Sin clasificar",IF(TODAY()&gt;$X378,"Vencida",IF(TODAY()&gt;=$X378-1,"Por vencer","En plazo")))))</f>
        <v/>
      </c>
      <c r="AB378" s="50" t="n"/>
      <c r="AC378" s="50" t="n"/>
    </row>
    <row r="379" ht="16" customHeight="1">
      <c r="A379" s="28">
        <f>IF($B379="","","N-"&amp;TEXT(ROW()-3,"0000"))</f>
        <v/>
      </c>
      <c r="B379" s="47" t="n"/>
      <c r="C379" s="48" t="n"/>
      <c r="D379" s="48" t="n"/>
      <c r="E379" s="28">
        <f>IF($C379="","",IF($D379="",IF($C379="Interna","Sin guía (interna)","FALTA GUÍA"),IF(COUNTIFS(ENVIOS!$A$4:$A$3003,$D379)=0,"NO EXISTE",IF(COUNTIFS(ENVIOS!$A$4:$A$3003,$D379)&gt;1,"DUPLICADA","OK"))))</f>
        <v/>
      </c>
      <c r="F379" s="28">
        <f>IF($D379="","",IFERROR(INDEX(ENVIOS!$B$4:$B$3003,MATCH($D379,ENVIOS!$A$4:$A$3003,0)),"—"))</f>
        <v/>
      </c>
      <c r="G379" s="23">
        <f>IF($D379="","",IFERROR(INDEX(ENVIOS!$D$4:$D$3003,MATCH($D379,ENVIOS!$A$4:$A$3003,0)),"—"))</f>
        <v/>
      </c>
      <c r="H379" s="23">
        <f>IF($D379="","",IFERROR(INDEX(ENVIOS!$E$4:$E$3003,MATCH($D379,ENVIOS!$A$4:$A$3003,0)),"—"))</f>
        <v/>
      </c>
      <c r="I379" s="23">
        <f>IF($D379="","",IFERROR(INDEX(ENVIOS!$F$4:$F$3003,MATCH($D379,ENVIOS!$A$4:$A$3003,0)),"—"))</f>
        <v/>
      </c>
      <c r="J379" s="23">
        <f>IF($D379="","",IFERROR(INDEX(ENVIOS!$G$4:$G$3003,MATCH($D379,ENVIOS!$A$4:$A$3003,0)),"—"))</f>
        <v/>
      </c>
      <c r="K379" s="28">
        <f>IF($D379="","",IFERROR(INDEX(ENVIOS!$H$4:$H$3003,MATCH($D379,ENVIOS!$A$4:$A$3003,0)),"—"))</f>
        <v/>
      </c>
      <c r="L379" s="49">
        <f>IF($D379="","",IFERROR(INDEX(ENVIOS!$C$4:$C$3003,MATCH($D379,ENVIOS!$A$4:$A$3003,0)),""))</f>
        <v/>
      </c>
      <c r="M379" s="50" t="n"/>
      <c r="N379" s="28">
        <f>IF($M379="","",IFERROR(INDEX(CONFIG!$C$4:$C$63,MATCH($M379,CONFIG!$A$4:$A$63,0)),"Media"))</f>
        <v/>
      </c>
      <c r="O379" s="28">
        <f>IF($M379="","",IF($C379="Interna","NO",IFERROR(INDEX(CONFIG!$E$4:$E$63,MATCH($M379,CONFIG!$A$4:$A$63,0)),"NO")))</f>
        <v/>
      </c>
      <c r="P379" s="50" t="n"/>
      <c r="Q379" s="50" t="n"/>
      <c r="R379" s="28">
        <f>IF($Q379="","",IFERROR(INDEX(CONFIG!$H$4:$H$63,MATCH($Q379,CONFIG!$G$4:$G$63,0)),"Por definir"))</f>
        <v/>
      </c>
      <c r="S379" s="28">
        <f>IF($Q379="","",IFERROR(INDEX(CONFIG!$I$4:$I$63,MATCH($Q379,CONFIG!$G$4:$G$63,0)),"Por definir"))</f>
        <v/>
      </c>
      <c r="T379" s="51" t="n"/>
      <c r="U379" s="52" t="n"/>
      <c r="V379" s="50" t="n"/>
      <c r="W379" s="50" t="n"/>
      <c r="X379" s="49">
        <f>IF(OR($B379="",$M379=""),"",WORKDAY($B379,IFERROR(INDEX(CONFIG!$D$4:$D$63,MATCH($M379,CONFIG!$A$4:$A$63,0)),3)))</f>
        <v/>
      </c>
      <c r="Y379" s="47" t="n"/>
      <c r="Z379" s="24">
        <f>IF($B379="","",IF($Y379&lt;&gt;"",$Y379-$B379,TODAY()-$B379))</f>
        <v/>
      </c>
      <c r="AA379" s="28">
        <f>IF($B379="","",IF(IFERROR(INDEX(CONFIG!$L$4:$L$63,MATCH($V379,CONFIG!$K$4:$K$63,0)),"NO")="SÍ",IF(OR($Y379="",$X379=""),"Resuelta",IF($Y379&gt;$X379,"Resuelta tarde","Resuelta a tiempo")),IF($X379="","Sin clasificar",IF(TODAY()&gt;$X379,"Vencida",IF(TODAY()&gt;=$X379-1,"Por vencer","En plazo")))))</f>
        <v/>
      </c>
      <c r="AB379" s="50" t="n"/>
      <c r="AC379" s="50" t="n"/>
    </row>
    <row r="380" ht="16" customHeight="1">
      <c r="A380" s="28">
        <f>IF($B380="","","N-"&amp;TEXT(ROW()-3,"0000"))</f>
        <v/>
      </c>
      <c r="B380" s="47" t="n"/>
      <c r="C380" s="48" t="n"/>
      <c r="D380" s="48" t="n"/>
      <c r="E380" s="28">
        <f>IF($C380="","",IF($D380="",IF($C380="Interna","Sin guía (interna)","FALTA GUÍA"),IF(COUNTIFS(ENVIOS!$A$4:$A$3003,$D380)=0,"NO EXISTE",IF(COUNTIFS(ENVIOS!$A$4:$A$3003,$D380)&gt;1,"DUPLICADA","OK"))))</f>
        <v/>
      </c>
      <c r="F380" s="28">
        <f>IF($D380="","",IFERROR(INDEX(ENVIOS!$B$4:$B$3003,MATCH($D380,ENVIOS!$A$4:$A$3003,0)),"—"))</f>
        <v/>
      </c>
      <c r="G380" s="23">
        <f>IF($D380="","",IFERROR(INDEX(ENVIOS!$D$4:$D$3003,MATCH($D380,ENVIOS!$A$4:$A$3003,0)),"—"))</f>
        <v/>
      </c>
      <c r="H380" s="23">
        <f>IF($D380="","",IFERROR(INDEX(ENVIOS!$E$4:$E$3003,MATCH($D380,ENVIOS!$A$4:$A$3003,0)),"—"))</f>
        <v/>
      </c>
      <c r="I380" s="23">
        <f>IF($D380="","",IFERROR(INDEX(ENVIOS!$F$4:$F$3003,MATCH($D380,ENVIOS!$A$4:$A$3003,0)),"—"))</f>
        <v/>
      </c>
      <c r="J380" s="23">
        <f>IF($D380="","",IFERROR(INDEX(ENVIOS!$G$4:$G$3003,MATCH($D380,ENVIOS!$A$4:$A$3003,0)),"—"))</f>
        <v/>
      </c>
      <c r="K380" s="28">
        <f>IF($D380="","",IFERROR(INDEX(ENVIOS!$H$4:$H$3003,MATCH($D380,ENVIOS!$A$4:$A$3003,0)),"—"))</f>
        <v/>
      </c>
      <c r="L380" s="49">
        <f>IF($D380="","",IFERROR(INDEX(ENVIOS!$C$4:$C$3003,MATCH($D380,ENVIOS!$A$4:$A$3003,0)),""))</f>
        <v/>
      </c>
      <c r="M380" s="50" t="n"/>
      <c r="N380" s="28">
        <f>IF($M380="","",IFERROR(INDEX(CONFIG!$C$4:$C$63,MATCH($M380,CONFIG!$A$4:$A$63,0)),"Media"))</f>
        <v/>
      </c>
      <c r="O380" s="28">
        <f>IF($M380="","",IF($C380="Interna","NO",IFERROR(INDEX(CONFIG!$E$4:$E$63,MATCH($M380,CONFIG!$A$4:$A$63,0)),"NO")))</f>
        <v/>
      </c>
      <c r="P380" s="50" t="n"/>
      <c r="Q380" s="50" t="n"/>
      <c r="R380" s="28">
        <f>IF($Q380="","",IFERROR(INDEX(CONFIG!$H$4:$H$63,MATCH($Q380,CONFIG!$G$4:$G$63,0)),"Por definir"))</f>
        <v/>
      </c>
      <c r="S380" s="28">
        <f>IF($Q380="","",IFERROR(INDEX(CONFIG!$I$4:$I$63,MATCH($Q380,CONFIG!$G$4:$G$63,0)),"Por definir"))</f>
        <v/>
      </c>
      <c r="T380" s="51" t="n"/>
      <c r="U380" s="52" t="n"/>
      <c r="V380" s="50" t="n"/>
      <c r="W380" s="50" t="n"/>
      <c r="X380" s="49">
        <f>IF(OR($B380="",$M380=""),"",WORKDAY($B380,IFERROR(INDEX(CONFIG!$D$4:$D$63,MATCH($M380,CONFIG!$A$4:$A$63,0)),3)))</f>
        <v/>
      </c>
      <c r="Y380" s="47" t="n"/>
      <c r="Z380" s="24">
        <f>IF($B380="","",IF($Y380&lt;&gt;"",$Y380-$B380,TODAY()-$B380))</f>
        <v/>
      </c>
      <c r="AA380" s="28">
        <f>IF($B380="","",IF(IFERROR(INDEX(CONFIG!$L$4:$L$63,MATCH($V380,CONFIG!$K$4:$K$63,0)),"NO")="SÍ",IF(OR($Y380="",$X380=""),"Resuelta",IF($Y380&gt;$X380,"Resuelta tarde","Resuelta a tiempo")),IF($X380="","Sin clasificar",IF(TODAY()&gt;$X380,"Vencida",IF(TODAY()&gt;=$X380-1,"Por vencer","En plazo")))))</f>
        <v/>
      </c>
      <c r="AB380" s="50" t="n"/>
      <c r="AC380" s="50" t="n"/>
    </row>
    <row r="381" ht="16" customHeight="1">
      <c r="A381" s="28">
        <f>IF($B381="","","N-"&amp;TEXT(ROW()-3,"0000"))</f>
        <v/>
      </c>
      <c r="B381" s="47" t="n"/>
      <c r="C381" s="48" t="n"/>
      <c r="D381" s="48" t="n"/>
      <c r="E381" s="28">
        <f>IF($C381="","",IF($D381="",IF($C381="Interna","Sin guía (interna)","FALTA GUÍA"),IF(COUNTIFS(ENVIOS!$A$4:$A$3003,$D381)=0,"NO EXISTE",IF(COUNTIFS(ENVIOS!$A$4:$A$3003,$D381)&gt;1,"DUPLICADA","OK"))))</f>
        <v/>
      </c>
      <c r="F381" s="28">
        <f>IF($D381="","",IFERROR(INDEX(ENVIOS!$B$4:$B$3003,MATCH($D381,ENVIOS!$A$4:$A$3003,0)),"—"))</f>
        <v/>
      </c>
      <c r="G381" s="23">
        <f>IF($D381="","",IFERROR(INDEX(ENVIOS!$D$4:$D$3003,MATCH($D381,ENVIOS!$A$4:$A$3003,0)),"—"))</f>
        <v/>
      </c>
      <c r="H381" s="23">
        <f>IF($D381="","",IFERROR(INDEX(ENVIOS!$E$4:$E$3003,MATCH($D381,ENVIOS!$A$4:$A$3003,0)),"—"))</f>
        <v/>
      </c>
      <c r="I381" s="23">
        <f>IF($D381="","",IFERROR(INDEX(ENVIOS!$F$4:$F$3003,MATCH($D381,ENVIOS!$A$4:$A$3003,0)),"—"))</f>
        <v/>
      </c>
      <c r="J381" s="23">
        <f>IF($D381="","",IFERROR(INDEX(ENVIOS!$G$4:$G$3003,MATCH($D381,ENVIOS!$A$4:$A$3003,0)),"—"))</f>
        <v/>
      </c>
      <c r="K381" s="28">
        <f>IF($D381="","",IFERROR(INDEX(ENVIOS!$H$4:$H$3003,MATCH($D381,ENVIOS!$A$4:$A$3003,0)),"—"))</f>
        <v/>
      </c>
      <c r="L381" s="49">
        <f>IF($D381="","",IFERROR(INDEX(ENVIOS!$C$4:$C$3003,MATCH($D381,ENVIOS!$A$4:$A$3003,0)),""))</f>
        <v/>
      </c>
      <c r="M381" s="50" t="n"/>
      <c r="N381" s="28">
        <f>IF($M381="","",IFERROR(INDEX(CONFIG!$C$4:$C$63,MATCH($M381,CONFIG!$A$4:$A$63,0)),"Media"))</f>
        <v/>
      </c>
      <c r="O381" s="28">
        <f>IF($M381="","",IF($C381="Interna","NO",IFERROR(INDEX(CONFIG!$E$4:$E$63,MATCH($M381,CONFIG!$A$4:$A$63,0)),"NO")))</f>
        <v/>
      </c>
      <c r="P381" s="50" t="n"/>
      <c r="Q381" s="50" t="n"/>
      <c r="R381" s="28">
        <f>IF($Q381="","",IFERROR(INDEX(CONFIG!$H$4:$H$63,MATCH($Q381,CONFIG!$G$4:$G$63,0)),"Por definir"))</f>
        <v/>
      </c>
      <c r="S381" s="28">
        <f>IF($Q381="","",IFERROR(INDEX(CONFIG!$I$4:$I$63,MATCH($Q381,CONFIG!$G$4:$G$63,0)),"Por definir"))</f>
        <v/>
      </c>
      <c r="T381" s="51" t="n"/>
      <c r="U381" s="52" t="n"/>
      <c r="V381" s="50" t="n"/>
      <c r="W381" s="50" t="n"/>
      <c r="X381" s="49">
        <f>IF(OR($B381="",$M381=""),"",WORKDAY($B381,IFERROR(INDEX(CONFIG!$D$4:$D$63,MATCH($M381,CONFIG!$A$4:$A$63,0)),3)))</f>
        <v/>
      </c>
      <c r="Y381" s="47" t="n"/>
      <c r="Z381" s="24">
        <f>IF($B381="","",IF($Y381&lt;&gt;"",$Y381-$B381,TODAY()-$B381))</f>
        <v/>
      </c>
      <c r="AA381" s="28">
        <f>IF($B381="","",IF(IFERROR(INDEX(CONFIG!$L$4:$L$63,MATCH($V381,CONFIG!$K$4:$K$63,0)),"NO")="SÍ",IF(OR($Y381="",$X381=""),"Resuelta",IF($Y381&gt;$X381,"Resuelta tarde","Resuelta a tiempo")),IF($X381="","Sin clasificar",IF(TODAY()&gt;$X381,"Vencida",IF(TODAY()&gt;=$X381-1,"Por vencer","En plazo")))))</f>
        <v/>
      </c>
      <c r="AB381" s="50" t="n"/>
      <c r="AC381" s="50" t="n"/>
    </row>
    <row r="382" ht="16" customHeight="1">
      <c r="A382" s="28">
        <f>IF($B382="","","N-"&amp;TEXT(ROW()-3,"0000"))</f>
        <v/>
      </c>
      <c r="B382" s="47" t="n"/>
      <c r="C382" s="48" t="n"/>
      <c r="D382" s="48" t="n"/>
      <c r="E382" s="28">
        <f>IF($C382="","",IF($D382="",IF($C382="Interna","Sin guía (interna)","FALTA GUÍA"),IF(COUNTIFS(ENVIOS!$A$4:$A$3003,$D382)=0,"NO EXISTE",IF(COUNTIFS(ENVIOS!$A$4:$A$3003,$D382)&gt;1,"DUPLICADA","OK"))))</f>
        <v/>
      </c>
      <c r="F382" s="28">
        <f>IF($D382="","",IFERROR(INDEX(ENVIOS!$B$4:$B$3003,MATCH($D382,ENVIOS!$A$4:$A$3003,0)),"—"))</f>
        <v/>
      </c>
      <c r="G382" s="23">
        <f>IF($D382="","",IFERROR(INDEX(ENVIOS!$D$4:$D$3003,MATCH($D382,ENVIOS!$A$4:$A$3003,0)),"—"))</f>
        <v/>
      </c>
      <c r="H382" s="23">
        <f>IF($D382="","",IFERROR(INDEX(ENVIOS!$E$4:$E$3003,MATCH($D382,ENVIOS!$A$4:$A$3003,0)),"—"))</f>
        <v/>
      </c>
      <c r="I382" s="23">
        <f>IF($D382="","",IFERROR(INDEX(ENVIOS!$F$4:$F$3003,MATCH($D382,ENVIOS!$A$4:$A$3003,0)),"—"))</f>
        <v/>
      </c>
      <c r="J382" s="23">
        <f>IF($D382="","",IFERROR(INDEX(ENVIOS!$G$4:$G$3003,MATCH($D382,ENVIOS!$A$4:$A$3003,0)),"—"))</f>
        <v/>
      </c>
      <c r="K382" s="28">
        <f>IF($D382="","",IFERROR(INDEX(ENVIOS!$H$4:$H$3003,MATCH($D382,ENVIOS!$A$4:$A$3003,0)),"—"))</f>
        <v/>
      </c>
      <c r="L382" s="49">
        <f>IF($D382="","",IFERROR(INDEX(ENVIOS!$C$4:$C$3003,MATCH($D382,ENVIOS!$A$4:$A$3003,0)),""))</f>
        <v/>
      </c>
      <c r="M382" s="50" t="n"/>
      <c r="N382" s="28">
        <f>IF($M382="","",IFERROR(INDEX(CONFIG!$C$4:$C$63,MATCH($M382,CONFIG!$A$4:$A$63,0)),"Media"))</f>
        <v/>
      </c>
      <c r="O382" s="28">
        <f>IF($M382="","",IF($C382="Interna","NO",IFERROR(INDEX(CONFIG!$E$4:$E$63,MATCH($M382,CONFIG!$A$4:$A$63,0)),"NO")))</f>
        <v/>
      </c>
      <c r="P382" s="50" t="n"/>
      <c r="Q382" s="50" t="n"/>
      <c r="R382" s="28">
        <f>IF($Q382="","",IFERROR(INDEX(CONFIG!$H$4:$H$63,MATCH($Q382,CONFIG!$G$4:$G$63,0)),"Por definir"))</f>
        <v/>
      </c>
      <c r="S382" s="28">
        <f>IF($Q382="","",IFERROR(INDEX(CONFIG!$I$4:$I$63,MATCH($Q382,CONFIG!$G$4:$G$63,0)),"Por definir"))</f>
        <v/>
      </c>
      <c r="T382" s="51" t="n"/>
      <c r="U382" s="52" t="n"/>
      <c r="V382" s="50" t="n"/>
      <c r="W382" s="50" t="n"/>
      <c r="X382" s="49">
        <f>IF(OR($B382="",$M382=""),"",WORKDAY($B382,IFERROR(INDEX(CONFIG!$D$4:$D$63,MATCH($M382,CONFIG!$A$4:$A$63,0)),3)))</f>
        <v/>
      </c>
      <c r="Y382" s="47" t="n"/>
      <c r="Z382" s="24">
        <f>IF($B382="","",IF($Y382&lt;&gt;"",$Y382-$B382,TODAY()-$B382))</f>
        <v/>
      </c>
      <c r="AA382" s="28">
        <f>IF($B382="","",IF(IFERROR(INDEX(CONFIG!$L$4:$L$63,MATCH($V382,CONFIG!$K$4:$K$63,0)),"NO")="SÍ",IF(OR($Y382="",$X382=""),"Resuelta",IF($Y382&gt;$X382,"Resuelta tarde","Resuelta a tiempo")),IF($X382="","Sin clasificar",IF(TODAY()&gt;$X382,"Vencida",IF(TODAY()&gt;=$X382-1,"Por vencer","En plazo")))))</f>
        <v/>
      </c>
      <c r="AB382" s="50" t="n"/>
      <c r="AC382" s="50" t="n"/>
    </row>
    <row r="383" ht="16" customHeight="1">
      <c r="A383" s="28">
        <f>IF($B383="","","N-"&amp;TEXT(ROW()-3,"0000"))</f>
        <v/>
      </c>
      <c r="B383" s="47" t="n"/>
      <c r="C383" s="48" t="n"/>
      <c r="D383" s="48" t="n"/>
      <c r="E383" s="28">
        <f>IF($C383="","",IF($D383="",IF($C383="Interna","Sin guía (interna)","FALTA GUÍA"),IF(COUNTIFS(ENVIOS!$A$4:$A$3003,$D383)=0,"NO EXISTE",IF(COUNTIFS(ENVIOS!$A$4:$A$3003,$D383)&gt;1,"DUPLICADA","OK"))))</f>
        <v/>
      </c>
      <c r="F383" s="28">
        <f>IF($D383="","",IFERROR(INDEX(ENVIOS!$B$4:$B$3003,MATCH($D383,ENVIOS!$A$4:$A$3003,0)),"—"))</f>
        <v/>
      </c>
      <c r="G383" s="23">
        <f>IF($D383="","",IFERROR(INDEX(ENVIOS!$D$4:$D$3003,MATCH($D383,ENVIOS!$A$4:$A$3003,0)),"—"))</f>
        <v/>
      </c>
      <c r="H383" s="23">
        <f>IF($D383="","",IFERROR(INDEX(ENVIOS!$E$4:$E$3003,MATCH($D383,ENVIOS!$A$4:$A$3003,0)),"—"))</f>
        <v/>
      </c>
      <c r="I383" s="23">
        <f>IF($D383="","",IFERROR(INDEX(ENVIOS!$F$4:$F$3003,MATCH($D383,ENVIOS!$A$4:$A$3003,0)),"—"))</f>
        <v/>
      </c>
      <c r="J383" s="23">
        <f>IF($D383="","",IFERROR(INDEX(ENVIOS!$G$4:$G$3003,MATCH($D383,ENVIOS!$A$4:$A$3003,0)),"—"))</f>
        <v/>
      </c>
      <c r="K383" s="28">
        <f>IF($D383="","",IFERROR(INDEX(ENVIOS!$H$4:$H$3003,MATCH($D383,ENVIOS!$A$4:$A$3003,0)),"—"))</f>
        <v/>
      </c>
      <c r="L383" s="49">
        <f>IF($D383="","",IFERROR(INDEX(ENVIOS!$C$4:$C$3003,MATCH($D383,ENVIOS!$A$4:$A$3003,0)),""))</f>
        <v/>
      </c>
      <c r="M383" s="50" t="n"/>
      <c r="N383" s="28">
        <f>IF($M383="","",IFERROR(INDEX(CONFIG!$C$4:$C$63,MATCH($M383,CONFIG!$A$4:$A$63,0)),"Media"))</f>
        <v/>
      </c>
      <c r="O383" s="28">
        <f>IF($M383="","",IF($C383="Interna","NO",IFERROR(INDEX(CONFIG!$E$4:$E$63,MATCH($M383,CONFIG!$A$4:$A$63,0)),"NO")))</f>
        <v/>
      </c>
      <c r="P383" s="50" t="n"/>
      <c r="Q383" s="50" t="n"/>
      <c r="R383" s="28">
        <f>IF($Q383="","",IFERROR(INDEX(CONFIG!$H$4:$H$63,MATCH($Q383,CONFIG!$G$4:$G$63,0)),"Por definir"))</f>
        <v/>
      </c>
      <c r="S383" s="28">
        <f>IF($Q383="","",IFERROR(INDEX(CONFIG!$I$4:$I$63,MATCH($Q383,CONFIG!$G$4:$G$63,0)),"Por definir"))</f>
        <v/>
      </c>
      <c r="T383" s="51" t="n"/>
      <c r="U383" s="52" t="n"/>
      <c r="V383" s="50" t="n"/>
      <c r="W383" s="50" t="n"/>
      <c r="X383" s="49">
        <f>IF(OR($B383="",$M383=""),"",WORKDAY($B383,IFERROR(INDEX(CONFIG!$D$4:$D$63,MATCH($M383,CONFIG!$A$4:$A$63,0)),3)))</f>
        <v/>
      </c>
      <c r="Y383" s="47" t="n"/>
      <c r="Z383" s="24">
        <f>IF($B383="","",IF($Y383&lt;&gt;"",$Y383-$B383,TODAY()-$B383))</f>
        <v/>
      </c>
      <c r="AA383" s="28">
        <f>IF($B383="","",IF(IFERROR(INDEX(CONFIG!$L$4:$L$63,MATCH($V383,CONFIG!$K$4:$K$63,0)),"NO")="SÍ",IF(OR($Y383="",$X383=""),"Resuelta",IF($Y383&gt;$X383,"Resuelta tarde","Resuelta a tiempo")),IF($X383="","Sin clasificar",IF(TODAY()&gt;$X383,"Vencida",IF(TODAY()&gt;=$X383-1,"Por vencer","En plazo")))))</f>
        <v/>
      </c>
      <c r="AB383" s="50" t="n"/>
      <c r="AC383" s="50" t="n"/>
    </row>
    <row r="384" ht="16" customHeight="1">
      <c r="A384" s="28">
        <f>IF($B384="","","N-"&amp;TEXT(ROW()-3,"0000"))</f>
        <v/>
      </c>
      <c r="B384" s="47" t="n"/>
      <c r="C384" s="48" t="n"/>
      <c r="D384" s="48" t="n"/>
      <c r="E384" s="28">
        <f>IF($C384="","",IF($D384="",IF($C384="Interna","Sin guía (interna)","FALTA GUÍA"),IF(COUNTIFS(ENVIOS!$A$4:$A$3003,$D384)=0,"NO EXISTE",IF(COUNTIFS(ENVIOS!$A$4:$A$3003,$D384)&gt;1,"DUPLICADA","OK"))))</f>
        <v/>
      </c>
      <c r="F384" s="28">
        <f>IF($D384="","",IFERROR(INDEX(ENVIOS!$B$4:$B$3003,MATCH($D384,ENVIOS!$A$4:$A$3003,0)),"—"))</f>
        <v/>
      </c>
      <c r="G384" s="23">
        <f>IF($D384="","",IFERROR(INDEX(ENVIOS!$D$4:$D$3003,MATCH($D384,ENVIOS!$A$4:$A$3003,0)),"—"))</f>
        <v/>
      </c>
      <c r="H384" s="23">
        <f>IF($D384="","",IFERROR(INDEX(ENVIOS!$E$4:$E$3003,MATCH($D384,ENVIOS!$A$4:$A$3003,0)),"—"))</f>
        <v/>
      </c>
      <c r="I384" s="23">
        <f>IF($D384="","",IFERROR(INDEX(ENVIOS!$F$4:$F$3003,MATCH($D384,ENVIOS!$A$4:$A$3003,0)),"—"))</f>
        <v/>
      </c>
      <c r="J384" s="23">
        <f>IF($D384="","",IFERROR(INDEX(ENVIOS!$G$4:$G$3003,MATCH($D384,ENVIOS!$A$4:$A$3003,0)),"—"))</f>
        <v/>
      </c>
      <c r="K384" s="28">
        <f>IF($D384="","",IFERROR(INDEX(ENVIOS!$H$4:$H$3003,MATCH($D384,ENVIOS!$A$4:$A$3003,0)),"—"))</f>
        <v/>
      </c>
      <c r="L384" s="49">
        <f>IF($D384="","",IFERROR(INDEX(ENVIOS!$C$4:$C$3003,MATCH($D384,ENVIOS!$A$4:$A$3003,0)),""))</f>
        <v/>
      </c>
      <c r="M384" s="50" t="n"/>
      <c r="N384" s="28">
        <f>IF($M384="","",IFERROR(INDEX(CONFIG!$C$4:$C$63,MATCH($M384,CONFIG!$A$4:$A$63,0)),"Media"))</f>
        <v/>
      </c>
      <c r="O384" s="28">
        <f>IF($M384="","",IF($C384="Interna","NO",IFERROR(INDEX(CONFIG!$E$4:$E$63,MATCH($M384,CONFIG!$A$4:$A$63,0)),"NO")))</f>
        <v/>
      </c>
      <c r="P384" s="50" t="n"/>
      <c r="Q384" s="50" t="n"/>
      <c r="R384" s="28">
        <f>IF($Q384="","",IFERROR(INDEX(CONFIG!$H$4:$H$63,MATCH($Q384,CONFIG!$G$4:$G$63,0)),"Por definir"))</f>
        <v/>
      </c>
      <c r="S384" s="28">
        <f>IF($Q384="","",IFERROR(INDEX(CONFIG!$I$4:$I$63,MATCH($Q384,CONFIG!$G$4:$G$63,0)),"Por definir"))</f>
        <v/>
      </c>
      <c r="T384" s="51" t="n"/>
      <c r="U384" s="52" t="n"/>
      <c r="V384" s="50" t="n"/>
      <c r="W384" s="50" t="n"/>
      <c r="X384" s="49">
        <f>IF(OR($B384="",$M384=""),"",WORKDAY($B384,IFERROR(INDEX(CONFIG!$D$4:$D$63,MATCH($M384,CONFIG!$A$4:$A$63,0)),3)))</f>
        <v/>
      </c>
      <c r="Y384" s="47" t="n"/>
      <c r="Z384" s="24">
        <f>IF($B384="","",IF($Y384&lt;&gt;"",$Y384-$B384,TODAY()-$B384))</f>
        <v/>
      </c>
      <c r="AA384" s="28">
        <f>IF($B384="","",IF(IFERROR(INDEX(CONFIG!$L$4:$L$63,MATCH($V384,CONFIG!$K$4:$K$63,0)),"NO")="SÍ",IF(OR($Y384="",$X384=""),"Resuelta",IF($Y384&gt;$X384,"Resuelta tarde","Resuelta a tiempo")),IF($X384="","Sin clasificar",IF(TODAY()&gt;$X384,"Vencida",IF(TODAY()&gt;=$X384-1,"Por vencer","En plazo")))))</f>
        <v/>
      </c>
      <c r="AB384" s="50" t="n"/>
      <c r="AC384" s="50" t="n"/>
    </row>
    <row r="385" ht="16" customHeight="1">
      <c r="A385" s="28">
        <f>IF($B385="","","N-"&amp;TEXT(ROW()-3,"0000"))</f>
        <v/>
      </c>
      <c r="B385" s="47" t="n"/>
      <c r="C385" s="48" t="n"/>
      <c r="D385" s="48" t="n"/>
      <c r="E385" s="28">
        <f>IF($C385="","",IF($D385="",IF($C385="Interna","Sin guía (interna)","FALTA GUÍA"),IF(COUNTIFS(ENVIOS!$A$4:$A$3003,$D385)=0,"NO EXISTE",IF(COUNTIFS(ENVIOS!$A$4:$A$3003,$D385)&gt;1,"DUPLICADA","OK"))))</f>
        <v/>
      </c>
      <c r="F385" s="28">
        <f>IF($D385="","",IFERROR(INDEX(ENVIOS!$B$4:$B$3003,MATCH($D385,ENVIOS!$A$4:$A$3003,0)),"—"))</f>
        <v/>
      </c>
      <c r="G385" s="23">
        <f>IF($D385="","",IFERROR(INDEX(ENVIOS!$D$4:$D$3003,MATCH($D385,ENVIOS!$A$4:$A$3003,0)),"—"))</f>
        <v/>
      </c>
      <c r="H385" s="23">
        <f>IF($D385="","",IFERROR(INDEX(ENVIOS!$E$4:$E$3003,MATCH($D385,ENVIOS!$A$4:$A$3003,0)),"—"))</f>
        <v/>
      </c>
      <c r="I385" s="23">
        <f>IF($D385="","",IFERROR(INDEX(ENVIOS!$F$4:$F$3003,MATCH($D385,ENVIOS!$A$4:$A$3003,0)),"—"))</f>
        <v/>
      </c>
      <c r="J385" s="23">
        <f>IF($D385="","",IFERROR(INDEX(ENVIOS!$G$4:$G$3003,MATCH($D385,ENVIOS!$A$4:$A$3003,0)),"—"))</f>
        <v/>
      </c>
      <c r="K385" s="28">
        <f>IF($D385="","",IFERROR(INDEX(ENVIOS!$H$4:$H$3003,MATCH($D385,ENVIOS!$A$4:$A$3003,0)),"—"))</f>
        <v/>
      </c>
      <c r="L385" s="49">
        <f>IF($D385="","",IFERROR(INDEX(ENVIOS!$C$4:$C$3003,MATCH($D385,ENVIOS!$A$4:$A$3003,0)),""))</f>
        <v/>
      </c>
      <c r="M385" s="50" t="n"/>
      <c r="N385" s="28">
        <f>IF($M385="","",IFERROR(INDEX(CONFIG!$C$4:$C$63,MATCH($M385,CONFIG!$A$4:$A$63,0)),"Media"))</f>
        <v/>
      </c>
      <c r="O385" s="28">
        <f>IF($M385="","",IF($C385="Interna","NO",IFERROR(INDEX(CONFIG!$E$4:$E$63,MATCH($M385,CONFIG!$A$4:$A$63,0)),"NO")))</f>
        <v/>
      </c>
      <c r="P385" s="50" t="n"/>
      <c r="Q385" s="50" t="n"/>
      <c r="R385" s="28">
        <f>IF($Q385="","",IFERROR(INDEX(CONFIG!$H$4:$H$63,MATCH($Q385,CONFIG!$G$4:$G$63,0)),"Por definir"))</f>
        <v/>
      </c>
      <c r="S385" s="28">
        <f>IF($Q385="","",IFERROR(INDEX(CONFIG!$I$4:$I$63,MATCH($Q385,CONFIG!$G$4:$G$63,0)),"Por definir"))</f>
        <v/>
      </c>
      <c r="T385" s="51" t="n"/>
      <c r="U385" s="52" t="n"/>
      <c r="V385" s="50" t="n"/>
      <c r="W385" s="50" t="n"/>
      <c r="X385" s="49">
        <f>IF(OR($B385="",$M385=""),"",WORKDAY($B385,IFERROR(INDEX(CONFIG!$D$4:$D$63,MATCH($M385,CONFIG!$A$4:$A$63,0)),3)))</f>
        <v/>
      </c>
      <c r="Y385" s="47" t="n"/>
      <c r="Z385" s="24">
        <f>IF($B385="","",IF($Y385&lt;&gt;"",$Y385-$B385,TODAY()-$B385))</f>
        <v/>
      </c>
      <c r="AA385" s="28">
        <f>IF($B385="","",IF(IFERROR(INDEX(CONFIG!$L$4:$L$63,MATCH($V385,CONFIG!$K$4:$K$63,0)),"NO")="SÍ",IF(OR($Y385="",$X385=""),"Resuelta",IF($Y385&gt;$X385,"Resuelta tarde","Resuelta a tiempo")),IF($X385="","Sin clasificar",IF(TODAY()&gt;$X385,"Vencida",IF(TODAY()&gt;=$X385-1,"Por vencer","En plazo")))))</f>
        <v/>
      </c>
      <c r="AB385" s="50" t="n"/>
      <c r="AC385" s="50" t="n"/>
    </row>
    <row r="386" ht="16" customHeight="1">
      <c r="A386" s="28">
        <f>IF($B386="","","N-"&amp;TEXT(ROW()-3,"0000"))</f>
        <v/>
      </c>
      <c r="B386" s="47" t="n"/>
      <c r="C386" s="48" t="n"/>
      <c r="D386" s="48" t="n"/>
      <c r="E386" s="28">
        <f>IF($C386="","",IF($D386="",IF($C386="Interna","Sin guía (interna)","FALTA GUÍA"),IF(COUNTIFS(ENVIOS!$A$4:$A$3003,$D386)=0,"NO EXISTE",IF(COUNTIFS(ENVIOS!$A$4:$A$3003,$D386)&gt;1,"DUPLICADA","OK"))))</f>
        <v/>
      </c>
      <c r="F386" s="28">
        <f>IF($D386="","",IFERROR(INDEX(ENVIOS!$B$4:$B$3003,MATCH($D386,ENVIOS!$A$4:$A$3003,0)),"—"))</f>
        <v/>
      </c>
      <c r="G386" s="23">
        <f>IF($D386="","",IFERROR(INDEX(ENVIOS!$D$4:$D$3003,MATCH($D386,ENVIOS!$A$4:$A$3003,0)),"—"))</f>
        <v/>
      </c>
      <c r="H386" s="23">
        <f>IF($D386="","",IFERROR(INDEX(ENVIOS!$E$4:$E$3003,MATCH($D386,ENVIOS!$A$4:$A$3003,0)),"—"))</f>
        <v/>
      </c>
      <c r="I386" s="23">
        <f>IF($D386="","",IFERROR(INDEX(ENVIOS!$F$4:$F$3003,MATCH($D386,ENVIOS!$A$4:$A$3003,0)),"—"))</f>
        <v/>
      </c>
      <c r="J386" s="23">
        <f>IF($D386="","",IFERROR(INDEX(ENVIOS!$G$4:$G$3003,MATCH($D386,ENVIOS!$A$4:$A$3003,0)),"—"))</f>
        <v/>
      </c>
      <c r="K386" s="28">
        <f>IF($D386="","",IFERROR(INDEX(ENVIOS!$H$4:$H$3003,MATCH($D386,ENVIOS!$A$4:$A$3003,0)),"—"))</f>
        <v/>
      </c>
      <c r="L386" s="49">
        <f>IF($D386="","",IFERROR(INDEX(ENVIOS!$C$4:$C$3003,MATCH($D386,ENVIOS!$A$4:$A$3003,0)),""))</f>
        <v/>
      </c>
      <c r="M386" s="50" t="n"/>
      <c r="N386" s="28">
        <f>IF($M386="","",IFERROR(INDEX(CONFIG!$C$4:$C$63,MATCH($M386,CONFIG!$A$4:$A$63,0)),"Media"))</f>
        <v/>
      </c>
      <c r="O386" s="28">
        <f>IF($M386="","",IF($C386="Interna","NO",IFERROR(INDEX(CONFIG!$E$4:$E$63,MATCH($M386,CONFIG!$A$4:$A$63,0)),"NO")))</f>
        <v/>
      </c>
      <c r="P386" s="50" t="n"/>
      <c r="Q386" s="50" t="n"/>
      <c r="R386" s="28">
        <f>IF($Q386="","",IFERROR(INDEX(CONFIG!$H$4:$H$63,MATCH($Q386,CONFIG!$G$4:$G$63,0)),"Por definir"))</f>
        <v/>
      </c>
      <c r="S386" s="28">
        <f>IF($Q386="","",IFERROR(INDEX(CONFIG!$I$4:$I$63,MATCH($Q386,CONFIG!$G$4:$G$63,0)),"Por definir"))</f>
        <v/>
      </c>
      <c r="T386" s="51" t="n"/>
      <c r="U386" s="52" t="n"/>
      <c r="V386" s="50" t="n"/>
      <c r="W386" s="50" t="n"/>
      <c r="X386" s="49">
        <f>IF(OR($B386="",$M386=""),"",WORKDAY($B386,IFERROR(INDEX(CONFIG!$D$4:$D$63,MATCH($M386,CONFIG!$A$4:$A$63,0)),3)))</f>
        <v/>
      </c>
      <c r="Y386" s="47" t="n"/>
      <c r="Z386" s="24">
        <f>IF($B386="","",IF($Y386&lt;&gt;"",$Y386-$B386,TODAY()-$B386))</f>
        <v/>
      </c>
      <c r="AA386" s="28">
        <f>IF($B386="","",IF(IFERROR(INDEX(CONFIG!$L$4:$L$63,MATCH($V386,CONFIG!$K$4:$K$63,0)),"NO")="SÍ",IF(OR($Y386="",$X386=""),"Resuelta",IF($Y386&gt;$X386,"Resuelta tarde","Resuelta a tiempo")),IF($X386="","Sin clasificar",IF(TODAY()&gt;$X386,"Vencida",IF(TODAY()&gt;=$X386-1,"Por vencer","En plazo")))))</f>
        <v/>
      </c>
      <c r="AB386" s="50" t="n"/>
      <c r="AC386" s="50" t="n"/>
    </row>
    <row r="387" ht="16" customHeight="1">
      <c r="A387" s="28">
        <f>IF($B387="","","N-"&amp;TEXT(ROW()-3,"0000"))</f>
        <v/>
      </c>
      <c r="B387" s="47" t="n"/>
      <c r="C387" s="48" t="n"/>
      <c r="D387" s="48" t="n"/>
      <c r="E387" s="28">
        <f>IF($C387="","",IF($D387="",IF($C387="Interna","Sin guía (interna)","FALTA GUÍA"),IF(COUNTIFS(ENVIOS!$A$4:$A$3003,$D387)=0,"NO EXISTE",IF(COUNTIFS(ENVIOS!$A$4:$A$3003,$D387)&gt;1,"DUPLICADA","OK"))))</f>
        <v/>
      </c>
      <c r="F387" s="28">
        <f>IF($D387="","",IFERROR(INDEX(ENVIOS!$B$4:$B$3003,MATCH($D387,ENVIOS!$A$4:$A$3003,0)),"—"))</f>
        <v/>
      </c>
      <c r="G387" s="23">
        <f>IF($D387="","",IFERROR(INDEX(ENVIOS!$D$4:$D$3003,MATCH($D387,ENVIOS!$A$4:$A$3003,0)),"—"))</f>
        <v/>
      </c>
      <c r="H387" s="23">
        <f>IF($D387="","",IFERROR(INDEX(ENVIOS!$E$4:$E$3003,MATCH($D387,ENVIOS!$A$4:$A$3003,0)),"—"))</f>
        <v/>
      </c>
      <c r="I387" s="23">
        <f>IF($D387="","",IFERROR(INDEX(ENVIOS!$F$4:$F$3003,MATCH($D387,ENVIOS!$A$4:$A$3003,0)),"—"))</f>
        <v/>
      </c>
      <c r="J387" s="23">
        <f>IF($D387="","",IFERROR(INDEX(ENVIOS!$G$4:$G$3003,MATCH($D387,ENVIOS!$A$4:$A$3003,0)),"—"))</f>
        <v/>
      </c>
      <c r="K387" s="28">
        <f>IF($D387="","",IFERROR(INDEX(ENVIOS!$H$4:$H$3003,MATCH($D387,ENVIOS!$A$4:$A$3003,0)),"—"))</f>
        <v/>
      </c>
      <c r="L387" s="49">
        <f>IF($D387="","",IFERROR(INDEX(ENVIOS!$C$4:$C$3003,MATCH($D387,ENVIOS!$A$4:$A$3003,0)),""))</f>
        <v/>
      </c>
      <c r="M387" s="50" t="n"/>
      <c r="N387" s="28">
        <f>IF($M387="","",IFERROR(INDEX(CONFIG!$C$4:$C$63,MATCH($M387,CONFIG!$A$4:$A$63,0)),"Media"))</f>
        <v/>
      </c>
      <c r="O387" s="28">
        <f>IF($M387="","",IF($C387="Interna","NO",IFERROR(INDEX(CONFIG!$E$4:$E$63,MATCH($M387,CONFIG!$A$4:$A$63,0)),"NO")))</f>
        <v/>
      </c>
      <c r="P387" s="50" t="n"/>
      <c r="Q387" s="50" t="n"/>
      <c r="R387" s="28">
        <f>IF($Q387="","",IFERROR(INDEX(CONFIG!$H$4:$H$63,MATCH($Q387,CONFIG!$G$4:$G$63,0)),"Por definir"))</f>
        <v/>
      </c>
      <c r="S387" s="28">
        <f>IF($Q387="","",IFERROR(INDEX(CONFIG!$I$4:$I$63,MATCH($Q387,CONFIG!$G$4:$G$63,0)),"Por definir"))</f>
        <v/>
      </c>
      <c r="T387" s="51" t="n"/>
      <c r="U387" s="52" t="n"/>
      <c r="V387" s="50" t="n"/>
      <c r="W387" s="50" t="n"/>
      <c r="X387" s="49">
        <f>IF(OR($B387="",$M387=""),"",WORKDAY($B387,IFERROR(INDEX(CONFIG!$D$4:$D$63,MATCH($M387,CONFIG!$A$4:$A$63,0)),3)))</f>
        <v/>
      </c>
      <c r="Y387" s="47" t="n"/>
      <c r="Z387" s="24">
        <f>IF($B387="","",IF($Y387&lt;&gt;"",$Y387-$B387,TODAY()-$B387))</f>
        <v/>
      </c>
      <c r="AA387" s="28">
        <f>IF($B387="","",IF(IFERROR(INDEX(CONFIG!$L$4:$L$63,MATCH($V387,CONFIG!$K$4:$K$63,0)),"NO")="SÍ",IF(OR($Y387="",$X387=""),"Resuelta",IF($Y387&gt;$X387,"Resuelta tarde","Resuelta a tiempo")),IF($X387="","Sin clasificar",IF(TODAY()&gt;$X387,"Vencida",IF(TODAY()&gt;=$X387-1,"Por vencer","En plazo")))))</f>
        <v/>
      </c>
      <c r="AB387" s="50" t="n"/>
      <c r="AC387" s="50" t="n"/>
    </row>
    <row r="388" ht="16" customHeight="1">
      <c r="A388" s="28">
        <f>IF($B388="","","N-"&amp;TEXT(ROW()-3,"0000"))</f>
        <v/>
      </c>
      <c r="B388" s="47" t="n"/>
      <c r="C388" s="48" t="n"/>
      <c r="D388" s="48" t="n"/>
      <c r="E388" s="28">
        <f>IF($C388="","",IF($D388="",IF($C388="Interna","Sin guía (interna)","FALTA GUÍA"),IF(COUNTIFS(ENVIOS!$A$4:$A$3003,$D388)=0,"NO EXISTE",IF(COUNTIFS(ENVIOS!$A$4:$A$3003,$D388)&gt;1,"DUPLICADA","OK"))))</f>
        <v/>
      </c>
      <c r="F388" s="28">
        <f>IF($D388="","",IFERROR(INDEX(ENVIOS!$B$4:$B$3003,MATCH($D388,ENVIOS!$A$4:$A$3003,0)),"—"))</f>
        <v/>
      </c>
      <c r="G388" s="23">
        <f>IF($D388="","",IFERROR(INDEX(ENVIOS!$D$4:$D$3003,MATCH($D388,ENVIOS!$A$4:$A$3003,0)),"—"))</f>
        <v/>
      </c>
      <c r="H388" s="23">
        <f>IF($D388="","",IFERROR(INDEX(ENVIOS!$E$4:$E$3003,MATCH($D388,ENVIOS!$A$4:$A$3003,0)),"—"))</f>
        <v/>
      </c>
      <c r="I388" s="23">
        <f>IF($D388="","",IFERROR(INDEX(ENVIOS!$F$4:$F$3003,MATCH($D388,ENVIOS!$A$4:$A$3003,0)),"—"))</f>
        <v/>
      </c>
      <c r="J388" s="23">
        <f>IF($D388="","",IFERROR(INDEX(ENVIOS!$G$4:$G$3003,MATCH($D388,ENVIOS!$A$4:$A$3003,0)),"—"))</f>
        <v/>
      </c>
      <c r="K388" s="28">
        <f>IF($D388="","",IFERROR(INDEX(ENVIOS!$H$4:$H$3003,MATCH($D388,ENVIOS!$A$4:$A$3003,0)),"—"))</f>
        <v/>
      </c>
      <c r="L388" s="49">
        <f>IF($D388="","",IFERROR(INDEX(ENVIOS!$C$4:$C$3003,MATCH($D388,ENVIOS!$A$4:$A$3003,0)),""))</f>
        <v/>
      </c>
      <c r="M388" s="50" t="n"/>
      <c r="N388" s="28">
        <f>IF($M388="","",IFERROR(INDEX(CONFIG!$C$4:$C$63,MATCH($M388,CONFIG!$A$4:$A$63,0)),"Media"))</f>
        <v/>
      </c>
      <c r="O388" s="28">
        <f>IF($M388="","",IF($C388="Interna","NO",IFERROR(INDEX(CONFIG!$E$4:$E$63,MATCH($M388,CONFIG!$A$4:$A$63,0)),"NO")))</f>
        <v/>
      </c>
      <c r="P388" s="50" t="n"/>
      <c r="Q388" s="50" t="n"/>
      <c r="R388" s="28">
        <f>IF($Q388="","",IFERROR(INDEX(CONFIG!$H$4:$H$63,MATCH($Q388,CONFIG!$G$4:$G$63,0)),"Por definir"))</f>
        <v/>
      </c>
      <c r="S388" s="28">
        <f>IF($Q388="","",IFERROR(INDEX(CONFIG!$I$4:$I$63,MATCH($Q388,CONFIG!$G$4:$G$63,0)),"Por definir"))</f>
        <v/>
      </c>
      <c r="T388" s="51" t="n"/>
      <c r="U388" s="52" t="n"/>
      <c r="V388" s="50" t="n"/>
      <c r="W388" s="50" t="n"/>
      <c r="X388" s="49">
        <f>IF(OR($B388="",$M388=""),"",WORKDAY($B388,IFERROR(INDEX(CONFIG!$D$4:$D$63,MATCH($M388,CONFIG!$A$4:$A$63,0)),3)))</f>
        <v/>
      </c>
      <c r="Y388" s="47" t="n"/>
      <c r="Z388" s="24">
        <f>IF($B388="","",IF($Y388&lt;&gt;"",$Y388-$B388,TODAY()-$B388))</f>
        <v/>
      </c>
      <c r="AA388" s="28">
        <f>IF($B388="","",IF(IFERROR(INDEX(CONFIG!$L$4:$L$63,MATCH($V388,CONFIG!$K$4:$K$63,0)),"NO")="SÍ",IF(OR($Y388="",$X388=""),"Resuelta",IF($Y388&gt;$X388,"Resuelta tarde","Resuelta a tiempo")),IF($X388="","Sin clasificar",IF(TODAY()&gt;$X388,"Vencida",IF(TODAY()&gt;=$X388-1,"Por vencer","En plazo")))))</f>
        <v/>
      </c>
      <c r="AB388" s="50" t="n"/>
      <c r="AC388" s="50" t="n"/>
    </row>
    <row r="389" ht="16" customHeight="1">
      <c r="A389" s="28">
        <f>IF($B389="","","N-"&amp;TEXT(ROW()-3,"0000"))</f>
        <v/>
      </c>
      <c r="B389" s="47" t="n"/>
      <c r="C389" s="48" t="n"/>
      <c r="D389" s="48" t="n"/>
      <c r="E389" s="28">
        <f>IF($C389="","",IF($D389="",IF($C389="Interna","Sin guía (interna)","FALTA GUÍA"),IF(COUNTIFS(ENVIOS!$A$4:$A$3003,$D389)=0,"NO EXISTE",IF(COUNTIFS(ENVIOS!$A$4:$A$3003,$D389)&gt;1,"DUPLICADA","OK"))))</f>
        <v/>
      </c>
      <c r="F389" s="28">
        <f>IF($D389="","",IFERROR(INDEX(ENVIOS!$B$4:$B$3003,MATCH($D389,ENVIOS!$A$4:$A$3003,0)),"—"))</f>
        <v/>
      </c>
      <c r="G389" s="23">
        <f>IF($D389="","",IFERROR(INDEX(ENVIOS!$D$4:$D$3003,MATCH($D389,ENVIOS!$A$4:$A$3003,0)),"—"))</f>
        <v/>
      </c>
      <c r="H389" s="23">
        <f>IF($D389="","",IFERROR(INDEX(ENVIOS!$E$4:$E$3003,MATCH($D389,ENVIOS!$A$4:$A$3003,0)),"—"))</f>
        <v/>
      </c>
      <c r="I389" s="23">
        <f>IF($D389="","",IFERROR(INDEX(ENVIOS!$F$4:$F$3003,MATCH($D389,ENVIOS!$A$4:$A$3003,0)),"—"))</f>
        <v/>
      </c>
      <c r="J389" s="23">
        <f>IF($D389="","",IFERROR(INDEX(ENVIOS!$G$4:$G$3003,MATCH($D389,ENVIOS!$A$4:$A$3003,0)),"—"))</f>
        <v/>
      </c>
      <c r="K389" s="28">
        <f>IF($D389="","",IFERROR(INDEX(ENVIOS!$H$4:$H$3003,MATCH($D389,ENVIOS!$A$4:$A$3003,0)),"—"))</f>
        <v/>
      </c>
      <c r="L389" s="49">
        <f>IF($D389="","",IFERROR(INDEX(ENVIOS!$C$4:$C$3003,MATCH($D389,ENVIOS!$A$4:$A$3003,0)),""))</f>
        <v/>
      </c>
      <c r="M389" s="50" t="n"/>
      <c r="N389" s="28">
        <f>IF($M389="","",IFERROR(INDEX(CONFIG!$C$4:$C$63,MATCH($M389,CONFIG!$A$4:$A$63,0)),"Media"))</f>
        <v/>
      </c>
      <c r="O389" s="28">
        <f>IF($M389="","",IF($C389="Interna","NO",IFERROR(INDEX(CONFIG!$E$4:$E$63,MATCH($M389,CONFIG!$A$4:$A$63,0)),"NO")))</f>
        <v/>
      </c>
      <c r="P389" s="50" t="n"/>
      <c r="Q389" s="50" t="n"/>
      <c r="R389" s="28">
        <f>IF($Q389="","",IFERROR(INDEX(CONFIG!$H$4:$H$63,MATCH($Q389,CONFIG!$G$4:$G$63,0)),"Por definir"))</f>
        <v/>
      </c>
      <c r="S389" s="28">
        <f>IF($Q389="","",IFERROR(INDEX(CONFIG!$I$4:$I$63,MATCH($Q389,CONFIG!$G$4:$G$63,0)),"Por definir"))</f>
        <v/>
      </c>
      <c r="T389" s="51" t="n"/>
      <c r="U389" s="52" t="n"/>
      <c r="V389" s="50" t="n"/>
      <c r="W389" s="50" t="n"/>
      <c r="X389" s="49">
        <f>IF(OR($B389="",$M389=""),"",WORKDAY($B389,IFERROR(INDEX(CONFIG!$D$4:$D$63,MATCH($M389,CONFIG!$A$4:$A$63,0)),3)))</f>
        <v/>
      </c>
      <c r="Y389" s="47" t="n"/>
      <c r="Z389" s="24">
        <f>IF($B389="","",IF($Y389&lt;&gt;"",$Y389-$B389,TODAY()-$B389))</f>
        <v/>
      </c>
      <c r="AA389" s="28">
        <f>IF($B389="","",IF(IFERROR(INDEX(CONFIG!$L$4:$L$63,MATCH($V389,CONFIG!$K$4:$K$63,0)),"NO")="SÍ",IF(OR($Y389="",$X389=""),"Resuelta",IF($Y389&gt;$X389,"Resuelta tarde","Resuelta a tiempo")),IF($X389="","Sin clasificar",IF(TODAY()&gt;$X389,"Vencida",IF(TODAY()&gt;=$X389-1,"Por vencer","En plazo")))))</f>
        <v/>
      </c>
      <c r="AB389" s="50" t="n"/>
      <c r="AC389" s="50" t="n"/>
    </row>
    <row r="390" ht="16" customHeight="1">
      <c r="A390" s="28">
        <f>IF($B390="","","N-"&amp;TEXT(ROW()-3,"0000"))</f>
        <v/>
      </c>
      <c r="B390" s="47" t="n"/>
      <c r="C390" s="48" t="n"/>
      <c r="D390" s="48" t="n"/>
      <c r="E390" s="28">
        <f>IF($C390="","",IF($D390="",IF($C390="Interna","Sin guía (interna)","FALTA GUÍA"),IF(COUNTIFS(ENVIOS!$A$4:$A$3003,$D390)=0,"NO EXISTE",IF(COUNTIFS(ENVIOS!$A$4:$A$3003,$D390)&gt;1,"DUPLICADA","OK"))))</f>
        <v/>
      </c>
      <c r="F390" s="28">
        <f>IF($D390="","",IFERROR(INDEX(ENVIOS!$B$4:$B$3003,MATCH($D390,ENVIOS!$A$4:$A$3003,0)),"—"))</f>
        <v/>
      </c>
      <c r="G390" s="23">
        <f>IF($D390="","",IFERROR(INDEX(ENVIOS!$D$4:$D$3003,MATCH($D390,ENVIOS!$A$4:$A$3003,0)),"—"))</f>
        <v/>
      </c>
      <c r="H390" s="23">
        <f>IF($D390="","",IFERROR(INDEX(ENVIOS!$E$4:$E$3003,MATCH($D390,ENVIOS!$A$4:$A$3003,0)),"—"))</f>
        <v/>
      </c>
      <c r="I390" s="23">
        <f>IF($D390="","",IFERROR(INDEX(ENVIOS!$F$4:$F$3003,MATCH($D390,ENVIOS!$A$4:$A$3003,0)),"—"))</f>
        <v/>
      </c>
      <c r="J390" s="23">
        <f>IF($D390="","",IFERROR(INDEX(ENVIOS!$G$4:$G$3003,MATCH($D390,ENVIOS!$A$4:$A$3003,0)),"—"))</f>
        <v/>
      </c>
      <c r="K390" s="28">
        <f>IF($D390="","",IFERROR(INDEX(ENVIOS!$H$4:$H$3003,MATCH($D390,ENVIOS!$A$4:$A$3003,0)),"—"))</f>
        <v/>
      </c>
      <c r="L390" s="49">
        <f>IF($D390="","",IFERROR(INDEX(ENVIOS!$C$4:$C$3003,MATCH($D390,ENVIOS!$A$4:$A$3003,0)),""))</f>
        <v/>
      </c>
      <c r="M390" s="50" t="n"/>
      <c r="N390" s="28">
        <f>IF($M390="","",IFERROR(INDEX(CONFIG!$C$4:$C$63,MATCH($M390,CONFIG!$A$4:$A$63,0)),"Media"))</f>
        <v/>
      </c>
      <c r="O390" s="28">
        <f>IF($M390="","",IF($C390="Interna","NO",IFERROR(INDEX(CONFIG!$E$4:$E$63,MATCH($M390,CONFIG!$A$4:$A$63,0)),"NO")))</f>
        <v/>
      </c>
      <c r="P390" s="50" t="n"/>
      <c r="Q390" s="50" t="n"/>
      <c r="R390" s="28">
        <f>IF($Q390="","",IFERROR(INDEX(CONFIG!$H$4:$H$63,MATCH($Q390,CONFIG!$G$4:$G$63,0)),"Por definir"))</f>
        <v/>
      </c>
      <c r="S390" s="28">
        <f>IF($Q390="","",IFERROR(INDEX(CONFIG!$I$4:$I$63,MATCH($Q390,CONFIG!$G$4:$G$63,0)),"Por definir"))</f>
        <v/>
      </c>
      <c r="T390" s="51" t="n"/>
      <c r="U390" s="52" t="n"/>
      <c r="V390" s="50" t="n"/>
      <c r="W390" s="50" t="n"/>
      <c r="X390" s="49">
        <f>IF(OR($B390="",$M390=""),"",WORKDAY($B390,IFERROR(INDEX(CONFIG!$D$4:$D$63,MATCH($M390,CONFIG!$A$4:$A$63,0)),3)))</f>
        <v/>
      </c>
      <c r="Y390" s="47" t="n"/>
      <c r="Z390" s="24">
        <f>IF($B390="","",IF($Y390&lt;&gt;"",$Y390-$B390,TODAY()-$B390))</f>
        <v/>
      </c>
      <c r="AA390" s="28">
        <f>IF($B390="","",IF(IFERROR(INDEX(CONFIG!$L$4:$L$63,MATCH($V390,CONFIG!$K$4:$K$63,0)),"NO")="SÍ",IF(OR($Y390="",$X390=""),"Resuelta",IF($Y390&gt;$X390,"Resuelta tarde","Resuelta a tiempo")),IF($X390="","Sin clasificar",IF(TODAY()&gt;$X390,"Vencida",IF(TODAY()&gt;=$X390-1,"Por vencer","En plazo")))))</f>
        <v/>
      </c>
      <c r="AB390" s="50" t="n"/>
      <c r="AC390" s="50" t="n"/>
    </row>
    <row r="391" ht="16" customHeight="1">
      <c r="A391" s="28">
        <f>IF($B391="","","N-"&amp;TEXT(ROW()-3,"0000"))</f>
        <v/>
      </c>
      <c r="B391" s="47" t="n"/>
      <c r="C391" s="48" t="n"/>
      <c r="D391" s="48" t="n"/>
      <c r="E391" s="28">
        <f>IF($C391="","",IF($D391="",IF($C391="Interna","Sin guía (interna)","FALTA GUÍA"),IF(COUNTIFS(ENVIOS!$A$4:$A$3003,$D391)=0,"NO EXISTE",IF(COUNTIFS(ENVIOS!$A$4:$A$3003,$D391)&gt;1,"DUPLICADA","OK"))))</f>
        <v/>
      </c>
      <c r="F391" s="28">
        <f>IF($D391="","",IFERROR(INDEX(ENVIOS!$B$4:$B$3003,MATCH($D391,ENVIOS!$A$4:$A$3003,0)),"—"))</f>
        <v/>
      </c>
      <c r="G391" s="23">
        <f>IF($D391="","",IFERROR(INDEX(ENVIOS!$D$4:$D$3003,MATCH($D391,ENVIOS!$A$4:$A$3003,0)),"—"))</f>
        <v/>
      </c>
      <c r="H391" s="23">
        <f>IF($D391="","",IFERROR(INDEX(ENVIOS!$E$4:$E$3003,MATCH($D391,ENVIOS!$A$4:$A$3003,0)),"—"))</f>
        <v/>
      </c>
      <c r="I391" s="23">
        <f>IF($D391="","",IFERROR(INDEX(ENVIOS!$F$4:$F$3003,MATCH($D391,ENVIOS!$A$4:$A$3003,0)),"—"))</f>
        <v/>
      </c>
      <c r="J391" s="23">
        <f>IF($D391="","",IFERROR(INDEX(ENVIOS!$G$4:$G$3003,MATCH($D391,ENVIOS!$A$4:$A$3003,0)),"—"))</f>
        <v/>
      </c>
      <c r="K391" s="28">
        <f>IF($D391="","",IFERROR(INDEX(ENVIOS!$H$4:$H$3003,MATCH($D391,ENVIOS!$A$4:$A$3003,0)),"—"))</f>
        <v/>
      </c>
      <c r="L391" s="49">
        <f>IF($D391="","",IFERROR(INDEX(ENVIOS!$C$4:$C$3003,MATCH($D391,ENVIOS!$A$4:$A$3003,0)),""))</f>
        <v/>
      </c>
      <c r="M391" s="50" t="n"/>
      <c r="N391" s="28">
        <f>IF($M391="","",IFERROR(INDEX(CONFIG!$C$4:$C$63,MATCH($M391,CONFIG!$A$4:$A$63,0)),"Media"))</f>
        <v/>
      </c>
      <c r="O391" s="28">
        <f>IF($M391="","",IF($C391="Interna","NO",IFERROR(INDEX(CONFIG!$E$4:$E$63,MATCH($M391,CONFIG!$A$4:$A$63,0)),"NO")))</f>
        <v/>
      </c>
      <c r="P391" s="50" t="n"/>
      <c r="Q391" s="50" t="n"/>
      <c r="R391" s="28">
        <f>IF($Q391="","",IFERROR(INDEX(CONFIG!$H$4:$H$63,MATCH($Q391,CONFIG!$G$4:$G$63,0)),"Por definir"))</f>
        <v/>
      </c>
      <c r="S391" s="28">
        <f>IF($Q391="","",IFERROR(INDEX(CONFIG!$I$4:$I$63,MATCH($Q391,CONFIG!$G$4:$G$63,0)),"Por definir"))</f>
        <v/>
      </c>
      <c r="T391" s="51" t="n"/>
      <c r="U391" s="52" t="n"/>
      <c r="V391" s="50" t="n"/>
      <c r="W391" s="50" t="n"/>
      <c r="X391" s="49">
        <f>IF(OR($B391="",$M391=""),"",WORKDAY($B391,IFERROR(INDEX(CONFIG!$D$4:$D$63,MATCH($M391,CONFIG!$A$4:$A$63,0)),3)))</f>
        <v/>
      </c>
      <c r="Y391" s="47" t="n"/>
      <c r="Z391" s="24">
        <f>IF($B391="","",IF($Y391&lt;&gt;"",$Y391-$B391,TODAY()-$B391))</f>
        <v/>
      </c>
      <c r="AA391" s="28">
        <f>IF($B391="","",IF(IFERROR(INDEX(CONFIG!$L$4:$L$63,MATCH($V391,CONFIG!$K$4:$K$63,0)),"NO")="SÍ",IF(OR($Y391="",$X391=""),"Resuelta",IF($Y391&gt;$X391,"Resuelta tarde","Resuelta a tiempo")),IF($X391="","Sin clasificar",IF(TODAY()&gt;$X391,"Vencida",IF(TODAY()&gt;=$X391-1,"Por vencer","En plazo")))))</f>
        <v/>
      </c>
      <c r="AB391" s="50" t="n"/>
      <c r="AC391" s="50" t="n"/>
    </row>
    <row r="392" ht="16" customHeight="1">
      <c r="A392" s="28">
        <f>IF($B392="","","N-"&amp;TEXT(ROW()-3,"0000"))</f>
        <v/>
      </c>
      <c r="B392" s="47" t="n"/>
      <c r="C392" s="48" t="n"/>
      <c r="D392" s="48" t="n"/>
      <c r="E392" s="28">
        <f>IF($C392="","",IF($D392="",IF($C392="Interna","Sin guía (interna)","FALTA GUÍA"),IF(COUNTIFS(ENVIOS!$A$4:$A$3003,$D392)=0,"NO EXISTE",IF(COUNTIFS(ENVIOS!$A$4:$A$3003,$D392)&gt;1,"DUPLICADA","OK"))))</f>
        <v/>
      </c>
      <c r="F392" s="28">
        <f>IF($D392="","",IFERROR(INDEX(ENVIOS!$B$4:$B$3003,MATCH($D392,ENVIOS!$A$4:$A$3003,0)),"—"))</f>
        <v/>
      </c>
      <c r="G392" s="23">
        <f>IF($D392="","",IFERROR(INDEX(ENVIOS!$D$4:$D$3003,MATCH($D392,ENVIOS!$A$4:$A$3003,0)),"—"))</f>
        <v/>
      </c>
      <c r="H392" s="23">
        <f>IF($D392="","",IFERROR(INDEX(ENVIOS!$E$4:$E$3003,MATCH($D392,ENVIOS!$A$4:$A$3003,0)),"—"))</f>
        <v/>
      </c>
      <c r="I392" s="23">
        <f>IF($D392="","",IFERROR(INDEX(ENVIOS!$F$4:$F$3003,MATCH($D392,ENVIOS!$A$4:$A$3003,0)),"—"))</f>
        <v/>
      </c>
      <c r="J392" s="23">
        <f>IF($D392="","",IFERROR(INDEX(ENVIOS!$G$4:$G$3003,MATCH($D392,ENVIOS!$A$4:$A$3003,0)),"—"))</f>
        <v/>
      </c>
      <c r="K392" s="28">
        <f>IF($D392="","",IFERROR(INDEX(ENVIOS!$H$4:$H$3003,MATCH($D392,ENVIOS!$A$4:$A$3003,0)),"—"))</f>
        <v/>
      </c>
      <c r="L392" s="49">
        <f>IF($D392="","",IFERROR(INDEX(ENVIOS!$C$4:$C$3003,MATCH($D392,ENVIOS!$A$4:$A$3003,0)),""))</f>
        <v/>
      </c>
      <c r="M392" s="50" t="n"/>
      <c r="N392" s="28">
        <f>IF($M392="","",IFERROR(INDEX(CONFIG!$C$4:$C$63,MATCH($M392,CONFIG!$A$4:$A$63,0)),"Media"))</f>
        <v/>
      </c>
      <c r="O392" s="28">
        <f>IF($M392="","",IF($C392="Interna","NO",IFERROR(INDEX(CONFIG!$E$4:$E$63,MATCH($M392,CONFIG!$A$4:$A$63,0)),"NO")))</f>
        <v/>
      </c>
      <c r="P392" s="50" t="n"/>
      <c r="Q392" s="50" t="n"/>
      <c r="R392" s="28">
        <f>IF($Q392="","",IFERROR(INDEX(CONFIG!$H$4:$H$63,MATCH($Q392,CONFIG!$G$4:$G$63,0)),"Por definir"))</f>
        <v/>
      </c>
      <c r="S392" s="28">
        <f>IF($Q392="","",IFERROR(INDEX(CONFIG!$I$4:$I$63,MATCH($Q392,CONFIG!$G$4:$G$63,0)),"Por definir"))</f>
        <v/>
      </c>
      <c r="T392" s="51" t="n"/>
      <c r="U392" s="52" t="n"/>
      <c r="V392" s="50" t="n"/>
      <c r="W392" s="50" t="n"/>
      <c r="X392" s="49">
        <f>IF(OR($B392="",$M392=""),"",WORKDAY($B392,IFERROR(INDEX(CONFIG!$D$4:$D$63,MATCH($M392,CONFIG!$A$4:$A$63,0)),3)))</f>
        <v/>
      </c>
      <c r="Y392" s="47" t="n"/>
      <c r="Z392" s="24">
        <f>IF($B392="","",IF($Y392&lt;&gt;"",$Y392-$B392,TODAY()-$B392))</f>
        <v/>
      </c>
      <c r="AA392" s="28">
        <f>IF($B392="","",IF(IFERROR(INDEX(CONFIG!$L$4:$L$63,MATCH($V392,CONFIG!$K$4:$K$63,0)),"NO")="SÍ",IF(OR($Y392="",$X392=""),"Resuelta",IF($Y392&gt;$X392,"Resuelta tarde","Resuelta a tiempo")),IF($X392="","Sin clasificar",IF(TODAY()&gt;$X392,"Vencida",IF(TODAY()&gt;=$X392-1,"Por vencer","En plazo")))))</f>
        <v/>
      </c>
      <c r="AB392" s="50" t="n"/>
      <c r="AC392" s="50" t="n"/>
    </row>
    <row r="393" ht="16" customHeight="1">
      <c r="A393" s="28">
        <f>IF($B393="","","N-"&amp;TEXT(ROW()-3,"0000"))</f>
        <v/>
      </c>
      <c r="B393" s="47" t="n"/>
      <c r="C393" s="48" t="n"/>
      <c r="D393" s="48" t="n"/>
      <c r="E393" s="28">
        <f>IF($C393="","",IF($D393="",IF($C393="Interna","Sin guía (interna)","FALTA GUÍA"),IF(COUNTIFS(ENVIOS!$A$4:$A$3003,$D393)=0,"NO EXISTE",IF(COUNTIFS(ENVIOS!$A$4:$A$3003,$D393)&gt;1,"DUPLICADA","OK"))))</f>
        <v/>
      </c>
      <c r="F393" s="28">
        <f>IF($D393="","",IFERROR(INDEX(ENVIOS!$B$4:$B$3003,MATCH($D393,ENVIOS!$A$4:$A$3003,0)),"—"))</f>
        <v/>
      </c>
      <c r="G393" s="23">
        <f>IF($D393="","",IFERROR(INDEX(ENVIOS!$D$4:$D$3003,MATCH($D393,ENVIOS!$A$4:$A$3003,0)),"—"))</f>
        <v/>
      </c>
      <c r="H393" s="23">
        <f>IF($D393="","",IFERROR(INDEX(ENVIOS!$E$4:$E$3003,MATCH($D393,ENVIOS!$A$4:$A$3003,0)),"—"))</f>
        <v/>
      </c>
      <c r="I393" s="23">
        <f>IF($D393="","",IFERROR(INDEX(ENVIOS!$F$4:$F$3003,MATCH($D393,ENVIOS!$A$4:$A$3003,0)),"—"))</f>
        <v/>
      </c>
      <c r="J393" s="23">
        <f>IF($D393="","",IFERROR(INDEX(ENVIOS!$G$4:$G$3003,MATCH($D393,ENVIOS!$A$4:$A$3003,0)),"—"))</f>
        <v/>
      </c>
      <c r="K393" s="28">
        <f>IF($D393="","",IFERROR(INDEX(ENVIOS!$H$4:$H$3003,MATCH($D393,ENVIOS!$A$4:$A$3003,0)),"—"))</f>
        <v/>
      </c>
      <c r="L393" s="49">
        <f>IF($D393="","",IFERROR(INDEX(ENVIOS!$C$4:$C$3003,MATCH($D393,ENVIOS!$A$4:$A$3003,0)),""))</f>
        <v/>
      </c>
      <c r="M393" s="50" t="n"/>
      <c r="N393" s="28">
        <f>IF($M393="","",IFERROR(INDEX(CONFIG!$C$4:$C$63,MATCH($M393,CONFIG!$A$4:$A$63,0)),"Media"))</f>
        <v/>
      </c>
      <c r="O393" s="28">
        <f>IF($M393="","",IF($C393="Interna","NO",IFERROR(INDEX(CONFIG!$E$4:$E$63,MATCH($M393,CONFIG!$A$4:$A$63,0)),"NO")))</f>
        <v/>
      </c>
      <c r="P393" s="50" t="n"/>
      <c r="Q393" s="50" t="n"/>
      <c r="R393" s="28">
        <f>IF($Q393="","",IFERROR(INDEX(CONFIG!$H$4:$H$63,MATCH($Q393,CONFIG!$G$4:$G$63,0)),"Por definir"))</f>
        <v/>
      </c>
      <c r="S393" s="28">
        <f>IF($Q393="","",IFERROR(INDEX(CONFIG!$I$4:$I$63,MATCH($Q393,CONFIG!$G$4:$G$63,0)),"Por definir"))</f>
        <v/>
      </c>
      <c r="T393" s="51" t="n"/>
      <c r="U393" s="52" t="n"/>
      <c r="V393" s="50" t="n"/>
      <c r="W393" s="50" t="n"/>
      <c r="X393" s="49">
        <f>IF(OR($B393="",$M393=""),"",WORKDAY($B393,IFERROR(INDEX(CONFIG!$D$4:$D$63,MATCH($M393,CONFIG!$A$4:$A$63,0)),3)))</f>
        <v/>
      </c>
      <c r="Y393" s="47" t="n"/>
      <c r="Z393" s="24">
        <f>IF($B393="","",IF($Y393&lt;&gt;"",$Y393-$B393,TODAY()-$B393))</f>
        <v/>
      </c>
      <c r="AA393" s="28">
        <f>IF($B393="","",IF(IFERROR(INDEX(CONFIG!$L$4:$L$63,MATCH($V393,CONFIG!$K$4:$K$63,0)),"NO")="SÍ",IF(OR($Y393="",$X393=""),"Resuelta",IF($Y393&gt;$X393,"Resuelta tarde","Resuelta a tiempo")),IF($X393="","Sin clasificar",IF(TODAY()&gt;$X393,"Vencida",IF(TODAY()&gt;=$X393-1,"Por vencer","En plazo")))))</f>
        <v/>
      </c>
      <c r="AB393" s="50" t="n"/>
      <c r="AC393" s="50" t="n"/>
    </row>
    <row r="394" ht="16" customHeight="1">
      <c r="A394" s="28">
        <f>IF($B394="","","N-"&amp;TEXT(ROW()-3,"0000"))</f>
        <v/>
      </c>
      <c r="B394" s="47" t="n"/>
      <c r="C394" s="48" t="n"/>
      <c r="D394" s="48" t="n"/>
      <c r="E394" s="28">
        <f>IF($C394="","",IF($D394="",IF($C394="Interna","Sin guía (interna)","FALTA GUÍA"),IF(COUNTIFS(ENVIOS!$A$4:$A$3003,$D394)=0,"NO EXISTE",IF(COUNTIFS(ENVIOS!$A$4:$A$3003,$D394)&gt;1,"DUPLICADA","OK"))))</f>
        <v/>
      </c>
      <c r="F394" s="28">
        <f>IF($D394="","",IFERROR(INDEX(ENVIOS!$B$4:$B$3003,MATCH($D394,ENVIOS!$A$4:$A$3003,0)),"—"))</f>
        <v/>
      </c>
      <c r="G394" s="23">
        <f>IF($D394="","",IFERROR(INDEX(ENVIOS!$D$4:$D$3003,MATCH($D394,ENVIOS!$A$4:$A$3003,0)),"—"))</f>
        <v/>
      </c>
      <c r="H394" s="23">
        <f>IF($D394="","",IFERROR(INDEX(ENVIOS!$E$4:$E$3003,MATCH($D394,ENVIOS!$A$4:$A$3003,0)),"—"))</f>
        <v/>
      </c>
      <c r="I394" s="23">
        <f>IF($D394="","",IFERROR(INDEX(ENVIOS!$F$4:$F$3003,MATCH($D394,ENVIOS!$A$4:$A$3003,0)),"—"))</f>
        <v/>
      </c>
      <c r="J394" s="23">
        <f>IF($D394="","",IFERROR(INDEX(ENVIOS!$G$4:$G$3003,MATCH($D394,ENVIOS!$A$4:$A$3003,0)),"—"))</f>
        <v/>
      </c>
      <c r="K394" s="28">
        <f>IF($D394="","",IFERROR(INDEX(ENVIOS!$H$4:$H$3003,MATCH($D394,ENVIOS!$A$4:$A$3003,0)),"—"))</f>
        <v/>
      </c>
      <c r="L394" s="49">
        <f>IF($D394="","",IFERROR(INDEX(ENVIOS!$C$4:$C$3003,MATCH($D394,ENVIOS!$A$4:$A$3003,0)),""))</f>
        <v/>
      </c>
      <c r="M394" s="50" t="n"/>
      <c r="N394" s="28">
        <f>IF($M394="","",IFERROR(INDEX(CONFIG!$C$4:$C$63,MATCH($M394,CONFIG!$A$4:$A$63,0)),"Media"))</f>
        <v/>
      </c>
      <c r="O394" s="28">
        <f>IF($M394="","",IF($C394="Interna","NO",IFERROR(INDEX(CONFIG!$E$4:$E$63,MATCH($M394,CONFIG!$A$4:$A$63,0)),"NO")))</f>
        <v/>
      </c>
      <c r="P394" s="50" t="n"/>
      <c r="Q394" s="50" t="n"/>
      <c r="R394" s="28">
        <f>IF($Q394="","",IFERROR(INDEX(CONFIG!$H$4:$H$63,MATCH($Q394,CONFIG!$G$4:$G$63,0)),"Por definir"))</f>
        <v/>
      </c>
      <c r="S394" s="28">
        <f>IF($Q394="","",IFERROR(INDEX(CONFIG!$I$4:$I$63,MATCH($Q394,CONFIG!$G$4:$G$63,0)),"Por definir"))</f>
        <v/>
      </c>
      <c r="T394" s="51" t="n"/>
      <c r="U394" s="52" t="n"/>
      <c r="V394" s="50" t="n"/>
      <c r="W394" s="50" t="n"/>
      <c r="X394" s="49">
        <f>IF(OR($B394="",$M394=""),"",WORKDAY($B394,IFERROR(INDEX(CONFIG!$D$4:$D$63,MATCH($M394,CONFIG!$A$4:$A$63,0)),3)))</f>
        <v/>
      </c>
      <c r="Y394" s="47" t="n"/>
      <c r="Z394" s="24">
        <f>IF($B394="","",IF($Y394&lt;&gt;"",$Y394-$B394,TODAY()-$B394))</f>
        <v/>
      </c>
      <c r="AA394" s="28">
        <f>IF($B394="","",IF(IFERROR(INDEX(CONFIG!$L$4:$L$63,MATCH($V394,CONFIG!$K$4:$K$63,0)),"NO")="SÍ",IF(OR($Y394="",$X394=""),"Resuelta",IF($Y394&gt;$X394,"Resuelta tarde","Resuelta a tiempo")),IF($X394="","Sin clasificar",IF(TODAY()&gt;$X394,"Vencida",IF(TODAY()&gt;=$X394-1,"Por vencer","En plazo")))))</f>
        <v/>
      </c>
      <c r="AB394" s="50" t="n"/>
      <c r="AC394" s="50" t="n"/>
    </row>
    <row r="395" ht="16" customHeight="1">
      <c r="A395" s="28">
        <f>IF($B395="","","N-"&amp;TEXT(ROW()-3,"0000"))</f>
        <v/>
      </c>
      <c r="B395" s="47" t="n"/>
      <c r="C395" s="48" t="n"/>
      <c r="D395" s="48" t="n"/>
      <c r="E395" s="28">
        <f>IF($C395="","",IF($D395="",IF($C395="Interna","Sin guía (interna)","FALTA GUÍA"),IF(COUNTIFS(ENVIOS!$A$4:$A$3003,$D395)=0,"NO EXISTE",IF(COUNTIFS(ENVIOS!$A$4:$A$3003,$D395)&gt;1,"DUPLICADA","OK"))))</f>
        <v/>
      </c>
      <c r="F395" s="28">
        <f>IF($D395="","",IFERROR(INDEX(ENVIOS!$B$4:$B$3003,MATCH($D395,ENVIOS!$A$4:$A$3003,0)),"—"))</f>
        <v/>
      </c>
      <c r="G395" s="23">
        <f>IF($D395="","",IFERROR(INDEX(ENVIOS!$D$4:$D$3003,MATCH($D395,ENVIOS!$A$4:$A$3003,0)),"—"))</f>
        <v/>
      </c>
      <c r="H395" s="23">
        <f>IF($D395="","",IFERROR(INDEX(ENVIOS!$E$4:$E$3003,MATCH($D395,ENVIOS!$A$4:$A$3003,0)),"—"))</f>
        <v/>
      </c>
      <c r="I395" s="23">
        <f>IF($D395="","",IFERROR(INDEX(ENVIOS!$F$4:$F$3003,MATCH($D395,ENVIOS!$A$4:$A$3003,0)),"—"))</f>
        <v/>
      </c>
      <c r="J395" s="23">
        <f>IF($D395="","",IFERROR(INDEX(ENVIOS!$G$4:$G$3003,MATCH($D395,ENVIOS!$A$4:$A$3003,0)),"—"))</f>
        <v/>
      </c>
      <c r="K395" s="28">
        <f>IF($D395="","",IFERROR(INDEX(ENVIOS!$H$4:$H$3003,MATCH($D395,ENVIOS!$A$4:$A$3003,0)),"—"))</f>
        <v/>
      </c>
      <c r="L395" s="49">
        <f>IF($D395="","",IFERROR(INDEX(ENVIOS!$C$4:$C$3003,MATCH($D395,ENVIOS!$A$4:$A$3003,0)),""))</f>
        <v/>
      </c>
      <c r="M395" s="50" t="n"/>
      <c r="N395" s="28">
        <f>IF($M395="","",IFERROR(INDEX(CONFIG!$C$4:$C$63,MATCH($M395,CONFIG!$A$4:$A$63,0)),"Media"))</f>
        <v/>
      </c>
      <c r="O395" s="28">
        <f>IF($M395="","",IF($C395="Interna","NO",IFERROR(INDEX(CONFIG!$E$4:$E$63,MATCH($M395,CONFIG!$A$4:$A$63,0)),"NO")))</f>
        <v/>
      </c>
      <c r="P395" s="50" t="n"/>
      <c r="Q395" s="50" t="n"/>
      <c r="R395" s="28">
        <f>IF($Q395="","",IFERROR(INDEX(CONFIG!$H$4:$H$63,MATCH($Q395,CONFIG!$G$4:$G$63,0)),"Por definir"))</f>
        <v/>
      </c>
      <c r="S395" s="28">
        <f>IF($Q395="","",IFERROR(INDEX(CONFIG!$I$4:$I$63,MATCH($Q395,CONFIG!$G$4:$G$63,0)),"Por definir"))</f>
        <v/>
      </c>
      <c r="T395" s="51" t="n"/>
      <c r="U395" s="52" t="n"/>
      <c r="V395" s="50" t="n"/>
      <c r="W395" s="50" t="n"/>
      <c r="X395" s="49">
        <f>IF(OR($B395="",$M395=""),"",WORKDAY($B395,IFERROR(INDEX(CONFIG!$D$4:$D$63,MATCH($M395,CONFIG!$A$4:$A$63,0)),3)))</f>
        <v/>
      </c>
      <c r="Y395" s="47" t="n"/>
      <c r="Z395" s="24">
        <f>IF($B395="","",IF($Y395&lt;&gt;"",$Y395-$B395,TODAY()-$B395))</f>
        <v/>
      </c>
      <c r="AA395" s="28">
        <f>IF($B395="","",IF(IFERROR(INDEX(CONFIG!$L$4:$L$63,MATCH($V395,CONFIG!$K$4:$K$63,0)),"NO")="SÍ",IF(OR($Y395="",$X395=""),"Resuelta",IF($Y395&gt;$X395,"Resuelta tarde","Resuelta a tiempo")),IF($X395="","Sin clasificar",IF(TODAY()&gt;$X395,"Vencida",IF(TODAY()&gt;=$X395-1,"Por vencer","En plazo")))))</f>
        <v/>
      </c>
      <c r="AB395" s="50" t="n"/>
      <c r="AC395" s="50" t="n"/>
    </row>
    <row r="396" ht="16" customHeight="1">
      <c r="A396" s="28">
        <f>IF($B396="","","N-"&amp;TEXT(ROW()-3,"0000"))</f>
        <v/>
      </c>
      <c r="B396" s="47" t="n"/>
      <c r="C396" s="48" t="n"/>
      <c r="D396" s="48" t="n"/>
      <c r="E396" s="28">
        <f>IF($C396="","",IF($D396="",IF($C396="Interna","Sin guía (interna)","FALTA GUÍA"),IF(COUNTIFS(ENVIOS!$A$4:$A$3003,$D396)=0,"NO EXISTE",IF(COUNTIFS(ENVIOS!$A$4:$A$3003,$D396)&gt;1,"DUPLICADA","OK"))))</f>
        <v/>
      </c>
      <c r="F396" s="28">
        <f>IF($D396="","",IFERROR(INDEX(ENVIOS!$B$4:$B$3003,MATCH($D396,ENVIOS!$A$4:$A$3003,0)),"—"))</f>
        <v/>
      </c>
      <c r="G396" s="23">
        <f>IF($D396="","",IFERROR(INDEX(ENVIOS!$D$4:$D$3003,MATCH($D396,ENVIOS!$A$4:$A$3003,0)),"—"))</f>
        <v/>
      </c>
      <c r="H396" s="23">
        <f>IF($D396="","",IFERROR(INDEX(ENVIOS!$E$4:$E$3003,MATCH($D396,ENVIOS!$A$4:$A$3003,0)),"—"))</f>
        <v/>
      </c>
      <c r="I396" s="23">
        <f>IF($D396="","",IFERROR(INDEX(ENVIOS!$F$4:$F$3003,MATCH($D396,ENVIOS!$A$4:$A$3003,0)),"—"))</f>
        <v/>
      </c>
      <c r="J396" s="23">
        <f>IF($D396="","",IFERROR(INDEX(ENVIOS!$G$4:$G$3003,MATCH($D396,ENVIOS!$A$4:$A$3003,0)),"—"))</f>
        <v/>
      </c>
      <c r="K396" s="28">
        <f>IF($D396="","",IFERROR(INDEX(ENVIOS!$H$4:$H$3003,MATCH($D396,ENVIOS!$A$4:$A$3003,0)),"—"))</f>
        <v/>
      </c>
      <c r="L396" s="49">
        <f>IF($D396="","",IFERROR(INDEX(ENVIOS!$C$4:$C$3003,MATCH($D396,ENVIOS!$A$4:$A$3003,0)),""))</f>
        <v/>
      </c>
      <c r="M396" s="50" t="n"/>
      <c r="N396" s="28">
        <f>IF($M396="","",IFERROR(INDEX(CONFIG!$C$4:$C$63,MATCH($M396,CONFIG!$A$4:$A$63,0)),"Media"))</f>
        <v/>
      </c>
      <c r="O396" s="28">
        <f>IF($M396="","",IF($C396="Interna","NO",IFERROR(INDEX(CONFIG!$E$4:$E$63,MATCH($M396,CONFIG!$A$4:$A$63,0)),"NO")))</f>
        <v/>
      </c>
      <c r="P396" s="50" t="n"/>
      <c r="Q396" s="50" t="n"/>
      <c r="R396" s="28">
        <f>IF($Q396="","",IFERROR(INDEX(CONFIG!$H$4:$H$63,MATCH($Q396,CONFIG!$G$4:$G$63,0)),"Por definir"))</f>
        <v/>
      </c>
      <c r="S396" s="28">
        <f>IF($Q396="","",IFERROR(INDEX(CONFIG!$I$4:$I$63,MATCH($Q396,CONFIG!$G$4:$G$63,0)),"Por definir"))</f>
        <v/>
      </c>
      <c r="T396" s="51" t="n"/>
      <c r="U396" s="52" t="n"/>
      <c r="V396" s="50" t="n"/>
      <c r="W396" s="50" t="n"/>
      <c r="X396" s="49">
        <f>IF(OR($B396="",$M396=""),"",WORKDAY($B396,IFERROR(INDEX(CONFIG!$D$4:$D$63,MATCH($M396,CONFIG!$A$4:$A$63,0)),3)))</f>
        <v/>
      </c>
      <c r="Y396" s="47" t="n"/>
      <c r="Z396" s="24">
        <f>IF($B396="","",IF($Y396&lt;&gt;"",$Y396-$B396,TODAY()-$B396))</f>
        <v/>
      </c>
      <c r="AA396" s="28">
        <f>IF($B396="","",IF(IFERROR(INDEX(CONFIG!$L$4:$L$63,MATCH($V396,CONFIG!$K$4:$K$63,0)),"NO")="SÍ",IF(OR($Y396="",$X396=""),"Resuelta",IF($Y396&gt;$X396,"Resuelta tarde","Resuelta a tiempo")),IF($X396="","Sin clasificar",IF(TODAY()&gt;$X396,"Vencida",IF(TODAY()&gt;=$X396-1,"Por vencer","En plazo")))))</f>
        <v/>
      </c>
      <c r="AB396" s="50" t="n"/>
      <c r="AC396" s="50" t="n"/>
    </row>
    <row r="397" ht="16" customHeight="1">
      <c r="A397" s="28">
        <f>IF($B397="","","N-"&amp;TEXT(ROW()-3,"0000"))</f>
        <v/>
      </c>
      <c r="B397" s="47" t="n"/>
      <c r="C397" s="48" t="n"/>
      <c r="D397" s="48" t="n"/>
      <c r="E397" s="28">
        <f>IF($C397="","",IF($D397="",IF($C397="Interna","Sin guía (interna)","FALTA GUÍA"),IF(COUNTIFS(ENVIOS!$A$4:$A$3003,$D397)=0,"NO EXISTE",IF(COUNTIFS(ENVIOS!$A$4:$A$3003,$D397)&gt;1,"DUPLICADA","OK"))))</f>
        <v/>
      </c>
      <c r="F397" s="28">
        <f>IF($D397="","",IFERROR(INDEX(ENVIOS!$B$4:$B$3003,MATCH($D397,ENVIOS!$A$4:$A$3003,0)),"—"))</f>
        <v/>
      </c>
      <c r="G397" s="23">
        <f>IF($D397="","",IFERROR(INDEX(ENVIOS!$D$4:$D$3003,MATCH($D397,ENVIOS!$A$4:$A$3003,0)),"—"))</f>
        <v/>
      </c>
      <c r="H397" s="23">
        <f>IF($D397="","",IFERROR(INDEX(ENVIOS!$E$4:$E$3003,MATCH($D397,ENVIOS!$A$4:$A$3003,0)),"—"))</f>
        <v/>
      </c>
      <c r="I397" s="23">
        <f>IF($D397="","",IFERROR(INDEX(ENVIOS!$F$4:$F$3003,MATCH($D397,ENVIOS!$A$4:$A$3003,0)),"—"))</f>
        <v/>
      </c>
      <c r="J397" s="23">
        <f>IF($D397="","",IFERROR(INDEX(ENVIOS!$G$4:$G$3003,MATCH($D397,ENVIOS!$A$4:$A$3003,0)),"—"))</f>
        <v/>
      </c>
      <c r="K397" s="28">
        <f>IF($D397="","",IFERROR(INDEX(ENVIOS!$H$4:$H$3003,MATCH($D397,ENVIOS!$A$4:$A$3003,0)),"—"))</f>
        <v/>
      </c>
      <c r="L397" s="49">
        <f>IF($D397="","",IFERROR(INDEX(ENVIOS!$C$4:$C$3003,MATCH($D397,ENVIOS!$A$4:$A$3003,0)),""))</f>
        <v/>
      </c>
      <c r="M397" s="50" t="n"/>
      <c r="N397" s="28">
        <f>IF($M397="","",IFERROR(INDEX(CONFIG!$C$4:$C$63,MATCH($M397,CONFIG!$A$4:$A$63,0)),"Media"))</f>
        <v/>
      </c>
      <c r="O397" s="28">
        <f>IF($M397="","",IF($C397="Interna","NO",IFERROR(INDEX(CONFIG!$E$4:$E$63,MATCH($M397,CONFIG!$A$4:$A$63,0)),"NO")))</f>
        <v/>
      </c>
      <c r="P397" s="50" t="n"/>
      <c r="Q397" s="50" t="n"/>
      <c r="R397" s="28">
        <f>IF($Q397="","",IFERROR(INDEX(CONFIG!$H$4:$H$63,MATCH($Q397,CONFIG!$G$4:$G$63,0)),"Por definir"))</f>
        <v/>
      </c>
      <c r="S397" s="28">
        <f>IF($Q397="","",IFERROR(INDEX(CONFIG!$I$4:$I$63,MATCH($Q397,CONFIG!$G$4:$G$63,0)),"Por definir"))</f>
        <v/>
      </c>
      <c r="T397" s="51" t="n"/>
      <c r="U397" s="52" t="n"/>
      <c r="V397" s="50" t="n"/>
      <c r="W397" s="50" t="n"/>
      <c r="X397" s="49">
        <f>IF(OR($B397="",$M397=""),"",WORKDAY($B397,IFERROR(INDEX(CONFIG!$D$4:$D$63,MATCH($M397,CONFIG!$A$4:$A$63,0)),3)))</f>
        <v/>
      </c>
      <c r="Y397" s="47" t="n"/>
      <c r="Z397" s="24">
        <f>IF($B397="","",IF($Y397&lt;&gt;"",$Y397-$B397,TODAY()-$B397))</f>
        <v/>
      </c>
      <c r="AA397" s="28">
        <f>IF($B397="","",IF(IFERROR(INDEX(CONFIG!$L$4:$L$63,MATCH($V397,CONFIG!$K$4:$K$63,0)),"NO")="SÍ",IF(OR($Y397="",$X397=""),"Resuelta",IF($Y397&gt;$X397,"Resuelta tarde","Resuelta a tiempo")),IF($X397="","Sin clasificar",IF(TODAY()&gt;$X397,"Vencida",IF(TODAY()&gt;=$X397-1,"Por vencer","En plazo")))))</f>
        <v/>
      </c>
      <c r="AB397" s="50" t="n"/>
      <c r="AC397" s="50" t="n"/>
    </row>
    <row r="398" ht="16" customHeight="1">
      <c r="A398" s="28">
        <f>IF($B398="","","N-"&amp;TEXT(ROW()-3,"0000"))</f>
        <v/>
      </c>
      <c r="B398" s="47" t="n"/>
      <c r="C398" s="48" t="n"/>
      <c r="D398" s="48" t="n"/>
      <c r="E398" s="28">
        <f>IF($C398="","",IF($D398="",IF($C398="Interna","Sin guía (interna)","FALTA GUÍA"),IF(COUNTIFS(ENVIOS!$A$4:$A$3003,$D398)=0,"NO EXISTE",IF(COUNTIFS(ENVIOS!$A$4:$A$3003,$D398)&gt;1,"DUPLICADA","OK"))))</f>
        <v/>
      </c>
      <c r="F398" s="28">
        <f>IF($D398="","",IFERROR(INDEX(ENVIOS!$B$4:$B$3003,MATCH($D398,ENVIOS!$A$4:$A$3003,0)),"—"))</f>
        <v/>
      </c>
      <c r="G398" s="23">
        <f>IF($D398="","",IFERROR(INDEX(ENVIOS!$D$4:$D$3003,MATCH($D398,ENVIOS!$A$4:$A$3003,0)),"—"))</f>
        <v/>
      </c>
      <c r="H398" s="23">
        <f>IF($D398="","",IFERROR(INDEX(ENVIOS!$E$4:$E$3003,MATCH($D398,ENVIOS!$A$4:$A$3003,0)),"—"))</f>
        <v/>
      </c>
      <c r="I398" s="23">
        <f>IF($D398="","",IFERROR(INDEX(ENVIOS!$F$4:$F$3003,MATCH($D398,ENVIOS!$A$4:$A$3003,0)),"—"))</f>
        <v/>
      </c>
      <c r="J398" s="23">
        <f>IF($D398="","",IFERROR(INDEX(ENVIOS!$G$4:$G$3003,MATCH($D398,ENVIOS!$A$4:$A$3003,0)),"—"))</f>
        <v/>
      </c>
      <c r="K398" s="28">
        <f>IF($D398="","",IFERROR(INDEX(ENVIOS!$H$4:$H$3003,MATCH($D398,ENVIOS!$A$4:$A$3003,0)),"—"))</f>
        <v/>
      </c>
      <c r="L398" s="49">
        <f>IF($D398="","",IFERROR(INDEX(ENVIOS!$C$4:$C$3003,MATCH($D398,ENVIOS!$A$4:$A$3003,0)),""))</f>
        <v/>
      </c>
      <c r="M398" s="50" t="n"/>
      <c r="N398" s="28">
        <f>IF($M398="","",IFERROR(INDEX(CONFIG!$C$4:$C$63,MATCH($M398,CONFIG!$A$4:$A$63,0)),"Media"))</f>
        <v/>
      </c>
      <c r="O398" s="28">
        <f>IF($M398="","",IF($C398="Interna","NO",IFERROR(INDEX(CONFIG!$E$4:$E$63,MATCH($M398,CONFIG!$A$4:$A$63,0)),"NO")))</f>
        <v/>
      </c>
      <c r="P398" s="50" t="n"/>
      <c r="Q398" s="50" t="n"/>
      <c r="R398" s="28">
        <f>IF($Q398="","",IFERROR(INDEX(CONFIG!$H$4:$H$63,MATCH($Q398,CONFIG!$G$4:$G$63,0)),"Por definir"))</f>
        <v/>
      </c>
      <c r="S398" s="28">
        <f>IF($Q398="","",IFERROR(INDEX(CONFIG!$I$4:$I$63,MATCH($Q398,CONFIG!$G$4:$G$63,0)),"Por definir"))</f>
        <v/>
      </c>
      <c r="T398" s="51" t="n"/>
      <c r="U398" s="52" t="n"/>
      <c r="V398" s="50" t="n"/>
      <c r="W398" s="50" t="n"/>
      <c r="X398" s="49">
        <f>IF(OR($B398="",$M398=""),"",WORKDAY($B398,IFERROR(INDEX(CONFIG!$D$4:$D$63,MATCH($M398,CONFIG!$A$4:$A$63,0)),3)))</f>
        <v/>
      </c>
      <c r="Y398" s="47" t="n"/>
      <c r="Z398" s="24">
        <f>IF($B398="","",IF($Y398&lt;&gt;"",$Y398-$B398,TODAY()-$B398))</f>
        <v/>
      </c>
      <c r="AA398" s="28">
        <f>IF($B398="","",IF(IFERROR(INDEX(CONFIG!$L$4:$L$63,MATCH($V398,CONFIG!$K$4:$K$63,0)),"NO")="SÍ",IF(OR($Y398="",$X398=""),"Resuelta",IF($Y398&gt;$X398,"Resuelta tarde","Resuelta a tiempo")),IF($X398="","Sin clasificar",IF(TODAY()&gt;$X398,"Vencida",IF(TODAY()&gt;=$X398-1,"Por vencer","En plazo")))))</f>
        <v/>
      </c>
      <c r="AB398" s="50" t="n"/>
      <c r="AC398" s="50" t="n"/>
    </row>
    <row r="399" ht="16" customHeight="1">
      <c r="A399" s="28">
        <f>IF($B399="","","N-"&amp;TEXT(ROW()-3,"0000"))</f>
        <v/>
      </c>
      <c r="B399" s="47" t="n"/>
      <c r="C399" s="48" t="n"/>
      <c r="D399" s="48" t="n"/>
      <c r="E399" s="28">
        <f>IF($C399="","",IF($D399="",IF($C399="Interna","Sin guía (interna)","FALTA GUÍA"),IF(COUNTIFS(ENVIOS!$A$4:$A$3003,$D399)=0,"NO EXISTE",IF(COUNTIFS(ENVIOS!$A$4:$A$3003,$D399)&gt;1,"DUPLICADA","OK"))))</f>
        <v/>
      </c>
      <c r="F399" s="28">
        <f>IF($D399="","",IFERROR(INDEX(ENVIOS!$B$4:$B$3003,MATCH($D399,ENVIOS!$A$4:$A$3003,0)),"—"))</f>
        <v/>
      </c>
      <c r="G399" s="23">
        <f>IF($D399="","",IFERROR(INDEX(ENVIOS!$D$4:$D$3003,MATCH($D399,ENVIOS!$A$4:$A$3003,0)),"—"))</f>
        <v/>
      </c>
      <c r="H399" s="23">
        <f>IF($D399="","",IFERROR(INDEX(ENVIOS!$E$4:$E$3003,MATCH($D399,ENVIOS!$A$4:$A$3003,0)),"—"))</f>
        <v/>
      </c>
      <c r="I399" s="23">
        <f>IF($D399="","",IFERROR(INDEX(ENVIOS!$F$4:$F$3003,MATCH($D399,ENVIOS!$A$4:$A$3003,0)),"—"))</f>
        <v/>
      </c>
      <c r="J399" s="23">
        <f>IF($D399="","",IFERROR(INDEX(ENVIOS!$G$4:$G$3003,MATCH($D399,ENVIOS!$A$4:$A$3003,0)),"—"))</f>
        <v/>
      </c>
      <c r="K399" s="28">
        <f>IF($D399="","",IFERROR(INDEX(ENVIOS!$H$4:$H$3003,MATCH($D399,ENVIOS!$A$4:$A$3003,0)),"—"))</f>
        <v/>
      </c>
      <c r="L399" s="49">
        <f>IF($D399="","",IFERROR(INDEX(ENVIOS!$C$4:$C$3003,MATCH($D399,ENVIOS!$A$4:$A$3003,0)),""))</f>
        <v/>
      </c>
      <c r="M399" s="50" t="n"/>
      <c r="N399" s="28">
        <f>IF($M399="","",IFERROR(INDEX(CONFIG!$C$4:$C$63,MATCH($M399,CONFIG!$A$4:$A$63,0)),"Media"))</f>
        <v/>
      </c>
      <c r="O399" s="28">
        <f>IF($M399="","",IF($C399="Interna","NO",IFERROR(INDEX(CONFIG!$E$4:$E$63,MATCH($M399,CONFIG!$A$4:$A$63,0)),"NO")))</f>
        <v/>
      </c>
      <c r="P399" s="50" t="n"/>
      <c r="Q399" s="50" t="n"/>
      <c r="R399" s="28">
        <f>IF($Q399="","",IFERROR(INDEX(CONFIG!$H$4:$H$63,MATCH($Q399,CONFIG!$G$4:$G$63,0)),"Por definir"))</f>
        <v/>
      </c>
      <c r="S399" s="28">
        <f>IF($Q399="","",IFERROR(INDEX(CONFIG!$I$4:$I$63,MATCH($Q399,CONFIG!$G$4:$G$63,0)),"Por definir"))</f>
        <v/>
      </c>
      <c r="T399" s="51" t="n"/>
      <c r="U399" s="52" t="n"/>
      <c r="V399" s="50" t="n"/>
      <c r="W399" s="50" t="n"/>
      <c r="X399" s="49">
        <f>IF(OR($B399="",$M399=""),"",WORKDAY($B399,IFERROR(INDEX(CONFIG!$D$4:$D$63,MATCH($M399,CONFIG!$A$4:$A$63,0)),3)))</f>
        <v/>
      </c>
      <c r="Y399" s="47" t="n"/>
      <c r="Z399" s="24">
        <f>IF($B399="","",IF($Y399&lt;&gt;"",$Y399-$B399,TODAY()-$B399))</f>
        <v/>
      </c>
      <c r="AA399" s="28">
        <f>IF($B399="","",IF(IFERROR(INDEX(CONFIG!$L$4:$L$63,MATCH($V399,CONFIG!$K$4:$K$63,0)),"NO")="SÍ",IF(OR($Y399="",$X399=""),"Resuelta",IF($Y399&gt;$X399,"Resuelta tarde","Resuelta a tiempo")),IF($X399="","Sin clasificar",IF(TODAY()&gt;$X399,"Vencida",IF(TODAY()&gt;=$X399-1,"Por vencer","En plazo")))))</f>
        <v/>
      </c>
      <c r="AB399" s="50" t="n"/>
      <c r="AC399" s="50" t="n"/>
    </row>
    <row r="400" ht="16" customHeight="1">
      <c r="A400" s="28">
        <f>IF($B400="","","N-"&amp;TEXT(ROW()-3,"0000"))</f>
        <v/>
      </c>
      <c r="B400" s="47" t="n"/>
      <c r="C400" s="48" t="n"/>
      <c r="D400" s="48" t="n"/>
      <c r="E400" s="28">
        <f>IF($C400="","",IF($D400="",IF($C400="Interna","Sin guía (interna)","FALTA GUÍA"),IF(COUNTIFS(ENVIOS!$A$4:$A$3003,$D400)=0,"NO EXISTE",IF(COUNTIFS(ENVIOS!$A$4:$A$3003,$D400)&gt;1,"DUPLICADA","OK"))))</f>
        <v/>
      </c>
      <c r="F400" s="28">
        <f>IF($D400="","",IFERROR(INDEX(ENVIOS!$B$4:$B$3003,MATCH($D400,ENVIOS!$A$4:$A$3003,0)),"—"))</f>
        <v/>
      </c>
      <c r="G400" s="23">
        <f>IF($D400="","",IFERROR(INDEX(ENVIOS!$D$4:$D$3003,MATCH($D400,ENVIOS!$A$4:$A$3003,0)),"—"))</f>
        <v/>
      </c>
      <c r="H400" s="23">
        <f>IF($D400="","",IFERROR(INDEX(ENVIOS!$E$4:$E$3003,MATCH($D400,ENVIOS!$A$4:$A$3003,0)),"—"))</f>
        <v/>
      </c>
      <c r="I400" s="23">
        <f>IF($D400="","",IFERROR(INDEX(ENVIOS!$F$4:$F$3003,MATCH($D400,ENVIOS!$A$4:$A$3003,0)),"—"))</f>
        <v/>
      </c>
      <c r="J400" s="23">
        <f>IF($D400="","",IFERROR(INDEX(ENVIOS!$G$4:$G$3003,MATCH($D400,ENVIOS!$A$4:$A$3003,0)),"—"))</f>
        <v/>
      </c>
      <c r="K400" s="28">
        <f>IF($D400="","",IFERROR(INDEX(ENVIOS!$H$4:$H$3003,MATCH($D400,ENVIOS!$A$4:$A$3003,0)),"—"))</f>
        <v/>
      </c>
      <c r="L400" s="49">
        <f>IF($D400="","",IFERROR(INDEX(ENVIOS!$C$4:$C$3003,MATCH($D400,ENVIOS!$A$4:$A$3003,0)),""))</f>
        <v/>
      </c>
      <c r="M400" s="50" t="n"/>
      <c r="N400" s="28">
        <f>IF($M400="","",IFERROR(INDEX(CONFIG!$C$4:$C$63,MATCH($M400,CONFIG!$A$4:$A$63,0)),"Media"))</f>
        <v/>
      </c>
      <c r="O400" s="28">
        <f>IF($M400="","",IF($C400="Interna","NO",IFERROR(INDEX(CONFIG!$E$4:$E$63,MATCH($M400,CONFIG!$A$4:$A$63,0)),"NO")))</f>
        <v/>
      </c>
      <c r="P400" s="50" t="n"/>
      <c r="Q400" s="50" t="n"/>
      <c r="R400" s="28">
        <f>IF($Q400="","",IFERROR(INDEX(CONFIG!$H$4:$H$63,MATCH($Q400,CONFIG!$G$4:$G$63,0)),"Por definir"))</f>
        <v/>
      </c>
      <c r="S400" s="28">
        <f>IF($Q400="","",IFERROR(INDEX(CONFIG!$I$4:$I$63,MATCH($Q400,CONFIG!$G$4:$G$63,0)),"Por definir"))</f>
        <v/>
      </c>
      <c r="T400" s="51" t="n"/>
      <c r="U400" s="52" t="n"/>
      <c r="V400" s="50" t="n"/>
      <c r="W400" s="50" t="n"/>
      <c r="X400" s="49">
        <f>IF(OR($B400="",$M400=""),"",WORKDAY($B400,IFERROR(INDEX(CONFIG!$D$4:$D$63,MATCH($M400,CONFIG!$A$4:$A$63,0)),3)))</f>
        <v/>
      </c>
      <c r="Y400" s="47" t="n"/>
      <c r="Z400" s="24">
        <f>IF($B400="","",IF($Y400&lt;&gt;"",$Y400-$B400,TODAY()-$B400))</f>
        <v/>
      </c>
      <c r="AA400" s="28">
        <f>IF($B400="","",IF(IFERROR(INDEX(CONFIG!$L$4:$L$63,MATCH($V400,CONFIG!$K$4:$K$63,0)),"NO")="SÍ",IF(OR($Y400="",$X400=""),"Resuelta",IF($Y400&gt;$X400,"Resuelta tarde","Resuelta a tiempo")),IF($X400="","Sin clasificar",IF(TODAY()&gt;$X400,"Vencida",IF(TODAY()&gt;=$X400-1,"Por vencer","En plazo")))))</f>
        <v/>
      </c>
      <c r="AB400" s="50" t="n"/>
      <c r="AC400" s="50" t="n"/>
    </row>
    <row r="401" ht="16" customHeight="1">
      <c r="A401" s="28">
        <f>IF($B401="","","N-"&amp;TEXT(ROW()-3,"0000"))</f>
        <v/>
      </c>
      <c r="B401" s="47" t="n"/>
      <c r="C401" s="48" t="n"/>
      <c r="D401" s="48" t="n"/>
      <c r="E401" s="28">
        <f>IF($C401="","",IF($D401="",IF($C401="Interna","Sin guía (interna)","FALTA GUÍA"),IF(COUNTIFS(ENVIOS!$A$4:$A$3003,$D401)=0,"NO EXISTE",IF(COUNTIFS(ENVIOS!$A$4:$A$3003,$D401)&gt;1,"DUPLICADA","OK"))))</f>
        <v/>
      </c>
      <c r="F401" s="28">
        <f>IF($D401="","",IFERROR(INDEX(ENVIOS!$B$4:$B$3003,MATCH($D401,ENVIOS!$A$4:$A$3003,0)),"—"))</f>
        <v/>
      </c>
      <c r="G401" s="23">
        <f>IF($D401="","",IFERROR(INDEX(ENVIOS!$D$4:$D$3003,MATCH($D401,ENVIOS!$A$4:$A$3003,0)),"—"))</f>
        <v/>
      </c>
      <c r="H401" s="23">
        <f>IF($D401="","",IFERROR(INDEX(ENVIOS!$E$4:$E$3003,MATCH($D401,ENVIOS!$A$4:$A$3003,0)),"—"))</f>
        <v/>
      </c>
      <c r="I401" s="23">
        <f>IF($D401="","",IFERROR(INDEX(ENVIOS!$F$4:$F$3003,MATCH($D401,ENVIOS!$A$4:$A$3003,0)),"—"))</f>
        <v/>
      </c>
      <c r="J401" s="23">
        <f>IF($D401="","",IFERROR(INDEX(ENVIOS!$G$4:$G$3003,MATCH($D401,ENVIOS!$A$4:$A$3003,0)),"—"))</f>
        <v/>
      </c>
      <c r="K401" s="28">
        <f>IF($D401="","",IFERROR(INDEX(ENVIOS!$H$4:$H$3003,MATCH($D401,ENVIOS!$A$4:$A$3003,0)),"—"))</f>
        <v/>
      </c>
      <c r="L401" s="49">
        <f>IF($D401="","",IFERROR(INDEX(ENVIOS!$C$4:$C$3003,MATCH($D401,ENVIOS!$A$4:$A$3003,0)),""))</f>
        <v/>
      </c>
      <c r="M401" s="50" t="n"/>
      <c r="N401" s="28">
        <f>IF($M401="","",IFERROR(INDEX(CONFIG!$C$4:$C$63,MATCH($M401,CONFIG!$A$4:$A$63,0)),"Media"))</f>
        <v/>
      </c>
      <c r="O401" s="28">
        <f>IF($M401="","",IF($C401="Interna","NO",IFERROR(INDEX(CONFIG!$E$4:$E$63,MATCH($M401,CONFIG!$A$4:$A$63,0)),"NO")))</f>
        <v/>
      </c>
      <c r="P401" s="50" t="n"/>
      <c r="Q401" s="50" t="n"/>
      <c r="R401" s="28">
        <f>IF($Q401="","",IFERROR(INDEX(CONFIG!$H$4:$H$63,MATCH($Q401,CONFIG!$G$4:$G$63,0)),"Por definir"))</f>
        <v/>
      </c>
      <c r="S401" s="28">
        <f>IF($Q401="","",IFERROR(INDEX(CONFIG!$I$4:$I$63,MATCH($Q401,CONFIG!$G$4:$G$63,0)),"Por definir"))</f>
        <v/>
      </c>
      <c r="T401" s="51" t="n"/>
      <c r="U401" s="52" t="n"/>
      <c r="V401" s="50" t="n"/>
      <c r="W401" s="50" t="n"/>
      <c r="X401" s="49">
        <f>IF(OR($B401="",$M401=""),"",WORKDAY($B401,IFERROR(INDEX(CONFIG!$D$4:$D$63,MATCH($M401,CONFIG!$A$4:$A$63,0)),3)))</f>
        <v/>
      </c>
      <c r="Y401" s="47" t="n"/>
      <c r="Z401" s="24">
        <f>IF($B401="","",IF($Y401&lt;&gt;"",$Y401-$B401,TODAY()-$B401))</f>
        <v/>
      </c>
      <c r="AA401" s="28">
        <f>IF($B401="","",IF(IFERROR(INDEX(CONFIG!$L$4:$L$63,MATCH($V401,CONFIG!$K$4:$K$63,0)),"NO")="SÍ",IF(OR($Y401="",$X401=""),"Resuelta",IF($Y401&gt;$X401,"Resuelta tarde","Resuelta a tiempo")),IF($X401="","Sin clasificar",IF(TODAY()&gt;$X401,"Vencida",IF(TODAY()&gt;=$X401-1,"Por vencer","En plazo")))))</f>
        <v/>
      </c>
      <c r="AB401" s="50" t="n"/>
      <c r="AC401" s="50" t="n"/>
    </row>
    <row r="402" ht="16" customHeight="1">
      <c r="A402" s="28">
        <f>IF($B402="","","N-"&amp;TEXT(ROW()-3,"0000"))</f>
        <v/>
      </c>
      <c r="B402" s="47" t="n"/>
      <c r="C402" s="48" t="n"/>
      <c r="D402" s="48" t="n"/>
      <c r="E402" s="28">
        <f>IF($C402="","",IF($D402="",IF($C402="Interna","Sin guía (interna)","FALTA GUÍA"),IF(COUNTIFS(ENVIOS!$A$4:$A$3003,$D402)=0,"NO EXISTE",IF(COUNTIFS(ENVIOS!$A$4:$A$3003,$D402)&gt;1,"DUPLICADA","OK"))))</f>
        <v/>
      </c>
      <c r="F402" s="28">
        <f>IF($D402="","",IFERROR(INDEX(ENVIOS!$B$4:$B$3003,MATCH($D402,ENVIOS!$A$4:$A$3003,0)),"—"))</f>
        <v/>
      </c>
      <c r="G402" s="23">
        <f>IF($D402="","",IFERROR(INDEX(ENVIOS!$D$4:$D$3003,MATCH($D402,ENVIOS!$A$4:$A$3003,0)),"—"))</f>
        <v/>
      </c>
      <c r="H402" s="23">
        <f>IF($D402="","",IFERROR(INDEX(ENVIOS!$E$4:$E$3003,MATCH($D402,ENVIOS!$A$4:$A$3003,0)),"—"))</f>
        <v/>
      </c>
      <c r="I402" s="23">
        <f>IF($D402="","",IFERROR(INDEX(ENVIOS!$F$4:$F$3003,MATCH($D402,ENVIOS!$A$4:$A$3003,0)),"—"))</f>
        <v/>
      </c>
      <c r="J402" s="23">
        <f>IF($D402="","",IFERROR(INDEX(ENVIOS!$G$4:$G$3003,MATCH($D402,ENVIOS!$A$4:$A$3003,0)),"—"))</f>
        <v/>
      </c>
      <c r="K402" s="28">
        <f>IF($D402="","",IFERROR(INDEX(ENVIOS!$H$4:$H$3003,MATCH($D402,ENVIOS!$A$4:$A$3003,0)),"—"))</f>
        <v/>
      </c>
      <c r="L402" s="49">
        <f>IF($D402="","",IFERROR(INDEX(ENVIOS!$C$4:$C$3003,MATCH($D402,ENVIOS!$A$4:$A$3003,0)),""))</f>
        <v/>
      </c>
      <c r="M402" s="50" t="n"/>
      <c r="N402" s="28">
        <f>IF($M402="","",IFERROR(INDEX(CONFIG!$C$4:$C$63,MATCH($M402,CONFIG!$A$4:$A$63,0)),"Media"))</f>
        <v/>
      </c>
      <c r="O402" s="28">
        <f>IF($M402="","",IF($C402="Interna","NO",IFERROR(INDEX(CONFIG!$E$4:$E$63,MATCH($M402,CONFIG!$A$4:$A$63,0)),"NO")))</f>
        <v/>
      </c>
      <c r="P402" s="50" t="n"/>
      <c r="Q402" s="50" t="n"/>
      <c r="R402" s="28">
        <f>IF($Q402="","",IFERROR(INDEX(CONFIG!$H$4:$H$63,MATCH($Q402,CONFIG!$G$4:$G$63,0)),"Por definir"))</f>
        <v/>
      </c>
      <c r="S402" s="28">
        <f>IF($Q402="","",IFERROR(INDEX(CONFIG!$I$4:$I$63,MATCH($Q402,CONFIG!$G$4:$G$63,0)),"Por definir"))</f>
        <v/>
      </c>
      <c r="T402" s="51" t="n"/>
      <c r="U402" s="52" t="n"/>
      <c r="V402" s="50" t="n"/>
      <c r="W402" s="50" t="n"/>
      <c r="X402" s="49">
        <f>IF(OR($B402="",$M402=""),"",WORKDAY($B402,IFERROR(INDEX(CONFIG!$D$4:$D$63,MATCH($M402,CONFIG!$A$4:$A$63,0)),3)))</f>
        <v/>
      </c>
      <c r="Y402" s="47" t="n"/>
      <c r="Z402" s="24">
        <f>IF($B402="","",IF($Y402&lt;&gt;"",$Y402-$B402,TODAY()-$B402))</f>
        <v/>
      </c>
      <c r="AA402" s="28">
        <f>IF($B402="","",IF(IFERROR(INDEX(CONFIG!$L$4:$L$63,MATCH($V402,CONFIG!$K$4:$K$63,0)),"NO")="SÍ",IF(OR($Y402="",$X402=""),"Resuelta",IF($Y402&gt;$X402,"Resuelta tarde","Resuelta a tiempo")),IF($X402="","Sin clasificar",IF(TODAY()&gt;$X402,"Vencida",IF(TODAY()&gt;=$X402-1,"Por vencer","En plazo")))))</f>
        <v/>
      </c>
      <c r="AB402" s="50" t="n"/>
      <c r="AC402" s="50" t="n"/>
    </row>
    <row r="403" ht="16" customHeight="1">
      <c r="A403" s="28">
        <f>IF($B403="","","N-"&amp;TEXT(ROW()-3,"0000"))</f>
        <v/>
      </c>
      <c r="B403" s="47" t="n"/>
      <c r="C403" s="48" t="n"/>
      <c r="D403" s="48" t="n"/>
      <c r="E403" s="28">
        <f>IF($C403="","",IF($D403="",IF($C403="Interna","Sin guía (interna)","FALTA GUÍA"),IF(COUNTIFS(ENVIOS!$A$4:$A$3003,$D403)=0,"NO EXISTE",IF(COUNTIFS(ENVIOS!$A$4:$A$3003,$D403)&gt;1,"DUPLICADA","OK"))))</f>
        <v/>
      </c>
      <c r="F403" s="28">
        <f>IF($D403="","",IFERROR(INDEX(ENVIOS!$B$4:$B$3003,MATCH($D403,ENVIOS!$A$4:$A$3003,0)),"—"))</f>
        <v/>
      </c>
      <c r="G403" s="23">
        <f>IF($D403="","",IFERROR(INDEX(ENVIOS!$D$4:$D$3003,MATCH($D403,ENVIOS!$A$4:$A$3003,0)),"—"))</f>
        <v/>
      </c>
      <c r="H403" s="23">
        <f>IF($D403="","",IFERROR(INDEX(ENVIOS!$E$4:$E$3003,MATCH($D403,ENVIOS!$A$4:$A$3003,0)),"—"))</f>
        <v/>
      </c>
      <c r="I403" s="23">
        <f>IF($D403="","",IFERROR(INDEX(ENVIOS!$F$4:$F$3003,MATCH($D403,ENVIOS!$A$4:$A$3003,0)),"—"))</f>
        <v/>
      </c>
      <c r="J403" s="23">
        <f>IF($D403="","",IFERROR(INDEX(ENVIOS!$G$4:$G$3003,MATCH($D403,ENVIOS!$A$4:$A$3003,0)),"—"))</f>
        <v/>
      </c>
      <c r="K403" s="28">
        <f>IF($D403="","",IFERROR(INDEX(ENVIOS!$H$4:$H$3003,MATCH($D403,ENVIOS!$A$4:$A$3003,0)),"—"))</f>
        <v/>
      </c>
      <c r="L403" s="49">
        <f>IF($D403="","",IFERROR(INDEX(ENVIOS!$C$4:$C$3003,MATCH($D403,ENVIOS!$A$4:$A$3003,0)),""))</f>
        <v/>
      </c>
      <c r="M403" s="50" t="n"/>
      <c r="N403" s="28">
        <f>IF($M403="","",IFERROR(INDEX(CONFIG!$C$4:$C$63,MATCH($M403,CONFIG!$A$4:$A$63,0)),"Media"))</f>
        <v/>
      </c>
      <c r="O403" s="28">
        <f>IF($M403="","",IF($C403="Interna","NO",IFERROR(INDEX(CONFIG!$E$4:$E$63,MATCH($M403,CONFIG!$A$4:$A$63,0)),"NO")))</f>
        <v/>
      </c>
      <c r="P403" s="50" t="n"/>
      <c r="Q403" s="50" t="n"/>
      <c r="R403" s="28">
        <f>IF($Q403="","",IFERROR(INDEX(CONFIG!$H$4:$H$63,MATCH($Q403,CONFIG!$G$4:$G$63,0)),"Por definir"))</f>
        <v/>
      </c>
      <c r="S403" s="28">
        <f>IF($Q403="","",IFERROR(INDEX(CONFIG!$I$4:$I$63,MATCH($Q403,CONFIG!$G$4:$G$63,0)),"Por definir"))</f>
        <v/>
      </c>
      <c r="T403" s="51" t="n"/>
      <c r="U403" s="52" t="n"/>
      <c r="V403" s="50" t="n"/>
      <c r="W403" s="50" t="n"/>
      <c r="X403" s="49">
        <f>IF(OR($B403="",$M403=""),"",WORKDAY($B403,IFERROR(INDEX(CONFIG!$D$4:$D$63,MATCH($M403,CONFIG!$A$4:$A$63,0)),3)))</f>
        <v/>
      </c>
      <c r="Y403" s="47" t="n"/>
      <c r="Z403" s="24">
        <f>IF($B403="","",IF($Y403&lt;&gt;"",$Y403-$B403,TODAY()-$B403))</f>
        <v/>
      </c>
      <c r="AA403" s="28">
        <f>IF($B403="","",IF(IFERROR(INDEX(CONFIG!$L$4:$L$63,MATCH($V403,CONFIG!$K$4:$K$63,0)),"NO")="SÍ",IF(OR($Y403="",$X403=""),"Resuelta",IF($Y403&gt;$X403,"Resuelta tarde","Resuelta a tiempo")),IF($X403="","Sin clasificar",IF(TODAY()&gt;$X403,"Vencida",IF(TODAY()&gt;=$X403-1,"Por vencer","En plazo")))))</f>
        <v/>
      </c>
      <c r="AB403" s="50" t="n"/>
      <c r="AC403" s="50" t="n"/>
    </row>
    <row r="404" ht="16" customHeight="1">
      <c r="A404" s="28">
        <f>IF($B404="","","N-"&amp;TEXT(ROW()-3,"0000"))</f>
        <v/>
      </c>
      <c r="B404" s="47" t="n"/>
      <c r="C404" s="48" t="n"/>
      <c r="D404" s="48" t="n"/>
      <c r="E404" s="28">
        <f>IF($C404="","",IF($D404="",IF($C404="Interna","Sin guía (interna)","FALTA GUÍA"),IF(COUNTIFS(ENVIOS!$A$4:$A$3003,$D404)=0,"NO EXISTE",IF(COUNTIFS(ENVIOS!$A$4:$A$3003,$D404)&gt;1,"DUPLICADA","OK"))))</f>
        <v/>
      </c>
      <c r="F404" s="28">
        <f>IF($D404="","",IFERROR(INDEX(ENVIOS!$B$4:$B$3003,MATCH($D404,ENVIOS!$A$4:$A$3003,0)),"—"))</f>
        <v/>
      </c>
      <c r="G404" s="23">
        <f>IF($D404="","",IFERROR(INDEX(ENVIOS!$D$4:$D$3003,MATCH($D404,ENVIOS!$A$4:$A$3003,0)),"—"))</f>
        <v/>
      </c>
      <c r="H404" s="23">
        <f>IF($D404="","",IFERROR(INDEX(ENVIOS!$E$4:$E$3003,MATCH($D404,ENVIOS!$A$4:$A$3003,0)),"—"))</f>
        <v/>
      </c>
      <c r="I404" s="23">
        <f>IF($D404="","",IFERROR(INDEX(ENVIOS!$F$4:$F$3003,MATCH($D404,ENVIOS!$A$4:$A$3003,0)),"—"))</f>
        <v/>
      </c>
      <c r="J404" s="23">
        <f>IF($D404="","",IFERROR(INDEX(ENVIOS!$G$4:$G$3003,MATCH($D404,ENVIOS!$A$4:$A$3003,0)),"—"))</f>
        <v/>
      </c>
      <c r="K404" s="28">
        <f>IF($D404="","",IFERROR(INDEX(ENVIOS!$H$4:$H$3003,MATCH($D404,ENVIOS!$A$4:$A$3003,0)),"—"))</f>
        <v/>
      </c>
      <c r="L404" s="49">
        <f>IF($D404="","",IFERROR(INDEX(ENVIOS!$C$4:$C$3003,MATCH($D404,ENVIOS!$A$4:$A$3003,0)),""))</f>
        <v/>
      </c>
      <c r="M404" s="50" t="n"/>
      <c r="N404" s="28">
        <f>IF($M404="","",IFERROR(INDEX(CONFIG!$C$4:$C$63,MATCH($M404,CONFIG!$A$4:$A$63,0)),"Media"))</f>
        <v/>
      </c>
      <c r="O404" s="28">
        <f>IF($M404="","",IF($C404="Interna","NO",IFERROR(INDEX(CONFIG!$E$4:$E$63,MATCH($M404,CONFIG!$A$4:$A$63,0)),"NO")))</f>
        <v/>
      </c>
      <c r="P404" s="50" t="n"/>
      <c r="Q404" s="50" t="n"/>
      <c r="R404" s="28">
        <f>IF($Q404="","",IFERROR(INDEX(CONFIG!$H$4:$H$63,MATCH($Q404,CONFIG!$G$4:$G$63,0)),"Por definir"))</f>
        <v/>
      </c>
      <c r="S404" s="28">
        <f>IF($Q404="","",IFERROR(INDEX(CONFIG!$I$4:$I$63,MATCH($Q404,CONFIG!$G$4:$G$63,0)),"Por definir"))</f>
        <v/>
      </c>
      <c r="T404" s="51" t="n"/>
      <c r="U404" s="52" t="n"/>
      <c r="V404" s="50" t="n"/>
      <c r="W404" s="50" t="n"/>
      <c r="X404" s="49">
        <f>IF(OR($B404="",$M404=""),"",WORKDAY($B404,IFERROR(INDEX(CONFIG!$D$4:$D$63,MATCH($M404,CONFIG!$A$4:$A$63,0)),3)))</f>
        <v/>
      </c>
      <c r="Y404" s="47" t="n"/>
      <c r="Z404" s="24">
        <f>IF($B404="","",IF($Y404&lt;&gt;"",$Y404-$B404,TODAY()-$B404))</f>
        <v/>
      </c>
      <c r="AA404" s="28">
        <f>IF($B404="","",IF(IFERROR(INDEX(CONFIG!$L$4:$L$63,MATCH($V404,CONFIG!$K$4:$K$63,0)),"NO")="SÍ",IF(OR($Y404="",$X404=""),"Resuelta",IF($Y404&gt;$X404,"Resuelta tarde","Resuelta a tiempo")),IF($X404="","Sin clasificar",IF(TODAY()&gt;$X404,"Vencida",IF(TODAY()&gt;=$X404-1,"Por vencer","En plazo")))))</f>
        <v/>
      </c>
      <c r="AB404" s="50" t="n"/>
      <c r="AC404" s="50" t="n"/>
    </row>
    <row r="405" ht="16" customHeight="1">
      <c r="A405" s="28">
        <f>IF($B405="","","N-"&amp;TEXT(ROW()-3,"0000"))</f>
        <v/>
      </c>
      <c r="B405" s="47" t="n"/>
      <c r="C405" s="48" t="n"/>
      <c r="D405" s="48" t="n"/>
      <c r="E405" s="28">
        <f>IF($C405="","",IF($D405="",IF($C405="Interna","Sin guía (interna)","FALTA GUÍA"),IF(COUNTIFS(ENVIOS!$A$4:$A$3003,$D405)=0,"NO EXISTE",IF(COUNTIFS(ENVIOS!$A$4:$A$3003,$D405)&gt;1,"DUPLICADA","OK"))))</f>
        <v/>
      </c>
      <c r="F405" s="28">
        <f>IF($D405="","",IFERROR(INDEX(ENVIOS!$B$4:$B$3003,MATCH($D405,ENVIOS!$A$4:$A$3003,0)),"—"))</f>
        <v/>
      </c>
      <c r="G405" s="23">
        <f>IF($D405="","",IFERROR(INDEX(ENVIOS!$D$4:$D$3003,MATCH($D405,ENVIOS!$A$4:$A$3003,0)),"—"))</f>
        <v/>
      </c>
      <c r="H405" s="23">
        <f>IF($D405="","",IFERROR(INDEX(ENVIOS!$E$4:$E$3003,MATCH($D405,ENVIOS!$A$4:$A$3003,0)),"—"))</f>
        <v/>
      </c>
      <c r="I405" s="23">
        <f>IF($D405="","",IFERROR(INDEX(ENVIOS!$F$4:$F$3003,MATCH($D405,ENVIOS!$A$4:$A$3003,0)),"—"))</f>
        <v/>
      </c>
      <c r="J405" s="23">
        <f>IF($D405="","",IFERROR(INDEX(ENVIOS!$G$4:$G$3003,MATCH($D405,ENVIOS!$A$4:$A$3003,0)),"—"))</f>
        <v/>
      </c>
      <c r="K405" s="28">
        <f>IF($D405="","",IFERROR(INDEX(ENVIOS!$H$4:$H$3003,MATCH($D405,ENVIOS!$A$4:$A$3003,0)),"—"))</f>
        <v/>
      </c>
      <c r="L405" s="49">
        <f>IF($D405="","",IFERROR(INDEX(ENVIOS!$C$4:$C$3003,MATCH($D405,ENVIOS!$A$4:$A$3003,0)),""))</f>
        <v/>
      </c>
      <c r="M405" s="50" t="n"/>
      <c r="N405" s="28">
        <f>IF($M405="","",IFERROR(INDEX(CONFIG!$C$4:$C$63,MATCH($M405,CONFIG!$A$4:$A$63,0)),"Media"))</f>
        <v/>
      </c>
      <c r="O405" s="28">
        <f>IF($M405="","",IF($C405="Interna","NO",IFERROR(INDEX(CONFIG!$E$4:$E$63,MATCH($M405,CONFIG!$A$4:$A$63,0)),"NO")))</f>
        <v/>
      </c>
      <c r="P405" s="50" t="n"/>
      <c r="Q405" s="50" t="n"/>
      <c r="R405" s="28">
        <f>IF($Q405="","",IFERROR(INDEX(CONFIG!$H$4:$H$63,MATCH($Q405,CONFIG!$G$4:$G$63,0)),"Por definir"))</f>
        <v/>
      </c>
      <c r="S405" s="28">
        <f>IF($Q405="","",IFERROR(INDEX(CONFIG!$I$4:$I$63,MATCH($Q405,CONFIG!$G$4:$G$63,0)),"Por definir"))</f>
        <v/>
      </c>
      <c r="T405" s="51" t="n"/>
      <c r="U405" s="52" t="n"/>
      <c r="V405" s="50" t="n"/>
      <c r="W405" s="50" t="n"/>
      <c r="X405" s="49">
        <f>IF(OR($B405="",$M405=""),"",WORKDAY($B405,IFERROR(INDEX(CONFIG!$D$4:$D$63,MATCH($M405,CONFIG!$A$4:$A$63,0)),3)))</f>
        <v/>
      </c>
      <c r="Y405" s="47" t="n"/>
      <c r="Z405" s="24">
        <f>IF($B405="","",IF($Y405&lt;&gt;"",$Y405-$B405,TODAY()-$B405))</f>
        <v/>
      </c>
      <c r="AA405" s="28">
        <f>IF($B405="","",IF(IFERROR(INDEX(CONFIG!$L$4:$L$63,MATCH($V405,CONFIG!$K$4:$K$63,0)),"NO")="SÍ",IF(OR($Y405="",$X405=""),"Resuelta",IF($Y405&gt;$X405,"Resuelta tarde","Resuelta a tiempo")),IF($X405="","Sin clasificar",IF(TODAY()&gt;$X405,"Vencida",IF(TODAY()&gt;=$X405-1,"Por vencer","En plazo")))))</f>
        <v/>
      </c>
      <c r="AB405" s="50" t="n"/>
      <c r="AC405" s="50" t="n"/>
    </row>
    <row r="406" ht="16" customHeight="1">
      <c r="A406" s="28">
        <f>IF($B406="","","N-"&amp;TEXT(ROW()-3,"0000"))</f>
        <v/>
      </c>
      <c r="B406" s="47" t="n"/>
      <c r="C406" s="48" t="n"/>
      <c r="D406" s="48" t="n"/>
      <c r="E406" s="28">
        <f>IF($C406="","",IF($D406="",IF($C406="Interna","Sin guía (interna)","FALTA GUÍA"),IF(COUNTIFS(ENVIOS!$A$4:$A$3003,$D406)=0,"NO EXISTE",IF(COUNTIFS(ENVIOS!$A$4:$A$3003,$D406)&gt;1,"DUPLICADA","OK"))))</f>
        <v/>
      </c>
      <c r="F406" s="28">
        <f>IF($D406="","",IFERROR(INDEX(ENVIOS!$B$4:$B$3003,MATCH($D406,ENVIOS!$A$4:$A$3003,0)),"—"))</f>
        <v/>
      </c>
      <c r="G406" s="23">
        <f>IF($D406="","",IFERROR(INDEX(ENVIOS!$D$4:$D$3003,MATCH($D406,ENVIOS!$A$4:$A$3003,0)),"—"))</f>
        <v/>
      </c>
      <c r="H406" s="23">
        <f>IF($D406="","",IFERROR(INDEX(ENVIOS!$E$4:$E$3003,MATCH($D406,ENVIOS!$A$4:$A$3003,0)),"—"))</f>
        <v/>
      </c>
      <c r="I406" s="23">
        <f>IF($D406="","",IFERROR(INDEX(ENVIOS!$F$4:$F$3003,MATCH($D406,ENVIOS!$A$4:$A$3003,0)),"—"))</f>
        <v/>
      </c>
      <c r="J406" s="23">
        <f>IF($D406="","",IFERROR(INDEX(ENVIOS!$G$4:$G$3003,MATCH($D406,ENVIOS!$A$4:$A$3003,0)),"—"))</f>
        <v/>
      </c>
      <c r="K406" s="28">
        <f>IF($D406="","",IFERROR(INDEX(ENVIOS!$H$4:$H$3003,MATCH($D406,ENVIOS!$A$4:$A$3003,0)),"—"))</f>
        <v/>
      </c>
      <c r="L406" s="49">
        <f>IF($D406="","",IFERROR(INDEX(ENVIOS!$C$4:$C$3003,MATCH($D406,ENVIOS!$A$4:$A$3003,0)),""))</f>
        <v/>
      </c>
      <c r="M406" s="50" t="n"/>
      <c r="N406" s="28">
        <f>IF($M406="","",IFERROR(INDEX(CONFIG!$C$4:$C$63,MATCH($M406,CONFIG!$A$4:$A$63,0)),"Media"))</f>
        <v/>
      </c>
      <c r="O406" s="28">
        <f>IF($M406="","",IF($C406="Interna","NO",IFERROR(INDEX(CONFIG!$E$4:$E$63,MATCH($M406,CONFIG!$A$4:$A$63,0)),"NO")))</f>
        <v/>
      </c>
      <c r="P406" s="50" t="n"/>
      <c r="Q406" s="50" t="n"/>
      <c r="R406" s="28">
        <f>IF($Q406="","",IFERROR(INDEX(CONFIG!$H$4:$H$63,MATCH($Q406,CONFIG!$G$4:$G$63,0)),"Por definir"))</f>
        <v/>
      </c>
      <c r="S406" s="28">
        <f>IF($Q406="","",IFERROR(INDEX(CONFIG!$I$4:$I$63,MATCH($Q406,CONFIG!$G$4:$G$63,0)),"Por definir"))</f>
        <v/>
      </c>
      <c r="T406" s="51" t="n"/>
      <c r="U406" s="52" t="n"/>
      <c r="V406" s="50" t="n"/>
      <c r="W406" s="50" t="n"/>
      <c r="X406" s="49">
        <f>IF(OR($B406="",$M406=""),"",WORKDAY($B406,IFERROR(INDEX(CONFIG!$D$4:$D$63,MATCH($M406,CONFIG!$A$4:$A$63,0)),3)))</f>
        <v/>
      </c>
      <c r="Y406" s="47" t="n"/>
      <c r="Z406" s="24">
        <f>IF($B406="","",IF($Y406&lt;&gt;"",$Y406-$B406,TODAY()-$B406))</f>
        <v/>
      </c>
      <c r="AA406" s="28">
        <f>IF($B406="","",IF(IFERROR(INDEX(CONFIG!$L$4:$L$63,MATCH($V406,CONFIG!$K$4:$K$63,0)),"NO")="SÍ",IF(OR($Y406="",$X406=""),"Resuelta",IF($Y406&gt;$X406,"Resuelta tarde","Resuelta a tiempo")),IF($X406="","Sin clasificar",IF(TODAY()&gt;$X406,"Vencida",IF(TODAY()&gt;=$X406-1,"Por vencer","En plazo")))))</f>
        <v/>
      </c>
      <c r="AB406" s="50" t="n"/>
      <c r="AC406" s="50" t="n"/>
    </row>
    <row r="407" ht="16" customHeight="1">
      <c r="A407" s="28">
        <f>IF($B407="","","N-"&amp;TEXT(ROW()-3,"0000"))</f>
        <v/>
      </c>
      <c r="B407" s="47" t="n"/>
      <c r="C407" s="48" t="n"/>
      <c r="D407" s="48" t="n"/>
      <c r="E407" s="28">
        <f>IF($C407="","",IF($D407="",IF($C407="Interna","Sin guía (interna)","FALTA GUÍA"),IF(COUNTIFS(ENVIOS!$A$4:$A$3003,$D407)=0,"NO EXISTE",IF(COUNTIFS(ENVIOS!$A$4:$A$3003,$D407)&gt;1,"DUPLICADA","OK"))))</f>
        <v/>
      </c>
      <c r="F407" s="28">
        <f>IF($D407="","",IFERROR(INDEX(ENVIOS!$B$4:$B$3003,MATCH($D407,ENVIOS!$A$4:$A$3003,0)),"—"))</f>
        <v/>
      </c>
      <c r="G407" s="23">
        <f>IF($D407="","",IFERROR(INDEX(ENVIOS!$D$4:$D$3003,MATCH($D407,ENVIOS!$A$4:$A$3003,0)),"—"))</f>
        <v/>
      </c>
      <c r="H407" s="23">
        <f>IF($D407="","",IFERROR(INDEX(ENVIOS!$E$4:$E$3003,MATCH($D407,ENVIOS!$A$4:$A$3003,0)),"—"))</f>
        <v/>
      </c>
      <c r="I407" s="23">
        <f>IF($D407="","",IFERROR(INDEX(ENVIOS!$F$4:$F$3003,MATCH($D407,ENVIOS!$A$4:$A$3003,0)),"—"))</f>
        <v/>
      </c>
      <c r="J407" s="23">
        <f>IF($D407="","",IFERROR(INDEX(ENVIOS!$G$4:$G$3003,MATCH($D407,ENVIOS!$A$4:$A$3003,0)),"—"))</f>
        <v/>
      </c>
      <c r="K407" s="28">
        <f>IF($D407="","",IFERROR(INDEX(ENVIOS!$H$4:$H$3003,MATCH($D407,ENVIOS!$A$4:$A$3003,0)),"—"))</f>
        <v/>
      </c>
      <c r="L407" s="49">
        <f>IF($D407="","",IFERROR(INDEX(ENVIOS!$C$4:$C$3003,MATCH($D407,ENVIOS!$A$4:$A$3003,0)),""))</f>
        <v/>
      </c>
      <c r="M407" s="50" t="n"/>
      <c r="N407" s="28">
        <f>IF($M407="","",IFERROR(INDEX(CONFIG!$C$4:$C$63,MATCH($M407,CONFIG!$A$4:$A$63,0)),"Media"))</f>
        <v/>
      </c>
      <c r="O407" s="28">
        <f>IF($M407="","",IF($C407="Interna","NO",IFERROR(INDEX(CONFIG!$E$4:$E$63,MATCH($M407,CONFIG!$A$4:$A$63,0)),"NO")))</f>
        <v/>
      </c>
      <c r="P407" s="50" t="n"/>
      <c r="Q407" s="50" t="n"/>
      <c r="R407" s="28">
        <f>IF($Q407="","",IFERROR(INDEX(CONFIG!$H$4:$H$63,MATCH($Q407,CONFIG!$G$4:$G$63,0)),"Por definir"))</f>
        <v/>
      </c>
      <c r="S407" s="28">
        <f>IF($Q407="","",IFERROR(INDEX(CONFIG!$I$4:$I$63,MATCH($Q407,CONFIG!$G$4:$G$63,0)),"Por definir"))</f>
        <v/>
      </c>
      <c r="T407" s="51" t="n"/>
      <c r="U407" s="52" t="n"/>
      <c r="V407" s="50" t="n"/>
      <c r="W407" s="50" t="n"/>
      <c r="X407" s="49">
        <f>IF(OR($B407="",$M407=""),"",WORKDAY($B407,IFERROR(INDEX(CONFIG!$D$4:$D$63,MATCH($M407,CONFIG!$A$4:$A$63,0)),3)))</f>
        <v/>
      </c>
      <c r="Y407" s="47" t="n"/>
      <c r="Z407" s="24">
        <f>IF($B407="","",IF($Y407&lt;&gt;"",$Y407-$B407,TODAY()-$B407))</f>
        <v/>
      </c>
      <c r="AA407" s="28">
        <f>IF($B407="","",IF(IFERROR(INDEX(CONFIG!$L$4:$L$63,MATCH($V407,CONFIG!$K$4:$K$63,0)),"NO")="SÍ",IF(OR($Y407="",$X407=""),"Resuelta",IF($Y407&gt;$X407,"Resuelta tarde","Resuelta a tiempo")),IF($X407="","Sin clasificar",IF(TODAY()&gt;$X407,"Vencida",IF(TODAY()&gt;=$X407-1,"Por vencer","En plazo")))))</f>
        <v/>
      </c>
      <c r="AB407" s="50" t="n"/>
      <c r="AC407" s="50" t="n"/>
    </row>
    <row r="408" ht="16" customHeight="1">
      <c r="A408" s="28">
        <f>IF($B408="","","N-"&amp;TEXT(ROW()-3,"0000"))</f>
        <v/>
      </c>
      <c r="B408" s="47" t="n"/>
      <c r="C408" s="48" t="n"/>
      <c r="D408" s="48" t="n"/>
      <c r="E408" s="28">
        <f>IF($C408="","",IF($D408="",IF($C408="Interna","Sin guía (interna)","FALTA GUÍA"),IF(COUNTIFS(ENVIOS!$A$4:$A$3003,$D408)=0,"NO EXISTE",IF(COUNTIFS(ENVIOS!$A$4:$A$3003,$D408)&gt;1,"DUPLICADA","OK"))))</f>
        <v/>
      </c>
      <c r="F408" s="28">
        <f>IF($D408="","",IFERROR(INDEX(ENVIOS!$B$4:$B$3003,MATCH($D408,ENVIOS!$A$4:$A$3003,0)),"—"))</f>
        <v/>
      </c>
      <c r="G408" s="23">
        <f>IF($D408="","",IFERROR(INDEX(ENVIOS!$D$4:$D$3003,MATCH($D408,ENVIOS!$A$4:$A$3003,0)),"—"))</f>
        <v/>
      </c>
      <c r="H408" s="23">
        <f>IF($D408="","",IFERROR(INDEX(ENVIOS!$E$4:$E$3003,MATCH($D408,ENVIOS!$A$4:$A$3003,0)),"—"))</f>
        <v/>
      </c>
      <c r="I408" s="23">
        <f>IF($D408="","",IFERROR(INDEX(ENVIOS!$F$4:$F$3003,MATCH($D408,ENVIOS!$A$4:$A$3003,0)),"—"))</f>
        <v/>
      </c>
      <c r="J408" s="23">
        <f>IF($D408="","",IFERROR(INDEX(ENVIOS!$G$4:$G$3003,MATCH($D408,ENVIOS!$A$4:$A$3003,0)),"—"))</f>
        <v/>
      </c>
      <c r="K408" s="28">
        <f>IF($D408="","",IFERROR(INDEX(ENVIOS!$H$4:$H$3003,MATCH($D408,ENVIOS!$A$4:$A$3003,0)),"—"))</f>
        <v/>
      </c>
      <c r="L408" s="49">
        <f>IF($D408="","",IFERROR(INDEX(ENVIOS!$C$4:$C$3003,MATCH($D408,ENVIOS!$A$4:$A$3003,0)),""))</f>
        <v/>
      </c>
      <c r="M408" s="50" t="n"/>
      <c r="N408" s="28">
        <f>IF($M408="","",IFERROR(INDEX(CONFIG!$C$4:$C$63,MATCH($M408,CONFIG!$A$4:$A$63,0)),"Media"))</f>
        <v/>
      </c>
      <c r="O408" s="28">
        <f>IF($M408="","",IF($C408="Interna","NO",IFERROR(INDEX(CONFIG!$E$4:$E$63,MATCH($M408,CONFIG!$A$4:$A$63,0)),"NO")))</f>
        <v/>
      </c>
      <c r="P408" s="50" t="n"/>
      <c r="Q408" s="50" t="n"/>
      <c r="R408" s="28">
        <f>IF($Q408="","",IFERROR(INDEX(CONFIG!$H$4:$H$63,MATCH($Q408,CONFIG!$G$4:$G$63,0)),"Por definir"))</f>
        <v/>
      </c>
      <c r="S408" s="28">
        <f>IF($Q408="","",IFERROR(INDEX(CONFIG!$I$4:$I$63,MATCH($Q408,CONFIG!$G$4:$G$63,0)),"Por definir"))</f>
        <v/>
      </c>
      <c r="T408" s="51" t="n"/>
      <c r="U408" s="52" t="n"/>
      <c r="V408" s="50" t="n"/>
      <c r="W408" s="50" t="n"/>
      <c r="X408" s="49">
        <f>IF(OR($B408="",$M408=""),"",WORKDAY($B408,IFERROR(INDEX(CONFIG!$D$4:$D$63,MATCH($M408,CONFIG!$A$4:$A$63,0)),3)))</f>
        <v/>
      </c>
      <c r="Y408" s="47" t="n"/>
      <c r="Z408" s="24">
        <f>IF($B408="","",IF($Y408&lt;&gt;"",$Y408-$B408,TODAY()-$B408))</f>
        <v/>
      </c>
      <c r="AA408" s="28">
        <f>IF($B408="","",IF(IFERROR(INDEX(CONFIG!$L$4:$L$63,MATCH($V408,CONFIG!$K$4:$K$63,0)),"NO")="SÍ",IF(OR($Y408="",$X408=""),"Resuelta",IF($Y408&gt;$X408,"Resuelta tarde","Resuelta a tiempo")),IF($X408="","Sin clasificar",IF(TODAY()&gt;$X408,"Vencida",IF(TODAY()&gt;=$X408-1,"Por vencer","En plazo")))))</f>
        <v/>
      </c>
      <c r="AB408" s="50" t="n"/>
      <c r="AC408" s="50" t="n"/>
    </row>
    <row r="409" ht="16" customHeight="1">
      <c r="A409" s="28">
        <f>IF($B409="","","N-"&amp;TEXT(ROW()-3,"0000"))</f>
        <v/>
      </c>
      <c r="B409" s="47" t="n"/>
      <c r="C409" s="48" t="n"/>
      <c r="D409" s="48" t="n"/>
      <c r="E409" s="28">
        <f>IF($C409="","",IF($D409="",IF($C409="Interna","Sin guía (interna)","FALTA GUÍA"),IF(COUNTIFS(ENVIOS!$A$4:$A$3003,$D409)=0,"NO EXISTE",IF(COUNTIFS(ENVIOS!$A$4:$A$3003,$D409)&gt;1,"DUPLICADA","OK"))))</f>
        <v/>
      </c>
      <c r="F409" s="28">
        <f>IF($D409="","",IFERROR(INDEX(ENVIOS!$B$4:$B$3003,MATCH($D409,ENVIOS!$A$4:$A$3003,0)),"—"))</f>
        <v/>
      </c>
      <c r="G409" s="23">
        <f>IF($D409="","",IFERROR(INDEX(ENVIOS!$D$4:$D$3003,MATCH($D409,ENVIOS!$A$4:$A$3003,0)),"—"))</f>
        <v/>
      </c>
      <c r="H409" s="23">
        <f>IF($D409="","",IFERROR(INDEX(ENVIOS!$E$4:$E$3003,MATCH($D409,ENVIOS!$A$4:$A$3003,0)),"—"))</f>
        <v/>
      </c>
      <c r="I409" s="23">
        <f>IF($D409="","",IFERROR(INDEX(ENVIOS!$F$4:$F$3003,MATCH($D409,ENVIOS!$A$4:$A$3003,0)),"—"))</f>
        <v/>
      </c>
      <c r="J409" s="23">
        <f>IF($D409="","",IFERROR(INDEX(ENVIOS!$G$4:$G$3003,MATCH($D409,ENVIOS!$A$4:$A$3003,0)),"—"))</f>
        <v/>
      </c>
      <c r="K409" s="28">
        <f>IF($D409="","",IFERROR(INDEX(ENVIOS!$H$4:$H$3003,MATCH($D409,ENVIOS!$A$4:$A$3003,0)),"—"))</f>
        <v/>
      </c>
      <c r="L409" s="49">
        <f>IF($D409="","",IFERROR(INDEX(ENVIOS!$C$4:$C$3003,MATCH($D409,ENVIOS!$A$4:$A$3003,0)),""))</f>
        <v/>
      </c>
      <c r="M409" s="50" t="n"/>
      <c r="N409" s="28">
        <f>IF($M409="","",IFERROR(INDEX(CONFIG!$C$4:$C$63,MATCH($M409,CONFIG!$A$4:$A$63,0)),"Media"))</f>
        <v/>
      </c>
      <c r="O409" s="28">
        <f>IF($M409="","",IF($C409="Interna","NO",IFERROR(INDEX(CONFIG!$E$4:$E$63,MATCH($M409,CONFIG!$A$4:$A$63,0)),"NO")))</f>
        <v/>
      </c>
      <c r="P409" s="50" t="n"/>
      <c r="Q409" s="50" t="n"/>
      <c r="R409" s="28">
        <f>IF($Q409="","",IFERROR(INDEX(CONFIG!$H$4:$H$63,MATCH($Q409,CONFIG!$G$4:$G$63,0)),"Por definir"))</f>
        <v/>
      </c>
      <c r="S409" s="28">
        <f>IF($Q409="","",IFERROR(INDEX(CONFIG!$I$4:$I$63,MATCH($Q409,CONFIG!$G$4:$G$63,0)),"Por definir"))</f>
        <v/>
      </c>
      <c r="T409" s="51" t="n"/>
      <c r="U409" s="52" t="n"/>
      <c r="V409" s="50" t="n"/>
      <c r="W409" s="50" t="n"/>
      <c r="X409" s="49">
        <f>IF(OR($B409="",$M409=""),"",WORKDAY($B409,IFERROR(INDEX(CONFIG!$D$4:$D$63,MATCH($M409,CONFIG!$A$4:$A$63,0)),3)))</f>
        <v/>
      </c>
      <c r="Y409" s="47" t="n"/>
      <c r="Z409" s="24">
        <f>IF($B409="","",IF($Y409&lt;&gt;"",$Y409-$B409,TODAY()-$B409))</f>
        <v/>
      </c>
      <c r="AA409" s="28">
        <f>IF($B409="","",IF(IFERROR(INDEX(CONFIG!$L$4:$L$63,MATCH($V409,CONFIG!$K$4:$K$63,0)),"NO")="SÍ",IF(OR($Y409="",$X409=""),"Resuelta",IF($Y409&gt;$X409,"Resuelta tarde","Resuelta a tiempo")),IF($X409="","Sin clasificar",IF(TODAY()&gt;$X409,"Vencida",IF(TODAY()&gt;=$X409-1,"Por vencer","En plazo")))))</f>
        <v/>
      </c>
      <c r="AB409" s="50" t="n"/>
      <c r="AC409" s="50" t="n"/>
    </row>
    <row r="410" ht="16" customHeight="1">
      <c r="A410" s="28">
        <f>IF($B410="","","N-"&amp;TEXT(ROW()-3,"0000"))</f>
        <v/>
      </c>
      <c r="B410" s="47" t="n"/>
      <c r="C410" s="48" t="n"/>
      <c r="D410" s="48" t="n"/>
      <c r="E410" s="28">
        <f>IF($C410="","",IF($D410="",IF($C410="Interna","Sin guía (interna)","FALTA GUÍA"),IF(COUNTIFS(ENVIOS!$A$4:$A$3003,$D410)=0,"NO EXISTE",IF(COUNTIFS(ENVIOS!$A$4:$A$3003,$D410)&gt;1,"DUPLICADA","OK"))))</f>
        <v/>
      </c>
      <c r="F410" s="28">
        <f>IF($D410="","",IFERROR(INDEX(ENVIOS!$B$4:$B$3003,MATCH($D410,ENVIOS!$A$4:$A$3003,0)),"—"))</f>
        <v/>
      </c>
      <c r="G410" s="23">
        <f>IF($D410="","",IFERROR(INDEX(ENVIOS!$D$4:$D$3003,MATCH($D410,ENVIOS!$A$4:$A$3003,0)),"—"))</f>
        <v/>
      </c>
      <c r="H410" s="23">
        <f>IF($D410="","",IFERROR(INDEX(ENVIOS!$E$4:$E$3003,MATCH($D410,ENVIOS!$A$4:$A$3003,0)),"—"))</f>
        <v/>
      </c>
      <c r="I410" s="23">
        <f>IF($D410="","",IFERROR(INDEX(ENVIOS!$F$4:$F$3003,MATCH($D410,ENVIOS!$A$4:$A$3003,0)),"—"))</f>
        <v/>
      </c>
      <c r="J410" s="23">
        <f>IF($D410="","",IFERROR(INDEX(ENVIOS!$G$4:$G$3003,MATCH($D410,ENVIOS!$A$4:$A$3003,0)),"—"))</f>
        <v/>
      </c>
      <c r="K410" s="28">
        <f>IF($D410="","",IFERROR(INDEX(ENVIOS!$H$4:$H$3003,MATCH($D410,ENVIOS!$A$4:$A$3003,0)),"—"))</f>
        <v/>
      </c>
      <c r="L410" s="49">
        <f>IF($D410="","",IFERROR(INDEX(ENVIOS!$C$4:$C$3003,MATCH($D410,ENVIOS!$A$4:$A$3003,0)),""))</f>
        <v/>
      </c>
      <c r="M410" s="50" t="n"/>
      <c r="N410" s="28">
        <f>IF($M410="","",IFERROR(INDEX(CONFIG!$C$4:$C$63,MATCH($M410,CONFIG!$A$4:$A$63,0)),"Media"))</f>
        <v/>
      </c>
      <c r="O410" s="28">
        <f>IF($M410="","",IF($C410="Interna","NO",IFERROR(INDEX(CONFIG!$E$4:$E$63,MATCH($M410,CONFIG!$A$4:$A$63,0)),"NO")))</f>
        <v/>
      </c>
      <c r="P410" s="50" t="n"/>
      <c r="Q410" s="50" t="n"/>
      <c r="R410" s="28">
        <f>IF($Q410="","",IFERROR(INDEX(CONFIG!$H$4:$H$63,MATCH($Q410,CONFIG!$G$4:$G$63,0)),"Por definir"))</f>
        <v/>
      </c>
      <c r="S410" s="28">
        <f>IF($Q410="","",IFERROR(INDEX(CONFIG!$I$4:$I$63,MATCH($Q410,CONFIG!$G$4:$G$63,0)),"Por definir"))</f>
        <v/>
      </c>
      <c r="T410" s="51" t="n"/>
      <c r="U410" s="52" t="n"/>
      <c r="V410" s="50" t="n"/>
      <c r="W410" s="50" t="n"/>
      <c r="X410" s="49">
        <f>IF(OR($B410="",$M410=""),"",WORKDAY($B410,IFERROR(INDEX(CONFIG!$D$4:$D$63,MATCH($M410,CONFIG!$A$4:$A$63,0)),3)))</f>
        <v/>
      </c>
      <c r="Y410" s="47" t="n"/>
      <c r="Z410" s="24">
        <f>IF($B410="","",IF($Y410&lt;&gt;"",$Y410-$B410,TODAY()-$B410))</f>
        <v/>
      </c>
      <c r="AA410" s="28">
        <f>IF($B410="","",IF(IFERROR(INDEX(CONFIG!$L$4:$L$63,MATCH($V410,CONFIG!$K$4:$K$63,0)),"NO")="SÍ",IF(OR($Y410="",$X410=""),"Resuelta",IF($Y410&gt;$X410,"Resuelta tarde","Resuelta a tiempo")),IF($X410="","Sin clasificar",IF(TODAY()&gt;$X410,"Vencida",IF(TODAY()&gt;=$X410-1,"Por vencer","En plazo")))))</f>
        <v/>
      </c>
      <c r="AB410" s="50" t="n"/>
      <c r="AC410" s="50" t="n"/>
    </row>
    <row r="411" ht="16" customHeight="1">
      <c r="A411" s="28">
        <f>IF($B411="","","N-"&amp;TEXT(ROW()-3,"0000"))</f>
        <v/>
      </c>
      <c r="B411" s="47" t="n"/>
      <c r="C411" s="48" t="n"/>
      <c r="D411" s="48" t="n"/>
      <c r="E411" s="28">
        <f>IF($C411="","",IF($D411="",IF($C411="Interna","Sin guía (interna)","FALTA GUÍA"),IF(COUNTIFS(ENVIOS!$A$4:$A$3003,$D411)=0,"NO EXISTE",IF(COUNTIFS(ENVIOS!$A$4:$A$3003,$D411)&gt;1,"DUPLICADA","OK"))))</f>
        <v/>
      </c>
      <c r="F411" s="28">
        <f>IF($D411="","",IFERROR(INDEX(ENVIOS!$B$4:$B$3003,MATCH($D411,ENVIOS!$A$4:$A$3003,0)),"—"))</f>
        <v/>
      </c>
      <c r="G411" s="23">
        <f>IF($D411="","",IFERROR(INDEX(ENVIOS!$D$4:$D$3003,MATCH($D411,ENVIOS!$A$4:$A$3003,0)),"—"))</f>
        <v/>
      </c>
      <c r="H411" s="23">
        <f>IF($D411="","",IFERROR(INDEX(ENVIOS!$E$4:$E$3003,MATCH($D411,ENVIOS!$A$4:$A$3003,0)),"—"))</f>
        <v/>
      </c>
      <c r="I411" s="23">
        <f>IF($D411="","",IFERROR(INDEX(ENVIOS!$F$4:$F$3003,MATCH($D411,ENVIOS!$A$4:$A$3003,0)),"—"))</f>
        <v/>
      </c>
      <c r="J411" s="23">
        <f>IF($D411="","",IFERROR(INDEX(ENVIOS!$G$4:$G$3003,MATCH($D411,ENVIOS!$A$4:$A$3003,0)),"—"))</f>
        <v/>
      </c>
      <c r="K411" s="28">
        <f>IF($D411="","",IFERROR(INDEX(ENVIOS!$H$4:$H$3003,MATCH($D411,ENVIOS!$A$4:$A$3003,0)),"—"))</f>
        <v/>
      </c>
      <c r="L411" s="49">
        <f>IF($D411="","",IFERROR(INDEX(ENVIOS!$C$4:$C$3003,MATCH($D411,ENVIOS!$A$4:$A$3003,0)),""))</f>
        <v/>
      </c>
      <c r="M411" s="50" t="n"/>
      <c r="N411" s="28">
        <f>IF($M411="","",IFERROR(INDEX(CONFIG!$C$4:$C$63,MATCH($M411,CONFIG!$A$4:$A$63,0)),"Media"))</f>
        <v/>
      </c>
      <c r="O411" s="28">
        <f>IF($M411="","",IF($C411="Interna","NO",IFERROR(INDEX(CONFIG!$E$4:$E$63,MATCH($M411,CONFIG!$A$4:$A$63,0)),"NO")))</f>
        <v/>
      </c>
      <c r="P411" s="50" t="n"/>
      <c r="Q411" s="50" t="n"/>
      <c r="R411" s="28">
        <f>IF($Q411="","",IFERROR(INDEX(CONFIG!$H$4:$H$63,MATCH($Q411,CONFIG!$G$4:$G$63,0)),"Por definir"))</f>
        <v/>
      </c>
      <c r="S411" s="28">
        <f>IF($Q411="","",IFERROR(INDEX(CONFIG!$I$4:$I$63,MATCH($Q411,CONFIG!$G$4:$G$63,0)),"Por definir"))</f>
        <v/>
      </c>
      <c r="T411" s="51" t="n"/>
      <c r="U411" s="52" t="n"/>
      <c r="V411" s="50" t="n"/>
      <c r="W411" s="50" t="n"/>
      <c r="X411" s="49">
        <f>IF(OR($B411="",$M411=""),"",WORKDAY($B411,IFERROR(INDEX(CONFIG!$D$4:$D$63,MATCH($M411,CONFIG!$A$4:$A$63,0)),3)))</f>
        <v/>
      </c>
      <c r="Y411" s="47" t="n"/>
      <c r="Z411" s="24">
        <f>IF($B411="","",IF($Y411&lt;&gt;"",$Y411-$B411,TODAY()-$B411))</f>
        <v/>
      </c>
      <c r="AA411" s="28">
        <f>IF($B411="","",IF(IFERROR(INDEX(CONFIG!$L$4:$L$63,MATCH($V411,CONFIG!$K$4:$K$63,0)),"NO")="SÍ",IF(OR($Y411="",$X411=""),"Resuelta",IF($Y411&gt;$X411,"Resuelta tarde","Resuelta a tiempo")),IF($X411="","Sin clasificar",IF(TODAY()&gt;$X411,"Vencida",IF(TODAY()&gt;=$X411-1,"Por vencer","En plazo")))))</f>
        <v/>
      </c>
      <c r="AB411" s="50" t="n"/>
      <c r="AC411" s="50" t="n"/>
    </row>
    <row r="412" ht="16" customHeight="1">
      <c r="A412" s="28">
        <f>IF($B412="","","N-"&amp;TEXT(ROW()-3,"0000"))</f>
        <v/>
      </c>
      <c r="B412" s="47" t="n"/>
      <c r="C412" s="48" t="n"/>
      <c r="D412" s="48" t="n"/>
      <c r="E412" s="28">
        <f>IF($C412="","",IF($D412="",IF($C412="Interna","Sin guía (interna)","FALTA GUÍA"),IF(COUNTIFS(ENVIOS!$A$4:$A$3003,$D412)=0,"NO EXISTE",IF(COUNTIFS(ENVIOS!$A$4:$A$3003,$D412)&gt;1,"DUPLICADA","OK"))))</f>
        <v/>
      </c>
      <c r="F412" s="28">
        <f>IF($D412="","",IFERROR(INDEX(ENVIOS!$B$4:$B$3003,MATCH($D412,ENVIOS!$A$4:$A$3003,0)),"—"))</f>
        <v/>
      </c>
      <c r="G412" s="23">
        <f>IF($D412="","",IFERROR(INDEX(ENVIOS!$D$4:$D$3003,MATCH($D412,ENVIOS!$A$4:$A$3003,0)),"—"))</f>
        <v/>
      </c>
      <c r="H412" s="23">
        <f>IF($D412="","",IFERROR(INDEX(ENVIOS!$E$4:$E$3003,MATCH($D412,ENVIOS!$A$4:$A$3003,0)),"—"))</f>
        <v/>
      </c>
      <c r="I412" s="23">
        <f>IF($D412="","",IFERROR(INDEX(ENVIOS!$F$4:$F$3003,MATCH($D412,ENVIOS!$A$4:$A$3003,0)),"—"))</f>
        <v/>
      </c>
      <c r="J412" s="23">
        <f>IF($D412="","",IFERROR(INDEX(ENVIOS!$G$4:$G$3003,MATCH($D412,ENVIOS!$A$4:$A$3003,0)),"—"))</f>
        <v/>
      </c>
      <c r="K412" s="28">
        <f>IF($D412="","",IFERROR(INDEX(ENVIOS!$H$4:$H$3003,MATCH($D412,ENVIOS!$A$4:$A$3003,0)),"—"))</f>
        <v/>
      </c>
      <c r="L412" s="49">
        <f>IF($D412="","",IFERROR(INDEX(ENVIOS!$C$4:$C$3003,MATCH($D412,ENVIOS!$A$4:$A$3003,0)),""))</f>
        <v/>
      </c>
      <c r="M412" s="50" t="n"/>
      <c r="N412" s="28">
        <f>IF($M412="","",IFERROR(INDEX(CONFIG!$C$4:$C$63,MATCH($M412,CONFIG!$A$4:$A$63,0)),"Media"))</f>
        <v/>
      </c>
      <c r="O412" s="28">
        <f>IF($M412="","",IF($C412="Interna","NO",IFERROR(INDEX(CONFIG!$E$4:$E$63,MATCH($M412,CONFIG!$A$4:$A$63,0)),"NO")))</f>
        <v/>
      </c>
      <c r="P412" s="50" t="n"/>
      <c r="Q412" s="50" t="n"/>
      <c r="R412" s="28">
        <f>IF($Q412="","",IFERROR(INDEX(CONFIG!$H$4:$H$63,MATCH($Q412,CONFIG!$G$4:$G$63,0)),"Por definir"))</f>
        <v/>
      </c>
      <c r="S412" s="28">
        <f>IF($Q412="","",IFERROR(INDEX(CONFIG!$I$4:$I$63,MATCH($Q412,CONFIG!$G$4:$G$63,0)),"Por definir"))</f>
        <v/>
      </c>
      <c r="T412" s="51" t="n"/>
      <c r="U412" s="52" t="n"/>
      <c r="V412" s="50" t="n"/>
      <c r="W412" s="50" t="n"/>
      <c r="X412" s="49">
        <f>IF(OR($B412="",$M412=""),"",WORKDAY($B412,IFERROR(INDEX(CONFIG!$D$4:$D$63,MATCH($M412,CONFIG!$A$4:$A$63,0)),3)))</f>
        <v/>
      </c>
      <c r="Y412" s="47" t="n"/>
      <c r="Z412" s="24">
        <f>IF($B412="","",IF($Y412&lt;&gt;"",$Y412-$B412,TODAY()-$B412))</f>
        <v/>
      </c>
      <c r="AA412" s="28">
        <f>IF($B412="","",IF(IFERROR(INDEX(CONFIG!$L$4:$L$63,MATCH($V412,CONFIG!$K$4:$K$63,0)),"NO")="SÍ",IF(OR($Y412="",$X412=""),"Resuelta",IF($Y412&gt;$X412,"Resuelta tarde","Resuelta a tiempo")),IF($X412="","Sin clasificar",IF(TODAY()&gt;$X412,"Vencida",IF(TODAY()&gt;=$X412-1,"Por vencer","En plazo")))))</f>
        <v/>
      </c>
      <c r="AB412" s="50" t="n"/>
      <c r="AC412" s="50" t="n"/>
    </row>
    <row r="413" ht="16" customHeight="1">
      <c r="A413" s="28">
        <f>IF($B413="","","N-"&amp;TEXT(ROW()-3,"0000"))</f>
        <v/>
      </c>
      <c r="B413" s="47" t="n"/>
      <c r="C413" s="48" t="n"/>
      <c r="D413" s="48" t="n"/>
      <c r="E413" s="28">
        <f>IF($C413="","",IF($D413="",IF($C413="Interna","Sin guía (interna)","FALTA GUÍA"),IF(COUNTIFS(ENVIOS!$A$4:$A$3003,$D413)=0,"NO EXISTE",IF(COUNTIFS(ENVIOS!$A$4:$A$3003,$D413)&gt;1,"DUPLICADA","OK"))))</f>
        <v/>
      </c>
      <c r="F413" s="28">
        <f>IF($D413="","",IFERROR(INDEX(ENVIOS!$B$4:$B$3003,MATCH($D413,ENVIOS!$A$4:$A$3003,0)),"—"))</f>
        <v/>
      </c>
      <c r="G413" s="23">
        <f>IF($D413="","",IFERROR(INDEX(ENVIOS!$D$4:$D$3003,MATCH($D413,ENVIOS!$A$4:$A$3003,0)),"—"))</f>
        <v/>
      </c>
      <c r="H413" s="23">
        <f>IF($D413="","",IFERROR(INDEX(ENVIOS!$E$4:$E$3003,MATCH($D413,ENVIOS!$A$4:$A$3003,0)),"—"))</f>
        <v/>
      </c>
      <c r="I413" s="23">
        <f>IF($D413="","",IFERROR(INDEX(ENVIOS!$F$4:$F$3003,MATCH($D413,ENVIOS!$A$4:$A$3003,0)),"—"))</f>
        <v/>
      </c>
      <c r="J413" s="23">
        <f>IF($D413="","",IFERROR(INDEX(ENVIOS!$G$4:$G$3003,MATCH($D413,ENVIOS!$A$4:$A$3003,0)),"—"))</f>
        <v/>
      </c>
      <c r="K413" s="28">
        <f>IF($D413="","",IFERROR(INDEX(ENVIOS!$H$4:$H$3003,MATCH($D413,ENVIOS!$A$4:$A$3003,0)),"—"))</f>
        <v/>
      </c>
      <c r="L413" s="49">
        <f>IF($D413="","",IFERROR(INDEX(ENVIOS!$C$4:$C$3003,MATCH($D413,ENVIOS!$A$4:$A$3003,0)),""))</f>
        <v/>
      </c>
      <c r="M413" s="50" t="n"/>
      <c r="N413" s="28">
        <f>IF($M413="","",IFERROR(INDEX(CONFIG!$C$4:$C$63,MATCH($M413,CONFIG!$A$4:$A$63,0)),"Media"))</f>
        <v/>
      </c>
      <c r="O413" s="28">
        <f>IF($M413="","",IF($C413="Interna","NO",IFERROR(INDEX(CONFIG!$E$4:$E$63,MATCH($M413,CONFIG!$A$4:$A$63,0)),"NO")))</f>
        <v/>
      </c>
      <c r="P413" s="50" t="n"/>
      <c r="Q413" s="50" t="n"/>
      <c r="R413" s="28">
        <f>IF($Q413="","",IFERROR(INDEX(CONFIG!$H$4:$H$63,MATCH($Q413,CONFIG!$G$4:$G$63,0)),"Por definir"))</f>
        <v/>
      </c>
      <c r="S413" s="28">
        <f>IF($Q413="","",IFERROR(INDEX(CONFIG!$I$4:$I$63,MATCH($Q413,CONFIG!$G$4:$G$63,0)),"Por definir"))</f>
        <v/>
      </c>
      <c r="T413" s="51" t="n"/>
      <c r="U413" s="52" t="n"/>
      <c r="V413" s="50" t="n"/>
      <c r="W413" s="50" t="n"/>
      <c r="X413" s="49">
        <f>IF(OR($B413="",$M413=""),"",WORKDAY($B413,IFERROR(INDEX(CONFIG!$D$4:$D$63,MATCH($M413,CONFIG!$A$4:$A$63,0)),3)))</f>
        <v/>
      </c>
      <c r="Y413" s="47" t="n"/>
      <c r="Z413" s="24">
        <f>IF($B413="","",IF($Y413&lt;&gt;"",$Y413-$B413,TODAY()-$B413))</f>
        <v/>
      </c>
      <c r="AA413" s="28">
        <f>IF($B413="","",IF(IFERROR(INDEX(CONFIG!$L$4:$L$63,MATCH($V413,CONFIG!$K$4:$K$63,0)),"NO")="SÍ",IF(OR($Y413="",$X413=""),"Resuelta",IF($Y413&gt;$X413,"Resuelta tarde","Resuelta a tiempo")),IF($X413="","Sin clasificar",IF(TODAY()&gt;$X413,"Vencida",IF(TODAY()&gt;=$X413-1,"Por vencer","En plazo")))))</f>
        <v/>
      </c>
      <c r="AB413" s="50" t="n"/>
      <c r="AC413" s="50" t="n"/>
    </row>
    <row r="414" ht="16" customHeight="1">
      <c r="A414" s="28">
        <f>IF($B414="","","N-"&amp;TEXT(ROW()-3,"0000"))</f>
        <v/>
      </c>
      <c r="B414" s="47" t="n"/>
      <c r="C414" s="48" t="n"/>
      <c r="D414" s="48" t="n"/>
      <c r="E414" s="28">
        <f>IF($C414="","",IF($D414="",IF($C414="Interna","Sin guía (interna)","FALTA GUÍA"),IF(COUNTIFS(ENVIOS!$A$4:$A$3003,$D414)=0,"NO EXISTE",IF(COUNTIFS(ENVIOS!$A$4:$A$3003,$D414)&gt;1,"DUPLICADA","OK"))))</f>
        <v/>
      </c>
      <c r="F414" s="28">
        <f>IF($D414="","",IFERROR(INDEX(ENVIOS!$B$4:$B$3003,MATCH($D414,ENVIOS!$A$4:$A$3003,0)),"—"))</f>
        <v/>
      </c>
      <c r="G414" s="23">
        <f>IF($D414="","",IFERROR(INDEX(ENVIOS!$D$4:$D$3003,MATCH($D414,ENVIOS!$A$4:$A$3003,0)),"—"))</f>
        <v/>
      </c>
      <c r="H414" s="23">
        <f>IF($D414="","",IFERROR(INDEX(ENVIOS!$E$4:$E$3003,MATCH($D414,ENVIOS!$A$4:$A$3003,0)),"—"))</f>
        <v/>
      </c>
      <c r="I414" s="23">
        <f>IF($D414="","",IFERROR(INDEX(ENVIOS!$F$4:$F$3003,MATCH($D414,ENVIOS!$A$4:$A$3003,0)),"—"))</f>
        <v/>
      </c>
      <c r="J414" s="23">
        <f>IF($D414="","",IFERROR(INDEX(ENVIOS!$G$4:$G$3003,MATCH($D414,ENVIOS!$A$4:$A$3003,0)),"—"))</f>
        <v/>
      </c>
      <c r="K414" s="28">
        <f>IF($D414="","",IFERROR(INDEX(ENVIOS!$H$4:$H$3003,MATCH($D414,ENVIOS!$A$4:$A$3003,0)),"—"))</f>
        <v/>
      </c>
      <c r="L414" s="49">
        <f>IF($D414="","",IFERROR(INDEX(ENVIOS!$C$4:$C$3003,MATCH($D414,ENVIOS!$A$4:$A$3003,0)),""))</f>
        <v/>
      </c>
      <c r="M414" s="50" t="n"/>
      <c r="N414" s="28">
        <f>IF($M414="","",IFERROR(INDEX(CONFIG!$C$4:$C$63,MATCH($M414,CONFIG!$A$4:$A$63,0)),"Media"))</f>
        <v/>
      </c>
      <c r="O414" s="28">
        <f>IF($M414="","",IF($C414="Interna","NO",IFERROR(INDEX(CONFIG!$E$4:$E$63,MATCH($M414,CONFIG!$A$4:$A$63,0)),"NO")))</f>
        <v/>
      </c>
      <c r="P414" s="50" t="n"/>
      <c r="Q414" s="50" t="n"/>
      <c r="R414" s="28">
        <f>IF($Q414="","",IFERROR(INDEX(CONFIG!$H$4:$H$63,MATCH($Q414,CONFIG!$G$4:$G$63,0)),"Por definir"))</f>
        <v/>
      </c>
      <c r="S414" s="28">
        <f>IF($Q414="","",IFERROR(INDEX(CONFIG!$I$4:$I$63,MATCH($Q414,CONFIG!$G$4:$G$63,0)),"Por definir"))</f>
        <v/>
      </c>
      <c r="T414" s="51" t="n"/>
      <c r="U414" s="52" t="n"/>
      <c r="V414" s="50" t="n"/>
      <c r="W414" s="50" t="n"/>
      <c r="X414" s="49">
        <f>IF(OR($B414="",$M414=""),"",WORKDAY($B414,IFERROR(INDEX(CONFIG!$D$4:$D$63,MATCH($M414,CONFIG!$A$4:$A$63,0)),3)))</f>
        <v/>
      </c>
      <c r="Y414" s="47" t="n"/>
      <c r="Z414" s="24">
        <f>IF($B414="","",IF($Y414&lt;&gt;"",$Y414-$B414,TODAY()-$B414))</f>
        <v/>
      </c>
      <c r="AA414" s="28">
        <f>IF($B414="","",IF(IFERROR(INDEX(CONFIG!$L$4:$L$63,MATCH($V414,CONFIG!$K$4:$K$63,0)),"NO")="SÍ",IF(OR($Y414="",$X414=""),"Resuelta",IF($Y414&gt;$X414,"Resuelta tarde","Resuelta a tiempo")),IF($X414="","Sin clasificar",IF(TODAY()&gt;$X414,"Vencida",IF(TODAY()&gt;=$X414-1,"Por vencer","En plazo")))))</f>
        <v/>
      </c>
      <c r="AB414" s="50" t="n"/>
      <c r="AC414" s="50" t="n"/>
    </row>
    <row r="415" ht="16" customHeight="1">
      <c r="A415" s="28">
        <f>IF($B415="","","N-"&amp;TEXT(ROW()-3,"0000"))</f>
        <v/>
      </c>
      <c r="B415" s="47" t="n"/>
      <c r="C415" s="48" t="n"/>
      <c r="D415" s="48" t="n"/>
      <c r="E415" s="28">
        <f>IF($C415="","",IF($D415="",IF($C415="Interna","Sin guía (interna)","FALTA GUÍA"),IF(COUNTIFS(ENVIOS!$A$4:$A$3003,$D415)=0,"NO EXISTE",IF(COUNTIFS(ENVIOS!$A$4:$A$3003,$D415)&gt;1,"DUPLICADA","OK"))))</f>
        <v/>
      </c>
      <c r="F415" s="28">
        <f>IF($D415="","",IFERROR(INDEX(ENVIOS!$B$4:$B$3003,MATCH($D415,ENVIOS!$A$4:$A$3003,0)),"—"))</f>
        <v/>
      </c>
      <c r="G415" s="23">
        <f>IF($D415="","",IFERROR(INDEX(ENVIOS!$D$4:$D$3003,MATCH($D415,ENVIOS!$A$4:$A$3003,0)),"—"))</f>
        <v/>
      </c>
      <c r="H415" s="23">
        <f>IF($D415="","",IFERROR(INDEX(ENVIOS!$E$4:$E$3003,MATCH($D415,ENVIOS!$A$4:$A$3003,0)),"—"))</f>
        <v/>
      </c>
      <c r="I415" s="23">
        <f>IF($D415="","",IFERROR(INDEX(ENVIOS!$F$4:$F$3003,MATCH($D415,ENVIOS!$A$4:$A$3003,0)),"—"))</f>
        <v/>
      </c>
      <c r="J415" s="23">
        <f>IF($D415="","",IFERROR(INDEX(ENVIOS!$G$4:$G$3003,MATCH($D415,ENVIOS!$A$4:$A$3003,0)),"—"))</f>
        <v/>
      </c>
      <c r="K415" s="28">
        <f>IF($D415="","",IFERROR(INDEX(ENVIOS!$H$4:$H$3003,MATCH($D415,ENVIOS!$A$4:$A$3003,0)),"—"))</f>
        <v/>
      </c>
      <c r="L415" s="49">
        <f>IF($D415="","",IFERROR(INDEX(ENVIOS!$C$4:$C$3003,MATCH($D415,ENVIOS!$A$4:$A$3003,0)),""))</f>
        <v/>
      </c>
      <c r="M415" s="50" t="n"/>
      <c r="N415" s="28">
        <f>IF($M415="","",IFERROR(INDEX(CONFIG!$C$4:$C$63,MATCH($M415,CONFIG!$A$4:$A$63,0)),"Media"))</f>
        <v/>
      </c>
      <c r="O415" s="28">
        <f>IF($M415="","",IF($C415="Interna","NO",IFERROR(INDEX(CONFIG!$E$4:$E$63,MATCH($M415,CONFIG!$A$4:$A$63,0)),"NO")))</f>
        <v/>
      </c>
      <c r="P415" s="50" t="n"/>
      <c r="Q415" s="50" t="n"/>
      <c r="R415" s="28">
        <f>IF($Q415="","",IFERROR(INDEX(CONFIG!$H$4:$H$63,MATCH($Q415,CONFIG!$G$4:$G$63,0)),"Por definir"))</f>
        <v/>
      </c>
      <c r="S415" s="28">
        <f>IF($Q415="","",IFERROR(INDEX(CONFIG!$I$4:$I$63,MATCH($Q415,CONFIG!$G$4:$G$63,0)),"Por definir"))</f>
        <v/>
      </c>
      <c r="T415" s="51" t="n"/>
      <c r="U415" s="52" t="n"/>
      <c r="V415" s="50" t="n"/>
      <c r="W415" s="50" t="n"/>
      <c r="X415" s="49">
        <f>IF(OR($B415="",$M415=""),"",WORKDAY($B415,IFERROR(INDEX(CONFIG!$D$4:$D$63,MATCH($M415,CONFIG!$A$4:$A$63,0)),3)))</f>
        <v/>
      </c>
      <c r="Y415" s="47" t="n"/>
      <c r="Z415" s="24">
        <f>IF($B415="","",IF($Y415&lt;&gt;"",$Y415-$B415,TODAY()-$B415))</f>
        <v/>
      </c>
      <c r="AA415" s="28">
        <f>IF($B415="","",IF(IFERROR(INDEX(CONFIG!$L$4:$L$63,MATCH($V415,CONFIG!$K$4:$K$63,0)),"NO")="SÍ",IF(OR($Y415="",$X415=""),"Resuelta",IF($Y415&gt;$X415,"Resuelta tarde","Resuelta a tiempo")),IF($X415="","Sin clasificar",IF(TODAY()&gt;$X415,"Vencida",IF(TODAY()&gt;=$X415-1,"Por vencer","En plazo")))))</f>
        <v/>
      </c>
      <c r="AB415" s="50" t="n"/>
      <c r="AC415" s="50" t="n"/>
    </row>
    <row r="416" ht="16" customHeight="1">
      <c r="A416" s="28">
        <f>IF($B416="","","N-"&amp;TEXT(ROW()-3,"0000"))</f>
        <v/>
      </c>
      <c r="B416" s="47" t="n"/>
      <c r="C416" s="48" t="n"/>
      <c r="D416" s="48" t="n"/>
      <c r="E416" s="28">
        <f>IF($C416="","",IF($D416="",IF($C416="Interna","Sin guía (interna)","FALTA GUÍA"),IF(COUNTIFS(ENVIOS!$A$4:$A$3003,$D416)=0,"NO EXISTE",IF(COUNTIFS(ENVIOS!$A$4:$A$3003,$D416)&gt;1,"DUPLICADA","OK"))))</f>
        <v/>
      </c>
      <c r="F416" s="28">
        <f>IF($D416="","",IFERROR(INDEX(ENVIOS!$B$4:$B$3003,MATCH($D416,ENVIOS!$A$4:$A$3003,0)),"—"))</f>
        <v/>
      </c>
      <c r="G416" s="23">
        <f>IF($D416="","",IFERROR(INDEX(ENVIOS!$D$4:$D$3003,MATCH($D416,ENVIOS!$A$4:$A$3003,0)),"—"))</f>
        <v/>
      </c>
      <c r="H416" s="23">
        <f>IF($D416="","",IFERROR(INDEX(ENVIOS!$E$4:$E$3003,MATCH($D416,ENVIOS!$A$4:$A$3003,0)),"—"))</f>
        <v/>
      </c>
      <c r="I416" s="23">
        <f>IF($D416="","",IFERROR(INDEX(ENVIOS!$F$4:$F$3003,MATCH($D416,ENVIOS!$A$4:$A$3003,0)),"—"))</f>
        <v/>
      </c>
      <c r="J416" s="23">
        <f>IF($D416="","",IFERROR(INDEX(ENVIOS!$G$4:$G$3003,MATCH($D416,ENVIOS!$A$4:$A$3003,0)),"—"))</f>
        <v/>
      </c>
      <c r="K416" s="28">
        <f>IF($D416="","",IFERROR(INDEX(ENVIOS!$H$4:$H$3003,MATCH($D416,ENVIOS!$A$4:$A$3003,0)),"—"))</f>
        <v/>
      </c>
      <c r="L416" s="49">
        <f>IF($D416="","",IFERROR(INDEX(ENVIOS!$C$4:$C$3003,MATCH($D416,ENVIOS!$A$4:$A$3003,0)),""))</f>
        <v/>
      </c>
      <c r="M416" s="50" t="n"/>
      <c r="N416" s="28">
        <f>IF($M416="","",IFERROR(INDEX(CONFIG!$C$4:$C$63,MATCH($M416,CONFIG!$A$4:$A$63,0)),"Media"))</f>
        <v/>
      </c>
      <c r="O416" s="28">
        <f>IF($M416="","",IF($C416="Interna","NO",IFERROR(INDEX(CONFIG!$E$4:$E$63,MATCH($M416,CONFIG!$A$4:$A$63,0)),"NO")))</f>
        <v/>
      </c>
      <c r="P416" s="50" t="n"/>
      <c r="Q416" s="50" t="n"/>
      <c r="R416" s="28">
        <f>IF($Q416="","",IFERROR(INDEX(CONFIG!$H$4:$H$63,MATCH($Q416,CONFIG!$G$4:$G$63,0)),"Por definir"))</f>
        <v/>
      </c>
      <c r="S416" s="28">
        <f>IF($Q416="","",IFERROR(INDEX(CONFIG!$I$4:$I$63,MATCH($Q416,CONFIG!$G$4:$G$63,0)),"Por definir"))</f>
        <v/>
      </c>
      <c r="T416" s="51" t="n"/>
      <c r="U416" s="52" t="n"/>
      <c r="V416" s="50" t="n"/>
      <c r="W416" s="50" t="n"/>
      <c r="X416" s="49">
        <f>IF(OR($B416="",$M416=""),"",WORKDAY($B416,IFERROR(INDEX(CONFIG!$D$4:$D$63,MATCH($M416,CONFIG!$A$4:$A$63,0)),3)))</f>
        <v/>
      </c>
      <c r="Y416" s="47" t="n"/>
      <c r="Z416" s="24">
        <f>IF($B416="","",IF($Y416&lt;&gt;"",$Y416-$B416,TODAY()-$B416))</f>
        <v/>
      </c>
      <c r="AA416" s="28">
        <f>IF($B416="","",IF(IFERROR(INDEX(CONFIG!$L$4:$L$63,MATCH($V416,CONFIG!$K$4:$K$63,0)),"NO")="SÍ",IF(OR($Y416="",$X416=""),"Resuelta",IF($Y416&gt;$X416,"Resuelta tarde","Resuelta a tiempo")),IF($X416="","Sin clasificar",IF(TODAY()&gt;$X416,"Vencida",IF(TODAY()&gt;=$X416-1,"Por vencer","En plazo")))))</f>
        <v/>
      </c>
      <c r="AB416" s="50" t="n"/>
      <c r="AC416" s="50" t="n"/>
    </row>
    <row r="417" ht="16" customHeight="1">
      <c r="A417" s="28">
        <f>IF($B417="","","N-"&amp;TEXT(ROW()-3,"0000"))</f>
        <v/>
      </c>
      <c r="B417" s="47" t="n"/>
      <c r="C417" s="48" t="n"/>
      <c r="D417" s="48" t="n"/>
      <c r="E417" s="28">
        <f>IF($C417="","",IF($D417="",IF($C417="Interna","Sin guía (interna)","FALTA GUÍA"),IF(COUNTIFS(ENVIOS!$A$4:$A$3003,$D417)=0,"NO EXISTE",IF(COUNTIFS(ENVIOS!$A$4:$A$3003,$D417)&gt;1,"DUPLICADA","OK"))))</f>
        <v/>
      </c>
      <c r="F417" s="28">
        <f>IF($D417="","",IFERROR(INDEX(ENVIOS!$B$4:$B$3003,MATCH($D417,ENVIOS!$A$4:$A$3003,0)),"—"))</f>
        <v/>
      </c>
      <c r="G417" s="23">
        <f>IF($D417="","",IFERROR(INDEX(ENVIOS!$D$4:$D$3003,MATCH($D417,ENVIOS!$A$4:$A$3003,0)),"—"))</f>
        <v/>
      </c>
      <c r="H417" s="23">
        <f>IF($D417="","",IFERROR(INDEX(ENVIOS!$E$4:$E$3003,MATCH($D417,ENVIOS!$A$4:$A$3003,0)),"—"))</f>
        <v/>
      </c>
      <c r="I417" s="23">
        <f>IF($D417="","",IFERROR(INDEX(ENVIOS!$F$4:$F$3003,MATCH($D417,ENVIOS!$A$4:$A$3003,0)),"—"))</f>
        <v/>
      </c>
      <c r="J417" s="23">
        <f>IF($D417="","",IFERROR(INDEX(ENVIOS!$G$4:$G$3003,MATCH($D417,ENVIOS!$A$4:$A$3003,0)),"—"))</f>
        <v/>
      </c>
      <c r="K417" s="28">
        <f>IF($D417="","",IFERROR(INDEX(ENVIOS!$H$4:$H$3003,MATCH($D417,ENVIOS!$A$4:$A$3003,0)),"—"))</f>
        <v/>
      </c>
      <c r="L417" s="49">
        <f>IF($D417="","",IFERROR(INDEX(ENVIOS!$C$4:$C$3003,MATCH($D417,ENVIOS!$A$4:$A$3003,0)),""))</f>
        <v/>
      </c>
      <c r="M417" s="50" t="n"/>
      <c r="N417" s="28">
        <f>IF($M417="","",IFERROR(INDEX(CONFIG!$C$4:$C$63,MATCH($M417,CONFIG!$A$4:$A$63,0)),"Media"))</f>
        <v/>
      </c>
      <c r="O417" s="28">
        <f>IF($M417="","",IF($C417="Interna","NO",IFERROR(INDEX(CONFIG!$E$4:$E$63,MATCH($M417,CONFIG!$A$4:$A$63,0)),"NO")))</f>
        <v/>
      </c>
      <c r="P417" s="50" t="n"/>
      <c r="Q417" s="50" t="n"/>
      <c r="R417" s="28">
        <f>IF($Q417="","",IFERROR(INDEX(CONFIG!$H$4:$H$63,MATCH($Q417,CONFIG!$G$4:$G$63,0)),"Por definir"))</f>
        <v/>
      </c>
      <c r="S417" s="28">
        <f>IF($Q417="","",IFERROR(INDEX(CONFIG!$I$4:$I$63,MATCH($Q417,CONFIG!$G$4:$G$63,0)),"Por definir"))</f>
        <v/>
      </c>
      <c r="T417" s="51" t="n"/>
      <c r="U417" s="52" t="n"/>
      <c r="V417" s="50" t="n"/>
      <c r="W417" s="50" t="n"/>
      <c r="X417" s="49">
        <f>IF(OR($B417="",$M417=""),"",WORKDAY($B417,IFERROR(INDEX(CONFIG!$D$4:$D$63,MATCH($M417,CONFIG!$A$4:$A$63,0)),3)))</f>
        <v/>
      </c>
      <c r="Y417" s="47" t="n"/>
      <c r="Z417" s="24">
        <f>IF($B417="","",IF($Y417&lt;&gt;"",$Y417-$B417,TODAY()-$B417))</f>
        <v/>
      </c>
      <c r="AA417" s="28">
        <f>IF($B417="","",IF(IFERROR(INDEX(CONFIG!$L$4:$L$63,MATCH($V417,CONFIG!$K$4:$K$63,0)),"NO")="SÍ",IF(OR($Y417="",$X417=""),"Resuelta",IF($Y417&gt;$X417,"Resuelta tarde","Resuelta a tiempo")),IF($X417="","Sin clasificar",IF(TODAY()&gt;$X417,"Vencida",IF(TODAY()&gt;=$X417-1,"Por vencer","En plazo")))))</f>
        <v/>
      </c>
      <c r="AB417" s="50" t="n"/>
      <c r="AC417" s="50" t="n"/>
    </row>
    <row r="418" ht="16" customHeight="1">
      <c r="A418" s="28">
        <f>IF($B418="","","N-"&amp;TEXT(ROW()-3,"0000"))</f>
        <v/>
      </c>
      <c r="B418" s="47" t="n"/>
      <c r="C418" s="48" t="n"/>
      <c r="D418" s="48" t="n"/>
      <c r="E418" s="28">
        <f>IF($C418="","",IF($D418="",IF($C418="Interna","Sin guía (interna)","FALTA GUÍA"),IF(COUNTIFS(ENVIOS!$A$4:$A$3003,$D418)=0,"NO EXISTE",IF(COUNTIFS(ENVIOS!$A$4:$A$3003,$D418)&gt;1,"DUPLICADA","OK"))))</f>
        <v/>
      </c>
      <c r="F418" s="28">
        <f>IF($D418="","",IFERROR(INDEX(ENVIOS!$B$4:$B$3003,MATCH($D418,ENVIOS!$A$4:$A$3003,0)),"—"))</f>
        <v/>
      </c>
      <c r="G418" s="23">
        <f>IF($D418="","",IFERROR(INDEX(ENVIOS!$D$4:$D$3003,MATCH($D418,ENVIOS!$A$4:$A$3003,0)),"—"))</f>
        <v/>
      </c>
      <c r="H418" s="23">
        <f>IF($D418="","",IFERROR(INDEX(ENVIOS!$E$4:$E$3003,MATCH($D418,ENVIOS!$A$4:$A$3003,0)),"—"))</f>
        <v/>
      </c>
      <c r="I418" s="23">
        <f>IF($D418="","",IFERROR(INDEX(ENVIOS!$F$4:$F$3003,MATCH($D418,ENVIOS!$A$4:$A$3003,0)),"—"))</f>
        <v/>
      </c>
      <c r="J418" s="23">
        <f>IF($D418="","",IFERROR(INDEX(ENVIOS!$G$4:$G$3003,MATCH($D418,ENVIOS!$A$4:$A$3003,0)),"—"))</f>
        <v/>
      </c>
      <c r="K418" s="28">
        <f>IF($D418="","",IFERROR(INDEX(ENVIOS!$H$4:$H$3003,MATCH($D418,ENVIOS!$A$4:$A$3003,0)),"—"))</f>
        <v/>
      </c>
      <c r="L418" s="49">
        <f>IF($D418="","",IFERROR(INDEX(ENVIOS!$C$4:$C$3003,MATCH($D418,ENVIOS!$A$4:$A$3003,0)),""))</f>
        <v/>
      </c>
      <c r="M418" s="50" t="n"/>
      <c r="N418" s="28">
        <f>IF($M418="","",IFERROR(INDEX(CONFIG!$C$4:$C$63,MATCH($M418,CONFIG!$A$4:$A$63,0)),"Media"))</f>
        <v/>
      </c>
      <c r="O418" s="28">
        <f>IF($M418="","",IF($C418="Interna","NO",IFERROR(INDEX(CONFIG!$E$4:$E$63,MATCH($M418,CONFIG!$A$4:$A$63,0)),"NO")))</f>
        <v/>
      </c>
      <c r="P418" s="50" t="n"/>
      <c r="Q418" s="50" t="n"/>
      <c r="R418" s="28">
        <f>IF($Q418="","",IFERROR(INDEX(CONFIG!$H$4:$H$63,MATCH($Q418,CONFIG!$G$4:$G$63,0)),"Por definir"))</f>
        <v/>
      </c>
      <c r="S418" s="28">
        <f>IF($Q418="","",IFERROR(INDEX(CONFIG!$I$4:$I$63,MATCH($Q418,CONFIG!$G$4:$G$63,0)),"Por definir"))</f>
        <v/>
      </c>
      <c r="T418" s="51" t="n"/>
      <c r="U418" s="52" t="n"/>
      <c r="V418" s="50" t="n"/>
      <c r="W418" s="50" t="n"/>
      <c r="X418" s="49">
        <f>IF(OR($B418="",$M418=""),"",WORKDAY($B418,IFERROR(INDEX(CONFIG!$D$4:$D$63,MATCH($M418,CONFIG!$A$4:$A$63,0)),3)))</f>
        <v/>
      </c>
      <c r="Y418" s="47" t="n"/>
      <c r="Z418" s="24">
        <f>IF($B418="","",IF($Y418&lt;&gt;"",$Y418-$B418,TODAY()-$B418))</f>
        <v/>
      </c>
      <c r="AA418" s="28">
        <f>IF($B418="","",IF(IFERROR(INDEX(CONFIG!$L$4:$L$63,MATCH($V418,CONFIG!$K$4:$K$63,0)),"NO")="SÍ",IF(OR($Y418="",$X418=""),"Resuelta",IF($Y418&gt;$X418,"Resuelta tarde","Resuelta a tiempo")),IF($X418="","Sin clasificar",IF(TODAY()&gt;$X418,"Vencida",IF(TODAY()&gt;=$X418-1,"Por vencer","En plazo")))))</f>
        <v/>
      </c>
      <c r="AB418" s="50" t="n"/>
      <c r="AC418" s="50" t="n"/>
    </row>
    <row r="419" ht="16" customHeight="1">
      <c r="A419" s="28">
        <f>IF($B419="","","N-"&amp;TEXT(ROW()-3,"0000"))</f>
        <v/>
      </c>
      <c r="B419" s="47" t="n"/>
      <c r="C419" s="48" t="n"/>
      <c r="D419" s="48" t="n"/>
      <c r="E419" s="28">
        <f>IF($C419="","",IF($D419="",IF($C419="Interna","Sin guía (interna)","FALTA GUÍA"),IF(COUNTIFS(ENVIOS!$A$4:$A$3003,$D419)=0,"NO EXISTE",IF(COUNTIFS(ENVIOS!$A$4:$A$3003,$D419)&gt;1,"DUPLICADA","OK"))))</f>
        <v/>
      </c>
      <c r="F419" s="28">
        <f>IF($D419="","",IFERROR(INDEX(ENVIOS!$B$4:$B$3003,MATCH($D419,ENVIOS!$A$4:$A$3003,0)),"—"))</f>
        <v/>
      </c>
      <c r="G419" s="23">
        <f>IF($D419="","",IFERROR(INDEX(ENVIOS!$D$4:$D$3003,MATCH($D419,ENVIOS!$A$4:$A$3003,0)),"—"))</f>
        <v/>
      </c>
      <c r="H419" s="23">
        <f>IF($D419="","",IFERROR(INDEX(ENVIOS!$E$4:$E$3003,MATCH($D419,ENVIOS!$A$4:$A$3003,0)),"—"))</f>
        <v/>
      </c>
      <c r="I419" s="23">
        <f>IF($D419="","",IFERROR(INDEX(ENVIOS!$F$4:$F$3003,MATCH($D419,ENVIOS!$A$4:$A$3003,0)),"—"))</f>
        <v/>
      </c>
      <c r="J419" s="23">
        <f>IF($D419="","",IFERROR(INDEX(ENVIOS!$G$4:$G$3003,MATCH($D419,ENVIOS!$A$4:$A$3003,0)),"—"))</f>
        <v/>
      </c>
      <c r="K419" s="28">
        <f>IF($D419="","",IFERROR(INDEX(ENVIOS!$H$4:$H$3003,MATCH($D419,ENVIOS!$A$4:$A$3003,0)),"—"))</f>
        <v/>
      </c>
      <c r="L419" s="49">
        <f>IF($D419="","",IFERROR(INDEX(ENVIOS!$C$4:$C$3003,MATCH($D419,ENVIOS!$A$4:$A$3003,0)),""))</f>
        <v/>
      </c>
      <c r="M419" s="50" t="n"/>
      <c r="N419" s="28">
        <f>IF($M419="","",IFERROR(INDEX(CONFIG!$C$4:$C$63,MATCH($M419,CONFIG!$A$4:$A$63,0)),"Media"))</f>
        <v/>
      </c>
      <c r="O419" s="28">
        <f>IF($M419="","",IF($C419="Interna","NO",IFERROR(INDEX(CONFIG!$E$4:$E$63,MATCH($M419,CONFIG!$A$4:$A$63,0)),"NO")))</f>
        <v/>
      </c>
      <c r="P419" s="50" t="n"/>
      <c r="Q419" s="50" t="n"/>
      <c r="R419" s="28">
        <f>IF($Q419="","",IFERROR(INDEX(CONFIG!$H$4:$H$63,MATCH($Q419,CONFIG!$G$4:$G$63,0)),"Por definir"))</f>
        <v/>
      </c>
      <c r="S419" s="28">
        <f>IF($Q419="","",IFERROR(INDEX(CONFIG!$I$4:$I$63,MATCH($Q419,CONFIG!$G$4:$G$63,0)),"Por definir"))</f>
        <v/>
      </c>
      <c r="T419" s="51" t="n"/>
      <c r="U419" s="52" t="n"/>
      <c r="V419" s="50" t="n"/>
      <c r="W419" s="50" t="n"/>
      <c r="X419" s="49">
        <f>IF(OR($B419="",$M419=""),"",WORKDAY($B419,IFERROR(INDEX(CONFIG!$D$4:$D$63,MATCH($M419,CONFIG!$A$4:$A$63,0)),3)))</f>
        <v/>
      </c>
      <c r="Y419" s="47" t="n"/>
      <c r="Z419" s="24">
        <f>IF($B419="","",IF($Y419&lt;&gt;"",$Y419-$B419,TODAY()-$B419))</f>
        <v/>
      </c>
      <c r="AA419" s="28">
        <f>IF($B419="","",IF(IFERROR(INDEX(CONFIG!$L$4:$L$63,MATCH($V419,CONFIG!$K$4:$K$63,0)),"NO")="SÍ",IF(OR($Y419="",$X419=""),"Resuelta",IF($Y419&gt;$X419,"Resuelta tarde","Resuelta a tiempo")),IF($X419="","Sin clasificar",IF(TODAY()&gt;$X419,"Vencida",IF(TODAY()&gt;=$X419-1,"Por vencer","En plazo")))))</f>
        <v/>
      </c>
      <c r="AB419" s="50" t="n"/>
      <c r="AC419" s="50" t="n"/>
    </row>
    <row r="420" ht="16" customHeight="1">
      <c r="A420" s="28">
        <f>IF($B420="","","N-"&amp;TEXT(ROW()-3,"0000"))</f>
        <v/>
      </c>
      <c r="B420" s="47" t="n"/>
      <c r="C420" s="48" t="n"/>
      <c r="D420" s="48" t="n"/>
      <c r="E420" s="28">
        <f>IF($C420="","",IF($D420="",IF($C420="Interna","Sin guía (interna)","FALTA GUÍA"),IF(COUNTIFS(ENVIOS!$A$4:$A$3003,$D420)=0,"NO EXISTE",IF(COUNTIFS(ENVIOS!$A$4:$A$3003,$D420)&gt;1,"DUPLICADA","OK"))))</f>
        <v/>
      </c>
      <c r="F420" s="28">
        <f>IF($D420="","",IFERROR(INDEX(ENVIOS!$B$4:$B$3003,MATCH($D420,ENVIOS!$A$4:$A$3003,0)),"—"))</f>
        <v/>
      </c>
      <c r="G420" s="23">
        <f>IF($D420="","",IFERROR(INDEX(ENVIOS!$D$4:$D$3003,MATCH($D420,ENVIOS!$A$4:$A$3003,0)),"—"))</f>
        <v/>
      </c>
      <c r="H420" s="23">
        <f>IF($D420="","",IFERROR(INDEX(ENVIOS!$E$4:$E$3003,MATCH($D420,ENVIOS!$A$4:$A$3003,0)),"—"))</f>
        <v/>
      </c>
      <c r="I420" s="23">
        <f>IF($D420="","",IFERROR(INDEX(ENVIOS!$F$4:$F$3003,MATCH($D420,ENVIOS!$A$4:$A$3003,0)),"—"))</f>
        <v/>
      </c>
      <c r="J420" s="23">
        <f>IF($D420="","",IFERROR(INDEX(ENVIOS!$G$4:$G$3003,MATCH($D420,ENVIOS!$A$4:$A$3003,0)),"—"))</f>
        <v/>
      </c>
      <c r="K420" s="28">
        <f>IF($D420="","",IFERROR(INDEX(ENVIOS!$H$4:$H$3003,MATCH($D420,ENVIOS!$A$4:$A$3003,0)),"—"))</f>
        <v/>
      </c>
      <c r="L420" s="49">
        <f>IF($D420="","",IFERROR(INDEX(ENVIOS!$C$4:$C$3003,MATCH($D420,ENVIOS!$A$4:$A$3003,0)),""))</f>
        <v/>
      </c>
      <c r="M420" s="50" t="n"/>
      <c r="N420" s="28">
        <f>IF($M420="","",IFERROR(INDEX(CONFIG!$C$4:$C$63,MATCH($M420,CONFIG!$A$4:$A$63,0)),"Media"))</f>
        <v/>
      </c>
      <c r="O420" s="28">
        <f>IF($M420="","",IF($C420="Interna","NO",IFERROR(INDEX(CONFIG!$E$4:$E$63,MATCH($M420,CONFIG!$A$4:$A$63,0)),"NO")))</f>
        <v/>
      </c>
      <c r="P420" s="50" t="n"/>
      <c r="Q420" s="50" t="n"/>
      <c r="R420" s="28">
        <f>IF($Q420="","",IFERROR(INDEX(CONFIG!$H$4:$H$63,MATCH($Q420,CONFIG!$G$4:$G$63,0)),"Por definir"))</f>
        <v/>
      </c>
      <c r="S420" s="28">
        <f>IF($Q420="","",IFERROR(INDEX(CONFIG!$I$4:$I$63,MATCH($Q420,CONFIG!$G$4:$G$63,0)),"Por definir"))</f>
        <v/>
      </c>
      <c r="T420" s="51" t="n"/>
      <c r="U420" s="52" t="n"/>
      <c r="V420" s="50" t="n"/>
      <c r="W420" s="50" t="n"/>
      <c r="X420" s="49">
        <f>IF(OR($B420="",$M420=""),"",WORKDAY($B420,IFERROR(INDEX(CONFIG!$D$4:$D$63,MATCH($M420,CONFIG!$A$4:$A$63,0)),3)))</f>
        <v/>
      </c>
      <c r="Y420" s="47" t="n"/>
      <c r="Z420" s="24">
        <f>IF($B420="","",IF($Y420&lt;&gt;"",$Y420-$B420,TODAY()-$B420))</f>
        <v/>
      </c>
      <c r="AA420" s="28">
        <f>IF($B420="","",IF(IFERROR(INDEX(CONFIG!$L$4:$L$63,MATCH($V420,CONFIG!$K$4:$K$63,0)),"NO")="SÍ",IF(OR($Y420="",$X420=""),"Resuelta",IF($Y420&gt;$X420,"Resuelta tarde","Resuelta a tiempo")),IF($X420="","Sin clasificar",IF(TODAY()&gt;$X420,"Vencida",IF(TODAY()&gt;=$X420-1,"Por vencer","En plazo")))))</f>
        <v/>
      </c>
      <c r="AB420" s="50" t="n"/>
      <c r="AC420" s="50" t="n"/>
    </row>
    <row r="421" ht="16" customHeight="1">
      <c r="A421" s="28">
        <f>IF($B421="","","N-"&amp;TEXT(ROW()-3,"0000"))</f>
        <v/>
      </c>
      <c r="B421" s="47" t="n"/>
      <c r="C421" s="48" t="n"/>
      <c r="D421" s="48" t="n"/>
      <c r="E421" s="28">
        <f>IF($C421="","",IF($D421="",IF($C421="Interna","Sin guía (interna)","FALTA GUÍA"),IF(COUNTIFS(ENVIOS!$A$4:$A$3003,$D421)=0,"NO EXISTE",IF(COUNTIFS(ENVIOS!$A$4:$A$3003,$D421)&gt;1,"DUPLICADA","OK"))))</f>
        <v/>
      </c>
      <c r="F421" s="28">
        <f>IF($D421="","",IFERROR(INDEX(ENVIOS!$B$4:$B$3003,MATCH($D421,ENVIOS!$A$4:$A$3003,0)),"—"))</f>
        <v/>
      </c>
      <c r="G421" s="23">
        <f>IF($D421="","",IFERROR(INDEX(ENVIOS!$D$4:$D$3003,MATCH($D421,ENVIOS!$A$4:$A$3003,0)),"—"))</f>
        <v/>
      </c>
      <c r="H421" s="23">
        <f>IF($D421="","",IFERROR(INDEX(ENVIOS!$E$4:$E$3003,MATCH($D421,ENVIOS!$A$4:$A$3003,0)),"—"))</f>
        <v/>
      </c>
      <c r="I421" s="23">
        <f>IF($D421="","",IFERROR(INDEX(ENVIOS!$F$4:$F$3003,MATCH($D421,ENVIOS!$A$4:$A$3003,0)),"—"))</f>
        <v/>
      </c>
      <c r="J421" s="23">
        <f>IF($D421="","",IFERROR(INDEX(ENVIOS!$G$4:$G$3003,MATCH($D421,ENVIOS!$A$4:$A$3003,0)),"—"))</f>
        <v/>
      </c>
      <c r="K421" s="28">
        <f>IF($D421="","",IFERROR(INDEX(ENVIOS!$H$4:$H$3003,MATCH($D421,ENVIOS!$A$4:$A$3003,0)),"—"))</f>
        <v/>
      </c>
      <c r="L421" s="49">
        <f>IF($D421="","",IFERROR(INDEX(ENVIOS!$C$4:$C$3003,MATCH($D421,ENVIOS!$A$4:$A$3003,0)),""))</f>
        <v/>
      </c>
      <c r="M421" s="50" t="n"/>
      <c r="N421" s="28">
        <f>IF($M421="","",IFERROR(INDEX(CONFIG!$C$4:$C$63,MATCH($M421,CONFIG!$A$4:$A$63,0)),"Media"))</f>
        <v/>
      </c>
      <c r="O421" s="28">
        <f>IF($M421="","",IF($C421="Interna","NO",IFERROR(INDEX(CONFIG!$E$4:$E$63,MATCH($M421,CONFIG!$A$4:$A$63,0)),"NO")))</f>
        <v/>
      </c>
      <c r="P421" s="50" t="n"/>
      <c r="Q421" s="50" t="n"/>
      <c r="R421" s="28">
        <f>IF($Q421="","",IFERROR(INDEX(CONFIG!$H$4:$H$63,MATCH($Q421,CONFIG!$G$4:$G$63,0)),"Por definir"))</f>
        <v/>
      </c>
      <c r="S421" s="28">
        <f>IF($Q421="","",IFERROR(INDEX(CONFIG!$I$4:$I$63,MATCH($Q421,CONFIG!$G$4:$G$63,0)),"Por definir"))</f>
        <v/>
      </c>
      <c r="T421" s="51" t="n"/>
      <c r="U421" s="52" t="n"/>
      <c r="V421" s="50" t="n"/>
      <c r="W421" s="50" t="n"/>
      <c r="X421" s="49">
        <f>IF(OR($B421="",$M421=""),"",WORKDAY($B421,IFERROR(INDEX(CONFIG!$D$4:$D$63,MATCH($M421,CONFIG!$A$4:$A$63,0)),3)))</f>
        <v/>
      </c>
      <c r="Y421" s="47" t="n"/>
      <c r="Z421" s="24">
        <f>IF($B421="","",IF($Y421&lt;&gt;"",$Y421-$B421,TODAY()-$B421))</f>
        <v/>
      </c>
      <c r="AA421" s="28">
        <f>IF($B421="","",IF(IFERROR(INDEX(CONFIG!$L$4:$L$63,MATCH($V421,CONFIG!$K$4:$K$63,0)),"NO")="SÍ",IF(OR($Y421="",$X421=""),"Resuelta",IF($Y421&gt;$X421,"Resuelta tarde","Resuelta a tiempo")),IF($X421="","Sin clasificar",IF(TODAY()&gt;$X421,"Vencida",IF(TODAY()&gt;=$X421-1,"Por vencer","En plazo")))))</f>
        <v/>
      </c>
      <c r="AB421" s="50" t="n"/>
      <c r="AC421" s="50" t="n"/>
    </row>
    <row r="422" ht="16" customHeight="1">
      <c r="A422" s="28">
        <f>IF($B422="","","N-"&amp;TEXT(ROW()-3,"0000"))</f>
        <v/>
      </c>
      <c r="B422" s="47" t="n"/>
      <c r="C422" s="48" t="n"/>
      <c r="D422" s="48" t="n"/>
      <c r="E422" s="28">
        <f>IF($C422="","",IF($D422="",IF($C422="Interna","Sin guía (interna)","FALTA GUÍA"),IF(COUNTIFS(ENVIOS!$A$4:$A$3003,$D422)=0,"NO EXISTE",IF(COUNTIFS(ENVIOS!$A$4:$A$3003,$D422)&gt;1,"DUPLICADA","OK"))))</f>
        <v/>
      </c>
      <c r="F422" s="28">
        <f>IF($D422="","",IFERROR(INDEX(ENVIOS!$B$4:$B$3003,MATCH($D422,ENVIOS!$A$4:$A$3003,0)),"—"))</f>
        <v/>
      </c>
      <c r="G422" s="23">
        <f>IF($D422="","",IFERROR(INDEX(ENVIOS!$D$4:$D$3003,MATCH($D422,ENVIOS!$A$4:$A$3003,0)),"—"))</f>
        <v/>
      </c>
      <c r="H422" s="23">
        <f>IF($D422="","",IFERROR(INDEX(ENVIOS!$E$4:$E$3003,MATCH($D422,ENVIOS!$A$4:$A$3003,0)),"—"))</f>
        <v/>
      </c>
      <c r="I422" s="23">
        <f>IF($D422="","",IFERROR(INDEX(ENVIOS!$F$4:$F$3003,MATCH($D422,ENVIOS!$A$4:$A$3003,0)),"—"))</f>
        <v/>
      </c>
      <c r="J422" s="23">
        <f>IF($D422="","",IFERROR(INDEX(ENVIOS!$G$4:$G$3003,MATCH($D422,ENVIOS!$A$4:$A$3003,0)),"—"))</f>
        <v/>
      </c>
      <c r="K422" s="28">
        <f>IF($D422="","",IFERROR(INDEX(ENVIOS!$H$4:$H$3003,MATCH($D422,ENVIOS!$A$4:$A$3003,0)),"—"))</f>
        <v/>
      </c>
      <c r="L422" s="49">
        <f>IF($D422="","",IFERROR(INDEX(ENVIOS!$C$4:$C$3003,MATCH($D422,ENVIOS!$A$4:$A$3003,0)),""))</f>
        <v/>
      </c>
      <c r="M422" s="50" t="n"/>
      <c r="N422" s="28">
        <f>IF($M422="","",IFERROR(INDEX(CONFIG!$C$4:$C$63,MATCH($M422,CONFIG!$A$4:$A$63,0)),"Media"))</f>
        <v/>
      </c>
      <c r="O422" s="28">
        <f>IF($M422="","",IF($C422="Interna","NO",IFERROR(INDEX(CONFIG!$E$4:$E$63,MATCH($M422,CONFIG!$A$4:$A$63,0)),"NO")))</f>
        <v/>
      </c>
      <c r="P422" s="50" t="n"/>
      <c r="Q422" s="50" t="n"/>
      <c r="R422" s="28">
        <f>IF($Q422="","",IFERROR(INDEX(CONFIG!$H$4:$H$63,MATCH($Q422,CONFIG!$G$4:$G$63,0)),"Por definir"))</f>
        <v/>
      </c>
      <c r="S422" s="28">
        <f>IF($Q422="","",IFERROR(INDEX(CONFIG!$I$4:$I$63,MATCH($Q422,CONFIG!$G$4:$G$63,0)),"Por definir"))</f>
        <v/>
      </c>
      <c r="T422" s="51" t="n"/>
      <c r="U422" s="52" t="n"/>
      <c r="V422" s="50" t="n"/>
      <c r="W422" s="50" t="n"/>
      <c r="X422" s="49">
        <f>IF(OR($B422="",$M422=""),"",WORKDAY($B422,IFERROR(INDEX(CONFIG!$D$4:$D$63,MATCH($M422,CONFIG!$A$4:$A$63,0)),3)))</f>
        <v/>
      </c>
      <c r="Y422" s="47" t="n"/>
      <c r="Z422" s="24">
        <f>IF($B422="","",IF($Y422&lt;&gt;"",$Y422-$B422,TODAY()-$B422))</f>
        <v/>
      </c>
      <c r="AA422" s="28">
        <f>IF($B422="","",IF(IFERROR(INDEX(CONFIG!$L$4:$L$63,MATCH($V422,CONFIG!$K$4:$K$63,0)),"NO")="SÍ",IF(OR($Y422="",$X422=""),"Resuelta",IF($Y422&gt;$X422,"Resuelta tarde","Resuelta a tiempo")),IF($X422="","Sin clasificar",IF(TODAY()&gt;$X422,"Vencida",IF(TODAY()&gt;=$X422-1,"Por vencer","En plazo")))))</f>
        <v/>
      </c>
      <c r="AB422" s="50" t="n"/>
      <c r="AC422" s="50" t="n"/>
    </row>
    <row r="423" ht="16" customHeight="1">
      <c r="A423" s="28">
        <f>IF($B423="","","N-"&amp;TEXT(ROW()-3,"0000"))</f>
        <v/>
      </c>
      <c r="B423" s="47" t="n"/>
      <c r="C423" s="48" t="n"/>
      <c r="D423" s="48" t="n"/>
      <c r="E423" s="28">
        <f>IF($C423="","",IF($D423="",IF($C423="Interna","Sin guía (interna)","FALTA GUÍA"),IF(COUNTIFS(ENVIOS!$A$4:$A$3003,$D423)=0,"NO EXISTE",IF(COUNTIFS(ENVIOS!$A$4:$A$3003,$D423)&gt;1,"DUPLICADA","OK"))))</f>
        <v/>
      </c>
      <c r="F423" s="28">
        <f>IF($D423="","",IFERROR(INDEX(ENVIOS!$B$4:$B$3003,MATCH($D423,ENVIOS!$A$4:$A$3003,0)),"—"))</f>
        <v/>
      </c>
      <c r="G423" s="23">
        <f>IF($D423="","",IFERROR(INDEX(ENVIOS!$D$4:$D$3003,MATCH($D423,ENVIOS!$A$4:$A$3003,0)),"—"))</f>
        <v/>
      </c>
      <c r="H423" s="23">
        <f>IF($D423="","",IFERROR(INDEX(ENVIOS!$E$4:$E$3003,MATCH($D423,ENVIOS!$A$4:$A$3003,0)),"—"))</f>
        <v/>
      </c>
      <c r="I423" s="23">
        <f>IF($D423="","",IFERROR(INDEX(ENVIOS!$F$4:$F$3003,MATCH($D423,ENVIOS!$A$4:$A$3003,0)),"—"))</f>
        <v/>
      </c>
      <c r="J423" s="23">
        <f>IF($D423="","",IFERROR(INDEX(ENVIOS!$G$4:$G$3003,MATCH($D423,ENVIOS!$A$4:$A$3003,0)),"—"))</f>
        <v/>
      </c>
      <c r="K423" s="28">
        <f>IF($D423="","",IFERROR(INDEX(ENVIOS!$H$4:$H$3003,MATCH($D423,ENVIOS!$A$4:$A$3003,0)),"—"))</f>
        <v/>
      </c>
      <c r="L423" s="49">
        <f>IF($D423="","",IFERROR(INDEX(ENVIOS!$C$4:$C$3003,MATCH($D423,ENVIOS!$A$4:$A$3003,0)),""))</f>
        <v/>
      </c>
      <c r="M423" s="50" t="n"/>
      <c r="N423" s="28">
        <f>IF($M423="","",IFERROR(INDEX(CONFIG!$C$4:$C$63,MATCH($M423,CONFIG!$A$4:$A$63,0)),"Media"))</f>
        <v/>
      </c>
      <c r="O423" s="28">
        <f>IF($M423="","",IF($C423="Interna","NO",IFERROR(INDEX(CONFIG!$E$4:$E$63,MATCH($M423,CONFIG!$A$4:$A$63,0)),"NO")))</f>
        <v/>
      </c>
      <c r="P423" s="50" t="n"/>
      <c r="Q423" s="50" t="n"/>
      <c r="R423" s="28">
        <f>IF($Q423="","",IFERROR(INDEX(CONFIG!$H$4:$H$63,MATCH($Q423,CONFIG!$G$4:$G$63,0)),"Por definir"))</f>
        <v/>
      </c>
      <c r="S423" s="28">
        <f>IF($Q423="","",IFERROR(INDEX(CONFIG!$I$4:$I$63,MATCH($Q423,CONFIG!$G$4:$G$63,0)),"Por definir"))</f>
        <v/>
      </c>
      <c r="T423" s="51" t="n"/>
      <c r="U423" s="52" t="n"/>
      <c r="V423" s="50" t="n"/>
      <c r="W423" s="50" t="n"/>
      <c r="X423" s="49">
        <f>IF(OR($B423="",$M423=""),"",WORKDAY($B423,IFERROR(INDEX(CONFIG!$D$4:$D$63,MATCH($M423,CONFIG!$A$4:$A$63,0)),3)))</f>
        <v/>
      </c>
      <c r="Y423" s="47" t="n"/>
      <c r="Z423" s="24">
        <f>IF($B423="","",IF($Y423&lt;&gt;"",$Y423-$B423,TODAY()-$B423))</f>
        <v/>
      </c>
      <c r="AA423" s="28">
        <f>IF($B423="","",IF(IFERROR(INDEX(CONFIG!$L$4:$L$63,MATCH($V423,CONFIG!$K$4:$K$63,0)),"NO")="SÍ",IF(OR($Y423="",$X423=""),"Resuelta",IF($Y423&gt;$X423,"Resuelta tarde","Resuelta a tiempo")),IF($X423="","Sin clasificar",IF(TODAY()&gt;$X423,"Vencida",IF(TODAY()&gt;=$X423-1,"Por vencer","En plazo")))))</f>
        <v/>
      </c>
      <c r="AB423" s="50" t="n"/>
      <c r="AC423" s="50" t="n"/>
    </row>
    <row r="424" ht="16" customHeight="1">
      <c r="A424" s="28">
        <f>IF($B424="","","N-"&amp;TEXT(ROW()-3,"0000"))</f>
        <v/>
      </c>
      <c r="B424" s="47" t="n"/>
      <c r="C424" s="48" t="n"/>
      <c r="D424" s="48" t="n"/>
      <c r="E424" s="28">
        <f>IF($C424="","",IF($D424="",IF($C424="Interna","Sin guía (interna)","FALTA GUÍA"),IF(COUNTIFS(ENVIOS!$A$4:$A$3003,$D424)=0,"NO EXISTE",IF(COUNTIFS(ENVIOS!$A$4:$A$3003,$D424)&gt;1,"DUPLICADA","OK"))))</f>
        <v/>
      </c>
      <c r="F424" s="28">
        <f>IF($D424="","",IFERROR(INDEX(ENVIOS!$B$4:$B$3003,MATCH($D424,ENVIOS!$A$4:$A$3003,0)),"—"))</f>
        <v/>
      </c>
      <c r="G424" s="23">
        <f>IF($D424="","",IFERROR(INDEX(ENVIOS!$D$4:$D$3003,MATCH($D424,ENVIOS!$A$4:$A$3003,0)),"—"))</f>
        <v/>
      </c>
      <c r="H424" s="23">
        <f>IF($D424="","",IFERROR(INDEX(ENVIOS!$E$4:$E$3003,MATCH($D424,ENVIOS!$A$4:$A$3003,0)),"—"))</f>
        <v/>
      </c>
      <c r="I424" s="23">
        <f>IF($D424="","",IFERROR(INDEX(ENVIOS!$F$4:$F$3003,MATCH($D424,ENVIOS!$A$4:$A$3003,0)),"—"))</f>
        <v/>
      </c>
      <c r="J424" s="23">
        <f>IF($D424="","",IFERROR(INDEX(ENVIOS!$G$4:$G$3003,MATCH($D424,ENVIOS!$A$4:$A$3003,0)),"—"))</f>
        <v/>
      </c>
      <c r="K424" s="28">
        <f>IF($D424="","",IFERROR(INDEX(ENVIOS!$H$4:$H$3003,MATCH($D424,ENVIOS!$A$4:$A$3003,0)),"—"))</f>
        <v/>
      </c>
      <c r="L424" s="49">
        <f>IF($D424="","",IFERROR(INDEX(ENVIOS!$C$4:$C$3003,MATCH($D424,ENVIOS!$A$4:$A$3003,0)),""))</f>
        <v/>
      </c>
      <c r="M424" s="50" t="n"/>
      <c r="N424" s="28">
        <f>IF($M424="","",IFERROR(INDEX(CONFIG!$C$4:$C$63,MATCH($M424,CONFIG!$A$4:$A$63,0)),"Media"))</f>
        <v/>
      </c>
      <c r="O424" s="28">
        <f>IF($M424="","",IF($C424="Interna","NO",IFERROR(INDEX(CONFIG!$E$4:$E$63,MATCH($M424,CONFIG!$A$4:$A$63,0)),"NO")))</f>
        <v/>
      </c>
      <c r="P424" s="50" t="n"/>
      <c r="Q424" s="50" t="n"/>
      <c r="R424" s="28">
        <f>IF($Q424="","",IFERROR(INDEX(CONFIG!$H$4:$H$63,MATCH($Q424,CONFIG!$G$4:$G$63,0)),"Por definir"))</f>
        <v/>
      </c>
      <c r="S424" s="28">
        <f>IF($Q424="","",IFERROR(INDEX(CONFIG!$I$4:$I$63,MATCH($Q424,CONFIG!$G$4:$G$63,0)),"Por definir"))</f>
        <v/>
      </c>
      <c r="T424" s="51" t="n"/>
      <c r="U424" s="52" t="n"/>
      <c r="V424" s="50" t="n"/>
      <c r="W424" s="50" t="n"/>
      <c r="X424" s="49">
        <f>IF(OR($B424="",$M424=""),"",WORKDAY($B424,IFERROR(INDEX(CONFIG!$D$4:$D$63,MATCH($M424,CONFIG!$A$4:$A$63,0)),3)))</f>
        <v/>
      </c>
      <c r="Y424" s="47" t="n"/>
      <c r="Z424" s="24">
        <f>IF($B424="","",IF($Y424&lt;&gt;"",$Y424-$B424,TODAY()-$B424))</f>
        <v/>
      </c>
      <c r="AA424" s="28">
        <f>IF($B424="","",IF(IFERROR(INDEX(CONFIG!$L$4:$L$63,MATCH($V424,CONFIG!$K$4:$K$63,0)),"NO")="SÍ",IF(OR($Y424="",$X424=""),"Resuelta",IF($Y424&gt;$X424,"Resuelta tarde","Resuelta a tiempo")),IF($X424="","Sin clasificar",IF(TODAY()&gt;$X424,"Vencida",IF(TODAY()&gt;=$X424-1,"Por vencer","En plazo")))))</f>
        <v/>
      </c>
      <c r="AB424" s="50" t="n"/>
      <c r="AC424" s="50" t="n"/>
    </row>
    <row r="425" ht="16" customHeight="1">
      <c r="A425" s="28">
        <f>IF($B425="","","N-"&amp;TEXT(ROW()-3,"0000"))</f>
        <v/>
      </c>
      <c r="B425" s="47" t="n"/>
      <c r="C425" s="48" t="n"/>
      <c r="D425" s="48" t="n"/>
      <c r="E425" s="28">
        <f>IF($C425="","",IF($D425="",IF($C425="Interna","Sin guía (interna)","FALTA GUÍA"),IF(COUNTIFS(ENVIOS!$A$4:$A$3003,$D425)=0,"NO EXISTE",IF(COUNTIFS(ENVIOS!$A$4:$A$3003,$D425)&gt;1,"DUPLICADA","OK"))))</f>
        <v/>
      </c>
      <c r="F425" s="28">
        <f>IF($D425="","",IFERROR(INDEX(ENVIOS!$B$4:$B$3003,MATCH($D425,ENVIOS!$A$4:$A$3003,0)),"—"))</f>
        <v/>
      </c>
      <c r="G425" s="23">
        <f>IF($D425="","",IFERROR(INDEX(ENVIOS!$D$4:$D$3003,MATCH($D425,ENVIOS!$A$4:$A$3003,0)),"—"))</f>
        <v/>
      </c>
      <c r="H425" s="23">
        <f>IF($D425="","",IFERROR(INDEX(ENVIOS!$E$4:$E$3003,MATCH($D425,ENVIOS!$A$4:$A$3003,0)),"—"))</f>
        <v/>
      </c>
      <c r="I425" s="23">
        <f>IF($D425="","",IFERROR(INDEX(ENVIOS!$F$4:$F$3003,MATCH($D425,ENVIOS!$A$4:$A$3003,0)),"—"))</f>
        <v/>
      </c>
      <c r="J425" s="23">
        <f>IF($D425="","",IFERROR(INDEX(ENVIOS!$G$4:$G$3003,MATCH($D425,ENVIOS!$A$4:$A$3003,0)),"—"))</f>
        <v/>
      </c>
      <c r="K425" s="28">
        <f>IF($D425="","",IFERROR(INDEX(ENVIOS!$H$4:$H$3003,MATCH($D425,ENVIOS!$A$4:$A$3003,0)),"—"))</f>
        <v/>
      </c>
      <c r="L425" s="49">
        <f>IF($D425="","",IFERROR(INDEX(ENVIOS!$C$4:$C$3003,MATCH($D425,ENVIOS!$A$4:$A$3003,0)),""))</f>
        <v/>
      </c>
      <c r="M425" s="50" t="n"/>
      <c r="N425" s="28">
        <f>IF($M425="","",IFERROR(INDEX(CONFIG!$C$4:$C$63,MATCH($M425,CONFIG!$A$4:$A$63,0)),"Media"))</f>
        <v/>
      </c>
      <c r="O425" s="28">
        <f>IF($M425="","",IF($C425="Interna","NO",IFERROR(INDEX(CONFIG!$E$4:$E$63,MATCH($M425,CONFIG!$A$4:$A$63,0)),"NO")))</f>
        <v/>
      </c>
      <c r="P425" s="50" t="n"/>
      <c r="Q425" s="50" t="n"/>
      <c r="R425" s="28">
        <f>IF($Q425="","",IFERROR(INDEX(CONFIG!$H$4:$H$63,MATCH($Q425,CONFIG!$G$4:$G$63,0)),"Por definir"))</f>
        <v/>
      </c>
      <c r="S425" s="28">
        <f>IF($Q425="","",IFERROR(INDEX(CONFIG!$I$4:$I$63,MATCH($Q425,CONFIG!$G$4:$G$63,0)),"Por definir"))</f>
        <v/>
      </c>
      <c r="T425" s="51" t="n"/>
      <c r="U425" s="52" t="n"/>
      <c r="V425" s="50" t="n"/>
      <c r="W425" s="50" t="n"/>
      <c r="X425" s="49">
        <f>IF(OR($B425="",$M425=""),"",WORKDAY($B425,IFERROR(INDEX(CONFIG!$D$4:$D$63,MATCH($M425,CONFIG!$A$4:$A$63,0)),3)))</f>
        <v/>
      </c>
      <c r="Y425" s="47" t="n"/>
      <c r="Z425" s="24">
        <f>IF($B425="","",IF($Y425&lt;&gt;"",$Y425-$B425,TODAY()-$B425))</f>
        <v/>
      </c>
      <c r="AA425" s="28">
        <f>IF($B425="","",IF(IFERROR(INDEX(CONFIG!$L$4:$L$63,MATCH($V425,CONFIG!$K$4:$K$63,0)),"NO")="SÍ",IF(OR($Y425="",$X425=""),"Resuelta",IF($Y425&gt;$X425,"Resuelta tarde","Resuelta a tiempo")),IF($X425="","Sin clasificar",IF(TODAY()&gt;$X425,"Vencida",IF(TODAY()&gt;=$X425-1,"Por vencer","En plazo")))))</f>
        <v/>
      </c>
      <c r="AB425" s="50" t="n"/>
      <c r="AC425" s="50" t="n"/>
    </row>
    <row r="426" ht="16" customHeight="1">
      <c r="A426" s="28">
        <f>IF($B426="","","N-"&amp;TEXT(ROW()-3,"0000"))</f>
        <v/>
      </c>
      <c r="B426" s="47" t="n"/>
      <c r="C426" s="48" t="n"/>
      <c r="D426" s="48" t="n"/>
      <c r="E426" s="28">
        <f>IF($C426="","",IF($D426="",IF($C426="Interna","Sin guía (interna)","FALTA GUÍA"),IF(COUNTIFS(ENVIOS!$A$4:$A$3003,$D426)=0,"NO EXISTE",IF(COUNTIFS(ENVIOS!$A$4:$A$3003,$D426)&gt;1,"DUPLICADA","OK"))))</f>
        <v/>
      </c>
      <c r="F426" s="28">
        <f>IF($D426="","",IFERROR(INDEX(ENVIOS!$B$4:$B$3003,MATCH($D426,ENVIOS!$A$4:$A$3003,0)),"—"))</f>
        <v/>
      </c>
      <c r="G426" s="23">
        <f>IF($D426="","",IFERROR(INDEX(ENVIOS!$D$4:$D$3003,MATCH($D426,ENVIOS!$A$4:$A$3003,0)),"—"))</f>
        <v/>
      </c>
      <c r="H426" s="23">
        <f>IF($D426="","",IFERROR(INDEX(ENVIOS!$E$4:$E$3003,MATCH($D426,ENVIOS!$A$4:$A$3003,0)),"—"))</f>
        <v/>
      </c>
      <c r="I426" s="23">
        <f>IF($D426="","",IFERROR(INDEX(ENVIOS!$F$4:$F$3003,MATCH($D426,ENVIOS!$A$4:$A$3003,0)),"—"))</f>
        <v/>
      </c>
      <c r="J426" s="23">
        <f>IF($D426="","",IFERROR(INDEX(ENVIOS!$G$4:$G$3003,MATCH($D426,ENVIOS!$A$4:$A$3003,0)),"—"))</f>
        <v/>
      </c>
      <c r="K426" s="28">
        <f>IF($D426="","",IFERROR(INDEX(ENVIOS!$H$4:$H$3003,MATCH($D426,ENVIOS!$A$4:$A$3003,0)),"—"))</f>
        <v/>
      </c>
      <c r="L426" s="49">
        <f>IF($D426="","",IFERROR(INDEX(ENVIOS!$C$4:$C$3003,MATCH($D426,ENVIOS!$A$4:$A$3003,0)),""))</f>
        <v/>
      </c>
      <c r="M426" s="50" t="n"/>
      <c r="N426" s="28">
        <f>IF($M426="","",IFERROR(INDEX(CONFIG!$C$4:$C$63,MATCH($M426,CONFIG!$A$4:$A$63,0)),"Media"))</f>
        <v/>
      </c>
      <c r="O426" s="28">
        <f>IF($M426="","",IF($C426="Interna","NO",IFERROR(INDEX(CONFIG!$E$4:$E$63,MATCH($M426,CONFIG!$A$4:$A$63,0)),"NO")))</f>
        <v/>
      </c>
      <c r="P426" s="50" t="n"/>
      <c r="Q426" s="50" t="n"/>
      <c r="R426" s="28">
        <f>IF($Q426="","",IFERROR(INDEX(CONFIG!$H$4:$H$63,MATCH($Q426,CONFIG!$G$4:$G$63,0)),"Por definir"))</f>
        <v/>
      </c>
      <c r="S426" s="28">
        <f>IF($Q426="","",IFERROR(INDEX(CONFIG!$I$4:$I$63,MATCH($Q426,CONFIG!$G$4:$G$63,0)),"Por definir"))</f>
        <v/>
      </c>
      <c r="T426" s="51" t="n"/>
      <c r="U426" s="52" t="n"/>
      <c r="V426" s="50" t="n"/>
      <c r="W426" s="50" t="n"/>
      <c r="X426" s="49">
        <f>IF(OR($B426="",$M426=""),"",WORKDAY($B426,IFERROR(INDEX(CONFIG!$D$4:$D$63,MATCH($M426,CONFIG!$A$4:$A$63,0)),3)))</f>
        <v/>
      </c>
      <c r="Y426" s="47" t="n"/>
      <c r="Z426" s="24">
        <f>IF($B426="","",IF($Y426&lt;&gt;"",$Y426-$B426,TODAY()-$B426))</f>
        <v/>
      </c>
      <c r="AA426" s="28">
        <f>IF($B426="","",IF(IFERROR(INDEX(CONFIG!$L$4:$L$63,MATCH($V426,CONFIG!$K$4:$K$63,0)),"NO")="SÍ",IF(OR($Y426="",$X426=""),"Resuelta",IF($Y426&gt;$X426,"Resuelta tarde","Resuelta a tiempo")),IF($X426="","Sin clasificar",IF(TODAY()&gt;$X426,"Vencida",IF(TODAY()&gt;=$X426-1,"Por vencer","En plazo")))))</f>
        <v/>
      </c>
      <c r="AB426" s="50" t="n"/>
      <c r="AC426" s="50" t="n"/>
    </row>
    <row r="427" ht="16" customHeight="1">
      <c r="A427" s="28">
        <f>IF($B427="","","N-"&amp;TEXT(ROW()-3,"0000"))</f>
        <v/>
      </c>
      <c r="B427" s="47" t="n"/>
      <c r="C427" s="48" t="n"/>
      <c r="D427" s="48" t="n"/>
      <c r="E427" s="28">
        <f>IF($C427="","",IF($D427="",IF($C427="Interna","Sin guía (interna)","FALTA GUÍA"),IF(COUNTIFS(ENVIOS!$A$4:$A$3003,$D427)=0,"NO EXISTE",IF(COUNTIFS(ENVIOS!$A$4:$A$3003,$D427)&gt;1,"DUPLICADA","OK"))))</f>
        <v/>
      </c>
      <c r="F427" s="28">
        <f>IF($D427="","",IFERROR(INDEX(ENVIOS!$B$4:$B$3003,MATCH($D427,ENVIOS!$A$4:$A$3003,0)),"—"))</f>
        <v/>
      </c>
      <c r="G427" s="23">
        <f>IF($D427="","",IFERROR(INDEX(ENVIOS!$D$4:$D$3003,MATCH($D427,ENVIOS!$A$4:$A$3003,0)),"—"))</f>
        <v/>
      </c>
      <c r="H427" s="23">
        <f>IF($D427="","",IFERROR(INDEX(ENVIOS!$E$4:$E$3003,MATCH($D427,ENVIOS!$A$4:$A$3003,0)),"—"))</f>
        <v/>
      </c>
      <c r="I427" s="23">
        <f>IF($D427="","",IFERROR(INDEX(ENVIOS!$F$4:$F$3003,MATCH($D427,ENVIOS!$A$4:$A$3003,0)),"—"))</f>
        <v/>
      </c>
      <c r="J427" s="23">
        <f>IF($D427="","",IFERROR(INDEX(ENVIOS!$G$4:$G$3003,MATCH($D427,ENVIOS!$A$4:$A$3003,0)),"—"))</f>
        <v/>
      </c>
      <c r="K427" s="28">
        <f>IF($D427="","",IFERROR(INDEX(ENVIOS!$H$4:$H$3003,MATCH($D427,ENVIOS!$A$4:$A$3003,0)),"—"))</f>
        <v/>
      </c>
      <c r="L427" s="49">
        <f>IF($D427="","",IFERROR(INDEX(ENVIOS!$C$4:$C$3003,MATCH($D427,ENVIOS!$A$4:$A$3003,0)),""))</f>
        <v/>
      </c>
      <c r="M427" s="50" t="n"/>
      <c r="N427" s="28">
        <f>IF($M427="","",IFERROR(INDEX(CONFIG!$C$4:$C$63,MATCH($M427,CONFIG!$A$4:$A$63,0)),"Media"))</f>
        <v/>
      </c>
      <c r="O427" s="28">
        <f>IF($M427="","",IF($C427="Interna","NO",IFERROR(INDEX(CONFIG!$E$4:$E$63,MATCH($M427,CONFIG!$A$4:$A$63,0)),"NO")))</f>
        <v/>
      </c>
      <c r="P427" s="50" t="n"/>
      <c r="Q427" s="50" t="n"/>
      <c r="R427" s="28">
        <f>IF($Q427="","",IFERROR(INDEX(CONFIG!$H$4:$H$63,MATCH($Q427,CONFIG!$G$4:$G$63,0)),"Por definir"))</f>
        <v/>
      </c>
      <c r="S427" s="28">
        <f>IF($Q427="","",IFERROR(INDEX(CONFIG!$I$4:$I$63,MATCH($Q427,CONFIG!$G$4:$G$63,0)),"Por definir"))</f>
        <v/>
      </c>
      <c r="T427" s="51" t="n"/>
      <c r="U427" s="52" t="n"/>
      <c r="V427" s="50" t="n"/>
      <c r="W427" s="50" t="n"/>
      <c r="X427" s="49">
        <f>IF(OR($B427="",$M427=""),"",WORKDAY($B427,IFERROR(INDEX(CONFIG!$D$4:$D$63,MATCH($M427,CONFIG!$A$4:$A$63,0)),3)))</f>
        <v/>
      </c>
      <c r="Y427" s="47" t="n"/>
      <c r="Z427" s="24">
        <f>IF($B427="","",IF($Y427&lt;&gt;"",$Y427-$B427,TODAY()-$B427))</f>
        <v/>
      </c>
      <c r="AA427" s="28">
        <f>IF($B427="","",IF(IFERROR(INDEX(CONFIG!$L$4:$L$63,MATCH($V427,CONFIG!$K$4:$K$63,0)),"NO")="SÍ",IF(OR($Y427="",$X427=""),"Resuelta",IF($Y427&gt;$X427,"Resuelta tarde","Resuelta a tiempo")),IF($X427="","Sin clasificar",IF(TODAY()&gt;$X427,"Vencida",IF(TODAY()&gt;=$X427-1,"Por vencer","En plazo")))))</f>
        <v/>
      </c>
      <c r="AB427" s="50" t="n"/>
      <c r="AC427" s="50" t="n"/>
    </row>
    <row r="428" ht="16" customHeight="1">
      <c r="A428" s="28">
        <f>IF($B428="","","N-"&amp;TEXT(ROW()-3,"0000"))</f>
        <v/>
      </c>
      <c r="B428" s="47" t="n"/>
      <c r="C428" s="48" t="n"/>
      <c r="D428" s="48" t="n"/>
      <c r="E428" s="28">
        <f>IF($C428="","",IF($D428="",IF($C428="Interna","Sin guía (interna)","FALTA GUÍA"),IF(COUNTIFS(ENVIOS!$A$4:$A$3003,$D428)=0,"NO EXISTE",IF(COUNTIFS(ENVIOS!$A$4:$A$3003,$D428)&gt;1,"DUPLICADA","OK"))))</f>
        <v/>
      </c>
      <c r="F428" s="28">
        <f>IF($D428="","",IFERROR(INDEX(ENVIOS!$B$4:$B$3003,MATCH($D428,ENVIOS!$A$4:$A$3003,0)),"—"))</f>
        <v/>
      </c>
      <c r="G428" s="23">
        <f>IF($D428="","",IFERROR(INDEX(ENVIOS!$D$4:$D$3003,MATCH($D428,ENVIOS!$A$4:$A$3003,0)),"—"))</f>
        <v/>
      </c>
      <c r="H428" s="23">
        <f>IF($D428="","",IFERROR(INDEX(ENVIOS!$E$4:$E$3003,MATCH($D428,ENVIOS!$A$4:$A$3003,0)),"—"))</f>
        <v/>
      </c>
      <c r="I428" s="23">
        <f>IF($D428="","",IFERROR(INDEX(ENVIOS!$F$4:$F$3003,MATCH($D428,ENVIOS!$A$4:$A$3003,0)),"—"))</f>
        <v/>
      </c>
      <c r="J428" s="23">
        <f>IF($D428="","",IFERROR(INDEX(ENVIOS!$G$4:$G$3003,MATCH($D428,ENVIOS!$A$4:$A$3003,0)),"—"))</f>
        <v/>
      </c>
      <c r="K428" s="28">
        <f>IF($D428="","",IFERROR(INDEX(ENVIOS!$H$4:$H$3003,MATCH($D428,ENVIOS!$A$4:$A$3003,0)),"—"))</f>
        <v/>
      </c>
      <c r="L428" s="49">
        <f>IF($D428="","",IFERROR(INDEX(ENVIOS!$C$4:$C$3003,MATCH($D428,ENVIOS!$A$4:$A$3003,0)),""))</f>
        <v/>
      </c>
      <c r="M428" s="50" t="n"/>
      <c r="N428" s="28">
        <f>IF($M428="","",IFERROR(INDEX(CONFIG!$C$4:$C$63,MATCH($M428,CONFIG!$A$4:$A$63,0)),"Media"))</f>
        <v/>
      </c>
      <c r="O428" s="28">
        <f>IF($M428="","",IF($C428="Interna","NO",IFERROR(INDEX(CONFIG!$E$4:$E$63,MATCH($M428,CONFIG!$A$4:$A$63,0)),"NO")))</f>
        <v/>
      </c>
      <c r="P428" s="50" t="n"/>
      <c r="Q428" s="50" t="n"/>
      <c r="R428" s="28">
        <f>IF($Q428="","",IFERROR(INDEX(CONFIG!$H$4:$H$63,MATCH($Q428,CONFIG!$G$4:$G$63,0)),"Por definir"))</f>
        <v/>
      </c>
      <c r="S428" s="28">
        <f>IF($Q428="","",IFERROR(INDEX(CONFIG!$I$4:$I$63,MATCH($Q428,CONFIG!$G$4:$G$63,0)),"Por definir"))</f>
        <v/>
      </c>
      <c r="T428" s="51" t="n"/>
      <c r="U428" s="52" t="n"/>
      <c r="V428" s="50" t="n"/>
      <c r="W428" s="50" t="n"/>
      <c r="X428" s="49">
        <f>IF(OR($B428="",$M428=""),"",WORKDAY($B428,IFERROR(INDEX(CONFIG!$D$4:$D$63,MATCH($M428,CONFIG!$A$4:$A$63,0)),3)))</f>
        <v/>
      </c>
      <c r="Y428" s="47" t="n"/>
      <c r="Z428" s="24">
        <f>IF($B428="","",IF($Y428&lt;&gt;"",$Y428-$B428,TODAY()-$B428))</f>
        <v/>
      </c>
      <c r="AA428" s="28">
        <f>IF($B428="","",IF(IFERROR(INDEX(CONFIG!$L$4:$L$63,MATCH($V428,CONFIG!$K$4:$K$63,0)),"NO")="SÍ",IF(OR($Y428="",$X428=""),"Resuelta",IF($Y428&gt;$X428,"Resuelta tarde","Resuelta a tiempo")),IF($X428="","Sin clasificar",IF(TODAY()&gt;$X428,"Vencida",IF(TODAY()&gt;=$X428-1,"Por vencer","En plazo")))))</f>
        <v/>
      </c>
      <c r="AB428" s="50" t="n"/>
      <c r="AC428" s="50" t="n"/>
    </row>
    <row r="429" ht="16" customHeight="1">
      <c r="A429" s="28">
        <f>IF($B429="","","N-"&amp;TEXT(ROW()-3,"0000"))</f>
        <v/>
      </c>
      <c r="B429" s="47" t="n"/>
      <c r="C429" s="48" t="n"/>
      <c r="D429" s="48" t="n"/>
      <c r="E429" s="28">
        <f>IF($C429="","",IF($D429="",IF($C429="Interna","Sin guía (interna)","FALTA GUÍA"),IF(COUNTIFS(ENVIOS!$A$4:$A$3003,$D429)=0,"NO EXISTE",IF(COUNTIFS(ENVIOS!$A$4:$A$3003,$D429)&gt;1,"DUPLICADA","OK"))))</f>
        <v/>
      </c>
      <c r="F429" s="28">
        <f>IF($D429="","",IFERROR(INDEX(ENVIOS!$B$4:$B$3003,MATCH($D429,ENVIOS!$A$4:$A$3003,0)),"—"))</f>
        <v/>
      </c>
      <c r="G429" s="23">
        <f>IF($D429="","",IFERROR(INDEX(ENVIOS!$D$4:$D$3003,MATCH($D429,ENVIOS!$A$4:$A$3003,0)),"—"))</f>
        <v/>
      </c>
      <c r="H429" s="23">
        <f>IF($D429="","",IFERROR(INDEX(ENVIOS!$E$4:$E$3003,MATCH($D429,ENVIOS!$A$4:$A$3003,0)),"—"))</f>
        <v/>
      </c>
      <c r="I429" s="23">
        <f>IF($D429="","",IFERROR(INDEX(ENVIOS!$F$4:$F$3003,MATCH($D429,ENVIOS!$A$4:$A$3003,0)),"—"))</f>
        <v/>
      </c>
      <c r="J429" s="23">
        <f>IF($D429="","",IFERROR(INDEX(ENVIOS!$G$4:$G$3003,MATCH($D429,ENVIOS!$A$4:$A$3003,0)),"—"))</f>
        <v/>
      </c>
      <c r="K429" s="28">
        <f>IF($D429="","",IFERROR(INDEX(ENVIOS!$H$4:$H$3003,MATCH($D429,ENVIOS!$A$4:$A$3003,0)),"—"))</f>
        <v/>
      </c>
      <c r="L429" s="49">
        <f>IF($D429="","",IFERROR(INDEX(ENVIOS!$C$4:$C$3003,MATCH($D429,ENVIOS!$A$4:$A$3003,0)),""))</f>
        <v/>
      </c>
      <c r="M429" s="50" t="n"/>
      <c r="N429" s="28">
        <f>IF($M429="","",IFERROR(INDEX(CONFIG!$C$4:$C$63,MATCH($M429,CONFIG!$A$4:$A$63,0)),"Media"))</f>
        <v/>
      </c>
      <c r="O429" s="28">
        <f>IF($M429="","",IF($C429="Interna","NO",IFERROR(INDEX(CONFIG!$E$4:$E$63,MATCH($M429,CONFIG!$A$4:$A$63,0)),"NO")))</f>
        <v/>
      </c>
      <c r="P429" s="50" t="n"/>
      <c r="Q429" s="50" t="n"/>
      <c r="R429" s="28">
        <f>IF($Q429="","",IFERROR(INDEX(CONFIG!$H$4:$H$63,MATCH($Q429,CONFIG!$G$4:$G$63,0)),"Por definir"))</f>
        <v/>
      </c>
      <c r="S429" s="28">
        <f>IF($Q429="","",IFERROR(INDEX(CONFIG!$I$4:$I$63,MATCH($Q429,CONFIG!$G$4:$G$63,0)),"Por definir"))</f>
        <v/>
      </c>
      <c r="T429" s="51" t="n"/>
      <c r="U429" s="52" t="n"/>
      <c r="V429" s="50" t="n"/>
      <c r="W429" s="50" t="n"/>
      <c r="X429" s="49">
        <f>IF(OR($B429="",$M429=""),"",WORKDAY($B429,IFERROR(INDEX(CONFIG!$D$4:$D$63,MATCH($M429,CONFIG!$A$4:$A$63,0)),3)))</f>
        <v/>
      </c>
      <c r="Y429" s="47" t="n"/>
      <c r="Z429" s="24">
        <f>IF($B429="","",IF($Y429&lt;&gt;"",$Y429-$B429,TODAY()-$B429))</f>
        <v/>
      </c>
      <c r="AA429" s="28">
        <f>IF($B429="","",IF(IFERROR(INDEX(CONFIG!$L$4:$L$63,MATCH($V429,CONFIG!$K$4:$K$63,0)),"NO")="SÍ",IF(OR($Y429="",$X429=""),"Resuelta",IF($Y429&gt;$X429,"Resuelta tarde","Resuelta a tiempo")),IF($X429="","Sin clasificar",IF(TODAY()&gt;$X429,"Vencida",IF(TODAY()&gt;=$X429-1,"Por vencer","En plazo")))))</f>
        <v/>
      </c>
      <c r="AB429" s="50" t="n"/>
      <c r="AC429" s="50" t="n"/>
    </row>
    <row r="430" ht="16" customHeight="1">
      <c r="A430" s="28">
        <f>IF($B430="","","N-"&amp;TEXT(ROW()-3,"0000"))</f>
        <v/>
      </c>
      <c r="B430" s="47" t="n"/>
      <c r="C430" s="48" t="n"/>
      <c r="D430" s="48" t="n"/>
      <c r="E430" s="28">
        <f>IF($C430="","",IF($D430="",IF($C430="Interna","Sin guía (interna)","FALTA GUÍA"),IF(COUNTIFS(ENVIOS!$A$4:$A$3003,$D430)=0,"NO EXISTE",IF(COUNTIFS(ENVIOS!$A$4:$A$3003,$D430)&gt;1,"DUPLICADA","OK"))))</f>
        <v/>
      </c>
      <c r="F430" s="28">
        <f>IF($D430="","",IFERROR(INDEX(ENVIOS!$B$4:$B$3003,MATCH($D430,ENVIOS!$A$4:$A$3003,0)),"—"))</f>
        <v/>
      </c>
      <c r="G430" s="23">
        <f>IF($D430="","",IFERROR(INDEX(ENVIOS!$D$4:$D$3003,MATCH($D430,ENVIOS!$A$4:$A$3003,0)),"—"))</f>
        <v/>
      </c>
      <c r="H430" s="23">
        <f>IF($D430="","",IFERROR(INDEX(ENVIOS!$E$4:$E$3003,MATCH($D430,ENVIOS!$A$4:$A$3003,0)),"—"))</f>
        <v/>
      </c>
      <c r="I430" s="23">
        <f>IF($D430="","",IFERROR(INDEX(ENVIOS!$F$4:$F$3003,MATCH($D430,ENVIOS!$A$4:$A$3003,0)),"—"))</f>
        <v/>
      </c>
      <c r="J430" s="23">
        <f>IF($D430="","",IFERROR(INDEX(ENVIOS!$G$4:$G$3003,MATCH($D430,ENVIOS!$A$4:$A$3003,0)),"—"))</f>
        <v/>
      </c>
      <c r="K430" s="28">
        <f>IF($D430="","",IFERROR(INDEX(ENVIOS!$H$4:$H$3003,MATCH($D430,ENVIOS!$A$4:$A$3003,0)),"—"))</f>
        <v/>
      </c>
      <c r="L430" s="49">
        <f>IF($D430="","",IFERROR(INDEX(ENVIOS!$C$4:$C$3003,MATCH($D430,ENVIOS!$A$4:$A$3003,0)),""))</f>
        <v/>
      </c>
      <c r="M430" s="50" t="n"/>
      <c r="N430" s="28">
        <f>IF($M430="","",IFERROR(INDEX(CONFIG!$C$4:$C$63,MATCH($M430,CONFIG!$A$4:$A$63,0)),"Media"))</f>
        <v/>
      </c>
      <c r="O430" s="28">
        <f>IF($M430="","",IF($C430="Interna","NO",IFERROR(INDEX(CONFIG!$E$4:$E$63,MATCH($M430,CONFIG!$A$4:$A$63,0)),"NO")))</f>
        <v/>
      </c>
      <c r="P430" s="50" t="n"/>
      <c r="Q430" s="50" t="n"/>
      <c r="R430" s="28">
        <f>IF($Q430="","",IFERROR(INDEX(CONFIG!$H$4:$H$63,MATCH($Q430,CONFIG!$G$4:$G$63,0)),"Por definir"))</f>
        <v/>
      </c>
      <c r="S430" s="28">
        <f>IF($Q430="","",IFERROR(INDEX(CONFIG!$I$4:$I$63,MATCH($Q430,CONFIG!$G$4:$G$63,0)),"Por definir"))</f>
        <v/>
      </c>
      <c r="T430" s="51" t="n"/>
      <c r="U430" s="52" t="n"/>
      <c r="V430" s="50" t="n"/>
      <c r="W430" s="50" t="n"/>
      <c r="X430" s="49">
        <f>IF(OR($B430="",$M430=""),"",WORKDAY($B430,IFERROR(INDEX(CONFIG!$D$4:$D$63,MATCH($M430,CONFIG!$A$4:$A$63,0)),3)))</f>
        <v/>
      </c>
      <c r="Y430" s="47" t="n"/>
      <c r="Z430" s="24">
        <f>IF($B430="","",IF($Y430&lt;&gt;"",$Y430-$B430,TODAY()-$B430))</f>
        <v/>
      </c>
      <c r="AA430" s="28">
        <f>IF($B430="","",IF(IFERROR(INDEX(CONFIG!$L$4:$L$63,MATCH($V430,CONFIG!$K$4:$K$63,0)),"NO")="SÍ",IF(OR($Y430="",$X430=""),"Resuelta",IF($Y430&gt;$X430,"Resuelta tarde","Resuelta a tiempo")),IF($X430="","Sin clasificar",IF(TODAY()&gt;$X430,"Vencida",IF(TODAY()&gt;=$X430-1,"Por vencer","En plazo")))))</f>
        <v/>
      </c>
      <c r="AB430" s="50" t="n"/>
      <c r="AC430" s="50" t="n"/>
    </row>
    <row r="431" ht="16" customHeight="1">
      <c r="A431" s="28">
        <f>IF($B431="","","N-"&amp;TEXT(ROW()-3,"0000"))</f>
        <v/>
      </c>
      <c r="B431" s="47" t="n"/>
      <c r="C431" s="48" t="n"/>
      <c r="D431" s="48" t="n"/>
      <c r="E431" s="28">
        <f>IF($C431="","",IF($D431="",IF($C431="Interna","Sin guía (interna)","FALTA GUÍA"),IF(COUNTIFS(ENVIOS!$A$4:$A$3003,$D431)=0,"NO EXISTE",IF(COUNTIFS(ENVIOS!$A$4:$A$3003,$D431)&gt;1,"DUPLICADA","OK"))))</f>
        <v/>
      </c>
      <c r="F431" s="28">
        <f>IF($D431="","",IFERROR(INDEX(ENVIOS!$B$4:$B$3003,MATCH($D431,ENVIOS!$A$4:$A$3003,0)),"—"))</f>
        <v/>
      </c>
      <c r="G431" s="23">
        <f>IF($D431="","",IFERROR(INDEX(ENVIOS!$D$4:$D$3003,MATCH($D431,ENVIOS!$A$4:$A$3003,0)),"—"))</f>
        <v/>
      </c>
      <c r="H431" s="23">
        <f>IF($D431="","",IFERROR(INDEX(ENVIOS!$E$4:$E$3003,MATCH($D431,ENVIOS!$A$4:$A$3003,0)),"—"))</f>
        <v/>
      </c>
      <c r="I431" s="23">
        <f>IF($D431="","",IFERROR(INDEX(ENVIOS!$F$4:$F$3003,MATCH($D431,ENVIOS!$A$4:$A$3003,0)),"—"))</f>
        <v/>
      </c>
      <c r="J431" s="23">
        <f>IF($D431="","",IFERROR(INDEX(ENVIOS!$G$4:$G$3003,MATCH($D431,ENVIOS!$A$4:$A$3003,0)),"—"))</f>
        <v/>
      </c>
      <c r="K431" s="28">
        <f>IF($D431="","",IFERROR(INDEX(ENVIOS!$H$4:$H$3003,MATCH($D431,ENVIOS!$A$4:$A$3003,0)),"—"))</f>
        <v/>
      </c>
      <c r="L431" s="49">
        <f>IF($D431="","",IFERROR(INDEX(ENVIOS!$C$4:$C$3003,MATCH($D431,ENVIOS!$A$4:$A$3003,0)),""))</f>
        <v/>
      </c>
      <c r="M431" s="50" t="n"/>
      <c r="N431" s="28">
        <f>IF($M431="","",IFERROR(INDEX(CONFIG!$C$4:$C$63,MATCH($M431,CONFIG!$A$4:$A$63,0)),"Media"))</f>
        <v/>
      </c>
      <c r="O431" s="28">
        <f>IF($M431="","",IF($C431="Interna","NO",IFERROR(INDEX(CONFIG!$E$4:$E$63,MATCH($M431,CONFIG!$A$4:$A$63,0)),"NO")))</f>
        <v/>
      </c>
      <c r="P431" s="50" t="n"/>
      <c r="Q431" s="50" t="n"/>
      <c r="R431" s="28">
        <f>IF($Q431="","",IFERROR(INDEX(CONFIG!$H$4:$H$63,MATCH($Q431,CONFIG!$G$4:$G$63,0)),"Por definir"))</f>
        <v/>
      </c>
      <c r="S431" s="28">
        <f>IF($Q431="","",IFERROR(INDEX(CONFIG!$I$4:$I$63,MATCH($Q431,CONFIG!$G$4:$G$63,0)),"Por definir"))</f>
        <v/>
      </c>
      <c r="T431" s="51" t="n"/>
      <c r="U431" s="52" t="n"/>
      <c r="V431" s="50" t="n"/>
      <c r="W431" s="50" t="n"/>
      <c r="X431" s="49">
        <f>IF(OR($B431="",$M431=""),"",WORKDAY($B431,IFERROR(INDEX(CONFIG!$D$4:$D$63,MATCH($M431,CONFIG!$A$4:$A$63,0)),3)))</f>
        <v/>
      </c>
      <c r="Y431" s="47" t="n"/>
      <c r="Z431" s="24">
        <f>IF($B431="","",IF($Y431&lt;&gt;"",$Y431-$B431,TODAY()-$B431))</f>
        <v/>
      </c>
      <c r="AA431" s="28">
        <f>IF($B431="","",IF(IFERROR(INDEX(CONFIG!$L$4:$L$63,MATCH($V431,CONFIG!$K$4:$K$63,0)),"NO")="SÍ",IF(OR($Y431="",$X431=""),"Resuelta",IF($Y431&gt;$X431,"Resuelta tarde","Resuelta a tiempo")),IF($X431="","Sin clasificar",IF(TODAY()&gt;$X431,"Vencida",IF(TODAY()&gt;=$X431-1,"Por vencer","En plazo")))))</f>
        <v/>
      </c>
      <c r="AB431" s="50" t="n"/>
      <c r="AC431" s="50" t="n"/>
    </row>
    <row r="432" ht="16" customHeight="1">
      <c r="A432" s="28">
        <f>IF($B432="","","N-"&amp;TEXT(ROW()-3,"0000"))</f>
        <v/>
      </c>
      <c r="B432" s="47" t="n"/>
      <c r="C432" s="48" t="n"/>
      <c r="D432" s="48" t="n"/>
      <c r="E432" s="28">
        <f>IF($C432="","",IF($D432="",IF($C432="Interna","Sin guía (interna)","FALTA GUÍA"),IF(COUNTIFS(ENVIOS!$A$4:$A$3003,$D432)=0,"NO EXISTE",IF(COUNTIFS(ENVIOS!$A$4:$A$3003,$D432)&gt;1,"DUPLICADA","OK"))))</f>
        <v/>
      </c>
      <c r="F432" s="28">
        <f>IF($D432="","",IFERROR(INDEX(ENVIOS!$B$4:$B$3003,MATCH($D432,ENVIOS!$A$4:$A$3003,0)),"—"))</f>
        <v/>
      </c>
      <c r="G432" s="23">
        <f>IF($D432="","",IFERROR(INDEX(ENVIOS!$D$4:$D$3003,MATCH($D432,ENVIOS!$A$4:$A$3003,0)),"—"))</f>
        <v/>
      </c>
      <c r="H432" s="23">
        <f>IF($D432="","",IFERROR(INDEX(ENVIOS!$E$4:$E$3003,MATCH($D432,ENVIOS!$A$4:$A$3003,0)),"—"))</f>
        <v/>
      </c>
      <c r="I432" s="23">
        <f>IF($D432="","",IFERROR(INDEX(ENVIOS!$F$4:$F$3003,MATCH($D432,ENVIOS!$A$4:$A$3003,0)),"—"))</f>
        <v/>
      </c>
      <c r="J432" s="23">
        <f>IF($D432="","",IFERROR(INDEX(ENVIOS!$G$4:$G$3003,MATCH($D432,ENVIOS!$A$4:$A$3003,0)),"—"))</f>
        <v/>
      </c>
      <c r="K432" s="28">
        <f>IF($D432="","",IFERROR(INDEX(ENVIOS!$H$4:$H$3003,MATCH($D432,ENVIOS!$A$4:$A$3003,0)),"—"))</f>
        <v/>
      </c>
      <c r="L432" s="49">
        <f>IF($D432="","",IFERROR(INDEX(ENVIOS!$C$4:$C$3003,MATCH($D432,ENVIOS!$A$4:$A$3003,0)),""))</f>
        <v/>
      </c>
      <c r="M432" s="50" t="n"/>
      <c r="N432" s="28">
        <f>IF($M432="","",IFERROR(INDEX(CONFIG!$C$4:$C$63,MATCH($M432,CONFIG!$A$4:$A$63,0)),"Media"))</f>
        <v/>
      </c>
      <c r="O432" s="28">
        <f>IF($M432="","",IF($C432="Interna","NO",IFERROR(INDEX(CONFIG!$E$4:$E$63,MATCH($M432,CONFIG!$A$4:$A$63,0)),"NO")))</f>
        <v/>
      </c>
      <c r="P432" s="50" t="n"/>
      <c r="Q432" s="50" t="n"/>
      <c r="R432" s="28">
        <f>IF($Q432="","",IFERROR(INDEX(CONFIG!$H$4:$H$63,MATCH($Q432,CONFIG!$G$4:$G$63,0)),"Por definir"))</f>
        <v/>
      </c>
      <c r="S432" s="28">
        <f>IF($Q432="","",IFERROR(INDEX(CONFIG!$I$4:$I$63,MATCH($Q432,CONFIG!$G$4:$G$63,0)),"Por definir"))</f>
        <v/>
      </c>
      <c r="T432" s="51" t="n"/>
      <c r="U432" s="52" t="n"/>
      <c r="V432" s="50" t="n"/>
      <c r="W432" s="50" t="n"/>
      <c r="X432" s="49">
        <f>IF(OR($B432="",$M432=""),"",WORKDAY($B432,IFERROR(INDEX(CONFIG!$D$4:$D$63,MATCH($M432,CONFIG!$A$4:$A$63,0)),3)))</f>
        <v/>
      </c>
      <c r="Y432" s="47" t="n"/>
      <c r="Z432" s="24">
        <f>IF($B432="","",IF($Y432&lt;&gt;"",$Y432-$B432,TODAY()-$B432))</f>
        <v/>
      </c>
      <c r="AA432" s="28">
        <f>IF($B432="","",IF(IFERROR(INDEX(CONFIG!$L$4:$L$63,MATCH($V432,CONFIG!$K$4:$K$63,0)),"NO")="SÍ",IF(OR($Y432="",$X432=""),"Resuelta",IF($Y432&gt;$X432,"Resuelta tarde","Resuelta a tiempo")),IF($X432="","Sin clasificar",IF(TODAY()&gt;$X432,"Vencida",IF(TODAY()&gt;=$X432-1,"Por vencer","En plazo")))))</f>
        <v/>
      </c>
      <c r="AB432" s="50" t="n"/>
      <c r="AC432" s="50" t="n"/>
    </row>
    <row r="433" ht="16" customHeight="1">
      <c r="A433" s="28">
        <f>IF($B433="","","N-"&amp;TEXT(ROW()-3,"0000"))</f>
        <v/>
      </c>
      <c r="B433" s="47" t="n"/>
      <c r="C433" s="48" t="n"/>
      <c r="D433" s="48" t="n"/>
      <c r="E433" s="28">
        <f>IF($C433="","",IF($D433="",IF($C433="Interna","Sin guía (interna)","FALTA GUÍA"),IF(COUNTIFS(ENVIOS!$A$4:$A$3003,$D433)=0,"NO EXISTE",IF(COUNTIFS(ENVIOS!$A$4:$A$3003,$D433)&gt;1,"DUPLICADA","OK"))))</f>
        <v/>
      </c>
      <c r="F433" s="28">
        <f>IF($D433="","",IFERROR(INDEX(ENVIOS!$B$4:$B$3003,MATCH($D433,ENVIOS!$A$4:$A$3003,0)),"—"))</f>
        <v/>
      </c>
      <c r="G433" s="23">
        <f>IF($D433="","",IFERROR(INDEX(ENVIOS!$D$4:$D$3003,MATCH($D433,ENVIOS!$A$4:$A$3003,0)),"—"))</f>
        <v/>
      </c>
      <c r="H433" s="23">
        <f>IF($D433="","",IFERROR(INDEX(ENVIOS!$E$4:$E$3003,MATCH($D433,ENVIOS!$A$4:$A$3003,0)),"—"))</f>
        <v/>
      </c>
      <c r="I433" s="23">
        <f>IF($D433="","",IFERROR(INDEX(ENVIOS!$F$4:$F$3003,MATCH($D433,ENVIOS!$A$4:$A$3003,0)),"—"))</f>
        <v/>
      </c>
      <c r="J433" s="23">
        <f>IF($D433="","",IFERROR(INDEX(ENVIOS!$G$4:$G$3003,MATCH($D433,ENVIOS!$A$4:$A$3003,0)),"—"))</f>
        <v/>
      </c>
      <c r="K433" s="28">
        <f>IF($D433="","",IFERROR(INDEX(ENVIOS!$H$4:$H$3003,MATCH($D433,ENVIOS!$A$4:$A$3003,0)),"—"))</f>
        <v/>
      </c>
      <c r="L433" s="49">
        <f>IF($D433="","",IFERROR(INDEX(ENVIOS!$C$4:$C$3003,MATCH($D433,ENVIOS!$A$4:$A$3003,0)),""))</f>
        <v/>
      </c>
      <c r="M433" s="50" t="n"/>
      <c r="N433" s="28">
        <f>IF($M433="","",IFERROR(INDEX(CONFIG!$C$4:$C$63,MATCH($M433,CONFIG!$A$4:$A$63,0)),"Media"))</f>
        <v/>
      </c>
      <c r="O433" s="28">
        <f>IF($M433="","",IF($C433="Interna","NO",IFERROR(INDEX(CONFIG!$E$4:$E$63,MATCH($M433,CONFIG!$A$4:$A$63,0)),"NO")))</f>
        <v/>
      </c>
      <c r="P433" s="50" t="n"/>
      <c r="Q433" s="50" t="n"/>
      <c r="R433" s="28">
        <f>IF($Q433="","",IFERROR(INDEX(CONFIG!$H$4:$H$63,MATCH($Q433,CONFIG!$G$4:$G$63,0)),"Por definir"))</f>
        <v/>
      </c>
      <c r="S433" s="28">
        <f>IF($Q433="","",IFERROR(INDEX(CONFIG!$I$4:$I$63,MATCH($Q433,CONFIG!$G$4:$G$63,0)),"Por definir"))</f>
        <v/>
      </c>
      <c r="T433" s="51" t="n"/>
      <c r="U433" s="52" t="n"/>
      <c r="V433" s="50" t="n"/>
      <c r="W433" s="50" t="n"/>
      <c r="X433" s="49">
        <f>IF(OR($B433="",$M433=""),"",WORKDAY($B433,IFERROR(INDEX(CONFIG!$D$4:$D$63,MATCH($M433,CONFIG!$A$4:$A$63,0)),3)))</f>
        <v/>
      </c>
      <c r="Y433" s="47" t="n"/>
      <c r="Z433" s="24">
        <f>IF($B433="","",IF($Y433&lt;&gt;"",$Y433-$B433,TODAY()-$B433))</f>
        <v/>
      </c>
      <c r="AA433" s="28">
        <f>IF($B433="","",IF(IFERROR(INDEX(CONFIG!$L$4:$L$63,MATCH($V433,CONFIG!$K$4:$K$63,0)),"NO")="SÍ",IF(OR($Y433="",$X433=""),"Resuelta",IF($Y433&gt;$X433,"Resuelta tarde","Resuelta a tiempo")),IF($X433="","Sin clasificar",IF(TODAY()&gt;$X433,"Vencida",IF(TODAY()&gt;=$X433-1,"Por vencer","En plazo")))))</f>
        <v/>
      </c>
      <c r="AB433" s="50" t="n"/>
      <c r="AC433" s="50" t="n"/>
    </row>
    <row r="434" ht="16" customHeight="1">
      <c r="A434" s="28">
        <f>IF($B434="","","N-"&amp;TEXT(ROW()-3,"0000"))</f>
        <v/>
      </c>
      <c r="B434" s="47" t="n"/>
      <c r="C434" s="48" t="n"/>
      <c r="D434" s="48" t="n"/>
      <c r="E434" s="28">
        <f>IF($C434="","",IF($D434="",IF($C434="Interna","Sin guía (interna)","FALTA GUÍA"),IF(COUNTIFS(ENVIOS!$A$4:$A$3003,$D434)=0,"NO EXISTE",IF(COUNTIFS(ENVIOS!$A$4:$A$3003,$D434)&gt;1,"DUPLICADA","OK"))))</f>
        <v/>
      </c>
      <c r="F434" s="28">
        <f>IF($D434="","",IFERROR(INDEX(ENVIOS!$B$4:$B$3003,MATCH($D434,ENVIOS!$A$4:$A$3003,0)),"—"))</f>
        <v/>
      </c>
      <c r="G434" s="23">
        <f>IF($D434="","",IFERROR(INDEX(ENVIOS!$D$4:$D$3003,MATCH($D434,ENVIOS!$A$4:$A$3003,0)),"—"))</f>
        <v/>
      </c>
      <c r="H434" s="23">
        <f>IF($D434="","",IFERROR(INDEX(ENVIOS!$E$4:$E$3003,MATCH($D434,ENVIOS!$A$4:$A$3003,0)),"—"))</f>
        <v/>
      </c>
      <c r="I434" s="23">
        <f>IF($D434="","",IFERROR(INDEX(ENVIOS!$F$4:$F$3003,MATCH($D434,ENVIOS!$A$4:$A$3003,0)),"—"))</f>
        <v/>
      </c>
      <c r="J434" s="23">
        <f>IF($D434="","",IFERROR(INDEX(ENVIOS!$G$4:$G$3003,MATCH($D434,ENVIOS!$A$4:$A$3003,0)),"—"))</f>
        <v/>
      </c>
      <c r="K434" s="28">
        <f>IF($D434="","",IFERROR(INDEX(ENVIOS!$H$4:$H$3003,MATCH($D434,ENVIOS!$A$4:$A$3003,0)),"—"))</f>
        <v/>
      </c>
      <c r="L434" s="49">
        <f>IF($D434="","",IFERROR(INDEX(ENVIOS!$C$4:$C$3003,MATCH($D434,ENVIOS!$A$4:$A$3003,0)),""))</f>
        <v/>
      </c>
      <c r="M434" s="50" t="n"/>
      <c r="N434" s="28">
        <f>IF($M434="","",IFERROR(INDEX(CONFIG!$C$4:$C$63,MATCH($M434,CONFIG!$A$4:$A$63,0)),"Media"))</f>
        <v/>
      </c>
      <c r="O434" s="28">
        <f>IF($M434="","",IF($C434="Interna","NO",IFERROR(INDEX(CONFIG!$E$4:$E$63,MATCH($M434,CONFIG!$A$4:$A$63,0)),"NO")))</f>
        <v/>
      </c>
      <c r="P434" s="50" t="n"/>
      <c r="Q434" s="50" t="n"/>
      <c r="R434" s="28">
        <f>IF($Q434="","",IFERROR(INDEX(CONFIG!$H$4:$H$63,MATCH($Q434,CONFIG!$G$4:$G$63,0)),"Por definir"))</f>
        <v/>
      </c>
      <c r="S434" s="28">
        <f>IF($Q434="","",IFERROR(INDEX(CONFIG!$I$4:$I$63,MATCH($Q434,CONFIG!$G$4:$G$63,0)),"Por definir"))</f>
        <v/>
      </c>
      <c r="T434" s="51" t="n"/>
      <c r="U434" s="52" t="n"/>
      <c r="V434" s="50" t="n"/>
      <c r="W434" s="50" t="n"/>
      <c r="X434" s="49">
        <f>IF(OR($B434="",$M434=""),"",WORKDAY($B434,IFERROR(INDEX(CONFIG!$D$4:$D$63,MATCH($M434,CONFIG!$A$4:$A$63,0)),3)))</f>
        <v/>
      </c>
      <c r="Y434" s="47" t="n"/>
      <c r="Z434" s="24">
        <f>IF($B434="","",IF($Y434&lt;&gt;"",$Y434-$B434,TODAY()-$B434))</f>
        <v/>
      </c>
      <c r="AA434" s="28">
        <f>IF($B434="","",IF(IFERROR(INDEX(CONFIG!$L$4:$L$63,MATCH($V434,CONFIG!$K$4:$K$63,0)),"NO")="SÍ",IF(OR($Y434="",$X434=""),"Resuelta",IF($Y434&gt;$X434,"Resuelta tarde","Resuelta a tiempo")),IF($X434="","Sin clasificar",IF(TODAY()&gt;$X434,"Vencida",IF(TODAY()&gt;=$X434-1,"Por vencer","En plazo")))))</f>
        <v/>
      </c>
      <c r="AB434" s="50" t="n"/>
      <c r="AC434" s="50" t="n"/>
    </row>
    <row r="435" ht="16" customHeight="1">
      <c r="A435" s="28">
        <f>IF($B435="","","N-"&amp;TEXT(ROW()-3,"0000"))</f>
        <v/>
      </c>
      <c r="B435" s="47" t="n"/>
      <c r="C435" s="48" t="n"/>
      <c r="D435" s="48" t="n"/>
      <c r="E435" s="28">
        <f>IF($C435="","",IF($D435="",IF($C435="Interna","Sin guía (interna)","FALTA GUÍA"),IF(COUNTIFS(ENVIOS!$A$4:$A$3003,$D435)=0,"NO EXISTE",IF(COUNTIFS(ENVIOS!$A$4:$A$3003,$D435)&gt;1,"DUPLICADA","OK"))))</f>
        <v/>
      </c>
      <c r="F435" s="28">
        <f>IF($D435="","",IFERROR(INDEX(ENVIOS!$B$4:$B$3003,MATCH($D435,ENVIOS!$A$4:$A$3003,0)),"—"))</f>
        <v/>
      </c>
      <c r="G435" s="23">
        <f>IF($D435="","",IFERROR(INDEX(ENVIOS!$D$4:$D$3003,MATCH($D435,ENVIOS!$A$4:$A$3003,0)),"—"))</f>
        <v/>
      </c>
      <c r="H435" s="23">
        <f>IF($D435="","",IFERROR(INDEX(ENVIOS!$E$4:$E$3003,MATCH($D435,ENVIOS!$A$4:$A$3003,0)),"—"))</f>
        <v/>
      </c>
      <c r="I435" s="23">
        <f>IF($D435="","",IFERROR(INDEX(ENVIOS!$F$4:$F$3003,MATCH($D435,ENVIOS!$A$4:$A$3003,0)),"—"))</f>
        <v/>
      </c>
      <c r="J435" s="23">
        <f>IF($D435="","",IFERROR(INDEX(ENVIOS!$G$4:$G$3003,MATCH($D435,ENVIOS!$A$4:$A$3003,0)),"—"))</f>
        <v/>
      </c>
      <c r="K435" s="28">
        <f>IF($D435="","",IFERROR(INDEX(ENVIOS!$H$4:$H$3003,MATCH($D435,ENVIOS!$A$4:$A$3003,0)),"—"))</f>
        <v/>
      </c>
      <c r="L435" s="49">
        <f>IF($D435="","",IFERROR(INDEX(ENVIOS!$C$4:$C$3003,MATCH($D435,ENVIOS!$A$4:$A$3003,0)),""))</f>
        <v/>
      </c>
      <c r="M435" s="50" t="n"/>
      <c r="N435" s="28">
        <f>IF($M435="","",IFERROR(INDEX(CONFIG!$C$4:$C$63,MATCH($M435,CONFIG!$A$4:$A$63,0)),"Media"))</f>
        <v/>
      </c>
      <c r="O435" s="28">
        <f>IF($M435="","",IF($C435="Interna","NO",IFERROR(INDEX(CONFIG!$E$4:$E$63,MATCH($M435,CONFIG!$A$4:$A$63,0)),"NO")))</f>
        <v/>
      </c>
      <c r="P435" s="50" t="n"/>
      <c r="Q435" s="50" t="n"/>
      <c r="R435" s="28">
        <f>IF($Q435="","",IFERROR(INDEX(CONFIG!$H$4:$H$63,MATCH($Q435,CONFIG!$G$4:$G$63,0)),"Por definir"))</f>
        <v/>
      </c>
      <c r="S435" s="28">
        <f>IF($Q435="","",IFERROR(INDEX(CONFIG!$I$4:$I$63,MATCH($Q435,CONFIG!$G$4:$G$63,0)),"Por definir"))</f>
        <v/>
      </c>
      <c r="T435" s="51" t="n"/>
      <c r="U435" s="52" t="n"/>
      <c r="V435" s="50" t="n"/>
      <c r="W435" s="50" t="n"/>
      <c r="X435" s="49">
        <f>IF(OR($B435="",$M435=""),"",WORKDAY($B435,IFERROR(INDEX(CONFIG!$D$4:$D$63,MATCH($M435,CONFIG!$A$4:$A$63,0)),3)))</f>
        <v/>
      </c>
      <c r="Y435" s="47" t="n"/>
      <c r="Z435" s="24">
        <f>IF($B435="","",IF($Y435&lt;&gt;"",$Y435-$B435,TODAY()-$B435))</f>
        <v/>
      </c>
      <c r="AA435" s="28">
        <f>IF($B435="","",IF(IFERROR(INDEX(CONFIG!$L$4:$L$63,MATCH($V435,CONFIG!$K$4:$K$63,0)),"NO")="SÍ",IF(OR($Y435="",$X435=""),"Resuelta",IF($Y435&gt;$X435,"Resuelta tarde","Resuelta a tiempo")),IF($X435="","Sin clasificar",IF(TODAY()&gt;$X435,"Vencida",IF(TODAY()&gt;=$X435-1,"Por vencer","En plazo")))))</f>
        <v/>
      </c>
      <c r="AB435" s="50" t="n"/>
      <c r="AC435" s="50" t="n"/>
    </row>
    <row r="436" ht="16" customHeight="1">
      <c r="A436" s="28">
        <f>IF($B436="","","N-"&amp;TEXT(ROW()-3,"0000"))</f>
        <v/>
      </c>
      <c r="B436" s="47" t="n"/>
      <c r="C436" s="48" t="n"/>
      <c r="D436" s="48" t="n"/>
      <c r="E436" s="28">
        <f>IF($C436="","",IF($D436="",IF($C436="Interna","Sin guía (interna)","FALTA GUÍA"),IF(COUNTIFS(ENVIOS!$A$4:$A$3003,$D436)=0,"NO EXISTE",IF(COUNTIFS(ENVIOS!$A$4:$A$3003,$D436)&gt;1,"DUPLICADA","OK"))))</f>
        <v/>
      </c>
      <c r="F436" s="28">
        <f>IF($D436="","",IFERROR(INDEX(ENVIOS!$B$4:$B$3003,MATCH($D436,ENVIOS!$A$4:$A$3003,0)),"—"))</f>
        <v/>
      </c>
      <c r="G436" s="23">
        <f>IF($D436="","",IFERROR(INDEX(ENVIOS!$D$4:$D$3003,MATCH($D436,ENVIOS!$A$4:$A$3003,0)),"—"))</f>
        <v/>
      </c>
      <c r="H436" s="23">
        <f>IF($D436="","",IFERROR(INDEX(ENVIOS!$E$4:$E$3003,MATCH($D436,ENVIOS!$A$4:$A$3003,0)),"—"))</f>
        <v/>
      </c>
      <c r="I436" s="23">
        <f>IF($D436="","",IFERROR(INDEX(ENVIOS!$F$4:$F$3003,MATCH($D436,ENVIOS!$A$4:$A$3003,0)),"—"))</f>
        <v/>
      </c>
      <c r="J436" s="23">
        <f>IF($D436="","",IFERROR(INDEX(ENVIOS!$G$4:$G$3003,MATCH($D436,ENVIOS!$A$4:$A$3003,0)),"—"))</f>
        <v/>
      </c>
      <c r="K436" s="28">
        <f>IF($D436="","",IFERROR(INDEX(ENVIOS!$H$4:$H$3003,MATCH($D436,ENVIOS!$A$4:$A$3003,0)),"—"))</f>
        <v/>
      </c>
      <c r="L436" s="49">
        <f>IF($D436="","",IFERROR(INDEX(ENVIOS!$C$4:$C$3003,MATCH($D436,ENVIOS!$A$4:$A$3003,0)),""))</f>
        <v/>
      </c>
      <c r="M436" s="50" t="n"/>
      <c r="N436" s="28">
        <f>IF($M436="","",IFERROR(INDEX(CONFIG!$C$4:$C$63,MATCH($M436,CONFIG!$A$4:$A$63,0)),"Media"))</f>
        <v/>
      </c>
      <c r="O436" s="28">
        <f>IF($M436="","",IF($C436="Interna","NO",IFERROR(INDEX(CONFIG!$E$4:$E$63,MATCH($M436,CONFIG!$A$4:$A$63,0)),"NO")))</f>
        <v/>
      </c>
      <c r="P436" s="50" t="n"/>
      <c r="Q436" s="50" t="n"/>
      <c r="R436" s="28">
        <f>IF($Q436="","",IFERROR(INDEX(CONFIG!$H$4:$H$63,MATCH($Q436,CONFIG!$G$4:$G$63,0)),"Por definir"))</f>
        <v/>
      </c>
      <c r="S436" s="28">
        <f>IF($Q436="","",IFERROR(INDEX(CONFIG!$I$4:$I$63,MATCH($Q436,CONFIG!$G$4:$G$63,0)),"Por definir"))</f>
        <v/>
      </c>
      <c r="T436" s="51" t="n"/>
      <c r="U436" s="52" t="n"/>
      <c r="V436" s="50" t="n"/>
      <c r="W436" s="50" t="n"/>
      <c r="X436" s="49">
        <f>IF(OR($B436="",$M436=""),"",WORKDAY($B436,IFERROR(INDEX(CONFIG!$D$4:$D$63,MATCH($M436,CONFIG!$A$4:$A$63,0)),3)))</f>
        <v/>
      </c>
      <c r="Y436" s="47" t="n"/>
      <c r="Z436" s="24">
        <f>IF($B436="","",IF($Y436&lt;&gt;"",$Y436-$B436,TODAY()-$B436))</f>
        <v/>
      </c>
      <c r="AA436" s="28">
        <f>IF($B436="","",IF(IFERROR(INDEX(CONFIG!$L$4:$L$63,MATCH($V436,CONFIG!$K$4:$K$63,0)),"NO")="SÍ",IF(OR($Y436="",$X436=""),"Resuelta",IF($Y436&gt;$X436,"Resuelta tarde","Resuelta a tiempo")),IF($X436="","Sin clasificar",IF(TODAY()&gt;$X436,"Vencida",IF(TODAY()&gt;=$X436-1,"Por vencer","En plazo")))))</f>
        <v/>
      </c>
      <c r="AB436" s="50" t="n"/>
      <c r="AC436" s="50" t="n"/>
    </row>
    <row r="437" ht="16" customHeight="1">
      <c r="A437" s="28">
        <f>IF($B437="","","N-"&amp;TEXT(ROW()-3,"0000"))</f>
        <v/>
      </c>
      <c r="B437" s="47" t="n"/>
      <c r="C437" s="48" t="n"/>
      <c r="D437" s="48" t="n"/>
      <c r="E437" s="28">
        <f>IF($C437="","",IF($D437="",IF($C437="Interna","Sin guía (interna)","FALTA GUÍA"),IF(COUNTIFS(ENVIOS!$A$4:$A$3003,$D437)=0,"NO EXISTE",IF(COUNTIFS(ENVIOS!$A$4:$A$3003,$D437)&gt;1,"DUPLICADA","OK"))))</f>
        <v/>
      </c>
      <c r="F437" s="28">
        <f>IF($D437="","",IFERROR(INDEX(ENVIOS!$B$4:$B$3003,MATCH($D437,ENVIOS!$A$4:$A$3003,0)),"—"))</f>
        <v/>
      </c>
      <c r="G437" s="23">
        <f>IF($D437="","",IFERROR(INDEX(ENVIOS!$D$4:$D$3003,MATCH($D437,ENVIOS!$A$4:$A$3003,0)),"—"))</f>
        <v/>
      </c>
      <c r="H437" s="23">
        <f>IF($D437="","",IFERROR(INDEX(ENVIOS!$E$4:$E$3003,MATCH($D437,ENVIOS!$A$4:$A$3003,0)),"—"))</f>
        <v/>
      </c>
      <c r="I437" s="23">
        <f>IF($D437="","",IFERROR(INDEX(ENVIOS!$F$4:$F$3003,MATCH($D437,ENVIOS!$A$4:$A$3003,0)),"—"))</f>
        <v/>
      </c>
      <c r="J437" s="23">
        <f>IF($D437="","",IFERROR(INDEX(ENVIOS!$G$4:$G$3003,MATCH($D437,ENVIOS!$A$4:$A$3003,0)),"—"))</f>
        <v/>
      </c>
      <c r="K437" s="28">
        <f>IF($D437="","",IFERROR(INDEX(ENVIOS!$H$4:$H$3003,MATCH($D437,ENVIOS!$A$4:$A$3003,0)),"—"))</f>
        <v/>
      </c>
      <c r="L437" s="49">
        <f>IF($D437="","",IFERROR(INDEX(ENVIOS!$C$4:$C$3003,MATCH($D437,ENVIOS!$A$4:$A$3003,0)),""))</f>
        <v/>
      </c>
      <c r="M437" s="50" t="n"/>
      <c r="N437" s="28">
        <f>IF($M437="","",IFERROR(INDEX(CONFIG!$C$4:$C$63,MATCH($M437,CONFIG!$A$4:$A$63,0)),"Media"))</f>
        <v/>
      </c>
      <c r="O437" s="28">
        <f>IF($M437="","",IF($C437="Interna","NO",IFERROR(INDEX(CONFIG!$E$4:$E$63,MATCH($M437,CONFIG!$A$4:$A$63,0)),"NO")))</f>
        <v/>
      </c>
      <c r="P437" s="50" t="n"/>
      <c r="Q437" s="50" t="n"/>
      <c r="R437" s="28">
        <f>IF($Q437="","",IFERROR(INDEX(CONFIG!$H$4:$H$63,MATCH($Q437,CONFIG!$G$4:$G$63,0)),"Por definir"))</f>
        <v/>
      </c>
      <c r="S437" s="28">
        <f>IF($Q437="","",IFERROR(INDEX(CONFIG!$I$4:$I$63,MATCH($Q437,CONFIG!$G$4:$G$63,0)),"Por definir"))</f>
        <v/>
      </c>
      <c r="T437" s="51" t="n"/>
      <c r="U437" s="52" t="n"/>
      <c r="V437" s="50" t="n"/>
      <c r="W437" s="50" t="n"/>
      <c r="X437" s="49">
        <f>IF(OR($B437="",$M437=""),"",WORKDAY($B437,IFERROR(INDEX(CONFIG!$D$4:$D$63,MATCH($M437,CONFIG!$A$4:$A$63,0)),3)))</f>
        <v/>
      </c>
      <c r="Y437" s="47" t="n"/>
      <c r="Z437" s="24">
        <f>IF($B437="","",IF($Y437&lt;&gt;"",$Y437-$B437,TODAY()-$B437))</f>
        <v/>
      </c>
      <c r="AA437" s="28">
        <f>IF($B437="","",IF(IFERROR(INDEX(CONFIG!$L$4:$L$63,MATCH($V437,CONFIG!$K$4:$K$63,0)),"NO")="SÍ",IF(OR($Y437="",$X437=""),"Resuelta",IF($Y437&gt;$X437,"Resuelta tarde","Resuelta a tiempo")),IF($X437="","Sin clasificar",IF(TODAY()&gt;$X437,"Vencida",IF(TODAY()&gt;=$X437-1,"Por vencer","En plazo")))))</f>
        <v/>
      </c>
      <c r="AB437" s="50" t="n"/>
      <c r="AC437" s="50" t="n"/>
    </row>
    <row r="438" ht="16" customHeight="1">
      <c r="A438" s="28">
        <f>IF($B438="","","N-"&amp;TEXT(ROW()-3,"0000"))</f>
        <v/>
      </c>
      <c r="B438" s="47" t="n"/>
      <c r="C438" s="48" t="n"/>
      <c r="D438" s="48" t="n"/>
      <c r="E438" s="28">
        <f>IF($C438="","",IF($D438="",IF($C438="Interna","Sin guía (interna)","FALTA GUÍA"),IF(COUNTIFS(ENVIOS!$A$4:$A$3003,$D438)=0,"NO EXISTE",IF(COUNTIFS(ENVIOS!$A$4:$A$3003,$D438)&gt;1,"DUPLICADA","OK"))))</f>
        <v/>
      </c>
      <c r="F438" s="28">
        <f>IF($D438="","",IFERROR(INDEX(ENVIOS!$B$4:$B$3003,MATCH($D438,ENVIOS!$A$4:$A$3003,0)),"—"))</f>
        <v/>
      </c>
      <c r="G438" s="23">
        <f>IF($D438="","",IFERROR(INDEX(ENVIOS!$D$4:$D$3003,MATCH($D438,ENVIOS!$A$4:$A$3003,0)),"—"))</f>
        <v/>
      </c>
      <c r="H438" s="23">
        <f>IF($D438="","",IFERROR(INDEX(ENVIOS!$E$4:$E$3003,MATCH($D438,ENVIOS!$A$4:$A$3003,0)),"—"))</f>
        <v/>
      </c>
      <c r="I438" s="23">
        <f>IF($D438="","",IFERROR(INDEX(ENVIOS!$F$4:$F$3003,MATCH($D438,ENVIOS!$A$4:$A$3003,0)),"—"))</f>
        <v/>
      </c>
      <c r="J438" s="23">
        <f>IF($D438="","",IFERROR(INDEX(ENVIOS!$G$4:$G$3003,MATCH($D438,ENVIOS!$A$4:$A$3003,0)),"—"))</f>
        <v/>
      </c>
      <c r="K438" s="28">
        <f>IF($D438="","",IFERROR(INDEX(ENVIOS!$H$4:$H$3003,MATCH($D438,ENVIOS!$A$4:$A$3003,0)),"—"))</f>
        <v/>
      </c>
      <c r="L438" s="49">
        <f>IF($D438="","",IFERROR(INDEX(ENVIOS!$C$4:$C$3003,MATCH($D438,ENVIOS!$A$4:$A$3003,0)),""))</f>
        <v/>
      </c>
      <c r="M438" s="50" t="n"/>
      <c r="N438" s="28">
        <f>IF($M438="","",IFERROR(INDEX(CONFIG!$C$4:$C$63,MATCH($M438,CONFIG!$A$4:$A$63,0)),"Media"))</f>
        <v/>
      </c>
      <c r="O438" s="28">
        <f>IF($M438="","",IF($C438="Interna","NO",IFERROR(INDEX(CONFIG!$E$4:$E$63,MATCH($M438,CONFIG!$A$4:$A$63,0)),"NO")))</f>
        <v/>
      </c>
      <c r="P438" s="50" t="n"/>
      <c r="Q438" s="50" t="n"/>
      <c r="R438" s="28">
        <f>IF($Q438="","",IFERROR(INDEX(CONFIG!$H$4:$H$63,MATCH($Q438,CONFIG!$G$4:$G$63,0)),"Por definir"))</f>
        <v/>
      </c>
      <c r="S438" s="28">
        <f>IF($Q438="","",IFERROR(INDEX(CONFIG!$I$4:$I$63,MATCH($Q438,CONFIG!$G$4:$G$63,0)),"Por definir"))</f>
        <v/>
      </c>
      <c r="T438" s="51" t="n"/>
      <c r="U438" s="52" t="n"/>
      <c r="V438" s="50" t="n"/>
      <c r="W438" s="50" t="n"/>
      <c r="X438" s="49">
        <f>IF(OR($B438="",$M438=""),"",WORKDAY($B438,IFERROR(INDEX(CONFIG!$D$4:$D$63,MATCH($M438,CONFIG!$A$4:$A$63,0)),3)))</f>
        <v/>
      </c>
      <c r="Y438" s="47" t="n"/>
      <c r="Z438" s="24">
        <f>IF($B438="","",IF($Y438&lt;&gt;"",$Y438-$B438,TODAY()-$B438))</f>
        <v/>
      </c>
      <c r="AA438" s="28">
        <f>IF($B438="","",IF(IFERROR(INDEX(CONFIG!$L$4:$L$63,MATCH($V438,CONFIG!$K$4:$K$63,0)),"NO")="SÍ",IF(OR($Y438="",$X438=""),"Resuelta",IF($Y438&gt;$X438,"Resuelta tarde","Resuelta a tiempo")),IF($X438="","Sin clasificar",IF(TODAY()&gt;$X438,"Vencida",IF(TODAY()&gt;=$X438-1,"Por vencer","En plazo")))))</f>
        <v/>
      </c>
      <c r="AB438" s="50" t="n"/>
      <c r="AC438" s="50" t="n"/>
    </row>
    <row r="439" ht="16" customHeight="1">
      <c r="A439" s="28">
        <f>IF($B439="","","N-"&amp;TEXT(ROW()-3,"0000"))</f>
        <v/>
      </c>
      <c r="B439" s="47" t="n"/>
      <c r="C439" s="48" t="n"/>
      <c r="D439" s="48" t="n"/>
      <c r="E439" s="28">
        <f>IF($C439="","",IF($D439="",IF($C439="Interna","Sin guía (interna)","FALTA GUÍA"),IF(COUNTIFS(ENVIOS!$A$4:$A$3003,$D439)=0,"NO EXISTE",IF(COUNTIFS(ENVIOS!$A$4:$A$3003,$D439)&gt;1,"DUPLICADA","OK"))))</f>
        <v/>
      </c>
      <c r="F439" s="28">
        <f>IF($D439="","",IFERROR(INDEX(ENVIOS!$B$4:$B$3003,MATCH($D439,ENVIOS!$A$4:$A$3003,0)),"—"))</f>
        <v/>
      </c>
      <c r="G439" s="23">
        <f>IF($D439="","",IFERROR(INDEX(ENVIOS!$D$4:$D$3003,MATCH($D439,ENVIOS!$A$4:$A$3003,0)),"—"))</f>
        <v/>
      </c>
      <c r="H439" s="23">
        <f>IF($D439="","",IFERROR(INDEX(ENVIOS!$E$4:$E$3003,MATCH($D439,ENVIOS!$A$4:$A$3003,0)),"—"))</f>
        <v/>
      </c>
      <c r="I439" s="23">
        <f>IF($D439="","",IFERROR(INDEX(ENVIOS!$F$4:$F$3003,MATCH($D439,ENVIOS!$A$4:$A$3003,0)),"—"))</f>
        <v/>
      </c>
      <c r="J439" s="23">
        <f>IF($D439="","",IFERROR(INDEX(ENVIOS!$G$4:$G$3003,MATCH($D439,ENVIOS!$A$4:$A$3003,0)),"—"))</f>
        <v/>
      </c>
      <c r="K439" s="28">
        <f>IF($D439="","",IFERROR(INDEX(ENVIOS!$H$4:$H$3003,MATCH($D439,ENVIOS!$A$4:$A$3003,0)),"—"))</f>
        <v/>
      </c>
      <c r="L439" s="49">
        <f>IF($D439="","",IFERROR(INDEX(ENVIOS!$C$4:$C$3003,MATCH($D439,ENVIOS!$A$4:$A$3003,0)),""))</f>
        <v/>
      </c>
      <c r="M439" s="50" t="n"/>
      <c r="N439" s="28">
        <f>IF($M439="","",IFERROR(INDEX(CONFIG!$C$4:$C$63,MATCH($M439,CONFIG!$A$4:$A$63,0)),"Media"))</f>
        <v/>
      </c>
      <c r="O439" s="28">
        <f>IF($M439="","",IF($C439="Interna","NO",IFERROR(INDEX(CONFIG!$E$4:$E$63,MATCH($M439,CONFIG!$A$4:$A$63,0)),"NO")))</f>
        <v/>
      </c>
      <c r="P439" s="50" t="n"/>
      <c r="Q439" s="50" t="n"/>
      <c r="R439" s="28">
        <f>IF($Q439="","",IFERROR(INDEX(CONFIG!$H$4:$H$63,MATCH($Q439,CONFIG!$G$4:$G$63,0)),"Por definir"))</f>
        <v/>
      </c>
      <c r="S439" s="28">
        <f>IF($Q439="","",IFERROR(INDEX(CONFIG!$I$4:$I$63,MATCH($Q439,CONFIG!$G$4:$G$63,0)),"Por definir"))</f>
        <v/>
      </c>
      <c r="T439" s="51" t="n"/>
      <c r="U439" s="52" t="n"/>
      <c r="V439" s="50" t="n"/>
      <c r="W439" s="50" t="n"/>
      <c r="X439" s="49">
        <f>IF(OR($B439="",$M439=""),"",WORKDAY($B439,IFERROR(INDEX(CONFIG!$D$4:$D$63,MATCH($M439,CONFIG!$A$4:$A$63,0)),3)))</f>
        <v/>
      </c>
      <c r="Y439" s="47" t="n"/>
      <c r="Z439" s="24">
        <f>IF($B439="","",IF($Y439&lt;&gt;"",$Y439-$B439,TODAY()-$B439))</f>
        <v/>
      </c>
      <c r="AA439" s="28">
        <f>IF($B439="","",IF(IFERROR(INDEX(CONFIG!$L$4:$L$63,MATCH($V439,CONFIG!$K$4:$K$63,0)),"NO")="SÍ",IF(OR($Y439="",$X439=""),"Resuelta",IF($Y439&gt;$X439,"Resuelta tarde","Resuelta a tiempo")),IF($X439="","Sin clasificar",IF(TODAY()&gt;$X439,"Vencida",IF(TODAY()&gt;=$X439-1,"Por vencer","En plazo")))))</f>
        <v/>
      </c>
      <c r="AB439" s="50" t="n"/>
      <c r="AC439" s="50" t="n"/>
    </row>
    <row r="440" ht="16" customHeight="1">
      <c r="A440" s="28">
        <f>IF($B440="","","N-"&amp;TEXT(ROW()-3,"0000"))</f>
        <v/>
      </c>
      <c r="B440" s="47" t="n"/>
      <c r="C440" s="48" t="n"/>
      <c r="D440" s="48" t="n"/>
      <c r="E440" s="28">
        <f>IF($C440="","",IF($D440="",IF($C440="Interna","Sin guía (interna)","FALTA GUÍA"),IF(COUNTIFS(ENVIOS!$A$4:$A$3003,$D440)=0,"NO EXISTE",IF(COUNTIFS(ENVIOS!$A$4:$A$3003,$D440)&gt;1,"DUPLICADA","OK"))))</f>
        <v/>
      </c>
      <c r="F440" s="28">
        <f>IF($D440="","",IFERROR(INDEX(ENVIOS!$B$4:$B$3003,MATCH($D440,ENVIOS!$A$4:$A$3003,0)),"—"))</f>
        <v/>
      </c>
      <c r="G440" s="23">
        <f>IF($D440="","",IFERROR(INDEX(ENVIOS!$D$4:$D$3003,MATCH($D440,ENVIOS!$A$4:$A$3003,0)),"—"))</f>
        <v/>
      </c>
      <c r="H440" s="23">
        <f>IF($D440="","",IFERROR(INDEX(ENVIOS!$E$4:$E$3003,MATCH($D440,ENVIOS!$A$4:$A$3003,0)),"—"))</f>
        <v/>
      </c>
      <c r="I440" s="23">
        <f>IF($D440="","",IFERROR(INDEX(ENVIOS!$F$4:$F$3003,MATCH($D440,ENVIOS!$A$4:$A$3003,0)),"—"))</f>
        <v/>
      </c>
      <c r="J440" s="23">
        <f>IF($D440="","",IFERROR(INDEX(ENVIOS!$G$4:$G$3003,MATCH($D440,ENVIOS!$A$4:$A$3003,0)),"—"))</f>
        <v/>
      </c>
      <c r="K440" s="28">
        <f>IF($D440="","",IFERROR(INDEX(ENVIOS!$H$4:$H$3003,MATCH($D440,ENVIOS!$A$4:$A$3003,0)),"—"))</f>
        <v/>
      </c>
      <c r="L440" s="49">
        <f>IF($D440="","",IFERROR(INDEX(ENVIOS!$C$4:$C$3003,MATCH($D440,ENVIOS!$A$4:$A$3003,0)),""))</f>
        <v/>
      </c>
      <c r="M440" s="50" t="n"/>
      <c r="N440" s="28">
        <f>IF($M440="","",IFERROR(INDEX(CONFIG!$C$4:$C$63,MATCH($M440,CONFIG!$A$4:$A$63,0)),"Media"))</f>
        <v/>
      </c>
      <c r="O440" s="28">
        <f>IF($M440="","",IF($C440="Interna","NO",IFERROR(INDEX(CONFIG!$E$4:$E$63,MATCH($M440,CONFIG!$A$4:$A$63,0)),"NO")))</f>
        <v/>
      </c>
      <c r="P440" s="50" t="n"/>
      <c r="Q440" s="50" t="n"/>
      <c r="R440" s="28">
        <f>IF($Q440="","",IFERROR(INDEX(CONFIG!$H$4:$H$63,MATCH($Q440,CONFIG!$G$4:$G$63,0)),"Por definir"))</f>
        <v/>
      </c>
      <c r="S440" s="28">
        <f>IF($Q440="","",IFERROR(INDEX(CONFIG!$I$4:$I$63,MATCH($Q440,CONFIG!$G$4:$G$63,0)),"Por definir"))</f>
        <v/>
      </c>
      <c r="T440" s="51" t="n"/>
      <c r="U440" s="52" t="n"/>
      <c r="V440" s="50" t="n"/>
      <c r="W440" s="50" t="n"/>
      <c r="X440" s="49">
        <f>IF(OR($B440="",$M440=""),"",WORKDAY($B440,IFERROR(INDEX(CONFIG!$D$4:$D$63,MATCH($M440,CONFIG!$A$4:$A$63,0)),3)))</f>
        <v/>
      </c>
      <c r="Y440" s="47" t="n"/>
      <c r="Z440" s="24">
        <f>IF($B440="","",IF($Y440&lt;&gt;"",$Y440-$B440,TODAY()-$B440))</f>
        <v/>
      </c>
      <c r="AA440" s="28">
        <f>IF($B440="","",IF(IFERROR(INDEX(CONFIG!$L$4:$L$63,MATCH($V440,CONFIG!$K$4:$K$63,0)),"NO")="SÍ",IF(OR($Y440="",$X440=""),"Resuelta",IF($Y440&gt;$X440,"Resuelta tarde","Resuelta a tiempo")),IF($X440="","Sin clasificar",IF(TODAY()&gt;$X440,"Vencida",IF(TODAY()&gt;=$X440-1,"Por vencer","En plazo")))))</f>
        <v/>
      </c>
      <c r="AB440" s="50" t="n"/>
      <c r="AC440" s="50" t="n"/>
    </row>
    <row r="441" ht="16" customHeight="1">
      <c r="A441" s="28">
        <f>IF($B441="","","N-"&amp;TEXT(ROW()-3,"0000"))</f>
        <v/>
      </c>
      <c r="B441" s="47" t="n"/>
      <c r="C441" s="48" t="n"/>
      <c r="D441" s="48" t="n"/>
      <c r="E441" s="28">
        <f>IF($C441="","",IF($D441="",IF($C441="Interna","Sin guía (interna)","FALTA GUÍA"),IF(COUNTIFS(ENVIOS!$A$4:$A$3003,$D441)=0,"NO EXISTE",IF(COUNTIFS(ENVIOS!$A$4:$A$3003,$D441)&gt;1,"DUPLICADA","OK"))))</f>
        <v/>
      </c>
      <c r="F441" s="28">
        <f>IF($D441="","",IFERROR(INDEX(ENVIOS!$B$4:$B$3003,MATCH($D441,ENVIOS!$A$4:$A$3003,0)),"—"))</f>
        <v/>
      </c>
      <c r="G441" s="23">
        <f>IF($D441="","",IFERROR(INDEX(ENVIOS!$D$4:$D$3003,MATCH($D441,ENVIOS!$A$4:$A$3003,0)),"—"))</f>
        <v/>
      </c>
      <c r="H441" s="23">
        <f>IF($D441="","",IFERROR(INDEX(ENVIOS!$E$4:$E$3003,MATCH($D441,ENVIOS!$A$4:$A$3003,0)),"—"))</f>
        <v/>
      </c>
      <c r="I441" s="23">
        <f>IF($D441="","",IFERROR(INDEX(ENVIOS!$F$4:$F$3003,MATCH($D441,ENVIOS!$A$4:$A$3003,0)),"—"))</f>
        <v/>
      </c>
      <c r="J441" s="23">
        <f>IF($D441="","",IFERROR(INDEX(ENVIOS!$G$4:$G$3003,MATCH($D441,ENVIOS!$A$4:$A$3003,0)),"—"))</f>
        <v/>
      </c>
      <c r="K441" s="28">
        <f>IF($D441="","",IFERROR(INDEX(ENVIOS!$H$4:$H$3003,MATCH($D441,ENVIOS!$A$4:$A$3003,0)),"—"))</f>
        <v/>
      </c>
      <c r="L441" s="49">
        <f>IF($D441="","",IFERROR(INDEX(ENVIOS!$C$4:$C$3003,MATCH($D441,ENVIOS!$A$4:$A$3003,0)),""))</f>
        <v/>
      </c>
      <c r="M441" s="50" t="n"/>
      <c r="N441" s="28">
        <f>IF($M441="","",IFERROR(INDEX(CONFIG!$C$4:$C$63,MATCH($M441,CONFIG!$A$4:$A$63,0)),"Media"))</f>
        <v/>
      </c>
      <c r="O441" s="28">
        <f>IF($M441="","",IF($C441="Interna","NO",IFERROR(INDEX(CONFIG!$E$4:$E$63,MATCH($M441,CONFIG!$A$4:$A$63,0)),"NO")))</f>
        <v/>
      </c>
      <c r="P441" s="50" t="n"/>
      <c r="Q441" s="50" t="n"/>
      <c r="R441" s="28">
        <f>IF($Q441="","",IFERROR(INDEX(CONFIG!$H$4:$H$63,MATCH($Q441,CONFIG!$G$4:$G$63,0)),"Por definir"))</f>
        <v/>
      </c>
      <c r="S441" s="28">
        <f>IF($Q441="","",IFERROR(INDEX(CONFIG!$I$4:$I$63,MATCH($Q441,CONFIG!$G$4:$G$63,0)),"Por definir"))</f>
        <v/>
      </c>
      <c r="T441" s="51" t="n"/>
      <c r="U441" s="52" t="n"/>
      <c r="V441" s="50" t="n"/>
      <c r="W441" s="50" t="n"/>
      <c r="X441" s="49">
        <f>IF(OR($B441="",$M441=""),"",WORKDAY($B441,IFERROR(INDEX(CONFIG!$D$4:$D$63,MATCH($M441,CONFIG!$A$4:$A$63,0)),3)))</f>
        <v/>
      </c>
      <c r="Y441" s="47" t="n"/>
      <c r="Z441" s="24">
        <f>IF($B441="","",IF($Y441&lt;&gt;"",$Y441-$B441,TODAY()-$B441))</f>
        <v/>
      </c>
      <c r="AA441" s="28">
        <f>IF($B441="","",IF(IFERROR(INDEX(CONFIG!$L$4:$L$63,MATCH($V441,CONFIG!$K$4:$K$63,0)),"NO")="SÍ",IF(OR($Y441="",$X441=""),"Resuelta",IF($Y441&gt;$X441,"Resuelta tarde","Resuelta a tiempo")),IF($X441="","Sin clasificar",IF(TODAY()&gt;$X441,"Vencida",IF(TODAY()&gt;=$X441-1,"Por vencer","En plazo")))))</f>
        <v/>
      </c>
      <c r="AB441" s="50" t="n"/>
      <c r="AC441" s="50" t="n"/>
    </row>
    <row r="442" ht="16" customHeight="1">
      <c r="A442" s="28">
        <f>IF($B442="","","N-"&amp;TEXT(ROW()-3,"0000"))</f>
        <v/>
      </c>
      <c r="B442" s="47" t="n"/>
      <c r="C442" s="48" t="n"/>
      <c r="D442" s="48" t="n"/>
      <c r="E442" s="28">
        <f>IF($C442="","",IF($D442="",IF($C442="Interna","Sin guía (interna)","FALTA GUÍA"),IF(COUNTIFS(ENVIOS!$A$4:$A$3003,$D442)=0,"NO EXISTE",IF(COUNTIFS(ENVIOS!$A$4:$A$3003,$D442)&gt;1,"DUPLICADA","OK"))))</f>
        <v/>
      </c>
      <c r="F442" s="28">
        <f>IF($D442="","",IFERROR(INDEX(ENVIOS!$B$4:$B$3003,MATCH($D442,ENVIOS!$A$4:$A$3003,0)),"—"))</f>
        <v/>
      </c>
      <c r="G442" s="23">
        <f>IF($D442="","",IFERROR(INDEX(ENVIOS!$D$4:$D$3003,MATCH($D442,ENVIOS!$A$4:$A$3003,0)),"—"))</f>
        <v/>
      </c>
      <c r="H442" s="23">
        <f>IF($D442="","",IFERROR(INDEX(ENVIOS!$E$4:$E$3003,MATCH($D442,ENVIOS!$A$4:$A$3003,0)),"—"))</f>
        <v/>
      </c>
      <c r="I442" s="23">
        <f>IF($D442="","",IFERROR(INDEX(ENVIOS!$F$4:$F$3003,MATCH($D442,ENVIOS!$A$4:$A$3003,0)),"—"))</f>
        <v/>
      </c>
      <c r="J442" s="23">
        <f>IF($D442="","",IFERROR(INDEX(ENVIOS!$G$4:$G$3003,MATCH($D442,ENVIOS!$A$4:$A$3003,0)),"—"))</f>
        <v/>
      </c>
      <c r="K442" s="28">
        <f>IF($D442="","",IFERROR(INDEX(ENVIOS!$H$4:$H$3003,MATCH($D442,ENVIOS!$A$4:$A$3003,0)),"—"))</f>
        <v/>
      </c>
      <c r="L442" s="49">
        <f>IF($D442="","",IFERROR(INDEX(ENVIOS!$C$4:$C$3003,MATCH($D442,ENVIOS!$A$4:$A$3003,0)),""))</f>
        <v/>
      </c>
      <c r="M442" s="50" t="n"/>
      <c r="N442" s="28">
        <f>IF($M442="","",IFERROR(INDEX(CONFIG!$C$4:$C$63,MATCH($M442,CONFIG!$A$4:$A$63,0)),"Media"))</f>
        <v/>
      </c>
      <c r="O442" s="28">
        <f>IF($M442="","",IF($C442="Interna","NO",IFERROR(INDEX(CONFIG!$E$4:$E$63,MATCH($M442,CONFIG!$A$4:$A$63,0)),"NO")))</f>
        <v/>
      </c>
      <c r="P442" s="50" t="n"/>
      <c r="Q442" s="50" t="n"/>
      <c r="R442" s="28">
        <f>IF($Q442="","",IFERROR(INDEX(CONFIG!$H$4:$H$63,MATCH($Q442,CONFIG!$G$4:$G$63,0)),"Por definir"))</f>
        <v/>
      </c>
      <c r="S442" s="28">
        <f>IF($Q442="","",IFERROR(INDEX(CONFIG!$I$4:$I$63,MATCH($Q442,CONFIG!$G$4:$G$63,0)),"Por definir"))</f>
        <v/>
      </c>
      <c r="T442" s="51" t="n"/>
      <c r="U442" s="52" t="n"/>
      <c r="V442" s="50" t="n"/>
      <c r="W442" s="50" t="n"/>
      <c r="X442" s="49">
        <f>IF(OR($B442="",$M442=""),"",WORKDAY($B442,IFERROR(INDEX(CONFIG!$D$4:$D$63,MATCH($M442,CONFIG!$A$4:$A$63,0)),3)))</f>
        <v/>
      </c>
      <c r="Y442" s="47" t="n"/>
      <c r="Z442" s="24">
        <f>IF($B442="","",IF($Y442&lt;&gt;"",$Y442-$B442,TODAY()-$B442))</f>
        <v/>
      </c>
      <c r="AA442" s="28">
        <f>IF($B442="","",IF(IFERROR(INDEX(CONFIG!$L$4:$L$63,MATCH($V442,CONFIG!$K$4:$K$63,0)),"NO")="SÍ",IF(OR($Y442="",$X442=""),"Resuelta",IF($Y442&gt;$X442,"Resuelta tarde","Resuelta a tiempo")),IF($X442="","Sin clasificar",IF(TODAY()&gt;$X442,"Vencida",IF(TODAY()&gt;=$X442-1,"Por vencer","En plazo")))))</f>
        <v/>
      </c>
      <c r="AB442" s="50" t="n"/>
      <c r="AC442" s="50" t="n"/>
    </row>
    <row r="443" ht="16" customHeight="1">
      <c r="A443" s="28">
        <f>IF($B443="","","N-"&amp;TEXT(ROW()-3,"0000"))</f>
        <v/>
      </c>
      <c r="B443" s="47" t="n"/>
      <c r="C443" s="48" t="n"/>
      <c r="D443" s="48" t="n"/>
      <c r="E443" s="28">
        <f>IF($C443="","",IF($D443="",IF($C443="Interna","Sin guía (interna)","FALTA GUÍA"),IF(COUNTIFS(ENVIOS!$A$4:$A$3003,$D443)=0,"NO EXISTE",IF(COUNTIFS(ENVIOS!$A$4:$A$3003,$D443)&gt;1,"DUPLICADA","OK"))))</f>
        <v/>
      </c>
      <c r="F443" s="28">
        <f>IF($D443="","",IFERROR(INDEX(ENVIOS!$B$4:$B$3003,MATCH($D443,ENVIOS!$A$4:$A$3003,0)),"—"))</f>
        <v/>
      </c>
      <c r="G443" s="23">
        <f>IF($D443="","",IFERROR(INDEX(ENVIOS!$D$4:$D$3003,MATCH($D443,ENVIOS!$A$4:$A$3003,0)),"—"))</f>
        <v/>
      </c>
      <c r="H443" s="23">
        <f>IF($D443="","",IFERROR(INDEX(ENVIOS!$E$4:$E$3003,MATCH($D443,ENVIOS!$A$4:$A$3003,0)),"—"))</f>
        <v/>
      </c>
      <c r="I443" s="23">
        <f>IF($D443="","",IFERROR(INDEX(ENVIOS!$F$4:$F$3003,MATCH($D443,ENVIOS!$A$4:$A$3003,0)),"—"))</f>
        <v/>
      </c>
      <c r="J443" s="23">
        <f>IF($D443="","",IFERROR(INDEX(ENVIOS!$G$4:$G$3003,MATCH($D443,ENVIOS!$A$4:$A$3003,0)),"—"))</f>
        <v/>
      </c>
      <c r="K443" s="28">
        <f>IF($D443="","",IFERROR(INDEX(ENVIOS!$H$4:$H$3003,MATCH($D443,ENVIOS!$A$4:$A$3003,0)),"—"))</f>
        <v/>
      </c>
      <c r="L443" s="49">
        <f>IF($D443="","",IFERROR(INDEX(ENVIOS!$C$4:$C$3003,MATCH($D443,ENVIOS!$A$4:$A$3003,0)),""))</f>
        <v/>
      </c>
      <c r="M443" s="50" t="n"/>
      <c r="N443" s="28">
        <f>IF($M443="","",IFERROR(INDEX(CONFIG!$C$4:$C$63,MATCH($M443,CONFIG!$A$4:$A$63,0)),"Media"))</f>
        <v/>
      </c>
      <c r="O443" s="28">
        <f>IF($M443="","",IF($C443="Interna","NO",IFERROR(INDEX(CONFIG!$E$4:$E$63,MATCH($M443,CONFIG!$A$4:$A$63,0)),"NO")))</f>
        <v/>
      </c>
      <c r="P443" s="50" t="n"/>
      <c r="Q443" s="50" t="n"/>
      <c r="R443" s="28">
        <f>IF($Q443="","",IFERROR(INDEX(CONFIG!$H$4:$H$63,MATCH($Q443,CONFIG!$G$4:$G$63,0)),"Por definir"))</f>
        <v/>
      </c>
      <c r="S443" s="28">
        <f>IF($Q443="","",IFERROR(INDEX(CONFIG!$I$4:$I$63,MATCH($Q443,CONFIG!$G$4:$G$63,0)),"Por definir"))</f>
        <v/>
      </c>
      <c r="T443" s="51" t="n"/>
      <c r="U443" s="52" t="n"/>
      <c r="V443" s="50" t="n"/>
      <c r="W443" s="50" t="n"/>
      <c r="X443" s="49">
        <f>IF(OR($B443="",$M443=""),"",WORKDAY($B443,IFERROR(INDEX(CONFIG!$D$4:$D$63,MATCH($M443,CONFIG!$A$4:$A$63,0)),3)))</f>
        <v/>
      </c>
      <c r="Y443" s="47" t="n"/>
      <c r="Z443" s="24">
        <f>IF($B443="","",IF($Y443&lt;&gt;"",$Y443-$B443,TODAY()-$B443))</f>
        <v/>
      </c>
      <c r="AA443" s="28">
        <f>IF($B443="","",IF(IFERROR(INDEX(CONFIG!$L$4:$L$63,MATCH($V443,CONFIG!$K$4:$K$63,0)),"NO")="SÍ",IF(OR($Y443="",$X443=""),"Resuelta",IF($Y443&gt;$X443,"Resuelta tarde","Resuelta a tiempo")),IF($X443="","Sin clasificar",IF(TODAY()&gt;$X443,"Vencida",IF(TODAY()&gt;=$X443-1,"Por vencer","En plazo")))))</f>
        <v/>
      </c>
      <c r="AB443" s="50" t="n"/>
      <c r="AC443" s="50" t="n"/>
    </row>
    <row r="444" ht="16" customHeight="1">
      <c r="A444" s="28">
        <f>IF($B444="","","N-"&amp;TEXT(ROW()-3,"0000"))</f>
        <v/>
      </c>
      <c r="B444" s="47" t="n"/>
      <c r="C444" s="48" t="n"/>
      <c r="D444" s="48" t="n"/>
      <c r="E444" s="28">
        <f>IF($C444="","",IF($D444="",IF($C444="Interna","Sin guía (interna)","FALTA GUÍA"),IF(COUNTIFS(ENVIOS!$A$4:$A$3003,$D444)=0,"NO EXISTE",IF(COUNTIFS(ENVIOS!$A$4:$A$3003,$D444)&gt;1,"DUPLICADA","OK"))))</f>
        <v/>
      </c>
      <c r="F444" s="28">
        <f>IF($D444="","",IFERROR(INDEX(ENVIOS!$B$4:$B$3003,MATCH($D444,ENVIOS!$A$4:$A$3003,0)),"—"))</f>
        <v/>
      </c>
      <c r="G444" s="23">
        <f>IF($D444="","",IFERROR(INDEX(ENVIOS!$D$4:$D$3003,MATCH($D444,ENVIOS!$A$4:$A$3003,0)),"—"))</f>
        <v/>
      </c>
      <c r="H444" s="23">
        <f>IF($D444="","",IFERROR(INDEX(ENVIOS!$E$4:$E$3003,MATCH($D444,ENVIOS!$A$4:$A$3003,0)),"—"))</f>
        <v/>
      </c>
      <c r="I444" s="23">
        <f>IF($D444="","",IFERROR(INDEX(ENVIOS!$F$4:$F$3003,MATCH($D444,ENVIOS!$A$4:$A$3003,0)),"—"))</f>
        <v/>
      </c>
      <c r="J444" s="23">
        <f>IF($D444="","",IFERROR(INDEX(ENVIOS!$G$4:$G$3003,MATCH($D444,ENVIOS!$A$4:$A$3003,0)),"—"))</f>
        <v/>
      </c>
      <c r="K444" s="28">
        <f>IF($D444="","",IFERROR(INDEX(ENVIOS!$H$4:$H$3003,MATCH($D444,ENVIOS!$A$4:$A$3003,0)),"—"))</f>
        <v/>
      </c>
      <c r="L444" s="49">
        <f>IF($D444="","",IFERROR(INDEX(ENVIOS!$C$4:$C$3003,MATCH($D444,ENVIOS!$A$4:$A$3003,0)),""))</f>
        <v/>
      </c>
      <c r="M444" s="50" t="n"/>
      <c r="N444" s="28">
        <f>IF($M444="","",IFERROR(INDEX(CONFIG!$C$4:$C$63,MATCH($M444,CONFIG!$A$4:$A$63,0)),"Media"))</f>
        <v/>
      </c>
      <c r="O444" s="28">
        <f>IF($M444="","",IF($C444="Interna","NO",IFERROR(INDEX(CONFIG!$E$4:$E$63,MATCH($M444,CONFIG!$A$4:$A$63,0)),"NO")))</f>
        <v/>
      </c>
      <c r="P444" s="50" t="n"/>
      <c r="Q444" s="50" t="n"/>
      <c r="R444" s="28">
        <f>IF($Q444="","",IFERROR(INDEX(CONFIG!$H$4:$H$63,MATCH($Q444,CONFIG!$G$4:$G$63,0)),"Por definir"))</f>
        <v/>
      </c>
      <c r="S444" s="28">
        <f>IF($Q444="","",IFERROR(INDEX(CONFIG!$I$4:$I$63,MATCH($Q444,CONFIG!$G$4:$G$63,0)),"Por definir"))</f>
        <v/>
      </c>
      <c r="T444" s="51" t="n"/>
      <c r="U444" s="52" t="n"/>
      <c r="V444" s="50" t="n"/>
      <c r="W444" s="50" t="n"/>
      <c r="X444" s="49">
        <f>IF(OR($B444="",$M444=""),"",WORKDAY($B444,IFERROR(INDEX(CONFIG!$D$4:$D$63,MATCH($M444,CONFIG!$A$4:$A$63,0)),3)))</f>
        <v/>
      </c>
      <c r="Y444" s="47" t="n"/>
      <c r="Z444" s="24">
        <f>IF($B444="","",IF($Y444&lt;&gt;"",$Y444-$B444,TODAY()-$B444))</f>
        <v/>
      </c>
      <c r="AA444" s="28">
        <f>IF($B444="","",IF(IFERROR(INDEX(CONFIG!$L$4:$L$63,MATCH($V444,CONFIG!$K$4:$K$63,0)),"NO")="SÍ",IF(OR($Y444="",$X444=""),"Resuelta",IF($Y444&gt;$X444,"Resuelta tarde","Resuelta a tiempo")),IF($X444="","Sin clasificar",IF(TODAY()&gt;$X444,"Vencida",IF(TODAY()&gt;=$X444-1,"Por vencer","En plazo")))))</f>
        <v/>
      </c>
      <c r="AB444" s="50" t="n"/>
      <c r="AC444" s="50" t="n"/>
    </row>
    <row r="445" ht="16" customHeight="1">
      <c r="A445" s="28">
        <f>IF($B445="","","N-"&amp;TEXT(ROW()-3,"0000"))</f>
        <v/>
      </c>
      <c r="B445" s="47" t="n"/>
      <c r="C445" s="48" t="n"/>
      <c r="D445" s="48" t="n"/>
      <c r="E445" s="28">
        <f>IF($C445="","",IF($D445="",IF($C445="Interna","Sin guía (interna)","FALTA GUÍA"),IF(COUNTIFS(ENVIOS!$A$4:$A$3003,$D445)=0,"NO EXISTE",IF(COUNTIFS(ENVIOS!$A$4:$A$3003,$D445)&gt;1,"DUPLICADA","OK"))))</f>
        <v/>
      </c>
      <c r="F445" s="28">
        <f>IF($D445="","",IFERROR(INDEX(ENVIOS!$B$4:$B$3003,MATCH($D445,ENVIOS!$A$4:$A$3003,0)),"—"))</f>
        <v/>
      </c>
      <c r="G445" s="23">
        <f>IF($D445="","",IFERROR(INDEX(ENVIOS!$D$4:$D$3003,MATCH($D445,ENVIOS!$A$4:$A$3003,0)),"—"))</f>
        <v/>
      </c>
      <c r="H445" s="23">
        <f>IF($D445="","",IFERROR(INDEX(ENVIOS!$E$4:$E$3003,MATCH($D445,ENVIOS!$A$4:$A$3003,0)),"—"))</f>
        <v/>
      </c>
      <c r="I445" s="23">
        <f>IF($D445="","",IFERROR(INDEX(ENVIOS!$F$4:$F$3003,MATCH($D445,ENVIOS!$A$4:$A$3003,0)),"—"))</f>
        <v/>
      </c>
      <c r="J445" s="23">
        <f>IF($D445="","",IFERROR(INDEX(ENVIOS!$G$4:$G$3003,MATCH($D445,ENVIOS!$A$4:$A$3003,0)),"—"))</f>
        <v/>
      </c>
      <c r="K445" s="28">
        <f>IF($D445="","",IFERROR(INDEX(ENVIOS!$H$4:$H$3003,MATCH($D445,ENVIOS!$A$4:$A$3003,0)),"—"))</f>
        <v/>
      </c>
      <c r="L445" s="49">
        <f>IF($D445="","",IFERROR(INDEX(ENVIOS!$C$4:$C$3003,MATCH($D445,ENVIOS!$A$4:$A$3003,0)),""))</f>
        <v/>
      </c>
      <c r="M445" s="50" t="n"/>
      <c r="N445" s="28">
        <f>IF($M445="","",IFERROR(INDEX(CONFIG!$C$4:$C$63,MATCH($M445,CONFIG!$A$4:$A$63,0)),"Media"))</f>
        <v/>
      </c>
      <c r="O445" s="28">
        <f>IF($M445="","",IF($C445="Interna","NO",IFERROR(INDEX(CONFIG!$E$4:$E$63,MATCH($M445,CONFIG!$A$4:$A$63,0)),"NO")))</f>
        <v/>
      </c>
      <c r="P445" s="50" t="n"/>
      <c r="Q445" s="50" t="n"/>
      <c r="R445" s="28">
        <f>IF($Q445="","",IFERROR(INDEX(CONFIG!$H$4:$H$63,MATCH($Q445,CONFIG!$G$4:$G$63,0)),"Por definir"))</f>
        <v/>
      </c>
      <c r="S445" s="28">
        <f>IF($Q445="","",IFERROR(INDEX(CONFIG!$I$4:$I$63,MATCH($Q445,CONFIG!$G$4:$G$63,0)),"Por definir"))</f>
        <v/>
      </c>
      <c r="T445" s="51" t="n"/>
      <c r="U445" s="52" t="n"/>
      <c r="V445" s="50" t="n"/>
      <c r="W445" s="50" t="n"/>
      <c r="X445" s="49">
        <f>IF(OR($B445="",$M445=""),"",WORKDAY($B445,IFERROR(INDEX(CONFIG!$D$4:$D$63,MATCH($M445,CONFIG!$A$4:$A$63,0)),3)))</f>
        <v/>
      </c>
      <c r="Y445" s="47" t="n"/>
      <c r="Z445" s="24">
        <f>IF($B445="","",IF($Y445&lt;&gt;"",$Y445-$B445,TODAY()-$B445))</f>
        <v/>
      </c>
      <c r="AA445" s="28">
        <f>IF($B445="","",IF(IFERROR(INDEX(CONFIG!$L$4:$L$63,MATCH($V445,CONFIG!$K$4:$K$63,0)),"NO")="SÍ",IF(OR($Y445="",$X445=""),"Resuelta",IF($Y445&gt;$X445,"Resuelta tarde","Resuelta a tiempo")),IF($X445="","Sin clasificar",IF(TODAY()&gt;$X445,"Vencida",IF(TODAY()&gt;=$X445-1,"Por vencer","En plazo")))))</f>
        <v/>
      </c>
      <c r="AB445" s="50" t="n"/>
      <c r="AC445" s="50" t="n"/>
    </row>
    <row r="446" ht="16" customHeight="1">
      <c r="A446" s="28">
        <f>IF($B446="","","N-"&amp;TEXT(ROW()-3,"0000"))</f>
        <v/>
      </c>
      <c r="B446" s="47" t="n"/>
      <c r="C446" s="48" t="n"/>
      <c r="D446" s="48" t="n"/>
      <c r="E446" s="28">
        <f>IF($C446="","",IF($D446="",IF($C446="Interna","Sin guía (interna)","FALTA GUÍA"),IF(COUNTIFS(ENVIOS!$A$4:$A$3003,$D446)=0,"NO EXISTE",IF(COUNTIFS(ENVIOS!$A$4:$A$3003,$D446)&gt;1,"DUPLICADA","OK"))))</f>
        <v/>
      </c>
      <c r="F446" s="28">
        <f>IF($D446="","",IFERROR(INDEX(ENVIOS!$B$4:$B$3003,MATCH($D446,ENVIOS!$A$4:$A$3003,0)),"—"))</f>
        <v/>
      </c>
      <c r="G446" s="23">
        <f>IF($D446="","",IFERROR(INDEX(ENVIOS!$D$4:$D$3003,MATCH($D446,ENVIOS!$A$4:$A$3003,0)),"—"))</f>
        <v/>
      </c>
      <c r="H446" s="23">
        <f>IF($D446="","",IFERROR(INDEX(ENVIOS!$E$4:$E$3003,MATCH($D446,ENVIOS!$A$4:$A$3003,0)),"—"))</f>
        <v/>
      </c>
      <c r="I446" s="23">
        <f>IF($D446="","",IFERROR(INDEX(ENVIOS!$F$4:$F$3003,MATCH($D446,ENVIOS!$A$4:$A$3003,0)),"—"))</f>
        <v/>
      </c>
      <c r="J446" s="23">
        <f>IF($D446="","",IFERROR(INDEX(ENVIOS!$G$4:$G$3003,MATCH($D446,ENVIOS!$A$4:$A$3003,0)),"—"))</f>
        <v/>
      </c>
      <c r="K446" s="28">
        <f>IF($D446="","",IFERROR(INDEX(ENVIOS!$H$4:$H$3003,MATCH($D446,ENVIOS!$A$4:$A$3003,0)),"—"))</f>
        <v/>
      </c>
      <c r="L446" s="49">
        <f>IF($D446="","",IFERROR(INDEX(ENVIOS!$C$4:$C$3003,MATCH($D446,ENVIOS!$A$4:$A$3003,0)),""))</f>
        <v/>
      </c>
      <c r="M446" s="50" t="n"/>
      <c r="N446" s="28">
        <f>IF($M446="","",IFERROR(INDEX(CONFIG!$C$4:$C$63,MATCH($M446,CONFIG!$A$4:$A$63,0)),"Media"))</f>
        <v/>
      </c>
      <c r="O446" s="28">
        <f>IF($M446="","",IF($C446="Interna","NO",IFERROR(INDEX(CONFIG!$E$4:$E$63,MATCH($M446,CONFIG!$A$4:$A$63,0)),"NO")))</f>
        <v/>
      </c>
      <c r="P446" s="50" t="n"/>
      <c r="Q446" s="50" t="n"/>
      <c r="R446" s="28">
        <f>IF($Q446="","",IFERROR(INDEX(CONFIG!$H$4:$H$63,MATCH($Q446,CONFIG!$G$4:$G$63,0)),"Por definir"))</f>
        <v/>
      </c>
      <c r="S446" s="28">
        <f>IF($Q446="","",IFERROR(INDEX(CONFIG!$I$4:$I$63,MATCH($Q446,CONFIG!$G$4:$G$63,0)),"Por definir"))</f>
        <v/>
      </c>
      <c r="T446" s="51" t="n"/>
      <c r="U446" s="52" t="n"/>
      <c r="V446" s="50" t="n"/>
      <c r="W446" s="50" t="n"/>
      <c r="X446" s="49">
        <f>IF(OR($B446="",$M446=""),"",WORKDAY($B446,IFERROR(INDEX(CONFIG!$D$4:$D$63,MATCH($M446,CONFIG!$A$4:$A$63,0)),3)))</f>
        <v/>
      </c>
      <c r="Y446" s="47" t="n"/>
      <c r="Z446" s="24">
        <f>IF($B446="","",IF($Y446&lt;&gt;"",$Y446-$B446,TODAY()-$B446))</f>
        <v/>
      </c>
      <c r="AA446" s="28">
        <f>IF($B446="","",IF(IFERROR(INDEX(CONFIG!$L$4:$L$63,MATCH($V446,CONFIG!$K$4:$K$63,0)),"NO")="SÍ",IF(OR($Y446="",$X446=""),"Resuelta",IF($Y446&gt;$X446,"Resuelta tarde","Resuelta a tiempo")),IF($X446="","Sin clasificar",IF(TODAY()&gt;$X446,"Vencida",IF(TODAY()&gt;=$X446-1,"Por vencer","En plazo")))))</f>
        <v/>
      </c>
      <c r="AB446" s="50" t="n"/>
      <c r="AC446" s="50" t="n"/>
    </row>
    <row r="447" ht="16" customHeight="1">
      <c r="A447" s="28">
        <f>IF($B447="","","N-"&amp;TEXT(ROW()-3,"0000"))</f>
        <v/>
      </c>
      <c r="B447" s="47" t="n"/>
      <c r="C447" s="48" t="n"/>
      <c r="D447" s="48" t="n"/>
      <c r="E447" s="28">
        <f>IF($C447="","",IF($D447="",IF($C447="Interna","Sin guía (interna)","FALTA GUÍA"),IF(COUNTIFS(ENVIOS!$A$4:$A$3003,$D447)=0,"NO EXISTE",IF(COUNTIFS(ENVIOS!$A$4:$A$3003,$D447)&gt;1,"DUPLICADA","OK"))))</f>
        <v/>
      </c>
      <c r="F447" s="28">
        <f>IF($D447="","",IFERROR(INDEX(ENVIOS!$B$4:$B$3003,MATCH($D447,ENVIOS!$A$4:$A$3003,0)),"—"))</f>
        <v/>
      </c>
      <c r="G447" s="23">
        <f>IF($D447="","",IFERROR(INDEX(ENVIOS!$D$4:$D$3003,MATCH($D447,ENVIOS!$A$4:$A$3003,0)),"—"))</f>
        <v/>
      </c>
      <c r="H447" s="23">
        <f>IF($D447="","",IFERROR(INDEX(ENVIOS!$E$4:$E$3003,MATCH($D447,ENVIOS!$A$4:$A$3003,0)),"—"))</f>
        <v/>
      </c>
      <c r="I447" s="23">
        <f>IF($D447="","",IFERROR(INDEX(ENVIOS!$F$4:$F$3003,MATCH($D447,ENVIOS!$A$4:$A$3003,0)),"—"))</f>
        <v/>
      </c>
      <c r="J447" s="23">
        <f>IF($D447="","",IFERROR(INDEX(ENVIOS!$G$4:$G$3003,MATCH($D447,ENVIOS!$A$4:$A$3003,0)),"—"))</f>
        <v/>
      </c>
      <c r="K447" s="28">
        <f>IF($D447="","",IFERROR(INDEX(ENVIOS!$H$4:$H$3003,MATCH($D447,ENVIOS!$A$4:$A$3003,0)),"—"))</f>
        <v/>
      </c>
      <c r="L447" s="49">
        <f>IF($D447="","",IFERROR(INDEX(ENVIOS!$C$4:$C$3003,MATCH($D447,ENVIOS!$A$4:$A$3003,0)),""))</f>
        <v/>
      </c>
      <c r="M447" s="50" t="n"/>
      <c r="N447" s="28">
        <f>IF($M447="","",IFERROR(INDEX(CONFIG!$C$4:$C$63,MATCH($M447,CONFIG!$A$4:$A$63,0)),"Media"))</f>
        <v/>
      </c>
      <c r="O447" s="28">
        <f>IF($M447="","",IF($C447="Interna","NO",IFERROR(INDEX(CONFIG!$E$4:$E$63,MATCH($M447,CONFIG!$A$4:$A$63,0)),"NO")))</f>
        <v/>
      </c>
      <c r="P447" s="50" t="n"/>
      <c r="Q447" s="50" t="n"/>
      <c r="R447" s="28">
        <f>IF($Q447="","",IFERROR(INDEX(CONFIG!$H$4:$H$63,MATCH($Q447,CONFIG!$G$4:$G$63,0)),"Por definir"))</f>
        <v/>
      </c>
      <c r="S447" s="28">
        <f>IF($Q447="","",IFERROR(INDEX(CONFIG!$I$4:$I$63,MATCH($Q447,CONFIG!$G$4:$G$63,0)),"Por definir"))</f>
        <v/>
      </c>
      <c r="T447" s="51" t="n"/>
      <c r="U447" s="52" t="n"/>
      <c r="V447" s="50" t="n"/>
      <c r="W447" s="50" t="n"/>
      <c r="X447" s="49">
        <f>IF(OR($B447="",$M447=""),"",WORKDAY($B447,IFERROR(INDEX(CONFIG!$D$4:$D$63,MATCH($M447,CONFIG!$A$4:$A$63,0)),3)))</f>
        <v/>
      </c>
      <c r="Y447" s="47" t="n"/>
      <c r="Z447" s="24">
        <f>IF($B447="","",IF($Y447&lt;&gt;"",$Y447-$B447,TODAY()-$B447))</f>
        <v/>
      </c>
      <c r="AA447" s="28">
        <f>IF($B447="","",IF(IFERROR(INDEX(CONFIG!$L$4:$L$63,MATCH($V447,CONFIG!$K$4:$K$63,0)),"NO")="SÍ",IF(OR($Y447="",$X447=""),"Resuelta",IF($Y447&gt;$X447,"Resuelta tarde","Resuelta a tiempo")),IF($X447="","Sin clasificar",IF(TODAY()&gt;$X447,"Vencida",IF(TODAY()&gt;=$X447-1,"Por vencer","En plazo")))))</f>
        <v/>
      </c>
      <c r="AB447" s="50" t="n"/>
      <c r="AC447" s="50" t="n"/>
    </row>
    <row r="448" ht="16" customHeight="1">
      <c r="A448" s="28">
        <f>IF($B448="","","N-"&amp;TEXT(ROW()-3,"0000"))</f>
        <v/>
      </c>
      <c r="B448" s="47" t="n"/>
      <c r="C448" s="48" t="n"/>
      <c r="D448" s="48" t="n"/>
      <c r="E448" s="28">
        <f>IF($C448="","",IF($D448="",IF($C448="Interna","Sin guía (interna)","FALTA GUÍA"),IF(COUNTIFS(ENVIOS!$A$4:$A$3003,$D448)=0,"NO EXISTE",IF(COUNTIFS(ENVIOS!$A$4:$A$3003,$D448)&gt;1,"DUPLICADA","OK"))))</f>
        <v/>
      </c>
      <c r="F448" s="28">
        <f>IF($D448="","",IFERROR(INDEX(ENVIOS!$B$4:$B$3003,MATCH($D448,ENVIOS!$A$4:$A$3003,0)),"—"))</f>
        <v/>
      </c>
      <c r="G448" s="23">
        <f>IF($D448="","",IFERROR(INDEX(ENVIOS!$D$4:$D$3003,MATCH($D448,ENVIOS!$A$4:$A$3003,0)),"—"))</f>
        <v/>
      </c>
      <c r="H448" s="23">
        <f>IF($D448="","",IFERROR(INDEX(ENVIOS!$E$4:$E$3003,MATCH($D448,ENVIOS!$A$4:$A$3003,0)),"—"))</f>
        <v/>
      </c>
      <c r="I448" s="23">
        <f>IF($D448="","",IFERROR(INDEX(ENVIOS!$F$4:$F$3003,MATCH($D448,ENVIOS!$A$4:$A$3003,0)),"—"))</f>
        <v/>
      </c>
      <c r="J448" s="23">
        <f>IF($D448="","",IFERROR(INDEX(ENVIOS!$G$4:$G$3003,MATCH($D448,ENVIOS!$A$4:$A$3003,0)),"—"))</f>
        <v/>
      </c>
      <c r="K448" s="28">
        <f>IF($D448="","",IFERROR(INDEX(ENVIOS!$H$4:$H$3003,MATCH($D448,ENVIOS!$A$4:$A$3003,0)),"—"))</f>
        <v/>
      </c>
      <c r="L448" s="49">
        <f>IF($D448="","",IFERROR(INDEX(ENVIOS!$C$4:$C$3003,MATCH($D448,ENVIOS!$A$4:$A$3003,0)),""))</f>
        <v/>
      </c>
      <c r="M448" s="50" t="n"/>
      <c r="N448" s="28">
        <f>IF($M448="","",IFERROR(INDEX(CONFIG!$C$4:$C$63,MATCH($M448,CONFIG!$A$4:$A$63,0)),"Media"))</f>
        <v/>
      </c>
      <c r="O448" s="28">
        <f>IF($M448="","",IF($C448="Interna","NO",IFERROR(INDEX(CONFIG!$E$4:$E$63,MATCH($M448,CONFIG!$A$4:$A$63,0)),"NO")))</f>
        <v/>
      </c>
      <c r="P448" s="50" t="n"/>
      <c r="Q448" s="50" t="n"/>
      <c r="R448" s="28">
        <f>IF($Q448="","",IFERROR(INDEX(CONFIG!$H$4:$H$63,MATCH($Q448,CONFIG!$G$4:$G$63,0)),"Por definir"))</f>
        <v/>
      </c>
      <c r="S448" s="28">
        <f>IF($Q448="","",IFERROR(INDEX(CONFIG!$I$4:$I$63,MATCH($Q448,CONFIG!$G$4:$G$63,0)),"Por definir"))</f>
        <v/>
      </c>
      <c r="T448" s="51" t="n"/>
      <c r="U448" s="52" t="n"/>
      <c r="V448" s="50" t="n"/>
      <c r="W448" s="50" t="n"/>
      <c r="X448" s="49">
        <f>IF(OR($B448="",$M448=""),"",WORKDAY($B448,IFERROR(INDEX(CONFIG!$D$4:$D$63,MATCH($M448,CONFIG!$A$4:$A$63,0)),3)))</f>
        <v/>
      </c>
      <c r="Y448" s="47" t="n"/>
      <c r="Z448" s="24">
        <f>IF($B448="","",IF($Y448&lt;&gt;"",$Y448-$B448,TODAY()-$B448))</f>
        <v/>
      </c>
      <c r="AA448" s="28">
        <f>IF($B448="","",IF(IFERROR(INDEX(CONFIG!$L$4:$L$63,MATCH($V448,CONFIG!$K$4:$K$63,0)),"NO")="SÍ",IF(OR($Y448="",$X448=""),"Resuelta",IF($Y448&gt;$X448,"Resuelta tarde","Resuelta a tiempo")),IF($X448="","Sin clasificar",IF(TODAY()&gt;$X448,"Vencida",IF(TODAY()&gt;=$X448-1,"Por vencer","En plazo")))))</f>
        <v/>
      </c>
      <c r="AB448" s="50" t="n"/>
      <c r="AC448" s="50" t="n"/>
    </row>
    <row r="449" ht="16" customHeight="1">
      <c r="A449" s="28">
        <f>IF($B449="","","N-"&amp;TEXT(ROW()-3,"0000"))</f>
        <v/>
      </c>
      <c r="B449" s="47" t="n"/>
      <c r="C449" s="48" t="n"/>
      <c r="D449" s="48" t="n"/>
      <c r="E449" s="28">
        <f>IF($C449="","",IF($D449="",IF($C449="Interna","Sin guía (interna)","FALTA GUÍA"),IF(COUNTIFS(ENVIOS!$A$4:$A$3003,$D449)=0,"NO EXISTE",IF(COUNTIFS(ENVIOS!$A$4:$A$3003,$D449)&gt;1,"DUPLICADA","OK"))))</f>
        <v/>
      </c>
      <c r="F449" s="28">
        <f>IF($D449="","",IFERROR(INDEX(ENVIOS!$B$4:$B$3003,MATCH($D449,ENVIOS!$A$4:$A$3003,0)),"—"))</f>
        <v/>
      </c>
      <c r="G449" s="23">
        <f>IF($D449="","",IFERROR(INDEX(ENVIOS!$D$4:$D$3003,MATCH($D449,ENVIOS!$A$4:$A$3003,0)),"—"))</f>
        <v/>
      </c>
      <c r="H449" s="23">
        <f>IF($D449="","",IFERROR(INDEX(ENVIOS!$E$4:$E$3003,MATCH($D449,ENVIOS!$A$4:$A$3003,0)),"—"))</f>
        <v/>
      </c>
      <c r="I449" s="23">
        <f>IF($D449="","",IFERROR(INDEX(ENVIOS!$F$4:$F$3003,MATCH($D449,ENVIOS!$A$4:$A$3003,0)),"—"))</f>
        <v/>
      </c>
      <c r="J449" s="23">
        <f>IF($D449="","",IFERROR(INDEX(ENVIOS!$G$4:$G$3003,MATCH($D449,ENVIOS!$A$4:$A$3003,0)),"—"))</f>
        <v/>
      </c>
      <c r="K449" s="28">
        <f>IF($D449="","",IFERROR(INDEX(ENVIOS!$H$4:$H$3003,MATCH($D449,ENVIOS!$A$4:$A$3003,0)),"—"))</f>
        <v/>
      </c>
      <c r="L449" s="49">
        <f>IF($D449="","",IFERROR(INDEX(ENVIOS!$C$4:$C$3003,MATCH($D449,ENVIOS!$A$4:$A$3003,0)),""))</f>
        <v/>
      </c>
      <c r="M449" s="50" t="n"/>
      <c r="N449" s="28">
        <f>IF($M449="","",IFERROR(INDEX(CONFIG!$C$4:$C$63,MATCH($M449,CONFIG!$A$4:$A$63,0)),"Media"))</f>
        <v/>
      </c>
      <c r="O449" s="28">
        <f>IF($M449="","",IF($C449="Interna","NO",IFERROR(INDEX(CONFIG!$E$4:$E$63,MATCH($M449,CONFIG!$A$4:$A$63,0)),"NO")))</f>
        <v/>
      </c>
      <c r="P449" s="50" t="n"/>
      <c r="Q449" s="50" t="n"/>
      <c r="R449" s="28">
        <f>IF($Q449="","",IFERROR(INDEX(CONFIG!$H$4:$H$63,MATCH($Q449,CONFIG!$G$4:$G$63,0)),"Por definir"))</f>
        <v/>
      </c>
      <c r="S449" s="28">
        <f>IF($Q449="","",IFERROR(INDEX(CONFIG!$I$4:$I$63,MATCH($Q449,CONFIG!$G$4:$G$63,0)),"Por definir"))</f>
        <v/>
      </c>
      <c r="T449" s="51" t="n"/>
      <c r="U449" s="52" t="n"/>
      <c r="V449" s="50" t="n"/>
      <c r="W449" s="50" t="n"/>
      <c r="X449" s="49">
        <f>IF(OR($B449="",$M449=""),"",WORKDAY($B449,IFERROR(INDEX(CONFIG!$D$4:$D$63,MATCH($M449,CONFIG!$A$4:$A$63,0)),3)))</f>
        <v/>
      </c>
      <c r="Y449" s="47" t="n"/>
      <c r="Z449" s="24">
        <f>IF($B449="","",IF($Y449&lt;&gt;"",$Y449-$B449,TODAY()-$B449))</f>
        <v/>
      </c>
      <c r="AA449" s="28">
        <f>IF($B449="","",IF(IFERROR(INDEX(CONFIG!$L$4:$L$63,MATCH($V449,CONFIG!$K$4:$K$63,0)),"NO")="SÍ",IF(OR($Y449="",$X449=""),"Resuelta",IF($Y449&gt;$X449,"Resuelta tarde","Resuelta a tiempo")),IF($X449="","Sin clasificar",IF(TODAY()&gt;$X449,"Vencida",IF(TODAY()&gt;=$X449-1,"Por vencer","En plazo")))))</f>
        <v/>
      </c>
      <c r="AB449" s="50" t="n"/>
      <c r="AC449" s="50" t="n"/>
    </row>
    <row r="450" ht="16" customHeight="1">
      <c r="A450" s="28">
        <f>IF($B450="","","N-"&amp;TEXT(ROW()-3,"0000"))</f>
        <v/>
      </c>
      <c r="B450" s="47" t="n"/>
      <c r="C450" s="48" t="n"/>
      <c r="D450" s="48" t="n"/>
      <c r="E450" s="28">
        <f>IF($C450="","",IF($D450="",IF($C450="Interna","Sin guía (interna)","FALTA GUÍA"),IF(COUNTIFS(ENVIOS!$A$4:$A$3003,$D450)=0,"NO EXISTE",IF(COUNTIFS(ENVIOS!$A$4:$A$3003,$D450)&gt;1,"DUPLICADA","OK"))))</f>
        <v/>
      </c>
      <c r="F450" s="28">
        <f>IF($D450="","",IFERROR(INDEX(ENVIOS!$B$4:$B$3003,MATCH($D450,ENVIOS!$A$4:$A$3003,0)),"—"))</f>
        <v/>
      </c>
      <c r="G450" s="23">
        <f>IF($D450="","",IFERROR(INDEX(ENVIOS!$D$4:$D$3003,MATCH($D450,ENVIOS!$A$4:$A$3003,0)),"—"))</f>
        <v/>
      </c>
      <c r="H450" s="23">
        <f>IF($D450="","",IFERROR(INDEX(ENVIOS!$E$4:$E$3003,MATCH($D450,ENVIOS!$A$4:$A$3003,0)),"—"))</f>
        <v/>
      </c>
      <c r="I450" s="23">
        <f>IF($D450="","",IFERROR(INDEX(ENVIOS!$F$4:$F$3003,MATCH($D450,ENVIOS!$A$4:$A$3003,0)),"—"))</f>
        <v/>
      </c>
      <c r="J450" s="23">
        <f>IF($D450="","",IFERROR(INDEX(ENVIOS!$G$4:$G$3003,MATCH($D450,ENVIOS!$A$4:$A$3003,0)),"—"))</f>
        <v/>
      </c>
      <c r="K450" s="28">
        <f>IF($D450="","",IFERROR(INDEX(ENVIOS!$H$4:$H$3003,MATCH($D450,ENVIOS!$A$4:$A$3003,0)),"—"))</f>
        <v/>
      </c>
      <c r="L450" s="49">
        <f>IF($D450="","",IFERROR(INDEX(ENVIOS!$C$4:$C$3003,MATCH($D450,ENVIOS!$A$4:$A$3003,0)),""))</f>
        <v/>
      </c>
      <c r="M450" s="50" t="n"/>
      <c r="N450" s="28">
        <f>IF($M450="","",IFERROR(INDEX(CONFIG!$C$4:$C$63,MATCH($M450,CONFIG!$A$4:$A$63,0)),"Media"))</f>
        <v/>
      </c>
      <c r="O450" s="28">
        <f>IF($M450="","",IF($C450="Interna","NO",IFERROR(INDEX(CONFIG!$E$4:$E$63,MATCH($M450,CONFIG!$A$4:$A$63,0)),"NO")))</f>
        <v/>
      </c>
      <c r="P450" s="50" t="n"/>
      <c r="Q450" s="50" t="n"/>
      <c r="R450" s="28">
        <f>IF($Q450="","",IFERROR(INDEX(CONFIG!$H$4:$H$63,MATCH($Q450,CONFIG!$G$4:$G$63,0)),"Por definir"))</f>
        <v/>
      </c>
      <c r="S450" s="28">
        <f>IF($Q450="","",IFERROR(INDEX(CONFIG!$I$4:$I$63,MATCH($Q450,CONFIG!$G$4:$G$63,0)),"Por definir"))</f>
        <v/>
      </c>
      <c r="T450" s="51" t="n"/>
      <c r="U450" s="52" t="n"/>
      <c r="V450" s="50" t="n"/>
      <c r="W450" s="50" t="n"/>
      <c r="X450" s="49">
        <f>IF(OR($B450="",$M450=""),"",WORKDAY($B450,IFERROR(INDEX(CONFIG!$D$4:$D$63,MATCH($M450,CONFIG!$A$4:$A$63,0)),3)))</f>
        <v/>
      </c>
      <c r="Y450" s="47" t="n"/>
      <c r="Z450" s="24">
        <f>IF($B450="","",IF($Y450&lt;&gt;"",$Y450-$B450,TODAY()-$B450))</f>
        <v/>
      </c>
      <c r="AA450" s="28">
        <f>IF($B450="","",IF(IFERROR(INDEX(CONFIG!$L$4:$L$63,MATCH($V450,CONFIG!$K$4:$K$63,0)),"NO")="SÍ",IF(OR($Y450="",$X450=""),"Resuelta",IF($Y450&gt;$X450,"Resuelta tarde","Resuelta a tiempo")),IF($X450="","Sin clasificar",IF(TODAY()&gt;$X450,"Vencida",IF(TODAY()&gt;=$X450-1,"Por vencer","En plazo")))))</f>
        <v/>
      </c>
      <c r="AB450" s="50" t="n"/>
      <c r="AC450" s="50" t="n"/>
    </row>
    <row r="451" ht="16" customHeight="1">
      <c r="A451" s="28">
        <f>IF($B451="","","N-"&amp;TEXT(ROW()-3,"0000"))</f>
        <v/>
      </c>
      <c r="B451" s="47" t="n"/>
      <c r="C451" s="48" t="n"/>
      <c r="D451" s="48" t="n"/>
      <c r="E451" s="28">
        <f>IF($C451="","",IF($D451="",IF($C451="Interna","Sin guía (interna)","FALTA GUÍA"),IF(COUNTIFS(ENVIOS!$A$4:$A$3003,$D451)=0,"NO EXISTE",IF(COUNTIFS(ENVIOS!$A$4:$A$3003,$D451)&gt;1,"DUPLICADA","OK"))))</f>
        <v/>
      </c>
      <c r="F451" s="28">
        <f>IF($D451="","",IFERROR(INDEX(ENVIOS!$B$4:$B$3003,MATCH($D451,ENVIOS!$A$4:$A$3003,0)),"—"))</f>
        <v/>
      </c>
      <c r="G451" s="23">
        <f>IF($D451="","",IFERROR(INDEX(ENVIOS!$D$4:$D$3003,MATCH($D451,ENVIOS!$A$4:$A$3003,0)),"—"))</f>
        <v/>
      </c>
      <c r="H451" s="23">
        <f>IF($D451="","",IFERROR(INDEX(ENVIOS!$E$4:$E$3003,MATCH($D451,ENVIOS!$A$4:$A$3003,0)),"—"))</f>
        <v/>
      </c>
      <c r="I451" s="23">
        <f>IF($D451="","",IFERROR(INDEX(ENVIOS!$F$4:$F$3003,MATCH($D451,ENVIOS!$A$4:$A$3003,0)),"—"))</f>
        <v/>
      </c>
      <c r="J451" s="23">
        <f>IF($D451="","",IFERROR(INDEX(ENVIOS!$G$4:$G$3003,MATCH($D451,ENVIOS!$A$4:$A$3003,0)),"—"))</f>
        <v/>
      </c>
      <c r="K451" s="28">
        <f>IF($D451="","",IFERROR(INDEX(ENVIOS!$H$4:$H$3003,MATCH($D451,ENVIOS!$A$4:$A$3003,0)),"—"))</f>
        <v/>
      </c>
      <c r="L451" s="49">
        <f>IF($D451="","",IFERROR(INDEX(ENVIOS!$C$4:$C$3003,MATCH($D451,ENVIOS!$A$4:$A$3003,0)),""))</f>
        <v/>
      </c>
      <c r="M451" s="50" t="n"/>
      <c r="N451" s="28">
        <f>IF($M451="","",IFERROR(INDEX(CONFIG!$C$4:$C$63,MATCH($M451,CONFIG!$A$4:$A$63,0)),"Media"))</f>
        <v/>
      </c>
      <c r="O451" s="28">
        <f>IF($M451="","",IF($C451="Interna","NO",IFERROR(INDEX(CONFIG!$E$4:$E$63,MATCH($M451,CONFIG!$A$4:$A$63,0)),"NO")))</f>
        <v/>
      </c>
      <c r="P451" s="50" t="n"/>
      <c r="Q451" s="50" t="n"/>
      <c r="R451" s="28">
        <f>IF($Q451="","",IFERROR(INDEX(CONFIG!$H$4:$H$63,MATCH($Q451,CONFIG!$G$4:$G$63,0)),"Por definir"))</f>
        <v/>
      </c>
      <c r="S451" s="28">
        <f>IF($Q451="","",IFERROR(INDEX(CONFIG!$I$4:$I$63,MATCH($Q451,CONFIG!$G$4:$G$63,0)),"Por definir"))</f>
        <v/>
      </c>
      <c r="T451" s="51" t="n"/>
      <c r="U451" s="52" t="n"/>
      <c r="V451" s="50" t="n"/>
      <c r="W451" s="50" t="n"/>
      <c r="X451" s="49">
        <f>IF(OR($B451="",$M451=""),"",WORKDAY($B451,IFERROR(INDEX(CONFIG!$D$4:$D$63,MATCH($M451,CONFIG!$A$4:$A$63,0)),3)))</f>
        <v/>
      </c>
      <c r="Y451" s="47" t="n"/>
      <c r="Z451" s="24">
        <f>IF($B451="","",IF($Y451&lt;&gt;"",$Y451-$B451,TODAY()-$B451))</f>
        <v/>
      </c>
      <c r="AA451" s="28">
        <f>IF($B451="","",IF(IFERROR(INDEX(CONFIG!$L$4:$L$63,MATCH($V451,CONFIG!$K$4:$K$63,0)),"NO")="SÍ",IF(OR($Y451="",$X451=""),"Resuelta",IF($Y451&gt;$X451,"Resuelta tarde","Resuelta a tiempo")),IF($X451="","Sin clasificar",IF(TODAY()&gt;$X451,"Vencida",IF(TODAY()&gt;=$X451-1,"Por vencer","En plazo")))))</f>
        <v/>
      </c>
      <c r="AB451" s="50" t="n"/>
      <c r="AC451" s="50" t="n"/>
    </row>
    <row r="452" ht="16" customHeight="1">
      <c r="A452" s="28">
        <f>IF($B452="","","N-"&amp;TEXT(ROW()-3,"0000"))</f>
        <v/>
      </c>
      <c r="B452" s="47" t="n"/>
      <c r="C452" s="48" t="n"/>
      <c r="D452" s="48" t="n"/>
      <c r="E452" s="28">
        <f>IF($C452="","",IF($D452="",IF($C452="Interna","Sin guía (interna)","FALTA GUÍA"),IF(COUNTIFS(ENVIOS!$A$4:$A$3003,$D452)=0,"NO EXISTE",IF(COUNTIFS(ENVIOS!$A$4:$A$3003,$D452)&gt;1,"DUPLICADA","OK"))))</f>
        <v/>
      </c>
      <c r="F452" s="28">
        <f>IF($D452="","",IFERROR(INDEX(ENVIOS!$B$4:$B$3003,MATCH($D452,ENVIOS!$A$4:$A$3003,0)),"—"))</f>
        <v/>
      </c>
      <c r="G452" s="23">
        <f>IF($D452="","",IFERROR(INDEX(ENVIOS!$D$4:$D$3003,MATCH($D452,ENVIOS!$A$4:$A$3003,0)),"—"))</f>
        <v/>
      </c>
      <c r="H452" s="23">
        <f>IF($D452="","",IFERROR(INDEX(ENVIOS!$E$4:$E$3003,MATCH($D452,ENVIOS!$A$4:$A$3003,0)),"—"))</f>
        <v/>
      </c>
      <c r="I452" s="23">
        <f>IF($D452="","",IFERROR(INDEX(ENVIOS!$F$4:$F$3003,MATCH($D452,ENVIOS!$A$4:$A$3003,0)),"—"))</f>
        <v/>
      </c>
      <c r="J452" s="23">
        <f>IF($D452="","",IFERROR(INDEX(ENVIOS!$G$4:$G$3003,MATCH($D452,ENVIOS!$A$4:$A$3003,0)),"—"))</f>
        <v/>
      </c>
      <c r="K452" s="28">
        <f>IF($D452="","",IFERROR(INDEX(ENVIOS!$H$4:$H$3003,MATCH($D452,ENVIOS!$A$4:$A$3003,0)),"—"))</f>
        <v/>
      </c>
      <c r="L452" s="49">
        <f>IF($D452="","",IFERROR(INDEX(ENVIOS!$C$4:$C$3003,MATCH($D452,ENVIOS!$A$4:$A$3003,0)),""))</f>
        <v/>
      </c>
      <c r="M452" s="50" t="n"/>
      <c r="N452" s="28">
        <f>IF($M452="","",IFERROR(INDEX(CONFIG!$C$4:$C$63,MATCH($M452,CONFIG!$A$4:$A$63,0)),"Media"))</f>
        <v/>
      </c>
      <c r="O452" s="28">
        <f>IF($M452="","",IF($C452="Interna","NO",IFERROR(INDEX(CONFIG!$E$4:$E$63,MATCH($M452,CONFIG!$A$4:$A$63,0)),"NO")))</f>
        <v/>
      </c>
      <c r="P452" s="50" t="n"/>
      <c r="Q452" s="50" t="n"/>
      <c r="R452" s="28">
        <f>IF($Q452="","",IFERROR(INDEX(CONFIG!$H$4:$H$63,MATCH($Q452,CONFIG!$G$4:$G$63,0)),"Por definir"))</f>
        <v/>
      </c>
      <c r="S452" s="28">
        <f>IF($Q452="","",IFERROR(INDEX(CONFIG!$I$4:$I$63,MATCH($Q452,CONFIG!$G$4:$G$63,0)),"Por definir"))</f>
        <v/>
      </c>
      <c r="T452" s="51" t="n"/>
      <c r="U452" s="52" t="n"/>
      <c r="V452" s="50" t="n"/>
      <c r="W452" s="50" t="n"/>
      <c r="X452" s="49">
        <f>IF(OR($B452="",$M452=""),"",WORKDAY($B452,IFERROR(INDEX(CONFIG!$D$4:$D$63,MATCH($M452,CONFIG!$A$4:$A$63,0)),3)))</f>
        <v/>
      </c>
      <c r="Y452" s="47" t="n"/>
      <c r="Z452" s="24">
        <f>IF($B452="","",IF($Y452&lt;&gt;"",$Y452-$B452,TODAY()-$B452))</f>
        <v/>
      </c>
      <c r="AA452" s="28">
        <f>IF($B452="","",IF(IFERROR(INDEX(CONFIG!$L$4:$L$63,MATCH($V452,CONFIG!$K$4:$K$63,0)),"NO")="SÍ",IF(OR($Y452="",$X452=""),"Resuelta",IF($Y452&gt;$X452,"Resuelta tarde","Resuelta a tiempo")),IF($X452="","Sin clasificar",IF(TODAY()&gt;$X452,"Vencida",IF(TODAY()&gt;=$X452-1,"Por vencer","En plazo")))))</f>
        <v/>
      </c>
      <c r="AB452" s="50" t="n"/>
      <c r="AC452" s="50" t="n"/>
    </row>
    <row r="453" ht="16" customHeight="1">
      <c r="A453" s="28">
        <f>IF($B453="","","N-"&amp;TEXT(ROW()-3,"0000"))</f>
        <v/>
      </c>
      <c r="B453" s="47" t="n"/>
      <c r="C453" s="48" t="n"/>
      <c r="D453" s="48" t="n"/>
      <c r="E453" s="28">
        <f>IF($C453="","",IF($D453="",IF($C453="Interna","Sin guía (interna)","FALTA GUÍA"),IF(COUNTIFS(ENVIOS!$A$4:$A$3003,$D453)=0,"NO EXISTE",IF(COUNTIFS(ENVIOS!$A$4:$A$3003,$D453)&gt;1,"DUPLICADA","OK"))))</f>
        <v/>
      </c>
      <c r="F453" s="28">
        <f>IF($D453="","",IFERROR(INDEX(ENVIOS!$B$4:$B$3003,MATCH($D453,ENVIOS!$A$4:$A$3003,0)),"—"))</f>
        <v/>
      </c>
      <c r="G453" s="23">
        <f>IF($D453="","",IFERROR(INDEX(ENVIOS!$D$4:$D$3003,MATCH($D453,ENVIOS!$A$4:$A$3003,0)),"—"))</f>
        <v/>
      </c>
      <c r="H453" s="23">
        <f>IF($D453="","",IFERROR(INDEX(ENVIOS!$E$4:$E$3003,MATCH($D453,ENVIOS!$A$4:$A$3003,0)),"—"))</f>
        <v/>
      </c>
      <c r="I453" s="23">
        <f>IF($D453="","",IFERROR(INDEX(ENVIOS!$F$4:$F$3003,MATCH($D453,ENVIOS!$A$4:$A$3003,0)),"—"))</f>
        <v/>
      </c>
      <c r="J453" s="23">
        <f>IF($D453="","",IFERROR(INDEX(ENVIOS!$G$4:$G$3003,MATCH($D453,ENVIOS!$A$4:$A$3003,0)),"—"))</f>
        <v/>
      </c>
      <c r="K453" s="28">
        <f>IF($D453="","",IFERROR(INDEX(ENVIOS!$H$4:$H$3003,MATCH($D453,ENVIOS!$A$4:$A$3003,0)),"—"))</f>
        <v/>
      </c>
      <c r="L453" s="49">
        <f>IF($D453="","",IFERROR(INDEX(ENVIOS!$C$4:$C$3003,MATCH($D453,ENVIOS!$A$4:$A$3003,0)),""))</f>
        <v/>
      </c>
      <c r="M453" s="50" t="n"/>
      <c r="N453" s="28">
        <f>IF($M453="","",IFERROR(INDEX(CONFIG!$C$4:$C$63,MATCH($M453,CONFIG!$A$4:$A$63,0)),"Media"))</f>
        <v/>
      </c>
      <c r="O453" s="28">
        <f>IF($M453="","",IF($C453="Interna","NO",IFERROR(INDEX(CONFIG!$E$4:$E$63,MATCH($M453,CONFIG!$A$4:$A$63,0)),"NO")))</f>
        <v/>
      </c>
      <c r="P453" s="50" t="n"/>
      <c r="Q453" s="50" t="n"/>
      <c r="R453" s="28">
        <f>IF($Q453="","",IFERROR(INDEX(CONFIG!$H$4:$H$63,MATCH($Q453,CONFIG!$G$4:$G$63,0)),"Por definir"))</f>
        <v/>
      </c>
      <c r="S453" s="28">
        <f>IF($Q453="","",IFERROR(INDEX(CONFIG!$I$4:$I$63,MATCH($Q453,CONFIG!$G$4:$G$63,0)),"Por definir"))</f>
        <v/>
      </c>
      <c r="T453" s="51" t="n"/>
      <c r="U453" s="52" t="n"/>
      <c r="V453" s="50" t="n"/>
      <c r="W453" s="50" t="n"/>
      <c r="X453" s="49">
        <f>IF(OR($B453="",$M453=""),"",WORKDAY($B453,IFERROR(INDEX(CONFIG!$D$4:$D$63,MATCH($M453,CONFIG!$A$4:$A$63,0)),3)))</f>
        <v/>
      </c>
      <c r="Y453" s="47" t="n"/>
      <c r="Z453" s="24">
        <f>IF($B453="","",IF($Y453&lt;&gt;"",$Y453-$B453,TODAY()-$B453))</f>
        <v/>
      </c>
      <c r="AA453" s="28">
        <f>IF($B453="","",IF(IFERROR(INDEX(CONFIG!$L$4:$L$63,MATCH($V453,CONFIG!$K$4:$K$63,0)),"NO")="SÍ",IF(OR($Y453="",$X453=""),"Resuelta",IF($Y453&gt;$X453,"Resuelta tarde","Resuelta a tiempo")),IF($X453="","Sin clasificar",IF(TODAY()&gt;$X453,"Vencida",IF(TODAY()&gt;=$X453-1,"Por vencer","En plazo")))))</f>
        <v/>
      </c>
      <c r="AB453" s="50" t="n"/>
      <c r="AC453" s="50" t="n"/>
    </row>
    <row r="454" ht="16" customHeight="1">
      <c r="A454" s="28">
        <f>IF($B454="","","N-"&amp;TEXT(ROW()-3,"0000"))</f>
        <v/>
      </c>
      <c r="B454" s="47" t="n"/>
      <c r="C454" s="48" t="n"/>
      <c r="D454" s="48" t="n"/>
      <c r="E454" s="28">
        <f>IF($C454="","",IF($D454="",IF($C454="Interna","Sin guía (interna)","FALTA GUÍA"),IF(COUNTIFS(ENVIOS!$A$4:$A$3003,$D454)=0,"NO EXISTE",IF(COUNTIFS(ENVIOS!$A$4:$A$3003,$D454)&gt;1,"DUPLICADA","OK"))))</f>
        <v/>
      </c>
      <c r="F454" s="28">
        <f>IF($D454="","",IFERROR(INDEX(ENVIOS!$B$4:$B$3003,MATCH($D454,ENVIOS!$A$4:$A$3003,0)),"—"))</f>
        <v/>
      </c>
      <c r="G454" s="23">
        <f>IF($D454="","",IFERROR(INDEX(ENVIOS!$D$4:$D$3003,MATCH($D454,ENVIOS!$A$4:$A$3003,0)),"—"))</f>
        <v/>
      </c>
      <c r="H454" s="23">
        <f>IF($D454="","",IFERROR(INDEX(ENVIOS!$E$4:$E$3003,MATCH($D454,ENVIOS!$A$4:$A$3003,0)),"—"))</f>
        <v/>
      </c>
      <c r="I454" s="23">
        <f>IF($D454="","",IFERROR(INDEX(ENVIOS!$F$4:$F$3003,MATCH($D454,ENVIOS!$A$4:$A$3003,0)),"—"))</f>
        <v/>
      </c>
      <c r="J454" s="23">
        <f>IF($D454="","",IFERROR(INDEX(ENVIOS!$G$4:$G$3003,MATCH($D454,ENVIOS!$A$4:$A$3003,0)),"—"))</f>
        <v/>
      </c>
      <c r="K454" s="28">
        <f>IF($D454="","",IFERROR(INDEX(ENVIOS!$H$4:$H$3003,MATCH($D454,ENVIOS!$A$4:$A$3003,0)),"—"))</f>
        <v/>
      </c>
      <c r="L454" s="49">
        <f>IF($D454="","",IFERROR(INDEX(ENVIOS!$C$4:$C$3003,MATCH($D454,ENVIOS!$A$4:$A$3003,0)),""))</f>
        <v/>
      </c>
      <c r="M454" s="50" t="n"/>
      <c r="N454" s="28">
        <f>IF($M454="","",IFERROR(INDEX(CONFIG!$C$4:$C$63,MATCH($M454,CONFIG!$A$4:$A$63,0)),"Media"))</f>
        <v/>
      </c>
      <c r="O454" s="28">
        <f>IF($M454="","",IF($C454="Interna","NO",IFERROR(INDEX(CONFIG!$E$4:$E$63,MATCH($M454,CONFIG!$A$4:$A$63,0)),"NO")))</f>
        <v/>
      </c>
      <c r="P454" s="50" t="n"/>
      <c r="Q454" s="50" t="n"/>
      <c r="R454" s="28">
        <f>IF($Q454="","",IFERROR(INDEX(CONFIG!$H$4:$H$63,MATCH($Q454,CONFIG!$G$4:$G$63,0)),"Por definir"))</f>
        <v/>
      </c>
      <c r="S454" s="28">
        <f>IF($Q454="","",IFERROR(INDEX(CONFIG!$I$4:$I$63,MATCH($Q454,CONFIG!$G$4:$G$63,0)),"Por definir"))</f>
        <v/>
      </c>
      <c r="T454" s="51" t="n"/>
      <c r="U454" s="52" t="n"/>
      <c r="V454" s="50" t="n"/>
      <c r="W454" s="50" t="n"/>
      <c r="X454" s="49">
        <f>IF(OR($B454="",$M454=""),"",WORKDAY($B454,IFERROR(INDEX(CONFIG!$D$4:$D$63,MATCH($M454,CONFIG!$A$4:$A$63,0)),3)))</f>
        <v/>
      </c>
      <c r="Y454" s="47" t="n"/>
      <c r="Z454" s="24">
        <f>IF($B454="","",IF($Y454&lt;&gt;"",$Y454-$B454,TODAY()-$B454))</f>
        <v/>
      </c>
      <c r="AA454" s="28">
        <f>IF($B454="","",IF(IFERROR(INDEX(CONFIG!$L$4:$L$63,MATCH($V454,CONFIG!$K$4:$K$63,0)),"NO")="SÍ",IF(OR($Y454="",$X454=""),"Resuelta",IF($Y454&gt;$X454,"Resuelta tarde","Resuelta a tiempo")),IF($X454="","Sin clasificar",IF(TODAY()&gt;$X454,"Vencida",IF(TODAY()&gt;=$X454-1,"Por vencer","En plazo")))))</f>
        <v/>
      </c>
      <c r="AB454" s="50" t="n"/>
      <c r="AC454" s="50" t="n"/>
    </row>
    <row r="455" ht="16" customHeight="1">
      <c r="A455" s="28">
        <f>IF($B455="","","N-"&amp;TEXT(ROW()-3,"0000"))</f>
        <v/>
      </c>
      <c r="B455" s="47" t="n"/>
      <c r="C455" s="48" t="n"/>
      <c r="D455" s="48" t="n"/>
      <c r="E455" s="28">
        <f>IF($C455="","",IF($D455="",IF($C455="Interna","Sin guía (interna)","FALTA GUÍA"),IF(COUNTIFS(ENVIOS!$A$4:$A$3003,$D455)=0,"NO EXISTE",IF(COUNTIFS(ENVIOS!$A$4:$A$3003,$D455)&gt;1,"DUPLICADA","OK"))))</f>
        <v/>
      </c>
      <c r="F455" s="28">
        <f>IF($D455="","",IFERROR(INDEX(ENVIOS!$B$4:$B$3003,MATCH($D455,ENVIOS!$A$4:$A$3003,0)),"—"))</f>
        <v/>
      </c>
      <c r="G455" s="23">
        <f>IF($D455="","",IFERROR(INDEX(ENVIOS!$D$4:$D$3003,MATCH($D455,ENVIOS!$A$4:$A$3003,0)),"—"))</f>
        <v/>
      </c>
      <c r="H455" s="23">
        <f>IF($D455="","",IFERROR(INDEX(ENVIOS!$E$4:$E$3003,MATCH($D455,ENVIOS!$A$4:$A$3003,0)),"—"))</f>
        <v/>
      </c>
      <c r="I455" s="23">
        <f>IF($D455="","",IFERROR(INDEX(ENVIOS!$F$4:$F$3003,MATCH($D455,ENVIOS!$A$4:$A$3003,0)),"—"))</f>
        <v/>
      </c>
      <c r="J455" s="23">
        <f>IF($D455="","",IFERROR(INDEX(ENVIOS!$G$4:$G$3003,MATCH($D455,ENVIOS!$A$4:$A$3003,0)),"—"))</f>
        <v/>
      </c>
      <c r="K455" s="28">
        <f>IF($D455="","",IFERROR(INDEX(ENVIOS!$H$4:$H$3003,MATCH($D455,ENVIOS!$A$4:$A$3003,0)),"—"))</f>
        <v/>
      </c>
      <c r="L455" s="49">
        <f>IF($D455="","",IFERROR(INDEX(ENVIOS!$C$4:$C$3003,MATCH($D455,ENVIOS!$A$4:$A$3003,0)),""))</f>
        <v/>
      </c>
      <c r="M455" s="50" t="n"/>
      <c r="N455" s="28">
        <f>IF($M455="","",IFERROR(INDEX(CONFIG!$C$4:$C$63,MATCH($M455,CONFIG!$A$4:$A$63,0)),"Media"))</f>
        <v/>
      </c>
      <c r="O455" s="28">
        <f>IF($M455="","",IF($C455="Interna","NO",IFERROR(INDEX(CONFIG!$E$4:$E$63,MATCH($M455,CONFIG!$A$4:$A$63,0)),"NO")))</f>
        <v/>
      </c>
      <c r="P455" s="50" t="n"/>
      <c r="Q455" s="50" t="n"/>
      <c r="R455" s="28">
        <f>IF($Q455="","",IFERROR(INDEX(CONFIG!$H$4:$H$63,MATCH($Q455,CONFIG!$G$4:$G$63,0)),"Por definir"))</f>
        <v/>
      </c>
      <c r="S455" s="28">
        <f>IF($Q455="","",IFERROR(INDEX(CONFIG!$I$4:$I$63,MATCH($Q455,CONFIG!$G$4:$G$63,0)),"Por definir"))</f>
        <v/>
      </c>
      <c r="T455" s="51" t="n"/>
      <c r="U455" s="52" t="n"/>
      <c r="V455" s="50" t="n"/>
      <c r="W455" s="50" t="n"/>
      <c r="X455" s="49">
        <f>IF(OR($B455="",$M455=""),"",WORKDAY($B455,IFERROR(INDEX(CONFIG!$D$4:$D$63,MATCH($M455,CONFIG!$A$4:$A$63,0)),3)))</f>
        <v/>
      </c>
      <c r="Y455" s="47" t="n"/>
      <c r="Z455" s="24">
        <f>IF($B455="","",IF($Y455&lt;&gt;"",$Y455-$B455,TODAY()-$B455))</f>
        <v/>
      </c>
      <c r="AA455" s="28">
        <f>IF($B455="","",IF(IFERROR(INDEX(CONFIG!$L$4:$L$63,MATCH($V455,CONFIG!$K$4:$K$63,0)),"NO")="SÍ",IF(OR($Y455="",$X455=""),"Resuelta",IF($Y455&gt;$X455,"Resuelta tarde","Resuelta a tiempo")),IF($X455="","Sin clasificar",IF(TODAY()&gt;$X455,"Vencida",IF(TODAY()&gt;=$X455-1,"Por vencer","En plazo")))))</f>
        <v/>
      </c>
      <c r="AB455" s="50" t="n"/>
      <c r="AC455" s="50" t="n"/>
    </row>
    <row r="456" ht="16" customHeight="1">
      <c r="A456" s="28">
        <f>IF($B456="","","N-"&amp;TEXT(ROW()-3,"0000"))</f>
        <v/>
      </c>
      <c r="B456" s="47" t="n"/>
      <c r="C456" s="48" t="n"/>
      <c r="D456" s="48" t="n"/>
      <c r="E456" s="28">
        <f>IF($C456="","",IF($D456="",IF($C456="Interna","Sin guía (interna)","FALTA GUÍA"),IF(COUNTIFS(ENVIOS!$A$4:$A$3003,$D456)=0,"NO EXISTE",IF(COUNTIFS(ENVIOS!$A$4:$A$3003,$D456)&gt;1,"DUPLICADA","OK"))))</f>
        <v/>
      </c>
      <c r="F456" s="28">
        <f>IF($D456="","",IFERROR(INDEX(ENVIOS!$B$4:$B$3003,MATCH($D456,ENVIOS!$A$4:$A$3003,0)),"—"))</f>
        <v/>
      </c>
      <c r="G456" s="23">
        <f>IF($D456="","",IFERROR(INDEX(ENVIOS!$D$4:$D$3003,MATCH($D456,ENVIOS!$A$4:$A$3003,0)),"—"))</f>
        <v/>
      </c>
      <c r="H456" s="23">
        <f>IF($D456="","",IFERROR(INDEX(ENVIOS!$E$4:$E$3003,MATCH($D456,ENVIOS!$A$4:$A$3003,0)),"—"))</f>
        <v/>
      </c>
      <c r="I456" s="23">
        <f>IF($D456="","",IFERROR(INDEX(ENVIOS!$F$4:$F$3003,MATCH($D456,ENVIOS!$A$4:$A$3003,0)),"—"))</f>
        <v/>
      </c>
      <c r="J456" s="23">
        <f>IF($D456="","",IFERROR(INDEX(ENVIOS!$G$4:$G$3003,MATCH($D456,ENVIOS!$A$4:$A$3003,0)),"—"))</f>
        <v/>
      </c>
      <c r="K456" s="28">
        <f>IF($D456="","",IFERROR(INDEX(ENVIOS!$H$4:$H$3003,MATCH($D456,ENVIOS!$A$4:$A$3003,0)),"—"))</f>
        <v/>
      </c>
      <c r="L456" s="49">
        <f>IF($D456="","",IFERROR(INDEX(ENVIOS!$C$4:$C$3003,MATCH($D456,ENVIOS!$A$4:$A$3003,0)),""))</f>
        <v/>
      </c>
      <c r="M456" s="50" t="n"/>
      <c r="N456" s="28">
        <f>IF($M456="","",IFERROR(INDEX(CONFIG!$C$4:$C$63,MATCH($M456,CONFIG!$A$4:$A$63,0)),"Media"))</f>
        <v/>
      </c>
      <c r="O456" s="28">
        <f>IF($M456="","",IF($C456="Interna","NO",IFERROR(INDEX(CONFIG!$E$4:$E$63,MATCH($M456,CONFIG!$A$4:$A$63,0)),"NO")))</f>
        <v/>
      </c>
      <c r="P456" s="50" t="n"/>
      <c r="Q456" s="50" t="n"/>
      <c r="R456" s="28">
        <f>IF($Q456="","",IFERROR(INDEX(CONFIG!$H$4:$H$63,MATCH($Q456,CONFIG!$G$4:$G$63,0)),"Por definir"))</f>
        <v/>
      </c>
      <c r="S456" s="28">
        <f>IF($Q456="","",IFERROR(INDEX(CONFIG!$I$4:$I$63,MATCH($Q456,CONFIG!$G$4:$G$63,0)),"Por definir"))</f>
        <v/>
      </c>
      <c r="T456" s="51" t="n"/>
      <c r="U456" s="52" t="n"/>
      <c r="V456" s="50" t="n"/>
      <c r="W456" s="50" t="n"/>
      <c r="X456" s="49">
        <f>IF(OR($B456="",$M456=""),"",WORKDAY($B456,IFERROR(INDEX(CONFIG!$D$4:$D$63,MATCH($M456,CONFIG!$A$4:$A$63,0)),3)))</f>
        <v/>
      </c>
      <c r="Y456" s="47" t="n"/>
      <c r="Z456" s="24">
        <f>IF($B456="","",IF($Y456&lt;&gt;"",$Y456-$B456,TODAY()-$B456))</f>
        <v/>
      </c>
      <c r="AA456" s="28">
        <f>IF($B456="","",IF(IFERROR(INDEX(CONFIG!$L$4:$L$63,MATCH($V456,CONFIG!$K$4:$K$63,0)),"NO")="SÍ",IF(OR($Y456="",$X456=""),"Resuelta",IF($Y456&gt;$X456,"Resuelta tarde","Resuelta a tiempo")),IF($X456="","Sin clasificar",IF(TODAY()&gt;$X456,"Vencida",IF(TODAY()&gt;=$X456-1,"Por vencer","En plazo")))))</f>
        <v/>
      </c>
      <c r="AB456" s="50" t="n"/>
      <c r="AC456" s="50" t="n"/>
    </row>
    <row r="457" ht="16" customHeight="1">
      <c r="A457" s="28">
        <f>IF($B457="","","N-"&amp;TEXT(ROW()-3,"0000"))</f>
        <v/>
      </c>
      <c r="B457" s="47" t="n"/>
      <c r="C457" s="48" t="n"/>
      <c r="D457" s="48" t="n"/>
      <c r="E457" s="28">
        <f>IF($C457="","",IF($D457="",IF($C457="Interna","Sin guía (interna)","FALTA GUÍA"),IF(COUNTIFS(ENVIOS!$A$4:$A$3003,$D457)=0,"NO EXISTE",IF(COUNTIFS(ENVIOS!$A$4:$A$3003,$D457)&gt;1,"DUPLICADA","OK"))))</f>
        <v/>
      </c>
      <c r="F457" s="28">
        <f>IF($D457="","",IFERROR(INDEX(ENVIOS!$B$4:$B$3003,MATCH($D457,ENVIOS!$A$4:$A$3003,0)),"—"))</f>
        <v/>
      </c>
      <c r="G457" s="23">
        <f>IF($D457="","",IFERROR(INDEX(ENVIOS!$D$4:$D$3003,MATCH($D457,ENVIOS!$A$4:$A$3003,0)),"—"))</f>
        <v/>
      </c>
      <c r="H457" s="23">
        <f>IF($D457="","",IFERROR(INDEX(ENVIOS!$E$4:$E$3003,MATCH($D457,ENVIOS!$A$4:$A$3003,0)),"—"))</f>
        <v/>
      </c>
      <c r="I457" s="23">
        <f>IF($D457="","",IFERROR(INDEX(ENVIOS!$F$4:$F$3003,MATCH($D457,ENVIOS!$A$4:$A$3003,0)),"—"))</f>
        <v/>
      </c>
      <c r="J457" s="23">
        <f>IF($D457="","",IFERROR(INDEX(ENVIOS!$G$4:$G$3003,MATCH($D457,ENVIOS!$A$4:$A$3003,0)),"—"))</f>
        <v/>
      </c>
      <c r="K457" s="28">
        <f>IF($D457="","",IFERROR(INDEX(ENVIOS!$H$4:$H$3003,MATCH($D457,ENVIOS!$A$4:$A$3003,0)),"—"))</f>
        <v/>
      </c>
      <c r="L457" s="49">
        <f>IF($D457="","",IFERROR(INDEX(ENVIOS!$C$4:$C$3003,MATCH($D457,ENVIOS!$A$4:$A$3003,0)),""))</f>
        <v/>
      </c>
      <c r="M457" s="50" t="n"/>
      <c r="N457" s="28">
        <f>IF($M457="","",IFERROR(INDEX(CONFIG!$C$4:$C$63,MATCH($M457,CONFIG!$A$4:$A$63,0)),"Media"))</f>
        <v/>
      </c>
      <c r="O457" s="28">
        <f>IF($M457="","",IF($C457="Interna","NO",IFERROR(INDEX(CONFIG!$E$4:$E$63,MATCH($M457,CONFIG!$A$4:$A$63,0)),"NO")))</f>
        <v/>
      </c>
      <c r="P457" s="50" t="n"/>
      <c r="Q457" s="50" t="n"/>
      <c r="R457" s="28">
        <f>IF($Q457="","",IFERROR(INDEX(CONFIG!$H$4:$H$63,MATCH($Q457,CONFIG!$G$4:$G$63,0)),"Por definir"))</f>
        <v/>
      </c>
      <c r="S457" s="28">
        <f>IF($Q457="","",IFERROR(INDEX(CONFIG!$I$4:$I$63,MATCH($Q457,CONFIG!$G$4:$G$63,0)),"Por definir"))</f>
        <v/>
      </c>
      <c r="T457" s="51" t="n"/>
      <c r="U457" s="52" t="n"/>
      <c r="V457" s="50" t="n"/>
      <c r="W457" s="50" t="n"/>
      <c r="X457" s="49">
        <f>IF(OR($B457="",$M457=""),"",WORKDAY($B457,IFERROR(INDEX(CONFIG!$D$4:$D$63,MATCH($M457,CONFIG!$A$4:$A$63,0)),3)))</f>
        <v/>
      </c>
      <c r="Y457" s="47" t="n"/>
      <c r="Z457" s="24">
        <f>IF($B457="","",IF($Y457&lt;&gt;"",$Y457-$B457,TODAY()-$B457))</f>
        <v/>
      </c>
      <c r="AA457" s="28">
        <f>IF($B457="","",IF(IFERROR(INDEX(CONFIG!$L$4:$L$63,MATCH($V457,CONFIG!$K$4:$K$63,0)),"NO")="SÍ",IF(OR($Y457="",$X457=""),"Resuelta",IF($Y457&gt;$X457,"Resuelta tarde","Resuelta a tiempo")),IF($X457="","Sin clasificar",IF(TODAY()&gt;$X457,"Vencida",IF(TODAY()&gt;=$X457-1,"Por vencer","En plazo")))))</f>
        <v/>
      </c>
      <c r="AB457" s="50" t="n"/>
      <c r="AC457" s="50" t="n"/>
    </row>
    <row r="458" ht="16" customHeight="1">
      <c r="A458" s="28">
        <f>IF($B458="","","N-"&amp;TEXT(ROW()-3,"0000"))</f>
        <v/>
      </c>
      <c r="B458" s="47" t="n"/>
      <c r="C458" s="48" t="n"/>
      <c r="D458" s="48" t="n"/>
      <c r="E458" s="28">
        <f>IF($C458="","",IF($D458="",IF($C458="Interna","Sin guía (interna)","FALTA GUÍA"),IF(COUNTIFS(ENVIOS!$A$4:$A$3003,$D458)=0,"NO EXISTE",IF(COUNTIFS(ENVIOS!$A$4:$A$3003,$D458)&gt;1,"DUPLICADA","OK"))))</f>
        <v/>
      </c>
      <c r="F458" s="28">
        <f>IF($D458="","",IFERROR(INDEX(ENVIOS!$B$4:$B$3003,MATCH($D458,ENVIOS!$A$4:$A$3003,0)),"—"))</f>
        <v/>
      </c>
      <c r="G458" s="23">
        <f>IF($D458="","",IFERROR(INDEX(ENVIOS!$D$4:$D$3003,MATCH($D458,ENVIOS!$A$4:$A$3003,0)),"—"))</f>
        <v/>
      </c>
      <c r="H458" s="23">
        <f>IF($D458="","",IFERROR(INDEX(ENVIOS!$E$4:$E$3003,MATCH($D458,ENVIOS!$A$4:$A$3003,0)),"—"))</f>
        <v/>
      </c>
      <c r="I458" s="23">
        <f>IF($D458="","",IFERROR(INDEX(ENVIOS!$F$4:$F$3003,MATCH($D458,ENVIOS!$A$4:$A$3003,0)),"—"))</f>
        <v/>
      </c>
      <c r="J458" s="23">
        <f>IF($D458="","",IFERROR(INDEX(ENVIOS!$G$4:$G$3003,MATCH($D458,ENVIOS!$A$4:$A$3003,0)),"—"))</f>
        <v/>
      </c>
      <c r="K458" s="28">
        <f>IF($D458="","",IFERROR(INDEX(ENVIOS!$H$4:$H$3003,MATCH($D458,ENVIOS!$A$4:$A$3003,0)),"—"))</f>
        <v/>
      </c>
      <c r="L458" s="49">
        <f>IF($D458="","",IFERROR(INDEX(ENVIOS!$C$4:$C$3003,MATCH($D458,ENVIOS!$A$4:$A$3003,0)),""))</f>
        <v/>
      </c>
      <c r="M458" s="50" t="n"/>
      <c r="N458" s="28">
        <f>IF($M458="","",IFERROR(INDEX(CONFIG!$C$4:$C$63,MATCH($M458,CONFIG!$A$4:$A$63,0)),"Media"))</f>
        <v/>
      </c>
      <c r="O458" s="28">
        <f>IF($M458="","",IF($C458="Interna","NO",IFERROR(INDEX(CONFIG!$E$4:$E$63,MATCH($M458,CONFIG!$A$4:$A$63,0)),"NO")))</f>
        <v/>
      </c>
      <c r="P458" s="50" t="n"/>
      <c r="Q458" s="50" t="n"/>
      <c r="R458" s="28">
        <f>IF($Q458="","",IFERROR(INDEX(CONFIG!$H$4:$H$63,MATCH($Q458,CONFIG!$G$4:$G$63,0)),"Por definir"))</f>
        <v/>
      </c>
      <c r="S458" s="28">
        <f>IF($Q458="","",IFERROR(INDEX(CONFIG!$I$4:$I$63,MATCH($Q458,CONFIG!$G$4:$G$63,0)),"Por definir"))</f>
        <v/>
      </c>
      <c r="T458" s="51" t="n"/>
      <c r="U458" s="52" t="n"/>
      <c r="V458" s="50" t="n"/>
      <c r="W458" s="50" t="n"/>
      <c r="X458" s="49">
        <f>IF(OR($B458="",$M458=""),"",WORKDAY($B458,IFERROR(INDEX(CONFIG!$D$4:$D$63,MATCH($M458,CONFIG!$A$4:$A$63,0)),3)))</f>
        <v/>
      </c>
      <c r="Y458" s="47" t="n"/>
      <c r="Z458" s="24">
        <f>IF($B458="","",IF($Y458&lt;&gt;"",$Y458-$B458,TODAY()-$B458))</f>
        <v/>
      </c>
      <c r="AA458" s="28">
        <f>IF($B458="","",IF(IFERROR(INDEX(CONFIG!$L$4:$L$63,MATCH($V458,CONFIG!$K$4:$K$63,0)),"NO")="SÍ",IF(OR($Y458="",$X458=""),"Resuelta",IF($Y458&gt;$X458,"Resuelta tarde","Resuelta a tiempo")),IF($X458="","Sin clasificar",IF(TODAY()&gt;$X458,"Vencida",IF(TODAY()&gt;=$X458-1,"Por vencer","En plazo")))))</f>
        <v/>
      </c>
      <c r="AB458" s="50" t="n"/>
      <c r="AC458" s="50" t="n"/>
    </row>
    <row r="459" ht="16" customHeight="1">
      <c r="A459" s="28">
        <f>IF($B459="","","N-"&amp;TEXT(ROW()-3,"0000"))</f>
        <v/>
      </c>
      <c r="B459" s="47" t="n"/>
      <c r="C459" s="48" t="n"/>
      <c r="D459" s="48" t="n"/>
      <c r="E459" s="28">
        <f>IF($C459="","",IF($D459="",IF($C459="Interna","Sin guía (interna)","FALTA GUÍA"),IF(COUNTIFS(ENVIOS!$A$4:$A$3003,$D459)=0,"NO EXISTE",IF(COUNTIFS(ENVIOS!$A$4:$A$3003,$D459)&gt;1,"DUPLICADA","OK"))))</f>
        <v/>
      </c>
      <c r="F459" s="28">
        <f>IF($D459="","",IFERROR(INDEX(ENVIOS!$B$4:$B$3003,MATCH($D459,ENVIOS!$A$4:$A$3003,0)),"—"))</f>
        <v/>
      </c>
      <c r="G459" s="23">
        <f>IF($D459="","",IFERROR(INDEX(ENVIOS!$D$4:$D$3003,MATCH($D459,ENVIOS!$A$4:$A$3003,0)),"—"))</f>
        <v/>
      </c>
      <c r="H459" s="23">
        <f>IF($D459="","",IFERROR(INDEX(ENVIOS!$E$4:$E$3003,MATCH($D459,ENVIOS!$A$4:$A$3003,0)),"—"))</f>
        <v/>
      </c>
      <c r="I459" s="23">
        <f>IF($D459="","",IFERROR(INDEX(ENVIOS!$F$4:$F$3003,MATCH($D459,ENVIOS!$A$4:$A$3003,0)),"—"))</f>
        <v/>
      </c>
      <c r="J459" s="23">
        <f>IF($D459="","",IFERROR(INDEX(ENVIOS!$G$4:$G$3003,MATCH($D459,ENVIOS!$A$4:$A$3003,0)),"—"))</f>
        <v/>
      </c>
      <c r="K459" s="28">
        <f>IF($D459="","",IFERROR(INDEX(ENVIOS!$H$4:$H$3003,MATCH($D459,ENVIOS!$A$4:$A$3003,0)),"—"))</f>
        <v/>
      </c>
      <c r="L459" s="49">
        <f>IF($D459="","",IFERROR(INDEX(ENVIOS!$C$4:$C$3003,MATCH($D459,ENVIOS!$A$4:$A$3003,0)),""))</f>
        <v/>
      </c>
      <c r="M459" s="50" t="n"/>
      <c r="N459" s="28">
        <f>IF($M459="","",IFERROR(INDEX(CONFIG!$C$4:$C$63,MATCH($M459,CONFIG!$A$4:$A$63,0)),"Media"))</f>
        <v/>
      </c>
      <c r="O459" s="28">
        <f>IF($M459="","",IF($C459="Interna","NO",IFERROR(INDEX(CONFIG!$E$4:$E$63,MATCH($M459,CONFIG!$A$4:$A$63,0)),"NO")))</f>
        <v/>
      </c>
      <c r="P459" s="50" t="n"/>
      <c r="Q459" s="50" t="n"/>
      <c r="R459" s="28">
        <f>IF($Q459="","",IFERROR(INDEX(CONFIG!$H$4:$H$63,MATCH($Q459,CONFIG!$G$4:$G$63,0)),"Por definir"))</f>
        <v/>
      </c>
      <c r="S459" s="28">
        <f>IF($Q459="","",IFERROR(INDEX(CONFIG!$I$4:$I$63,MATCH($Q459,CONFIG!$G$4:$G$63,0)),"Por definir"))</f>
        <v/>
      </c>
      <c r="T459" s="51" t="n"/>
      <c r="U459" s="52" t="n"/>
      <c r="V459" s="50" t="n"/>
      <c r="W459" s="50" t="n"/>
      <c r="X459" s="49">
        <f>IF(OR($B459="",$M459=""),"",WORKDAY($B459,IFERROR(INDEX(CONFIG!$D$4:$D$63,MATCH($M459,CONFIG!$A$4:$A$63,0)),3)))</f>
        <v/>
      </c>
      <c r="Y459" s="47" t="n"/>
      <c r="Z459" s="24">
        <f>IF($B459="","",IF($Y459&lt;&gt;"",$Y459-$B459,TODAY()-$B459))</f>
        <v/>
      </c>
      <c r="AA459" s="28">
        <f>IF($B459="","",IF(IFERROR(INDEX(CONFIG!$L$4:$L$63,MATCH($V459,CONFIG!$K$4:$K$63,0)),"NO")="SÍ",IF(OR($Y459="",$X459=""),"Resuelta",IF($Y459&gt;$X459,"Resuelta tarde","Resuelta a tiempo")),IF($X459="","Sin clasificar",IF(TODAY()&gt;$X459,"Vencida",IF(TODAY()&gt;=$X459-1,"Por vencer","En plazo")))))</f>
        <v/>
      </c>
      <c r="AB459" s="50" t="n"/>
      <c r="AC459" s="50" t="n"/>
    </row>
    <row r="460" ht="16" customHeight="1">
      <c r="A460" s="28">
        <f>IF($B460="","","N-"&amp;TEXT(ROW()-3,"0000"))</f>
        <v/>
      </c>
      <c r="B460" s="47" t="n"/>
      <c r="C460" s="48" t="n"/>
      <c r="D460" s="48" t="n"/>
      <c r="E460" s="28">
        <f>IF($C460="","",IF($D460="",IF($C460="Interna","Sin guía (interna)","FALTA GUÍA"),IF(COUNTIFS(ENVIOS!$A$4:$A$3003,$D460)=0,"NO EXISTE",IF(COUNTIFS(ENVIOS!$A$4:$A$3003,$D460)&gt;1,"DUPLICADA","OK"))))</f>
        <v/>
      </c>
      <c r="F460" s="28">
        <f>IF($D460="","",IFERROR(INDEX(ENVIOS!$B$4:$B$3003,MATCH($D460,ENVIOS!$A$4:$A$3003,0)),"—"))</f>
        <v/>
      </c>
      <c r="G460" s="23">
        <f>IF($D460="","",IFERROR(INDEX(ENVIOS!$D$4:$D$3003,MATCH($D460,ENVIOS!$A$4:$A$3003,0)),"—"))</f>
        <v/>
      </c>
      <c r="H460" s="23">
        <f>IF($D460="","",IFERROR(INDEX(ENVIOS!$E$4:$E$3003,MATCH($D460,ENVIOS!$A$4:$A$3003,0)),"—"))</f>
        <v/>
      </c>
      <c r="I460" s="23">
        <f>IF($D460="","",IFERROR(INDEX(ENVIOS!$F$4:$F$3003,MATCH($D460,ENVIOS!$A$4:$A$3003,0)),"—"))</f>
        <v/>
      </c>
      <c r="J460" s="23">
        <f>IF($D460="","",IFERROR(INDEX(ENVIOS!$G$4:$G$3003,MATCH($D460,ENVIOS!$A$4:$A$3003,0)),"—"))</f>
        <v/>
      </c>
      <c r="K460" s="28">
        <f>IF($D460="","",IFERROR(INDEX(ENVIOS!$H$4:$H$3003,MATCH($D460,ENVIOS!$A$4:$A$3003,0)),"—"))</f>
        <v/>
      </c>
      <c r="L460" s="49">
        <f>IF($D460="","",IFERROR(INDEX(ENVIOS!$C$4:$C$3003,MATCH($D460,ENVIOS!$A$4:$A$3003,0)),""))</f>
        <v/>
      </c>
      <c r="M460" s="50" t="n"/>
      <c r="N460" s="28">
        <f>IF($M460="","",IFERROR(INDEX(CONFIG!$C$4:$C$63,MATCH($M460,CONFIG!$A$4:$A$63,0)),"Media"))</f>
        <v/>
      </c>
      <c r="O460" s="28">
        <f>IF($M460="","",IF($C460="Interna","NO",IFERROR(INDEX(CONFIG!$E$4:$E$63,MATCH($M460,CONFIG!$A$4:$A$63,0)),"NO")))</f>
        <v/>
      </c>
      <c r="P460" s="50" t="n"/>
      <c r="Q460" s="50" t="n"/>
      <c r="R460" s="28">
        <f>IF($Q460="","",IFERROR(INDEX(CONFIG!$H$4:$H$63,MATCH($Q460,CONFIG!$G$4:$G$63,0)),"Por definir"))</f>
        <v/>
      </c>
      <c r="S460" s="28">
        <f>IF($Q460="","",IFERROR(INDEX(CONFIG!$I$4:$I$63,MATCH($Q460,CONFIG!$G$4:$G$63,0)),"Por definir"))</f>
        <v/>
      </c>
      <c r="T460" s="51" t="n"/>
      <c r="U460" s="52" t="n"/>
      <c r="V460" s="50" t="n"/>
      <c r="W460" s="50" t="n"/>
      <c r="X460" s="49">
        <f>IF(OR($B460="",$M460=""),"",WORKDAY($B460,IFERROR(INDEX(CONFIG!$D$4:$D$63,MATCH($M460,CONFIG!$A$4:$A$63,0)),3)))</f>
        <v/>
      </c>
      <c r="Y460" s="47" t="n"/>
      <c r="Z460" s="24">
        <f>IF($B460="","",IF($Y460&lt;&gt;"",$Y460-$B460,TODAY()-$B460))</f>
        <v/>
      </c>
      <c r="AA460" s="28">
        <f>IF($B460="","",IF(IFERROR(INDEX(CONFIG!$L$4:$L$63,MATCH($V460,CONFIG!$K$4:$K$63,0)),"NO")="SÍ",IF(OR($Y460="",$X460=""),"Resuelta",IF($Y460&gt;$X460,"Resuelta tarde","Resuelta a tiempo")),IF($X460="","Sin clasificar",IF(TODAY()&gt;$X460,"Vencida",IF(TODAY()&gt;=$X460-1,"Por vencer","En plazo")))))</f>
        <v/>
      </c>
      <c r="AB460" s="50" t="n"/>
      <c r="AC460" s="50" t="n"/>
    </row>
    <row r="461" ht="16" customHeight="1">
      <c r="A461" s="28">
        <f>IF($B461="","","N-"&amp;TEXT(ROW()-3,"0000"))</f>
        <v/>
      </c>
      <c r="B461" s="47" t="n"/>
      <c r="C461" s="48" t="n"/>
      <c r="D461" s="48" t="n"/>
      <c r="E461" s="28">
        <f>IF($C461="","",IF($D461="",IF($C461="Interna","Sin guía (interna)","FALTA GUÍA"),IF(COUNTIFS(ENVIOS!$A$4:$A$3003,$D461)=0,"NO EXISTE",IF(COUNTIFS(ENVIOS!$A$4:$A$3003,$D461)&gt;1,"DUPLICADA","OK"))))</f>
        <v/>
      </c>
      <c r="F461" s="28">
        <f>IF($D461="","",IFERROR(INDEX(ENVIOS!$B$4:$B$3003,MATCH($D461,ENVIOS!$A$4:$A$3003,0)),"—"))</f>
        <v/>
      </c>
      <c r="G461" s="23">
        <f>IF($D461="","",IFERROR(INDEX(ENVIOS!$D$4:$D$3003,MATCH($D461,ENVIOS!$A$4:$A$3003,0)),"—"))</f>
        <v/>
      </c>
      <c r="H461" s="23">
        <f>IF($D461="","",IFERROR(INDEX(ENVIOS!$E$4:$E$3003,MATCH($D461,ENVIOS!$A$4:$A$3003,0)),"—"))</f>
        <v/>
      </c>
      <c r="I461" s="23">
        <f>IF($D461="","",IFERROR(INDEX(ENVIOS!$F$4:$F$3003,MATCH($D461,ENVIOS!$A$4:$A$3003,0)),"—"))</f>
        <v/>
      </c>
      <c r="J461" s="23">
        <f>IF($D461="","",IFERROR(INDEX(ENVIOS!$G$4:$G$3003,MATCH($D461,ENVIOS!$A$4:$A$3003,0)),"—"))</f>
        <v/>
      </c>
      <c r="K461" s="28">
        <f>IF($D461="","",IFERROR(INDEX(ENVIOS!$H$4:$H$3003,MATCH($D461,ENVIOS!$A$4:$A$3003,0)),"—"))</f>
        <v/>
      </c>
      <c r="L461" s="49">
        <f>IF($D461="","",IFERROR(INDEX(ENVIOS!$C$4:$C$3003,MATCH($D461,ENVIOS!$A$4:$A$3003,0)),""))</f>
        <v/>
      </c>
      <c r="M461" s="50" t="n"/>
      <c r="N461" s="28">
        <f>IF($M461="","",IFERROR(INDEX(CONFIG!$C$4:$C$63,MATCH($M461,CONFIG!$A$4:$A$63,0)),"Media"))</f>
        <v/>
      </c>
      <c r="O461" s="28">
        <f>IF($M461="","",IF($C461="Interna","NO",IFERROR(INDEX(CONFIG!$E$4:$E$63,MATCH($M461,CONFIG!$A$4:$A$63,0)),"NO")))</f>
        <v/>
      </c>
      <c r="P461" s="50" t="n"/>
      <c r="Q461" s="50" t="n"/>
      <c r="R461" s="28">
        <f>IF($Q461="","",IFERROR(INDEX(CONFIG!$H$4:$H$63,MATCH($Q461,CONFIG!$G$4:$G$63,0)),"Por definir"))</f>
        <v/>
      </c>
      <c r="S461" s="28">
        <f>IF($Q461="","",IFERROR(INDEX(CONFIG!$I$4:$I$63,MATCH($Q461,CONFIG!$G$4:$G$63,0)),"Por definir"))</f>
        <v/>
      </c>
      <c r="T461" s="51" t="n"/>
      <c r="U461" s="52" t="n"/>
      <c r="V461" s="50" t="n"/>
      <c r="W461" s="50" t="n"/>
      <c r="X461" s="49">
        <f>IF(OR($B461="",$M461=""),"",WORKDAY($B461,IFERROR(INDEX(CONFIG!$D$4:$D$63,MATCH($M461,CONFIG!$A$4:$A$63,0)),3)))</f>
        <v/>
      </c>
      <c r="Y461" s="47" t="n"/>
      <c r="Z461" s="24">
        <f>IF($B461="","",IF($Y461&lt;&gt;"",$Y461-$B461,TODAY()-$B461))</f>
        <v/>
      </c>
      <c r="AA461" s="28">
        <f>IF($B461="","",IF(IFERROR(INDEX(CONFIG!$L$4:$L$63,MATCH($V461,CONFIG!$K$4:$K$63,0)),"NO")="SÍ",IF(OR($Y461="",$X461=""),"Resuelta",IF($Y461&gt;$X461,"Resuelta tarde","Resuelta a tiempo")),IF($X461="","Sin clasificar",IF(TODAY()&gt;$X461,"Vencida",IF(TODAY()&gt;=$X461-1,"Por vencer","En plazo")))))</f>
        <v/>
      </c>
      <c r="AB461" s="50" t="n"/>
      <c r="AC461" s="50" t="n"/>
    </row>
    <row r="462" ht="16" customHeight="1">
      <c r="A462" s="28">
        <f>IF($B462="","","N-"&amp;TEXT(ROW()-3,"0000"))</f>
        <v/>
      </c>
      <c r="B462" s="47" t="n"/>
      <c r="C462" s="48" t="n"/>
      <c r="D462" s="48" t="n"/>
      <c r="E462" s="28">
        <f>IF($C462="","",IF($D462="",IF($C462="Interna","Sin guía (interna)","FALTA GUÍA"),IF(COUNTIFS(ENVIOS!$A$4:$A$3003,$D462)=0,"NO EXISTE",IF(COUNTIFS(ENVIOS!$A$4:$A$3003,$D462)&gt;1,"DUPLICADA","OK"))))</f>
        <v/>
      </c>
      <c r="F462" s="28">
        <f>IF($D462="","",IFERROR(INDEX(ENVIOS!$B$4:$B$3003,MATCH($D462,ENVIOS!$A$4:$A$3003,0)),"—"))</f>
        <v/>
      </c>
      <c r="G462" s="23">
        <f>IF($D462="","",IFERROR(INDEX(ENVIOS!$D$4:$D$3003,MATCH($D462,ENVIOS!$A$4:$A$3003,0)),"—"))</f>
        <v/>
      </c>
      <c r="H462" s="23">
        <f>IF($D462="","",IFERROR(INDEX(ENVIOS!$E$4:$E$3003,MATCH($D462,ENVIOS!$A$4:$A$3003,0)),"—"))</f>
        <v/>
      </c>
      <c r="I462" s="23">
        <f>IF($D462="","",IFERROR(INDEX(ENVIOS!$F$4:$F$3003,MATCH($D462,ENVIOS!$A$4:$A$3003,0)),"—"))</f>
        <v/>
      </c>
      <c r="J462" s="23">
        <f>IF($D462="","",IFERROR(INDEX(ENVIOS!$G$4:$G$3003,MATCH($D462,ENVIOS!$A$4:$A$3003,0)),"—"))</f>
        <v/>
      </c>
      <c r="K462" s="28">
        <f>IF($D462="","",IFERROR(INDEX(ENVIOS!$H$4:$H$3003,MATCH($D462,ENVIOS!$A$4:$A$3003,0)),"—"))</f>
        <v/>
      </c>
      <c r="L462" s="49">
        <f>IF($D462="","",IFERROR(INDEX(ENVIOS!$C$4:$C$3003,MATCH($D462,ENVIOS!$A$4:$A$3003,0)),""))</f>
        <v/>
      </c>
      <c r="M462" s="50" t="n"/>
      <c r="N462" s="28">
        <f>IF($M462="","",IFERROR(INDEX(CONFIG!$C$4:$C$63,MATCH($M462,CONFIG!$A$4:$A$63,0)),"Media"))</f>
        <v/>
      </c>
      <c r="O462" s="28">
        <f>IF($M462="","",IF($C462="Interna","NO",IFERROR(INDEX(CONFIG!$E$4:$E$63,MATCH($M462,CONFIG!$A$4:$A$63,0)),"NO")))</f>
        <v/>
      </c>
      <c r="P462" s="50" t="n"/>
      <c r="Q462" s="50" t="n"/>
      <c r="R462" s="28">
        <f>IF($Q462="","",IFERROR(INDEX(CONFIG!$H$4:$H$63,MATCH($Q462,CONFIG!$G$4:$G$63,0)),"Por definir"))</f>
        <v/>
      </c>
      <c r="S462" s="28">
        <f>IF($Q462="","",IFERROR(INDEX(CONFIG!$I$4:$I$63,MATCH($Q462,CONFIG!$G$4:$G$63,0)),"Por definir"))</f>
        <v/>
      </c>
      <c r="T462" s="51" t="n"/>
      <c r="U462" s="52" t="n"/>
      <c r="V462" s="50" t="n"/>
      <c r="W462" s="50" t="n"/>
      <c r="X462" s="49">
        <f>IF(OR($B462="",$M462=""),"",WORKDAY($B462,IFERROR(INDEX(CONFIG!$D$4:$D$63,MATCH($M462,CONFIG!$A$4:$A$63,0)),3)))</f>
        <v/>
      </c>
      <c r="Y462" s="47" t="n"/>
      <c r="Z462" s="24">
        <f>IF($B462="","",IF($Y462&lt;&gt;"",$Y462-$B462,TODAY()-$B462))</f>
        <v/>
      </c>
      <c r="AA462" s="28">
        <f>IF($B462="","",IF(IFERROR(INDEX(CONFIG!$L$4:$L$63,MATCH($V462,CONFIG!$K$4:$K$63,0)),"NO")="SÍ",IF(OR($Y462="",$X462=""),"Resuelta",IF($Y462&gt;$X462,"Resuelta tarde","Resuelta a tiempo")),IF($X462="","Sin clasificar",IF(TODAY()&gt;$X462,"Vencida",IF(TODAY()&gt;=$X462-1,"Por vencer","En plazo")))))</f>
        <v/>
      </c>
      <c r="AB462" s="50" t="n"/>
      <c r="AC462" s="50" t="n"/>
    </row>
    <row r="463" ht="16" customHeight="1">
      <c r="A463" s="28">
        <f>IF($B463="","","N-"&amp;TEXT(ROW()-3,"0000"))</f>
        <v/>
      </c>
      <c r="B463" s="47" t="n"/>
      <c r="C463" s="48" t="n"/>
      <c r="D463" s="48" t="n"/>
      <c r="E463" s="28">
        <f>IF($C463="","",IF($D463="",IF($C463="Interna","Sin guía (interna)","FALTA GUÍA"),IF(COUNTIFS(ENVIOS!$A$4:$A$3003,$D463)=0,"NO EXISTE",IF(COUNTIFS(ENVIOS!$A$4:$A$3003,$D463)&gt;1,"DUPLICADA","OK"))))</f>
        <v/>
      </c>
      <c r="F463" s="28">
        <f>IF($D463="","",IFERROR(INDEX(ENVIOS!$B$4:$B$3003,MATCH($D463,ENVIOS!$A$4:$A$3003,0)),"—"))</f>
        <v/>
      </c>
      <c r="G463" s="23">
        <f>IF($D463="","",IFERROR(INDEX(ENVIOS!$D$4:$D$3003,MATCH($D463,ENVIOS!$A$4:$A$3003,0)),"—"))</f>
        <v/>
      </c>
      <c r="H463" s="23">
        <f>IF($D463="","",IFERROR(INDEX(ENVIOS!$E$4:$E$3003,MATCH($D463,ENVIOS!$A$4:$A$3003,0)),"—"))</f>
        <v/>
      </c>
      <c r="I463" s="23">
        <f>IF($D463="","",IFERROR(INDEX(ENVIOS!$F$4:$F$3003,MATCH($D463,ENVIOS!$A$4:$A$3003,0)),"—"))</f>
        <v/>
      </c>
      <c r="J463" s="23">
        <f>IF($D463="","",IFERROR(INDEX(ENVIOS!$G$4:$G$3003,MATCH($D463,ENVIOS!$A$4:$A$3003,0)),"—"))</f>
        <v/>
      </c>
      <c r="K463" s="28">
        <f>IF($D463="","",IFERROR(INDEX(ENVIOS!$H$4:$H$3003,MATCH($D463,ENVIOS!$A$4:$A$3003,0)),"—"))</f>
        <v/>
      </c>
      <c r="L463" s="49">
        <f>IF($D463="","",IFERROR(INDEX(ENVIOS!$C$4:$C$3003,MATCH($D463,ENVIOS!$A$4:$A$3003,0)),""))</f>
        <v/>
      </c>
      <c r="M463" s="50" t="n"/>
      <c r="N463" s="28">
        <f>IF($M463="","",IFERROR(INDEX(CONFIG!$C$4:$C$63,MATCH($M463,CONFIG!$A$4:$A$63,0)),"Media"))</f>
        <v/>
      </c>
      <c r="O463" s="28">
        <f>IF($M463="","",IF($C463="Interna","NO",IFERROR(INDEX(CONFIG!$E$4:$E$63,MATCH($M463,CONFIG!$A$4:$A$63,0)),"NO")))</f>
        <v/>
      </c>
      <c r="P463" s="50" t="n"/>
      <c r="Q463" s="50" t="n"/>
      <c r="R463" s="28">
        <f>IF($Q463="","",IFERROR(INDEX(CONFIG!$H$4:$H$63,MATCH($Q463,CONFIG!$G$4:$G$63,0)),"Por definir"))</f>
        <v/>
      </c>
      <c r="S463" s="28">
        <f>IF($Q463="","",IFERROR(INDEX(CONFIG!$I$4:$I$63,MATCH($Q463,CONFIG!$G$4:$G$63,0)),"Por definir"))</f>
        <v/>
      </c>
      <c r="T463" s="51" t="n"/>
      <c r="U463" s="52" t="n"/>
      <c r="V463" s="50" t="n"/>
      <c r="W463" s="50" t="n"/>
      <c r="X463" s="49">
        <f>IF(OR($B463="",$M463=""),"",WORKDAY($B463,IFERROR(INDEX(CONFIG!$D$4:$D$63,MATCH($M463,CONFIG!$A$4:$A$63,0)),3)))</f>
        <v/>
      </c>
      <c r="Y463" s="47" t="n"/>
      <c r="Z463" s="24">
        <f>IF($B463="","",IF($Y463&lt;&gt;"",$Y463-$B463,TODAY()-$B463))</f>
        <v/>
      </c>
      <c r="AA463" s="28">
        <f>IF($B463="","",IF(IFERROR(INDEX(CONFIG!$L$4:$L$63,MATCH($V463,CONFIG!$K$4:$K$63,0)),"NO")="SÍ",IF(OR($Y463="",$X463=""),"Resuelta",IF($Y463&gt;$X463,"Resuelta tarde","Resuelta a tiempo")),IF($X463="","Sin clasificar",IF(TODAY()&gt;$X463,"Vencida",IF(TODAY()&gt;=$X463-1,"Por vencer","En plazo")))))</f>
        <v/>
      </c>
      <c r="AB463" s="50" t="n"/>
      <c r="AC463" s="50" t="n"/>
    </row>
    <row r="464" ht="16" customHeight="1">
      <c r="A464" s="28">
        <f>IF($B464="","","N-"&amp;TEXT(ROW()-3,"0000"))</f>
        <v/>
      </c>
      <c r="B464" s="47" t="n"/>
      <c r="C464" s="48" t="n"/>
      <c r="D464" s="48" t="n"/>
      <c r="E464" s="28">
        <f>IF($C464="","",IF($D464="",IF($C464="Interna","Sin guía (interna)","FALTA GUÍA"),IF(COUNTIFS(ENVIOS!$A$4:$A$3003,$D464)=0,"NO EXISTE",IF(COUNTIFS(ENVIOS!$A$4:$A$3003,$D464)&gt;1,"DUPLICADA","OK"))))</f>
        <v/>
      </c>
      <c r="F464" s="28">
        <f>IF($D464="","",IFERROR(INDEX(ENVIOS!$B$4:$B$3003,MATCH($D464,ENVIOS!$A$4:$A$3003,0)),"—"))</f>
        <v/>
      </c>
      <c r="G464" s="23">
        <f>IF($D464="","",IFERROR(INDEX(ENVIOS!$D$4:$D$3003,MATCH($D464,ENVIOS!$A$4:$A$3003,0)),"—"))</f>
        <v/>
      </c>
      <c r="H464" s="23">
        <f>IF($D464="","",IFERROR(INDEX(ENVIOS!$E$4:$E$3003,MATCH($D464,ENVIOS!$A$4:$A$3003,0)),"—"))</f>
        <v/>
      </c>
      <c r="I464" s="23">
        <f>IF($D464="","",IFERROR(INDEX(ENVIOS!$F$4:$F$3003,MATCH($D464,ENVIOS!$A$4:$A$3003,0)),"—"))</f>
        <v/>
      </c>
      <c r="J464" s="23">
        <f>IF($D464="","",IFERROR(INDEX(ENVIOS!$G$4:$G$3003,MATCH($D464,ENVIOS!$A$4:$A$3003,0)),"—"))</f>
        <v/>
      </c>
      <c r="K464" s="28">
        <f>IF($D464="","",IFERROR(INDEX(ENVIOS!$H$4:$H$3003,MATCH($D464,ENVIOS!$A$4:$A$3003,0)),"—"))</f>
        <v/>
      </c>
      <c r="L464" s="49">
        <f>IF($D464="","",IFERROR(INDEX(ENVIOS!$C$4:$C$3003,MATCH($D464,ENVIOS!$A$4:$A$3003,0)),""))</f>
        <v/>
      </c>
      <c r="M464" s="50" t="n"/>
      <c r="N464" s="28">
        <f>IF($M464="","",IFERROR(INDEX(CONFIG!$C$4:$C$63,MATCH($M464,CONFIG!$A$4:$A$63,0)),"Media"))</f>
        <v/>
      </c>
      <c r="O464" s="28">
        <f>IF($M464="","",IF($C464="Interna","NO",IFERROR(INDEX(CONFIG!$E$4:$E$63,MATCH($M464,CONFIG!$A$4:$A$63,0)),"NO")))</f>
        <v/>
      </c>
      <c r="P464" s="50" t="n"/>
      <c r="Q464" s="50" t="n"/>
      <c r="R464" s="28">
        <f>IF($Q464="","",IFERROR(INDEX(CONFIG!$H$4:$H$63,MATCH($Q464,CONFIG!$G$4:$G$63,0)),"Por definir"))</f>
        <v/>
      </c>
      <c r="S464" s="28">
        <f>IF($Q464="","",IFERROR(INDEX(CONFIG!$I$4:$I$63,MATCH($Q464,CONFIG!$G$4:$G$63,0)),"Por definir"))</f>
        <v/>
      </c>
      <c r="T464" s="51" t="n"/>
      <c r="U464" s="52" t="n"/>
      <c r="V464" s="50" t="n"/>
      <c r="W464" s="50" t="n"/>
      <c r="X464" s="49">
        <f>IF(OR($B464="",$M464=""),"",WORKDAY($B464,IFERROR(INDEX(CONFIG!$D$4:$D$63,MATCH($M464,CONFIG!$A$4:$A$63,0)),3)))</f>
        <v/>
      </c>
      <c r="Y464" s="47" t="n"/>
      <c r="Z464" s="24">
        <f>IF($B464="","",IF($Y464&lt;&gt;"",$Y464-$B464,TODAY()-$B464))</f>
        <v/>
      </c>
      <c r="AA464" s="28">
        <f>IF($B464="","",IF(IFERROR(INDEX(CONFIG!$L$4:$L$63,MATCH($V464,CONFIG!$K$4:$K$63,0)),"NO")="SÍ",IF(OR($Y464="",$X464=""),"Resuelta",IF($Y464&gt;$X464,"Resuelta tarde","Resuelta a tiempo")),IF($X464="","Sin clasificar",IF(TODAY()&gt;$X464,"Vencida",IF(TODAY()&gt;=$X464-1,"Por vencer","En plazo")))))</f>
        <v/>
      </c>
      <c r="AB464" s="50" t="n"/>
      <c r="AC464" s="50" t="n"/>
    </row>
    <row r="465" ht="16" customHeight="1">
      <c r="A465" s="28">
        <f>IF($B465="","","N-"&amp;TEXT(ROW()-3,"0000"))</f>
        <v/>
      </c>
      <c r="B465" s="47" t="n"/>
      <c r="C465" s="48" t="n"/>
      <c r="D465" s="48" t="n"/>
      <c r="E465" s="28">
        <f>IF($C465="","",IF($D465="",IF($C465="Interna","Sin guía (interna)","FALTA GUÍA"),IF(COUNTIFS(ENVIOS!$A$4:$A$3003,$D465)=0,"NO EXISTE",IF(COUNTIFS(ENVIOS!$A$4:$A$3003,$D465)&gt;1,"DUPLICADA","OK"))))</f>
        <v/>
      </c>
      <c r="F465" s="28">
        <f>IF($D465="","",IFERROR(INDEX(ENVIOS!$B$4:$B$3003,MATCH($D465,ENVIOS!$A$4:$A$3003,0)),"—"))</f>
        <v/>
      </c>
      <c r="G465" s="23">
        <f>IF($D465="","",IFERROR(INDEX(ENVIOS!$D$4:$D$3003,MATCH($D465,ENVIOS!$A$4:$A$3003,0)),"—"))</f>
        <v/>
      </c>
      <c r="H465" s="23">
        <f>IF($D465="","",IFERROR(INDEX(ENVIOS!$E$4:$E$3003,MATCH($D465,ENVIOS!$A$4:$A$3003,0)),"—"))</f>
        <v/>
      </c>
      <c r="I465" s="23">
        <f>IF($D465="","",IFERROR(INDEX(ENVIOS!$F$4:$F$3003,MATCH($D465,ENVIOS!$A$4:$A$3003,0)),"—"))</f>
        <v/>
      </c>
      <c r="J465" s="23">
        <f>IF($D465="","",IFERROR(INDEX(ENVIOS!$G$4:$G$3003,MATCH($D465,ENVIOS!$A$4:$A$3003,0)),"—"))</f>
        <v/>
      </c>
      <c r="K465" s="28">
        <f>IF($D465="","",IFERROR(INDEX(ENVIOS!$H$4:$H$3003,MATCH($D465,ENVIOS!$A$4:$A$3003,0)),"—"))</f>
        <v/>
      </c>
      <c r="L465" s="49">
        <f>IF($D465="","",IFERROR(INDEX(ENVIOS!$C$4:$C$3003,MATCH($D465,ENVIOS!$A$4:$A$3003,0)),""))</f>
        <v/>
      </c>
      <c r="M465" s="50" t="n"/>
      <c r="N465" s="28">
        <f>IF($M465="","",IFERROR(INDEX(CONFIG!$C$4:$C$63,MATCH($M465,CONFIG!$A$4:$A$63,0)),"Media"))</f>
        <v/>
      </c>
      <c r="O465" s="28">
        <f>IF($M465="","",IF($C465="Interna","NO",IFERROR(INDEX(CONFIG!$E$4:$E$63,MATCH($M465,CONFIG!$A$4:$A$63,0)),"NO")))</f>
        <v/>
      </c>
      <c r="P465" s="50" t="n"/>
      <c r="Q465" s="50" t="n"/>
      <c r="R465" s="28">
        <f>IF($Q465="","",IFERROR(INDEX(CONFIG!$H$4:$H$63,MATCH($Q465,CONFIG!$G$4:$G$63,0)),"Por definir"))</f>
        <v/>
      </c>
      <c r="S465" s="28">
        <f>IF($Q465="","",IFERROR(INDEX(CONFIG!$I$4:$I$63,MATCH($Q465,CONFIG!$G$4:$G$63,0)),"Por definir"))</f>
        <v/>
      </c>
      <c r="T465" s="51" t="n"/>
      <c r="U465" s="52" t="n"/>
      <c r="V465" s="50" t="n"/>
      <c r="W465" s="50" t="n"/>
      <c r="X465" s="49">
        <f>IF(OR($B465="",$M465=""),"",WORKDAY($B465,IFERROR(INDEX(CONFIG!$D$4:$D$63,MATCH($M465,CONFIG!$A$4:$A$63,0)),3)))</f>
        <v/>
      </c>
      <c r="Y465" s="47" t="n"/>
      <c r="Z465" s="24">
        <f>IF($B465="","",IF($Y465&lt;&gt;"",$Y465-$B465,TODAY()-$B465))</f>
        <v/>
      </c>
      <c r="AA465" s="28">
        <f>IF($B465="","",IF(IFERROR(INDEX(CONFIG!$L$4:$L$63,MATCH($V465,CONFIG!$K$4:$K$63,0)),"NO")="SÍ",IF(OR($Y465="",$X465=""),"Resuelta",IF($Y465&gt;$X465,"Resuelta tarde","Resuelta a tiempo")),IF($X465="","Sin clasificar",IF(TODAY()&gt;$X465,"Vencida",IF(TODAY()&gt;=$X465-1,"Por vencer","En plazo")))))</f>
        <v/>
      </c>
      <c r="AB465" s="50" t="n"/>
      <c r="AC465" s="50" t="n"/>
    </row>
    <row r="466" ht="16" customHeight="1">
      <c r="A466" s="28">
        <f>IF($B466="","","N-"&amp;TEXT(ROW()-3,"0000"))</f>
        <v/>
      </c>
      <c r="B466" s="47" t="n"/>
      <c r="C466" s="48" t="n"/>
      <c r="D466" s="48" t="n"/>
      <c r="E466" s="28">
        <f>IF($C466="","",IF($D466="",IF($C466="Interna","Sin guía (interna)","FALTA GUÍA"),IF(COUNTIFS(ENVIOS!$A$4:$A$3003,$D466)=0,"NO EXISTE",IF(COUNTIFS(ENVIOS!$A$4:$A$3003,$D466)&gt;1,"DUPLICADA","OK"))))</f>
        <v/>
      </c>
      <c r="F466" s="28">
        <f>IF($D466="","",IFERROR(INDEX(ENVIOS!$B$4:$B$3003,MATCH($D466,ENVIOS!$A$4:$A$3003,0)),"—"))</f>
        <v/>
      </c>
      <c r="G466" s="23">
        <f>IF($D466="","",IFERROR(INDEX(ENVIOS!$D$4:$D$3003,MATCH($D466,ENVIOS!$A$4:$A$3003,0)),"—"))</f>
        <v/>
      </c>
      <c r="H466" s="23">
        <f>IF($D466="","",IFERROR(INDEX(ENVIOS!$E$4:$E$3003,MATCH($D466,ENVIOS!$A$4:$A$3003,0)),"—"))</f>
        <v/>
      </c>
      <c r="I466" s="23">
        <f>IF($D466="","",IFERROR(INDEX(ENVIOS!$F$4:$F$3003,MATCH($D466,ENVIOS!$A$4:$A$3003,0)),"—"))</f>
        <v/>
      </c>
      <c r="J466" s="23">
        <f>IF($D466="","",IFERROR(INDEX(ENVIOS!$G$4:$G$3003,MATCH($D466,ENVIOS!$A$4:$A$3003,0)),"—"))</f>
        <v/>
      </c>
      <c r="K466" s="28">
        <f>IF($D466="","",IFERROR(INDEX(ENVIOS!$H$4:$H$3003,MATCH($D466,ENVIOS!$A$4:$A$3003,0)),"—"))</f>
        <v/>
      </c>
      <c r="L466" s="49">
        <f>IF($D466="","",IFERROR(INDEX(ENVIOS!$C$4:$C$3003,MATCH($D466,ENVIOS!$A$4:$A$3003,0)),""))</f>
        <v/>
      </c>
      <c r="M466" s="50" t="n"/>
      <c r="N466" s="28">
        <f>IF($M466="","",IFERROR(INDEX(CONFIG!$C$4:$C$63,MATCH($M466,CONFIG!$A$4:$A$63,0)),"Media"))</f>
        <v/>
      </c>
      <c r="O466" s="28">
        <f>IF($M466="","",IF($C466="Interna","NO",IFERROR(INDEX(CONFIG!$E$4:$E$63,MATCH($M466,CONFIG!$A$4:$A$63,0)),"NO")))</f>
        <v/>
      </c>
      <c r="P466" s="50" t="n"/>
      <c r="Q466" s="50" t="n"/>
      <c r="R466" s="28">
        <f>IF($Q466="","",IFERROR(INDEX(CONFIG!$H$4:$H$63,MATCH($Q466,CONFIG!$G$4:$G$63,0)),"Por definir"))</f>
        <v/>
      </c>
      <c r="S466" s="28">
        <f>IF($Q466="","",IFERROR(INDEX(CONFIG!$I$4:$I$63,MATCH($Q466,CONFIG!$G$4:$G$63,0)),"Por definir"))</f>
        <v/>
      </c>
      <c r="T466" s="51" t="n"/>
      <c r="U466" s="52" t="n"/>
      <c r="V466" s="50" t="n"/>
      <c r="W466" s="50" t="n"/>
      <c r="X466" s="49">
        <f>IF(OR($B466="",$M466=""),"",WORKDAY($B466,IFERROR(INDEX(CONFIG!$D$4:$D$63,MATCH($M466,CONFIG!$A$4:$A$63,0)),3)))</f>
        <v/>
      </c>
      <c r="Y466" s="47" t="n"/>
      <c r="Z466" s="24">
        <f>IF($B466="","",IF($Y466&lt;&gt;"",$Y466-$B466,TODAY()-$B466))</f>
        <v/>
      </c>
      <c r="AA466" s="28">
        <f>IF($B466="","",IF(IFERROR(INDEX(CONFIG!$L$4:$L$63,MATCH($V466,CONFIG!$K$4:$K$63,0)),"NO")="SÍ",IF(OR($Y466="",$X466=""),"Resuelta",IF($Y466&gt;$X466,"Resuelta tarde","Resuelta a tiempo")),IF($X466="","Sin clasificar",IF(TODAY()&gt;$X466,"Vencida",IF(TODAY()&gt;=$X466-1,"Por vencer","En plazo")))))</f>
        <v/>
      </c>
      <c r="AB466" s="50" t="n"/>
      <c r="AC466" s="50" t="n"/>
    </row>
    <row r="467" ht="16" customHeight="1">
      <c r="A467" s="28">
        <f>IF($B467="","","N-"&amp;TEXT(ROW()-3,"0000"))</f>
        <v/>
      </c>
      <c r="B467" s="47" t="n"/>
      <c r="C467" s="48" t="n"/>
      <c r="D467" s="48" t="n"/>
      <c r="E467" s="28">
        <f>IF($C467="","",IF($D467="",IF($C467="Interna","Sin guía (interna)","FALTA GUÍA"),IF(COUNTIFS(ENVIOS!$A$4:$A$3003,$D467)=0,"NO EXISTE",IF(COUNTIFS(ENVIOS!$A$4:$A$3003,$D467)&gt;1,"DUPLICADA","OK"))))</f>
        <v/>
      </c>
      <c r="F467" s="28">
        <f>IF($D467="","",IFERROR(INDEX(ENVIOS!$B$4:$B$3003,MATCH($D467,ENVIOS!$A$4:$A$3003,0)),"—"))</f>
        <v/>
      </c>
      <c r="G467" s="23">
        <f>IF($D467="","",IFERROR(INDEX(ENVIOS!$D$4:$D$3003,MATCH($D467,ENVIOS!$A$4:$A$3003,0)),"—"))</f>
        <v/>
      </c>
      <c r="H467" s="23">
        <f>IF($D467="","",IFERROR(INDEX(ENVIOS!$E$4:$E$3003,MATCH($D467,ENVIOS!$A$4:$A$3003,0)),"—"))</f>
        <v/>
      </c>
      <c r="I467" s="23">
        <f>IF($D467="","",IFERROR(INDEX(ENVIOS!$F$4:$F$3003,MATCH($D467,ENVIOS!$A$4:$A$3003,0)),"—"))</f>
        <v/>
      </c>
      <c r="J467" s="23">
        <f>IF($D467="","",IFERROR(INDEX(ENVIOS!$G$4:$G$3003,MATCH($D467,ENVIOS!$A$4:$A$3003,0)),"—"))</f>
        <v/>
      </c>
      <c r="K467" s="28">
        <f>IF($D467="","",IFERROR(INDEX(ENVIOS!$H$4:$H$3003,MATCH($D467,ENVIOS!$A$4:$A$3003,0)),"—"))</f>
        <v/>
      </c>
      <c r="L467" s="49">
        <f>IF($D467="","",IFERROR(INDEX(ENVIOS!$C$4:$C$3003,MATCH($D467,ENVIOS!$A$4:$A$3003,0)),""))</f>
        <v/>
      </c>
      <c r="M467" s="50" t="n"/>
      <c r="N467" s="28">
        <f>IF($M467="","",IFERROR(INDEX(CONFIG!$C$4:$C$63,MATCH($M467,CONFIG!$A$4:$A$63,0)),"Media"))</f>
        <v/>
      </c>
      <c r="O467" s="28">
        <f>IF($M467="","",IF($C467="Interna","NO",IFERROR(INDEX(CONFIG!$E$4:$E$63,MATCH($M467,CONFIG!$A$4:$A$63,0)),"NO")))</f>
        <v/>
      </c>
      <c r="P467" s="50" t="n"/>
      <c r="Q467" s="50" t="n"/>
      <c r="R467" s="28">
        <f>IF($Q467="","",IFERROR(INDEX(CONFIG!$H$4:$H$63,MATCH($Q467,CONFIG!$G$4:$G$63,0)),"Por definir"))</f>
        <v/>
      </c>
      <c r="S467" s="28">
        <f>IF($Q467="","",IFERROR(INDEX(CONFIG!$I$4:$I$63,MATCH($Q467,CONFIG!$G$4:$G$63,0)),"Por definir"))</f>
        <v/>
      </c>
      <c r="T467" s="51" t="n"/>
      <c r="U467" s="52" t="n"/>
      <c r="V467" s="50" t="n"/>
      <c r="W467" s="50" t="n"/>
      <c r="X467" s="49">
        <f>IF(OR($B467="",$M467=""),"",WORKDAY($B467,IFERROR(INDEX(CONFIG!$D$4:$D$63,MATCH($M467,CONFIG!$A$4:$A$63,0)),3)))</f>
        <v/>
      </c>
      <c r="Y467" s="47" t="n"/>
      <c r="Z467" s="24">
        <f>IF($B467="","",IF($Y467&lt;&gt;"",$Y467-$B467,TODAY()-$B467))</f>
        <v/>
      </c>
      <c r="AA467" s="28">
        <f>IF($B467="","",IF(IFERROR(INDEX(CONFIG!$L$4:$L$63,MATCH($V467,CONFIG!$K$4:$K$63,0)),"NO")="SÍ",IF(OR($Y467="",$X467=""),"Resuelta",IF($Y467&gt;$X467,"Resuelta tarde","Resuelta a tiempo")),IF($X467="","Sin clasificar",IF(TODAY()&gt;$X467,"Vencida",IF(TODAY()&gt;=$X467-1,"Por vencer","En plazo")))))</f>
        <v/>
      </c>
      <c r="AB467" s="50" t="n"/>
      <c r="AC467" s="50" t="n"/>
    </row>
    <row r="468" ht="16" customHeight="1">
      <c r="A468" s="28">
        <f>IF($B468="","","N-"&amp;TEXT(ROW()-3,"0000"))</f>
        <v/>
      </c>
      <c r="B468" s="47" t="n"/>
      <c r="C468" s="48" t="n"/>
      <c r="D468" s="48" t="n"/>
      <c r="E468" s="28">
        <f>IF($C468="","",IF($D468="",IF($C468="Interna","Sin guía (interna)","FALTA GUÍA"),IF(COUNTIFS(ENVIOS!$A$4:$A$3003,$D468)=0,"NO EXISTE",IF(COUNTIFS(ENVIOS!$A$4:$A$3003,$D468)&gt;1,"DUPLICADA","OK"))))</f>
        <v/>
      </c>
      <c r="F468" s="28">
        <f>IF($D468="","",IFERROR(INDEX(ENVIOS!$B$4:$B$3003,MATCH($D468,ENVIOS!$A$4:$A$3003,0)),"—"))</f>
        <v/>
      </c>
      <c r="G468" s="23">
        <f>IF($D468="","",IFERROR(INDEX(ENVIOS!$D$4:$D$3003,MATCH($D468,ENVIOS!$A$4:$A$3003,0)),"—"))</f>
        <v/>
      </c>
      <c r="H468" s="23">
        <f>IF($D468="","",IFERROR(INDEX(ENVIOS!$E$4:$E$3003,MATCH($D468,ENVIOS!$A$4:$A$3003,0)),"—"))</f>
        <v/>
      </c>
      <c r="I468" s="23">
        <f>IF($D468="","",IFERROR(INDEX(ENVIOS!$F$4:$F$3003,MATCH($D468,ENVIOS!$A$4:$A$3003,0)),"—"))</f>
        <v/>
      </c>
      <c r="J468" s="23">
        <f>IF($D468="","",IFERROR(INDEX(ENVIOS!$G$4:$G$3003,MATCH($D468,ENVIOS!$A$4:$A$3003,0)),"—"))</f>
        <v/>
      </c>
      <c r="K468" s="28">
        <f>IF($D468="","",IFERROR(INDEX(ENVIOS!$H$4:$H$3003,MATCH($D468,ENVIOS!$A$4:$A$3003,0)),"—"))</f>
        <v/>
      </c>
      <c r="L468" s="49">
        <f>IF($D468="","",IFERROR(INDEX(ENVIOS!$C$4:$C$3003,MATCH($D468,ENVIOS!$A$4:$A$3003,0)),""))</f>
        <v/>
      </c>
      <c r="M468" s="50" t="n"/>
      <c r="N468" s="28">
        <f>IF($M468="","",IFERROR(INDEX(CONFIG!$C$4:$C$63,MATCH($M468,CONFIG!$A$4:$A$63,0)),"Media"))</f>
        <v/>
      </c>
      <c r="O468" s="28">
        <f>IF($M468="","",IF($C468="Interna","NO",IFERROR(INDEX(CONFIG!$E$4:$E$63,MATCH($M468,CONFIG!$A$4:$A$63,0)),"NO")))</f>
        <v/>
      </c>
      <c r="P468" s="50" t="n"/>
      <c r="Q468" s="50" t="n"/>
      <c r="R468" s="28">
        <f>IF($Q468="","",IFERROR(INDEX(CONFIG!$H$4:$H$63,MATCH($Q468,CONFIG!$G$4:$G$63,0)),"Por definir"))</f>
        <v/>
      </c>
      <c r="S468" s="28">
        <f>IF($Q468="","",IFERROR(INDEX(CONFIG!$I$4:$I$63,MATCH($Q468,CONFIG!$G$4:$G$63,0)),"Por definir"))</f>
        <v/>
      </c>
      <c r="T468" s="51" t="n"/>
      <c r="U468" s="52" t="n"/>
      <c r="V468" s="50" t="n"/>
      <c r="W468" s="50" t="n"/>
      <c r="X468" s="49">
        <f>IF(OR($B468="",$M468=""),"",WORKDAY($B468,IFERROR(INDEX(CONFIG!$D$4:$D$63,MATCH($M468,CONFIG!$A$4:$A$63,0)),3)))</f>
        <v/>
      </c>
      <c r="Y468" s="47" t="n"/>
      <c r="Z468" s="24">
        <f>IF($B468="","",IF($Y468&lt;&gt;"",$Y468-$B468,TODAY()-$B468))</f>
        <v/>
      </c>
      <c r="AA468" s="28">
        <f>IF($B468="","",IF(IFERROR(INDEX(CONFIG!$L$4:$L$63,MATCH($V468,CONFIG!$K$4:$K$63,0)),"NO")="SÍ",IF(OR($Y468="",$X468=""),"Resuelta",IF($Y468&gt;$X468,"Resuelta tarde","Resuelta a tiempo")),IF($X468="","Sin clasificar",IF(TODAY()&gt;$X468,"Vencida",IF(TODAY()&gt;=$X468-1,"Por vencer","En plazo")))))</f>
        <v/>
      </c>
      <c r="AB468" s="50" t="n"/>
      <c r="AC468" s="50" t="n"/>
    </row>
    <row r="469" ht="16" customHeight="1">
      <c r="A469" s="28">
        <f>IF($B469="","","N-"&amp;TEXT(ROW()-3,"0000"))</f>
        <v/>
      </c>
      <c r="B469" s="47" t="n"/>
      <c r="C469" s="48" t="n"/>
      <c r="D469" s="48" t="n"/>
      <c r="E469" s="28">
        <f>IF($C469="","",IF($D469="",IF($C469="Interna","Sin guía (interna)","FALTA GUÍA"),IF(COUNTIFS(ENVIOS!$A$4:$A$3003,$D469)=0,"NO EXISTE",IF(COUNTIFS(ENVIOS!$A$4:$A$3003,$D469)&gt;1,"DUPLICADA","OK"))))</f>
        <v/>
      </c>
      <c r="F469" s="28">
        <f>IF($D469="","",IFERROR(INDEX(ENVIOS!$B$4:$B$3003,MATCH($D469,ENVIOS!$A$4:$A$3003,0)),"—"))</f>
        <v/>
      </c>
      <c r="G469" s="23">
        <f>IF($D469="","",IFERROR(INDEX(ENVIOS!$D$4:$D$3003,MATCH($D469,ENVIOS!$A$4:$A$3003,0)),"—"))</f>
        <v/>
      </c>
      <c r="H469" s="23">
        <f>IF($D469="","",IFERROR(INDEX(ENVIOS!$E$4:$E$3003,MATCH($D469,ENVIOS!$A$4:$A$3003,0)),"—"))</f>
        <v/>
      </c>
      <c r="I469" s="23">
        <f>IF($D469="","",IFERROR(INDEX(ENVIOS!$F$4:$F$3003,MATCH($D469,ENVIOS!$A$4:$A$3003,0)),"—"))</f>
        <v/>
      </c>
      <c r="J469" s="23">
        <f>IF($D469="","",IFERROR(INDEX(ENVIOS!$G$4:$G$3003,MATCH($D469,ENVIOS!$A$4:$A$3003,0)),"—"))</f>
        <v/>
      </c>
      <c r="K469" s="28">
        <f>IF($D469="","",IFERROR(INDEX(ENVIOS!$H$4:$H$3003,MATCH($D469,ENVIOS!$A$4:$A$3003,0)),"—"))</f>
        <v/>
      </c>
      <c r="L469" s="49">
        <f>IF($D469="","",IFERROR(INDEX(ENVIOS!$C$4:$C$3003,MATCH($D469,ENVIOS!$A$4:$A$3003,0)),""))</f>
        <v/>
      </c>
      <c r="M469" s="50" t="n"/>
      <c r="N469" s="28">
        <f>IF($M469="","",IFERROR(INDEX(CONFIG!$C$4:$C$63,MATCH($M469,CONFIG!$A$4:$A$63,0)),"Media"))</f>
        <v/>
      </c>
      <c r="O469" s="28">
        <f>IF($M469="","",IF($C469="Interna","NO",IFERROR(INDEX(CONFIG!$E$4:$E$63,MATCH($M469,CONFIG!$A$4:$A$63,0)),"NO")))</f>
        <v/>
      </c>
      <c r="P469" s="50" t="n"/>
      <c r="Q469" s="50" t="n"/>
      <c r="R469" s="28">
        <f>IF($Q469="","",IFERROR(INDEX(CONFIG!$H$4:$H$63,MATCH($Q469,CONFIG!$G$4:$G$63,0)),"Por definir"))</f>
        <v/>
      </c>
      <c r="S469" s="28">
        <f>IF($Q469="","",IFERROR(INDEX(CONFIG!$I$4:$I$63,MATCH($Q469,CONFIG!$G$4:$G$63,0)),"Por definir"))</f>
        <v/>
      </c>
      <c r="T469" s="51" t="n"/>
      <c r="U469" s="52" t="n"/>
      <c r="V469" s="50" t="n"/>
      <c r="W469" s="50" t="n"/>
      <c r="X469" s="49">
        <f>IF(OR($B469="",$M469=""),"",WORKDAY($B469,IFERROR(INDEX(CONFIG!$D$4:$D$63,MATCH($M469,CONFIG!$A$4:$A$63,0)),3)))</f>
        <v/>
      </c>
      <c r="Y469" s="47" t="n"/>
      <c r="Z469" s="24">
        <f>IF($B469="","",IF($Y469&lt;&gt;"",$Y469-$B469,TODAY()-$B469))</f>
        <v/>
      </c>
      <c r="AA469" s="28">
        <f>IF($B469="","",IF(IFERROR(INDEX(CONFIG!$L$4:$L$63,MATCH($V469,CONFIG!$K$4:$K$63,0)),"NO")="SÍ",IF(OR($Y469="",$X469=""),"Resuelta",IF($Y469&gt;$X469,"Resuelta tarde","Resuelta a tiempo")),IF($X469="","Sin clasificar",IF(TODAY()&gt;$X469,"Vencida",IF(TODAY()&gt;=$X469-1,"Por vencer","En plazo")))))</f>
        <v/>
      </c>
      <c r="AB469" s="50" t="n"/>
      <c r="AC469" s="50" t="n"/>
    </row>
    <row r="470" ht="16" customHeight="1">
      <c r="A470" s="28">
        <f>IF($B470="","","N-"&amp;TEXT(ROW()-3,"0000"))</f>
        <v/>
      </c>
      <c r="B470" s="47" t="n"/>
      <c r="C470" s="48" t="n"/>
      <c r="D470" s="48" t="n"/>
      <c r="E470" s="28">
        <f>IF($C470="","",IF($D470="",IF($C470="Interna","Sin guía (interna)","FALTA GUÍA"),IF(COUNTIFS(ENVIOS!$A$4:$A$3003,$D470)=0,"NO EXISTE",IF(COUNTIFS(ENVIOS!$A$4:$A$3003,$D470)&gt;1,"DUPLICADA","OK"))))</f>
        <v/>
      </c>
      <c r="F470" s="28">
        <f>IF($D470="","",IFERROR(INDEX(ENVIOS!$B$4:$B$3003,MATCH($D470,ENVIOS!$A$4:$A$3003,0)),"—"))</f>
        <v/>
      </c>
      <c r="G470" s="23">
        <f>IF($D470="","",IFERROR(INDEX(ENVIOS!$D$4:$D$3003,MATCH($D470,ENVIOS!$A$4:$A$3003,0)),"—"))</f>
        <v/>
      </c>
      <c r="H470" s="23">
        <f>IF($D470="","",IFERROR(INDEX(ENVIOS!$E$4:$E$3003,MATCH($D470,ENVIOS!$A$4:$A$3003,0)),"—"))</f>
        <v/>
      </c>
      <c r="I470" s="23">
        <f>IF($D470="","",IFERROR(INDEX(ENVIOS!$F$4:$F$3003,MATCH($D470,ENVIOS!$A$4:$A$3003,0)),"—"))</f>
        <v/>
      </c>
      <c r="J470" s="23">
        <f>IF($D470="","",IFERROR(INDEX(ENVIOS!$G$4:$G$3003,MATCH($D470,ENVIOS!$A$4:$A$3003,0)),"—"))</f>
        <v/>
      </c>
      <c r="K470" s="28">
        <f>IF($D470="","",IFERROR(INDEX(ENVIOS!$H$4:$H$3003,MATCH($D470,ENVIOS!$A$4:$A$3003,0)),"—"))</f>
        <v/>
      </c>
      <c r="L470" s="49">
        <f>IF($D470="","",IFERROR(INDEX(ENVIOS!$C$4:$C$3003,MATCH($D470,ENVIOS!$A$4:$A$3003,0)),""))</f>
        <v/>
      </c>
      <c r="M470" s="50" t="n"/>
      <c r="N470" s="28">
        <f>IF($M470="","",IFERROR(INDEX(CONFIG!$C$4:$C$63,MATCH($M470,CONFIG!$A$4:$A$63,0)),"Media"))</f>
        <v/>
      </c>
      <c r="O470" s="28">
        <f>IF($M470="","",IF($C470="Interna","NO",IFERROR(INDEX(CONFIG!$E$4:$E$63,MATCH($M470,CONFIG!$A$4:$A$63,0)),"NO")))</f>
        <v/>
      </c>
      <c r="P470" s="50" t="n"/>
      <c r="Q470" s="50" t="n"/>
      <c r="R470" s="28">
        <f>IF($Q470="","",IFERROR(INDEX(CONFIG!$H$4:$H$63,MATCH($Q470,CONFIG!$G$4:$G$63,0)),"Por definir"))</f>
        <v/>
      </c>
      <c r="S470" s="28">
        <f>IF($Q470="","",IFERROR(INDEX(CONFIG!$I$4:$I$63,MATCH($Q470,CONFIG!$G$4:$G$63,0)),"Por definir"))</f>
        <v/>
      </c>
      <c r="T470" s="51" t="n"/>
      <c r="U470" s="52" t="n"/>
      <c r="V470" s="50" t="n"/>
      <c r="W470" s="50" t="n"/>
      <c r="X470" s="49">
        <f>IF(OR($B470="",$M470=""),"",WORKDAY($B470,IFERROR(INDEX(CONFIG!$D$4:$D$63,MATCH($M470,CONFIG!$A$4:$A$63,0)),3)))</f>
        <v/>
      </c>
      <c r="Y470" s="47" t="n"/>
      <c r="Z470" s="24">
        <f>IF($B470="","",IF($Y470&lt;&gt;"",$Y470-$B470,TODAY()-$B470))</f>
        <v/>
      </c>
      <c r="AA470" s="28">
        <f>IF($B470="","",IF(IFERROR(INDEX(CONFIG!$L$4:$L$63,MATCH($V470,CONFIG!$K$4:$K$63,0)),"NO")="SÍ",IF(OR($Y470="",$X470=""),"Resuelta",IF($Y470&gt;$X470,"Resuelta tarde","Resuelta a tiempo")),IF($X470="","Sin clasificar",IF(TODAY()&gt;$X470,"Vencida",IF(TODAY()&gt;=$X470-1,"Por vencer","En plazo")))))</f>
        <v/>
      </c>
      <c r="AB470" s="50" t="n"/>
      <c r="AC470" s="50" t="n"/>
    </row>
    <row r="471" ht="16" customHeight="1">
      <c r="A471" s="28">
        <f>IF($B471="","","N-"&amp;TEXT(ROW()-3,"0000"))</f>
        <v/>
      </c>
      <c r="B471" s="47" t="n"/>
      <c r="C471" s="48" t="n"/>
      <c r="D471" s="48" t="n"/>
      <c r="E471" s="28">
        <f>IF($C471="","",IF($D471="",IF($C471="Interna","Sin guía (interna)","FALTA GUÍA"),IF(COUNTIFS(ENVIOS!$A$4:$A$3003,$D471)=0,"NO EXISTE",IF(COUNTIFS(ENVIOS!$A$4:$A$3003,$D471)&gt;1,"DUPLICADA","OK"))))</f>
        <v/>
      </c>
      <c r="F471" s="28">
        <f>IF($D471="","",IFERROR(INDEX(ENVIOS!$B$4:$B$3003,MATCH($D471,ENVIOS!$A$4:$A$3003,0)),"—"))</f>
        <v/>
      </c>
      <c r="G471" s="23">
        <f>IF($D471="","",IFERROR(INDEX(ENVIOS!$D$4:$D$3003,MATCH($D471,ENVIOS!$A$4:$A$3003,0)),"—"))</f>
        <v/>
      </c>
      <c r="H471" s="23">
        <f>IF($D471="","",IFERROR(INDEX(ENVIOS!$E$4:$E$3003,MATCH($D471,ENVIOS!$A$4:$A$3003,0)),"—"))</f>
        <v/>
      </c>
      <c r="I471" s="23">
        <f>IF($D471="","",IFERROR(INDEX(ENVIOS!$F$4:$F$3003,MATCH($D471,ENVIOS!$A$4:$A$3003,0)),"—"))</f>
        <v/>
      </c>
      <c r="J471" s="23">
        <f>IF($D471="","",IFERROR(INDEX(ENVIOS!$G$4:$G$3003,MATCH($D471,ENVIOS!$A$4:$A$3003,0)),"—"))</f>
        <v/>
      </c>
      <c r="K471" s="28">
        <f>IF($D471="","",IFERROR(INDEX(ENVIOS!$H$4:$H$3003,MATCH($D471,ENVIOS!$A$4:$A$3003,0)),"—"))</f>
        <v/>
      </c>
      <c r="L471" s="49">
        <f>IF($D471="","",IFERROR(INDEX(ENVIOS!$C$4:$C$3003,MATCH($D471,ENVIOS!$A$4:$A$3003,0)),""))</f>
        <v/>
      </c>
      <c r="M471" s="50" t="n"/>
      <c r="N471" s="28">
        <f>IF($M471="","",IFERROR(INDEX(CONFIG!$C$4:$C$63,MATCH($M471,CONFIG!$A$4:$A$63,0)),"Media"))</f>
        <v/>
      </c>
      <c r="O471" s="28">
        <f>IF($M471="","",IF($C471="Interna","NO",IFERROR(INDEX(CONFIG!$E$4:$E$63,MATCH($M471,CONFIG!$A$4:$A$63,0)),"NO")))</f>
        <v/>
      </c>
      <c r="P471" s="50" t="n"/>
      <c r="Q471" s="50" t="n"/>
      <c r="R471" s="28">
        <f>IF($Q471="","",IFERROR(INDEX(CONFIG!$H$4:$H$63,MATCH($Q471,CONFIG!$G$4:$G$63,0)),"Por definir"))</f>
        <v/>
      </c>
      <c r="S471" s="28">
        <f>IF($Q471="","",IFERROR(INDEX(CONFIG!$I$4:$I$63,MATCH($Q471,CONFIG!$G$4:$G$63,0)),"Por definir"))</f>
        <v/>
      </c>
      <c r="T471" s="51" t="n"/>
      <c r="U471" s="52" t="n"/>
      <c r="V471" s="50" t="n"/>
      <c r="W471" s="50" t="n"/>
      <c r="X471" s="49">
        <f>IF(OR($B471="",$M471=""),"",WORKDAY($B471,IFERROR(INDEX(CONFIG!$D$4:$D$63,MATCH($M471,CONFIG!$A$4:$A$63,0)),3)))</f>
        <v/>
      </c>
      <c r="Y471" s="47" t="n"/>
      <c r="Z471" s="24">
        <f>IF($B471="","",IF($Y471&lt;&gt;"",$Y471-$B471,TODAY()-$B471))</f>
        <v/>
      </c>
      <c r="AA471" s="28">
        <f>IF($B471="","",IF(IFERROR(INDEX(CONFIG!$L$4:$L$63,MATCH($V471,CONFIG!$K$4:$K$63,0)),"NO")="SÍ",IF(OR($Y471="",$X471=""),"Resuelta",IF($Y471&gt;$X471,"Resuelta tarde","Resuelta a tiempo")),IF($X471="","Sin clasificar",IF(TODAY()&gt;$X471,"Vencida",IF(TODAY()&gt;=$X471-1,"Por vencer","En plazo")))))</f>
        <v/>
      </c>
      <c r="AB471" s="50" t="n"/>
      <c r="AC471" s="50" t="n"/>
    </row>
    <row r="472" ht="16" customHeight="1">
      <c r="A472" s="28">
        <f>IF($B472="","","N-"&amp;TEXT(ROW()-3,"0000"))</f>
        <v/>
      </c>
      <c r="B472" s="47" t="n"/>
      <c r="C472" s="48" t="n"/>
      <c r="D472" s="48" t="n"/>
      <c r="E472" s="28">
        <f>IF($C472="","",IF($D472="",IF($C472="Interna","Sin guía (interna)","FALTA GUÍA"),IF(COUNTIFS(ENVIOS!$A$4:$A$3003,$D472)=0,"NO EXISTE",IF(COUNTIFS(ENVIOS!$A$4:$A$3003,$D472)&gt;1,"DUPLICADA","OK"))))</f>
        <v/>
      </c>
      <c r="F472" s="28">
        <f>IF($D472="","",IFERROR(INDEX(ENVIOS!$B$4:$B$3003,MATCH($D472,ENVIOS!$A$4:$A$3003,0)),"—"))</f>
        <v/>
      </c>
      <c r="G472" s="23">
        <f>IF($D472="","",IFERROR(INDEX(ENVIOS!$D$4:$D$3003,MATCH($D472,ENVIOS!$A$4:$A$3003,0)),"—"))</f>
        <v/>
      </c>
      <c r="H472" s="23">
        <f>IF($D472="","",IFERROR(INDEX(ENVIOS!$E$4:$E$3003,MATCH($D472,ENVIOS!$A$4:$A$3003,0)),"—"))</f>
        <v/>
      </c>
      <c r="I472" s="23">
        <f>IF($D472="","",IFERROR(INDEX(ENVIOS!$F$4:$F$3003,MATCH($D472,ENVIOS!$A$4:$A$3003,0)),"—"))</f>
        <v/>
      </c>
      <c r="J472" s="23">
        <f>IF($D472="","",IFERROR(INDEX(ENVIOS!$G$4:$G$3003,MATCH($D472,ENVIOS!$A$4:$A$3003,0)),"—"))</f>
        <v/>
      </c>
      <c r="K472" s="28">
        <f>IF($D472="","",IFERROR(INDEX(ENVIOS!$H$4:$H$3003,MATCH($D472,ENVIOS!$A$4:$A$3003,0)),"—"))</f>
        <v/>
      </c>
      <c r="L472" s="49">
        <f>IF($D472="","",IFERROR(INDEX(ENVIOS!$C$4:$C$3003,MATCH($D472,ENVIOS!$A$4:$A$3003,0)),""))</f>
        <v/>
      </c>
      <c r="M472" s="50" t="n"/>
      <c r="N472" s="28">
        <f>IF($M472="","",IFERROR(INDEX(CONFIG!$C$4:$C$63,MATCH($M472,CONFIG!$A$4:$A$63,0)),"Media"))</f>
        <v/>
      </c>
      <c r="O472" s="28">
        <f>IF($M472="","",IF($C472="Interna","NO",IFERROR(INDEX(CONFIG!$E$4:$E$63,MATCH($M472,CONFIG!$A$4:$A$63,0)),"NO")))</f>
        <v/>
      </c>
      <c r="P472" s="50" t="n"/>
      <c r="Q472" s="50" t="n"/>
      <c r="R472" s="28">
        <f>IF($Q472="","",IFERROR(INDEX(CONFIG!$H$4:$H$63,MATCH($Q472,CONFIG!$G$4:$G$63,0)),"Por definir"))</f>
        <v/>
      </c>
      <c r="S472" s="28">
        <f>IF($Q472="","",IFERROR(INDEX(CONFIG!$I$4:$I$63,MATCH($Q472,CONFIG!$G$4:$G$63,0)),"Por definir"))</f>
        <v/>
      </c>
      <c r="T472" s="51" t="n"/>
      <c r="U472" s="52" t="n"/>
      <c r="V472" s="50" t="n"/>
      <c r="W472" s="50" t="n"/>
      <c r="X472" s="49">
        <f>IF(OR($B472="",$M472=""),"",WORKDAY($B472,IFERROR(INDEX(CONFIG!$D$4:$D$63,MATCH($M472,CONFIG!$A$4:$A$63,0)),3)))</f>
        <v/>
      </c>
      <c r="Y472" s="47" t="n"/>
      <c r="Z472" s="24">
        <f>IF($B472="","",IF($Y472&lt;&gt;"",$Y472-$B472,TODAY()-$B472))</f>
        <v/>
      </c>
      <c r="AA472" s="28">
        <f>IF($B472="","",IF(IFERROR(INDEX(CONFIG!$L$4:$L$63,MATCH($V472,CONFIG!$K$4:$K$63,0)),"NO")="SÍ",IF(OR($Y472="",$X472=""),"Resuelta",IF($Y472&gt;$X472,"Resuelta tarde","Resuelta a tiempo")),IF($X472="","Sin clasificar",IF(TODAY()&gt;$X472,"Vencida",IF(TODAY()&gt;=$X472-1,"Por vencer","En plazo")))))</f>
        <v/>
      </c>
      <c r="AB472" s="50" t="n"/>
      <c r="AC472" s="50" t="n"/>
    </row>
    <row r="473" ht="16" customHeight="1">
      <c r="A473" s="28">
        <f>IF($B473="","","N-"&amp;TEXT(ROW()-3,"0000"))</f>
        <v/>
      </c>
      <c r="B473" s="47" t="n"/>
      <c r="C473" s="48" t="n"/>
      <c r="D473" s="48" t="n"/>
      <c r="E473" s="28">
        <f>IF($C473="","",IF($D473="",IF($C473="Interna","Sin guía (interna)","FALTA GUÍA"),IF(COUNTIFS(ENVIOS!$A$4:$A$3003,$D473)=0,"NO EXISTE",IF(COUNTIFS(ENVIOS!$A$4:$A$3003,$D473)&gt;1,"DUPLICADA","OK"))))</f>
        <v/>
      </c>
      <c r="F473" s="28">
        <f>IF($D473="","",IFERROR(INDEX(ENVIOS!$B$4:$B$3003,MATCH($D473,ENVIOS!$A$4:$A$3003,0)),"—"))</f>
        <v/>
      </c>
      <c r="G473" s="23">
        <f>IF($D473="","",IFERROR(INDEX(ENVIOS!$D$4:$D$3003,MATCH($D473,ENVIOS!$A$4:$A$3003,0)),"—"))</f>
        <v/>
      </c>
      <c r="H473" s="23">
        <f>IF($D473="","",IFERROR(INDEX(ENVIOS!$E$4:$E$3003,MATCH($D473,ENVIOS!$A$4:$A$3003,0)),"—"))</f>
        <v/>
      </c>
      <c r="I473" s="23">
        <f>IF($D473="","",IFERROR(INDEX(ENVIOS!$F$4:$F$3003,MATCH($D473,ENVIOS!$A$4:$A$3003,0)),"—"))</f>
        <v/>
      </c>
      <c r="J473" s="23">
        <f>IF($D473="","",IFERROR(INDEX(ENVIOS!$G$4:$G$3003,MATCH($D473,ENVIOS!$A$4:$A$3003,0)),"—"))</f>
        <v/>
      </c>
      <c r="K473" s="28">
        <f>IF($D473="","",IFERROR(INDEX(ENVIOS!$H$4:$H$3003,MATCH($D473,ENVIOS!$A$4:$A$3003,0)),"—"))</f>
        <v/>
      </c>
      <c r="L473" s="49">
        <f>IF($D473="","",IFERROR(INDEX(ENVIOS!$C$4:$C$3003,MATCH($D473,ENVIOS!$A$4:$A$3003,0)),""))</f>
        <v/>
      </c>
      <c r="M473" s="50" t="n"/>
      <c r="N473" s="28">
        <f>IF($M473="","",IFERROR(INDEX(CONFIG!$C$4:$C$63,MATCH($M473,CONFIG!$A$4:$A$63,0)),"Media"))</f>
        <v/>
      </c>
      <c r="O473" s="28">
        <f>IF($M473="","",IF($C473="Interna","NO",IFERROR(INDEX(CONFIG!$E$4:$E$63,MATCH($M473,CONFIG!$A$4:$A$63,0)),"NO")))</f>
        <v/>
      </c>
      <c r="P473" s="50" t="n"/>
      <c r="Q473" s="50" t="n"/>
      <c r="R473" s="28">
        <f>IF($Q473="","",IFERROR(INDEX(CONFIG!$H$4:$H$63,MATCH($Q473,CONFIG!$G$4:$G$63,0)),"Por definir"))</f>
        <v/>
      </c>
      <c r="S473" s="28">
        <f>IF($Q473="","",IFERROR(INDEX(CONFIG!$I$4:$I$63,MATCH($Q473,CONFIG!$G$4:$G$63,0)),"Por definir"))</f>
        <v/>
      </c>
      <c r="T473" s="51" t="n"/>
      <c r="U473" s="52" t="n"/>
      <c r="V473" s="50" t="n"/>
      <c r="W473" s="50" t="n"/>
      <c r="X473" s="49">
        <f>IF(OR($B473="",$M473=""),"",WORKDAY($B473,IFERROR(INDEX(CONFIG!$D$4:$D$63,MATCH($M473,CONFIG!$A$4:$A$63,0)),3)))</f>
        <v/>
      </c>
      <c r="Y473" s="47" t="n"/>
      <c r="Z473" s="24">
        <f>IF($B473="","",IF($Y473&lt;&gt;"",$Y473-$B473,TODAY()-$B473))</f>
        <v/>
      </c>
      <c r="AA473" s="28">
        <f>IF($B473="","",IF(IFERROR(INDEX(CONFIG!$L$4:$L$63,MATCH($V473,CONFIG!$K$4:$K$63,0)),"NO")="SÍ",IF(OR($Y473="",$X473=""),"Resuelta",IF($Y473&gt;$X473,"Resuelta tarde","Resuelta a tiempo")),IF($X473="","Sin clasificar",IF(TODAY()&gt;$X473,"Vencida",IF(TODAY()&gt;=$X473-1,"Por vencer","En plazo")))))</f>
        <v/>
      </c>
      <c r="AB473" s="50" t="n"/>
      <c r="AC473" s="50" t="n"/>
    </row>
    <row r="474" ht="16" customHeight="1">
      <c r="A474" s="28">
        <f>IF($B474="","","N-"&amp;TEXT(ROW()-3,"0000"))</f>
        <v/>
      </c>
      <c r="B474" s="47" t="n"/>
      <c r="C474" s="48" t="n"/>
      <c r="D474" s="48" t="n"/>
      <c r="E474" s="28">
        <f>IF($C474="","",IF($D474="",IF($C474="Interna","Sin guía (interna)","FALTA GUÍA"),IF(COUNTIFS(ENVIOS!$A$4:$A$3003,$D474)=0,"NO EXISTE",IF(COUNTIFS(ENVIOS!$A$4:$A$3003,$D474)&gt;1,"DUPLICADA","OK"))))</f>
        <v/>
      </c>
      <c r="F474" s="28">
        <f>IF($D474="","",IFERROR(INDEX(ENVIOS!$B$4:$B$3003,MATCH($D474,ENVIOS!$A$4:$A$3003,0)),"—"))</f>
        <v/>
      </c>
      <c r="G474" s="23">
        <f>IF($D474="","",IFERROR(INDEX(ENVIOS!$D$4:$D$3003,MATCH($D474,ENVIOS!$A$4:$A$3003,0)),"—"))</f>
        <v/>
      </c>
      <c r="H474" s="23">
        <f>IF($D474="","",IFERROR(INDEX(ENVIOS!$E$4:$E$3003,MATCH($D474,ENVIOS!$A$4:$A$3003,0)),"—"))</f>
        <v/>
      </c>
      <c r="I474" s="23">
        <f>IF($D474="","",IFERROR(INDEX(ENVIOS!$F$4:$F$3003,MATCH($D474,ENVIOS!$A$4:$A$3003,0)),"—"))</f>
        <v/>
      </c>
      <c r="J474" s="23">
        <f>IF($D474="","",IFERROR(INDEX(ENVIOS!$G$4:$G$3003,MATCH($D474,ENVIOS!$A$4:$A$3003,0)),"—"))</f>
        <v/>
      </c>
      <c r="K474" s="28">
        <f>IF($D474="","",IFERROR(INDEX(ENVIOS!$H$4:$H$3003,MATCH($D474,ENVIOS!$A$4:$A$3003,0)),"—"))</f>
        <v/>
      </c>
      <c r="L474" s="49">
        <f>IF($D474="","",IFERROR(INDEX(ENVIOS!$C$4:$C$3003,MATCH($D474,ENVIOS!$A$4:$A$3003,0)),""))</f>
        <v/>
      </c>
      <c r="M474" s="50" t="n"/>
      <c r="N474" s="28">
        <f>IF($M474="","",IFERROR(INDEX(CONFIG!$C$4:$C$63,MATCH($M474,CONFIG!$A$4:$A$63,0)),"Media"))</f>
        <v/>
      </c>
      <c r="O474" s="28">
        <f>IF($M474="","",IF($C474="Interna","NO",IFERROR(INDEX(CONFIG!$E$4:$E$63,MATCH($M474,CONFIG!$A$4:$A$63,0)),"NO")))</f>
        <v/>
      </c>
      <c r="P474" s="50" t="n"/>
      <c r="Q474" s="50" t="n"/>
      <c r="R474" s="28">
        <f>IF($Q474="","",IFERROR(INDEX(CONFIG!$H$4:$H$63,MATCH($Q474,CONFIG!$G$4:$G$63,0)),"Por definir"))</f>
        <v/>
      </c>
      <c r="S474" s="28">
        <f>IF($Q474="","",IFERROR(INDEX(CONFIG!$I$4:$I$63,MATCH($Q474,CONFIG!$G$4:$G$63,0)),"Por definir"))</f>
        <v/>
      </c>
      <c r="T474" s="51" t="n"/>
      <c r="U474" s="52" t="n"/>
      <c r="V474" s="50" t="n"/>
      <c r="W474" s="50" t="n"/>
      <c r="X474" s="49">
        <f>IF(OR($B474="",$M474=""),"",WORKDAY($B474,IFERROR(INDEX(CONFIG!$D$4:$D$63,MATCH($M474,CONFIG!$A$4:$A$63,0)),3)))</f>
        <v/>
      </c>
      <c r="Y474" s="47" t="n"/>
      <c r="Z474" s="24">
        <f>IF($B474="","",IF($Y474&lt;&gt;"",$Y474-$B474,TODAY()-$B474))</f>
        <v/>
      </c>
      <c r="AA474" s="28">
        <f>IF($B474="","",IF(IFERROR(INDEX(CONFIG!$L$4:$L$63,MATCH($V474,CONFIG!$K$4:$K$63,0)),"NO")="SÍ",IF(OR($Y474="",$X474=""),"Resuelta",IF($Y474&gt;$X474,"Resuelta tarde","Resuelta a tiempo")),IF($X474="","Sin clasificar",IF(TODAY()&gt;$X474,"Vencida",IF(TODAY()&gt;=$X474-1,"Por vencer","En plazo")))))</f>
        <v/>
      </c>
      <c r="AB474" s="50" t="n"/>
      <c r="AC474" s="50" t="n"/>
    </row>
    <row r="475" ht="16" customHeight="1">
      <c r="A475" s="28">
        <f>IF($B475="","","N-"&amp;TEXT(ROW()-3,"0000"))</f>
        <v/>
      </c>
      <c r="B475" s="47" t="n"/>
      <c r="C475" s="48" t="n"/>
      <c r="D475" s="48" t="n"/>
      <c r="E475" s="28">
        <f>IF($C475="","",IF($D475="",IF($C475="Interna","Sin guía (interna)","FALTA GUÍA"),IF(COUNTIFS(ENVIOS!$A$4:$A$3003,$D475)=0,"NO EXISTE",IF(COUNTIFS(ENVIOS!$A$4:$A$3003,$D475)&gt;1,"DUPLICADA","OK"))))</f>
        <v/>
      </c>
      <c r="F475" s="28">
        <f>IF($D475="","",IFERROR(INDEX(ENVIOS!$B$4:$B$3003,MATCH($D475,ENVIOS!$A$4:$A$3003,0)),"—"))</f>
        <v/>
      </c>
      <c r="G475" s="23">
        <f>IF($D475="","",IFERROR(INDEX(ENVIOS!$D$4:$D$3003,MATCH($D475,ENVIOS!$A$4:$A$3003,0)),"—"))</f>
        <v/>
      </c>
      <c r="H475" s="23">
        <f>IF($D475="","",IFERROR(INDEX(ENVIOS!$E$4:$E$3003,MATCH($D475,ENVIOS!$A$4:$A$3003,0)),"—"))</f>
        <v/>
      </c>
      <c r="I475" s="23">
        <f>IF($D475="","",IFERROR(INDEX(ENVIOS!$F$4:$F$3003,MATCH($D475,ENVIOS!$A$4:$A$3003,0)),"—"))</f>
        <v/>
      </c>
      <c r="J475" s="23">
        <f>IF($D475="","",IFERROR(INDEX(ENVIOS!$G$4:$G$3003,MATCH($D475,ENVIOS!$A$4:$A$3003,0)),"—"))</f>
        <v/>
      </c>
      <c r="K475" s="28">
        <f>IF($D475="","",IFERROR(INDEX(ENVIOS!$H$4:$H$3003,MATCH($D475,ENVIOS!$A$4:$A$3003,0)),"—"))</f>
        <v/>
      </c>
      <c r="L475" s="49">
        <f>IF($D475="","",IFERROR(INDEX(ENVIOS!$C$4:$C$3003,MATCH($D475,ENVIOS!$A$4:$A$3003,0)),""))</f>
        <v/>
      </c>
      <c r="M475" s="50" t="n"/>
      <c r="N475" s="28">
        <f>IF($M475="","",IFERROR(INDEX(CONFIG!$C$4:$C$63,MATCH($M475,CONFIG!$A$4:$A$63,0)),"Media"))</f>
        <v/>
      </c>
      <c r="O475" s="28">
        <f>IF($M475="","",IF($C475="Interna","NO",IFERROR(INDEX(CONFIG!$E$4:$E$63,MATCH($M475,CONFIG!$A$4:$A$63,0)),"NO")))</f>
        <v/>
      </c>
      <c r="P475" s="50" t="n"/>
      <c r="Q475" s="50" t="n"/>
      <c r="R475" s="28">
        <f>IF($Q475="","",IFERROR(INDEX(CONFIG!$H$4:$H$63,MATCH($Q475,CONFIG!$G$4:$G$63,0)),"Por definir"))</f>
        <v/>
      </c>
      <c r="S475" s="28">
        <f>IF($Q475="","",IFERROR(INDEX(CONFIG!$I$4:$I$63,MATCH($Q475,CONFIG!$G$4:$G$63,0)),"Por definir"))</f>
        <v/>
      </c>
      <c r="T475" s="51" t="n"/>
      <c r="U475" s="52" t="n"/>
      <c r="V475" s="50" t="n"/>
      <c r="W475" s="50" t="n"/>
      <c r="X475" s="49">
        <f>IF(OR($B475="",$M475=""),"",WORKDAY($B475,IFERROR(INDEX(CONFIG!$D$4:$D$63,MATCH($M475,CONFIG!$A$4:$A$63,0)),3)))</f>
        <v/>
      </c>
      <c r="Y475" s="47" t="n"/>
      <c r="Z475" s="24">
        <f>IF($B475="","",IF($Y475&lt;&gt;"",$Y475-$B475,TODAY()-$B475))</f>
        <v/>
      </c>
      <c r="AA475" s="28">
        <f>IF($B475="","",IF(IFERROR(INDEX(CONFIG!$L$4:$L$63,MATCH($V475,CONFIG!$K$4:$K$63,0)),"NO")="SÍ",IF(OR($Y475="",$X475=""),"Resuelta",IF($Y475&gt;$X475,"Resuelta tarde","Resuelta a tiempo")),IF($X475="","Sin clasificar",IF(TODAY()&gt;$X475,"Vencida",IF(TODAY()&gt;=$X475-1,"Por vencer","En plazo")))))</f>
        <v/>
      </c>
      <c r="AB475" s="50" t="n"/>
      <c r="AC475" s="50" t="n"/>
    </row>
    <row r="476" ht="16" customHeight="1">
      <c r="A476" s="28">
        <f>IF($B476="","","N-"&amp;TEXT(ROW()-3,"0000"))</f>
        <v/>
      </c>
      <c r="B476" s="47" t="n"/>
      <c r="C476" s="48" t="n"/>
      <c r="D476" s="48" t="n"/>
      <c r="E476" s="28">
        <f>IF($C476="","",IF($D476="",IF($C476="Interna","Sin guía (interna)","FALTA GUÍA"),IF(COUNTIFS(ENVIOS!$A$4:$A$3003,$D476)=0,"NO EXISTE",IF(COUNTIFS(ENVIOS!$A$4:$A$3003,$D476)&gt;1,"DUPLICADA","OK"))))</f>
        <v/>
      </c>
      <c r="F476" s="28">
        <f>IF($D476="","",IFERROR(INDEX(ENVIOS!$B$4:$B$3003,MATCH($D476,ENVIOS!$A$4:$A$3003,0)),"—"))</f>
        <v/>
      </c>
      <c r="G476" s="23">
        <f>IF($D476="","",IFERROR(INDEX(ENVIOS!$D$4:$D$3003,MATCH($D476,ENVIOS!$A$4:$A$3003,0)),"—"))</f>
        <v/>
      </c>
      <c r="H476" s="23">
        <f>IF($D476="","",IFERROR(INDEX(ENVIOS!$E$4:$E$3003,MATCH($D476,ENVIOS!$A$4:$A$3003,0)),"—"))</f>
        <v/>
      </c>
      <c r="I476" s="23">
        <f>IF($D476="","",IFERROR(INDEX(ENVIOS!$F$4:$F$3003,MATCH($D476,ENVIOS!$A$4:$A$3003,0)),"—"))</f>
        <v/>
      </c>
      <c r="J476" s="23">
        <f>IF($D476="","",IFERROR(INDEX(ENVIOS!$G$4:$G$3003,MATCH($D476,ENVIOS!$A$4:$A$3003,0)),"—"))</f>
        <v/>
      </c>
      <c r="K476" s="28">
        <f>IF($D476="","",IFERROR(INDEX(ENVIOS!$H$4:$H$3003,MATCH($D476,ENVIOS!$A$4:$A$3003,0)),"—"))</f>
        <v/>
      </c>
      <c r="L476" s="49">
        <f>IF($D476="","",IFERROR(INDEX(ENVIOS!$C$4:$C$3003,MATCH($D476,ENVIOS!$A$4:$A$3003,0)),""))</f>
        <v/>
      </c>
      <c r="M476" s="50" t="n"/>
      <c r="N476" s="28">
        <f>IF($M476="","",IFERROR(INDEX(CONFIG!$C$4:$C$63,MATCH($M476,CONFIG!$A$4:$A$63,0)),"Media"))</f>
        <v/>
      </c>
      <c r="O476" s="28">
        <f>IF($M476="","",IF($C476="Interna","NO",IFERROR(INDEX(CONFIG!$E$4:$E$63,MATCH($M476,CONFIG!$A$4:$A$63,0)),"NO")))</f>
        <v/>
      </c>
      <c r="P476" s="50" t="n"/>
      <c r="Q476" s="50" t="n"/>
      <c r="R476" s="28">
        <f>IF($Q476="","",IFERROR(INDEX(CONFIG!$H$4:$H$63,MATCH($Q476,CONFIG!$G$4:$G$63,0)),"Por definir"))</f>
        <v/>
      </c>
      <c r="S476" s="28">
        <f>IF($Q476="","",IFERROR(INDEX(CONFIG!$I$4:$I$63,MATCH($Q476,CONFIG!$G$4:$G$63,0)),"Por definir"))</f>
        <v/>
      </c>
      <c r="T476" s="51" t="n"/>
      <c r="U476" s="52" t="n"/>
      <c r="V476" s="50" t="n"/>
      <c r="W476" s="50" t="n"/>
      <c r="X476" s="49">
        <f>IF(OR($B476="",$M476=""),"",WORKDAY($B476,IFERROR(INDEX(CONFIG!$D$4:$D$63,MATCH($M476,CONFIG!$A$4:$A$63,0)),3)))</f>
        <v/>
      </c>
      <c r="Y476" s="47" t="n"/>
      <c r="Z476" s="24">
        <f>IF($B476="","",IF($Y476&lt;&gt;"",$Y476-$B476,TODAY()-$B476))</f>
        <v/>
      </c>
      <c r="AA476" s="28">
        <f>IF($B476="","",IF(IFERROR(INDEX(CONFIG!$L$4:$L$63,MATCH($V476,CONFIG!$K$4:$K$63,0)),"NO")="SÍ",IF(OR($Y476="",$X476=""),"Resuelta",IF($Y476&gt;$X476,"Resuelta tarde","Resuelta a tiempo")),IF($X476="","Sin clasificar",IF(TODAY()&gt;$X476,"Vencida",IF(TODAY()&gt;=$X476-1,"Por vencer","En plazo")))))</f>
        <v/>
      </c>
      <c r="AB476" s="50" t="n"/>
      <c r="AC476" s="50" t="n"/>
    </row>
    <row r="477" ht="16" customHeight="1">
      <c r="A477" s="28">
        <f>IF($B477="","","N-"&amp;TEXT(ROW()-3,"0000"))</f>
        <v/>
      </c>
      <c r="B477" s="47" t="n"/>
      <c r="C477" s="48" t="n"/>
      <c r="D477" s="48" t="n"/>
      <c r="E477" s="28">
        <f>IF($C477="","",IF($D477="",IF($C477="Interna","Sin guía (interna)","FALTA GUÍA"),IF(COUNTIFS(ENVIOS!$A$4:$A$3003,$D477)=0,"NO EXISTE",IF(COUNTIFS(ENVIOS!$A$4:$A$3003,$D477)&gt;1,"DUPLICADA","OK"))))</f>
        <v/>
      </c>
      <c r="F477" s="28">
        <f>IF($D477="","",IFERROR(INDEX(ENVIOS!$B$4:$B$3003,MATCH($D477,ENVIOS!$A$4:$A$3003,0)),"—"))</f>
        <v/>
      </c>
      <c r="G477" s="23">
        <f>IF($D477="","",IFERROR(INDEX(ENVIOS!$D$4:$D$3003,MATCH($D477,ENVIOS!$A$4:$A$3003,0)),"—"))</f>
        <v/>
      </c>
      <c r="H477" s="23">
        <f>IF($D477="","",IFERROR(INDEX(ENVIOS!$E$4:$E$3003,MATCH($D477,ENVIOS!$A$4:$A$3003,0)),"—"))</f>
        <v/>
      </c>
      <c r="I477" s="23">
        <f>IF($D477="","",IFERROR(INDEX(ENVIOS!$F$4:$F$3003,MATCH($D477,ENVIOS!$A$4:$A$3003,0)),"—"))</f>
        <v/>
      </c>
      <c r="J477" s="23">
        <f>IF($D477="","",IFERROR(INDEX(ENVIOS!$G$4:$G$3003,MATCH($D477,ENVIOS!$A$4:$A$3003,0)),"—"))</f>
        <v/>
      </c>
      <c r="K477" s="28">
        <f>IF($D477="","",IFERROR(INDEX(ENVIOS!$H$4:$H$3003,MATCH($D477,ENVIOS!$A$4:$A$3003,0)),"—"))</f>
        <v/>
      </c>
      <c r="L477" s="49">
        <f>IF($D477="","",IFERROR(INDEX(ENVIOS!$C$4:$C$3003,MATCH($D477,ENVIOS!$A$4:$A$3003,0)),""))</f>
        <v/>
      </c>
      <c r="M477" s="50" t="n"/>
      <c r="N477" s="28">
        <f>IF($M477="","",IFERROR(INDEX(CONFIG!$C$4:$C$63,MATCH($M477,CONFIG!$A$4:$A$63,0)),"Media"))</f>
        <v/>
      </c>
      <c r="O477" s="28">
        <f>IF($M477="","",IF($C477="Interna","NO",IFERROR(INDEX(CONFIG!$E$4:$E$63,MATCH($M477,CONFIG!$A$4:$A$63,0)),"NO")))</f>
        <v/>
      </c>
      <c r="P477" s="50" t="n"/>
      <c r="Q477" s="50" t="n"/>
      <c r="R477" s="28">
        <f>IF($Q477="","",IFERROR(INDEX(CONFIG!$H$4:$H$63,MATCH($Q477,CONFIG!$G$4:$G$63,0)),"Por definir"))</f>
        <v/>
      </c>
      <c r="S477" s="28">
        <f>IF($Q477="","",IFERROR(INDEX(CONFIG!$I$4:$I$63,MATCH($Q477,CONFIG!$G$4:$G$63,0)),"Por definir"))</f>
        <v/>
      </c>
      <c r="T477" s="51" t="n"/>
      <c r="U477" s="52" t="n"/>
      <c r="V477" s="50" t="n"/>
      <c r="W477" s="50" t="n"/>
      <c r="X477" s="49">
        <f>IF(OR($B477="",$M477=""),"",WORKDAY($B477,IFERROR(INDEX(CONFIG!$D$4:$D$63,MATCH($M477,CONFIG!$A$4:$A$63,0)),3)))</f>
        <v/>
      </c>
      <c r="Y477" s="47" t="n"/>
      <c r="Z477" s="24">
        <f>IF($B477="","",IF($Y477&lt;&gt;"",$Y477-$B477,TODAY()-$B477))</f>
        <v/>
      </c>
      <c r="AA477" s="28">
        <f>IF($B477="","",IF(IFERROR(INDEX(CONFIG!$L$4:$L$63,MATCH($V477,CONFIG!$K$4:$K$63,0)),"NO")="SÍ",IF(OR($Y477="",$X477=""),"Resuelta",IF($Y477&gt;$X477,"Resuelta tarde","Resuelta a tiempo")),IF($X477="","Sin clasificar",IF(TODAY()&gt;$X477,"Vencida",IF(TODAY()&gt;=$X477-1,"Por vencer","En plazo")))))</f>
        <v/>
      </c>
      <c r="AB477" s="50" t="n"/>
      <c r="AC477" s="50" t="n"/>
    </row>
    <row r="478" ht="16" customHeight="1">
      <c r="A478" s="28">
        <f>IF($B478="","","N-"&amp;TEXT(ROW()-3,"0000"))</f>
        <v/>
      </c>
      <c r="B478" s="47" t="n"/>
      <c r="C478" s="48" t="n"/>
      <c r="D478" s="48" t="n"/>
      <c r="E478" s="28">
        <f>IF($C478="","",IF($D478="",IF($C478="Interna","Sin guía (interna)","FALTA GUÍA"),IF(COUNTIFS(ENVIOS!$A$4:$A$3003,$D478)=0,"NO EXISTE",IF(COUNTIFS(ENVIOS!$A$4:$A$3003,$D478)&gt;1,"DUPLICADA","OK"))))</f>
        <v/>
      </c>
      <c r="F478" s="28">
        <f>IF($D478="","",IFERROR(INDEX(ENVIOS!$B$4:$B$3003,MATCH($D478,ENVIOS!$A$4:$A$3003,0)),"—"))</f>
        <v/>
      </c>
      <c r="G478" s="23">
        <f>IF($D478="","",IFERROR(INDEX(ENVIOS!$D$4:$D$3003,MATCH($D478,ENVIOS!$A$4:$A$3003,0)),"—"))</f>
        <v/>
      </c>
      <c r="H478" s="23">
        <f>IF($D478="","",IFERROR(INDEX(ENVIOS!$E$4:$E$3003,MATCH($D478,ENVIOS!$A$4:$A$3003,0)),"—"))</f>
        <v/>
      </c>
      <c r="I478" s="23">
        <f>IF($D478="","",IFERROR(INDEX(ENVIOS!$F$4:$F$3003,MATCH($D478,ENVIOS!$A$4:$A$3003,0)),"—"))</f>
        <v/>
      </c>
      <c r="J478" s="23">
        <f>IF($D478="","",IFERROR(INDEX(ENVIOS!$G$4:$G$3003,MATCH($D478,ENVIOS!$A$4:$A$3003,0)),"—"))</f>
        <v/>
      </c>
      <c r="K478" s="28">
        <f>IF($D478="","",IFERROR(INDEX(ENVIOS!$H$4:$H$3003,MATCH($D478,ENVIOS!$A$4:$A$3003,0)),"—"))</f>
        <v/>
      </c>
      <c r="L478" s="49">
        <f>IF($D478="","",IFERROR(INDEX(ENVIOS!$C$4:$C$3003,MATCH($D478,ENVIOS!$A$4:$A$3003,0)),""))</f>
        <v/>
      </c>
      <c r="M478" s="50" t="n"/>
      <c r="N478" s="28">
        <f>IF($M478="","",IFERROR(INDEX(CONFIG!$C$4:$C$63,MATCH($M478,CONFIG!$A$4:$A$63,0)),"Media"))</f>
        <v/>
      </c>
      <c r="O478" s="28">
        <f>IF($M478="","",IF($C478="Interna","NO",IFERROR(INDEX(CONFIG!$E$4:$E$63,MATCH($M478,CONFIG!$A$4:$A$63,0)),"NO")))</f>
        <v/>
      </c>
      <c r="P478" s="50" t="n"/>
      <c r="Q478" s="50" t="n"/>
      <c r="R478" s="28">
        <f>IF($Q478="","",IFERROR(INDEX(CONFIG!$H$4:$H$63,MATCH($Q478,CONFIG!$G$4:$G$63,0)),"Por definir"))</f>
        <v/>
      </c>
      <c r="S478" s="28">
        <f>IF($Q478="","",IFERROR(INDEX(CONFIG!$I$4:$I$63,MATCH($Q478,CONFIG!$G$4:$G$63,0)),"Por definir"))</f>
        <v/>
      </c>
      <c r="T478" s="51" t="n"/>
      <c r="U478" s="52" t="n"/>
      <c r="V478" s="50" t="n"/>
      <c r="W478" s="50" t="n"/>
      <c r="X478" s="49">
        <f>IF(OR($B478="",$M478=""),"",WORKDAY($B478,IFERROR(INDEX(CONFIG!$D$4:$D$63,MATCH($M478,CONFIG!$A$4:$A$63,0)),3)))</f>
        <v/>
      </c>
      <c r="Y478" s="47" t="n"/>
      <c r="Z478" s="24">
        <f>IF($B478="","",IF($Y478&lt;&gt;"",$Y478-$B478,TODAY()-$B478))</f>
        <v/>
      </c>
      <c r="AA478" s="28">
        <f>IF($B478="","",IF(IFERROR(INDEX(CONFIG!$L$4:$L$63,MATCH($V478,CONFIG!$K$4:$K$63,0)),"NO")="SÍ",IF(OR($Y478="",$X478=""),"Resuelta",IF($Y478&gt;$X478,"Resuelta tarde","Resuelta a tiempo")),IF($X478="","Sin clasificar",IF(TODAY()&gt;$X478,"Vencida",IF(TODAY()&gt;=$X478-1,"Por vencer","En plazo")))))</f>
        <v/>
      </c>
      <c r="AB478" s="50" t="n"/>
      <c r="AC478" s="50" t="n"/>
    </row>
    <row r="479" ht="16" customHeight="1">
      <c r="A479" s="28">
        <f>IF($B479="","","N-"&amp;TEXT(ROW()-3,"0000"))</f>
        <v/>
      </c>
      <c r="B479" s="47" t="n"/>
      <c r="C479" s="48" t="n"/>
      <c r="D479" s="48" t="n"/>
      <c r="E479" s="28">
        <f>IF($C479="","",IF($D479="",IF($C479="Interna","Sin guía (interna)","FALTA GUÍA"),IF(COUNTIFS(ENVIOS!$A$4:$A$3003,$D479)=0,"NO EXISTE",IF(COUNTIFS(ENVIOS!$A$4:$A$3003,$D479)&gt;1,"DUPLICADA","OK"))))</f>
        <v/>
      </c>
      <c r="F479" s="28">
        <f>IF($D479="","",IFERROR(INDEX(ENVIOS!$B$4:$B$3003,MATCH($D479,ENVIOS!$A$4:$A$3003,0)),"—"))</f>
        <v/>
      </c>
      <c r="G479" s="23">
        <f>IF($D479="","",IFERROR(INDEX(ENVIOS!$D$4:$D$3003,MATCH($D479,ENVIOS!$A$4:$A$3003,0)),"—"))</f>
        <v/>
      </c>
      <c r="H479" s="23">
        <f>IF($D479="","",IFERROR(INDEX(ENVIOS!$E$4:$E$3003,MATCH($D479,ENVIOS!$A$4:$A$3003,0)),"—"))</f>
        <v/>
      </c>
      <c r="I479" s="23">
        <f>IF($D479="","",IFERROR(INDEX(ENVIOS!$F$4:$F$3003,MATCH($D479,ENVIOS!$A$4:$A$3003,0)),"—"))</f>
        <v/>
      </c>
      <c r="J479" s="23">
        <f>IF($D479="","",IFERROR(INDEX(ENVIOS!$G$4:$G$3003,MATCH($D479,ENVIOS!$A$4:$A$3003,0)),"—"))</f>
        <v/>
      </c>
      <c r="K479" s="28">
        <f>IF($D479="","",IFERROR(INDEX(ENVIOS!$H$4:$H$3003,MATCH($D479,ENVIOS!$A$4:$A$3003,0)),"—"))</f>
        <v/>
      </c>
      <c r="L479" s="49">
        <f>IF($D479="","",IFERROR(INDEX(ENVIOS!$C$4:$C$3003,MATCH($D479,ENVIOS!$A$4:$A$3003,0)),""))</f>
        <v/>
      </c>
      <c r="M479" s="50" t="n"/>
      <c r="N479" s="28">
        <f>IF($M479="","",IFERROR(INDEX(CONFIG!$C$4:$C$63,MATCH($M479,CONFIG!$A$4:$A$63,0)),"Media"))</f>
        <v/>
      </c>
      <c r="O479" s="28">
        <f>IF($M479="","",IF($C479="Interna","NO",IFERROR(INDEX(CONFIG!$E$4:$E$63,MATCH($M479,CONFIG!$A$4:$A$63,0)),"NO")))</f>
        <v/>
      </c>
      <c r="P479" s="50" t="n"/>
      <c r="Q479" s="50" t="n"/>
      <c r="R479" s="28">
        <f>IF($Q479="","",IFERROR(INDEX(CONFIG!$H$4:$H$63,MATCH($Q479,CONFIG!$G$4:$G$63,0)),"Por definir"))</f>
        <v/>
      </c>
      <c r="S479" s="28">
        <f>IF($Q479="","",IFERROR(INDEX(CONFIG!$I$4:$I$63,MATCH($Q479,CONFIG!$G$4:$G$63,0)),"Por definir"))</f>
        <v/>
      </c>
      <c r="T479" s="51" t="n"/>
      <c r="U479" s="52" t="n"/>
      <c r="V479" s="50" t="n"/>
      <c r="W479" s="50" t="n"/>
      <c r="X479" s="49">
        <f>IF(OR($B479="",$M479=""),"",WORKDAY($B479,IFERROR(INDEX(CONFIG!$D$4:$D$63,MATCH($M479,CONFIG!$A$4:$A$63,0)),3)))</f>
        <v/>
      </c>
      <c r="Y479" s="47" t="n"/>
      <c r="Z479" s="24">
        <f>IF($B479="","",IF($Y479&lt;&gt;"",$Y479-$B479,TODAY()-$B479))</f>
        <v/>
      </c>
      <c r="AA479" s="28">
        <f>IF($B479="","",IF(IFERROR(INDEX(CONFIG!$L$4:$L$63,MATCH($V479,CONFIG!$K$4:$K$63,0)),"NO")="SÍ",IF(OR($Y479="",$X479=""),"Resuelta",IF($Y479&gt;$X479,"Resuelta tarde","Resuelta a tiempo")),IF($X479="","Sin clasificar",IF(TODAY()&gt;$X479,"Vencida",IF(TODAY()&gt;=$X479-1,"Por vencer","En plazo")))))</f>
        <v/>
      </c>
      <c r="AB479" s="50" t="n"/>
      <c r="AC479" s="50" t="n"/>
    </row>
    <row r="480" ht="16" customHeight="1">
      <c r="A480" s="28">
        <f>IF($B480="","","N-"&amp;TEXT(ROW()-3,"0000"))</f>
        <v/>
      </c>
      <c r="B480" s="47" t="n"/>
      <c r="C480" s="48" t="n"/>
      <c r="D480" s="48" t="n"/>
      <c r="E480" s="28">
        <f>IF($C480="","",IF($D480="",IF($C480="Interna","Sin guía (interna)","FALTA GUÍA"),IF(COUNTIFS(ENVIOS!$A$4:$A$3003,$D480)=0,"NO EXISTE",IF(COUNTIFS(ENVIOS!$A$4:$A$3003,$D480)&gt;1,"DUPLICADA","OK"))))</f>
        <v/>
      </c>
      <c r="F480" s="28">
        <f>IF($D480="","",IFERROR(INDEX(ENVIOS!$B$4:$B$3003,MATCH($D480,ENVIOS!$A$4:$A$3003,0)),"—"))</f>
        <v/>
      </c>
      <c r="G480" s="23">
        <f>IF($D480="","",IFERROR(INDEX(ENVIOS!$D$4:$D$3003,MATCH($D480,ENVIOS!$A$4:$A$3003,0)),"—"))</f>
        <v/>
      </c>
      <c r="H480" s="23">
        <f>IF($D480="","",IFERROR(INDEX(ENVIOS!$E$4:$E$3003,MATCH($D480,ENVIOS!$A$4:$A$3003,0)),"—"))</f>
        <v/>
      </c>
      <c r="I480" s="23">
        <f>IF($D480="","",IFERROR(INDEX(ENVIOS!$F$4:$F$3003,MATCH($D480,ENVIOS!$A$4:$A$3003,0)),"—"))</f>
        <v/>
      </c>
      <c r="J480" s="23">
        <f>IF($D480="","",IFERROR(INDEX(ENVIOS!$G$4:$G$3003,MATCH($D480,ENVIOS!$A$4:$A$3003,0)),"—"))</f>
        <v/>
      </c>
      <c r="K480" s="28">
        <f>IF($D480="","",IFERROR(INDEX(ENVIOS!$H$4:$H$3003,MATCH($D480,ENVIOS!$A$4:$A$3003,0)),"—"))</f>
        <v/>
      </c>
      <c r="L480" s="49">
        <f>IF($D480="","",IFERROR(INDEX(ENVIOS!$C$4:$C$3003,MATCH($D480,ENVIOS!$A$4:$A$3003,0)),""))</f>
        <v/>
      </c>
      <c r="M480" s="50" t="n"/>
      <c r="N480" s="28">
        <f>IF($M480="","",IFERROR(INDEX(CONFIG!$C$4:$C$63,MATCH($M480,CONFIG!$A$4:$A$63,0)),"Media"))</f>
        <v/>
      </c>
      <c r="O480" s="28">
        <f>IF($M480="","",IF($C480="Interna","NO",IFERROR(INDEX(CONFIG!$E$4:$E$63,MATCH($M480,CONFIG!$A$4:$A$63,0)),"NO")))</f>
        <v/>
      </c>
      <c r="P480" s="50" t="n"/>
      <c r="Q480" s="50" t="n"/>
      <c r="R480" s="28">
        <f>IF($Q480="","",IFERROR(INDEX(CONFIG!$H$4:$H$63,MATCH($Q480,CONFIG!$G$4:$G$63,0)),"Por definir"))</f>
        <v/>
      </c>
      <c r="S480" s="28">
        <f>IF($Q480="","",IFERROR(INDEX(CONFIG!$I$4:$I$63,MATCH($Q480,CONFIG!$G$4:$G$63,0)),"Por definir"))</f>
        <v/>
      </c>
      <c r="T480" s="51" t="n"/>
      <c r="U480" s="52" t="n"/>
      <c r="V480" s="50" t="n"/>
      <c r="W480" s="50" t="n"/>
      <c r="X480" s="49">
        <f>IF(OR($B480="",$M480=""),"",WORKDAY($B480,IFERROR(INDEX(CONFIG!$D$4:$D$63,MATCH($M480,CONFIG!$A$4:$A$63,0)),3)))</f>
        <v/>
      </c>
      <c r="Y480" s="47" t="n"/>
      <c r="Z480" s="24">
        <f>IF($B480="","",IF($Y480&lt;&gt;"",$Y480-$B480,TODAY()-$B480))</f>
        <v/>
      </c>
      <c r="AA480" s="28">
        <f>IF($B480="","",IF(IFERROR(INDEX(CONFIG!$L$4:$L$63,MATCH($V480,CONFIG!$K$4:$K$63,0)),"NO")="SÍ",IF(OR($Y480="",$X480=""),"Resuelta",IF($Y480&gt;$X480,"Resuelta tarde","Resuelta a tiempo")),IF($X480="","Sin clasificar",IF(TODAY()&gt;$X480,"Vencida",IF(TODAY()&gt;=$X480-1,"Por vencer","En plazo")))))</f>
        <v/>
      </c>
      <c r="AB480" s="50" t="n"/>
      <c r="AC480" s="50" t="n"/>
    </row>
    <row r="481" ht="16" customHeight="1">
      <c r="A481" s="28">
        <f>IF($B481="","","N-"&amp;TEXT(ROW()-3,"0000"))</f>
        <v/>
      </c>
      <c r="B481" s="47" t="n"/>
      <c r="C481" s="48" t="n"/>
      <c r="D481" s="48" t="n"/>
      <c r="E481" s="28">
        <f>IF($C481="","",IF($D481="",IF($C481="Interna","Sin guía (interna)","FALTA GUÍA"),IF(COUNTIFS(ENVIOS!$A$4:$A$3003,$D481)=0,"NO EXISTE",IF(COUNTIFS(ENVIOS!$A$4:$A$3003,$D481)&gt;1,"DUPLICADA","OK"))))</f>
        <v/>
      </c>
      <c r="F481" s="28">
        <f>IF($D481="","",IFERROR(INDEX(ENVIOS!$B$4:$B$3003,MATCH($D481,ENVIOS!$A$4:$A$3003,0)),"—"))</f>
        <v/>
      </c>
      <c r="G481" s="23">
        <f>IF($D481="","",IFERROR(INDEX(ENVIOS!$D$4:$D$3003,MATCH($D481,ENVIOS!$A$4:$A$3003,0)),"—"))</f>
        <v/>
      </c>
      <c r="H481" s="23">
        <f>IF($D481="","",IFERROR(INDEX(ENVIOS!$E$4:$E$3003,MATCH($D481,ENVIOS!$A$4:$A$3003,0)),"—"))</f>
        <v/>
      </c>
      <c r="I481" s="23">
        <f>IF($D481="","",IFERROR(INDEX(ENVIOS!$F$4:$F$3003,MATCH($D481,ENVIOS!$A$4:$A$3003,0)),"—"))</f>
        <v/>
      </c>
      <c r="J481" s="23">
        <f>IF($D481="","",IFERROR(INDEX(ENVIOS!$G$4:$G$3003,MATCH($D481,ENVIOS!$A$4:$A$3003,0)),"—"))</f>
        <v/>
      </c>
      <c r="K481" s="28">
        <f>IF($D481="","",IFERROR(INDEX(ENVIOS!$H$4:$H$3003,MATCH($D481,ENVIOS!$A$4:$A$3003,0)),"—"))</f>
        <v/>
      </c>
      <c r="L481" s="49">
        <f>IF($D481="","",IFERROR(INDEX(ENVIOS!$C$4:$C$3003,MATCH($D481,ENVIOS!$A$4:$A$3003,0)),""))</f>
        <v/>
      </c>
      <c r="M481" s="50" t="n"/>
      <c r="N481" s="28">
        <f>IF($M481="","",IFERROR(INDEX(CONFIG!$C$4:$C$63,MATCH($M481,CONFIG!$A$4:$A$63,0)),"Media"))</f>
        <v/>
      </c>
      <c r="O481" s="28">
        <f>IF($M481="","",IF($C481="Interna","NO",IFERROR(INDEX(CONFIG!$E$4:$E$63,MATCH($M481,CONFIG!$A$4:$A$63,0)),"NO")))</f>
        <v/>
      </c>
      <c r="P481" s="50" t="n"/>
      <c r="Q481" s="50" t="n"/>
      <c r="R481" s="28">
        <f>IF($Q481="","",IFERROR(INDEX(CONFIG!$H$4:$H$63,MATCH($Q481,CONFIG!$G$4:$G$63,0)),"Por definir"))</f>
        <v/>
      </c>
      <c r="S481" s="28">
        <f>IF($Q481="","",IFERROR(INDEX(CONFIG!$I$4:$I$63,MATCH($Q481,CONFIG!$G$4:$G$63,0)),"Por definir"))</f>
        <v/>
      </c>
      <c r="T481" s="51" t="n"/>
      <c r="U481" s="52" t="n"/>
      <c r="V481" s="50" t="n"/>
      <c r="W481" s="50" t="n"/>
      <c r="X481" s="49">
        <f>IF(OR($B481="",$M481=""),"",WORKDAY($B481,IFERROR(INDEX(CONFIG!$D$4:$D$63,MATCH($M481,CONFIG!$A$4:$A$63,0)),3)))</f>
        <v/>
      </c>
      <c r="Y481" s="47" t="n"/>
      <c r="Z481" s="24">
        <f>IF($B481="","",IF($Y481&lt;&gt;"",$Y481-$B481,TODAY()-$B481))</f>
        <v/>
      </c>
      <c r="AA481" s="28">
        <f>IF($B481="","",IF(IFERROR(INDEX(CONFIG!$L$4:$L$63,MATCH($V481,CONFIG!$K$4:$K$63,0)),"NO")="SÍ",IF(OR($Y481="",$X481=""),"Resuelta",IF($Y481&gt;$X481,"Resuelta tarde","Resuelta a tiempo")),IF($X481="","Sin clasificar",IF(TODAY()&gt;$X481,"Vencida",IF(TODAY()&gt;=$X481-1,"Por vencer","En plazo")))))</f>
        <v/>
      </c>
      <c r="AB481" s="50" t="n"/>
      <c r="AC481" s="50" t="n"/>
    </row>
    <row r="482" ht="16" customHeight="1">
      <c r="A482" s="28">
        <f>IF($B482="","","N-"&amp;TEXT(ROW()-3,"0000"))</f>
        <v/>
      </c>
      <c r="B482" s="47" t="n"/>
      <c r="C482" s="48" t="n"/>
      <c r="D482" s="48" t="n"/>
      <c r="E482" s="28">
        <f>IF($C482="","",IF($D482="",IF($C482="Interna","Sin guía (interna)","FALTA GUÍA"),IF(COUNTIFS(ENVIOS!$A$4:$A$3003,$D482)=0,"NO EXISTE",IF(COUNTIFS(ENVIOS!$A$4:$A$3003,$D482)&gt;1,"DUPLICADA","OK"))))</f>
        <v/>
      </c>
      <c r="F482" s="28">
        <f>IF($D482="","",IFERROR(INDEX(ENVIOS!$B$4:$B$3003,MATCH($D482,ENVIOS!$A$4:$A$3003,0)),"—"))</f>
        <v/>
      </c>
      <c r="G482" s="23">
        <f>IF($D482="","",IFERROR(INDEX(ENVIOS!$D$4:$D$3003,MATCH($D482,ENVIOS!$A$4:$A$3003,0)),"—"))</f>
        <v/>
      </c>
      <c r="H482" s="23">
        <f>IF($D482="","",IFERROR(INDEX(ENVIOS!$E$4:$E$3003,MATCH($D482,ENVIOS!$A$4:$A$3003,0)),"—"))</f>
        <v/>
      </c>
      <c r="I482" s="23">
        <f>IF($D482="","",IFERROR(INDEX(ENVIOS!$F$4:$F$3003,MATCH($D482,ENVIOS!$A$4:$A$3003,0)),"—"))</f>
        <v/>
      </c>
      <c r="J482" s="23">
        <f>IF($D482="","",IFERROR(INDEX(ENVIOS!$G$4:$G$3003,MATCH($D482,ENVIOS!$A$4:$A$3003,0)),"—"))</f>
        <v/>
      </c>
      <c r="K482" s="28">
        <f>IF($D482="","",IFERROR(INDEX(ENVIOS!$H$4:$H$3003,MATCH($D482,ENVIOS!$A$4:$A$3003,0)),"—"))</f>
        <v/>
      </c>
      <c r="L482" s="49">
        <f>IF($D482="","",IFERROR(INDEX(ENVIOS!$C$4:$C$3003,MATCH($D482,ENVIOS!$A$4:$A$3003,0)),""))</f>
        <v/>
      </c>
      <c r="M482" s="50" t="n"/>
      <c r="N482" s="28">
        <f>IF($M482="","",IFERROR(INDEX(CONFIG!$C$4:$C$63,MATCH($M482,CONFIG!$A$4:$A$63,0)),"Media"))</f>
        <v/>
      </c>
      <c r="O482" s="28">
        <f>IF($M482="","",IF($C482="Interna","NO",IFERROR(INDEX(CONFIG!$E$4:$E$63,MATCH($M482,CONFIG!$A$4:$A$63,0)),"NO")))</f>
        <v/>
      </c>
      <c r="P482" s="50" t="n"/>
      <c r="Q482" s="50" t="n"/>
      <c r="R482" s="28">
        <f>IF($Q482="","",IFERROR(INDEX(CONFIG!$H$4:$H$63,MATCH($Q482,CONFIG!$G$4:$G$63,0)),"Por definir"))</f>
        <v/>
      </c>
      <c r="S482" s="28">
        <f>IF($Q482="","",IFERROR(INDEX(CONFIG!$I$4:$I$63,MATCH($Q482,CONFIG!$G$4:$G$63,0)),"Por definir"))</f>
        <v/>
      </c>
      <c r="T482" s="51" t="n"/>
      <c r="U482" s="52" t="n"/>
      <c r="V482" s="50" t="n"/>
      <c r="W482" s="50" t="n"/>
      <c r="X482" s="49">
        <f>IF(OR($B482="",$M482=""),"",WORKDAY($B482,IFERROR(INDEX(CONFIG!$D$4:$D$63,MATCH($M482,CONFIG!$A$4:$A$63,0)),3)))</f>
        <v/>
      </c>
      <c r="Y482" s="47" t="n"/>
      <c r="Z482" s="24">
        <f>IF($B482="","",IF($Y482&lt;&gt;"",$Y482-$B482,TODAY()-$B482))</f>
        <v/>
      </c>
      <c r="AA482" s="28">
        <f>IF($B482="","",IF(IFERROR(INDEX(CONFIG!$L$4:$L$63,MATCH($V482,CONFIG!$K$4:$K$63,0)),"NO")="SÍ",IF(OR($Y482="",$X482=""),"Resuelta",IF($Y482&gt;$X482,"Resuelta tarde","Resuelta a tiempo")),IF($X482="","Sin clasificar",IF(TODAY()&gt;$X482,"Vencida",IF(TODAY()&gt;=$X482-1,"Por vencer","En plazo")))))</f>
        <v/>
      </c>
      <c r="AB482" s="50" t="n"/>
      <c r="AC482" s="50" t="n"/>
    </row>
    <row r="483" ht="16" customHeight="1">
      <c r="A483" s="28">
        <f>IF($B483="","","N-"&amp;TEXT(ROW()-3,"0000"))</f>
        <v/>
      </c>
      <c r="B483" s="47" t="n"/>
      <c r="C483" s="48" t="n"/>
      <c r="D483" s="48" t="n"/>
      <c r="E483" s="28">
        <f>IF($C483="","",IF($D483="",IF($C483="Interna","Sin guía (interna)","FALTA GUÍA"),IF(COUNTIFS(ENVIOS!$A$4:$A$3003,$D483)=0,"NO EXISTE",IF(COUNTIFS(ENVIOS!$A$4:$A$3003,$D483)&gt;1,"DUPLICADA","OK"))))</f>
        <v/>
      </c>
      <c r="F483" s="28">
        <f>IF($D483="","",IFERROR(INDEX(ENVIOS!$B$4:$B$3003,MATCH($D483,ENVIOS!$A$4:$A$3003,0)),"—"))</f>
        <v/>
      </c>
      <c r="G483" s="23">
        <f>IF($D483="","",IFERROR(INDEX(ENVIOS!$D$4:$D$3003,MATCH($D483,ENVIOS!$A$4:$A$3003,0)),"—"))</f>
        <v/>
      </c>
      <c r="H483" s="23">
        <f>IF($D483="","",IFERROR(INDEX(ENVIOS!$E$4:$E$3003,MATCH($D483,ENVIOS!$A$4:$A$3003,0)),"—"))</f>
        <v/>
      </c>
      <c r="I483" s="23">
        <f>IF($D483="","",IFERROR(INDEX(ENVIOS!$F$4:$F$3003,MATCH($D483,ENVIOS!$A$4:$A$3003,0)),"—"))</f>
        <v/>
      </c>
      <c r="J483" s="23">
        <f>IF($D483="","",IFERROR(INDEX(ENVIOS!$G$4:$G$3003,MATCH($D483,ENVIOS!$A$4:$A$3003,0)),"—"))</f>
        <v/>
      </c>
      <c r="K483" s="28">
        <f>IF($D483="","",IFERROR(INDEX(ENVIOS!$H$4:$H$3003,MATCH($D483,ENVIOS!$A$4:$A$3003,0)),"—"))</f>
        <v/>
      </c>
      <c r="L483" s="49">
        <f>IF($D483="","",IFERROR(INDEX(ENVIOS!$C$4:$C$3003,MATCH($D483,ENVIOS!$A$4:$A$3003,0)),""))</f>
        <v/>
      </c>
      <c r="M483" s="50" t="n"/>
      <c r="N483" s="28">
        <f>IF($M483="","",IFERROR(INDEX(CONFIG!$C$4:$C$63,MATCH($M483,CONFIG!$A$4:$A$63,0)),"Media"))</f>
        <v/>
      </c>
      <c r="O483" s="28">
        <f>IF($M483="","",IF($C483="Interna","NO",IFERROR(INDEX(CONFIG!$E$4:$E$63,MATCH($M483,CONFIG!$A$4:$A$63,0)),"NO")))</f>
        <v/>
      </c>
      <c r="P483" s="50" t="n"/>
      <c r="Q483" s="50" t="n"/>
      <c r="R483" s="28">
        <f>IF($Q483="","",IFERROR(INDEX(CONFIG!$H$4:$H$63,MATCH($Q483,CONFIG!$G$4:$G$63,0)),"Por definir"))</f>
        <v/>
      </c>
      <c r="S483" s="28">
        <f>IF($Q483="","",IFERROR(INDEX(CONFIG!$I$4:$I$63,MATCH($Q483,CONFIG!$G$4:$G$63,0)),"Por definir"))</f>
        <v/>
      </c>
      <c r="T483" s="51" t="n"/>
      <c r="U483" s="52" t="n"/>
      <c r="V483" s="50" t="n"/>
      <c r="W483" s="50" t="n"/>
      <c r="X483" s="49">
        <f>IF(OR($B483="",$M483=""),"",WORKDAY($B483,IFERROR(INDEX(CONFIG!$D$4:$D$63,MATCH($M483,CONFIG!$A$4:$A$63,0)),3)))</f>
        <v/>
      </c>
      <c r="Y483" s="47" t="n"/>
      <c r="Z483" s="24">
        <f>IF($B483="","",IF($Y483&lt;&gt;"",$Y483-$B483,TODAY()-$B483))</f>
        <v/>
      </c>
      <c r="AA483" s="28">
        <f>IF($B483="","",IF(IFERROR(INDEX(CONFIG!$L$4:$L$63,MATCH($V483,CONFIG!$K$4:$K$63,0)),"NO")="SÍ",IF(OR($Y483="",$X483=""),"Resuelta",IF($Y483&gt;$X483,"Resuelta tarde","Resuelta a tiempo")),IF($X483="","Sin clasificar",IF(TODAY()&gt;$X483,"Vencida",IF(TODAY()&gt;=$X483-1,"Por vencer","En plazo")))))</f>
        <v/>
      </c>
      <c r="AB483" s="50" t="n"/>
      <c r="AC483" s="50" t="n"/>
    </row>
    <row r="484" ht="16" customHeight="1">
      <c r="A484" s="28">
        <f>IF($B484="","","N-"&amp;TEXT(ROW()-3,"0000"))</f>
        <v/>
      </c>
      <c r="B484" s="47" t="n"/>
      <c r="C484" s="48" t="n"/>
      <c r="D484" s="48" t="n"/>
      <c r="E484" s="28">
        <f>IF($C484="","",IF($D484="",IF($C484="Interna","Sin guía (interna)","FALTA GUÍA"),IF(COUNTIFS(ENVIOS!$A$4:$A$3003,$D484)=0,"NO EXISTE",IF(COUNTIFS(ENVIOS!$A$4:$A$3003,$D484)&gt;1,"DUPLICADA","OK"))))</f>
        <v/>
      </c>
      <c r="F484" s="28">
        <f>IF($D484="","",IFERROR(INDEX(ENVIOS!$B$4:$B$3003,MATCH($D484,ENVIOS!$A$4:$A$3003,0)),"—"))</f>
        <v/>
      </c>
      <c r="G484" s="23">
        <f>IF($D484="","",IFERROR(INDEX(ENVIOS!$D$4:$D$3003,MATCH($D484,ENVIOS!$A$4:$A$3003,0)),"—"))</f>
        <v/>
      </c>
      <c r="H484" s="23">
        <f>IF($D484="","",IFERROR(INDEX(ENVIOS!$E$4:$E$3003,MATCH($D484,ENVIOS!$A$4:$A$3003,0)),"—"))</f>
        <v/>
      </c>
      <c r="I484" s="23">
        <f>IF($D484="","",IFERROR(INDEX(ENVIOS!$F$4:$F$3003,MATCH($D484,ENVIOS!$A$4:$A$3003,0)),"—"))</f>
        <v/>
      </c>
      <c r="J484" s="23">
        <f>IF($D484="","",IFERROR(INDEX(ENVIOS!$G$4:$G$3003,MATCH($D484,ENVIOS!$A$4:$A$3003,0)),"—"))</f>
        <v/>
      </c>
      <c r="K484" s="28">
        <f>IF($D484="","",IFERROR(INDEX(ENVIOS!$H$4:$H$3003,MATCH($D484,ENVIOS!$A$4:$A$3003,0)),"—"))</f>
        <v/>
      </c>
      <c r="L484" s="49">
        <f>IF($D484="","",IFERROR(INDEX(ENVIOS!$C$4:$C$3003,MATCH($D484,ENVIOS!$A$4:$A$3003,0)),""))</f>
        <v/>
      </c>
      <c r="M484" s="50" t="n"/>
      <c r="N484" s="28">
        <f>IF($M484="","",IFERROR(INDEX(CONFIG!$C$4:$C$63,MATCH($M484,CONFIG!$A$4:$A$63,0)),"Media"))</f>
        <v/>
      </c>
      <c r="O484" s="28">
        <f>IF($M484="","",IF($C484="Interna","NO",IFERROR(INDEX(CONFIG!$E$4:$E$63,MATCH($M484,CONFIG!$A$4:$A$63,0)),"NO")))</f>
        <v/>
      </c>
      <c r="P484" s="50" t="n"/>
      <c r="Q484" s="50" t="n"/>
      <c r="R484" s="28">
        <f>IF($Q484="","",IFERROR(INDEX(CONFIG!$H$4:$H$63,MATCH($Q484,CONFIG!$G$4:$G$63,0)),"Por definir"))</f>
        <v/>
      </c>
      <c r="S484" s="28">
        <f>IF($Q484="","",IFERROR(INDEX(CONFIG!$I$4:$I$63,MATCH($Q484,CONFIG!$G$4:$G$63,0)),"Por definir"))</f>
        <v/>
      </c>
      <c r="T484" s="51" t="n"/>
      <c r="U484" s="52" t="n"/>
      <c r="V484" s="50" t="n"/>
      <c r="W484" s="50" t="n"/>
      <c r="X484" s="49">
        <f>IF(OR($B484="",$M484=""),"",WORKDAY($B484,IFERROR(INDEX(CONFIG!$D$4:$D$63,MATCH($M484,CONFIG!$A$4:$A$63,0)),3)))</f>
        <v/>
      </c>
      <c r="Y484" s="47" t="n"/>
      <c r="Z484" s="24">
        <f>IF($B484="","",IF($Y484&lt;&gt;"",$Y484-$B484,TODAY()-$B484))</f>
        <v/>
      </c>
      <c r="AA484" s="28">
        <f>IF($B484="","",IF(IFERROR(INDEX(CONFIG!$L$4:$L$63,MATCH($V484,CONFIG!$K$4:$K$63,0)),"NO")="SÍ",IF(OR($Y484="",$X484=""),"Resuelta",IF($Y484&gt;$X484,"Resuelta tarde","Resuelta a tiempo")),IF($X484="","Sin clasificar",IF(TODAY()&gt;$X484,"Vencida",IF(TODAY()&gt;=$X484-1,"Por vencer","En plazo")))))</f>
        <v/>
      </c>
      <c r="AB484" s="50" t="n"/>
      <c r="AC484" s="50" t="n"/>
    </row>
    <row r="485" ht="16" customHeight="1">
      <c r="A485" s="28">
        <f>IF($B485="","","N-"&amp;TEXT(ROW()-3,"0000"))</f>
        <v/>
      </c>
      <c r="B485" s="47" t="n"/>
      <c r="C485" s="48" t="n"/>
      <c r="D485" s="48" t="n"/>
      <c r="E485" s="28">
        <f>IF($C485="","",IF($D485="",IF($C485="Interna","Sin guía (interna)","FALTA GUÍA"),IF(COUNTIFS(ENVIOS!$A$4:$A$3003,$D485)=0,"NO EXISTE",IF(COUNTIFS(ENVIOS!$A$4:$A$3003,$D485)&gt;1,"DUPLICADA","OK"))))</f>
        <v/>
      </c>
      <c r="F485" s="28">
        <f>IF($D485="","",IFERROR(INDEX(ENVIOS!$B$4:$B$3003,MATCH($D485,ENVIOS!$A$4:$A$3003,0)),"—"))</f>
        <v/>
      </c>
      <c r="G485" s="23">
        <f>IF($D485="","",IFERROR(INDEX(ENVIOS!$D$4:$D$3003,MATCH($D485,ENVIOS!$A$4:$A$3003,0)),"—"))</f>
        <v/>
      </c>
      <c r="H485" s="23">
        <f>IF($D485="","",IFERROR(INDEX(ENVIOS!$E$4:$E$3003,MATCH($D485,ENVIOS!$A$4:$A$3003,0)),"—"))</f>
        <v/>
      </c>
      <c r="I485" s="23">
        <f>IF($D485="","",IFERROR(INDEX(ENVIOS!$F$4:$F$3003,MATCH($D485,ENVIOS!$A$4:$A$3003,0)),"—"))</f>
        <v/>
      </c>
      <c r="J485" s="23">
        <f>IF($D485="","",IFERROR(INDEX(ENVIOS!$G$4:$G$3003,MATCH($D485,ENVIOS!$A$4:$A$3003,0)),"—"))</f>
        <v/>
      </c>
      <c r="K485" s="28">
        <f>IF($D485="","",IFERROR(INDEX(ENVIOS!$H$4:$H$3003,MATCH($D485,ENVIOS!$A$4:$A$3003,0)),"—"))</f>
        <v/>
      </c>
      <c r="L485" s="49">
        <f>IF($D485="","",IFERROR(INDEX(ENVIOS!$C$4:$C$3003,MATCH($D485,ENVIOS!$A$4:$A$3003,0)),""))</f>
        <v/>
      </c>
      <c r="M485" s="50" t="n"/>
      <c r="N485" s="28">
        <f>IF($M485="","",IFERROR(INDEX(CONFIG!$C$4:$C$63,MATCH($M485,CONFIG!$A$4:$A$63,0)),"Media"))</f>
        <v/>
      </c>
      <c r="O485" s="28">
        <f>IF($M485="","",IF($C485="Interna","NO",IFERROR(INDEX(CONFIG!$E$4:$E$63,MATCH($M485,CONFIG!$A$4:$A$63,0)),"NO")))</f>
        <v/>
      </c>
      <c r="P485" s="50" t="n"/>
      <c r="Q485" s="50" t="n"/>
      <c r="R485" s="28">
        <f>IF($Q485="","",IFERROR(INDEX(CONFIG!$H$4:$H$63,MATCH($Q485,CONFIG!$G$4:$G$63,0)),"Por definir"))</f>
        <v/>
      </c>
      <c r="S485" s="28">
        <f>IF($Q485="","",IFERROR(INDEX(CONFIG!$I$4:$I$63,MATCH($Q485,CONFIG!$G$4:$G$63,0)),"Por definir"))</f>
        <v/>
      </c>
      <c r="T485" s="51" t="n"/>
      <c r="U485" s="52" t="n"/>
      <c r="V485" s="50" t="n"/>
      <c r="W485" s="50" t="n"/>
      <c r="X485" s="49">
        <f>IF(OR($B485="",$M485=""),"",WORKDAY($B485,IFERROR(INDEX(CONFIG!$D$4:$D$63,MATCH($M485,CONFIG!$A$4:$A$63,0)),3)))</f>
        <v/>
      </c>
      <c r="Y485" s="47" t="n"/>
      <c r="Z485" s="24">
        <f>IF($B485="","",IF($Y485&lt;&gt;"",$Y485-$B485,TODAY()-$B485))</f>
        <v/>
      </c>
      <c r="AA485" s="28">
        <f>IF($B485="","",IF(IFERROR(INDEX(CONFIG!$L$4:$L$63,MATCH($V485,CONFIG!$K$4:$K$63,0)),"NO")="SÍ",IF(OR($Y485="",$X485=""),"Resuelta",IF($Y485&gt;$X485,"Resuelta tarde","Resuelta a tiempo")),IF($X485="","Sin clasificar",IF(TODAY()&gt;$X485,"Vencida",IF(TODAY()&gt;=$X485-1,"Por vencer","En plazo")))))</f>
        <v/>
      </c>
      <c r="AB485" s="50" t="n"/>
      <c r="AC485" s="50" t="n"/>
    </row>
    <row r="486" ht="16" customHeight="1">
      <c r="A486" s="28">
        <f>IF($B486="","","N-"&amp;TEXT(ROW()-3,"0000"))</f>
        <v/>
      </c>
      <c r="B486" s="47" t="n"/>
      <c r="C486" s="48" t="n"/>
      <c r="D486" s="48" t="n"/>
      <c r="E486" s="28">
        <f>IF($C486="","",IF($D486="",IF($C486="Interna","Sin guía (interna)","FALTA GUÍA"),IF(COUNTIFS(ENVIOS!$A$4:$A$3003,$D486)=0,"NO EXISTE",IF(COUNTIFS(ENVIOS!$A$4:$A$3003,$D486)&gt;1,"DUPLICADA","OK"))))</f>
        <v/>
      </c>
      <c r="F486" s="28">
        <f>IF($D486="","",IFERROR(INDEX(ENVIOS!$B$4:$B$3003,MATCH($D486,ENVIOS!$A$4:$A$3003,0)),"—"))</f>
        <v/>
      </c>
      <c r="G486" s="23">
        <f>IF($D486="","",IFERROR(INDEX(ENVIOS!$D$4:$D$3003,MATCH($D486,ENVIOS!$A$4:$A$3003,0)),"—"))</f>
        <v/>
      </c>
      <c r="H486" s="23">
        <f>IF($D486="","",IFERROR(INDEX(ENVIOS!$E$4:$E$3003,MATCH($D486,ENVIOS!$A$4:$A$3003,0)),"—"))</f>
        <v/>
      </c>
      <c r="I486" s="23">
        <f>IF($D486="","",IFERROR(INDEX(ENVIOS!$F$4:$F$3003,MATCH($D486,ENVIOS!$A$4:$A$3003,0)),"—"))</f>
        <v/>
      </c>
      <c r="J486" s="23">
        <f>IF($D486="","",IFERROR(INDEX(ENVIOS!$G$4:$G$3003,MATCH($D486,ENVIOS!$A$4:$A$3003,0)),"—"))</f>
        <v/>
      </c>
      <c r="K486" s="28">
        <f>IF($D486="","",IFERROR(INDEX(ENVIOS!$H$4:$H$3003,MATCH($D486,ENVIOS!$A$4:$A$3003,0)),"—"))</f>
        <v/>
      </c>
      <c r="L486" s="49">
        <f>IF($D486="","",IFERROR(INDEX(ENVIOS!$C$4:$C$3003,MATCH($D486,ENVIOS!$A$4:$A$3003,0)),""))</f>
        <v/>
      </c>
      <c r="M486" s="50" t="n"/>
      <c r="N486" s="28">
        <f>IF($M486="","",IFERROR(INDEX(CONFIG!$C$4:$C$63,MATCH($M486,CONFIG!$A$4:$A$63,0)),"Media"))</f>
        <v/>
      </c>
      <c r="O486" s="28">
        <f>IF($M486="","",IF($C486="Interna","NO",IFERROR(INDEX(CONFIG!$E$4:$E$63,MATCH($M486,CONFIG!$A$4:$A$63,0)),"NO")))</f>
        <v/>
      </c>
      <c r="P486" s="50" t="n"/>
      <c r="Q486" s="50" t="n"/>
      <c r="R486" s="28">
        <f>IF($Q486="","",IFERROR(INDEX(CONFIG!$H$4:$H$63,MATCH($Q486,CONFIG!$G$4:$G$63,0)),"Por definir"))</f>
        <v/>
      </c>
      <c r="S486" s="28">
        <f>IF($Q486="","",IFERROR(INDEX(CONFIG!$I$4:$I$63,MATCH($Q486,CONFIG!$G$4:$G$63,0)),"Por definir"))</f>
        <v/>
      </c>
      <c r="T486" s="51" t="n"/>
      <c r="U486" s="52" t="n"/>
      <c r="V486" s="50" t="n"/>
      <c r="W486" s="50" t="n"/>
      <c r="X486" s="49">
        <f>IF(OR($B486="",$M486=""),"",WORKDAY($B486,IFERROR(INDEX(CONFIG!$D$4:$D$63,MATCH($M486,CONFIG!$A$4:$A$63,0)),3)))</f>
        <v/>
      </c>
      <c r="Y486" s="47" t="n"/>
      <c r="Z486" s="24">
        <f>IF($B486="","",IF($Y486&lt;&gt;"",$Y486-$B486,TODAY()-$B486))</f>
        <v/>
      </c>
      <c r="AA486" s="28">
        <f>IF($B486="","",IF(IFERROR(INDEX(CONFIG!$L$4:$L$63,MATCH($V486,CONFIG!$K$4:$K$63,0)),"NO")="SÍ",IF(OR($Y486="",$X486=""),"Resuelta",IF($Y486&gt;$X486,"Resuelta tarde","Resuelta a tiempo")),IF($X486="","Sin clasificar",IF(TODAY()&gt;$X486,"Vencida",IF(TODAY()&gt;=$X486-1,"Por vencer","En plazo")))))</f>
        <v/>
      </c>
      <c r="AB486" s="50" t="n"/>
      <c r="AC486" s="50" t="n"/>
    </row>
    <row r="487" ht="16" customHeight="1">
      <c r="A487" s="28">
        <f>IF($B487="","","N-"&amp;TEXT(ROW()-3,"0000"))</f>
        <v/>
      </c>
      <c r="B487" s="47" t="n"/>
      <c r="C487" s="48" t="n"/>
      <c r="D487" s="48" t="n"/>
      <c r="E487" s="28">
        <f>IF($C487="","",IF($D487="",IF($C487="Interna","Sin guía (interna)","FALTA GUÍA"),IF(COUNTIFS(ENVIOS!$A$4:$A$3003,$D487)=0,"NO EXISTE",IF(COUNTIFS(ENVIOS!$A$4:$A$3003,$D487)&gt;1,"DUPLICADA","OK"))))</f>
        <v/>
      </c>
      <c r="F487" s="28">
        <f>IF($D487="","",IFERROR(INDEX(ENVIOS!$B$4:$B$3003,MATCH($D487,ENVIOS!$A$4:$A$3003,0)),"—"))</f>
        <v/>
      </c>
      <c r="G487" s="23">
        <f>IF($D487="","",IFERROR(INDEX(ENVIOS!$D$4:$D$3003,MATCH($D487,ENVIOS!$A$4:$A$3003,0)),"—"))</f>
        <v/>
      </c>
      <c r="H487" s="23">
        <f>IF($D487="","",IFERROR(INDEX(ENVIOS!$E$4:$E$3003,MATCH($D487,ENVIOS!$A$4:$A$3003,0)),"—"))</f>
        <v/>
      </c>
      <c r="I487" s="23">
        <f>IF($D487="","",IFERROR(INDEX(ENVIOS!$F$4:$F$3003,MATCH($D487,ENVIOS!$A$4:$A$3003,0)),"—"))</f>
        <v/>
      </c>
      <c r="J487" s="23">
        <f>IF($D487="","",IFERROR(INDEX(ENVIOS!$G$4:$G$3003,MATCH($D487,ENVIOS!$A$4:$A$3003,0)),"—"))</f>
        <v/>
      </c>
      <c r="K487" s="28">
        <f>IF($D487="","",IFERROR(INDEX(ENVIOS!$H$4:$H$3003,MATCH($D487,ENVIOS!$A$4:$A$3003,0)),"—"))</f>
        <v/>
      </c>
      <c r="L487" s="49">
        <f>IF($D487="","",IFERROR(INDEX(ENVIOS!$C$4:$C$3003,MATCH($D487,ENVIOS!$A$4:$A$3003,0)),""))</f>
        <v/>
      </c>
      <c r="M487" s="50" t="n"/>
      <c r="N487" s="28">
        <f>IF($M487="","",IFERROR(INDEX(CONFIG!$C$4:$C$63,MATCH($M487,CONFIG!$A$4:$A$63,0)),"Media"))</f>
        <v/>
      </c>
      <c r="O487" s="28">
        <f>IF($M487="","",IF($C487="Interna","NO",IFERROR(INDEX(CONFIG!$E$4:$E$63,MATCH($M487,CONFIG!$A$4:$A$63,0)),"NO")))</f>
        <v/>
      </c>
      <c r="P487" s="50" t="n"/>
      <c r="Q487" s="50" t="n"/>
      <c r="R487" s="28">
        <f>IF($Q487="","",IFERROR(INDEX(CONFIG!$H$4:$H$63,MATCH($Q487,CONFIG!$G$4:$G$63,0)),"Por definir"))</f>
        <v/>
      </c>
      <c r="S487" s="28">
        <f>IF($Q487="","",IFERROR(INDEX(CONFIG!$I$4:$I$63,MATCH($Q487,CONFIG!$G$4:$G$63,0)),"Por definir"))</f>
        <v/>
      </c>
      <c r="T487" s="51" t="n"/>
      <c r="U487" s="52" t="n"/>
      <c r="V487" s="50" t="n"/>
      <c r="W487" s="50" t="n"/>
      <c r="X487" s="49">
        <f>IF(OR($B487="",$M487=""),"",WORKDAY($B487,IFERROR(INDEX(CONFIG!$D$4:$D$63,MATCH($M487,CONFIG!$A$4:$A$63,0)),3)))</f>
        <v/>
      </c>
      <c r="Y487" s="47" t="n"/>
      <c r="Z487" s="24">
        <f>IF($B487="","",IF($Y487&lt;&gt;"",$Y487-$B487,TODAY()-$B487))</f>
        <v/>
      </c>
      <c r="AA487" s="28">
        <f>IF($B487="","",IF(IFERROR(INDEX(CONFIG!$L$4:$L$63,MATCH($V487,CONFIG!$K$4:$K$63,0)),"NO")="SÍ",IF(OR($Y487="",$X487=""),"Resuelta",IF($Y487&gt;$X487,"Resuelta tarde","Resuelta a tiempo")),IF($X487="","Sin clasificar",IF(TODAY()&gt;$X487,"Vencida",IF(TODAY()&gt;=$X487-1,"Por vencer","En plazo")))))</f>
        <v/>
      </c>
      <c r="AB487" s="50" t="n"/>
      <c r="AC487" s="50" t="n"/>
    </row>
    <row r="488" ht="16" customHeight="1">
      <c r="A488" s="28">
        <f>IF($B488="","","N-"&amp;TEXT(ROW()-3,"0000"))</f>
        <v/>
      </c>
      <c r="B488" s="47" t="n"/>
      <c r="C488" s="48" t="n"/>
      <c r="D488" s="48" t="n"/>
      <c r="E488" s="28">
        <f>IF($C488="","",IF($D488="",IF($C488="Interna","Sin guía (interna)","FALTA GUÍA"),IF(COUNTIFS(ENVIOS!$A$4:$A$3003,$D488)=0,"NO EXISTE",IF(COUNTIFS(ENVIOS!$A$4:$A$3003,$D488)&gt;1,"DUPLICADA","OK"))))</f>
        <v/>
      </c>
      <c r="F488" s="28">
        <f>IF($D488="","",IFERROR(INDEX(ENVIOS!$B$4:$B$3003,MATCH($D488,ENVIOS!$A$4:$A$3003,0)),"—"))</f>
        <v/>
      </c>
      <c r="G488" s="23">
        <f>IF($D488="","",IFERROR(INDEX(ENVIOS!$D$4:$D$3003,MATCH($D488,ENVIOS!$A$4:$A$3003,0)),"—"))</f>
        <v/>
      </c>
      <c r="H488" s="23">
        <f>IF($D488="","",IFERROR(INDEX(ENVIOS!$E$4:$E$3003,MATCH($D488,ENVIOS!$A$4:$A$3003,0)),"—"))</f>
        <v/>
      </c>
      <c r="I488" s="23">
        <f>IF($D488="","",IFERROR(INDEX(ENVIOS!$F$4:$F$3003,MATCH($D488,ENVIOS!$A$4:$A$3003,0)),"—"))</f>
        <v/>
      </c>
      <c r="J488" s="23">
        <f>IF($D488="","",IFERROR(INDEX(ENVIOS!$G$4:$G$3003,MATCH($D488,ENVIOS!$A$4:$A$3003,0)),"—"))</f>
        <v/>
      </c>
      <c r="K488" s="28">
        <f>IF($D488="","",IFERROR(INDEX(ENVIOS!$H$4:$H$3003,MATCH($D488,ENVIOS!$A$4:$A$3003,0)),"—"))</f>
        <v/>
      </c>
      <c r="L488" s="49">
        <f>IF($D488="","",IFERROR(INDEX(ENVIOS!$C$4:$C$3003,MATCH($D488,ENVIOS!$A$4:$A$3003,0)),""))</f>
        <v/>
      </c>
      <c r="M488" s="50" t="n"/>
      <c r="N488" s="28">
        <f>IF($M488="","",IFERROR(INDEX(CONFIG!$C$4:$C$63,MATCH($M488,CONFIG!$A$4:$A$63,0)),"Media"))</f>
        <v/>
      </c>
      <c r="O488" s="28">
        <f>IF($M488="","",IF($C488="Interna","NO",IFERROR(INDEX(CONFIG!$E$4:$E$63,MATCH($M488,CONFIG!$A$4:$A$63,0)),"NO")))</f>
        <v/>
      </c>
      <c r="P488" s="50" t="n"/>
      <c r="Q488" s="50" t="n"/>
      <c r="R488" s="28">
        <f>IF($Q488="","",IFERROR(INDEX(CONFIG!$H$4:$H$63,MATCH($Q488,CONFIG!$G$4:$G$63,0)),"Por definir"))</f>
        <v/>
      </c>
      <c r="S488" s="28">
        <f>IF($Q488="","",IFERROR(INDEX(CONFIG!$I$4:$I$63,MATCH($Q488,CONFIG!$G$4:$G$63,0)),"Por definir"))</f>
        <v/>
      </c>
      <c r="T488" s="51" t="n"/>
      <c r="U488" s="52" t="n"/>
      <c r="V488" s="50" t="n"/>
      <c r="W488" s="50" t="n"/>
      <c r="X488" s="49">
        <f>IF(OR($B488="",$M488=""),"",WORKDAY($B488,IFERROR(INDEX(CONFIG!$D$4:$D$63,MATCH($M488,CONFIG!$A$4:$A$63,0)),3)))</f>
        <v/>
      </c>
      <c r="Y488" s="47" t="n"/>
      <c r="Z488" s="24">
        <f>IF($B488="","",IF($Y488&lt;&gt;"",$Y488-$B488,TODAY()-$B488))</f>
        <v/>
      </c>
      <c r="AA488" s="28">
        <f>IF($B488="","",IF(IFERROR(INDEX(CONFIG!$L$4:$L$63,MATCH($V488,CONFIG!$K$4:$K$63,0)),"NO")="SÍ",IF(OR($Y488="",$X488=""),"Resuelta",IF($Y488&gt;$X488,"Resuelta tarde","Resuelta a tiempo")),IF($X488="","Sin clasificar",IF(TODAY()&gt;$X488,"Vencida",IF(TODAY()&gt;=$X488-1,"Por vencer","En plazo")))))</f>
        <v/>
      </c>
      <c r="AB488" s="50" t="n"/>
      <c r="AC488" s="50" t="n"/>
    </row>
    <row r="489" ht="16" customHeight="1">
      <c r="A489" s="28">
        <f>IF($B489="","","N-"&amp;TEXT(ROW()-3,"0000"))</f>
        <v/>
      </c>
      <c r="B489" s="47" t="n"/>
      <c r="C489" s="48" t="n"/>
      <c r="D489" s="48" t="n"/>
      <c r="E489" s="28">
        <f>IF($C489="","",IF($D489="",IF($C489="Interna","Sin guía (interna)","FALTA GUÍA"),IF(COUNTIFS(ENVIOS!$A$4:$A$3003,$D489)=0,"NO EXISTE",IF(COUNTIFS(ENVIOS!$A$4:$A$3003,$D489)&gt;1,"DUPLICADA","OK"))))</f>
        <v/>
      </c>
      <c r="F489" s="28">
        <f>IF($D489="","",IFERROR(INDEX(ENVIOS!$B$4:$B$3003,MATCH($D489,ENVIOS!$A$4:$A$3003,0)),"—"))</f>
        <v/>
      </c>
      <c r="G489" s="23">
        <f>IF($D489="","",IFERROR(INDEX(ENVIOS!$D$4:$D$3003,MATCH($D489,ENVIOS!$A$4:$A$3003,0)),"—"))</f>
        <v/>
      </c>
      <c r="H489" s="23">
        <f>IF($D489="","",IFERROR(INDEX(ENVIOS!$E$4:$E$3003,MATCH($D489,ENVIOS!$A$4:$A$3003,0)),"—"))</f>
        <v/>
      </c>
      <c r="I489" s="23">
        <f>IF($D489="","",IFERROR(INDEX(ENVIOS!$F$4:$F$3003,MATCH($D489,ENVIOS!$A$4:$A$3003,0)),"—"))</f>
        <v/>
      </c>
      <c r="J489" s="23">
        <f>IF($D489="","",IFERROR(INDEX(ENVIOS!$G$4:$G$3003,MATCH($D489,ENVIOS!$A$4:$A$3003,0)),"—"))</f>
        <v/>
      </c>
      <c r="K489" s="28">
        <f>IF($D489="","",IFERROR(INDEX(ENVIOS!$H$4:$H$3003,MATCH($D489,ENVIOS!$A$4:$A$3003,0)),"—"))</f>
        <v/>
      </c>
      <c r="L489" s="49">
        <f>IF($D489="","",IFERROR(INDEX(ENVIOS!$C$4:$C$3003,MATCH($D489,ENVIOS!$A$4:$A$3003,0)),""))</f>
        <v/>
      </c>
      <c r="M489" s="50" t="n"/>
      <c r="N489" s="28">
        <f>IF($M489="","",IFERROR(INDEX(CONFIG!$C$4:$C$63,MATCH($M489,CONFIG!$A$4:$A$63,0)),"Media"))</f>
        <v/>
      </c>
      <c r="O489" s="28">
        <f>IF($M489="","",IF($C489="Interna","NO",IFERROR(INDEX(CONFIG!$E$4:$E$63,MATCH($M489,CONFIG!$A$4:$A$63,0)),"NO")))</f>
        <v/>
      </c>
      <c r="P489" s="50" t="n"/>
      <c r="Q489" s="50" t="n"/>
      <c r="R489" s="28">
        <f>IF($Q489="","",IFERROR(INDEX(CONFIG!$H$4:$H$63,MATCH($Q489,CONFIG!$G$4:$G$63,0)),"Por definir"))</f>
        <v/>
      </c>
      <c r="S489" s="28">
        <f>IF($Q489="","",IFERROR(INDEX(CONFIG!$I$4:$I$63,MATCH($Q489,CONFIG!$G$4:$G$63,0)),"Por definir"))</f>
        <v/>
      </c>
      <c r="T489" s="51" t="n"/>
      <c r="U489" s="52" t="n"/>
      <c r="V489" s="50" t="n"/>
      <c r="W489" s="50" t="n"/>
      <c r="X489" s="49">
        <f>IF(OR($B489="",$M489=""),"",WORKDAY($B489,IFERROR(INDEX(CONFIG!$D$4:$D$63,MATCH($M489,CONFIG!$A$4:$A$63,0)),3)))</f>
        <v/>
      </c>
      <c r="Y489" s="47" t="n"/>
      <c r="Z489" s="24">
        <f>IF($B489="","",IF($Y489&lt;&gt;"",$Y489-$B489,TODAY()-$B489))</f>
        <v/>
      </c>
      <c r="AA489" s="28">
        <f>IF($B489="","",IF(IFERROR(INDEX(CONFIG!$L$4:$L$63,MATCH($V489,CONFIG!$K$4:$K$63,0)),"NO")="SÍ",IF(OR($Y489="",$X489=""),"Resuelta",IF($Y489&gt;$X489,"Resuelta tarde","Resuelta a tiempo")),IF($X489="","Sin clasificar",IF(TODAY()&gt;$X489,"Vencida",IF(TODAY()&gt;=$X489-1,"Por vencer","En plazo")))))</f>
        <v/>
      </c>
      <c r="AB489" s="50" t="n"/>
      <c r="AC489" s="50" t="n"/>
    </row>
    <row r="490" ht="16" customHeight="1">
      <c r="A490" s="28">
        <f>IF($B490="","","N-"&amp;TEXT(ROW()-3,"0000"))</f>
        <v/>
      </c>
      <c r="B490" s="47" t="n"/>
      <c r="C490" s="48" t="n"/>
      <c r="D490" s="48" t="n"/>
      <c r="E490" s="28">
        <f>IF($C490="","",IF($D490="",IF($C490="Interna","Sin guía (interna)","FALTA GUÍA"),IF(COUNTIFS(ENVIOS!$A$4:$A$3003,$D490)=0,"NO EXISTE",IF(COUNTIFS(ENVIOS!$A$4:$A$3003,$D490)&gt;1,"DUPLICADA","OK"))))</f>
        <v/>
      </c>
      <c r="F490" s="28">
        <f>IF($D490="","",IFERROR(INDEX(ENVIOS!$B$4:$B$3003,MATCH($D490,ENVIOS!$A$4:$A$3003,0)),"—"))</f>
        <v/>
      </c>
      <c r="G490" s="23">
        <f>IF($D490="","",IFERROR(INDEX(ENVIOS!$D$4:$D$3003,MATCH($D490,ENVIOS!$A$4:$A$3003,0)),"—"))</f>
        <v/>
      </c>
      <c r="H490" s="23">
        <f>IF($D490="","",IFERROR(INDEX(ENVIOS!$E$4:$E$3003,MATCH($D490,ENVIOS!$A$4:$A$3003,0)),"—"))</f>
        <v/>
      </c>
      <c r="I490" s="23">
        <f>IF($D490="","",IFERROR(INDEX(ENVIOS!$F$4:$F$3003,MATCH($D490,ENVIOS!$A$4:$A$3003,0)),"—"))</f>
        <v/>
      </c>
      <c r="J490" s="23">
        <f>IF($D490="","",IFERROR(INDEX(ENVIOS!$G$4:$G$3003,MATCH($D490,ENVIOS!$A$4:$A$3003,0)),"—"))</f>
        <v/>
      </c>
      <c r="K490" s="28">
        <f>IF($D490="","",IFERROR(INDEX(ENVIOS!$H$4:$H$3003,MATCH($D490,ENVIOS!$A$4:$A$3003,0)),"—"))</f>
        <v/>
      </c>
      <c r="L490" s="49">
        <f>IF($D490="","",IFERROR(INDEX(ENVIOS!$C$4:$C$3003,MATCH($D490,ENVIOS!$A$4:$A$3003,0)),""))</f>
        <v/>
      </c>
      <c r="M490" s="50" t="n"/>
      <c r="N490" s="28">
        <f>IF($M490="","",IFERROR(INDEX(CONFIG!$C$4:$C$63,MATCH($M490,CONFIG!$A$4:$A$63,0)),"Media"))</f>
        <v/>
      </c>
      <c r="O490" s="28">
        <f>IF($M490="","",IF($C490="Interna","NO",IFERROR(INDEX(CONFIG!$E$4:$E$63,MATCH($M490,CONFIG!$A$4:$A$63,0)),"NO")))</f>
        <v/>
      </c>
      <c r="P490" s="50" t="n"/>
      <c r="Q490" s="50" t="n"/>
      <c r="R490" s="28">
        <f>IF($Q490="","",IFERROR(INDEX(CONFIG!$H$4:$H$63,MATCH($Q490,CONFIG!$G$4:$G$63,0)),"Por definir"))</f>
        <v/>
      </c>
      <c r="S490" s="28">
        <f>IF($Q490="","",IFERROR(INDEX(CONFIG!$I$4:$I$63,MATCH($Q490,CONFIG!$G$4:$G$63,0)),"Por definir"))</f>
        <v/>
      </c>
      <c r="T490" s="51" t="n"/>
      <c r="U490" s="52" t="n"/>
      <c r="V490" s="50" t="n"/>
      <c r="W490" s="50" t="n"/>
      <c r="X490" s="49">
        <f>IF(OR($B490="",$M490=""),"",WORKDAY($B490,IFERROR(INDEX(CONFIG!$D$4:$D$63,MATCH($M490,CONFIG!$A$4:$A$63,0)),3)))</f>
        <v/>
      </c>
      <c r="Y490" s="47" t="n"/>
      <c r="Z490" s="24">
        <f>IF($B490="","",IF($Y490&lt;&gt;"",$Y490-$B490,TODAY()-$B490))</f>
        <v/>
      </c>
      <c r="AA490" s="28">
        <f>IF($B490="","",IF(IFERROR(INDEX(CONFIG!$L$4:$L$63,MATCH($V490,CONFIG!$K$4:$K$63,0)),"NO")="SÍ",IF(OR($Y490="",$X490=""),"Resuelta",IF($Y490&gt;$X490,"Resuelta tarde","Resuelta a tiempo")),IF($X490="","Sin clasificar",IF(TODAY()&gt;$X490,"Vencida",IF(TODAY()&gt;=$X490-1,"Por vencer","En plazo")))))</f>
        <v/>
      </c>
      <c r="AB490" s="50" t="n"/>
      <c r="AC490" s="50" t="n"/>
    </row>
    <row r="491" ht="16" customHeight="1">
      <c r="A491" s="28">
        <f>IF($B491="","","N-"&amp;TEXT(ROW()-3,"0000"))</f>
        <v/>
      </c>
      <c r="B491" s="47" t="n"/>
      <c r="C491" s="48" t="n"/>
      <c r="D491" s="48" t="n"/>
      <c r="E491" s="28">
        <f>IF($C491="","",IF($D491="",IF($C491="Interna","Sin guía (interna)","FALTA GUÍA"),IF(COUNTIFS(ENVIOS!$A$4:$A$3003,$D491)=0,"NO EXISTE",IF(COUNTIFS(ENVIOS!$A$4:$A$3003,$D491)&gt;1,"DUPLICADA","OK"))))</f>
        <v/>
      </c>
      <c r="F491" s="28">
        <f>IF($D491="","",IFERROR(INDEX(ENVIOS!$B$4:$B$3003,MATCH($D491,ENVIOS!$A$4:$A$3003,0)),"—"))</f>
        <v/>
      </c>
      <c r="G491" s="23">
        <f>IF($D491="","",IFERROR(INDEX(ENVIOS!$D$4:$D$3003,MATCH($D491,ENVIOS!$A$4:$A$3003,0)),"—"))</f>
        <v/>
      </c>
      <c r="H491" s="23">
        <f>IF($D491="","",IFERROR(INDEX(ENVIOS!$E$4:$E$3003,MATCH($D491,ENVIOS!$A$4:$A$3003,0)),"—"))</f>
        <v/>
      </c>
      <c r="I491" s="23">
        <f>IF($D491="","",IFERROR(INDEX(ENVIOS!$F$4:$F$3003,MATCH($D491,ENVIOS!$A$4:$A$3003,0)),"—"))</f>
        <v/>
      </c>
      <c r="J491" s="23">
        <f>IF($D491="","",IFERROR(INDEX(ENVIOS!$G$4:$G$3003,MATCH($D491,ENVIOS!$A$4:$A$3003,0)),"—"))</f>
        <v/>
      </c>
      <c r="K491" s="28">
        <f>IF($D491="","",IFERROR(INDEX(ENVIOS!$H$4:$H$3003,MATCH($D491,ENVIOS!$A$4:$A$3003,0)),"—"))</f>
        <v/>
      </c>
      <c r="L491" s="49">
        <f>IF($D491="","",IFERROR(INDEX(ENVIOS!$C$4:$C$3003,MATCH($D491,ENVIOS!$A$4:$A$3003,0)),""))</f>
        <v/>
      </c>
      <c r="M491" s="50" t="n"/>
      <c r="N491" s="28">
        <f>IF($M491="","",IFERROR(INDEX(CONFIG!$C$4:$C$63,MATCH($M491,CONFIG!$A$4:$A$63,0)),"Media"))</f>
        <v/>
      </c>
      <c r="O491" s="28">
        <f>IF($M491="","",IF($C491="Interna","NO",IFERROR(INDEX(CONFIG!$E$4:$E$63,MATCH($M491,CONFIG!$A$4:$A$63,0)),"NO")))</f>
        <v/>
      </c>
      <c r="P491" s="50" t="n"/>
      <c r="Q491" s="50" t="n"/>
      <c r="R491" s="28">
        <f>IF($Q491="","",IFERROR(INDEX(CONFIG!$H$4:$H$63,MATCH($Q491,CONFIG!$G$4:$G$63,0)),"Por definir"))</f>
        <v/>
      </c>
      <c r="S491" s="28">
        <f>IF($Q491="","",IFERROR(INDEX(CONFIG!$I$4:$I$63,MATCH($Q491,CONFIG!$G$4:$G$63,0)),"Por definir"))</f>
        <v/>
      </c>
      <c r="T491" s="51" t="n"/>
      <c r="U491" s="52" t="n"/>
      <c r="V491" s="50" t="n"/>
      <c r="W491" s="50" t="n"/>
      <c r="X491" s="49">
        <f>IF(OR($B491="",$M491=""),"",WORKDAY($B491,IFERROR(INDEX(CONFIG!$D$4:$D$63,MATCH($M491,CONFIG!$A$4:$A$63,0)),3)))</f>
        <v/>
      </c>
      <c r="Y491" s="47" t="n"/>
      <c r="Z491" s="24">
        <f>IF($B491="","",IF($Y491&lt;&gt;"",$Y491-$B491,TODAY()-$B491))</f>
        <v/>
      </c>
      <c r="AA491" s="28">
        <f>IF($B491="","",IF(IFERROR(INDEX(CONFIG!$L$4:$L$63,MATCH($V491,CONFIG!$K$4:$K$63,0)),"NO")="SÍ",IF(OR($Y491="",$X491=""),"Resuelta",IF($Y491&gt;$X491,"Resuelta tarde","Resuelta a tiempo")),IF($X491="","Sin clasificar",IF(TODAY()&gt;$X491,"Vencida",IF(TODAY()&gt;=$X491-1,"Por vencer","En plazo")))))</f>
        <v/>
      </c>
      <c r="AB491" s="50" t="n"/>
      <c r="AC491" s="50" t="n"/>
    </row>
    <row r="492" ht="16" customHeight="1">
      <c r="A492" s="28">
        <f>IF($B492="","","N-"&amp;TEXT(ROW()-3,"0000"))</f>
        <v/>
      </c>
      <c r="B492" s="47" t="n"/>
      <c r="C492" s="48" t="n"/>
      <c r="D492" s="48" t="n"/>
      <c r="E492" s="28">
        <f>IF($C492="","",IF($D492="",IF($C492="Interna","Sin guía (interna)","FALTA GUÍA"),IF(COUNTIFS(ENVIOS!$A$4:$A$3003,$D492)=0,"NO EXISTE",IF(COUNTIFS(ENVIOS!$A$4:$A$3003,$D492)&gt;1,"DUPLICADA","OK"))))</f>
        <v/>
      </c>
      <c r="F492" s="28">
        <f>IF($D492="","",IFERROR(INDEX(ENVIOS!$B$4:$B$3003,MATCH($D492,ENVIOS!$A$4:$A$3003,0)),"—"))</f>
        <v/>
      </c>
      <c r="G492" s="23">
        <f>IF($D492="","",IFERROR(INDEX(ENVIOS!$D$4:$D$3003,MATCH($D492,ENVIOS!$A$4:$A$3003,0)),"—"))</f>
        <v/>
      </c>
      <c r="H492" s="23">
        <f>IF($D492="","",IFERROR(INDEX(ENVIOS!$E$4:$E$3003,MATCH($D492,ENVIOS!$A$4:$A$3003,0)),"—"))</f>
        <v/>
      </c>
      <c r="I492" s="23">
        <f>IF($D492="","",IFERROR(INDEX(ENVIOS!$F$4:$F$3003,MATCH($D492,ENVIOS!$A$4:$A$3003,0)),"—"))</f>
        <v/>
      </c>
      <c r="J492" s="23">
        <f>IF($D492="","",IFERROR(INDEX(ENVIOS!$G$4:$G$3003,MATCH($D492,ENVIOS!$A$4:$A$3003,0)),"—"))</f>
        <v/>
      </c>
      <c r="K492" s="28">
        <f>IF($D492="","",IFERROR(INDEX(ENVIOS!$H$4:$H$3003,MATCH($D492,ENVIOS!$A$4:$A$3003,0)),"—"))</f>
        <v/>
      </c>
      <c r="L492" s="49">
        <f>IF($D492="","",IFERROR(INDEX(ENVIOS!$C$4:$C$3003,MATCH($D492,ENVIOS!$A$4:$A$3003,0)),""))</f>
        <v/>
      </c>
      <c r="M492" s="50" t="n"/>
      <c r="N492" s="28">
        <f>IF($M492="","",IFERROR(INDEX(CONFIG!$C$4:$C$63,MATCH($M492,CONFIG!$A$4:$A$63,0)),"Media"))</f>
        <v/>
      </c>
      <c r="O492" s="28">
        <f>IF($M492="","",IF($C492="Interna","NO",IFERROR(INDEX(CONFIG!$E$4:$E$63,MATCH($M492,CONFIG!$A$4:$A$63,0)),"NO")))</f>
        <v/>
      </c>
      <c r="P492" s="50" t="n"/>
      <c r="Q492" s="50" t="n"/>
      <c r="R492" s="28">
        <f>IF($Q492="","",IFERROR(INDEX(CONFIG!$H$4:$H$63,MATCH($Q492,CONFIG!$G$4:$G$63,0)),"Por definir"))</f>
        <v/>
      </c>
      <c r="S492" s="28">
        <f>IF($Q492="","",IFERROR(INDEX(CONFIG!$I$4:$I$63,MATCH($Q492,CONFIG!$G$4:$G$63,0)),"Por definir"))</f>
        <v/>
      </c>
      <c r="T492" s="51" t="n"/>
      <c r="U492" s="52" t="n"/>
      <c r="V492" s="50" t="n"/>
      <c r="W492" s="50" t="n"/>
      <c r="X492" s="49">
        <f>IF(OR($B492="",$M492=""),"",WORKDAY($B492,IFERROR(INDEX(CONFIG!$D$4:$D$63,MATCH($M492,CONFIG!$A$4:$A$63,0)),3)))</f>
        <v/>
      </c>
      <c r="Y492" s="47" t="n"/>
      <c r="Z492" s="24">
        <f>IF($B492="","",IF($Y492&lt;&gt;"",$Y492-$B492,TODAY()-$B492))</f>
        <v/>
      </c>
      <c r="AA492" s="28">
        <f>IF($B492="","",IF(IFERROR(INDEX(CONFIG!$L$4:$L$63,MATCH($V492,CONFIG!$K$4:$K$63,0)),"NO")="SÍ",IF(OR($Y492="",$X492=""),"Resuelta",IF($Y492&gt;$X492,"Resuelta tarde","Resuelta a tiempo")),IF($X492="","Sin clasificar",IF(TODAY()&gt;$X492,"Vencida",IF(TODAY()&gt;=$X492-1,"Por vencer","En plazo")))))</f>
        <v/>
      </c>
      <c r="AB492" s="50" t="n"/>
      <c r="AC492" s="50" t="n"/>
    </row>
    <row r="493" ht="16" customHeight="1">
      <c r="A493" s="28">
        <f>IF($B493="","","N-"&amp;TEXT(ROW()-3,"0000"))</f>
        <v/>
      </c>
      <c r="B493" s="47" t="n"/>
      <c r="C493" s="48" t="n"/>
      <c r="D493" s="48" t="n"/>
      <c r="E493" s="28">
        <f>IF($C493="","",IF($D493="",IF($C493="Interna","Sin guía (interna)","FALTA GUÍA"),IF(COUNTIFS(ENVIOS!$A$4:$A$3003,$D493)=0,"NO EXISTE",IF(COUNTIFS(ENVIOS!$A$4:$A$3003,$D493)&gt;1,"DUPLICADA","OK"))))</f>
        <v/>
      </c>
      <c r="F493" s="28">
        <f>IF($D493="","",IFERROR(INDEX(ENVIOS!$B$4:$B$3003,MATCH($D493,ENVIOS!$A$4:$A$3003,0)),"—"))</f>
        <v/>
      </c>
      <c r="G493" s="23">
        <f>IF($D493="","",IFERROR(INDEX(ENVIOS!$D$4:$D$3003,MATCH($D493,ENVIOS!$A$4:$A$3003,0)),"—"))</f>
        <v/>
      </c>
      <c r="H493" s="23">
        <f>IF($D493="","",IFERROR(INDEX(ENVIOS!$E$4:$E$3003,MATCH($D493,ENVIOS!$A$4:$A$3003,0)),"—"))</f>
        <v/>
      </c>
      <c r="I493" s="23">
        <f>IF($D493="","",IFERROR(INDEX(ENVIOS!$F$4:$F$3003,MATCH($D493,ENVIOS!$A$4:$A$3003,0)),"—"))</f>
        <v/>
      </c>
      <c r="J493" s="23">
        <f>IF($D493="","",IFERROR(INDEX(ENVIOS!$G$4:$G$3003,MATCH($D493,ENVIOS!$A$4:$A$3003,0)),"—"))</f>
        <v/>
      </c>
      <c r="K493" s="28">
        <f>IF($D493="","",IFERROR(INDEX(ENVIOS!$H$4:$H$3003,MATCH($D493,ENVIOS!$A$4:$A$3003,0)),"—"))</f>
        <v/>
      </c>
      <c r="L493" s="49">
        <f>IF($D493="","",IFERROR(INDEX(ENVIOS!$C$4:$C$3003,MATCH($D493,ENVIOS!$A$4:$A$3003,0)),""))</f>
        <v/>
      </c>
      <c r="M493" s="50" t="n"/>
      <c r="N493" s="28">
        <f>IF($M493="","",IFERROR(INDEX(CONFIG!$C$4:$C$63,MATCH($M493,CONFIG!$A$4:$A$63,0)),"Media"))</f>
        <v/>
      </c>
      <c r="O493" s="28">
        <f>IF($M493="","",IF($C493="Interna","NO",IFERROR(INDEX(CONFIG!$E$4:$E$63,MATCH($M493,CONFIG!$A$4:$A$63,0)),"NO")))</f>
        <v/>
      </c>
      <c r="P493" s="50" t="n"/>
      <c r="Q493" s="50" t="n"/>
      <c r="R493" s="28">
        <f>IF($Q493="","",IFERROR(INDEX(CONFIG!$H$4:$H$63,MATCH($Q493,CONFIG!$G$4:$G$63,0)),"Por definir"))</f>
        <v/>
      </c>
      <c r="S493" s="28">
        <f>IF($Q493="","",IFERROR(INDEX(CONFIG!$I$4:$I$63,MATCH($Q493,CONFIG!$G$4:$G$63,0)),"Por definir"))</f>
        <v/>
      </c>
      <c r="T493" s="51" t="n"/>
      <c r="U493" s="52" t="n"/>
      <c r="V493" s="50" t="n"/>
      <c r="W493" s="50" t="n"/>
      <c r="X493" s="49">
        <f>IF(OR($B493="",$M493=""),"",WORKDAY($B493,IFERROR(INDEX(CONFIG!$D$4:$D$63,MATCH($M493,CONFIG!$A$4:$A$63,0)),3)))</f>
        <v/>
      </c>
      <c r="Y493" s="47" t="n"/>
      <c r="Z493" s="24">
        <f>IF($B493="","",IF($Y493&lt;&gt;"",$Y493-$B493,TODAY()-$B493))</f>
        <v/>
      </c>
      <c r="AA493" s="28">
        <f>IF($B493="","",IF(IFERROR(INDEX(CONFIG!$L$4:$L$63,MATCH($V493,CONFIG!$K$4:$K$63,0)),"NO")="SÍ",IF(OR($Y493="",$X493=""),"Resuelta",IF($Y493&gt;$X493,"Resuelta tarde","Resuelta a tiempo")),IF($X493="","Sin clasificar",IF(TODAY()&gt;$X493,"Vencida",IF(TODAY()&gt;=$X493-1,"Por vencer","En plazo")))))</f>
        <v/>
      </c>
      <c r="AB493" s="50" t="n"/>
      <c r="AC493" s="50" t="n"/>
    </row>
    <row r="494" ht="16" customHeight="1">
      <c r="A494" s="28">
        <f>IF($B494="","","N-"&amp;TEXT(ROW()-3,"0000"))</f>
        <v/>
      </c>
      <c r="B494" s="47" t="n"/>
      <c r="C494" s="48" t="n"/>
      <c r="D494" s="48" t="n"/>
      <c r="E494" s="28">
        <f>IF($C494="","",IF($D494="",IF($C494="Interna","Sin guía (interna)","FALTA GUÍA"),IF(COUNTIFS(ENVIOS!$A$4:$A$3003,$D494)=0,"NO EXISTE",IF(COUNTIFS(ENVIOS!$A$4:$A$3003,$D494)&gt;1,"DUPLICADA","OK"))))</f>
        <v/>
      </c>
      <c r="F494" s="28">
        <f>IF($D494="","",IFERROR(INDEX(ENVIOS!$B$4:$B$3003,MATCH($D494,ENVIOS!$A$4:$A$3003,0)),"—"))</f>
        <v/>
      </c>
      <c r="G494" s="23">
        <f>IF($D494="","",IFERROR(INDEX(ENVIOS!$D$4:$D$3003,MATCH($D494,ENVIOS!$A$4:$A$3003,0)),"—"))</f>
        <v/>
      </c>
      <c r="H494" s="23">
        <f>IF($D494="","",IFERROR(INDEX(ENVIOS!$E$4:$E$3003,MATCH($D494,ENVIOS!$A$4:$A$3003,0)),"—"))</f>
        <v/>
      </c>
      <c r="I494" s="23">
        <f>IF($D494="","",IFERROR(INDEX(ENVIOS!$F$4:$F$3003,MATCH($D494,ENVIOS!$A$4:$A$3003,0)),"—"))</f>
        <v/>
      </c>
      <c r="J494" s="23">
        <f>IF($D494="","",IFERROR(INDEX(ENVIOS!$G$4:$G$3003,MATCH($D494,ENVIOS!$A$4:$A$3003,0)),"—"))</f>
        <v/>
      </c>
      <c r="K494" s="28">
        <f>IF($D494="","",IFERROR(INDEX(ENVIOS!$H$4:$H$3003,MATCH($D494,ENVIOS!$A$4:$A$3003,0)),"—"))</f>
        <v/>
      </c>
      <c r="L494" s="49">
        <f>IF($D494="","",IFERROR(INDEX(ENVIOS!$C$4:$C$3003,MATCH($D494,ENVIOS!$A$4:$A$3003,0)),""))</f>
        <v/>
      </c>
      <c r="M494" s="50" t="n"/>
      <c r="N494" s="28">
        <f>IF($M494="","",IFERROR(INDEX(CONFIG!$C$4:$C$63,MATCH($M494,CONFIG!$A$4:$A$63,0)),"Media"))</f>
        <v/>
      </c>
      <c r="O494" s="28">
        <f>IF($M494="","",IF($C494="Interna","NO",IFERROR(INDEX(CONFIG!$E$4:$E$63,MATCH($M494,CONFIG!$A$4:$A$63,0)),"NO")))</f>
        <v/>
      </c>
      <c r="P494" s="50" t="n"/>
      <c r="Q494" s="50" t="n"/>
      <c r="R494" s="28">
        <f>IF($Q494="","",IFERROR(INDEX(CONFIG!$H$4:$H$63,MATCH($Q494,CONFIG!$G$4:$G$63,0)),"Por definir"))</f>
        <v/>
      </c>
      <c r="S494" s="28">
        <f>IF($Q494="","",IFERROR(INDEX(CONFIG!$I$4:$I$63,MATCH($Q494,CONFIG!$G$4:$G$63,0)),"Por definir"))</f>
        <v/>
      </c>
      <c r="T494" s="51" t="n"/>
      <c r="U494" s="52" t="n"/>
      <c r="V494" s="50" t="n"/>
      <c r="W494" s="50" t="n"/>
      <c r="X494" s="49">
        <f>IF(OR($B494="",$M494=""),"",WORKDAY($B494,IFERROR(INDEX(CONFIG!$D$4:$D$63,MATCH($M494,CONFIG!$A$4:$A$63,0)),3)))</f>
        <v/>
      </c>
      <c r="Y494" s="47" t="n"/>
      <c r="Z494" s="24">
        <f>IF($B494="","",IF($Y494&lt;&gt;"",$Y494-$B494,TODAY()-$B494))</f>
        <v/>
      </c>
      <c r="AA494" s="28">
        <f>IF($B494="","",IF(IFERROR(INDEX(CONFIG!$L$4:$L$63,MATCH($V494,CONFIG!$K$4:$K$63,0)),"NO")="SÍ",IF(OR($Y494="",$X494=""),"Resuelta",IF($Y494&gt;$X494,"Resuelta tarde","Resuelta a tiempo")),IF($X494="","Sin clasificar",IF(TODAY()&gt;$X494,"Vencida",IF(TODAY()&gt;=$X494-1,"Por vencer","En plazo")))))</f>
        <v/>
      </c>
      <c r="AB494" s="50" t="n"/>
      <c r="AC494" s="50" t="n"/>
    </row>
    <row r="495" ht="16" customHeight="1">
      <c r="A495" s="28">
        <f>IF($B495="","","N-"&amp;TEXT(ROW()-3,"0000"))</f>
        <v/>
      </c>
      <c r="B495" s="47" t="n"/>
      <c r="C495" s="48" t="n"/>
      <c r="D495" s="48" t="n"/>
      <c r="E495" s="28">
        <f>IF($C495="","",IF($D495="",IF($C495="Interna","Sin guía (interna)","FALTA GUÍA"),IF(COUNTIFS(ENVIOS!$A$4:$A$3003,$D495)=0,"NO EXISTE",IF(COUNTIFS(ENVIOS!$A$4:$A$3003,$D495)&gt;1,"DUPLICADA","OK"))))</f>
        <v/>
      </c>
      <c r="F495" s="28">
        <f>IF($D495="","",IFERROR(INDEX(ENVIOS!$B$4:$B$3003,MATCH($D495,ENVIOS!$A$4:$A$3003,0)),"—"))</f>
        <v/>
      </c>
      <c r="G495" s="23">
        <f>IF($D495="","",IFERROR(INDEX(ENVIOS!$D$4:$D$3003,MATCH($D495,ENVIOS!$A$4:$A$3003,0)),"—"))</f>
        <v/>
      </c>
      <c r="H495" s="23">
        <f>IF($D495="","",IFERROR(INDEX(ENVIOS!$E$4:$E$3003,MATCH($D495,ENVIOS!$A$4:$A$3003,0)),"—"))</f>
        <v/>
      </c>
      <c r="I495" s="23">
        <f>IF($D495="","",IFERROR(INDEX(ENVIOS!$F$4:$F$3003,MATCH($D495,ENVIOS!$A$4:$A$3003,0)),"—"))</f>
        <v/>
      </c>
      <c r="J495" s="23">
        <f>IF($D495="","",IFERROR(INDEX(ENVIOS!$G$4:$G$3003,MATCH($D495,ENVIOS!$A$4:$A$3003,0)),"—"))</f>
        <v/>
      </c>
      <c r="K495" s="28">
        <f>IF($D495="","",IFERROR(INDEX(ENVIOS!$H$4:$H$3003,MATCH($D495,ENVIOS!$A$4:$A$3003,0)),"—"))</f>
        <v/>
      </c>
      <c r="L495" s="49">
        <f>IF($D495="","",IFERROR(INDEX(ENVIOS!$C$4:$C$3003,MATCH($D495,ENVIOS!$A$4:$A$3003,0)),""))</f>
        <v/>
      </c>
      <c r="M495" s="50" t="n"/>
      <c r="N495" s="28">
        <f>IF($M495="","",IFERROR(INDEX(CONFIG!$C$4:$C$63,MATCH($M495,CONFIG!$A$4:$A$63,0)),"Media"))</f>
        <v/>
      </c>
      <c r="O495" s="28">
        <f>IF($M495="","",IF($C495="Interna","NO",IFERROR(INDEX(CONFIG!$E$4:$E$63,MATCH($M495,CONFIG!$A$4:$A$63,0)),"NO")))</f>
        <v/>
      </c>
      <c r="P495" s="50" t="n"/>
      <c r="Q495" s="50" t="n"/>
      <c r="R495" s="28">
        <f>IF($Q495="","",IFERROR(INDEX(CONFIG!$H$4:$H$63,MATCH($Q495,CONFIG!$G$4:$G$63,0)),"Por definir"))</f>
        <v/>
      </c>
      <c r="S495" s="28">
        <f>IF($Q495="","",IFERROR(INDEX(CONFIG!$I$4:$I$63,MATCH($Q495,CONFIG!$G$4:$G$63,0)),"Por definir"))</f>
        <v/>
      </c>
      <c r="T495" s="51" t="n"/>
      <c r="U495" s="52" t="n"/>
      <c r="V495" s="50" t="n"/>
      <c r="W495" s="50" t="n"/>
      <c r="X495" s="49">
        <f>IF(OR($B495="",$M495=""),"",WORKDAY($B495,IFERROR(INDEX(CONFIG!$D$4:$D$63,MATCH($M495,CONFIG!$A$4:$A$63,0)),3)))</f>
        <v/>
      </c>
      <c r="Y495" s="47" t="n"/>
      <c r="Z495" s="24">
        <f>IF($B495="","",IF($Y495&lt;&gt;"",$Y495-$B495,TODAY()-$B495))</f>
        <v/>
      </c>
      <c r="AA495" s="28">
        <f>IF($B495="","",IF(IFERROR(INDEX(CONFIG!$L$4:$L$63,MATCH($V495,CONFIG!$K$4:$K$63,0)),"NO")="SÍ",IF(OR($Y495="",$X495=""),"Resuelta",IF($Y495&gt;$X495,"Resuelta tarde","Resuelta a tiempo")),IF($X495="","Sin clasificar",IF(TODAY()&gt;$X495,"Vencida",IF(TODAY()&gt;=$X495-1,"Por vencer","En plazo")))))</f>
        <v/>
      </c>
      <c r="AB495" s="50" t="n"/>
      <c r="AC495" s="50" t="n"/>
    </row>
    <row r="496" ht="16" customHeight="1">
      <c r="A496" s="28">
        <f>IF($B496="","","N-"&amp;TEXT(ROW()-3,"0000"))</f>
        <v/>
      </c>
      <c r="B496" s="47" t="n"/>
      <c r="C496" s="48" t="n"/>
      <c r="D496" s="48" t="n"/>
      <c r="E496" s="28">
        <f>IF($C496="","",IF($D496="",IF($C496="Interna","Sin guía (interna)","FALTA GUÍA"),IF(COUNTIFS(ENVIOS!$A$4:$A$3003,$D496)=0,"NO EXISTE",IF(COUNTIFS(ENVIOS!$A$4:$A$3003,$D496)&gt;1,"DUPLICADA","OK"))))</f>
        <v/>
      </c>
      <c r="F496" s="28">
        <f>IF($D496="","",IFERROR(INDEX(ENVIOS!$B$4:$B$3003,MATCH($D496,ENVIOS!$A$4:$A$3003,0)),"—"))</f>
        <v/>
      </c>
      <c r="G496" s="23">
        <f>IF($D496="","",IFERROR(INDEX(ENVIOS!$D$4:$D$3003,MATCH($D496,ENVIOS!$A$4:$A$3003,0)),"—"))</f>
        <v/>
      </c>
      <c r="H496" s="23">
        <f>IF($D496="","",IFERROR(INDEX(ENVIOS!$E$4:$E$3003,MATCH($D496,ENVIOS!$A$4:$A$3003,0)),"—"))</f>
        <v/>
      </c>
      <c r="I496" s="23">
        <f>IF($D496="","",IFERROR(INDEX(ENVIOS!$F$4:$F$3003,MATCH($D496,ENVIOS!$A$4:$A$3003,0)),"—"))</f>
        <v/>
      </c>
      <c r="J496" s="23">
        <f>IF($D496="","",IFERROR(INDEX(ENVIOS!$G$4:$G$3003,MATCH($D496,ENVIOS!$A$4:$A$3003,0)),"—"))</f>
        <v/>
      </c>
      <c r="K496" s="28">
        <f>IF($D496="","",IFERROR(INDEX(ENVIOS!$H$4:$H$3003,MATCH($D496,ENVIOS!$A$4:$A$3003,0)),"—"))</f>
        <v/>
      </c>
      <c r="L496" s="49">
        <f>IF($D496="","",IFERROR(INDEX(ENVIOS!$C$4:$C$3003,MATCH($D496,ENVIOS!$A$4:$A$3003,0)),""))</f>
        <v/>
      </c>
      <c r="M496" s="50" t="n"/>
      <c r="N496" s="28">
        <f>IF($M496="","",IFERROR(INDEX(CONFIG!$C$4:$C$63,MATCH($M496,CONFIG!$A$4:$A$63,0)),"Media"))</f>
        <v/>
      </c>
      <c r="O496" s="28">
        <f>IF($M496="","",IF($C496="Interna","NO",IFERROR(INDEX(CONFIG!$E$4:$E$63,MATCH($M496,CONFIG!$A$4:$A$63,0)),"NO")))</f>
        <v/>
      </c>
      <c r="P496" s="50" t="n"/>
      <c r="Q496" s="50" t="n"/>
      <c r="R496" s="28">
        <f>IF($Q496="","",IFERROR(INDEX(CONFIG!$H$4:$H$63,MATCH($Q496,CONFIG!$G$4:$G$63,0)),"Por definir"))</f>
        <v/>
      </c>
      <c r="S496" s="28">
        <f>IF($Q496="","",IFERROR(INDEX(CONFIG!$I$4:$I$63,MATCH($Q496,CONFIG!$G$4:$G$63,0)),"Por definir"))</f>
        <v/>
      </c>
      <c r="T496" s="51" t="n"/>
      <c r="U496" s="52" t="n"/>
      <c r="V496" s="50" t="n"/>
      <c r="W496" s="50" t="n"/>
      <c r="X496" s="49">
        <f>IF(OR($B496="",$M496=""),"",WORKDAY($B496,IFERROR(INDEX(CONFIG!$D$4:$D$63,MATCH($M496,CONFIG!$A$4:$A$63,0)),3)))</f>
        <v/>
      </c>
      <c r="Y496" s="47" t="n"/>
      <c r="Z496" s="24">
        <f>IF($B496="","",IF($Y496&lt;&gt;"",$Y496-$B496,TODAY()-$B496))</f>
        <v/>
      </c>
      <c r="AA496" s="28">
        <f>IF($B496="","",IF(IFERROR(INDEX(CONFIG!$L$4:$L$63,MATCH($V496,CONFIG!$K$4:$K$63,0)),"NO")="SÍ",IF(OR($Y496="",$X496=""),"Resuelta",IF($Y496&gt;$X496,"Resuelta tarde","Resuelta a tiempo")),IF($X496="","Sin clasificar",IF(TODAY()&gt;$X496,"Vencida",IF(TODAY()&gt;=$X496-1,"Por vencer","En plazo")))))</f>
        <v/>
      </c>
      <c r="AB496" s="50" t="n"/>
      <c r="AC496" s="50" t="n"/>
    </row>
    <row r="497" ht="16" customHeight="1">
      <c r="A497" s="28">
        <f>IF($B497="","","N-"&amp;TEXT(ROW()-3,"0000"))</f>
        <v/>
      </c>
      <c r="B497" s="47" t="n"/>
      <c r="C497" s="48" t="n"/>
      <c r="D497" s="48" t="n"/>
      <c r="E497" s="28">
        <f>IF($C497="","",IF($D497="",IF($C497="Interna","Sin guía (interna)","FALTA GUÍA"),IF(COUNTIFS(ENVIOS!$A$4:$A$3003,$D497)=0,"NO EXISTE",IF(COUNTIFS(ENVIOS!$A$4:$A$3003,$D497)&gt;1,"DUPLICADA","OK"))))</f>
        <v/>
      </c>
      <c r="F497" s="28">
        <f>IF($D497="","",IFERROR(INDEX(ENVIOS!$B$4:$B$3003,MATCH($D497,ENVIOS!$A$4:$A$3003,0)),"—"))</f>
        <v/>
      </c>
      <c r="G497" s="23">
        <f>IF($D497="","",IFERROR(INDEX(ENVIOS!$D$4:$D$3003,MATCH($D497,ENVIOS!$A$4:$A$3003,0)),"—"))</f>
        <v/>
      </c>
      <c r="H497" s="23">
        <f>IF($D497="","",IFERROR(INDEX(ENVIOS!$E$4:$E$3003,MATCH($D497,ENVIOS!$A$4:$A$3003,0)),"—"))</f>
        <v/>
      </c>
      <c r="I497" s="23">
        <f>IF($D497="","",IFERROR(INDEX(ENVIOS!$F$4:$F$3003,MATCH($D497,ENVIOS!$A$4:$A$3003,0)),"—"))</f>
        <v/>
      </c>
      <c r="J497" s="23">
        <f>IF($D497="","",IFERROR(INDEX(ENVIOS!$G$4:$G$3003,MATCH($D497,ENVIOS!$A$4:$A$3003,0)),"—"))</f>
        <v/>
      </c>
      <c r="K497" s="28">
        <f>IF($D497="","",IFERROR(INDEX(ENVIOS!$H$4:$H$3003,MATCH($D497,ENVIOS!$A$4:$A$3003,0)),"—"))</f>
        <v/>
      </c>
      <c r="L497" s="49">
        <f>IF($D497="","",IFERROR(INDEX(ENVIOS!$C$4:$C$3003,MATCH($D497,ENVIOS!$A$4:$A$3003,0)),""))</f>
        <v/>
      </c>
      <c r="M497" s="50" t="n"/>
      <c r="N497" s="28">
        <f>IF($M497="","",IFERROR(INDEX(CONFIG!$C$4:$C$63,MATCH($M497,CONFIG!$A$4:$A$63,0)),"Media"))</f>
        <v/>
      </c>
      <c r="O497" s="28">
        <f>IF($M497="","",IF($C497="Interna","NO",IFERROR(INDEX(CONFIG!$E$4:$E$63,MATCH($M497,CONFIG!$A$4:$A$63,0)),"NO")))</f>
        <v/>
      </c>
      <c r="P497" s="50" t="n"/>
      <c r="Q497" s="50" t="n"/>
      <c r="R497" s="28">
        <f>IF($Q497="","",IFERROR(INDEX(CONFIG!$H$4:$H$63,MATCH($Q497,CONFIG!$G$4:$G$63,0)),"Por definir"))</f>
        <v/>
      </c>
      <c r="S497" s="28">
        <f>IF($Q497="","",IFERROR(INDEX(CONFIG!$I$4:$I$63,MATCH($Q497,CONFIG!$G$4:$G$63,0)),"Por definir"))</f>
        <v/>
      </c>
      <c r="T497" s="51" t="n"/>
      <c r="U497" s="52" t="n"/>
      <c r="V497" s="50" t="n"/>
      <c r="W497" s="50" t="n"/>
      <c r="X497" s="49">
        <f>IF(OR($B497="",$M497=""),"",WORKDAY($B497,IFERROR(INDEX(CONFIG!$D$4:$D$63,MATCH($M497,CONFIG!$A$4:$A$63,0)),3)))</f>
        <v/>
      </c>
      <c r="Y497" s="47" t="n"/>
      <c r="Z497" s="24">
        <f>IF($B497="","",IF($Y497&lt;&gt;"",$Y497-$B497,TODAY()-$B497))</f>
        <v/>
      </c>
      <c r="AA497" s="28">
        <f>IF($B497="","",IF(IFERROR(INDEX(CONFIG!$L$4:$L$63,MATCH($V497,CONFIG!$K$4:$K$63,0)),"NO")="SÍ",IF(OR($Y497="",$X497=""),"Resuelta",IF($Y497&gt;$X497,"Resuelta tarde","Resuelta a tiempo")),IF($X497="","Sin clasificar",IF(TODAY()&gt;$X497,"Vencida",IF(TODAY()&gt;=$X497-1,"Por vencer","En plazo")))))</f>
        <v/>
      </c>
      <c r="AB497" s="50" t="n"/>
      <c r="AC497" s="50" t="n"/>
    </row>
    <row r="498" ht="16" customHeight="1">
      <c r="A498" s="28">
        <f>IF($B498="","","N-"&amp;TEXT(ROW()-3,"0000"))</f>
        <v/>
      </c>
      <c r="B498" s="47" t="n"/>
      <c r="C498" s="48" t="n"/>
      <c r="D498" s="48" t="n"/>
      <c r="E498" s="28">
        <f>IF($C498="","",IF($D498="",IF($C498="Interna","Sin guía (interna)","FALTA GUÍA"),IF(COUNTIFS(ENVIOS!$A$4:$A$3003,$D498)=0,"NO EXISTE",IF(COUNTIFS(ENVIOS!$A$4:$A$3003,$D498)&gt;1,"DUPLICADA","OK"))))</f>
        <v/>
      </c>
      <c r="F498" s="28">
        <f>IF($D498="","",IFERROR(INDEX(ENVIOS!$B$4:$B$3003,MATCH($D498,ENVIOS!$A$4:$A$3003,0)),"—"))</f>
        <v/>
      </c>
      <c r="G498" s="23">
        <f>IF($D498="","",IFERROR(INDEX(ENVIOS!$D$4:$D$3003,MATCH($D498,ENVIOS!$A$4:$A$3003,0)),"—"))</f>
        <v/>
      </c>
      <c r="H498" s="23">
        <f>IF($D498="","",IFERROR(INDEX(ENVIOS!$E$4:$E$3003,MATCH($D498,ENVIOS!$A$4:$A$3003,0)),"—"))</f>
        <v/>
      </c>
      <c r="I498" s="23">
        <f>IF($D498="","",IFERROR(INDEX(ENVIOS!$F$4:$F$3003,MATCH($D498,ENVIOS!$A$4:$A$3003,0)),"—"))</f>
        <v/>
      </c>
      <c r="J498" s="23">
        <f>IF($D498="","",IFERROR(INDEX(ENVIOS!$G$4:$G$3003,MATCH($D498,ENVIOS!$A$4:$A$3003,0)),"—"))</f>
        <v/>
      </c>
      <c r="K498" s="28">
        <f>IF($D498="","",IFERROR(INDEX(ENVIOS!$H$4:$H$3003,MATCH($D498,ENVIOS!$A$4:$A$3003,0)),"—"))</f>
        <v/>
      </c>
      <c r="L498" s="49">
        <f>IF($D498="","",IFERROR(INDEX(ENVIOS!$C$4:$C$3003,MATCH($D498,ENVIOS!$A$4:$A$3003,0)),""))</f>
        <v/>
      </c>
      <c r="M498" s="50" t="n"/>
      <c r="N498" s="28">
        <f>IF($M498="","",IFERROR(INDEX(CONFIG!$C$4:$C$63,MATCH($M498,CONFIG!$A$4:$A$63,0)),"Media"))</f>
        <v/>
      </c>
      <c r="O498" s="28">
        <f>IF($M498="","",IF($C498="Interna","NO",IFERROR(INDEX(CONFIG!$E$4:$E$63,MATCH($M498,CONFIG!$A$4:$A$63,0)),"NO")))</f>
        <v/>
      </c>
      <c r="P498" s="50" t="n"/>
      <c r="Q498" s="50" t="n"/>
      <c r="R498" s="28">
        <f>IF($Q498="","",IFERROR(INDEX(CONFIG!$H$4:$H$63,MATCH($Q498,CONFIG!$G$4:$G$63,0)),"Por definir"))</f>
        <v/>
      </c>
      <c r="S498" s="28">
        <f>IF($Q498="","",IFERROR(INDEX(CONFIG!$I$4:$I$63,MATCH($Q498,CONFIG!$G$4:$G$63,0)),"Por definir"))</f>
        <v/>
      </c>
      <c r="T498" s="51" t="n"/>
      <c r="U498" s="52" t="n"/>
      <c r="V498" s="50" t="n"/>
      <c r="W498" s="50" t="n"/>
      <c r="X498" s="49">
        <f>IF(OR($B498="",$M498=""),"",WORKDAY($B498,IFERROR(INDEX(CONFIG!$D$4:$D$63,MATCH($M498,CONFIG!$A$4:$A$63,0)),3)))</f>
        <v/>
      </c>
      <c r="Y498" s="47" t="n"/>
      <c r="Z498" s="24">
        <f>IF($B498="","",IF($Y498&lt;&gt;"",$Y498-$B498,TODAY()-$B498))</f>
        <v/>
      </c>
      <c r="AA498" s="28">
        <f>IF($B498="","",IF(IFERROR(INDEX(CONFIG!$L$4:$L$63,MATCH($V498,CONFIG!$K$4:$K$63,0)),"NO")="SÍ",IF(OR($Y498="",$X498=""),"Resuelta",IF($Y498&gt;$X498,"Resuelta tarde","Resuelta a tiempo")),IF($X498="","Sin clasificar",IF(TODAY()&gt;$X498,"Vencida",IF(TODAY()&gt;=$X498-1,"Por vencer","En plazo")))))</f>
        <v/>
      </c>
      <c r="AB498" s="50" t="n"/>
      <c r="AC498" s="50" t="n"/>
    </row>
    <row r="499" ht="16" customHeight="1">
      <c r="A499" s="28">
        <f>IF($B499="","","N-"&amp;TEXT(ROW()-3,"0000"))</f>
        <v/>
      </c>
      <c r="B499" s="47" t="n"/>
      <c r="C499" s="48" t="n"/>
      <c r="D499" s="48" t="n"/>
      <c r="E499" s="28">
        <f>IF($C499="","",IF($D499="",IF($C499="Interna","Sin guía (interna)","FALTA GUÍA"),IF(COUNTIFS(ENVIOS!$A$4:$A$3003,$D499)=0,"NO EXISTE",IF(COUNTIFS(ENVIOS!$A$4:$A$3003,$D499)&gt;1,"DUPLICADA","OK"))))</f>
        <v/>
      </c>
      <c r="F499" s="28">
        <f>IF($D499="","",IFERROR(INDEX(ENVIOS!$B$4:$B$3003,MATCH($D499,ENVIOS!$A$4:$A$3003,0)),"—"))</f>
        <v/>
      </c>
      <c r="G499" s="23">
        <f>IF($D499="","",IFERROR(INDEX(ENVIOS!$D$4:$D$3003,MATCH($D499,ENVIOS!$A$4:$A$3003,0)),"—"))</f>
        <v/>
      </c>
      <c r="H499" s="23">
        <f>IF($D499="","",IFERROR(INDEX(ENVIOS!$E$4:$E$3003,MATCH($D499,ENVIOS!$A$4:$A$3003,0)),"—"))</f>
        <v/>
      </c>
      <c r="I499" s="23">
        <f>IF($D499="","",IFERROR(INDEX(ENVIOS!$F$4:$F$3003,MATCH($D499,ENVIOS!$A$4:$A$3003,0)),"—"))</f>
        <v/>
      </c>
      <c r="J499" s="23">
        <f>IF($D499="","",IFERROR(INDEX(ENVIOS!$G$4:$G$3003,MATCH($D499,ENVIOS!$A$4:$A$3003,0)),"—"))</f>
        <v/>
      </c>
      <c r="K499" s="28">
        <f>IF($D499="","",IFERROR(INDEX(ENVIOS!$H$4:$H$3003,MATCH($D499,ENVIOS!$A$4:$A$3003,0)),"—"))</f>
        <v/>
      </c>
      <c r="L499" s="49">
        <f>IF($D499="","",IFERROR(INDEX(ENVIOS!$C$4:$C$3003,MATCH($D499,ENVIOS!$A$4:$A$3003,0)),""))</f>
        <v/>
      </c>
      <c r="M499" s="50" t="n"/>
      <c r="N499" s="28">
        <f>IF($M499="","",IFERROR(INDEX(CONFIG!$C$4:$C$63,MATCH($M499,CONFIG!$A$4:$A$63,0)),"Media"))</f>
        <v/>
      </c>
      <c r="O499" s="28">
        <f>IF($M499="","",IF($C499="Interna","NO",IFERROR(INDEX(CONFIG!$E$4:$E$63,MATCH($M499,CONFIG!$A$4:$A$63,0)),"NO")))</f>
        <v/>
      </c>
      <c r="P499" s="50" t="n"/>
      <c r="Q499" s="50" t="n"/>
      <c r="R499" s="28">
        <f>IF($Q499="","",IFERROR(INDEX(CONFIG!$H$4:$H$63,MATCH($Q499,CONFIG!$G$4:$G$63,0)),"Por definir"))</f>
        <v/>
      </c>
      <c r="S499" s="28">
        <f>IF($Q499="","",IFERROR(INDEX(CONFIG!$I$4:$I$63,MATCH($Q499,CONFIG!$G$4:$G$63,0)),"Por definir"))</f>
        <v/>
      </c>
      <c r="T499" s="51" t="n"/>
      <c r="U499" s="52" t="n"/>
      <c r="V499" s="50" t="n"/>
      <c r="W499" s="50" t="n"/>
      <c r="X499" s="49">
        <f>IF(OR($B499="",$M499=""),"",WORKDAY($B499,IFERROR(INDEX(CONFIG!$D$4:$D$63,MATCH($M499,CONFIG!$A$4:$A$63,0)),3)))</f>
        <v/>
      </c>
      <c r="Y499" s="47" t="n"/>
      <c r="Z499" s="24">
        <f>IF($B499="","",IF($Y499&lt;&gt;"",$Y499-$B499,TODAY()-$B499))</f>
        <v/>
      </c>
      <c r="AA499" s="28">
        <f>IF($B499="","",IF(IFERROR(INDEX(CONFIG!$L$4:$L$63,MATCH($V499,CONFIG!$K$4:$K$63,0)),"NO")="SÍ",IF(OR($Y499="",$X499=""),"Resuelta",IF($Y499&gt;$X499,"Resuelta tarde","Resuelta a tiempo")),IF($X499="","Sin clasificar",IF(TODAY()&gt;$X499,"Vencida",IF(TODAY()&gt;=$X499-1,"Por vencer","En plazo")))))</f>
        <v/>
      </c>
      <c r="AB499" s="50" t="n"/>
      <c r="AC499" s="50" t="n"/>
    </row>
    <row r="500" ht="16" customHeight="1">
      <c r="A500" s="28">
        <f>IF($B500="","","N-"&amp;TEXT(ROW()-3,"0000"))</f>
        <v/>
      </c>
      <c r="B500" s="47" t="n"/>
      <c r="C500" s="48" t="n"/>
      <c r="D500" s="48" t="n"/>
      <c r="E500" s="28">
        <f>IF($C500="","",IF($D500="",IF($C500="Interna","Sin guía (interna)","FALTA GUÍA"),IF(COUNTIFS(ENVIOS!$A$4:$A$3003,$D500)=0,"NO EXISTE",IF(COUNTIFS(ENVIOS!$A$4:$A$3003,$D500)&gt;1,"DUPLICADA","OK"))))</f>
        <v/>
      </c>
      <c r="F500" s="28">
        <f>IF($D500="","",IFERROR(INDEX(ENVIOS!$B$4:$B$3003,MATCH($D500,ENVIOS!$A$4:$A$3003,0)),"—"))</f>
        <v/>
      </c>
      <c r="G500" s="23">
        <f>IF($D500="","",IFERROR(INDEX(ENVIOS!$D$4:$D$3003,MATCH($D500,ENVIOS!$A$4:$A$3003,0)),"—"))</f>
        <v/>
      </c>
      <c r="H500" s="23">
        <f>IF($D500="","",IFERROR(INDEX(ENVIOS!$E$4:$E$3003,MATCH($D500,ENVIOS!$A$4:$A$3003,0)),"—"))</f>
        <v/>
      </c>
      <c r="I500" s="23">
        <f>IF($D500="","",IFERROR(INDEX(ENVIOS!$F$4:$F$3003,MATCH($D500,ENVIOS!$A$4:$A$3003,0)),"—"))</f>
        <v/>
      </c>
      <c r="J500" s="23">
        <f>IF($D500="","",IFERROR(INDEX(ENVIOS!$G$4:$G$3003,MATCH($D500,ENVIOS!$A$4:$A$3003,0)),"—"))</f>
        <v/>
      </c>
      <c r="K500" s="28">
        <f>IF($D500="","",IFERROR(INDEX(ENVIOS!$H$4:$H$3003,MATCH($D500,ENVIOS!$A$4:$A$3003,0)),"—"))</f>
        <v/>
      </c>
      <c r="L500" s="49">
        <f>IF($D500="","",IFERROR(INDEX(ENVIOS!$C$4:$C$3003,MATCH($D500,ENVIOS!$A$4:$A$3003,0)),""))</f>
        <v/>
      </c>
      <c r="M500" s="50" t="n"/>
      <c r="N500" s="28">
        <f>IF($M500="","",IFERROR(INDEX(CONFIG!$C$4:$C$63,MATCH($M500,CONFIG!$A$4:$A$63,0)),"Media"))</f>
        <v/>
      </c>
      <c r="O500" s="28">
        <f>IF($M500="","",IF($C500="Interna","NO",IFERROR(INDEX(CONFIG!$E$4:$E$63,MATCH($M500,CONFIG!$A$4:$A$63,0)),"NO")))</f>
        <v/>
      </c>
      <c r="P500" s="50" t="n"/>
      <c r="Q500" s="50" t="n"/>
      <c r="R500" s="28">
        <f>IF($Q500="","",IFERROR(INDEX(CONFIG!$H$4:$H$63,MATCH($Q500,CONFIG!$G$4:$G$63,0)),"Por definir"))</f>
        <v/>
      </c>
      <c r="S500" s="28">
        <f>IF($Q500="","",IFERROR(INDEX(CONFIG!$I$4:$I$63,MATCH($Q500,CONFIG!$G$4:$G$63,0)),"Por definir"))</f>
        <v/>
      </c>
      <c r="T500" s="51" t="n"/>
      <c r="U500" s="52" t="n"/>
      <c r="V500" s="50" t="n"/>
      <c r="W500" s="50" t="n"/>
      <c r="X500" s="49">
        <f>IF(OR($B500="",$M500=""),"",WORKDAY($B500,IFERROR(INDEX(CONFIG!$D$4:$D$63,MATCH($M500,CONFIG!$A$4:$A$63,0)),3)))</f>
        <v/>
      </c>
      <c r="Y500" s="47" t="n"/>
      <c r="Z500" s="24">
        <f>IF($B500="","",IF($Y500&lt;&gt;"",$Y500-$B500,TODAY()-$B500))</f>
        <v/>
      </c>
      <c r="AA500" s="28">
        <f>IF($B500="","",IF(IFERROR(INDEX(CONFIG!$L$4:$L$63,MATCH($V500,CONFIG!$K$4:$K$63,0)),"NO")="SÍ",IF(OR($Y500="",$X500=""),"Resuelta",IF($Y500&gt;$X500,"Resuelta tarde","Resuelta a tiempo")),IF($X500="","Sin clasificar",IF(TODAY()&gt;$X500,"Vencida",IF(TODAY()&gt;=$X500-1,"Por vencer","En plazo")))))</f>
        <v/>
      </c>
      <c r="AB500" s="50" t="n"/>
      <c r="AC500" s="50" t="n"/>
    </row>
    <row r="501" ht="16" customHeight="1">
      <c r="A501" s="28">
        <f>IF($B501="","","N-"&amp;TEXT(ROW()-3,"0000"))</f>
        <v/>
      </c>
      <c r="B501" s="47" t="n"/>
      <c r="C501" s="48" t="n"/>
      <c r="D501" s="48" t="n"/>
      <c r="E501" s="28">
        <f>IF($C501="","",IF($D501="",IF($C501="Interna","Sin guía (interna)","FALTA GUÍA"),IF(COUNTIFS(ENVIOS!$A$4:$A$3003,$D501)=0,"NO EXISTE",IF(COUNTIFS(ENVIOS!$A$4:$A$3003,$D501)&gt;1,"DUPLICADA","OK"))))</f>
        <v/>
      </c>
      <c r="F501" s="28">
        <f>IF($D501="","",IFERROR(INDEX(ENVIOS!$B$4:$B$3003,MATCH($D501,ENVIOS!$A$4:$A$3003,0)),"—"))</f>
        <v/>
      </c>
      <c r="G501" s="23">
        <f>IF($D501="","",IFERROR(INDEX(ENVIOS!$D$4:$D$3003,MATCH($D501,ENVIOS!$A$4:$A$3003,0)),"—"))</f>
        <v/>
      </c>
      <c r="H501" s="23">
        <f>IF($D501="","",IFERROR(INDEX(ENVIOS!$E$4:$E$3003,MATCH($D501,ENVIOS!$A$4:$A$3003,0)),"—"))</f>
        <v/>
      </c>
      <c r="I501" s="23">
        <f>IF($D501="","",IFERROR(INDEX(ENVIOS!$F$4:$F$3003,MATCH($D501,ENVIOS!$A$4:$A$3003,0)),"—"))</f>
        <v/>
      </c>
      <c r="J501" s="23">
        <f>IF($D501="","",IFERROR(INDEX(ENVIOS!$G$4:$G$3003,MATCH($D501,ENVIOS!$A$4:$A$3003,0)),"—"))</f>
        <v/>
      </c>
      <c r="K501" s="28">
        <f>IF($D501="","",IFERROR(INDEX(ENVIOS!$H$4:$H$3003,MATCH($D501,ENVIOS!$A$4:$A$3003,0)),"—"))</f>
        <v/>
      </c>
      <c r="L501" s="49">
        <f>IF($D501="","",IFERROR(INDEX(ENVIOS!$C$4:$C$3003,MATCH($D501,ENVIOS!$A$4:$A$3003,0)),""))</f>
        <v/>
      </c>
      <c r="M501" s="50" t="n"/>
      <c r="N501" s="28">
        <f>IF($M501="","",IFERROR(INDEX(CONFIG!$C$4:$C$63,MATCH($M501,CONFIG!$A$4:$A$63,0)),"Media"))</f>
        <v/>
      </c>
      <c r="O501" s="28">
        <f>IF($M501="","",IF($C501="Interna","NO",IFERROR(INDEX(CONFIG!$E$4:$E$63,MATCH($M501,CONFIG!$A$4:$A$63,0)),"NO")))</f>
        <v/>
      </c>
      <c r="P501" s="50" t="n"/>
      <c r="Q501" s="50" t="n"/>
      <c r="R501" s="28">
        <f>IF($Q501="","",IFERROR(INDEX(CONFIG!$H$4:$H$63,MATCH($Q501,CONFIG!$G$4:$G$63,0)),"Por definir"))</f>
        <v/>
      </c>
      <c r="S501" s="28">
        <f>IF($Q501="","",IFERROR(INDEX(CONFIG!$I$4:$I$63,MATCH($Q501,CONFIG!$G$4:$G$63,0)),"Por definir"))</f>
        <v/>
      </c>
      <c r="T501" s="51" t="n"/>
      <c r="U501" s="52" t="n"/>
      <c r="V501" s="50" t="n"/>
      <c r="W501" s="50" t="n"/>
      <c r="X501" s="49">
        <f>IF(OR($B501="",$M501=""),"",WORKDAY($B501,IFERROR(INDEX(CONFIG!$D$4:$D$63,MATCH($M501,CONFIG!$A$4:$A$63,0)),3)))</f>
        <v/>
      </c>
      <c r="Y501" s="47" t="n"/>
      <c r="Z501" s="24">
        <f>IF($B501="","",IF($Y501&lt;&gt;"",$Y501-$B501,TODAY()-$B501))</f>
        <v/>
      </c>
      <c r="AA501" s="28">
        <f>IF($B501="","",IF(IFERROR(INDEX(CONFIG!$L$4:$L$63,MATCH($V501,CONFIG!$K$4:$K$63,0)),"NO")="SÍ",IF(OR($Y501="",$X501=""),"Resuelta",IF($Y501&gt;$X501,"Resuelta tarde","Resuelta a tiempo")),IF($X501="","Sin clasificar",IF(TODAY()&gt;$X501,"Vencida",IF(TODAY()&gt;=$X501-1,"Por vencer","En plazo")))))</f>
        <v/>
      </c>
      <c r="AB501" s="50" t="n"/>
      <c r="AC501" s="50" t="n"/>
    </row>
    <row r="502" ht="16" customHeight="1">
      <c r="A502" s="28">
        <f>IF($B502="","","N-"&amp;TEXT(ROW()-3,"0000"))</f>
        <v/>
      </c>
      <c r="B502" s="47" t="n"/>
      <c r="C502" s="48" t="n"/>
      <c r="D502" s="48" t="n"/>
      <c r="E502" s="28">
        <f>IF($C502="","",IF($D502="",IF($C502="Interna","Sin guía (interna)","FALTA GUÍA"),IF(COUNTIFS(ENVIOS!$A$4:$A$3003,$D502)=0,"NO EXISTE",IF(COUNTIFS(ENVIOS!$A$4:$A$3003,$D502)&gt;1,"DUPLICADA","OK"))))</f>
        <v/>
      </c>
      <c r="F502" s="28">
        <f>IF($D502="","",IFERROR(INDEX(ENVIOS!$B$4:$B$3003,MATCH($D502,ENVIOS!$A$4:$A$3003,0)),"—"))</f>
        <v/>
      </c>
      <c r="G502" s="23">
        <f>IF($D502="","",IFERROR(INDEX(ENVIOS!$D$4:$D$3003,MATCH($D502,ENVIOS!$A$4:$A$3003,0)),"—"))</f>
        <v/>
      </c>
      <c r="H502" s="23">
        <f>IF($D502="","",IFERROR(INDEX(ENVIOS!$E$4:$E$3003,MATCH($D502,ENVIOS!$A$4:$A$3003,0)),"—"))</f>
        <v/>
      </c>
      <c r="I502" s="23">
        <f>IF($D502="","",IFERROR(INDEX(ENVIOS!$F$4:$F$3003,MATCH($D502,ENVIOS!$A$4:$A$3003,0)),"—"))</f>
        <v/>
      </c>
      <c r="J502" s="23">
        <f>IF($D502="","",IFERROR(INDEX(ENVIOS!$G$4:$G$3003,MATCH($D502,ENVIOS!$A$4:$A$3003,0)),"—"))</f>
        <v/>
      </c>
      <c r="K502" s="28">
        <f>IF($D502="","",IFERROR(INDEX(ENVIOS!$H$4:$H$3003,MATCH($D502,ENVIOS!$A$4:$A$3003,0)),"—"))</f>
        <v/>
      </c>
      <c r="L502" s="49">
        <f>IF($D502="","",IFERROR(INDEX(ENVIOS!$C$4:$C$3003,MATCH($D502,ENVIOS!$A$4:$A$3003,0)),""))</f>
        <v/>
      </c>
      <c r="M502" s="50" t="n"/>
      <c r="N502" s="28">
        <f>IF($M502="","",IFERROR(INDEX(CONFIG!$C$4:$C$63,MATCH($M502,CONFIG!$A$4:$A$63,0)),"Media"))</f>
        <v/>
      </c>
      <c r="O502" s="28">
        <f>IF($M502="","",IF($C502="Interna","NO",IFERROR(INDEX(CONFIG!$E$4:$E$63,MATCH($M502,CONFIG!$A$4:$A$63,0)),"NO")))</f>
        <v/>
      </c>
      <c r="P502" s="50" t="n"/>
      <c r="Q502" s="50" t="n"/>
      <c r="R502" s="28">
        <f>IF($Q502="","",IFERROR(INDEX(CONFIG!$H$4:$H$63,MATCH($Q502,CONFIG!$G$4:$G$63,0)),"Por definir"))</f>
        <v/>
      </c>
      <c r="S502" s="28">
        <f>IF($Q502="","",IFERROR(INDEX(CONFIG!$I$4:$I$63,MATCH($Q502,CONFIG!$G$4:$G$63,0)),"Por definir"))</f>
        <v/>
      </c>
      <c r="T502" s="51" t="n"/>
      <c r="U502" s="52" t="n"/>
      <c r="V502" s="50" t="n"/>
      <c r="W502" s="50" t="n"/>
      <c r="X502" s="49">
        <f>IF(OR($B502="",$M502=""),"",WORKDAY($B502,IFERROR(INDEX(CONFIG!$D$4:$D$63,MATCH($M502,CONFIG!$A$4:$A$63,0)),3)))</f>
        <v/>
      </c>
      <c r="Y502" s="47" t="n"/>
      <c r="Z502" s="24">
        <f>IF($B502="","",IF($Y502&lt;&gt;"",$Y502-$B502,TODAY()-$B502))</f>
        <v/>
      </c>
      <c r="AA502" s="28">
        <f>IF($B502="","",IF(IFERROR(INDEX(CONFIG!$L$4:$L$63,MATCH($V502,CONFIG!$K$4:$K$63,0)),"NO")="SÍ",IF(OR($Y502="",$X502=""),"Resuelta",IF($Y502&gt;$X502,"Resuelta tarde","Resuelta a tiempo")),IF($X502="","Sin clasificar",IF(TODAY()&gt;$X502,"Vencida",IF(TODAY()&gt;=$X502-1,"Por vencer","En plazo")))))</f>
        <v/>
      </c>
      <c r="AB502" s="50" t="n"/>
      <c r="AC502" s="50" t="n"/>
    </row>
    <row r="503" ht="16" customHeight="1">
      <c r="A503" s="28">
        <f>IF($B503="","","N-"&amp;TEXT(ROW()-3,"0000"))</f>
        <v/>
      </c>
      <c r="B503" s="47" t="n"/>
      <c r="C503" s="48" t="n"/>
      <c r="D503" s="48" t="n"/>
      <c r="E503" s="28">
        <f>IF($C503="","",IF($D503="",IF($C503="Interna","Sin guía (interna)","FALTA GUÍA"),IF(COUNTIFS(ENVIOS!$A$4:$A$3003,$D503)=0,"NO EXISTE",IF(COUNTIFS(ENVIOS!$A$4:$A$3003,$D503)&gt;1,"DUPLICADA","OK"))))</f>
        <v/>
      </c>
      <c r="F503" s="28">
        <f>IF($D503="","",IFERROR(INDEX(ENVIOS!$B$4:$B$3003,MATCH($D503,ENVIOS!$A$4:$A$3003,0)),"—"))</f>
        <v/>
      </c>
      <c r="G503" s="23">
        <f>IF($D503="","",IFERROR(INDEX(ENVIOS!$D$4:$D$3003,MATCH($D503,ENVIOS!$A$4:$A$3003,0)),"—"))</f>
        <v/>
      </c>
      <c r="H503" s="23">
        <f>IF($D503="","",IFERROR(INDEX(ENVIOS!$E$4:$E$3003,MATCH($D503,ENVIOS!$A$4:$A$3003,0)),"—"))</f>
        <v/>
      </c>
      <c r="I503" s="23">
        <f>IF($D503="","",IFERROR(INDEX(ENVIOS!$F$4:$F$3003,MATCH($D503,ENVIOS!$A$4:$A$3003,0)),"—"))</f>
        <v/>
      </c>
      <c r="J503" s="23">
        <f>IF($D503="","",IFERROR(INDEX(ENVIOS!$G$4:$G$3003,MATCH($D503,ENVIOS!$A$4:$A$3003,0)),"—"))</f>
        <v/>
      </c>
      <c r="K503" s="28">
        <f>IF($D503="","",IFERROR(INDEX(ENVIOS!$H$4:$H$3003,MATCH($D503,ENVIOS!$A$4:$A$3003,0)),"—"))</f>
        <v/>
      </c>
      <c r="L503" s="49">
        <f>IF($D503="","",IFERROR(INDEX(ENVIOS!$C$4:$C$3003,MATCH($D503,ENVIOS!$A$4:$A$3003,0)),""))</f>
        <v/>
      </c>
      <c r="M503" s="50" t="n"/>
      <c r="N503" s="28">
        <f>IF($M503="","",IFERROR(INDEX(CONFIG!$C$4:$C$63,MATCH($M503,CONFIG!$A$4:$A$63,0)),"Media"))</f>
        <v/>
      </c>
      <c r="O503" s="28">
        <f>IF($M503="","",IF($C503="Interna","NO",IFERROR(INDEX(CONFIG!$E$4:$E$63,MATCH($M503,CONFIG!$A$4:$A$63,0)),"NO")))</f>
        <v/>
      </c>
      <c r="P503" s="50" t="n"/>
      <c r="Q503" s="50" t="n"/>
      <c r="R503" s="28">
        <f>IF($Q503="","",IFERROR(INDEX(CONFIG!$H$4:$H$63,MATCH($Q503,CONFIG!$G$4:$G$63,0)),"Por definir"))</f>
        <v/>
      </c>
      <c r="S503" s="28">
        <f>IF($Q503="","",IFERROR(INDEX(CONFIG!$I$4:$I$63,MATCH($Q503,CONFIG!$G$4:$G$63,0)),"Por definir"))</f>
        <v/>
      </c>
      <c r="T503" s="51" t="n"/>
      <c r="U503" s="52" t="n"/>
      <c r="V503" s="50" t="n"/>
      <c r="W503" s="50" t="n"/>
      <c r="X503" s="49">
        <f>IF(OR($B503="",$M503=""),"",WORKDAY($B503,IFERROR(INDEX(CONFIG!$D$4:$D$63,MATCH($M503,CONFIG!$A$4:$A$63,0)),3)))</f>
        <v/>
      </c>
      <c r="Y503" s="47" t="n"/>
      <c r="Z503" s="24">
        <f>IF($B503="","",IF($Y503&lt;&gt;"",$Y503-$B503,TODAY()-$B503))</f>
        <v/>
      </c>
      <c r="AA503" s="28">
        <f>IF($B503="","",IF(IFERROR(INDEX(CONFIG!$L$4:$L$63,MATCH($V503,CONFIG!$K$4:$K$63,0)),"NO")="SÍ",IF(OR($Y503="",$X503=""),"Resuelta",IF($Y503&gt;$X503,"Resuelta tarde","Resuelta a tiempo")),IF($X503="","Sin clasificar",IF(TODAY()&gt;$X503,"Vencida",IF(TODAY()&gt;=$X503-1,"Por vencer","En plazo")))))</f>
        <v/>
      </c>
      <c r="AB503" s="50" t="n"/>
      <c r="AC503" s="50" t="n"/>
    </row>
    <row r="504" ht="16" customHeight="1">
      <c r="A504" s="28">
        <f>IF($B504="","","N-"&amp;TEXT(ROW()-3,"0000"))</f>
        <v/>
      </c>
      <c r="B504" s="47" t="n"/>
      <c r="C504" s="48" t="n"/>
      <c r="D504" s="48" t="n"/>
      <c r="E504" s="28">
        <f>IF($C504="","",IF($D504="",IF($C504="Interna","Sin guía (interna)","FALTA GUÍA"),IF(COUNTIFS(ENVIOS!$A$4:$A$3003,$D504)=0,"NO EXISTE",IF(COUNTIFS(ENVIOS!$A$4:$A$3003,$D504)&gt;1,"DUPLICADA","OK"))))</f>
        <v/>
      </c>
      <c r="F504" s="28">
        <f>IF($D504="","",IFERROR(INDEX(ENVIOS!$B$4:$B$3003,MATCH($D504,ENVIOS!$A$4:$A$3003,0)),"—"))</f>
        <v/>
      </c>
      <c r="G504" s="23">
        <f>IF($D504="","",IFERROR(INDEX(ENVIOS!$D$4:$D$3003,MATCH($D504,ENVIOS!$A$4:$A$3003,0)),"—"))</f>
        <v/>
      </c>
      <c r="H504" s="23">
        <f>IF($D504="","",IFERROR(INDEX(ENVIOS!$E$4:$E$3003,MATCH($D504,ENVIOS!$A$4:$A$3003,0)),"—"))</f>
        <v/>
      </c>
      <c r="I504" s="23">
        <f>IF($D504="","",IFERROR(INDEX(ENVIOS!$F$4:$F$3003,MATCH($D504,ENVIOS!$A$4:$A$3003,0)),"—"))</f>
        <v/>
      </c>
      <c r="J504" s="23">
        <f>IF($D504="","",IFERROR(INDEX(ENVIOS!$G$4:$G$3003,MATCH($D504,ENVIOS!$A$4:$A$3003,0)),"—"))</f>
        <v/>
      </c>
      <c r="K504" s="28">
        <f>IF($D504="","",IFERROR(INDEX(ENVIOS!$H$4:$H$3003,MATCH($D504,ENVIOS!$A$4:$A$3003,0)),"—"))</f>
        <v/>
      </c>
      <c r="L504" s="49">
        <f>IF($D504="","",IFERROR(INDEX(ENVIOS!$C$4:$C$3003,MATCH($D504,ENVIOS!$A$4:$A$3003,0)),""))</f>
        <v/>
      </c>
      <c r="M504" s="50" t="n"/>
      <c r="N504" s="28">
        <f>IF($M504="","",IFERROR(INDEX(CONFIG!$C$4:$C$63,MATCH($M504,CONFIG!$A$4:$A$63,0)),"Media"))</f>
        <v/>
      </c>
      <c r="O504" s="28">
        <f>IF($M504="","",IF($C504="Interna","NO",IFERROR(INDEX(CONFIG!$E$4:$E$63,MATCH($M504,CONFIG!$A$4:$A$63,0)),"NO")))</f>
        <v/>
      </c>
      <c r="P504" s="50" t="n"/>
      <c r="Q504" s="50" t="n"/>
      <c r="R504" s="28">
        <f>IF($Q504="","",IFERROR(INDEX(CONFIG!$H$4:$H$63,MATCH($Q504,CONFIG!$G$4:$G$63,0)),"Por definir"))</f>
        <v/>
      </c>
      <c r="S504" s="28">
        <f>IF($Q504="","",IFERROR(INDEX(CONFIG!$I$4:$I$63,MATCH($Q504,CONFIG!$G$4:$G$63,0)),"Por definir"))</f>
        <v/>
      </c>
      <c r="T504" s="51" t="n"/>
      <c r="U504" s="52" t="n"/>
      <c r="V504" s="50" t="n"/>
      <c r="W504" s="50" t="n"/>
      <c r="X504" s="49">
        <f>IF(OR($B504="",$M504=""),"",WORKDAY($B504,IFERROR(INDEX(CONFIG!$D$4:$D$63,MATCH($M504,CONFIG!$A$4:$A$63,0)),3)))</f>
        <v/>
      </c>
      <c r="Y504" s="47" t="n"/>
      <c r="Z504" s="24">
        <f>IF($B504="","",IF($Y504&lt;&gt;"",$Y504-$B504,TODAY()-$B504))</f>
        <v/>
      </c>
      <c r="AA504" s="28">
        <f>IF($B504="","",IF(IFERROR(INDEX(CONFIG!$L$4:$L$63,MATCH($V504,CONFIG!$K$4:$K$63,0)),"NO")="SÍ",IF(OR($Y504="",$X504=""),"Resuelta",IF($Y504&gt;$X504,"Resuelta tarde","Resuelta a tiempo")),IF($X504="","Sin clasificar",IF(TODAY()&gt;$X504,"Vencida",IF(TODAY()&gt;=$X504-1,"Por vencer","En plazo")))))</f>
        <v/>
      </c>
      <c r="AB504" s="50" t="n"/>
      <c r="AC504" s="50" t="n"/>
    </row>
    <row r="505" ht="16" customHeight="1">
      <c r="A505" s="28">
        <f>IF($B505="","","N-"&amp;TEXT(ROW()-3,"0000"))</f>
        <v/>
      </c>
      <c r="B505" s="47" t="n"/>
      <c r="C505" s="48" t="n"/>
      <c r="D505" s="48" t="n"/>
      <c r="E505" s="28">
        <f>IF($C505="","",IF($D505="",IF($C505="Interna","Sin guía (interna)","FALTA GUÍA"),IF(COUNTIFS(ENVIOS!$A$4:$A$3003,$D505)=0,"NO EXISTE",IF(COUNTIFS(ENVIOS!$A$4:$A$3003,$D505)&gt;1,"DUPLICADA","OK"))))</f>
        <v/>
      </c>
      <c r="F505" s="28">
        <f>IF($D505="","",IFERROR(INDEX(ENVIOS!$B$4:$B$3003,MATCH($D505,ENVIOS!$A$4:$A$3003,0)),"—"))</f>
        <v/>
      </c>
      <c r="G505" s="23">
        <f>IF($D505="","",IFERROR(INDEX(ENVIOS!$D$4:$D$3003,MATCH($D505,ENVIOS!$A$4:$A$3003,0)),"—"))</f>
        <v/>
      </c>
      <c r="H505" s="23">
        <f>IF($D505="","",IFERROR(INDEX(ENVIOS!$E$4:$E$3003,MATCH($D505,ENVIOS!$A$4:$A$3003,0)),"—"))</f>
        <v/>
      </c>
      <c r="I505" s="23">
        <f>IF($D505="","",IFERROR(INDEX(ENVIOS!$F$4:$F$3003,MATCH($D505,ENVIOS!$A$4:$A$3003,0)),"—"))</f>
        <v/>
      </c>
      <c r="J505" s="23">
        <f>IF($D505="","",IFERROR(INDEX(ENVIOS!$G$4:$G$3003,MATCH($D505,ENVIOS!$A$4:$A$3003,0)),"—"))</f>
        <v/>
      </c>
      <c r="K505" s="28">
        <f>IF($D505="","",IFERROR(INDEX(ENVIOS!$H$4:$H$3003,MATCH($D505,ENVIOS!$A$4:$A$3003,0)),"—"))</f>
        <v/>
      </c>
      <c r="L505" s="49">
        <f>IF($D505="","",IFERROR(INDEX(ENVIOS!$C$4:$C$3003,MATCH($D505,ENVIOS!$A$4:$A$3003,0)),""))</f>
        <v/>
      </c>
      <c r="M505" s="50" t="n"/>
      <c r="N505" s="28">
        <f>IF($M505="","",IFERROR(INDEX(CONFIG!$C$4:$C$63,MATCH($M505,CONFIG!$A$4:$A$63,0)),"Media"))</f>
        <v/>
      </c>
      <c r="O505" s="28">
        <f>IF($M505="","",IF($C505="Interna","NO",IFERROR(INDEX(CONFIG!$E$4:$E$63,MATCH($M505,CONFIG!$A$4:$A$63,0)),"NO")))</f>
        <v/>
      </c>
      <c r="P505" s="50" t="n"/>
      <c r="Q505" s="50" t="n"/>
      <c r="R505" s="28">
        <f>IF($Q505="","",IFERROR(INDEX(CONFIG!$H$4:$H$63,MATCH($Q505,CONFIG!$G$4:$G$63,0)),"Por definir"))</f>
        <v/>
      </c>
      <c r="S505" s="28">
        <f>IF($Q505="","",IFERROR(INDEX(CONFIG!$I$4:$I$63,MATCH($Q505,CONFIG!$G$4:$G$63,0)),"Por definir"))</f>
        <v/>
      </c>
      <c r="T505" s="51" t="n"/>
      <c r="U505" s="52" t="n"/>
      <c r="V505" s="50" t="n"/>
      <c r="W505" s="50" t="n"/>
      <c r="X505" s="49">
        <f>IF(OR($B505="",$M505=""),"",WORKDAY($B505,IFERROR(INDEX(CONFIG!$D$4:$D$63,MATCH($M505,CONFIG!$A$4:$A$63,0)),3)))</f>
        <v/>
      </c>
      <c r="Y505" s="47" t="n"/>
      <c r="Z505" s="24">
        <f>IF($B505="","",IF($Y505&lt;&gt;"",$Y505-$B505,TODAY()-$B505))</f>
        <v/>
      </c>
      <c r="AA505" s="28">
        <f>IF($B505="","",IF(IFERROR(INDEX(CONFIG!$L$4:$L$63,MATCH($V505,CONFIG!$K$4:$K$63,0)),"NO")="SÍ",IF(OR($Y505="",$X505=""),"Resuelta",IF($Y505&gt;$X505,"Resuelta tarde","Resuelta a tiempo")),IF($X505="","Sin clasificar",IF(TODAY()&gt;$X505,"Vencida",IF(TODAY()&gt;=$X505-1,"Por vencer","En plazo")))))</f>
        <v/>
      </c>
      <c r="AB505" s="50" t="n"/>
      <c r="AC505" s="50" t="n"/>
    </row>
    <row r="506" ht="16" customHeight="1">
      <c r="A506" s="28">
        <f>IF($B506="","","N-"&amp;TEXT(ROW()-3,"0000"))</f>
        <v/>
      </c>
      <c r="B506" s="47" t="n"/>
      <c r="C506" s="48" t="n"/>
      <c r="D506" s="48" t="n"/>
      <c r="E506" s="28">
        <f>IF($C506="","",IF($D506="",IF($C506="Interna","Sin guía (interna)","FALTA GUÍA"),IF(COUNTIFS(ENVIOS!$A$4:$A$3003,$D506)=0,"NO EXISTE",IF(COUNTIFS(ENVIOS!$A$4:$A$3003,$D506)&gt;1,"DUPLICADA","OK"))))</f>
        <v/>
      </c>
      <c r="F506" s="28">
        <f>IF($D506="","",IFERROR(INDEX(ENVIOS!$B$4:$B$3003,MATCH($D506,ENVIOS!$A$4:$A$3003,0)),"—"))</f>
        <v/>
      </c>
      <c r="G506" s="23">
        <f>IF($D506="","",IFERROR(INDEX(ENVIOS!$D$4:$D$3003,MATCH($D506,ENVIOS!$A$4:$A$3003,0)),"—"))</f>
        <v/>
      </c>
      <c r="H506" s="23">
        <f>IF($D506="","",IFERROR(INDEX(ENVIOS!$E$4:$E$3003,MATCH($D506,ENVIOS!$A$4:$A$3003,0)),"—"))</f>
        <v/>
      </c>
      <c r="I506" s="23">
        <f>IF($D506="","",IFERROR(INDEX(ENVIOS!$F$4:$F$3003,MATCH($D506,ENVIOS!$A$4:$A$3003,0)),"—"))</f>
        <v/>
      </c>
      <c r="J506" s="23">
        <f>IF($D506="","",IFERROR(INDEX(ENVIOS!$G$4:$G$3003,MATCH($D506,ENVIOS!$A$4:$A$3003,0)),"—"))</f>
        <v/>
      </c>
      <c r="K506" s="28">
        <f>IF($D506="","",IFERROR(INDEX(ENVIOS!$H$4:$H$3003,MATCH($D506,ENVIOS!$A$4:$A$3003,0)),"—"))</f>
        <v/>
      </c>
      <c r="L506" s="49">
        <f>IF($D506="","",IFERROR(INDEX(ENVIOS!$C$4:$C$3003,MATCH($D506,ENVIOS!$A$4:$A$3003,0)),""))</f>
        <v/>
      </c>
      <c r="M506" s="50" t="n"/>
      <c r="N506" s="28">
        <f>IF($M506="","",IFERROR(INDEX(CONFIG!$C$4:$C$63,MATCH($M506,CONFIG!$A$4:$A$63,0)),"Media"))</f>
        <v/>
      </c>
      <c r="O506" s="28">
        <f>IF($M506="","",IF($C506="Interna","NO",IFERROR(INDEX(CONFIG!$E$4:$E$63,MATCH($M506,CONFIG!$A$4:$A$63,0)),"NO")))</f>
        <v/>
      </c>
      <c r="P506" s="50" t="n"/>
      <c r="Q506" s="50" t="n"/>
      <c r="R506" s="28">
        <f>IF($Q506="","",IFERROR(INDEX(CONFIG!$H$4:$H$63,MATCH($Q506,CONFIG!$G$4:$G$63,0)),"Por definir"))</f>
        <v/>
      </c>
      <c r="S506" s="28">
        <f>IF($Q506="","",IFERROR(INDEX(CONFIG!$I$4:$I$63,MATCH($Q506,CONFIG!$G$4:$G$63,0)),"Por definir"))</f>
        <v/>
      </c>
      <c r="T506" s="51" t="n"/>
      <c r="U506" s="52" t="n"/>
      <c r="V506" s="50" t="n"/>
      <c r="W506" s="50" t="n"/>
      <c r="X506" s="49">
        <f>IF(OR($B506="",$M506=""),"",WORKDAY($B506,IFERROR(INDEX(CONFIG!$D$4:$D$63,MATCH($M506,CONFIG!$A$4:$A$63,0)),3)))</f>
        <v/>
      </c>
      <c r="Y506" s="47" t="n"/>
      <c r="Z506" s="24">
        <f>IF($B506="","",IF($Y506&lt;&gt;"",$Y506-$B506,TODAY()-$B506))</f>
        <v/>
      </c>
      <c r="AA506" s="28">
        <f>IF($B506="","",IF(IFERROR(INDEX(CONFIG!$L$4:$L$63,MATCH($V506,CONFIG!$K$4:$K$63,0)),"NO")="SÍ",IF(OR($Y506="",$X506=""),"Resuelta",IF($Y506&gt;$X506,"Resuelta tarde","Resuelta a tiempo")),IF($X506="","Sin clasificar",IF(TODAY()&gt;$X506,"Vencida",IF(TODAY()&gt;=$X506-1,"Por vencer","En plazo")))))</f>
        <v/>
      </c>
      <c r="AB506" s="50" t="n"/>
      <c r="AC506" s="50" t="n"/>
    </row>
    <row r="507" ht="16" customHeight="1">
      <c r="A507" s="28">
        <f>IF($B507="","","N-"&amp;TEXT(ROW()-3,"0000"))</f>
        <v/>
      </c>
      <c r="B507" s="47" t="n"/>
      <c r="C507" s="48" t="n"/>
      <c r="D507" s="48" t="n"/>
      <c r="E507" s="28">
        <f>IF($C507="","",IF($D507="",IF($C507="Interna","Sin guía (interna)","FALTA GUÍA"),IF(COUNTIFS(ENVIOS!$A$4:$A$3003,$D507)=0,"NO EXISTE",IF(COUNTIFS(ENVIOS!$A$4:$A$3003,$D507)&gt;1,"DUPLICADA","OK"))))</f>
        <v/>
      </c>
      <c r="F507" s="28">
        <f>IF($D507="","",IFERROR(INDEX(ENVIOS!$B$4:$B$3003,MATCH($D507,ENVIOS!$A$4:$A$3003,0)),"—"))</f>
        <v/>
      </c>
      <c r="G507" s="23">
        <f>IF($D507="","",IFERROR(INDEX(ENVIOS!$D$4:$D$3003,MATCH($D507,ENVIOS!$A$4:$A$3003,0)),"—"))</f>
        <v/>
      </c>
      <c r="H507" s="23">
        <f>IF($D507="","",IFERROR(INDEX(ENVIOS!$E$4:$E$3003,MATCH($D507,ENVIOS!$A$4:$A$3003,0)),"—"))</f>
        <v/>
      </c>
      <c r="I507" s="23">
        <f>IF($D507="","",IFERROR(INDEX(ENVIOS!$F$4:$F$3003,MATCH($D507,ENVIOS!$A$4:$A$3003,0)),"—"))</f>
        <v/>
      </c>
      <c r="J507" s="23">
        <f>IF($D507="","",IFERROR(INDEX(ENVIOS!$G$4:$G$3003,MATCH($D507,ENVIOS!$A$4:$A$3003,0)),"—"))</f>
        <v/>
      </c>
      <c r="K507" s="28">
        <f>IF($D507="","",IFERROR(INDEX(ENVIOS!$H$4:$H$3003,MATCH($D507,ENVIOS!$A$4:$A$3003,0)),"—"))</f>
        <v/>
      </c>
      <c r="L507" s="49">
        <f>IF($D507="","",IFERROR(INDEX(ENVIOS!$C$4:$C$3003,MATCH($D507,ENVIOS!$A$4:$A$3003,0)),""))</f>
        <v/>
      </c>
      <c r="M507" s="50" t="n"/>
      <c r="N507" s="28">
        <f>IF($M507="","",IFERROR(INDEX(CONFIG!$C$4:$C$63,MATCH($M507,CONFIG!$A$4:$A$63,0)),"Media"))</f>
        <v/>
      </c>
      <c r="O507" s="28">
        <f>IF($M507="","",IF($C507="Interna","NO",IFERROR(INDEX(CONFIG!$E$4:$E$63,MATCH($M507,CONFIG!$A$4:$A$63,0)),"NO")))</f>
        <v/>
      </c>
      <c r="P507" s="50" t="n"/>
      <c r="Q507" s="50" t="n"/>
      <c r="R507" s="28">
        <f>IF($Q507="","",IFERROR(INDEX(CONFIG!$H$4:$H$63,MATCH($Q507,CONFIG!$G$4:$G$63,0)),"Por definir"))</f>
        <v/>
      </c>
      <c r="S507" s="28">
        <f>IF($Q507="","",IFERROR(INDEX(CONFIG!$I$4:$I$63,MATCH($Q507,CONFIG!$G$4:$G$63,0)),"Por definir"))</f>
        <v/>
      </c>
      <c r="T507" s="51" t="n"/>
      <c r="U507" s="52" t="n"/>
      <c r="V507" s="50" t="n"/>
      <c r="W507" s="50" t="n"/>
      <c r="X507" s="49">
        <f>IF(OR($B507="",$M507=""),"",WORKDAY($B507,IFERROR(INDEX(CONFIG!$D$4:$D$63,MATCH($M507,CONFIG!$A$4:$A$63,0)),3)))</f>
        <v/>
      </c>
      <c r="Y507" s="47" t="n"/>
      <c r="Z507" s="24">
        <f>IF($B507="","",IF($Y507&lt;&gt;"",$Y507-$B507,TODAY()-$B507))</f>
        <v/>
      </c>
      <c r="AA507" s="28">
        <f>IF($B507="","",IF(IFERROR(INDEX(CONFIG!$L$4:$L$63,MATCH($V507,CONFIG!$K$4:$K$63,0)),"NO")="SÍ",IF(OR($Y507="",$X507=""),"Resuelta",IF($Y507&gt;$X507,"Resuelta tarde","Resuelta a tiempo")),IF($X507="","Sin clasificar",IF(TODAY()&gt;$X507,"Vencida",IF(TODAY()&gt;=$X507-1,"Por vencer","En plazo")))))</f>
        <v/>
      </c>
      <c r="AB507" s="50" t="n"/>
      <c r="AC507" s="50" t="n"/>
    </row>
    <row r="508" ht="16" customHeight="1">
      <c r="A508" s="28">
        <f>IF($B508="","","N-"&amp;TEXT(ROW()-3,"0000"))</f>
        <v/>
      </c>
      <c r="B508" s="47" t="n"/>
      <c r="C508" s="48" t="n"/>
      <c r="D508" s="48" t="n"/>
      <c r="E508" s="28">
        <f>IF($C508="","",IF($D508="",IF($C508="Interna","Sin guía (interna)","FALTA GUÍA"),IF(COUNTIFS(ENVIOS!$A$4:$A$3003,$D508)=0,"NO EXISTE",IF(COUNTIFS(ENVIOS!$A$4:$A$3003,$D508)&gt;1,"DUPLICADA","OK"))))</f>
        <v/>
      </c>
      <c r="F508" s="28">
        <f>IF($D508="","",IFERROR(INDEX(ENVIOS!$B$4:$B$3003,MATCH($D508,ENVIOS!$A$4:$A$3003,0)),"—"))</f>
        <v/>
      </c>
      <c r="G508" s="23">
        <f>IF($D508="","",IFERROR(INDEX(ENVIOS!$D$4:$D$3003,MATCH($D508,ENVIOS!$A$4:$A$3003,0)),"—"))</f>
        <v/>
      </c>
      <c r="H508" s="23">
        <f>IF($D508="","",IFERROR(INDEX(ENVIOS!$E$4:$E$3003,MATCH($D508,ENVIOS!$A$4:$A$3003,0)),"—"))</f>
        <v/>
      </c>
      <c r="I508" s="23">
        <f>IF($D508="","",IFERROR(INDEX(ENVIOS!$F$4:$F$3003,MATCH($D508,ENVIOS!$A$4:$A$3003,0)),"—"))</f>
        <v/>
      </c>
      <c r="J508" s="23">
        <f>IF($D508="","",IFERROR(INDEX(ENVIOS!$G$4:$G$3003,MATCH($D508,ENVIOS!$A$4:$A$3003,0)),"—"))</f>
        <v/>
      </c>
      <c r="K508" s="28">
        <f>IF($D508="","",IFERROR(INDEX(ENVIOS!$H$4:$H$3003,MATCH($D508,ENVIOS!$A$4:$A$3003,0)),"—"))</f>
        <v/>
      </c>
      <c r="L508" s="49">
        <f>IF($D508="","",IFERROR(INDEX(ENVIOS!$C$4:$C$3003,MATCH($D508,ENVIOS!$A$4:$A$3003,0)),""))</f>
        <v/>
      </c>
      <c r="M508" s="50" t="n"/>
      <c r="N508" s="28">
        <f>IF($M508="","",IFERROR(INDEX(CONFIG!$C$4:$C$63,MATCH($M508,CONFIG!$A$4:$A$63,0)),"Media"))</f>
        <v/>
      </c>
      <c r="O508" s="28">
        <f>IF($M508="","",IF($C508="Interna","NO",IFERROR(INDEX(CONFIG!$E$4:$E$63,MATCH($M508,CONFIG!$A$4:$A$63,0)),"NO")))</f>
        <v/>
      </c>
      <c r="P508" s="50" t="n"/>
      <c r="Q508" s="50" t="n"/>
      <c r="R508" s="28">
        <f>IF($Q508="","",IFERROR(INDEX(CONFIG!$H$4:$H$63,MATCH($Q508,CONFIG!$G$4:$G$63,0)),"Por definir"))</f>
        <v/>
      </c>
      <c r="S508" s="28">
        <f>IF($Q508="","",IFERROR(INDEX(CONFIG!$I$4:$I$63,MATCH($Q508,CONFIG!$G$4:$G$63,0)),"Por definir"))</f>
        <v/>
      </c>
      <c r="T508" s="51" t="n"/>
      <c r="U508" s="52" t="n"/>
      <c r="V508" s="50" t="n"/>
      <c r="W508" s="50" t="n"/>
      <c r="X508" s="49">
        <f>IF(OR($B508="",$M508=""),"",WORKDAY($B508,IFERROR(INDEX(CONFIG!$D$4:$D$63,MATCH($M508,CONFIG!$A$4:$A$63,0)),3)))</f>
        <v/>
      </c>
      <c r="Y508" s="47" t="n"/>
      <c r="Z508" s="24">
        <f>IF($B508="","",IF($Y508&lt;&gt;"",$Y508-$B508,TODAY()-$B508))</f>
        <v/>
      </c>
      <c r="AA508" s="28">
        <f>IF($B508="","",IF(IFERROR(INDEX(CONFIG!$L$4:$L$63,MATCH($V508,CONFIG!$K$4:$K$63,0)),"NO")="SÍ",IF(OR($Y508="",$X508=""),"Resuelta",IF($Y508&gt;$X508,"Resuelta tarde","Resuelta a tiempo")),IF($X508="","Sin clasificar",IF(TODAY()&gt;$X508,"Vencida",IF(TODAY()&gt;=$X508-1,"Por vencer","En plazo")))))</f>
        <v/>
      </c>
      <c r="AB508" s="50" t="n"/>
      <c r="AC508" s="50" t="n"/>
    </row>
    <row r="509" ht="16" customHeight="1">
      <c r="A509" s="28">
        <f>IF($B509="","","N-"&amp;TEXT(ROW()-3,"0000"))</f>
        <v/>
      </c>
      <c r="B509" s="47" t="n"/>
      <c r="C509" s="48" t="n"/>
      <c r="D509" s="48" t="n"/>
      <c r="E509" s="28">
        <f>IF($C509="","",IF($D509="",IF($C509="Interna","Sin guía (interna)","FALTA GUÍA"),IF(COUNTIFS(ENVIOS!$A$4:$A$3003,$D509)=0,"NO EXISTE",IF(COUNTIFS(ENVIOS!$A$4:$A$3003,$D509)&gt;1,"DUPLICADA","OK"))))</f>
        <v/>
      </c>
      <c r="F509" s="28">
        <f>IF($D509="","",IFERROR(INDEX(ENVIOS!$B$4:$B$3003,MATCH($D509,ENVIOS!$A$4:$A$3003,0)),"—"))</f>
        <v/>
      </c>
      <c r="G509" s="23">
        <f>IF($D509="","",IFERROR(INDEX(ENVIOS!$D$4:$D$3003,MATCH($D509,ENVIOS!$A$4:$A$3003,0)),"—"))</f>
        <v/>
      </c>
      <c r="H509" s="23">
        <f>IF($D509="","",IFERROR(INDEX(ENVIOS!$E$4:$E$3003,MATCH($D509,ENVIOS!$A$4:$A$3003,0)),"—"))</f>
        <v/>
      </c>
      <c r="I509" s="23">
        <f>IF($D509="","",IFERROR(INDEX(ENVIOS!$F$4:$F$3003,MATCH($D509,ENVIOS!$A$4:$A$3003,0)),"—"))</f>
        <v/>
      </c>
      <c r="J509" s="23">
        <f>IF($D509="","",IFERROR(INDEX(ENVIOS!$G$4:$G$3003,MATCH($D509,ENVIOS!$A$4:$A$3003,0)),"—"))</f>
        <v/>
      </c>
      <c r="K509" s="28">
        <f>IF($D509="","",IFERROR(INDEX(ENVIOS!$H$4:$H$3003,MATCH($D509,ENVIOS!$A$4:$A$3003,0)),"—"))</f>
        <v/>
      </c>
      <c r="L509" s="49">
        <f>IF($D509="","",IFERROR(INDEX(ENVIOS!$C$4:$C$3003,MATCH($D509,ENVIOS!$A$4:$A$3003,0)),""))</f>
        <v/>
      </c>
      <c r="M509" s="50" t="n"/>
      <c r="N509" s="28">
        <f>IF($M509="","",IFERROR(INDEX(CONFIG!$C$4:$C$63,MATCH($M509,CONFIG!$A$4:$A$63,0)),"Media"))</f>
        <v/>
      </c>
      <c r="O509" s="28">
        <f>IF($M509="","",IF($C509="Interna","NO",IFERROR(INDEX(CONFIG!$E$4:$E$63,MATCH($M509,CONFIG!$A$4:$A$63,0)),"NO")))</f>
        <v/>
      </c>
      <c r="P509" s="50" t="n"/>
      <c r="Q509" s="50" t="n"/>
      <c r="R509" s="28">
        <f>IF($Q509="","",IFERROR(INDEX(CONFIG!$H$4:$H$63,MATCH($Q509,CONFIG!$G$4:$G$63,0)),"Por definir"))</f>
        <v/>
      </c>
      <c r="S509" s="28">
        <f>IF($Q509="","",IFERROR(INDEX(CONFIG!$I$4:$I$63,MATCH($Q509,CONFIG!$G$4:$G$63,0)),"Por definir"))</f>
        <v/>
      </c>
      <c r="T509" s="51" t="n"/>
      <c r="U509" s="52" t="n"/>
      <c r="V509" s="50" t="n"/>
      <c r="W509" s="50" t="n"/>
      <c r="X509" s="49">
        <f>IF(OR($B509="",$M509=""),"",WORKDAY($B509,IFERROR(INDEX(CONFIG!$D$4:$D$63,MATCH($M509,CONFIG!$A$4:$A$63,0)),3)))</f>
        <v/>
      </c>
      <c r="Y509" s="47" t="n"/>
      <c r="Z509" s="24">
        <f>IF($B509="","",IF($Y509&lt;&gt;"",$Y509-$B509,TODAY()-$B509))</f>
        <v/>
      </c>
      <c r="AA509" s="28">
        <f>IF($B509="","",IF(IFERROR(INDEX(CONFIG!$L$4:$L$63,MATCH($V509,CONFIG!$K$4:$K$63,0)),"NO")="SÍ",IF(OR($Y509="",$X509=""),"Resuelta",IF($Y509&gt;$X509,"Resuelta tarde","Resuelta a tiempo")),IF($X509="","Sin clasificar",IF(TODAY()&gt;$X509,"Vencida",IF(TODAY()&gt;=$X509-1,"Por vencer","En plazo")))))</f>
        <v/>
      </c>
      <c r="AB509" s="50" t="n"/>
      <c r="AC509" s="50" t="n"/>
    </row>
    <row r="510" ht="16" customHeight="1">
      <c r="A510" s="28">
        <f>IF($B510="","","N-"&amp;TEXT(ROW()-3,"0000"))</f>
        <v/>
      </c>
      <c r="B510" s="47" t="n"/>
      <c r="C510" s="48" t="n"/>
      <c r="D510" s="48" t="n"/>
      <c r="E510" s="28">
        <f>IF($C510="","",IF($D510="",IF($C510="Interna","Sin guía (interna)","FALTA GUÍA"),IF(COUNTIFS(ENVIOS!$A$4:$A$3003,$D510)=0,"NO EXISTE",IF(COUNTIFS(ENVIOS!$A$4:$A$3003,$D510)&gt;1,"DUPLICADA","OK"))))</f>
        <v/>
      </c>
      <c r="F510" s="28">
        <f>IF($D510="","",IFERROR(INDEX(ENVIOS!$B$4:$B$3003,MATCH($D510,ENVIOS!$A$4:$A$3003,0)),"—"))</f>
        <v/>
      </c>
      <c r="G510" s="23">
        <f>IF($D510="","",IFERROR(INDEX(ENVIOS!$D$4:$D$3003,MATCH($D510,ENVIOS!$A$4:$A$3003,0)),"—"))</f>
        <v/>
      </c>
      <c r="H510" s="23">
        <f>IF($D510="","",IFERROR(INDEX(ENVIOS!$E$4:$E$3003,MATCH($D510,ENVIOS!$A$4:$A$3003,0)),"—"))</f>
        <v/>
      </c>
      <c r="I510" s="23">
        <f>IF($D510="","",IFERROR(INDEX(ENVIOS!$F$4:$F$3003,MATCH($D510,ENVIOS!$A$4:$A$3003,0)),"—"))</f>
        <v/>
      </c>
      <c r="J510" s="23">
        <f>IF($D510="","",IFERROR(INDEX(ENVIOS!$G$4:$G$3003,MATCH($D510,ENVIOS!$A$4:$A$3003,0)),"—"))</f>
        <v/>
      </c>
      <c r="K510" s="28">
        <f>IF($D510="","",IFERROR(INDEX(ENVIOS!$H$4:$H$3003,MATCH($D510,ENVIOS!$A$4:$A$3003,0)),"—"))</f>
        <v/>
      </c>
      <c r="L510" s="49">
        <f>IF($D510="","",IFERROR(INDEX(ENVIOS!$C$4:$C$3003,MATCH($D510,ENVIOS!$A$4:$A$3003,0)),""))</f>
        <v/>
      </c>
      <c r="M510" s="50" t="n"/>
      <c r="N510" s="28">
        <f>IF($M510="","",IFERROR(INDEX(CONFIG!$C$4:$C$63,MATCH($M510,CONFIG!$A$4:$A$63,0)),"Media"))</f>
        <v/>
      </c>
      <c r="O510" s="28">
        <f>IF($M510="","",IF($C510="Interna","NO",IFERROR(INDEX(CONFIG!$E$4:$E$63,MATCH($M510,CONFIG!$A$4:$A$63,0)),"NO")))</f>
        <v/>
      </c>
      <c r="P510" s="50" t="n"/>
      <c r="Q510" s="50" t="n"/>
      <c r="R510" s="28">
        <f>IF($Q510="","",IFERROR(INDEX(CONFIG!$H$4:$H$63,MATCH($Q510,CONFIG!$G$4:$G$63,0)),"Por definir"))</f>
        <v/>
      </c>
      <c r="S510" s="28">
        <f>IF($Q510="","",IFERROR(INDEX(CONFIG!$I$4:$I$63,MATCH($Q510,CONFIG!$G$4:$G$63,0)),"Por definir"))</f>
        <v/>
      </c>
      <c r="T510" s="51" t="n"/>
      <c r="U510" s="52" t="n"/>
      <c r="V510" s="50" t="n"/>
      <c r="W510" s="50" t="n"/>
      <c r="X510" s="49">
        <f>IF(OR($B510="",$M510=""),"",WORKDAY($B510,IFERROR(INDEX(CONFIG!$D$4:$D$63,MATCH($M510,CONFIG!$A$4:$A$63,0)),3)))</f>
        <v/>
      </c>
      <c r="Y510" s="47" t="n"/>
      <c r="Z510" s="24">
        <f>IF($B510="","",IF($Y510&lt;&gt;"",$Y510-$B510,TODAY()-$B510))</f>
        <v/>
      </c>
      <c r="AA510" s="28">
        <f>IF($B510="","",IF(IFERROR(INDEX(CONFIG!$L$4:$L$63,MATCH($V510,CONFIG!$K$4:$K$63,0)),"NO")="SÍ",IF(OR($Y510="",$X510=""),"Resuelta",IF($Y510&gt;$X510,"Resuelta tarde","Resuelta a tiempo")),IF($X510="","Sin clasificar",IF(TODAY()&gt;$X510,"Vencida",IF(TODAY()&gt;=$X510-1,"Por vencer","En plazo")))))</f>
        <v/>
      </c>
      <c r="AB510" s="50" t="n"/>
      <c r="AC510" s="50" t="n"/>
    </row>
    <row r="511" ht="16" customHeight="1">
      <c r="A511" s="28">
        <f>IF($B511="","","N-"&amp;TEXT(ROW()-3,"0000"))</f>
        <v/>
      </c>
      <c r="B511" s="47" t="n"/>
      <c r="C511" s="48" t="n"/>
      <c r="D511" s="48" t="n"/>
      <c r="E511" s="28">
        <f>IF($C511="","",IF($D511="",IF($C511="Interna","Sin guía (interna)","FALTA GUÍA"),IF(COUNTIFS(ENVIOS!$A$4:$A$3003,$D511)=0,"NO EXISTE",IF(COUNTIFS(ENVIOS!$A$4:$A$3003,$D511)&gt;1,"DUPLICADA","OK"))))</f>
        <v/>
      </c>
      <c r="F511" s="28">
        <f>IF($D511="","",IFERROR(INDEX(ENVIOS!$B$4:$B$3003,MATCH($D511,ENVIOS!$A$4:$A$3003,0)),"—"))</f>
        <v/>
      </c>
      <c r="G511" s="23">
        <f>IF($D511="","",IFERROR(INDEX(ENVIOS!$D$4:$D$3003,MATCH($D511,ENVIOS!$A$4:$A$3003,0)),"—"))</f>
        <v/>
      </c>
      <c r="H511" s="23">
        <f>IF($D511="","",IFERROR(INDEX(ENVIOS!$E$4:$E$3003,MATCH($D511,ENVIOS!$A$4:$A$3003,0)),"—"))</f>
        <v/>
      </c>
      <c r="I511" s="23">
        <f>IF($D511="","",IFERROR(INDEX(ENVIOS!$F$4:$F$3003,MATCH($D511,ENVIOS!$A$4:$A$3003,0)),"—"))</f>
        <v/>
      </c>
      <c r="J511" s="23">
        <f>IF($D511="","",IFERROR(INDEX(ENVIOS!$G$4:$G$3003,MATCH($D511,ENVIOS!$A$4:$A$3003,0)),"—"))</f>
        <v/>
      </c>
      <c r="K511" s="28">
        <f>IF($D511="","",IFERROR(INDEX(ENVIOS!$H$4:$H$3003,MATCH($D511,ENVIOS!$A$4:$A$3003,0)),"—"))</f>
        <v/>
      </c>
      <c r="L511" s="49">
        <f>IF($D511="","",IFERROR(INDEX(ENVIOS!$C$4:$C$3003,MATCH($D511,ENVIOS!$A$4:$A$3003,0)),""))</f>
        <v/>
      </c>
      <c r="M511" s="50" t="n"/>
      <c r="N511" s="28">
        <f>IF($M511="","",IFERROR(INDEX(CONFIG!$C$4:$C$63,MATCH($M511,CONFIG!$A$4:$A$63,0)),"Media"))</f>
        <v/>
      </c>
      <c r="O511" s="28">
        <f>IF($M511="","",IF($C511="Interna","NO",IFERROR(INDEX(CONFIG!$E$4:$E$63,MATCH($M511,CONFIG!$A$4:$A$63,0)),"NO")))</f>
        <v/>
      </c>
      <c r="P511" s="50" t="n"/>
      <c r="Q511" s="50" t="n"/>
      <c r="R511" s="28">
        <f>IF($Q511="","",IFERROR(INDEX(CONFIG!$H$4:$H$63,MATCH($Q511,CONFIG!$G$4:$G$63,0)),"Por definir"))</f>
        <v/>
      </c>
      <c r="S511" s="28">
        <f>IF($Q511="","",IFERROR(INDEX(CONFIG!$I$4:$I$63,MATCH($Q511,CONFIG!$G$4:$G$63,0)),"Por definir"))</f>
        <v/>
      </c>
      <c r="T511" s="51" t="n"/>
      <c r="U511" s="52" t="n"/>
      <c r="V511" s="50" t="n"/>
      <c r="W511" s="50" t="n"/>
      <c r="X511" s="49">
        <f>IF(OR($B511="",$M511=""),"",WORKDAY($B511,IFERROR(INDEX(CONFIG!$D$4:$D$63,MATCH($M511,CONFIG!$A$4:$A$63,0)),3)))</f>
        <v/>
      </c>
      <c r="Y511" s="47" t="n"/>
      <c r="Z511" s="24">
        <f>IF($B511="","",IF($Y511&lt;&gt;"",$Y511-$B511,TODAY()-$B511))</f>
        <v/>
      </c>
      <c r="AA511" s="28">
        <f>IF($B511="","",IF(IFERROR(INDEX(CONFIG!$L$4:$L$63,MATCH($V511,CONFIG!$K$4:$K$63,0)),"NO")="SÍ",IF(OR($Y511="",$X511=""),"Resuelta",IF($Y511&gt;$X511,"Resuelta tarde","Resuelta a tiempo")),IF($X511="","Sin clasificar",IF(TODAY()&gt;$X511,"Vencida",IF(TODAY()&gt;=$X511-1,"Por vencer","En plazo")))))</f>
        <v/>
      </c>
      <c r="AB511" s="50" t="n"/>
      <c r="AC511" s="50" t="n"/>
    </row>
    <row r="512" ht="16" customHeight="1">
      <c r="A512" s="28">
        <f>IF($B512="","","N-"&amp;TEXT(ROW()-3,"0000"))</f>
        <v/>
      </c>
      <c r="B512" s="47" t="n"/>
      <c r="C512" s="48" t="n"/>
      <c r="D512" s="48" t="n"/>
      <c r="E512" s="28">
        <f>IF($C512="","",IF($D512="",IF($C512="Interna","Sin guía (interna)","FALTA GUÍA"),IF(COUNTIFS(ENVIOS!$A$4:$A$3003,$D512)=0,"NO EXISTE",IF(COUNTIFS(ENVIOS!$A$4:$A$3003,$D512)&gt;1,"DUPLICADA","OK"))))</f>
        <v/>
      </c>
      <c r="F512" s="28">
        <f>IF($D512="","",IFERROR(INDEX(ENVIOS!$B$4:$B$3003,MATCH($D512,ENVIOS!$A$4:$A$3003,0)),"—"))</f>
        <v/>
      </c>
      <c r="G512" s="23">
        <f>IF($D512="","",IFERROR(INDEX(ENVIOS!$D$4:$D$3003,MATCH($D512,ENVIOS!$A$4:$A$3003,0)),"—"))</f>
        <v/>
      </c>
      <c r="H512" s="23">
        <f>IF($D512="","",IFERROR(INDEX(ENVIOS!$E$4:$E$3003,MATCH($D512,ENVIOS!$A$4:$A$3003,0)),"—"))</f>
        <v/>
      </c>
      <c r="I512" s="23">
        <f>IF($D512="","",IFERROR(INDEX(ENVIOS!$F$4:$F$3003,MATCH($D512,ENVIOS!$A$4:$A$3003,0)),"—"))</f>
        <v/>
      </c>
      <c r="J512" s="23">
        <f>IF($D512="","",IFERROR(INDEX(ENVIOS!$G$4:$G$3003,MATCH($D512,ENVIOS!$A$4:$A$3003,0)),"—"))</f>
        <v/>
      </c>
      <c r="K512" s="28">
        <f>IF($D512="","",IFERROR(INDEX(ENVIOS!$H$4:$H$3003,MATCH($D512,ENVIOS!$A$4:$A$3003,0)),"—"))</f>
        <v/>
      </c>
      <c r="L512" s="49">
        <f>IF($D512="","",IFERROR(INDEX(ENVIOS!$C$4:$C$3003,MATCH($D512,ENVIOS!$A$4:$A$3003,0)),""))</f>
        <v/>
      </c>
      <c r="M512" s="50" t="n"/>
      <c r="N512" s="28">
        <f>IF($M512="","",IFERROR(INDEX(CONFIG!$C$4:$C$63,MATCH($M512,CONFIG!$A$4:$A$63,0)),"Media"))</f>
        <v/>
      </c>
      <c r="O512" s="28">
        <f>IF($M512="","",IF($C512="Interna","NO",IFERROR(INDEX(CONFIG!$E$4:$E$63,MATCH($M512,CONFIG!$A$4:$A$63,0)),"NO")))</f>
        <v/>
      </c>
      <c r="P512" s="50" t="n"/>
      <c r="Q512" s="50" t="n"/>
      <c r="R512" s="28">
        <f>IF($Q512="","",IFERROR(INDEX(CONFIG!$H$4:$H$63,MATCH($Q512,CONFIG!$G$4:$G$63,0)),"Por definir"))</f>
        <v/>
      </c>
      <c r="S512" s="28">
        <f>IF($Q512="","",IFERROR(INDEX(CONFIG!$I$4:$I$63,MATCH($Q512,CONFIG!$G$4:$G$63,0)),"Por definir"))</f>
        <v/>
      </c>
      <c r="T512" s="51" t="n"/>
      <c r="U512" s="52" t="n"/>
      <c r="V512" s="50" t="n"/>
      <c r="W512" s="50" t="n"/>
      <c r="X512" s="49">
        <f>IF(OR($B512="",$M512=""),"",WORKDAY($B512,IFERROR(INDEX(CONFIG!$D$4:$D$63,MATCH($M512,CONFIG!$A$4:$A$63,0)),3)))</f>
        <v/>
      </c>
      <c r="Y512" s="47" t="n"/>
      <c r="Z512" s="24">
        <f>IF($B512="","",IF($Y512&lt;&gt;"",$Y512-$B512,TODAY()-$B512))</f>
        <v/>
      </c>
      <c r="AA512" s="28">
        <f>IF($B512="","",IF(IFERROR(INDEX(CONFIG!$L$4:$L$63,MATCH($V512,CONFIG!$K$4:$K$63,0)),"NO")="SÍ",IF(OR($Y512="",$X512=""),"Resuelta",IF($Y512&gt;$X512,"Resuelta tarde","Resuelta a tiempo")),IF($X512="","Sin clasificar",IF(TODAY()&gt;$X512,"Vencida",IF(TODAY()&gt;=$X512-1,"Por vencer","En plazo")))))</f>
        <v/>
      </c>
      <c r="AB512" s="50" t="n"/>
      <c r="AC512" s="50" t="n"/>
    </row>
    <row r="513" ht="16" customHeight="1">
      <c r="A513" s="28">
        <f>IF($B513="","","N-"&amp;TEXT(ROW()-3,"0000"))</f>
        <v/>
      </c>
      <c r="B513" s="47" t="n"/>
      <c r="C513" s="48" t="n"/>
      <c r="D513" s="48" t="n"/>
      <c r="E513" s="28">
        <f>IF($C513="","",IF($D513="",IF($C513="Interna","Sin guía (interna)","FALTA GUÍA"),IF(COUNTIFS(ENVIOS!$A$4:$A$3003,$D513)=0,"NO EXISTE",IF(COUNTIFS(ENVIOS!$A$4:$A$3003,$D513)&gt;1,"DUPLICADA","OK"))))</f>
        <v/>
      </c>
      <c r="F513" s="28">
        <f>IF($D513="","",IFERROR(INDEX(ENVIOS!$B$4:$B$3003,MATCH($D513,ENVIOS!$A$4:$A$3003,0)),"—"))</f>
        <v/>
      </c>
      <c r="G513" s="23">
        <f>IF($D513="","",IFERROR(INDEX(ENVIOS!$D$4:$D$3003,MATCH($D513,ENVIOS!$A$4:$A$3003,0)),"—"))</f>
        <v/>
      </c>
      <c r="H513" s="23">
        <f>IF($D513="","",IFERROR(INDEX(ENVIOS!$E$4:$E$3003,MATCH($D513,ENVIOS!$A$4:$A$3003,0)),"—"))</f>
        <v/>
      </c>
      <c r="I513" s="23">
        <f>IF($D513="","",IFERROR(INDEX(ENVIOS!$F$4:$F$3003,MATCH($D513,ENVIOS!$A$4:$A$3003,0)),"—"))</f>
        <v/>
      </c>
      <c r="J513" s="23">
        <f>IF($D513="","",IFERROR(INDEX(ENVIOS!$G$4:$G$3003,MATCH($D513,ENVIOS!$A$4:$A$3003,0)),"—"))</f>
        <v/>
      </c>
      <c r="K513" s="28">
        <f>IF($D513="","",IFERROR(INDEX(ENVIOS!$H$4:$H$3003,MATCH($D513,ENVIOS!$A$4:$A$3003,0)),"—"))</f>
        <v/>
      </c>
      <c r="L513" s="49">
        <f>IF($D513="","",IFERROR(INDEX(ENVIOS!$C$4:$C$3003,MATCH($D513,ENVIOS!$A$4:$A$3003,0)),""))</f>
        <v/>
      </c>
      <c r="M513" s="50" t="n"/>
      <c r="N513" s="28">
        <f>IF($M513="","",IFERROR(INDEX(CONFIG!$C$4:$C$63,MATCH($M513,CONFIG!$A$4:$A$63,0)),"Media"))</f>
        <v/>
      </c>
      <c r="O513" s="28">
        <f>IF($M513="","",IF($C513="Interna","NO",IFERROR(INDEX(CONFIG!$E$4:$E$63,MATCH($M513,CONFIG!$A$4:$A$63,0)),"NO")))</f>
        <v/>
      </c>
      <c r="P513" s="50" t="n"/>
      <c r="Q513" s="50" t="n"/>
      <c r="R513" s="28">
        <f>IF($Q513="","",IFERROR(INDEX(CONFIG!$H$4:$H$63,MATCH($Q513,CONFIG!$G$4:$G$63,0)),"Por definir"))</f>
        <v/>
      </c>
      <c r="S513" s="28">
        <f>IF($Q513="","",IFERROR(INDEX(CONFIG!$I$4:$I$63,MATCH($Q513,CONFIG!$G$4:$G$63,0)),"Por definir"))</f>
        <v/>
      </c>
      <c r="T513" s="51" t="n"/>
      <c r="U513" s="52" t="n"/>
      <c r="V513" s="50" t="n"/>
      <c r="W513" s="50" t="n"/>
      <c r="X513" s="49">
        <f>IF(OR($B513="",$M513=""),"",WORKDAY($B513,IFERROR(INDEX(CONFIG!$D$4:$D$63,MATCH($M513,CONFIG!$A$4:$A$63,0)),3)))</f>
        <v/>
      </c>
      <c r="Y513" s="47" t="n"/>
      <c r="Z513" s="24">
        <f>IF($B513="","",IF($Y513&lt;&gt;"",$Y513-$B513,TODAY()-$B513))</f>
        <v/>
      </c>
      <c r="AA513" s="28">
        <f>IF($B513="","",IF(IFERROR(INDEX(CONFIG!$L$4:$L$63,MATCH($V513,CONFIG!$K$4:$K$63,0)),"NO")="SÍ",IF(OR($Y513="",$X513=""),"Resuelta",IF($Y513&gt;$X513,"Resuelta tarde","Resuelta a tiempo")),IF($X513="","Sin clasificar",IF(TODAY()&gt;$X513,"Vencida",IF(TODAY()&gt;=$X513-1,"Por vencer","En plazo")))))</f>
        <v/>
      </c>
      <c r="AB513" s="50" t="n"/>
      <c r="AC513" s="50" t="n"/>
    </row>
    <row r="514" ht="16" customHeight="1">
      <c r="A514" s="28">
        <f>IF($B514="","","N-"&amp;TEXT(ROW()-3,"0000"))</f>
        <v/>
      </c>
      <c r="B514" s="47" t="n"/>
      <c r="C514" s="48" t="n"/>
      <c r="D514" s="48" t="n"/>
      <c r="E514" s="28">
        <f>IF($C514="","",IF($D514="",IF($C514="Interna","Sin guía (interna)","FALTA GUÍA"),IF(COUNTIFS(ENVIOS!$A$4:$A$3003,$D514)=0,"NO EXISTE",IF(COUNTIFS(ENVIOS!$A$4:$A$3003,$D514)&gt;1,"DUPLICADA","OK"))))</f>
        <v/>
      </c>
      <c r="F514" s="28">
        <f>IF($D514="","",IFERROR(INDEX(ENVIOS!$B$4:$B$3003,MATCH($D514,ENVIOS!$A$4:$A$3003,0)),"—"))</f>
        <v/>
      </c>
      <c r="G514" s="23">
        <f>IF($D514="","",IFERROR(INDEX(ENVIOS!$D$4:$D$3003,MATCH($D514,ENVIOS!$A$4:$A$3003,0)),"—"))</f>
        <v/>
      </c>
      <c r="H514" s="23">
        <f>IF($D514="","",IFERROR(INDEX(ENVIOS!$E$4:$E$3003,MATCH($D514,ENVIOS!$A$4:$A$3003,0)),"—"))</f>
        <v/>
      </c>
      <c r="I514" s="23">
        <f>IF($D514="","",IFERROR(INDEX(ENVIOS!$F$4:$F$3003,MATCH($D514,ENVIOS!$A$4:$A$3003,0)),"—"))</f>
        <v/>
      </c>
      <c r="J514" s="23">
        <f>IF($D514="","",IFERROR(INDEX(ENVIOS!$G$4:$G$3003,MATCH($D514,ENVIOS!$A$4:$A$3003,0)),"—"))</f>
        <v/>
      </c>
      <c r="K514" s="28">
        <f>IF($D514="","",IFERROR(INDEX(ENVIOS!$H$4:$H$3003,MATCH($D514,ENVIOS!$A$4:$A$3003,0)),"—"))</f>
        <v/>
      </c>
      <c r="L514" s="49">
        <f>IF($D514="","",IFERROR(INDEX(ENVIOS!$C$4:$C$3003,MATCH($D514,ENVIOS!$A$4:$A$3003,0)),""))</f>
        <v/>
      </c>
      <c r="M514" s="50" t="n"/>
      <c r="N514" s="28">
        <f>IF($M514="","",IFERROR(INDEX(CONFIG!$C$4:$C$63,MATCH($M514,CONFIG!$A$4:$A$63,0)),"Media"))</f>
        <v/>
      </c>
      <c r="O514" s="28">
        <f>IF($M514="","",IF($C514="Interna","NO",IFERROR(INDEX(CONFIG!$E$4:$E$63,MATCH($M514,CONFIG!$A$4:$A$63,0)),"NO")))</f>
        <v/>
      </c>
      <c r="P514" s="50" t="n"/>
      <c r="Q514" s="50" t="n"/>
      <c r="R514" s="28">
        <f>IF($Q514="","",IFERROR(INDEX(CONFIG!$H$4:$H$63,MATCH($Q514,CONFIG!$G$4:$G$63,0)),"Por definir"))</f>
        <v/>
      </c>
      <c r="S514" s="28">
        <f>IF($Q514="","",IFERROR(INDEX(CONFIG!$I$4:$I$63,MATCH($Q514,CONFIG!$G$4:$G$63,0)),"Por definir"))</f>
        <v/>
      </c>
      <c r="T514" s="51" t="n"/>
      <c r="U514" s="52" t="n"/>
      <c r="V514" s="50" t="n"/>
      <c r="W514" s="50" t="n"/>
      <c r="X514" s="49">
        <f>IF(OR($B514="",$M514=""),"",WORKDAY($B514,IFERROR(INDEX(CONFIG!$D$4:$D$63,MATCH($M514,CONFIG!$A$4:$A$63,0)),3)))</f>
        <v/>
      </c>
      <c r="Y514" s="47" t="n"/>
      <c r="Z514" s="24">
        <f>IF($B514="","",IF($Y514&lt;&gt;"",$Y514-$B514,TODAY()-$B514))</f>
        <v/>
      </c>
      <c r="AA514" s="28">
        <f>IF($B514="","",IF(IFERROR(INDEX(CONFIG!$L$4:$L$63,MATCH($V514,CONFIG!$K$4:$K$63,0)),"NO")="SÍ",IF(OR($Y514="",$X514=""),"Resuelta",IF($Y514&gt;$X514,"Resuelta tarde","Resuelta a tiempo")),IF($X514="","Sin clasificar",IF(TODAY()&gt;$X514,"Vencida",IF(TODAY()&gt;=$X514-1,"Por vencer","En plazo")))))</f>
        <v/>
      </c>
      <c r="AB514" s="50" t="n"/>
      <c r="AC514" s="50" t="n"/>
    </row>
    <row r="515" ht="16" customHeight="1">
      <c r="A515" s="28">
        <f>IF($B515="","","N-"&amp;TEXT(ROW()-3,"0000"))</f>
        <v/>
      </c>
      <c r="B515" s="47" t="n"/>
      <c r="C515" s="48" t="n"/>
      <c r="D515" s="48" t="n"/>
      <c r="E515" s="28">
        <f>IF($C515="","",IF($D515="",IF($C515="Interna","Sin guía (interna)","FALTA GUÍA"),IF(COUNTIFS(ENVIOS!$A$4:$A$3003,$D515)=0,"NO EXISTE",IF(COUNTIFS(ENVIOS!$A$4:$A$3003,$D515)&gt;1,"DUPLICADA","OK"))))</f>
        <v/>
      </c>
      <c r="F515" s="28">
        <f>IF($D515="","",IFERROR(INDEX(ENVIOS!$B$4:$B$3003,MATCH($D515,ENVIOS!$A$4:$A$3003,0)),"—"))</f>
        <v/>
      </c>
      <c r="G515" s="23">
        <f>IF($D515="","",IFERROR(INDEX(ENVIOS!$D$4:$D$3003,MATCH($D515,ENVIOS!$A$4:$A$3003,0)),"—"))</f>
        <v/>
      </c>
      <c r="H515" s="23">
        <f>IF($D515="","",IFERROR(INDEX(ENVIOS!$E$4:$E$3003,MATCH($D515,ENVIOS!$A$4:$A$3003,0)),"—"))</f>
        <v/>
      </c>
      <c r="I515" s="23">
        <f>IF($D515="","",IFERROR(INDEX(ENVIOS!$F$4:$F$3003,MATCH($D515,ENVIOS!$A$4:$A$3003,0)),"—"))</f>
        <v/>
      </c>
      <c r="J515" s="23">
        <f>IF($D515="","",IFERROR(INDEX(ENVIOS!$G$4:$G$3003,MATCH($D515,ENVIOS!$A$4:$A$3003,0)),"—"))</f>
        <v/>
      </c>
      <c r="K515" s="28">
        <f>IF($D515="","",IFERROR(INDEX(ENVIOS!$H$4:$H$3003,MATCH($D515,ENVIOS!$A$4:$A$3003,0)),"—"))</f>
        <v/>
      </c>
      <c r="L515" s="49">
        <f>IF($D515="","",IFERROR(INDEX(ENVIOS!$C$4:$C$3003,MATCH($D515,ENVIOS!$A$4:$A$3003,0)),""))</f>
        <v/>
      </c>
      <c r="M515" s="50" t="n"/>
      <c r="N515" s="28">
        <f>IF($M515="","",IFERROR(INDEX(CONFIG!$C$4:$C$63,MATCH($M515,CONFIG!$A$4:$A$63,0)),"Media"))</f>
        <v/>
      </c>
      <c r="O515" s="28">
        <f>IF($M515="","",IF($C515="Interna","NO",IFERROR(INDEX(CONFIG!$E$4:$E$63,MATCH($M515,CONFIG!$A$4:$A$63,0)),"NO")))</f>
        <v/>
      </c>
      <c r="P515" s="50" t="n"/>
      <c r="Q515" s="50" t="n"/>
      <c r="R515" s="28">
        <f>IF($Q515="","",IFERROR(INDEX(CONFIG!$H$4:$H$63,MATCH($Q515,CONFIG!$G$4:$G$63,0)),"Por definir"))</f>
        <v/>
      </c>
      <c r="S515" s="28">
        <f>IF($Q515="","",IFERROR(INDEX(CONFIG!$I$4:$I$63,MATCH($Q515,CONFIG!$G$4:$G$63,0)),"Por definir"))</f>
        <v/>
      </c>
      <c r="T515" s="51" t="n"/>
      <c r="U515" s="52" t="n"/>
      <c r="V515" s="50" t="n"/>
      <c r="W515" s="50" t="n"/>
      <c r="X515" s="49">
        <f>IF(OR($B515="",$M515=""),"",WORKDAY($B515,IFERROR(INDEX(CONFIG!$D$4:$D$63,MATCH($M515,CONFIG!$A$4:$A$63,0)),3)))</f>
        <v/>
      </c>
      <c r="Y515" s="47" t="n"/>
      <c r="Z515" s="24">
        <f>IF($B515="","",IF($Y515&lt;&gt;"",$Y515-$B515,TODAY()-$B515))</f>
        <v/>
      </c>
      <c r="AA515" s="28">
        <f>IF($B515="","",IF(IFERROR(INDEX(CONFIG!$L$4:$L$63,MATCH($V515,CONFIG!$K$4:$K$63,0)),"NO")="SÍ",IF(OR($Y515="",$X515=""),"Resuelta",IF($Y515&gt;$X515,"Resuelta tarde","Resuelta a tiempo")),IF($X515="","Sin clasificar",IF(TODAY()&gt;$X515,"Vencida",IF(TODAY()&gt;=$X515-1,"Por vencer","En plazo")))))</f>
        <v/>
      </c>
      <c r="AB515" s="50" t="n"/>
      <c r="AC515" s="50" t="n"/>
    </row>
    <row r="516" ht="16" customHeight="1">
      <c r="A516" s="28">
        <f>IF($B516="","","N-"&amp;TEXT(ROW()-3,"0000"))</f>
        <v/>
      </c>
      <c r="B516" s="47" t="n"/>
      <c r="C516" s="48" t="n"/>
      <c r="D516" s="48" t="n"/>
      <c r="E516" s="28">
        <f>IF($C516="","",IF($D516="",IF($C516="Interna","Sin guía (interna)","FALTA GUÍA"),IF(COUNTIFS(ENVIOS!$A$4:$A$3003,$D516)=0,"NO EXISTE",IF(COUNTIFS(ENVIOS!$A$4:$A$3003,$D516)&gt;1,"DUPLICADA","OK"))))</f>
        <v/>
      </c>
      <c r="F516" s="28">
        <f>IF($D516="","",IFERROR(INDEX(ENVIOS!$B$4:$B$3003,MATCH($D516,ENVIOS!$A$4:$A$3003,0)),"—"))</f>
        <v/>
      </c>
      <c r="G516" s="23">
        <f>IF($D516="","",IFERROR(INDEX(ENVIOS!$D$4:$D$3003,MATCH($D516,ENVIOS!$A$4:$A$3003,0)),"—"))</f>
        <v/>
      </c>
      <c r="H516" s="23">
        <f>IF($D516="","",IFERROR(INDEX(ENVIOS!$E$4:$E$3003,MATCH($D516,ENVIOS!$A$4:$A$3003,0)),"—"))</f>
        <v/>
      </c>
      <c r="I516" s="23">
        <f>IF($D516="","",IFERROR(INDEX(ENVIOS!$F$4:$F$3003,MATCH($D516,ENVIOS!$A$4:$A$3003,0)),"—"))</f>
        <v/>
      </c>
      <c r="J516" s="23">
        <f>IF($D516="","",IFERROR(INDEX(ENVIOS!$G$4:$G$3003,MATCH($D516,ENVIOS!$A$4:$A$3003,0)),"—"))</f>
        <v/>
      </c>
      <c r="K516" s="28">
        <f>IF($D516="","",IFERROR(INDEX(ENVIOS!$H$4:$H$3003,MATCH($D516,ENVIOS!$A$4:$A$3003,0)),"—"))</f>
        <v/>
      </c>
      <c r="L516" s="49">
        <f>IF($D516="","",IFERROR(INDEX(ENVIOS!$C$4:$C$3003,MATCH($D516,ENVIOS!$A$4:$A$3003,0)),""))</f>
        <v/>
      </c>
      <c r="M516" s="50" t="n"/>
      <c r="N516" s="28">
        <f>IF($M516="","",IFERROR(INDEX(CONFIG!$C$4:$C$63,MATCH($M516,CONFIG!$A$4:$A$63,0)),"Media"))</f>
        <v/>
      </c>
      <c r="O516" s="28">
        <f>IF($M516="","",IF($C516="Interna","NO",IFERROR(INDEX(CONFIG!$E$4:$E$63,MATCH($M516,CONFIG!$A$4:$A$63,0)),"NO")))</f>
        <v/>
      </c>
      <c r="P516" s="50" t="n"/>
      <c r="Q516" s="50" t="n"/>
      <c r="R516" s="28">
        <f>IF($Q516="","",IFERROR(INDEX(CONFIG!$H$4:$H$63,MATCH($Q516,CONFIG!$G$4:$G$63,0)),"Por definir"))</f>
        <v/>
      </c>
      <c r="S516" s="28">
        <f>IF($Q516="","",IFERROR(INDEX(CONFIG!$I$4:$I$63,MATCH($Q516,CONFIG!$G$4:$G$63,0)),"Por definir"))</f>
        <v/>
      </c>
      <c r="T516" s="51" t="n"/>
      <c r="U516" s="52" t="n"/>
      <c r="V516" s="50" t="n"/>
      <c r="W516" s="50" t="n"/>
      <c r="X516" s="49">
        <f>IF(OR($B516="",$M516=""),"",WORKDAY($B516,IFERROR(INDEX(CONFIG!$D$4:$D$63,MATCH($M516,CONFIG!$A$4:$A$63,0)),3)))</f>
        <v/>
      </c>
      <c r="Y516" s="47" t="n"/>
      <c r="Z516" s="24">
        <f>IF($B516="","",IF($Y516&lt;&gt;"",$Y516-$B516,TODAY()-$B516))</f>
        <v/>
      </c>
      <c r="AA516" s="28">
        <f>IF($B516="","",IF(IFERROR(INDEX(CONFIG!$L$4:$L$63,MATCH($V516,CONFIG!$K$4:$K$63,0)),"NO")="SÍ",IF(OR($Y516="",$X516=""),"Resuelta",IF($Y516&gt;$X516,"Resuelta tarde","Resuelta a tiempo")),IF($X516="","Sin clasificar",IF(TODAY()&gt;$X516,"Vencida",IF(TODAY()&gt;=$X516-1,"Por vencer","En plazo")))))</f>
        <v/>
      </c>
      <c r="AB516" s="50" t="n"/>
      <c r="AC516" s="50" t="n"/>
    </row>
    <row r="517" ht="16" customHeight="1">
      <c r="A517" s="28">
        <f>IF($B517="","","N-"&amp;TEXT(ROW()-3,"0000"))</f>
        <v/>
      </c>
      <c r="B517" s="47" t="n"/>
      <c r="C517" s="48" t="n"/>
      <c r="D517" s="48" t="n"/>
      <c r="E517" s="28">
        <f>IF($C517="","",IF($D517="",IF($C517="Interna","Sin guía (interna)","FALTA GUÍA"),IF(COUNTIFS(ENVIOS!$A$4:$A$3003,$D517)=0,"NO EXISTE",IF(COUNTIFS(ENVIOS!$A$4:$A$3003,$D517)&gt;1,"DUPLICADA","OK"))))</f>
        <v/>
      </c>
      <c r="F517" s="28">
        <f>IF($D517="","",IFERROR(INDEX(ENVIOS!$B$4:$B$3003,MATCH($D517,ENVIOS!$A$4:$A$3003,0)),"—"))</f>
        <v/>
      </c>
      <c r="G517" s="23">
        <f>IF($D517="","",IFERROR(INDEX(ENVIOS!$D$4:$D$3003,MATCH($D517,ENVIOS!$A$4:$A$3003,0)),"—"))</f>
        <v/>
      </c>
      <c r="H517" s="23">
        <f>IF($D517="","",IFERROR(INDEX(ENVIOS!$E$4:$E$3003,MATCH($D517,ENVIOS!$A$4:$A$3003,0)),"—"))</f>
        <v/>
      </c>
      <c r="I517" s="23">
        <f>IF($D517="","",IFERROR(INDEX(ENVIOS!$F$4:$F$3003,MATCH($D517,ENVIOS!$A$4:$A$3003,0)),"—"))</f>
        <v/>
      </c>
      <c r="J517" s="23">
        <f>IF($D517="","",IFERROR(INDEX(ENVIOS!$G$4:$G$3003,MATCH($D517,ENVIOS!$A$4:$A$3003,0)),"—"))</f>
        <v/>
      </c>
      <c r="K517" s="28">
        <f>IF($D517="","",IFERROR(INDEX(ENVIOS!$H$4:$H$3003,MATCH($D517,ENVIOS!$A$4:$A$3003,0)),"—"))</f>
        <v/>
      </c>
      <c r="L517" s="49">
        <f>IF($D517="","",IFERROR(INDEX(ENVIOS!$C$4:$C$3003,MATCH($D517,ENVIOS!$A$4:$A$3003,0)),""))</f>
        <v/>
      </c>
      <c r="M517" s="50" t="n"/>
      <c r="N517" s="28">
        <f>IF($M517="","",IFERROR(INDEX(CONFIG!$C$4:$C$63,MATCH($M517,CONFIG!$A$4:$A$63,0)),"Media"))</f>
        <v/>
      </c>
      <c r="O517" s="28">
        <f>IF($M517="","",IF($C517="Interna","NO",IFERROR(INDEX(CONFIG!$E$4:$E$63,MATCH($M517,CONFIG!$A$4:$A$63,0)),"NO")))</f>
        <v/>
      </c>
      <c r="P517" s="50" t="n"/>
      <c r="Q517" s="50" t="n"/>
      <c r="R517" s="28">
        <f>IF($Q517="","",IFERROR(INDEX(CONFIG!$H$4:$H$63,MATCH($Q517,CONFIG!$G$4:$G$63,0)),"Por definir"))</f>
        <v/>
      </c>
      <c r="S517" s="28">
        <f>IF($Q517="","",IFERROR(INDEX(CONFIG!$I$4:$I$63,MATCH($Q517,CONFIG!$G$4:$G$63,0)),"Por definir"))</f>
        <v/>
      </c>
      <c r="T517" s="51" t="n"/>
      <c r="U517" s="52" t="n"/>
      <c r="V517" s="50" t="n"/>
      <c r="W517" s="50" t="n"/>
      <c r="X517" s="49">
        <f>IF(OR($B517="",$M517=""),"",WORKDAY($B517,IFERROR(INDEX(CONFIG!$D$4:$D$63,MATCH($M517,CONFIG!$A$4:$A$63,0)),3)))</f>
        <v/>
      </c>
      <c r="Y517" s="47" t="n"/>
      <c r="Z517" s="24">
        <f>IF($B517="","",IF($Y517&lt;&gt;"",$Y517-$B517,TODAY()-$B517))</f>
        <v/>
      </c>
      <c r="AA517" s="28">
        <f>IF($B517="","",IF(IFERROR(INDEX(CONFIG!$L$4:$L$63,MATCH($V517,CONFIG!$K$4:$K$63,0)),"NO")="SÍ",IF(OR($Y517="",$X517=""),"Resuelta",IF($Y517&gt;$X517,"Resuelta tarde","Resuelta a tiempo")),IF($X517="","Sin clasificar",IF(TODAY()&gt;$X517,"Vencida",IF(TODAY()&gt;=$X517-1,"Por vencer","En plazo")))))</f>
        <v/>
      </c>
      <c r="AB517" s="50" t="n"/>
      <c r="AC517" s="50" t="n"/>
    </row>
    <row r="518" ht="16" customHeight="1">
      <c r="A518" s="28">
        <f>IF($B518="","","N-"&amp;TEXT(ROW()-3,"0000"))</f>
        <v/>
      </c>
      <c r="B518" s="47" t="n"/>
      <c r="C518" s="48" t="n"/>
      <c r="D518" s="48" t="n"/>
      <c r="E518" s="28">
        <f>IF($C518="","",IF($D518="",IF($C518="Interna","Sin guía (interna)","FALTA GUÍA"),IF(COUNTIFS(ENVIOS!$A$4:$A$3003,$D518)=0,"NO EXISTE",IF(COUNTIFS(ENVIOS!$A$4:$A$3003,$D518)&gt;1,"DUPLICADA","OK"))))</f>
        <v/>
      </c>
      <c r="F518" s="28">
        <f>IF($D518="","",IFERROR(INDEX(ENVIOS!$B$4:$B$3003,MATCH($D518,ENVIOS!$A$4:$A$3003,0)),"—"))</f>
        <v/>
      </c>
      <c r="G518" s="23">
        <f>IF($D518="","",IFERROR(INDEX(ENVIOS!$D$4:$D$3003,MATCH($D518,ENVIOS!$A$4:$A$3003,0)),"—"))</f>
        <v/>
      </c>
      <c r="H518" s="23">
        <f>IF($D518="","",IFERROR(INDEX(ENVIOS!$E$4:$E$3003,MATCH($D518,ENVIOS!$A$4:$A$3003,0)),"—"))</f>
        <v/>
      </c>
      <c r="I518" s="23">
        <f>IF($D518="","",IFERROR(INDEX(ENVIOS!$F$4:$F$3003,MATCH($D518,ENVIOS!$A$4:$A$3003,0)),"—"))</f>
        <v/>
      </c>
      <c r="J518" s="23">
        <f>IF($D518="","",IFERROR(INDEX(ENVIOS!$G$4:$G$3003,MATCH($D518,ENVIOS!$A$4:$A$3003,0)),"—"))</f>
        <v/>
      </c>
      <c r="K518" s="28">
        <f>IF($D518="","",IFERROR(INDEX(ENVIOS!$H$4:$H$3003,MATCH($D518,ENVIOS!$A$4:$A$3003,0)),"—"))</f>
        <v/>
      </c>
      <c r="L518" s="49">
        <f>IF($D518="","",IFERROR(INDEX(ENVIOS!$C$4:$C$3003,MATCH($D518,ENVIOS!$A$4:$A$3003,0)),""))</f>
        <v/>
      </c>
      <c r="M518" s="50" t="n"/>
      <c r="N518" s="28">
        <f>IF($M518="","",IFERROR(INDEX(CONFIG!$C$4:$C$63,MATCH($M518,CONFIG!$A$4:$A$63,0)),"Media"))</f>
        <v/>
      </c>
      <c r="O518" s="28">
        <f>IF($M518="","",IF($C518="Interna","NO",IFERROR(INDEX(CONFIG!$E$4:$E$63,MATCH($M518,CONFIG!$A$4:$A$63,0)),"NO")))</f>
        <v/>
      </c>
      <c r="P518" s="50" t="n"/>
      <c r="Q518" s="50" t="n"/>
      <c r="R518" s="28">
        <f>IF($Q518="","",IFERROR(INDEX(CONFIG!$H$4:$H$63,MATCH($Q518,CONFIG!$G$4:$G$63,0)),"Por definir"))</f>
        <v/>
      </c>
      <c r="S518" s="28">
        <f>IF($Q518="","",IFERROR(INDEX(CONFIG!$I$4:$I$63,MATCH($Q518,CONFIG!$G$4:$G$63,0)),"Por definir"))</f>
        <v/>
      </c>
      <c r="T518" s="51" t="n"/>
      <c r="U518" s="52" t="n"/>
      <c r="V518" s="50" t="n"/>
      <c r="W518" s="50" t="n"/>
      <c r="X518" s="49">
        <f>IF(OR($B518="",$M518=""),"",WORKDAY($B518,IFERROR(INDEX(CONFIG!$D$4:$D$63,MATCH($M518,CONFIG!$A$4:$A$63,0)),3)))</f>
        <v/>
      </c>
      <c r="Y518" s="47" t="n"/>
      <c r="Z518" s="24">
        <f>IF($B518="","",IF($Y518&lt;&gt;"",$Y518-$B518,TODAY()-$B518))</f>
        <v/>
      </c>
      <c r="AA518" s="28">
        <f>IF($B518="","",IF(IFERROR(INDEX(CONFIG!$L$4:$L$63,MATCH($V518,CONFIG!$K$4:$K$63,0)),"NO")="SÍ",IF(OR($Y518="",$X518=""),"Resuelta",IF($Y518&gt;$X518,"Resuelta tarde","Resuelta a tiempo")),IF($X518="","Sin clasificar",IF(TODAY()&gt;$X518,"Vencida",IF(TODAY()&gt;=$X518-1,"Por vencer","En plazo")))))</f>
        <v/>
      </c>
      <c r="AB518" s="50" t="n"/>
      <c r="AC518" s="50" t="n"/>
    </row>
    <row r="519" ht="16" customHeight="1">
      <c r="A519" s="28">
        <f>IF($B519="","","N-"&amp;TEXT(ROW()-3,"0000"))</f>
        <v/>
      </c>
      <c r="B519" s="47" t="n"/>
      <c r="C519" s="48" t="n"/>
      <c r="D519" s="48" t="n"/>
      <c r="E519" s="28">
        <f>IF($C519="","",IF($D519="",IF($C519="Interna","Sin guía (interna)","FALTA GUÍA"),IF(COUNTIFS(ENVIOS!$A$4:$A$3003,$D519)=0,"NO EXISTE",IF(COUNTIFS(ENVIOS!$A$4:$A$3003,$D519)&gt;1,"DUPLICADA","OK"))))</f>
        <v/>
      </c>
      <c r="F519" s="28">
        <f>IF($D519="","",IFERROR(INDEX(ENVIOS!$B$4:$B$3003,MATCH($D519,ENVIOS!$A$4:$A$3003,0)),"—"))</f>
        <v/>
      </c>
      <c r="G519" s="23">
        <f>IF($D519="","",IFERROR(INDEX(ENVIOS!$D$4:$D$3003,MATCH($D519,ENVIOS!$A$4:$A$3003,0)),"—"))</f>
        <v/>
      </c>
      <c r="H519" s="23">
        <f>IF($D519="","",IFERROR(INDEX(ENVIOS!$E$4:$E$3003,MATCH($D519,ENVIOS!$A$4:$A$3003,0)),"—"))</f>
        <v/>
      </c>
      <c r="I519" s="23">
        <f>IF($D519="","",IFERROR(INDEX(ENVIOS!$F$4:$F$3003,MATCH($D519,ENVIOS!$A$4:$A$3003,0)),"—"))</f>
        <v/>
      </c>
      <c r="J519" s="23">
        <f>IF($D519="","",IFERROR(INDEX(ENVIOS!$G$4:$G$3003,MATCH($D519,ENVIOS!$A$4:$A$3003,0)),"—"))</f>
        <v/>
      </c>
      <c r="K519" s="28">
        <f>IF($D519="","",IFERROR(INDEX(ENVIOS!$H$4:$H$3003,MATCH($D519,ENVIOS!$A$4:$A$3003,0)),"—"))</f>
        <v/>
      </c>
      <c r="L519" s="49">
        <f>IF($D519="","",IFERROR(INDEX(ENVIOS!$C$4:$C$3003,MATCH($D519,ENVIOS!$A$4:$A$3003,0)),""))</f>
        <v/>
      </c>
      <c r="M519" s="50" t="n"/>
      <c r="N519" s="28">
        <f>IF($M519="","",IFERROR(INDEX(CONFIG!$C$4:$C$63,MATCH($M519,CONFIG!$A$4:$A$63,0)),"Media"))</f>
        <v/>
      </c>
      <c r="O519" s="28">
        <f>IF($M519="","",IF($C519="Interna","NO",IFERROR(INDEX(CONFIG!$E$4:$E$63,MATCH($M519,CONFIG!$A$4:$A$63,0)),"NO")))</f>
        <v/>
      </c>
      <c r="P519" s="50" t="n"/>
      <c r="Q519" s="50" t="n"/>
      <c r="R519" s="28">
        <f>IF($Q519="","",IFERROR(INDEX(CONFIG!$H$4:$H$63,MATCH($Q519,CONFIG!$G$4:$G$63,0)),"Por definir"))</f>
        <v/>
      </c>
      <c r="S519" s="28">
        <f>IF($Q519="","",IFERROR(INDEX(CONFIG!$I$4:$I$63,MATCH($Q519,CONFIG!$G$4:$G$63,0)),"Por definir"))</f>
        <v/>
      </c>
      <c r="T519" s="51" t="n"/>
      <c r="U519" s="52" t="n"/>
      <c r="V519" s="50" t="n"/>
      <c r="W519" s="50" t="n"/>
      <c r="X519" s="49">
        <f>IF(OR($B519="",$M519=""),"",WORKDAY($B519,IFERROR(INDEX(CONFIG!$D$4:$D$63,MATCH($M519,CONFIG!$A$4:$A$63,0)),3)))</f>
        <v/>
      </c>
      <c r="Y519" s="47" t="n"/>
      <c r="Z519" s="24">
        <f>IF($B519="","",IF($Y519&lt;&gt;"",$Y519-$B519,TODAY()-$B519))</f>
        <v/>
      </c>
      <c r="AA519" s="28">
        <f>IF($B519="","",IF(IFERROR(INDEX(CONFIG!$L$4:$L$63,MATCH($V519,CONFIG!$K$4:$K$63,0)),"NO")="SÍ",IF(OR($Y519="",$X519=""),"Resuelta",IF($Y519&gt;$X519,"Resuelta tarde","Resuelta a tiempo")),IF($X519="","Sin clasificar",IF(TODAY()&gt;$X519,"Vencida",IF(TODAY()&gt;=$X519-1,"Por vencer","En plazo")))))</f>
        <v/>
      </c>
      <c r="AB519" s="50" t="n"/>
      <c r="AC519" s="50" t="n"/>
    </row>
    <row r="520" ht="16" customHeight="1">
      <c r="A520" s="28">
        <f>IF($B520="","","N-"&amp;TEXT(ROW()-3,"0000"))</f>
        <v/>
      </c>
      <c r="B520" s="47" t="n"/>
      <c r="C520" s="48" t="n"/>
      <c r="D520" s="48" t="n"/>
      <c r="E520" s="28">
        <f>IF($C520="","",IF($D520="",IF($C520="Interna","Sin guía (interna)","FALTA GUÍA"),IF(COUNTIFS(ENVIOS!$A$4:$A$3003,$D520)=0,"NO EXISTE",IF(COUNTIFS(ENVIOS!$A$4:$A$3003,$D520)&gt;1,"DUPLICADA","OK"))))</f>
        <v/>
      </c>
      <c r="F520" s="28">
        <f>IF($D520="","",IFERROR(INDEX(ENVIOS!$B$4:$B$3003,MATCH($D520,ENVIOS!$A$4:$A$3003,0)),"—"))</f>
        <v/>
      </c>
      <c r="G520" s="23">
        <f>IF($D520="","",IFERROR(INDEX(ENVIOS!$D$4:$D$3003,MATCH($D520,ENVIOS!$A$4:$A$3003,0)),"—"))</f>
        <v/>
      </c>
      <c r="H520" s="23">
        <f>IF($D520="","",IFERROR(INDEX(ENVIOS!$E$4:$E$3003,MATCH($D520,ENVIOS!$A$4:$A$3003,0)),"—"))</f>
        <v/>
      </c>
      <c r="I520" s="23">
        <f>IF($D520="","",IFERROR(INDEX(ENVIOS!$F$4:$F$3003,MATCH($D520,ENVIOS!$A$4:$A$3003,0)),"—"))</f>
        <v/>
      </c>
      <c r="J520" s="23">
        <f>IF($D520="","",IFERROR(INDEX(ENVIOS!$G$4:$G$3003,MATCH($D520,ENVIOS!$A$4:$A$3003,0)),"—"))</f>
        <v/>
      </c>
      <c r="K520" s="28">
        <f>IF($D520="","",IFERROR(INDEX(ENVIOS!$H$4:$H$3003,MATCH($D520,ENVIOS!$A$4:$A$3003,0)),"—"))</f>
        <v/>
      </c>
      <c r="L520" s="49">
        <f>IF($D520="","",IFERROR(INDEX(ENVIOS!$C$4:$C$3003,MATCH($D520,ENVIOS!$A$4:$A$3003,0)),""))</f>
        <v/>
      </c>
      <c r="M520" s="50" t="n"/>
      <c r="N520" s="28">
        <f>IF($M520="","",IFERROR(INDEX(CONFIG!$C$4:$C$63,MATCH($M520,CONFIG!$A$4:$A$63,0)),"Media"))</f>
        <v/>
      </c>
      <c r="O520" s="28">
        <f>IF($M520="","",IF($C520="Interna","NO",IFERROR(INDEX(CONFIG!$E$4:$E$63,MATCH($M520,CONFIG!$A$4:$A$63,0)),"NO")))</f>
        <v/>
      </c>
      <c r="P520" s="50" t="n"/>
      <c r="Q520" s="50" t="n"/>
      <c r="R520" s="28">
        <f>IF($Q520="","",IFERROR(INDEX(CONFIG!$H$4:$H$63,MATCH($Q520,CONFIG!$G$4:$G$63,0)),"Por definir"))</f>
        <v/>
      </c>
      <c r="S520" s="28">
        <f>IF($Q520="","",IFERROR(INDEX(CONFIG!$I$4:$I$63,MATCH($Q520,CONFIG!$G$4:$G$63,0)),"Por definir"))</f>
        <v/>
      </c>
      <c r="T520" s="51" t="n"/>
      <c r="U520" s="52" t="n"/>
      <c r="V520" s="50" t="n"/>
      <c r="W520" s="50" t="n"/>
      <c r="X520" s="49">
        <f>IF(OR($B520="",$M520=""),"",WORKDAY($B520,IFERROR(INDEX(CONFIG!$D$4:$D$63,MATCH($M520,CONFIG!$A$4:$A$63,0)),3)))</f>
        <v/>
      </c>
      <c r="Y520" s="47" t="n"/>
      <c r="Z520" s="24">
        <f>IF($B520="","",IF($Y520&lt;&gt;"",$Y520-$B520,TODAY()-$B520))</f>
        <v/>
      </c>
      <c r="AA520" s="28">
        <f>IF($B520="","",IF(IFERROR(INDEX(CONFIG!$L$4:$L$63,MATCH($V520,CONFIG!$K$4:$K$63,0)),"NO")="SÍ",IF(OR($Y520="",$X520=""),"Resuelta",IF($Y520&gt;$X520,"Resuelta tarde","Resuelta a tiempo")),IF($X520="","Sin clasificar",IF(TODAY()&gt;$X520,"Vencida",IF(TODAY()&gt;=$X520-1,"Por vencer","En plazo")))))</f>
        <v/>
      </c>
      <c r="AB520" s="50" t="n"/>
      <c r="AC520" s="50" t="n"/>
    </row>
    <row r="521" ht="16" customHeight="1">
      <c r="A521" s="28">
        <f>IF($B521="","","N-"&amp;TEXT(ROW()-3,"0000"))</f>
        <v/>
      </c>
      <c r="B521" s="47" t="n"/>
      <c r="C521" s="48" t="n"/>
      <c r="D521" s="48" t="n"/>
      <c r="E521" s="28">
        <f>IF($C521="","",IF($D521="",IF($C521="Interna","Sin guía (interna)","FALTA GUÍA"),IF(COUNTIFS(ENVIOS!$A$4:$A$3003,$D521)=0,"NO EXISTE",IF(COUNTIFS(ENVIOS!$A$4:$A$3003,$D521)&gt;1,"DUPLICADA","OK"))))</f>
        <v/>
      </c>
      <c r="F521" s="28">
        <f>IF($D521="","",IFERROR(INDEX(ENVIOS!$B$4:$B$3003,MATCH($D521,ENVIOS!$A$4:$A$3003,0)),"—"))</f>
        <v/>
      </c>
      <c r="G521" s="23">
        <f>IF($D521="","",IFERROR(INDEX(ENVIOS!$D$4:$D$3003,MATCH($D521,ENVIOS!$A$4:$A$3003,0)),"—"))</f>
        <v/>
      </c>
      <c r="H521" s="23">
        <f>IF($D521="","",IFERROR(INDEX(ENVIOS!$E$4:$E$3003,MATCH($D521,ENVIOS!$A$4:$A$3003,0)),"—"))</f>
        <v/>
      </c>
      <c r="I521" s="23">
        <f>IF($D521="","",IFERROR(INDEX(ENVIOS!$F$4:$F$3003,MATCH($D521,ENVIOS!$A$4:$A$3003,0)),"—"))</f>
        <v/>
      </c>
      <c r="J521" s="23">
        <f>IF($D521="","",IFERROR(INDEX(ENVIOS!$G$4:$G$3003,MATCH($D521,ENVIOS!$A$4:$A$3003,0)),"—"))</f>
        <v/>
      </c>
      <c r="K521" s="28">
        <f>IF($D521="","",IFERROR(INDEX(ENVIOS!$H$4:$H$3003,MATCH($D521,ENVIOS!$A$4:$A$3003,0)),"—"))</f>
        <v/>
      </c>
      <c r="L521" s="49">
        <f>IF($D521="","",IFERROR(INDEX(ENVIOS!$C$4:$C$3003,MATCH($D521,ENVIOS!$A$4:$A$3003,0)),""))</f>
        <v/>
      </c>
      <c r="M521" s="50" t="n"/>
      <c r="N521" s="28">
        <f>IF($M521="","",IFERROR(INDEX(CONFIG!$C$4:$C$63,MATCH($M521,CONFIG!$A$4:$A$63,0)),"Media"))</f>
        <v/>
      </c>
      <c r="O521" s="28">
        <f>IF($M521="","",IF($C521="Interna","NO",IFERROR(INDEX(CONFIG!$E$4:$E$63,MATCH($M521,CONFIG!$A$4:$A$63,0)),"NO")))</f>
        <v/>
      </c>
      <c r="P521" s="50" t="n"/>
      <c r="Q521" s="50" t="n"/>
      <c r="R521" s="28">
        <f>IF($Q521="","",IFERROR(INDEX(CONFIG!$H$4:$H$63,MATCH($Q521,CONFIG!$G$4:$G$63,0)),"Por definir"))</f>
        <v/>
      </c>
      <c r="S521" s="28">
        <f>IF($Q521="","",IFERROR(INDEX(CONFIG!$I$4:$I$63,MATCH($Q521,CONFIG!$G$4:$G$63,0)),"Por definir"))</f>
        <v/>
      </c>
      <c r="T521" s="51" t="n"/>
      <c r="U521" s="52" t="n"/>
      <c r="V521" s="50" t="n"/>
      <c r="W521" s="50" t="n"/>
      <c r="X521" s="49">
        <f>IF(OR($B521="",$M521=""),"",WORKDAY($B521,IFERROR(INDEX(CONFIG!$D$4:$D$63,MATCH($M521,CONFIG!$A$4:$A$63,0)),3)))</f>
        <v/>
      </c>
      <c r="Y521" s="47" t="n"/>
      <c r="Z521" s="24">
        <f>IF($B521="","",IF($Y521&lt;&gt;"",$Y521-$B521,TODAY()-$B521))</f>
        <v/>
      </c>
      <c r="AA521" s="28">
        <f>IF($B521="","",IF(IFERROR(INDEX(CONFIG!$L$4:$L$63,MATCH($V521,CONFIG!$K$4:$K$63,0)),"NO")="SÍ",IF(OR($Y521="",$X521=""),"Resuelta",IF($Y521&gt;$X521,"Resuelta tarde","Resuelta a tiempo")),IF($X521="","Sin clasificar",IF(TODAY()&gt;$X521,"Vencida",IF(TODAY()&gt;=$X521-1,"Por vencer","En plazo")))))</f>
        <v/>
      </c>
      <c r="AB521" s="50" t="n"/>
      <c r="AC521" s="50" t="n"/>
    </row>
    <row r="522" ht="16" customHeight="1">
      <c r="A522" s="28">
        <f>IF($B522="","","N-"&amp;TEXT(ROW()-3,"0000"))</f>
        <v/>
      </c>
      <c r="B522" s="47" t="n"/>
      <c r="C522" s="48" t="n"/>
      <c r="D522" s="48" t="n"/>
      <c r="E522" s="28">
        <f>IF($C522="","",IF($D522="",IF($C522="Interna","Sin guía (interna)","FALTA GUÍA"),IF(COUNTIFS(ENVIOS!$A$4:$A$3003,$D522)=0,"NO EXISTE",IF(COUNTIFS(ENVIOS!$A$4:$A$3003,$D522)&gt;1,"DUPLICADA","OK"))))</f>
        <v/>
      </c>
      <c r="F522" s="28">
        <f>IF($D522="","",IFERROR(INDEX(ENVIOS!$B$4:$B$3003,MATCH($D522,ENVIOS!$A$4:$A$3003,0)),"—"))</f>
        <v/>
      </c>
      <c r="G522" s="23">
        <f>IF($D522="","",IFERROR(INDEX(ENVIOS!$D$4:$D$3003,MATCH($D522,ENVIOS!$A$4:$A$3003,0)),"—"))</f>
        <v/>
      </c>
      <c r="H522" s="23">
        <f>IF($D522="","",IFERROR(INDEX(ENVIOS!$E$4:$E$3003,MATCH($D522,ENVIOS!$A$4:$A$3003,0)),"—"))</f>
        <v/>
      </c>
      <c r="I522" s="23">
        <f>IF($D522="","",IFERROR(INDEX(ENVIOS!$F$4:$F$3003,MATCH($D522,ENVIOS!$A$4:$A$3003,0)),"—"))</f>
        <v/>
      </c>
      <c r="J522" s="23">
        <f>IF($D522="","",IFERROR(INDEX(ENVIOS!$G$4:$G$3003,MATCH($D522,ENVIOS!$A$4:$A$3003,0)),"—"))</f>
        <v/>
      </c>
      <c r="K522" s="28">
        <f>IF($D522="","",IFERROR(INDEX(ENVIOS!$H$4:$H$3003,MATCH($D522,ENVIOS!$A$4:$A$3003,0)),"—"))</f>
        <v/>
      </c>
      <c r="L522" s="49">
        <f>IF($D522="","",IFERROR(INDEX(ENVIOS!$C$4:$C$3003,MATCH($D522,ENVIOS!$A$4:$A$3003,0)),""))</f>
        <v/>
      </c>
      <c r="M522" s="50" t="n"/>
      <c r="N522" s="28">
        <f>IF($M522="","",IFERROR(INDEX(CONFIG!$C$4:$C$63,MATCH($M522,CONFIG!$A$4:$A$63,0)),"Media"))</f>
        <v/>
      </c>
      <c r="O522" s="28">
        <f>IF($M522="","",IF($C522="Interna","NO",IFERROR(INDEX(CONFIG!$E$4:$E$63,MATCH($M522,CONFIG!$A$4:$A$63,0)),"NO")))</f>
        <v/>
      </c>
      <c r="P522" s="50" t="n"/>
      <c r="Q522" s="50" t="n"/>
      <c r="R522" s="28">
        <f>IF($Q522="","",IFERROR(INDEX(CONFIG!$H$4:$H$63,MATCH($Q522,CONFIG!$G$4:$G$63,0)),"Por definir"))</f>
        <v/>
      </c>
      <c r="S522" s="28">
        <f>IF($Q522="","",IFERROR(INDEX(CONFIG!$I$4:$I$63,MATCH($Q522,CONFIG!$G$4:$G$63,0)),"Por definir"))</f>
        <v/>
      </c>
      <c r="T522" s="51" t="n"/>
      <c r="U522" s="52" t="n"/>
      <c r="V522" s="50" t="n"/>
      <c r="W522" s="50" t="n"/>
      <c r="X522" s="49">
        <f>IF(OR($B522="",$M522=""),"",WORKDAY($B522,IFERROR(INDEX(CONFIG!$D$4:$D$63,MATCH($M522,CONFIG!$A$4:$A$63,0)),3)))</f>
        <v/>
      </c>
      <c r="Y522" s="47" t="n"/>
      <c r="Z522" s="24">
        <f>IF($B522="","",IF($Y522&lt;&gt;"",$Y522-$B522,TODAY()-$B522))</f>
        <v/>
      </c>
      <c r="AA522" s="28">
        <f>IF($B522="","",IF(IFERROR(INDEX(CONFIG!$L$4:$L$63,MATCH($V522,CONFIG!$K$4:$K$63,0)),"NO")="SÍ",IF(OR($Y522="",$X522=""),"Resuelta",IF($Y522&gt;$X522,"Resuelta tarde","Resuelta a tiempo")),IF($X522="","Sin clasificar",IF(TODAY()&gt;$X522,"Vencida",IF(TODAY()&gt;=$X522-1,"Por vencer","En plazo")))))</f>
        <v/>
      </c>
      <c r="AB522" s="50" t="n"/>
      <c r="AC522" s="50" t="n"/>
    </row>
    <row r="523" ht="16" customHeight="1">
      <c r="A523" s="28">
        <f>IF($B523="","","N-"&amp;TEXT(ROW()-3,"0000"))</f>
        <v/>
      </c>
      <c r="B523" s="47" t="n"/>
      <c r="C523" s="48" t="n"/>
      <c r="D523" s="48" t="n"/>
      <c r="E523" s="28">
        <f>IF($C523="","",IF($D523="",IF($C523="Interna","Sin guía (interna)","FALTA GUÍA"),IF(COUNTIFS(ENVIOS!$A$4:$A$3003,$D523)=0,"NO EXISTE",IF(COUNTIFS(ENVIOS!$A$4:$A$3003,$D523)&gt;1,"DUPLICADA","OK"))))</f>
        <v/>
      </c>
      <c r="F523" s="28">
        <f>IF($D523="","",IFERROR(INDEX(ENVIOS!$B$4:$B$3003,MATCH($D523,ENVIOS!$A$4:$A$3003,0)),"—"))</f>
        <v/>
      </c>
      <c r="G523" s="23">
        <f>IF($D523="","",IFERROR(INDEX(ENVIOS!$D$4:$D$3003,MATCH($D523,ENVIOS!$A$4:$A$3003,0)),"—"))</f>
        <v/>
      </c>
      <c r="H523" s="23">
        <f>IF($D523="","",IFERROR(INDEX(ENVIOS!$E$4:$E$3003,MATCH($D523,ENVIOS!$A$4:$A$3003,0)),"—"))</f>
        <v/>
      </c>
      <c r="I523" s="23">
        <f>IF($D523="","",IFERROR(INDEX(ENVIOS!$F$4:$F$3003,MATCH($D523,ENVIOS!$A$4:$A$3003,0)),"—"))</f>
        <v/>
      </c>
      <c r="J523" s="23">
        <f>IF($D523="","",IFERROR(INDEX(ENVIOS!$G$4:$G$3003,MATCH($D523,ENVIOS!$A$4:$A$3003,0)),"—"))</f>
        <v/>
      </c>
      <c r="K523" s="28">
        <f>IF($D523="","",IFERROR(INDEX(ENVIOS!$H$4:$H$3003,MATCH($D523,ENVIOS!$A$4:$A$3003,0)),"—"))</f>
        <v/>
      </c>
      <c r="L523" s="49">
        <f>IF($D523="","",IFERROR(INDEX(ENVIOS!$C$4:$C$3003,MATCH($D523,ENVIOS!$A$4:$A$3003,0)),""))</f>
        <v/>
      </c>
      <c r="M523" s="50" t="n"/>
      <c r="N523" s="28">
        <f>IF($M523="","",IFERROR(INDEX(CONFIG!$C$4:$C$63,MATCH($M523,CONFIG!$A$4:$A$63,0)),"Media"))</f>
        <v/>
      </c>
      <c r="O523" s="28">
        <f>IF($M523="","",IF($C523="Interna","NO",IFERROR(INDEX(CONFIG!$E$4:$E$63,MATCH($M523,CONFIG!$A$4:$A$63,0)),"NO")))</f>
        <v/>
      </c>
      <c r="P523" s="50" t="n"/>
      <c r="Q523" s="50" t="n"/>
      <c r="R523" s="28">
        <f>IF($Q523="","",IFERROR(INDEX(CONFIG!$H$4:$H$63,MATCH($Q523,CONFIG!$G$4:$G$63,0)),"Por definir"))</f>
        <v/>
      </c>
      <c r="S523" s="28">
        <f>IF($Q523="","",IFERROR(INDEX(CONFIG!$I$4:$I$63,MATCH($Q523,CONFIG!$G$4:$G$63,0)),"Por definir"))</f>
        <v/>
      </c>
      <c r="T523" s="51" t="n"/>
      <c r="U523" s="52" t="n"/>
      <c r="V523" s="50" t="n"/>
      <c r="W523" s="50" t="n"/>
      <c r="X523" s="49">
        <f>IF(OR($B523="",$M523=""),"",WORKDAY($B523,IFERROR(INDEX(CONFIG!$D$4:$D$63,MATCH($M523,CONFIG!$A$4:$A$63,0)),3)))</f>
        <v/>
      </c>
      <c r="Y523" s="47" t="n"/>
      <c r="Z523" s="24">
        <f>IF($B523="","",IF($Y523&lt;&gt;"",$Y523-$B523,TODAY()-$B523))</f>
        <v/>
      </c>
      <c r="AA523" s="28">
        <f>IF($B523="","",IF(IFERROR(INDEX(CONFIG!$L$4:$L$63,MATCH($V523,CONFIG!$K$4:$K$63,0)),"NO")="SÍ",IF(OR($Y523="",$X523=""),"Resuelta",IF($Y523&gt;$X523,"Resuelta tarde","Resuelta a tiempo")),IF($X523="","Sin clasificar",IF(TODAY()&gt;$X523,"Vencida",IF(TODAY()&gt;=$X523-1,"Por vencer","En plazo")))))</f>
        <v/>
      </c>
      <c r="AB523" s="50" t="n"/>
      <c r="AC523" s="50" t="n"/>
    </row>
    <row r="524" ht="16" customHeight="1">
      <c r="A524" s="28">
        <f>IF($B524="","","N-"&amp;TEXT(ROW()-3,"0000"))</f>
        <v/>
      </c>
      <c r="B524" s="47" t="n"/>
      <c r="C524" s="48" t="n"/>
      <c r="D524" s="48" t="n"/>
      <c r="E524" s="28">
        <f>IF($C524="","",IF($D524="",IF($C524="Interna","Sin guía (interna)","FALTA GUÍA"),IF(COUNTIFS(ENVIOS!$A$4:$A$3003,$D524)=0,"NO EXISTE",IF(COUNTIFS(ENVIOS!$A$4:$A$3003,$D524)&gt;1,"DUPLICADA","OK"))))</f>
        <v/>
      </c>
      <c r="F524" s="28">
        <f>IF($D524="","",IFERROR(INDEX(ENVIOS!$B$4:$B$3003,MATCH($D524,ENVIOS!$A$4:$A$3003,0)),"—"))</f>
        <v/>
      </c>
      <c r="G524" s="23">
        <f>IF($D524="","",IFERROR(INDEX(ENVIOS!$D$4:$D$3003,MATCH($D524,ENVIOS!$A$4:$A$3003,0)),"—"))</f>
        <v/>
      </c>
      <c r="H524" s="23">
        <f>IF($D524="","",IFERROR(INDEX(ENVIOS!$E$4:$E$3003,MATCH($D524,ENVIOS!$A$4:$A$3003,0)),"—"))</f>
        <v/>
      </c>
      <c r="I524" s="23">
        <f>IF($D524="","",IFERROR(INDEX(ENVIOS!$F$4:$F$3003,MATCH($D524,ENVIOS!$A$4:$A$3003,0)),"—"))</f>
        <v/>
      </c>
      <c r="J524" s="23">
        <f>IF($D524="","",IFERROR(INDEX(ENVIOS!$G$4:$G$3003,MATCH($D524,ENVIOS!$A$4:$A$3003,0)),"—"))</f>
        <v/>
      </c>
      <c r="K524" s="28">
        <f>IF($D524="","",IFERROR(INDEX(ENVIOS!$H$4:$H$3003,MATCH($D524,ENVIOS!$A$4:$A$3003,0)),"—"))</f>
        <v/>
      </c>
      <c r="L524" s="49">
        <f>IF($D524="","",IFERROR(INDEX(ENVIOS!$C$4:$C$3003,MATCH($D524,ENVIOS!$A$4:$A$3003,0)),""))</f>
        <v/>
      </c>
      <c r="M524" s="50" t="n"/>
      <c r="N524" s="28">
        <f>IF($M524="","",IFERROR(INDEX(CONFIG!$C$4:$C$63,MATCH($M524,CONFIG!$A$4:$A$63,0)),"Media"))</f>
        <v/>
      </c>
      <c r="O524" s="28">
        <f>IF($M524="","",IF($C524="Interna","NO",IFERROR(INDEX(CONFIG!$E$4:$E$63,MATCH($M524,CONFIG!$A$4:$A$63,0)),"NO")))</f>
        <v/>
      </c>
      <c r="P524" s="50" t="n"/>
      <c r="Q524" s="50" t="n"/>
      <c r="R524" s="28">
        <f>IF($Q524="","",IFERROR(INDEX(CONFIG!$H$4:$H$63,MATCH($Q524,CONFIG!$G$4:$G$63,0)),"Por definir"))</f>
        <v/>
      </c>
      <c r="S524" s="28">
        <f>IF($Q524="","",IFERROR(INDEX(CONFIG!$I$4:$I$63,MATCH($Q524,CONFIG!$G$4:$G$63,0)),"Por definir"))</f>
        <v/>
      </c>
      <c r="T524" s="51" t="n"/>
      <c r="U524" s="52" t="n"/>
      <c r="V524" s="50" t="n"/>
      <c r="W524" s="50" t="n"/>
      <c r="X524" s="49">
        <f>IF(OR($B524="",$M524=""),"",WORKDAY($B524,IFERROR(INDEX(CONFIG!$D$4:$D$63,MATCH($M524,CONFIG!$A$4:$A$63,0)),3)))</f>
        <v/>
      </c>
      <c r="Y524" s="47" t="n"/>
      <c r="Z524" s="24">
        <f>IF($B524="","",IF($Y524&lt;&gt;"",$Y524-$B524,TODAY()-$B524))</f>
        <v/>
      </c>
      <c r="AA524" s="28">
        <f>IF($B524="","",IF(IFERROR(INDEX(CONFIG!$L$4:$L$63,MATCH($V524,CONFIG!$K$4:$K$63,0)),"NO")="SÍ",IF(OR($Y524="",$X524=""),"Resuelta",IF($Y524&gt;$X524,"Resuelta tarde","Resuelta a tiempo")),IF($X524="","Sin clasificar",IF(TODAY()&gt;$X524,"Vencida",IF(TODAY()&gt;=$X524-1,"Por vencer","En plazo")))))</f>
        <v/>
      </c>
      <c r="AB524" s="50" t="n"/>
      <c r="AC524" s="50" t="n"/>
    </row>
    <row r="525" ht="16" customHeight="1">
      <c r="A525" s="28">
        <f>IF($B525="","","N-"&amp;TEXT(ROW()-3,"0000"))</f>
        <v/>
      </c>
      <c r="B525" s="47" t="n"/>
      <c r="C525" s="48" t="n"/>
      <c r="D525" s="48" t="n"/>
      <c r="E525" s="28">
        <f>IF($C525="","",IF($D525="",IF($C525="Interna","Sin guía (interna)","FALTA GUÍA"),IF(COUNTIFS(ENVIOS!$A$4:$A$3003,$D525)=0,"NO EXISTE",IF(COUNTIFS(ENVIOS!$A$4:$A$3003,$D525)&gt;1,"DUPLICADA","OK"))))</f>
        <v/>
      </c>
      <c r="F525" s="28">
        <f>IF($D525="","",IFERROR(INDEX(ENVIOS!$B$4:$B$3003,MATCH($D525,ENVIOS!$A$4:$A$3003,0)),"—"))</f>
        <v/>
      </c>
      <c r="G525" s="23">
        <f>IF($D525="","",IFERROR(INDEX(ENVIOS!$D$4:$D$3003,MATCH($D525,ENVIOS!$A$4:$A$3003,0)),"—"))</f>
        <v/>
      </c>
      <c r="H525" s="23">
        <f>IF($D525="","",IFERROR(INDEX(ENVIOS!$E$4:$E$3003,MATCH($D525,ENVIOS!$A$4:$A$3003,0)),"—"))</f>
        <v/>
      </c>
      <c r="I525" s="23">
        <f>IF($D525="","",IFERROR(INDEX(ENVIOS!$F$4:$F$3003,MATCH($D525,ENVIOS!$A$4:$A$3003,0)),"—"))</f>
        <v/>
      </c>
      <c r="J525" s="23">
        <f>IF($D525="","",IFERROR(INDEX(ENVIOS!$G$4:$G$3003,MATCH($D525,ENVIOS!$A$4:$A$3003,0)),"—"))</f>
        <v/>
      </c>
      <c r="K525" s="28">
        <f>IF($D525="","",IFERROR(INDEX(ENVIOS!$H$4:$H$3003,MATCH($D525,ENVIOS!$A$4:$A$3003,0)),"—"))</f>
        <v/>
      </c>
      <c r="L525" s="49">
        <f>IF($D525="","",IFERROR(INDEX(ENVIOS!$C$4:$C$3003,MATCH($D525,ENVIOS!$A$4:$A$3003,0)),""))</f>
        <v/>
      </c>
      <c r="M525" s="50" t="n"/>
      <c r="N525" s="28">
        <f>IF($M525="","",IFERROR(INDEX(CONFIG!$C$4:$C$63,MATCH($M525,CONFIG!$A$4:$A$63,0)),"Media"))</f>
        <v/>
      </c>
      <c r="O525" s="28">
        <f>IF($M525="","",IF($C525="Interna","NO",IFERROR(INDEX(CONFIG!$E$4:$E$63,MATCH($M525,CONFIG!$A$4:$A$63,0)),"NO")))</f>
        <v/>
      </c>
      <c r="P525" s="50" t="n"/>
      <c r="Q525" s="50" t="n"/>
      <c r="R525" s="28">
        <f>IF($Q525="","",IFERROR(INDEX(CONFIG!$H$4:$H$63,MATCH($Q525,CONFIG!$G$4:$G$63,0)),"Por definir"))</f>
        <v/>
      </c>
      <c r="S525" s="28">
        <f>IF($Q525="","",IFERROR(INDEX(CONFIG!$I$4:$I$63,MATCH($Q525,CONFIG!$G$4:$G$63,0)),"Por definir"))</f>
        <v/>
      </c>
      <c r="T525" s="51" t="n"/>
      <c r="U525" s="52" t="n"/>
      <c r="V525" s="50" t="n"/>
      <c r="W525" s="50" t="n"/>
      <c r="X525" s="49">
        <f>IF(OR($B525="",$M525=""),"",WORKDAY($B525,IFERROR(INDEX(CONFIG!$D$4:$D$63,MATCH($M525,CONFIG!$A$4:$A$63,0)),3)))</f>
        <v/>
      </c>
      <c r="Y525" s="47" t="n"/>
      <c r="Z525" s="24">
        <f>IF($B525="","",IF($Y525&lt;&gt;"",$Y525-$B525,TODAY()-$B525))</f>
        <v/>
      </c>
      <c r="AA525" s="28">
        <f>IF($B525="","",IF(IFERROR(INDEX(CONFIG!$L$4:$L$63,MATCH($V525,CONFIG!$K$4:$K$63,0)),"NO")="SÍ",IF(OR($Y525="",$X525=""),"Resuelta",IF($Y525&gt;$X525,"Resuelta tarde","Resuelta a tiempo")),IF($X525="","Sin clasificar",IF(TODAY()&gt;$X525,"Vencida",IF(TODAY()&gt;=$X525-1,"Por vencer","En plazo")))))</f>
        <v/>
      </c>
      <c r="AB525" s="50" t="n"/>
      <c r="AC525" s="50" t="n"/>
    </row>
    <row r="526" ht="16" customHeight="1">
      <c r="A526" s="28">
        <f>IF($B526="","","N-"&amp;TEXT(ROW()-3,"0000"))</f>
        <v/>
      </c>
      <c r="B526" s="47" t="n"/>
      <c r="C526" s="48" t="n"/>
      <c r="D526" s="48" t="n"/>
      <c r="E526" s="28">
        <f>IF($C526="","",IF($D526="",IF($C526="Interna","Sin guía (interna)","FALTA GUÍA"),IF(COUNTIFS(ENVIOS!$A$4:$A$3003,$D526)=0,"NO EXISTE",IF(COUNTIFS(ENVIOS!$A$4:$A$3003,$D526)&gt;1,"DUPLICADA","OK"))))</f>
        <v/>
      </c>
      <c r="F526" s="28">
        <f>IF($D526="","",IFERROR(INDEX(ENVIOS!$B$4:$B$3003,MATCH($D526,ENVIOS!$A$4:$A$3003,0)),"—"))</f>
        <v/>
      </c>
      <c r="G526" s="23">
        <f>IF($D526="","",IFERROR(INDEX(ENVIOS!$D$4:$D$3003,MATCH($D526,ENVIOS!$A$4:$A$3003,0)),"—"))</f>
        <v/>
      </c>
      <c r="H526" s="23">
        <f>IF($D526="","",IFERROR(INDEX(ENVIOS!$E$4:$E$3003,MATCH($D526,ENVIOS!$A$4:$A$3003,0)),"—"))</f>
        <v/>
      </c>
      <c r="I526" s="23">
        <f>IF($D526="","",IFERROR(INDEX(ENVIOS!$F$4:$F$3003,MATCH($D526,ENVIOS!$A$4:$A$3003,0)),"—"))</f>
        <v/>
      </c>
      <c r="J526" s="23">
        <f>IF($D526="","",IFERROR(INDEX(ENVIOS!$G$4:$G$3003,MATCH($D526,ENVIOS!$A$4:$A$3003,0)),"—"))</f>
        <v/>
      </c>
      <c r="K526" s="28">
        <f>IF($D526="","",IFERROR(INDEX(ENVIOS!$H$4:$H$3003,MATCH($D526,ENVIOS!$A$4:$A$3003,0)),"—"))</f>
        <v/>
      </c>
      <c r="L526" s="49">
        <f>IF($D526="","",IFERROR(INDEX(ENVIOS!$C$4:$C$3003,MATCH($D526,ENVIOS!$A$4:$A$3003,0)),""))</f>
        <v/>
      </c>
      <c r="M526" s="50" t="n"/>
      <c r="N526" s="28">
        <f>IF($M526="","",IFERROR(INDEX(CONFIG!$C$4:$C$63,MATCH($M526,CONFIG!$A$4:$A$63,0)),"Media"))</f>
        <v/>
      </c>
      <c r="O526" s="28">
        <f>IF($M526="","",IF($C526="Interna","NO",IFERROR(INDEX(CONFIG!$E$4:$E$63,MATCH($M526,CONFIG!$A$4:$A$63,0)),"NO")))</f>
        <v/>
      </c>
      <c r="P526" s="50" t="n"/>
      <c r="Q526" s="50" t="n"/>
      <c r="R526" s="28">
        <f>IF($Q526="","",IFERROR(INDEX(CONFIG!$H$4:$H$63,MATCH($Q526,CONFIG!$G$4:$G$63,0)),"Por definir"))</f>
        <v/>
      </c>
      <c r="S526" s="28">
        <f>IF($Q526="","",IFERROR(INDEX(CONFIG!$I$4:$I$63,MATCH($Q526,CONFIG!$G$4:$G$63,0)),"Por definir"))</f>
        <v/>
      </c>
      <c r="T526" s="51" t="n"/>
      <c r="U526" s="52" t="n"/>
      <c r="V526" s="50" t="n"/>
      <c r="W526" s="50" t="n"/>
      <c r="X526" s="49">
        <f>IF(OR($B526="",$M526=""),"",WORKDAY($B526,IFERROR(INDEX(CONFIG!$D$4:$D$63,MATCH($M526,CONFIG!$A$4:$A$63,0)),3)))</f>
        <v/>
      </c>
      <c r="Y526" s="47" t="n"/>
      <c r="Z526" s="24">
        <f>IF($B526="","",IF($Y526&lt;&gt;"",$Y526-$B526,TODAY()-$B526))</f>
        <v/>
      </c>
      <c r="AA526" s="28">
        <f>IF($B526="","",IF(IFERROR(INDEX(CONFIG!$L$4:$L$63,MATCH($V526,CONFIG!$K$4:$K$63,0)),"NO")="SÍ",IF(OR($Y526="",$X526=""),"Resuelta",IF($Y526&gt;$X526,"Resuelta tarde","Resuelta a tiempo")),IF($X526="","Sin clasificar",IF(TODAY()&gt;$X526,"Vencida",IF(TODAY()&gt;=$X526-1,"Por vencer","En plazo")))))</f>
        <v/>
      </c>
      <c r="AB526" s="50" t="n"/>
      <c r="AC526" s="50" t="n"/>
    </row>
    <row r="527" ht="16" customHeight="1">
      <c r="A527" s="28">
        <f>IF($B527="","","N-"&amp;TEXT(ROW()-3,"0000"))</f>
        <v/>
      </c>
      <c r="B527" s="47" t="n"/>
      <c r="C527" s="48" t="n"/>
      <c r="D527" s="48" t="n"/>
      <c r="E527" s="28">
        <f>IF($C527="","",IF($D527="",IF($C527="Interna","Sin guía (interna)","FALTA GUÍA"),IF(COUNTIFS(ENVIOS!$A$4:$A$3003,$D527)=0,"NO EXISTE",IF(COUNTIFS(ENVIOS!$A$4:$A$3003,$D527)&gt;1,"DUPLICADA","OK"))))</f>
        <v/>
      </c>
      <c r="F527" s="28">
        <f>IF($D527="","",IFERROR(INDEX(ENVIOS!$B$4:$B$3003,MATCH($D527,ENVIOS!$A$4:$A$3003,0)),"—"))</f>
        <v/>
      </c>
      <c r="G527" s="23">
        <f>IF($D527="","",IFERROR(INDEX(ENVIOS!$D$4:$D$3003,MATCH($D527,ENVIOS!$A$4:$A$3003,0)),"—"))</f>
        <v/>
      </c>
      <c r="H527" s="23">
        <f>IF($D527="","",IFERROR(INDEX(ENVIOS!$E$4:$E$3003,MATCH($D527,ENVIOS!$A$4:$A$3003,0)),"—"))</f>
        <v/>
      </c>
      <c r="I527" s="23">
        <f>IF($D527="","",IFERROR(INDEX(ENVIOS!$F$4:$F$3003,MATCH($D527,ENVIOS!$A$4:$A$3003,0)),"—"))</f>
        <v/>
      </c>
      <c r="J527" s="23">
        <f>IF($D527="","",IFERROR(INDEX(ENVIOS!$G$4:$G$3003,MATCH($D527,ENVIOS!$A$4:$A$3003,0)),"—"))</f>
        <v/>
      </c>
      <c r="K527" s="28">
        <f>IF($D527="","",IFERROR(INDEX(ENVIOS!$H$4:$H$3003,MATCH($D527,ENVIOS!$A$4:$A$3003,0)),"—"))</f>
        <v/>
      </c>
      <c r="L527" s="49">
        <f>IF($D527="","",IFERROR(INDEX(ENVIOS!$C$4:$C$3003,MATCH($D527,ENVIOS!$A$4:$A$3003,0)),""))</f>
        <v/>
      </c>
      <c r="M527" s="50" t="n"/>
      <c r="N527" s="28">
        <f>IF($M527="","",IFERROR(INDEX(CONFIG!$C$4:$C$63,MATCH($M527,CONFIG!$A$4:$A$63,0)),"Media"))</f>
        <v/>
      </c>
      <c r="O527" s="28">
        <f>IF($M527="","",IF($C527="Interna","NO",IFERROR(INDEX(CONFIG!$E$4:$E$63,MATCH($M527,CONFIG!$A$4:$A$63,0)),"NO")))</f>
        <v/>
      </c>
      <c r="P527" s="50" t="n"/>
      <c r="Q527" s="50" t="n"/>
      <c r="R527" s="28">
        <f>IF($Q527="","",IFERROR(INDEX(CONFIG!$H$4:$H$63,MATCH($Q527,CONFIG!$G$4:$G$63,0)),"Por definir"))</f>
        <v/>
      </c>
      <c r="S527" s="28">
        <f>IF($Q527="","",IFERROR(INDEX(CONFIG!$I$4:$I$63,MATCH($Q527,CONFIG!$G$4:$G$63,0)),"Por definir"))</f>
        <v/>
      </c>
      <c r="T527" s="51" t="n"/>
      <c r="U527" s="52" t="n"/>
      <c r="V527" s="50" t="n"/>
      <c r="W527" s="50" t="n"/>
      <c r="X527" s="49">
        <f>IF(OR($B527="",$M527=""),"",WORKDAY($B527,IFERROR(INDEX(CONFIG!$D$4:$D$63,MATCH($M527,CONFIG!$A$4:$A$63,0)),3)))</f>
        <v/>
      </c>
      <c r="Y527" s="47" t="n"/>
      <c r="Z527" s="24">
        <f>IF($B527="","",IF($Y527&lt;&gt;"",$Y527-$B527,TODAY()-$B527))</f>
        <v/>
      </c>
      <c r="AA527" s="28">
        <f>IF($B527="","",IF(IFERROR(INDEX(CONFIG!$L$4:$L$63,MATCH($V527,CONFIG!$K$4:$K$63,0)),"NO")="SÍ",IF(OR($Y527="",$X527=""),"Resuelta",IF($Y527&gt;$X527,"Resuelta tarde","Resuelta a tiempo")),IF($X527="","Sin clasificar",IF(TODAY()&gt;$X527,"Vencida",IF(TODAY()&gt;=$X527-1,"Por vencer","En plazo")))))</f>
        <v/>
      </c>
      <c r="AB527" s="50" t="n"/>
      <c r="AC527" s="50" t="n"/>
    </row>
    <row r="528" ht="16" customHeight="1">
      <c r="A528" s="28">
        <f>IF($B528="","","N-"&amp;TEXT(ROW()-3,"0000"))</f>
        <v/>
      </c>
      <c r="B528" s="47" t="n"/>
      <c r="C528" s="48" t="n"/>
      <c r="D528" s="48" t="n"/>
      <c r="E528" s="28">
        <f>IF($C528="","",IF($D528="",IF($C528="Interna","Sin guía (interna)","FALTA GUÍA"),IF(COUNTIFS(ENVIOS!$A$4:$A$3003,$D528)=0,"NO EXISTE",IF(COUNTIFS(ENVIOS!$A$4:$A$3003,$D528)&gt;1,"DUPLICADA","OK"))))</f>
        <v/>
      </c>
      <c r="F528" s="28">
        <f>IF($D528="","",IFERROR(INDEX(ENVIOS!$B$4:$B$3003,MATCH($D528,ENVIOS!$A$4:$A$3003,0)),"—"))</f>
        <v/>
      </c>
      <c r="G528" s="23">
        <f>IF($D528="","",IFERROR(INDEX(ENVIOS!$D$4:$D$3003,MATCH($D528,ENVIOS!$A$4:$A$3003,0)),"—"))</f>
        <v/>
      </c>
      <c r="H528" s="23">
        <f>IF($D528="","",IFERROR(INDEX(ENVIOS!$E$4:$E$3003,MATCH($D528,ENVIOS!$A$4:$A$3003,0)),"—"))</f>
        <v/>
      </c>
      <c r="I528" s="23">
        <f>IF($D528="","",IFERROR(INDEX(ENVIOS!$F$4:$F$3003,MATCH($D528,ENVIOS!$A$4:$A$3003,0)),"—"))</f>
        <v/>
      </c>
      <c r="J528" s="23">
        <f>IF($D528="","",IFERROR(INDEX(ENVIOS!$G$4:$G$3003,MATCH($D528,ENVIOS!$A$4:$A$3003,0)),"—"))</f>
        <v/>
      </c>
      <c r="K528" s="28">
        <f>IF($D528="","",IFERROR(INDEX(ENVIOS!$H$4:$H$3003,MATCH($D528,ENVIOS!$A$4:$A$3003,0)),"—"))</f>
        <v/>
      </c>
      <c r="L528" s="49">
        <f>IF($D528="","",IFERROR(INDEX(ENVIOS!$C$4:$C$3003,MATCH($D528,ENVIOS!$A$4:$A$3003,0)),""))</f>
        <v/>
      </c>
      <c r="M528" s="50" t="n"/>
      <c r="N528" s="28">
        <f>IF($M528="","",IFERROR(INDEX(CONFIG!$C$4:$C$63,MATCH($M528,CONFIG!$A$4:$A$63,0)),"Media"))</f>
        <v/>
      </c>
      <c r="O528" s="28">
        <f>IF($M528="","",IF($C528="Interna","NO",IFERROR(INDEX(CONFIG!$E$4:$E$63,MATCH($M528,CONFIG!$A$4:$A$63,0)),"NO")))</f>
        <v/>
      </c>
      <c r="P528" s="50" t="n"/>
      <c r="Q528" s="50" t="n"/>
      <c r="R528" s="28">
        <f>IF($Q528="","",IFERROR(INDEX(CONFIG!$H$4:$H$63,MATCH($Q528,CONFIG!$G$4:$G$63,0)),"Por definir"))</f>
        <v/>
      </c>
      <c r="S528" s="28">
        <f>IF($Q528="","",IFERROR(INDEX(CONFIG!$I$4:$I$63,MATCH($Q528,CONFIG!$G$4:$G$63,0)),"Por definir"))</f>
        <v/>
      </c>
      <c r="T528" s="51" t="n"/>
      <c r="U528" s="52" t="n"/>
      <c r="V528" s="50" t="n"/>
      <c r="W528" s="50" t="n"/>
      <c r="X528" s="49">
        <f>IF(OR($B528="",$M528=""),"",WORKDAY($B528,IFERROR(INDEX(CONFIG!$D$4:$D$63,MATCH($M528,CONFIG!$A$4:$A$63,0)),3)))</f>
        <v/>
      </c>
      <c r="Y528" s="47" t="n"/>
      <c r="Z528" s="24">
        <f>IF($B528="","",IF($Y528&lt;&gt;"",$Y528-$B528,TODAY()-$B528))</f>
        <v/>
      </c>
      <c r="AA528" s="28">
        <f>IF($B528="","",IF(IFERROR(INDEX(CONFIG!$L$4:$L$63,MATCH($V528,CONFIG!$K$4:$K$63,0)),"NO")="SÍ",IF(OR($Y528="",$X528=""),"Resuelta",IF($Y528&gt;$X528,"Resuelta tarde","Resuelta a tiempo")),IF($X528="","Sin clasificar",IF(TODAY()&gt;$X528,"Vencida",IF(TODAY()&gt;=$X528-1,"Por vencer","En plazo")))))</f>
        <v/>
      </c>
      <c r="AB528" s="50" t="n"/>
      <c r="AC528" s="50" t="n"/>
    </row>
    <row r="529" ht="16" customHeight="1">
      <c r="A529" s="28">
        <f>IF($B529="","","N-"&amp;TEXT(ROW()-3,"0000"))</f>
        <v/>
      </c>
      <c r="B529" s="47" t="n"/>
      <c r="C529" s="48" t="n"/>
      <c r="D529" s="48" t="n"/>
      <c r="E529" s="28">
        <f>IF($C529="","",IF($D529="",IF($C529="Interna","Sin guía (interna)","FALTA GUÍA"),IF(COUNTIFS(ENVIOS!$A$4:$A$3003,$D529)=0,"NO EXISTE",IF(COUNTIFS(ENVIOS!$A$4:$A$3003,$D529)&gt;1,"DUPLICADA","OK"))))</f>
        <v/>
      </c>
      <c r="F529" s="28">
        <f>IF($D529="","",IFERROR(INDEX(ENVIOS!$B$4:$B$3003,MATCH($D529,ENVIOS!$A$4:$A$3003,0)),"—"))</f>
        <v/>
      </c>
      <c r="G529" s="23">
        <f>IF($D529="","",IFERROR(INDEX(ENVIOS!$D$4:$D$3003,MATCH($D529,ENVIOS!$A$4:$A$3003,0)),"—"))</f>
        <v/>
      </c>
      <c r="H529" s="23">
        <f>IF($D529="","",IFERROR(INDEX(ENVIOS!$E$4:$E$3003,MATCH($D529,ENVIOS!$A$4:$A$3003,0)),"—"))</f>
        <v/>
      </c>
      <c r="I529" s="23">
        <f>IF($D529="","",IFERROR(INDEX(ENVIOS!$F$4:$F$3003,MATCH($D529,ENVIOS!$A$4:$A$3003,0)),"—"))</f>
        <v/>
      </c>
      <c r="J529" s="23">
        <f>IF($D529="","",IFERROR(INDEX(ENVIOS!$G$4:$G$3003,MATCH($D529,ENVIOS!$A$4:$A$3003,0)),"—"))</f>
        <v/>
      </c>
      <c r="K529" s="28">
        <f>IF($D529="","",IFERROR(INDEX(ENVIOS!$H$4:$H$3003,MATCH($D529,ENVIOS!$A$4:$A$3003,0)),"—"))</f>
        <v/>
      </c>
      <c r="L529" s="49">
        <f>IF($D529="","",IFERROR(INDEX(ENVIOS!$C$4:$C$3003,MATCH($D529,ENVIOS!$A$4:$A$3003,0)),""))</f>
        <v/>
      </c>
      <c r="M529" s="50" t="n"/>
      <c r="N529" s="28">
        <f>IF($M529="","",IFERROR(INDEX(CONFIG!$C$4:$C$63,MATCH($M529,CONFIG!$A$4:$A$63,0)),"Media"))</f>
        <v/>
      </c>
      <c r="O529" s="28">
        <f>IF($M529="","",IF($C529="Interna","NO",IFERROR(INDEX(CONFIG!$E$4:$E$63,MATCH($M529,CONFIG!$A$4:$A$63,0)),"NO")))</f>
        <v/>
      </c>
      <c r="P529" s="50" t="n"/>
      <c r="Q529" s="50" t="n"/>
      <c r="R529" s="28">
        <f>IF($Q529="","",IFERROR(INDEX(CONFIG!$H$4:$H$63,MATCH($Q529,CONFIG!$G$4:$G$63,0)),"Por definir"))</f>
        <v/>
      </c>
      <c r="S529" s="28">
        <f>IF($Q529="","",IFERROR(INDEX(CONFIG!$I$4:$I$63,MATCH($Q529,CONFIG!$G$4:$G$63,0)),"Por definir"))</f>
        <v/>
      </c>
      <c r="T529" s="51" t="n"/>
      <c r="U529" s="52" t="n"/>
      <c r="V529" s="50" t="n"/>
      <c r="W529" s="50" t="n"/>
      <c r="X529" s="49">
        <f>IF(OR($B529="",$M529=""),"",WORKDAY($B529,IFERROR(INDEX(CONFIG!$D$4:$D$63,MATCH($M529,CONFIG!$A$4:$A$63,0)),3)))</f>
        <v/>
      </c>
      <c r="Y529" s="47" t="n"/>
      <c r="Z529" s="24">
        <f>IF($B529="","",IF($Y529&lt;&gt;"",$Y529-$B529,TODAY()-$B529))</f>
        <v/>
      </c>
      <c r="AA529" s="28">
        <f>IF($B529="","",IF(IFERROR(INDEX(CONFIG!$L$4:$L$63,MATCH($V529,CONFIG!$K$4:$K$63,0)),"NO")="SÍ",IF(OR($Y529="",$X529=""),"Resuelta",IF($Y529&gt;$X529,"Resuelta tarde","Resuelta a tiempo")),IF($X529="","Sin clasificar",IF(TODAY()&gt;$X529,"Vencida",IF(TODAY()&gt;=$X529-1,"Por vencer","En plazo")))))</f>
        <v/>
      </c>
      <c r="AB529" s="50" t="n"/>
      <c r="AC529" s="50" t="n"/>
    </row>
    <row r="530" ht="16" customHeight="1">
      <c r="A530" s="28">
        <f>IF($B530="","","N-"&amp;TEXT(ROW()-3,"0000"))</f>
        <v/>
      </c>
      <c r="B530" s="47" t="n"/>
      <c r="C530" s="48" t="n"/>
      <c r="D530" s="48" t="n"/>
      <c r="E530" s="28">
        <f>IF($C530="","",IF($D530="",IF($C530="Interna","Sin guía (interna)","FALTA GUÍA"),IF(COUNTIFS(ENVIOS!$A$4:$A$3003,$D530)=0,"NO EXISTE",IF(COUNTIFS(ENVIOS!$A$4:$A$3003,$D530)&gt;1,"DUPLICADA","OK"))))</f>
        <v/>
      </c>
      <c r="F530" s="28">
        <f>IF($D530="","",IFERROR(INDEX(ENVIOS!$B$4:$B$3003,MATCH($D530,ENVIOS!$A$4:$A$3003,0)),"—"))</f>
        <v/>
      </c>
      <c r="G530" s="23">
        <f>IF($D530="","",IFERROR(INDEX(ENVIOS!$D$4:$D$3003,MATCH($D530,ENVIOS!$A$4:$A$3003,0)),"—"))</f>
        <v/>
      </c>
      <c r="H530" s="23">
        <f>IF($D530="","",IFERROR(INDEX(ENVIOS!$E$4:$E$3003,MATCH($D530,ENVIOS!$A$4:$A$3003,0)),"—"))</f>
        <v/>
      </c>
      <c r="I530" s="23">
        <f>IF($D530="","",IFERROR(INDEX(ENVIOS!$F$4:$F$3003,MATCH($D530,ENVIOS!$A$4:$A$3003,0)),"—"))</f>
        <v/>
      </c>
      <c r="J530" s="23">
        <f>IF($D530="","",IFERROR(INDEX(ENVIOS!$G$4:$G$3003,MATCH($D530,ENVIOS!$A$4:$A$3003,0)),"—"))</f>
        <v/>
      </c>
      <c r="K530" s="28">
        <f>IF($D530="","",IFERROR(INDEX(ENVIOS!$H$4:$H$3003,MATCH($D530,ENVIOS!$A$4:$A$3003,0)),"—"))</f>
        <v/>
      </c>
      <c r="L530" s="49">
        <f>IF($D530="","",IFERROR(INDEX(ENVIOS!$C$4:$C$3003,MATCH($D530,ENVIOS!$A$4:$A$3003,0)),""))</f>
        <v/>
      </c>
      <c r="M530" s="50" t="n"/>
      <c r="N530" s="28">
        <f>IF($M530="","",IFERROR(INDEX(CONFIG!$C$4:$C$63,MATCH($M530,CONFIG!$A$4:$A$63,0)),"Media"))</f>
        <v/>
      </c>
      <c r="O530" s="28">
        <f>IF($M530="","",IF($C530="Interna","NO",IFERROR(INDEX(CONFIG!$E$4:$E$63,MATCH($M530,CONFIG!$A$4:$A$63,0)),"NO")))</f>
        <v/>
      </c>
      <c r="P530" s="50" t="n"/>
      <c r="Q530" s="50" t="n"/>
      <c r="R530" s="28">
        <f>IF($Q530="","",IFERROR(INDEX(CONFIG!$H$4:$H$63,MATCH($Q530,CONFIG!$G$4:$G$63,0)),"Por definir"))</f>
        <v/>
      </c>
      <c r="S530" s="28">
        <f>IF($Q530="","",IFERROR(INDEX(CONFIG!$I$4:$I$63,MATCH($Q530,CONFIG!$G$4:$G$63,0)),"Por definir"))</f>
        <v/>
      </c>
      <c r="T530" s="51" t="n"/>
      <c r="U530" s="52" t="n"/>
      <c r="V530" s="50" t="n"/>
      <c r="W530" s="50" t="n"/>
      <c r="X530" s="49">
        <f>IF(OR($B530="",$M530=""),"",WORKDAY($B530,IFERROR(INDEX(CONFIG!$D$4:$D$63,MATCH($M530,CONFIG!$A$4:$A$63,0)),3)))</f>
        <v/>
      </c>
      <c r="Y530" s="47" t="n"/>
      <c r="Z530" s="24">
        <f>IF($B530="","",IF($Y530&lt;&gt;"",$Y530-$B530,TODAY()-$B530))</f>
        <v/>
      </c>
      <c r="AA530" s="28">
        <f>IF($B530="","",IF(IFERROR(INDEX(CONFIG!$L$4:$L$63,MATCH($V530,CONFIG!$K$4:$K$63,0)),"NO")="SÍ",IF(OR($Y530="",$X530=""),"Resuelta",IF($Y530&gt;$X530,"Resuelta tarde","Resuelta a tiempo")),IF($X530="","Sin clasificar",IF(TODAY()&gt;$X530,"Vencida",IF(TODAY()&gt;=$X530-1,"Por vencer","En plazo")))))</f>
        <v/>
      </c>
      <c r="AB530" s="50" t="n"/>
      <c r="AC530" s="50" t="n"/>
    </row>
    <row r="531" ht="16" customHeight="1">
      <c r="A531" s="28">
        <f>IF($B531="","","N-"&amp;TEXT(ROW()-3,"0000"))</f>
        <v/>
      </c>
      <c r="B531" s="47" t="n"/>
      <c r="C531" s="48" t="n"/>
      <c r="D531" s="48" t="n"/>
      <c r="E531" s="28">
        <f>IF($C531="","",IF($D531="",IF($C531="Interna","Sin guía (interna)","FALTA GUÍA"),IF(COUNTIFS(ENVIOS!$A$4:$A$3003,$D531)=0,"NO EXISTE",IF(COUNTIFS(ENVIOS!$A$4:$A$3003,$D531)&gt;1,"DUPLICADA","OK"))))</f>
        <v/>
      </c>
      <c r="F531" s="28">
        <f>IF($D531="","",IFERROR(INDEX(ENVIOS!$B$4:$B$3003,MATCH($D531,ENVIOS!$A$4:$A$3003,0)),"—"))</f>
        <v/>
      </c>
      <c r="G531" s="23">
        <f>IF($D531="","",IFERROR(INDEX(ENVIOS!$D$4:$D$3003,MATCH($D531,ENVIOS!$A$4:$A$3003,0)),"—"))</f>
        <v/>
      </c>
      <c r="H531" s="23">
        <f>IF($D531="","",IFERROR(INDEX(ENVIOS!$E$4:$E$3003,MATCH($D531,ENVIOS!$A$4:$A$3003,0)),"—"))</f>
        <v/>
      </c>
      <c r="I531" s="23">
        <f>IF($D531="","",IFERROR(INDEX(ENVIOS!$F$4:$F$3003,MATCH($D531,ENVIOS!$A$4:$A$3003,0)),"—"))</f>
        <v/>
      </c>
      <c r="J531" s="23">
        <f>IF($D531="","",IFERROR(INDEX(ENVIOS!$G$4:$G$3003,MATCH($D531,ENVIOS!$A$4:$A$3003,0)),"—"))</f>
        <v/>
      </c>
      <c r="K531" s="28">
        <f>IF($D531="","",IFERROR(INDEX(ENVIOS!$H$4:$H$3003,MATCH($D531,ENVIOS!$A$4:$A$3003,0)),"—"))</f>
        <v/>
      </c>
      <c r="L531" s="49">
        <f>IF($D531="","",IFERROR(INDEX(ENVIOS!$C$4:$C$3003,MATCH($D531,ENVIOS!$A$4:$A$3003,0)),""))</f>
        <v/>
      </c>
      <c r="M531" s="50" t="n"/>
      <c r="N531" s="28">
        <f>IF($M531="","",IFERROR(INDEX(CONFIG!$C$4:$C$63,MATCH($M531,CONFIG!$A$4:$A$63,0)),"Media"))</f>
        <v/>
      </c>
      <c r="O531" s="28">
        <f>IF($M531="","",IF($C531="Interna","NO",IFERROR(INDEX(CONFIG!$E$4:$E$63,MATCH($M531,CONFIG!$A$4:$A$63,0)),"NO")))</f>
        <v/>
      </c>
      <c r="P531" s="50" t="n"/>
      <c r="Q531" s="50" t="n"/>
      <c r="R531" s="28">
        <f>IF($Q531="","",IFERROR(INDEX(CONFIG!$H$4:$H$63,MATCH($Q531,CONFIG!$G$4:$G$63,0)),"Por definir"))</f>
        <v/>
      </c>
      <c r="S531" s="28">
        <f>IF($Q531="","",IFERROR(INDEX(CONFIG!$I$4:$I$63,MATCH($Q531,CONFIG!$G$4:$G$63,0)),"Por definir"))</f>
        <v/>
      </c>
      <c r="T531" s="51" t="n"/>
      <c r="U531" s="52" t="n"/>
      <c r="V531" s="50" t="n"/>
      <c r="W531" s="50" t="n"/>
      <c r="X531" s="49">
        <f>IF(OR($B531="",$M531=""),"",WORKDAY($B531,IFERROR(INDEX(CONFIG!$D$4:$D$63,MATCH($M531,CONFIG!$A$4:$A$63,0)),3)))</f>
        <v/>
      </c>
      <c r="Y531" s="47" t="n"/>
      <c r="Z531" s="24">
        <f>IF($B531="","",IF($Y531&lt;&gt;"",$Y531-$B531,TODAY()-$B531))</f>
        <v/>
      </c>
      <c r="AA531" s="28">
        <f>IF($B531="","",IF(IFERROR(INDEX(CONFIG!$L$4:$L$63,MATCH($V531,CONFIG!$K$4:$K$63,0)),"NO")="SÍ",IF(OR($Y531="",$X531=""),"Resuelta",IF($Y531&gt;$X531,"Resuelta tarde","Resuelta a tiempo")),IF($X531="","Sin clasificar",IF(TODAY()&gt;$X531,"Vencida",IF(TODAY()&gt;=$X531-1,"Por vencer","En plazo")))))</f>
        <v/>
      </c>
      <c r="AB531" s="50" t="n"/>
      <c r="AC531" s="50" t="n"/>
    </row>
    <row r="532" ht="16" customHeight="1">
      <c r="A532" s="28">
        <f>IF($B532="","","N-"&amp;TEXT(ROW()-3,"0000"))</f>
        <v/>
      </c>
      <c r="B532" s="47" t="n"/>
      <c r="C532" s="48" t="n"/>
      <c r="D532" s="48" t="n"/>
      <c r="E532" s="28">
        <f>IF($C532="","",IF($D532="",IF($C532="Interna","Sin guía (interna)","FALTA GUÍA"),IF(COUNTIFS(ENVIOS!$A$4:$A$3003,$D532)=0,"NO EXISTE",IF(COUNTIFS(ENVIOS!$A$4:$A$3003,$D532)&gt;1,"DUPLICADA","OK"))))</f>
        <v/>
      </c>
      <c r="F532" s="28">
        <f>IF($D532="","",IFERROR(INDEX(ENVIOS!$B$4:$B$3003,MATCH($D532,ENVIOS!$A$4:$A$3003,0)),"—"))</f>
        <v/>
      </c>
      <c r="G532" s="23">
        <f>IF($D532="","",IFERROR(INDEX(ENVIOS!$D$4:$D$3003,MATCH($D532,ENVIOS!$A$4:$A$3003,0)),"—"))</f>
        <v/>
      </c>
      <c r="H532" s="23">
        <f>IF($D532="","",IFERROR(INDEX(ENVIOS!$E$4:$E$3003,MATCH($D532,ENVIOS!$A$4:$A$3003,0)),"—"))</f>
        <v/>
      </c>
      <c r="I532" s="23">
        <f>IF($D532="","",IFERROR(INDEX(ENVIOS!$F$4:$F$3003,MATCH($D532,ENVIOS!$A$4:$A$3003,0)),"—"))</f>
        <v/>
      </c>
      <c r="J532" s="23">
        <f>IF($D532="","",IFERROR(INDEX(ENVIOS!$G$4:$G$3003,MATCH($D532,ENVIOS!$A$4:$A$3003,0)),"—"))</f>
        <v/>
      </c>
      <c r="K532" s="28">
        <f>IF($D532="","",IFERROR(INDEX(ENVIOS!$H$4:$H$3003,MATCH($D532,ENVIOS!$A$4:$A$3003,0)),"—"))</f>
        <v/>
      </c>
      <c r="L532" s="49">
        <f>IF($D532="","",IFERROR(INDEX(ENVIOS!$C$4:$C$3003,MATCH($D532,ENVIOS!$A$4:$A$3003,0)),""))</f>
        <v/>
      </c>
      <c r="M532" s="50" t="n"/>
      <c r="N532" s="28">
        <f>IF($M532="","",IFERROR(INDEX(CONFIG!$C$4:$C$63,MATCH($M532,CONFIG!$A$4:$A$63,0)),"Media"))</f>
        <v/>
      </c>
      <c r="O532" s="28">
        <f>IF($M532="","",IF($C532="Interna","NO",IFERROR(INDEX(CONFIG!$E$4:$E$63,MATCH($M532,CONFIG!$A$4:$A$63,0)),"NO")))</f>
        <v/>
      </c>
      <c r="P532" s="50" t="n"/>
      <c r="Q532" s="50" t="n"/>
      <c r="R532" s="28">
        <f>IF($Q532="","",IFERROR(INDEX(CONFIG!$H$4:$H$63,MATCH($Q532,CONFIG!$G$4:$G$63,0)),"Por definir"))</f>
        <v/>
      </c>
      <c r="S532" s="28">
        <f>IF($Q532="","",IFERROR(INDEX(CONFIG!$I$4:$I$63,MATCH($Q532,CONFIG!$G$4:$G$63,0)),"Por definir"))</f>
        <v/>
      </c>
      <c r="T532" s="51" t="n"/>
      <c r="U532" s="52" t="n"/>
      <c r="V532" s="50" t="n"/>
      <c r="W532" s="50" t="n"/>
      <c r="X532" s="49">
        <f>IF(OR($B532="",$M532=""),"",WORKDAY($B532,IFERROR(INDEX(CONFIG!$D$4:$D$63,MATCH($M532,CONFIG!$A$4:$A$63,0)),3)))</f>
        <v/>
      </c>
      <c r="Y532" s="47" t="n"/>
      <c r="Z532" s="24">
        <f>IF($B532="","",IF($Y532&lt;&gt;"",$Y532-$B532,TODAY()-$B532))</f>
        <v/>
      </c>
      <c r="AA532" s="28">
        <f>IF($B532="","",IF(IFERROR(INDEX(CONFIG!$L$4:$L$63,MATCH($V532,CONFIG!$K$4:$K$63,0)),"NO")="SÍ",IF(OR($Y532="",$X532=""),"Resuelta",IF($Y532&gt;$X532,"Resuelta tarde","Resuelta a tiempo")),IF($X532="","Sin clasificar",IF(TODAY()&gt;$X532,"Vencida",IF(TODAY()&gt;=$X532-1,"Por vencer","En plazo")))))</f>
        <v/>
      </c>
      <c r="AB532" s="50" t="n"/>
      <c r="AC532" s="50" t="n"/>
    </row>
    <row r="533" ht="16" customHeight="1">
      <c r="A533" s="28">
        <f>IF($B533="","","N-"&amp;TEXT(ROW()-3,"0000"))</f>
        <v/>
      </c>
      <c r="B533" s="47" t="n"/>
      <c r="C533" s="48" t="n"/>
      <c r="D533" s="48" t="n"/>
      <c r="E533" s="28">
        <f>IF($C533="","",IF($D533="",IF($C533="Interna","Sin guía (interna)","FALTA GUÍA"),IF(COUNTIFS(ENVIOS!$A$4:$A$3003,$D533)=0,"NO EXISTE",IF(COUNTIFS(ENVIOS!$A$4:$A$3003,$D533)&gt;1,"DUPLICADA","OK"))))</f>
        <v/>
      </c>
      <c r="F533" s="28">
        <f>IF($D533="","",IFERROR(INDEX(ENVIOS!$B$4:$B$3003,MATCH($D533,ENVIOS!$A$4:$A$3003,0)),"—"))</f>
        <v/>
      </c>
      <c r="G533" s="23">
        <f>IF($D533="","",IFERROR(INDEX(ENVIOS!$D$4:$D$3003,MATCH($D533,ENVIOS!$A$4:$A$3003,0)),"—"))</f>
        <v/>
      </c>
      <c r="H533" s="23">
        <f>IF($D533="","",IFERROR(INDEX(ENVIOS!$E$4:$E$3003,MATCH($D533,ENVIOS!$A$4:$A$3003,0)),"—"))</f>
        <v/>
      </c>
      <c r="I533" s="23">
        <f>IF($D533="","",IFERROR(INDEX(ENVIOS!$F$4:$F$3003,MATCH($D533,ENVIOS!$A$4:$A$3003,0)),"—"))</f>
        <v/>
      </c>
      <c r="J533" s="23">
        <f>IF($D533="","",IFERROR(INDEX(ENVIOS!$G$4:$G$3003,MATCH($D533,ENVIOS!$A$4:$A$3003,0)),"—"))</f>
        <v/>
      </c>
      <c r="K533" s="28">
        <f>IF($D533="","",IFERROR(INDEX(ENVIOS!$H$4:$H$3003,MATCH($D533,ENVIOS!$A$4:$A$3003,0)),"—"))</f>
        <v/>
      </c>
      <c r="L533" s="49">
        <f>IF($D533="","",IFERROR(INDEX(ENVIOS!$C$4:$C$3003,MATCH($D533,ENVIOS!$A$4:$A$3003,0)),""))</f>
        <v/>
      </c>
      <c r="M533" s="50" t="n"/>
      <c r="N533" s="28">
        <f>IF($M533="","",IFERROR(INDEX(CONFIG!$C$4:$C$63,MATCH($M533,CONFIG!$A$4:$A$63,0)),"Media"))</f>
        <v/>
      </c>
      <c r="O533" s="28">
        <f>IF($M533="","",IF($C533="Interna","NO",IFERROR(INDEX(CONFIG!$E$4:$E$63,MATCH($M533,CONFIG!$A$4:$A$63,0)),"NO")))</f>
        <v/>
      </c>
      <c r="P533" s="50" t="n"/>
      <c r="Q533" s="50" t="n"/>
      <c r="R533" s="28">
        <f>IF($Q533="","",IFERROR(INDEX(CONFIG!$H$4:$H$63,MATCH($Q533,CONFIG!$G$4:$G$63,0)),"Por definir"))</f>
        <v/>
      </c>
      <c r="S533" s="28">
        <f>IF($Q533="","",IFERROR(INDEX(CONFIG!$I$4:$I$63,MATCH($Q533,CONFIG!$G$4:$G$63,0)),"Por definir"))</f>
        <v/>
      </c>
      <c r="T533" s="51" t="n"/>
      <c r="U533" s="52" t="n"/>
      <c r="V533" s="50" t="n"/>
      <c r="W533" s="50" t="n"/>
      <c r="X533" s="49">
        <f>IF(OR($B533="",$M533=""),"",WORKDAY($B533,IFERROR(INDEX(CONFIG!$D$4:$D$63,MATCH($M533,CONFIG!$A$4:$A$63,0)),3)))</f>
        <v/>
      </c>
      <c r="Y533" s="47" t="n"/>
      <c r="Z533" s="24">
        <f>IF($B533="","",IF($Y533&lt;&gt;"",$Y533-$B533,TODAY()-$B533))</f>
        <v/>
      </c>
      <c r="AA533" s="28">
        <f>IF($B533="","",IF(IFERROR(INDEX(CONFIG!$L$4:$L$63,MATCH($V533,CONFIG!$K$4:$K$63,0)),"NO")="SÍ",IF(OR($Y533="",$X533=""),"Resuelta",IF($Y533&gt;$X533,"Resuelta tarde","Resuelta a tiempo")),IF($X533="","Sin clasificar",IF(TODAY()&gt;$X533,"Vencida",IF(TODAY()&gt;=$X533-1,"Por vencer","En plazo")))))</f>
        <v/>
      </c>
      <c r="AB533" s="50" t="n"/>
      <c r="AC533" s="50" t="n"/>
    </row>
    <row r="534" ht="16" customHeight="1">
      <c r="A534" s="28">
        <f>IF($B534="","","N-"&amp;TEXT(ROW()-3,"0000"))</f>
        <v/>
      </c>
      <c r="B534" s="47" t="n"/>
      <c r="C534" s="48" t="n"/>
      <c r="D534" s="48" t="n"/>
      <c r="E534" s="28">
        <f>IF($C534="","",IF($D534="",IF($C534="Interna","Sin guía (interna)","FALTA GUÍA"),IF(COUNTIFS(ENVIOS!$A$4:$A$3003,$D534)=0,"NO EXISTE",IF(COUNTIFS(ENVIOS!$A$4:$A$3003,$D534)&gt;1,"DUPLICADA","OK"))))</f>
        <v/>
      </c>
      <c r="F534" s="28">
        <f>IF($D534="","",IFERROR(INDEX(ENVIOS!$B$4:$B$3003,MATCH($D534,ENVIOS!$A$4:$A$3003,0)),"—"))</f>
        <v/>
      </c>
      <c r="G534" s="23">
        <f>IF($D534="","",IFERROR(INDEX(ENVIOS!$D$4:$D$3003,MATCH($D534,ENVIOS!$A$4:$A$3003,0)),"—"))</f>
        <v/>
      </c>
      <c r="H534" s="23">
        <f>IF($D534="","",IFERROR(INDEX(ENVIOS!$E$4:$E$3003,MATCH($D534,ENVIOS!$A$4:$A$3003,0)),"—"))</f>
        <v/>
      </c>
      <c r="I534" s="23">
        <f>IF($D534="","",IFERROR(INDEX(ENVIOS!$F$4:$F$3003,MATCH($D534,ENVIOS!$A$4:$A$3003,0)),"—"))</f>
        <v/>
      </c>
      <c r="J534" s="23">
        <f>IF($D534="","",IFERROR(INDEX(ENVIOS!$G$4:$G$3003,MATCH($D534,ENVIOS!$A$4:$A$3003,0)),"—"))</f>
        <v/>
      </c>
      <c r="K534" s="28">
        <f>IF($D534="","",IFERROR(INDEX(ENVIOS!$H$4:$H$3003,MATCH($D534,ENVIOS!$A$4:$A$3003,0)),"—"))</f>
        <v/>
      </c>
      <c r="L534" s="49">
        <f>IF($D534="","",IFERROR(INDEX(ENVIOS!$C$4:$C$3003,MATCH($D534,ENVIOS!$A$4:$A$3003,0)),""))</f>
        <v/>
      </c>
      <c r="M534" s="50" t="n"/>
      <c r="N534" s="28">
        <f>IF($M534="","",IFERROR(INDEX(CONFIG!$C$4:$C$63,MATCH($M534,CONFIG!$A$4:$A$63,0)),"Media"))</f>
        <v/>
      </c>
      <c r="O534" s="28">
        <f>IF($M534="","",IF($C534="Interna","NO",IFERROR(INDEX(CONFIG!$E$4:$E$63,MATCH($M534,CONFIG!$A$4:$A$63,0)),"NO")))</f>
        <v/>
      </c>
      <c r="P534" s="50" t="n"/>
      <c r="Q534" s="50" t="n"/>
      <c r="R534" s="28">
        <f>IF($Q534="","",IFERROR(INDEX(CONFIG!$H$4:$H$63,MATCH($Q534,CONFIG!$G$4:$G$63,0)),"Por definir"))</f>
        <v/>
      </c>
      <c r="S534" s="28">
        <f>IF($Q534="","",IFERROR(INDEX(CONFIG!$I$4:$I$63,MATCH($Q534,CONFIG!$G$4:$G$63,0)),"Por definir"))</f>
        <v/>
      </c>
      <c r="T534" s="51" t="n"/>
      <c r="U534" s="52" t="n"/>
      <c r="V534" s="50" t="n"/>
      <c r="W534" s="50" t="n"/>
      <c r="X534" s="49">
        <f>IF(OR($B534="",$M534=""),"",WORKDAY($B534,IFERROR(INDEX(CONFIG!$D$4:$D$63,MATCH($M534,CONFIG!$A$4:$A$63,0)),3)))</f>
        <v/>
      </c>
      <c r="Y534" s="47" t="n"/>
      <c r="Z534" s="24">
        <f>IF($B534="","",IF($Y534&lt;&gt;"",$Y534-$B534,TODAY()-$B534))</f>
        <v/>
      </c>
      <c r="AA534" s="28">
        <f>IF($B534="","",IF(IFERROR(INDEX(CONFIG!$L$4:$L$63,MATCH($V534,CONFIG!$K$4:$K$63,0)),"NO")="SÍ",IF(OR($Y534="",$X534=""),"Resuelta",IF($Y534&gt;$X534,"Resuelta tarde","Resuelta a tiempo")),IF($X534="","Sin clasificar",IF(TODAY()&gt;$X534,"Vencida",IF(TODAY()&gt;=$X534-1,"Por vencer","En plazo")))))</f>
        <v/>
      </c>
      <c r="AB534" s="50" t="n"/>
      <c r="AC534" s="50" t="n"/>
    </row>
    <row r="535" ht="16" customHeight="1">
      <c r="A535" s="28">
        <f>IF($B535="","","N-"&amp;TEXT(ROW()-3,"0000"))</f>
        <v/>
      </c>
      <c r="B535" s="47" t="n"/>
      <c r="C535" s="48" t="n"/>
      <c r="D535" s="48" t="n"/>
      <c r="E535" s="28">
        <f>IF($C535="","",IF($D535="",IF($C535="Interna","Sin guía (interna)","FALTA GUÍA"),IF(COUNTIFS(ENVIOS!$A$4:$A$3003,$D535)=0,"NO EXISTE",IF(COUNTIFS(ENVIOS!$A$4:$A$3003,$D535)&gt;1,"DUPLICADA","OK"))))</f>
        <v/>
      </c>
      <c r="F535" s="28">
        <f>IF($D535="","",IFERROR(INDEX(ENVIOS!$B$4:$B$3003,MATCH($D535,ENVIOS!$A$4:$A$3003,0)),"—"))</f>
        <v/>
      </c>
      <c r="G535" s="23">
        <f>IF($D535="","",IFERROR(INDEX(ENVIOS!$D$4:$D$3003,MATCH($D535,ENVIOS!$A$4:$A$3003,0)),"—"))</f>
        <v/>
      </c>
      <c r="H535" s="23">
        <f>IF($D535="","",IFERROR(INDEX(ENVIOS!$E$4:$E$3003,MATCH($D535,ENVIOS!$A$4:$A$3003,0)),"—"))</f>
        <v/>
      </c>
      <c r="I535" s="23">
        <f>IF($D535="","",IFERROR(INDEX(ENVIOS!$F$4:$F$3003,MATCH($D535,ENVIOS!$A$4:$A$3003,0)),"—"))</f>
        <v/>
      </c>
      <c r="J535" s="23">
        <f>IF($D535="","",IFERROR(INDEX(ENVIOS!$G$4:$G$3003,MATCH($D535,ENVIOS!$A$4:$A$3003,0)),"—"))</f>
        <v/>
      </c>
      <c r="K535" s="28">
        <f>IF($D535="","",IFERROR(INDEX(ENVIOS!$H$4:$H$3003,MATCH($D535,ENVIOS!$A$4:$A$3003,0)),"—"))</f>
        <v/>
      </c>
      <c r="L535" s="49">
        <f>IF($D535="","",IFERROR(INDEX(ENVIOS!$C$4:$C$3003,MATCH($D535,ENVIOS!$A$4:$A$3003,0)),""))</f>
        <v/>
      </c>
      <c r="M535" s="50" t="n"/>
      <c r="N535" s="28">
        <f>IF($M535="","",IFERROR(INDEX(CONFIG!$C$4:$C$63,MATCH($M535,CONFIG!$A$4:$A$63,0)),"Media"))</f>
        <v/>
      </c>
      <c r="O535" s="28">
        <f>IF($M535="","",IF($C535="Interna","NO",IFERROR(INDEX(CONFIG!$E$4:$E$63,MATCH($M535,CONFIG!$A$4:$A$63,0)),"NO")))</f>
        <v/>
      </c>
      <c r="P535" s="50" t="n"/>
      <c r="Q535" s="50" t="n"/>
      <c r="R535" s="28">
        <f>IF($Q535="","",IFERROR(INDEX(CONFIG!$H$4:$H$63,MATCH($Q535,CONFIG!$G$4:$G$63,0)),"Por definir"))</f>
        <v/>
      </c>
      <c r="S535" s="28">
        <f>IF($Q535="","",IFERROR(INDEX(CONFIG!$I$4:$I$63,MATCH($Q535,CONFIG!$G$4:$G$63,0)),"Por definir"))</f>
        <v/>
      </c>
      <c r="T535" s="51" t="n"/>
      <c r="U535" s="52" t="n"/>
      <c r="V535" s="50" t="n"/>
      <c r="W535" s="50" t="n"/>
      <c r="X535" s="49">
        <f>IF(OR($B535="",$M535=""),"",WORKDAY($B535,IFERROR(INDEX(CONFIG!$D$4:$D$63,MATCH($M535,CONFIG!$A$4:$A$63,0)),3)))</f>
        <v/>
      </c>
      <c r="Y535" s="47" t="n"/>
      <c r="Z535" s="24">
        <f>IF($B535="","",IF($Y535&lt;&gt;"",$Y535-$B535,TODAY()-$B535))</f>
        <v/>
      </c>
      <c r="AA535" s="28">
        <f>IF($B535="","",IF(IFERROR(INDEX(CONFIG!$L$4:$L$63,MATCH($V535,CONFIG!$K$4:$K$63,0)),"NO")="SÍ",IF(OR($Y535="",$X535=""),"Resuelta",IF($Y535&gt;$X535,"Resuelta tarde","Resuelta a tiempo")),IF($X535="","Sin clasificar",IF(TODAY()&gt;$X535,"Vencida",IF(TODAY()&gt;=$X535-1,"Por vencer","En plazo")))))</f>
        <v/>
      </c>
      <c r="AB535" s="50" t="n"/>
      <c r="AC535" s="50" t="n"/>
    </row>
    <row r="536" ht="16" customHeight="1">
      <c r="A536" s="28">
        <f>IF($B536="","","N-"&amp;TEXT(ROW()-3,"0000"))</f>
        <v/>
      </c>
      <c r="B536" s="47" t="n"/>
      <c r="C536" s="48" t="n"/>
      <c r="D536" s="48" t="n"/>
      <c r="E536" s="28">
        <f>IF($C536="","",IF($D536="",IF($C536="Interna","Sin guía (interna)","FALTA GUÍA"),IF(COUNTIFS(ENVIOS!$A$4:$A$3003,$D536)=0,"NO EXISTE",IF(COUNTIFS(ENVIOS!$A$4:$A$3003,$D536)&gt;1,"DUPLICADA","OK"))))</f>
        <v/>
      </c>
      <c r="F536" s="28">
        <f>IF($D536="","",IFERROR(INDEX(ENVIOS!$B$4:$B$3003,MATCH($D536,ENVIOS!$A$4:$A$3003,0)),"—"))</f>
        <v/>
      </c>
      <c r="G536" s="23">
        <f>IF($D536="","",IFERROR(INDEX(ENVIOS!$D$4:$D$3003,MATCH($D536,ENVIOS!$A$4:$A$3003,0)),"—"))</f>
        <v/>
      </c>
      <c r="H536" s="23">
        <f>IF($D536="","",IFERROR(INDEX(ENVIOS!$E$4:$E$3003,MATCH($D536,ENVIOS!$A$4:$A$3003,0)),"—"))</f>
        <v/>
      </c>
      <c r="I536" s="23">
        <f>IF($D536="","",IFERROR(INDEX(ENVIOS!$F$4:$F$3003,MATCH($D536,ENVIOS!$A$4:$A$3003,0)),"—"))</f>
        <v/>
      </c>
      <c r="J536" s="23">
        <f>IF($D536="","",IFERROR(INDEX(ENVIOS!$G$4:$G$3003,MATCH($D536,ENVIOS!$A$4:$A$3003,0)),"—"))</f>
        <v/>
      </c>
      <c r="K536" s="28">
        <f>IF($D536="","",IFERROR(INDEX(ENVIOS!$H$4:$H$3003,MATCH($D536,ENVIOS!$A$4:$A$3003,0)),"—"))</f>
        <v/>
      </c>
      <c r="L536" s="49">
        <f>IF($D536="","",IFERROR(INDEX(ENVIOS!$C$4:$C$3003,MATCH($D536,ENVIOS!$A$4:$A$3003,0)),""))</f>
        <v/>
      </c>
      <c r="M536" s="50" t="n"/>
      <c r="N536" s="28">
        <f>IF($M536="","",IFERROR(INDEX(CONFIG!$C$4:$C$63,MATCH($M536,CONFIG!$A$4:$A$63,0)),"Media"))</f>
        <v/>
      </c>
      <c r="O536" s="28">
        <f>IF($M536="","",IF($C536="Interna","NO",IFERROR(INDEX(CONFIG!$E$4:$E$63,MATCH($M536,CONFIG!$A$4:$A$63,0)),"NO")))</f>
        <v/>
      </c>
      <c r="P536" s="50" t="n"/>
      <c r="Q536" s="50" t="n"/>
      <c r="R536" s="28">
        <f>IF($Q536="","",IFERROR(INDEX(CONFIG!$H$4:$H$63,MATCH($Q536,CONFIG!$G$4:$G$63,0)),"Por definir"))</f>
        <v/>
      </c>
      <c r="S536" s="28">
        <f>IF($Q536="","",IFERROR(INDEX(CONFIG!$I$4:$I$63,MATCH($Q536,CONFIG!$G$4:$G$63,0)),"Por definir"))</f>
        <v/>
      </c>
      <c r="T536" s="51" t="n"/>
      <c r="U536" s="52" t="n"/>
      <c r="V536" s="50" t="n"/>
      <c r="W536" s="50" t="n"/>
      <c r="X536" s="49">
        <f>IF(OR($B536="",$M536=""),"",WORKDAY($B536,IFERROR(INDEX(CONFIG!$D$4:$D$63,MATCH($M536,CONFIG!$A$4:$A$63,0)),3)))</f>
        <v/>
      </c>
      <c r="Y536" s="47" t="n"/>
      <c r="Z536" s="24">
        <f>IF($B536="","",IF($Y536&lt;&gt;"",$Y536-$B536,TODAY()-$B536))</f>
        <v/>
      </c>
      <c r="AA536" s="28">
        <f>IF($B536="","",IF(IFERROR(INDEX(CONFIG!$L$4:$L$63,MATCH($V536,CONFIG!$K$4:$K$63,0)),"NO")="SÍ",IF(OR($Y536="",$X536=""),"Resuelta",IF($Y536&gt;$X536,"Resuelta tarde","Resuelta a tiempo")),IF($X536="","Sin clasificar",IF(TODAY()&gt;$X536,"Vencida",IF(TODAY()&gt;=$X536-1,"Por vencer","En plazo")))))</f>
        <v/>
      </c>
      <c r="AB536" s="50" t="n"/>
      <c r="AC536" s="50" t="n"/>
    </row>
    <row r="537" ht="16" customHeight="1">
      <c r="A537" s="28">
        <f>IF($B537="","","N-"&amp;TEXT(ROW()-3,"0000"))</f>
        <v/>
      </c>
      <c r="B537" s="47" t="n"/>
      <c r="C537" s="48" t="n"/>
      <c r="D537" s="48" t="n"/>
      <c r="E537" s="28">
        <f>IF($C537="","",IF($D537="",IF($C537="Interna","Sin guía (interna)","FALTA GUÍA"),IF(COUNTIFS(ENVIOS!$A$4:$A$3003,$D537)=0,"NO EXISTE",IF(COUNTIFS(ENVIOS!$A$4:$A$3003,$D537)&gt;1,"DUPLICADA","OK"))))</f>
        <v/>
      </c>
      <c r="F537" s="28">
        <f>IF($D537="","",IFERROR(INDEX(ENVIOS!$B$4:$B$3003,MATCH($D537,ENVIOS!$A$4:$A$3003,0)),"—"))</f>
        <v/>
      </c>
      <c r="G537" s="23">
        <f>IF($D537="","",IFERROR(INDEX(ENVIOS!$D$4:$D$3003,MATCH($D537,ENVIOS!$A$4:$A$3003,0)),"—"))</f>
        <v/>
      </c>
      <c r="H537" s="23">
        <f>IF($D537="","",IFERROR(INDEX(ENVIOS!$E$4:$E$3003,MATCH($D537,ENVIOS!$A$4:$A$3003,0)),"—"))</f>
        <v/>
      </c>
      <c r="I537" s="23">
        <f>IF($D537="","",IFERROR(INDEX(ENVIOS!$F$4:$F$3003,MATCH($D537,ENVIOS!$A$4:$A$3003,0)),"—"))</f>
        <v/>
      </c>
      <c r="J537" s="23">
        <f>IF($D537="","",IFERROR(INDEX(ENVIOS!$G$4:$G$3003,MATCH($D537,ENVIOS!$A$4:$A$3003,0)),"—"))</f>
        <v/>
      </c>
      <c r="K537" s="28">
        <f>IF($D537="","",IFERROR(INDEX(ENVIOS!$H$4:$H$3003,MATCH($D537,ENVIOS!$A$4:$A$3003,0)),"—"))</f>
        <v/>
      </c>
      <c r="L537" s="49">
        <f>IF($D537="","",IFERROR(INDEX(ENVIOS!$C$4:$C$3003,MATCH($D537,ENVIOS!$A$4:$A$3003,0)),""))</f>
        <v/>
      </c>
      <c r="M537" s="50" t="n"/>
      <c r="N537" s="28">
        <f>IF($M537="","",IFERROR(INDEX(CONFIG!$C$4:$C$63,MATCH($M537,CONFIG!$A$4:$A$63,0)),"Media"))</f>
        <v/>
      </c>
      <c r="O537" s="28">
        <f>IF($M537="","",IF($C537="Interna","NO",IFERROR(INDEX(CONFIG!$E$4:$E$63,MATCH($M537,CONFIG!$A$4:$A$63,0)),"NO")))</f>
        <v/>
      </c>
      <c r="P537" s="50" t="n"/>
      <c r="Q537" s="50" t="n"/>
      <c r="R537" s="28">
        <f>IF($Q537="","",IFERROR(INDEX(CONFIG!$H$4:$H$63,MATCH($Q537,CONFIG!$G$4:$G$63,0)),"Por definir"))</f>
        <v/>
      </c>
      <c r="S537" s="28">
        <f>IF($Q537="","",IFERROR(INDEX(CONFIG!$I$4:$I$63,MATCH($Q537,CONFIG!$G$4:$G$63,0)),"Por definir"))</f>
        <v/>
      </c>
      <c r="T537" s="51" t="n"/>
      <c r="U537" s="52" t="n"/>
      <c r="V537" s="50" t="n"/>
      <c r="W537" s="50" t="n"/>
      <c r="X537" s="49">
        <f>IF(OR($B537="",$M537=""),"",WORKDAY($B537,IFERROR(INDEX(CONFIG!$D$4:$D$63,MATCH($M537,CONFIG!$A$4:$A$63,0)),3)))</f>
        <v/>
      </c>
      <c r="Y537" s="47" t="n"/>
      <c r="Z537" s="24">
        <f>IF($B537="","",IF($Y537&lt;&gt;"",$Y537-$B537,TODAY()-$B537))</f>
        <v/>
      </c>
      <c r="AA537" s="28">
        <f>IF($B537="","",IF(IFERROR(INDEX(CONFIG!$L$4:$L$63,MATCH($V537,CONFIG!$K$4:$K$63,0)),"NO")="SÍ",IF(OR($Y537="",$X537=""),"Resuelta",IF($Y537&gt;$X537,"Resuelta tarde","Resuelta a tiempo")),IF($X537="","Sin clasificar",IF(TODAY()&gt;$X537,"Vencida",IF(TODAY()&gt;=$X537-1,"Por vencer","En plazo")))))</f>
        <v/>
      </c>
      <c r="AB537" s="50" t="n"/>
      <c r="AC537" s="50" t="n"/>
    </row>
    <row r="538" ht="16" customHeight="1">
      <c r="A538" s="28">
        <f>IF($B538="","","N-"&amp;TEXT(ROW()-3,"0000"))</f>
        <v/>
      </c>
      <c r="B538" s="47" t="n"/>
      <c r="C538" s="48" t="n"/>
      <c r="D538" s="48" t="n"/>
      <c r="E538" s="28">
        <f>IF($C538="","",IF($D538="",IF($C538="Interna","Sin guía (interna)","FALTA GUÍA"),IF(COUNTIFS(ENVIOS!$A$4:$A$3003,$D538)=0,"NO EXISTE",IF(COUNTIFS(ENVIOS!$A$4:$A$3003,$D538)&gt;1,"DUPLICADA","OK"))))</f>
        <v/>
      </c>
      <c r="F538" s="28">
        <f>IF($D538="","",IFERROR(INDEX(ENVIOS!$B$4:$B$3003,MATCH($D538,ENVIOS!$A$4:$A$3003,0)),"—"))</f>
        <v/>
      </c>
      <c r="G538" s="23">
        <f>IF($D538="","",IFERROR(INDEX(ENVIOS!$D$4:$D$3003,MATCH($D538,ENVIOS!$A$4:$A$3003,0)),"—"))</f>
        <v/>
      </c>
      <c r="H538" s="23">
        <f>IF($D538="","",IFERROR(INDEX(ENVIOS!$E$4:$E$3003,MATCH($D538,ENVIOS!$A$4:$A$3003,0)),"—"))</f>
        <v/>
      </c>
      <c r="I538" s="23">
        <f>IF($D538="","",IFERROR(INDEX(ENVIOS!$F$4:$F$3003,MATCH($D538,ENVIOS!$A$4:$A$3003,0)),"—"))</f>
        <v/>
      </c>
      <c r="J538" s="23">
        <f>IF($D538="","",IFERROR(INDEX(ENVIOS!$G$4:$G$3003,MATCH($D538,ENVIOS!$A$4:$A$3003,0)),"—"))</f>
        <v/>
      </c>
      <c r="K538" s="28">
        <f>IF($D538="","",IFERROR(INDEX(ENVIOS!$H$4:$H$3003,MATCH($D538,ENVIOS!$A$4:$A$3003,0)),"—"))</f>
        <v/>
      </c>
      <c r="L538" s="49">
        <f>IF($D538="","",IFERROR(INDEX(ENVIOS!$C$4:$C$3003,MATCH($D538,ENVIOS!$A$4:$A$3003,0)),""))</f>
        <v/>
      </c>
      <c r="M538" s="50" t="n"/>
      <c r="N538" s="28">
        <f>IF($M538="","",IFERROR(INDEX(CONFIG!$C$4:$C$63,MATCH($M538,CONFIG!$A$4:$A$63,0)),"Media"))</f>
        <v/>
      </c>
      <c r="O538" s="28">
        <f>IF($M538="","",IF($C538="Interna","NO",IFERROR(INDEX(CONFIG!$E$4:$E$63,MATCH($M538,CONFIG!$A$4:$A$63,0)),"NO")))</f>
        <v/>
      </c>
      <c r="P538" s="50" t="n"/>
      <c r="Q538" s="50" t="n"/>
      <c r="R538" s="28">
        <f>IF($Q538="","",IFERROR(INDEX(CONFIG!$H$4:$H$63,MATCH($Q538,CONFIG!$G$4:$G$63,0)),"Por definir"))</f>
        <v/>
      </c>
      <c r="S538" s="28">
        <f>IF($Q538="","",IFERROR(INDEX(CONFIG!$I$4:$I$63,MATCH($Q538,CONFIG!$G$4:$G$63,0)),"Por definir"))</f>
        <v/>
      </c>
      <c r="T538" s="51" t="n"/>
      <c r="U538" s="52" t="n"/>
      <c r="V538" s="50" t="n"/>
      <c r="W538" s="50" t="n"/>
      <c r="X538" s="49">
        <f>IF(OR($B538="",$M538=""),"",WORKDAY($B538,IFERROR(INDEX(CONFIG!$D$4:$D$63,MATCH($M538,CONFIG!$A$4:$A$63,0)),3)))</f>
        <v/>
      </c>
      <c r="Y538" s="47" t="n"/>
      <c r="Z538" s="24">
        <f>IF($B538="","",IF($Y538&lt;&gt;"",$Y538-$B538,TODAY()-$B538))</f>
        <v/>
      </c>
      <c r="AA538" s="28">
        <f>IF($B538="","",IF(IFERROR(INDEX(CONFIG!$L$4:$L$63,MATCH($V538,CONFIG!$K$4:$K$63,0)),"NO")="SÍ",IF(OR($Y538="",$X538=""),"Resuelta",IF($Y538&gt;$X538,"Resuelta tarde","Resuelta a tiempo")),IF($X538="","Sin clasificar",IF(TODAY()&gt;$X538,"Vencida",IF(TODAY()&gt;=$X538-1,"Por vencer","En plazo")))))</f>
        <v/>
      </c>
      <c r="AB538" s="50" t="n"/>
      <c r="AC538" s="50" t="n"/>
    </row>
    <row r="539" ht="16" customHeight="1">
      <c r="A539" s="28">
        <f>IF($B539="","","N-"&amp;TEXT(ROW()-3,"0000"))</f>
        <v/>
      </c>
      <c r="B539" s="47" t="n"/>
      <c r="C539" s="48" t="n"/>
      <c r="D539" s="48" t="n"/>
      <c r="E539" s="28">
        <f>IF($C539="","",IF($D539="",IF($C539="Interna","Sin guía (interna)","FALTA GUÍA"),IF(COUNTIFS(ENVIOS!$A$4:$A$3003,$D539)=0,"NO EXISTE",IF(COUNTIFS(ENVIOS!$A$4:$A$3003,$D539)&gt;1,"DUPLICADA","OK"))))</f>
        <v/>
      </c>
      <c r="F539" s="28">
        <f>IF($D539="","",IFERROR(INDEX(ENVIOS!$B$4:$B$3003,MATCH($D539,ENVIOS!$A$4:$A$3003,0)),"—"))</f>
        <v/>
      </c>
      <c r="G539" s="23">
        <f>IF($D539="","",IFERROR(INDEX(ENVIOS!$D$4:$D$3003,MATCH($D539,ENVIOS!$A$4:$A$3003,0)),"—"))</f>
        <v/>
      </c>
      <c r="H539" s="23">
        <f>IF($D539="","",IFERROR(INDEX(ENVIOS!$E$4:$E$3003,MATCH($D539,ENVIOS!$A$4:$A$3003,0)),"—"))</f>
        <v/>
      </c>
      <c r="I539" s="23">
        <f>IF($D539="","",IFERROR(INDEX(ENVIOS!$F$4:$F$3003,MATCH($D539,ENVIOS!$A$4:$A$3003,0)),"—"))</f>
        <v/>
      </c>
      <c r="J539" s="23">
        <f>IF($D539="","",IFERROR(INDEX(ENVIOS!$G$4:$G$3003,MATCH($D539,ENVIOS!$A$4:$A$3003,0)),"—"))</f>
        <v/>
      </c>
      <c r="K539" s="28">
        <f>IF($D539="","",IFERROR(INDEX(ENVIOS!$H$4:$H$3003,MATCH($D539,ENVIOS!$A$4:$A$3003,0)),"—"))</f>
        <v/>
      </c>
      <c r="L539" s="49">
        <f>IF($D539="","",IFERROR(INDEX(ENVIOS!$C$4:$C$3003,MATCH($D539,ENVIOS!$A$4:$A$3003,0)),""))</f>
        <v/>
      </c>
      <c r="M539" s="50" t="n"/>
      <c r="N539" s="28">
        <f>IF($M539="","",IFERROR(INDEX(CONFIG!$C$4:$C$63,MATCH($M539,CONFIG!$A$4:$A$63,0)),"Media"))</f>
        <v/>
      </c>
      <c r="O539" s="28">
        <f>IF($M539="","",IF($C539="Interna","NO",IFERROR(INDEX(CONFIG!$E$4:$E$63,MATCH($M539,CONFIG!$A$4:$A$63,0)),"NO")))</f>
        <v/>
      </c>
      <c r="P539" s="50" t="n"/>
      <c r="Q539" s="50" t="n"/>
      <c r="R539" s="28">
        <f>IF($Q539="","",IFERROR(INDEX(CONFIG!$H$4:$H$63,MATCH($Q539,CONFIG!$G$4:$G$63,0)),"Por definir"))</f>
        <v/>
      </c>
      <c r="S539" s="28">
        <f>IF($Q539="","",IFERROR(INDEX(CONFIG!$I$4:$I$63,MATCH($Q539,CONFIG!$G$4:$G$63,0)),"Por definir"))</f>
        <v/>
      </c>
      <c r="T539" s="51" t="n"/>
      <c r="U539" s="52" t="n"/>
      <c r="V539" s="50" t="n"/>
      <c r="W539" s="50" t="n"/>
      <c r="X539" s="49">
        <f>IF(OR($B539="",$M539=""),"",WORKDAY($B539,IFERROR(INDEX(CONFIG!$D$4:$D$63,MATCH($M539,CONFIG!$A$4:$A$63,0)),3)))</f>
        <v/>
      </c>
      <c r="Y539" s="47" t="n"/>
      <c r="Z539" s="24">
        <f>IF($B539="","",IF($Y539&lt;&gt;"",$Y539-$B539,TODAY()-$B539))</f>
        <v/>
      </c>
      <c r="AA539" s="28">
        <f>IF($B539="","",IF(IFERROR(INDEX(CONFIG!$L$4:$L$63,MATCH($V539,CONFIG!$K$4:$K$63,0)),"NO")="SÍ",IF(OR($Y539="",$X539=""),"Resuelta",IF($Y539&gt;$X539,"Resuelta tarde","Resuelta a tiempo")),IF($X539="","Sin clasificar",IF(TODAY()&gt;$X539,"Vencida",IF(TODAY()&gt;=$X539-1,"Por vencer","En plazo")))))</f>
        <v/>
      </c>
      <c r="AB539" s="50" t="n"/>
      <c r="AC539" s="50" t="n"/>
    </row>
    <row r="540" ht="16" customHeight="1">
      <c r="A540" s="28">
        <f>IF($B540="","","N-"&amp;TEXT(ROW()-3,"0000"))</f>
        <v/>
      </c>
      <c r="B540" s="47" t="n"/>
      <c r="C540" s="48" t="n"/>
      <c r="D540" s="48" t="n"/>
      <c r="E540" s="28">
        <f>IF($C540="","",IF($D540="",IF($C540="Interna","Sin guía (interna)","FALTA GUÍA"),IF(COUNTIFS(ENVIOS!$A$4:$A$3003,$D540)=0,"NO EXISTE",IF(COUNTIFS(ENVIOS!$A$4:$A$3003,$D540)&gt;1,"DUPLICADA","OK"))))</f>
        <v/>
      </c>
      <c r="F540" s="28">
        <f>IF($D540="","",IFERROR(INDEX(ENVIOS!$B$4:$B$3003,MATCH($D540,ENVIOS!$A$4:$A$3003,0)),"—"))</f>
        <v/>
      </c>
      <c r="G540" s="23">
        <f>IF($D540="","",IFERROR(INDEX(ENVIOS!$D$4:$D$3003,MATCH($D540,ENVIOS!$A$4:$A$3003,0)),"—"))</f>
        <v/>
      </c>
      <c r="H540" s="23">
        <f>IF($D540="","",IFERROR(INDEX(ENVIOS!$E$4:$E$3003,MATCH($D540,ENVIOS!$A$4:$A$3003,0)),"—"))</f>
        <v/>
      </c>
      <c r="I540" s="23">
        <f>IF($D540="","",IFERROR(INDEX(ENVIOS!$F$4:$F$3003,MATCH($D540,ENVIOS!$A$4:$A$3003,0)),"—"))</f>
        <v/>
      </c>
      <c r="J540" s="23">
        <f>IF($D540="","",IFERROR(INDEX(ENVIOS!$G$4:$G$3003,MATCH($D540,ENVIOS!$A$4:$A$3003,0)),"—"))</f>
        <v/>
      </c>
      <c r="K540" s="28">
        <f>IF($D540="","",IFERROR(INDEX(ENVIOS!$H$4:$H$3003,MATCH($D540,ENVIOS!$A$4:$A$3003,0)),"—"))</f>
        <v/>
      </c>
      <c r="L540" s="49">
        <f>IF($D540="","",IFERROR(INDEX(ENVIOS!$C$4:$C$3003,MATCH($D540,ENVIOS!$A$4:$A$3003,0)),""))</f>
        <v/>
      </c>
      <c r="M540" s="50" t="n"/>
      <c r="N540" s="28">
        <f>IF($M540="","",IFERROR(INDEX(CONFIG!$C$4:$C$63,MATCH($M540,CONFIG!$A$4:$A$63,0)),"Media"))</f>
        <v/>
      </c>
      <c r="O540" s="28">
        <f>IF($M540="","",IF($C540="Interna","NO",IFERROR(INDEX(CONFIG!$E$4:$E$63,MATCH($M540,CONFIG!$A$4:$A$63,0)),"NO")))</f>
        <v/>
      </c>
      <c r="P540" s="50" t="n"/>
      <c r="Q540" s="50" t="n"/>
      <c r="R540" s="28">
        <f>IF($Q540="","",IFERROR(INDEX(CONFIG!$H$4:$H$63,MATCH($Q540,CONFIG!$G$4:$G$63,0)),"Por definir"))</f>
        <v/>
      </c>
      <c r="S540" s="28">
        <f>IF($Q540="","",IFERROR(INDEX(CONFIG!$I$4:$I$63,MATCH($Q540,CONFIG!$G$4:$G$63,0)),"Por definir"))</f>
        <v/>
      </c>
      <c r="T540" s="51" t="n"/>
      <c r="U540" s="52" t="n"/>
      <c r="V540" s="50" t="n"/>
      <c r="W540" s="50" t="n"/>
      <c r="X540" s="49">
        <f>IF(OR($B540="",$M540=""),"",WORKDAY($B540,IFERROR(INDEX(CONFIG!$D$4:$D$63,MATCH($M540,CONFIG!$A$4:$A$63,0)),3)))</f>
        <v/>
      </c>
      <c r="Y540" s="47" t="n"/>
      <c r="Z540" s="24">
        <f>IF($B540="","",IF($Y540&lt;&gt;"",$Y540-$B540,TODAY()-$B540))</f>
        <v/>
      </c>
      <c r="AA540" s="28">
        <f>IF($B540="","",IF(IFERROR(INDEX(CONFIG!$L$4:$L$63,MATCH($V540,CONFIG!$K$4:$K$63,0)),"NO")="SÍ",IF(OR($Y540="",$X540=""),"Resuelta",IF($Y540&gt;$X540,"Resuelta tarde","Resuelta a tiempo")),IF($X540="","Sin clasificar",IF(TODAY()&gt;$X540,"Vencida",IF(TODAY()&gt;=$X540-1,"Por vencer","En plazo")))))</f>
        <v/>
      </c>
      <c r="AB540" s="50" t="n"/>
      <c r="AC540" s="50" t="n"/>
    </row>
    <row r="541" ht="16" customHeight="1">
      <c r="A541" s="28">
        <f>IF($B541="","","N-"&amp;TEXT(ROW()-3,"0000"))</f>
        <v/>
      </c>
      <c r="B541" s="47" t="n"/>
      <c r="C541" s="48" t="n"/>
      <c r="D541" s="48" t="n"/>
      <c r="E541" s="28">
        <f>IF($C541="","",IF($D541="",IF($C541="Interna","Sin guía (interna)","FALTA GUÍA"),IF(COUNTIFS(ENVIOS!$A$4:$A$3003,$D541)=0,"NO EXISTE",IF(COUNTIFS(ENVIOS!$A$4:$A$3003,$D541)&gt;1,"DUPLICADA","OK"))))</f>
        <v/>
      </c>
      <c r="F541" s="28">
        <f>IF($D541="","",IFERROR(INDEX(ENVIOS!$B$4:$B$3003,MATCH($D541,ENVIOS!$A$4:$A$3003,0)),"—"))</f>
        <v/>
      </c>
      <c r="G541" s="23">
        <f>IF($D541="","",IFERROR(INDEX(ENVIOS!$D$4:$D$3003,MATCH($D541,ENVIOS!$A$4:$A$3003,0)),"—"))</f>
        <v/>
      </c>
      <c r="H541" s="23">
        <f>IF($D541="","",IFERROR(INDEX(ENVIOS!$E$4:$E$3003,MATCH($D541,ENVIOS!$A$4:$A$3003,0)),"—"))</f>
        <v/>
      </c>
      <c r="I541" s="23">
        <f>IF($D541="","",IFERROR(INDEX(ENVIOS!$F$4:$F$3003,MATCH($D541,ENVIOS!$A$4:$A$3003,0)),"—"))</f>
        <v/>
      </c>
      <c r="J541" s="23">
        <f>IF($D541="","",IFERROR(INDEX(ENVIOS!$G$4:$G$3003,MATCH($D541,ENVIOS!$A$4:$A$3003,0)),"—"))</f>
        <v/>
      </c>
      <c r="K541" s="28">
        <f>IF($D541="","",IFERROR(INDEX(ENVIOS!$H$4:$H$3003,MATCH($D541,ENVIOS!$A$4:$A$3003,0)),"—"))</f>
        <v/>
      </c>
      <c r="L541" s="49">
        <f>IF($D541="","",IFERROR(INDEX(ENVIOS!$C$4:$C$3003,MATCH($D541,ENVIOS!$A$4:$A$3003,0)),""))</f>
        <v/>
      </c>
      <c r="M541" s="50" t="n"/>
      <c r="N541" s="28">
        <f>IF($M541="","",IFERROR(INDEX(CONFIG!$C$4:$C$63,MATCH($M541,CONFIG!$A$4:$A$63,0)),"Media"))</f>
        <v/>
      </c>
      <c r="O541" s="28">
        <f>IF($M541="","",IF($C541="Interna","NO",IFERROR(INDEX(CONFIG!$E$4:$E$63,MATCH($M541,CONFIG!$A$4:$A$63,0)),"NO")))</f>
        <v/>
      </c>
      <c r="P541" s="50" t="n"/>
      <c r="Q541" s="50" t="n"/>
      <c r="R541" s="28">
        <f>IF($Q541="","",IFERROR(INDEX(CONFIG!$H$4:$H$63,MATCH($Q541,CONFIG!$G$4:$G$63,0)),"Por definir"))</f>
        <v/>
      </c>
      <c r="S541" s="28">
        <f>IF($Q541="","",IFERROR(INDEX(CONFIG!$I$4:$I$63,MATCH($Q541,CONFIG!$G$4:$G$63,0)),"Por definir"))</f>
        <v/>
      </c>
      <c r="T541" s="51" t="n"/>
      <c r="U541" s="52" t="n"/>
      <c r="V541" s="50" t="n"/>
      <c r="W541" s="50" t="n"/>
      <c r="X541" s="49">
        <f>IF(OR($B541="",$M541=""),"",WORKDAY($B541,IFERROR(INDEX(CONFIG!$D$4:$D$63,MATCH($M541,CONFIG!$A$4:$A$63,0)),3)))</f>
        <v/>
      </c>
      <c r="Y541" s="47" t="n"/>
      <c r="Z541" s="24">
        <f>IF($B541="","",IF($Y541&lt;&gt;"",$Y541-$B541,TODAY()-$B541))</f>
        <v/>
      </c>
      <c r="AA541" s="28">
        <f>IF($B541="","",IF(IFERROR(INDEX(CONFIG!$L$4:$L$63,MATCH($V541,CONFIG!$K$4:$K$63,0)),"NO")="SÍ",IF(OR($Y541="",$X541=""),"Resuelta",IF($Y541&gt;$X541,"Resuelta tarde","Resuelta a tiempo")),IF($X541="","Sin clasificar",IF(TODAY()&gt;$X541,"Vencida",IF(TODAY()&gt;=$X541-1,"Por vencer","En plazo")))))</f>
        <v/>
      </c>
      <c r="AB541" s="50" t="n"/>
      <c r="AC541" s="50" t="n"/>
    </row>
    <row r="542" ht="16" customHeight="1">
      <c r="A542" s="28">
        <f>IF($B542="","","N-"&amp;TEXT(ROW()-3,"0000"))</f>
        <v/>
      </c>
      <c r="B542" s="47" t="n"/>
      <c r="C542" s="48" t="n"/>
      <c r="D542" s="48" t="n"/>
      <c r="E542" s="28">
        <f>IF($C542="","",IF($D542="",IF($C542="Interna","Sin guía (interna)","FALTA GUÍA"),IF(COUNTIFS(ENVIOS!$A$4:$A$3003,$D542)=0,"NO EXISTE",IF(COUNTIFS(ENVIOS!$A$4:$A$3003,$D542)&gt;1,"DUPLICADA","OK"))))</f>
        <v/>
      </c>
      <c r="F542" s="28">
        <f>IF($D542="","",IFERROR(INDEX(ENVIOS!$B$4:$B$3003,MATCH($D542,ENVIOS!$A$4:$A$3003,0)),"—"))</f>
        <v/>
      </c>
      <c r="G542" s="23">
        <f>IF($D542="","",IFERROR(INDEX(ENVIOS!$D$4:$D$3003,MATCH($D542,ENVIOS!$A$4:$A$3003,0)),"—"))</f>
        <v/>
      </c>
      <c r="H542" s="23">
        <f>IF($D542="","",IFERROR(INDEX(ENVIOS!$E$4:$E$3003,MATCH($D542,ENVIOS!$A$4:$A$3003,0)),"—"))</f>
        <v/>
      </c>
      <c r="I542" s="23">
        <f>IF($D542="","",IFERROR(INDEX(ENVIOS!$F$4:$F$3003,MATCH($D542,ENVIOS!$A$4:$A$3003,0)),"—"))</f>
        <v/>
      </c>
      <c r="J542" s="23">
        <f>IF($D542="","",IFERROR(INDEX(ENVIOS!$G$4:$G$3003,MATCH($D542,ENVIOS!$A$4:$A$3003,0)),"—"))</f>
        <v/>
      </c>
      <c r="K542" s="28">
        <f>IF($D542="","",IFERROR(INDEX(ENVIOS!$H$4:$H$3003,MATCH($D542,ENVIOS!$A$4:$A$3003,0)),"—"))</f>
        <v/>
      </c>
      <c r="L542" s="49">
        <f>IF($D542="","",IFERROR(INDEX(ENVIOS!$C$4:$C$3003,MATCH($D542,ENVIOS!$A$4:$A$3003,0)),""))</f>
        <v/>
      </c>
      <c r="M542" s="50" t="n"/>
      <c r="N542" s="28">
        <f>IF($M542="","",IFERROR(INDEX(CONFIG!$C$4:$C$63,MATCH($M542,CONFIG!$A$4:$A$63,0)),"Media"))</f>
        <v/>
      </c>
      <c r="O542" s="28">
        <f>IF($M542="","",IF($C542="Interna","NO",IFERROR(INDEX(CONFIG!$E$4:$E$63,MATCH($M542,CONFIG!$A$4:$A$63,0)),"NO")))</f>
        <v/>
      </c>
      <c r="P542" s="50" t="n"/>
      <c r="Q542" s="50" t="n"/>
      <c r="R542" s="28">
        <f>IF($Q542="","",IFERROR(INDEX(CONFIG!$H$4:$H$63,MATCH($Q542,CONFIG!$G$4:$G$63,0)),"Por definir"))</f>
        <v/>
      </c>
      <c r="S542" s="28">
        <f>IF($Q542="","",IFERROR(INDEX(CONFIG!$I$4:$I$63,MATCH($Q542,CONFIG!$G$4:$G$63,0)),"Por definir"))</f>
        <v/>
      </c>
      <c r="T542" s="51" t="n"/>
      <c r="U542" s="52" t="n"/>
      <c r="V542" s="50" t="n"/>
      <c r="W542" s="50" t="n"/>
      <c r="X542" s="49">
        <f>IF(OR($B542="",$M542=""),"",WORKDAY($B542,IFERROR(INDEX(CONFIG!$D$4:$D$63,MATCH($M542,CONFIG!$A$4:$A$63,0)),3)))</f>
        <v/>
      </c>
      <c r="Y542" s="47" t="n"/>
      <c r="Z542" s="24">
        <f>IF($B542="","",IF($Y542&lt;&gt;"",$Y542-$B542,TODAY()-$B542))</f>
        <v/>
      </c>
      <c r="AA542" s="28">
        <f>IF($B542="","",IF(IFERROR(INDEX(CONFIG!$L$4:$L$63,MATCH($V542,CONFIG!$K$4:$K$63,0)),"NO")="SÍ",IF(OR($Y542="",$X542=""),"Resuelta",IF($Y542&gt;$X542,"Resuelta tarde","Resuelta a tiempo")),IF($X542="","Sin clasificar",IF(TODAY()&gt;$X542,"Vencida",IF(TODAY()&gt;=$X542-1,"Por vencer","En plazo")))))</f>
        <v/>
      </c>
      <c r="AB542" s="50" t="n"/>
      <c r="AC542" s="50" t="n"/>
    </row>
    <row r="543" ht="16" customHeight="1">
      <c r="A543" s="28">
        <f>IF($B543="","","N-"&amp;TEXT(ROW()-3,"0000"))</f>
        <v/>
      </c>
      <c r="B543" s="47" t="n"/>
      <c r="C543" s="48" t="n"/>
      <c r="D543" s="48" t="n"/>
      <c r="E543" s="28">
        <f>IF($C543="","",IF($D543="",IF($C543="Interna","Sin guía (interna)","FALTA GUÍA"),IF(COUNTIFS(ENVIOS!$A$4:$A$3003,$D543)=0,"NO EXISTE",IF(COUNTIFS(ENVIOS!$A$4:$A$3003,$D543)&gt;1,"DUPLICADA","OK"))))</f>
        <v/>
      </c>
      <c r="F543" s="28">
        <f>IF($D543="","",IFERROR(INDEX(ENVIOS!$B$4:$B$3003,MATCH($D543,ENVIOS!$A$4:$A$3003,0)),"—"))</f>
        <v/>
      </c>
      <c r="G543" s="23">
        <f>IF($D543="","",IFERROR(INDEX(ENVIOS!$D$4:$D$3003,MATCH($D543,ENVIOS!$A$4:$A$3003,0)),"—"))</f>
        <v/>
      </c>
      <c r="H543" s="23">
        <f>IF($D543="","",IFERROR(INDEX(ENVIOS!$E$4:$E$3003,MATCH($D543,ENVIOS!$A$4:$A$3003,0)),"—"))</f>
        <v/>
      </c>
      <c r="I543" s="23">
        <f>IF($D543="","",IFERROR(INDEX(ENVIOS!$F$4:$F$3003,MATCH($D543,ENVIOS!$A$4:$A$3003,0)),"—"))</f>
        <v/>
      </c>
      <c r="J543" s="23">
        <f>IF($D543="","",IFERROR(INDEX(ENVIOS!$G$4:$G$3003,MATCH($D543,ENVIOS!$A$4:$A$3003,0)),"—"))</f>
        <v/>
      </c>
      <c r="K543" s="28">
        <f>IF($D543="","",IFERROR(INDEX(ENVIOS!$H$4:$H$3003,MATCH($D543,ENVIOS!$A$4:$A$3003,0)),"—"))</f>
        <v/>
      </c>
      <c r="L543" s="49">
        <f>IF($D543="","",IFERROR(INDEX(ENVIOS!$C$4:$C$3003,MATCH($D543,ENVIOS!$A$4:$A$3003,0)),""))</f>
        <v/>
      </c>
      <c r="M543" s="50" t="n"/>
      <c r="N543" s="28">
        <f>IF($M543="","",IFERROR(INDEX(CONFIG!$C$4:$C$63,MATCH($M543,CONFIG!$A$4:$A$63,0)),"Media"))</f>
        <v/>
      </c>
      <c r="O543" s="28">
        <f>IF($M543="","",IF($C543="Interna","NO",IFERROR(INDEX(CONFIG!$E$4:$E$63,MATCH($M543,CONFIG!$A$4:$A$63,0)),"NO")))</f>
        <v/>
      </c>
      <c r="P543" s="50" t="n"/>
      <c r="Q543" s="50" t="n"/>
      <c r="R543" s="28">
        <f>IF($Q543="","",IFERROR(INDEX(CONFIG!$H$4:$H$63,MATCH($Q543,CONFIG!$G$4:$G$63,0)),"Por definir"))</f>
        <v/>
      </c>
      <c r="S543" s="28">
        <f>IF($Q543="","",IFERROR(INDEX(CONFIG!$I$4:$I$63,MATCH($Q543,CONFIG!$G$4:$G$63,0)),"Por definir"))</f>
        <v/>
      </c>
      <c r="T543" s="51" t="n"/>
      <c r="U543" s="52" t="n"/>
      <c r="V543" s="50" t="n"/>
      <c r="W543" s="50" t="n"/>
      <c r="X543" s="49">
        <f>IF(OR($B543="",$M543=""),"",WORKDAY($B543,IFERROR(INDEX(CONFIG!$D$4:$D$63,MATCH($M543,CONFIG!$A$4:$A$63,0)),3)))</f>
        <v/>
      </c>
      <c r="Y543" s="47" t="n"/>
      <c r="Z543" s="24">
        <f>IF($B543="","",IF($Y543&lt;&gt;"",$Y543-$B543,TODAY()-$B543))</f>
        <v/>
      </c>
      <c r="AA543" s="28">
        <f>IF($B543="","",IF(IFERROR(INDEX(CONFIG!$L$4:$L$63,MATCH($V543,CONFIG!$K$4:$K$63,0)),"NO")="SÍ",IF(OR($Y543="",$X543=""),"Resuelta",IF($Y543&gt;$X543,"Resuelta tarde","Resuelta a tiempo")),IF($X543="","Sin clasificar",IF(TODAY()&gt;$X543,"Vencida",IF(TODAY()&gt;=$X543-1,"Por vencer","En plazo")))))</f>
        <v/>
      </c>
      <c r="AB543" s="50" t="n"/>
      <c r="AC543" s="50" t="n"/>
    </row>
    <row r="544" ht="16" customHeight="1">
      <c r="A544" s="28">
        <f>IF($B544="","","N-"&amp;TEXT(ROW()-3,"0000"))</f>
        <v/>
      </c>
      <c r="B544" s="47" t="n"/>
      <c r="C544" s="48" t="n"/>
      <c r="D544" s="48" t="n"/>
      <c r="E544" s="28">
        <f>IF($C544="","",IF($D544="",IF($C544="Interna","Sin guía (interna)","FALTA GUÍA"),IF(COUNTIFS(ENVIOS!$A$4:$A$3003,$D544)=0,"NO EXISTE",IF(COUNTIFS(ENVIOS!$A$4:$A$3003,$D544)&gt;1,"DUPLICADA","OK"))))</f>
        <v/>
      </c>
      <c r="F544" s="28">
        <f>IF($D544="","",IFERROR(INDEX(ENVIOS!$B$4:$B$3003,MATCH($D544,ENVIOS!$A$4:$A$3003,0)),"—"))</f>
        <v/>
      </c>
      <c r="G544" s="23">
        <f>IF($D544="","",IFERROR(INDEX(ENVIOS!$D$4:$D$3003,MATCH($D544,ENVIOS!$A$4:$A$3003,0)),"—"))</f>
        <v/>
      </c>
      <c r="H544" s="23">
        <f>IF($D544="","",IFERROR(INDEX(ENVIOS!$E$4:$E$3003,MATCH($D544,ENVIOS!$A$4:$A$3003,0)),"—"))</f>
        <v/>
      </c>
      <c r="I544" s="23">
        <f>IF($D544="","",IFERROR(INDEX(ENVIOS!$F$4:$F$3003,MATCH($D544,ENVIOS!$A$4:$A$3003,0)),"—"))</f>
        <v/>
      </c>
      <c r="J544" s="23">
        <f>IF($D544="","",IFERROR(INDEX(ENVIOS!$G$4:$G$3003,MATCH($D544,ENVIOS!$A$4:$A$3003,0)),"—"))</f>
        <v/>
      </c>
      <c r="K544" s="28">
        <f>IF($D544="","",IFERROR(INDEX(ENVIOS!$H$4:$H$3003,MATCH($D544,ENVIOS!$A$4:$A$3003,0)),"—"))</f>
        <v/>
      </c>
      <c r="L544" s="49">
        <f>IF($D544="","",IFERROR(INDEX(ENVIOS!$C$4:$C$3003,MATCH($D544,ENVIOS!$A$4:$A$3003,0)),""))</f>
        <v/>
      </c>
      <c r="M544" s="50" t="n"/>
      <c r="N544" s="28">
        <f>IF($M544="","",IFERROR(INDEX(CONFIG!$C$4:$C$63,MATCH($M544,CONFIG!$A$4:$A$63,0)),"Media"))</f>
        <v/>
      </c>
      <c r="O544" s="28">
        <f>IF($M544="","",IF($C544="Interna","NO",IFERROR(INDEX(CONFIG!$E$4:$E$63,MATCH($M544,CONFIG!$A$4:$A$63,0)),"NO")))</f>
        <v/>
      </c>
      <c r="P544" s="50" t="n"/>
      <c r="Q544" s="50" t="n"/>
      <c r="R544" s="28">
        <f>IF($Q544="","",IFERROR(INDEX(CONFIG!$H$4:$H$63,MATCH($Q544,CONFIG!$G$4:$G$63,0)),"Por definir"))</f>
        <v/>
      </c>
      <c r="S544" s="28">
        <f>IF($Q544="","",IFERROR(INDEX(CONFIG!$I$4:$I$63,MATCH($Q544,CONFIG!$G$4:$G$63,0)),"Por definir"))</f>
        <v/>
      </c>
      <c r="T544" s="51" t="n"/>
      <c r="U544" s="52" t="n"/>
      <c r="V544" s="50" t="n"/>
      <c r="W544" s="50" t="n"/>
      <c r="X544" s="49">
        <f>IF(OR($B544="",$M544=""),"",WORKDAY($B544,IFERROR(INDEX(CONFIG!$D$4:$D$63,MATCH($M544,CONFIG!$A$4:$A$63,0)),3)))</f>
        <v/>
      </c>
      <c r="Y544" s="47" t="n"/>
      <c r="Z544" s="24">
        <f>IF($B544="","",IF($Y544&lt;&gt;"",$Y544-$B544,TODAY()-$B544))</f>
        <v/>
      </c>
      <c r="AA544" s="28">
        <f>IF($B544="","",IF(IFERROR(INDEX(CONFIG!$L$4:$L$63,MATCH($V544,CONFIG!$K$4:$K$63,0)),"NO")="SÍ",IF(OR($Y544="",$X544=""),"Resuelta",IF($Y544&gt;$X544,"Resuelta tarde","Resuelta a tiempo")),IF($X544="","Sin clasificar",IF(TODAY()&gt;$X544,"Vencida",IF(TODAY()&gt;=$X544-1,"Por vencer","En plazo")))))</f>
        <v/>
      </c>
      <c r="AB544" s="50" t="n"/>
      <c r="AC544" s="50" t="n"/>
    </row>
    <row r="545" ht="16" customHeight="1">
      <c r="A545" s="28">
        <f>IF($B545="","","N-"&amp;TEXT(ROW()-3,"0000"))</f>
        <v/>
      </c>
      <c r="B545" s="47" t="n"/>
      <c r="C545" s="48" t="n"/>
      <c r="D545" s="48" t="n"/>
      <c r="E545" s="28">
        <f>IF($C545="","",IF($D545="",IF($C545="Interna","Sin guía (interna)","FALTA GUÍA"),IF(COUNTIFS(ENVIOS!$A$4:$A$3003,$D545)=0,"NO EXISTE",IF(COUNTIFS(ENVIOS!$A$4:$A$3003,$D545)&gt;1,"DUPLICADA","OK"))))</f>
        <v/>
      </c>
      <c r="F545" s="28">
        <f>IF($D545="","",IFERROR(INDEX(ENVIOS!$B$4:$B$3003,MATCH($D545,ENVIOS!$A$4:$A$3003,0)),"—"))</f>
        <v/>
      </c>
      <c r="G545" s="23">
        <f>IF($D545="","",IFERROR(INDEX(ENVIOS!$D$4:$D$3003,MATCH($D545,ENVIOS!$A$4:$A$3003,0)),"—"))</f>
        <v/>
      </c>
      <c r="H545" s="23">
        <f>IF($D545="","",IFERROR(INDEX(ENVIOS!$E$4:$E$3003,MATCH($D545,ENVIOS!$A$4:$A$3003,0)),"—"))</f>
        <v/>
      </c>
      <c r="I545" s="23">
        <f>IF($D545="","",IFERROR(INDEX(ENVIOS!$F$4:$F$3003,MATCH($D545,ENVIOS!$A$4:$A$3003,0)),"—"))</f>
        <v/>
      </c>
      <c r="J545" s="23">
        <f>IF($D545="","",IFERROR(INDEX(ENVIOS!$G$4:$G$3003,MATCH($D545,ENVIOS!$A$4:$A$3003,0)),"—"))</f>
        <v/>
      </c>
      <c r="K545" s="28">
        <f>IF($D545="","",IFERROR(INDEX(ENVIOS!$H$4:$H$3003,MATCH($D545,ENVIOS!$A$4:$A$3003,0)),"—"))</f>
        <v/>
      </c>
      <c r="L545" s="49">
        <f>IF($D545="","",IFERROR(INDEX(ENVIOS!$C$4:$C$3003,MATCH($D545,ENVIOS!$A$4:$A$3003,0)),""))</f>
        <v/>
      </c>
      <c r="M545" s="50" t="n"/>
      <c r="N545" s="28">
        <f>IF($M545="","",IFERROR(INDEX(CONFIG!$C$4:$C$63,MATCH($M545,CONFIG!$A$4:$A$63,0)),"Media"))</f>
        <v/>
      </c>
      <c r="O545" s="28">
        <f>IF($M545="","",IF($C545="Interna","NO",IFERROR(INDEX(CONFIG!$E$4:$E$63,MATCH($M545,CONFIG!$A$4:$A$63,0)),"NO")))</f>
        <v/>
      </c>
      <c r="P545" s="50" t="n"/>
      <c r="Q545" s="50" t="n"/>
      <c r="R545" s="28">
        <f>IF($Q545="","",IFERROR(INDEX(CONFIG!$H$4:$H$63,MATCH($Q545,CONFIG!$G$4:$G$63,0)),"Por definir"))</f>
        <v/>
      </c>
      <c r="S545" s="28">
        <f>IF($Q545="","",IFERROR(INDEX(CONFIG!$I$4:$I$63,MATCH($Q545,CONFIG!$G$4:$G$63,0)),"Por definir"))</f>
        <v/>
      </c>
      <c r="T545" s="51" t="n"/>
      <c r="U545" s="52" t="n"/>
      <c r="V545" s="50" t="n"/>
      <c r="W545" s="50" t="n"/>
      <c r="X545" s="49">
        <f>IF(OR($B545="",$M545=""),"",WORKDAY($B545,IFERROR(INDEX(CONFIG!$D$4:$D$63,MATCH($M545,CONFIG!$A$4:$A$63,0)),3)))</f>
        <v/>
      </c>
      <c r="Y545" s="47" t="n"/>
      <c r="Z545" s="24">
        <f>IF($B545="","",IF($Y545&lt;&gt;"",$Y545-$B545,TODAY()-$B545))</f>
        <v/>
      </c>
      <c r="AA545" s="28">
        <f>IF($B545="","",IF(IFERROR(INDEX(CONFIG!$L$4:$L$63,MATCH($V545,CONFIG!$K$4:$K$63,0)),"NO")="SÍ",IF(OR($Y545="",$X545=""),"Resuelta",IF($Y545&gt;$X545,"Resuelta tarde","Resuelta a tiempo")),IF($X545="","Sin clasificar",IF(TODAY()&gt;$X545,"Vencida",IF(TODAY()&gt;=$X545-1,"Por vencer","En plazo")))))</f>
        <v/>
      </c>
      <c r="AB545" s="50" t="n"/>
      <c r="AC545" s="50" t="n"/>
    </row>
    <row r="546" ht="16" customHeight="1">
      <c r="A546" s="28">
        <f>IF($B546="","","N-"&amp;TEXT(ROW()-3,"0000"))</f>
        <v/>
      </c>
      <c r="B546" s="47" t="n"/>
      <c r="C546" s="48" t="n"/>
      <c r="D546" s="48" t="n"/>
      <c r="E546" s="28">
        <f>IF($C546="","",IF($D546="",IF($C546="Interna","Sin guía (interna)","FALTA GUÍA"),IF(COUNTIFS(ENVIOS!$A$4:$A$3003,$D546)=0,"NO EXISTE",IF(COUNTIFS(ENVIOS!$A$4:$A$3003,$D546)&gt;1,"DUPLICADA","OK"))))</f>
        <v/>
      </c>
      <c r="F546" s="28">
        <f>IF($D546="","",IFERROR(INDEX(ENVIOS!$B$4:$B$3003,MATCH($D546,ENVIOS!$A$4:$A$3003,0)),"—"))</f>
        <v/>
      </c>
      <c r="G546" s="23">
        <f>IF($D546="","",IFERROR(INDEX(ENVIOS!$D$4:$D$3003,MATCH($D546,ENVIOS!$A$4:$A$3003,0)),"—"))</f>
        <v/>
      </c>
      <c r="H546" s="23">
        <f>IF($D546="","",IFERROR(INDEX(ENVIOS!$E$4:$E$3003,MATCH($D546,ENVIOS!$A$4:$A$3003,0)),"—"))</f>
        <v/>
      </c>
      <c r="I546" s="23">
        <f>IF($D546="","",IFERROR(INDEX(ENVIOS!$F$4:$F$3003,MATCH($D546,ENVIOS!$A$4:$A$3003,0)),"—"))</f>
        <v/>
      </c>
      <c r="J546" s="23">
        <f>IF($D546="","",IFERROR(INDEX(ENVIOS!$G$4:$G$3003,MATCH($D546,ENVIOS!$A$4:$A$3003,0)),"—"))</f>
        <v/>
      </c>
      <c r="K546" s="28">
        <f>IF($D546="","",IFERROR(INDEX(ENVIOS!$H$4:$H$3003,MATCH($D546,ENVIOS!$A$4:$A$3003,0)),"—"))</f>
        <v/>
      </c>
      <c r="L546" s="49">
        <f>IF($D546="","",IFERROR(INDEX(ENVIOS!$C$4:$C$3003,MATCH($D546,ENVIOS!$A$4:$A$3003,0)),""))</f>
        <v/>
      </c>
      <c r="M546" s="50" t="n"/>
      <c r="N546" s="28">
        <f>IF($M546="","",IFERROR(INDEX(CONFIG!$C$4:$C$63,MATCH($M546,CONFIG!$A$4:$A$63,0)),"Media"))</f>
        <v/>
      </c>
      <c r="O546" s="28">
        <f>IF($M546="","",IF($C546="Interna","NO",IFERROR(INDEX(CONFIG!$E$4:$E$63,MATCH($M546,CONFIG!$A$4:$A$63,0)),"NO")))</f>
        <v/>
      </c>
      <c r="P546" s="50" t="n"/>
      <c r="Q546" s="50" t="n"/>
      <c r="R546" s="28">
        <f>IF($Q546="","",IFERROR(INDEX(CONFIG!$H$4:$H$63,MATCH($Q546,CONFIG!$G$4:$G$63,0)),"Por definir"))</f>
        <v/>
      </c>
      <c r="S546" s="28">
        <f>IF($Q546="","",IFERROR(INDEX(CONFIG!$I$4:$I$63,MATCH($Q546,CONFIG!$G$4:$G$63,0)),"Por definir"))</f>
        <v/>
      </c>
      <c r="T546" s="51" t="n"/>
      <c r="U546" s="52" t="n"/>
      <c r="V546" s="50" t="n"/>
      <c r="W546" s="50" t="n"/>
      <c r="X546" s="49">
        <f>IF(OR($B546="",$M546=""),"",WORKDAY($B546,IFERROR(INDEX(CONFIG!$D$4:$D$63,MATCH($M546,CONFIG!$A$4:$A$63,0)),3)))</f>
        <v/>
      </c>
      <c r="Y546" s="47" t="n"/>
      <c r="Z546" s="24">
        <f>IF($B546="","",IF($Y546&lt;&gt;"",$Y546-$B546,TODAY()-$B546))</f>
        <v/>
      </c>
      <c r="AA546" s="28">
        <f>IF($B546="","",IF(IFERROR(INDEX(CONFIG!$L$4:$L$63,MATCH($V546,CONFIG!$K$4:$K$63,0)),"NO")="SÍ",IF(OR($Y546="",$X546=""),"Resuelta",IF($Y546&gt;$X546,"Resuelta tarde","Resuelta a tiempo")),IF($X546="","Sin clasificar",IF(TODAY()&gt;$X546,"Vencida",IF(TODAY()&gt;=$X546-1,"Por vencer","En plazo")))))</f>
        <v/>
      </c>
      <c r="AB546" s="50" t="n"/>
      <c r="AC546" s="50" t="n"/>
    </row>
    <row r="547" ht="16" customHeight="1">
      <c r="A547" s="28">
        <f>IF($B547="","","N-"&amp;TEXT(ROW()-3,"0000"))</f>
        <v/>
      </c>
      <c r="B547" s="47" t="n"/>
      <c r="C547" s="48" t="n"/>
      <c r="D547" s="48" t="n"/>
      <c r="E547" s="28">
        <f>IF($C547="","",IF($D547="",IF($C547="Interna","Sin guía (interna)","FALTA GUÍA"),IF(COUNTIFS(ENVIOS!$A$4:$A$3003,$D547)=0,"NO EXISTE",IF(COUNTIFS(ENVIOS!$A$4:$A$3003,$D547)&gt;1,"DUPLICADA","OK"))))</f>
        <v/>
      </c>
      <c r="F547" s="28">
        <f>IF($D547="","",IFERROR(INDEX(ENVIOS!$B$4:$B$3003,MATCH($D547,ENVIOS!$A$4:$A$3003,0)),"—"))</f>
        <v/>
      </c>
      <c r="G547" s="23">
        <f>IF($D547="","",IFERROR(INDEX(ENVIOS!$D$4:$D$3003,MATCH($D547,ENVIOS!$A$4:$A$3003,0)),"—"))</f>
        <v/>
      </c>
      <c r="H547" s="23">
        <f>IF($D547="","",IFERROR(INDEX(ENVIOS!$E$4:$E$3003,MATCH($D547,ENVIOS!$A$4:$A$3003,0)),"—"))</f>
        <v/>
      </c>
      <c r="I547" s="23">
        <f>IF($D547="","",IFERROR(INDEX(ENVIOS!$F$4:$F$3003,MATCH($D547,ENVIOS!$A$4:$A$3003,0)),"—"))</f>
        <v/>
      </c>
      <c r="J547" s="23">
        <f>IF($D547="","",IFERROR(INDEX(ENVIOS!$G$4:$G$3003,MATCH($D547,ENVIOS!$A$4:$A$3003,0)),"—"))</f>
        <v/>
      </c>
      <c r="K547" s="28">
        <f>IF($D547="","",IFERROR(INDEX(ENVIOS!$H$4:$H$3003,MATCH($D547,ENVIOS!$A$4:$A$3003,0)),"—"))</f>
        <v/>
      </c>
      <c r="L547" s="49">
        <f>IF($D547="","",IFERROR(INDEX(ENVIOS!$C$4:$C$3003,MATCH($D547,ENVIOS!$A$4:$A$3003,0)),""))</f>
        <v/>
      </c>
      <c r="M547" s="50" t="n"/>
      <c r="N547" s="28">
        <f>IF($M547="","",IFERROR(INDEX(CONFIG!$C$4:$C$63,MATCH($M547,CONFIG!$A$4:$A$63,0)),"Media"))</f>
        <v/>
      </c>
      <c r="O547" s="28">
        <f>IF($M547="","",IF($C547="Interna","NO",IFERROR(INDEX(CONFIG!$E$4:$E$63,MATCH($M547,CONFIG!$A$4:$A$63,0)),"NO")))</f>
        <v/>
      </c>
      <c r="P547" s="50" t="n"/>
      <c r="Q547" s="50" t="n"/>
      <c r="R547" s="28">
        <f>IF($Q547="","",IFERROR(INDEX(CONFIG!$H$4:$H$63,MATCH($Q547,CONFIG!$G$4:$G$63,0)),"Por definir"))</f>
        <v/>
      </c>
      <c r="S547" s="28">
        <f>IF($Q547="","",IFERROR(INDEX(CONFIG!$I$4:$I$63,MATCH($Q547,CONFIG!$G$4:$G$63,0)),"Por definir"))</f>
        <v/>
      </c>
      <c r="T547" s="51" t="n"/>
      <c r="U547" s="52" t="n"/>
      <c r="V547" s="50" t="n"/>
      <c r="W547" s="50" t="n"/>
      <c r="X547" s="49">
        <f>IF(OR($B547="",$M547=""),"",WORKDAY($B547,IFERROR(INDEX(CONFIG!$D$4:$D$63,MATCH($M547,CONFIG!$A$4:$A$63,0)),3)))</f>
        <v/>
      </c>
      <c r="Y547" s="47" t="n"/>
      <c r="Z547" s="24">
        <f>IF($B547="","",IF($Y547&lt;&gt;"",$Y547-$B547,TODAY()-$B547))</f>
        <v/>
      </c>
      <c r="AA547" s="28">
        <f>IF($B547="","",IF(IFERROR(INDEX(CONFIG!$L$4:$L$63,MATCH($V547,CONFIG!$K$4:$K$63,0)),"NO")="SÍ",IF(OR($Y547="",$X547=""),"Resuelta",IF($Y547&gt;$X547,"Resuelta tarde","Resuelta a tiempo")),IF($X547="","Sin clasificar",IF(TODAY()&gt;$X547,"Vencida",IF(TODAY()&gt;=$X547-1,"Por vencer","En plazo")))))</f>
        <v/>
      </c>
      <c r="AB547" s="50" t="n"/>
      <c r="AC547" s="50" t="n"/>
    </row>
    <row r="548" ht="16" customHeight="1">
      <c r="A548" s="28">
        <f>IF($B548="","","N-"&amp;TEXT(ROW()-3,"0000"))</f>
        <v/>
      </c>
      <c r="B548" s="47" t="n"/>
      <c r="C548" s="48" t="n"/>
      <c r="D548" s="48" t="n"/>
      <c r="E548" s="28">
        <f>IF($C548="","",IF($D548="",IF($C548="Interna","Sin guía (interna)","FALTA GUÍA"),IF(COUNTIFS(ENVIOS!$A$4:$A$3003,$D548)=0,"NO EXISTE",IF(COUNTIFS(ENVIOS!$A$4:$A$3003,$D548)&gt;1,"DUPLICADA","OK"))))</f>
        <v/>
      </c>
      <c r="F548" s="28">
        <f>IF($D548="","",IFERROR(INDEX(ENVIOS!$B$4:$B$3003,MATCH($D548,ENVIOS!$A$4:$A$3003,0)),"—"))</f>
        <v/>
      </c>
      <c r="G548" s="23">
        <f>IF($D548="","",IFERROR(INDEX(ENVIOS!$D$4:$D$3003,MATCH($D548,ENVIOS!$A$4:$A$3003,0)),"—"))</f>
        <v/>
      </c>
      <c r="H548" s="23">
        <f>IF($D548="","",IFERROR(INDEX(ENVIOS!$E$4:$E$3003,MATCH($D548,ENVIOS!$A$4:$A$3003,0)),"—"))</f>
        <v/>
      </c>
      <c r="I548" s="23">
        <f>IF($D548="","",IFERROR(INDEX(ENVIOS!$F$4:$F$3003,MATCH($D548,ENVIOS!$A$4:$A$3003,0)),"—"))</f>
        <v/>
      </c>
      <c r="J548" s="23">
        <f>IF($D548="","",IFERROR(INDEX(ENVIOS!$G$4:$G$3003,MATCH($D548,ENVIOS!$A$4:$A$3003,0)),"—"))</f>
        <v/>
      </c>
      <c r="K548" s="28">
        <f>IF($D548="","",IFERROR(INDEX(ENVIOS!$H$4:$H$3003,MATCH($D548,ENVIOS!$A$4:$A$3003,0)),"—"))</f>
        <v/>
      </c>
      <c r="L548" s="49">
        <f>IF($D548="","",IFERROR(INDEX(ENVIOS!$C$4:$C$3003,MATCH($D548,ENVIOS!$A$4:$A$3003,0)),""))</f>
        <v/>
      </c>
      <c r="M548" s="50" t="n"/>
      <c r="N548" s="28">
        <f>IF($M548="","",IFERROR(INDEX(CONFIG!$C$4:$C$63,MATCH($M548,CONFIG!$A$4:$A$63,0)),"Media"))</f>
        <v/>
      </c>
      <c r="O548" s="28">
        <f>IF($M548="","",IF($C548="Interna","NO",IFERROR(INDEX(CONFIG!$E$4:$E$63,MATCH($M548,CONFIG!$A$4:$A$63,0)),"NO")))</f>
        <v/>
      </c>
      <c r="P548" s="50" t="n"/>
      <c r="Q548" s="50" t="n"/>
      <c r="R548" s="28">
        <f>IF($Q548="","",IFERROR(INDEX(CONFIG!$H$4:$H$63,MATCH($Q548,CONFIG!$G$4:$G$63,0)),"Por definir"))</f>
        <v/>
      </c>
      <c r="S548" s="28">
        <f>IF($Q548="","",IFERROR(INDEX(CONFIG!$I$4:$I$63,MATCH($Q548,CONFIG!$G$4:$G$63,0)),"Por definir"))</f>
        <v/>
      </c>
      <c r="T548" s="51" t="n"/>
      <c r="U548" s="52" t="n"/>
      <c r="V548" s="50" t="n"/>
      <c r="W548" s="50" t="n"/>
      <c r="X548" s="49">
        <f>IF(OR($B548="",$M548=""),"",WORKDAY($B548,IFERROR(INDEX(CONFIG!$D$4:$D$63,MATCH($M548,CONFIG!$A$4:$A$63,0)),3)))</f>
        <v/>
      </c>
      <c r="Y548" s="47" t="n"/>
      <c r="Z548" s="24">
        <f>IF($B548="","",IF($Y548&lt;&gt;"",$Y548-$B548,TODAY()-$B548))</f>
        <v/>
      </c>
      <c r="AA548" s="28">
        <f>IF($B548="","",IF(IFERROR(INDEX(CONFIG!$L$4:$L$63,MATCH($V548,CONFIG!$K$4:$K$63,0)),"NO")="SÍ",IF(OR($Y548="",$X548=""),"Resuelta",IF($Y548&gt;$X548,"Resuelta tarde","Resuelta a tiempo")),IF($X548="","Sin clasificar",IF(TODAY()&gt;$X548,"Vencida",IF(TODAY()&gt;=$X548-1,"Por vencer","En plazo")))))</f>
        <v/>
      </c>
      <c r="AB548" s="50" t="n"/>
      <c r="AC548" s="50" t="n"/>
    </row>
    <row r="549" ht="16" customHeight="1">
      <c r="A549" s="28">
        <f>IF($B549="","","N-"&amp;TEXT(ROW()-3,"0000"))</f>
        <v/>
      </c>
      <c r="B549" s="47" t="n"/>
      <c r="C549" s="48" t="n"/>
      <c r="D549" s="48" t="n"/>
      <c r="E549" s="28">
        <f>IF($C549="","",IF($D549="",IF($C549="Interna","Sin guía (interna)","FALTA GUÍA"),IF(COUNTIFS(ENVIOS!$A$4:$A$3003,$D549)=0,"NO EXISTE",IF(COUNTIFS(ENVIOS!$A$4:$A$3003,$D549)&gt;1,"DUPLICADA","OK"))))</f>
        <v/>
      </c>
      <c r="F549" s="28">
        <f>IF($D549="","",IFERROR(INDEX(ENVIOS!$B$4:$B$3003,MATCH($D549,ENVIOS!$A$4:$A$3003,0)),"—"))</f>
        <v/>
      </c>
      <c r="G549" s="23">
        <f>IF($D549="","",IFERROR(INDEX(ENVIOS!$D$4:$D$3003,MATCH($D549,ENVIOS!$A$4:$A$3003,0)),"—"))</f>
        <v/>
      </c>
      <c r="H549" s="23">
        <f>IF($D549="","",IFERROR(INDEX(ENVIOS!$E$4:$E$3003,MATCH($D549,ENVIOS!$A$4:$A$3003,0)),"—"))</f>
        <v/>
      </c>
      <c r="I549" s="23">
        <f>IF($D549="","",IFERROR(INDEX(ENVIOS!$F$4:$F$3003,MATCH($D549,ENVIOS!$A$4:$A$3003,0)),"—"))</f>
        <v/>
      </c>
      <c r="J549" s="23">
        <f>IF($D549="","",IFERROR(INDEX(ENVIOS!$G$4:$G$3003,MATCH($D549,ENVIOS!$A$4:$A$3003,0)),"—"))</f>
        <v/>
      </c>
      <c r="K549" s="28">
        <f>IF($D549="","",IFERROR(INDEX(ENVIOS!$H$4:$H$3003,MATCH($D549,ENVIOS!$A$4:$A$3003,0)),"—"))</f>
        <v/>
      </c>
      <c r="L549" s="49">
        <f>IF($D549="","",IFERROR(INDEX(ENVIOS!$C$4:$C$3003,MATCH($D549,ENVIOS!$A$4:$A$3003,0)),""))</f>
        <v/>
      </c>
      <c r="M549" s="50" t="n"/>
      <c r="N549" s="28">
        <f>IF($M549="","",IFERROR(INDEX(CONFIG!$C$4:$C$63,MATCH($M549,CONFIG!$A$4:$A$63,0)),"Media"))</f>
        <v/>
      </c>
      <c r="O549" s="28">
        <f>IF($M549="","",IF($C549="Interna","NO",IFERROR(INDEX(CONFIG!$E$4:$E$63,MATCH($M549,CONFIG!$A$4:$A$63,0)),"NO")))</f>
        <v/>
      </c>
      <c r="P549" s="50" t="n"/>
      <c r="Q549" s="50" t="n"/>
      <c r="R549" s="28">
        <f>IF($Q549="","",IFERROR(INDEX(CONFIG!$H$4:$H$63,MATCH($Q549,CONFIG!$G$4:$G$63,0)),"Por definir"))</f>
        <v/>
      </c>
      <c r="S549" s="28">
        <f>IF($Q549="","",IFERROR(INDEX(CONFIG!$I$4:$I$63,MATCH($Q549,CONFIG!$G$4:$G$63,0)),"Por definir"))</f>
        <v/>
      </c>
      <c r="T549" s="51" t="n"/>
      <c r="U549" s="52" t="n"/>
      <c r="V549" s="50" t="n"/>
      <c r="W549" s="50" t="n"/>
      <c r="X549" s="49">
        <f>IF(OR($B549="",$M549=""),"",WORKDAY($B549,IFERROR(INDEX(CONFIG!$D$4:$D$63,MATCH($M549,CONFIG!$A$4:$A$63,0)),3)))</f>
        <v/>
      </c>
      <c r="Y549" s="47" t="n"/>
      <c r="Z549" s="24">
        <f>IF($B549="","",IF($Y549&lt;&gt;"",$Y549-$B549,TODAY()-$B549))</f>
        <v/>
      </c>
      <c r="AA549" s="28">
        <f>IF($B549="","",IF(IFERROR(INDEX(CONFIG!$L$4:$L$63,MATCH($V549,CONFIG!$K$4:$K$63,0)),"NO")="SÍ",IF(OR($Y549="",$X549=""),"Resuelta",IF($Y549&gt;$X549,"Resuelta tarde","Resuelta a tiempo")),IF($X549="","Sin clasificar",IF(TODAY()&gt;$X549,"Vencida",IF(TODAY()&gt;=$X549-1,"Por vencer","En plazo")))))</f>
        <v/>
      </c>
      <c r="AB549" s="50" t="n"/>
      <c r="AC549" s="50" t="n"/>
    </row>
    <row r="550" ht="16" customHeight="1">
      <c r="A550" s="28">
        <f>IF($B550="","","N-"&amp;TEXT(ROW()-3,"0000"))</f>
        <v/>
      </c>
      <c r="B550" s="47" t="n"/>
      <c r="C550" s="48" t="n"/>
      <c r="D550" s="48" t="n"/>
      <c r="E550" s="28">
        <f>IF($C550="","",IF($D550="",IF($C550="Interna","Sin guía (interna)","FALTA GUÍA"),IF(COUNTIFS(ENVIOS!$A$4:$A$3003,$D550)=0,"NO EXISTE",IF(COUNTIFS(ENVIOS!$A$4:$A$3003,$D550)&gt;1,"DUPLICADA","OK"))))</f>
        <v/>
      </c>
      <c r="F550" s="28">
        <f>IF($D550="","",IFERROR(INDEX(ENVIOS!$B$4:$B$3003,MATCH($D550,ENVIOS!$A$4:$A$3003,0)),"—"))</f>
        <v/>
      </c>
      <c r="G550" s="23">
        <f>IF($D550="","",IFERROR(INDEX(ENVIOS!$D$4:$D$3003,MATCH($D550,ENVIOS!$A$4:$A$3003,0)),"—"))</f>
        <v/>
      </c>
      <c r="H550" s="23">
        <f>IF($D550="","",IFERROR(INDEX(ENVIOS!$E$4:$E$3003,MATCH($D550,ENVIOS!$A$4:$A$3003,0)),"—"))</f>
        <v/>
      </c>
      <c r="I550" s="23">
        <f>IF($D550="","",IFERROR(INDEX(ENVIOS!$F$4:$F$3003,MATCH($D550,ENVIOS!$A$4:$A$3003,0)),"—"))</f>
        <v/>
      </c>
      <c r="J550" s="23">
        <f>IF($D550="","",IFERROR(INDEX(ENVIOS!$G$4:$G$3003,MATCH($D550,ENVIOS!$A$4:$A$3003,0)),"—"))</f>
        <v/>
      </c>
      <c r="K550" s="28">
        <f>IF($D550="","",IFERROR(INDEX(ENVIOS!$H$4:$H$3003,MATCH($D550,ENVIOS!$A$4:$A$3003,0)),"—"))</f>
        <v/>
      </c>
      <c r="L550" s="49">
        <f>IF($D550="","",IFERROR(INDEX(ENVIOS!$C$4:$C$3003,MATCH($D550,ENVIOS!$A$4:$A$3003,0)),""))</f>
        <v/>
      </c>
      <c r="M550" s="50" t="n"/>
      <c r="N550" s="28">
        <f>IF($M550="","",IFERROR(INDEX(CONFIG!$C$4:$C$63,MATCH($M550,CONFIG!$A$4:$A$63,0)),"Media"))</f>
        <v/>
      </c>
      <c r="O550" s="28">
        <f>IF($M550="","",IF($C550="Interna","NO",IFERROR(INDEX(CONFIG!$E$4:$E$63,MATCH($M550,CONFIG!$A$4:$A$63,0)),"NO")))</f>
        <v/>
      </c>
      <c r="P550" s="50" t="n"/>
      <c r="Q550" s="50" t="n"/>
      <c r="R550" s="28">
        <f>IF($Q550="","",IFERROR(INDEX(CONFIG!$H$4:$H$63,MATCH($Q550,CONFIG!$G$4:$G$63,0)),"Por definir"))</f>
        <v/>
      </c>
      <c r="S550" s="28">
        <f>IF($Q550="","",IFERROR(INDEX(CONFIG!$I$4:$I$63,MATCH($Q550,CONFIG!$G$4:$G$63,0)),"Por definir"))</f>
        <v/>
      </c>
      <c r="T550" s="51" t="n"/>
      <c r="U550" s="52" t="n"/>
      <c r="V550" s="50" t="n"/>
      <c r="W550" s="50" t="n"/>
      <c r="X550" s="49">
        <f>IF(OR($B550="",$M550=""),"",WORKDAY($B550,IFERROR(INDEX(CONFIG!$D$4:$D$63,MATCH($M550,CONFIG!$A$4:$A$63,0)),3)))</f>
        <v/>
      </c>
      <c r="Y550" s="47" t="n"/>
      <c r="Z550" s="24">
        <f>IF($B550="","",IF($Y550&lt;&gt;"",$Y550-$B550,TODAY()-$B550))</f>
        <v/>
      </c>
      <c r="AA550" s="28">
        <f>IF($B550="","",IF(IFERROR(INDEX(CONFIG!$L$4:$L$63,MATCH($V550,CONFIG!$K$4:$K$63,0)),"NO")="SÍ",IF(OR($Y550="",$X550=""),"Resuelta",IF($Y550&gt;$X550,"Resuelta tarde","Resuelta a tiempo")),IF($X550="","Sin clasificar",IF(TODAY()&gt;$X550,"Vencida",IF(TODAY()&gt;=$X550-1,"Por vencer","En plazo")))))</f>
        <v/>
      </c>
      <c r="AB550" s="50" t="n"/>
      <c r="AC550" s="50" t="n"/>
    </row>
    <row r="551" ht="16" customHeight="1">
      <c r="A551" s="28">
        <f>IF($B551="","","N-"&amp;TEXT(ROW()-3,"0000"))</f>
        <v/>
      </c>
      <c r="B551" s="47" t="n"/>
      <c r="C551" s="48" t="n"/>
      <c r="D551" s="48" t="n"/>
      <c r="E551" s="28">
        <f>IF($C551="","",IF($D551="",IF($C551="Interna","Sin guía (interna)","FALTA GUÍA"),IF(COUNTIFS(ENVIOS!$A$4:$A$3003,$D551)=0,"NO EXISTE",IF(COUNTIFS(ENVIOS!$A$4:$A$3003,$D551)&gt;1,"DUPLICADA","OK"))))</f>
        <v/>
      </c>
      <c r="F551" s="28">
        <f>IF($D551="","",IFERROR(INDEX(ENVIOS!$B$4:$B$3003,MATCH($D551,ENVIOS!$A$4:$A$3003,0)),"—"))</f>
        <v/>
      </c>
      <c r="G551" s="23">
        <f>IF($D551="","",IFERROR(INDEX(ENVIOS!$D$4:$D$3003,MATCH($D551,ENVIOS!$A$4:$A$3003,0)),"—"))</f>
        <v/>
      </c>
      <c r="H551" s="23">
        <f>IF($D551="","",IFERROR(INDEX(ENVIOS!$E$4:$E$3003,MATCH($D551,ENVIOS!$A$4:$A$3003,0)),"—"))</f>
        <v/>
      </c>
      <c r="I551" s="23">
        <f>IF($D551="","",IFERROR(INDEX(ENVIOS!$F$4:$F$3003,MATCH($D551,ENVIOS!$A$4:$A$3003,0)),"—"))</f>
        <v/>
      </c>
      <c r="J551" s="23">
        <f>IF($D551="","",IFERROR(INDEX(ENVIOS!$G$4:$G$3003,MATCH($D551,ENVIOS!$A$4:$A$3003,0)),"—"))</f>
        <v/>
      </c>
      <c r="K551" s="28">
        <f>IF($D551="","",IFERROR(INDEX(ENVIOS!$H$4:$H$3003,MATCH($D551,ENVIOS!$A$4:$A$3003,0)),"—"))</f>
        <v/>
      </c>
      <c r="L551" s="49">
        <f>IF($D551="","",IFERROR(INDEX(ENVIOS!$C$4:$C$3003,MATCH($D551,ENVIOS!$A$4:$A$3003,0)),""))</f>
        <v/>
      </c>
      <c r="M551" s="50" t="n"/>
      <c r="N551" s="28">
        <f>IF($M551="","",IFERROR(INDEX(CONFIG!$C$4:$C$63,MATCH($M551,CONFIG!$A$4:$A$63,0)),"Media"))</f>
        <v/>
      </c>
      <c r="O551" s="28">
        <f>IF($M551="","",IF($C551="Interna","NO",IFERROR(INDEX(CONFIG!$E$4:$E$63,MATCH($M551,CONFIG!$A$4:$A$63,0)),"NO")))</f>
        <v/>
      </c>
      <c r="P551" s="50" t="n"/>
      <c r="Q551" s="50" t="n"/>
      <c r="R551" s="28">
        <f>IF($Q551="","",IFERROR(INDEX(CONFIG!$H$4:$H$63,MATCH($Q551,CONFIG!$G$4:$G$63,0)),"Por definir"))</f>
        <v/>
      </c>
      <c r="S551" s="28">
        <f>IF($Q551="","",IFERROR(INDEX(CONFIG!$I$4:$I$63,MATCH($Q551,CONFIG!$G$4:$G$63,0)),"Por definir"))</f>
        <v/>
      </c>
      <c r="T551" s="51" t="n"/>
      <c r="U551" s="52" t="n"/>
      <c r="V551" s="50" t="n"/>
      <c r="W551" s="50" t="n"/>
      <c r="X551" s="49">
        <f>IF(OR($B551="",$M551=""),"",WORKDAY($B551,IFERROR(INDEX(CONFIG!$D$4:$D$63,MATCH($M551,CONFIG!$A$4:$A$63,0)),3)))</f>
        <v/>
      </c>
      <c r="Y551" s="47" t="n"/>
      <c r="Z551" s="24">
        <f>IF($B551="","",IF($Y551&lt;&gt;"",$Y551-$B551,TODAY()-$B551))</f>
        <v/>
      </c>
      <c r="AA551" s="28">
        <f>IF($B551="","",IF(IFERROR(INDEX(CONFIG!$L$4:$L$63,MATCH($V551,CONFIG!$K$4:$K$63,0)),"NO")="SÍ",IF(OR($Y551="",$X551=""),"Resuelta",IF($Y551&gt;$X551,"Resuelta tarde","Resuelta a tiempo")),IF($X551="","Sin clasificar",IF(TODAY()&gt;$X551,"Vencida",IF(TODAY()&gt;=$X551-1,"Por vencer","En plazo")))))</f>
        <v/>
      </c>
      <c r="AB551" s="50" t="n"/>
      <c r="AC551" s="50" t="n"/>
    </row>
    <row r="552" ht="16" customHeight="1">
      <c r="A552" s="28">
        <f>IF($B552="","","N-"&amp;TEXT(ROW()-3,"0000"))</f>
        <v/>
      </c>
      <c r="B552" s="47" t="n"/>
      <c r="C552" s="48" t="n"/>
      <c r="D552" s="48" t="n"/>
      <c r="E552" s="28">
        <f>IF($C552="","",IF($D552="",IF($C552="Interna","Sin guía (interna)","FALTA GUÍA"),IF(COUNTIFS(ENVIOS!$A$4:$A$3003,$D552)=0,"NO EXISTE",IF(COUNTIFS(ENVIOS!$A$4:$A$3003,$D552)&gt;1,"DUPLICADA","OK"))))</f>
        <v/>
      </c>
      <c r="F552" s="28">
        <f>IF($D552="","",IFERROR(INDEX(ENVIOS!$B$4:$B$3003,MATCH($D552,ENVIOS!$A$4:$A$3003,0)),"—"))</f>
        <v/>
      </c>
      <c r="G552" s="23">
        <f>IF($D552="","",IFERROR(INDEX(ENVIOS!$D$4:$D$3003,MATCH($D552,ENVIOS!$A$4:$A$3003,0)),"—"))</f>
        <v/>
      </c>
      <c r="H552" s="23">
        <f>IF($D552="","",IFERROR(INDEX(ENVIOS!$E$4:$E$3003,MATCH($D552,ENVIOS!$A$4:$A$3003,0)),"—"))</f>
        <v/>
      </c>
      <c r="I552" s="23">
        <f>IF($D552="","",IFERROR(INDEX(ENVIOS!$F$4:$F$3003,MATCH($D552,ENVIOS!$A$4:$A$3003,0)),"—"))</f>
        <v/>
      </c>
      <c r="J552" s="23">
        <f>IF($D552="","",IFERROR(INDEX(ENVIOS!$G$4:$G$3003,MATCH($D552,ENVIOS!$A$4:$A$3003,0)),"—"))</f>
        <v/>
      </c>
      <c r="K552" s="28">
        <f>IF($D552="","",IFERROR(INDEX(ENVIOS!$H$4:$H$3003,MATCH($D552,ENVIOS!$A$4:$A$3003,0)),"—"))</f>
        <v/>
      </c>
      <c r="L552" s="49">
        <f>IF($D552="","",IFERROR(INDEX(ENVIOS!$C$4:$C$3003,MATCH($D552,ENVIOS!$A$4:$A$3003,0)),""))</f>
        <v/>
      </c>
      <c r="M552" s="50" t="n"/>
      <c r="N552" s="28">
        <f>IF($M552="","",IFERROR(INDEX(CONFIG!$C$4:$C$63,MATCH($M552,CONFIG!$A$4:$A$63,0)),"Media"))</f>
        <v/>
      </c>
      <c r="O552" s="28">
        <f>IF($M552="","",IF($C552="Interna","NO",IFERROR(INDEX(CONFIG!$E$4:$E$63,MATCH($M552,CONFIG!$A$4:$A$63,0)),"NO")))</f>
        <v/>
      </c>
      <c r="P552" s="50" t="n"/>
      <c r="Q552" s="50" t="n"/>
      <c r="R552" s="28">
        <f>IF($Q552="","",IFERROR(INDEX(CONFIG!$H$4:$H$63,MATCH($Q552,CONFIG!$G$4:$G$63,0)),"Por definir"))</f>
        <v/>
      </c>
      <c r="S552" s="28">
        <f>IF($Q552="","",IFERROR(INDEX(CONFIG!$I$4:$I$63,MATCH($Q552,CONFIG!$G$4:$G$63,0)),"Por definir"))</f>
        <v/>
      </c>
      <c r="T552" s="51" t="n"/>
      <c r="U552" s="52" t="n"/>
      <c r="V552" s="50" t="n"/>
      <c r="W552" s="50" t="n"/>
      <c r="X552" s="49">
        <f>IF(OR($B552="",$M552=""),"",WORKDAY($B552,IFERROR(INDEX(CONFIG!$D$4:$D$63,MATCH($M552,CONFIG!$A$4:$A$63,0)),3)))</f>
        <v/>
      </c>
      <c r="Y552" s="47" t="n"/>
      <c r="Z552" s="24">
        <f>IF($B552="","",IF($Y552&lt;&gt;"",$Y552-$B552,TODAY()-$B552))</f>
        <v/>
      </c>
      <c r="AA552" s="28">
        <f>IF($B552="","",IF(IFERROR(INDEX(CONFIG!$L$4:$L$63,MATCH($V552,CONFIG!$K$4:$K$63,0)),"NO")="SÍ",IF(OR($Y552="",$X552=""),"Resuelta",IF($Y552&gt;$X552,"Resuelta tarde","Resuelta a tiempo")),IF($X552="","Sin clasificar",IF(TODAY()&gt;$X552,"Vencida",IF(TODAY()&gt;=$X552-1,"Por vencer","En plazo")))))</f>
        <v/>
      </c>
      <c r="AB552" s="50" t="n"/>
      <c r="AC552" s="50" t="n"/>
    </row>
    <row r="553" ht="16" customHeight="1">
      <c r="A553" s="28">
        <f>IF($B553="","","N-"&amp;TEXT(ROW()-3,"0000"))</f>
        <v/>
      </c>
      <c r="B553" s="47" t="n"/>
      <c r="C553" s="48" t="n"/>
      <c r="D553" s="48" t="n"/>
      <c r="E553" s="28">
        <f>IF($C553="","",IF($D553="",IF($C553="Interna","Sin guía (interna)","FALTA GUÍA"),IF(COUNTIFS(ENVIOS!$A$4:$A$3003,$D553)=0,"NO EXISTE",IF(COUNTIFS(ENVIOS!$A$4:$A$3003,$D553)&gt;1,"DUPLICADA","OK"))))</f>
        <v/>
      </c>
      <c r="F553" s="28">
        <f>IF($D553="","",IFERROR(INDEX(ENVIOS!$B$4:$B$3003,MATCH($D553,ENVIOS!$A$4:$A$3003,0)),"—"))</f>
        <v/>
      </c>
      <c r="G553" s="23">
        <f>IF($D553="","",IFERROR(INDEX(ENVIOS!$D$4:$D$3003,MATCH($D553,ENVIOS!$A$4:$A$3003,0)),"—"))</f>
        <v/>
      </c>
      <c r="H553" s="23">
        <f>IF($D553="","",IFERROR(INDEX(ENVIOS!$E$4:$E$3003,MATCH($D553,ENVIOS!$A$4:$A$3003,0)),"—"))</f>
        <v/>
      </c>
      <c r="I553" s="23">
        <f>IF($D553="","",IFERROR(INDEX(ENVIOS!$F$4:$F$3003,MATCH($D553,ENVIOS!$A$4:$A$3003,0)),"—"))</f>
        <v/>
      </c>
      <c r="J553" s="23">
        <f>IF($D553="","",IFERROR(INDEX(ENVIOS!$G$4:$G$3003,MATCH($D553,ENVIOS!$A$4:$A$3003,0)),"—"))</f>
        <v/>
      </c>
      <c r="K553" s="28">
        <f>IF($D553="","",IFERROR(INDEX(ENVIOS!$H$4:$H$3003,MATCH($D553,ENVIOS!$A$4:$A$3003,0)),"—"))</f>
        <v/>
      </c>
      <c r="L553" s="49">
        <f>IF($D553="","",IFERROR(INDEX(ENVIOS!$C$4:$C$3003,MATCH($D553,ENVIOS!$A$4:$A$3003,0)),""))</f>
        <v/>
      </c>
      <c r="M553" s="50" t="n"/>
      <c r="N553" s="28">
        <f>IF($M553="","",IFERROR(INDEX(CONFIG!$C$4:$C$63,MATCH($M553,CONFIG!$A$4:$A$63,0)),"Media"))</f>
        <v/>
      </c>
      <c r="O553" s="28">
        <f>IF($M553="","",IF($C553="Interna","NO",IFERROR(INDEX(CONFIG!$E$4:$E$63,MATCH($M553,CONFIG!$A$4:$A$63,0)),"NO")))</f>
        <v/>
      </c>
      <c r="P553" s="50" t="n"/>
      <c r="Q553" s="50" t="n"/>
      <c r="R553" s="28">
        <f>IF($Q553="","",IFERROR(INDEX(CONFIG!$H$4:$H$63,MATCH($Q553,CONFIG!$G$4:$G$63,0)),"Por definir"))</f>
        <v/>
      </c>
      <c r="S553" s="28">
        <f>IF($Q553="","",IFERROR(INDEX(CONFIG!$I$4:$I$63,MATCH($Q553,CONFIG!$G$4:$G$63,0)),"Por definir"))</f>
        <v/>
      </c>
      <c r="T553" s="51" t="n"/>
      <c r="U553" s="52" t="n"/>
      <c r="V553" s="50" t="n"/>
      <c r="W553" s="50" t="n"/>
      <c r="X553" s="49">
        <f>IF(OR($B553="",$M553=""),"",WORKDAY($B553,IFERROR(INDEX(CONFIG!$D$4:$D$63,MATCH($M553,CONFIG!$A$4:$A$63,0)),3)))</f>
        <v/>
      </c>
      <c r="Y553" s="47" t="n"/>
      <c r="Z553" s="24">
        <f>IF($B553="","",IF($Y553&lt;&gt;"",$Y553-$B553,TODAY()-$B553))</f>
        <v/>
      </c>
      <c r="AA553" s="28">
        <f>IF($B553="","",IF(IFERROR(INDEX(CONFIG!$L$4:$L$63,MATCH($V553,CONFIG!$K$4:$K$63,0)),"NO")="SÍ",IF(OR($Y553="",$X553=""),"Resuelta",IF($Y553&gt;$X553,"Resuelta tarde","Resuelta a tiempo")),IF($X553="","Sin clasificar",IF(TODAY()&gt;$X553,"Vencida",IF(TODAY()&gt;=$X553-1,"Por vencer","En plazo")))))</f>
        <v/>
      </c>
      <c r="AB553" s="50" t="n"/>
      <c r="AC553" s="50" t="n"/>
    </row>
    <row r="554" ht="16" customHeight="1">
      <c r="A554" s="28">
        <f>IF($B554="","","N-"&amp;TEXT(ROW()-3,"0000"))</f>
        <v/>
      </c>
      <c r="B554" s="47" t="n"/>
      <c r="C554" s="48" t="n"/>
      <c r="D554" s="48" t="n"/>
      <c r="E554" s="28">
        <f>IF($C554="","",IF($D554="",IF($C554="Interna","Sin guía (interna)","FALTA GUÍA"),IF(COUNTIFS(ENVIOS!$A$4:$A$3003,$D554)=0,"NO EXISTE",IF(COUNTIFS(ENVIOS!$A$4:$A$3003,$D554)&gt;1,"DUPLICADA","OK"))))</f>
        <v/>
      </c>
      <c r="F554" s="28">
        <f>IF($D554="","",IFERROR(INDEX(ENVIOS!$B$4:$B$3003,MATCH($D554,ENVIOS!$A$4:$A$3003,0)),"—"))</f>
        <v/>
      </c>
      <c r="G554" s="23">
        <f>IF($D554="","",IFERROR(INDEX(ENVIOS!$D$4:$D$3003,MATCH($D554,ENVIOS!$A$4:$A$3003,0)),"—"))</f>
        <v/>
      </c>
      <c r="H554" s="23">
        <f>IF($D554="","",IFERROR(INDEX(ENVIOS!$E$4:$E$3003,MATCH($D554,ENVIOS!$A$4:$A$3003,0)),"—"))</f>
        <v/>
      </c>
      <c r="I554" s="23">
        <f>IF($D554="","",IFERROR(INDEX(ENVIOS!$F$4:$F$3003,MATCH($D554,ENVIOS!$A$4:$A$3003,0)),"—"))</f>
        <v/>
      </c>
      <c r="J554" s="23">
        <f>IF($D554="","",IFERROR(INDEX(ENVIOS!$G$4:$G$3003,MATCH($D554,ENVIOS!$A$4:$A$3003,0)),"—"))</f>
        <v/>
      </c>
      <c r="K554" s="28">
        <f>IF($D554="","",IFERROR(INDEX(ENVIOS!$H$4:$H$3003,MATCH($D554,ENVIOS!$A$4:$A$3003,0)),"—"))</f>
        <v/>
      </c>
      <c r="L554" s="49">
        <f>IF($D554="","",IFERROR(INDEX(ENVIOS!$C$4:$C$3003,MATCH($D554,ENVIOS!$A$4:$A$3003,0)),""))</f>
        <v/>
      </c>
      <c r="M554" s="50" t="n"/>
      <c r="N554" s="28">
        <f>IF($M554="","",IFERROR(INDEX(CONFIG!$C$4:$C$63,MATCH($M554,CONFIG!$A$4:$A$63,0)),"Media"))</f>
        <v/>
      </c>
      <c r="O554" s="28">
        <f>IF($M554="","",IF($C554="Interna","NO",IFERROR(INDEX(CONFIG!$E$4:$E$63,MATCH($M554,CONFIG!$A$4:$A$63,0)),"NO")))</f>
        <v/>
      </c>
      <c r="P554" s="50" t="n"/>
      <c r="Q554" s="50" t="n"/>
      <c r="R554" s="28">
        <f>IF($Q554="","",IFERROR(INDEX(CONFIG!$H$4:$H$63,MATCH($Q554,CONFIG!$G$4:$G$63,0)),"Por definir"))</f>
        <v/>
      </c>
      <c r="S554" s="28">
        <f>IF($Q554="","",IFERROR(INDEX(CONFIG!$I$4:$I$63,MATCH($Q554,CONFIG!$G$4:$G$63,0)),"Por definir"))</f>
        <v/>
      </c>
      <c r="T554" s="51" t="n"/>
      <c r="U554" s="52" t="n"/>
      <c r="V554" s="50" t="n"/>
      <c r="W554" s="50" t="n"/>
      <c r="X554" s="49">
        <f>IF(OR($B554="",$M554=""),"",WORKDAY($B554,IFERROR(INDEX(CONFIG!$D$4:$D$63,MATCH($M554,CONFIG!$A$4:$A$63,0)),3)))</f>
        <v/>
      </c>
      <c r="Y554" s="47" t="n"/>
      <c r="Z554" s="24">
        <f>IF($B554="","",IF($Y554&lt;&gt;"",$Y554-$B554,TODAY()-$B554))</f>
        <v/>
      </c>
      <c r="AA554" s="28">
        <f>IF($B554="","",IF(IFERROR(INDEX(CONFIG!$L$4:$L$63,MATCH($V554,CONFIG!$K$4:$K$63,0)),"NO")="SÍ",IF(OR($Y554="",$X554=""),"Resuelta",IF($Y554&gt;$X554,"Resuelta tarde","Resuelta a tiempo")),IF($X554="","Sin clasificar",IF(TODAY()&gt;$X554,"Vencida",IF(TODAY()&gt;=$X554-1,"Por vencer","En plazo")))))</f>
        <v/>
      </c>
      <c r="AB554" s="50" t="n"/>
      <c r="AC554" s="50" t="n"/>
    </row>
    <row r="555" ht="16" customHeight="1">
      <c r="A555" s="28">
        <f>IF($B555="","","N-"&amp;TEXT(ROW()-3,"0000"))</f>
        <v/>
      </c>
      <c r="B555" s="47" t="n"/>
      <c r="C555" s="48" t="n"/>
      <c r="D555" s="48" t="n"/>
      <c r="E555" s="28">
        <f>IF($C555="","",IF($D555="",IF($C555="Interna","Sin guía (interna)","FALTA GUÍA"),IF(COUNTIFS(ENVIOS!$A$4:$A$3003,$D555)=0,"NO EXISTE",IF(COUNTIFS(ENVIOS!$A$4:$A$3003,$D555)&gt;1,"DUPLICADA","OK"))))</f>
        <v/>
      </c>
      <c r="F555" s="28">
        <f>IF($D555="","",IFERROR(INDEX(ENVIOS!$B$4:$B$3003,MATCH($D555,ENVIOS!$A$4:$A$3003,0)),"—"))</f>
        <v/>
      </c>
      <c r="G555" s="23">
        <f>IF($D555="","",IFERROR(INDEX(ENVIOS!$D$4:$D$3003,MATCH($D555,ENVIOS!$A$4:$A$3003,0)),"—"))</f>
        <v/>
      </c>
      <c r="H555" s="23">
        <f>IF($D555="","",IFERROR(INDEX(ENVIOS!$E$4:$E$3003,MATCH($D555,ENVIOS!$A$4:$A$3003,0)),"—"))</f>
        <v/>
      </c>
      <c r="I555" s="23">
        <f>IF($D555="","",IFERROR(INDEX(ENVIOS!$F$4:$F$3003,MATCH($D555,ENVIOS!$A$4:$A$3003,0)),"—"))</f>
        <v/>
      </c>
      <c r="J555" s="23">
        <f>IF($D555="","",IFERROR(INDEX(ENVIOS!$G$4:$G$3003,MATCH($D555,ENVIOS!$A$4:$A$3003,0)),"—"))</f>
        <v/>
      </c>
      <c r="K555" s="28">
        <f>IF($D555="","",IFERROR(INDEX(ENVIOS!$H$4:$H$3003,MATCH($D555,ENVIOS!$A$4:$A$3003,0)),"—"))</f>
        <v/>
      </c>
      <c r="L555" s="49">
        <f>IF($D555="","",IFERROR(INDEX(ENVIOS!$C$4:$C$3003,MATCH($D555,ENVIOS!$A$4:$A$3003,0)),""))</f>
        <v/>
      </c>
      <c r="M555" s="50" t="n"/>
      <c r="N555" s="28">
        <f>IF($M555="","",IFERROR(INDEX(CONFIG!$C$4:$C$63,MATCH($M555,CONFIG!$A$4:$A$63,0)),"Media"))</f>
        <v/>
      </c>
      <c r="O555" s="28">
        <f>IF($M555="","",IF($C555="Interna","NO",IFERROR(INDEX(CONFIG!$E$4:$E$63,MATCH($M555,CONFIG!$A$4:$A$63,0)),"NO")))</f>
        <v/>
      </c>
      <c r="P555" s="50" t="n"/>
      <c r="Q555" s="50" t="n"/>
      <c r="R555" s="28">
        <f>IF($Q555="","",IFERROR(INDEX(CONFIG!$H$4:$H$63,MATCH($Q555,CONFIG!$G$4:$G$63,0)),"Por definir"))</f>
        <v/>
      </c>
      <c r="S555" s="28">
        <f>IF($Q555="","",IFERROR(INDEX(CONFIG!$I$4:$I$63,MATCH($Q555,CONFIG!$G$4:$G$63,0)),"Por definir"))</f>
        <v/>
      </c>
      <c r="T555" s="51" t="n"/>
      <c r="U555" s="52" t="n"/>
      <c r="V555" s="50" t="n"/>
      <c r="W555" s="50" t="n"/>
      <c r="X555" s="49">
        <f>IF(OR($B555="",$M555=""),"",WORKDAY($B555,IFERROR(INDEX(CONFIG!$D$4:$D$63,MATCH($M555,CONFIG!$A$4:$A$63,0)),3)))</f>
        <v/>
      </c>
      <c r="Y555" s="47" t="n"/>
      <c r="Z555" s="24">
        <f>IF($B555="","",IF($Y555&lt;&gt;"",$Y555-$B555,TODAY()-$B555))</f>
        <v/>
      </c>
      <c r="AA555" s="28">
        <f>IF($B555="","",IF(IFERROR(INDEX(CONFIG!$L$4:$L$63,MATCH($V555,CONFIG!$K$4:$K$63,0)),"NO")="SÍ",IF(OR($Y555="",$X555=""),"Resuelta",IF($Y555&gt;$X555,"Resuelta tarde","Resuelta a tiempo")),IF($X555="","Sin clasificar",IF(TODAY()&gt;$X555,"Vencida",IF(TODAY()&gt;=$X555-1,"Por vencer","En plazo")))))</f>
        <v/>
      </c>
      <c r="AB555" s="50" t="n"/>
      <c r="AC555" s="50" t="n"/>
    </row>
    <row r="556" ht="16" customHeight="1">
      <c r="A556" s="28">
        <f>IF($B556="","","N-"&amp;TEXT(ROW()-3,"0000"))</f>
        <v/>
      </c>
      <c r="B556" s="47" t="n"/>
      <c r="C556" s="48" t="n"/>
      <c r="D556" s="48" t="n"/>
      <c r="E556" s="28">
        <f>IF($C556="","",IF($D556="",IF($C556="Interna","Sin guía (interna)","FALTA GUÍA"),IF(COUNTIFS(ENVIOS!$A$4:$A$3003,$D556)=0,"NO EXISTE",IF(COUNTIFS(ENVIOS!$A$4:$A$3003,$D556)&gt;1,"DUPLICADA","OK"))))</f>
        <v/>
      </c>
      <c r="F556" s="28">
        <f>IF($D556="","",IFERROR(INDEX(ENVIOS!$B$4:$B$3003,MATCH($D556,ENVIOS!$A$4:$A$3003,0)),"—"))</f>
        <v/>
      </c>
      <c r="G556" s="23">
        <f>IF($D556="","",IFERROR(INDEX(ENVIOS!$D$4:$D$3003,MATCH($D556,ENVIOS!$A$4:$A$3003,0)),"—"))</f>
        <v/>
      </c>
      <c r="H556" s="23">
        <f>IF($D556="","",IFERROR(INDEX(ENVIOS!$E$4:$E$3003,MATCH($D556,ENVIOS!$A$4:$A$3003,0)),"—"))</f>
        <v/>
      </c>
      <c r="I556" s="23">
        <f>IF($D556="","",IFERROR(INDEX(ENVIOS!$F$4:$F$3003,MATCH($D556,ENVIOS!$A$4:$A$3003,0)),"—"))</f>
        <v/>
      </c>
      <c r="J556" s="23">
        <f>IF($D556="","",IFERROR(INDEX(ENVIOS!$G$4:$G$3003,MATCH($D556,ENVIOS!$A$4:$A$3003,0)),"—"))</f>
        <v/>
      </c>
      <c r="K556" s="28">
        <f>IF($D556="","",IFERROR(INDEX(ENVIOS!$H$4:$H$3003,MATCH($D556,ENVIOS!$A$4:$A$3003,0)),"—"))</f>
        <v/>
      </c>
      <c r="L556" s="49">
        <f>IF($D556="","",IFERROR(INDEX(ENVIOS!$C$4:$C$3003,MATCH($D556,ENVIOS!$A$4:$A$3003,0)),""))</f>
        <v/>
      </c>
      <c r="M556" s="50" t="n"/>
      <c r="N556" s="28">
        <f>IF($M556="","",IFERROR(INDEX(CONFIG!$C$4:$C$63,MATCH($M556,CONFIG!$A$4:$A$63,0)),"Media"))</f>
        <v/>
      </c>
      <c r="O556" s="28">
        <f>IF($M556="","",IF($C556="Interna","NO",IFERROR(INDEX(CONFIG!$E$4:$E$63,MATCH($M556,CONFIG!$A$4:$A$63,0)),"NO")))</f>
        <v/>
      </c>
      <c r="P556" s="50" t="n"/>
      <c r="Q556" s="50" t="n"/>
      <c r="R556" s="28">
        <f>IF($Q556="","",IFERROR(INDEX(CONFIG!$H$4:$H$63,MATCH($Q556,CONFIG!$G$4:$G$63,0)),"Por definir"))</f>
        <v/>
      </c>
      <c r="S556" s="28">
        <f>IF($Q556="","",IFERROR(INDEX(CONFIG!$I$4:$I$63,MATCH($Q556,CONFIG!$G$4:$G$63,0)),"Por definir"))</f>
        <v/>
      </c>
      <c r="T556" s="51" t="n"/>
      <c r="U556" s="52" t="n"/>
      <c r="V556" s="50" t="n"/>
      <c r="W556" s="50" t="n"/>
      <c r="X556" s="49">
        <f>IF(OR($B556="",$M556=""),"",WORKDAY($B556,IFERROR(INDEX(CONFIG!$D$4:$D$63,MATCH($M556,CONFIG!$A$4:$A$63,0)),3)))</f>
        <v/>
      </c>
      <c r="Y556" s="47" t="n"/>
      <c r="Z556" s="24">
        <f>IF($B556="","",IF($Y556&lt;&gt;"",$Y556-$B556,TODAY()-$B556))</f>
        <v/>
      </c>
      <c r="AA556" s="28">
        <f>IF($B556="","",IF(IFERROR(INDEX(CONFIG!$L$4:$L$63,MATCH($V556,CONFIG!$K$4:$K$63,0)),"NO")="SÍ",IF(OR($Y556="",$X556=""),"Resuelta",IF($Y556&gt;$X556,"Resuelta tarde","Resuelta a tiempo")),IF($X556="","Sin clasificar",IF(TODAY()&gt;$X556,"Vencida",IF(TODAY()&gt;=$X556-1,"Por vencer","En plazo")))))</f>
        <v/>
      </c>
      <c r="AB556" s="50" t="n"/>
      <c r="AC556" s="50" t="n"/>
    </row>
    <row r="557" ht="16" customHeight="1">
      <c r="A557" s="28">
        <f>IF($B557="","","N-"&amp;TEXT(ROW()-3,"0000"))</f>
        <v/>
      </c>
      <c r="B557" s="47" t="n"/>
      <c r="C557" s="48" t="n"/>
      <c r="D557" s="48" t="n"/>
      <c r="E557" s="28">
        <f>IF($C557="","",IF($D557="",IF($C557="Interna","Sin guía (interna)","FALTA GUÍA"),IF(COUNTIFS(ENVIOS!$A$4:$A$3003,$D557)=0,"NO EXISTE",IF(COUNTIFS(ENVIOS!$A$4:$A$3003,$D557)&gt;1,"DUPLICADA","OK"))))</f>
        <v/>
      </c>
      <c r="F557" s="28">
        <f>IF($D557="","",IFERROR(INDEX(ENVIOS!$B$4:$B$3003,MATCH($D557,ENVIOS!$A$4:$A$3003,0)),"—"))</f>
        <v/>
      </c>
      <c r="G557" s="23">
        <f>IF($D557="","",IFERROR(INDEX(ENVIOS!$D$4:$D$3003,MATCH($D557,ENVIOS!$A$4:$A$3003,0)),"—"))</f>
        <v/>
      </c>
      <c r="H557" s="23">
        <f>IF($D557="","",IFERROR(INDEX(ENVIOS!$E$4:$E$3003,MATCH($D557,ENVIOS!$A$4:$A$3003,0)),"—"))</f>
        <v/>
      </c>
      <c r="I557" s="23">
        <f>IF($D557="","",IFERROR(INDEX(ENVIOS!$F$4:$F$3003,MATCH($D557,ENVIOS!$A$4:$A$3003,0)),"—"))</f>
        <v/>
      </c>
      <c r="J557" s="23">
        <f>IF($D557="","",IFERROR(INDEX(ENVIOS!$G$4:$G$3003,MATCH($D557,ENVIOS!$A$4:$A$3003,0)),"—"))</f>
        <v/>
      </c>
      <c r="K557" s="28">
        <f>IF($D557="","",IFERROR(INDEX(ENVIOS!$H$4:$H$3003,MATCH($D557,ENVIOS!$A$4:$A$3003,0)),"—"))</f>
        <v/>
      </c>
      <c r="L557" s="49">
        <f>IF($D557="","",IFERROR(INDEX(ENVIOS!$C$4:$C$3003,MATCH($D557,ENVIOS!$A$4:$A$3003,0)),""))</f>
        <v/>
      </c>
      <c r="M557" s="50" t="n"/>
      <c r="N557" s="28">
        <f>IF($M557="","",IFERROR(INDEX(CONFIG!$C$4:$C$63,MATCH($M557,CONFIG!$A$4:$A$63,0)),"Media"))</f>
        <v/>
      </c>
      <c r="O557" s="28">
        <f>IF($M557="","",IF($C557="Interna","NO",IFERROR(INDEX(CONFIG!$E$4:$E$63,MATCH($M557,CONFIG!$A$4:$A$63,0)),"NO")))</f>
        <v/>
      </c>
      <c r="P557" s="50" t="n"/>
      <c r="Q557" s="50" t="n"/>
      <c r="R557" s="28">
        <f>IF($Q557="","",IFERROR(INDEX(CONFIG!$H$4:$H$63,MATCH($Q557,CONFIG!$G$4:$G$63,0)),"Por definir"))</f>
        <v/>
      </c>
      <c r="S557" s="28">
        <f>IF($Q557="","",IFERROR(INDEX(CONFIG!$I$4:$I$63,MATCH($Q557,CONFIG!$G$4:$G$63,0)),"Por definir"))</f>
        <v/>
      </c>
      <c r="T557" s="51" t="n"/>
      <c r="U557" s="52" t="n"/>
      <c r="V557" s="50" t="n"/>
      <c r="W557" s="50" t="n"/>
      <c r="X557" s="49">
        <f>IF(OR($B557="",$M557=""),"",WORKDAY($B557,IFERROR(INDEX(CONFIG!$D$4:$D$63,MATCH($M557,CONFIG!$A$4:$A$63,0)),3)))</f>
        <v/>
      </c>
      <c r="Y557" s="47" t="n"/>
      <c r="Z557" s="24">
        <f>IF($B557="","",IF($Y557&lt;&gt;"",$Y557-$B557,TODAY()-$B557))</f>
        <v/>
      </c>
      <c r="AA557" s="28">
        <f>IF($B557="","",IF(IFERROR(INDEX(CONFIG!$L$4:$L$63,MATCH($V557,CONFIG!$K$4:$K$63,0)),"NO")="SÍ",IF(OR($Y557="",$X557=""),"Resuelta",IF($Y557&gt;$X557,"Resuelta tarde","Resuelta a tiempo")),IF($X557="","Sin clasificar",IF(TODAY()&gt;$X557,"Vencida",IF(TODAY()&gt;=$X557-1,"Por vencer","En plazo")))))</f>
        <v/>
      </c>
      <c r="AB557" s="50" t="n"/>
      <c r="AC557" s="50" t="n"/>
    </row>
    <row r="558" ht="16" customHeight="1">
      <c r="A558" s="28">
        <f>IF($B558="","","N-"&amp;TEXT(ROW()-3,"0000"))</f>
        <v/>
      </c>
      <c r="B558" s="47" t="n"/>
      <c r="C558" s="48" t="n"/>
      <c r="D558" s="48" t="n"/>
      <c r="E558" s="28">
        <f>IF($C558="","",IF($D558="",IF($C558="Interna","Sin guía (interna)","FALTA GUÍA"),IF(COUNTIFS(ENVIOS!$A$4:$A$3003,$D558)=0,"NO EXISTE",IF(COUNTIFS(ENVIOS!$A$4:$A$3003,$D558)&gt;1,"DUPLICADA","OK"))))</f>
        <v/>
      </c>
      <c r="F558" s="28">
        <f>IF($D558="","",IFERROR(INDEX(ENVIOS!$B$4:$B$3003,MATCH($D558,ENVIOS!$A$4:$A$3003,0)),"—"))</f>
        <v/>
      </c>
      <c r="G558" s="23">
        <f>IF($D558="","",IFERROR(INDEX(ENVIOS!$D$4:$D$3003,MATCH($D558,ENVIOS!$A$4:$A$3003,0)),"—"))</f>
        <v/>
      </c>
      <c r="H558" s="23">
        <f>IF($D558="","",IFERROR(INDEX(ENVIOS!$E$4:$E$3003,MATCH($D558,ENVIOS!$A$4:$A$3003,0)),"—"))</f>
        <v/>
      </c>
      <c r="I558" s="23">
        <f>IF($D558="","",IFERROR(INDEX(ENVIOS!$F$4:$F$3003,MATCH($D558,ENVIOS!$A$4:$A$3003,0)),"—"))</f>
        <v/>
      </c>
      <c r="J558" s="23">
        <f>IF($D558="","",IFERROR(INDEX(ENVIOS!$G$4:$G$3003,MATCH($D558,ENVIOS!$A$4:$A$3003,0)),"—"))</f>
        <v/>
      </c>
      <c r="K558" s="28">
        <f>IF($D558="","",IFERROR(INDEX(ENVIOS!$H$4:$H$3003,MATCH($D558,ENVIOS!$A$4:$A$3003,0)),"—"))</f>
        <v/>
      </c>
      <c r="L558" s="49">
        <f>IF($D558="","",IFERROR(INDEX(ENVIOS!$C$4:$C$3003,MATCH($D558,ENVIOS!$A$4:$A$3003,0)),""))</f>
        <v/>
      </c>
      <c r="M558" s="50" t="n"/>
      <c r="N558" s="28">
        <f>IF($M558="","",IFERROR(INDEX(CONFIG!$C$4:$C$63,MATCH($M558,CONFIG!$A$4:$A$63,0)),"Media"))</f>
        <v/>
      </c>
      <c r="O558" s="28">
        <f>IF($M558="","",IF($C558="Interna","NO",IFERROR(INDEX(CONFIG!$E$4:$E$63,MATCH($M558,CONFIG!$A$4:$A$63,0)),"NO")))</f>
        <v/>
      </c>
      <c r="P558" s="50" t="n"/>
      <c r="Q558" s="50" t="n"/>
      <c r="R558" s="28">
        <f>IF($Q558="","",IFERROR(INDEX(CONFIG!$H$4:$H$63,MATCH($Q558,CONFIG!$G$4:$G$63,0)),"Por definir"))</f>
        <v/>
      </c>
      <c r="S558" s="28">
        <f>IF($Q558="","",IFERROR(INDEX(CONFIG!$I$4:$I$63,MATCH($Q558,CONFIG!$G$4:$G$63,0)),"Por definir"))</f>
        <v/>
      </c>
      <c r="T558" s="51" t="n"/>
      <c r="U558" s="52" t="n"/>
      <c r="V558" s="50" t="n"/>
      <c r="W558" s="50" t="n"/>
      <c r="X558" s="49">
        <f>IF(OR($B558="",$M558=""),"",WORKDAY($B558,IFERROR(INDEX(CONFIG!$D$4:$D$63,MATCH($M558,CONFIG!$A$4:$A$63,0)),3)))</f>
        <v/>
      </c>
      <c r="Y558" s="47" t="n"/>
      <c r="Z558" s="24">
        <f>IF($B558="","",IF($Y558&lt;&gt;"",$Y558-$B558,TODAY()-$B558))</f>
        <v/>
      </c>
      <c r="AA558" s="28">
        <f>IF($B558="","",IF(IFERROR(INDEX(CONFIG!$L$4:$L$63,MATCH($V558,CONFIG!$K$4:$K$63,0)),"NO")="SÍ",IF(OR($Y558="",$X558=""),"Resuelta",IF($Y558&gt;$X558,"Resuelta tarde","Resuelta a tiempo")),IF($X558="","Sin clasificar",IF(TODAY()&gt;$X558,"Vencida",IF(TODAY()&gt;=$X558-1,"Por vencer","En plazo")))))</f>
        <v/>
      </c>
      <c r="AB558" s="50" t="n"/>
      <c r="AC558" s="50" t="n"/>
    </row>
    <row r="559" ht="16" customHeight="1">
      <c r="A559" s="28">
        <f>IF($B559="","","N-"&amp;TEXT(ROW()-3,"0000"))</f>
        <v/>
      </c>
      <c r="B559" s="47" t="n"/>
      <c r="C559" s="48" t="n"/>
      <c r="D559" s="48" t="n"/>
      <c r="E559" s="28">
        <f>IF($C559="","",IF($D559="",IF($C559="Interna","Sin guía (interna)","FALTA GUÍA"),IF(COUNTIFS(ENVIOS!$A$4:$A$3003,$D559)=0,"NO EXISTE",IF(COUNTIFS(ENVIOS!$A$4:$A$3003,$D559)&gt;1,"DUPLICADA","OK"))))</f>
        <v/>
      </c>
      <c r="F559" s="28">
        <f>IF($D559="","",IFERROR(INDEX(ENVIOS!$B$4:$B$3003,MATCH($D559,ENVIOS!$A$4:$A$3003,0)),"—"))</f>
        <v/>
      </c>
      <c r="G559" s="23">
        <f>IF($D559="","",IFERROR(INDEX(ENVIOS!$D$4:$D$3003,MATCH($D559,ENVIOS!$A$4:$A$3003,0)),"—"))</f>
        <v/>
      </c>
      <c r="H559" s="23">
        <f>IF($D559="","",IFERROR(INDEX(ENVIOS!$E$4:$E$3003,MATCH($D559,ENVIOS!$A$4:$A$3003,0)),"—"))</f>
        <v/>
      </c>
      <c r="I559" s="23">
        <f>IF($D559="","",IFERROR(INDEX(ENVIOS!$F$4:$F$3003,MATCH($D559,ENVIOS!$A$4:$A$3003,0)),"—"))</f>
        <v/>
      </c>
      <c r="J559" s="23">
        <f>IF($D559="","",IFERROR(INDEX(ENVIOS!$G$4:$G$3003,MATCH($D559,ENVIOS!$A$4:$A$3003,0)),"—"))</f>
        <v/>
      </c>
      <c r="K559" s="28">
        <f>IF($D559="","",IFERROR(INDEX(ENVIOS!$H$4:$H$3003,MATCH($D559,ENVIOS!$A$4:$A$3003,0)),"—"))</f>
        <v/>
      </c>
      <c r="L559" s="49">
        <f>IF($D559="","",IFERROR(INDEX(ENVIOS!$C$4:$C$3003,MATCH($D559,ENVIOS!$A$4:$A$3003,0)),""))</f>
        <v/>
      </c>
      <c r="M559" s="50" t="n"/>
      <c r="N559" s="28">
        <f>IF($M559="","",IFERROR(INDEX(CONFIG!$C$4:$C$63,MATCH($M559,CONFIG!$A$4:$A$63,0)),"Media"))</f>
        <v/>
      </c>
      <c r="O559" s="28">
        <f>IF($M559="","",IF($C559="Interna","NO",IFERROR(INDEX(CONFIG!$E$4:$E$63,MATCH($M559,CONFIG!$A$4:$A$63,0)),"NO")))</f>
        <v/>
      </c>
      <c r="P559" s="50" t="n"/>
      <c r="Q559" s="50" t="n"/>
      <c r="R559" s="28">
        <f>IF($Q559="","",IFERROR(INDEX(CONFIG!$H$4:$H$63,MATCH($Q559,CONFIG!$G$4:$G$63,0)),"Por definir"))</f>
        <v/>
      </c>
      <c r="S559" s="28">
        <f>IF($Q559="","",IFERROR(INDEX(CONFIG!$I$4:$I$63,MATCH($Q559,CONFIG!$G$4:$G$63,0)),"Por definir"))</f>
        <v/>
      </c>
      <c r="T559" s="51" t="n"/>
      <c r="U559" s="52" t="n"/>
      <c r="V559" s="50" t="n"/>
      <c r="W559" s="50" t="n"/>
      <c r="X559" s="49">
        <f>IF(OR($B559="",$M559=""),"",WORKDAY($B559,IFERROR(INDEX(CONFIG!$D$4:$D$63,MATCH($M559,CONFIG!$A$4:$A$63,0)),3)))</f>
        <v/>
      </c>
      <c r="Y559" s="47" t="n"/>
      <c r="Z559" s="24">
        <f>IF($B559="","",IF($Y559&lt;&gt;"",$Y559-$B559,TODAY()-$B559))</f>
        <v/>
      </c>
      <c r="AA559" s="28">
        <f>IF($B559="","",IF(IFERROR(INDEX(CONFIG!$L$4:$L$63,MATCH($V559,CONFIG!$K$4:$K$63,0)),"NO")="SÍ",IF(OR($Y559="",$X559=""),"Resuelta",IF($Y559&gt;$X559,"Resuelta tarde","Resuelta a tiempo")),IF($X559="","Sin clasificar",IF(TODAY()&gt;$X559,"Vencida",IF(TODAY()&gt;=$X559-1,"Por vencer","En plazo")))))</f>
        <v/>
      </c>
      <c r="AB559" s="50" t="n"/>
      <c r="AC559" s="50" t="n"/>
    </row>
    <row r="560" ht="16" customHeight="1">
      <c r="A560" s="28">
        <f>IF($B560="","","N-"&amp;TEXT(ROW()-3,"0000"))</f>
        <v/>
      </c>
      <c r="B560" s="47" t="n"/>
      <c r="C560" s="48" t="n"/>
      <c r="D560" s="48" t="n"/>
      <c r="E560" s="28">
        <f>IF($C560="","",IF($D560="",IF($C560="Interna","Sin guía (interna)","FALTA GUÍA"),IF(COUNTIFS(ENVIOS!$A$4:$A$3003,$D560)=0,"NO EXISTE",IF(COUNTIFS(ENVIOS!$A$4:$A$3003,$D560)&gt;1,"DUPLICADA","OK"))))</f>
        <v/>
      </c>
      <c r="F560" s="28">
        <f>IF($D560="","",IFERROR(INDEX(ENVIOS!$B$4:$B$3003,MATCH($D560,ENVIOS!$A$4:$A$3003,0)),"—"))</f>
        <v/>
      </c>
      <c r="G560" s="23">
        <f>IF($D560="","",IFERROR(INDEX(ENVIOS!$D$4:$D$3003,MATCH($D560,ENVIOS!$A$4:$A$3003,0)),"—"))</f>
        <v/>
      </c>
      <c r="H560" s="23">
        <f>IF($D560="","",IFERROR(INDEX(ENVIOS!$E$4:$E$3003,MATCH($D560,ENVIOS!$A$4:$A$3003,0)),"—"))</f>
        <v/>
      </c>
      <c r="I560" s="23">
        <f>IF($D560="","",IFERROR(INDEX(ENVIOS!$F$4:$F$3003,MATCH($D560,ENVIOS!$A$4:$A$3003,0)),"—"))</f>
        <v/>
      </c>
      <c r="J560" s="23">
        <f>IF($D560="","",IFERROR(INDEX(ENVIOS!$G$4:$G$3003,MATCH($D560,ENVIOS!$A$4:$A$3003,0)),"—"))</f>
        <v/>
      </c>
      <c r="K560" s="28">
        <f>IF($D560="","",IFERROR(INDEX(ENVIOS!$H$4:$H$3003,MATCH($D560,ENVIOS!$A$4:$A$3003,0)),"—"))</f>
        <v/>
      </c>
      <c r="L560" s="49">
        <f>IF($D560="","",IFERROR(INDEX(ENVIOS!$C$4:$C$3003,MATCH($D560,ENVIOS!$A$4:$A$3003,0)),""))</f>
        <v/>
      </c>
      <c r="M560" s="50" t="n"/>
      <c r="N560" s="28">
        <f>IF($M560="","",IFERROR(INDEX(CONFIG!$C$4:$C$63,MATCH($M560,CONFIG!$A$4:$A$63,0)),"Media"))</f>
        <v/>
      </c>
      <c r="O560" s="28">
        <f>IF($M560="","",IF($C560="Interna","NO",IFERROR(INDEX(CONFIG!$E$4:$E$63,MATCH($M560,CONFIG!$A$4:$A$63,0)),"NO")))</f>
        <v/>
      </c>
      <c r="P560" s="50" t="n"/>
      <c r="Q560" s="50" t="n"/>
      <c r="R560" s="28">
        <f>IF($Q560="","",IFERROR(INDEX(CONFIG!$H$4:$H$63,MATCH($Q560,CONFIG!$G$4:$G$63,0)),"Por definir"))</f>
        <v/>
      </c>
      <c r="S560" s="28">
        <f>IF($Q560="","",IFERROR(INDEX(CONFIG!$I$4:$I$63,MATCH($Q560,CONFIG!$G$4:$G$63,0)),"Por definir"))</f>
        <v/>
      </c>
      <c r="T560" s="51" t="n"/>
      <c r="U560" s="52" t="n"/>
      <c r="V560" s="50" t="n"/>
      <c r="W560" s="50" t="n"/>
      <c r="X560" s="49">
        <f>IF(OR($B560="",$M560=""),"",WORKDAY($B560,IFERROR(INDEX(CONFIG!$D$4:$D$63,MATCH($M560,CONFIG!$A$4:$A$63,0)),3)))</f>
        <v/>
      </c>
      <c r="Y560" s="47" t="n"/>
      <c r="Z560" s="24">
        <f>IF($B560="","",IF($Y560&lt;&gt;"",$Y560-$B560,TODAY()-$B560))</f>
        <v/>
      </c>
      <c r="AA560" s="28">
        <f>IF($B560="","",IF(IFERROR(INDEX(CONFIG!$L$4:$L$63,MATCH($V560,CONFIG!$K$4:$K$63,0)),"NO")="SÍ",IF(OR($Y560="",$X560=""),"Resuelta",IF($Y560&gt;$X560,"Resuelta tarde","Resuelta a tiempo")),IF($X560="","Sin clasificar",IF(TODAY()&gt;$X560,"Vencida",IF(TODAY()&gt;=$X560-1,"Por vencer","En plazo")))))</f>
        <v/>
      </c>
      <c r="AB560" s="50" t="n"/>
      <c r="AC560" s="50" t="n"/>
    </row>
    <row r="561" ht="16" customHeight="1">
      <c r="A561" s="28">
        <f>IF($B561="","","N-"&amp;TEXT(ROW()-3,"0000"))</f>
        <v/>
      </c>
      <c r="B561" s="47" t="n"/>
      <c r="C561" s="48" t="n"/>
      <c r="D561" s="48" t="n"/>
      <c r="E561" s="28">
        <f>IF($C561="","",IF($D561="",IF($C561="Interna","Sin guía (interna)","FALTA GUÍA"),IF(COUNTIFS(ENVIOS!$A$4:$A$3003,$D561)=0,"NO EXISTE",IF(COUNTIFS(ENVIOS!$A$4:$A$3003,$D561)&gt;1,"DUPLICADA","OK"))))</f>
        <v/>
      </c>
      <c r="F561" s="28">
        <f>IF($D561="","",IFERROR(INDEX(ENVIOS!$B$4:$B$3003,MATCH($D561,ENVIOS!$A$4:$A$3003,0)),"—"))</f>
        <v/>
      </c>
      <c r="G561" s="23">
        <f>IF($D561="","",IFERROR(INDEX(ENVIOS!$D$4:$D$3003,MATCH($D561,ENVIOS!$A$4:$A$3003,0)),"—"))</f>
        <v/>
      </c>
      <c r="H561" s="23">
        <f>IF($D561="","",IFERROR(INDEX(ENVIOS!$E$4:$E$3003,MATCH($D561,ENVIOS!$A$4:$A$3003,0)),"—"))</f>
        <v/>
      </c>
      <c r="I561" s="23">
        <f>IF($D561="","",IFERROR(INDEX(ENVIOS!$F$4:$F$3003,MATCH($D561,ENVIOS!$A$4:$A$3003,0)),"—"))</f>
        <v/>
      </c>
      <c r="J561" s="23">
        <f>IF($D561="","",IFERROR(INDEX(ENVIOS!$G$4:$G$3003,MATCH($D561,ENVIOS!$A$4:$A$3003,0)),"—"))</f>
        <v/>
      </c>
      <c r="K561" s="28">
        <f>IF($D561="","",IFERROR(INDEX(ENVIOS!$H$4:$H$3003,MATCH($D561,ENVIOS!$A$4:$A$3003,0)),"—"))</f>
        <v/>
      </c>
      <c r="L561" s="49">
        <f>IF($D561="","",IFERROR(INDEX(ENVIOS!$C$4:$C$3003,MATCH($D561,ENVIOS!$A$4:$A$3003,0)),""))</f>
        <v/>
      </c>
      <c r="M561" s="50" t="n"/>
      <c r="N561" s="28">
        <f>IF($M561="","",IFERROR(INDEX(CONFIG!$C$4:$C$63,MATCH($M561,CONFIG!$A$4:$A$63,0)),"Media"))</f>
        <v/>
      </c>
      <c r="O561" s="28">
        <f>IF($M561="","",IF($C561="Interna","NO",IFERROR(INDEX(CONFIG!$E$4:$E$63,MATCH($M561,CONFIG!$A$4:$A$63,0)),"NO")))</f>
        <v/>
      </c>
      <c r="P561" s="50" t="n"/>
      <c r="Q561" s="50" t="n"/>
      <c r="R561" s="28">
        <f>IF($Q561="","",IFERROR(INDEX(CONFIG!$H$4:$H$63,MATCH($Q561,CONFIG!$G$4:$G$63,0)),"Por definir"))</f>
        <v/>
      </c>
      <c r="S561" s="28">
        <f>IF($Q561="","",IFERROR(INDEX(CONFIG!$I$4:$I$63,MATCH($Q561,CONFIG!$G$4:$G$63,0)),"Por definir"))</f>
        <v/>
      </c>
      <c r="T561" s="51" t="n"/>
      <c r="U561" s="52" t="n"/>
      <c r="V561" s="50" t="n"/>
      <c r="W561" s="50" t="n"/>
      <c r="X561" s="49">
        <f>IF(OR($B561="",$M561=""),"",WORKDAY($B561,IFERROR(INDEX(CONFIG!$D$4:$D$63,MATCH($M561,CONFIG!$A$4:$A$63,0)),3)))</f>
        <v/>
      </c>
      <c r="Y561" s="47" t="n"/>
      <c r="Z561" s="24">
        <f>IF($B561="","",IF($Y561&lt;&gt;"",$Y561-$B561,TODAY()-$B561))</f>
        <v/>
      </c>
      <c r="AA561" s="28">
        <f>IF($B561="","",IF(IFERROR(INDEX(CONFIG!$L$4:$L$63,MATCH($V561,CONFIG!$K$4:$K$63,0)),"NO")="SÍ",IF(OR($Y561="",$X561=""),"Resuelta",IF($Y561&gt;$X561,"Resuelta tarde","Resuelta a tiempo")),IF($X561="","Sin clasificar",IF(TODAY()&gt;$X561,"Vencida",IF(TODAY()&gt;=$X561-1,"Por vencer","En plazo")))))</f>
        <v/>
      </c>
      <c r="AB561" s="50" t="n"/>
      <c r="AC561" s="50" t="n"/>
    </row>
    <row r="562" ht="16" customHeight="1">
      <c r="A562" s="28">
        <f>IF($B562="","","N-"&amp;TEXT(ROW()-3,"0000"))</f>
        <v/>
      </c>
      <c r="B562" s="47" t="n"/>
      <c r="C562" s="48" t="n"/>
      <c r="D562" s="48" t="n"/>
      <c r="E562" s="28">
        <f>IF($C562="","",IF($D562="",IF($C562="Interna","Sin guía (interna)","FALTA GUÍA"),IF(COUNTIFS(ENVIOS!$A$4:$A$3003,$D562)=0,"NO EXISTE",IF(COUNTIFS(ENVIOS!$A$4:$A$3003,$D562)&gt;1,"DUPLICADA","OK"))))</f>
        <v/>
      </c>
      <c r="F562" s="28">
        <f>IF($D562="","",IFERROR(INDEX(ENVIOS!$B$4:$B$3003,MATCH($D562,ENVIOS!$A$4:$A$3003,0)),"—"))</f>
        <v/>
      </c>
      <c r="G562" s="23">
        <f>IF($D562="","",IFERROR(INDEX(ENVIOS!$D$4:$D$3003,MATCH($D562,ENVIOS!$A$4:$A$3003,0)),"—"))</f>
        <v/>
      </c>
      <c r="H562" s="23">
        <f>IF($D562="","",IFERROR(INDEX(ENVIOS!$E$4:$E$3003,MATCH($D562,ENVIOS!$A$4:$A$3003,0)),"—"))</f>
        <v/>
      </c>
      <c r="I562" s="23">
        <f>IF($D562="","",IFERROR(INDEX(ENVIOS!$F$4:$F$3003,MATCH($D562,ENVIOS!$A$4:$A$3003,0)),"—"))</f>
        <v/>
      </c>
      <c r="J562" s="23">
        <f>IF($D562="","",IFERROR(INDEX(ENVIOS!$G$4:$G$3003,MATCH($D562,ENVIOS!$A$4:$A$3003,0)),"—"))</f>
        <v/>
      </c>
      <c r="K562" s="28">
        <f>IF($D562="","",IFERROR(INDEX(ENVIOS!$H$4:$H$3003,MATCH($D562,ENVIOS!$A$4:$A$3003,0)),"—"))</f>
        <v/>
      </c>
      <c r="L562" s="49">
        <f>IF($D562="","",IFERROR(INDEX(ENVIOS!$C$4:$C$3003,MATCH($D562,ENVIOS!$A$4:$A$3003,0)),""))</f>
        <v/>
      </c>
      <c r="M562" s="50" t="n"/>
      <c r="N562" s="28">
        <f>IF($M562="","",IFERROR(INDEX(CONFIG!$C$4:$C$63,MATCH($M562,CONFIG!$A$4:$A$63,0)),"Media"))</f>
        <v/>
      </c>
      <c r="O562" s="28">
        <f>IF($M562="","",IF($C562="Interna","NO",IFERROR(INDEX(CONFIG!$E$4:$E$63,MATCH($M562,CONFIG!$A$4:$A$63,0)),"NO")))</f>
        <v/>
      </c>
      <c r="P562" s="50" t="n"/>
      <c r="Q562" s="50" t="n"/>
      <c r="R562" s="28">
        <f>IF($Q562="","",IFERROR(INDEX(CONFIG!$H$4:$H$63,MATCH($Q562,CONFIG!$G$4:$G$63,0)),"Por definir"))</f>
        <v/>
      </c>
      <c r="S562" s="28">
        <f>IF($Q562="","",IFERROR(INDEX(CONFIG!$I$4:$I$63,MATCH($Q562,CONFIG!$G$4:$G$63,0)),"Por definir"))</f>
        <v/>
      </c>
      <c r="T562" s="51" t="n"/>
      <c r="U562" s="52" t="n"/>
      <c r="V562" s="50" t="n"/>
      <c r="W562" s="50" t="n"/>
      <c r="X562" s="49">
        <f>IF(OR($B562="",$M562=""),"",WORKDAY($B562,IFERROR(INDEX(CONFIG!$D$4:$D$63,MATCH($M562,CONFIG!$A$4:$A$63,0)),3)))</f>
        <v/>
      </c>
      <c r="Y562" s="47" t="n"/>
      <c r="Z562" s="24">
        <f>IF($B562="","",IF($Y562&lt;&gt;"",$Y562-$B562,TODAY()-$B562))</f>
        <v/>
      </c>
      <c r="AA562" s="28">
        <f>IF($B562="","",IF(IFERROR(INDEX(CONFIG!$L$4:$L$63,MATCH($V562,CONFIG!$K$4:$K$63,0)),"NO")="SÍ",IF(OR($Y562="",$X562=""),"Resuelta",IF($Y562&gt;$X562,"Resuelta tarde","Resuelta a tiempo")),IF($X562="","Sin clasificar",IF(TODAY()&gt;$X562,"Vencida",IF(TODAY()&gt;=$X562-1,"Por vencer","En plazo")))))</f>
        <v/>
      </c>
      <c r="AB562" s="50" t="n"/>
      <c r="AC562" s="50" t="n"/>
    </row>
    <row r="563" ht="16" customHeight="1">
      <c r="A563" s="28">
        <f>IF($B563="","","N-"&amp;TEXT(ROW()-3,"0000"))</f>
        <v/>
      </c>
      <c r="B563" s="47" t="n"/>
      <c r="C563" s="48" t="n"/>
      <c r="D563" s="48" t="n"/>
      <c r="E563" s="28">
        <f>IF($C563="","",IF($D563="",IF($C563="Interna","Sin guía (interna)","FALTA GUÍA"),IF(COUNTIFS(ENVIOS!$A$4:$A$3003,$D563)=0,"NO EXISTE",IF(COUNTIFS(ENVIOS!$A$4:$A$3003,$D563)&gt;1,"DUPLICADA","OK"))))</f>
        <v/>
      </c>
      <c r="F563" s="28">
        <f>IF($D563="","",IFERROR(INDEX(ENVIOS!$B$4:$B$3003,MATCH($D563,ENVIOS!$A$4:$A$3003,0)),"—"))</f>
        <v/>
      </c>
      <c r="G563" s="23">
        <f>IF($D563="","",IFERROR(INDEX(ENVIOS!$D$4:$D$3003,MATCH($D563,ENVIOS!$A$4:$A$3003,0)),"—"))</f>
        <v/>
      </c>
      <c r="H563" s="23">
        <f>IF($D563="","",IFERROR(INDEX(ENVIOS!$E$4:$E$3003,MATCH($D563,ENVIOS!$A$4:$A$3003,0)),"—"))</f>
        <v/>
      </c>
      <c r="I563" s="23">
        <f>IF($D563="","",IFERROR(INDEX(ENVIOS!$F$4:$F$3003,MATCH($D563,ENVIOS!$A$4:$A$3003,0)),"—"))</f>
        <v/>
      </c>
      <c r="J563" s="23">
        <f>IF($D563="","",IFERROR(INDEX(ENVIOS!$G$4:$G$3003,MATCH($D563,ENVIOS!$A$4:$A$3003,0)),"—"))</f>
        <v/>
      </c>
      <c r="K563" s="28">
        <f>IF($D563="","",IFERROR(INDEX(ENVIOS!$H$4:$H$3003,MATCH($D563,ENVIOS!$A$4:$A$3003,0)),"—"))</f>
        <v/>
      </c>
      <c r="L563" s="49">
        <f>IF($D563="","",IFERROR(INDEX(ENVIOS!$C$4:$C$3003,MATCH($D563,ENVIOS!$A$4:$A$3003,0)),""))</f>
        <v/>
      </c>
      <c r="M563" s="50" t="n"/>
      <c r="N563" s="28">
        <f>IF($M563="","",IFERROR(INDEX(CONFIG!$C$4:$C$63,MATCH($M563,CONFIG!$A$4:$A$63,0)),"Media"))</f>
        <v/>
      </c>
      <c r="O563" s="28">
        <f>IF($M563="","",IF($C563="Interna","NO",IFERROR(INDEX(CONFIG!$E$4:$E$63,MATCH($M563,CONFIG!$A$4:$A$63,0)),"NO")))</f>
        <v/>
      </c>
      <c r="P563" s="50" t="n"/>
      <c r="Q563" s="50" t="n"/>
      <c r="R563" s="28">
        <f>IF($Q563="","",IFERROR(INDEX(CONFIG!$H$4:$H$63,MATCH($Q563,CONFIG!$G$4:$G$63,0)),"Por definir"))</f>
        <v/>
      </c>
      <c r="S563" s="28">
        <f>IF($Q563="","",IFERROR(INDEX(CONFIG!$I$4:$I$63,MATCH($Q563,CONFIG!$G$4:$G$63,0)),"Por definir"))</f>
        <v/>
      </c>
      <c r="T563" s="51" t="n"/>
      <c r="U563" s="52" t="n"/>
      <c r="V563" s="50" t="n"/>
      <c r="W563" s="50" t="n"/>
      <c r="X563" s="49">
        <f>IF(OR($B563="",$M563=""),"",WORKDAY($B563,IFERROR(INDEX(CONFIG!$D$4:$D$63,MATCH($M563,CONFIG!$A$4:$A$63,0)),3)))</f>
        <v/>
      </c>
      <c r="Y563" s="47" t="n"/>
      <c r="Z563" s="24">
        <f>IF($B563="","",IF($Y563&lt;&gt;"",$Y563-$B563,TODAY()-$B563))</f>
        <v/>
      </c>
      <c r="AA563" s="28">
        <f>IF($B563="","",IF(IFERROR(INDEX(CONFIG!$L$4:$L$63,MATCH($V563,CONFIG!$K$4:$K$63,0)),"NO")="SÍ",IF(OR($Y563="",$X563=""),"Resuelta",IF($Y563&gt;$X563,"Resuelta tarde","Resuelta a tiempo")),IF($X563="","Sin clasificar",IF(TODAY()&gt;$X563,"Vencida",IF(TODAY()&gt;=$X563-1,"Por vencer","En plazo")))))</f>
        <v/>
      </c>
      <c r="AB563" s="50" t="n"/>
      <c r="AC563" s="50" t="n"/>
    </row>
    <row r="564" ht="16" customHeight="1">
      <c r="A564" s="28">
        <f>IF($B564="","","N-"&amp;TEXT(ROW()-3,"0000"))</f>
        <v/>
      </c>
      <c r="B564" s="47" t="n"/>
      <c r="C564" s="48" t="n"/>
      <c r="D564" s="48" t="n"/>
      <c r="E564" s="28">
        <f>IF($C564="","",IF($D564="",IF($C564="Interna","Sin guía (interna)","FALTA GUÍA"),IF(COUNTIFS(ENVIOS!$A$4:$A$3003,$D564)=0,"NO EXISTE",IF(COUNTIFS(ENVIOS!$A$4:$A$3003,$D564)&gt;1,"DUPLICADA","OK"))))</f>
        <v/>
      </c>
      <c r="F564" s="28">
        <f>IF($D564="","",IFERROR(INDEX(ENVIOS!$B$4:$B$3003,MATCH($D564,ENVIOS!$A$4:$A$3003,0)),"—"))</f>
        <v/>
      </c>
      <c r="G564" s="23">
        <f>IF($D564="","",IFERROR(INDEX(ENVIOS!$D$4:$D$3003,MATCH($D564,ENVIOS!$A$4:$A$3003,0)),"—"))</f>
        <v/>
      </c>
      <c r="H564" s="23">
        <f>IF($D564="","",IFERROR(INDEX(ENVIOS!$E$4:$E$3003,MATCH($D564,ENVIOS!$A$4:$A$3003,0)),"—"))</f>
        <v/>
      </c>
      <c r="I564" s="23">
        <f>IF($D564="","",IFERROR(INDEX(ENVIOS!$F$4:$F$3003,MATCH($D564,ENVIOS!$A$4:$A$3003,0)),"—"))</f>
        <v/>
      </c>
      <c r="J564" s="23">
        <f>IF($D564="","",IFERROR(INDEX(ENVIOS!$G$4:$G$3003,MATCH($D564,ENVIOS!$A$4:$A$3003,0)),"—"))</f>
        <v/>
      </c>
      <c r="K564" s="28">
        <f>IF($D564="","",IFERROR(INDEX(ENVIOS!$H$4:$H$3003,MATCH($D564,ENVIOS!$A$4:$A$3003,0)),"—"))</f>
        <v/>
      </c>
      <c r="L564" s="49">
        <f>IF($D564="","",IFERROR(INDEX(ENVIOS!$C$4:$C$3003,MATCH($D564,ENVIOS!$A$4:$A$3003,0)),""))</f>
        <v/>
      </c>
      <c r="M564" s="50" t="n"/>
      <c r="N564" s="28">
        <f>IF($M564="","",IFERROR(INDEX(CONFIG!$C$4:$C$63,MATCH($M564,CONFIG!$A$4:$A$63,0)),"Media"))</f>
        <v/>
      </c>
      <c r="O564" s="28">
        <f>IF($M564="","",IF($C564="Interna","NO",IFERROR(INDEX(CONFIG!$E$4:$E$63,MATCH($M564,CONFIG!$A$4:$A$63,0)),"NO")))</f>
        <v/>
      </c>
      <c r="P564" s="50" t="n"/>
      <c r="Q564" s="50" t="n"/>
      <c r="R564" s="28">
        <f>IF($Q564="","",IFERROR(INDEX(CONFIG!$H$4:$H$63,MATCH($Q564,CONFIG!$G$4:$G$63,0)),"Por definir"))</f>
        <v/>
      </c>
      <c r="S564" s="28">
        <f>IF($Q564="","",IFERROR(INDEX(CONFIG!$I$4:$I$63,MATCH($Q564,CONFIG!$G$4:$G$63,0)),"Por definir"))</f>
        <v/>
      </c>
      <c r="T564" s="51" t="n"/>
      <c r="U564" s="52" t="n"/>
      <c r="V564" s="50" t="n"/>
      <c r="W564" s="50" t="n"/>
      <c r="X564" s="49">
        <f>IF(OR($B564="",$M564=""),"",WORKDAY($B564,IFERROR(INDEX(CONFIG!$D$4:$D$63,MATCH($M564,CONFIG!$A$4:$A$63,0)),3)))</f>
        <v/>
      </c>
      <c r="Y564" s="47" t="n"/>
      <c r="Z564" s="24">
        <f>IF($B564="","",IF($Y564&lt;&gt;"",$Y564-$B564,TODAY()-$B564))</f>
        <v/>
      </c>
      <c r="AA564" s="28">
        <f>IF($B564="","",IF(IFERROR(INDEX(CONFIG!$L$4:$L$63,MATCH($V564,CONFIG!$K$4:$K$63,0)),"NO")="SÍ",IF(OR($Y564="",$X564=""),"Resuelta",IF($Y564&gt;$X564,"Resuelta tarde","Resuelta a tiempo")),IF($X564="","Sin clasificar",IF(TODAY()&gt;$X564,"Vencida",IF(TODAY()&gt;=$X564-1,"Por vencer","En plazo")))))</f>
        <v/>
      </c>
      <c r="AB564" s="50" t="n"/>
      <c r="AC564" s="50" t="n"/>
    </row>
    <row r="565" ht="16" customHeight="1">
      <c r="A565" s="28">
        <f>IF($B565="","","N-"&amp;TEXT(ROW()-3,"0000"))</f>
        <v/>
      </c>
      <c r="B565" s="47" t="n"/>
      <c r="C565" s="48" t="n"/>
      <c r="D565" s="48" t="n"/>
      <c r="E565" s="28">
        <f>IF($C565="","",IF($D565="",IF($C565="Interna","Sin guía (interna)","FALTA GUÍA"),IF(COUNTIFS(ENVIOS!$A$4:$A$3003,$D565)=0,"NO EXISTE",IF(COUNTIFS(ENVIOS!$A$4:$A$3003,$D565)&gt;1,"DUPLICADA","OK"))))</f>
        <v/>
      </c>
      <c r="F565" s="28">
        <f>IF($D565="","",IFERROR(INDEX(ENVIOS!$B$4:$B$3003,MATCH($D565,ENVIOS!$A$4:$A$3003,0)),"—"))</f>
        <v/>
      </c>
      <c r="G565" s="23">
        <f>IF($D565="","",IFERROR(INDEX(ENVIOS!$D$4:$D$3003,MATCH($D565,ENVIOS!$A$4:$A$3003,0)),"—"))</f>
        <v/>
      </c>
      <c r="H565" s="23">
        <f>IF($D565="","",IFERROR(INDEX(ENVIOS!$E$4:$E$3003,MATCH($D565,ENVIOS!$A$4:$A$3003,0)),"—"))</f>
        <v/>
      </c>
      <c r="I565" s="23">
        <f>IF($D565="","",IFERROR(INDEX(ENVIOS!$F$4:$F$3003,MATCH($D565,ENVIOS!$A$4:$A$3003,0)),"—"))</f>
        <v/>
      </c>
      <c r="J565" s="23">
        <f>IF($D565="","",IFERROR(INDEX(ENVIOS!$G$4:$G$3003,MATCH($D565,ENVIOS!$A$4:$A$3003,0)),"—"))</f>
        <v/>
      </c>
      <c r="K565" s="28">
        <f>IF($D565="","",IFERROR(INDEX(ENVIOS!$H$4:$H$3003,MATCH($D565,ENVIOS!$A$4:$A$3003,0)),"—"))</f>
        <v/>
      </c>
      <c r="L565" s="49">
        <f>IF($D565="","",IFERROR(INDEX(ENVIOS!$C$4:$C$3003,MATCH($D565,ENVIOS!$A$4:$A$3003,0)),""))</f>
        <v/>
      </c>
      <c r="M565" s="50" t="n"/>
      <c r="N565" s="28">
        <f>IF($M565="","",IFERROR(INDEX(CONFIG!$C$4:$C$63,MATCH($M565,CONFIG!$A$4:$A$63,0)),"Media"))</f>
        <v/>
      </c>
      <c r="O565" s="28">
        <f>IF($M565="","",IF($C565="Interna","NO",IFERROR(INDEX(CONFIG!$E$4:$E$63,MATCH($M565,CONFIG!$A$4:$A$63,0)),"NO")))</f>
        <v/>
      </c>
      <c r="P565" s="50" t="n"/>
      <c r="Q565" s="50" t="n"/>
      <c r="R565" s="28">
        <f>IF($Q565="","",IFERROR(INDEX(CONFIG!$H$4:$H$63,MATCH($Q565,CONFIG!$G$4:$G$63,0)),"Por definir"))</f>
        <v/>
      </c>
      <c r="S565" s="28">
        <f>IF($Q565="","",IFERROR(INDEX(CONFIG!$I$4:$I$63,MATCH($Q565,CONFIG!$G$4:$G$63,0)),"Por definir"))</f>
        <v/>
      </c>
      <c r="T565" s="51" t="n"/>
      <c r="U565" s="52" t="n"/>
      <c r="V565" s="50" t="n"/>
      <c r="W565" s="50" t="n"/>
      <c r="X565" s="49">
        <f>IF(OR($B565="",$M565=""),"",WORKDAY($B565,IFERROR(INDEX(CONFIG!$D$4:$D$63,MATCH($M565,CONFIG!$A$4:$A$63,0)),3)))</f>
        <v/>
      </c>
      <c r="Y565" s="47" t="n"/>
      <c r="Z565" s="24">
        <f>IF($B565="","",IF($Y565&lt;&gt;"",$Y565-$B565,TODAY()-$B565))</f>
        <v/>
      </c>
      <c r="AA565" s="28">
        <f>IF($B565="","",IF(IFERROR(INDEX(CONFIG!$L$4:$L$63,MATCH($V565,CONFIG!$K$4:$K$63,0)),"NO")="SÍ",IF(OR($Y565="",$X565=""),"Resuelta",IF($Y565&gt;$X565,"Resuelta tarde","Resuelta a tiempo")),IF($X565="","Sin clasificar",IF(TODAY()&gt;$X565,"Vencida",IF(TODAY()&gt;=$X565-1,"Por vencer","En plazo")))))</f>
        <v/>
      </c>
      <c r="AB565" s="50" t="n"/>
      <c r="AC565" s="50" t="n"/>
    </row>
    <row r="566" ht="16" customHeight="1">
      <c r="A566" s="28">
        <f>IF($B566="","","N-"&amp;TEXT(ROW()-3,"0000"))</f>
        <v/>
      </c>
      <c r="B566" s="47" t="n"/>
      <c r="C566" s="48" t="n"/>
      <c r="D566" s="48" t="n"/>
      <c r="E566" s="28">
        <f>IF($C566="","",IF($D566="",IF($C566="Interna","Sin guía (interna)","FALTA GUÍA"),IF(COUNTIFS(ENVIOS!$A$4:$A$3003,$D566)=0,"NO EXISTE",IF(COUNTIFS(ENVIOS!$A$4:$A$3003,$D566)&gt;1,"DUPLICADA","OK"))))</f>
        <v/>
      </c>
      <c r="F566" s="28">
        <f>IF($D566="","",IFERROR(INDEX(ENVIOS!$B$4:$B$3003,MATCH($D566,ENVIOS!$A$4:$A$3003,0)),"—"))</f>
        <v/>
      </c>
      <c r="G566" s="23">
        <f>IF($D566="","",IFERROR(INDEX(ENVIOS!$D$4:$D$3003,MATCH($D566,ENVIOS!$A$4:$A$3003,0)),"—"))</f>
        <v/>
      </c>
      <c r="H566" s="23">
        <f>IF($D566="","",IFERROR(INDEX(ENVIOS!$E$4:$E$3003,MATCH($D566,ENVIOS!$A$4:$A$3003,0)),"—"))</f>
        <v/>
      </c>
      <c r="I566" s="23">
        <f>IF($D566="","",IFERROR(INDEX(ENVIOS!$F$4:$F$3003,MATCH($D566,ENVIOS!$A$4:$A$3003,0)),"—"))</f>
        <v/>
      </c>
      <c r="J566" s="23">
        <f>IF($D566="","",IFERROR(INDEX(ENVIOS!$G$4:$G$3003,MATCH($D566,ENVIOS!$A$4:$A$3003,0)),"—"))</f>
        <v/>
      </c>
      <c r="K566" s="28">
        <f>IF($D566="","",IFERROR(INDEX(ENVIOS!$H$4:$H$3003,MATCH($D566,ENVIOS!$A$4:$A$3003,0)),"—"))</f>
        <v/>
      </c>
      <c r="L566" s="49">
        <f>IF($D566="","",IFERROR(INDEX(ENVIOS!$C$4:$C$3003,MATCH($D566,ENVIOS!$A$4:$A$3003,0)),""))</f>
        <v/>
      </c>
      <c r="M566" s="50" t="n"/>
      <c r="N566" s="28">
        <f>IF($M566="","",IFERROR(INDEX(CONFIG!$C$4:$C$63,MATCH($M566,CONFIG!$A$4:$A$63,0)),"Media"))</f>
        <v/>
      </c>
      <c r="O566" s="28">
        <f>IF($M566="","",IF($C566="Interna","NO",IFERROR(INDEX(CONFIG!$E$4:$E$63,MATCH($M566,CONFIG!$A$4:$A$63,0)),"NO")))</f>
        <v/>
      </c>
      <c r="P566" s="50" t="n"/>
      <c r="Q566" s="50" t="n"/>
      <c r="R566" s="28">
        <f>IF($Q566="","",IFERROR(INDEX(CONFIG!$H$4:$H$63,MATCH($Q566,CONFIG!$G$4:$G$63,0)),"Por definir"))</f>
        <v/>
      </c>
      <c r="S566" s="28">
        <f>IF($Q566="","",IFERROR(INDEX(CONFIG!$I$4:$I$63,MATCH($Q566,CONFIG!$G$4:$G$63,0)),"Por definir"))</f>
        <v/>
      </c>
      <c r="T566" s="51" t="n"/>
      <c r="U566" s="52" t="n"/>
      <c r="V566" s="50" t="n"/>
      <c r="W566" s="50" t="n"/>
      <c r="X566" s="49">
        <f>IF(OR($B566="",$M566=""),"",WORKDAY($B566,IFERROR(INDEX(CONFIG!$D$4:$D$63,MATCH($M566,CONFIG!$A$4:$A$63,0)),3)))</f>
        <v/>
      </c>
      <c r="Y566" s="47" t="n"/>
      <c r="Z566" s="24">
        <f>IF($B566="","",IF($Y566&lt;&gt;"",$Y566-$B566,TODAY()-$B566))</f>
        <v/>
      </c>
      <c r="AA566" s="28">
        <f>IF($B566="","",IF(IFERROR(INDEX(CONFIG!$L$4:$L$63,MATCH($V566,CONFIG!$K$4:$K$63,0)),"NO")="SÍ",IF(OR($Y566="",$X566=""),"Resuelta",IF($Y566&gt;$X566,"Resuelta tarde","Resuelta a tiempo")),IF($X566="","Sin clasificar",IF(TODAY()&gt;$X566,"Vencida",IF(TODAY()&gt;=$X566-1,"Por vencer","En plazo")))))</f>
        <v/>
      </c>
      <c r="AB566" s="50" t="n"/>
      <c r="AC566" s="50" t="n"/>
    </row>
    <row r="567" ht="16" customHeight="1">
      <c r="A567" s="28">
        <f>IF($B567="","","N-"&amp;TEXT(ROW()-3,"0000"))</f>
        <v/>
      </c>
      <c r="B567" s="47" t="n"/>
      <c r="C567" s="48" t="n"/>
      <c r="D567" s="48" t="n"/>
      <c r="E567" s="28">
        <f>IF($C567="","",IF($D567="",IF($C567="Interna","Sin guía (interna)","FALTA GUÍA"),IF(COUNTIFS(ENVIOS!$A$4:$A$3003,$D567)=0,"NO EXISTE",IF(COUNTIFS(ENVIOS!$A$4:$A$3003,$D567)&gt;1,"DUPLICADA","OK"))))</f>
        <v/>
      </c>
      <c r="F567" s="28">
        <f>IF($D567="","",IFERROR(INDEX(ENVIOS!$B$4:$B$3003,MATCH($D567,ENVIOS!$A$4:$A$3003,0)),"—"))</f>
        <v/>
      </c>
      <c r="G567" s="23">
        <f>IF($D567="","",IFERROR(INDEX(ENVIOS!$D$4:$D$3003,MATCH($D567,ENVIOS!$A$4:$A$3003,0)),"—"))</f>
        <v/>
      </c>
      <c r="H567" s="23">
        <f>IF($D567="","",IFERROR(INDEX(ENVIOS!$E$4:$E$3003,MATCH($D567,ENVIOS!$A$4:$A$3003,0)),"—"))</f>
        <v/>
      </c>
      <c r="I567" s="23">
        <f>IF($D567="","",IFERROR(INDEX(ENVIOS!$F$4:$F$3003,MATCH($D567,ENVIOS!$A$4:$A$3003,0)),"—"))</f>
        <v/>
      </c>
      <c r="J567" s="23">
        <f>IF($D567="","",IFERROR(INDEX(ENVIOS!$G$4:$G$3003,MATCH($D567,ENVIOS!$A$4:$A$3003,0)),"—"))</f>
        <v/>
      </c>
      <c r="K567" s="28">
        <f>IF($D567="","",IFERROR(INDEX(ENVIOS!$H$4:$H$3003,MATCH($D567,ENVIOS!$A$4:$A$3003,0)),"—"))</f>
        <v/>
      </c>
      <c r="L567" s="49">
        <f>IF($D567="","",IFERROR(INDEX(ENVIOS!$C$4:$C$3003,MATCH($D567,ENVIOS!$A$4:$A$3003,0)),""))</f>
        <v/>
      </c>
      <c r="M567" s="50" t="n"/>
      <c r="N567" s="28">
        <f>IF($M567="","",IFERROR(INDEX(CONFIG!$C$4:$C$63,MATCH($M567,CONFIG!$A$4:$A$63,0)),"Media"))</f>
        <v/>
      </c>
      <c r="O567" s="28">
        <f>IF($M567="","",IF($C567="Interna","NO",IFERROR(INDEX(CONFIG!$E$4:$E$63,MATCH($M567,CONFIG!$A$4:$A$63,0)),"NO")))</f>
        <v/>
      </c>
      <c r="P567" s="50" t="n"/>
      <c r="Q567" s="50" t="n"/>
      <c r="R567" s="28">
        <f>IF($Q567="","",IFERROR(INDEX(CONFIG!$H$4:$H$63,MATCH($Q567,CONFIG!$G$4:$G$63,0)),"Por definir"))</f>
        <v/>
      </c>
      <c r="S567" s="28">
        <f>IF($Q567="","",IFERROR(INDEX(CONFIG!$I$4:$I$63,MATCH($Q567,CONFIG!$G$4:$G$63,0)),"Por definir"))</f>
        <v/>
      </c>
      <c r="T567" s="51" t="n"/>
      <c r="U567" s="52" t="n"/>
      <c r="V567" s="50" t="n"/>
      <c r="W567" s="50" t="n"/>
      <c r="X567" s="49">
        <f>IF(OR($B567="",$M567=""),"",WORKDAY($B567,IFERROR(INDEX(CONFIG!$D$4:$D$63,MATCH($M567,CONFIG!$A$4:$A$63,0)),3)))</f>
        <v/>
      </c>
      <c r="Y567" s="47" t="n"/>
      <c r="Z567" s="24">
        <f>IF($B567="","",IF($Y567&lt;&gt;"",$Y567-$B567,TODAY()-$B567))</f>
        <v/>
      </c>
      <c r="AA567" s="28">
        <f>IF($B567="","",IF(IFERROR(INDEX(CONFIG!$L$4:$L$63,MATCH($V567,CONFIG!$K$4:$K$63,0)),"NO")="SÍ",IF(OR($Y567="",$X567=""),"Resuelta",IF($Y567&gt;$X567,"Resuelta tarde","Resuelta a tiempo")),IF($X567="","Sin clasificar",IF(TODAY()&gt;$X567,"Vencida",IF(TODAY()&gt;=$X567-1,"Por vencer","En plazo")))))</f>
        <v/>
      </c>
      <c r="AB567" s="50" t="n"/>
      <c r="AC567" s="50" t="n"/>
    </row>
    <row r="568" ht="16" customHeight="1">
      <c r="A568" s="28">
        <f>IF($B568="","","N-"&amp;TEXT(ROW()-3,"0000"))</f>
        <v/>
      </c>
      <c r="B568" s="47" t="n"/>
      <c r="C568" s="48" t="n"/>
      <c r="D568" s="48" t="n"/>
      <c r="E568" s="28">
        <f>IF($C568="","",IF($D568="",IF($C568="Interna","Sin guía (interna)","FALTA GUÍA"),IF(COUNTIFS(ENVIOS!$A$4:$A$3003,$D568)=0,"NO EXISTE",IF(COUNTIFS(ENVIOS!$A$4:$A$3003,$D568)&gt;1,"DUPLICADA","OK"))))</f>
        <v/>
      </c>
      <c r="F568" s="28">
        <f>IF($D568="","",IFERROR(INDEX(ENVIOS!$B$4:$B$3003,MATCH($D568,ENVIOS!$A$4:$A$3003,0)),"—"))</f>
        <v/>
      </c>
      <c r="G568" s="23">
        <f>IF($D568="","",IFERROR(INDEX(ENVIOS!$D$4:$D$3003,MATCH($D568,ENVIOS!$A$4:$A$3003,0)),"—"))</f>
        <v/>
      </c>
      <c r="H568" s="23">
        <f>IF($D568="","",IFERROR(INDEX(ENVIOS!$E$4:$E$3003,MATCH($D568,ENVIOS!$A$4:$A$3003,0)),"—"))</f>
        <v/>
      </c>
      <c r="I568" s="23">
        <f>IF($D568="","",IFERROR(INDEX(ENVIOS!$F$4:$F$3003,MATCH($D568,ENVIOS!$A$4:$A$3003,0)),"—"))</f>
        <v/>
      </c>
      <c r="J568" s="23">
        <f>IF($D568="","",IFERROR(INDEX(ENVIOS!$G$4:$G$3003,MATCH($D568,ENVIOS!$A$4:$A$3003,0)),"—"))</f>
        <v/>
      </c>
      <c r="K568" s="28">
        <f>IF($D568="","",IFERROR(INDEX(ENVIOS!$H$4:$H$3003,MATCH($D568,ENVIOS!$A$4:$A$3003,0)),"—"))</f>
        <v/>
      </c>
      <c r="L568" s="49">
        <f>IF($D568="","",IFERROR(INDEX(ENVIOS!$C$4:$C$3003,MATCH($D568,ENVIOS!$A$4:$A$3003,0)),""))</f>
        <v/>
      </c>
      <c r="M568" s="50" t="n"/>
      <c r="N568" s="28">
        <f>IF($M568="","",IFERROR(INDEX(CONFIG!$C$4:$C$63,MATCH($M568,CONFIG!$A$4:$A$63,0)),"Media"))</f>
        <v/>
      </c>
      <c r="O568" s="28">
        <f>IF($M568="","",IF($C568="Interna","NO",IFERROR(INDEX(CONFIG!$E$4:$E$63,MATCH($M568,CONFIG!$A$4:$A$63,0)),"NO")))</f>
        <v/>
      </c>
      <c r="P568" s="50" t="n"/>
      <c r="Q568" s="50" t="n"/>
      <c r="R568" s="28">
        <f>IF($Q568="","",IFERROR(INDEX(CONFIG!$H$4:$H$63,MATCH($Q568,CONFIG!$G$4:$G$63,0)),"Por definir"))</f>
        <v/>
      </c>
      <c r="S568" s="28">
        <f>IF($Q568="","",IFERROR(INDEX(CONFIG!$I$4:$I$63,MATCH($Q568,CONFIG!$G$4:$G$63,0)),"Por definir"))</f>
        <v/>
      </c>
      <c r="T568" s="51" t="n"/>
      <c r="U568" s="52" t="n"/>
      <c r="V568" s="50" t="n"/>
      <c r="W568" s="50" t="n"/>
      <c r="X568" s="49">
        <f>IF(OR($B568="",$M568=""),"",WORKDAY($B568,IFERROR(INDEX(CONFIG!$D$4:$D$63,MATCH($M568,CONFIG!$A$4:$A$63,0)),3)))</f>
        <v/>
      </c>
      <c r="Y568" s="47" t="n"/>
      <c r="Z568" s="24">
        <f>IF($B568="","",IF($Y568&lt;&gt;"",$Y568-$B568,TODAY()-$B568))</f>
        <v/>
      </c>
      <c r="AA568" s="28">
        <f>IF($B568="","",IF(IFERROR(INDEX(CONFIG!$L$4:$L$63,MATCH($V568,CONFIG!$K$4:$K$63,0)),"NO")="SÍ",IF(OR($Y568="",$X568=""),"Resuelta",IF($Y568&gt;$X568,"Resuelta tarde","Resuelta a tiempo")),IF($X568="","Sin clasificar",IF(TODAY()&gt;$X568,"Vencida",IF(TODAY()&gt;=$X568-1,"Por vencer","En plazo")))))</f>
        <v/>
      </c>
      <c r="AB568" s="50" t="n"/>
      <c r="AC568" s="50" t="n"/>
    </row>
    <row r="569" ht="16" customHeight="1">
      <c r="A569" s="28">
        <f>IF($B569="","","N-"&amp;TEXT(ROW()-3,"0000"))</f>
        <v/>
      </c>
      <c r="B569" s="47" t="n"/>
      <c r="C569" s="48" t="n"/>
      <c r="D569" s="48" t="n"/>
      <c r="E569" s="28">
        <f>IF($C569="","",IF($D569="",IF($C569="Interna","Sin guía (interna)","FALTA GUÍA"),IF(COUNTIFS(ENVIOS!$A$4:$A$3003,$D569)=0,"NO EXISTE",IF(COUNTIFS(ENVIOS!$A$4:$A$3003,$D569)&gt;1,"DUPLICADA","OK"))))</f>
        <v/>
      </c>
      <c r="F569" s="28">
        <f>IF($D569="","",IFERROR(INDEX(ENVIOS!$B$4:$B$3003,MATCH($D569,ENVIOS!$A$4:$A$3003,0)),"—"))</f>
        <v/>
      </c>
      <c r="G569" s="23">
        <f>IF($D569="","",IFERROR(INDEX(ENVIOS!$D$4:$D$3003,MATCH($D569,ENVIOS!$A$4:$A$3003,0)),"—"))</f>
        <v/>
      </c>
      <c r="H569" s="23">
        <f>IF($D569="","",IFERROR(INDEX(ENVIOS!$E$4:$E$3003,MATCH($D569,ENVIOS!$A$4:$A$3003,0)),"—"))</f>
        <v/>
      </c>
      <c r="I569" s="23">
        <f>IF($D569="","",IFERROR(INDEX(ENVIOS!$F$4:$F$3003,MATCH($D569,ENVIOS!$A$4:$A$3003,0)),"—"))</f>
        <v/>
      </c>
      <c r="J569" s="23">
        <f>IF($D569="","",IFERROR(INDEX(ENVIOS!$G$4:$G$3003,MATCH($D569,ENVIOS!$A$4:$A$3003,0)),"—"))</f>
        <v/>
      </c>
      <c r="K569" s="28">
        <f>IF($D569="","",IFERROR(INDEX(ENVIOS!$H$4:$H$3003,MATCH($D569,ENVIOS!$A$4:$A$3003,0)),"—"))</f>
        <v/>
      </c>
      <c r="L569" s="49">
        <f>IF($D569="","",IFERROR(INDEX(ENVIOS!$C$4:$C$3003,MATCH($D569,ENVIOS!$A$4:$A$3003,0)),""))</f>
        <v/>
      </c>
      <c r="M569" s="50" t="n"/>
      <c r="N569" s="28">
        <f>IF($M569="","",IFERROR(INDEX(CONFIG!$C$4:$C$63,MATCH($M569,CONFIG!$A$4:$A$63,0)),"Media"))</f>
        <v/>
      </c>
      <c r="O569" s="28">
        <f>IF($M569="","",IF($C569="Interna","NO",IFERROR(INDEX(CONFIG!$E$4:$E$63,MATCH($M569,CONFIG!$A$4:$A$63,0)),"NO")))</f>
        <v/>
      </c>
      <c r="P569" s="50" t="n"/>
      <c r="Q569" s="50" t="n"/>
      <c r="R569" s="28">
        <f>IF($Q569="","",IFERROR(INDEX(CONFIG!$H$4:$H$63,MATCH($Q569,CONFIG!$G$4:$G$63,0)),"Por definir"))</f>
        <v/>
      </c>
      <c r="S569" s="28">
        <f>IF($Q569="","",IFERROR(INDEX(CONFIG!$I$4:$I$63,MATCH($Q569,CONFIG!$G$4:$G$63,0)),"Por definir"))</f>
        <v/>
      </c>
      <c r="T569" s="51" t="n"/>
      <c r="U569" s="52" t="n"/>
      <c r="V569" s="50" t="n"/>
      <c r="W569" s="50" t="n"/>
      <c r="X569" s="49">
        <f>IF(OR($B569="",$M569=""),"",WORKDAY($B569,IFERROR(INDEX(CONFIG!$D$4:$D$63,MATCH($M569,CONFIG!$A$4:$A$63,0)),3)))</f>
        <v/>
      </c>
      <c r="Y569" s="47" t="n"/>
      <c r="Z569" s="24">
        <f>IF($B569="","",IF($Y569&lt;&gt;"",$Y569-$B569,TODAY()-$B569))</f>
        <v/>
      </c>
      <c r="AA569" s="28">
        <f>IF($B569="","",IF(IFERROR(INDEX(CONFIG!$L$4:$L$63,MATCH($V569,CONFIG!$K$4:$K$63,0)),"NO")="SÍ",IF(OR($Y569="",$X569=""),"Resuelta",IF($Y569&gt;$X569,"Resuelta tarde","Resuelta a tiempo")),IF($X569="","Sin clasificar",IF(TODAY()&gt;$X569,"Vencida",IF(TODAY()&gt;=$X569-1,"Por vencer","En plazo")))))</f>
        <v/>
      </c>
      <c r="AB569" s="50" t="n"/>
      <c r="AC569" s="50" t="n"/>
    </row>
    <row r="570" ht="16" customHeight="1">
      <c r="A570" s="28">
        <f>IF($B570="","","N-"&amp;TEXT(ROW()-3,"0000"))</f>
        <v/>
      </c>
      <c r="B570" s="47" t="n"/>
      <c r="C570" s="48" t="n"/>
      <c r="D570" s="48" t="n"/>
      <c r="E570" s="28">
        <f>IF($C570="","",IF($D570="",IF($C570="Interna","Sin guía (interna)","FALTA GUÍA"),IF(COUNTIFS(ENVIOS!$A$4:$A$3003,$D570)=0,"NO EXISTE",IF(COUNTIFS(ENVIOS!$A$4:$A$3003,$D570)&gt;1,"DUPLICADA","OK"))))</f>
        <v/>
      </c>
      <c r="F570" s="28">
        <f>IF($D570="","",IFERROR(INDEX(ENVIOS!$B$4:$B$3003,MATCH($D570,ENVIOS!$A$4:$A$3003,0)),"—"))</f>
        <v/>
      </c>
      <c r="G570" s="23">
        <f>IF($D570="","",IFERROR(INDEX(ENVIOS!$D$4:$D$3003,MATCH($D570,ENVIOS!$A$4:$A$3003,0)),"—"))</f>
        <v/>
      </c>
      <c r="H570" s="23">
        <f>IF($D570="","",IFERROR(INDEX(ENVIOS!$E$4:$E$3003,MATCH($D570,ENVIOS!$A$4:$A$3003,0)),"—"))</f>
        <v/>
      </c>
      <c r="I570" s="23">
        <f>IF($D570="","",IFERROR(INDEX(ENVIOS!$F$4:$F$3003,MATCH($D570,ENVIOS!$A$4:$A$3003,0)),"—"))</f>
        <v/>
      </c>
      <c r="J570" s="23">
        <f>IF($D570="","",IFERROR(INDEX(ENVIOS!$G$4:$G$3003,MATCH($D570,ENVIOS!$A$4:$A$3003,0)),"—"))</f>
        <v/>
      </c>
      <c r="K570" s="28">
        <f>IF($D570="","",IFERROR(INDEX(ENVIOS!$H$4:$H$3003,MATCH($D570,ENVIOS!$A$4:$A$3003,0)),"—"))</f>
        <v/>
      </c>
      <c r="L570" s="49">
        <f>IF($D570="","",IFERROR(INDEX(ENVIOS!$C$4:$C$3003,MATCH($D570,ENVIOS!$A$4:$A$3003,0)),""))</f>
        <v/>
      </c>
      <c r="M570" s="50" t="n"/>
      <c r="N570" s="28">
        <f>IF($M570="","",IFERROR(INDEX(CONFIG!$C$4:$C$63,MATCH($M570,CONFIG!$A$4:$A$63,0)),"Media"))</f>
        <v/>
      </c>
      <c r="O570" s="28">
        <f>IF($M570="","",IF($C570="Interna","NO",IFERROR(INDEX(CONFIG!$E$4:$E$63,MATCH($M570,CONFIG!$A$4:$A$63,0)),"NO")))</f>
        <v/>
      </c>
      <c r="P570" s="50" t="n"/>
      <c r="Q570" s="50" t="n"/>
      <c r="R570" s="28">
        <f>IF($Q570="","",IFERROR(INDEX(CONFIG!$H$4:$H$63,MATCH($Q570,CONFIG!$G$4:$G$63,0)),"Por definir"))</f>
        <v/>
      </c>
      <c r="S570" s="28">
        <f>IF($Q570="","",IFERROR(INDEX(CONFIG!$I$4:$I$63,MATCH($Q570,CONFIG!$G$4:$G$63,0)),"Por definir"))</f>
        <v/>
      </c>
      <c r="T570" s="51" t="n"/>
      <c r="U570" s="52" t="n"/>
      <c r="V570" s="50" t="n"/>
      <c r="W570" s="50" t="n"/>
      <c r="X570" s="49">
        <f>IF(OR($B570="",$M570=""),"",WORKDAY($B570,IFERROR(INDEX(CONFIG!$D$4:$D$63,MATCH($M570,CONFIG!$A$4:$A$63,0)),3)))</f>
        <v/>
      </c>
      <c r="Y570" s="47" t="n"/>
      <c r="Z570" s="24">
        <f>IF($B570="","",IF($Y570&lt;&gt;"",$Y570-$B570,TODAY()-$B570))</f>
        <v/>
      </c>
      <c r="AA570" s="28">
        <f>IF($B570="","",IF(IFERROR(INDEX(CONFIG!$L$4:$L$63,MATCH($V570,CONFIG!$K$4:$K$63,0)),"NO")="SÍ",IF(OR($Y570="",$X570=""),"Resuelta",IF($Y570&gt;$X570,"Resuelta tarde","Resuelta a tiempo")),IF($X570="","Sin clasificar",IF(TODAY()&gt;$X570,"Vencida",IF(TODAY()&gt;=$X570-1,"Por vencer","En plazo")))))</f>
        <v/>
      </c>
      <c r="AB570" s="50" t="n"/>
      <c r="AC570" s="50" t="n"/>
    </row>
    <row r="571" ht="16" customHeight="1">
      <c r="A571" s="28">
        <f>IF($B571="","","N-"&amp;TEXT(ROW()-3,"0000"))</f>
        <v/>
      </c>
      <c r="B571" s="47" t="n"/>
      <c r="C571" s="48" t="n"/>
      <c r="D571" s="48" t="n"/>
      <c r="E571" s="28">
        <f>IF($C571="","",IF($D571="",IF($C571="Interna","Sin guía (interna)","FALTA GUÍA"),IF(COUNTIFS(ENVIOS!$A$4:$A$3003,$D571)=0,"NO EXISTE",IF(COUNTIFS(ENVIOS!$A$4:$A$3003,$D571)&gt;1,"DUPLICADA","OK"))))</f>
        <v/>
      </c>
      <c r="F571" s="28">
        <f>IF($D571="","",IFERROR(INDEX(ENVIOS!$B$4:$B$3003,MATCH($D571,ENVIOS!$A$4:$A$3003,0)),"—"))</f>
        <v/>
      </c>
      <c r="G571" s="23">
        <f>IF($D571="","",IFERROR(INDEX(ENVIOS!$D$4:$D$3003,MATCH($D571,ENVIOS!$A$4:$A$3003,0)),"—"))</f>
        <v/>
      </c>
      <c r="H571" s="23">
        <f>IF($D571="","",IFERROR(INDEX(ENVIOS!$E$4:$E$3003,MATCH($D571,ENVIOS!$A$4:$A$3003,0)),"—"))</f>
        <v/>
      </c>
      <c r="I571" s="23">
        <f>IF($D571="","",IFERROR(INDEX(ENVIOS!$F$4:$F$3003,MATCH($D571,ENVIOS!$A$4:$A$3003,0)),"—"))</f>
        <v/>
      </c>
      <c r="J571" s="23">
        <f>IF($D571="","",IFERROR(INDEX(ENVIOS!$G$4:$G$3003,MATCH($D571,ENVIOS!$A$4:$A$3003,0)),"—"))</f>
        <v/>
      </c>
      <c r="K571" s="28">
        <f>IF($D571="","",IFERROR(INDEX(ENVIOS!$H$4:$H$3003,MATCH($D571,ENVIOS!$A$4:$A$3003,0)),"—"))</f>
        <v/>
      </c>
      <c r="L571" s="49">
        <f>IF($D571="","",IFERROR(INDEX(ENVIOS!$C$4:$C$3003,MATCH($D571,ENVIOS!$A$4:$A$3003,0)),""))</f>
        <v/>
      </c>
      <c r="M571" s="50" t="n"/>
      <c r="N571" s="28">
        <f>IF($M571="","",IFERROR(INDEX(CONFIG!$C$4:$C$63,MATCH($M571,CONFIG!$A$4:$A$63,0)),"Media"))</f>
        <v/>
      </c>
      <c r="O571" s="28">
        <f>IF($M571="","",IF($C571="Interna","NO",IFERROR(INDEX(CONFIG!$E$4:$E$63,MATCH($M571,CONFIG!$A$4:$A$63,0)),"NO")))</f>
        <v/>
      </c>
      <c r="P571" s="50" t="n"/>
      <c r="Q571" s="50" t="n"/>
      <c r="R571" s="28">
        <f>IF($Q571="","",IFERROR(INDEX(CONFIG!$H$4:$H$63,MATCH($Q571,CONFIG!$G$4:$G$63,0)),"Por definir"))</f>
        <v/>
      </c>
      <c r="S571" s="28">
        <f>IF($Q571="","",IFERROR(INDEX(CONFIG!$I$4:$I$63,MATCH($Q571,CONFIG!$G$4:$G$63,0)),"Por definir"))</f>
        <v/>
      </c>
      <c r="T571" s="51" t="n"/>
      <c r="U571" s="52" t="n"/>
      <c r="V571" s="50" t="n"/>
      <c r="W571" s="50" t="n"/>
      <c r="X571" s="49">
        <f>IF(OR($B571="",$M571=""),"",WORKDAY($B571,IFERROR(INDEX(CONFIG!$D$4:$D$63,MATCH($M571,CONFIG!$A$4:$A$63,0)),3)))</f>
        <v/>
      </c>
      <c r="Y571" s="47" t="n"/>
      <c r="Z571" s="24">
        <f>IF($B571="","",IF($Y571&lt;&gt;"",$Y571-$B571,TODAY()-$B571))</f>
        <v/>
      </c>
      <c r="AA571" s="28">
        <f>IF($B571="","",IF(IFERROR(INDEX(CONFIG!$L$4:$L$63,MATCH($V571,CONFIG!$K$4:$K$63,0)),"NO")="SÍ",IF(OR($Y571="",$X571=""),"Resuelta",IF($Y571&gt;$X571,"Resuelta tarde","Resuelta a tiempo")),IF($X571="","Sin clasificar",IF(TODAY()&gt;$X571,"Vencida",IF(TODAY()&gt;=$X571-1,"Por vencer","En plazo")))))</f>
        <v/>
      </c>
      <c r="AB571" s="50" t="n"/>
      <c r="AC571" s="50" t="n"/>
    </row>
    <row r="572" ht="16" customHeight="1">
      <c r="A572" s="28">
        <f>IF($B572="","","N-"&amp;TEXT(ROW()-3,"0000"))</f>
        <v/>
      </c>
      <c r="B572" s="47" t="n"/>
      <c r="C572" s="48" t="n"/>
      <c r="D572" s="48" t="n"/>
      <c r="E572" s="28">
        <f>IF($C572="","",IF($D572="",IF($C572="Interna","Sin guía (interna)","FALTA GUÍA"),IF(COUNTIFS(ENVIOS!$A$4:$A$3003,$D572)=0,"NO EXISTE",IF(COUNTIFS(ENVIOS!$A$4:$A$3003,$D572)&gt;1,"DUPLICADA","OK"))))</f>
        <v/>
      </c>
      <c r="F572" s="28">
        <f>IF($D572="","",IFERROR(INDEX(ENVIOS!$B$4:$B$3003,MATCH($D572,ENVIOS!$A$4:$A$3003,0)),"—"))</f>
        <v/>
      </c>
      <c r="G572" s="23">
        <f>IF($D572="","",IFERROR(INDEX(ENVIOS!$D$4:$D$3003,MATCH($D572,ENVIOS!$A$4:$A$3003,0)),"—"))</f>
        <v/>
      </c>
      <c r="H572" s="23">
        <f>IF($D572="","",IFERROR(INDEX(ENVIOS!$E$4:$E$3003,MATCH($D572,ENVIOS!$A$4:$A$3003,0)),"—"))</f>
        <v/>
      </c>
      <c r="I572" s="23">
        <f>IF($D572="","",IFERROR(INDEX(ENVIOS!$F$4:$F$3003,MATCH($D572,ENVIOS!$A$4:$A$3003,0)),"—"))</f>
        <v/>
      </c>
      <c r="J572" s="23">
        <f>IF($D572="","",IFERROR(INDEX(ENVIOS!$G$4:$G$3003,MATCH($D572,ENVIOS!$A$4:$A$3003,0)),"—"))</f>
        <v/>
      </c>
      <c r="K572" s="28">
        <f>IF($D572="","",IFERROR(INDEX(ENVIOS!$H$4:$H$3003,MATCH($D572,ENVIOS!$A$4:$A$3003,0)),"—"))</f>
        <v/>
      </c>
      <c r="L572" s="49">
        <f>IF($D572="","",IFERROR(INDEX(ENVIOS!$C$4:$C$3003,MATCH($D572,ENVIOS!$A$4:$A$3003,0)),""))</f>
        <v/>
      </c>
      <c r="M572" s="50" t="n"/>
      <c r="N572" s="28">
        <f>IF($M572="","",IFERROR(INDEX(CONFIG!$C$4:$C$63,MATCH($M572,CONFIG!$A$4:$A$63,0)),"Media"))</f>
        <v/>
      </c>
      <c r="O572" s="28">
        <f>IF($M572="","",IF($C572="Interna","NO",IFERROR(INDEX(CONFIG!$E$4:$E$63,MATCH($M572,CONFIG!$A$4:$A$63,0)),"NO")))</f>
        <v/>
      </c>
      <c r="P572" s="50" t="n"/>
      <c r="Q572" s="50" t="n"/>
      <c r="R572" s="28">
        <f>IF($Q572="","",IFERROR(INDEX(CONFIG!$H$4:$H$63,MATCH($Q572,CONFIG!$G$4:$G$63,0)),"Por definir"))</f>
        <v/>
      </c>
      <c r="S572" s="28">
        <f>IF($Q572="","",IFERROR(INDEX(CONFIG!$I$4:$I$63,MATCH($Q572,CONFIG!$G$4:$G$63,0)),"Por definir"))</f>
        <v/>
      </c>
      <c r="T572" s="51" t="n"/>
      <c r="U572" s="52" t="n"/>
      <c r="V572" s="50" t="n"/>
      <c r="W572" s="50" t="n"/>
      <c r="X572" s="49">
        <f>IF(OR($B572="",$M572=""),"",WORKDAY($B572,IFERROR(INDEX(CONFIG!$D$4:$D$63,MATCH($M572,CONFIG!$A$4:$A$63,0)),3)))</f>
        <v/>
      </c>
      <c r="Y572" s="47" t="n"/>
      <c r="Z572" s="24">
        <f>IF($B572="","",IF($Y572&lt;&gt;"",$Y572-$B572,TODAY()-$B572))</f>
        <v/>
      </c>
      <c r="AA572" s="28">
        <f>IF($B572="","",IF(IFERROR(INDEX(CONFIG!$L$4:$L$63,MATCH($V572,CONFIG!$K$4:$K$63,0)),"NO")="SÍ",IF(OR($Y572="",$X572=""),"Resuelta",IF($Y572&gt;$X572,"Resuelta tarde","Resuelta a tiempo")),IF($X572="","Sin clasificar",IF(TODAY()&gt;$X572,"Vencida",IF(TODAY()&gt;=$X572-1,"Por vencer","En plazo")))))</f>
        <v/>
      </c>
      <c r="AB572" s="50" t="n"/>
      <c r="AC572" s="50" t="n"/>
    </row>
    <row r="573" ht="16" customHeight="1">
      <c r="A573" s="28">
        <f>IF($B573="","","N-"&amp;TEXT(ROW()-3,"0000"))</f>
        <v/>
      </c>
      <c r="B573" s="47" t="n"/>
      <c r="C573" s="48" t="n"/>
      <c r="D573" s="48" t="n"/>
      <c r="E573" s="28">
        <f>IF($C573="","",IF($D573="",IF($C573="Interna","Sin guía (interna)","FALTA GUÍA"),IF(COUNTIFS(ENVIOS!$A$4:$A$3003,$D573)=0,"NO EXISTE",IF(COUNTIFS(ENVIOS!$A$4:$A$3003,$D573)&gt;1,"DUPLICADA","OK"))))</f>
        <v/>
      </c>
      <c r="F573" s="28">
        <f>IF($D573="","",IFERROR(INDEX(ENVIOS!$B$4:$B$3003,MATCH($D573,ENVIOS!$A$4:$A$3003,0)),"—"))</f>
        <v/>
      </c>
      <c r="G573" s="23">
        <f>IF($D573="","",IFERROR(INDEX(ENVIOS!$D$4:$D$3003,MATCH($D573,ENVIOS!$A$4:$A$3003,0)),"—"))</f>
        <v/>
      </c>
      <c r="H573" s="23">
        <f>IF($D573="","",IFERROR(INDEX(ENVIOS!$E$4:$E$3003,MATCH($D573,ENVIOS!$A$4:$A$3003,0)),"—"))</f>
        <v/>
      </c>
      <c r="I573" s="23">
        <f>IF($D573="","",IFERROR(INDEX(ENVIOS!$F$4:$F$3003,MATCH($D573,ENVIOS!$A$4:$A$3003,0)),"—"))</f>
        <v/>
      </c>
      <c r="J573" s="23">
        <f>IF($D573="","",IFERROR(INDEX(ENVIOS!$G$4:$G$3003,MATCH($D573,ENVIOS!$A$4:$A$3003,0)),"—"))</f>
        <v/>
      </c>
      <c r="K573" s="28">
        <f>IF($D573="","",IFERROR(INDEX(ENVIOS!$H$4:$H$3003,MATCH($D573,ENVIOS!$A$4:$A$3003,0)),"—"))</f>
        <v/>
      </c>
      <c r="L573" s="49">
        <f>IF($D573="","",IFERROR(INDEX(ENVIOS!$C$4:$C$3003,MATCH($D573,ENVIOS!$A$4:$A$3003,0)),""))</f>
        <v/>
      </c>
      <c r="M573" s="50" t="n"/>
      <c r="N573" s="28">
        <f>IF($M573="","",IFERROR(INDEX(CONFIG!$C$4:$C$63,MATCH($M573,CONFIG!$A$4:$A$63,0)),"Media"))</f>
        <v/>
      </c>
      <c r="O573" s="28">
        <f>IF($M573="","",IF($C573="Interna","NO",IFERROR(INDEX(CONFIG!$E$4:$E$63,MATCH($M573,CONFIG!$A$4:$A$63,0)),"NO")))</f>
        <v/>
      </c>
      <c r="P573" s="50" t="n"/>
      <c r="Q573" s="50" t="n"/>
      <c r="R573" s="28">
        <f>IF($Q573="","",IFERROR(INDEX(CONFIG!$H$4:$H$63,MATCH($Q573,CONFIG!$G$4:$G$63,0)),"Por definir"))</f>
        <v/>
      </c>
      <c r="S573" s="28">
        <f>IF($Q573="","",IFERROR(INDEX(CONFIG!$I$4:$I$63,MATCH($Q573,CONFIG!$G$4:$G$63,0)),"Por definir"))</f>
        <v/>
      </c>
      <c r="T573" s="51" t="n"/>
      <c r="U573" s="52" t="n"/>
      <c r="V573" s="50" t="n"/>
      <c r="W573" s="50" t="n"/>
      <c r="X573" s="49">
        <f>IF(OR($B573="",$M573=""),"",WORKDAY($B573,IFERROR(INDEX(CONFIG!$D$4:$D$63,MATCH($M573,CONFIG!$A$4:$A$63,0)),3)))</f>
        <v/>
      </c>
      <c r="Y573" s="47" t="n"/>
      <c r="Z573" s="24">
        <f>IF($B573="","",IF($Y573&lt;&gt;"",$Y573-$B573,TODAY()-$B573))</f>
        <v/>
      </c>
      <c r="AA573" s="28">
        <f>IF($B573="","",IF(IFERROR(INDEX(CONFIG!$L$4:$L$63,MATCH($V573,CONFIG!$K$4:$K$63,0)),"NO")="SÍ",IF(OR($Y573="",$X573=""),"Resuelta",IF($Y573&gt;$X573,"Resuelta tarde","Resuelta a tiempo")),IF($X573="","Sin clasificar",IF(TODAY()&gt;$X573,"Vencida",IF(TODAY()&gt;=$X573-1,"Por vencer","En plazo")))))</f>
        <v/>
      </c>
      <c r="AB573" s="50" t="n"/>
      <c r="AC573" s="50" t="n"/>
    </row>
    <row r="574" ht="16" customHeight="1">
      <c r="A574" s="28">
        <f>IF($B574="","","N-"&amp;TEXT(ROW()-3,"0000"))</f>
        <v/>
      </c>
      <c r="B574" s="47" t="n"/>
      <c r="C574" s="48" t="n"/>
      <c r="D574" s="48" t="n"/>
      <c r="E574" s="28">
        <f>IF($C574="","",IF($D574="",IF($C574="Interna","Sin guía (interna)","FALTA GUÍA"),IF(COUNTIFS(ENVIOS!$A$4:$A$3003,$D574)=0,"NO EXISTE",IF(COUNTIFS(ENVIOS!$A$4:$A$3003,$D574)&gt;1,"DUPLICADA","OK"))))</f>
        <v/>
      </c>
      <c r="F574" s="28">
        <f>IF($D574="","",IFERROR(INDEX(ENVIOS!$B$4:$B$3003,MATCH($D574,ENVIOS!$A$4:$A$3003,0)),"—"))</f>
        <v/>
      </c>
      <c r="G574" s="23">
        <f>IF($D574="","",IFERROR(INDEX(ENVIOS!$D$4:$D$3003,MATCH($D574,ENVIOS!$A$4:$A$3003,0)),"—"))</f>
        <v/>
      </c>
      <c r="H574" s="23">
        <f>IF($D574="","",IFERROR(INDEX(ENVIOS!$E$4:$E$3003,MATCH($D574,ENVIOS!$A$4:$A$3003,0)),"—"))</f>
        <v/>
      </c>
      <c r="I574" s="23">
        <f>IF($D574="","",IFERROR(INDEX(ENVIOS!$F$4:$F$3003,MATCH($D574,ENVIOS!$A$4:$A$3003,0)),"—"))</f>
        <v/>
      </c>
      <c r="J574" s="23">
        <f>IF($D574="","",IFERROR(INDEX(ENVIOS!$G$4:$G$3003,MATCH($D574,ENVIOS!$A$4:$A$3003,0)),"—"))</f>
        <v/>
      </c>
      <c r="K574" s="28">
        <f>IF($D574="","",IFERROR(INDEX(ENVIOS!$H$4:$H$3003,MATCH($D574,ENVIOS!$A$4:$A$3003,0)),"—"))</f>
        <v/>
      </c>
      <c r="L574" s="49">
        <f>IF($D574="","",IFERROR(INDEX(ENVIOS!$C$4:$C$3003,MATCH($D574,ENVIOS!$A$4:$A$3003,0)),""))</f>
        <v/>
      </c>
      <c r="M574" s="50" t="n"/>
      <c r="N574" s="28">
        <f>IF($M574="","",IFERROR(INDEX(CONFIG!$C$4:$C$63,MATCH($M574,CONFIG!$A$4:$A$63,0)),"Media"))</f>
        <v/>
      </c>
      <c r="O574" s="28">
        <f>IF($M574="","",IF($C574="Interna","NO",IFERROR(INDEX(CONFIG!$E$4:$E$63,MATCH($M574,CONFIG!$A$4:$A$63,0)),"NO")))</f>
        <v/>
      </c>
      <c r="P574" s="50" t="n"/>
      <c r="Q574" s="50" t="n"/>
      <c r="R574" s="28">
        <f>IF($Q574="","",IFERROR(INDEX(CONFIG!$H$4:$H$63,MATCH($Q574,CONFIG!$G$4:$G$63,0)),"Por definir"))</f>
        <v/>
      </c>
      <c r="S574" s="28">
        <f>IF($Q574="","",IFERROR(INDEX(CONFIG!$I$4:$I$63,MATCH($Q574,CONFIG!$G$4:$G$63,0)),"Por definir"))</f>
        <v/>
      </c>
      <c r="T574" s="51" t="n"/>
      <c r="U574" s="52" t="n"/>
      <c r="V574" s="50" t="n"/>
      <c r="W574" s="50" t="n"/>
      <c r="X574" s="49">
        <f>IF(OR($B574="",$M574=""),"",WORKDAY($B574,IFERROR(INDEX(CONFIG!$D$4:$D$63,MATCH($M574,CONFIG!$A$4:$A$63,0)),3)))</f>
        <v/>
      </c>
      <c r="Y574" s="47" t="n"/>
      <c r="Z574" s="24">
        <f>IF($B574="","",IF($Y574&lt;&gt;"",$Y574-$B574,TODAY()-$B574))</f>
        <v/>
      </c>
      <c r="AA574" s="28">
        <f>IF($B574="","",IF(IFERROR(INDEX(CONFIG!$L$4:$L$63,MATCH($V574,CONFIG!$K$4:$K$63,0)),"NO")="SÍ",IF(OR($Y574="",$X574=""),"Resuelta",IF($Y574&gt;$X574,"Resuelta tarde","Resuelta a tiempo")),IF($X574="","Sin clasificar",IF(TODAY()&gt;$X574,"Vencida",IF(TODAY()&gt;=$X574-1,"Por vencer","En plazo")))))</f>
        <v/>
      </c>
      <c r="AB574" s="50" t="n"/>
      <c r="AC574" s="50" t="n"/>
    </row>
    <row r="575" ht="16" customHeight="1">
      <c r="A575" s="28">
        <f>IF($B575="","","N-"&amp;TEXT(ROW()-3,"0000"))</f>
        <v/>
      </c>
      <c r="B575" s="47" t="n"/>
      <c r="C575" s="48" t="n"/>
      <c r="D575" s="48" t="n"/>
      <c r="E575" s="28">
        <f>IF($C575="","",IF($D575="",IF($C575="Interna","Sin guía (interna)","FALTA GUÍA"),IF(COUNTIFS(ENVIOS!$A$4:$A$3003,$D575)=0,"NO EXISTE",IF(COUNTIFS(ENVIOS!$A$4:$A$3003,$D575)&gt;1,"DUPLICADA","OK"))))</f>
        <v/>
      </c>
      <c r="F575" s="28">
        <f>IF($D575="","",IFERROR(INDEX(ENVIOS!$B$4:$B$3003,MATCH($D575,ENVIOS!$A$4:$A$3003,0)),"—"))</f>
        <v/>
      </c>
      <c r="G575" s="23">
        <f>IF($D575="","",IFERROR(INDEX(ENVIOS!$D$4:$D$3003,MATCH($D575,ENVIOS!$A$4:$A$3003,0)),"—"))</f>
        <v/>
      </c>
      <c r="H575" s="23">
        <f>IF($D575="","",IFERROR(INDEX(ENVIOS!$E$4:$E$3003,MATCH($D575,ENVIOS!$A$4:$A$3003,0)),"—"))</f>
        <v/>
      </c>
      <c r="I575" s="23">
        <f>IF($D575="","",IFERROR(INDEX(ENVIOS!$F$4:$F$3003,MATCH($D575,ENVIOS!$A$4:$A$3003,0)),"—"))</f>
        <v/>
      </c>
      <c r="J575" s="23">
        <f>IF($D575="","",IFERROR(INDEX(ENVIOS!$G$4:$G$3003,MATCH($D575,ENVIOS!$A$4:$A$3003,0)),"—"))</f>
        <v/>
      </c>
      <c r="K575" s="28">
        <f>IF($D575="","",IFERROR(INDEX(ENVIOS!$H$4:$H$3003,MATCH($D575,ENVIOS!$A$4:$A$3003,0)),"—"))</f>
        <v/>
      </c>
      <c r="L575" s="49">
        <f>IF($D575="","",IFERROR(INDEX(ENVIOS!$C$4:$C$3003,MATCH($D575,ENVIOS!$A$4:$A$3003,0)),""))</f>
        <v/>
      </c>
      <c r="M575" s="50" t="n"/>
      <c r="N575" s="28">
        <f>IF($M575="","",IFERROR(INDEX(CONFIG!$C$4:$C$63,MATCH($M575,CONFIG!$A$4:$A$63,0)),"Media"))</f>
        <v/>
      </c>
      <c r="O575" s="28">
        <f>IF($M575="","",IF($C575="Interna","NO",IFERROR(INDEX(CONFIG!$E$4:$E$63,MATCH($M575,CONFIG!$A$4:$A$63,0)),"NO")))</f>
        <v/>
      </c>
      <c r="P575" s="50" t="n"/>
      <c r="Q575" s="50" t="n"/>
      <c r="R575" s="28">
        <f>IF($Q575="","",IFERROR(INDEX(CONFIG!$H$4:$H$63,MATCH($Q575,CONFIG!$G$4:$G$63,0)),"Por definir"))</f>
        <v/>
      </c>
      <c r="S575" s="28">
        <f>IF($Q575="","",IFERROR(INDEX(CONFIG!$I$4:$I$63,MATCH($Q575,CONFIG!$G$4:$G$63,0)),"Por definir"))</f>
        <v/>
      </c>
      <c r="T575" s="51" t="n"/>
      <c r="U575" s="52" t="n"/>
      <c r="V575" s="50" t="n"/>
      <c r="W575" s="50" t="n"/>
      <c r="X575" s="49">
        <f>IF(OR($B575="",$M575=""),"",WORKDAY($B575,IFERROR(INDEX(CONFIG!$D$4:$D$63,MATCH($M575,CONFIG!$A$4:$A$63,0)),3)))</f>
        <v/>
      </c>
      <c r="Y575" s="47" t="n"/>
      <c r="Z575" s="24">
        <f>IF($B575="","",IF($Y575&lt;&gt;"",$Y575-$B575,TODAY()-$B575))</f>
        <v/>
      </c>
      <c r="AA575" s="28">
        <f>IF($B575="","",IF(IFERROR(INDEX(CONFIG!$L$4:$L$63,MATCH($V575,CONFIG!$K$4:$K$63,0)),"NO")="SÍ",IF(OR($Y575="",$X575=""),"Resuelta",IF($Y575&gt;$X575,"Resuelta tarde","Resuelta a tiempo")),IF($X575="","Sin clasificar",IF(TODAY()&gt;$X575,"Vencida",IF(TODAY()&gt;=$X575-1,"Por vencer","En plazo")))))</f>
        <v/>
      </c>
      <c r="AB575" s="50" t="n"/>
      <c r="AC575" s="50" t="n"/>
    </row>
    <row r="576" ht="16" customHeight="1">
      <c r="A576" s="28">
        <f>IF($B576="","","N-"&amp;TEXT(ROW()-3,"0000"))</f>
        <v/>
      </c>
      <c r="B576" s="47" t="n"/>
      <c r="C576" s="48" t="n"/>
      <c r="D576" s="48" t="n"/>
      <c r="E576" s="28">
        <f>IF($C576="","",IF($D576="",IF($C576="Interna","Sin guía (interna)","FALTA GUÍA"),IF(COUNTIFS(ENVIOS!$A$4:$A$3003,$D576)=0,"NO EXISTE",IF(COUNTIFS(ENVIOS!$A$4:$A$3003,$D576)&gt;1,"DUPLICADA","OK"))))</f>
        <v/>
      </c>
      <c r="F576" s="28">
        <f>IF($D576="","",IFERROR(INDEX(ENVIOS!$B$4:$B$3003,MATCH($D576,ENVIOS!$A$4:$A$3003,0)),"—"))</f>
        <v/>
      </c>
      <c r="G576" s="23">
        <f>IF($D576="","",IFERROR(INDEX(ENVIOS!$D$4:$D$3003,MATCH($D576,ENVIOS!$A$4:$A$3003,0)),"—"))</f>
        <v/>
      </c>
      <c r="H576" s="23">
        <f>IF($D576="","",IFERROR(INDEX(ENVIOS!$E$4:$E$3003,MATCH($D576,ENVIOS!$A$4:$A$3003,0)),"—"))</f>
        <v/>
      </c>
      <c r="I576" s="23">
        <f>IF($D576="","",IFERROR(INDEX(ENVIOS!$F$4:$F$3003,MATCH($D576,ENVIOS!$A$4:$A$3003,0)),"—"))</f>
        <v/>
      </c>
      <c r="J576" s="23">
        <f>IF($D576="","",IFERROR(INDEX(ENVIOS!$G$4:$G$3003,MATCH($D576,ENVIOS!$A$4:$A$3003,0)),"—"))</f>
        <v/>
      </c>
      <c r="K576" s="28">
        <f>IF($D576="","",IFERROR(INDEX(ENVIOS!$H$4:$H$3003,MATCH($D576,ENVIOS!$A$4:$A$3003,0)),"—"))</f>
        <v/>
      </c>
      <c r="L576" s="49">
        <f>IF($D576="","",IFERROR(INDEX(ENVIOS!$C$4:$C$3003,MATCH($D576,ENVIOS!$A$4:$A$3003,0)),""))</f>
        <v/>
      </c>
      <c r="M576" s="50" t="n"/>
      <c r="N576" s="28">
        <f>IF($M576="","",IFERROR(INDEX(CONFIG!$C$4:$C$63,MATCH($M576,CONFIG!$A$4:$A$63,0)),"Media"))</f>
        <v/>
      </c>
      <c r="O576" s="28">
        <f>IF($M576="","",IF($C576="Interna","NO",IFERROR(INDEX(CONFIG!$E$4:$E$63,MATCH($M576,CONFIG!$A$4:$A$63,0)),"NO")))</f>
        <v/>
      </c>
      <c r="P576" s="50" t="n"/>
      <c r="Q576" s="50" t="n"/>
      <c r="R576" s="28">
        <f>IF($Q576="","",IFERROR(INDEX(CONFIG!$H$4:$H$63,MATCH($Q576,CONFIG!$G$4:$G$63,0)),"Por definir"))</f>
        <v/>
      </c>
      <c r="S576" s="28">
        <f>IF($Q576="","",IFERROR(INDEX(CONFIG!$I$4:$I$63,MATCH($Q576,CONFIG!$G$4:$G$63,0)),"Por definir"))</f>
        <v/>
      </c>
      <c r="T576" s="51" t="n"/>
      <c r="U576" s="52" t="n"/>
      <c r="V576" s="50" t="n"/>
      <c r="W576" s="50" t="n"/>
      <c r="X576" s="49">
        <f>IF(OR($B576="",$M576=""),"",WORKDAY($B576,IFERROR(INDEX(CONFIG!$D$4:$D$63,MATCH($M576,CONFIG!$A$4:$A$63,0)),3)))</f>
        <v/>
      </c>
      <c r="Y576" s="47" t="n"/>
      <c r="Z576" s="24">
        <f>IF($B576="","",IF($Y576&lt;&gt;"",$Y576-$B576,TODAY()-$B576))</f>
        <v/>
      </c>
      <c r="AA576" s="28">
        <f>IF($B576="","",IF(IFERROR(INDEX(CONFIG!$L$4:$L$63,MATCH($V576,CONFIG!$K$4:$K$63,0)),"NO")="SÍ",IF(OR($Y576="",$X576=""),"Resuelta",IF($Y576&gt;$X576,"Resuelta tarde","Resuelta a tiempo")),IF($X576="","Sin clasificar",IF(TODAY()&gt;$X576,"Vencida",IF(TODAY()&gt;=$X576-1,"Por vencer","En plazo")))))</f>
        <v/>
      </c>
      <c r="AB576" s="50" t="n"/>
      <c r="AC576" s="50" t="n"/>
    </row>
    <row r="577" ht="16" customHeight="1">
      <c r="A577" s="28">
        <f>IF($B577="","","N-"&amp;TEXT(ROW()-3,"0000"))</f>
        <v/>
      </c>
      <c r="B577" s="47" t="n"/>
      <c r="C577" s="48" t="n"/>
      <c r="D577" s="48" t="n"/>
      <c r="E577" s="28">
        <f>IF($C577="","",IF($D577="",IF($C577="Interna","Sin guía (interna)","FALTA GUÍA"),IF(COUNTIFS(ENVIOS!$A$4:$A$3003,$D577)=0,"NO EXISTE",IF(COUNTIFS(ENVIOS!$A$4:$A$3003,$D577)&gt;1,"DUPLICADA","OK"))))</f>
        <v/>
      </c>
      <c r="F577" s="28">
        <f>IF($D577="","",IFERROR(INDEX(ENVIOS!$B$4:$B$3003,MATCH($D577,ENVIOS!$A$4:$A$3003,0)),"—"))</f>
        <v/>
      </c>
      <c r="G577" s="23">
        <f>IF($D577="","",IFERROR(INDEX(ENVIOS!$D$4:$D$3003,MATCH($D577,ENVIOS!$A$4:$A$3003,0)),"—"))</f>
        <v/>
      </c>
      <c r="H577" s="23">
        <f>IF($D577="","",IFERROR(INDEX(ENVIOS!$E$4:$E$3003,MATCH($D577,ENVIOS!$A$4:$A$3003,0)),"—"))</f>
        <v/>
      </c>
      <c r="I577" s="23">
        <f>IF($D577="","",IFERROR(INDEX(ENVIOS!$F$4:$F$3003,MATCH($D577,ENVIOS!$A$4:$A$3003,0)),"—"))</f>
        <v/>
      </c>
      <c r="J577" s="23">
        <f>IF($D577="","",IFERROR(INDEX(ENVIOS!$G$4:$G$3003,MATCH($D577,ENVIOS!$A$4:$A$3003,0)),"—"))</f>
        <v/>
      </c>
      <c r="K577" s="28">
        <f>IF($D577="","",IFERROR(INDEX(ENVIOS!$H$4:$H$3003,MATCH($D577,ENVIOS!$A$4:$A$3003,0)),"—"))</f>
        <v/>
      </c>
      <c r="L577" s="49">
        <f>IF($D577="","",IFERROR(INDEX(ENVIOS!$C$4:$C$3003,MATCH($D577,ENVIOS!$A$4:$A$3003,0)),""))</f>
        <v/>
      </c>
      <c r="M577" s="50" t="n"/>
      <c r="N577" s="28">
        <f>IF($M577="","",IFERROR(INDEX(CONFIG!$C$4:$C$63,MATCH($M577,CONFIG!$A$4:$A$63,0)),"Media"))</f>
        <v/>
      </c>
      <c r="O577" s="28">
        <f>IF($M577="","",IF($C577="Interna","NO",IFERROR(INDEX(CONFIG!$E$4:$E$63,MATCH($M577,CONFIG!$A$4:$A$63,0)),"NO")))</f>
        <v/>
      </c>
      <c r="P577" s="50" t="n"/>
      <c r="Q577" s="50" t="n"/>
      <c r="R577" s="28">
        <f>IF($Q577="","",IFERROR(INDEX(CONFIG!$H$4:$H$63,MATCH($Q577,CONFIG!$G$4:$G$63,0)),"Por definir"))</f>
        <v/>
      </c>
      <c r="S577" s="28">
        <f>IF($Q577="","",IFERROR(INDEX(CONFIG!$I$4:$I$63,MATCH($Q577,CONFIG!$G$4:$G$63,0)),"Por definir"))</f>
        <v/>
      </c>
      <c r="T577" s="51" t="n"/>
      <c r="U577" s="52" t="n"/>
      <c r="V577" s="50" t="n"/>
      <c r="W577" s="50" t="n"/>
      <c r="X577" s="49">
        <f>IF(OR($B577="",$M577=""),"",WORKDAY($B577,IFERROR(INDEX(CONFIG!$D$4:$D$63,MATCH($M577,CONFIG!$A$4:$A$63,0)),3)))</f>
        <v/>
      </c>
      <c r="Y577" s="47" t="n"/>
      <c r="Z577" s="24">
        <f>IF($B577="","",IF($Y577&lt;&gt;"",$Y577-$B577,TODAY()-$B577))</f>
        <v/>
      </c>
      <c r="AA577" s="28">
        <f>IF($B577="","",IF(IFERROR(INDEX(CONFIG!$L$4:$L$63,MATCH($V577,CONFIG!$K$4:$K$63,0)),"NO")="SÍ",IF(OR($Y577="",$X577=""),"Resuelta",IF($Y577&gt;$X577,"Resuelta tarde","Resuelta a tiempo")),IF($X577="","Sin clasificar",IF(TODAY()&gt;$X577,"Vencida",IF(TODAY()&gt;=$X577-1,"Por vencer","En plazo")))))</f>
        <v/>
      </c>
      <c r="AB577" s="50" t="n"/>
      <c r="AC577" s="50" t="n"/>
    </row>
    <row r="578" ht="16" customHeight="1">
      <c r="A578" s="28">
        <f>IF($B578="","","N-"&amp;TEXT(ROW()-3,"0000"))</f>
        <v/>
      </c>
      <c r="B578" s="47" t="n"/>
      <c r="C578" s="48" t="n"/>
      <c r="D578" s="48" t="n"/>
      <c r="E578" s="28">
        <f>IF($C578="","",IF($D578="",IF($C578="Interna","Sin guía (interna)","FALTA GUÍA"),IF(COUNTIFS(ENVIOS!$A$4:$A$3003,$D578)=0,"NO EXISTE",IF(COUNTIFS(ENVIOS!$A$4:$A$3003,$D578)&gt;1,"DUPLICADA","OK"))))</f>
        <v/>
      </c>
      <c r="F578" s="28">
        <f>IF($D578="","",IFERROR(INDEX(ENVIOS!$B$4:$B$3003,MATCH($D578,ENVIOS!$A$4:$A$3003,0)),"—"))</f>
        <v/>
      </c>
      <c r="G578" s="23">
        <f>IF($D578="","",IFERROR(INDEX(ENVIOS!$D$4:$D$3003,MATCH($D578,ENVIOS!$A$4:$A$3003,0)),"—"))</f>
        <v/>
      </c>
      <c r="H578" s="23">
        <f>IF($D578="","",IFERROR(INDEX(ENVIOS!$E$4:$E$3003,MATCH($D578,ENVIOS!$A$4:$A$3003,0)),"—"))</f>
        <v/>
      </c>
      <c r="I578" s="23">
        <f>IF($D578="","",IFERROR(INDEX(ENVIOS!$F$4:$F$3003,MATCH($D578,ENVIOS!$A$4:$A$3003,0)),"—"))</f>
        <v/>
      </c>
      <c r="J578" s="23">
        <f>IF($D578="","",IFERROR(INDEX(ENVIOS!$G$4:$G$3003,MATCH($D578,ENVIOS!$A$4:$A$3003,0)),"—"))</f>
        <v/>
      </c>
      <c r="K578" s="28">
        <f>IF($D578="","",IFERROR(INDEX(ENVIOS!$H$4:$H$3003,MATCH($D578,ENVIOS!$A$4:$A$3003,0)),"—"))</f>
        <v/>
      </c>
      <c r="L578" s="49">
        <f>IF($D578="","",IFERROR(INDEX(ENVIOS!$C$4:$C$3003,MATCH($D578,ENVIOS!$A$4:$A$3003,0)),""))</f>
        <v/>
      </c>
      <c r="M578" s="50" t="n"/>
      <c r="N578" s="28">
        <f>IF($M578="","",IFERROR(INDEX(CONFIG!$C$4:$C$63,MATCH($M578,CONFIG!$A$4:$A$63,0)),"Media"))</f>
        <v/>
      </c>
      <c r="O578" s="28">
        <f>IF($M578="","",IF($C578="Interna","NO",IFERROR(INDEX(CONFIG!$E$4:$E$63,MATCH($M578,CONFIG!$A$4:$A$63,0)),"NO")))</f>
        <v/>
      </c>
      <c r="P578" s="50" t="n"/>
      <c r="Q578" s="50" t="n"/>
      <c r="R578" s="28">
        <f>IF($Q578="","",IFERROR(INDEX(CONFIG!$H$4:$H$63,MATCH($Q578,CONFIG!$G$4:$G$63,0)),"Por definir"))</f>
        <v/>
      </c>
      <c r="S578" s="28">
        <f>IF($Q578="","",IFERROR(INDEX(CONFIG!$I$4:$I$63,MATCH($Q578,CONFIG!$G$4:$G$63,0)),"Por definir"))</f>
        <v/>
      </c>
      <c r="T578" s="51" t="n"/>
      <c r="U578" s="52" t="n"/>
      <c r="V578" s="50" t="n"/>
      <c r="W578" s="50" t="n"/>
      <c r="X578" s="49">
        <f>IF(OR($B578="",$M578=""),"",WORKDAY($B578,IFERROR(INDEX(CONFIG!$D$4:$D$63,MATCH($M578,CONFIG!$A$4:$A$63,0)),3)))</f>
        <v/>
      </c>
      <c r="Y578" s="47" t="n"/>
      <c r="Z578" s="24">
        <f>IF($B578="","",IF($Y578&lt;&gt;"",$Y578-$B578,TODAY()-$B578))</f>
        <v/>
      </c>
      <c r="AA578" s="28">
        <f>IF($B578="","",IF(IFERROR(INDEX(CONFIG!$L$4:$L$63,MATCH($V578,CONFIG!$K$4:$K$63,0)),"NO")="SÍ",IF(OR($Y578="",$X578=""),"Resuelta",IF($Y578&gt;$X578,"Resuelta tarde","Resuelta a tiempo")),IF($X578="","Sin clasificar",IF(TODAY()&gt;$X578,"Vencida",IF(TODAY()&gt;=$X578-1,"Por vencer","En plazo")))))</f>
        <v/>
      </c>
      <c r="AB578" s="50" t="n"/>
      <c r="AC578" s="50" t="n"/>
    </row>
    <row r="579" ht="16" customHeight="1">
      <c r="A579" s="28">
        <f>IF($B579="","","N-"&amp;TEXT(ROW()-3,"0000"))</f>
        <v/>
      </c>
      <c r="B579" s="47" t="n"/>
      <c r="C579" s="48" t="n"/>
      <c r="D579" s="48" t="n"/>
      <c r="E579" s="28">
        <f>IF($C579="","",IF($D579="",IF($C579="Interna","Sin guía (interna)","FALTA GUÍA"),IF(COUNTIFS(ENVIOS!$A$4:$A$3003,$D579)=0,"NO EXISTE",IF(COUNTIFS(ENVIOS!$A$4:$A$3003,$D579)&gt;1,"DUPLICADA","OK"))))</f>
        <v/>
      </c>
      <c r="F579" s="28">
        <f>IF($D579="","",IFERROR(INDEX(ENVIOS!$B$4:$B$3003,MATCH($D579,ENVIOS!$A$4:$A$3003,0)),"—"))</f>
        <v/>
      </c>
      <c r="G579" s="23">
        <f>IF($D579="","",IFERROR(INDEX(ENVIOS!$D$4:$D$3003,MATCH($D579,ENVIOS!$A$4:$A$3003,0)),"—"))</f>
        <v/>
      </c>
      <c r="H579" s="23">
        <f>IF($D579="","",IFERROR(INDEX(ENVIOS!$E$4:$E$3003,MATCH($D579,ENVIOS!$A$4:$A$3003,0)),"—"))</f>
        <v/>
      </c>
      <c r="I579" s="23">
        <f>IF($D579="","",IFERROR(INDEX(ENVIOS!$F$4:$F$3003,MATCH($D579,ENVIOS!$A$4:$A$3003,0)),"—"))</f>
        <v/>
      </c>
      <c r="J579" s="23">
        <f>IF($D579="","",IFERROR(INDEX(ENVIOS!$G$4:$G$3003,MATCH($D579,ENVIOS!$A$4:$A$3003,0)),"—"))</f>
        <v/>
      </c>
      <c r="K579" s="28">
        <f>IF($D579="","",IFERROR(INDEX(ENVIOS!$H$4:$H$3003,MATCH($D579,ENVIOS!$A$4:$A$3003,0)),"—"))</f>
        <v/>
      </c>
      <c r="L579" s="49">
        <f>IF($D579="","",IFERROR(INDEX(ENVIOS!$C$4:$C$3003,MATCH($D579,ENVIOS!$A$4:$A$3003,0)),""))</f>
        <v/>
      </c>
      <c r="M579" s="50" t="n"/>
      <c r="N579" s="28">
        <f>IF($M579="","",IFERROR(INDEX(CONFIG!$C$4:$C$63,MATCH($M579,CONFIG!$A$4:$A$63,0)),"Media"))</f>
        <v/>
      </c>
      <c r="O579" s="28">
        <f>IF($M579="","",IF($C579="Interna","NO",IFERROR(INDEX(CONFIG!$E$4:$E$63,MATCH($M579,CONFIG!$A$4:$A$63,0)),"NO")))</f>
        <v/>
      </c>
      <c r="P579" s="50" t="n"/>
      <c r="Q579" s="50" t="n"/>
      <c r="R579" s="28">
        <f>IF($Q579="","",IFERROR(INDEX(CONFIG!$H$4:$H$63,MATCH($Q579,CONFIG!$G$4:$G$63,0)),"Por definir"))</f>
        <v/>
      </c>
      <c r="S579" s="28">
        <f>IF($Q579="","",IFERROR(INDEX(CONFIG!$I$4:$I$63,MATCH($Q579,CONFIG!$G$4:$G$63,0)),"Por definir"))</f>
        <v/>
      </c>
      <c r="T579" s="51" t="n"/>
      <c r="U579" s="52" t="n"/>
      <c r="V579" s="50" t="n"/>
      <c r="W579" s="50" t="n"/>
      <c r="X579" s="49">
        <f>IF(OR($B579="",$M579=""),"",WORKDAY($B579,IFERROR(INDEX(CONFIG!$D$4:$D$63,MATCH($M579,CONFIG!$A$4:$A$63,0)),3)))</f>
        <v/>
      </c>
      <c r="Y579" s="47" t="n"/>
      <c r="Z579" s="24">
        <f>IF($B579="","",IF($Y579&lt;&gt;"",$Y579-$B579,TODAY()-$B579))</f>
        <v/>
      </c>
      <c r="AA579" s="28">
        <f>IF($B579="","",IF(IFERROR(INDEX(CONFIG!$L$4:$L$63,MATCH($V579,CONFIG!$K$4:$K$63,0)),"NO")="SÍ",IF(OR($Y579="",$X579=""),"Resuelta",IF($Y579&gt;$X579,"Resuelta tarde","Resuelta a tiempo")),IF($X579="","Sin clasificar",IF(TODAY()&gt;$X579,"Vencida",IF(TODAY()&gt;=$X579-1,"Por vencer","En plazo")))))</f>
        <v/>
      </c>
      <c r="AB579" s="50" t="n"/>
      <c r="AC579" s="50" t="n"/>
    </row>
    <row r="580" ht="16" customHeight="1">
      <c r="A580" s="28">
        <f>IF($B580="","","N-"&amp;TEXT(ROW()-3,"0000"))</f>
        <v/>
      </c>
      <c r="B580" s="47" t="n"/>
      <c r="C580" s="48" t="n"/>
      <c r="D580" s="48" t="n"/>
      <c r="E580" s="28">
        <f>IF($C580="","",IF($D580="",IF($C580="Interna","Sin guía (interna)","FALTA GUÍA"),IF(COUNTIFS(ENVIOS!$A$4:$A$3003,$D580)=0,"NO EXISTE",IF(COUNTIFS(ENVIOS!$A$4:$A$3003,$D580)&gt;1,"DUPLICADA","OK"))))</f>
        <v/>
      </c>
      <c r="F580" s="28">
        <f>IF($D580="","",IFERROR(INDEX(ENVIOS!$B$4:$B$3003,MATCH($D580,ENVIOS!$A$4:$A$3003,0)),"—"))</f>
        <v/>
      </c>
      <c r="G580" s="23">
        <f>IF($D580="","",IFERROR(INDEX(ENVIOS!$D$4:$D$3003,MATCH($D580,ENVIOS!$A$4:$A$3003,0)),"—"))</f>
        <v/>
      </c>
      <c r="H580" s="23">
        <f>IF($D580="","",IFERROR(INDEX(ENVIOS!$E$4:$E$3003,MATCH($D580,ENVIOS!$A$4:$A$3003,0)),"—"))</f>
        <v/>
      </c>
      <c r="I580" s="23">
        <f>IF($D580="","",IFERROR(INDEX(ENVIOS!$F$4:$F$3003,MATCH($D580,ENVIOS!$A$4:$A$3003,0)),"—"))</f>
        <v/>
      </c>
      <c r="J580" s="23">
        <f>IF($D580="","",IFERROR(INDEX(ENVIOS!$G$4:$G$3003,MATCH($D580,ENVIOS!$A$4:$A$3003,0)),"—"))</f>
        <v/>
      </c>
      <c r="K580" s="28">
        <f>IF($D580="","",IFERROR(INDEX(ENVIOS!$H$4:$H$3003,MATCH($D580,ENVIOS!$A$4:$A$3003,0)),"—"))</f>
        <v/>
      </c>
      <c r="L580" s="49">
        <f>IF($D580="","",IFERROR(INDEX(ENVIOS!$C$4:$C$3003,MATCH($D580,ENVIOS!$A$4:$A$3003,0)),""))</f>
        <v/>
      </c>
      <c r="M580" s="50" t="n"/>
      <c r="N580" s="28">
        <f>IF($M580="","",IFERROR(INDEX(CONFIG!$C$4:$C$63,MATCH($M580,CONFIG!$A$4:$A$63,0)),"Media"))</f>
        <v/>
      </c>
      <c r="O580" s="28">
        <f>IF($M580="","",IF($C580="Interna","NO",IFERROR(INDEX(CONFIG!$E$4:$E$63,MATCH($M580,CONFIG!$A$4:$A$63,0)),"NO")))</f>
        <v/>
      </c>
      <c r="P580" s="50" t="n"/>
      <c r="Q580" s="50" t="n"/>
      <c r="R580" s="28">
        <f>IF($Q580="","",IFERROR(INDEX(CONFIG!$H$4:$H$63,MATCH($Q580,CONFIG!$G$4:$G$63,0)),"Por definir"))</f>
        <v/>
      </c>
      <c r="S580" s="28">
        <f>IF($Q580="","",IFERROR(INDEX(CONFIG!$I$4:$I$63,MATCH($Q580,CONFIG!$G$4:$G$63,0)),"Por definir"))</f>
        <v/>
      </c>
      <c r="T580" s="51" t="n"/>
      <c r="U580" s="52" t="n"/>
      <c r="V580" s="50" t="n"/>
      <c r="W580" s="50" t="n"/>
      <c r="X580" s="49">
        <f>IF(OR($B580="",$M580=""),"",WORKDAY($B580,IFERROR(INDEX(CONFIG!$D$4:$D$63,MATCH($M580,CONFIG!$A$4:$A$63,0)),3)))</f>
        <v/>
      </c>
      <c r="Y580" s="47" t="n"/>
      <c r="Z580" s="24">
        <f>IF($B580="","",IF($Y580&lt;&gt;"",$Y580-$B580,TODAY()-$B580))</f>
        <v/>
      </c>
      <c r="AA580" s="28">
        <f>IF($B580="","",IF(IFERROR(INDEX(CONFIG!$L$4:$L$63,MATCH($V580,CONFIG!$K$4:$K$63,0)),"NO")="SÍ",IF(OR($Y580="",$X580=""),"Resuelta",IF($Y580&gt;$X580,"Resuelta tarde","Resuelta a tiempo")),IF($X580="","Sin clasificar",IF(TODAY()&gt;$X580,"Vencida",IF(TODAY()&gt;=$X580-1,"Por vencer","En plazo")))))</f>
        <v/>
      </c>
      <c r="AB580" s="50" t="n"/>
      <c r="AC580" s="50" t="n"/>
    </row>
    <row r="581" ht="16" customHeight="1">
      <c r="A581" s="28">
        <f>IF($B581="","","N-"&amp;TEXT(ROW()-3,"0000"))</f>
        <v/>
      </c>
      <c r="B581" s="47" t="n"/>
      <c r="C581" s="48" t="n"/>
      <c r="D581" s="48" t="n"/>
      <c r="E581" s="28">
        <f>IF($C581="","",IF($D581="",IF($C581="Interna","Sin guía (interna)","FALTA GUÍA"),IF(COUNTIFS(ENVIOS!$A$4:$A$3003,$D581)=0,"NO EXISTE",IF(COUNTIFS(ENVIOS!$A$4:$A$3003,$D581)&gt;1,"DUPLICADA","OK"))))</f>
        <v/>
      </c>
      <c r="F581" s="28">
        <f>IF($D581="","",IFERROR(INDEX(ENVIOS!$B$4:$B$3003,MATCH($D581,ENVIOS!$A$4:$A$3003,0)),"—"))</f>
        <v/>
      </c>
      <c r="G581" s="23">
        <f>IF($D581="","",IFERROR(INDEX(ENVIOS!$D$4:$D$3003,MATCH($D581,ENVIOS!$A$4:$A$3003,0)),"—"))</f>
        <v/>
      </c>
      <c r="H581" s="23">
        <f>IF($D581="","",IFERROR(INDEX(ENVIOS!$E$4:$E$3003,MATCH($D581,ENVIOS!$A$4:$A$3003,0)),"—"))</f>
        <v/>
      </c>
      <c r="I581" s="23">
        <f>IF($D581="","",IFERROR(INDEX(ENVIOS!$F$4:$F$3003,MATCH($D581,ENVIOS!$A$4:$A$3003,0)),"—"))</f>
        <v/>
      </c>
      <c r="J581" s="23">
        <f>IF($D581="","",IFERROR(INDEX(ENVIOS!$G$4:$G$3003,MATCH($D581,ENVIOS!$A$4:$A$3003,0)),"—"))</f>
        <v/>
      </c>
      <c r="K581" s="28">
        <f>IF($D581="","",IFERROR(INDEX(ENVIOS!$H$4:$H$3003,MATCH($D581,ENVIOS!$A$4:$A$3003,0)),"—"))</f>
        <v/>
      </c>
      <c r="L581" s="49">
        <f>IF($D581="","",IFERROR(INDEX(ENVIOS!$C$4:$C$3003,MATCH($D581,ENVIOS!$A$4:$A$3003,0)),""))</f>
        <v/>
      </c>
      <c r="M581" s="50" t="n"/>
      <c r="N581" s="28">
        <f>IF($M581="","",IFERROR(INDEX(CONFIG!$C$4:$C$63,MATCH($M581,CONFIG!$A$4:$A$63,0)),"Media"))</f>
        <v/>
      </c>
      <c r="O581" s="28">
        <f>IF($M581="","",IF($C581="Interna","NO",IFERROR(INDEX(CONFIG!$E$4:$E$63,MATCH($M581,CONFIG!$A$4:$A$63,0)),"NO")))</f>
        <v/>
      </c>
      <c r="P581" s="50" t="n"/>
      <c r="Q581" s="50" t="n"/>
      <c r="R581" s="28">
        <f>IF($Q581="","",IFERROR(INDEX(CONFIG!$H$4:$H$63,MATCH($Q581,CONFIG!$G$4:$G$63,0)),"Por definir"))</f>
        <v/>
      </c>
      <c r="S581" s="28">
        <f>IF($Q581="","",IFERROR(INDEX(CONFIG!$I$4:$I$63,MATCH($Q581,CONFIG!$G$4:$G$63,0)),"Por definir"))</f>
        <v/>
      </c>
      <c r="T581" s="51" t="n"/>
      <c r="U581" s="52" t="n"/>
      <c r="V581" s="50" t="n"/>
      <c r="W581" s="50" t="n"/>
      <c r="X581" s="49">
        <f>IF(OR($B581="",$M581=""),"",WORKDAY($B581,IFERROR(INDEX(CONFIG!$D$4:$D$63,MATCH($M581,CONFIG!$A$4:$A$63,0)),3)))</f>
        <v/>
      </c>
      <c r="Y581" s="47" t="n"/>
      <c r="Z581" s="24">
        <f>IF($B581="","",IF($Y581&lt;&gt;"",$Y581-$B581,TODAY()-$B581))</f>
        <v/>
      </c>
      <c r="AA581" s="28">
        <f>IF($B581="","",IF(IFERROR(INDEX(CONFIG!$L$4:$L$63,MATCH($V581,CONFIG!$K$4:$K$63,0)),"NO")="SÍ",IF(OR($Y581="",$X581=""),"Resuelta",IF($Y581&gt;$X581,"Resuelta tarde","Resuelta a tiempo")),IF($X581="","Sin clasificar",IF(TODAY()&gt;$X581,"Vencida",IF(TODAY()&gt;=$X581-1,"Por vencer","En plazo")))))</f>
        <v/>
      </c>
      <c r="AB581" s="50" t="n"/>
      <c r="AC581" s="50" t="n"/>
    </row>
    <row r="582" ht="16" customHeight="1">
      <c r="A582" s="28">
        <f>IF($B582="","","N-"&amp;TEXT(ROW()-3,"0000"))</f>
        <v/>
      </c>
      <c r="B582" s="47" t="n"/>
      <c r="C582" s="48" t="n"/>
      <c r="D582" s="48" t="n"/>
      <c r="E582" s="28">
        <f>IF($C582="","",IF($D582="",IF($C582="Interna","Sin guía (interna)","FALTA GUÍA"),IF(COUNTIFS(ENVIOS!$A$4:$A$3003,$D582)=0,"NO EXISTE",IF(COUNTIFS(ENVIOS!$A$4:$A$3003,$D582)&gt;1,"DUPLICADA","OK"))))</f>
        <v/>
      </c>
      <c r="F582" s="28">
        <f>IF($D582="","",IFERROR(INDEX(ENVIOS!$B$4:$B$3003,MATCH($D582,ENVIOS!$A$4:$A$3003,0)),"—"))</f>
        <v/>
      </c>
      <c r="G582" s="23">
        <f>IF($D582="","",IFERROR(INDEX(ENVIOS!$D$4:$D$3003,MATCH($D582,ENVIOS!$A$4:$A$3003,0)),"—"))</f>
        <v/>
      </c>
      <c r="H582" s="23">
        <f>IF($D582="","",IFERROR(INDEX(ENVIOS!$E$4:$E$3003,MATCH($D582,ENVIOS!$A$4:$A$3003,0)),"—"))</f>
        <v/>
      </c>
      <c r="I582" s="23">
        <f>IF($D582="","",IFERROR(INDEX(ENVIOS!$F$4:$F$3003,MATCH($D582,ENVIOS!$A$4:$A$3003,0)),"—"))</f>
        <v/>
      </c>
      <c r="J582" s="23">
        <f>IF($D582="","",IFERROR(INDEX(ENVIOS!$G$4:$G$3003,MATCH($D582,ENVIOS!$A$4:$A$3003,0)),"—"))</f>
        <v/>
      </c>
      <c r="K582" s="28">
        <f>IF($D582="","",IFERROR(INDEX(ENVIOS!$H$4:$H$3003,MATCH($D582,ENVIOS!$A$4:$A$3003,0)),"—"))</f>
        <v/>
      </c>
      <c r="L582" s="49">
        <f>IF($D582="","",IFERROR(INDEX(ENVIOS!$C$4:$C$3003,MATCH($D582,ENVIOS!$A$4:$A$3003,0)),""))</f>
        <v/>
      </c>
      <c r="M582" s="50" t="n"/>
      <c r="N582" s="28">
        <f>IF($M582="","",IFERROR(INDEX(CONFIG!$C$4:$C$63,MATCH($M582,CONFIG!$A$4:$A$63,0)),"Media"))</f>
        <v/>
      </c>
      <c r="O582" s="28">
        <f>IF($M582="","",IF($C582="Interna","NO",IFERROR(INDEX(CONFIG!$E$4:$E$63,MATCH($M582,CONFIG!$A$4:$A$63,0)),"NO")))</f>
        <v/>
      </c>
      <c r="P582" s="50" t="n"/>
      <c r="Q582" s="50" t="n"/>
      <c r="R582" s="28">
        <f>IF($Q582="","",IFERROR(INDEX(CONFIG!$H$4:$H$63,MATCH($Q582,CONFIG!$G$4:$G$63,0)),"Por definir"))</f>
        <v/>
      </c>
      <c r="S582" s="28">
        <f>IF($Q582="","",IFERROR(INDEX(CONFIG!$I$4:$I$63,MATCH($Q582,CONFIG!$G$4:$G$63,0)),"Por definir"))</f>
        <v/>
      </c>
      <c r="T582" s="51" t="n"/>
      <c r="U582" s="52" t="n"/>
      <c r="V582" s="50" t="n"/>
      <c r="W582" s="50" t="n"/>
      <c r="X582" s="49">
        <f>IF(OR($B582="",$M582=""),"",WORKDAY($B582,IFERROR(INDEX(CONFIG!$D$4:$D$63,MATCH($M582,CONFIG!$A$4:$A$63,0)),3)))</f>
        <v/>
      </c>
      <c r="Y582" s="47" t="n"/>
      <c r="Z582" s="24">
        <f>IF($B582="","",IF($Y582&lt;&gt;"",$Y582-$B582,TODAY()-$B582))</f>
        <v/>
      </c>
      <c r="AA582" s="28">
        <f>IF($B582="","",IF(IFERROR(INDEX(CONFIG!$L$4:$L$63,MATCH($V582,CONFIG!$K$4:$K$63,0)),"NO")="SÍ",IF(OR($Y582="",$X582=""),"Resuelta",IF($Y582&gt;$X582,"Resuelta tarde","Resuelta a tiempo")),IF($X582="","Sin clasificar",IF(TODAY()&gt;$X582,"Vencida",IF(TODAY()&gt;=$X582-1,"Por vencer","En plazo")))))</f>
        <v/>
      </c>
      <c r="AB582" s="50" t="n"/>
      <c r="AC582" s="50" t="n"/>
    </row>
    <row r="583" ht="16" customHeight="1">
      <c r="A583" s="28">
        <f>IF($B583="","","N-"&amp;TEXT(ROW()-3,"0000"))</f>
        <v/>
      </c>
      <c r="B583" s="47" t="n"/>
      <c r="C583" s="48" t="n"/>
      <c r="D583" s="48" t="n"/>
      <c r="E583" s="28">
        <f>IF($C583="","",IF($D583="",IF($C583="Interna","Sin guía (interna)","FALTA GUÍA"),IF(COUNTIFS(ENVIOS!$A$4:$A$3003,$D583)=0,"NO EXISTE",IF(COUNTIFS(ENVIOS!$A$4:$A$3003,$D583)&gt;1,"DUPLICADA","OK"))))</f>
        <v/>
      </c>
      <c r="F583" s="28">
        <f>IF($D583="","",IFERROR(INDEX(ENVIOS!$B$4:$B$3003,MATCH($D583,ENVIOS!$A$4:$A$3003,0)),"—"))</f>
        <v/>
      </c>
      <c r="G583" s="23">
        <f>IF($D583="","",IFERROR(INDEX(ENVIOS!$D$4:$D$3003,MATCH($D583,ENVIOS!$A$4:$A$3003,0)),"—"))</f>
        <v/>
      </c>
      <c r="H583" s="23">
        <f>IF($D583="","",IFERROR(INDEX(ENVIOS!$E$4:$E$3003,MATCH($D583,ENVIOS!$A$4:$A$3003,0)),"—"))</f>
        <v/>
      </c>
      <c r="I583" s="23">
        <f>IF($D583="","",IFERROR(INDEX(ENVIOS!$F$4:$F$3003,MATCH($D583,ENVIOS!$A$4:$A$3003,0)),"—"))</f>
        <v/>
      </c>
      <c r="J583" s="23">
        <f>IF($D583="","",IFERROR(INDEX(ENVIOS!$G$4:$G$3003,MATCH($D583,ENVIOS!$A$4:$A$3003,0)),"—"))</f>
        <v/>
      </c>
      <c r="K583" s="28">
        <f>IF($D583="","",IFERROR(INDEX(ENVIOS!$H$4:$H$3003,MATCH($D583,ENVIOS!$A$4:$A$3003,0)),"—"))</f>
        <v/>
      </c>
      <c r="L583" s="49">
        <f>IF($D583="","",IFERROR(INDEX(ENVIOS!$C$4:$C$3003,MATCH($D583,ENVIOS!$A$4:$A$3003,0)),""))</f>
        <v/>
      </c>
      <c r="M583" s="50" t="n"/>
      <c r="N583" s="28">
        <f>IF($M583="","",IFERROR(INDEX(CONFIG!$C$4:$C$63,MATCH($M583,CONFIG!$A$4:$A$63,0)),"Media"))</f>
        <v/>
      </c>
      <c r="O583" s="28">
        <f>IF($M583="","",IF($C583="Interna","NO",IFERROR(INDEX(CONFIG!$E$4:$E$63,MATCH($M583,CONFIG!$A$4:$A$63,0)),"NO")))</f>
        <v/>
      </c>
      <c r="P583" s="50" t="n"/>
      <c r="Q583" s="50" t="n"/>
      <c r="R583" s="28">
        <f>IF($Q583="","",IFERROR(INDEX(CONFIG!$H$4:$H$63,MATCH($Q583,CONFIG!$G$4:$G$63,0)),"Por definir"))</f>
        <v/>
      </c>
      <c r="S583" s="28">
        <f>IF($Q583="","",IFERROR(INDEX(CONFIG!$I$4:$I$63,MATCH($Q583,CONFIG!$G$4:$G$63,0)),"Por definir"))</f>
        <v/>
      </c>
      <c r="T583" s="51" t="n"/>
      <c r="U583" s="52" t="n"/>
      <c r="V583" s="50" t="n"/>
      <c r="W583" s="50" t="n"/>
      <c r="X583" s="49">
        <f>IF(OR($B583="",$M583=""),"",WORKDAY($B583,IFERROR(INDEX(CONFIG!$D$4:$D$63,MATCH($M583,CONFIG!$A$4:$A$63,0)),3)))</f>
        <v/>
      </c>
      <c r="Y583" s="47" t="n"/>
      <c r="Z583" s="24">
        <f>IF($B583="","",IF($Y583&lt;&gt;"",$Y583-$B583,TODAY()-$B583))</f>
        <v/>
      </c>
      <c r="AA583" s="28">
        <f>IF($B583="","",IF(IFERROR(INDEX(CONFIG!$L$4:$L$63,MATCH($V583,CONFIG!$K$4:$K$63,0)),"NO")="SÍ",IF(OR($Y583="",$X583=""),"Resuelta",IF($Y583&gt;$X583,"Resuelta tarde","Resuelta a tiempo")),IF($X583="","Sin clasificar",IF(TODAY()&gt;$X583,"Vencida",IF(TODAY()&gt;=$X583-1,"Por vencer","En plazo")))))</f>
        <v/>
      </c>
      <c r="AB583" s="50" t="n"/>
      <c r="AC583" s="50" t="n"/>
    </row>
    <row r="584" ht="16" customHeight="1">
      <c r="A584" s="28">
        <f>IF($B584="","","N-"&amp;TEXT(ROW()-3,"0000"))</f>
        <v/>
      </c>
      <c r="B584" s="47" t="n"/>
      <c r="C584" s="48" t="n"/>
      <c r="D584" s="48" t="n"/>
      <c r="E584" s="28">
        <f>IF($C584="","",IF($D584="",IF($C584="Interna","Sin guía (interna)","FALTA GUÍA"),IF(COUNTIFS(ENVIOS!$A$4:$A$3003,$D584)=0,"NO EXISTE",IF(COUNTIFS(ENVIOS!$A$4:$A$3003,$D584)&gt;1,"DUPLICADA","OK"))))</f>
        <v/>
      </c>
      <c r="F584" s="28">
        <f>IF($D584="","",IFERROR(INDEX(ENVIOS!$B$4:$B$3003,MATCH($D584,ENVIOS!$A$4:$A$3003,0)),"—"))</f>
        <v/>
      </c>
      <c r="G584" s="23">
        <f>IF($D584="","",IFERROR(INDEX(ENVIOS!$D$4:$D$3003,MATCH($D584,ENVIOS!$A$4:$A$3003,0)),"—"))</f>
        <v/>
      </c>
      <c r="H584" s="23">
        <f>IF($D584="","",IFERROR(INDEX(ENVIOS!$E$4:$E$3003,MATCH($D584,ENVIOS!$A$4:$A$3003,0)),"—"))</f>
        <v/>
      </c>
      <c r="I584" s="23">
        <f>IF($D584="","",IFERROR(INDEX(ENVIOS!$F$4:$F$3003,MATCH($D584,ENVIOS!$A$4:$A$3003,0)),"—"))</f>
        <v/>
      </c>
      <c r="J584" s="23">
        <f>IF($D584="","",IFERROR(INDEX(ENVIOS!$G$4:$G$3003,MATCH($D584,ENVIOS!$A$4:$A$3003,0)),"—"))</f>
        <v/>
      </c>
      <c r="K584" s="28">
        <f>IF($D584="","",IFERROR(INDEX(ENVIOS!$H$4:$H$3003,MATCH($D584,ENVIOS!$A$4:$A$3003,0)),"—"))</f>
        <v/>
      </c>
      <c r="L584" s="49">
        <f>IF($D584="","",IFERROR(INDEX(ENVIOS!$C$4:$C$3003,MATCH($D584,ENVIOS!$A$4:$A$3003,0)),""))</f>
        <v/>
      </c>
      <c r="M584" s="50" t="n"/>
      <c r="N584" s="28">
        <f>IF($M584="","",IFERROR(INDEX(CONFIG!$C$4:$C$63,MATCH($M584,CONFIG!$A$4:$A$63,0)),"Media"))</f>
        <v/>
      </c>
      <c r="O584" s="28">
        <f>IF($M584="","",IF($C584="Interna","NO",IFERROR(INDEX(CONFIG!$E$4:$E$63,MATCH($M584,CONFIG!$A$4:$A$63,0)),"NO")))</f>
        <v/>
      </c>
      <c r="P584" s="50" t="n"/>
      <c r="Q584" s="50" t="n"/>
      <c r="R584" s="28">
        <f>IF($Q584="","",IFERROR(INDEX(CONFIG!$H$4:$H$63,MATCH($Q584,CONFIG!$G$4:$G$63,0)),"Por definir"))</f>
        <v/>
      </c>
      <c r="S584" s="28">
        <f>IF($Q584="","",IFERROR(INDEX(CONFIG!$I$4:$I$63,MATCH($Q584,CONFIG!$G$4:$G$63,0)),"Por definir"))</f>
        <v/>
      </c>
      <c r="T584" s="51" t="n"/>
      <c r="U584" s="52" t="n"/>
      <c r="V584" s="50" t="n"/>
      <c r="W584" s="50" t="n"/>
      <c r="X584" s="49">
        <f>IF(OR($B584="",$M584=""),"",WORKDAY($B584,IFERROR(INDEX(CONFIG!$D$4:$D$63,MATCH($M584,CONFIG!$A$4:$A$63,0)),3)))</f>
        <v/>
      </c>
      <c r="Y584" s="47" t="n"/>
      <c r="Z584" s="24">
        <f>IF($B584="","",IF($Y584&lt;&gt;"",$Y584-$B584,TODAY()-$B584))</f>
        <v/>
      </c>
      <c r="AA584" s="28">
        <f>IF($B584="","",IF(IFERROR(INDEX(CONFIG!$L$4:$L$63,MATCH($V584,CONFIG!$K$4:$K$63,0)),"NO")="SÍ",IF(OR($Y584="",$X584=""),"Resuelta",IF($Y584&gt;$X584,"Resuelta tarde","Resuelta a tiempo")),IF($X584="","Sin clasificar",IF(TODAY()&gt;$X584,"Vencida",IF(TODAY()&gt;=$X584-1,"Por vencer","En plazo")))))</f>
        <v/>
      </c>
      <c r="AB584" s="50" t="n"/>
      <c r="AC584" s="50" t="n"/>
    </row>
    <row r="585" ht="16" customHeight="1">
      <c r="A585" s="28">
        <f>IF($B585="","","N-"&amp;TEXT(ROW()-3,"0000"))</f>
        <v/>
      </c>
      <c r="B585" s="47" t="n"/>
      <c r="C585" s="48" t="n"/>
      <c r="D585" s="48" t="n"/>
      <c r="E585" s="28">
        <f>IF($C585="","",IF($D585="",IF($C585="Interna","Sin guía (interna)","FALTA GUÍA"),IF(COUNTIFS(ENVIOS!$A$4:$A$3003,$D585)=0,"NO EXISTE",IF(COUNTIFS(ENVIOS!$A$4:$A$3003,$D585)&gt;1,"DUPLICADA","OK"))))</f>
        <v/>
      </c>
      <c r="F585" s="28">
        <f>IF($D585="","",IFERROR(INDEX(ENVIOS!$B$4:$B$3003,MATCH($D585,ENVIOS!$A$4:$A$3003,0)),"—"))</f>
        <v/>
      </c>
      <c r="G585" s="23">
        <f>IF($D585="","",IFERROR(INDEX(ENVIOS!$D$4:$D$3003,MATCH($D585,ENVIOS!$A$4:$A$3003,0)),"—"))</f>
        <v/>
      </c>
      <c r="H585" s="23">
        <f>IF($D585="","",IFERROR(INDEX(ENVIOS!$E$4:$E$3003,MATCH($D585,ENVIOS!$A$4:$A$3003,0)),"—"))</f>
        <v/>
      </c>
      <c r="I585" s="23">
        <f>IF($D585="","",IFERROR(INDEX(ENVIOS!$F$4:$F$3003,MATCH($D585,ENVIOS!$A$4:$A$3003,0)),"—"))</f>
        <v/>
      </c>
      <c r="J585" s="23">
        <f>IF($D585="","",IFERROR(INDEX(ENVIOS!$G$4:$G$3003,MATCH($D585,ENVIOS!$A$4:$A$3003,0)),"—"))</f>
        <v/>
      </c>
      <c r="K585" s="28">
        <f>IF($D585="","",IFERROR(INDEX(ENVIOS!$H$4:$H$3003,MATCH($D585,ENVIOS!$A$4:$A$3003,0)),"—"))</f>
        <v/>
      </c>
      <c r="L585" s="49">
        <f>IF($D585="","",IFERROR(INDEX(ENVIOS!$C$4:$C$3003,MATCH($D585,ENVIOS!$A$4:$A$3003,0)),""))</f>
        <v/>
      </c>
      <c r="M585" s="50" t="n"/>
      <c r="N585" s="28">
        <f>IF($M585="","",IFERROR(INDEX(CONFIG!$C$4:$C$63,MATCH($M585,CONFIG!$A$4:$A$63,0)),"Media"))</f>
        <v/>
      </c>
      <c r="O585" s="28">
        <f>IF($M585="","",IF($C585="Interna","NO",IFERROR(INDEX(CONFIG!$E$4:$E$63,MATCH($M585,CONFIG!$A$4:$A$63,0)),"NO")))</f>
        <v/>
      </c>
      <c r="P585" s="50" t="n"/>
      <c r="Q585" s="50" t="n"/>
      <c r="R585" s="28">
        <f>IF($Q585="","",IFERROR(INDEX(CONFIG!$H$4:$H$63,MATCH($Q585,CONFIG!$G$4:$G$63,0)),"Por definir"))</f>
        <v/>
      </c>
      <c r="S585" s="28">
        <f>IF($Q585="","",IFERROR(INDEX(CONFIG!$I$4:$I$63,MATCH($Q585,CONFIG!$G$4:$G$63,0)),"Por definir"))</f>
        <v/>
      </c>
      <c r="T585" s="51" t="n"/>
      <c r="U585" s="52" t="n"/>
      <c r="V585" s="50" t="n"/>
      <c r="W585" s="50" t="n"/>
      <c r="X585" s="49">
        <f>IF(OR($B585="",$M585=""),"",WORKDAY($B585,IFERROR(INDEX(CONFIG!$D$4:$D$63,MATCH($M585,CONFIG!$A$4:$A$63,0)),3)))</f>
        <v/>
      </c>
      <c r="Y585" s="47" t="n"/>
      <c r="Z585" s="24">
        <f>IF($B585="","",IF($Y585&lt;&gt;"",$Y585-$B585,TODAY()-$B585))</f>
        <v/>
      </c>
      <c r="AA585" s="28">
        <f>IF($B585="","",IF(IFERROR(INDEX(CONFIG!$L$4:$L$63,MATCH($V585,CONFIG!$K$4:$K$63,0)),"NO")="SÍ",IF(OR($Y585="",$X585=""),"Resuelta",IF($Y585&gt;$X585,"Resuelta tarde","Resuelta a tiempo")),IF($X585="","Sin clasificar",IF(TODAY()&gt;$X585,"Vencida",IF(TODAY()&gt;=$X585-1,"Por vencer","En plazo")))))</f>
        <v/>
      </c>
      <c r="AB585" s="50" t="n"/>
      <c r="AC585" s="50" t="n"/>
    </row>
    <row r="586" ht="16" customHeight="1">
      <c r="A586" s="28">
        <f>IF($B586="","","N-"&amp;TEXT(ROW()-3,"0000"))</f>
        <v/>
      </c>
      <c r="B586" s="47" t="n"/>
      <c r="C586" s="48" t="n"/>
      <c r="D586" s="48" t="n"/>
      <c r="E586" s="28">
        <f>IF($C586="","",IF($D586="",IF($C586="Interna","Sin guía (interna)","FALTA GUÍA"),IF(COUNTIFS(ENVIOS!$A$4:$A$3003,$D586)=0,"NO EXISTE",IF(COUNTIFS(ENVIOS!$A$4:$A$3003,$D586)&gt;1,"DUPLICADA","OK"))))</f>
        <v/>
      </c>
      <c r="F586" s="28">
        <f>IF($D586="","",IFERROR(INDEX(ENVIOS!$B$4:$B$3003,MATCH($D586,ENVIOS!$A$4:$A$3003,0)),"—"))</f>
        <v/>
      </c>
      <c r="G586" s="23">
        <f>IF($D586="","",IFERROR(INDEX(ENVIOS!$D$4:$D$3003,MATCH($D586,ENVIOS!$A$4:$A$3003,0)),"—"))</f>
        <v/>
      </c>
      <c r="H586" s="23">
        <f>IF($D586="","",IFERROR(INDEX(ENVIOS!$E$4:$E$3003,MATCH($D586,ENVIOS!$A$4:$A$3003,0)),"—"))</f>
        <v/>
      </c>
      <c r="I586" s="23">
        <f>IF($D586="","",IFERROR(INDEX(ENVIOS!$F$4:$F$3003,MATCH($D586,ENVIOS!$A$4:$A$3003,0)),"—"))</f>
        <v/>
      </c>
      <c r="J586" s="23">
        <f>IF($D586="","",IFERROR(INDEX(ENVIOS!$G$4:$G$3003,MATCH($D586,ENVIOS!$A$4:$A$3003,0)),"—"))</f>
        <v/>
      </c>
      <c r="K586" s="28">
        <f>IF($D586="","",IFERROR(INDEX(ENVIOS!$H$4:$H$3003,MATCH($D586,ENVIOS!$A$4:$A$3003,0)),"—"))</f>
        <v/>
      </c>
      <c r="L586" s="49">
        <f>IF($D586="","",IFERROR(INDEX(ENVIOS!$C$4:$C$3003,MATCH($D586,ENVIOS!$A$4:$A$3003,0)),""))</f>
        <v/>
      </c>
      <c r="M586" s="50" t="n"/>
      <c r="N586" s="28">
        <f>IF($M586="","",IFERROR(INDEX(CONFIG!$C$4:$C$63,MATCH($M586,CONFIG!$A$4:$A$63,0)),"Media"))</f>
        <v/>
      </c>
      <c r="O586" s="28">
        <f>IF($M586="","",IF($C586="Interna","NO",IFERROR(INDEX(CONFIG!$E$4:$E$63,MATCH($M586,CONFIG!$A$4:$A$63,0)),"NO")))</f>
        <v/>
      </c>
      <c r="P586" s="50" t="n"/>
      <c r="Q586" s="50" t="n"/>
      <c r="R586" s="28">
        <f>IF($Q586="","",IFERROR(INDEX(CONFIG!$H$4:$H$63,MATCH($Q586,CONFIG!$G$4:$G$63,0)),"Por definir"))</f>
        <v/>
      </c>
      <c r="S586" s="28">
        <f>IF($Q586="","",IFERROR(INDEX(CONFIG!$I$4:$I$63,MATCH($Q586,CONFIG!$G$4:$G$63,0)),"Por definir"))</f>
        <v/>
      </c>
      <c r="T586" s="51" t="n"/>
      <c r="U586" s="52" t="n"/>
      <c r="V586" s="50" t="n"/>
      <c r="W586" s="50" t="n"/>
      <c r="X586" s="49">
        <f>IF(OR($B586="",$M586=""),"",WORKDAY($B586,IFERROR(INDEX(CONFIG!$D$4:$D$63,MATCH($M586,CONFIG!$A$4:$A$63,0)),3)))</f>
        <v/>
      </c>
      <c r="Y586" s="47" t="n"/>
      <c r="Z586" s="24">
        <f>IF($B586="","",IF($Y586&lt;&gt;"",$Y586-$B586,TODAY()-$B586))</f>
        <v/>
      </c>
      <c r="AA586" s="28">
        <f>IF($B586="","",IF(IFERROR(INDEX(CONFIG!$L$4:$L$63,MATCH($V586,CONFIG!$K$4:$K$63,0)),"NO")="SÍ",IF(OR($Y586="",$X586=""),"Resuelta",IF($Y586&gt;$X586,"Resuelta tarde","Resuelta a tiempo")),IF($X586="","Sin clasificar",IF(TODAY()&gt;$X586,"Vencida",IF(TODAY()&gt;=$X586-1,"Por vencer","En plazo")))))</f>
        <v/>
      </c>
      <c r="AB586" s="50" t="n"/>
      <c r="AC586" s="50" t="n"/>
    </row>
    <row r="587" ht="16" customHeight="1">
      <c r="A587" s="28">
        <f>IF($B587="","","N-"&amp;TEXT(ROW()-3,"0000"))</f>
        <v/>
      </c>
      <c r="B587" s="47" t="n"/>
      <c r="C587" s="48" t="n"/>
      <c r="D587" s="48" t="n"/>
      <c r="E587" s="28">
        <f>IF($C587="","",IF($D587="",IF($C587="Interna","Sin guía (interna)","FALTA GUÍA"),IF(COUNTIFS(ENVIOS!$A$4:$A$3003,$D587)=0,"NO EXISTE",IF(COUNTIFS(ENVIOS!$A$4:$A$3003,$D587)&gt;1,"DUPLICADA","OK"))))</f>
        <v/>
      </c>
      <c r="F587" s="28">
        <f>IF($D587="","",IFERROR(INDEX(ENVIOS!$B$4:$B$3003,MATCH($D587,ENVIOS!$A$4:$A$3003,0)),"—"))</f>
        <v/>
      </c>
      <c r="G587" s="23">
        <f>IF($D587="","",IFERROR(INDEX(ENVIOS!$D$4:$D$3003,MATCH($D587,ENVIOS!$A$4:$A$3003,0)),"—"))</f>
        <v/>
      </c>
      <c r="H587" s="23">
        <f>IF($D587="","",IFERROR(INDEX(ENVIOS!$E$4:$E$3003,MATCH($D587,ENVIOS!$A$4:$A$3003,0)),"—"))</f>
        <v/>
      </c>
      <c r="I587" s="23">
        <f>IF($D587="","",IFERROR(INDEX(ENVIOS!$F$4:$F$3003,MATCH($D587,ENVIOS!$A$4:$A$3003,0)),"—"))</f>
        <v/>
      </c>
      <c r="J587" s="23">
        <f>IF($D587="","",IFERROR(INDEX(ENVIOS!$G$4:$G$3003,MATCH($D587,ENVIOS!$A$4:$A$3003,0)),"—"))</f>
        <v/>
      </c>
      <c r="K587" s="28">
        <f>IF($D587="","",IFERROR(INDEX(ENVIOS!$H$4:$H$3003,MATCH($D587,ENVIOS!$A$4:$A$3003,0)),"—"))</f>
        <v/>
      </c>
      <c r="L587" s="49">
        <f>IF($D587="","",IFERROR(INDEX(ENVIOS!$C$4:$C$3003,MATCH($D587,ENVIOS!$A$4:$A$3003,0)),""))</f>
        <v/>
      </c>
      <c r="M587" s="50" t="n"/>
      <c r="N587" s="28">
        <f>IF($M587="","",IFERROR(INDEX(CONFIG!$C$4:$C$63,MATCH($M587,CONFIG!$A$4:$A$63,0)),"Media"))</f>
        <v/>
      </c>
      <c r="O587" s="28">
        <f>IF($M587="","",IF($C587="Interna","NO",IFERROR(INDEX(CONFIG!$E$4:$E$63,MATCH($M587,CONFIG!$A$4:$A$63,0)),"NO")))</f>
        <v/>
      </c>
      <c r="P587" s="50" t="n"/>
      <c r="Q587" s="50" t="n"/>
      <c r="R587" s="28">
        <f>IF($Q587="","",IFERROR(INDEX(CONFIG!$H$4:$H$63,MATCH($Q587,CONFIG!$G$4:$G$63,0)),"Por definir"))</f>
        <v/>
      </c>
      <c r="S587" s="28">
        <f>IF($Q587="","",IFERROR(INDEX(CONFIG!$I$4:$I$63,MATCH($Q587,CONFIG!$G$4:$G$63,0)),"Por definir"))</f>
        <v/>
      </c>
      <c r="T587" s="51" t="n"/>
      <c r="U587" s="52" t="n"/>
      <c r="V587" s="50" t="n"/>
      <c r="W587" s="50" t="n"/>
      <c r="X587" s="49">
        <f>IF(OR($B587="",$M587=""),"",WORKDAY($B587,IFERROR(INDEX(CONFIG!$D$4:$D$63,MATCH($M587,CONFIG!$A$4:$A$63,0)),3)))</f>
        <v/>
      </c>
      <c r="Y587" s="47" t="n"/>
      <c r="Z587" s="24">
        <f>IF($B587="","",IF($Y587&lt;&gt;"",$Y587-$B587,TODAY()-$B587))</f>
        <v/>
      </c>
      <c r="AA587" s="28">
        <f>IF($B587="","",IF(IFERROR(INDEX(CONFIG!$L$4:$L$63,MATCH($V587,CONFIG!$K$4:$K$63,0)),"NO")="SÍ",IF(OR($Y587="",$X587=""),"Resuelta",IF($Y587&gt;$X587,"Resuelta tarde","Resuelta a tiempo")),IF($X587="","Sin clasificar",IF(TODAY()&gt;$X587,"Vencida",IF(TODAY()&gt;=$X587-1,"Por vencer","En plazo")))))</f>
        <v/>
      </c>
      <c r="AB587" s="50" t="n"/>
      <c r="AC587" s="50" t="n"/>
    </row>
    <row r="588" ht="16" customHeight="1">
      <c r="A588" s="28">
        <f>IF($B588="","","N-"&amp;TEXT(ROW()-3,"0000"))</f>
        <v/>
      </c>
      <c r="B588" s="47" t="n"/>
      <c r="C588" s="48" t="n"/>
      <c r="D588" s="48" t="n"/>
      <c r="E588" s="28">
        <f>IF($C588="","",IF($D588="",IF($C588="Interna","Sin guía (interna)","FALTA GUÍA"),IF(COUNTIFS(ENVIOS!$A$4:$A$3003,$D588)=0,"NO EXISTE",IF(COUNTIFS(ENVIOS!$A$4:$A$3003,$D588)&gt;1,"DUPLICADA","OK"))))</f>
        <v/>
      </c>
      <c r="F588" s="28">
        <f>IF($D588="","",IFERROR(INDEX(ENVIOS!$B$4:$B$3003,MATCH($D588,ENVIOS!$A$4:$A$3003,0)),"—"))</f>
        <v/>
      </c>
      <c r="G588" s="23">
        <f>IF($D588="","",IFERROR(INDEX(ENVIOS!$D$4:$D$3003,MATCH($D588,ENVIOS!$A$4:$A$3003,0)),"—"))</f>
        <v/>
      </c>
      <c r="H588" s="23">
        <f>IF($D588="","",IFERROR(INDEX(ENVIOS!$E$4:$E$3003,MATCH($D588,ENVIOS!$A$4:$A$3003,0)),"—"))</f>
        <v/>
      </c>
      <c r="I588" s="23">
        <f>IF($D588="","",IFERROR(INDEX(ENVIOS!$F$4:$F$3003,MATCH($D588,ENVIOS!$A$4:$A$3003,0)),"—"))</f>
        <v/>
      </c>
      <c r="J588" s="23">
        <f>IF($D588="","",IFERROR(INDEX(ENVIOS!$G$4:$G$3003,MATCH($D588,ENVIOS!$A$4:$A$3003,0)),"—"))</f>
        <v/>
      </c>
      <c r="K588" s="28">
        <f>IF($D588="","",IFERROR(INDEX(ENVIOS!$H$4:$H$3003,MATCH($D588,ENVIOS!$A$4:$A$3003,0)),"—"))</f>
        <v/>
      </c>
      <c r="L588" s="49">
        <f>IF($D588="","",IFERROR(INDEX(ENVIOS!$C$4:$C$3003,MATCH($D588,ENVIOS!$A$4:$A$3003,0)),""))</f>
        <v/>
      </c>
      <c r="M588" s="50" t="n"/>
      <c r="N588" s="28">
        <f>IF($M588="","",IFERROR(INDEX(CONFIG!$C$4:$C$63,MATCH($M588,CONFIG!$A$4:$A$63,0)),"Media"))</f>
        <v/>
      </c>
      <c r="O588" s="28">
        <f>IF($M588="","",IF($C588="Interna","NO",IFERROR(INDEX(CONFIG!$E$4:$E$63,MATCH($M588,CONFIG!$A$4:$A$63,0)),"NO")))</f>
        <v/>
      </c>
      <c r="P588" s="50" t="n"/>
      <c r="Q588" s="50" t="n"/>
      <c r="R588" s="28">
        <f>IF($Q588="","",IFERROR(INDEX(CONFIG!$H$4:$H$63,MATCH($Q588,CONFIG!$G$4:$G$63,0)),"Por definir"))</f>
        <v/>
      </c>
      <c r="S588" s="28">
        <f>IF($Q588="","",IFERROR(INDEX(CONFIG!$I$4:$I$63,MATCH($Q588,CONFIG!$G$4:$G$63,0)),"Por definir"))</f>
        <v/>
      </c>
      <c r="T588" s="51" t="n"/>
      <c r="U588" s="52" t="n"/>
      <c r="V588" s="50" t="n"/>
      <c r="W588" s="50" t="n"/>
      <c r="X588" s="49">
        <f>IF(OR($B588="",$M588=""),"",WORKDAY($B588,IFERROR(INDEX(CONFIG!$D$4:$D$63,MATCH($M588,CONFIG!$A$4:$A$63,0)),3)))</f>
        <v/>
      </c>
      <c r="Y588" s="47" t="n"/>
      <c r="Z588" s="24">
        <f>IF($B588="","",IF($Y588&lt;&gt;"",$Y588-$B588,TODAY()-$B588))</f>
        <v/>
      </c>
      <c r="AA588" s="28">
        <f>IF($B588="","",IF(IFERROR(INDEX(CONFIG!$L$4:$L$63,MATCH($V588,CONFIG!$K$4:$K$63,0)),"NO")="SÍ",IF(OR($Y588="",$X588=""),"Resuelta",IF($Y588&gt;$X588,"Resuelta tarde","Resuelta a tiempo")),IF($X588="","Sin clasificar",IF(TODAY()&gt;$X588,"Vencida",IF(TODAY()&gt;=$X588-1,"Por vencer","En plazo")))))</f>
        <v/>
      </c>
      <c r="AB588" s="50" t="n"/>
      <c r="AC588" s="50" t="n"/>
    </row>
    <row r="589" ht="16" customHeight="1">
      <c r="A589" s="28">
        <f>IF($B589="","","N-"&amp;TEXT(ROW()-3,"0000"))</f>
        <v/>
      </c>
      <c r="B589" s="47" t="n"/>
      <c r="C589" s="48" t="n"/>
      <c r="D589" s="48" t="n"/>
      <c r="E589" s="28">
        <f>IF($C589="","",IF($D589="",IF($C589="Interna","Sin guía (interna)","FALTA GUÍA"),IF(COUNTIFS(ENVIOS!$A$4:$A$3003,$D589)=0,"NO EXISTE",IF(COUNTIFS(ENVIOS!$A$4:$A$3003,$D589)&gt;1,"DUPLICADA","OK"))))</f>
        <v/>
      </c>
      <c r="F589" s="28">
        <f>IF($D589="","",IFERROR(INDEX(ENVIOS!$B$4:$B$3003,MATCH($D589,ENVIOS!$A$4:$A$3003,0)),"—"))</f>
        <v/>
      </c>
      <c r="G589" s="23">
        <f>IF($D589="","",IFERROR(INDEX(ENVIOS!$D$4:$D$3003,MATCH($D589,ENVIOS!$A$4:$A$3003,0)),"—"))</f>
        <v/>
      </c>
      <c r="H589" s="23">
        <f>IF($D589="","",IFERROR(INDEX(ENVIOS!$E$4:$E$3003,MATCH($D589,ENVIOS!$A$4:$A$3003,0)),"—"))</f>
        <v/>
      </c>
      <c r="I589" s="23">
        <f>IF($D589="","",IFERROR(INDEX(ENVIOS!$F$4:$F$3003,MATCH($D589,ENVIOS!$A$4:$A$3003,0)),"—"))</f>
        <v/>
      </c>
      <c r="J589" s="23">
        <f>IF($D589="","",IFERROR(INDEX(ENVIOS!$G$4:$G$3003,MATCH($D589,ENVIOS!$A$4:$A$3003,0)),"—"))</f>
        <v/>
      </c>
      <c r="K589" s="28">
        <f>IF($D589="","",IFERROR(INDEX(ENVIOS!$H$4:$H$3003,MATCH($D589,ENVIOS!$A$4:$A$3003,0)),"—"))</f>
        <v/>
      </c>
      <c r="L589" s="49">
        <f>IF($D589="","",IFERROR(INDEX(ENVIOS!$C$4:$C$3003,MATCH($D589,ENVIOS!$A$4:$A$3003,0)),""))</f>
        <v/>
      </c>
      <c r="M589" s="50" t="n"/>
      <c r="N589" s="28">
        <f>IF($M589="","",IFERROR(INDEX(CONFIG!$C$4:$C$63,MATCH($M589,CONFIG!$A$4:$A$63,0)),"Media"))</f>
        <v/>
      </c>
      <c r="O589" s="28">
        <f>IF($M589="","",IF($C589="Interna","NO",IFERROR(INDEX(CONFIG!$E$4:$E$63,MATCH($M589,CONFIG!$A$4:$A$63,0)),"NO")))</f>
        <v/>
      </c>
      <c r="P589" s="50" t="n"/>
      <c r="Q589" s="50" t="n"/>
      <c r="R589" s="28">
        <f>IF($Q589="","",IFERROR(INDEX(CONFIG!$H$4:$H$63,MATCH($Q589,CONFIG!$G$4:$G$63,0)),"Por definir"))</f>
        <v/>
      </c>
      <c r="S589" s="28">
        <f>IF($Q589="","",IFERROR(INDEX(CONFIG!$I$4:$I$63,MATCH($Q589,CONFIG!$G$4:$G$63,0)),"Por definir"))</f>
        <v/>
      </c>
      <c r="T589" s="51" t="n"/>
      <c r="U589" s="52" t="n"/>
      <c r="V589" s="50" t="n"/>
      <c r="W589" s="50" t="n"/>
      <c r="X589" s="49">
        <f>IF(OR($B589="",$M589=""),"",WORKDAY($B589,IFERROR(INDEX(CONFIG!$D$4:$D$63,MATCH($M589,CONFIG!$A$4:$A$63,0)),3)))</f>
        <v/>
      </c>
      <c r="Y589" s="47" t="n"/>
      <c r="Z589" s="24">
        <f>IF($B589="","",IF($Y589&lt;&gt;"",$Y589-$B589,TODAY()-$B589))</f>
        <v/>
      </c>
      <c r="AA589" s="28">
        <f>IF($B589="","",IF(IFERROR(INDEX(CONFIG!$L$4:$L$63,MATCH($V589,CONFIG!$K$4:$K$63,0)),"NO")="SÍ",IF(OR($Y589="",$X589=""),"Resuelta",IF($Y589&gt;$X589,"Resuelta tarde","Resuelta a tiempo")),IF($X589="","Sin clasificar",IF(TODAY()&gt;$X589,"Vencida",IF(TODAY()&gt;=$X589-1,"Por vencer","En plazo")))))</f>
        <v/>
      </c>
      <c r="AB589" s="50" t="n"/>
      <c r="AC589" s="50" t="n"/>
    </row>
    <row r="590" ht="16" customHeight="1">
      <c r="A590" s="28">
        <f>IF($B590="","","N-"&amp;TEXT(ROW()-3,"0000"))</f>
        <v/>
      </c>
      <c r="B590" s="47" t="n"/>
      <c r="C590" s="48" t="n"/>
      <c r="D590" s="48" t="n"/>
      <c r="E590" s="28">
        <f>IF($C590="","",IF($D590="",IF($C590="Interna","Sin guía (interna)","FALTA GUÍA"),IF(COUNTIFS(ENVIOS!$A$4:$A$3003,$D590)=0,"NO EXISTE",IF(COUNTIFS(ENVIOS!$A$4:$A$3003,$D590)&gt;1,"DUPLICADA","OK"))))</f>
        <v/>
      </c>
      <c r="F590" s="28">
        <f>IF($D590="","",IFERROR(INDEX(ENVIOS!$B$4:$B$3003,MATCH($D590,ENVIOS!$A$4:$A$3003,0)),"—"))</f>
        <v/>
      </c>
      <c r="G590" s="23">
        <f>IF($D590="","",IFERROR(INDEX(ENVIOS!$D$4:$D$3003,MATCH($D590,ENVIOS!$A$4:$A$3003,0)),"—"))</f>
        <v/>
      </c>
      <c r="H590" s="23">
        <f>IF($D590="","",IFERROR(INDEX(ENVIOS!$E$4:$E$3003,MATCH($D590,ENVIOS!$A$4:$A$3003,0)),"—"))</f>
        <v/>
      </c>
      <c r="I590" s="23">
        <f>IF($D590="","",IFERROR(INDEX(ENVIOS!$F$4:$F$3003,MATCH($D590,ENVIOS!$A$4:$A$3003,0)),"—"))</f>
        <v/>
      </c>
      <c r="J590" s="23">
        <f>IF($D590="","",IFERROR(INDEX(ENVIOS!$G$4:$G$3003,MATCH($D590,ENVIOS!$A$4:$A$3003,0)),"—"))</f>
        <v/>
      </c>
      <c r="K590" s="28">
        <f>IF($D590="","",IFERROR(INDEX(ENVIOS!$H$4:$H$3003,MATCH($D590,ENVIOS!$A$4:$A$3003,0)),"—"))</f>
        <v/>
      </c>
      <c r="L590" s="49">
        <f>IF($D590="","",IFERROR(INDEX(ENVIOS!$C$4:$C$3003,MATCH($D590,ENVIOS!$A$4:$A$3003,0)),""))</f>
        <v/>
      </c>
      <c r="M590" s="50" t="n"/>
      <c r="N590" s="28">
        <f>IF($M590="","",IFERROR(INDEX(CONFIG!$C$4:$C$63,MATCH($M590,CONFIG!$A$4:$A$63,0)),"Media"))</f>
        <v/>
      </c>
      <c r="O590" s="28">
        <f>IF($M590="","",IF($C590="Interna","NO",IFERROR(INDEX(CONFIG!$E$4:$E$63,MATCH($M590,CONFIG!$A$4:$A$63,0)),"NO")))</f>
        <v/>
      </c>
      <c r="P590" s="50" t="n"/>
      <c r="Q590" s="50" t="n"/>
      <c r="R590" s="28">
        <f>IF($Q590="","",IFERROR(INDEX(CONFIG!$H$4:$H$63,MATCH($Q590,CONFIG!$G$4:$G$63,0)),"Por definir"))</f>
        <v/>
      </c>
      <c r="S590" s="28">
        <f>IF($Q590="","",IFERROR(INDEX(CONFIG!$I$4:$I$63,MATCH($Q590,CONFIG!$G$4:$G$63,0)),"Por definir"))</f>
        <v/>
      </c>
      <c r="T590" s="51" t="n"/>
      <c r="U590" s="52" t="n"/>
      <c r="V590" s="50" t="n"/>
      <c r="W590" s="50" t="n"/>
      <c r="X590" s="49">
        <f>IF(OR($B590="",$M590=""),"",WORKDAY($B590,IFERROR(INDEX(CONFIG!$D$4:$D$63,MATCH($M590,CONFIG!$A$4:$A$63,0)),3)))</f>
        <v/>
      </c>
      <c r="Y590" s="47" t="n"/>
      <c r="Z590" s="24">
        <f>IF($B590="","",IF($Y590&lt;&gt;"",$Y590-$B590,TODAY()-$B590))</f>
        <v/>
      </c>
      <c r="AA590" s="28">
        <f>IF($B590="","",IF(IFERROR(INDEX(CONFIG!$L$4:$L$63,MATCH($V590,CONFIG!$K$4:$K$63,0)),"NO")="SÍ",IF(OR($Y590="",$X590=""),"Resuelta",IF($Y590&gt;$X590,"Resuelta tarde","Resuelta a tiempo")),IF($X590="","Sin clasificar",IF(TODAY()&gt;$X590,"Vencida",IF(TODAY()&gt;=$X590-1,"Por vencer","En plazo")))))</f>
        <v/>
      </c>
      <c r="AB590" s="50" t="n"/>
      <c r="AC590" s="50" t="n"/>
    </row>
    <row r="591" ht="16" customHeight="1">
      <c r="A591" s="28">
        <f>IF($B591="","","N-"&amp;TEXT(ROW()-3,"0000"))</f>
        <v/>
      </c>
      <c r="B591" s="47" t="n"/>
      <c r="C591" s="48" t="n"/>
      <c r="D591" s="48" t="n"/>
      <c r="E591" s="28">
        <f>IF($C591="","",IF($D591="",IF($C591="Interna","Sin guía (interna)","FALTA GUÍA"),IF(COUNTIFS(ENVIOS!$A$4:$A$3003,$D591)=0,"NO EXISTE",IF(COUNTIFS(ENVIOS!$A$4:$A$3003,$D591)&gt;1,"DUPLICADA","OK"))))</f>
        <v/>
      </c>
      <c r="F591" s="28">
        <f>IF($D591="","",IFERROR(INDEX(ENVIOS!$B$4:$B$3003,MATCH($D591,ENVIOS!$A$4:$A$3003,0)),"—"))</f>
        <v/>
      </c>
      <c r="G591" s="23">
        <f>IF($D591="","",IFERROR(INDEX(ENVIOS!$D$4:$D$3003,MATCH($D591,ENVIOS!$A$4:$A$3003,0)),"—"))</f>
        <v/>
      </c>
      <c r="H591" s="23">
        <f>IF($D591="","",IFERROR(INDEX(ENVIOS!$E$4:$E$3003,MATCH($D591,ENVIOS!$A$4:$A$3003,0)),"—"))</f>
        <v/>
      </c>
      <c r="I591" s="23">
        <f>IF($D591="","",IFERROR(INDEX(ENVIOS!$F$4:$F$3003,MATCH($D591,ENVIOS!$A$4:$A$3003,0)),"—"))</f>
        <v/>
      </c>
      <c r="J591" s="23">
        <f>IF($D591="","",IFERROR(INDEX(ENVIOS!$G$4:$G$3003,MATCH($D591,ENVIOS!$A$4:$A$3003,0)),"—"))</f>
        <v/>
      </c>
      <c r="K591" s="28">
        <f>IF($D591="","",IFERROR(INDEX(ENVIOS!$H$4:$H$3003,MATCH($D591,ENVIOS!$A$4:$A$3003,0)),"—"))</f>
        <v/>
      </c>
      <c r="L591" s="49">
        <f>IF($D591="","",IFERROR(INDEX(ENVIOS!$C$4:$C$3003,MATCH($D591,ENVIOS!$A$4:$A$3003,0)),""))</f>
        <v/>
      </c>
      <c r="M591" s="50" t="n"/>
      <c r="N591" s="28">
        <f>IF($M591="","",IFERROR(INDEX(CONFIG!$C$4:$C$63,MATCH($M591,CONFIG!$A$4:$A$63,0)),"Media"))</f>
        <v/>
      </c>
      <c r="O591" s="28">
        <f>IF($M591="","",IF($C591="Interna","NO",IFERROR(INDEX(CONFIG!$E$4:$E$63,MATCH($M591,CONFIG!$A$4:$A$63,0)),"NO")))</f>
        <v/>
      </c>
      <c r="P591" s="50" t="n"/>
      <c r="Q591" s="50" t="n"/>
      <c r="R591" s="28">
        <f>IF($Q591="","",IFERROR(INDEX(CONFIG!$H$4:$H$63,MATCH($Q591,CONFIG!$G$4:$G$63,0)),"Por definir"))</f>
        <v/>
      </c>
      <c r="S591" s="28">
        <f>IF($Q591="","",IFERROR(INDEX(CONFIG!$I$4:$I$63,MATCH($Q591,CONFIG!$G$4:$G$63,0)),"Por definir"))</f>
        <v/>
      </c>
      <c r="T591" s="51" t="n"/>
      <c r="U591" s="52" t="n"/>
      <c r="V591" s="50" t="n"/>
      <c r="W591" s="50" t="n"/>
      <c r="X591" s="49">
        <f>IF(OR($B591="",$M591=""),"",WORKDAY($B591,IFERROR(INDEX(CONFIG!$D$4:$D$63,MATCH($M591,CONFIG!$A$4:$A$63,0)),3)))</f>
        <v/>
      </c>
      <c r="Y591" s="47" t="n"/>
      <c r="Z591" s="24">
        <f>IF($B591="","",IF($Y591&lt;&gt;"",$Y591-$B591,TODAY()-$B591))</f>
        <v/>
      </c>
      <c r="AA591" s="28">
        <f>IF($B591="","",IF(IFERROR(INDEX(CONFIG!$L$4:$L$63,MATCH($V591,CONFIG!$K$4:$K$63,0)),"NO")="SÍ",IF(OR($Y591="",$X591=""),"Resuelta",IF($Y591&gt;$X591,"Resuelta tarde","Resuelta a tiempo")),IF($X591="","Sin clasificar",IF(TODAY()&gt;$X591,"Vencida",IF(TODAY()&gt;=$X591-1,"Por vencer","En plazo")))))</f>
        <v/>
      </c>
      <c r="AB591" s="50" t="n"/>
      <c r="AC591" s="50" t="n"/>
    </row>
    <row r="592" ht="16" customHeight="1">
      <c r="A592" s="28">
        <f>IF($B592="","","N-"&amp;TEXT(ROW()-3,"0000"))</f>
        <v/>
      </c>
      <c r="B592" s="47" t="n"/>
      <c r="C592" s="48" t="n"/>
      <c r="D592" s="48" t="n"/>
      <c r="E592" s="28">
        <f>IF($C592="","",IF($D592="",IF($C592="Interna","Sin guía (interna)","FALTA GUÍA"),IF(COUNTIFS(ENVIOS!$A$4:$A$3003,$D592)=0,"NO EXISTE",IF(COUNTIFS(ENVIOS!$A$4:$A$3003,$D592)&gt;1,"DUPLICADA","OK"))))</f>
        <v/>
      </c>
      <c r="F592" s="28">
        <f>IF($D592="","",IFERROR(INDEX(ENVIOS!$B$4:$B$3003,MATCH($D592,ENVIOS!$A$4:$A$3003,0)),"—"))</f>
        <v/>
      </c>
      <c r="G592" s="23">
        <f>IF($D592="","",IFERROR(INDEX(ENVIOS!$D$4:$D$3003,MATCH($D592,ENVIOS!$A$4:$A$3003,0)),"—"))</f>
        <v/>
      </c>
      <c r="H592" s="23">
        <f>IF($D592="","",IFERROR(INDEX(ENVIOS!$E$4:$E$3003,MATCH($D592,ENVIOS!$A$4:$A$3003,0)),"—"))</f>
        <v/>
      </c>
      <c r="I592" s="23">
        <f>IF($D592="","",IFERROR(INDEX(ENVIOS!$F$4:$F$3003,MATCH($D592,ENVIOS!$A$4:$A$3003,0)),"—"))</f>
        <v/>
      </c>
      <c r="J592" s="23">
        <f>IF($D592="","",IFERROR(INDEX(ENVIOS!$G$4:$G$3003,MATCH($D592,ENVIOS!$A$4:$A$3003,0)),"—"))</f>
        <v/>
      </c>
      <c r="K592" s="28">
        <f>IF($D592="","",IFERROR(INDEX(ENVIOS!$H$4:$H$3003,MATCH($D592,ENVIOS!$A$4:$A$3003,0)),"—"))</f>
        <v/>
      </c>
      <c r="L592" s="49">
        <f>IF($D592="","",IFERROR(INDEX(ENVIOS!$C$4:$C$3003,MATCH($D592,ENVIOS!$A$4:$A$3003,0)),""))</f>
        <v/>
      </c>
      <c r="M592" s="50" t="n"/>
      <c r="N592" s="28">
        <f>IF($M592="","",IFERROR(INDEX(CONFIG!$C$4:$C$63,MATCH($M592,CONFIG!$A$4:$A$63,0)),"Media"))</f>
        <v/>
      </c>
      <c r="O592" s="28">
        <f>IF($M592="","",IF($C592="Interna","NO",IFERROR(INDEX(CONFIG!$E$4:$E$63,MATCH($M592,CONFIG!$A$4:$A$63,0)),"NO")))</f>
        <v/>
      </c>
      <c r="P592" s="50" t="n"/>
      <c r="Q592" s="50" t="n"/>
      <c r="R592" s="28">
        <f>IF($Q592="","",IFERROR(INDEX(CONFIG!$H$4:$H$63,MATCH($Q592,CONFIG!$G$4:$G$63,0)),"Por definir"))</f>
        <v/>
      </c>
      <c r="S592" s="28">
        <f>IF($Q592="","",IFERROR(INDEX(CONFIG!$I$4:$I$63,MATCH($Q592,CONFIG!$G$4:$G$63,0)),"Por definir"))</f>
        <v/>
      </c>
      <c r="T592" s="51" t="n"/>
      <c r="U592" s="52" t="n"/>
      <c r="V592" s="50" t="n"/>
      <c r="W592" s="50" t="n"/>
      <c r="X592" s="49">
        <f>IF(OR($B592="",$M592=""),"",WORKDAY($B592,IFERROR(INDEX(CONFIG!$D$4:$D$63,MATCH($M592,CONFIG!$A$4:$A$63,0)),3)))</f>
        <v/>
      </c>
      <c r="Y592" s="47" t="n"/>
      <c r="Z592" s="24">
        <f>IF($B592="","",IF($Y592&lt;&gt;"",$Y592-$B592,TODAY()-$B592))</f>
        <v/>
      </c>
      <c r="AA592" s="28">
        <f>IF($B592="","",IF(IFERROR(INDEX(CONFIG!$L$4:$L$63,MATCH($V592,CONFIG!$K$4:$K$63,0)),"NO")="SÍ",IF(OR($Y592="",$X592=""),"Resuelta",IF($Y592&gt;$X592,"Resuelta tarde","Resuelta a tiempo")),IF($X592="","Sin clasificar",IF(TODAY()&gt;$X592,"Vencida",IF(TODAY()&gt;=$X592-1,"Por vencer","En plazo")))))</f>
        <v/>
      </c>
      <c r="AB592" s="50" t="n"/>
      <c r="AC592" s="50" t="n"/>
    </row>
    <row r="593" ht="16" customHeight="1">
      <c r="A593" s="28">
        <f>IF($B593="","","N-"&amp;TEXT(ROW()-3,"0000"))</f>
        <v/>
      </c>
      <c r="B593" s="47" t="n"/>
      <c r="C593" s="48" t="n"/>
      <c r="D593" s="48" t="n"/>
      <c r="E593" s="28">
        <f>IF($C593="","",IF($D593="",IF($C593="Interna","Sin guía (interna)","FALTA GUÍA"),IF(COUNTIFS(ENVIOS!$A$4:$A$3003,$D593)=0,"NO EXISTE",IF(COUNTIFS(ENVIOS!$A$4:$A$3003,$D593)&gt;1,"DUPLICADA","OK"))))</f>
        <v/>
      </c>
      <c r="F593" s="28">
        <f>IF($D593="","",IFERROR(INDEX(ENVIOS!$B$4:$B$3003,MATCH($D593,ENVIOS!$A$4:$A$3003,0)),"—"))</f>
        <v/>
      </c>
      <c r="G593" s="23">
        <f>IF($D593="","",IFERROR(INDEX(ENVIOS!$D$4:$D$3003,MATCH($D593,ENVIOS!$A$4:$A$3003,0)),"—"))</f>
        <v/>
      </c>
      <c r="H593" s="23">
        <f>IF($D593="","",IFERROR(INDEX(ENVIOS!$E$4:$E$3003,MATCH($D593,ENVIOS!$A$4:$A$3003,0)),"—"))</f>
        <v/>
      </c>
      <c r="I593" s="23">
        <f>IF($D593="","",IFERROR(INDEX(ENVIOS!$F$4:$F$3003,MATCH($D593,ENVIOS!$A$4:$A$3003,0)),"—"))</f>
        <v/>
      </c>
      <c r="J593" s="23">
        <f>IF($D593="","",IFERROR(INDEX(ENVIOS!$G$4:$G$3003,MATCH($D593,ENVIOS!$A$4:$A$3003,0)),"—"))</f>
        <v/>
      </c>
      <c r="K593" s="28">
        <f>IF($D593="","",IFERROR(INDEX(ENVIOS!$H$4:$H$3003,MATCH($D593,ENVIOS!$A$4:$A$3003,0)),"—"))</f>
        <v/>
      </c>
      <c r="L593" s="49">
        <f>IF($D593="","",IFERROR(INDEX(ENVIOS!$C$4:$C$3003,MATCH($D593,ENVIOS!$A$4:$A$3003,0)),""))</f>
        <v/>
      </c>
      <c r="M593" s="50" t="n"/>
      <c r="N593" s="28">
        <f>IF($M593="","",IFERROR(INDEX(CONFIG!$C$4:$C$63,MATCH($M593,CONFIG!$A$4:$A$63,0)),"Media"))</f>
        <v/>
      </c>
      <c r="O593" s="28">
        <f>IF($M593="","",IF($C593="Interna","NO",IFERROR(INDEX(CONFIG!$E$4:$E$63,MATCH($M593,CONFIG!$A$4:$A$63,0)),"NO")))</f>
        <v/>
      </c>
      <c r="P593" s="50" t="n"/>
      <c r="Q593" s="50" t="n"/>
      <c r="R593" s="28">
        <f>IF($Q593="","",IFERROR(INDEX(CONFIG!$H$4:$H$63,MATCH($Q593,CONFIG!$G$4:$G$63,0)),"Por definir"))</f>
        <v/>
      </c>
      <c r="S593" s="28">
        <f>IF($Q593="","",IFERROR(INDEX(CONFIG!$I$4:$I$63,MATCH($Q593,CONFIG!$G$4:$G$63,0)),"Por definir"))</f>
        <v/>
      </c>
      <c r="T593" s="51" t="n"/>
      <c r="U593" s="52" t="n"/>
      <c r="V593" s="50" t="n"/>
      <c r="W593" s="50" t="n"/>
      <c r="X593" s="49">
        <f>IF(OR($B593="",$M593=""),"",WORKDAY($B593,IFERROR(INDEX(CONFIG!$D$4:$D$63,MATCH($M593,CONFIG!$A$4:$A$63,0)),3)))</f>
        <v/>
      </c>
      <c r="Y593" s="47" t="n"/>
      <c r="Z593" s="24">
        <f>IF($B593="","",IF($Y593&lt;&gt;"",$Y593-$B593,TODAY()-$B593))</f>
        <v/>
      </c>
      <c r="AA593" s="28">
        <f>IF($B593="","",IF(IFERROR(INDEX(CONFIG!$L$4:$L$63,MATCH($V593,CONFIG!$K$4:$K$63,0)),"NO")="SÍ",IF(OR($Y593="",$X593=""),"Resuelta",IF($Y593&gt;$X593,"Resuelta tarde","Resuelta a tiempo")),IF($X593="","Sin clasificar",IF(TODAY()&gt;$X593,"Vencida",IF(TODAY()&gt;=$X593-1,"Por vencer","En plazo")))))</f>
        <v/>
      </c>
      <c r="AB593" s="50" t="n"/>
      <c r="AC593" s="50" t="n"/>
    </row>
    <row r="594" ht="16" customHeight="1">
      <c r="A594" s="28">
        <f>IF($B594="","","N-"&amp;TEXT(ROW()-3,"0000"))</f>
        <v/>
      </c>
      <c r="B594" s="47" t="n"/>
      <c r="C594" s="48" t="n"/>
      <c r="D594" s="48" t="n"/>
      <c r="E594" s="28">
        <f>IF($C594="","",IF($D594="",IF($C594="Interna","Sin guía (interna)","FALTA GUÍA"),IF(COUNTIFS(ENVIOS!$A$4:$A$3003,$D594)=0,"NO EXISTE",IF(COUNTIFS(ENVIOS!$A$4:$A$3003,$D594)&gt;1,"DUPLICADA","OK"))))</f>
        <v/>
      </c>
      <c r="F594" s="28">
        <f>IF($D594="","",IFERROR(INDEX(ENVIOS!$B$4:$B$3003,MATCH($D594,ENVIOS!$A$4:$A$3003,0)),"—"))</f>
        <v/>
      </c>
      <c r="G594" s="23">
        <f>IF($D594="","",IFERROR(INDEX(ENVIOS!$D$4:$D$3003,MATCH($D594,ENVIOS!$A$4:$A$3003,0)),"—"))</f>
        <v/>
      </c>
      <c r="H594" s="23">
        <f>IF($D594="","",IFERROR(INDEX(ENVIOS!$E$4:$E$3003,MATCH($D594,ENVIOS!$A$4:$A$3003,0)),"—"))</f>
        <v/>
      </c>
      <c r="I594" s="23">
        <f>IF($D594="","",IFERROR(INDEX(ENVIOS!$F$4:$F$3003,MATCH($D594,ENVIOS!$A$4:$A$3003,0)),"—"))</f>
        <v/>
      </c>
      <c r="J594" s="23">
        <f>IF($D594="","",IFERROR(INDEX(ENVIOS!$G$4:$G$3003,MATCH($D594,ENVIOS!$A$4:$A$3003,0)),"—"))</f>
        <v/>
      </c>
      <c r="K594" s="28">
        <f>IF($D594="","",IFERROR(INDEX(ENVIOS!$H$4:$H$3003,MATCH($D594,ENVIOS!$A$4:$A$3003,0)),"—"))</f>
        <v/>
      </c>
      <c r="L594" s="49">
        <f>IF($D594="","",IFERROR(INDEX(ENVIOS!$C$4:$C$3003,MATCH($D594,ENVIOS!$A$4:$A$3003,0)),""))</f>
        <v/>
      </c>
      <c r="M594" s="50" t="n"/>
      <c r="N594" s="28">
        <f>IF($M594="","",IFERROR(INDEX(CONFIG!$C$4:$C$63,MATCH($M594,CONFIG!$A$4:$A$63,0)),"Media"))</f>
        <v/>
      </c>
      <c r="O594" s="28">
        <f>IF($M594="","",IF($C594="Interna","NO",IFERROR(INDEX(CONFIG!$E$4:$E$63,MATCH($M594,CONFIG!$A$4:$A$63,0)),"NO")))</f>
        <v/>
      </c>
      <c r="P594" s="50" t="n"/>
      <c r="Q594" s="50" t="n"/>
      <c r="R594" s="28">
        <f>IF($Q594="","",IFERROR(INDEX(CONFIG!$H$4:$H$63,MATCH($Q594,CONFIG!$G$4:$G$63,0)),"Por definir"))</f>
        <v/>
      </c>
      <c r="S594" s="28">
        <f>IF($Q594="","",IFERROR(INDEX(CONFIG!$I$4:$I$63,MATCH($Q594,CONFIG!$G$4:$G$63,0)),"Por definir"))</f>
        <v/>
      </c>
      <c r="T594" s="51" t="n"/>
      <c r="U594" s="52" t="n"/>
      <c r="V594" s="50" t="n"/>
      <c r="W594" s="50" t="n"/>
      <c r="X594" s="49">
        <f>IF(OR($B594="",$M594=""),"",WORKDAY($B594,IFERROR(INDEX(CONFIG!$D$4:$D$63,MATCH($M594,CONFIG!$A$4:$A$63,0)),3)))</f>
        <v/>
      </c>
      <c r="Y594" s="47" t="n"/>
      <c r="Z594" s="24">
        <f>IF($B594="","",IF($Y594&lt;&gt;"",$Y594-$B594,TODAY()-$B594))</f>
        <v/>
      </c>
      <c r="AA594" s="28">
        <f>IF($B594="","",IF(IFERROR(INDEX(CONFIG!$L$4:$L$63,MATCH($V594,CONFIG!$K$4:$K$63,0)),"NO")="SÍ",IF(OR($Y594="",$X594=""),"Resuelta",IF($Y594&gt;$X594,"Resuelta tarde","Resuelta a tiempo")),IF($X594="","Sin clasificar",IF(TODAY()&gt;$X594,"Vencida",IF(TODAY()&gt;=$X594-1,"Por vencer","En plazo")))))</f>
        <v/>
      </c>
      <c r="AB594" s="50" t="n"/>
      <c r="AC594" s="50" t="n"/>
    </row>
    <row r="595" ht="16" customHeight="1">
      <c r="A595" s="28">
        <f>IF($B595="","","N-"&amp;TEXT(ROW()-3,"0000"))</f>
        <v/>
      </c>
      <c r="B595" s="47" t="n"/>
      <c r="C595" s="48" t="n"/>
      <c r="D595" s="48" t="n"/>
      <c r="E595" s="28">
        <f>IF($C595="","",IF($D595="",IF($C595="Interna","Sin guía (interna)","FALTA GUÍA"),IF(COUNTIFS(ENVIOS!$A$4:$A$3003,$D595)=0,"NO EXISTE",IF(COUNTIFS(ENVIOS!$A$4:$A$3003,$D595)&gt;1,"DUPLICADA","OK"))))</f>
        <v/>
      </c>
      <c r="F595" s="28">
        <f>IF($D595="","",IFERROR(INDEX(ENVIOS!$B$4:$B$3003,MATCH($D595,ENVIOS!$A$4:$A$3003,0)),"—"))</f>
        <v/>
      </c>
      <c r="G595" s="23">
        <f>IF($D595="","",IFERROR(INDEX(ENVIOS!$D$4:$D$3003,MATCH($D595,ENVIOS!$A$4:$A$3003,0)),"—"))</f>
        <v/>
      </c>
      <c r="H595" s="23">
        <f>IF($D595="","",IFERROR(INDEX(ENVIOS!$E$4:$E$3003,MATCH($D595,ENVIOS!$A$4:$A$3003,0)),"—"))</f>
        <v/>
      </c>
      <c r="I595" s="23">
        <f>IF($D595="","",IFERROR(INDEX(ENVIOS!$F$4:$F$3003,MATCH($D595,ENVIOS!$A$4:$A$3003,0)),"—"))</f>
        <v/>
      </c>
      <c r="J595" s="23">
        <f>IF($D595="","",IFERROR(INDEX(ENVIOS!$G$4:$G$3003,MATCH($D595,ENVIOS!$A$4:$A$3003,0)),"—"))</f>
        <v/>
      </c>
      <c r="K595" s="28">
        <f>IF($D595="","",IFERROR(INDEX(ENVIOS!$H$4:$H$3003,MATCH($D595,ENVIOS!$A$4:$A$3003,0)),"—"))</f>
        <v/>
      </c>
      <c r="L595" s="49">
        <f>IF($D595="","",IFERROR(INDEX(ENVIOS!$C$4:$C$3003,MATCH($D595,ENVIOS!$A$4:$A$3003,0)),""))</f>
        <v/>
      </c>
      <c r="M595" s="50" t="n"/>
      <c r="N595" s="28">
        <f>IF($M595="","",IFERROR(INDEX(CONFIG!$C$4:$C$63,MATCH($M595,CONFIG!$A$4:$A$63,0)),"Media"))</f>
        <v/>
      </c>
      <c r="O595" s="28">
        <f>IF($M595="","",IF($C595="Interna","NO",IFERROR(INDEX(CONFIG!$E$4:$E$63,MATCH($M595,CONFIG!$A$4:$A$63,0)),"NO")))</f>
        <v/>
      </c>
      <c r="P595" s="50" t="n"/>
      <c r="Q595" s="50" t="n"/>
      <c r="R595" s="28">
        <f>IF($Q595="","",IFERROR(INDEX(CONFIG!$H$4:$H$63,MATCH($Q595,CONFIG!$G$4:$G$63,0)),"Por definir"))</f>
        <v/>
      </c>
      <c r="S595" s="28">
        <f>IF($Q595="","",IFERROR(INDEX(CONFIG!$I$4:$I$63,MATCH($Q595,CONFIG!$G$4:$G$63,0)),"Por definir"))</f>
        <v/>
      </c>
      <c r="T595" s="51" t="n"/>
      <c r="U595" s="52" t="n"/>
      <c r="V595" s="50" t="n"/>
      <c r="W595" s="50" t="n"/>
      <c r="X595" s="49">
        <f>IF(OR($B595="",$M595=""),"",WORKDAY($B595,IFERROR(INDEX(CONFIG!$D$4:$D$63,MATCH($M595,CONFIG!$A$4:$A$63,0)),3)))</f>
        <v/>
      </c>
      <c r="Y595" s="47" t="n"/>
      <c r="Z595" s="24">
        <f>IF($B595="","",IF($Y595&lt;&gt;"",$Y595-$B595,TODAY()-$B595))</f>
        <v/>
      </c>
      <c r="AA595" s="28">
        <f>IF($B595="","",IF(IFERROR(INDEX(CONFIG!$L$4:$L$63,MATCH($V595,CONFIG!$K$4:$K$63,0)),"NO")="SÍ",IF(OR($Y595="",$X595=""),"Resuelta",IF($Y595&gt;$X595,"Resuelta tarde","Resuelta a tiempo")),IF($X595="","Sin clasificar",IF(TODAY()&gt;$X595,"Vencida",IF(TODAY()&gt;=$X595-1,"Por vencer","En plazo")))))</f>
        <v/>
      </c>
      <c r="AB595" s="50" t="n"/>
      <c r="AC595" s="50" t="n"/>
    </row>
    <row r="596" ht="16" customHeight="1">
      <c r="A596" s="28">
        <f>IF($B596="","","N-"&amp;TEXT(ROW()-3,"0000"))</f>
        <v/>
      </c>
      <c r="B596" s="47" t="n"/>
      <c r="C596" s="48" t="n"/>
      <c r="D596" s="48" t="n"/>
      <c r="E596" s="28">
        <f>IF($C596="","",IF($D596="",IF($C596="Interna","Sin guía (interna)","FALTA GUÍA"),IF(COUNTIFS(ENVIOS!$A$4:$A$3003,$D596)=0,"NO EXISTE",IF(COUNTIFS(ENVIOS!$A$4:$A$3003,$D596)&gt;1,"DUPLICADA","OK"))))</f>
        <v/>
      </c>
      <c r="F596" s="28">
        <f>IF($D596="","",IFERROR(INDEX(ENVIOS!$B$4:$B$3003,MATCH($D596,ENVIOS!$A$4:$A$3003,0)),"—"))</f>
        <v/>
      </c>
      <c r="G596" s="23">
        <f>IF($D596="","",IFERROR(INDEX(ENVIOS!$D$4:$D$3003,MATCH($D596,ENVIOS!$A$4:$A$3003,0)),"—"))</f>
        <v/>
      </c>
      <c r="H596" s="23">
        <f>IF($D596="","",IFERROR(INDEX(ENVIOS!$E$4:$E$3003,MATCH($D596,ENVIOS!$A$4:$A$3003,0)),"—"))</f>
        <v/>
      </c>
      <c r="I596" s="23">
        <f>IF($D596="","",IFERROR(INDEX(ENVIOS!$F$4:$F$3003,MATCH($D596,ENVIOS!$A$4:$A$3003,0)),"—"))</f>
        <v/>
      </c>
      <c r="J596" s="23">
        <f>IF($D596="","",IFERROR(INDEX(ENVIOS!$G$4:$G$3003,MATCH($D596,ENVIOS!$A$4:$A$3003,0)),"—"))</f>
        <v/>
      </c>
      <c r="K596" s="28">
        <f>IF($D596="","",IFERROR(INDEX(ENVIOS!$H$4:$H$3003,MATCH($D596,ENVIOS!$A$4:$A$3003,0)),"—"))</f>
        <v/>
      </c>
      <c r="L596" s="49">
        <f>IF($D596="","",IFERROR(INDEX(ENVIOS!$C$4:$C$3003,MATCH($D596,ENVIOS!$A$4:$A$3003,0)),""))</f>
        <v/>
      </c>
      <c r="M596" s="50" t="n"/>
      <c r="N596" s="28">
        <f>IF($M596="","",IFERROR(INDEX(CONFIG!$C$4:$C$63,MATCH($M596,CONFIG!$A$4:$A$63,0)),"Media"))</f>
        <v/>
      </c>
      <c r="O596" s="28">
        <f>IF($M596="","",IF($C596="Interna","NO",IFERROR(INDEX(CONFIG!$E$4:$E$63,MATCH($M596,CONFIG!$A$4:$A$63,0)),"NO")))</f>
        <v/>
      </c>
      <c r="P596" s="50" t="n"/>
      <c r="Q596" s="50" t="n"/>
      <c r="R596" s="28">
        <f>IF($Q596="","",IFERROR(INDEX(CONFIG!$H$4:$H$63,MATCH($Q596,CONFIG!$G$4:$G$63,0)),"Por definir"))</f>
        <v/>
      </c>
      <c r="S596" s="28">
        <f>IF($Q596="","",IFERROR(INDEX(CONFIG!$I$4:$I$63,MATCH($Q596,CONFIG!$G$4:$G$63,0)),"Por definir"))</f>
        <v/>
      </c>
      <c r="T596" s="51" t="n"/>
      <c r="U596" s="52" t="n"/>
      <c r="V596" s="50" t="n"/>
      <c r="W596" s="50" t="n"/>
      <c r="X596" s="49">
        <f>IF(OR($B596="",$M596=""),"",WORKDAY($B596,IFERROR(INDEX(CONFIG!$D$4:$D$63,MATCH($M596,CONFIG!$A$4:$A$63,0)),3)))</f>
        <v/>
      </c>
      <c r="Y596" s="47" t="n"/>
      <c r="Z596" s="24">
        <f>IF($B596="","",IF($Y596&lt;&gt;"",$Y596-$B596,TODAY()-$B596))</f>
        <v/>
      </c>
      <c r="AA596" s="28">
        <f>IF($B596="","",IF(IFERROR(INDEX(CONFIG!$L$4:$L$63,MATCH($V596,CONFIG!$K$4:$K$63,0)),"NO")="SÍ",IF(OR($Y596="",$X596=""),"Resuelta",IF($Y596&gt;$X596,"Resuelta tarde","Resuelta a tiempo")),IF($X596="","Sin clasificar",IF(TODAY()&gt;$X596,"Vencida",IF(TODAY()&gt;=$X596-1,"Por vencer","En plazo")))))</f>
        <v/>
      </c>
      <c r="AB596" s="50" t="n"/>
      <c r="AC596" s="50" t="n"/>
    </row>
    <row r="597" ht="16" customHeight="1">
      <c r="A597" s="28">
        <f>IF($B597="","","N-"&amp;TEXT(ROW()-3,"0000"))</f>
        <v/>
      </c>
      <c r="B597" s="47" t="n"/>
      <c r="C597" s="48" t="n"/>
      <c r="D597" s="48" t="n"/>
      <c r="E597" s="28">
        <f>IF($C597="","",IF($D597="",IF($C597="Interna","Sin guía (interna)","FALTA GUÍA"),IF(COUNTIFS(ENVIOS!$A$4:$A$3003,$D597)=0,"NO EXISTE",IF(COUNTIFS(ENVIOS!$A$4:$A$3003,$D597)&gt;1,"DUPLICADA","OK"))))</f>
        <v/>
      </c>
      <c r="F597" s="28">
        <f>IF($D597="","",IFERROR(INDEX(ENVIOS!$B$4:$B$3003,MATCH($D597,ENVIOS!$A$4:$A$3003,0)),"—"))</f>
        <v/>
      </c>
      <c r="G597" s="23">
        <f>IF($D597="","",IFERROR(INDEX(ENVIOS!$D$4:$D$3003,MATCH($D597,ENVIOS!$A$4:$A$3003,0)),"—"))</f>
        <v/>
      </c>
      <c r="H597" s="23">
        <f>IF($D597="","",IFERROR(INDEX(ENVIOS!$E$4:$E$3003,MATCH($D597,ENVIOS!$A$4:$A$3003,0)),"—"))</f>
        <v/>
      </c>
      <c r="I597" s="23">
        <f>IF($D597="","",IFERROR(INDEX(ENVIOS!$F$4:$F$3003,MATCH($D597,ENVIOS!$A$4:$A$3003,0)),"—"))</f>
        <v/>
      </c>
      <c r="J597" s="23">
        <f>IF($D597="","",IFERROR(INDEX(ENVIOS!$G$4:$G$3003,MATCH($D597,ENVIOS!$A$4:$A$3003,0)),"—"))</f>
        <v/>
      </c>
      <c r="K597" s="28">
        <f>IF($D597="","",IFERROR(INDEX(ENVIOS!$H$4:$H$3003,MATCH($D597,ENVIOS!$A$4:$A$3003,0)),"—"))</f>
        <v/>
      </c>
      <c r="L597" s="49">
        <f>IF($D597="","",IFERROR(INDEX(ENVIOS!$C$4:$C$3003,MATCH($D597,ENVIOS!$A$4:$A$3003,0)),""))</f>
        <v/>
      </c>
      <c r="M597" s="50" t="n"/>
      <c r="N597" s="28">
        <f>IF($M597="","",IFERROR(INDEX(CONFIG!$C$4:$C$63,MATCH($M597,CONFIG!$A$4:$A$63,0)),"Media"))</f>
        <v/>
      </c>
      <c r="O597" s="28">
        <f>IF($M597="","",IF($C597="Interna","NO",IFERROR(INDEX(CONFIG!$E$4:$E$63,MATCH($M597,CONFIG!$A$4:$A$63,0)),"NO")))</f>
        <v/>
      </c>
      <c r="P597" s="50" t="n"/>
      <c r="Q597" s="50" t="n"/>
      <c r="R597" s="28">
        <f>IF($Q597="","",IFERROR(INDEX(CONFIG!$H$4:$H$63,MATCH($Q597,CONFIG!$G$4:$G$63,0)),"Por definir"))</f>
        <v/>
      </c>
      <c r="S597" s="28">
        <f>IF($Q597="","",IFERROR(INDEX(CONFIG!$I$4:$I$63,MATCH($Q597,CONFIG!$G$4:$G$63,0)),"Por definir"))</f>
        <v/>
      </c>
      <c r="T597" s="51" t="n"/>
      <c r="U597" s="52" t="n"/>
      <c r="V597" s="50" t="n"/>
      <c r="W597" s="50" t="n"/>
      <c r="X597" s="49">
        <f>IF(OR($B597="",$M597=""),"",WORKDAY($B597,IFERROR(INDEX(CONFIG!$D$4:$D$63,MATCH($M597,CONFIG!$A$4:$A$63,0)),3)))</f>
        <v/>
      </c>
      <c r="Y597" s="47" t="n"/>
      <c r="Z597" s="24">
        <f>IF($B597="","",IF($Y597&lt;&gt;"",$Y597-$B597,TODAY()-$B597))</f>
        <v/>
      </c>
      <c r="AA597" s="28">
        <f>IF($B597="","",IF(IFERROR(INDEX(CONFIG!$L$4:$L$63,MATCH($V597,CONFIG!$K$4:$K$63,0)),"NO")="SÍ",IF(OR($Y597="",$X597=""),"Resuelta",IF($Y597&gt;$X597,"Resuelta tarde","Resuelta a tiempo")),IF($X597="","Sin clasificar",IF(TODAY()&gt;$X597,"Vencida",IF(TODAY()&gt;=$X597-1,"Por vencer","En plazo")))))</f>
        <v/>
      </c>
      <c r="AB597" s="50" t="n"/>
      <c r="AC597" s="50" t="n"/>
    </row>
    <row r="598" ht="16" customHeight="1">
      <c r="A598" s="28">
        <f>IF($B598="","","N-"&amp;TEXT(ROW()-3,"0000"))</f>
        <v/>
      </c>
      <c r="B598" s="47" t="n"/>
      <c r="C598" s="48" t="n"/>
      <c r="D598" s="48" t="n"/>
      <c r="E598" s="28">
        <f>IF($C598="","",IF($D598="",IF($C598="Interna","Sin guía (interna)","FALTA GUÍA"),IF(COUNTIFS(ENVIOS!$A$4:$A$3003,$D598)=0,"NO EXISTE",IF(COUNTIFS(ENVIOS!$A$4:$A$3003,$D598)&gt;1,"DUPLICADA","OK"))))</f>
        <v/>
      </c>
      <c r="F598" s="28">
        <f>IF($D598="","",IFERROR(INDEX(ENVIOS!$B$4:$B$3003,MATCH($D598,ENVIOS!$A$4:$A$3003,0)),"—"))</f>
        <v/>
      </c>
      <c r="G598" s="23">
        <f>IF($D598="","",IFERROR(INDEX(ENVIOS!$D$4:$D$3003,MATCH($D598,ENVIOS!$A$4:$A$3003,0)),"—"))</f>
        <v/>
      </c>
      <c r="H598" s="23">
        <f>IF($D598="","",IFERROR(INDEX(ENVIOS!$E$4:$E$3003,MATCH($D598,ENVIOS!$A$4:$A$3003,0)),"—"))</f>
        <v/>
      </c>
      <c r="I598" s="23">
        <f>IF($D598="","",IFERROR(INDEX(ENVIOS!$F$4:$F$3003,MATCH($D598,ENVIOS!$A$4:$A$3003,0)),"—"))</f>
        <v/>
      </c>
      <c r="J598" s="23">
        <f>IF($D598="","",IFERROR(INDEX(ENVIOS!$G$4:$G$3003,MATCH($D598,ENVIOS!$A$4:$A$3003,0)),"—"))</f>
        <v/>
      </c>
      <c r="K598" s="28">
        <f>IF($D598="","",IFERROR(INDEX(ENVIOS!$H$4:$H$3003,MATCH($D598,ENVIOS!$A$4:$A$3003,0)),"—"))</f>
        <v/>
      </c>
      <c r="L598" s="49">
        <f>IF($D598="","",IFERROR(INDEX(ENVIOS!$C$4:$C$3003,MATCH($D598,ENVIOS!$A$4:$A$3003,0)),""))</f>
        <v/>
      </c>
      <c r="M598" s="50" t="n"/>
      <c r="N598" s="28">
        <f>IF($M598="","",IFERROR(INDEX(CONFIG!$C$4:$C$63,MATCH($M598,CONFIG!$A$4:$A$63,0)),"Media"))</f>
        <v/>
      </c>
      <c r="O598" s="28">
        <f>IF($M598="","",IF($C598="Interna","NO",IFERROR(INDEX(CONFIG!$E$4:$E$63,MATCH($M598,CONFIG!$A$4:$A$63,0)),"NO")))</f>
        <v/>
      </c>
      <c r="P598" s="50" t="n"/>
      <c r="Q598" s="50" t="n"/>
      <c r="R598" s="28">
        <f>IF($Q598="","",IFERROR(INDEX(CONFIG!$H$4:$H$63,MATCH($Q598,CONFIG!$G$4:$G$63,0)),"Por definir"))</f>
        <v/>
      </c>
      <c r="S598" s="28">
        <f>IF($Q598="","",IFERROR(INDEX(CONFIG!$I$4:$I$63,MATCH($Q598,CONFIG!$G$4:$G$63,0)),"Por definir"))</f>
        <v/>
      </c>
      <c r="T598" s="51" t="n"/>
      <c r="U598" s="52" t="n"/>
      <c r="V598" s="50" t="n"/>
      <c r="W598" s="50" t="n"/>
      <c r="X598" s="49">
        <f>IF(OR($B598="",$M598=""),"",WORKDAY($B598,IFERROR(INDEX(CONFIG!$D$4:$D$63,MATCH($M598,CONFIG!$A$4:$A$63,0)),3)))</f>
        <v/>
      </c>
      <c r="Y598" s="47" t="n"/>
      <c r="Z598" s="24">
        <f>IF($B598="","",IF($Y598&lt;&gt;"",$Y598-$B598,TODAY()-$B598))</f>
        <v/>
      </c>
      <c r="AA598" s="28">
        <f>IF($B598="","",IF(IFERROR(INDEX(CONFIG!$L$4:$L$63,MATCH($V598,CONFIG!$K$4:$K$63,0)),"NO")="SÍ",IF(OR($Y598="",$X598=""),"Resuelta",IF($Y598&gt;$X598,"Resuelta tarde","Resuelta a tiempo")),IF($X598="","Sin clasificar",IF(TODAY()&gt;$X598,"Vencida",IF(TODAY()&gt;=$X598-1,"Por vencer","En plazo")))))</f>
        <v/>
      </c>
      <c r="AB598" s="50" t="n"/>
      <c r="AC598" s="50" t="n"/>
    </row>
    <row r="599" ht="16" customHeight="1">
      <c r="A599" s="28">
        <f>IF($B599="","","N-"&amp;TEXT(ROW()-3,"0000"))</f>
        <v/>
      </c>
      <c r="B599" s="47" t="n"/>
      <c r="C599" s="48" t="n"/>
      <c r="D599" s="48" t="n"/>
      <c r="E599" s="28">
        <f>IF($C599="","",IF($D599="",IF($C599="Interna","Sin guía (interna)","FALTA GUÍA"),IF(COUNTIFS(ENVIOS!$A$4:$A$3003,$D599)=0,"NO EXISTE",IF(COUNTIFS(ENVIOS!$A$4:$A$3003,$D599)&gt;1,"DUPLICADA","OK"))))</f>
        <v/>
      </c>
      <c r="F599" s="28">
        <f>IF($D599="","",IFERROR(INDEX(ENVIOS!$B$4:$B$3003,MATCH($D599,ENVIOS!$A$4:$A$3003,0)),"—"))</f>
        <v/>
      </c>
      <c r="G599" s="23">
        <f>IF($D599="","",IFERROR(INDEX(ENVIOS!$D$4:$D$3003,MATCH($D599,ENVIOS!$A$4:$A$3003,0)),"—"))</f>
        <v/>
      </c>
      <c r="H599" s="23">
        <f>IF($D599="","",IFERROR(INDEX(ENVIOS!$E$4:$E$3003,MATCH($D599,ENVIOS!$A$4:$A$3003,0)),"—"))</f>
        <v/>
      </c>
      <c r="I599" s="23">
        <f>IF($D599="","",IFERROR(INDEX(ENVIOS!$F$4:$F$3003,MATCH($D599,ENVIOS!$A$4:$A$3003,0)),"—"))</f>
        <v/>
      </c>
      <c r="J599" s="23">
        <f>IF($D599="","",IFERROR(INDEX(ENVIOS!$G$4:$G$3003,MATCH($D599,ENVIOS!$A$4:$A$3003,0)),"—"))</f>
        <v/>
      </c>
      <c r="K599" s="28">
        <f>IF($D599="","",IFERROR(INDEX(ENVIOS!$H$4:$H$3003,MATCH($D599,ENVIOS!$A$4:$A$3003,0)),"—"))</f>
        <v/>
      </c>
      <c r="L599" s="49">
        <f>IF($D599="","",IFERROR(INDEX(ENVIOS!$C$4:$C$3003,MATCH($D599,ENVIOS!$A$4:$A$3003,0)),""))</f>
        <v/>
      </c>
      <c r="M599" s="50" t="n"/>
      <c r="N599" s="28">
        <f>IF($M599="","",IFERROR(INDEX(CONFIG!$C$4:$C$63,MATCH($M599,CONFIG!$A$4:$A$63,0)),"Media"))</f>
        <v/>
      </c>
      <c r="O599" s="28">
        <f>IF($M599="","",IF($C599="Interna","NO",IFERROR(INDEX(CONFIG!$E$4:$E$63,MATCH($M599,CONFIG!$A$4:$A$63,0)),"NO")))</f>
        <v/>
      </c>
      <c r="P599" s="50" t="n"/>
      <c r="Q599" s="50" t="n"/>
      <c r="R599" s="28">
        <f>IF($Q599="","",IFERROR(INDEX(CONFIG!$H$4:$H$63,MATCH($Q599,CONFIG!$G$4:$G$63,0)),"Por definir"))</f>
        <v/>
      </c>
      <c r="S599" s="28">
        <f>IF($Q599="","",IFERROR(INDEX(CONFIG!$I$4:$I$63,MATCH($Q599,CONFIG!$G$4:$G$63,0)),"Por definir"))</f>
        <v/>
      </c>
      <c r="T599" s="51" t="n"/>
      <c r="U599" s="52" t="n"/>
      <c r="V599" s="50" t="n"/>
      <c r="W599" s="50" t="n"/>
      <c r="X599" s="49">
        <f>IF(OR($B599="",$M599=""),"",WORKDAY($B599,IFERROR(INDEX(CONFIG!$D$4:$D$63,MATCH($M599,CONFIG!$A$4:$A$63,0)),3)))</f>
        <v/>
      </c>
      <c r="Y599" s="47" t="n"/>
      <c r="Z599" s="24">
        <f>IF($B599="","",IF($Y599&lt;&gt;"",$Y599-$B599,TODAY()-$B599))</f>
        <v/>
      </c>
      <c r="AA599" s="28">
        <f>IF($B599="","",IF(IFERROR(INDEX(CONFIG!$L$4:$L$63,MATCH($V599,CONFIG!$K$4:$K$63,0)),"NO")="SÍ",IF(OR($Y599="",$X599=""),"Resuelta",IF($Y599&gt;$X599,"Resuelta tarde","Resuelta a tiempo")),IF($X599="","Sin clasificar",IF(TODAY()&gt;$X599,"Vencida",IF(TODAY()&gt;=$X599-1,"Por vencer","En plazo")))))</f>
        <v/>
      </c>
      <c r="AB599" s="50" t="n"/>
      <c r="AC599" s="50" t="n"/>
    </row>
    <row r="600" ht="16" customHeight="1">
      <c r="A600" s="28">
        <f>IF($B600="","","N-"&amp;TEXT(ROW()-3,"0000"))</f>
        <v/>
      </c>
      <c r="B600" s="47" t="n"/>
      <c r="C600" s="48" t="n"/>
      <c r="D600" s="48" t="n"/>
      <c r="E600" s="28">
        <f>IF($C600="","",IF($D600="",IF($C600="Interna","Sin guía (interna)","FALTA GUÍA"),IF(COUNTIFS(ENVIOS!$A$4:$A$3003,$D600)=0,"NO EXISTE",IF(COUNTIFS(ENVIOS!$A$4:$A$3003,$D600)&gt;1,"DUPLICADA","OK"))))</f>
        <v/>
      </c>
      <c r="F600" s="28">
        <f>IF($D600="","",IFERROR(INDEX(ENVIOS!$B$4:$B$3003,MATCH($D600,ENVIOS!$A$4:$A$3003,0)),"—"))</f>
        <v/>
      </c>
      <c r="G600" s="23">
        <f>IF($D600="","",IFERROR(INDEX(ENVIOS!$D$4:$D$3003,MATCH($D600,ENVIOS!$A$4:$A$3003,0)),"—"))</f>
        <v/>
      </c>
      <c r="H600" s="23">
        <f>IF($D600="","",IFERROR(INDEX(ENVIOS!$E$4:$E$3003,MATCH($D600,ENVIOS!$A$4:$A$3003,0)),"—"))</f>
        <v/>
      </c>
      <c r="I600" s="23">
        <f>IF($D600="","",IFERROR(INDEX(ENVIOS!$F$4:$F$3003,MATCH($D600,ENVIOS!$A$4:$A$3003,0)),"—"))</f>
        <v/>
      </c>
      <c r="J600" s="23">
        <f>IF($D600="","",IFERROR(INDEX(ENVIOS!$G$4:$G$3003,MATCH($D600,ENVIOS!$A$4:$A$3003,0)),"—"))</f>
        <v/>
      </c>
      <c r="K600" s="28">
        <f>IF($D600="","",IFERROR(INDEX(ENVIOS!$H$4:$H$3003,MATCH($D600,ENVIOS!$A$4:$A$3003,0)),"—"))</f>
        <v/>
      </c>
      <c r="L600" s="49">
        <f>IF($D600="","",IFERROR(INDEX(ENVIOS!$C$4:$C$3003,MATCH($D600,ENVIOS!$A$4:$A$3003,0)),""))</f>
        <v/>
      </c>
      <c r="M600" s="50" t="n"/>
      <c r="N600" s="28">
        <f>IF($M600="","",IFERROR(INDEX(CONFIG!$C$4:$C$63,MATCH($M600,CONFIG!$A$4:$A$63,0)),"Media"))</f>
        <v/>
      </c>
      <c r="O600" s="28">
        <f>IF($M600="","",IF($C600="Interna","NO",IFERROR(INDEX(CONFIG!$E$4:$E$63,MATCH($M600,CONFIG!$A$4:$A$63,0)),"NO")))</f>
        <v/>
      </c>
      <c r="P600" s="50" t="n"/>
      <c r="Q600" s="50" t="n"/>
      <c r="R600" s="28">
        <f>IF($Q600="","",IFERROR(INDEX(CONFIG!$H$4:$H$63,MATCH($Q600,CONFIG!$G$4:$G$63,0)),"Por definir"))</f>
        <v/>
      </c>
      <c r="S600" s="28">
        <f>IF($Q600="","",IFERROR(INDEX(CONFIG!$I$4:$I$63,MATCH($Q600,CONFIG!$G$4:$G$63,0)),"Por definir"))</f>
        <v/>
      </c>
      <c r="T600" s="51" t="n"/>
      <c r="U600" s="52" t="n"/>
      <c r="V600" s="50" t="n"/>
      <c r="W600" s="50" t="n"/>
      <c r="X600" s="49">
        <f>IF(OR($B600="",$M600=""),"",WORKDAY($B600,IFERROR(INDEX(CONFIG!$D$4:$D$63,MATCH($M600,CONFIG!$A$4:$A$63,0)),3)))</f>
        <v/>
      </c>
      <c r="Y600" s="47" t="n"/>
      <c r="Z600" s="24">
        <f>IF($B600="","",IF($Y600&lt;&gt;"",$Y600-$B600,TODAY()-$B600))</f>
        <v/>
      </c>
      <c r="AA600" s="28">
        <f>IF($B600="","",IF(IFERROR(INDEX(CONFIG!$L$4:$L$63,MATCH($V600,CONFIG!$K$4:$K$63,0)),"NO")="SÍ",IF(OR($Y600="",$X600=""),"Resuelta",IF($Y600&gt;$X600,"Resuelta tarde","Resuelta a tiempo")),IF($X600="","Sin clasificar",IF(TODAY()&gt;$X600,"Vencida",IF(TODAY()&gt;=$X600-1,"Por vencer","En plazo")))))</f>
        <v/>
      </c>
      <c r="AB600" s="50" t="n"/>
      <c r="AC600" s="50" t="n"/>
    </row>
    <row r="601" ht="16" customHeight="1">
      <c r="A601" s="28">
        <f>IF($B601="","","N-"&amp;TEXT(ROW()-3,"0000"))</f>
        <v/>
      </c>
      <c r="B601" s="47" t="n"/>
      <c r="C601" s="48" t="n"/>
      <c r="D601" s="48" t="n"/>
      <c r="E601" s="28">
        <f>IF($C601="","",IF($D601="",IF($C601="Interna","Sin guía (interna)","FALTA GUÍA"),IF(COUNTIFS(ENVIOS!$A$4:$A$3003,$D601)=0,"NO EXISTE",IF(COUNTIFS(ENVIOS!$A$4:$A$3003,$D601)&gt;1,"DUPLICADA","OK"))))</f>
        <v/>
      </c>
      <c r="F601" s="28">
        <f>IF($D601="","",IFERROR(INDEX(ENVIOS!$B$4:$B$3003,MATCH($D601,ENVIOS!$A$4:$A$3003,0)),"—"))</f>
        <v/>
      </c>
      <c r="G601" s="23">
        <f>IF($D601="","",IFERROR(INDEX(ENVIOS!$D$4:$D$3003,MATCH($D601,ENVIOS!$A$4:$A$3003,0)),"—"))</f>
        <v/>
      </c>
      <c r="H601" s="23">
        <f>IF($D601="","",IFERROR(INDEX(ENVIOS!$E$4:$E$3003,MATCH($D601,ENVIOS!$A$4:$A$3003,0)),"—"))</f>
        <v/>
      </c>
      <c r="I601" s="23">
        <f>IF($D601="","",IFERROR(INDEX(ENVIOS!$F$4:$F$3003,MATCH($D601,ENVIOS!$A$4:$A$3003,0)),"—"))</f>
        <v/>
      </c>
      <c r="J601" s="23">
        <f>IF($D601="","",IFERROR(INDEX(ENVIOS!$G$4:$G$3003,MATCH($D601,ENVIOS!$A$4:$A$3003,0)),"—"))</f>
        <v/>
      </c>
      <c r="K601" s="28">
        <f>IF($D601="","",IFERROR(INDEX(ENVIOS!$H$4:$H$3003,MATCH($D601,ENVIOS!$A$4:$A$3003,0)),"—"))</f>
        <v/>
      </c>
      <c r="L601" s="49">
        <f>IF($D601="","",IFERROR(INDEX(ENVIOS!$C$4:$C$3003,MATCH($D601,ENVIOS!$A$4:$A$3003,0)),""))</f>
        <v/>
      </c>
      <c r="M601" s="50" t="n"/>
      <c r="N601" s="28">
        <f>IF($M601="","",IFERROR(INDEX(CONFIG!$C$4:$C$63,MATCH($M601,CONFIG!$A$4:$A$63,0)),"Media"))</f>
        <v/>
      </c>
      <c r="O601" s="28">
        <f>IF($M601="","",IF($C601="Interna","NO",IFERROR(INDEX(CONFIG!$E$4:$E$63,MATCH($M601,CONFIG!$A$4:$A$63,0)),"NO")))</f>
        <v/>
      </c>
      <c r="P601" s="50" t="n"/>
      <c r="Q601" s="50" t="n"/>
      <c r="R601" s="28">
        <f>IF($Q601="","",IFERROR(INDEX(CONFIG!$H$4:$H$63,MATCH($Q601,CONFIG!$G$4:$G$63,0)),"Por definir"))</f>
        <v/>
      </c>
      <c r="S601" s="28">
        <f>IF($Q601="","",IFERROR(INDEX(CONFIG!$I$4:$I$63,MATCH($Q601,CONFIG!$G$4:$G$63,0)),"Por definir"))</f>
        <v/>
      </c>
      <c r="T601" s="51" t="n"/>
      <c r="U601" s="52" t="n"/>
      <c r="V601" s="50" t="n"/>
      <c r="W601" s="50" t="n"/>
      <c r="X601" s="49">
        <f>IF(OR($B601="",$M601=""),"",WORKDAY($B601,IFERROR(INDEX(CONFIG!$D$4:$D$63,MATCH($M601,CONFIG!$A$4:$A$63,0)),3)))</f>
        <v/>
      </c>
      <c r="Y601" s="47" t="n"/>
      <c r="Z601" s="24">
        <f>IF($B601="","",IF($Y601&lt;&gt;"",$Y601-$B601,TODAY()-$B601))</f>
        <v/>
      </c>
      <c r="AA601" s="28">
        <f>IF($B601="","",IF(IFERROR(INDEX(CONFIG!$L$4:$L$63,MATCH($V601,CONFIG!$K$4:$K$63,0)),"NO")="SÍ",IF(OR($Y601="",$X601=""),"Resuelta",IF($Y601&gt;$X601,"Resuelta tarde","Resuelta a tiempo")),IF($X601="","Sin clasificar",IF(TODAY()&gt;$X601,"Vencida",IF(TODAY()&gt;=$X601-1,"Por vencer","En plazo")))))</f>
        <v/>
      </c>
      <c r="AB601" s="50" t="n"/>
      <c r="AC601" s="50" t="n"/>
    </row>
    <row r="602" ht="16" customHeight="1">
      <c r="A602" s="28">
        <f>IF($B602="","","N-"&amp;TEXT(ROW()-3,"0000"))</f>
        <v/>
      </c>
      <c r="B602" s="47" t="n"/>
      <c r="C602" s="48" t="n"/>
      <c r="D602" s="48" t="n"/>
      <c r="E602" s="28">
        <f>IF($C602="","",IF($D602="",IF($C602="Interna","Sin guía (interna)","FALTA GUÍA"),IF(COUNTIFS(ENVIOS!$A$4:$A$3003,$D602)=0,"NO EXISTE",IF(COUNTIFS(ENVIOS!$A$4:$A$3003,$D602)&gt;1,"DUPLICADA","OK"))))</f>
        <v/>
      </c>
      <c r="F602" s="28">
        <f>IF($D602="","",IFERROR(INDEX(ENVIOS!$B$4:$B$3003,MATCH($D602,ENVIOS!$A$4:$A$3003,0)),"—"))</f>
        <v/>
      </c>
      <c r="G602" s="23">
        <f>IF($D602="","",IFERROR(INDEX(ENVIOS!$D$4:$D$3003,MATCH($D602,ENVIOS!$A$4:$A$3003,0)),"—"))</f>
        <v/>
      </c>
      <c r="H602" s="23">
        <f>IF($D602="","",IFERROR(INDEX(ENVIOS!$E$4:$E$3003,MATCH($D602,ENVIOS!$A$4:$A$3003,0)),"—"))</f>
        <v/>
      </c>
      <c r="I602" s="23">
        <f>IF($D602="","",IFERROR(INDEX(ENVIOS!$F$4:$F$3003,MATCH($D602,ENVIOS!$A$4:$A$3003,0)),"—"))</f>
        <v/>
      </c>
      <c r="J602" s="23">
        <f>IF($D602="","",IFERROR(INDEX(ENVIOS!$G$4:$G$3003,MATCH($D602,ENVIOS!$A$4:$A$3003,0)),"—"))</f>
        <v/>
      </c>
      <c r="K602" s="28">
        <f>IF($D602="","",IFERROR(INDEX(ENVIOS!$H$4:$H$3003,MATCH($D602,ENVIOS!$A$4:$A$3003,0)),"—"))</f>
        <v/>
      </c>
      <c r="L602" s="49">
        <f>IF($D602="","",IFERROR(INDEX(ENVIOS!$C$4:$C$3003,MATCH($D602,ENVIOS!$A$4:$A$3003,0)),""))</f>
        <v/>
      </c>
      <c r="M602" s="50" t="n"/>
      <c r="N602" s="28">
        <f>IF($M602="","",IFERROR(INDEX(CONFIG!$C$4:$C$63,MATCH($M602,CONFIG!$A$4:$A$63,0)),"Media"))</f>
        <v/>
      </c>
      <c r="O602" s="28">
        <f>IF($M602="","",IF($C602="Interna","NO",IFERROR(INDEX(CONFIG!$E$4:$E$63,MATCH($M602,CONFIG!$A$4:$A$63,0)),"NO")))</f>
        <v/>
      </c>
      <c r="P602" s="50" t="n"/>
      <c r="Q602" s="50" t="n"/>
      <c r="R602" s="28">
        <f>IF($Q602="","",IFERROR(INDEX(CONFIG!$H$4:$H$63,MATCH($Q602,CONFIG!$G$4:$G$63,0)),"Por definir"))</f>
        <v/>
      </c>
      <c r="S602" s="28">
        <f>IF($Q602="","",IFERROR(INDEX(CONFIG!$I$4:$I$63,MATCH($Q602,CONFIG!$G$4:$G$63,0)),"Por definir"))</f>
        <v/>
      </c>
      <c r="T602" s="51" t="n"/>
      <c r="U602" s="52" t="n"/>
      <c r="V602" s="50" t="n"/>
      <c r="W602" s="50" t="n"/>
      <c r="X602" s="49">
        <f>IF(OR($B602="",$M602=""),"",WORKDAY($B602,IFERROR(INDEX(CONFIG!$D$4:$D$63,MATCH($M602,CONFIG!$A$4:$A$63,0)),3)))</f>
        <v/>
      </c>
      <c r="Y602" s="47" t="n"/>
      <c r="Z602" s="24">
        <f>IF($B602="","",IF($Y602&lt;&gt;"",$Y602-$B602,TODAY()-$B602))</f>
        <v/>
      </c>
      <c r="AA602" s="28">
        <f>IF($B602="","",IF(IFERROR(INDEX(CONFIG!$L$4:$L$63,MATCH($V602,CONFIG!$K$4:$K$63,0)),"NO")="SÍ",IF(OR($Y602="",$X602=""),"Resuelta",IF($Y602&gt;$X602,"Resuelta tarde","Resuelta a tiempo")),IF($X602="","Sin clasificar",IF(TODAY()&gt;$X602,"Vencida",IF(TODAY()&gt;=$X602-1,"Por vencer","En plazo")))))</f>
        <v/>
      </c>
      <c r="AB602" s="50" t="n"/>
      <c r="AC602" s="50" t="n"/>
    </row>
    <row r="603" ht="16" customHeight="1">
      <c r="A603" s="28">
        <f>IF($B603="","","N-"&amp;TEXT(ROW()-3,"0000"))</f>
        <v/>
      </c>
      <c r="B603" s="47" t="n"/>
      <c r="C603" s="48" t="n"/>
      <c r="D603" s="48" t="n"/>
      <c r="E603" s="28">
        <f>IF($C603="","",IF($D603="",IF($C603="Interna","Sin guía (interna)","FALTA GUÍA"),IF(COUNTIFS(ENVIOS!$A$4:$A$3003,$D603)=0,"NO EXISTE",IF(COUNTIFS(ENVIOS!$A$4:$A$3003,$D603)&gt;1,"DUPLICADA","OK"))))</f>
        <v/>
      </c>
      <c r="F603" s="28">
        <f>IF($D603="","",IFERROR(INDEX(ENVIOS!$B$4:$B$3003,MATCH($D603,ENVIOS!$A$4:$A$3003,0)),"—"))</f>
        <v/>
      </c>
      <c r="G603" s="23">
        <f>IF($D603="","",IFERROR(INDEX(ENVIOS!$D$4:$D$3003,MATCH($D603,ENVIOS!$A$4:$A$3003,0)),"—"))</f>
        <v/>
      </c>
      <c r="H603" s="23">
        <f>IF($D603="","",IFERROR(INDEX(ENVIOS!$E$4:$E$3003,MATCH($D603,ENVIOS!$A$4:$A$3003,0)),"—"))</f>
        <v/>
      </c>
      <c r="I603" s="23">
        <f>IF($D603="","",IFERROR(INDEX(ENVIOS!$F$4:$F$3003,MATCH($D603,ENVIOS!$A$4:$A$3003,0)),"—"))</f>
        <v/>
      </c>
      <c r="J603" s="23">
        <f>IF($D603="","",IFERROR(INDEX(ENVIOS!$G$4:$G$3003,MATCH($D603,ENVIOS!$A$4:$A$3003,0)),"—"))</f>
        <v/>
      </c>
      <c r="K603" s="28">
        <f>IF($D603="","",IFERROR(INDEX(ENVIOS!$H$4:$H$3003,MATCH($D603,ENVIOS!$A$4:$A$3003,0)),"—"))</f>
        <v/>
      </c>
      <c r="L603" s="49">
        <f>IF($D603="","",IFERROR(INDEX(ENVIOS!$C$4:$C$3003,MATCH($D603,ENVIOS!$A$4:$A$3003,0)),""))</f>
        <v/>
      </c>
      <c r="M603" s="50" t="n"/>
      <c r="N603" s="28">
        <f>IF($M603="","",IFERROR(INDEX(CONFIG!$C$4:$C$63,MATCH($M603,CONFIG!$A$4:$A$63,0)),"Media"))</f>
        <v/>
      </c>
      <c r="O603" s="28">
        <f>IF($M603="","",IF($C603="Interna","NO",IFERROR(INDEX(CONFIG!$E$4:$E$63,MATCH($M603,CONFIG!$A$4:$A$63,0)),"NO")))</f>
        <v/>
      </c>
      <c r="P603" s="50" t="n"/>
      <c r="Q603" s="50" t="n"/>
      <c r="R603" s="28">
        <f>IF($Q603="","",IFERROR(INDEX(CONFIG!$H$4:$H$63,MATCH($Q603,CONFIG!$G$4:$G$63,0)),"Por definir"))</f>
        <v/>
      </c>
      <c r="S603" s="28">
        <f>IF($Q603="","",IFERROR(INDEX(CONFIG!$I$4:$I$63,MATCH($Q603,CONFIG!$G$4:$G$63,0)),"Por definir"))</f>
        <v/>
      </c>
      <c r="T603" s="51" t="n"/>
      <c r="U603" s="52" t="n"/>
      <c r="V603" s="50" t="n"/>
      <c r="W603" s="50" t="n"/>
      <c r="X603" s="49">
        <f>IF(OR($B603="",$M603=""),"",WORKDAY($B603,IFERROR(INDEX(CONFIG!$D$4:$D$63,MATCH($M603,CONFIG!$A$4:$A$63,0)),3)))</f>
        <v/>
      </c>
      <c r="Y603" s="47" t="n"/>
      <c r="Z603" s="24">
        <f>IF($B603="","",IF($Y603&lt;&gt;"",$Y603-$B603,TODAY()-$B603))</f>
        <v/>
      </c>
      <c r="AA603" s="28">
        <f>IF($B603="","",IF(IFERROR(INDEX(CONFIG!$L$4:$L$63,MATCH($V603,CONFIG!$K$4:$K$63,0)),"NO")="SÍ",IF(OR($Y603="",$X603=""),"Resuelta",IF($Y603&gt;$X603,"Resuelta tarde","Resuelta a tiempo")),IF($X603="","Sin clasificar",IF(TODAY()&gt;$X603,"Vencida",IF(TODAY()&gt;=$X603-1,"Por vencer","En plazo")))))</f>
        <v/>
      </c>
      <c r="AB603" s="50" t="n"/>
      <c r="AC603" s="50" t="n"/>
    </row>
    <row r="604" ht="16" customHeight="1">
      <c r="A604" s="28">
        <f>IF($B604="","","N-"&amp;TEXT(ROW()-3,"0000"))</f>
        <v/>
      </c>
      <c r="B604" s="47" t="n"/>
      <c r="C604" s="48" t="n"/>
      <c r="D604" s="48" t="n"/>
      <c r="E604" s="28">
        <f>IF($C604="","",IF($D604="",IF($C604="Interna","Sin guía (interna)","FALTA GUÍA"),IF(COUNTIFS(ENVIOS!$A$4:$A$3003,$D604)=0,"NO EXISTE",IF(COUNTIFS(ENVIOS!$A$4:$A$3003,$D604)&gt;1,"DUPLICADA","OK"))))</f>
        <v/>
      </c>
      <c r="F604" s="28">
        <f>IF($D604="","",IFERROR(INDEX(ENVIOS!$B$4:$B$3003,MATCH($D604,ENVIOS!$A$4:$A$3003,0)),"—"))</f>
        <v/>
      </c>
      <c r="G604" s="23">
        <f>IF($D604="","",IFERROR(INDEX(ENVIOS!$D$4:$D$3003,MATCH($D604,ENVIOS!$A$4:$A$3003,0)),"—"))</f>
        <v/>
      </c>
      <c r="H604" s="23">
        <f>IF($D604="","",IFERROR(INDEX(ENVIOS!$E$4:$E$3003,MATCH($D604,ENVIOS!$A$4:$A$3003,0)),"—"))</f>
        <v/>
      </c>
      <c r="I604" s="23">
        <f>IF($D604="","",IFERROR(INDEX(ENVIOS!$F$4:$F$3003,MATCH($D604,ENVIOS!$A$4:$A$3003,0)),"—"))</f>
        <v/>
      </c>
      <c r="J604" s="23">
        <f>IF($D604="","",IFERROR(INDEX(ENVIOS!$G$4:$G$3003,MATCH($D604,ENVIOS!$A$4:$A$3003,0)),"—"))</f>
        <v/>
      </c>
      <c r="K604" s="28">
        <f>IF($D604="","",IFERROR(INDEX(ENVIOS!$H$4:$H$3003,MATCH($D604,ENVIOS!$A$4:$A$3003,0)),"—"))</f>
        <v/>
      </c>
      <c r="L604" s="49">
        <f>IF($D604="","",IFERROR(INDEX(ENVIOS!$C$4:$C$3003,MATCH($D604,ENVIOS!$A$4:$A$3003,0)),""))</f>
        <v/>
      </c>
      <c r="M604" s="50" t="n"/>
      <c r="N604" s="28">
        <f>IF($M604="","",IFERROR(INDEX(CONFIG!$C$4:$C$63,MATCH($M604,CONFIG!$A$4:$A$63,0)),"Media"))</f>
        <v/>
      </c>
      <c r="O604" s="28">
        <f>IF($M604="","",IF($C604="Interna","NO",IFERROR(INDEX(CONFIG!$E$4:$E$63,MATCH($M604,CONFIG!$A$4:$A$63,0)),"NO")))</f>
        <v/>
      </c>
      <c r="P604" s="50" t="n"/>
      <c r="Q604" s="50" t="n"/>
      <c r="R604" s="28">
        <f>IF($Q604="","",IFERROR(INDEX(CONFIG!$H$4:$H$63,MATCH($Q604,CONFIG!$G$4:$G$63,0)),"Por definir"))</f>
        <v/>
      </c>
      <c r="S604" s="28">
        <f>IF($Q604="","",IFERROR(INDEX(CONFIG!$I$4:$I$63,MATCH($Q604,CONFIG!$G$4:$G$63,0)),"Por definir"))</f>
        <v/>
      </c>
      <c r="T604" s="51" t="n"/>
      <c r="U604" s="52" t="n"/>
      <c r="V604" s="50" t="n"/>
      <c r="W604" s="50" t="n"/>
      <c r="X604" s="49">
        <f>IF(OR($B604="",$M604=""),"",WORKDAY($B604,IFERROR(INDEX(CONFIG!$D$4:$D$63,MATCH($M604,CONFIG!$A$4:$A$63,0)),3)))</f>
        <v/>
      </c>
      <c r="Y604" s="47" t="n"/>
      <c r="Z604" s="24">
        <f>IF($B604="","",IF($Y604&lt;&gt;"",$Y604-$B604,TODAY()-$B604))</f>
        <v/>
      </c>
      <c r="AA604" s="28">
        <f>IF($B604="","",IF(IFERROR(INDEX(CONFIG!$L$4:$L$63,MATCH($V604,CONFIG!$K$4:$K$63,0)),"NO")="SÍ",IF(OR($Y604="",$X604=""),"Resuelta",IF($Y604&gt;$X604,"Resuelta tarde","Resuelta a tiempo")),IF($X604="","Sin clasificar",IF(TODAY()&gt;$X604,"Vencida",IF(TODAY()&gt;=$X604-1,"Por vencer","En plazo")))))</f>
        <v/>
      </c>
      <c r="AB604" s="50" t="n"/>
      <c r="AC604" s="50" t="n"/>
    </row>
    <row r="605" ht="16" customHeight="1">
      <c r="A605" s="28">
        <f>IF($B605="","","N-"&amp;TEXT(ROW()-3,"0000"))</f>
        <v/>
      </c>
      <c r="B605" s="47" t="n"/>
      <c r="C605" s="48" t="n"/>
      <c r="D605" s="48" t="n"/>
      <c r="E605" s="28">
        <f>IF($C605="","",IF($D605="",IF($C605="Interna","Sin guía (interna)","FALTA GUÍA"),IF(COUNTIFS(ENVIOS!$A$4:$A$3003,$D605)=0,"NO EXISTE",IF(COUNTIFS(ENVIOS!$A$4:$A$3003,$D605)&gt;1,"DUPLICADA","OK"))))</f>
        <v/>
      </c>
      <c r="F605" s="28">
        <f>IF($D605="","",IFERROR(INDEX(ENVIOS!$B$4:$B$3003,MATCH($D605,ENVIOS!$A$4:$A$3003,0)),"—"))</f>
        <v/>
      </c>
      <c r="G605" s="23">
        <f>IF($D605="","",IFERROR(INDEX(ENVIOS!$D$4:$D$3003,MATCH($D605,ENVIOS!$A$4:$A$3003,0)),"—"))</f>
        <v/>
      </c>
      <c r="H605" s="23">
        <f>IF($D605="","",IFERROR(INDEX(ENVIOS!$E$4:$E$3003,MATCH($D605,ENVIOS!$A$4:$A$3003,0)),"—"))</f>
        <v/>
      </c>
      <c r="I605" s="23">
        <f>IF($D605="","",IFERROR(INDEX(ENVIOS!$F$4:$F$3003,MATCH($D605,ENVIOS!$A$4:$A$3003,0)),"—"))</f>
        <v/>
      </c>
      <c r="J605" s="23">
        <f>IF($D605="","",IFERROR(INDEX(ENVIOS!$G$4:$G$3003,MATCH($D605,ENVIOS!$A$4:$A$3003,0)),"—"))</f>
        <v/>
      </c>
      <c r="K605" s="28">
        <f>IF($D605="","",IFERROR(INDEX(ENVIOS!$H$4:$H$3003,MATCH($D605,ENVIOS!$A$4:$A$3003,0)),"—"))</f>
        <v/>
      </c>
      <c r="L605" s="49">
        <f>IF($D605="","",IFERROR(INDEX(ENVIOS!$C$4:$C$3003,MATCH($D605,ENVIOS!$A$4:$A$3003,0)),""))</f>
        <v/>
      </c>
      <c r="M605" s="50" t="n"/>
      <c r="N605" s="28">
        <f>IF($M605="","",IFERROR(INDEX(CONFIG!$C$4:$C$63,MATCH($M605,CONFIG!$A$4:$A$63,0)),"Media"))</f>
        <v/>
      </c>
      <c r="O605" s="28">
        <f>IF($M605="","",IF($C605="Interna","NO",IFERROR(INDEX(CONFIG!$E$4:$E$63,MATCH($M605,CONFIG!$A$4:$A$63,0)),"NO")))</f>
        <v/>
      </c>
      <c r="P605" s="50" t="n"/>
      <c r="Q605" s="50" t="n"/>
      <c r="R605" s="28">
        <f>IF($Q605="","",IFERROR(INDEX(CONFIG!$H$4:$H$63,MATCH($Q605,CONFIG!$G$4:$G$63,0)),"Por definir"))</f>
        <v/>
      </c>
      <c r="S605" s="28">
        <f>IF($Q605="","",IFERROR(INDEX(CONFIG!$I$4:$I$63,MATCH($Q605,CONFIG!$G$4:$G$63,0)),"Por definir"))</f>
        <v/>
      </c>
      <c r="T605" s="51" t="n"/>
      <c r="U605" s="52" t="n"/>
      <c r="V605" s="50" t="n"/>
      <c r="W605" s="50" t="n"/>
      <c r="X605" s="49">
        <f>IF(OR($B605="",$M605=""),"",WORKDAY($B605,IFERROR(INDEX(CONFIG!$D$4:$D$63,MATCH($M605,CONFIG!$A$4:$A$63,0)),3)))</f>
        <v/>
      </c>
      <c r="Y605" s="47" t="n"/>
      <c r="Z605" s="24">
        <f>IF($B605="","",IF($Y605&lt;&gt;"",$Y605-$B605,TODAY()-$B605))</f>
        <v/>
      </c>
      <c r="AA605" s="28">
        <f>IF($B605="","",IF(IFERROR(INDEX(CONFIG!$L$4:$L$63,MATCH($V605,CONFIG!$K$4:$K$63,0)),"NO")="SÍ",IF(OR($Y605="",$X605=""),"Resuelta",IF($Y605&gt;$X605,"Resuelta tarde","Resuelta a tiempo")),IF($X605="","Sin clasificar",IF(TODAY()&gt;$X605,"Vencida",IF(TODAY()&gt;=$X605-1,"Por vencer","En plazo")))))</f>
        <v/>
      </c>
      <c r="AB605" s="50" t="n"/>
      <c r="AC605" s="50" t="n"/>
    </row>
    <row r="606" ht="16" customHeight="1">
      <c r="A606" s="28">
        <f>IF($B606="","","N-"&amp;TEXT(ROW()-3,"0000"))</f>
        <v/>
      </c>
      <c r="B606" s="47" t="n"/>
      <c r="C606" s="48" t="n"/>
      <c r="D606" s="48" t="n"/>
      <c r="E606" s="28">
        <f>IF($C606="","",IF($D606="",IF($C606="Interna","Sin guía (interna)","FALTA GUÍA"),IF(COUNTIFS(ENVIOS!$A$4:$A$3003,$D606)=0,"NO EXISTE",IF(COUNTIFS(ENVIOS!$A$4:$A$3003,$D606)&gt;1,"DUPLICADA","OK"))))</f>
        <v/>
      </c>
      <c r="F606" s="28">
        <f>IF($D606="","",IFERROR(INDEX(ENVIOS!$B$4:$B$3003,MATCH($D606,ENVIOS!$A$4:$A$3003,0)),"—"))</f>
        <v/>
      </c>
      <c r="G606" s="23">
        <f>IF($D606="","",IFERROR(INDEX(ENVIOS!$D$4:$D$3003,MATCH($D606,ENVIOS!$A$4:$A$3003,0)),"—"))</f>
        <v/>
      </c>
      <c r="H606" s="23">
        <f>IF($D606="","",IFERROR(INDEX(ENVIOS!$E$4:$E$3003,MATCH($D606,ENVIOS!$A$4:$A$3003,0)),"—"))</f>
        <v/>
      </c>
      <c r="I606" s="23">
        <f>IF($D606="","",IFERROR(INDEX(ENVIOS!$F$4:$F$3003,MATCH($D606,ENVIOS!$A$4:$A$3003,0)),"—"))</f>
        <v/>
      </c>
      <c r="J606" s="23">
        <f>IF($D606="","",IFERROR(INDEX(ENVIOS!$G$4:$G$3003,MATCH($D606,ENVIOS!$A$4:$A$3003,0)),"—"))</f>
        <v/>
      </c>
      <c r="K606" s="28">
        <f>IF($D606="","",IFERROR(INDEX(ENVIOS!$H$4:$H$3003,MATCH($D606,ENVIOS!$A$4:$A$3003,0)),"—"))</f>
        <v/>
      </c>
      <c r="L606" s="49">
        <f>IF($D606="","",IFERROR(INDEX(ENVIOS!$C$4:$C$3003,MATCH($D606,ENVIOS!$A$4:$A$3003,0)),""))</f>
        <v/>
      </c>
      <c r="M606" s="50" t="n"/>
      <c r="N606" s="28">
        <f>IF($M606="","",IFERROR(INDEX(CONFIG!$C$4:$C$63,MATCH($M606,CONFIG!$A$4:$A$63,0)),"Media"))</f>
        <v/>
      </c>
      <c r="O606" s="28">
        <f>IF($M606="","",IF($C606="Interna","NO",IFERROR(INDEX(CONFIG!$E$4:$E$63,MATCH($M606,CONFIG!$A$4:$A$63,0)),"NO")))</f>
        <v/>
      </c>
      <c r="P606" s="50" t="n"/>
      <c r="Q606" s="50" t="n"/>
      <c r="R606" s="28">
        <f>IF($Q606="","",IFERROR(INDEX(CONFIG!$H$4:$H$63,MATCH($Q606,CONFIG!$G$4:$G$63,0)),"Por definir"))</f>
        <v/>
      </c>
      <c r="S606" s="28">
        <f>IF($Q606="","",IFERROR(INDEX(CONFIG!$I$4:$I$63,MATCH($Q606,CONFIG!$G$4:$G$63,0)),"Por definir"))</f>
        <v/>
      </c>
      <c r="T606" s="51" t="n"/>
      <c r="U606" s="52" t="n"/>
      <c r="V606" s="50" t="n"/>
      <c r="W606" s="50" t="n"/>
      <c r="X606" s="49">
        <f>IF(OR($B606="",$M606=""),"",WORKDAY($B606,IFERROR(INDEX(CONFIG!$D$4:$D$63,MATCH($M606,CONFIG!$A$4:$A$63,0)),3)))</f>
        <v/>
      </c>
      <c r="Y606" s="47" t="n"/>
      <c r="Z606" s="24">
        <f>IF($B606="","",IF($Y606&lt;&gt;"",$Y606-$B606,TODAY()-$B606))</f>
        <v/>
      </c>
      <c r="AA606" s="28">
        <f>IF($B606="","",IF(IFERROR(INDEX(CONFIG!$L$4:$L$63,MATCH($V606,CONFIG!$K$4:$K$63,0)),"NO")="SÍ",IF(OR($Y606="",$X606=""),"Resuelta",IF($Y606&gt;$X606,"Resuelta tarde","Resuelta a tiempo")),IF($X606="","Sin clasificar",IF(TODAY()&gt;$X606,"Vencida",IF(TODAY()&gt;=$X606-1,"Por vencer","En plazo")))))</f>
        <v/>
      </c>
      <c r="AB606" s="50" t="n"/>
      <c r="AC606" s="50" t="n"/>
    </row>
    <row r="607" ht="16" customHeight="1">
      <c r="A607" s="28">
        <f>IF($B607="","","N-"&amp;TEXT(ROW()-3,"0000"))</f>
        <v/>
      </c>
      <c r="B607" s="47" t="n"/>
      <c r="C607" s="48" t="n"/>
      <c r="D607" s="48" t="n"/>
      <c r="E607" s="28">
        <f>IF($C607="","",IF($D607="",IF($C607="Interna","Sin guía (interna)","FALTA GUÍA"),IF(COUNTIFS(ENVIOS!$A$4:$A$3003,$D607)=0,"NO EXISTE",IF(COUNTIFS(ENVIOS!$A$4:$A$3003,$D607)&gt;1,"DUPLICADA","OK"))))</f>
        <v/>
      </c>
      <c r="F607" s="28">
        <f>IF($D607="","",IFERROR(INDEX(ENVIOS!$B$4:$B$3003,MATCH($D607,ENVIOS!$A$4:$A$3003,0)),"—"))</f>
        <v/>
      </c>
      <c r="G607" s="23">
        <f>IF($D607="","",IFERROR(INDEX(ENVIOS!$D$4:$D$3003,MATCH($D607,ENVIOS!$A$4:$A$3003,0)),"—"))</f>
        <v/>
      </c>
      <c r="H607" s="23">
        <f>IF($D607="","",IFERROR(INDEX(ENVIOS!$E$4:$E$3003,MATCH($D607,ENVIOS!$A$4:$A$3003,0)),"—"))</f>
        <v/>
      </c>
      <c r="I607" s="23">
        <f>IF($D607="","",IFERROR(INDEX(ENVIOS!$F$4:$F$3003,MATCH($D607,ENVIOS!$A$4:$A$3003,0)),"—"))</f>
        <v/>
      </c>
      <c r="J607" s="23">
        <f>IF($D607="","",IFERROR(INDEX(ENVIOS!$G$4:$G$3003,MATCH($D607,ENVIOS!$A$4:$A$3003,0)),"—"))</f>
        <v/>
      </c>
      <c r="K607" s="28">
        <f>IF($D607="","",IFERROR(INDEX(ENVIOS!$H$4:$H$3003,MATCH($D607,ENVIOS!$A$4:$A$3003,0)),"—"))</f>
        <v/>
      </c>
      <c r="L607" s="49">
        <f>IF($D607="","",IFERROR(INDEX(ENVIOS!$C$4:$C$3003,MATCH($D607,ENVIOS!$A$4:$A$3003,0)),""))</f>
        <v/>
      </c>
      <c r="M607" s="50" t="n"/>
      <c r="N607" s="28">
        <f>IF($M607="","",IFERROR(INDEX(CONFIG!$C$4:$C$63,MATCH($M607,CONFIG!$A$4:$A$63,0)),"Media"))</f>
        <v/>
      </c>
      <c r="O607" s="28">
        <f>IF($M607="","",IF($C607="Interna","NO",IFERROR(INDEX(CONFIG!$E$4:$E$63,MATCH($M607,CONFIG!$A$4:$A$63,0)),"NO")))</f>
        <v/>
      </c>
      <c r="P607" s="50" t="n"/>
      <c r="Q607" s="50" t="n"/>
      <c r="R607" s="28">
        <f>IF($Q607="","",IFERROR(INDEX(CONFIG!$H$4:$H$63,MATCH($Q607,CONFIG!$G$4:$G$63,0)),"Por definir"))</f>
        <v/>
      </c>
      <c r="S607" s="28">
        <f>IF($Q607="","",IFERROR(INDEX(CONFIG!$I$4:$I$63,MATCH($Q607,CONFIG!$G$4:$G$63,0)),"Por definir"))</f>
        <v/>
      </c>
      <c r="T607" s="51" t="n"/>
      <c r="U607" s="52" t="n"/>
      <c r="V607" s="50" t="n"/>
      <c r="W607" s="50" t="n"/>
      <c r="X607" s="49">
        <f>IF(OR($B607="",$M607=""),"",WORKDAY($B607,IFERROR(INDEX(CONFIG!$D$4:$D$63,MATCH($M607,CONFIG!$A$4:$A$63,0)),3)))</f>
        <v/>
      </c>
      <c r="Y607" s="47" t="n"/>
      <c r="Z607" s="24">
        <f>IF($B607="","",IF($Y607&lt;&gt;"",$Y607-$B607,TODAY()-$B607))</f>
        <v/>
      </c>
      <c r="AA607" s="28">
        <f>IF($B607="","",IF(IFERROR(INDEX(CONFIG!$L$4:$L$63,MATCH($V607,CONFIG!$K$4:$K$63,0)),"NO")="SÍ",IF(OR($Y607="",$X607=""),"Resuelta",IF($Y607&gt;$X607,"Resuelta tarde","Resuelta a tiempo")),IF($X607="","Sin clasificar",IF(TODAY()&gt;$X607,"Vencida",IF(TODAY()&gt;=$X607-1,"Por vencer","En plazo")))))</f>
        <v/>
      </c>
      <c r="AB607" s="50" t="n"/>
      <c r="AC607" s="50" t="n"/>
    </row>
    <row r="608" ht="16" customHeight="1">
      <c r="A608" s="28">
        <f>IF($B608="","","N-"&amp;TEXT(ROW()-3,"0000"))</f>
        <v/>
      </c>
      <c r="B608" s="47" t="n"/>
      <c r="C608" s="48" t="n"/>
      <c r="D608" s="48" t="n"/>
      <c r="E608" s="28">
        <f>IF($C608="","",IF($D608="",IF($C608="Interna","Sin guía (interna)","FALTA GUÍA"),IF(COUNTIFS(ENVIOS!$A$4:$A$3003,$D608)=0,"NO EXISTE",IF(COUNTIFS(ENVIOS!$A$4:$A$3003,$D608)&gt;1,"DUPLICADA","OK"))))</f>
        <v/>
      </c>
      <c r="F608" s="28">
        <f>IF($D608="","",IFERROR(INDEX(ENVIOS!$B$4:$B$3003,MATCH($D608,ENVIOS!$A$4:$A$3003,0)),"—"))</f>
        <v/>
      </c>
      <c r="G608" s="23">
        <f>IF($D608="","",IFERROR(INDEX(ENVIOS!$D$4:$D$3003,MATCH($D608,ENVIOS!$A$4:$A$3003,0)),"—"))</f>
        <v/>
      </c>
      <c r="H608" s="23">
        <f>IF($D608="","",IFERROR(INDEX(ENVIOS!$E$4:$E$3003,MATCH($D608,ENVIOS!$A$4:$A$3003,0)),"—"))</f>
        <v/>
      </c>
      <c r="I608" s="23">
        <f>IF($D608="","",IFERROR(INDEX(ENVIOS!$F$4:$F$3003,MATCH($D608,ENVIOS!$A$4:$A$3003,0)),"—"))</f>
        <v/>
      </c>
      <c r="J608" s="23">
        <f>IF($D608="","",IFERROR(INDEX(ENVIOS!$G$4:$G$3003,MATCH($D608,ENVIOS!$A$4:$A$3003,0)),"—"))</f>
        <v/>
      </c>
      <c r="K608" s="28">
        <f>IF($D608="","",IFERROR(INDEX(ENVIOS!$H$4:$H$3003,MATCH($D608,ENVIOS!$A$4:$A$3003,0)),"—"))</f>
        <v/>
      </c>
      <c r="L608" s="49">
        <f>IF($D608="","",IFERROR(INDEX(ENVIOS!$C$4:$C$3003,MATCH($D608,ENVIOS!$A$4:$A$3003,0)),""))</f>
        <v/>
      </c>
      <c r="M608" s="50" t="n"/>
      <c r="N608" s="28">
        <f>IF($M608="","",IFERROR(INDEX(CONFIG!$C$4:$C$63,MATCH($M608,CONFIG!$A$4:$A$63,0)),"Media"))</f>
        <v/>
      </c>
      <c r="O608" s="28">
        <f>IF($M608="","",IF($C608="Interna","NO",IFERROR(INDEX(CONFIG!$E$4:$E$63,MATCH($M608,CONFIG!$A$4:$A$63,0)),"NO")))</f>
        <v/>
      </c>
      <c r="P608" s="50" t="n"/>
      <c r="Q608" s="50" t="n"/>
      <c r="R608" s="28">
        <f>IF($Q608="","",IFERROR(INDEX(CONFIG!$H$4:$H$63,MATCH($Q608,CONFIG!$G$4:$G$63,0)),"Por definir"))</f>
        <v/>
      </c>
      <c r="S608" s="28">
        <f>IF($Q608="","",IFERROR(INDEX(CONFIG!$I$4:$I$63,MATCH($Q608,CONFIG!$G$4:$G$63,0)),"Por definir"))</f>
        <v/>
      </c>
      <c r="T608" s="51" t="n"/>
      <c r="U608" s="52" t="n"/>
      <c r="V608" s="50" t="n"/>
      <c r="W608" s="50" t="n"/>
      <c r="X608" s="49">
        <f>IF(OR($B608="",$M608=""),"",WORKDAY($B608,IFERROR(INDEX(CONFIG!$D$4:$D$63,MATCH($M608,CONFIG!$A$4:$A$63,0)),3)))</f>
        <v/>
      </c>
      <c r="Y608" s="47" t="n"/>
      <c r="Z608" s="24">
        <f>IF($B608="","",IF($Y608&lt;&gt;"",$Y608-$B608,TODAY()-$B608))</f>
        <v/>
      </c>
      <c r="AA608" s="28">
        <f>IF($B608="","",IF(IFERROR(INDEX(CONFIG!$L$4:$L$63,MATCH($V608,CONFIG!$K$4:$K$63,0)),"NO")="SÍ",IF(OR($Y608="",$X608=""),"Resuelta",IF($Y608&gt;$X608,"Resuelta tarde","Resuelta a tiempo")),IF($X608="","Sin clasificar",IF(TODAY()&gt;$X608,"Vencida",IF(TODAY()&gt;=$X608-1,"Por vencer","En plazo")))))</f>
        <v/>
      </c>
      <c r="AB608" s="50" t="n"/>
      <c r="AC608" s="50" t="n"/>
    </row>
    <row r="609" ht="16" customHeight="1">
      <c r="A609" s="28">
        <f>IF($B609="","","N-"&amp;TEXT(ROW()-3,"0000"))</f>
        <v/>
      </c>
      <c r="B609" s="47" t="n"/>
      <c r="C609" s="48" t="n"/>
      <c r="D609" s="48" t="n"/>
      <c r="E609" s="28">
        <f>IF($C609="","",IF($D609="",IF($C609="Interna","Sin guía (interna)","FALTA GUÍA"),IF(COUNTIFS(ENVIOS!$A$4:$A$3003,$D609)=0,"NO EXISTE",IF(COUNTIFS(ENVIOS!$A$4:$A$3003,$D609)&gt;1,"DUPLICADA","OK"))))</f>
        <v/>
      </c>
      <c r="F609" s="28">
        <f>IF($D609="","",IFERROR(INDEX(ENVIOS!$B$4:$B$3003,MATCH($D609,ENVIOS!$A$4:$A$3003,0)),"—"))</f>
        <v/>
      </c>
      <c r="G609" s="23">
        <f>IF($D609="","",IFERROR(INDEX(ENVIOS!$D$4:$D$3003,MATCH($D609,ENVIOS!$A$4:$A$3003,0)),"—"))</f>
        <v/>
      </c>
      <c r="H609" s="23">
        <f>IF($D609="","",IFERROR(INDEX(ENVIOS!$E$4:$E$3003,MATCH($D609,ENVIOS!$A$4:$A$3003,0)),"—"))</f>
        <v/>
      </c>
      <c r="I609" s="23">
        <f>IF($D609="","",IFERROR(INDEX(ENVIOS!$F$4:$F$3003,MATCH($D609,ENVIOS!$A$4:$A$3003,0)),"—"))</f>
        <v/>
      </c>
      <c r="J609" s="23">
        <f>IF($D609="","",IFERROR(INDEX(ENVIOS!$G$4:$G$3003,MATCH($D609,ENVIOS!$A$4:$A$3003,0)),"—"))</f>
        <v/>
      </c>
      <c r="K609" s="28">
        <f>IF($D609="","",IFERROR(INDEX(ENVIOS!$H$4:$H$3003,MATCH($D609,ENVIOS!$A$4:$A$3003,0)),"—"))</f>
        <v/>
      </c>
      <c r="L609" s="49">
        <f>IF($D609="","",IFERROR(INDEX(ENVIOS!$C$4:$C$3003,MATCH($D609,ENVIOS!$A$4:$A$3003,0)),""))</f>
        <v/>
      </c>
      <c r="M609" s="50" t="n"/>
      <c r="N609" s="28">
        <f>IF($M609="","",IFERROR(INDEX(CONFIG!$C$4:$C$63,MATCH($M609,CONFIG!$A$4:$A$63,0)),"Media"))</f>
        <v/>
      </c>
      <c r="O609" s="28">
        <f>IF($M609="","",IF($C609="Interna","NO",IFERROR(INDEX(CONFIG!$E$4:$E$63,MATCH($M609,CONFIG!$A$4:$A$63,0)),"NO")))</f>
        <v/>
      </c>
      <c r="P609" s="50" t="n"/>
      <c r="Q609" s="50" t="n"/>
      <c r="R609" s="28">
        <f>IF($Q609="","",IFERROR(INDEX(CONFIG!$H$4:$H$63,MATCH($Q609,CONFIG!$G$4:$G$63,0)),"Por definir"))</f>
        <v/>
      </c>
      <c r="S609" s="28">
        <f>IF($Q609="","",IFERROR(INDEX(CONFIG!$I$4:$I$63,MATCH($Q609,CONFIG!$G$4:$G$63,0)),"Por definir"))</f>
        <v/>
      </c>
      <c r="T609" s="51" t="n"/>
      <c r="U609" s="52" t="n"/>
      <c r="V609" s="50" t="n"/>
      <c r="W609" s="50" t="n"/>
      <c r="X609" s="49">
        <f>IF(OR($B609="",$M609=""),"",WORKDAY($B609,IFERROR(INDEX(CONFIG!$D$4:$D$63,MATCH($M609,CONFIG!$A$4:$A$63,0)),3)))</f>
        <v/>
      </c>
      <c r="Y609" s="47" t="n"/>
      <c r="Z609" s="24">
        <f>IF($B609="","",IF($Y609&lt;&gt;"",$Y609-$B609,TODAY()-$B609))</f>
        <v/>
      </c>
      <c r="AA609" s="28">
        <f>IF($B609="","",IF(IFERROR(INDEX(CONFIG!$L$4:$L$63,MATCH($V609,CONFIG!$K$4:$K$63,0)),"NO")="SÍ",IF(OR($Y609="",$X609=""),"Resuelta",IF($Y609&gt;$X609,"Resuelta tarde","Resuelta a tiempo")),IF($X609="","Sin clasificar",IF(TODAY()&gt;$X609,"Vencida",IF(TODAY()&gt;=$X609-1,"Por vencer","En plazo")))))</f>
        <v/>
      </c>
      <c r="AB609" s="50" t="n"/>
      <c r="AC609" s="50" t="n"/>
    </row>
    <row r="610" ht="16" customHeight="1">
      <c r="A610" s="28">
        <f>IF($B610="","","N-"&amp;TEXT(ROW()-3,"0000"))</f>
        <v/>
      </c>
      <c r="B610" s="47" t="n"/>
      <c r="C610" s="48" t="n"/>
      <c r="D610" s="48" t="n"/>
      <c r="E610" s="28">
        <f>IF($C610="","",IF($D610="",IF($C610="Interna","Sin guía (interna)","FALTA GUÍA"),IF(COUNTIFS(ENVIOS!$A$4:$A$3003,$D610)=0,"NO EXISTE",IF(COUNTIFS(ENVIOS!$A$4:$A$3003,$D610)&gt;1,"DUPLICADA","OK"))))</f>
        <v/>
      </c>
      <c r="F610" s="28">
        <f>IF($D610="","",IFERROR(INDEX(ENVIOS!$B$4:$B$3003,MATCH($D610,ENVIOS!$A$4:$A$3003,0)),"—"))</f>
        <v/>
      </c>
      <c r="G610" s="23">
        <f>IF($D610="","",IFERROR(INDEX(ENVIOS!$D$4:$D$3003,MATCH($D610,ENVIOS!$A$4:$A$3003,0)),"—"))</f>
        <v/>
      </c>
      <c r="H610" s="23">
        <f>IF($D610="","",IFERROR(INDEX(ENVIOS!$E$4:$E$3003,MATCH($D610,ENVIOS!$A$4:$A$3003,0)),"—"))</f>
        <v/>
      </c>
      <c r="I610" s="23">
        <f>IF($D610="","",IFERROR(INDEX(ENVIOS!$F$4:$F$3003,MATCH($D610,ENVIOS!$A$4:$A$3003,0)),"—"))</f>
        <v/>
      </c>
      <c r="J610" s="23">
        <f>IF($D610="","",IFERROR(INDEX(ENVIOS!$G$4:$G$3003,MATCH($D610,ENVIOS!$A$4:$A$3003,0)),"—"))</f>
        <v/>
      </c>
      <c r="K610" s="28">
        <f>IF($D610="","",IFERROR(INDEX(ENVIOS!$H$4:$H$3003,MATCH($D610,ENVIOS!$A$4:$A$3003,0)),"—"))</f>
        <v/>
      </c>
      <c r="L610" s="49">
        <f>IF($D610="","",IFERROR(INDEX(ENVIOS!$C$4:$C$3003,MATCH($D610,ENVIOS!$A$4:$A$3003,0)),""))</f>
        <v/>
      </c>
      <c r="M610" s="50" t="n"/>
      <c r="N610" s="28">
        <f>IF($M610="","",IFERROR(INDEX(CONFIG!$C$4:$C$63,MATCH($M610,CONFIG!$A$4:$A$63,0)),"Media"))</f>
        <v/>
      </c>
      <c r="O610" s="28">
        <f>IF($M610="","",IF($C610="Interna","NO",IFERROR(INDEX(CONFIG!$E$4:$E$63,MATCH($M610,CONFIG!$A$4:$A$63,0)),"NO")))</f>
        <v/>
      </c>
      <c r="P610" s="50" t="n"/>
      <c r="Q610" s="50" t="n"/>
      <c r="R610" s="28">
        <f>IF($Q610="","",IFERROR(INDEX(CONFIG!$H$4:$H$63,MATCH($Q610,CONFIG!$G$4:$G$63,0)),"Por definir"))</f>
        <v/>
      </c>
      <c r="S610" s="28">
        <f>IF($Q610="","",IFERROR(INDEX(CONFIG!$I$4:$I$63,MATCH($Q610,CONFIG!$G$4:$G$63,0)),"Por definir"))</f>
        <v/>
      </c>
      <c r="T610" s="51" t="n"/>
      <c r="U610" s="52" t="n"/>
      <c r="V610" s="50" t="n"/>
      <c r="W610" s="50" t="n"/>
      <c r="X610" s="49">
        <f>IF(OR($B610="",$M610=""),"",WORKDAY($B610,IFERROR(INDEX(CONFIG!$D$4:$D$63,MATCH($M610,CONFIG!$A$4:$A$63,0)),3)))</f>
        <v/>
      </c>
      <c r="Y610" s="47" t="n"/>
      <c r="Z610" s="24">
        <f>IF($B610="","",IF($Y610&lt;&gt;"",$Y610-$B610,TODAY()-$B610))</f>
        <v/>
      </c>
      <c r="AA610" s="28">
        <f>IF($B610="","",IF(IFERROR(INDEX(CONFIG!$L$4:$L$63,MATCH($V610,CONFIG!$K$4:$K$63,0)),"NO")="SÍ",IF(OR($Y610="",$X610=""),"Resuelta",IF($Y610&gt;$X610,"Resuelta tarde","Resuelta a tiempo")),IF($X610="","Sin clasificar",IF(TODAY()&gt;$X610,"Vencida",IF(TODAY()&gt;=$X610-1,"Por vencer","En plazo")))))</f>
        <v/>
      </c>
      <c r="AB610" s="50" t="n"/>
      <c r="AC610" s="50" t="n"/>
    </row>
    <row r="611" ht="16" customHeight="1">
      <c r="A611" s="28">
        <f>IF($B611="","","N-"&amp;TEXT(ROW()-3,"0000"))</f>
        <v/>
      </c>
      <c r="B611" s="47" t="n"/>
      <c r="C611" s="48" t="n"/>
      <c r="D611" s="48" t="n"/>
      <c r="E611" s="28">
        <f>IF($C611="","",IF($D611="",IF($C611="Interna","Sin guía (interna)","FALTA GUÍA"),IF(COUNTIFS(ENVIOS!$A$4:$A$3003,$D611)=0,"NO EXISTE",IF(COUNTIFS(ENVIOS!$A$4:$A$3003,$D611)&gt;1,"DUPLICADA","OK"))))</f>
        <v/>
      </c>
      <c r="F611" s="28">
        <f>IF($D611="","",IFERROR(INDEX(ENVIOS!$B$4:$B$3003,MATCH($D611,ENVIOS!$A$4:$A$3003,0)),"—"))</f>
        <v/>
      </c>
      <c r="G611" s="23">
        <f>IF($D611="","",IFERROR(INDEX(ENVIOS!$D$4:$D$3003,MATCH($D611,ENVIOS!$A$4:$A$3003,0)),"—"))</f>
        <v/>
      </c>
      <c r="H611" s="23">
        <f>IF($D611="","",IFERROR(INDEX(ENVIOS!$E$4:$E$3003,MATCH($D611,ENVIOS!$A$4:$A$3003,0)),"—"))</f>
        <v/>
      </c>
      <c r="I611" s="23">
        <f>IF($D611="","",IFERROR(INDEX(ENVIOS!$F$4:$F$3003,MATCH($D611,ENVIOS!$A$4:$A$3003,0)),"—"))</f>
        <v/>
      </c>
      <c r="J611" s="23">
        <f>IF($D611="","",IFERROR(INDEX(ENVIOS!$G$4:$G$3003,MATCH($D611,ENVIOS!$A$4:$A$3003,0)),"—"))</f>
        <v/>
      </c>
      <c r="K611" s="28">
        <f>IF($D611="","",IFERROR(INDEX(ENVIOS!$H$4:$H$3003,MATCH($D611,ENVIOS!$A$4:$A$3003,0)),"—"))</f>
        <v/>
      </c>
      <c r="L611" s="49">
        <f>IF($D611="","",IFERROR(INDEX(ENVIOS!$C$4:$C$3003,MATCH($D611,ENVIOS!$A$4:$A$3003,0)),""))</f>
        <v/>
      </c>
      <c r="M611" s="50" t="n"/>
      <c r="N611" s="28">
        <f>IF($M611="","",IFERROR(INDEX(CONFIG!$C$4:$C$63,MATCH($M611,CONFIG!$A$4:$A$63,0)),"Media"))</f>
        <v/>
      </c>
      <c r="O611" s="28">
        <f>IF($M611="","",IF($C611="Interna","NO",IFERROR(INDEX(CONFIG!$E$4:$E$63,MATCH($M611,CONFIG!$A$4:$A$63,0)),"NO")))</f>
        <v/>
      </c>
      <c r="P611" s="50" t="n"/>
      <c r="Q611" s="50" t="n"/>
      <c r="R611" s="28">
        <f>IF($Q611="","",IFERROR(INDEX(CONFIG!$H$4:$H$63,MATCH($Q611,CONFIG!$G$4:$G$63,0)),"Por definir"))</f>
        <v/>
      </c>
      <c r="S611" s="28">
        <f>IF($Q611="","",IFERROR(INDEX(CONFIG!$I$4:$I$63,MATCH($Q611,CONFIG!$G$4:$G$63,0)),"Por definir"))</f>
        <v/>
      </c>
      <c r="T611" s="51" t="n"/>
      <c r="U611" s="52" t="n"/>
      <c r="V611" s="50" t="n"/>
      <c r="W611" s="50" t="n"/>
      <c r="X611" s="49">
        <f>IF(OR($B611="",$M611=""),"",WORKDAY($B611,IFERROR(INDEX(CONFIG!$D$4:$D$63,MATCH($M611,CONFIG!$A$4:$A$63,0)),3)))</f>
        <v/>
      </c>
      <c r="Y611" s="47" t="n"/>
      <c r="Z611" s="24">
        <f>IF($B611="","",IF($Y611&lt;&gt;"",$Y611-$B611,TODAY()-$B611))</f>
        <v/>
      </c>
      <c r="AA611" s="28">
        <f>IF($B611="","",IF(IFERROR(INDEX(CONFIG!$L$4:$L$63,MATCH($V611,CONFIG!$K$4:$K$63,0)),"NO")="SÍ",IF(OR($Y611="",$X611=""),"Resuelta",IF($Y611&gt;$X611,"Resuelta tarde","Resuelta a tiempo")),IF($X611="","Sin clasificar",IF(TODAY()&gt;$X611,"Vencida",IF(TODAY()&gt;=$X611-1,"Por vencer","En plazo")))))</f>
        <v/>
      </c>
      <c r="AB611" s="50" t="n"/>
      <c r="AC611" s="50" t="n"/>
    </row>
    <row r="612" ht="16" customHeight="1">
      <c r="A612" s="28">
        <f>IF($B612="","","N-"&amp;TEXT(ROW()-3,"0000"))</f>
        <v/>
      </c>
      <c r="B612" s="47" t="n"/>
      <c r="C612" s="48" t="n"/>
      <c r="D612" s="48" t="n"/>
      <c r="E612" s="28">
        <f>IF($C612="","",IF($D612="",IF($C612="Interna","Sin guía (interna)","FALTA GUÍA"),IF(COUNTIFS(ENVIOS!$A$4:$A$3003,$D612)=0,"NO EXISTE",IF(COUNTIFS(ENVIOS!$A$4:$A$3003,$D612)&gt;1,"DUPLICADA","OK"))))</f>
        <v/>
      </c>
      <c r="F612" s="28">
        <f>IF($D612="","",IFERROR(INDEX(ENVIOS!$B$4:$B$3003,MATCH($D612,ENVIOS!$A$4:$A$3003,0)),"—"))</f>
        <v/>
      </c>
      <c r="G612" s="23">
        <f>IF($D612="","",IFERROR(INDEX(ENVIOS!$D$4:$D$3003,MATCH($D612,ENVIOS!$A$4:$A$3003,0)),"—"))</f>
        <v/>
      </c>
      <c r="H612" s="23">
        <f>IF($D612="","",IFERROR(INDEX(ENVIOS!$E$4:$E$3003,MATCH($D612,ENVIOS!$A$4:$A$3003,0)),"—"))</f>
        <v/>
      </c>
      <c r="I612" s="23">
        <f>IF($D612="","",IFERROR(INDEX(ENVIOS!$F$4:$F$3003,MATCH($D612,ENVIOS!$A$4:$A$3003,0)),"—"))</f>
        <v/>
      </c>
      <c r="J612" s="23">
        <f>IF($D612="","",IFERROR(INDEX(ENVIOS!$G$4:$G$3003,MATCH($D612,ENVIOS!$A$4:$A$3003,0)),"—"))</f>
        <v/>
      </c>
      <c r="K612" s="28">
        <f>IF($D612="","",IFERROR(INDEX(ENVIOS!$H$4:$H$3003,MATCH($D612,ENVIOS!$A$4:$A$3003,0)),"—"))</f>
        <v/>
      </c>
      <c r="L612" s="49">
        <f>IF($D612="","",IFERROR(INDEX(ENVIOS!$C$4:$C$3003,MATCH($D612,ENVIOS!$A$4:$A$3003,0)),""))</f>
        <v/>
      </c>
      <c r="M612" s="50" t="n"/>
      <c r="N612" s="28">
        <f>IF($M612="","",IFERROR(INDEX(CONFIG!$C$4:$C$63,MATCH($M612,CONFIG!$A$4:$A$63,0)),"Media"))</f>
        <v/>
      </c>
      <c r="O612" s="28">
        <f>IF($M612="","",IF($C612="Interna","NO",IFERROR(INDEX(CONFIG!$E$4:$E$63,MATCH($M612,CONFIG!$A$4:$A$63,0)),"NO")))</f>
        <v/>
      </c>
      <c r="P612" s="50" t="n"/>
      <c r="Q612" s="50" t="n"/>
      <c r="R612" s="28">
        <f>IF($Q612="","",IFERROR(INDEX(CONFIG!$H$4:$H$63,MATCH($Q612,CONFIG!$G$4:$G$63,0)),"Por definir"))</f>
        <v/>
      </c>
      <c r="S612" s="28">
        <f>IF($Q612="","",IFERROR(INDEX(CONFIG!$I$4:$I$63,MATCH($Q612,CONFIG!$G$4:$G$63,0)),"Por definir"))</f>
        <v/>
      </c>
      <c r="T612" s="51" t="n"/>
      <c r="U612" s="52" t="n"/>
      <c r="V612" s="50" t="n"/>
      <c r="W612" s="50" t="n"/>
      <c r="X612" s="49">
        <f>IF(OR($B612="",$M612=""),"",WORKDAY($B612,IFERROR(INDEX(CONFIG!$D$4:$D$63,MATCH($M612,CONFIG!$A$4:$A$63,0)),3)))</f>
        <v/>
      </c>
      <c r="Y612" s="47" t="n"/>
      <c r="Z612" s="24">
        <f>IF($B612="","",IF($Y612&lt;&gt;"",$Y612-$B612,TODAY()-$B612))</f>
        <v/>
      </c>
      <c r="AA612" s="28">
        <f>IF($B612="","",IF(IFERROR(INDEX(CONFIG!$L$4:$L$63,MATCH($V612,CONFIG!$K$4:$K$63,0)),"NO")="SÍ",IF(OR($Y612="",$X612=""),"Resuelta",IF($Y612&gt;$X612,"Resuelta tarde","Resuelta a tiempo")),IF($X612="","Sin clasificar",IF(TODAY()&gt;$X612,"Vencida",IF(TODAY()&gt;=$X612-1,"Por vencer","En plazo")))))</f>
        <v/>
      </c>
      <c r="AB612" s="50" t="n"/>
      <c r="AC612" s="50" t="n"/>
    </row>
    <row r="613" ht="16" customHeight="1">
      <c r="A613" s="28">
        <f>IF($B613="","","N-"&amp;TEXT(ROW()-3,"0000"))</f>
        <v/>
      </c>
      <c r="B613" s="47" t="n"/>
      <c r="C613" s="48" t="n"/>
      <c r="D613" s="48" t="n"/>
      <c r="E613" s="28">
        <f>IF($C613="","",IF($D613="",IF($C613="Interna","Sin guía (interna)","FALTA GUÍA"),IF(COUNTIFS(ENVIOS!$A$4:$A$3003,$D613)=0,"NO EXISTE",IF(COUNTIFS(ENVIOS!$A$4:$A$3003,$D613)&gt;1,"DUPLICADA","OK"))))</f>
        <v/>
      </c>
      <c r="F613" s="28">
        <f>IF($D613="","",IFERROR(INDEX(ENVIOS!$B$4:$B$3003,MATCH($D613,ENVIOS!$A$4:$A$3003,0)),"—"))</f>
        <v/>
      </c>
      <c r="G613" s="23">
        <f>IF($D613="","",IFERROR(INDEX(ENVIOS!$D$4:$D$3003,MATCH($D613,ENVIOS!$A$4:$A$3003,0)),"—"))</f>
        <v/>
      </c>
      <c r="H613" s="23">
        <f>IF($D613="","",IFERROR(INDEX(ENVIOS!$E$4:$E$3003,MATCH($D613,ENVIOS!$A$4:$A$3003,0)),"—"))</f>
        <v/>
      </c>
      <c r="I613" s="23">
        <f>IF($D613="","",IFERROR(INDEX(ENVIOS!$F$4:$F$3003,MATCH($D613,ENVIOS!$A$4:$A$3003,0)),"—"))</f>
        <v/>
      </c>
      <c r="J613" s="23">
        <f>IF($D613="","",IFERROR(INDEX(ENVIOS!$G$4:$G$3003,MATCH($D613,ENVIOS!$A$4:$A$3003,0)),"—"))</f>
        <v/>
      </c>
      <c r="K613" s="28">
        <f>IF($D613="","",IFERROR(INDEX(ENVIOS!$H$4:$H$3003,MATCH($D613,ENVIOS!$A$4:$A$3003,0)),"—"))</f>
        <v/>
      </c>
      <c r="L613" s="49">
        <f>IF($D613="","",IFERROR(INDEX(ENVIOS!$C$4:$C$3003,MATCH($D613,ENVIOS!$A$4:$A$3003,0)),""))</f>
        <v/>
      </c>
      <c r="M613" s="50" t="n"/>
      <c r="N613" s="28">
        <f>IF($M613="","",IFERROR(INDEX(CONFIG!$C$4:$C$63,MATCH($M613,CONFIG!$A$4:$A$63,0)),"Media"))</f>
        <v/>
      </c>
      <c r="O613" s="28">
        <f>IF($M613="","",IF($C613="Interna","NO",IFERROR(INDEX(CONFIG!$E$4:$E$63,MATCH($M613,CONFIG!$A$4:$A$63,0)),"NO")))</f>
        <v/>
      </c>
      <c r="P613" s="50" t="n"/>
      <c r="Q613" s="50" t="n"/>
      <c r="R613" s="28">
        <f>IF($Q613="","",IFERROR(INDEX(CONFIG!$H$4:$H$63,MATCH($Q613,CONFIG!$G$4:$G$63,0)),"Por definir"))</f>
        <v/>
      </c>
      <c r="S613" s="28">
        <f>IF($Q613="","",IFERROR(INDEX(CONFIG!$I$4:$I$63,MATCH($Q613,CONFIG!$G$4:$G$63,0)),"Por definir"))</f>
        <v/>
      </c>
      <c r="T613" s="51" t="n"/>
      <c r="U613" s="52" t="n"/>
      <c r="V613" s="50" t="n"/>
      <c r="W613" s="50" t="n"/>
      <c r="X613" s="49">
        <f>IF(OR($B613="",$M613=""),"",WORKDAY($B613,IFERROR(INDEX(CONFIG!$D$4:$D$63,MATCH($M613,CONFIG!$A$4:$A$63,0)),3)))</f>
        <v/>
      </c>
      <c r="Y613" s="47" t="n"/>
      <c r="Z613" s="24">
        <f>IF($B613="","",IF($Y613&lt;&gt;"",$Y613-$B613,TODAY()-$B613))</f>
        <v/>
      </c>
      <c r="AA613" s="28">
        <f>IF($B613="","",IF(IFERROR(INDEX(CONFIG!$L$4:$L$63,MATCH($V613,CONFIG!$K$4:$K$63,0)),"NO")="SÍ",IF(OR($Y613="",$X613=""),"Resuelta",IF($Y613&gt;$X613,"Resuelta tarde","Resuelta a tiempo")),IF($X613="","Sin clasificar",IF(TODAY()&gt;$X613,"Vencida",IF(TODAY()&gt;=$X613-1,"Por vencer","En plazo")))))</f>
        <v/>
      </c>
      <c r="AB613" s="50" t="n"/>
      <c r="AC613" s="50" t="n"/>
    </row>
    <row r="614" ht="16" customHeight="1">
      <c r="A614" s="28">
        <f>IF($B614="","","N-"&amp;TEXT(ROW()-3,"0000"))</f>
        <v/>
      </c>
      <c r="B614" s="47" t="n"/>
      <c r="C614" s="48" t="n"/>
      <c r="D614" s="48" t="n"/>
      <c r="E614" s="28">
        <f>IF($C614="","",IF($D614="",IF($C614="Interna","Sin guía (interna)","FALTA GUÍA"),IF(COUNTIFS(ENVIOS!$A$4:$A$3003,$D614)=0,"NO EXISTE",IF(COUNTIFS(ENVIOS!$A$4:$A$3003,$D614)&gt;1,"DUPLICADA","OK"))))</f>
        <v/>
      </c>
      <c r="F614" s="28">
        <f>IF($D614="","",IFERROR(INDEX(ENVIOS!$B$4:$B$3003,MATCH($D614,ENVIOS!$A$4:$A$3003,0)),"—"))</f>
        <v/>
      </c>
      <c r="G614" s="23">
        <f>IF($D614="","",IFERROR(INDEX(ENVIOS!$D$4:$D$3003,MATCH($D614,ENVIOS!$A$4:$A$3003,0)),"—"))</f>
        <v/>
      </c>
      <c r="H614" s="23">
        <f>IF($D614="","",IFERROR(INDEX(ENVIOS!$E$4:$E$3003,MATCH($D614,ENVIOS!$A$4:$A$3003,0)),"—"))</f>
        <v/>
      </c>
      <c r="I614" s="23">
        <f>IF($D614="","",IFERROR(INDEX(ENVIOS!$F$4:$F$3003,MATCH($D614,ENVIOS!$A$4:$A$3003,0)),"—"))</f>
        <v/>
      </c>
      <c r="J614" s="23">
        <f>IF($D614="","",IFERROR(INDEX(ENVIOS!$G$4:$G$3003,MATCH($D614,ENVIOS!$A$4:$A$3003,0)),"—"))</f>
        <v/>
      </c>
      <c r="K614" s="28">
        <f>IF($D614="","",IFERROR(INDEX(ENVIOS!$H$4:$H$3003,MATCH($D614,ENVIOS!$A$4:$A$3003,0)),"—"))</f>
        <v/>
      </c>
      <c r="L614" s="49">
        <f>IF($D614="","",IFERROR(INDEX(ENVIOS!$C$4:$C$3003,MATCH($D614,ENVIOS!$A$4:$A$3003,0)),""))</f>
        <v/>
      </c>
      <c r="M614" s="50" t="n"/>
      <c r="N614" s="28">
        <f>IF($M614="","",IFERROR(INDEX(CONFIG!$C$4:$C$63,MATCH($M614,CONFIG!$A$4:$A$63,0)),"Media"))</f>
        <v/>
      </c>
      <c r="O614" s="28">
        <f>IF($M614="","",IF($C614="Interna","NO",IFERROR(INDEX(CONFIG!$E$4:$E$63,MATCH($M614,CONFIG!$A$4:$A$63,0)),"NO")))</f>
        <v/>
      </c>
      <c r="P614" s="50" t="n"/>
      <c r="Q614" s="50" t="n"/>
      <c r="R614" s="28">
        <f>IF($Q614="","",IFERROR(INDEX(CONFIG!$H$4:$H$63,MATCH($Q614,CONFIG!$G$4:$G$63,0)),"Por definir"))</f>
        <v/>
      </c>
      <c r="S614" s="28">
        <f>IF($Q614="","",IFERROR(INDEX(CONFIG!$I$4:$I$63,MATCH($Q614,CONFIG!$G$4:$G$63,0)),"Por definir"))</f>
        <v/>
      </c>
      <c r="T614" s="51" t="n"/>
      <c r="U614" s="52" t="n"/>
      <c r="V614" s="50" t="n"/>
      <c r="W614" s="50" t="n"/>
      <c r="X614" s="49">
        <f>IF(OR($B614="",$M614=""),"",WORKDAY($B614,IFERROR(INDEX(CONFIG!$D$4:$D$63,MATCH($M614,CONFIG!$A$4:$A$63,0)),3)))</f>
        <v/>
      </c>
      <c r="Y614" s="47" t="n"/>
      <c r="Z614" s="24">
        <f>IF($B614="","",IF($Y614&lt;&gt;"",$Y614-$B614,TODAY()-$B614))</f>
        <v/>
      </c>
      <c r="AA614" s="28">
        <f>IF($B614="","",IF(IFERROR(INDEX(CONFIG!$L$4:$L$63,MATCH($V614,CONFIG!$K$4:$K$63,0)),"NO")="SÍ",IF(OR($Y614="",$X614=""),"Resuelta",IF($Y614&gt;$X614,"Resuelta tarde","Resuelta a tiempo")),IF($X614="","Sin clasificar",IF(TODAY()&gt;$X614,"Vencida",IF(TODAY()&gt;=$X614-1,"Por vencer","En plazo")))))</f>
        <v/>
      </c>
      <c r="AB614" s="50" t="n"/>
      <c r="AC614" s="50" t="n"/>
    </row>
    <row r="615" ht="16" customHeight="1">
      <c r="A615" s="28">
        <f>IF($B615="","","N-"&amp;TEXT(ROW()-3,"0000"))</f>
        <v/>
      </c>
      <c r="B615" s="47" t="n"/>
      <c r="C615" s="48" t="n"/>
      <c r="D615" s="48" t="n"/>
      <c r="E615" s="28">
        <f>IF($C615="","",IF($D615="",IF($C615="Interna","Sin guía (interna)","FALTA GUÍA"),IF(COUNTIFS(ENVIOS!$A$4:$A$3003,$D615)=0,"NO EXISTE",IF(COUNTIFS(ENVIOS!$A$4:$A$3003,$D615)&gt;1,"DUPLICADA","OK"))))</f>
        <v/>
      </c>
      <c r="F615" s="28">
        <f>IF($D615="","",IFERROR(INDEX(ENVIOS!$B$4:$B$3003,MATCH($D615,ENVIOS!$A$4:$A$3003,0)),"—"))</f>
        <v/>
      </c>
      <c r="G615" s="23">
        <f>IF($D615="","",IFERROR(INDEX(ENVIOS!$D$4:$D$3003,MATCH($D615,ENVIOS!$A$4:$A$3003,0)),"—"))</f>
        <v/>
      </c>
      <c r="H615" s="23">
        <f>IF($D615="","",IFERROR(INDEX(ENVIOS!$E$4:$E$3003,MATCH($D615,ENVIOS!$A$4:$A$3003,0)),"—"))</f>
        <v/>
      </c>
      <c r="I615" s="23">
        <f>IF($D615="","",IFERROR(INDEX(ENVIOS!$F$4:$F$3003,MATCH($D615,ENVIOS!$A$4:$A$3003,0)),"—"))</f>
        <v/>
      </c>
      <c r="J615" s="23">
        <f>IF($D615="","",IFERROR(INDEX(ENVIOS!$G$4:$G$3003,MATCH($D615,ENVIOS!$A$4:$A$3003,0)),"—"))</f>
        <v/>
      </c>
      <c r="K615" s="28">
        <f>IF($D615="","",IFERROR(INDEX(ENVIOS!$H$4:$H$3003,MATCH($D615,ENVIOS!$A$4:$A$3003,0)),"—"))</f>
        <v/>
      </c>
      <c r="L615" s="49">
        <f>IF($D615="","",IFERROR(INDEX(ENVIOS!$C$4:$C$3003,MATCH($D615,ENVIOS!$A$4:$A$3003,0)),""))</f>
        <v/>
      </c>
      <c r="M615" s="50" t="n"/>
      <c r="N615" s="28">
        <f>IF($M615="","",IFERROR(INDEX(CONFIG!$C$4:$C$63,MATCH($M615,CONFIG!$A$4:$A$63,0)),"Media"))</f>
        <v/>
      </c>
      <c r="O615" s="28">
        <f>IF($M615="","",IF($C615="Interna","NO",IFERROR(INDEX(CONFIG!$E$4:$E$63,MATCH($M615,CONFIG!$A$4:$A$63,0)),"NO")))</f>
        <v/>
      </c>
      <c r="P615" s="50" t="n"/>
      <c r="Q615" s="50" t="n"/>
      <c r="R615" s="28">
        <f>IF($Q615="","",IFERROR(INDEX(CONFIG!$H$4:$H$63,MATCH($Q615,CONFIG!$G$4:$G$63,0)),"Por definir"))</f>
        <v/>
      </c>
      <c r="S615" s="28">
        <f>IF($Q615="","",IFERROR(INDEX(CONFIG!$I$4:$I$63,MATCH($Q615,CONFIG!$G$4:$G$63,0)),"Por definir"))</f>
        <v/>
      </c>
      <c r="T615" s="51" t="n"/>
      <c r="U615" s="52" t="n"/>
      <c r="V615" s="50" t="n"/>
      <c r="W615" s="50" t="n"/>
      <c r="X615" s="49">
        <f>IF(OR($B615="",$M615=""),"",WORKDAY($B615,IFERROR(INDEX(CONFIG!$D$4:$D$63,MATCH($M615,CONFIG!$A$4:$A$63,0)),3)))</f>
        <v/>
      </c>
      <c r="Y615" s="47" t="n"/>
      <c r="Z615" s="24">
        <f>IF($B615="","",IF($Y615&lt;&gt;"",$Y615-$B615,TODAY()-$B615))</f>
        <v/>
      </c>
      <c r="AA615" s="28">
        <f>IF($B615="","",IF(IFERROR(INDEX(CONFIG!$L$4:$L$63,MATCH($V615,CONFIG!$K$4:$K$63,0)),"NO")="SÍ",IF(OR($Y615="",$X615=""),"Resuelta",IF($Y615&gt;$X615,"Resuelta tarde","Resuelta a tiempo")),IF($X615="","Sin clasificar",IF(TODAY()&gt;$X615,"Vencida",IF(TODAY()&gt;=$X615-1,"Por vencer","En plazo")))))</f>
        <v/>
      </c>
      <c r="AB615" s="50" t="n"/>
      <c r="AC615" s="50" t="n"/>
    </row>
    <row r="616" ht="16" customHeight="1">
      <c r="A616" s="28">
        <f>IF($B616="","","N-"&amp;TEXT(ROW()-3,"0000"))</f>
        <v/>
      </c>
      <c r="B616" s="47" t="n"/>
      <c r="C616" s="48" t="n"/>
      <c r="D616" s="48" t="n"/>
      <c r="E616" s="28">
        <f>IF($C616="","",IF($D616="",IF($C616="Interna","Sin guía (interna)","FALTA GUÍA"),IF(COUNTIFS(ENVIOS!$A$4:$A$3003,$D616)=0,"NO EXISTE",IF(COUNTIFS(ENVIOS!$A$4:$A$3003,$D616)&gt;1,"DUPLICADA","OK"))))</f>
        <v/>
      </c>
      <c r="F616" s="28">
        <f>IF($D616="","",IFERROR(INDEX(ENVIOS!$B$4:$B$3003,MATCH($D616,ENVIOS!$A$4:$A$3003,0)),"—"))</f>
        <v/>
      </c>
      <c r="G616" s="23">
        <f>IF($D616="","",IFERROR(INDEX(ENVIOS!$D$4:$D$3003,MATCH($D616,ENVIOS!$A$4:$A$3003,0)),"—"))</f>
        <v/>
      </c>
      <c r="H616" s="23">
        <f>IF($D616="","",IFERROR(INDEX(ENVIOS!$E$4:$E$3003,MATCH($D616,ENVIOS!$A$4:$A$3003,0)),"—"))</f>
        <v/>
      </c>
      <c r="I616" s="23">
        <f>IF($D616="","",IFERROR(INDEX(ENVIOS!$F$4:$F$3003,MATCH($D616,ENVIOS!$A$4:$A$3003,0)),"—"))</f>
        <v/>
      </c>
      <c r="J616" s="23">
        <f>IF($D616="","",IFERROR(INDEX(ENVIOS!$G$4:$G$3003,MATCH($D616,ENVIOS!$A$4:$A$3003,0)),"—"))</f>
        <v/>
      </c>
      <c r="K616" s="28">
        <f>IF($D616="","",IFERROR(INDEX(ENVIOS!$H$4:$H$3003,MATCH($D616,ENVIOS!$A$4:$A$3003,0)),"—"))</f>
        <v/>
      </c>
      <c r="L616" s="49">
        <f>IF($D616="","",IFERROR(INDEX(ENVIOS!$C$4:$C$3003,MATCH($D616,ENVIOS!$A$4:$A$3003,0)),""))</f>
        <v/>
      </c>
      <c r="M616" s="50" t="n"/>
      <c r="N616" s="28">
        <f>IF($M616="","",IFERROR(INDEX(CONFIG!$C$4:$C$63,MATCH($M616,CONFIG!$A$4:$A$63,0)),"Media"))</f>
        <v/>
      </c>
      <c r="O616" s="28">
        <f>IF($M616="","",IF($C616="Interna","NO",IFERROR(INDEX(CONFIG!$E$4:$E$63,MATCH($M616,CONFIG!$A$4:$A$63,0)),"NO")))</f>
        <v/>
      </c>
      <c r="P616" s="50" t="n"/>
      <c r="Q616" s="50" t="n"/>
      <c r="R616" s="28">
        <f>IF($Q616="","",IFERROR(INDEX(CONFIG!$H$4:$H$63,MATCH($Q616,CONFIG!$G$4:$G$63,0)),"Por definir"))</f>
        <v/>
      </c>
      <c r="S616" s="28">
        <f>IF($Q616="","",IFERROR(INDEX(CONFIG!$I$4:$I$63,MATCH($Q616,CONFIG!$G$4:$G$63,0)),"Por definir"))</f>
        <v/>
      </c>
      <c r="T616" s="51" t="n"/>
      <c r="U616" s="52" t="n"/>
      <c r="V616" s="50" t="n"/>
      <c r="W616" s="50" t="n"/>
      <c r="X616" s="49">
        <f>IF(OR($B616="",$M616=""),"",WORKDAY($B616,IFERROR(INDEX(CONFIG!$D$4:$D$63,MATCH($M616,CONFIG!$A$4:$A$63,0)),3)))</f>
        <v/>
      </c>
      <c r="Y616" s="47" t="n"/>
      <c r="Z616" s="24">
        <f>IF($B616="","",IF($Y616&lt;&gt;"",$Y616-$B616,TODAY()-$B616))</f>
        <v/>
      </c>
      <c r="AA616" s="28">
        <f>IF($B616="","",IF(IFERROR(INDEX(CONFIG!$L$4:$L$63,MATCH($V616,CONFIG!$K$4:$K$63,0)),"NO")="SÍ",IF(OR($Y616="",$X616=""),"Resuelta",IF($Y616&gt;$X616,"Resuelta tarde","Resuelta a tiempo")),IF($X616="","Sin clasificar",IF(TODAY()&gt;$X616,"Vencida",IF(TODAY()&gt;=$X616-1,"Por vencer","En plazo")))))</f>
        <v/>
      </c>
      <c r="AB616" s="50" t="n"/>
      <c r="AC616" s="50" t="n"/>
    </row>
    <row r="617" ht="16" customHeight="1">
      <c r="A617" s="28">
        <f>IF($B617="","","N-"&amp;TEXT(ROW()-3,"0000"))</f>
        <v/>
      </c>
      <c r="B617" s="47" t="n"/>
      <c r="C617" s="48" t="n"/>
      <c r="D617" s="48" t="n"/>
      <c r="E617" s="28">
        <f>IF($C617="","",IF($D617="",IF($C617="Interna","Sin guía (interna)","FALTA GUÍA"),IF(COUNTIFS(ENVIOS!$A$4:$A$3003,$D617)=0,"NO EXISTE",IF(COUNTIFS(ENVIOS!$A$4:$A$3003,$D617)&gt;1,"DUPLICADA","OK"))))</f>
        <v/>
      </c>
      <c r="F617" s="28">
        <f>IF($D617="","",IFERROR(INDEX(ENVIOS!$B$4:$B$3003,MATCH($D617,ENVIOS!$A$4:$A$3003,0)),"—"))</f>
        <v/>
      </c>
      <c r="G617" s="23">
        <f>IF($D617="","",IFERROR(INDEX(ENVIOS!$D$4:$D$3003,MATCH($D617,ENVIOS!$A$4:$A$3003,0)),"—"))</f>
        <v/>
      </c>
      <c r="H617" s="23">
        <f>IF($D617="","",IFERROR(INDEX(ENVIOS!$E$4:$E$3003,MATCH($D617,ENVIOS!$A$4:$A$3003,0)),"—"))</f>
        <v/>
      </c>
      <c r="I617" s="23">
        <f>IF($D617="","",IFERROR(INDEX(ENVIOS!$F$4:$F$3003,MATCH($D617,ENVIOS!$A$4:$A$3003,0)),"—"))</f>
        <v/>
      </c>
      <c r="J617" s="23">
        <f>IF($D617="","",IFERROR(INDEX(ENVIOS!$G$4:$G$3003,MATCH($D617,ENVIOS!$A$4:$A$3003,0)),"—"))</f>
        <v/>
      </c>
      <c r="K617" s="28">
        <f>IF($D617="","",IFERROR(INDEX(ENVIOS!$H$4:$H$3003,MATCH($D617,ENVIOS!$A$4:$A$3003,0)),"—"))</f>
        <v/>
      </c>
      <c r="L617" s="49">
        <f>IF($D617="","",IFERROR(INDEX(ENVIOS!$C$4:$C$3003,MATCH($D617,ENVIOS!$A$4:$A$3003,0)),""))</f>
        <v/>
      </c>
      <c r="M617" s="50" t="n"/>
      <c r="N617" s="28">
        <f>IF($M617="","",IFERROR(INDEX(CONFIG!$C$4:$C$63,MATCH($M617,CONFIG!$A$4:$A$63,0)),"Media"))</f>
        <v/>
      </c>
      <c r="O617" s="28">
        <f>IF($M617="","",IF($C617="Interna","NO",IFERROR(INDEX(CONFIG!$E$4:$E$63,MATCH($M617,CONFIG!$A$4:$A$63,0)),"NO")))</f>
        <v/>
      </c>
      <c r="P617" s="50" t="n"/>
      <c r="Q617" s="50" t="n"/>
      <c r="R617" s="28">
        <f>IF($Q617="","",IFERROR(INDEX(CONFIG!$H$4:$H$63,MATCH($Q617,CONFIG!$G$4:$G$63,0)),"Por definir"))</f>
        <v/>
      </c>
      <c r="S617" s="28">
        <f>IF($Q617="","",IFERROR(INDEX(CONFIG!$I$4:$I$63,MATCH($Q617,CONFIG!$G$4:$G$63,0)),"Por definir"))</f>
        <v/>
      </c>
      <c r="T617" s="51" t="n"/>
      <c r="U617" s="52" t="n"/>
      <c r="V617" s="50" t="n"/>
      <c r="W617" s="50" t="n"/>
      <c r="X617" s="49">
        <f>IF(OR($B617="",$M617=""),"",WORKDAY($B617,IFERROR(INDEX(CONFIG!$D$4:$D$63,MATCH($M617,CONFIG!$A$4:$A$63,0)),3)))</f>
        <v/>
      </c>
      <c r="Y617" s="47" t="n"/>
      <c r="Z617" s="24">
        <f>IF($B617="","",IF($Y617&lt;&gt;"",$Y617-$B617,TODAY()-$B617))</f>
        <v/>
      </c>
      <c r="AA617" s="28">
        <f>IF($B617="","",IF(IFERROR(INDEX(CONFIG!$L$4:$L$63,MATCH($V617,CONFIG!$K$4:$K$63,0)),"NO")="SÍ",IF(OR($Y617="",$X617=""),"Resuelta",IF($Y617&gt;$X617,"Resuelta tarde","Resuelta a tiempo")),IF($X617="","Sin clasificar",IF(TODAY()&gt;$X617,"Vencida",IF(TODAY()&gt;=$X617-1,"Por vencer","En plazo")))))</f>
        <v/>
      </c>
      <c r="AB617" s="50" t="n"/>
      <c r="AC617" s="50" t="n"/>
    </row>
    <row r="618" ht="16" customHeight="1">
      <c r="A618" s="28">
        <f>IF($B618="","","N-"&amp;TEXT(ROW()-3,"0000"))</f>
        <v/>
      </c>
      <c r="B618" s="47" t="n"/>
      <c r="C618" s="48" t="n"/>
      <c r="D618" s="48" t="n"/>
      <c r="E618" s="28">
        <f>IF($C618="","",IF($D618="",IF($C618="Interna","Sin guía (interna)","FALTA GUÍA"),IF(COUNTIFS(ENVIOS!$A$4:$A$3003,$D618)=0,"NO EXISTE",IF(COUNTIFS(ENVIOS!$A$4:$A$3003,$D618)&gt;1,"DUPLICADA","OK"))))</f>
        <v/>
      </c>
      <c r="F618" s="28">
        <f>IF($D618="","",IFERROR(INDEX(ENVIOS!$B$4:$B$3003,MATCH($D618,ENVIOS!$A$4:$A$3003,0)),"—"))</f>
        <v/>
      </c>
      <c r="G618" s="23">
        <f>IF($D618="","",IFERROR(INDEX(ENVIOS!$D$4:$D$3003,MATCH($D618,ENVIOS!$A$4:$A$3003,0)),"—"))</f>
        <v/>
      </c>
      <c r="H618" s="23">
        <f>IF($D618="","",IFERROR(INDEX(ENVIOS!$E$4:$E$3003,MATCH($D618,ENVIOS!$A$4:$A$3003,0)),"—"))</f>
        <v/>
      </c>
      <c r="I618" s="23">
        <f>IF($D618="","",IFERROR(INDEX(ENVIOS!$F$4:$F$3003,MATCH($D618,ENVIOS!$A$4:$A$3003,0)),"—"))</f>
        <v/>
      </c>
      <c r="J618" s="23">
        <f>IF($D618="","",IFERROR(INDEX(ENVIOS!$G$4:$G$3003,MATCH($D618,ENVIOS!$A$4:$A$3003,0)),"—"))</f>
        <v/>
      </c>
      <c r="K618" s="28">
        <f>IF($D618="","",IFERROR(INDEX(ENVIOS!$H$4:$H$3003,MATCH($D618,ENVIOS!$A$4:$A$3003,0)),"—"))</f>
        <v/>
      </c>
      <c r="L618" s="49">
        <f>IF($D618="","",IFERROR(INDEX(ENVIOS!$C$4:$C$3003,MATCH($D618,ENVIOS!$A$4:$A$3003,0)),""))</f>
        <v/>
      </c>
      <c r="M618" s="50" t="n"/>
      <c r="N618" s="28">
        <f>IF($M618="","",IFERROR(INDEX(CONFIG!$C$4:$C$63,MATCH($M618,CONFIG!$A$4:$A$63,0)),"Media"))</f>
        <v/>
      </c>
      <c r="O618" s="28">
        <f>IF($M618="","",IF($C618="Interna","NO",IFERROR(INDEX(CONFIG!$E$4:$E$63,MATCH($M618,CONFIG!$A$4:$A$63,0)),"NO")))</f>
        <v/>
      </c>
      <c r="P618" s="50" t="n"/>
      <c r="Q618" s="50" t="n"/>
      <c r="R618" s="28">
        <f>IF($Q618="","",IFERROR(INDEX(CONFIG!$H$4:$H$63,MATCH($Q618,CONFIG!$G$4:$G$63,0)),"Por definir"))</f>
        <v/>
      </c>
      <c r="S618" s="28">
        <f>IF($Q618="","",IFERROR(INDEX(CONFIG!$I$4:$I$63,MATCH($Q618,CONFIG!$G$4:$G$63,0)),"Por definir"))</f>
        <v/>
      </c>
      <c r="T618" s="51" t="n"/>
      <c r="U618" s="52" t="n"/>
      <c r="V618" s="50" t="n"/>
      <c r="W618" s="50" t="n"/>
      <c r="X618" s="49">
        <f>IF(OR($B618="",$M618=""),"",WORKDAY($B618,IFERROR(INDEX(CONFIG!$D$4:$D$63,MATCH($M618,CONFIG!$A$4:$A$63,0)),3)))</f>
        <v/>
      </c>
      <c r="Y618" s="47" t="n"/>
      <c r="Z618" s="24">
        <f>IF($B618="","",IF($Y618&lt;&gt;"",$Y618-$B618,TODAY()-$B618))</f>
        <v/>
      </c>
      <c r="AA618" s="28">
        <f>IF($B618="","",IF(IFERROR(INDEX(CONFIG!$L$4:$L$63,MATCH($V618,CONFIG!$K$4:$K$63,0)),"NO")="SÍ",IF(OR($Y618="",$X618=""),"Resuelta",IF($Y618&gt;$X618,"Resuelta tarde","Resuelta a tiempo")),IF($X618="","Sin clasificar",IF(TODAY()&gt;$X618,"Vencida",IF(TODAY()&gt;=$X618-1,"Por vencer","En plazo")))))</f>
        <v/>
      </c>
      <c r="AB618" s="50" t="n"/>
      <c r="AC618" s="50" t="n"/>
    </row>
    <row r="619" ht="16" customHeight="1">
      <c r="A619" s="28">
        <f>IF($B619="","","N-"&amp;TEXT(ROW()-3,"0000"))</f>
        <v/>
      </c>
      <c r="B619" s="47" t="n"/>
      <c r="C619" s="48" t="n"/>
      <c r="D619" s="48" t="n"/>
      <c r="E619" s="28">
        <f>IF($C619="","",IF($D619="",IF($C619="Interna","Sin guía (interna)","FALTA GUÍA"),IF(COUNTIFS(ENVIOS!$A$4:$A$3003,$D619)=0,"NO EXISTE",IF(COUNTIFS(ENVIOS!$A$4:$A$3003,$D619)&gt;1,"DUPLICADA","OK"))))</f>
        <v/>
      </c>
      <c r="F619" s="28">
        <f>IF($D619="","",IFERROR(INDEX(ENVIOS!$B$4:$B$3003,MATCH($D619,ENVIOS!$A$4:$A$3003,0)),"—"))</f>
        <v/>
      </c>
      <c r="G619" s="23">
        <f>IF($D619="","",IFERROR(INDEX(ENVIOS!$D$4:$D$3003,MATCH($D619,ENVIOS!$A$4:$A$3003,0)),"—"))</f>
        <v/>
      </c>
      <c r="H619" s="23">
        <f>IF($D619="","",IFERROR(INDEX(ENVIOS!$E$4:$E$3003,MATCH($D619,ENVIOS!$A$4:$A$3003,0)),"—"))</f>
        <v/>
      </c>
      <c r="I619" s="23">
        <f>IF($D619="","",IFERROR(INDEX(ENVIOS!$F$4:$F$3003,MATCH($D619,ENVIOS!$A$4:$A$3003,0)),"—"))</f>
        <v/>
      </c>
      <c r="J619" s="23">
        <f>IF($D619="","",IFERROR(INDEX(ENVIOS!$G$4:$G$3003,MATCH($D619,ENVIOS!$A$4:$A$3003,0)),"—"))</f>
        <v/>
      </c>
      <c r="K619" s="28">
        <f>IF($D619="","",IFERROR(INDEX(ENVIOS!$H$4:$H$3003,MATCH($D619,ENVIOS!$A$4:$A$3003,0)),"—"))</f>
        <v/>
      </c>
      <c r="L619" s="49">
        <f>IF($D619="","",IFERROR(INDEX(ENVIOS!$C$4:$C$3003,MATCH($D619,ENVIOS!$A$4:$A$3003,0)),""))</f>
        <v/>
      </c>
      <c r="M619" s="50" t="n"/>
      <c r="N619" s="28">
        <f>IF($M619="","",IFERROR(INDEX(CONFIG!$C$4:$C$63,MATCH($M619,CONFIG!$A$4:$A$63,0)),"Media"))</f>
        <v/>
      </c>
      <c r="O619" s="28">
        <f>IF($M619="","",IF($C619="Interna","NO",IFERROR(INDEX(CONFIG!$E$4:$E$63,MATCH($M619,CONFIG!$A$4:$A$63,0)),"NO")))</f>
        <v/>
      </c>
      <c r="P619" s="50" t="n"/>
      <c r="Q619" s="50" t="n"/>
      <c r="R619" s="28">
        <f>IF($Q619="","",IFERROR(INDEX(CONFIG!$H$4:$H$63,MATCH($Q619,CONFIG!$G$4:$G$63,0)),"Por definir"))</f>
        <v/>
      </c>
      <c r="S619" s="28">
        <f>IF($Q619="","",IFERROR(INDEX(CONFIG!$I$4:$I$63,MATCH($Q619,CONFIG!$G$4:$G$63,0)),"Por definir"))</f>
        <v/>
      </c>
      <c r="T619" s="51" t="n"/>
      <c r="U619" s="52" t="n"/>
      <c r="V619" s="50" t="n"/>
      <c r="W619" s="50" t="n"/>
      <c r="X619" s="49">
        <f>IF(OR($B619="",$M619=""),"",WORKDAY($B619,IFERROR(INDEX(CONFIG!$D$4:$D$63,MATCH($M619,CONFIG!$A$4:$A$63,0)),3)))</f>
        <v/>
      </c>
      <c r="Y619" s="47" t="n"/>
      <c r="Z619" s="24">
        <f>IF($B619="","",IF($Y619&lt;&gt;"",$Y619-$B619,TODAY()-$B619))</f>
        <v/>
      </c>
      <c r="AA619" s="28">
        <f>IF($B619="","",IF(IFERROR(INDEX(CONFIG!$L$4:$L$63,MATCH($V619,CONFIG!$K$4:$K$63,0)),"NO")="SÍ",IF(OR($Y619="",$X619=""),"Resuelta",IF($Y619&gt;$X619,"Resuelta tarde","Resuelta a tiempo")),IF($X619="","Sin clasificar",IF(TODAY()&gt;$X619,"Vencida",IF(TODAY()&gt;=$X619-1,"Por vencer","En plazo")))))</f>
        <v/>
      </c>
      <c r="AB619" s="50" t="n"/>
      <c r="AC619" s="50" t="n"/>
    </row>
    <row r="620" ht="16" customHeight="1">
      <c r="A620" s="28">
        <f>IF($B620="","","N-"&amp;TEXT(ROW()-3,"0000"))</f>
        <v/>
      </c>
      <c r="B620" s="47" t="n"/>
      <c r="C620" s="48" t="n"/>
      <c r="D620" s="48" t="n"/>
      <c r="E620" s="28">
        <f>IF($C620="","",IF($D620="",IF($C620="Interna","Sin guía (interna)","FALTA GUÍA"),IF(COUNTIFS(ENVIOS!$A$4:$A$3003,$D620)=0,"NO EXISTE",IF(COUNTIFS(ENVIOS!$A$4:$A$3003,$D620)&gt;1,"DUPLICADA","OK"))))</f>
        <v/>
      </c>
      <c r="F620" s="28">
        <f>IF($D620="","",IFERROR(INDEX(ENVIOS!$B$4:$B$3003,MATCH($D620,ENVIOS!$A$4:$A$3003,0)),"—"))</f>
        <v/>
      </c>
      <c r="G620" s="23">
        <f>IF($D620="","",IFERROR(INDEX(ENVIOS!$D$4:$D$3003,MATCH($D620,ENVIOS!$A$4:$A$3003,0)),"—"))</f>
        <v/>
      </c>
      <c r="H620" s="23">
        <f>IF($D620="","",IFERROR(INDEX(ENVIOS!$E$4:$E$3003,MATCH($D620,ENVIOS!$A$4:$A$3003,0)),"—"))</f>
        <v/>
      </c>
      <c r="I620" s="23">
        <f>IF($D620="","",IFERROR(INDEX(ENVIOS!$F$4:$F$3003,MATCH($D620,ENVIOS!$A$4:$A$3003,0)),"—"))</f>
        <v/>
      </c>
      <c r="J620" s="23">
        <f>IF($D620="","",IFERROR(INDEX(ENVIOS!$G$4:$G$3003,MATCH($D620,ENVIOS!$A$4:$A$3003,0)),"—"))</f>
        <v/>
      </c>
      <c r="K620" s="28">
        <f>IF($D620="","",IFERROR(INDEX(ENVIOS!$H$4:$H$3003,MATCH($D620,ENVIOS!$A$4:$A$3003,0)),"—"))</f>
        <v/>
      </c>
      <c r="L620" s="49">
        <f>IF($D620="","",IFERROR(INDEX(ENVIOS!$C$4:$C$3003,MATCH($D620,ENVIOS!$A$4:$A$3003,0)),""))</f>
        <v/>
      </c>
      <c r="M620" s="50" t="n"/>
      <c r="N620" s="28">
        <f>IF($M620="","",IFERROR(INDEX(CONFIG!$C$4:$C$63,MATCH($M620,CONFIG!$A$4:$A$63,0)),"Media"))</f>
        <v/>
      </c>
      <c r="O620" s="28">
        <f>IF($M620="","",IF($C620="Interna","NO",IFERROR(INDEX(CONFIG!$E$4:$E$63,MATCH($M620,CONFIG!$A$4:$A$63,0)),"NO")))</f>
        <v/>
      </c>
      <c r="P620" s="50" t="n"/>
      <c r="Q620" s="50" t="n"/>
      <c r="R620" s="28">
        <f>IF($Q620="","",IFERROR(INDEX(CONFIG!$H$4:$H$63,MATCH($Q620,CONFIG!$G$4:$G$63,0)),"Por definir"))</f>
        <v/>
      </c>
      <c r="S620" s="28">
        <f>IF($Q620="","",IFERROR(INDEX(CONFIG!$I$4:$I$63,MATCH($Q620,CONFIG!$G$4:$G$63,0)),"Por definir"))</f>
        <v/>
      </c>
      <c r="T620" s="51" t="n"/>
      <c r="U620" s="52" t="n"/>
      <c r="V620" s="50" t="n"/>
      <c r="W620" s="50" t="n"/>
      <c r="X620" s="49">
        <f>IF(OR($B620="",$M620=""),"",WORKDAY($B620,IFERROR(INDEX(CONFIG!$D$4:$D$63,MATCH($M620,CONFIG!$A$4:$A$63,0)),3)))</f>
        <v/>
      </c>
      <c r="Y620" s="47" t="n"/>
      <c r="Z620" s="24">
        <f>IF($B620="","",IF($Y620&lt;&gt;"",$Y620-$B620,TODAY()-$B620))</f>
        <v/>
      </c>
      <c r="AA620" s="28">
        <f>IF($B620="","",IF(IFERROR(INDEX(CONFIG!$L$4:$L$63,MATCH($V620,CONFIG!$K$4:$K$63,0)),"NO")="SÍ",IF(OR($Y620="",$X620=""),"Resuelta",IF($Y620&gt;$X620,"Resuelta tarde","Resuelta a tiempo")),IF($X620="","Sin clasificar",IF(TODAY()&gt;$X620,"Vencida",IF(TODAY()&gt;=$X620-1,"Por vencer","En plazo")))))</f>
        <v/>
      </c>
      <c r="AB620" s="50" t="n"/>
      <c r="AC620" s="50" t="n"/>
    </row>
    <row r="621" ht="16" customHeight="1">
      <c r="A621" s="28">
        <f>IF($B621="","","N-"&amp;TEXT(ROW()-3,"0000"))</f>
        <v/>
      </c>
      <c r="B621" s="47" t="n"/>
      <c r="C621" s="48" t="n"/>
      <c r="D621" s="48" t="n"/>
      <c r="E621" s="28">
        <f>IF($C621="","",IF($D621="",IF($C621="Interna","Sin guía (interna)","FALTA GUÍA"),IF(COUNTIFS(ENVIOS!$A$4:$A$3003,$D621)=0,"NO EXISTE",IF(COUNTIFS(ENVIOS!$A$4:$A$3003,$D621)&gt;1,"DUPLICADA","OK"))))</f>
        <v/>
      </c>
      <c r="F621" s="28">
        <f>IF($D621="","",IFERROR(INDEX(ENVIOS!$B$4:$B$3003,MATCH($D621,ENVIOS!$A$4:$A$3003,0)),"—"))</f>
        <v/>
      </c>
      <c r="G621" s="23">
        <f>IF($D621="","",IFERROR(INDEX(ENVIOS!$D$4:$D$3003,MATCH($D621,ENVIOS!$A$4:$A$3003,0)),"—"))</f>
        <v/>
      </c>
      <c r="H621" s="23">
        <f>IF($D621="","",IFERROR(INDEX(ENVIOS!$E$4:$E$3003,MATCH($D621,ENVIOS!$A$4:$A$3003,0)),"—"))</f>
        <v/>
      </c>
      <c r="I621" s="23">
        <f>IF($D621="","",IFERROR(INDEX(ENVIOS!$F$4:$F$3003,MATCH($D621,ENVIOS!$A$4:$A$3003,0)),"—"))</f>
        <v/>
      </c>
      <c r="J621" s="23">
        <f>IF($D621="","",IFERROR(INDEX(ENVIOS!$G$4:$G$3003,MATCH($D621,ENVIOS!$A$4:$A$3003,0)),"—"))</f>
        <v/>
      </c>
      <c r="K621" s="28">
        <f>IF($D621="","",IFERROR(INDEX(ENVIOS!$H$4:$H$3003,MATCH($D621,ENVIOS!$A$4:$A$3003,0)),"—"))</f>
        <v/>
      </c>
      <c r="L621" s="49">
        <f>IF($D621="","",IFERROR(INDEX(ENVIOS!$C$4:$C$3003,MATCH($D621,ENVIOS!$A$4:$A$3003,0)),""))</f>
        <v/>
      </c>
      <c r="M621" s="50" t="n"/>
      <c r="N621" s="28">
        <f>IF($M621="","",IFERROR(INDEX(CONFIG!$C$4:$C$63,MATCH($M621,CONFIG!$A$4:$A$63,0)),"Media"))</f>
        <v/>
      </c>
      <c r="O621" s="28">
        <f>IF($M621="","",IF($C621="Interna","NO",IFERROR(INDEX(CONFIG!$E$4:$E$63,MATCH($M621,CONFIG!$A$4:$A$63,0)),"NO")))</f>
        <v/>
      </c>
      <c r="P621" s="50" t="n"/>
      <c r="Q621" s="50" t="n"/>
      <c r="R621" s="28">
        <f>IF($Q621="","",IFERROR(INDEX(CONFIG!$H$4:$H$63,MATCH($Q621,CONFIG!$G$4:$G$63,0)),"Por definir"))</f>
        <v/>
      </c>
      <c r="S621" s="28">
        <f>IF($Q621="","",IFERROR(INDEX(CONFIG!$I$4:$I$63,MATCH($Q621,CONFIG!$G$4:$G$63,0)),"Por definir"))</f>
        <v/>
      </c>
      <c r="T621" s="51" t="n"/>
      <c r="U621" s="52" t="n"/>
      <c r="V621" s="50" t="n"/>
      <c r="W621" s="50" t="n"/>
      <c r="X621" s="49">
        <f>IF(OR($B621="",$M621=""),"",WORKDAY($B621,IFERROR(INDEX(CONFIG!$D$4:$D$63,MATCH($M621,CONFIG!$A$4:$A$63,0)),3)))</f>
        <v/>
      </c>
      <c r="Y621" s="47" t="n"/>
      <c r="Z621" s="24">
        <f>IF($B621="","",IF($Y621&lt;&gt;"",$Y621-$B621,TODAY()-$B621))</f>
        <v/>
      </c>
      <c r="AA621" s="28">
        <f>IF($B621="","",IF(IFERROR(INDEX(CONFIG!$L$4:$L$63,MATCH($V621,CONFIG!$K$4:$K$63,0)),"NO")="SÍ",IF(OR($Y621="",$X621=""),"Resuelta",IF($Y621&gt;$X621,"Resuelta tarde","Resuelta a tiempo")),IF($X621="","Sin clasificar",IF(TODAY()&gt;$X621,"Vencida",IF(TODAY()&gt;=$X621-1,"Por vencer","En plazo")))))</f>
        <v/>
      </c>
      <c r="AB621" s="50" t="n"/>
      <c r="AC621" s="50" t="n"/>
    </row>
    <row r="622" ht="16" customHeight="1">
      <c r="A622" s="28">
        <f>IF($B622="","","N-"&amp;TEXT(ROW()-3,"0000"))</f>
        <v/>
      </c>
      <c r="B622" s="47" t="n"/>
      <c r="C622" s="48" t="n"/>
      <c r="D622" s="48" t="n"/>
      <c r="E622" s="28">
        <f>IF($C622="","",IF($D622="",IF($C622="Interna","Sin guía (interna)","FALTA GUÍA"),IF(COUNTIFS(ENVIOS!$A$4:$A$3003,$D622)=0,"NO EXISTE",IF(COUNTIFS(ENVIOS!$A$4:$A$3003,$D622)&gt;1,"DUPLICADA","OK"))))</f>
        <v/>
      </c>
      <c r="F622" s="28">
        <f>IF($D622="","",IFERROR(INDEX(ENVIOS!$B$4:$B$3003,MATCH($D622,ENVIOS!$A$4:$A$3003,0)),"—"))</f>
        <v/>
      </c>
      <c r="G622" s="23">
        <f>IF($D622="","",IFERROR(INDEX(ENVIOS!$D$4:$D$3003,MATCH($D622,ENVIOS!$A$4:$A$3003,0)),"—"))</f>
        <v/>
      </c>
      <c r="H622" s="23">
        <f>IF($D622="","",IFERROR(INDEX(ENVIOS!$E$4:$E$3003,MATCH($D622,ENVIOS!$A$4:$A$3003,0)),"—"))</f>
        <v/>
      </c>
      <c r="I622" s="23">
        <f>IF($D622="","",IFERROR(INDEX(ENVIOS!$F$4:$F$3003,MATCH($D622,ENVIOS!$A$4:$A$3003,0)),"—"))</f>
        <v/>
      </c>
      <c r="J622" s="23">
        <f>IF($D622="","",IFERROR(INDEX(ENVIOS!$G$4:$G$3003,MATCH($D622,ENVIOS!$A$4:$A$3003,0)),"—"))</f>
        <v/>
      </c>
      <c r="K622" s="28">
        <f>IF($D622="","",IFERROR(INDEX(ENVIOS!$H$4:$H$3003,MATCH($D622,ENVIOS!$A$4:$A$3003,0)),"—"))</f>
        <v/>
      </c>
      <c r="L622" s="49">
        <f>IF($D622="","",IFERROR(INDEX(ENVIOS!$C$4:$C$3003,MATCH($D622,ENVIOS!$A$4:$A$3003,0)),""))</f>
        <v/>
      </c>
      <c r="M622" s="50" t="n"/>
      <c r="N622" s="28">
        <f>IF($M622="","",IFERROR(INDEX(CONFIG!$C$4:$C$63,MATCH($M622,CONFIG!$A$4:$A$63,0)),"Media"))</f>
        <v/>
      </c>
      <c r="O622" s="28">
        <f>IF($M622="","",IF($C622="Interna","NO",IFERROR(INDEX(CONFIG!$E$4:$E$63,MATCH($M622,CONFIG!$A$4:$A$63,0)),"NO")))</f>
        <v/>
      </c>
      <c r="P622" s="50" t="n"/>
      <c r="Q622" s="50" t="n"/>
      <c r="R622" s="28">
        <f>IF($Q622="","",IFERROR(INDEX(CONFIG!$H$4:$H$63,MATCH($Q622,CONFIG!$G$4:$G$63,0)),"Por definir"))</f>
        <v/>
      </c>
      <c r="S622" s="28">
        <f>IF($Q622="","",IFERROR(INDEX(CONFIG!$I$4:$I$63,MATCH($Q622,CONFIG!$G$4:$G$63,0)),"Por definir"))</f>
        <v/>
      </c>
      <c r="T622" s="51" t="n"/>
      <c r="U622" s="52" t="n"/>
      <c r="V622" s="50" t="n"/>
      <c r="W622" s="50" t="n"/>
      <c r="X622" s="49">
        <f>IF(OR($B622="",$M622=""),"",WORKDAY($B622,IFERROR(INDEX(CONFIG!$D$4:$D$63,MATCH($M622,CONFIG!$A$4:$A$63,0)),3)))</f>
        <v/>
      </c>
      <c r="Y622" s="47" t="n"/>
      <c r="Z622" s="24">
        <f>IF($B622="","",IF($Y622&lt;&gt;"",$Y622-$B622,TODAY()-$B622))</f>
        <v/>
      </c>
      <c r="AA622" s="28">
        <f>IF($B622="","",IF(IFERROR(INDEX(CONFIG!$L$4:$L$63,MATCH($V622,CONFIG!$K$4:$K$63,0)),"NO")="SÍ",IF(OR($Y622="",$X622=""),"Resuelta",IF($Y622&gt;$X622,"Resuelta tarde","Resuelta a tiempo")),IF($X622="","Sin clasificar",IF(TODAY()&gt;$X622,"Vencida",IF(TODAY()&gt;=$X622-1,"Por vencer","En plazo")))))</f>
        <v/>
      </c>
      <c r="AB622" s="50" t="n"/>
      <c r="AC622" s="50" t="n"/>
    </row>
    <row r="623" ht="16" customHeight="1">
      <c r="A623" s="28">
        <f>IF($B623="","","N-"&amp;TEXT(ROW()-3,"0000"))</f>
        <v/>
      </c>
      <c r="B623" s="47" t="n"/>
      <c r="C623" s="48" t="n"/>
      <c r="D623" s="48" t="n"/>
      <c r="E623" s="28">
        <f>IF($C623="","",IF($D623="",IF($C623="Interna","Sin guía (interna)","FALTA GUÍA"),IF(COUNTIFS(ENVIOS!$A$4:$A$3003,$D623)=0,"NO EXISTE",IF(COUNTIFS(ENVIOS!$A$4:$A$3003,$D623)&gt;1,"DUPLICADA","OK"))))</f>
        <v/>
      </c>
      <c r="F623" s="28">
        <f>IF($D623="","",IFERROR(INDEX(ENVIOS!$B$4:$B$3003,MATCH($D623,ENVIOS!$A$4:$A$3003,0)),"—"))</f>
        <v/>
      </c>
      <c r="G623" s="23">
        <f>IF($D623="","",IFERROR(INDEX(ENVIOS!$D$4:$D$3003,MATCH($D623,ENVIOS!$A$4:$A$3003,0)),"—"))</f>
        <v/>
      </c>
      <c r="H623" s="23">
        <f>IF($D623="","",IFERROR(INDEX(ENVIOS!$E$4:$E$3003,MATCH($D623,ENVIOS!$A$4:$A$3003,0)),"—"))</f>
        <v/>
      </c>
      <c r="I623" s="23">
        <f>IF($D623="","",IFERROR(INDEX(ENVIOS!$F$4:$F$3003,MATCH($D623,ENVIOS!$A$4:$A$3003,0)),"—"))</f>
        <v/>
      </c>
      <c r="J623" s="23">
        <f>IF($D623="","",IFERROR(INDEX(ENVIOS!$G$4:$G$3003,MATCH($D623,ENVIOS!$A$4:$A$3003,0)),"—"))</f>
        <v/>
      </c>
      <c r="K623" s="28">
        <f>IF($D623="","",IFERROR(INDEX(ENVIOS!$H$4:$H$3003,MATCH($D623,ENVIOS!$A$4:$A$3003,0)),"—"))</f>
        <v/>
      </c>
      <c r="L623" s="49">
        <f>IF($D623="","",IFERROR(INDEX(ENVIOS!$C$4:$C$3003,MATCH($D623,ENVIOS!$A$4:$A$3003,0)),""))</f>
        <v/>
      </c>
      <c r="M623" s="50" t="n"/>
      <c r="N623" s="28">
        <f>IF($M623="","",IFERROR(INDEX(CONFIG!$C$4:$C$63,MATCH($M623,CONFIG!$A$4:$A$63,0)),"Media"))</f>
        <v/>
      </c>
      <c r="O623" s="28">
        <f>IF($M623="","",IF($C623="Interna","NO",IFERROR(INDEX(CONFIG!$E$4:$E$63,MATCH($M623,CONFIG!$A$4:$A$63,0)),"NO")))</f>
        <v/>
      </c>
      <c r="P623" s="50" t="n"/>
      <c r="Q623" s="50" t="n"/>
      <c r="R623" s="28">
        <f>IF($Q623="","",IFERROR(INDEX(CONFIG!$H$4:$H$63,MATCH($Q623,CONFIG!$G$4:$G$63,0)),"Por definir"))</f>
        <v/>
      </c>
      <c r="S623" s="28">
        <f>IF($Q623="","",IFERROR(INDEX(CONFIG!$I$4:$I$63,MATCH($Q623,CONFIG!$G$4:$G$63,0)),"Por definir"))</f>
        <v/>
      </c>
      <c r="T623" s="51" t="n"/>
      <c r="U623" s="52" t="n"/>
      <c r="V623" s="50" t="n"/>
      <c r="W623" s="50" t="n"/>
      <c r="X623" s="49">
        <f>IF(OR($B623="",$M623=""),"",WORKDAY($B623,IFERROR(INDEX(CONFIG!$D$4:$D$63,MATCH($M623,CONFIG!$A$4:$A$63,0)),3)))</f>
        <v/>
      </c>
      <c r="Y623" s="47" t="n"/>
      <c r="Z623" s="24">
        <f>IF($B623="","",IF($Y623&lt;&gt;"",$Y623-$B623,TODAY()-$B623))</f>
        <v/>
      </c>
      <c r="AA623" s="28">
        <f>IF($B623="","",IF(IFERROR(INDEX(CONFIG!$L$4:$L$63,MATCH($V623,CONFIG!$K$4:$K$63,0)),"NO")="SÍ",IF(OR($Y623="",$X623=""),"Resuelta",IF($Y623&gt;$X623,"Resuelta tarde","Resuelta a tiempo")),IF($X623="","Sin clasificar",IF(TODAY()&gt;$X623,"Vencida",IF(TODAY()&gt;=$X623-1,"Por vencer","En plazo")))))</f>
        <v/>
      </c>
      <c r="AB623" s="50" t="n"/>
      <c r="AC623" s="50" t="n"/>
    </row>
    <row r="624" ht="16" customHeight="1">
      <c r="A624" s="28">
        <f>IF($B624="","","N-"&amp;TEXT(ROW()-3,"0000"))</f>
        <v/>
      </c>
      <c r="B624" s="47" t="n"/>
      <c r="C624" s="48" t="n"/>
      <c r="D624" s="48" t="n"/>
      <c r="E624" s="28">
        <f>IF($C624="","",IF($D624="",IF($C624="Interna","Sin guía (interna)","FALTA GUÍA"),IF(COUNTIFS(ENVIOS!$A$4:$A$3003,$D624)=0,"NO EXISTE",IF(COUNTIFS(ENVIOS!$A$4:$A$3003,$D624)&gt;1,"DUPLICADA","OK"))))</f>
        <v/>
      </c>
      <c r="F624" s="28">
        <f>IF($D624="","",IFERROR(INDEX(ENVIOS!$B$4:$B$3003,MATCH($D624,ENVIOS!$A$4:$A$3003,0)),"—"))</f>
        <v/>
      </c>
      <c r="G624" s="23">
        <f>IF($D624="","",IFERROR(INDEX(ENVIOS!$D$4:$D$3003,MATCH($D624,ENVIOS!$A$4:$A$3003,0)),"—"))</f>
        <v/>
      </c>
      <c r="H624" s="23">
        <f>IF($D624="","",IFERROR(INDEX(ENVIOS!$E$4:$E$3003,MATCH($D624,ENVIOS!$A$4:$A$3003,0)),"—"))</f>
        <v/>
      </c>
      <c r="I624" s="23">
        <f>IF($D624="","",IFERROR(INDEX(ENVIOS!$F$4:$F$3003,MATCH($D624,ENVIOS!$A$4:$A$3003,0)),"—"))</f>
        <v/>
      </c>
      <c r="J624" s="23">
        <f>IF($D624="","",IFERROR(INDEX(ENVIOS!$G$4:$G$3003,MATCH($D624,ENVIOS!$A$4:$A$3003,0)),"—"))</f>
        <v/>
      </c>
      <c r="K624" s="28">
        <f>IF($D624="","",IFERROR(INDEX(ENVIOS!$H$4:$H$3003,MATCH($D624,ENVIOS!$A$4:$A$3003,0)),"—"))</f>
        <v/>
      </c>
      <c r="L624" s="49">
        <f>IF($D624="","",IFERROR(INDEX(ENVIOS!$C$4:$C$3003,MATCH($D624,ENVIOS!$A$4:$A$3003,0)),""))</f>
        <v/>
      </c>
      <c r="M624" s="50" t="n"/>
      <c r="N624" s="28">
        <f>IF($M624="","",IFERROR(INDEX(CONFIG!$C$4:$C$63,MATCH($M624,CONFIG!$A$4:$A$63,0)),"Media"))</f>
        <v/>
      </c>
      <c r="O624" s="28">
        <f>IF($M624="","",IF($C624="Interna","NO",IFERROR(INDEX(CONFIG!$E$4:$E$63,MATCH($M624,CONFIG!$A$4:$A$63,0)),"NO")))</f>
        <v/>
      </c>
      <c r="P624" s="50" t="n"/>
      <c r="Q624" s="50" t="n"/>
      <c r="R624" s="28">
        <f>IF($Q624="","",IFERROR(INDEX(CONFIG!$H$4:$H$63,MATCH($Q624,CONFIG!$G$4:$G$63,0)),"Por definir"))</f>
        <v/>
      </c>
      <c r="S624" s="28">
        <f>IF($Q624="","",IFERROR(INDEX(CONFIG!$I$4:$I$63,MATCH($Q624,CONFIG!$G$4:$G$63,0)),"Por definir"))</f>
        <v/>
      </c>
      <c r="T624" s="51" t="n"/>
      <c r="U624" s="52" t="n"/>
      <c r="V624" s="50" t="n"/>
      <c r="W624" s="50" t="n"/>
      <c r="X624" s="49">
        <f>IF(OR($B624="",$M624=""),"",WORKDAY($B624,IFERROR(INDEX(CONFIG!$D$4:$D$63,MATCH($M624,CONFIG!$A$4:$A$63,0)),3)))</f>
        <v/>
      </c>
      <c r="Y624" s="47" t="n"/>
      <c r="Z624" s="24">
        <f>IF($B624="","",IF($Y624&lt;&gt;"",$Y624-$B624,TODAY()-$B624))</f>
        <v/>
      </c>
      <c r="AA624" s="28">
        <f>IF($B624="","",IF(IFERROR(INDEX(CONFIG!$L$4:$L$63,MATCH($V624,CONFIG!$K$4:$K$63,0)),"NO")="SÍ",IF(OR($Y624="",$X624=""),"Resuelta",IF($Y624&gt;$X624,"Resuelta tarde","Resuelta a tiempo")),IF($X624="","Sin clasificar",IF(TODAY()&gt;$X624,"Vencida",IF(TODAY()&gt;=$X624-1,"Por vencer","En plazo")))))</f>
        <v/>
      </c>
      <c r="AB624" s="50" t="n"/>
      <c r="AC624" s="50" t="n"/>
    </row>
    <row r="625" ht="16" customHeight="1">
      <c r="A625" s="28">
        <f>IF($B625="","","N-"&amp;TEXT(ROW()-3,"0000"))</f>
        <v/>
      </c>
      <c r="B625" s="47" t="n"/>
      <c r="C625" s="48" t="n"/>
      <c r="D625" s="48" t="n"/>
      <c r="E625" s="28">
        <f>IF($C625="","",IF($D625="",IF($C625="Interna","Sin guía (interna)","FALTA GUÍA"),IF(COUNTIFS(ENVIOS!$A$4:$A$3003,$D625)=0,"NO EXISTE",IF(COUNTIFS(ENVIOS!$A$4:$A$3003,$D625)&gt;1,"DUPLICADA","OK"))))</f>
        <v/>
      </c>
      <c r="F625" s="28">
        <f>IF($D625="","",IFERROR(INDEX(ENVIOS!$B$4:$B$3003,MATCH($D625,ENVIOS!$A$4:$A$3003,0)),"—"))</f>
        <v/>
      </c>
      <c r="G625" s="23">
        <f>IF($D625="","",IFERROR(INDEX(ENVIOS!$D$4:$D$3003,MATCH($D625,ENVIOS!$A$4:$A$3003,0)),"—"))</f>
        <v/>
      </c>
      <c r="H625" s="23">
        <f>IF($D625="","",IFERROR(INDEX(ENVIOS!$E$4:$E$3003,MATCH($D625,ENVIOS!$A$4:$A$3003,0)),"—"))</f>
        <v/>
      </c>
      <c r="I625" s="23">
        <f>IF($D625="","",IFERROR(INDEX(ENVIOS!$F$4:$F$3003,MATCH($D625,ENVIOS!$A$4:$A$3003,0)),"—"))</f>
        <v/>
      </c>
      <c r="J625" s="23">
        <f>IF($D625="","",IFERROR(INDEX(ENVIOS!$G$4:$G$3003,MATCH($D625,ENVIOS!$A$4:$A$3003,0)),"—"))</f>
        <v/>
      </c>
      <c r="K625" s="28">
        <f>IF($D625="","",IFERROR(INDEX(ENVIOS!$H$4:$H$3003,MATCH($D625,ENVIOS!$A$4:$A$3003,0)),"—"))</f>
        <v/>
      </c>
      <c r="L625" s="49">
        <f>IF($D625="","",IFERROR(INDEX(ENVIOS!$C$4:$C$3003,MATCH($D625,ENVIOS!$A$4:$A$3003,0)),""))</f>
        <v/>
      </c>
      <c r="M625" s="50" t="n"/>
      <c r="N625" s="28">
        <f>IF($M625="","",IFERROR(INDEX(CONFIG!$C$4:$C$63,MATCH($M625,CONFIG!$A$4:$A$63,0)),"Media"))</f>
        <v/>
      </c>
      <c r="O625" s="28">
        <f>IF($M625="","",IF($C625="Interna","NO",IFERROR(INDEX(CONFIG!$E$4:$E$63,MATCH($M625,CONFIG!$A$4:$A$63,0)),"NO")))</f>
        <v/>
      </c>
      <c r="P625" s="50" t="n"/>
      <c r="Q625" s="50" t="n"/>
      <c r="R625" s="28">
        <f>IF($Q625="","",IFERROR(INDEX(CONFIG!$H$4:$H$63,MATCH($Q625,CONFIG!$G$4:$G$63,0)),"Por definir"))</f>
        <v/>
      </c>
      <c r="S625" s="28">
        <f>IF($Q625="","",IFERROR(INDEX(CONFIG!$I$4:$I$63,MATCH($Q625,CONFIG!$G$4:$G$63,0)),"Por definir"))</f>
        <v/>
      </c>
      <c r="T625" s="51" t="n"/>
      <c r="U625" s="52" t="n"/>
      <c r="V625" s="50" t="n"/>
      <c r="W625" s="50" t="n"/>
      <c r="X625" s="49">
        <f>IF(OR($B625="",$M625=""),"",WORKDAY($B625,IFERROR(INDEX(CONFIG!$D$4:$D$63,MATCH($M625,CONFIG!$A$4:$A$63,0)),3)))</f>
        <v/>
      </c>
      <c r="Y625" s="47" t="n"/>
      <c r="Z625" s="24">
        <f>IF($B625="","",IF($Y625&lt;&gt;"",$Y625-$B625,TODAY()-$B625))</f>
        <v/>
      </c>
      <c r="AA625" s="28">
        <f>IF($B625="","",IF(IFERROR(INDEX(CONFIG!$L$4:$L$63,MATCH($V625,CONFIG!$K$4:$K$63,0)),"NO")="SÍ",IF(OR($Y625="",$X625=""),"Resuelta",IF($Y625&gt;$X625,"Resuelta tarde","Resuelta a tiempo")),IF($X625="","Sin clasificar",IF(TODAY()&gt;$X625,"Vencida",IF(TODAY()&gt;=$X625-1,"Por vencer","En plazo")))))</f>
        <v/>
      </c>
      <c r="AB625" s="50" t="n"/>
      <c r="AC625" s="50" t="n"/>
    </row>
    <row r="626" ht="16" customHeight="1">
      <c r="A626" s="28">
        <f>IF($B626="","","N-"&amp;TEXT(ROW()-3,"0000"))</f>
        <v/>
      </c>
      <c r="B626" s="47" t="n"/>
      <c r="C626" s="48" t="n"/>
      <c r="D626" s="48" t="n"/>
      <c r="E626" s="28">
        <f>IF($C626="","",IF($D626="",IF($C626="Interna","Sin guía (interna)","FALTA GUÍA"),IF(COUNTIFS(ENVIOS!$A$4:$A$3003,$D626)=0,"NO EXISTE",IF(COUNTIFS(ENVIOS!$A$4:$A$3003,$D626)&gt;1,"DUPLICADA","OK"))))</f>
        <v/>
      </c>
      <c r="F626" s="28">
        <f>IF($D626="","",IFERROR(INDEX(ENVIOS!$B$4:$B$3003,MATCH($D626,ENVIOS!$A$4:$A$3003,0)),"—"))</f>
        <v/>
      </c>
      <c r="G626" s="23">
        <f>IF($D626="","",IFERROR(INDEX(ENVIOS!$D$4:$D$3003,MATCH($D626,ENVIOS!$A$4:$A$3003,0)),"—"))</f>
        <v/>
      </c>
      <c r="H626" s="23">
        <f>IF($D626="","",IFERROR(INDEX(ENVIOS!$E$4:$E$3003,MATCH($D626,ENVIOS!$A$4:$A$3003,0)),"—"))</f>
        <v/>
      </c>
      <c r="I626" s="23">
        <f>IF($D626="","",IFERROR(INDEX(ENVIOS!$F$4:$F$3003,MATCH($D626,ENVIOS!$A$4:$A$3003,0)),"—"))</f>
        <v/>
      </c>
      <c r="J626" s="23">
        <f>IF($D626="","",IFERROR(INDEX(ENVIOS!$G$4:$G$3003,MATCH($D626,ENVIOS!$A$4:$A$3003,0)),"—"))</f>
        <v/>
      </c>
      <c r="K626" s="28">
        <f>IF($D626="","",IFERROR(INDEX(ENVIOS!$H$4:$H$3003,MATCH($D626,ENVIOS!$A$4:$A$3003,0)),"—"))</f>
        <v/>
      </c>
      <c r="L626" s="49">
        <f>IF($D626="","",IFERROR(INDEX(ENVIOS!$C$4:$C$3003,MATCH($D626,ENVIOS!$A$4:$A$3003,0)),""))</f>
        <v/>
      </c>
      <c r="M626" s="50" t="n"/>
      <c r="N626" s="28">
        <f>IF($M626="","",IFERROR(INDEX(CONFIG!$C$4:$C$63,MATCH($M626,CONFIG!$A$4:$A$63,0)),"Media"))</f>
        <v/>
      </c>
      <c r="O626" s="28">
        <f>IF($M626="","",IF($C626="Interna","NO",IFERROR(INDEX(CONFIG!$E$4:$E$63,MATCH($M626,CONFIG!$A$4:$A$63,0)),"NO")))</f>
        <v/>
      </c>
      <c r="P626" s="50" t="n"/>
      <c r="Q626" s="50" t="n"/>
      <c r="R626" s="28">
        <f>IF($Q626="","",IFERROR(INDEX(CONFIG!$H$4:$H$63,MATCH($Q626,CONFIG!$G$4:$G$63,0)),"Por definir"))</f>
        <v/>
      </c>
      <c r="S626" s="28">
        <f>IF($Q626="","",IFERROR(INDEX(CONFIG!$I$4:$I$63,MATCH($Q626,CONFIG!$G$4:$G$63,0)),"Por definir"))</f>
        <v/>
      </c>
      <c r="T626" s="51" t="n"/>
      <c r="U626" s="52" t="n"/>
      <c r="V626" s="50" t="n"/>
      <c r="W626" s="50" t="n"/>
      <c r="X626" s="49">
        <f>IF(OR($B626="",$M626=""),"",WORKDAY($B626,IFERROR(INDEX(CONFIG!$D$4:$D$63,MATCH($M626,CONFIG!$A$4:$A$63,0)),3)))</f>
        <v/>
      </c>
      <c r="Y626" s="47" t="n"/>
      <c r="Z626" s="24">
        <f>IF($B626="","",IF($Y626&lt;&gt;"",$Y626-$B626,TODAY()-$B626))</f>
        <v/>
      </c>
      <c r="AA626" s="28">
        <f>IF($B626="","",IF(IFERROR(INDEX(CONFIG!$L$4:$L$63,MATCH($V626,CONFIG!$K$4:$K$63,0)),"NO")="SÍ",IF(OR($Y626="",$X626=""),"Resuelta",IF($Y626&gt;$X626,"Resuelta tarde","Resuelta a tiempo")),IF($X626="","Sin clasificar",IF(TODAY()&gt;$X626,"Vencida",IF(TODAY()&gt;=$X626-1,"Por vencer","En plazo")))))</f>
        <v/>
      </c>
      <c r="AB626" s="50" t="n"/>
      <c r="AC626" s="50" t="n"/>
    </row>
    <row r="627" ht="16" customHeight="1">
      <c r="A627" s="28">
        <f>IF($B627="","","N-"&amp;TEXT(ROW()-3,"0000"))</f>
        <v/>
      </c>
      <c r="B627" s="47" t="n"/>
      <c r="C627" s="48" t="n"/>
      <c r="D627" s="48" t="n"/>
      <c r="E627" s="28">
        <f>IF($C627="","",IF($D627="",IF($C627="Interna","Sin guía (interna)","FALTA GUÍA"),IF(COUNTIFS(ENVIOS!$A$4:$A$3003,$D627)=0,"NO EXISTE",IF(COUNTIFS(ENVIOS!$A$4:$A$3003,$D627)&gt;1,"DUPLICADA","OK"))))</f>
        <v/>
      </c>
      <c r="F627" s="28">
        <f>IF($D627="","",IFERROR(INDEX(ENVIOS!$B$4:$B$3003,MATCH($D627,ENVIOS!$A$4:$A$3003,0)),"—"))</f>
        <v/>
      </c>
      <c r="G627" s="23">
        <f>IF($D627="","",IFERROR(INDEX(ENVIOS!$D$4:$D$3003,MATCH($D627,ENVIOS!$A$4:$A$3003,0)),"—"))</f>
        <v/>
      </c>
      <c r="H627" s="23">
        <f>IF($D627="","",IFERROR(INDEX(ENVIOS!$E$4:$E$3003,MATCH($D627,ENVIOS!$A$4:$A$3003,0)),"—"))</f>
        <v/>
      </c>
      <c r="I627" s="23">
        <f>IF($D627="","",IFERROR(INDEX(ENVIOS!$F$4:$F$3003,MATCH($D627,ENVIOS!$A$4:$A$3003,0)),"—"))</f>
        <v/>
      </c>
      <c r="J627" s="23">
        <f>IF($D627="","",IFERROR(INDEX(ENVIOS!$G$4:$G$3003,MATCH($D627,ENVIOS!$A$4:$A$3003,0)),"—"))</f>
        <v/>
      </c>
      <c r="K627" s="28">
        <f>IF($D627="","",IFERROR(INDEX(ENVIOS!$H$4:$H$3003,MATCH($D627,ENVIOS!$A$4:$A$3003,0)),"—"))</f>
        <v/>
      </c>
      <c r="L627" s="49">
        <f>IF($D627="","",IFERROR(INDEX(ENVIOS!$C$4:$C$3003,MATCH($D627,ENVIOS!$A$4:$A$3003,0)),""))</f>
        <v/>
      </c>
      <c r="M627" s="50" t="n"/>
      <c r="N627" s="28">
        <f>IF($M627="","",IFERROR(INDEX(CONFIG!$C$4:$C$63,MATCH($M627,CONFIG!$A$4:$A$63,0)),"Media"))</f>
        <v/>
      </c>
      <c r="O627" s="28">
        <f>IF($M627="","",IF($C627="Interna","NO",IFERROR(INDEX(CONFIG!$E$4:$E$63,MATCH($M627,CONFIG!$A$4:$A$63,0)),"NO")))</f>
        <v/>
      </c>
      <c r="P627" s="50" t="n"/>
      <c r="Q627" s="50" t="n"/>
      <c r="R627" s="28">
        <f>IF($Q627="","",IFERROR(INDEX(CONFIG!$H$4:$H$63,MATCH($Q627,CONFIG!$G$4:$G$63,0)),"Por definir"))</f>
        <v/>
      </c>
      <c r="S627" s="28">
        <f>IF($Q627="","",IFERROR(INDEX(CONFIG!$I$4:$I$63,MATCH($Q627,CONFIG!$G$4:$G$63,0)),"Por definir"))</f>
        <v/>
      </c>
      <c r="T627" s="51" t="n"/>
      <c r="U627" s="52" t="n"/>
      <c r="V627" s="50" t="n"/>
      <c r="W627" s="50" t="n"/>
      <c r="X627" s="49">
        <f>IF(OR($B627="",$M627=""),"",WORKDAY($B627,IFERROR(INDEX(CONFIG!$D$4:$D$63,MATCH($M627,CONFIG!$A$4:$A$63,0)),3)))</f>
        <v/>
      </c>
      <c r="Y627" s="47" t="n"/>
      <c r="Z627" s="24">
        <f>IF($B627="","",IF($Y627&lt;&gt;"",$Y627-$B627,TODAY()-$B627))</f>
        <v/>
      </c>
      <c r="AA627" s="28">
        <f>IF($B627="","",IF(IFERROR(INDEX(CONFIG!$L$4:$L$63,MATCH($V627,CONFIG!$K$4:$K$63,0)),"NO")="SÍ",IF(OR($Y627="",$X627=""),"Resuelta",IF($Y627&gt;$X627,"Resuelta tarde","Resuelta a tiempo")),IF($X627="","Sin clasificar",IF(TODAY()&gt;$X627,"Vencida",IF(TODAY()&gt;=$X627-1,"Por vencer","En plazo")))))</f>
        <v/>
      </c>
      <c r="AB627" s="50" t="n"/>
      <c r="AC627" s="50" t="n"/>
    </row>
    <row r="628" ht="16" customHeight="1">
      <c r="A628" s="28">
        <f>IF($B628="","","N-"&amp;TEXT(ROW()-3,"0000"))</f>
        <v/>
      </c>
      <c r="B628" s="47" t="n"/>
      <c r="C628" s="48" t="n"/>
      <c r="D628" s="48" t="n"/>
      <c r="E628" s="28">
        <f>IF($C628="","",IF($D628="",IF($C628="Interna","Sin guía (interna)","FALTA GUÍA"),IF(COUNTIFS(ENVIOS!$A$4:$A$3003,$D628)=0,"NO EXISTE",IF(COUNTIFS(ENVIOS!$A$4:$A$3003,$D628)&gt;1,"DUPLICADA","OK"))))</f>
        <v/>
      </c>
      <c r="F628" s="28">
        <f>IF($D628="","",IFERROR(INDEX(ENVIOS!$B$4:$B$3003,MATCH($D628,ENVIOS!$A$4:$A$3003,0)),"—"))</f>
        <v/>
      </c>
      <c r="G628" s="23">
        <f>IF($D628="","",IFERROR(INDEX(ENVIOS!$D$4:$D$3003,MATCH($D628,ENVIOS!$A$4:$A$3003,0)),"—"))</f>
        <v/>
      </c>
      <c r="H628" s="23">
        <f>IF($D628="","",IFERROR(INDEX(ENVIOS!$E$4:$E$3003,MATCH($D628,ENVIOS!$A$4:$A$3003,0)),"—"))</f>
        <v/>
      </c>
      <c r="I628" s="23">
        <f>IF($D628="","",IFERROR(INDEX(ENVIOS!$F$4:$F$3003,MATCH($D628,ENVIOS!$A$4:$A$3003,0)),"—"))</f>
        <v/>
      </c>
      <c r="J628" s="23">
        <f>IF($D628="","",IFERROR(INDEX(ENVIOS!$G$4:$G$3003,MATCH($D628,ENVIOS!$A$4:$A$3003,0)),"—"))</f>
        <v/>
      </c>
      <c r="K628" s="28">
        <f>IF($D628="","",IFERROR(INDEX(ENVIOS!$H$4:$H$3003,MATCH($D628,ENVIOS!$A$4:$A$3003,0)),"—"))</f>
        <v/>
      </c>
      <c r="L628" s="49">
        <f>IF($D628="","",IFERROR(INDEX(ENVIOS!$C$4:$C$3003,MATCH($D628,ENVIOS!$A$4:$A$3003,0)),""))</f>
        <v/>
      </c>
      <c r="M628" s="50" t="n"/>
      <c r="N628" s="28">
        <f>IF($M628="","",IFERROR(INDEX(CONFIG!$C$4:$C$63,MATCH($M628,CONFIG!$A$4:$A$63,0)),"Media"))</f>
        <v/>
      </c>
      <c r="O628" s="28">
        <f>IF($M628="","",IF($C628="Interna","NO",IFERROR(INDEX(CONFIG!$E$4:$E$63,MATCH($M628,CONFIG!$A$4:$A$63,0)),"NO")))</f>
        <v/>
      </c>
      <c r="P628" s="50" t="n"/>
      <c r="Q628" s="50" t="n"/>
      <c r="R628" s="28">
        <f>IF($Q628="","",IFERROR(INDEX(CONFIG!$H$4:$H$63,MATCH($Q628,CONFIG!$G$4:$G$63,0)),"Por definir"))</f>
        <v/>
      </c>
      <c r="S628" s="28">
        <f>IF($Q628="","",IFERROR(INDEX(CONFIG!$I$4:$I$63,MATCH($Q628,CONFIG!$G$4:$G$63,0)),"Por definir"))</f>
        <v/>
      </c>
      <c r="T628" s="51" t="n"/>
      <c r="U628" s="52" t="n"/>
      <c r="V628" s="50" t="n"/>
      <c r="W628" s="50" t="n"/>
      <c r="X628" s="49">
        <f>IF(OR($B628="",$M628=""),"",WORKDAY($B628,IFERROR(INDEX(CONFIG!$D$4:$D$63,MATCH($M628,CONFIG!$A$4:$A$63,0)),3)))</f>
        <v/>
      </c>
      <c r="Y628" s="47" t="n"/>
      <c r="Z628" s="24">
        <f>IF($B628="","",IF($Y628&lt;&gt;"",$Y628-$B628,TODAY()-$B628))</f>
        <v/>
      </c>
      <c r="AA628" s="28">
        <f>IF($B628="","",IF(IFERROR(INDEX(CONFIG!$L$4:$L$63,MATCH($V628,CONFIG!$K$4:$K$63,0)),"NO")="SÍ",IF(OR($Y628="",$X628=""),"Resuelta",IF($Y628&gt;$X628,"Resuelta tarde","Resuelta a tiempo")),IF($X628="","Sin clasificar",IF(TODAY()&gt;$X628,"Vencida",IF(TODAY()&gt;=$X628-1,"Por vencer","En plazo")))))</f>
        <v/>
      </c>
      <c r="AB628" s="50" t="n"/>
      <c r="AC628" s="50" t="n"/>
    </row>
    <row r="629" ht="16" customHeight="1">
      <c r="A629" s="28">
        <f>IF($B629="","","N-"&amp;TEXT(ROW()-3,"0000"))</f>
        <v/>
      </c>
      <c r="B629" s="47" t="n"/>
      <c r="C629" s="48" t="n"/>
      <c r="D629" s="48" t="n"/>
      <c r="E629" s="28">
        <f>IF($C629="","",IF($D629="",IF($C629="Interna","Sin guía (interna)","FALTA GUÍA"),IF(COUNTIFS(ENVIOS!$A$4:$A$3003,$D629)=0,"NO EXISTE",IF(COUNTIFS(ENVIOS!$A$4:$A$3003,$D629)&gt;1,"DUPLICADA","OK"))))</f>
        <v/>
      </c>
      <c r="F629" s="28">
        <f>IF($D629="","",IFERROR(INDEX(ENVIOS!$B$4:$B$3003,MATCH($D629,ENVIOS!$A$4:$A$3003,0)),"—"))</f>
        <v/>
      </c>
      <c r="G629" s="23">
        <f>IF($D629="","",IFERROR(INDEX(ENVIOS!$D$4:$D$3003,MATCH($D629,ENVIOS!$A$4:$A$3003,0)),"—"))</f>
        <v/>
      </c>
      <c r="H629" s="23">
        <f>IF($D629="","",IFERROR(INDEX(ENVIOS!$E$4:$E$3003,MATCH($D629,ENVIOS!$A$4:$A$3003,0)),"—"))</f>
        <v/>
      </c>
      <c r="I629" s="23">
        <f>IF($D629="","",IFERROR(INDEX(ENVIOS!$F$4:$F$3003,MATCH($D629,ENVIOS!$A$4:$A$3003,0)),"—"))</f>
        <v/>
      </c>
      <c r="J629" s="23">
        <f>IF($D629="","",IFERROR(INDEX(ENVIOS!$G$4:$G$3003,MATCH($D629,ENVIOS!$A$4:$A$3003,0)),"—"))</f>
        <v/>
      </c>
      <c r="K629" s="28">
        <f>IF($D629="","",IFERROR(INDEX(ENVIOS!$H$4:$H$3003,MATCH($D629,ENVIOS!$A$4:$A$3003,0)),"—"))</f>
        <v/>
      </c>
      <c r="L629" s="49">
        <f>IF($D629="","",IFERROR(INDEX(ENVIOS!$C$4:$C$3003,MATCH($D629,ENVIOS!$A$4:$A$3003,0)),""))</f>
        <v/>
      </c>
      <c r="M629" s="50" t="n"/>
      <c r="N629" s="28">
        <f>IF($M629="","",IFERROR(INDEX(CONFIG!$C$4:$C$63,MATCH($M629,CONFIG!$A$4:$A$63,0)),"Media"))</f>
        <v/>
      </c>
      <c r="O629" s="28">
        <f>IF($M629="","",IF($C629="Interna","NO",IFERROR(INDEX(CONFIG!$E$4:$E$63,MATCH($M629,CONFIG!$A$4:$A$63,0)),"NO")))</f>
        <v/>
      </c>
      <c r="P629" s="50" t="n"/>
      <c r="Q629" s="50" t="n"/>
      <c r="R629" s="28">
        <f>IF($Q629="","",IFERROR(INDEX(CONFIG!$H$4:$H$63,MATCH($Q629,CONFIG!$G$4:$G$63,0)),"Por definir"))</f>
        <v/>
      </c>
      <c r="S629" s="28">
        <f>IF($Q629="","",IFERROR(INDEX(CONFIG!$I$4:$I$63,MATCH($Q629,CONFIG!$G$4:$G$63,0)),"Por definir"))</f>
        <v/>
      </c>
      <c r="T629" s="51" t="n"/>
      <c r="U629" s="52" t="n"/>
      <c r="V629" s="50" t="n"/>
      <c r="W629" s="50" t="n"/>
      <c r="X629" s="49">
        <f>IF(OR($B629="",$M629=""),"",WORKDAY($B629,IFERROR(INDEX(CONFIG!$D$4:$D$63,MATCH($M629,CONFIG!$A$4:$A$63,0)),3)))</f>
        <v/>
      </c>
      <c r="Y629" s="47" t="n"/>
      <c r="Z629" s="24">
        <f>IF($B629="","",IF($Y629&lt;&gt;"",$Y629-$B629,TODAY()-$B629))</f>
        <v/>
      </c>
      <c r="AA629" s="28">
        <f>IF($B629="","",IF(IFERROR(INDEX(CONFIG!$L$4:$L$63,MATCH($V629,CONFIG!$K$4:$K$63,0)),"NO")="SÍ",IF(OR($Y629="",$X629=""),"Resuelta",IF($Y629&gt;$X629,"Resuelta tarde","Resuelta a tiempo")),IF($X629="","Sin clasificar",IF(TODAY()&gt;$X629,"Vencida",IF(TODAY()&gt;=$X629-1,"Por vencer","En plazo")))))</f>
        <v/>
      </c>
      <c r="AB629" s="50" t="n"/>
      <c r="AC629" s="50" t="n"/>
    </row>
    <row r="630" ht="16" customHeight="1">
      <c r="A630" s="28">
        <f>IF($B630="","","N-"&amp;TEXT(ROW()-3,"0000"))</f>
        <v/>
      </c>
      <c r="B630" s="47" t="n"/>
      <c r="C630" s="48" t="n"/>
      <c r="D630" s="48" t="n"/>
      <c r="E630" s="28">
        <f>IF($C630="","",IF($D630="",IF($C630="Interna","Sin guía (interna)","FALTA GUÍA"),IF(COUNTIFS(ENVIOS!$A$4:$A$3003,$D630)=0,"NO EXISTE",IF(COUNTIFS(ENVIOS!$A$4:$A$3003,$D630)&gt;1,"DUPLICADA","OK"))))</f>
        <v/>
      </c>
      <c r="F630" s="28">
        <f>IF($D630="","",IFERROR(INDEX(ENVIOS!$B$4:$B$3003,MATCH($D630,ENVIOS!$A$4:$A$3003,0)),"—"))</f>
        <v/>
      </c>
      <c r="G630" s="23">
        <f>IF($D630="","",IFERROR(INDEX(ENVIOS!$D$4:$D$3003,MATCH($D630,ENVIOS!$A$4:$A$3003,0)),"—"))</f>
        <v/>
      </c>
      <c r="H630" s="23">
        <f>IF($D630="","",IFERROR(INDEX(ENVIOS!$E$4:$E$3003,MATCH($D630,ENVIOS!$A$4:$A$3003,0)),"—"))</f>
        <v/>
      </c>
      <c r="I630" s="23">
        <f>IF($D630="","",IFERROR(INDEX(ENVIOS!$F$4:$F$3003,MATCH($D630,ENVIOS!$A$4:$A$3003,0)),"—"))</f>
        <v/>
      </c>
      <c r="J630" s="23">
        <f>IF($D630="","",IFERROR(INDEX(ENVIOS!$G$4:$G$3003,MATCH($D630,ENVIOS!$A$4:$A$3003,0)),"—"))</f>
        <v/>
      </c>
      <c r="K630" s="28">
        <f>IF($D630="","",IFERROR(INDEX(ENVIOS!$H$4:$H$3003,MATCH($D630,ENVIOS!$A$4:$A$3003,0)),"—"))</f>
        <v/>
      </c>
      <c r="L630" s="49">
        <f>IF($D630="","",IFERROR(INDEX(ENVIOS!$C$4:$C$3003,MATCH($D630,ENVIOS!$A$4:$A$3003,0)),""))</f>
        <v/>
      </c>
      <c r="M630" s="50" t="n"/>
      <c r="N630" s="28">
        <f>IF($M630="","",IFERROR(INDEX(CONFIG!$C$4:$C$63,MATCH($M630,CONFIG!$A$4:$A$63,0)),"Media"))</f>
        <v/>
      </c>
      <c r="O630" s="28">
        <f>IF($M630="","",IF($C630="Interna","NO",IFERROR(INDEX(CONFIG!$E$4:$E$63,MATCH($M630,CONFIG!$A$4:$A$63,0)),"NO")))</f>
        <v/>
      </c>
      <c r="P630" s="50" t="n"/>
      <c r="Q630" s="50" t="n"/>
      <c r="R630" s="28">
        <f>IF($Q630="","",IFERROR(INDEX(CONFIG!$H$4:$H$63,MATCH($Q630,CONFIG!$G$4:$G$63,0)),"Por definir"))</f>
        <v/>
      </c>
      <c r="S630" s="28">
        <f>IF($Q630="","",IFERROR(INDEX(CONFIG!$I$4:$I$63,MATCH($Q630,CONFIG!$G$4:$G$63,0)),"Por definir"))</f>
        <v/>
      </c>
      <c r="T630" s="51" t="n"/>
      <c r="U630" s="52" t="n"/>
      <c r="V630" s="50" t="n"/>
      <c r="W630" s="50" t="n"/>
      <c r="X630" s="49">
        <f>IF(OR($B630="",$M630=""),"",WORKDAY($B630,IFERROR(INDEX(CONFIG!$D$4:$D$63,MATCH($M630,CONFIG!$A$4:$A$63,0)),3)))</f>
        <v/>
      </c>
      <c r="Y630" s="47" t="n"/>
      <c r="Z630" s="24">
        <f>IF($B630="","",IF($Y630&lt;&gt;"",$Y630-$B630,TODAY()-$B630))</f>
        <v/>
      </c>
      <c r="AA630" s="28">
        <f>IF($B630="","",IF(IFERROR(INDEX(CONFIG!$L$4:$L$63,MATCH($V630,CONFIG!$K$4:$K$63,0)),"NO")="SÍ",IF(OR($Y630="",$X630=""),"Resuelta",IF($Y630&gt;$X630,"Resuelta tarde","Resuelta a tiempo")),IF($X630="","Sin clasificar",IF(TODAY()&gt;$X630,"Vencida",IF(TODAY()&gt;=$X630-1,"Por vencer","En plazo")))))</f>
        <v/>
      </c>
      <c r="AB630" s="50" t="n"/>
      <c r="AC630" s="50" t="n"/>
    </row>
    <row r="631" ht="16" customHeight="1">
      <c r="A631" s="28">
        <f>IF($B631="","","N-"&amp;TEXT(ROW()-3,"0000"))</f>
        <v/>
      </c>
      <c r="B631" s="47" t="n"/>
      <c r="C631" s="48" t="n"/>
      <c r="D631" s="48" t="n"/>
      <c r="E631" s="28">
        <f>IF($C631="","",IF($D631="",IF($C631="Interna","Sin guía (interna)","FALTA GUÍA"),IF(COUNTIFS(ENVIOS!$A$4:$A$3003,$D631)=0,"NO EXISTE",IF(COUNTIFS(ENVIOS!$A$4:$A$3003,$D631)&gt;1,"DUPLICADA","OK"))))</f>
        <v/>
      </c>
      <c r="F631" s="28">
        <f>IF($D631="","",IFERROR(INDEX(ENVIOS!$B$4:$B$3003,MATCH($D631,ENVIOS!$A$4:$A$3003,0)),"—"))</f>
        <v/>
      </c>
      <c r="G631" s="23">
        <f>IF($D631="","",IFERROR(INDEX(ENVIOS!$D$4:$D$3003,MATCH($D631,ENVIOS!$A$4:$A$3003,0)),"—"))</f>
        <v/>
      </c>
      <c r="H631" s="23">
        <f>IF($D631="","",IFERROR(INDEX(ENVIOS!$E$4:$E$3003,MATCH($D631,ENVIOS!$A$4:$A$3003,0)),"—"))</f>
        <v/>
      </c>
      <c r="I631" s="23">
        <f>IF($D631="","",IFERROR(INDEX(ENVIOS!$F$4:$F$3003,MATCH($D631,ENVIOS!$A$4:$A$3003,0)),"—"))</f>
        <v/>
      </c>
      <c r="J631" s="23">
        <f>IF($D631="","",IFERROR(INDEX(ENVIOS!$G$4:$G$3003,MATCH($D631,ENVIOS!$A$4:$A$3003,0)),"—"))</f>
        <v/>
      </c>
      <c r="K631" s="28">
        <f>IF($D631="","",IFERROR(INDEX(ENVIOS!$H$4:$H$3003,MATCH($D631,ENVIOS!$A$4:$A$3003,0)),"—"))</f>
        <v/>
      </c>
      <c r="L631" s="49">
        <f>IF($D631="","",IFERROR(INDEX(ENVIOS!$C$4:$C$3003,MATCH($D631,ENVIOS!$A$4:$A$3003,0)),""))</f>
        <v/>
      </c>
      <c r="M631" s="50" t="n"/>
      <c r="N631" s="28">
        <f>IF($M631="","",IFERROR(INDEX(CONFIG!$C$4:$C$63,MATCH($M631,CONFIG!$A$4:$A$63,0)),"Media"))</f>
        <v/>
      </c>
      <c r="O631" s="28">
        <f>IF($M631="","",IF($C631="Interna","NO",IFERROR(INDEX(CONFIG!$E$4:$E$63,MATCH($M631,CONFIG!$A$4:$A$63,0)),"NO")))</f>
        <v/>
      </c>
      <c r="P631" s="50" t="n"/>
      <c r="Q631" s="50" t="n"/>
      <c r="R631" s="28">
        <f>IF($Q631="","",IFERROR(INDEX(CONFIG!$H$4:$H$63,MATCH($Q631,CONFIG!$G$4:$G$63,0)),"Por definir"))</f>
        <v/>
      </c>
      <c r="S631" s="28">
        <f>IF($Q631="","",IFERROR(INDEX(CONFIG!$I$4:$I$63,MATCH($Q631,CONFIG!$G$4:$G$63,0)),"Por definir"))</f>
        <v/>
      </c>
      <c r="T631" s="51" t="n"/>
      <c r="U631" s="52" t="n"/>
      <c r="V631" s="50" t="n"/>
      <c r="W631" s="50" t="n"/>
      <c r="X631" s="49">
        <f>IF(OR($B631="",$M631=""),"",WORKDAY($B631,IFERROR(INDEX(CONFIG!$D$4:$D$63,MATCH($M631,CONFIG!$A$4:$A$63,0)),3)))</f>
        <v/>
      </c>
      <c r="Y631" s="47" t="n"/>
      <c r="Z631" s="24">
        <f>IF($B631="","",IF($Y631&lt;&gt;"",$Y631-$B631,TODAY()-$B631))</f>
        <v/>
      </c>
      <c r="AA631" s="28">
        <f>IF($B631="","",IF(IFERROR(INDEX(CONFIG!$L$4:$L$63,MATCH($V631,CONFIG!$K$4:$K$63,0)),"NO")="SÍ",IF(OR($Y631="",$X631=""),"Resuelta",IF($Y631&gt;$X631,"Resuelta tarde","Resuelta a tiempo")),IF($X631="","Sin clasificar",IF(TODAY()&gt;$X631,"Vencida",IF(TODAY()&gt;=$X631-1,"Por vencer","En plazo")))))</f>
        <v/>
      </c>
      <c r="AB631" s="50" t="n"/>
      <c r="AC631" s="50" t="n"/>
    </row>
    <row r="632" ht="16" customHeight="1">
      <c r="A632" s="28">
        <f>IF($B632="","","N-"&amp;TEXT(ROW()-3,"0000"))</f>
        <v/>
      </c>
      <c r="B632" s="47" t="n"/>
      <c r="C632" s="48" t="n"/>
      <c r="D632" s="48" t="n"/>
      <c r="E632" s="28">
        <f>IF($C632="","",IF($D632="",IF($C632="Interna","Sin guía (interna)","FALTA GUÍA"),IF(COUNTIFS(ENVIOS!$A$4:$A$3003,$D632)=0,"NO EXISTE",IF(COUNTIFS(ENVIOS!$A$4:$A$3003,$D632)&gt;1,"DUPLICADA","OK"))))</f>
        <v/>
      </c>
      <c r="F632" s="28">
        <f>IF($D632="","",IFERROR(INDEX(ENVIOS!$B$4:$B$3003,MATCH($D632,ENVIOS!$A$4:$A$3003,0)),"—"))</f>
        <v/>
      </c>
      <c r="G632" s="23">
        <f>IF($D632="","",IFERROR(INDEX(ENVIOS!$D$4:$D$3003,MATCH($D632,ENVIOS!$A$4:$A$3003,0)),"—"))</f>
        <v/>
      </c>
      <c r="H632" s="23">
        <f>IF($D632="","",IFERROR(INDEX(ENVIOS!$E$4:$E$3003,MATCH($D632,ENVIOS!$A$4:$A$3003,0)),"—"))</f>
        <v/>
      </c>
      <c r="I632" s="23">
        <f>IF($D632="","",IFERROR(INDEX(ENVIOS!$F$4:$F$3003,MATCH($D632,ENVIOS!$A$4:$A$3003,0)),"—"))</f>
        <v/>
      </c>
      <c r="J632" s="23">
        <f>IF($D632="","",IFERROR(INDEX(ENVIOS!$G$4:$G$3003,MATCH($D632,ENVIOS!$A$4:$A$3003,0)),"—"))</f>
        <v/>
      </c>
      <c r="K632" s="28">
        <f>IF($D632="","",IFERROR(INDEX(ENVIOS!$H$4:$H$3003,MATCH($D632,ENVIOS!$A$4:$A$3003,0)),"—"))</f>
        <v/>
      </c>
      <c r="L632" s="49">
        <f>IF($D632="","",IFERROR(INDEX(ENVIOS!$C$4:$C$3003,MATCH($D632,ENVIOS!$A$4:$A$3003,0)),""))</f>
        <v/>
      </c>
      <c r="M632" s="50" t="n"/>
      <c r="N632" s="28">
        <f>IF($M632="","",IFERROR(INDEX(CONFIG!$C$4:$C$63,MATCH($M632,CONFIG!$A$4:$A$63,0)),"Media"))</f>
        <v/>
      </c>
      <c r="O632" s="28">
        <f>IF($M632="","",IF($C632="Interna","NO",IFERROR(INDEX(CONFIG!$E$4:$E$63,MATCH($M632,CONFIG!$A$4:$A$63,0)),"NO")))</f>
        <v/>
      </c>
      <c r="P632" s="50" t="n"/>
      <c r="Q632" s="50" t="n"/>
      <c r="R632" s="28">
        <f>IF($Q632="","",IFERROR(INDEX(CONFIG!$H$4:$H$63,MATCH($Q632,CONFIG!$G$4:$G$63,0)),"Por definir"))</f>
        <v/>
      </c>
      <c r="S632" s="28">
        <f>IF($Q632="","",IFERROR(INDEX(CONFIG!$I$4:$I$63,MATCH($Q632,CONFIG!$G$4:$G$63,0)),"Por definir"))</f>
        <v/>
      </c>
      <c r="T632" s="51" t="n"/>
      <c r="U632" s="52" t="n"/>
      <c r="V632" s="50" t="n"/>
      <c r="W632" s="50" t="n"/>
      <c r="X632" s="49">
        <f>IF(OR($B632="",$M632=""),"",WORKDAY($B632,IFERROR(INDEX(CONFIG!$D$4:$D$63,MATCH($M632,CONFIG!$A$4:$A$63,0)),3)))</f>
        <v/>
      </c>
      <c r="Y632" s="47" t="n"/>
      <c r="Z632" s="24">
        <f>IF($B632="","",IF($Y632&lt;&gt;"",$Y632-$B632,TODAY()-$B632))</f>
        <v/>
      </c>
      <c r="AA632" s="28">
        <f>IF($B632="","",IF(IFERROR(INDEX(CONFIG!$L$4:$L$63,MATCH($V632,CONFIG!$K$4:$K$63,0)),"NO")="SÍ",IF(OR($Y632="",$X632=""),"Resuelta",IF($Y632&gt;$X632,"Resuelta tarde","Resuelta a tiempo")),IF($X632="","Sin clasificar",IF(TODAY()&gt;$X632,"Vencida",IF(TODAY()&gt;=$X632-1,"Por vencer","En plazo")))))</f>
        <v/>
      </c>
      <c r="AB632" s="50" t="n"/>
      <c r="AC632" s="50" t="n"/>
    </row>
    <row r="633" ht="16" customHeight="1">
      <c r="A633" s="28">
        <f>IF($B633="","","N-"&amp;TEXT(ROW()-3,"0000"))</f>
        <v/>
      </c>
      <c r="B633" s="47" t="n"/>
      <c r="C633" s="48" t="n"/>
      <c r="D633" s="48" t="n"/>
      <c r="E633" s="28">
        <f>IF($C633="","",IF($D633="",IF($C633="Interna","Sin guía (interna)","FALTA GUÍA"),IF(COUNTIFS(ENVIOS!$A$4:$A$3003,$D633)=0,"NO EXISTE",IF(COUNTIFS(ENVIOS!$A$4:$A$3003,$D633)&gt;1,"DUPLICADA","OK"))))</f>
        <v/>
      </c>
      <c r="F633" s="28">
        <f>IF($D633="","",IFERROR(INDEX(ENVIOS!$B$4:$B$3003,MATCH($D633,ENVIOS!$A$4:$A$3003,0)),"—"))</f>
        <v/>
      </c>
      <c r="G633" s="23">
        <f>IF($D633="","",IFERROR(INDEX(ENVIOS!$D$4:$D$3003,MATCH($D633,ENVIOS!$A$4:$A$3003,0)),"—"))</f>
        <v/>
      </c>
      <c r="H633" s="23">
        <f>IF($D633="","",IFERROR(INDEX(ENVIOS!$E$4:$E$3003,MATCH($D633,ENVIOS!$A$4:$A$3003,0)),"—"))</f>
        <v/>
      </c>
      <c r="I633" s="23">
        <f>IF($D633="","",IFERROR(INDEX(ENVIOS!$F$4:$F$3003,MATCH($D633,ENVIOS!$A$4:$A$3003,0)),"—"))</f>
        <v/>
      </c>
      <c r="J633" s="23">
        <f>IF($D633="","",IFERROR(INDEX(ENVIOS!$G$4:$G$3003,MATCH($D633,ENVIOS!$A$4:$A$3003,0)),"—"))</f>
        <v/>
      </c>
      <c r="K633" s="28">
        <f>IF($D633="","",IFERROR(INDEX(ENVIOS!$H$4:$H$3003,MATCH($D633,ENVIOS!$A$4:$A$3003,0)),"—"))</f>
        <v/>
      </c>
      <c r="L633" s="49">
        <f>IF($D633="","",IFERROR(INDEX(ENVIOS!$C$4:$C$3003,MATCH($D633,ENVIOS!$A$4:$A$3003,0)),""))</f>
        <v/>
      </c>
      <c r="M633" s="50" t="n"/>
      <c r="N633" s="28">
        <f>IF($M633="","",IFERROR(INDEX(CONFIG!$C$4:$C$63,MATCH($M633,CONFIG!$A$4:$A$63,0)),"Media"))</f>
        <v/>
      </c>
      <c r="O633" s="28">
        <f>IF($M633="","",IF($C633="Interna","NO",IFERROR(INDEX(CONFIG!$E$4:$E$63,MATCH($M633,CONFIG!$A$4:$A$63,0)),"NO")))</f>
        <v/>
      </c>
      <c r="P633" s="50" t="n"/>
      <c r="Q633" s="50" t="n"/>
      <c r="R633" s="28">
        <f>IF($Q633="","",IFERROR(INDEX(CONFIG!$H$4:$H$63,MATCH($Q633,CONFIG!$G$4:$G$63,0)),"Por definir"))</f>
        <v/>
      </c>
      <c r="S633" s="28">
        <f>IF($Q633="","",IFERROR(INDEX(CONFIG!$I$4:$I$63,MATCH($Q633,CONFIG!$G$4:$G$63,0)),"Por definir"))</f>
        <v/>
      </c>
      <c r="T633" s="51" t="n"/>
      <c r="U633" s="52" t="n"/>
      <c r="V633" s="50" t="n"/>
      <c r="W633" s="50" t="n"/>
      <c r="X633" s="49">
        <f>IF(OR($B633="",$M633=""),"",WORKDAY($B633,IFERROR(INDEX(CONFIG!$D$4:$D$63,MATCH($M633,CONFIG!$A$4:$A$63,0)),3)))</f>
        <v/>
      </c>
      <c r="Y633" s="47" t="n"/>
      <c r="Z633" s="24">
        <f>IF($B633="","",IF($Y633&lt;&gt;"",$Y633-$B633,TODAY()-$B633))</f>
        <v/>
      </c>
      <c r="AA633" s="28">
        <f>IF($B633="","",IF(IFERROR(INDEX(CONFIG!$L$4:$L$63,MATCH($V633,CONFIG!$K$4:$K$63,0)),"NO")="SÍ",IF(OR($Y633="",$X633=""),"Resuelta",IF($Y633&gt;$X633,"Resuelta tarde","Resuelta a tiempo")),IF($X633="","Sin clasificar",IF(TODAY()&gt;$X633,"Vencida",IF(TODAY()&gt;=$X633-1,"Por vencer","En plazo")))))</f>
        <v/>
      </c>
      <c r="AB633" s="50" t="n"/>
      <c r="AC633" s="50" t="n"/>
    </row>
    <row r="634" ht="16" customHeight="1">
      <c r="A634" s="28">
        <f>IF($B634="","","N-"&amp;TEXT(ROW()-3,"0000"))</f>
        <v/>
      </c>
      <c r="B634" s="47" t="n"/>
      <c r="C634" s="48" t="n"/>
      <c r="D634" s="48" t="n"/>
      <c r="E634" s="28">
        <f>IF($C634="","",IF($D634="",IF($C634="Interna","Sin guía (interna)","FALTA GUÍA"),IF(COUNTIFS(ENVIOS!$A$4:$A$3003,$D634)=0,"NO EXISTE",IF(COUNTIFS(ENVIOS!$A$4:$A$3003,$D634)&gt;1,"DUPLICADA","OK"))))</f>
        <v/>
      </c>
      <c r="F634" s="28">
        <f>IF($D634="","",IFERROR(INDEX(ENVIOS!$B$4:$B$3003,MATCH($D634,ENVIOS!$A$4:$A$3003,0)),"—"))</f>
        <v/>
      </c>
      <c r="G634" s="23">
        <f>IF($D634="","",IFERROR(INDEX(ENVIOS!$D$4:$D$3003,MATCH($D634,ENVIOS!$A$4:$A$3003,0)),"—"))</f>
        <v/>
      </c>
      <c r="H634" s="23">
        <f>IF($D634="","",IFERROR(INDEX(ENVIOS!$E$4:$E$3003,MATCH($D634,ENVIOS!$A$4:$A$3003,0)),"—"))</f>
        <v/>
      </c>
      <c r="I634" s="23">
        <f>IF($D634="","",IFERROR(INDEX(ENVIOS!$F$4:$F$3003,MATCH($D634,ENVIOS!$A$4:$A$3003,0)),"—"))</f>
        <v/>
      </c>
      <c r="J634" s="23">
        <f>IF($D634="","",IFERROR(INDEX(ENVIOS!$G$4:$G$3003,MATCH($D634,ENVIOS!$A$4:$A$3003,0)),"—"))</f>
        <v/>
      </c>
      <c r="K634" s="28">
        <f>IF($D634="","",IFERROR(INDEX(ENVIOS!$H$4:$H$3003,MATCH($D634,ENVIOS!$A$4:$A$3003,0)),"—"))</f>
        <v/>
      </c>
      <c r="L634" s="49">
        <f>IF($D634="","",IFERROR(INDEX(ENVIOS!$C$4:$C$3003,MATCH($D634,ENVIOS!$A$4:$A$3003,0)),""))</f>
        <v/>
      </c>
      <c r="M634" s="50" t="n"/>
      <c r="N634" s="28">
        <f>IF($M634="","",IFERROR(INDEX(CONFIG!$C$4:$C$63,MATCH($M634,CONFIG!$A$4:$A$63,0)),"Media"))</f>
        <v/>
      </c>
      <c r="O634" s="28">
        <f>IF($M634="","",IF($C634="Interna","NO",IFERROR(INDEX(CONFIG!$E$4:$E$63,MATCH($M634,CONFIG!$A$4:$A$63,0)),"NO")))</f>
        <v/>
      </c>
      <c r="P634" s="50" t="n"/>
      <c r="Q634" s="50" t="n"/>
      <c r="R634" s="28">
        <f>IF($Q634="","",IFERROR(INDEX(CONFIG!$H$4:$H$63,MATCH($Q634,CONFIG!$G$4:$G$63,0)),"Por definir"))</f>
        <v/>
      </c>
      <c r="S634" s="28">
        <f>IF($Q634="","",IFERROR(INDEX(CONFIG!$I$4:$I$63,MATCH($Q634,CONFIG!$G$4:$G$63,0)),"Por definir"))</f>
        <v/>
      </c>
      <c r="T634" s="51" t="n"/>
      <c r="U634" s="52" t="n"/>
      <c r="V634" s="50" t="n"/>
      <c r="W634" s="50" t="n"/>
      <c r="X634" s="49">
        <f>IF(OR($B634="",$M634=""),"",WORKDAY($B634,IFERROR(INDEX(CONFIG!$D$4:$D$63,MATCH($M634,CONFIG!$A$4:$A$63,0)),3)))</f>
        <v/>
      </c>
      <c r="Y634" s="47" t="n"/>
      <c r="Z634" s="24">
        <f>IF($B634="","",IF($Y634&lt;&gt;"",$Y634-$B634,TODAY()-$B634))</f>
        <v/>
      </c>
      <c r="AA634" s="28">
        <f>IF($B634="","",IF(IFERROR(INDEX(CONFIG!$L$4:$L$63,MATCH($V634,CONFIG!$K$4:$K$63,0)),"NO")="SÍ",IF(OR($Y634="",$X634=""),"Resuelta",IF($Y634&gt;$X634,"Resuelta tarde","Resuelta a tiempo")),IF($X634="","Sin clasificar",IF(TODAY()&gt;$X634,"Vencida",IF(TODAY()&gt;=$X634-1,"Por vencer","En plazo")))))</f>
        <v/>
      </c>
      <c r="AB634" s="50" t="n"/>
      <c r="AC634" s="50" t="n"/>
    </row>
    <row r="635" ht="16" customHeight="1">
      <c r="A635" s="28">
        <f>IF($B635="","","N-"&amp;TEXT(ROW()-3,"0000"))</f>
        <v/>
      </c>
      <c r="B635" s="47" t="n"/>
      <c r="C635" s="48" t="n"/>
      <c r="D635" s="48" t="n"/>
      <c r="E635" s="28">
        <f>IF($C635="","",IF($D635="",IF($C635="Interna","Sin guía (interna)","FALTA GUÍA"),IF(COUNTIFS(ENVIOS!$A$4:$A$3003,$D635)=0,"NO EXISTE",IF(COUNTIFS(ENVIOS!$A$4:$A$3003,$D635)&gt;1,"DUPLICADA","OK"))))</f>
        <v/>
      </c>
      <c r="F635" s="28">
        <f>IF($D635="","",IFERROR(INDEX(ENVIOS!$B$4:$B$3003,MATCH($D635,ENVIOS!$A$4:$A$3003,0)),"—"))</f>
        <v/>
      </c>
      <c r="G635" s="23">
        <f>IF($D635="","",IFERROR(INDEX(ENVIOS!$D$4:$D$3003,MATCH($D635,ENVIOS!$A$4:$A$3003,0)),"—"))</f>
        <v/>
      </c>
      <c r="H635" s="23">
        <f>IF($D635="","",IFERROR(INDEX(ENVIOS!$E$4:$E$3003,MATCH($D635,ENVIOS!$A$4:$A$3003,0)),"—"))</f>
        <v/>
      </c>
      <c r="I635" s="23">
        <f>IF($D635="","",IFERROR(INDEX(ENVIOS!$F$4:$F$3003,MATCH($D635,ENVIOS!$A$4:$A$3003,0)),"—"))</f>
        <v/>
      </c>
      <c r="J635" s="23">
        <f>IF($D635="","",IFERROR(INDEX(ENVIOS!$G$4:$G$3003,MATCH($D635,ENVIOS!$A$4:$A$3003,0)),"—"))</f>
        <v/>
      </c>
      <c r="K635" s="28">
        <f>IF($D635="","",IFERROR(INDEX(ENVIOS!$H$4:$H$3003,MATCH($D635,ENVIOS!$A$4:$A$3003,0)),"—"))</f>
        <v/>
      </c>
      <c r="L635" s="49">
        <f>IF($D635="","",IFERROR(INDEX(ENVIOS!$C$4:$C$3003,MATCH($D635,ENVIOS!$A$4:$A$3003,0)),""))</f>
        <v/>
      </c>
      <c r="M635" s="50" t="n"/>
      <c r="N635" s="28">
        <f>IF($M635="","",IFERROR(INDEX(CONFIG!$C$4:$C$63,MATCH($M635,CONFIG!$A$4:$A$63,0)),"Media"))</f>
        <v/>
      </c>
      <c r="O635" s="28">
        <f>IF($M635="","",IF($C635="Interna","NO",IFERROR(INDEX(CONFIG!$E$4:$E$63,MATCH($M635,CONFIG!$A$4:$A$63,0)),"NO")))</f>
        <v/>
      </c>
      <c r="P635" s="50" t="n"/>
      <c r="Q635" s="50" t="n"/>
      <c r="R635" s="28">
        <f>IF($Q635="","",IFERROR(INDEX(CONFIG!$H$4:$H$63,MATCH($Q635,CONFIG!$G$4:$G$63,0)),"Por definir"))</f>
        <v/>
      </c>
      <c r="S635" s="28">
        <f>IF($Q635="","",IFERROR(INDEX(CONFIG!$I$4:$I$63,MATCH($Q635,CONFIG!$G$4:$G$63,0)),"Por definir"))</f>
        <v/>
      </c>
      <c r="T635" s="51" t="n"/>
      <c r="U635" s="52" t="n"/>
      <c r="V635" s="50" t="n"/>
      <c r="W635" s="50" t="n"/>
      <c r="X635" s="49">
        <f>IF(OR($B635="",$M635=""),"",WORKDAY($B635,IFERROR(INDEX(CONFIG!$D$4:$D$63,MATCH($M635,CONFIG!$A$4:$A$63,0)),3)))</f>
        <v/>
      </c>
      <c r="Y635" s="47" t="n"/>
      <c r="Z635" s="24">
        <f>IF($B635="","",IF($Y635&lt;&gt;"",$Y635-$B635,TODAY()-$B635))</f>
        <v/>
      </c>
      <c r="AA635" s="28">
        <f>IF($B635="","",IF(IFERROR(INDEX(CONFIG!$L$4:$L$63,MATCH($V635,CONFIG!$K$4:$K$63,0)),"NO")="SÍ",IF(OR($Y635="",$X635=""),"Resuelta",IF($Y635&gt;$X635,"Resuelta tarde","Resuelta a tiempo")),IF($X635="","Sin clasificar",IF(TODAY()&gt;$X635,"Vencida",IF(TODAY()&gt;=$X635-1,"Por vencer","En plazo")))))</f>
        <v/>
      </c>
      <c r="AB635" s="50" t="n"/>
      <c r="AC635" s="50" t="n"/>
    </row>
    <row r="636" ht="16" customHeight="1">
      <c r="A636" s="28">
        <f>IF($B636="","","N-"&amp;TEXT(ROW()-3,"0000"))</f>
        <v/>
      </c>
      <c r="B636" s="47" t="n"/>
      <c r="C636" s="48" t="n"/>
      <c r="D636" s="48" t="n"/>
      <c r="E636" s="28">
        <f>IF($C636="","",IF($D636="",IF($C636="Interna","Sin guía (interna)","FALTA GUÍA"),IF(COUNTIFS(ENVIOS!$A$4:$A$3003,$D636)=0,"NO EXISTE",IF(COUNTIFS(ENVIOS!$A$4:$A$3003,$D636)&gt;1,"DUPLICADA","OK"))))</f>
        <v/>
      </c>
      <c r="F636" s="28">
        <f>IF($D636="","",IFERROR(INDEX(ENVIOS!$B$4:$B$3003,MATCH($D636,ENVIOS!$A$4:$A$3003,0)),"—"))</f>
        <v/>
      </c>
      <c r="G636" s="23">
        <f>IF($D636="","",IFERROR(INDEX(ENVIOS!$D$4:$D$3003,MATCH($D636,ENVIOS!$A$4:$A$3003,0)),"—"))</f>
        <v/>
      </c>
      <c r="H636" s="23">
        <f>IF($D636="","",IFERROR(INDEX(ENVIOS!$E$4:$E$3003,MATCH($D636,ENVIOS!$A$4:$A$3003,0)),"—"))</f>
        <v/>
      </c>
      <c r="I636" s="23">
        <f>IF($D636="","",IFERROR(INDEX(ENVIOS!$F$4:$F$3003,MATCH($D636,ENVIOS!$A$4:$A$3003,0)),"—"))</f>
        <v/>
      </c>
      <c r="J636" s="23">
        <f>IF($D636="","",IFERROR(INDEX(ENVIOS!$G$4:$G$3003,MATCH($D636,ENVIOS!$A$4:$A$3003,0)),"—"))</f>
        <v/>
      </c>
      <c r="K636" s="28">
        <f>IF($D636="","",IFERROR(INDEX(ENVIOS!$H$4:$H$3003,MATCH($D636,ENVIOS!$A$4:$A$3003,0)),"—"))</f>
        <v/>
      </c>
      <c r="L636" s="49">
        <f>IF($D636="","",IFERROR(INDEX(ENVIOS!$C$4:$C$3003,MATCH($D636,ENVIOS!$A$4:$A$3003,0)),""))</f>
        <v/>
      </c>
      <c r="M636" s="50" t="n"/>
      <c r="N636" s="28">
        <f>IF($M636="","",IFERROR(INDEX(CONFIG!$C$4:$C$63,MATCH($M636,CONFIG!$A$4:$A$63,0)),"Media"))</f>
        <v/>
      </c>
      <c r="O636" s="28">
        <f>IF($M636="","",IF($C636="Interna","NO",IFERROR(INDEX(CONFIG!$E$4:$E$63,MATCH($M636,CONFIG!$A$4:$A$63,0)),"NO")))</f>
        <v/>
      </c>
      <c r="P636" s="50" t="n"/>
      <c r="Q636" s="50" t="n"/>
      <c r="R636" s="28">
        <f>IF($Q636="","",IFERROR(INDEX(CONFIG!$H$4:$H$63,MATCH($Q636,CONFIG!$G$4:$G$63,0)),"Por definir"))</f>
        <v/>
      </c>
      <c r="S636" s="28">
        <f>IF($Q636="","",IFERROR(INDEX(CONFIG!$I$4:$I$63,MATCH($Q636,CONFIG!$G$4:$G$63,0)),"Por definir"))</f>
        <v/>
      </c>
      <c r="T636" s="51" t="n"/>
      <c r="U636" s="52" t="n"/>
      <c r="V636" s="50" t="n"/>
      <c r="W636" s="50" t="n"/>
      <c r="X636" s="49">
        <f>IF(OR($B636="",$M636=""),"",WORKDAY($B636,IFERROR(INDEX(CONFIG!$D$4:$D$63,MATCH($M636,CONFIG!$A$4:$A$63,0)),3)))</f>
        <v/>
      </c>
      <c r="Y636" s="47" t="n"/>
      <c r="Z636" s="24">
        <f>IF($B636="","",IF($Y636&lt;&gt;"",$Y636-$B636,TODAY()-$B636))</f>
        <v/>
      </c>
      <c r="AA636" s="28">
        <f>IF($B636="","",IF(IFERROR(INDEX(CONFIG!$L$4:$L$63,MATCH($V636,CONFIG!$K$4:$K$63,0)),"NO")="SÍ",IF(OR($Y636="",$X636=""),"Resuelta",IF($Y636&gt;$X636,"Resuelta tarde","Resuelta a tiempo")),IF($X636="","Sin clasificar",IF(TODAY()&gt;$X636,"Vencida",IF(TODAY()&gt;=$X636-1,"Por vencer","En plazo")))))</f>
        <v/>
      </c>
      <c r="AB636" s="50" t="n"/>
      <c r="AC636" s="50" t="n"/>
    </row>
    <row r="637" ht="16" customHeight="1">
      <c r="A637" s="28">
        <f>IF($B637="","","N-"&amp;TEXT(ROW()-3,"0000"))</f>
        <v/>
      </c>
      <c r="B637" s="47" t="n"/>
      <c r="C637" s="48" t="n"/>
      <c r="D637" s="48" t="n"/>
      <c r="E637" s="28">
        <f>IF($C637="","",IF($D637="",IF($C637="Interna","Sin guía (interna)","FALTA GUÍA"),IF(COUNTIFS(ENVIOS!$A$4:$A$3003,$D637)=0,"NO EXISTE",IF(COUNTIFS(ENVIOS!$A$4:$A$3003,$D637)&gt;1,"DUPLICADA","OK"))))</f>
        <v/>
      </c>
      <c r="F637" s="28">
        <f>IF($D637="","",IFERROR(INDEX(ENVIOS!$B$4:$B$3003,MATCH($D637,ENVIOS!$A$4:$A$3003,0)),"—"))</f>
        <v/>
      </c>
      <c r="G637" s="23">
        <f>IF($D637="","",IFERROR(INDEX(ENVIOS!$D$4:$D$3003,MATCH($D637,ENVIOS!$A$4:$A$3003,0)),"—"))</f>
        <v/>
      </c>
      <c r="H637" s="23">
        <f>IF($D637="","",IFERROR(INDEX(ENVIOS!$E$4:$E$3003,MATCH($D637,ENVIOS!$A$4:$A$3003,0)),"—"))</f>
        <v/>
      </c>
      <c r="I637" s="23">
        <f>IF($D637="","",IFERROR(INDEX(ENVIOS!$F$4:$F$3003,MATCH($D637,ENVIOS!$A$4:$A$3003,0)),"—"))</f>
        <v/>
      </c>
      <c r="J637" s="23">
        <f>IF($D637="","",IFERROR(INDEX(ENVIOS!$G$4:$G$3003,MATCH($D637,ENVIOS!$A$4:$A$3003,0)),"—"))</f>
        <v/>
      </c>
      <c r="K637" s="28">
        <f>IF($D637="","",IFERROR(INDEX(ENVIOS!$H$4:$H$3003,MATCH($D637,ENVIOS!$A$4:$A$3003,0)),"—"))</f>
        <v/>
      </c>
      <c r="L637" s="49">
        <f>IF($D637="","",IFERROR(INDEX(ENVIOS!$C$4:$C$3003,MATCH($D637,ENVIOS!$A$4:$A$3003,0)),""))</f>
        <v/>
      </c>
      <c r="M637" s="50" t="n"/>
      <c r="N637" s="28">
        <f>IF($M637="","",IFERROR(INDEX(CONFIG!$C$4:$C$63,MATCH($M637,CONFIG!$A$4:$A$63,0)),"Media"))</f>
        <v/>
      </c>
      <c r="O637" s="28">
        <f>IF($M637="","",IF($C637="Interna","NO",IFERROR(INDEX(CONFIG!$E$4:$E$63,MATCH($M637,CONFIG!$A$4:$A$63,0)),"NO")))</f>
        <v/>
      </c>
      <c r="P637" s="50" t="n"/>
      <c r="Q637" s="50" t="n"/>
      <c r="R637" s="28">
        <f>IF($Q637="","",IFERROR(INDEX(CONFIG!$H$4:$H$63,MATCH($Q637,CONFIG!$G$4:$G$63,0)),"Por definir"))</f>
        <v/>
      </c>
      <c r="S637" s="28">
        <f>IF($Q637="","",IFERROR(INDEX(CONFIG!$I$4:$I$63,MATCH($Q637,CONFIG!$G$4:$G$63,0)),"Por definir"))</f>
        <v/>
      </c>
      <c r="T637" s="51" t="n"/>
      <c r="U637" s="52" t="n"/>
      <c r="V637" s="50" t="n"/>
      <c r="W637" s="50" t="n"/>
      <c r="X637" s="49">
        <f>IF(OR($B637="",$M637=""),"",WORKDAY($B637,IFERROR(INDEX(CONFIG!$D$4:$D$63,MATCH($M637,CONFIG!$A$4:$A$63,0)),3)))</f>
        <v/>
      </c>
      <c r="Y637" s="47" t="n"/>
      <c r="Z637" s="24">
        <f>IF($B637="","",IF($Y637&lt;&gt;"",$Y637-$B637,TODAY()-$B637))</f>
        <v/>
      </c>
      <c r="AA637" s="28">
        <f>IF($B637="","",IF(IFERROR(INDEX(CONFIG!$L$4:$L$63,MATCH($V637,CONFIG!$K$4:$K$63,0)),"NO")="SÍ",IF(OR($Y637="",$X637=""),"Resuelta",IF($Y637&gt;$X637,"Resuelta tarde","Resuelta a tiempo")),IF($X637="","Sin clasificar",IF(TODAY()&gt;$X637,"Vencida",IF(TODAY()&gt;=$X637-1,"Por vencer","En plazo")))))</f>
        <v/>
      </c>
      <c r="AB637" s="50" t="n"/>
      <c r="AC637" s="50" t="n"/>
    </row>
    <row r="638" ht="16" customHeight="1">
      <c r="A638" s="28">
        <f>IF($B638="","","N-"&amp;TEXT(ROW()-3,"0000"))</f>
        <v/>
      </c>
      <c r="B638" s="47" t="n"/>
      <c r="C638" s="48" t="n"/>
      <c r="D638" s="48" t="n"/>
      <c r="E638" s="28">
        <f>IF($C638="","",IF($D638="",IF($C638="Interna","Sin guía (interna)","FALTA GUÍA"),IF(COUNTIFS(ENVIOS!$A$4:$A$3003,$D638)=0,"NO EXISTE",IF(COUNTIFS(ENVIOS!$A$4:$A$3003,$D638)&gt;1,"DUPLICADA","OK"))))</f>
        <v/>
      </c>
      <c r="F638" s="28">
        <f>IF($D638="","",IFERROR(INDEX(ENVIOS!$B$4:$B$3003,MATCH($D638,ENVIOS!$A$4:$A$3003,0)),"—"))</f>
        <v/>
      </c>
      <c r="G638" s="23">
        <f>IF($D638="","",IFERROR(INDEX(ENVIOS!$D$4:$D$3003,MATCH($D638,ENVIOS!$A$4:$A$3003,0)),"—"))</f>
        <v/>
      </c>
      <c r="H638" s="23">
        <f>IF($D638="","",IFERROR(INDEX(ENVIOS!$E$4:$E$3003,MATCH($D638,ENVIOS!$A$4:$A$3003,0)),"—"))</f>
        <v/>
      </c>
      <c r="I638" s="23">
        <f>IF($D638="","",IFERROR(INDEX(ENVIOS!$F$4:$F$3003,MATCH($D638,ENVIOS!$A$4:$A$3003,0)),"—"))</f>
        <v/>
      </c>
      <c r="J638" s="23">
        <f>IF($D638="","",IFERROR(INDEX(ENVIOS!$G$4:$G$3003,MATCH($D638,ENVIOS!$A$4:$A$3003,0)),"—"))</f>
        <v/>
      </c>
      <c r="K638" s="28">
        <f>IF($D638="","",IFERROR(INDEX(ENVIOS!$H$4:$H$3003,MATCH($D638,ENVIOS!$A$4:$A$3003,0)),"—"))</f>
        <v/>
      </c>
      <c r="L638" s="49">
        <f>IF($D638="","",IFERROR(INDEX(ENVIOS!$C$4:$C$3003,MATCH($D638,ENVIOS!$A$4:$A$3003,0)),""))</f>
        <v/>
      </c>
      <c r="M638" s="50" t="n"/>
      <c r="N638" s="28">
        <f>IF($M638="","",IFERROR(INDEX(CONFIG!$C$4:$C$63,MATCH($M638,CONFIG!$A$4:$A$63,0)),"Media"))</f>
        <v/>
      </c>
      <c r="O638" s="28">
        <f>IF($M638="","",IF($C638="Interna","NO",IFERROR(INDEX(CONFIG!$E$4:$E$63,MATCH($M638,CONFIG!$A$4:$A$63,0)),"NO")))</f>
        <v/>
      </c>
      <c r="P638" s="50" t="n"/>
      <c r="Q638" s="50" t="n"/>
      <c r="R638" s="28">
        <f>IF($Q638="","",IFERROR(INDEX(CONFIG!$H$4:$H$63,MATCH($Q638,CONFIG!$G$4:$G$63,0)),"Por definir"))</f>
        <v/>
      </c>
      <c r="S638" s="28">
        <f>IF($Q638="","",IFERROR(INDEX(CONFIG!$I$4:$I$63,MATCH($Q638,CONFIG!$G$4:$G$63,0)),"Por definir"))</f>
        <v/>
      </c>
      <c r="T638" s="51" t="n"/>
      <c r="U638" s="52" t="n"/>
      <c r="V638" s="50" t="n"/>
      <c r="W638" s="50" t="n"/>
      <c r="X638" s="49">
        <f>IF(OR($B638="",$M638=""),"",WORKDAY($B638,IFERROR(INDEX(CONFIG!$D$4:$D$63,MATCH($M638,CONFIG!$A$4:$A$63,0)),3)))</f>
        <v/>
      </c>
      <c r="Y638" s="47" t="n"/>
      <c r="Z638" s="24">
        <f>IF($B638="","",IF($Y638&lt;&gt;"",$Y638-$B638,TODAY()-$B638))</f>
        <v/>
      </c>
      <c r="AA638" s="28">
        <f>IF($B638="","",IF(IFERROR(INDEX(CONFIG!$L$4:$L$63,MATCH($V638,CONFIG!$K$4:$K$63,0)),"NO")="SÍ",IF(OR($Y638="",$X638=""),"Resuelta",IF($Y638&gt;$X638,"Resuelta tarde","Resuelta a tiempo")),IF($X638="","Sin clasificar",IF(TODAY()&gt;$X638,"Vencida",IF(TODAY()&gt;=$X638-1,"Por vencer","En plazo")))))</f>
        <v/>
      </c>
      <c r="AB638" s="50" t="n"/>
      <c r="AC638" s="50" t="n"/>
    </row>
    <row r="639" ht="16" customHeight="1">
      <c r="A639" s="28">
        <f>IF($B639="","","N-"&amp;TEXT(ROW()-3,"0000"))</f>
        <v/>
      </c>
      <c r="B639" s="47" t="n"/>
      <c r="C639" s="48" t="n"/>
      <c r="D639" s="48" t="n"/>
      <c r="E639" s="28">
        <f>IF($C639="","",IF($D639="",IF($C639="Interna","Sin guía (interna)","FALTA GUÍA"),IF(COUNTIFS(ENVIOS!$A$4:$A$3003,$D639)=0,"NO EXISTE",IF(COUNTIFS(ENVIOS!$A$4:$A$3003,$D639)&gt;1,"DUPLICADA","OK"))))</f>
        <v/>
      </c>
      <c r="F639" s="28">
        <f>IF($D639="","",IFERROR(INDEX(ENVIOS!$B$4:$B$3003,MATCH($D639,ENVIOS!$A$4:$A$3003,0)),"—"))</f>
        <v/>
      </c>
      <c r="G639" s="23">
        <f>IF($D639="","",IFERROR(INDEX(ENVIOS!$D$4:$D$3003,MATCH($D639,ENVIOS!$A$4:$A$3003,0)),"—"))</f>
        <v/>
      </c>
      <c r="H639" s="23">
        <f>IF($D639="","",IFERROR(INDEX(ENVIOS!$E$4:$E$3003,MATCH($D639,ENVIOS!$A$4:$A$3003,0)),"—"))</f>
        <v/>
      </c>
      <c r="I639" s="23">
        <f>IF($D639="","",IFERROR(INDEX(ENVIOS!$F$4:$F$3003,MATCH($D639,ENVIOS!$A$4:$A$3003,0)),"—"))</f>
        <v/>
      </c>
      <c r="J639" s="23">
        <f>IF($D639="","",IFERROR(INDEX(ENVIOS!$G$4:$G$3003,MATCH($D639,ENVIOS!$A$4:$A$3003,0)),"—"))</f>
        <v/>
      </c>
      <c r="K639" s="28">
        <f>IF($D639="","",IFERROR(INDEX(ENVIOS!$H$4:$H$3003,MATCH($D639,ENVIOS!$A$4:$A$3003,0)),"—"))</f>
        <v/>
      </c>
      <c r="L639" s="49">
        <f>IF($D639="","",IFERROR(INDEX(ENVIOS!$C$4:$C$3003,MATCH($D639,ENVIOS!$A$4:$A$3003,0)),""))</f>
        <v/>
      </c>
      <c r="M639" s="50" t="n"/>
      <c r="N639" s="28">
        <f>IF($M639="","",IFERROR(INDEX(CONFIG!$C$4:$C$63,MATCH($M639,CONFIG!$A$4:$A$63,0)),"Media"))</f>
        <v/>
      </c>
      <c r="O639" s="28">
        <f>IF($M639="","",IF($C639="Interna","NO",IFERROR(INDEX(CONFIG!$E$4:$E$63,MATCH($M639,CONFIG!$A$4:$A$63,0)),"NO")))</f>
        <v/>
      </c>
      <c r="P639" s="50" t="n"/>
      <c r="Q639" s="50" t="n"/>
      <c r="R639" s="28">
        <f>IF($Q639="","",IFERROR(INDEX(CONFIG!$H$4:$H$63,MATCH($Q639,CONFIG!$G$4:$G$63,0)),"Por definir"))</f>
        <v/>
      </c>
      <c r="S639" s="28">
        <f>IF($Q639="","",IFERROR(INDEX(CONFIG!$I$4:$I$63,MATCH($Q639,CONFIG!$G$4:$G$63,0)),"Por definir"))</f>
        <v/>
      </c>
      <c r="T639" s="51" t="n"/>
      <c r="U639" s="52" t="n"/>
      <c r="V639" s="50" t="n"/>
      <c r="W639" s="50" t="n"/>
      <c r="X639" s="49">
        <f>IF(OR($B639="",$M639=""),"",WORKDAY($B639,IFERROR(INDEX(CONFIG!$D$4:$D$63,MATCH($M639,CONFIG!$A$4:$A$63,0)),3)))</f>
        <v/>
      </c>
      <c r="Y639" s="47" t="n"/>
      <c r="Z639" s="24">
        <f>IF($B639="","",IF($Y639&lt;&gt;"",$Y639-$B639,TODAY()-$B639))</f>
        <v/>
      </c>
      <c r="AA639" s="28">
        <f>IF($B639="","",IF(IFERROR(INDEX(CONFIG!$L$4:$L$63,MATCH($V639,CONFIG!$K$4:$K$63,0)),"NO")="SÍ",IF(OR($Y639="",$X639=""),"Resuelta",IF($Y639&gt;$X639,"Resuelta tarde","Resuelta a tiempo")),IF($X639="","Sin clasificar",IF(TODAY()&gt;$X639,"Vencida",IF(TODAY()&gt;=$X639-1,"Por vencer","En plazo")))))</f>
        <v/>
      </c>
      <c r="AB639" s="50" t="n"/>
      <c r="AC639" s="50" t="n"/>
    </row>
    <row r="640" ht="16" customHeight="1">
      <c r="A640" s="28">
        <f>IF($B640="","","N-"&amp;TEXT(ROW()-3,"0000"))</f>
        <v/>
      </c>
      <c r="B640" s="47" t="n"/>
      <c r="C640" s="48" t="n"/>
      <c r="D640" s="48" t="n"/>
      <c r="E640" s="28">
        <f>IF($C640="","",IF($D640="",IF($C640="Interna","Sin guía (interna)","FALTA GUÍA"),IF(COUNTIFS(ENVIOS!$A$4:$A$3003,$D640)=0,"NO EXISTE",IF(COUNTIFS(ENVIOS!$A$4:$A$3003,$D640)&gt;1,"DUPLICADA","OK"))))</f>
        <v/>
      </c>
      <c r="F640" s="28">
        <f>IF($D640="","",IFERROR(INDEX(ENVIOS!$B$4:$B$3003,MATCH($D640,ENVIOS!$A$4:$A$3003,0)),"—"))</f>
        <v/>
      </c>
      <c r="G640" s="23">
        <f>IF($D640="","",IFERROR(INDEX(ENVIOS!$D$4:$D$3003,MATCH($D640,ENVIOS!$A$4:$A$3003,0)),"—"))</f>
        <v/>
      </c>
      <c r="H640" s="23">
        <f>IF($D640="","",IFERROR(INDEX(ENVIOS!$E$4:$E$3003,MATCH($D640,ENVIOS!$A$4:$A$3003,0)),"—"))</f>
        <v/>
      </c>
      <c r="I640" s="23">
        <f>IF($D640="","",IFERROR(INDEX(ENVIOS!$F$4:$F$3003,MATCH($D640,ENVIOS!$A$4:$A$3003,0)),"—"))</f>
        <v/>
      </c>
      <c r="J640" s="23">
        <f>IF($D640="","",IFERROR(INDEX(ENVIOS!$G$4:$G$3003,MATCH($D640,ENVIOS!$A$4:$A$3003,0)),"—"))</f>
        <v/>
      </c>
      <c r="K640" s="28">
        <f>IF($D640="","",IFERROR(INDEX(ENVIOS!$H$4:$H$3003,MATCH($D640,ENVIOS!$A$4:$A$3003,0)),"—"))</f>
        <v/>
      </c>
      <c r="L640" s="49">
        <f>IF($D640="","",IFERROR(INDEX(ENVIOS!$C$4:$C$3003,MATCH($D640,ENVIOS!$A$4:$A$3003,0)),""))</f>
        <v/>
      </c>
      <c r="M640" s="50" t="n"/>
      <c r="N640" s="28">
        <f>IF($M640="","",IFERROR(INDEX(CONFIG!$C$4:$C$63,MATCH($M640,CONFIG!$A$4:$A$63,0)),"Media"))</f>
        <v/>
      </c>
      <c r="O640" s="28">
        <f>IF($M640="","",IF($C640="Interna","NO",IFERROR(INDEX(CONFIG!$E$4:$E$63,MATCH($M640,CONFIG!$A$4:$A$63,0)),"NO")))</f>
        <v/>
      </c>
      <c r="P640" s="50" t="n"/>
      <c r="Q640" s="50" t="n"/>
      <c r="R640" s="28">
        <f>IF($Q640="","",IFERROR(INDEX(CONFIG!$H$4:$H$63,MATCH($Q640,CONFIG!$G$4:$G$63,0)),"Por definir"))</f>
        <v/>
      </c>
      <c r="S640" s="28">
        <f>IF($Q640="","",IFERROR(INDEX(CONFIG!$I$4:$I$63,MATCH($Q640,CONFIG!$G$4:$G$63,0)),"Por definir"))</f>
        <v/>
      </c>
      <c r="T640" s="51" t="n"/>
      <c r="U640" s="52" t="n"/>
      <c r="V640" s="50" t="n"/>
      <c r="W640" s="50" t="n"/>
      <c r="X640" s="49">
        <f>IF(OR($B640="",$M640=""),"",WORKDAY($B640,IFERROR(INDEX(CONFIG!$D$4:$D$63,MATCH($M640,CONFIG!$A$4:$A$63,0)),3)))</f>
        <v/>
      </c>
      <c r="Y640" s="47" t="n"/>
      <c r="Z640" s="24">
        <f>IF($B640="","",IF($Y640&lt;&gt;"",$Y640-$B640,TODAY()-$B640))</f>
        <v/>
      </c>
      <c r="AA640" s="28">
        <f>IF($B640="","",IF(IFERROR(INDEX(CONFIG!$L$4:$L$63,MATCH($V640,CONFIG!$K$4:$K$63,0)),"NO")="SÍ",IF(OR($Y640="",$X640=""),"Resuelta",IF($Y640&gt;$X640,"Resuelta tarde","Resuelta a tiempo")),IF($X640="","Sin clasificar",IF(TODAY()&gt;$X640,"Vencida",IF(TODAY()&gt;=$X640-1,"Por vencer","En plazo")))))</f>
        <v/>
      </c>
      <c r="AB640" s="50" t="n"/>
      <c r="AC640" s="50" t="n"/>
    </row>
    <row r="641" ht="16" customHeight="1">
      <c r="A641" s="28">
        <f>IF($B641="","","N-"&amp;TEXT(ROW()-3,"0000"))</f>
        <v/>
      </c>
      <c r="B641" s="47" t="n"/>
      <c r="C641" s="48" t="n"/>
      <c r="D641" s="48" t="n"/>
      <c r="E641" s="28">
        <f>IF($C641="","",IF($D641="",IF($C641="Interna","Sin guía (interna)","FALTA GUÍA"),IF(COUNTIFS(ENVIOS!$A$4:$A$3003,$D641)=0,"NO EXISTE",IF(COUNTIFS(ENVIOS!$A$4:$A$3003,$D641)&gt;1,"DUPLICADA","OK"))))</f>
        <v/>
      </c>
      <c r="F641" s="28">
        <f>IF($D641="","",IFERROR(INDEX(ENVIOS!$B$4:$B$3003,MATCH($D641,ENVIOS!$A$4:$A$3003,0)),"—"))</f>
        <v/>
      </c>
      <c r="G641" s="23">
        <f>IF($D641="","",IFERROR(INDEX(ENVIOS!$D$4:$D$3003,MATCH($D641,ENVIOS!$A$4:$A$3003,0)),"—"))</f>
        <v/>
      </c>
      <c r="H641" s="23">
        <f>IF($D641="","",IFERROR(INDEX(ENVIOS!$E$4:$E$3003,MATCH($D641,ENVIOS!$A$4:$A$3003,0)),"—"))</f>
        <v/>
      </c>
      <c r="I641" s="23">
        <f>IF($D641="","",IFERROR(INDEX(ENVIOS!$F$4:$F$3003,MATCH($D641,ENVIOS!$A$4:$A$3003,0)),"—"))</f>
        <v/>
      </c>
      <c r="J641" s="23">
        <f>IF($D641="","",IFERROR(INDEX(ENVIOS!$G$4:$G$3003,MATCH($D641,ENVIOS!$A$4:$A$3003,0)),"—"))</f>
        <v/>
      </c>
      <c r="K641" s="28">
        <f>IF($D641="","",IFERROR(INDEX(ENVIOS!$H$4:$H$3003,MATCH($D641,ENVIOS!$A$4:$A$3003,0)),"—"))</f>
        <v/>
      </c>
      <c r="L641" s="49">
        <f>IF($D641="","",IFERROR(INDEX(ENVIOS!$C$4:$C$3003,MATCH($D641,ENVIOS!$A$4:$A$3003,0)),""))</f>
        <v/>
      </c>
      <c r="M641" s="50" t="n"/>
      <c r="N641" s="28">
        <f>IF($M641="","",IFERROR(INDEX(CONFIG!$C$4:$C$63,MATCH($M641,CONFIG!$A$4:$A$63,0)),"Media"))</f>
        <v/>
      </c>
      <c r="O641" s="28">
        <f>IF($M641="","",IF($C641="Interna","NO",IFERROR(INDEX(CONFIG!$E$4:$E$63,MATCH($M641,CONFIG!$A$4:$A$63,0)),"NO")))</f>
        <v/>
      </c>
      <c r="P641" s="50" t="n"/>
      <c r="Q641" s="50" t="n"/>
      <c r="R641" s="28">
        <f>IF($Q641="","",IFERROR(INDEX(CONFIG!$H$4:$H$63,MATCH($Q641,CONFIG!$G$4:$G$63,0)),"Por definir"))</f>
        <v/>
      </c>
      <c r="S641" s="28">
        <f>IF($Q641="","",IFERROR(INDEX(CONFIG!$I$4:$I$63,MATCH($Q641,CONFIG!$G$4:$G$63,0)),"Por definir"))</f>
        <v/>
      </c>
      <c r="T641" s="51" t="n"/>
      <c r="U641" s="52" t="n"/>
      <c r="V641" s="50" t="n"/>
      <c r="W641" s="50" t="n"/>
      <c r="X641" s="49">
        <f>IF(OR($B641="",$M641=""),"",WORKDAY($B641,IFERROR(INDEX(CONFIG!$D$4:$D$63,MATCH($M641,CONFIG!$A$4:$A$63,0)),3)))</f>
        <v/>
      </c>
      <c r="Y641" s="47" t="n"/>
      <c r="Z641" s="24">
        <f>IF($B641="","",IF($Y641&lt;&gt;"",$Y641-$B641,TODAY()-$B641))</f>
        <v/>
      </c>
      <c r="AA641" s="28">
        <f>IF($B641="","",IF(IFERROR(INDEX(CONFIG!$L$4:$L$63,MATCH($V641,CONFIG!$K$4:$K$63,0)),"NO")="SÍ",IF(OR($Y641="",$X641=""),"Resuelta",IF($Y641&gt;$X641,"Resuelta tarde","Resuelta a tiempo")),IF($X641="","Sin clasificar",IF(TODAY()&gt;$X641,"Vencida",IF(TODAY()&gt;=$X641-1,"Por vencer","En plazo")))))</f>
        <v/>
      </c>
      <c r="AB641" s="50" t="n"/>
      <c r="AC641" s="50" t="n"/>
    </row>
    <row r="642" ht="16" customHeight="1">
      <c r="A642" s="28">
        <f>IF($B642="","","N-"&amp;TEXT(ROW()-3,"0000"))</f>
        <v/>
      </c>
      <c r="B642" s="47" t="n"/>
      <c r="C642" s="48" t="n"/>
      <c r="D642" s="48" t="n"/>
      <c r="E642" s="28">
        <f>IF($C642="","",IF($D642="",IF($C642="Interna","Sin guía (interna)","FALTA GUÍA"),IF(COUNTIFS(ENVIOS!$A$4:$A$3003,$D642)=0,"NO EXISTE",IF(COUNTIFS(ENVIOS!$A$4:$A$3003,$D642)&gt;1,"DUPLICADA","OK"))))</f>
        <v/>
      </c>
      <c r="F642" s="28">
        <f>IF($D642="","",IFERROR(INDEX(ENVIOS!$B$4:$B$3003,MATCH($D642,ENVIOS!$A$4:$A$3003,0)),"—"))</f>
        <v/>
      </c>
      <c r="G642" s="23">
        <f>IF($D642="","",IFERROR(INDEX(ENVIOS!$D$4:$D$3003,MATCH($D642,ENVIOS!$A$4:$A$3003,0)),"—"))</f>
        <v/>
      </c>
      <c r="H642" s="23">
        <f>IF($D642="","",IFERROR(INDEX(ENVIOS!$E$4:$E$3003,MATCH($D642,ENVIOS!$A$4:$A$3003,0)),"—"))</f>
        <v/>
      </c>
      <c r="I642" s="23">
        <f>IF($D642="","",IFERROR(INDEX(ENVIOS!$F$4:$F$3003,MATCH($D642,ENVIOS!$A$4:$A$3003,0)),"—"))</f>
        <v/>
      </c>
      <c r="J642" s="23">
        <f>IF($D642="","",IFERROR(INDEX(ENVIOS!$G$4:$G$3003,MATCH($D642,ENVIOS!$A$4:$A$3003,0)),"—"))</f>
        <v/>
      </c>
      <c r="K642" s="28">
        <f>IF($D642="","",IFERROR(INDEX(ENVIOS!$H$4:$H$3003,MATCH($D642,ENVIOS!$A$4:$A$3003,0)),"—"))</f>
        <v/>
      </c>
      <c r="L642" s="49">
        <f>IF($D642="","",IFERROR(INDEX(ENVIOS!$C$4:$C$3003,MATCH($D642,ENVIOS!$A$4:$A$3003,0)),""))</f>
        <v/>
      </c>
      <c r="M642" s="50" t="n"/>
      <c r="N642" s="28">
        <f>IF($M642="","",IFERROR(INDEX(CONFIG!$C$4:$C$63,MATCH($M642,CONFIG!$A$4:$A$63,0)),"Media"))</f>
        <v/>
      </c>
      <c r="O642" s="28">
        <f>IF($M642="","",IF($C642="Interna","NO",IFERROR(INDEX(CONFIG!$E$4:$E$63,MATCH($M642,CONFIG!$A$4:$A$63,0)),"NO")))</f>
        <v/>
      </c>
      <c r="P642" s="50" t="n"/>
      <c r="Q642" s="50" t="n"/>
      <c r="R642" s="28">
        <f>IF($Q642="","",IFERROR(INDEX(CONFIG!$H$4:$H$63,MATCH($Q642,CONFIG!$G$4:$G$63,0)),"Por definir"))</f>
        <v/>
      </c>
      <c r="S642" s="28">
        <f>IF($Q642="","",IFERROR(INDEX(CONFIG!$I$4:$I$63,MATCH($Q642,CONFIG!$G$4:$G$63,0)),"Por definir"))</f>
        <v/>
      </c>
      <c r="T642" s="51" t="n"/>
      <c r="U642" s="52" t="n"/>
      <c r="V642" s="50" t="n"/>
      <c r="W642" s="50" t="n"/>
      <c r="X642" s="49">
        <f>IF(OR($B642="",$M642=""),"",WORKDAY($B642,IFERROR(INDEX(CONFIG!$D$4:$D$63,MATCH($M642,CONFIG!$A$4:$A$63,0)),3)))</f>
        <v/>
      </c>
      <c r="Y642" s="47" t="n"/>
      <c r="Z642" s="24">
        <f>IF($B642="","",IF($Y642&lt;&gt;"",$Y642-$B642,TODAY()-$B642))</f>
        <v/>
      </c>
      <c r="AA642" s="28">
        <f>IF($B642="","",IF(IFERROR(INDEX(CONFIG!$L$4:$L$63,MATCH($V642,CONFIG!$K$4:$K$63,0)),"NO")="SÍ",IF(OR($Y642="",$X642=""),"Resuelta",IF($Y642&gt;$X642,"Resuelta tarde","Resuelta a tiempo")),IF($X642="","Sin clasificar",IF(TODAY()&gt;$X642,"Vencida",IF(TODAY()&gt;=$X642-1,"Por vencer","En plazo")))))</f>
        <v/>
      </c>
      <c r="AB642" s="50" t="n"/>
      <c r="AC642" s="50" t="n"/>
    </row>
    <row r="643" ht="16" customHeight="1">
      <c r="A643" s="28">
        <f>IF($B643="","","N-"&amp;TEXT(ROW()-3,"0000"))</f>
        <v/>
      </c>
      <c r="B643" s="47" t="n"/>
      <c r="C643" s="48" t="n"/>
      <c r="D643" s="48" t="n"/>
      <c r="E643" s="28">
        <f>IF($C643="","",IF($D643="",IF($C643="Interna","Sin guía (interna)","FALTA GUÍA"),IF(COUNTIFS(ENVIOS!$A$4:$A$3003,$D643)=0,"NO EXISTE",IF(COUNTIFS(ENVIOS!$A$4:$A$3003,$D643)&gt;1,"DUPLICADA","OK"))))</f>
        <v/>
      </c>
      <c r="F643" s="28">
        <f>IF($D643="","",IFERROR(INDEX(ENVIOS!$B$4:$B$3003,MATCH($D643,ENVIOS!$A$4:$A$3003,0)),"—"))</f>
        <v/>
      </c>
      <c r="G643" s="23">
        <f>IF($D643="","",IFERROR(INDEX(ENVIOS!$D$4:$D$3003,MATCH($D643,ENVIOS!$A$4:$A$3003,0)),"—"))</f>
        <v/>
      </c>
      <c r="H643" s="23">
        <f>IF($D643="","",IFERROR(INDEX(ENVIOS!$E$4:$E$3003,MATCH($D643,ENVIOS!$A$4:$A$3003,0)),"—"))</f>
        <v/>
      </c>
      <c r="I643" s="23">
        <f>IF($D643="","",IFERROR(INDEX(ENVIOS!$F$4:$F$3003,MATCH($D643,ENVIOS!$A$4:$A$3003,0)),"—"))</f>
        <v/>
      </c>
      <c r="J643" s="23">
        <f>IF($D643="","",IFERROR(INDEX(ENVIOS!$G$4:$G$3003,MATCH($D643,ENVIOS!$A$4:$A$3003,0)),"—"))</f>
        <v/>
      </c>
      <c r="K643" s="28">
        <f>IF($D643="","",IFERROR(INDEX(ENVIOS!$H$4:$H$3003,MATCH($D643,ENVIOS!$A$4:$A$3003,0)),"—"))</f>
        <v/>
      </c>
      <c r="L643" s="49">
        <f>IF($D643="","",IFERROR(INDEX(ENVIOS!$C$4:$C$3003,MATCH($D643,ENVIOS!$A$4:$A$3003,0)),""))</f>
        <v/>
      </c>
      <c r="M643" s="50" t="n"/>
      <c r="N643" s="28">
        <f>IF($M643="","",IFERROR(INDEX(CONFIG!$C$4:$C$63,MATCH($M643,CONFIG!$A$4:$A$63,0)),"Media"))</f>
        <v/>
      </c>
      <c r="O643" s="28">
        <f>IF($M643="","",IF($C643="Interna","NO",IFERROR(INDEX(CONFIG!$E$4:$E$63,MATCH($M643,CONFIG!$A$4:$A$63,0)),"NO")))</f>
        <v/>
      </c>
      <c r="P643" s="50" t="n"/>
      <c r="Q643" s="50" t="n"/>
      <c r="R643" s="28">
        <f>IF($Q643="","",IFERROR(INDEX(CONFIG!$H$4:$H$63,MATCH($Q643,CONFIG!$G$4:$G$63,0)),"Por definir"))</f>
        <v/>
      </c>
      <c r="S643" s="28">
        <f>IF($Q643="","",IFERROR(INDEX(CONFIG!$I$4:$I$63,MATCH($Q643,CONFIG!$G$4:$G$63,0)),"Por definir"))</f>
        <v/>
      </c>
      <c r="T643" s="51" t="n"/>
      <c r="U643" s="52" t="n"/>
      <c r="V643" s="50" t="n"/>
      <c r="W643" s="50" t="n"/>
      <c r="X643" s="49">
        <f>IF(OR($B643="",$M643=""),"",WORKDAY($B643,IFERROR(INDEX(CONFIG!$D$4:$D$63,MATCH($M643,CONFIG!$A$4:$A$63,0)),3)))</f>
        <v/>
      </c>
      <c r="Y643" s="47" t="n"/>
      <c r="Z643" s="24">
        <f>IF($B643="","",IF($Y643&lt;&gt;"",$Y643-$B643,TODAY()-$B643))</f>
        <v/>
      </c>
      <c r="AA643" s="28">
        <f>IF($B643="","",IF(IFERROR(INDEX(CONFIG!$L$4:$L$63,MATCH($V643,CONFIG!$K$4:$K$63,0)),"NO")="SÍ",IF(OR($Y643="",$X643=""),"Resuelta",IF($Y643&gt;$X643,"Resuelta tarde","Resuelta a tiempo")),IF($X643="","Sin clasificar",IF(TODAY()&gt;$X643,"Vencida",IF(TODAY()&gt;=$X643-1,"Por vencer","En plazo")))))</f>
        <v/>
      </c>
      <c r="AB643" s="50" t="n"/>
      <c r="AC643" s="50" t="n"/>
    </row>
    <row r="644" ht="16" customHeight="1">
      <c r="A644" s="28">
        <f>IF($B644="","","N-"&amp;TEXT(ROW()-3,"0000"))</f>
        <v/>
      </c>
      <c r="B644" s="47" t="n"/>
      <c r="C644" s="48" t="n"/>
      <c r="D644" s="48" t="n"/>
      <c r="E644" s="28">
        <f>IF($C644="","",IF($D644="",IF($C644="Interna","Sin guía (interna)","FALTA GUÍA"),IF(COUNTIFS(ENVIOS!$A$4:$A$3003,$D644)=0,"NO EXISTE",IF(COUNTIFS(ENVIOS!$A$4:$A$3003,$D644)&gt;1,"DUPLICADA","OK"))))</f>
        <v/>
      </c>
      <c r="F644" s="28">
        <f>IF($D644="","",IFERROR(INDEX(ENVIOS!$B$4:$B$3003,MATCH($D644,ENVIOS!$A$4:$A$3003,0)),"—"))</f>
        <v/>
      </c>
      <c r="G644" s="23">
        <f>IF($D644="","",IFERROR(INDEX(ENVIOS!$D$4:$D$3003,MATCH($D644,ENVIOS!$A$4:$A$3003,0)),"—"))</f>
        <v/>
      </c>
      <c r="H644" s="23">
        <f>IF($D644="","",IFERROR(INDEX(ENVIOS!$E$4:$E$3003,MATCH($D644,ENVIOS!$A$4:$A$3003,0)),"—"))</f>
        <v/>
      </c>
      <c r="I644" s="23">
        <f>IF($D644="","",IFERROR(INDEX(ENVIOS!$F$4:$F$3003,MATCH($D644,ENVIOS!$A$4:$A$3003,0)),"—"))</f>
        <v/>
      </c>
      <c r="J644" s="23">
        <f>IF($D644="","",IFERROR(INDEX(ENVIOS!$G$4:$G$3003,MATCH($D644,ENVIOS!$A$4:$A$3003,0)),"—"))</f>
        <v/>
      </c>
      <c r="K644" s="28">
        <f>IF($D644="","",IFERROR(INDEX(ENVIOS!$H$4:$H$3003,MATCH($D644,ENVIOS!$A$4:$A$3003,0)),"—"))</f>
        <v/>
      </c>
      <c r="L644" s="49">
        <f>IF($D644="","",IFERROR(INDEX(ENVIOS!$C$4:$C$3003,MATCH($D644,ENVIOS!$A$4:$A$3003,0)),""))</f>
        <v/>
      </c>
      <c r="M644" s="50" t="n"/>
      <c r="N644" s="28">
        <f>IF($M644="","",IFERROR(INDEX(CONFIG!$C$4:$C$63,MATCH($M644,CONFIG!$A$4:$A$63,0)),"Media"))</f>
        <v/>
      </c>
      <c r="O644" s="28">
        <f>IF($M644="","",IF($C644="Interna","NO",IFERROR(INDEX(CONFIG!$E$4:$E$63,MATCH($M644,CONFIG!$A$4:$A$63,0)),"NO")))</f>
        <v/>
      </c>
      <c r="P644" s="50" t="n"/>
      <c r="Q644" s="50" t="n"/>
      <c r="R644" s="28">
        <f>IF($Q644="","",IFERROR(INDEX(CONFIG!$H$4:$H$63,MATCH($Q644,CONFIG!$G$4:$G$63,0)),"Por definir"))</f>
        <v/>
      </c>
      <c r="S644" s="28">
        <f>IF($Q644="","",IFERROR(INDEX(CONFIG!$I$4:$I$63,MATCH($Q644,CONFIG!$G$4:$G$63,0)),"Por definir"))</f>
        <v/>
      </c>
      <c r="T644" s="51" t="n"/>
      <c r="U644" s="52" t="n"/>
      <c r="V644" s="50" t="n"/>
      <c r="W644" s="50" t="n"/>
      <c r="X644" s="49">
        <f>IF(OR($B644="",$M644=""),"",WORKDAY($B644,IFERROR(INDEX(CONFIG!$D$4:$D$63,MATCH($M644,CONFIG!$A$4:$A$63,0)),3)))</f>
        <v/>
      </c>
      <c r="Y644" s="47" t="n"/>
      <c r="Z644" s="24">
        <f>IF($B644="","",IF($Y644&lt;&gt;"",$Y644-$B644,TODAY()-$B644))</f>
        <v/>
      </c>
      <c r="AA644" s="28">
        <f>IF($B644="","",IF(IFERROR(INDEX(CONFIG!$L$4:$L$63,MATCH($V644,CONFIG!$K$4:$K$63,0)),"NO")="SÍ",IF(OR($Y644="",$X644=""),"Resuelta",IF($Y644&gt;$X644,"Resuelta tarde","Resuelta a tiempo")),IF($X644="","Sin clasificar",IF(TODAY()&gt;$X644,"Vencida",IF(TODAY()&gt;=$X644-1,"Por vencer","En plazo")))))</f>
        <v/>
      </c>
      <c r="AB644" s="50" t="n"/>
      <c r="AC644" s="50" t="n"/>
    </row>
    <row r="645" ht="16" customHeight="1">
      <c r="A645" s="28">
        <f>IF($B645="","","N-"&amp;TEXT(ROW()-3,"0000"))</f>
        <v/>
      </c>
      <c r="B645" s="47" t="n"/>
      <c r="C645" s="48" t="n"/>
      <c r="D645" s="48" t="n"/>
      <c r="E645" s="28">
        <f>IF($C645="","",IF($D645="",IF($C645="Interna","Sin guía (interna)","FALTA GUÍA"),IF(COUNTIFS(ENVIOS!$A$4:$A$3003,$D645)=0,"NO EXISTE",IF(COUNTIFS(ENVIOS!$A$4:$A$3003,$D645)&gt;1,"DUPLICADA","OK"))))</f>
        <v/>
      </c>
      <c r="F645" s="28">
        <f>IF($D645="","",IFERROR(INDEX(ENVIOS!$B$4:$B$3003,MATCH($D645,ENVIOS!$A$4:$A$3003,0)),"—"))</f>
        <v/>
      </c>
      <c r="G645" s="23">
        <f>IF($D645="","",IFERROR(INDEX(ENVIOS!$D$4:$D$3003,MATCH($D645,ENVIOS!$A$4:$A$3003,0)),"—"))</f>
        <v/>
      </c>
      <c r="H645" s="23">
        <f>IF($D645="","",IFERROR(INDEX(ENVIOS!$E$4:$E$3003,MATCH($D645,ENVIOS!$A$4:$A$3003,0)),"—"))</f>
        <v/>
      </c>
      <c r="I645" s="23">
        <f>IF($D645="","",IFERROR(INDEX(ENVIOS!$F$4:$F$3003,MATCH($D645,ENVIOS!$A$4:$A$3003,0)),"—"))</f>
        <v/>
      </c>
      <c r="J645" s="23">
        <f>IF($D645="","",IFERROR(INDEX(ENVIOS!$G$4:$G$3003,MATCH($D645,ENVIOS!$A$4:$A$3003,0)),"—"))</f>
        <v/>
      </c>
      <c r="K645" s="28">
        <f>IF($D645="","",IFERROR(INDEX(ENVIOS!$H$4:$H$3003,MATCH($D645,ENVIOS!$A$4:$A$3003,0)),"—"))</f>
        <v/>
      </c>
      <c r="L645" s="49">
        <f>IF($D645="","",IFERROR(INDEX(ENVIOS!$C$4:$C$3003,MATCH($D645,ENVIOS!$A$4:$A$3003,0)),""))</f>
        <v/>
      </c>
      <c r="M645" s="50" t="n"/>
      <c r="N645" s="28">
        <f>IF($M645="","",IFERROR(INDEX(CONFIG!$C$4:$C$63,MATCH($M645,CONFIG!$A$4:$A$63,0)),"Media"))</f>
        <v/>
      </c>
      <c r="O645" s="28">
        <f>IF($M645="","",IF($C645="Interna","NO",IFERROR(INDEX(CONFIG!$E$4:$E$63,MATCH($M645,CONFIG!$A$4:$A$63,0)),"NO")))</f>
        <v/>
      </c>
      <c r="P645" s="50" t="n"/>
      <c r="Q645" s="50" t="n"/>
      <c r="R645" s="28">
        <f>IF($Q645="","",IFERROR(INDEX(CONFIG!$H$4:$H$63,MATCH($Q645,CONFIG!$G$4:$G$63,0)),"Por definir"))</f>
        <v/>
      </c>
      <c r="S645" s="28">
        <f>IF($Q645="","",IFERROR(INDEX(CONFIG!$I$4:$I$63,MATCH($Q645,CONFIG!$G$4:$G$63,0)),"Por definir"))</f>
        <v/>
      </c>
      <c r="T645" s="51" t="n"/>
      <c r="U645" s="52" t="n"/>
      <c r="V645" s="50" t="n"/>
      <c r="W645" s="50" t="n"/>
      <c r="X645" s="49">
        <f>IF(OR($B645="",$M645=""),"",WORKDAY($B645,IFERROR(INDEX(CONFIG!$D$4:$D$63,MATCH($M645,CONFIG!$A$4:$A$63,0)),3)))</f>
        <v/>
      </c>
      <c r="Y645" s="47" t="n"/>
      <c r="Z645" s="24">
        <f>IF($B645="","",IF($Y645&lt;&gt;"",$Y645-$B645,TODAY()-$B645))</f>
        <v/>
      </c>
      <c r="AA645" s="28">
        <f>IF($B645="","",IF(IFERROR(INDEX(CONFIG!$L$4:$L$63,MATCH($V645,CONFIG!$K$4:$K$63,0)),"NO")="SÍ",IF(OR($Y645="",$X645=""),"Resuelta",IF($Y645&gt;$X645,"Resuelta tarde","Resuelta a tiempo")),IF($X645="","Sin clasificar",IF(TODAY()&gt;$X645,"Vencida",IF(TODAY()&gt;=$X645-1,"Por vencer","En plazo")))))</f>
        <v/>
      </c>
      <c r="AB645" s="50" t="n"/>
      <c r="AC645" s="50" t="n"/>
    </row>
    <row r="646" ht="16" customHeight="1">
      <c r="A646" s="28">
        <f>IF($B646="","","N-"&amp;TEXT(ROW()-3,"0000"))</f>
        <v/>
      </c>
      <c r="B646" s="47" t="n"/>
      <c r="C646" s="48" t="n"/>
      <c r="D646" s="48" t="n"/>
      <c r="E646" s="28">
        <f>IF($C646="","",IF($D646="",IF($C646="Interna","Sin guía (interna)","FALTA GUÍA"),IF(COUNTIFS(ENVIOS!$A$4:$A$3003,$D646)=0,"NO EXISTE",IF(COUNTIFS(ENVIOS!$A$4:$A$3003,$D646)&gt;1,"DUPLICADA","OK"))))</f>
        <v/>
      </c>
      <c r="F646" s="28">
        <f>IF($D646="","",IFERROR(INDEX(ENVIOS!$B$4:$B$3003,MATCH($D646,ENVIOS!$A$4:$A$3003,0)),"—"))</f>
        <v/>
      </c>
      <c r="G646" s="23">
        <f>IF($D646="","",IFERROR(INDEX(ENVIOS!$D$4:$D$3003,MATCH($D646,ENVIOS!$A$4:$A$3003,0)),"—"))</f>
        <v/>
      </c>
      <c r="H646" s="23">
        <f>IF($D646="","",IFERROR(INDEX(ENVIOS!$E$4:$E$3003,MATCH($D646,ENVIOS!$A$4:$A$3003,0)),"—"))</f>
        <v/>
      </c>
      <c r="I646" s="23">
        <f>IF($D646="","",IFERROR(INDEX(ENVIOS!$F$4:$F$3003,MATCH($D646,ENVIOS!$A$4:$A$3003,0)),"—"))</f>
        <v/>
      </c>
      <c r="J646" s="23">
        <f>IF($D646="","",IFERROR(INDEX(ENVIOS!$G$4:$G$3003,MATCH($D646,ENVIOS!$A$4:$A$3003,0)),"—"))</f>
        <v/>
      </c>
      <c r="K646" s="28">
        <f>IF($D646="","",IFERROR(INDEX(ENVIOS!$H$4:$H$3003,MATCH($D646,ENVIOS!$A$4:$A$3003,0)),"—"))</f>
        <v/>
      </c>
      <c r="L646" s="49">
        <f>IF($D646="","",IFERROR(INDEX(ENVIOS!$C$4:$C$3003,MATCH($D646,ENVIOS!$A$4:$A$3003,0)),""))</f>
        <v/>
      </c>
      <c r="M646" s="50" t="n"/>
      <c r="N646" s="28">
        <f>IF($M646="","",IFERROR(INDEX(CONFIG!$C$4:$C$63,MATCH($M646,CONFIG!$A$4:$A$63,0)),"Media"))</f>
        <v/>
      </c>
      <c r="O646" s="28">
        <f>IF($M646="","",IF($C646="Interna","NO",IFERROR(INDEX(CONFIG!$E$4:$E$63,MATCH($M646,CONFIG!$A$4:$A$63,0)),"NO")))</f>
        <v/>
      </c>
      <c r="P646" s="50" t="n"/>
      <c r="Q646" s="50" t="n"/>
      <c r="R646" s="28">
        <f>IF($Q646="","",IFERROR(INDEX(CONFIG!$H$4:$H$63,MATCH($Q646,CONFIG!$G$4:$G$63,0)),"Por definir"))</f>
        <v/>
      </c>
      <c r="S646" s="28">
        <f>IF($Q646="","",IFERROR(INDEX(CONFIG!$I$4:$I$63,MATCH($Q646,CONFIG!$G$4:$G$63,0)),"Por definir"))</f>
        <v/>
      </c>
      <c r="T646" s="51" t="n"/>
      <c r="U646" s="52" t="n"/>
      <c r="V646" s="50" t="n"/>
      <c r="W646" s="50" t="n"/>
      <c r="X646" s="49">
        <f>IF(OR($B646="",$M646=""),"",WORKDAY($B646,IFERROR(INDEX(CONFIG!$D$4:$D$63,MATCH($M646,CONFIG!$A$4:$A$63,0)),3)))</f>
        <v/>
      </c>
      <c r="Y646" s="47" t="n"/>
      <c r="Z646" s="24">
        <f>IF($B646="","",IF($Y646&lt;&gt;"",$Y646-$B646,TODAY()-$B646))</f>
        <v/>
      </c>
      <c r="AA646" s="28">
        <f>IF($B646="","",IF(IFERROR(INDEX(CONFIG!$L$4:$L$63,MATCH($V646,CONFIG!$K$4:$K$63,0)),"NO")="SÍ",IF(OR($Y646="",$X646=""),"Resuelta",IF($Y646&gt;$X646,"Resuelta tarde","Resuelta a tiempo")),IF($X646="","Sin clasificar",IF(TODAY()&gt;$X646,"Vencida",IF(TODAY()&gt;=$X646-1,"Por vencer","En plazo")))))</f>
        <v/>
      </c>
      <c r="AB646" s="50" t="n"/>
      <c r="AC646" s="50" t="n"/>
    </row>
    <row r="647" ht="16" customHeight="1">
      <c r="A647" s="28">
        <f>IF($B647="","","N-"&amp;TEXT(ROW()-3,"0000"))</f>
        <v/>
      </c>
      <c r="B647" s="47" t="n"/>
      <c r="C647" s="48" t="n"/>
      <c r="D647" s="48" t="n"/>
      <c r="E647" s="28">
        <f>IF($C647="","",IF($D647="",IF($C647="Interna","Sin guía (interna)","FALTA GUÍA"),IF(COUNTIFS(ENVIOS!$A$4:$A$3003,$D647)=0,"NO EXISTE",IF(COUNTIFS(ENVIOS!$A$4:$A$3003,$D647)&gt;1,"DUPLICADA","OK"))))</f>
        <v/>
      </c>
      <c r="F647" s="28">
        <f>IF($D647="","",IFERROR(INDEX(ENVIOS!$B$4:$B$3003,MATCH($D647,ENVIOS!$A$4:$A$3003,0)),"—"))</f>
        <v/>
      </c>
      <c r="G647" s="23">
        <f>IF($D647="","",IFERROR(INDEX(ENVIOS!$D$4:$D$3003,MATCH($D647,ENVIOS!$A$4:$A$3003,0)),"—"))</f>
        <v/>
      </c>
      <c r="H647" s="23">
        <f>IF($D647="","",IFERROR(INDEX(ENVIOS!$E$4:$E$3003,MATCH($D647,ENVIOS!$A$4:$A$3003,0)),"—"))</f>
        <v/>
      </c>
      <c r="I647" s="23">
        <f>IF($D647="","",IFERROR(INDEX(ENVIOS!$F$4:$F$3003,MATCH($D647,ENVIOS!$A$4:$A$3003,0)),"—"))</f>
        <v/>
      </c>
      <c r="J647" s="23">
        <f>IF($D647="","",IFERROR(INDEX(ENVIOS!$G$4:$G$3003,MATCH($D647,ENVIOS!$A$4:$A$3003,0)),"—"))</f>
        <v/>
      </c>
      <c r="K647" s="28">
        <f>IF($D647="","",IFERROR(INDEX(ENVIOS!$H$4:$H$3003,MATCH($D647,ENVIOS!$A$4:$A$3003,0)),"—"))</f>
        <v/>
      </c>
      <c r="L647" s="49">
        <f>IF($D647="","",IFERROR(INDEX(ENVIOS!$C$4:$C$3003,MATCH($D647,ENVIOS!$A$4:$A$3003,0)),""))</f>
        <v/>
      </c>
      <c r="M647" s="50" t="n"/>
      <c r="N647" s="28">
        <f>IF($M647="","",IFERROR(INDEX(CONFIG!$C$4:$C$63,MATCH($M647,CONFIG!$A$4:$A$63,0)),"Media"))</f>
        <v/>
      </c>
      <c r="O647" s="28">
        <f>IF($M647="","",IF($C647="Interna","NO",IFERROR(INDEX(CONFIG!$E$4:$E$63,MATCH($M647,CONFIG!$A$4:$A$63,0)),"NO")))</f>
        <v/>
      </c>
      <c r="P647" s="50" t="n"/>
      <c r="Q647" s="50" t="n"/>
      <c r="R647" s="28">
        <f>IF($Q647="","",IFERROR(INDEX(CONFIG!$H$4:$H$63,MATCH($Q647,CONFIG!$G$4:$G$63,0)),"Por definir"))</f>
        <v/>
      </c>
      <c r="S647" s="28">
        <f>IF($Q647="","",IFERROR(INDEX(CONFIG!$I$4:$I$63,MATCH($Q647,CONFIG!$G$4:$G$63,0)),"Por definir"))</f>
        <v/>
      </c>
      <c r="T647" s="51" t="n"/>
      <c r="U647" s="52" t="n"/>
      <c r="V647" s="50" t="n"/>
      <c r="W647" s="50" t="n"/>
      <c r="X647" s="49">
        <f>IF(OR($B647="",$M647=""),"",WORKDAY($B647,IFERROR(INDEX(CONFIG!$D$4:$D$63,MATCH($M647,CONFIG!$A$4:$A$63,0)),3)))</f>
        <v/>
      </c>
      <c r="Y647" s="47" t="n"/>
      <c r="Z647" s="24">
        <f>IF($B647="","",IF($Y647&lt;&gt;"",$Y647-$B647,TODAY()-$B647))</f>
        <v/>
      </c>
      <c r="AA647" s="28">
        <f>IF($B647="","",IF(IFERROR(INDEX(CONFIG!$L$4:$L$63,MATCH($V647,CONFIG!$K$4:$K$63,0)),"NO")="SÍ",IF(OR($Y647="",$X647=""),"Resuelta",IF($Y647&gt;$X647,"Resuelta tarde","Resuelta a tiempo")),IF($X647="","Sin clasificar",IF(TODAY()&gt;$X647,"Vencida",IF(TODAY()&gt;=$X647-1,"Por vencer","En plazo")))))</f>
        <v/>
      </c>
      <c r="AB647" s="50" t="n"/>
      <c r="AC647" s="50" t="n"/>
    </row>
    <row r="648" ht="16" customHeight="1">
      <c r="A648" s="28">
        <f>IF($B648="","","N-"&amp;TEXT(ROW()-3,"0000"))</f>
        <v/>
      </c>
      <c r="B648" s="47" t="n"/>
      <c r="C648" s="48" t="n"/>
      <c r="D648" s="48" t="n"/>
      <c r="E648" s="28">
        <f>IF($C648="","",IF($D648="",IF($C648="Interna","Sin guía (interna)","FALTA GUÍA"),IF(COUNTIFS(ENVIOS!$A$4:$A$3003,$D648)=0,"NO EXISTE",IF(COUNTIFS(ENVIOS!$A$4:$A$3003,$D648)&gt;1,"DUPLICADA","OK"))))</f>
        <v/>
      </c>
      <c r="F648" s="28">
        <f>IF($D648="","",IFERROR(INDEX(ENVIOS!$B$4:$B$3003,MATCH($D648,ENVIOS!$A$4:$A$3003,0)),"—"))</f>
        <v/>
      </c>
      <c r="G648" s="23">
        <f>IF($D648="","",IFERROR(INDEX(ENVIOS!$D$4:$D$3003,MATCH($D648,ENVIOS!$A$4:$A$3003,0)),"—"))</f>
        <v/>
      </c>
      <c r="H648" s="23">
        <f>IF($D648="","",IFERROR(INDEX(ENVIOS!$E$4:$E$3003,MATCH($D648,ENVIOS!$A$4:$A$3003,0)),"—"))</f>
        <v/>
      </c>
      <c r="I648" s="23">
        <f>IF($D648="","",IFERROR(INDEX(ENVIOS!$F$4:$F$3003,MATCH($D648,ENVIOS!$A$4:$A$3003,0)),"—"))</f>
        <v/>
      </c>
      <c r="J648" s="23">
        <f>IF($D648="","",IFERROR(INDEX(ENVIOS!$G$4:$G$3003,MATCH($D648,ENVIOS!$A$4:$A$3003,0)),"—"))</f>
        <v/>
      </c>
      <c r="K648" s="28">
        <f>IF($D648="","",IFERROR(INDEX(ENVIOS!$H$4:$H$3003,MATCH($D648,ENVIOS!$A$4:$A$3003,0)),"—"))</f>
        <v/>
      </c>
      <c r="L648" s="49">
        <f>IF($D648="","",IFERROR(INDEX(ENVIOS!$C$4:$C$3003,MATCH($D648,ENVIOS!$A$4:$A$3003,0)),""))</f>
        <v/>
      </c>
      <c r="M648" s="50" t="n"/>
      <c r="N648" s="28">
        <f>IF($M648="","",IFERROR(INDEX(CONFIG!$C$4:$C$63,MATCH($M648,CONFIG!$A$4:$A$63,0)),"Media"))</f>
        <v/>
      </c>
      <c r="O648" s="28">
        <f>IF($M648="","",IF($C648="Interna","NO",IFERROR(INDEX(CONFIG!$E$4:$E$63,MATCH($M648,CONFIG!$A$4:$A$63,0)),"NO")))</f>
        <v/>
      </c>
      <c r="P648" s="50" t="n"/>
      <c r="Q648" s="50" t="n"/>
      <c r="R648" s="28">
        <f>IF($Q648="","",IFERROR(INDEX(CONFIG!$H$4:$H$63,MATCH($Q648,CONFIG!$G$4:$G$63,0)),"Por definir"))</f>
        <v/>
      </c>
      <c r="S648" s="28">
        <f>IF($Q648="","",IFERROR(INDEX(CONFIG!$I$4:$I$63,MATCH($Q648,CONFIG!$G$4:$G$63,0)),"Por definir"))</f>
        <v/>
      </c>
      <c r="T648" s="51" t="n"/>
      <c r="U648" s="52" t="n"/>
      <c r="V648" s="50" t="n"/>
      <c r="W648" s="50" t="n"/>
      <c r="X648" s="49">
        <f>IF(OR($B648="",$M648=""),"",WORKDAY($B648,IFERROR(INDEX(CONFIG!$D$4:$D$63,MATCH($M648,CONFIG!$A$4:$A$63,0)),3)))</f>
        <v/>
      </c>
      <c r="Y648" s="47" t="n"/>
      <c r="Z648" s="24">
        <f>IF($B648="","",IF($Y648&lt;&gt;"",$Y648-$B648,TODAY()-$B648))</f>
        <v/>
      </c>
      <c r="AA648" s="28">
        <f>IF($B648="","",IF(IFERROR(INDEX(CONFIG!$L$4:$L$63,MATCH($V648,CONFIG!$K$4:$K$63,0)),"NO")="SÍ",IF(OR($Y648="",$X648=""),"Resuelta",IF($Y648&gt;$X648,"Resuelta tarde","Resuelta a tiempo")),IF($X648="","Sin clasificar",IF(TODAY()&gt;$X648,"Vencida",IF(TODAY()&gt;=$X648-1,"Por vencer","En plazo")))))</f>
        <v/>
      </c>
      <c r="AB648" s="50" t="n"/>
      <c r="AC648" s="50" t="n"/>
    </row>
    <row r="649" ht="16" customHeight="1">
      <c r="A649" s="28">
        <f>IF($B649="","","N-"&amp;TEXT(ROW()-3,"0000"))</f>
        <v/>
      </c>
      <c r="B649" s="47" t="n"/>
      <c r="C649" s="48" t="n"/>
      <c r="D649" s="48" t="n"/>
      <c r="E649" s="28">
        <f>IF($C649="","",IF($D649="",IF($C649="Interna","Sin guía (interna)","FALTA GUÍA"),IF(COUNTIFS(ENVIOS!$A$4:$A$3003,$D649)=0,"NO EXISTE",IF(COUNTIFS(ENVIOS!$A$4:$A$3003,$D649)&gt;1,"DUPLICADA","OK"))))</f>
        <v/>
      </c>
      <c r="F649" s="28">
        <f>IF($D649="","",IFERROR(INDEX(ENVIOS!$B$4:$B$3003,MATCH($D649,ENVIOS!$A$4:$A$3003,0)),"—"))</f>
        <v/>
      </c>
      <c r="G649" s="23">
        <f>IF($D649="","",IFERROR(INDEX(ENVIOS!$D$4:$D$3003,MATCH($D649,ENVIOS!$A$4:$A$3003,0)),"—"))</f>
        <v/>
      </c>
      <c r="H649" s="23">
        <f>IF($D649="","",IFERROR(INDEX(ENVIOS!$E$4:$E$3003,MATCH($D649,ENVIOS!$A$4:$A$3003,0)),"—"))</f>
        <v/>
      </c>
      <c r="I649" s="23">
        <f>IF($D649="","",IFERROR(INDEX(ENVIOS!$F$4:$F$3003,MATCH($D649,ENVIOS!$A$4:$A$3003,0)),"—"))</f>
        <v/>
      </c>
      <c r="J649" s="23">
        <f>IF($D649="","",IFERROR(INDEX(ENVIOS!$G$4:$G$3003,MATCH($D649,ENVIOS!$A$4:$A$3003,0)),"—"))</f>
        <v/>
      </c>
      <c r="K649" s="28">
        <f>IF($D649="","",IFERROR(INDEX(ENVIOS!$H$4:$H$3003,MATCH($D649,ENVIOS!$A$4:$A$3003,0)),"—"))</f>
        <v/>
      </c>
      <c r="L649" s="49">
        <f>IF($D649="","",IFERROR(INDEX(ENVIOS!$C$4:$C$3003,MATCH($D649,ENVIOS!$A$4:$A$3003,0)),""))</f>
        <v/>
      </c>
      <c r="M649" s="50" t="n"/>
      <c r="N649" s="28">
        <f>IF($M649="","",IFERROR(INDEX(CONFIG!$C$4:$C$63,MATCH($M649,CONFIG!$A$4:$A$63,0)),"Media"))</f>
        <v/>
      </c>
      <c r="O649" s="28">
        <f>IF($M649="","",IF($C649="Interna","NO",IFERROR(INDEX(CONFIG!$E$4:$E$63,MATCH($M649,CONFIG!$A$4:$A$63,0)),"NO")))</f>
        <v/>
      </c>
      <c r="P649" s="50" t="n"/>
      <c r="Q649" s="50" t="n"/>
      <c r="R649" s="28">
        <f>IF($Q649="","",IFERROR(INDEX(CONFIG!$H$4:$H$63,MATCH($Q649,CONFIG!$G$4:$G$63,0)),"Por definir"))</f>
        <v/>
      </c>
      <c r="S649" s="28">
        <f>IF($Q649="","",IFERROR(INDEX(CONFIG!$I$4:$I$63,MATCH($Q649,CONFIG!$G$4:$G$63,0)),"Por definir"))</f>
        <v/>
      </c>
      <c r="T649" s="51" t="n"/>
      <c r="U649" s="52" t="n"/>
      <c r="V649" s="50" t="n"/>
      <c r="W649" s="50" t="n"/>
      <c r="X649" s="49">
        <f>IF(OR($B649="",$M649=""),"",WORKDAY($B649,IFERROR(INDEX(CONFIG!$D$4:$D$63,MATCH($M649,CONFIG!$A$4:$A$63,0)),3)))</f>
        <v/>
      </c>
      <c r="Y649" s="47" t="n"/>
      <c r="Z649" s="24">
        <f>IF($B649="","",IF($Y649&lt;&gt;"",$Y649-$B649,TODAY()-$B649))</f>
        <v/>
      </c>
      <c r="AA649" s="28">
        <f>IF($B649="","",IF(IFERROR(INDEX(CONFIG!$L$4:$L$63,MATCH($V649,CONFIG!$K$4:$K$63,0)),"NO")="SÍ",IF(OR($Y649="",$X649=""),"Resuelta",IF($Y649&gt;$X649,"Resuelta tarde","Resuelta a tiempo")),IF($X649="","Sin clasificar",IF(TODAY()&gt;$X649,"Vencida",IF(TODAY()&gt;=$X649-1,"Por vencer","En plazo")))))</f>
        <v/>
      </c>
      <c r="AB649" s="50" t="n"/>
      <c r="AC649" s="50" t="n"/>
    </row>
    <row r="650" ht="16" customHeight="1">
      <c r="A650" s="28">
        <f>IF($B650="","","N-"&amp;TEXT(ROW()-3,"0000"))</f>
        <v/>
      </c>
      <c r="B650" s="47" t="n"/>
      <c r="C650" s="48" t="n"/>
      <c r="D650" s="48" t="n"/>
      <c r="E650" s="28">
        <f>IF($C650="","",IF($D650="",IF($C650="Interna","Sin guía (interna)","FALTA GUÍA"),IF(COUNTIFS(ENVIOS!$A$4:$A$3003,$D650)=0,"NO EXISTE",IF(COUNTIFS(ENVIOS!$A$4:$A$3003,$D650)&gt;1,"DUPLICADA","OK"))))</f>
        <v/>
      </c>
      <c r="F650" s="28">
        <f>IF($D650="","",IFERROR(INDEX(ENVIOS!$B$4:$B$3003,MATCH($D650,ENVIOS!$A$4:$A$3003,0)),"—"))</f>
        <v/>
      </c>
      <c r="G650" s="23">
        <f>IF($D650="","",IFERROR(INDEX(ENVIOS!$D$4:$D$3003,MATCH($D650,ENVIOS!$A$4:$A$3003,0)),"—"))</f>
        <v/>
      </c>
      <c r="H650" s="23">
        <f>IF($D650="","",IFERROR(INDEX(ENVIOS!$E$4:$E$3003,MATCH($D650,ENVIOS!$A$4:$A$3003,0)),"—"))</f>
        <v/>
      </c>
      <c r="I650" s="23">
        <f>IF($D650="","",IFERROR(INDEX(ENVIOS!$F$4:$F$3003,MATCH($D650,ENVIOS!$A$4:$A$3003,0)),"—"))</f>
        <v/>
      </c>
      <c r="J650" s="23">
        <f>IF($D650="","",IFERROR(INDEX(ENVIOS!$G$4:$G$3003,MATCH($D650,ENVIOS!$A$4:$A$3003,0)),"—"))</f>
        <v/>
      </c>
      <c r="K650" s="28">
        <f>IF($D650="","",IFERROR(INDEX(ENVIOS!$H$4:$H$3003,MATCH($D650,ENVIOS!$A$4:$A$3003,0)),"—"))</f>
        <v/>
      </c>
      <c r="L650" s="49">
        <f>IF($D650="","",IFERROR(INDEX(ENVIOS!$C$4:$C$3003,MATCH($D650,ENVIOS!$A$4:$A$3003,0)),""))</f>
        <v/>
      </c>
      <c r="M650" s="50" t="n"/>
      <c r="N650" s="28">
        <f>IF($M650="","",IFERROR(INDEX(CONFIG!$C$4:$C$63,MATCH($M650,CONFIG!$A$4:$A$63,0)),"Media"))</f>
        <v/>
      </c>
      <c r="O650" s="28">
        <f>IF($M650="","",IF($C650="Interna","NO",IFERROR(INDEX(CONFIG!$E$4:$E$63,MATCH($M650,CONFIG!$A$4:$A$63,0)),"NO")))</f>
        <v/>
      </c>
      <c r="P650" s="50" t="n"/>
      <c r="Q650" s="50" t="n"/>
      <c r="R650" s="28">
        <f>IF($Q650="","",IFERROR(INDEX(CONFIG!$H$4:$H$63,MATCH($Q650,CONFIG!$G$4:$G$63,0)),"Por definir"))</f>
        <v/>
      </c>
      <c r="S650" s="28">
        <f>IF($Q650="","",IFERROR(INDEX(CONFIG!$I$4:$I$63,MATCH($Q650,CONFIG!$G$4:$G$63,0)),"Por definir"))</f>
        <v/>
      </c>
      <c r="T650" s="51" t="n"/>
      <c r="U650" s="52" t="n"/>
      <c r="V650" s="50" t="n"/>
      <c r="W650" s="50" t="n"/>
      <c r="X650" s="49">
        <f>IF(OR($B650="",$M650=""),"",WORKDAY($B650,IFERROR(INDEX(CONFIG!$D$4:$D$63,MATCH($M650,CONFIG!$A$4:$A$63,0)),3)))</f>
        <v/>
      </c>
      <c r="Y650" s="47" t="n"/>
      <c r="Z650" s="24">
        <f>IF($B650="","",IF($Y650&lt;&gt;"",$Y650-$B650,TODAY()-$B650))</f>
        <v/>
      </c>
      <c r="AA650" s="28">
        <f>IF($B650="","",IF(IFERROR(INDEX(CONFIG!$L$4:$L$63,MATCH($V650,CONFIG!$K$4:$K$63,0)),"NO")="SÍ",IF(OR($Y650="",$X650=""),"Resuelta",IF($Y650&gt;$X650,"Resuelta tarde","Resuelta a tiempo")),IF($X650="","Sin clasificar",IF(TODAY()&gt;$X650,"Vencida",IF(TODAY()&gt;=$X650-1,"Por vencer","En plazo")))))</f>
        <v/>
      </c>
      <c r="AB650" s="50" t="n"/>
      <c r="AC650" s="50" t="n"/>
    </row>
    <row r="651" ht="16" customHeight="1">
      <c r="A651" s="28">
        <f>IF($B651="","","N-"&amp;TEXT(ROW()-3,"0000"))</f>
        <v/>
      </c>
      <c r="B651" s="47" t="n"/>
      <c r="C651" s="48" t="n"/>
      <c r="D651" s="48" t="n"/>
      <c r="E651" s="28">
        <f>IF($C651="","",IF($D651="",IF($C651="Interna","Sin guía (interna)","FALTA GUÍA"),IF(COUNTIFS(ENVIOS!$A$4:$A$3003,$D651)=0,"NO EXISTE",IF(COUNTIFS(ENVIOS!$A$4:$A$3003,$D651)&gt;1,"DUPLICADA","OK"))))</f>
        <v/>
      </c>
      <c r="F651" s="28">
        <f>IF($D651="","",IFERROR(INDEX(ENVIOS!$B$4:$B$3003,MATCH($D651,ENVIOS!$A$4:$A$3003,0)),"—"))</f>
        <v/>
      </c>
      <c r="G651" s="23">
        <f>IF($D651="","",IFERROR(INDEX(ENVIOS!$D$4:$D$3003,MATCH($D651,ENVIOS!$A$4:$A$3003,0)),"—"))</f>
        <v/>
      </c>
      <c r="H651" s="23">
        <f>IF($D651="","",IFERROR(INDEX(ENVIOS!$E$4:$E$3003,MATCH($D651,ENVIOS!$A$4:$A$3003,0)),"—"))</f>
        <v/>
      </c>
      <c r="I651" s="23">
        <f>IF($D651="","",IFERROR(INDEX(ENVIOS!$F$4:$F$3003,MATCH($D651,ENVIOS!$A$4:$A$3003,0)),"—"))</f>
        <v/>
      </c>
      <c r="J651" s="23">
        <f>IF($D651="","",IFERROR(INDEX(ENVIOS!$G$4:$G$3003,MATCH($D651,ENVIOS!$A$4:$A$3003,0)),"—"))</f>
        <v/>
      </c>
      <c r="K651" s="28">
        <f>IF($D651="","",IFERROR(INDEX(ENVIOS!$H$4:$H$3003,MATCH($D651,ENVIOS!$A$4:$A$3003,0)),"—"))</f>
        <v/>
      </c>
      <c r="L651" s="49">
        <f>IF($D651="","",IFERROR(INDEX(ENVIOS!$C$4:$C$3003,MATCH($D651,ENVIOS!$A$4:$A$3003,0)),""))</f>
        <v/>
      </c>
      <c r="M651" s="50" t="n"/>
      <c r="N651" s="28">
        <f>IF($M651="","",IFERROR(INDEX(CONFIG!$C$4:$C$63,MATCH($M651,CONFIG!$A$4:$A$63,0)),"Media"))</f>
        <v/>
      </c>
      <c r="O651" s="28">
        <f>IF($M651="","",IF($C651="Interna","NO",IFERROR(INDEX(CONFIG!$E$4:$E$63,MATCH($M651,CONFIG!$A$4:$A$63,0)),"NO")))</f>
        <v/>
      </c>
      <c r="P651" s="50" t="n"/>
      <c r="Q651" s="50" t="n"/>
      <c r="R651" s="28">
        <f>IF($Q651="","",IFERROR(INDEX(CONFIG!$H$4:$H$63,MATCH($Q651,CONFIG!$G$4:$G$63,0)),"Por definir"))</f>
        <v/>
      </c>
      <c r="S651" s="28">
        <f>IF($Q651="","",IFERROR(INDEX(CONFIG!$I$4:$I$63,MATCH($Q651,CONFIG!$G$4:$G$63,0)),"Por definir"))</f>
        <v/>
      </c>
      <c r="T651" s="51" t="n"/>
      <c r="U651" s="52" t="n"/>
      <c r="V651" s="50" t="n"/>
      <c r="W651" s="50" t="n"/>
      <c r="X651" s="49">
        <f>IF(OR($B651="",$M651=""),"",WORKDAY($B651,IFERROR(INDEX(CONFIG!$D$4:$D$63,MATCH($M651,CONFIG!$A$4:$A$63,0)),3)))</f>
        <v/>
      </c>
      <c r="Y651" s="47" t="n"/>
      <c r="Z651" s="24">
        <f>IF($B651="","",IF($Y651&lt;&gt;"",$Y651-$B651,TODAY()-$B651))</f>
        <v/>
      </c>
      <c r="AA651" s="28">
        <f>IF($B651="","",IF(IFERROR(INDEX(CONFIG!$L$4:$L$63,MATCH($V651,CONFIG!$K$4:$K$63,0)),"NO")="SÍ",IF(OR($Y651="",$X651=""),"Resuelta",IF($Y651&gt;$X651,"Resuelta tarde","Resuelta a tiempo")),IF($X651="","Sin clasificar",IF(TODAY()&gt;$X651,"Vencida",IF(TODAY()&gt;=$X651-1,"Por vencer","En plazo")))))</f>
        <v/>
      </c>
      <c r="AB651" s="50" t="n"/>
      <c r="AC651" s="50" t="n"/>
    </row>
    <row r="652" ht="16" customHeight="1">
      <c r="A652" s="28">
        <f>IF($B652="","","N-"&amp;TEXT(ROW()-3,"0000"))</f>
        <v/>
      </c>
      <c r="B652" s="47" t="n"/>
      <c r="C652" s="48" t="n"/>
      <c r="D652" s="48" t="n"/>
      <c r="E652" s="28">
        <f>IF($C652="","",IF($D652="",IF($C652="Interna","Sin guía (interna)","FALTA GUÍA"),IF(COUNTIFS(ENVIOS!$A$4:$A$3003,$D652)=0,"NO EXISTE",IF(COUNTIFS(ENVIOS!$A$4:$A$3003,$D652)&gt;1,"DUPLICADA","OK"))))</f>
        <v/>
      </c>
      <c r="F652" s="28">
        <f>IF($D652="","",IFERROR(INDEX(ENVIOS!$B$4:$B$3003,MATCH($D652,ENVIOS!$A$4:$A$3003,0)),"—"))</f>
        <v/>
      </c>
      <c r="G652" s="23">
        <f>IF($D652="","",IFERROR(INDEX(ENVIOS!$D$4:$D$3003,MATCH($D652,ENVIOS!$A$4:$A$3003,0)),"—"))</f>
        <v/>
      </c>
      <c r="H652" s="23">
        <f>IF($D652="","",IFERROR(INDEX(ENVIOS!$E$4:$E$3003,MATCH($D652,ENVIOS!$A$4:$A$3003,0)),"—"))</f>
        <v/>
      </c>
      <c r="I652" s="23">
        <f>IF($D652="","",IFERROR(INDEX(ENVIOS!$F$4:$F$3003,MATCH($D652,ENVIOS!$A$4:$A$3003,0)),"—"))</f>
        <v/>
      </c>
      <c r="J652" s="23">
        <f>IF($D652="","",IFERROR(INDEX(ENVIOS!$G$4:$G$3003,MATCH($D652,ENVIOS!$A$4:$A$3003,0)),"—"))</f>
        <v/>
      </c>
      <c r="K652" s="28">
        <f>IF($D652="","",IFERROR(INDEX(ENVIOS!$H$4:$H$3003,MATCH($D652,ENVIOS!$A$4:$A$3003,0)),"—"))</f>
        <v/>
      </c>
      <c r="L652" s="49">
        <f>IF($D652="","",IFERROR(INDEX(ENVIOS!$C$4:$C$3003,MATCH($D652,ENVIOS!$A$4:$A$3003,0)),""))</f>
        <v/>
      </c>
      <c r="M652" s="50" t="n"/>
      <c r="N652" s="28">
        <f>IF($M652="","",IFERROR(INDEX(CONFIG!$C$4:$C$63,MATCH($M652,CONFIG!$A$4:$A$63,0)),"Media"))</f>
        <v/>
      </c>
      <c r="O652" s="28">
        <f>IF($M652="","",IF($C652="Interna","NO",IFERROR(INDEX(CONFIG!$E$4:$E$63,MATCH($M652,CONFIG!$A$4:$A$63,0)),"NO")))</f>
        <v/>
      </c>
      <c r="P652" s="50" t="n"/>
      <c r="Q652" s="50" t="n"/>
      <c r="R652" s="28">
        <f>IF($Q652="","",IFERROR(INDEX(CONFIG!$H$4:$H$63,MATCH($Q652,CONFIG!$G$4:$G$63,0)),"Por definir"))</f>
        <v/>
      </c>
      <c r="S652" s="28">
        <f>IF($Q652="","",IFERROR(INDEX(CONFIG!$I$4:$I$63,MATCH($Q652,CONFIG!$G$4:$G$63,0)),"Por definir"))</f>
        <v/>
      </c>
      <c r="T652" s="51" t="n"/>
      <c r="U652" s="52" t="n"/>
      <c r="V652" s="50" t="n"/>
      <c r="W652" s="50" t="n"/>
      <c r="X652" s="49">
        <f>IF(OR($B652="",$M652=""),"",WORKDAY($B652,IFERROR(INDEX(CONFIG!$D$4:$D$63,MATCH($M652,CONFIG!$A$4:$A$63,0)),3)))</f>
        <v/>
      </c>
      <c r="Y652" s="47" t="n"/>
      <c r="Z652" s="24">
        <f>IF($B652="","",IF($Y652&lt;&gt;"",$Y652-$B652,TODAY()-$B652))</f>
        <v/>
      </c>
      <c r="AA652" s="28">
        <f>IF($B652="","",IF(IFERROR(INDEX(CONFIG!$L$4:$L$63,MATCH($V652,CONFIG!$K$4:$K$63,0)),"NO")="SÍ",IF(OR($Y652="",$X652=""),"Resuelta",IF($Y652&gt;$X652,"Resuelta tarde","Resuelta a tiempo")),IF($X652="","Sin clasificar",IF(TODAY()&gt;$X652,"Vencida",IF(TODAY()&gt;=$X652-1,"Por vencer","En plazo")))))</f>
        <v/>
      </c>
      <c r="AB652" s="50" t="n"/>
      <c r="AC652" s="50" t="n"/>
    </row>
    <row r="653" ht="16" customHeight="1">
      <c r="A653" s="28">
        <f>IF($B653="","","N-"&amp;TEXT(ROW()-3,"0000"))</f>
        <v/>
      </c>
      <c r="B653" s="47" t="n"/>
      <c r="C653" s="48" t="n"/>
      <c r="D653" s="48" t="n"/>
      <c r="E653" s="28">
        <f>IF($C653="","",IF($D653="",IF($C653="Interna","Sin guía (interna)","FALTA GUÍA"),IF(COUNTIFS(ENVIOS!$A$4:$A$3003,$D653)=0,"NO EXISTE",IF(COUNTIFS(ENVIOS!$A$4:$A$3003,$D653)&gt;1,"DUPLICADA","OK"))))</f>
        <v/>
      </c>
      <c r="F653" s="28">
        <f>IF($D653="","",IFERROR(INDEX(ENVIOS!$B$4:$B$3003,MATCH($D653,ENVIOS!$A$4:$A$3003,0)),"—"))</f>
        <v/>
      </c>
      <c r="G653" s="23">
        <f>IF($D653="","",IFERROR(INDEX(ENVIOS!$D$4:$D$3003,MATCH($D653,ENVIOS!$A$4:$A$3003,0)),"—"))</f>
        <v/>
      </c>
      <c r="H653" s="23">
        <f>IF($D653="","",IFERROR(INDEX(ENVIOS!$E$4:$E$3003,MATCH($D653,ENVIOS!$A$4:$A$3003,0)),"—"))</f>
        <v/>
      </c>
      <c r="I653" s="23">
        <f>IF($D653="","",IFERROR(INDEX(ENVIOS!$F$4:$F$3003,MATCH($D653,ENVIOS!$A$4:$A$3003,0)),"—"))</f>
        <v/>
      </c>
      <c r="J653" s="23">
        <f>IF($D653="","",IFERROR(INDEX(ENVIOS!$G$4:$G$3003,MATCH($D653,ENVIOS!$A$4:$A$3003,0)),"—"))</f>
        <v/>
      </c>
      <c r="K653" s="28">
        <f>IF($D653="","",IFERROR(INDEX(ENVIOS!$H$4:$H$3003,MATCH($D653,ENVIOS!$A$4:$A$3003,0)),"—"))</f>
        <v/>
      </c>
      <c r="L653" s="49">
        <f>IF($D653="","",IFERROR(INDEX(ENVIOS!$C$4:$C$3003,MATCH($D653,ENVIOS!$A$4:$A$3003,0)),""))</f>
        <v/>
      </c>
      <c r="M653" s="50" t="n"/>
      <c r="N653" s="28">
        <f>IF($M653="","",IFERROR(INDEX(CONFIG!$C$4:$C$63,MATCH($M653,CONFIG!$A$4:$A$63,0)),"Media"))</f>
        <v/>
      </c>
      <c r="O653" s="28">
        <f>IF($M653="","",IF($C653="Interna","NO",IFERROR(INDEX(CONFIG!$E$4:$E$63,MATCH($M653,CONFIG!$A$4:$A$63,0)),"NO")))</f>
        <v/>
      </c>
      <c r="P653" s="50" t="n"/>
      <c r="Q653" s="50" t="n"/>
      <c r="R653" s="28">
        <f>IF($Q653="","",IFERROR(INDEX(CONFIG!$H$4:$H$63,MATCH($Q653,CONFIG!$G$4:$G$63,0)),"Por definir"))</f>
        <v/>
      </c>
      <c r="S653" s="28">
        <f>IF($Q653="","",IFERROR(INDEX(CONFIG!$I$4:$I$63,MATCH($Q653,CONFIG!$G$4:$G$63,0)),"Por definir"))</f>
        <v/>
      </c>
      <c r="T653" s="51" t="n"/>
      <c r="U653" s="52" t="n"/>
      <c r="V653" s="50" t="n"/>
      <c r="W653" s="50" t="n"/>
      <c r="X653" s="49">
        <f>IF(OR($B653="",$M653=""),"",WORKDAY($B653,IFERROR(INDEX(CONFIG!$D$4:$D$63,MATCH($M653,CONFIG!$A$4:$A$63,0)),3)))</f>
        <v/>
      </c>
      <c r="Y653" s="47" t="n"/>
      <c r="Z653" s="24">
        <f>IF($B653="","",IF($Y653&lt;&gt;"",$Y653-$B653,TODAY()-$B653))</f>
        <v/>
      </c>
      <c r="AA653" s="28">
        <f>IF($B653="","",IF(IFERROR(INDEX(CONFIG!$L$4:$L$63,MATCH($V653,CONFIG!$K$4:$K$63,0)),"NO")="SÍ",IF(OR($Y653="",$X653=""),"Resuelta",IF($Y653&gt;$X653,"Resuelta tarde","Resuelta a tiempo")),IF($X653="","Sin clasificar",IF(TODAY()&gt;$X653,"Vencida",IF(TODAY()&gt;=$X653-1,"Por vencer","En plazo")))))</f>
        <v/>
      </c>
      <c r="AB653" s="50" t="n"/>
      <c r="AC653" s="50" t="n"/>
    </row>
    <row r="654" ht="16" customHeight="1">
      <c r="A654" s="28">
        <f>IF($B654="","","N-"&amp;TEXT(ROW()-3,"0000"))</f>
        <v/>
      </c>
      <c r="B654" s="47" t="n"/>
      <c r="C654" s="48" t="n"/>
      <c r="D654" s="48" t="n"/>
      <c r="E654" s="28">
        <f>IF($C654="","",IF($D654="",IF($C654="Interna","Sin guía (interna)","FALTA GUÍA"),IF(COUNTIFS(ENVIOS!$A$4:$A$3003,$D654)=0,"NO EXISTE",IF(COUNTIFS(ENVIOS!$A$4:$A$3003,$D654)&gt;1,"DUPLICADA","OK"))))</f>
        <v/>
      </c>
      <c r="F654" s="28">
        <f>IF($D654="","",IFERROR(INDEX(ENVIOS!$B$4:$B$3003,MATCH($D654,ENVIOS!$A$4:$A$3003,0)),"—"))</f>
        <v/>
      </c>
      <c r="G654" s="23">
        <f>IF($D654="","",IFERROR(INDEX(ENVIOS!$D$4:$D$3003,MATCH($D654,ENVIOS!$A$4:$A$3003,0)),"—"))</f>
        <v/>
      </c>
      <c r="H654" s="23">
        <f>IF($D654="","",IFERROR(INDEX(ENVIOS!$E$4:$E$3003,MATCH($D654,ENVIOS!$A$4:$A$3003,0)),"—"))</f>
        <v/>
      </c>
      <c r="I654" s="23">
        <f>IF($D654="","",IFERROR(INDEX(ENVIOS!$F$4:$F$3003,MATCH($D654,ENVIOS!$A$4:$A$3003,0)),"—"))</f>
        <v/>
      </c>
      <c r="J654" s="23">
        <f>IF($D654="","",IFERROR(INDEX(ENVIOS!$G$4:$G$3003,MATCH($D654,ENVIOS!$A$4:$A$3003,0)),"—"))</f>
        <v/>
      </c>
      <c r="K654" s="28">
        <f>IF($D654="","",IFERROR(INDEX(ENVIOS!$H$4:$H$3003,MATCH($D654,ENVIOS!$A$4:$A$3003,0)),"—"))</f>
        <v/>
      </c>
      <c r="L654" s="49">
        <f>IF($D654="","",IFERROR(INDEX(ENVIOS!$C$4:$C$3003,MATCH($D654,ENVIOS!$A$4:$A$3003,0)),""))</f>
        <v/>
      </c>
      <c r="M654" s="50" t="n"/>
      <c r="N654" s="28">
        <f>IF($M654="","",IFERROR(INDEX(CONFIG!$C$4:$C$63,MATCH($M654,CONFIG!$A$4:$A$63,0)),"Media"))</f>
        <v/>
      </c>
      <c r="O654" s="28">
        <f>IF($M654="","",IF($C654="Interna","NO",IFERROR(INDEX(CONFIG!$E$4:$E$63,MATCH($M654,CONFIG!$A$4:$A$63,0)),"NO")))</f>
        <v/>
      </c>
      <c r="P654" s="50" t="n"/>
      <c r="Q654" s="50" t="n"/>
      <c r="R654" s="28">
        <f>IF($Q654="","",IFERROR(INDEX(CONFIG!$H$4:$H$63,MATCH($Q654,CONFIG!$G$4:$G$63,0)),"Por definir"))</f>
        <v/>
      </c>
      <c r="S654" s="28">
        <f>IF($Q654="","",IFERROR(INDEX(CONFIG!$I$4:$I$63,MATCH($Q654,CONFIG!$G$4:$G$63,0)),"Por definir"))</f>
        <v/>
      </c>
      <c r="T654" s="51" t="n"/>
      <c r="U654" s="52" t="n"/>
      <c r="V654" s="50" t="n"/>
      <c r="W654" s="50" t="n"/>
      <c r="X654" s="49">
        <f>IF(OR($B654="",$M654=""),"",WORKDAY($B654,IFERROR(INDEX(CONFIG!$D$4:$D$63,MATCH($M654,CONFIG!$A$4:$A$63,0)),3)))</f>
        <v/>
      </c>
      <c r="Y654" s="47" t="n"/>
      <c r="Z654" s="24">
        <f>IF($B654="","",IF($Y654&lt;&gt;"",$Y654-$B654,TODAY()-$B654))</f>
        <v/>
      </c>
      <c r="AA654" s="28">
        <f>IF($B654="","",IF(IFERROR(INDEX(CONFIG!$L$4:$L$63,MATCH($V654,CONFIG!$K$4:$K$63,0)),"NO")="SÍ",IF(OR($Y654="",$X654=""),"Resuelta",IF($Y654&gt;$X654,"Resuelta tarde","Resuelta a tiempo")),IF($X654="","Sin clasificar",IF(TODAY()&gt;$X654,"Vencida",IF(TODAY()&gt;=$X654-1,"Por vencer","En plazo")))))</f>
        <v/>
      </c>
      <c r="AB654" s="50" t="n"/>
      <c r="AC654" s="50" t="n"/>
    </row>
    <row r="655" ht="16" customHeight="1">
      <c r="A655" s="28">
        <f>IF($B655="","","N-"&amp;TEXT(ROW()-3,"0000"))</f>
        <v/>
      </c>
      <c r="B655" s="47" t="n"/>
      <c r="C655" s="48" t="n"/>
      <c r="D655" s="48" t="n"/>
      <c r="E655" s="28">
        <f>IF($C655="","",IF($D655="",IF($C655="Interna","Sin guía (interna)","FALTA GUÍA"),IF(COUNTIFS(ENVIOS!$A$4:$A$3003,$D655)=0,"NO EXISTE",IF(COUNTIFS(ENVIOS!$A$4:$A$3003,$D655)&gt;1,"DUPLICADA","OK"))))</f>
        <v/>
      </c>
      <c r="F655" s="28">
        <f>IF($D655="","",IFERROR(INDEX(ENVIOS!$B$4:$B$3003,MATCH($D655,ENVIOS!$A$4:$A$3003,0)),"—"))</f>
        <v/>
      </c>
      <c r="G655" s="23">
        <f>IF($D655="","",IFERROR(INDEX(ENVIOS!$D$4:$D$3003,MATCH($D655,ENVIOS!$A$4:$A$3003,0)),"—"))</f>
        <v/>
      </c>
      <c r="H655" s="23">
        <f>IF($D655="","",IFERROR(INDEX(ENVIOS!$E$4:$E$3003,MATCH($D655,ENVIOS!$A$4:$A$3003,0)),"—"))</f>
        <v/>
      </c>
      <c r="I655" s="23">
        <f>IF($D655="","",IFERROR(INDEX(ENVIOS!$F$4:$F$3003,MATCH($D655,ENVIOS!$A$4:$A$3003,0)),"—"))</f>
        <v/>
      </c>
      <c r="J655" s="23">
        <f>IF($D655="","",IFERROR(INDEX(ENVIOS!$G$4:$G$3003,MATCH($D655,ENVIOS!$A$4:$A$3003,0)),"—"))</f>
        <v/>
      </c>
      <c r="K655" s="28">
        <f>IF($D655="","",IFERROR(INDEX(ENVIOS!$H$4:$H$3003,MATCH($D655,ENVIOS!$A$4:$A$3003,0)),"—"))</f>
        <v/>
      </c>
      <c r="L655" s="49">
        <f>IF($D655="","",IFERROR(INDEX(ENVIOS!$C$4:$C$3003,MATCH($D655,ENVIOS!$A$4:$A$3003,0)),""))</f>
        <v/>
      </c>
      <c r="M655" s="50" t="n"/>
      <c r="N655" s="28">
        <f>IF($M655="","",IFERROR(INDEX(CONFIG!$C$4:$C$63,MATCH($M655,CONFIG!$A$4:$A$63,0)),"Media"))</f>
        <v/>
      </c>
      <c r="O655" s="28">
        <f>IF($M655="","",IF($C655="Interna","NO",IFERROR(INDEX(CONFIG!$E$4:$E$63,MATCH($M655,CONFIG!$A$4:$A$63,0)),"NO")))</f>
        <v/>
      </c>
      <c r="P655" s="50" t="n"/>
      <c r="Q655" s="50" t="n"/>
      <c r="R655" s="28">
        <f>IF($Q655="","",IFERROR(INDEX(CONFIG!$H$4:$H$63,MATCH($Q655,CONFIG!$G$4:$G$63,0)),"Por definir"))</f>
        <v/>
      </c>
      <c r="S655" s="28">
        <f>IF($Q655="","",IFERROR(INDEX(CONFIG!$I$4:$I$63,MATCH($Q655,CONFIG!$G$4:$G$63,0)),"Por definir"))</f>
        <v/>
      </c>
      <c r="T655" s="51" t="n"/>
      <c r="U655" s="52" t="n"/>
      <c r="V655" s="50" t="n"/>
      <c r="W655" s="50" t="n"/>
      <c r="X655" s="49">
        <f>IF(OR($B655="",$M655=""),"",WORKDAY($B655,IFERROR(INDEX(CONFIG!$D$4:$D$63,MATCH($M655,CONFIG!$A$4:$A$63,0)),3)))</f>
        <v/>
      </c>
      <c r="Y655" s="47" t="n"/>
      <c r="Z655" s="24">
        <f>IF($B655="","",IF($Y655&lt;&gt;"",$Y655-$B655,TODAY()-$B655))</f>
        <v/>
      </c>
      <c r="AA655" s="28">
        <f>IF($B655="","",IF(IFERROR(INDEX(CONFIG!$L$4:$L$63,MATCH($V655,CONFIG!$K$4:$K$63,0)),"NO")="SÍ",IF(OR($Y655="",$X655=""),"Resuelta",IF($Y655&gt;$X655,"Resuelta tarde","Resuelta a tiempo")),IF($X655="","Sin clasificar",IF(TODAY()&gt;$X655,"Vencida",IF(TODAY()&gt;=$X655-1,"Por vencer","En plazo")))))</f>
        <v/>
      </c>
      <c r="AB655" s="50" t="n"/>
      <c r="AC655" s="50" t="n"/>
    </row>
    <row r="656" ht="16" customHeight="1">
      <c r="A656" s="28">
        <f>IF($B656="","","N-"&amp;TEXT(ROW()-3,"0000"))</f>
        <v/>
      </c>
      <c r="B656" s="47" t="n"/>
      <c r="C656" s="48" t="n"/>
      <c r="D656" s="48" t="n"/>
      <c r="E656" s="28">
        <f>IF($C656="","",IF($D656="",IF($C656="Interna","Sin guía (interna)","FALTA GUÍA"),IF(COUNTIFS(ENVIOS!$A$4:$A$3003,$D656)=0,"NO EXISTE",IF(COUNTIFS(ENVIOS!$A$4:$A$3003,$D656)&gt;1,"DUPLICADA","OK"))))</f>
        <v/>
      </c>
      <c r="F656" s="28">
        <f>IF($D656="","",IFERROR(INDEX(ENVIOS!$B$4:$B$3003,MATCH($D656,ENVIOS!$A$4:$A$3003,0)),"—"))</f>
        <v/>
      </c>
      <c r="G656" s="23">
        <f>IF($D656="","",IFERROR(INDEX(ENVIOS!$D$4:$D$3003,MATCH($D656,ENVIOS!$A$4:$A$3003,0)),"—"))</f>
        <v/>
      </c>
      <c r="H656" s="23">
        <f>IF($D656="","",IFERROR(INDEX(ENVIOS!$E$4:$E$3003,MATCH($D656,ENVIOS!$A$4:$A$3003,0)),"—"))</f>
        <v/>
      </c>
      <c r="I656" s="23">
        <f>IF($D656="","",IFERROR(INDEX(ENVIOS!$F$4:$F$3003,MATCH($D656,ENVIOS!$A$4:$A$3003,0)),"—"))</f>
        <v/>
      </c>
      <c r="J656" s="23">
        <f>IF($D656="","",IFERROR(INDEX(ENVIOS!$G$4:$G$3003,MATCH($D656,ENVIOS!$A$4:$A$3003,0)),"—"))</f>
        <v/>
      </c>
      <c r="K656" s="28">
        <f>IF($D656="","",IFERROR(INDEX(ENVIOS!$H$4:$H$3003,MATCH($D656,ENVIOS!$A$4:$A$3003,0)),"—"))</f>
        <v/>
      </c>
      <c r="L656" s="49">
        <f>IF($D656="","",IFERROR(INDEX(ENVIOS!$C$4:$C$3003,MATCH($D656,ENVIOS!$A$4:$A$3003,0)),""))</f>
        <v/>
      </c>
      <c r="M656" s="50" t="n"/>
      <c r="N656" s="28">
        <f>IF($M656="","",IFERROR(INDEX(CONFIG!$C$4:$C$63,MATCH($M656,CONFIG!$A$4:$A$63,0)),"Media"))</f>
        <v/>
      </c>
      <c r="O656" s="28">
        <f>IF($M656="","",IF($C656="Interna","NO",IFERROR(INDEX(CONFIG!$E$4:$E$63,MATCH($M656,CONFIG!$A$4:$A$63,0)),"NO")))</f>
        <v/>
      </c>
      <c r="P656" s="50" t="n"/>
      <c r="Q656" s="50" t="n"/>
      <c r="R656" s="28">
        <f>IF($Q656="","",IFERROR(INDEX(CONFIG!$H$4:$H$63,MATCH($Q656,CONFIG!$G$4:$G$63,0)),"Por definir"))</f>
        <v/>
      </c>
      <c r="S656" s="28">
        <f>IF($Q656="","",IFERROR(INDEX(CONFIG!$I$4:$I$63,MATCH($Q656,CONFIG!$G$4:$G$63,0)),"Por definir"))</f>
        <v/>
      </c>
      <c r="T656" s="51" t="n"/>
      <c r="U656" s="52" t="n"/>
      <c r="V656" s="50" t="n"/>
      <c r="W656" s="50" t="n"/>
      <c r="X656" s="49">
        <f>IF(OR($B656="",$M656=""),"",WORKDAY($B656,IFERROR(INDEX(CONFIG!$D$4:$D$63,MATCH($M656,CONFIG!$A$4:$A$63,0)),3)))</f>
        <v/>
      </c>
      <c r="Y656" s="47" t="n"/>
      <c r="Z656" s="24">
        <f>IF($B656="","",IF($Y656&lt;&gt;"",$Y656-$B656,TODAY()-$B656))</f>
        <v/>
      </c>
      <c r="AA656" s="28">
        <f>IF($B656="","",IF(IFERROR(INDEX(CONFIG!$L$4:$L$63,MATCH($V656,CONFIG!$K$4:$K$63,0)),"NO")="SÍ",IF(OR($Y656="",$X656=""),"Resuelta",IF($Y656&gt;$X656,"Resuelta tarde","Resuelta a tiempo")),IF($X656="","Sin clasificar",IF(TODAY()&gt;$X656,"Vencida",IF(TODAY()&gt;=$X656-1,"Por vencer","En plazo")))))</f>
        <v/>
      </c>
      <c r="AB656" s="50" t="n"/>
      <c r="AC656" s="50" t="n"/>
    </row>
    <row r="657" ht="16" customHeight="1">
      <c r="A657" s="28">
        <f>IF($B657="","","N-"&amp;TEXT(ROW()-3,"0000"))</f>
        <v/>
      </c>
      <c r="B657" s="47" t="n"/>
      <c r="C657" s="48" t="n"/>
      <c r="D657" s="48" t="n"/>
      <c r="E657" s="28">
        <f>IF($C657="","",IF($D657="",IF($C657="Interna","Sin guía (interna)","FALTA GUÍA"),IF(COUNTIFS(ENVIOS!$A$4:$A$3003,$D657)=0,"NO EXISTE",IF(COUNTIFS(ENVIOS!$A$4:$A$3003,$D657)&gt;1,"DUPLICADA","OK"))))</f>
        <v/>
      </c>
      <c r="F657" s="28">
        <f>IF($D657="","",IFERROR(INDEX(ENVIOS!$B$4:$B$3003,MATCH($D657,ENVIOS!$A$4:$A$3003,0)),"—"))</f>
        <v/>
      </c>
      <c r="G657" s="23">
        <f>IF($D657="","",IFERROR(INDEX(ENVIOS!$D$4:$D$3003,MATCH($D657,ENVIOS!$A$4:$A$3003,0)),"—"))</f>
        <v/>
      </c>
      <c r="H657" s="23">
        <f>IF($D657="","",IFERROR(INDEX(ENVIOS!$E$4:$E$3003,MATCH($D657,ENVIOS!$A$4:$A$3003,0)),"—"))</f>
        <v/>
      </c>
      <c r="I657" s="23">
        <f>IF($D657="","",IFERROR(INDEX(ENVIOS!$F$4:$F$3003,MATCH($D657,ENVIOS!$A$4:$A$3003,0)),"—"))</f>
        <v/>
      </c>
      <c r="J657" s="23">
        <f>IF($D657="","",IFERROR(INDEX(ENVIOS!$G$4:$G$3003,MATCH($D657,ENVIOS!$A$4:$A$3003,0)),"—"))</f>
        <v/>
      </c>
      <c r="K657" s="28">
        <f>IF($D657="","",IFERROR(INDEX(ENVIOS!$H$4:$H$3003,MATCH($D657,ENVIOS!$A$4:$A$3003,0)),"—"))</f>
        <v/>
      </c>
      <c r="L657" s="49">
        <f>IF($D657="","",IFERROR(INDEX(ENVIOS!$C$4:$C$3003,MATCH($D657,ENVIOS!$A$4:$A$3003,0)),""))</f>
        <v/>
      </c>
      <c r="M657" s="50" t="n"/>
      <c r="N657" s="28">
        <f>IF($M657="","",IFERROR(INDEX(CONFIG!$C$4:$C$63,MATCH($M657,CONFIG!$A$4:$A$63,0)),"Media"))</f>
        <v/>
      </c>
      <c r="O657" s="28">
        <f>IF($M657="","",IF($C657="Interna","NO",IFERROR(INDEX(CONFIG!$E$4:$E$63,MATCH($M657,CONFIG!$A$4:$A$63,0)),"NO")))</f>
        <v/>
      </c>
      <c r="P657" s="50" t="n"/>
      <c r="Q657" s="50" t="n"/>
      <c r="R657" s="28">
        <f>IF($Q657="","",IFERROR(INDEX(CONFIG!$H$4:$H$63,MATCH($Q657,CONFIG!$G$4:$G$63,0)),"Por definir"))</f>
        <v/>
      </c>
      <c r="S657" s="28">
        <f>IF($Q657="","",IFERROR(INDEX(CONFIG!$I$4:$I$63,MATCH($Q657,CONFIG!$G$4:$G$63,0)),"Por definir"))</f>
        <v/>
      </c>
      <c r="T657" s="51" t="n"/>
      <c r="U657" s="52" t="n"/>
      <c r="V657" s="50" t="n"/>
      <c r="W657" s="50" t="n"/>
      <c r="X657" s="49">
        <f>IF(OR($B657="",$M657=""),"",WORKDAY($B657,IFERROR(INDEX(CONFIG!$D$4:$D$63,MATCH($M657,CONFIG!$A$4:$A$63,0)),3)))</f>
        <v/>
      </c>
      <c r="Y657" s="47" t="n"/>
      <c r="Z657" s="24">
        <f>IF($B657="","",IF($Y657&lt;&gt;"",$Y657-$B657,TODAY()-$B657))</f>
        <v/>
      </c>
      <c r="AA657" s="28">
        <f>IF($B657="","",IF(IFERROR(INDEX(CONFIG!$L$4:$L$63,MATCH($V657,CONFIG!$K$4:$K$63,0)),"NO")="SÍ",IF(OR($Y657="",$X657=""),"Resuelta",IF($Y657&gt;$X657,"Resuelta tarde","Resuelta a tiempo")),IF($X657="","Sin clasificar",IF(TODAY()&gt;$X657,"Vencida",IF(TODAY()&gt;=$X657-1,"Por vencer","En plazo")))))</f>
        <v/>
      </c>
      <c r="AB657" s="50" t="n"/>
      <c r="AC657" s="50" t="n"/>
    </row>
    <row r="658" ht="16" customHeight="1">
      <c r="A658" s="28">
        <f>IF($B658="","","N-"&amp;TEXT(ROW()-3,"0000"))</f>
        <v/>
      </c>
      <c r="B658" s="47" t="n"/>
      <c r="C658" s="48" t="n"/>
      <c r="D658" s="48" t="n"/>
      <c r="E658" s="28">
        <f>IF($C658="","",IF($D658="",IF($C658="Interna","Sin guía (interna)","FALTA GUÍA"),IF(COUNTIFS(ENVIOS!$A$4:$A$3003,$D658)=0,"NO EXISTE",IF(COUNTIFS(ENVIOS!$A$4:$A$3003,$D658)&gt;1,"DUPLICADA","OK"))))</f>
        <v/>
      </c>
      <c r="F658" s="28">
        <f>IF($D658="","",IFERROR(INDEX(ENVIOS!$B$4:$B$3003,MATCH($D658,ENVIOS!$A$4:$A$3003,0)),"—"))</f>
        <v/>
      </c>
      <c r="G658" s="23">
        <f>IF($D658="","",IFERROR(INDEX(ENVIOS!$D$4:$D$3003,MATCH($D658,ENVIOS!$A$4:$A$3003,0)),"—"))</f>
        <v/>
      </c>
      <c r="H658" s="23">
        <f>IF($D658="","",IFERROR(INDEX(ENVIOS!$E$4:$E$3003,MATCH($D658,ENVIOS!$A$4:$A$3003,0)),"—"))</f>
        <v/>
      </c>
      <c r="I658" s="23">
        <f>IF($D658="","",IFERROR(INDEX(ENVIOS!$F$4:$F$3003,MATCH($D658,ENVIOS!$A$4:$A$3003,0)),"—"))</f>
        <v/>
      </c>
      <c r="J658" s="23">
        <f>IF($D658="","",IFERROR(INDEX(ENVIOS!$G$4:$G$3003,MATCH($D658,ENVIOS!$A$4:$A$3003,0)),"—"))</f>
        <v/>
      </c>
      <c r="K658" s="28">
        <f>IF($D658="","",IFERROR(INDEX(ENVIOS!$H$4:$H$3003,MATCH($D658,ENVIOS!$A$4:$A$3003,0)),"—"))</f>
        <v/>
      </c>
      <c r="L658" s="49">
        <f>IF($D658="","",IFERROR(INDEX(ENVIOS!$C$4:$C$3003,MATCH($D658,ENVIOS!$A$4:$A$3003,0)),""))</f>
        <v/>
      </c>
      <c r="M658" s="50" t="n"/>
      <c r="N658" s="28">
        <f>IF($M658="","",IFERROR(INDEX(CONFIG!$C$4:$C$63,MATCH($M658,CONFIG!$A$4:$A$63,0)),"Media"))</f>
        <v/>
      </c>
      <c r="O658" s="28">
        <f>IF($M658="","",IF($C658="Interna","NO",IFERROR(INDEX(CONFIG!$E$4:$E$63,MATCH($M658,CONFIG!$A$4:$A$63,0)),"NO")))</f>
        <v/>
      </c>
      <c r="P658" s="50" t="n"/>
      <c r="Q658" s="50" t="n"/>
      <c r="R658" s="28">
        <f>IF($Q658="","",IFERROR(INDEX(CONFIG!$H$4:$H$63,MATCH($Q658,CONFIG!$G$4:$G$63,0)),"Por definir"))</f>
        <v/>
      </c>
      <c r="S658" s="28">
        <f>IF($Q658="","",IFERROR(INDEX(CONFIG!$I$4:$I$63,MATCH($Q658,CONFIG!$G$4:$G$63,0)),"Por definir"))</f>
        <v/>
      </c>
      <c r="T658" s="51" t="n"/>
      <c r="U658" s="52" t="n"/>
      <c r="V658" s="50" t="n"/>
      <c r="W658" s="50" t="n"/>
      <c r="X658" s="49">
        <f>IF(OR($B658="",$M658=""),"",WORKDAY($B658,IFERROR(INDEX(CONFIG!$D$4:$D$63,MATCH($M658,CONFIG!$A$4:$A$63,0)),3)))</f>
        <v/>
      </c>
      <c r="Y658" s="47" t="n"/>
      <c r="Z658" s="24">
        <f>IF($B658="","",IF($Y658&lt;&gt;"",$Y658-$B658,TODAY()-$B658))</f>
        <v/>
      </c>
      <c r="AA658" s="28">
        <f>IF($B658="","",IF(IFERROR(INDEX(CONFIG!$L$4:$L$63,MATCH($V658,CONFIG!$K$4:$K$63,0)),"NO")="SÍ",IF(OR($Y658="",$X658=""),"Resuelta",IF($Y658&gt;$X658,"Resuelta tarde","Resuelta a tiempo")),IF($X658="","Sin clasificar",IF(TODAY()&gt;$X658,"Vencida",IF(TODAY()&gt;=$X658-1,"Por vencer","En plazo")))))</f>
        <v/>
      </c>
      <c r="AB658" s="50" t="n"/>
      <c r="AC658" s="50" t="n"/>
    </row>
    <row r="659" ht="16" customHeight="1">
      <c r="A659" s="28">
        <f>IF($B659="","","N-"&amp;TEXT(ROW()-3,"0000"))</f>
        <v/>
      </c>
      <c r="B659" s="47" t="n"/>
      <c r="C659" s="48" t="n"/>
      <c r="D659" s="48" t="n"/>
      <c r="E659" s="28">
        <f>IF($C659="","",IF($D659="",IF($C659="Interna","Sin guía (interna)","FALTA GUÍA"),IF(COUNTIFS(ENVIOS!$A$4:$A$3003,$D659)=0,"NO EXISTE",IF(COUNTIFS(ENVIOS!$A$4:$A$3003,$D659)&gt;1,"DUPLICADA","OK"))))</f>
        <v/>
      </c>
      <c r="F659" s="28">
        <f>IF($D659="","",IFERROR(INDEX(ENVIOS!$B$4:$B$3003,MATCH($D659,ENVIOS!$A$4:$A$3003,0)),"—"))</f>
        <v/>
      </c>
      <c r="G659" s="23">
        <f>IF($D659="","",IFERROR(INDEX(ENVIOS!$D$4:$D$3003,MATCH($D659,ENVIOS!$A$4:$A$3003,0)),"—"))</f>
        <v/>
      </c>
      <c r="H659" s="23">
        <f>IF($D659="","",IFERROR(INDEX(ENVIOS!$E$4:$E$3003,MATCH($D659,ENVIOS!$A$4:$A$3003,0)),"—"))</f>
        <v/>
      </c>
      <c r="I659" s="23">
        <f>IF($D659="","",IFERROR(INDEX(ENVIOS!$F$4:$F$3003,MATCH($D659,ENVIOS!$A$4:$A$3003,0)),"—"))</f>
        <v/>
      </c>
      <c r="J659" s="23">
        <f>IF($D659="","",IFERROR(INDEX(ENVIOS!$G$4:$G$3003,MATCH($D659,ENVIOS!$A$4:$A$3003,0)),"—"))</f>
        <v/>
      </c>
      <c r="K659" s="28">
        <f>IF($D659="","",IFERROR(INDEX(ENVIOS!$H$4:$H$3003,MATCH($D659,ENVIOS!$A$4:$A$3003,0)),"—"))</f>
        <v/>
      </c>
      <c r="L659" s="49">
        <f>IF($D659="","",IFERROR(INDEX(ENVIOS!$C$4:$C$3003,MATCH($D659,ENVIOS!$A$4:$A$3003,0)),""))</f>
        <v/>
      </c>
      <c r="M659" s="50" t="n"/>
      <c r="N659" s="28">
        <f>IF($M659="","",IFERROR(INDEX(CONFIG!$C$4:$C$63,MATCH($M659,CONFIG!$A$4:$A$63,0)),"Media"))</f>
        <v/>
      </c>
      <c r="O659" s="28">
        <f>IF($M659="","",IF($C659="Interna","NO",IFERROR(INDEX(CONFIG!$E$4:$E$63,MATCH($M659,CONFIG!$A$4:$A$63,0)),"NO")))</f>
        <v/>
      </c>
      <c r="P659" s="50" t="n"/>
      <c r="Q659" s="50" t="n"/>
      <c r="R659" s="28">
        <f>IF($Q659="","",IFERROR(INDEX(CONFIG!$H$4:$H$63,MATCH($Q659,CONFIG!$G$4:$G$63,0)),"Por definir"))</f>
        <v/>
      </c>
      <c r="S659" s="28">
        <f>IF($Q659="","",IFERROR(INDEX(CONFIG!$I$4:$I$63,MATCH($Q659,CONFIG!$G$4:$G$63,0)),"Por definir"))</f>
        <v/>
      </c>
      <c r="T659" s="51" t="n"/>
      <c r="U659" s="52" t="n"/>
      <c r="V659" s="50" t="n"/>
      <c r="W659" s="50" t="n"/>
      <c r="X659" s="49">
        <f>IF(OR($B659="",$M659=""),"",WORKDAY($B659,IFERROR(INDEX(CONFIG!$D$4:$D$63,MATCH($M659,CONFIG!$A$4:$A$63,0)),3)))</f>
        <v/>
      </c>
      <c r="Y659" s="47" t="n"/>
      <c r="Z659" s="24">
        <f>IF($B659="","",IF($Y659&lt;&gt;"",$Y659-$B659,TODAY()-$B659))</f>
        <v/>
      </c>
      <c r="AA659" s="28">
        <f>IF($B659="","",IF(IFERROR(INDEX(CONFIG!$L$4:$L$63,MATCH($V659,CONFIG!$K$4:$K$63,0)),"NO")="SÍ",IF(OR($Y659="",$X659=""),"Resuelta",IF($Y659&gt;$X659,"Resuelta tarde","Resuelta a tiempo")),IF($X659="","Sin clasificar",IF(TODAY()&gt;$X659,"Vencida",IF(TODAY()&gt;=$X659-1,"Por vencer","En plazo")))))</f>
        <v/>
      </c>
      <c r="AB659" s="50" t="n"/>
      <c r="AC659" s="50" t="n"/>
    </row>
    <row r="660" ht="16" customHeight="1">
      <c r="A660" s="28">
        <f>IF($B660="","","N-"&amp;TEXT(ROW()-3,"0000"))</f>
        <v/>
      </c>
      <c r="B660" s="47" t="n"/>
      <c r="C660" s="48" t="n"/>
      <c r="D660" s="48" t="n"/>
      <c r="E660" s="28">
        <f>IF($C660="","",IF($D660="",IF($C660="Interna","Sin guía (interna)","FALTA GUÍA"),IF(COUNTIFS(ENVIOS!$A$4:$A$3003,$D660)=0,"NO EXISTE",IF(COUNTIFS(ENVIOS!$A$4:$A$3003,$D660)&gt;1,"DUPLICADA","OK"))))</f>
        <v/>
      </c>
      <c r="F660" s="28">
        <f>IF($D660="","",IFERROR(INDEX(ENVIOS!$B$4:$B$3003,MATCH($D660,ENVIOS!$A$4:$A$3003,0)),"—"))</f>
        <v/>
      </c>
      <c r="G660" s="23">
        <f>IF($D660="","",IFERROR(INDEX(ENVIOS!$D$4:$D$3003,MATCH($D660,ENVIOS!$A$4:$A$3003,0)),"—"))</f>
        <v/>
      </c>
      <c r="H660" s="23">
        <f>IF($D660="","",IFERROR(INDEX(ENVIOS!$E$4:$E$3003,MATCH($D660,ENVIOS!$A$4:$A$3003,0)),"—"))</f>
        <v/>
      </c>
      <c r="I660" s="23">
        <f>IF($D660="","",IFERROR(INDEX(ENVIOS!$F$4:$F$3003,MATCH($D660,ENVIOS!$A$4:$A$3003,0)),"—"))</f>
        <v/>
      </c>
      <c r="J660" s="23">
        <f>IF($D660="","",IFERROR(INDEX(ENVIOS!$G$4:$G$3003,MATCH($D660,ENVIOS!$A$4:$A$3003,0)),"—"))</f>
        <v/>
      </c>
      <c r="K660" s="28">
        <f>IF($D660="","",IFERROR(INDEX(ENVIOS!$H$4:$H$3003,MATCH($D660,ENVIOS!$A$4:$A$3003,0)),"—"))</f>
        <v/>
      </c>
      <c r="L660" s="49">
        <f>IF($D660="","",IFERROR(INDEX(ENVIOS!$C$4:$C$3003,MATCH($D660,ENVIOS!$A$4:$A$3003,0)),""))</f>
        <v/>
      </c>
      <c r="M660" s="50" t="n"/>
      <c r="N660" s="28">
        <f>IF($M660="","",IFERROR(INDEX(CONFIG!$C$4:$C$63,MATCH($M660,CONFIG!$A$4:$A$63,0)),"Media"))</f>
        <v/>
      </c>
      <c r="O660" s="28">
        <f>IF($M660="","",IF($C660="Interna","NO",IFERROR(INDEX(CONFIG!$E$4:$E$63,MATCH($M660,CONFIG!$A$4:$A$63,0)),"NO")))</f>
        <v/>
      </c>
      <c r="P660" s="50" t="n"/>
      <c r="Q660" s="50" t="n"/>
      <c r="R660" s="28">
        <f>IF($Q660="","",IFERROR(INDEX(CONFIG!$H$4:$H$63,MATCH($Q660,CONFIG!$G$4:$G$63,0)),"Por definir"))</f>
        <v/>
      </c>
      <c r="S660" s="28">
        <f>IF($Q660="","",IFERROR(INDEX(CONFIG!$I$4:$I$63,MATCH($Q660,CONFIG!$G$4:$G$63,0)),"Por definir"))</f>
        <v/>
      </c>
      <c r="T660" s="51" t="n"/>
      <c r="U660" s="52" t="n"/>
      <c r="V660" s="50" t="n"/>
      <c r="W660" s="50" t="n"/>
      <c r="X660" s="49">
        <f>IF(OR($B660="",$M660=""),"",WORKDAY($B660,IFERROR(INDEX(CONFIG!$D$4:$D$63,MATCH($M660,CONFIG!$A$4:$A$63,0)),3)))</f>
        <v/>
      </c>
      <c r="Y660" s="47" t="n"/>
      <c r="Z660" s="24">
        <f>IF($B660="","",IF($Y660&lt;&gt;"",$Y660-$B660,TODAY()-$B660))</f>
        <v/>
      </c>
      <c r="AA660" s="28">
        <f>IF($B660="","",IF(IFERROR(INDEX(CONFIG!$L$4:$L$63,MATCH($V660,CONFIG!$K$4:$K$63,0)),"NO")="SÍ",IF(OR($Y660="",$X660=""),"Resuelta",IF($Y660&gt;$X660,"Resuelta tarde","Resuelta a tiempo")),IF($X660="","Sin clasificar",IF(TODAY()&gt;$X660,"Vencida",IF(TODAY()&gt;=$X660-1,"Por vencer","En plazo")))))</f>
        <v/>
      </c>
      <c r="AB660" s="50" t="n"/>
      <c r="AC660" s="50" t="n"/>
    </row>
    <row r="661" ht="16" customHeight="1">
      <c r="A661" s="28">
        <f>IF($B661="","","N-"&amp;TEXT(ROW()-3,"0000"))</f>
        <v/>
      </c>
      <c r="B661" s="47" t="n"/>
      <c r="C661" s="48" t="n"/>
      <c r="D661" s="48" t="n"/>
      <c r="E661" s="28">
        <f>IF($C661="","",IF($D661="",IF($C661="Interna","Sin guía (interna)","FALTA GUÍA"),IF(COUNTIFS(ENVIOS!$A$4:$A$3003,$D661)=0,"NO EXISTE",IF(COUNTIFS(ENVIOS!$A$4:$A$3003,$D661)&gt;1,"DUPLICADA","OK"))))</f>
        <v/>
      </c>
      <c r="F661" s="28">
        <f>IF($D661="","",IFERROR(INDEX(ENVIOS!$B$4:$B$3003,MATCH($D661,ENVIOS!$A$4:$A$3003,0)),"—"))</f>
        <v/>
      </c>
      <c r="G661" s="23">
        <f>IF($D661="","",IFERROR(INDEX(ENVIOS!$D$4:$D$3003,MATCH($D661,ENVIOS!$A$4:$A$3003,0)),"—"))</f>
        <v/>
      </c>
      <c r="H661" s="23">
        <f>IF($D661="","",IFERROR(INDEX(ENVIOS!$E$4:$E$3003,MATCH($D661,ENVIOS!$A$4:$A$3003,0)),"—"))</f>
        <v/>
      </c>
      <c r="I661" s="23">
        <f>IF($D661="","",IFERROR(INDEX(ENVIOS!$F$4:$F$3003,MATCH($D661,ENVIOS!$A$4:$A$3003,0)),"—"))</f>
        <v/>
      </c>
      <c r="J661" s="23">
        <f>IF($D661="","",IFERROR(INDEX(ENVIOS!$G$4:$G$3003,MATCH($D661,ENVIOS!$A$4:$A$3003,0)),"—"))</f>
        <v/>
      </c>
      <c r="K661" s="28">
        <f>IF($D661="","",IFERROR(INDEX(ENVIOS!$H$4:$H$3003,MATCH($D661,ENVIOS!$A$4:$A$3003,0)),"—"))</f>
        <v/>
      </c>
      <c r="L661" s="49">
        <f>IF($D661="","",IFERROR(INDEX(ENVIOS!$C$4:$C$3003,MATCH($D661,ENVIOS!$A$4:$A$3003,0)),""))</f>
        <v/>
      </c>
      <c r="M661" s="50" t="n"/>
      <c r="N661" s="28">
        <f>IF($M661="","",IFERROR(INDEX(CONFIG!$C$4:$C$63,MATCH($M661,CONFIG!$A$4:$A$63,0)),"Media"))</f>
        <v/>
      </c>
      <c r="O661" s="28">
        <f>IF($M661="","",IF($C661="Interna","NO",IFERROR(INDEX(CONFIG!$E$4:$E$63,MATCH($M661,CONFIG!$A$4:$A$63,0)),"NO")))</f>
        <v/>
      </c>
      <c r="P661" s="50" t="n"/>
      <c r="Q661" s="50" t="n"/>
      <c r="R661" s="28">
        <f>IF($Q661="","",IFERROR(INDEX(CONFIG!$H$4:$H$63,MATCH($Q661,CONFIG!$G$4:$G$63,0)),"Por definir"))</f>
        <v/>
      </c>
      <c r="S661" s="28">
        <f>IF($Q661="","",IFERROR(INDEX(CONFIG!$I$4:$I$63,MATCH($Q661,CONFIG!$G$4:$G$63,0)),"Por definir"))</f>
        <v/>
      </c>
      <c r="T661" s="51" t="n"/>
      <c r="U661" s="52" t="n"/>
      <c r="V661" s="50" t="n"/>
      <c r="W661" s="50" t="n"/>
      <c r="X661" s="49">
        <f>IF(OR($B661="",$M661=""),"",WORKDAY($B661,IFERROR(INDEX(CONFIG!$D$4:$D$63,MATCH($M661,CONFIG!$A$4:$A$63,0)),3)))</f>
        <v/>
      </c>
      <c r="Y661" s="47" t="n"/>
      <c r="Z661" s="24">
        <f>IF($B661="","",IF($Y661&lt;&gt;"",$Y661-$B661,TODAY()-$B661))</f>
        <v/>
      </c>
      <c r="AA661" s="28">
        <f>IF($B661="","",IF(IFERROR(INDEX(CONFIG!$L$4:$L$63,MATCH($V661,CONFIG!$K$4:$K$63,0)),"NO")="SÍ",IF(OR($Y661="",$X661=""),"Resuelta",IF($Y661&gt;$X661,"Resuelta tarde","Resuelta a tiempo")),IF($X661="","Sin clasificar",IF(TODAY()&gt;$X661,"Vencida",IF(TODAY()&gt;=$X661-1,"Por vencer","En plazo")))))</f>
        <v/>
      </c>
      <c r="AB661" s="50" t="n"/>
      <c r="AC661" s="50" t="n"/>
    </row>
    <row r="662" ht="16" customHeight="1">
      <c r="A662" s="28">
        <f>IF($B662="","","N-"&amp;TEXT(ROW()-3,"0000"))</f>
        <v/>
      </c>
      <c r="B662" s="47" t="n"/>
      <c r="C662" s="48" t="n"/>
      <c r="D662" s="48" t="n"/>
      <c r="E662" s="28">
        <f>IF($C662="","",IF($D662="",IF($C662="Interna","Sin guía (interna)","FALTA GUÍA"),IF(COUNTIFS(ENVIOS!$A$4:$A$3003,$D662)=0,"NO EXISTE",IF(COUNTIFS(ENVIOS!$A$4:$A$3003,$D662)&gt;1,"DUPLICADA","OK"))))</f>
        <v/>
      </c>
      <c r="F662" s="28">
        <f>IF($D662="","",IFERROR(INDEX(ENVIOS!$B$4:$B$3003,MATCH($D662,ENVIOS!$A$4:$A$3003,0)),"—"))</f>
        <v/>
      </c>
      <c r="G662" s="23">
        <f>IF($D662="","",IFERROR(INDEX(ENVIOS!$D$4:$D$3003,MATCH($D662,ENVIOS!$A$4:$A$3003,0)),"—"))</f>
        <v/>
      </c>
      <c r="H662" s="23">
        <f>IF($D662="","",IFERROR(INDEX(ENVIOS!$E$4:$E$3003,MATCH($D662,ENVIOS!$A$4:$A$3003,0)),"—"))</f>
        <v/>
      </c>
      <c r="I662" s="23">
        <f>IF($D662="","",IFERROR(INDEX(ENVIOS!$F$4:$F$3003,MATCH($D662,ENVIOS!$A$4:$A$3003,0)),"—"))</f>
        <v/>
      </c>
      <c r="J662" s="23">
        <f>IF($D662="","",IFERROR(INDEX(ENVIOS!$G$4:$G$3003,MATCH($D662,ENVIOS!$A$4:$A$3003,0)),"—"))</f>
        <v/>
      </c>
      <c r="K662" s="28">
        <f>IF($D662="","",IFERROR(INDEX(ENVIOS!$H$4:$H$3003,MATCH($D662,ENVIOS!$A$4:$A$3003,0)),"—"))</f>
        <v/>
      </c>
      <c r="L662" s="49">
        <f>IF($D662="","",IFERROR(INDEX(ENVIOS!$C$4:$C$3003,MATCH($D662,ENVIOS!$A$4:$A$3003,0)),""))</f>
        <v/>
      </c>
      <c r="M662" s="50" t="n"/>
      <c r="N662" s="28">
        <f>IF($M662="","",IFERROR(INDEX(CONFIG!$C$4:$C$63,MATCH($M662,CONFIG!$A$4:$A$63,0)),"Media"))</f>
        <v/>
      </c>
      <c r="O662" s="28">
        <f>IF($M662="","",IF($C662="Interna","NO",IFERROR(INDEX(CONFIG!$E$4:$E$63,MATCH($M662,CONFIG!$A$4:$A$63,0)),"NO")))</f>
        <v/>
      </c>
      <c r="P662" s="50" t="n"/>
      <c r="Q662" s="50" t="n"/>
      <c r="R662" s="28">
        <f>IF($Q662="","",IFERROR(INDEX(CONFIG!$H$4:$H$63,MATCH($Q662,CONFIG!$G$4:$G$63,0)),"Por definir"))</f>
        <v/>
      </c>
      <c r="S662" s="28">
        <f>IF($Q662="","",IFERROR(INDEX(CONFIG!$I$4:$I$63,MATCH($Q662,CONFIG!$G$4:$G$63,0)),"Por definir"))</f>
        <v/>
      </c>
      <c r="T662" s="51" t="n"/>
      <c r="U662" s="52" t="n"/>
      <c r="V662" s="50" t="n"/>
      <c r="W662" s="50" t="n"/>
      <c r="X662" s="49">
        <f>IF(OR($B662="",$M662=""),"",WORKDAY($B662,IFERROR(INDEX(CONFIG!$D$4:$D$63,MATCH($M662,CONFIG!$A$4:$A$63,0)),3)))</f>
        <v/>
      </c>
      <c r="Y662" s="47" t="n"/>
      <c r="Z662" s="24">
        <f>IF($B662="","",IF($Y662&lt;&gt;"",$Y662-$B662,TODAY()-$B662))</f>
        <v/>
      </c>
      <c r="AA662" s="28">
        <f>IF($B662="","",IF(IFERROR(INDEX(CONFIG!$L$4:$L$63,MATCH($V662,CONFIG!$K$4:$K$63,0)),"NO")="SÍ",IF(OR($Y662="",$X662=""),"Resuelta",IF($Y662&gt;$X662,"Resuelta tarde","Resuelta a tiempo")),IF($X662="","Sin clasificar",IF(TODAY()&gt;$X662,"Vencida",IF(TODAY()&gt;=$X662-1,"Por vencer","En plazo")))))</f>
        <v/>
      </c>
      <c r="AB662" s="50" t="n"/>
      <c r="AC662" s="50" t="n"/>
    </row>
    <row r="663" ht="16" customHeight="1">
      <c r="A663" s="28">
        <f>IF($B663="","","N-"&amp;TEXT(ROW()-3,"0000"))</f>
        <v/>
      </c>
      <c r="B663" s="47" t="n"/>
      <c r="C663" s="48" t="n"/>
      <c r="D663" s="48" t="n"/>
      <c r="E663" s="28">
        <f>IF($C663="","",IF($D663="",IF($C663="Interna","Sin guía (interna)","FALTA GUÍA"),IF(COUNTIFS(ENVIOS!$A$4:$A$3003,$D663)=0,"NO EXISTE",IF(COUNTIFS(ENVIOS!$A$4:$A$3003,$D663)&gt;1,"DUPLICADA","OK"))))</f>
        <v/>
      </c>
      <c r="F663" s="28">
        <f>IF($D663="","",IFERROR(INDEX(ENVIOS!$B$4:$B$3003,MATCH($D663,ENVIOS!$A$4:$A$3003,0)),"—"))</f>
        <v/>
      </c>
      <c r="G663" s="23">
        <f>IF($D663="","",IFERROR(INDEX(ENVIOS!$D$4:$D$3003,MATCH($D663,ENVIOS!$A$4:$A$3003,0)),"—"))</f>
        <v/>
      </c>
      <c r="H663" s="23">
        <f>IF($D663="","",IFERROR(INDEX(ENVIOS!$E$4:$E$3003,MATCH($D663,ENVIOS!$A$4:$A$3003,0)),"—"))</f>
        <v/>
      </c>
      <c r="I663" s="23">
        <f>IF($D663="","",IFERROR(INDEX(ENVIOS!$F$4:$F$3003,MATCH($D663,ENVIOS!$A$4:$A$3003,0)),"—"))</f>
        <v/>
      </c>
      <c r="J663" s="23">
        <f>IF($D663="","",IFERROR(INDEX(ENVIOS!$G$4:$G$3003,MATCH($D663,ENVIOS!$A$4:$A$3003,0)),"—"))</f>
        <v/>
      </c>
      <c r="K663" s="28">
        <f>IF($D663="","",IFERROR(INDEX(ENVIOS!$H$4:$H$3003,MATCH($D663,ENVIOS!$A$4:$A$3003,0)),"—"))</f>
        <v/>
      </c>
      <c r="L663" s="49">
        <f>IF($D663="","",IFERROR(INDEX(ENVIOS!$C$4:$C$3003,MATCH($D663,ENVIOS!$A$4:$A$3003,0)),""))</f>
        <v/>
      </c>
      <c r="M663" s="50" t="n"/>
      <c r="N663" s="28">
        <f>IF($M663="","",IFERROR(INDEX(CONFIG!$C$4:$C$63,MATCH($M663,CONFIG!$A$4:$A$63,0)),"Media"))</f>
        <v/>
      </c>
      <c r="O663" s="28">
        <f>IF($M663="","",IF($C663="Interna","NO",IFERROR(INDEX(CONFIG!$E$4:$E$63,MATCH($M663,CONFIG!$A$4:$A$63,0)),"NO")))</f>
        <v/>
      </c>
      <c r="P663" s="50" t="n"/>
      <c r="Q663" s="50" t="n"/>
      <c r="R663" s="28">
        <f>IF($Q663="","",IFERROR(INDEX(CONFIG!$H$4:$H$63,MATCH($Q663,CONFIG!$G$4:$G$63,0)),"Por definir"))</f>
        <v/>
      </c>
      <c r="S663" s="28">
        <f>IF($Q663="","",IFERROR(INDEX(CONFIG!$I$4:$I$63,MATCH($Q663,CONFIG!$G$4:$G$63,0)),"Por definir"))</f>
        <v/>
      </c>
      <c r="T663" s="51" t="n"/>
      <c r="U663" s="52" t="n"/>
      <c r="V663" s="50" t="n"/>
      <c r="W663" s="50" t="n"/>
      <c r="X663" s="49">
        <f>IF(OR($B663="",$M663=""),"",WORKDAY($B663,IFERROR(INDEX(CONFIG!$D$4:$D$63,MATCH($M663,CONFIG!$A$4:$A$63,0)),3)))</f>
        <v/>
      </c>
      <c r="Y663" s="47" t="n"/>
      <c r="Z663" s="24">
        <f>IF($B663="","",IF($Y663&lt;&gt;"",$Y663-$B663,TODAY()-$B663))</f>
        <v/>
      </c>
      <c r="AA663" s="28">
        <f>IF($B663="","",IF(IFERROR(INDEX(CONFIG!$L$4:$L$63,MATCH($V663,CONFIG!$K$4:$K$63,0)),"NO")="SÍ",IF(OR($Y663="",$X663=""),"Resuelta",IF($Y663&gt;$X663,"Resuelta tarde","Resuelta a tiempo")),IF($X663="","Sin clasificar",IF(TODAY()&gt;$X663,"Vencida",IF(TODAY()&gt;=$X663-1,"Por vencer","En plazo")))))</f>
        <v/>
      </c>
      <c r="AB663" s="50" t="n"/>
      <c r="AC663" s="50" t="n"/>
    </row>
    <row r="664" ht="16" customHeight="1">
      <c r="A664" s="28">
        <f>IF($B664="","","N-"&amp;TEXT(ROW()-3,"0000"))</f>
        <v/>
      </c>
      <c r="B664" s="47" t="n"/>
      <c r="C664" s="48" t="n"/>
      <c r="D664" s="48" t="n"/>
      <c r="E664" s="28">
        <f>IF($C664="","",IF($D664="",IF($C664="Interna","Sin guía (interna)","FALTA GUÍA"),IF(COUNTIFS(ENVIOS!$A$4:$A$3003,$D664)=0,"NO EXISTE",IF(COUNTIFS(ENVIOS!$A$4:$A$3003,$D664)&gt;1,"DUPLICADA","OK"))))</f>
        <v/>
      </c>
      <c r="F664" s="28">
        <f>IF($D664="","",IFERROR(INDEX(ENVIOS!$B$4:$B$3003,MATCH($D664,ENVIOS!$A$4:$A$3003,0)),"—"))</f>
        <v/>
      </c>
      <c r="G664" s="23">
        <f>IF($D664="","",IFERROR(INDEX(ENVIOS!$D$4:$D$3003,MATCH($D664,ENVIOS!$A$4:$A$3003,0)),"—"))</f>
        <v/>
      </c>
      <c r="H664" s="23">
        <f>IF($D664="","",IFERROR(INDEX(ENVIOS!$E$4:$E$3003,MATCH($D664,ENVIOS!$A$4:$A$3003,0)),"—"))</f>
        <v/>
      </c>
      <c r="I664" s="23">
        <f>IF($D664="","",IFERROR(INDEX(ENVIOS!$F$4:$F$3003,MATCH($D664,ENVIOS!$A$4:$A$3003,0)),"—"))</f>
        <v/>
      </c>
      <c r="J664" s="23">
        <f>IF($D664="","",IFERROR(INDEX(ENVIOS!$G$4:$G$3003,MATCH($D664,ENVIOS!$A$4:$A$3003,0)),"—"))</f>
        <v/>
      </c>
      <c r="K664" s="28">
        <f>IF($D664="","",IFERROR(INDEX(ENVIOS!$H$4:$H$3003,MATCH($D664,ENVIOS!$A$4:$A$3003,0)),"—"))</f>
        <v/>
      </c>
      <c r="L664" s="49">
        <f>IF($D664="","",IFERROR(INDEX(ENVIOS!$C$4:$C$3003,MATCH($D664,ENVIOS!$A$4:$A$3003,0)),""))</f>
        <v/>
      </c>
      <c r="M664" s="50" t="n"/>
      <c r="N664" s="28">
        <f>IF($M664="","",IFERROR(INDEX(CONFIG!$C$4:$C$63,MATCH($M664,CONFIG!$A$4:$A$63,0)),"Media"))</f>
        <v/>
      </c>
      <c r="O664" s="28">
        <f>IF($M664="","",IF($C664="Interna","NO",IFERROR(INDEX(CONFIG!$E$4:$E$63,MATCH($M664,CONFIG!$A$4:$A$63,0)),"NO")))</f>
        <v/>
      </c>
      <c r="P664" s="50" t="n"/>
      <c r="Q664" s="50" t="n"/>
      <c r="R664" s="28">
        <f>IF($Q664="","",IFERROR(INDEX(CONFIG!$H$4:$H$63,MATCH($Q664,CONFIG!$G$4:$G$63,0)),"Por definir"))</f>
        <v/>
      </c>
      <c r="S664" s="28">
        <f>IF($Q664="","",IFERROR(INDEX(CONFIG!$I$4:$I$63,MATCH($Q664,CONFIG!$G$4:$G$63,0)),"Por definir"))</f>
        <v/>
      </c>
      <c r="T664" s="51" t="n"/>
      <c r="U664" s="52" t="n"/>
      <c r="V664" s="50" t="n"/>
      <c r="W664" s="50" t="n"/>
      <c r="X664" s="49">
        <f>IF(OR($B664="",$M664=""),"",WORKDAY($B664,IFERROR(INDEX(CONFIG!$D$4:$D$63,MATCH($M664,CONFIG!$A$4:$A$63,0)),3)))</f>
        <v/>
      </c>
      <c r="Y664" s="47" t="n"/>
      <c r="Z664" s="24">
        <f>IF($B664="","",IF($Y664&lt;&gt;"",$Y664-$B664,TODAY()-$B664))</f>
        <v/>
      </c>
      <c r="AA664" s="28">
        <f>IF($B664="","",IF(IFERROR(INDEX(CONFIG!$L$4:$L$63,MATCH($V664,CONFIG!$K$4:$K$63,0)),"NO")="SÍ",IF(OR($Y664="",$X664=""),"Resuelta",IF($Y664&gt;$X664,"Resuelta tarde","Resuelta a tiempo")),IF($X664="","Sin clasificar",IF(TODAY()&gt;$X664,"Vencida",IF(TODAY()&gt;=$X664-1,"Por vencer","En plazo")))))</f>
        <v/>
      </c>
      <c r="AB664" s="50" t="n"/>
      <c r="AC664" s="50" t="n"/>
    </row>
    <row r="665" ht="16" customHeight="1">
      <c r="A665" s="28">
        <f>IF($B665="","","N-"&amp;TEXT(ROW()-3,"0000"))</f>
        <v/>
      </c>
      <c r="B665" s="47" t="n"/>
      <c r="C665" s="48" t="n"/>
      <c r="D665" s="48" t="n"/>
      <c r="E665" s="28">
        <f>IF($C665="","",IF($D665="",IF($C665="Interna","Sin guía (interna)","FALTA GUÍA"),IF(COUNTIFS(ENVIOS!$A$4:$A$3003,$D665)=0,"NO EXISTE",IF(COUNTIFS(ENVIOS!$A$4:$A$3003,$D665)&gt;1,"DUPLICADA","OK"))))</f>
        <v/>
      </c>
      <c r="F665" s="28">
        <f>IF($D665="","",IFERROR(INDEX(ENVIOS!$B$4:$B$3003,MATCH($D665,ENVIOS!$A$4:$A$3003,0)),"—"))</f>
        <v/>
      </c>
      <c r="G665" s="23">
        <f>IF($D665="","",IFERROR(INDEX(ENVIOS!$D$4:$D$3003,MATCH($D665,ENVIOS!$A$4:$A$3003,0)),"—"))</f>
        <v/>
      </c>
      <c r="H665" s="23">
        <f>IF($D665="","",IFERROR(INDEX(ENVIOS!$E$4:$E$3003,MATCH($D665,ENVIOS!$A$4:$A$3003,0)),"—"))</f>
        <v/>
      </c>
      <c r="I665" s="23">
        <f>IF($D665="","",IFERROR(INDEX(ENVIOS!$F$4:$F$3003,MATCH($D665,ENVIOS!$A$4:$A$3003,0)),"—"))</f>
        <v/>
      </c>
      <c r="J665" s="23">
        <f>IF($D665="","",IFERROR(INDEX(ENVIOS!$G$4:$G$3003,MATCH($D665,ENVIOS!$A$4:$A$3003,0)),"—"))</f>
        <v/>
      </c>
      <c r="K665" s="28">
        <f>IF($D665="","",IFERROR(INDEX(ENVIOS!$H$4:$H$3003,MATCH($D665,ENVIOS!$A$4:$A$3003,0)),"—"))</f>
        <v/>
      </c>
      <c r="L665" s="49">
        <f>IF($D665="","",IFERROR(INDEX(ENVIOS!$C$4:$C$3003,MATCH($D665,ENVIOS!$A$4:$A$3003,0)),""))</f>
        <v/>
      </c>
      <c r="M665" s="50" t="n"/>
      <c r="N665" s="28">
        <f>IF($M665="","",IFERROR(INDEX(CONFIG!$C$4:$C$63,MATCH($M665,CONFIG!$A$4:$A$63,0)),"Media"))</f>
        <v/>
      </c>
      <c r="O665" s="28">
        <f>IF($M665="","",IF($C665="Interna","NO",IFERROR(INDEX(CONFIG!$E$4:$E$63,MATCH($M665,CONFIG!$A$4:$A$63,0)),"NO")))</f>
        <v/>
      </c>
      <c r="P665" s="50" t="n"/>
      <c r="Q665" s="50" t="n"/>
      <c r="R665" s="28">
        <f>IF($Q665="","",IFERROR(INDEX(CONFIG!$H$4:$H$63,MATCH($Q665,CONFIG!$G$4:$G$63,0)),"Por definir"))</f>
        <v/>
      </c>
      <c r="S665" s="28">
        <f>IF($Q665="","",IFERROR(INDEX(CONFIG!$I$4:$I$63,MATCH($Q665,CONFIG!$G$4:$G$63,0)),"Por definir"))</f>
        <v/>
      </c>
      <c r="T665" s="51" t="n"/>
      <c r="U665" s="52" t="n"/>
      <c r="V665" s="50" t="n"/>
      <c r="W665" s="50" t="n"/>
      <c r="X665" s="49">
        <f>IF(OR($B665="",$M665=""),"",WORKDAY($B665,IFERROR(INDEX(CONFIG!$D$4:$D$63,MATCH($M665,CONFIG!$A$4:$A$63,0)),3)))</f>
        <v/>
      </c>
      <c r="Y665" s="47" t="n"/>
      <c r="Z665" s="24">
        <f>IF($B665="","",IF($Y665&lt;&gt;"",$Y665-$B665,TODAY()-$B665))</f>
        <v/>
      </c>
      <c r="AA665" s="28">
        <f>IF($B665="","",IF(IFERROR(INDEX(CONFIG!$L$4:$L$63,MATCH($V665,CONFIG!$K$4:$K$63,0)),"NO")="SÍ",IF(OR($Y665="",$X665=""),"Resuelta",IF($Y665&gt;$X665,"Resuelta tarde","Resuelta a tiempo")),IF($X665="","Sin clasificar",IF(TODAY()&gt;$X665,"Vencida",IF(TODAY()&gt;=$X665-1,"Por vencer","En plazo")))))</f>
        <v/>
      </c>
      <c r="AB665" s="50" t="n"/>
      <c r="AC665" s="50" t="n"/>
    </row>
    <row r="666" ht="16" customHeight="1">
      <c r="A666" s="28">
        <f>IF($B666="","","N-"&amp;TEXT(ROW()-3,"0000"))</f>
        <v/>
      </c>
      <c r="B666" s="47" t="n"/>
      <c r="C666" s="48" t="n"/>
      <c r="D666" s="48" t="n"/>
      <c r="E666" s="28">
        <f>IF($C666="","",IF($D666="",IF($C666="Interna","Sin guía (interna)","FALTA GUÍA"),IF(COUNTIFS(ENVIOS!$A$4:$A$3003,$D666)=0,"NO EXISTE",IF(COUNTIFS(ENVIOS!$A$4:$A$3003,$D666)&gt;1,"DUPLICADA","OK"))))</f>
        <v/>
      </c>
      <c r="F666" s="28">
        <f>IF($D666="","",IFERROR(INDEX(ENVIOS!$B$4:$B$3003,MATCH($D666,ENVIOS!$A$4:$A$3003,0)),"—"))</f>
        <v/>
      </c>
      <c r="G666" s="23">
        <f>IF($D666="","",IFERROR(INDEX(ENVIOS!$D$4:$D$3003,MATCH($D666,ENVIOS!$A$4:$A$3003,0)),"—"))</f>
        <v/>
      </c>
      <c r="H666" s="23">
        <f>IF($D666="","",IFERROR(INDEX(ENVIOS!$E$4:$E$3003,MATCH($D666,ENVIOS!$A$4:$A$3003,0)),"—"))</f>
        <v/>
      </c>
      <c r="I666" s="23">
        <f>IF($D666="","",IFERROR(INDEX(ENVIOS!$F$4:$F$3003,MATCH($D666,ENVIOS!$A$4:$A$3003,0)),"—"))</f>
        <v/>
      </c>
      <c r="J666" s="23">
        <f>IF($D666="","",IFERROR(INDEX(ENVIOS!$G$4:$G$3003,MATCH($D666,ENVIOS!$A$4:$A$3003,0)),"—"))</f>
        <v/>
      </c>
      <c r="K666" s="28">
        <f>IF($D666="","",IFERROR(INDEX(ENVIOS!$H$4:$H$3003,MATCH($D666,ENVIOS!$A$4:$A$3003,0)),"—"))</f>
        <v/>
      </c>
      <c r="L666" s="49">
        <f>IF($D666="","",IFERROR(INDEX(ENVIOS!$C$4:$C$3003,MATCH($D666,ENVIOS!$A$4:$A$3003,0)),""))</f>
        <v/>
      </c>
      <c r="M666" s="50" t="n"/>
      <c r="N666" s="28">
        <f>IF($M666="","",IFERROR(INDEX(CONFIG!$C$4:$C$63,MATCH($M666,CONFIG!$A$4:$A$63,0)),"Media"))</f>
        <v/>
      </c>
      <c r="O666" s="28">
        <f>IF($M666="","",IF($C666="Interna","NO",IFERROR(INDEX(CONFIG!$E$4:$E$63,MATCH($M666,CONFIG!$A$4:$A$63,0)),"NO")))</f>
        <v/>
      </c>
      <c r="P666" s="50" t="n"/>
      <c r="Q666" s="50" t="n"/>
      <c r="R666" s="28">
        <f>IF($Q666="","",IFERROR(INDEX(CONFIG!$H$4:$H$63,MATCH($Q666,CONFIG!$G$4:$G$63,0)),"Por definir"))</f>
        <v/>
      </c>
      <c r="S666" s="28">
        <f>IF($Q666="","",IFERROR(INDEX(CONFIG!$I$4:$I$63,MATCH($Q666,CONFIG!$G$4:$G$63,0)),"Por definir"))</f>
        <v/>
      </c>
      <c r="T666" s="51" t="n"/>
      <c r="U666" s="52" t="n"/>
      <c r="V666" s="50" t="n"/>
      <c r="W666" s="50" t="n"/>
      <c r="X666" s="49">
        <f>IF(OR($B666="",$M666=""),"",WORKDAY($B666,IFERROR(INDEX(CONFIG!$D$4:$D$63,MATCH($M666,CONFIG!$A$4:$A$63,0)),3)))</f>
        <v/>
      </c>
      <c r="Y666" s="47" t="n"/>
      <c r="Z666" s="24">
        <f>IF($B666="","",IF($Y666&lt;&gt;"",$Y666-$B666,TODAY()-$B666))</f>
        <v/>
      </c>
      <c r="AA666" s="28">
        <f>IF($B666="","",IF(IFERROR(INDEX(CONFIG!$L$4:$L$63,MATCH($V666,CONFIG!$K$4:$K$63,0)),"NO")="SÍ",IF(OR($Y666="",$X666=""),"Resuelta",IF($Y666&gt;$X666,"Resuelta tarde","Resuelta a tiempo")),IF($X666="","Sin clasificar",IF(TODAY()&gt;$X666,"Vencida",IF(TODAY()&gt;=$X666-1,"Por vencer","En plazo")))))</f>
        <v/>
      </c>
      <c r="AB666" s="50" t="n"/>
      <c r="AC666" s="50" t="n"/>
    </row>
    <row r="667" ht="16" customHeight="1">
      <c r="A667" s="28">
        <f>IF($B667="","","N-"&amp;TEXT(ROW()-3,"0000"))</f>
        <v/>
      </c>
      <c r="B667" s="47" t="n"/>
      <c r="C667" s="48" t="n"/>
      <c r="D667" s="48" t="n"/>
      <c r="E667" s="28">
        <f>IF($C667="","",IF($D667="",IF($C667="Interna","Sin guía (interna)","FALTA GUÍA"),IF(COUNTIFS(ENVIOS!$A$4:$A$3003,$D667)=0,"NO EXISTE",IF(COUNTIFS(ENVIOS!$A$4:$A$3003,$D667)&gt;1,"DUPLICADA","OK"))))</f>
        <v/>
      </c>
      <c r="F667" s="28">
        <f>IF($D667="","",IFERROR(INDEX(ENVIOS!$B$4:$B$3003,MATCH($D667,ENVIOS!$A$4:$A$3003,0)),"—"))</f>
        <v/>
      </c>
      <c r="G667" s="23">
        <f>IF($D667="","",IFERROR(INDEX(ENVIOS!$D$4:$D$3003,MATCH($D667,ENVIOS!$A$4:$A$3003,0)),"—"))</f>
        <v/>
      </c>
      <c r="H667" s="23">
        <f>IF($D667="","",IFERROR(INDEX(ENVIOS!$E$4:$E$3003,MATCH($D667,ENVIOS!$A$4:$A$3003,0)),"—"))</f>
        <v/>
      </c>
      <c r="I667" s="23">
        <f>IF($D667="","",IFERROR(INDEX(ENVIOS!$F$4:$F$3003,MATCH($D667,ENVIOS!$A$4:$A$3003,0)),"—"))</f>
        <v/>
      </c>
      <c r="J667" s="23">
        <f>IF($D667="","",IFERROR(INDEX(ENVIOS!$G$4:$G$3003,MATCH($D667,ENVIOS!$A$4:$A$3003,0)),"—"))</f>
        <v/>
      </c>
      <c r="K667" s="28">
        <f>IF($D667="","",IFERROR(INDEX(ENVIOS!$H$4:$H$3003,MATCH($D667,ENVIOS!$A$4:$A$3003,0)),"—"))</f>
        <v/>
      </c>
      <c r="L667" s="49">
        <f>IF($D667="","",IFERROR(INDEX(ENVIOS!$C$4:$C$3003,MATCH($D667,ENVIOS!$A$4:$A$3003,0)),""))</f>
        <v/>
      </c>
      <c r="M667" s="50" t="n"/>
      <c r="N667" s="28">
        <f>IF($M667="","",IFERROR(INDEX(CONFIG!$C$4:$C$63,MATCH($M667,CONFIG!$A$4:$A$63,0)),"Media"))</f>
        <v/>
      </c>
      <c r="O667" s="28">
        <f>IF($M667="","",IF($C667="Interna","NO",IFERROR(INDEX(CONFIG!$E$4:$E$63,MATCH($M667,CONFIG!$A$4:$A$63,0)),"NO")))</f>
        <v/>
      </c>
      <c r="P667" s="50" t="n"/>
      <c r="Q667" s="50" t="n"/>
      <c r="R667" s="28">
        <f>IF($Q667="","",IFERROR(INDEX(CONFIG!$H$4:$H$63,MATCH($Q667,CONFIG!$G$4:$G$63,0)),"Por definir"))</f>
        <v/>
      </c>
      <c r="S667" s="28">
        <f>IF($Q667="","",IFERROR(INDEX(CONFIG!$I$4:$I$63,MATCH($Q667,CONFIG!$G$4:$G$63,0)),"Por definir"))</f>
        <v/>
      </c>
      <c r="T667" s="51" t="n"/>
      <c r="U667" s="52" t="n"/>
      <c r="V667" s="50" t="n"/>
      <c r="W667" s="50" t="n"/>
      <c r="X667" s="49">
        <f>IF(OR($B667="",$M667=""),"",WORKDAY($B667,IFERROR(INDEX(CONFIG!$D$4:$D$63,MATCH($M667,CONFIG!$A$4:$A$63,0)),3)))</f>
        <v/>
      </c>
      <c r="Y667" s="47" t="n"/>
      <c r="Z667" s="24">
        <f>IF($B667="","",IF($Y667&lt;&gt;"",$Y667-$B667,TODAY()-$B667))</f>
        <v/>
      </c>
      <c r="AA667" s="28">
        <f>IF($B667="","",IF(IFERROR(INDEX(CONFIG!$L$4:$L$63,MATCH($V667,CONFIG!$K$4:$K$63,0)),"NO")="SÍ",IF(OR($Y667="",$X667=""),"Resuelta",IF($Y667&gt;$X667,"Resuelta tarde","Resuelta a tiempo")),IF($X667="","Sin clasificar",IF(TODAY()&gt;$X667,"Vencida",IF(TODAY()&gt;=$X667-1,"Por vencer","En plazo")))))</f>
        <v/>
      </c>
      <c r="AB667" s="50" t="n"/>
      <c r="AC667" s="50" t="n"/>
    </row>
    <row r="668" ht="16" customHeight="1">
      <c r="A668" s="28">
        <f>IF($B668="","","N-"&amp;TEXT(ROW()-3,"0000"))</f>
        <v/>
      </c>
      <c r="B668" s="47" t="n"/>
      <c r="C668" s="48" t="n"/>
      <c r="D668" s="48" t="n"/>
      <c r="E668" s="28">
        <f>IF($C668="","",IF($D668="",IF($C668="Interna","Sin guía (interna)","FALTA GUÍA"),IF(COUNTIFS(ENVIOS!$A$4:$A$3003,$D668)=0,"NO EXISTE",IF(COUNTIFS(ENVIOS!$A$4:$A$3003,$D668)&gt;1,"DUPLICADA","OK"))))</f>
        <v/>
      </c>
      <c r="F668" s="28">
        <f>IF($D668="","",IFERROR(INDEX(ENVIOS!$B$4:$B$3003,MATCH($D668,ENVIOS!$A$4:$A$3003,0)),"—"))</f>
        <v/>
      </c>
      <c r="G668" s="23">
        <f>IF($D668="","",IFERROR(INDEX(ENVIOS!$D$4:$D$3003,MATCH($D668,ENVIOS!$A$4:$A$3003,0)),"—"))</f>
        <v/>
      </c>
      <c r="H668" s="23">
        <f>IF($D668="","",IFERROR(INDEX(ENVIOS!$E$4:$E$3003,MATCH($D668,ENVIOS!$A$4:$A$3003,0)),"—"))</f>
        <v/>
      </c>
      <c r="I668" s="23">
        <f>IF($D668="","",IFERROR(INDEX(ENVIOS!$F$4:$F$3003,MATCH($D668,ENVIOS!$A$4:$A$3003,0)),"—"))</f>
        <v/>
      </c>
      <c r="J668" s="23">
        <f>IF($D668="","",IFERROR(INDEX(ENVIOS!$G$4:$G$3003,MATCH($D668,ENVIOS!$A$4:$A$3003,0)),"—"))</f>
        <v/>
      </c>
      <c r="K668" s="28">
        <f>IF($D668="","",IFERROR(INDEX(ENVIOS!$H$4:$H$3003,MATCH($D668,ENVIOS!$A$4:$A$3003,0)),"—"))</f>
        <v/>
      </c>
      <c r="L668" s="49">
        <f>IF($D668="","",IFERROR(INDEX(ENVIOS!$C$4:$C$3003,MATCH($D668,ENVIOS!$A$4:$A$3003,0)),""))</f>
        <v/>
      </c>
      <c r="M668" s="50" t="n"/>
      <c r="N668" s="28">
        <f>IF($M668="","",IFERROR(INDEX(CONFIG!$C$4:$C$63,MATCH($M668,CONFIG!$A$4:$A$63,0)),"Media"))</f>
        <v/>
      </c>
      <c r="O668" s="28">
        <f>IF($M668="","",IF($C668="Interna","NO",IFERROR(INDEX(CONFIG!$E$4:$E$63,MATCH($M668,CONFIG!$A$4:$A$63,0)),"NO")))</f>
        <v/>
      </c>
      <c r="P668" s="50" t="n"/>
      <c r="Q668" s="50" t="n"/>
      <c r="R668" s="28">
        <f>IF($Q668="","",IFERROR(INDEX(CONFIG!$H$4:$H$63,MATCH($Q668,CONFIG!$G$4:$G$63,0)),"Por definir"))</f>
        <v/>
      </c>
      <c r="S668" s="28">
        <f>IF($Q668="","",IFERROR(INDEX(CONFIG!$I$4:$I$63,MATCH($Q668,CONFIG!$G$4:$G$63,0)),"Por definir"))</f>
        <v/>
      </c>
      <c r="T668" s="51" t="n"/>
      <c r="U668" s="52" t="n"/>
      <c r="V668" s="50" t="n"/>
      <c r="W668" s="50" t="n"/>
      <c r="X668" s="49">
        <f>IF(OR($B668="",$M668=""),"",WORKDAY($B668,IFERROR(INDEX(CONFIG!$D$4:$D$63,MATCH($M668,CONFIG!$A$4:$A$63,0)),3)))</f>
        <v/>
      </c>
      <c r="Y668" s="47" t="n"/>
      <c r="Z668" s="24">
        <f>IF($B668="","",IF($Y668&lt;&gt;"",$Y668-$B668,TODAY()-$B668))</f>
        <v/>
      </c>
      <c r="AA668" s="28">
        <f>IF($B668="","",IF(IFERROR(INDEX(CONFIG!$L$4:$L$63,MATCH($V668,CONFIG!$K$4:$K$63,0)),"NO")="SÍ",IF(OR($Y668="",$X668=""),"Resuelta",IF($Y668&gt;$X668,"Resuelta tarde","Resuelta a tiempo")),IF($X668="","Sin clasificar",IF(TODAY()&gt;$X668,"Vencida",IF(TODAY()&gt;=$X668-1,"Por vencer","En plazo")))))</f>
        <v/>
      </c>
      <c r="AB668" s="50" t="n"/>
      <c r="AC668" s="50" t="n"/>
    </row>
    <row r="669" ht="16" customHeight="1">
      <c r="A669" s="28">
        <f>IF($B669="","","N-"&amp;TEXT(ROW()-3,"0000"))</f>
        <v/>
      </c>
      <c r="B669" s="47" t="n"/>
      <c r="C669" s="48" t="n"/>
      <c r="D669" s="48" t="n"/>
      <c r="E669" s="28">
        <f>IF($C669="","",IF($D669="",IF($C669="Interna","Sin guía (interna)","FALTA GUÍA"),IF(COUNTIFS(ENVIOS!$A$4:$A$3003,$D669)=0,"NO EXISTE",IF(COUNTIFS(ENVIOS!$A$4:$A$3003,$D669)&gt;1,"DUPLICADA","OK"))))</f>
        <v/>
      </c>
      <c r="F669" s="28">
        <f>IF($D669="","",IFERROR(INDEX(ENVIOS!$B$4:$B$3003,MATCH($D669,ENVIOS!$A$4:$A$3003,0)),"—"))</f>
        <v/>
      </c>
      <c r="G669" s="23">
        <f>IF($D669="","",IFERROR(INDEX(ENVIOS!$D$4:$D$3003,MATCH($D669,ENVIOS!$A$4:$A$3003,0)),"—"))</f>
        <v/>
      </c>
      <c r="H669" s="23">
        <f>IF($D669="","",IFERROR(INDEX(ENVIOS!$E$4:$E$3003,MATCH($D669,ENVIOS!$A$4:$A$3003,0)),"—"))</f>
        <v/>
      </c>
      <c r="I669" s="23">
        <f>IF($D669="","",IFERROR(INDEX(ENVIOS!$F$4:$F$3003,MATCH($D669,ENVIOS!$A$4:$A$3003,0)),"—"))</f>
        <v/>
      </c>
      <c r="J669" s="23">
        <f>IF($D669="","",IFERROR(INDEX(ENVIOS!$G$4:$G$3003,MATCH($D669,ENVIOS!$A$4:$A$3003,0)),"—"))</f>
        <v/>
      </c>
      <c r="K669" s="28">
        <f>IF($D669="","",IFERROR(INDEX(ENVIOS!$H$4:$H$3003,MATCH($D669,ENVIOS!$A$4:$A$3003,0)),"—"))</f>
        <v/>
      </c>
      <c r="L669" s="49">
        <f>IF($D669="","",IFERROR(INDEX(ENVIOS!$C$4:$C$3003,MATCH($D669,ENVIOS!$A$4:$A$3003,0)),""))</f>
        <v/>
      </c>
      <c r="M669" s="50" t="n"/>
      <c r="N669" s="28">
        <f>IF($M669="","",IFERROR(INDEX(CONFIG!$C$4:$C$63,MATCH($M669,CONFIG!$A$4:$A$63,0)),"Media"))</f>
        <v/>
      </c>
      <c r="O669" s="28">
        <f>IF($M669="","",IF($C669="Interna","NO",IFERROR(INDEX(CONFIG!$E$4:$E$63,MATCH($M669,CONFIG!$A$4:$A$63,0)),"NO")))</f>
        <v/>
      </c>
      <c r="P669" s="50" t="n"/>
      <c r="Q669" s="50" t="n"/>
      <c r="R669" s="28">
        <f>IF($Q669="","",IFERROR(INDEX(CONFIG!$H$4:$H$63,MATCH($Q669,CONFIG!$G$4:$G$63,0)),"Por definir"))</f>
        <v/>
      </c>
      <c r="S669" s="28">
        <f>IF($Q669="","",IFERROR(INDEX(CONFIG!$I$4:$I$63,MATCH($Q669,CONFIG!$G$4:$G$63,0)),"Por definir"))</f>
        <v/>
      </c>
      <c r="T669" s="51" t="n"/>
      <c r="U669" s="52" t="n"/>
      <c r="V669" s="50" t="n"/>
      <c r="W669" s="50" t="n"/>
      <c r="X669" s="49">
        <f>IF(OR($B669="",$M669=""),"",WORKDAY($B669,IFERROR(INDEX(CONFIG!$D$4:$D$63,MATCH($M669,CONFIG!$A$4:$A$63,0)),3)))</f>
        <v/>
      </c>
      <c r="Y669" s="47" t="n"/>
      <c r="Z669" s="24">
        <f>IF($B669="","",IF($Y669&lt;&gt;"",$Y669-$B669,TODAY()-$B669))</f>
        <v/>
      </c>
      <c r="AA669" s="28">
        <f>IF($B669="","",IF(IFERROR(INDEX(CONFIG!$L$4:$L$63,MATCH($V669,CONFIG!$K$4:$K$63,0)),"NO")="SÍ",IF(OR($Y669="",$X669=""),"Resuelta",IF($Y669&gt;$X669,"Resuelta tarde","Resuelta a tiempo")),IF($X669="","Sin clasificar",IF(TODAY()&gt;$X669,"Vencida",IF(TODAY()&gt;=$X669-1,"Por vencer","En plazo")))))</f>
        <v/>
      </c>
      <c r="AB669" s="50" t="n"/>
      <c r="AC669" s="50" t="n"/>
    </row>
    <row r="670" ht="16" customHeight="1">
      <c r="A670" s="28">
        <f>IF($B670="","","N-"&amp;TEXT(ROW()-3,"0000"))</f>
        <v/>
      </c>
      <c r="B670" s="47" t="n"/>
      <c r="C670" s="48" t="n"/>
      <c r="D670" s="48" t="n"/>
      <c r="E670" s="28">
        <f>IF($C670="","",IF($D670="",IF($C670="Interna","Sin guía (interna)","FALTA GUÍA"),IF(COUNTIFS(ENVIOS!$A$4:$A$3003,$D670)=0,"NO EXISTE",IF(COUNTIFS(ENVIOS!$A$4:$A$3003,$D670)&gt;1,"DUPLICADA","OK"))))</f>
        <v/>
      </c>
      <c r="F670" s="28">
        <f>IF($D670="","",IFERROR(INDEX(ENVIOS!$B$4:$B$3003,MATCH($D670,ENVIOS!$A$4:$A$3003,0)),"—"))</f>
        <v/>
      </c>
      <c r="G670" s="23">
        <f>IF($D670="","",IFERROR(INDEX(ENVIOS!$D$4:$D$3003,MATCH($D670,ENVIOS!$A$4:$A$3003,0)),"—"))</f>
        <v/>
      </c>
      <c r="H670" s="23">
        <f>IF($D670="","",IFERROR(INDEX(ENVIOS!$E$4:$E$3003,MATCH($D670,ENVIOS!$A$4:$A$3003,0)),"—"))</f>
        <v/>
      </c>
      <c r="I670" s="23">
        <f>IF($D670="","",IFERROR(INDEX(ENVIOS!$F$4:$F$3003,MATCH($D670,ENVIOS!$A$4:$A$3003,0)),"—"))</f>
        <v/>
      </c>
      <c r="J670" s="23">
        <f>IF($D670="","",IFERROR(INDEX(ENVIOS!$G$4:$G$3003,MATCH($D670,ENVIOS!$A$4:$A$3003,0)),"—"))</f>
        <v/>
      </c>
      <c r="K670" s="28">
        <f>IF($D670="","",IFERROR(INDEX(ENVIOS!$H$4:$H$3003,MATCH($D670,ENVIOS!$A$4:$A$3003,0)),"—"))</f>
        <v/>
      </c>
      <c r="L670" s="49">
        <f>IF($D670="","",IFERROR(INDEX(ENVIOS!$C$4:$C$3003,MATCH($D670,ENVIOS!$A$4:$A$3003,0)),""))</f>
        <v/>
      </c>
      <c r="M670" s="50" t="n"/>
      <c r="N670" s="28">
        <f>IF($M670="","",IFERROR(INDEX(CONFIG!$C$4:$C$63,MATCH($M670,CONFIG!$A$4:$A$63,0)),"Media"))</f>
        <v/>
      </c>
      <c r="O670" s="28">
        <f>IF($M670="","",IF($C670="Interna","NO",IFERROR(INDEX(CONFIG!$E$4:$E$63,MATCH($M670,CONFIG!$A$4:$A$63,0)),"NO")))</f>
        <v/>
      </c>
      <c r="P670" s="50" t="n"/>
      <c r="Q670" s="50" t="n"/>
      <c r="R670" s="28">
        <f>IF($Q670="","",IFERROR(INDEX(CONFIG!$H$4:$H$63,MATCH($Q670,CONFIG!$G$4:$G$63,0)),"Por definir"))</f>
        <v/>
      </c>
      <c r="S670" s="28">
        <f>IF($Q670="","",IFERROR(INDEX(CONFIG!$I$4:$I$63,MATCH($Q670,CONFIG!$G$4:$G$63,0)),"Por definir"))</f>
        <v/>
      </c>
      <c r="T670" s="51" t="n"/>
      <c r="U670" s="52" t="n"/>
      <c r="V670" s="50" t="n"/>
      <c r="W670" s="50" t="n"/>
      <c r="X670" s="49">
        <f>IF(OR($B670="",$M670=""),"",WORKDAY($B670,IFERROR(INDEX(CONFIG!$D$4:$D$63,MATCH($M670,CONFIG!$A$4:$A$63,0)),3)))</f>
        <v/>
      </c>
      <c r="Y670" s="47" t="n"/>
      <c r="Z670" s="24">
        <f>IF($B670="","",IF($Y670&lt;&gt;"",$Y670-$B670,TODAY()-$B670))</f>
        <v/>
      </c>
      <c r="AA670" s="28">
        <f>IF($B670="","",IF(IFERROR(INDEX(CONFIG!$L$4:$L$63,MATCH($V670,CONFIG!$K$4:$K$63,0)),"NO")="SÍ",IF(OR($Y670="",$X670=""),"Resuelta",IF($Y670&gt;$X670,"Resuelta tarde","Resuelta a tiempo")),IF($X670="","Sin clasificar",IF(TODAY()&gt;$X670,"Vencida",IF(TODAY()&gt;=$X670-1,"Por vencer","En plazo")))))</f>
        <v/>
      </c>
      <c r="AB670" s="50" t="n"/>
      <c r="AC670" s="50" t="n"/>
    </row>
    <row r="671" ht="16" customHeight="1">
      <c r="A671" s="28">
        <f>IF($B671="","","N-"&amp;TEXT(ROW()-3,"0000"))</f>
        <v/>
      </c>
      <c r="B671" s="47" t="n"/>
      <c r="C671" s="48" t="n"/>
      <c r="D671" s="48" t="n"/>
      <c r="E671" s="28">
        <f>IF($C671="","",IF($D671="",IF($C671="Interna","Sin guía (interna)","FALTA GUÍA"),IF(COUNTIFS(ENVIOS!$A$4:$A$3003,$D671)=0,"NO EXISTE",IF(COUNTIFS(ENVIOS!$A$4:$A$3003,$D671)&gt;1,"DUPLICADA","OK"))))</f>
        <v/>
      </c>
      <c r="F671" s="28">
        <f>IF($D671="","",IFERROR(INDEX(ENVIOS!$B$4:$B$3003,MATCH($D671,ENVIOS!$A$4:$A$3003,0)),"—"))</f>
        <v/>
      </c>
      <c r="G671" s="23">
        <f>IF($D671="","",IFERROR(INDEX(ENVIOS!$D$4:$D$3003,MATCH($D671,ENVIOS!$A$4:$A$3003,0)),"—"))</f>
        <v/>
      </c>
      <c r="H671" s="23">
        <f>IF($D671="","",IFERROR(INDEX(ENVIOS!$E$4:$E$3003,MATCH($D671,ENVIOS!$A$4:$A$3003,0)),"—"))</f>
        <v/>
      </c>
      <c r="I671" s="23">
        <f>IF($D671="","",IFERROR(INDEX(ENVIOS!$F$4:$F$3003,MATCH($D671,ENVIOS!$A$4:$A$3003,0)),"—"))</f>
        <v/>
      </c>
      <c r="J671" s="23">
        <f>IF($D671="","",IFERROR(INDEX(ENVIOS!$G$4:$G$3003,MATCH($D671,ENVIOS!$A$4:$A$3003,0)),"—"))</f>
        <v/>
      </c>
      <c r="K671" s="28">
        <f>IF($D671="","",IFERROR(INDEX(ENVIOS!$H$4:$H$3003,MATCH($D671,ENVIOS!$A$4:$A$3003,0)),"—"))</f>
        <v/>
      </c>
      <c r="L671" s="49">
        <f>IF($D671="","",IFERROR(INDEX(ENVIOS!$C$4:$C$3003,MATCH($D671,ENVIOS!$A$4:$A$3003,0)),""))</f>
        <v/>
      </c>
      <c r="M671" s="50" t="n"/>
      <c r="N671" s="28">
        <f>IF($M671="","",IFERROR(INDEX(CONFIG!$C$4:$C$63,MATCH($M671,CONFIG!$A$4:$A$63,0)),"Media"))</f>
        <v/>
      </c>
      <c r="O671" s="28">
        <f>IF($M671="","",IF($C671="Interna","NO",IFERROR(INDEX(CONFIG!$E$4:$E$63,MATCH($M671,CONFIG!$A$4:$A$63,0)),"NO")))</f>
        <v/>
      </c>
      <c r="P671" s="50" t="n"/>
      <c r="Q671" s="50" t="n"/>
      <c r="R671" s="28">
        <f>IF($Q671="","",IFERROR(INDEX(CONFIG!$H$4:$H$63,MATCH($Q671,CONFIG!$G$4:$G$63,0)),"Por definir"))</f>
        <v/>
      </c>
      <c r="S671" s="28">
        <f>IF($Q671="","",IFERROR(INDEX(CONFIG!$I$4:$I$63,MATCH($Q671,CONFIG!$G$4:$G$63,0)),"Por definir"))</f>
        <v/>
      </c>
      <c r="T671" s="51" t="n"/>
      <c r="U671" s="52" t="n"/>
      <c r="V671" s="50" t="n"/>
      <c r="W671" s="50" t="n"/>
      <c r="X671" s="49">
        <f>IF(OR($B671="",$M671=""),"",WORKDAY($B671,IFERROR(INDEX(CONFIG!$D$4:$D$63,MATCH($M671,CONFIG!$A$4:$A$63,0)),3)))</f>
        <v/>
      </c>
      <c r="Y671" s="47" t="n"/>
      <c r="Z671" s="24">
        <f>IF($B671="","",IF($Y671&lt;&gt;"",$Y671-$B671,TODAY()-$B671))</f>
        <v/>
      </c>
      <c r="AA671" s="28">
        <f>IF($B671="","",IF(IFERROR(INDEX(CONFIG!$L$4:$L$63,MATCH($V671,CONFIG!$K$4:$K$63,0)),"NO")="SÍ",IF(OR($Y671="",$X671=""),"Resuelta",IF($Y671&gt;$X671,"Resuelta tarde","Resuelta a tiempo")),IF($X671="","Sin clasificar",IF(TODAY()&gt;$X671,"Vencida",IF(TODAY()&gt;=$X671-1,"Por vencer","En plazo")))))</f>
        <v/>
      </c>
      <c r="AB671" s="50" t="n"/>
      <c r="AC671" s="50" t="n"/>
    </row>
    <row r="672" ht="16" customHeight="1">
      <c r="A672" s="28">
        <f>IF($B672="","","N-"&amp;TEXT(ROW()-3,"0000"))</f>
        <v/>
      </c>
      <c r="B672" s="47" t="n"/>
      <c r="C672" s="48" t="n"/>
      <c r="D672" s="48" t="n"/>
      <c r="E672" s="28">
        <f>IF($C672="","",IF($D672="",IF($C672="Interna","Sin guía (interna)","FALTA GUÍA"),IF(COUNTIFS(ENVIOS!$A$4:$A$3003,$D672)=0,"NO EXISTE",IF(COUNTIFS(ENVIOS!$A$4:$A$3003,$D672)&gt;1,"DUPLICADA","OK"))))</f>
        <v/>
      </c>
      <c r="F672" s="28">
        <f>IF($D672="","",IFERROR(INDEX(ENVIOS!$B$4:$B$3003,MATCH($D672,ENVIOS!$A$4:$A$3003,0)),"—"))</f>
        <v/>
      </c>
      <c r="G672" s="23">
        <f>IF($D672="","",IFERROR(INDEX(ENVIOS!$D$4:$D$3003,MATCH($D672,ENVIOS!$A$4:$A$3003,0)),"—"))</f>
        <v/>
      </c>
      <c r="H672" s="23">
        <f>IF($D672="","",IFERROR(INDEX(ENVIOS!$E$4:$E$3003,MATCH($D672,ENVIOS!$A$4:$A$3003,0)),"—"))</f>
        <v/>
      </c>
      <c r="I672" s="23">
        <f>IF($D672="","",IFERROR(INDEX(ENVIOS!$F$4:$F$3003,MATCH($D672,ENVIOS!$A$4:$A$3003,0)),"—"))</f>
        <v/>
      </c>
      <c r="J672" s="23">
        <f>IF($D672="","",IFERROR(INDEX(ENVIOS!$G$4:$G$3003,MATCH($D672,ENVIOS!$A$4:$A$3003,0)),"—"))</f>
        <v/>
      </c>
      <c r="K672" s="28">
        <f>IF($D672="","",IFERROR(INDEX(ENVIOS!$H$4:$H$3003,MATCH($D672,ENVIOS!$A$4:$A$3003,0)),"—"))</f>
        <v/>
      </c>
      <c r="L672" s="49">
        <f>IF($D672="","",IFERROR(INDEX(ENVIOS!$C$4:$C$3003,MATCH($D672,ENVIOS!$A$4:$A$3003,0)),""))</f>
        <v/>
      </c>
      <c r="M672" s="50" t="n"/>
      <c r="N672" s="28">
        <f>IF($M672="","",IFERROR(INDEX(CONFIG!$C$4:$C$63,MATCH($M672,CONFIG!$A$4:$A$63,0)),"Media"))</f>
        <v/>
      </c>
      <c r="O672" s="28">
        <f>IF($M672="","",IF($C672="Interna","NO",IFERROR(INDEX(CONFIG!$E$4:$E$63,MATCH($M672,CONFIG!$A$4:$A$63,0)),"NO")))</f>
        <v/>
      </c>
      <c r="P672" s="50" t="n"/>
      <c r="Q672" s="50" t="n"/>
      <c r="R672" s="28">
        <f>IF($Q672="","",IFERROR(INDEX(CONFIG!$H$4:$H$63,MATCH($Q672,CONFIG!$G$4:$G$63,0)),"Por definir"))</f>
        <v/>
      </c>
      <c r="S672" s="28">
        <f>IF($Q672="","",IFERROR(INDEX(CONFIG!$I$4:$I$63,MATCH($Q672,CONFIG!$G$4:$G$63,0)),"Por definir"))</f>
        <v/>
      </c>
      <c r="T672" s="51" t="n"/>
      <c r="U672" s="52" t="n"/>
      <c r="V672" s="50" t="n"/>
      <c r="W672" s="50" t="n"/>
      <c r="X672" s="49">
        <f>IF(OR($B672="",$M672=""),"",WORKDAY($B672,IFERROR(INDEX(CONFIG!$D$4:$D$63,MATCH($M672,CONFIG!$A$4:$A$63,0)),3)))</f>
        <v/>
      </c>
      <c r="Y672" s="47" t="n"/>
      <c r="Z672" s="24">
        <f>IF($B672="","",IF($Y672&lt;&gt;"",$Y672-$B672,TODAY()-$B672))</f>
        <v/>
      </c>
      <c r="AA672" s="28">
        <f>IF($B672="","",IF(IFERROR(INDEX(CONFIG!$L$4:$L$63,MATCH($V672,CONFIG!$K$4:$K$63,0)),"NO")="SÍ",IF(OR($Y672="",$X672=""),"Resuelta",IF($Y672&gt;$X672,"Resuelta tarde","Resuelta a tiempo")),IF($X672="","Sin clasificar",IF(TODAY()&gt;$X672,"Vencida",IF(TODAY()&gt;=$X672-1,"Por vencer","En plazo")))))</f>
        <v/>
      </c>
      <c r="AB672" s="50" t="n"/>
      <c r="AC672" s="50" t="n"/>
    </row>
    <row r="673" ht="16" customHeight="1">
      <c r="A673" s="28">
        <f>IF($B673="","","N-"&amp;TEXT(ROW()-3,"0000"))</f>
        <v/>
      </c>
      <c r="B673" s="47" t="n"/>
      <c r="C673" s="48" t="n"/>
      <c r="D673" s="48" t="n"/>
      <c r="E673" s="28">
        <f>IF($C673="","",IF($D673="",IF($C673="Interna","Sin guía (interna)","FALTA GUÍA"),IF(COUNTIFS(ENVIOS!$A$4:$A$3003,$D673)=0,"NO EXISTE",IF(COUNTIFS(ENVIOS!$A$4:$A$3003,$D673)&gt;1,"DUPLICADA","OK"))))</f>
        <v/>
      </c>
      <c r="F673" s="28">
        <f>IF($D673="","",IFERROR(INDEX(ENVIOS!$B$4:$B$3003,MATCH($D673,ENVIOS!$A$4:$A$3003,0)),"—"))</f>
        <v/>
      </c>
      <c r="G673" s="23">
        <f>IF($D673="","",IFERROR(INDEX(ENVIOS!$D$4:$D$3003,MATCH($D673,ENVIOS!$A$4:$A$3003,0)),"—"))</f>
        <v/>
      </c>
      <c r="H673" s="23">
        <f>IF($D673="","",IFERROR(INDEX(ENVIOS!$E$4:$E$3003,MATCH($D673,ENVIOS!$A$4:$A$3003,0)),"—"))</f>
        <v/>
      </c>
      <c r="I673" s="23">
        <f>IF($D673="","",IFERROR(INDEX(ENVIOS!$F$4:$F$3003,MATCH($D673,ENVIOS!$A$4:$A$3003,0)),"—"))</f>
        <v/>
      </c>
      <c r="J673" s="23">
        <f>IF($D673="","",IFERROR(INDEX(ENVIOS!$G$4:$G$3003,MATCH($D673,ENVIOS!$A$4:$A$3003,0)),"—"))</f>
        <v/>
      </c>
      <c r="K673" s="28">
        <f>IF($D673="","",IFERROR(INDEX(ENVIOS!$H$4:$H$3003,MATCH($D673,ENVIOS!$A$4:$A$3003,0)),"—"))</f>
        <v/>
      </c>
      <c r="L673" s="49">
        <f>IF($D673="","",IFERROR(INDEX(ENVIOS!$C$4:$C$3003,MATCH($D673,ENVIOS!$A$4:$A$3003,0)),""))</f>
        <v/>
      </c>
      <c r="M673" s="50" t="n"/>
      <c r="N673" s="28">
        <f>IF($M673="","",IFERROR(INDEX(CONFIG!$C$4:$C$63,MATCH($M673,CONFIG!$A$4:$A$63,0)),"Media"))</f>
        <v/>
      </c>
      <c r="O673" s="28">
        <f>IF($M673="","",IF($C673="Interna","NO",IFERROR(INDEX(CONFIG!$E$4:$E$63,MATCH($M673,CONFIG!$A$4:$A$63,0)),"NO")))</f>
        <v/>
      </c>
      <c r="P673" s="50" t="n"/>
      <c r="Q673" s="50" t="n"/>
      <c r="R673" s="28">
        <f>IF($Q673="","",IFERROR(INDEX(CONFIG!$H$4:$H$63,MATCH($Q673,CONFIG!$G$4:$G$63,0)),"Por definir"))</f>
        <v/>
      </c>
      <c r="S673" s="28">
        <f>IF($Q673="","",IFERROR(INDEX(CONFIG!$I$4:$I$63,MATCH($Q673,CONFIG!$G$4:$G$63,0)),"Por definir"))</f>
        <v/>
      </c>
      <c r="T673" s="51" t="n"/>
      <c r="U673" s="52" t="n"/>
      <c r="V673" s="50" t="n"/>
      <c r="W673" s="50" t="n"/>
      <c r="X673" s="49">
        <f>IF(OR($B673="",$M673=""),"",WORKDAY($B673,IFERROR(INDEX(CONFIG!$D$4:$D$63,MATCH($M673,CONFIG!$A$4:$A$63,0)),3)))</f>
        <v/>
      </c>
      <c r="Y673" s="47" t="n"/>
      <c r="Z673" s="24">
        <f>IF($B673="","",IF($Y673&lt;&gt;"",$Y673-$B673,TODAY()-$B673))</f>
        <v/>
      </c>
      <c r="AA673" s="28">
        <f>IF($B673="","",IF(IFERROR(INDEX(CONFIG!$L$4:$L$63,MATCH($V673,CONFIG!$K$4:$K$63,0)),"NO")="SÍ",IF(OR($Y673="",$X673=""),"Resuelta",IF($Y673&gt;$X673,"Resuelta tarde","Resuelta a tiempo")),IF($X673="","Sin clasificar",IF(TODAY()&gt;$X673,"Vencida",IF(TODAY()&gt;=$X673-1,"Por vencer","En plazo")))))</f>
        <v/>
      </c>
      <c r="AB673" s="50" t="n"/>
      <c r="AC673" s="50" t="n"/>
    </row>
    <row r="674" ht="16" customHeight="1">
      <c r="A674" s="28">
        <f>IF($B674="","","N-"&amp;TEXT(ROW()-3,"0000"))</f>
        <v/>
      </c>
      <c r="B674" s="47" t="n"/>
      <c r="C674" s="48" t="n"/>
      <c r="D674" s="48" t="n"/>
      <c r="E674" s="28">
        <f>IF($C674="","",IF($D674="",IF($C674="Interna","Sin guía (interna)","FALTA GUÍA"),IF(COUNTIFS(ENVIOS!$A$4:$A$3003,$D674)=0,"NO EXISTE",IF(COUNTIFS(ENVIOS!$A$4:$A$3003,$D674)&gt;1,"DUPLICADA","OK"))))</f>
        <v/>
      </c>
      <c r="F674" s="28">
        <f>IF($D674="","",IFERROR(INDEX(ENVIOS!$B$4:$B$3003,MATCH($D674,ENVIOS!$A$4:$A$3003,0)),"—"))</f>
        <v/>
      </c>
      <c r="G674" s="23">
        <f>IF($D674="","",IFERROR(INDEX(ENVIOS!$D$4:$D$3003,MATCH($D674,ENVIOS!$A$4:$A$3003,0)),"—"))</f>
        <v/>
      </c>
      <c r="H674" s="23">
        <f>IF($D674="","",IFERROR(INDEX(ENVIOS!$E$4:$E$3003,MATCH($D674,ENVIOS!$A$4:$A$3003,0)),"—"))</f>
        <v/>
      </c>
      <c r="I674" s="23">
        <f>IF($D674="","",IFERROR(INDEX(ENVIOS!$F$4:$F$3003,MATCH($D674,ENVIOS!$A$4:$A$3003,0)),"—"))</f>
        <v/>
      </c>
      <c r="J674" s="23">
        <f>IF($D674="","",IFERROR(INDEX(ENVIOS!$G$4:$G$3003,MATCH($D674,ENVIOS!$A$4:$A$3003,0)),"—"))</f>
        <v/>
      </c>
      <c r="K674" s="28">
        <f>IF($D674="","",IFERROR(INDEX(ENVIOS!$H$4:$H$3003,MATCH($D674,ENVIOS!$A$4:$A$3003,0)),"—"))</f>
        <v/>
      </c>
      <c r="L674" s="49">
        <f>IF($D674="","",IFERROR(INDEX(ENVIOS!$C$4:$C$3003,MATCH($D674,ENVIOS!$A$4:$A$3003,0)),""))</f>
        <v/>
      </c>
      <c r="M674" s="50" t="n"/>
      <c r="N674" s="28">
        <f>IF($M674="","",IFERROR(INDEX(CONFIG!$C$4:$C$63,MATCH($M674,CONFIG!$A$4:$A$63,0)),"Media"))</f>
        <v/>
      </c>
      <c r="O674" s="28">
        <f>IF($M674="","",IF($C674="Interna","NO",IFERROR(INDEX(CONFIG!$E$4:$E$63,MATCH($M674,CONFIG!$A$4:$A$63,0)),"NO")))</f>
        <v/>
      </c>
      <c r="P674" s="50" t="n"/>
      <c r="Q674" s="50" t="n"/>
      <c r="R674" s="28">
        <f>IF($Q674="","",IFERROR(INDEX(CONFIG!$H$4:$H$63,MATCH($Q674,CONFIG!$G$4:$G$63,0)),"Por definir"))</f>
        <v/>
      </c>
      <c r="S674" s="28">
        <f>IF($Q674="","",IFERROR(INDEX(CONFIG!$I$4:$I$63,MATCH($Q674,CONFIG!$G$4:$G$63,0)),"Por definir"))</f>
        <v/>
      </c>
      <c r="T674" s="51" t="n"/>
      <c r="U674" s="52" t="n"/>
      <c r="V674" s="50" t="n"/>
      <c r="W674" s="50" t="n"/>
      <c r="X674" s="49">
        <f>IF(OR($B674="",$M674=""),"",WORKDAY($B674,IFERROR(INDEX(CONFIG!$D$4:$D$63,MATCH($M674,CONFIG!$A$4:$A$63,0)),3)))</f>
        <v/>
      </c>
      <c r="Y674" s="47" t="n"/>
      <c r="Z674" s="24">
        <f>IF($B674="","",IF($Y674&lt;&gt;"",$Y674-$B674,TODAY()-$B674))</f>
        <v/>
      </c>
      <c r="AA674" s="28">
        <f>IF($B674="","",IF(IFERROR(INDEX(CONFIG!$L$4:$L$63,MATCH($V674,CONFIG!$K$4:$K$63,0)),"NO")="SÍ",IF(OR($Y674="",$X674=""),"Resuelta",IF($Y674&gt;$X674,"Resuelta tarde","Resuelta a tiempo")),IF($X674="","Sin clasificar",IF(TODAY()&gt;$X674,"Vencida",IF(TODAY()&gt;=$X674-1,"Por vencer","En plazo")))))</f>
        <v/>
      </c>
      <c r="AB674" s="50" t="n"/>
      <c r="AC674" s="50" t="n"/>
    </row>
    <row r="675" ht="16" customHeight="1">
      <c r="A675" s="28">
        <f>IF($B675="","","N-"&amp;TEXT(ROW()-3,"0000"))</f>
        <v/>
      </c>
      <c r="B675" s="47" t="n"/>
      <c r="C675" s="48" t="n"/>
      <c r="D675" s="48" t="n"/>
      <c r="E675" s="28">
        <f>IF($C675="","",IF($D675="",IF($C675="Interna","Sin guía (interna)","FALTA GUÍA"),IF(COUNTIFS(ENVIOS!$A$4:$A$3003,$D675)=0,"NO EXISTE",IF(COUNTIFS(ENVIOS!$A$4:$A$3003,$D675)&gt;1,"DUPLICADA","OK"))))</f>
        <v/>
      </c>
      <c r="F675" s="28">
        <f>IF($D675="","",IFERROR(INDEX(ENVIOS!$B$4:$B$3003,MATCH($D675,ENVIOS!$A$4:$A$3003,0)),"—"))</f>
        <v/>
      </c>
      <c r="G675" s="23">
        <f>IF($D675="","",IFERROR(INDEX(ENVIOS!$D$4:$D$3003,MATCH($D675,ENVIOS!$A$4:$A$3003,0)),"—"))</f>
        <v/>
      </c>
      <c r="H675" s="23">
        <f>IF($D675="","",IFERROR(INDEX(ENVIOS!$E$4:$E$3003,MATCH($D675,ENVIOS!$A$4:$A$3003,0)),"—"))</f>
        <v/>
      </c>
      <c r="I675" s="23">
        <f>IF($D675="","",IFERROR(INDEX(ENVIOS!$F$4:$F$3003,MATCH($D675,ENVIOS!$A$4:$A$3003,0)),"—"))</f>
        <v/>
      </c>
      <c r="J675" s="23">
        <f>IF($D675="","",IFERROR(INDEX(ENVIOS!$G$4:$G$3003,MATCH($D675,ENVIOS!$A$4:$A$3003,0)),"—"))</f>
        <v/>
      </c>
      <c r="K675" s="28">
        <f>IF($D675="","",IFERROR(INDEX(ENVIOS!$H$4:$H$3003,MATCH($D675,ENVIOS!$A$4:$A$3003,0)),"—"))</f>
        <v/>
      </c>
      <c r="L675" s="49">
        <f>IF($D675="","",IFERROR(INDEX(ENVIOS!$C$4:$C$3003,MATCH($D675,ENVIOS!$A$4:$A$3003,0)),""))</f>
        <v/>
      </c>
      <c r="M675" s="50" t="n"/>
      <c r="N675" s="28">
        <f>IF($M675="","",IFERROR(INDEX(CONFIG!$C$4:$C$63,MATCH($M675,CONFIG!$A$4:$A$63,0)),"Media"))</f>
        <v/>
      </c>
      <c r="O675" s="28">
        <f>IF($M675="","",IF($C675="Interna","NO",IFERROR(INDEX(CONFIG!$E$4:$E$63,MATCH($M675,CONFIG!$A$4:$A$63,0)),"NO")))</f>
        <v/>
      </c>
      <c r="P675" s="50" t="n"/>
      <c r="Q675" s="50" t="n"/>
      <c r="R675" s="28">
        <f>IF($Q675="","",IFERROR(INDEX(CONFIG!$H$4:$H$63,MATCH($Q675,CONFIG!$G$4:$G$63,0)),"Por definir"))</f>
        <v/>
      </c>
      <c r="S675" s="28">
        <f>IF($Q675="","",IFERROR(INDEX(CONFIG!$I$4:$I$63,MATCH($Q675,CONFIG!$G$4:$G$63,0)),"Por definir"))</f>
        <v/>
      </c>
      <c r="T675" s="51" t="n"/>
      <c r="U675" s="52" t="n"/>
      <c r="V675" s="50" t="n"/>
      <c r="W675" s="50" t="n"/>
      <c r="X675" s="49">
        <f>IF(OR($B675="",$M675=""),"",WORKDAY($B675,IFERROR(INDEX(CONFIG!$D$4:$D$63,MATCH($M675,CONFIG!$A$4:$A$63,0)),3)))</f>
        <v/>
      </c>
      <c r="Y675" s="47" t="n"/>
      <c r="Z675" s="24">
        <f>IF($B675="","",IF($Y675&lt;&gt;"",$Y675-$B675,TODAY()-$B675))</f>
        <v/>
      </c>
      <c r="AA675" s="28">
        <f>IF($B675="","",IF(IFERROR(INDEX(CONFIG!$L$4:$L$63,MATCH($V675,CONFIG!$K$4:$K$63,0)),"NO")="SÍ",IF(OR($Y675="",$X675=""),"Resuelta",IF($Y675&gt;$X675,"Resuelta tarde","Resuelta a tiempo")),IF($X675="","Sin clasificar",IF(TODAY()&gt;$X675,"Vencida",IF(TODAY()&gt;=$X675-1,"Por vencer","En plazo")))))</f>
        <v/>
      </c>
      <c r="AB675" s="50" t="n"/>
      <c r="AC675" s="50" t="n"/>
    </row>
    <row r="676" ht="16" customHeight="1">
      <c r="A676" s="28">
        <f>IF($B676="","","N-"&amp;TEXT(ROW()-3,"0000"))</f>
        <v/>
      </c>
      <c r="B676" s="47" t="n"/>
      <c r="C676" s="48" t="n"/>
      <c r="D676" s="48" t="n"/>
      <c r="E676" s="28">
        <f>IF($C676="","",IF($D676="",IF($C676="Interna","Sin guía (interna)","FALTA GUÍA"),IF(COUNTIFS(ENVIOS!$A$4:$A$3003,$D676)=0,"NO EXISTE",IF(COUNTIFS(ENVIOS!$A$4:$A$3003,$D676)&gt;1,"DUPLICADA","OK"))))</f>
        <v/>
      </c>
      <c r="F676" s="28">
        <f>IF($D676="","",IFERROR(INDEX(ENVIOS!$B$4:$B$3003,MATCH($D676,ENVIOS!$A$4:$A$3003,0)),"—"))</f>
        <v/>
      </c>
      <c r="G676" s="23">
        <f>IF($D676="","",IFERROR(INDEX(ENVIOS!$D$4:$D$3003,MATCH($D676,ENVIOS!$A$4:$A$3003,0)),"—"))</f>
        <v/>
      </c>
      <c r="H676" s="23">
        <f>IF($D676="","",IFERROR(INDEX(ENVIOS!$E$4:$E$3003,MATCH($D676,ENVIOS!$A$4:$A$3003,0)),"—"))</f>
        <v/>
      </c>
      <c r="I676" s="23">
        <f>IF($D676="","",IFERROR(INDEX(ENVIOS!$F$4:$F$3003,MATCH($D676,ENVIOS!$A$4:$A$3003,0)),"—"))</f>
        <v/>
      </c>
      <c r="J676" s="23">
        <f>IF($D676="","",IFERROR(INDEX(ENVIOS!$G$4:$G$3003,MATCH($D676,ENVIOS!$A$4:$A$3003,0)),"—"))</f>
        <v/>
      </c>
      <c r="K676" s="28">
        <f>IF($D676="","",IFERROR(INDEX(ENVIOS!$H$4:$H$3003,MATCH($D676,ENVIOS!$A$4:$A$3003,0)),"—"))</f>
        <v/>
      </c>
      <c r="L676" s="49">
        <f>IF($D676="","",IFERROR(INDEX(ENVIOS!$C$4:$C$3003,MATCH($D676,ENVIOS!$A$4:$A$3003,0)),""))</f>
        <v/>
      </c>
      <c r="M676" s="50" t="n"/>
      <c r="N676" s="28">
        <f>IF($M676="","",IFERROR(INDEX(CONFIG!$C$4:$C$63,MATCH($M676,CONFIG!$A$4:$A$63,0)),"Media"))</f>
        <v/>
      </c>
      <c r="O676" s="28">
        <f>IF($M676="","",IF($C676="Interna","NO",IFERROR(INDEX(CONFIG!$E$4:$E$63,MATCH($M676,CONFIG!$A$4:$A$63,0)),"NO")))</f>
        <v/>
      </c>
      <c r="P676" s="50" t="n"/>
      <c r="Q676" s="50" t="n"/>
      <c r="R676" s="28">
        <f>IF($Q676="","",IFERROR(INDEX(CONFIG!$H$4:$H$63,MATCH($Q676,CONFIG!$G$4:$G$63,0)),"Por definir"))</f>
        <v/>
      </c>
      <c r="S676" s="28">
        <f>IF($Q676="","",IFERROR(INDEX(CONFIG!$I$4:$I$63,MATCH($Q676,CONFIG!$G$4:$G$63,0)),"Por definir"))</f>
        <v/>
      </c>
      <c r="T676" s="51" t="n"/>
      <c r="U676" s="52" t="n"/>
      <c r="V676" s="50" t="n"/>
      <c r="W676" s="50" t="n"/>
      <c r="X676" s="49">
        <f>IF(OR($B676="",$M676=""),"",WORKDAY($B676,IFERROR(INDEX(CONFIG!$D$4:$D$63,MATCH($M676,CONFIG!$A$4:$A$63,0)),3)))</f>
        <v/>
      </c>
      <c r="Y676" s="47" t="n"/>
      <c r="Z676" s="24">
        <f>IF($B676="","",IF($Y676&lt;&gt;"",$Y676-$B676,TODAY()-$B676))</f>
        <v/>
      </c>
      <c r="AA676" s="28">
        <f>IF($B676="","",IF(IFERROR(INDEX(CONFIG!$L$4:$L$63,MATCH($V676,CONFIG!$K$4:$K$63,0)),"NO")="SÍ",IF(OR($Y676="",$X676=""),"Resuelta",IF($Y676&gt;$X676,"Resuelta tarde","Resuelta a tiempo")),IF($X676="","Sin clasificar",IF(TODAY()&gt;$X676,"Vencida",IF(TODAY()&gt;=$X676-1,"Por vencer","En plazo")))))</f>
        <v/>
      </c>
      <c r="AB676" s="50" t="n"/>
      <c r="AC676" s="50" t="n"/>
    </row>
    <row r="677" ht="16" customHeight="1">
      <c r="A677" s="28">
        <f>IF($B677="","","N-"&amp;TEXT(ROW()-3,"0000"))</f>
        <v/>
      </c>
      <c r="B677" s="47" t="n"/>
      <c r="C677" s="48" t="n"/>
      <c r="D677" s="48" t="n"/>
      <c r="E677" s="28">
        <f>IF($C677="","",IF($D677="",IF($C677="Interna","Sin guía (interna)","FALTA GUÍA"),IF(COUNTIFS(ENVIOS!$A$4:$A$3003,$D677)=0,"NO EXISTE",IF(COUNTIFS(ENVIOS!$A$4:$A$3003,$D677)&gt;1,"DUPLICADA","OK"))))</f>
        <v/>
      </c>
      <c r="F677" s="28">
        <f>IF($D677="","",IFERROR(INDEX(ENVIOS!$B$4:$B$3003,MATCH($D677,ENVIOS!$A$4:$A$3003,0)),"—"))</f>
        <v/>
      </c>
      <c r="G677" s="23">
        <f>IF($D677="","",IFERROR(INDEX(ENVIOS!$D$4:$D$3003,MATCH($D677,ENVIOS!$A$4:$A$3003,0)),"—"))</f>
        <v/>
      </c>
      <c r="H677" s="23">
        <f>IF($D677="","",IFERROR(INDEX(ENVIOS!$E$4:$E$3003,MATCH($D677,ENVIOS!$A$4:$A$3003,0)),"—"))</f>
        <v/>
      </c>
      <c r="I677" s="23">
        <f>IF($D677="","",IFERROR(INDEX(ENVIOS!$F$4:$F$3003,MATCH($D677,ENVIOS!$A$4:$A$3003,0)),"—"))</f>
        <v/>
      </c>
      <c r="J677" s="23">
        <f>IF($D677="","",IFERROR(INDEX(ENVIOS!$G$4:$G$3003,MATCH($D677,ENVIOS!$A$4:$A$3003,0)),"—"))</f>
        <v/>
      </c>
      <c r="K677" s="28">
        <f>IF($D677="","",IFERROR(INDEX(ENVIOS!$H$4:$H$3003,MATCH($D677,ENVIOS!$A$4:$A$3003,0)),"—"))</f>
        <v/>
      </c>
      <c r="L677" s="49">
        <f>IF($D677="","",IFERROR(INDEX(ENVIOS!$C$4:$C$3003,MATCH($D677,ENVIOS!$A$4:$A$3003,0)),""))</f>
        <v/>
      </c>
      <c r="M677" s="50" t="n"/>
      <c r="N677" s="28">
        <f>IF($M677="","",IFERROR(INDEX(CONFIG!$C$4:$C$63,MATCH($M677,CONFIG!$A$4:$A$63,0)),"Media"))</f>
        <v/>
      </c>
      <c r="O677" s="28">
        <f>IF($M677="","",IF($C677="Interna","NO",IFERROR(INDEX(CONFIG!$E$4:$E$63,MATCH($M677,CONFIG!$A$4:$A$63,0)),"NO")))</f>
        <v/>
      </c>
      <c r="P677" s="50" t="n"/>
      <c r="Q677" s="50" t="n"/>
      <c r="R677" s="28">
        <f>IF($Q677="","",IFERROR(INDEX(CONFIG!$H$4:$H$63,MATCH($Q677,CONFIG!$G$4:$G$63,0)),"Por definir"))</f>
        <v/>
      </c>
      <c r="S677" s="28">
        <f>IF($Q677="","",IFERROR(INDEX(CONFIG!$I$4:$I$63,MATCH($Q677,CONFIG!$G$4:$G$63,0)),"Por definir"))</f>
        <v/>
      </c>
      <c r="T677" s="51" t="n"/>
      <c r="U677" s="52" t="n"/>
      <c r="V677" s="50" t="n"/>
      <c r="W677" s="50" t="n"/>
      <c r="X677" s="49">
        <f>IF(OR($B677="",$M677=""),"",WORKDAY($B677,IFERROR(INDEX(CONFIG!$D$4:$D$63,MATCH($M677,CONFIG!$A$4:$A$63,0)),3)))</f>
        <v/>
      </c>
      <c r="Y677" s="47" t="n"/>
      <c r="Z677" s="24">
        <f>IF($B677="","",IF($Y677&lt;&gt;"",$Y677-$B677,TODAY()-$B677))</f>
        <v/>
      </c>
      <c r="AA677" s="28">
        <f>IF($B677="","",IF(IFERROR(INDEX(CONFIG!$L$4:$L$63,MATCH($V677,CONFIG!$K$4:$K$63,0)),"NO")="SÍ",IF(OR($Y677="",$X677=""),"Resuelta",IF($Y677&gt;$X677,"Resuelta tarde","Resuelta a tiempo")),IF($X677="","Sin clasificar",IF(TODAY()&gt;$X677,"Vencida",IF(TODAY()&gt;=$X677-1,"Por vencer","En plazo")))))</f>
        <v/>
      </c>
      <c r="AB677" s="50" t="n"/>
      <c r="AC677" s="50" t="n"/>
    </row>
    <row r="678" ht="16" customHeight="1">
      <c r="A678" s="28">
        <f>IF($B678="","","N-"&amp;TEXT(ROW()-3,"0000"))</f>
        <v/>
      </c>
      <c r="B678" s="47" t="n"/>
      <c r="C678" s="48" t="n"/>
      <c r="D678" s="48" t="n"/>
      <c r="E678" s="28">
        <f>IF($C678="","",IF($D678="",IF($C678="Interna","Sin guía (interna)","FALTA GUÍA"),IF(COUNTIFS(ENVIOS!$A$4:$A$3003,$D678)=0,"NO EXISTE",IF(COUNTIFS(ENVIOS!$A$4:$A$3003,$D678)&gt;1,"DUPLICADA","OK"))))</f>
        <v/>
      </c>
      <c r="F678" s="28">
        <f>IF($D678="","",IFERROR(INDEX(ENVIOS!$B$4:$B$3003,MATCH($D678,ENVIOS!$A$4:$A$3003,0)),"—"))</f>
        <v/>
      </c>
      <c r="G678" s="23">
        <f>IF($D678="","",IFERROR(INDEX(ENVIOS!$D$4:$D$3003,MATCH($D678,ENVIOS!$A$4:$A$3003,0)),"—"))</f>
        <v/>
      </c>
      <c r="H678" s="23">
        <f>IF($D678="","",IFERROR(INDEX(ENVIOS!$E$4:$E$3003,MATCH($D678,ENVIOS!$A$4:$A$3003,0)),"—"))</f>
        <v/>
      </c>
      <c r="I678" s="23">
        <f>IF($D678="","",IFERROR(INDEX(ENVIOS!$F$4:$F$3003,MATCH($D678,ENVIOS!$A$4:$A$3003,0)),"—"))</f>
        <v/>
      </c>
      <c r="J678" s="23">
        <f>IF($D678="","",IFERROR(INDEX(ENVIOS!$G$4:$G$3003,MATCH($D678,ENVIOS!$A$4:$A$3003,0)),"—"))</f>
        <v/>
      </c>
      <c r="K678" s="28">
        <f>IF($D678="","",IFERROR(INDEX(ENVIOS!$H$4:$H$3003,MATCH($D678,ENVIOS!$A$4:$A$3003,0)),"—"))</f>
        <v/>
      </c>
      <c r="L678" s="49">
        <f>IF($D678="","",IFERROR(INDEX(ENVIOS!$C$4:$C$3003,MATCH($D678,ENVIOS!$A$4:$A$3003,0)),""))</f>
        <v/>
      </c>
      <c r="M678" s="50" t="n"/>
      <c r="N678" s="28">
        <f>IF($M678="","",IFERROR(INDEX(CONFIG!$C$4:$C$63,MATCH($M678,CONFIG!$A$4:$A$63,0)),"Media"))</f>
        <v/>
      </c>
      <c r="O678" s="28">
        <f>IF($M678="","",IF($C678="Interna","NO",IFERROR(INDEX(CONFIG!$E$4:$E$63,MATCH($M678,CONFIG!$A$4:$A$63,0)),"NO")))</f>
        <v/>
      </c>
      <c r="P678" s="50" t="n"/>
      <c r="Q678" s="50" t="n"/>
      <c r="R678" s="28">
        <f>IF($Q678="","",IFERROR(INDEX(CONFIG!$H$4:$H$63,MATCH($Q678,CONFIG!$G$4:$G$63,0)),"Por definir"))</f>
        <v/>
      </c>
      <c r="S678" s="28">
        <f>IF($Q678="","",IFERROR(INDEX(CONFIG!$I$4:$I$63,MATCH($Q678,CONFIG!$G$4:$G$63,0)),"Por definir"))</f>
        <v/>
      </c>
      <c r="T678" s="51" t="n"/>
      <c r="U678" s="52" t="n"/>
      <c r="V678" s="50" t="n"/>
      <c r="W678" s="50" t="n"/>
      <c r="X678" s="49">
        <f>IF(OR($B678="",$M678=""),"",WORKDAY($B678,IFERROR(INDEX(CONFIG!$D$4:$D$63,MATCH($M678,CONFIG!$A$4:$A$63,0)),3)))</f>
        <v/>
      </c>
      <c r="Y678" s="47" t="n"/>
      <c r="Z678" s="24">
        <f>IF($B678="","",IF($Y678&lt;&gt;"",$Y678-$B678,TODAY()-$B678))</f>
        <v/>
      </c>
      <c r="AA678" s="28">
        <f>IF($B678="","",IF(IFERROR(INDEX(CONFIG!$L$4:$L$63,MATCH($V678,CONFIG!$K$4:$K$63,0)),"NO")="SÍ",IF(OR($Y678="",$X678=""),"Resuelta",IF($Y678&gt;$X678,"Resuelta tarde","Resuelta a tiempo")),IF($X678="","Sin clasificar",IF(TODAY()&gt;$X678,"Vencida",IF(TODAY()&gt;=$X678-1,"Por vencer","En plazo")))))</f>
        <v/>
      </c>
      <c r="AB678" s="50" t="n"/>
      <c r="AC678" s="50" t="n"/>
    </row>
    <row r="679" ht="16" customHeight="1">
      <c r="A679" s="28">
        <f>IF($B679="","","N-"&amp;TEXT(ROW()-3,"0000"))</f>
        <v/>
      </c>
      <c r="B679" s="47" t="n"/>
      <c r="C679" s="48" t="n"/>
      <c r="D679" s="48" t="n"/>
      <c r="E679" s="28">
        <f>IF($C679="","",IF($D679="",IF($C679="Interna","Sin guía (interna)","FALTA GUÍA"),IF(COUNTIFS(ENVIOS!$A$4:$A$3003,$D679)=0,"NO EXISTE",IF(COUNTIFS(ENVIOS!$A$4:$A$3003,$D679)&gt;1,"DUPLICADA","OK"))))</f>
        <v/>
      </c>
      <c r="F679" s="28">
        <f>IF($D679="","",IFERROR(INDEX(ENVIOS!$B$4:$B$3003,MATCH($D679,ENVIOS!$A$4:$A$3003,0)),"—"))</f>
        <v/>
      </c>
      <c r="G679" s="23">
        <f>IF($D679="","",IFERROR(INDEX(ENVIOS!$D$4:$D$3003,MATCH($D679,ENVIOS!$A$4:$A$3003,0)),"—"))</f>
        <v/>
      </c>
      <c r="H679" s="23">
        <f>IF($D679="","",IFERROR(INDEX(ENVIOS!$E$4:$E$3003,MATCH($D679,ENVIOS!$A$4:$A$3003,0)),"—"))</f>
        <v/>
      </c>
      <c r="I679" s="23">
        <f>IF($D679="","",IFERROR(INDEX(ENVIOS!$F$4:$F$3003,MATCH($D679,ENVIOS!$A$4:$A$3003,0)),"—"))</f>
        <v/>
      </c>
      <c r="J679" s="23">
        <f>IF($D679="","",IFERROR(INDEX(ENVIOS!$G$4:$G$3003,MATCH($D679,ENVIOS!$A$4:$A$3003,0)),"—"))</f>
        <v/>
      </c>
      <c r="K679" s="28">
        <f>IF($D679="","",IFERROR(INDEX(ENVIOS!$H$4:$H$3003,MATCH($D679,ENVIOS!$A$4:$A$3003,0)),"—"))</f>
        <v/>
      </c>
      <c r="L679" s="49">
        <f>IF($D679="","",IFERROR(INDEX(ENVIOS!$C$4:$C$3003,MATCH($D679,ENVIOS!$A$4:$A$3003,0)),""))</f>
        <v/>
      </c>
      <c r="M679" s="50" t="n"/>
      <c r="N679" s="28">
        <f>IF($M679="","",IFERROR(INDEX(CONFIG!$C$4:$C$63,MATCH($M679,CONFIG!$A$4:$A$63,0)),"Media"))</f>
        <v/>
      </c>
      <c r="O679" s="28">
        <f>IF($M679="","",IF($C679="Interna","NO",IFERROR(INDEX(CONFIG!$E$4:$E$63,MATCH($M679,CONFIG!$A$4:$A$63,0)),"NO")))</f>
        <v/>
      </c>
      <c r="P679" s="50" t="n"/>
      <c r="Q679" s="50" t="n"/>
      <c r="R679" s="28">
        <f>IF($Q679="","",IFERROR(INDEX(CONFIG!$H$4:$H$63,MATCH($Q679,CONFIG!$G$4:$G$63,0)),"Por definir"))</f>
        <v/>
      </c>
      <c r="S679" s="28">
        <f>IF($Q679="","",IFERROR(INDEX(CONFIG!$I$4:$I$63,MATCH($Q679,CONFIG!$G$4:$G$63,0)),"Por definir"))</f>
        <v/>
      </c>
      <c r="T679" s="51" t="n"/>
      <c r="U679" s="52" t="n"/>
      <c r="V679" s="50" t="n"/>
      <c r="W679" s="50" t="n"/>
      <c r="X679" s="49">
        <f>IF(OR($B679="",$M679=""),"",WORKDAY($B679,IFERROR(INDEX(CONFIG!$D$4:$D$63,MATCH($M679,CONFIG!$A$4:$A$63,0)),3)))</f>
        <v/>
      </c>
      <c r="Y679" s="47" t="n"/>
      <c r="Z679" s="24">
        <f>IF($B679="","",IF($Y679&lt;&gt;"",$Y679-$B679,TODAY()-$B679))</f>
        <v/>
      </c>
      <c r="AA679" s="28">
        <f>IF($B679="","",IF(IFERROR(INDEX(CONFIG!$L$4:$L$63,MATCH($V679,CONFIG!$K$4:$K$63,0)),"NO")="SÍ",IF(OR($Y679="",$X679=""),"Resuelta",IF($Y679&gt;$X679,"Resuelta tarde","Resuelta a tiempo")),IF($X679="","Sin clasificar",IF(TODAY()&gt;$X679,"Vencida",IF(TODAY()&gt;=$X679-1,"Por vencer","En plazo")))))</f>
        <v/>
      </c>
      <c r="AB679" s="50" t="n"/>
      <c r="AC679" s="50" t="n"/>
    </row>
    <row r="680" ht="16" customHeight="1">
      <c r="A680" s="28">
        <f>IF($B680="","","N-"&amp;TEXT(ROW()-3,"0000"))</f>
        <v/>
      </c>
      <c r="B680" s="47" t="n"/>
      <c r="C680" s="48" t="n"/>
      <c r="D680" s="48" t="n"/>
      <c r="E680" s="28">
        <f>IF($C680="","",IF($D680="",IF($C680="Interna","Sin guía (interna)","FALTA GUÍA"),IF(COUNTIFS(ENVIOS!$A$4:$A$3003,$D680)=0,"NO EXISTE",IF(COUNTIFS(ENVIOS!$A$4:$A$3003,$D680)&gt;1,"DUPLICADA","OK"))))</f>
        <v/>
      </c>
      <c r="F680" s="28">
        <f>IF($D680="","",IFERROR(INDEX(ENVIOS!$B$4:$B$3003,MATCH($D680,ENVIOS!$A$4:$A$3003,0)),"—"))</f>
        <v/>
      </c>
      <c r="G680" s="23">
        <f>IF($D680="","",IFERROR(INDEX(ENVIOS!$D$4:$D$3003,MATCH($D680,ENVIOS!$A$4:$A$3003,0)),"—"))</f>
        <v/>
      </c>
      <c r="H680" s="23">
        <f>IF($D680="","",IFERROR(INDEX(ENVIOS!$E$4:$E$3003,MATCH($D680,ENVIOS!$A$4:$A$3003,0)),"—"))</f>
        <v/>
      </c>
      <c r="I680" s="23">
        <f>IF($D680="","",IFERROR(INDEX(ENVIOS!$F$4:$F$3003,MATCH($D680,ENVIOS!$A$4:$A$3003,0)),"—"))</f>
        <v/>
      </c>
      <c r="J680" s="23">
        <f>IF($D680="","",IFERROR(INDEX(ENVIOS!$G$4:$G$3003,MATCH($D680,ENVIOS!$A$4:$A$3003,0)),"—"))</f>
        <v/>
      </c>
      <c r="K680" s="28">
        <f>IF($D680="","",IFERROR(INDEX(ENVIOS!$H$4:$H$3003,MATCH($D680,ENVIOS!$A$4:$A$3003,0)),"—"))</f>
        <v/>
      </c>
      <c r="L680" s="49">
        <f>IF($D680="","",IFERROR(INDEX(ENVIOS!$C$4:$C$3003,MATCH($D680,ENVIOS!$A$4:$A$3003,0)),""))</f>
        <v/>
      </c>
      <c r="M680" s="50" t="n"/>
      <c r="N680" s="28">
        <f>IF($M680="","",IFERROR(INDEX(CONFIG!$C$4:$C$63,MATCH($M680,CONFIG!$A$4:$A$63,0)),"Media"))</f>
        <v/>
      </c>
      <c r="O680" s="28">
        <f>IF($M680="","",IF($C680="Interna","NO",IFERROR(INDEX(CONFIG!$E$4:$E$63,MATCH($M680,CONFIG!$A$4:$A$63,0)),"NO")))</f>
        <v/>
      </c>
      <c r="P680" s="50" t="n"/>
      <c r="Q680" s="50" t="n"/>
      <c r="R680" s="28">
        <f>IF($Q680="","",IFERROR(INDEX(CONFIG!$H$4:$H$63,MATCH($Q680,CONFIG!$G$4:$G$63,0)),"Por definir"))</f>
        <v/>
      </c>
      <c r="S680" s="28">
        <f>IF($Q680="","",IFERROR(INDEX(CONFIG!$I$4:$I$63,MATCH($Q680,CONFIG!$G$4:$G$63,0)),"Por definir"))</f>
        <v/>
      </c>
      <c r="T680" s="51" t="n"/>
      <c r="U680" s="52" t="n"/>
      <c r="V680" s="50" t="n"/>
      <c r="W680" s="50" t="n"/>
      <c r="X680" s="49">
        <f>IF(OR($B680="",$M680=""),"",WORKDAY($B680,IFERROR(INDEX(CONFIG!$D$4:$D$63,MATCH($M680,CONFIG!$A$4:$A$63,0)),3)))</f>
        <v/>
      </c>
      <c r="Y680" s="47" t="n"/>
      <c r="Z680" s="24">
        <f>IF($B680="","",IF($Y680&lt;&gt;"",$Y680-$B680,TODAY()-$B680))</f>
        <v/>
      </c>
      <c r="AA680" s="28">
        <f>IF($B680="","",IF(IFERROR(INDEX(CONFIG!$L$4:$L$63,MATCH($V680,CONFIG!$K$4:$K$63,0)),"NO")="SÍ",IF(OR($Y680="",$X680=""),"Resuelta",IF($Y680&gt;$X680,"Resuelta tarde","Resuelta a tiempo")),IF($X680="","Sin clasificar",IF(TODAY()&gt;$X680,"Vencida",IF(TODAY()&gt;=$X680-1,"Por vencer","En plazo")))))</f>
        <v/>
      </c>
      <c r="AB680" s="50" t="n"/>
      <c r="AC680" s="50" t="n"/>
    </row>
    <row r="681" ht="16" customHeight="1">
      <c r="A681" s="28">
        <f>IF($B681="","","N-"&amp;TEXT(ROW()-3,"0000"))</f>
        <v/>
      </c>
      <c r="B681" s="47" t="n"/>
      <c r="C681" s="48" t="n"/>
      <c r="D681" s="48" t="n"/>
      <c r="E681" s="28">
        <f>IF($C681="","",IF($D681="",IF($C681="Interna","Sin guía (interna)","FALTA GUÍA"),IF(COUNTIFS(ENVIOS!$A$4:$A$3003,$D681)=0,"NO EXISTE",IF(COUNTIFS(ENVIOS!$A$4:$A$3003,$D681)&gt;1,"DUPLICADA","OK"))))</f>
        <v/>
      </c>
      <c r="F681" s="28">
        <f>IF($D681="","",IFERROR(INDEX(ENVIOS!$B$4:$B$3003,MATCH($D681,ENVIOS!$A$4:$A$3003,0)),"—"))</f>
        <v/>
      </c>
      <c r="G681" s="23">
        <f>IF($D681="","",IFERROR(INDEX(ENVIOS!$D$4:$D$3003,MATCH($D681,ENVIOS!$A$4:$A$3003,0)),"—"))</f>
        <v/>
      </c>
      <c r="H681" s="23">
        <f>IF($D681="","",IFERROR(INDEX(ENVIOS!$E$4:$E$3003,MATCH($D681,ENVIOS!$A$4:$A$3003,0)),"—"))</f>
        <v/>
      </c>
      <c r="I681" s="23">
        <f>IF($D681="","",IFERROR(INDEX(ENVIOS!$F$4:$F$3003,MATCH($D681,ENVIOS!$A$4:$A$3003,0)),"—"))</f>
        <v/>
      </c>
      <c r="J681" s="23">
        <f>IF($D681="","",IFERROR(INDEX(ENVIOS!$G$4:$G$3003,MATCH($D681,ENVIOS!$A$4:$A$3003,0)),"—"))</f>
        <v/>
      </c>
      <c r="K681" s="28">
        <f>IF($D681="","",IFERROR(INDEX(ENVIOS!$H$4:$H$3003,MATCH($D681,ENVIOS!$A$4:$A$3003,0)),"—"))</f>
        <v/>
      </c>
      <c r="L681" s="49">
        <f>IF($D681="","",IFERROR(INDEX(ENVIOS!$C$4:$C$3003,MATCH($D681,ENVIOS!$A$4:$A$3003,0)),""))</f>
        <v/>
      </c>
      <c r="M681" s="50" t="n"/>
      <c r="N681" s="28">
        <f>IF($M681="","",IFERROR(INDEX(CONFIG!$C$4:$C$63,MATCH($M681,CONFIG!$A$4:$A$63,0)),"Media"))</f>
        <v/>
      </c>
      <c r="O681" s="28">
        <f>IF($M681="","",IF($C681="Interna","NO",IFERROR(INDEX(CONFIG!$E$4:$E$63,MATCH($M681,CONFIG!$A$4:$A$63,0)),"NO")))</f>
        <v/>
      </c>
      <c r="P681" s="50" t="n"/>
      <c r="Q681" s="50" t="n"/>
      <c r="R681" s="28">
        <f>IF($Q681="","",IFERROR(INDEX(CONFIG!$H$4:$H$63,MATCH($Q681,CONFIG!$G$4:$G$63,0)),"Por definir"))</f>
        <v/>
      </c>
      <c r="S681" s="28">
        <f>IF($Q681="","",IFERROR(INDEX(CONFIG!$I$4:$I$63,MATCH($Q681,CONFIG!$G$4:$G$63,0)),"Por definir"))</f>
        <v/>
      </c>
      <c r="T681" s="51" t="n"/>
      <c r="U681" s="52" t="n"/>
      <c r="V681" s="50" t="n"/>
      <c r="W681" s="50" t="n"/>
      <c r="X681" s="49">
        <f>IF(OR($B681="",$M681=""),"",WORKDAY($B681,IFERROR(INDEX(CONFIG!$D$4:$D$63,MATCH($M681,CONFIG!$A$4:$A$63,0)),3)))</f>
        <v/>
      </c>
      <c r="Y681" s="47" t="n"/>
      <c r="Z681" s="24">
        <f>IF($B681="","",IF($Y681&lt;&gt;"",$Y681-$B681,TODAY()-$B681))</f>
        <v/>
      </c>
      <c r="AA681" s="28">
        <f>IF($B681="","",IF(IFERROR(INDEX(CONFIG!$L$4:$L$63,MATCH($V681,CONFIG!$K$4:$K$63,0)),"NO")="SÍ",IF(OR($Y681="",$X681=""),"Resuelta",IF($Y681&gt;$X681,"Resuelta tarde","Resuelta a tiempo")),IF($X681="","Sin clasificar",IF(TODAY()&gt;$X681,"Vencida",IF(TODAY()&gt;=$X681-1,"Por vencer","En plazo")))))</f>
        <v/>
      </c>
      <c r="AB681" s="50" t="n"/>
      <c r="AC681" s="50" t="n"/>
    </row>
    <row r="682" ht="16" customHeight="1">
      <c r="A682" s="28">
        <f>IF($B682="","","N-"&amp;TEXT(ROW()-3,"0000"))</f>
        <v/>
      </c>
      <c r="B682" s="47" t="n"/>
      <c r="C682" s="48" t="n"/>
      <c r="D682" s="48" t="n"/>
      <c r="E682" s="28">
        <f>IF($C682="","",IF($D682="",IF($C682="Interna","Sin guía (interna)","FALTA GUÍA"),IF(COUNTIFS(ENVIOS!$A$4:$A$3003,$D682)=0,"NO EXISTE",IF(COUNTIFS(ENVIOS!$A$4:$A$3003,$D682)&gt;1,"DUPLICADA","OK"))))</f>
        <v/>
      </c>
      <c r="F682" s="28">
        <f>IF($D682="","",IFERROR(INDEX(ENVIOS!$B$4:$B$3003,MATCH($D682,ENVIOS!$A$4:$A$3003,0)),"—"))</f>
        <v/>
      </c>
      <c r="G682" s="23">
        <f>IF($D682="","",IFERROR(INDEX(ENVIOS!$D$4:$D$3003,MATCH($D682,ENVIOS!$A$4:$A$3003,0)),"—"))</f>
        <v/>
      </c>
      <c r="H682" s="23">
        <f>IF($D682="","",IFERROR(INDEX(ENVIOS!$E$4:$E$3003,MATCH($D682,ENVIOS!$A$4:$A$3003,0)),"—"))</f>
        <v/>
      </c>
      <c r="I682" s="23">
        <f>IF($D682="","",IFERROR(INDEX(ENVIOS!$F$4:$F$3003,MATCH($D682,ENVIOS!$A$4:$A$3003,0)),"—"))</f>
        <v/>
      </c>
      <c r="J682" s="23">
        <f>IF($D682="","",IFERROR(INDEX(ENVIOS!$G$4:$G$3003,MATCH($D682,ENVIOS!$A$4:$A$3003,0)),"—"))</f>
        <v/>
      </c>
      <c r="K682" s="28">
        <f>IF($D682="","",IFERROR(INDEX(ENVIOS!$H$4:$H$3003,MATCH($D682,ENVIOS!$A$4:$A$3003,0)),"—"))</f>
        <v/>
      </c>
      <c r="L682" s="49">
        <f>IF($D682="","",IFERROR(INDEX(ENVIOS!$C$4:$C$3003,MATCH($D682,ENVIOS!$A$4:$A$3003,0)),""))</f>
        <v/>
      </c>
      <c r="M682" s="50" t="n"/>
      <c r="N682" s="28">
        <f>IF($M682="","",IFERROR(INDEX(CONFIG!$C$4:$C$63,MATCH($M682,CONFIG!$A$4:$A$63,0)),"Media"))</f>
        <v/>
      </c>
      <c r="O682" s="28">
        <f>IF($M682="","",IF($C682="Interna","NO",IFERROR(INDEX(CONFIG!$E$4:$E$63,MATCH($M682,CONFIG!$A$4:$A$63,0)),"NO")))</f>
        <v/>
      </c>
      <c r="P682" s="50" t="n"/>
      <c r="Q682" s="50" t="n"/>
      <c r="R682" s="28">
        <f>IF($Q682="","",IFERROR(INDEX(CONFIG!$H$4:$H$63,MATCH($Q682,CONFIG!$G$4:$G$63,0)),"Por definir"))</f>
        <v/>
      </c>
      <c r="S682" s="28">
        <f>IF($Q682="","",IFERROR(INDEX(CONFIG!$I$4:$I$63,MATCH($Q682,CONFIG!$G$4:$G$63,0)),"Por definir"))</f>
        <v/>
      </c>
      <c r="T682" s="51" t="n"/>
      <c r="U682" s="52" t="n"/>
      <c r="V682" s="50" t="n"/>
      <c r="W682" s="50" t="n"/>
      <c r="X682" s="49">
        <f>IF(OR($B682="",$M682=""),"",WORKDAY($B682,IFERROR(INDEX(CONFIG!$D$4:$D$63,MATCH($M682,CONFIG!$A$4:$A$63,0)),3)))</f>
        <v/>
      </c>
      <c r="Y682" s="47" t="n"/>
      <c r="Z682" s="24">
        <f>IF($B682="","",IF($Y682&lt;&gt;"",$Y682-$B682,TODAY()-$B682))</f>
        <v/>
      </c>
      <c r="AA682" s="28">
        <f>IF($B682="","",IF(IFERROR(INDEX(CONFIG!$L$4:$L$63,MATCH($V682,CONFIG!$K$4:$K$63,0)),"NO")="SÍ",IF(OR($Y682="",$X682=""),"Resuelta",IF($Y682&gt;$X682,"Resuelta tarde","Resuelta a tiempo")),IF($X682="","Sin clasificar",IF(TODAY()&gt;$X682,"Vencida",IF(TODAY()&gt;=$X682-1,"Por vencer","En plazo")))))</f>
        <v/>
      </c>
      <c r="AB682" s="50" t="n"/>
      <c r="AC682" s="50" t="n"/>
    </row>
    <row r="683" ht="16" customHeight="1">
      <c r="A683" s="28">
        <f>IF($B683="","","N-"&amp;TEXT(ROW()-3,"0000"))</f>
        <v/>
      </c>
      <c r="B683" s="47" t="n"/>
      <c r="C683" s="48" t="n"/>
      <c r="D683" s="48" t="n"/>
      <c r="E683" s="28">
        <f>IF($C683="","",IF($D683="",IF($C683="Interna","Sin guía (interna)","FALTA GUÍA"),IF(COUNTIFS(ENVIOS!$A$4:$A$3003,$D683)=0,"NO EXISTE",IF(COUNTIFS(ENVIOS!$A$4:$A$3003,$D683)&gt;1,"DUPLICADA","OK"))))</f>
        <v/>
      </c>
      <c r="F683" s="28">
        <f>IF($D683="","",IFERROR(INDEX(ENVIOS!$B$4:$B$3003,MATCH($D683,ENVIOS!$A$4:$A$3003,0)),"—"))</f>
        <v/>
      </c>
      <c r="G683" s="23">
        <f>IF($D683="","",IFERROR(INDEX(ENVIOS!$D$4:$D$3003,MATCH($D683,ENVIOS!$A$4:$A$3003,0)),"—"))</f>
        <v/>
      </c>
      <c r="H683" s="23">
        <f>IF($D683="","",IFERROR(INDEX(ENVIOS!$E$4:$E$3003,MATCH($D683,ENVIOS!$A$4:$A$3003,0)),"—"))</f>
        <v/>
      </c>
      <c r="I683" s="23">
        <f>IF($D683="","",IFERROR(INDEX(ENVIOS!$F$4:$F$3003,MATCH($D683,ENVIOS!$A$4:$A$3003,0)),"—"))</f>
        <v/>
      </c>
      <c r="J683" s="23">
        <f>IF($D683="","",IFERROR(INDEX(ENVIOS!$G$4:$G$3003,MATCH($D683,ENVIOS!$A$4:$A$3003,0)),"—"))</f>
        <v/>
      </c>
      <c r="K683" s="28">
        <f>IF($D683="","",IFERROR(INDEX(ENVIOS!$H$4:$H$3003,MATCH($D683,ENVIOS!$A$4:$A$3003,0)),"—"))</f>
        <v/>
      </c>
      <c r="L683" s="49">
        <f>IF($D683="","",IFERROR(INDEX(ENVIOS!$C$4:$C$3003,MATCH($D683,ENVIOS!$A$4:$A$3003,0)),""))</f>
        <v/>
      </c>
      <c r="M683" s="50" t="n"/>
      <c r="N683" s="28">
        <f>IF($M683="","",IFERROR(INDEX(CONFIG!$C$4:$C$63,MATCH($M683,CONFIG!$A$4:$A$63,0)),"Media"))</f>
        <v/>
      </c>
      <c r="O683" s="28">
        <f>IF($M683="","",IF($C683="Interna","NO",IFERROR(INDEX(CONFIG!$E$4:$E$63,MATCH($M683,CONFIG!$A$4:$A$63,0)),"NO")))</f>
        <v/>
      </c>
      <c r="P683" s="50" t="n"/>
      <c r="Q683" s="50" t="n"/>
      <c r="R683" s="28">
        <f>IF($Q683="","",IFERROR(INDEX(CONFIG!$H$4:$H$63,MATCH($Q683,CONFIG!$G$4:$G$63,0)),"Por definir"))</f>
        <v/>
      </c>
      <c r="S683" s="28">
        <f>IF($Q683="","",IFERROR(INDEX(CONFIG!$I$4:$I$63,MATCH($Q683,CONFIG!$G$4:$G$63,0)),"Por definir"))</f>
        <v/>
      </c>
      <c r="T683" s="51" t="n"/>
      <c r="U683" s="52" t="n"/>
      <c r="V683" s="50" t="n"/>
      <c r="W683" s="50" t="n"/>
      <c r="X683" s="49">
        <f>IF(OR($B683="",$M683=""),"",WORKDAY($B683,IFERROR(INDEX(CONFIG!$D$4:$D$63,MATCH($M683,CONFIG!$A$4:$A$63,0)),3)))</f>
        <v/>
      </c>
      <c r="Y683" s="47" t="n"/>
      <c r="Z683" s="24">
        <f>IF($B683="","",IF($Y683&lt;&gt;"",$Y683-$B683,TODAY()-$B683))</f>
        <v/>
      </c>
      <c r="AA683" s="28">
        <f>IF($B683="","",IF(IFERROR(INDEX(CONFIG!$L$4:$L$63,MATCH($V683,CONFIG!$K$4:$K$63,0)),"NO")="SÍ",IF(OR($Y683="",$X683=""),"Resuelta",IF($Y683&gt;$X683,"Resuelta tarde","Resuelta a tiempo")),IF($X683="","Sin clasificar",IF(TODAY()&gt;$X683,"Vencida",IF(TODAY()&gt;=$X683-1,"Por vencer","En plazo")))))</f>
        <v/>
      </c>
      <c r="AB683" s="50" t="n"/>
      <c r="AC683" s="50" t="n"/>
    </row>
    <row r="684" ht="16" customHeight="1">
      <c r="A684" s="28">
        <f>IF($B684="","","N-"&amp;TEXT(ROW()-3,"0000"))</f>
        <v/>
      </c>
      <c r="B684" s="47" t="n"/>
      <c r="C684" s="48" t="n"/>
      <c r="D684" s="48" t="n"/>
      <c r="E684" s="28">
        <f>IF($C684="","",IF($D684="",IF($C684="Interna","Sin guía (interna)","FALTA GUÍA"),IF(COUNTIFS(ENVIOS!$A$4:$A$3003,$D684)=0,"NO EXISTE",IF(COUNTIFS(ENVIOS!$A$4:$A$3003,$D684)&gt;1,"DUPLICADA","OK"))))</f>
        <v/>
      </c>
      <c r="F684" s="28">
        <f>IF($D684="","",IFERROR(INDEX(ENVIOS!$B$4:$B$3003,MATCH($D684,ENVIOS!$A$4:$A$3003,0)),"—"))</f>
        <v/>
      </c>
      <c r="G684" s="23">
        <f>IF($D684="","",IFERROR(INDEX(ENVIOS!$D$4:$D$3003,MATCH($D684,ENVIOS!$A$4:$A$3003,0)),"—"))</f>
        <v/>
      </c>
      <c r="H684" s="23">
        <f>IF($D684="","",IFERROR(INDEX(ENVIOS!$E$4:$E$3003,MATCH($D684,ENVIOS!$A$4:$A$3003,0)),"—"))</f>
        <v/>
      </c>
      <c r="I684" s="23">
        <f>IF($D684="","",IFERROR(INDEX(ENVIOS!$F$4:$F$3003,MATCH($D684,ENVIOS!$A$4:$A$3003,0)),"—"))</f>
        <v/>
      </c>
      <c r="J684" s="23">
        <f>IF($D684="","",IFERROR(INDEX(ENVIOS!$G$4:$G$3003,MATCH($D684,ENVIOS!$A$4:$A$3003,0)),"—"))</f>
        <v/>
      </c>
      <c r="K684" s="28">
        <f>IF($D684="","",IFERROR(INDEX(ENVIOS!$H$4:$H$3003,MATCH($D684,ENVIOS!$A$4:$A$3003,0)),"—"))</f>
        <v/>
      </c>
      <c r="L684" s="49">
        <f>IF($D684="","",IFERROR(INDEX(ENVIOS!$C$4:$C$3003,MATCH($D684,ENVIOS!$A$4:$A$3003,0)),""))</f>
        <v/>
      </c>
      <c r="M684" s="50" t="n"/>
      <c r="N684" s="28">
        <f>IF($M684="","",IFERROR(INDEX(CONFIG!$C$4:$C$63,MATCH($M684,CONFIG!$A$4:$A$63,0)),"Media"))</f>
        <v/>
      </c>
      <c r="O684" s="28">
        <f>IF($M684="","",IF($C684="Interna","NO",IFERROR(INDEX(CONFIG!$E$4:$E$63,MATCH($M684,CONFIG!$A$4:$A$63,0)),"NO")))</f>
        <v/>
      </c>
      <c r="P684" s="50" t="n"/>
      <c r="Q684" s="50" t="n"/>
      <c r="R684" s="28">
        <f>IF($Q684="","",IFERROR(INDEX(CONFIG!$H$4:$H$63,MATCH($Q684,CONFIG!$G$4:$G$63,0)),"Por definir"))</f>
        <v/>
      </c>
      <c r="S684" s="28">
        <f>IF($Q684="","",IFERROR(INDEX(CONFIG!$I$4:$I$63,MATCH($Q684,CONFIG!$G$4:$G$63,0)),"Por definir"))</f>
        <v/>
      </c>
      <c r="T684" s="51" t="n"/>
      <c r="U684" s="52" t="n"/>
      <c r="V684" s="50" t="n"/>
      <c r="W684" s="50" t="n"/>
      <c r="X684" s="49">
        <f>IF(OR($B684="",$M684=""),"",WORKDAY($B684,IFERROR(INDEX(CONFIG!$D$4:$D$63,MATCH($M684,CONFIG!$A$4:$A$63,0)),3)))</f>
        <v/>
      </c>
      <c r="Y684" s="47" t="n"/>
      <c r="Z684" s="24">
        <f>IF($B684="","",IF($Y684&lt;&gt;"",$Y684-$B684,TODAY()-$B684))</f>
        <v/>
      </c>
      <c r="AA684" s="28">
        <f>IF($B684="","",IF(IFERROR(INDEX(CONFIG!$L$4:$L$63,MATCH($V684,CONFIG!$K$4:$K$63,0)),"NO")="SÍ",IF(OR($Y684="",$X684=""),"Resuelta",IF($Y684&gt;$X684,"Resuelta tarde","Resuelta a tiempo")),IF($X684="","Sin clasificar",IF(TODAY()&gt;$X684,"Vencida",IF(TODAY()&gt;=$X684-1,"Por vencer","En plazo")))))</f>
        <v/>
      </c>
      <c r="AB684" s="50" t="n"/>
      <c r="AC684" s="50" t="n"/>
    </row>
    <row r="685" ht="16" customHeight="1">
      <c r="A685" s="28">
        <f>IF($B685="","","N-"&amp;TEXT(ROW()-3,"0000"))</f>
        <v/>
      </c>
      <c r="B685" s="47" t="n"/>
      <c r="C685" s="48" t="n"/>
      <c r="D685" s="48" t="n"/>
      <c r="E685" s="28">
        <f>IF($C685="","",IF($D685="",IF($C685="Interna","Sin guía (interna)","FALTA GUÍA"),IF(COUNTIFS(ENVIOS!$A$4:$A$3003,$D685)=0,"NO EXISTE",IF(COUNTIFS(ENVIOS!$A$4:$A$3003,$D685)&gt;1,"DUPLICADA","OK"))))</f>
        <v/>
      </c>
      <c r="F685" s="28">
        <f>IF($D685="","",IFERROR(INDEX(ENVIOS!$B$4:$B$3003,MATCH($D685,ENVIOS!$A$4:$A$3003,0)),"—"))</f>
        <v/>
      </c>
      <c r="G685" s="23">
        <f>IF($D685="","",IFERROR(INDEX(ENVIOS!$D$4:$D$3003,MATCH($D685,ENVIOS!$A$4:$A$3003,0)),"—"))</f>
        <v/>
      </c>
      <c r="H685" s="23">
        <f>IF($D685="","",IFERROR(INDEX(ENVIOS!$E$4:$E$3003,MATCH($D685,ENVIOS!$A$4:$A$3003,0)),"—"))</f>
        <v/>
      </c>
      <c r="I685" s="23">
        <f>IF($D685="","",IFERROR(INDEX(ENVIOS!$F$4:$F$3003,MATCH($D685,ENVIOS!$A$4:$A$3003,0)),"—"))</f>
        <v/>
      </c>
      <c r="J685" s="23">
        <f>IF($D685="","",IFERROR(INDEX(ENVIOS!$G$4:$G$3003,MATCH($D685,ENVIOS!$A$4:$A$3003,0)),"—"))</f>
        <v/>
      </c>
      <c r="K685" s="28">
        <f>IF($D685="","",IFERROR(INDEX(ENVIOS!$H$4:$H$3003,MATCH($D685,ENVIOS!$A$4:$A$3003,0)),"—"))</f>
        <v/>
      </c>
      <c r="L685" s="49">
        <f>IF($D685="","",IFERROR(INDEX(ENVIOS!$C$4:$C$3003,MATCH($D685,ENVIOS!$A$4:$A$3003,0)),""))</f>
        <v/>
      </c>
      <c r="M685" s="50" t="n"/>
      <c r="N685" s="28">
        <f>IF($M685="","",IFERROR(INDEX(CONFIG!$C$4:$C$63,MATCH($M685,CONFIG!$A$4:$A$63,0)),"Media"))</f>
        <v/>
      </c>
      <c r="O685" s="28">
        <f>IF($M685="","",IF($C685="Interna","NO",IFERROR(INDEX(CONFIG!$E$4:$E$63,MATCH($M685,CONFIG!$A$4:$A$63,0)),"NO")))</f>
        <v/>
      </c>
      <c r="P685" s="50" t="n"/>
      <c r="Q685" s="50" t="n"/>
      <c r="R685" s="28">
        <f>IF($Q685="","",IFERROR(INDEX(CONFIG!$H$4:$H$63,MATCH($Q685,CONFIG!$G$4:$G$63,0)),"Por definir"))</f>
        <v/>
      </c>
      <c r="S685" s="28">
        <f>IF($Q685="","",IFERROR(INDEX(CONFIG!$I$4:$I$63,MATCH($Q685,CONFIG!$G$4:$G$63,0)),"Por definir"))</f>
        <v/>
      </c>
      <c r="T685" s="51" t="n"/>
      <c r="U685" s="52" t="n"/>
      <c r="V685" s="50" t="n"/>
      <c r="W685" s="50" t="n"/>
      <c r="X685" s="49">
        <f>IF(OR($B685="",$M685=""),"",WORKDAY($B685,IFERROR(INDEX(CONFIG!$D$4:$D$63,MATCH($M685,CONFIG!$A$4:$A$63,0)),3)))</f>
        <v/>
      </c>
      <c r="Y685" s="47" t="n"/>
      <c r="Z685" s="24">
        <f>IF($B685="","",IF($Y685&lt;&gt;"",$Y685-$B685,TODAY()-$B685))</f>
        <v/>
      </c>
      <c r="AA685" s="28">
        <f>IF($B685="","",IF(IFERROR(INDEX(CONFIG!$L$4:$L$63,MATCH($V685,CONFIG!$K$4:$K$63,0)),"NO")="SÍ",IF(OR($Y685="",$X685=""),"Resuelta",IF($Y685&gt;$X685,"Resuelta tarde","Resuelta a tiempo")),IF($X685="","Sin clasificar",IF(TODAY()&gt;$X685,"Vencida",IF(TODAY()&gt;=$X685-1,"Por vencer","En plazo")))))</f>
        <v/>
      </c>
      <c r="AB685" s="50" t="n"/>
      <c r="AC685" s="50" t="n"/>
    </row>
    <row r="686" ht="16" customHeight="1">
      <c r="A686" s="28">
        <f>IF($B686="","","N-"&amp;TEXT(ROW()-3,"0000"))</f>
        <v/>
      </c>
      <c r="B686" s="47" t="n"/>
      <c r="C686" s="48" t="n"/>
      <c r="D686" s="48" t="n"/>
      <c r="E686" s="28">
        <f>IF($C686="","",IF($D686="",IF($C686="Interna","Sin guía (interna)","FALTA GUÍA"),IF(COUNTIFS(ENVIOS!$A$4:$A$3003,$D686)=0,"NO EXISTE",IF(COUNTIFS(ENVIOS!$A$4:$A$3003,$D686)&gt;1,"DUPLICADA","OK"))))</f>
        <v/>
      </c>
      <c r="F686" s="28">
        <f>IF($D686="","",IFERROR(INDEX(ENVIOS!$B$4:$B$3003,MATCH($D686,ENVIOS!$A$4:$A$3003,0)),"—"))</f>
        <v/>
      </c>
      <c r="G686" s="23">
        <f>IF($D686="","",IFERROR(INDEX(ENVIOS!$D$4:$D$3003,MATCH($D686,ENVIOS!$A$4:$A$3003,0)),"—"))</f>
        <v/>
      </c>
      <c r="H686" s="23">
        <f>IF($D686="","",IFERROR(INDEX(ENVIOS!$E$4:$E$3003,MATCH($D686,ENVIOS!$A$4:$A$3003,0)),"—"))</f>
        <v/>
      </c>
      <c r="I686" s="23">
        <f>IF($D686="","",IFERROR(INDEX(ENVIOS!$F$4:$F$3003,MATCH($D686,ENVIOS!$A$4:$A$3003,0)),"—"))</f>
        <v/>
      </c>
      <c r="J686" s="23">
        <f>IF($D686="","",IFERROR(INDEX(ENVIOS!$G$4:$G$3003,MATCH($D686,ENVIOS!$A$4:$A$3003,0)),"—"))</f>
        <v/>
      </c>
      <c r="K686" s="28">
        <f>IF($D686="","",IFERROR(INDEX(ENVIOS!$H$4:$H$3003,MATCH($D686,ENVIOS!$A$4:$A$3003,0)),"—"))</f>
        <v/>
      </c>
      <c r="L686" s="49">
        <f>IF($D686="","",IFERROR(INDEX(ENVIOS!$C$4:$C$3003,MATCH($D686,ENVIOS!$A$4:$A$3003,0)),""))</f>
        <v/>
      </c>
      <c r="M686" s="50" t="n"/>
      <c r="N686" s="28">
        <f>IF($M686="","",IFERROR(INDEX(CONFIG!$C$4:$C$63,MATCH($M686,CONFIG!$A$4:$A$63,0)),"Media"))</f>
        <v/>
      </c>
      <c r="O686" s="28">
        <f>IF($M686="","",IF($C686="Interna","NO",IFERROR(INDEX(CONFIG!$E$4:$E$63,MATCH($M686,CONFIG!$A$4:$A$63,0)),"NO")))</f>
        <v/>
      </c>
      <c r="P686" s="50" t="n"/>
      <c r="Q686" s="50" t="n"/>
      <c r="R686" s="28">
        <f>IF($Q686="","",IFERROR(INDEX(CONFIG!$H$4:$H$63,MATCH($Q686,CONFIG!$G$4:$G$63,0)),"Por definir"))</f>
        <v/>
      </c>
      <c r="S686" s="28">
        <f>IF($Q686="","",IFERROR(INDEX(CONFIG!$I$4:$I$63,MATCH($Q686,CONFIG!$G$4:$G$63,0)),"Por definir"))</f>
        <v/>
      </c>
      <c r="T686" s="51" t="n"/>
      <c r="U686" s="52" t="n"/>
      <c r="V686" s="50" t="n"/>
      <c r="W686" s="50" t="n"/>
      <c r="X686" s="49">
        <f>IF(OR($B686="",$M686=""),"",WORKDAY($B686,IFERROR(INDEX(CONFIG!$D$4:$D$63,MATCH($M686,CONFIG!$A$4:$A$63,0)),3)))</f>
        <v/>
      </c>
      <c r="Y686" s="47" t="n"/>
      <c r="Z686" s="24">
        <f>IF($B686="","",IF($Y686&lt;&gt;"",$Y686-$B686,TODAY()-$B686))</f>
        <v/>
      </c>
      <c r="AA686" s="28">
        <f>IF($B686="","",IF(IFERROR(INDEX(CONFIG!$L$4:$L$63,MATCH($V686,CONFIG!$K$4:$K$63,0)),"NO")="SÍ",IF(OR($Y686="",$X686=""),"Resuelta",IF($Y686&gt;$X686,"Resuelta tarde","Resuelta a tiempo")),IF($X686="","Sin clasificar",IF(TODAY()&gt;$X686,"Vencida",IF(TODAY()&gt;=$X686-1,"Por vencer","En plazo")))))</f>
        <v/>
      </c>
      <c r="AB686" s="50" t="n"/>
      <c r="AC686" s="50" t="n"/>
    </row>
    <row r="687" ht="16" customHeight="1">
      <c r="A687" s="28">
        <f>IF($B687="","","N-"&amp;TEXT(ROW()-3,"0000"))</f>
        <v/>
      </c>
      <c r="B687" s="47" t="n"/>
      <c r="C687" s="48" t="n"/>
      <c r="D687" s="48" t="n"/>
      <c r="E687" s="28">
        <f>IF($C687="","",IF($D687="",IF($C687="Interna","Sin guía (interna)","FALTA GUÍA"),IF(COUNTIFS(ENVIOS!$A$4:$A$3003,$D687)=0,"NO EXISTE",IF(COUNTIFS(ENVIOS!$A$4:$A$3003,$D687)&gt;1,"DUPLICADA","OK"))))</f>
        <v/>
      </c>
      <c r="F687" s="28">
        <f>IF($D687="","",IFERROR(INDEX(ENVIOS!$B$4:$B$3003,MATCH($D687,ENVIOS!$A$4:$A$3003,0)),"—"))</f>
        <v/>
      </c>
      <c r="G687" s="23">
        <f>IF($D687="","",IFERROR(INDEX(ENVIOS!$D$4:$D$3003,MATCH($D687,ENVIOS!$A$4:$A$3003,0)),"—"))</f>
        <v/>
      </c>
      <c r="H687" s="23">
        <f>IF($D687="","",IFERROR(INDEX(ENVIOS!$E$4:$E$3003,MATCH($D687,ENVIOS!$A$4:$A$3003,0)),"—"))</f>
        <v/>
      </c>
      <c r="I687" s="23">
        <f>IF($D687="","",IFERROR(INDEX(ENVIOS!$F$4:$F$3003,MATCH($D687,ENVIOS!$A$4:$A$3003,0)),"—"))</f>
        <v/>
      </c>
      <c r="J687" s="23">
        <f>IF($D687="","",IFERROR(INDEX(ENVIOS!$G$4:$G$3003,MATCH($D687,ENVIOS!$A$4:$A$3003,0)),"—"))</f>
        <v/>
      </c>
      <c r="K687" s="28">
        <f>IF($D687="","",IFERROR(INDEX(ENVIOS!$H$4:$H$3003,MATCH($D687,ENVIOS!$A$4:$A$3003,0)),"—"))</f>
        <v/>
      </c>
      <c r="L687" s="49">
        <f>IF($D687="","",IFERROR(INDEX(ENVIOS!$C$4:$C$3003,MATCH($D687,ENVIOS!$A$4:$A$3003,0)),""))</f>
        <v/>
      </c>
      <c r="M687" s="50" t="n"/>
      <c r="N687" s="28">
        <f>IF($M687="","",IFERROR(INDEX(CONFIG!$C$4:$C$63,MATCH($M687,CONFIG!$A$4:$A$63,0)),"Media"))</f>
        <v/>
      </c>
      <c r="O687" s="28">
        <f>IF($M687="","",IF($C687="Interna","NO",IFERROR(INDEX(CONFIG!$E$4:$E$63,MATCH($M687,CONFIG!$A$4:$A$63,0)),"NO")))</f>
        <v/>
      </c>
      <c r="P687" s="50" t="n"/>
      <c r="Q687" s="50" t="n"/>
      <c r="R687" s="28">
        <f>IF($Q687="","",IFERROR(INDEX(CONFIG!$H$4:$H$63,MATCH($Q687,CONFIG!$G$4:$G$63,0)),"Por definir"))</f>
        <v/>
      </c>
      <c r="S687" s="28">
        <f>IF($Q687="","",IFERROR(INDEX(CONFIG!$I$4:$I$63,MATCH($Q687,CONFIG!$G$4:$G$63,0)),"Por definir"))</f>
        <v/>
      </c>
      <c r="T687" s="51" t="n"/>
      <c r="U687" s="52" t="n"/>
      <c r="V687" s="50" t="n"/>
      <c r="W687" s="50" t="n"/>
      <c r="X687" s="49">
        <f>IF(OR($B687="",$M687=""),"",WORKDAY($B687,IFERROR(INDEX(CONFIG!$D$4:$D$63,MATCH($M687,CONFIG!$A$4:$A$63,0)),3)))</f>
        <v/>
      </c>
      <c r="Y687" s="47" t="n"/>
      <c r="Z687" s="24">
        <f>IF($B687="","",IF($Y687&lt;&gt;"",$Y687-$B687,TODAY()-$B687))</f>
        <v/>
      </c>
      <c r="AA687" s="28">
        <f>IF($B687="","",IF(IFERROR(INDEX(CONFIG!$L$4:$L$63,MATCH($V687,CONFIG!$K$4:$K$63,0)),"NO")="SÍ",IF(OR($Y687="",$X687=""),"Resuelta",IF($Y687&gt;$X687,"Resuelta tarde","Resuelta a tiempo")),IF($X687="","Sin clasificar",IF(TODAY()&gt;$X687,"Vencida",IF(TODAY()&gt;=$X687-1,"Por vencer","En plazo")))))</f>
        <v/>
      </c>
      <c r="AB687" s="50" t="n"/>
      <c r="AC687" s="50" t="n"/>
    </row>
    <row r="688" ht="16" customHeight="1">
      <c r="A688" s="28">
        <f>IF($B688="","","N-"&amp;TEXT(ROW()-3,"0000"))</f>
        <v/>
      </c>
      <c r="B688" s="47" t="n"/>
      <c r="C688" s="48" t="n"/>
      <c r="D688" s="48" t="n"/>
      <c r="E688" s="28">
        <f>IF($C688="","",IF($D688="",IF($C688="Interna","Sin guía (interna)","FALTA GUÍA"),IF(COUNTIFS(ENVIOS!$A$4:$A$3003,$D688)=0,"NO EXISTE",IF(COUNTIFS(ENVIOS!$A$4:$A$3003,$D688)&gt;1,"DUPLICADA","OK"))))</f>
        <v/>
      </c>
      <c r="F688" s="28">
        <f>IF($D688="","",IFERROR(INDEX(ENVIOS!$B$4:$B$3003,MATCH($D688,ENVIOS!$A$4:$A$3003,0)),"—"))</f>
        <v/>
      </c>
      <c r="G688" s="23">
        <f>IF($D688="","",IFERROR(INDEX(ENVIOS!$D$4:$D$3003,MATCH($D688,ENVIOS!$A$4:$A$3003,0)),"—"))</f>
        <v/>
      </c>
      <c r="H688" s="23">
        <f>IF($D688="","",IFERROR(INDEX(ENVIOS!$E$4:$E$3003,MATCH($D688,ENVIOS!$A$4:$A$3003,0)),"—"))</f>
        <v/>
      </c>
      <c r="I688" s="23">
        <f>IF($D688="","",IFERROR(INDEX(ENVIOS!$F$4:$F$3003,MATCH($D688,ENVIOS!$A$4:$A$3003,0)),"—"))</f>
        <v/>
      </c>
      <c r="J688" s="23">
        <f>IF($D688="","",IFERROR(INDEX(ENVIOS!$G$4:$G$3003,MATCH($D688,ENVIOS!$A$4:$A$3003,0)),"—"))</f>
        <v/>
      </c>
      <c r="K688" s="28">
        <f>IF($D688="","",IFERROR(INDEX(ENVIOS!$H$4:$H$3003,MATCH($D688,ENVIOS!$A$4:$A$3003,0)),"—"))</f>
        <v/>
      </c>
      <c r="L688" s="49">
        <f>IF($D688="","",IFERROR(INDEX(ENVIOS!$C$4:$C$3003,MATCH($D688,ENVIOS!$A$4:$A$3003,0)),""))</f>
        <v/>
      </c>
      <c r="M688" s="50" t="n"/>
      <c r="N688" s="28">
        <f>IF($M688="","",IFERROR(INDEX(CONFIG!$C$4:$C$63,MATCH($M688,CONFIG!$A$4:$A$63,0)),"Media"))</f>
        <v/>
      </c>
      <c r="O688" s="28">
        <f>IF($M688="","",IF($C688="Interna","NO",IFERROR(INDEX(CONFIG!$E$4:$E$63,MATCH($M688,CONFIG!$A$4:$A$63,0)),"NO")))</f>
        <v/>
      </c>
      <c r="P688" s="50" t="n"/>
      <c r="Q688" s="50" t="n"/>
      <c r="R688" s="28">
        <f>IF($Q688="","",IFERROR(INDEX(CONFIG!$H$4:$H$63,MATCH($Q688,CONFIG!$G$4:$G$63,0)),"Por definir"))</f>
        <v/>
      </c>
      <c r="S688" s="28">
        <f>IF($Q688="","",IFERROR(INDEX(CONFIG!$I$4:$I$63,MATCH($Q688,CONFIG!$G$4:$G$63,0)),"Por definir"))</f>
        <v/>
      </c>
      <c r="T688" s="51" t="n"/>
      <c r="U688" s="52" t="n"/>
      <c r="V688" s="50" t="n"/>
      <c r="W688" s="50" t="n"/>
      <c r="X688" s="49">
        <f>IF(OR($B688="",$M688=""),"",WORKDAY($B688,IFERROR(INDEX(CONFIG!$D$4:$D$63,MATCH($M688,CONFIG!$A$4:$A$63,0)),3)))</f>
        <v/>
      </c>
      <c r="Y688" s="47" t="n"/>
      <c r="Z688" s="24">
        <f>IF($B688="","",IF($Y688&lt;&gt;"",$Y688-$B688,TODAY()-$B688))</f>
        <v/>
      </c>
      <c r="AA688" s="28">
        <f>IF($B688="","",IF(IFERROR(INDEX(CONFIG!$L$4:$L$63,MATCH($V688,CONFIG!$K$4:$K$63,0)),"NO")="SÍ",IF(OR($Y688="",$X688=""),"Resuelta",IF($Y688&gt;$X688,"Resuelta tarde","Resuelta a tiempo")),IF($X688="","Sin clasificar",IF(TODAY()&gt;$X688,"Vencida",IF(TODAY()&gt;=$X688-1,"Por vencer","En plazo")))))</f>
        <v/>
      </c>
      <c r="AB688" s="50" t="n"/>
      <c r="AC688" s="50" t="n"/>
    </row>
    <row r="689" ht="16" customHeight="1">
      <c r="A689" s="28">
        <f>IF($B689="","","N-"&amp;TEXT(ROW()-3,"0000"))</f>
        <v/>
      </c>
      <c r="B689" s="47" t="n"/>
      <c r="C689" s="48" t="n"/>
      <c r="D689" s="48" t="n"/>
      <c r="E689" s="28">
        <f>IF($C689="","",IF($D689="",IF($C689="Interna","Sin guía (interna)","FALTA GUÍA"),IF(COUNTIFS(ENVIOS!$A$4:$A$3003,$D689)=0,"NO EXISTE",IF(COUNTIFS(ENVIOS!$A$4:$A$3003,$D689)&gt;1,"DUPLICADA","OK"))))</f>
        <v/>
      </c>
      <c r="F689" s="28">
        <f>IF($D689="","",IFERROR(INDEX(ENVIOS!$B$4:$B$3003,MATCH($D689,ENVIOS!$A$4:$A$3003,0)),"—"))</f>
        <v/>
      </c>
      <c r="G689" s="23">
        <f>IF($D689="","",IFERROR(INDEX(ENVIOS!$D$4:$D$3003,MATCH($D689,ENVIOS!$A$4:$A$3003,0)),"—"))</f>
        <v/>
      </c>
      <c r="H689" s="23">
        <f>IF($D689="","",IFERROR(INDEX(ENVIOS!$E$4:$E$3003,MATCH($D689,ENVIOS!$A$4:$A$3003,0)),"—"))</f>
        <v/>
      </c>
      <c r="I689" s="23">
        <f>IF($D689="","",IFERROR(INDEX(ENVIOS!$F$4:$F$3003,MATCH($D689,ENVIOS!$A$4:$A$3003,0)),"—"))</f>
        <v/>
      </c>
      <c r="J689" s="23">
        <f>IF($D689="","",IFERROR(INDEX(ENVIOS!$G$4:$G$3003,MATCH($D689,ENVIOS!$A$4:$A$3003,0)),"—"))</f>
        <v/>
      </c>
      <c r="K689" s="28">
        <f>IF($D689="","",IFERROR(INDEX(ENVIOS!$H$4:$H$3003,MATCH($D689,ENVIOS!$A$4:$A$3003,0)),"—"))</f>
        <v/>
      </c>
      <c r="L689" s="49">
        <f>IF($D689="","",IFERROR(INDEX(ENVIOS!$C$4:$C$3003,MATCH($D689,ENVIOS!$A$4:$A$3003,0)),""))</f>
        <v/>
      </c>
      <c r="M689" s="50" t="n"/>
      <c r="N689" s="28">
        <f>IF($M689="","",IFERROR(INDEX(CONFIG!$C$4:$C$63,MATCH($M689,CONFIG!$A$4:$A$63,0)),"Media"))</f>
        <v/>
      </c>
      <c r="O689" s="28">
        <f>IF($M689="","",IF($C689="Interna","NO",IFERROR(INDEX(CONFIG!$E$4:$E$63,MATCH($M689,CONFIG!$A$4:$A$63,0)),"NO")))</f>
        <v/>
      </c>
      <c r="P689" s="50" t="n"/>
      <c r="Q689" s="50" t="n"/>
      <c r="R689" s="28">
        <f>IF($Q689="","",IFERROR(INDEX(CONFIG!$H$4:$H$63,MATCH($Q689,CONFIG!$G$4:$G$63,0)),"Por definir"))</f>
        <v/>
      </c>
      <c r="S689" s="28">
        <f>IF($Q689="","",IFERROR(INDEX(CONFIG!$I$4:$I$63,MATCH($Q689,CONFIG!$G$4:$G$63,0)),"Por definir"))</f>
        <v/>
      </c>
      <c r="T689" s="51" t="n"/>
      <c r="U689" s="52" t="n"/>
      <c r="V689" s="50" t="n"/>
      <c r="W689" s="50" t="n"/>
      <c r="X689" s="49">
        <f>IF(OR($B689="",$M689=""),"",WORKDAY($B689,IFERROR(INDEX(CONFIG!$D$4:$D$63,MATCH($M689,CONFIG!$A$4:$A$63,0)),3)))</f>
        <v/>
      </c>
      <c r="Y689" s="47" t="n"/>
      <c r="Z689" s="24">
        <f>IF($B689="","",IF($Y689&lt;&gt;"",$Y689-$B689,TODAY()-$B689))</f>
        <v/>
      </c>
      <c r="AA689" s="28">
        <f>IF($B689="","",IF(IFERROR(INDEX(CONFIG!$L$4:$L$63,MATCH($V689,CONFIG!$K$4:$K$63,0)),"NO")="SÍ",IF(OR($Y689="",$X689=""),"Resuelta",IF($Y689&gt;$X689,"Resuelta tarde","Resuelta a tiempo")),IF($X689="","Sin clasificar",IF(TODAY()&gt;$X689,"Vencida",IF(TODAY()&gt;=$X689-1,"Por vencer","En plazo")))))</f>
        <v/>
      </c>
      <c r="AB689" s="50" t="n"/>
      <c r="AC689" s="50" t="n"/>
    </row>
    <row r="690" ht="16" customHeight="1">
      <c r="A690" s="28">
        <f>IF($B690="","","N-"&amp;TEXT(ROW()-3,"0000"))</f>
        <v/>
      </c>
      <c r="B690" s="47" t="n"/>
      <c r="C690" s="48" t="n"/>
      <c r="D690" s="48" t="n"/>
      <c r="E690" s="28">
        <f>IF($C690="","",IF($D690="",IF($C690="Interna","Sin guía (interna)","FALTA GUÍA"),IF(COUNTIFS(ENVIOS!$A$4:$A$3003,$D690)=0,"NO EXISTE",IF(COUNTIFS(ENVIOS!$A$4:$A$3003,$D690)&gt;1,"DUPLICADA","OK"))))</f>
        <v/>
      </c>
      <c r="F690" s="28">
        <f>IF($D690="","",IFERROR(INDEX(ENVIOS!$B$4:$B$3003,MATCH($D690,ENVIOS!$A$4:$A$3003,0)),"—"))</f>
        <v/>
      </c>
      <c r="G690" s="23">
        <f>IF($D690="","",IFERROR(INDEX(ENVIOS!$D$4:$D$3003,MATCH($D690,ENVIOS!$A$4:$A$3003,0)),"—"))</f>
        <v/>
      </c>
      <c r="H690" s="23">
        <f>IF($D690="","",IFERROR(INDEX(ENVIOS!$E$4:$E$3003,MATCH($D690,ENVIOS!$A$4:$A$3003,0)),"—"))</f>
        <v/>
      </c>
      <c r="I690" s="23">
        <f>IF($D690="","",IFERROR(INDEX(ENVIOS!$F$4:$F$3003,MATCH($D690,ENVIOS!$A$4:$A$3003,0)),"—"))</f>
        <v/>
      </c>
      <c r="J690" s="23">
        <f>IF($D690="","",IFERROR(INDEX(ENVIOS!$G$4:$G$3003,MATCH($D690,ENVIOS!$A$4:$A$3003,0)),"—"))</f>
        <v/>
      </c>
      <c r="K690" s="28">
        <f>IF($D690="","",IFERROR(INDEX(ENVIOS!$H$4:$H$3003,MATCH($D690,ENVIOS!$A$4:$A$3003,0)),"—"))</f>
        <v/>
      </c>
      <c r="L690" s="49">
        <f>IF($D690="","",IFERROR(INDEX(ENVIOS!$C$4:$C$3003,MATCH($D690,ENVIOS!$A$4:$A$3003,0)),""))</f>
        <v/>
      </c>
      <c r="M690" s="50" t="n"/>
      <c r="N690" s="28">
        <f>IF($M690="","",IFERROR(INDEX(CONFIG!$C$4:$C$63,MATCH($M690,CONFIG!$A$4:$A$63,0)),"Media"))</f>
        <v/>
      </c>
      <c r="O690" s="28">
        <f>IF($M690="","",IF($C690="Interna","NO",IFERROR(INDEX(CONFIG!$E$4:$E$63,MATCH($M690,CONFIG!$A$4:$A$63,0)),"NO")))</f>
        <v/>
      </c>
      <c r="P690" s="50" t="n"/>
      <c r="Q690" s="50" t="n"/>
      <c r="R690" s="28">
        <f>IF($Q690="","",IFERROR(INDEX(CONFIG!$H$4:$H$63,MATCH($Q690,CONFIG!$G$4:$G$63,0)),"Por definir"))</f>
        <v/>
      </c>
      <c r="S690" s="28">
        <f>IF($Q690="","",IFERROR(INDEX(CONFIG!$I$4:$I$63,MATCH($Q690,CONFIG!$G$4:$G$63,0)),"Por definir"))</f>
        <v/>
      </c>
      <c r="T690" s="51" t="n"/>
      <c r="U690" s="52" t="n"/>
      <c r="V690" s="50" t="n"/>
      <c r="W690" s="50" t="n"/>
      <c r="X690" s="49">
        <f>IF(OR($B690="",$M690=""),"",WORKDAY($B690,IFERROR(INDEX(CONFIG!$D$4:$D$63,MATCH($M690,CONFIG!$A$4:$A$63,0)),3)))</f>
        <v/>
      </c>
      <c r="Y690" s="47" t="n"/>
      <c r="Z690" s="24">
        <f>IF($B690="","",IF($Y690&lt;&gt;"",$Y690-$B690,TODAY()-$B690))</f>
        <v/>
      </c>
      <c r="AA690" s="28">
        <f>IF($B690="","",IF(IFERROR(INDEX(CONFIG!$L$4:$L$63,MATCH($V690,CONFIG!$K$4:$K$63,0)),"NO")="SÍ",IF(OR($Y690="",$X690=""),"Resuelta",IF($Y690&gt;$X690,"Resuelta tarde","Resuelta a tiempo")),IF($X690="","Sin clasificar",IF(TODAY()&gt;$X690,"Vencida",IF(TODAY()&gt;=$X690-1,"Por vencer","En plazo")))))</f>
        <v/>
      </c>
      <c r="AB690" s="50" t="n"/>
      <c r="AC690" s="50" t="n"/>
    </row>
    <row r="691" ht="16" customHeight="1">
      <c r="A691" s="28">
        <f>IF($B691="","","N-"&amp;TEXT(ROW()-3,"0000"))</f>
        <v/>
      </c>
      <c r="B691" s="47" t="n"/>
      <c r="C691" s="48" t="n"/>
      <c r="D691" s="48" t="n"/>
      <c r="E691" s="28">
        <f>IF($C691="","",IF($D691="",IF($C691="Interna","Sin guía (interna)","FALTA GUÍA"),IF(COUNTIFS(ENVIOS!$A$4:$A$3003,$D691)=0,"NO EXISTE",IF(COUNTIFS(ENVIOS!$A$4:$A$3003,$D691)&gt;1,"DUPLICADA","OK"))))</f>
        <v/>
      </c>
      <c r="F691" s="28">
        <f>IF($D691="","",IFERROR(INDEX(ENVIOS!$B$4:$B$3003,MATCH($D691,ENVIOS!$A$4:$A$3003,0)),"—"))</f>
        <v/>
      </c>
      <c r="G691" s="23">
        <f>IF($D691="","",IFERROR(INDEX(ENVIOS!$D$4:$D$3003,MATCH($D691,ENVIOS!$A$4:$A$3003,0)),"—"))</f>
        <v/>
      </c>
      <c r="H691" s="23">
        <f>IF($D691="","",IFERROR(INDEX(ENVIOS!$E$4:$E$3003,MATCH($D691,ENVIOS!$A$4:$A$3003,0)),"—"))</f>
        <v/>
      </c>
      <c r="I691" s="23">
        <f>IF($D691="","",IFERROR(INDEX(ENVIOS!$F$4:$F$3003,MATCH($D691,ENVIOS!$A$4:$A$3003,0)),"—"))</f>
        <v/>
      </c>
      <c r="J691" s="23">
        <f>IF($D691="","",IFERROR(INDEX(ENVIOS!$G$4:$G$3003,MATCH($D691,ENVIOS!$A$4:$A$3003,0)),"—"))</f>
        <v/>
      </c>
      <c r="K691" s="28">
        <f>IF($D691="","",IFERROR(INDEX(ENVIOS!$H$4:$H$3003,MATCH($D691,ENVIOS!$A$4:$A$3003,0)),"—"))</f>
        <v/>
      </c>
      <c r="L691" s="49">
        <f>IF($D691="","",IFERROR(INDEX(ENVIOS!$C$4:$C$3003,MATCH($D691,ENVIOS!$A$4:$A$3003,0)),""))</f>
        <v/>
      </c>
      <c r="M691" s="50" t="n"/>
      <c r="N691" s="28">
        <f>IF($M691="","",IFERROR(INDEX(CONFIG!$C$4:$C$63,MATCH($M691,CONFIG!$A$4:$A$63,0)),"Media"))</f>
        <v/>
      </c>
      <c r="O691" s="28">
        <f>IF($M691="","",IF($C691="Interna","NO",IFERROR(INDEX(CONFIG!$E$4:$E$63,MATCH($M691,CONFIG!$A$4:$A$63,0)),"NO")))</f>
        <v/>
      </c>
      <c r="P691" s="50" t="n"/>
      <c r="Q691" s="50" t="n"/>
      <c r="R691" s="28">
        <f>IF($Q691="","",IFERROR(INDEX(CONFIG!$H$4:$H$63,MATCH($Q691,CONFIG!$G$4:$G$63,0)),"Por definir"))</f>
        <v/>
      </c>
      <c r="S691" s="28">
        <f>IF($Q691="","",IFERROR(INDEX(CONFIG!$I$4:$I$63,MATCH($Q691,CONFIG!$G$4:$G$63,0)),"Por definir"))</f>
        <v/>
      </c>
      <c r="T691" s="51" t="n"/>
      <c r="U691" s="52" t="n"/>
      <c r="V691" s="50" t="n"/>
      <c r="W691" s="50" t="n"/>
      <c r="X691" s="49">
        <f>IF(OR($B691="",$M691=""),"",WORKDAY($B691,IFERROR(INDEX(CONFIG!$D$4:$D$63,MATCH($M691,CONFIG!$A$4:$A$63,0)),3)))</f>
        <v/>
      </c>
      <c r="Y691" s="47" t="n"/>
      <c r="Z691" s="24">
        <f>IF($B691="","",IF($Y691&lt;&gt;"",$Y691-$B691,TODAY()-$B691))</f>
        <v/>
      </c>
      <c r="AA691" s="28">
        <f>IF($B691="","",IF(IFERROR(INDEX(CONFIG!$L$4:$L$63,MATCH($V691,CONFIG!$K$4:$K$63,0)),"NO")="SÍ",IF(OR($Y691="",$X691=""),"Resuelta",IF($Y691&gt;$X691,"Resuelta tarde","Resuelta a tiempo")),IF($X691="","Sin clasificar",IF(TODAY()&gt;$X691,"Vencida",IF(TODAY()&gt;=$X691-1,"Por vencer","En plazo")))))</f>
        <v/>
      </c>
      <c r="AB691" s="50" t="n"/>
      <c r="AC691" s="50" t="n"/>
    </row>
    <row r="692" ht="16" customHeight="1">
      <c r="A692" s="28">
        <f>IF($B692="","","N-"&amp;TEXT(ROW()-3,"0000"))</f>
        <v/>
      </c>
      <c r="B692" s="47" t="n"/>
      <c r="C692" s="48" t="n"/>
      <c r="D692" s="48" t="n"/>
      <c r="E692" s="28">
        <f>IF($C692="","",IF($D692="",IF($C692="Interna","Sin guía (interna)","FALTA GUÍA"),IF(COUNTIFS(ENVIOS!$A$4:$A$3003,$D692)=0,"NO EXISTE",IF(COUNTIFS(ENVIOS!$A$4:$A$3003,$D692)&gt;1,"DUPLICADA","OK"))))</f>
        <v/>
      </c>
      <c r="F692" s="28">
        <f>IF($D692="","",IFERROR(INDEX(ENVIOS!$B$4:$B$3003,MATCH($D692,ENVIOS!$A$4:$A$3003,0)),"—"))</f>
        <v/>
      </c>
      <c r="G692" s="23">
        <f>IF($D692="","",IFERROR(INDEX(ENVIOS!$D$4:$D$3003,MATCH($D692,ENVIOS!$A$4:$A$3003,0)),"—"))</f>
        <v/>
      </c>
      <c r="H692" s="23">
        <f>IF($D692="","",IFERROR(INDEX(ENVIOS!$E$4:$E$3003,MATCH($D692,ENVIOS!$A$4:$A$3003,0)),"—"))</f>
        <v/>
      </c>
      <c r="I692" s="23">
        <f>IF($D692="","",IFERROR(INDEX(ENVIOS!$F$4:$F$3003,MATCH($D692,ENVIOS!$A$4:$A$3003,0)),"—"))</f>
        <v/>
      </c>
      <c r="J692" s="23">
        <f>IF($D692="","",IFERROR(INDEX(ENVIOS!$G$4:$G$3003,MATCH($D692,ENVIOS!$A$4:$A$3003,0)),"—"))</f>
        <v/>
      </c>
      <c r="K692" s="28">
        <f>IF($D692="","",IFERROR(INDEX(ENVIOS!$H$4:$H$3003,MATCH($D692,ENVIOS!$A$4:$A$3003,0)),"—"))</f>
        <v/>
      </c>
      <c r="L692" s="49">
        <f>IF($D692="","",IFERROR(INDEX(ENVIOS!$C$4:$C$3003,MATCH($D692,ENVIOS!$A$4:$A$3003,0)),""))</f>
        <v/>
      </c>
      <c r="M692" s="50" t="n"/>
      <c r="N692" s="28">
        <f>IF($M692="","",IFERROR(INDEX(CONFIG!$C$4:$C$63,MATCH($M692,CONFIG!$A$4:$A$63,0)),"Media"))</f>
        <v/>
      </c>
      <c r="O692" s="28">
        <f>IF($M692="","",IF($C692="Interna","NO",IFERROR(INDEX(CONFIG!$E$4:$E$63,MATCH($M692,CONFIG!$A$4:$A$63,0)),"NO")))</f>
        <v/>
      </c>
      <c r="P692" s="50" t="n"/>
      <c r="Q692" s="50" t="n"/>
      <c r="R692" s="28">
        <f>IF($Q692="","",IFERROR(INDEX(CONFIG!$H$4:$H$63,MATCH($Q692,CONFIG!$G$4:$G$63,0)),"Por definir"))</f>
        <v/>
      </c>
      <c r="S692" s="28">
        <f>IF($Q692="","",IFERROR(INDEX(CONFIG!$I$4:$I$63,MATCH($Q692,CONFIG!$G$4:$G$63,0)),"Por definir"))</f>
        <v/>
      </c>
      <c r="T692" s="51" t="n"/>
      <c r="U692" s="52" t="n"/>
      <c r="V692" s="50" t="n"/>
      <c r="W692" s="50" t="n"/>
      <c r="X692" s="49">
        <f>IF(OR($B692="",$M692=""),"",WORKDAY($B692,IFERROR(INDEX(CONFIG!$D$4:$D$63,MATCH($M692,CONFIG!$A$4:$A$63,0)),3)))</f>
        <v/>
      </c>
      <c r="Y692" s="47" t="n"/>
      <c r="Z692" s="24">
        <f>IF($B692="","",IF($Y692&lt;&gt;"",$Y692-$B692,TODAY()-$B692))</f>
        <v/>
      </c>
      <c r="AA692" s="28">
        <f>IF($B692="","",IF(IFERROR(INDEX(CONFIG!$L$4:$L$63,MATCH($V692,CONFIG!$K$4:$K$63,0)),"NO")="SÍ",IF(OR($Y692="",$X692=""),"Resuelta",IF($Y692&gt;$X692,"Resuelta tarde","Resuelta a tiempo")),IF($X692="","Sin clasificar",IF(TODAY()&gt;$X692,"Vencida",IF(TODAY()&gt;=$X692-1,"Por vencer","En plazo")))))</f>
        <v/>
      </c>
      <c r="AB692" s="50" t="n"/>
      <c r="AC692" s="50" t="n"/>
    </row>
    <row r="693" ht="16" customHeight="1">
      <c r="A693" s="28">
        <f>IF($B693="","","N-"&amp;TEXT(ROW()-3,"0000"))</f>
        <v/>
      </c>
      <c r="B693" s="47" t="n"/>
      <c r="C693" s="48" t="n"/>
      <c r="D693" s="48" t="n"/>
      <c r="E693" s="28">
        <f>IF($C693="","",IF($D693="",IF($C693="Interna","Sin guía (interna)","FALTA GUÍA"),IF(COUNTIFS(ENVIOS!$A$4:$A$3003,$D693)=0,"NO EXISTE",IF(COUNTIFS(ENVIOS!$A$4:$A$3003,$D693)&gt;1,"DUPLICADA","OK"))))</f>
        <v/>
      </c>
      <c r="F693" s="28">
        <f>IF($D693="","",IFERROR(INDEX(ENVIOS!$B$4:$B$3003,MATCH($D693,ENVIOS!$A$4:$A$3003,0)),"—"))</f>
        <v/>
      </c>
      <c r="G693" s="23">
        <f>IF($D693="","",IFERROR(INDEX(ENVIOS!$D$4:$D$3003,MATCH($D693,ENVIOS!$A$4:$A$3003,0)),"—"))</f>
        <v/>
      </c>
      <c r="H693" s="23">
        <f>IF($D693="","",IFERROR(INDEX(ENVIOS!$E$4:$E$3003,MATCH($D693,ENVIOS!$A$4:$A$3003,0)),"—"))</f>
        <v/>
      </c>
      <c r="I693" s="23">
        <f>IF($D693="","",IFERROR(INDEX(ENVIOS!$F$4:$F$3003,MATCH($D693,ENVIOS!$A$4:$A$3003,0)),"—"))</f>
        <v/>
      </c>
      <c r="J693" s="23">
        <f>IF($D693="","",IFERROR(INDEX(ENVIOS!$G$4:$G$3003,MATCH($D693,ENVIOS!$A$4:$A$3003,0)),"—"))</f>
        <v/>
      </c>
      <c r="K693" s="28">
        <f>IF($D693="","",IFERROR(INDEX(ENVIOS!$H$4:$H$3003,MATCH($D693,ENVIOS!$A$4:$A$3003,0)),"—"))</f>
        <v/>
      </c>
      <c r="L693" s="49">
        <f>IF($D693="","",IFERROR(INDEX(ENVIOS!$C$4:$C$3003,MATCH($D693,ENVIOS!$A$4:$A$3003,0)),""))</f>
        <v/>
      </c>
      <c r="M693" s="50" t="n"/>
      <c r="N693" s="28">
        <f>IF($M693="","",IFERROR(INDEX(CONFIG!$C$4:$C$63,MATCH($M693,CONFIG!$A$4:$A$63,0)),"Media"))</f>
        <v/>
      </c>
      <c r="O693" s="28">
        <f>IF($M693="","",IF($C693="Interna","NO",IFERROR(INDEX(CONFIG!$E$4:$E$63,MATCH($M693,CONFIG!$A$4:$A$63,0)),"NO")))</f>
        <v/>
      </c>
      <c r="P693" s="50" t="n"/>
      <c r="Q693" s="50" t="n"/>
      <c r="R693" s="28">
        <f>IF($Q693="","",IFERROR(INDEX(CONFIG!$H$4:$H$63,MATCH($Q693,CONFIG!$G$4:$G$63,0)),"Por definir"))</f>
        <v/>
      </c>
      <c r="S693" s="28">
        <f>IF($Q693="","",IFERROR(INDEX(CONFIG!$I$4:$I$63,MATCH($Q693,CONFIG!$G$4:$G$63,0)),"Por definir"))</f>
        <v/>
      </c>
      <c r="T693" s="51" t="n"/>
      <c r="U693" s="52" t="n"/>
      <c r="V693" s="50" t="n"/>
      <c r="W693" s="50" t="n"/>
      <c r="X693" s="49">
        <f>IF(OR($B693="",$M693=""),"",WORKDAY($B693,IFERROR(INDEX(CONFIG!$D$4:$D$63,MATCH($M693,CONFIG!$A$4:$A$63,0)),3)))</f>
        <v/>
      </c>
      <c r="Y693" s="47" t="n"/>
      <c r="Z693" s="24">
        <f>IF($B693="","",IF($Y693&lt;&gt;"",$Y693-$B693,TODAY()-$B693))</f>
        <v/>
      </c>
      <c r="AA693" s="28">
        <f>IF($B693="","",IF(IFERROR(INDEX(CONFIG!$L$4:$L$63,MATCH($V693,CONFIG!$K$4:$K$63,0)),"NO")="SÍ",IF(OR($Y693="",$X693=""),"Resuelta",IF($Y693&gt;$X693,"Resuelta tarde","Resuelta a tiempo")),IF($X693="","Sin clasificar",IF(TODAY()&gt;$X693,"Vencida",IF(TODAY()&gt;=$X693-1,"Por vencer","En plazo")))))</f>
        <v/>
      </c>
      <c r="AB693" s="50" t="n"/>
      <c r="AC693" s="50" t="n"/>
    </row>
    <row r="694" ht="16" customHeight="1">
      <c r="A694" s="28">
        <f>IF($B694="","","N-"&amp;TEXT(ROW()-3,"0000"))</f>
        <v/>
      </c>
      <c r="B694" s="47" t="n"/>
      <c r="C694" s="48" t="n"/>
      <c r="D694" s="48" t="n"/>
      <c r="E694" s="28">
        <f>IF($C694="","",IF($D694="",IF($C694="Interna","Sin guía (interna)","FALTA GUÍA"),IF(COUNTIFS(ENVIOS!$A$4:$A$3003,$D694)=0,"NO EXISTE",IF(COUNTIFS(ENVIOS!$A$4:$A$3003,$D694)&gt;1,"DUPLICADA","OK"))))</f>
        <v/>
      </c>
      <c r="F694" s="28">
        <f>IF($D694="","",IFERROR(INDEX(ENVIOS!$B$4:$B$3003,MATCH($D694,ENVIOS!$A$4:$A$3003,0)),"—"))</f>
        <v/>
      </c>
      <c r="G694" s="23">
        <f>IF($D694="","",IFERROR(INDEX(ENVIOS!$D$4:$D$3003,MATCH($D694,ENVIOS!$A$4:$A$3003,0)),"—"))</f>
        <v/>
      </c>
      <c r="H694" s="23">
        <f>IF($D694="","",IFERROR(INDEX(ENVIOS!$E$4:$E$3003,MATCH($D694,ENVIOS!$A$4:$A$3003,0)),"—"))</f>
        <v/>
      </c>
      <c r="I694" s="23">
        <f>IF($D694="","",IFERROR(INDEX(ENVIOS!$F$4:$F$3003,MATCH($D694,ENVIOS!$A$4:$A$3003,0)),"—"))</f>
        <v/>
      </c>
      <c r="J694" s="23">
        <f>IF($D694="","",IFERROR(INDEX(ENVIOS!$G$4:$G$3003,MATCH($D694,ENVIOS!$A$4:$A$3003,0)),"—"))</f>
        <v/>
      </c>
      <c r="K694" s="28">
        <f>IF($D694="","",IFERROR(INDEX(ENVIOS!$H$4:$H$3003,MATCH($D694,ENVIOS!$A$4:$A$3003,0)),"—"))</f>
        <v/>
      </c>
      <c r="L694" s="49">
        <f>IF($D694="","",IFERROR(INDEX(ENVIOS!$C$4:$C$3003,MATCH($D694,ENVIOS!$A$4:$A$3003,0)),""))</f>
        <v/>
      </c>
      <c r="M694" s="50" t="n"/>
      <c r="N694" s="28">
        <f>IF($M694="","",IFERROR(INDEX(CONFIG!$C$4:$C$63,MATCH($M694,CONFIG!$A$4:$A$63,0)),"Media"))</f>
        <v/>
      </c>
      <c r="O694" s="28">
        <f>IF($M694="","",IF($C694="Interna","NO",IFERROR(INDEX(CONFIG!$E$4:$E$63,MATCH($M694,CONFIG!$A$4:$A$63,0)),"NO")))</f>
        <v/>
      </c>
      <c r="P694" s="50" t="n"/>
      <c r="Q694" s="50" t="n"/>
      <c r="R694" s="28">
        <f>IF($Q694="","",IFERROR(INDEX(CONFIG!$H$4:$H$63,MATCH($Q694,CONFIG!$G$4:$G$63,0)),"Por definir"))</f>
        <v/>
      </c>
      <c r="S694" s="28">
        <f>IF($Q694="","",IFERROR(INDEX(CONFIG!$I$4:$I$63,MATCH($Q694,CONFIG!$G$4:$G$63,0)),"Por definir"))</f>
        <v/>
      </c>
      <c r="T694" s="51" t="n"/>
      <c r="U694" s="52" t="n"/>
      <c r="V694" s="50" t="n"/>
      <c r="W694" s="50" t="n"/>
      <c r="X694" s="49">
        <f>IF(OR($B694="",$M694=""),"",WORKDAY($B694,IFERROR(INDEX(CONFIG!$D$4:$D$63,MATCH($M694,CONFIG!$A$4:$A$63,0)),3)))</f>
        <v/>
      </c>
      <c r="Y694" s="47" t="n"/>
      <c r="Z694" s="24">
        <f>IF($B694="","",IF($Y694&lt;&gt;"",$Y694-$B694,TODAY()-$B694))</f>
        <v/>
      </c>
      <c r="AA694" s="28">
        <f>IF($B694="","",IF(IFERROR(INDEX(CONFIG!$L$4:$L$63,MATCH($V694,CONFIG!$K$4:$K$63,0)),"NO")="SÍ",IF(OR($Y694="",$X694=""),"Resuelta",IF($Y694&gt;$X694,"Resuelta tarde","Resuelta a tiempo")),IF($X694="","Sin clasificar",IF(TODAY()&gt;$X694,"Vencida",IF(TODAY()&gt;=$X694-1,"Por vencer","En plazo")))))</f>
        <v/>
      </c>
      <c r="AB694" s="50" t="n"/>
      <c r="AC694" s="50" t="n"/>
    </row>
    <row r="695" ht="16" customHeight="1">
      <c r="A695" s="28">
        <f>IF($B695="","","N-"&amp;TEXT(ROW()-3,"0000"))</f>
        <v/>
      </c>
      <c r="B695" s="47" t="n"/>
      <c r="C695" s="48" t="n"/>
      <c r="D695" s="48" t="n"/>
      <c r="E695" s="28">
        <f>IF($C695="","",IF($D695="",IF($C695="Interna","Sin guía (interna)","FALTA GUÍA"),IF(COUNTIFS(ENVIOS!$A$4:$A$3003,$D695)=0,"NO EXISTE",IF(COUNTIFS(ENVIOS!$A$4:$A$3003,$D695)&gt;1,"DUPLICADA","OK"))))</f>
        <v/>
      </c>
      <c r="F695" s="28">
        <f>IF($D695="","",IFERROR(INDEX(ENVIOS!$B$4:$B$3003,MATCH($D695,ENVIOS!$A$4:$A$3003,0)),"—"))</f>
        <v/>
      </c>
      <c r="G695" s="23">
        <f>IF($D695="","",IFERROR(INDEX(ENVIOS!$D$4:$D$3003,MATCH($D695,ENVIOS!$A$4:$A$3003,0)),"—"))</f>
        <v/>
      </c>
      <c r="H695" s="23">
        <f>IF($D695="","",IFERROR(INDEX(ENVIOS!$E$4:$E$3003,MATCH($D695,ENVIOS!$A$4:$A$3003,0)),"—"))</f>
        <v/>
      </c>
      <c r="I695" s="23">
        <f>IF($D695="","",IFERROR(INDEX(ENVIOS!$F$4:$F$3003,MATCH($D695,ENVIOS!$A$4:$A$3003,0)),"—"))</f>
        <v/>
      </c>
      <c r="J695" s="23">
        <f>IF($D695="","",IFERROR(INDEX(ENVIOS!$G$4:$G$3003,MATCH($D695,ENVIOS!$A$4:$A$3003,0)),"—"))</f>
        <v/>
      </c>
      <c r="K695" s="28">
        <f>IF($D695="","",IFERROR(INDEX(ENVIOS!$H$4:$H$3003,MATCH($D695,ENVIOS!$A$4:$A$3003,0)),"—"))</f>
        <v/>
      </c>
      <c r="L695" s="49">
        <f>IF($D695="","",IFERROR(INDEX(ENVIOS!$C$4:$C$3003,MATCH($D695,ENVIOS!$A$4:$A$3003,0)),""))</f>
        <v/>
      </c>
      <c r="M695" s="50" t="n"/>
      <c r="N695" s="28">
        <f>IF($M695="","",IFERROR(INDEX(CONFIG!$C$4:$C$63,MATCH($M695,CONFIG!$A$4:$A$63,0)),"Media"))</f>
        <v/>
      </c>
      <c r="O695" s="28">
        <f>IF($M695="","",IF($C695="Interna","NO",IFERROR(INDEX(CONFIG!$E$4:$E$63,MATCH($M695,CONFIG!$A$4:$A$63,0)),"NO")))</f>
        <v/>
      </c>
      <c r="P695" s="50" t="n"/>
      <c r="Q695" s="50" t="n"/>
      <c r="R695" s="28">
        <f>IF($Q695="","",IFERROR(INDEX(CONFIG!$H$4:$H$63,MATCH($Q695,CONFIG!$G$4:$G$63,0)),"Por definir"))</f>
        <v/>
      </c>
      <c r="S695" s="28">
        <f>IF($Q695="","",IFERROR(INDEX(CONFIG!$I$4:$I$63,MATCH($Q695,CONFIG!$G$4:$G$63,0)),"Por definir"))</f>
        <v/>
      </c>
      <c r="T695" s="51" t="n"/>
      <c r="U695" s="52" t="n"/>
      <c r="V695" s="50" t="n"/>
      <c r="W695" s="50" t="n"/>
      <c r="X695" s="49">
        <f>IF(OR($B695="",$M695=""),"",WORKDAY($B695,IFERROR(INDEX(CONFIG!$D$4:$D$63,MATCH($M695,CONFIG!$A$4:$A$63,0)),3)))</f>
        <v/>
      </c>
      <c r="Y695" s="47" t="n"/>
      <c r="Z695" s="24">
        <f>IF($B695="","",IF($Y695&lt;&gt;"",$Y695-$B695,TODAY()-$B695))</f>
        <v/>
      </c>
      <c r="AA695" s="28">
        <f>IF($B695="","",IF(IFERROR(INDEX(CONFIG!$L$4:$L$63,MATCH($V695,CONFIG!$K$4:$K$63,0)),"NO")="SÍ",IF(OR($Y695="",$X695=""),"Resuelta",IF($Y695&gt;$X695,"Resuelta tarde","Resuelta a tiempo")),IF($X695="","Sin clasificar",IF(TODAY()&gt;$X695,"Vencida",IF(TODAY()&gt;=$X695-1,"Por vencer","En plazo")))))</f>
        <v/>
      </c>
      <c r="AB695" s="50" t="n"/>
      <c r="AC695" s="50" t="n"/>
    </row>
    <row r="696" ht="16" customHeight="1">
      <c r="A696" s="28">
        <f>IF($B696="","","N-"&amp;TEXT(ROW()-3,"0000"))</f>
        <v/>
      </c>
      <c r="B696" s="47" t="n"/>
      <c r="C696" s="48" t="n"/>
      <c r="D696" s="48" t="n"/>
      <c r="E696" s="28">
        <f>IF($C696="","",IF($D696="",IF($C696="Interna","Sin guía (interna)","FALTA GUÍA"),IF(COUNTIFS(ENVIOS!$A$4:$A$3003,$D696)=0,"NO EXISTE",IF(COUNTIFS(ENVIOS!$A$4:$A$3003,$D696)&gt;1,"DUPLICADA","OK"))))</f>
        <v/>
      </c>
      <c r="F696" s="28">
        <f>IF($D696="","",IFERROR(INDEX(ENVIOS!$B$4:$B$3003,MATCH($D696,ENVIOS!$A$4:$A$3003,0)),"—"))</f>
        <v/>
      </c>
      <c r="G696" s="23">
        <f>IF($D696="","",IFERROR(INDEX(ENVIOS!$D$4:$D$3003,MATCH($D696,ENVIOS!$A$4:$A$3003,0)),"—"))</f>
        <v/>
      </c>
      <c r="H696" s="23">
        <f>IF($D696="","",IFERROR(INDEX(ENVIOS!$E$4:$E$3003,MATCH($D696,ENVIOS!$A$4:$A$3003,0)),"—"))</f>
        <v/>
      </c>
      <c r="I696" s="23">
        <f>IF($D696="","",IFERROR(INDEX(ENVIOS!$F$4:$F$3003,MATCH($D696,ENVIOS!$A$4:$A$3003,0)),"—"))</f>
        <v/>
      </c>
      <c r="J696" s="23">
        <f>IF($D696="","",IFERROR(INDEX(ENVIOS!$G$4:$G$3003,MATCH($D696,ENVIOS!$A$4:$A$3003,0)),"—"))</f>
        <v/>
      </c>
      <c r="K696" s="28">
        <f>IF($D696="","",IFERROR(INDEX(ENVIOS!$H$4:$H$3003,MATCH($D696,ENVIOS!$A$4:$A$3003,0)),"—"))</f>
        <v/>
      </c>
      <c r="L696" s="49">
        <f>IF($D696="","",IFERROR(INDEX(ENVIOS!$C$4:$C$3003,MATCH($D696,ENVIOS!$A$4:$A$3003,0)),""))</f>
        <v/>
      </c>
      <c r="M696" s="50" t="n"/>
      <c r="N696" s="28">
        <f>IF($M696="","",IFERROR(INDEX(CONFIG!$C$4:$C$63,MATCH($M696,CONFIG!$A$4:$A$63,0)),"Media"))</f>
        <v/>
      </c>
      <c r="O696" s="28">
        <f>IF($M696="","",IF($C696="Interna","NO",IFERROR(INDEX(CONFIG!$E$4:$E$63,MATCH($M696,CONFIG!$A$4:$A$63,0)),"NO")))</f>
        <v/>
      </c>
      <c r="P696" s="50" t="n"/>
      <c r="Q696" s="50" t="n"/>
      <c r="R696" s="28">
        <f>IF($Q696="","",IFERROR(INDEX(CONFIG!$H$4:$H$63,MATCH($Q696,CONFIG!$G$4:$G$63,0)),"Por definir"))</f>
        <v/>
      </c>
      <c r="S696" s="28">
        <f>IF($Q696="","",IFERROR(INDEX(CONFIG!$I$4:$I$63,MATCH($Q696,CONFIG!$G$4:$G$63,0)),"Por definir"))</f>
        <v/>
      </c>
      <c r="T696" s="51" t="n"/>
      <c r="U696" s="52" t="n"/>
      <c r="V696" s="50" t="n"/>
      <c r="W696" s="50" t="n"/>
      <c r="X696" s="49">
        <f>IF(OR($B696="",$M696=""),"",WORKDAY($B696,IFERROR(INDEX(CONFIG!$D$4:$D$63,MATCH($M696,CONFIG!$A$4:$A$63,0)),3)))</f>
        <v/>
      </c>
      <c r="Y696" s="47" t="n"/>
      <c r="Z696" s="24">
        <f>IF($B696="","",IF($Y696&lt;&gt;"",$Y696-$B696,TODAY()-$B696))</f>
        <v/>
      </c>
      <c r="AA696" s="28">
        <f>IF($B696="","",IF(IFERROR(INDEX(CONFIG!$L$4:$L$63,MATCH($V696,CONFIG!$K$4:$K$63,0)),"NO")="SÍ",IF(OR($Y696="",$X696=""),"Resuelta",IF($Y696&gt;$X696,"Resuelta tarde","Resuelta a tiempo")),IF($X696="","Sin clasificar",IF(TODAY()&gt;$X696,"Vencida",IF(TODAY()&gt;=$X696-1,"Por vencer","En plazo")))))</f>
        <v/>
      </c>
      <c r="AB696" s="50" t="n"/>
      <c r="AC696" s="50" t="n"/>
    </row>
    <row r="697" ht="16" customHeight="1">
      <c r="A697" s="28">
        <f>IF($B697="","","N-"&amp;TEXT(ROW()-3,"0000"))</f>
        <v/>
      </c>
      <c r="B697" s="47" t="n"/>
      <c r="C697" s="48" t="n"/>
      <c r="D697" s="48" t="n"/>
      <c r="E697" s="28">
        <f>IF($C697="","",IF($D697="",IF($C697="Interna","Sin guía (interna)","FALTA GUÍA"),IF(COUNTIFS(ENVIOS!$A$4:$A$3003,$D697)=0,"NO EXISTE",IF(COUNTIFS(ENVIOS!$A$4:$A$3003,$D697)&gt;1,"DUPLICADA","OK"))))</f>
        <v/>
      </c>
      <c r="F697" s="28">
        <f>IF($D697="","",IFERROR(INDEX(ENVIOS!$B$4:$B$3003,MATCH($D697,ENVIOS!$A$4:$A$3003,0)),"—"))</f>
        <v/>
      </c>
      <c r="G697" s="23">
        <f>IF($D697="","",IFERROR(INDEX(ENVIOS!$D$4:$D$3003,MATCH($D697,ENVIOS!$A$4:$A$3003,0)),"—"))</f>
        <v/>
      </c>
      <c r="H697" s="23">
        <f>IF($D697="","",IFERROR(INDEX(ENVIOS!$E$4:$E$3003,MATCH($D697,ENVIOS!$A$4:$A$3003,0)),"—"))</f>
        <v/>
      </c>
      <c r="I697" s="23">
        <f>IF($D697="","",IFERROR(INDEX(ENVIOS!$F$4:$F$3003,MATCH($D697,ENVIOS!$A$4:$A$3003,0)),"—"))</f>
        <v/>
      </c>
      <c r="J697" s="23">
        <f>IF($D697="","",IFERROR(INDEX(ENVIOS!$G$4:$G$3003,MATCH($D697,ENVIOS!$A$4:$A$3003,0)),"—"))</f>
        <v/>
      </c>
      <c r="K697" s="28">
        <f>IF($D697="","",IFERROR(INDEX(ENVIOS!$H$4:$H$3003,MATCH($D697,ENVIOS!$A$4:$A$3003,0)),"—"))</f>
        <v/>
      </c>
      <c r="L697" s="49">
        <f>IF($D697="","",IFERROR(INDEX(ENVIOS!$C$4:$C$3003,MATCH($D697,ENVIOS!$A$4:$A$3003,0)),""))</f>
        <v/>
      </c>
      <c r="M697" s="50" t="n"/>
      <c r="N697" s="28">
        <f>IF($M697="","",IFERROR(INDEX(CONFIG!$C$4:$C$63,MATCH($M697,CONFIG!$A$4:$A$63,0)),"Media"))</f>
        <v/>
      </c>
      <c r="O697" s="28">
        <f>IF($M697="","",IF($C697="Interna","NO",IFERROR(INDEX(CONFIG!$E$4:$E$63,MATCH($M697,CONFIG!$A$4:$A$63,0)),"NO")))</f>
        <v/>
      </c>
      <c r="P697" s="50" t="n"/>
      <c r="Q697" s="50" t="n"/>
      <c r="R697" s="28">
        <f>IF($Q697="","",IFERROR(INDEX(CONFIG!$H$4:$H$63,MATCH($Q697,CONFIG!$G$4:$G$63,0)),"Por definir"))</f>
        <v/>
      </c>
      <c r="S697" s="28">
        <f>IF($Q697="","",IFERROR(INDEX(CONFIG!$I$4:$I$63,MATCH($Q697,CONFIG!$G$4:$G$63,0)),"Por definir"))</f>
        <v/>
      </c>
      <c r="T697" s="51" t="n"/>
      <c r="U697" s="52" t="n"/>
      <c r="V697" s="50" t="n"/>
      <c r="W697" s="50" t="n"/>
      <c r="X697" s="49">
        <f>IF(OR($B697="",$M697=""),"",WORKDAY($B697,IFERROR(INDEX(CONFIG!$D$4:$D$63,MATCH($M697,CONFIG!$A$4:$A$63,0)),3)))</f>
        <v/>
      </c>
      <c r="Y697" s="47" t="n"/>
      <c r="Z697" s="24">
        <f>IF($B697="","",IF($Y697&lt;&gt;"",$Y697-$B697,TODAY()-$B697))</f>
        <v/>
      </c>
      <c r="AA697" s="28">
        <f>IF($B697="","",IF(IFERROR(INDEX(CONFIG!$L$4:$L$63,MATCH($V697,CONFIG!$K$4:$K$63,0)),"NO")="SÍ",IF(OR($Y697="",$X697=""),"Resuelta",IF($Y697&gt;$X697,"Resuelta tarde","Resuelta a tiempo")),IF($X697="","Sin clasificar",IF(TODAY()&gt;$X697,"Vencida",IF(TODAY()&gt;=$X697-1,"Por vencer","En plazo")))))</f>
        <v/>
      </c>
      <c r="AB697" s="50" t="n"/>
      <c r="AC697" s="50" t="n"/>
    </row>
    <row r="698" ht="16" customHeight="1">
      <c r="A698" s="28">
        <f>IF($B698="","","N-"&amp;TEXT(ROW()-3,"0000"))</f>
        <v/>
      </c>
      <c r="B698" s="47" t="n"/>
      <c r="C698" s="48" t="n"/>
      <c r="D698" s="48" t="n"/>
      <c r="E698" s="28">
        <f>IF($C698="","",IF($D698="",IF($C698="Interna","Sin guía (interna)","FALTA GUÍA"),IF(COUNTIFS(ENVIOS!$A$4:$A$3003,$D698)=0,"NO EXISTE",IF(COUNTIFS(ENVIOS!$A$4:$A$3003,$D698)&gt;1,"DUPLICADA","OK"))))</f>
        <v/>
      </c>
      <c r="F698" s="28">
        <f>IF($D698="","",IFERROR(INDEX(ENVIOS!$B$4:$B$3003,MATCH($D698,ENVIOS!$A$4:$A$3003,0)),"—"))</f>
        <v/>
      </c>
      <c r="G698" s="23">
        <f>IF($D698="","",IFERROR(INDEX(ENVIOS!$D$4:$D$3003,MATCH($D698,ENVIOS!$A$4:$A$3003,0)),"—"))</f>
        <v/>
      </c>
      <c r="H698" s="23">
        <f>IF($D698="","",IFERROR(INDEX(ENVIOS!$E$4:$E$3003,MATCH($D698,ENVIOS!$A$4:$A$3003,0)),"—"))</f>
        <v/>
      </c>
      <c r="I698" s="23">
        <f>IF($D698="","",IFERROR(INDEX(ENVIOS!$F$4:$F$3003,MATCH($D698,ENVIOS!$A$4:$A$3003,0)),"—"))</f>
        <v/>
      </c>
      <c r="J698" s="23">
        <f>IF($D698="","",IFERROR(INDEX(ENVIOS!$G$4:$G$3003,MATCH($D698,ENVIOS!$A$4:$A$3003,0)),"—"))</f>
        <v/>
      </c>
      <c r="K698" s="28">
        <f>IF($D698="","",IFERROR(INDEX(ENVIOS!$H$4:$H$3003,MATCH($D698,ENVIOS!$A$4:$A$3003,0)),"—"))</f>
        <v/>
      </c>
      <c r="L698" s="49">
        <f>IF($D698="","",IFERROR(INDEX(ENVIOS!$C$4:$C$3003,MATCH($D698,ENVIOS!$A$4:$A$3003,0)),""))</f>
        <v/>
      </c>
      <c r="M698" s="50" t="n"/>
      <c r="N698" s="28">
        <f>IF($M698="","",IFERROR(INDEX(CONFIG!$C$4:$C$63,MATCH($M698,CONFIG!$A$4:$A$63,0)),"Media"))</f>
        <v/>
      </c>
      <c r="O698" s="28">
        <f>IF($M698="","",IF($C698="Interna","NO",IFERROR(INDEX(CONFIG!$E$4:$E$63,MATCH($M698,CONFIG!$A$4:$A$63,0)),"NO")))</f>
        <v/>
      </c>
      <c r="P698" s="50" t="n"/>
      <c r="Q698" s="50" t="n"/>
      <c r="R698" s="28">
        <f>IF($Q698="","",IFERROR(INDEX(CONFIG!$H$4:$H$63,MATCH($Q698,CONFIG!$G$4:$G$63,0)),"Por definir"))</f>
        <v/>
      </c>
      <c r="S698" s="28">
        <f>IF($Q698="","",IFERROR(INDEX(CONFIG!$I$4:$I$63,MATCH($Q698,CONFIG!$G$4:$G$63,0)),"Por definir"))</f>
        <v/>
      </c>
      <c r="T698" s="51" t="n"/>
      <c r="U698" s="52" t="n"/>
      <c r="V698" s="50" t="n"/>
      <c r="W698" s="50" t="n"/>
      <c r="X698" s="49">
        <f>IF(OR($B698="",$M698=""),"",WORKDAY($B698,IFERROR(INDEX(CONFIG!$D$4:$D$63,MATCH($M698,CONFIG!$A$4:$A$63,0)),3)))</f>
        <v/>
      </c>
      <c r="Y698" s="47" t="n"/>
      <c r="Z698" s="24">
        <f>IF($B698="","",IF($Y698&lt;&gt;"",$Y698-$B698,TODAY()-$B698))</f>
        <v/>
      </c>
      <c r="AA698" s="28">
        <f>IF($B698="","",IF(IFERROR(INDEX(CONFIG!$L$4:$L$63,MATCH($V698,CONFIG!$K$4:$K$63,0)),"NO")="SÍ",IF(OR($Y698="",$X698=""),"Resuelta",IF($Y698&gt;$X698,"Resuelta tarde","Resuelta a tiempo")),IF($X698="","Sin clasificar",IF(TODAY()&gt;$X698,"Vencida",IF(TODAY()&gt;=$X698-1,"Por vencer","En plazo")))))</f>
        <v/>
      </c>
      <c r="AB698" s="50" t="n"/>
      <c r="AC698" s="50" t="n"/>
    </row>
    <row r="699" ht="16" customHeight="1">
      <c r="A699" s="28">
        <f>IF($B699="","","N-"&amp;TEXT(ROW()-3,"0000"))</f>
        <v/>
      </c>
      <c r="B699" s="47" t="n"/>
      <c r="C699" s="48" t="n"/>
      <c r="D699" s="48" t="n"/>
      <c r="E699" s="28">
        <f>IF($C699="","",IF($D699="",IF($C699="Interna","Sin guía (interna)","FALTA GUÍA"),IF(COUNTIFS(ENVIOS!$A$4:$A$3003,$D699)=0,"NO EXISTE",IF(COUNTIFS(ENVIOS!$A$4:$A$3003,$D699)&gt;1,"DUPLICADA","OK"))))</f>
        <v/>
      </c>
      <c r="F699" s="28">
        <f>IF($D699="","",IFERROR(INDEX(ENVIOS!$B$4:$B$3003,MATCH($D699,ENVIOS!$A$4:$A$3003,0)),"—"))</f>
        <v/>
      </c>
      <c r="G699" s="23">
        <f>IF($D699="","",IFERROR(INDEX(ENVIOS!$D$4:$D$3003,MATCH($D699,ENVIOS!$A$4:$A$3003,0)),"—"))</f>
        <v/>
      </c>
      <c r="H699" s="23">
        <f>IF($D699="","",IFERROR(INDEX(ENVIOS!$E$4:$E$3003,MATCH($D699,ENVIOS!$A$4:$A$3003,0)),"—"))</f>
        <v/>
      </c>
      <c r="I699" s="23">
        <f>IF($D699="","",IFERROR(INDEX(ENVIOS!$F$4:$F$3003,MATCH($D699,ENVIOS!$A$4:$A$3003,0)),"—"))</f>
        <v/>
      </c>
      <c r="J699" s="23">
        <f>IF($D699="","",IFERROR(INDEX(ENVIOS!$G$4:$G$3003,MATCH($D699,ENVIOS!$A$4:$A$3003,0)),"—"))</f>
        <v/>
      </c>
      <c r="K699" s="28">
        <f>IF($D699="","",IFERROR(INDEX(ENVIOS!$H$4:$H$3003,MATCH($D699,ENVIOS!$A$4:$A$3003,0)),"—"))</f>
        <v/>
      </c>
      <c r="L699" s="49">
        <f>IF($D699="","",IFERROR(INDEX(ENVIOS!$C$4:$C$3003,MATCH($D699,ENVIOS!$A$4:$A$3003,0)),""))</f>
        <v/>
      </c>
      <c r="M699" s="50" t="n"/>
      <c r="N699" s="28">
        <f>IF($M699="","",IFERROR(INDEX(CONFIG!$C$4:$C$63,MATCH($M699,CONFIG!$A$4:$A$63,0)),"Media"))</f>
        <v/>
      </c>
      <c r="O699" s="28">
        <f>IF($M699="","",IF($C699="Interna","NO",IFERROR(INDEX(CONFIG!$E$4:$E$63,MATCH($M699,CONFIG!$A$4:$A$63,0)),"NO")))</f>
        <v/>
      </c>
      <c r="P699" s="50" t="n"/>
      <c r="Q699" s="50" t="n"/>
      <c r="R699" s="28">
        <f>IF($Q699="","",IFERROR(INDEX(CONFIG!$H$4:$H$63,MATCH($Q699,CONFIG!$G$4:$G$63,0)),"Por definir"))</f>
        <v/>
      </c>
      <c r="S699" s="28">
        <f>IF($Q699="","",IFERROR(INDEX(CONFIG!$I$4:$I$63,MATCH($Q699,CONFIG!$G$4:$G$63,0)),"Por definir"))</f>
        <v/>
      </c>
      <c r="T699" s="51" t="n"/>
      <c r="U699" s="52" t="n"/>
      <c r="V699" s="50" t="n"/>
      <c r="W699" s="50" t="n"/>
      <c r="X699" s="49">
        <f>IF(OR($B699="",$M699=""),"",WORKDAY($B699,IFERROR(INDEX(CONFIG!$D$4:$D$63,MATCH($M699,CONFIG!$A$4:$A$63,0)),3)))</f>
        <v/>
      </c>
      <c r="Y699" s="47" t="n"/>
      <c r="Z699" s="24">
        <f>IF($B699="","",IF($Y699&lt;&gt;"",$Y699-$B699,TODAY()-$B699))</f>
        <v/>
      </c>
      <c r="AA699" s="28">
        <f>IF($B699="","",IF(IFERROR(INDEX(CONFIG!$L$4:$L$63,MATCH($V699,CONFIG!$K$4:$K$63,0)),"NO")="SÍ",IF(OR($Y699="",$X699=""),"Resuelta",IF($Y699&gt;$X699,"Resuelta tarde","Resuelta a tiempo")),IF($X699="","Sin clasificar",IF(TODAY()&gt;$X699,"Vencida",IF(TODAY()&gt;=$X699-1,"Por vencer","En plazo")))))</f>
        <v/>
      </c>
      <c r="AB699" s="50" t="n"/>
      <c r="AC699" s="50" t="n"/>
    </row>
    <row r="700" ht="16" customHeight="1">
      <c r="A700" s="28">
        <f>IF($B700="","","N-"&amp;TEXT(ROW()-3,"0000"))</f>
        <v/>
      </c>
      <c r="B700" s="47" t="n"/>
      <c r="C700" s="48" t="n"/>
      <c r="D700" s="48" t="n"/>
      <c r="E700" s="28">
        <f>IF($C700="","",IF($D700="",IF($C700="Interna","Sin guía (interna)","FALTA GUÍA"),IF(COUNTIFS(ENVIOS!$A$4:$A$3003,$D700)=0,"NO EXISTE",IF(COUNTIFS(ENVIOS!$A$4:$A$3003,$D700)&gt;1,"DUPLICADA","OK"))))</f>
        <v/>
      </c>
      <c r="F700" s="28">
        <f>IF($D700="","",IFERROR(INDEX(ENVIOS!$B$4:$B$3003,MATCH($D700,ENVIOS!$A$4:$A$3003,0)),"—"))</f>
        <v/>
      </c>
      <c r="G700" s="23">
        <f>IF($D700="","",IFERROR(INDEX(ENVIOS!$D$4:$D$3003,MATCH($D700,ENVIOS!$A$4:$A$3003,0)),"—"))</f>
        <v/>
      </c>
      <c r="H700" s="23">
        <f>IF($D700="","",IFERROR(INDEX(ENVIOS!$E$4:$E$3003,MATCH($D700,ENVIOS!$A$4:$A$3003,0)),"—"))</f>
        <v/>
      </c>
      <c r="I700" s="23">
        <f>IF($D700="","",IFERROR(INDEX(ENVIOS!$F$4:$F$3003,MATCH($D700,ENVIOS!$A$4:$A$3003,0)),"—"))</f>
        <v/>
      </c>
      <c r="J700" s="23">
        <f>IF($D700="","",IFERROR(INDEX(ENVIOS!$G$4:$G$3003,MATCH($D700,ENVIOS!$A$4:$A$3003,0)),"—"))</f>
        <v/>
      </c>
      <c r="K700" s="28">
        <f>IF($D700="","",IFERROR(INDEX(ENVIOS!$H$4:$H$3003,MATCH($D700,ENVIOS!$A$4:$A$3003,0)),"—"))</f>
        <v/>
      </c>
      <c r="L700" s="49">
        <f>IF($D700="","",IFERROR(INDEX(ENVIOS!$C$4:$C$3003,MATCH($D700,ENVIOS!$A$4:$A$3003,0)),""))</f>
        <v/>
      </c>
      <c r="M700" s="50" t="n"/>
      <c r="N700" s="28">
        <f>IF($M700="","",IFERROR(INDEX(CONFIG!$C$4:$C$63,MATCH($M700,CONFIG!$A$4:$A$63,0)),"Media"))</f>
        <v/>
      </c>
      <c r="O700" s="28">
        <f>IF($M700="","",IF($C700="Interna","NO",IFERROR(INDEX(CONFIG!$E$4:$E$63,MATCH($M700,CONFIG!$A$4:$A$63,0)),"NO")))</f>
        <v/>
      </c>
      <c r="P700" s="50" t="n"/>
      <c r="Q700" s="50" t="n"/>
      <c r="R700" s="28">
        <f>IF($Q700="","",IFERROR(INDEX(CONFIG!$H$4:$H$63,MATCH($Q700,CONFIG!$G$4:$G$63,0)),"Por definir"))</f>
        <v/>
      </c>
      <c r="S700" s="28">
        <f>IF($Q700="","",IFERROR(INDEX(CONFIG!$I$4:$I$63,MATCH($Q700,CONFIG!$G$4:$G$63,0)),"Por definir"))</f>
        <v/>
      </c>
      <c r="T700" s="51" t="n"/>
      <c r="U700" s="52" t="n"/>
      <c r="V700" s="50" t="n"/>
      <c r="W700" s="50" t="n"/>
      <c r="X700" s="49">
        <f>IF(OR($B700="",$M700=""),"",WORKDAY($B700,IFERROR(INDEX(CONFIG!$D$4:$D$63,MATCH($M700,CONFIG!$A$4:$A$63,0)),3)))</f>
        <v/>
      </c>
      <c r="Y700" s="47" t="n"/>
      <c r="Z700" s="24">
        <f>IF($B700="","",IF($Y700&lt;&gt;"",$Y700-$B700,TODAY()-$B700))</f>
        <v/>
      </c>
      <c r="AA700" s="28">
        <f>IF($B700="","",IF(IFERROR(INDEX(CONFIG!$L$4:$L$63,MATCH($V700,CONFIG!$K$4:$K$63,0)),"NO")="SÍ",IF(OR($Y700="",$X700=""),"Resuelta",IF($Y700&gt;$X700,"Resuelta tarde","Resuelta a tiempo")),IF($X700="","Sin clasificar",IF(TODAY()&gt;$X700,"Vencida",IF(TODAY()&gt;=$X700-1,"Por vencer","En plazo")))))</f>
        <v/>
      </c>
      <c r="AB700" s="50" t="n"/>
      <c r="AC700" s="50" t="n"/>
    </row>
    <row r="701" ht="16" customHeight="1">
      <c r="A701" s="28">
        <f>IF($B701="","","N-"&amp;TEXT(ROW()-3,"0000"))</f>
        <v/>
      </c>
      <c r="B701" s="47" t="n"/>
      <c r="C701" s="48" t="n"/>
      <c r="D701" s="48" t="n"/>
      <c r="E701" s="28">
        <f>IF($C701="","",IF($D701="",IF($C701="Interna","Sin guía (interna)","FALTA GUÍA"),IF(COUNTIFS(ENVIOS!$A$4:$A$3003,$D701)=0,"NO EXISTE",IF(COUNTIFS(ENVIOS!$A$4:$A$3003,$D701)&gt;1,"DUPLICADA","OK"))))</f>
        <v/>
      </c>
      <c r="F701" s="28">
        <f>IF($D701="","",IFERROR(INDEX(ENVIOS!$B$4:$B$3003,MATCH($D701,ENVIOS!$A$4:$A$3003,0)),"—"))</f>
        <v/>
      </c>
      <c r="G701" s="23">
        <f>IF($D701="","",IFERROR(INDEX(ENVIOS!$D$4:$D$3003,MATCH($D701,ENVIOS!$A$4:$A$3003,0)),"—"))</f>
        <v/>
      </c>
      <c r="H701" s="23">
        <f>IF($D701="","",IFERROR(INDEX(ENVIOS!$E$4:$E$3003,MATCH($D701,ENVIOS!$A$4:$A$3003,0)),"—"))</f>
        <v/>
      </c>
      <c r="I701" s="23">
        <f>IF($D701="","",IFERROR(INDEX(ENVIOS!$F$4:$F$3003,MATCH($D701,ENVIOS!$A$4:$A$3003,0)),"—"))</f>
        <v/>
      </c>
      <c r="J701" s="23">
        <f>IF($D701="","",IFERROR(INDEX(ENVIOS!$G$4:$G$3003,MATCH($D701,ENVIOS!$A$4:$A$3003,0)),"—"))</f>
        <v/>
      </c>
      <c r="K701" s="28">
        <f>IF($D701="","",IFERROR(INDEX(ENVIOS!$H$4:$H$3003,MATCH($D701,ENVIOS!$A$4:$A$3003,0)),"—"))</f>
        <v/>
      </c>
      <c r="L701" s="49">
        <f>IF($D701="","",IFERROR(INDEX(ENVIOS!$C$4:$C$3003,MATCH($D701,ENVIOS!$A$4:$A$3003,0)),""))</f>
        <v/>
      </c>
      <c r="M701" s="50" t="n"/>
      <c r="N701" s="28">
        <f>IF($M701="","",IFERROR(INDEX(CONFIG!$C$4:$C$63,MATCH($M701,CONFIG!$A$4:$A$63,0)),"Media"))</f>
        <v/>
      </c>
      <c r="O701" s="28">
        <f>IF($M701="","",IF($C701="Interna","NO",IFERROR(INDEX(CONFIG!$E$4:$E$63,MATCH($M701,CONFIG!$A$4:$A$63,0)),"NO")))</f>
        <v/>
      </c>
      <c r="P701" s="50" t="n"/>
      <c r="Q701" s="50" t="n"/>
      <c r="R701" s="28">
        <f>IF($Q701="","",IFERROR(INDEX(CONFIG!$H$4:$H$63,MATCH($Q701,CONFIG!$G$4:$G$63,0)),"Por definir"))</f>
        <v/>
      </c>
      <c r="S701" s="28">
        <f>IF($Q701="","",IFERROR(INDEX(CONFIG!$I$4:$I$63,MATCH($Q701,CONFIG!$G$4:$G$63,0)),"Por definir"))</f>
        <v/>
      </c>
      <c r="T701" s="51" t="n"/>
      <c r="U701" s="52" t="n"/>
      <c r="V701" s="50" t="n"/>
      <c r="W701" s="50" t="n"/>
      <c r="X701" s="49">
        <f>IF(OR($B701="",$M701=""),"",WORKDAY($B701,IFERROR(INDEX(CONFIG!$D$4:$D$63,MATCH($M701,CONFIG!$A$4:$A$63,0)),3)))</f>
        <v/>
      </c>
      <c r="Y701" s="47" t="n"/>
      <c r="Z701" s="24">
        <f>IF($B701="","",IF($Y701&lt;&gt;"",$Y701-$B701,TODAY()-$B701))</f>
        <v/>
      </c>
      <c r="AA701" s="28">
        <f>IF($B701="","",IF(IFERROR(INDEX(CONFIG!$L$4:$L$63,MATCH($V701,CONFIG!$K$4:$K$63,0)),"NO")="SÍ",IF(OR($Y701="",$X701=""),"Resuelta",IF($Y701&gt;$X701,"Resuelta tarde","Resuelta a tiempo")),IF($X701="","Sin clasificar",IF(TODAY()&gt;$X701,"Vencida",IF(TODAY()&gt;=$X701-1,"Por vencer","En plazo")))))</f>
        <v/>
      </c>
      <c r="AB701" s="50" t="n"/>
      <c r="AC701" s="50" t="n"/>
    </row>
    <row r="702" ht="16" customHeight="1">
      <c r="A702" s="28">
        <f>IF($B702="","","N-"&amp;TEXT(ROW()-3,"0000"))</f>
        <v/>
      </c>
      <c r="B702" s="47" t="n"/>
      <c r="C702" s="48" t="n"/>
      <c r="D702" s="48" t="n"/>
      <c r="E702" s="28">
        <f>IF($C702="","",IF($D702="",IF($C702="Interna","Sin guía (interna)","FALTA GUÍA"),IF(COUNTIFS(ENVIOS!$A$4:$A$3003,$D702)=0,"NO EXISTE",IF(COUNTIFS(ENVIOS!$A$4:$A$3003,$D702)&gt;1,"DUPLICADA","OK"))))</f>
        <v/>
      </c>
      <c r="F702" s="28">
        <f>IF($D702="","",IFERROR(INDEX(ENVIOS!$B$4:$B$3003,MATCH($D702,ENVIOS!$A$4:$A$3003,0)),"—"))</f>
        <v/>
      </c>
      <c r="G702" s="23">
        <f>IF($D702="","",IFERROR(INDEX(ENVIOS!$D$4:$D$3003,MATCH($D702,ENVIOS!$A$4:$A$3003,0)),"—"))</f>
        <v/>
      </c>
      <c r="H702" s="23">
        <f>IF($D702="","",IFERROR(INDEX(ENVIOS!$E$4:$E$3003,MATCH($D702,ENVIOS!$A$4:$A$3003,0)),"—"))</f>
        <v/>
      </c>
      <c r="I702" s="23">
        <f>IF($D702="","",IFERROR(INDEX(ENVIOS!$F$4:$F$3003,MATCH($D702,ENVIOS!$A$4:$A$3003,0)),"—"))</f>
        <v/>
      </c>
      <c r="J702" s="23">
        <f>IF($D702="","",IFERROR(INDEX(ENVIOS!$G$4:$G$3003,MATCH($D702,ENVIOS!$A$4:$A$3003,0)),"—"))</f>
        <v/>
      </c>
      <c r="K702" s="28">
        <f>IF($D702="","",IFERROR(INDEX(ENVIOS!$H$4:$H$3003,MATCH($D702,ENVIOS!$A$4:$A$3003,0)),"—"))</f>
        <v/>
      </c>
      <c r="L702" s="49">
        <f>IF($D702="","",IFERROR(INDEX(ENVIOS!$C$4:$C$3003,MATCH($D702,ENVIOS!$A$4:$A$3003,0)),""))</f>
        <v/>
      </c>
      <c r="M702" s="50" t="n"/>
      <c r="N702" s="28">
        <f>IF($M702="","",IFERROR(INDEX(CONFIG!$C$4:$C$63,MATCH($M702,CONFIG!$A$4:$A$63,0)),"Media"))</f>
        <v/>
      </c>
      <c r="O702" s="28">
        <f>IF($M702="","",IF($C702="Interna","NO",IFERROR(INDEX(CONFIG!$E$4:$E$63,MATCH($M702,CONFIG!$A$4:$A$63,0)),"NO")))</f>
        <v/>
      </c>
      <c r="P702" s="50" t="n"/>
      <c r="Q702" s="50" t="n"/>
      <c r="R702" s="28">
        <f>IF($Q702="","",IFERROR(INDEX(CONFIG!$H$4:$H$63,MATCH($Q702,CONFIG!$G$4:$G$63,0)),"Por definir"))</f>
        <v/>
      </c>
      <c r="S702" s="28">
        <f>IF($Q702="","",IFERROR(INDEX(CONFIG!$I$4:$I$63,MATCH($Q702,CONFIG!$G$4:$G$63,0)),"Por definir"))</f>
        <v/>
      </c>
      <c r="T702" s="51" t="n"/>
      <c r="U702" s="52" t="n"/>
      <c r="V702" s="50" t="n"/>
      <c r="W702" s="50" t="n"/>
      <c r="X702" s="49">
        <f>IF(OR($B702="",$M702=""),"",WORKDAY($B702,IFERROR(INDEX(CONFIG!$D$4:$D$63,MATCH($M702,CONFIG!$A$4:$A$63,0)),3)))</f>
        <v/>
      </c>
      <c r="Y702" s="47" t="n"/>
      <c r="Z702" s="24">
        <f>IF($B702="","",IF($Y702&lt;&gt;"",$Y702-$B702,TODAY()-$B702))</f>
        <v/>
      </c>
      <c r="AA702" s="28">
        <f>IF($B702="","",IF(IFERROR(INDEX(CONFIG!$L$4:$L$63,MATCH($V702,CONFIG!$K$4:$K$63,0)),"NO")="SÍ",IF(OR($Y702="",$X702=""),"Resuelta",IF($Y702&gt;$X702,"Resuelta tarde","Resuelta a tiempo")),IF($X702="","Sin clasificar",IF(TODAY()&gt;$X702,"Vencida",IF(TODAY()&gt;=$X702-1,"Por vencer","En plazo")))))</f>
        <v/>
      </c>
      <c r="AB702" s="50" t="n"/>
      <c r="AC702" s="50" t="n"/>
    </row>
    <row r="703" ht="16" customHeight="1">
      <c r="A703" s="28">
        <f>IF($B703="","","N-"&amp;TEXT(ROW()-3,"0000"))</f>
        <v/>
      </c>
      <c r="B703" s="47" t="n"/>
      <c r="C703" s="48" t="n"/>
      <c r="D703" s="48" t="n"/>
      <c r="E703" s="28">
        <f>IF($C703="","",IF($D703="",IF($C703="Interna","Sin guía (interna)","FALTA GUÍA"),IF(COUNTIFS(ENVIOS!$A$4:$A$3003,$D703)=0,"NO EXISTE",IF(COUNTIFS(ENVIOS!$A$4:$A$3003,$D703)&gt;1,"DUPLICADA","OK"))))</f>
        <v/>
      </c>
      <c r="F703" s="28">
        <f>IF($D703="","",IFERROR(INDEX(ENVIOS!$B$4:$B$3003,MATCH($D703,ENVIOS!$A$4:$A$3003,0)),"—"))</f>
        <v/>
      </c>
      <c r="G703" s="23">
        <f>IF($D703="","",IFERROR(INDEX(ENVIOS!$D$4:$D$3003,MATCH($D703,ENVIOS!$A$4:$A$3003,0)),"—"))</f>
        <v/>
      </c>
      <c r="H703" s="23">
        <f>IF($D703="","",IFERROR(INDEX(ENVIOS!$E$4:$E$3003,MATCH($D703,ENVIOS!$A$4:$A$3003,0)),"—"))</f>
        <v/>
      </c>
      <c r="I703" s="23">
        <f>IF($D703="","",IFERROR(INDEX(ENVIOS!$F$4:$F$3003,MATCH($D703,ENVIOS!$A$4:$A$3003,0)),"—"))</f>
        <v/>
      </c>
      <c r="J703" s="23">
        <f>IF($D703="","",IFERROR(INDEX(ENVIOS!$G$4:$G$3003,MATCH($D703,ENVIOS!$A$4:$A$3003,0)),"—"))</f>
        <v/>
      </c>
      <c r="K703" s="28">
        <f>IF($D703="","",IFERROR(INDEX(ENVIOS!$H$4:$H$3003,MATCH($D703,ENVIOS!$A$4:$A$3003,0)),"—"))</f>
        <v/>
      </c>
      <c r="L703" s="49">
        <f>IF($D703="","",IFERROR(INDEX(ENVIOS!$C$4:$C$3003,MATCH($D703,ENVIOS!$A$4:$A$3003,0)),""))</f>
        <v/>
      </c>
      <c r="M703" s="50" t="n"/>
      <c r="N703" s="28">
        <f>IF($M703="","",IFERROR(INDEX(CONFIG!$C$4:$C$63,MATCH($M703,CONFIG!$A$4:$A$63,0)),"Media"))</f>
        <v/>
      </c>
      <c r="O703" s="28">
        <f>IF($M703="","",IF($C703="Interna","NO",IFERROR(INDEX(CONFIG!$E$4:$E$63,MATCH($M703,CONFIG!$A$4:$A$63,0)),"NO")))</f>
        <v/>
      </c>
      <c r="P703" s="50" t="n"/>
      <c r="Q703" s="50" t="n"/>
      <c r="R703" s="28">
        <f>IF($Q703="","",IFERROR(INDEX(CONFIG!$H$4:$H$63,MATCH($Q703,CONFIG!$G$4:$G$63,0)),"Por definir"))</f>
        <v/>
      </c>
      <c r="S703" s="28">
        <f>IF($Q703="","",IFERROR(INDEX(CONFIG!$I$4:$I$63,MATCH($Q703,CONFIG!$G$4:$G$63,0)),"Por definir"))</f>
        <v/>
      </c>
      <c r="T703" s="51" t="n"/>
      <c r="U703" s="52" t="n"/>
      <c r="V703" s="50" t="n"/>
      <c r="W703" s="50" t="n"/>
      <c r="X703" s="49">
        <f>IF(OR($B703="",$M703=""),"",WORKDAY($B703,IFERROR(INDEX(CONFIG!$D$4:$D$63,MATCH($M703,CONFIG!$A$4:$A$63,0)),3)))</f>
        <v/>
      </c>
      <c r="Y703" s="47" t="n"/>
      <c r="Z703" s="24">
        <f>IF($B703="","",IF($Y703&lt;&gt;"",$Y703-$B703,TODAY()-$B703))</f>
        <v/>
      </c>
      <c r="AA703" s="28">
        <f>IF($B703="","",IF(IFERROR(INDEX(CONFIG!$L$4:$L$63,MATCH($V703,CONFIG!$K$4:$K$63,0)),"NO")="SÍ",IF(OR($Y703="",$X703=""),"Resuelta",IF($Y703&gt;$X703,"Resuelta tarde","Resuelta a tiempo")),IF($X703="","Sin clasificar",IF(TODAY()&gt;$X703,"Vencida",IF(TODAY()&gt;=$X703-1,"Por vencer","En plazo")))))</f>
        <v/>
      </c>
      <c r="AB703" s="50" t="n"/>
      <c r="AC703" s="50" t="n"/>
    </row>
    <row r="704" ht="16" customHeight="1">
      <c r="A704" s="28">
        <f>IF($B704="","","N-"&amp;TEXT(ROW()-3,"0000"))</f>
        <v/>
      </c>
      <c r="B704" s="47" t="n"/>
      <c r="C704" s="48" t="n"/>
      <c r="D704" s="48" t="n"/>
      <c r="E704" s="28">
        <f>IF($C704="","",IF($D704="",IF($C704="Interna","Sin guía (interna)","FALTA GUÍA"),IF(COUNTIFS(ENVIOS!$A$4:$A$3003,$D704)=0,"NO EXISTE",IF(COUNTIFS(ENVIOS!$A$4:$A$3003,$D704)&gt;1,"DUPLICADA","OK"))))</f>
        <v/>
      </c>
      <c r="F704" s="28">
        <f>IF($D704="","",IFERROR(INDEX(ENVIOS!$B$4:$B$3003,MATCH($D704,ENVIOS!$A$4:$A$3003,0)),"—"))</f>
        <v/>
      </c>
      <c r="G704" s="23">
        <f>IF($D704="","",IFERROR(INDEX(ENVIOS!$D$4:$D$3003,MATCH($D704,ENVIOS!$A$4:$A$3003,0)),"—"))</f>
        <v/>
      </c>
      <c r="H704" s="23">
        <f>IF($D704="","",IFERROR(INDEX(ENVIOS!$E$4:$E$3003,MATCH($D704,ENVIOS!$A$4:$A$3003,0)),"—"))</f>
        <v/>
      </c>
      <c r="I704" s="23">
        <f>IF($D704="","",IFERROR(INDEX(ENVIOS!$F$4:$F$3003,MATCH($D704,ENVIOS!$A$4:$A$3003,0)),"—"))</f>
        <v/>
      </c>
      <c r="J704" s="23">
        <f>IF($D704="","",IFERROR(INDEX(ENVIOS!$G$4:$G$3003,MATCH($D704,ENVIOS!$A$4:$A$3003,0)),"—"))</f>
        <v/>
      </c>
      <c r="K704" s="28">
        <f>IF($D704="","",IFERROR(INDEX(ENVIOS!$H$4:$H$3003,MATCH($D704,ENVIOS!$A$4:$A$3003,0)),"—"))</f>
        <v/>
      </c>
      <c r="L704" s="49">
        <f>IF($D704="","",IFERROR(INDEX(ENVIOS!$C$4:$C$3003,MATCH($D704,ENVIOS!$A$4:$A$3003,0)),""))</f>
        <v/>
      </c>
      <c r="M704" s="50" t="n"/>
      <c r="N704" s="28">
        <f>IF($M704="","",IFERROR(INDEX(CONFIG!$C$4:$C$63,MATCH($M704,CONFIG!$A$4:$A$63,0)),"Media"))</f>
        <v/>
      </c>
      <c r="O704" s="28">
        <f>IF($M704="","",IF($C704="Interna","NO",IFERROR(INDEX(CONFIG!$E$4:$E$63,MATCH($M704,CONFIG!$A$4:$A$63,0)),"NO")))</f>
        <v/>
      </c>
      <c r="P704" s="50" t="n"/>
      <c r="Q704" s="50" t="n"/>
      <c r="R704" s="28">
        <f>IF($Q704="","",IFERROR(INDEX(CONFIG!$H$4:$H$63,MATCH($Q704,CONFIG!$G$4:$G$63,0)),"Por definir"))</f>
        <v/>
      </c>
      <c r="S704" s="28">
        <f>IF($Q704="","",IFERROR(INDEX(CONFIG!$I$4:$I$63,MATCH($Q704,CONFIG!$G$4:$G$63,0)),"Por definir"))</f>
        <v/>
      </c>
      <c r="T704" s="51" t="n"/>
      <c r="U704" s="52" t="n"/>
      <c r="V704" s="50" t="n"/>
      <c r="W704" s="50" t="n"/>
      <c r="X704" s="49">
        <f>IF(OR($B704="",$M704=""),"",WORKDAY($B704,IFERROR(INDEX(CONFIG!$D$4:$D$63,MATCH($M704,CONFIG!$A$4:$A$63,0)),3)))</f>
        <v/>
      </c>
      <c r="Y704" s="47" t="n"/>
      <c r="Z704" s="24">
        <f>IF($B704="","",IF($Y704&lt;&gt;"",$Y704-$B704,TODAY()-$B704))</f>
        <v/>
      </c>
      <c r="AA704" s="28">
        <f>IF($B704="","",IF(IFERROR(INDEX(CONFIG!$L$4:$L$63,MATCH($V704,CONFIG!$K$4:$K$63,0)),"NO")="SÍ",IF(OR($Y704="",$X704=""),"Resuelta",IF($Y704&gt;$X704,"Resuelta tarde","Resuelta a tiempo")),IF($X704="","Sin clasificar",IF(TODAY()&gt;$X704,"Vencida",IF(TODAY()&gt;=$X704-1,"Por vencer","En plazo")))))</f>
        <v/>
      </c>
      <c r="AB704" s="50" t="n"/>
      <c r="AC704" s="50" t="n"/>
    </row>
    <row r="705" ht="16" customHeight="1">
      <c r="A705" s="28">
        <f>IF($B705="","","N-"&amp;TEXT(ROW()-3,"0000"))</f>
        <v/>
      </c>
      <c r="B705" s="47" t="n"/>
      <c r="C705" s="48" t="n"/>
      <c r="D705" s="48" t="n"/>
      <c r="E705" s="28">
        <f>IF($C705="","",IF($D705="",IF($C705="Interna","Sin guía (interna)","FALTA GUÍA"),IF(COUNTIFS(ENVIOS!$A$4:$A$3003,$D705)=0,"NO EXISTE",IF(COUNTIFS(ENVIOS!$A$4:$A$3003,$D705)&gt;1,"DUPLICADA","OK"))))</f>
        <v/>
      </c>
      <c r="F705" s="28">
        <f>IF($D705="","",IFERROR(INDEX(ENVIOS!$B$4:$B$3003,MATCH($D705,ENVIOS!$A$4:$A$3003,0)),"—"))</f>
        <v/>
      </c>
      <c r="G705" s="23">
        <f>IF($D705="","",IFERROR(INDEX(ENVIOS!$D$4:$D$3003,MATCH($D705,ENVIOS!$A$4:$A$3003,0)),"—"))</f>
        <v/>
      </c>
      <c r="H705" s="23">
        <f>IF($D705="","",IFERROR(INDEX(ENVIOS!$E$4:$E$3003,MATCH($D705,ENVIOS!$A$4:$A$3003,0)),"—"))</f>
        <v/>
      </c>
      <c r="I705" s="23">
        <f>IF($D705="","",IFERROR(INDEX(ENVIOS!$F$4:$F$3003,MATCH($D705,ENVIOS!$A$4:$A$3003,0)),"—"))</f>
        <v/>
      </c>
      <c r="J705" s="23">
        <f>IF($D705="","",IFERROR(INDEX(ENVIOS!$G$4:$G$3003,MATCH($D705,ENVIOS!$A$4:$A$3003,0)),"—"))</f>
        <v/>
      </c>
      <c r="K705" s="28">
        <f>IF($D705="","",IFERROR(INDEX(ENVIOS!$H$4:$H$3003,MATCH($D705,ENVIOS!$A$4:$A$3003,0)),"—"))</f>
        <v/>
      </c>
      <c r="L705" s="49">
        <f>IF($D705="","",IFERROR(INDEX(ENVIOS!$C$4:$C$3003,MATCH($D705,ENVIOS!$A$4:$A$3003,0)),""))</f>
        <v/>
      </c>
      <c r="M705" s="50" t="n"/>
      <c r="N705" s="28">
        <f>IF($M705="","",IFERROR(INDEX(CONFIG!$C$4:$C$63,MATCH($M705,CONFIG!$A$4:$A$63,0)),"Media"))</f>
        <v/>
      </c>
      <c r="O705" s="28">
        <f>IF($M705="","",IF($C705="Interna","NO",IFERROR(INDEX(CONFIG!$E$4:$E$63,MATCH($M705,CONFIG!$A$4:$A$63,0)),"NO")))</f>
        <v/>
      </c>
      <c r="P705" s="50" t="n"/>
      <c r="Q705" s="50" t="n"/>
      <c r="R705" s="28">
        <f>IF($Q705="","",IFERROR(INDEX(CONFIG!$H$4:$H$63,MATCH($Q705,CONFIG!$G$4:$G$63,0)),"Por definir"))</f>
        <v/>
      </c>
      <c r="S705" s="28">
        <f>IF($Q705="","",IFERROR(INDEX(CONFIG!$I$4:$I$63,MATCH($Q705,CONFIG!$G$4:$G$63,0)),"Por definir"))</f>
        <v/>
      </c>
      <c r="T705" s="51" t="n"/>
      <c r="U705" s="52" t="n"/>
      <c r="V705" s="50" t="n"/>
      <c r="W705" s="50" t="n"/>
      <c r="X705" s="49">
        <f>IF(OR($B705="",$M705=""),"",WORKDAY($B705,IFERROR(INDEX(CONFIG!$D$4:$D$63,MATCH($M705,CONFIG!$A$4:$A$63,0)),3)))</f>
        <v/>
      </c>
      <c r="Y705" s="47" t="n"/>
      <c r="Z705" s="24">
        <f>IF($B705="","",IF($Y705&lt;&gt;"",$Y705-$B705,TODAY()-$B705))</f>
        <v/>
      </c>
      <c r="AA705" s="28">
        <f>IF($B705="","",IF(IFERROR(INDEX(CONFIG!$L$4:$L$63,MATCH($V705,CONFIG!$K$4:$K$63,0)),"NO")="SÍ",IF(OR($Y705="",$X705=""),"Resuelta",IF($Y705&gt;$X705,"Resuelta tarde","Resuelta a tiempo")),IF($X705="","Sin clasificar",IF(TODAY()&gt;$X705,"Vencida",IF(TODAY()&gt;=$X705-1,"Por vencer","En plazo")))))</f>
        <v/>
      </c>
      <c r="AB705" s="50" t="n"/>
      <c r="AC705" s="50" t="n"/>
    </row>
    <row r="706" ht="16" customHeight="1">
      <c r="A706" s="28">
        <f>IF($B706="","","N-"&amp;TEXT(ROW()-3,"0000"))</f>
        <v/>
      </c>
      <c r="B706" s="47" t="n"/>
      <c r="C706" s="48" t="n"/>
      <c r="D706" s="48" t="n"/>
      <c r="E706" s="28">
        <f>IF($C706="","",IF($D706="",IF($C706="Interna","Sin guía (interna)","FALTA GUÍA"),IF(COUNTIFS(ENVIOS!$A$4:$A$3003,$D706)=0,"NO EXISTE",IF(COUNTIFS(ENVIOS!$A$4:$A$3003,$D706)&gt;1,"DUPLICADA","OK"))))</f>
        <v/>
      </c>
      <c r="F706" s="28">
        <f>IF($D706="","",IFERROR(INDEX(ENVIOS!$B$4:$B$3003,MATCH($D706,ENVIOS!$A$4:$A$3003,0)),"—"))</f>
        <v/>
      </c>
      <c r="G706" s="23">
        <f>IF($D706="","",IFERROR(INDEX(ENVIOS!$D$4:$D$3003,MATCH($D706,ENVIOS!$A$4:$A$3003,0)),"—"))</f>
        <v/>
      </c>
      <c r="H706" s="23">
        <f>IF($D706="","",IFERROR(INDEX(ENVIOS!$E$4:$E$3003,MATCH($D706,ENVIOS!$A$4:$A$3003,0)),"—"))</f>
        <v/>
      </c>
      <c r="I706" s="23">
        <f>IF($D706="","",IFERROR(INDEX(ENVIOS!$F$4:$F$3003,MATCH($D706,ENVIOS!$A$4:$A$3003,0)),"—"))</f>
        <v/>
      </c>
      <c r="J706" s="23">
        <f>IF($D706="","",IFERROR(INDEX(ENVIOS!$G$4:$G$3003,MATCH($D706,ENVIOS!$A$4:$A$3003,0)),"—"))</f>
        <v/>
      </c>
      <c r="K706" s="28">
        <f>IF($D706="","",IFERROR(INDEX(ENVIOS!$H$4:$H$3003,MATCH($D706,ENVIOS!$A$4:$A$3003,0)),"—"))</f>
        <v/>
      </c>
      <c r="L706" s="49">
        <f>IF($D706="","",IFERROR(INDEX(ENVIOS!$C$4:$C$3003,MATCH($D706,ENVIOS!$A$4:$A$3003,0)),""))</f>
        <v/>
      </c>
      <c r="M706" s="50" t="n"/>
      <c r="N706" s="28">
        <f>IF($M706="","",IFERROR(INDEX(CONFIG!$C$4:$C$63,MATCH($M706,CONFIG!$A$4:$A$63,0)),"Media"))</f>
        <v/>
      </c>
      <c r="O706" s="28">
        <f>IF($M706="","",IF($C706="Interna","NO",IFERROR(INDEX(CONFIG!$E$4:$E$63,MATCH($M706,CONFIG!$A$4:$A$63,0)),"NO")))</f>
        <v/>
      </c>
      <c r="P706" s="50" t="n"/>
      <c r="Q706" s="50" t="n"/>
      <c r="R706" s="28">
        <f>IF($Q706="","",IFERROR(INDEX(CONFIG!$H$4:$H$63,MATCH($Q706,CONFIG!$G$4:$G$63,0)),"Por definir"))</f>
        <v/>
      </c>
      <c r="S706" s="28">
        <f>IF($Q706="","",IFERROR(INDEX(CONFIG!$I$4:$I$63,MATCH($Q706,CONFIG!$G$4:$G$63,0)),"Por definir"))</f>
        <v/>
      </c>
      <c r="T706" s="51" t="n"/>
      <c r="U706" s="52" t="n"/>
      <c r="V706" s="50" t="n"/>
      <c r="W706" s="50" t="n"/>
      <c r="X706" s="49">
        <f>IF(OR($B706="",$M706=""),"",WORKDAY($B706,IFERROR(INDEX(CONFIG!$D$4:$D$63,MATCH($M706,CONFIG!$A$4:$A$63,0)),3)))</f>
        <v/>
      </c>
      <c r="Y706" s="47" t="n"/>
      <c r="Z706" s="24">
        <f>IF($B706="","",IF($Y706&lt;&gt;"",$Y706-$B706,TODAY()-$B706))</f>
        <v/>
      </c>
      <c r="AA706" s="28">
        <f>IF($B706="","",IF(IFERROR(INDEX(CONFIG!$L$4:$L$63,MATCH($V706,CONFIG!$K$4:$K$63,0)),"NO")="SÍ",IF(OR($Y706="",$X706=""),"Resuelta",IF($Y706&gt;$X706,"Resuelta tarde","Resuelta a tiempo")),IF($X706="","Sin clasificar",IF(TODAY()&gt;$X706,"Vencida",IF(TODAY()&gt;=$X706-1,"Por vencer","En plazo")))))</f>
        <v/>
      </c>
      <c r="AB706" s="50" t="n"/>
      <c r="AC706" s="50" t="n"/>
    </row>
    <row r="707" ht="16" customHeight="1">
      <c r="A707" s="28">
        <f>IF($B707="","","N-"&amp;TEXT(ROW()-3,"0000"))</f>
        <v/>
      </c>
      <c r="B707" s="47" t="n"/>
      <c r="C707" s="48" t="n"/>
      <c r="D707" s="48" t="n"/>
      <c r="E707" s="28">
        <f>IF($C707="","",IF($D707="",IF($C707="Interna","Sin guía (interna)","FALTA GUÍA"),IF(COUNTIFS(ENVIOS!$A$4:$A$3003,$D707)=0,"NO EXISTE",IF(COUNTIFS(ENVIOS!$A$4:$A$3003,$D707)&gt;1,"DUPLICADA","OK"))))</f>
        <v/>
      </c>
      <c r="F707" s="28">
        <f>IF($D707="","",IFERROR(INDEX(ENVIOS!$B$4:$B$3003,MATCH($D707,ENVIOS!$A$4:$A$3003,0)),"—"))</f>
        <v/>
      </c>
      <c r="G707" s="23">
        <f>IF($D707="","",IFERROR(INDEX(ENVIOS!$D$4:$D$3003,MATCH($D707,ENVIOS!$A$4:$A$3003,0)),"—"))</f>
        <v/>
      </c>
      <c r="H707" s="23">
        <f>IF($D707="","",IFERROR(INDEX(ENVIOS!$E$4:$E$3003,MATCH($D707,ENVIOS!$A$4:$A$3003,0)),"—"))</f>
        <v/>
      </c>
      <c r="I707" s="23">
        <f>IF($D707="","",IFERROR(INDEX(ENVIOS!$F$4:$F$3003,MATCH($D707,ENVIOS!$A$4:$A$3003,0)),"—"))</f>
        <v/>
      </c>
      <c r="J707" s="23">
        <f>IF($D707="","",IFERROR(INDEX(ENVIOS!$G$4:$G$3003,MATCH($D707,ENVIOS!$A$4:$A$3003,0)),"—"))</f>
        <v/>
      </c>
      <c r="K707" s="28">
        <f>IF($D707="","",IFERROR(INDEX(ENVIOS!$H$4:$H$3003,MATCH($D707,ENVIOS!$A$4:$A$3003,0)),"—"))</f>
        <v/>
      </c>
      <c r="L707" s="49">
        <f>IF($D707="","",IFERROR(INDEX(ENVIOS!$C$4:$C$3003,MATCH($D707,ENVIOS!$A$4:$A$3003,0)),""))</f>
        <v/>
      </c>
      <c r="M707" s="50" t="n"/>
      <c r="N707" s="28">
        <f>IF($M707="","",IFERROR(INDEX(CONFIG!$C$4:$C$63,MATCH($M707,CONFIG!$A$4:$A$63,0)),"Media"))</f>
        <v/>
      </c>
      <c r="O707" s="28">
        <f>IF($M707="","",IF($C707="Interna","NO",IFERROR(INDEX(CONFIG!$E$4:$E$63,MATCH($M707,CONFIG!$A$4:$A$63,0)),"NO")))</f>
        <v/>
      </c>
      <c r="P707" s="50" t="n"/>
      <c r="Q707" s="50" t="n"/>
      <c r="R707" s="28">
        <f>IF($Q707="","",IFERROR(INDEX(CONFIG!$H$4:$H$63,MATCH($Q707,CONFIG!$G$4:$G$63,0)),"Por definir"))</f>
        <v/>
      </c>
      <c r="S707" s="28">
        <f>IF($Q707="","",IFERROR(INDEX(CONFIG!$I$4:$I$63,MATCH($Q707,CONFIG!$G$4:$G$63,0)),"Por definir"))</f>
        <v/>
      </c>
      <c r="T707" s="51" t="n"/>
      <c r="U707" s="52" t="n"/>
      <c r="V707" s="50" t="n"/>
      <c r="W707" s="50" t="n"/>
      <c r="X707" s="49">
        <f>IF(OR($B707="",$M707=""),"",WORKDAY($B707,IFERROR(INDEX(CONFIG!$D$4:$D$63,MATCH($M707,CONFIG!$A$4:$A$63,0)),3)))</f>
        <v/>
      </c>
      <c r="Y707" s="47" t="n"/>
      <c r="Z707" s="24">
        <f>IF($B707="","",IF($Y707&lt;&gt;"",$Y707-$B707,TODAY()-$B707))</f>
        <v/>
      </c>
      <c r="AA707" s="28">
        <f>IF($B707="","",IF(IFERROR(INDEX(CONFIG!$L$4:$L$63,MATCH($V707,CONFIG!$K$4:$K$63,0)),"NO")="SÍ",IF(OR($Y707="",$X707=""),"Resuelta",IF($Y707&gt;$X707,"Resuelta tarde","Resuelta a tiempo")),IF($X707="","Sin clasificar",IF(TODAY()&gt;$X707,"Vencida",IF(TODAY()&gt;=$X707-1,"Por vencer","En plazo")))))</f>
        <v/>
      </c>
      <c r="AB707" s="50" t="n"/>
      <c r="AC707" s="50" t="n"/>
    </row>
    <row r="708" ht="16" customHeight="1">
      <c r="A708" s="28">
        <f>IF($B708="","","N-"&amp;TEXT(ROW()-3,"0000"))</f>
        <v/>
      </c>
      <c r="B708" s="47" t="n"/>
      <c r="C708" s="48" t="n"/>
      <c r="D708" s="48" t="n"/>
      <c r="E708" s="28">
        <f>IF($C708="","",IF($D708="",IF($C708="Interna","Sin guía (interna)","FALTA GUÍA"),IF(COUNTIFS(ENVIOS!$A$4:$A$3003,$D708)=0,"NO EXISTE",IF(COUNTIFS(ENVIOS!$A$4:$A$3003,$D708)&gt;1,"DUPLICADA","OK"))))</f>
        <v/>
      </c>
      <c r="F708" s="28">
        <f>IF($D708="","",IFERROR(INDEX(ENVIOS!$B$4:$B$3003,MATCH($D708,ENVIOS!$A$4:$A$3003,0)),"—"))</f>
        <v/>
      </c>
      <c r="G708" s="23">
        <f>IF($D708="","",IFERROR(INDEX(ENVIOS!$D$4:$D$3003,MATCH($D708,ENVIOS!$A$4:$A$3003,0)),"—"))</f>
        <v/>
      </c>
      <c r="H708" s="23">
        <f>IF($D708="","",IFERROR(INDEX(ENVIOS!$E$4:$E$3003,MATCH($D708,ENVIOS!$A$4:$A$3003,0)),"—"))</f>
        <v/>
      </c>
      <c r="I708" s="23">
        <f>IF($D708="","",IFERROR(INDEX(ENVIOS!$F$4:$F$3003,MATCH($D708,ENVIOS!$A$4:$A$3003,0)),"—"))</f>
        <v/>
      </c>
      <c r="J708" s="23">
        <f>IF($D708="","",IFERROR(INDEX(ENVIOS!$G$4:$G$3003,MATCH($D708,ENVIOS!$A$4:$A$3003,0)),"—"))</f>
        <v/>
      </c>
      <c r="K708" s="28">
        <f>IF($D708="","",IFERROR(INDEX(ENVIOS!$H$4:$H$3003,MATCH($D708,ENVIOS!$A$4:$A$3003,0)),"—"))</f>
        <v/>
      </c>
      <c r="L708" s="49">
        <f>IF($D708="","",IFERROR(INDEX(ENVIOS!$C$4:$C$3003,MATCH($D708,ENVIOS!$A$4:$A$3003,0)),""))</f>
        <v/>
      </c>
      <c r="M708" s="50" t="n"/>
      <c r="N708" s="28">
        <f>IF($M708="","",IFERROR(INDEX(CONFIG!$C$4:$C$63,MATCH($M708,CONFIG!$A$4:$A$63,0)),"Media"))</f>
        <v/>
      </c>
      <c r="O708" s="28">
        <f>IF($M708="","",IF($C708="Interna","NO",IFERROR(INDEX(CONFIG!$E$4:$E$63,MATCH($M708,CONFIG!$A$4:$A$63,0)),"NO")))</f>
        <v/>
      </c>
      <c r="P708" s="50" t="n"/>
      <c r="Q708" s="50" t="n"/>
      <c r="R708" s="28">
        <f>IF($Q708="","",IFERROR(INDEX(CONFIG!$H$4:$H$63,MATCH($Q708,CONFIG!$G$4:$G$63,0)),"Por definir"))</f>
        <v/>
      </c>
      <c r="S708" s="28">
        <f>IF($Q708="","",IFERROR(INDEX(CONFIG!$I$4:$I$63,MATCH($Q708,CONFIG!$G$4:$G$63,0)),"Por definir"))</f>
        <v/>
      </c>
      <c r="T708" s="51" t="n"/>
      <c r="U708" s="52" t="n"/>
      <c r="V708" s="50" t="n"/>
      <c r="W708" s="50" t="n"/>
      <c r="X708" s="49">
        <f>IF(OR($B708="",$M708=""),"",WORKDAY($B708,IFERROR(INDEX(CONFIG!$D$4:$D$63,MATCH($M708,CONFIG!$A$4:$A$63,0)),3)))</f>
        <v/>
      </c>
      <c r="Y708" s="47" t="n"/>
      <c r="Z708" s="24">
        <f>IF($B708="","",IF($Y708&lt;&gt;"",$Y708-$B708,TODAY()-$B708))</f>
        <v/>
      </c>
      <c r="AA708" s="28">
        <f>IF($B708="","",IF(IFERROR(INDEX(CONFIG!$L$4:$L$63,MATCH($V708,CONFIG!$K$4:$K$63,0)),"NO")="SÍ",IF(OR($Y708="",$X708=""),"Resuelta",IF($Y708&gt;$X708,"Resuelta tarde","Resuelta a tiempo")),IF($X708="","Sin clasificar",IF(TODAY()&gt;$X708,"Vencida",IF(TODAY()&gt;=$X708-1,"Por vencer","En plazo")))))</f>
        <v/>
      </c>
      <c r="AB708" s="50" t="n"/>
      <c r="AC708" s="50" t="n"/>
    </row>
    <row r="709" ht="16" customHeight="1">
      <c r="A709" s="28">
        <f>IF($B709="","","N-"&amp;TEXT(ROW()-3,"0000"))</f>
        <v/>
      </c>
      <c r="B709" s="47" t="n"/>
      <c r="C709" s="48" t="n"/>
      <c r="D709" s="48" t="n"/>
      <c r="E709" s="28">
        <f>IF($C709="","",IF($D709="",IF($C709="Interna","Sin guía (interna)","FALTA GUÍA"),IF(COUNTIFS(ENVIOS!$A$4:$A$3003,$D709)=0,"NO EXISTE",IF(COUNTIFS(ENVIOS!$A$4:$A$3003,$D709)&gt;1,"DUPLICADA","OK"))))</f>
        <v/>
      </c>
      <c r="F709" s="28">
        <f>IF($D709="","",IFERROR(INDEX(ENVIOS!$B$4:$B$3003,MATCH($D709,ENVIOS!$A$4:$A$3003,0)),"—"))</f>
        <v/>
      </c>
      <c r="G709" s="23">
        <f>IF($D709="","",IFERROR(INDEX(ENVIOS!$D$4:$D$3003,MATCH($D709,ENVIOS!$A$4:$A$3003,0)),"—"))</f>
        <v/>
      </c>
      <c r="H709" s="23">
        <f>IF($D709="","",IFERROR(INDEX(ENVIOS!$E$4:$E$3003,MATCH($D709,ENVIOS!$A$4:$A$3003,0)),"—"))</f>
        <v/>
      </c>
      <c r="I709" s="23">
        <f>IF($D709="","",IFERROR(INDEX(ENVIOS!$F$4:$F$3003,MATCH($D709,ENVIOS!$A$4:$A$3003,0)),"—"))</f>
        <v/>
      </c>
      <c r="J709" s="23">
        <f>IF($D709="","",IFERROR(INDEX(ENVIOS!$G$4:$G$3003,MATCH($D709,ENVIOS!$A$4:$A$3003,0)),"—"))</f>
        <v/>
      </c>
      <c r="K709" s="28">
        <f>IF($D709="","",IFERROR(INDEX(ENVIOS!$H$4:$H$3003,MATCH($D709,ENVIOS!$A$4:$A$3003,0)),"—"))</f>
        <v/>
      </c>
      <c r="L709" s="49">
        <f>IF($D709="","",IFERROR(INDEX(ENVIOS!$C$4:$C$3003,MATCH($D709,ENVIOS!$A$4:$A$3003,0)),""))</f>
        <v/>
      </c>
      <c r="M709" s="50" t="n"/>
      <c r="N709" s="28">
        <f>IF($M709="","",IFERROR(INDEX(CONFIG!$C$4:$C$63,MATCH($M709,CONFIG!$A$4:$A$63,0)),"Media"))</f>
        <v/>
      </c>
      <c r="O709" s="28">
        <f>IF($M709="","",IF($C709="Interna","NO",IFERROR(INDEX(CONFIG!$E$4:$E$63,MATCH($M709,CONFIG!$A$4:$A$63,0)),"NO")))</f>
        <v/>
      </c>
      <c r="P709" s="50" t="n"/>
      <c r="Q709" s="50" t="n"/>
      <c r="R709" s="28">
        <f>IF($Q709="","",IFERROR(INDEX(CONFIG!$H$4:$H$63,MATCH($Q709,CONFIG!$G$4:$G$63,0)),"Por definir"))</f>
        <v/>
      </c>
      <c r="S709" s="28">
        <f>IF($Q709="","",IFERROR(INDEX(CONFIG!$I$4:$I$63,MATCH($Q709,CONFIG!$G$4:$G$63,0)),"Por definir"))</f>
        <v/>
      </c>
      <c r="T709" s="51" t="n"/>
      <c r="U709" s="52" t="n"/>
      <c r="V709" s="50" t="n"/>
      <c r="W709" s="50" t="n"/>
      <c r="X709" s="49">
        <f>IF(OR($B709="",$M709=""),"",WORKDAY($B709,IFERROR(INDEX(CONFIG!$D$4:$D$63,MATCH($M709,CONFIG!$A$4:$A$63,0)),3)))</f>
        <v/>
      </c>
      <c r="Y709" s="47" t="n"/>
      <c r="Z709" s="24">
        <f>IF($B709="","",IF($Y709&lt;&gt;"",$Y709-$B709,TODAY()-$B709))</f>
        <v/>
      </c>
      <c r="AA709" s="28">
        <f>IF($B709="","",IF(IFERROR(INDEX(CONFIG!$L$4:$L$63,MATCH($V709,CONFIG!$K$4:$K$63,0)),"NO")="SÍ",IF(OR($Y709="",$X709=""),"Resuelta",IF($Y709&gt;$X709,"Resuelta tarde","Resuelta a tiempo")),IF($X709="","Sin clasificar",IF(TODAY()&gt;$X709,"Vencida",IF(TODAY()&gt;=$X709-1,"Por vencer","En plazo")))))</f>
        <v/>
      </c>
      <c r="AB709" s="50" t="n"/>
      <c r="AC709" s="50" t="n"/>
    </row>
    <row r="710" ht="16" customHeight="1">
      <c r="A710" s="28">
        <f>IF($B710="","","N-"&amp;TEXT(ROW()-3,"0000"))</f>
        <v/>
      </c>
      <c r="B710" s="47" t="n"/>
      <c r="C710" s="48" t="n"/>
      <c r="D710" s="48" t="n"/>
      <c r="E710" s="28">
        <f>IF($C710="","",IF($D710="",IF($C710="Interna","Sin guía (interna)","FALTA GUÍA"),IF(COUNTIFS(ENVIOS!$A$4:$A$3003,$D710)=0,"NO EXISTE",IF(COUNTIFS(ENVIOS!$A$4:$A$3003,$D710)&gt;1,"DUPLICADA","OK"))))</f>
        <v/>
      </c>
      <c r="F710" s="28">
        <f>IF($D710="","",IFERROR(INDEX(ENVIOS!$B$4:$B$3003,MATCH($D710,ENVIOS!$A$4:$A$3003,0)),"—"))</f>
        <v/>
      </c>
      <c r="G710" s="23">
        <f>IF($D710="","",IFERROR(INDEX(ENVIOS!$D$4:$D$3003,MATCH($D710,ENVIOS!$A$4:$A$3003,0)),"—"))</f>
        <v/>
      </c>
      <c r="H710" s="23">
        <f>IF($D710="","",IFERROR(INDEX(ENVIOS!$E$4:$E$3003,MATCH($D710,ENVIOS!$A$4:$A$3003,0)),"—"))</f>
        <v/>
      </c>
      <c r="I710" s="23">
        <f>IF($D710="","",IFERROR(INDEX(ENVIOS!$F$4:$F$3003,MATCH($D710,ENVIOS!$A$4:$A$3003,0)),"—"))</f>
        <v/>
      </c>
      <c r="J710" s="23">
        <f>IF($D710="","",IFERROR(INDEX(ENVIOS!$G$4:$G$3003,MATCH($D710,ENVIOS!$A$4:$A$3003,0)),"—"))</f>
        <v/>
      </c>
      <c r="K710" s="28">
        <f>IF($D710="","",IFERROR(INDEX(ENVIOS!$H$4:$H$3003,MATCH($D710,ENVIOS!$A$4:$A$3003,0)),"—"))</f>
        <v/>
      </c>
      <c r="L710" s="49">
        <f>IF($D710="","",IFERROR(INDEX(ENVIOS!$C$4:$C$3003,MATCH($D710,ENVIOS!$A$4:$A$3003,0)),""))</f>
        <v/>
      </c>
      <c r="M710" s="50" t="n"/>
      <c r="N710" s="28">
        <f>IF($M710="","",IFERROR(INDEX(CONFIG!$C$4:$C$63,MATCH($M710,CONFIG!$A$4:$A$63,0)),"Media"))</f>
        <v/>
      </c>
      <c r="O710" s="28">
        <f>IF($M710="","",IF($C710="Interna","NO",IFERROR(INDEX(CONFIG!$E$4:$E$63,MATCH($M710,CONFIG!$A$4:$A$63,0)),"NO")))</f>
        <v/>
      </c>
      <c r="P710" s="50" t="n"/>
      <c r="Q710" s="50" t="n"/>
      <c r="R710" s="28">
        <f>IF($Q710="","",IFERROR(INDEX(CONFIG!$H$4:$H$63,MATCH($Q710,CONFIG!$G$4:$G$63,0)),"Por definir"))</f>
        <v/>
      </c>
      <c r="S710" s="28">
        <f>IF($Q710="","",IFERROR(INDEX(CONFIG!$I$4:$I$63,MATCH($Q710,CONFIG!$G$4:$G$63,0)),"Por definir"))</f>
        <v/>
      </c>
      <c r="T710" s="51" t="n"/>
      <c r="U710" s="52" t="n"/>
      <c r="V710" s="50" t="n"/>
      <c r="W710" s="50" t="n"/>
      <c r="X710" s="49">
        <f>IF(OR($B710="",$M710=""),"",WORKDAY($B710,IFERROR(INDEX(CONFIG!$D$4:$D$63,MATCH($M710,CONFIG!$A$4:$A$63,0)),3)))</f>
        <v/>
      </c>
      <c r="Y710" s="47" t="n"/>
      <c r="Z710" s="24">
        <f>IF($B710="","",IF($Y710&lt;&gt;"",$Y710-$B710,TODAY()-$B710))</f>
        <v/>
      </c>
      <c r="AA710" s="28">
        <f>IF($B710="","",IF(IFERROR(INDEX(CONFIG!$L$4:$L$63,MATCH($V710,CONFIG!$K$4:$K$63,0)),"NO")="SÍ",IF(OR($Y710="",$X710=""),"Resuelta",IF($Y710&gt;$X710,"Resuelta tarde","Resuelta a tiempo")),IF($X710="","Sin clasificar",IF(TODAY()&gt;$X710,"Vencida",IF(TODAY()&gt;=$X710-1,"Por vencer","En plazo")))))</f>
        <v/>
      </c>
      <c r="AB710" s="50" t="n"/>
      <c r="AC710" s="50" t="n"/>
    </row>
    <row r="711" ht="16" customHeight="1">
      <c r="A711" s="28">
        <f>IF($B711="","","N-"&amp;TEXT(ROW()-3,"0000"))</f>
        <v/>
      </c>
      <c r="B711" s="47" t="n"/>
      <c r="C711" s="48" t="n"/>
      <c r="D711" s="48" t="n"/>
      <c r="E711" s="28">
        <f>IF($C711="","",IF($D711="",IF($C711="Interna","Sin guía (interna)","FALTA GUÍA"),IF(COUNTIFS(ENVIOS!$A$4:$A$3003,$D711)=0,"NO EXISTE",IF(COUNTIFS(ENVIOS!$A$4:$A$3003,$D711)&gt;1,"DUPLICADA","OK"))))</f>
        <v/>
      </c>
      <c r="F711" s="28">
        <f>IF($D711="","",IFERROR(INDEX(ENVIOS!$B$4:$B$3003,MATCH($D711,ENVIOS!$A$4:$A$3003,0)),"—"))</f>
        <v/>
      </c>
      <c r="G711" s="23">
        <f>IF($D711="","",IFERROR(INDEX(ENVIOS!$D$4:$D$3003,MATCH($D711,ENVIOS!$A$4:$A$3003,0)),"—"))</f>
        <v/>
      </c>
      <c r="H711" s="23">
        <f>IF($D711="","",IFERROR(INDEX(ENVIOS!$E$4:$E$3003,MATCH($D711,ENVIOS!$A$4:$A$3003,0)),"—"))</f>
        <v/>
      </c>
      <c r="I711" s="23">
        <f>IF($D711="","",IFERROR(INDEX(ENVIOS!$F$4:$F$3003,MATCH($D711,ENVIOS!$A$4:$A$3003,0)),"—"))</f>
        <v/>
      </c>
      <c r="J711" s="23">
        <f>IF($D711="","",IFERROR(INDEX(ENVIOS!$G$4:$G$3003,MATCH($D711,ENVIOS!$A$4:$A$3003,0)),"—"))</f>
        <v/>
      </c>
      <c r="K711" s="28">
        <f>IF($D711="","",IFERROR(INDEX(ENVIOS!$H$4:$H$3003,MATCH($D711,ENVIOS!$A$4:$A$3003,0)),"—"))</f>
        <v/>
      </c>
      <c r="L711" s="49">
        <f>IF($D711="","",IFERROR(INDEX(ENVIOS!$C$4:$C$3003,MATCH($D711,ENVIOS!$A$4:$A$3003,0)),""))</f>
        <v/>
      </c>
      <c r="M711" s="50" t="n"/>
      <c r="N711" s="28">
        <f>IF($M711="","",IFERROR(INDEX(CONFIG!$C$4:$C$63,MATCH($M711,CONFIG!$A$4:$A$63,0)),"Media"))</f>
        <v/>
      </c>
      <c r="O711" s="28">
        <f>IF($M711="","",IF($C711="Interna","NO",IFERROR(INDEX(CONFIG!$E$4:$E$63,MATCH($M711,CONFIG!$A$4:$A$63,0)),"NO")))</f>
        <v/>
      </c>
      <c r="P711" s="50" t="n"/>
      <c r="Q711" s="50" t="n"/>
      <c r="R711" s="28">
        <f>IF($Q711="","",IFERROR(INDEX(CONFIG!$H$4:$H$63,MATCH($Q711,CONFIG!$G$4:$G$63,0)),"Por definir"))</f>
        <v/>
      </c>
      <c r="S711" s="28">
        <f>IF($Q711="","",IFERROR(INDEX(CONFIG!$I$4:$I$63,MATCH($Q711,CONFIG!$G$4:$G$63,0)),"Por definir"))</f>
        <v/>
      </c>
      <c r="T711" s="51" t="n"/>
      <c r="U711" s="52" t="n"/>
      <c r="V711" s="50" t="n"/>
      <c r="W711" s="50" t="n"/>
      <c r="X711" s="49">
        <f>IF(OR($B711="",$M711=""),"",WORKDAY($B711,IFERROR(INDEX(CONFIG!$D$4:$D$63,MATCH($M711,CONFIG!$A$4:$A$63,0)),3)))</f>
        <v/>
      </c>
      <c r="Y711" s="47" t="n"/>
      <c r="Z711" s="24">
        <f>IF($B711="","",IF($Y711&lt;&gt;"",$Y711-$B711,TODAY()-$B711))</f>
        <v/>
      </c>
      <c r="AA711" s="28">
        <f>IF($B711="","",IF(IFERROR(INDEX(CONFIG!$L$4:$L$63,MATCH($V711,CONFIG!$K$4:$K$63,0)),"NO")="SÍ",IF(OR($Y711="",$X711=""),"Resuelta",IF($Y711&gt;$X711,"Resuelta tarde","Resuelta a tiempo")),IF($X711="","Sin clasificar",IF(TODAY()&gt;$X711,"Vencida",IF(TODAY()&gt;=$X711-1,"Por vencer","En plazo")))))</f>
        <v/>
      </c>
      <c r="AB711" s="50" t="n"/>
      <c r="AC711" s="50" t="n"/>
    </row>
    <row r="712" ht="16" customHeight="1">
      <c r="A712" s="28">
        <f>IF($B712="","","N-"&amp;TEXT(ROW()-3,"0000"))</f>
        <v/>
      </c>
      <c r="B712" s="47" t="n"/>
      <c r="C712" s="48" t="n"/>
      <c r="D712" s="48" t="n"/>
      <c r="E712" s="28">
        <f>IF($C712="","",IF($D712="",IF($C712="Interna","Sin guía (interna)","FALTA GUÍA"),IF(COUNTIFS(ENVIOS!$A$4:$A$3003,$D712)=0,"NO EXISTE",IF(COUNTIFS(ENVIOS!$A$4:$A$3003,$D712)&gt;1,"DUPLICADA","OK"))))</f>
        <v/>
      </c>
      <c r="F712" s="28">
        <f>IF($D712="","",IFERROR(INDEX(ENVIOS!$B$4:$B$3003,MATCH($D712,ENVIOS!$A$4:$A$3003,0)),"—"))</f>
        <v/>
      </c>
      <c r="G712" s="23">
        <f>IF($D712="","",IFERROR(INDEX(ENVIOS!$D$4:$D$3003,MATCH($D712,ENVIOS!$A$4:$A$3003,0)),"—"))</f>
        <v/>
      </c>
      <c r="H712" s="23">
        <f>IF($D712="","",IFERROR(INDEX(ENVIOS!$E$4:$E$3003,MATCH($D712,ENVIOS!$A$4:$A$3003,0)),"—"))</f>
        <v/>
      </c>
      <c r="I712" s="23">
        <f>IF($D712="","",IFERROR(INDEX(ENVIOS!$F$4:$F$3003,MATCH($D712,ENVIOS!$A$4:$A$3003,0)),"—"))</f>
        <v/>
      </c>
      <c r="J712" s="23">
        <f>IF($D712="","",IFERROR(INDEX(ENVIOS!$G$4:$G$3003,MATCH($D712,ENVIOS!$A$4:$A$3003,0)),"—"))</f>
        <v/>
      </c>
      <c r="K712" s="28">
        <f>IF($D712="","",IFERROR(INDEX(ENVIOS!$H$4:$H$3003,MATCH($D712,ENVIOS!$A$4:$A$3003,0)),"—"))</f>
        <v/>
      </c>
      <c r="L712" s="49">
        <f>IF($D712="","",IFERROR(INDEX(ENVIOS!$C$4:$C$3003,MATCH($D712,ENVIOS!$A$4:$A$3003,0)),""))</f>
        <v/>
      </c>
      <c r="M712" s="50" t="n"/>
      <c r="N712" s="28">
        <f>IF($M712="","",IFERROR(INDEX(CONFIG!$C$4:$C$63,MATCH($M712,CONFIG!$A$4:$A$63,0)),"Media"))</f>
        <v/>
      </c>
      <c r="O712" s="28">
        <f>IF($M712="","",IF($C712="Interna","NO",IFERROR(INDEX(CONFIG!$E$4:$E$63,MATCH($M712,CONFIG!$A$4:$A$63,0)),"NO")))</f>
        <v/>
      </c>
      <c r="P712" s="50" t="n"/>
      <c r="Q712" s="50" t="n"/>
      <c r="R712" s="28">
        <f>IF($Q712="","",IFERROR(INDEX(CONFIG!$H$4:$H$63,MATCH($Q712,CONFIG!$G$4:$G$63,0)),"Por definir"))</f>
        <v/>
      </c>
      <c r="S712" s="28">
        <f>IF($Q712="","",IFERROR(INDEX(CONFIG!$I$4:$I$63,MATCH($Q712,CONFIG!$G$4:$G$63,0)),"Por definir"))</f>
        <v/>
      </c>
      <c r="T712" s="51" t="n"/>
      <c r="U712" s="52" t="n"/>
      <c r="V712" s="50" t="n"/>
      <c r="W712" s="50" t="n"/>
      <c r="X712" s="49">
        <f>IF(OR($B712="",$M712=""),"",WORKDAY($B712,IFERROR(INDEX(CONFIG!$D$4:$D$63,MATCH($M712,CONFIG!$A$4:$A$63,0)),3)))</f>
        <v/>
      </c>
      <c r="Y712" s="47" t="n"/>
      <c r="Z712" s="24">
        <f>IF($B712="","",IF($Y712&lt;&gt;"",$Y712-$B712,TODAY()-$B712))</f>
        <v/>
      </c>
      <c r="AA712" s="28">
        <f>IF($B712="","",IF(IFERROR(INDEX(CONFIG!$L$4:$L$63,MATCH($V712,CONFIG!$K$4:$K$63,0)),"NO")="SÍ",IF(OR($Y712="",$X712=""),"Resuelta",IF($Y712&gt;$X712,"Resuelta tarde","Resuelta a tiempo")),IF($X712="","Sin clasificar",IF(TODAY()&gt;$X712,"Vencida",IF(TODAY()&gt;=$X712-1,"Por vencer","En plazo")))))</f>
        <v/>
      </c>
      <c r="AB712" s="50" t="n"/>
      <c r="AC712" s="50" t="n"/>
    </row>
    <row r="713" ht="16" customHeight="1">
      <c r="A713" s="28">
        <f>IF($B713="","","N-"&amp;TEXT(ROW()-3,"0000"))</f>
        <v/>
      </c>
      <c r="B713" s="47" t="n"/>
      <c r="C713" s="48" t="n"/>
      <c r="D713" s="48" t="n"/>
      <c r="E713" s="28">
        <f>IF($C713="","",IF($D713="",IF($C713="Interna","Sin guía (interna)","FALTA GUÍA"),IF(COUNTIFS(ENVIOS!$A$4:$A$3003,$D713)=0,"NO EXISTE",IF(COUNTIFS(ENVIOS!$A$4:$A$3003,$D713)&gt;1,"DUPLICADA","OK"))))</f>
        <v/>
      </c>
      <c r="F713" s="28">
        <f>IF($D713="","",IFERROR(INDEX(ENVIOS!$B$4:$B$3003,MATCH($D713,ENVIOS!$A$4:$A$3003,0)),"—"))</f>
        <v/>
      </c>
      <c r="G713" s="23">
        <f>IF($D713="","",IFERROR(INDEX(ENVIOS!$D$4:$D$3003,MATCH($D713,ENVIOS!$A$4:$A$3003,0)),"—"))</f>
        <v/>
      </c>
      <c r="H713" s="23">
        <f>IF($D713="","",IFERROR(INDEX(ENVIOS!$E$4:$E$3003,MATCH($D713,ENVIOS!$A$4:$A$3003,0)),"—"))</f>
        <v/>
      </c>
      <c r="I713" s="23">
        <f>IF($D713="","",IFERROR(INDEX(ENVIOS!$F$4:$F$3003,MATCH($D713,ENVIOS!$A$4:$A$3003,0)),"—"))</f>
        <v/>
      </c>
      <c r="J713" s="23">
        <f>IF($D713="","",IFERROR(INDEX(ENVIOS!$G$4:$G$3003,MATCH($D713,ENVIOS!$A$4:$A$3003,0)),"—"))</f>
        <v/>
      </c>
      <c r="K713" s="28">
        <f>IF($D713="","",IFERROR(INDEX(ENVIOS!$H$4:$H$3003,MATCH($D713,ENVIOS!$A$4:$A$3003,0)),"—"))</f>
        <v/>
      </c>
      <c r="L713" s="49">
        <f>IF($D713="","",IFERROR(INDEX(ENVIOS!$C$4:$C$3003,MATCH($D713,ENVIOS!$A$4:$A$3003,0)),""))</f>
        <v/>
      </c>
      <c r="M713" s="50" t="n"/>
      <c r="N713" s="28">
        <f>IF($M713="","",IFERROR(INDEX(CONFIG!$C$4:$C$63,MATCH($M713,CONFIG!$A$4:$A$63,0)),"Media"))</f>
        <v/>
      </c>
      <c r="O713" s="28">
        <f>IF($M713="","",IF($C713="Interna","NO",IFERROR(INDEX(CONFIG!$E$4:$E$63,MATCH($M713,CONFIG!$A$4:$A$63,0)),"NO")))</f>
        <v/>
      </c>
      <c r="P713" s="50" t="n"/>
      <c r="Q713" s="50" t="n"/>
      <c r="R713" s="28">
        <f>IF($Q713="","",IFERROR(INDEX(CONFIG!$H$4:$H$63,MATCH($Q713,CONFIG!$G$4:$G$63,0)),"Por definir"))</f>
        <v/>
      </c>
      <c r="S713" s="28">
        <f>IF($Q713="","",IFERROR(INDEX(CONFIG!$I$4:$I$63,MATCH($Q713,CONFIG!$G$4:$G$63,0)),"Por definir"))</f>
        <v/>
      </c>
      <c r="T713" s="51" t="n"/>
      <c r="U713" s="52" t="n"/>
      <c r="V713" s="50" t="n"/>
      <c r="W713" s="50" t="n"/>
      <c r="X713" s="49">
        <f>IF(OR($B713="",$M713=""),"",WORKDAY($B713,IFERROR(INDEX(CONFIG!$D$4:$D$63,MATCH($M713,CONFIG!$A$4:$A$63,0)),3)))</f>
        <v/>
      </c>
      <c r="Y713" s="47" t="n"/>
      <c r="Z713" s="24">
        <f>IF($B713="","",IF($Y713&lt;&gt;"",$Y713-$B713,TODAY()-$B713))</f>
        <v/>
      </c>
      <c r="AA713" s="28">
        <f>IF($B713="","",IF(IFERROR(INDEX(CONFIG!$L$4:$L$63,MATCH($V713,CONFIG!$K$4:$K$63,0)),"NO")="SÍ",IF(OR($Y713="",$X713=""),"Resuelta",IF($Y713&gt;$X713,"Resuelta tarde","Resuelta a tiempo")),IF($X713="","Sin clasificar",IF(TODAY()&gt;$X713,"Vencida",IF(TODAY()&gt;=$X713-1,"Por vencer","En plazo")))))</f>
        <v/>
      </c>
      <c r="AB713" s="50" t="n"/>
      <c r="AC713" s="50" t="n"/>
    </row>
    <row r="714" ht="16" customHeight="1">
      <c r="A714" s="28">
        <f>IF($B714="","","N-"&amp;TEXT(ROW()-3,"0000"))</f>
        <v/>
      </c>
      <c r="B714" s="47" t="n"/>
      <c r="C714" s="48" t="n"/>
      <c r="D714" s="48" t="n"/>
      <c r="E714" s="28">
        <f>IF($C714="","",IF($D714="",IF($C714="Interna","Sin guía (interna)","FALTA GUÍA"),IF(COUNTIFS(ENVIOS!$A$4:$A$3003,$D714)=0,"NO EXISTE",IF(COUNTIFS(ENVIOS!$A$4:$A$3003,$D714)&gt;1,"DUPLICADA","OK"))))</f>
        <v/>
      </c>
      <c r="F714" s="28">
        <f>IF($D714="","",IFERROR(INDEX(ENVIOS!$B$4:$B$3003,MATCH($D714,ENVIOS!$A$4:$A$3003,0)),"—"))</f>
        <v/>
      </c>
      <c r="G714" s="23">
        <f>IF($D714="","",IFERROR(INDEX(ENVIOS!$D$4:$D$3003,MATCH($D714,ENVIOS!$A$4:$A$3003,0)),"—"))</f>
        <v/>
      </c>
      <c r="H714" s="23">
        <f>IF($D714="","",IFERROR(INDEX(ENVIOS!$E$4:$E$3003,MATCH($D714,ENVIOS!$A$4:$A$3003,0)),"—"))</f>
        <v/>
      </c>
      <c r="I714" s="23">
        <f>IF($D714="","",IFERROR(INDEX(ENVIOS!$F$4:$F$3003,MATCH($D714,ENVIOS!$A$4:$A$3003,0)),"—"))</f>
        <v/>
      </c>
      <c r="J714" s="23">
        <f>IF($D714="","",IFERROR(INDEX(ENVIOS!$G$4:$G$3003,MATCH($D714,ENVIOS!$A$4:$A$3003,0)),"—"))</f>
        <v/>
      </c>
      <c r="K714" s="28">
        <f>IF($D714="","",IFERROR(INDEX(ENVIOS!$H$4:$H$3003,MATCH($D714,ENVIOS!$A$4:$A$3003,0)),"—"))</f>
        <v/>
      </c>
      <c r="L714" s="49">
        <f>IF($D714="","",IFERROR(INDEX(ENVIOS!$C$4:$C$3003,MATCH($D714,ENVIOS!$A$4:$A$3003,0)),""))</f>
        <v/>
      </c>
      <c r="M714" s="50" t="n"/>
      <c r="N714" s="28">
        <f>IF($M714="","",IFERROR(INDEX(CONFIG!$C$4:$C$63,MATCH($M714,CONFIG!$A$4:$A$63,0)),"Media"))</f>
        <v/>
      </c>
      <c r="O714" s="28">
        <f>IF($M714="","",IF($C714="Interna","NO",IFERROR(INDEX(CONFIG!$E$4:$E$63,MATCH($M714,CONFIG!$A$4:$A$63,0)),"NO")))</f>
        <v/>
      </c>
      <c r="P714" s="50" t="n"/>
      <c r="Q714" s="50" t="n"/>
      <c r="R714" s="28">
        <f>IF($Q714="","",IFERROR(INDEX(CONFIG!$H$4:$H$63,MATCH($Q714,CONFIG!$G$4:$G$63,0)),"Por definir"))</f>
        <v/>
      </c>
      <c r="S714" s="28">
        <f>IF($Q714="","",IFERROR(INDEX(CONFIG!$I$4:$I$63,MATCH($Q714,CONFIG!$G$4:$G$63,0)),"Por definir"))</f>
        <v/>
      </c>
      <c r="T714" s="51" t="n"/>
      <c r="U714" s="52" t="n"/>
      <c r="V714" s="50" t="n"/>
      <c r="W714" s="50" t="n"/>
      <c r="X714" s="49">
        <f>IF(OR($B714="",$M714=""),"",WORKDAY($B714,IFERROR(INDEX(CONFIG!$D$4:$D$63,MATCH($M714,CONFIG!$A$4:$A$63,0)),3)))</f>
        <v/>
      </c>
      <c r="Y714" s="47" t="n"/>
      <c r="Z714" s="24">
        <f>IF($B714="","",IF($Y714&lt;&gt;"",$Y714-$B714,TODAY()-$B714))</f>
        <v/>
      </c>
      <c r="AA714" s="28">
        <f>IF($B714="","",IF(IFERROR(INDEX(CONFIG!$L$4:$L$63,MATCH($V714,CONFIG!$K$4:$K$63,0)),"NO")="SÍ",IF(OR($Y714="",$X714=""),"Resuelta",IF($Y714&gt;$X714,"Resuelta tarde","Resuelta a tiempo")),IF($X714="","Sin clasificar",IF(TODAY()&gt;$X714,"Vencida",IF(TODAY()&gt;=$X714-1,"Por vencer","En plazo")))))</f>
        <v/>
      </c>
      <c r="AB714" s="50" t="n"/>
      <c r="AC714" s="50" t="n"/>
    </row>
    <row r="715" ht="16" customHeight="1">
      <c r="A715" s="28">
        <f>IF($B715="","","N-"&amp;TEXT(ROW()-3,"0000"))</f>
        <v/>
      </c>
      <c r="B715" s="47" t="n"/>
      <c r="C715" s="48" t="n"/>
      <c r="D715" s="48" t="n"/>
      <c r="E715" s="28">
        <f>IF($C715="","",IF($D715="",IF($C715="Interna","Sin guía (interna)","FALTA GUÍA"),IF(COUNTIFS(ENVIOS!$A$4:$A$3003,$D715)=0,"NO EXISTE",IF(COUNTIFS(ENVIOS!$A$4:$A$3003,$D715)&gt;1,"DUPLICADA","OK"))))</f>
        <v/>
      </c>
      <c r="F715" s="28">
        <f>IF($D715="","",IFERROR(INDEX(ENVIOS!$B$4:$B$3003,MATCH($D715,ENVIOS!$A$4:$A$3003,0)),"—"))</f>
        <v/>
      </c>
      <c r="G715" s="23">
        <f>IF($D715="","",IFERROR(INDEX(ENVIOS!$D$4:$D$3003,MATCH($D715,ENVIOS!$A$4:$A$3003,0)),"—"))</f>
        <v/>
      </c>
      <c r="H715" s="23">
        <f>IF($D715="","",IFERROR(INDEX(ENVIOS!$E$4:$E$3003,MATCH($D715,ENVIOS!$A$4:$A$3003,0)),"—"))</f>
        <v/>
      </c>
      <c r="I715" s="23">
        <f>IF($D715="","",IFERROR(INDEX(ENVIOS!$F$4:$F$3003,MATCH($D715,ENVIOS!$A$4:$A$3003,0)),"—"))</f>
        <v/>
      </c>
      <c r="J715" s="23">
        <f>IF($D715="","",IFERROR(INDEX(ENVIOS!$G$4:$G$3003,MATCH($D715,ENVIOS!$A$4:$A$3003,0)),"—"))</f>
        <v/>
      </c>
      <c r="K715" s="28">
        <f>IF($D715="","",IFERROR(INDEX(ENVIOS!$H$4:$H$3003,MATCH($D715,ENVIOS!$A$4:$A$3003,0)),"—"))</f>
        <v/>
      </c>
      <c r="L715" s="49">
        <f>IF($D715="","",IFERROR(INDEX(ENVIOS!$C$4:$C$3003,MATCH($D715,ENVIOS!$A$4:$A$3003,0)),""))</f>
        <v/>
      </c>
      <c r="M715" s="50" t="n"/>
      <c r="N715" s="28">
        <f>IF($M715="","",IFERROR(INDEX(CONFIG!$C$4:$C$63,MATCH($M715,CONFIG!$A$4:$A$63,0)),"Media"))</f>
        <v/>
      </c>
      <c r="O715" s="28">
        <f>IF($M715="","",IF($C715="Interna","NO",IFERROR(INDEX(CONFIG!$E$4:$E$63,MATCH($M715,CONFIG!$A$4:$A$63,0)),"NO")))</f>
        <v/>
      </c>
      <c r="P715" s="50" t="n"/>
      <c r="Q715" s="50" t="n"/>
      <c r="R715" s="28">
        <f>IF($Q715="","",IFERROR(INDEX(CONFIG!$H$4:$H$63,MATCH($Q715,CONFIG!$G$4:$G$63,0)),"Por definir"))</f>
        <v/>
      </c>
      <c r="S715" s="28">
        <f>IF($Q715="","",IFERROR(INDEX(CONFIG!$I$4:$I$63,MATCH($Q715,CONFIG!$G$4:$G$63,0)),"Por definir"))</f>
        <v/>
      </c>
      <c r="T715" s="51" t="n"/>
      <c r="U715" s="52" t="n"/>
      <c r="V715" s="50" t="n"/>
      <c r="W715" s="50" t="n"/>
      <c r="X715" s="49">
        <f>IF(OR($B715="",$M715=""),"",WORKDAY($B715,IFERROR(INDEX(CONFIG!$D$4:$D$63,MATCH($M715,CONFIG!$A$4:$A$63,0)),3)))</f>
        <v/>
      </c>
      <c r="Y715" s="47" t="n"/>
      <c r="Z715" s="24">
        <f>IF($B715="","",IF($Y715&lt;&gt;"",$Y715-$B715,TODAY()-$B715))</f>
        <v/>
      </c>
      <c r="AA715" s="28">
        <f>IF($B715="","",IF(IFERROR(INDEX(CONFIG!$L$4:$L$63,MATCH($V715,CONFIG!$K$4:$K$63,0)),"NO")="SÍ",IF(OR($Y715="",$X715=""),"Resuelta",IF($Y715&gt;$X715,"Resuelta tarde","Resuelta a tiempo")),IF($X715="","Sin clasificar",IF(TODAY()&gt;$X715,"Vencida",IF(TODAY()&gt;=$X715-1,"Por vencer","En plazo")))))</f>
        <v/>
      </c>
      <c r="AB715" s="50" t="n"/>
      <c r="AC715" s="50" t="n"/>
    </row>
    <row r="716" ht="16" customHeight="1">
      <c r="A716" s="28">
        <f>IF($B716="","","N-"&amp;TEXT(ROW()-3,"0000"))</f>
        <v/>
      </c>
      <c r="B716" s="47" t="n"/>
      <c r="C716" s="48" t="n"/>
      <c r="D716" s="48" t="n"/>
      <c r="E716" s="28">
        <f>IF($C716="","",IF($D716="",IF($C716="Interna","Sin guía (interna)","FALTA GUÍA"),IF(COUNTIFS(ENVIOS!$A$4:$A$3003,$D716)=0,"NO EXISTE",IF(COUNTIFS(ENVIOS!$A$4:$A$3003,$D716)&gt;1,"DUPLICADA","OK"))))</f>
        <v/>
      </c>
      <c r="F716" s="28">
        <f>IF($D716="","",IFERROR(INDEX(ENVIOS!$B$4:$B$3003,MATCH($D716,ENVIOS!$A$4:$A$3003,0)),"—"))</f>
        <v/>
      </c>
      <c r="G716" s="23">
        <f>IF($D716="","",IFERROR(INDEX(ENVIOS!$D$4:$D$3003,MATCH($D716,ENVIOS!$A$4:$A$3003,0)),"—"))</f>
        <v/>
      </c>
      <c r="H716" s="23">
        <f>IF($D716="","",IFERROR(INDEX(ENVIOS!$E$4:$E$3003,MATCH($D716,ENVIOS!$A$4:$A$3003,0)),"—"))</f>
        <v/>
      </c>
      <c r="I716" s="23">
        <f>IF($D716="","",IFERROR(INDEX(ENVIOS!$F$4:$F$3003,MATCH($D716,ENVIOS!$A$4:$A$3003,0)),"—"))</f>
        <v/>
      </c>
      <c r="J716" s="23">
        <f>IF($D716="","",IFERROR(INDEX(ENVIOS!$G$4:$G$3003,MATCH($D716,ENVIOS!$A$4:$A$3003,0)),"—"))</f>
        <v/>
      </c>
      <c r="K716" s="28">
        <f>IF($D716="","",IFERROR(INDEX(ENVIOS!$H$4:$H$3003,MATCH($D716,ENVIOS!$A$4:$A$3003,0)),"—"))</f>
        <v/>
      </c>
      <c r="L716" s="49">
        <f>IF($D716="","",IFERROR(INDEX(ENVIOS!$C$4:$C$3003,MATCH($D716,ENVIOS!$A$4:$A$3003,0)),""))</f>
        <v/>
      </c>
      <c r="M716" s="50" t="n"/>
      <c r="N716" s="28">
        <f>IF($M716="","",IFERROR(INDEX(CONFIG!$C$4:$C$63,MATCH($M716,CONFIG!$A$4:$A$63,0)),"Media"))</f>
        <v/>
      </c>
      <c r="O716" s="28">
        <f>IF($M716="","",IF($C716="Interna","NO",IFERROR(INDEX(CONFIG!$E$4:$E$63,MATCH($M716,CONFIG!$A$4:$A$63,0)),"NO")))</f>
        <v/>
      </c>
      <c r="P716" s="50" t="n"/>
      <c r="Q716" s="50" t="n"/>
      <c r="R716" s="28">
        <f>IF($Q716="","",IFERROR(INDEX(CONFIG!$H$4:$H$63,MATCH($Q716,CONFIG!$G$4:$G$63,0)),"Por definir"))</f>
        <v/>
      </c>
      <c r="S716" s="28">
        <f>IF($Q716="","",IFERROR(INDEX(CONFIG!$I$4:$I$63,MATCH($Q716,CONFIG!$G$4:$G$63,0)),"Por definir"))</f>
        <v/>
      </c>
      <c r="T716" s="51" t="n"/>
      <c r="U716" s="52" t="n"/>
      <c r="V716" s="50" t="n"/>
      <c r="W716" s="50" t="n"/>
      <c r="X716" s="49">
        <f>IF(OR($B716="",$M716=""),"",WORKDAY($B716,IFERROR(INDEX(CONFIG!$D$4:$D$63,MATCH($M716,CONFIG!$A$4:$A$63,0)),3)))</f>
        <v/>
      </c>
      <c r="Y716" s="47" t="n"/>
      <c r="Z716" s="24">
        <f>IF($B716="","",IF($Y716&lt;&gt;"",$Y716-$B716,TODAY()-$B716))</f>
        <v/>
      </c>
      <c r="AA716" s="28">
        <f>IF($B716="","",IF(IFERROR(INDEX(CONFIG!$L$4:$L$63,MATCH($V716,CONFIG!$K$4:$K$63,0)),"NO")="SÍ",IF(OR($Y716="",$X716=""),"Resuelta",IF($Y716&gt;$X716,"Resuelta tarde","Resuelta a tiempo")),IF($X716="","Sin clasificar",IF(TODAY()&gt;$X716,"Vencida",IF(TODAY()&gt;=$X716-1,"Por vencer","En plazo")))))</f>
        <v/>
      </c>
      <c r="AB716" s="50" t="n"/>
      <c r="AC716" s="50" t="n"/>
    </row>
    <row r="717" ht="16" customHeight="1">
      <c r="A717" s="28">
        <f>IF($B717="","","N-"&amp;TEXT(ROW()-3,"0000"))</f>
        <v/>
      </c>
      <c r="B717" s="47" t="n"/>
      <c r="C717" s="48" t="n"/>
      <c r="D717" s="48" t="n"/>
      <c r="E717" s="28">
        <f>IF($C717="","",IF($D717="",IF($C717="Interna","Sin guía (interna)","FALTA GUÍA"),IF(COUNTIFS(ENVIOS!$A$4:$A$3003,$D717)=0,"NO EXISTE",IF(COUNTIFS(ENVIOS!$A$4:$A$3003,$D717)&gt;1,"DUPLICADA","OK"))))</f>
        <v/>
      </c>
      <c r="F717" s="28">
        <f>IF($D717="","",IFERROR(INDEX(ENVIOS!$B$4:$B$3003,MATCH($D717,ENVIOS!$A$4:$A$3003,0)),"—"))</f>
        <v/>
      </c>
      <c r="G717" s="23">
        <f>IF($D717="","",IFERROR(INDEX(ENVIOS!$D$4:$D$3003,MATCH($D717,ENVIOS!$A$4:$A$3003,0)),"—"))</f>
        <v/>
      </c>
      <c r="H717" s="23">
        <f>IF($D717="","",IFERROR(INDEX(ENVIOS!$E$4:$E$3003,MATCH($D717,ENVIOS!$A$4:$A$3003,0)),"—"))</f>
        <v/>
      </c>
      <c r="I717" s="23">
        <f>IF($D717="","",IFERROR(INDEX(ENVIOS!$F$4:$F$3003,MATCH($D717,ENVIOS!$A$4:$A$3003,0)),"—"))</f>
        <v/>
      </c>
      <c r="J717" s="23">
        <f>IF($D717="","",IFERROR(INDEX(ENVIOS!$G$4:$G$3003,MATCH($D717,ENVIOS!$A$4:$A$3003,0)),"—"))</f>
        <v/>
      </c>
      <c r="K717" s="28">
        <f>IF($D717="","",IFERROR(INDEX(ENVIOS!$H$4:$H$3003,MATCH($D717,ENVIOS!$A$4:$A$3003,0)),"—"))</f>
        <v/>
      </c>
      <c r="L717" s="49">
        <f>IF($D717="","",IFERROR(INDEX(ENVIOS!$C$4:$C$3003,MATCH($D717,ENVIOS!$A$4:$A$3003,0)),""))</f>
        <v/>
      </c>
      <c r="M717" s="50" t="n"/>
      <c r="N717" s="28">
        <f>IF($M717="","",IFERROR(INDEX(CONFIG!$C$4:$C$63,MATCH($M717,CONFIG!$A$4:$A$63,0)),"Media"))</f>
        <v/>
      </c>
      <c r="O717" s="28">
        <f>IF($M717="","",IF($C717="Interna","NO",IFERROR(INDEX(CONFIG!$E$4:$E$63,MATCH($M717,CONFIG!$A$4:$A$63,0)),"NO")))</f>
        <v/>
      </c>
      <c r="P717" s="50" t="n"/>
      <c r="Q717" s="50" t="n"/>
      <c r="R717" s="28">
        <f>IF($Q717="","",IFERROR(INDEX(CONFIG!$H$4:$H$63,MATCH($Q717,CONFIG!$G$4:$G$63,0)),"Por definir"))</f>
        <v/>
      </c>
      <c r="S717" s="28">
        <f>IF($Q717="","",IFERROR(INDEX(CONFIG!$I$4:$I$63,MATCH($Q717,CONFIG!$G$4:$G$63,0)),"Por definir"))</f>
        <v/>
      </c>
      <c r="T717" s="51" t="n"/>
      <c r="U717" s="52" t="n"/>
      <c r="V717" s="50" t="n"/>
      <c r="W717" s="50" t="n"/>
      <c r="X717" s="49">
        <f>IF(OR($B717="",$M717=""),"",WORKDAY($B717,IFERROR(INDEX(CONFIG!$D$4:$D$63,MATCH($M717,CONFIG!$A$4:$A$63,0)),3)))</f>
        <v/>
      </c>
      <c r="Y717" s="47" t="n"/>
      <c r="Z717" s="24">
        <f>IF($B717="","",IF($Y717&lt;&gt;"",$Y717-$B717,TODAY()-$B717))</f>
        <v/>
      </c>
      <c r="AA717" s="28">
        <f>IF($B717="","",IF(IFERROR(INDEX(CONFIG!$L$4:$L$63,MATCH($V717,CONFIG!$K$4:$K$63,0)),"NO")="SÍ",IF(OR($Y717="",$X717=""),"Resuelta",IF($Y717&gt;$X717,"Resuelta tarde","Resuelta a tiempo")),IF($X717="","Sin clasificar",IF(TODAY()&gt;$X717,"Vencida",IF(TODAY()&gt;=$X717-1,"Por vencer","En plazo")))))</f>
        <v/>
      </c>
      <c r="AB717" s="50" t="n"/>
      <c r="AC717" s="50" t="n"/>
    </row>
    <row r="718" ht="16" customHeight="1">
      <c r="A718" s="28">
        <f>IF($B718="","","N-"&amp;TEXT(ROW()-3,"0000"))</f>
        <v/>
      </c>
      <c r="B718" s="47" t="n"/>
      <c r="C718" s="48" t="n"/>
      <c r="D718" s="48" t="n"/>
      <c r="E718" s="28">
        <f>IF($C718="","",IF($D718="",IF($C718="Interna","Sin guía (interna)","FALTA GUÍA"),IF(COUNTIFS(ENVIOS!$A$4:$A$3003,$D718)=0,"NO EXISTE",IF(COUNTIFS(ENVIOS!$A$4:$A$3003,$D718)&gt;1,"DUPLICADA","OK"))))</f>
        <v/>
      </c>
      <c r="F718" s="28">
        <f>IF($D718="","",IFERROR(INDEX(ENVIOS!$B$4:$B$3003,MATCH($D718,ENVIOS!$A$4:$A$3003,0)),"—"))</f>
        <v/>
      </c>
      <c r="G718" s="23">
        <f>IF($D718="","",IFERROR(INDEX(ENVIOS!$D$4:$D$3003,MATCH($D718,ENVIOS!$A$4:$A$3003,0)),"—"))</f>
        <v/>
      </c>
      <c r="H718" s="23">
        <f>IF($D718="","",IFERROR(INDEX(ENVIOS!$E$4:$E$3003,MATCH($D718,ENVIOS!$A$4:$A$3003,0)),"—"))</f>
        <v/>
      </c>
      <c r="I718" s="23">
        <f>IF($D718="","",IFERROR(INDEX(ENVIOS!$F$4:$F$3003,MATCH($D718,ENVIOS!$A$4:$A$3003,0)),"—"))</f>
        <v/>
      </c>
      <c r="J718" s="23">
        <f>IF($D718="","",IFERROR(INDEX(ENVIOS!$G$4:$G$3003,MATCH($D718,ENVIOS!$A$4:$A$3003,0)),"—"))</f>
        <v/>
      </c>
      <c r="K718" s="28">
        <f>IF($D718="","",IFERROR(INDEX(ENVIOS!$H$4:$H$3003,MATCH($D718,ENVIOS!$A$4:$A$3003,0)),"—"))</f>
        <v/>
      </c>
      <c r="L718" s="49">
        <f>IF($D718="","",IFERROR(INDEX(ENVIOS!$C$4:$C$3003,MATCH($D718,ENVIOS!$A$4:$A$3003,0)),""))</f>
        <v/>
      </c>
      <c r="M718" s="50" t="n"/>
      <c r="N718" s="28">
        <f>IF($M718="","",IFERROR(INDEX(CONFIG!$C$4:$C$63,MATCH($M718,CONFIG!$A$4:$A$63,0)),"Media"))</f>
        <v/>
      </c>
      <c r="O718" s="28">
        <f>IF($M718="","",IF($C718="Interna","NO",IFERROR(INDEX(CONFIG!$E$4:$E$63,MATCH($M718,CONFIG!$A$4:$A$63,0)),"NO")))</f>
        <v/>
      </c>
      <c r="P718" s="50" t="n"/>
      <c r="Q718" s="50" t="n"/>
      <c r="R718" s="28">
        <f>IF($Q718="","",IFERROR(INDEX(CONFIG!$H$4:$H$63,MATCH($Q718,CONFIG!$G$4:$G$63,0)),"Por definir"))</f>
        <v/>
      </c>
      <c r="S718" s="28">
        <f>IF($Q718="","",IFERROR(INDEX(CONFIG!$I$4:$I$63,MATCH($Q718,CONFIG!$G$4:$G$63,0)),"Por definir"))</f>
        <v/>
      </c>
      <c r="T718" s="51" t="n"/>
      <c r="U718" s="52" t="n"/>
      <c r="V718" s="50" t="n"/>
      <c r="W718" s="50" t="n"/>
      <c r="X718" s="49">
        <f>IF(OR($B718="",$M718=""),"",WORKDAY($B718,IFERROR(INDEX(CONFIG!$D$4:$D$63,MATCH($M718,CONFIG!$A$4:$A$63,0)),3)))</f>
        <v/>
      </c>
      <c r="Y718" s="47" t="n"/>
      <c r="Z718" s="24">
        <f>IF($B718="","",IF($Y718&lt;&gt;"",$Y718-$B718,TODAY()-$B718))</f>
        <v/>
      </c>
      <c r="AA718" s="28">
        <f>IF($B718="","",IF(IFERROR(INDEX(CONFIG!$L$4:$L$63,MATCH($V718,CONFIG!$K$4:$K$63,0)),"NO")="SÍ",IF(OR($Y718="",$X718=""),"Resuelta",IF($Y718&gt;$X718,"Resuelta tarde","Resuelta a tiempo")),IF($X718="","Sin clasificar",IF(TODAY()&gt;$X718,"Vencida",IF(TODAY()&gt;=$X718-1,"Por vencer","En plazo")))))</f>
        <v/>
      </c>
      <c r="AB718" s="50" t="n"/>
      <c r="AC718" s="50" t="n"/>
    </row>
    <row r="719" ht="16" customHeight="1">
      <c r="A719" s="28">
        <f>IF($B719="","","N-"&amp;TEXT(ROW()-3,"0000"))</f>
        <v/>
      </c>
      <c r="B719" s="47" t="n"/>
      <c r="C719" s="48" t="n"/>
      <c r="D719" s="48" t="n"/>
      <c r="E719" s="28">
        <f>IF($C719="","",IF($D719="",IF($C719="Interna","Sin guía (interna)","FALTA GUÍA"),IF(COUNTIFS(ENVIOS!$A$4:$A$3003,$D719)=0,"NO EXISTE",IF(COUNTIFS(ENVIOS!$A$4:$A$3003,$D719)&gt;1,"DUPLICADA","OK"))))</f>
        <v/>
      </c>
      <c r="F719" s="28">
        <f>IF($D719="","",IFERROR(INDEX(ENVIOS!$B$4:$B$3003,MATCH($D719,ENVIOS!$A$4:$A$3003,0)),"—"))</f>
        <v/>
      </c>
      <c r="G719" s="23">
        <f>IF($D719="","",IFERROR(INDEX(ENVIOS!$D$4:$D$3003,MATCH($D719,ENVIOS!$A$4:$A$3003,0)),"—"))</f>
        <v/>
      </c>
      <c r="H719" s="23">
        <f>IF($D719="","",IFERROR(INDEX(ENVIOS!$E$4:$E$3003,MATCH($D719,ENVIOS!$A$4:$A$3003,0)),"—"))</f>
        <v/>
      </c>
      <c r="I719" s="23">
        <f>IF($D719="","",IFERROR(INDEX(ENVIOS!$F$4:$F$3003,MATCH($D719,ENVIOS!$A$4:$A$3003,0)),"—"))</f>
        <v/>
      </c>
      <c r="J719" s="23">
        <f>IF($D719="","",IFERROR(INDEX(ENVIOS!$G$4:$G$3003,MATCH($D719,ENVIOS!$A$4:$A$3003,0)),"—"))</f>
        <v/>
      </c>
      <c r="K719" s="28">
        <f>IF($D719="","",IFERROR(INDEX(ENVIOS!$H$4:$H$3003,MATCH($D719,ENVIOS!$A$4:$A$3003,0)),"—"))</f>
        <v/>
      </c>
      <c r="L719" s="49">
        <f>IF($D719="","",IFERROR(INDEX(ENVIOS!$C$4:$C$3003,MATCH($D719,ENVIOS!$A$4:$A$3003,0)),""))</f>
        <v/>
      </c>
      <c r="M719" s="50" t="n"/>
      <c r="N719" s="28">
        <f>IF($M719="","",IFERROR(INDEX(CONFIG!$C$4:$C$63,MATCH($M719,CONFIG!$A$4:$A$63,0)),"Media"))</f>
        <v/>
      </c>
      <c r="O719" s="28">
        <f>IF($M719="","",IF($C719="Interna","NO",IFERROR(INDEX(CONFIG!$E$4:$E$63,MATCH($M719,CONFIG!$A$4:$A$63,0)),"NO")))</f>
        <v/>
      </c>
      <c r="P719" s="50" t="n"/>
      <c r="Q719" s="50" t="n"/>
      <c r="R719" s="28">
        <f>IF($Q719="","",IFERROR(INDEX(CONFIG!$H$4:$H$63,MATCH($Q719,CONFIG!$G$4:$G$63,0)),"Por definir"))</f>
        <v/>
      </c>
      <c r="S719" s="28">
        <f>IF($Q719="","",IFERROR(INDEX(CONFIG!$I$4:$I$63,MATCH($Q719,CONFIG!$G$4:$G$63,0)),"Por definir"))</f>
        <v/>
      </c>
      <c r="T719" s="51" t="n"/>
      <c r="U719" s="52" t="n"/>
      <c r="V719" s="50" t="n"/>
      <c r="W719" s="50" t="n"/>
      <c r="X719" s="49">
        <f>IF(OR($B719="",$M719=""),"",WORKDAY($B719,IFERROR(INDEX(CONFIG!$D$4:$D$63,MATCH($M719,CONFIG!$A$4:$A$63,0)),3)))</f>
        <v/>
      </c>
      <c r="Y719" s="47" t="n"/>
      <c r="Z719" s="24">
        <f>IF($B719="","",IF($Y719&lt;&gt;"",$Y719-$B719,TODAY()-$B719))</f>
        <v/>
      </c>
      <c r="AA719" s="28">
        <f>IF($B719="","",IF(IFERROR(INDEX(CONFIG!$L$4:$L$63,MATCH($V719,CONFIG!$K$4:$K$63,0)),"NO")="SÍ",IF(OR($Y719="",$X719=""),"Resuelta",IF($Y719&gt;$X719,"Resuelta tarde","Resuelta a tiempo")),IF($X719="","Sin clasificar",IF(TODAY()&gt;$X719,"Vencida",IF(TODAY()&gt;=$X719-1,"Por vencer","En plazo")))))</f>
        <v/>
      </c>
      <c r="AB719" s="50" t="n"/>
      <c r="AC719" s="50" t="n"/>
    </row>
    <row r="720" ht="16" customHeight="1">
      <c r="A720" s="28">
        <f>IF($B720="","","N-"&amp;TEXT(ROW()-3,"0000"))</f>
        <v/>
      </c>
      <c r="B720" s="47" t="n"/>
      <c r="C720" s="48" t="n"/>
      <c r="D720" s="48" t="n"/>
      <c r="E720" s="28">
        <f>IF($C720="","",IF($D720="",IF($C720="Interna","Sin guía (interna)","FALTA GUÍA"),IF(COUNTIFS(ENVIOS!$A$4:$A$3003,$D720)=0,"NO EXISTE",IF(COUNTIFS(ENVIOS!$A$4:$A$3003,$D720)&gt;1,"DUPLICADA","OK"))))</f>
        <v/>
      </c>
      <c r="F720" s="28">
        <f>IF($D720="","",IFERROR(INDEX(ENVIOS!$B$4:$B$3003,MATCH($D720,ENVIOS!$A$4:$A$3003,0)),"—"))</f>
        <v/>
      </c>
      <c r="G720" s="23">
        <f>IF($D720="","",IFERROR(INDEX(ENVIOS!$D$4:$D$3003,MATCH($D720,ENVIOS!$A$4:$A$3003,0)),"—"))</f>
        <v/>
      </c>
      <c r="H720" s="23">
        <f>IF($D720="","",IFERROR(INDEX(ENVIOS!$E$4:$E$3003,MATCH($D720,ENVIOS!$A$4:$A$3003,0)),"—"))</f>
        <v/>
      </c>
      <c r="I720" s="23">
        <f>IF($D720="","",IFERROR(INDEX(ENVIOS!$F$4:$F$3003,MATCH($D720,ENVIOS!$A$4:$A$3003,0)),"—"))</f>
        <v/>
      </c>
      <c r="J720" s="23">
        <f>IF($D720="","",IFERROR(INDEX(ENVIOS!$G$4:$G$3003,MATCH($D720,ENVIOS!$A$4:$A$3003,0)),"—"))</f>
        <v/>
      </c>
      <c r="K720" s="28">
        <f>IF($D720="","",IFERROR(INDEX(ENVIOS!$H$4:$H$3003,MATCH($D720,ENVIOS!$A$4:$A$3003,0)),"—"))</f>
        <v/>
      </c>
      <c r="L720" s="49">
        <f>IF($D720="","",IFERROR(INDEX(ENVIOS!$C$4:$C$3003,MATCH($D720,ENVIOS!$A$4:$A$3003,0)),""))</f>
        <v/>
      </c>
      <c r="M720" s="50" t="n"/>
      <c r="N720" s="28">
        <f>IF($M720="","",IFERROR(INDEX(CONFIG!$C$4:$C$63,MATCH($M720,CONFIG!$A$4:$A$63,0)),"Media"))</f>
        <v/>
      </c>
      <c r="O720" s="28">
        <f>IF($M720="","",IF($C720="Interna","NO",IFERROR(INDEX(CONFIG!$E$4:$E$63,MATCH($M720,CONFIG!$A$4:$A$63,0)),"NO")))</f>
        <v/>
      </c>
      <c r="P720" s="50" t="n"/>
      <c r="Q720" s="50" t="n"/>
      <c r="R720" s="28">
        <f>IF($Q720="","",IFERROR(INDEX(CONFIG!$H$4:$H$63,MATCH($Q720,CONFIG!$G$4:$G$63,0)),"Por definir"))</f>
        <v/>
      </c>
      <c r="S720" s="28">
        <f>IF($Q720="","",IFERROR(INDEX(CONFIG!$I$4:$I$63,MATCH($Q720,CONFIG!$G$4:$G$63,0)),"Por definir"))</f>
        <v/>
      </c>
      <c r="T720" s="51" t="n"/>
      <c r="U720" s="52" t="n"/>
      <c r="V720" s="50" t="n"/>
      <c r="W720" s="50" t="n"/>
      <c r="X720" s="49">
        <f>IF(OR($B720="",$M720=""),"",WORKDAY($B720,IFERROR(INDEX(CONFIG!$D$4:$D$63,MATCH($M720,CONFIG!$A$4:$A$63,0)),3)))</f>
        <v/>
      </c>
      <c r="Y720" s="47" t="n"/>
      <c r="Z720" s="24">
        <f>IF($B720="","",IF($Y720&lt;&gt;"",$Y720-$B720,TODAY()-$B720))</f>
        <v/>
      </c>
      <c r="AA720" s="28">
        <f>IF($B720="","",IF(IFERROR(INDEX(CONFIG!$L$4:$L$63,MATCH($V720,CONFIG!$K$4:$K$63,0)),"NO")="SÍ",IF(OR($Y720="",$X720=""),"Resuelta",IF($Y720&gt;$X720,"Resuelta tarde","Resuelta a tiempo")),IF($X720="","Sin clasificar",IF(TODAY()&gt;$X720,"Vencida",IF(TODAY()&gt;=$X720-1,"Por vencer","En plazo")))))</f>
        <v/>
      </c>
      <c r="AB720" s="50" t="n"/>
      <c r="AC720" s="50" t="n"/>
    </row>
    <row r="721" ht="16" customHeight="1">
      <c r="A721" s="28">
        <f>IF($B721="","","N-"&amp;TEXT(ROW()-3,"0000"))</f>
        <v/>
      </c>
      <c r="B721" s="47" t="n"/>
      <c r="C721" s="48" t="n"/>
      <c r="D721" s="48" t="n"/>
      <c r="E721" s="28">
        <f>IF($C721="","",IF($D721="",IF($C721="Interna","Sin guía (interna)","FALTA GUÍA"),IF(COUNTIFS(ENVIOS!$A$4:$A$3003,$D721)=0,"NO EXISTE",IF(COUNTIFS(ENVIOS!$A$4:$A$3003,$D721)&gt;1,"DUPLICADA","OK"))))</f>
        <v/>
      </c>
      <c r="F721" s="28">
        <f>IF($D721="","",IFERROR(INDEX(ENVIOS!$B$4:$B$3003,MATCH($D721,ENVIOS!$A$4:$A$3003,0)),"—"))</f>
        <v/>
      </c>
      <c r="G721" s="23">
        <f>IF($D721="","",IFERROR(INDEX(ENVIOS!$D$4:$D$3003,MATCH($D721,ENVIOS!$A$4:$A$3003,0)),"—"))</f>
        <v/>
      </c>
      <c r="H721" s="23">
        <f>IF($D721="","",IFERROR(INDEX(ENVIOS!$E$4:$E$3003,MATCH($D721,ENVIOS!$A$4:$A$3003,0)),"—"))</f>
        <v/>
      </c>
      <c r="I721" s="23">
        <f>IF($D721="","",IFERROR(INDEX(ENVIOS!$F$4:$F$3003,MATCH($D721,ENVIOS!$A$4:$A$3003,0)),"—"))</f>
        <v/>
      </c>
      <c r="J721" s="23">
        <f>IF($D721="","",IFERROR(INDEX(ENVIOS!$G$4:$G$3003,MATCH($D721,ENVIOS!$A$4:$A$3003,0)),"—"))</f>
        <v/>
      </c>
      <c r="K721" s="28">
        <f>IF($D721="","",IFERROR(INDEX(ENVIOS!$H$4:$H$3003,MATCH($D721,ENVIOS!$A$4:$A$3003,0)),"—"))</f>
        <v/>
      </c>
      <c r="L721" s="49">
        <f>IF($D721="","",IFERROR(INDEX(ENVIOS!$C$4:$C$3003,MATCH($D721,ENVIOS!$A$4:$A$3003,0)),""))</f>
        <v/>
      </c>
      <c r="M721" s="50" t="n"/>
      <c r="N721" s="28">
        <f>IF($M721="","",IFERROR(INDEX(CONFIG!$C$4:$C$63,MATCH($M721,CONFIG!$A$4:$A$63,0)),"Media"))</f>
        <v/>
      </c>
      <c r="O721" s="28">
        <f>IF($M721="","",IF($C721="Interna","NO",IFERROR(INDEX(CONFIG!$E$4:$E$63,MATCH($M721,CONFIG!$A$4:$A$63,0)),"NO")))</f>
        <v/>
      </c>
      <c r="P721" s="50" t="n"/>
      <c r="Q721" s="50" t="n"/>
      <c r="R721" s="28">
        <f>IF($Q721="","",IFERROR(INDEX(CONFIG!$H$4:$H$63,MATCH($Q721,CONFIG!$G$4:$G$63,0)),"Por definir"))</f>
        <v/>
      </c>
      <c r="S721" s="28">
        <f>IF($Q721="","",IFERROR(INDEX(CONFIG!$I$4:$I$63,MATCH($Q721,CONFIG!$G$4:$G$63,0)),"Por definir"))</f>
        <v/>
      </c>
      <c r="T721" s="51" t="n"/>
      <c r="U721" s="52" t="n"/>
      <c r="V721" s="50" t="n"/>
      <c r="W721" s="50" t="n"/>
      <c r="X721" s="49">
        <f>IF(OR($B721="",$M721=""),"",WORKDAY($B721,IFERROR(INDEX(CONFIG!$D$4:$D$63,MATCH($M721,CONFIG!$A$4:$A$63,0)),3)))</f>
        <v/>
      </c>
      <c r="Y721" s="47" t="n"/>
      <c r="Z721" s="24">
        <f>IF($B721="","",IF($Y721&lt;&gt;"",$Y721-$B721,TODAY()-$B721))</f>
        <v/>
      </c>
      <c r="AA721" s="28">
        <f>IF($B721="","",IF(IFERROR(INDEX(CONFIG!$L$4:$L$63,MATCH($V721,CONFIG!$K$4:$K$63,0)),"NO")="SÍ",IF(OR($Y721="",$X721=""),"Resuelta",IF($Y721&gt;$X721,"Resuelta tarde","Resuelta a tiempo")),IF($X721="","Sin clasificar",IF(TODAY()&gt;$X721,"Vencida",IF(TODAY()&gt;=$X721-1,"Por vencer","En plazo")))))</f>
        <v/>
      </c>
      <c r="AB721" s="50" t="n"/>
      <c r="AC721" s="50" t="n"/>
    </row>
    <row r="722" ht="16" customHeight="1">
      <c r="A722" s="28">
        <f>IF($B722="","","N-"&amp;TEXT(ROW()-3,"0000"))</f>
        <v/>
      </c>
      <c r="B722" s="47" t="n"/>
      <c r="C722" s="48" t="n"/>
      <c r="D722" s="48" t="n"/>
      <c r="E722" s="28">
        <f>IF($C722="","",IF($D722="",IF($C722="Interna","Sin guía (interna)","FALTA GUÍA"),IF(COUNTIFS(ENVIOS!$A$4:$A$3003,$D722)=0,"NO EXISTE",IF(COUNTIFS(ENVIOS!$A$4:$A$3003,$D722)&gt;1,"DUPLICADA","OK"))))</f>
        <v/>
      </c>
      <c r="F722" s="28">
        <f>IF($D722="","",IFERROR(INDEX(ENVIOS!$B$4:$B$3003,MATCH($D722,ENVIOS!$A$4:$A$3003,0)),"—"))</f>
        <v/>
      </c>
      <c r="G722" s="23">
        <f>IF($D722="","",IFERROR(INDEX(ENVIOS!$D$4:$D$3003,MATCH($D722,ENVIOS!$A$4:$A$3003,0)),"—"))</f>
        <v/>
      </c>
      <c r="H722" s="23">
        <f>IF($D722="","",IFERROR(INDEX(ENVIOS!$E$4:$E$3003,MATCH($D722,ENVIOS!$A$4:$A$3003,0)),"—"))</f>
        <v/>
      </c>
      <c r="I722" s="23">
        <f>IF($D722="","",IFERROR(INDEX(ENVIOS!$F$4:$F$3003,MATCH($D722,ENVIOS!$A$4:$A$3003,0)),"—"))</f>
        <v/>
      </c>
      <c r="J722" s="23">
        <f>IF($D722="","",IFERROR(INDEX(ENVIOS!$G$4:$G$3003,MATCH($D722,ENVIOS!$A$4:$A$3003,0)),"—"))</f>
        <v/>
      </c>
      <c r="K722" s="28">
        <f>IF($D722="","",IFERROR(INDEX(ENVIOS!$H$4:$H$3003,MATCH($D722,ENVIOS!$A$4:$A$3003,0)),"—"))</f>
        <v/>
      </c>
      <c r="L722" s="49">
        <f>IF($D722="","",IFERROR(INDEX(ENVIOS!$C$4:$C$3003,MATCH($D722,ENVIOS!$A$4:$A$3003,0)),""))</f>
        <v/>
      </c>
      <c r="M722" s="50" t="n"/>
      <c r="N722" s="28">
        <f>IF($M722="","",IFERROR(INDEX(CONFIG!$C$4:$C$63,MATCH($M722,CONFIG!$A$4:$A$63,0)),"Media"))</f>
        <v/>
      </c>
      <c r="O722" s="28">
        <f>IF($M722="","",IF($C722="Interna","NO",IFERROR(INDEX(CONFIG!$E$4:$E$63,MATCH($M722,CONFIG!$A$4:$A$63,0)),"NO")))</f>
        <v/>
      </c>
      <c r="P722" s="50" t="n"/>
      <c r="Q722" s="50" t="n"/>
      <c r="R722" s="28">
        <f>IF($Q722="","",IFERROR(INDEX(CONFIG!$H$4:$H$63,MATCH($Q722,CONFIG!$G$4:$G$63,0)),"Por definir"))</f>
        <v/>
      </c>
      <c r="S722" s="28">
        <f>IF($Q722="","",IFERROR(INDEX(CONFIG!$I$4:$I$63,MATCH($Q722,CONFIG!$G$4:$G$63,0)),"Por definir"))</f>
        <v/>
      </c>
      <c r="T722" s="51" t="n"/>
      <c r="U722" s="52" t="n"/>
      <c r="V722" s="50" t="n"/>
      <c r="W722" s="50" t="n"/>
      <c r="X722" s="49">
        <f>IF(OR($B722="",$M722=""),"",WORKDAY($B722,IFERROR(INDEX(CONFIG!$D$4:$D$63,MATCH($M722,CONFIG!$A$4:$A$63,0)),3)))</f>
        <v/>
      </c>
      <c r="Y722" s="47" t="n"/>
      <c r="Z722" s="24">
        <f>IF($B722="","",IF($Y722&lt;&gt;"",$Y722-$B722,TODAY()-$B722))</f>
        <v/>
      </c>
      <c r="AA722" s="28">
        <f>IF($B722="","",IF(IFERROR(INDEX(CONFIG!$L$4:$L$63,MATCH($V722,CONFIG!$K$4:$K$63,0)),"NO")="SÍ",IF(OR($Y722="",$X722=""),"Resuelta",IF($Y722&gt;$X722,"Resuelta tarde","Resuelta a tiempo")),IF($X722="","Sin clasificar",IF(TODAY()&gt;$X722,"Vencida",IF(TODAY()&gt;=$X722-1,"Por vencer","En plazo")))))</f>
        <v/>
      </c>
      <c r="AB722" s="50" t="n"/>
      <c r="AC722" s="50" t="n"/>
    </row>
    <row r="723" ht="16" customHeight="1">
      <c r="A723" s="28">
        <f>IF($B723="","","N-"&amp;TEXT(ROW()-3,"0000"))</f>
        <v/>
      </c>
      <c r="B723" s="47" t="n"/>
      <c r="C723" s="48" t="n"/>
      <c r="D723" s="48" t="n"/>
      <c r="E723" s="28">
        <f>IF($C723="","",IF($D723="",IF($C723="Interna","Sin guía (interna)","FALTA GUÍA"),IF(COUNTIFS(ENVIOS!$A$4:$A$3003,$D723)=0,"NO EXISTE",IF(COUNTIFS(ENVIOS!$A$4:$A$3003,$D723)&gt;1,"DUPLICADA","OK"))))</f>
        <v/>
      </c>
      <c r="F723" s="28">
        <f>IF($D723="","",IFERROR(INDEX(ENVIOS!$B$4:$B$3003,MATCH($D723,ENVIOS!$A$4:$A$3003,0)),"—"))</f>
        <v/>
      </c>
      <c r="G723" s="23">
        <f>IF($D723="","",IFERROR(INDEX(ENVIOS!$D$4:$D$3003,MATCH($D723,ENVIOS!$A$4:$A$3003,0)),"—"))</f>
        <v/>
      </c>
      <c r="H723" s="23">
        <f>IF($D723="","",IFERROR(INDEX(ENVIOS!$E$4:$E$3003,MATCH($D723,ENVIOS!$A$4:$A$3003,0)),"—"))</f>
        <v/>
      </c>
      <c r="I723" s="23">
        <f>IF($D723="","",IFERROR(INDEX(ENVIOS!$F$4:$F$3003,MATCH($D723,ENVIOS!$A$4:$A$3003,0)),"—"))</f>
        <v/>
      </c>
      <c r="J723" s="23">
        <f>IF($D723="","",IFERROR(INDEX(ENVIOS!$G$4:$G$3003,MATCH($D723,ENVIOS!$A$4:$A$3003,0)),"—"))</f>
        <v/>
      </c>
      <c r="K723" s="28">
        <f>IF($D723="","",IFERROR(INDEX(ENVIOS!$H$4:$H$3003,MATCH($D723,ENVIOS!$A$4:$A$3003,0)),"—"))</f>
        <v/>
      </c>
      <c r="L723" s="49">
        <f>IF($D723="","",IFERROR(INDEX(ENVIOS!$C$4:$C$3003,MATCH($D723,ENVIOS!$A$4:$A$3003,0)),""))</f>
        <v/>
      </c>
      <c r="M723" s="50" t="n"/>
      <c r="N723" s="28">
        <f>IF($M723="","",IFERROR(INDEX(CONFIG!$C$4:$C$63,MATCH($M723,CONFIG!$A$4:$A$63,0)),"Media"))</f>
        <v/>
      </c>
      <c r="O723" s="28">
        <f>IF($M723="","",IF($C723="Interna","NO",IFERROR(INDEX(CONFIG!$E$4:$E$63,MATCH($M723,CONFIG!$A$4:$A$63,0)),"NO")))</f>
        <v/>
      </c>
      <c r="P723" s="50" t="n"/>
      <c r="Q723" s="50" t="n"/>
      <c r="R723" s="28">
        <f>IF($Q723="","",IFERROR(INDEX(CONFIG!$H$4:$H$63,MATCH($Q723,CONFIG!$G$4:$G$63,0)),"Por definir"))</f>
        <v/>
      </c>
      <c r="S723" s="28">
        <f>IF($Q723="","",IFERROR(INDEX(CONFIG!$I$4:$I$63,MATCH($Q723,CONFIG!$G$4:$G$63,0)),"Por definir"))</f>
        <v/>
      </c>
      <c r="T723" s="51" t="n"/>
      <c r="U723" s="52" t="n"/>
      <c r="V723" s="50" t="n"/>
      <c r="W723" s="50" t="n"/>
      <c r="X723" s="49">
        <f>IF(OR($B723="",$M723=""),"",WORKDAY($B723,IFERROR(INDEX(CONFIG!$D$4:$D$63,MATCH($M723,CONFIG!$A$4:$A$63,0)),3)))</f>
        <v/>
      </c>
      <c r="Y723" s="47" t="n"/>
      <c r="Z723" s="24">
        <f>IF($B723="","",IF($Y723&lt;&gt;"",$Y723-$B723,TODAY()-$B723))</f>
        <v/>
      </c>
      <c r="AA723" s="28">
        <f>IF($B723="","",IF(IFERROR(INDEX(CONFIG!$L$4:$L$63,MATCH($V723,CONFIG!$K$4:$K$63,0)),"NO")="SÍ",IF(OR($Y723="",$X723=""),"Resuelta",IF($Y723&gt;$X723,"Resuelta tarde","Resuelta a tiempo")),IF($X723="","Sin clasificar",IF(TODAY()&gt;$X723,"Vencida",IF(TODAY()&gt;=$X723-1,"Por vencer","En plazo")))))</f>
        <v/>
      </c>
      <c r="AB723" s="50" t="n"/>
      <c r="AC723" s="50" t="n"/>
    </row>
    <row r="724" ht="16" customHeight="1">
      <c r="A724" s="28">
        <f>IF($B724="","","N-"&amp;TEXT(ROW()-3,"0000"))</f>
        <v/>
      </c>
      <c r="B724" s="47" t="n"/>
      <c r="C724" s="48" t="n"/>
      <c r="D724" s="48" t="n"/>
      <c r="E724" s="28">
        <f>IF($C724="","",IF($D724="",IF($C724="Interna","Sin guía (interna)","FALTA GUÍA"),IF(COUNTIFS(ENVIOS!$A$4:$A$3003,$D724)=0,"NO EXISTE",IF(COUNTIFS(ENVIOS!$A$4:$A$3003,$D724)&gt;1,"DUPLICADA","OK"))))</f>
        <v/>
      </c>
      <c r="F724" s="28">
        <f>IF($D724="","",IFERROR(INDEX(ENVIOS!$B$4:$B$3003,MATCH($D724,ENVIOS!$A$4:$A$3003,0)),"—"))</f>
        <v/>
      </c>
      <c r="G724" s="23">
        <f>IF($D724="","",IFERROR(INDEX(ENVIOS!$D$4:$D$3003,MATCH($D724,ENVIOS!$A$4:$A$3003,0)),"—"))</f>
        <v/>
      </c>
      <c r="H724" s="23">
        <f>IF($D724="","",IFERROR(INDEX(ENVIOS!$E$4:$E$3003,MATCH($D724,ENVIOS!$A$4:$A$3003,0)),"—"))</f>
        <v/>
      </c>
      <c r="I724" s="23">
        <f>IF($D724="","",IFERROR(INDEX(ENVIOS!$F$4:$F$3003,MATCH($D724,ENVIOS!$A$4:$A$3003,0)),"—"))</f>
        <v/>
      </c>
      <c r="J724" s="23">
        <f>IF($D724="","",IFERROR(INDEX(ENVIOS!$G$4:$G$3003,MATCH($D724,ENVIOS!$A$4:$A$3003,0)),"—"))</f>
        <v/>
      </c>
      <c r="K724" s="28">
        <f>IF($D724="","",IFERROR(INDEX(ENVIOS!$H$4:$H$3003,MATCH($D724,ENVIOS!$A$4:$A$3003,0)),"—"))</f>
        <v/>
      </c>
      <c r="L724" s="49">
        <f>IF($D724="","",IFERROR(INDEX(ENVIOS!$C$4:$C$3003,MATCH($D724,ENVIOS!$A$4:$A$3003,0)),""))</f>
        <v/>
      </c>
      <c r="M724" s="50" t="n"/>
      <c r="N724" s="28">
        <f>IF($M724="","",IFERROR(INDEX(CONFIG!$C$4:$C$63,MATCH($M724,CONFIG!$A$4:$A$63,0)),"Media"))</f>
        <v/>
      </c>
      <c r="O724" s="28">
        <f>IF($M724="","",IF($C724="Interna","NO",IFERROR(INDEX(CONFIG!$E$4:$E$63,MATCH($M724,CONFIG!$A$4:$A$63,0)),"NO")))</f>
        <v/>
      </c>
      <c r="P724" s="50" t="n"/>
      <c r="Q724" s="50" t="n"/>
      <c r="R724" s="28">
        <f>IF($Q724="","",IFERROR(INDEX(CONFIG!$H$4:$H$63,MATCH($Q724,CONFIG!$G$4:$G$63,0)),"Por definir"))</f>
        <v/>
      </c>
      <c r="S724" s="28">
        <f>IF($Q724="","",IFERROR(INDEX(CONFIG!$I$4:$I$63,MATCH($Q724,CONFIG!$G$4:$G$63,0)),"Por definir"))</f>
        <v/>
      </c>
      <c r="T724" s="51" t="n"/>
      <c r="U724" s="52" t="n"/>
      <c r="V724" s="50" t="n"/>
      <c r="W724" s="50" t="n"/>
      <c r="X724" s="49">
        <f>IF(OR($B724="",$M724=""),"",WORKDAY($B724,IFERROR(INDEX(CONFIG!$D$4:$D$63,MATCH($M724,CONFIG!$A$4:$A$63,0)),3)))</f>
        <v/>
      </c>
      <c r="Y724" s="47" t="n"/>
      <c r="Z724" s="24">
        <f>IF($B724="","",IF($Y724&lt;&gt;"",$Y724-$B724,TODAY()-$B724))</f>
        <v/>
      </c>
      <c r="AA724" s="28">
        <f>IF($B724="","",IF(IFERROR(INDEX(CONFIG!$L$4:$L$63,MATCH($V724,CONFIG!$K$4:$K$63,0)),"NO")="SÍ",IF(OR($Y724="",$X724=""),"Resuelta",IF($Y724&gt;$X724,"Resuelta tarde","Resuelta a tiempo")),IF($X724="","Sin clasificar",IF(TODAY()&gt;$X724,"Vencida",IF(TODAY()&gt;=$X724-1,"Por vencer","En plazo")))))</f>
        <v/>
      </c>
      <c r="AB724" s="50" t="n"/>
      <c r="AC724" s="50" t="n"/>
    </row>
    <row r="725" ht="16" customHeight="1">
      <c r="A725" s="28">
        <f>IF($B725="","","N-"&amp;TEXT(ROW()-3,"0000"))</f>
        <v/>
      </c>
      <c r="B725" s="47" t="n"/>
      <c r="C725" s="48" t="n"/>
      <c r="D725" s="48" t="n"/>
      <c r="E725" s="28">
        <f>IF($C725="","",IF($D725="",IF($C725="Interna","Sin guía (interna)","FALTA GUÍA"),IF(COUNTIFS(ENVIOS!$A$4:$A$3003,$D725)=0,"NO EXISTE",IF(COUNTIFS(ENVIOS!$A$4:$A$3003,$D725)&gt;1,"DUPLICADA","OK"))))</f>
        <v/>
      </c>
      <c r="F725" s="28">
        <f>IF($D725="","",IFERROR(INDEX(ENVIOS!$B$4:$B$3003,MATCH($D725,ENVIOS!$A$4:$A$3003,0)),"—"))</f>
        <v/>
      </c>
      <c r="G725" s="23">
        <f>IF($D725="","",IFERROR(INDEX(ENVIOS!$D$4:$D$3003,MATCH($D725,ENVIOS!$A$4:$A$3003,0)),"—"))</f>
        <v/>
      </c>
      <c r="H725" s="23">
        <f>IF($D725="","",IFERROR(INDEX(ENVIOS!$E$4:$E$3003,MATCH($D725,ENVIOS!$A$4:$A$3003,0)),"—"))</f>
        <v/>
      </c>
      <c r="I725" s="23">
        <f>IF($D725="","",IFERROR(INDEX(ENVIOS!$F$4:$F$3003,MATCH($D725,ENVIOS!$A$4:$A$3003,0)),"—"))</f>
        <v/>
      </c>
      <c r="J725" s="23">
        <f>IF($D725="","",IFERROR(INDEX(ENVIOS!$G$4:$G$3003,MATCH($D725,ENVIOS!$A$4:$A$3003,0)),"—"))</f>
        <v/>
      </c>
      <c r="K725" s="28">
        <f>IF($D725="","",IFERROR(INDEX(ENVIOS!$H$4:$H$3003,MATCH($D725,ENVIOS!$A$4:$A$3003,0)),"—"))</f>
        <v/>
      </c>
      <c r="L725" s="49">
        <f>IF($D725="","",IFERROR(INDEX(ENVIOS!$C$4:$C$3003,MATCH($D725,ENVIOS!$A$4:$A$3003,0)),""))</f>
        <v/>
      </c>
      <c r="M725" s="50" t="n"/>
      <c r="N725" s="28">
        <f>IF($M725="","",IFERROR(INDEX(CONFIG!$C$4:$C$63,MATCH($M725,CONFIG!$A$4:$A$63,0)),"Media"))</f>
        <v/>
      </c>
      <c r="O725" s="28">
        <f>IF($M725="","",IF($C725="Interna","NO",IFERROR(INDEX(CONFIG!$E$4:$E$63,MATCH($M725,CONFIG!$A$4:$A$63,0)),"NO")))</f>
        <v/>
      </c>
      <c r="P725" s="50" t="n"/>
      <c r="Q725" s="50" t="n"/>
      <c r="R725" s="28">
        <f>IF($Q725="","",IFERROR(INDEX(CONFIG!$H$4:$H$63,MATCH($Q725,CONFIG!$G$4:$G$63,0)),"Por definir"))</f>
        <v/>
      </c>
      <c r="S725" s="28">
        <f>IF($Q725="","",IFERROR(INDEX(CONFIG!$I$4:$I$63,MATCH($Q725,CONFIG!$G$4:$G$63,0)),"Por definir"))</f>
        <v/>
      </c>
      <c r="T725" s="51" t="n"/>
      <c r="U725" s="52" t="n"/>
      <c r="V725" s="50" t="n"/>
      <c r="W725" s="50" t="n"/>
      <c r="X725" s="49">
        <f>IF(OR($B725="",$M725=""),"",WORKDAY($B725,IFERROR(INDEX(CONFIG!$D$4:$D$63,MATCH($M725,CONFIG!$A$4:$A$63,0)),3)))</f>
        <v/>
      </c>
      <c r="Y725" s="47" t="n"/>
      <c r="Z725" s="24">
        <f>IF($B725="","",IF($Y725&lt;&gt;"",$Y725-$B725,TODAY()-$B725))</f>
        <v/>
      </c>
      <c r="AA725" s="28">
        <f>IF($B725="","",IF(IFERROR(INDEX(CONFIG!$L$4:$L$63,MATCH($V725,CONFIG!$K$4:$K$63,0)),"NO")="SÍ",IF(OR($Y725="",$X725=""),"Resuelta",IF($Y725&gt;$X725,"Resuelta tarde","Resuelta a tiempo")),IF($X725="","Sin clasificar",IF(TODAY()&gt;$X725,"Vencida",IF(TODAY()&gt;=$X725-1,"Por vencer","En plazo")))))</f>
        <v/>
      </c>
      <c r="AB725" s="50" t="n"/>
      <c r="AC725" s="50" t="n"/>
    </row>
    <row r="726" ht="16" customHeight="1">
      <c r="A726" s="28">
        <f>IF($B726="","","N-"&amp;TEXT(ROW()-3,"0000"))</f>
        <v/>
      </c>
      <c r="B726" s="47" t="n"/>
      <c r="C726" s="48" t="n"/>
      <c r="D726" s="48" t="n"/>
      <c r="E726" s="28">
        <f>IF($C726="","",IF($D726="",IF($C726="Interna","Sin guía (interna)","FALTA GUÍA"),IF(COUNTIFS(ENVIOS!$A$4:$A$3003,$D726)=0,"NO EXISTE",IF(COUNTIFS(ENVIOS!$A$4:$A$3003,$D726)&gt;1,"DUPLICADA","OK"))))</f>
        <v/>
      </c>
      <c r="F726" s="28">
        <f>IF($D726="","",IFERROR(INDEX(ENVIOS!$B$4:$B$3003,MATCH($D726,ENVIOS!$A$4:$A$3003,0)),"—"))</f>
        <v/>
      </c>
      <c r="G726" s="23">
        <f>IF($D726="","",IFERROR(INDEX(ENVIOS!$D$4:$D$3003,MATCH($D726,ENVIOS!$A$4:$A$3003,0)),"—"))</f>
        <v/>
      </c>
      <c r="H726" s="23">
        <f>IF($D726="","",IFERROR(INDEX(ENVIOS!$E$4:$E$3003,MATCH($D726,ENVIOS!$A$4:$A$3003,0)),"—"))</f>
        <v/>
      </c>
      <c r="I726" s="23">
        <f>IF($D726="","",IFERROR(INDEX(ENVIOS!$F$4:$F$3003,MATCH($D726,ENVIOS!$A$4:$A$3003,0)),"—"))</f>
        <v/>
      </c>
      <c r="J726" s="23">
        <f>IF($D726="","",IFERROR(INDEX(ENVIOS!$G$4:$G$3003,MATCH($D726,ENVIOS!$A$4:$A$3003,0)),"—"))</f>
        <v/>
      </c>
      <c r="K726" s="28">
        <f>IF($D726="","",IFERROR(INDEX(ENVIOS!$H$4:$H$3003,MATCH($D726,ENVIOS!$A$4:$A$3003,0)),"—"))</f>
        <v/>
      </c>
      <c r="L726" s="49">
        <f>IF($D726="","",IFERROR(INDEX(ENVIOS!$C$4:$C$3003,MATCH($D726,ENVIOS!$A$4:$A$3003,0)),""))</f>
        <v/>
      </c>
      <c r="M726" s="50" t="n"/>
      <c r="N726" s="28">
        <f>IF($M726="","",IFERROR(INDEX(CONFIG!$C$4:$C$63,MATCH($M726,CONFIG!$A$4:$A$63,0)),"Media"))</f>
        <v/>
      </c>
      <c r="O726" s="28">
        <f>IF($M726="","",IF($C726="Interna","NO",IFERROR(INDEX(CONFIG!$E$4:$E$63,MATCH($M726,CONFIG!$A$4:$A$63,0)),"NO")))</f>
        <v/>
      </c>
      <c r="P726" s="50" t="n"/>
      <c r="Q726" s="50" t="n"/>
      <c r="R726" s="28">
        <f>IF($Q726="","",IFERROR(INDEX(CONFIG!$H$4:$H$63,MATCH($Q726,CONFIG!$G$4:$G$63,0)),"Por definir"))</f>
        <v/>
      </c>
      <c r="S726" s="28">
        <f>IF($Q726="","",IFERROR(INDEX(CONFIG!$I$4:$I$63,MATCH($Q726,CONFIG!$G$4:$G$63,0)),"Por definir"))</f>
        <v/>
      </c>
      <c r="T726" s="51" t="n"/>
      <c r="U726" s="52" t="n"/>
      <c r="V726" s="50" t="n"/>
      <c r="W726" s="50" t="n"/>
      <c r="X726" s="49">
        <f>IF(OR($B726="",$M726=""),"",WORKDAY($B726,IFERROR(INDEX(CONFIG!$D$4:$D$63,MATCH($M726,CONFIG!$A$4:$A$63,0)),3)))</f>
        <v/>
      </c>
      <c r="Y726" s="47" t="n"/>
      <c r="Z726" s="24">
        <f>IF($B726="","",IF($Y726&lt;&gt;"",$Y726-$B726,TODAY()-$B726))</f>
        <v/>
      </c>
      <c r="AA726" s="28">
        <f>IF($B726="","",IF(IFERROR(INDEX(CONFIG!$L$4:$L$63,MATCH($V726,CONFIG!$K$4:$K$63,0)),"NO")="SÍ",IF(OR($Y726="",$X726=""),"Resuelta",IF($Y726&gt;$X726,"Resuelta tarde","Resuelta a tiempo")),IF($X726="","Sin clasificar",IF(TODAY()&gt;$X726,"Vencida",IF(TODAY()&gt;=$X726-1,"Por vencer","En plazo")))))</f>
        <v/>
      </c>
      <c r="AB726" s="50" t="n"/>
      <c r="AC726" s="50" t="n"/>
    </row>
    <row r="727" ht="16" customHeight="1">
      <c r="A727" s="28">
        <f>IF($B727="","","N-"&amp;TEXT(ROW()-3,"0000"))</f>
        <v/>
      </c>
      <c r="B727" s="47" t="n"/>
      <c r="C727" s="48" t="n"/>
      <c r="D727" s="48" t="n"/>
      <c r="E727" s="28">
        <f>IF($C727="","",IF($D727="",IF($C727="Interna","Sin guía (interna)","FALTA GUÍA"),IF(COUNTIFS(ENVIOS!$A$4:$A$3003,$D727)=0,"NO EXISTE",IF(COUNTIFS(ENVIOS!$A$4:$A$3003,$D727)&gt;1,"DUPLICADA","OK"))))</f>
        <v/>
      </c>
      <c r="F727" s="28">
        <f>IF($D727="","",IFERROR(INDEX(ENVIOS!$B$4:$B$3003,MATCH($D727,ENVIOS!$A$4:$A$3003,0)),"—"))</f>
        <v/>
      </c>
      <c r="G727" s="23">
        <f>IF($D727="","",IFERROR(INDEX(ENVIOS!$D$4:$D$3003,MATCH($D727,ENVIOS!$A$4:$A$3003,0)),"—"))</f>
        <v/>
      </c>
      <c r="H727" s="23">
        <f>IF($D727="","",IFERROR(INDEX(ENVIOS!$E$4:$E$3003,MATCH($D727,ENVIOS!$A$4:$A$3003,0)),"—"))</f>
        <v/>
      </c>
      <c r="I727" s="23">
        <f>IF($D727="","",IFERROR(INDEX(ENVIOS!$F$4:$F$3003,MATCH($D727,ENVIOS!$A$4:$A$3003,0)),"—"))</f>
        <v/>
      </c>
      <c r="J727" s="23">
        <f>IF($D727="","",IFERROR(INDEX(ENVIOS!$G$4:$G$3003,MATCH($D727,ENVIOS!$A$4:$A$3003,0)),"—"))</f>
        <v/>
      </c>
      <c r="K727" s="28">
        <f>IF($D727="","",IFERROR(INDEX(ENVIOS!$H$4:$H$3003,MATCH($D727,ENVIOS!$A$4:$A$3003,0)),"—"))</f>
        <v/>
      </c>
      <c r="L727" s="49">
        <f>IF($D727="","",IFERROR(INDEX(ENVIOS!$C$4:$C$3003,MATCH($D727,ENVIOS!$A$4:$A$3003,0)),""))</f>
        <v/>
      </c>
      <c r="M727" s="50" t="n"/>
      <c r="N727" s="28">
        <f>IF($M727="","",IFERROR(INDEX(CONFIG!$C$4:$C$63,MATCH($M727,CONFIG!$A$4:$A$63,0)),"Media"))</f>
        <v/>
      </c>
      <c r="O727" s="28">
        <f>IF($M727="","",IF($C727="Interna","NO",IFERROR(INDEX(CONFIG!$E$4:$E$63,MATCH($M727,CONFIG!$A$4:$A$63,0)),"NO")))</f>
        <v/>
      </c>
      <c r="P727" s="50" t="n"/>
      <c r="Q727" s="50" t="n"/>
      <c r="R727" s="28">
        <f>IF($Q727="","",IFERROR(INDEX(CONFIG!$H$4:$H$63,MATCH($Q727,CONFIG!$G$4:$G$63,0)),"Por definir"))</f>
        <v/>
      </c>
      <c r="S727" s="28">
        <f>IF($Q727="","",IFERROR(INDEX(CONFIG!$I$4:$I$63,MATCH($Q727,CONFIG!$G$4:$G$63,0)),"Por definir"))</f>
        <v/>
      </c>
      <c r="T727" s="51" t="n"/>
      <c r="U727" s="52" t="n"/>
      <c r="V727" s="50" t="n"/>
      <c r="W727" s="50" t="n"/>
      <c r="X727" s="49">
        <f>IF(OR($B727="",$M727=""),"",WORKDAY($B727,IFERROR(INDEX(CONFIG!$D$4:$D$63,MATCH($M727,CONFIG!$A$4:$A$63,0)),3)))</f>
        <v/>
      </c>
      <c r="Y727" s="47" t="n"/>
      <c r="Z727" s="24">
        <f>IF($B727="","",IF($Y727&lt;&gt;"",$Y727-$B727,TODAY()-$B727))</f>
        <v/>
      </c>
      <c r="AA727" s="28">
        <f>IF($B727="","",IF(IFERROR(INDEX(CONFIG!$L$4:$L$63,MATCH($V727,CONFIG!$K$4:$K$63,0)),"NO")="SÍ",IF(OR($Y727="",$X727=""),"Resuelta",IF($Y727&gt;$X727,"Resuelta tarde","Resuelta a tiempo")),IF($X727="","Sin clasificar",IF(TODAY()&gt;$X727,"Vencida",IF(TODAY()&gt;=$X727-1,"Por vencer","En plazo")))))</f>
        <v/>
      </c>
      <c r="AB727" s="50" t="n"/>
      <c r="AC727" s="50" t="n"/>
    </row>
    <row r="728" ht="16" customHeight="1">
      <c r="A728" s="28">
        <f>IF($B728="","","N-"&amp;TEXT(ROW()-3,"0000"))</f>
        <v/>
      </c>
      <c r="B728" s="47" t="n"/>
      <c r="C728" s="48" t="n"/>
      <c r="D728" s="48" t="n"/>
      <c r="E728" s="28">
        <f>IF($C728="","",IF($D728="",IF($C728="Interna","Sin guía (interna)","FALTA GUÍA"),IF(COUNTIFS(ENVIOS!$A$4:$A$3003,$D728)=0,"NO EXISTE",IF(COUNTIFS(ENVIOS!$A$4:$A$3003,$D728)&gt;1,"DUPLICADA","OK"))))</f>
        <v/>
      </c>
      <c r="F728" s="28">
        <f>IF($D728="","",IFERROR(INDEX(ENVIOS!$B$4:$B$3003,MATCH($D728,ENVIOS!$A$4:$A$3003,0)),"—"))</f>
        <v/>
      </c>
      <c r="G728" s="23">
        <f>IF($D728="","",IFERROR(INDEX(ENVIOS!$D$4:$D$3003,MATCH($D728,ENVIOS!$A$4:$A$3003,0)),"—"))</f>
        <v/>
      </c>
      <c r="H728" s="23">
        <f>IF($D728="","",IFERROR(INDEX(ENVIOS!$E$4:$E$3003,MATCH($D728,ENVIOS!$A$4:$A$3003,0)),"—"))</f>
        <v/>
      </c>
      <c r="I728" s="23">
        <f>IF($D728="","",IFERROR(INDEX(ENVIOS!$F$4:$F$3003,MATCH($D728,ENVIOS!$A$4:$A$3003,0)),"—"))</f>
        <v/>
      </c>
      <c r="J728" s="23">
        <f>IF($D728="","",IFERROR(INDEX(ENVIOS!$G$4:$G$3003,MATCH($D728,ENVIOS!$A$4:$A$3003,0)),"—"))</f>
        <v/>
      </c>
      <c r="K728" s="28">
        <f>IF($D728="","",IFERROR(INDEX(ENVIOS!$H$4:$H$3003,MATCH($D728,ENVIOS!$A$4:$A$3003,0)),"—"))</f>
        <v/>
      </c>
      <c r="L728" s="49">
        <f>IF($D728="","",IFERROR(INDEX(ENVIOS!$C$4:$C$3003,MATCH($D728,ENVIOS!$A$4:$A$3003,0)),""))</f>
        <v/>
      </c>
      <c r="M728" s="50" t="n"/>
      <c r="N728" s="28">
        <f>IF($M728="","",IFERROR(INDEX(CONFIG!$C$4:$C$63,MATCH($M728,CONFIG!$A$4:$A$63,0)),"Media"))</f>
        <v/>
      </c>
      <c r="O728" s="28">
        <f>IF($M728="","",IF($C728="Interna","NO",IFERROR(INDEX(CONFIG!$E$4:$E$63,MATCH($M728,CONFIG!$A$4:$A$63,0)),"NO")))</f>
        <v/>
      </c>
      <c r="P728" s="50" t="n"/>
      <c r="Q728" s="50" t="n"/>
      <c r="R728" s="28">
        <f>IF($Q728="","",IFERROR(INDEX(CONFIG!$H$4:$H$63,MATCH($Q728,CONFIG!$G$4:$G$63,0)),"Por definir"))</f>
        <v/>
      </c>
      <c r="S728" s="28">
        <f>IF($Q728="","",IFERROR(INDEX(CONFIG!$I$4:$I$63,MATCH($Q728,CONFIG!$G$4:$G$63,0)),"Por definir"))</f>
        <v/>
      </c>
      <c r="T728" s="51" t="n"/>
      <c r="U728" s="52" t="n"/>
      <c r="V728" s="50" t="n"/>
      <c r="W728" s="50" t="n"/>
      <c r="X728" s="49">
        <f>IF(OR($B728="",$M728=""),"",WORKDAY($B728,IFERROR(INDEX(CONFIG!$D$4:$D$63,MATCH($M728,CONFIG!$A$4:$A$63,0)),3)))</f>
        <v/>
      </c>
      <c r="Y728" s="47" t="n"/>
      <c r="Z728" s="24">
        <f>IF($B728="","",IF($Y728&lt;&gt;"",$Y728-$B728,TODAY()-$B728))</f>
        <v/>
      </c>
      <c r="AA728" s="28">
        <f>IF($B728="","",IF(IFERROR(INDEX(CONFIG!$L$4:$L$63,MATCH($V728,CONFIG!$K$4:$K$63,0)),"NO")="SÍ",IF(OR($Y728="",$X728=""),"Resuelta",IF($Y728&gt;$X728,"Resuelta tarde","Resuelta a tiempo")),IF($X728="","Sin clasificar",IF(TODAY()&gt;$X728,"Vencida",IF(TODAY()&gt;=$X728-1,"Por vencer","En plazo")))))</f>
        <v/>
      </c>
      <c r="AB728" s="50" t="n"/>
      <c r="AC728" s="50" t="n"/>
    </row>
    <row r="729" ht="16" customHeight="1">
      <c r="A729" s="28">
        <f>IF($B729="","","N-"&amp;TEXT(ROW()-3,"0000"))</f>
        <v/>
      </c>
      <c r="B729" s="47" t="n"/>
      <c r="C729" s="48" t="n"/>
      <c r="D729" s="48" t="n"/>
      <c r="E729" s="28">
        <f>IF($C729="","",IF($D729="",IF($C729="Interna","Sin guía (interna)","FALTA GUÍA"),IF(COUNTIFS(ENVIOS!$A$4:$A$3003,$D729)=0,"NO EXISTE",IF(COUNTIFS(ENVIOS!$A$4:$A$3003,$D729)&gt;1,"DUPLICADA","OK"))))</f>
        <v/>
      </c>
      <c r="F729" s="28">
        <f>IF($D729="","",IFERROR(INDEX(ENVIOS!$B$4:$B$3003,MATCH($D729,ENVIOS!$A$4:$A$3003,0)),"—"))</f>
        <v/>
      </c>
      <c r="G729" s="23">
        <f>IF($D729="","",IFERROR(INDEX(ENVIOS!$D$4:$D$3003,MATCH($D729,ENVIOS!$A$4:$A$3003,0)),"—"))</f>
        <v/>
      </c>
      <c r="H729" s="23">
        <f>IF($D729="","",IFERROR(INDEX(ENVIOS!$E$4:$E$3003,MATCH($D729,ENVIOS!$A$4:$A$3003,0)),"—"))</f>
        <v/>
      </c>
      <c r="I729" s="23">
        <f>IF($D729="","",IFERROR(INDEX(ENVIOS!$F$4:$F$3003,MATCH($D729,ENVIOS!$A$4:$A$3003,0)),"—"))</f>
        <v/>
      </c>
      <c r="J729" s="23">
        <f>IF($D729="","",IFERROR(INDEX(ENVIOS!$G$4:$G$3003,MATCH($D729,ENVIOS!$A$4:$A$3003,0)),"—"))</f>
        <v/>
      </c>
      <c r="K729" s="28">
        <f>IF($D729="","",IFERROR(INDEX(ENVIOS!$H$4:$H$3003,MATCH($D729,ENVIOS!$A$4:$A$3003,0)),"—"))</f>
        <v/>
      </c>
      <c r="L729" s="49">
        <f>IF($D729="","",IFERROR(INDEX(ENVIOS!$C$4:$C$3003,MATCH($D729,ENVIOS!$A$4:$A$3003,0)),""))</f>
        <v/>
      </c>
      <c r="M729" s="50" t="n"/>
      <c r="N729" s="28">
        <f>IF($M729="","",IFERROR(INDEX(CONFIG!$C$4:$C$63,MATCH($M729,CONFIG!$A$4:$A$63,0)),"Media"))</f>
        <v/>
      </c>
      <c r="O729" s="28">
        <f>IF($M729="","",IF($C729="Interna","NO",IFERROR(INDEX(CONFIG!$E$4:$E$63,MATCH($M729,CONFIG!$A$4:$A$63,0)),"NO")))</f>
        <v/>
      </c>
      <c r="P729" s="50" t="n"/>
      <c r="Q729" s="50" t="n"/>
      <c r="R729" s="28">
        <f>IF($Q729="","",IFERROR(INDEX(CONFIG!$H$4:$H$63,MATCH($Q729,CONFIG!$G$4:$G$63,0)),"Por definir"))</f>
        <v/>
      </c>
      <c r="S729" s="28">
        <f>IF($Q729="","",IFERROR(INDEX(CONFIG!$I$4:$I$63,MATCH($Q729,CONFIG!$G$4:$G$63,0)),"Por definir"))</f>
        <v/>
      </c>
      <c r="T729" s="51" t="n"/>
      <c r="U729" s="52" t="n"/>
      <c r="V729" s="50" t="n"/>
      <c r="W729" s="50" t="n"/>
      <c r="X729" s="49">
        <f>IF(OR($B729="",$M729=""),"",WORKDAY($B729,IFERROR(INDEX(CONFIG!$D$4:$D$63,MATCH($M729,CONFIG!$A$4:$A$63,0)),3)))</f>
        <v/>
      </c>
      <c r="Y729" s="47" t="n"/>
      <c r="Z729" s="24">
        <f>IF($B729="","",IF($Y729&lt;&gt;"",$Y729-$B729,TODAY()-$B729))</f>
        <v/>
      </c>
      <c r="AA729" s="28">
        <f>IF($B729="","",IF(IFERROR(INDEX(CONFIG!$L$4:$L$63,MATCH($V729,CONFIG!$K$4:$K$63,0)),"NO")="SÍ",IF(OR($Y729="",$X729=""),"Resuelta",IF($Y729&gt;$X729,"Resuelta tarde","Resuelta a tiempo")),IF($X729="","Sin clasificar",IF(TODAY()&gt;$X729,"Vencida",IF(TODAY()&gt;=$X729-1,"Por vencer","En plazo")))))</f>
        <v/>
      </c>
      <c r="AB729" s="50" t="n"/>
      <c r="AC729" s="50" t="n"/>
    </row>
    <row r="730" ht="16" customHeight="1">
      <c r="A730" s="28">
        <f>IF($B730="","","N-"&amp;TEXT(ROW()-3,"0000"))</f>
        <v/>
      </c>
      <c r="B730" s="47" t="n"/>
      <c r="C730" s="48" t="n"/>
      <c r="D730" s="48" t="n"/>
      <c r="E730" s="28">
        <f>IF($C730="","",IF($D730="",IF($C730="Interna","Sin guía (interna)","FALTA GUÍA"),IF(COUNTIFS(ENVIOS!$A$4:$A$3003,$D730)=0,"NO EXISTE",IF(COUNTIFS(ENVIOS!$A$4:$A$3003,$D730)&gt;1,"DUPLICADA","OK"))))</f>
        <v/>
      </c>
      <c r="F730" s="28">
        <f>IF($D730="","",IFERROR(INDEX(ENVIOS!$B$4:$B$3003,MATCH($D730,ENVIOS!$A$4:$A$3003,0)),"—"))</f>
        <v/>
      </c>
      <c r="G730" s="23">
        <f>IF($D730="","",IFERROR(INDEX(ENVIOS!$D$4:$D$3003,MATCH($D730,ENVIOS!$A$4:$A$3003,0)),"—"))</f>
        <v/>
      </c>
      <c r="H730" s="23">
        <f>IF($D730="","",IFERROR(INDEX(ENVIOS!$E$4:$E$3003,MATCH($D730,ENVIOS!$A$4:$A$3003,0)),"—"))</f>
        <v/>
      </c>
      <c r="I730" s="23">
        <f>IF($D730="","",IFERROR(INDEX(ENVIOS!$F$4:$F$3003,MATCH($D730,ENVIOS!$A$4:$A$3003,0)),"—"))</f>
        <v/>
      </c>
      <c r="J730" s="23">
        <f>IF($D730="","",IFERROR(INDEX(ENVIOS!$G$4:$G$3003,MATCH($D730,ENVIOS!$A$4:$A$3003,0)),"—"))</f>
        <v/>
      </c>
      <c r="K730" s="28">
        <f>IF($D730="","",IFERROR(INDEX(ENVIOS!$H$4:$H$3003,MATCH($D730,ENVIOS!$A$4:$A$3003,0)),"—"))</f>
        <v/>
      </c>
      <c r="L730" s="49">
        <f>IF($D730="","",IFERROR(INDEX(ENVIOS!$C$4:$C$3003,MATCH($D730,ENVIOS!$A$4:$A$3003,0)),""))</f>
        <v/>
      </c>
      <c r="M730" s="50" t="n"/>
      <c r="N730" s="28">
        <f>IF($M730="","",IFERROR(INDEX(CONFIG!$C$4:$C$63,MATCH($M730,CONFIG!$A$4:$A$63,0)),"Media"))</f>
        <v/>
      </c>
      <c r="O730" s="28">
        <f>IF($M730="","",IF($C730="Interna","NO",IFERROR(INDEX(CONFIG!$E$4:$E$63,MATCH($M730,CONFIG!$A$4:$A$63,0)),"NO")))</f>
        <v/>
      </c>
      <c r="P730" s="50" t="n"/>
      <c r="Q730" s="50" t="n"/>
      <c r="R730" s="28">
        <f>IF($Q730="","",IFERROR(INDEX(CONFIG!$H$4:$H$63,MATCH($Q730,CONFIG!$G$4:$G$63,0)),"Por definir"))</f>
        <v/>
      </c>
      <c r="S730" s="28">
        <f>IF($Q730="","",IFERROR(INDEX(CONFIG!$I$4:$I$63,MATCH($Q730,CONFIG!$G$4:$G$63,0)),"Por definir"))</f>
        <v/>
      </c>
      <c r="T730" s="51" t="n"/>
      <c r="U730" s="52" t="n"/>
      <c r="V730" s="50" t="n"/>
      <c r="W730" s="50" t="n"/>
      <c r="X730" s="49">
        <f>IF(OR($B730="",$M730=""),"",WORKDAY($B730,IFERROR(INDEX(CONFIG!$D$4:$D$63,MATCH($M730,CONFIG!$A$4:$A$63,0)),3)))</f>
        <v/>
      </c>
      <c r="Y730" s="47" t="n"/>
      <c r="Z730" s="24">
        <f>IF($B730="","",IF($Y730&lt;&gt;"",$Y730-$B730,TODAY()-$B730))</f>
        <v/>
      </c>
      <c r="AA730" s="28">
        <f>IF($B730="","",IF(IFERROR(INDEX(CONFIG!$L$4:$L$63,MATCH($V730,CONFIG!$K$4:$K$63,0)),"NO")="SÍ",IF(OR($Y730="",$X730=""),"Resuelta",IF($Y730&gt;$X730,"Resuelta tarde","Resuelta a tiempo")),IF($X730="","Sin clasificar",IF(TODAY()&gt;$X730,"Vencida",IF(TODAY()&gt;=$X730-1,"Por vencer","En plazo")))))</f>
        <v/>
      </c>
      <c r="AB730" s="50" t="n"/>
      <c r="AC730" s="50" t="n"/>
    </row>
    <row r="731" ht="16" customHeight="1">
      <c r="A731" s="28">
        <f>IF($B731="","","N-"&amp;TEXT(ROW()-3,"0000"))</f>
        <v/>
      </c>
      <c r="B731" s="47" t="n"/>
      <c r="C731" s="48" t="n"/>
      <c r="D731" s="48" t="n"/>
      <c r="E731" s="28">
        <f>IF($C731="","",IF($D731="",IF($C731="Interna","Sin guía (interna)","FALTA GUÍA"),IF(COUNTIFS(ENVIOS!$A$4:$A$3003,$D731)=0,"NO EXISTE",IF(COUNTIFS(ENVIOS!$A$4:$A$3003,$D731)&gt;1,"DUPLICADA","OK"))))</f>
        <v/>
      </c>
      <c r="F731" s="28">
        <f>IF($D731="","",IFERROR(INDEX(ENVIOS!$B$4:$B$3003,MATCH($D731,ENVIOS!$A$4:$A$3003,0)),"—"))</f>
        <v/>
      </c>
      <c r="G731" s="23">
        <f>IF($D731="","",IFERROR(INDEX(ENVIOS!$D$4:$D$3003,MATCH($D731,ENVIOS!$A$4:$A$3003,0)),"—"))</f>
        <v/>
      </c>
      <c r="H731" s="23">
        <f>IF($D731="","",IFERROR(INDEX(ENVIOS!$E$4:$E$3003,MATCH($D731,ENVIOS!$A$4:$A$3003,0)),"—"))</f>
        <v/>
      </c>
      <c r="I731" s="23">
        <f>IF($D731="","",IFERROR(INDEX(ENVIOS!$F$4:$F$3003,MATCH($D731,ENVIOS!$A$4:$A$3003,0)),"—"))</f>
        <v/>
      </c>
      <c r="J731" s="23">
        <f>IF($D731="","",IFERROR(INDEX(ENVIOS!$G$4:$G$3003,MATCH($D731,ENVIOS!$A$4:$A$3003,0)),"—"))</f>
        <v/>
      </c>
      <c r="K731" s="28">
        <f>IF($D731="","",IFERROR(INDEX(ENVIOS!$H$4:$H$3003,MATCH($D731,ENVIOS!$A$4:$A$3003,0)),"—"))</f>
        <v/>
      </c>
      <c r="L731" s="49">
        <f>IF($D731="","",IFERROR(INDEX(ENVIOS!$C$4:$C$3003,MATCH($D731,ENVIOS!$A$4:$A$3003,0)),""))</f>
        <v/>
      </c>
      <c r="M731" s="50" t="n"/>
      <c r="N731" s="28">
        <f>IF($M731="","",IFERROR(INDEX(CONFIG!$C$4:$C$63,MATCH($M731,CONFIG!$A$4:$A$63,0)),"Media"))</f>
        <v/>
      </c>
      <c r="O731" s="28">
        <f>IF($M731="","",IF($C731="Interna","NO",IFERROR(INDEX(CONFIG!$E$4:$E$63,MATCH($M731,CONFIG!$A$4:$A$63,0)),"NO")))</f>
        <v/>
      </c>
      <c r="P731" s="50" t="n"/>
      <c r="Q731" s="50" t="n"/>
      <c r="R731" s="28">
        <f>IF($Q731="","",IFERROR(INDEX(CONFIG!$H$4:$H$63,MATCH($Q731,CONFIG!$G$4:$G$63,0)),"Por definir"))</f>
        <v/>
      </c>
      <c r="S731" s="28">
        <f>IF($Q731="","",IFERROR(INDEX(CONFIG!$I$4:$I$63,MATCH($Q731,CONFIG!$G$4:$G$63,0)),"Por definir"))</f>
        <v/>
      </c>
      <c r="T731" s="51" t="n"/>
      <c r="U731" s="52" t="n"/>
      <c r="V731" s="50" t="n"/>
      <c r="W731" s="50" t="n"/>
      <c r="X731" s="49">
        <f>IF(OR($B731="",$M731=""),"",WORKDAY($B731,IFERROR(INDEX(CONFIG!$D$4:$D$63,MATCH($M731,CONFIG!$A$4:$A$63,0)),3)))</f>
        <v/>
      </c>
      <c r="Y731" s="47" t="n"/>
      <c r="Z731" s="24">
        <f>IF($B731="","",IF($Y731&lt;&gt;"",$Y731-$B731,TODAY()-$B731))</f>
        <v/>
      </c>
      <c r="AA731" s="28">
        <f>IF($B731="","",IF(IFERROR(INDEX(CONFIG!$L$4:$L$63,MATCH($V731,CONFIG!$K$4:$K$63,0)),"NO")="SÍ",IF(OR($Y731="",$X731=""),"Resuelta",IF($Y731&gt;$X731,"Resuelta tarde","Resuelta a tiempo")),IF($X731="","Sin clasificar",IF(TODAY()&gt;$X731,"Vencida",IF(TODAY()&gt;=$X731-1,"Por vencer","En plazo")))))</f>
        <v/>
      </c>
      <c r="AB731" s="50" t="n"/>
      <c r="AC731" s="50" t="n"/>
    </row>
    <row r="732" ht="16" customHeight="1">
      <c r="A732" s="28">
        <f>IF($B732="","","N-"&amp;TEXT(ROW()-3,"0000"))</f>
        <v/>
      </c>
      <c r="B732" s="47" t="n"/>
      <c r="C732" s="48" t="n"/>
      <c r="D732" s="48" t="n"/>
      <c r="E732" s="28">
        <f>IF($C732="","",IF($D732="",IF($C732="Interna","Sin guía (interna)","FALTA GUÍA"),IF(COUNTIFS(ENVIOS!$A$4:$A$3003,$D732)=0,"NO EXISTE",IF(COUNTIFS(ENVIOS!$A$4:$A$3003,$D732)&gt;1,"DUPLICADA","OK"))))</f>
        <v/>
      </c>
      <c r="F732" s="28">
        <f>IF($D732="","",IFERROR(INDEX(ENVIOS!$B$4:$B$3003,MATCH($D732,ENVIOS!$A$4:$A$3003,0)),"—"))</f>
        <v/>
      </c>
      <c r="G732" s="23">
        <f>IF($D732="","",IFERROR(INDEX(ENVIOS!$D$4:$D$3003,MATCH($D732,ENVIOS!$A$4:$A$3003,0)),"—"))</f>
        <v/>
      </c>
      <c r="H732" s="23">
        <f>IF($D732="","",IFERROR(INDEX(ENVIOS!$E$4:$E$3003,MATCH($D732,ENVIOS!$A$4:$A$3003,0)),"—"))</f>
        <v/>
      </c>
      <c r="I732" s="23">
        <f>IF($D732="","",IFERROR(INDEX(ENVIOS!$F$4:$F$3003,MATCH($D732,ENVIOS!$A$4:$A$3003,0)),"—"))</f>
        <v/>
      </c>
      <c r="J732" s="23">
        <f>IF($D732="","",IFERROR(INDEX(ENVIOS!$G$4:$G$3003,MATCH($D732,ENVIOS!$A$4:$A$3003,0)),"—"))</f>
        <v/>
      </c>
      <c r="K732" s="28">
        <f>IF($D732="","",IFERROR(INDEX(ENVIOS!$H$4:$H$3003,MATCH($D732,ENVIOS!$A$4:$A$3003,0)),"—"))</f>
        <v/>
      </c>
      <c r="L732" s="49">
        <f>IF($D732="","",IFERROR(INDEX(ENVIOS!$C$4:$C$3003,MATCH($D732,ENVIOS!$A$4:$A$3003,0)),""))</f>
        <v/>
      </c>
      <c r="M732" s="50" t="n"/>
      <c r="N732" s="28">
        <f>IF($M732="","",IFERROR(INDEX(CONFIG!$C$4:$C$63,MATCH($M732,CONFIG!$A$4:$A$63,0)),"Media"))</f>
        <v/>
      </c>
      <c r="O732" s="28">
        <f>IF($M732="","",IF($C732="Interna","NO",IFERROR(INDEX(CONFIG!$E$4:$E$63,MATCH($M732,CONFIG!$A$4:$A$63,0)),"NO")))</f>
        <v/>
      </c>
      <c r="P732" s="50" t="n"/>
      <c r="Q732" s="50" t="n"/>
      <c r="R732" s="28">
        <f>IF($Q732="","",IFERROR(INDEX(CONFIG!$H$4:$H$63,MATCH($Q732,CONFIG!$G$4:$G$63,0)),"Por definir"))</f>
        <v/>
      </c>
      <c r="S732" s="28">
        <f>IF($Q732="","",IFERROR(INDEX(CONFIG!$I$4:$I$63,MATCH($Q732,CONFIG!$G$4:$G$63,0)),"Por definir"))</f>
        <v/>
      </c>
      <c r="T732" s="51" t="n"/>
      <c r="U732" s="52" t="n"/>
      <c r="V732" s="50" t="n"/>
      <c r="W732" s="50" t="n"/>
      <c r="X732" s="49">
        <f>IF(OR($B732="",$M732=""),"",WORKDAY($B732,IFERROR(INDEX(CONFIG!$D$4:$D$63,MATCH($M732,CONFIG!$A$4:$A$63,0)),3)))</f>
        <v/>
      </c>
      <c r="Y732" s="47" t="n"/>
      <c r="Z732" s="24">
        <f>IF($B732="","",IF($Y732&lt;&gt;"",$Y732-$B732,TODAY()-$B732))</f>
        <v/>
      </c>
      <c r="AA732" s="28">
        <f>IF($B732="","",IF(IFERROR(INDEX(CONFIG!$L$4:$L$63,MATCH($V732,CONFIG!$K$4:$K$63,0)),"NO")="SÍ",IF(OR($Y732="",$X732=""),"Resuelta",IF($Y732&gt;$X732,"Resuelta tarde","Resuelta a tiempo")),IF($X732="","Sin clasificar",IF(TODAY()&gt;$X732,"Vencida",IF(TODAY()&gt;=$X732-1,"Por vencer","En plazo")))))</f>
        <v/>
      </c>
      <c r="AB732" s="50" t="n"/>
      <c r="AC732" s="50" t="n"/>
    </row>
    <row r="733" ht="16" customHeight="1">
      <c r="A733" s="28">
        <f>IF($B733="","","N-"&amp;TEXT(ROW()-3,"0000"))</f>
        <v/>
      </c>
      <c r="B733" s="47" t="n"/>
      <c r="C733" s="48" t="n"/>
      <c r="D733" s="48" t="n"/>
      <c r="E733" s="28">
        <f>IF($C733="","",IF($D733="",IF($C733="Interna","Sin guía (interna)","FALTA GUÍA"),IF(COUNTIFS(ENVIOS!$A$4:$A$3003,$D733)=0,"NO EXISTE",IF(COUNTIFS(ENVIOS!$A$4:$A$3003,$D733)&gt;1,"DUPLICADA","OK"))))</f>
        <v/>
      </c>
      <c r="F733" s="28">
        <f>IF($D733="","",IFERROR(INDEX(ENVIOS!$B$4:$B$3003,MATCH($D733,ENVIOS!$A$4:$A$3003,0)),"—"))</f>
        <v/>
      </c>
      <c r="G733" s="23">
        <f>IF($D733="","",IFERROR(INDEX(ENVIOS!$D$4:$D$3003,MATCH($D733,ENVIOS!$A$4:$A$3003,0)),"—"))</f>
        <v/>
      </c>
      <c r="H733" s="23">
        <f>IF($D733="","",IFERROR(INDEX(ENVIOS!$E$4:$E$3003,MATCH($D733,ENVIOS!$A$4:$A$3003,0)),"—"))</f>
        <v/>
      </c>
      <c r="I733" s="23">
        <f>IF($D733="","",IFERROR(INDEX(ENVIOS!$F$4:$F$3003,MATCH($D733,ENVIOS!$A$4:$A$3003,0)),"—"))</f>
        <v/>
      </c>
      <c r="J733" s="23">
        <f>IF($D733="","",IFERROR(INDEX(ENVIOS!$G$4:$G$3003,MATCH($D733,ENVIOS!$A$4:$A$3003,0)),"—"))</f>
        <v/>
      </c>
      <c r="K733" s="28">
        <f>IF($D733="","",IFERROR(INDEX(ENVIOS!$H$4:$H$3003,MATCH($D733,ENVIOS!$A$4:$A$3003,0)),"—"))</f>
        <v/>
      </c>
      <c r="L733" s="49">
        <f>IF($D733="","",IFERROR(INDEX(ENVIOS!$C$4:$C$3003,MATCH($D733,ENVIOS!$A$4:$A$3003,0)),""))</f>
        <v/>
      </c>
      <c r="M733" s="50" t="n"/>
      <c r="N733" s="28">
        <f>IF($M733="","",IFERROR(INDEX(CONFIG!$C$4:$C$63,MATCH($M733,CONFIG!$A$4:$A$63,0)),"Media"))</f>
        <v/>
      </c>
      <c r="O733" s="28">
        <f>IF($M733="","",IF($C733="Interna","NO",IFERROR(INDEX(CONFIG!$E$4:$E$63,MATCH($M733,CONFIG!$A$4:$A$63,0)),"NO")))</f>
        <v/>
      </c>
      <c r="P733" s="50" t="n"/>
      <c r="Q733" s="50" t="n"/>
      <c r="R733" s="28">
        <f>IF($Q733="","",IFERROR(INDEX(CONFIG!$H$4:$H$63,MATCH($Q733,CONFIG!$G$4:$G$63,0)),"Por definir"))</f>
        <v/>
      </c>
      <c r="S733" s="28">
        <f>IF($Q733="","",IFERROR(INDEX(CONFIG!$I$4:$I$63,MATCH($Q733,CONFIG!$G$4:$G$63,0)),"Por definir"))</f>
        <v/>
      </c>
      <c r="T733" s="51" t="n"/>
      <c r="U733" s="52" t="n"/>
      <c r="V733" s="50" t="n"/>
      <c r="W733" s="50" t="n"/>
      <c r="X733" s="49">
        <f>IF(OR($B733="",$M733=""),"",WORKDAY($B733,IFERROR(INDEX(CONFIG!$D$4:$D$63,MATCH($M733,CONFIG!$A$4:$A$63,0)),3)))</f>
        <v/>
      </c>
      <c r="Y733" s="47" t="n"/>
      <c r="Z733" s="24">
        <f>IF($B733="","",IF($Y733&lt;&gt;"",$Y733-$B733,TODAY()-$B733))</f>
        <v/>
      </c>
      <c r="AA733" s="28">
        <f>IF($B733="","",IF(IFERROR(INDEX(CONFIG!$L$4:$L$63,MATCH($V733,CONFIG!$K$4:$K$63,0)),"NO")="SÍ",IF(OR($Y733="",$X733=""),"Resuelta",IF($Y733&gt;$X733,"Resuelta tarde","Resuelta a tiempo")),IF($X733="","Sin clasificar",IF(TODAY()&gt;$X733,"Vencida",IF(TODAY()&gt;=$X733-1,"Por vencer","En plazo")))))</f>
        <v/>
      </c>
      <c r="AB733" s="50" t="n"/>
      <c r="AC733" s="50" t="n"/>
    </row>
    <row r="734" ht="16" customHeight="1">
      <c r="A734" s="28">
        <f>IF($B734="","","N-"&amp;TEXT(ROW()-3,"0000"))</f>
        <v/>
      </c>
      <c r="B734" s="47" t="n"/>
      <c r="C734" s="48" t="n"/>
      <c r="D734" s="48" t="n"/>
      <c r="E734" s="28">
        <f>IF($C734="","",IF($D734="",IF($C734="Interna","Sin guía (interna)","FALTA GUÍA"),IF(COUNTIFS(ENVIOS!$A$4:$A$3003,$D734)=0,"NO EXISTE",IF(COUNTIFS(ENVIOS!$A$4:$A$3003,$D734)&gt;1,"DUPLICADA","OK"))))</f>
        <v/>
      </c>
      <c r="F734" s="28">
        <f>IF($D734="","",IFERROR(INDEX(ENVIOS!$B$4:$B$3003,MATCH($D734,ENVIOS!$A$4:$A$3003,0)),"—"))</f>
        <v/>
      </c>
      <c r="G734" s="23">
        <f>IF($D734="","",IFERROR(INDEX(ENVIOS!$D$4:$D$3003,MATCH($D734,ENVIOS!$A$4:$A$3003,0)),"—"))</f>
        <v/>
      </c>
      <c r="H734" s="23">
        <f>IF($D734="","",IFERROR(INDEX(ENVIOS!$E$4:$E$3003,MATCH($D734,ENVIOS!$A$4:$A$3003,0)),"—"))</f>
        <v/>
      </c>
      <c r="I734" s="23">
        <f>IF($D734="","",IFERROR(INDEX(ENVIOS!$F$4:$F$3003,MATCH($D734,ENVIOS!$A$4:$A$3003,0)),"—"))</f>
        <v/>
      </c>
      <c r="J734" s="23">
        <f>IF($D734="","",IFERROR(INDEX(ENVIOS!$G$4:$G$3003,MATCH($D734,ENVIOS!$A$4:$A$3003,0)),"—"))</f>
        <v/>
      </c>
      <c r="K734" s="28">
        <f>IF($D734="","",IFERROR(INDEX(ENVIOS!$H$4:$H$3003,MATCH($D734,ENVIOS!$A$4:$A$3003,0)),"—"))</f>
        <v/>
      </c>
      <c r="L734" s="49">
        <f>IF($D734="","",IFERROR(INDEX(ENVIOS!$C$4:$C$3003,MATCH($D734,ENVIOS!$A$4:$A$3003,0)),""))</f>
        <v/>
      </c>
      <c r="M734" s="50" t="n"/>
      <c r="N734" s="28">
        <f>IF($M734="","",IFERROR(INDEX(CONFIG!$C$4:$C$63,MATCH($M734,CONFIG!$A$4:$A$63,0)),"Media"))</f>
        <v/>
      </c>
      <c r="O734" s="28">
        <f>IF($M734="","",IF($C734="Interna","NO",IFERROR(INDEX(CONFIG!$E$4:$E$63,MATCH($M734,CONFIG!$A$4:$A$63,0)),"NO")))</f>
        <v/>
      </c>
      <c r="P734" s="50" t="n"/>
      <c r="Q734" s="50" t="n"/>
      <c r="R734" s="28">
        <f>IF($Q734="","",IFERROR(INDEX(CONFIG!$H$4:$H$63,MATCH($Q734,CONFIG!$G$4:$G$63,0)),"Por definir"))</f>
        <v/>
      </c>
      <c r="S734" s="28">
        <f>IF($Q734="","",IFERROR(INDEX(CONFIG!$I$4:$I$63,MATCH($Q734,CONFIG!$G$4:$G$63,0)),"Por definir"))</f>
        <v/>
      </c>
      <c r="T734" s="51" t="n"/>
      <c r="U734" s="52" t="n"/>
      <c r="V734" s="50" t="n"/>
      <c r="W734" s="50" t="n"/>
      <c r="X734" s="49">
        <f>IF(OR($B734="",$M734=""),"",WORKDAY($B734,IFERROR(INDEX(CONFIG!$D$4:$D$63,MATCH($M734,CONFIG!$A$4:$A$63,0)),3)))</f>
        <v/>
      </c>
      <c r="Y734" s="47" t="n"/>
      <c r="Z734" s="24">
        <f>IF($B734="","",IF($Y734&lt;&gt;"",$Y734-$B734,TODAY()-$B734))</f>
        <v/>
      </c>
      <c r="AA734" s="28">
        <f>IF($B734="","",IF(IFERROR(INDEX(CONFIG!$L$4:$L$63,MATCH($V734,CONFIG!$K$4:$K$63,0)),"NO")="SÍ",IF(OR($Y734="",$X734=""),"Resuelta",IF($Y734&gt;$X734,"Resuelta tarde","Resuelta a tiempo")),IF($X734="","Sin clasificar",IF(TODAY()&gt;$X734,"Vencida",IF(TODAY()&gt;=$X734-1,"Por vencer","En plazo")))))</f>
        <v/>
      </c>
      <c r="AB734" s="50" t="n"/>
      <c r="AC734" s="50" t="n"/>
    </row>
    <row r="735" ht="16" customHeight="1">
      <c r="A735" s="28">
        <f>IF($B735="","","N-"&amp;TEXT(ROW()-3,"0000"))</f>
        <v/>
      </c>
      <c r="B735" s="47" t="n"/>
      <c r="C735" s="48" t="n"/>
      <c r="D735" s="48" t="n"/>
      <c r="E735" s="28">
        <f>IF($C735="","",IF($D735="",IF($C735="Interna","Sin guía (interna)","FALTA GUÍA"),IF(COUNTIFS(ENVIOS!$A$4:$A$3003,$D735)=0,"NO EXISTE",IF(COUNTIFS(ENVIOS!$A$4:$A$3003,$D735)&gt;1,"DUPLICADA","OK"))))</f>
        <v/>
      </c>
      <c r="F735" s="28">
        <f>IF($D735="","",IFERROR(INDEX(ENVIOS!$B$4:$B$3003,MATCH($D735,ENVIOS!$A$4:$A$3003,0)),"—"))</f>
        <v/>
      </c>
      <c r="G735" s="23">
        <f>IF($D735="","",IFERROR(INDEX(ENVIOS!$D$4:$D$3003,MATCH($D735,ENVIOS!$A$4:$A$3003,0)),"—"))</f>
        <v/>
      </c>
      <c r="H735" s="23">
        <f>IF($D735="","",IFERROR(INDEX(ENVIOS!$E$4:$E$3003,MATCH($D735,ENVIOS!$A$4:$A$3003,0)),"—"))</f>
        <v/>
      </c>
      <c r="I735" s="23">
        <f>IF($D735="","",IFERROR(INDEX(ENVIOS!$F$4:$F$3003,MATCH($D735,ENVIOS!$A$4:$A$3003,0)),"—"))</f>
        <v/>
      </c>
      <c r="J735" s="23">
        <f>IF($D735="","",IFERROR(INDEX(ENVIOS!$G$4:$G$3003,MATCH($D735,ENVIOS!$A$4:$A$3003,0)),"—"))</f>
        <v/>
      </c>
      <c r="K735" s="28">
        <f>IF($D735="","",IFERROR(INDEX(ENVIOS!$H$4:$H$3003,MATCH($D735,ENVIOS!$A$4:$A$3003,0)),"—"))</f>
        <v/>
      </c>
      <c r="L735" s="49">
        <f>IF($D735="","",IFERROR(INDEX(ENVIOS!$C$4:$C$3003,MATCH($D735,ENVIOS!$A$4:$A$3003,0)),""))</f>
        <v/>
      </c>
      <c r="M735" s="50" t="n"/>
      <c r="N735" s="28">
        <f>IF($M735="","",IFERROR(INDEX(CONFIG!$C$4:$C$63,MATCH($M735,CONFIG!$A$4:$A$63,0)),"Media"))</f>
        <v/>
      </c>
      <c r="O735" s="28">
        <f>IF($M735="","",IF($C735="Interna","NO",IFERROR(INDEX(CONFIG!$E$4:$E$63,MATCH($M735,CONFIG!$A$4:$A$63,0)),"NO")))</f>
        <v/>
      </c>
      <c r="P735" s="50" t="n"/>
      <c r="Q735" s="50" t="n"/>
      <c r="R735" s="28">
        <f>IF($Q735="","",IFERROR(INDEX(CONFIG!$H$4:$H$63,MATCH($Q735,CONFIG!$G$4:$G$63,0)),"Por definir"))</f>
        <v/>
      </c>
      <c r="S735" s="28">
        <f>IF($Q735="","",IFERROR(INDEX(CONFIG!$I$4:$I$63,MATCH($Q735,CONFIG!$G$4:$G$63,0)),"Por definir"))</f>
        <v/>
      </c>
      <c r="T735" s="51" t="n"/>
      <c r="U735" s="52" t="n"/>
      <c r="V735" s="50" t="n"/>
      <c r="W735" s="50" t="n"/>
      <c r="X735" s="49">
        <f>IF(OR($B735="",$M735=""),"",WORKDAY($B735,IFERROR(INDEX(CONFIG!$D$4:$D$63,MATCH($M735,CONFIG!$A$4:$A$63,0)),3)))</f>
        <v/>
      </c>
      <c r="Y735" s="47" t="n"/>
      <c r="Z735" s="24">
        <f>IF($B735="","",IF($Y735&lt;&gt;"",$Y735-$B735,TODAY()-$B735))</f>
        <v/>
      </c>
      <c r="AA735" s="28">
        <f>IF($B735="","",IF(IFERROR(INDEX(CONFIG!$L$4:$L$63,MATCH($V735,CONFIG!$K$4:$K$63,0)),"NO")="SÍ",IF(OR($Y735="",$X735=""),"Resuelta",IF($Y735&gt;$X735,"Resuelta tarde","Resuelta a tiempo")),IF($X735="","Sin clasificar",IF(TODAY()&gt;$X735,"Vencida",IF(TODAY()&gt;=$X735-1,"Por vencer","En plazo")))))</f>
        <v/>
      </c>
      <c r="AB735" s="50" t="n"/>
      <c r="AC735" s="50" t="n"/>
    </row>
    <row r="736" ht="16" customHeight="1">
      <c r="A736" s="28">
        <f>IF($B736="","","N-"&amp;TEXT(ROW()-3,"0000"))</f>
        <v/>
      </c>
      <c r="B736" s="47" t="n"/>
      <c r="C736" s="48" t="n"/>
      <c r="D736" s="48" t="n"/>
      <c r="E736" s="28">
        <f>IF($C736="","",IF($D736="",IF($C736="Interna","Sin guía (interna)","FALTA GUÍA"),IF(COUNTIFS(ENVIOS!$A$4:$A$3003,$D736)=0,"NO EXISTE",IF(COUNTIFS(ENVIOS!$A$4:$A$3003,$D736)&gt;1,"DUPLICADA","OK"))))</f>
        <v/>
      </c>
      <c r="F736" s="28">
        <f>IF($D736="","",IFERROR(INDEX(ENVIOS!$B$4:$B$3003,MATCH($D736,ENVIOS!$A$4:$A$3003,0)),"—"))</f>
        <v/>
      </c>
      <c r="G736" s="23">
        <f>IF($D736="","",IFERROR(INDEX(ENVIOS!$D$4:$D$3003,MATCH($D736,ENVIOS!$A$4:$A$3003,0)),"—"))</f>
        <v/>
      </c>
      <c r="H736" s="23">
        <f>IF($D736="","",IFERROR(INDEX(ENVIOS!$E$4:$E$3003,MATCH($D736,ENVIOS!$A$4:$A$3003,0)),"—"))</f>
        <v/>
      </c>
      <c r="I736" s="23">
        <f>IF($D736="","",IFERROR(INDEX(ENVIOS!$F$4:$F$3003,MATCH($D736,ENVIOS!$A$4:$A$3003,0)),"—"))</f>
        <v/>
      </c>
      <c r="J736" s="23">
        <f>IF($D736="","",IFERROR(INDEX(ENVIOS!$G$4:$G$3003,MATCH($D736,ENVIOS!$A$4:$A$3003,0)),"—"))</f>
        <v/>
      </c>
      <c r="K736" s="28">
        <f>IF($D736="","",IFERROR(INDEX(ENVIOS!$H$4:$H$3003,MATCH($D736,ENVIOS!$A$4:$A$3003,0)),"—"))</f>
        <v/>
      </c>
      <c r="L736" s="49">
        <f>IF($D736="","",IFERROR(INDEX(ENVIOS!$C$4:$C$3003,MATCH($D736,ENVIOS!$A$4:$A$3003,0)),""))</f>
        <v/>
      </c>
      <c r="M736" s="50" t="n"/>
      <c r="N736" s="28">
        <f>IF($M736="","",IFERROR(INDEX(CONFIG!$C$4:$C$63,MATCH($M736,CONFIG!$A$4:$A$63,0)),"Media"))</f>
        <v/>
      </c>
      <c r="O736" s="28">
        <f>IF($M736="","",IF($C736="Interna","NO",IFERROR(INDEX(CONFIG!$E$4:$E$63,MATCH($M736,CONFIG!$A$4:$A$63,0)),"NO")))</f>
        <v/>
      </c>
      <c r="P736" s="50" t="n"/>
      <c r="Q736" s="50" t="n"/>
      <c r="R736" s="28">
        <f>IF($Q736="","",IFERROR(INDEX(CONFIG!$H$4:$H$63,MATCH($Q736,CONFIG!$G$4:$G$63,0)),"Por definir"))</f>
        <v/>
      </c>
      <c r="S736" s="28">
        <f>IF($Q736="","",IFERROR(INDEX(CONFIG!$I$4:$I$63,MATCH($Q736,CONFIG!$G$4:$G$63,0)),"Por definir"))</f>
        <v/>
      </c>
      <c r="T736" s="51" t="n"/>
      <c r="U736" s="52" t="n"/>
      <c r="V736" s="50" t="n"/>
      <c r="W736" s="50" t="n"/>
      <c r="X736" s="49">
        <f>IF(OR($B736="",$M736=""),"",WORKDAY($B736,IFERROR(INDEX(CONFIG!$D$4:$D$63,MATCH($M736,CONFIG!$A$4:$A$63,0)),3)))</f>
        <v/>
      </c>
      <c r="Y736" s="47" t="n"/>
      <c r="Z736" s="24">
        <f>IF($B736="","",IF($Y736&lt;&gt;"",$Y736-$B736,TODAY()-$B736))</f>
        <v/>
      </c>
      <c r="AA736" s="28">
        <f>IF($B736="","",IF(IFERROR(INDEX(CONFIG!$L$4:$L$63,MATCH($V736,CONFIG!$K$4:$K$63,0)),"NO")="SÍ",IF(OR($Y736="",$X736=""),"Resuelta",IF($Y736&gt;$X736,"Resuelta tarde","Resuelta a tiempo")),IF($X736="","Sin clasificar",IF(TODAY()&gt;$X736,"Vencida",IF(TODAY()&gt;=$X736-1,"Por vencer","En plazo")))))</f>
        <v/>
      </c>
      <c r="AB736" s="50" t="n"/>
      <c r="AC736" s="50" t="n"/>
    </row>
    <row r="737" ht="16" customHeight="1">
      <c r="A737" s="28">
        <f>IF($B737="","","N-"&amp;TEXT(ROW()-3,"0000"))</f>
        <v/>
      </c>
      <c r="B737" s="47" t="n"/>
      <c r="C737" s="48" t="n"/>
      <c r="D737" s="48" t="n"/>
      <c r="E737" s="28">
        <f>IF($C737="","",IF($D737="",IF($C737="Interna","Sin guía (interna)","FALTA GUÍA"),IF(COUNTIFS(ENVIOS!$A$4:$A$3003,$D737)=0,"NO EXISTE",IF(COUNTIFS(ENVIOS!$A$4:$A$3003,$D737)&gt;1,"DUPLICADA","OK"))))</f>
        <v/>
      </c>
      <c r="F737" s="28">
        <f>IF($D737="","",IFERROR(INDEX(ENVIOS!$B$4:$B$3003,MATCH($D737,ENVIOS!$A$4:$A$3003,0)),"—"))</f>
        <v/>
      </c>
      <c r="G737" s="23">
        <f>IF($D737="","",IFERROR(INDEX(ENVIOS!$D$4:$D$3003,MATCH($D737,ENVIOS!$A$4:$A$3003,0)),"—"))</f>
        <v/>
      </c>
      <c r="H737" s="23">
        <f>IF($D737="","",IFERROR(INDEX(ENVIOS!$E$4:$E$3003,MATCH($D737,ENVIOS!$A$4:$A$3003,0)),"—"))</f>
        <v/>
      </c>
      <c r="I737" s="23">
        <f>IF($D737="","",IFERROR(INDEX(ENVIOS!$F$4:$F$3003,MATCH($D737,ENVIOS!$A$4:$A$3003,0)),"—"))</f>
        <v/>
      </c>
      <c r="J737" s="23">
        <f>IF($D737="","",IFERROR(INDEX(ENVIOS!$G$4:$G$3003,MATCH($D737,ENVIOS!$A$4:$A$3003,0)),"—"))</f>
        <v/>
      </c>
      <c r="K737" s="28">
        <f>IF($D737="","",IFERROR(INDEX(ENVIOS!$H$4:$H$3003,MATCH($D737,ENVIOS!$A$4:$A$3003,0)),"—"))</f>
        <v/>
      </c>
      <c r="L737" s="49">
        <f>IF($D737="","",IFERROR(INDEX(ENVIOS!$C$4:$C$3003,MATCH($D737,ENVIOS!$A$4:$A$3003,0)),""))</f>
        <v/>
      </c>
      <c r="M737" s="50" t="n"/>
      <c r="N737" s="28">
        <f>IF($M737="","",IFERROR(INDEX(CONFIG!$C$4:$C$63,MATCH($M737,CONFIG!$A$4:$A$63,0)),"Media"))</f>
        <v/>
      </c>
      <c r="O737" s="28">
        <f>IF($M737="","",IF($C737="Interna","NO",IFERROR(INDEX(CONFIG!$E$4:$E$63,MATCH($M737,CONFIG!$A$4:$A$63,0)),"NO")))</f>
        <v/>
      </c>
      <c r="P737" s="50" t="n"/>
      <c r="Q737" s="50" t="n"/>
      <c r="R737" s="28">
        <f>IF($Q737="","",IFERROR(INDEX(CONFIG!$H$4:$H$63,MATCH($Q737,CONFIG!$G$4:$G$63,0)),"Por definir"))</f>
        <v/>
      </c>
      <c r="S737" s="28">
        <f>IF($Q737="","",IFERROR(INDEX(CONFIG!$I$4:$I$63,MATCH($Q737,CONFIG!$G$4:$G$63,0)),"Por definir"))</f>
        <v/>
      </c>
      <c r="T737" s="51" t="n"/>
      <c r="U737" s="52" t="n"/>
      <c r="V737" s="50" t="n"/>
      <c r="W737" s="50" t="n"/>
      <c r="X737" s="49">
        <f>IF(OR($B737="",$M737=""),"",WORKDAY($B737,IFERROR(INDEX(CONFIG!$D$4:$D$63,MATCH($M737,CONFIG!$A$4:$A$63,0)),3)))</f>
        <v/>
      </c>
      <c r="Y737" s="47" t="n"/>
      <c r="Z737" s="24">
        <f>IF($B737="","",IF($Y737&lt;&gt;"",$Y737-$B737,TODAY()-$B737))</f>
        <v/>
      </c>
      <c r="AA737" s="28">
        <f>IF($B737="","",IF(IFERROR(INDEX(CONFIG!$L$4:$L$63,MATCH($V737,CONFIG!$K$4:$K$63,0)),"NO")="SÍ",IF(OR($Y737="",$X737=""),"Resuelta",IF($Y737&gt;$X737,"Resuelta tarde","Resuelta a tiempo")),IF($X737="","Sin clasificar",IF(TODAY()&gt;$X737,"Vencida",IF(TODAY()&gt;=$X737-1,"Por vencer","En plazo")))))</f>
        <v/>
      </c>
      <c r="AB737" s="50" t="n"/>
      <c r="AC737" s="50" t="n"/>
    </row>
    <row r="738" ht="16" customHeight="1">
      <c r="A738" s="28">
        <f>IF($B738="","","N-"&amp;TEXT(ROW()-3,"0000"))</f>
        <v/>
      </c>
      <c r="B738" s="47" t="n"/>
      <c r="C738" s="48" t="n"/>
      <c r="D738" s="48" t="n"/>
      <c r="E738" s="28">
        <f>IF($C738="","",IF($D738="",IF($C738="Interna","Sin guía (interna)","FALTA GUÍA"),IF(COUNTIFS(ENVIOS!$A$4:$A$3003,$D738)=0,"NO EXISTE",IF(COUNTIFS(ENVIOS!$A$4:$A$3003,$D738)&gt;1,"DUPLICADA","OK"))))</f>
        <v/>
      </c>
      <c r="F738" s="28">
        <f>IF($D738="","",IFERROR(INDEX(ENVIOS!$B$4:$B$3003,MATCH($D738,ENVIOS!$A$4:$A$3003,0)),"—"))</f>
        <v/>
      </c>
      <c r="G738" s="23">
        <f>IF($D738="","",IFERROR(INDEX(ENVIOS!$D$4:$D$3003,MATCH($D738,ENVIOS!$A$4:$A$3003,0)),"—"))</f>
        <v/>
      </c>
      <c r="H738" s="23">
        <f>IF($D738="","",IFERROR(INDEX(ENVIOS!$E$4:$E$3003,MATCH($D738,ENVIOS!$A$4:$A$3003,0)),"—"))</f>
        <v/>
      </c>
      <c r="I738" s="23">
        <f>IF($D738="","",IFERROR(INDEX(ENVIOS!$F$4:$F$3003,MATCH($D738,ENVIOS!$A$4:$A$3003,0)),"—"))</f>
        <v/>
      </c>
      <c r="J738" s="23">
        <f>IF($D738="","",IFERROR(INDEX(ENVIOS!$G$4:$G$3003,MATCH($D738,ENVIOS!$A$4:$A$3003,0)),"—"))</f>
        <v/>
      </c>
      <c r="K738" s="28">
        <f>IF($D738="","",IFERROR(INDEX(ENVIOS!$H$4:$H$3003,MATCH($D738,ENVIOS!$A$4:$A$3003,0)),"—"))</f>
        <v/>
      </c>
      <c r="L738" s="49">
        <f>IF($D738="","",IFERROR(INDEX(ENVIOS!$C$4:$C$3003,MATCH($D738,ENVIOS!$A$4:$A$3003,0)),""))</f>
        <v/>
      </c>
      <c r="M738" s="50" t="n"/>
      <c r="N738" s="28">
        <f>IF($M738="","",IFERROR(INDEX(CONFIG!$C$4:$C$63,MATCH($M738,CONFIG!$A$4:$A$63,0)),"Media"))</f>
        <v/>
      </c>
      <c r="O738" s="28">
        <f>IF($M738="","",IF($C738="Interna","NO",IFERROR(INDEX(CONFIG!$E$4:$E$63,MATCH($M738,CONFIG!$A$4:$A$63,0)),"NO")))</f>
        <v/>
      </c>
      <c r="P738" s="50" t="n"/>
      <c r="Q738" s="50" t="n"/>
      <c r="R738" s="28">
        <f>IF($Q738="","",IFERROR(INDEX(CONFIG!$H$4:$H$63,MATCH($Q738,CONFIG!$G$4:$G$63,0)),"Por definir"))</f>
        <v/>
      </c>
      <c r="S738" s="28">
        <f>IF($Q738="","",IFERROR(INDEX(CONFIG!$I$4:$I$63,MATCH($Q738,CONFIG!$G$4:$G$63,0)),"Por definir"))</f>
        <v/>
      </c>
      <c r="T738" s="51" t="n"/>
      <c r="U738" s="52" t="n"/>
      <c r="V738" s="50" t="n"/>
      <c r="W738" s="50" t="n"/>
      <c r="X738" s="49">
        <f>IF(OR($B738="",$M738=""),"",WORKDAY($B738,IFERROR(INDEX(CONFIG!$D$4:$D$63,MATCH($M738,CONFIG!$A$4:$A$63,0)),3)))</f>
        <v/>
      </c>
      <c r="Y738" s="47" t="n"/>
      <c r="Z738" s="24">
        <f>IF($B738="","",IF($Y738&lt;&gt;"",$Y738-$B738,TODAY()-$B738))</f>
        <v/>
      </c>
      <c r="AA738" s="28">
        <f>IF($B738="","",IF(IFERROR(INDEX(CONFIG!$L$4:$L$63,MATCH($V738,CONFIG!$K$4:$K$63,0)),"NO")="SÍ",IF(OR($Y738="",$X738=""),"Resuelta",IF($Y738&gt;$X738,"Resuelta tarde","Resuelta a tiempo")),IF($X738="","Sin clasificar",IF(TODAY()&gt;$X738,"Vencida",IF(TODAY()&gt;=$X738-1,"Por vencer","En plazo")))))</f>
        <v/>
      </c>
      <c r="AB738" s="50" t="n"/>
      <c r="AC738" s="50" t="n"/>
    </row>
    <row r="739" ht="16" customHeight="1">
      <c r="A739" s="28">
        <f>IF($B739="","","N-"&amp;TEXT(ROW()-3,"0000"))</f>
        <v/>
      </c>
      <c r="B739" s="47" t="n"/>
      <c r="C739" s="48" t="n"/>
      <c r="D739" s="48" t="n"/>
      <c r="E739" s="28">
        <f>IF($C739="","",IF($D739="",IF($C739="Interna","Sin guía (interna)","FALTA GUÍA"),IF(COUNTIFS(ENVIOS!$A$4:$A$3003,$D739)=0,"NO EXISTE",IF(COUNTIFS(ENVIOS!$A$4:$A$3003,$D739)&gt;1,"DUPLICADA","OK"))))</f>
        <v/>
      </c>
      <c r="F739" s="28">
        <f>IF($D739="","",IFERROR(INDEX(ENVIOS!$B$4:$B$3003,MATCH($D739,ENVIOS!$A$4:$A$3003,0)),"—"))</f>
        <v/>
      </c>
      <c r="G739" s="23">
        <f>IF($D739="","",IFERROR(INDEX(ENVIOS!$D$4:$D$3003,MATCH($D739,ENVIOS!$A$4:$A$3003,0)),"—"))</f>
        <v/>
      </c>
      <c r="H739" s="23">
        <f>IF($D739="","",IFERROR(INDEX(ENVIOS!$E$4:$E$3003,MATCH($D739,ENVIOS!$A$4:$A$3003,0)),"—"))</f>
        <v/>
      </c>
      <c r="I739" s="23">
        <f>IF($D739="","",IFERROR(INDEX(ENVIOS!$F$4:$F$3003,MATCH($D739,ENVIOS!$A$4:$A$3003,0)),"—"))</f>
        <v/>
      </c>
      <c r="J739" s="23">
        <f>IF($D739="","",IFERROR(INDEX(ENVIOS!$G$4:$G$3003,MATCH($D739,ENVIOS!$A$4:$A$3003,0)),"—"))</f>
        <v/>
      </c>
      <c r="K739" s="28">
        <f>IF($D739="","",IFERROR(INDEX(ENVIOS!$H$4:$H$3003,MATCH($D739,ENVIOS!$A$4:$A$3003,0)),"—"))</f>
        <v/>
      </c>
      <c r="L739" s="49">
        <f>IF($D739="","",IFERROR(INDEX(ENVIOS!$C$4:$C$3003,MATCH($D739,ENVIOS!$A$4:$A$3003,0)),""))</f>
        <v/>
      </c>
      <c r="M739" s="50" t="n"/>
      <c r="N739" s="28">
        <f>IF($M739="","",IFERROR(INDEX(CONFIG!$C$4:$C$63,MATCH($M739,CONFIG!$A$4:$A$63,0)),"Media"))</f>
        <v/>
      </c>
      <c r="O739" s="28">
        <f>IF($M739="","",IF($C739="Interna","NO",IFERROR(INDEX(CONFIG!$E$4:$E$63,MATCH($M739,CONFIG!$A$4:$A$63,0)),"NO")))</f>
        <v/>
      </c>
      <c r="P739" s="50" t="n"/>
      <c r="Q739" s="50" t="n"/>
      <c r="R739" s="28">
        <f>IF($Q739="","",IFERROR(INDEX(CONFIG!$H$4:$H$63,MATCH($Q739,CONFIG!$G$4:$G$63,0)),"Por definir"))</f>
        <v/>
      </c>
      <c r="S739" s="28">
        <f>IF($Q739="","",IFERROR(INDEX(CONFIG!$I$4:$I$63,MATCH($Q739,CONFIG!$G$4:$G$63,0)),"Por definir"))</f>
        <v/>
      </c>
      <c r="T739" s="51" t="n"/>
      <c r="U739" s="52" t="n"/>
      <c r="V739" s="50" t="n"/>
      <c r="W739" s="50" t="n"/>
      <c r="X739" s="49">
        <f>IF(OR($B739="",$M739=""),"",WORKDAY($B739,IFERROR(INDEX(CONFIG!$D$4:$D$63,MATCH($M739,CONFIG!$A$4:$A$63,0)),3)))</f>
        <v/>
      </c>
      <c r="Y739" s="47" t="n"/>
      <c r="Z739" s="24">
        <f>IF($B739="","",IF($Y739&lt;&gt;"",$Y739-$B739,TODAY()-$B739))</f>
        <v/>
      </c>
      <c r="AA739" s="28">
        <f>IF($B739="","",IF(IFERROR(INDEX(CONFIG!$L$4:$L$63,MATCH($V739,CONFIG!$K$4:$K$63,0)),"NO")="SÍ",IF(OR($Y739="",$X739=""),"Resuelta",IF($Y739&gt;$X739,"Resuelta tarde","Resuelta a tiempo")),IF($X739="","Sin clasificar",IF(TODAY()&gt;$X739,"Vencida",IF(TODAY()&gt;=$X739-1,"Por vencer","En plazo")))))</f>
        <v/>
      </c>
      <c r="AB739" s="50" t="n"/>
      <c r="AC739" s="50" t="n"/>
    </row>
    <row r="740" ht="16" customHeight="1">
      <c r="A740" s="28">
        <f>IF($B740="","","N-"&amp;TEXT(ROW()-3,"0000"))</f>
        <v/>
      </c>
      <c r="B740" s="47" t="n"/>
      <c r="C740" s="48" t="n"/>
      <c r="D740" s="48" t="n"/>
      <c r="E740" s="28">
        <f>IF($C740="","",IF($D740="",IF($C740="Interna","Sin guía (interna)","FALTA GUÍA"),IF(COUNTIFS(ENVIOS!$A$4:$A$3003,$D740)=0,"NO EXISTE",IF(COUNTIFS(ENVIOS!$A$4:$A$3003,$D740)&gt;1,"DUPLICADA","OK"))))</f>
        <v/>
      </c>
      <c r="F740" s="28">
        <f>IF($D740="","",IFERROR(INDEX(ENVIOS!$B$4:$B$3003,MATCH($D740,ENVIOS!$A$4:$A$3003,0)),"—"))</f>
        <v/>
      </c>
      <c r="G740" s="23">
        <f>IF($D740="","",IFERROR(INDEX(ENVIOS!$D$4:$D$3003,MATCH($D740,ENVIOS!$A$4:$A$3003,0)),"—"))</f>
        <v/>
      </c>
      <c r="H740" s="23">
        <f>IF($D740="","",IFERROR(INDEX(ENVIOS!$E$4:$E$3003,MATCH($D740,ENVIOS!$A$4:$A$3003,0)),"—"))</f>
        <v/>
      </c>
      <c r="I740" s="23">
        <f>IF($D740="","",IFERROR(INDEX(ENVIOS!$F$4:$F$3003,MATCH($D740,ENVIOS!$A$4:$A$3003,0)),"—"))</f>
        <v/>
      </c>
      <c r="J740" s="23">
        <f>IF($D740="","",IFERROR(INDEX(ENVIOS!$G$4:$G$3003,MATCH($D740,ENVIOS!$A$4:$A$3003,0)),"—"))</f>
        <v/>
      </c>
      <c r="K740" s="28">
        <f>IF($D740="","",IFERROR(INDEX(ENVIOS!$H$4:$H$3003,MATCH($D740,ENVIOS!$A$4:$A$3003,0)),"—"))</f>
        <v/>
      </c>
      <c r="L740" s="49">
        <f>IF($D740="","",IFERROR(INDEX(ENVIOS!$C$4:$C$3003,MATCH($D740,ENVIOS!$A$4:$A$3003,0)),""))</f>
        <v/>
      </c>
      <c r="M740" s="50" t="n"/>
      <c r="N740" s="28">
        <f>IF($M740="","",IFERROR(INDEX(CONFIG!$C$4:$C$63,MATCH($M740,CONFIG!$A$4:$A$63,0)),"Media"))</f>
        <v/>
      </c>
      <c r="O740" s="28">
        <f>IF($M740="","",IF($C740="Interna","NO",IFERROR(INDEX(CONFIG!$E$4:$E$63,MATCH($M740,CONFIG!$A$4:$A$63,0)),"NO")))</f>
        <v/>
      </c>
      <c r="P740" s="50" t="n"/>
      <c r="Q740" s="50" t="n"/>
      <c r="R740" s="28">
        <f>IF($Q740="","",IFERROR(INDEX(CONFIG!$H$4:$H$63,MATCH($Q740,CONFIG!$G$4:$G$63,0)),"Por definir"))</f>
        <v/>
      </c>
      <c r="S740" s="28">
        <f>IF($Q740="","",IFERROR(INDEX(CONFIG!$I$4:$I$63,MATCH($Q740,CONFIG!$G$4:$G$63,0)),"Por definir"))</f>
        <v/>
      </c>
      <c r="T740" s="51" t="n"/>
      <c r="U740" s="52" t="n"/>
      <c r="V740" s="50" t="n"/>
      <c r="W740" s="50" t="n"/>
      <c r="X740" s="49">
        <f>IF(OR($B740="",$M740=""),"",WORKDAY($B740,IFERROR(INDEX(CONFIG!$D$4:$D$63,MATCH($M740,CONFIG!$A$4:$A$63,0)),3)))</f>
        <v/>
      </c>
      <c r="Y740" s="47" t="n"/>
      <c r="Z740" s="24">
        <f>IF($B740="","",IF($Y740&lt;&gt;"",$Y740-$B740,TODAY()-$B740))</f>
        <v/>
      </c>
      <c r="AA740" s="28">
        <f>IF($B740="","",IF(IFERROR(INDEX(CONFIG!$L$4:$L$63,MATCH($V740,CONFIG!$K$4:$K$63,0)),"NO")="SÍ",IF(OR($Y740="",$X740=""),"Resuelta",IF($Y740&gt;$X740,"Resuelta tarde","Resuelta a tiempo")),IF($X740="","Sin clasificar",IF(TODAY()&gt;$X740,"Vencida",IF(TODAY()&gt;=$X740-1,"Por vencer","En plazo")))))</f>
        <v/>
      </c>
      <c r="AB740" s="50" t="n"/>
      <c r="AC740" s="50" t="n"/>
    </row>
    <row r="741" ht="16" customHeight="1">
      <c r="A741" s="28">
        <f>IF($B741="","","N-"&amp;TEXT(ROW()-3,"0000"))</f>
        <v/>
      </c>
      <c r="B741" s="47" t="n"/>
      <c r="C741" s="48" t="n"/>
      <c r="D741" s="48" t="n"/>
      <c r="E741" s="28">
        <f>IF($C741="","",IF($D741="",IF($C741="Interna","Sin guía (interna)","FALTA GUÍA"),IF(COUNTIFS(ENVIOS!$A$4:$A$3003,$D741)=0,"NO EXISTE",IF(COUNTIFS(ENVIOS!$A$4:$A$3003,$D741)&gt;1,"DUPLICADA","OK"))))</f>
        <v/>
      </c>
      <c r="F741" s="28">
        <f>IF($D741="","",IFERROR(INDEX(ENVIOS!$B$4:$B$3003,MATCH($D741,ENVIOS!$A$4:$A$3003,0)),"—"))</f>
        <v/>
      </c>
      <c r="G741" s="23">
        <f>IF($D741="","",IFERROR(INDEX(ENVIOS!$D$4:$D$3003,MATCH($D741,ENVIOS!$A$4:$A$3003,0)),"—"))</f>
        <v/>
      </c>
      <c r="H741" s="23">
        <f>IF($D741="","",IFERROR(INDEX(ENVIOS!$E$4:$E$3003,MATCH($D741,ENVIOS!$A$4:$A$3003,0)),"—"))</f>
        <v/>
      </c>
      <c r="I741" s="23">
        <f>IF($D741="","",IFERROR(INDEX(ENVIOS!$F$4:$F$3003,MATCH($D741,ENVIOS!$A$4:$A$3003,0)),"—"))</f>
        <v/>
      </c>
      <c r="J741" s="23">
        <f>IF($D741="","",IFERROR(INDEX(ENVIOS!$G$4:$G$3003,MATCH($D741,ENVIOS!$A$4:$A$3003,0)),"—"))</f>
        <v/>
      </c>
      <c r="K741" s="28">
        <f>IF($D741="","",IFERROR(INDEX(ENVIOS!$H$4:$H$3003,MATCH($D741,ENVIOS!$A$4:$A$3003,0)),"—"))</f>
        <v/>
      </c>
      <c r="L741" s="49">
        <f>IF($D741="","",IFERROR(INDEX(ENVIOS!$C$4:$C$3003,MATCH($D741,ENVIOS!$A$4:$A$3003,0)),""))</f>
        <v/>
      </c>
      <c r="M741" s="50" t="n"/>
      <c r="N741" s="28">
        <f>IF($M741="","",IFERROR(INDEX(CONFIG!$C$4:$C$63,MATCH($M741,CONFIG!$A$4:$A$63,0)),"Media"))</f>
        <v/>
      </c>
      <c r="O741" s="28">
        <f>IF($M741="","",IF($C741="Interna","NO",IFERROR(INDEX(CONFIG!$E$4:$E$63,MATCH($M741,CONFIG!$A$4:$A$63,0)),"NO")))</f>
        <v/>
      </c>
      <c r="P741" s="50" t="n"/>
      <c r="Q741" s="50" t="n"/>
      <c r="R741" s="28">
        <f>IF($Q741="","",IFERROR(INDEX(CONFIG!$H$4:$H$63,MATCH($Q741,CONFIG!$G$4:$G$63,0)),"Por definir"))</f>
        <v/>
      </c>
      <c r="S741" s="28">
        <f>IF($Q741="","",IFERROR(INDEX(CONFIG!$I$4:$I$63,MATCH($Q741,CONFIG!$G$4:$G$63,0)),"Por definir"))</f>
        <v/>
      </c>
      <c r="T741" s="51" t="n"/>
      <c r="U741" s="52" t="n"/>
      <c r="V741" s="50" t="n"/>
      <c r="W741" s="50" t="n"/>
      <c r="X741" s="49">
        <f>IF(OR($B741="",$M741=""),"",WORKDAY($B741,IFERROR(INDEX(CONFIG!$D$4:$D$63,MATCH($M741,CONFIG!$A$4:$A$63,0)),3)))</f>
        <v/>
      </c>
      <c r="Y741" s="47" t="n"/>
      <c r="Z741" s="24">
        <f>IF($B741="","",IF($Y741&lt;&gt;"",$Y741-$B741,TODAY()-$B741))</f>
        <v/>
      </c>
      <c r="AA741" s="28">
        <f>IF($B741="","",IF(IFERROR(INDEX(CONFIG!$L$4:$L$63,MATCH($V741,CONFIG!$K$4:$K$63,0)),"NO")="SÍ",IF(OR($Y741="",$X741=""),"Resuelta",IF($Y741&gt;$X741,"Resuelta tarde","Resuelta a tiempo")),IF($X741="","Sin clasificar",IF(TODAY()&gt;$X741,"Vencida",IF(TODAY()&gt;=$X741-1,"Por vencer","En plazo")))))</f>
        <v/>
      </c>
      <c r="AB741" s="50" t="n"/>
      <c r="AC741" s="50" t="n"/>
    </row>
    <row r="742" ht="16" customHeight="1">
      <c r="A742" s="28">
        <f>IF($B742="","","N-"&amp;TEXT(ROW()-3,"0000"))</f>
        <v/>
      </c>
      <c r="B742" s="47" t="n"/>
      <c r="C742" s="48" t="n"/>
      <c r="D742" s="48" t="n"/>
      <c r="E742" s="28">
        <f>IF($C742="","",IF($D742="",IF($C742="Interna","Sin guía (interna)","FALTA GUÍA"),IF(COUNTIFS(ENVIOS!$A$4:$A$3003,$D742)=0,"NO EXISTE",IF(COUNTIFS(ENVIOS!$A$4:$A$3003,$D742)&gt;1,"DUPLICADA","OK"))))</f>
        <v/>
      </c>
      <c r="F742" s="28">
        <f>IF($D742="","",IFERROR(INDEX(ENVIOS!$B$4:$B$3003,MATCH($D742,ENVIOS!$A$4:$A$3003,0)),"—"))</f>
        <v/>
      </c>
      <c r="G742" s="23">
        <f>IF($D742="","",IFERROR(INDEX(ENVIOS!$D$4:$D$3003,MATCH($D742,ENVIOS!$A$4:$A$3003,0)),"—"))</f>
        <v/>
      </c>
      <c r="H742" s="23">
        <f>IF($D742="","",IFERROR(INDEX(ENVIOS!$E$4:$E$3003,MATCH($D742,ENVIOS!$A$4:$A$3003,0)),"—"))</f>
        <v/>
      </c>
      <c r="I742" s="23">
        <f>IF($D742="","",IFERROR(INDEX(ENVIOS!$F$4:$F$3003,MATCH($D742,ENVIOS!$A$4:$A$3003,0)),"—"))</f>
        <v/>
      </c>
      <c r="J742" s="23">
        <f>IF($D742="","",IFERROR(INDEX(ENVIOS!$G$4:$G$3003,MATCH($D742,ENVIOS!$A$4:$A$3003,0)),"—"))</f>
        <v/>
      </c>
      <c r="K742" s="28">
        <f>IF($D742="","",IFERROR(INDEX(ENVIOS!$H$4:$H$3003,MATCH($D742,ENVIOS!$A$4:$A$3003,0)),"—"))</f>
        <v/>
      </c>
      <c r="L742" s="49">
        <f>IF($D742="","",IFERROR(INDEX(ENVIOS!$C$4:$C$3003,MATCH($D742,ENVIOS!$A$4:$A$3003,0)),""))</f>
        <v/>
      </c>
      <c r="M742" s="50" t="n"/>
      <c r="N742" s="28">
        <f>IF($M742="","",IFERROR(INDEX(CONFIG!$C$4:$C$63,MATCH($M742,CONFIG!$A$4:$A$63,0)),"Media"))</f>
        <v/>
      </c>
      <c r="O742" s="28">
        <f>IF($M742="","",IF($C742="Interna","NO",IFERROR(INDEX(CONFIG!$E$4:$E$63,MATCH($M742,CONFIG!$A$4:$A$63,0)),"NO")))</f>
        <v/>
      </c>
      <c r="P742" s="50" t="n"/>
      <c r="Q742" s="50" t="n"/>
      <c r="R742" s="28">
        <f>IF($Q742="","",IFERROR(INDEX(CONFIG!$H$4:$H$63,MATCH($Q742,CONFIG!$G$4:$G$63,0)),"Por definir"))</f>
        <v/>
      </c>
      <c r="S742" s="28">
        <f>IF($Q742="","",IFERROR(INDEX(CONFIG!$I$4:$I$63,MATCH($Q742,CONFIG!$G$4:$G$63,0)),"Por definir"))</f>
        <v/>
      </c>
      <c r="T742" s="51" t="n"/>
      <c r="U742" s="52" t="n"/>
      <c r="V742" s="50" t="n"/>
      <c r="W742" s="50" t="n"/>
      <c r="X742" s="49">
        <f>IF(OR($B742="",$M742=""),"",WORKDAY($B742,IFERROR(INDEX(CONFIG!$D$4:$D$63,MATCH($M742,CONFIG!$A$4:$A$63,0)),3)))</f>
        <v/>
      </c>
      <c r="Y742" s="47" t="n"/>
      <c r="Z742" s="24">
        <f>IF($B742="","",IF($Y742&lt;&gt;"",$Y742-$B742,TODAY()-$B742))</f>
        <v/>
      </c>
      <c r="AA742" s="28">
        <f>IF($B742="","",IF(IFERROR(INDEX(CONFIG!$L$4:$L$63,MATCH($V742,CONFIG!$K$4:$K$63,0)),"NO")="SÍ",IF(OR($Y742="",$X742=""),"Resuelta",IF($Y742&gt;$X742,"Resuelta tarde","Resuelta a tiempo")),IF($X742="","Sin clasificar",IF(TODAY()&gt;$X742,"Vencida",IF(TODAY()&gt;=$X742-1,"Por vencer","En plazo")))))</f>
        <v/>
      </c>
      <c r="AB742" s="50" t="n"/>
      <c r="AC742" s="50" t="n"/>
    </row>
    <row r="743" ht="16" customHeight="1">
      <c r="A743" s="28">
        <f>IF($B743="","","N-"&amp;TEXT(ROW()-3,"0000"))</f>
        <v/>
      </c>
      <c r="B743" s="47" t="n"/>
      <c r="C743" s="48" t="n"/>
      <c r="D743" s="48" t="n"/>
      <c r="E743" s="28">
        <f>IF($C743="","",IF($D743="",IF($C743="Interna","Sin guía (interna)","FALTA GUÍA"),IF(COUNTIFS(ENVIOS!$A$4:$A$3003,$D743)=0,"NO EXISTE",IF(COUNTIFS(ENVIOS!$A$4:$A$3003,$D743)&gt;1,"DUPLICADA","OK"))))</f>
        <v/>
      </c>
      <c r="F743" s="28">
        <f>IF($D743="","",IFERROR(INDEX(ENVIOS!$B$4:$B$3003,MATCH($D743,ENVIOS!$A$4:$A$3003,0)),"—"))</f>
        <v/>
      </c>
      <c r="G743" s="23">
        <f>IF($D743="","",IFERROR(INDEX(ENVIOS!$D$4:$D$3003,MATCH($D743,ENVIOS!$A$4:$A$3003,0)),"—"))</f>
        <v/>
      </c>
      <c r="H743" s="23">
        <f>IF($D743="","",IFERROR(INDEX(ENVIOS!$E$4:$E$3003,MATCH($D743,ENVIOS!$A$4:$A$3003,0)),"—"))</f>
        <v/>
      </c>
      <c r="I743" s="23">
        <f>IF($D743="","",IFERROR(INDEX(ENVIOS!$F$4:$F$3003,MATCH($D743,ENVIOS!$A$4:$A$3003,0)),"—"))</f>
        <v/>
      </c>
      <c r="J743" s="23">
        <f>IF($D743="","",IFERROR(INDEX(ENVIOS!$G$4:$G$3003,MATCH($D743,ENVIOS!$A$4:$A$3003,0)),"—"))</f>
        <v/>
      </c>
      <c r="K743" s="28">
        <f>IF($D743="","",IFERROR(INDEX(ENVIOS!$H$4:$H$3003,MATCH($D743,ENVIOS!$A$4:$A$3003,0)),"—"))</f>
        <v/>
      </c>
      <c r="L743" s="49">
        <f>IF($D743="","",IFERROR(INDEX(ENVIOS!$C$4:$C$3003,MATCH($D743,ENVIOS!$A$4:$A$3003,0)),""))</f>
        <v/>
      </c>
      <c r="M743" s="50" t="n"/>
      <c r="N743" s="28">
        <f>IF($M743="","",IFERROR(INDEX(CONFIG!$C$4:$C$63,MATCH($M743,CONFIG!$A$4:$A$63,0)),"Media"))</f>
        <v/>
      </c>
      <c r="O743" s="28">
        <f>IF($M743="","",IF($C743="Interna","NO",IFERROR(INDEX(CONFIG!$E$4:$E$63,MATCH($M743,CONFIG!$A$4:$A$63,0)),"NO")))</f>
        <v/>
      </c>
      <c r="P743" s="50" t="n"/>
      <c r="Q743" s="50" t="n"/>
      <c r="R743" s="28">
        <f>IF($Q743="","",IFERROR(INDEX(CONFIG!$H$4:$H$63,MATCH($Q743,CONFIG!$G$4:$G$63,0)),"Por definir"))</f>
        <v/>
      </c>
      <c r="S743" s="28">
        <f>IF($Q743="","",IFERROR(INDEX(CONFIG!$I$4:$I$63,MATCH($Q743,CONFIG!$G$4:$G$63,0)),"Por definir"))</f>
        <v/>
      </c>
      <c r="T743" s="51" t="n"/>
      <c r="U743" s="52" t="n"/>
      <c r="V743" s="50" t="n"/>
      <c r="W743" s="50" t="n"/>
      <c r="X743" s="49">
        <f>IF(OR($B743="",$M743=""),"",WORKDAY($B743,IFERROR(INDEX(CONFIG!$D$4:$D$63,MATCH($M743,CONFIG!$A$4:$A$63,0)),3)))</f>
        <v/>
      </c>
      <c r="Y743" s="47" t="n"/>
      <c r="Z743" s="24">
        <f>IF($B743="","",IF($Y743&lt;&gt;"",$Y743-$B743,TODAY()-$B743))</f>
        <v/>
      </c>
      <c r="AA743" s="28">
        <f>IF($B743="","",IF(IFERROR(INDEX(CONFIG!$L$4:$L$63,MATCH($V743,CONFIG!$K$4:$K$63,0)),"NO")="SÍ",IF(OR($Y743="",$X743=""),"Resuelta",IF($Y743&gt;$X743,"Resuelta tarde","Resuelta a tiempo")),IF($X743="","Sin clasificar",IF(TODAY()&gt;$X743,"Vencida",IF(TODAY()&gt;=$X743-1,"Por vencer","En plazo")))))</f>
        <v/>
      </c>
      <c r="AB743" s="50" t="n"/>
      <c r="AC743" s="50" t="n"/>
    </row>
    <row r="744" ht="16" customHeight="1">
      <c r="A744" s="28">
        <f>IF($B744="","","N-"&amp;TEXT(ROW()-3,"0000"))</f>
        <v/>
      </c>
      <c r="B744" s="47" t="n"/>
      <c r="C744" s="48" t="n"/>
      <c r="D744" s="48" t="n"/>
      <c r="E744" s="28">
        <f>IF($C744="","",IF($D744="",IF($C744="Interna","Sin guía (interna)","FALTA GUÍA"),IF(COUNTIFS(ENVIOS!$A$4:$A$3003,$D744)=0,"NO EXISTE",IF(COUNTIFS(ENVIOS!$A$4:$A$3003,$D744)&gt;1,"DUPLICADA","OK"))))</f>
        <v/>
      </c>
      <c r="F744" s="28">
        <f>IF($D744="","",IFERROR(INDEX(ENVIOS!$B$4:$B$3003,MATCH($D744,ENVIOS!$A$4:$A$3003,0)),"—"))</f>
        <v/>
      </c>
      <c r="G744" s="23">
        <f>IF($D744="","",IFERROR(INDEX(ENVIOS!$D$4:$D$3003,MATCH($D744,ENVIOS!$A$4:$A$3003,0)),"—"))</f>
        <v/>
      </c>
      <c r="H744" s="23">
        <f>IF($D744="","",IFERROR(INDEX(ENVIOS!$E$4:$E$3003,MATCH($D744,ENVIOS!$A$4:$A$3003,0)),"—"))</f>
        <v/>
      </c>
      <c r="I744" s="23">
        <f>IF($D744="","",IFERROR(INDEX(ENVIOS!$F$4:$F$3003,MATCH($D744,ENVIOS!$A$4:$A$3003,0)),"—"))</f>
        <v/>
      </c>
      <c r="J744" s="23">
        <f>IF($D744="","",IFERROR(INDEX(ENVIOS!$G$4:$G$3003,MATCH($D744,ENVIOS!$A$4:$A$3003,0)),"—"))</f>
        <v/>
      </c>
      <c r="K744" s="28">
        <f>IF($D744="","",IFERROR(INDEX(ENVIOS!$H$4:$H$3003,MATCH($D744,ENVIOS!$A$4:$A$3003,0)),"—"))</f>
        <v/>
      </c>
      <c r="L744" s="49">
        <f>IF($D744="","",IFERROR(INDEX(ENVIOS!$C$4:$C$3003,MATCH($D744,ENVIOS!$A$4:$A$3003,0)),""))</f>
        <v/>
      </c>
      <c r="M744" s="50" t="n"/>
      <c r="N744" s="28">
        <f>IF($M744="","",IFERROR(INDEX(CONFIG!$C$4:$C$63,MATCH($M744,CONFIG!$A$4:$A$63,0)),"Media"))</f>
        <v/>
      </c>
      <c r="O744" s="28">
        <f>IF($M744="","",IF($C744="Interna","NO",IFERROR(INDEX(CONFIG!$E$4:$E$63,MATCH($M744,CONFIG!$A$4:$A$63,0)),"NO")))</f>
        <v/>
      </c>
      <c r="P744" s="50" t="n"/>
      <c r="Q744" s="50" t="n"/>
      <c r="R744" s="28">
        <f>IF($Q744="","",IFERROR(INDEX(CONFIG!$H$4:$H$63,MATCH($Q744,CONFIG!$G$4:$G$63,0)),"Por definir"))</f>
        <v/>
      </c>
      <c r="S744" s="28">
        <f>IF($Q744="","",IFERROR(INDEX(CONFIG!$I$4:$I$63,MATCH($Q744,CONFIG!$G$4:$G$63,0)),"Por definir"))</f>
        <v/>
      </c>
      <c r="T744" s="51" t="n"/>
      <c r="U744" s="52" t="n"/>
      <c r="V744" s="50" t="n"/>
      <c r="W744" s="50" t="n"/>
      <c r="X744" s="49">
        <f>IF(OR($B744="",$M744=""),"",WORKDAY($B744,IFERROR(INDEX(CONFIG!$D$4:$D$63,MATCH($M744,CONFIG!$A$4:$A$63,0)),3)))</f>
        <v/>
      </c>
      <c r="Y744" s="47" t="n"/>
      <c r="Z744" s="24">
        <f>IF($B744="","",IF($Y744&lt;&gt;"",$Y744-$B744,TODAY()-$B744))</f>
        <v/>
      </c>
      <c r="AA744" s="28">
        <f>IF($B744="","",IF(IFERROR(INDEX(CONFIG!$L$4:$L$63,MATCH($V744,CONFIG!$K$4:$K$63,0)),"NO")="SÍ",IF(OR($Y744="",$X744=""),"Resuelta",IF($Y744&gt;$X744,"Resuelta tarde","Resuelta a tiempo")),IF($X744="","Sin clasificar",IF(TODAY()&gt;$X744,"Vencida",IF(TODAY()&gt;=$X744-1,"Por vencer","En plazo")))))</f>
        <v/>
      </c>
      <c r="AB744" s="50" t="n"/>
      <c r="AC744" s="50" t="n"/>
    </row>
    <row r="745" ht="16" customHeight="1">
      <c r="A745" s="28">
        <f>IF($B745="","","N-"&amp;TEXT(ROW()-3,"0000"))</f>
        <v/>
      </c>
      <c r="B745" s="47" t="n"/>
      <c r="C745" s="48" t="n"/>
      <c r="D745" s="48" t="n"/>
      <c r="E745" s="28">
        <f>IF($C745="","",IF($D745="",IF($C745="Interna","Sin guía (interna)","FALTA GUÍA"),IF(COUNTIFS(ENVIOS!$A$4:$A$3003,$D745)=0,"NO EXISTE",IF(COUNTIFS(ENVIOS!$A$4:$A$3003,$D745)&gt;1,"DUPLICADA","OK"))))</f>
        <v/>
      </c>
      <c r="F745" s="28">
        <f>IF($D745="","",IFERROR(INDEX(ENVIOS!$B$4:$B$3003,MATCH($D745,ENVIOS!$A$4:$A$3003,0)),"—"))</f>
        <v/>
      </c>
      <c r="G745" s="23">
        <f>IF($D745="","",IFERROR(INDEX(ENVIOS!$D$4:$D$3003,MATCH($D745,ENVIOS!$A$4:$A$3003,0)),"—"))</f>
        <v/>
      </c>
      <c r="H745" s="23">
        <f>IF($D745="","",IFERROR(INDEX(ENVIOS!$E$4:$E$3003,MATCH($D745,ENVIOS!$A$4:$A$3003,0)),"—"))</f>
        <v/>
      </c>
      <c r="I745" s="23">
        <f>IF($D745="","",IFERROR(INDEX(ENVIOS!$F$4:$F$3003,MATCH($D745,ENVIOS!$A$4:$A$3003,0)),"—"))</f>
        <v/>
      </c>
      <c r="J745" s="23">
        <f>IF($D745="","",IFERROR(INDEX(ENVIOS!$G$4:$G$3003,MATCH($D745,ENVIOS!$A$4:$A$3003,0)),"—"))</f>
        <v/>
      </c>
      <c r="K745" s="28">
        <f>IF($D745="","",IFERROR(INDEX(ENVIOS!$H$4:$H$3003,MATCH($D745,ENVIOS!$A$4:$A$3003,0)),"—"))</f>
        <v/>
      </c>
      <c r="L745" s="49">
        <f>IF($D745="","",IFERROR(INDEX(ENVIOS!$C$4:$C$3003,MATCH($D745,ENVIOS!$A$4:$A$3003,0)),""))</f>
        <v/>
      </c>
      <c r="M745" s="50" t="n"/>
      <c r="N745" s="28">
        <f>IF($M745="","",IFERROR(INDEX(CONFIG!$C$4:$C$63,MATCH($M745,CONFIG!$A$4:$A$63,0)),"Media"))</f>
        <v/>
      </c>
      <c r="O745" s="28">
        <f>IF($M745="","",IF($C745="Interna","NO",IFERROR(INDEX(CONFIG!$E$4:$E$63,MATCH($M745,CONFIG!$A$4:$A$63,0)),"NO")))</f>
        <v/>
      </c>
      <c r="P745" s="50" t="n"/>
      <c r="Q745" s="50" t="n"/>
      <c r="R745" s="28">
        <f>IF($Q745="","",IFERROR(INDEX(CONFIG!$H$4:$H$63,MATCH($Q745,CONFIG!$G$4:$G$63,0)),"Por definir"))</f>
        <v/>
      </c>
      <c r="S745" s="28">
        <f>IF($Q745="","",IFERROR(INDEX(CONFIG!$I$4:$I$63,MATCH($Q745,CONFIG!$G$4:$G$63,0)),"Por definir"))</f>
        <v/>
      </c>
      <c r="T745" s="51" t="n"/>
      <c r="U745" s="52" t="n"/>
      <c r="V745" s="50" t="n"/>
      <c r="W745" s="50" t="n"/>
      <c r="X745" s="49">
        <f>IF(OR($B745="",$M745=""),"",WORKDAY($B745,IFERROR(INDEX(CONFIG!$D$4:$D$63,MATCH($M745,CONFIG!$A$4:$A$63,0)),3)))</f>
        <v/>
      </c>
      <c r="Y745" s="47" t="n"/>
      <c r="Z745" s="24">
        <f>IF($B745="","",IF($Y745&lt;&gt;"",$Y745-$B745,TODAY()-$B745))</f>
        <v/>
      </c>
      <c r="AA745" s="28">
        <f>IF($B745="","",IF(IFERROR(INDEX(CONFIG!$L$4:$L$63,MATCH($V745,CONFIG!$K$4:$K$63,0)),"NO")="SÍ",IF(OR($Y745="",$X745=""),"Resuelta",IF($Y745&gt;$X745,"Resuelta tarde","Resuelta a tiempo")),IF($X745="","Sin clasificar",IF(TODAY()&gt;$X745,"Vencida",IF(TODAY()&gt;=$X745-1,"Por vencer","En plazo")))))</f>
        <v/>
      </c>
      <c r="AB745" s="50" t="n"/>
      <c r="AC745" s="50" t="n"/>
    </row>
    <row r="746" ht="16" customHeight="1">
      <c r="A746" s="28">
        <f>IF($B746="","","N-"&amp;TEXT(ROW()-3,"0000"))</f>
        <v/>
      </c>
      <c r="B746" s="47" t="n"/>
      <c r="C746" s="48" t="n"/>
      <c r="D746" s="48" t="n"/>
      <c r="E746" s="28">
        <f>IF($C746="","",IF($D746="",IF($C746="Interna","Sin guía (interna)","FALTA GUÍA"),IF(COUNTIFS(ENVIOS!$A$4:$A$3003,$D746)=0,"NO EXISTE",IF(COUNTIFS(ENVIOS!$A$4:$A$3003,$D746)&gt;1,"DUPLICADA","OK"))))</f>
        <v/>
      </c>
      <c r="F746" s="28">
        <f>IF($D746="","",IFERROR(INDEX(ENVIOS!$B$4:$B$3003,MATCH($D746,ENVIOS!$A$4:$A$3003,0)),"—"))</f>
        <v/>
      </c>
      <c r="G746" s="23">
        <f>IF($D746="","",IFERROR(INDEX(ENVIOS!$D$4:$D$3003,MATCH($D746,ENVIOS!$A$4:$A$3003,0)),"—"))</f>
        <v/>
      </c>
      <c r="H746" s="23">
        <f>IF($D746="","",IFERROR(INDEX(ENVIOS!$E$4:$E$3003,MATCH($D746,ENVIOS!$A$4:$A$3003,0)),"—"))</f>
        <v/>
      </c>
      <c r="I746" s="23">
        <f>IF($D746="","",IFERROR(INDEX(ENVIOS!$F$4:$F$3003,MATCH($D746,ENVIOS!$A$4:$A$3003,0)),"—"))</f>
        <v/>
      </c>
      <c r="J746" s="23">
        <f>IF($D746="","",IFERROR(INDEX(ENVIOS!$G$4:$G$3003,MATCH($D746,ENVIOS!$A$4:$A$3003,0)),"—"))</f>
        <v/>
      </c>
      <c r="K746" s="28">
        <f>IF($D746="","",IFERROR(INDEX(ENVIOS!$H$4:$H$3003,MATCH($D746,ENVIOS!$A$4:$A$3003,0)),"—"))</f>
        <v/>
      </c>
      <c r="L746" s="49">
        <f>IF($D746="","",IFERROR(INDEX(ENVIOS!$C$4:$C$3003,MATCH($D746,ENVIOS!$A$4:$A$3003,0)),""))</f>
        <v/>
      </c>
      <c r="M746" s="50" t="n"/>
      <c r="N746" s="28">
        <f>IF($M746="","",IFERROR(INDEX(CONFIG!$C$4:$C$63,MATCH($M746,CONFIG!$A$4:$A$63,0)),"Media"))</f>
        <v/>
      </c>
      <c r="O746" s="28">
        <f>IF($M746="","",IF($C746="Interna","NO",IFERROR(INDEX(CONFIG!$E$4:$E$63,MATCH($M746,CONFIG!$A$4:$A$63,0)),"NO")))</f>
        <v/>
      </c>
      <c r="P746" s="50" t="n"/>
      <c r="Q746" s="50" t="n"/>
      <c r="R746" s="28">
        <f>IF($Q746="","",IFERROR(INDEX(CONFIG!$H$4:$H$63,MATCH($Q746,CONFIG!$G$4:$G$63,0)),"Por definir"))</f>
        <v/>
      </c>
      <c r="S746" s="28">
        <f>IF($Q746="","",IFERROR(INDEX(CONFIG!$I$4:$I$63,MATCH($Q746,CONFIG!$G$4:$G$63,0)),"Por definir"))</f>
        <v/>
      </c>
      <c r="T746" s="51" t="n"/>
      <c r="U746" s="52" t="n"/>
      <c r="V746" s="50" t="n"/>
      <c r="W746" s="50" t="n"/>
      <c r="X746" s="49">
        <f>IF(OR($B746="",$M746=""),"",WORKDAY($B746,IFERROR(INDEX(CONFIG!$D$4:$D$63,MATCH($M746,CONFIG!$A$4:$A$63,0)),3)))</f>
        <v/>
      </c>
      <c r="Y746" s="47" t="n"/>
      <c r="Z746" s="24">
        <f>IF($B746="","",IF($Y746&lt;&gt;"",$Y746-$B746,TODAY()-$B746))</f>
        <v/>
      </c>
      <c r="AA746" s="28">
        <f>IF($B746="","",IF(IFERROR(INDEX(CONFIG!$L$4:$L$63,MATCH($V746,CONFIG!$K$4:$K$63,0)),"NO")="SÍ",IF(OR($Y746="",$X746=""),"Resuelta",IF($Y746&gt;$X746,"Resuelta tarde","Resuelta a tiempo")),IF($X746="","Sin clasificar",IF(TODAY()&gt;$X746,"Vencida",IF(TODAY()&gt;=$X746-1,"Por vencer","En plazo")))))</f>
        <v/>
      </c>
      <c r="AB746" s="50" t="n"/>
      <c r="AC746" s="50" t="n"/>
    </row>
    <row r="747" ht="16" customHeight="1">
      <c r="A747" s="28">
        <f>IF($B747="","","N-"&amp;TEXT(ROW()-3,"0000"))</f>
        <v/>
      </c>
      <c r="B747" s="47" t="n"/>
      <c r="C747" s="48" t="n"/>
      <c r="D747" s="48" t="n"/>
      <c r="E747" s="28">
        <f>IF($C747="","",IF($D747="",IF($C747="Interna","Sin guía (interna)","FALTA GUÍA"),IF(COUNTIFS(ENVIOS!$A$4:$A$3003,$D747)=0,"NO EXISTE",IF(COUNTIFS(ENVIOS!$A$4:$A$3003,$D747)&gt;1,"DUPLICADA","OK"))))</f>
        <v/>
      </c>
      <c r="F747" s="28">
        <f>IF($D747="","",IFERROR(INDEX(ENVIOS!$B$4:$B$3003,MATCH($D747,ENVIOS!$A$4:$A$3003,0)),"—"))</f>
        <v/>
      </c>
      <c r="G747" s="23">
        <f>IF($D747="","",IFERROR(INDEX(ENVIOS!$D$4:$D$3003,MATCH($D747,ENVIOS!$A$4:$A$3003,0)),"—"))</f>
        <v/>
      </c>
      <c r="H747" s="23">
        <f>IF($D747="","",IFERROR(INDEX(ENVIOS!$E$4:$E$3003,MATCH($D747,ENVIOS!$A$4:$A$3003,0)),"—"))</f>
        <v/>
      </c>
      <c r="I747" s="23">
        <f>IF($D747="","",IFERROR(INDEX(ENVIOS!$F$4:$F$3003,MATCH($D747,ENVIOS!$A$4:$A$3003,0)),"—"))</f>
        <v/>
      </c>
      <c r="J747" s="23">
        <f>IF($D747="","",IFERROR(INDEX(ENVIOS!$G$4:$G$3003,MATCH($D747,ENVIOS!$A$4:$A$3003,0)),"—"))</f>
        <v/>
      </c>
      <c r="K747" s="28">
        <f>IF($D747="","",IFERROR(INDEX(ENVIOS!$H$4:$H$3003,MATCH($D747,ENVIOS!$A$4:$A$3003,0)),"—"))</f>
        <v/>
      </c>
      <c r="L747" s="49">
        <f>IF($D747="","",IFERROR(INDEX(ENVIOS!$C$4:$C$3003,MATCH($D747,ENVIOS!$A$4:$A$3003,0)),""))</f>
        <v/>
      </c>
      <c r="M747" s="50" t="n"/>
      <c r="N747" s="28">
        <f>IF($M747="","",IFERROR(INDEX(CONFIG!$C$4:$C$63,MATCH($M747,CONFIG!$A$4:$A$63,0)),"Media"))</f>
        <v/>
      </c>
      <c r="O747" s="28">
        <f>IF($M747="","",IF($C747="Interna","NO",IFERROR(INDEX(CONFIG!$E$4:$E$63,MATCH($M747,CONFIG!$A$4:$A$63,0)),"NO")))</f>
        <v/>
      </c>
      <c r="P747" s="50" t="n"/>
      <c r="Q747" s="50" t="n"/>
      <c r="R747" s="28">
        <f>IF($Q747="","",IFERROR(INDEX(CONFIG!$H$4:$H$63,MATCH($Q747,CONFIG!$G$4:$G$63,0)),"Por definir"))</f>
        <v/>
      </c>
      <c r="S747" s="28">
        <f>IF($Q747="","",IFERROR(INDEX(CONFIG!$I$4:$I$63,MATCH($Q747,CONFIG!$G$4:$G$63,0)),"Por definir"))</f>
        <v/>
      </c>
      <c r="T747" s="51" t="n"/>
      <c r="U747" s="52" t="n"/>
      <c r="V747" s="50" t="n"/>
      <c r="W747" s="50" t="n"/>
      <c r="X747" s="49">
        <f>IF(OR($B747="",$M747=""),"",WORKDAY($B747,IFERROR(INDEX(CONFIG!$D$4:$D$63,MATCH($M747,CONFIG!$A$4:$A$63,0)),3)))</f>
        <v/>
      </c>
      <c r="Y747" s="47" t="n"/>
      <c r="Z747" s="24">
        <f>IF($B747="","",IF($Y747&lt;&gt;"",$Y747-$B747,TODAY()-$B747))</f>
        <v/>
      </c>
      <c r="AA747" s="28">
        <f>IF($B747="","",IF(IFERROR(INDEX(CONFIG!$L$4:$L$63,MATCH($V747,CONFIG!$K$4:$K$63,0)),"NO")="SÍ",IF(OR($Y747="",$X747=""),"Resuelta",IF($Y747&gt;$X747,"Resuelta tarde","Resuelta a tiempo")),IF($X747="","Sin clasificar",IF(TODAY()&gt;$X747,"Vencida",IF(TODAY()&gt;=$X747-1,"Por vencer","En plazo")))))</f>
        <v/>
      </c>
      <c r="AB747" s="50" t="n"/>
      <c r="AC747" s="50" t="n"/>
    </row>
    <row r="748" ht="16" customHeight="1">
      <c r="A748" s="28">
        <f>IF($B748="","","N-"&amp;TEXT(ROW()-3,"0000"))</f>
        <v/>
      </c>
      <c r="B748" s="47" t="n"/>
      <c r="C748" s="48" t="n"/>
      <c r="D748" s="48" t="n"/>
      <c r="E748" s="28">
        <f>IF($C748="","",IF($D748="",IF($C748="Interna","Sin guía (interna)","FALTA GUÍA"),IF(COUNTIFS(ENVIOS!$A$4:$A$3003,$D748)=0,"NO EXISTE",IF(COUNTIFS(ENVIOS!$A$4:$A$3003,$D748)&gt;1,"DUPLICADA","OK"))))</f>
        <v/>
      </c>
      <c r="F748" s="28">
        <f>IF($D748="","",IFERROR(INDEX(ENVIOS!$B$4:$B$3003,MATCH($D748,ENVIOS!$A$4:$A$3003,0)),"—"))</f>
        <v/>
      </c>
      <c r="G748" s="23">
        <f>IF($D748="","",IFERROR(INDEX(ENVIOS!$D$4:$D$3003,MATCH($D748,ENVIOS!$A$4:$A$3003,0)),"—"))</f>
        <v/>
      </c>
      <c r="H748" s="23">
        <f>IF($D748="","",IFERROR(INDEX(ENVIOS!$E$4:$E$3003,MATCH($D748,ENVIOS!$A$4:$A$3003,0)),"—"))</f>
        <v/>
      </c>
      <c r="I748" s="23">
        <f>IF($D748="","",IFERROR(INDEX(ENVIOS!$F$4:$F$3003,MATCH($D748,ENVIOS!$A$4:$A$3003,0)),"—"))</f>
        <v/>
      </c>
      <c r="J748" s="23">
        <f>IF($D748="","",IFERROR(INDEX(ENVIOS!$G$4:$G$3003,MATCH($D748,ENVIOS!$A$4:$A$3003,0)),"—"))</f>
        <v/>
      </c>
      <c r="K748" s="28">
        <f>IF($D748="","",IFERROR(INDEX(ENVIOS!$H$4:$H$3003,MATCH($D748,ENVIOS!$A$4:$A$3003,0)),"—"))</f>
        <v/>
      </c>
      <c r="L748" s="49">
        <f>IF($D748="","",IFERROR(INDEX(ENVIOS!$C$4:$C$3003,MATCH($D748,ENVIOS!$A$4:$A$3003,0)),""))</f>
        <v/>
      </c>
      <c r="M748" s="50" t="n"/>
      <c r="N748" s="28">
        <f>IF($M748="","",IFERROR(INDEX(CONFIG!$C$4:$C$63,MATCH($M748,CONFIG!$A$4:$A$63,0)),"Media"))</f>
        <v/>
      </c>
      <c r="O748" s="28">
        <f>IF($M748="","",IF($C748="Interna","NO",IFERROR(INDEX(CONFIG!$E$4:$E$63,MATCH($M748,CONFIG!$A$4:$A$63,0)),"NO")))</f>
        <v/>
      </c>
      <c r="P748" s="50" t="n"/>
      <c r="Q748" s="50" t="n"/>
      <c r="R748" s="28">
        <f>IF($Q748="","",IFERROR(INDEX(CONFIG!$H$4:$H$63,MATCH($Q748,CONFIG!$G$4:$G$63,0)),"Por definir"))</f>
        <v/>
      </c>
      <c r="S748" s="28">
        <f>IF($Q748="","",IFERROR(INDEX(CONFIG!$I$4:$I$63,MATCH($Q748,CONFIG!$G$4:$G$63,0)),"Por definir"))</f>
        <v/>
      </c>
      <c r="T748" s="51" t="n"/>
      <c r="U748" s="52" t="n"/>
      <c r="V748" s="50" t="n"/>
      <c r="W748" s="50" t="n"/>
      <c r="X748" s="49">
        <f>IF(OR($B748="",$M748=""),"",WORKDAY($B748,IFERROR(INDEX(CONFIG!$D$4:$D$63,MATCH($M748,CONFIG!$A$4:$A$63,0)),3)))</f>
        <v/>
      </c>
      <c r="Y748" s="47" t="n"/>
      <c r="Z748" s="24">
        <f>IF($B748="","",IF($Y748&lt;&gt;"",$Y748-$B748,TODAY()-$B748))</f>
        <v/>
      </c>
      <c r="AA748" s="28">
        <f>IF($B748="","",IF(IFERROR(INDEX(CONFIG!$L$4:$L$63,MATCH($V748,CONFIG!$K$4:$K$63,0)),"NO")="SÍ",IF(OR($Y748="",$X748=""),"Resuelta",IF($Y748&gt;$X748,"Resuelta tarde","Resuelta a tiempo")),IF($X748="","Sin clasificar",IF(TODAY()&gt;$X748,"Vencida",IF(TODAY()&gt;=$X748-1,"Por vencer","En plazo")))))</f>
        <v/>
      </c>
      <c r="AB748" s="50" t="n"/>
      <c r="AC748" s="50" t="n"/>
    </row>
    <row r="749" ht="16" customHeight="1">
      <c r="A749" s="28">
        <f>IF($B749="","","N-"&amp;TEXT(ROW()-3,"0000"))</f>
        <v/>
      </c>
      <c r="B749" s="47" t="n"/>
      <c r="C749" s="48" t="n"/>
      <c r="D749" s="48" t="n"/>
      <c r="E749" s="28">
        <f>IF($C749="","",IF($D749="",IF($C749="Interna","Sin guía (interna)","FALTA GUÍA"),IF(COUNTIFS(ENVIOS!$A$4:$A$3003,$D749)=0,"NO EXISTE",IF(COUNTIFS(ENVIOS!$A$4:$A$3003,$D749)&gt;1,"DUPLICADA","OK"))))</f>
        <v/>
      </c>
      <c r="F749" s="28">
        <f>IF($D749="","",IFERROR(INDEX(ENVIOS!$B$4:$B$3003,MATCH($D749,ENVIOS!$A$4:$A$3003,0)),"—"))</f>
        <v/>
      </c>
      <c r="G749" s="23">
        <f>IF($D749="","",IFERROR(INDEX(ENVIOS!$D$4:$D$3003,MATCH($D749,ENVIOS!$A$4:$A$3003,0)),"—"))</f>
        <v/>
      </c>
      <c r="H749" s="23">
        <f>IF($D749="","",IFERROR(INDEX(ENVIOS!$E$4:$E$3003,MATCH($D749,ENVIOS!$A$4:$A$3003,0)),"—"))</f>
        <v/>
      </c>
      <c r="I749" s="23">
        <f>IF($D749="","",IFERROR(INDEX(ENVIOS!$F$4:$F$3003,MATCH($D749,ENVIOS!$A$4:$A$3003,0)),"—"))</f>
        <v/>
      </c>
      <c r="J749" s="23">
        <f>IF($D749="","",IFERROR(INDEX(ENVIOS!$G$4:$G$3003,MATCH($D749,ENVIOS!$A$4:$A$3003,0)),"—"))</f>
        <v/>
      </c>
      <c r="K749" s="28">
        <f>IF($D749="","",IFERROR(INDEX(ENVIOS!$H$4:$H$3003,MATCH($D749,ENVIOS!$A$4:$A$3003,0)),"—"))</f>
        <v/>
      </c>
      <c r="L749" s="49">
        <f>IF($D749="","",IFERROR(INDEX(ENVIOS!$C$4:$C$3003,MATCH($D749,ENVIOS!$A$4:$A$3003,0)),""))</f>
        <v/>
      </c>
      <c r="M749" s="50" t="n"/>
      <c r="N749" s="28">
        <f>IF($M749="","",IFERROR(INDEX(CONFIG!$C$4:$C$63,MATCH($M749,CONFIG!$A$4:$A$63,0)),"Media"))</f>
        <v/>
      </c>
      <c r="O749" s="28">
        <f>IF($M749="","",IF($C749="Interna","NO",IFERROR(INDEX(CONFIG!$E$4:$E$63,MATCH($M749,CONFIG!$A$4:$A$63,0)),"NO")))</f>
        <v/>
      </c>
      <c r="P749" s="50" t="n"/>
      <c r="Q749" s="50" t="n"/>
      <c r="R749" s="28">
        <f>IF($Q749="","",IFERROR(INDEX(CONFIG!$H$4:$H$63,MATCH($Q749,CONFIG!$G$4:$G$63,0)),"Por definir"))</f>
        <v/>
      </c>
      <c r="S749" s="28">
        <f>IF($Q749="","",IFERROR(INDEX(CONFIG!$I$4:$I$63,MATCH($Q749,CONFIG!$G$4:$G$63,0)),"Por definir"))</f>
        <v/>
      </c>
      <c r="T749" s="51" t="n"/>
      <c r="U749" s="52" t="n"/>
      <c r="V749" s="50" t="n"/>
      <c r="W749" s="50" t="n"/>
      <c r="X749" s="49">
        <f>IF(OR($B749="",$M749=""),"",WORKDAY($B749,IFERROR(INDEX(CONFIG!$D$4:$D$63,MATCH($M749,CONFIG!$A$4:$A$63,0)),3)))</f>
        <v/>
      </c>
      <c r="Y749" s="47" t="n"/>
      <c r="Z749" s="24">
        <f>IF($B749="","",IF($Y749&lt;&gt;"",$Y749-$B749,TODAY()-$B749))</f>
        <v/>
      </c>
      <c r="AA749" s="28">
        <f>IF($B749="","",IF(IFERROR(INDEX(CONFIG!$L$4:$L$63,MATCH($V749,CONFIG!$K$4:$K$63,0)),"NO")="SÍ",IF(OR($Y749="",$X749=""),"Resuelta",IF($Y749&gt;$X749,"Resuelta tarde","Resuelta a tiempo")),IF($X749="","Sin clasificar",IF(TODAY()&gt;$X749,"Vencida",IF(TODAY()&gt;=$X749-1,"Por vencer","En plazo")))))</f>
        <v/>
      </c>
      <c r="AB749" s="50" t="n"/>
      <c r="AC749" s="50" t="n"/>
    </row>
    <row r="750" ht="16" customHeight="1">
      <c r="A750" s="28">
        <f>IF($B750="","","N-"&amp;TEXT(ROW()-3,"0000"))</f>
        <v/>
      </c>
      <c r="B750" s="47" t="n"/>
      <c r="C750" s="48" t="n"/>
      <c r="D750" s="48" t="n"/>
      <c r="E750" s="28">
        <f>IF($C750="","",IF($D750="",IF($C750="Interna","Sin guía (interna)","FALTA GUÍA"),IF(COUNTIFS(ENVIOS!$A$4:$A$3003,$D750)=0,"NO EXISTE",IF(COUNTIFS(ENVIOS!$A$4:$A$3003,$D750)&gt;1,"DUPLICADA","OK"))))</f>
        <v/>
      </c>
      <c r="F750" s="28">
        <f>IF($D750="","",IFERROR(INDEX(ENVIOS!$B$4:$B$3003,MATCH($D750,ENVIOS!$A$4:$A$3003,0)),"—"))</f>
        <v/>
      </c>
      <c r="G750" s="23">
        <f>IF($D750="","",IFERROR(INDEX(ENVIOS!$D$4:$D$3003,MATCH($D750,ENVIOS!$A$4:$A$3003,0)),"—"))</f>
        <v/>
      </c>
      <c r="H750" s="23">
        <f>IF($D750="","",IFERROR(INDEX(ENVIOS!$E$4:$E$3003,MATCH($D750,ENVIOS!$A$4:$A$3003,0)),"—"))</f>
        <v/>
      </c>
      <c r="I750" s="23">
        <f>IF($D750="","",IFERROR(INDEX(ENVIOS!$F$4:$F$3003,MATCH($D750,ENVIOS!$A$4:$A$3003,0)),"—"))</f>
        <v/>
      </c>
      <c r="J750" s="23">
        <f>IF($D750="","",IFERROR(INDEX(ENVIOS!$G$4:$G$3003,MATCH($D750,ENVIOS!$A$4:$A$3003,0)),"—"))</f>
        <v/>
      </c>
      <c r="K750" s="28">
        <f>IF($D750="","",IFERROR(INDEX(ENVIOS!$H$4:$H$3003,MATCH($D750,ENVIOS!$A$4:$A$3003,0)),"—"))</f>
        <v/>
      </c>
      <c r="L750" s="49">
        <f>IF($D750="","",IFERROR(INDEX(ENVIOS!$C$4:$C$3003,MATCH($D750,ENVIOS!$A$4:$A$3003,0)),""))</f>
        <v/>
      </c>
      <c r="M750" s="50" t="n"/>
      <c r="N750" s="28">
        <f>IF($M750="","",IFERROR(INDEX(CONFIG!$C$4:$C$63,MATCH($M750,CONFIG!$A$4:$A$63,0)),"Media"))</f>
        <v/>
      </c>
      <c r="O750" s="28">
        <f>IF($M750="","",IF($C750="Interna","NO",IFERROR(INDEX(CONFIG!$E$4:$E$63,MATCH($M750,CONFIG!$A$4:$A$63,0)),"NO")))</f>
        <v/>
      </c>
      <c r="P750" s="50" t="n"/>
      <c r="Q750" s="50" t="n"/>
      <c r="R750" s="28">
        <f>IF($Q750="","",IFERROR(INDEX(CONFIG!$H$4:$H$63,MATCH($Q750,CONFIG!$G$4:$G$63,0)),"Por definir"))</f>
        <v/>
      </c>
      <c r="S750" s="28">
        <f>IF($Q750="","",IFERROR(INDEX(CONFIG!$I$4:$I$63,MATCH($Q750,CONFIG!$G$4:$G$63,0)),"Por definir"))</f>
        <v/>
      </c>
      <c r="T750" s="51" t="n"/>
      <c r="U750" s="52" t="n"/>
      <c r="V750" s="50" t="n"/>
      <c r="W750" s="50" t="n"/>
      <c r="X750" s="49">
        <f>IF(OR($B750="",$M750=""),"",WORKDAY($B750,IFERROR(INDEX(CONFIG!$D$4:$D$63,MATCH($M750,CONFIG!$A$4:$A$63,0)),3)))</f>
        <v/>
      </c>
      <c r="Y750" s="47" t="n"/>
      <c r="Z750" s="24">
        <f>IF($B750="","",IF($Y750&lt;&gt;"",$Y750-$B750,TODAY()-$B750))</f>
        <v/>
      </c>
      <c r="AA750" s="28">
        <f>IF($B750="","",IF(IFERROR(INDEX(CONFIG!$L$4:$L$63,MATCH($V750,CONFIG!$K$4:$K$63,0)),"NO")="SÍ",IF(OR($Y750="",$X750=""),"Resuelta",IF($Y750&gt;$X750,"Resuelta tarde","Resuelta a tiempo")),IF($X750="","Sin clasificar",IF(TODAY()&gt;$X750,"Vencida",IF(TODAY()&gt;=$X750-1,"Por vencer","En plazo")))))</f>
        <v/>
      </c>
      <c r="AB750" s="50" t="n"/>
      <c r="AC750" s="50" t="n"/>
    </row>
    <row r="751" ht="16" customHeight="1">
      <c r="A751" s="28">
        <f>IF($B751="","","N-"&amp;TEXT(ROW()-3,"0000"))</f>
        <v/>
      </c>
      <c r="B751" s="47" t="n"/>
      <c r="C751" s="48" t="n"/>
      <c r="D751" s="48" t="n"/>
      <c r="E751" s="28">
        <f>IF($C751="","",IF($D751="",IF($C751="Interna","Sin guía (interna)","FALTA GUÍA"),IF(COUNTIFS(ENVIOS!$A$4:$A$3003,$D751)=0,"NO EXISTE",IF(COUNTIFS(ENVIOS!$A$4:$A$3003,$D751)&gt;1,"DUPLICADA","OK"))))</f>
        <v/>
      </c>
      <c r="F751" s="28">
        <f>IF($D751="","",IFERROR(INDEX(ENVIOS!$B$4:$B$3003,MATCH($D751,ENVIOS!$A$4:$A$3003,0)),"—"))</f>
        <v/>
      </c>
      <c r="G751" s="23">
        <f>IF($D751="","",IFERROR(INDEX(ENVIOS!$D$4:$D$3003,MATCH($D751,ENVIOS!$A$4:$A$3003,0)),"—"))</f>
        <v/>
      </c>
      <c r="H751" s="23">
        <f>IF($D751="","",IFERROR(INDEX(ENVIOS!$E$4:$E$3003,MATCH($D751,ENVIOS!$A$4:$A$3003,0)),"—"))</f>
        <v/>
      </c>
      <c r="I751" s="23">
        <f>IF($D751="","",IFERROR(INDEX(ENVIOS!$F$4:$F$3003,MATCH($D751,ENVIOS!$A$4:$A$3003,0)),"—"))</f>
        <v/>
      </c>
      <c r="J751" s="23">
        <f>IF($D751="","",IFERROR(INDEX(ENVIOS!$G$4:$G$3003,MATCH($D751,ENVIOS!$A$4:$A$3003,0)),"—"))</f>
        <v/>
      </c>
      <c r="K751" s="28">
        <f>IF($D751="","",IFERROR(INDEX(ENVIOS!$H$4:$H$3003,MATCH($D751,ENVIOS!$A$4:$A$3003,0)),"—"))</f>
        <v/>
      </c>
      <c r="L751" s="49">
        <f>IF($D751="","",IFERROR(INDEX(ENVIOS!$C$4:$C$3003,MATCH($D751,ENVIOS!$A$4:$A$3003,0)),""))</f>
        <v/>
      </c>
      <c r="M751" s="50" t="n"/>
      <c r="N751" s="28">
        <f>IF($M751="","",IFERROR(INDEX(CONFIG!$C$4:$C$63,MATCH($M751,CONFIG!$A$4:$A$63,0)),"Media"))</f>
        <v/>
      </c>
      <c r="O751" s="28">
        <f>IF($M751="","",IF($C751="Interna","NO",IFERROR(INDEX(CONFIG!$E$4:$E$63,MATCH($M751,CONFIG!$A$4:$A$63,0)),"NO")))</f>
        <v/>
      </c>
      <c r="P751" s="50" t="n"/>
      <c r="Q751" s="50" t="n"/>
      <c r="R751" s="28">
        <f>IF($Q751="","",IFERROR(INDEX(CONFIG!$H$4:$H$63,MATCH($Q751,CONFIG!$G$4:$G$63,0)),"Por definir"))</f>
        <v/>
      </c>
      <c r="S751" s="28">
        <f>IF($Q751="","",IFERROR(INDEX(CONFIG!$I$4:$I$63,MATCH($Q751,CONFIG!$G$4:$G$63,0)),"Por definir"))</f>
        <v/>
      </c>
      <c r="T751" s="51" t="n"/>
      <c r="U751" s="52" t="n"/>
      <c r="V751" s="50" t="n"/>
      <c r="W751" s="50" t="n"/>
      <c r="X751" s="49">
        <f>IF(OR($B751="",$M751=""),"",WORKDAY($B751,IFERROR(INDEX(CONFIG!$D$4:$D$63,MATCH($M751,CONFIG!$A$4:$A$63,0)),3)))</f>
        <v/>
      </c>
      <c r="Y751" s="47" t="n"/>
      <c r="Z751" s="24">
        <f>IF($B751="","",IF($Y751&lt;&gt;"",$Y751-$B751,TODAY()-$B751))</f>
        <v/>
      </c>
      <c r="AA751" s="28">
        <f>IF($B751="","",IF(IFERROR(INDEX(CONFIG!$L$4:$L$63,MATCH($V751,CONFIG!$K$4:$K$63,0)),"NO")="SÍ",IF(OR($Y751="",$X751=""),"Resuelta",IF($Y751&gt;$X751,"Resuelta tarde","Resuelta a tiempo")),IF($X751="","Sin clasificar",IF(TODAY()&gt;$X751,"Vencida",IF(TODAY()&gt;=$X751-1,"Por vencer","En plazo")))))</f>
        <v/>
      </c>
      <c r="AB751" s="50" t="n"/>
      <c r="AC751" s="50" t="n"/>
    </row>
    <row r="752" ht="16" customHeight="1">
      <c r="A752" s="28">
        <f>IF($B752="","","N-"&amp;TEXT(ROW()-3,"0000"))</f>
        <v/>
      </c>
      <c r="B752" s="47" t="n"/>
      <c r="C752" s="48" t="n"/>
      <c r="D752" s="48" t="n"/>
      <c r="E752" s="28">
        <f>IF($C752="","",IF($D752="",IF($C752="Interna","Sin guía (interna)","FALTA GUÍA"),IF(COUNTIFS(ENVIOS!$A$4:$A$3003,$D752)=0,"NO EXISTE",IF(COUNTIFS(ENVIOS!$A$4:$A$3003,$D752)&gt;1,"DUPLICADA","OK"))))</f>
        <v/>
      </c>
      <c r="F752" s="28">
        <f>IF($D752="","",IFERROR(INDEX(ENVIOS!$B$4:$B$3003,MATCH($D752,ENVIOS!$A$4:$A$3003,0)),"—"))</f>
        <v/>
      </c>
      <c r="G752" s="23">
        <f>IF($D752="","",IFERROR(INDEX(ENVIOS!$D$4:$D$3003,MATCH($D752,ENVIOS!$A$4:$A$3003,0)),"—"))</f>
        <v/>
      </c>
      <c r="H752" s="23">
        <f>IF($D752="","",IFERROR(INDEX(ENVIOS!$E$4:$E$3003,MATCH($D752,ENVIOS!$A$4:$A$3003,0)),"—"))</f>
        <v/>
      </c>
      <c r="I752" s="23">
        <f>IF($D752="","",IFERROR(INDEX(ENVIOS!$F$4:$F$3003,MATCH($D752,ENVIOS!$A$4:$A$3003,0)),"—"))</f>
        <v/>
      </c>
      <c r="J752" s="23">
        <f>IF($D752="","",IFERROR(INDEX(ENVIOS!$G$4:$G$3003,MATCH($D752,ENVIOS!$A$4:$A$3003,0)),"—"))</f>
        <v/>
      </c>
      <c r="K752" s="28">
        <f>IF($D752="","",IFERROR(INDEX(ENVIOS!$H$4:$H$3003,MATCH($D752,ENVIOS!$A$4:$A$3003,0)),"—"))</f>
        <v/>
      </c>
      <c r="L752" s="49">
        <f>IF($D752="","",IFERROR(INDEX(ENVIOS!$C$4:$C$3003,MATCH($D752,ENVIOS!$A$4:$A$3003,0)),""))</f>
        <v/>
      </c>
      <c r="M752" s="50" t="n"/>
      <c r="N752" s="28">
        <f>IF($M752="","",IFERROR(INDEX(CONFIG!$C$4:$C$63,MATCH($M752,CONFIG!$A$4:$A$63,0)),"Media"))</f>
        <v/>
      </c>
      <c r="O752" s="28">
        <f>IF($M752="","",IF($C752="Interna","NO",IFERROR(INDEX(CONFIG!$E$4:$E$63,MATCH($M752,CONFIG!$A$4:$A$63,0)),"NO")))</f>
        <v/>
      </c>
      <c r="P752" s="50" t="n"/>
      <c r="Q752" s="50" t="n"/>
      <c r="R752" s="28">
        <f>IF($Q752="","",IFERROR(INDEX(CONFIG!$H$4:$H$63,MATCH($Q752,CONFIG!$G$4:$G$63,0)),"Por definir"))</f>
        <v/>
      </c>
      <c r="S752" s="28">
        <f>IF($Q752="","",IFERROR(INDEX(CONFIG!$I$4:$I$63,MATCH($Q752,CONFIG!$G$4:$G$63,0)),"Por definir"))</f>
        <v/>
      </c>
      <c r="T752" s="51" t="n"/>
      <c r="U752" s="52" t="n"/>
      <c r="V752" s="50" t="n"/>
      <c r="W752" s="50" t="n"/>
      <c r="X752" s="49">
        <f>IF(OR($B752="",$M752=""),"",WORKDAY($B752,IFERROR(INDEX(CONFIG!$D$4:$D$63,MATCH($M752,CONFIG!$A$4:$A$63,0)),3)))</f>
        <v/>
      </c>
      <c r="Y752" s="47" t="n"/>
      <c r="Z752" s="24">
        <f>IF($B752="","",IF($Y752&lt;&gt;"",$Y752-$B752,TODAY()-$B752))</f>
        <v/>
      </c>
      <c r="AA752" s="28">
        <f>IF($B752="","",IF(IFERROR(INDEX(CONFIG!$L$4:$L$63,MATCH($V752,CONFIG!$K$4:$K$63,0)),"NO")="SÍ",IF(OR($Y752="",$X752=""),"Resuelta",IF($Y752&gt;$X752,"Resuelta tarde","Resuelta a tiempo")),IF($X752="","Sin clasificar",IF(TODAY()&gt;$X752,"Vencida",IF(TODAY()&gt;=$X752-1,"Por vencer","En plazo")))))</f>
        <v/>
      </c>
      <c r="AB752" s="50" t="n"/>
      <c r="AC752" s="50" t="n"/>
    </row>
    <row r="753" ht="16" customHeight="1">
      <c r="A753" s="28">
        <f>IF($B753="","","N-"&amp;TEXT(ROW()-3,"0000"))</f>
        <v/>
      </c>
      <c r="B753" s="47" t="n"/>
      <c r="C753" s="48" t="n"/>
      <c r="D753" s="48" t="n"/>
      <c r="E753" s="28">
        <f>IF($C753="","",IF($D753="",IF($C753="Interna","Sin guía (interna)","FALTA GUÍA"),IF(COUNTIFS(ENVIOS!$A$4:$A$3003,$D753)=0,"NO EXISTE",IF(COUNTIFS(ENVIOS!$A$4:$A$3003,$D753)&gt;1,"DUPLICADA","OK"))))</f>
        <v/>
      </c>
      <c r="F753" s="28">
        <f>IF($D753="","",IFERROR(INDEX(ENVIOS!$B$4:$B$3003,MATCH($D753,ENVIOS!$A$4:$A$3003,0)),"—"))</f>
        <v/>
      </c>
      <c r="G753" s="23">
        <f>IF($D753="","",IFERROR(INDEX(ENVIOS!$D$4:$D$3003,MATCH($D753,ENVIOS!$A$4:$A$3003,0)),"—"))</f>
        <v/>
      </c>
      <c r="H753" s="23">
        <f>IF($D753="","",IFERROR(INDEX(ENVIOS!$E$4:$E$3003,MATCH($D753,ENVIOS!$A$4:$A$3003,0)),"—"))</f>
        <v/>
      </c>
      <c r="I753" s="23">
        <f>IF($D753="","",IFERROR(INDEX(ENVIOS!$F$4:$F$3003,MATCH($D753,ENVIOS!$A$4:$A$3003,0)),"—"))</f>
        <v/>
      </c>
      <c r="J753" s="23">
        <f>IF($D753="","",IFERROR(INDEX(ENVIOS!$G$4:$G$3003,MATCH($D753,ENVIOS!$A$4:$A$3003,0)),"—"))</f>
        <v/>
      </c>
      <c r="K753" s="28">
        <f>IF($D753="","",IFERROR(INDEX(ENVIOS!$H$4:$H$3003,MATCH($D753,ENVIOS!$A$4:$A$3003,0)),"—"))</f>
        <v/>
      </c>
      <c r="L753" s="49">
        <f>IF($D753="","",IFERROR(INDEX(ENVIOS!$C$4:$C$3003,MATCH($D753,ENVIOS!$A$4:$A$3003,0)),""))</f>
        <v/>
      </c>
      <c r="M753" s="50" t="n"/>
      <c r="N753" s="28">
        <f>IF($M753="","",IFERROR(INDEX(CONFIG!$C$4:$C$63,MATCH($M753,CONFIG!$A$4:$A$63,0)),"Media"))</f>
        <v/>
      </c>
      <c r="O753" s="28">
        <f>IF($M753="","",IF($C753="Interna","NO",IFERROR(INDEX(CONFIG!$E$4:$E$63,MATCH($M753,CONFIG!$A$4:$A$63,0)),"NO")))</f>
        <v/>
      </c>
      <c r="P753" s="50" t="n"/>
      <c r="Q753" s="50" t="n"/>
      <c r="R753" s="28">
        <f>IF($Q753="","",IFERROR(INDEX(CONFIG!$H$4:$H$63,MATCH($Q753,CONFIG!$G$4:$G$63,0)),"Por definir"))</f>
        <v/>
      </c>
      <c r="S753" s="28">
        <f>IF($Q753="","",IFERROR(INDEX(CONFIG!$I$4:$I$63,MATCH($Q753,CONFIG!$G$4:$G$63,0)),"Por definir"))</f>
        <v/>
      </c>
      <c r="T753" s="51" t="n"/>
      <c r="U753" s="52" t="n"/>
      <c r="V753" s="50" t="n"/>
      <c r="W753" s="50" t="n"/>
      <c r="X753" s="49">
        <f>IF(OR($B753="",$M753=""),"",WORKDAY($B753,IFERROR(INDEX(CONFIG!$D$4:$D$63,MATCH($M753,CONFIG!$A$4:$A$63,0)),3)))</f>
        <v/>
      </c>
      <c r="Y753" s="47" t="n"/>
      <c r="Z753" s="24">
        <f>IF($B753="","",IF($Y753&lt;&gt;"",$Y753-$B753,TODAY()-$B753))</f>
        <v/>
      </c>
      <c r="AA753" s="28">
        <f>IF($B753="","",IF(IFERROR(INDEX(CONFIG!$L$4:$L$63,MATCH($V753,CONFIG!$K$4:$K$63,0)),"NO")="SÍ",IF(OR($Y753="",$X753=""),"Resuelta",IF($Y753&gt;$X753,"Resuelta tarde","Resuelta a tiempo")),IF($X753="","Sin clasificar",IF(TODAY()&gt;$X753,"Vencida",IF(TODAY()&gt;=$X753-1,"Por vencer","En plazo")))))</f>
        <v/>
      </c>
      <c r="AB753" s="50" t="n"/>
      <c r="AC753" s="50" t="n"/>
    </row>
    <row r="754" ht="16" customHeight="1">
      <c r="A754" s="28">
        <f>IF($B754="","","N-"&amp;TEXT(ROW()-3,"0000"))</f>
        <v/>
      </c>
      <c r="B754" s="47" t="n"/>
      <c r="C754" s="48" t="n"/>
      <c r="D754" s="48" t="n"/>
      <c r="E754" s="28">
        <f>IF($C754="","",IF($D754="",IF($C754="Interna","Sin guía (interna)","FALTA GUÍA"),IF(COUNTIFS(ENVIOS!$A$4:$A$3003,$D754)=0,"NO EXISTE",IF(COUNTIFS(ENVIOS!$A$4:$A$3003,$D754)&gt;1,"DUPLICADA","OK"))))</f>
        <v/>
      </c>
      <c r="F754" s="28">
        <f>IF($D754="","",IFERROR(INDEX(ENVIOS!$B$4:$B$3003,MATCH($D754,ENVIOS!$A$4:$A$3003,0)),"—"))</f>
        <v/>
      </c>
      <c r="G754" s="23">
        <f>IF($D754="","",IFERROR(INDEX(ENVIOS!$D$4:$D$3003,MATCH($D754,ENVIOS!$A$4:$A$3003,0)),"—"))</f>
        <v/>
      </c>
      <c r="H754" s="23">
        <f>IF($D754="","",IFERROR(INDEX(ENVIOS!$E$4:$E$3003,MATCH($D754,ENVIOS!$A$4:$A$3003,0)),"—"))</f>
        <v/>
      </c>
      <c r="I754" s="23">
        <f>IF($D754="","",IFERROR(INDEX(ENVIOS!$F$4:$F$3003,MATCH($D754,ENVIOS!$A$4:$A$3003,0)),"—"))</f>
        <v/>
      </c>
      <c r="J754" s="23">
        <f>IF($D754="","",IFERROR(INDEX(ENVIOS!$G$4:$G$3003,MATCH($D754,ENVIOS!$A$4:$A$3003,0)),"—"))</f>
        <v/>
      </c>
      <c r="K754" s="28">
        <f>IF($D754="","",IFERROR(INDEX(ENVIOS!$H$4:$H$3003,MATCH($D754,ENVIOS!$A$4:$A$3003,0)),"—"))</f>
        <v/>
      </c>
      <c r="L754" s="49">
        <f>IF($D754="","",IFERROR(INDEX(ENVIOS!$C$4:$C$3003,MATCH($D754,ENVIOS!$A$4:$A$3003,0)),""))</f>
        <v/>
      </c>
      <c r="M754" s="50" t="n"/>
      <c r="N754" s="28">
        <f>IF($M754="","",IFERROR(INDEX(CONFIG!$C$4:$C$63,MATCH($M754,CONFIG!$A$4:$A$63,0)),"Media"))</f>
        <v/>
      </c>
      <c r="O754" s="28">
        <f>IF($M754="","",IF($C754="Interna","NO",IFERROR(INDEX(CONFIG!$E$4:$E$63,MATCH($M754,CONFIG!$A$4:$A$63,0)),"NO")))</f>
        <v/>
      </c>
      <c r="P754" s="50" t="n"/>
      <c r="Q754" s="50" t="n"/>
      <c r="R754" s="28">
        <f>IF($Q754="","",IFERROR(INDEX(CONFIG!$H$4:$H$63,MATCH($Q754,CONFIG!$G$4:$G$63,0)),"Por definir"))</f>
        <v/>
      </c>
      <c r="S754" s="28">
        <f>IF($Q754="","",IFERROR(INDEX(CONFIG!$I$4:$I$63,MATCH($Q754,CONFIG!$G$4:$G$63,0)),"Por definir"))</f>
        <v/>
      </c>
      <c r="T754" s="51" t="n"/>
      <c r="U754" s="52" t="n"/>
      <c r="V754" s="50" t="n"/>
      <c r="W754" s="50" t="n"/>
      <c r="X754" s="49">
        <f>IF(OR($B754="",$M754=""),"",WORKDAY($B754,IFERROR(INDEX(CONFIG!$D$4:$D$63,MATCH($M754,CONFIG!$A$4:$A$63,0)),3)))</f>
        <v/>
      </c>
      <c r="Y754" s="47" t="n"/>
      <c r="Z754" s="24">
        <f>IF($B754="","",IF($Y754&lt;&gt;"",$Y754-$B754,TODAY()-$B754))</f>
        <v/>
      </c>
      <c r="AA754" s="28">
        <f>IF($B754="","",IF(IFERROR(INDEX(CONFIG!$L$4:$L$63,MATCH($V754,CONFIG!$K$4:$K$63,0)),"NO")="SÍ",IF(OR($Y754="",$X754=""),"Resuelta",IF($Y754&gt;$X754,"Resuelta tarde","Resuelta a tiempo")),IF($X754="","Sin clasificar",IF(TODAY()&gt;$X754,"Vencida",IF(TODAY()&gt;=$X754-1,"Por vencer","En plazo")))))</f>
        <v/>
      </c>
      <c r="AB754" s="50" t="n"/>
      <c r="AC754" s="50" t="n"/>
    </row>
    <row r="755" ht="16" customHeight="1">
      <c r="A755" s="28">
        <f>IF($B755="","","N-"&amp;TEXT(ROW()-3,"0000"))</f>
        <v/>
      </c>
      <c r="B755" s="47" t="n"/>
      <c r="C755" s="48" t="n"/>
      <c r="D755" s="48" t="n"/>
      <c r="E755" s="28">
        <f>IF($C755="","",IF($D755="",IF($C755="Interna","Sin guía (interna)","FALTA GUÍA"),IF(COUNTIFS(ENVIOS!$A$4:$A$3003,$D755)=0,"NO EXISTE",IF(COUNTIFS(ENVIOS!$A$4:$A$3003,$D755)&gt;1,"DUPLICADA","OK"))))</f>
        <v/>
      </c>
      <c r="F755" s="28">
        <f>IF($D755="","",IFERROR(INDEX(ENVIOS!$B$4:$B$3003,MATCH($D755,ENVIOS!$A$4:$A$3003,0)),"—"))</f>
        <v/>
      </c>
      <c r="G755" s="23">
        <f>IF($D755="","",IFERROR(INDEX(ENVIOS!$D$4:$D$3003,MATCH($D755,ENVIOS!$A$4:$A$3003,0)),"—"))</f>
        <v/>
      </c>
      <c r="H755" s="23">
        <f>IF($D755="","",IFERROR(INDEX(ENVIOS!$E$4:$E$3003,MATCH($D755,ENVIOS!$A$4:$A$3003,0)),"—"))</f>
        <v/>
      </c>
      <c r="I755" s="23">
        <f>IF($D755="","",IFERROR(INDEX(ENVIOS!$F$4:$F$3003,MATCH($D755,ENVIOS!$A$4:$A$3003,0)),"—"))</f>
        <v/>
      </c>
      <c r="J755" s="23">
        <f>IF($D755="","",IFERROR(INDEX(ENVIOS!$G$4:$G$3003,MATCH($D755,ENVIOS!$A$4:$A$3003,0)),"—"))</f>
        <v/>
      </c>
      <c r="K755" s="28">
        <f>IF($D755="","",IFERROR(INDEX(ENVIOS!$H$4:$H$3003,MATCH($D755,ENVIOS!$A$4:$A$3003,0)),"—"))</f>
        <v/>
      </c>
      <c r="L755" s="49">
        <f>IF($D755="","",IFERROR(INDEX(ENVIOS!$C$4:$C$3003,MATCH($D755,ENVIOS!$A$4:$A$3003,0)),""))</f>
        <v/>
      </c>
      <c r="M755" s="50" t="n"/>
      <c r="N755" s="28">
        <f>IF($M755="","",IFERROR(INDEX(CONFIG!$C$4:$C$63,MATCH($M755,CONFIG!$A$4:$A$63,0)),"Media"))</f>
        <v/>
      </c>
      <c r="O755" s="28">
        <f>IF($M755="","",IF($C755="Interna","NO",IFERROR(INDEX(CONFIG!$E$4:$E$63,MATCH($M755,CONFIG!$A$4:$A$63,0)),"NO")))</f>
        <v/>
      </c>
      <c r="P755" s="50" t="n"/>
      <c r="Q755" s="50" t="n"/>
      <c r="R755" s="28">
        <f>IF($Q755="","",IFERROR(INDEX(CONFIG!$H$4:$H$63,MATCH($Q755,CONFIG!$G$4:$G$63,0)),"Por definir"))</f>
        <v/>
      </c>
      <c r="S755" s="28">
        <f>IF($Q755="","",IFERROR(INDEX(CONFIG!$I$4:$I$63,MATCH($Q755,CONFIG!$G$4:$G$63,0)),"Por definir"))</f>
        <v/>
      </c>
      <c r="T755" s="51" t="n"/>
      <c r="U755" s="52" t="n"/>
      <c r="V755" s="50" t="n"/>
      <c r="W755" s="50" t="n"/>
      <c r="X755" s="49">
        <f>IF(OR($B755="",$M755=""),"",WORKDAY($B755,IFERROR(INDEX(CONFIG!$D$4:$D$63,MATCH($M755,CONFIG!$A$4:$A$63,0)),3)))</f>
        <v/>
      </c>
      <c r="Y755" s="47" t="n"/>
      <c r="Z755" s="24">
        <f>IF($B755="","",IF($Y755&lt;&gt;"",$Y755-$B755,TODAY()-$B755))</f>
        <v/>
      </c>
      <c r="AA755" s="28">
        <f>IF($B755="","",IF(IFERROR(INDEX(CONFIG!$L$4:$L$63,MATCH($V755,CONFIG!$K$4:$K$63,0)),"NO")="SÍ",IF(OR($Y755="",$X755=""),"Resuelta",IF($Y755&gt;$X755,"Resuelta tarde","Resuelta a tiempo")),IF($X755="","Sin clasificar",IF(TODAY()&gt;$X755,"Vencida",IF(TODAY()&gt;=$X755-1,"Por vencer","En plazo")))))</f>
        <v/>
      </c>
      <c r="AB755" s="50" t="n"/>
      <c r="AC755" s="50" t="n"/>
    </row>
    <row r="756" ht="16" customHeight="1">
      <c r="A756" s="28">
        <f>IF($B756="","","N-"&amp;TEXT(ROW()-3,"0000"))</f>
        <v/>
      </c>
      <c r="B756" s="47" t="n"/>
      <c r="C756" s="48" t="n"/>
      <c r="D756" s="48" t="n"/>
      <c r="E756" s="28">
        <f>IF($C756="","",IF($D756="",IF($C756="Interna","Sin guía (interna)","FALTA GUÍA"),IF(COUNTIFS(ENVIOS!$A$4:$A$3003,$D756)=0,"NO EXISTE",IF(COUNTIFS(ENVIOS!$A$4:$A$3003,$D756)&gt;1,"DUPLICADA","OK"))))</f>
        <v/>
      </c>
      <c r="F756" s="28">
        <f>IF($D756="","",IFERROR(INDEX(ENVIOS!$B$4:$B$3003,MATCH($D756,ENVIOS!$A$4:$A$3003,0)),"—"))</f>
        <v/>
      </c>
      <c r="G756" s="23">
        <f>IF($D756="","",IFERROR(INDEX(ENVIOS!$D$4:$D$3003,MATCH($D756,ENVIOS!$A$4:$A$3003,0)),"—"))</f>
        <v/>
      </c>
      <c r="H756" s="23">
        <f>IF($D756="","",IFERROR(INDEX(ENVIOS!$E$4:$E$3003,MATCH($D756,ENVIOS!$A$4:$A$3003,0)),"—"))</f>
        <v/>
      </c>
      <c r="I756" s="23">
        <f>IF($D756="","",IFERROR(INDEX(ENVIOS!$F$4:$F$3003,MATCH($D756,ENVIOS!$A$4:$A$3003,0)),"—"))</f>
        <v/>
      </c>
      <c r="J756" s="23">
        <f>IF($D756="","",IFERROR(INDEX(ENVIOS!$G$4:$G$3003,MATCH($D756,ENVIOS!$A$4:$A$3003,0)),"—"))</f>
        <v/>
      </c>
      <c r="K756" s="28">
        <f>IF($D756="","",IFERROR(INDEX(ENVIOS!$H$4:$H$3003,MATCH($D756,ENVIOS!$A$4:$A$3003,0)),"—"))</f>
        <v/>
      </c>
      <c r="L756" s="49">
        <f>IF($D756="","",IFERROR(INDEX(ENVIOS!$C$4:$C$3003,MATCH($D756,ENVIOS!$A$4:$A$3003,0)),""))</f>
        <v/>
      </c>
      <c r="M756" s="50" t="n"/>
      <c r="N756" s="28">
        <f>IF($M756="","",IFERROR(INDEX(CONFIG!$C$4:$C$63,MATCH($M756,CONFIG!$A$4:$A$63,0)),"Media"))</f>
        <v/>
      </c>
      <c r="O756" s="28">
        <f>IF($M756="","",IF($C756="Interna","NO",IFERROR(INDEX(CONFIG!$E$4:$E$63,MATCH($M756,CONFIG!$A$4:$A$63,0)),"NO")))</f>
        <v/>
      </c>
      <c r="P756" s="50" t="n"/>
      <c r="Q756" s="50" t="n"/>
      <c r="R756" s="28">
        <f>IF($Q756="","",IFERROR(INDEX(CONFIG!$H$4:$H$63,MATCH($Q756,CONFIG!$G$4:$G$63,0)),"Por definir"))</f>
        <v/>
      </c>
      <c r="S756" s="28">
        <f>IF($Q756="","",IFERROR(INDEX(CONFIG!$I$4:$I$63,MATCH($Q756,CONFIG!$G$4:$G$63,0)),"Por definir"))</f>
        <v/>
      </c>
      <c r="T756" s="51" t="n"/>
      <c r="U756" s="52" t="n"/>
      <c r="V756" s="50" t="n"/>
      <c r="W756" s="50" t="n"/>
      <c r="X756" s="49">
        <f>IF(OR($B756="",$M756=""),"",WORKDAY($B756,IFERROR(INDEX(CONFIG!$D$4:$D$63,MATCH($M756,CONFIG!$A$4:$A$63,0)),3)))</f>
        <v/>
      </c>
      <c r="Y756" s="47" t="n"/>
      <c r="Z756" s="24">
        <f>IF($B756="","",IF($Y756&lt;&gt;"",$Y756-$B756,TODAY()-$B756))</f>
        <v/>
      </c>
      <c r="AA756" s="28">
        <f>IF($B756="","",IF(IFERROR(INDEX(CONFIG!$L$4:$L$63,MATCH($V756,CONFIG!$K$4:$K$63,0)),"NO")="SÍ",IF(OR($Y756="",$X756=""),"Resuelta",IF($Y756&gt;$X756,"Resuelta tarde","Resuelta a tiempo")),IF($X756="","Sin clasificar",IF(TODAY()&gt;$X756,"Vencida",IF(TODAY()&gt;=$X756-1,"Por vencer","En plazo")))))</f>
        <v/>
      </c>
      <c r="AB756" s="50" t="n"/>
      <c r="AC756" s="50" t="n"/>
    </row>
    <row r="757" ht="16" customHeight="1">
      <c r="A757" s="28">
        <f>IF($B757="","","N-"&amp;TEXT(ROW()-3,"0000"))</f>
        <v/>
      </c>
      <c r="B757" s="47" t="n"/>
      <c r="C757" s="48" t="n"/>
      <c r="D757" s="48" t="n"/>
      <c r="E757" s="28">
        <f>IF($C757="","",IF($D757="",IF($C757="Interna","Sin guía (interna)","FALTA GUÍA"),IF(COUNTIFS(ENVIOS!$A$4:$A$3003,$D757)=0,"NO EXISTE",IF(COUNTIFS(ENVIOS!$A$4:$A$3003,$D757)&gt;1,"DUPLICADA","OK"))))</f>
        <v/>
      </c>
      <c r="F757" s="28">
        <f>IF($D757="","",IFERROR(INDEX(ENVIOS!$B$4:$B$3003,MATCH($D757,ENVIOS!$A$4:$A$3003,0)),"—"))</f>
        <v/>
      </c>
      <c r="G757" s="23">
        <f>IF($D757="","",IFERROR(INDEX(ENVIOS!$D$4:$D$3003,MATCH($D757,ENVIOS!$A$4:$A$3003,0)),"—"))</f>
        <v/>
      </c>
      <c r="H757" s="23">
        <f>IF($D757="","",IFERROR(INDEX(ENVIOS!$E$4:$E$3003,MATCH($D757,ENVIOS!$A$4:$A$3003,0)),"—"))</f>
        <v/>
      </c>
      <c r="I757" s="23">
        <f>IF($D757="","",IFERROR(INDEX(ENVIOS!$F$4:$F$3003,MATCH($D757,ENVIOS!$A$4:$A$3003,0)),"—"))</f>
        <v/>
      </c>
      <c r="J757" s="23">
        <f>IF($D757="","",IFERROR(INDEX(ENVIOS!$G$4:$G$3003,MATCH($D757,ENVIOS!$A$4:$A$3003,0)),"—"))</f>
        <v/>
      </c>
      <c r="K757" s="28">
        <f>IF($D757="","",IFERROR(INDEX(ENVIOS!$H$4:$H$3003,MATCH($D757,ENVIOS!$A$4:$A$3003,0)),"—"))</f>
        <v/>
      </c>
      <c r="L757" s="49">
        <f>IF($D757="","",IFERROR(INDEX(ENVIOS!$C$4:$C$3003,MATCH($D757,ENVIOS!$A$4:$A$3003,0)),""))</f>
        <v/>
      </c>
      <c r="M757" s="50" t="n"/>
      <c r="N757" s="28">
        <f>IF($M757="","",IFERROR(INDEX(CONFIG!$C$4:$C$63,MATCH($M757,CONFIG!$A$4:$A$63,0)),"Media"))</f>
        <v/>
      </c>
      <c r="O757" s="28">
        <f>IF($M757="","",IF($C757="Interna","NO",IFERROR(INDEX(CONFIG!$E$4:$E$63,MATCH($M757,CONFIG!$A$4:$A$63,0)),"NO")))</f>
        <v/>
      </c>
      <c r="P757" s="50" t="n"/>
      <c r="Q757" s="50" t="n"/>
      <c r="R757" s="28">
        <f>IF($Q757="","",IFERROR(INDEX(CONFIG!$H$4:$H$63,MATCH($Q757,CONFIG!$G$4:$G$63,0)),"Por definir"))</f>
        <v/>
      </c>
      <c r="S757" s="28">
        <f>IF($Q757="","",IFERROR(INDEX(CONFIG!$I$4:$I$63,MATCH($Q757,CONFIG!$G$4:$G$63,0)),"Por definir"))</f>
        <v/>
      </c>
      <c r="T757" s="51" t="n"/>
      <c r="U757" s="52" t="n"/>
      <c r="V757" s="50" t="n"/>
      <c r="W757" s="50" t="n"/>
      <c r="X757" s="49">
        <f>IF(OR($B757="",$M757=""),"",WORKDAY($B757,IFERROR(INDEX(CONFIG!$D$4:$D$63,MATCH($M757,CONFIG!$A$4:$A$63,0)),3)))</f>
        <v/>
      </c>
      <c r="Y757" s="47" t="n"/>
      <c r="Z757" s="24">
        <f>IF($B757="","",IF($Y757&lt;&gt;"",$Y757-$B757,TODAY()-$B757))</f>
        <v/>
      </c>
      <c r="AA757" s="28">
        <f>IF($B757="","",IF(IFERROR(INDEX(CONFIG!$L$4:$L$63,MATCH($V757,CONFIG!$K$4:$K$63,0)),"NO")="SÍ",IF(OR($Y757="",$X757=""),"Resuelta",IF($Y757&gt;$X757,"Resuelta tarde","Resuelta a tiempo")),IF($X757="","Sin clasificar",IF(TODAY()&gt;$X757,"Vencida",IF(TODAY()&gt;=$X757-1,"Por vencer","En plazo")))))</f>
        <v/>
      </c>
      <c r="AB757" s="50" t="n"/>
      <c r="AC757" s="50" t="n"/>
    </row>
    <row r="758" ht="16" customHeight="1">
      <c r="A758" s="28">
        <f>IF($B758="","","N-"&amp;TEXT(ROW()-3,"0000"))</f>
        <v/>
      </c>
      <c r="B758" s="47" t="n"/>
      <c r="C758" s="48" t="n"/>
      <c r="D758" s="48" t="n"/>
      <c r="E758" s="28">
        <f>IF($C758="","",IF($D758="",IF($C758="Interna","Sin guía (interna)","FALTA GUÍA"),IF(COUNTIFS(ENVIOS!$A$4:$A$3003,$D758)=0,"NO EXISTE",IF(COUNTIFS(ENVIOS!$A$4:$A$3003,$D758)&gt;1,"DUPLICADA","OK"))))</f>
        <v/>
      </c>
      <c r="F758" s="28">
        <f>IF($D758="","",IFERROR(INDEX(ENVIOS!$B$4:$B$3003,MATCH($D758,ENVIOS!$A$4:$A$3003,0)),"—"))</f>
        <v/>
      </c>
      <c r="G758" s="23">
        <f>IF($D758="","",IFERROR(INDEX(ENVIOS!$D$4:$D$3003,MATCH($D758,ENVIOS!$A$4:$A$3003,0)),"—"))</f>
        <v/>
      </c>
      <c r="H758" s="23">
        <f>IF($D758="","",IFERROR(INDEX(ENVIOS!$E$4:$E$3003,MATCH($D758,ENVIOS!$A$4:$A$3003,0)),"—"))</f>
        <v/>
      </c>
      <c r="I758" s="23">
        <f>IF($D758="","",IFERROR(INDEX(ENVIOS!$F$4:$F$3003,MATCH($D758,ENVIOS!$A$4:$A$3003,0)),"—"))</f>
        <v/>
      </c>
      <c r="J758" s="23">
        <f>IF($D758="","",IFERROR(INDEX(ENVIOS!$G$4:$G$3003,MATCH($D758,ENVIOS!$A$4:$A$3003,0)),"—"))</f>
        <v/>
      </c>
      <c r="K758" s="28">
        <f>IF($D758="","",IFERROR(INDEX(ENVIOS!$H$4:$H$3003,MATCH($D758,ENVIOS!$A$4:$A$3003,0)),"—"))</f>
        <v/>
      </c>
      <c r="L758" s="49">
        <f>IF($D758="","",IFERROR(INDEX(ENVIOS!$C$4:$C$3003,MATCH($D758,ENVIOS!$A$4:$A$3003,0)),""))</f>
        <v/>
      </c>
      <c r="M758" s="50" t="n"/>
      <c r="N758" s="28">
        <f>IF($M758="","",IFERROR(INDEX(CONFIG!$C$4:$C$63,MATCH($M758,CONFIG!$A$4:$A$63,0)),"Media"))</f>
        <v/>
      </c>
      <c r="O758" s="28">
        <f>IF($M758="","",IF($C758="Interna","NO",IFERROR(INDEX(CONFIG!$E$4:$E$63,MATCH($M758,CONFIG!$A$4:$A$63,0)),"NO")))</f>
        <v/>
      </c>
      <c r="P758" s="50" t="n"/>
      <c r="Q758" s="50" t="n"/>
      <c r="R758" s="28">
        <f>IF($Q758="","",IFERROR(INDEX(CONFIG!$H$4:$H$63,MATCH($Q758,CONFIG!$G$4:$G$63,0)),"Por definir"))</f>
        <v/>
      </c>
      <c r="S758" s="28">
        <f>IF($Q758="","",IFERROR(INDEX(CONFIG!$I$4:$I$63,MATCH($Q758,CONFIG!$G$4:$G$63,0)),"Por definir"))</f>
        <v/>
      </c>
      <c r="T758" s="51" t="n"/>
      <c r="U758" s="52" t="n"/>
      <c r="V758" s="50" t="n"/>
      <c r="W758" s="50" t="n"/>
      <c r="X758" s="49">
        <f>IF(OR($B758="",$M758=""),"",WORKDAY($B758,IFERROR(INDEX(CONFIG!$D$4:$D$63,MATCH($M758,CONFIG!$A$4:$A$63,0)),3)))</f>
        <v/>
      </c>
      <c r="Y758" s="47" t="n"/>
      <c r="Z758" s="24">
        <f>IF($B758="","",IF($Y758&lt;&gt;"",$Y758-$B758,TODAY()-$B758))</f>
        <v/>
      </c>
      <c r="AA758" s="28">
        <f>IF($B758="","",IF(IFERROR(INDEX(CONFIG!$L$4:$L$63,MATCH($V758,CONFIG!$K$4:$K$63,0)),"NO")="SÍ",IF(OR($Y758="",$X758=""),"Resuelta",IF($Y758&gt;$X758,"Resuelta tarde","Resuelta a tiempo")),IF($X758="","Sin clasificar",IF(TODAY()&gt;$X758,"Vencida",IF(TODAY()&gt;=$X758-1,"Por vencer","En plazo")))))</f>
        <v/>
      </c>
      <c r="AB758" s="50" t="n"/>
      <c r="AC758" s="50" t="n"/>
    </row>
    <row r="759" ht="16" customHeight="1">
      <c r="A759" s="28">
        <f>IF($B759="","","N-"&amp;TEXT(ROW()-3,"0000"))</f>
        <v/>
      </c>
      <c r="B759" s="47" t="n"/>
      <c r="C759" s="48" t="n"/>
      <c r="D759" s="48" t="n"/>
      <c r="E759" s="28">
        <f>IF($C759="","",IF($D759="",IF($C759="Interna","Sin guía (interna)","FALTA GUÍA"),IF(COUNTIFS(ENVIOS!$A$4:$A$3003,$D759)=0,"NO EXISTE",IF(COUNTIFS(ENVIOS!$A$4:$A$3003,$D759)&gt;1,"DUPLICADA","OK"))))</f>
        <v/>
      </c>
      <c r="F759" s="28">
        <f>IF($D759="","",IFERROR(INDEX(ENVIOS!$B$4:$B$3003,MATCH($D759,ENVIOS!$A$4:$A$3003,0)),"—"))</f>
        <v/>
      </c>
      <c r="G759" s="23">
        <f>IF($D759="","",IFERROR(INDEX(ENVIOS!$D$4:$D$3003,MATCH($D759,ENVIOS!$A$4:$A$3003,0)),"—"))</f>
        <v/>
      </c>
      <c r="H759" s="23">
        <f>IF($D759="","",IFERROR(INDEX(ENVIOS!$E$4:$E$3003,MATCH($D759,ENVIOS!$A$4:$A$3003,0)),"—"))</f>
        <v/>
      </c>
      <c r="I759" s="23">
        <f>IF($D759="","",IFERROR(INDEX(ENVIOS!$F$4:$F$3003,MATCH($D759,ENVIOS!$A$4:$A$3003,0)),"—"))</f>
        <v/>
      </c>
      <c r="J759" s="23">
        <f>IF($D759="","",IFERROR(INDEX(ENVIOS!$G$4:$G$3003,MATCH($D759,ENVIOS!$A$4:$A$3003,0)),"—"))</f>
        <v/>
      </c>
      <c r="K759" s="28">
        <f>IF($D759="","",IFERROR(INDEX(ENVIOS!$H$4:$H$3003,MATCH($D759,ENVIOS!$A$4:$A$3003,0)),"—"))</f>
        <v/>
      </c>
      <c r="L759" s="49">
        <f>IF($D759="","",IFERROR(INDEX(ENVIOS!$C$4:$C$3003,MATCH($D759,ENVIOS!$A$4:$A$3003,0)),""))</f>
        <v/>
      </c>
      <c r="M759" s="50" t="n"/>
      <c r="N759" s="28">
        <f>IF($M759="","",IFERROR(INDEX(CONFIG!$C$4:$C$63,MATCH($M759,CONFIG!$A$4:$A$63,0)),"Media"))</f>
        <v/>
      </c>
      <c r="O759" s="28">
        <f>IF($M759="","",IF($C759="Interna","NO",IFERROR(INDEX(CONFIG!$E$4:$E$63,MATCH($M759,CONFIG!$A$4:$A$63,0)),"NO")))</f>
        <v/>
      </c>
      <c r="P759" s="50" t="n"/>
      <c r="Q759" s="50" t="n"/>
      <c r="R759" s="28">
        <f>IF($Q759="","",IFERROR(INDEX(CONFIG!$H$4:$H$63,MATCH($Q759,CONFIG!$G$4:$G$63,0)),"Por definir"))</f>
        <v/>
      </c>
      <c r="S759" s="28">
        <f>IF($Q759="","",IFERROR(INDEX(CONFIG!$I$4:$I$63,MATCH($Q759,CONFIG!$G$4:$G$63,0)),"Por definir"))</f>
        <v/>
      </c>
      <c r="T759" s="51" t="n"/>
      <c r="U759" s="52" t="n"/>
      <c r="V759" s="50" t="n"/>
      <c r="W759" s="50" t="n"/>
      <c r="X759" s="49">
        <f>IF(OR($B759="",$M759=""),"",WORKDAY($B759,IFERROR(INDEX(CONFIG!$D$4:$D$63,MATCH($M759,CONFIG!$A$4:$A$63,0)),3)))</f>
        <v/>
      </c>
      <c r="Y759" s="47" t="n"/>
      <c r="Z759" s="24">
        <f>IF($B759="","",IF($Y759&lt;&gt;"",$Y759-$B759,TODAY()-$B759))</f>
        <v/>
      </c>
      <c r="AA759" s="28">
        <f>IF($B759="","",IF(IFERROR(INDEX(CONFIG!$L$4:$L$63,MATCH($V759,CONFIG!$K$4:$K$63,0)),"NO")="SÍ",IF(OR($Y759="",$X759=""),"Resuelta",IF($Y759&gt;$X759,"Resuelta tarde","Resuelta a tiempo")),IF($X759="","Sin clasificar",IF(TODAY()&gt;$X759,"Vencida",IF(TODAY()&gt;=$X759-1,"Por vencer","En plazo")))))</f>
        <v/>
      </c>
      <c r="AB759" s="50" t="n"/>
      <c r="AC759" s="50" t="n"/>
    </row>
    <row r="760" ht="16" customHeight="1">
      <c r="A760" s="28">
        <f>IF($B760="","","N-"&amp;TEXT(ROW()-3,"0000"))</f>
        <v/>
      </c>
      <c r="B760" s="47" t="n"/>
      <c r="C760" s="48" t="n"/>
      <c r="D760" s="48" t="n"/>
      <c r="E760" s="28">
        <f>IF($C760="","",IF($D760="",IF($C760="Interna","Sin guía (interna)","FALTA GUÍA"),IF(COUNTIFS(ENVIOS!$A$4:$A$3003,$D760)=0,"NO EXISTE",IF(COUNTIFS(ENVIOS!$A$4:$A$3003,$D760)&gt;1,"DUPLICADA","OK"))))</f>
        <v/>
      </c>
      <c r="F760" s="28">
        <f>IF($D760="","",IFERROR(INDEX(ENVIOS!$B$4:$B$3003,MATCH($D760,ENVIOS!$A$4:$A$3003,0)),"—"))</f>
        <v/>
      </c>
      <c r="G760" s="23">
        <f>IF($D760="","",IFERROR(INDEX(ENVIOS!$D$4:$D$3003,MATCH($D760,ENVIOS!$A$4:$A$3003,0)),"—"))</f>
        <v/>
      </c>
      <c r="H760" s="23">
        <f>IF($D760="","",IFERROR(INDEX(ENVIOS!$E$4:$E$3003,MATCH($D760,ENVIOS!$A$4:$A$3003,0)),"—"))</f>
        <v/>
      </c>
      <c r="I760" s="23">
        <f>IF($D760="","",IFERROR(INDEX(ENVIOS!$F$4:$F$3003,MATCH($D760,ENVIOS!$A$4:$A$3003,0)),"—"))</f>
        <v/>
      </c>
      <c r="J760" s="23">
        <f>IF($D760="","",IFERROR(INDEX(ENVIOS!$G$4:$G$3003,MATCH($D760,ENVIOS!$A$4:$A$3003,0)),"—"))</f>
        <v/>
      </c>
      <c r="K760" s="28">
        <f>IF($D760="","",IFERROR(INDEX(ENVIOS!$H$4:$H$3003,MATCH($D760,ENVIOS!$A$4:$A$3003,0)),"—"))</f>
        <v/>
      </c>
      <c r="L760" s="49">
        <f>IF($D760="","",IFERROR(INDEX(ENVIOS!$C$4:$C$3003,MATCH($D760,ENVIOS!$A$4:$A$3003,0)),""))</f>
        <v/>
      </c>
      <c r="M760" s="50" t="n"/>
      <c r="N760" s="28">
        <f>IF($M760="","",IFERROR(INDEX(CONFIG!$C$4:$C$63,MATCH($M760,CONFIG!$A$4:$A$63,0)),"Media"))</f>
        <v/>
      </c>
      <c r="O760" s="28">
        <f>IF($M760="","",IF($C760="Interna","NO",IFERROR(INDEX(CONFIG!$E$4:$E$63,MATCH($M760,CONFIG!$A$4:$A$63,0)),"NO")))</f>
        <v/>
      </c>
      <c r="P760" s="50" t="n"/>
      <c r="Q760" s="50" t="n"/>
      <c r="R760" s="28">
        <f>IF($Q760="","",IFERROR(INDEX(CONFIG!$H$4:$H$63,MATCH($Q760,CONFIG!$G$4:$G$63,0)),"Por definir"))</f>
        <v/>
      </c>
      <c r="S760" s="28">
        <f>IF($Q760="","",IFERROR(INDEX(CONFIG!$I$4:$I$63,MATCH($Q760,CONFIG!$G$4:$G$63,0)),"Por definir"))</f>
        <v/>
      </c>
      <c r="T760" s="51" t="n"/>
      <c r="U760" s="52" t="n"/>
      <c r="V760" s="50" t="n"/>
      <c r="W760" s="50" t="n"/>
      <c r="X760" s="49">
        <f>IF(OR($B760="",$M760=""),"",WORKDAY($B760,IFERROR(INDEX(CONFIG!$D$4:$D$63,MATCH($M760,CONFIG!$A$4:$A$63,0)),3)))</f>
        <v/>
      </c>
      <c r="Y760" s="47" t="n"/>
      <c r="Z760" s="24">
        <f>IF($B760="","",IF($Y760&lt;&gt;"",$Y760-$B760,TODAY()-$B760))</f>
        <v/>
      </c>
      <c r="AA760" s="28">
        <f>IF($B760="","",IF(IFERROR(INDEX(CONFIG!$L$4:$L$63,MATCH($V760,CONFIG!$K$4:$K$63,0)),"NO")="SÍ",IF(OR($Y760="",$X760=""),"Resuelta",IF($Y760&gt;$X760,"Resuelta tarde","Resuelta a tiempo")),IF($X760="","Sin clasificar",IF(TODAY()&gt;$X760,"Vencida",IF(TODAY()&gt;=$X760-1,"Por vencer","En plazo")))))</f>
        <v/>
      </c>
      <c r="AB760" s="50" t="n"/>
      <c r="AC760" s="50" t="n"/>
    </row>
    <row r="761" ht="16" customHeight="1">
      <c r="A761" s="28">
        <f>IF($B761="","","N-"&amp;TEXT(ROW()-3,"0000"))</f>
        <v/>
      </c>
      <c r="B761" s="47" t="n"/>
      <c r="C761" s="48" t="n"/>
      <c r="D761" s="48" t="n"/>
      <c r="E761" s="28">
        <f>IF($C761="","",IF($D761="",IF($C761="Interna","Sin guía (interna)","FALTA GUÍA"),IF(COUNTIFS(ENVIOS!$A$4:$A$3003,$D761)=0,"NO EXISTE",IF(COUNTIFS(ENVIOS!$A$4:$A$3003,$D761)&gt;1,"DUPLICADA","OK"))))</f>
        <v/>
      </c>
      <c r="F761" s="28">
        <f>IF($D761="","",IFERROR(INDEX(ENVIOS!$B$4:$B$3003,MATCH($D761,ENVIOS!$A$4:$A$3003,0)),"—"))</f>
        <v/>
      </c>
      <c r="G761" s="23">
        <f>IF($D761="","",IFERROR(INDEX(ENVIOS!$D$4:$D$3003,MATCH($D761,ENVIOS!$A$4:$A$3003,0)),"—"))</f>
        <v/>
      </c>
      <c r="H761" s="23">
        <f>IF($D761="","",IFERROR(INDEX(ENVIOS!$E$4:$E$3003,MATCH($D761,ENVIOS!$A$4:$A$3003,0)),"—"))</f>
        <v/>
      </c>
      <c r="I761" s="23">
        <f>IF($D761="","",IFERROR(INDEX(ENVIOS!$F$4:$F$3003,MATCH($D761,ENVIOS!$A$4:$A$3003,0)),"—"))</f>
        <v/>
      </c>
      <c r="J761" s="23">
        <f>IF($D761="","",IFERROR(INDEX(ENVIOS!$G$4:$G$3003,MATCH($D761,ENVIOS!$A$4:$A$3003,0)),"—"))</f>
        <v/>
      </c>
      <c r="K761" s="28">
        <f>IF($D761="","",IFERROR(INDEX(ENVIOS!$H$4:$H$3003,MATCH($D761,ENVIOS!$A$4:$A$3003,0)),"—"))</f>
        <v/>
      </c>
      <c r="L761" s="49">
        <f>IF($D761="","",IFERROR(INDEX(ENVIOS!$C$4:$C$3003,MATCH($D761,ENVIOS!$A$4:$A$3003,0)),""))</f>
        <v/>
      </c>
      <c r="M761" s="50" t="n"/>
      <c r="N761" s="28">
        <f>IF($M761="","",IFERROR(INDEX(CONFIG!$C$4:$C$63,MATCH($M761,CONFIG!$A$4:$A$63,0)),"Media"))</f>
        <v/>
      </c>
      <c r="O761" s="28">
        <f>IF($M761="","",IF($C761="Interna","NO",IFERROR(INDEX(CONFIG!$E$4:$E$63,MATCH($M761,CONFIG!$A$4:$A$63,0)),"NO")))</f>
        <v/>
      </c>
      <c r="P761" s="50" t="n"/>
      <c r="Q761" s="50" t="n"/>
      <c r="R761" s="28">
        <f>IF($Q761="","",IFERROR(INDEX(CONFIG!$H$4:$H$63,MATCH($Q761,CONFIG!$G$4:$G$63,0)),"Por definir"))</f>
        <v/>
      </c>
      <c r="S761" s="28">
        <f>IF($Q761="","",IFERROR(INDEX(CONFIG!$I$4:$I$63,MATCH($Q761,CONFIG!$G$4:$G$63,0)),"Por definir"))</f>
        <v/>
      </c>
      <c r="T761" s="51" t="n"/>
      <c r="U761" s="52" t="n"/>
      <c r="V761" s="50" t="n"/>
      <c r="W761" s="50" t="n"/>
      <c r="X761" s="49">
        <f>IF(OR($B761="",$M761=""),"",WORKDAY($B761,IFERROR(INDEX(CONFIG!$D$4:$D$63,MATCH($M761,CONFIG!$A$4:$A$63,0)),3)))</f>
        <v/>
      </c>
      <c r="Y761" s="47" t="n"/>
      <c r="Z761" s="24">
        <f>IF($B761="","",IF($Y761&lt;&gt;"",$Y761-$B761,TODAY()-$B761))</f>
        <v/>
      </c>
      <c r="AA761" s="28">
        <f>IF($B761="","",IF(IFERROR(INDEX(CONFIG!$L$4:$L$63,MATCH($V761,CONFIG!$K$4:$K$63,0)),"NO")="SÍ",IF(OR($Y761="",$X761=""),"Resuelta",IF($Y761&gt;$X761,"Resuelta tarde","Resuelta a tiempo")),IF($X761="","Sin clasificar",IF(TODAY()&gt;$X761,"Vencida",IF(TODAY()&gt;=$X761-1,"Por vencer","En plazo")))))</f>
        <v/>
      </c>
      <c r="AB761" s="50" t="n"/>
      <c r="AC761" s="50" t="n"/>
    </row>
    <row r="762" ht="16" customHeight="1">
      <c r="A762" s="28">
        <f>IF($B762="","","N-"&amp;TEXT(ROW()-3,"0000"))</f>
        <v/>
      </c>
      <c r="B762" s="47" t="n"/>
      <c r="C762" s="48" t="n"/>
      <c r="D762" s="48" t="n"/>
      <c r="E762" s="28">
        <f>IF($C762="","",IF($D762="",IF($C762="Interna","Sin guía (interna)","FALTA GUÍA"),IF(COUNTIFS(ENVIOS!$A$4:$A$3003,$D762)=0,"NO EXISTE",IF(COUNTIFS(ENVIOS!$A$4:$A$3003,$D762)&gt;1,"DUPLICADA","OK"))))</f>
        <v/>
      </c>
      <c r="F762" s="28">
        <f>IF($D762="","",IFERROR(INDEX(ENVIOS!$B$4:$B$3003,MATCH($D762,ENVIOS!$A$4:$A$3003,0)),"—"))</f>
        <v/>
      </c>
      <c r="G762" s="23">
        <f>IF($D762="","",IFERROR(INDEX(ENVIOS!$D$4:$D$3003,MATCH($D762,ENVIOS!$A$4:$A$3003,0)),"—"))</f>
        <v/>
      </c>
      <c r="H762" s="23">
        <f>IF($D762="","",IFERROR(INDEX(ENVIOS!$E$4:$E$3003,MATCH($D762,ENVIOS!$A$4:$A$3003,0)),"—"))</f>
        <v/>
      </c>
      <c r="I762" s="23">
        <f>IF($D762="","",IFERROR(INDEX(ENVIOS!$F$4:$F$3003,MATCH($D762,ENVIOS!$A$4:$A$3003,0)),"—"))</f>
        <v/>
      </c>
      <c r="J762" s="23">
        <f>IF($D762="","",IFERROR(INDEX(ENVIOS!$G$4:$G$3003,MATCH($D762,ENVIOS!$A$4:$A$3003,0)),"—"))</f>
        <v/>
      </c>
      <c r="K762" s="28">
        <f>IF($D762="","",IFERROR(INDEX(ENVIOS!$H$4:$H$3003,MATCH($D762,ENVIOS!$A$4:$A$3003,0)),"—"))</f>
        <v/>
      </c>
      <c r="L762" s="49">
        <f>IF($D762="","",IFERROR(INDEX(ENVIOS!$C$4:$C$3003,MATCH($D762,ENVIOS!$A$4:$A$3003,0)),""))</f>
        <v/>
      </c>
      <c r="M762" s="50" t="n"/>
      <c r="N762" s="28">
        <f>IF($M762="","",IFERROR(INDEX(CONFIG!$C$4:$C$63,MATCH($M762,CONFIG!$A$4:$A$63,0)),"Media"))</f>
        <v/>
      </c>
      <c r="O762" s="28">
        <f>IF($M762="","",IF($C762="Interna","NO",IFERROR(INDEX(CONFIG!$E$4:$E$63,MATCH($M762,CONFIG!$A$4:$A$63,0)),"NO")))</f>
        <v/>
      </c>
      <c r="P762" s="50" t="n"/>
      <c r="Q762" s="50" t="n"/>
      <c r="R762" s="28">
        <f>IF($Q762="","",IFERROR(INDEX(CONFIG!$H$4:$H$63,MATCH($Q762,CONFIG!$G$4:$G$63,0)),"Por definir"))</f>
        <v/>
      </c>
      <c r="S762" s="28">
        <f>IF($Q762="","",IFERROR(INDEX(CONFIG!$I$4:$I$63,MATCH($Q762,CONFIG!$G$4:$G$63,0)),"Por definir"))</f>
        <v/>
      </c>
      <c r="T762" s="51" t="n"/>
      <c r="U762" s="52" t="n"/>
      <c r="V762" s="50" t="n"/>
      <c r="W762" s="50" t="n"/>
      <c r="X762" s="49">
        <f>IF(OR($B762="",$M762=""),"",WORKDAY($B762,IFERROR(INDEX(CONFIG!$D$4:$D$63,MATCH($M762,CONFIG!$A$4:$A$63,0)),3)))</f>
        <v/>
      </c>
      <c r="Y762" s="47" t="n"/>
      <c r="Z762" s="24">
        <f>IF($B762="","",IF($Y762&lt;&gt;"",$Y762-$B762,TODAY()-$B762))</f>
        <v/>
      </c>
      <c r="AA762" s="28">
        <f>IF($B762="","",IF(IFERROR(INDEX(CONFIG!$L$4:$L$63,MATCH($V762,CONFIG!$K$4:$K$63,0)),"NO")="SÍ",IF(OR($Y762="",$X762=""),"Resuelta",IF($Y762&gt;$X762,"Resuelta tarde","Resuelta a tiempo")),IF($X762="","Sin clasificar",IF(TODAY()&gt;$X762,"Vencida",IF(TODAY()&gt;=$X762-1,"Por vencer","En plazo")))))</f>
        <v/>
      </c>
      <c r="AB762" s="50" t="n"/>
      <c r="AC762" s="50" t="n"/>
    </row>
    <row r="763" ht="16" customHeight="1">
      <c r="A763" s="28">
        <f>IF($B763="","","N-"&amp;TEXT(ROW()-3,"0000"))</f>
        <v/>
      </c>
      <c r="B763" s="47" t="n"/>
      <c r="C763" s="48" t="n"/>
      <c r="D763" s="48" t="n"/>
      <c r="E763" s="28">
        <f>IF($C763="","",IF($D763="",IF($C763="Interna","Sin guía (interna)","FALTA GUÍA"),IF(COUNTIFS(ENVIOS!$A$4:$A$3003,$D763)=0,"NO EXISTE",IF(COUNTIFS(ENVIOS!$A$4:$A$3003,$D763)&gt;1,"DUPLICADA","OK"))))</f>
        <v/>
      </c>
      <c r="F763" s="28">
        <f>IF($D763="","",IFERROR(INDEX(ENVIOS!$B$4:$B$3003,MATCH($D763,ENVIOS!$A$4:$A$3003,0)),"—"))</f>
        <v/>
      </c>
      <c r="G763" s="23">
        <f>IF($D763="","",IFERROR(INDEX(ENVIOS!$D$4:$D$3003,MATCH($D763,ENVIOS!$A$4:$A$3003,0)),"—"))</f>
        <v/>
      </c>
      <c r="H763" s="23">
        <f>IF($D763="","",IFERROR(INDEX(ENVIOS!$E$4:$E$3003,MATCH($D763,ENVIOS!$A$4:$A$3003,0)),"—"))</f>
        <v/>
      </c>
      <c r="I763" s="23">
        <f>IF($D763="","",IFERROR(INDEX(ENVIOS!$F$4:$F$3003,MATCH($D763,ENVIOS!$A$4:$A$3003,0)),"—"))</f>
        <v/>
      </c>
      <c r="J763" s="23">
        <f>IF($D763="","",IFERROR(INDEX(ENVIOS!$G$4:$G$3003,MATCH($D763,ENVIOS!$A$4:$A$3003,0)),"—"))</f>
        <v/>
      </c>
      <c r="K763" s="28">
        <f>IF($D763="","",IFERROR(INDEX(ENVIOS!$H$4:$H$3003,MATCH($D763,ENVIOS!$A$4:$A$3003,0)),"—"))</f>
        <v/>
      </c>
      <c r="L763" s="49">
        <f>IF($D763="","",IFERROR(INDEX(ENVIOS!$C$4:$C$3003,MATCH($D763,ENVIOS!$A$4:$A$3003,0)),""))</f>
        <v/>
      </c>
      <c r="M763" s="50" t="n"/>
      <c r="N763" s="28">
        <f>IF($M763="","",IFERROR(INDEX(CONFIG!$C$4:$C$63,MATCH($M763,CONFIG!$A$4:$A$63,0)),"Media"))</f>
        <v/>
      </c>
      <c r="O763" s="28">
        <f>IF($M763="","",IF($C763="Interna","NO",IFERROR(INDEX(CONFIG!$E$4:$E$63,MATCH($M763,CONFIG!$A$4:$A$63,0)),"NO")))</f>
        <v/>
      </c>
      <c r="P763" s="50" t="n"/>
      <c r="Q763" s="50" t="n"/>
      <c r="R763" s="28">
        <f>IF($Q763="","",IFERROR(INDEX(CONFIG!$H$4:$H$63,MATCH($Q763,CONFIG!$G$4:$G$63,0)),"Por definir"))</f>
        <v/>
      </c>
      <c r="S763" s="28">
        <f>IF($Q763="","",IFERROR(INDEX(CONFIG!$I$4:$I$63,MATCH($Q763,CONFIG!$G$4:$G$63,0)),"Por definir"))</f>
        <v/>
      </c>
      <c r="T763" s="51" t="n"/>
      <c r="U763" s="52" t="n"/>
      <c r="V763" s="50" t="n"/>
      <c r="W763" s="50" t="n"/>
      <c r="X763" s="49">
        <f>IF(OR($B763="",$M763=""),"",WORKDAY($B763,IFERROR(INDEX(CONFIG!$D$4:$D$63,MATCH($M763,CONFIG!$A$4:$A$63,0)),3)))</f>
        <v/>
      </c>
      <c r="Y763" s="47" t="n"/>
      <c r="Z763" s="24">
        <f>IF($B763="","",IF($Y763&lt;&gt;"",$Y763-$B763,TODAY()-$B763))</f>
        <v/>
      </c>
      <c r="AA763" s="28">
        <f>IF($B763="","",IF(IFERROR(INDEX(CONFIG!$L$4:$L$63,MATCH($V763,CONFIG!$K$4:$K$63,0)),"NO")="SÍ",IF(OR($Y763="",$X763=""),"Resuelta",IF($Y763&gt;$X763,"Resuelta tarde","Resuelta a tiempo")),IF($X763="","Sin clasificar",IF(TODAY()&gt;$X763,"Vencida",IF(TODAY()&gt;=$X763-1,"Por vencer","En plazo")))))</f>
        <v/>
      </c>
      <c r="AB763" s="50" t="n"/>
      <c r="AC763" s="50" t="n"/>
    </row>
    <row r="764" ht="16" customHeight="1">
      <c r="A764" s="28">
        <f>IF($B764="","","N-"&amp;TEXT(ROW()-3,"0000"))</f>
        <v/>
      </c>
      <c r="B764" s="47" t="n"/>
      <c r="C764" s="48" t="n"/>
      <c r="D764" s="48" t="n"/>
      <c r="E764" s="28">
        <f>IF($C764="","",IF($D764="",IF($C764="Interna","Sin guía (interna)","FALTA GUÍA"),IF(COUNTIFS(ENVIOS!$A$4:$A$3003,$D764)=0,"NO EXISTE",IF(COUNTIFS(ENVIOS!$A$4:$A$3003,$D764)&gt;1,"DUPLICADA","OK"))))</f>
        <v/>
      </c>
      <c r="F764" s="28">
        <f>IF($D764="","",IFERROR(INDEX(ENVIOS!$B$4:$B$3003,MATCH($D764,ENVIOS!$A$4:$A$3003,0)),"—"))</f>
        <v/>
      </c>
      <c r="G764" s="23">
        <f>IF($D764="","",IFERROR(INDEX(ENVIOS!$D$4:$D$3003,MATCH($D764,ENVIOS!$A$4:$A$3003,0)),"—"))</f>
        <v/>
      </c>
      <c r="H764" s="23">
        <f>IF($D764="","",IFERROR(INDEX(ENVIOS!$E$4:$E$3003,MATCH($D764,ENVIOS!$A$4:$A$3003,0)),"—"))</f>
        <v/>
      </c>
      <c r="I764" s="23">
        <f>IF($D764="","",IFERROR(INDEX(ENVIOS!$F$4:$F$3003,MATCH($D764,ENVIOS!$A$4:$A$3003,0)),"—"))</f>
        <v/>
      </c>
      <c r="J764" s="23">
        <f>IF($D764="","",IFERROR(INDEX(ENVIOS!$G$4:$G$3003,MATCH($D764,ENVIOS!$A$4:$A$3003,0)),"—"))</f>
        <v/>
      </c>
      <c r="K764" s="28">
        <f>IF($D764="","",IFERROR(INDEX(ENVIOS!$H$4:$H$3003,MATCH($D764,ENVIOS!$A$4:$A$3003,0)),"—"))</f>
        <v/>
      </c>
      <c r="L764" s="49">
        <f>IF($D764="","",IFERROR(INDEX(ENVIOS!$C$4:$C$3003,MATCH($D764,ENVIOS!$A$4:$A$3003,0)),""))</f>
        <v/>
      </c>
      <c r="M764" s="50" t="n"/>
      <c r="N764" s="28">
        <f>IF($M764="","",IFERROR(INDEX(CONFIG!$C$4:$C$63,MATCH($M764,CONFIG!$A$4:$A$63,0)),"Media"))</f>
        <v/>
      </c>
      <c r="O764" s="28">
        <f>IF($M764="","",IF($C764="Interna","NO",IFERROR(INDEX(CONFIG!$E$4:$E$63,MATCH($M764,CONFIG!$A$4:$A$63,0)),"NO")))</f>
        <v/>
      </c>
      <c r="P764" s="50" t="n"/>
      <c r="Q764" s="50" t="n"/>
      <c r="R764" s="28">
        <f>IF($Q764="","",IFERROR(INDEX(CONFIG!$H$4:$H$63,MATCH($Q764,CONFIG!$G$4:$G$63,0)),"Por definir"))</f>
        <v/>
      </c>
      <c r="S764" s="28">
        <f>IF($Q764="","",IFERROR(INDEX(CONFIG!$I$4:$I$63,MATCH($Q764,CONFIG!$G$4:$G$63,0)),"Por definir"))</f>
        <v/>
      </c>
      <c r="T764" s="51" t="n"/>
      <c r="U764" s="52" t="n"/>
      <c r="V764" s="50" t="n"/>
      <c r="W764" s="50" t="n"/>
      <c r="X764" s="49">
        <f>IF(OR($B764="",$M764=""),"",WORKDAY($B764,IFERROR(INDEX(CONFIG!$D$4:$D$63,MATCH($M764,CONFIG!$A$4:$A$63,0)),3)))</f>
        <v/>
      </c>
      <c r="Y764" s="47" t="n"/>
      <c r="Z764" s="24">
        <f>IF($B764="","",IF($Y764&lt;&gt;"",$Y764-$B764,TODAY()-$B764))</f>
        <v/>
      </c>
      <c r="AA764" s="28">
        <f>IF($B764="","",IF(IFERROR(INDEX(CONFIG!$L$4:$L$63,MATCH($V764,CONFIG!$K$4:$K$63,0)),"NO")="SÍ",IF(OR($Y764="",$X764=""),"Resuelta",IF($Y764&gt;$X764,"Resuelta tarde","Resuelta a tiempo")),IF($X764="","Sin clasificar",IF(TODAY()&gt;$X764,"Vencida",IF(TODAY()&gt;=$X764-1,"Por vencer","En plazo")))))</f>
        <v/>
      </c>
      <c r="AB764" s="50" t="n"/>
      <c r="AC764" s="50" t="n"/>
    </row>
    <row r="765" ht="16" customHeight="1">
      <c r="A765" s="28">
        <f>IF($B765="","","N-"&amp;TEXT(ROW()-3,"0000"))</f>
        <v/>
      </c>
      <c r="B765" s="47" t="n"/>
      <c r="C765" s="48" t="n"/>
      <c r="D765" s="48" t="n"/>
      <c r="E765" s="28">
        <f>IF($C765="","",IF($D765="",IF($C765="Interna","Sin guía (interna)","FALTA GUÍA"),IF(COUNTIFS(ENVIOS!$A$4:$A$3003,$D765)=0,"NO EXISTE",IF(COUNTIFS(ENVIOS!$A$4:$A$3003,$D765)&gt;1,"DUPLICADA","OK"))))</f>
        <v/>
      </c>
      <c r="F765" s="28">
        <f>IF($D765="","",IFERROR(INDEX(ENVIOS!$B$4:$B$3003,MATCH($D765,ENVIOS!$A$4:$A$3003,0)),"—"))</f>
        <v/>
      </c>
      <c r="G765" s="23">
        <f>IF($D765="","",IFERROR(INDEX(ENVIOS!$D$4:$D$3003,MATCH($D765,ENVIOS!$A$4:$A$3003,0)),"—"))</f>
        <v/>
      </c>
      <c r="H765" s="23">
        <f>IF($D765="","",IFERROR(INDEX(ENVIOS!$E$4:$E$3003,MATCH($D765,ENVIOS!$A$4:$A$3003,0)),"—"))</f>
        <v/>
      </c>
      <c r="I765" s="23">
        <f>IF($D765="","",IFERROR(INDEX(ENVIOS!$F$4:$F$3003,MATCH($D765,ENVIOS!$A$4:$A$3003,0)),"—"))</f>
        <v/>
      </c>
      <c r="J765" s="23">
        <f>IF($D765="","",IFERROR(INDEX(ENVIOS!$G$4:$G$3003,MATCH($D765,ENVIOS!$A$4:$A$3003,0)),"—"))</f>
        <v/>
      </c>
      <c r="K765" s="28">
        <f>IF($D765="","",IFERROR(INDEX(ENVIOS!$H$4:$H$3003,MATCH($D765,ENVIOS!$A$4:$A$3003,0)),"—"))</f>
        <v/>
      </c>
      <c r="L765" s="49">
        <f>IF($D765="","",IFERROR(INDEX(ENVIOS!$C$4:$C$3003,MATCH($D765,ENVIOS!$A$4:$A$3003,0)),""))</f>
        <v/>
      </c>
      <c r="M765" s="50" t="n"/>
      <c r="N765" s="28">
        <f>IF($M765="","",IFERROR(INDEX(CONFIG!$C$4:$C$63,MATCH($M765,CONFIG!$A$4:$A$63,0)),"Media"))</f>
        <v/>
      </c>
      <c r="O765" s="28">
        <f>IF($M765="","",IF($C765="Interna","NO",IFERROR(INDEX(CONFIG!$E$4:$E$63,MATCH($M765,CONFIG!$A$4:$A$63,0)),"NO")))</f>
        <v/>
      </c>
      <c r="P765" s="50" t="n"/>
      <c r="Q765" s="50" t="n"/>
      <c r="R765" s="28">
        <f>IF($Q765="","",IFERROR(INDEX(CONFIG!$H$4:$H$63,MATCH($Q765,CONFIG!$G$4:$G$63,0)),"Por definir"))</f>
        <v/>
      </c>
      <c r="S765" s="28">
        <f>IF($Q765="","",IFERROR(INDEX(CONFIG!$I$4:$I$63,MATCH($Q765,CONFIG!$G$4:$G$63,0)),"Por definir"))</f>
        <v/>
      </c>
      <c r="T765" s="51" t="n"/>
      <c r="U765" s="52" t="n"/>
      <c r="V765" s="50" t="n"/>
      <c r="W765" s="50" t="n"/>
      <c r="X765" s="49">
        <f>IF(OR($B765="",$M765=""),"",WORKDAY($B765,IFERROR(INDEX(CONFIG!$D$4:$D$63,MATCH($M765,CONFIG!$A$4:$A$63,0)),3)))</f>
        <v/>
      </c>
      <c r="Y765" s="47" t="n"/>
      <c r="Z765" s="24">
        <f>IF($B765="","",IF($Y765&lt;&gt;"",$Y765-$B765,TODAY()-$B765))</f>
        <v/>
      </c>
      <c r="AA765" s="28">
        <f>IF($B765="","",IF(IFERROR(INDEX(CONFIG!$L$4:$L$63,MATCH($V765,CONFIG!$K$4:$K$63,0)),"NO")="SÍ",IF(OR($Y765="",$X765=""),"Resuelta",IF($Y765&gt;$X765,"Resuelta tarde","Resuelta a tiempo")),IF($X765="","Sin clasificar",IF(TODAY()&gt;$X765,"Vencida",IF(TODAY()&gt;=$X765-1,"Por vencer","En plazo")))))</f>
        <v/>
      </c>
      <c r="AB765" s="50" t="n"/>
      <c r="AC765" s="50" t="n"/>
    </row>
    <row r="766" ht="16" customHeight="1">
      <c r="A766" s="28">
        <f>IF($B766="","","N-"&amp;TEXT(ROW()-3,"0000"))</f>
        <v/>
      </c>
      <c r="B766" s="47" t="n"/>
      <c r="C766" s="48" t="n"/>
      <c r="D766" s="48" t="n"/>
      <c r="E766" s="28">
        <f>IF($C766="","",IF($D766="",IF($C766="Interna","Sin guía (interna)","FALTA GUÍA"),IF(COUNTIFS(ENVIOS!$A$4:$A$3003,$D766)=0,"NO EXISTE",IF(COUNTIFS(ENVIOS!$A$4:$A$3003,$D766)&gt;1,"DUPLICADA","OK"))))</f>
        <v/>
      </c>
      <c r="F766" s="28">
        <f>IF($D766="","",IFERROR(INDEX(ENVIOS!$B$4:$B$3003,MATCH($D766,ENVIOS!$A$4:$A$3003,0)),"—"))</f>
        <v/>
      </c>
      <c r="G766" s="23">
        <f>IF($D766="","",IFERROR(INDEX(ENVIOS!$D$4:$D$3003,MATCH($D766,ENVIOS!$A$4:$A$3003,0)),"—"))</f>
        <v/>
      </c>
      <c r="H766" s="23">
        <f>IF($D766="","",IFERROR(INDEX(ENVIOS!$E$4:$E$3003,MATCH($D766,ENVIOS!$A$4:$A$3003,0)),"—"))</f>
        <v/>
      </c>
      <c r="I766" s="23">
        <f>IF($D766="","",IFERROR(INDEX(ENVIOS!$F$4:$F$3003,MATCH($D766,ENVIOS!$A$4:$A$3003,0)),"—"))</f>
        <v/>
      </c>
      <c r="J766" s="23">
        <f>IF($D766="","",IFERROR(INDEX(ENVIOS!$G$4:$G$3003,MATCH($D766,ENVIOS!$A$4:$A$3003,0)),"—"))</f>
        <v/>
      </c>
      <c r="K766" s="28">
        <f>IF($D766="","",IFERROR(INDEX(ENVIOS!$H$4:$H$3003,MATCH($D766,ENVIOS!$A$4:$A$3003,0)),"—"))</f>
        <v/>
      </c>
      <c r="L766" s="49">
        <f>IF($D766="","",IFERROR(INDEX(ENVIOS!$C$4:$C$3003,MATCH($D766,ENVIOS!$A$4:$A$3003,0)),""))</f>
        <v/>
      </c>
      <c r="M766" s="50" t="n"/>
      <c r="N766" s="28">
        <f>IF($M766="","",IFERROR(INDEX(CONFIG!$C$4:$C$63,MATCH($M766,CONFIG!$A$4:$A$63,0)),"Media"))</f>
        <v/>
      </c>
      <c r="O766" s="28">
        <f>IF($M766="","",IF($C766="Interna","NO",IFERROR(INDEX(CONFIG!$E$4:$E$63,MATCH($M766,CONFIG!$A$4:$A$63,0)),"NO")))</f>
        <v/>
      </c>
      <c r="P766" s="50" t="n"/>
      <c r="Q766" s="50" t="n"/>
      <c r="R766" s="28">
        <f>IF($Q766="","",IFERROR(INDEX(CONFIG!$H$4:$H$63,MATCH($Q766,CONFIG!$G$4:$G$63,0)),"Por definir"))</f>
        <v/>
      </c>
      <c r="S766" s="28">
        <f>IF($Q766="","",IFERROR(INDEX(CONFIG!$I$4:$I$63,MATCH($Q766,CONFIG!$G$4:$G$63,0)),"Por definir"))</f>
        <v/>
      </c>
      <c r="T766" s="51" t="n"/>
      <c r="U766" s="52" t="n"/>
      <c r="V766" s="50" t="n"/>
      <c r="W766" s="50" t="n"/>
      <c r="X766" s="49">
        <f>IF(OR($B766="",$M766=""),"",WORKDAY($B766,IFERROR(INDEX(CONFIG!$D$4:$D$63,MATCH($M766,CONFIG!$A$4:$A$63,0)),3)))</f>
        <v/>
      </c>
      <c r="Y766" s="47" t="n"/>
      <c r="Z766" s="24">
        <f>IF($B766="","",IF($Y766&lt;&gt;"",$Y766-$B766,TODAY()-$B766))</f>
        <v/>
      </c>
      <c r="AA766" s="28">
        <f>IF($B766="","",IF(IFERROR(INDEX(CONFIG!$L$4:$L$63,MATCH($V766,CONFIG!$K$4:$K$63,0)),"NO")="SÍ",IF(OR($Y766="",$X766=""),"Resuelta",IF($Y766&gt;$X766,"Resuelta tarde","Resuelta a tiempo")),IF($X766="","Sin clasificar",IF(TODAY()&gt;$X766,"Vencida",IF(TODAY()&gt;=$X766-1,"Por vencer","En plazo")))))</f>
        <v/>
      </c>
      <c r="AB766" s="50" t="n"/>
      <c r="AC766" s="50" t="n"/>
    </row>
    <row r="767" ht="16" customHeight="1">
      <c r="A767" s="28">
        <f>IF($B767="","","N-"&amp;TEXT(ROW()-3,"0000"))</f>
        <v/>
      </c>
      <c r="B767" s="47" t="n"/>
      <c r="C767" s="48" t="n"/>
      <c r="D767" s="48" t="n"/>
      <c r="E767" s="28">
        <f>IF($C767="","",IF($D767="",IF($C767="Interna","Sin guía (interna)","FALTA GUÍA"),IF(COUNTIFS(ENVIOS!$A$4:$A$3003,$D767)=0,"NO EXISTE",IF(COUNTIFS(ENVIOS!$A$4:$A$3003,$D767)&gt;1,"DUPLICADA","OK"))))</f>
        <v/>
      </c>
      <c r="F767" s="28">
        <f>IF($D767="","",IFERROR(INDEX(ENVIOS!$B$4:$B$3003,MATCH($D767,ENVIOS!$A$4:$A$3003,0)),"—"))</f>
        <v/>
      </c>
      <c r="G767" s="23">
        <f>IF($D767="","",IFERROR(INDEX(ENVIOS!$D$4:$D$3003,MATCH($D767,ENVIOS!$A$4:$A$3003,0)),"—"))</f>
        <v/>
      </c>
      <c r="H767" s="23">
        <f>IF($D767="","",IFERROR(INDEX(ENVIOS!$E$4:$E$3003,MATCH($D767,ENVIOS!$A$4:$A$3003,0)),"—"))</f>
        <v/>
      </c>
      <c r="I767" s="23">
        <f>IF($D767="","",IFERROR(INDEX(ENVIOS!$F$4:$F$3003,MATCH($D767,ENVIOS!$A$4:$A$3003,0)),"—"))</f>
        <v/>
      </c>
      <c r="J767" s="23">
        <f>IF($D767="","",IFERROR(INDEX(ENVIOS!$G$4:$G$3003,MATCH($D767,ENVIOS!$A$4:$A$3003,0)),"—"))</f>
        <v/>
      </c>
      <c r="K767" s="28">
        <f>IF($D767="","",IFERROR(INDEX(ENVIOS!$H$4:$H$3003,MATCH($D767,ENVIOS!$A$4:$A$3003,0)),"—"))</f>
        <v/>
      </c>
      <c r="L767" s="49">
        <f>IF($D767="","",IFERROR(INDEX(ENVIOS!$C$4:$C$3003,MATCH($D767,ENVIOS!$A$4:$A$3003,0)),""))</f>
        <v/>
      </c>
      <c r="M767" s="50" t="n"/>
      <c r="N767" s="28">
        <f>IF($M767="","",IFERROR(INDEX(CONFIG!$C$4:$C$63,MATCH($M767,CONFIG!$A$4:$A$63,0)),"Media"))</f>
        <v/>
      </c>
      <c r="O767" s="28">
        <f>IF($M767="","",IF($C767="Interna","NO",IFERROR(INDEX(CONFIG!$E$4:$E$63,MATCH($M767,CONFIG!$A$4:$A$63,0)),"NO")))</f>
        <v/>
      </c>
      <c r="P767" s="50" t="n"/>
      <c r="Q767" s="50" t="n"/>
      <c r="R767" s="28">
        <f>IF($Q767="","",IFERROR(INDEX(CONFIG!$H$4:$H$63,MATCH($Q767,CONFIG!$G$4:$G$63,0)),"Por definir"))</f>
        <v/>
      </c>
      <c r="S767" s="28">
        <f>IF($Q767="","",IFERROR(INDEX(CONFIG!$I$4:$I$63,MATCH($Q767,CONFIG!$G$4:$G$63,0)),"Por definir"))</f>
        <v/>
      </c>
      <c r="T767" s="51" t="n"/>
      <c r="U767" s="52" t="n"/>
      <c r="V767" s="50" t="n"/>
      <c r="W767" s="50" t="n"/>
      <c r="X767" s="49">
        <f>IF(OR($B767="",$M767=""),"",WORKDAY($B767,IFERROR(INDEX(CONFIG!$D$4:$D$63,MATCH($M767,CONFIG!$A$4:$A$63,0)),3)))</f>
        <v/>
      </c>
      <c r="Y767" s="47" t="n"/>
      <c r="Z767" s="24">
        <f>IF($B767="","",IF($Y767&lt;&gt;"",$Y767-$B767,TODAY()-$B767))</f>
        <v/>
      </c>
      <c r="AA767" s="28">
        <f>IF($B767="","",IF(IFERROR(INDEX(CONFIG!$L$4:$L$63,MATCH($V767,CONFIG!$K$4:$K$63,0)),"NO")="SÍ",IF(OR($Y767="",$X767=""),"Resuelta",IF($Y767&gt;$X767,"Resuelta tarde","Resuelta a tiempo")),IF($X767="","Sin clasificar",IF(TODAY()&gt;$X767,"Vencida",IF(TODAY()&gt;=$X767-1,"Por vencer","En plazo")))))</f>
        <v/>
      </c>
      <c r="AB767" s="50" t="n"/>
      <c r="AC767" s="50" t="n"/>
    </row>
    <row r="768" ht="16" customHeight="1">
      <c r="A768" s="28">
        <f>IF($B768="","","N-"&amp;TEXT(ROW()-3,"0000"))</f>
        <v/>
      </c>
      <c r="B768" s="47" t="n"/>
      <c r="C768" s="48" t="n"/>
      <c r="D768" s="48" t="n"/>
      <c r="E768" s="28">
        <f>IF($C768="","",IF($D768="",IF($C768="Interna","Sin guía (interna)","FALTA GUÍA"),IF(COUNTIFS(ENVIOS!$A$4:$A$3003,$D768)=0,"NO EXISTE",IF(COUNTIFS(ENVIOS!$A$4:$A$3003,$D768)&gt;1,"DUPLICADA","OK"))))</f>
        <v/>
      </c>
      <c r="F768" s="28">
        <f>IF($D768="","",IFERROR(INDEX(ENVIOS!$B$4:$B$3003,MATCH($D768,ENVIOS!$A$4:$A$3003,0)),"—"))</f>
        <v/>
      </c>
      <c r="G768" s="23">
        <f>IF($D768="","",IFERROR(INDEX(ENVIOS!$D$4:$D$3003,MATCH($D768,ENVIOS!$A$4:$A$3003,0)),"—"))</f>
        <v/>
      </c>
      <c r="H768" s="23">
        <f>IF($D768="","",IFERROR(INDEX(ENVIOS!$E$4:$E$3003,MATCH($D768,ENVIOS!$A$4:$A$3003,0)),"—"))</f>
        <v/>
      </c>
      <c r="I768" s="23">
        <f>IF($D768="","",IFERROR(INDEX(ENVIOS!$F$4:$F$3003,MATCH($D768,ENVIOS!$A$4:$A$3003,0)),"—"))</f>
        <v/>
      </c>
      <c r="J768" s="23">
        <f>IF($D768="","",IFERROR(INDEX(ENVIOS!$G$4:$G$3003,MATCH($D768,ENVIOS!$A$4:$A$3003,0)),"—"))</f>
        <v/>
      </c>
      <c r="K768" s="28">
        <f>IF($D768="","",IFERROR(INDEX(ENVIOS!$H$4:$H$3003,MATCH($D768,ENVIOS!$A$4:$A$3003,0)),"—"))</f>
        <v/>
      </c>
      <c r="L768" s="49">
        <f>IF($D768="","",IFERROR(INDEX(ENVIOS!$C$4:$C$3003,MATCH($D768,ENVIOS!$A$4:$A$3003,0)),""))</f>
        <v/>
      </c>
      <c r="M768" s="50" t="n"/>
      <c r="N768" s="28">
        <f>IF($M768="","",IFERROR(INDEX(CONFIG!$C$4:$C$63,MATCH($M768,CONFIG!$A$4:$A$63,0)),"Media"))</f>
        <v/>
      </c>
      <c r="O768" s="28">
        <f>IF($M768="","",IF($C768="Interna","NO",IFERROR(INDEX(CONFIG!$E$4:$E$63,MATCH($M768,CONFIG!$A$4:$A$63,0)),"NO")))</f>
        <v/>
      </c>
      <c r="P768" s="50" t="n"/>
      <c r="Q768" s="50" t="n"/>
      <c r="R768" s="28">
        <f>IF($Q768="","",IFERROR(INDEX(CONFIG!$H$4:$H$63,MATCH($Q768,CONFIG!$G$4:$G$63,0)),"Por definir"))</f>
        <v/>
      </c>
      <c r="S768" s="28">
        <f>IF($Q768="","",IFERROR(INDEX(CONFIG!$I$4:$I$63,MATCH($Q768,CONFIG!$G$4:$G$63,0)),"Por definir"))</f>
        <v/>
      </c>
      <c r="T768" s="51" t="n"/>
      <c r="U768" s="52" t="n"/>
      <c r="V768" s="50" t="n"/>
      <c r="W768" s="50" t="n"/>
      <c r="X768" s="49">
        <f>IF(OR($B768="",$M768=""),"",WORKDAY($B768,IFERROR(INDEX(CONFIG!$D$4:$D$63,MATCH($M768,CONFIG!$A$4:$A$63,0)),3)))</f>
        <v/>
      </c>
      <c r="Y768" s="47" t="n"/>
      <c r="Z768" s="24">
        <f>IF($B768="","",IF($Y768&lt;&gt;"",$Y768-$B768,TODAY()-$B768))</f>
        <v/>
      </c>
      <c r="AA768" s="28">
        <f>IF($B768="","",IF(IFERROR(INDEX(CONFIG!$L$4:$L$63,MATCH($V768,CONFIG!$K$4:$K$63,0)),"NO")="SÍ",IF(OR($Y768="",$X768=""),"Resuelta",IF($Y768&gt;$X768,"Resuelta tarde","Resuelta a tiempo")),IF($X768="","Sin clasificar",IF(TODAY()&gt;$X768,"Vencida",IF(TODAY()&gt;=$X768-1,"Por vencer","En plazo")))))</f>
        <v/>
      </c>
      <c r="AB768" s="50" t="n"/>
      <c r="AC768" s="50" t="n"/>
    </row>
    <row r="769" ht="16" customHeight="1">
      <c r="A769" s="28">
        <f>IF($B769="","","N-"&amp;TEXT(ROW()-3,"0000"))</f>
        <v/>
      </c>
      <c r="B769" s="47" t="n"/>
      <c r="C769" s="48" t="n"/>
      <c r="D769" s="48" t="n"/>
      <c r="E769" s="28">
        <f>IF($C769="","",IF($D769="",IF($C769="Interna","Sin guía (interna)","FALTA GUÍA"),IF(COUNTIFS(ENVIOS!$A$4:$A$3003,$D769)=0,"NO EXISTE",IF(COUNTIFS(ENVIOS!$A$4:$A$3003,$D769)&gt;1,"DUPLICADA","OK"))))</f>
        <v/>
      </c>
      <c r="F769" s="28">
        <f>IF($D769="","",IFERROR(INDEX(ENVIOS!$B$4:$B$3003,MATCH($D769,ENVIOS!$A$4:$A$3003,0)),"—"))</f>
        <v/>
      </c>
      <c r="G769" s="23">
        <f>IF($D769="","",IFERROR(INDEX(ENVIOS!$D$4:$D$3003,MATCH($D769,ENVIOS!$A$4:$A$3003,0)),"—"))</f>
        <v/>
      </c>
      <c r="H769" s="23">
        <f>IF($D769="","",IFERROR(INDEX(ENVIOS!$E$4:$E$3003,MATCH($D769,ENVIOS!$A$4:$A$3003,0)),"—"))</f>
        <v/>
      </c>
      <c r="I769" s="23">
        <f>IF($D769="","",IFERROR(INDEX(ENVIOS!$F$4:$F$3003,MATCH($D769,ENVIOS!$A$4:$A$3003,0)),"—"))</f>
        <v/>
      </c>
      <c r="J769" s="23">
        <f>IF($D769="","",IFERROR(INDEX(ENVIOS!$G$4:$G$3003,MATCH($D769,ENVIOS!$A$4:$A$3003,0)),"—"))</f>
        <v/>
      </c>
      <c r="K769" s="28">
        <f>IF($D769="","",IFERROR(INDEX(ENVIOS!$H$4:$H$3003,MATCH($D769,ENVIOS!$A$4:$A$3003,0)),"—"))</f>
        <v/>
      </c>
      <c r="L769" s="49">
        <f>IF($D769="","",IFERROR(INDEX(ENVIOS!$C$4:$C$3003,MATCH($D769,ENVIOS!$A$4:$A$3003,0)),""))</f>
        <v/>
      </c>
      <c r="M769" s="50" t="n"/>
      <c r="N769" s="28">
        <f>IF($M769="","",IFERROR(INDEX(CONFIG!$C$4:$C$63,MATCH($M769,CONFIG!$A$4:$A$63,0)),"Media"))</f>
        <v/>
      </c>
      <c r="O769" s="28">
        <f>IF($M769="","",IF($C769="Interna","NO",IFERROR(INDEX(CONFIG!$E$4:$E$63,MATCH($M769,CONFIG!$A$4:$A$63,0)),"NO")))</f>
        <v/>
      </c>
      <c r="P769" s="50" t="n"/>
      <c r="Q769" s="50" t="n"/>
      <c r="R769" s="28">
        <f>IF($Q769="","",IFERROR(INDEX(CONFIG!$H$4:$H$63,MATCH($Q769,CONFIG!$G$4:$G$63,0)),"Por definir"))</f>
        <v/>
      </c>
      <c r="S769" s="28">
        <f>IF($Q769="","",IFERROR(INDEX(CONFIG!$I$4:$I$63,MATCH($Q769,CONFIG!$G$4:$G$63,0)),"Por definir"))</f>
        <v/>
      </c>
      <c r="T769" s="51" t="n"/>
      <c r="U769" s="52" t="n"/>
      <c r="V769" s="50" t="n"/>
      <c r="W769" s="50" t="n"/>
      <c r="X769" s="49">
        <f>IF(OR($B769="",$M769=""),"",WORKDAY($B769,IFERROR(INDEX(CONFIG!$D$4:$D$63,MATCH($M769,CONFIG!$A$4:$A$63,0)),3)))</f>
        <v/>
      </c>
      <c r="Y769" s="47" t="n"/>
      <c r="Z769" s="24">
        <f>IF($B769="","",IF($Y769&lt;&gt;"",$Y769-$B769,TODAY()-$B769))</f>
        <v/>
      </c>
      <c r="AA769" s="28">
        <f>IF($B769="","",IF(IFERROR(INDEX(CONFIG!$L$4:$L$63,MATCH($V769,CONFIG!$K$4:$K$63,0)),"NO")="SÍ",IF(OR($Y769="",$X769=""),"Resuelta",IF($Y769&gt;$X769,"Resuelta tarde","Resuelta a tiempo")),IF($X769="","Sin clasificar",IF(TODAY()&gt;$X769,"Vencida",IF(TODAY()&gt;=$X769-1,"Por vencer","En plazo")))))</f>
        <v/>
      </c>
      <c r="AB769" s="50" t="n"/>
      <c r="AC769" s="50" t="n"/>
    </row>
    <row r="770" ht="16" customHeight="1">
      <c r="A770" s="28">
        <f>IF($B770="","","N-"&amp;TEXT(ROW()-3,"0000"))</f>
        <v/>
      </c>
      <c r="B770" s="47" t="n"/>
      <c r="C770" s="48" t="n"/>
      <c r="D770" s="48" t="n"/>
      <c r="E770" s="28">
        <f>IF($C770="","",IF($D770="",IF($C770="Interna","Sin guía (interna)","FALTA GUÍA"),IF(COUNTIFS(ENVIOS!$A$4:$A$3003,$D770)=0,"NO EXISTE",IF(COUNTIFS(ENVIOS!$A$4:$A$3003,$D770)&gt;1,"DUPLICADA","OK"))))</f>
        <v/>
      </c>
      <c r="F770" s="28">
        <f>IF($D770="","",IFERROR(INDEX(ENVIOS!$B$4:$B$3003,MATCH($D770,ENVIOS!$A$4:$A$3003,0)),"—"))</f>
        <v/>
      </c>
      <c r="G770" s="23">
        <f>IF($D770="","",IFERROR(INDEX(ENVIOS!$D$4:$D$3003,MATCH($D770,ENVIOS!$A$4:$A$3003,0)),"—"))</f>
        <v/>
      </c>
      <c r="H770" s="23">
        <f>IF($D770="","",IFERROR(INDEX(ENVIOS!$E$4:$E$3003,MATCH($D770,ENVIOS!$A$4:$A$3003,0)),"—"))</f>
        <v/>
      </c>
      <c r="I770" s="23">
        <f>IF($D770="","",IFERROR(INDEX(ENVIOS!$F$4:$F$3003,MATCH($D770,ENVIOS!$A$4:$A$3003,0)),"—"))</f>
        <v/>
      </c>
      <c r="J770" s="23">
        <f>IF($D770="","",IFERROR(INDEX(ENVIOS!$G$4:$G$3003,MATCH($D770,ENVIOS!$A$4:$A$3003,0)),"—"))</f>
        <v/>
      </c>
      <c r="K770" s="28">
        <f>IF($D770="","",IFERROR(INDEX(ENVIOS!$H$4:$H$3003,MATCH($D770,ENVIOS!$A$4:$A$3003,0)),"—"))</f>
        <v/>
      </c>
      <c r="L770" s="49">
        <f>IF($D770="","",IFERROR(INDEX(ENVIOS!$C$4:$C$3003,MATCH($D770,ENVIOS!$A$4:$A$3003,0)),""))</f>
        <v/>
      </c>
      <c r="M770" s="50" t="n"/>
      <c r="N770" s="28">
        <f>IF($M770="","",IFERROR(INDEX(CONFIG!$C$4:$C$63,MATCH($M770,CONFIG!$A$4:$A$63,0)),"Media"))</f>
        <v/>
      </c>
      <c r="O770" s="28">
        <f>IF($M770="","",IF($C770="Interna","NO",IFERROR(INDEX(CONFIG!$E$4:$E$63,MATCH($M770,CONFIG!$A$4:$A$63,0)),"NO")))</f>
        <v/>
      </c>
      <c r="P770" s="50" t="n"/>
      <c r="Q770" s="50" t="n"/>
      <c r="R770" s="28">
        <f>IF($Q770="","",IFERROR(INDEX(CONFIG!$H$4:$H$63,MATCH($Q770,CONFIG!$G$4:$G$63,0)),"Por definir"))</f>
        <v/>
      </c>
      <c r="S770" s="28">
        <f>IF($Q770="","",IFERROR(INDEX(CONFIG!$I$4:$I$63,MATCH($Q770,CONFIG!$G$4:$G$63,0)),"Por definir"))</f>
        <v/>
      </c>
      <c r="T770" s="51" t="n"/>
      <c r="U770" s="52" t="n"/>
      <c r="V770" s="50" t="n"/>
      <c r="W770" s="50" t="n"/>
      <c r="X770" s="49">
        <f>IF(OR($B770="",$M770=""),"",WORKDAY($B770,IFERROR(INDEX(CONFIG!$D$4:$D$63,MATCH($M770,CONFIG!$A$4:$A$63,0)),3)))</f>
        <v/>
      </c>
      <c r="Y770" s="47" t="n"/>
      <c r="Z770" s="24">
        <f>IF($B770="","",IF($Y770&lt;&gt;"",$Y770-$B770,TODAY()-$B770))</f>
        <v/>
      </c>
      <c r="AA770" s="28">
        <f>IF($B770="","",IF(IFERROR(INDEX(CONFIG!$L$4:$L$63,MATCH($V770,CONFIG!$K$4:$K$63,0)),"NO")="SÍ",IF(OR($Y770="",$X770=""),"Resuelta",IF($Y770&gt;$X770,"Resuelta tarde","Resuelta a tiempo")),IF($X770="","Sin clasificar",IF(TODAY()&gt;$X770,"Vencida",IF(TODAY()&gt;=$X770-1,"Por vencer","En plazo")))))</f>
        <v/>
      </c>
      <c r="AB770" s="50" t="n"/>
      <c r="AC770" s="50" t="n"/>
    </row>
    <row r="771" ht="16" customHeight="1">
      <c r="A771" s="28">
        <f>IF($B771="","","N-"&amp;TEXT(ROW()-3,"0000"))</f>
        <v/>
      </c>
      <c r="B771" s="47" t="n"/>
      <c r="C771" s="48" t="n"/>
      <c r="D771" s="48" t="n"/>
      <c r="E771" s="28">
        <f>IF($C771="","",IF($D771="",IF($C771="Interna","Sin guía (interna)","FALTA GUÍA"),IF(COUNTIFS(ENVIOS!$A$4:$A$3003,$D771)=0,"NO EXISTE",IF(COUNTIFS(ENVIOS!$A$4:$A$3003,$D771)&gt;1,"DUPLICADA","OK"))))</f>
        <v/>
      </c>
      <c r="F771" s="28">
        <f>IF($D771="","",IFERROR(INDEX(ENVIOS!$B$4:$B$3003,MATCH($D771,ENVIOS!$A$4:$A$3003,0)),"—"))</f>
        <v/>
      </c>
      <c r="G771" s="23">
        <f>IF($D771="","",IFERROR(INDEX(ENVIOS!$D$4:$D$3003,MATCH($D771,ENVIOS!$A$4:$A$3003,0)),"—"))</f>
        <v/>
      </c>
      <c r="H771" s="23">
        <f>IF($D771="","",IFERROR(INDEX(ENVIOS!$E$4:$E$3003,MATCH($D771,ENVIOS!$A$4:$A$3003,0)),"—"))</f>
        <v/>
      </c>
      <c r="I771" s="23">
        <f>IF($D771="","",IFERROR(INDEX(ENVIOS!$F$4:$F$3003,MATCH($D771,ENVIOS!$A$4:$A$3003,0)),"—"))</f>
        <v/>
      </c>
      <c r="J771" s="23">
        <f>IF($D771="","",IFERROR(INDEX(ENVIOS!$G$4:$G$3003,MATCH($D771,ENVIOS!$A$4:$A$3003,0)),"—"))</f>
        <v/>
      </c>
      <c r="K771" s="28">
        <f>IF($D771="","",IFERROR(INDEX(ENVIOS!$H$4:$H$3003,MATCH($D771,ENVIOS!$A$4:$A$3003,0)),"—"))</f>
        <v/>
      </c>
      <c r="L771" s="49">
        <f>IF($D771="","",IFERROR(INDEX(ENVIOS!$C$4:$C$3003,MATCH($D771,ENVIOS!$A$4:$A$3003,0)),""))</f>
        <v/>
      </c>
      <c r="M771" s="50" t="n"/>
      <c r="N771" s="28">
        <f>IF($M771="","",IFERROR(INDEX(CONFIG!$C$4:$C$63,MATCH($M771,CONFIG!$A$4:$A$63,0)),"Media"))</f>
        <v/>
      </c>
      <c r="O771" s="28">
        <f>IF($M771="","",IF($C771="Interna","NO",IFERROR(INDEX(CONFIG!$E$4:$E$63,MATCH($M771,CONFIG!$A$4:$A$63,0)),"NO")))</f>
        <v/>
      </c>
      <c r="P771" s="50" t="n"/>
      <c r="Q771" s="50" t="n"/>
      <c r="R771" s="28">
        <f>IF($Q771="","",IFERROR(INDEX(CONFIG!$H$4:$H$63,MATCH($Q771,CONFIG!$G$4:$G$63,0)),"Por definir"))</f>
        <v/>
      </c>
      <c r="S771" s="28">
        <f>IF($Q771="","",IFERROR(INDEX(CONFIG!$I$4:$I$63,MATCH($Q771,CONFIG!$G$4:$G$63,0)),"Por definir"))</f>
        <v/>
      </c>
      <c r="T771" s="51" t="n"/>
      <c r="U771" s="52" t="n"/>
      <c r="V771" s="50" t="n"/>
      <c r="W771" s="50" t="n"/>
      <c r="X771" s="49">
        <f>IF(OR($B771="",$M771=""),"",WORKDAY($B771,IFERROR(INDEX(CONFIG!$D$4:$D$63,MATCH($M771,CONFIG!$A$4:$A$63,0)),3)))</f>
        <v/>
      </c>
      <c r="Y771" s="47" t="n"/>
      <c r="Z771" s="24">
        <f>IF($B771="","",IF($Y771&lt;&gt;"",$Y771-$B771,TODAY()-$B771))</f>
        <v/>
      </c>
      <c r="AA771" s="28">
        <f>IF($B771="","",IF(IFERROR(INDEX(CONFIG!$L$4:$L$63,MATCH($V771,CONFIG!$K$4:$K$63,0)),"NO")="SÍ",IF(OR($Y771="",$X771=""),"Resuelta",IF($Y771&gt;$X771,"Resuelta tarde","Resuelta a tiempo")),IF($X771="","Sin clasificar",IF(TODAY()&gt;$X771,"Vencida",IF(TODAY()&gt;=$X771-1,"Por vencer","En plazo")))))</f>
        <v/>
      </c>
      <c r="AB771" s="50" t="n"/>
      <c r="AC771" s="50" t="n"/>
    </row>
    <row r="772" ht="16" customHeight="1">
      <c r="A772" s="28">
        <f>IF($B772="","","N-"&amp;TEXT(ROW()-3,"0000"))</f>
        <v/>
      </c>
      <c r="B772" s="47" t="n"/>
      <c r="C772" s="48" t="n"/>
      <c r="D772" s="48" t="n"/>
      <c r="E772" s="28">
        <f>IF($C772="","",IF($D772="",IF($C772="Interna","Sin guía (interna)","FALTA GUÍA"),IF(COUNTIFS(ENVIOS!$A$4:$A$3003,$D772)=0,"NO EXISTE",IF(COUNTIFS(ENVIOS!$A$4:$A$3003,$D772)&gt;1,"DUPLICADA","OK"))))</f>
        <v/>
      </c>
      <c r="F772" s="28">
        <f>IF($D772="","",IFERROR(INDEX(ENVIOS!$B$4:$B$3003,MATCH($D772,ENVIOS!$A$4:$A$3003,0)),"—"))</f>
        <v/>
      </c>
      <c r="G772" s="23">
        <f>IF($D772="","",IFERROR(INDEX(ENVIOS!$D$4:$D$3003,MATCH($D772,ENVIOS!$A$4:$A$3003,0)),"—"))</f>
        <v/>
      </c>
      <c r="H772" s="23">
        <f>IF($D772="","",IFERROR(INDEX(ENVIOS!$E$4:$E$3003,MATCH($D772,ENVIOS!$A$4:$A$3003,0)),"—"))</f>
        <v/>
      </c>
      <c r="I772" s="23">
        <f>IF($D772="","",IFERROR(INDEX(ENVIOS!$F$4:$F$3003,MATCH($D772,ENVIOS!$A$4:$A$3003,0)),"—"))</f>
        <v/>
      </c>
      <c r="J772" s="23">
        <f>IF($D772="","",IFERROR(INDEX(ENVIOS!$G$4:$G$3003,MATCH($D772,ENVIOS!$A$4:$A$3003,0)),"—"))</f>
        <v/>
      </c>
      <c r="K772" s="28">
        <f>IF($D772="","",IFERROR(INDEX(ENVIOS!$H$4:$H$3003,MATCH($D772,ENVIOS!$A$4:$A$3003,0)),"—"))</f>
        <v/>
      </c>
      <c r="L772" s="49">
        <f>IF($D772="","",IFERROR(INDEX(ENVIOS!$C$4:$C$3003,MATCH($D772,ENVIOS!$A$4:$A$3003,0)),""))</f>
        <v/>
      </c>
      <c r="M772" s="50" t="n"/>
      <c r="N772" s="28">
        <f>IF($M772="","",IFERROR(INDEX(CONFIG!$C$4:$C$63,MATCH($M772,CONFIG!$A$4:$A$63,0)),"Media"))</f>
        <v/>
      </c>
      <c r="O772" s="28">
        <f>IF($M772="","",IF($C772="Interna","NO",IFERROR(INDEX(CONFIG!$E$4:$E$63,MATCH($M772,CONFIG!$A$4:$A$63,0)),"NO")))</f>
        <v/>
      </c>
      <c r="P772" s="50" t="n"/>
      <c r="Q772" s="50" t="n"/>
      <c r="R772" s="28">
        <f>IF($Q772="","",IFERROR(INDEX(CONFIG!$H$4:$H$63,MATCH($Q772,CONFIG!$G$4:$G$63,0)),"Por definir"))</f>
        <v/>
      </c>
      <c r="S772" s="28">
        <f>IF($Q772="","",IFERROR(INDEX(CONFIG!$I$4:$I$63,MATCH($Q772,CONFIG!$G$4:$G$63,0)),"Por definir"))</f>
        <v/>
      </c>
      <c r="T772" s="51" t="n"/>
      <c r="U772" s="52" t="n"/>
      <c r="V772" s="50" t="n"/>
      <c r="W772" s="50" t="n"/>
      <c r="X772" s="49">
        <f>IF(OR($B772="",$M772=""),"",WORKDAY($B772,IFERROR(INDEX(CONFIG!$D$4:$D$63,MATCH($M772,CONFIG!$A$4:$A$63,0)),3)))</f>
        <v/>
      </c>
      <c r="Y772" s="47" t="n"/>
      <c r="Z772" s="24">
        <f>IF($B772="","",IF($Y772&lt;&gt;"",$Y772-$B772,TODAY()-$B772))</f>
        <v/>
      </c>
      <c r="AA772" s="28">
        <f>IF($B772="","",IF(IFERROR(INDEX(CONFIG!$L$4:$L$63,MATCH($V772,CONFIG!$K$4:$K$63,0)),"NO")="SÍ",IF(OR($Y772="",$X772=""),"Resuelta",IF($Y772&gt;$X772,"Resuelta tarde","Resuelta a tiempo")),IF($X772="","Sin clasificar",IF(TODAY()&gt;$X772,"Vencida",IF(TODAY()&gt;=$X772-1,"Por vencer","En plazo")))))</f>
        <v/>
      </c>
      <c r="AB772" s="50" t="n"/>
      <c r="AC772" s="50" t="n"/>
    </row>
    <row r="773" ht="16" customHeight="1">
      <c r="A773" s="28">
        <f>IF($B773="","","N-"&amp;TEXT(ROW()-3,"0000"))</f>
        <v/>
      </c>
      <c r="B773" s="47" t="n"/>
      <c r="C773" s="48" t="n"/>
      <c r="D773" s="48" t="n"/>
      <c r="E773" s="28">
        <f>IF($C773="","",IF($D773="",IF($C773="Interna","Sin guía (interna)","FALTA GUÍA"),IF(COUNTIFS(ENVIOS!$A$4:$A$3003,$D773)=0,"NO EXISTE",IF(COUNTIFS(ENVIOS!$A$4:$A$3003,$D773)&gt;1,"DUPLICADA","OK"))))</f>
        <v/>
      </c>
      <c r="F773" s="28">
        <f>IF($D773="","",IFERROR(INDEX(ENVIOS!$B$4:$B$3003,MATCH($D773,ENVIOS!$A$4:$A$3003,0)),"—"))</f>
        <v/>
      </c>
      <c r="G773" s="23">
        <f>IF($D773="","",IFERROR(INDEX(ENVIOS!$D$4:$D$3003,MATCH($D773,ENVIOS!$A$4:$A$3003,0)),"—"))</f>
        <v/>
      </c>
      <c r="H773" s="23">
        <f>IF($D773="","",IFERROR(INDEX(ENVIOS!$E$4:$E$3003,MATCH($D773,ENVIOS!$A$4:$A$3003,0)),"—"))</f>
        <v/>
      </c>
      <c r="I773" s="23">
        <f>IF($D773="","",IFERROR(INDEX(ENVIOS!$F$4:$F$3003,MATCH($D773,ENVIOS!$A$4:$A$3003,0)),"—"))</f>
        <v/>
      </c>
      <c r="J773" s="23">
        <f>IF($D773="","",IFERROR(INDEX(ENVIOS!$G$4:$G$3003,MATCH($D773,ENVIOS!$A$4:$A$3003,0)),"—"))</f>
        <v/>
      </c>
      <c r="K773" s="28">
        <f>IF($D773="","",IFERROR(INDEX(ENVIOS!$H$4:$H$3003,MATCH($D773,ENVIOS!$A$4:$A$3003,0)),"—"))</f>
        <v/>
      </c>
      <c r="L773" s="49">
        <f>IF($D773="","",IFERROR(INDEX(ENVIOS!$C$4:$C$3003,MATCH($D773,ENVIOS!$A$4:$A$3003,0)),""))</f>
        <v/>
      </c>
      <c r="M773" s="50" t="n"/>
      <c r="N773" s="28">
        <f>IF($M773="","",IFERROR(INDEX(CONFIG!$C$4:$C$63,MATCH($M773,CONFIG!$A$4:$A$63,0)),"Media"))</f>
        <v/>
      </c>
      <c r="O773" s="28">
        <f>IF($M773="","",IF($C773="Interna","NO",IFERROR(INDEX(CONFIG!$E$4:$E$63,MATCH($M773,CONFIG!$A$4:$A$63,0)),"NO")))</f>
        <v/>
      </c>
      <c r="P773" s="50" t="n"/>
      <c r="Q773" s="50" t="n"/>
      <c r="R773" s="28">
        <f>IF($Q773="","",IFERROR(INDEX(CONFIG!$H$4:$H$63,MATCH($Q773,CONFIG!$G$4:$G$63,0)),"Por definir"))</f>
        <v/>
      </c>
      <c r="S773" s="28">
        <f>IF($Q773="","",IFERROR(INDEX(CONFIG!$I$4:$I$63,MATCH($Q773,CONFIG!$G$4:$G$63,0)),"Por definir"))</f>
        <v/>
      </c>
      <c r="T773" s="51" t="n"/>
      <c r="U773" s="52" t="n"/>
      <c r="V773" s="50" t="n"/>
      <c r="W773" s="50" t="n"/>
      <c r="X773" s="49">
        <f>IF(OR($B773="",$M773=""),"",WORKDAY($B773,IFERROR(INDEX(CONFIG!$D$4:$D$63,MATCH($M773,CONFIG!$A$4:$A$63,0)),3)))</f>
        <v/>
      </c>
      <c r="Y773" s="47" t="n"/>
      <c r="Z773" s="24">
        <f>IF($B773="","",IF($Y773&lt;&gt;"",$Y773-$B773,TODAY()-$B773))</f>
        <v/>
      </c>
      <c r="AA773" s="28">
        <f>IF($B773="","",IF(IFERROR(INDEX(CONFIG!$L$4:$L$63,MATCH($V773,CONFIG!$K$4:$K$63,0)),"NO")="SÍ",IF(OR($Y773="",$X773=""),"Resuelta",IF($Y773&gt;$X773,"Resuelta tarde","Resuelta a tiempo")),IF($X773="","Sin clasificar",IF(TODAY()&gt;$X773,"Vencida",IF(TODAY()&gt;=$X773-1,"Por vencer","En plazo")))))</f>
        <v/>
      </c>
      <c r="AB773" s="50" t="n"/>
      <c r="AC773" s="50" t="n"/>
    </row>
    <row r="774" ht="16" customHeight="1">
      <c r="A774" s="28">
        <f>IF($B774="","","N-"&amp;TEXT(ROW()-3,"0000"))</f>
        <v/>
      </c>
      <c r="B774" s="47" t="n"/>
      <c r="C774" s="48" t="n"/>
      <c r="D774" s="48" t="n"/>
      <c r="E774" s="28">
        <f>IF($C774="","",IF($D774="",IF($C774="Interna","Sin guía (interna)","FALTA GUÍA"),IF(COUNTIFS(ENVIOS!$A$4:$A$3003,$D774)=0,"NO EXISTE",IF(COUNTIFS(ENVIOS!$A$4:$A$3003,$D774)&gt;1,"DUPLICADA","OK"))))</f>
        <v/>
      </c>
      <c r="F774" s="28">
        <f>IF($D774="","",IFERROR(INDEX(ENVIOS!$B$4:$B$3003,MATCH($D774,ENVIOS!$A$4:$A$3003,0)),"—"))</f>
        <v/>
      </c>
      <c r="G774" s="23">
        <f>IF($D774="","",IFERROR(INDEX(ENVIOS!$D$4:$D$3003,MATCH($D774,ENVIOS!$A$4:$A$3003,0)),"—"))</f>
        <v/>
      </c>
      <c r="H774" s="23">
        <f>IF($D774="","",IFERROR(INDEX(ENVIOS!$E$4:$E$3003,MATCH($D774,ENVIOS!$A$4:$A$3003,0)),"—"))</f>
        <v/>
      </c>
      <c r="I774" s="23">
        <f>IF($D774="","",IFERROR(INDEX(ENVIOS!$F$4:$F$3003,MATCH($D774,ENVIOS!$A$4:$A$3003,0)),"—"))</f>
        <v/>
      </c>
      <c r="J774" s="23">
        <f>IF($D774="","",IFERROR(INDEX(ENVIOS!$G$4:$G$3003,MATCH($D774,ENVIOS!$A$4:$A$3003,0)),"—"))</f>
        <v/>
      </c>
      <c r="K774" s="28">
        <f>IF($D774="","",IFERROR(INDEX(ENVIOS!$H$4:$H$3003,MATCH($D774,ENVIOS!$A$4:$A$3003,0)),"—"))</f>
        <v/>
      </c>
      <c r="L774" s="49">
        <f>IF($D774="","",IFERROR(INDEX(ENVIOS!$C$4:$C$3003,MATCH($D774,ENVIOS!$A$4:$A$3003,0)),""))</f>
        <v/>
      </c>
      <c r="M774" s="50" t="n"/>
      <c r="N774" s="28">
        <f>IF($M774="","",IFERROR(INDEX(CONFIG!$C$4:$C$63,MATCH($M774,CONFIG!$A$4:$A$63,0)),"Media"))</f>
        <v/>
      </c>
      <c r="O774" s="28">
        <f>IF($M774="","",IF($C774="Interna","NO",IFERROR(INDEX(CONFIG!$E$4:$E$63,MATCH($M774,CONFIG!$A$4:$A$63,0)),"NO")))</f>
        <v/>
      </c>
      <c r="P774" s="50" t="n"/>
      <c r="Q774" s="50" t="n"/>
      <c r="R774" s="28">
        <f>IF($Q774="","",IFERROR(INDEX(CONFIG!$H$4:$H$63,MATCH($Q774,CONFIG!$G$4:$G$63,0)),"Por definir"))</f>
        <v/>
      </c>
      <c r="S774" s="28">
        <f>IF($Q774="","",IFERROR(INDEX(CONFIG!$I$4:$I$63,MATCH($Q774,CONFIG!$G$4:$G$63,0)),"Por definir"))</f>
        <v/>
      </c>
      <c r="T774" s="51" t="n"/>
      <c r="U774" s="52" t="n"/>
      <c r="V774" s="50" t="n"/>
      <c r="W774" s="50" t="n"/>
      <c r="X774" s="49">
        <f>IF(OR($B774="",$M774=""),"",WORKDAY($B774,IFERROR(INDEX(CONFIG!$D$4:$D$63,MATCH($M774,CONFIG!$A$4:$A$63,0)),3)))</f>
        <v/>
      </c>
      <c r="Y774" s="47" t="n"/>
      <c r="Z774" s="24">
        <f>IF($B774="","",IF($Y774&lt;&gt;"",$Y774-$B774,TODAY()-$B774))</f>
        <v/>
      </c>
      <c r="AA774" s="28">
        <f>IF($B774="","",IF(IFERROR(INDEX(CONFIG!$L$4:$L$63,MATCH($V774,CONFIG!$K$4:$K$63,0)),"NO")="SÍ",IF(OR($Y774="",$X774=""),"Resuelta",IF($Y774&gt;$X774,"Resuelta tarde","Resuelta a tiempo")),IF($X774="","Sin clasificar",IF(TODAY()&gt;$X774,"Vencida",IF(TODAY()&gt;=$X774-1,"Por vencer","En plazo")))))</f>
        <v/>
      </c>
      <c r="AB774" s="50" t="n"/>
      <c r="AC774" s="50" t="n"/>
    </row>
    <row r="775" ht="16" customHeight="1">
      <c r="A775" s="28">
        <f>IF($B775="","","N-"&amp;TEXT(ROW()-3,"0000"))</f>
        <v/>
      </c>
      <c r="B775" s="47" t="n"/>
      <c r="C775" s="48" t="n"/>
      <c r="D775" s="48" t="n"/>
      <c r="E775" s="28">
        <f>IF($C775="","",IF($D775="",IF($C775="Interna","Sin guía (interna)","FALTA GUÍA"),IF(COUNTIFS(ENVIOS!$A$4:$A$3003,$D775)=0,"NO EXISTE",IF(COUNTIFS(ENVIOS!$A$4:$A$3003,$D775)&gt;1,"DUPLICADA","OK"))))</f>
        <v/>
      </c>
      <c r="F775" s="28">
        <f>IF($D775="","",IFERROR(INDEX(ENVIOS!$B$4:$B$3003,MATCH($D775,ENVIOS!$A$4:$A$3003,0)),"—"))</f>
        <v/>
      </c>
      <c r="G775" s="23">
        <f>IF($D775="","",IFERROR(INDEX(ENVIOS!$D$4:$D$3003,MATCH($D775,ENVIOS!$A$4:$A$3003,0)),"—"))</f>
        <v/>
      </c>
      <c r="H775" s="23">
        <f>IF($D775="","",IFERROR(INDEX(ENVIOS!$E$4:$E$3003,MATCH($D775,ENVIOS!$A$4:$A$3003,0)),"—"))</f>
        <v/>
      </c>
      <c r="I775" s="23">
        <f>IF($D775="","",IFERROR(INDEX(ENVIOS!$F$4:$F$3003,MATCH($D775,ENVIOS!$A$4:$A$3003,0)),"—"))</f>
        <v/>
      </c>
      <c r="J775" s="23">
        <f>IF($D775="","",IFERROR(INDEX(ENVIOS!$G$4:$G$3003,MATCH($D775,ENVIOS!$A$4:$A$3003,0)),"—"))</f>
        <v/>
      </c>
      <c r="K775" s="28">
        <f>IF($D775="","",IFERROR(INDEX(ENVIOS!$H$4:$H$3003,MATCH($D775,ENVIOS!$A$4:$A$3003,0)),"—"))</f>
        <v/>
      </c>
      <c r="L775" s="49">
        <f>IF($D775="","",IFERROR(INDEX(ENVIOS!$C$4:$C$3003,MATCH($D775,ENVIOS!$A$4:$A$3003,0)),""))</f>
        <v/>
      </c>
      <c r="M775" s="50" t="n"/>
      <c r="N775" s="28">
        <f>IF($M775="","",IFERROR(INDEX(CONFIG!$C$4:$C$63,MATCH($M775,CONFIG!$A$4:$A$63,0)),"Media"))</f>
        <v/>
      </c>
      <c r="O775" s="28">
        <f>IF($M775="","",IF($C775="Interna","NO",IFERROR(INDEX(CONFIG!$E$4:$E$63,MATCH($M775,CONFIG!$A$4:$A$63,0)),"NO")))</f>
        <v/>
      </c>
      <c r="P775" s="50" t="n"/>
      <c r="Q775" s="50" t="n"/>
      <c r="R775" s="28">
        <f>IF($Q775="","",IFERROR(INDEX(CONFIG!$H$4:$H$63,MATCH($Q775,CONFIG!$G$4:$G$63,0)),"Por definir"))</f>
        <v/>
      </c>
      <c r="S775" s="28">
        <f>IF($Q775="","",IFERROR(INDEX(CONFIG!$I$4:$I$63,MATCH($Q775,CONFIG!$G$4:$G$63,0)),"Por definir"))</f>
        <v/>
      </c>
      <c r="T775" s="51" t="n"/>
      <c r="U775" s="52" t="n"/>
      <c r="V775" s="50" t="n"/>
      <c r="W775" s="50" t="n"/>
      <c r="X775" s="49">
        <f>IF(OR($B775="",$M775=""),"",WORKDAY($B775,IFERROR(INDEX(CONFIG!$D$4:$D$63,MATCH($M775,CONFIG!$A$4:$A$63,0)),3)))</f>
        <v/>
      </c>
      <c r="Y775" s="47" t="n"/>
      <c r="Z775" s="24">
        <f>IF($B775="","",IF($Y775&lt;&gt;"",$Y775-$B775,TODAY()-$B775))</f>
        <v/>
      </c>
      <c r="AA775" s="28">
        <f>IF($B775="","",IF(IFERROR(INDEX(CONFIG!$L$4:$L$63,MATCH($V775,CONFIG!$K$4:$K$63,0)),"NO")="SÍ",IF(OR($Y775="",$X775=""),"Resuelta",IF($Y775&gt;$X775,"Resuelta tarde","Resuelta a tiempo")),IF($X775="","Sin clasificar",IF(TODAY()&gt;$X775,"Vencida",IF(TODAY()&gt;=$X775-1,"Por vencer","En plazo")))))</f>
        <v/>
      </c>
      <c r="AB775" s="50" t="n"/>
      <c r="AC775" s="50" t="n"/>
    </row>
    <row r="776" ht="16" customHeight="1">
      <c r="A776" s="28">
        <f>IF($B776="","","N-"&amp;TEXT(ROW()-3,"0000"))</f>
        <v/>
      </c>
      <c r="B776" s="47" t="n"/>
      <c r="C776" s="48" t="n"/>
      <c r="D776" s="48" t="n"/>
      <c r="E776" s="28">
        <f>IF($C776="","",IF($D776="",IF($C776="Interna","Sin guía (interna)","FALTA GUÍA"),IF(COUNTIFS(ENVIOS!$A$4:$A$3003,$D776)=0,"NO EXISTE",IF(COUNTIFS(ENVIOS!$A$4:$A$3003,$D776)&gt;1,"DUPLICADA","OK"))))</f>
        <v/>
      </c>
      <c r="F776" s="28">
        <f>IF($D776="","",IFERROR(INDEX(ENVIOS!$B$4:$B$3003,MATCH($D776,ENVIOS!$A$4:$A$3003,0)),"—"))</f>
        <v/>
      </c>
      <c r="G776" s="23">
        <f>IF($D776="","",IFERROR(INDEX(ENVIOS!$D$4:$D$3003,MATCH($D776,ENVIOS!$A$4:$A$3003,0)),"—"))</f>
        <v/>
      </c>
      <c r="H776" s="23">
        <f>IF($D776="","",IFERROR(INDEX(ENVIOS!$E$4:$E$3003,MATCH($D776,ENVIOS!$A$4:$A$3003,0)),"—"))</f>
        <v/>
      </c>
      <c r="I776" s="23">
        <f>IF($D776="","",IFERROR(INDEX(ENVIOS!$F$4:$F$3003,MATCH($D776,ENVIOS!$A$4:$A$3003,0)),"—"))</f>
        <v/>
      </c>
      <c r="J776" s="23">
        <f>IF($D776="","",IFERROR(INDEX(ENVIOS!$G$4:$G$3003,MATCH($D776,ENVIOS!$A$4:$A$3003,0)),"—"))</f>
        <v/>
      </c>
      <c r="K776" s="28">
        <f>IF($D776="","",IFERROR(INDEX(ENVIOS!$H$4:$H$3003,MATCH($D776,ENVIOS!$A$4:$A$3003,0)),"—"))</f>
        <v/>
      </c>
      <c r="L776" s="49">
        <f>IF($D776="","",IFERROR(INDEX(ENVIOS!$C$4:$C$3003,MATCH($D776,ENVIOS!$A$4:$A$3003,0)),""))</f>
        <v/>
      </c>
      <c r="M776" s="50" t="n"/>
      <c r="N776" s="28">
        <f>IF($M776="","",IFERROR(INDEX(CONFIG!$C$4:$C$63,MATCH($M776,CONFIG!$A$4:$A$63,0)),"Media"))</f>
        <v/>
      </c>
      <c r="O776" s="28">
        <f>IF($M776="","",IF($C776="Interna","NO",IFERROR(INDEX(CONFIG!$E$4:$E$63,MATCH($M776,CONFIG!$A$4:$A$63,0)),"NO")))</f>
        <v/>
      </c>
      <c r="P776" s="50" t="n"/>
      <c r="Q776" s="50" t="n"/>
      <c r="R776" s="28">
        <f>IF($Q776="","",IFERROR(INDEX(CONFIG!$H$4:$H$63,MATCH($Q776,CONFIG!$G$4:$G$63,0)),"Por definir"))</f>
        <v/>
      </c>
      <c r="S776" s="28">
        <f>IF($Q776="","",IFERROR(INDEX(CONFIG!$I$4:$I$63,MATCH($Q776,CONFIG!$G$4:$G$63,0)),"Por definir"))</f>
        <v/>
      </c>
      <c r="T776" s="51" t="n"/>
      <c r="U776" s="52" t="n"/>
      <c r="V776" s="50" t="n"/>
      <c r="W776" s="50" t="n"/>
      <c r="X776" s="49">
        <f>IF(OR($B776="",$M776=""),"",WORKDAY($B776,IFERROR(INDEX(CONFIG!$D$4:$D$63,MATCH($M776,CONFIG!$A$4:$A$63,0)),3)))</f>
        <v/>
      </c>
      <c r="Y776" s="47" t="n"/>
      <c r="Z776" s="24">
        <f>IF($B776="","",IF($Y776&lt;&gt;"",$Y776-$B776,TODAY()-$B776))</f>
        <v/>
      </c>
      <c r="AA776" s="28">
        <f>IF($B776="","",IF(IFERROR(INDEX(CONFIG!$L$4:$L$63,MATCH($V776,CONFIG!$K$4:$K$63,0)),"NO")="SÍ",IF(OR($Y776="",$X776=""),"Resuelta",IF($Y776&gt;$X776,"Resuelta tarde","Resuelta a tiempo")),IF($X776="","Sin clasificar",IF(TODAY()&gt;$X776,"Vencida",IF(TODAY()&gt;=$X776-1,"Por vencer","En plazo")))))</f>
        <v/>
      </c>
      <c r="AB776" s="50" t="n"/>
      <c r="AC776" s="50" t="n"/>
    </row>
    <row r="777" ht="16" customHeight="1">
      <c r="A777" s="28">
        <f>IF($B777="","","N-"&amp;TEXT(ROW()-3,"0000"))</f>
        <v/>
      </c>
      <c r="B777" s="47" t="n"/>
      <c r="C777" s="48" t="n"/>
      <c r="D777" s="48" t="n"/>
      <c r="E777" s="28">
        <f>IF($C777="","",IF($D777="",IF($C777="Interna","Sin guía (interna)","FALTA GUÍA"),IF(COUNTIFS(ENVIOS!$A$4:$A$3003,$D777)=0,"NO EXISTE",IF(COUNTIFS(ENVIOS!$A$4:$A$3003,$D777)&gt;1,"DUPLICADA","OK"))))</f>
        <v/>
      </c>
      <c r="F777" s="28">
        <f>IF($D777="","",IFERROR(INDEX(ENVIOS!$B$4:$B$3003,MATCH($D777,ENVIOS!$A$4:$A$3003,0)),"—"))</f>
        <v/>
      </c>
      <c r="G777" s="23">
        <f>IF($D777="","",IFERROR(INDEX(ENVIOS!$D$4:$D$3003,MATCH($D777,ENVIOS!$A$4:$A$3003,0)),"—"))</f>
        <v/>
      </c>
      <c r="H777" s="23">
        <f>IF($D777="","",IFERROR(INDEX(ENVIOS!$E$4:$E$3003,MATCH($D777,ENVIOS!$A$4:$A$3003,0)),"—"))</f>
        <v/>
      </c>
      <c r="I777" s="23">
        <f>IF($D777="","",IFERROR(INDEX(ENVIOS!$F$4:$F$3003,MATCH($D777,ENVIOS!$A$4:$A$3003,0)),"—"))</f>
        <v/>
      </c>
      <c r="J777" s="23">
        <f>IF($D777="","",IFERROR(INDEX(ENVIOS!$G$4:$G$3003,MATCH($D777,ENVIOS!$A$4:$A$3003,0)),"—"))</f>
        <v/>
      </c>
      <c r="K777" s="28">
        <f>IF($D777="","",IFERROR(INDEX(ENVIOS!$H$4:$H$3003,MATCH($D777,ENVIOS!$A$4:$A$3003,0)),"—"))</f>
        <v/>
      </c>
      <c r="L777" s="49">
        <f>IF($D777="","",IFERROR(INDEX(ENVIOS!$C$4:$C$3003,MATCH($D777,ENVIOS!$A$4:$A$3003,0)),""))</f>
        <v/>
      </c>
      <c r="M777" s="50" t="n"/>
      <c r="N777" s="28">
        <f>IF($M777="","",IFERROR(INDEX(CONFIG!$C$4:$C$63,MATCH($M777,CONFIG!$A$4:$A$63,0)),"Media"))</f>
        <v/>
      </c>
      <c r="O777" s="28">
        <f>IF($M777="","",IF($C777="Interna","NO",IFERROR(INDEX(CONFIG!$E$4:$E$63,MATCH($M777,CONFIG!$A$4:$A$63,0)),"NO")))</f>
        <v/>
      </c>
      <c r="P777" s="50" t="n"/>
      <c r="Q777" s="50" t="n"/>
      <c r="R777" s="28">
        <f>IF($Q777="","",IFERROR(INDEX(CONFIG!$H$4:$H$63,MATCH($Q777,CONFIG!$G$4:$G$63,0)),"Por definir"))</f>
        <v/>
      </c>
      <c r="S777" s="28">
        <f>IF($Q777="","",IFERROR(INDEX(CONFIG!$I$4:$I$63,MATCH($Q777,CONFIG!$G$4:$G$63,0)),"Por definir"))</f>
        <v/>
      </c>
      <c r="T777" s="51" t="n"/>
      <c r="U777" s="52" t="n"/>
      <c r="V777" s="50" t="n"/>
      <c r="W777" s="50" t="n"/>
      <c r="X777" s="49">
        <f>IF(OR($B777="",$M777=""),"",WORKDAY($B777,IFERROR(INDEX(CONFIG!$D$4:$D$63,MATCH($M777,CONFIG!$A$4:$A$63,0)),3)))</f>
        <v/>
      </c>
      <c r="Y777" s="47" t="n"/>
      <c r="Z777" s="24">
        <f>IF($B777="","",IF($Y777&lt;&gt;"",$Y777-$B777,TODAY()-$B777))</f>
        <v/>
      </c>
      <c r="AA777" s="28">
        <f>IF($B777="","",IF(IFERROR(INDEX(CONFIG!$L$4:$L$63,MATCH($V777,CONFIG!$K$4:$K$63,0)),"NO")="SÍ",IF(OR($Y777="",$X777=""),"Resuelta",IF($Y777&gt;$X777,"Resuelta tarde","Resuelta a tiempo")),IF($X777="","Sin clasificar",IF(TODAY()&gt;$X777,"Vencida",IF(TODAY()&gt;=$X777-1,"Por vencer","En plazo")))))</f>
        <v/>
      </c>
      <c r="AB777" s="50" t="n"/>
      <c r="AC777" s="50" t="n"/>
    </row>
    <row r="778" ht="16" customHeight="1">
      <c r="A778" s="28">
        <f>IF($B778="","","N-"&amp;TEXT(ROW()-3,"0000"))</f>
        <v/>
      </c>
      <c r="B778" s="47" t="n"/>
      <c r="C778" s="48" t="n"/>
      <c r="D778" s="48" t="n"/>
      <c r="E778" s="28">
        <f>IF($C778="","",IF($D778="",IF($C778="Interna","Sin guía (interna)","FALTA GUÍA"),IF(COUNTIFS(ENVIOS!$A$4:$A$3003,$D778)=0,"NO EXISTE",IF(COUNTIFS(ENVIOS!$A$4:$A$3003,$D778)&gt;1,"DUPLICADA","OK"))))</f>
        <v/>
      </c>
      <c r="F778" s="28">
        <f>IF($D778="","",IFERROR(INDEX(ENVIOS!$B$4:$B$3003,MATCH($D778,ENVIOS!$A$4:$A$3003,0)),"—"))</f>
        <v/>
      </c>
      <c r="G778" s="23">
        <f>IF($D778="","",IFERROR(INDEX(ENVIOS!$D$4:$D$3003,MATCH($D778,ENVIOS!$A$4:$A$3003,0)),"—"))</f>
        <v/>
      </c>
      <c r="H778" s="23">
        <f>IF($D778="","",IFERROR(INDEX(ENVIOS!$E$4:$E$3003,MATCH($D778,ENVIOS!$A$4:$A$3003,0)),"—"))</f>
        <v/>
      </c>
      <c r="I778" s="23">
        <f>IF($D778="","",IFERROR(INDEX(ENVIOS!$F$4:$F$3003,MATCH($D778,ENVIOS!$A$4:$A$3003,0)),"—"))</f>
        <v/>
      </c>
      <c r="J778" s="23">
        <f>IF($D778="","",IFERROR(INDEX(ENVIOS!$G$4:$G$3003,MATCH($D778,ENVIOS!$A$4:$A$3003,0)),"—"))</f>
        <v/>
      </c>
      <c r="K778" s="28">
        <f>IF($D778="","",IFERROR(INDEX(ENVIOS!$H$4:$H$3003,MATCH($D778,ENVIOS!$A$4:$A$3003,0)),"—"))</f>
        <v/>
      </c>
      <c r="L778" s="49">
        <f>IF($D778="","",IFERROR(INDEX(ENVIOS!$C$4:$C$3003,MATCH($D778,ENVIOS!$A$4:$A$3003,0)),""))</f>
        <v/>
      </c>
      <c r="M778" s="50" t="n"/>
      <c r="N778" s="28">
        <f>IF($M778="","",IFERROR(INDEX(CONFIG!$C$4:$C$63,MATCH($M778,CONFIG!$A$4:$A$63,0)),"Media"))</f>
        <v/>
      </c>
      <c r="O778" s="28">
        <f>IF($M778="","",IF($C778="Interna","NO",IFERROR(INDEX(CONFIG!$E$4:$E$63,MATCH($M778,CONFIG!$A$4:$A$63,0)),"NO")))</f>
        <v/>
      </c>
      <c r="P778" s="50" t="n"/>
      <c r="Q778" s="50" t="n"/>
      <c r="R778" s="28">
        <f>IF($Q778="","",IFERROR(INDEX(CONFIG!$H$4:$H$63,MATCH($Q778,CONFIG!$G$4:$G$63,0)),"Por definir"))</f>
        <v/>
      </c>
      <c r="S778" s="28">
        <f>IF($Q778="","",IFERROR(INDEX(CONFIG!$I$4:$I$63,MATCH($Q778,CONFIG!$G$4:$G$63,0)),"Por definir"))</f>
        <v/>
      </c>
      <c r="T778" s="51" t="n"/>
      <c r="U778" s="52" t="n"/>
      <c r="V778" s="50" t="n"/>
      <c r="W778" s="50" t="n"/>
      <c r="X778" s="49">
        <f>IF(OR($B778="",$M778=""),"",WORKDAY($B778,IFERROR(INDEX(CONFIG!$D$4:$D$63,MATCH($M778,CONFIG!$A$4:$A$63,0)),3)))</f>
        <v/>
      </c>
      <c r="Y778" s="47" t="n"/>
      <c r="Z778" s="24">
        <f>IF($B778="","",IF($Y778&lt;&gt;"",$Y778-$B778,TODAY()-$B778))</f>
        <v/>
      </c>
      <c r="AA778" s="28">
        <f>IF($B778="","",IF(IFERROR(INDEX(CONFIG!$L$4:$L$63,MATCH($V778,CONFIG!$K$4:$K$63,0)),"NO")="SÍ",IF(OR($Y778="",$X778=""),"Resuelta",IF($Y778&gt;$X778,"Resuelta tarde","Resuelta a tiempo")),IF($X778="","Sin clasificar",IF(TODAY()&gt;$X778,"Vencida",IF(TODAY()&gt;=$X778-1,"Por vencer","En plazo")))))</f>
        <v/>
      </c>
      <c r="AB778" s="50" t="n"/>
      <c r="AC778" s="50" t="n"/>
    </row>
    <row r="779" ht="16" customHeight="1">
      <c r="A779" s="28">
        <f>IF($B779="","","N-"&amp;TEXT(ROW()-3,"0000"))</f>
        <v/>
      </c>
      <c r="B779" s="47" t="n"/>
      <c r="C779" s="48" t="n"/>
      <c r="D779" s="48" t="n"/>
      <c r="E779" s="28">
        <f>IF($C779="","",IF($D779="",IF($C779="Interna","Sin guía (interna)","FALTA GUÍA"),IF(COUNTIFS(ENVIOS!$A$4:$A$3003,$D779)=0,"NO EXISTE",IF(COUNTIFS(ENVIOS!$A$4:$A$3003,$D779)&gt;1,"DUPLICADA","OK"))))</f>
        <v/>
      </c>
      <c r="F779" s="28">
        <f>IF($D779="","",IFERROR(INDEX(ENVIOS!$B$4:$B$3003,MATCH($D779,ENVIOS!$A$4:$A$3003,0)),"—"))</f>
        <v/>
      </c>
      <c r="G779" s="23">
        <f>IF($D779="","",IFERROR(INDEX(ENVIOS!$D$4:$D$3003,MATCH($D779,ENVIOS!$A$4:$A$3003,0)),"—"))</f>
        <v/>
      </c>
      <c r="H779" s="23">
        <f>IF($D779="","",IFERROR(INDEX(ENVIOS!$E$4:$E$3003,MATCH($D779,ENVIOS!$A$4:$A$3003,0)),"—"))</f>
        <v/>
      </c>
      <c r="I779" s="23">
        <f>IF($D779="","",IFERROR(INDEX(ENVIOS!$F$4:$F$3003,MATCH($D779,ENVIOS!$A$4:$A$3003,0)),"—"))</f>
        <v/>
      </c>
      <c r="J779" s="23">
        <f>IF($D779="","",IFERROR(INDEX(ENVIOS!$G$4:$G$3003,MATCH($D779,ENVIOS!$A$4:$A$3003,0)),"—"))</f>
        <v/>
      </c>
      <c r="K779" s="28">
        <f>IF($D779="","",IFERROR(INDEX(ENVIOS!$H$4:$H$3003,MATCH($D779,ENVIOS!$A$4:$A$3003,0)),"—"))</f>
        <v/>
      </c>
      <c r="L779" s="49">
        <f>IF($D779="","",IFERROR(INDEX(ENVIOS!$C$4:$C$3003,MATCH($D779,ENVIOS!$A$4:$A$3003,0)),""))</f>
        <v/>
      </c>
      <c r="M779" s="50" t="n"/>
      <c r="N779" s="28">
        <f>IF($M779="","",IFERROR(INDEX(CONFIG!$C$4:$C$63,MATCH($M779,CONFIG!$A$4:$A$63,0)),"Media"))</f>
        <v/>
      </c>
      <c r="O779" s="28">
        <f>IF($M779="","",IF($C779="Interna","NO",IFERROR(INDEX(CONFIG!$E$4:$E$63,MATCH($M779,CONFIG!$A$4:$A$63,0)),"NO")))</f>
        <v/>
      </c>
      <c r="P779" s="50" t="n"/>
      <c r="Q779" s="50" t="n"/>
      <c r="R779" s="28">
        <f>IF($Q779="","",IFERROR(INDEX(CONFIG!$H$4:$H$63,MATCH($Q779,CONFIG!$G$4:$G$63,0)),"Por definir"))</f>
        <v/>
      </c>
      <c r="S779" s="28">
        <f>IF($Q779="","",IFERROR(INDEX(CONFIG!$I$4:$I$63,MATCH($Q779,CONFIG!$G$4:$G$63,0)),"Por definir"))</f>
        <v/>
      </c>
      <c r="T779" s="51" t="n"/>
      <c r="U779" s="52" t="n"/>
      <c r="V779" s="50" t="n"/>
      <c r="W779" s="50" t="n"/>
      <c r="X779" s="49">
        <f>IF(OR($B779="",$M779=""),"",WORKDAY($B779,IFERROR(INDEX(CONFIG!$D$4:$D$63,MATCH($M779,CONFIG!$A$4:$A$63,0)),3)))</f>
        <v/>
      </c>
      <c r="Y779" s="47" t="n"/>
      <c r="Z779" s="24">
        <f>IF($B779="","",IF($Y779&lt;&gt;"",$Y779-$B779,TODAY()-$B779))</f>
        <v/>
      </c>
      <c r="AA779" s="28">
        <f>IF($B779="","",IF(IFERROR(INDEX(CONFIG!$L$4:$L$63,MATCH($V779,CONFIG!$K$4:$K$63,0)),"NO")="SÍ",IF(OR($Y779="",$X779=""),"Resuelta",IF($Y779&gt;$X779,"Resuelta tarde","Resuelta a tiempo")),IF($X779="","Sin clasificar",IF(TODAY()&gt;$X779,"Vencida",IF(TODAY()&gt;=$X779-1,"Por vencer","En plazo")))))</f>
        <v/>
      </c>
      <c r="AB779" s="50" t="n"/>
      <c r="AC779" s="50" t="n"/>
    </row>
    <row r="780" ht="16" customHeight="1">
      <c r="A780" s="28">
        <f>IF($B780="","","N-"&amp;TEXT(ROW()-3,"0000"))</f>
        <v/>
      </c>
      <c r="B780" s="47" t="n"/>
      <c r="C780" s="48" t="n"/>
      <c r="D780" s="48" t="n"/>
      <c r="E780" s="28">
        <f>IF($C780="","",IF($D780="",IF($C780="Interna","Sin guía (interna)","FALTA GUÍA"),IF(COUNTIFS(ENVIOS!$A$4:$A$3003,$D780)=0,"NO EXISTE",IF(COUNTIFS(ENVIOS!$A$4:$A$3003,$D780)&gt;1,"DUPLICADA","OK"))))</f>
        <v/>
      </c>
      <c r="F780" s="28">
        <f>IF($D780="","",IFERROR(INDEX(ENVIOS!$B$4:$B$3003,MATCH($D780,ENVIOS!$A$4:$A$3003,0)),"—"))</f>
        <v/>
      </c>
      <c r="G780" s="23">
        <f>IF($D780="","",IFERROR(INDEX(ENVIOS!$D$4:$D$3003,MATCH($D780,ENVIOS!$A$4:$A$3003,0)),"—"))</f>
        <v/>
      </c>
      <c r="H780" s="23">
        <f>IF($D780="","",IFERROR(INDEX(ENVIOS!$E$4:$E$3003,MATCH($D780,ENVIOS!$A$4:$A$3003,0)),"—"))</f>
        <v/>
      </c>
      <c r="I780" s="23">
        <f>IF($D780="","",IFERROR(INDEX(ENVIOS!$F$4:$F$3003,MATCH($D780,ENVIOS!$A$4:$A$3003,0)),"—"))</f>
        <v/>
      </c>
      <c r="J780" s="23">
        <f>IF($D780="","",IFERROR(INDEX(ENVIOS!$G$4:$G$3003,MATCH($D780,ENVIOS!$A$4:$A$3003,0)),"—"))</f>
        <v/>
      </c>
      <c r="K780" s="28">
        <f>IF($D780="","",IFERROR(INDEX(ENVIOS!$H$4:$H$3003,MATCH($D780,ENVIOS!$A$4:$A$3003,0)),"—"))</f>
        <v/>
      </c>
      <c r="L780" s="49">
        <f>IF($D780="","",IFERROR(INDEX(ENVIOS!$C$4:$C$3003,MATCH($D780,ENVIOS!$A$4:$A$3003,0)),""))</f>
        <v/>
      </c>
      <c r="M780" s="50" t="n"/>
      <c r="N780" s="28">
        <f>IF($M780="","",IFERROR(INDEX(CONFIG!$C$4:$C$63,MATCH($M780,CONFIG!$A$4:$A$63,0)),"Media"))</f>
        <v/>
      </c>
      <c r="O780" s="28">
        <f>IF($M780="","",IF($C780="Interna","NO",IFERROR(INDEX(CONFIG!$E$4:$E$63,MATCH($M780,CONFIG!$A$4:$A$63,0)),"NO")))</f>
        <v/>
      </c>
      <c r="P780" s="50" t="n"/>
      <c r="Q780" s="50" t="n"/>
      <c r="R780" s="28">
        <f>IF($Q780="","",IFERROR(INDEX(CONFIG!$H$4:$H$63,MATCH($Q780,CONFIG!$G$4:$G$63,0)),"Por definir"))</f>
        <v/>
      </c>
      <c r="S780" s="28">
        <f>IF($Q780="","",IFERROR(INDEX(CONFIG!$I$4:$I$63,MATCH($Q780,CONFIG!$G$4:$G$63,0)),"Por definir"))</f>
        <v/>
      </c>
      <c r="T780" s="51" t="n"/>
      <c r="U780" s="52" t="n"/>
      <c r="V780" s="50" t="n"/>
      <c r="W780" s="50" t="n"/>
      <c r="X780" s="49">
        <f>IF(OR($B780="",$M780=""),"",WORKDAY($B780,IFERROR(INDEX(CONFIG!$D$4:$D$63,MATCH($M780,CONFIG!$A$4:$A$63,0)),3)))</f>
        <v/>
      </c>
      <c r="Y780" s="47" t="n"/>
      <c r="Z780" s="24">
        <f>IF($B780="","",IF($Y780&lt;&gt;"",$Y780-$B780,TODAY()-$B780))</f>
        <v/>
      </c>
      <c r="AA780" s="28">
        <f>IF($B780="","",IF(IFERROR(INDEX(CONFIG!$L$4:$L$63,MATCH($V780,CONFIG!$K$4:$K$63,0)),"NO")="SÍ",IF(OR($Y780="",$X780=""),"Resuelta",IF($Y780&gt;$X780,"Resuelta tarde","Resuelta a tiempo")),IF($X780="","Sin clasificar",IF(TODAY()&gt;$X780,"Vencida",IF(TODAY()&gt;=$X780-1,"Por vencer","En plazo")))))</f>
        <v/>
      </c>
      <c r="AB780" s="50" t="n"/>
      <c r="AC780" s="50" t="n"/>
    </row>
    <row r="781" ht="16" customHeight="1">
      <c r="A781" s="28">
        <f>IF($B781="","","N-"&amp;TEXT(ROW()-3,"0000"))</f>
        <v/>
      </c>
      <c r="B781" s="47" t="n"/>
      <c r="C781" s="48" t="n"/>
      <c r="D781" s="48" t="n"/>
      <c r="E781" s="28">
        <f>IF($C781="","",IF($D781="",IF($C781="Interna","Sin guía (interna)","FALTA GUÍA"),IF(COUNTIFS(ENVIOS!$A$4:$A$3003,$D781)=0,"NO EXISTE",IF(COUNTIFS(ENVIOS!$A$4:$A$3003,$D781)&gt;1,"DUPLICADA","OK"))))</f>
        <v/>
      </c>
      <c r="F781" s="28">
        <f>IF($D781="","",IFERROR(INDEX(ENVIOS!$B$4:$B$3003,MATCH($D781,ENVIOS!$A$4:$A$3003,0)),"—"))</f>
        <v/>
      </c>
      <c r="G781" s="23">
        <f>IF($D781="","",IFERROR(INDEX(ENVIOS!$D$4:$D$3003,MATCH($D781,ENVIOS!$A$4:$A$3003,0)),"—"))</f>
        <v/>
      </c>
      <c r="H781" s="23">
        <f>IF($D781="","",IFERROR(INDEX(ENVIOS!$E$4:$E$3003,MATCH($D781,ENVIOS!$A$4:$A$3003,0)),"—"))</f>
        <v/>
      </c>
      <c r="I781" s="23">
        <f>IF($D781="","",IFERROR(INDEX(ENVIOS!$F$4:$F$3003,MATCH($D781,ENVIOS!$A$4:$A$3003,0)),"—"))</f>
        <v/>
      </c>
      <c r="J781" s="23">
        <f>IF($D781="","",IFERROR(INDEX(ENVIOS!$G$4:$G$3003,MATCH($D781,ENVIOS!$A$4:$A$3003,0)),"—"))</f>
        <v/>
      </c>
      <c r="K781" s="28">
        <f>IF($D781="","",IFERROR(INDEX(ENVIOS!$H$4:$H$3003,MATCH($D781,ENVIOS!$A$4:$A$3003,0)),"—"))</f>
        <v/>
      </c>
      <c r="L781" s="49">
        <f>IF($D781="","",IFERROR(INDEX(ENVIOS!$C$4:$C$3003,MATCH($D781,ENVIOS!$A$4:$A$3003,0)),""))</f>
        <v/>
      </c>
      <c r="M781" s="50" t="n"/>
      <c r="N781" s="28">
        <f>IF($M781="","",IFERROR(INDEX(CONFIG!$C$4:$C$63,MATCH($M781,CONFIG!$A$4:$A$63,0)),"Media"))</f>
        <v/>
      </c>
      <c r="O781" s="28">
        <f>IF($M781="","",IF($C781="Interna","NO",IFERROR(INDEX(CONFIG!$E$4:$E$63,MATCH($M781,CONFIG!$A$4:$A$63,0)),"NO")))</f>
        <v/>
      </c>
      <c r="P781" s="50" t="n"/>
      <c r="Q781" s="50" t="n"/>
      <c r="R781" s="28">
        <f>IF($Q781="","",IFERROR(INDEX(CONFIG!$H$4:$H$63,MATCH($Q781,CONFIG!$G$4:$G$63,0)),"Por definir"))</f>
        <v/>
      </c>
      <c r="S781" s="28">
        <f>IF($Q781="","",IFERROR(INDEX(CONFIG!$I$4:$I$63,MATCH($Q781,CONFIG!$G$4:$G$63,0)),"Por definir"))</f>
        <v/>
      </c>
      <c r="T781" s="51" t="n"/>
      <c r="U781" s="52" t="n"/>
      <c r="V781" s="50" t="n"/>
      <c r="W781" s="50" t="n"/>
      <c r="X781" s="49">
        <f>IF(OR($B781="",$M781=""),"",WORKDAY($B781,IFERROR(INDEX(CONFIG!$D$4:$D$63,MATCH($M781,CONFIG!$A$4:$A$63,0)),3)))</f>
        <v/>
      </c>
      <c r="Y781" s="47" t="n"/>
      <c r="Z781" s="24">
        <f>IF($B781="","",IF($Y781&lt;&gt;"",$Y781-$B781,TODAY()-$B781))</f>
        <v/>
      </c>
      <c r="AA781" s="28">
        <f>IF($B781="","",IF(IFERROR(INDEX(CONFIG!$L$4:$L$63,MATCH($V781,CONFIG!$K$4:$K$63,0)),"NO")="SÍ",IF(OR($Y781="",$X781=""),"Resuelta",IF($Y781&gt;$X781,"Resuelta tarde","Resuelta a tiempo")),IF($X781="","Sin clasificar",IF(TODAY()&gt;$X781,"Vencida",IF(TODAY()&gt;=$X781-1,"Por vencer","En plazo")))))</f>
        <v/>
      </c>
      <c r="AB781" s="50" t="n"/>
      <c r="AC781" s="50" t="n"/>
    </row>
    <row r="782" ht="16" customHeight="1">
      <c r="A782" s="28">
        <f>IF($B782="","","N-"&amp;TEXT(ROW()-3,"0000"))</f>
        <v/>
      </c>
      <c r="B782" s="47" t="n"/>
      <c r="C782" s="48" t="n"/>
      <c r="D782" s="48" t="n"/>
      <c r="E782" s="28">
        <f>IF($C782="","",IF($D782="",IF($C782="Interna","Sin guía (interna)","FALTA GUÍA"),IF(COUNTIFS(ENVIOS!$A$4:$A$3003,$D782)=0,"NO EXISTE",IF(COUNTIFS(ENVIOS!$A$4:$A$3003,$D782)&gt;1,"DUPLICADA","OK"))))</f>
        <v/>
      </c>
      <c r="F782" s="28">
        <f>IF($D782="","",IFERROR(INDEX(ENVIOS!$B$4:$B$3003,MATCH($D782,ENVIOS!$A$4:$A$3003,0)),"—"))</f>
        <v/>
      </c>
      <c r="G782" s="23">
        <f>IF($D782="","",IFERROR(INDEX(ENVIOS!$D$4:$D$3003,MATCH($D782,ENVIOS!$A$4:$A$3003,0)),"—"))</f>
        <v/>
      </c>
      <c r="H782" s="23">
        <f>IF($D782="","",IFERROR(INDEX(ENVIOS!$E$4:$E$3003,MATCH($D782,ENVIOS!$A$4:$A$3003,0)),"—"))</f>
        <v/>
      </c>
      <c r="I782" s="23">
        <f>IF($D782="","",IFERROR(INDEX(ENVIOS!$F$4:$F$3003,MATCH($D782,ENVIOS!$A$4:$A$3003,0)),"—"))</f>
        <v/>
      </c>
      <c r="J782" s="23">
        <f>IF($D782="","",IFERROR(INDEX(ENVIOS!$G$4:$G$3003,MATCH($D782,ENVIOS!$A$4:$A$3003,0)),"—"))</f>
        <v/>
      </c>
      <c r="K782" s="28">
        <f>IF($D782="","",IFERROR(INDEX(ENVIOS!$H$4:$H$3003,MATCH($D782,ENVIOS!$A$4:$A$3003,0)),"—"))</f>
        <v/>
      </c>
      <c r="L782" s="49">
        <f>IF($D782="","",IFERROR(INDEX(ENVIOS!$C$4:$C$3003,MATCH($D782,ENVIOS!$A$4:$A$3003,0)),""))</f>
        <v/>
      </c>
      <c r="M782" s="50" t="n"/>
      <c r="N782" s="28">
        <f>IF($M782="","",IFERROR(INDEX(CONFIG!$C$4:$C$63,MATCH($M782,CONFIG!$A$4:$A$63,0)),"Media"))</f>
        <v/>
      </c>
      <c r="O782" s="28">
        <f>IF($M782="","",IF($C782="Interna","NO",IFERROR(INDEX(CONFIG!$E$4:$E$63,MATCH($M782,CONFIG!$A$4:$A$63,0)),"NO")))</f>
        <v/>
      </c>
      <c r="P782" s="50" t="n"/>
      <c r="Q782" s="50" t="n"/>
      <c r="R782" s="28">
        <f>IF($Q782="","",IFERROR(INDEX(CONFIG!$H$4:$H$63,MATCH($Q782,CONFIG!$G$4:$G$63,0)),"Por definir"))</f>
        <v/>
      </c>
      <c r="S782" s="28">
        <f>IF($Q782="","",IFERROR(INDEX(CONFIG!$I$4:$I$63,MATCH($Q782,CONFIG!$G$4:$G$63,0)),"Por definir"))</f>
        <v/>
      </c>
      <c r="T782" s="51" t="n"/>
      <c r="U782" s="52" t="n"/>
      <c r="V782" s="50" t="n"/>
      <c r="W782" s="50" t="n"/>
      <c r="X782" s="49">
        <f>IF(OR($B782="",$M782=""),"",WORKDAY($B782,IFERROR(INDEX(CONFIG!$D$4:$D$63,MATCH($M782,CONFIG!$A$4:$A$63,0)),3)))</f>
        <v/>
      </c>
      <c r="Y782" s="47" t="n"/>
      <c r="Z782" s="24">
        <f>IF($B782="","",IF($Y782&lt;&gt;"",$Y782-$B782,TODAY()-$B782))</f>
        <v/>
      </c>
      <c r="AA782" s="28">
        <f>IF($B782="","",IF(IFERROR(INDEX(CONFIG!$L$4:$L$63,MATCH($V782,CONFIG!$K$4:$K$63,0)),"NO")="SÍ",IF(OR($Y782="",$X782=""),"Resuelta",IF($Y782&gt;$X782,"Resuelta tarde","Resuelta a tiempo")),IF($X782="","Sin clasificar",IF(TODAY()&gt;$X782,"Vencida",IF(TODAY()&gt;=$X782-1,"Por vencer","En plazo")))))</f>
        <v/>
      </c>
      <c r="AB782" s="50" t="n"/>
      <c r="AC782" s="50" t="n"/>
    </row>
    <row r="783" ht="16" customHeight="1">
      <c r="A783" s="28">
        <f>IF($B783="","","N-"&amp;TEXT(ROW()-3,"0000"))</f>
        <v/>
      </c>
      <c r="B783" s="47" t="n"/>
      <c r="C783" s="48" t="n"/>
      <c r="D783" s="48" t="n"/>
      <c r="E783" s="28">
        <f>IF($C783="","",IF($D783="",IF($C783="Interna","Sin guía (interna)","FALTA GUÍA"),IF(COUNTIFS(ENVIOS!$A$4:$A$3003,$D783)=0,"NO EXISTE",IF(COUNTIFS(ENVIOS!$A$4:$A$3003,$D783)&gt;1,"DUPLICADA","OK"))))</f>
        <v/>
      </c>
      <c r="F783" s="28">
        <f>IF($D783="","",IFERROR(INDEX(ENVIOS!$B$4:$B$3003,MATCH($D783,ENVIOS!$A$4:$A$3003,0)),"—"))</f>
        <v/>
      </c>
      <c r="G783" s="23">
        <f>IF($D783="","",IFERROR(INDEX(ENVIOS!$D$4:$D$3003,MATCH($D783,ENVIOS!$A$4:$A$3003,0)),"—"))</f>
        <v/>
      </c>
      <c r="H783" s="23">
        <f>IF($D783="","",IFERROR(INDEX(ENVIOS!$E$4:$E$3003,MATCH($D783,ENVIOS!$A$4:$A$3003,0)),"—"))</f>
        <v/>
      </c>
      <c r="I783" s="23">
        <f>IF($D783="","",IFERROR(INDEX(ENVIOS!$F$4:$F$3003,MATCH($D783,ENVIOS!$A$4:$A$3003,0)),"—"))</f>
        <v/>
      </c>
      <c r="J783" s="23">
        <f>IF($D783="","",IFERROR(INDEX(ENVIOS!$G$4:$G$3003,MATCH($D783,ENVIOS!$A$4:$A$3003,0)),"—"))</f>
        <v/>
      </c>
      <c r="K783" s="28">
        <f>IF($D783="","",IFERROR(INDEX(ENVIOS!$H$4:$H$3003,MATCH($D783,ENVIOS!$A$4:$A$3003,0)),"—"))</f>
        <v/>
      </c>
      <c r="L783" s="49">
        <f>IF($D783="","",IFERROR(INDEX(ENVIOS!$C$4:$C$3003,MATCH($D783,ENVIOS!$A$4:$A$3003,0)),""))</f>
        <v/>
      </c>
      <c r="M783" s="50" t="n"/>
      <c r="N783" s="28">
        <f>IF($M783="","",IFERROR(INDEX(CONFIG!$C$4:$C$63,MATCH($M783,CONFIG!$A$4:$A$63,0)),"Media"))</f>
        <v/>
      </c>
      <c r="O783" s="28">
        <f>IF($M783="","",IF($C783="Interna","NO",IFERROR(INDEX(CONFIG!$E$4:$E$63,MATCH($M783,CONFIG!$A$4:$A$63,0)),"NO")))</f>
        <v/>
      </c>
      <c r="P783" s="50" t="n"/>
      <c r="Q783" s="50" t="n"/>
      <c r="R783" s="28">
        <f>IF($Q783="","",IFERROR(INDEX(CONFIG!$H$4:$H$63,MATCH($Q783,CONFIG!$G$4:$G$63,0)),"Por definir"))</f>
        <v/>
      </c>
      <c r="S783" s="28">
        <f>IF($Q783="","",IFERROR(INDEX(CONFIG!$I$4:$I$63,MATCH($Q783,CONFIG!$G$4:$G$63,0)),"Por definir"))</f>
        <v/>
      </c>
      <c r="T783" s="51" t="n"/>
      <c r="U783" s="52" t="n"/>
      <c r="V783" s="50" t="n"/>
      <c r="W783" s="50" t="n"/>
      <c r="X783" s="49">
        <f>IF(OR($B783="",$M783=""),"",WORKDAY($B783,IFERROR(INDEX(CONFIG!$D$4:$D$63,MATCH($M783,CONFIG!$A$4:$A$63,0)),3)))</f>
        <v/>
      </c>
      <c r="Y783" s="47" t="n"/>
      <c r="Z783" s="24">
        <f>IF($B783="","",IF($Y783&lt;&gt;"",$Y783-$B783,TODAY()-$B783))</f>
        <v/>
      </c>
      <c r="AA783" s="28">
        <f>IF($B783="","",IF(IFERROR(INDEX(CONFIG!$L$4:$L$63,MATCH($V783,CONFIG!$K$4:$K$63,0)),"NO")="SÍ",IF(OR($Y783="",$X783=""),"Resuelta",IF($Y783&gt;$X783,"Resuelta tarde","Resuelta a tiempo")),IF($X783="","Sin clasificar",IF(TODAY()&gt;$X783,"Vencida",IF(TODAY()&gt;=$X783-1,"Por vencer","En plazo")))))</f>
        <v/>
      </c>
      <c r="AB783" s="50" t="n"/>
      <c r="AC783" s="50" t="n"/>
    </row>
    <row r="784" ht="16" customHeight="1">
      <c r="A784" s="28">
        <f>IF($B784="","","N-"&amp;TEXT(ROW()-3,"0000"))</f>
        <v/>
      </c>
      <c r="B784" s="47" t="n"/>
      <c r="C784" s="48" t="n"/>
      <c r="D784" s="48" t="n"/>
      <c r="E784" s="28">
        <f>IF($C784="","",IF($D784="",IF($C784="Interna","Sin guía (interna)","FALTA GUÍA"),IF(COUNTIFS(ENVIOS!$A$4:$A$3003,$D784)=0,"NO EXISTE",IF(COUNTIFS(ENVIOS!$A$4:$A$3003,$D784)&gt;1,"DUPLICADA","OK"))))</f>
        <v/>
      </c>
      <c r="F784" s="28">
        <f>IF($D784="","",IFERROR(INDEX(ENVIOS!$B$4:$B$3003,MATCH($D784,ENVIOS!$A$4:$A$3003,0)),"—"))</f>
        <v/>
      </c>
      <c r="G784" s="23">
        <f>IF($D784="","",IFERROR(INDEX(ENVIOS!$D$4:$D$3003,MATCH($D784,ENVIOS!$A$4:$A$3003,0)),"—"))</f>
        <v/>
      </c>
      <c r="H784" s="23">
        <f>IF($D784="","",IFERROR(INDEX(ENVIOS!$E$4:$E$3003,MATCH($D784,ENVIOS!$A$4:$A$3003,0)),"—"))</f>
        <v/>
      </c>
      <c r="I784" s="23">
        <f>IF($D784="","",IFERROR(INDEX(ENVIOS!$F$4:$F$3003,MATCH($D784,ENVIOS!$A$4:$A$3003,0)),"—"))</f>
        <v/>
      </c>
      <c r="J784" s="23">
        <f>IF($D784="","",IFERROR(INDEX(ENVIOS!$G$4:$G$3003,MATCH($D784,ENVIOS!$A$4:$A$3003,0)),"—"))</f>
        <v/>
      </c>
      <c r="K784" s="28">
        <f>IF($D784="","",IFERROR(INDEX(ENVIOS!$H$4:$H$3003,MATCH($D784,ENVIOS!$A$4:$A$3003,0)),"—"))</f>
        <v/>
      </c>
      <c r="L784" s="49">
        <f>IF($D784="","",IFERROR(INDEX(ENVIOS!$C$4:$C$3003,MATCH($D784,ENVIOS!$A$4:$A$3003,0)),""))</f>
        <v/>
      </c>
      <c r="M784" s="50" t="n"/>
      <c r="N784" s="28">
        <f>IF($M784="","",IFERROR(INDEX(CONFIG!$C$4:$C$63,MATCH($M784,CONFIG!$A$4:$A$63,0)),"Media"))</f>
        <v/>
      </c>
      <c r="O784" s="28">
        <f>IF($M784="","",IF($C784="Interna","NO",IFERROR(INDEX(CONFIG!$E$4:$E$63,MATCH($M784,CONFIG!$A$4:$A$63,0)),"NO")))</f>
        <v/>
      </c>
      <c r="P784" s="50" t="n"/>
      <c r="Q784" s="50" t="n"/>
      <c r="R784" s="28">
        <f>IF($Q784="","",IFERROR(INDEX(CONFIG!$H$4:$H$63,MATCH($Q784,CONFIG!$G$4:$G$63,0)),"Por definir"))</f>
        <v/>
      </c>
      <c r="S784" s="28">
        <f>IF($Q784="","",IFERROR(INDEX(CONFIG!$I$4:$I$63,MATCH($Q784,CONFIG!$G$4:$G$63,0)),"Por definir"))</f>
        <v/>
      </c>
      <c r="T784" s="51" t="n"/>
      <c r="U784" s="52" t="n"/>
      <c r="V784" s="50" t="n"/>
      <c r="W784" s="50" t="n"/>
      <c r="X784" s="49">
        <f>IF(OR($B784="",$M784=""),"",WORKDAY($B784,IFERROR(INDEX(CONFIG!$D$4:$D$63,MATCH($M784,CONFIG!$A$4:$A$63,0)),3)))</f>
        <v/>
      </c>
      <c r="Y784" s="47" t="n"/>
      <c r="Z784" s="24">
        <f>IF($B784="","",IF($Y784&lt;&gt;"",$Y784-$B784,TODAY()-$B784))</f>
        <v/>
      </c>
      <c r="AA784" s="28">
        <f>IF($B784="","",IF(IFERROR(INDEX(CONFIG!$L$4:$L$63,MATCH($V784,CONFIG!$K$4:$K$63,0)),"NO")="SÍ",IF(OR($Y784="",$X784=""),"Resuelta",IF($Y784&gt;$X784,"Resuelta tarde","Resuelta a tiempo")),IF($X784="","Sin clasificar",IF(TODAY()&gt;$X784,"Vencida",IF(TODAY()&gt;=$X784-1,"Por vencer","En plazo")))))</f>
        <v/>
      </c>
      <c r="AB784" s="50" t="n"/>
      <c r="AC784" s="50" t="n"/>
    </row>
    <row r="785" ht="16" customHeight="1">
      <c r="A785" s="28">
        <f>IF($B785="","","N-"&amp;TEXT(ROW()-3,"0000"))</f>
        <v/>
      </c>
      <c r="B785" s="47" t="n"/>
      <c r="C785" s="48" t="n"/>
      <c r="D785" s="48" t="n"/>
      <c r="E785" s="28">
        <f>IF($C785="","",IF($D785="",IF($C785="Interna","Sin guía (interna)","FALTA GUÍA"),IF(COUNTIFS(ENVIOS!$A$4:$A$3003,$D785)=0,"NO EXISTE",IF(COUNTIFS(ENVIOS!$A$4:$A$3003,$D785)&gt;1,"DUPLICADA","OK"))))</f>
        <v/>
      </c>
      <c r="F785" s="28">
        <f>IF($D785="","",IFERROR(INDEX(ENVIOS!$B$4:$B$3003,MATCH($D785,ENVIOS!$A$4:$A$3003,0)),"—"))</f>
        <v/>
      </c>
      <c r="G785" s="23">
        <f>IF($D785="","",IFERROR(INDEX(ENVIOS!$D$4:$D$3003,MATCH($D785,ENVIOS!$A$4:$A$3003,0)),"—"))</f>
        <v/>
      </c>
      <c r="H785" s="23">
        <f>IF($D785="","",IFERROR(INDEX(ENVIOS!$E$4:$E$3003,MATCH($D785,ENVIOS!$A$4:$A$3003,0)),"—"))</f>
        <v/>
      </c>
      <c r="I785" s="23">
        <f>IF($D785="","",IFERROR(INDEX(ENVIOS!$F$4:$F$3003,MATCH($D785,ENVIOS!$A$4:$A$3003,0)),"—"))</f>
        <v/>
      </c>
      <c r="J785" s="23">
        <f>IF($D785="","",IFERROR(INDEX(ENVIOS!$G$4:$G$3003,MATCH($D785,ENVIOS!$A$4:$A$3003,0)),"—"))</f>
        <v/>
      </c>
      <c r="K785" s="28">
        <f>IF($D785="","",IFERROR(INDEX(ENVIOS!$H$4:$H$3003,MATCH($D785,ENVIOS!$A$4:$A$3003,0)),"—"))</f>
        <v/>
      </c>
      <c r="L785" s="49">
        <f>IF($D785="","",IFERROR(INDEX(ENVIOS!$C$4:$C$3003,MATCH($D785,ENVIOS!$A$4:$A$3003,0)),""))</f>
        <v/>
      </c>
      <c r="M785" s="50" t="n"/>
      <c r="N785" s="28">
        <f>IF($M785="","",IFERROR(INDEX(CONFIG!$C$4:$C$63,MATCH($M785,CONFIG!$A$4:$A$63,0)),"Media"))</f>
        <v/>
      </c>
      <c r="O785" s="28">
        <f>IF($M785="","",IF($C785="Interna","NO",IFERROR(INDEX(CONFIG!$E$4:$E$63,MATCH($M785,CONFIG!$A$4:$A$63,0)),"NO")))</f>
        <v/>
      </c>
      <c r="P785" s="50" t="n"/>
      <c r="Q785" s="50" t="n"/>
      <c r="R785" s="28">
        <f>IF($Q785="","",IFERROR(INDEX(CONFIG!$H$4:$H$63,MATCH($Q785,CONFIG!$G$4:$G$63,0)),"Por definir"))</f>
        <v/>
      </c>
      <c r="S785" s="28">
        <f>IF($Q785="","",IFERROR(INDEX(CONFIG!$I$4:$I$63,MATCH($Q785,CONFIG!$G$4:$G$63,0)),"Por definir"))</f>
        <v/>
      </c>
      <c r="T785" s="51" t="n"/>
      <c r="U785" s="52" t="n"/>
      <c r="V785" s="50" t="n"/>
      <c r="W785" s="50" t="n"/>
      <c r="X785" s="49">
        <f>IF(OR($B785="",$M785=""),"",WORKDAY($B785,IFERROR(INDEX(CONFIG!$D$4:$D$63,MATCH($M785,CONFIG!$A$4:$A$63,0)),3)))</f>
        <v/>
      </c>
      <c r="Y785" s="47" t="n"/>
      <c r="Z785" s="24">
        <f>IF($B785="","",IF($Y785&lt;&gt;"",$Y785-$B785,TODAY()-$B785))</f>
        <v/>
      </c>
      <c r="AA785" s="28">
        <f>IF($B785="","",IF(IFERROR(INDEX(CONFIG!$L$4:$L$63,MATCH($V785,CONFIG!$K$4:$K$63,0)),"NO")="SÍ",IF(OR($Y785="",$X785=""),"Resuelta",IF($Y785&gt;$X785,"Resuelta tarde","Resuelta a tiempo")),IF($X785="","Sin clasificar",IF(TODAY()&gt;$X785,"Vencida",IF(TODAY()&gt;=$X785-1,"Por vencer","En plazo")))))</f>
        <v/>
      </c>
      <c r="AB785" s="50" t="n"/>
      <c r="AC785" s="50" t="n"/>
    </row>
    <row r="786" ht="16" customHeight="1">
      <c r="A786" s="28">
        <f>IF($B786="","","N-"&amp;TEXT(ROW()-3,"0000"))</f>
        <v/>
      </c>
      <c r="B786" s="47" t="n"/>
      <c r="C786" s="48" t="n"/>
      <c r="D786" s="48" t="n"/>
      <c r="E786" s="28">
        <f>IF($C786="","",IF($D786="",IF($C786="Interna","Sin guía (interna)","FALTA GUÍA"),IF(COUNTIFS(ENVIOS!$A$4:$A$3003,$D786)=0,"NO EXISTE",IF(COUNTIFS(ENVIOS!$A$4:$A$3003,$D786)&gt;1,"DUPLICADA","OK"))))</f>
        <v/>
      </c>
      <c r="F786" s="28">
        <f>IF($D786="","",IFERROR(INDEX(ENVIOS!$B$4:$B$3003,MATCH($D786,ENVIOS!$A$4:$A$3003,0)),"—"))</f>
        <v/>
      </c>
      <c r="G786" s="23">
        <f>IF($D786="","",IFERROR(INDEX(ENVIOS!$D$4:$D$3003,MATCH($D786,ENVIOS!$A$4:$A$3003,0)),"—"))</f>
        <v/>
      </c>
      <c r="H786" s="23">
        <f>IF($D786="","",IFERROR(INDEX(ENVIOS!$E$4:$E$3003,MATCH($D786,ENVIOS!$A$4:$A$3003,0)),"—"))</f>
        <v/>
      </c>
      <c r="I786" s="23">
        <f>IF($D786="","",IFERROR(INDEX(ENVIOS!$F$4:$F$3003,MATCH($D786,ENVIOS!$A$4:$A$3003,0)),"—"))</f>
        <v/>
      </c>
      <c r="J786" s="23">
        <f>IF($D786="","",IFERROR(INDEX(ENVIOS!$G$4:$G$3003,MATCH($D786,ENVIOS!$A$4:$A$3003,0)),"—"))</f>
        <v/>
      </c>
      <c r="K786" s="28">
        <f>IF($D786="","",IFERROR(INDEX(ENVIOS!$H$4:$H$3003,MATCH($D786,ENVIOS!$A$4:$A$3003,0)),"—"))</f>
        <v/>
      </c>
      <c r="L786" s="49">
        <f>IF($D786="","",IFERROR(INDEX(ENVIOS!$C$4:$C$3003,MATCH($D786,ENVIOS!$A$4:$A$3003,0)),""))</f>
        <v/>
      </c>
      <c r="M786" s="50" t="n"/>
      <c r="N786" s="28">
        <f>IF($M786="","",IFERROR(INDEX(CONFIG!$C$4:$C$63,MATCH($M786,CONFIG!$A$4:$A$63,0)),"Media"))</f>
        <v/>
      </c>
      <c r="O786" s="28">
        <f>IF($M786="","",IF($C786="Interna","NO",IFERROR(INDEX(CONFIG!$E$4:$E$63,MATCH($M786,CONFIG!$A$4:$A$63,0)),"NO")))</f>
        <v/>
      </c>
      <c r="P786" s="50" t="n"/>
      <c r="Q786" s="50" t="n"/>
      <c r="R786" s="28">
        <f>IF($Q786="","",IFERROR(INDEX(CONFIG!$H$4:$H$63,MATCH($Q786,CONFIG!$G$4:$G$63,0)),"Por definir"))</f>
        <v/>
      </c>
      <c r="S786" s="28">
        <f>IF($Q786="","",IFERROR(INDEX(CONFIG!$I$4:$I$63,MATCH($Q786,CONFIG!$G$4:$G$63,0)),"Por definir"))</f>
        <v/>
      </c>
      <c r="T786" s="51" t="n"/>
      <c r="U786" s="52" t="n"/>
      <c r="V786" s="50" t="n"/>
      <c r="W786" s="50" t="n"/>
      <c r="X786" s="49">
        <f>IF(OR($B786="",$M786=""),"",WORKDAY($B786,IFERROR(INDEX(CONFIG!$D$4:$D$63,MATCH($M786,CONFIG!$A$4:$A$63,0)),3)))</f>
        <v/>
      </c>
      <c r="Y786" s="47" t="n"/>
      <c r="Z786" s="24">
        <f>IF($B786="","",IF($Y786&lt;&gt;"",$Y786-$B786,TODAY()-$B786))</f>
        <v/>
      </c>
      <c r="AA786" s="28">
        <f>IF($B786="","",IF(IFERROR(INDEX(CONFIG!$L$4:$L$63,MATCH($V786,CONFIG!$K$4:$K$63,0)),"NO")="SÍ",IF(OR($Y786="",$X786=""),"Resuelta",IF($Y786&gt;$X786,"Resuelta tarde","Resuelta a tiempo")),IF($X786="","Sin clasificar",IF(TODAY()&gt;$X786,"Vencida",IF(TODAY()&gt;=$X786-1,"Por vencer","En plazo")))))</f>
        <v/>
      </c>
      <c r="AB786" s="50" t="n"/>
      <c r="AC786" s="50" t="n"/>
    </row>
    <row r="787" ht="16" customHeight="1">
      <c r="A787" s="28">
        <f>IF($B787="","","N-"&amp;TEXT(ROW()-3,"0000"))</f>
        <v/>
      </c>
      <c r="B787" s="47" t="n"/>
      <c r="C787" s="48" t="n"/>
      <c r="D787" s="48" t="n"/>
      <c r="E787" s="28">
        <f>IF($C787="","",IF($D787="",IF($C787="Interna","Sin guía (interna)","FALTA GUÍA"),IF(COUNTIFS(ENVIOS!$A$4:$A$3003,$D787)=0,"NO EXISTE",IF(COUNTIFS(ENVIOS!$A$4:$A$3003,$D787)&gt;1,"DUPLICADA","OK"))))</f>
        <v/>
      </c>
      <c r="F787" s="28">
        <f>IF($D787="","",IFERROR(INDEX(ENVIOS!$B$4:$B$3003,MATCH($D787,ENVIOS!$A$4:$A$3003,0)),"—"))</f>
        <v/>
      </c>
      <c r="G787" s="23">
        <f>IF($D787="","",IFERROR(INDEX(ENVIOS!$D$4:$D$3003,MATCH($D787,ENVIOS!$A$4:$A$3003,0)),"—"))</f>
        <v/>
      </c>
      <c r="H787" s="23">
        <f>IF($D787="","",IFERROR(INDEX(ENVIOS!$E$4:$E$3003,MATCH($D787,ENVIOS!$A$4:$A$3003,0)),"—"))</f>
        <v/>
      </c>
      <c r="I787" s="23">
        <f>IF($D787="","",IFERROR(INDEX(ENVIOS!$F$4:$F$3003,MATCH($D787,ENVIOS!$A$4:$A$3003,0)),"—"))</f>
        <v/>
      </c>
      <c r="J787" s="23">
        <f>IF($D787="","",IFERROR(INDEX(ENVIOS!$G$4:$G$3003,MATCH($D787,ENVIOS!$A$4:$A$3003,0)),"—"))</f>
        <v/>
      </c>
      <c r="K787" s="28">
        <f>IF($D787="","",IFERROR(INDEX(ENVIOS!$H$4:$H$3003,MATCH($D787,ENVIOS!$A$4:$A$3003,0)),"—"))</f>
        <v/>
      </c>
      <c r="L787" s="49">
        <f>IF($D787="","",IFERROR(INDEX(ENVIOS!$C$4:$C$3003,MATCH($D787,ENVIOS!$A$4:$A$3003,0)),""))</f>
        <v/>
      </c>
      <c r="M787" s="50" t="n"/>
      <c r="N787" s="28">
        <f>IF($M787="","",IFERROR(INDEX(CONFIG!$C$4:$C$63,MATCH($M787,CONFIG!$A$4:$A$63,0)),"Media"))</f>
        <v/>
      </c>
      <c r="O787" s="28">
        <f>IF($M787="","",IF($C787="Interna","NO",IFERROR(INDEX(CONFIG!$E$4:$E$63,MATCH($M787,CONFIG!$A$4:$A$63,0)),"NO")))</f>
        <v/>
      </c>
      <c r="P787" s="50" t="n"/>
      <c r="Q787" s="50" t="n"/>
      <c r="R787" s="28">
        <f>IF($Q787="","",IFERROR(INDEX(CONFIG!$H$4:$H$63,MATCH($Q787,CONFIG!$G$4:$G$63,0)),"Por definir"))</f>
        <v/>
      </c>
      <c r="S787" s="28">
        <f>IF($Q787="","",IFERROR(INDEX(CONFIG!$I$4:$I$63,MATCH($Q787,CONFIG!$G$4:$G$63,0)),"Por definir"))</f>
        <v/>
      </c>
      <c r="T787" s="51" t="n"/>
      <c r="U787" s="52" t="n"/>
      <c r="V787" s="50" t="n"/>
      <c r="W787" s="50" t="n"/>
      <c r="X787" s="49">
        <f>IF(OR($B787="",$M787=""),"",WORKDAY($B787,IFERROR(INDEX(CONFIG!$D$4:$D$63,MATCH($M787,CONFIG!$A$4:$A$63,0)),3)))</f>
        <v/>
      </c>
      <c r="Y787" s="47" t="n"/>
      <c r="Z787" s="24">
        <f>IF($B787="","",IF($Y787&lt;&gt;"",$Y787-$B787,TODAY()-$B787))</f>
        <v/>
      </c>
      <c r="AA787" s="28">
        <f>IF($B787="","",IF(IFERROR(INDEX(CONFIG!$L$4:$L$63,MATCH($V787,CONFIG!$K$4:$K$63,0)),"NO")="SÍ",IF(OR($Y787="",$X787=""),"Resuelta",IF($Y787&gt;$X787,"Resuelta tarde","Resuelta a tiempo")),IF($X787="","Sin clasificar",IF(TODAY()&gt;$X787,"Vencida",IF(TODAY()&gt;=$X787-1,"Por vencer","En plazo")))))</f>
        <v/>
      </c>
      <c r="AB787" s="50" t="n"/>
      <c r="AC787" s="50" t="n"/>
    </row>
    <row r="788" ht="16" customHeight="1">
      <c r="A788" s="28">
        <f>IF($B788="","","N-"&amp;TEXT(ROW()-3,"0000"))</f>
        <v/>
      </c>
      <c r="B788" s="47" t="n"/>
      <c r="C788" s="48" t="n"/>
      <c r="D788" s="48" t="n"/>
      <c r="E788" s="28">
        <f>IF($C788="","",IF($D788="",IF($C788="Interna","Sin guía (interna)","FALTA GUÍA"),IF(COUNTIFS(ENVIOS!$A$4:$A$3003,$D788)=0,"NO EXISTE",IF(COUNTIFS(ENVIOS!$A$4:$A$3003,$D788)&gt;1,"DUPLICADA","OK"))))</f>
        <v/>
      </c>
      <c r="F788" s="28">
        <f>IF($D788="","",IFERROR(INDEX(ENVIOS!$B$4:$B$3003,MATCH($D788,ENVIOS!$A$4:$A$3003,0)),"—"))</f>
        <v/>
      </c>
      <c r="G788" s="23">
        <f>IF($D788="","",IFERROR(INDEX(ENVIOS!$D$4:$D$3003,MATCH($D788,ENVIOS!$A$4:$A$3003,0)),"—"))</f>
        <v/>
      </c>
      <c r="H788" s="23">
        <f>IF($D788="","",IFERROR(INDEX(ENVIOS!$E$4:$E$3003,MATCH($D788,ENVIOS!$A$4:$A$3003,0)),"—"))</f>
        <v/>
      </c>
      <c r="I788" s="23">
        <f>IF($D788="","",IFERROR(INDEX(ENVIOS!$F$4:$F$3003,MATCH($D788,ENVIOS!$A$4:$A$3003,0)),"—"))</f>
        <v/>
      </c>
      <c r="J788" s="23">
        <f>IF($D788="","",IFERROR(INDEX(ENVIOS!$G$4:$G$3003,MATCH($D788,ENVIOS!$A$4:$A$3003,0)),"—"))</f>
        <v/>
      </c>
      <c r="K788" s="28">
        <f>IF($D788="","",IFERROR(INDEX(ENVIOS!$H$4:$H$3003,MATCH($D788,ENVIOS!$A$4:$A$3003,0)),"—"))</f>
        <v/>
      </c>
      <c r="L788" s="49">
        <f>IF($D788="","",IFERROR(INDEX(ENVIOS!$C$4:$C$3003,MATCH($D788,ENVIOS!$A$4:$A$3003,0)),""))</f>
        <v/>
      </c>
      <c r="M788" s="50" t="n"/>
      <c r="N788" s="28">
        <f>IF($M788="","",IFERROR(INDEX(CONFIG!$C$4:$C$63,MATCH($M788,CONFIG!$A$4:$A$63,0)),"Media"))</f>
        <v/>
      </c>
      <c r="O788" s="28">
        <f>IF($M788="","",IF($C788="Interna","NO",IFERROR(INDEX(CONFIG!$E$4:$E$63,MATCH($M788,CONFIG!$A$4:$A$63,0)),"NO")))</f>
        <v/>
      </c>
      <c r="P788" s="50" t="n"/>
      <c r="Q788" s="50" t="n"/>
      <c r="R788" s="28">
        <f>IF($Q788="","",IFERROR(INDEX(CONFIG!$H$4:$H$63,MATCH($Q788,CONFIG!$G$4:$G$63,0)),"Por definir"))</f>
        <v/>
      </c>
      <c r="S788" s="28">
        <f>IF($Q788="","",IFERROR(INDEX(CONFIG!$I$4:$I$63,MATCH($Q788,CONFIG!$G$4:$G$63,0)),"Por definir"))</f>
        <v/>
      </c>
      <c r="T788" s="51" t="n"/>
      <c r="U788" s="52" t="n"/>
      <c r="V788" s="50" t="n"/>
      <c r="W788" s="50" t="n"/>
      <c r="X788" s="49">
        <f>IF(OR($B788="",$M788=""),"",WORKDAY($B788,IFERROR(INDEX(CONFIG!$D$4:$D$63,MATCH($M788,CONFIG!$A$4:$A$63,0)),3)))</f>
        <v/>
      </c>
      <c r="Y788" s="47" t="n"/>
      <c r="Z788" s="24">
        <f>IF($B788="","",IF($Y788&lt;&gt;"",$Y788-$B788,TODAY()-$B788))</f>
        <v/>
      </c>
      <c r="AA788" s="28">
        <f>IF($B788="","",IF(IFERROR(INDEX(CONFIG!$L$4:$L$63,MATCH($V788,CONFIG!$K$4:$K$63,0)),"NO")="SÍ",IF(OR($Y788="",$X788=""),"Resuelta",IF($Y788&gt;$X788,"Resuelta tarde","Resuelta a tiempo")),IF($X788="","Sin clasificar",IF(TODAY()&gt;$X788,"Vencida",IF(TODAY()&gt;=$X788-1,"Por vencer","En plazo")))))</f>
        <v/>
      </c>
      <c r="AB788" s="50" t="n"/>
      <c r="AC788" s="50" t="n"/>
    </row>
    <row r="789" ht="16" customHeight="1">
      <c r="A789" s="28">
        <f>IF($B789="","","N-"&amp;TEXT(ROW()-3,"0000"))</f>
        <v/>
      </c>
      <c r="B789" s="47" t="n"/>
      <c r="C789" s="48" t="n"/>
      <c r="D789" s="48" t="n"/>
      <c r="E789" s="28">
        <f>IF($C789="","",IF($D789="",IF($C789="Interna","Sin guía (interna)","FALTA GUÍA"),IF(COUNTIFS(ENVIOS!$A$4:$A$3003,$D789)=0,"NO EXISTE",IF(COUNTIFS(ENVIOS!$A$4:$A$3003,$D789)&gt;1,"DUPLICADA","OK"))))</f>
        <v/>
      </c>
      <c r="F789" s="28">
        <f>IF($D789="","",IFERROR(INDEX(ENVIOS!$B$4:$B$3003,MATCH($D789,ENVIOS!$A$4:$A$3003,0)),"—"))</f>
        <v/>
      </c>
      <c r="G789" s="23">
        <f>IF($D789="","",IFERROR(INDEX(ENVIOS!$D$4:$D$3003,MATCH($D789,ENVIOS!$A$4:$A$3003,0)),"—"))</f>
        <v/>
      </c>
      <c r="H789" s="23">
        <f>IF($D789="","",IFERROR(INDEX(ENVIOS!$E$4:$E$3003,MATCH($D789,ENVIOS!$A$4:$A$3003,0)),"—"))</f>
        <v/>
      </c>
      <c r="I789" s="23">
        <f>IF($D789="","",IFERROR(INDEX(ENVIOS!$F$4:$F$3003,MATCH($D789,ENVIOS!$A$4:$A$3003,0)),"—"))</f>
        <v/>
      </c>
      <c r="J789" s="23">
        <f>IF($D789="","",IFERROR(INDEX(ENVIOS!$G$4:$G$3003,MATCH($D789,ENVIOS!$A$4:$A$3003,0)),"—"))</f>
        <v/>
      </c>
      <c r="K789" s="28">
        <f>IF($D789="","",IFERROR(INDEX(ENVIOS!$H$4:$H$3003,MATCH($D789,ENVIOS!$A$4:$A$3003,0)),"—"))</f>
        <v/>
      </c>
      <c r="L789" s="49">
        <f>IF($D789="","",IFERROR(INDEX(ENVIOS!$C$4:$C$3003,MATCH($D789,ENVIOS!$A$4:$A$3003,0)),""))</f>
        <v/>
      </c>
      <c r="M789" s="50" t="n"/>
      <c r="N789" s="28">
        <f>IF($M789="","",IFERROR(INDEX(CONFIG!$C$4:$C$63,MATCH($M789,CONFIG!$A$4:$A$63,0)),"Media"))</f>
        <v/>
      </c>
      <c r="O789" s="28">
        <f>IF($M789="","",IF($C789="Interna","NO",IFERROR(INDEX(CONFIG!$E$4:$E$63,MATCH($M789,CONFIG!$A$4:$A$63,0)),"NO")))</f>
        <v/>
      </c>
      <c r="P789" s="50" t="n"/>
      <c r="Q789" s="50" t="n"/>
      <c r="R789" s="28">
        <f>IF($Q789="","",IFERROR(INDEX(CONFIG!$H$4:$H$63,MATCH($Q789,CONFIG!$G$4:$G$63,0)),"Por definir"))</f>
        <v/>
      </c>
      <c r="S789" s="28">
        <f>IF($Q789="","",IFERROR(INDEX(CONFIG!$I$4:$I$63,MATCH($Q789,CONFIG!$G$4:$G$63,0)),"Por definir"))</f>
        <v/>
      </c>
      <c r="T789" s="51" t="n"/>
      <c r="U789" s="52" t="n"/>
      <c r="V789" s="50" t="n"/>
      <c r="W789" s="50" t="n"/>
      <c r="X789" s="49">
        <f>IF(OR($B789="",$M789=""),"",WORKDAY($B789,IFERROR(INDEX(CONFIG!$D$4:$D$63,MATCH($M789,CONFIG!$A$4:$A$63,0)),3)))</f>
        <v/>
      </c>
      <c r="Y789" s="47" t="n"/>
      <c r="Z789" s="24">
        <f>IF($B789="","",IF($Y789&lt;&gt;"",$Y789-$B789,TODAY()-$B789))</f>
        <v/>
      </c>
      <c r="AA789" s="28">
        <f>IF($B789="","",IF(IFERROR(INDEX(CONFIG!$L$4:$L$63,MATCH($V789,CONFIG!$K$4:$K$63,0)),"NO")="SÍ",IF(OR($Y789="",$X789=""),"Resuelta",IF($Y789&gt;$X789,"Resuelta tarde","Resuelta a tiempo")),IF($X789="","Sin clasificar",IF(TODAY()&gt;$X789,"Vencida",IF(TODAY()&gt;=$X789-1,"Por vencer","En plazo")))))</f>
        <v/>
      </c>
      <c r="AB789" s="50" t="n"/>
      <c r="AC789" s="50" t="n"/>
    </row>
    <row r="790" ht="16" customHeight="1">
      <c r="A790" s="28">
        <f>IF($B790="","","N-"&amp;TEXT(ROW()-3,"0000"))</f>
        <v/>
      </c>
      <c r="B790" s="47" t="n"/>
      <c r="C790" s="48" t="n"/>
      <c r="D790" s="48" t="n"/>
      <c r="E790" s="28">
        <f>IF($C790="","",IF($D790="",IF($C790="Interna","Sin guía (interna)","FALTA GUÍA"),IF(COUNTIFS(ENVIOS!$A$4:$A$3003,$D790)=0,"NO EXISTE",IF(COUNTIFS(ENVIOS!$A$4:$A$3003,$D790)&gt;1,"DUPLICADA","OK"))))</f>
        <v/>
      </c>
      <c r="F790" s="28">
        <f>IF($D790="","",IFERROR(INDEX(ENVIOS!$B$4:$B$3003,MATCH($D790,ENVIOS!$A$4:$A$3003,0)),"—"))</f>
        <v/>
      </c>
      <c r="G790" s="23">
        <f>IF($D790="","",IFERROR(INDEX(ENVIOS!$D$4:$D$3003,MATCH($D790,ENVIOS!$A$4:$A$3003,0)),"—"))</f>
        <v/>
      </c>
      <c r="H790" s="23">
        <f>IF($D790="","",IFERROR(INDEX(ENVIOS!$E$4:$E$3003,MATCH($D790,ENVIOS!$A$4:$A$3003,0)),"—"))</f>
        <v/>
      </c>
      <c r="I790" s="23">
        <f>IF($D790="","",IFERROR(INDEX(ENVIOS!$F$4:$F$3003,MATCH($D790,ENVIOS!$A$4:$A$3003,0)),"—"))</f>
        <v/>
      </c>
      <c r="J790" s="23">
        <f>IF($D790="","",IFERROR(INDEX(ENVIOS!$G$4:$G$3003,MATCH($D790,ENVIOS!$A$4:$A$3003,0)),"—"))</f>
        <v/>
      </c>
      <c r="K790" s="28">
        <f>IF($D790="","",IFERROR(INDEX(ENVIOS!$H$4:$H$3003,MATCH($D790,ENVIOS!$A$4:$A$3003,0)),"—"))</f>
        <v/>
      </c>
      <c r="L790" s="49">
        <f>IF($D790="","",IFERROR(INDEX(ENVIOS!$C$4:$C$3003,MATCH($D790,ENVIOS!$A$4:$A$3003,0)),""))</f>
        <v/>
      </c>
      <c r="M790" s="50" t="n"/>
      <c r="N790" s="28">
        <f>IF($M790="","",IFERROR(INDEX(CONFIG!$C$4:$C$63,MATCH($M790,CONFIG!$A$4:$A$63,0)),"Media"))</f>
        <v/>
      </c>
      <c r="O790" s="28">
        <f>IF($M790="","",IF($C790="Interna","NO",IFERROR(INDEX(CONFIG!$E$4:$E$63,MATCH($M790,CONFIG!$A$4:$A$63,0)),"NO")))</f>
        <v/>
      </c>
      <c r="P790" s="50" t="n"/>
      <c r="Q790" s="50" t="n"/>
      <c r="R790" s="28">
        <f>IF($Q790="","",IFERROR(INDEX(CONFIG!$H$4:$H$63,MATCH($Q790,CONFIG!$G$4:$G$63,0)),"Por definir"))</f>
        <v/>
      </c>
      <c r="S790" s="28">
        <f>IF($Q790="","",IFERROR(INDEX(CONFIG!$I$4:$I$63,MATCH($Q790,CONFIG!$G$4:$G$63,0)),"Por definir"))</f>
        <v/>
      </c>
      <c r="T790" s="51" t="n"/>
      <c r="U790" s="52" t="n"/>
      <c r="V790" s="50" t="n"/>
      <c r="W790" s="50" t="n"/>
      <c r="X790" s="49">
        <f>IF(OR($B790="",$M790=""),"",WORKDAY($B790,IFERROR(INDEX(CONFIG!$D$4:$D$63,MATCH($M790,CONFIG!$A$4:$A$63,0)),3)))</f>
        <v/>
      </c>
      <c r="Y790" s="47" t="n"/>
      <c r="Z790" s="24">
        <f>IF($B790="","",IF($Y790&lt;&gt;"",$Y790-$B790,TODAY()-$B790))</f>
        <v/>
      </c>
      <c r="AA790" s="28">
        <f>IF($B790="","",IF(IFERROR(INDEX(CONFIG!$L$4:$L$63,MATCH($V790,CONFIG!$K$4:$K$63,0)),"NO")="SÍ",IF(OR($Y790="",$X790=""),"Resuelta",IF($Y790&gt;$X790,"Resuelta tarde","Resuelta a tiempo")),IF($X790="","Sin clasificar",IF(TODAY()&gt;$X790,"Vencida",IF(TODAY()&gt;=$X790-1,"Por vencer","En plazo")))))</f>
        <v/>
      </c>
      <c r="AB790" s="50" t="n"/>
      <c r="AC790" s="50" t="n"/>
    </row>
    <row r="791" ht="16" customHeight="1">
      <c r="A791" s="28">
        <f>IF($B791="","","N-"&amp;TEXT(ROW()-3,"0000"))</f>
        <v/>
      </c>
      <c r="B791" s="47" t="n"/>
      <c r="C791" s="48" t="n"/>
      <c r="D791" s="48" t="n"/>
      <c r="E791" s="28">
        <f>IF($C791="","",IF($D791="",IF($C791="Interna","Sin guía (interna)","FALTA GUÍA"),IF(COUNTIFS(ENVIOS!$A$4:$A$3003,$D791)=0,"NO EXISTE",IF(COUNTIFS(ENVIOS!$A$4:$A$3003,$D791)&gt;1,"DUPLICADA","OK"))))</f>
        <v/>
      </c>
      <c r="F791" s="28">
        <f>IF($D791="","",IFERROR(INDEX(ENVIOS!$B$4:$B$3003,MATCH($D791,ENVIOS!$A$4:$A$3003,0)),"—"))</f>
        <v/>
      </c>
      <c r="G791" s="23">
        <f>IF($D791="","",IFERROR(INDEX(ENVIOS!$D$4:$D$3003,MATCH($D791,ENVIOS!$A$4:$A$3003,0)),"—"))</f>
        <v/>
      </c>
      <c r="H791" s="23">
        <f>IF($D791="","",IFERROR(INDEX(ENVIOS!$E$4:$E$3003,MATCH($D791,ENVIOS!$A$4:$A$3003,0)),"—"))</f>
        <v/>
      </c>
      <c r="I791" s="23">
        <f>IF($D791="","",IFERROR(INDEX(ENVIOS!$F$4:$F$3003,MATCH($D791,ENVIOS!$A$4:$A$3003,0)),"—"))</f>
        <v/>
      </c>
      <c r="J791" s="23">
        <f>IF($D791="","",IFERROR(INDEX(ENVIOS!$G$4:$G$3003,MATCH($D791,ENVIOS!$A$4:$A$3003,0)),"—"))</f>
        <v/>
      </c>
      <c r="K791" s="28">
        <f>IF($D791="","",IFERROR(INDEX(ENVIOS!$H$4:$H$3003,MATCH($D791,ENVIOS!$A$4:$A$3003,0)),"—"))</f>
        <v/>
      </c>
      <c r="L791" s="49">
        <f>IF($D791="","",IFERROR(INDEX(ENVIOS!$C$4:$C$3003,MATCH($D791,ENVIOS!$A$4:$A$3003,0)),""))</f>
        <v/>
      </c>
      <c r="M791" s="50" t="n"/>
      <c r="N791" s="28">
        <f>IF($M791="","",IFERROR(INDEX(CONFIG!$C$4:$C$63,MATCH($M791,CONFIG!$A$4:$A$63,0)),"Media"))</f>
        <v/>
      </c>
      <c r="O791" s="28">
        <f>IF($M791="","",IF($C791="Interna","NO",IFERROR(INDEX(CONFIG!$E$4:$E$63,MATCH($M791,CONFIG!$A$4:$A$63,0)),"NO")))</f>
        <v/>
      </c>
      <c r="P791" s="50" t="n"/>
      <c r="Q791" s="50" t="n"/>
      <c r="R791" s="28">
        <f>IF($Q791="","",IFERROR(INDEX(CONFIG!$H$4:$H$63,MATCH($Q791,CONFIG!$G$4:$G$63,0)),"Por definir"))</f>
        <v/>
      </c>
      <c r="S791" s="28">
        <f>IF($Q791="","",IFERROR(INDEX(CONFIG!$I$4:$I$63,MATCH($Q791,CONFIG!$G$4:$G$63,0)),"Por definir"))</f>
        <v/>
      </c>
      <c r="T791" s="51" t="n"/>
      <c r="U791" s="52" t="n"/>
      <c r="V791" s="50" t="n"/>
      <c r="W791" s="50" t="n"/>
      <c r="X791" s="49">
        <f>IF(OR($B791="",$M791=""),"",WORKDAY($B791,IFERROR(INDEX(CONFIG!$D$4:$D$63,MATCH($M791,CONFIG!$A$4:$A$63,0)),3)))</f>
        <v/>
      </c>
      <c r="Y791" s="47" t="n"/>
      <c r="Z791" s="24">
        <f>IF($B791="","",IF($Y791&lt;&gt;"",$Y791-$B791,TODAY()-$B791))</f>
        <v/>
      </c>
      <c r="AA791" s="28">
        <f>IF($B791="","",IF(IFERROR(INDEX(CONFIG!$L$4:$L$63,MATCH($V791,CONFIG!$K$4:$K$63,0)),"NO")="SÍ",IF(OR($Y791="",$X791=""),"Resuelta",IF($Y791&gt;$X791,"Resuelta tarde","Resuelta a tiempo")),IF($X791="","Sin clasificar",IF(TODAY()&gt;$X791,"Vencida",IF(TODAY()&gt;=$X791-1,"Por vencer","En plazo")))))</f>
        <v/>
      </c>
      <c r="AB791" s="50" t="n"/>
      <c r="AC791" s="50" t="n"/>
    </row>
    <row r="792" ht="16" customHeight="1">
      <c r="A792" s="28">
        <f>IF($B792="","","N-"&amp;TEXT(ROW()-3,"0000"))</f>
        <v/>
      </c>
      <c r="B792" s="47" t="n"/>
      <c r="C792" s="48" t="n"/>
      <c r="D792" s="48" t="n"/>
      <c r="E792" s="28">
        <f>IF($C792="","",IF($D792="",IF($C792="Interna","Sin guía (interna)","FALTA GUÍA"),IF(COUNTIFS(ENVIOS!$A$4:$A$3003,$D792)=0,"NO EXISTE",IF(COUNTIFS(ENVIOS!$A$4:$A$3003,$D792)&gt;1,"DUPLICADA","OK"))))</f>
        <v/>
      </c>
      <c r="F792" s="28">
        <f>IF($D792="","",IFERROR(INDEX(ENVIOS!$B$4:$B$3003,MATCH($D792,ENVIOS!$A$4:$A$3003,0)),"—"))</f>
        <v/>
      </c>
      <c r="G792" s="23">
        <f>IF($D792="","",IFERROR(INDEX(ENVIOS!$D$4:$D$3003,MATCH($D792,ENVIOS!$A$4:$A$3003,0)),"—"))</f>
        <v/>
      </c>
      <c r="H792" s="23">
        <f>IF($D792="","",IFERROR(INDEX(ENVIOS!$E$4:$E$3003,MATCH($D792,ENVIOS!$A$4:$A$3003,0)),"—"))</f>
        <v/>
      </c>
      <c r="I792" s="23">
        <f>IF($D792="","",IFERROR(INDEX(ENVIOS!$F$4:$F$3003,MATCH($D792,ENVIOS!$A$4:$A$3003,0)),"—"))</f>
        <v/>
      </c>
      <c r="J792" s="23">
        <f>IF($D792="","",IFERROR(INDEX(ENVIOS!$G$4:$G$3003,MATCH($D792,ENVIOS!$A$4:$A$3003,0)),"—"))</f>
        <v/>
      </c>
      <c r="K792" s="28">
        <f>IF($D792="","",IFERROR(INDEX(ENVIOS!$H$4:$H$3003,MATCH($D792,ENVIOS!$A$4:$A$3003,0)),"—"))</f>
        <v/>
      </c>
      <c r="L792" s="49">
        <f>IF($D792="","",IFERROR(INDEX(ENVIOS!$C$4:$C$3003,MATCH($D792,ENVIOS!$A$4:$A$3003,0)),""))</f>
        <v/>
      </c>
      <c r="M792" s="50" t="n"/>
      <c r="N792" s="28">
        <f>IF($M792="","",IFERROR(INDEX(CONFIG!$C$4:$C$63,MATCH($M792,CONFIG!$A$4:$A$63,0)),"Media"))</f>
        <v/>
      </c>
      <c r="O792" s="28">
        <f>IF($M792="","",IF($C792="Interna","NO",IFERROR(INDEX(CONFIG!$E$4:$E$63,MATCH($M792,CONFIG!$A$4:$A$63,0)),"NO")))</f>
        <v/>
      </c>
      <c r="P792" s="50" t="n"/>
      <c r="Q792" s="50" t="n"/>
      <c r="R792" s="28">
        <f>IF($Q792="","",IFERROR(INDEX(CONFIG!$H$4:$H$63,MATCH($Q792,CONFIG!$G$4:$G$63,0)),"Por definir"))</f>
        <v/>
      </c>
      <c r="S792" s="28">
        <f>IF($Q792="","",IFERROR(INDEX(CONFIG!$I$4:$I$63,MATCH($Q792,CONFIG!$G$4:$G$63,0)),"Por definir"))</f>
        <v/>
      </c>
      <c r="T792" s="51" t="n"/>
      <c r="U792" s="52" t="n"/>
      <c r="V792" s="50" t="n"/>
      <c r="W792" s="50" t="n"/>
      <c r="X792" s="49">
        <f>IF(OR($B792="",$M792=""),"",WORKDAY($B792,IFERROR(INDEX(CONFIG!$D$4:$D$63,MATCH($M792,CONFIG!$A$4:$A$63,0)),3)))</f>
        <v/>
      </c>
      <c r="Y792" s="47" t="n"/>
      <c r="Z792" s="24">
        <f>IF($B792="","",IF($Y792&lt;&gt;"",$Y792-$B792,TODAY()-$B792))</f>
        <v/>
      </c>
      <c r="AA792" s="28">
        <f>IF($B792="","",IF(IFERROR(INDEX(CONFIG!$L$4:$L$63,MATCH($V792,CONFIG!$K$4:$K$63,0)),"NO")="SÍ",IF(OR($Y792="",$X792=""),"Resuelta",IF($Y792&gt;$X792,"Resuelta tarde","Resuelta a tiempo")),IF($X792="","Sin clasificar",IF(TODAY()&gt;$X792,"Vencida",IF(TODAY()&gt;=$X792-1,"Por vencer","En plazo")))))</f>
        <v/>
      </c>
      <c r="AB792" s="50" t="n"/>
      <c r="AC792" s="50" t="n"/>
    </row>
    <row r="793" ht="16" customHeight="1">
      <c r="A793" s="28">
        <f>IF($B793="","","N-"&amp;TEXT(ROW()-3,"0000"))</f>
        <v/>
      </c>
      <c r="B793" s="47" t="n"/>
      <c r="C793" s="48" t="n"/>
      <c r="D793" s="48" t="n"/>
      <c r="E793" s="28">
        <f>IF($C793="","",IF($D793="",IF($C793="Interna","Sin guía (interna)","FALTA GUÍA"),IF(COUNTIFS(ENVIOS!$A$4:$A$3003,$D793)=0,"NO EXISTE",IF(COUNTIFS(ENVIOS!$A$4:$A$3003,$D793)&gt;1,"DUPLICADA","OK"))))</f>
        <v/>
      </c>
      <c r="F793" s="28">
        <f>IF($D793="","",IFERROR(INDEX(ENVIOS!$B$4:$B$3003,MATCH($D793,ENVIOS!$A$4:$A$3003,0)),"—"))</f>
        <v/>
      </c>
      <c r="G793" s="23">
        <f>IF($D793="","",IFERROR(INDEX(ENVIOS!$D$4:$D$3003,MATCH($D793,ENVIOS!$A$4:$A$3003,0)),"—"))</f>
        <v/>
      </c>
      <c r="H793" s="23">
        <f>IF($D793="","",IFERROR(INDEX(ENVIOS!$E$4:$E$3003,MATCH($D793,ENVIOS!$A$4:$A$3003,0)),"—"))</f>
        <v/>
      </c>
      <c r="I793" s="23">
        <f>IF($D793="","",IFERROR(INDEX(ENVIOS!$F$4:$F$3003,MATCH($D793,ENVIOS!$A$4:$A$3003,0)),"—"))</f>
        <v/>
      </c>
      <c r="J793" s="23">
        <f>IF($D793="","",IFERROR(INDEX(ENVIOS!$G$4:$G$3003,MATCH($D793,ENVIOS!$A$4:$A$3003,0)),"—"))</f>
        <v/>
      </c>
      <c r="K793" s="28">
        <f>IF($D793="","",IFERROR(INDEX(ENVIOS!$H$4:$H$3003,MATCH($D793,ENVIOS!$A$4:$A$3003,0)),"—"))</f>
        <v/>
      </c>
      <c r="L793" s="49">
        <f>IF($D793="","",IFERROR(INDEX(ENVIOS!$C$4:$C$3003,MATCH($D793,ENVIOS!$A$4:$A$3003,0)),""))</f>
        <v/>
      </c>
      <c r="M793" s="50" t="n"/>
      <c r="N793" s="28">
        <f>IF($M793="","",IFERROR(INDEX(CONFIG!$C$4:$C$63,MATCH($M793,CONFIG!$A$4:$A$63,0)),"Media"))</f>
        <v/>
      </c>
      <c r="O793" s="28">
        <f>IF($M793="","",IF($C793="Interna","NO",IFERROR(INDEX(CONFIG!$E$4:$E$63,MATCH($M793,CONFIG!$A$4:$A$63,0)),"NO")))</f>
        <v/>
      </c>
      <c r="P793" s="50" t="n"/>
      <c r="Q793" s="50" t="n"/>
      <c r="R793" s="28">
        <f>IF($Q793="","",IFERROR(INDEX(CONFIG!$H$4:$H$63,MATCH($Q793,CONFIG!$G$4:$G$63,0)),"Por definir"))</f>
        <v/>
      </c>
      <c r="S793" s="28">
        <f>IF($Q793="","",IFERROR(INDEX(CONFIG!$I$4:$I$63,MATCH($Q793,CONFIG!$G$4:$G$63,0)),"Por definir"))</f>
        <v/>
      </c>
      <c r="T793" s="51" t="n"/>
      <c r="U793" s="52" t="n"/>
      <c r="V793" s="50" t="n"/>
      <c r="W793" s="50" t="n"/>
      <c r="X793" s="49">
        <f>IF(OR($B793="",$M793=""),"",WORKDAY($B793,IFERROR(INDEX(CONFIG!$D$4:$D$63,MATCH($M793,CONFIG!$A$4:$A$63,0)),3)))</f>
        <v/>
      </c>
      <c r="Y793" s="47" t="n"/>
      <c r="Z793" s="24">
        <f>IF($B793="","",IF($Y793&lt;&gt;"",$Y793-$B793,TODAY()-$B793))</f>
        <v/>
      </c>
      <c r="AA793" s="28">
        <f>IF($B793="","",IF(IFERROR(INDEX(CONFIG!$L$4:$L$63,MATCH($V793,CONFIG!$K$4:$K$63,0)),"NO")="SÍ",IF(OR($Y793="",$X793=""),"Resuelta",IF($Y793&gt;$X793,"Resuelta tarde","Resuelta a tiempo")),IF($X793="","Sin clasificar",IF(TODAY()&gt;$X793,"Vencida",IF(TODAY()&gt;=$X793-1,"Por vencer","En plazo")))))</f>
        <v/>
      </c>
      <c r="AB793" s="50" t="n"/>
      <c r="AC793" s="50" t="n"/>
    </row>
    <row r="794" ht="16" customHeight="1">
      <c r="A794" s="28">
        <f>IF($B794="","","N-"&amp;TEXT(ROW()-3,"0000"))</f>
        <v/>
      </c>
      <c r="B794" s="47" t="n"/>
      <c r="C794" s="48" t="n"/>
      <c r="D794" s="48" t="n"/>
      <c r="E794" s="28">
        <f>IF($C794="","",IF($D794="",IF($C794="Interna","Sin guía (interna)","FALTA GUÍA"),IF(COUNTIFS(ENVIOS!$A$4:$A$3003,$D794)=0,"NO EXISTE",IF(COUNTIFS(ENVIOS!$A$4:$A$3003,$D794)&gt;1,"DUPLICADA","OK"))))</f>
        <v/>
      </c>
      <c r="F794" s="28">
        <f>IF($D794="","",IFERROR(INDEX(ENVIOS!$B$4:$B$3003,MATCH($D794,ENVIOS!$A$4:$A$3003,0)),"—"))</f>
        <v/>
      </c>
      <c r="G794" s="23">
        <f>IF($D794="","",IFERROR(INDEX(ENVIOS!$D$4:$D$3003,MATCH($D794,ENVIOS!$A$4:$A$3003,0)),"—"))</f>
        <v/>
      </c>
      <c r="H794" s="23">
        <f>IF($D794="","",IFERROR(INDEX(ENVIOS!$E$4:$E$3003,MATCH($D794,ENVIOS!$A$4:$A$3003,0)),"—"))</f>
        <v/>
      </c>
      <c r="I794" s="23">
        <f>IF($D794="","",IFERROR(INDEX(ENVIOS!$F$4:$F$3003,MATCH($D794,ENVIOS!$A$4:$A$3003,0)),"—"))</f>
        <v/>
      </c>
      <c r="J794" s="23">
        <f>IF($D794="","",IFERROR(INDEX(ENVIOS!$G$4:$G$3003,MATCH($D794,ENVIOS!$A$4:$A$3003,0)),"—"))</f>
        <v/>
      </c>
      <c r="K794" s="28">
        <f>IF($D794="","",IFERROR(INDEX(ENVIOS!$H$4:$H$3003,MATCH($D794,ENVIOS!$A$4:$A$3003,0)),"—"))</f>
        <v/>
      </c>
      <c r="L794" s="49">
        <f>IF($D794="","",IFERROR(INDEX(ENVIOS!$C$4:$C$3003,MATCH($D794,ENVIOS!$A$4:$A$3003,0)),""))</f>
        <v/>
      </c>
      <c r="M794" s="50" t="n"/>
      <c r="N794" s="28">
        <f>IF($M794="","",IFERROR(INDEX(CONFIG!$C$4:$C$63,MATCH($M794,CONFIG!$A$4:$A$63,0)),"Media"))</f>
        <v/>
      </c>
      <c r="O794" s="28">
        <f>IF($M794="","",IF($C794="Interna","NO",IFERROR(INDEX(CONFIG!$E$4:$E$63,MATCH($M794,CONFIG!$A$4:$A$63,0)),"NO")))</f>
        <v/>
      </c>
      <c r="P794" s="50" t="n"/>
      <c r="Q794" s="50" t="n"/>
      <c r="R794" s="28">
        <f>IF($Q794="","",IFERROR(INDEX(CONFIG!$H$4:$H$63,MATCH($Q794,CONFIG!$G$4:$G$63,0)),"Por definir"))</f>
        <v/>
      </c>
      <c r="S794" s="28">
        <f>IF($Q794="","",IFERROR(INDEX(CONFIG!$I$4:$I$63,MATCH($Q794,CONFIG!$G$4:$G$63,0)),"Por definir"))</f>
        <v/>
      </c>
      <c r="T794" s="51" t="n"/>
      <c r="U794" s="52" t="n"/>
      <c r="V794" s="50" t="n"/>
      <c r="W794" s="50" t="n"/>
      <c r="X794" s="49">
        <f>IF(OR($B794="",$M794=""),"",WORKDAY($B794,IFERROR(INDEX(CONFIG!$D$4:$D$63,MATCH($M794,CONFIG!$A$4:$A$63,0)),3)))</f>
        <v/>
      </c>
      <c r="Y794" s="47" t="n"/>
      <c r="Z794" s="24">
        <f>IF($B794="","",IF($Y794&lt;&gt;"",$Y794-$B794,TODAY()-$B794))</f>
        <v/>
      </c>
      <c r="AA794" s="28">
        <f>IF($B794="","",IF(IFERROR(INDEX(CONFIG!$L$4:$L$63,MATCH($V794,CONFIG!$K$4:$K$63,0)),"NO")="SÍ",IF(OR($Y794="",$X794=""),"Resuelta",IF($Y794&gt;$X794,"Resuelta tarde","Resuelta a tiempo")),IF($X794="","Sin clasificar",IF(TODAY()&gt;$X794,"Vencida",IF(TODAY()&gt;=$X794-1,"Por vencer","En plazo")))))</f>
        <v/>
      </c>
      <c r="AB794" s="50" t="n"/>
      <c r="AC794" s="50" t="n"/>
    </row>
    <row r="795" ht="16" customHeight="1">
      <c r="A795" s="28">
        <f>IF($B795="","","N-"&amp;TEXT(ROW()-3,"0000"))</f>
        <v/>
      </c>
      <c r="B795" s="47" t="n"/>
      <c r="C795" s="48" t="n"/>
      <c r="D795" s="48" t="n"/>
      <c r="E795" s="28">
        <f>IF($C795="","",IF($D795="",IF($C795="Interna","Sin guía (interna)","FALTA GUÍA"),IF(COUNTIFS(ENVIOS!$A$4:$A$3003,$D795)=0,"NO EXISTE",IF(COUNTIFS(ENVIOS!$A$4:$A$3003,$D795)&gt;1,"DUPLICADA","OK"))))</f>
        <v/>
      </c>
      <c r="F795" s="28">
        <f>IF($D795="","",IFERROR(INDEX(ENVIOS!$B$4:$B$3003,MATCH($D795,ENVIOS!$A$4:$A$3003,0)),"—"))</f>
        <v/>
      </c>
      <c r="G795" s="23">
        <f>IF($D795="","",IFERROR(INDEX(ENVIOS!$D$4:$D$3003,MATCH($D795,ENVIOS!$A$4:$A$3003,0)),"—"))</f>
        <v/>
      </c>
      <c r="H795" s="23">
        <f>IF($D795="","",IFERROR(INDEX(ENVIOS!$E$4:$E$3003,MATCH($D795,ENVIOS!$A$4:$A$3003,0)),"—"))</f>
        <v/>
      </c>
      <c r="I795" s="23">
        <f>IF($D795="","",IFERROR(INDEX(ENVIOS!$F$4:$F$3003,MATCH($D795,ENVIOS!$A$4:$A$3003,0)),"—"))</f>
        <v/>
      </c>
      <c r="J795" s="23">
        <f>IF($D795="","",IFERROR(INDEX(ENVIOS!$G$4:$G$3003,MATCH($D795,ENVIOS!$A$4:$A$3003,0)),"—"))</f>
        <v/>
      </c>
      <c r="K795" s="28">
        <f>IF($D795="","",IFERROR(INDEX(ENVIOS!$H$4:$H$3003,MATCH($D795,ENVIOS!$A$4:$A$3003,0)),"—"))</f>
        <v/>
      </c>
      <c r="L795" s="49">
        <f>IF($D795="","",IFERROR(INDEX(ENVIOS!$C$4:$C$3003,MATCH($D795,ENVIOS!$A$4:$A$3003,0)),""))</f>
        <v/>
      </c>
      <c r="M795" s="50" t="n"/>
      <c r="N795" s="28">
        <f>IF($M795="","",IFERROR(INDEX(CONFIG!$C$4:$C$63,MATCH($M795,CONFIG!$A$4:$A$63,0)),"Media"))</f>
        <v/>
      </c>
      <c r="O795" s="28">
        <f>IF($M795="","",IF($C795="Interna","NO",IFERROR(INDEX(CONFIG!$E$4:$E$63,MATCH($M795,CONFIG!$A$4:$A$63,0)),"NO")))</f>
        <v/>
      </c>
      <c r="P795" s="50" t="n"/>
      <c r="Q795" s="50" t="n"/>
      <c r="R795" s="28">
        <f>IF($Q795="","",IFERROR(INDEX(CONFIG!$H$4:$H$63,MATCH($Q795,CONFIG!$G$4:$G$63,0)),"Por definir"))</f>
        <v/>
      </c>
      <c r="S795" s="28">
        <f>IF($Q795="","",IFERROR(INDEX(CONFIG!$I$4:$I$63,MATCH($Q795,CONFIG!$G$4:$G$63,0)),"Por definir"))</f>
        <v/>
      </c>
      <c r="T795" s="51" t="n"/>
      <c r="U795" s="52" t="n"/>
      <c r="V795" s="50" t="n"/>
      <c r="W795" s="50" t="n"/>
      <c r="X795" s="49">
        <f>IF(OR($B795="",$M795=""),"",WORKDAY($B795,IFERROR(INDEX(CONFIG!$D$4:$D$63,MATCH($M795,CONFIG!$A$4:$A$63,0)),3)))</f>
        <v/>
      </c>
      <c r="Y795" s="47" t="n"/>
      <c r="Z795" s="24">
        <f>IF($B795="","",IF($Y795&lt;&gt;"",$Y795-$B795,TODAY()-$B795))</f>
        <v/>
      </c>
      <c r="AA795" s="28">
        <f>IF($B795="","",IF(IFERROR(INDEX(CONFIG!$L$4:$L$63,MATCH($V795,CONFIG!$K$4:$K$63,0)),"NO")="SÍ",IF(OR($Y795="",$X795=""),"Resuelta",IF($Y795&gt;$X795,"Resuelta tarde","Resuelta a tiempo")),IF($X795="","Sin clasificar",IF(TODAY()&gt;$X795,"Vencida",IF(TODAY()&gt;=$X795-1,"Por vencer","En plazo")))))</f>
        <v/>
      </c>
      <c r="AB795" s="50" t="n"/>
      <c r="AC795" s="50" t="n"/>
    </row>
    <row r="796" ht="16" customHeight="1">
      <c r="A796" s="28">
        <f>IF($B796="","","N-"&amp;TEXT(ROW()-3,"0000"))</f>
        <v/>
      </c>
      <c r="B796" s="47" t="n"/>
      <c r="C796" s="48" t="n"/>
      <c r="D796" s="48" t="n"/>
      <c r="E796" s="28">
        <f>IF($C796="","",IF($D796="",IF($C796="Interna","Sin guía (interna)","FALTA GUÍA"),IF(COUNTIFS(ENVIOS!$A$4:$A$3003,$D796)=0,"NO EXISTE",IF(COUNTIFS(ENVIOS!$A$4:$A$3003,$D796)&gt;1,"DUPLICADA","OK"))))</f>
        <v/>
      </c>
      <c r="F796" s="28">
        <f>IF($D796="","",IFERROR(INDEX(ENVIOS!$B$4:$B$3003,MATCH($D796,ENVIOS!$A$4:$A$3003,0)),"—"))</f>
        <v/>
      </c>
      <c r="G796" s="23">
        <f>IF($D796="","",IFERROR(INDEX(ENVIOS!$D$4:$D$3003,MATCH($D796,ENVIOS!$A$4:$A$3003,0)),"—"))</f>
        <v/>
      </c>
      <c r="H796" s="23">
        <f>IF($D796="","",IFERROR(INDEX(ENVIOS!$E$4:$E$3003,MATCH($D796,ENVIOS!$A$4:$A$3003,0)),"—"))</f>
        <v/>
      </c>
      <c r="I796" s="23">
        <f>IF($D796="","",IFERROR(INDEX(ENVIOS!$F$4:$F$3003,MATCH($D796,ENVIOS!$A$4:$A$3003,0)),"—"))</f>
        <v/>
      </c>
      <c r="J796" s="23">
        <f>IF($D796="","",IFERROR(INDEX(ENVIOS!$G$4:$G$3003,MATCH($D796,ENVIOS!$A$4:$A$3003,0)),"—"))</f>
        <v/>
      </c>
      <c r="K796" s="28">
        <f>IF($D796="","",IFERROR(INDEX(ENVIOS!$H$4:$H$3003,MATCH($D796,ENVIOS!$A$4:$A$3003,0)),"—"))</f>
        <v/>
      </c>
      <c r="L796" s="49">
        <f>IF($D796="","",IFERROR(INDEX(ENVIOS!$C$4:$C$3003,MATCH($D796,ENVIOS!$A$4:$A$3003,0)),""))</f>
        <v/>
      </c>
      <c r="M796" s="50" t="n"/>
      <c r="N796" s="28">
        <f>IF($M796="","",IFERROR(INDEX(CONFIG!$C$4:$C$63,MATCH($M796,CONFIG!$A$4:$A$63,0)),"Media"))</f>
        <v/>
      </c>
      <c r="O796" s="28">
        <f>IF($M796="","",IF($C796="Interna","NO",IFERROR(INDEX(CONFIG!$E$4:$E$63,MATCH($M796,CONFIG!$A$4:$A$63,0)),"NO")))</f>
        <v/>
      </c>
      <c r="P796" s="50" t="n"/>
      <c r="Q796" s="50" t="n"/>
      <c r="R796" s="28">
        <f>IF($Q796="","",IFERROR(INDEX(CONFIG!$H$4:$H$63,MATCH($Q796,CONFIG!$G$4:$G$63,0)),"Por definir"))</f>
        <v/>
      </c>
      <c r="S796" s="28">
        <f>IF($Q796="","",IFERROR(INDEX(CONFIG!$I$4:$I$63,MATCH($Q796,CONFIG!$G$4:$G$63,0)),"Por definir"))</f>
        <v/>
      </c>
      <c r="T796" s="51" t="n"/>
      <c r="U796" s="52" t="n"/>
      <c r="V796" s="50" t="n"/>
      <c r="W796" s="50" t="n"/>
      <c r="X796" s="49">
        <f>IF(OR($B796="",$M796=""),"",WORKDAY($B796,IFERROR(INDEX(CONFIG!$D$4:$D$63,MATCH($M796,CONFIG!$A$4:$A$63,0)),3)))</f>
        <v/>
      </c>
      <c r="Y796" s="47" t="n"/>
      <c r="Z796" s="24">
        <f>IF($B796="","",IF($Y796&lt;&gt;"",$Y796-$B796,TODAY()-$B796))</f>
        <v/>
      </c>
      <c r="AA796" s="28">
        <f>IF($B796="","",IF(IFERROR(INDEX(CONFIG!$L$4:$L$63,MATCH($V796,CONFIG!$K$4:$K$63,0)),"NO")="SÍ",IF(OR($Y796="",$X796=""),"Resuelta",IF($Y796&gt;$X796,"Resuelta tarde","Resuelta a tiempo")),IF($X796="","Sin clasificar",IF(TODAY()&gt;$X796,"Vencida",IF(TODAY()&gt;=$X796-1,"Por vencer","En plazo")))))</f>
        <v/>
      </c>
      <c r="AB796" s="50" t="n"/>
      <c r="AC796" s="50" t="n"/>
    </row>
    <row r="797" ht="16" customHeight="1">
      <c r="A797" s="28">
        <f>IF($B797="","","N-"&amp;TEXT(ROW()-3,"0000"))</f>
        <v/>
      </c>
      <c r="B797" s="47" t="n"/>
      <c r="C797" s="48" t="n"/>
      <c r="D797" s="48" t="n"/>
      <c r="E797" s="28">
        <f>IF($C797="","",IF($D797="",IF($C797="Interna","Sin guía (interna)","FALTA GUÍA"),IF(COUNTIFS(ENVIOS!$A$4:$A$3003,$D797)=0,"NO EXISTE",IF(COUNTIFS(ENVIOS!$A$4:$A$3003,$D797)&gt;1,"DUPLICADA","OK"))))</f>
        <v/>
      </c>
      <c r="F797" s="28">
        <f>IF($D797="","",IFERROR(INDEX(ENVIOS!$B$4:$B$3003,MATCH($D797,ENVIOS!$A$4:$A$3003,0)),"—"))</f>
        <v/>
      </c>
      <c r="G797" s="23">
        <f>IF($D797="","",IFERROR(INDEX(ENVIOS!$D$4:$D$3003,MATCH($D797,ENVIOS!$A$4:$A$3003,0)),"—"))</f>
        <v/>
      </c>
      <c r="H797" s="23">
        <f>IF($D797="","",IFERROR(INDEX(ENVIOS!$E$4:$E$3003,MATCH($D797,ENVIOS!$A$4:$A$3003,0)),"—"))</f>
        <v/>
      </c>
      <c r="I797" s="23">
        <f>IF($D797="","",IFERROR(INDEX(ENVIOS!$F$4:$F$3003,MATCH($D797,ENVIOS!$A$4:$A$3003,0)),"—"))</f>
        <v/>
      </c>
      <c r="J797" s="23">
        <f>IF($D797="","",IFERROR(INDEX(ENVIOS!$G$4:$G$3003,MATCH($D797,ENVIOS!$A$4:$A$3003,0)),"—"))</f>
        <v/>
      </c>
      <c r="K797" s="28">
        <f>IF($D797="","",IFERROR(INDEX(ENVIOS!$H$4:$H$3003,MATCH($D797,ENVIOS!$A$4:$A$3003,0)),"—"))</f>
        <v/>
      </c>
      <c r="L797" s="49">
        <f>IF($D797="","",IFERROR(INDEX(ENVIOS!$C$4:$C$3003,MATCH($D797,ENVIOS!$A$4:$A$3003,0)),""))</f>
        <v/>
      </c>
      <c r="M797" s="50" t="n"/>
      <c r="N797" s="28">
        <f>IF($M797="","",IFERROR(INDEX(CONFIG!$C$4:$C$63,MATCH($M797,CONFIG!$A$4:$A$63,0)),"Media"))</f>
        <v/>
      </c>
      <c r="O797" s="28">
        <f>IF($M797="","",IF($C797="Interna","NO",IFERROR(INDEX(CONFIG!$E$4:$E$63,MATCH($M797,CONFIG!$A$4:$A$63,0)),"NO")))</f>
        <v/>
      </c>
      <c r="P797" s="50" t="n"/>
      <c r="Q797" s="50" t="n"/>
      <c r="R797" s="28">
        <f>IF($Q797="","",IFERROR(INDEX(CONFIG!$H$4:$H$63,MATCH($Q797,CONFIG!$G$4:$G$63,0)),"Por definir"))</f>
        <v/>
      </c>
      <c r="S797" s="28">
        <f>IF($Q797="","",IFERROR(INDEX(CONFIG!$I$4:$I$63,MATCH($Q797,CONFIG!$G$4:$G$63,0)),"Por definir"))</f>
        <v/>
      </c>
      <c r="T797" s="51" t="n"/>
      <c r="U797" s="52" t="n"/>
      <c r="V797" s="50" t="n"/>
      <c r="W797" s="50" t="n"/>
      <c r="X797" s="49">
        <f>IF(OR($B797="",$M797=""),"",WORKDAY($B797,IFERROR(INDEX(CONFIG!$D$4:$D$63,MATCH($M797,CONFIG!$A$4:$A$63,0)),3)))</f>
        <v/>
      </c>
      <c r="Y797" s="47" t="n"/>
      <c r="Z797" s="24">
        <f>IF($B797="","",IF($Y797&lt;&gt;"",$Y797-$B797,TODAY()-$B797))</f>
        <v/>
      </c>
      <c r="AA797" s="28">
        <f>IF($B797="","",IF(IFERROR(INDEX(CONFIG!$L$4:$L$63,MATCH($V797,CONFIG!$K$4:$K$63,0)),"NO")="SÍ",IF(OR($Y797="",$X797=""),"Resuelta",IF($Y797&gt;$X797,"Resuelta tarde","Resuelta a tiempo")),IF($X797="","Sin clasificar",IF(TODAY()&gt;$X797,"Vencida",IF(TODAY()&gt;=$X797-1,"Por vencer","En plazo")))))</f>
        <v/>
      </c>
      <c r="AB797" s="50" t="n"/>
      <c r="AC797" s="50" t="n"/>
    </row>
    <row r="798" ht="16" customHeight="1">
      <c r="A798" s="28">
        <f>IF($B798="","","N-"&amp;TEXT(ROW()-3,"0000"))</f>
        <v/>
      </c>
      <c r="B798" s="47" t="n"/>
      <c r="C798" s="48" t="n"/>
      <c r="D798" s="48" t="n"/>
      <c r="E798" s="28">
        <f>IF($C798="","",IF($D798="",IF($C798="Interna","Sin guía (interna)","FALTA GUÍA"),IF(COUNTIFS(ENVIOS!$A$4:$A$3003,$D798)=0,"NO EXISTE",IF(COUNTIFS(ENVIOS!$A$4:$A$3003,$D798)&gt;1,"DUPLICADA","OK"))))</f>
        <v/>
      </c>
      <c r="F798" s="28">
        <f>IF($D798="","",IFERROR(INDEX(ENVIOS!$B$4:$B$3003,MATCH($D798,ENVIOS!$A$4:$A$3003,0)),"—"))</f>
        <v/>
      </c>
      <c r="G798" s="23">
        <f>IF($D798="","",IFERROR(INDEX(ENVIOS!$D$4:$D$3003,MATCH($D798,ENVIOS!$A$4:$A$3003,0)),"—"))</f>
        <v/>
      </c>
      <c r="H798" s="23">
        <f>IF($D798="","",IFERROR(INDEX(ENVIOS!$E$4:$E$3003,MATCH($D798,ENVIOS!$A$4:$A$3003,0)),"—"))</f>
        <v/>
      </c>
      <c r="I798" s="23">
        <f>IF($D798="","",IFERROR(INDEX(ENVIOS!$F$4:$F$3003,MATCH($D798,ENVIOS!$A$4:$A$3003,0)),"—"))</f>
        <v/>
      </c>
      <c r="J798" s="23">
        <f>IF($D798="","",IFERROR(INDEX(ENVIOS!$G$4:$G$3003,MATCH($D798,ENVIOS!$A$4:$A$3003,0)),"—"))</f>
        <v/>
      </c>
      <c r="K798" s="28">
        <f>IF($D798="","",IFERROR(INDEX(ENVIOS!$H$4:$H$3003,MATCH($D798,ENVIOS!$A$4:$A$3003,0)),"—"))</f>
        <v/>
      </c>
      <c r="L798" s="49">
        <f>IF($D798="","",IFERROR(INDEX(ENVIOS!$C$4:$C$3003,MATCH($D798,ENVIOS!$A$4:$A$3003,0)),""))</f>
        <v/>
      </c>
      <c r="M798" s="50" t="n"/>
      <c r="N798" s="28">
        <f>IF($M798="","",IFERROR(INDEX(CONFIG!$C$4:$C$63,MATCH($M798,CONFIG!$A$4:$A$63,0)),"Media"))</f>
        <v/>
      </c>
      <c r="O798" s="28">
        <f>IF($M798="","",IF($C798="Interna","NO",IFERROR(INDEX(CONFIG!$E$4:$E$63,MATCH($M798,CONFIG!$A$4:$A$63,0)),"NO")))</f>
        <v/>
      </c>
      <c r="P798" s="50" t="n"/>
      <c r="Q798" s="50" t="n"/>
      <c r="R798" s="28">
        <f>IF($Q798="","",IFERROR(INDEX(CONFIG!$H$4:$H$63,MATCH($Q798,CONFIG!$G$4:$G$63,0)),"Por definir"))</f>
        <v/>
      </c>
      <c r="S798" s="28">
        <f>IF($Q798="","",IFERROR(INDEX(CONFIG!$I$4:$I$63,MATCH($Q798,CONFIG!$G$4:$G$63,0)),"Por definir"))</f>
        <v/>
      </c>
      <c r="T798" s="51" t="n"/>
      <c r="U798" s="52" t="n"/>
      <c r="V798" s="50" t="n"/>
      <c r="W798" s="50" t="n"/>
      <c r="X798" s="49">
        <f>IF(OR($B798="",$M798=""),"",WORKDAY($B798,IFERROR(INDEX(CONFIG!$D$4:$D$63,MATCH($M798,CONFIG!$A$4:$A$63,0)),3)))</f>
        <v/>
      </c>
      <c r="Y798" s="47" t="n"/>
      <c r="Z798" s="24">
        <f>IF($B798="","",IF($Y798&lt;&gt;"",$Y798-$B798,TODAY()-$B798))</f>
        <v/>
      </c>
      <c r="AA798" s="28">
        <f>IF($B798="","",IF(IFERROR(INDEX(CONFIG!$L$4:$L$63,MATCH($V798,CONFIG!$K$4:$K$63,0)),"NO")="SÍ",IF(OR($Y798="",$X798=""),"Resuelta",IF($Y798&gt;$X798,"Resuelta tarde","Resuelta a tiempo")),IF($X798="","Sin clasificar",IF(TODAY()&gt;$X798,"Vencida",IF(TODAY()&gt;=$X798-1,"Por vencer","En plazo")))))</f>
        <v/>
      </c>
      <c r="AB798" s="50" t="n"/>
      <c r="AC798" s="50" t="n"/>
    </row>
    <row r="799" ht="16" customHeight="1">
      <c r="A799" s="28">
        <f>IF($B799="","","N-"&amp;TEXT(ROW()-3,"0000"))</f>
        <v/>
      </c>
      <c r="B799" s="47" t="n"/>
      <c r="C799" s="48" t="n"/>
      <c r="D799" s="48" t="n"/>
      <c r="E799" s="28">
        <f>IF($C799="","",IF($D799="",IF($C799="Interna","Sin guía (interna)","FALTA GUÍA"),IF(COUNTIFS(ENVIOS!$A$4:$A$3003,$D799)=0,"NO EXISTE",IF(COUNTIFS(ENVIOS!$A$4:$A$3003,$D799)&gt;1,"DUPLICADA","OK"))))</f>
        <v/>
      </c>
      <c r="F799" s="28">
        <f>IF($D799="","",IFERROR(INDEX(ENVIOS!$B$4:$B$3003,MATCH($D799,ENVIOS!$A$4:$A$3003,0)),"—"))</f>
        <v/>
      </c>
      <c r="G799" s="23">
        <f>IF($D799="","",IFERROR(INDEX(ENVIOS!$D$4:$D$3003,MATCH($D799,ENVIOS!$A$4:$A$3003,0)),"—"))</f>
        <v/>
      </c>
      <c r="H799" s="23">
        <f>IF($D799="","",IFERROR(INDEX(ENVIOS!$E$4:$E$3003,MATCH($D799,ENVIOS!$A$4:$A$3003,0)),"—"))</f>
        <v/>
      </c>
      <c r="I799" s="23">
        <f>IF($D799="","",IFERROR(INDEX(ENVIOS!$F$4:$F$3003,MATCH($D799,ENVIOS!$A$4:$A$3003,0)),"—"))</f>
        <v/>
      </c>
      <c r="J799" s="23">
        <f>IF($D799="","",IFERROR(INDEX(ENVIOS!$G$4:$G$3003,MATCH($D799,ENVIOS!$A$4:$A$3003,0)),"—"))</f>
        <v/>
      </c>
      <c r="K799" s="28">
        <f>IF($D799="","",IFERROR(INDEX(ENVIOS!$H$4:$H$3003,MATCH($D799,ENVIOS!$A$4:$A$3003,0)),"—"))</f>
        <v/>
      </c>
      <c r="L799" s="49">
        <f>IF($D799="","",IFERROR(INDEX(ENVIOS!$C$4:$C$3003,MATCH($D799,ENVIOS!$A$4:$A$3003,0)),""))</f>
        <v/>
      </c>
      <c r="M799" s="50" t="n"/>
      <c r="N799" s="28">
        <f>IF($M799="","",IFERROR(INDEX(CONFIG!$C$4:$C$63,MATCH($M799,CONFIG!$A$4:$A$63,0)),"Media"))</f>
        <v/>
      </c>
      <c r="O799" s="28">
        <f>IF($M799="","",IF($C799="Interna","NO",IFERROR(INDEX(CONFIG!$E$4:$E$63,MATCH($M799,CONFIG!$A$4:$A$63,0)),"NO")))</f>
        <v/>
      </c>
      <c r="P799" s="50" t="n"/>
      <c r="Q799" s="50" t="n"/>
      <c r="R799" s="28">
        <f>IF($Q799="","",IFERROR(INDEX(CONFIG!$H$4:$H$63,MATCH($Q799,CONFIG!$G$4:$G$63,0)),"Por definir"))</f>
        <v/>
      </c>
      <c r="S799" s="28">
        <f>IF($Q799="","",IFERROR(INDEX(CONFIG!$I$4:$I$63,MATCH($Q799,CONFIG!$G$4:$G$63,0)),"Por definir"))</f>
        <v/>
      </c>
      <c r="T799" s="51" t="n"/>
      <c r="U799" s="52" t="n"/>
      <c r="V799" s="50" t="n"/>
      <c r="W799" s="50" t="n"/>
      <c r="X799" s="49">
        <f>IF(OR($B799="",$M799=""),"",WORKDAY($B799,IFERROR(INDEX(CONFIG!$D$4:$D$63,MATCH($M799,CONFIG!$A$4:$A$63,0)),3)))</f>
        <v/>
      </c>
      <c r="Y799" s="47" t="n"/>
      <c r="Z799" s="24">
        <f>IF($B799="","",IF($Y799&lt;&gt;"",$Y799-$B799,TODAY()-$B799))</f>
        <v/>
      </c>
      <c r="AA799" s="28">
        <f>IF($B799="","",IF(IFERROR(INDEX(CONFIG!$L$4:$L$63,MATCH($V799,CONFIG!$K$4:$K$63,0)),"NO")="SÍ",IF(OR($Y799="",$X799=""),"Resuelta",IF($Y799&gt;$X799,"Resuelta tarde","Resuelta a tiempo")),IF($X799="","Sin clasificar",IF(TODAY()&gt;$X799,"Vencida",IF(TODAY()&gt;=$X799-1,"Por vencer","En plazo")))))</f>
        <v/>
      </c>
      <c r="AB799" s="50" t="n"/>
      <c r="AC799" s="50" t="n"/>
    </row>
    <row r="800" ht="16" customHeight="1">
      <c r="A800" s="28">
        <f>IF($B800="","","N-"&amp;TEXT(ROW()-3,"0000"))</f>
        <v/>
      </c>
      <c r="B800" s="47" t="n"/>
      <c r="C800" s="48" t="n"/>
      <c r="D800" s="48" t="n"/>
      <c r="E800" s="28">
        <f>IF($C800="","",IF($D800="",IF($C800="Interna","Sin guía (interna)","FALTA GUÍA"),IF(COUNTIFS(ENVIOS!$A$4:$A$3003,$D800)=0,"NO EXISTE",IF(COUNTIFS(ENVIOS!$A$4:$A$3003,$D800)&gt;1,"DUPLICADA","OK"))))</f>
        <v/>
      </c>
      <c r="F800" s="28">
        <f>IF($D800="","",IFERROR(INDEX(ENVIOS!$B$4:$B$3003,MATCH($D800,ENVIOS!$A$4:$A$3003,0)),"—"))</f>
        <v/>
      </c>
      <c r="G800" s="23">
        <f>IF($D800="","",IFERROR(INDEX(ENVIOS!$D$4:$D$3003,MATCH($D800,ENVIOS!$A$4:$A$3003,0)),"—"))</f>
        <v/>
      </c>
      <c r="H800" s="23">
        <f>IF($D800="","",IFERROR(INDEX(ENVIOS!$E$4:$E$3003,MATCH($D800,ENVIOS!$A$4:$A$3003,0)),"—"))</f>
        <v/>
      </c>
      <c r="I800" s="23">
        <f>IF($D800="","",IFERROR(INDEX(ENVIOS!$F$4:$F$3003,MATCH($D800,ENVIOS!$A$4:$A$3003,0)),"—"))</f>
        <v/>
      </c>
      <c r="J800" s="23">
        <f>IF($D800="","",IFERROR(INDEX(ENVIOS!$G$4:$G$3003,MATCH($D800,ENVIOS!$A$4:$A$3003,0)),"—"))</f>
        <v/>
      </c>
      <c r="K800" s="28">
        <f>IF($D800="","",IFERROR(INDEX(ENVIOS!$H$4:$H$3003,MATCH($D800,ENVIOS!$A$4:$A$3003,0)),"—"))</f>
        <v/>
      </c>
      <c r="L800" s="49">
        <f>IF($D800="","",IFERROR(INDEX(ENVIOS!$C$4:$C$3003,MATCH($D800,ENVIOS!$A$4:$A$3003,0)),""))</f>
        <v/>
      </c>
      <c r="M800" s="50" t="n"/>
      <c r="N800" s="28">
        <f>IF($M800="","",IFERROR(INDEX(CONFIG!$C$4:$C$63,MATCH($M800,CONFIG!$A$4:$A$63,0)),"Media"))</f>
        <v/>
      </c>
      <c r="O800" s="28">
        <f>IF($M800="","",IF($C800="Interna","NO",IFERROR(INDEX(CONFIG!$E$4:$E$63,MATCH($M800,CONFIG!$A$4:$A$63,0)),"NO")))</f>
        <v/>
      </c>
      <c r="P800" s="50" t="n"/>
      <c r="Q800" s="50" t="n"/>
      <c r="R800" s="28">
        <f>IF($Q800="","",IFERROR(INDEX(CONFIG!$H$4:$H$63,MATCH($Q800,CONFIG!$G$4:$G$63,0)),"Por definir"))</f>
        <v/>
      </c>
      <c r="S800" s="28">
        <f>IF($Q800="","",IFERROR(INDEX(CONFIG!$I$4:$I$63,MATCH($Q800,CONFIG!$G$4:$G$63,0)),"Por definir"))</f>
        <v/>
      </c>
      <c r="T800" s="51" t="n"/>
      <c r="U800" s="52" t="n"/>
      <c r="V800" s="50" t="n"/>
      <c r="W800" s="50" t="n"/>
      <c r="X800" s="49">
        <f>IF(OR($B800="",$M800=""),"",WORKDAY($B800,IFERROR(INDEX(CONFIG!$D$4:$D$63,MATCH($M800,CONFIG!$A$4:$A$63,0)),3)))</f>
        <v/>
      </c>
      <c r="Y800" s="47" t="n"/>
      <c r="Z800" s="24">
        <f>IF($B800="","",IF($Y800&lt;&gt;"",$Y800-$B800,TODAY()-$B800))</f>
        <v/>
      </c>
      <c r="AA800" s="28">
        <f>IF($B800="","",IF(IFERROR(INDEX(CONFIG!$L$4:$L$63,MATCH($V800,CONFIG!$K$4:$K$63,0)),"NO")="SÍ",IF(OR($Y800="",$X800=""),"Resuelta",IF($Y800&gt;$X800,"Resuelta tarde","Resuelta a tiempo")),IF($X800="","Sin clasificar",IF(TODAY()&gt;$X800,"Vencida",IF(TODAY()&gt;=$X800-1,"Por vencer","En plazo")))))</f>
        <v/>
      </c>
      <c r="AB800" s="50" t="n"/>
      <c r="AC800" s="50" t="n"/>
    </row>
    <row r="801" ht="16" customHeight="1">
      <c r="A801" s="28">
        <f>IF($B801="","","N-"&amp;TEXT(ROW()-3,"0000"))</f>
        <v/>
      </c>
      <c r="B801" s="47" t="n"/>
      <c r="C801" s="48" t="n"/>
      <c r="D801" s="48" t="n"/>
      <c r="E801" s="28">
        <f>IF($C801="","",IF($D801="",IF($C801="Interna","Sin guía (interna)","FALTA GUÍA"),IF(COUNTIFS(ENVIOS!$A$4:$A$3003,$D801)=0,"NO EXISTE",IF(COUNTIFS(ENVIOS!$A$4:$A$3003,$D801)&gt;1,"DUPLICADA","OK"))))</f>
        <v/>
      </c>
      <c r="F801" s="28">
        <f>IF($D801="","",IFERROR(INDEX(ENVIOS!$B$4:$B$3003,MATCH($D801,ENVIOS!$A$4:$A$3003,0)),"—"))</f>
        <v/>
      </c>
      <c r="G801" s="23">
        <f>IF($D801="","",IFERROR(INDEX(ENVIOS!$D$4:$D$3003,MATCH($D801,ENVIOS!$A$4:$A$3003,0)),"—"))</f>
        <v/>
      </c>
      <c r="H801" s="23">
        <f>IF($D801="","",IFERROR(INDEX(ENVIOS!$E$4:$E$3003,MATCH($D801,ENVIOS!$A$4:$A$3003,0)),"—"))</f>
        <v/>
      </c>
      <c r="I801" s="23">
        <f>IF($D801="","",IFERROR(INDEX(ENVIOS!$F$4:$F$3003,MATCH($D801,ENVIOS!$A$4:$A$3003,0)),"—"))</f>
        <v/>
      </c>
      <c r="J801" s="23">
        <f>IF($D801="","",IFERROR(INDEX(ENVIOS!$G$4:$G$3003,MATCH($D801,ENVIOS!$A$4:$A$3003,0)),"—"))</f>
        <v/>
      </c>
      <c r="K801" s="28">
        <f>IF($D801="","",IFERROR(INDEX(ENVIOS!$H$4:$H$3003,MATCH($D801,ENVIOS!$A$4:$A$3003,0)),"—"))</f>
        <v/>
      </c>
      <c r="L801" s="49">
        <f>IF($D801="","",IFERROR(INDEX(ENVIOS!$C$4:$C$3003,MATCH($D801,ENVIOS!$A$4:$A$3003,0)),""))</f>
        <v/>
      </c>
      <c r="M801" s="50" t="n"/>
      <c r="N801" s="28">
        <f>IF($M801="","",IFERROR(INDEX(CONFIG!$C$4:$C$63,MATCH($M801,CONFIG!$A$4:$A$63,0)),"Media"))</f>
        <v/>
      </c>
      <c r="O801" s="28">
        <f>IF($M801="","",IF($C801="Interna","NO",IFERROR(INDEX(CONFIG!$E$4:$E$63,MATCH($M801,CONFIG!$A$4:$A$63,0)),"NO")))</f>
        <v/>
      </c>
      <c r="P801" s="50" t="n"/>
      <c r="Q801" s="50" t="n"/>
      <c r="R801" s="28">
        <f>IF($Q801="","",IFERROR(INDEX(CONFIG!$H$4:$H$63,MATCH($Q801,CONFIG!$G$4:$G$63,0)),"Por definir"))</f>
        <v/>
      </c>
      <c r="S801" s="28">
        <f>IF($Q801="","",IFERROR(INDEX(CONFIG!$I$4:$I$63,MATCH($Q801,CONFIG!$G$4:$G$63,0)),"Por definir"))</f>
        <v/>
      </c>
      <c r="T801" s="51" t="n"/>
      <c r="U801" s="52" t="n"/>
      <c r="V801" s="50" t="n"/>
      <c r="W801" s="50" t="n"/>
      <c r="X801" s="49">
        <f>IF(OR($B801="",$M801=""),"",WORKDAY($B801,IFERROR(INDEX(CONFIG!$D$4:$D$63,MATCH($M801,CONFIG!$A$4:$A$63,0)),3)))</f>
        <v/>
      </c>
      <c r="Y801" s="47" t="n"/>
      <c r="Z801" s="24">
        <f>IF($B801="","",IF($Y801&lt;&gt;"",$Y801-$B801,TODAY()-$B801))</f>
        <v/>
      </c>
      <c r="AA801" s="28">
        <f>IF($B801="","",IF(IFERROR(INDEX(CONFIG!$L$4:$L$63,MATCH($V801,CONFIG!$K$4:$K$63,0)),"NO")="SÍ",IF(OR($Y801="",$X801=""),"Resuelta",IF($Y801&gt;$X801,"Resuelta tarde","Resuelta a tiempo")),IF($X801="","Sin clasificar",IF(TODAY()&gt;$X801,"Vencida",IF(TODAY()&gt;=$X801-1,"Por vencer","En plazo")))))</f>
        <v/>
      </c>
      <c r="AB801" s="50" t="n"/>
      <c r="AC801" s="50" t="n"/>
    </row>
    <row r="802" ht="16" customHeight="1">
      <c r="A802" s="28">
        <f>IF($B802="","","N-"&amp;TEXT(ROW()-3,"0000"))</f>
        <v/>
      </c>
      <c r="B802" s="47" t="n"/>
      <c r="C802" s="48" t="n"/>
      <c r="D802" s="48" t="n"/>
      <c r="E802" s="28">
        <f>IF($C802="","",IF($D802="",IF($C802="Interna","Sin guía (interna)","FALTA GUÍA"),IF(COUNTIFS(ENVIOS!$A$4:$A$3003,$D802)=0,"NO EXISTE",IF(COUNTIFS(ENVIOS!$A$4:$A$3003,$D802)&gt;1,"DUPLICADA","OK"))))</f>
        <v/>
      </c>
      <c r="F802" s="28">
        <f>IF($D802="","",IFERROR(INDEX(ENVIOS!$B$4:$B$3003,MATCH($D802,ENVIOS!$A$4:$A$3003,0)),"—"))</f>
        <v/>
      </c>
      <c r="G802" s="23">
        <f>IF($D802="","",IFERROR(INDEX(ENVIOS!$D$4:$D$3003,MATCH($D802,ENVIOS!$A$4:$A$3003,0)),"—"))</f>
        <v/>
      </c>
      <c r="H802" s="23">
        <f>IF($D802="","",IFERROR(INDEX(ENVIOS!$E$4:$E$3003,MATCH($D802,ENVIOS!$A$4:$A$3003,0)),"—"))</f>
        <v/>
      </c>
      <c r="I802" s="23">
        <f>IF($D802="","",IFERROR(INDEX(ENVIOS!$F$4:$F$3003,MATCH($D802,ENVIOS!$A$4:$A$3003,0)),"—"))</f>
        <v/>
      </c>
      <c r="J802" s="23">
        <f>IF($D802="","",IFERROR(INDEX(ENVIOS!$G$4:$G$3003,MATCH($D802,ENVIOS!$A$4:$A$3003,0)),"—"))</f>
        <v/>
      </c>
      <c r="K802" s="28">
        <f>IF($D802="","",IFERROR(INDEX(ENVIOS!$H$4:$H$3003,MATCH($D802,ENVIOS!$A$4:$A$3003,0)),"—"))</f>
        <v/>
      </c>
      <c r="L802" s="49">
        <f>IF($D802="","",IFERROR(INDEX(ENVIOS!$C$4:$C$3003,MATCH($D802,ENVIOS!$A$4:$A$3003,0)),""))</f>
        <v/>
      </c>
      <c r="M802" s="50" t="n"/>
      <c r="N802" s="28">
        <f>IF($M802="","",IFERROR(INDEX(CONFIG!$C$4:$C$63,MATCH($M802,CONFIG!$A$4:$A$63,0)),"Media"))</f>
        <v/>
      </c>
      <c r="O802" s="28">
        <f>IF($M802="","",IF($C802="Interna","NO",IFERROR(INDEX(CONFIG!$E$4:$E$63,MATCH($M802,CONFIG!$A$4:$A$63,0)),"NO")))</f>
        <v/>
      </c>
      <c r="P802" s="50" t="n"/>
      <c r="Q802" s="50" t="n"/>
      <c r="R802" s="28">
        <f>IF($Q802="","",IFERROR(INDEX(CONFIG!$H$4:$H$63,MATCH($Q802,CONFIG!$G$4:$G$63,0)),"Por definir"))</f>
        <v/>
      </c>
      <c r="S802" s="28">
        <f>IF($Q802="","",IFERROR(INDEX(CONFIG!$I$4:$I$63,MATCH($Q802,CONFIG!$G$4:$G$63,0)),"Por definir"))</f>
        <v/>
      </c>
      <c r="T802" s="51" t="n"/>
      <c r="U802" s="52" t="n"/>
      <c r="V802" s="50" t="n"/>
      <c r="W802" s="50" t="n"/>
      <c r="X802" s="49">
        <f>IF(OR($B802="",$M802=""),"",WORKDAY($B802,IFERROR(INDEX(CONFIG!$D$4:$D$63,MATCH($M802,CONFIG!$A$4:$A$63,0)),3)))</f>
        <v/>
      </c>
      <c r="Y802" s="47" t="n"/>
      <c r="Z802" s="24">
        <f>IF($B802="","",IF($Y802&lt;&gt;"",$Y802-$B802,TODAY()-$B802))</f>
        <v/>
      </c>
      <c r="AA802" s="28">
        <f>IF($B802="","",IF(IFERROR(INDEX(CONFIG!$L$4:$L$63,MATCH($V802,CONFIG!$K$4:$K$63,0)),"NO")="SÍ",IF(OR($Y802="",$X802=""),"Resuelta",IF($Y802&gt;$X802,"Resuelta tarde","Resuelta a tiempo")),IF($X802="","Sin clasificar",IF(TODAY()&gt;$X802,"Vencida",IF(TODAY()&gt;=$X802-1,"Por vencer","En plazo")))))</f>
        <v/>
      </c>
      <c r="AB802" s="50" t="n"/>
      <c r="AC802" s="50" t="n"/>
    </row>
    <row r="803" ht="16" customHeight="1">
      <c r="A803" s="28">
        <f>IF($B803="","","N-"&amp;TEXT(ROW()-3,"0000"))</f>
        <v/>
      </c>
      <c r="B803" s="47" t="n"/>
      <c r="C803" s="48" t="n"/>
      <c r="D803" s="48" t="n"/>
      <c r="E803" s="28">
        <f>IF($C803="","",IF($D803="",IF($C803="Interna","Sin guía (interna)","FALTA GUÍA"),IF(COUNTIFS(ENVIOS!$A$4:$A$3003,$D803)=0,"NO EXISTE",IF(COUNTIFS(ENVIOS!$A$4:$A$3003,$D803)&gt;1,"DUPLICADA","OK"))))</f>
        <v/>
      </c>
      <c r="F803" s="28">
        <f>IF($D803="","",IFERROR(INDEX(ENVIOS!$B$4:$B$3003,MATCH($D803,ENVIOS!$A$4:$A$3003,0)),"—"))</f>
        <v/>
      </c>
      <c r="G803" s="23">
        <f>IF($D803="","",IFERROR(INDEX(ENVIOS!$D$4:$D$3003,MATCH($D803,ENVIOS!$A$4:$A$3003,0)),"—"))</f>
        <v/>
      </c>
      <c r="H803" s="23">
        <f>IF($D803="","",IFERROR(INDEX(ENVIOS!$E$4:$E$3003,MATCH($D803,ENVIOS!$A$4:$A$3003,0)),"—"))</f>
        <v/>
      </c>
      <c r="I803" s="23">
        <f>IF($D803="","",IFERROR(INDEX(ENVIOS!$F$4:$F$3003,MATCH($D803,ENVIOS!$A$4:$A$3003,0)),"—"))</f>
        <v/>
      </c>
      <c r="J803" s="23">
        <f>IF($D803="","",IFERROR(INDEX(ENVIOS!$G$4:$G$3003,MATCH($D803,ENVIOS!$A$4:$A$3003,0)),"—"))</f>
        <v/>
      </c>
      <c r="K803" s="28">
        <f>IF($D803="","",IFERROR(INDEX(ENVIOS!$H$4:$H$3003,MATCH($D803,ENVIOS!$A$4:$A$3003,0)),"—"))</f>
        <v/>
      </c>
      <c r="L803" s="49">
        <f>IF($D803="","",IFERROR(INDEX(ENVIOS!$C$4:$C$3003,MATCH($D803,ENVIOS!$A$4:$A$3003,0)),""))</f>
        <v/>
      </c>
      <c r="M803" s="50" t="n"/>
      <c r="N803" s="28">
        <f>IF($M803="","",IFERROR(INDEX(CONFIG!$C$4:$C$63,MATCH($M803,CONFIG!$A$4:$A$63,0)),"Media"))</f>
        <v/>
      </c>
      <c r="O803" s="28">
        <f>IF($M803="","",IF($C803="Interna","NO",IFERROR(INDEX(CONFIG!$E$4:$E$63,MATCH($M803,CONFIG!$A$4:$A$63,0)),"NO")))</f>
        <v/>
      </c>
      <c r="P803" s="50" t="n"/>
      <c r="Q803" s="50" t="n"/>
      <c r="R803" s="28">
        <f>IF($Q803="","",IFERROR(INDEX(CONFIG!$H$4:$H$63,MATCH($Q803,CONFIG!$G$4:$G$63,0)),"Por definir"))</f>
        <v/>
      </c>
      <c r="S803" s="28">
        <f>IF($Q803="","",IFERROR(INDEX(CONFIG!$I$4:$I$63,MATCH($Q803,CONFIG!$G$4:$G$63,0)),"Por definir"))</f>
        <v/>
      </c>
      <c r="T803" s="51" t="n"/>
      <c r="U803" s="52" t="n"/>
      <c r="V803" s="50" t="n"/>
      <c r="W803" s="50" t="n"/>
      <c r="X803" s="49">
        <f>IF(OR($B803="",$M803=""),"",WORKDAY($B803,IFERROR(INDEX(CONFIG!$D$4:$D$63,MATCH($M803,CONFIG!$A$4:$A$63,0)),3)))</f>
        <v/>
      </c>
      <c r="Y803" s="47" t="n"/>
      <c r="Z803" s="24">
        <f>IF($B803="","",IF($Y803&lt;&gt;"",$Y803-$B803,TODAY()-$B803))</f>
        <v/>
      </c>
      <c r="AA803" s="28">
        <f>IF($B803="","",IF(IFERROR(INDEX(CONFIG!$L$4:$L$63,MATCH($V803,CONFIG!$K$4:$K$63,0)),"NO")="SÍ",IF(OR($Y803="",$X803=""),"Resuelta",IF($Y803&gt;$X803,"Resuelta tarde","Resuelta a tiempo")),IF($X803="","Sin clasificar",IF(TODAY()&gt;$X803,"Vencida",IF(TODAY()&gt;=$X803-1,"Por vencer","En plazo")))))</f>
        <v/>
      </c>
      <c r="AB803" s="50" t="n"/>
      <c r="AC803" s="50" t="n"/>
    </row>
    <row r="804" ht="16" customHeight="1">
      <c r="A804" s="28">
        <f>IF($B804="","","N-"&amp;TEXT(ROW()-3,"0000"))</f>
        <v/>
      </c>
      <c r="B804" s="47" t="n"/>
      <c r="C804" s="48" t="n"/>
      <c r="D804" s="48" t="n"/>
      <c r="E804" s="28">
        <f>IF($C804="","",IF($D804="",IF($C804="Interna","Sin guía (interna)","FALTA GUÍA"),IF(COUNTIFS(ENVIOS!$A$4:$A$3003,$D804)=0,"NO EXISTE",IF(COUNTIFS(ENVIOS!$A$4:$A$3003,$D804)&gt;1,"DUPLICADA","OK"))))</f>
        <v/>
      </c>
      <c r="F804" s="28">
        <f>IF($D804="","",IFERROR(INDEX(ENVIOS!$B$4:$B$3003,MATCH($D804,ENVIOS!$A$4:$A$3003,0)),"—"))</f>
        <v/>
      </c>
      <c r="G804" s="23">
        <f>IF($D804="","",IFERROR(INDEX(ENVIOS!$D$4:$D$3003,MATCH($D804,ENVIOS!$A$4:$A$3003,0)),"—"))</f>
        <v/>
      </c>
      <c r="H804" s="23">
        <f>IF($D804="","",IFERROR(INDEX(ENVIOS!$E$4:$E$3003,MATCH($D804,ENVIOS!$A$4:$A$3003,0)),"—"))</f>
        <v/>
      </c>
      <c r="I804" s="23">
        <f>IF($D804="","",IFERROR(INDEX(ENVIOS!$F$4:$F$3003,MATCH($D804,ENVIOS!$A$4:$A$3003,0)),"—"))</f>
        <v/>
      </c>
      <c r="J804" s="23">
        <f>IF($D804="","",IFERROR(INDEX(ENVIOS!$G$4:$G$3003,MATCH($D804,ENVIOS!$A$4:$A$3003,0)),"—"))</f>
        <v/>
      </c>
      <c r="K804" s="28">
        <f>IF($D804="","",IFERROR(INDEX(ENVIOS!$H$4:$H$3003,MATCH($D804,ENVIOS!$A$4:$A$3003,0)),"—"))</f>
        <v/>
      </c>
      <c r="L804" s="49">
        <f>IF($D804="","",IFERROR(INDEX(ENVIOS!$C$4:$C$3003,MATCH($D804,ENVIOS!$A$4:$A$3003,0)),""))</f>
        <v/>
      </c>
      <c r="M804" s="50" t="n"/>
      <c r="N804" s="28">
        <f>IF($M804="","",IFERROR(INDEX(CONFIG!$C$4:$C$63,MATCH($M804,CONFIG!$A$4:$A$63,0)),"Media"))</f>
        <v/>
      </c>
      <c r="O804" s="28">
        <f>IF($M804="","",IF($C804="Interna","NO",IFERROR(INDEX(CONFIG!$E$4:$E$63,MATCH($M804,CONFIG!$A$4:$A$63,0)),"NO")))</f>
        <v/>
      </c>
      <c r="P804" s="50" t="n"/>
      <c r="Q804" s="50" t="n"/>
      <c r="R804" s="28">
        <f>IF($Q804="","",IFERROR(INDEX(CONFIG!$H$4:$H$63,MATCH($Q804,CONFIG!$G$4:$G$63,0)),"Por definir"))</f>
        <v/>
      </c>
      <c r="S804" s="28">
        <f>IF($Q804="","",IFERROR(INDEX(CONFIG!$I$4:$I$63,MATCH($Q804,CONFIG!$G$4:$G$63,0)),"Por definir"))</f>
        <v/>
      </c>
      <c r="T804" s="51" t="n"/>
      <c r="U804" s="52" t="n"/>
      <c r="V804" s="50" t="n"/>
      <c r="W804" s="50" t="n"/>
      <c r="X804" s="49">
        <f>IF(OR($B804="",$M804=""),"",WORKDAY($B804,IFERROR(INDEX(CONFIG!$D$4:$D$63,MATCH($M804,CONFIG!$A$4:$A$63,0)),3)))</f>
        <v/>
      </c>
      <c r="Y804" s="47" t="n"/>
      <c r="Z804" s="24">
        <f>IF($B804="","",IF($Y804&lt;&gt;"",$Y804-$B804,TODAY()-$B804))</f>
        <v/>
      </c>
      <c r="AA804" s="28">
        <f>IF($B804="","",IF(IFERROR(INDEX(CONFIG!$L$4:$L$63,MATCH($V804,CONFIG!$K$4:$K$63,0)),"NO")="SÍ",IF(OR($Y804="",$X804=""),"Resuelta",IF($Y804&gt;$X804,"Resuelta tarde","Resuelta a tiempo")),IF($X804="","Sin clasificar",IF(TODAY()&gt;$X804,"Vencida",IF(TODAY()&gt;=$X804-1,"Por vencer","En plazo")))))</f>
        <v/>
      </c>
      <c r="AB804" s="50" t="n"/>
      <c r="AC804" s="50" t="n"/>
    </row>
    <row r="805" ht="16" customHeight="1">
      <c r="A805" s="28">
        <f>IF($B805="","","N-"&amp;TEXT(ROW()-3,"0000"))</f>
        <v/>
      </c>
      <c r="B805" s="47" t="n"/>
      <c r="C805" s="48" t="n"/>
      <c r="D805" s="48" t="n"/>
      <c r="E805" s="28">
        <f>IF($C805="","",IF($D805="",IF($C805="Interna","Sin guía (interna)","FALTA GUÍA"),IF(COUNTIFS(ENVIOS!$A$4:$A$3003,$D805)=0,"NO EXISTE",IF(COUNTIFS(ENVIOS!$A$4:$A$3003,$D805)&gt;1,"DUPLICADA","OK"))))</f>
        <v/>
      </c>
      <c r="F805" s="28">
        <f>IF($D805="","",IFERROR(INDEX(ENVIOS!$B$4:$B$3003,MATCH($D805,ENVIOS!$A$4:$A$3003,0)),"—"))</f>
        <v/>
      </c>
      <c r="G805" s="23">
        <f>IF($D805="","",IFERROR(INDEX(ENVIOS!$D$4:$D$3003,MATCH($D805,ENVIOS!$A$4:$A$3003,0)),"—"))</f>
        <v/>
      </c>
      <c r="H805" s="23">
        <f>IF($D805="","",IFERROR(INDEX(ENVIOS!$E$4:$E$3003,MATCH($D805,ENVIOS!$A$4:$A$3003,0)),"—"))</f>
        <v/>
      </c>
      <c r="I805" s="23">
        <f>IF($D805="","",IFERROR(INDEX(ENVIOS!$F$4:$F$3003,MATCH($D805,ENVIOS!$A$4:$A$3003,0)),"—"))</f>
        <v/>
      </c>
      <c r="J805" s="23">
        <f>IF($D805="","",IFERROR(INDEX(ENVIOS!$G$4:$G$3003,MATCH($D805,ENVIOS!$A$4:$A$3003,0)),"—"))</f>
        <v/>
      </c>
      <c r="K805" s="28">
        <f>IF($D805="","",IFERROR(INDEX(ENVIOS!$H$4:$H$3003,MATCH($D805,ENVIOS!$A$4:$A$3003,0)),"—"))</f>
        <v/>
      </c>
      <c r="L805" s="49">
        <f>IF($D805="","",IFERROR(INDEX(ENVIOS!$C$4:$C$3003,MATCH($D805,ENVIOS!$A$4:$A$3003,0)),""))</f>
        <v/>
      </c>
      <c r="M805" s="50" t="n"/>
      <c r="N805" s="28">
        <f>IF($M805="","",IFERROR(INDEX(CONFIG!$C$4:$C$63,MATCH($M805,CONFIG!$A$4:$A$63,0)),"Media"))</f>
        <v/>
      </c>
      <c r="O805" s="28">
        <f>IF($M805="","",IF($C805="Interna","NO",IFERROR(INDEX(CONFIG!$E$4:$E$63,MATCH($M805,CONFIG!$A$4:$A$63,0)),"NO")))</f>
        <v/>
      </c>
      <c r="P805" s="50" t="n"/>
      <c r="Q805" s="50" t="n"/>
      <c r="R805" s="28">
        <f>IF($Q805="","",IFERROR(INDEX(CONFIG!$H$4:$H$63,MATCH($Q805,CONFIG!$G$4:$G$63,0)),"Por definir"))</f>
        <v/>
      </c>
      <c r="S805" s="28">
        <f>IF($Q805="","",IFERROR(INDEX(CONFIG!$I$4:$I$63,MATCH($Q805,CONFIG!$G$4:$G$63,0)),"Por definir"))</f>
        <v/>
      </c>
      <c r="T805" s="51" t="n"/>
      <c r="U805" s="52" t="n"/>
      <c r="V805" s="50" t="n"/>
      <c r="W805" s="50" t="n"/>
      <c r="X805" s="49">
        <f>IF(OR($B805="",$M805=""),"",WORKDAY($B805,IFERROR(INDEX(CONFIG!$D$4:$D$63,MATCH($M805,CONFIG!$A$4:$A$63,0)),3)))</f>
        <v/>
      </c>
      <c r="Y805" s="47" t="n"/>
      <c r="Z805" s="24">
        <f>IF($B805="","",IF($Y805&lt;&gt;"",$Y805-$B805,TODAY()-$B805))</f>
        <v/>
      </c>
      <c r="AA805" s="28">
        <f>IF($B805="","",IF(IFERROR(INDEX(CONFIG!$L$4:$L$63,MATCH($V805,CONFIG!$K$4:$K$63,0)),"NO")="SÍ",IF(OR($Y805="",$X805=""),"Resuelta",IF($Y805&gt;$X805,"Resuelta tarde","Resuelta a tiempo")),IF($X805="","Sin clasificar",IF(TODAY()&gt;$X805,"Vencida",IF(TODAY()&gt;=$X805-1,"Por vencer","En plazo")))))</f>
        <v/>
      </c>
      <c r="AB805" s="50" t="n"/>
      <c r="AC805" s="50" t="n"/>
    </row>
    <row r="806" ht="16" customHeight="1">
      <c r="A806" s="28">
        <f>IF($B806="","","N-"&amp;TEXT(ROW()-3,"0000"))</f>
        <v/>
      </c>
      <c r="B806" s="47" t="n"/>
      <c r="C806" s="48" t="n"/>
      <c r="D806" s="48" t="n"/>
      <c r="E806" s="28">
        <f>IF($C806="","",IF($D806="",IF($C806="Interna","Sin guía (interna)","FALTA GUÍA"),IF(COUNTIFS(ENVIOS!$A$4:$A$3003,$D806)=0,"NO EXISTE",IF(COUNTIFS(ENVIOS!$A$4:$A$3003,$D806)&gt;1,"DUPLICADA","OK"))))</f>
        <v/>
      </c>
      <c r="F806" s="28">
        <f>IF($D806="","",IFERROR(INDEX(ENVIOS!$B$4:$B$3003,MATCH($D806,ENVIOS!$A$4:$A$3003,0)),"—"))</f>
        <v/>
      </c>
      <c r="G806" s="23">
        <f>IF($D806="","",IFERROR(INDEX(ENVIOS!$D$4:$D$3003,MATCH($D806,ENVIOS!$A$4:$A$3003,0)),"—"))</f>
        <v/>
      </c>
      <c r="H806" s="23">
        <f>IF($D806="","",IFERROR(INDEX(ENVIOS!$E$4:$E$3003,MATCH($D806,ENVIOS!$A$4:$A$3003,0)),"—"))</f>
        <v/>
      </c>
      <c r="I806" s="23">
        <f>IF($D806="","",IFERROR(INDEX(ENVIOS!$F$4:$F$3003,MATCH($D806,ENVIOS!$A$4:$A$3003,0)),"—"))</f>
        <v/>
      </c>
      <c r="J806" s="23">
        <f>IF($D806="","",IFERROR(INDEX(ENVIOS!$G$4:$G$3003,MATCH($D806,ENVIOS!$A$4:$A$3003,0)),"—"))</f>
        <v/>
      </c>
      <c r="K806" s="28">
        <f>IF($D806="","",IFERROR(INDEX(ENVIOS!$H$4:$H$3003,MATCH($D806,ENVIOS!$A$4:$A$3003,0)),"—"))</f>
        <v/>
      </c>
      <c r="L806" s="49">
        <f>IF($D806="","",IFERROR(INDEX(ENVIOS!$C$4:$C$3003,MATCH($D806,ENVIOS!$A$4:$A$3003,0)),""))</f>
        <v/>
      </c>
      <c r="M806" s="50" t="n"/>
      <c r="N806" s="28">
        <f>IF($M806="","",IFERROR(INDEX(CONFIG!$C$4:$C$63,MATCH($M806,CONFIG!$A$4:$A$63,0)),"Media"))</f>
        <v/>
      </c>
      <c r="O806" s="28">
        <f>IF($M806="","",IF($C806="Interna","NO",IFERROR(INDEX(CONFIG!$E$4:$E$63,MATCH($M806,CONFIG!$A$4:$A$63,0)),"NO")))</f>
        <v/>
      </c>
      <c r="P806" s="50" t="n"/>
      <c r="Q806" s="50" t="n"/>
      <c r="R806" s="28">
        <f>IF($Q806="","",IFERROR(INDEX(CONFIG!$H$4:$H$63,MATCH($Q806,CONFIG!$G$4:$G$63,0)),"Por definir"))</f>
        <v/>
      </c>
      <c r="S806" s="28">
        <f>IF($Q806="","",IFERROR(INDEX(CONFIG!$I$4:$I$63,MATCH($Q806,CONFIG!$G$4:$G$63,0)),"Por definir"))</f>
        <v/>
      </c>
      <c r="T806" s="51" t="n"/>
      <c r="U806" s="52" t="n"/>
      <c r="V806" s="50" t="n"/>
      <c r="W806" s="50" t="n"/>
      <c r="X806" s="49">
        <f>IF(OR($B806="",$M806=""),"",WORKDAY($B806,IFERROR(INDEX(CONFIG!$D$4:$D$63,MATCH($M806,CONFIG!$A$4:$A$63,0)),3)))</f>
        <v/>
      </c>
      <c r="Y806" s="47" t="n"/>
      <c r="Z806" s="24">
        <f>IF($B806="","",IF($Y806&lt;&gt;"",$Y806-$B806,TODAY()-$B806))</f>
        <v/>
      </c>
      <c r="AA806" s="28">
        <f>IF($B806="","",IF(IFERROR(INDEX(CONFIG!$L$4:$L$63,MATCH($V806,CONFIG!$K$4:$K$63,0)),"NO")="SÍ",IF(OR($Y806="",$X806=""),"Resuelta",IF($Y806&gt;$X806,"Resuelta tarde","Resuelta a tiempo")),IF($X806="","Sin clasificar",IF(TODAY()&gt;$X806,"Vencida",IF(TODAY()&gt;=$X806-1,"Por vencer","En plazo")))))</f>
        <v/>
      </c>
      <c r="AB806" s="50" t="n"/>
      <c r="AC806" s="50" t="n"/>
    </row>
    <row r="807" ht="16" customHeight="1">
      <c r="A807" s="28">
        <f>IF($B807="","","N-"&amp;TEXT(ROW()-3,"0000"))</f>
        <v/>
      </c>
      <c r="B807" s="47" t="n"/>
      <c r="C807" s="48" t="n"/>
      <c r="D807" s="48" t="n"/>
      <c r="E807" s="28">
        <f>IF($C807="","",IF($D807="",IF($C807="Interna","Sin guía (interna)","FALTA GUÍA"),IF(COUNTIFS(ENVIOS!$A$4:$A$3003,$D807)=0,"NO EXISTE",IF(COUNTIFS(ENVIOS!$A$4:$A$3003,$D807)&gt;1,"DUPLICADA","OK"))))</f>
        <v/>
      </c>
      <c r="F807" s="28">
        <f>IF($D807="","",IFERROR(INDEX(ENVIOS!$B$4:$B$3003,MATCH($D807,ENVIOS!$A$4:$A$3003,0)),"—"))</f>
        <v/>
      </c>
      <c r="G807" s="23">
        <f>IF($D807="","",IFERROR(INDEX(ENVIOS!$D$4:$D$3003,MATCH($D807,ENVIOS!$A$4:$A$3003,0)),"—"))</f>
        <v/>
      </c>
      <c r="H807" s="23">
        <f>IF($D807="","",IFERROR(INDEX(ENVIOS!$E$4:$E$3003,MATCH($D807,ENVIOS!$A$4:$A$3003,0)),"—"))</f>
        <v/>
      </c>
      <c r="I807" s="23">
        <f>IF($D807="","",IFERROR(INDEX(ENVIOS!$F$4:$F$3003,MATCH($D807,ENVIOS!$A$4:$A$3003,0)),"—"))</f>
        <v/>
      </c>
      <c r="J807" s="23">
        <f>IF($D807="","",IFERROR(INDEX(ENVIOS!$G$4:$G$3003,MATCH($D807,ENVIOS!$A$4:$A$3003,0)),"—"))</f>
        <v/>
      </c>
      <c r="K807" s="28">
        <f>IF($D807="","",IFERROR(INDEX(ENVIOS!$H$4:$H$3003,MATCH($D807,ENVIOS!$A$4:$A$3003,0)),"—"))</f>
        <v/>
      </c>
      <c r="L807" s="49">
        <f>IF($D807="","",IFERROR(INDEX(ENVIOS!$C$4:$C$3003,MATCH($D807,ENVIOS!$A$4:$A$3003,0)),""))</f>
        <v/>
      </c>
      <c r="M807" s="50" t="n"/>
      <c r="N807" s="28">
        <f>IF($M807="","",IFERROR(INDEX(CONFIG!$C$4:$C$63,MATCH($M807,CONFIG!$A$4:$A$63,0)),"Media"))</f>
        <v/>
      </c>
      <c r="O807" s="28">
        <f>IF($M807="","",IF($C807="Interna","NO",IFERROR(INDEX(CONFIG!$E$4:$E$63,MATCH($M807,CONFIG!$A$4:$A$63,0)),"NO")))</f>
        <v/>
      </c>
      <c r="P807" s="50" t="n"/>
      <c r="Q807" s="50" t="n"/>
      <c r="R807" s="28">
        <f>IF($Q807="","",IFERROR(INDEX(CONFIG!$H$4:$H$63,MATCH($Q807,CONFIG!$G$4:$G$63,0)),"Por definir"))</f>
        <v/>
      </c>
      <c r="S807" s="28">
        <f>IF($Q807="","",IFERROR(INDEX(CONFIG!$I$4:$I$63,MATCH($Q807,CONFIG!$G$4:$G$63,0)),"Por definir"))</f>
        <v/>
      </c>
      <c r="T807" s="51" t="n"/>
      <c r="U807" s="52" t="n"/>
      <c r="V807" s="50" t="n"/>
      <c r="W807" s="50" t="n"/>
      <c r="X807" s="49">
        <f>IF(OR($B807="",$M807=""),"",WORKDAY($B807,IFERROR(INDEX(CONFIG!$D$4:$D$63,MATCH($M807,CONFIG!$A$4:$A$63,0)),3)))</f>
        <v/>
      </c>
      <c r="Y807" s="47" t="n"/>
      <c r="Z807" s="24">
        <f>IF($B807="","",IF($Y807&lt;&gt;"",$Y807-$B807,TODAY()-$B807))</f>
        <v/>
      </c>
      <c r="AA807" s="28">
        <f>IF($B807="","",IF(IFERROR(INDEX(CONFIG!$L$4:$L$63,MATCH($V807,CONFIG!$K$4:$K$63,0)),"NO")="SÍ",IF(OR($Y807="",$X807=""),"Resuelta",IF($Y807&gt;$X807,"Resuelta tarde","Resuelta a tiempo")),IF($X807="","Sin clasificar",IF(TODAY()&gt;$X807,"Vencida",IF(TODAY()&gt;=$X807-1,"Por vencer","En plazo")))))</f>
        <v/>
      </c>
      <c r="AB807" s="50" t="n"/>
      <c r="AC807" s="50" t="n"/>
    </row>
    <row r="808" ht="16" customHeight="1">
      <c r="A808" s="28">
        <f>IF($B808="","","N-"&amp;TEXT(ROW()-3,"0000"))</f>
        <v/>
      </c>
      <c r="B808" s="47" t="n"/>
      <c r="C808" s="48" t="n"/>
      <c r="D808" s="48" t="n"/>
      <c r="E808" s="28">
        <f>IF($C808="","",IF($D808="",IF($C808="Interna","Sin guía (interna)","FALTA GUÍA"),IF(COUNTIFS(ENVIOS!$A$4:$A$3003,$D808)=0,"NO EXISTE",IF(COUNTIFS(ENVIOS!$A$4:$A$3003,$D808)&gt;1,"DUPLICADA","OK"))))</f>
        <v/>
      </c>
      <c r="F808" s="28">
        <f>IF($D808="","",IFERROR(INDEX(ENVIOS!$B$4:$B$3003,MATCH($D808,ENVIOS!$A$4:$A$3003,0)),"—"))</f>
        <v/>
      </c>
      <c r="G808" s="23">
        <f>IF($D808="","",IFERROR(INDEX(ENVIOS!$D$4:$D$3003,MATCH($D808,ENVIOS!$A$4:$A$3003,0)),"—"))</f>
        <v/>
      </c>
      <c r="H808" s="23">
        <f>IF($D808="","",IFERROR(INDEX(ENVIOS!$E$4:$E$3003,MATCH($D808,ENVIOS!$A$4:$A$3003,0)),"—"))</f>
        <v/>
      </c>
      <c r="I808" s="23">
        <f>IF($D808="","",IFERROR(INDEX(ENVIOS!$F$4:$F$3003,MATCH($D808,ENVIOS!$A$4:$A$3003,0)),"—"))</f>
        <v/>
      </c>
      <c r="J808" s="23">
        <f>IF($D808="","",IFERROR(INDEX(ENVIOS!$G$4:$G$3003,MATCH($D808,ENVIOS!$A$4:$A$3003,0)),"—"))</f>
        <v/>
      </c>
      <c r="K808" s="28">
        <f>IF($D808="","",IFERROR(INDEX(ENVIOS!$H$4:$H$3003,MATCH($D808,ENVIOS!$A$4:$A$3003,0)),"—"))</f>
        <v/>
      </c>
      <c r="L808" s="49">
        <f>IF($D808="","",IFERROR(INDEX(ENVIOS!$C$4:$C$3003,MATCH($D808,ENVIOS!$A$4:$A$3003,0)),""))</f>
        <v/>
      </c>
      <c r="M808" s="50" t="n"/>
      <c r="N808" s="28">
        <f>IF($M808="","",IFERROR(INDEX(CONFIG!$C$4:$C$63,MATCH($M808,CONFIG!$A$4:$A$63,0)),"Media"))</f>
        <v/>
      </c>
      <c r="O808" s="28">
        <f>IF($M808="","",IF($C808="Interna","NO",IFERROR(INDEX(CONFIG!$E$4:$E$63,MATCH($M808,CONFIG!$A$4:$A$63,0)),"NO")))</f>
        <v/>
      </c>
      <c r="P808" s="50" t="n"/>
      <c r="Q808" s="50" t="n"/>
      <c r="R808" s="28">
        <f>IF($Q808="","",IFERROR(INDEX(CONFIG!$H$4:$H$63,MATCH($Q808,CONFIG!$G$4:$G$63,0)),"Por definir"))</f>
        <v/>
      </c>
      <c r="S808" s="28">
        <f>IF($Q808="","",IFERROR(INDEX(CONFIG!$I$4:$I$63,MATCH($Q808,CONFIG!$G$4:$G$63,0)),"Por definir"))</f>
        <v/>
      </c>
      <c r="T808" s="51" t="n"/>
      <c r="U808" s="52" t="n"/>
      <c r="V808" s="50" t="n"/>
      <c r="W808" s="50" t="n"/>
      <c r="X808" s="49">
        <f>IF(OR($B808="",$M808=""),"",WORKDAY($B808,IFERROR(INDEX(CONFIG!$D$4:$D$63,MATCH($M808,CONFIG!$A$4:$A$63,0)),3)))</f>
        <v/>
      </c>
      <c r="Y808" s="47" t="n"/>
      <c r="Z808" s="24">
        <f>IF($B808="","",IF($Y808&lt;&gt;"",$Y808-$B808,TODAY()-$B808))</f>
        <v/>
      </c>
      <c r="AA808" s="28">
        <f>IF($B808="","",IF(IFERROR(INDEX(CONFIG!$L$4:$L$63,MATCH($V808,CONFIG!$K$4:$K$63,0)),"NO")="SÍ",IF(OR($Y808="",$X808=""),"Resuelta",IF($Y808&gt;$X808,"Resuelta tarde","Resuelta a tiempo")),IF($X808="","Sin clasificar",IF(TODAY()&gt;$X808,"Vencida",IF(TODAY()&gt;=$X808-1,"Por vencer","En plazo")))))</f>
        <v/>
      </c>
      <c r="AB808" s="50" t="n"/>
      <c r="AC808" s="50" t="n"/>
    </row>
    <row r="809" ht="16" customHeight="1">
      <c r="A809" s="28">
        <f>IF($B809="","","N-"&amp;TEXT(ROW()-3,"0000"))</f>
        <v/>
      </c>
      <c r="B809" s="47" t="n"/>
      <c r="C809" s="48" t="n"/>
      <c r="D809" s="48" t="n"/>
      <c r="E809" s="28">
        <f>IF($C809="","",IF($D809="",IF($C809="Interna","Sin guía (interna)","FALTA GUÍA"),IF(COUNTIFS(ENVIOS!$A$4:$A$3003,$D809)=0,"NO EXISTE",IF(COUNTIFS(ENVIOS!$A$4:$A$3003,$D809)&gt;1,"DUPLICADA","OK"))))</f>
        <v/>
      </c>
      <c r="F809" s="28">
        <f>IF($D809="","",IFERROR(INDEX(ENVIOS!$B$4:$B$3003,MATCH($D809,ENVIOS!$A$4:$A$3003,0)),"—"))</f>
        <v/>
      </c>
      <c r="G809" s="23">
        <f>IF($D809="","",IFERROR(INDEX(ENVIOS!$D$4:$D$3003,MATCH($D809,ENVIOS!$A$4:$A$3003,0)),"—"))</f>
        <v/>
      </c>
      <c r="H809" s="23">
        <f>IF($D809="","",IFERROR(INDEX(ENVIOS!$E$4:$E$3003,MATCH($D809,ENVIOS!$A$4:$A$3003,0)),"—"))</f>
        <v/>
      </c>
      <c r="I809" s="23">
        <f>IF($D809="","",IFERROR(INDEX(ENVIOS!$F$4:$F$3003,MATCH($D809,ENVIOS!$A$4:$A$3003,0)),"—"))</f>
        <v/>
      </c>
      <c r="J809" s="23">
        <f>IF($D809="","",IFERROR(INDEX(ENVIOS!$G$4:$G$3003,MATCH($D809,ENVIOS!$A$4:$A$3003,0)),"—"))</f>
        <v/>
      </c>
      <c r="K809" s="28">
        <f>IF($D809="","",IFERROR(INDEX(ENVIOS!$H$4:$H$3003,MATCH($D809,ENVIOS!$A$4:$A$3003,0)),"—"))</f>
        <v/>
      </c>
      <c r="L809" s="49">
        <f>IF($D809="","",IFERROR(INDEX(ENVIOS!$C$4:$C$3003,MATCH($D809,ENVIOS!$A$4:$A$3003,0)),""))</f>
        <v/>
      </c>
      <c r="M809" s="50" t="n"/>
      <c r="N809" s="28">
        <f>IF($M809="","",IFERROR(INDEX(CONFIG!$C$4:$C$63,MATCH($M809,CONFIG!$A$4:$A$63,0)),"Media"))</f>
        <v/>
      </c>
      <c r="O809" s="28">
        <f>IF($M809="","",IF($C809="Interna","NO",IFERROR(INDEX(CONFIG!$E$4:$E$63,MATCH($M809,CONFIG!$A$4:$A$63,0)),"NO")))</f>
        <v/>
      </c>
      <c r="P809" s="50" t="n"/>
      <c r="Q809" s="50" t="n"/>
      <c r="R809" s="28">
        <f>IF($Q809="","",IFERROR(INDEX(CONFIG!$H$4:$H$63,MATCH($Q809,CONFIG!$G$4:$G$63,0)),"Por definir"))</f>
        <v/>
      </c>
      <c r="S809" s="28">
        <f>IF($Q809="","",IFERROR(INDEX(CONFIG!$I$4:$I$63,MATCH($Q809,CONFIG!$G$4:$G$63,0)),"Por definir"))</f>
        <v/>
      </c>
      <c r="T809" s="51" t="n"/>
      <c r="U809" s="52" t="n"/>
      <c r="V809" s="50" t="n"/>
      <c r="W809" s="50" t="n"/>
      <c r="X809" s="49">
        <f>IF(OR($B809="",$M809=""),"",WORKDAY($B809,IFERROR(INDEX(CONFIG!$D$4:$D$63,MATCH($M809,CONFIG!$A$4:$A$63,0)),3)))</f>
        <v/>
      </c>
      <c r="Y809" s="47" t="n"/>
      <c r="Z809" s="24">
        <f>IF($B809="","",IF($Y809&lt;&gt;"",$Y809-$B809,TODAY()-$B809))</f>
        <v/>
      </c>
      <c r="AA809" s="28">
        <f>IF($B809="","",IF(IFERROR(INDEX(CONFIG!$L$4:$L$63,MATCH($V809,CONFIG!$K$4:$K$63,0)),"NO")="SÍ",IF(OR($Y809="",$X809=""),"Resuelta",IF($Y809&gt;$X809,"Resuelta tarde","Resuelta a tiempo")),IF($X809="","Sin clasificar",IF(TODAY()&gt;$X809,"Vencida",IF(TODAY()&gt;=$X809-1,"Por vencer","En plazo")))))</f>
        <v/>
      </c>
      <c r="AB809" s="50" t="n"/>
      <c r="AC809" s="50" t="n"/>
    </row>
    <row r="810" ht="16" customHeight="1">
      <c r="A810" s="28">
        <f>IF($B810="","","N-"&amp;TEXT(ROW()-3,"0000"))</f>
        <v/>
      </c>
      <c r="B810" s="47" t="n"/>
      <c r="C810" s="48" t="n"/>
      <c r="D810" s="48" t="n"/>
      <c r="E810" s="28">
        <f>IF($C810="","",IF($D810="",IF($C810="Interna","Sin guía (interna)","FALTA GUÍA"),IF(COUNTIFS(ENVIOS!$A$4:$A$3003,$D810)=0,"NO EXISTE",IF(COUNTIFS(ENVIOS!$A$4:$A$3003,$D810)&gt;1,"DUPLICADA","OK"))))</f>
        <v/>
      </c>
      <c r="F810" s="28">
        <f>IF($D810="","",IFERROR(INDEX(ENVIOS!$B$4:$B$3003,MATCH($D810,ENVIOS!$A$4:$A$3003,0)),"—"))</f>
        <v/>
      </c>
      <c r="G810" s="23">
        <f>IF($D810="","",IFERROR(INDEX(ENVIOS!$D$4:$D$3003,MATCH($D810,ENVIOS!$A$4:$A$3003,0)),"—"))</f>
        <v/>
      </c>
      <c r="H810" s="23">
        <f>IF($D810="","",IFERROR(INDEX(ENVIOS!$E$4:$E$3003,MATCH($D810,ENVIOS!$A$4:$A$3003,0)),"—"))</f>
        <v/>
      </c>
      <c r="I810" s="23">
        <f>IF($D810="","",IFERROR(INDEX(ENVIOS!$F$4:$F$3003,MATCH($D810,ENVIOS!$A$4:$A$3003,0)),"—"))</f>
        <v/>
      </c>
      <c r="J810" s="23">
        <f>IF($D810="","",IFERROR(INDEX(ENVIOS!$G$4:$G$3003,MATCH($D810,ENVIOS!$A$4:$A$3003,0)),"—"))</f>
        <v/>
      </c>
      <c r="K810" s="28">
        <f>IF($D810="","",IFERROR(INDEX(ENVIOS!$H$4:$H$3003,MATCH($D810,ENVIOS!$A$4:$A$3003,0)),"—"))</f>
        <v/>
      </c>
      <c r="L810" s="49">
        <f>IF($D810="","",IFERROR(INDEX(ENVIOS!$C$4:$C$3003,MATCH($D810,ENVIOS!$A$4:$A$3003,0)),""))</f>
        <v/>
      </c>
      <c r="M810" s="50" t="n"/>
      <c r="N810" s="28">
        <f>IF($M810="","",IFERROR(INDEX(CONFIG!$C$4:$C$63,MATCH($M810,CONFIG!$A$4:$A$63,0)),"Media"))</f>
        <v/>
      </c>
      <c r="O810" s="28">
        <f>IF($M810="","",IF($C810="Interna","NO",IFERROR(INDEX(CONFIG!$E$4:$E$63,MATCH($M810,CONFIG!$A$4:$A$63,0)),"NO")))</f>
        <v/>
      </c>
      <c r="P810" s="50" t="n"/>
      <c r="Q810" s="50" t="n"/>
      <c r="R810" s="28">
        <f>IF($Q810="","",IFERROR(INDEX(CONFIG!$H$4:$H$63,MATCH($Q810,CONFIG!$G$4:$G$63,0)),"Por definir"))</f>
        <v/>
      </c>
      <c r="S810" s="28">
        <f>IF($Q810="","",IFERROR(INDEX(CONFIG!$I$4:$I$63,MATCH($Q810,CONFIG!$G$4:$G$63,0)),"Por definir"))</f>
        <v/>
      </c>
      <c r="T810" s="51" t="n"/>
      <c r="U810" s="52" t="n"/>
      <c r="V810" s="50" t="n"/>
      <c r="W810" s="50" t="n"/>
      <c r="X810" s="49">
        <f>IF(OR($B810="",$M810=""),"",WORKDAY($B810,IFERROR(INDEX(CONFIG!$D$4:$D$63,MATCH($M810,CONFIG!$A$4:$A$63,0)),3)))</f>
        <v/>
      </c>
      <c r="Y810" s="47" t="n"/>
      <c r="Z810" s="24">
        <f>IF($B810="","",IF($Y810&lt;&gt;"",$Y810-$B810,TODAY()-$B810))</f>
        <v/>
      </c>
      <c r="AA810" s="28">
        <f>IF($B810="","",IF(IFERROR(INDEX(CONFIG!$L$4:$L$63,MATCH($V810,CONFIG!$K$4:$K$63,0)),"NO")="SÍ",IF(OR($Y810="",$X810=""),"Resuelta",IF($Y810&gt;$X810,"Resuelta tarde","Resuelta a tiempo")),IF($X810="","Sin clasificar",IF(TODAY()&gt;$X810,"Vencida",IF(TODAY()&gt;=$X810-1,"Por vencer","En plazo")))))</f>
        <v/>
      </c>
      <c r="AB810" s="50" t="n"/>
      <c r="AC810" s="50" t="n"/>
    </row>
    <row r="811" ht="16" customHeight="1">
      <c r="A811" s="28">
        <f>IF($B811="","","N-"&amp;TEXT(ROW()-3,"0000"))</f>
        <v/>
      </c>
      <c r="B811" s="47" t="n"/>
      <c r="C811" s="48" t="n"/>
      <c r="D811" s="48" t="n"/>
      <c r="E811" s="28">
        <f>IF($C811="","",IF($D811="",IF($C811="Interna","Sin guía (interna)","FALTA GUÍA"),IF(COUNTIFS(ENVIOS!$A$4:$A$3003,$D811)=0,"NO EXISTE",IF(COUNTIFS(ENVIOS!$A$4:$A$3003,$D811)&gt;1,"DUPLICADA","OK"))))</f>
        <v/>
      </c>
      <c r="F811" s="28">
        <f>IF($D811="","",IFERROR(INDEX(ENVIOS!$B$4:$B$3003,MATCH($D811,ENVIOS!$A$4:$A$3003,0)),"—"))</f>
        <v/>
      </c>
      <c r="G811" s="23">
        <f>IF($D811="","",IFERROR(INDEX(ENVIOS!$D$4:$D$3003,MATCH($D811,ENVIOS!$A$4:$A$3003,0)),"—"))</f>
        <v/>
      </c>
      <c r="H811" s="23">
        <f>IF($D811="","",IFERROR(INDEX(ENVIOS!$E$4:$E$3003,MATCH($D811,ENVIOS!$A$4:$A$3003,0)),"—"))</f>
        <v/>
      </c>
      <c r="I811" s="23">
        <f>IF($D811="","",IFERROR(INDEX(ENVIOS!$F$4:$F$3003,MATCH($D811,ENVIOS!$A$4:$A$3003,0)),"—"))</f>
        <v/>
      </c>
      <c r="J811" s="23">
        <f>IF($D811="","",IFERROR(INDEX(ENVIOS!$G$4:$G$3003,MATCH($D811,ENVIOS!$A$4:$A$3003,0)),"—"))</f>
        <v/>
      </c>
      <c r="K811" s="28">
        <f>IF($D811="","",IFERROR(INDEX(ENVIOS!$H$4:$H$3003,MATCH($D811,ENVIOS!$A$4:$A$3003,0)),"—"))</f>
        <v/>
      </c>
      <c r="L811" s="49">
        <f>IF($D811="","",IFERROR(INDEX(ENVIOS!$C$4:$C$3003,MATCH($D811,ENVIOS!$A$4:$A$3003,0)),""))</f>
        <v/>
      </c>
      <c r="M811" s="50" t="n"/>
      <c r="N811" s="28">
        <f>IF($M811="","",IFERROR(INDEX(CONFIG!$C$4:$C$63,MATCH($M811,CONFIG!$A$4:$A$63,0)),"Media"))</f>
        <v/>
      </c>
      <c r="O811" s="28">
        <f>IF($M811="","",IF($C811="Interna","NO",IFERROR(INDEX(CONFIG!$E$4:$E$63,MATCH($M811,CONFIG!$A$4:$A$63,0)),"NO")))</f>
        <v/>
      </c>
      <c r="P811" s="50" t="n"/>
      <c r="Q811" s="50" t="n"/>
      <c r="R811" s="28">
        <f>IF($Q811="","",IFERROR(INDEX(CONFIG!$H$4:$H$63,MATCH($Q811,CONFIG!$G$4:$G$63,0)),"Por definir"))</f>
        <v/>
      </c>
      <c r="S811" s="28">
        <f>IF($Q811="","",IFERROR(INDEX(CONFIG!$I$4:$I$63,MATCH($Q811,CONFIG!$G$4:$G$63,0)),"Por definir"))</f>
        <v/>
      </c>
      <c r="T811" s="51" t="n"/>
      <c r="U811" s="52" t="n"/>
      <c r="V811" s="50" t="n"/>
      <c r="W811" s="50" t="n"/>
      <c r="X811" s="49">
        <f>IF(OR($B811="",$M811=""),"",WORKDAY($B811,IFERROR(INDEX(CONFIG!$D$4:$D$63,MATCH($M811,CONFIG!$A$4:$A$63,0)),3)))</f>
        <v/>
      </c>
      <c r="Y811" s="47" t="n"/>
      <c r="Z811" s="24">
        <f>IF($B811="","",IF($Y811&lt;&gt;"",$Y811-$B811,TODAY()-$B811))</f>
        <v/>
      </c>
      <c r="AA811" s="28">
        <f>IF($B811="","",IF(IFERROR(INDEX(CONFIG!$L$4:$L$63,MATCH($V811,CONFIG!$K$4:$K$63,0)),"NO")="SÍ",IF(OR($Y811="",$X811=""),"Resuelta",IF($Y811&gt;$X811,"Resuelta tarde","Resuelta a tiempo")),IF($X811="","Sin clasificar",IF(TODAY()&gt;$X811,"Vencida",IF(TODAY()&gt;=$X811-1,"Por vencer","En plazo")))))</f>
        <v/>
      </c>
      <c r="AB811" s="50" t="n"/>
      <c r="AC811" s="50" t="n"/>
    </row>
    <row r="812" ht="16" customHeight="1">
      <c r="A812" s="28">
        <f>IF($B812="","","N-"&amp;TEXT(ROW()-3,"0000"))</f>
        <v/>
      </c>
      <c r="B812" s="47" t="n"/>
      <c r="C812" s="48" t="n"/>
      <c r="D812" s="48" t="n"/>
      <c r="E812" s="28">
        <f>IF($C812="","",IF($D812="",IF($C812="Interna","Sin guía (interna)","FALTA GUÍA"),IF(COUNTIFS(ENVIOS!$A$4:$A$3003,$D812)=0,"NO EXISTE",IF(COUNTIFS(ENVIOS!$A$4:$A$3003,$D812)&gt;1,"DUPLICADA","OK"))))</f>
        <v/>
      </c>
      <c r="F812" s="28">
        <f>IF($D812="","",IFERROR(INDEX(ENVIOS!$B$4:$B$3003,MATCH($D812,ENVIOS!$A$4:$A$3003,0)),"—"))</f>
        <v/>
      </c>
      <c r="G812" s="23">
        <f>IF($D812="","",IFERROR(INDEX(ENVIOS!$D$4:$D$3003,MATCH($D812,ENVIOS!$A$4:$A$3003,0)),"—"))</f>
        <v/>
      </c>
      <c r="H812" s="23">
        <f>IF($D812="","",IFERROR(INDEX(ENVIOS!$E$4:$E$3003,MATCH($D812,ENVIOS!$A$4:$A$3003,0)),"—"))</f>
        <v/>
      </c>
      <c r="I812" s="23">
        <f>IF($D812="","",IFERROR(INDEX(ENVIOS!$F$4:$F$3003,MATCH($D812,ENVIOS!$A$4:$A$3003,0)),"—"))</f>
        <v/>
      </c>
      <c r="J812" s="23">
        <f>IF($D812="","",IFERROR(INDEX(ENVIOS!$G$4:$G$3003,MATCH($D812,ENVIOS!$A$4:$A$3003,0)),"—"))</f>
        <v/>
      </c>
      <c r="K812" s="28">
        <f>IF($D812="","",IFERROR(INDEX(ENVIOS!$H$4:$H$3003,MATCH($D812,ENVIOS!$A$4:$A$3003,0)),"—"))</f>
        <v/>
      </c>
      <c r="L812" s="49">
        <f>IF($D812="","",IFERROR(INDEX(ENVIOS!$C$4:$C$3003,MATCH($D812,ENVIOS!$A$4:$A$3003,0)),""))</f>
        <v/>
      </c>
      <c r="M812" s="50" t="n"/>
      <c r="N812" s="28">
        <f>IF($M812="","",IFERROR(INDEX(CONFIG!$C$4:$C$63,MATCH($M812,CONFIG!$A$4:$A$63,0)),"Media"))</f>
        <v/>
      </c>
      <c r="O812" s="28">
        <f>IF($M812="","",IF($C812="Interna","NO",IFERROR(INDEX(CONFIG!$E$4:$E$63,MATCH($M812,CONFIG!$A$4:$A$63,0)),"NO")))</f>
        <v/>
      </c>
      <c r="P812" s="50" t="n"/>
      <c r="Q812" s="50" t="n"/>
      <c r="R812" s="28">
        <f>IF($Q812="","",IFERROR(INDEX(CONFIG!$H$4:$H$63,MATCH($Q812,CONFIG!$G$4:$G$63,0)),"Por definir"))</f>
        <v/>
      </c>
      <c r="S812" s="28">
        <f>IF($Q812="","",IFERROR(INDEX(CONFIG!$I$4:$I$63,MATCH($Q812,CONFIG!$G$4:$G$63,0)),"Por definir"))</f>
        <v/>
      </c>
      <c r="T812" s="51" t="n"/>
      <c r="U812" s="52" t="n"/>
      <c r="V812" s="50" t="n"/>
      <c r="W812" s="50" t="n"/>
      <c r="X812" s="49">
        <f>IF(OR($B812="",$M812=""),"",WORKDAY($B812,IFERROR(INDEX(CONFIG!$D$4:$D$63,MATCH($M812,CONFIG!$A$4:$A$63,0)),3)))</f>
        <v/>
      </c>
      <c r="Y812" s="47" t="n"/>
      <c r="Z812" s="24">
        <f>IF($B812="","",IF($Y812&lt;&gt;"",$Y812-$B812,TODAY()-$B812))</f>
        <v/>
      </c>
      <c r="AA812" s="28">
        <f>IF($B812="","",IF(IFERROR(INDEX(CONFIG!$L$4:$L$63,MATCH($V812,CONFIG!$K$4:$K$63,0)),"NO")="SÍ",IF(OR($Y812="",$X812=""),"Resuelta",IF($Y812&gt;$X812,"Resuelta tarde","Resuelta a tiempo")),IF($X812="","Sin clasificar",IF(TODAY()&gt;$X812,"Vencida",IF(TODAY()&gt;=$X812-1,"Por vencer","En plazo")))))</f>
        <v/>
      </c>
      <c r="AB812" s="50" t="n"/>
      <c r="AC812" s="50" t="n"/>
    </row>
    <row r="813" ht="16" customHeight="1">
      <c r="A813" s="28">
        <f>IF($B813="","","N-"&amp;TEXT(ROW()-3,"0000"))</f>
        <v/>
      </c>
      <c r="B813" s="47" t="n"/>
      <c r="C813" s="48" t="n"/>
      <c r="D813" s="48" t="n"/>
      <c r="E813" s="28">
        <f>IF($C813="","",IF($D813="",IF($C813="Interna","Sin guía (interna)","FALTA GUÍA"),IF(COUNTIFS(ENVIOS!$A$4:$A$3003,$D813)=0,"NO EXISTE",IF(COUNTIFS(ENVIOS!$A$4:$A$3003,$D813)&gt;1,"DUPLICADA","OK"))))</f>
        <v/>
      </c>
      <c r="F813" s="28">
        <f>IF($D813="","",IFERROR(INDEX(ENVIOS!$B$4:$B$3003,MATCH($D813,ENVIOS!$A$4:$A$3003,0)),"—"))</f>
        <v/>
      </c>
      <c r="G813" s="23">
        <f>IF($D813="","",IFERROR(INDEX(ENVIOS!$D$4:$D$3003,MATCH($D813,ENVIOS!$A$4:$A$3003,0)),"—"))</f>
        <v/>
      </c>
      <c r="H813" s="23">
        <f>IF($D813="","",IFERROR(INDEX(ENVIOS!$E$4:$E$3003,MATCH($D813,ENVIOS!$A$4:$A$3003,0)),"—"))</f>
        <v/>
      </c>
      <c r="I813" s="23">
        <f>IF($D813="","",IFERROR(INDEX(ENVIOS!$F$4:$F$3003,MATCH($D813,ENVIOS!$A$4:$A$3003,0)),"—"))</f>
        <v/>
      </c>
      <c r="J813" s="23">
        <f>IF($D813="","",IFERROR(INDEX(ENVIOS!$G$4:$G$3003,MATCH($D813,ENVIOS!$A$4:$A$3003,0)),"—"))</f>
        <v/>
      </c>
      <c r="K813" s="28">
        <f>IF($D813="","",IFERROR(INDEX(ENVIOS!$H$4:$H$3003,MATCH($D813,ENVIOS!$A$4:$A$3003,0)),"—"))</f>
        <v/>
      </c>
      <c r="L813" s="49">
        <f>IF($D813="","",IFERROR(INDEX(ENVIOS!$C$4:$C$3003,MATCH($D813,ENVIOS!$A$4:$A$3003,0)),""))</f>
        <v/>
      </c>
      <c r="M813" s="50" t="n"/>
      <c r="N813" s="28">
        <f>IF($M813="","",IFERROR(INDEX(CONFIG!$C$4:$C$63,MATCH($M813,CONFIG!$A$4:$A$63,0)),"Media"))</f>
        <v/>
      </c>
      <c r="O813" s="28">
        <f>IF($M813="","",IF($C813="Interna","NO",IFERROR(INDEX(CONFIG!$E$4:$E$63,MATCH($M813,CONFIG!$A$4:$A$63,0)),"NO")))</f>
        <v/>
      </c>
      <c r="P813" s="50" t="n"/>
      <c r="Q813" s="50" t="n"/>
      <c r="R813" s="28">
        <f>IF($Q813="","",IFERROR(INDEX(CONFIG!$H$4:$H$63,MATCH($Q813,CONFIG!$G$4:$G$63,0)),"Por definir"))</f>
        <v/>
      </c>
      <c r="S813" s="28">
        <f>IF($Q813="","",IFERROR(INDEX(CONFIG!$I$4:$I$63,MATCH($Q813,CONFIG!$G$4:$G$63,0)),"Por definir"))</f>
        <v/>
      </c>
      <c r="T813" s="51" t="n"/>
      <c r="U813" s="52" t="n"/>
      <c r="V813" s="50" t="n"/>
      <c r="W813" s="50" t="n"/>
      <c r="X813" s="49">
        <f>IF(OR($B813="",$M813=""),"",WORKDAY($B813,IFERROR(INDEX(CONFIG!$D$4:$D$63,MATCH($M813,CONFIG!$A$4:$A$63,0)),3)))</f>
        <v/>
      </c>
      <c r="Y813" s="47" t="n"/>
      <c r="Z813" s="24">
        <f>IF($B813="","",IF($Y813&lt;&gt;"",$Y813-$B813,TODAY()-$B813))</f>
        <v/>
      </c>
      <c r="AA813" s="28">
        <f>IF($B813="","",IF(IFERROR(INDEX(CONFIG!$L$4:$L$63,MATCH($V813,CONFIG!$K$4:$K$63,0)),"NO")="SÍ",IF(OR($Y813="",$X813=""),"Resuelta",IF($Y813&gt;$X813,"Resuelta tarde","Resuelta a tiempo")),IF($X813="","Sin clasificar",IF(TODAY()&gt;$X813,"Vencida",IF(TODAY()&gt;=$X813-1,"Por vencer","En plazo")))))</f>
        <v/>
      </c>
      <c r="AB813" s="50" t="n"/>
      <c r="AC813" s="50" t="n"/>
    </row>
    <row r="814" ht="16" customHeight="1">
      <c r="A814" s="28">
        <f>IF($B814="","","N-"&amp;TEXT(ROW()-3,"0000"))</f>
        <v/>
      </c>
      <c r="B814" s="47" t="n"/>
      <c r="C814" s="48" t="n"/>
      <c r="D814" s="48" t="n"/>
      <c r="E814" s="28">
        <f>IF($C814="","",IF($D814="",IF($C814="Interna","Sin guía (interna)","FALTA GUÍA"),IF(COUNTIFS(ENVIOS!$A$4:$A$3003,$D814)=0,"NO EXISTE",IF(COUNTIFS(ENVIOS!$A$4:$A$3003,$D814)&gt;1,"DUPLICADA","OK"))))</f>
        <v/>
      </c>
      <c r="F814" s="28">
        <f>IF($D814="","",IFERROR(INDEX(ENVIOS!$B$4:$B$3003,MATCH($D814,ENVIOS!$A$4:$A$3003,0)),"—"))</f>
        <v/>
      </c>
      <c r="G814" s="23">
        <f>IF($D814="","",IFERROR(INDEX(ENVIOS!$D$4:$D$3003,MATCH($D814,ENVIOS!$A$4:$A$3003,0)),"—"))</f>
        <v/>
      </c>
      <c r="H814" s="23">
        <f>IF($D814="","",IFERROR(INDEX(ENVIOS!$E$4:$E$3003,MATCH($D814,ENVIOS!$A$4:$A$3003,0)),"—"))</f>
        <v/>
      </c>
      <c r="I814" s="23">
        <f>IF($D814="","",IFERROR(INDEX(ENVIOS!$F$4:$F$3003,MATCH($D814,ENVIOS!$A$4:$A$3003,0)),"—"))</f>
        <v/>
      </c>
      <c r="J814" s="23">
        <f>IF($D814="","",IFERROR(INDEX(ENVIOS!$G$4:$G$3003,MATCH($D814,ENVIOS!$A$4:$A$3003,0)),"—"))</f>
        <v/>
      </c>
      <c r="K814" s="28">
        <f>IF($D814="","",IFERROR(INDEX(ENVIOS!$H$4:$H$3003,MATCH($D814,ENVIOS!$A$4:$A$3003,0)),"—"))</f>
        <v/>
      </c>
      <c r="L814" s="49">
        <f>IF($D814="","",IFERROR(INDEX(ENVIOS!$C$4:$C$3003,MATCH($D814,ENVIOS!$A$4:$A$3003,0)),""))</f>
        <v/>
      </c>
      <c r="M814" s="50" t="n"/>
      <c r="N814" s="28">
        <f>IF($M814="","",IFERROR(INDEX(CONFIG!$C$4:$C$63,MATCH($M814,CONFIG!$A$4:$A$63,0)),"Media"))</f>
        <v/>
      </c>
      <c r="O814" s="28">
        <f>IF($M814="","",IF($C814="Interna","NO",IFERROR(INDEX(CONFIG!$E$4:$E$63,MATCH($M814,CONFIG!$A$4:$A$63,0)),"NO")))</f>
        <v/>
      </c>
      <c r="P814" s="50" t="n"/>
      <c r="Q814" s="50" t="n"/>
      <c r="R814" s="28">
        <f>IF($Q814="","",IFERROR(INDEX(CONFIG!$H$4:$H$63,MATCH($Q814,CONFIG!$G$4:$G$63,0)),"Por definir"))</f>
        <v/>
      </c>
      <c r="S814" s="28">
        <f>IF($Q814="","",IFERROR(INDEX(CONFIG!$I$4:$I$63,MATCH($Q814,CONFIG!$G$4:$G$63,0)),"Por definir"))</f>
        <v/>
      </c>
      <c r="T814" s="51" t="n"/>
      <c r="U814" s="52" t="n"/>
      <c r="V814" s="50" t="n"/>
      <c r="W814" s="50" t="n"/>
      <c r="X814" s="49">
        <f>IF(OR($B814="",$M814=""),"",WORKDAY($B814,IFERROR(INDEX(CONFIG!$D$4:$D$63,MATCH($M814,CONFIG!$A$4:$A$63,0)),3)))</f>
        <v/>
      </c>
      <c r="Y814" s="47" t="n"/>
      <c r="Z814" s="24">
        <f>IF($B814="","",IF($Y814&lt;&gt;"",$Y814-$B814,TODAY()-$B814))</f>
        <v/>
      </c>
      <c r="AA814" s="28">
        <f>IF($B814="","",IF(IFERROR(INDEX(CONFIG!$L$4:$L$63,MATCH($V814,CONFIG!$K$4:$K$63,0)),"NO")="SÍ",IF(OR($Y814="",$X814=""),"Resuelta",IF($Y814&gt;$X814,"Resuelta tarde","Resuelta a tiempo")),IF($X814="","Sin clasificar",IF(TODAY()&gt;$X814,"Vencida",IF(TODAY()&gt;=$X814-1,"Por vencer","En plazo")))))</f>
        <v/>
      </c>
      <c r="AB814" s="50" t="n"/>
      <c r="AC814" s="50" t="n"/>
    </row>
    <row r="815" ht="16" customHeight="1">
      <c r="A815" s="28">
        <f>IF($B815="","","N-"&amp;TEXT(ROW()-3,"0000"))</f>
        <v/>
      </c>
      <c r="B815" s="47" t="n"/>
      <c r="C815" s="48" t="n"/>
      <c r="D815" s="48" t="n"/>
      <c r="E815" s="28">
        <f>IF($C815="","",IF($D815="",IF($C815="Interna","Sin guía (interna)","FALTA GUÍA"),IF(COUNTIFS(ENVIOS!$A$4:$A$3003,$D815)=0,"NO EXISTE",IF(COUNTIFS(ENVIOS!$A$4:$A$3003,$D815)&gt;1,"DUPLICADA","OK"))))</f>
        <v/>
      </c>
      <c r="F815" s="28">
        <f>IF($D815="","",IFERROR(INDEX(ENVIOS!$B$4:$B$3003,MATCH($D815,ENVIOS!$A$4:$A$3003,0)),"—"))</f>
        <v/>
      </c>
      <c r="G815" s="23">
        <f>IF($D815="","",IFERROR(INDEX(ENVIOS!$D$4:$D$3003,MATCH($D815,ENVIOS!$A$4:$A$3003,0)),"—"))</f>
        <v/>
      </c>
      <c r="H815" s="23">
        <f>IF($D815="","",IFERROR(INDEX(ENVIOS!$E$4:$E$3003,MATCH($D815,ENVIOS!$A$4:$A$3003,0)),"—"))</f>
        <v/>
      </c>
      <c r="I815" s="23">
        <f>IF($D815="","",IFERROR(INDEX(ENVIOS!$F$4:$F$3003,MATCH($D815,ENVIOS!$A$4:$A$3003,0)),"—"))</f>
        <v/>
      </c>
      <c r="J815" s="23">
        <f>IF($D815="","",IFERROR(INDEX(ENVIOS!$G$4:$G$3003,MATCH($D815,ENVIOS!$A$4:$A$3003,0)),"—"))</f>
        <v/>
      </c>
      <c r="K815" s="28">
        <f>IF($D815="","",IFERROR(INDEX(ENVIOS!$H$4:$H$3003,MATCH($D815,ENVIOS!$A$4:$A$3003,0)),"—"))</f>
        <v/>
      </c>
      <c r="L815" s="49">
        <f>IF($D815="","",IFERROR(INDEX(ENVIOS!$C$4:$C$3003,MATCH($D815,ENVIOS!$A$4:$A$3003,0)),""))</f>
        <v/>
      </c>
      <c r="M815" s="50" t="n"/>
      <c r="N815" s="28">
        <f>IF($M815="","",IFERROR(INDEX(CONFIG!$C$4:$C$63,MATCH($M815,CONFIG!$A$4:$A$63,0)),"Media"))</f>
        <v/>
      </c>
      <c r="O815" s="28">
        <f>IF($M815="","",IF($C815="Interna","NO",IFERROR(INDEX(CONFIG!$E$4:$E$63,MATCH($M815,CONFIG!$A$4:$A$63,0)),"NO")))</f>
        <v/>
      </c>
      <c r="P815" s="50" t="n"/>
      <c r="Q815" s="50" t="n"/>
      <c r="R815" s="28">
        <f>IF($Q815="","",IFERROR(INDEX(CONFIG!$H$4:$H$63,MATCH($Q815,CONFIG!$G$4:$G$63,0)),"Por definir"))</f>
        <v/>
      </c>
      <c r="S815" s="28">
        <f>IF($Q815="","",IFERROR(INDEX(CONFIG!$I$4:$I$63,MATCH($Q815,CONFIG!$G$4:$G$63,0)),"Por definir"))</f>
        <v/>
      </c>
      <c r="T815" s="51" t="n"/>
      <c r="U815" s="52" t="n"/>
      <c r="V815" s="50" t="n"/>
      <c r="W815" s="50" t="n"/>
      <c r="X815" s="49">
        <f>IF(OR($B815="",$M815=""),"",WORKDAY($B815,IFERROR(INDEX(CONFIG!$D$4:$D$63,MATCH($M815,CONFIG!$A$4:$A$63,0)),3)))</f>
        <v/>
      </c>
      <c r="Y815" s="47" t="n"/>
      <c r="Z815" s="24">
        <f>IF($B815="","",IF($Y815&lt;&gt;"",$Y815-$B815,TODAY()-$B815))</f>
        <v/>
      </c>
      <c r="AA815" s="28">
        <f>IF($B815="","",IF(IFERROR(INDEX(CONFIG!$L$4:$L$63,MATCH($V815,CONFIG!$K$4:$K$63,0)),"NO")="SÍ",IF(OR($Y815="",$X815=""),"Resuelta",IF($Y815&gt;$X815,"Resuelta tarde","Resuelta a tiempo")),IF($X815="","Sin clasificar",IF(TODAY()&gt;$X815,"Vencida",IF(TODAY()&gt;=$X815-1,"Por vencer","En plazo")))))</f>
        <v/>
      </c>
      <c r="AB815" s="50" t="n"/>
      <c r="AC815" s="50" t="n"/>
    </row>
    <row r="816" ht="16" customHeight="1">
      <c r="A816" s="28">
        <f>IF($B816="","","N-"&amp;TEXT(ROW()-3,"0000"))</f>
        <v/>
      </c>
      <c r="B816" s="47" t="n"/>
      <c r="C816" s="48" t="n"/>
      <c r="D816" s="48" t="n"/>
      <c r="E816" s="28">
        <f>IF($C816="","",IF($D816="",IF($C816="Interna","Sin guía (interna)","FALTA GUÍA"),IF(COUNTIFS(ENVIOS!$A$4:$A$3003,$D816)=0,"NO EXISTE",IF(COUNTIFS(ENVIOS!$A$4:$A$3003,$D816)&gt;1,"DUPLICADA","OK"))))</f>
        <v/>
      </c>
      <c r="F816" s="28">
        <f>IF($D816="","",IFERROR(INDEX(ENVIOS!$B$4:$B$3003,MATCH($D816,ENVIOS!$A$4:$A$3003,0)),"—"))</f>
        <v/>
      </c>
      <c r="G816" s="23">
        <f>IF($D816="","",IFERROR(INDEX(ENVIOS!$D$4:$D$3003,MATCH($D816,ENVIOS!$A$4:$A$3003,0)),"—"))</f>
        <v/>
      </c>
      <c r="H816" s="23">
        <f>IF($D816="","",IFERROR(INDEX(ENVIOS!$E$4:$E$3003,MATCH($D816,ENVIOS!$A$4:$A$3003,0)),"—"))</f>
        <v/>
      </c>
      <c r="I816" s="23">
        <f>IF($D816="","",IFERROR(INDEX(ENVIOS!$F$4:$F$3003,MATCH($D816,ENVIOS!$A$4:$A$3003,0)),"—"))</f>
        <v/>
      </c>
      <c r="J816" s="23">
        <f>IF($D816="","",IFERROR(INDEX(ENVIOS!$G$4:$G$3003,MATCH($D816,ENVIOS!$A$4:$A$3003,0)),"—"))</f>
        <v/>
      </c>
      <c r="K816" s="28">
        <f>IF($D816="","",IFERROR(INDEX(ENVIOS!$H$4:$H$3003,MATCH($D816,ENVIOS!$A$4:$A$3003,0)),"—"))</f>
        <v/>
      </c>
      <c r="L816" s="49">
        <f>IF($D816="","",IFERROR(INDEX(ENVIOS!$C$4:$C$3003,MATCH($D816,ENVIOS!$A$4:$A$3003,0)),""))</f>
        <v/>
      </c>
      <c r="M816" s="50" t="n"/>
      <c r="N816" s="28">
        <f>IF($M816="","",IFERROR(INDEX(CONFIG!$C$4:$C$63,MATCH($M816,CONFIG!$A$4:$A$63,0)),"Media"))</f>
        <v/>
      </c>
      <c r="O816" s="28">
        <f>IF($M816="","",IF($C816="Interna","NO",IFERROR(INDEX(CONFIG!$E$4:$E$63,MATCH($M816,CONFIG!$A$4:$A$63,0)),"NO")))</f>
        <v/>
      </c>
      <c r="P816" s="50" t="n"/>
      <c r="Q816" s="50" t="n"/>
      <c r="R816" s="28">
        <f>IF($Q816="","",IFERROR(INDEX(CONFIG!$H$4:$H$63,MATCH($Q816,CONFIG!$G$4:$G$63,0)),"Por definir"))</f>
        <v/>
      </c>
      <c r="S816" s="28">
        <f>IF($Q816="","",IFERROR(INDEX(CONFIG!$I$4:$I$63,MATCH($Q816,CONFIG!$G$4:$G$63,0)),"Por definir"))</f>
        <v/>
      </c>
      <c r="T816" s="51" t="n"/>
      <c r="U816" s="52" t="n"/>
      <c r="V816" s="50" t="n"/>
      <c r="W816" s="50" t="n"/>
      <c r="X816" s="49">
        <f>IF(OR($B816="",$M816=""),"",WORKDAY($B816,IFERROR(INDEX(CONFIG!$D$4:$D$63,MATCH($M816,CONFIG!$A$4:$A$63,0)),3)))</f>
        <v/>
      </c>
      <c r="Y816" s="47" t="n"/>
      <c r="Z816" s="24">
        <f>IF($B816="","",IF($Y816&lt;&gt;"",$Y816-$B816,TODAY()-$B816))</f>
        <v/>
      </c>
      <c r="AA816" s="28">
        <f>IF($B816="","",IF(IFERROR(INDEX(CONFIG!$L$4:$L$63,MATCH($V816,CONFIG!$K$4:$K$63,0)),"NO")="SÍ",IF(OR($Y816="",$X816=""),"Resuelta",IF($Y816&gt;$X816,"Resuelta tarde","Resuelta a tiempo")),IF($X816="","Sin clasificar",IF(TODAY()&gt;$X816,"Vencida",IF(TODAY()&gt;=$X816-1,"Por vencer","En plazo")))))</f>
        <v/>
      </c>
      <c r="AB816" s="50" t="n"/>
      <c r="AC816" s="50" t="n"/>
    </row>
    <row r="817" ht="16" customHeight="1">
      <c r="A817" s="28">
        <f>IF($B817="","","N-"&amp;TEXT(ROW()-3,"0000"))</f>
        <v/>
      </c>
      <c r="B817" s="47" t="n"/>
      <c r="C817" s="48" t="n"/>
      <c r="D817" s="48" t="n"/>
      <c r="E817" s="28">
        <f>IF($C817="","",IF($D817="",IF($C817="Interna","Sin guía (interna)","FALTA GUÍA"),IF(COUNTIFS(ENVIOS!$A$4:$A$3003,$D817)=0,"NO EXISTE",IF(COUNTIFS(ENVIOS!$A$4:$A$3003,$D817)&gt;1,"DUPLICADA","OK"))))</f>
        <v/>
      </c>
      <c r="F817" s="28">
        <f>IF($D817="","",IFERROR(INDEX(ENVIOS!$B$4:$B$3003,MATCH($D817,ENVIOS!$A$4:$A$3003,0)),"—"))</f>
        <v/>
      </c>
      <c r="G817" s="23">
        <f>IF($D817="","",IFERROR(INDEX(ENVIOS!$D$4:$D$3003,MATCH($D817,ENVIOS!$A$4:$A$3003,0)),"—"))</f>
        <v/>
      </c>
      <c r="H817" s="23">
        <f>IF($D817="","",IFERROR(INDEX(ENVIOS!$E$4:$E$3003,MATCH($D817,ENVIOS!$A$4:$A$3003,0)),"—"))</f>
        <v/>
      </c>
      <c r="I817" s="23">
        <f>IF($D817="","",IFERROR(INDEX(ENVIOS!$F$4:$F$3003,MATCH($D817,ENVIOS!$A$4:$A$3003,0)),"—"))</f>
        <v/>
      </c>
      <c r="J817" s="23">
        <f>IF($D817="","",IFERROR(INDEX(ENVIOS!$G$4:$G$3003,MATCH($D817,ENVIOS!$A$4:$A$3003,0)),"—"))</f>
        <v/>
      </c>
      <c r="K817" s="28">
        <f>IF($D817="","",IFERROR(INDEX(ENVIOS!$H$4:$H$3003,MATCH($D817,ENVIOS!$A$4:$A$3003,0)),"—"))</f>
        <v/>
      </c>
      <c r="L817" s="49">
        <f>IF($D817="","",IFERROR(INDEX(ENVIOS!$C$4:$C$3003,MATCH($D817,ENVIOS!$A$4:$A$3003,0)),""))</f>
        <v/>
      </c>
      <c r="M817" s="50" t="n"/>
      <c r="N817" s="28">
        <f>IF($M817="","",IFERROR(INDEX(CONFIG!$C$4:$C$63,MATCH($M817,CONFIG!$A$4:$A$63,0)),"Media"))</f>
        <v/>
      </c>
      <c r="O817" s="28">
        <f>IF($M817="","",IF($C817="Interna","NO",IFERROR(INDEX(CONFIG!$E$4:$E$63,MATCH($M817,CONFIG!$A$4:$A$63,0)),"NO")))</f>
        <v/>
      </c>
      <c r="P817" s="50" t="n"/>
      <c r="Q817" s="50" t="n"/>
      <c r="R817" s="28">
        <f>IF($Q817="","",IFERROR(INDEX(CONFIG!$H$4:$H$63,MATCH($Q817,CONFIG!$G$4:$G$63,0)),"Por definir"))</f>
        <v/>
      </c>
      <c r="S817" s="28">
        <f>IF($Q817="","",IFERROR(INDEX(CONFIG!$I$4:$I$63,MATCH($Q817,CONFIG!$G$4:$G$63,0)),"Por definir"))</f>
        <v/>
      </c>
      <c r="T817" s="51" t="n"/>
      <c r="U817" s="52" t="n"/>
      <c r="V817" s="50" t="n"/>
      <c r="W817" s="50" t="n"/>
      <c r="X817" s="49">
        <f>IF(OR($B817="",$M817=""),"",WORKDAY($B817,IFERROR(INDEX(CONFIG!$D$4:$D$63,MATCH($M817,CONFIG!$A$4:$A$63,0)),3)))</f>
        <v/>
      </c>
      <c r="Y817" s="47" t="n"/>
      <c r="Z817" s="24">
        <f>IF($B817="","",IF($Y817&lt;&gt;"",$Y817-$B817,TODAY()-$B817))</f>
        <v/>
      </c>
      <c r="AA817" s="28">
        <f>IF($B817="","",IF(IFERROR(INDEX(CONFIG!$L$4:$L$63,MATCH($V817,CONFIG!$K$4:$K$63,0)),"NO")="SÍ",IF(OR($Y817="",$X817=""),"Resuelta",IF($Y817&gt;$X817,"Resuelta tarde","Resuelta a tiempo")),IF($X817="","Sin clasificar",IF(TODAY()&gt;$X817,"Vencida",IF(TODAY()&gt;=$X817-1,"Por vencer","En plazo")))))</f>
        <v/>
      </c>
      <c r="AB817" s="50" t="n"/>
      <c r="AC817" s="50" t="n"/>
    </row>
    <row r="818" ht="16" customHeight="1">
      <c r="A818" s="28">
        <f>IF($B818="","","N-"&amp;TEXT(ROW()-3,"0000"))</f>
        <v/>
      </c>
      <c r="B818" s="47" t="n"/>
      <c r="C818" s="48" t="n"/>
      <c r="D818" s="48" t="n"/>
      <c r="E818" s="28">
        <f>IF($C818="","",IF($D818="",IF($C818="Interna","Sin guía (interna)","FALTA GUÍA"),IF(COUNTIFS(ENVIOS!$A$4:$A$3003,$D818)=0,"NO EXISTE",IF(COUNTIFS(ENVIOS!$A$4:$A$3003,$D818)&gt;1,"DUPLICADA","OK"))))</f>
        <v/>
      </c>
      <c r="F818" s="28">
        <f>IF($D818="","",IFERROR(INDEX(ENVIOS!$B$4:$B$3003,MATCH($D818,ENVIOS!$A$4:$A$3003,0)),"—"))</f>
        <v/>
      </c>
      <c r="G818" s="23">
        <f>IF($D818="","",IFERROR(INDEX(ENVIOS!$D$4:$D$3003,MATCH($D818,ENVIOS!$A$4:$A$3003,0)),"—"))</f>
        <v/>
      </c>
      <c r="H818" s="23">
        <f>IF($D818="","",IFERROR(INDEX(ENVIOS!$E$4:$E$3003,MATCH($D818,ENVIOS!$A$4:$A$3003,0)),"—"))</f>
        <v/>
      </c>
      <c r="I818" s="23">
        <f>IF($D818="","",IFERROR(INDEX(ENVIOS!$F$4:$F$3003,MATCH($D818,ENVIOS!$A$4:$A$3003,0)),"—"))</f>
        <v/>
      </c>
      <c r="J818" s="23">
        <f>IF($D818="","",IFERROR(INDEX(ENVIOS!$G$4:$G$3003,MATCH($D818,ENVIOS!$A$4:$A$3003,0)),"—"))</f>
        <v/>
      </c>
      <c r="K818" s="28">
        <f>IF($D818="","",IFERROR(INDEX(ENVIOS!$H$4:$H$3003,MATCH($D818,ENVIOS!$A$4:$A$3003,0)),"—"))</f>
        <v/>
      </c>
      <c r="L818" s="49">
        <f>IF($D818="","",IFERROR(INDEX(ENVIOS!$C$4:$C$3003,MATCH($D818,ENVIOS!$A$4:$A$3003,0)),""))</f>
        <v/>
      </c>
      <c r="M818" s="50" t="n"/>
      <c r="N818" s="28">
        <f>IF($M818="","",IFERROR(INDEX(CONFIG!$C$4:$C$63,MATCH($M818,CONFIG!$A$4:$A$63,0)),"Media"))</f>
        <v/>
      </c>
      <c r="O818" s="28">
        <f>IF($M818="","",IF($C818="Interna","NO",IFERROR(INDEX(CONFIG!$E$4:$E$63,MATCH($M818,CONFIG!$A$4:$A$63,0)),"NO")))</f>
        <v/>
      </c>
      <c r="P818" s="50" t="n"/>
      <c r="Q818" s="50" t="n"/>
      <c r="R818" s="28">
        <f>IF($Q818="","",IFERROR(INDEX(CONFIG!$H$4:$H$63,MATCH($Q818,CONFIG!$G$4:$G$63,0)),"Por definir"))</f>
        <v/>
      </c>
      <c r="S818" s="28">
        <f>IF($Q818="","",IFERROR(INDEX(CONFIG!$I$4:$I$63,MATCH($Q818,CONFIG!$G$4:$G$63,0)),"Por definir"))</f>
        <v/>
      </c>
      <c r="T818" s="51" t="n"/>
      <c r="U818" s="52" t="n"/>
      <c r="V818" s="50" t="n"/>
      <c r="W818" s="50" t="n"/>
      <c r="X818" s="49">
        <f>IF(OR($B818="",$M818=""),"",WORKDAY($B818,IFERROR(INDEX(CONFIG!$D$4:$D$63,MATCH($M818,CONFIG!$A$4:$A$63,0)),3)))</f>
        <v/>
      </c>
      <c r="Y818" s="47" t="n"/>
      <c r="Z818" s="24">
        <f>IF($B818="","",IF($Y818&lt;&gt;"",$Y818-$B818,TODAY()-$B818))</f>
        <v/>
      </c>
      <c r="AA818" s="28">
        <f>IF($B818="","",IF(IFERROR(INDEX(CONFIG!$L$4:$L$63,MATCH($V818,CONFIG!$K$4:$K$63,0)),"NO")="SÍ",IF(OR($Y818="",$X818=""),"Resuelta",IF($Y818&gt;$X818,"Resuelta tarde","Resuelta a tiempo")),IF($X818="","Sin clasificar",IF(TODAY()&gt;$X818,"Vencida",IF(TODAY()&gt;=$X818-1,"Por vencer","En plazo")))))</f>
        <v/>
      </c>
      <c r="AB818" s="50" t="n"/>
      <c r="AC818" s="50" t="n"/>
    </row>
    <row r="819" ht="16" customHeight="1">
      <c r="A819" s="28">
        <f>IF($B819="","","N-"&amp;TEXT(ROW()-3,"0000"))</f>
        <v/>
      </c>
      <c r="B819" s="47" t="n"/>
      <c r="C819" s="48" t="n"/>
      <c r="D819" s="48" t="n"/>
      <c r="E819" s="28">
        <f>IF($C819="","",IF($D819="",IF($C819="Interna","Sin guía (interna)","FALTA GUÍA"),IF(COUNTIFS(ENVIOS!$A$4:$A$3003,$D819)=0,"NO EXISTE",IF(COUNTIFS(ENVIOS!$A$4:$A$3003,$D819)&gt;1,"DUPLICADA","OK"))))</f>
        <v/>
      </c>
      <c r="F819" s="28">
        <f>IF($D819="","",IFERROR(INDEX(ENVIOS!$B$4:$B$3003,MATCH($D819,ENVIOS!$A$4:$A$3003,0)),"—"))</f>
        <v/>
      </c>
      <c r="G819" s="23">
        <f>IF($D819="","",IFERROR(INDEX(ENVIOS!$D$4:$D$3003,MATCH($D819,ENVIOS!$A$4:$A$3003,0)),"—"))</f>
        <v/>
      </c>
      <c r="H819" s="23">
        <f>IF($D819="","",IFERROR(INDEX(ENVIOS!$E$4:$E$3003,MATCH($D819,ENVIOS!$A$4:$A$3003,0)),"—"))</f>
        <v/>
      </c>
      <c r="I819" s="23">
        <f>IF($D819="","",IFERROR(INDEX(ENVIOS!$F$4:$F$3003,MATCH($D819,ENVIOS!$A$4:$A$3003,0)),"—"))</f>
        <v/>
      </c>
      <c r="J819" s="23">
        <f>IF($D819="","",IFERROR(INDEX(ENVIOS!$G$4:$G$3003,MATCH($D819,ENVIOS!$A$4:$A$3003,0)),"—"))</f>
        <v/>
      </c>
      <c r="K819" s="28">
        <f>IF($D819="","",IFERROR(INDEX(ENVIOS!$H$4:$H$3003,MATCH($D819,ENVIOS!$A$4:$A$3003,0)),"—"))</f>
        <v/>
      </c>
      <c r="L819" s="49">
        <f>IF($D819="","",IFERROR(INDEX(ENVIOS!$C$4:$C$3003,MATCH($D819,ENVIOS!$A$4:$A$3003,0)),""))</f>
        <v/>
      </c>
      <c r="M819" s="50" t="n"/>
      <c r="N819" s="28">
        <f>IF($M819="","",IFERROR(INDEX(CONFIG!$C$4:$C$63,MATCH($M819,CONFIG!$A$4:$A$63,0)),"Media"))</f>
        <v/>
      </c>
      <c r="O819" s="28">
        <f>IF($M819="","",IF($C819="Interna","NO",IFERROR(INDEX(CONFIG!$E$4:$E$63,MATCH($M819,CONFIG!$A$4:$A$63,0)),"NO")))</f>
        <v/>
      </c>
      <c r="P819" s="50" t="n"/>
      <c r="Q819" s="50" t="n"/>
      <c r="R819" s="28">
        <f>IF($Q819="","",IFERROR(INDEX(CONFIG!$H$4:$H$63,MATCH($Q819,CONFIG!$G$4:$G$63,0)),"Por definir"))</f>
        <v/>
      </c>
      <c r="S819" s="28">
        <f>IF($Q819="","",IFERROR(INDEX(CONFIG!$I$4:$I$63,MATCH($Q819,CONFIG!$G$4:$G$63,0)),"Por definir"))</f>
        <v/>
      </c>
      <c r="T819" s="51" t="n"/>
      <c r="U819" s="52" t="n"/>
      <c r="V819" s="50" t="n"/>
      <c r="W819" s="50" t="n"/>
      <c r="X819" s="49">
        <f>IF(OR($B819="",$M819=""),"",WORKDAY($B819,IFERROR(INDEX(CONFIG!$D$4:$D$63,MATCH($M819,CONFIG!$A$4:$A$63,0)),3)))</f>
        <v/>
      </c>
      <c r="Y819" s="47" t="n"/>
      <c r="Z819" s="24">
        <f>IF($B819="","",IF($Y819&lt;&gt;"",$Y819-$B819,TODAY()-$B819))</f>
        <v/>
      </c>
      <c r="AA819" s="28">
        <f>IF($B819="","",IF(IFERROR(INDEX(CONFIG!$L$4:$L$63,MATCH($V819,CONFIG!$K$4:$K$63,0)),"NO")="SÍ",IF(OR($Y819="",$X819=""),"Resuelta",IF($Y819&gt;$X819,"Resuelta tarde","Resuelta a tiempo")),IF($X819="","Sin clasificar",IF(TODAY()&gt;$X819,"Vencida",IF(TODAY()&gt;=$X819-1,"Por vencer","En plazo")))))</f>
        <v/>
      </c>
      <c r="AB819" s="50" t="n"/>
      <c r="AC819" s="50" t="n"/>
    </row>
    <row r="820" ht="16" customHeight="1">
      <c r="A820" s="28">
        <f>IF($B820="","","N-"&amp;TEXT(ROW()-3,"0000"))</f>
        <v/>
      </c>
      <c r="B820" s="47" t="n"/>
      <c r="C820" s="48" t="n"/>
      <c r="D820" s="48" t="n"/>
      <c r="E820" s="28">
        <f>IF($C820="","",IF($D820="",IF($C820="Interna","Sin guía (interna)","FALTA GUÍA"),IF(COUNTIFS(ENVIOS!$A$4:$A$3003,$D820)=0,"NO EXISTE",IF(COUNTIFS(ENVIOS!$A$4:$A$3003,$D820)&gt;1,"DUPLICADA","OK"))))</f>
        <v/>
      </c>
      <c r="F820" s="28">
        <f>IF($D820="","",IFERROR(INDEX(ENVIOS!$B$4:$B$3003,MATCH($D820,ENVIOS!$A$4:$A$3003,0)),"—"))</f>
        <v/>
      </c>
      <c r="G820" s="23">
        <f>IF($D820="","",IFERROR(INDEX(ENVIOS!$D$4:$D$3003,MATCH($D820,ENVIOS!$A$4:$A$3003,0)),"—"))</f>
        <v/>
      </c>
      <c r="H820" s="23">
        <f>IF($D820="","",IFERROR(INDEX(ENVIOS!$E$4:$E$3003,MATCH($D820,ENVIOS!$A$4:$A$3003,0)),"—"))</f>
        <v/>
      </c>
      <c r="I820" s="23">
        <f>IF($D820="","",IFERROR(INDEX(ENVIOS!$F$4:$F$3003,MATCH($D820,ENVIOS!$A$4:$A$3003,0)),"—"))</f>
        <v/>
      </c>
      <c r="J820" s="23">
        <f>IF($D820="","",IFERROR(INDEX(ENVIOS!$G$4:$G$3003,MATCH($D820,ENVIOS!$A$4:$A$3003,0)),"—"))</f>
        <v/>
      </c>
      <c r="K820" s="28">
        <f>IF($D820="","",IFERROR(INDEX(ENVIOS!$H$4:$H$3003,MATCH($D820,ENVIOS!$A$4:$A$3003,0)),"—"))</f>
        <v/>
      </c>
      <c r="L820" s="49">
        <f>IF($D820="","",IFERROR(INDEX(ENVIOS!$C$4:$C$3003,MATCH($D820,ENVIOS!$A$4:$A$3003,0)),""))</f>
        <v/>
      </c>
      <c r="M820" s="50" t="n"/>
      <c r="N820" s="28">
        <f>IF($M820="","",IFERROR(INDEX(CONFIG!$C$4:$C$63,MATCH($M820,CONFIG!$A$4:$A$63,0)),"Media"))</f>
        <v/>
      </c>
      <c r="O820" s="28">
        <f>IF($M820="","",IF($C820="Interna","NO",IFERROR(INDEX(CONFIG!$E$4:$E$63,MATCH($M820,CONFIG!$A$4:$A$63,0)),"NO")))</f>
        <v/>
      </c>
      <c r="P820" s="50" t="n"/>
      <c r="Q820" s="50" t="n"/>
      <c r="R820" s="28">
        <f>IF($Q820="","",IFERROR(INDEX(CONFIG!$H$4:$H$63,MATCH($Q820,CONFIG!$G$4:$G$63,0)),"Por definir"))</f>
        <v/>
      </c>
      <c r="S820" s="28">
        <f>IF($Q820="","",IFERROR(INDEX(CONFIG!$I$4:$I$63,MATCH($Q820,CONFIG!$G$4:$G$63,0)),"Por definir"))</f>
        <v/>
      </c>
      <c r="T820" s="51" t="n"/>
      <c r="U820" s="52" t="n"/>
      <c r="V820" s="50" t="n"/>
      <c r="W820" s="50" t="n"/>
      <c r="X820" s="49">
        <f>IF(OR($B820="",$M820=""),"",WORKDAY($B820,IFERROR(INDEX(CONFIG!$D$4:$D$63,MATCH($M820,CONFIG!$A$4:$A$63,0)),3)))</f>
        <v/>
      </c>
      <c r="Y820" s="47" t="n"/>
      <c r="Z820" s="24">
        <f>IF($B820="","",IF($Y820&lt;&gt;"",$Y820-$B820,TODAY()-$B820))</f>
        <v/>
      </c>
      <c r="AA820" s="28">
        <f>IF($B820="","",IF(IFERROR(INDEX(CONFIG!$L$4:$L$63,MATCH($V820,CONFIG!$K$4:$K$63,0)),"NO")="SÍ",IF(OR($Y820="",$X820=""),"Resuelta",IF($Y820&gt;$X820,"Resuelta tarde","Resuelta a tiempo")),IF($X820="","Sin clasificar",IF(TODAY()&gt;$X820,"Vencida",IF(TODAY()&gt;=$X820-1,"Por vencer","En plazo")))))</f>
        <v/>
      </c>
      <c r="AB820" s="50" t="n"/>
      <c r="AC820" s="50" t="n"/>
    </row>
    <row r="821" ht="16" customHeight="1">
      <c r="A821" s="28">
        <f>IF($B821="","","N-"&amp;TEXT(ROW()-3,"0000"))</f>
        <v/>
      </c>
      <c r="B821" s="47" t="n"/>
      <c r="C821" s="48" t="n"/>
      <c r="D821" s="48" t="n"/>
      <c r="E821" s="28">
        <f>IF($C821="","",IF($D821="",IF($C821="Interna","Sin guía (interna)","FALTA GUÍA"),IF(COUNTIFS(ENVIOS!$A$4:$A$3003,$D821)=0,"NO EXISTE",IF(COUNTIFS(ENVIOS!$A$4:$A$3003,$D821)&gt;1,"DUPLICADA","OK"))))</f>
        <v/>
      </c>
      <c r="F821" s="28">
        <f>IF($D821="","",IFERROR(INDEX(ENVIOS!$B$4:$B$3003,MATCH($D821,ENVIOS!$A$4:$A$3003,0)),"—"))</f>
        <v/>
      </c>
      <c r="G821" s="23">
        <f>IF($D821="","",IFERROR(INDEX(ENVIOS!$D$4:$D$3003,MATCH($D821,ENVIOS!$A$4:$A$3003,0)),"—"))</f>
        <v/>
      </c>
      <c r="H821" s="23">
        <f>IF($D821="","",IFERROR(INDEX(ENVIOS!$E$4:$E$3003,MATCH($D821,ENVIOS!$A$4:$A$3003,0)),"—"))</f>
        <v/>
      </c>
      <c r="I821" s="23">
        <f>IF($D821="","",IFERROR(INDEX(ENVIOS!$F$4:$F$3003,MATCH($D821,ENVIOS!$A$4:$A$3003,0)),"—"))</f>
        <v/>
      </c>
      <c r="J821" s="23">
        <f>IF($D821="","",IFERROR(INDEX(ENVIOS!$G$4:$G$3003,MATCH($D821,ENVIOS!$A$4:$A$3003,0)),"—"))</f>
        <v/>
      </c>
      <c r="K821" s="28">
        <f>IF($D821="","",IFERROR(INDEX(ENVIOS!$H$4:$H$3003,MATCH($D821,ENVIOS!$A$4:$A$3003,0)),"—"))</f>
        <v/>
      </c>
      <c r="L821" s="49">
        <f>IF($D821="","",IFERROR(INDEX(ENVIOS!$C$4:$C$3003,MATCH($D821,ENVIOS!$A$4:$A$3003,0)),""))</f>
        <v/>
      </c>
      <c r="M821" s="50" t="n"/>
      <c r="N821" s="28">
        <f>IF($M821="","",IFERROR(INDEX(CONFIG!$C$4:$C$63,MATCH($M821,CONFIG!$A$4:$A$63,0)),"Media"))</f>
        <v/>
      </c>
      <c r="O821" s="28">
        <f>IF($M821="","",IF($C821="Interna","NO",IFERROR(INDEX(CONFIG!$E$4:$E$63,MATCH($M821,CONFIG!$A$4:$A$63,0)),"NO")))</f>
        <v/>
      </c>
      <c r="P821" s="50" t="n"/>
      <c r="Q821" s="50" t="n"/>
      <c r="R821" s="28">
        <f>IF($Q821="","",IFERROR(INDEX(CONFIG!$H$4:$H$63,MATCH($Q821,CONFIG!$G$4:$G$63,0)),"Por definir"))</f>
        <v/>
      </c>
      <c r="S821" s="28">
        <f>IF($Q821="","",IFERROR(INDEX(CONFIG!$I$4:$I$63,MATCH($Q821,CONFIG!$G$4:$G$63,0)),"Por definir"))</f>
        <v/>
      </c>
      <c r="T821" s="51" t="n"/>
      <c r="U821" s="52" t="n"/>
      <c r="V821" s="50" t="n"/>
      <c r="W821" s="50" t="n"/>
      <c r="X821" s="49">
        <f>IF(OR($B821="",$M821=""),"",WORKDAY($B821,IFERROR(INDEX(CONFIG!$D$4:$D$63,MATCH($M821,CONFIG!$A$4:$A$63,0)),3)))</f>
        <v/>
      </c>
      <c r="Y821" s="47" t="n"/>
      <c r="Z821" s="24">
        <f>IF($B821="","",IF($Y821&lt;&gt;"",$Y821-$B821,TODAY()-$B821))</f>
        <v/>
      </c>
      <c r="AA821" s="28">
        <f>IF($B821="","",IF(IFERROR(INDEX(CONFIG!$L$4:$L$63,MATCH($V821,CONFIG!$K$4:$K$63,0)),"NO")="SÍ",IF(OR($Y821="",$X821=""),"Resuelta",IF($Y821&gt;$X821,"Resuelta tarde","Resuelta a tiempo")),IF($X821="","Sin clasificar",IF(TODAY()&gt;$X821,"Vencida",IF(TODAY()&gt;=$X821-1,"Por vencer","En plazo")))))</f>
        <v/>
      </c>
      <c r="AB821" s="50" t="n"/>
      <c r="AC821" s="50" t="n"/>
    </row>
    <row r="822" ht="16" customHeight="1">
      <c r="A822" s="28">
        <f>IF($B822="","","N-"&amp;TEXT(ROW()-3,"0000"))</f>
        <v/>
      </c>
      <c r="B822" s="47" t="n"/>
      <c r="C822" s="48" t="n"/>
      <c r="D822" s="48" t="n"/>
      <c r="E822" s="28">
        <f>IF($C822="","",IF($D822="",IF($C822="Interna","Sin guía (interna)","FALTA GUÍA"),IF(COUNTIFS(ENVIOS!$A$4:$A$3003,$D822)=0,"NO EXISTE",IF(COUNTIFS(ENVIOS!$A$4:$A$3003,$D822)&gt;1,"DUPLICADA","OK"))))</f>
        <v/>
      </c>
      <c r="F822" s="28">
        <f>IF($D822="","",IFERROR(INDEX(ENVIOS!$B$4:$B$3003,MATCH($D822,ENVIOS!$A$4:$A$3003,0)),"—"))</f>
        <v/>
      </c>
      <c r="G822" s="23">
        <f>IF($D822="","",IFERROR(INDEX(ENVIOS!$D$4:$D$3003,MATCH($D822,ENVIOS!$A$4:$A$3003,0)),"—"))</f>
        <v/>
      </c>
      <c r="H822" s="23">
        <f>IF($D822="","",IFERROR(INDEX(ENVIOS!$E$4:$E$3003,MATCH($D822,ENVIOS!$A$4:$A$3003,0)),"—"))</f>
        <v/>
      </c>
      <c r="I822" s="23">
        <f>IF($D822="","",IFERROR(INDEX(ENVIOS!$F$4:$F$3003,MATCH($D822,ENVIOS!$A$4:$A$3003,0)),"—"))</f>
        <v/>
      </c>
      <c r="J822" s="23">
        <f>IF($D822="","",IFERROR(INDEX(ENVIOS!$G$4:$G$3003,MATCH($D822,ENVIOS!$A$4:$A$3003,0)),"—"))</f>
        <v/>
      </c>
      <c r="K822" s="28">
        <f>IF($D822="","",IFERROR(INDEX(ENVIOS!$H$4:$H$3003,MATCH($D822,ENVIOS!$A$4:$A$3003,0)),"—"))</f>
        <v/>
      </c>
      <c r="L822" s="49">
        <f>IF($D822="","",IFERROR(INDEX(ENVIOS!$C$4:$C$3003,MATCH($D822,ENVIOS!$A$4:$A$3003,0)),""))</f>
        <v/>
      </c>
      <c r="M822" s="50" t="n"/>
      <c r="N822" s="28">
        <f>IF($M822="","",IFERROR(INDEX(CONFIG!$C$4:$C$63,MATCH($M822,CONFIG!$A$4:$A$63,0)),"Media"))</f>
        <v/>
      </c>
      <c r="O822" s="28">
        <f>IF($M822="","",IF($C822="Interna","NO",IFERROR(INDEX(CONFIG!$E$4:$E$63,MATCH($M822,CONFIG!$A$4:$A$63,0)),"NO")))</f>
        <v/>
      </c>
      <c r="P822" s="50" t="n"/>
      <c r="Q822" s="50" t="n"/>
      <c r="R822" s="28">
        <f>IF($Q822="","",IFERROR(INDEX(CONFIG!$H$4:$H$63,MATCH($Q822,CONFIG!$G$4:$G$63,0)),"Por definir"))</f>
        <v/>
      </c>
      <c r="S822" s="28">
        <f>IF($Q822="","",IFERROR(INDEX(CONFIG!$I$4:$I$63,MATCH($Q822,CONFIG!$G$4:$G$63,0)),"Por definir"))</f>
        <v/>
      </c>
      <c r="T822" s="51" t="n"/>
      <c r="U822" s="52" t="n"/>
      <c r="V822" s="50" t="n"/>
      <c r="W822" s="50" t="n"/>
      <c r="X822" s="49">
        <f>IF(OR($B822="",$M822=""),"",WORKDAY($B822,IFERROR(INDEX(CONFIG!$D$4:$D$63,MATCH($M822,CONFIG!$A$4:$A$63,0)),3)))</f>
        <v/>
      </c>
      <c r="Y822" s="47" t="n"/>
      <c r="Z822" s="24">
        <f>IF($B822="","",IF($Y822&lt;&gt;"",$Y822-$B822,TODAY()-$B822))</f>
        <v/>
      </c>
      <c r="AA822" s="28">
        <f>IF($B822="","",IF(IFERROR(INDEX(CONFIG!$L$4:$L$63,MATCH($V822,CONFIG!$K$4:$K$63,0)),"NO")="SÍ",IF(OR($Y822="",$X822=""),"Resuelta",IF($Y822&gt;$X822,"Resuelta tarde","Resuelta a tiempo")),IF($X822="","Sin clasificar",IF(TODAY()&gt;$X822,"Vencida",IF(TODAY()&gt;=$X822-1,"Por vencer","En plazo")))))</f>
        <v/>
      </c>
      <c r="AB822" s="50" t="n"/>
      <c r="AC822" s="50" t="n"/>
    </row>
    <row r="823" ht="16" customHeight="1">
      <c r="A823" s="28">
        <f>IF($B823="","","N-"&amp;TEXT(ROW()-3,"0000"))</f>
        <v/>
      </c>
      <c r="B823" s="47" t="n"/>
      <c r="C823" s="48" t="n"/>
      <c r="D823" s="48" t="n"/>
      <c r="E823" s="28">
        <f>IF($C823="","",IF($D823="",IF($C823="Interna","Sin guía (interna)","FALTA GUÍA"),IF(COUNTIFS(ENVIOS!$A$4:$A$3003,$D823)=0,"NO EXISTE",IF(COUNTIFS(ENVIOS!$A$4:$A$3003,$D823)&gt;1,"DUPLICADA","OK"))))</f>
        <v/>
      </c>
      <c r="F823" s="28">
        <f>IF($D823="","",IFERROR(INDEX(ENVIOS!$B$4:$B$3003,MATCH($D823,ENVIOS!$A$4:$A$3003,0)),"—"))</f>
        <v/>
      </c>
      <c r="G823" s="23">
        <f>IF($D823="","",IFERROR(INDEX(ENVIOS!$D$4:$D$3003,MATCH($D823,ENVIOS!$A$4:$A$3003,0)),"—"))</f>
        <v/>
      </c>
      <c r="H823" s="23">
        <f>IF($D823="","",IFERROR(INDEX(ENVIOS!$E$4:$E$3003,MATCH($D823,ENVIOS!$A$4:$A$3003,0)),"—"))</f>
        <v/>
      </c>
      <c r="I823" s="23">
        <f>IF($D823="","",IFERROR(INDEX(ENVIOS!$F$4:$F$3003,MATCH($D823,ENVIOS!$A$4:$A$3003,0)),"—"))</f>
        <v/>
      </c>
      <c r="J823" s="23">
        <f>IF($D823="","",IFERROR(INDEX(ENVIOS!$G$4:$G$3003,MATCH($D823,ENVIOS!$A$4:$A$3003,0)),"—"))</f>
        <v/>
      </c>
      <c r="K823" s="28">
        <f>IF($D823="","",IFERROR(INDEX(ENVIOS!$H$4:$H$3003,MATCH($D823,ENVIOS!$A$4:$A$3003,0)),"—"))</f>
        <v/>
      </c>
      <c r="L823" s="49">
        <f>IF($D823="","",IFERROR(INDEX(ENVIOS!$C$4:$C$3003,MATCH($D823,ENVIOS!$A$4:$A$3003,0)),""))</f>
        <v/>
      </c>
      <c r="M823" s="50" t="n"/>
      <c r="N823" s="28">
        <f>IF($M823="","",IFERROR(INDEX(CONFIG!$C$4:$C$63,MATCH($M823,CONFIG!$A$4:$A$63,0)),"Media"))</f>
        <v/>
      </c>
      <c r="O823" s="28">
        <f>IF($M823="","",IF($C823="Interna","NO",IFERROR(INDEX(CONFIG!$E$4:$E$63,MATCH($M823,CONFIG!$A$4:$A$63,0)),"NO")))</f>
        <v/>
      </c>
      <c r="P823" s="50" t="n"/>
      <c r="Q823" s="50" t="n"/>
      <c r="R823" s="28">
        <f>IF($Q823="","",IFERROR(INDEX(CONFIG!$H$4:$H$63,MATCH($Q823,CONFIG!$G$4:$G$63,0)),"Por definir"))</f>
        <v/>
      </c>
      <c r="S823" s="28">
        <f>IF($Q823="","",IFERROR(INDEX(CONFIG!$I$4:$I$63,MATCH($Q823,CONFIG!$G$4:$G$63,0)),"Por definir"))</f>
        <v/>
      </c>
      <c r="T823" s="51" t="n"/>
      <c r="U823" s="52" t="n"/>
      <c r="V823" s="50" t="n"/>
      <c r="W823" s="50" t="n"/>
      <c r="X823" s="49">
        <f>IF(OR($B823="",$M823=""),"",WORKDAY($B823,IFERROR(INDEX(CONFIG!$D$4:$D$63,MATCH($M823,CONFIG!$A$4:$A$63,0)),3)))</f>
        <v/>
      </c>
      <c r="Y823" s="47" t="n"/>
      <c r="Z823" s="24">
        <f>IF($B823="","",IF($Y823&lt;&gt;"",$Y823-$B823,TODAY()-$B823))</f>
        <v/>
      </c>
      <c r="AA823" s="28">
        <f>IF($B823="","",IF(IFERROR(INDEX(CONFIG!$L$4:$L$63,MATCH($V823,CONFIG!$K$4:$K$63,0)),"NO")="SÍ",IF(OR($Y823="",$X823=""),"Resuelta",IF($Y823&gt;$X823,"Resuelta tarde","Resuelta a tiempo")),IF($X823="","Sin clasificar",IF(TODAY()&gt;$X823,"Vencida",IF(TODAY()&gt;=$X823-1,"Por vencer","En plazo")))))</f>
        <v/>
      </c>
      <c r="AB823" s="50" t="n"/>
      <c r="AC823" s="50" t="n"/>
    </row>
    <row r="824" ht="16" customHeight="1">
      <c r="A824" s="28">
        <f>IF($B824="","","N-"&amp;TEXT(ROW()-3,"0000"))</f>
        <v/>
      </c>
      <c r="B824" s="47" t="n"/>
      <c r="C824" s="48" t="n"/>
      <c r="D824" s="48" t="n"/>
      <c r="E824" s="28">
        <f>IF($C824="","",IF($D824="",IF($C824="Interna","Sin guía (interna)","FALTA GUÍA"),IF(COUNTIFS(ENVIOS!$A$4:$A$3003,$D824)=0,"NO EXISTE",IF(COUNTIFS(ENVIOS!$A$4:$A$3003,$D824)&gt;1,"DUPLICADA","OK"))))</f>
        <v/>
      </c>
      <c r="F824" s="28">
        <f>IF($D824="","",IFERROR(INDEX(ENVIOS!$B$4:$B$3003,MATCH($D824,ENVIOS!$A$4:$A$3003,0)),"—"))</f>
        <v/>
      </c>
      <c r="G824" s="23">
        <f>IF($D824="","",IFERROR(INDEX(ENVIOS!$D$4:$D$3003,MATCH($D824,ENVIOS!$A$4:$A$3003,0)),"—"))</f>
        <v/>
      </c>
      <c r="H824" s="23">
        <f>IF($D824="","",IFERROR(INDEX(ENVIOS!$E$4:$E$3003,MATCH($D824,ENVIOS!$A$4:$A$3003,0)),"—"))</f>
        <v/>
      </c>
      <c r="I824" s="23">
        <f>IF($D824="","",IFERROR(INDEX(ENVIOS!$F$4:$F$3003,MATCH($D824,ENVIOS!$A$4:$A$3003,0)),"—"))</f>
        <v/>
      </c>
      <c r="J824" s="23">
        <f>IF($D824="","",IFERROR(INDEX(ENVIOS!$G$4:$G$3003,MATCH($D824,ENVIOS!$A$4:$A$3003,0)),"—"))</f>
        <v/>
      </c>
      <c r="K824" s="28">
        <f>IF($D824="","",IFERROR(INDEX(ENVIOS!$H$4:$H$3003,MATCH($D824,ENVIOS!$A$4:$A$3003,0)),"—"))</f>
        <v/>
      </c>
      <c r="L824" s="49">
        <f>IF($D824="","",IFERROR(INDEX(ENVIOS!$C$4:$C$3003,MATCH($D824,ENVIOS!$A$4:$A$3003,0)),""))</f>
        <v/>
      </c>
      <c r="M824" s="50" t="n"/>
      <c r="N824" s="28">
        <f>IF($M824="","",IFERROR(INDEX(CONFIG!$C$4:$C$63,MATCH($M824,CONFIG!$A$4:$A$63,0)),"Media"))</f>
        <v/>
      </c>
      <c r="O824" s="28">
        <f>IF($M824="","",IF($C824="Interna","NO",IFERROR(INDEX(CONFIG!$E$4:$E$63,MATCH($M824,CONFIG!$A$4:$A$63,0)),"NO")))</f>
        <v/>
      </c>
      <c r="P824" s="50" t="n"/>
      <c r="Q824" s="50" t="n"/>
      <c r="R824" s="28">
        <f>IF($Q824="","",IFERROR(INDEX(CONFIG!$H$4:$H$63,MATCH($Q824,CONFIG!$G$4:$G$63,0)),"Por definir"))</f>
        <v/>
      </c>
      <c r="S824" s="28">
        <f>IF($Q824="","",IFERROR(INDEX(CONFIG!$I$4:$I$63,MATCH($Q824,CONFIG!$G$4:$G$63,0)),"Por definir"))</f>
        <v/>
      </c>
      <c r="T824" s="51" t="n"/>
      <c r="U824" s="52" t="n"/>
      <c r="V824" s="50" t="n"/>
      <c r="W824" s="50" t="n"/>
      <c r="X824" s="49">
        <f>IF(OR($B824="",$M824=""),"",WORKDAY($B824,IFERROR(INDEX(CONFIG!$D$4:$D$63,MATCH($M824,CONFIG!$A$4:$A$63,0)),3)))</f>
        <v/>
      </c>
      <c r="Y824" s="47" t="n"/>
      <c r="Z824" s="24">
        <f>IF($B824="","",IF($Y824&lt;&gt;"",$Y824-$B824,TODAY()-$B824))</f>
        <v/>
      </c>
      <c r="AA824" s="28">
        <f>IF($B824="","",IF(IFERROR(INDEX(CONFIG!$L$4:$L$63,MATCH($V824,CONFIG!$K$4:$K$63,0)),"NO")="SÍ",IF(OR($Y824="",$X824=""),"Resuelta",IF($Y824&gt;$X824,"Resuelta tarde","Resuelta a tiempo")),IF($X824="","Sin clasificar",IF(TODAY()&gt;$X824,"Vencida",IF(TODAY()&gt;=$X824-1,"Por vencer","En plazo")))))</f>
        <v/>
      </c>
      <c r="AB824" s="50" t="n"/>
      <c r="AC824" s="50" t="n"/>
    </row>
    <row r="825" ht="16" customHeight="1">
      <c r="A825" s="28">
        <f>IF($B825="","","N-"&amp;TEXT(ROW()-3,"0000"))</f>
        <v/>
      </c>
      <c r="B825" s="47" t="n"/>
      <c r="C825" s="48" t="n"/>
      <c r="D825" s="48" t="n"/>
      <c r="E825" s="28">
        <f>IF($C825="","",IF($D825="",IF($C825="Interna","Sin guía (interna)","FALTA GUÍA"),IF(COUNTIFS(ENVIOS!$A$4:$A$3003,$D825)=0,"NO EXISTE",IF(COUNTIFS(ENVIOS!$A$4:$A$3003,$D825)&gt;1,"DUPLICADA","OK"))))</f>
        <v/>
      </c>
      <c r="F825" s="28">
        <f>IF($D825="","",IFERROR(INDEX(ENVIOS!$B$4:$B$3003,MATCH($D825,ENVIOS!$A$4:$A$3003,0)),"—"))</f>
        <v/>
      </c>
      <c r="G825" s="23">
        <f>IF($D825="","",IFERROR(INDEX(ENVIOS!$D$4:$D$3003,MATCH($D825,ENVIOS!$A$4:$A$3003,0)),"—"))</f>
        <v/>
      </c>
      <c r="H825" s="23">
        <f>IF($D825="","",IFERROR(INDEX(ENVIOS!$E$4:$E$3003,MATCH($D825,ENVIOS!$A$4:$A$3003,0)),"—"))</f>
        <v/>
      </c>
      <c r="I825" s="23">
        <f>IF($D825="","",IFERROR(INDEX(ENVIOS!$F$4:$F$3003,MATCH($D825,ENVIOS!$A$4:$A$3003,0)),"—"))</f>
        <v/>
      </c>
      <c r="J825" s="23">
        <f>IF($D825="","",IFERROR(INDEX(ENVIOS!$G$4:$G$3003,MATCH($D825,ENVIOS!$A$4:$A$3003,0)),"—"))</f>
        <v/>
      </c>
      <c r="K825" s="28">
        <f>IF($D825="","",IFERROR(INDEX(ENVIOS!$H$4:$H$3003,MATCH($D825,ENVIOS!$A$4:$A$3003,0)),"—"))</f>
        <v/>
      </c>
      <c r="L825" s="49">
        <f>IF($D825="","",IFERROR(INDEX(ENVIOS!$C$4:$C$3003,MATCH($D825,ENVIOS!$A$4:$A$3003,0)),""))</f>
        <v/>
      </c>
      <c r="M825" s="50" t="n"/>
      <c r="N825" s="28">
        <f>IF($M825="","",IFERROR(INDEX(CONFIG!$C$4:$C$63,MATCH($M825,CONFIG!$A$4:$A$63,0)),"Media"))</f>
        <v/>
      </c>
      <c r="O825" s="28">
        <f>IF($M825="","",IF($C825="Interna","NO",IFERROR(INDEX(CONFIG!$E$4:$E$63,MATCH($M825,CONFIG!$A$4:$A$63,0)),"NO")))</f>
        <v/>
      </c>
      <c r="P825" s="50" t="n"/>
      <c r="Q825" s="50" t="n"/>
      <c r="R825" s="28">
        <f>IF($Q825="","",IFERROR(INDEX(CONFIG!$H$4:$H$63,MATCH($Q825,CONFIG!$G$4:$G$63,0)),"Por definir"))</f>
        <v/>
      </c>
      <c r="S825" s="28">
        <f>IF($Q825="","",IFERROR(INDEX(CONFIG!$I$4:$I$63,MATCH($Q825,CONFIG!$G$4:$G$63,0)),"Por definir"))</f>
        <v/>
      </c>
      <c r="T825" s="51" t="n"/>
      <c r="U825" s="52" t="n"/>
      <c r="V825" s="50" t="n"/>
      <c r="W825" s="50" t="n"/>
      <c r="X825" s="49">
        <f>IF(OR($B825="",$M825=""),"",WORKDAY($B825,IFERROR(INDEX(CONFIG!$D$4:$D$63,MATCH($M825,CONFIG!$A$4:$A$63,0)),3)))</f>
        <v/>
      </c>
      <c r="Y825" s="47" t="n"/>
      <c r="Z825" s="24">
        <f>IF($B825="","",IF($Y825&lt;&gt;"",$Y825-$B825,TODAY()-$B825))</f>
        <v/>
      </c>
      <c r="AA825" s="28">
        <f>IF($B825="","",IF(IFERROR(INDEX(CONFIG!$L$4:$L$63,MATCH($V825,CONFIG!$K$4:$K$63,0)),"NO")="SÍ",IF(OR($Y825="",$X825=""),"Resuelta",IF($Y825&gt;$X825,"Resuelta tarde","Resuelta a tiempo")),IF($X825="","Sin clasificar",IF(TODAY()&gt;$X825,"Vencida",IF(TODAY()&gt;=$X825-1,"Por vencer","En plazo")))))</f>
        <v/>
      </c>
      <c r="AB825" s="50" t="n"/>
      <c r="AC825" s="50" t="n"/>
    </row>
    <row r="826" ht="16" customHeight="1">
      <c r="A826" s="28">
        <f>IF($B826="","","N-"&amp;TEXT(ROW()-3,"0000"))</f>
        <v/>
      </c>
      <c r="B826" s="47" t="n"/>
      <c r="C826" s="48" t="n"/>
      <c r="D826" s="48" t="n"/>
      <c r="E826" s="28">
        <f>IF($C826="","",IF($D826="",IF($C826="Interna","Sin guía (interna)","FALTA GUÍA"),IF(COUNTIFS(ENVIOS!$A$4:$A$3003,$D826)=0,"NO EXISTE",IF(COUNTIFS(ENVIOS!$A$4:$A$3003,$D826)&gt;1,"DUPLICADA","OK"))))</f>
        <v/>
      </c>
      <c r="F826" s="28">
        <f>IF($D826="","",IFERROR(INDEX(ENVIOS!$B$4:$B$3003,MATCH($D826,ENVIOS!$A$4:$A$3003,0)),"—"))</f>
        <v/>
      </c>
      <c r="G826" s="23">
        <f>IF($D826="","",IFERROR(INDEX(ENVIOS!$D$4:$D$3003,MATCH($D826,ENVIOS!$A$4:$A$3003,0)),"—"))</f>
        <v/>
      </c>
      <c r="H826" s="23">
        <f>IF($D826="","",IFERROR(INDEX(ENVIOS!$E$4:$E$3003,MATCH($D826,ENVIOS!$A$4:$A$3003,0)),"—"))</f>
        <v/>
      </c>
      <c r="I826" s="23">
        <f>IF($D826="","",IFERROR(INDEX(ENVIOS!$F$4:$F$3003,MATCH($D826,ENVIOS!$A$4:$A$3003,0)),"—"))</f>
        <v/>
      </c>
      <c r="J826" s="23">
        <f>IF($D826="","",IFERROR(INDEX(ENVIOS!$G$4:$G$3003,MATCH($D826,ENVIOS!$A$4:$A$3003,0)),"—"))</f>
        <v/>
      </c>
      <c r="K826" s="28">
        <f>IF($D826="","",IFERROR(INDEX(ENVIOS!$H$4:$H$3003,MATCH($D826,ENVIOS!$A$4:$A$3003,0)),"—"))</f>
        <v/>
      </c>
      <c r="L826" s="49">
        <f>IF($D826="","",IFERROR(INDEX(ENVIOS!$C$4:$C$3003,MATCH($D826,ENVIOS!$A$4:$A$3003,0)),""))</f>
        <v/>
      </c>
      <c r="M826" s="50" t="n"/>
      <c r="N826" s="28">
        <f>IF($M826="","",IFERROR(INDEX(CONFIG!$C$4:$C$63,MATCH($M826,CONFIG!$A$4:$A$63,0)),"Media"))</f>
        <v/>
      </c>
      <c r="O826" s="28">
        <f>IF($M826="","",IF($C826="Interna","NO",IFERROR(INDEX(CONFIG!$E$4:$E$63,MATCH($M826,CONFIG!$A$4:$A$63,0)),"NO")))</f>
        <v/>
      </c>
      <c r="P826" s="50" t="n"/>
      <c r="Q826" s="50" t="n"/>
      <c r="R826" s="28">
        <f>IF($Q826="","",IFERROR(INDEX(CONFIG!$H$4:$H$63,MATCH($Q826,CONFIG!$G$4:$G$63,0)),"Por definir"))</f>
        <v/>
      </c>
      <c r="S826" s="28">
        <f>IF($Q826="","",IFERROR(INDEX(CONFIG!$I$4:$I$63,MATCH($Q826,CONFIG!$G$4:$G$63,0)),"Por definir"))</f>
        <v/>
      </c>
      <c r="T826" s="51" t="n"/>
      <c r="U826" s="52" t="n"/>
      <c r="V826" s="50" t="n"/>
      <c r="W826" s="50" t="n"/>
      <c r="X826" s="49">
        <f>IF(OR($B826="",$M826=""),"",WORKDAY($B826,IFERROR(INDEX(CONFIG!$D$4:$D$63,MATCH($M826,CONFIG!$A$4:$A$63,0)),3)))</f>
        <v/>
      </c>
      <c r="Y826" s="47" t="n"/>
      <c r="Z826" s="24">
        <f>IF($B826="","",IF($Y826&lt;&gt;"",$Y826-$B826,TODAY()-$B826))</f>
        <v/>
      </c>
      <c r="AA826" s="28">
        <f>IF($B826="","",IF(IFERROR(INDEX(CONFIG!$L$4:$L$63,MATCH($V826,CONFIG!$K$4:$K$63,0)),"NO")="SÍ",IF(OR($Y826="",$X826=""),"Resuelta",IF($Y826&gt;$X826,"Resuelta tarde","Resuelta a tiempo")),IF($X826="","Sin clasificar",IF(TODAY()&gt;$X826,"Vencida",IF(TODAY()&gt;=$X826-1,"Por vencer","En plazo")))))</f>
        <v/>
      </c>
      <c r="AB826" s="50" t="n"/>
      <c r="AC826" s="50" t="n"/>
    </row>
    <row r="827" ht="16" customHeight="1">
      <c r="A827" s="28">
        <f>IF($B827="","","N-"&amp;TEXT(ROW()-3,"0000"))</f>
        <v/>
      </c>
      <c r="B827" s="47" t="n"/>
      <c r="C827" s="48" t="n"/>
      <c r="D827" s="48" t="n"/>
      <c r="E827" s="28">
        <f>IF($C827="","",IF($D827="",IF($C827="Interna","Sin guía (interna)","FALTA GUÍA"),IF(COUNTIFS(ENVIOS!$A$4:$A$3003,$D827)=0,"NO EXISTE",IF(COUNTIFS(ENVIOS!$A$4:$A$3003,$D827)&gt;1,"DUPLICADA","OK"))))</f>
        <v/>
      </c>
      <c r="F827" s="28">
        <f>IF($D827="","",IFERROR(INDEX(ENVIOS!$B$4:$B$3003,MATCH($D827,ENVIOS!$A$4:$A$3003,0)),"—"))</f>
        <v/>
      </c>
      <c r="G827" s="23">
        <f>IF($D827="","",IFERROR(INDEX(ENVIOS!$D$4:$D$3003,MATCH($D827,ENVIOS!$A$4:$A$3003,0)),"—"))</f>
        <v/>
      </c>
      <c r="H827" s="23">
        <f>IF($D827="","",IFERROR(INDEX(ENVIOS!$E$4:$E$3003,MATCH($D827,ENVIOS!$A$4:$A$3003,0)),"—"))</f>
        <v/>
      </c>
      <c r="I827" s="23">
        <f>IF($D827="","",IFERROR(INDEX(ENVIOS!$F$4:$F$3003,MATCH($D827,ENVIOS!$A$4:$A$3003,0)),"—"))</f>
        <v/>
      </c>
      <c r="J827" s="23">
        <f>IF($D827="","",IFERROR(INDEX(ENVIOS!$G$4:$G$3003,MATCH($D827,ENVIOS!$A$4:$A$3003,0)),"—"))</f>
        <v/>
      </c>
      <c r="K827" s="28">
        <f>IF($D827="","",IFERROR(INDEX(ENVIOS!$H$4:$H$3003,MATCH($D827,ENVIOS!$A$4:$A$3003,0)),"—"))</f>
        <v/>
      </c>
      <c r="L827" s="49">
        <f>IF($D827="","",IFERROR(INDEX(ENVIOS!$C$4:$C$3003,MATCH($D827,ENVIOS!$A$4:$A$3003,0)),""))</f>
        <v/>
      </c>
      <c r="M827" s="50" t="n"/>
      <c r="N827" s="28">
        <f>IF($M827="","",IFERROR(INDEX(CONFIG!$C$4:$C$63,MATCH($M827,CONFIG!$A$4:$A$63,0)),"Media"))</f>
        <v/>
      </c>
      <c r="O827" s="28">
        <f>IF($M827="","",IF($C827="Interna","NO",IFERROR(INDEX(CONFIG!$E$4:$E$63,MATCH($M827,CONFIG!$A$4:$A$63,0)),"NO")))</f>
        <v/>
      </c>
      <c r="P827" s="50" t="n"/>
      <c r="Q827" s="50" t="n"/>
      <c r="R827" s="28">
        <f>IF($Q827="","",IFERROR(INDEX(CONFIG!$H$4:$H$63,MATCH($Q827,CONFIG!$G$4:$G$63,0)),"Por definir"))</f>
        <v/>
      </c>
      <c r="S827" s="28">
        <f>IF($Q827="","",IFERROR(INDEX(CONFIG!$I$4:$I$63,MATCH($Q827,CONFIG!$G$4:$G$63,0)),"Por definir"))</f>
        <v/>
      </c>
      <c r="T827" s="51" t="n"/>
      <c r="U827" s="52" t="n"/>
      <c r="V827" s="50" t="n"/>
      <c r="W827" s="50" t="n"/>
      <c r="X827" s="49">
        <f>IF(OR($B827="",$M827=""),"",WORKDAY($B827,IFERROR(INDEX(CONFIG!$D$4:$D$63,MATCH($M827,CONFIG!$A$4:$A$63,0)),3)))</f>
        <v/>
      </c>
      <c r="Y827" s="47" t="n"/>
      <c r="Z827" s="24">
        <f>IF($B827="","",IF($Y827&lt;&gt;"",$Y827-$B827,TODAY()-$B827))</f>
        <v/>
      </c>
      <c r="AA827" s="28">
        <f>IF($B827="","",IF(IFERROR(INDEX(CONFIG!$L$4:$L$63,MATCH($V827,CONFIG!$K$4:$K$63,0)),"NO")="SÍ",IF(OR($Y827="",$X827=""),"Resuelta",IF($Y827&gt;$X827,"Resuelta tarde","Resuelta a tiempo")),IF($X827="","Sin clasificar",IF(TODAY()&gt;$X827,"Vencida",IF(TODAY()&gt;=$X827-1,"Por vencer","En plazo")))))</f>
        <v/>
      </c>
      <c r="AB827" s="50" t="n"/>
      <c r="AC827" s="50" t="n"/>
    </row>
    <row r="828" ht="16" customHeight="1">
      <c r="A828" s="28">
        <f>IF($B828="","","N-"&amp;TEXT(ROW()-3,"0000"))</f>
        <v/>
      </c>
      <c r="B828" s="47" t="n"/>
      <c r="C828" s="48" t="n"/>
      <c r="D828" s="48" t="n"/>
      <c r="E828" s="28">
        <f>IF($C828="","",IF($D828="",IF($C828="Interna","Sin guía (interna)","FALTA GUÍA"),IF(COUNTIFS(ENVIOS!$A$4:$A$3003,$D828)=0,"NO EXISTE",IF(COUNTIFS(ENVIOS!$A$4:$A$3003,$D828)&gt;1,"DUPLICADA","OK"))))</f>
        <v/>
      </c>
      <c r="F828" s="28">
        <f>IF($D828="","",IFERROR(INDEX(ENVIOS!$B$4:$B$3003,MATCH($D828,ENVIOS!$A$4:$A$3003,0)),"—"))</f>
        <v/>
      </c>
      <c r="G828" s="23">
        <f>IF($D828="","",IFERROR(INDEX(ENVIOS!$D$4:$D$3003,MATCH($D828,ENVIOS!$A$4:$A$3003,0)),"—"))</f>
        <v/>
      </c>
      <c r="H828" s="23">
        <f>IF($D828="","",IFERROR(INDEX(ENVIOS!$E$4:$E$3003,MATCH($D828,ENVIOS!$A$4:$A$3003,0)),"—"))</f>
        <v/>
      </c>
      <c r="I828" s="23">
        <f>IF($D828="","",IFERROR(INDEX(ENVIOS!$F$4:$F$3003,MATCH($D828,ENVIOS!$A$4:$A$3003,0)),"—"))</f>
        <v/>
      </c>
      <c r="J828" s="23">
        <f>IF($D828="","",IFERROR(INDEX(ENVIOS!$G$4:$G$3003,MATCH($D828,ENVIOS!$A$4:$A$3003,0)),"—"))</f>
        <v/>
      </c>
      <c r="K828" s="28">
        <f>IF($D828="","",IFERROR(INDEX(ENVIOS!$H$4:$H$3003,MATCH($D828,ENVIOS!$A$4:$A$3003,0)),"—"))</f>
        <v/>
      </c>
      <c r="L828" s="49">
        <f>IF($D828="","",IFERROR(INDEX(ENVIOS!$C$4:$C$3003,MATCH($D828,ENVIOS!$A$4:$A$3003,0)),""))</f>
        <v/>
      </c>
      <c r="M828" s="50" t="n"/>
      <c r="N828" s="28">
        <f>IF($M828="","",IFERROR(INDEX(CONFIG!$C$4:$C$63,MATCH($M828,CONFIG!$A$4:$A$63,0)),"Media"))</f>
        <v/>
      </c>
      <c r="O828" s="28">
        <f>IF($M828="","",IF($C828="Interna","NO",IFERROR(INDEX(CONFIG!$E$4:$E$63,MATCH($M828,CONFIG!$A$4:$A$63,0)),"NO")))</f>
        <v/>
      </c>
      <c r="P828" s="50" t="n"/>
      <c r="Q828" s="50" t="n"/>
      <c r="R828" s="28">
        <f>IF($Q828="","",IFERROR(INDEX(CONFIG!$H$4:$H$63,MATCH($Q828,CONFIG!$G$4:$G$63,0)),"Por definir"))</f>
        <v/>
      </c>
      <c r="S828" s="28">
        <f>IF($Q828="","",IFERROR(INDEX(CONFIG!$I$4:$I$63,MATCH($Q828,CONFIG!$G$4:$G$63,0)),"Por definir"))</f>
        <v/>
      </c>
      <c r="T828" s="51" t="n"/>
      <c r="U828" s="52" t="n"/>
      <c r="V828" s="50" t="n"/>
      <c r="W828" s="50" t="n"/>
      <c r="X828" s="49">
        <f>IF(OR($B828="",$M828=""),"",WORKDAY($B828,IFERROR(INDEX(CONFIG!$D$4:$D$63,MATCH($M828,CONFIG!$A$4:$A$63,0)),3)))</f>
        <v/>
      </c>
      <c r="Y828" s="47" t="n"/>
      <c r="Z828" s="24">
        <f>IF($B828="","",IF($Y828&lt;&gt;"",$Y828-$B828,TODAY()-$B828))</f>
        <v/>
      </c>
      <c r="AA828" s="28">
        <f>IF($B828="","",IF(IFERROR(INDEX(CONFIG!$L$4:$L$63,MATCH($V828,CONFIG!$K$4:$K$63,0)),"NO")="SÍ",IF(OR($Y828="",$X828=""),"Resuelta",IF($Y828&gt;$X828,"Resuelta tarde","Resuelta a tiempo")),IF($X828="","Sin clasificar",IF(TODAY()&gt;$X828,"Vencida",IF(TODAY()&gt;=$X828-1,"Por vencer","En plazo")))))</f>
        <v/>
      </c>
      <c r="AB828" s="50" t="n"/>
      <c r="AC828" s="50" t="n"/>
    </row>
    <row r="829" ht="16" customHeight="1">
      <c r="A829" s="28">
        <f>IF($B829="","","N-"&amp;TEXT(ROW()-3,"0000"))</f>
        <v/>
      </c>
      <c r="B829" s="47" t="n"/>
      <c r="C829" s="48" t="n"/>
      <c r="D829" s="48" t="n"/>
      <c r="E829" s="28">
        <f>IF($C829="","",IF($D829="",IF($C829="Interna","Sin guía (interna)","FALTA GUÍA"),IF(COUNTIFS(ENVIOS!$A$4:$A$3003,$D829)=0,"NO EXISTE",IF(COUNTIFS(ENVIOS!$A$4:$A$3003,$D829)&gt;1,"DUPLICADA","OK"))))</f>
        <v/>
      </c>
      <c r="F829" s="28">
        <f>IF($D829="","",IFERROR(INDEX(ENVIOS!$B$4:$B$3003,MATCH($D829,ENVIOS!$A$4:$A$3003,0)),"—"))</f>
        <v/>
      </c>
      <c r="G829" s="23">
        <f>IF($D829="","",IFERROR(INDEX(ENVIOS!$D$4:$D$3003,MATCH($D829,ENVIOS!$A$4:$A$3003,0)),"—"))</f>
        <v/>
      </c>
      <c r="H829" s="23">
        <f>IF($D829="","",IFERROR(INDEX(ENVIOS!$E$4:$E$3003,MATCH($D829,ENVIOS!$A$4:$A$3003,0)),"—"))</f>
        <v/>
      </c>
      <c r="I829" s="23">
        <f>IF($D829="","",IFERROR(INDEX(ENVIOS!$F$4:$F$3003,MATCH($D829,ENVIOS!$A$4:$A$3003,0)),"—"))</f>
        <v/>
      </c>
      <c r="J829" s="23">
        <f>IF($D829="","",IFERROR(INDEX(ENVIOS!$G$4:$G$3003,MATCH($D829,ENVIOS!$A$4:$A$3003,0)),"—"))</f>
        <v/>
      </c>
      <c r="K829" s="28">
        <f>IF($D829="","",IFERROR(INDEX(ENVIOS!$H$4:$H$3003,MATCH($D829,ENVIOS!$A$4:$A$3003,0)),"—"))</f>
        <v/>
      </c>
      <c r="L829" s="49">
        <f>IF($D829="","",IFERROR(INDEX(ENVIOS!$C$4:$C$3003,MATCH($D829,ENVIOS!$A$4:$A$3003,0)),""))</f>
        <v/>
      </c>
      <c r="M829" s="50" t="n"/>
      <c r="N829" s="28">
        <f>IF($M829="","",IFERROR(INDEX(CONFIG!$C$4:$C$63,MATCH($M829,CONFIG!$A$4:$A$63,0)),"Media"))</f>
        <v/>
      </c>
      <c r="O829" s="28">
        <f>IF($M829="","",IF($C829="Interna","NO",IFERROR(INDEX(CONFIG!$E$4:$E$63,MATCH($M829,CONFIG!$A$4:$A$63,0)),"NO")))</f>
        <v/>
      </c>
      <c r="P829" s="50" t="n"/>
      <c r="Q829" s="50" t="n"/>
      <c r="R829" s="28">
        <f>IF($Q829="","",IFERROR(INDEX(CONFIG!$H$4:$H$63,MATCH($Q829,CONFIG!$G$4:$G$63,0)),"Por definir"))</f>
        <v/>
      </c>
      <c r="S829" s="28">
        <f>IF($Q829="","",IFERROR(INDEX(CONFIG!$I$4:$I$63,MATCH($Q829,CONFIG!$G$4:$G$63,0)),"Por definir"))</f>
        <v/>
      </c>
      <c r="T829" s="51" t="n"/>
      <c r="U829" s="52" t="n"/>
      <c r="V829" s="50" t="n"/>
      <c r="W829" s="50" t="n"/>
      <c r="X829" s="49">
        <f>IF(OR($B829="",$M829=""),"",WORKDAY($B829,IFERROR(INDEX(CONFIG!$D$4:$D$63,MATCH($M829,CONFIG!$A$4:$A$63,0)),3)))</f>
        <v/>
      </c>
      <c r="Y829" s="47" t="n"/>
      <c r="Z829" s="24">
        <f>IF($B829="","",IF($Y829&lt;&gt;"",$Y829-$B829,TODAY()-$B829))</f>
        <v/>
      </c>
      <c r="AA829" s="28">
        <f>IF($B829="","",IF(IFERROR(INDEX(CONFIG!$L$4:$L$63,MATCH($V829,CONFIG!$K$4:$K$63,0)),"NO")="SÍ",IF(OR($Y829="",$X829=""),"Resuelta",IF($Y829&gt;$X829,"Resuelta tarde","Resuelta a tiempo")),IF($X829="","Sin clasificar",IF(TODAY()&gt;$X829,"Vencida",IF(TODAY()&gt;=$X829-1,"Por vencer","En plazo")))))</f>
        <v/>
      </c>
      <c r="AB829" s="50" t="n"/>
      <c r="AC829" s="50" t="n"/>
    </row>
    <row r="830" ht="16" customHeight="1">
      <c r="A830" s="28">
        <f>IF($B830="","","N-"&amp;TEXT(ROW()-3,"0000"))</f>
        <v/>
      </c>
      <c r="B830" s="47" t="n"/>
      <c r="C830" s="48" t="n"/>
      <c r="D830" s="48" t="n"/>
      <c r="E830" s="28">
        <f>IF($C830="","",IF($D830="",IF($C830="Interna","Sin guía (interna)","FALTA GUÍA"),IF(COUNTIFS(ENVIOS!$A$4:$A$3003,$D830)=0,"NO EXISTE",IF(COUNTIFS(ENVIOS!$A$4:$A$3003,$D830)&gt;1,"DUPLICADA","OK"))))</f>
        <v/>
      </c>
      <c r="F830" s="28">
        <f>IF($D830="","",IFERROR(INDEX(ENVIOS!$B$4:$B$3003,MATCH($D830,ENVIOS!$A$4:$A$3003,0)),"—"))</f>
        <v/>
      </c>
      <c r="G830" s="23">
        <f>IF($D830="","",IFERROR(INDEX(ENVIOS!$D$4:$D$3003,MATCH($D830,ENVIOS!$A$4:$A$3003,0)),"—"))</f>
        <v/>
      </c>
      <c r="H830" s="23">
        <f>IF($D830="","",IFERROR(INDEX(ENVIOS!$E$4:$E$3003,MATCH($D830,ENVIOS!$A$4:$A$3003,0)),"—"))</f>
        <v/>
      </c>
      <c r="I830" s="23">
        <f>IF($D830="","",IFERROR(INDEX(ENVIOS!$F$4:$F$3003,MATCH($D830,ENVIOS!$A$4:$A$3003,0)),"—"))</f>
        <v/>
      </c>
      <c r="J830" s="23">
        <f>IF($D830="","",IFERROR(INDEX(ENVIOS!$G$4:$G$3003,MATCH($D830,ENVIOS!$A$4:$A$3003,0)),"—"))</f>
        <v/>
      </c>
      <c r="K830" s="28">
        <f>IF($D830="","",IFERROR(INDEX(ENVIOS!$H$4:$H$3003,MATCH($D830,ENVIOS!$A$4:$A$3003,0)),"—"))</f>
        <v/>
      </c>
      <c r="L830" s="49">
        <f>IF($D830="","",IFERROR(INDEX(ENVIOS!$C$4:$C$3003,MATCH($D830,ENVIOS!$A$4:$A$3003,0)),""))</f>
        <v/>
      </c>
      <c r="M830" s="50" t="n"/>
      <c r="N830" s="28">
        <f>IF($M830="","",IFERROR(INDEX(CONFIG!$C$4:$C$63,MATCH($M830,CONFIG!$A$4:$A$63,0)),"Media"))</f>
        <v/>
      </c>
      <c r="O830" s="28">
        <f>IF($M830="","",IF($C830="Interna","NO",IFERROR(INDEX(CONFIG!$E$4:$E$63,MATCH($M830,CONFIG!$A$4:$A$63,0)),"NO")))</f>
        <v/>
      </c>
      <c r="P830" s="50" t="n"/>
      <c r="Q830" s="50" t="n"/>
      <c r="R830" s="28">
        <f>IF($Q830="","",IFERROR(INDEX(CONFIG!$H$4:$H$63,MATCH($Q830,CONFIG!$G$4:$G$63,0)),"Por definir"))</f>
        <v/>
      </c>
      <c r="S830" s="28">
        <f>IF($Q830="","",IFERROR(INDEX(CONFIG!$I$4:$I$63,MATCH($Q830,CONFIG!$G$4:$G$63,0)),"Por definir"))</f>
        <v/>
      </c>
      <c r="T830" s="51" t="n"/>
      <c r="U830" s="52" t="n"/>
      <c r="V830" s="50" t="n"/>
      <c r="W830" s="50" t="n"/>
      <c r="X830" s="49">
        <f>IF(OR($B830="",$M830=""),"",WORKDAY($B830,IFERROR(INDEX(CONFIG!$D$4:$D$63,MATCH($M830,CONFIG!$A$4:$A$63,0)),3)))</f>
        <v/>
      </c>
      <c r="Y830" s="47" t="n"/>
      <c r="Z830" s="24">
        <f>IF($B830="","",IF($Y830&lt;&gt;"",$Y830-$B830,TODAY()-$B830))</f>
        <v/>
      </c>
      <c r="AA830" s="28">
        <f>IF($B830="","",IF(IFERROR(INDEX(CONFIG!$L$4:$L$63,MATCH($V830,CONFIG!$K$4:$K$63,0)),"NO")="SÍ",IF(OR($Y830="",$X830=""),"Resuelta",IF($Y830&gt;$X830,"Resuelta tarde","Resuelta a tiempo")),IF($X830="","Sin clasificar",IF(TODAY()&gt;$X830,"Vencida",IF(TODAY()&gt;=$X830-1,"Por vencer","En plazo")))))</f>
        <v/>
      </c>
      <c r="AB830" s="50" t="n"/>
      <c r="AC830" s="50" t="n"/>
    </row>
    <row r="831" ht="16" customHeight="1">
      <c r="A831" s="28">
        <f>IF($B831="","","N-"&amp;TEXT(ROW()-3,"0000"))</f>
        <v/>
      </c>
      <c r="B831" s="47" t="n"/>
      <c r="C831" s="48" t="n"/>
      <c r="D831" s="48" t="n"/>
      <c r="E831" s="28">
        <f>IF($C831="","",IF($D831="",IF($C831="Interna","Sin guía (interna)","FALTA GUÍA"),IF(COUNTIFS(ENVIOS!$A$4:$A$3003,$D831)=0,"NO EXISTE",IF(COUNTIFS(ENVIOS!$A$4:$A$3003,$D831)&gt;1,"DUPLICADA","OK"))))</f>
        <v/>
      </c>
      <c r="F831" s="28">
        <f>IF($D831="","",IFERROR(INDEX(ENVIOS!$B$4:$B$3003,MATCH($D831,ENVIOS!$A$4:$A$3003,0)),"—"))</f>
        <v/>
      </c>
      <c r="G831" s="23">
        <f>IF($D831="","",IFERROR(INDEX(ENVIOS!$D$4:$D$3003,MATCH($D831,ENVIOS!$A$4:$A$3003,0)),"—"))</f>
        <v/>
      </c>
      <c r="H831" s="23">
        <f>IF($D831="","",IFERROR(INDEX(ENVIOS!$E$4:$E$3003,MATCH($D831,ENVIOS!$A$4:$A$3003,0)),"—"))</f>
        <v/>
      </c>
      <c r="I831" s="23">
        <f>IF($D831="","",IFERROR(INDEX(ENVIOS!$F$4:$F$3003,MATCH($D831,ENVIOS!$A$4:$A$3003,0)),"—"))</f>
        <v/>
      </c>
      <c r="J831" s="23">
        <f>IF($D831="","",IFERROR(INDEX(ENVIOS!$G$4:$G$3003,MATCH($D831,ENVIOS!$A$4:$A$3003,0)),"—"))</f>
        <v/>
      </c>
      <c r="K831" s="28">
        <f>IF($D831="","",IFERROR(INDEX(ENVIOS!$H$4:$H$3003,MATCH($D831,ENVIOS!$A$4:$A$3003,0)),"—"))</f>
        <v/>
      </c>
      <c r="L831" s="49">
        <f>IF($D831="","",IFERROR(INDEX(ENVIOS!$C$4:$C$3003,MATCH($D831,ENVIOS!$A$4:$A$3003,0)),""))</f>
        <v/>
      </c>
      <c r="M831" s="50" t="n"/>
      <c r="N831" s="28">
        <f>IF($M831="","",IFERROR(INDEX(CONFIG!$C$4:$C$63,MATCH($M831,CONFIG!$A$4:$A$63,0)),"Media"))</f>
        <v/>
      </c>
      <c r="O831" s="28">
        <f>IF($M831="","",IF($C831="Interna","NO",IFERROR(INDEX(CONFIG!$E$4:$E$63,MATCH($M831,CONFIG!$A$4:$A$63,0)),"NO")))</f>
        <v/>
      </c>
      <c r="P831" s="50" t="n"/>
      <c r="Q831" s="50" t="n"/>
      <c r="R831" s="28">
        <f>IF($Q831="","",IFERROR(INDEX(CONFIG!$H$4:$H$63,MATCH($Q831,CONFIG!$G$4:$G$63,0)),"Por definir"))</f>
        <v/>
      </c>
      <c r="S831" s="28">
        <f>IF($Q831="","",IFERROR(INDEX(CONFIG!$I$4:$I$63,MATCH($Q831,CONFIG!$G$4:$G$63,0)),"Por definir"))</f>
        <v/>
      </c>
      <c r="T831" s="51" t="n"/>
      <c r="U831" s="52" t="n"/>
      <c r="V831" s="50" t="n"/>
      <c r="W831" s="50" t="n"/>
      <c r="X831" s="49">
        <f>IF(OR($B831="",$M831=""),"",WORKDAY($B831,IFERROR(INDEX(CONFIG!$D$4:$D$63,MATCH($M831,CONFIG!$A$4:$A$63,0)),3)))</f>
        <v/>
      </c>
      <c r="Y831" s="47" t="n"/>
      <c r="Z831" s="24">
        <f>IF($B831="","",IF($Y831&lt;&gt;"",$Y831-$B831,TODAY()-$B831))</f>
        <v/>
      </c>
      <c r="AA831" s="28">
        <f>IF($B831="","",IF(IFERROR(INDEX(CONFIG!$L$4:$L$63,MATCH($V831,CONFIG!$K$4:$K$63,0)),"NO")="SÍ",IF(OR($Y831="",$X831=""),"Resuelta",IF($Y831&gt;$X831,"Resuelta tarde","Resuelta a tiempo")),IF($X831="","Sin clasificar",IF(TODAY()&gt;$X831,"Vencida",IF(TODAY()&gt;=$X831-1,"Por vencer","En plazo")))))</f>
        <v/>
      </c>
      <c r="AB831" s="50" t="n"/>
      <c r="AC831" s="50" t="n"/>
    </row>
    <row r="832" ht="16" customHeight="1">
      <c r="A832" s="28">
        <f>IF($B832="","","N-"&amp;TEXT(ROW()-3,"0000"))</f>
        <v/>
      </c>
      <c r="B832" s="47" t="n"/>
      <c r="C832" s="48" t="n"/>
      <c r="D832" s="48" t="n"/>
      <c r="E832" s="28">
        <f>IF($C832="","",IF($D832="",IF($C832="Interna","Sin guía (interna)","FALTA GUÍA"),IF(COUNTIFS(ENVIOS!$A$4:$A$3003,$D832)=0,"NO EXISTE",IF(COUNTIFS(ENVIOS!$A$4:$A$3003,$D832)&gt;1,"DUPLICADA","OK"))))</f>
        <v/>
      </c>
      <c r="F832" s="28">
        <f>IF($D832="","",IFERROR(INDEX(ENVIOS!$B$4:$B$3003,MATCH($D832,ENVIOS!$A$4:$A$3003,0)),"—"))</f>
        <v/>
      </c>
      <c r="G832" s="23">
        <f>IF($D832="","",IFERROR(INDEX(ENVIOS!$D$4:$D$3003,MATCH($D832,ENVIOS!$A$4:$A$3003,0)),"—"))</f>
        <v/>
      </c>
      <c r="H832" s="23">
        <f>IF($D832="","",IFERROR(INDEX(ENVIOS!$E$4:$E$3003,MATCH($D832,ENVIOS!$A$4:$A$3003,0)),"—"))</f>
        <v/>
      </c>
      <c r="I832" s="23">
        <f>IF($D832="","",IFERROR(INDEX(ENVIOS!$F$4:$F$3003,MATCH($D832,ENVIOS!$A$4:$A$3003,0)),"—"))</f>
        <v/>
      </c>
      <c r="J832" s="23">
        <f>IF($D832="","",IFERROR(INDEX(ENVIOS!$G$4:$G$3003,MATCH($D832,ENVIOS!$A$4:$A$3003,0)),"—"))</f>
        <v/>
      </c>
      <c r="K832" s="28">
        <f>IF($D832="","",IFERROR(INDEX(ENVIOS!$H$4:$H$3003,MATCH($D832,ENVIOS!$A$4:$A$3003,0)),"—"))</f>
        <v/>
      </c>
      <c r="L832" s="49">
        <f>IF($D832="","",IFERROR(INDEX(ENVIOS!$C$4:$C$3003,MATCH($D832,ENVIOS!$A$4:$A$3003,0)),""))</f>
        <v/>
      </c>
      <c r="M832" s="50" t="n"/>
      <c r="N832" s="28">
        <f>IF($M832="","",IFERROR(INDEX(CONFIG!$C$4:$C$63,MATCH($M832,CONFIG!$A$4:$A$63,0)),"Media"))</f>
        <v/>
      </c>
      <c r="O832" s="28">
        <f>IF($M832="","",IF($C832="Interna","NO",IFERROR(INDEX(CONFIG!$E$4:$E$63,MATCH($M832,CONFIG!$A$4:$A$63,0)),"NO")))</f>
        <v/>
      </c>
      <c r="P832" s="50" t="n"/>
      <c r="Q832" s="50" t="n"/>
      <c r="R832" s="28">
        <f>IF($Q832="","",IFERROR(INDEX(CONFIG!$H$4:$H$63,MATCH($Q832,CONFIG!$G$4:$G$63,0)),"Por definir"))</f>
        <v/>
      </c>
      <c r="S832" s="28">
        <f>IF($Q832="","",IFERROR(INDEX(CONFIG!$I$4:$I$63,MATCH($Q832,CONFIG!$G$4:$G$63,0)),"Por definir"))</f>
        <v/>
      </c>
      <c r="T832" s="51" t="n"/>
      <c r="U832" s="52" t="n"/>
      <c r="V832" s="50" t="n"/>
      <c r="W832" s="50" t="n"/>
      <c r="X832" s="49">
        <f>IF(OR($B832="",$M832=""),"",WORKDAY($B832,IFERROR(INDEX(CONFIG!$D$4:$D$63,MATCH($M832,CONFIG!$A$4:$A$63,0)),3)))</f>
        <v/>
      </c>
      <c r="Y832" s="47" t="n"/>
      <c r="Z832" s="24">
        <f>IF($B832="","",IF($Y832&lt;&gt;"",$Y832-$B832,TODAY()-$B832))</f>
        <v/>
      </c>
      <c r="AA832" s="28">
        <f>IF($B832="","",IF(IFERROR(INDEX(CONFIG!$L$4:$L$63,MATCH($V832,CONFIG!$K$4:$K$63,0)),"NO")="SÍ",IF(OR($Y832="",$X832=""),"Resuelta",IF($Y832&gt;$X832,"Resuelta tarde","Resuelta a tiempo")),IF($X832="","Sin clasificar",IF(TODAY()&gt;$X832,"Vencida",IF(TODAY()&gt;=$X832-1,"Por vencer","En plazo")))))</f>
        <v/>
      </c>
      <c r="AB832" s="50" t="n"/>
      <c r="AC832" s="50" t="n"/>
    </row>
    <row r="833" ht="16" customHeight="1">
      <c r="A833" s="28">
        <f>IF($B833="","","N-"&amp;TEXT(ROW()-3,"0000"))</f>
        <v/>
      </c>
      <c r="B833" s="47" t="n"/>
      <c r="C833" s="48" t="n"/>
      <c r="D833" s="48" t="n"/>
      <c r="E833" s="28">
        <f>IF($C833="","",IF($D833="",IF($C833="Interna","Sin guía (interna)","FALTA GUÍA"),IF(COUNTIFS(ENVIOS!$A$4:$A$3003,$D833)=0,"NO EXISTE",IF(COUNTIFS(ENVIOS!$A$4:$A$3003,$D833)&gt;1,"DUPLICADA","OK"))))</f>
        <v/>
      </c>
      <c r="F833" s="28">
        <f>IF($D833="","",IFERROR(INDEX(ENVIOS!$B$4:$B$3003,MATCH($D833,ENVIOS!$A$4:$A$3003,0)),"—"))</f>
        <v/>
      </c>
      <c r="G833" s="23">
        <f>IF($D833="","",IFERROR(INDEX(ENVIOS!$D$4:$D$3003,MATCH($D833,ENVIOS!$A$4:$A$3003,0)),"—"))</f>
        <v/>
      </c>
      <c r="H833" s="23">
        <f>IF($D833="","",IFERROR(INDEX(ENVIOS!$E$4:$E$3003,MATCH($D833,ENVIOS!$A$4:$A$3003,0)),"—"))</f>
        <v/>
      </c>
      <c r="I833" s="23">
        <f>IF($D833="","",IFERROR(INDEX(ENVIOS!$F$4:$F$3003,MATCH($D833,ENVIOS!$A$4:$A$3003,0)),"—"))</f>
        <v/>
      </c>
      <c r="J833" s="23">
        <f>IF($D833="","",IFERROR(INDEX(ENVIOS!$G$4:$G$3003,MATCH($D833,ENVIOS!$A$4:$A$3003,0)),"—"))</f>
        <v/>
      </c>
      <c r="K833" s="28">
        <f>IF($D833="","",IFERROR(INDEX(ENVIOS!$H$4:$H$3003,MATCH($D833,ENVIOS!$A$4:$A$3003,0)),"—"))</f>
        <v/>
      </c>
      <c r="L833" s="49">
        <f>IF($D833="","",IFERROR(INDEX(ENVIOS!$C$4:$C$3003,MATCH($D833,ENVIOS!$A$4:$A$3003,0)),""))</f>
        <v/>
      </c>
      <c r="M833" s="50" t="n"/>
      <c r="N833" s="28">
        <f>IF($M833="","",IFERROR(INDEX(CONFIG!$C$4:$C$63,MATCH($M833,CONFIG!$A$4:$A$63,0)),"Media"))</f>
        <v/>
      </c>
      <c r="O833" s="28">
        <f>IF($M833="","",IF($C833="Interna","NO",IFERROR(INDEX(CONFIG!$E$4:$E$63,MATCH($M833,CONFIG!$A$4:$A$63,0)),"NO")))</f>
        <v/>
      </c>
      <c r="P833" s="50" t="n"/>
      <c r="Q833" s="50" t="n"/>
      <c r="R833" s="28">
        <f>IF($Q833="","",IFERROR(INDEX(CONFIG!$H$4:$H$63,MATCH($Q833,CONFIG!$G$4:$G$63,0)),"Por definir"))</f>
        <v/>
      </c>
      <c r="S833" s="28">
        <f>IF($Q833="","",IFERROR(INDEX(CONFIG!$I$4:$I$63,MATCH($Q833,CONFIG!$G$4:$G$63,0)),"Por definir"))</f>
        <v/>
      </c>
      <c r="T833" s="51" t="n"/>
      <c r="U833" s="52" t="n"/>
      <c r="V833" s="50" t="n"/>
      <c r="W833" s="50" t="n"/>
      <c r="X833" s="49">
        <f>IF(OR($B833="",$M833=""),"",WORKDAY($B833,IFERROR(INDEX(CONFIG!$D$4:$D$63,MATCH($M833,CONFIG!$A$4:$A$63,0)),3)))</f>
        <v/>
      </c>
      <c r="Y833" s="47" t="n"/>
      <c r="Z833" s="24">
        <f>IF($B833="","",IF($Y833&lt;&gt;"",$Y833-$B833,TODAY()-$B833))</f>
        <v/>
      </c>
      <c r="AA833" s="28">
        <f>IF($B833="","",IF(IFERROR(INDEX(CONFIG!$L$4:$L$63,MATCH($V833,CONFIG!$K$4:$K$63,0)),"NO")="SÍ",IF(OR($Y833="",$X833=""),"Resuelta",IF($Y833&gt;$X833,"Resuelta tarde","Resuelta a tiempo")),IF($X833="","Sin clasificar",IF(TODAY()&gt;$X833,"Vencida",IF(TODAY()&gt;=$X833-1,"Por vencer","En plazo")))))</f>
        <v/>
      </c>
      <c r="AB833" s="50" t="n"/>
      <c r="AC833" s="50" t="n"/>
    </row>
    <row r="834" ht="16" customHeight="1">
      <c r="A834" s="28">
        <f>IF($B834="","","N-"&amp;TEXT(ROW()-3,"0000"))</f>
        <v/>
      </c>
      <c r="B834" s="47" t="n"/>
      <c r="C834" s="48" t="n"/>
      <c r="D834" s="48" t="n"/>
      <c r="E834" s="28">
        <f>IF($C834="","",IF($D834="",IF($C834="Interna","Sin guía (interna)","FALTA GUÍA"),IF(COUNTIFS(ENVIOS!$A$4:$A$3003,$D834)=0,"NO EXISTE",IF(COUNTIFS(ENVIOS!$A$4:$A$3003,$D834)&gt;1,"DUPLICADA","OK"))))</f>
        <v/>
      </c>
      <c r="F834" s="28">
        <f>IF($D834="","",IFERROR(INDEX(ENVIOS!$B$4:$B$3003,MATCH($D834,ENVIOS!$A$4:$A$3003,0)),"—"))</f>
        <v/>
      </c>
      <c r="G834" s="23">
        <f>IF($D834="","",IFERROR(INDEX(ENVIOS!$D$4:$D$3003,MATCH($D834,ENVIOS!$A$4:$A$3003,0)),"—"))</f>
        <v/>
      </c>
      <c r="H834" s="23">
        <f>IF($D834="","",IFERROR(INDEX(ENVIOS!$E$4:$E$3003,MATCH($D834,ENVIOS!$A$4:$A$3003,0)),"—"))</f>
        <v/>
      </c>
      <c r="I834" s="23">
        <f>IF($D834="","",IFERROR(INDEX(ENVIOS!$F$4:$F$3003,MATCH($D834,ENVIOS!$A$4:$A$3003,0)),"—"))</f>
        <v/>
      </c>
      <c r="J834" s="23">
        <f>IF($D834="","",IFERROR(INDEX(ENVIOS!$G$4:$G$3003,MATCH($D834,ENVIOS!$A$4:$A$3003,0)),"—"))</f>
        <v/>
      </c>
      <c r="K834" s="28">
        <f>IF($D834="","",IFERROR(INDEX(ENVIOS!$H$4:$H$3003,MATCH($D834,ENVIOS!$A$4:$A$3003,0)),"—"))</f>
        <v/>
      </c>
      <c r="L834" s="49">
        <f>IF($D834="","",IFERROR(INDEX(ENVIOS!$C$4:$C$3003,MATCH($D834,ENVIOS!$A$4:$A$3003,0)),""))</f>
        <v/>
      </c>
      <c r="M834" s="50" t="n"/>
      <c r="N834" s="28">
        <f>IF($M834="","",IFERROR(INDEX(CONFIG!$C$4:$C$63,MATCH($M834,CONFIG!$A$4:$A$63,0)),"Media"))</f>
        <v/>
      </c>
      <c r="O834" s="28">
        <f>IF($M834="","",IF($C834="Interna","NO",IFERROR(INDEX(CONFIG!$E$4:$E$63,MATCH($M834,CONFIG!$A$4:$A$63,0)),"NO")))</f>
        <v/>
      </c>
      <c r="P834" s="50" t="n"/>
      <c r="Q834" s="50" t="n"/>
      <c r="R834" s="28">
        <f>IF($Q834="","",IFERROR(INDEX(CONFIG!$H$4:$H$63,MATCH($Q834,CONFIG!$G$4:$G$63,0)),"Por definir"))</f>
        <v/>
      </c>
      <c r="S834" s="28">
        <f>IF($Q834="","",IFERROR(INDEX(CONFIG!$I$4:$I$63,MATCH($Q834,CONFIG!$G$4:$G$63,0)),"Por definir"))</f>
        <v/>
      </c>
      <c r="T834" s="51" t="n"/>
      <c r="U834" s="52" t="n"/>
      <c r="V834" s="50" t="n"/>
      <c r="W834" s="50" t="n"/>
      <c r="X834" s="49">
        <f>IF(OR($B834="",$M834=""),"",WORKDAY($B834,IFERROR(INDEX(CONFIG!$D$4:$D$63,MATCH($M834,CONFIG!$A$4:$A$63,0)),3)))</f>
        <v/>
      </c>
      <c r="Y834" s="47" t="n"/>
      <c r="Z834" s="24">
        <f>IF($B834="","",IF($Y834&lt;&gt;"",$Y834-$B834,TODAY()-$B834))</f>
        <v/>
      </c>
      <c r="AA834" s="28">
        <f>IF($B834="","",IF(IFERROR(INDEX(CONFIG!$L$4:$L$63,MATCH($V834,CONFIG!$K$4:$K$63,0)),"NO")="SÍ",IF(OR($Y834="",$X834=""),"Resuelta",IF($Y834&gt;$X834,"Resuelta tarde","Resuelta a tiempo")),IF($X834="","Sin clasificar",IF(TODAY()&gt;$X834,"Vencida",IF(TODAY()&gt;=$X834-1,"Por vencer","En plazo")))))</f>
        <v/>
      </c>
      <c r="AB834" s="50" t="n"/>
      <c r="AC834" s="50" t="n"/>
    </row>
    <row r="835" ht="16" customHeight="1">
      <c r="A835" s="28">
        <f>IF($B835="","","N-"&amp;TEXT(ROW()-3,"0000"))</f>
        <v/>
      </c>
      <c r="B835" s="47" t="n"/>
      <c r="C835" s="48" t="n"/>
      <c r="D835" s="48" t="n"/>
      <c r="E835" s="28">
        <f>IF($C835="","",IF($D835="",IF($C835="Interna","Sin guía (interna)","FALTA GUÍA"),IF(COUNTIFS(ENVIOS!$A$4:$A$3003,$D835)=0,"NO EXISTE",IF(COUNTIFS(ENVIOS!$A$4:$A$3003,$D835)&gt;1,"DUPLICADA","OK"))))</f>
        <v/>
      </c>
      <c r="F835" s="28">
        <f>IF($D835="","",IFERROR(INDEX(ENVIOS!$B$4:$B$3003,MATCH($D835,ENVIOS!$A$4:$A$3003,0)),"—"))</f>
        <v/>
      </c>
      <c r="G835" s="23">
        <f>IF($D835="","",IFERROR(INDEX(ENVIOS!$D$4:$D$3003,MATCH($D835,ENVIOS!$A$4:$A$3003,0)),"—"))</f>
        <v/>
      </c>
      <c r="H835" s="23">
        <f>IF($D835="","",IFERROR(INDEX(ENVIOS!$E$4:$E$3003,MATCH($D835,ENVIOS!$A$4:$A$3003,0)),"—"))</f>
        <v/>
      </c>
      <c r="I835" s="23">
        <f>IF($D835="","",IFERROR(INDEX(ENVIOS!$F$4:$F$3003,MATCH($D835,ENVIOS!$A$4:$A$3003,0)),"—"))</f>
        <v/>
      </c>
      <c r="J835" s="23">
        <f>IF($D835="","",IFERROR(INDEX(ENVIOS!$G$4:$G$3003,MATCH($D835,ENVIOS!$A$4:$A$3003,0)),"—"))</f>
        <v/>
      </c>
      <c r="K835" s="28">
        <f>IF($D835="","",IFERROR(INDEX(ENVIOS!$H$4:$H$3003,MATCH($D835,ENVIOS!$A$4:$A$3003,0)),"—"))</f>
        <v/>
      </c>
      <c r="L835" s="49">
        <f>IF($D835="","",IFERROR(INDEX(ENVIOS!$C$4:$C$3003,MATCH($D835,ENVIOS!$A$4:$A$3003,0)),""))</f>
        <v/>
      </c>
      <c r="M835" s="50" t="n"/>
      <c r="N835" s="28">
        <f>IF($M835="","",IFERROR(INDEX(CONFIG!$C$4:$C$63,MATCH($M835,CONFIG!$A$4:$A$63,0)),"Media"))</f>
        <v/>
      </c>
      <c r="O835" s="28">
        <f>IF($M835="","",IF($C835="Interna","NO",IFERROR(INDEX(CONFIG!$E$4:$E$63,MATCH($M835,CONFIG!$A$4:$A$63,0)),"NO")))</f>
        <v/>
      </c>
      <c r="P835" s="50" t="n"/>
      <c r="Q835" s="50" t="n"/>
      <c r="R835" s="28">
        <f>IF($Q835="","",IFERROR(INDEX(CONFIG!$H$4:$H$63,MATCH($Q835,CONFIG!$G$4:$G$63,0)),"Por definir"))</f>
        <v/>
      </c>
      <c r="S835" s="28">
        <f>IF($Q835="","",IFERROR(INDEX(CONFIG!$I$4:$I$63,MATCH($Q835,CONFIG!$G$4:$G$63,0)),"Por definir"))</f>
        <v/>
      </c>
      <c r="T835" s="51" t="n"/>
      <c r="U835" s="52" t="n"/>
      <c r="V835" s="50" t="n"/>
      <c r="W835" s="50" t="n"/>
      <c r="X835" s="49">
        <f>IF(OR($B835="",$M835=""),"",WORKDAY($B835,IFERROR(INDEX(CONFIG!$D$4:$D$63,MATCH($M835,CONFIG!$A$4:$A$63,0)),3)))</f>
        <v/>
      </c>
      <c r="Y835" s="47" t="n"/>
      <c r="Z835" s="24">
        <f>IF($B835="","",IF($Y835&lt;&gt;"",$Y835-$B835,TODAY()-$B835))</f>
        <v/>
      </c>
      <c r="AA835" s="28">
        <f>IF($B835="","",IF(IFERROR(INDEX(CONFIG!$L$4:$L$63,MATCH($V835,CONFIG!$K$4:$K$63,0)),"NO")="SÍ",IF(OR($Y835="",$X835=""),"Resuelta",IF($Y835&gt;$X835,"Resuelta tarde","Resuelta a tiempo")),IF($X835="","Sin clasificar",IF(TODAY()&gt;$X835,"Vencida",IF(TODAY()&gt;=$X835-1,"Por vencer","En plazo")))))</f>
        <v/>
      </c>
      <c r="AB835" s="50" t="n"/>
      <c r="AC835" s="50" t="n"/>
    </row>
    <row r="836" ht="16" customHeight="1">
      <c r="A836" s="28">
        <f>IF($B836="","","N-"&amp;TEXT(ROW()-3,"0000"))</f>
        <v/>
      </c>
      <c r="B836" s="47" t="n"/>
      <c r="C836" s="48" t="n"/>
      <c r="D836" s="48" t="n"/>
      <c r="E836" s="28">
        <f>IF($C836="","",IF($D836="",IF($C836="Interna","Sin guía (interna)","FALTA GUÍA"),IF(COUNTIFS(ENVIOS!$A$4:$A$3003,$D836)=0,"NO EXISTE",IF(COUNTIFS(ENVIOS!$A$4:$A$3003,$D836)&gt;1,"DUPLICADA","OK"))))</f>
        <v/>
      </c>
      <c r="F836" s="28">
        <f>IF($D836="","",IFERROR(INDEX(ENVIOS!$B$4:$B$3003,MATCH($D836,ENVIOS!$A$4:$A$3003,0)),"—"))</f>
        <v/>
      </c>
      <c r="G836" s="23">
        <f>IF($D836="","",IFERROR(INDEX(ENVIOS!$D$4:$D$3003,MATCH($D836,ENVIOS!$A$4:$A$3003,0)),"—"))</f>
        <v/>
      </c>
      <c r="H836" s="23">
        <f>IF($D836="","",IFERROR(INDEX(ENVIOS!$E$4:$E$3003,MATCH($D836,ENVIOS!$A$4:$A$3003,0)),"—"))</f>
        <v/>
      </c>
      <c r="I836" s="23">
        <f>IF($D836="","",IFERROR(INDEX(ENVIOS!$F$4:$F$3003,MATCH($D836,ENVIOS!$A$4:$A$3003,0)),"—"))</f>
        <v/>
      </c>
      <c r="J836" s="23">
        <f>IF($D836="","",IFERROR(INDEX(ENVIOS!$G$4:$G$3003,MATCH($D836,ENVIOS!$A$4:$A$3003,0)),"—"))</f>
        <v/>
      </c>
      <c r="K836" s="28">
        <f>IF($D836="","",IFERROR(INDEX(ENVIOS!$H$4:$H$3003,MATCH($D836,ENVIOS!$A$4:$A$3003,0)),"—"))</f>
        <v/>
      </c>
      <c r="L836" s="49">
        <f>IF($D836="","",IFERROR(INDEX(ENVIOS!$C$4:$C$3003,MATCH($D836,ENVIOS!$A$4:$A$3003,0)),""))</f>
        <v/>
      </c>
      <c r="M836" s="50" t="n"/>
      <c r="N836" s="28">
        <f>IF($M836="","",IFERROR(INDEX(CONFIG!$C$4:$C$63,MATCH($M836,CONFIG!$A$4:$A$63,0)),"Media"))</f>
        <v/>
      </c>
      <c r="O836" s="28">
        <f>IF($M836="","",IF($C836="Interna","NO",IFERROR(INDEX(CONFIG!$E$4:$E$63,MATCH($M836,CONFIG!$A$4:$A$63,0)),"NO")))</f>
        <v/>
      </c>
      <c r="P836" s="50" t="n"/>
      <c r="Q836" s="50" t="n"/>
      <c r="R836" s="28">
        <f>IF($Q836="","",IFERROR(INDEX(CONFIG!$H$4:$H$63,MATCH($Q836,CONFIG!$G$4:$G$63,0)),"Por definir"))</f>
        <v/>
      </c>
      <c r="S836" s="28">
        <f>IF($Q836="","",IFERROR(INDEX(CONFIG!$I$4:$I$63,MATCH($Q836,CONFIG!$G$4:$G$63,0)),"Por definir"))</f>
        <v/>
      </c>
      <c r="T836" s="51" t="n"/>
      <c r="U836" s="52" t="n"/>
      <c r="V836" s="50" t="n"/>
      <c r="W836" s="50" t="n"/>
      <c r="X836" s="49">
        <f>IF(OR($B836="",$M836=""),"",WORKDAY($B836,IFERROR(INDEX(CONFIG!$D$4:$D$63,MATCH($M836,CONFIG!$A$4:$A$63,0)),3)))</f>
        <v/>
      </c>
      <c r="Y836" s="47" t="n"/>
      <c r="Z836" s="24">
        <f>IF($B836="","",IF($Y836&lt;&gt;"",$Y836-$B836,TODAY()-$B836))</f>
        <v/>
      </c>
      <c r="AA836" s="28">
        <f>IF($B836="","",IF(IFERROR(INDEX(CONFIG!$L$4:$L$63,MATCH($V836,CONFIG!$K$4:$K$63,0)),"NO")="SÍ",IF(OR($Y836="",$X836=""),"Resuelta",IF($Y836&gt;$X836,"Resuelta tarde","Resuelta a tiempo")),IF($X836="","Sin clasificar",IF(TODAY()&gt;$X836,"Vencida",IF(TODAY()&gt;=$X836-1,"Por vencer","En plazo")))))</f>
        <v/>
      </c>
      <c r="AB836" s="50" t="n"/>
      <c r="AC836" s="50" t="n"/>
    </row>
    <row r="837" ht="16" customHeight="1">
      <c r="A837" s="28">
        <f>IF($B837="","","N-"&amp;TEXT(ROW()-3,"0000"))</f>
        <v/>
      </c>
      <c r="B837" s="47" t="n"/>
      <c r="C837" s="48" t="n"/>
      <c r="D837" s="48" t="n"/>
      <c r="E837" s="28">
        <f>IF($C837="","",IF($D837="",IF($C837="Interna","Sin guía (interna)","FALTA GUÍA"),IF(COUNTIFS(ENVIOS!$A$4:$A$3003,$D837)=0,"NO EXISTE",IF(COUNTIFS(ENVIOS!$A$4:$A$3003,$D837)&gt;1,"DUPLICADA","OK"))))</f>
        <v/>
      </c>
      <c r="F837" s="28">
        <f>IF($D837="","",IFERROR(INDEX(ENVIOS!$B$4:$B$3003,MATCH($D837,ENVIOS!$A$4:$A$3003,0)),"—"))</f>
        <v/>
      </c>
      <c r="G837" s="23">
        <f>IF($D837="","",IFERROR(INDEX(ENVIOS!$D$4:$D$3003,MATCH($D837,ENVIOS!$A$4:$A$3003,0)),"—"))</f>
        <v/>
      </c>
      <c r="H837" s="23">
        <f>IF($D837="","",IFERROR(INDEX(ENVIOS!$E$4:$E$3003,MATCH($D837,ENVIOS!$A$4:$A$3003,0)),"—"))</f>
        <v/>
      </c>
      <c r="I837" s="23">
        <f>IF($D837="","",IFERROR(INDEX(ENVIOS!$F$4:$F$3003,MATCH($D837,ENVIOS!$A$4:$A$3003,0)),"—"))</f>
        <v/>
      </c>
      <c r="J837" s="23">
        <f>IF($D837="","",IFERROR(INDEX(ENVIOS!$G$4:$G$3003,MATCH($D837,ENVIOS!$A$4:$A$3003,0)),"—"))</f>
        <v/>
      </c>
      <c r="K837" s="28">
        <f>IF($D837="","",IFERROR(INDEX(ENVIOS!$H$4:$H$3003,MATCH($D837,ENVIOS!$A$4:$A$3003,0)),"—"))</f>
        <v/>
      </c>
      <c r="L837" s="49">
        <f>IF($D837="","",IFERROR(INDEX(ENVIOS!$C$4:$C$3003,MATCH($D837,ENVIOS!$A$4:$A$3003,0)),""))</f>
        <v/>
      </c>
      <c r="M837" s="50" t="n"/>
      <c r="N837" s="28">
        <f>IF($M837="","",IFERROR(INDEX(CONFIG!$C$4:$C$63,MATCH($M837,CONFIG!$A$4:$A$63,0)),"Media"))</f>
        <v/>
      </c>
      <c r="O837" s="28">
        <f>IF($M837="","",IF($C837="Interna","NO",IFERROR(INDEX(CONFIG!$E$4:$E$63,MATCH($M837,CONFIG!$A$4:$A$63,0)),"NO")))</f>
        <v/>
      </c>
      <c r="P837" s="50" t="n"/>
      <c r="Q837" s="50" t="n"/>
      <c r="R837" s="28">
        <f>IF($Q837="","",IFERROR(INDEX(CONFIG!$H$4:$H$63,MATCH($Q837,CONFIG!$G$4:$G$63,0)),"Por definir"))</f>
        <v/>
      </c>
      <c r="S837" s="28">
        <f>IF($Q837="","",IFERROR(INDEX(CONFIG!$I$4:$I$63,MATCH($Q837,CONFIG!$G$4:$G$63,0)),"Por definir"))</f>
        <v/>
      </c>
      <c r="T837" s="51" t="n"/>
      <c r="U837" s="52" t="n"/>
      <c r="V837" s="50" t="n"/>
      <c r="W837" s="50" t="n"/>
      <c r="X837" s="49">
        <f>IF(OR($B837="",$M837=""),"",WORKDAY($B837,IFERROR(INDEX(CONFIG!$D$4:$D$63,MATCH($M837,CONFIG!$A$4:$A$63,0)),3)))</f>
        <v/>
      </c>
      <c r="Y837" s="47" t="n"/>
      <c r="Z837" s="24">
        <f>IF($B837="","",IF($Y837&lt;&gt;"",$Y837-$B837,TODAY()-$B837))</f>
        <v/>
      </c>
      <c r="AA837" s="28">
        <f>IF($B837="","",IF(IFERROR(INDEX(CONFIG!$L$4:$L$63,MATCH($V837,CONFIG!$K$4:$K$63,0)),"NO")="SÍ",IF(OR($Y837="",$X837=""),"Resuelta",IF($Y837&gt;$X837,"Resuelta tarde","Resuelta a tiempo")),IF($X837="","Sin clasificar",IF(TODAY()&gt;$X837,"Vencida",IF(TODAY()&gt;=$X837-1,"Por vencer","En plazo")))))</f>
        <v/>
      </c>
      <c r="AB837" s="50" t="n"/>
      <c r="AC837" s="50" t="n"/>
    </row>
    <row r="838" ht="16" customHeight="1">
      <c r="A838" s="28">
        <f>IF($B838="","","N-"&amp;TEXT(ROW()-3,"0000"))</f>
        <v/>
      </c>
      <c r="B838" s="47" t="n"/>
      <c r="C838" s="48" t="n"/>
      <c r="D838" s="48" t="n"/>
      <c r="E838" s="28">
        <f>IF($C838="","",IF($D838="",IF($C838="Interna","Sin guía (interna)","FALTA GUÍA"),IF(COUNTIFS(ENVIOS!$A$4:$A$3003,$D838)=0,"NO EXISTE",IF(COUNTIFS(ENVIOS!$A$4:$A$3003,$D838)&gt;1,"DUPLICADA","OK"))))</f>
        <v/>
      </c>
      <c r="F838" s="28">
        <f>IF($D838="","",IFERROR(INDEX(ENVIOS!$B$4:$B$3003,MATCH($D838,ENVIOS!$A$4:$A$3003,0)),"—"))</f>
        <v/>
      </c>
      <c r="G838" s="23">
        <f>IF($D838="","",IFERROR(INDEX(ENVIOS!$D$4:$D$3003,MATCH($D838,ENVIOS!$A$4:$A$3003,0)),"—"))</f>
        <v/>
      </c>
      <c r="H838" s="23">
        <f>IF($D838="","",IFERROR(INDEX(ENVIOS!$E$4:$E$3003,MATCH($D838,ENVIOS!$A$4:$A$3003,0)),"—"))</f>
        <v/>
      </c>
      <c r="I838" s="23">
        <f>IF($D838="","",IFERROR(INDEX(ENVIOS!$F$4:$F$3003,MATCH($D838,ENVIOS!$A$4:$A$3003,0)),"—"))</f>
        <v/>
      </c>
      <c r="J838" s="23">
        <f>IF($D838="","",IFERROR(INDEX(ENVIOS!$G$4:$G$3003,MATCH($D838,ENVIOS!$A$4:$A$3003,0)),"—"))</f>
        <v/>
      </c>
      <c r="K838" s="28">
        <f>IF($D838="","",IFERROR(INDEX(ENVIOS!$H$4:$H$3003,MATCH($D838,ENVIOS!$A$4:$A$3003,0)),"—"))</f>
        <v/>
      </c>
      <c r="L838" s="49">
        <f>IF($D838="","",IFERROR(INDEX(ENVIOS!$C$4:$C$3003,MATCH($D838,ENVIOS!$A$4:$A$3003,0)),""))</f>
        <v/>
      </c>
      <c r="M838" s="50" t="n"/>
      <c r="N838" s="28">
        <f>IF($M838="","",IFERROR(INDEX(CONFIG!$C$4:$C$63,MATCH($M838,CONFIG!$A$4:$A$63,0)),"Media"))</f>
        <v/>
      </c>
      <c r="O838" s="28">
        <f>IF($M838="","",IF($C838="Interna","NO",IFERROR(INDEX(CONFIG!$E$4:$E$63,MATCH($M838,CONFIG!$A$4:$A$63,0)),"NO")))</f>
        <v/>
      </c>
      <c r="P838" s="50" t="n"/>
      <c r="Q838" s="50" t="n"/>
      <c r="R838" s="28">
        <f>IF($Q838="","",IFERROR(INDEX(CONFIG!$H$4:$H$63,MATCH($Q838,CONFIG!$G$4:$G$63,0)),"Por definir"))</f>
        <v/>
      </c>
      <c r="S838" s="28">
        <f>IF($Q838="","",IFERROR(INDEX(CONFIG!$I$4:$I$63,MATCH($Q838,CONFIG!$G$4:$G$63,0)),"Por definir"))</f>
        <v/>
      </c>
      <c r="T838" s="51" t="n"/>
      <c r="U838" s="52" t="n"/>
      <c r="V838" s="50" t="n"/>
      <c r="W838" s="50" t="n"/>
      <c r="X838" s="49">
        <f>IF(OR($B838="",$M838=""),"",WORKDAY($B838,IFERROR(INDEX(CONFIG!$D$4:$D$63,MATCH($M838,CONFIG!$A$4:$A$63,0)),3)))</f>
        <v/>
      </c>
      <c r="Y838" s="47" t="n"/>
      <c r="Z838" s="24">
        <f>IF($B838="","",IF($Y838&lt;&gt;"",$Y838-$B838,TODAY()-$B838))</f>
        <v/>
      </c>
      <c r="AA838" s="28">
        <f>IF($B838="","",IF(IFERROR(INDEX(CONFIG!$L$4:$L$63,MATCH($V838,CONFIG!$K$4:$K$63,0)),"NO")="SÍ",IF(OR($Y838="",$X838=""),"Resuelta",IF($Y838&gt;$X838,"Resuelta tarde","Resuelta a tiempo")),IF($X838="","Sin clasificar",IF(TODAY()&gt;$X838,"Vencida",IF(TODAY()&gt;=$X838-1,"Por vencer","En plazo")))))</f>
        <v/>
      </c>
      <c r="AB838" s="50" t="n"/>
      <c r="AC838" s="50" t="n"/>
    </row>
    <row r="839" ht="16" customHeight="1">
      <c r="A839" s="28">
        <f>IF($B839="","","N-"&amp;TEXT(ROW()-3,"0000"))</f>
        <v/>
      </c>
      <c r="B839" s="47" t="n"/>
      <c r="C839" s="48" t="n"/>
      <c r="D839" s="48" t="n"/>
      <c r="E839" s="28">
        <f>IF($C839="","",IF($D839="",IF($C839="Interna","Sin guía (interna)","FALTA GUÍA"),IF(COUNTIFS(ENVIOS!$A$4:$A$3003,$D839)=0,"NO EXISTE",IF(COUNTIFS(ENVIOS!$A$4:$A$3003,$D839)&gt;1,"DUPLICADA","OK"))))</f>
        <v/>
      </c>
      <c r="F839" s="28">
        <f>IF($D839="","",IFERROR(INDEX(ENVIOS!$B$4:$B$3003,MATCH($D839,ENVIOS!$A$4:$A$3003,0)),"—"))</f>
        <v/>
      </c>
      <c r="G839" s="23">
        <f>IF($D839="","",IFERROR(INDEX(ENVIOS!$D$4:$D$3003,MATCH($D839,ENVIOS!$A$4:$A$3003,0)),"—"))</f>
        <v/>
      </c>
      <c r="H839" s="23">
        <f>IF($D839="","",IFERROR(INDEX(ENVIOS!$E$4:$E$3003,MATCH($D839,ENVIOS!$A$4:$A$3003,0)),"—"))</f>
        <v/>
      </c>
      <c r="I839" s="23">
        <f>IF($D839="","",IFERROR(INDEX(ENVIOS!$F$4:$F$3003,MATCH($D839,ENVIOS!$A$4:$A$3003,0)),"—"))</f>
        <v/>
      </c>
      <c r="J839" s="23">
        <f>IF($D839="","",IFERROR(INDEX(ENVIOS!$G$4:$G$3003,MATCH($D839,ENVIOS!$A$4:$A$3003,0)),"—"))</f>
        <v/>
      </c>
      <c r="K839" s="28">
        <f>IF($D839="","",IFERROR(INDEX(ENVIOS!$H$4:$H$3003,MATCH($D839,ENVIOS!$A$4:$A$3003,0)),"—"))</f>
        <v/>
      </c>
      <c r="L839" s="49">
        <f>IF($D839="","",IFERROR(INDEX(ENVIOS!$C$4:$C$3003,MATCH($D839,ENVIOS!$A$4:$A$3003,0)),""))</f>
        <v/>
      </c>
      <c r="M839" s="50" t="n"/>
      <c r="N839" s="28">
        <f>IF($M839="","",IFERROR(INDEX(CONFIG!$C$4:$C$63,MATCH($M839,CONFIG!$A$4:$A$63,0)),"Media"))</f>
        <v/>
      </c>
      <c r="O839" s="28">
        <f>IF($M839="","",IF($C839="Interna","NO",IFERROR(INDEX(CONFIG!$E$4:$E$63,MATCH($M839,CONFIG!$A$4:$A$63,0)),"NO")))</f>
        <v/>
      </c>
      <c r="P839" s="50" t="n"/>
      <c r="Q839" s="50" t="n"/>
      <c r="R839" s="28">
        <f>IF($Q839="","",IFERROR(INDEX(CONFIG!$H$4:$H$63,MATCH($Q839,CONFIG!$G$4:$G$63,0)),"Por definir"))</f>
        <v/>
      </c>
      <c r="S839" s="28">
        <f>IF($Q839="","",IFERROR(INDEX(CONFIG!$I$4:$I$63,MATCH($Q839,CONFIG!$G$4:$G$63,0)),"Por definir"))</f>
        <v/>
      </c>
      <c r="T839" s="51" t="n"/>
      <c r="U839" s="52" t="n"/>
      <c r="V839" s="50" t="n"/>
      <c r="W839" s="50" t="n"/>
      <c r="X839" s="49">
        <f>IF(OR($B839="",$M839=""),"",WORKDAY($B839,IFERROR(INDEX(CONFIG!$D$4:$D$63,MATCH($M839,CONFIG!$A$4:$A$63,0)),3)))</f>
        <v/>
      </c>
      <c r="Y839" s="47" t="n"/>
      <c r="Z839" s="24">
        <f>IF($B839="","",IF($Y839&lt;&gt;"",$Y839-$B839,TODAY()-$B839))</f>
        <v/>
      </c>
      <c r="AA839" s="28">
        <f>IF($B839="","",IF(IFERROR(INDEX(CONFIG!$L$4:$L$63,MATCH($V839,CONFIG!$K$4:$K$63,0)),"NO")="SÍ",IF(OR($Y839="",$X839=""),"Resuelta",IF($Y839&gt;$X839,"Resuelta tarde","Resuelta a tiempo")),IF($X839="","Sin clasificar",IF(TODAY()&gt;$X839,"Vencida",IF(TODAY()&gt;=$X839-1,"Por vencer","En plazo")))))</f>
        <v/>
      </c>
      <c r="AB839" s="50" t="n"/>
      <c r="AC839" s="50" t="n"/>
    </row>
    <row r="840" ht="16" customHeight="1">
      <c r="A840" s="28">
        <f>IF($B840="","","N-"&amp;TEXT(ROW()-3,"0000"))</f>
        <v/>
      </c>
      <c r="B840" s="47" t="n"/>
      <c r="C840" s="48" t="n"/>
      <c r="D840" s="48" t="n"/>
      <c r="E840" s="28">
        <f>IF($C840="","",IF($D840="",IF($C840="Interna","Sin guía (interna)","FALTA GUÍA"),IF(COUNTIFS(ENVIOS!$A$4:$A$3003,$D840)=0,"NO EXISTE",IF(COUNTIFS(ENVIOS!$A$4:$A$3003,$D840)&gt;1,"DUPLICADA","OK"))))</f>
        <v/>
      </c>
      <c r="F840" s="28">
        <f>IF($D840="","",IFERROR(INDEX(ENVIOS!$B$4:$B$3003,MATCH($D840,ENVIOS!$A$4:$A$3003,0)),"—"))</f>
        <v/>
      </c>
      <c r="G840" s="23">
        <f>IF($D840="","",IFERROR(INDEX(ENVIOS!$D$4:$D$3003,MATCH($D840,ENVIOS!$A$4:$A$3003,0)),"—"))</f>
        <v/>
      </c>
      <c r="H840" s="23">
        <f>IF($D840="","",IFERROR(INDEX(ENVIOS!$E$4:$E$3003,MATCH($D840,ENVIOS!$A$4:$A$3003,0)),"—"))</f>
        <v/>
      </c>
      <c r="I840" s="23">
        <f>IF($D840="","",IFERROR(INDEX(ENVIOS!$F$4:$F$3003,MATCH($D840,ENVIOS!$A$4:$A$3003,0)),"—"))</f>
        <v/>
      </c>
      <c r="J840" s="23">
        <f>IF($D840="","",IFERROR(INDEX(ENVIOS!$G$4:$G$3003,MATCH($D840,ENVIOS!$A$4:$A$3003,0)),"—"))</f>
        <v/>
      </c>
      <c r="K840" s="28">
        <f>IF($D840="","",IFERROR(INDEX(ENVIOS!$H$4:$H$3003,MATCH($D840,ENVIOS!$A$4:$A$3003,0)),"—"))</f>
        <v/>
      </c>
      <c r="L840" s="49">
        <f>IF($D840="","",IFERROR(INDEX(ENVIOS!$C$4:$C$3003,MATCH($D840,ENVIOS!$A$4:$A$3003,0)),""))</f>
        <v/>
      </c>
      <c r="M840" s="50" t="n"/>
      <c r="N840" s="28">
        <f>IF($M840="","",IFERROR(INDEX(CONFIG!$C$4:$C$63,MATCH($M840,CONFIG!$A$4:$A$63,0)),"Media"))</f>
        <v/>
      </c>
      <c r="O840" s="28">
        <f>IF($M840="","",IF($C840="Interna","NO",IFERROR(INDEX(CONFIG!$E$4:$E$63,MATCH($M840,CONFIG!$A$4:$A$63,0)),"NO")))</f>
        <v/>
      </c>
      <c r="P840" s="50" t="n"/>
      <c r="Q840" s="50" t="n"/>
      <c r="R840" s="28">
        <f>IF($Q840="","",IFERROR(INDEX(CONFIG!$H$4:$H$63,MATCH($Q840,CONFIG!$G$4:$G$63,0)),"Por definir"))</f>
        <v/>
      </c>
      <c r="S840" s="28">
        <f>IF($Q840="","",IFERROR(INDEX(CONFIG!$I$4:$I$63,MATCH($Q840,CONFIG!$G$4:$G$63,0)),"Por definir"))</f>
        <v/>
      </c>
      <c r="T840" s="51" t="n"/>
      <c r="U840" s="52" t="n"/>
      <c r="V840" s="50" t="n"/>
      <c r="W840" s="50" t="n"/>
      <c r="X840" s="49">
        <f>IF(OR($B840="",$M840=""),"",WORKDAY($B840,IFERROR(INDEX(CONFIG!$D$4:$D$63,MATCH($M840,CONFIG!$A$4:$A$63,0)),3)))</f>
        <v/>
      </c>
      <c r="Y840" s="47" t="n"/>
      <c r="Z840" s="24">
        <f>IF($B840="","",IF($Y840&lt;&gt;"",$Y840-$B840,TODAY()-$B840))</f>
        <v/>
      </c>
      <c r="AA840" s="28">
        <f>IF($B840="","",IF(IFERROR(INDEX(CONFIG!$L$4:$L$63,MATCH($V840,CONFIG!$K$4:$K$63,0)),"NO")="SÍ",IF(OR($Y840="",$X840=""),"Resuelta",IF($Y840&gt;$X840,"Resuelta tarde","Resuelta a tiempo")),IF($X840="","Sin clasificar",IF(TODAY()&gt;$X840,"Vencida",IF(TODAY()&gt;=$X840-1,"Por vencer","En plazo")))))</f>
        <v/>
      </c>
      <c r="AB840" s="50" t="n"/>
      <c r="AC840" s="50" t="n"/>
    </row>
    <row r="841" ht="16" customHeight="1">
      <c r="A841" s="28">
        <f>IF($B841="","","N-"&amp;TEXT(ROW()-3,"0000"))</f>
        <v/>
      </c>
      <c r="B841" s="47" t="n"/>
      <c r="C841" s="48" t="n"/>
      <c r="D841" s="48" t="n"/>
      <c r="E841" s="28">
        <f>IF($C841="","",IF($D841="",IF($C841="Interna","Sin guía (interna)","FALTA GUÍA"),IF(COUNTIFS(ENVIOS!$A$4:$A$3003,$D841)=0,"NO EXISTE",IF(COUNTIFS(ENVIOS!$A$4:$A$3003,$D841)&gt;1,"DUPLICADA","OK"))))</f>
        <v/>
      </c>
      <c r="F841" s="28">
        <f>IF($D841="","",IFERROR(INDEX(ENVIOS!$B$4:$B$3003,MATCH($D841,ENVIOS!$A$4:$A$3003,0)),"—"))</f>
        <v/>
      </c>
      <c r="G841" s="23">
        <f>IF($D841="","",IFERROR(INDEX(ENVIOS!$D$4:$D$3003,MATCH($D841,ENVIOS!$A$4:$A$3003,0)),"—"))</f>
        <v/>
      </c>
      <c r="H841" s="23">
        <f>IF($D841="","",IFERROR(INDEX(ENVIOS!$E$4:$E$3003,MATCH($D841,ENVIOS!$A$4:$A$3003,0)),"—"))</f>
        <v/>
      </c>
      <c r="I841" s="23">
        <f>IF($D841="","",IFERROR(INDEX(ENVIOS!$F$4:$F$3003,MATCH($D841,ENVIOS!$A$4:$A$3003,0)),"—"))</f>
        <v/>
      </c>
      <c r="J841" s="23">
        <f>IF($D841="","",IFERROR(INDEX(ENVIOS!$G$4:$G$3003,MATCH($D841,ENVIOS!$A$4:$A$3003,0)),"—"))</f>
        <v/>
      </c>
      <c r="K841" s="28">
        <f>IF($D841="","",IFERROR(INDEX(ENVIOS!$H$4:$H$3003,MATCH($D841,ENVIOS!$A$4:$A$3003,0)),"—"))</f>
        <v/>
      </c>
      <c r="L841" s="49">
        <f>IF($D841="","",IFERROR(INDEX(ENVIOS!$C$4:$C$3003,MATCH($D841,ENVIOS!$A$4:$A$3003,0)),""))</f>
        <v/>
      </c>
      <c r="M841" s="50" t="n"/>
      <c r="N841" s="28">
        <f>IF($M841="","",IFERROR(INDEX(CONFIG!$C$4:$C$63,MATCH($M841,CONFIG!$A$4:$A$63,0)),"Media"))</f>
        <v/>
      </c>
      <c r="O841" s="28">
        <f>IF($M841="","",IF($C841="Interna","NO",IFERROR(INDEX(CONFIG!$E$4:$E$63,MATCH($M841,CONFIG!$A$4:$A$63,0)),"NO")))</f>
        <v/>
      </c>
      <c r="P841" s="50" t="n"/>
      <c r="Q841" s="50" t="n"/>
      <c r="R841" s="28">
        <f>IF($Q841="","",IFERROR(INDEX(CONFIG!$H$4:$H$63,MATCH($Q841,CONFIG!$G$4:$G$63,0)),"Por definir"))</f>
        <v/>
      </c>
      <c r="S841" s="28">
        <f>IF($Q841="","",IFERROR(INDEX(CONFIG!$I$4:$I$63,MATCH($Q841,CONFIG!$G$4:$G$63,0)),"Por definir"))</f>
        <v/>
      </c>
      <c r="T841" s="51" t="n"/>
      <c r="U841" s="52" t="n"/>
      <c r="V841" s="50" t="n"/>
      <c r="W841" s="50" t="n"/>
      <c r="X841" s="49">
        <f>IF(OR($B841="",$M841=""),"",WORKDAY($B841,IFERROR(INDEX(CONFIG!$D$4:$D$63,MATCH($M841,CONFIG!$A$4:$A$63,0)),3)))</f>
        <v/>
      </c>
      <c r="Y841" s="47" t="n"/>
      <c r="Z841" s="24">
        <f>IF($B841="","",IF($Y841&lt;&gt;"",$Y841-$B841,TODAY()-$B841))</f>
        <v/>
      </c>
      <c r="AA841" s="28">
        <f>IF($B841="","",IF(IFERROR(INDEX(CONFIG!$L$4:$L$63,MATCH($V841,CONFIG!$K$4:$K$63,0)),"NO")="SÍ",IF(OR($Y841="",$X841=""),"Resuelta",IF($Y841&gt;$X841,"Resuelta tarde","Resuelta a tiempo")),IF($X841="","Sin clasificar",IF(TODAY()&gt;$X841,"Vencida",IF(TODAY()&gt;=$X841-1,"Por vencer","En plazo")))))</f>
        <v/>
      </c>
      <c r="AB841" s="50" t="n"/>
      <c r="AC841" s="50" t="n"/>
    </row>
    <row r="842" ht="16" customHeight="1">
      <c r="A842" s="28">
        <f>IF($B842="","","N-"&amp;TEXT(ROW()-3,"0000"))</f>
        <v/>
      </c>
      <c r="B842" s="47" t="n"/>
      <c r="C842" s="48" t="n"/>
      <c r="D842" s="48" t="n"/>
      <c r="E842" s="28">
        <f>IF($C842="","",IF($D842="",IF($C842="Interna","Sin guía (interna)","FALTA GUÍA"),IF(COUNTIFS(ENVIOS!$A$4:$A$3003,$D842)=0,"NO EXISTE",IF(COUNTIFS(ENVIOS!$A$4:$A$3003,$D842)&gt;1,"DUPLICADA","OK"))))</f>
        <v/>
      </c>
      <c r="F842" s="28">
        <f>IF($D842="","",IFERROR(INDEX(ENVIOS!$B$4:$B$3003,MATCH($D842,ENVIOS!$A$4:$A$3003,0)),"—"))</f>
        <v/>
      </c>
      <c r="G842" s="23">
        <f>IF($D842="","",IFERROR(INDEX(ENVIOS!$D$4:$D$3003,MATCH($D842,ENVIOS!$A$4:$A$3003,0)),"—"))</f>
        <v/>
      </c>
      <c r="H842" s="23">
        <f>IF($D842="","",IFERROR(INDEX(ENVIOS!$E$4:$E$3003,MATCH($D842,ENVIOS!$A$4:$A$3003,0)),"—"))</f>
        <v/>
      </c>
      <c r="I842" s="23">
        <f>IF($D842="","",IFERROR(INDEX(ENVIOS!$F$4:$F$3003,MATCH($D842,ENVIOS!$A$4:$A$3003,0)),"—"))</f>
        <v/>
      </c>
      <c r="J842" s="23">
        <f>IF($D842="","",IFERROR(INDEX(ENVIOS!$G$4:$G$3003,MATCH($D842,ENVIOS!$A$4:$A$3003,0)),"—"))</f>
        <v/>
      </c>
      <c r="K842" s="28">
        <f>IF($D842="","",IFERROR(INDEX(ENVIOS!$H$4:$H$3003,MATCH($D842,ENVIOS!$A$4:$A$3003,0)),"—"))</f>
        <v/>
      </c>
      <c r="L842" s="49">
        <f>IF($D842="","",IFERROR(INDEX(ENVIOS!$C$4:$C$3003,MATCH($D842,ENVIOS!$A$4:$A$3003,0)),""))</f>
        <v/>
      </c>
      <c r="M842" s="50" t="n"/>
      <c r="N842" s="28">
        <f>IF($M842="","",IFERROR(INDEX(CONFIG!$C$4:$C$63,MATCH($M842,CONFIG!$A$4:$A$63,0)),"Media"))</f>
        <v/>
      </c>
      <c r="O842" s="28">
        <f>IF($M842="","",IF($C842="Interna","NO",IFERROR(INDEX(CONFIG!$E$4:$E$63,MATCH($M842,CONFIG!$A$4:$A$63,0)),"NO")))</f>
        <v/>
      </c>
      <c r="P842" s="50" t="n"/>
      <c r="Q842" s="50" t="n"/>
      <c r="R842" s="28">
        <f>IF($Q842="","",IFERROR(INDEX(CONFIG!$H$4:$H$63,MATCH($Q842,CONFIG!$G$4:$G$63,0)),"Por definir"))</f>
        <v/>
      </c>
      <c r="S842" s="28">
        <f>IF($Q842="","",IFERROR(INDEX(CONFIG!$I$4:$I$63,MATCH($Q842,CONFIG!$G$4:$G$63,0)),"Por definir"))</f>
        <v/>
      </c>
      <c r="T842" s="51" t="n"/>
      <c r="U842" s="52" t="n"/>
      <c r="V842" s="50" t="n"/>
      <c r="W842" s="50" t="n"/>
      <c r="X842" s="49">
        <f>IF(OR($B842="",$M842=""),"",WORKDAY($B842,IFERROR(INDEX(CONFIG!$D$4:$D$63,MATCH($M842,CONFIG!$A$4:$A$63,0)),3)))</f>
        <v/>
      </c>
      <c r="Y842" s="47" t="n"/>
      <c r="Z842" s="24">
        <f>IF($B842="","",IF($Y842&lt;&gt;"",$Y842-$B842,TODAY()-$B842))</f>
        <v/>
      </c>
      <c r="AA842" s="28">
        <f>IF($B842="","",IF(IFERROR(INDEX(CONFIG!$L$4:$L$63,MATCH($V842,CONFIG!$K$4:$K$63,0)),"NO")="SÍ",IF(OR($Y842="",$X842=""),"Resuelta",IF($Y842&gt;$X842,"Resuelta tarde","Resuelta a tiempo")),IF($X842="","Sin clasificar",IF(TODAY()&gt;$X842,"Vencida",IF(TODAY()&gt;=$X842-1,"Por vencer","En plazo")))))</f>
        <v/>
      </c>
      <c r="AB842" s="50" t="n"/>
      <c r="AC842" s="50" t="n"/>
    </row>
    <row r="843" ht="16" customHeight="1">
      <c r="A843" s="28">
        <f>IF($B843="","","N-"&amp;TEXT(ROW()-3,"0000"))</f>
        <v/>
      </c>
      <c r="B843" s="47" t="n"/>
      <c r="C843" s="48" t="n"/>
      <c r="D843" s="48" t="n"/>
      <c r="E843" s="28">
        <f>IF($C843="","",IF($D843="",IF($C843="Interna","Sin guía (interna)","FALTA GUÍA"),IF(COUNTIFS(ENVIOS!$A$4:$A$3003,$D843)=0,"NO EXISTE",IF(COUNTIFS(ENVIOS!$A$4:$A$3003,$D843)&gt;1,"DUPLICADA","OK"))))</f>
        <v/>
      </c>
      <c r="F843" s="28">
        <f>IF($D843="","",IFERROR(INDEX(ENVIOS!$B$4:$B$3003,MATCH($D843,ENVIOS!$A$4:$A$3003,0)),"—"))</f>
        <v/>
      </c>
      <c r="G843" s="23">
        <f>IF($D843="","",IFERROR(INDEX(ENVIOS!$D$4:$D$3003,MATCH($D843,ENVIOS!$A$4:$A$3003,0)),"—"))</f>
        <v/>
      </c>
      <c r="H843" s="23">
        <f>IF($D843="","",IFERROR(INDEX(ENVIOS!$E$4:$E$3003,MATCH($D843,ENVIOS!$A$4:$A$3003,0)),"—"))</f>
        <v/>
      </c>
      <c r="I843" s="23">
        <f>IF($D843="","",IFERROR(INDEX(ENVIOS!$F$4:$F$3003,MATCH($D843,ENVIOS!$A$4:$A$3003,0)),"—"))</f>
        <v/>
      </c>
      <c r="J843" s="23">
        <f>IF($D843="","",IFERROR(INDEX(ENVIOS!$G$4:$G$3003,MATCH($D843,ENVIOS!$A$4:$A$3003,0)),"—"))</f>
        <v/>
      </c>
      <c r="K843" s="28">
        <f>IF($D843="","",IFERROR(INDEX(ENVIOS!$H$4:$H$3003,MATCH($D843,ENVIOS!$A$4:$A$3003,0)),"—"))</f>
        <v/>
      </c>
      <c r="L843" s="49">
        <f>IF($D843="","",IFERROR(INDEX(ENVIOS!$C$4:$C$3003,MATCH($D843,ENVIOS!$A$4:$A$3003,0)),""))</f>
        <v/>
      </c>
      <c r="M843" s="50" t="n"/>
      <c r="N843" s="28">
        <f>IF($M843="","",IFERROR(INDEX(CONFIG!$C$4:$C$63,MATCH($M843,CONFIG!$A$4:$A$63,0)),"Media"))</f>
        <v/>
      </c>
      <c r="O843" s="28">
        <f>IF($M843="","",IF($C843="Interna","NO",IFERROR(INDEX(CONFIG!$E$4:$E$63,MATCH($M843,CONFIG!$A$4:$A$63,0)),"NO")))</f>
        <v/>
      </c>
      <c r="P843" s="50" t="n"/>
      <c r="Q843" s="50" t="n"/>
      <c r="R843" s="28">
        <f>IF($Q843="","",IFERROR(INDEX(CONFIG!$H$4:$H$63,MATCH($Q843,CONFIG!$G$4:$G$63,0)),"Por definir"))</f>
        <v/>
      </c>
      <c r="S843" s="28">
        <f>IF($Q843="","",IFERROR(INDEX(CONFIG!$I$4:$I$63,MATCH($Q843,CONFIG!$G$4:$G$63,0)),"Por definir"))</f>
        <v/>
      </c>
      <c r="T843" s="51" t="n"/>
      <c r="U843" s="52" t="n"/>
      <c r="V843" s="50" t="n"/>
      <c r="W843" s="50" t="n"/>
      <c r="X843" s="49">
        <f>IF(OR($B843="",$M843=""),"",WORKDAY($B843,IFERROR(INDEX(CONFIG!$D$4:$D$63,MATCH($M843,CONFIG!$A$4:$A$63,0)),3)))</f>
        <v/>
      </c>
      <c r="Y843" s="47" t="n"/>
      <c r="Z843" s="24">
        <f>IF($B843="","",IF($Y843&lt;&gt;"",$Y843-$B843,TODAY()-$B843))</f>
        <v/>
      </c>
      <c r="AA843" s="28">
        <f>IF($B843="","",IF(IFERROR(INDEX(CONFIG!$L$4:$L$63,MATCH($V843,CONFIG!$K$4:$K$63,0)),"NO")="SÍ",IF(OR($Y843="",$X843=""),"Resuelta",IF($Y843&gt;$X843,"Resuelta tarde","Resuelta a tiempo")),IF($X843="","Sin clasificar",IF(TODAY()&gt;$X843,"Vencida",IF(TODAY()&gt;=$X843-1,"Por vencer","En plazo")))))</f>
        <v/>
      </c>
      <c r="AB843" s="50" t="n"/>
      <c r="AC843" s="50" t="n"/>
    </row>
    <row r="844" ht="16" customHeight="1">
      <c r="A844" s="28">
        <f>IF($B844="","","N-"&amp;TEXT(ROW()-3,"0000"))</f>
        <v/>
      </c>
      <c r="B844" s="47" t="n"/>
      <c r="C844" s="48" t="n"/>
      <c r="D844" s="48" t="n"/>
      <c r="E844" s="28">
        <f>IF($C844="","",IF($D844="",IF($C844="Interna","Sin guía (interna)","FALTA GUÍA"),IF(COUNTIFS(ENVIOS!$A$4:$A$3003,$D844)=0,"NO EXISTE",IF(COUNTIFS(ENVIOS!$A$4:$A$3003,$D844)&gt;1,"DUPLICADA","OK"))))</f>
        <v/>
      </c>
      <c r="F844" s="28">
        <f>IF($D844="","",IFERROR(INDEX(ENVIOS!$B$4:$B$3003,MATCH($D844,ENVIOS!$A$4:$A$3003,0)),"—"))</f>
        <v/>
      </c>
      <c r="G844" s="23">
        <f>IF($D844="","",IFERROR(INDEX(ENVIOS!$D$4:$D$3003,MATCH($D844,ENVIOS!$A$4:$A$3003,0)),"—"))</f>
        <v/>
      </c>
      <c r="H844" s="23">
        <f>IF($D844="","",IFERROR(INDEX(ENVIOS!$E$4:$E$3003,MATCH($D844,ENVIOS!$A$4:$A$3003,0)),"—"))</f>
        <v/>
      </c>
      <c r="I844" s="23">
        <f>IF($D844="","",IFERROR(INDEX(ENVIOS!$F$4:$F$3003,MATCH($D844,ENVIOS!$A$4:$A$3003,0)),"—"))</f>
        <v/>
      </c>
      <c r="J844" s="23">
        <f>IF($D844="","",IFERROR(INDEX(ENVIOS!$G$4:$G$3003,MATCH($D844,ENVIOS!$A$4:$A$3003,0)),"—"))</f>
        <v/>
      </c>
      <c r="K844" s="28">
        <f>IF($D844="","",IFERROR(INDEX(ENVIOS!$H$4:$H$3003,MATCH($D844,ENVIOS!$A$4:$A$3003,0)),"—"))</f>
        <v/>
      </c>
      <c r="L844" s="49">
        <f>IF($D844="","",IFERROR(INDEX(ENVIOS!$C$4:$C$3003,MATCH($D844,ENVIOS!$A$4:$A$3003,0)),""))</f>
        <v/>
      </c>
      <c r="M844" s="50" t="n"/>
      <c r="N844" s="28">
        <f>IF($M844="","",IFERROR(INDEX(CONFIG!$C$4:$C$63,MATCH($M844,CONFIG!$A$4:$A$63,0)),"Media"))</f>
        <v/>
      </c>
      <c r="O844" s="28">
        <f>IF($M844="","",IF($C844="Interna","NO",IFERROR(INDEX(CONFIG!$E$4:$E$63,MATCH($M844,CONFIG!$A$4:$A$63,0)),"NO")))</f>
        <v/>
      </c>
      <c r="P844" s="50" t="n"/>
      <c r="Q844" s="50" t="n"/>
      <c r="R844" s="28">
        <f>IF($Q844="","",IFERROR(INDEX(CONFIG!$H$4:$H$63,MATCH($Q844,CONFIG!$G$4:$G$63,0)),"Por definir"))</f>
        <v/>
      </c>
      <c r="S844" s="28">
        <f>IF($Q844="","",IFERROR(INDEX(CONFIG!$I$4:$I$63,MATCH($Q844,CONFIG!$G$4:$G$63,0)),"Por definir"))</f>
        <v/>
      </c>
      <c r="T844" s="51" t="n"/>
      <c r="U844" s="52" t="n"/>
      <c r="V844" s="50" t="n"/>
      <c r="W844" s="50" t="n"/>
      <c r="X844" s="49">
        <f>IF(OR($B844="",$M844=""),"",WORKDAY($B844,IFERROR(INDEX(CONFIG!$D$4:$D$63,MATCH($M844,CONFIG!$A$4:$A$63,0)),3)))</f>
        <v/>
      </c>
      <c r="Y844" s="47" t="n"/>
      <c r="Z844" s="24">
        <f>IF($B844="","",IF($Y844&lt;&gt;"",$Y844-$B844,TODAY()-$B844))</f>
        <v/>
      </c>
      <c r="AA844" s="28">
        <f>IF($B844="","",IF(IFERROR(INDEX(CONFIG!$L$4:$L$63,MATCH($V844,CONFIG!$K$4:$K$63,0)),"NO")="SÍ",IF(OR($Y844="",$X844=""),"Resuelta",IF($Y844&gt;$X844,"Resuelta tarde","Resuelta a tiempo")),IF($X844="","Sin clasificar",IF(TODAY()&gt;$X844,"Vencida",IF(TODAY()&gt;=$X844-1,"Por vencer","En plazo")))))</f>
        <v/>
      </c>
      <c r="AB844" s="50" t="n"/>
      <c r="AC844" s="50" t="n"/>
    </row>
    <row r="845" ht="16" customHeight="1">
      <c r="A845" s="28">
        <f>IF($B845="","","N-"&amp;TEXT(ROW()-3,"0000"))</f>
        <v/>
      </c>
      <c r="B845" s="47" t="n"/>
      <c r="C845" s="48" t="n"/>
      <c r="D845" s="48" t="n"/>
      <c r="E845" s="28">
        <f>IF($C845="","",IF($D845="",IF($C845="Interna","Sin guía (interna)","FALTA GUÍA"),IF(COUNTIFS(ENVIOS!$A$4:$A$3003,$D845)=0,"NO EXISTE",IF(COUNTIFS(ENVIOS!$A$4:$A$3003,$D845)&gt;1,"DUPLICADA","OK"))))</f>
        <v/>
      </c>
      <c r="F845" s="28">
        <f>IF($D845="","",IFERROR(INDEX(ENVIOS!$B$4:$B$3003,MATCH($D845,ENVIOS!$A$4:$A$3003,0)),"—"))</f>
        <v/>
      </c>
      <c r="G845" s="23">
        <f>IF($D845="","",IFERROR(INDEX(ENVIOS!$D$4:$D$3003,MATCH($D845,ENVIOS!$A$4:$A$3003,0)),"—"))</f>
        <v/>
      </c>
      <c r="H845" s="23">
        <f>IF($D845="","",IFERROR(INDEX(ENVIOS!$E$4:$E$3003,MATCH($D845,ENVIOS!$A$4:$A$3003,0)),"—"))</f>
        <v/>
      </c>
      <c r="I845" s="23">
        <f>IF($D845="","",IFERROR(INDEX(ENVIOS!$F$4:$F$3003,MATCH($D845,ENVIOS!$A$4:$A$3003,0)),"—"))</f>
        <v/>
      </c>
      <c r="J845" s="23">
        <f>IF($D845="","",IFERROR(INDEX(ENVIOS!$G$4:$G$3003,MATCH($D845,ENVIOS!$A$4:$A$3003,0)),"—"))</f>
        <v/>
      </c>
      <c r="K845" s="28">
        <f>IF($D845="","",IFERROR(INDEX(ENVIOS!$H$4:$H$3003,MATCH($D845,ENVIOS!$A$4:$A$3003,0)),"—"))</f>
        <v/>
      </c>
      <c r="L845" s="49">
        <f>IF($D845="","",IFERROR(INDEX(ENVIOS!$C$4:$C$3003,MATCH($D845,ENVIOS!$A$4:$A$3003,0)),""))</f>
        <v/>
      </c>
      <c r="M845" s="50" t="n"/>
      <c r="N845" s="28">
        <f>IF($M845="","",IFERROR(INDEX(CONFIG!$C$4:$C$63,MATCH($M845,CONFIG!$A$4:$A$63,0)),"Media"))</f>
        <v/>
      </c>
      <c r="O845" s="28">
        <f>IF($M845="","",IF($C845="Interna","NO",IFERROR(INDEX(CONFIG!$E$4:$E$63,MATCH($M845,CONFIG!$A$4:$A$63,0)),"NO")))</f>
        <v/>
      </c>
      <c r="P845" s="50" t="n"/>
      <c r="Q845" s="50" t="n"/>
      <c r="R845" s="28">
        <f>IF($Q845="","",IFERROR(INDEX(CONFIG!$H$4:$H$63,MATCH($Q845,CONFIG!$G$4:$G$63,0)),"Por definir"))</f>
        <v/>
      </c>
      <c r="S845" s="28">
        <f>IF($Q845="","",IFERROR(INDEX(CONFIG!$I$4:$I$63,MATCH($Q845,CONFIG!$G$4:$G$63,0)),"Por definir"))</f>
        <v/>
      </c>
      <c r="T845" s="51" t="n"/>
      <c r="U845" s="52" t="n"/>
      <c r="V845" s="50" t="n"/>
      <c r="W845" s="50" t="n"/>
      <c r="X845" s="49">
        <f>IF(OR($B845="",$M845=""),"",WORKDAY($B845,IFERROR(INDEX(CONFIG!$D$4:$D$63,MATCH($M845,CONFIG!$A$4:$A$63,0)),3)))</f>
        <v/>
      </c>
      <c r="Y845" s="47" t="n"/>
      <c r="Z845" s="24">
        <f>IF($B845="","",IF($Y845&lt;&gt;"",$Y845-$B845,TODAY()-$B845))</f>
        <v/>
      </c>
      <c r="AA845" s="28">
        <f>IF($B845="","",IF(IFERROR(INDEX(CONFIG!$L$4:$L$63,MATCH($V845,CONFIG!$K$4:$K$63,0)),"NO")="SÍ",IF(OR($Y845="",$X845=""),"Resuelta",IF($Y845&gt;$X845,"Resuelta tarde","Resuelta a tiempo")),IF($X845="","Sin clasificar",IF(TODAY()&gt;$X845,"Vencida",IF(TODAY()&gt;=$X845-1,"Por vencer","En plazo")))))</f>
        <v/>
      </c>
      <c r="AB845" s="50" t="n"/>
      <c r="AC845" s="50" t="n"/>
    </row>
    <row r="846" ht="16" customHeight="1">
      <c r="A846" s="28">
        <f>IF($B846="","","N-"&amp;TEXT(ROW()-3,"0000"))</f>
        <v/>
      </c>
      <c r="B846" s="47" t="n"/>
      <c r="C846" s="48" t="n"/>
      <c r="D846" s="48" t="n"/>
      <c r="E846" s="28">
        <f>IF($C846="","",IF($D846="",IF($C846="Interna","Sin guía (interna)","FALTA GUÍA"),IF(COUNTIFS(ENVIOS!$A$4:$A$3003,$D846)=0,"NO EXISTE",IF(COUNTIFS(ENVIOS!$A$4:$A$3003,$D846)&gt;1,"DUPLICADA","OK"))))</f>
        <v/>
      </c>
      <c r="F846" s="28">
        <f>IF($D846="","",IFERROR(INDEX(ENVIOS!$B$4:$B$3003,MATCH($D846,ENVIOS!$A$4:$A$3003,0)),"—"))</f>
        <v/>
      </c>
      <c r="G846" s="23">
        <f>IF($D846="","",IFERROR(INDEX(ENVIOS!$D$4:$D$3003,MATCH($D846,ENVIOS!$A$4:$A$3003,0)),"—"))</f>
        <v/>
      </c>
      <c r="H846" s="23">
        <f>IF($D846="","",IFERROR(INDEX(ENVIOS!$E$4:$E$3003,MATCH($D846,ENVIOS!$A$4:$A$3003,0)),"—"))</f>
        <v/>
      </c>
      <c r="I846" s="23">
        <f>IF($D846="","",IFERROR(INDEX(ENVIOS!$F$4:$F$3003,MATCH($D846,ENVIOS!$A$4:$A$3003,0)),"—"))</f>
        <v/>
      </c>
      <c r="J846" s="23">
        <f>IF($D846="","",IFERROR(INDEX(ENVIOS!$G$4:$G$3003,MATCH($D846,ENVIOS!$A$4:$A$3003,0)),"—"))</f>
        <v/>
      </c>
      <c r="K846" s="28">
        <f>IF($D846="","",IFERROR(INDEX(ENVIOS!$H$4:$H$3003,MATCH($D846,ENVIOS!$A$4:$A$3003,0)),"—"))</f>
        <v/>
      </c>
      <c r="L846" s="49">
        <f>IF($D846="","",IFERROR(INDEX(ENVIOS!$C$4:$C$3003,MATCH($D846,ENVIOS!$A$4:$A$3003,0)),""))</f>
        <v/>
      </c>
      <c r="M846" s="50" t="n"/>
      <c r="N846" s="28">
        <f>IF($M846="","",IFERROR(INDEX(CONFIG!$C$4:$C$63,MATCH($M846,CONFIG!$A$4:$A$63,0)),"Media"))</f>
        <v/>
      </c>
      <c r="O846" s="28">
        <f>IF($M846="","",IF($C846="Interna","NO",IFERROR(INDEX(CONFIG!$E$4:$E$63,MATCH($M846,CONFIG!$A$4:$A$63,0)),"NO")))</f>
        <v/>
      </c>
      <c r="P846" s="50" t="n"/>
      <c r="Q846" s="50" t="n"/>
      <c r="R846" s="28">
        <f>IF($Q846="","",IFERROR(INDEX(CONFIG!$H$4:$H$63,MATCH($Q846,CONFIG!$G$4:$G$63,0)),"Por definir"))</f>
        <v/>
      </c>
      <c r="S846" s="28">
        <f>IF($Q846="","",IFERROR(INDEX(CONFIG!$I$4:$I$63,MATCH($Q846,CONFIG!$G$4:$G$63,0)),"Por definir"))</f>
        <v/>
      </c>
      <c r="T846" s="51" t="n"/>
      <c r="U846" s="52" t="n"/>
      <c r="V846" s="50" t="n"/>
      <c r="W846" s="50" t="n"/>
      <c r="X846" s="49">
        <f>IF(OR($B846="",$M846=""),"",WORKDAY($B846,IFERROR(INDEX(CONFIG!$D$4:$D$63,MATCH($M846,CONFIG!$A$4:$A$63,0)),3)))</f>
        <v/>
      </c>
      <c r="Y846" s="47" t="n"/>
      <c r="Z846" s="24">
        <f>IF($B846="","",IF($Y846&lt;&gt;"",$Y846-$B846,TODAY()-$B846))</f>
        <v/>
      </c>
      <c r="AA846" s="28">
        <f>IF($B846="","",IF(IFERROR(INDEX(CONFIG!$L$4:$L$63,MATCH($V846,CONFIG!$K$4:$K$63,0)),"NO")="SÍ",IF(OR($Y846="",$X846=""),"Resuelta",IF($Y846&gt;$X846,"Resuelta tarde","Resuelta a tiempo")),IF($X846="","Sin clasificar",IF(TODAY()&gt;$X846,"Vencida",IF(TODAY()&gt;=$X846-1,"Por vencer","En plazo")))))</f>
        <v/>
      </c>
      <c r="AB846" s="50" t="n"/>
      <c r="AC846" s="50" t="n"/>
    </row>
    <row r="847" ht="16" customHeight="1">
      <c r="A847" s="28">
        <f>IF($B847="","","N-"&amp;TEXT(ROW()-3,"0000"))</f>
        <v/>
      </c>
      <c r="B847" s="47" t="n"/>
      <c r="C847" s="48" t="n"/>
      <c r="D847" s="48" t="n"/>
      <c r="E847" s="28">
        <f>IF($C847="","",IF($D847="",IF($C847="Interna","Sin guía (interna)","FALTA GUÍA"),IF(COUNTIFS(ENVIOS!$A$4:$A$3003,$D847)=0,"NO EXISTE",IF(COUNTIFS(ENVIOS!$A$4:$A$3003,$D847)&gt;1,"DUPLICADA","OK"))))</f>
        <v/>
      </c>
      <c r="F847" s="28">
        <f>IF($D847="","",IFERROR(INDEX(ENVIOS!$B$4:$B$3003,MATCH($D847,ENVIOS!$A$4:$A$3003,0)),"—"))</f>
        <v/>
      </c>
      <c r="G847" s="23">
        <f>IF($D847="","",IFERROR(INDEX(ENVIOS!$D$4:$D$3003,MATCH($D847,ENVIOS!$A$4:$A$3003,0)),"—"))</f>
        <v/>
      </c>
      <c r="H847" s="23">
        <f>IF($D847="","",IFERROR(INDEX(ENVIOS!$E$4:$E$3003,MATCH($D847,ENVIOS!$A$4:$A$3003,0)),"—"))</f>
        <v/>
      </c>
      <c r="I847" s="23">
        <f>IF($D847="","",IFERROR(INDEX(ENVIOS!$F$4:$F$3003,MATCH($D847,ENVIOS!$A$4:$A$3003,0)),"—"))</f>
        <v/>
      </c>
      <c r="J847" s="23">
        <f>IF($D847="","",IFERROR(INDEX(ENVIOS!$G$4:$G$3003,MATCH($D847,ENVIOS!$A$4:$A$3003,0)),"—"))</f>
        <v/>
      </c>
      <c r="K847" s="28">
        <f>IF($D847="","",IFERROR(INDEX(ENVIOS!$H$4:$H$3003,MATCH($D847,ENVIOS!$A$4:$A$3003,0)),"—"))</f>
        <v/>
      </c>
      <c r="L847" s="49">
        <f>IF($D847="","",IFERROR(INDEX(ENVIOS!$C$4:$C$3003,MATCH($D847,ENVIOS!$A$4:$A$3003,0)),""))</f>
        <v/>
      </c>
      <c r="M847" s="50" t="n"/>
      <c r="N847" s="28">
        <f>IF($M847="","",IFERROR(INDEX(CONFIG!$C$4:$C$63,MATCH($M847,CONFIG!$A$4:$A$63,0)),"Media"))</f>
        <v/>
      </c>
      <c r="O847" s="28">
        <f>IF($M847="","",IF($C847="Interna","NO",IFERROR(INDEX(CONFIG!$E$4:$E$63,MATCH($M847,CONFIG!$A$4:$A$63,0)),"NO")))</f>
        <v/>
      </c>
      <c r="P847" s="50" t="n"/>
      <c r="Q847" s="50" t="n"/>
      <c r="R847" s="28">
        <f>IF($Q847="","",IFERROR(INDEX(CONFIG!$H$4:$H$63,MATCH($Q847,CONFIG!$G$4:$G$63,0)),"Por definir"))</f>
        <v/>
      </c>
      <c r="S847" s="28">
        <f>IF($Q847="","",IFERROR(INDEX(CONFIG!$I$4:$I$63,MATCH($Q847,CONFIG!$G$4:$G$63,0)),"Por definir"))</f>
        <v/>
      </c>
      <c r="T847" s="51" t="n"/>
      <c r="U847" s="52" t="n"/>
      <c r="V847" s="50" t="n"/>
      <c r="W847" s="50" t="n"/>
      <c r="X847" s="49">
        <f>IF(OR($B847="",$M847=""),"",WORKDAY($B847,IFERROR(INDEX(CONFIG!$D$4:$D$63,MATCH($M847,CONFIG!$A$4:$A$63,0)),3)))</f>
        <v/>
      </c>
      <c r="Y847" s="47" t="n"/>
      <c r="Z847" s="24">
        <f>IF($B847="","",IF($Y847&lt;&gt;"",$Y847-$B847,TODAY()-$B847))</f>
        <v/>
      </c>
      <c r="AA847" s="28">
        <f>IF($B847="","",IF(IFERROR(INDEX(CONFIG!$L$4:$L$63,MATCH($V847,CONFIG!$K$4:$K$63,0)),"NO")="SÍ",IF(OR($Y847="",$X847=""),"Resuelta",IF($Y847&gt;$X847,"Resuelta tarde","Resuelta a tiempo")),IF($X847="","Sin clasificar",IF(TODAY()&gt;$X847,"Vencida",IF(TODAY()&gt;=$X847-1,"Por vencer","En plazo")))))</f>
        <v/>
      </c>
      <c r="AB847" s="50" t="n"/>
      <c r="AC847" s="50" t="n"/>
    </row>
    <row r="848" ht="16" customHeight="1">
      <c r="A848" s="28">
        <f>IF($B848="","","N-"&amp;TEXT(ROW()-3,"0000"))</f>
        <v/>
      </c>
      <c r="B848" s="47" t="n"/>
      <c r="C848" s="48" t="n"/>
      <c r="D848" s="48" t="n"/>
      <c r="E848" s="28">
        <f>IF($C848="","",IF($D848="",IF($C848="Interna","Sin guía (interna)","FALTA GUÍA"),IF(COUNTIFS(ENVIOS!$A$4:$A$3003,$D848)=0,"NO EXISTE",IF(COUNTIFS(ENVIOS!$A$4:$A$3003,$D848)&gt;1,"DUPLICADA","OK"))))</f>
        <v/>
      </c>
      <c r="F848" s="28">
        <f>IF($D848="","",IFERROR(INDEX(ENVIOS!$B$4:$B$3003,MATCH($D848,ENVIOS!$A$4:$A$3003,0)),"—"))</f>
        <v/>
      </c>
      <c r="G848" s="23">
        <f>IF($D848="","",IFERROR(INDEX(ENVIOS!$D$4:$D$3003,MATCH($D848,ENVIOS!$A$4:$A$3003,0)),"—"))</f>
        <v/>
      </c>
      <c r="H848" s="23">
        <f>IF($D848="","",IFERROR(INDEX(ENVIOS!$E$4:$E$3003,MATCH($D848,ENVIOS!$A$4:$A$3003,0)),"—"))</f>
        <v/>
      </c>
      <c r="I848" s="23">
        <f>IF($D848="","",IFERROR(INDEX(ENVIOS!$F$4:$F$3003,MATCH($D848,ENVIOS!$A$4:$A$3003,0)),"—"))</f>
        <v/>
      </c>
      <c r="J848" s="23">
        <f>IF($D848="","",IFERROR(INDEX(ENVIOS!$G$4:$G$3003,MATCH($D848,ENVIOS!$A$4:$A$3003,0)),"—"))</f>
        <v/>
      </c>
      <c r="K848" s="28">
        <f>IF($D848="","",IFERROR(INDEX(ENVIOS!$H$4:$H$3003,MATCH($D848,ENVIOS!$A$4:$A$3003,0)),"—"))</f>
        <v/>
      </c>
      <c r="L848" s="49">
        <f>IF($D848="","",IFERROR(INDEX(ENVIOS!$C$4:$C$3003,MATCH($D848,ENVIOS!$A$4:$A$3003,0)),""))</f>
        <v/>
      </c>
      <c r="M848" s="50" t="n"/>
      <c r="N848" s="28">
        <f>IF($M848="","",IFERROR(INDEX(CONFIG!$C$4:$C$63,MATCH($M848,CONFIG!$A$4:$A$63,0)),"Media"))</f>
        <v/>
      </c>
      <c r="O848" s="28">
        <f>IF($M848="","",IF($C848="Interna","NO",IFERROR(INDEX(CONFIG!$E$4:$E$63,MATCH($M848,CONFIG!$A$4:$A$63,0)),"NO")))</f>
        <v/>
      </c>
      <c r="P848" s="50" t="n"/>
      <c r="Q848" s="50" t="n"/>
      <c r="R848" s="28">
        <f>IF($Q848="","",IFERROR(INDEX(CONFIG!$H$4:$H$63,MATCH($Q848,CONFIG!$G$4:$G$63,0)),"Por definir"))</f>
        <v/>
      </c>
      <c r="S848" s="28">
        <f>IF($Q848="","",IFERROR(INDEX(CONFIG!$I$4:$I$63,MATCH($Q848,CONFIG!$G$4:$G$63,0)),"Por definir"))</f>
        <v/>
      </c>
      <c r="T848" s="51" t="n"/>
      <c r="U848" s="52" t="n"/>
      <c r="V848" s="50" t="n"/>
      <c r="W848" s="50" t="n"/>
      <c r="X848" s="49">
        <f>IF(OR($B848="",$M848=""),"",WORKDAY($B848,IFERROR(INDEX(CONFIG!$D$4:$D$63,MATCH($M848,CONFIG!$A$4:$A$63,0)),3)))</f>
        <v/>
      </c>
      <c r="Y848" s="47" t="n"/>
      <c r="Z848" s="24">
        <f>IF($B848="","",IF($Y848&lt;&gt;"",$Y848-$B848,TODAY()-$B848))</f>
        <v/>
      </c>
      <c r="AA848" s="28">
        <f>IF($B848="","",IF(IFERROR(INDEX(CONFIG!$L$4:$L$63,MATCH($V848,CONFIG!$K$4:$K$63,0)),"NO")="SÍ",IF(OR($Y848="",$X848=""),"Resuelta",IF($Y848&gt;$X848,"Resuelta tarde","Resuelta a tiempo")),IF($X848="","Sin clasificar",IF(TODAY()&gt;$X848,"Vencida",IF(TODAY()&gt;=$X848-1,"Por vencer","En plazo")))))</f>
        <v/>
      </c>
      <c r="AB848" s="50" t="n"/>
      <c r="AC848" s="50" t="n"/>
    </row>
    <row r="849" ht="16" customHeight="1">
      <c r="A849" s="28">
        <f>IF($B849="","","N-"&amp;TEXT(ROW()-3,"0000"))</f>
        <v/>
      </c>
      <c r="B849" s="47" t="n"/>
      <c r="C849" s="48" t="n"/>
      <c r="D849" s="48" t="n"/>
      <c r="E849" s="28">
        <f>IF($C849="","",IF($D849="",IF($C849="Interna","Sin guía (interna)","FALTA GUÍA"),IF(COUNTIFS(ENVIOS!$A$4:$A$3003,$D849)=0,"NO EXISTE",IF(COUNTIFS(ENVIOS!$A$4:$A$3003,$D849)&gt;1,"DUPLICADA","OK"))))</f>
        <v/>
      </c>
      <c r="F849" s="28">
        <f>IF($D849="","",IFERROR(INDEX(ENVIOS!$B$4:$B$3003,MATCH($D849,ENVIOS!$A$4:$A$3003,0)),"—"))</f>
        <v/>
      </c>
      <c r="G849" s="23">
        <f>IF($D849="","",IFERROR(INDEX(ENVIOS!$D$4:$D$3003,MATCH($D849,ENVIOS!$A$4:$A$3003,0)),"—"))</f>
        <v/>
      </c>
      <c r="H849" s="23">
        <f>IF($D849="","",IFERROR(INDEX(ENVIOS!$E$4:$E$3003,MATCH($D849,ENVIOS!$A$4:$A$3003,0)),"—"))</f>
        <v/>
      </c>
      <c r="I849" s="23">
        <f>IF($D849="","",IFERROR(INDEX(ENVIOS!$F$4:$F$3003,MATCH($D849,ENVIOS!$A$4:$A$3003,0)),"—"))</f>
        <v/>
      </c>
      <c r="J849" s="23">
        <f>IF($D849="","",IFERROR(INDEX(ENVIOS!$G$4:$G$3003,MATCH($D849,ENVIOS!$A$4:$A$3003,0)),"—"))</f>
        <v/>
      </c>
      <c r="K849" s="28">
        <f>IF($D849="","",IFERROR(INDEX(ENVIOS!$H$4:$H$3003,MATCH($D849,ENVIOS!$A$4:$A$3003,0)),"—"))</f>
        <v/>
      </c>
      <c r="L849" s="49">
        <f>IF($D849="","",IFERROR(INDEX(ENVIOS!$C$4:$C$3003,MATCH($D849,ENVIOS!$A$4:$A$3003,0)),""))</f>
        <v/>
      </c>
      <c r="M849" s="50" t="n"/>
      <c r="N849" s="28">
        <f>IF($M849="","",IFERROR(INDEX(CONFIG!$C$4:$C$63,MATCH($M849,CONFIG!$A$4:$A$63,0)),"Media"))</f>
        <v/>
      </c>
      <c r="O849" s="28">
        <f>IF($M849="","",IF($C849="Interna","NO",IFERROR(INDEX(CONFIG!$E$4:$E$63,MATCH($M849,CONFIG!$A$4:$A$63,0)),"NO")))</f>
        <v/>
      </c>
      <c r="P849" s="50" t="n"/>
      <c r="Q849" s="50" t="n"/>
      <c r="R849" s="28">
        <f>IF($Q849="","",IFERROR(INDEX(CONFIG!$H$4:$H$63,MATCH($Q849,CONFIG!$G$4:$G$63,0)),"Por definir"))</f>
        <v/>
      </c>
      <c r="S849" s="28">
        <f>IF($Q849="","",IFERROR(INDEX(CONFIG!$I$4:$I$63,MATCH($Q849,CONFIG!$G$4:$G$63,0)),"Por definir"))</f>
        <v/>
      </c>
      <c r="T849" s="51" t="n"/>
      <c r="U849" s="52" t="n"/>
      <c r="V849" s="50" t="n"/>
      <c r="W849" s="50" t="n"/>
      <c r="X849" s="49">
        <f>IF(OR($B849="",$M849=""),"",WORKDAY($B849,IFERROR(INDEX(CONFIG!$D$4:$D$63,MATCH($M849,CONFIG!$A$4:$A$63,0)),3)))</f>
        <v/>
      </c>
      <c r="Y849" s="47" t="n"/>
      <c r="Z849" s="24">
        <f>IF($B849="","",IF($Y849&lt;&gt;"",$Y849-$B849,TODAY()-$B849))</f>
        <v/>
      </c>
      <c r="AA849" s="28">
        <f>IF($B849="","",IF(IFERROR(INDEX(CONFIG!$L$4:$L$63,MATCH($V849,CONFIG!$K$4:$K$63,0)),"NO")="SÍ",IF(OR($Y849="",$X849=""),"Resuelta",IF($Y849&gt;$X849,"Resuelta tarde","Resuelta a tiempo")),IF($X849="","Sin clasificar",IF(TODAY()&gt;$X849,"Vencida",IF(TODAY()&gt;=$X849-1,"Por vencer","En plazo")))))</f>
        <v/>
      </c>
      <c r="AB849" s="50" t="n"/>
      <c r="AC849" s="50" t="n"/>
    </row>
    <row r="850" ht="16" customHeight="1">
      <c r="A850" s="28">
        <f>IF($B850="","","N-"&amp;TEXT(ROW()-3,"0000"))</f>
        <v/>
      </c>
      <c r="B850" s="47" t="n"/>
      <c r="C850" s="48" t="n"/>
      <c r="D850" s="48" t="n"/>
      <c r="E850" s="28">
        <f>IF($C850="","",IF($D850="",IF($C850="Interna","Sin guía (interna)","FALTA GUÍA"),IF(COUNTIFS(ENVIOS!$A$4:$A$3003,$D850)=0,"NO EXISTE",IF(COUNTIFS(ENVIOS!$A$4:$A$3003,$D850)&gt;1,"DUPLICADA","OK"))))</f>
        <v/>
      </c>
      <c r="F850" s="28">
        <f>IF($D850="","",IFERROR(INDEX(ENVIOS!$B$4:$B$3003,MATCH($D850,ENVIOS!$A$4:$A$3003,0)),"—"))</f>
        <v/>
      </c>
      <c r="G850" s="23">
        <f>IF($D850="","",IFERROR(INDEX(ENVIOS!$D$4:$D$3003,MATCH($D850,ENVIOS!$A$4:$A$3003,0)),"—"))</f>
        <v/>
      </c>
      <c r="H850" s="23">
        <f>IF($D850="","",IFERROR(INDEX(ENVIOS!$E$4:$E$3003,MATCH($D850,ENVIOS!$A$4:$A$3003,0)),"—"))</f>
        <v/>
      </c>
      <c r="I850" s="23">
        <f>IF($D850="","",IFERROR(INDEX(ENVIOS!$F$4:$F$3003,MATCH($D850,ENVIOS!$A$4:$A$3003,0)),"—"))</f>
        <v/>
      </c>
      <c r="J850" s="23">
        <f>IF($D850="","",IFERROR(INDEX(ENVIOS!$G$4:$G$3003,MATCH($D850,ENVIOS!$A$4:$A$3003,0)),"—"))</f>
        <v/>
      </c>
      <c r="K850" s="28">
        <f>IF($D850="","",IFERROR(INDEX(ENVIOS!$H$4:$H$3003,MATCH($D850,ENVIOS!$A$4:$A$3003,0)),"—"))</f>
        <v/>
      </c>
      <c r="L850" s="49">
        <f>IF($D850="","",IFERROR(INDEX(ENVIOS!$C$4:$C$3003,MATCH($D850,ENVIOS!$A$4:$A$3003,0)),""))</f>
        <v/>
      </c>
      <c r="M850" s="50" t="n"/>
      <c r="N850" s="28">
        <f>IF($M850="","",IFERROR(INDEX(CONFIG!$C$4:$C$63,MATCH($M850,CONFIG!$A$4:$A$63,0)),"Media"))</f>
        <v/>
      </c>
      <c r="O850" s="28">
        <f>IF($M850="","",IF($C850="Interna","NO",IFERROR(INDEX(CONFIG!$E$4:$E$63,MATCH($M850,CONFIG!$A$4:$A$63,0)),"NO")))</f>
        <v/>
      </c>
      <c r="P850" s="50" t="n"/>
      <c r="Q850" s="50" t="n"/>
      <c r="R850" s="28">
        <f>IF($Q850="","",IFERROR(INDEX(CONFIG!$H$4:$H$63,MATCH($Q850,CONFIG!$G$4:$G$63,0)),"Por definir"))</f>
        <v/>
      </c>
      <c r="S850" s="28">
        <f>IF($Q850="","",IFERROR(INDEX(CONFIG!$I$4:$I$63,MATCH($Q850,CONFIG!$G$4:$G$63,0)),"Por definir"))</f>
        <v/>
      </c>
      <c r="T850" s="51" t="n"/>
      <c r="U850" s="52" t="n"/>
      <c r="V850" s="50" t="n"/>
      <c r="W850" s="50" t="n"/>
      <c r="X850" s="49">
        <f>IF(OR($B850="",$M850=""),"",WORKDAY($B850,IFERROR(INDEX(CONFIG!$D$4:$D$63,MATCH($M850,CONFIG!$A$4:$A$63,0)),3)))</f>
        <v/>
      </c>
      <c r="Y850" s="47" t="n"/>
      <c r="Z850" s="24">
        <f>IF($B850="","",IF($Y850&lt;&gt;"",$Y850-$B850,TODAY()-$B850))</f>
        <v/>
      </c>
      <c r="AA850" s="28">
        <f>IF($B850="","",IF(IFERROR(INDEX(CONFIG!$L$4:$L$63,MATCH($V850,CONFIG!$K$4:$K$63,0)),"NO")="SÍ",IF(OR($Y850="",$X850=""),"Resuelta",IF($Y850&gt;$X850,"Resuelta tarde","Resuelta a tiempo")),IF($X850="","Sin clasificar",IF(TODAY()&gt;$X850,"Vencida",IF(TODAY()&gt;=$X850-1,"Por vencer","En plazo")))))</f>
        <v/>
      </c>
      <c r="AB850" s="50" t="n"/>
      <c r="AC850" s="50" t="n"/>
    </row>
    <row r="851" ht="16" customHeight="1">
      <c r="A851" s="28">
        <f>IF($B851="","","N-"&amp;TEXT(ROW()-3,"0000"))</f>
        <v/>
      </c>
      <c r="B851" s="47" t="n"/>
      <c r="C851" s="48" t="n"/>
      <c r="D851" s="48" t="n"/>
      <c r="E851" s="28">
        <f>IF($C851="","",IF($D851="",IF($C851="Interna","Sin guía (interna)","FALTA GUÍA"),IF(COUNTIFS(ENVIOS!$A$4:$A$3003,$D851)=0,"NO EXISTE",IF(COUNTIFS(ENVIOS!$A$4:$A$3003,$D851)&gt;1,"DUPLICADA","OK"))))</f>
        <v/>
      </c>
      <c r="F851" s="28">
        <f>IF($D851="","",IFERROR(INDEX(ENVIOS!$B$4:$B$3003,MATCH($D851,ENVIOS!$A$4:$A$3003,0)),"—"))</f>
        <v/>
      </c>
      <c r="G851" s="23">
        <f>IF($D851="","",IFERROR(INDEX(ENVIOS!$D$4:$D$3003,MATCH($D851,ENVIOS!$A$4:$A$3003,0)),"—"))</f>
        <v/>
      </c>
      <c r="H851" s="23">
        <f>IF($D851="","",IFERROR(INDEX(ENVIOS!$E$4:$E$3003,MATCH($D851,ENVIOS!$A$4:$A$3003,0)),"—"))</f>
        <v/>
      </c>
      <c r="I851" s="23">
        <f>IF($D851="","",IFERROR(INDEX(ENVIOS!$F$4:$F$3003,MATCH($D851,ENVIOS!$A$4:$A$3003,0)),"—"))</f>
        <v/>
      </c>
      <c r="J851" s="23">
        <f>IF($D851="","",IFERROR(INDEX(ENVIOS!$G$4:$G$3003,MATCH($D851,ENVIOS!$A$4:$A$3003,0)),"—"))</f>
        <v/>
      </c>
      <c r="K851" s="28">
        <f>IF($D851="","",IFERROR(INDEX(ENVIOS!$H$4:$H$3003,MATCH($D851,ENVIOS!$A$4:$A$3003,0)),"—"))</f>
        <v/>
      </c>
      <c r="L851" s="49">
        <f>IF($D851="","",IFERROR(INDEX(ENVIOS!$C$4:$C$3003,MATCH($D851,ENVIOS!$A$4:$A$3003,0)),""))</f>
        <v/>
      </c>
      <c r="M851" s="50" t="n"/>
      <c r="N851" s="28">
        <f>IF($M851="","",IFERROR(INDEX(CONFIG!$C$4:$C$63,MATCH($M851,CONFIG!$A$4:$A$63,0)),"Media"))</f>
        <v/>
      </c>
      <c r="O851" s="28">
        <f>IF($M851="","",IF($C851="Interna","NO",IFERROR(INDEX(CONFIG!$E$4:$E$63,MATCH($M851,CONFIG!$A$4:$A$63,0)),"NO")))</f>
        <v/>
      </c>
      <c r="P851" s="50" t="n"/>
      <c r="Q851" s="50" t="n"/>
      <c r="R851" s="28">
        <f>IF($Q851="","",IFERROR(INDEX(CONFIG!$H$4:$H$63,MATCH($Q851,CONFIG!$G$4:$G$63,0)),"Por definir"))</f>
        <v/>
      </c>
      <c r="S851" s="28">
        <f>IF($Q851="","",IFERROR(INDEX(CONFIG!$I$4:$I$63,MATCH($Q851,CONFIG!$G$4:$G$63,0)),"Por definir"))</f>
        <v/>
      </c>
      <c r="T851" s="51" t="n"/>
      <c r="U851" s="52" t="n"/>
      <c r="V851" s="50" t="n"/>
      <c r="W851" s="50" t="n"/>
      <c r="X851" s="49">
        <f>IF(OR($B851="",$M851=""),"",WORKDAY($B851,IFERROR(INDEX(CONFIG!$D$4:$D$63,MATCH($M851,CONFIG!$A$4:$A$63,0)),3)))</f>
        <v/>
      </c>
      <c r="Y851" s="47" t="n"/>
      <c r="Z851" s="24">
        <f>IF($B851="","",IF($Y851&lt;&gt;"",$Y851-$B851,TODAY()-$B851))</f>
        <v/>
      </c>
      <c r="AA851" s="28">
        <f>IF($B851="","",IF(IFERROR(INDEX(CONFIG!$L$4:$L$63,MATCH($V851,CONFIG!$K$4:$K$63,0)),"NO")="SÍ",IF(OR($Y851="",$X851=""),"Resuelta",IF($Y851&gt;$X851,"Resuelta tarde","Resuelta a tiempo")),IF($X851="","Sin clasificar",IF(TODAY()&gt;$X851,"Vencida",IF(TODAY()&gt;=$X851-1,"Por vencer","En plazo")))))</f>
        <v/>
      </c>
      <c r="AB851" s="50" t="n"/>
      <c r="AC851" s="50" t="n"/>
    </row>
    <row r="852" ht="16" customHeight="1">
      <c r="A852" s="28">
        <f>IF($B852="","","N-"&amp;TEXT(ROW()-3,"0000"))</f>
        <v/>
      </c>
      <c r="B852" s="47" t="n"/>
      <c r="C852" s="48" t="n"/>
      <c r="D852" s="48" t="n"/>
      <c r="E852" s="28">
        <f>IF($C852="","",IF($D852="",IF($C852="Interna","Sin guía (interna)","FALTA GUÍA"),IF(COUNTIFS(ENVIOS!$A$4:$A$3003,$D852)=0,"NO EXISTE",IF(COUNTIFS(ENVIOS!$A$4:$A$3003,$D852)&gt;1,"DUPLICADA","OK"))))</f>
        <v/>
      </c>
      <c r="F852" s="28">
        <f>IF($D852="","",IFERROR(INDEX(ENVIOS!$B$4:$B$3003,MATCH($D852,ENVIOS!$A$4:$A$3003,0)),"—"))</f>
        <v/>
      </c>
      <c r="G852" s="23">
        <f>IF($D852="","",IFERROR(INDEX(ENVIOS!$D$4:$D$3003,MATCH($D852,ENVIOS!$A$4:$A$3003,0)),"—"))</f>
        <v/>
      </c>
      <c r="H852" s="23">
        <f>IF($D852="","",IFERROR(INDEX(ENVIOS!$E$4:$E$3003,MATCH($D852,ENVIOS!$A$4:$A$3003,0)),"—"))</f>
        <v/>
      </c>
      <c r="I852" s="23">
        <f>IF($D852="","",IFERROR(INDEX(ENVIOS!$F$4:$F$3003,MATCH($D852,ENVIOS!$A$4:$A$3003,0)),"—"))</f>
        <v/>
      </c>
      <c r="J852" s="23">
        <f>IF($D852="","",IFERROR(INDEX(ENVIOS!$G$4:$G$3003,MATCH($D852,ENVIOS!$A$4:$A$3003,0)),"—"))</f>
        <v/>
      </c>
      <c r="K852" s="28">
        <f>IF($D852="","",IFERROR(INDEX(ENVIOS!$H$4:$H$3003,MATCH($D852,ENVIOS!$A$4:$A$3003,0)),"—"))</f>
        <v/>
      </c>
      <c r="L852" s="49">
        <f>IF($D852="","",IFERROR(INDEX(ENVIOS!$C$4:$C$3003,MATCH($D852,ENVIOS!$A$4:$A$3003,0)),""))</f>
        <v/>
      </c>
      <c r="M852" s="50" t="n"/>
      <c r="N852" s="28">
        <f>IF($M852="","",IFERROR(INDEX(CONFIG!$C$4:$C$63,MATCH($M852,CONFIG!$A$4:$A$63,0)),"Media"))</f>
        <v/>
      </c>
      <c r="O852" s="28">
        <f>IF($M852="","",IF($C852="Interna","NO",IFERROR(INDEX(CONFIG!$E$4:$E$63,MATCH($M852,CONFIG!$A$4:$A$63,0)),"NO")))</f>
        <v/>
      </c>
      <c r="P852" s="50" t="n"/>
      <c r="Q852" s="50" t="n"/>
      <c r="R852" s="28">
        <f>IF($Q852="","",IFERROR(INDEX(CONFIG!$H$4:$H$63,MATCH($Q852,CONFIG!$G$4:$G$63,0)),"Por definir"))</f>
        <v/>
      </c>
      <c r="S852" s="28">
        <f>IF($Q852="","",IFERROR(INDEX(CONFIG!$I$4:$I$63,MATCH($Q852,CONFIG!$G$4:$G$63,0)),"Por definir"))</f>
        <v/>
      </c>
      <c r="T852" s="51" t="n"/>
      <c r="U852" s="52" t="n"/>
      <c r="V852" s="50" t="n"/>
      <c r="W852" s="50" t="n"/>
      <c r="X852" s="49">
        <f>IF(OR($B852="",$M852=""),"",WORKDAY($B852,IFERROR(INDEX(CONFIG!$D$4:$D$63,MATCH($M852,CONFIG!$A$4:$A$63,0)),3)))</f>
        <v/>
      </c>
      <c r="Y852" s="47" t="n"/>
      <c r="Z852" s="24">
        <f>IF($B852="","",IF($Y852&lt;&gt;"",$Y852-$B852,TODAY()-$B852))</f>
        <v/>
      </c>
      <c r="AA852" s="28">
        <f>IF($B852="","",IF(IFERROR(INDEX(CONFIG!$L$4:$L$63,MATCH($V852,CONFIG!$K$4:$K$63,0)),"NO")="SÍ",IF(OR($Y852="",$X852=""),"Resuelta",IF($Y852&gt;$X852,"Resuelta tarde","Resuelta a tiempo")),IF($X852="","Sin clasificar",IF(TODAY()&gt;$X852,"Vencida",IF(TODAY()&gt;=$X852-1,"Por vencer","En plazo")))))</f>
        <v/>
      </c>
      <c r="AB852" s="50" t="n"/>
      <c r="AC852" s="50" t="n"/>
    </row>
    <row r="853" ht="16" customHeight="1">
      <c r="A853" s="28">
        <f>IF($B853="","","N-"&amp;TEXT(ROW()-3,"0000"))</f>
        <v/>
      </c>
      <c r="B853" s="47" t="n"/>
      <c r="C853" s="48" t="n"/>
      <c r="D853" s="48" t="n"/>
      <c r="E853" s="28">
        <f>IF($C853="","",IF($D853="",IF($C853="Interna","Sin guía (interna)","FALTA GUÍA"),IF(COUNTIFS(ENVIOS!$A$4:$A$3003,$D853)=0,"NO EXISTE",IF(COUNTIFS(ENVIOS!$A$4:$A$3003,$D853)&gt;1,"DUPLICADA","OK"))))</f>
        <v/>
      </c>
      <c r="F853" s="28">
        <f>IF($D853="","",IFERROR(INDEX(ENVIOS!$B$4:$B$3003,MATCH($D853,ENVIOS!$A$4:$A$3003,0)),"—"))</f>
        <v/>
      </c>
      <c r="G853" s="23">
        <f>IF($D853="","",IFERROR(INDEX(ENVIOS!$D$4:$D$3003,MATCH($D853,ENVIOS!$A$4:$A$3003,0)),"—"))</f>
        <v/>
      </c>
      <c r="H853" s="23">
        <f>IF($D853="","",IFERROR(INDEX(ENVIOS!$E$4:$E$3003,MATCH($D853,ENVIOS!$A$4:$A$3003,0)),"—"))</f>
        <v/>
      </c>
      <c r="I853" s="23">
        <f>IF($D853="","",IFERROR(INDEX(ENVIOS!$F$4:$F$3003,MATCH($D853,ENVIOS!$A$4:$A$3003,0)),"—"))</f>
        <v/>
      </c>
      <c r="J853" s="23">
        <f>IF($D853="","",IFERROR(INDEX(ENVIOS!$G$4:$G$3003,MATCH($D853,ENVIOS!$A$4:$A$3003,0)),"—"))</f>
        <v/>
      </c>
      <c r="K853" s="28">
        <f>IF($D853="","",IFERROR(INDEX(ENVIOS!$H$4:$H$3003,MATCH($D853,ENVIOS!$A$4:$A$3003,0)),"—"))</f>
        <v/>
      </c>
      <c r="L853" s="49">
        <f>IF($D853="","",IFERROR(INDEX(ENVIOS!$C$4:$C$3003,MATCH($D853,ENVIOS!$A$4:$A$3003,0)),""))</f>
        <v/>
      </c>
      <c r="M853" s="50" t="n"/>
      <c r="N853" s="28">
        <f>IF($M853="","",IFERROR(INDEX(CONFIG!$C$4:$C$63,MATCH($M853,CONFIG!$A$4:$A$63,0)),"Media"))</f>
        <v/>
      </c>
      <c r="O853" s="28">
        <f>IF($M853="","",IF($C853="Interna","NO",IFERROR(INDEX(CONFIG!$E$4:$E$63,MATCH($M853,CONFIG!$A$4:$A$63,0)),"NO")))</f>
        <v/>
      </c>
      <c r="P853" s="50" t="n"/>
      <c r="Q853" s="50" t="n"/>
      <c r="R853" s="28">
        <f>IF($Q853="","",IFERROR(INDEX(CONFIG!$H$4:$H$63,MATCH($Q853,CONFIG!$G$4:$G$63,0)),"Por definir"))</f>
        <v/>
      </c>
      <c r="S853" s="28">
        <f>IF($Q853="","",IFERROR(INDEX(CONFIG!$I$4:$I$63,MATCH($Q853,CONFIG!$G$4:$G$63,0)),"Por definir"))</f>
        <v/>
      </c>
      <c r="T853" s="51" t="n"/>
      <c r="U853" s="52" t="n"/>
      <c r="V853" s="50" t="n"/>
      <c r="W853" s="50" t="n"/>
      <c r="X853" s="49">
        <f>IF(OR($B853="",$M853=""),"",WORKDAY($B853,IFERROR(INDEX(CONFIG!$D$4:$D$63,MATCH($M853,CONFIG!$A$4:$A$63,0)),3)))</f>
        <v/>
      </c>
      <c r="Y853" s="47" t="n"/>
      <c r="Z853" s="24">
        <f>IF($B853="","",IF($Y853&lt;&gt;"",$Y853-$B853,TODAY()-$B853))</f>
        <v/>
      </c>
      <c r="AA853" s="28">
        <f>IF($B853="","",IF(IFERROR(INDEX(CONFIG!$L$4:$L$63,MATCH($V853,CONFIG!$K$4:$K$63,0)),"NO")="SÍ",IF(OR($Y853="",$X853=""),"Resuelta",IF($Y853&gt;$X853,"Resuelta tarde","Resuelta a tiempo")),IF($X853="","Sin clasificar",IF(TODAY()&gt;$X853,"Vencida",IF(TODAY()&gt;=$X853-1,"Por vencer","En plazo")))))</f>
        <v/>
      </c>
      <c r="AB853" s="50" t="n"/>
      <c r="AC853" s="50" t="n"/>
    </row>
    <row r="854" ht="16" customHeight="1">
      <c r="A854" s="28">
        <f>IF($B854="","","N-"&amp;TEXT(ROW()-3,"0000"))</f>
        <v/>
      </c>
      <c r="B854" s="47" t="n"/>
      <c r="C854" s="48" t="n"/>
      <c r="D854" s="48" t="n"/>
      <c r="E854" s="28">
        <f>IF($C854="","",IF($D854="",IF($C854="Interna","Sin guía (interna)","FALTA GUÍA"),IF(COUNTIFS(ENVIOS!$A$4:$A$3003,$D854)=0,"NO EXISTE",IF(COUNTIFS(ENVIOS!$A$4:$A$3003,$D854)&gt;1,"DUPLICADA","OK"))))</f>
        <v/>
      </c>
      <c r="F854" s="28">
        <f>IF($D854="","",IFERROR(INDEX(ENVIOS!$B$4:$B$3003,MATCH($D854,ENVIOS!$A$4:$A$3003,0)),"—"))</f>
        <v/>
      </c>
      <c r="G854" s="23">
        <f>IF($D854="","",IFERROR(INDEX(ENVIOS!$D$4:$D$3003,MATCH($D854,ENVIOS!$A$4:$A$3003,0)),"—"))</f>
        <v/>
      </c>
      <c r="H854" s="23">
        <f>IF($D854="","",IFERROR(INDEX(ENVIOS!$E$4:$E$3003,MATCH($D854,ENVIOS!$A$4:$A$3003,0)),"—"))</f>
        <v/>
      </c>
      <c r="I854" s="23">
        <f>IF($D854="","",IFERROR(INDEX(ENVIOS!$F$4:$F$3003,MATCH($D854,ENVIOS!$A$4:$A$3003,0)),"—"))</f>
        <v/>
      </c>
      <c r="J854" s="23">
        <f>IF($D854="","",IFERROR(INDEX(ENVIOS!$G$4:$G$3003,MATCH($D854,ENVIOS!$A$4:$A$3003,0)),"—"))</f>
        <v/>
      </c>
      <c r="K854" s="28">
        <f>IF($D854="","",IFERROR(INDEX(ENVIOS!$H$4:$H$3003,MATCH($D854,ENVIOS!$A$4:$A$3003,0)),"—"))</f>
        <v/>
      </c>
      <c r="L854" s="49">
        <f>IF($D854="","",IFERROR(INDEX(ENVIOS!$C$4:$C$3003,MATCH($D854,ENVIOS!$A$4:$A$3003,0)),""))</f>
        <v/>
      </c>
      <c r="M854" s="50" t="n"/>
      <c r="N854" s="28">
        <f>IF($M854="","",IFERROR(INDEX(CONFIG!$C$4:$C$63,MATCH($M854,CONFIG!$A$4:$A$63,0)),"Media"))</f>
        <v/>
      </c>
      <c r="O854" s="28">
        <f>IF($M854="","",IF($C854="Interna","NO",IFERROR(INDEX(CONFIG!$E$4:$E$63,MATCH($M854,CONFIG!$A$4:$A$63,0)),"NO")))</f>
        <v/>
      </c>
      <c r="P854" s="50" t="n"/>
      <c r="Q854" s="50" t="n"/>
      <c r="R854" s="28">
        <f>IF($Q854="","",IFERROR(INDEX(CONFIG!$H$4:$H$63,MATCH($Q854,CONFIG!$G$4:$G$63,0)),"Por definir"))</f>
        <v/>
      </c>
      <c r="S854" s="28">
        <f>IF($Q854="","",IFERROR(INDEX(CONFIG!$I$4:$I$63,MATCH($Q854,CONFIG!$G$4:$G$63,0)),"Por definir"))</f>
        <v/>
      </c>
      <c r="T854" s="51" t="n"/>
      <c r="U854" s="52" t="n"/>
      <c r="V854" s="50" t="n"/>
      <c r="W854" s="50" t="n"/>
      <c r="X854" s="49">
        <f>IF(OR($B854="",$M854=""),"",WORKDAY($B854,IFERROR(INDEX(CONFIG!$D$4:$D$63,MATCH($M854,CONFIG!$A$4:$A$63,0)),3)))</f>
        <v/>
      </c>
      <c r="Y854" s="47" t="n"/>
      <c r="Z854" s="24">
        <f>IF($B854="","",IF($Y854&lt;&gt;"",$Y854-$B854,TODAY()-$B854))</f>
        <v/>
      </c>
      <c r="AA854" s="28">
        <f>IF($B854="","",IF(IFERROR(INDEX(CONFIG!$L$4:$L$63,MATCH($V854,CONFIG!$K$4:$K$63,0)),"NO")="SÍ",IF(OR($Y854="",$X854=""),"Resuelta",IF($Y854&gt;$X854,"Resuelta tarde","Resuelta a tiempo")),IF($X854="","Sin clasificar",IF(TODAY()&gt;$X854,"Vencida",IF(TODAY()&gt;=$X854-1,"Por vencer","En plazo")))))</f>
        <v/>
      </c>
      <c r="AB854" s="50" t="n"/>
      <c r="AC854" s="50" t="n"/>
    </row>
    <row r="855" ht="16" customHeight="1">
      <c r="A855" s="28">
        <f>IF($B855="","","N-"&amp;TEXT(ROW()-3,"0000"))</f>
        <v/>
      </c>
      <c r="B855" s="47" t="n"/>
      <c r="C855" s="48" t="n"/>
      <c r="D855" s="48" t="n"/>
      <c r="E855" s="28">
        <f>IF($C855="","",IF($D855="",IF($C855="Interna","Sin guía (interna)","FALTA GUÍA"),IF(COUNTIFS(ENVIOS!$A$4:$A$3003,$D855)=0,"NO EXISTE",IF(COUNTIFS(ENVIOS!$A$4:$A$3003,$D855)&gt;1,"DUPLICADA","OK"))))</f>
        <v/>
      </c>
      <c r="F855" s="28">
        <f>IF($D855="","",IFERROR(INDEX(ENVIOS!$B$4:$B$3003,MATCH($D855,ENVIOS!$A$4:$A$3003,0)),"—"))</f>
        <v/>
      </c>
      <c r="G855" s="23">
        <f>IF($D855="","",IFERROR(INDEX(ENVIOS!$D$4:$D$3003,MATCH($D855,ENVIOS!$A$4:$A$3003,0)),"—"))</f>
        <v/>
      </c>
      <c r="H855" s="23">
        <f>IF($D855="","",IFERROR(INDEX(ENVIOS!$E$4:$E$3003,MATCH($D855,ENVIOS!$A$4:$A$3003,0)),"—"))</f>
        <v/>
      </c>
      <c r="I855" s="23">
        <f>IF($D855="","",IFERROR(INDEX(ENVIOS!$F$4:$F$3003,MATCH($D855,ENVIOS!$A$4:$A$3003,0)),"—"))</f>
        <v/>
      </c>
      <c r="J855" s="23">
        <f>IF($D855="","",IFERROR(INDEX(ENVIOS!$G$4:$G$3003,MATCH($D855,ENVIOS!$A$4:$A$3003,0)),"—"))</f>
        <v/>
      </c>
      <c r="K855" s="28">
        <f>IF($D855="","",IFERROR(INDEX(ENVIOS!$H$4:$H$3003,MATCH($D855,ENVIOS!$A$4:$A$3003,0)),"—"))</f>
        <v/>
      </c>
      <c r="L855" s="49">
        <f>IF($D855="","",IFERROR(INDEX(ENVIOS!$C$4:$C$3003,MATCH($D855,ENVIOS!$A$4:$A$3003,0)),""))</f>
        <v/>
      </c>
      <c r="M855" s="50" t="n"/>
      <c r="N855" s="28">
        <f>IF($M855="","",IFERROR(INDEX(CONFIG!$C$4:$C$63,MATCH($M855,CONFIG!$A$4:$A$63,0)),"Media"))</f>
        <v/>
      </c>
      <c r="O855" s="28">
        <f>IF($M855="","",IF($C855="Interna","NO",IFERROR(INDEX(CONFIG!$E$4:$E$63,MATCH($M855,CONFIG!$A$4:$A$63,0)),"NO")))</f>
        <v/>
      </c>
      <c r="P855" s="50" t="n"/>
      <c r="Q855" s="50" t="n"/>
      <c r="R855" s="28">
        <f>IF($Q855="","",IFERROR(INDEX(CONFIG!$H$4:$H$63,MATCH($Q855,CONFIG!$G$4:$G$63,0)),"Por definir"))</f>
        <v/>
      </c>
      <c r="S855" s="28">
        <f>IF($Q855="","",IFERROR(INDEX(CONFIG!$I$4:$I$63,MATCH($Q855,CONFIG!$G$4:$G$63,0)),"Por definir"))</f>
        <v/>
      </c>
      <c r="T855" s="51" t="n"/>
      <c r="U855" s="52" t="n"/>
      <c r="V855" s="50" t="n"/>
      <c r="W855" s="50" t="n"/>
      <c r="X855" s="49">
        <f>IF(OR($B855="",$M855=""),"",WORKDAY($B855,IFERROR(INDEX(CONFIG!$D$4:$D$63,MATCH($M855,CONFIG!$A$4:$A$63,0)),3)))</f>
        <v/>
      </c>
      <c r="Y855" s="47" t="n"/>
      <c r="Z855" s="24">
        <f>IF($B855="","",IF($Y855&lt;&gt;"",$Y855-$B855,TODAY()-$B855))</f>
        <v/>
      </c>
      <c r="AA855" s="28">
        <f>IF($B855="","",IF(IFERROR(INDEX(CONFIG!$L$4:$L$63,MATCH($V855,CONFIG!$K$4:$K$63,0)),"NO")="SÍ",IF(OR($Y855="",$X855=""),"Resuelta",IF($Y855&gt;$X855,"Resuelta tarde","Resuelta a tiempo")),IF($X855="","Sin clasificar",IF(TODAY()&gt;$X855,"Vencida",IF(TODAY()&gt;=$X855-1,"Por vencer","En plazo")))))</f>
        <v/>
      </c>
      <c r="AB855" s="50" t="n"/>
      <c r="AC855" s="50" t="n"/>
    </row>
    <row r="856" ht="16" customHeight="1">
      <c r="A856" s="28">
        <f>IF($B856="","","N-"&amp;TEXT(ROW()-3,"0000"))</f>
        <v/>
      </c>
      <c r="B856" s="47" t="n"/>
      <c r="C856" s="48" t="n"/>
      <c r="D856" s="48" t="n"/>
      <c r="E856" s="28">
        <f>IF($C856="","",IF($D856="",IF($C856="Interna","Sin guía (interna)","FALTA GUÍA"),IF(COUNTIFS(ENVIOS!$A$4:$A$3003,$D856)=0,"NO EXISTE",IF(COUNTIFS(ENVIOS!$A$4:$A$3003,$D856)&gt;1,"DUPLICADA","OK"))))</f>
        <v/>
      </c>
      <c r="F856" s="28">
        <f>IF($D856="","",IFERROR(INDEX(ENVIOS!$B$4:$B$3003,MATCH($D856,ENVIOS!$A$4:$A$3003,0)),"—"))</f>
        <v/>
      </c>
      <c r="G856" s="23">
        <f>IF($D856="","",IFERROR(INDEX(ENVIOS!$D$4:$D$3003,MATCH($D856,ENVIOS!$A$4:$A$3003,0)),"—"))</f>
        <v/>
      </c>
      <c r="H856" s="23">
        <f>IF($D856="","",IFERROR(INDEX(ENVIOS!$E$4:$E$3003,MATCH($D856,ENVIOS!$A$4:$A$3003,0)),"—"))</f>
        <v/>
      </c>
      <c r="I856" s="23">
        <f>IF($D856="","",IFERROR(INDEX(ENVIOS!$F$4:$F$3003,MATCH($D856,ENVIOS!$A$4:$A$3003,0)),"—"))</f>
        <v/>
      </c>
      <c r="J856" s="23">
        <f>IF($D856="","",IFERROR(INDEX(ENVIOS!$G$4:$G$3003,MATCH($D856,ENVIOS!$A$4:$A$3003,0)),"—"))</f>
        <v/>
      </c>
      <c r="K856" s="28">
        <f>IF($D856="","",IFERROR(INDEX(ENVIOS!$H$4:$H$3003,MATCH($D856,ENVIOS!$A$4:$A$3003,0)),"—"))</f>
        <v/>
      </c>
      <c r="L856" s="49">
        <f>IF($D856="","",IFERROR(INDEX(ENVIOS!$C$4:$C$3003,MATCH($D856,ENVIOS!$A$4:$A$3003,0)),""))</f>
        <v/>
      </c>
      <c r="M856" s="50" t="n"/>
      <c r="N856" s="28">
        <f>IF($M856="","",IFERROR(INDEX(CONFIG!$C$4:$C$63,MATCH($M856,CONFIG!$A$4:$A$63,0)),"Media"))</f>
        <v/>
      </c>
      <c r="O856" s="28">
        <f>IF($M856="","",IF($C856="Interna","NO",IFERROR(INDEX(CONFIG!$E$4:$E$63,MATCH($M856,CONFIG!$A$4:$A$63,0)),"NO")))</f>
        <v/>
      </c>
      <c r="P856" s="50" t="n"/>
      <c r="Q856" s="50" t="n"/>
      <c r="R856" s="28">
        <f>IF($Q856="","",IFERROR(INDEX(CONFIG!$H$4:$H$63,MATCH($Q856,CONFIG!$G$4:$G$63,0)),"Por definir"))</f>
        <v/>
      </c>
      <c r="S856" s="28">
        <f>IF($Q856="","",IFERROR(INDEX(CONFIG!$I$4:$I$63,MATCH($Q856,CONFIG!$G$4:$G$63,0)),"Por definir"))</f>
        <v/>
      </c>
      <c r="T856" s="51" t="n"/>
      <c r="U856" s="52" t="n"/>
      <c r="V856" s="50" t="n"/>
      <c r="W856" s="50" t="n"/>
      <c r="X856" s="49">
        <f>IF(OR($B856="",$M856=""),"",WORKDAY($B856,IFERROR(INDEX(CONFIG!$D$4:$D$63,MATCH($M856,CONFIG!$A$4:$A$63,0)),3)))</f>
        <v/>
      </c>
      <c r="Y856" s="47" t="n"/>
      <c r="Z856" s="24">
        <f>IF($B856="","",IF($Y856&lt;&gt;"",$Y856-$B856,TODAY()-$B856))</f>
        <v/>
      </c>
      <c r="AA856" s="28">
        <f>IF($B856="","",IF(IFERROR(INDEX(CONFIG!$L$4:$L$63,MATCH($V856,CONFIG!$K$4:$K$63,0)),"NO")="SÍ",IF(OR($Y856="",$X856=""),"Resuelta",IF($Y856&gt;$X856,"Resuelta tarde","Resuelta a tiempo")),IF($X856="","Sin clasificar",IF(TODAY()&gt;$X856,"Vencida",IF(TODAY()&gt;=$X856-1,"Por vencer","En plazo")))))</f>
        <v/>
      </c>
      <c r="AB856" s="50" t="n"/>
      <c r="AC856" s="50" t="n"/>
    </row>
    <row r="857" ht="16" customHeight="1">
      <c r="A857" s="28">
        <f>IF($B857="","","N-"&amp;TEXT(ROW()-3,"0000"))</f>
        <v/>
      </c>
      <c r="B857" s="47" t="n"/>
      <c r="C857" s="48" t="n"/>
      <c r="D857" s="48" t="n"/>
      <c r="E857" s="28">
        <f>IF($C857="","",IF($D857="",IF($C857="Interna","Sin guía (interna)","FALTA GUÍA"),IF(COUNTIFS(ENVIOS!$A$4:$A$3003,$D857)=0,"NO EXISTE",IF(COUNTIFS(ENVIOS!$A$4:$A$3003,$D857)&gt;1,"DUPLICADA","OK"))))</f>
        <v/>
      </c>
      <c r="F857" s="28">
        <f>IF($D857="","",IFERROR(INDEX(ENVIOS!$B$4:$B$3003,MATCH($D857,ENVIOS!$A$4:$A$3003,0)),"—"))</f>
        <v/>
      </c>
      <c r="G857" s="23">
        <f>IF($D857="","",IFERROR(INDEX(ENVIOS!$D$4:$D$3003,MATCH($D857,ENVIOS!$A$4:$A$3003,0)),"—"))</f>
        <v/>
      </c>
      <c r="H857" s="23">
        <f>IF($D857="","",IFERROR(INDEX(ENVIOS!$E$4:$E$3003,MATCH($D857,ENVIOS!$A$4:$A$3003,0)),"—"))</f>
        <v/>
      </c>
      <c r="I857" s="23">
        <f>IF($D857="","",IFERROR(INDEX(ENVIOS!$F$4:$F$3003,MATCH($D857,ENVIOS!$A$4:$A$3003,0)),"—"))</f>
        <v/>
      </c>
      <c r="J857" s="23">
        <f>IF($D857="","",IFERROR(INDEX(ENVIOS!$G$4:$G$3003,MATCH($D857,ENVIOS!$A$4:$A$3003,0)),"—"))</f>
        <v/>
      </c>
      <c r="K857" s="28">
        <f>IF($D857="","",IFERROR(INDEX(ENVIOS!$H$4:$H$3003,MATCH($D857,ENVIOS!$A$4:$A$3003,0)),"—"))</f>
        <v/>
      </c>
      <c r="L857" s="49">
        <f>IF($D857="","",IFERROR(INDEX(ENVIOS!$C$4:$C$3003,MATCH($D857,ENVIOS!$A$4:$A$3003,0)),""))</f>
        <v/>
      </c>
      <c r="M857" s="50" t="n"/>
      <c r="N857" s="28">
        <f>IF($M857="","",IFERROR(INDEX(CONFIG!$C$4:$C$63,MATCH($M857,CONFIG!$A$4:$A$63,0)),"Media"))</f>
        <v/>
      </c>
      <c r="O857" s="28">
        <f>IF($M857="","",IF($C857="Interna","NO",IFERROR(INDEX(CONFIG!$E$4:$E$63,MATCH($M857,CONFIG!$A$4:$A$63,0)),"NO")))</f>
        <v/>
      </c>
      <c r="P857" s="50" t="n"/>
      <c r="Q857" s="50" t="n"/>
      <c r="R857" s="28">
        <f>IF($Q857="","",IFERROR(INDEX(CONFIG!$H$4:$H$63,MATCH($Q857,CONFIG!$G$4:$G$63,0)),"Por definir"))</f>
        <v/>
      </c>
      <c r="S857" s="28">
        <f>IF($Q857="","",IFERROR(INDEX(CONFIG!$I$4:$I$63,MATCH($Q857,CONFIG!$G$4:$G$63,0)),"Por definir"))</f>
        <v/>
      </c>
      <c r="T857" s="51" t="n"/>
      <c r="U857" s="52" t="n"/>
      <c r="V857" s="50" t="n"/>
      <c r="W857" s="50" t="n"/>
      <c r="X857" s="49">
        <f>IF(OR($B857="",$M857=""),"",WORKDAY($B857,IFERROR(INDEX(CONFIG!$D$4:$D$63,MATCH($M857,CONFIG!$A$4:$A$63,0)),3)))</f>
        <v/>
      </c>
      <c r="Y857" s="47" t="n"/>
      <c r="Z857" s="24">
        <f>IF($B857="","",IF($Y857&lt;&gt;"",$Y857-$B857,TODAY()-$B857))</f>
        <v/>
      </c>
      <c r="AA857" s="28">
        <f>IF($B857="","",IF(IFERROR(INDEX(CONFIG!$L$4:$L$63,MATCH($V857,CONFIG!$K$4:$K$63,0)),"NO")="SÍ",IF(OR($Y857="",$X857=""),"Resuelta",IF($Y857&gt;$X857,"Resuelta tarde","Resuelta a tiempo")),IF($X857="","Sin clasificar",IF(TODAY()&gt;$X857,"Vencida",IF(TODAY()&gt;=$X857-1,"Por vencer","En plazo")))))</f>
        <v/>
      </c>
      <c r="AB857" s="50" t="n"/>
      <c r="AC857" s="50" t="n"/>
    </row>
    <row r="858" ht="16" customHeight="1">
      <c r="A858" s="28">
        <f>IF($B858="","","N-"&amp;TEXT(ROW()-3,"0000"))</f>
        <v/>
      </c>
      <c r="B858" s="47" t="n"/>
      <c r="C858" s="48" t="n"/>
      <c r="D858" s="48" t="n"/>
      <c r="E858" s="28">
        <f>IF($C858="","",IF($D858="",IF($C858="Interna","Sin guía (interna)","FALTA GUÍA"),IF(COUNTIFS(ENVIOS!$A$4:$A$3003,$D858)=0,"NO EXISTE",IF(COUNTIFS(ENVIOS!$A$4:$A$3003,$D858)&gt;1,"DUPLICADA","OK"))))</f>
        <v/>
      </c>
      <c r="F858" s="28">
        <f>IF($D858="","",IFERROR(INDEX(ENVIOS!$B$4:$B$3003,MATCH($D858,ENVIOS!$A$4:$A$3003,0)),"—"))</f>
        <v/>
      </c>
      <c r="G858" s="23">
        <f>IF($D858="","",IFERROR(INDEX(ENVIOS!$D$4:$D$3003,MATCH($D858,ENVIOS!$A$4:$A$3003,0)),"—"))</f>
        <v/>
      </c>
      <c r="H858" s="23">
        <f>IF($D858="","",IFERROR(INDEX(ENVIOS!$E$4:$E$3003,MATCH($D858,ENVIOS!$A$4:$A$3003,0)),"—"))</f>
        <v/>
      </c>
      <c r="I858" s="23">
        <f>IF($D858="","",IFERROR(INDEX(ENVIOS!$F$4:$F$3003,MATCH($D858,ENVIOS!$A$4:$A$3003,0)),"—"))</f>
        <v/>
      </c>
      <c r="J858" s="23">
        <f>IF($D858="","",IFERROR(INDEX(ENVIOS!$G$4:$G$3003,MATCH($D858,ENVIOS!$A$4:$A$3003,0)),"—"))</f>
        <v/>
      </c>
      <c r="K858" s="28">
        <f>IF($D858="","",IFERROR(INDEX(ENVIOS!$H$4:$H$3003,MATCH($D858,ENVIOS!$A$4:$A$3003,0)),"—"))</f>
        <v/>
      </c>
      <c r="L858" s="49">
        <f>IF($D858="","",IFERROR(INDEX(ENVIOS!$C$4:$C$3003,MATCH($D858,ENVIOS!$A$4:$A$3003,0)),""))</f>
        <v/>
      </c>
      <c r="M858" s="50" t="n"/>
      <c r="N858" s="28">
        <f>IF($M858="","",IFERROR(INDEX(CONFIG!$C$4:$C$63,MATCH($M858,CONFIG!$A$4:$A$63,0)),"Media"))</f>
        <v/>
      </c>
      <c r="O858" s="28">
        <f>IF($M858="","",IF($C858="Interna","NO",IFERROR(INDEX(CONFIG!$E$4:$E$63,MATCH($M858,CONFIG!$A$4:$A$63,0)),"NO")))</f>
        <v/>
      </c>
      <c r="P858" s="50" t="n"/>
      <c r="Q858" s="50" t="n"/>
      <c r="R858" s="28">
        <f>IF($Q858="","",IFERROR(INDEX(CONFIG!$H$4:$H$63,MATCH($Q858,CONFIG!$G$4:$G$63,0)),"Por definir"))</f>
        <v/>
      </c>
      <c r="S858" s="28">
        <f>IF($Q858="","",IFERROR(INDEX(CONFIG!$I$4:$I$63,MATCH($Q858,CONFIG!$G$4:$G$63,0)),"Por definir"))</f>
        <v/>
      </c>
      <c r="T858" s="51" t="n"/>
      <c r="U858" s="52" t="n"/>
      <c r="V858" s="50" t="n"/>
      <c r="W858" s="50" t="n"/>
      <c r="X858" s="49">
        <f>IF(OR($B858="",$M858=""),"",WORKDAY($B858,IFERROR(INDEX(CONFIG!$D$4:$D$63,MATCH($M858,CONFIG!$A$4:$A$63,0)),3)))</f>
        <v/>
      </c>
      <c r="Y858" s="47" t="n"/>
      <c r="Z858" s="24">
        <f>IF($B858="","",IF($Y858&lt;&gt;"",$Y858-$B858,TODAY()-$B858))</f>
        <v/>
      </c>
      <c r="AA858" s="28">
        <f>IF($B858="","",IF(IFERROR(INDEX(CONFIG!$L$4:$L$63,MATCH($V858,CONFIG!$K$4:$K$63,0)),"NO")="SÍ",IF(OR($Y858="",$X858=""),"Resuelta",IF($Y858&gt;$X858,"Resuelta tarde","Resuelta a tiempo")),IF($X858="","Sin clasificar",IF(TODAY()&gt;$X858,"Vencida",IF(TODAY()&gt;=$X858-1,"Por vencer","En plazo")))))</f>
        <v/>
      </c>
      <c r="AB858" s="50" t="n"/>
      <c r="AC858" s="50" t="n"/>
    </row>
    <row r="859" ht="16" customHeight="1">
      <c r="A859" s="28">
        <f>IF($B859="","","N-"&amp;TEXT(ROW()-3,"0000"))</f>
        <v/>
      </c>
      <c r="B859" s="47" t="n"/>
      <c r="C859" s="48" t="n"/>
      <c r="D859" s="48" t="n"/>
      <c r="E859" s="28">
        <f>IF($C859="","",IF($D859="",IF($C859="Interna","Sin guía (interna)","FALTA GUÍA"),IF(COUNTIFS(ENVIOS!$A$4:$A$3003,$D859)=0,"NO EXISTE",IF(COUNTIFS(ENVIOS!$A$4:$A$3003,$D859)&gt;1,"DUPLICADA","OK"))))</f>
        <v/>
      </c>
      <c r="F859" s="28">
        <f>IF($D859="","",IFERROR(INDEX(ENVIOS!$B$4:$B$3003,MATCH($D859,ENVIOS!$A$4:$A$3003,0)),"—"))</f>
        <v/>
      </c>
      <c r="G859" s="23">
        <f>IF($D859="","",IFERROR(INDEX(ENVIOS!$D$4:$D$3003,MATCH($D859,ENVIOS!$A$4:$A$3003,0)),"—"))</f>
        <v/>
      </c>
      <c r="H859" s="23">
        <f>IF($D859="","",IFERROR(INDEX(ENVIOS!$E$4:$E$3003,MATCH($D859,ENVIOS!$A$4:$A$3003,0)),"—"))</f>
        <v/>
      </c>
      <c r="I859" s="23">
        <f>IF($D859="","",IFERROR(INDEX(ENVIOS!$F$4:$F$3003,MATCH($D859,ENVIOS!$A$4:$A$3003,0)),"—"))</f>
        <v/>
      </c>
      <c r="J859" s="23">
        <f>IF($D859="","",IFERROR(INDEX(ENVIOS!$G$4:$G$3003,MATCH($D859,ENVIOS!$A$4:$A$3003,0)),"—"))</f>
        <v/>
      </c>
      <c r="K859" s="28">
        <f>IF($D859="","",IFERROR(INDEX(ENVIOS!$H$4:$H$3003,MATCH($D859,ENVIOS!$A$4:$A$3003,0)),"—"))</f>
        <v/>
      </c>
      <c r="L859" s="49">
        <f>IF($D859="","",IFERROR(INDEX(ENVIOS!$C$4:$C$3003,MATCH($D859,ENVIOS!$A$4:$A$3003,0)),""))</f>
        <v/>
      </c>
      <c r="M859" s="50" t="n"/>
      <c r="N859" s="28">
        <f>IF($M859="","",IFERROR(INDEX(CONFIG!$C$4:$C$63,MATCH($M859,CONFIG!$A$4:$A$63,0)),"Media"))</f>
        <v/>
      </c>
      <c r="O859" s="28">
        <f>IF($M859="","",IF($C859="Interna","NO",IFERROR(INDEX(CONFIG!$E$4:$E$63,MATCH($M859,CONFIG!$A$4:$A$63,0)),"NO")))</f>
        <v/>
      </c>
      <c r="P859" s="50" t="n"/>
      <c r="Q859" s="50" t="n"/>
      <c r="R859" s="28">
        <f>IF($Q859="","",IFERROR(INDEX(CONFIG!$H$4:$H$63,MATCH($Q859,CONFIG!$G$4:$G$63,0)),"Por definir"))</f>
        <v/>
      </c>
      <c r="S859" s="28">
        <f>IF($Q859="","",IFERROR(INDEX(CONFIG!$I$4:$I$63,MATCH($Q859,CONFIG!$G$4:$G$63,0)),"Por definir"))</f>
        <v/>
      </c>
      <c r="T859" s="51" t="n"/>
      <c r="U859" s="52" t="n"/>
      <c r="V859" s="50" t="n"/>
      <c r="W859" s="50" t="n"/>
      <c r="X859" s="49">
        <f>IF(OR($B859="",$M859=""),"",WORKDAY($B859,IFERROR(INDEX(CONFIG!$D$4:$D$63,MATCH($M859,CONFIG!$A$4:$A$63,0)),3)))</f>
        <v/>
      </c>
      <c r="Y859" s="47" t="n"/>
      <c r="Z859" s="24">
        <f>IF($B859="","",IF($Y859&lt;&gt;"",$Y859-$B859,TODAY()-$B859))</f>
        <v/>
      </c>
      <c r="AA859" s="28">
        <f>IF($B859="","",IF(IFERROR(INDEX(CONFIG!$L$4:$L$63,MATCH($V859,CONFIG!$K$4:$K$63,0)),"NO")="SÍ",IF(OR($Y859="",$X859=""),"Resuelta",IF($Y859&gt;$X859,"Resuelta tarde","Resuelta a tiempo")),IF($X859="","Sin clasificar",IF(TODAY()&gt;$X859,"Vencida",IF(TODAY()&gt;=$X859-1,"Por vencer","En plazo")))))</f>
        <v/>
      </c>
      <c r="AB859" s="50" t="n"/>
      <c r="AC859" s="50" t="n"/>
    </row>
    <row r="860" ht="16" customHeight="1">
      <c r="A860" s="28">
        <f>IF($B860="","","N-"&amp;TEXT(ROW()-3,"0000"))</f>
        <v/>
      </c>
      <c r="B860" s="47" t="n"/>
      <c r="C860" s="48" t="n"/>
      <c r="D860" s="48" t="n"/>
      <c r="E860" s="28">
        <f>IF($C860="","",IF($D860="",IF($C860="Interna","Sin guía (interna)","FALTA GUÍA"),IF(COUNTIFS(ENVIOS!$A$4:$A$3003,$D860)=0,"NO EXISTE",IF(COUNTIFS(ENVIOS!$A$4:$A$3003,$D860)&gt;1,"DUPLICADA","OK"))))</f>
        <v/>
      </c>
      <c r="F860" s="28">
        <f>IF($D860="","",IFERROR(INDEX(ENVIOS!$B$4:$B$3003,MATCH($D860,ENVIOS!$A$4:$A$3003,0)),"—"))</f>
        <v/>
      </c>
      <c r="G860" s="23">
        <f>IF($D860="","",IFERROR(INDEX(ENVIOS!$D$4:$D$3003,MATCH($D860,ENVIOS!$A$4:$A$3003,0)),"—"))</f>
        <v/>
      </c>
      <c r="H860" s="23">
        <f>IF($D860="","",IFERROR(INDEX(ENVIOS!$E$4:$E$3003,MATCH($D860,ENVIOS!$A$4:$A$3003,0)),"—"))</f>
        <v/>
      </c>
      <c r="I860" s="23">
        <f>IF($D860="","",IFERROR(INDEX(ENVIOS!$F$4:$F$3003,MATCH($D860,ENVIOS!$A$4:$A$3003,0)),"—"))</f>
        <v/>
      </c>
      <c r="J860" s="23">
        <f>IF($D860="","",IFERROR(INDEX(ENVIOS!$G$4:$G$3003,MATCH($D860,ENVIOS!$A$4:$A$3003,0)),"—"))</f>
        <v/>
      </c>
      <c r="K860" s="28">
        <f>IF($D860="","",IFERROR(INDEX(ENVIOS!$H$4:$H$3003,MATCH($D860,ENVIOS!$A$4:$A$3003,0)),"—"))</f>
        <v/>
      </c>
      <c r="L860" s="49">
        <f>IF($D860="","",IFERROR(INDEX(ENVIOS!$C$4:$C$3003,MATCH($D860,ENVIOS!$A$4:$A$3003,0)),""))</f>
        <v/>
      </c>
      <c r="M860" s="50" t="n"/>
      <c r="N860" s="28">
        <f>IF($M860="","",IFERROR(INDEX(CONFIG!$C$4:$C$63,MATCH($M860,CONFIG!$A$4:$A$63,0)),"Media"))</f>
        <v/>
      </c>
      <c r="O860" s="28">
        <f>IF($M860="","",IF($C860="Interna","NO",IFERROR(INDEX(CONFIG!$E$4:$E$63,MATCH($M860,CONFIG!$A$4:$A$63,0)),"NO")))</f>
        <v/>
      </c>
      <c r="P860" s="50" t="n"/>
      <c r="Q860" s="50" t="n"/>
      <c r="R860" s="28">
        <f>IF($Q860="","",IFERROR(INDEX(CONFIG!$H$4:$H$63,MATCH($Q860,CONFIG!$G$4:$G$63,0)),"Por definir"))</f>
        <v/>
      </c>
      <c r="S860" s="28">
        <f>IF($Q860="","",IFERROR(INDEX(CONFIG!$I$4:$I$63,MATCH($Q860,CONFIG!$G$4:$G$63,0)),"Por definir"))</f>
        <v/>
      </c>
      <c r="T860" s="51" t="n"/>
      <c r="U860" s="52" t="n"/>
      <c r="V860" s="50" t="n"/>
      <c r="W860" s="50" t="n"/>
      <c r="X860" s="49">
        <f>IF(OR($B860="",$M860=""),"",WORKDAY($B860,IFERROR(INDEX(CONFIG!$D$4:$D$63,MATCH($M860,CONFIG!$A$4:$A$63,0)),3)))</f>
        <v/>
      </c>
      <c r="Y860" s="47" t="n"/>
      <c r="Z860" s="24">
        <f>IF($B860="","",IF($Y860&lt;&gt;"",$Y860-$B860,TODAY()-$B860))</f>
        <v/>
      </c>
      <c r="AA860" s="28">
        <f>IF($B860="","",IF(IFERROR(INDEX(CONFIG!$L$4:$L$63,MATCH($V860,CONFIG!$K$4:$K$63,0)),"NO")="SÍ",IF(OR($Y860="",$X860=""),"Resuelta",IF($Y860&gt;$X860,"Resuelta tarde","Resuelta a tiempo")),IF($X860="","Sin clasificar",IF(TODAY()&gt;$X860,"Vencida",IF(TODAY()&gt;=$X860-1,"Por vencer","En plazo")))))</f>
        <v/>
      </c>
      <c r="AB860" s="50" t="n"/>
      <c r="AC860" s="50" t="n"/>
    </row>
    <row r="861" ht="16" customHeight="1">
      <c r="A861" s="28">
        <f>IF($B861="","","N-"&amp;TEXT(ROW()-3,"0000"))</f>
        <v/>
      </c>
      <c r="B861" s="47" t="n"/>
      <c r="C861" s="48" t="n"/>
      <c r="D861" s="48" t="n"/>
      <c r="E861" s="28">
        <f>IF($C861="","",IF($D861="",IF($C861="Interna","Sin guía (interna)","FALTA GUÍA"),IF(COUNTIFS(ENVIOS!$A$4:$A$3003,$D861)=0,"NO EXISTE",IF(COUNTIFS(ENVIOS!$A$4:$A$3003,$D861)&gt;1,"DUPLICADA","OK"))))</f>
        <v/>
      </c>
      <c r="F861" s="28">
        <f>IF($D861="","",IFERROR(INDEX(ENVIOS!$B$4:$B$3003,MATCH($D861,ENVIOS!$A$4:$A$3003,0)),"—"))</f>
        <v/>
      </c>
      <c r="G861" s="23">
        <f>IF($D861="","",IFERROR(INDEX(ENVIOS!$D$4:$D$3003,MATCH($D861,ENVIOS!$A$4:$A$3003,0)),"—"))</f>
        <v/>
      </c>
      <c r="H861" s="23">
        <f>IF($D861="","",IFERROR(INDEX(ENVIOS!$E$4:$E$3003,MATCH($D861,ENVIOS!$A$4:$A$3003,0)),"—"))</f>
        <v/>
      </c>
      <c r="I861" s="23">
        <f>IF($D861="","",IFERROR(INDEX(ENVIOS!$F$4:$F$3003,MATCH($D861,ENVIOS!$A$4:$A$3003,0)),"—"))</f>
        <v/>
      </c>
      <c r="J861" s="23">
        <f>IF($D861="","",IFERROR(INDEX(ENVIOS!$G$4:$G$3003,MATCH($D861,ENVIOS!$A$4:$A$3003,0)),"—"))</f>
        <v/>
      </c>
      <c r="K861" s="28">
        <f>IF($D861="","",IFERROR(INDEX(ENVIOS!$H$4:$H$3003,MATCH($D861,ENVIOS!$A$4:$A$3003,0)),"—"))</f>
        <v/>
      </c>
      <c r="L861" s="49">
        <f>IF($D861="","",IFERROR(INDEX(ENVIOS!$C$4:$C$3003,MATCH($D861,ENVIOS!$A$4:$A$3003,0)),""))</f>
        <v/>
      </c>
      <c r="M861" s="50" t="n"/>
      <c r="N861" s="28">
        <f>IF($M861="","",IFERROR(INDEX(CONFIG!$C$4:$C$63,MATCH($M861,CONFIG!$A$4:$A$63,0)),"Media"))</f>
        <v/>
      </c>
      <c r="O861" s="28">
        <f>IF($M861="","",IF($C861="Interna","NO",IFERROR(INDEX(CONFIG!$E$4:$E$63,MATCH($M861,CONFIG!$A$4:$A$63,0)),"NO")))</f>
        <v/>
      </c>
      <c r="P861" s="50" t="n"/>
      <c r="Q861" s="50" t="n"/>
      <c r="R861" s="28">
        <f>IF($Q861="","",IFERROR(INDEX(CONFIG!$H$4:$H$63,MATCH($Q861,CONFIG!$G$4:$G$63,0)),"Por definir"))</f>
        <v/>
      </c>
      <c r="S861" s="28">
        <f>IF($Q861="","",IFERROR(INDEX(CONFIG!$I$4:$I$63,MATCH($Q861,CONFIG!$G$4:$G$63,0)),"Por definir"))</f>
        <v/>
      </c>
      <c r="T861" s="51" t="n"/>
      <c r="U861" s="52" t="n"/>
      <c r="V861" s="50" t="n"/>
      <c r="W861" s="50" t="n"/>
      <c r="X861" s="49">
        <f>IF(OR($B861="",$M861=""),"",WORKDAY($B861,IFERROR(INDEX(CONFIG!$D$4:$D$63,MATCH($M861,CONFIG!$A$4:$A$63,0)),3)))</f>
        <v/>
      </c>
      <c r="Y861" s="47" t="n"/>
      <c r="Z861" s="24">
        <f>IF($B861="","",IF($Y861&lt;&gt;"",$Y861-$B861,TODAY()-$B861))</f>
        <v/>
      </c>
      <c r="AA861" s="28">
        <f>IF($B861="","",IF(IFERROR(INDEX(CONFIG!$L$4:$L$63,MATCH($V861,CONFIG!$K$4:$K$63,0)),"NO")="SÍ",IF(OR($Y861="",$X861=""),"Resuelta",IF($Y861&gt;$X861,"Resuelta tarde","Resuelta a tiempo")),IF($X861="","Sin clasificar",IF(TODAY()&gt;$X861,"Vencida",IF(TODAY()&gt;=$X861-1,"Por vencer","En plazo")))))</f>
        <v/>
      </c>
      <c r="AB861" s="50" t="n"/>
      <c r="AC861" s="50" t="n"/>
    </row>
    <row r="862" ht="16" customHeight="1">
      <c r="A862" s="28">
        <f>IF($B862="","","N-"&amp;TEXT(ROW()-3,"0000"))</f>
        <v/>
      </c>
      <c r="B862" s="47" t="n"/>
      <c r="C862" s="48" t="n"/>
      <c r="D862" s="48" t="n"/>
      <c r="E862" s="28">
        <f>IF($C862="","",IF($D862="",IF($C862="Interna","Sin guía (interna)","FALTA GUÍA"),IF(COUNTIFS(ENVIOS!$A$4:$A$3003,$D862)=0,"NO EXISTE",IF(COUNTIFS(ENVIOS!$A$4:$A$3003,$D862)&gt;1,"DUPLICADA","OK"))))</f>
        <v/>
      </c>
      <c r="F862" s="28">
        <f>IF($D862="","",IFERROR(INDEX(ENVIOS!$B$4:$B$3003,MATCH($D862,ENVIOS!$A$4:$A$3003,0)),"—"))</f>
        <v/>
      </c>
      <c r="G862" s="23">
        <f>IF($D862="","",IFERROR(INDEX(ENVIOS!$D$4:$D$3003,MATCH($D862,ENVIOS!$A$4:$A$3003,0)),"—"))</f>
        <v/>
      </c>
      <c r="H862" s="23">
        <f>IF($D862="","",IFERROR(INDEX(ENVIOS!$E$4:$E$3003,MATCH($D862,ENVIOS!$A$4:$A$3003,0)),"—"))</f>
        <v/>
      </c>
      <c r="I862" s="23">
        <f>IF($D862="","",IFERROR(INDEX(ENVIOS!$F$4:$F$3003,MATCH($D862,ENVIOS!$A$4:$A$3003,0)),"—"))</f>
        <v/>
      </c>
      <c r="J862" s="23">
        <f>IF($D862="","",IFERROR(INDEX(ENVIOS!$G$4:$G$3003,MATCH($D862,ENVIOS!$A$4:$A$3003,0)),"—"))</f>
        <v/>
      </c>
      <c r="K862" s="28">
        <f>IF($D862="","",IFERROR(INDEX(ENVIOS!$H$4:$H$3003,MATCH($D862,ENVIOS!$A$4:$A$3003,0)),"—"))</f>
        <v/>
      </c>
      <c r="L862" s="49">
        <f>IF($D862="","",IFERROR(INDEX(ENVIOS!$C$4:$C$3003,MATCH($D862,ENVIOS!$A$4:$A$3003,0)),""))</f>
        <v/>
      </c>
      <c r="M862" s="50" t="n"/>
      <c r="N862" s="28">
        <f>IF($M862="","",IFERROR(INDEX(CONFIG!$C$4:$C$63,MATCH($M862,CONFIG!$A$4:$A$63,0)),"Media"))</f>
        <v/>
      </c>
      <c r="O862" s="28">
        <f>IF($M862="","",IF($C862="Interna","NO",IFERROR(INDEX(CONFIG!$E$4:$E$63,MATCH($M862,CONFIG!$A$4:$A$63,0)),"NO")))</f>
        <v/>
      </c>
      <c r="P862" s="50" t="n"/>
      <c r="Q862" s="50" t="n"/>
      <c r="R862" s="28">
        <f>IF($Q862="","",IFERROR(INDEX(CONFIG!$H$4:$H$63,MATCH($Q862,CONFIG!$G$4:$G$63,0)),"Por definir"))</f>
        <v/>
      </c>
      <c r="S862" s="28">
        <f>IF($Q862="","",IFERROR(INDEX(CONFIG!$I$4:$I$63,MATCH($Q862,CONFIG!$G$4:$G$63,0)),"Por definir"))</f>
        <v/>
      </c>
      <c r="T862" s="51" t="n"/>
      <c r="U862" s="52" t="n"/>
      <c r="V862" s="50" t="n"/>
      <c r="W862" s="50" t="n"/>
      <c r="X862" s="49">
        <f>IF(OR($B862="",$M862=""),"",WORKDAY($B862,IFERROR(INDEX(CONFIG!$D$4:$D$63,MATCH($M862,CONFIG!$A$4:$A$63,0)),3)))</f>
        <v/>
      </c>
      <c r="Y862" s="47" t="n"/>
      <c r="Z862" s="24">
        <f>IF($B862="","",IF($Y862&lt;&gt;"",$Y862-$B862,TODAY()-$B862))</f>
        <v/>
      </c>
      <c r="AA862" s="28">
        <f>IF($B862="","",IF(IFERROR(INDEX(CONFIG!$L$4:$L$63,MATCH($V862,CONFIG!$K$4:$K$63,0)),"NO")="SÍ",IF(OR($Y862="",$X862=""),"Resuelta",IF($Y862&gt;$X862,"Resuelta tarde","Resuelta a tiempo")),IF($X862="","Sin clasificar",IF(TODAY()&gt;$X862,"Vencida",IF(TODAY()&gt;=$X862-1,"Por vencer","En plazo")))))</f>
        <v/>
      </c>
      <c r="AB862" s="50" t="n"/>
      <c r="AC862" s="50" t="n"/>
    </row>
    <row r="863" ht="16" customHeight="1">
      <c r="A863" s="28">
        <f>IF($B863="","","N-"&amp;TEXT(ROW()-3,"0000"))</f>
        <v/>
      </c>
      <c r="B863" s="47" t="n"/>
      <c r="C863" s="48" t="n"/>
      <c r="D863" s="48" t="n"/>
      <c r="E863" s="28">
        <f>IF($C863="","",IF($D863="",IF($C863="Interna","Sin guía (interna)","FALTA GUÍA"),IF(COUNTIFS(ENVIOS!$A$4:$A$3003,$D863)=0,"NO EXISTE",IF(COUNTIFS(ENVIOS!$A$4:$A$3003,$D863)&gt;1,"DUPLICADA","OK"))))</f>
        <v/>
      </c>
      <c r="F863" s="28">
        <f>IF($D863="","",IFERROR(INDEX(ENVIOS!$B$4:$B$3003,MATCH($D863,ENVIOS!$A$4:$A$3003,0)),"—"))</f>
        <v/>
      </c>
      <c r="G863" s="23">
        <f>IF($D863="","",IFERROR(INDEX(ENVIOS!$D$4:$D$3003,MATCH($D863,ENVIOS!$A$4:$A$3003,0)),"—"))</f>
        <v/>
      </c>
      <c r="H863" s="23">
        <f>IF($D863="","",IFERROR(INDEX(ENVIOS!$E$4:$E$3003,MATCH($D863,ENVIOS!$A$4:$A$3003,0)),"—"))</f>
        <v/>
      </c>
      <c r="I863" s="23">
        <f>IF($D863="","",IFERROR(INDEX(ENVIOS!$F$4:$F$3003,MATCH($D863,ENVIOS!$A$4:$A$3003,0)),"—"))</f>
        <v/>
      </c>
      <c r="J863" s="23">
        <f>IF($D863="","",IFERROR(INDEX(ENVIOS!$G$4:$G$3003,MATCH($D863,ENVIOS!$A$4:$A$3003,0)),"—"))</f>
        <v/>
      </c>
      <c r="K863" s="28">
        <f>IF($D863="","",IFERROR(INDEX(ENVIOS!$H$4:$H$3003,MATCH($D863,ENVIOS!$A$4:$A$3003,0)),"—"))</f>
        <v/>
      </c>
      <c r="L863" s="49">
        <f>IF($D863="","",IFERROR(INDEX(ENVIOS!$C$4:$C$3003,MATCH($D863,ENVIOS!$A$4:$A$3003,0)),""))</f>
        <v/>
      </c>
      <c r="M863" s="50" t="n"/>
      <c r="N863" s="28">
        <f>IF($M863="","",IFERROR(INDEX(CONFIG!$C$4:$C$63,MATCH($M863,CONFIG!$A$4:$A$63,0)),"Media"))</f>
        <v/>
      </c>
      <c r="O863" s="28">
        <f>IF($M863="","",IF($C863="Interna","NO",IFERROR(INDEX(CONFIG!$E$4:$E$63,MATCH($M863,CONFIG!$A$4:$A$63,0)),"NO")))</f>
        <v/>
      </c>
      <c r="P863" s="50" t="n"/>
      <c r="Q863" s="50" t="n"/>
      <c r="R863" s="28">
        <f>IF($Q863="","",IFERROR(INDEX(CONFIG!$H$4:$H$63,MATCH($Q863,CONFIG!$G$4:$G$63,0)),"Por definir"))</f>
        <v/>
      </c>
      <c r="S863" s="28">
        <f>IF($Q863="","",IFERROR(INDEX(CONFIG!$I$4:$I$63,MATCH($Q863,CONFIG!$G$4:$G$63,0)),"Por definir"))</f>
        <v/>
      </c>
      <c r="T863" s="51" t="n"/>
      <c r="U863" s="52" t="n"/>
      <c r="V863" s="50" t="n"/>
      <c r="W863" s="50" t="n"/>
      <c r="X863" s="49">
        <f>IF(OR($B863="",$M863=""),"",WORKDAY($B863,IFERROR(INDEX(CONFIG!$D$4:$D$63,MATCH($M863,CONFIG!$A$4:$A$63,0)),3)))</f>
        <v/>
      </c>
      <c r="Y863" s="47" t="n"/>
      <c r="Z863" s="24">
        <f>IF($B863="","",IF($Y863&lt;&gt;"",$Y863-$B863,TODAY()-$B863))</f>
        <v/>
      </c>
      <c r="AA863" s="28">
        <f>IF($B863="","",IF(IFERROR(INDEX(CONFIG!$L$4:$L$63,MATCH($V863,CONFIG!$K$4:$K$63,0)),"NO")="SÍ",IF(OR($Y863="",$X863=""),"Resuelta",IF($Y863&gt;$X863,"Resuelta tarde","Resuelta a tiempo")),IF($X863="","Sin clasificar",IF(TODAY()&gt;$X863,"Vencida",IF(TODAY()&gt;=$X863-1,"Por vencer","En plazo")))))</f>
        <v/>
      </c>
      <c r="AB863" s="50" t="n"/>
      <c r="AC863" s="50" t="n"/>
    </row>
    <row r="864" ht="16" customHeight="1">
      <c r="A864" s="28">
        <f>IF($B864="","","N-"&amp;TEXT(ROW()-3,"0000"))</f>
        <v/>
      </c>
      <c r="B864" s="47" t="n"/>
      <c r="C864" s="48" t="n"/>
      <c r="D864" s="48" t="n"/>
      <c r="E864" s="28">
        <f>IF($C864="","",IF($D864="",IF($C864="Interna","Sin guía (interna)","FALTA GUÍA"),IF(COUNTIFS(ENVIOS!$A$4:$A$3003,$D864)=0,"NO EXISTE",IF(COUNTIFS(ENVIOS!$A$4:$A$3003,$D864)&gt;1,"DUPLICADA","OK"))))</f>
        <v/>
      </c>
      <c r="F864" s="28">
        <f>IF($D864="","",IFERROR(INDEX(ENVIOS!$B$4:$B$3003,MATCH($D864,ENVIOS!$A$4:$A$3003,0)),"—"))</f>
        <v/>
      </c>
      <c r="G864" s="23">
        <f>IF($D864="","",IFERROR(INDEX(ENVIOS!$D$4:$D$3003,MATCH($D864,ENVIOS!$A$4:$A$3003,0)),"—"))</f>
        <v/>
      </c>
      <c r="H864" s="23">
        <f>IF($D864="","",IFERROR(INDEX(ENVIOS!$E$4:$E$3003,MATCH($D864,ENVIOS!$A$4:$A$3003,0)),"—"))</f>
        <v/>
      </c>
      <c r="I864" s="23">
        <f>IF($D864="","",IFERROR(INDEX(ENVIOS!$F$4:$F$3003,MATCH($D864,ENVIOS!$A$4:$A$3003,0)),"—"))</f>
        <v/>
      </c>
      <c r="J864" s="23">
        <f>IF($D864="","",IFERROR(INDEX(ENVIOS!$G$4:$G$3003,MATCH($D864,ENVIOS!$A$4:$A$3003,0)),"—"))</f>
        <v/>
      </c>
      <c r="K864" s="28">
        <f>IF($D864="","",IFERROR(INDEX(ENVIOS!$H$4:$H$3003,MATCH($D864,ENVIOS!$A$4:$A$3003,0)),"—"))</f>
        <v/>
      </c>
      <c r="L864" s="49">
        <f>IF($D864="","",IFERROR(INDEX(ENVIOS!$C$4:$C$3003,MATCH($D864,ENVIOS!$A$4:$A$3003,0)),""))</f>
        <v/>
      </c>
      <c r="M864" s="50" t="n"/>
      <c r="N864" s="28">
        <f>IF($M864="","",IFERROR(INDEX(CONFIG!$C$4:$C$63,MATCH($M864,CONFIG!$A$4:$A$63,0)),"Media"))</f>
        <v/>
      </c>
      <c r="O864" s="28">
        <f>IF($M864="","",IF($C864="Interna","NO",IFERROR(INDEX(CONFIG!$E$4:$E$63,MATCH($M864,CONFIG!$A$4:$A$63,0)),"NO")))</f>
        <v/>
      </c>
      <c r="P864" s="50" t="n"/>
      <c r="Q864" s="50" t="n"/>
      <c r="R864" s="28">
        <f>IF($Q864="","",IFERROR(INDEX(CONFIG!$H$4:$H$63,MATCH($Q864,CONFIG!$G$4:$G$63,0)),"Por definir"))</f>
        <v/>
      </c>
      <c r="S864" s="28">
        <f>IF($Q864="","",IFERROR(INDEX(CONFIG!$I$4:$I$63,MATCH($Q864,CONFIG!$G$4:$G$63,0)),"Por definir"))</f>
        <v/>
      </c>
      <c r="T864" s="51" t="n"/>
      <c r="U864" s="52" t="n"/>
      <c r="V864" s="50" t="n"/>
      <c r="W864" s="50" t="n"/>
      <c r="X864" s="49">
        <f>IF(OR($B864="",$M864=""),"",WORKDAY($B864,IFERROR(INDEX(CONFIG!$D$4:$D$63,MATCH($M864,CONFIG!$A$4:$A$63,0)),3)))</f>
        <v/>
      </c>
      <c r="Y864" s="47" t="n"/>
      <c r="Z864" s="24">
        <f>IF($B864="","",IF($Y864&lt;&gt;"",$Y864-$B864,TODAY()-$B864))</f>
        <v/>
      </c>
      <c r="AA864" s="28">
        <f>IF($B864="","",IF(IFERROR(INDEX(CONFIG!$L$4:$L$63,MATCH($V864,CONFIG!$K$4:$K$63,0)),"NO")="SÍ",IF(OR($Y864="",$X864=""),"Resuelta",IF($Y864&gt;$X864,"Resuelta tarde","Resuelta a tiempo")),IF($X864="","Sin clasificar",IF(TODAY()&gt;$X864,"Vencida",IF(TODAY()&gt;=$X864-1,"Por vencer","En plazo")))))</f>
        <v/>
      </c>
      <c r="AB864" s="50" t="n"/>
      <c r="AC864" s="50" t="n"/>
    </row>
    <row r="865" ht="16" customHeight="1">
      <c r="A865" s="28">
        <f>IF($B865="","","N-"&amp;TEXT(ROW()-3,"0000"))</f>
        <v/>
      </c>
      <c r="B865" s="47" t="n"/>
      <c r="C865" s="48" t="n"/>
      <c r="D865" s="48" t="n"/>
      <c r="E865" s="28">
        <f>IF($C865="","",IF($D865="",IF($C865="Interna","Sin guía (interna)","FALTA GUÍA"),IF(COUNTIFS(ENVIOS!$A$4:$A$3003,$D865)=0,"NO EXISTE",IF(COUNTIFS(ENVIOS!$A$4:$A$3003,$D865)&gt;1,"DUPLICADA","OK"))))</f>
        <v/>
      </c>
      <c r="F865" s="28">
        <f>IF($D865="","",IFERROR(INDEX(ENVIOS!$B$4:$B$3003,MATCH($D865,ENVIOS!$A$4:$A$3003,0)),"—"))</f>
        <v/>
      </c>
      <c r="G865" s="23">
        <f>IF($D865="","",IFERROR(INDEX(ENVIOS!$D$4:$D$3003,MATCH($D865,ENVIOS!$A$4:$A$3003,0)),"—"))</f>
        <v/>
      </c>
      <c r="H865" s="23">
        <f>IF($D865="","",IFERROR(INDEX(ENVIOS!$E$4:$E$3003,MATCH($D865,ENVIOS!$A$4:$A$3003,0)),"—"))</f>
        <v/>
      </c>
      <c r="I865" s="23">
        <f>IF($D865="","",IFERROR(INDEX(ENVIOS!$F$4:$F$3003,MATCH($D865,ENVIOS!$A$4:$A$3003,0)),"—"))</f>
        <v/>
      </c>
      <c r="J865" s="23">
        <f>IF($D865="","",IFERROR(INDEX(ENVIOS!$G$4:$G$3003,MATCH($D865,ENVIOS!$A$4:$A$3003,0)),"—"))</f>
        <v/>
      </c>
      <c r="K865" s="28">
        <f>IF($D865="","",IFERROR(INDEX(ENVIOS!$H$4:$H$3003,MATCH($D865,ENVIOS!$A$4:$A$3003,0)),"—"))</f>
        <v/>
      </c>
      <c r="L865" s="49">
        <f>IF($D865="","",IFERROR(INDEX(ENVIOS!$C$4:$C$3003,MATCH($D865,ENVIOS!$A$4:$A$3003,0)),""))</f>
        <v/>
      </c>
      <c r="M865" s="50" t="n"/>
      <c r="N865" s="28">
        <f>IF($M865="","",IFERROR(INDEX(CONFIG!$C$4:$C$63,MATCH($M865,CONFIG!$A$4:$A$63,0)),"Media"))</f>
        <v/>
      </c>
      <c r="O865" s="28">
        <f>IF($M865="","",IF($C865="Interna","NO",IFERROR(INDEX(CONFIG!$E$4:$E$63,MATCH($M865,CONFIG!$A$4:$A$63,0)),"NO")))</f>
        <v/>
      </c>
      <c r="P865" s="50" t="n"/>
      <c r="Q865" s="50" t="n"/>
      <c r="R865" s="28">
        <f>IF($Q865="","",IFERROR(INDEX(CONFIG!$H$4:$H$63,MATCH($Q865,CONFIG!$G$4:$G$63,0)),"Por definir"))</f>
        <v/>
      </c>
      <c r="S865" s="28">
        <f>IF($Q865="","",IFERROR(INDEX(CONFIG!$I$4:$I$63,MATCH($Q865,CONFIG!$G$4:$G$63,0)),"Por definir"))</f>
        <v/>
      </c>
      <c r="T865" s="51" t="n"/>
      <c r="U865" s="52" t="n"/>
      <c r="V865" s="50" t="n"/>
      <c r="W865" s="50" t="n"/>
      <c r="X865" s="49">
        <f>IF(OR($B865="",$M865=""),"",WORKDAY($B865,IFERROR(INDEX(CONFIG!$D$4:$D$63,MATCH($M865,CONFIG!$A$4:$A$63,0)),3)))</f>
        <v/>
      </c>
      <c r="Y865" s="47" t="n"/>
      <c r="Z865" s="24">
        <f>IF($B865="","",IF($Y865&lt;&gt;"",$Y865-$B865,TODAY()-$B865))</f>
        <v/>
      </c>
      <c r="AA865" s="28">
        <f>IF($B865="","",IF(IFERROR(INDEX(CONFIG!$L$4:$L$63,MATCH($V865,CONFIG!$K$4:$K$63,0)),"NO")="SÍ",IF(OR($Y865="",$X865=""),"Resuelta",IF($Y865&gt;$X865,"Resuelta tarde","Resuelta a tiempo")),IF($X865="","Sin clasificar",IF(TODAY()&gt;$X865,"Vencida",IF(TODAY()&gt;=$X865-1,"Por vencer","En plazo")))))</f>
        <v/>
      </c>
      <c r="AB865" s="50" t="n"/>
      <c r="AC865" s="50" t="n"/>
    </row>
    <row r="866" ht="16" customHeight="1">
      <c r="A866" s="28">
        <f>IF($B866="","","N-"&amp;TEXT(ROW()-3,"0000"))</f>
        <v/>
      </c>
      <c r="B866" s="47" t="n"/>
      <c r="C866" s="48" t="n"/>
      <c r="D866" s="48" t="n"/>
      <c r="E866" s="28">
        <f>IF($C866="","",IF($D866="",IF($C866="Interna","Sin guía (interna)","FALTA GUÍA"),IF(COUNTIFS(ENVIOS!$A$4:$A$3003,$D866)=0,"NO EXISTE",IF(COUNTIFS(ENVIOS!$A$4:$A$3003,$D866)&gt;1,"DUPLICADA","OK"))))</f>
        <v/>
      </c>
      <c r="F866" s="28">
        <f>IF($D866="","",IFERROR(INDEX(ENVIOS!$B$4:$B$3003,MATCH($D866,ENVIOS!$A$4:$A$3003,0)),"—"))</f>
        <v/>
      </c>
      <c r="G866" s="23">
        <f>IF($D866="","",IFERROR(INDEX(ENVIOS!$D$4:$D$3003,MATCH($D866,ENVIOS!$A$4:$A$3003,0)),"—"))</f>
        <v/>
      </c>
      <c r="H866" s="23">
        <f>IF($D866="","",IFERROR(INDEX(ENVIOS!$E$4:$E$3003,MATCH($D866,ENVIOS!$A$4:$A$3003,0)),"—"))</f>
        <v/>
      </c>
      <c r="I866" s="23">
        <f>IF($D866="","",IFERROR(INDEX(ENVIOS!$F$4:$F$3003,MATCH($D866,ENVIOS!$A$4:$A$3003,0)),"—"))</f>
        <v/>
      </c>
      <c r="J866" s="23">
        <f>IF($D866="","",IFERROR(INDEX(ENVIOS!$G$4:$G$3003,MATCH($D866,ENVIOS!$A$4:$A$3003,0)),"—"))</f>
        <v/>
      </c>
      <c r="K866" s="28">
        <f>IF($D866="","",IFERROR(INDEX(ENVIOS!$H$4:$H$3003,MATCH($D866,ENVIOS!$A$4:$A$3003,0)),"—"))</f>
        <v/>
      </c>
      <c r="L866" s="49">
        <f>IF($D866="","",IFERROR(INDEX(ENVIOS!$C$4:$C$3003,MATCH($D866,ENVIOS!$A$4:$A$3003,0)),""))</f>
        <v/>
      </c>
      <c r="M866" s="50" t="n"/>
      <c r="N866" s="28">
        <f>IF($M866="","",IFERROR(INDEX(CONFIG!$C$4:$C$63,MATCH($M866,CONFIG!$A$4:$A$63,0)),"Media"))</f>
        <v/>
      </c>
      <c r="O866" s="28">
        <f>IF($M866="","",IF($C866="Interna","NO",IFERROR(INDEX(CONFIG!$E$4:$E$63,MATCH($M866,CONFIG!$A$4:$A$63,0)),"NO")))</f>
        <v/>
      </c>
      <c r="P866" s="50" t="n"/>
      <c r="Q866" s="50" t="n"/>
      <c r="R866" s="28">
        <f>IF($Q866="","",IFERROR(INDEX(CONFIG!$H$4:$H$63,MATCH($Q866,CONFIG!$G$4:$G$63,0)),"Por definir"))</f>
        <v/>
      </c>
      <c r="S866" s="28">
        <f>IF($Q866="","",IFERROR(INDEX(CONFIG!$I$4:$I$63,MATCH($Q866,CONFIG!$G$4:$G$63,0)),"Por definir"))</f>
        <v/>
      </c>
      <c r="T866" s="51" t="n"/>
      <c r="U866" s="52" t="n"/>
      <c r="V866" s="50" t="n"/>
      <c r="W866" s="50" t="n"/>
      <c r="X866" s="49">
        <f>IF(OR($B866="",$M866=""),"",WORKDAY($B866,IFERROR(INDEX(CONFIG!$D$4:$D$63,MATCH($M866,CONFIG!$A$4:$A$63,0)),3)))</f>
        <v/>
      </c>
      <c r="Y866" s="47" t="n"/>
      <c r="Z866" s="24">
        <f>IF($B866="","",IF($Y866&lt;&gt;"",$Y866-$B866,TODAY()-$B866))</f>
        <v/>
      </c>
      <c r="AA866" s="28">
        <f>IF($B866="","",IF(IFERROR(INDEX(CONFIG!$L$4:$L$63,MATCH($V866,CONFIG!$K$4:$K$63,0)),"NO")="SÍ",IF(OR($Y866="",$X866=""),"Resuelta",IF($Y866&gt;$X866,"Resuelta tarde","Resuelta a tiempo")),IF($X866="","Sin clasificar",IF(TODAY()&gt;$X866,"Vencida",IF(TODAY()&gt;=$X866-1,"Por vencer","En plazo")))))</f>
        <v/>
      </c>
      <c r="AB866" s="50" t="n"/>
      <c r="AC866" s="50" t="n"/>
    </row>
    <row r="867" ht="16" customHeight="1">
      <c r="A867" s="28">
        <f>IF($B867="","","N-"&amp;TEXT(ROW()-3,"0000"))</f>
        <v/>
      </c>
      <c r="B867" s="47" t="n"/>
      <c r="C867" s="48" t="n"/>
      <c r="D867" s="48" t="n"/>
      <c r="E867" s="28">
        <f>IF($C867="","",IF($D867="",IF($C867="Interna","Sin guía (interna)","FALTA GUÍA"),IF(COUNTIFS(ENVIOS!$A$4:$A$3003,$D867)=0,"NO EXISTE",IF(COUNTIFS(ENVIOS!$A$4:$A$3003,$D867)&gt;1,"DUPLICADA","OK"))))</f>
        <v/>
      </c>
      <c r="F867" s="28">
        <f>IF($D867="","",IFERROR(INDEX(ENVIOS!$B$4:$B$3003,MATCH($D867,ENVIOS!$A$4:$A$3003,0)),"—"))</f>
        <v/>
      </c>
      <c r="G867" s="23">
        <f>IF($D867="","",IFERROR(INDEX(ENVIOS!$D$4:$D$3003,MATCH($D867,ENVIOS!$A$4:$A$3003,0)),"—"))</f>
        <v/>
      </c>
      <c r="H867" s="23">
        <f>IF($D867="","",IFERROR(INDEX(ENVIOS!$E$4:$E$3003,MATCH($D867,ENVIOS!$A$4:$A$3003,0)),"—"))</f>
        <v/>
      </c>
      <c r="I867" s="23">
        <f>IF($D867="","",IFERROR(INDEX(ENVIOS!$F$4:$F$3003,MATCH($D867,ENVIOS!$A$4:$A$3003,0)),"—"))</f>
        <v/>
      </c>
      <c r="J867" s="23">
        <f>IF($D867="","",IFERROR(INDEX(ENVIOS!$G$4:$G$3003,MATCH($D867,ENVIOS!$A$4:$A$3003,0)),"—"))</f>
        <v/>
      </c>
      <c r="K867" s="28">
        <f>IF($D867="","",IFERROR(INDEX(ENVIOS!$H$4:$H$3003,MATCH($D867,ENVIOS!$A$4:$A$3003,0)),"—"))</f>
        <v/>
      </c>
      <c r="L867" s="49">
        <f>IF($D867="","",IFERROR(INDEX(ENVIOS!$C$4:$C$3003,MATCH($D867,ENVIOS!$A$4:$A$3003,0)),""))</f>
        <v/>
      </c>
      <c r="M867" s="50" t="n"/>
      <c r="N867" s="28">
        <f>IF($M867="","",IFERROR(INDEX(CONFIG!$C$4:$C$63,MATCH($M867,CONFIG!$A$4:$A$63,0)),"Media"))</f>
        <v/>
      </c>
      <c r="O867" s="28">
        <f>IF($M867="","",IF($C867="Interna","NO",IFERROR(INDEX(CONFIG!$E$4:$E$63,MATCH($M867,CONFIG!$A$4:$A$63,0)),"NO")))</f>
        <v/>
      </c>
      <c r="P867" s="50" t="n"/>
      <c r="Q867" s="50" t="n"/>
      <c r="R867" s="28">
        <f>IF($Q867="","",IFERROR(INDEX(CONFIG!$H$4:$H$63,MATCH($Q867,CONFIG!$G$4:$G$63,0)),"Por definir"))</f>
        <v/>
      </c>
      <c r="S867" s="28">
        <f>IF($Q867="","",IFERROR(INDEX(CONFIG!$I$4:$I$63,MATCH($Q867,CONFIG!$G$4:$G$63,0)),"Por definir"))</f>
        <v/>
      </c>
      <c r="T867" s="51" t="n"/>
      <c r="U867" s="52" t="n"/>
      <c r="V867" s="50" t="n"/>
      <c r="W867" s="50" t="n"/>
      <c r="X867" s="49">
        <f>IF(OR($B867="",$M867=""),"",WORKDAY($B867,IFERROR(INDEX(CONFIG!$D$4:$D$63,MATCH($M867,CONFIG!$A$4:$A$63,0)),3)))</f>
        <v/>
      </c>
      <c r="Y867" s="47" t="n"/>
      <c r="Z867" s="24">
        <f>IF($B867="","",IF($Y867&lt;&gt;"",$Y867-$B867,TODAY()-$B867))</f>
        <v/>
      </c>
      <c r="AA867" s="28">
        <f>IF($B867="","",IF(IFERROR(INDEX(CONFIG!$L$4:$L$63,MATCH($V867,CONFIG!$K$4:$K$63,0)),"NO")="SÍ",IF(OR($Y867="",$X867=""),"Resuelta",IF($Y867&gt;$X867,"Resuelta tarde","Resuelta a tiempo")),IF($X867="","Sin clasificar",IF(TODAY()&gt;$X867,"Vencida",IF(TODAY()&gt;=$X867-1,"Por vencer","En plazo")))))</f>
        <v/>
      </c>
      <c r="AB867" s="50" t="n"/>
      <c r="AC867" s="50" t="n"/>
    </row>
    <row r="868" ht="16" customHeight="1">
      <c r="A868" s="28">
        <f>IF($B868="","","N-"&amp;TEXT(ROW()-3,"0000"))</f>
        <v/>
      </c>
      <c r="B868" s="47" t="n"/>
      <c r="C868" s="48" t="n"/>
      <c r="D868" s="48" t="n"/>
      <c r="E868" s="28">
        <f>IF($C868="","",IF($D868="",IF($C868="Interna","Sin guía (interna)","FALTA GUÍA"),IF(COUNTIFS(ENVIOS!$A$4:$A$3003,$D868)=0,"NO EXISTE",IF(COUNTIFS(ENVIOS!$A$4:$A$3003,$D868)&gt;1,"DUPLICADA","OK"))))</f>
        <v/>
      </c>
      <c r="F868" s="28">
        <f>IF($D868="","",IFERROR(INDEX(ENVIOS!$B$4:$B$3003,MATCH($D868,ENVIOS!$A$4:$A$3003,0)),"—"))</f>
        <v/>
      </c>
      <c r="G868" s="23">
        <f>IF($D868="","",IFERROR(INDEX(ENVIOS!$D$4:$D$3003,MATCH($D868,ENVIOS!$A$4:$A$3003,0)),"—"))</f>
        <v/>
      </c>
      <c r="H868" s="23">
        <f>IF($D868="","",IFERROR(INDEX(ENVIOS!$E$4:$E$3003,MATCH($D868,ENVIOS!$A$4:$A$3003,0)),"—"))</f>
        <v/>
      </c>
      <c r="I868" s="23">
        <f>IF($D868="","",IFERROR(INDEX(ENVIOS!$F$4:$F$3003,MATCH($D868,ENVIOS!$A$4:$A$3003,0)),"—"))</f>
        <v/>
      </c>
      <c r="J868" s="23">
        <f>IF($D868="","",IFERROR(INDEX(ENVIOS!$G$4:$G$3003,MATCH($D868,ENVIOS!$A$4:$A$3003,0)),"—"))</f>
        <v/>
      </c>
      <c r="K868" s="28">
        <f>IF($D868="","",IFERROR(INDEX(ENVIOS!$H$4:$H$3003,MATCH($D868,ENVIOS!$A$4:$A$3003,0)),"—"))</f>
        <v/>
      </c>
      <c r="L868" s="49">
        <f>IF($D868="","",IFERROR(INDEX(ENVIOS!$C$4:$C$3003,MATCH($D868,ENVIOS!$A$4:$A$3003,0)),""))</f>
        <v/>
      </c>
      <c r="M868" s="50" t="n"/>
      <c r="N868" s="28">
        <f>IF($M868="","",IFERROR(INDEX(CONFIG!$C$4:$C$63,MATCH($M868,CONFIG!$A$4:$A$63,0)),"Media"))</f>
        <v/>
      </c>
      <c r="O868" s="28">
        <f>IF($M868="","",IF($C868="Interna","NO",IFERROR(INDEX(CONFIG!$E$4:$E$63,MATCH($M868,CONFIG!$A$4:$A$63,0)),"NO")))</f>
        <v/>
      </c>
      <c r="P868" s="50" t="n"/>
      <c r="Q868" s="50" t="n"/>
      <c r="R868" s="28">
        <f>IF($Q868="","",IFERROR(INDEX(CONFIG!$H$4:$H$63,MATCH($Q868,CONFIG!$G$4:$G$63,0)),"Por definir"))</f>
        <v/>
      </c>
      <c r="S868" s="28">
        <f>IF($Q868="","",IFERROR(INDEX(CONFIG!$I$4:$I$63,MATCH($Q868,CONFIG!$G$4:$G$63,0)),"Por definir"))</f>
        <v/>
      </c>
      <c r="T868" s="51" t="n"/>
      <c r="U868" s="52" t="n"/>
      <c r="V868" s="50" t="n"/>
      <c r="W868" s="50" t="n"/>
      <c r="X868" s="49">
        <f>IF(OR($B868="",$M868=""),"",WORKDAY($B868,IFERROR(INDEX(CONFIG!$D$4:$D$63,MATCH($M868,CONFIG!$A$4:$A$63,0)),3)))</f>
        <v/>
      </c>
      <c r="Y868" s="47" t="n"/>
      <c r="Z868" s="24">
        <f>IF($B868="","",IF($Y868&lt;&gt;"",$Y868-$B868,TODAY()-$B868))</f>
        <v/>
      </c>
      <c r="AA868" s="28">
        <f>IF($B868="","",IF(IFERROR(INDEX(CONFIG!$L$4:$L$63,MATCH($V868,CONFIG!$K$4:$K$63,0)),"NO")="SÍ",IF(OR($Y868="",$X868=""),"Resuelta",IF($Y868&gt;$X868,"Resuelta tarde","Resuelta a tiempo")),IF($X868="","Sin clasificar",IF(TODAY()&gt;$X868,"Vencida",IF(TODAY()&gt;=$X868-1,"Por vencer","En plazo")))))</f>
        <v/>
      </c>
      <c r="AB868" s="50" t="n"/>
      <c r="AC868" s="50" t="n"/>
    </row>
    <row r="869" ht="16" customHeight="1">
      <c r="A869" s="28">
        <f>IF($B869="","","N-"&amp;TEXT(ROW()-3,"0000"))</f>
        <v/>
      </c>
      <c r="B869" s="47" t="n"/>
      <c r="C869" s="48" t="n"/>
      <c r="D869" s="48" t="n"/>
      <c r="E869" s="28">
        <f>IF($C869="","",IF($D869="",IF($C869="Interna","Sin guía (interna)","FALTA GUÍA"),IF(COUNTIFS(ENVIOS!$A$4:$A$3003,$D869)=0,"NO EXISTE",IF(COUNTIFS(ENVIOS!$A$4:$A$3003,$D869)&gt;1,"DUPLICADA","OK"))))</f>
        <v/>
      </c>
      <c r="F869" s="28">
        <f>IF($D869="","",IFERROR(INDEX(ENVIOS!$B$4:$B$3003,MATCH($D869,ENVIOS!$A$4:$A$3003,0)),"—"))</f>
        <v/>
      </c>
      <c r="G869" s="23">
        <f>IF($D869="","",IFERROR(INDEX(ENVIOS!$D$4:$D$3003,MATCH($D869,ENVIOS!$A$4:$A$3003,0)),"—"))</f>
        <v/>
      </c>
      <c r="H869" s="23">
        <f>IF($D869="","",IFERROR(INDEX(ENVIOS!$E$4:$E$3003,MATCH($D869,ENVIOS!$A$4:$A$3003,0)),"—"))</f>
        <v/>
      </c>
      <c r="I869" s="23">
        <f>IF($D869="","",IFERROR(INDEX(ENVIOS!$F$4:$F$3003,MATCH($D869,ENVIOS!$A$4:$A$3003,0)),"—"))</f>
        <v/>
      </c>
      <c r="J869" s="23">
        <f>IF($D869="","",IFERROR(INDEX(ENVIOS!$G$4:$G$3003,MATCH($D869,ENVIOS!$A$4:$A$3003,0)),"—"))</f>
        <v/>
      </c>
      <c r="K869" s="28">
        <f>IF($D869="","",IFERROR(INDEX(ENVIOS!$H$4:$H$3003,MATCH($D869,ENVIOS!$A$4:$A$3003,0)),"—"))</f>
        <v/>
      </c>
      <c r="L869" s="49">
        <f>IF($D869="","",IFERROR(INDEX(ENVIOS!$C$4:$C$3003,MATCH($D869,ENVIOS!$A$4:$A$3003,0)),""))</f>
        <v/>
      </c>
      <c r="M869" s="50" t="n"/>
      <c r="N869" s="28">
        <f>IF($M869="","",IFERROR(INDEX(CONFIG!$C$4:$C$63,MATCH($M869,CONFIG!$A$4:$A$63,0)),"Media"))</f>
        <v/>
      </c>
      <c r="O869" s="28">
        <f>IF($M869="","",IF($C869="Interna","NO",IFERROR(INDEX(CONFIG!$E$4:$E$63,MATCH($M869,CONFIG!$A$4:$A$63,0)),"NO")))</f>
        <v/>
      </c>
      <c r="P869" s="50" t="n"/>
      <c r="Q869" s="50" t="n"/>
      <c r="R869" s="28">
        <f>IF($Q869="","",IFERROR(INDEX(CONFIG!$H$4:$H$63,MATCH($Q869,CONFIG!$G$4:$G$63,0)),"Por definir"))</f>
        <v/>
      </c>
      <c r="S869" s="28">
        <f>IF($Q869="","",IFERROR(INDEX(CONFIG!$I$4:$I$63,MATCH($Q869,CONFIG!$G$4:$G$63,0)),"Por definir"))</f>
        <v/>
      </c>
      <c r="T869" s="51" t="n"/>
      <c r="U869" s="52" t="n"/>
      <c r="V869" s="50" t="n"/>
      <c r="W869" s="50" t="n"/>
      <c r="X869" s="49">
        <f>IF(OR($B869="",$M869=""),"",WORKDAY($B869,IFERROR(INDEX(CONFIG!$D$4:$D$63,MATCH($M869,CONFIG!$A$4:$A$63,0)),3)))</f>
        <v/>
      </c>
      <c r="Y869" s="47" t="n"/>
      <c r="Z869" s="24">
        <f>IF($B869="","",IF($Y869&lt;&gt;"",$Y869-$B869,TODAY()-$B869))</f>
        <v/>
      </c>
      <c r="AA869" s="28">
        <f>IF($B869="","",IF(IFERROR(INDEX(CONFIG!$L$4:$L$63,MATCH($V869,CONFIG!$K$4:$K$63,0)),"NO")="SÍ",IF(OR($Y869="",$X869=""),"Resuelta",IF($Y869&gt;$X869,"Resuelta tarde","Resuelta a tiempo")),IF($X869="","Sin clasificar",IF(TODAY()&gt;$X869,"Vencida",IF(TODAY()&gt;=$X869-1,"Por vencer","En plazo")))))</f>
        <v/>
      </c>
      <c r="AB869" s="50" t="n"/>
      <c r="AC869" s="50" t="n"/>
    </row>
    <row r="870" ht="16" customHeight="1">
      <c r="A870" s="28">
        <f>IF($B870="","","N-"&amp;TEXT(ROW()-3,"0000"))</f>
        <v/>
      </c>
      <c r="B870" s="47" t="n"/>
      <c r="C870" s="48" t="n"/>
      <c r="D870" s="48" t="n"/>
      <c r="E870" s="28">
        <f>IF($C870="","",IF($D870="",IF($C870="Interna","Sin guía (interna)","FALTA GUÍA"),IF(COUNTIFS(ENVIOS!$A$4:$A$3003,$D870)=0,"NO EXISTE",IF(COUNTIFS(ENVIOS!$A$4:$A$3003,$D870)&gt;1,"DUPLICADA","OK"))))</f>
        <v/>
      </c>
      <c r="F870" s="28">
        <f>IF($D870="","",IFERROR(INDEX(ENVIOS!$B$4:$B$3003,MATCH($D870,ENVIOS!$A$4:$A$3003,0)),"—"))</f>
        <v/>
      </c>
      <c r="G870" s="23">
        <f>IF($D870="","",IFERROR(INDEX(ENVIOS!$D$4:$D$3003,MATCH($D870,ENVIOS!$A$4:$A$3003,0)),"—"))</f>
        <v/>
      </c>
      <c r="H870" s="23">
        <f>IF($D870="","",IFERROR(INDEX(ENVIOS!$E$4:$E$3003,MATCH($D870,ENVIOS!$A$4:$A$3003,0)),"—"))</f>
        <v/>
      </c>
      <c r="I870" s="23">
        <f>IF($D870="","",IFERROR(INDEX(ENVIOS!$F$4:$F$3003,MATCH($D870,ENVIOS!$A$4:$A$3003,0)),"—"))</f>
        <v/>
      </c>
      <c r="J870" s="23">
        <f>IF($D870="","",IFERROR(INDEX(ENVIOS!$G$4:$G$3003,MATCH($D870,ENVIOS!$A$4:$A$3003,0)),"—"))</f>
        <v/>
      </c>
      <c r="K870" s="28">
        <f>IF($D870="","",IFERROR(INDEX(ENVIOS!$H$4:$H$3003,MATCH($D870,ENVIOS!$A$4:$A$3003,0)),"—"))</f>
        <v/>
      </c>
      <c r="L870" s="49">
        <f>IF($D870="","",IFERROR(INDEX(ENVIOS!$C$4:$C$3003,MATCH($D870,ENVIOS!$A$4:$A$3003,0)),""))</f>
        <v/>
      </c>
      <c r="M870" s="50" t="n"/>
      <c r="N870" s="28">
        <f>IF($M870="","",IFERROR(INDEX(CONFIG!$C$4:$C$63,MATCH($M870,CONFIG!$A$4:$A$63,0)),"Media"))</f>
        <v/>
      </c>
      <c r="O870" s="28">
        <f>IF($M870="","",IF($C870="Interna","NO",IFERROR(INDEX(CONFIG!$E$4:$E$63,MATCH($M870,CONFIG!$A$4:$A$63,0)),"NO")))</f>
        <v/>
      </c>
      <c r="P870" s="50" t="n"/>
      <c r="Q870" s="50" t="n"/>
      <c r="R870" s="28">
        <f>IF($Q870="","",IFERROR(INDEX(CONFIG!$H$4:$H$63,MATCH($Q870,CONFIG!$G$4:$G$63,0)),"Por definir"))</f>
        <v/>
      </c>
      <c r="S870" s="28">
        <f>IF($Q870="","",IFERROR(INDEX(CONFIG!$I$4:$I$63,MATCH($Q870,CONFIG!$G$4:$G$63,0)),"Por definir"))</f>
        <v/>
      </c>
      <c r="T870" s="51" t="n"/>
      <c r="U870" s="52" t="n"/>
      <c r="V870" s="50" t="n"/>
      <c r="W870" s="50" t="n"/>
      <c r="X870" s="49">
        <f>IF(OR($B870="",$M870=""),"",WORKDAY($B870,IFERROR(INDEX(CONFIG!$D$4:$D$63,MATCH($M870,CONFIG!$A$4:$A$63,0)),3)))</f>
        <v/>
      </c>
      <c r="Y870" s="47" t="n"/>
      <c r="Z870" s="24">
        <f>IF($B870="","",IF($Y870&lt;&gt;"",$Y870-$B870,TODAY()-$B870))</f>
        <v/>
      </c>
      <c r="AA870" s="28">
        <f>IF($B870="","",IF(IFERROR(INDEX(CONFIG!$L$4:$L$63,MATCH($V870,CONFIG!$K$4:$K$63,0)),"NO")="SÍ",IF(OR($Y870="",$X870=""),"Resuelta",IF($Y870&gt;$X870,"Resuelta tarde","Resuelta a tiempo")),IF($X870="","Sin clasificar",IF(TODAY()&gt;$X870,"Vencida",IF(TODAY()&gt;=$X870-1,"Por vencer","En plazo")))))</f>
        <v/>
      </c>
      <c r="AB870" s="50" t="n"/>
      <c r="AC870" s="50" t="n"/>
    </row>
    <row r="871" ht="16" customHeight="1">
      <c r="A871" s="28">
        <f>IF($B871="","","N-"&amp;TEXT(ROW()-3,"0000"))</f>
        <v/>
      </c>
      <c r="B871" s="47" t="n"/>
      <c r="C871" s="48" t="n"/>
      <c r="D871" s="48" t="n"/>
      <c r="E871" s="28">
        <f>IF($C871="","",IF($D871="",IF($C871="Interna","Sin guía (interna)","FALTA GUÍA"),IF(COUNTIFS(ENVIOS!$A$4:$A$3003,$D871)=0,"NO EXISTE",IF(COUNTIFS(ENVIOS!$A$4:$A$3003,$D871)&gt;1,"DUPLICADA","OK"))))</f>
        <v/>
      </c>
      <c r="F871" s="28">
        <f>IF($D871="","",IFERROR(INDEX(ENVIOS!$B$4:$B$3003,MATCH($D871,ENVIOS!$A$4:$A$3003,0)),"—"))</f>
        <v/>
      </c>
      <c r="G871" s="23">
        <f>IF($D871="","",IFERROR(INDEX(ENVIOS!$D$4:$D$3003,MATCH($D871,ENVIOS!$A$4:$A$3003,0)),"—"))</f>
        <v/>
      </c>
      <c r="H871" s="23">
        <f>IF($D871="","",IFERROR(INDEX(ENVIOS!$E$4:$E$3003,MATCH($D871,ENVIOS!$A$4:$A$3003,0)),"—"))</f>
        <v/>
      </c>
      <c r="I871" s="23">
        <f>IF($D871="","",IFERROR(INDEX(ENVIOS!$F$4:$F$3003,MATCH($D871,ENVIOS!$A$4:$A$3003,0)),"—"))</f>
        <v/>
      </c>
      <c r="J871" s="23">
        <f>IF($D871="","",IFERROR(INDEX(ENVIOS!$G$4:$G$3003,MATCH($D871,ENVIOS!$A$4:$A$3003,0)),"—"))</f>
        <v/>
      </c>
      <c r="K871" s="28">
        <f>IF($D871="","",IFERROR(INDEX(ENVIOS!$H$4:$H$3003,MATCH($D871,ENVIOS!$A$4:$A$3003,0)),"—"))</f>
        <v/>
      </c>
      <c r="L871" s="49">
        <f>IF($D871="","",IFERROR(INDEX(ENVIOS!$C$4:$C$3003,MATCH($D871,ENVIOS!$A$4:$A$3003,0)),""))</f>
        <v/>
      </c>
      <c r="M871" s="50" t="n"/>
      <c r="N871" s="28">
        <f>IF($M871="","",IFERROR(INDEX(CONFIG!$C$4:$C$63,MATCH($M871,CONFIG!$A$4:$A$63,0)),"Media"))</f>
        <v/>
      </c>
      <c r="O871" s="28">
        <f>IF($M871="","",IF($C871="Interna","NO",IFERROR(INDEX(CONFIG!$E$4:$E$63,MATCH($M871,CONFIG!$A$4:$A$63,0)),"NO")))</f>
        <v/>
      </c>
      <c r="P871" s="50" t="n"/>
      <c r="Q871" s="50" t="n"/>
      <c r="R871" s="28">
        <f>IF($Q871="","",IFERROR(INDEX(CONFIG!$H$4:$H$63,MATCH($Q871,CONFIG!$G$4:$G$63,0)),"Por definir"))</f>
        <v/>
      </c>
      <c r="S871" s="28">
        <f>IF($Q871="","",IFERROR(INDEX(CONFIG!$I$4:$I$63,MATCH($Q871,CONFIG!$G$4:$G$63,0)),"Por definir"))</f>
        <v/>
      </c>
      <c r="T871" s="51" t="n"/>
      <c r="U871" s="52" t="n"/>
      <c r="V871" s="50" t="n"/>
      <c r="W871" s="50" t="n"/>
      <c r="X871" s="49">
        <f>IF(OR($B871="",$M871=""),"",WORKDAY($B871,IFERROR(INDEX(CONFIG!$D$4:$D$63,MATCH($M871,CONFIG!$A$4:$A$63,0)),3)))</f>
        <v/>
      </c>
      <c r="Y871" s="47" t="n"/>
      <c r="Z871" s="24">
        <f>IF($B871="","",IF($Y871&lt;&gt;"",$Y871-$B871,TODAY()-$B871))</f>
        <v/>
      </c>
      <c r="AA871" s="28">
        <f>IF($B871="","",IF(IFERROR(INDEX(CONFIG!$L$4:$L$63,MATCH($V871,CONFIG!$K$4:$K$63,0)),"NO")="SÍ",IF(OR($Y871="",$X871=""),"Resuelta",IF($Y871&gt;$X871,"Resuelta tarde","Resuelta a tiempo")),IF($X871="","Sin clasificar",IF(TODAY()&gt;$X871,"Vencida",IF(TODAY()&gt;=$X871-1,"Por vencer","En plazo")))))</f>
        <v/>
      </c>
      <c r="AB871" s="50" t="n"/>
      <c r="AC871" s="50" t="n"/>
    </row>
    <row r="872" ht="16" customHeight="1">
      <c r="A872" s="28">
        <f>IF($B872="","","N-"&amp;TEXT(ROW()-3,"0000"))</f>
        <v/>
      </c>
      <c r="B872" s="47" t="n"/>
      <c r="C872" s="48" t="n"/>
      <c r="D872" s="48" t="n"/>
      <c r="E872" s="28">
        <f>IF($C872="","",IF($D872="",IF($C872="Interna","Sin guía (interna)","FALTA GUÍA"),IF(COUNTIFS(ENVIOS!$A$4:$A$3003,$D872)=0,"NO EXISTE",IF(COUNTIFS(ENVIOS!$A$4:$A$3003,$D872)&gt;1,"DUPLICADA","OK"))))</f>
        <v/>
      </c>
      <c r="F872" s="28">
        <f>IF($D872="","",IFERROR(INDEX(ENVIOS!$B$4:$B$3003,MATCH($D872,ENVIOS!$A$4:$A$3003,0)),"—"))</f>
        <v/>
      </c>
      <c r="G872" s="23">
        <f>IF($D872="","",IFERROR(INDEX(ENVIOS!$D$4:$D$3003,MATCH($D872,ENVIOS!$A$4:$A$3003,0)),"—"))</f>
        <v/>
      </c>
      <c r="H872" s="23">
        <f>IF($D872="","",IFERROR(INDEX(ENVIOS!$E$4:$E$3003,MATCH($D872,ENVIOS!$A$4:$A$3003,0)),"—"))</f>
        <v/>
      </c>
      <c r="I872" s="23">
        <f>IF($D872="","",IFERROR(INDEX(ENVIOS!$F$4:$F$3003,MATCH($D872,ENVIOS!$A$4:$A$3003,0)),"—"))</f>
        <v/>
      </c>
      <c r="J872" s="23">
        <f>IF($D872="","",IFERROR(INDEX(ENVIOS!$G$4:$G$3003,MATCH($D872,ENVIOS!$A$4:$A$3003,0)),"—"))</f>
        <v/>
      </c>
      <c r="K872" s="28">
        <f>IF($D872="","",IFERROR(INDEX(ENVIOS!$H$4:$H$3003,MATCH($D872,ENVIOS!$A$4:$A$3003,0)),"—"))</f>
        <v/>
      </c>
      <c r="L872" s="49">
        <f>IF($D872="","",IFERROR(INDEX(ENVIOS!$C$4:$C$3003,MATCH($D872,ENVIOS!$A$4:$A$3003,0)),""))</f>
        <v/>
      </c>
      <c r="M872" s="50" t="n"/>
      <c r="N872" s="28">
        <f>IF($M872="","",IFERROR(INDEX(CONFIG!$C$4:$C$63,MATCH($M872,CONFIG!$A$4:$A$63,0)),"Media"))</f>
        <v/>
      </c>
      <c r="O872" s="28">
        <f>IF($M872="","",IF($C872="Interna","NO",IFERROR(INDEX(CONFIG!$E$4:$E$63,MATCH($M872,CONFIG!$A$4:$A$63,0)),"NO")))</f>
        <v/>
      </c>
      <c r="P872" s="50" t="n"/>
      <c r="Q872" s="50" t="n"/>
      <c r="R872" s="28">
        <f>IF($Q872="","",IFERROR(INDEX(CONFIG!$H$4:$H$63,MATCH($Q872,CONFIG!$G$4:$G$63,0)),"Por definir"))</f>
        <v/>
      </c>
      <c r="S872" s="28">
        <f>IF($Q872="","",IFERROR(INDEX(CONFIG!$I$4:$I$63,MATCH($Q872,CONFIG!$G$4:$G$63,0)),"Por definir"))</f>
        <v/>
      </c>
      <c r="T872" s="51" t="n"/>
      <c r="U872" s="52" t="n"/>
      <c r="V872" s="50" t="n"/>
      <c r="W872" s="50" t="n"/>
      <c r="X872" s="49">
        <f>IF(OR($B872="",$M872=""),"",WORKDAY($B872,IFERROR(INDEX(CONFIG!$D$4:$D$63,MATCH($M872,CONFIG!$A$4:$A$63,0)),3)))</f>
        <v/>
      </c>
      <c r="Y872" s="47" t="n"/>
      <c r="Z872" s="24">
        <f>IF($B872="","",IF($Y872&lt;&gt;"",$Y872-$B872,TODAY()-$B872))</f>
        <v/>
      </c>
      <c r="AA872" s="28">
        <f>IF($B872="","",IF(IFERROR(INDEX(CONFIG!$L$4:$L$63,MATCH($V872,CONFIG!$K$4:$K$63,0)),"NO")="SÍ",IF(OR($Y872="",$X872=""),"Resuelta",IF($Y872&gt;$X872,"Resuelta tarde","Resuelta a tiempo")),IF($X872="","Sin clasificar",IF(TODAY()&gt;$X872,"Vencida",IF(TODAY()&gt;=$X872-1,"Por vencer","En plazo")))))</f>
        <v/>
      </c>
      <c r="AB872" s="50" t="n"/>
      <c r="AC872" s="50" t="n"/>
    </row>
    <row r="873" ht="16" customHeight="1">
      <c r="A873" s="28">
        <f>IF($B873="","","N-"&amp;TEXT(ROW()-3,"0000"))</f>
        <v/>
      </c>
      <c r="B873" s="47" t="n"/>
      <c r="C873" s="48" t="n"/>
      <c r="D873" s="48" t="n"/>
      <c r="E873" s="28">
        <f>IF($C873="","",IF($D873="",IF($C873="Interna","Sin guía (interna)","FALTA GUÍA"),IF(COUNTIFS(ENVIOS!$A$4:$A$3003,$D873)=0,"NO EXISTE",IF(COUNTIFS(ENVIOS!$A$4:$A$3003,$D873)&gt;1,"DUPLICADA","OK"))))</f>
        <v/>
      </c>
      <c r="F873" s="28">
        <f>IF($D873="","",IFERROR(INDEX(ENVIOS!$B$4:$B$3003,MATCH($D873,ENVIOS!$A$4:$A$3003,0)),"—"))</f>
        <v/>
      </c>
      <c r="G873" s="23">
        <f>IF($D873="","",IFERROR(INDEX(ENVIOS!$D$4:$D$3003,MATCH($D873,ENVIOS!$A$4:$A$3003,0)),"—"))</f>
        <v/>
      </c>
      <c r="H873" s="23">
        <f>IF($D873="","",IFERROR(INDEX(ENVIOS!$E$4:$E$3003,MATCH($D873,ENVIOS!$A$4:$A$3003,0)),"—"))</f>
        <v/>
      </c>
      <c r="I873" s="23">
        <f>IF($D873="","",IFERROR(INDEX(ENVIOS!$F$4:$F$3003,MATCH($D873,ENVIOS!$A$4:$A$3003,0)),"—"))</f>
        <v/>
      </c>
      <c r="J873" s="23">
        <f>IF($D873="","",IFERROR(INDEX(ENVIOS!$G$4:$G$3003,MATCH($D873,ENVIOS!$A$4:$A$3003,0)),"—"))</f>
        <v/>
      </c>
      <c r="K873" s="28">
        <f>IF($D873="","",IFERROR(INDEX(ENVIOS!$H$4:$H$3003,MATCH($D873,ENVIOS!$A$4:$A$3003,0)),"—"))</f>
        <v/>
      </c>
      <c r="L873" s="49">
        <f>IF($D873="","",IFERROR(INDEX(ENVIOS!$C$4:$C$3003,MATCH($D873,ENVIOS!$A$4:$A$3003,0)),""))</f>
        <v/>
      </c>
      <c r="M873" s="50" t="n"/>
      <c r="N873" s="28">
        <f>IF($M873="","",IFERROR(INDEX(CONFIG!$C$4:$C$63,MATCH($M873,CONFIG!$A$4:$A$63,0)),"Media"))</f>
        <v/>
      </c>
      <c r="O873" s="28">
        <f>IF($M873="","",IF($C873="Interna","NO",IFERROR(INDEX(CONFIG!$E$4:$E$63,MATCH($M873,CONFIG!$A$4:$A$63,0)),"NO")))</f>
        <v/>
      </c>
      <c r="P873" s="50" t="n"/>
      <c r="Q873" s="50" t="n"/>
      <c r="R873" s="28">
        <f>IF($Q873="","",IFERROR(INDEX(CONFIG!$H$4:$H$63,MATCH($Q873,CONFIG!$G$4:$G$63,0)),"Por definir"))</f>
        <v/>
      </c>
      <c r="S873" s="28">
        <f>IF($Q873="","",IFERROR(INDEX(CONFIG!$I$4:$I$63,MATCH($Q873,CONFIG!$G$4:$G$63,0)),"Por definir"))</f>
        <v/>
      </c>
      <c r="T873" s="51" t="n"/>
      <c r="U873" s="52" t="n"/>
      <c r="V873" s="50" t="n"/>
      <c r="W873" s="50" t="n"/>
      <c r="X873" s="49">
        <f>IF(OR($B873="",$M873=""),"",WORKDAY($B873,IFERROR(INDEX(CONFIG!$D$4:$D$63,MATCH($M873,CONFIG!$A$4:$A$63,0)),3)))</f>
        <v/>
      </c>
      <c r="Y873" s="47" t="n"/>
      <c r="Z873" s="24">
        <f>IF($B873="","",IF($Y873&lt;&gt;"",$Y873-$B873,TODAY()-$B873))</f>
        <v/>
      </c>
      <c r="AA873" s="28">
        <f>IF($B873="","",IF(IFERROR(INDEX(CONFIG!$L$4:$L$63,MATCH($V873,CONFIG!$K$4:$K$63,0)),"NO")="SÍ",IF(OR($Y873="",$X873=""),"Resuelta",IF($Y873&gt;$X873,"Resuelta tarde","Resuelta a tiempo")),IF($X873="","Sin clasificar",IF(TODAY()&gt;$X873,"Vencida",IF(TODAY()&gt;=$X873-1,"Por vencer","En plazo")))))</f>
        <v/>
      </c>
      <c r="AB873" s="50" t="n"/>
      <c r="AC873" s="50" t="n"/>
    </row>
    <row r="874" ht="16" customHeight="1">
      <c r="A874" s="28">
        <f>IF($B874="","","N-"&amp;TEXT(ROW()-3,"0000"))</f>
        <v/>
      </c>
      <c r="B874" s="47" t="n"/>
      <c r="C874" s="48" t="n"/>
      <c r="D874" s="48" t="n"/>
      <c r="E874" s="28">
        <f>IF($C874="","",IF($D874="",IF($C874="Interna","Sin guía (interna)","FALTA GUÍA"),IF(COUNTIFS(ENVIOS!$A$4:$A$3003,$D874)=0,"NO EXISTE",IF(COUNTIFS(ENVIOS!$A$4:$A$3003,$D874)&gt;1,"DUPLICADA","OK"))))</f>
        <v/>
      </c>
      <c r="F874" s="28">
        <f>IF($D874="","",IFERROR(INDEX(ENVIOS!$B$4:$B$3003,MATCH($D874,ENVIOS!$A$4:$A$3003,0)),"—"))</f>
        <v/>
      </c>
      <c r="G874" s="23">
        <f>IF($D874="","",IFERROR(INDEX(ENVIOS!$D$4:$D$3003,MATCH($D874,ENVIOS!$A$4:$A$3003,0)),"—"))</f>
        <v/>
      </c>
      <c r="H874" s="23">
        <f>IF($D874="","",IFERROR(INDEX(ENVIOS!$E$4:$E$3003,MATCH($D874,ENVIOS!$A$4:$A$3003,0)),"—"))</f>
        <v/>
      </c>
      <c r="I874" s="23">
        <f>IF($D874="","",IFERROR(INDEX(ENVIOS!$F$4:$F$3003,MATCH($D874,ENVIOS!$A$4:$A$3003,0)),"—"))</f>
        <v/>
      </c>
      <c r="J874" s="23">
        <f>IF($D874="","",IFERROR(INDEX(ENVIOS!$G$4:$G$3003,MATCH($D874,ENVIOS!$A$4:$A$3003,0)),"—"))</f>
        <v/>
      </c>
      <c r="K874" s="28">
        <f>IF($D874="","",IFERROR(INDEX(ENVIOS!$H$4:$H$3003,MATCH($D874,ENVIOS!$A$4:$A$3003,0)),"—"))</f>
        <v/>
      </c>
      <c r="L874" s="49">
        <f>IF($D874="","",IFERROR(INDEX(ENVIOS!$C$4:$C$3003,MATCH($D874,ENVIOS!$A$4:$A$3003,0)),""))</f>
        <v/>
      </c>
      <c r="M874" s="50" t="n"/>
      <c r="N874" s="28">
        <f>IF($M874="","",IFERROR(INDEX(CONFIG!$C$4:$C$63,MATCH($M874,CONFIG!$A$4:$A$63,0)),"Media"))</f>
        <v/>
      </c>
      <c r="O874" s="28">
        <f>IF($M874="","",IF($C874="Interna","NO",IFERROR(INDEX(CONFIG!$E$4:$E$63,MATCH($M874,CONFIG!$A$4:$A$63,0)),"NO")))</f>
        <v/>
      </c>
      <c r="P874" s="50" t="n"/>
      <c r="Q874" s="50" t="n"/>
      <c r="R874" s="28">
        <f>IF($Q874="","",IFERROR(INDEX(CONFIG!$H$4:$H$63,MATCH($Q874,CONFIG!$G$4:$G$63,0)),"Por definir"))</f>
        <v/>
      </c>
      <c r="S874" s="28">
        <f>IF($Q874="","",IFERROR(INDEX(CONFIG!$I$4:$I$63,MATCH($Q874,CONFIG!$G$4:$G$63,0)),"Por definir"))</f>
        <v/>
      </c>
      <c r="T874" s="51" t="n"/>
      <c r="U874" s="52" t="n"/>
      <c r="V874" s="50" t="n"/>
      <c r="W874" s="50" t="n"/>
      <c r="X874" s="49">
        <f>IF(OR($B874="",$M874=""),"",WORKDAY($B874,IFERROR(INDEX(CONFIG!$D$4:$D$63,MATCH($M874,CONFIG!$A$4:$A$63,0)),3)))</f>
        <v/>
      </c>
      <c r="Y874" s="47" t="n"/>
      <c r="Z874" s="24">
        <f>IF($B874="","",IF($Y874&lt;&gt;"",$Y874-$B874,TODAY()-$B874))</f>
        <v/>
      </c>
      <c r="AA874" s="28">
        <f>IF($B874="","",IF(IFERROR(INDEX(CONFIG!$L$4:$L$63,MATCH($V874,CONFIG!$K$4:$K$63,0)),"NO")="SÍ",IF(OR($Y874="",$X874=""),"Resuelta",IF($Y874&gt;$X874,"Resuelta tarde","Resuelta a tiempo")),IF($X874="","Sin clasificar",IF(TODAY()&gt;$X874,"Vencida",IF(TODAY()&gt;=$X874-1,"Por vencer","En plazo")))))</f>
        <v/>
      </c>
      <c r="AB874" s="50" t="n"/>
      <c r="AC874" s="50" t="n"/>
    </row>
    <row r="875" ht="16" customHeight="1">
      <c r="A875" s="28">
        <f>IF($B875="","","N-"&amp;TEXT(ROW()-3,"0000"))</f>
        <v/>
      </c>
      <c r="B875" s="47" t="n"/>
      <c r="C875" s="48" t="n"/>
      <c r="D875" s="48" t="n"/>
      <c r="E875" s="28">
        <f>IF($C875="","",IF($D875="",IF($C875="Interna","Sin guía (interna)","FALTA GUÍA"),IF(COUNTIFS(ENVIOS!$A$4:$A$3003,$D875)=0,"NO EXISTE",IF(COUNTIFS(ENVIOS!$A$4:$A$3003,$D875)&gt;1,"DUPLICADA","OK"))))</f>
        <v/>
      </c>
      <c r="F875" s="28">
        <f>IF($D875="","",IFERROR(INDEX(ENVIOS!$B$4:$B$3003,MATCH($D875,ENVIOS!$A$4:$A$3003,0)),"—"))</f>
        <v/>
      </c>
      <c r="G875" s="23">
        <f>IF($D875="","",IFERROR(INDEX(ENVIOS!$D$4:$D$3003,MATCH($D875,ENVIOS!$A$4:$A$3003,0)),"—"))</f>
        <v/>
      </c>
      <c r="H875" s="23">
        <f>IF($D875="","",IFERROR(INDEX(ENVIOS!$E$4:$E$3003,MATCH($D875,ENVIOS!$A$4:$A$3003,0)),"—"))</f>
        <v/>
      </c>
      <c r="I875" s="23">
        <f>IF($D875="","",IFERROR(INDEX(ENVIOS!$F$4:$F$3003,MATCH($D875,ENVIOS!$A$4:$A$3003,0)),"—"))</f>
        <v/>
      </c>
      <c r="J875" s="23">
        <f>IF($D875="","",IFERROR(INDEX(ENVIOS!$G$4:$G$3003,MATCH($D875,ENVIOS!$A$4:$A$3003,0)),"—"))</f>
        <v/>
      </c>
      <c r="K875" s="28">
        <f>IF($D875="","",IFERROR(INDEX(ENVIOS!$H$4:$H$3003,MATCH($D875,ENVIOS!$A$4:$A$3003,0)),"—"))</f>
        <v/>
      </c>
      <c r="L875" s="49">
        <f>IF($D875="","",IFERROR(INDEX(ENVIOS!$C$4:$C$3003,MATCH($D875,ENVIOS!$A$4:$A$3003,0)),""))</f>
        <v/>
      </c>
      <c r="M875" s="50" t="n"/>
      <c r="N875" s="28">
        <f>IF($M875="","",IFERROR(INDEX(CONFIG!$C$4:$C$63,MATCH($M875,CONFIG!$A$4:$A$63,0)),"Media"))</f>
        <v/>
      </c>
      <c r="O875" s="28">
        <f>IF($M875="","",IF($C875="Interna","NO",IFERROR(INDEX(CONFIG!$E$4:$E$63,MATCH($M875,CONFIG!$A$4:$A$63,0)),"NO")))</f>
        <v/>
      </c>
      <c r="P875" s="50" t="n"/>
      <c r="Q875" s="50" t="n"/>
      <c r="R875" s="28">
        <f>IF($Q875="","",IFERROR(INDEX(CONFIG!$H$4:$H$63,MATCH($Q875,CONFIG!$G$4:$G$63,0)),"Por definir"))</f>
        <v/>
      </c>
      <c r="S875" s="28">
        <f>IF($Q875="","",IFERROR(INDEX(CONFIG!$I$4:$I$63,MATCH($Q875,CONFIG!$G$4:$G$63,0)),"Por definir"))</f>
        <v/>
      </c>
      <c r="T875" s="51" t="n"/>
      <c r="U875" s="52" t="n"/>
      <c r="V875" s="50" t="n"/>
      <c r="W875" s="50" t="n"/>
      <c r="X875" s="49">
        <f>IF(OR($B875="",$M875=""),"",WORKDAY($B875,IFERROR(INDEX(CONFIG!$D$4:$D$63,MATCH($M875,CONFIG!$A$4:$A$63,0)),3)))</f>
        <v/>
      </c>
      <c r="Y875" s="47" t="n"/>
      <c r="Z875" s="24">
        <f>IF($B875="","",IF($Y875&lt;&gt;"",$Y875-$B875,TODAY()-$B875))</f>
        <v/>
      </c>
      <c r="AA875" s="28">
        <f>IF($B875="","",IF(IFERROR(INDEX(CONFIG!$L$4:$L$63,MATCH($V875,CONFIG!$K$4:$K$63,0)),"NO")="SÍ",IF(OR($Y875="",$X875=""),"Resuelta",IF($Y875&gt;$X875,"Resuelta tarde","Resuelta a tiempo")),IF($X875="","Sin clasificar",IF(TODAY()&gt;$X875,"Vencida",IF(TODAY()&gt;=$X875-1,"Por vencer","En plazo")))))</f>
        <v/>
      </c>
      <c r="AB875" s="50" t="n"/>
      <c r="AC875" s="50" t="n"/>
    </row>
    <row r="876" ht="16" customHeight="1">
      <c r="A876" s="28">
        <f>IF($B876="","","N-"&amp;TEXT(ROW()-3,"0000"))</f>
        <v/>
      </c>
      <c r="B876" s="47" t="n"/>
      <c r="C876" s="48" t="n"/>
      <c r="D876" s="48" t="n"/>
      <c r="E876" s="28">
        <f>IF($C876="","",IF($D876="",IF($C876="Interna","Sin guía (interna)","FALTA GUÍA"),IF(COUNTIFS(ENVIOS!$A$4:$A$3003,$D876)=0,"NO EXISTE",IF(COUNTIFS(ENVIOS!$A$4:$A$3003,$D876)&gt;1,"DUPLICADA","OK"))))</f>
        <v/>
      </c>
      <c r="F876" s="28">
        <f>IF($D876="","",IFERROR(INDEX(ENVIOS!$B$4:$B$3003,MATCH($D876,ENVIOS!$A$4:$A$3003,0)),"—"))</f>
        <v/>
      </c>
      <c r="G876" s="23">
        <f>IF($D876="","",IFERROR(INDEX(ENVIOS!$D$4:$D$3003,MATCH($D876,ENVIOS!$A$4:$A$3003,0)),"—"))</f>
        <v/>
      </c>
      <c r="H876" s="23">
        <f>IF($D876="","",IFERROR(INDEX(ENVIOS!$E$4:$E$3003,MATCH($D876,ENVIOS!$A$4:$A$3003,0)),"—"))</f>
        <v/>
      </c>
      <c r="I876" s="23">
        <f>IF($D876="","",IFERROR(INDEX(ENVIOS!$F$4:$F$3003,MATCH($D876,ENVIOS!$A$4:$A$3003,0)),"—"))</f>
        <v/>
      </c>
      <c r="J876" s="23">
        <f>IF($D876="","",IFERROR(INDEX(ENVIOS!$G$4:$G$3003,MATCH($D876,ENVIOS!$A$4:$A$3003,0)),"—"))</f>
        <v/>
      </c>
      <c r="K876" s="28">
        <f>IF($D876="","",IFERROR(INDEX(ENVIOS!$H$4:$H$3003,MATCH($D876,ENVIOS!$A$4:$A$3003,0)),"—"))</f>
        <v/>
      </c>
      <c r="L876" s="49">
        <f>IF($D876="","",IFERROR(INDEX(ENVIOS!$C$4:$C$3003,MATCH($D876,ENVIOS!$A$4:$A$3003,0)),""))</f>
        <v/>
      </c>
      <c r="M876" s="50" t="n"/>
      <c r="N876" s="28">
        <f>IF($M876="","",IFERROR(INDEX(CONFIG!$C$4:$C$63,MATCH($M876,CONFIG!$A$4:$A$63,0)),"Media"))</f>
        <v/>
      </c>
      <c r="O876" s="28">
        <f>IF($M876="","",IF($C876="Interna","NO",IFERROR(INDEX(CONFIG!$E$4:$E$63,MATCH($M876,CONFIG!$A$4:$A$63,0)),"NO")))</f>
        <v/>
      </c>
      <c r="P876" s="50" t="n"/>
      <c r="Q876" s="50" t="n"/>
      <c r="R876" s="28">
        <f>IF($Q876="","",IFERROR(INDEX(CONFIG!$H$4:$H$63,MATCH($Q876,CONFIG!$G$4:$G$63,0)),"Por definir"))</f>
        <v/>
      </c>
      <c r="S876" s="28">
        <f>IF($Q876="","",IFERROR(INDEX(CONFIG!$I$4:$I$63,MATCH($Q876,CONFIG!$G$4:$G$63,0)),"Por definir"))</f>
        <v/>
      </c>
      <c r="T876" s="51" t="n"/>
      <c r="U876" s="52" t="n"/>
      <c r="V876" s="50" t="n"/>
      <c r="W876" s="50" t="n"/>
      <c r="X876" s="49">
        <f>IF(OR($B876="",$M876=""),"",WORKDAY($B876,IFERROR(INDEX(CONFIG!$D$4:$D$63,MATCH($M876,CONFIG!$A$4:$A$63,0)),3)))</f>
        <v/>
      </c>
      <c r="Y876" s="47" t="n"/>
      <c r="Z876" s="24">
        <f>IF($B876="","",IF($Y876&lt;&gt;"",$Y876-$B876,TODAY()-$B876))</f>
        <v/>
      </c>
      <c r="AA876" s="28">
        <f>IF($B876="","",IF(IFERROR(INDEX(CONFIG!$L$4:$L$63,MATCH($V876,CONFIG!$K$4:$K$63,0)),"NO")="SÍ",IF(OR($Y876="",$X876=""),"Resuelta",IF($Y876&gt;$X876,"Resuelta tarde","Resuelta a tiempo")),IF($X876="","Sin clasificar",IF(TODAY()&gt;$X876,"Vencida",IF(TODAY()&gt;=$X876-1,"Por vencer","En plazo")))))</f>
        <v/>
      </c>
      <c r="AB876" s="50" t="n"/>
      <c r="AC876" s="50" t="n"/>
    </row>
    <row r="877" ht="16" customHeight="1">
      <c r="A877" s="28">
        <f>IF($B877="","","N-"&amp;TEXT(ROW()-3,"0000"))</f>
        <v/>
      </c>
      <c r="B877" s="47" t="n"/>
      <c r="C877" s="48" t="n"/>
      <c r="D877" s="48" t="n"/>
      <c r="E877" s="28">
        <f>IF($C877="","",IF($D877="",IF($C877="Interna","Sin guía (interna)","FALTA GUÍA"),IF(COUNTIFS(ENVIOS!$A$4:$A$3003,$D877)=0,"NO EXISTE",IF(COUNTIFS(ENVIOS!$A$4:$A$3003,$D877)&gt;1,"DUPLICADA","OK"))))</f>
        <v/>
      </c>
      <c r="F877" s="28">
        <f>IF($D877="","",IFERROR(INDEX(ENVIOS!$B$4:$B$3003,MATCH($D877,ENVIOS!$A$4:$A$3003,0)),"—"))</f>
        <v/>
      </c>
      <c r="G877" s="23">
        <f>IF($D877="","",IFERROR(INDEX(ENVIOS!$D$4:$D$3003,MATCH($D877,ENVIOS!$A$4:$A$3003,0)),"—"))</f>
        <v/>
      </c>
      <c r="H877" s="23">
        <f>IF($D877="","",IFERROR(INDEX(ENVIOS!$E$4:$E$3003,MATCH($D877,ENVIOS!$A$4:$A$3003,0)),"—"))</f>
        <v/>
      </c>
      <c r="I877" s="23">
        <f>IF($D877="","",IFERROR(INDEX(ENVIOS!$F$4:$F$3003,MATCH($D877,ENVIOS!$A$4:$A$3003,0)),"—"))</f>
        <v/>
      </c>
      <c r="J877" s="23">
        <f>IF($D877="","",IFERROR(INDEX(ENVIOS!$G$4:$G$3003,MATCH($D877,ENVIOS!$A$4:$A$3003,0)),"—"))</f>
        <v/>
      </c>
      <c r="K877" s="28">
        <f>IF($D877="","",IFERROR(INDEX(ENVIOS!$H$4:$H$3003,MATCH($D877,ENVIOS!$A$4:$A$3003,0)),"—"))</f>
        <v/>
      </c>
      <c r="L877" s="49">
        <f>IF($D877="","",IFERROR(INDEX(ENVIOS!$C$4:$C$3003,MATCH($D877,ENVIOS!$A$4:$A$3003,0)),""))</f>
        <v/>
      </c>
      <c r="M877" s="50" t="n"/>
      <c r="N877" s="28">
        <f>IF($M877="","",IFERROR(INDEX(CONFIG!$C$4:$C$63,MATCH($M877,CONFIG!$A$4:$A$63,0)),"Media"))</f>
        <v/>
      </c>
      <c r="O877" s="28">
        <f>IF($M877="","",IF($C877="Interna","NO",IFERROR(INDEX(CONFIG!$E$4:$E$63,MATCH($M877,CONFIG!$A$4:$A$63,0)),"NO")))</f>
        <v/>
      </c>
      <c r="P877" s="50" t="n"/>
      <c r="Q877" s="50" t="n"/>
      <c r="R877" s="28">
        <f>IF($Q877="","",IFERROR(INDEX(CONFIG!$H$4:$H$63,MATCH($Q877,CONFIG!$G$4:$G$63,0)),"Por definir"))</f>
        <v/>
      </c>
      <c r="S877" s="28">
        <f>IF($Q877="","",IFERROR(INDEX(CONFIG!$I$4:$I$63,MATCH($Q877,CONFIG!$G$4:$G$63,0)),"Por definir"))</f>
        <v/>
      </c>
      <c r="T877" s="51" t="n"/>
      <c r="U877" s="52" t="n"/>
      <c r="V877" s="50" t="n"/>
      <c r="W877" s="50" t="n"/>
      <c r="X877" s="49">
        <f>IF(OR($B877="",$M877=""),"",WORKDAY($B877,IFERROR(INDEX(CONFIG!$D$4:$D$63,MATCH($M877,CONFIG!$A$4:$A$63,0)),3)))</f>
        <v/>
      </c>
      <c r="Y877" s="47" t="n"/>
      <c r="Z877" s="24">
        <f>IF($B877="","",IF($Y877&lt;&gt;"",$Y877-$B877,TODAY()-$B877))</f>
        <v/>
      </c>
      <c r="AA877" s="28">
        <f>IF($B877="","",IF(IFERROR(INDEX(CONFIG!$L$4:$L$63,MATCH($V877,CONFIG!$K$4:$K$63,0)),"NO")="SÍ",IF(OR($Y877="",$X877=""),"Resuelta",IF($Y877&gt;$X877,"Resuelta tarde","Resuelta a tiempo")),IF($X877="","Sin clasificar",IF(TODAY()&gt;$X877,"Vencida",IF(TODAY()&gt;=$X877-1,"Por vencer","En plazo")))))</f>
        <v/>
      </c>
      <c r="AB877" s="50" t="n"/>
      <c r="AC877" s="50" t="n"/>
    </row>
    <row r="878" ht="16" customHeight="1">
      <c r="A878" s="28">
        <f>IF($B878="","","N-"&amp;TEXT(ROW()-3,"0000"))</f>
        <v/>
      </c>
      <c r="B878" s="47" t="n"/>
      <c r="C878" s="48" t="n"/>
      <c r="D878" s="48" t="n"/>
      <c r="E878" s="28">
        <f>IF($C878="","",IF($D878="",IF($C878="Interna","Sin guía (interna)","FALTA GUÍA"),IF(COUNTIFS(ENVIOS!$A$4:$A$3003,$D878)=0,"NO EXISTE",IF(COUNTIFS(ENVIOS!$A$4:$A$3003,$D878)&gt;1,"DUPLICADA","OK"))))</f>
        <v/>
      </c>
      <c r="F878" s="28">
        <f>IF($D878="","",IFERROR(INDEX(ENVIOS!$B$4:$B$3003,MATCH($D878,ENVIOS!$A$4:$A$3003,0)),"—"))</f>
        <v/>
      </c>
      <c r="G878" s="23">
        <f>IF($D878="","",IFERROR(INDEX(ENVIOS!$D$4:$D$3003,MATCH($D878,ENVIOS!$A$4:$A$3003,0)),"—"))</f>
        <v/>
      </c>
      <c r="H878" s="23">
        <f>IF($D878="","",IFERROR(INDEX(ENVIOS!$E$4:$E$3003,MATCH($D878,ENVIOS!$A$4:$A$3003,0)),"—"))</f>
        <v/>
      </c>
      <c r="I878" s="23">
        <f>IF($D878="","",IFERROR(INDEX(ENVIOS!$F$4:$F$3003,MATCH($D878,ENVIOS!$A$4:$A$3003,0)),"—"))</f>
        <v/>
      </c>
      <c r="J878" s="23">
        <f>IF($D878="","",IFERROR(INDEX(ENVIOS!$G$4:$G$3003,MATCH($D878,ENVIOS!$A$4:$A$3003,0)),"—"))</f>
        <v/>
      </c>
      <c r="K878" s="28">
        <f>IF($D878="","",IFERROR(INDEX(ENVIOS!$H$4:$H$3003,MATCH($D878,ENVIOS!$A$4:$A$3003,0)),"—"))</f>
        <v/>
      </c>
      <c r="L878" s="49">
        <f>IF($D878="","",IFERROR(INDEX(ENVIOS!$C$4:$C$3003,MATCH($D878,ENVIOS!$A$4:$A$3003,0)),""))</f>
        <v/>
      </c>
      <c r="M878" s="50" t="n"/>
      <c r="N878" s="28">
        <f>IF($M878="","",IFERROR(INDEX(CONFIG!$C$4:$C$63,MATCH($M878,CONFIG!$A$4:$A$63,0)),"Media"))</f>
        <v/>
      </c>
      <c r="O878" s="28">
        <f>IF($M878="","",IF($C878="Interna","NO",IFERROR(INDEX(CONFIG!$E$4:$E$63,MATCH($M878,CONFIG!$A$4:$A$63,0)),"NO")))</f>
        <v/>
      </c>
      <c r="P878" s="50" t="n"/>
      <c r="Q878" s="50" t="n"/>
      <c r="R878" s="28">
        <f>IF($Q878="","",IFERROR(INDEX(CONFIG!$H$4:$H$63,MATCH($Q878,CONFIG!$G$4:$G$63,0)),"Por definir"))</f>
        <v/>
      </c>
      <c r="S878" s="28">
        <f>IF($Q878="","",IFERROR(INDEX(CONFIG!$I$4:$I$63,MATCH($Q878,CONFIG!$G$4:$G$63,0)),"Por definir"))</f>
        <v/>
      </c>
      <c r="T878" s="51" t="n"/>
      <c r="U878" s="52" t="n"/>
      <c r="V878" s="50" t="n"/>
      <c r="W878" s="50" t="n"/>
      <c r="X878" s="49">
        <f>IF(OR($B878="",$M878=""),"",WORKDAY($B878,IFERROR(INDEX(CONFIG!$D$4:$D$63,MATCH($M878,CONFIG!$A$4:$A$63,0)),3)))</f>
        <v/>
      </c>
      <c r="Y878" s="47" t="n"/>
      <c r="Z878" s="24">
        <f>IF($B878="","",IF($Y878&lt;&gt;"",$Y878-$B878,TODAY()-$B878))</f>
        <v/>
      </c>
      <c r="AA878" s="28">
        <f>IF($B878="","",IF(IFERROR(INDEX(CONFIG!$L$4:$L$63,MATCH($V878,CONFIG!$K$4:$K$63,0)),"NO")="SÍ",IF(OR($Y878="",$X878=""),"Resuelta",IF($Y878&gt;$X878,"Resuelta tarde","Resuelta a tiempo")),IF($X878="","Sin clasificar",IF(TODAY()&gt;$X878,"Vencida",IF(TODAY()&gt;=$X878-1,"Por vencer","En plazo")))))</f>
        <v/>
      </c>
      <c r="AB878" s="50" t="n"/>
      <c r="AC878" s="50" t="n"/>
    </row>
    <row r="879" ht="16" customHeight="1">
      <c r="A879" s="28">
        <f>IF($B879="","","N-"&amp;TEXT(ROW()-3,"0000"))</f>
        <v/>
      </c>
      <c r="B879" s="47" t="n"/>
      <c r="C879" s="48" t="n"/>
      <c r="D879" s="48" t="n"/>
      <c r="E879" s="28">
        <f>IF($C879="","",IF($D879="",IF($C879="Interna","Sin guía (interna)","FALTA GUÍA"),IF(COUNTIFS(ENVIOS!$A$4:$A$3003,$D879)=0,"NO EXISTE",IF(COUNTIFS(ENVIOS!$A$4:$A$3003,$D879)&gt;1,"DUPLICADA","OK"))))</f>
        <v/>
      </c>
      <c r="F879" s="28">
        <f>IF($D879="","",IFERROR(INDEX(ENVIOS!$B$4:$B$3003,MATCH($D879,ENVIOS!$A$4:$A$3003,0)),"—"))</f>
        <v/>
      </c>
      <c r="G879" s="23">
        <f>IF($D879="","",IFERROR(INDEX(ENVIOS!$D$4:$D$3003,MATCH($D879,ENVIOS!$A$4:$A$3003,0)),"—"))</f>
        <v/>
      </c>
      <c r="H879" s="23">
        <f>IF($D879="","",IFERROR(INDEX(ENVIOS!$E$4:$E$3003,MATCH($D879,ENVIOS!$A$4:$A$3003,0)),"—"))</f>
        <v/>
      </c>
      <c r="I879" s="23">
        <f>IF($D879="","",IFERROR(INDEX(ENVIOS!$F$4:$F$3003,MATCH($D879,ENVIOS!$A$4:$A$3003,0)),"—"))</f>
        <v/>
      </c>
      <c r="J879" s="23">
        <f>IF($D879="","",IFERROR(INDEX(ENVIOS!$G$4:$G$3003,MATCH($D879,ENVIOS!$A$4:$A$3003,0)),"—"))</f>
        <v/>
      </c>
      <c r="K879" s="28">
        <f>IF($D879="","",IFERROR(INDEX(ENVIOS!$H$4:$H$3003,MATCH($D879,ENVIOS!$A$4:$A$3003,0)),"—"))</f>
        <v/>
      </c>
      <c r="L879" s="49">
        <f>IF($D879="","",IFERROR(INDEX(ENVIOS!$C$4:$C$3003,MATCH($D879,ENVIOS!$A$4:$A$3003,0)),""))</f>
        <v/>
      </c>
      <c r="M879" s="50" t="n"/>
      <c r="N879" s="28">
        <f>IF($M879="","",IFERROR(INDEX(CONFIG!$C$4:$C$63,MATCH($M879,CONFIG!$A$4:$A$63,0)),"Media"))</f>
        <v/>
      </c>
      <c r="O879" s="28">
        <f>IF($M879="","",IF($C879="Interna","NO",IFERROR(INDEX(CONFIG!$E$4:$E$63,MATCH($M879,CONFIG!$A$4:$A$63,0)),"NO")))</f>
        <v/>
      </c>
      <c r="P879" s="50" t="n"/>
      <c r="Q879" s="50" t="n"/>
      <c r="R879" s="28">
        <f>IF($Q879="","",IFERROR(INDEX(CONFIG!$H$4:$H$63,MATCH($Q879,CONFIG!$G$4:$G$63,0)),"Por definir"))</f>
        <v/>
      </c>
      <c r="S879" s="28">
        <f>IF($Q879="","",IFERROR(INDEX(CONFIG!$I$4:$I$63,MATCH($Q879,CONFIG!$G$4:$G$63,0)),"Por definir"))</f>
        <v/>
      </c>
      <c r="T879" s="51" t="n"/>
      <c r="U879" s="52" t="n"/>
      <c r="V879" s="50" t="n"/>
      <c r="W879" s="50" t="n"/>
      <c r="X879" s="49">
        <f>IF(OR($B879="",$M879=""),"",WORKDAY($B879,IFERROR(INDEX(CONFIG!$D$4:$D$63,MATCH($M879,CONFIG!$A$4:$A$63,0)),3)))</f>
        <v/>
      </c>
      <c r="Y879" s="47" t="n"/>
      <c r="Z879" s="24">
        <f>IF($B879="","",IF($Y879&lt;&gt;"",$Y879-$B879,TODAY()-$B879))</f>
        <v/>
      </c>
      <c r="AA879" s="28">
        <f>IF($B879="","",IF(IFERROR(INDEX(CONFIG!$L$4:$L$63,MATCH($V879,CONFIG!$K$4:$K$63,0)),"NO")="SÍ",IF(OR($Y879="",$X879=""),"Resuelta",IF($Y879&gt;$X879,"Resuelta tarde","Resuelta a tiempo")),IF($X879="","Sin clasificar",IF(TODAY()&gt;$X879,"Vencida",IF(TODAY()&gt;=$X879-1,"Por vencer","En plazo")))))</f>
        <v/>
      </c>
      <c r="AB879" s="50" t="n"/>
      <c r="AC879" s="50" t="n"/>
    </row>
    <row r="880" ht="16" customHeight="1">
      <c r="A880" s="28">
        <f>IF($B880="","","N-"&amp;TEXT(ROW()-3,"0000"))</f>
        <v/>
      </c>
      <c r="B880" s="47" t="n"/>
      <c r="C880" s="48" t="n"/>
      <c r="D880" s="48" t="n"/>
      <c r="E880" s="28">
        <f>IF($C880="","",IF($D880="",IF($C880="Interna","Sin guía (interna)","FALTA GUÍA"),IF(COUNTIFS(ENVIOS!$A$4:$A$3003,$D880)=0,"NO EXISTE",IF(COUNTIFS(ENVIOS!$A$4:$A$3003,$D880)&gt;1,"DUPLICADA","OK"))))</f>
        <v/>
      </c>
      <c r="F880" s="28">
        <f>IF($D880="","",IFERROR(INDEX(ENVIOS!$B$4:$B$3003,MATCH($D880,ENVIOS!$A$4:$A$3003,0)),"—"))</f>
        <v/>
      </c>
      <c r="G880" s="23">
        <f>IF($D880="","",IFERROR(INDEX(ENVIOS!$D$4:$D$3003,MATCH($D880,ENVIOS!$A$4:$A$3003,0)),"—"))</f>
        <v/>
      </c>
      <c r="H880" s="23">
        <f>IF($D880="","",IFERROR(INDEX(ENVIOS!$E$4:$E$3003,MATCH($D880,ENVIOS!$A$4:$A$3003,0)),"—"))</f>
        <v/>
      </c>
      <c r="I880" s="23">
        <f>IF($D880="","",IFERROR(INDEX(ENVIOS!$F$4:$F$3003,MATCH($D880,ENVIOS!$A$4:$A$3003,0)),"—"))</f>
        <v/>
      </c>
      <c r="J880" s="23">
        <f>IF($D880="","",IFERROR(INDEX(ENVIOS!$G$4:$G$3003,MATCH($D880,ENVIOS!$A$4:$A$3003,0)),"—"))</f>
        <v/>
      </c>
      <c r="K880" s="28">
        <f>IF($D880="","",IFERROR(INDEX(ENVIOS!$H$4:$H$3003,MATCH($D880,ENVIOS!$A$4:$A$3003,0)),"—"))</f>
        <v/>
      </c>
      <c r="L880" s="49">
        <f>IF($D880="","",IFERROR(INDEX(ENVIOS!$C$4:$C$3003,MATCH($D880,ENVIOS!$A$4:$A$3003,0)),""))</f>
        <v/>
      </c>
      <c r="M880" s="50" t="n"/>
      <c r="N880" s="28">
        <f>IF($M880="","",IFERROR(INDEX(CONFIG!$C$4:$C$63,MATCH($M880,CONFIG!$A$4:$A$63,0)),"Media"))</f>
        <v/>
      </c>
      <c r="O880" s="28">
        <f>IF($M880="","",IF($C880="Interna","NO",IFERROR(INDEX(CONFIG!$E$4:$E$63,MATCH($M880,CONFIG!$A$4:$A$63,0)),"NO")))</f>
        <v/>
      </c>
      <c r="P880" s="50" t="n"/>
      <c r="Q880" s="50" t="n"/>
      <c r="R880" s="28">
        <f>IF($Q880="","",IFERROR(INDEX(CONFIG!$H$4:$H$63,MATCH($Q880,CONFIG!$G$4:$G$63,0)),"Por definir"))</f>
        <v/>
      </c>
      <c r="S880" s="28">
        <f>IF($Q880="","",IFERROR(INDEX(CONFIG!$I$4:$I$63,MATCH($Q880,CONFIG!$G$4:$G$63,0)),"Por definir"))</f>
        <v/>
      </c>
      <c r="T880" s="51" t="n"/>
      <c r="U880" s="52" t="n"/>
      <c r="V880" s="50" t="n"/>
      <c r="W880" s="50" t="n"/>
      <c r="X880" s="49">
        <f>IF(OR($B880="",$M880=""),"",WORKDAY($B880,IFERROR(INDEX(CONFIG!$D$4:$D$63,MATCH($M880,CONFIG!$A$4:$A$63,0)),3)))</f>
        <v/>
      </c>
      <c r="Y880" s="47" t="n"/>
      <c r="Z880" s="24">
        <f>IF($B880="","",IF($Y880&lt;&gt;"",$Y880-$B880,TODAY()-$B880))</f>
        <v/>
      </c>
      <c r="AA880" s="28">
        <f>IF($B880="","",IF(IFERROR(INDEX(CONFIG!$L$4:$L$63,MATCH($V880,CONFIG!$K$4:$K$63,0)),"NO")="SÍ",IF(OR($Y880="",$X880=""),"Resuelta",IF($Y880&gt;$X880,"Resuelta tarde","Resuelta a tiempo")),IF($X880="","Sin clasificar",IF(TODAY()&gt;$X880,"Vencida",IF(TODAY()&gt;=$X880-1,"Por vencer","En plazo")))))</f>
        <v/>
      </c>
      <c r="AB880" s="50" t="n"/>
      <c r="AC880" s="50" t="n"/>
    </row>
    <row r="881" ht="16" customHeight="1">
      <c r="A881" s="28">
        <f>IF($B881="","","N-"&amp;TEXT(ROW()-3,"0000"))</f>
        <v/>
      </c>
      <c r="B881" s="47" t="n"/>
      <c r="C881" s="48" t="n"/>
      <c r="D881" s="48" t="n"/>
      <c r="E881" s="28">
        <f>IF($C881="","",IF($D881="",IF($C881="Interna","Sin guía (interna)","FALTA GUÍA"),IF(COUNTIFS(ENVIOS!$A$4:$A$3003,$D881)=0,"NO EXISTE",IF(COUNTIFS(ENVIOS!$A$4:$A$3003,$D881)&gt;1,"DUPLICADA","OK"))))</f>
        <v/>
      </c>
      <c r="F881" s="28">
        <f>IF($D881="","",IFERROR(INDEX(ENVIOS!$B$4:$B$3003,MATCH($D881,ENVIOS!$A$4:$A$3003,0)),"—"))</f>
        <v/>
      </c>
      <c r="G881" s="23">
        <f>IF($D881="","",IFERROR(INDEX(ENVIOS!$D$4:$D$3003,MATCH($D881,ENVIOS!$A$4:$A$3003,0)),"—"))</f>
        <v/>
      </c>
      <c r="H881" s="23">
        <f>IF($D881="","",IFERROR(INDEX(ENVIOS!$E$4:$E$3003,MATCH($D881,ENVIOS!$A$4:$A$3003,0)),"—"))</f>
        <v/>
      </c>
      <c r="I881" s="23">
        <f>IF($D881="","",IFERROR(INDEX(ENVIOS!$F$4:$F$3003,MATCH($D881,ENVIOS!$A$4:$A$3003,0)),"—"))</f>
        <v/>
      </c>
      <c r="J881" s="23">
        <f>IF($D881="","",IFERROR(INDEX(ENVIOS!$G$4:$G$3003,MATCH($D881,ENVIOS!$A$4:$A$3003,0)),"—"))</f>
        <v/>
      </c>
      <c r="K881" s="28">
        <f>IF($D881="","",IFERROR(INDEX(ENVIOS!$H$4:$H$3003,MATCH($D881,ENVIOS!$A$4:$A$3003,0)),"—"))</f>
        <v/>
      </c>
      <c r="L881" s="49">
        <f>IF($D881="","",IFERROR(INDEX(ENVIOS!$C$4:$C$3003,MATCH($D881,ENVIOS!$A$4:$A$3003,0)),""))</f>
        <v/>
      </c>
      <c r="M881" s="50" t="n"/>
      <c r="N881" s="28">
        <f>IF($M881="","",IFERROR(INDEX(CONFIG!$C$4:$C$63,MATCH($M881,CONFIG!$A$4:$A$63,0)),"Media"))</f>
        <v/>
      </c>
      <c r="O881" s="28">
        <f>IF($M881="","",IF($C881="Interna","NO",IFERROR(INDEX(CONFIG!$E$4:$E$63,MATCH($M881,CONFIG!$A$4:$A$63,0)),"NO")))</f>
        <v/>
      </c>
      <c r="P881" s="50" t="n"/>
      <c r="Q881" s="50" t="n"/>
      <c r="R881" s="28">
        <f>IF($Q881="","",IFERROR(INDEX(CONFIG!$H$4:$H$63,MATCH($Q881,CONFIG!$G$4:$G$63,0)),"Por definir"))</f>
        <v/>
      </c>
      <c r="S881" s="28">
        <f>IF($Q881="","",IFERROR(INDEX(CONFIG!$I$4:$I$63,MATCH($Q881,CONFIG!$G$4:$G$63,0)),"Por definir"))</f>
        <v/>
      </c>
      <c r="T881" s="51" t="n"/>
      <c r="U881" s="52" t="n"/>
      <c r="V881" s="50" t="n"/>
      <c r="W881" s="50" t="n"/>
      <c r="X881" s="49">
        <f>IF(OR($B881="",$M881=""),"",WORKDAY($B881,IFERROR(INDEX(CONFIG!$D$4:$D$63,MATCH($M881,CONFIG!$A$4:$A$63,0)),3)))</f>
        <v/>
      </c>
      <c r="Y881" s="47" t="n"/>
      <c r="Z881" s="24">
        <f>IF($B881="","",IF($Y881&lt;&gt;"",$Y881-$B881,TODAY()-$B881))</f>
        <v/>
      </c>
      <c r="AA881" s="28">
        <f>IF($B881="","",IF(IFERROR(INDEX(CONFIG!$L$4:$L$63,MATCH($V881,CONFIG!$K$4:$K$63,0)),"NO")="SÍ",IF(OR($Y881="",$X881=""),"Resuelta",IF($Y881&gt;$X881,"Resuelta tarde","Resuelta a tiempo")),IF($X881="","Sin clasificar",IF(TODAY()&gt;$X881,"Vencida",IF(TODAY()&gt;=$X881-1,"Por vencer","En plazo")))))</f>
        <v/>
      </c>
      <c r="AB881" s="50" t="n"/>
      <c r="AC881" s="50" t="n"/>
    </row>
    <row r="882" ht="16" customHeight="1">
      <c r="A882" s="28">
        <f>IF($B882="","","N-"&amp;TEXT(ROW()-3,"0000"))</f>
        <v/>
      </c>
      <c r="B882" s="47" t="n"/>
      <c r="C882" s="48" t="n"/>
      <c r="D882" s="48" t="n"/>
      <c r="E882" s="28">
        <f>IF($C882="","",IF($D882="",IF($C882="Interna","Sin guía (interna)","FALTA GUÍA"),IF(COUNTIFS(ENVIOS!$A$4:$A$3003,$D882)=0,"NO EXISTE",IF(COUNTIFS(ENVIOS!$A$4:$A$3003,$D882)&gt;1,"DUPLICADA","OK"))))</f>
        <v/>
      </c>
      <c r="F882" s="28">
        <f>IF($D882="","",IFERROR(INDEX(ENVIOS!$B$4:$B$3003,MATCH($D882,ENVIOS!$A$4:$A$3003,0)),"—"))</f>
        <v/>
      </c>
      <c r="G882" s="23">
        <f>IF($D882="","",IFERROR(INDEX(ENVIOS!$D$4:$D$3003,MATCH($D882,ENVIOS!$A$4:$A$3003,0)),"—"))</f>
        <v/>
      </c>
      <c r="H882" s="23">
        <f>IF($D882="","",IFERROR(INDEX(ENVIOS!$E$4:$E$3003,MATCH($D882,ENVIOS!$A$4:$A$3003,0)),"—"))</f>
        <v/>
      </c>
      <c r="I882" s="23">
        <f>IF($D882="","",IFERROR(INDEX(ENVIOS!$F$4:$F$3003,MATCH($D882,ENVIOS!$A$4:$A$3003,0)),"—"))</f>
        <v/>
      </c>
      <c r="J882" s="23">
        <f>IF($D882="","",IFERROR(INDEX(ENVIOS!$G$4:$G$3003,MATCH($D882,ENVIOS!$A$4:$A$3003,0)),"—"))</f>
        <v/>
      </c>
      <c r="K882" s="28">
        <f>IF($D882="","",IFERROR(INDEX(ENVIOS!$H$4:$H$3003,MATCH($D882,ENVIOS!$A$4:$A$3003,0)),"—"))</f>
        <v/>
      </c>
      <c r="L882" s="49">
        <f>IF($D882="","",IFERROR(INDEX(ENVIOS!$C$4:$C$3003,MATCH($D882,ENVIOS!$A$4:$A$3003,0)),""))</f>
        <v/>
      </c>
      <c r="M882" s="50" t="n"/>
      <c r="N882" s="28">
        <f>IF($M882="","",IFERROR(INDEX(CONFIG!$C$4:$C$63,MATCH($M882,CONFIG!$A$4:$A$63,0)),"Media"))</f>
        <v/>
      </c>
      <c r="O882" s="28">
        <f>IF($M882="","",IF($C882="Interna","NO",IFERROR(INDEX(CONFIG!$E$4:$E$63,MATCH($M882,CONFIG!$A$4:$A$63,0)),"NO")))</f>
        <v/>
      </c>
      <c r="P882" s="50" t="n"/>
      <c r="Q882" s="50" t="n"/>
      <c r="R882" s="28">
        <f>IF($Q882="","",IFERROR(INDEX(CONFIG!$H$4:$H$63,MATCH($Q882,CONFIG!$G$4:$G$63,0)),"Por definir"))</f>
        <v/>
      </c>
      <c r="S882" s="28">
        <f>IF($Q882="","",IFERROR(INDEX(CONFIG!$I$4:$I$63,MATCH($Q882,CONFIG!$G$4:$G$63,0)),"Por definir"))</f>
        <v/>
      </c>
      <c r="T882" s="51" t="n"/>
      <c r="U882" s="52" t="n"/>
      <c r="V882" s="50" t="n"/>
      <c r="W882" s="50" t="n"/>
      <c r="X882" s="49">
        <f>IF(OR($B882="",$M882=""),"",WORKDAY($B882,IFERROR(INDEX(CONFIG!$D$4:$D$63,MATCH($M882,CONFIG!$A$4:$A$63,0)),3)))</f>
        <v/>
      </c>
      <c r="Y882" s="47" t="n"/>
      <c r="Z882" s="24">
        <f>IF($B882="","",IF($Y882&lt;&gt;"",$Y882-$B882,TODAY()-$B882))</f>
        <v/>
      </c>
      <c r="AA882" s="28">
        <f>IF($B882="","",IF(IFERROR(INDEX(CONFIG!$L$4:$L$63,MATCH($V882,CONFIG!$K$4:$K$63,0)),"NO")="SÍ",IF(OR($Y882="",$X882=""),"Resuelta",IF($Y882&gt;$X882,"Resuelta tarde","Resuelta a tiempo")),IF($X882="","Sin clasificar",IF(TODAY()&gt;$X882,"Vencida",IF(TODAY()&gt;=$X882-1,"Por vencer","En plazo")))))</f>
        <v/>
      </c>
      <c r="AB882" s="50" t="n"/>
      <c r="AC882" s="50" t="n"/>
    </row>
    <row r="883" ht="16" customHeight="1">
      <c r="A883" s="28">
        <f>IF($B883="","","N-"&amp;TEXT(ROW()-3,"0000"))</f>
        <v/>
      </c>
      <c r="B883" s="47" t="n"/>
      <c r="C883" s="48" t="n"/>
      <c r="D883" s="48" t="n"/>
      <c r="E883" s="28">
        <f>IF($C883="","",IF($D883="",IF($C883="Interna","Sin guía (interna)","FALTA GUÍA"),IF(COUNTIFS(ENVIOS!$A$4:$A$3003,$D883)=0,"NO EXISTE",IF(COUNTIFS(ENVIOS!$A$4:$A$3003,$D883)&gt;1,"DUPLICADA","OK"))))</f>
        <v/>
      </c>
      <c r="F883" s="28">
        <f>IF($D883="","",IFERROR(INDEX(ENVIOS!$B$4:$B$3003,MATCH($D883,ENVIOS!$A$4:$A$3003,0)),"—"))</f>
        <v/>
      </c>
      <c r="G883" s="23">
        <f>IF($D883="","",IFERROR(INDEX(ENVIOS!$D$4:$D$3003,MATCH($D883,ENVIOS!$A$4:$A$3003,0)),"—"))</f>
        <v/>
      </c>
      <c r="H883" s="23">
        <f>IF($D883="","",IFERROR(INDEX(ENVIOS!$E$4:$E$3003,MATCH($D883,ENVIOS!$A$4:$A$3003,0)),"—"))</f>
        <v/>
      </c>
      <c r="I883" s="23">
        <f>IF($D883="","",IFERROR(INDEX(ENVIOS!$F$4:$F$3003,MATCH($D883,ENVIOS!$A$4:$A$3003,0)),"—"))</f>
        <v/>
      </c>
      <c r="J883" s="23">
        <f>IF($D883="","",IFERROR(INDEX(ENVIOS!$G$4:$G$3003,MATCH($D883,ENVIOS!$A$4:$A$3003,0)),"—"))</f>
        <v/>
      </c>
      <c r="K883" s="28">
        <f>IF($D883="","",IFERROR(INDEX(ENVIOS!$H$4:$H$3003,MATCH($D883,ENVIOS!$A$4:$A$3003,0)),"—"))</f>
        <v/>
      </c>
      <c r="L883" s="49">
        <f>IF($D883="","",IFERROR(INDEX(ENVIOS!$C$4:$C$3003,MATCH($D883,ENVIOS!$A$4:$A$3003,0)),""))</f>
        <v/>
      </c>
      <c r="M883" s="50" t="n"/>
      <c r="N883" s="28">
        <f>IF($M883="","",IFERROR(INDEX(CONFIG!$C$4:$C$63,MATCH($M883,CONFIG!$A$4:$A$63,0)),"Media"))</f>
        <v/>
      </c>
      <c r="O883" s="28">
        <f>IF($M883="","",IF($C883="Interna","NO",IFERROR(INDEX(CONFIG!$E$4:$E$63,MATCH($M883,CONFIG!$A$4:$A$63,0)),"NO")))</f>
        <v/>
      </c>
      <c r="P883" s="50" t="n"/>
      <c r="Q883" s="50" t="n"/>
      <c r="R883" s="28">
        <f>IF($Q883="","",IFERROR(INDEX(CONFIG!$H$4:$H$63,MATCH($Q883,CONFIG!$G$4:$G$63,0)),"Por definir"))</f>
        <v/>
      </c>
      <c r="S883" s="28">
        <f>IF($Q883="","",IFERROR(INDEX(CONFIG!$I$4:$I$63,MATCH($Q883,CONFIG!$G$4:$G$63,0)),"Por definir"))</f>
        <v/>
      </c>
      <c r="T883" s="51" t="n"/>
      <c r="U883" s="52" t="n"/>
      <c r="V883" s="50" t="n"/>
      <c r="W883" s="50" t="n"/>
      <c r="X883" s="49">
        <f>IF(OR($B883="",$M883=""),"",WORKDAY($B883,IFERROR(INDEX(CONFIG!$D$4:$D$63,MATCH($M883,CONFIG!$A$4:$A$63,0)),3)))</f>
        <v/>
      </c>
      <c r="Y883" s="47" t="n"/>
      <c r="Z883" s="24">
        <f>IF($B883="","",IF($Y883&lt;&gt;"",$Y883-$B883,TODAY()-$B883))</f>
        <v/>
      </c>
      <c r="AA883" s="28">
        <f>IF($B883="","",IF(IFERROR(INDEX(CONFIG!$L$4:$L$63,MATCH($V883,CONFIG!$K$4:$K$63,0)),"NO")="SÍ",IF(OR($Y883="",$X883=""),"Resuelta",IF($Y883&gt;$X883,"Resuelta tarde","Resuelta a tiempo")),IF($X883="","Sin clasificar",IF(TODAY()&gt;$X883,"Vencida",IF(TODAY()&gt;=$X883-1,"Por vencer","En plazo")))))</f>
        <v/>
      </c>
      <c r="AB883" s="50" t="n"/>
      <c r="AC883" s="50" t="n"/>
    </row>
    <row r="884" ht="16" customHeight="1">
      <c r="A884" s="28">
        <f>IF($B884="","","N-"&amp;TEXT(ROW()-3,"0000"))</f>
        <v/>
      </c>
      <c r="B884" s="47" t="n"/>
      <c r="C884" s="48" t="n"/>
      <c r="D884" s="48" t="n"/>
      <c r="E884" s="28">
        <f>IF($C884="","",IF($D884="",IF($C884="Interna","Sin guía (interna)","FALTA GUÍA"),IF(COUNTIFS(ENVIOS!$A$4:$A$3003,$D884)=0,"NO EXISTE",IF(COUNTIFS(ENVIOS!$A$4:$A$3003,$D884)&gt;1,"DUPLICADA","OK"))))</f>
        <v/>
      </c>
      <c r="F884" s="28">
        <f>IF($D884="","",IFERROR(INDEX(ENVIOS!$B$4:$B$3003,MATCH($D884,ENVIOS!$A$4:$A$3003,0)),"—"))</f>
        <v/>
      </c>
      <c r="G884" s="23">
        <f>IF($D884="","",IFERROR(INDEX(ENVIOS!$D$4:$D$3003,MATCH($D884,ENVIOS!$A$4:$A$3003,0)),"—"))</f>
        <v/>
      </c>
      <c r="H884" s="23">
        <f>IF($D884="","",IFERROR(INDEX(ENVIOS!$E$4:$E$3003,MATCH($D884,ENVIOS!$A$4:$A$3003,0)),"—"))</f>
        <v/>
      </c>
      <c r="I884" s="23">
        <f>IF($D884="","",IFERROR(INDEX(ENVIOS!$F$4:$F$3003,MATCH($D884,ENVIOS!$A$4:$A$3003,0)),"—"))</f>
        <v/>
      </c>
      <c r="J884" s="23">
        <f>IF($D884="","",IFERROR(INDEX(ENVIOS!$G$4:$G$3003,MATCH($D884,ENVIOS!$A$4:$A$3003,0)),"—"))</f>
        <v/>
      </c>
      <c r="K884" s="28">
        <f>IF($D884="","",IFERROR(INDEX(ENVIOS!$H$4:$H$3003,MATCH($D884,ENVIOS!$A$4:$A$3003,0)),"—"))</f>
        <v/>
      </c>
      <c r="L884" s="49">
        <f>IF($D884="","",IFERROR(INDEX(ENVIOS!$C$4:$C$3003,MATCH($D884,ENVIOS!$A$4:$A$3003,0)),""))</f>
        <v/>
      </c>
      <c r="M884" s="50" t="n"/>
      <c r="N884" s="28">
        <f>IF($M884="","",IFERROR(INDEX(CONFIG!$C$4:$C$63,MATCH($M884,CONFIG!$A$4:$A$63,0)),"Media"))</f>
        <v/>
      </c>
      <c r="O884" s="28">
        <f>IF($M884="","",IF($C884="Interna","NO",IFERROR(INDEX(CONFIG!$E$4:$E$63,MATCH($M884,CONFIG!$A$4:$A$63,0)),"NO")))</f>
        <v/>
      </c>
      <c r="P884" s="50" t="n"/>
      <c r="Q884" s="50" t="n"/>
      <c r="R884" s="28">
        <f>IF($Q884="","",IFERROR(INDEX(CONFIG!$H$4:$H$63,MATCH($Q884,CONFIG!$G$4:$G$63,0)),"Por definir"))</f>
        <v/>
      </c>
      <c r="S884" s="28">
        <f>IF($Q884="","",IFERROR(INDEX(CONFIG!$I$4:$I$63,MATCH($Q884,CONFIG!$G$4:$G$63,0)),"Por definir"))</f>
        <v/>
      </c>
      <c r="T884" s="51" t="n"/>
      <c r="U884" s="52" t="n"/>
      <c r="V884" s="50" t="n"/>
      <c r="W884" s="50" t="n"/>
      <c r="X884" s="49">
        <f>IF(OR($B884="",$M884=""),"",WORKDAY($B884,IFERROR(INDEX(CONFIG!$D$4:$D$63,MATCH($M884,CONFIG!$A$4:$A$63,0)),3)))</f>
        <v/>
      </c>
      <c r="Y884" s="47" t="n"/>
      <c r="Z884" s="24">
        <f>IF($B884="","",IF($Y884&lt;&gt;"",$Y884-$B884,TODAY()-$B884))</f>
        <v/>
      </c>
      <c r="AA884" s="28">
        <f>IF($B884="","",IF(IFERROR(INDEX(CONFIG!$L$4:$L$63,MATCH($V884,CONFIG!$K$4:$K$63,0)),"NO")="SÍ",IF(OR($Y884="",$X884=""),"Resuelta",IF($Y884&gt;$X884,"Resuelta tarde","Resuelta a tiempo")),IF($X884="","Sin clasificar",IF(TODAY()&gt;$X884,"Vencida",IF(TODAY()&gt;=$X884-1,"Por vencer","En plazo")))))</f>
        <v/>
      </c>
      <c r="AB884" s="50" t="n"/>
      <c r="AC884" s="50" t="n"/>
    </row>
    <row r="885" ht="16" customHeight="1">
      <c r="A885" s="28">
        <f>IF($B885="","","N-"&amp;TEXT(ROW()-3,"0000"))</f>
        <v/>
      </c>
      <c r="B885" s="47" t="n"/>
      <c r="C885" s="48" t="n"/>
      <c r="D885" s="48" t="n"/>
      <c r="E885" s="28">
        <f>IF($C885="","",IF($D885="",IF($C885="Interna","Sin guía (interna)","FALTA GUÍA"),IF(COUNTIFS(ENVIOS!$A$4:$A$3003,$D885)=0,"NO EXISTE",IF(COUNTIFS(ENVIOS!$A$4:$A$3003,$D885)&gt;1,"DUPLICADA","OK"))))</f>
        <v/>
      </c>
      <c r="F885" s="28">
        <f>IF($D885="","",IFERROR(INDEX(ENVIOS!$B$4:$B$3003,MATCH($D885,ENVIOS!$A$4:$A$3003,0)),"—"))</f>
        <v/>
      </c>
      <c r="G885" s="23">
        <f>IF($D885="","",IFERROR(INDEX(ENVIOS!$D$4:$D$3003,MATCH($D885,ENVIOS!$A$4:$A$3003,0)),"—"))</f>
        <v/>
      </c>
      <c r="H885" s="23">
        <f>IF($D885="","",IFERROR(INDEX(ENVIOS!$E$4:$E$3003,MATCH($D885,ENVIOS!$A$4:$A$3003,0)),"—"))</f>
        <v/>
      </c>
      <c r="I885" s="23">
        <f>IF($D885="","",IFERROR(INDEX(ENVIOS!$F$4:$F$3003,MATCH($D885,ENVIOS!$A$4:$A$3003,0)),"—"))</f>
        <v/>
      </c>
      <c r="J885" s="23">
        <f>IF($D885="","",IFERROR(INDEX(ENVIOS!$G$4:$G$3003,MATCH($D885,ENVIOS!$A$4:$A$3003,0)),"—"))</f>
        <v/>
      </c>
      <c r="K885" s="28">
        <f>IF($D885="","",IFERROR(INDEX(ENVIOS!$H$4:$H$3003,MATCH($D885,ENVIOS!$A$4:$A$3003,0)),"—"))</f>
        <v/>
      </c>
      <c r="L885" s="49">
        <f>IF($D885="","",IFERROR(INDEX(ENVIOS!$C$4:$C$3003,MATCH($D885,ENVIOS!$A$4:$A$3003,0)),""))</f>
        <v/>
      </c>
      <c r="M885" s="50" t="n"/>
      <c r="N885" s="28">
        <f>IF($M885="","",IFERROR(INDEX(CONFIG!$C$4:$C$63,MATCH($M885,CONFIG!$A$4:$A$63,0)),"Media"))</f>
        <v/>
      </c>
      <c r="O885" s="28">
        <f>IF($M885="","",IF($C885="Interna","NO",IFERROR(INDEX(CONFIG!$E$4:$E$63,MATCH($M885,CONFIG!$A$4:$A$63,0)),"NO")))</f>
        <v/>
      </c>
      <c r="P885" s="50" t="n"/>
      <c r="Q885" s="50" t="n"/>
      <c r="R885" s="28">
        <f>IF($Q885="","",IFERROR(INDEX(CONFIG!$H$4:$H$63,MATCH($Q885,CONFIG!$G$4:$G$63,0)),"Por definir"))</f>
        <v/>
      </c>
      <c r="S885" s="28">
        <f>IF($Q885="","",IFERROR(INDEX(CONFIG!$I$4:$I$63,MATCH($Q885,CONFIG!$G$4:$G$63,0)),"Por definir"))</f>
        <v/>
      </c>
      <c r="T885" s="51" t="n"/>
      <c r="U885" s="52" t="n"/>
      <c r="V885" s="50" t="n"/>
      <c r="W885" s="50" t="n"/>
      <c r="X885" s="49">
        <f>IF(OR($B885="",$M885=""),"",WORKDAY($B885,IFERROR(INDEX(CONFIG!$D$4:$D$63,MATCH($M885,CONFIG!$A$4:$A$63,0)),3)))</f>
        <v/>
      </c>
      <c r="Y885" s="47" t="n"/>
      <c r="Z885" s="24">
        <f>IF($B885="","",IF($Y885&lt;&gt;"",$Y885-$B885,TODAY()-$B885))</f>
        <v/>
      </c>
      <c r="AA885" s="28">
        <f>IF($B885="","",IF(IFERROR(INDEX(CONFIG!$L$4:$L$63,MATCH($V885,CONFIG!$K$4:$K$63,0)),"NO")="SÍ",IF(OR($Y885="",$X885=""),"Resuelta",IF($Y885&gt;$X885,"Resuelta tarde","Resuelta a tiempo")),IF($X885="","Sin clasificar",IF(TODAY()&gt;$X885,"Vencida",IF(TODAY()&gt;=$X885-1,"Por vencer","En plazo")))))</f>
        <v/>
      </c>
      <c r="AB885" s="50" t="n"/>
      <c r="AC885" s="50" t="n"/>
    </row>
    <row r="886" ht="16" customHeight="1">
      <c r="A886" s="28">
        <f>IF($B886="","","N-"&amp;TEXT(ROW()-3,"0000"))</f>
        <v/>
      </c>
      <c r="B886" s="47" t="n"/>
      <c r="C886" s="48" t="n"/>
      <c r="D886" s="48" t="n"/>
      <c r="E886" s="28">
        <f>IF($C886="","",IF($D886="",IF($C886="Interna","Sin guía (interna)","FALTA GUÍA"),IF(COUNTIFS(ENVIOS!$A$4:$A$3003,$D886)=0,"NO EXISTE",IF(COUNTIFS(ENVIOS!$A$4:$A$3003,$D886)&gt;1,"DUPLICADA","OK"))))</f>
        <v/>
      </c>
      <c r="F886" s="28">
        <f>IF($D886="","",IFERROR(INDEX(ENVIOS!$B$4:$B$3003,MATCH($D886,ENVIOS!$A$4:$A$3003,0)),"—"))</f>
        <v/>
      </c>
      <c r="G886" s="23">
        <f>IF($D886="","",IFERROR(INDEX(ENVIOS!$D$4:$D$3003,MATCH($D886,ENVIOS!$A$4:$A$3003,0)),"—"))</f>
        <v/>
      </c>
      <c r="H886" s="23">
        <f>IF($D886="","",IFERROR(INDEX(ENVIOS!$E$4:$E$3003,MATCH($D886,ENVIOS!$A$4:$A$3003,0)),"—"))</f>
        <v/>
      </c>
      <c r="I886" s="23">
        <f>IF($D886="","",IFERROR(INDEX(ENVIOS!$F$4:$F$3003,MATCH($D886,ENVIOS!$A$4:$A$3003,0)),"—"))</f>
        <v/>
      </c>
      <c r="J886" s="23">
        <f>IF($D886="","",IFERROR(INDEX(ENVIOS!$G$4:$G$3003,MATCH($D886,ENVIOS!$A$4:$A$3003,0)),"—"))</f>
        <v/>
      </c>
      <c r="K886" s="28">
        <f>IF($D886="","",IFERROR(INDEX(ENVIOS!$H$4:$H$3003,MATCH($D886,ENVIOS!$A$4:$A$3003,0)),"—"))</f>
        <v/>
      </c>
      <c r="L886" s="49">
        <f>IF($D886="","",IFERROR(INDEX(ENVIOS!$C$4:$C$3003,MATCH($D886,ENVIOS!$A$4:$A$3003,0)),""))</f>
        <v/>
      </c>
      <c r="M886" s="50" t="n"/>
      <c r="N886" s="28">
        <f>IF($M886="","",IFERROR(INDEX(CONFIG!$C$4:$C$63,MATCH($M886,CONFIG!$A$4:$A$63,0)),"Media"))</f>
        <v/>
      </c>
      <c r="O886" s="28">
        <f>IF($M886="","",IF($C886="Interna","NO",IFERROR(INDEX(CONFIG!$E$4:$E$63,MATCH($M886,CONFIG!$A$4:$A$63,0)),"NO")))</f>
        <v/>
      </c>
      <c r="P886" s="50" t="n"/>
      <c r="Q886" s="50" t="n"/>
      <c r="R886" s="28">
        <f>IF($Q886="","",IFERROR(INDEX(CONFIG!$H$4:$H$63,MATCH($Q886,CONFIG!$G$4:$G$63,0)),"Por definir"))</f>
        <v/>
      </c>
      <c r="S886" s="28">
        <f>IF($Q886="","",IFERROR(INDEX(CONFIG!$I$4:$I$63,MATCH($Q886,CONFIG!$G$4:$G$63,0)),"Por definir"))</f>
        <v/>
      </c>
      <c r="T886" s="51" t="n"/>
      <c r="U886" s="52" t="n"/>
      <c r="V886" s="50" t="n"/>
      <c r="W886" s="50" t="n"/>
      <c r="X886" s="49">
        <f>IF(OR($B886="",$M886=""),"",WORKDAY($B886,IFERROR(INDEX(CONFIG!$D$4:$D$63,MATCH($M886,CONFIG!$A$4:$A$63,0)),3)))</f>
        <v/>
      </c>
      <c r="Y886" s="47" t="n"/>
      <c r="Z886" s="24">
        <f>IF($B886="","",IF($Y886&lt;&gt;"",$Y886-$B886,TODAY()-$B886))</f>
        <v/>
      </c>
      <c r="AA886" s="28">
        <f>IF($B886="","",IF(IFERROR(INDEX(CONFIG!$L$4:$L$63,MATCH($V886,CONFIG!$K$4:$K$63,0)),"NO")="SÍ",IF(OR($Y886="",$X886=""),"Resuelta",IF($Y886&gt;$X886,"Resuelta tarde","Resuelta a tiempo")),IF($X886="","Sin clasificar",IF(TODAY()&gt;$X886,"Vencida",IF(TODAY()&gt;=$X886-1,"Por vencer","En plazo")))))</f>
        <v/>
      </c>
      <c r="AB886" s="50" t="n"/>
      <c r="AC886" s="50" t="n"/>
    </row>
    <row r="887" ht="16" customHeight="1">
      <c r="A887" s="28">
        <f>IF($B887="","","N-"&amp;TEXT(ROW()-3,"0000"))</f>
        <v/>
      </c>
      <c r="B887" s="47" t="n"/>
      <c r="C887" s="48" t="n"/>
      <c r="D887" s="48" t="n"/>
      <c r="E887" s="28">
        <f>IF($C887="","",IF($D887="",IF($C887="Interna","Sin guía (interna)","FALTA GUÍA"),IF(COUNTIFS(ENVIOS!$A$4:$A$3003,$D887)=0,"NO EXISTE",IF(COUNTIFS(ENVIOS!$A$4:$A$3003,$D887)&gt;1,"DUPLICADA","OK"))))</f>
        <v/>
      </c>
      <c r="F887" s="28">
        <f>IF($D887="","",IFERROR(INDEX(ENVIOS!$B$4:$B$3003,MATCH($D887,ENVIOS!$A$4:$A$3003,0)),"—"))</f>
        <v/>
      </c>
      <c r="G887" s="23">
        <f>IF($D887="","",IFERROR(INDEX(ENVIOS!$D$4:$D$3003,MATCH($D887,ENVIOS!$A$4:$A$3003,0)),"—"))</f>
        <v/>
      </c>
      <c r="H887" s="23">
        <f>IF($D887="","",IFERROR(INDEX(ENVIOS!$E$4:$E$3003,MATCH($D887,ENVIOS!$A$4:$A$3003,0)),"—"))</f>
        <v/>
      </c>
      <c r="I887" s="23">
        <f>IF($D887="","",IFERROR(INDEX(ENVIOS!$F$4:$F$3003,MATCH($D887,ENVIOS!$A$4:$A$3003,0)),"—"))</f>
        <v/>
      </c>
      <c r="J887" s="23">
        <f>IF($D887="","",IFERROR(INDEX(ENVIOS!$G$4:$G$3003,MATCH($D887,ENVIOS!$A$4:$A$3003,0)),"—"))</f>
        <v/>
      </c>
      <c r="K887" s="28">
        <f>IF($D887="","",IFERROR(INDEX(ENVIOS!$H$4:$H$3003,MATCH($D887,ENVIOS!$A$4:$A$3003,0)),"—"))</f>
        <v/>
      </c>
      <c r="L887" s="49">
        <f>IF($D887="","",IFERROR(INDEX(ENVIOS!$C$4:$C$3003,MATCH($D887,ENVIOS!$A$4:$A$3003,0)),""))</f>
        <v/>
      </c>
      <c r="M887" s="50" t="n"/>
      <c r="N887" s="28">
        <f>IF($M887="","",IFERROR(INDEX(CONFIG!$C$4:$C$63,MATCH($M887,CONFIG!$A$4:$A$63,0)),"Media"))</f>
        <v/>
      </c>
      <c r="O887" s="28">
        <f>IF($M887="","",IF($C887="Interna","NO",IFERROR(INDEX(CONFIG!$E$4:$E$63,MATCH($M887,CONFIG!$A$4:$A$63,0)),"NO")))</f>
        <v/>
      </c>
      <c r="P887" s="50" t="n"/>
      <c r="Q887" s="50" t="n"/>
      <c r="R887" s="28">
        <f>IF($Q887="","",IFERROR(INDEX(CONFIG!$H$4:$H$63,MATCH($Q887,CONFIG!$G$4:$G$63,0)),"Por definir"))</f>
        <v/>
      </c>
      <c r="S887" s="28">
        <f>IF($Q887="","",IFERROR(INDEX(CONFIG!$I$4:$I$63,MATCH($Q887,CONFIG!$G$4:$G$63,0)),"Por definir"))</f>
        <v/>
      </c>
      <c r="T887" s="51" t="n"/>
      <c r="U887" s="52" t="n"/>
      <c r="V887" s="50" t="n"/>
      <c r="W887" s="50" t="n"/>
      <c r="X887" s="49">
        <f>IF(OR($B887="",$M887=""),"",WORKDAY($B887,IFERROR(INDEX(CONFIG!$D$4:$D$63,MATCH($M887,CONFIG!$A$4:$A$63,0)),3)))</f>
        <v/>
      </c>
      <c r="Y887" s="47" t="n"/>
      <c r="Z887" s="24">
        <f>IF($B887="","",IF($Y887&lt;&gt;"",$Y887-$B887,TODAY()-$B887))</f>
        <v/>
      </c>
      <c r="AA887" s="28">
        <f>IF($B887="","",IF(IFERROR(INDEX(CONFIG!$L$4:$L$63,MATCH($V887,CONFIG!$K$4:$K$63,0)),"NO")="SÍ",IF(OR($Y887="",$X887=""),"Resuelta",IF($Y887&gt;$X887,"Resuelta tarde","Resuelta a tiempo")),IF($X887="","Sin clasificar",IF(TODAY()&gt;$X887,"Vencida",IF(TODAY()&gt;=$X887-1,"Por vencer","En plazo")))))</f>
        <v/>
      </c>
      <c r="AB887" s="50" t="n"/>
      <c r="AC887" s="50" t="n"/>
    </row>
    <row r="888" ht="16" customHeight="1">
      <c r="A888" s="28">
        <f>IF($B888="","","N-"&amp;TEXT(ROW()-3,"0000"))</f>
        <v/>
      </c>
      <c r="B888" s="47" t="n"/>
      <c r="C888" s="48" t="n"/>
      <c r="D888" s="48" t="n"/>
      <c r="E888" s="28">
        <f>IF($C888="","",IF($D888="",IF($C888="Interna","Sin guía (interna)","FALTA GUÍA"),IF(COUNTIFS(ENVIOS!$A$4:$A$3003,$D888)=0,"NO EXISTE",IF(COUNTIFS(ENVIOS!$A$4:$A$3003,$D888)&gt;1,"DUPLICADA","OK"))))</f>
        <v/>
      </c>
      <c r="F888" s="28">
        <f>IF($D888="","",IFERROR(INDEX(ENVIOS!$B$4:$B$3003,MATCH($D888,ENVIOS!$A$4:$A$3003,0)),"—"))</f>
        <v/>
      </c>
      <c r="G888" s="23">
        <f>IF($D888="","",IFERROR(INDEX(ENVIOS!$D$4:$D$3003,MATCH($D888,ENVIOS!$A$4:$A$3003,0)),"—"))</f>
        <v/>
      </c>
      <c r="H888" s="23">
        <f>IF($D888="","",IFERROR(INDEX(ENVIOS!$E$4:$E$3003,MATCH($D888,ENVIOS!$A$4:$A$3003,0)),"—"))</f>
        <v/>
      </c>
      <c r="I888" s="23">
        <f>IF($D888="","",IFERROR(INDEX(ENVIOS!$F$4:$F$3003,MATCH($D888,ENVIOS!$A$4:$A$3003,0)),"—"))</f>
        <v/>
      </c>
      <c r="J888" s="23">
        <f>IF($D888="","",IFERROR(INDEX(ENVIOS!$G$4:$G$3003,MATCH($D888,ENVIOS!$A$4:$A$3003,0)),"—"))</f>
        <v/>
      </c>
      <c r="K888" s="28">
        <f>IF($D888="","",IFERROR(INDEX(ENVIOS!$H$4:$H$3003,MATCH($D888,ENVIOS!$A$4:$A$3003,0)),"—"))</f>
        <v/>
      </c>
      <c r="L888" s="49">
        <f>IF($D888="","",IFERROR(INDEX(ENVIOS!$C$4:$C$3003,MATCH($D888,ENVIOS!$A$4:$A$3003,0)),""))</f>
        <v/>
      </c>
      <c r="M888" s="50" t="n"/>
      <c r="N888" s="28">
        <f>IF($M888="","",IFERROR(INDEX(CONFIG!$C$4:$C$63,MATCH($M888,CONFIG!$A$4:$A$63,0)),"Media"))</f>
        <v/>
      </c>
      <c r="O888" s="28">
        <f>IF($M888="","",IF($C888="Interna","NO",IFERROR(INDEX(CONFIG!$E$4:$E$63,MATCH($M888,CONFIG!$A$4:$A$63,0)),"NO")))</f>
        <v/>
      </c>
      <c r="P888" s="50" t="n"/>
      <c r="Q888" s="50" t="n"/>
      <c r="R888" s="28">
        <f>IF($Q888="","",IFERROR(INDEX(CONFIG!$H$4:$H$63,MATCH($Q888,CONFIG!$G$4:$G$63,0)),"Por definir"))</f>
        <v/>
      </c>
      <c r="S888" s="28">
        <f>IF($Q888="","",IFERROR(INDEX(CONFIG!$I$4:$I$63,MATCH($Q888,CONFIG!$G$4:$G$63,0)),"Por definir"))</f>
        <v/>
      </c>
      <c r="T888" s="51" t="n"/>
      <c r="U888" s="52" t="n"/>
      <c r="V888" s="50" t="n"/>
      <c r="W888" s="50" t="n"/>
      <c r="X888" s="49">
        <f>IF(OR($B888="",$M888=""),"",WORKDAY($B888,IFERROR(INDEX(CONFIG!$D$4:$D$63,MATCH($M888,CONFIG!$A$4:$A$63,0)),3)))</f>
        <v/>
      </c>
      <c r="Y888" s="47" t="n"/>
      <c r="Z888" s="24">
        <f>IF($B888="","",IF($Y888&lt;&gt;"",$Y888-$B888,TODAY()-$B888))</f>
        <v/>
      </c>
      <c r="AA888" s="28">
        <f>IF($B888="","",IF(IFERROR(INDEX(CONFIG!$L$4:$L$63,MATCH($V888,CONFIG!$K$4:$K$63,0)),"NO")="SÍ",IF(OR($Y888="",$X888=""),"Resuelta",IF($Y888&gt;$X888,"Resuelta tarde","Resuelta a tiempo")),IF($X888="","Sin clasificar",IF(TODAY()&gt;$X888,"Vencida",IF(TODAY()&gt;=$X888-1,"Por vencer","En plazo")))))</f>
        <v/>
      </c>
      <c r="AB888" s="50" t="n"/>
      <c r="AC888" s="50" t="n"/>
    </row>
    <row r="889" ht="16" customHeight="1">
      <c r="A889" s="28">
        <f>IF($B889="","","N-"&amp;TEXT(ROW()-3,"0000"))</f>
        <v/>
      </c>
      <c r="B889" s="47" t="n"/>
      <c r="C889" s="48" t="n"/>
      <c r="D889" s="48" t="n"/>
      <c r="E889" s="28">
        <f>IF($C889="","",IF($D889="",IF($C889="Interna","Sin guía (interna)","FALTA GUÍA"),IF(COUNTIFS(ENVIOS!$A$4:$A$3003,$D889)=0,"NO EXISTE",IF(COUNTIFS(ENVIOS!$A$4:$A$3003,$D889)&gt;1,"DUPLICADA","OK"))))</f>
        <v/>
      </c>
      <c r="F889" s="28">
        <f>IF($D889="","",IFERROR(INDEX(ENVIOS!$B$4:$B$3003,MATCH($D889,ENVIOS!$A$4:$A$3003,0)),"—"))</f>
        <v/>
      </c>
      <c r="G889" s="23">
        <f>IF($D889="","",IFERROR(INDEX(ENVIOS!$D$4:$D$3003,MATCH($D889,ENVIOS!$A$4:$A$3003,0)),"—"))</f>
        <v/>
      </c>
      <c r="H889" s="23">
        <f>IF($D889="","",IFERROR(INDEX(ENVIOS!$E$4:$E$3003,MATCH($D889,ENVIOS!$A$4:$A$3003,0)),"—"))</f>
        <v/>
      </c>
      <c r="I889" s="23">
        <f>IF($D889="","",IFERROR(INDEX(ENVIOS!$F$4:$F$3003,MATCH($D889,ENVIOS!$A$4:$A$3003,0)),"—"))</f>
        <v/>
      </c>
      <c r="J889" s="23">
        <f>IF($D889="","",IFERROR(INDEX(ENVIOS!$G$4:$G$3003,MATCH($D889,ENVIOS!$A$4:$A$3003,0)),"—"))</f>
        <v/>
      </c>
      <c r="K889" s="28">
        <f>IF($D889="","",IFERROR(INDEX(ENVIOS!$H$4:$H$3003,MATCH($D889,ENVIOS!$A$4:$A$3003,0)),"—"))</f>
        <v/>
      </c>
      <c r="L889" s="49">
        <f>IF($D889="","",IFERROR(INDEX(ENVIOS!$C$4:$C$3003,MATCH($D889,ENVIOS!$A$4:$A$3003,0)),""))</f>
        <v/>
      </c>
      <c r="M889" s="50" t="n"/>
      <c r="N889" s="28">
        <f>IF($M889="","",IFERROR(INDEX(CONFIG!$C$4:$C$63,MATCH($M889,CONFIG!$A$4:$A$63,0)),"Media"))</f>
        <v/>
      </c>
      <c r="O889" s="28">
        <f>IF($M889="","",IF($C889="Interna","NO",IFERROR(INDEX(CONFIG!$E$4:$E$63,MATCH($M889,CONFIG!$A$4:$A$63,0)),"NO")))</f>
        <v/>
      </c>
      <c r="P889" s="50" t="n"/>
      <c r="Q889" s="50" t="n"/>
      <c r="R889" s="28">
        <f>IF($Q889="","",IFERROR(INDEX(CONFIG!$H$4:$H$63,MATCH($Q889,CONFIG!$G$4:$G$63,0)),"Por definir"))</f>
        <v/>
      </c>
      <c r="S889" s="28">
        <f>IF($Q889="","",IFERROR(INDEX(CONFIG!$I$4:$I$63,MATCH($Q889,CONFIG!$G$4:$G$63,0)),"Por definir"))</f>
        <v/>
      </c>
      <c r="T889" s="51" t="n"/>
      <c r="U889" s="52" t="n"/>
      <c r="V889" s="50" t="n"/>
      <c r="W889" s="50" t="n"/>
      <c r="X889" s="49">
        <f>IF(OR($B889="",$M889=""),"",WORKDAY($B889,IFERROR(INDEX(CONFIG!$D$4:$D$63,MATCH($M889,CONFIG!$A$4:$A$63,0)),3)))</f>
        <v/>
      </c>
      <c r="Y889" s="47" t="n"/>
      <c r="Z889" s="24">
        <f>IF($B889="","",IF($Y889&lt;&gt;"",$Y889-$B889,TODAY()-$B889))</f>
        <v/>
      </c>
      <c r="AA889" s="28">
        <f>IF($B889="","",IF(IFERROR(INDEX(CONFIG!$L$4:$L$63,MATCH($V889,CONFIG!$K$4:$K$63,0)),"NO")="SÍ",IF(OR($Y889="",$X889=""),"Resuelta",IF($Y889&gt;$X889,"Resuelta tarde","Resuelta a tiempo")),IF($X889="","Sin clasificar",IF(TODAY()&gt;$X889,"Vencida",IF(TODAY()&gt;=$X889-1,"Por vencer","En plazo")))))</f>
        <v/>
      </c>
      <c r="AB889" s="50" t="n"/>
      <c r="AC889" s="50" t="n"/>
    </row>
    <row r="890" ht="16" customHeight="1">
      <c r="A890" s="28">
        <f>IF($B890="","","N-"&amp;TEXT(ROW()-3,"0000"))</f>
        <v/>
      </c>
      <c r="B890" s="47" t="n"/>
      <c r="C890" s="48" t="n"/>
      <c r="D890" s="48" t="n"/>
      <c r="E890" s="28">
        <f>IF($C890="","",IF($D890="",IF($C890="Interna","Sin guía (interna)","FALTA GUÍA"),IF(COUNTIFS(ENVIOS!$A$4:$A$3003,$D890)=0,"NO EXISTE",IF(COUNTIFS(ENVIOS!$A$4:$A$3003,$D890)&gt;1,"DUPLICADA","OK"))))</f>
        <v/>
      </c>
      <c r="F890" s="28">
        <f>IF($D890="","",IFERROR(INDEX(ENVIOS!$B$4:$B$3003,MATCH($D890,ENVIOS!$A$4:$A$3003,0)),"—"))</f>
        <v/>
      </c>
      <c r="G890" s="23">
        <f>IF($D890="","",IFERROR(INDEX(ENVIOS!$D$4:$D$3003,MATCH($D890,ENVIOS!$A$4:$A$3003,0)),"—"))</f>
        <v/>
      </c>
      <c r="H890" s="23">
        <f>IF($D890="","",IFERROR(INDEX(ENVIOS!$E$4:$E$3003,MATCH($D890,ENVIOS!$A$4:$A$3003,0)),"—"))</f>
        <v/>
      </c>
      <c r="I890" s="23">
        <f>IF($D890="","",IFERROR(INDEX(ENVIOS!$F$4:$F$3003,MATCH($D890,ENVIOS!$A$4:$A$3003,0)),"—"))</f>
        <v/>
      </c>
      <c r="J890" s="23">
        <f>IF($D890="","",IFERROR(INDEX(ENVIOS!$G$4:$G$3003,MATCH($D890,ENVIOS!$A$4:$A$3003,0)),"—"))</f>
        <v/>
      </c>
      <c r="K890" s="28">
        <f>IF($D890="","",IFERROR(INDEX(ENVIOS!$H$4:$H$3003,MATCH($D890,ENVIOS!$A$4:$A$3003,0)),"—"))</f>
        <v/>
      </c>
      <c r="L890" s="49">
        <f>IF($D890="","",IFERROR(INDEX(ENVIOS!$C$4:$C$3003,MATCH($D890,ENVIOS!$A$4:$A$3003,0)),""))</f>
        <v/>
      </c>
      <c r="M890" s="50" t="n"/>
      <c r="N890" s="28">
        <f>IF($M890="","",IFERROR(INDEX(CONFIG!$C$4:$C$63,MATCH($M890,CONFIG!$A$4:$A$63,0)),"Media"))</f>
        <v/>
      </c>
      <c r="O890" s="28">
        <f>IF($M890="","",IF($C890="Interna","NO",IFERROR(INDEX(CONFIG!$E$4:$E$63,MATCH($M890,CONFIG!$A$4:$A$63,0)),"NO")))</f>
        <v/>
      </c>
      <c r="P890" s="50" t="n"/>
      <c r="Q890" s="50" t="n"/>
      <c r="R890" s="28">
        <f>IF($Q890="","",IFERROR(INDEX(CONFIG!$H$4:$H$63,MATCH($Q890,CONFIG!$G$4:$G$63,0)),"Por definir"))</f>
        <v/>
      </c>
      <c r="S890" s="28">
        <f>IF($Q890="","",IFERROR(INDEX(CONFIG!$I$4:$I$63,MATCH($Q890,CONFIG!$G$4:$G$63,0)),"Por definir"))</f>
        <v/>
      </c>
      <c r="T890" s="51" t="n"/>
      <c r="U890" s="52" t="n"/>
      <c r="V890" s="50" t="n"/>
      <c r="W890" s="50" t="n"/>
      <c r="X890" s="49">
        <f>IF(OR($B890="",$M890=""),"",WORKDAY($B890,IFERROR(INDEX(CONFIG!$D$4:$D$63,MATCH($M890,CONFIG!$A$4:$A$63,0)),3)))</f>
        <v/>
      </c>
      <c r="Y890" s="47" t="n"/>
      <c r="Z890" s="24">
        <f>IF($B890="","",IF($Y890&lt;&gt;"",$Y890-$B890,TODAY()-$B890))</f>
        <v/>
      </c>
      <c r="AA890" s="28">
        <f>IF($B890="","",IF(IFERROR(INDEX(CONFIG!$L$4:$L$63,MATCH($V890,CONFIG!$K$4:$K$63,0)),"NO")="SÍ",IF(OR($Y890="",$X890=""),"Resuelta",IF($Y890&gt;$X890,"Resuelta tarde","Resuelta a tiempo")),IF($X890="","Sin clasificar",IF(TODAY()&gt;$X890,"Vencida",IF(TODAY()&gt;=$X890-1,"Por vencer","En plazo")))))</f>
        <v/>
      </c>
      <c r="AB890" s="50" t="n"/>
      <c r="AC890" s="50" t="n"/>
    </row>
    <row r="891" ht="16" customHeight="1">
      <c r="A891" s="28">
        <f>IF($B891="","","N-"&amp;TEXT(ROW()-3,"0000"))</f>
        <v/>
      </c>
      <c r="B891" s="47" t="n"/>
      <c r="C891" s="48" t="n"/>
      <c r="D891" s="48" t="n"/>
      <c r="E891" s="28">
        <f>IF($C891="","",IF($D891="",IF($C891="Interna","Sin guía (interna)","FALTA GUÍA"),IF(COUNTIFS(ENVIOS!$A$4:$A$3003,$D891)=0,"NO EXISTE",IF(COUNTIFS(ENVIOS!$A$4:$A$3003,$D891)&gt;1,"DUPLICADA","OK"))))</f>
        <v/>
      </c>
      <c r="F891" s="28">
        <f>IF($D891="","",IFERROR(INDEX(ENVIOS!$B$4:$B$3003,MATCH($D891,ENVIOS!$A$4:$A$3003,0)),"—"))</f>
        <v/>
      </c>
      <c r="G891" s="23">
        <f>IF($D891="","",IFERROR(INDEX(ENVIOS!$D$4:$D$3003,MATCH($D891,ENVIOS!$A$4:$A$3003,0)),"—"))</f>
        <v/>
      </c>
      <c r="H891" s="23">
        <f>IF($D891="","",IFERROR(INDEX(ENVIOS!$E$4:$E$3003,MATCH($D891,ENVIOS!$A$4:$A$3003,0)),"—"))</f>
        <v/>
      </c>
      <c r="I891" s="23">
        <f>IF($D891="","",IFERROR(INDEX(ENVIOS!$F$4:$F$3003,MATCH($D891,ENVIOS!$A$4:$A$3003,0)),"—"))</f>
        <v/>
      </c>
      <c r="J891" s="23">
        <f>IF($D891="","",IFERROR(INDEX(ENVIOS!$G$4:$G$3003,MATCH($D891,ENVIOS!$A$4:$A$3003,0)),"—"))</f>
        <v/>
      </c>
      <c r="K891" s="28">
        <f>IF($D891="","",IFERROR(INDEX(ENVIOS!$H$4:$H$3003,MATCH($D891,ENVIOS!$A$4:$A$3003,0)),"—"))</f>
        <v/>
      </c>
      <c r="L891" s="49">
        <f>IF($D891="","",IFERROR(INDEX(ENVIOS!$C$4:$C$3003,MATCH($D891,ENVIOS!$A$4:$A$3003,0)),""))</f>
        <v/>
      </c>
      <c r="M891" s="50" t="n"/>
      <c r="N891" s="28">
        <f>IF($M891="","",IFERROR(INDEX(CONFIG!$C$4:$C$63,MATCH($M891,CONFIG!$A$4:$A$63,0)),"Media"))</f>
        <v/>
      </c>
      <c r="O891" s="28">
        <f>IF($M891="","",IF($C891="Interna","NO",IFERROR(INDEX(CONFIG!$E$4:$E$63,MATCH($M891,CONFIG!$A$4:$A$63,0)),"NO")))</f>
        <v/>
      </c>
      <c r="P891" s="50" t="n"/>
      <c r="Q891" s="50" t="n"/>
      <c r="R891" s="28">
        <f>IF($Q891="","",IFERROR(INDEX(CONFIG!$H$4:$H$63,MATCH($Q891,CONFIG!$G$4:$G$63,0)),"Por definir"))</f>
        <v/>
      </c>
      <c r="S891" s="28">
        <f>IF($Q891="","",IFERROR(INDEX(CONFIG!$I$4:$I$63,MATCH($Q891,CONFIG!$G$4:$G$63,0)),"Por definir"))</f>
        <v/>
      </c>
      <c r="T891" s="51" t="n"/>
      <c r="U891" s="52" t="n"/>
      <c r="V891" s="50" t="n"/>
      <c r="W891" s="50" t="n"/>
      <c r="X891" s="49">
        <f>IF(OR($B891="",$M891=""),"",WORKDAY($B891,IFERROR(INDEX(CONFIG!$D$4:$D$63,MATCH($M891,CONFIG!$A$4:$A$63,0)),3)))</f>
        <v/>
      </c>
      <c r="Y891" s="47" t="n"/>
      <c r="Z891" s="24">
        <f>IF($B891="","",IF($Y891&lt;&gt;"",$Y891-$B891,TODAY()-$B891))</f>
        <v/>
      </c>
      <c r="AA891" s="28">
        <f>IF($B891="","",IF(IFERROR(INDEX(CONFIG!$L$4:$L$63,MATCH($V891,CONFIG!$K$4:$K$63,0)),"NO")="SÍ",IF(OR($Y891="",$X891=""),"Resuelta",IF($Y891&gt;$X891,"Resuelta tarde","Resuelta a tiempo")),IF($X891="","Sin clasificar",IF(TODAY()&gt;$X891,"Vencida",IF(TODAY()&gt;=$X891-1,"Por vencer","En plazo")))))</f>
        <v/>
      </c>
      <c r="AB891" s="50" t="n"/>
      <c r="AC891" s="50" t="n"/>
    </row>
    <row r="892" ht="16" customHeight="1">
      <c r="A892" s="28">
        <f>IF($B892="","","N-"&amp;TEXT(ROW()-3,"0000"))</f>
        <v/>
      </c>
      <c r="B892" s="47" t="n"/>
      <c r="C892" s="48" t="n"/>
      <c r="D892" s="48" t="n"/>
      <c r="E892" s="28">
        <f>IF($C892="","",IF($D892="",IF($C892="Interna","Sin guía (interna)","FALTA GUÍA"),IF(COUNTIFS(ENVIOS!$A$4:$A$3003,$D892)=0,"NO EXISTE",IF(COUNTIFS(ENVIOS!$A$4:$A$3003,$D892)&gt;1,"DUPLICADA","OK"))))</f>
        <v/>
      </c>
      <c r="F892" s="28">
        <f>IF($D892="","",IFERROR(INDEX(ENVIOS!$B$4:$B$3003,MATCH($D892,ENVIOS!$A$4:$A$3003,0)),"—"))</f>
        <v/>
      </c>
      <c r="G892" s="23">
        <f>IF($D892="","",IFERROR(INDEX(ENVIOS!$D$4:$D$3003,MATCH($D892,ENVIOS!$A$4:$A$3003,0)),"—"))</f>
        <v/>
      </c>
      <c r="H892" s="23">
        <f>IF($D892="","",IFERROR(INDEX(ENVIOS!$E$4:$E$3003,MATCH($D892,ENVIOS!$A$4:$A$3003,0)),"—"))</f>
        <v/>
      </c>
      <c r="I892" s="23">
        <f>IF($D892="","",IFERROR(INDEX(ENVIOS!$F$4:$F$3003,MATCH($D892,ENVIOS!$A$4:$A$3003,0)),"—"))</f>
        <v/>
      </c>
      <c r="J892" s="23">
        <f>IF($D892="","",IFERROR(INDEX(ENVIOS!$G$4:$G$3003,MATCH($D892,ENVIOS!$A$4:$A$3003,0)),"—"))</f>
        <v/>
      </c>
      <c r="K892" s="28">
        <f>IF($D892="","",IFERROR(INDEX(ENVIOS!$H$4:$H$3003,MATCH($D892,ENVIOS!$A$4:$A$3003,0)),"—"))</f>
        <v/>
      </c>
      <c r="L892" s="49">
        <f>IF($D892="","",IFERROR(INDEX(ENVIOS!$C$4:$C$3003,MATCH($D892,ENVIOS!$A$4:$A$3003,0)),""))</f>
        <v/>
      </c>
      <c r="M892" s="50" t="n"/>
      <c r="N892" s="28">
        <f>IF($M892="","",IFERROR(INDEX(CONFIG!$C$4:$C$63,MATCH($M892,CONFIG!$A$4:$A$63,0)),"Media"))</f>
        <v/>
      </c>
      <c r="O892" s="28">
        <f>IF($M892="","",IF($C892="Interna","NO",IFERROR(INDEX(CONFIG!$E$4:$E$63,MATCH($M892,CONFIG!$A$4:$A$63,0)),"NO")))</f>
        <v/>
      </c>
      <c r="P892" s="50" t="n"/>
      <c r="Q892" s="50" t="n"/>
      <c r="R892" s="28">
        <f>IF($Q892="","",IFERROR(INDEX(CONFIG!$H$4:$H$63,MATCH($Q892,CONFIG!$G$4:$G$63,0)),"Por definir"))</f>
        <v/>
      </c>
      <c r="S892" s="28">
        <f>IF($Q892="","",IFERROR(INDEX(CONFIG!$I$4:$I$63,MATCH($Q892,CONFIG!$G$4:$G$63,0)),"Por definir"))</f>
        <v/>
      </c>
      <c r="T892" s="51" t="n"/>
      <c r="U892" s="52" t="n"/>
      <c r="V892" s="50" t="n"/>
      <c r="W892" s="50" t="n"/>
      <c r="X892" s="49">
        <f>IF(OR($B892="",$M892=""),"",WORKDAY($B892,IFERROR(INDEX(CONFIG!$D$4:$D$63,MATCH($M892,CONFIG!$A$4:$A$63,0)),3)))</f>
        <v/>
      </c>
      <c r="Y892" s="47" t="n"/>
      <c r="Z892" s="24">
        <f>IF($B892="","",IF($Y892&lt;&gt;"",$Y892-$B892,TODAY()-$B892))</f>
        <v/>
      </c>
      <c r="AA892" s="28">
        <f>IF($B892="","",IF(IFERROR(INDEX(CONFIG!$L$4:$L$63,MATCH($V892,CONFIG!$K$4:$K$63,0)),"NO")="SÍ",IF(OR($Y892="",$X892=""),"Resuelta",IF($Y892&gt;$X892,"Resuelta tarde","Resuelta a tiempo")),IF($X892="","Sin clasificar",IF(TODAY()&gt;$X892,"Vencida",IF(TODAY()&gt;=$X892-1,"Por vencer","En plazo")))))</f>
        <v/>
      </c>
      <c r="AB892" s="50" t="n"/>
      <c r="AC892" s="50" t="n"/>
    </row>
    <row r="893" ht="16" customHeight="1">
      <c r="A893" s="28">
        <f>IF($B893="","","N-"&amp;TEXT(ROW()-3,"0000"))</f>
        <v/>
      </c>
      <c r="B893" s="47" t="n"/>
      <c r="C893" s="48" t="n"/>
      <c r="D893" s="48" t="n"/>
      <c r="E893" s="28">
        <f>IF($C893="","",IF($D893="",IF($C893="Interna","Sin guía (interna)","FALTA GUÍA"),IF(COUNTIFS(ENVIOS!$A$4:$A$3003,$D893)=0,"NO EXISTE",IF(COUNTIFS(ENVIOS!$A$4:$A$3003,$D893)&gt;1,"DUPLICADA","OK"))))</f>
        <v/>
      </c>
      <c r="F893" s="28">
        <f>IF($D893="","",IFERROR(INDEX(ENVIOS!$B$4:$B$3003,MATCH($D893,ENVIOS!$A$4:$A$3003,0)),"—"))</f>
        <v/>
      </c>
      <c r="G893" s="23">
        <f>IF($D893="","",IFERROR(INDEX(ENVIOS!$D$4:$D$3003,MATCH($D893,ENVIOS!$A$4:$A$3003,0)),"—"))</f>
        <v/>
      </c>
      <c r="H893" s="23">
        <f>IF($D893="","",IFERROR(INDEX(ENVIOS!$E$4:$E$3003,MATCH($D893,ENVIOS!$A$4:$A$3003,0)),"—"))</f>
        <v/>
      </c>
      <c r="I893" s="23">
        <f>IF($D893="","",IFERROR(INDEX(ENVIOS!$F$4:$F$3003,MATCH($D893,ENVIOS!$A$4:$A$3003,0)),"—"))</f>
        <v/>
      </c>
      <c r="J893" s="23">
        <f>IF($D893="","",IFERROR(INDEX(ENVIOS!$G$4:$G$3003,MATCH($D893,ENVIOS!$A$4:$A$3003,0)),"—"))</f>
        <v/>
      </c>
      <c r="K893" s="28">
        <f>IF($D893="","",IFERROR(INDEX(ENVIOS!$H$4:$H$3003,MATCH($D893,ENVIOS!$A$4:$A$3003,0)),"—"))</f>
        <v/>
      </c>
      <c r="L893" s="49">
        <f>IF($D893="","",IFERROR(INDEX(ENVIOS!$C$4:$C$3003,MATCH($D893,ENVIOS!$A$4:$A$3003,0)),""))</f>
        <v/>
      </c>
      <c r="M893" s="50" t="n"/>
      <c r="N893" s="28">
        <f>IF($M893="","",IFERROR(INDEX(CONFIG!$C$4:$C$63,MATCH($M893,CONFIG!$A$4:$A$63,0)),"Media"))</f>
        <v/>
      </c>
      <c r="O893" s="28">
        <f>IF($M893="","",IF($C893="Interna","NO",IFERROR(INDEX(CONFIG!$E$4:$E$63,MATCH($M893,CONFIG!$A$4:$A$63,0)),"NO")))</f>
        <v/>
      </c>
      <c r="P893" s="50" t="n"/>
      <c r="Q893" s="50" t="n"/>
      <c r="R893" s="28">
        <f>IF($Q893="","",IFERROR(INDEX(CONFIG!$H$4:$H$63,MATCH($Q893,CONFIG!$G$4:$G$63,0)),"Por definir"))</f>
        <v/>
      </c>
      <c r="S893" s="28">
        <f>IF($Q893="","",IFERROR(INDEX(CONFIG!$I$4:$I$63,MATCH($Q893,CONFIG!$G$4:$G$63,0)),"Por definir"))</f>
        <v/>
      </c>
      <c r="T893" s="51" t="n"/>
      <c r="U893" s="52" t="n"/>
      <c r="V893" s="50" t="n"/>
      <c r="W893" s="50" t="n"/>
      <c r="X893" s="49">
        <f>IF(OR($B893="",$M893=""),"",WORKDAY($B893,IFERROR(INDEX(CONFIG!$D$4:$D$63,MATCH($M893,CONFIG!$A$4:$A$63,0)),3)))</f>
        <v/>
      </c>
      <c r="Y893" s="47" t="n"/>
      <c r="Z893" s="24">
        <f>IF($B893="","",IF($Y893&lt;&gt;"",$Y893-$B893,TODAY()-$B893))</f>
        <v/>
      </c>
      <c r="AA893" s="28">
        <f>IF($B893="","",IF(IFERROR(INDEX(CONFIG!$L$4:$L$63,MATCH($V893,CONFIG!$K$4:$K$63,0)),"NO")="SÍ",IF(OR($Y893="",$X893=""),"Resuelta",IF($Y893&gt;$X893,"Resuelta tarde","Resuelta a tiempo")),IF($X893="","Sin clasificar",IF(TODAY()&gt;$X893,"Vencida",IF(TODAY()&gt;=$X893-1,"Por vencer","En plazo")))))</f>
        <v/>
      </c>
      <c r="AB893" s="50" t="n"/>
      <c r="AC893" s="50" t="n"/>
    </row>
    <row r="894" ht="16" customHeight="1">
      <c r="A894" s="28">
        <f>IF($B894="","","N-"&amp;TEXT(ROW()-3,"0000"))</f>
        <v/>
      </c>
      <c r="B894" s="47" t="n"/>
      <c r="C894" s="48" t="n"/>
      <c r="D894" s="48" t="n"/>
      <c r="E894" s="28">
        <f>IF($C894="","",IF($D894="",IF($C894="Interna","Sin guía (interna)","FALTA GUÍA"),IF(COUNTIFS(ENVIOS!$A$4:$A$3003,$D894)=0,"NO EXISTE",IF(COUNTIFS(ENVIOS!$A$4:$A$3003,$D894)&gt;1,"DUPLICADA","OK"))))</f>
        <v/>
      </c>
      <c r="F894" s="28">
        <f>IF($D894="","",IFERROR(INDEX(ENVIOS!$B$4:$B$3003,MATCH($D894,ENVIOS!$A$4:$A$3003,0)),"—"))</f>
        <v/>
      </c>
      <c r="G894" s="23">
        <f>IF($D894="","",IFERROR(INDEX(ENVIOS!$D$4:$D$3003,MATCH($D894,ENVIOS!$A$4:$A$3003,0)),"—"))</f>
        <v/>
      </c>
      <c r="H894" s="23">
        <f>IF($D894="","",IFERROR(INDEX(ENVIOS!$E$4:$E$3003,MATCH($D894,ENVIOS!$A$4:$A$3003,0)),"—"))</f>
        <v/>
      </c>
      <c r="I894" s="23">
        <f>IF($D894="","",IFERROR(INDEX(ENVIOS!$F$4:$F$3003,MATCH($D894,ENVIOS!$A$4:$A$3003,0)),"—"))</f>
        <v/>
      </c>
      <c r="J894" s="23">
        <f>IF($D894="","",IFERROR(INDEX(ENVIOS!$G$4:$G$3003,MATCH($D894,ENVIOS!$A$4:$A$3003,0)),"—"))</f>
        <v/>
      </c>
      <c r="K894" s="28">
        <f>IF($D894="","",IFERROR(INDEX(ENVIOS!$H$4:$H$3003,MATCH($D894,ENVIOS!$A$4:$A$3003,0)),"—"))</f>
        <v/>
      </c>
      <c r="L894" s="49">
        <f>IF($D894="","",IFERROR(INDEX(ENVIOS!$C$4:$C$3003,MATCH($D894,ENVIOS!$A$4:$A$3003,0)),""))</f>
        <v/>
      </c>
      <c r="M894" s="50" t="n"/>
      <c r="N894" s="28">
        <f>IF($M894="","",IFERROR(INDEX(CONFIG!$C$4:$C$63,MATCH($M894,CONFIG!$A$4:$A$63,0)),"Media"))</f>
        <v/>
      </c>
      <c r="O894" s="28">
        <f>IF($M894="","",IF($C894="Interna","NO",IFERROR(INDEX(CONFIG!$E$4:$E$63,MATCH($M894,CONFIG!$A$4:$A$63,0)),"NO")))</f>
        <v/>
      </c>
      <c r="P894" s="50" t="n"/>
      <c r="Q894" s="50" t="n"/>
      <c r="R894" s="28">
        <f>IF($Q894="","",IFERROR(INDEX(CONFIG!$H$4:$H$63,MATCH($Q894,CONFIG!$G$4:$G$63,0)),"Por definir"))</f>
        <v/>
      </c>
      <c r="S894" s="28">
        <f>IF($Q894="","",IFERROR(INDEX(CONFIG!$I$4:$I$63,MATCH($Q894,CONFIG!$G$4:$G$63,0)),"Por definir"))</f>
        <v/>
      </c>
      <c r="T894" s="51" t="n"/>
      <c r="U894" s="52" t="n"/>
      <c r="V894" s="50" t="n"/>
      <c r="W894" s="50" t="n"/>
      <c r="X894" s="49">
        <f>IF(OR($B894="",$M894=""),"",WORKDAY($B894,IFERROR(INDEX(CONFIG!$D$4:$D$63,MATCH($M894,CONFIG!$A$4:$A$63,0)),3)))</f>
        <v/>
      </c>
      <c r="Y894" s="47" t="n"/>
      <c r="Z894" s="24">
        <f>IF($B894="","",IF($Y894&lt;&gt;"",$Y894-$B894,TODAY()-$B894))</f>
        <v/>
      </c>
      <c r="AA894" s="28">
        <f>IF($B894="","",IF(IFERROR(INDEX(CONFIG!$L$4:$L$63,MATCH($V894,CONFIG!$K$4:$K$63,0)),"NO")="SÍ",IF(OR($Y894="",$X894=""),"Resuelta",IF($Y894&gt;$X894,"Resuelta tarde","Resuelta a tiempo")),IF($X894="","Sin clasificar",IF(TODAY()&gt;$X894,"Vencida",IF(TODAY()&gt;=$X894-1,"Por vencer","En plazo")))))</f>
        <v/>
      </c>
      <c r="AB894" s="50" t="n"/>
      <c r="AC894" s="50" t="n"/>
    </row>
    <row r="895" ht="16" customHeight="1">
      <c r="A895" s="28">
        <f>IF($B895="","","N-"&amp;TEXT(ROW()-3,"0000"))</f>
        <v/>
      </c>
      <c r="B895" s="47" t="n"/>
      <c r="C895" s="48" t="n"/>
      <c r="D895" s="48" t="n"/>
      <c r="E895" s="28">
        <f>IF($C895="","",IF($D895="",IF($C895="Interna","Sin guía (interna)","FALTA GUÍA"),IF(COUNTIFS(ENVIOS!$A$4:$A$3003,$D895)=0,"NO EXISTE",IF(COUNTIFS(ENVIOS!$A$4:$A$3003,$D895)&gt;1,"DUPLICADA","OK"))))</f>
        <v/>
      </c>
      <c r="F895" s="28">
        <f>IF($D895="","",IFERROR(INDEX(ENVIOS!$B$4:$B$3003,MATCH($D895,ENVIOS!$A$4:$A$3003,0)),"—"))</f>
        <v/>
      </c>
      <c r="G895" s="23">
        <f>IF($D895="","",IFERROR(INDEX(ENVIOS!$D$4:$D$3003,MATCH($D895,ENVIOS!$A$4:$A$3003,0)),"—"))</f>
        <v/>
      </c>
      <c r="H895" s="23">
        <f>IF($D895="","",IFERROR(INDEX(ENVIOS!$E$4:$E$3003,MATCH($D895,ENVIOS!$A$4:$A$3003,0)),"—"))</f>
        <v/>
      </c>
      <c r="I895" s="23">
        <f>IF($D895="","",IFERROR(INDEX(ENVIOS!$F$4:$F$3003,MATCH($D895,ENVIOS!$A$4:$A$3003,0)),"—"))</f>
        <v/>
      </c>
      <c r="J895" s="23">
        <f>IF($D895="","",IFERROR(INDEX(ENVIOS!$G$4:$G$3003,MATCH($D895,ENVIOS!$A$4:$A$3003,0)),"—"))</f>
        <v/>
      </c>
      <c r="K895" s="28">
        <f>IF($D895="","",IFERROR(INDEX(ENVIOS!$H$4:$H$3003,MATCH($D895,ENVIOS!$A$4:$A$3003,0)),"—"))</f>
        <v/>
      </c>
      <c r="L895" s="49">
        <f>IF($D895="","",IFERROR(INDEX(ENVIOS!$C$4:$C$3003,MATCH($D895,ENVIOS!$A$4:$A$3003,0)),""))</f>
        <v/>
      </c>
      <c r="M895" s="50" t="n"/>
      <c r="N895" s="28">
        <f>IF($M895="","",IFERROR(INDEX(CONFIG!$C$4:$C$63,MATCH($M895,CONFIG!$A$4:$A$63,0)),"Media"))</f>
        <v/>
      </c>
      <c r="O895" s="28">
        <f>IF($M895="","",IF($C895="Interna","NO",IFERROR(INDEX(CONFIG!$E$4:$E$63,MATCH($M895,CONFIG!$A$4:$A$63,0)),"NO")))</f>
        <v/>
      </c>
      <c r="P895" s="50" t="n"/>
      <c r="Q895" s="50" t="n"/>
      <c r="R895" s="28">
        <f>IF($Q895="","",IFERROR(INDEX(CONFIG!$H$4:$H$63,MATCH($Q895,CONFIG!$G$4:$G$63,0)),"Por definir"))</f>
        <v/>
      </c>
      <c r="S895" s="28">
        <f>IF($Q895="","",IFERROR(INDEX(CONFIG!$I$4:$I$63,MATCH($Q895,CONFIG!$G$4:$G$63,0)),"Por definir"))</f>
        <v/>
      </c>
      <c r="T895" s="51" t="n"/>
      <c r="U895" s="52" t="n"/>
      <c r="V895" s="50" t="n"/>
      <c r="W895" s="50" t="n"/>
      <c r="X895" s="49">
        <f>IF(OR($B895="",$M895=""),"",WORKDAY($B895,IFERROR(INDEX(CONFIG!$D$4:$D$63,MATCH($M895,CONFIG!$A$4:$A$63,0)),3)))</f>
        <v/>
      </c>
      <c r="Y895" s="47" t="n"/>
      <c r="Z895" s="24">
        <f>IF($B895="","",IF($Y895&lt;&gt;"",$Y895-$B895,TODAY()-$B895))</f>
        <v/>
      </c>
      <c r="AA895" s="28">
        <f>IF($B895="","",IF(IFERROR(INDEX(CONFIG!$L$4:$L$63,MATCH($V895,CONFIG!$K$4:$K$63,0)),"NO")="SÍ",IF(OR($Y895="",$X895=""),"Resuelta",IF($Y895&gt;$X895,"Resuelta tarde","Resuelta a tiempo")),IF($X895="","Sin clasificar",IF(TODAY()&gt;$X895,"Vencida",IF(TODAY()&gt;=$X895-1,"Por vencer","En plazo")))))</f>
        <v/>
      </c>
      <c r="AB895" s="50" t="n"/>
      <c r="AC895" s="50" t="n"/>
    </row>
    <row r="896" ht="16" customHeight="1">
      <c r="A896" s="28">
        <f>IF($B896="","","N-"&amp;TEXT(ROW()-3,"0000"))</f>
        <v/>
      </c>
      <c r="B896" s="47" t="n"/>
      <c r="C896" s="48" t="n"/>
      <c r="D896" s="48" t="n"/>
      <c r="E896" s="28">
        <f>IF($C896="","",IF($D896="",IF($C896="Interna","Sin guía (interna)","FALTA GUÍA"),IF(COUNTIFS(ENVIOS!$A$4:$A$3003,$D896)=0,"NO EXISTE",IF(COUNTIFS(ENVIOS!$A$4:$A$3003,$D896)&gt;1,"DUPLICADA","OK"))))</f>
        <v/>
      </c>
      <c r="F896" s="28">
        <f>IF($D896="","",IFERROR(INDEX(ENVIOS!$B$4:$B$3003,MATCH($D896,ENVIOS!$A$4:$A$3003,0)),"—"))</f>
        <v/>
      </c>
      <c r="G896" s="23">
        <f>IF($D896="","",IFERROR(INDEX(ENVIOS!$D$4:$D$3003,MATCH($D896,ENVIOS!$A$4:$A$3003,0)),"—"))</f>
        <v/>
      </c>
      <c r="H896" s="23">
        <f>IF($D896="","",IFERROR(INDEX(ENVIOS!$E$4:$E$3003,MATCH($D896,ENVIOS!$A$4:$A$3003,0)),"—"))</f>
        <v/>
      </c>
      <c r="I896" s="23">
        <f>IF($D896="","",IFERROR(INDEX(ENVIOS!$F$4:$F$3003,MATCH($D896,ENVIOS!$A$4:$A$3003,0)),"—"))</f>
        <v/>
      </c>
      <c r="J896" s="23">
        <f>IF($D896="","",IFERROR(INDEX(ENVIOS!$G$4:$G$3003,MATCH($D896,ENVIOS!$A$4:$A$3003,0)),"—"))</f>
        <v/>
      </c>
      <c r="K896" s="28">
        <f>IF($D896="","",IFERROR(INDEX(ENVIOS!$H$4:$H$3003,MATCH($D896,ENVIOS!$A$4:$A$3003,0)),"—"))</f>
        <v/>
      </c>
      <c r="L896" s="49">
        <f>IF($D896="","",IFERROR(INDEX(ENVIOS!$C$4:$C$3003,MATCH($D896,ENVIOS!$A$4:$A$3003,0)),""))</f>
        <v/>
      </c>
      <c r="M896" s="50" t="n"/>
      <c r="N896" s="28">
        <f>IF($M896="","",IFERROR(INDEX(CONFIG!$C$4:$C$63,MATCH($M896,CONFIG!$A$4:$A$63,0)),"Media"))</f>
        <v/>
      </c>
      <c r="O896" s="28">
        <f>IF($M896="","",IF($C896="Interna","NO",IFERROR(INDEX(CONFIG!$E$4:$E$63,MATCH($M896,CONFIG!$A$4:$A$63,0)),"NO")))</f>
        <v/>
      </c>
      <c r="P896" s="50" t="n"/>
      <c r="Q896" s="50" t="n"/>
      <c r="R896" s="28">
        <f>IF($Q896="","",IFERROR(INDEX(CONFIG!$H$4:$H$63,MATCH($Q896,CONFIG!$G$4:$G$63,0)),"Por definir"))</f>
        <v/>
      </c>
      <c r="S896" s="28">
        <f>IF($Q896="","",IFERROR(INDEX(CONFIG!$I$4:$I$63,MATCH($Q896,CONFIG!$G$4:$G$63,0)),"Por definir"))</f>
        <v/>
      </c>
      <c r="T896" s="51" t="n"/>
      <c r="U896" s="52" t="n"/>
      <c r="V896" s="50" t="n"/>
      <c r="W896" s="50" t="n"/>
      <c r="X896" s="49">
        <f>IF(OR($B896="",$M896=""),"",WORKDAY($B896,IFERROR(INDEX(CONFIG!$D$4:$D$63,MATCH($M896,CONFIG!$A$4:$A$63,0)),3)))</f>
        <v/>
      </c>
      <c r="Y896" s="47" t="n"/>
      <c r="Z896" s="24">
        <f>IF($B896="","",IF($Y896&lt;&gt;"",$Y896-$B896,TODAY()-$B896))</f>
        <v/>
      </c>
      <c r="AA896" s="28">
        <f>IF($B896="","",IF(IFERROR(INDEX(CONFIG!$L$4:$L$63,MATCH($V896,CONFIG!$K$4:$K$63,0)),"NO")="SÍ",IF(OR($Y896="",$X896=""),"Resuelta",IF($Y896&gt;$X896,"Resuelta tarde","Resuelta a tiempo")),IF($X896="","Sin clasificar",IF(TODAY()&gt;$X896,"Vencida",IF(TODAY()&gt;=$X896-1,"Por vencer","En plazo")))))</f>
        <v/>
      </c>
      <c r="AB896" s="50" t="n"/>
      <c r="AC896" s="50" t="n"/>
    </row>
    <row r="897" ht="16" customHeight="1">
      <c r="A897" s="28">
        <f>IF($B897="","","N-"&amp;TEXT(ROW()-3,"0000"))</f>
        <v/>
      </c>
      <c r="B897" s="47" t="n"/>
      <c r="C897" s="48" t="n"/>
      <c r="D897" s="48" t="n"/>
      <c r="E897" s="28">
        <f>IF($C897="","",IF($D897="",IF($C897="Interna","Sin guía (interna)","FALTA GUÍA"),IF(COUNTIFS(ENVIOS!$A$4:$A$3003,$D897)=0,"NO EXISTE",IF(COUNTIFS(ENVIOS!$A$4:$A$3003,$D897)&gt;1,"DUPLICADA","OK"))))</f>
        <v/>
      </c>
      <c r="F897" s="28">
        <f>IF($D897="","",IFERROR(INDEX(ENVIOS!$B$4:$B$3003,MATCH($D897,ENVIOS!$A$4:$A$3003,0)),"—"))</f>
        <v/>
      </c>
      <c r="G897" s="23">
        <f>IF($D897="","",IFERROR(INDEX(ENVIOS!$D$4:$D$3003,MATCH($D897,ENVIOS!$A$4:$A$3003,0)),"—"))</f>
        <v/>
      </c>
      <c r="H897" s="23">
        <f>IF($D897="","",IFERROR(INDEX(ENVIOS!$E$4:$E$3003,MATCH($D897,ENVIOS!$A$4:$A$3003,0)),"—"))</f>
        <v/>
      </c>
      <c r="I897" s="23">
        <f>IF($D897="","",IFERROR(INDEX(ENVIOS!$F$4:$F$3003,MATCH($D897,ENVIOS!$A$4:$A$3003,0)),"—"))</f>
        <v/>
      </c>
      <c r="J897" s="23">
        <f>IF($D897="","",IFERROR(INDEX(ENVIOS!$G$4:$G$3003,MATCH($D897,ENVIOS!$A$4:$A$3003,0)),"—"))</f>
        <v/>
      </c>
      <c r="K897" s="28">
        <f>IF($D897="","",IFERROR(INDEX(ENVIOS!$H$4:$H$3003,MATCH($D897,ENVIOS!$A$4:$A$3003,0)),"—"))</f>
        <v/>
      </c>
      <c r="L897" s="49">
        <f>IF($D897="","",IFERROR(INDEX(ENVIOS!$C$4:$C$3003,MATCH($D897,ENVIOS!$A$4:$A$3003,0)),""))</f>
        <v/>
      </c>
      <c r="M897" s="50" t="n"/>
      <c r="N897" s="28">
        <f>IF($M897="","",IFERROR(INDEX(CONFIG!$C$4:$C$63,MATCH($M897,CONFIG!$A$4:$A$63,0)),"Media"))</f>
        <v/>
      </c>
      <c r="O897" s="28">
        <f>IF($M897="","",IF($C897="Interna","NO",IFERROR(INDEX(CONFIG!$E$4:$E$63,MATCH($M897,CONFIG!$A$4:$A$63,0)),"NO")))</f>
        <v/>
      </c>
      <c r="P897" s="50" t="n"/>
      <c r="Q897" s="50" t="n"/>
      <c r="R897" s="28">
        <f>IF($Q897="","",IFERROR(INDEX(CONFIG!$H$4:$H$63,MATCH($Q897,CONFIG!$G$4:$G$63,0)),"Por definir"))</f>
        <v/>
      </c>
      <c r="S897" s="28">
        <f>IF($Q897="","",IFERROR(INDEX(CONFIG!$I$4:$I$63,MATCH($Q897,CONFIG!$G$4:$G$63,0)),"Por definir"))</f>
        <v/>
      </c>
      <c r="T897" s="51" t="n"/>
      <c r="U897" s="52" t="n"/>
      <c r="V897" s="50" t="n"/>
      <c r="W897" s="50" t="n"/>
      <c r="X897" s="49">
        <f>IF(OR($B897="",$M897=""),"",WORKDAY($B897,IFERROR(INDEX(CONFIG!$D$4:$D$63,MATCH($M897,CONFIG!$A$4:$A$63,0)),3)))</f>
        <v/>
      </c>
      <c r="Y897" s="47" t="n"/>
      <c r="Z897" s="24">
        <f>IF($B897="","",IF($Y897&lt;&gt;"",$Y897-$B897,TODAY()-$B897))</f>
        <v/>
      </c>
      <c r="AA897" s="28">
        <f>IF($B897="","",IF(IFERROR(INDEX(CONFIG!$L$4:$L$63,MATCH($V897,CONFIG!$K$4:$K$63,0)),"NO")="SÍ",IF(OR($Y897="",$X897=""),"Resuelta",IF($Y897&gt;$X897,"Resuelta tarde","Resuelta a tiempo")),IF($X897="","Sin clasificar",IF(TODAY()&gt;$X897,"Vencida",IF(TODAY()&gt;=$X897-1,"Por vencer","En plazo")))))</f>
        <v/>
      </c>
      <c r="AB897" s="50" t="n"/>
      <c r="AC897" s="50" t="n"/>
    </row>
    <row r="898" ht="16" customHeight="1">
      <c r="A898" s="28">
        <f>IF($B898="","","N-"&amp;TEXT(ROW()-3,"0000"))</f>
        <v/>
      </c>
      <c r="B898" s="47" t="n"/>
      <c r="C898" s="48" t="n"/>
      <c r="D898" s="48" t="n"/>
      <c r="E898" s="28">
        <f>IF($C898="","",IF($D898="",IF($C898="Interna","Sin guía (interna)","FALTA GUÍA"),IF(COUNTIFS(ENVIOS!$A$4:$A$3003,$D898)=0,"NO EXISTE",IF(COUNTIFS(ENVIOS!$A$4:$A$3003,$D898)&gt;1,"DUPLICADA","OK"))))</f>
        <v/>
      </c>
      <c r="F898" s="28">
        <f>IF($D898="","",IFERROR(INDEX(ENVIOS!$B$4:$B$3003,MATCH($D898,ENVIOS!$A$4:$A$3003,0)),"—"))</f>
        <v/>
      </c>
      <c r="G898" s="23">
        <f>IF($D898="","",IFERROR(INDEX(ENVIOS!$D$4:$D$3003,MATCH($D898,ENVIOS!$A$4:$A$3003,0)),"—"))</f>
        <v/>
      </c>
      <c r="H898" s="23">
        <f>IF($D898="","",IFERROR(INDEX(ENVIOS!$E$4:$E$3003,MATCH($D898,ENVIOS!$A$4:$A$3003,0)),"—"))</f>
        <v/>
      </c>
      <c r="I898" s="23">
        <f>IF($D898="","",IFERROR(INDEX(ENVIOS!$F$4:$F$3003,MATCH($D898,ENVIOS!$A$4:$A$3003,0)),"—"))</f>
        <v/>
      </c>
      <c r="J898" s="23">
        <f>IF($D898="","",IFERROR(INDEX(ENVIOS!$G$4:$G$3003,MATCH($D898,ENVIOS!$A$4:$A$3003,0)),"—"))</f>
        <v/>
      </c>
      <c r="K898" s="28">
        <f>IF($D898="","",IFERROR(INDEX(ENVIOS!$H$4:$H$3003,MATCH($D898,ENVIOS!$A$4:$A$3003,0)),"—"))</f>
        <v/>
      </c>
      <c r="L898" s="49">
        <f>IF($D898="","",IFERROR(INDEX(ENVIOS!$C$4:$C$3003,MATCH($D898,ENVIOS!$A$4:$A$3003,0)),""))</f>
        <v/>
      </c>
      <c r="M898" s="50" t="n"/>
      <c r="N898" s="28">
        <f>IF($M898="","",IFERROR(INDEX(CONFIG!$C$4:$C$63,MATCH($M898,CONFIG!$A$4:$A$63,0)),"Media"))</f>
        <v/>
      </c>
      <c r="O898" s="28">
        <f>IF($M898="","",IF($C898="Interna","NO",IFERROR(INDEX(CONFIG!$E$4:$E$63,MATCH($M898,CONFIG!$A$4:$A$63,0)),"NO")))</f>
        <v/>
      </c>
      <c r="P898" s="50" t="n"/>
      <c r="Q898" s="50" t="n"/>
      <c r="R898" s="28">
        <f>IF($Q898="","",IFERROR(INDEX(CONFIG!$H$4:$H$63,MATCH($Q898,CONFIG!$G$4:$G$63,0)),"Por definir"))</f>
        <v/>
      </c>
      <c r="S898" s="28">
        <f>IF($Q898="","",IFERROR(INDEX(CONFIG!$I$4:$I$63,MATCH($Q898,CONFIG!$G$4:$G$63,0)),"Por definir"))</f>
        <v/>
      </c>
      <c r="T898" s="51" t="n"/>
      <c r="U898" s="52" t="n"/>
      <c r="V898" s="50" t="n"/>
      <c r="W898" s="50" t="n"/>
      <c r="X898" s="49">
        <f>IF(OR($B898="",$M898=""),"",WORKDAY($B898,IFERROR(INDEX(CONFIG!$D$4:$D$63,MATCH($M898,CONFIG!$A$4:$A$63,0)),3)))</f>
        <v/>
      </c>
      <c r="Y898" s="47" t="n"/>
      <c r="Z898" s="24">
        <f>IF($B898="","",IF($Y898&lt;&gt;"",$Y898-$B898,TODAY()-$B898))</f>
        <v/>
      </c>
      <c r="AA898" s="28">
        <f>IF($B898="","",IF(IFERROR(INDEX(CONFIG!$L$4:$L$63,MATCH($V898,CONFIG!$K$4:$K$63,0)),"NO")="SÍ",IF(OR($Y898="",$X898=""),"Resuelta",IF($Y898&gt;$X898,"Resuelta tarde","Resuelta a tiempo")),IF($X898="","Sin clasificar",IF(TODAY()&gt;$X898,"Vencida",IF(TODAY()&gt;=$X898-1,"Por vencer","En plazo")))))</f>
        <v/>
      </c>
      <c r="AB898" s="50" t="n"/>
      <c r="AC898" s="50" t="n"/>
    </row>
    <row r="899" ht="16" customHeight="1">
      <c r="A899" s="28">
        <f>IF($B899="","","N-"&amp;TEXT(ROW()-3,"0000"))</f>
        <v/>
      </c>
      <c r="B899" s="47" t="n"/>
      <c r="C899" s="48" t="n"/>
      <c r="D899" s="48" t="n"/>
      <c r="E899" s="28">
        <f>IF($C899="","",IF($D899="",IF($C899="Interna","Sin guía (interna)","FALTA GUÍA"),IF(COUNTIFS(ENVIOS!$A$4:$A$3003,$D899)=0,"NO EXISTE",IF(COUNTIFS(ENVIOS!$A$4:$A$3003,$D899)&gt;1,"DUPLICADA","OK"))))</f>
        <v/>
      </c>
      <c r="F899" s="28">
        <f>IF($D899="","",IFERROR(INDEX(ENVIOS!$B$4:$B$3003,MATCH($D899,ENVIOS!$A$4:$A$3003,0)),"—"))</f>
        <v/>
      </c>
      <c r="G899" s="23">
        <f>IF($D899="","",IFERROR(INDEX(ENVIOS!$D$4:$D$3003,MATCH($D899,ENVIOS!$A$4:$A$3003,0)),"—"))</f>
        <v/>
      </c>
      <c r="H899" s="23">
        <f>IF($D899="","",IFERROR(INDEX(ENVIOS!$E$4:$E$3003,MATCH($D899,ENVIOS!$A$4:$A$3003,0)),"—"))</f>
        <v/>
      </c>
      <c r="I899" s="23">
        <f>IF($D899="","",IFERROR(INDEX(ENVIOS!$F$4:$F$3003,MATCH($D899,ENVIOS!$A$4:$A$3003,0)),"—"))</f>
        <v/>
      </c>
      <c r="J899" s="23">
        <f>IF($D899="","",IFERROR(INDEX(ENVIOS!$G$4:$G$3003,MATCH($D899,ENVIOS!$A$4:$A$3003,0)),"—"))</f>
        <v/>
      </c>
      <c r="K899" s="28">
        <f>IF($D899="","",IFERROR(INDEX(ENVIOS!$H$4:$H$3003,MATCH($D899,ENVIOS!$A$4:$A$3003,0)),"—"))</f>
        <v/>
      </c>
      <c r="L899" s="49">
        <f>IF($D899="","",IFERROR(INDEX(ENVIOS!$C$4:$C$3003,MATCH($D899,ENVIOS!$A$4:$A$3003,0)),""))</f>
        <v/>
      </c>
      <c r="M899" s="50" t="n"/>
      <c r="N899" s="28">
        <f>IF($M899="","",IFERROR(INDEX(CONFIG!$C$4:$C$63,MATCH($M899,CONFIG!$A$4:$A$63,0)),"Media"))</f>
        <v/>
      </c>
      <c r="O899" s="28">
        <f>IF($M899="","",IF($C899="Interna","NO",IFERROR(INDEX(CONFIG!$E$4:$E$63,MATCH($M899,CONFIG!$A$4:$A$63,0)),"NO")))</f>
        <v/>
      </c>
      <c r="P899" s="50" t="n"/>
      <c r="Q899" s="50" t="n"/>
      <c r="R899" s="28">
        <f>IF($Q899="","",IFERROR(INDEX(CONFIG!$H$4:$H$63,MATCH($Q899,CONFIG!$G$4:$G$63,0)),"Por definir"))</f>
        <v/>
      </c>
      <c r="S899" s="28">
        <f>IF($Q899="","",IFERROR(INDEX(CONFIG!$I$4:$I$63,MATCH($Q899,CONFIG!$G$4:$G$63,0)),"Por definir"))</f>
        <v/>
      </c>
      <c r="T899" s="51" t="n"/>
      <c r="U899" s="52" t="n"/>
      <c r="V899" s="50" t="n"/>
      <c r="W899" s="50" t="n"/>
      <c r="X899" s="49">
        <f>IF(OR($B899="",$M899=""),"",WORKDAY($B899,IFERROR(INDEX(CONFIG!$D$4:$D$63,MATCH($M899,CONFIG!$A$4:$A$63,0)),3)))</f>
        <v/>
      </c>
      <c r="Y899" s="47" t="n"/>
      <c r="Z899" s="24">
        <f>IF($B899="","",IF($Y899&lt;&gt;"",$Y899-$B899,TODAY()-$B899))</f>
        <v/>
      </c>
      <c r="AA899" s="28">
        <f>IF($B899="","",IF(IFERROR(INDEX(CONFIG!$L$4:$L$63,MATCH($V899,CONFIG!$K$4:$K$63,0)),"NO")="SÍ",IF(OR($Y899="",$X899=""),"Resuelta",IF($Y899&gt;$X899,"Resuelta tarde","Resuelta a tiempo")),IF($X899="","Sin clasificar",IF(TODAY()&gt;$X899,"Vencida",IF(TODAY()&gt;=$X899-1,"Por vencer","En plazo")))))</f>
        <v/>
      </c>
      <c r="AB899" s="50" t="n"/>
      <c r="AC899" s="50" t="n"/>
    </row>
    <row r="900" ht="16" customHeight="1">
      <c r="A900" s="28">
        <f>IF($B900="","","N-"&amp;TEXT(ROW()-3,"0000"))</f>
        <v/>
      </c>
      <c r="B900" s="47" t="n"/>
      <c r="C900" s="48" t="n"/>
      <c r="D900" s="48" t="n"/>
      <c r="E900" s="28">
        <f>IF($C900="","",IF($D900="",IF($C900="Interna","Sin guía (interna)","FALTA GUÍA"),IF(COUNTIFS(ENVIOS!$A$4:$A$3003,$D900)=0,"NO EXISTE",IF(COUNTIFS(ENVIOS!$A$4:$A$3003,$D900)&gt;1,"DUPLICADA","OK"))))</f>
        <v/>
      </c>
      <c r="F900" s="28">
        <f>IF($D900="","",IFERROR(INDEX(ENVIOS!$B$4:$B$3003,MATCH($D900,ENVIOS!$A$4:$A$3003,0)),"—"))</f>
        <v/>
      </c>
      <c r="G900" s="23">
        <f>IF($D900="","",IFERROR(INDEX(ENVIOS!$D$4:$D$3003,MATCH($D900,ENVIOS!$A$4:$A$3003,0)),"—"))</f>
        <v/>
      </c>
      <c r="H900" s="23">
        <f>IF($D900="","",IFERROR(INDEX(ENVIOS!$E$4:$E$3003,MATCH($D900,ENVIOS!$A$4:$A$3003,0)),"—"))</f>
        <v/>
      </c>
      <c r="I900" s="23">
        <f>IF($D900="","",IFERROR(INDEX(ENVIOS!$F$4:$F$3003,MATCH($D900,ENVIOS!$A$4:$A$3003,0)),"—"))</f>
        <v/>
      </c>
      <c r="J900" s="23">
        <f>IF($D900="","",IFERROR(INDEX(ENVIOS!$G$4:$G$3003,MATCH($D900,ENVIOS!$A$4:$A$3003,0)),"—"))</f>
        <v/>
      </c>
      <c r="K900" s="28">
        <f>IF($D900="","",IFERROR(INDEX(ENVIOS!$H$4:$H$3003,MATCH($D900,ENVIOS!$A$4:$A$3003,0)),"—"))</f>
        <v/>
      </c>
      <c r="L900" s="49">
        <f>IF($D900="","",IFERROR(INDEX(ENVIOS!$C$4:$C$3003,MATCH($D900,ENVIOS!$A$4:$A$3003,0)),""))</f>
        <v/>
      </c>
      <c r="M900" s="50" t="n"/>
      <c r="N900" s="28">
        <f>IF($M900="","",IFERROR(INDEX(CONFIG!$C$4:$C$63,MATCH($M900,CONFIG!$A$4:$A$63,0)),"Media"))</f>
        <v/>
      </c>
      <c r="O900" s="28">
        <f>IF($M900="","",IF($C900="Interna","NO",IFERROR(INDEX(CONFIG!$E$4:$E$63,MATCH($M900,CONFIG!$A$4:$A$63,0)),"NO")))</f>
        <v/>
      </c>
      <c r="P900" s="50" t="n"/>
      <c r="Q900" s="50" t="n"/>
      <c r="R900" s="28">
        <f>IF($Q900="","",IFERROR(INDEX(CONFIG!$H$4:$H$63,MATCH($Q900,CONFIG!$G$4:$G$63,0)),"Por definir"))</f>
        <v/>
      </c>
      <c r="S900" s="28">
        <f>IF($Q900="","",IFERROR(INDEX(CONFIG!$I$4:$I$63,MATCH($Q900,CONFIG!$G$4:$G$63,0)),"Por definir"))</f>
        <v/>
      </c>
      <c r="T900" s="51" t="n"/>
      <c r="U900" s="52" t="n"/>
      <c r="V900" s="50" t="n"/>
      <c r="W900" s="50" t="n"/>
      <c r="X900" s="49">
        <f>IF(OR($B900="",$M900=""),"",WORKDAY($B900,IFERROR(INDEX(CONFIG!$D$4:$D$63,MATCH($M900,CONFIG!$A$4:$A$63,0)),3)))</f>
        <v/>
      </c>
      <c r="Y900" s="47" t="n"/>
      <c r="Z900" s="24">
        <f>IF($B900="","",IF($Y900&lt;&gt;"",$Y900-$B900,TODAY()-$B900))</f>
        <v/>
      </c>
      <c r="AA900" s="28">
        <f>IF($B900="","",IF(IFERROR(INDEX(CONFIG!$L$4:$L$63,MATCH($V900,CONFIG!$K$4:$K$63,0)),"NO")="SÍ",IF(OR($Y900="",$X900=""),"Resuelta",IF($Y900&gt;$X900,"Resuelta tarde","Resuelta a tiempo")),IF($X900="","Sin clasificar",IF(TODAY()&gt;$X900,"Vencida",IF(TODAY()&gt;=$X900-1,"Por vencer","En plazo")))))</f>
        <v/>
      </c>
      <c r="AB900" s="50" t="n"/>
      <c r="AC900" s="50" t="n"/>
    </row>
    <row r="901" ht="16" customHeight="1">
      <c r="A901" s="28">
        <f>IF($B901="","","N-"&amp;TEXT(ROW()-3,"0000"))</f>
        <v/>
      </c>
      <c r="B901" s="47" t="n"/>
      <c r="C901" s="48" t="n"/>
      <c r="D901" s="48" t="n"/>
      <c r="E901" s="28">
        <f>IF($C901="","",IF($D901="",IF($C901="Interna","Sin guía (interna)","FALTA GUÍA"),IF(COUNTIFS(ENVIOS!$A$4:$A$3003,$D901)=0,"NO EXISTE",IF(COUNTIFS(ENVIOS!$A$4:$A$3003,$D901)&gt;1,"DUPLICADA","OK"))))</f>
        <v/>
      </c>
      <c r="F901" s="28">
        <f>IF($D901="","",IFERROR(INDEX(ENVIOS!$B$4:$B$3003,MATCH($D901,ENVIOS!$A$4:$A$3003,0)),"—"))</f>
        <v/>
      </c>
      <c r="G901" s="23">
        <f>IF($D901="","",IFERROR(INDEX(ENVIOS!$D$4:$D$3003,MATCH($D901,ENVIOS!$A$4:$A$3003,0)),"—"))</f>
        <v/>
      </c>
      <c r="H901" s="23">
        <f>IF($D901="","",IFERROR(INDEX(ENVIOS!$E$4:$E$3003,MATCH($D901,ENVIOS!$A$4:$A$3003,0)),"—"))</f>
        <v/>
      </c>
      <c r="I901" s="23">
        <f>IF($D901="","",IFERROR(INDEX(ENVIOS!$F$4:$F$3003,MATCH($D901,ENVIOS!$A$4:$A$3003,0)),"—"))</f>
        <v/>
      </c>
      <c r="J901" s="23">
        <f>IF($D901="","",IFERROR(INDEX(ENVIOS!$G$4:$G$3003,MATCH($D901,ENVIOS!$A$4:$A$3003,0)),"—"))</f>
        <v/>
      </c>
      <c r="K901" s="28">
        <f>IF($D901="","",IFERROR(INDEX(ENVIOS!$H$4:$H$3003,MATCH($D901,ENVIOS!$A$4:$A$3003,0)),"—"))</f>
        <v/>
      </c>
      <c r="L901" s="49">
        <f>IF($D901="","",IFERROR(INDEX(ENVIOS!$C$4:$C$3003,MATCH($D901,ENVIOS!$A$4:$A$3003,0)),""))</f>
        <v/>
      </c>
      <c r="M901" s="50" t="n"/>
      <c r="N901" s="28">
        <f>IF($M901="","",IFERROR(INDEX(CONFIG!$C$4:$C$63,MATCH($M901,CONFIG!$A$4:$A$63,0)),"Media"))</f>
        <v/>
      </c>
      <c r="O901" s="28">
        <f>IF($M901="","",IF($C901="Interna","NO",IFERROR(INDEX(CONFIG!$E$4:$E$63,MATCH($M901,CONFIG!$A$4:$A$63,0)),"NO")))</f>
        <v/>
      </c>
      <c r="P901" s="50" t="n"/>
      <c r="Q901" s="50" t="n"/>
      <c r="R901" s="28">
        <f>IF($Q901="","",IFERROR(INDEX(CONFIG!$H$4:$H$63,MATCH($Q901,CONFIG!$G$4:$G$63,0)),"Por definir"))</f>
        <v/>
      </c>
      <c r="S901" s="28">
        <f>IF($Q901="","",IFERROR(INDEX(CONFIG!$I$4:$I$63,MATCH($Q901,CONFIG!$G$4:$G$63,0)),"Por definir"))</f>
        <v/>
      </c>
      <c r="T901" s="51" t="n"/>
      <c r="U901" s="52" t="n"/>
      <c r="V901" s="50" t="n"/>
      <c r="W901" s="50" t="n"/>
      <c r="X901" s="49">
        <f>IF(OR($B901="",$M901=""),"",WORKDAY($B901,IFERROR(INDEX(CONFIG!$D$4:$D$63,MATCH($M901,CONFIG!$A$4:$A$63,0)),3)))</f>
        <v/>
      </c>
      <c r="Y901" s="47" t="n"/>
      <c r="Z901" s="24">
        <f>IF($B901="","",IF($Y901&lt;&gt;"",$Y901-$B901,TODAY()-$B901))</f>
        <v/>
      </c>
      <c r="AA901" s="28">
        <f>IF($B901="","",IF(IFERROR(INDEX(CONFIG!$L$4:$L$63,MATCH($V901,CONFIG!$K$4:$K$63,0)),"NO")="SÍ",IF(OR($Y901="",$X901=""),"Resuelta",IF($Y901&gt;$X901,"Resuelta tarde","Resuelta a tiempo")),IF($X901="","Sin clasificar",IF(TODAY()&gt;$X901,"Vencida",IF(TODAY()&gt;=$X901-1,"Por vencer","En plazo")))))</f>
        <v/>
      </c>
      <c r="AB901" s="50" t="n"/>
      <c r="AC901" s="50" t="n"/>
    </row>
    <row r="902" ht="16" customHeight="1">
      <c r="A902" s="28">
        <f>IF($B902="","","N-"&amp;TEXT(ROW()-3,"0000"))</f>
        <v/>
      </c>
      <c r="B902" s="47" t="n"/>
      <c r="C902" s="48" t="n"/>
      <c r="D902" s="48" t="n"/>
      <c r="E902" s="28">
        <f>IF($C902="","",IF($D902="",IF($C902="Interna","Sin guía (interna)","FALTA GUÍA"),IF(COUNTIFS(ENVIOS!$A$4:$A$3003,$D902)=0,"NO EXISTE",IF(COUNTIFS(ENVIOS!$A$4:$A$3003,$D902)&gt;1,"DUPLICADA","OK"))))</f>
        <v/>
      </c>
      <c r="F902" s="28">
        <f>IF($D902="","",IFERROR(INDEX(ENVIOS!$B$4:$B$3003,MATCH($D902,ENVIOS!$A$4:$A$3003,0)),"—"))</f>
        <v/>
      </c>
      <c r="G902" s="23">
        <f>IF($D902="","",IFERROR(INDEX(ENVIOS!$D$4:$D$3003,MATCH($D902,ENVIOS!$A$4:$A$3003,0)),"—"))</f>
        <v/>
      </c>
      <c r="H902" s="23">
        <f>IF($D902="","",IFERROR(INDEX(ENVIOS!$E$4:$E$3003,MATCH($D902,ENVIOS!$A$4:$A$3003,0)),"—"))</f>
        <v/>
      </c>
      <c r="I902" s="23">
        <f>IF($D902="","",IFERROR(INDEX(ENVIOS!$F$4:$F$3003,MATCH($D902,ENVIOS!$A$4:$A$3003,0)),"—"))</f>
        <v/>
      </c>
      <c r="J902" s="23">
        <f>IF($D902="","",IFERROR(INDEX(ENVIOS!$G$4:$G$3003,MATCH($D902,ENVIOS!$A$4:$A$3003,0)),"—"))</f>
        <v/>
      </c>
      <c r="K902" s="28">
        <f>IF($D902="","",IFERROR(INDEX(ENVIOS!$H$4:$H$3003,MATCH($D902,ENVIOS!$A$4:$A$3003,0)),"—"))</f>
        <v/>
      </c>
      <c r="L902" s="49">
        <f>IF($D902="","",IFERROR(INDEX(ENVIOS!$C$4:$C$3003,MATCH($D902,ENVIOS!$A$4:$A$3003,0)),""))</f>
        <v/>
      </c>
      <c r="M902" s="50" t="n"/>
      <c r="N902" s="28">
        <f>IF($M902="","",IFERROR(INDEX(CONFIG!$C$4:$C$63,MATCH($M902,CONFIG!$A$4:$A$63,0)),"Media"))</f>
        <v/>
      </c>
      <c r="O902" s="28">
        <f>IF($M902="","",IF($C902="Interna","NO",IFERROR(INDEX(CONFIG!$E$4:$E$63,MATCH($M902,CONFIG!$A$4:$A$63,0)),"NO")))</f>
        <v/>
      </c>
      <c r="P902" s="50" t="n"/>
      <c r="Q902" s="50" t="n"/>
      <c r="R902" s="28">
        <f>IF($Q902="","",IFERROR(INDEX(CONFIG!$H$4:$H$63,MATCH($Q902,CONFIG!$G$4:$G$63,0)),"Por definir"))</f>
        <v/>
      </c>
      <c r="S902" s="28">
        <f>IF($Q902="","",IFERROR(INDEX(CONFIG!$I$4:$I$63,MATCH($Q902,CONFIG!$G$4:$G$63,0)),"Por definir"))</f>
        <v/>
      </c>
      <c r="T902" s="51" t="n"/>
      <c r="U902" s="52" t="n"/>
      <c r="V902" s="50" t="n"/>
      <c r="W902" s="50" t="n"/>
      <c r="X902" s="49">
        <f>IF(OR($B902="",$M902=""),"",WORKDAY($B902,IFERROR(INDEX(CONFIG!$D$4:$D$63,MATCH($M902,CONFIG!$A$4:$A$63,0)),3)))</f>
        <v/>
      </c>
      <c r="Y902" s="47" t="n"/>
      <c r="Z902" s="24">
        <f>IF($B902="","",IF($Y902&lt;&gt;"",$Y902-$B902,TODAY()-$B902))</f>
        <v/>
      </c>
      <c r="AA902" s="28">
        <f>IF($B902="","",IF(IFERROR(INDEX(CONFIG!$L$4:$L$63,MATCH($V902,CONFIG!$K$4:$K$63,0)),"NO")="SÍ",IF(OR($Y902="",$X902=""),"Resuelta",IF($Y902&gt;$X902,"Resuelta tarde","Resuelta a tiempo")),IF($X902="","Sin clasificar",IF(TODAY()&gt;$X902,"Vencida",IF(TODAY()&gt;=$X902-1,"Por vencer","En plazo")))))</f>
        <v/>
      </c>
      <c r="AB902" s="50" t="n"/>
      <c r="AC902" s="50" t="n"/>
    </row>
    <row r="903" ht="16" customHeight="1">
      <c r="A903" s="28">
        <f>IF($B903="","","N-"&amp;TEXT(ROW()-3,"0000"))</f>
        <v/>
      </c>
      <c r="B903" s="47" t="n"/>
      <c r="C903" s="48" t="n"/>
      <c r="D903" s="48" t="n"/>
      <c r="E903" s="28">
        <f>IF($C903="","",IF($D903="",IF($C903="Interna","Sin guía (interna)","FALTA GUÍA"),IF(COUNTIFS(ENVIOS!$A$4:$A$3003,$D903)=0,"NO EXISTE",IF(COUNTIFS(ENVIOS!$A$4:$A$3003,$D903)&gt;1,"DUPLICADA","OK"))))</f>
        <v/>
      </c>
      <c r="F903" s="28">
        <f>IF($D903="","",IFERROR(INDEX(ENVIOS!$B$4:$B$3003,MATCH($D903,ENVIOS!$A$4:$A$3003,0)),"—"))</f>
        <v/>
      </c>
      <c r="G903" s="23">
        <f>IF($D903="","",IFERROR(INDEX(ENVIOS!$D$4:$D$3003,MATCH($D903,ENVIOS!$A$4:$A$3003,0)),"—"))</f>
        <v/>
      </c>
      <c r="H903" s="23">
        <f>IF($D903="","",IFERROR(INDEX(ENVIOS!$E$4:$E$3003,MATCH($D903,ENVIOS!$A$4:$A$3003,0)),"—"))</f>
        <v/>
      </c>
      <c r="I903" s="23">
        <f>IF($D903="","",IFERROR(INDEX(ENVIOS!$F$4:$F$3003,MATCH($D903,ENVIOS!$A$4:$A$3003,0)),"—"))</f>
        <v/>
      </c>
      <c r="J903" s="23">
        <f>IF($D903="","",IFERROR(INDEX(ENVIOS!$G$4:$G$3003,MATCH($D903,ENVIOS!$A$4:$A$3003,0)),"—"))</f>
        <v/>
      </c>
      <c r="K903" s="28">
        <f>IF($D903="","",IFERROR(INDEX(ENVIOS!$H$4:$H$3003,MATCH($D903,ENVIOS!$A$4:$A$3003,0)),"—"))</f>
        <v/>
      </c>
      <c r="L903" s="49">
        <f>IF($D903="","",IFERROR(INDEX(ENVIOS!$C$4:$C$3003,MATCH($D903,ENVIOS!$A$4:$A$3003,0)),""))</f>
        <v/>
      </c>
      <c r="M903" s="50" t="n"/>
      <c r="N903" s="28">
        <f>IF($M903="","",IFERROR(INDEX(CONFIG!$C$4:$C$63,MATCH($M903,CONFIG!$A$4:$A$63,0)),"Media"))</f>
        <v/>
      </c>
      <c r="O903" s="28">
        <f>IF($M903="","",IF($C903="Interna","NO",IFERROR(INDEX(CONFIG!$E$4:$E$63,MATCH($M903,CONFIG!$A$4:$A$63,0)),"NO")))</f>
        <v/>
      </c>
      <c r="P903" s="50" t="n"/>
      <c r="Q903" s="50" t="n"/>
      <c r="R903" s="28">
        <f>IF($Q903="","",IFERROR(INDEX(CONFIG!$H$4:$H$63,MATCH($Q903,CONFIG!$G$4:$G$63,0)),"Por definir"))</f>
        <v/>
      </c>
      <c r="S903" s="28">
        <f>IF($Q903="","",IFERROR(INDEX(CONFIG!$I$4:$I$63,MATCH($Q903,CONFIG!$G$4:$G$63,0)),"Por definir"))</f>
        <v/>
      </c>
      <c r="T903" s="51" t="n"/>
      <c r="U903" s="52" t="n"/>
      <c r="V903" s="50" t="n"/>
      <c r="W903" s="50" t="n"/>
      <c r="X903" s="49">
        <f>IF(OR($B903="",$M903=""),"",WORKDAY($B903,IFERROR(INDEX(CONFIG!$D$4:$D$63,MATCH($M903,CONFIG!$A$4:$A$63,0)),3)))</f>
        <v/>
      </c>
      <c r="Y903" s="47" t="n"/>
      <c r="Z903" s="24">
        <f>IF($B903="","",IF($Y903&lt;&gt;"",$Y903-$B903,TODAY()-$B903))</f>
        <v/>
      </c>
      <c r="AA903" s="28">
        <f>IF($B903="","",IF(IFERROR(INDEX(CONFIG!$L$4:$L$63,MATCH($V903,CONFIG!$K$4:$K$63,0)),"NO")="SÍ",IF(OR($Y903="",$X903=""),"Resuelta",IF($Y903&gt;$X903,"Resuelta tarde","Resuelta a tiempo")),IF($X903="","Sin clasificar",IF(TODAY()&gt;$X903,"Vencida",IF(TODAY()&gt;=$X903-1,"Por vencer","En plazo")))))</f>
        <v/>
      </c>
      <c r="AB903" s="50" t="n"/>
      <c r="AC903" s="50" t="n"/>
    </row>
    <row r="904" ht="16" customHeight="1">
      <c r="A904" s="28">
        <f>IF($B904="","","N-"&amp;TEXT(ROW()-3,"0000"))</f>
        <v/>
      </c>
      <c r="B904" s="47" t="n"/>
      <c r="C904" s="48" t="n"/>
      <c r="D904" s="48" t="n"/>
      <c r="E904" s="28">
        <f>IF($C904="","",IF($D904="",IF($C904="Interna","Sin guía (interna)","FALTA GUÍA"),IF(COUNTIFS(ENVIOS!$A$4:$A$3003,$D904)=0,"NO EXISTE",IF(COUNTIFS(ENVIOS!$A$4:$A$3003,$D904)&gt;1,"DUPLICADA","OK"))))</f>
        <v/>
      </c>
      <c r="F904" s="28">
        <f>IF($D904="","",IFERROR(INDEX(ENVIOS!$B$4:$B$3003,MATCH($D904,ENVIOS!$A$4:$A$3003,0)),"—"))</f>
        <v/>
      </c>
      <c r="G904" s="23">
        <f>IF($D904="","",IFERROR(INDEX(ENVIOS!$D$4:$D$3003,MATCH($D904,ENVIOS!$A$4:$A$3003,0)),"—"))</f>
        <v/>
      </c>
      <c r="H904" s="23">
        <f>IF($D904="","",IFERROR(INDEX(ENVIOS!$E$4:$E$3003,MATCH($D904,ENVIOS!$A$4:$A$3003,0)),"—"))</f>
        <v/>
      </c>
      <c r="I904" s="23">
        <f>IF($D904="","",IFERROR(INDEX(ENVIOS!$F$4:$F$3003,MATCH($D904,ENVIOS!$A$4:$A$3003,0)),"—"))</f>
        <v/>
      </c>
      <c r="J904" s="23">
        <f>IF($D904="","",IFERROR(INDEX(ENVIOS!$G$4:$G$3003,MATCH($D904,ENVIOS!$A$4:$A$3003,0)),"—"))</f>
        <v/>
      </c>
      <c r="K904" s="28">
        <f>IF($D904="","",IFERROR(INDEX(ENVIOS!$H$4:$H$3003,MATCH($D904,ENVIOS!$A$4:$A$3003,0)),"—"))</f>
        <v/>
      </c>
      <c r="L904" s="49">
        <f>IF($D904="","",IFERROR(INDEX(ENVIOS!$C$4:$C$3003,MATCH($D904,ENVIOS!$A$4:$A$3003,0)),""))</f>
        <v/>
      </c>
      <c r="M904" s="50" t="n"/>
      <c r="N904" s="28">
        <f>IF($M904="","",IFERROR(INDEX(CONFIG!$C$4:$C$63,MATCH($M904,CONFIG!$A$4:$A$63,0)),"Media"))</f>
        <v/>
      </c>
      <c r="O904" s="28">
        <f>IF($M904="","",IF($C904="Interna","NO",IFERROR(INDEX(CONFIG!$E$4:$E$63,MATCH($M904,CONFIG!$A$4:$A$63,0)),"NO")))</f>
        <v/>
      </c>
      <c r="P904" s="50" t="n"/>
      <c r="Q904" s="50" t="n"/>
      <c r="R904" s="28">
        <f>IF($Q904="","",IFERROR(INDEX(CONFIG!$H$4:$H$63,MATCH($Q904,CONFIG!$G$4:$G$63,0)),"Por definir"))</f>
        <v/>
      </c>
      <c r="S904" s="28">
        <f>IF($Q904="","",IFERROR(INDEX(CONFIG!$I$4:$I$63,MATCH($Q904,CONFIG!$G$4:$G$63,0)),"Por definir"))</f>
        <v/>
      </c>
      <c r="T904" s="51" t="n"/>
      <c r="U904" s="52" t="n"/>
      <c r="V904" s="50" t="n"/>
      <c r="W904" s="50" t="n"/>
      <c r="X904" s="49">
        <f>IF(OR($B904="",$M904=""),"",WORKDAY($B904,IFERROR(INDEX(CONFIG!$D$4:$D$63,MATCH($M904,CONFIG!$A$4:$A$63,0)),3)))</f>
        <v/>
      </c>
      <c r="Y904" s="47" t="n"/>
      <c r="Z904" s="24">
        <f>IF($B904="","",IF($Y904&lt;&gt;"",$Y904-$B904,TODAY()-$B904))</f>
        <v/>
      </c>
      <c r="AA904" s="28">
        <f>IF($B904="","",IF(IFERROR(INDEX(CONFIG!$L$4:$L$63,MATCH($V904,CONFIG!$K$4:$K$63,0)),"NO")="SÍ",IF(OR($Y904="",$X904=""),"Resuelta",IF($Y904&gt;$X904,"Resuelta tarde","Resuelta a tiempo")),IF($X904="","Sin clasificar",IF(TODAY()&gt;$X904,"Vencida",IF(TODAY()&gt;=$X904-1,"Por vencer","En plazo")))))</f>
        <v/>
      </c>
      <c r="AB904" s="50" t="n"/>
      <c r="AC904" s="50" t="n"/>
    </row>
    <row r="905" ht="16" customHeight="1">
      <c r="A905" s="28">
        <f>IF($B905="","","N-"&amp;TEXT(ROW()-3,"0000"))</f>
        <v/>
      </c>
      <c r="B905" s="47" t="n"/>
      <c r="C905" s="48" t="n"/>
      <c r="D905" s="48" t="n"/>
      <c r="E905" s="28">
        <f>IF($C905="","",IF($D905="",IF($C905="Interna","Sin guía (interna)","FALTA GUÍA"),IF(COUNTIFS(ENVIOS!$A$4:$A$3003,$D905)=0,"NO EXISTE",IF(COUNTIFS(ENVIOS!$A$4:$A$3003,$D905)&gt;1,"DUPLICADA","OK"))))</f>
        <v/>
      </c>
      <c r="F905" s="28">
        <f>IF($D905="","",IFERROR(INDEX(ENVIOS!$B$4:$B$3003,MATCH($D905,ENVIOS!$A$4:$A$3003,0)),"—"))</f>
        <v/>
      </c>
      <c r="G905" s="23">
        <f>IF($D905="","",IFERROR(INDEX(ENVIOS!$D$4:$D$3003,MATCH($D905,ENVIOS!$A$4:$A$3003,0)),"—"))</f>
        <v/>
      </c>
      <c r="H905" s="23">
        <f>IF($D905="","",IFERROR(INDEX(ENVIOS!$E$4:$E$3003,MATCH($D905,ENVIOS!$A$4:$A$3003,0)),"—"))</f>
        <v/>
      </c>
      <c r="I905" s="23">
        <f>IF($D905="","",IFERROR(INDEX(ENVIOS!$F$4:$F$3003,MATCH($D905,ENVIOS!$A$4:$A$3003,0)),"—"))</f>
        <v/>
      </c>
      <c r="J905" s="23">
        <f>IF($D905="","",IFERROR(INDEX(ENVIOS!$G$4:$G$3003,MATCH($D905,ENVIOS!$A$4:$A$3003,0)),"—"))</f>
        <v/>
      </c>
      <c r="K905" s="28">
        <f>IF($D905="","",IFERROR(INDEX(ENVIOS!$H$4:$H$3003,MATCH($D905,ENVIOS!$A$4:$A$3003,0)),"—"))</f>
        <v/>
      </c>
      <c r="L905" s="49">
        <f>IF($D905="","",IFERROR(INDEX(ENVIOS!$C$4:$C$3003,MATCH($D905,ENVIOS!$A$4:$A$3003,0)),""))</f>
        <v/>
      </c>
      <c r="M905" s="50" t="n"/>
      <c r="N905" s="28">
        <f>IF($M905="","",IFERROR(INDEX(CONFIG!$C$4:$C$63,MATCH($M905,CONFIG!$A$4:$A$63,0)),"Media"))</f>
        <v/>
      </c>
      <c r="O905" s="28">
        <f>IF($M905="","",IF($C905="Interna","NO",IFERROR(INDEX(CONFIG!$E$4:$E$63,MATCH($M905,CONFIG!$A$4:$A$63,0)),"NO")))</f>
        <v/>
      </c>
      <c r="P905" s="50" t="n"/>
      <c r="Q905" s="50" t="n"/>
      <c r="R905" s="28">
        <f>IF($Q905="","",IFERROR(INDEX(CONFIG!$H$4:$H$63,MATCH($Q905,CONFIG!$G$4:$G$63,0)),"Por definir"))</f>
        <v/>
      </c>
      <c r="S905" s="28">
        <f>IF($Q905="","",IFERROR(INDEX(CONFIG!$I$4:$I$63,MATCH($Q905,CONFIG!$G$4:$G$63,0)),"Por definir"))</f>
        <v/>
      </c>
      <c r="T905" s="51" t="n"/>
      <c r="U905" s="52" t="n"/>
      <c r="V905" s="50" t="n"/>
      <c r="W905" s="50" t="n"/>
      <c r="X905" s="49">
        <f>IF(OR($B905="",$M905=""),"",WORKDAY($B905,IFERROR(INDEX(CONFIG!$D$4:$D$63,MATCH($M905,CONFIG!$A$4:$A$63,0)),3)))</f>
        <v/>
      </c>
      <c r="Y905" s="47" t="n"/>
      <c r="Z905" s="24">
        <f>IF($B905="","",IF($Y905&lt;&gt;"",$Y905-$B905,TODAY()-$B905))</f>
        <v/>
      </c>
      <c r="AA905" s="28">
        <f>IF($B905="","",IF(IFERROR(INDEX(CONFIG!$L$4:$L$63,MATCH($V905,CONFIG!$K$4:$K$63,0)),"NO")="SÍ",IF(OR($Y905="",$X905=""),"Resuelta",IF($Y905&gt;$X905,"Resuelta tarde","Resuelta a tiempo")),IF($X905="","Sin clasificar",IF(TODAY()&gt;$X905,"Vencida",IF(TODAY()&gt;=$X905-1,"Por vencer","En plazo")))))</f>
        <v/>
      </c>
      <c r="AB905" s="50" t="n"/>
      <c r="AC905" s="50" t="n"/>
    </row>
    <row r="906" ht="16" customHeight="1">
      <c r="A906" s="28">
        <f>IF($B906="","","N-"&amp;TEXT(ROW()-3,"0000"))</f>
        <v/>
      </c>
      <c r="B906" s="47" t="n"/>
      <c r="C906" s="48" t="n"/>
      <c r="D906" s="48" t="n"/>
      <c r="E906" s="28">
        <f>IF($C906="","",IF($D906="",IF($C906="Interna","Sin guía (interna)","FALTA GUÍA"),IF(COUNTIFS(ENVIOS!$A$4:$A$3003,$D906)=0,"NO EXISTE",IF(COUNTIFS(ENVIOS!$A$4:$A$3003,$D906)&gt;1,"DUPLICADA","OK"))))</f>
        <v/>
      </c>
      <c r="F906" s="28">
        <f>IF($D906="","",IFERROR(INDEX(ENVIOS!$B$4:$B$3003,MATCH($D906,ENVIOS!$A$4:$A$3003,0)),"—"))</f>
        <v/>
      </c>
      <c r="G906" s="23">
        <f>IF($D906="","",IFERROR(INDEX(ENVIOS!$D$4:$D$3003,MATCH($D906,ENVIOS!$A$4:$A$3003,0)),"—"))</f>
        <v/>
      </c>
      <c r="H906" s="23">
        <f>IF($D906="","",IFERROR(INDEX(ENVIOS!$E$4:$E$3003,MATCH($D906,ENVIOS!$A$4:$A$3003,0)),"—"))</f>
        <v/>
      </c>
      <c r="I906" s="23">
        <f>IF($D906="","",IFERROR(INDEX(ENVIOS!$F$4:$F$3003,MATCH($D906,ENVIOS!$A$4:$A$3003,0)),"—"))</f>
        <v/>
      </c>
      <c r="J906" s="23">
        <f>IF($D906="","",IFERROR(INDEX(ENVIOS!$G$4:$G$3003,MATCH($D906,ENVIOS!$A$4:$A$3003,0)),"—"))</f>
        <v/>
      </c>
      <c r="K906" s="28">
        <f>IF($D906="","",IFERROR(INDEX(ENVIOS!$H$4:$H$3003,MATCH($D906,ENVIOS!$A$4:$A$3003,0)),"—"))</f>
        <v/>
      </c>
      <c r="L906" s="49">
        <f>IF($D906="","",IFERROR(INDEX(ENVIOS!$C$4:$C$3003,MATCH($D906,ENVIOS!$A$4:$A$3003,0)),""))</f>
        <v/>
      </c>
      <c r="M906" s="50" t="n"/>
      <c r="N906" s="28">
        <f>IF($M906="","",IFERROR(INDEX(CONFIG!$C$4:$C$63,MATCH($M906,CONFIG!$A$4:$A$63,0)),"Media"))</f>
        <v/>
      </c>
      <c r="O906" s="28">
        <f>IF($M906="","",IF($C906="Interna","NO",IFERROR(INDEX(CONFIG!$E$4:$E$63,MATCH($M906,CONFIG!$A$4:$A$63,0)),"NO")))</f>
        <v/>
      </c>
      <c r="P906" s="50" t="n"/>
      <c r="Q906" s="50" t="n"/>
      <c r="R906" s="28">
        <f>IF($Q906="","",IFERROR(INDEX(CONFIG!$H$4:$H$63,MATCH($Q906,CONFIG!$G$4:$G$63,0)),"Por definir"))</f>
        <v/>
      </c>
      <c r="S906" s="28">
        <f>IF($Q906="","",IFERROR(INDEX(CONFIG!$I$4:$I$63,MATCH($Q906,CONFIG!$G$4:$G$63,0)),"Por definir"))</f>
        <v/>
      </c>
      <c r="T906" s="51" t="n"/>
      <c r="U906" s="52" t="n"/>
      <c r="V906" s="50" t="n"/>
      <c r="W906" s="50" t="n"/>
      <c r="X906" s="49">
        <f>IF(OR($B906="",$M906=""),"",WORKDAY($B906,IFERROR(INDEX(CONFIG!$D$4:$D$63,MATCH($M906,CONFIG!$A$4:$A$63,0)),3)))</f>
        <v/>
      </c>
      <c r="Y906" s="47" t="n"/>
      <c r="Z906" s="24">
        <f>IF($B906="","",IF($Y906&lt;&gt;"",$Y906-$B906,TODAY()-$B906))</f>
        <v/>
      </c>
      <c r="AA906" s="28">
        <f>IF($B906="","",IF(IFERROR(INDEX(CONFIG!$L$4:$L$63,MATCH($V906,CONFIG!$K$4:$K$63,0)),"NO")="SÍ",IF(OR($Y906="",$X906=""),"Resuelta",IF($Y906&gt;$X906,"Resuelta tarde","Resuelta a tiempo")),IF($X906="","Sin clasificar",IF(TODAY()&gt;$X906,"Vencida",IF(TODAY()&gt;=$X906-1,"Por vencer","En plazo")))))</f>
        <v/>
      </c>
      <c r="AB906" s="50" t="n"/>
      <c r="AC906" s="50" t="n"/>
    </row>
    <row r="907" ht="16" customHeight="1">
      <c r="A907" s="28">
        <f>IF($B907="","","N-"&amp;TEXT(ROW()-3,"0000"))</f>
        <v/>
      </c>
      <c r="B907" s="47" t="n"/>
      <c r="C907" s="48" t="n"/>
      <c r="D907" s="48" t="n"/>
      <c r="E907" s="28">
        <f>IF($C907="","",IF($D907="",IF($C907="Interna","Sin guía (interna)","FALTA GUÍA"),IF(COUNTIFS(ENVIOS!$A$4:$A$3003,$D907)=0,"NO EXISTE",IF(COUNTIFS(ENVIOS!$A$4:$A$3003,$D907)&gt;1,"DUPLICADA","OK"))))</f>
        <v/>
      </c>
      <c r="F907" s="28">
        <f>IF($D907="","",IFERROR(INDEX(ENVIOS!$B$4:$B$3003,MATCH($D907,ENVIOS!$A$4:$A$3003,0)),"—"))</f>
        <v/>
      </c>
      <c r="G907" s="23">
        <f>IF($D907="","",IFERROR(INDEX(ENVIOS!$D$4:$D$3003,MATCH($D907,ENVIOS!$A$4:$A$3003,0)),"—"))</f>
        <v/>
      </c>
      <c r="H907" s="23">
        <f>IF($D907="","",IFERROR(INDEX(ENVIOS!$E$4:$E$3003,MATCH($D907,ENVIOS!$A$4:$A$3003,0)),"—"))</f>
        <v/>
      </c>
      <c r="I907" s="23">
        <f>IF($D907="","",IFERROR(INDEX(ENVIOS!$F$4:$F$3003,MATCH($D907,ENVIOS!$A$4:$A$3003,0)),"—"))</f>
        <v/>
      </c>
      <c r="J907" s="23">
        <f>IF($D907="","",IFERROR(INDEX(ENVIOS!$G$4:$G$3003,MATCH($D907,ENVIOS!$A$4:$A$3003,0)),"—"))</f>
        <v/>
      </c>
      <c r="K907" s="28">
        <f>IF($D907="","",IFERROR(INDEX(ENVIOS!$H$4:$H$3003,MATCH($D907,ENVIOS!$A$4:$A$3003,0)),"—"))</f>
        <v/>
      </c>
      <c r="L907" s="49">
        <f>IF($D907="","",IFERROR(INDEX(ENVIOS!$C$4:$C$3003,MATCH($D907,ENVIOS!$A$4:$A$3003,0)),""))</f>
        <v/>
      </c>
      <c r="M907" s="50" t="n"/>
      <c r="N907" s="28">
        <f>IF($M907="","",IFERROR(INDEX(CONFIG!$C$4:$C$63,MATCH($M907,CONFIG!$A$4:$A$63,0)),"Media"))</f>
        <v/>
      </c>
      <c r="O907" s="28">
        <f>IF($M907="","",IF($C907="Interna","NO",IFERROR(INDEX(CONFIG!$E$4:$E$63,MATCH($M907,CONFIG!$A$4:$A$63,0)),"NO")))</f>
        <v/>
      </c>
      <c r="P907" s="50" t="n"/>
      <c r="Q907" s="50" t="n"/>
      <c r="R907" s="28">
        <f>IF($Q907="","",IFERROR(INDEX(CONFIG!$H$4:$H$63,MATCH($Q907,CONFIG!$G$4:$G$63,0)),"Por definir"))</f>
        <v/>
      </c>
      <c r="S907" s="28">
        <f>IF($Q907="","",IFERROR(INDEX(CONFIG!$I$4:$I$63,MATCH($Q907,CONFIG!$G$4:$G$63,0)),"Por definir"))</f>
        <v/>
      </c>
      <c r="T907" s="51" t="n"/>
      <c r="U907" s="52" t="n"/>
      <c r="V907" s="50" t="n"/>
      <c r="W907" s="50" t="n"/>
      <c r="X907" s="49">
        <f>IF(OR($B907="",$M907=""),"",WORKDAY($B907,IFERROR(INDEX(CONFIG!$D$4:$D$63,MATCH($M907,CONFIG!$A$4:$A$63,0)),3)))</f>
        <v/>
      </c>
      <c r="Y907" s="47" t="n"/>
      <c r="Z907" s="24">
        <f>IF($B907="","",IF($Y907&lt;&gt;"",$Y907-$B907,TODAY()-$B907))</f>
        <v/>
      </c>
      <c r="AA907" s="28">
        <f>IF($B907="","",IF(IFERROR(INDEX(CONFIG!$L$4:$L$63,MATCH($V907,CONFIG!$K$4:$K$63,0)),"NO")="SÍ",IF(OR($Y907="",$X907=""),"Resuelta",IF($Y907&gt;$X907,"Resuelta tarde","Resuelta a tiempo")),IF($X907="","Sin clasificar",IF(TODAY()&gt;$X907,"Vencida",IF(TODAY()&gt;=$X907-1,"Por vencer","En plazo")))))</f>
        <v/>
      </c>
      <c r="AB907" s="50" t="n"/>
      <c r="AC907" s="50" t="n"/>
    </row>
    <row r="908" ht="16" customHeight="1">
      <c r="A908" s="28">
        <f>IF($B908="","","N-"&amp;TEXT(ROW()-3,"0000"))</f>
        <v/>
      </c>
      <c r="B908" s="47" t="n"/>
      <c r="C908" s="48" t="n"/>
      <c r="D908" s="48" t="n"/>
      <c r="E908" s="28">
        <f>IF($C908="","",IF($D908="",IF($C908="Interna","Sin guía (interna)","FALTA GUÍA"),IF(COUNTIFS(ENVIOS!$A$4:$A$3003,$D908)=0,"NO EXISTE",IF(COUNTIFS(ENVIOS!$A$4:$A$3003,$D908)&gt;1,"DUPLICADA","OK"))))</f>
        <v/>
      </c>
      <c r="F908" s="28">
        <f>IF($D908="","",IFERROR(INDEX(ENVIOS!$B$4:$B$3003,MATCH($D908,ENVIOS!$A$4:$A$3003,0)),"—"))</f>
        <v/>
      </c>
      <c r="G908" s="23">
        <f>IF($D908="","",IFERROR(INDEX(ENVIOS!$D$4:$D$3003,MATCH($D908,ENVIOS!$A$4:$A$3003,0)),"—"))</f>
        <v/>
      </c>
      <c r="H908" s="23">
        <f>IF($D908="","",IFERROR(INDEX(ENVIOS!$E$4:$E$3003,MATCH($D908,ENVIOS!$A$4:$A$3003,0)),"—"))</f>
        <v/>
      </c>
      <c r="I908" s="23">
        <f>IF($D908="","",IFERROR(INDEX(ENVIOS!$F$4:$F$3003,MATCH($D908,ENVIOS!$A$4:$A$3003,0)),"—"))</f>
        <v/>
      </c>
      <c r="J908" s="23">
        <f>IF($D908="","",IFERROR(INDEX(ENVIOS!$G$4:$G$3003,MATCH($D908,ENVIOS!$A$4:$A$3003,0)),"—"))</f>
        <v/>
      </c>
      <c r="K908" s="28">
        <f>IF($D908="","",IFERROR(INDEX(ENVIOS!$H$4:$H$3003,MATCH($D908,ENVIOS!$A$4:$A$3003,0)),"—"))</f>
        <v/>
      </c>
      <c r="L908" s="49">
        <f>IF($D908="","",IFERROR(INDEX(ENVIOS!$C$4:$C$3003,MATCH($D908,ENVIOS!$A$4:$A$3003,0)),""))</f>
        <v/>
      </c>
      <c r="M908" s="50" t="n"/>
      <c r="N908" s="28">
        <f>IF($M908="","",IFERROR(INDEX(CONFIG!$C$4:$C$63,MATCH($M908,CONFIG!$A$4:$A$63,0)),"Media"))</f>
        <v/>
      </c>
      <c r="O908" s="28">
        <f>IF($M908="","",IF($C908="Interna","NO",IFERROR(INDEX(CONFIG!$E$4:$E$63,MATCH($M908,CONFIG!$A$4:$A$63,0)),"NO")))</f>
        <v/>
      </c>
      <c r="P908" s="50" t="n"/>
      <c r="Q908" s="50" t="n"/>
      <c r="R908" s="28">
        <f>IF($Q908="","",IFERROR(INDEX(CONFIG!$H$4:$H$63,MATCH($Q908,CONFIG!$G$4:$G$63,0)),"Por definir"))</f>
        <v/>
      </c>
      <c r="S908" s="28">
        <f>IF($Q908="","",IFERROR(INDEX(CONFIG!$I$4:$I$63,MATCH($Q908,CONFIG!$G$4:$G$63,0)),"Por definir"))</f>
        <v/>
      </c>
      <c r="T908" s="51" t="n"/>
      <c r="U908" s="52" t="n"/>
      <c r="V908" s="50" t="n"/>
      <c r="W908" s="50" t="n"/>
      <c r="X908" s="49">
        <f>IF(OR($B908="",$M908=""),"",WORKDAY($B908,IFERROR(INDEX(CONFIG!$D$4:$D$63,MATCH($M908,CONFIG!$A$4:$A$63,0)),3)))</f>
        <v/>
      </c>
      <c r="Y908" s="47" t="n"/>
      <c r="Z908" s="24">
        <f>IF($B908="","",IF($Y908&lt;&gt;"",$Y908-$B908,TODAY()-$B908))</f>
        <v/>
      </c>
      <c r="AA908" s="28">
        <f>IF($B908="","",IF(IFERROR(INDEX(CONFIG!$L$4:$L$63,MATCH($V908,CONFIG!$K$4:$K$63,0)),"NO")="SÍ",IF(OR($Y908="",$X908=""),"Resuelta",IF($Y908&gt;$X908,"Resuelta tarde","Resuelta a tiempo")),IF($X908="","Sin clasificar",IF(TODAY()&gt;$X908,"Vencida",IF(TODAY()&gt;=$X908-1,"Por vencer","En plazo")))))</f>
        <v/>
      </c>
      <c r="AB908" s="50" t="n"/>
      <c r="AC908" s="50" t="n"/>
    </row>
    <row r="909" ht="16" customHeight="1">
      <c r="A909" s="28">
        <f>IF($B909="","","N-"&amp;TEXT(ROW()-3,"0000"))</f>
        <v/>
      </c>
      <c r="B909" s="47" t="n"/>
      <c r="C909" s="48" t="n"/>
      <c r="D909" s="48" t="n"/>
      <c r="E909" s="28">
        <f>IF($C909="","",IF($D909="",IF($C909="Interna","Sin guía (interna)","FALTA GUÍA"),IF(COUNTIFS(ENVIOS!$A$4:$A$3003,$D909)=0,"NO EXISTE",IF(COUNTIFS(ENVIOS!$A$4:$A$3003,$D909)&gt;1,"DUPLICADA","OK"))))</f>
        <v/>
      </c>
      <c r="F909" s="28">
        <f>IF($D909="","",IFERROR(INDEX(ENVIOS!$B$4:$B$3003,MATCH($D909,ENVIOS!$A$4:$A$3003,0)),"—"))</f>
        <v/>
      </c>
      <c r="G909" s="23">
        <f>IF($D909="","",IFERROR(INDEX(ENVIOS!$D$4:$D$3003,MATCH($D909,ENVIOS!$A$4:$A$3003,0)),"—"))</f>
        <v/>
      </c>
      <c r="H909" s="23">
        <f>IF($D909="","",IFERROR(INDEX(ENVIOS!$E$4:$E$3003,MATCH($D909,ENVIOS!$A$4:$A$3003,0)),"—"))</f>
        <v/>
      </c>
      <c r="I909" s="23">
        <f>IF($D909="","",IFERROR(INDEX(ENVIOS!$F$4:$F$3003,MATCH($D909,ENVIOS!$A$4:$A$3003,0)),"—"))</f>
        <v/>
      </c>
      <c r="J909" s="23">
        <f>IF($D909="","",IFERROR(INDEX(ENVIOS!$G$4:$G$3003,MATCH($D909,ENVIOS!$A$4:$A$3003,0)),"—"))</f>
        <v/>
      </c>
      <c r="K909" s="28">
        <f>IF($D909="","",IFERROR(INDEX(ENVIOS!$H$4:$H$3003,MATCH($D909,ENVIOS!$A$4:$A$3003,0)),"—"))</f>
        <v/>
      </c>
      <c r="L909" s="49">
        <f>IF($D909="","",IFERROR(INDEX(ENVIOS!$C$4:$C$3003,MATCH($D909,ENVIOS!$A$4:$A$3003,0)),""))</f>
        <v/>
      </c>
      <c r="M909" s="50" t="n"/>
      <c r="N909" s="28">
        <f>IF($M909="","",IFERROR(INDEX(CONFIG!$C$4:$C$63,MATCH($M909,CONFIG!$A$4:$A$63,0)),"Media"))</f>
        <v/>
      </c>
      <c r="O909" s="28">
        <f>IF($M909="","",IF($C909="Interna","NO",IFERROR(INDEX(CONFIG!$E$4:$E$63,MATCH($M909,CONFIG!$A$4:$A$63,0)),"NO")))</f>
        <v/>
      </c>
      <c r="P909" s="50" t="n"/>
      <c r="Q909" s="50" t="n"/>
      <c r="R909" s="28">
        <f>IF($Q909="","",IFERROR(INDEX(CONFIG!$H$4:$H$63,MATCH($Q909,CONFIG!$G$4:$G$63,0)),"Por definir"))</f>
        <v/>
      </c>
      <c r="S909" s="28">
        <f>IF($Q909="","",IFERROR(INDEX(CONFIG!$I$4:$I$63,MATCH($Q909,CONFIG!$G$4:$G$63,0)),"Por definir"))</f>
        <v/>
      </c>
      <c r="T909" s="51" t="n"/>
      <c r="U909" s="52" t="n"/>
      <c r="V909" s="50" t="n"/>
      <c r="W909" s="50" t="n"/>
      <c r="X909" s="49">
        <f>IF(OR($B909="",$M909=""),"",WORKDAY($B909,IFERROR(INDEX(CONFIG!$D$4:$D$63,MATCH($M909,CONFIG!$A$4:$A$63,0)),3)))</f>
        <v/>
      </c>
      <c r="Y909" s="47" t="n"/>
      <c r="Z909" s="24">
        <f>IF($B909="","",IF($Y909&lt;&gt;"",$Y909-$B909,TODAY()-$B909))</f>
        <v/>
      </c>
      <c r="AA909" s="28">
        <f>IF($B909="","",IF(IFERROR(INDEX(CONFIG!$L$4:$L$63,MATCH($V909,CONFIG!$K$4:$K$63,0)),"NO")="SÍ",IF(OR($Y909="",$X909=""),"Resuelta",IF($Y909&gt;$X909,"Resuelta tarde","Resuelta a tiempo")),IF($X909="","Sin clasificar",IF(TODAY()&gt;$X909,"Vencida",IF(TODAY()&gt;=$X909-1,"Por vencer","En plazo")))))</f>
        <v/>
      </c>
      <c r="AB909" s="50" t="n"/>
      <c r="AC909" s="50" t="n"/>
    </row>
    <row r="910" ht="16" customHeight="1">
      <c r="A910" s="28">
        <f>IF($B910="","","N-"&amp;TEXT(ROW()-3,"0000"))</f>
        <v/>
      </c>
      <c r="B910" s="47" t="n"/>
      <c r="C910" s="48" t="n"/>
      <c r="D910" s="48" t="n"/>
      <c r="E910" s="28">
        <f>IF($C910="","",IF($D910="",IF($C910="Interna","Sin guía (interna)","FALTA GUÍA"),IF(COUNTIFS(ENVIOS!$A$4:$A$3003,$D910)=0,"NO EXISTE",IF(COUNTIFS(ENVIOS!$A$4:$A$3003,$D910)&gt;1,"DUPLICADA","OK"))))</f>
        <v/>
      </c>
      <c r="F910" s="28">
        <f>IF($D910="","",IFERROR(INDEX(ENVIOS!$B$4:$B$3003,MATCH($D910,ENVIOS!$A$4:$A$3003,0)),"—"))</f>
        <v/>
      </c>
      <c r="G910" s="23">
        <f>IF($D910="","",IFERROR(INDEX(ENVIOS!$D$4:$D$3003,MATCH($D910,ENVIOS!$A$4:$A$3003,0)),"—"))</f>
        <v/>
      </c>
      <c r="H910" s="23">
        <f>IF($D910="","",IFERROR(INDEX(ENVIOS!$E$4:$E$3003,MATCH($D910,ENVIOS!$A$4:$A$3003,0)),"—"))</f>
        <v/>
      </c>
      <c r="I910" s="23">
        <f>IF($D910="","",IFERROR(INDEX(ENVIOS!$F$4:$F$3003,MATCH($D910,ENVIOS!$A$4:$A$3003,0)),"—"))</f>
        <v/>
      </c>
      <c r="J910" s="23">
        <f>IF($D910="","",IFERROR(INDEX(ENVIOS!$G$4:$G$3003,MATCH($D910,ENVIOS!$A$4:$A$3003,0)),"—"))</f>
        <v/>
      </c>
      <c r="K910" s="28">
        <f>IF($D910="","",IFERROR(INDEX(ENVIOS!$H$4:$H$3003,MATCH($D910,ENVIOS!$A$4:$A$3003,0)),"—"))</f>
        <v/>
      </c>
      <c r="L910" s="49">
        <f>IF($D910="","",IFERROR(INDEX(ENVIOS!$C$4:$C$3003,MATCH($D910,ENVIOS!$A$4:$A$3003,0)),""))</f>
        <v/>
      </c>
      <c r="M910" s="50" t="n"/>
      <c r="N910" s="28">
        <f>IF($M910="","",IFERROR(INDEX(CONFIG!$C$4:$C$63,MATCH($M910,CONFIG!$A$4:$A$63,0)),"Media"))</f>
        <v/>
      </c>
      <c r="O910" s="28">
        <f>IF($M910="","",IF($C910="Interna","NO",IFERROR(INDEX(CONFIG!$E$4:$E$63,MATCH($M910,CONFIG!$A$4:$A$63,0)),"NO")))</f>
        <v/>
      </c>
      <c r="P910" s="50" t="n"/>
      <c r="Q910" s="50" t="n"/>
      <c r="R910" s="28">
        <f>IF($Q910="","",IFERROR(INDEX(CONFIG!$H$4:$H$63,MATCH($Q910,CONFIG!$G$4:$G$63,0)),"Por definir"))</f>
        <v/>
      </c>
      <c r="S910" s="28">
        <f>IF($Q910="","",IFERROR(INDEX(CONFIG!$I$4:$I$63,MATCH($Q910,CONFIG!$G$4:$G$63,0)),"Por definir"))</f>
        <v/>
      </c>
      <c r="T910" s="51" t="n"/>
      <c r="U910" s="52" t="n"/>
      <c r="V910" s="50" t="n"/>
      <c r="W910" s="50" t="n"/>
      <c r="X910" s="49">
        <f>IF(OR($B910="",$M910=""),"",WORKDAY($B910,IFERROR(INDEX(CONFIG!$D$4:$D$63,MATCH($M910,CONFIG!$A$4:$A$63,0)),3)))</f>
        <v/>
      </c>
      <c r="Y910" s="47" t="n"/>
      <c r="Z910" s="24">
        <f>IF($B910="","",IF($Y910&lt;&gt;"",$Y910-$B910,TODAY()-$B910))</f>
        <v/>
      </c>
      <c r="AA910" s="28">
        <f>IF($B910="","",IF(IFERROR(INDEX(CONFIG!$L$4:$L$63,MATCH($V910,CONFIG!$K$4:$K$63,0)),"NO")="SÍ",IF(OR($Y910="",$X910=""),"Resuelta",IF($Y910&gt;$X910,"Resuelta tarde","Resuelta a tiempo")),IF($X910="","Sin clasificar",IF(TODAY()&gt;$X910,"Vencida",IF(TODAY()&gt;=$X910-1,"Por vencer","En plazo")))))</f>
        <v/>
      </c>
      <c r="AB910" s="50" t="n"/>
      <c r="AC910" s="50" t="n"/>
    </row>
    <row r="911" ht="16" customHeight="1">
      <c r="A911" s="28">
        <f>IF($B911="","","N-"&amp;TEXT(ROW()-3,"0000"))</f>
        <v/>
      </c>
      <c r="B911" s="47" t="n"/>
      <c r="C911" s="48" t="n"/>
      <c r="D911" s="48" t="n"/>
      <c r="E911" s="28">
        <f>IF($C911="","",IF($D911="",IF($C911="Interna","Sin guía (interna)","FALTA GUÍA"),IF(COUNTIFS(ENVIOS!$A$4:$A$3003,$D911)=0,"NO EXISTE",IF(COUNTIFS(ENVIOS!$A$4:$A$3003,$D911)&gt;1,"DUPLICADA","OK"))))</f>
        <v/>
      </c>
      <c r="F911" s="28">
        <f>IF($D911="","",IFERROR(INDEX(ENVIOS!$B$4:$B$3003,MATCH($D911,ENVIOS!$A$4:$A$3003,0)),"—"))</f>
        <v/>
      </c>
      <c r="G911" s="23">
        <f>IF($D911="","",IFERROR(INDEX(ENVIOS!$D$4:$D$3003,MATCH($D911,ENVIOS!$A$4:$A$3003,0)),"—"))</f>
        <v/>
      </c>
      <c r="H911" s="23">
        <f>IF($D911="","",IFERROR(INDEX(ENVIOS!$E$4:$E$3003,MATCH($D911,ENVIOS!$A$4:$A$3003,0)),"—"))</f>
        <v/>
      </c>
      <c r="I911" s="23">
        <f>IF($D911="","",IFERROR(INDEX(ENVIOS!$F$4:$F$3003,MATCH($D911,ENVIOS!$A$4:$A$3003,0)),"—"))</f>
        <v/>
      </c>
      <c r="J911" s="23">
        <f>IF($D911="","",IFERROR(INDEX(ENVIOS!$G$4:$G$3003,MATCH($D911,ENVIOS!$A$4:$A$3003,0)),"—"))</f>
        <v/>
      </c>
      <c r="K911" s="28">
        <f>IF($D911="","",IFERROR(INDEX(ENVIOS!$H$4:$H$3003,MATCH($D911,ENVIOS!$A$4:$A$3003,0)),"—"))</f>
        <v/>
      </c>
      <c r="L911" s="49">
        <f>IF($D911="","",IFERROR(INDEX(ENVIOS!$C$4:$C$3003,MATCH($D911,ENVIOS!$A$4:$A$3003,0)),""))</f>
        <v/>
      </c>
      <c r="M911" s="50" t="n"/>
      <c r="N911" s="28">
        <f>IF($M911="","",IFERROR(INDEX(CONFIG!$C$4:$C$63,MATCH($M911,CONFIG!$A$4:$A$63,0)),"Media"))</f>
        <v/>
      </c>
      <c r="O911" s="28">
        <f>IF($M911="","",IF($C911="Interna","NO",IFERROR(INDEX(CONFIG!$E$4:$E$63,MATCH($M911,CONFIG!$A$4:$A$63,0)),"NO")))</f>
        <v/>
      </c>
      <c r="P911" s="50" t="n"/>
      <c r="Q911" s="50" t="n"/>
      <c r="R911" s="28">
        <f>IF($Q911="","",IFERROR(INDEX(CONFIG!$H$4:$H$63,MATCH($Q911,CONFIG!$G$4:$G$63,0)),"Por definir"))</f>
        <v/>
      </c>
      <c r="S911" s="28">
        <f>IF($Q911="","",IFERROR(INDEX(CONFIG!$I$4:$I$63,MATCH($Q911,CONFIG!$G$4:$G$63,0)),"Por definir"))</f>
        <v/>
      </c>
      <c r="T911" s="51" t="n"/>
      <c r="U911" s="52" t="n"/>
      <c r="V911" s="50" t="n"/>
      <c r="W911" s="50" t="n"/>
      <c r="X911" s="49">
        <f>IF(OR($B911="",$M911=""),"",WORKDAY($B911,IFERROR(INDEX(CONFIG!$D$4:$D$63,MATCH($M911,CONFIG!$A$4:$A$63,0)),3)))</f>
        <v/>
      </c>
      <c r="Y911" s="47" t="n"/>
      <c r="Z911" s="24">
        <f>IF($B911="","",IF($Y911&lt;&gt;"",$Y911-$B911,TODAY()-$B911))</f>
        <v/>
      </c>
      <c r="AA911" s="28">
        <f>IF($B911="","",IF(IFERROR(INDEX(CONFIG!$L$4:$L$63,MATCH($V911,CONFIG!$K$4:$K$63,0)),"NO")="SÍ",IF(OR($Y911="",$X911=""),"Resuelta",IF($Y911&gt;$X911,"Resuelta tarde","Resuelta a tiempo")),IF($X911="","Sin clasificar",IF(TODAY()&gt;$X911,"Vencida",IF(TODAY()&gt;=$X911-1,"Por vencer","En plazo")))))</f>
        <v/>
      </c>
      <c r="AB911" s="50" t="n"/>
      <c r="AC911" s="50" t="n"/>
    </row>
    <row r="912" ht="16" customHeight="1">
      <c r="A912" s="28">
        <f>IF($B912="","","N-"&amp;TEXT(ROW()-3,"0000"))</f>
        <v/>
      </c>
      <c r="B912" s="47" t="n"/>
      <c r="C912" s="48" t="n"/>
      <c r="D912" s="48" t="n"/>
      <c r="E912" s="28">
        <f>IF($C912="","",IF($D912="",IF($C912="Interna","Sin guía (interna)","FALTA GUÍA"),IF(COUNTIFS(ENVIOS!$A$4:$A$3003,$D912)=0,"NO EXISTE",IF(COUNTIFS(ENVIOS!$A$4:$A$3003,$D912)&gt;1,"DUPLICADA","OK"))))</f>
        <v/>
      </c>
      <c r="F912" s="28">
        <f>IF($D912="","",IFERROR(INDEX(ENVIOS!$B$4:$B$3003,MATCH($D912,ENVIOS!$A$4:$A$3003,0)),"—"))</f>
        <v/>
      </c>
      <c r="G912" s="23">
        <f>IF($D912="","",IFERROR(INDEX(ENVIOS!$D$4:$D$3003,MATCH($D912,ENVIOS!$A$4:$A$3003,0)),"—"))</f>
        <v/>
      </c>
      <c r="H912" s="23">
        <f>IF($D912="","",IFERROR(INDEX(ENVIOS!$E$4:$E$3003,MATCH($D912,ENVIOS!$A$4:$A$3003,0)),"—"))</f>
        <v/>
      </c>
      <c r="I912" s="23">
        <f>IF($D912="","",IFERROR(INDEX(ENVIOS!$F$4:$F$3003,MATCH($D912,ENVIOS!$A$4:$A$3003,0)),"—"))</f>
        <v/>
      </c>
      <c r="J912" s="23">
        <f>IF($D912="","",IFERROR(INDEX(ENVIOS!$G$4:$G$3003,MATCH($D912,ENVIOS!$A$4:$A$3003,0)),"—"))</f>
        <v/>
      </c>
      <c r="K912" s="28">
        <f>IF($D912="","",IFERROR(INDEX(ENVIOS!$H$4:$H$3003,MATCH($D912,ENVIOS!$A$4:$A$3003,0)),"—"))</f>
        <v/>
      </c>
      <c r="L912" s="49">
        <f>IF($D912="","",IFERROR(INDEX(ENVIOS!$C$4:$C$3003,MATCH($D912,ENVIOS!$A$4:$A$3003,0)),""))</f>
        <v/>
      </c>
      <c r="M912" s="50" t="n"/>
      <c r="N912" s="28">
        <f>IF($M912="","",IFERROR(INDEX(CONFIG!$C$4:$C$63,MATCH($M912,CONFIG!$A$4:$A$63,0)),"Media"))</f>
        <v/>
      </c>
      <c r="O912" s="28">
        <f>IF($M912="","",IF($C912="Interna","NO",IFERROR(INDEX(CONFIG!$E$4:$E$63,MATCH($M912,CONFIG!$A$4:$A$63,0)),"NO")))</f>
        <v/>
      </c>
      <c r="P912" s="50" t="n"/>
      <c r="Q912" s="50" t="n"/>
      <c r="R912" s="28">
        <f>IF($Q912="","",IFERROR(INDEX(CONFIG!$H$4:$H$63,MATCH($Q912,CONFIG!$G$4:$G$63,0)),"Por definir"))</f>
        <v/>
      </c>
      <c r="S912" s="28">
        <f>IF($Q912="","",IFERROR(INDEX(CONFIG!$I$4:$I$63,MATCH($Q912,CONFIG!$G$4:$G$63,0)),"Por definir"))</f>
        <v/>
      </c>
      <c r="T912" s="51" t="n"/>
      <c r="U912" s="52" t="n"/>
      <c r="V912" s="50" t="n"/>
      <c r="W912" s="50" t="n"/>
      <c r="X912" s="49">
        <f>IF(OR($B912="",$M912=""),"",WORKDAY($B912,IFERROR(INDEX(CONFIG!$D$4:$D$63,MATCH($M912,CONFIG!$A$4:$A$63,0)),3)))</f>
        <v/>
      </c>
      <c r="Y912" s="47" t="n"/>
      <c r="Z912" s="24">
        <f>IF($B912="","",IF($Y912&lt;&gt;"",$Y912-$B912,TODAY()-$B912))</f>
        <v/>
      </c>
      <c r="AA912" s="28">
        <f>IF($B912="","",IF(IFERROR(INDEX(CONFIG!$L$4:$L$63,MATCH($V912,CONFIG!$K$4:$K$63,0)),"NO")="SÍ",IF(OR($Y912="",$X912=""),"Resuelta",IF($Y912&gt;$X912,"Resuelta tarde","Resuelta a tiempo")),IF($X912="","Sin clasificar",IF(TODAY()&gt;$X912,"Vencida",IF(TODAY()&gt;=$X912-1,"Por vencer","En plazo")))))</f>
        <v/>
      </c>
      <c r="AB912" s="50" t="n"/>
      <c r="AC912" s="50" t="n"/>
    </row>
    <row r="913" ht="16" customHeight="1">
      <c r="A913" s="28">
        <f>IF($B913="","","N-"&amp;TEXT(ROW()-3,"0000"))</f>
        <v/>
      </c>
      <c r="B913" s="47" t="n"/>
      <c r="C913" s="48" t="n"/>
      <c r="D913" s="48" t="n"/>
      <c r="E913" s="28">
        <f>IF($C913="","",IF($D913="",IF($C913="Interna","Sin guía (interna)","FALTA GUÍA"),IF(COUNTIFS(ENVIOS!$A$4:$A$3003,$D913)=0,"NO EXISTE",IF(COUNTIFS(ENVIOS!$A$4:$A$3003,$D913)&gt;1,"DUPLICADA","OK"))))</f>
        <v/>
      </c>
      <c r="F913" s="28">
        <f>IF($D913="","",IFERROR(INDEX(ENVIOS!$B$4:$B$3003,MATCH($D913,ENVIOS!$A$4:$A$3003,0)),"—"))</f>
        <v/>
      </c>
      <c r="G913" s="23">
        <f>IF($D913="","",IFERROR(INDEX(ENVIOS!$D$4:$D$3003,MATCH($D913,ENVIOS!$A$4:$A$3003,0)),"—"))</f>
        <v/>
      </c>
      <c r="H913" s="23">
        <f>IF($D913="","",IFERROR(INDEX(ENVIOS!$E$4:$E$3003,MATCH($D913,ENVIOS!$A$4:$A$3003,0)),"—"))</f>
        <v/>
      </c>
      <c r="I913" s="23">
        <f>IF($D913="","",IFERROR(INDEX(ENVIOS!$F$4:$F$3003,MATCH($D913,ENVIOS!$A$4:$A$3003,0)),"—"))</f>
        <v/>
      </c>
      <c r="J913" s="23">
        <f>IF($D913="","",IFERROR(INDEX(ENVIOS!$G$4:$G$3003,MATCH($D913,ENVIOS!$A$4:$A$3003,0)),"—"))</f>
        <v/>
      </c>
      <c r="K913" s="28">
        <f>IF($D913="","",IFERROR(INDEX(ENVIOS!$H$4:$H$3003,MATCH($D913,ENVIOS!$A$4:$A$3003,0)),"—"))</f>
        <v/>
      </c>
      <c r="L913" s="49">
        <f>IF($D913="","",IFERROR(INDEX(ENVIOS!$C$4:$C$3003,MATCH($D913,ENVIOS!$A$4:$A$3003,0)),""))</f>
        <v/>
      </c>
      <c r="M913" s="50" t="n"/>
      <c r="N913" s="28">
        <f>IF($M913="","",IFERROR(INDEX(CONFIG!$C$4:$C$63,MATCH($M913,CONFIG!$A$4:$A$63,0)),"Media"))</f>
        <v/>
      </c>
      <c r="O913" s="28">
        <f>IF($M913="","",IF($C913="Interna","NO",IFERROR(INDEX(CONFIG!$E$4:$E$63,MATCH($M913,CONFIG!$A$4:$A$63,0)),"NO")))</f>
        <v/>
      </c>
      <c r="P913" s="50" t="n"/>
      <c r="Q913" s="50" t="n"/>
      <c r="R913" s="28">
        <f>IF($Q913="","",IFERROR(INDEX(CONFIG!$H$4:$H$63,MATCH($Q913,CONFIG!$G$4:$G$63,0)),"Por definir"))</f>
        <v/>
      </c>
      <c r="S913" s="28">
        <f>IF($Q913="","",IFERROR(INDEX(CONFIG!$I$4:$I$63,MATCH($Q913,CONFIG!$G$4:$G$63,0)),"Por definir"))</f>
        <v/>
      </c>
      <c r="T913" s="51" t="n"/>
      <c r="U913" s="52" t="n"/>
      <c r="V913" s="50" t="n"/>
      <c r="W913" s="50" t="n"/>
      <c r="X913" s="49">
        <f>IF(OR($B913="",$M913=""),"",WORKDAY($B913,IFERROR(INDEX(CONFIG!$D$4:$D$63,MATCH($M913,CONFIG!$A$4:$A$63,0)),3)))</f>
        <v/>
      </c>
      <c r="Y913" s="47" t="n"/>
      <c r="Z913" s="24">
        <f>IF($B913="","",IF($Y913&lt;&gt;"",$Y913-$B913,TODAY()-$B913))</f>
        <v/>
      </c>
      <c r="AA913" s="28">
        <f>IF($B913="","",IF(IFERROR(INDEX(CONFIG!$L$4:$L$63,MATCH($V913,CONFIG!$K$4:$K$63,0)),"NO")="SÍ",IF(OR($Y913="",$X913=""),"Resuelta",IF($Y913&gt;$X913,"Resuelta tarde","Resuelta a tiempo")),IF($X913="","Sin clasificar",IF(TODAY()&gt;$X913,"Vencida",IF(TODAY()&gt;=$X913-1,"Por vencer","En plazo")))))</f>
        <v/>
      </c>
      <c r="AB913" s="50" t="n"/>
      <c r="AC913" s="50" t="n"/>
    </row>
    <row r="914" ht="16" customHeight="1">
      <c r="A914" s="28">
        <f>IF($B914="","","N-"&amp;TEXT(ROW()-3,"0000"))</f>
        <v/>
      </c>
      <c r="B914" s="47" t="n"/>
      <c r="C914" s="48" t="n"/>
      <c r="D914" s="48" t="n"/>
      <c r="E914" s="28">
        <f>IF($C914="","",IF($D914="",IF($C914="Interna","Sin guía (interna)","FALTA GUÍA"),IF(COUNTIFS(ENVIOS!$A$4:$A$3003,$D914)=0,"NO EXISTE",IF(COUNTIFS(ENVIOS!$A$4:$A$3003,$D914)&gt;1,"DUPLICADA","OK"))))</f>
        <v/>
      </c>
      <c r="F914" s="28">
        <f>IF($D914="","",IFERROR(INDEX(ENVIOS!$B$4:$B$3003,MATCH($D914,ENVIOS!$A$4:$A$3003,0)),"—"))</f>
        <v/>
      </c>
      <c r="G914" s="23">
        <f>IF($D914="","",IFERROR(INDEX(ENVIOS!$D$4:$D$3003,MATCH($D914,ENVIOS!$A$4:$A$3003,0)),"—"))</f>
        <v/>
      </c>
      <c r="H914" s="23">
        <f>IF($D914="","",IFERROR(INDEX(ENVIOS!$E$4:$E$3003,MATCH($D914,ENVIOS!$A$4:$A$3003,0)),"—"))</f>
        <v/>
      </c>
      <c r="I914" s="23">
        <f>IF($D914="","",IFERROR(INDEX(ENVIOS!$F$4:$F$3003,MATCH($D914,ENVIOS!$A$4:$A$3003,0)),"—"))</f>
        <v/>
      </c>
      <c r="J914" s="23">
        <f>IF($D914="","",IFERROR(INDEX(ENVIOS!$G$4:$G$3003,MATCH($D914,ENVIOS!$A$4:$A$3003,0)),"—"))</f>
        <v/>
      </c>
      <c r="K914" s="28">
        <f>IF($D914="","",IFERROR(INDEX(ENVIOS!$H$4:$H$3003,MATCH($D914,ENVIOS!$A$4:$A$3003,0)),"—"))</f>
        <v/>
      </c>
      <c r="L914" s="49">
        <f>IF($D914="","",IFERROR(INDEX(ENVIOS!$C$4:$C$3003,MATCH($D914,ENVIOS!$A$4:$A$3003,0)),""))</f>
        <v/>
      </c>
      <c r="M914" s="50" t="n"/>
      <c r="N914" s="28">
        <f>IF($M914="","",IFERROR(INDEX(CONFIG!$C$4:$C$63,MATCH($M914,CONFIG!$A$4:$A$63,0)),"Media"))</f>
        <v/>
      </c>
      <c r="O914" s="28">
        <f>IF($M914="","",IF($C914="Interna","NO",IFERROR(INDEX(CONFIG!$E$4:$E$63,MATCH($M914,CONFIG!$A$4:$A$63,0)),"NO")))</f>
        <v/>
      </c>
      <c r="P914" s="50" t="n"/>
      <c r="Q914" s="50" t="n"/>
      <c r="R914" s="28">
        <f>IF($Q914="","",IFERROR(INDEX(CONFIG!$H$4:$H$63,MATCH($Q914,CONFIG!$G$4:$G$63,0)),"Por definir"))</f>
        <v/>
      </c>
      <c r="S914" s="28">
        <f>IF($Q914="","",IFERROR(INDEX(CONFIG!$I$4:$I$63,MATCH($Q914,CONFIG!$G$4:$G$63,0)),"Por definir"))</f>
        <v/>
      </c>
      <c r="T914" s="51" t="n"/>
      <c r="U914" s="52" t="n"/>
      <c r="V914" s="50" t="n"/>
      <c r="W914" s="50" t="n"/>
      <c r="X914" s="49">
        <f>IF(OR($B914="",$M914=""),"",WORKDAY($B914,IFERROR(INDEX(CONFIG!$D$4:$D$63,MATCH($M914,CONFIG!$A$4:$A$63,0)),3)))</f>
        <v/>
      </c>
      <c r="Y914" s="47" t="n"/>
      <c r="Z914" s="24">
        <f>IF($B914="","",IF($Y914&lt;&gt;"",$Y914-$B914,TODAY()-$B914))</f>
        <v/>
      </c>
      <c r="AA914" s="28">
        <f>IF($B914="","",IF(IFERROR(INDEX(CONFIG!$L$4:$L$63,MATCH($V914,CONFIG!$K$4:$K$63,0)),"NO")="SÍ",IF(OR($Y914="",$X914=""),"Resuelta",IF($Y914&gt;$X914,"Resuelta tarde","Resuelta a tiempo")),IF($X914="","Sin clasificar",IF(TODAY()&gt;$X914,"Vencida",IF(TODAY()&gt;=$X914-1,"Por vencer","En plazo")))))</f>
        <v/>
      </c>
      <c r="AB914" s="50" t="n"/>
      <c r="AC914" s="50" t="n"/>
    </row>
    <row r="915" ht="16" customHeight="1">
      <c r="A915" s="28">
        <f>IF($B915="","","N-"&amp;TEXT(ROW()-3,"0000"))</f>
        <v/>
      </c>
      <c r="B915" s="47" t="n"/>
      <c r="C915" s="48" t="n"/>
      <c r="D915" s="48" t="n"/>
      <c r="E915" s="28">
        <f>IF($C915="","",IF($D915="",IF($C915="Interna","Sin guía (interna)","FALTA GUÍA"),IF(COUNTIFS(ENVIOS!$A$4:$A$3003,$D915)=0,"NO EXISTE",IF(COUNTIFS(ENVIOS!$A$4:$A$3003,$D915)&gt;1,"DUPLICADA","OK"))))</f>
        <v/>
      </c>
      <c r="F915" s="28">
        <f>IF($D915="","",IFERROR(INDEX(ENVIOS!$B$4:$B$3003,MATCH($D915,ENVIOS!$A$4:$A$3003,0)),"—"))</f>
        <v/>
      </c>
      <c r="G915" s="23">
        <f>IF($D915="","",IFERROR(INDEX(ENVIOS!$D$4:$D$3003,MATCH($D915,ENVIOS!$A$4:$A$3003,0)),"—"))</f>
        <v/>
      </c>
      <c r="H915" s="23">
        <f>IF($D915="","",IFERROR(INDEX(ENVIOS!$E$4:$E$3003,MATCH($D915,ENVIOS!$A$4:$A$3003,0)),"—"))</f>
        <v/>
      </c>
      <c r="I915" s="23">
        <f>IF($D915="","",IFERROR(INDEX(ENVIOS!$F$4:$F$3003,MATCH($D915,ENVIOS!$A$4:$A$3003,0)),"—"))</f>
        <v/>
      </c>
      <c r="J915" s="23">
        <f>IF($D915="","",IFERROR(INDEX(ENVIOS!$G$4:$G$3003,MATCH($D915,ENVIOS!$A$4:$A$3003,0)),"—"))</f>
        <v/>
      </c>
      <c r="K915" s="28">
        <f>IF($D915="","",IFERROR(INDEX(ENVIOS!$H$4:$H$3003,MATCH($D915,ENVIOS!$A$4:$A$3003,0)),"—"))</f>
        <v/>
      </c>
      <c r="L915" s="49">
        <f>IF($D915="","",IFERROR(INDEX(ENVIOS!$C$4:$C$3003,MATCH($D915,ENVIOS!$A$4:$A$3003,0)),""))</f>
        <v/>
      </c>
      <c r="M915" s="50" t="n"/>
      <c r="N915" s="28">
        <f>IF($M915="","",IFERROR(INDEX(CONFIG!$C$4:$C$63,MATCH($M915,CONFIG!$A$4:$A$63,0)),"Media"))</f>
        <v/>
      </c>
      <c r="O915" s="28">
        <f>IF($M915="","",IF($C915="Interna","NO",IFERROR(INDEX(CONFIG!$E$4:$E$63,MATCH($M915,CONFIG!$A$4:$A$63,0)),"NO")))</f>
        <v/>
      </c>
      <c r="P915" s="50" t="n"/>
      <c r="Q915" s="50" t="n"/>
      <c r="R915" s="28">
        <f>IF($Q915="","",IFERROR(INDEX(CONFIG!$H$4:$H$63,MATCH($Q915,CONFIG!$G$4:$G$63,0)),"Por definir"))</f>
        <v/>
      </c>
      <c r="S915" s="28">
        <f>IF($Q915="","",IFERROR(INDEX(CONFIG!$I$4:$I$63,MATCH($Q915,CONFIG!$G$4:$G$63,0)),"Por definir"))</f>
        <v/>
      </c>
      <c r="T915" s="51" t="n"/>
      <c r="U915" s="52" t="n"/>
      <c r="V915" s="50" t="n"/>
      <c r="W915" s="50" t="n"/>
      <c r="X915" s="49">
        <f>IF(OR($B915="",$M915=""),"",WORKDAY($B915,IFERROR(INDEX(CONFIG!$D$4:$D$63,MATCH($M915,CONFIG!$A$4:$A$63,0)),3)))</f>
        <v/>
      </c>
      <c r="Y915" s="47" t="n"/>
      <c r="Z915" s="24">
        <f>IF($B915="","",IF($Y915&lt;&gt;"",$Y915-$B915,TODAY()-$B915))</f>
        <v/>
      </c>
      <c r="AA915" s="28">
        <f>IF($B915="","",IF(IFERROR(INDEX(CONFIG!$L$4:$L$63,MATCH($V915,CONFIG!$K$4:$K$63,0)),"NO")="SÍ",IF(OR($Y915="",$X915=""),"Resuelta",IF($Y915&gt;$X915,"Resuelta tarde","Resuelta a tiempo")),IF($X915="","Sin clasificar",IF(TODAY()&gt;$X915,"Vencida",IF(TODAY()&gt;=$X915-1,"Por vencer","En plazo")))))</f>
        <v/>
      </c>
      <c r="AB915" s="50" t="n"/>
      <c r="AC915" s="50" t="n"/>
    </row>
    <row r="916" ht="16" customHeight="1">
      <c r="A916" s="28">
        <f>IF($B916="","","N-"&amp;TEXT(ROW()-3,"0000"))</f>
        <v/>
      </c>
      <c r="B916" s="47" t="n"/>
      <c r="C916" s="48" t="n"/>
      <c r="D916" s="48" t="n"/>
      <c r="E916" s="28">
        <f>IF($C916="","",IF($D916="",IF($C916="Interna","Sin guía (interna)","FALTA GUÍA"),IF(COUNTIFS(ENVIOS!$A$4:$A$3003,$D916)=0,"NO EXISTE",IF(COUNTIFS(ENVIOS!$A$4:$A$3003,$D916)&gt;1,"DUPLICADA","OK"))))</f>
        <v/>
      </c>
      <c r="F916" s="28">
        <f>IF($D916="","",IFERROR(INDEX(ENVIOS!$B$4:$B$3003,MATCH($D916,ENVIOS!$A$4:$A$3003,0)),"—"))</f>
        <v/>
      </c>
      <c r="G916" s="23">
        <f>IF($D916="","",IFERROR(INDEX(ENVIOS!$D$4:$D$3003,MATCH($D916,ENVIOS!$A$4:$A$3003,0)),"—"))</f>
        <v/>
      </c>
      <c r="H916" s="23">
        <f>IF($D916="","",IFERROR(INDEX(ENVIOS!$E$4:$E$3003,MATCH($D916,ENVIOS!$A$4:$A$3003,0)),"—"))</f>
        <v/>
      </c>
      <c r="I916" s="23">
        <f>IF($D916="","",IFERROR(INDEX(ENVIOS!$F$4:$F$3003,MATCH($D916,ENVIOS!$A$4:$A$3003,0)),"—"))</f>
        <v/>
      </c>
      <c r="J916" s="23">
        <f>IF($D916="","",IFERROR(INDEX(ENVIOS!$G$4:$G$3003,MATCH($D916,ENVIOS!$A$4:$A$3003,0)),"—"))</f>
        <v/>
      </c>
      <c r="K916" s="28">
        <f>IF($D916="","",IFERROR(INDEX(ENVIOS!$H$4:$H$3003,MATCH($D916,ENVIOS!$A$4:$A$3003,0)),"—"))</f>
        <v/>
      </c>
      <c r="L916" s="49">
        <f>IF($D916="","",IFERROR(INDEX(ENVIOS!$C$4:$C$3003,MATCH($D916,ENVIOS!$A$4:$A$3003,0)),""))</f>
        <v/>
      </c>
      <c r="M916" s="50" t="n"/>
      <c r="N916" s="28">
        <f>IF($M916="","",IFERROR(INDEX(CONFIG!$C$4:$C$63,MATCH($M916,CONFIG!$A$4:$A$63,0)),"Media"))</f>
        <v/>
      </c>
      <c r="O916" s="28">
        <f>IF($M916="","",IF($C916="Interna","NO",IFERROR(INDEX(CONFIG!$E$4:$E$63,MATCH($M916,CONFIG!$A$4:$A$63,0)),"NO")))</f>
        <v/>
      </c>
      <c r="P916" s="50" t="n"/>
      <c r="Q916" s="50" t="n"/>
      <c r="R916" s="28">
        <f>IF($Q916="","",IFERROR(INDEX(CONFIG!$H$4:$H$63,MATCH($Q916,CONFIG!$G$4:$G$63,0)),"Por definir"))</f>
        <v/>
      </c>
      <c r="S916" s="28">
        <f>IF($Q916="","",IFERROR(INDEX(CONFIG!$I$4:$I$63,MATCH($Q916,CONFIG!$G$4:$G$63,0)),"Por definir"))</f>
        <v/>
      </c>
      <c r="T916" s="51" t="n"/>
      <c r="U916" s="52" t="n"/>
      <c r="V916" s="50" t="n"/>
      <c r="W916" s="50" t="n"/>
      <c r="X916" s="49">
        <f>IF(OR($B916="",$M916=""),"",WORKDAY($B916,IFERROR(INDEX(CONFIG!$D$4:$D$63,MATCH($M916,CONFIG!$A$4:$A$63,0)),3)))</f>
        <v/>
      </c>
      <c r="Y916" s="47" t="n"/>
      <c r="Z916" s="24">
        <f>IF($B916="","",IF($Y916&lt;&gt;"",$Y916-$B916,TODAY()-$B916))</f>
        <v/>
      </c>
      <c r="AA916" s="28">
        <f>IF($B916="","",IF(IFERROR(INDEX(CONFIG!$L$4:$L$63,MATCH($V916,CONFIG!$K$4:$K$63,0)),"NO")="SÍ",IF(OR($Y916="",$X916=""),"Resuelta",IF($Y916&gt;$X916,"Resuelta tarde","Resuelta a tiempo")),IF($X916="","Sin clasificar",IF(TODAY()&gt;$X916,"Vencida",IF(TODAY()&gt;=$X916-1,"Por vencer","En plazo")))))</f>
        <v/>
      </c>
      <c r="AB916" s="50" t="n"/>
      <c r="AC916" s="50" t="n"/>
    </row>
    <row r="917" ht="16" customHeight="1">
      <c r="A917" s="28">
        <f>IF($B917="","","N-"&amp;TEXT(ROW()-3,"0000"))</f>
        <v/>
      </c>
      <c r="B917" s="47" t="n"/>
      <c r="C917" s="48" t="n"/>
      <c r="D917" s="48" t="n"/>
      <c r="E917" s="28">
        <f>IF($C917="","",IF($D917="",IF($C917="Interna","Sin guía (interna)","FALTA GUÍA"),IF(COUNTIFS(ENVIOS!$A$4:$A$3003,$D917)=0,"NO EXISTE",IF(COUNTIFS(ENVIOS!$A$4:$A$3003,$D917)&gt;1,"DUPLICADA","OK"))))</f>
        <v/>
      </c>
      <c r="F917" s="28">
        <f>IF($D917="","",IFERROR(INDEX(ENVIOS!$B$4:$B$3003,MATCH($D917,ENVIOS!$A$4:$A$3003,0)),"—"))</f>
        <v/>
      </c>
      <c r="G917" s="23">
        <f>IF($D917="","",IFERROR(INDEX(ENVIOS!$D$4:$D$3003,MATCH($D917,ENVIOS!$A$4:$A$3003,0)),"—"))</f>
        <v/>
      </c>
      <c r="H917" s="23">
        <f>IF($D917="","",IFERROR(INDEX(ENVIOS!$E$4:$E$3003,MATCH($D917,ENVIOS!$A$4:$A$3003,0)),"—"))</f>
        <v/>
      </c>
      <c r="I917" s="23">
        <f>IF($D917="","",IFERROR(INDEX(ENVIOS!$F$4:$F$3003,MATCH($D917,ENVIOS!$A$4:$A$3003,0)),"—"))</f>
        <v/>
      </c>
      <c r="J917" s="23">
        <f>IF($D917="","",IFERROR(INDEX(ENVIOS!$G$4:$G$3003,MATCH($D917,ENVIOS!$A$4:$A$3003,0)),"—"))</f>
        <v/>
      </c>
      <c r="K917" s="28">
        <f>IF($D917="","",IFERROR(INDEX(ENVIOS!$H$4:$H$3003,MATCH($D917,ENVIOS!$A$4:$A$3003,0)),"—"))</f>
        <v/>
      </c>
      <c r="L917" s="49">
        <f>IF($D917="","",IFERROR(INDEX(ENVIOS!$C$4:$C$3003,MATCH($D917,ENVIOS!$A$4:$A$3003,0)),""))</f>
        <v/>
      </c>
      <c r="M917" s="50" t="n"/>
      <c r="N917" s="28">
        <f>IF($M917="","",IFERROR(INDEX(CONFIG!$C$4:$C$63,MATCH($M917,CONFIG!$A$4:$A$63,0)),"Media"))</f>
        <v/>
      </c>
      <c r="O917" s="28">
        <f>IF($M917="","",IF($C917="Interna","NO",IFERROR(INDEX(CONFIG!$E$4:$E$63,MATCH($M917,CONFIG!$A$4:$A$63,0)),"NO")))</f>
        <v/>
      </c>
      <c r="P917" s="50" t="n"/>
      <c r="Q917" s="50" t="n"/>
      <c r="R917" s="28">
        <f>IF($Q917="","",IFERROR(INDEX(CONFIG!$H$4:$H$63,MATCH($Q917,CONFIG!$G$4:$G$63,0)),"Por definir"))</f>
        <v/>
      </c>
      <c r="S917" s="28">
        <f>IF($Q917="","",IFERROR(INDEX(CONFIG!$I$4:$I$63,MATCH($Q917,CONFIG!$G$4:$G$63,0)),"Por definir"))</f>
        <v/>
      </c>
      <c r="T917" s="51" t="n"/>
      <c r="U917" s="52" t="n"/>
      <c r="V917" s="50" t="n"/>
      <c r="W917" s="50" t="n"/>
      <c r="X917" s="49">
        <f>IF(OR($B917="",$M917=""),"",WORKDAY($B917,IFERROR(INDEX(CONFIG!$D$4:$D$63,MATCH($M917,CONFIG!$A$4:$A$63,0)),3)))</f>
        <v/>
      </c>
      <c r="Y917" s="47" t="n"/>
      <c r="Z917" s="24">
        <f>IF($B917="","",IF($Y917&lt;&gt;"",$Y917-$B917,TODAY()-$B917))</f>
        <v/>
      </c>
      <c r="AA917" s="28">
        <f>IF($B917="","",IF(IFERROR(INDEX(CONFIG!$L$4:$L$63,MATCH($V917,CONFIG!$K$4:$K$63,0)),"NO")="SÍ",IF(OR($Y917="",$X917=""),"Resuelta",IF($Y917&gt;$X917,"Resuelta tarde","Resuelta a tiempo")),IF($X917="","Sin clasificar",IF(TODAY()&gt;$X917,"Vencida",IF(TODAY()&gt;=$X917-1,"Por vencer","En plazo")))))</f>
        <v/>
      </c>
      <c r="AB917" s="50" t="n"/>
      <c r="AC917" s="50" t="n"/>
    </row>
    <row r="918" ht="16" customHeight="1">
      <c r="A918" s="28">
        <f>IF($B918="","","N-"&amp;TEXT(ROW()-3,"0000"))</f>
        <v/>
      </c>
      <c r="B918" s="47" t="n"/>
      <c r="C918" s="48" t="n"/>
      <c r="D918" s="48" t="n"/>
      <c r="E918" s="28">
        <f>IF($C918="","",IF($D918="",IF($C918="Interna","Sin guía (interna)","FALTA GUÍA"),IF(COUNTIFS(ENVIOS!$A$4:$A$3003,$D918)=0,"NO EXISTE",IF(COUNTIFS(ENVIOS!$A$4:$A$3003,$D918)&gt;1,"DUPLICADA","OK"))))</f>
        <v/>
      </c>
      <c r="F918" s="28">
        <f>IF($D918="","",IFERROR(INDEX(ENVIOS!$B$4:$B$3003,MATCH($D918,ENVIOS!$A$4:$A$3003,0)),"—"))</f>
        <v/>
      </c>
      <c r="G918" s="23">
        <f>IF($D918="","",IFERROR(INDEX(ENVIOS!$D$4:$D$3003,MATCH($D918,ENVIOS!$A$4:$A$3003,0)),"—"))</f>
        <v/>
      </c>
      <c r="H918" s="23">
        <f>IF($D918="","",IFERROR(INDEX(ENVIOS!$E$4:$E$3003,MATCH($D918,ENVIOS!$A$4:$A$3003,0)),"—"))</f>
        <v/>
      </c>
      <c r="I918" s="23">
        <f>IF($D918="","",IFERROR(INDEX(ENVIOS!$F$4:$F$3003,MATCH($D918,ENVIOS!$A$4:$A$3003,0)),"—"))</f>
        <v/>
      </c>
      <c r="J918" s="23">
        <f>IF($D918="","",IFERROR(INDEX(ENVIOS!$G$4:$G$3003,MATCH($D918,ENVIOS!$A$4:$A$3003,0)),"—"))</f>
        <v/>
      </c>
      <c r="K918" s="28">
        <f>IF($D918="","",IFERROR(INDEX(ENVIOS!$H$4:$H$3003,MATCH($D918,ENVIOS!$A$4:$A$3003,0)),"—"))</f>
        <v/>
      </c>
      <c r="L918" s="49">
        <f>IF($D918="","",IFERROR(INDEX(ENVIOS!$C$4:$C$3003,MATCH($D918,ENVIOS!$A$4:$A$3003,0)),""))</f>
        <v/>
      </c>
      <c r="M918" s="50" t="n"/>
      <c r="N918" s="28">
        <f>IF($M918="","",IFERROR(INDEX(CONFIG!$C$4:$C$63,MATCH($M918,CONFIG!$A$4:$A$63,0)),"Media"))</f>
        <v/>
      </c>
      <c r="O918" s="28">
        <f>IF($M918="","",IF($C918="Interna","NO",IFERROR(INDEX(CONFIG!$E$4:$E$63,MATCH($M918,CONFIG!$A$4:$A$63,0)),"NO")))</f>
        <v/>
      </c>
      <c r="P918" s="50" t="n"/>
      <c r="Q918" s="50" t="n"/>
      <c r="R918" s="28">
        <f>IF($Q918="","",IFERROR(INDEX(CONFIG!$H$4:$H$63,MATCH($Q918,CONFIG!$G$4:$G$63,0)),"Por definir"))</f>
        <v/>
      </c>
      <c r="S918" s="28">
        <f>IF($Q918="","",IFERROR(INDEX(CONFIG!$I$4:$I$63,MATCH($Q918,CONFIG!$G$4:$G$63,0)),"Por definir"))</f>
        <v/>
      </c>
      <c r="T918" s="51" t="n"/>
      <c r="U918" s="52" t="n"/>
      <c r="V918" s="50" t="n"/>
      <c r="W918" s="50" t="n"/>
      <c r="X918" s="49">
        <f>IF(OR($B918="",$M918=""),"",WORKDAY($B918,IFERROR(INDEX(CONFIG!$D$4:$D$63,MATCH($M918,CONFIG!$A$4:$A$63,0)),3)))</f>
        <v/>
      </c>
      <c r="Y918" s="47" t="n"/>
      <c r="Z918" s="24">
        <f>IF($B918="","",IF($Y918&lt;&gt;"",$Y918-$B918,TODAY()-$B918))</f>
        <v/>
      </c>
      <c r="AA918" s="28">
        <f>IF($B918="","",IF(IFERROR(INDEX(CONFIG!$L$4:$L$63,MATCH($V918,CONFIG!$K$4:$K$63,0)),"NO")="SÍ",IF(OR($Y918="",$X918=""),"Resuelta",IF($Y918&gt;$X918,"Resuelta tarde","Resuelta a tiempo")),IF($X918="","Sin clasificar",IF(TODAY()&gt;$X918,"Vencida",IF(TODAY()&gt;=$X918-1,"Por vencer","En plazo")))))</f>
        <v/>
      </c>
      <c r="AB918" s="50" t="n"/>
      <c r="AC918" s="50" t="n"/>
    </row>
    <row r="919" ht="16" customHeight="1">
      <c r="A919" s="28">
        <f>IF($B919="","","N-"&amp;TEXT(ROW()-3,"0000"))</f>
        <v/>
      </c>
      <c r="B919" s="47" t="n"/>
      <c r="C919" s="48" t="n"/>
      <c r="D919" s="48" t="n"/>
      <c r="E919" s="28">
        <f>IF($C919="","",IF($D919="",IF($C919="Interna","Sin guía (interna)","FALTA GUÍA"),IF(COUNTIFS(ENVIOS!$A$4:$A$3003,$D919)=0,"NO EXISTE",IF(COUNTIFS(ENVIOS!$A$4:$A$3003,$D919)&gt;1,"DUPLICADA","OK"))))</f>
        <v/>
      </c>
      <c r="F919" s="28">
        <f>IF($D919="","",IFERROR(INDEX(ENVIOS!$B$4:$B$3003,MATCH($D919,ENVIOS!$A$4:$A$3003,0)),"—"))</f>
        <v/>
      </c>
      <c r="G919" s="23">
        <f>IF($D919="","",IFERROR(INDEX(ENVIOS!$D$4:$D$3003,MATCH($D919,ENVIOS!$A$4:$A$3003,0)),"—"))</f>
        <v/>
      </c>
      <c r="H919" s="23">
        <f>IF($D919="","",IFERROR(INDEX(ENVIOS!$E$4:$E$3003,MATCH($D919,ENVIOS!$A$4:$A$3003,0)),"—"))</f>
        <v/>
      </c>
      <c r="I919" s="23">
        <f>IF($D919="","",IFERROR(INDEX(ENVIOS!$F$4:$F$3003,MATCH($D919,ENVIOS!$A$4:$A$3003,0)),"—"))</f>
        <v/>
      </c>
      <c r="J919" s="23">
        <f>IF($D919="","",IFERROR(INDEX(ENVIOS!$G$4:$G$3003,MATCH($D919,ENVIOS!$A$4:$A$3003,0)),"—"))</f>
        <v/>
      </c>
      <c r="K919" s="28">
        <f>IF($D919="","",IFERROR(INDEX(ENVIOS!$H$4:$H$3003,MATCH($D919,ENVIOS!$A$4:$A$3003,0)),"—"))</f>
        <v/>
      </c>
      <c r="L919" s="49">
        <f>IF($D919="","",IFERROR(INDEX(ENVIOS!$C$4:$C$3003,MATCH($D919,ENVIOS!$A$4:$A$3003,0)),""))</f>
        <v/>
      </c>
      <c r="M919" s="50" t="n"/>
      <c r="N919" s="28">
        <f>IF($M919="","",IFERROR(INDEX(CONFIG!$C$4:$C$63,MATCH($M919,CONFIG!$A$4:$A$63,0)),"Media"))</f>
        <v/>
      </c>
      <c r="O919" s="28">
        <f>IF($M919="","",IF($C919="Interna","NO",IFERROR(INDEX(CONFIG!$E$4:$E$63,MATCH($M919,CONFIG!$A$4:$A$63,0)),"NO")))</f>
        <v/>
      </c>
      <c r="P919" s="50" t="n"/>
      <c r="Q919" s="50" t="n"/>
      <c r="R919" s="28">
        <f>IF($Q919="","",IFERROR(INDEX(CONFIG!$H$4:$H$63,MATCH($Q919,CONFIG!$G$4:$G$63,0)),"Por definir"))</f>
        <v/>
      </c>
      <c r="S919" s="28">
        <f>IF($Q919="","",IFERROR(INDEX(CONFIG!$I$4:$I$63,MATCH($Q919,CONFIG!$G$4:$G$63,0)),"Por definir"))</f>
        <v/>
      </c>
      <c r="T919" s="51" t="n"/>
      <c r="U919" s="52" t="n"/>
      <c r="V919" s="50" t="n"/>
      <c r="W919" s="50" t="n"/>
      <c r="X919" s="49">
        <f>IF(OR($B919="",$M919=""),"",WORKDAY($B919,IFERROR(INDEX(CONFIG!$D$4:$D$63,MATCH($M919,CONFIG!$A$4:$A$63,0)),3)))</f>
        <v/>
      </c>
      <c r="Y919" s="47" t="n"/>
      <c r="Z919" s="24">
        <f>IF($B919="","",IF($Y919&lt;&gt;"",$Y919-$B919,TODAY()-$B919))</f>
        <v/>
      </c>
      <c r="AA919" s="28">
        <f>IF($B919="","",IF(IFERROR(INDEX(CONFIG!$L$4:$L$63,MATCH($V919,CONFIG!$K$4:$K$63,0)),"NO")="SÍ",IF(OR($Y919="",$X919=""),"Resuelta",IF($Y919&gt;$X919,"Resuelta tarde","Resuelta a tiempo")),IF($X919="","Sin clasificar",IF(TODAY()&gt;$X919,"Vencida",IF(TODAY()&gt;=$X919-1,"Por vencer","En plazo")))))</f>
        <v/>
      </c>
      <c r="AB919" s="50" t="n"/>
      <c r="AC919" s="50" t="n"/>
    </row>
    <row r="920" ht="16" customHeight="1">
      <c r="A920" s="28">
        <f>IF($B920="","","N-"&amp;TEXT(ROW()-3,"0000"))</f>
        <v/>
      </c>
      <c r="B920" s="47" t="n"/>
      <c r="C920" s="48" t="n"/>
      <c r="D920" s="48" t="n"/>
      <c r="E920" s="28">
        <f>IF($C920="","",IF($D920="",IF($C920="Interna","Sin guía (interna)","FALTA GUÍA"),IF(COUNTIFS(ENVIOS!$A$4:$A$3003,$D920)=0,"NO EXISTE",IF(COUNTIFS(ENVIOS!$A$4:$A$3003,$D920)&gt;1,"DUPLICADA","OK"))))</f>
        <v/>
      </c>
      <c r="F920" s="28">
        <f>IF($D920="","",IFERROR(INDEX(ENVIOS!$B$4:$B$3003,MATCH($D920,ENVIOS!$A$4:$A$3003,0)),"—"))</f>
        <v/>
      </c>
      <c r="G920" s="23">
        <f>IF($D920="","",IFERROR(INDEX(ENVIOS!$D$4:$D$3003,MATCH($D920,ENVIOS!$A$4:$A$3003,0)),"—"))</f>
        <v/>
      </c>
      <c r="H920" s="23">
        <f>IF($D920="","",IFERROR(INDEX(ENVIOS!$E$4:$E$3003,MATCH($D920,ENVIOS!$A$4:$A$3003,0)),"—"))</f>
        <v/>
      </c>
      <c r="I920" s="23">
        <f>IF($D920="","",IFERROR(INDEX(ENVIOS!$F$4:$F$3003,MATCH($D920,ENVIOS!$A$4:$A$3003,0)),"—"))</f>
        <v/>
      </c>
      <c r="J920" s="23">
        <f>IF($D920="","",IFERROR(INDEX(ENVIOS!$G$4:$G$3003,MATCH($D920,ENVIOS!$A$4:$A$3003,0)),"—"))</f>
        <v/>
      </c>
      <c r="K920" s="28">
        <f>IF($D920="","",IFERROR(INDEX(ENVIOS!$H$4:$H$3003,MATCH($D920,ENVIOS!$A$4:$A$3003,0)),"—"))</f>
        <v/>
      </c>
      <c r="L920" s="49">
        <f>IF($D920="","",IFERROR(INDEX(ENVIOS!$C$4:$C$3003,MATCH($D920,ENVIOS!$A$4:$A$3003,0)),""))</f>
        <v/>
      </c>
      <c r="M920" s="50" t="n"/>
      <c r="N920" s="28">
        <f>IF($M920="","",IFERROR(INDEX(CONFIG!$C$4:$C$63,MATCH($M920,CONFIG!$A$4:$A$63,0)),"Media"))</f>
        <v/>
      </c>
      <c r="O920" s="28">
        <f>IF($M920="","",IF($C920="Interna","NO",IFERROR(INDEX(CONFIG!$E$4:$E$63,MATCH($M920,CONFIG!$A$4:$A$63,0)),"NO")))</f>
        <v/>
      </c>
      <c r="P920" s="50" t="n"/>
      <c r="Q920" s="50" t="n"/>
      <c r="R920" s="28">
        <f>IF($Q920="","",IFERROR(INDEX(CONFIG!$H$4:$H$63,MATCH($Q920,CONFIG!$G$4:$G$63,0)),"Por definir"))</f>
        <v/>
      </c>
      <c r="S920" s="28">
        <f>IF($Q920="","",IFERROR(INDEX(CONFIG!$I$4:$I$63,MATCH($Q920,CONFIG!$G$4:$G$63,0)),"Por definir"))</f>
        <v/>
      </c>
      <c r="T920" s="51" t="n"/>
      <c r="U920" s="52" t="n"/>
      <c r="V920" s="50" t="n"/>
      <c r="W920" s="50" t="n"/>
      <c r="X920" s="49">
        <f>IF(OR($B920="",$M920=""),"",WORKDAY($B920,IFERROR(INDEX(CONFIG!$D$4:$D$63,MATCH($M920,CONFIG!$A$4:$A$63,0)),3)))</f>
        <v/>
      </c>
      <c r="Y920" s="47" t="n"/>
      <c r="Z920" s="24">
        <f>IF($B920="","",IF($Y920&lt;&gt;"",$Y920-$B920,TODAY()-$B920))</f>
        <v/>
      </c>
      <c r="AA920" s="28">
        <f>IF($B920="","",IF(IFERROR(INDEX(CONFIG!$L$4:$L$63,MATCH($V920,CONFIG!$K$4:$K$63,0)),"NO")="SÍ",IF(OR($Y920="",$X920=""),"Resuelta",IF($Y920&gt;$X920,"Resuelta tarde","Resuelta a tiempo")),IF($X920="","Sin clasificar",IF(TODAY()&gt;$X920,"Vencida",IF(TODAY()&gt;=$X920-1,"Por vencer","En plazo")))))</f>
        <v/>
      </c>
      <c r="AB920" s="50" t="n"/>
      <c r="AC920" s="50" t="n"/>
    </row>
    <row r="921" ht="16" customHeight="1">
      <c r="A921" s="28">
        <f>IF($B921="","","N-"&amp;TEXT(ROW()-3,"0000"))</f>
        <v/>
      </c>
      <c r="B921" s="47" t="n"/>
      <c r="C921" s="48" t="n"/>
      <c r="D921" s="48" t="n"/>
      <c r="E921" s="28">
        <f>IF($C921="","",IF($D921="",IF($C921="Interna","Sin guía (interna)","FALTA GUÍA"),IF(COUNTIFS(ENVIOS!$A$4:$A$3003,$D921)=0,"NO EXISTE",IF(COUNTIFS(ENVIOS!$A$4:$A$3003,$D921)&gt;1,"DUPLICADA","OK"))))</f>
        <v/>
      </c>
      <c r="F921" s="28">
        <f>IF($D921="","",IFERROR(INDEX(ENVIOS!$B$4:$B$3003,MATCH($D921,ENVIOS!$A$4:$A$3003,0)),"—"))</f>
        <v/>
      </c>
      <c r="G921" s="23">
        <f>IF($D921="","",IFERROR(INDEX(ENVIOS!$D$4:$D$3003,MATCH($D921,ENVIOS!$A$4:$A$3003,0)),"—"))</f>
        <v/>
      </c>
      <c r="H921" s="23">
        <f>IF($D921="","",IFERROR(INDEX(ENVIOS!$E$4:$E$3003,MATCH($D921,ENVIOS!$A$4:$A$3003,0)),"—"))</f>
        <v/>
      </c>
      <c r="I921" s="23">
        <f>IF($D921="","",IFERROR(INDEX(ENVIOS!$F$4:$F$3003,MATCH($D921,ENVIOS!$A$4:$A$3003,0)),"—"))</f>
        <v/>
      </c>
      <c r="J921" s="23">
        <f>IF($D921="","",IFERROR(INDEX(ENVIOS!$G$4:$G$3003,MATCH($D921,ENVIOS!$A$4:$A$3003,0)),"—"))</f>
        <v/>
      </c>
      <c r="K921" s="28">
        <f>IF($D921="","",IFERROR(INDEX(ENVIOS!$H$4:$H$3003,MATCH($D921,ENVIOS!$A$4:$A$3003,0)),"—"))</f>
        <v/>
      </c>
      <c r="L921" s="49">
        <f>IF($D921="","",IFERROR(INDEX(ENVIOS!$C$4:$C$3003,MATCH($D921,ENVIOS!$A$4:$A$3003,0)),""))</f>
        <v/>
      </c>
      <c r="M921" s="50" t="n"/>
      <c r="N921" s="28">
        <f>IF($M921="","",IFERROR(INDEX(CONFIG!$C$4:$C$63,MATCH($M921,CONFIG!$A$4:$A$63,0)),"Media"))</f>
        <v/>
      </c>
      <c r="O921" s="28">
        <f>IF($M921="","",IF($C921="Interna","NO",IFERROR(INDEX(CONFIG!$E$4:$E$63,MATCH($M921,CONFIG!$A$4:$A$63,0)),"NO")))</f>
        <v/>
      </c>
      <c r="P921" s="50" t="n"/>
      <c r="Q921" s="50" t="n"/>
      <c r="R921" s="28">
        <f>IF($Q921="","",IFERROR(INDEX(CONFIG!$H$4:$H$63,MATCH($Q921,CONFIG!$G$4:$G$63,0)),"Por definir"))</f>
        <v/>
      </c>
      <c r="S921" s="28">
        <f>IF($Q921="","",IFERROR(INDEX(CONFIG!$I$4:$I$63,MATCH($Q921,CONFIG!$G$4:$G$63,0)),"Por definir"))</f>
        <v/>
      </c>
      <c r="T921" s="51" t="n"/>
      <c r="U921" s="52" t="n"/>
      <c r="V921" s="50" t="n"/>
      <c r="W921" s="50" t="n"/>
      <c r="X921" s="49">
        <f>IF(OR($B921="",$M921=""),"",WORKDAY($B921,IFERROR(INDEX(CONFIG!$D$4:$D$63,MATCH($M921,CONFIG!$A$4:$A$63,0)),3)))</f>
        <v/>
      </c>
      <c r="Y921" s="47" t="n"/>
      <c r="Z921" s="24">
        <f>IF($B921="","",IF($Y921&lt;&gt;"",$Y921-$B921,TODAY()-$B921))</f>
        <v/>
      </c>
      <c r="AA921" s="28">
        <f>IF($B921="","",IF(IFERROR(INDEX(CONFIG!$L$4:$L$63,MATCH($V921,CONFIG!$K$4:$K$63,0)),"NO")="SÍ",IF(OR($Y921="",$X921=""),"Resuelta",IF($Y921&gt;$X921,"Resuelta tarde","Resuelta a tiempo")),IF($X921="","Sin clasificar",IF(TODAY()&gt;$X921,"Vencida",IF(TODAY()&gt;=$X921-1,"Por vencer","En plazo")))))</f>
        <v/>
      </c>
      <c r="AB921" s="50" t="n"/>
      <c r="AC921" s="50" t="n"/>
    </row>
    <row r="922" ht="16" customHeight="1">
      <c r="A922" s="28">
        <f>IF($B922="","","N-"&amp;TEXT(ROW()-3,"0000"))</f>
        <v/>
      </c>
      <c r="B922" s="47" t="n"/>
      <c r="C922" s="48" t="n"/>
      <c r="D922" s="48" t="n"/>
      <c r="E922" s="28">
        <f>IF($C922="","",IF($D922="",IF($C922="Interna","Sin guía (interna)","FALTA GUÍA"),IF(COUNTIFS(ENVIOS!$A$4:$A$3003,$D922)=0,"NO EXISTE",IF(COUNTIFS(ENVIOS!$A$4:$A$3003,$D922)&gt;1,"DUPLICADA","OK"))))</f>
        <v/>
      </c>
      <c r="F922" s="28">
        <f>IF($D922="","",IFERROR(INDEX(ENVIOS!$B$4:$B$3003,MATCH($D922,ENVIOS!$A$4:$A$3003,0)),"—"))</f>
        <v/>
      </c>
      <c r="G922" s="23">
        <f>IF($D922="","",IFERROR(INDEX(ENVIOS!$D$4:$D$3003,MATCH($D922,ENVIOS!$A$4:$A$3003,0)),"—"))</f>
        <v/>
      </c>
      <c r="H922" s="23">
        <f>IF($D922="","",IFERROR(INDEX(ENVIOS!$E$4:$E$3003,MATCH($D922,ENVIOS!$A$4:$A$3003,0)),"—"))</f>
        <v/>
      </c>
      <c r="I922" s="23">
        <f>IF($D922="","",IFERROR(INDEX(ENVIOS!$F$4:$F$3003,MATCH($D922,ENVIOS!$A$4:$A$3003,0)),"—"))</f>
        <v/>
      </c>
      <c r="J922" s="23">
        <f>IF($D922="","",IFERROR(INDEX(ENVIOS!$G$4:$G$3003,MATCH($D922,ENVIOS!$A$4:$A$3003,0)),"—"))</f>
        <v/>
      </c>
      <c r="K922" s="28">
        <f>IF($D922="","",IFERROR(INDEX(ENVIOS!$H$4:$H$3003,MATCH($D922,ENVIOS!$A$4:$A$3003,0)),"—"))</f>
        <v/>
      </c>
      <c r="L922" s="49">
        <f>IF($D922="","",IFERROR(INDEX(ENVIOS!$C$4:$C$3003,MATCH($D922,ENVIOS!$A$4:$A$3003,0)),""))</f>
        <v/>
      </c>
      <c r="M922" s="50" t="n"/>
      <c r="N922" s="28">
        <f>IF($M922="","",IFERROR(INDEX(CONFIG!$C$4:$C$63,MATCH($M922,CONFIG!$A$4:$A$63,0)),"Media"))</f>
        <v/>
      </c>
      <c r="O922" s="28">
        <f>IF($M922="","",IF($C922="Interna","NO",IFERROR(INDEX(CONFIG!$E$4:$E$63,MATCH($M922,CONFIG!$A$4:$A$63,0)),"NO")))</f>
        <v/>
      </c>
      <c r="P922" s="50" t="n"/>
      <c r="Q922" s="50" t="n"/>
      <c r="R922" s="28">
        <f>IF($Q922="","",IFERROR(INDEX(CONFIG!$H$4:$H$63,MATCH($Q922,CONFIG!$G$4:$G$63,0)),"Por definir"))</f>
        <v/>
      </c>
      <c r="S922" s="28">
        <f>IF($Q922="","",IFERROR(INDEX(CONFIG!$I$4:$I$63,MATCH($Q922,CONFIG!$G$4:$G$63,0)),"Por definir"))</f>
        <v/>
      </c>
      <c r="T922" s="51" t="n"/>
      <c r="U922" s="52" t="n"/>
      <c r="V922" s="50" t="n"/>
      <c r="W922" s="50" t="n"/>
      <c r="X922" s="49">
        <f>IF(OR($B922="",$M922=""),"",WORKDAY($B922,IFERROR(INDEX(CONFIG!$D$4:$D$63,MATCH($M922,CONFIG!$A$4:$A$63,0)),3)))</f>
        <v/>
      </c>
      <c r="Y922" s="47" t="n"/>
      <c r="Z922" s="24">
        <f>IF($B922="","",IF($Y922&lt;&gt;"",$Y922-$B922,TODAY()-$B922))</f>
        <v/>
      </c>
      <c r="AA922" s="28">
        <f>IF($B922="","",IF(IFERROR(INDEX(CONFIG!$L$4:$L$63,MATCH($V922,CONFIG!$K$4:$K$63,0)),"NO")="SÍ",IF(OR($Y922="",$X922=""),"Resuelta",IF($Y922&gt;$X922,"Resuelta tarde","Resuelta a tiempo")),IF($X922="","Sin clasificar",IF(TODAY()&gt;$X922,"Vencida",IF(TODAY()&gt;=$X922-1,"Por vencer","En plazo")))))</f>
        <v/>
      </c>
      <c r="AB922" s="50" t="n"/>
      <c r="AC922" s="50" t="n"/>
    </row>
    <row r="923" ht="16" customHeight="1">
      <c r="A923" s="28">
        <f>IF($B923="","","N-"&amp;TEXT(ROW()-3,"0000"))</f>
        <v/>
      </c>
      <c r="B923" s="47" t="n"/>
      <c r="C923" s="48" t="n"/>
      <c r="D923" s="48" t="n"/>
      <c r="E923" s="28">
        <f>IF($C923="","",IF($D923="",IF($C923="Interna","Sin guía (interna)","FALTA GUÍA"),IF(COUNTIFS(ENVIOS!$A$4:$A$3003,$D923)=0,"NO EXISTE",IF(COUNTIFS(ENVIOS!$A$4:$A$3003,$D923)&gt;1,"DUPLICADA","OK"))))</f>
        <v/>
      </c>
      <c r="F923" s="28">
        <f>IF($D923="","",IFERROR(INDEX(ENVIOS!$B$4:$B$3003,MATCH($D923,ENVIOS!$A$4:$A$3003,0)),"—"))</f>
        <v/>
      </c>
      <c r="G923" s="23">
        <f>IF($D923="","",IFERROR(INDEX(ENVIOS!$D$4:$D$3003,MATCH($D923,ENVIOS!$A$4:$A$3003,0)),"—"))</f>
        <v/>
      </c>
      <c r="H923" s="23">
        <f>IF($D923="","",IFERROR(INDEX(ENVIOS!$E$4:$E$3003,MATCH($D923,ENVIOS!$A$4:$A$3003,0)),"—"))</f>
        <v/>
      </c>
      <c r="I923" s="23">
        <f>IF($D923="","",IFERROR(INDEX(ENVIOS!$F$4:$F$3003,MATCH($D923,ENVIOS!$A$4:$A$3003,0)),"—"))</f>
        <v/>
      </c>
      <c r="J923" s="23">
        <f>IF($D923="","",IFERROR(INDEX(ENVIOS!$G$4:$G$3003,MATCH($D923,ENVIOS!$A$4:$A$3003,0)),"—"))</f>
        <v/>
      </c>
      <c r="K923" s="28">
        <f>IF($D923="","",IFERROR(INDEX(ENVIOS!$H$4:$H$3003,MATCH($D923,ENVIOS!$A$4:$A$3003,0)),"—"))</f>
        <v/>
      </c>
      <c r="L923" s="49">
        <f>IF($D923="","",IFERROR(INDEX(ENVIOS!$C$4:$C$3003,MATCH($D923,ENVIOS!$A$4:$A$3003,0)),""))</f>
        <v/>
      </c>
      <c r="M923" s="50" t="n"/>
      <c r="N923" s="28">
        <f>IF($M923="","",IFERROR(INDEX(CONFIG!$C$4:$C$63,MATCH($M923,CONFIG!$A$4:$A$63,0)),"Media"))</f>
        <v/>
      </c>
      <c r="O923" s="28">
        <f>IF($M923="","",IF($C923="Interna","NO",IFERROR(INDEX(CONFIG!$E$4:$E$63,MATCH($M923,CONFIG!$A$4:$A$63,0)),"NO")))</f>
        <v/>
      </c>
      <c r="P923" s="50" t="n"/>
      <c r="Q923" s="50" t="n"/>
      <c r="R923" s="28">
        <f>IF($Q923="","",IFERROR(INDEX(CONFIG!$H$4:$H$63,MATCH($Q923,CONFIG!$G$4:$G$63,0)),"Por definir"))</f>
        <v/>
      </c>
      <c r="S923" s="28">
        <f>IF($Q923="","",IFERROR(INDEX(CONFIG!$I$4:$I$63,MATCH($Q923,CONFIG!$G$4:$G$63,0)),"Por definir"))</f>
        <v/>
      </c>
      <c r="T923" s="51" t="n"/>
      <c r="U923" s="52" t="n"/>
      <c r="V923" s="50" t="n"/>
      <c r="W923" s="50" t="n"/>
      <c r="X923" s="49">
        <f>IF(OR($B923="",$M923=""),"",WORKDAY($B923,IFERROR(INDEX(CONFIG!$D$4:$D$63,MATCH($M923,CONFIG!$A$4:$A$63,0)),3)))</f>
        <v/>
      </c>
      <c r="Y923" s="47" t="n"/>
      <c r="Z923" s="24">
        <f>IF($B923="","",IF($Y923&lt;&gt;"",$Y923-$B923,TODAY()-$B923))</f>
        <v/>
      </c>
      <c r="AA923" s="28">
        <f>IF($B923="","",IF(IFERROR(INDEX(CONFIG!$L$4:$L$63,MATCH($V923,CONFIG!$K$4:$K$63,0)),"NO")="SÍ",IF(OR($Y923="",$X923=""),"Resuelta",IF($Y923&gt;$X923,"Resuelta tarde","Resuelta a tiempo")),IF($X923="","Sin clasificar",IF(TODAY()&gt;$X923,"Vencida",IF(TODAY()&gt;=$X923-1,"Por vencer","En plazo")))))</f>
        <v/>
      </c>
      <c r="AB923" s="50" t="n"/>
      <c r="AC923" s="50" t="n"/>
    </row>
    <row r="924" ht="16" customHeight="1">
      <c r="A924" s="28">
        <f>IF($B924="","","N-"&amp;TEXT(ROW()-3,"0000"))</f>
        <v/>
      </c>
      <c r="B924" s="47" t="n"/>
      <c r="C924" s="48" t="n"/>
      <c r="D924" s="48" t="n"/>
      <c r="E924" s="28">
        <f>IF($C924="","",IF($D924="",IF($C924="Interna","Sin guía (interna)","FALTA GUÍA"),IF(COUNTIFS(ENVIOS!$A$4:$A$3003,$D924)=0,"NO EXISTE",IF(COUNTIFS(ENVIOS!$A$4:$A$3003,$D924)&gt;1,"DUPLICADA","OK"))))</f>
        <v/>
      </c>
      <c r="F924" s="28">
        <f>IF($D924="","",IFERROR(INDEX(ENVIOS!$B$4:$B$3003,MATCH($D924,ENVIOS!$A$4:$A$3003,0)),"—"))</f>
        <v/>
      </c>
      <c r="G924" s="23">
        <f>IF($D924="","",IFERROR(INDEX(ENVIOS!$D$4:$D$3003,MATCH($D924,ENVIOS!$A$4:$A$3003,0)),"—"))</f>
        <v/>
      </c>
      <c r="H924" s="23">
        <f>IF($D924="","",IFERROR(INDEX(ENVIOS!$E$4:$E$3003,MATCH($D924,ENVIOS!$A$4:$A$3003,0)),"—"))</f>
        <v/>
      </c>
      <c r="I924" s="23">
        <f>IF($D924="","",IFERROR(INDEX(ENVIOS!$F$4:$F$3003,MATCH($D924,ENVIOS!$A$4:$A$3003,0)),"—"))</f>
        <v/>
      </c>
      <c r="J924" s="23">
        <f>IF($D924="","",IFERROR(INDEX(ENVIOS!$G$4:$G$3003,MATCH($D924,ENVIOS!$A$4:$A$3003,0)),"—"))</f>
        <v/>
      </c>
      <c r="K924" s="28">
        <f>IF($D924="","",IFERROR(INDEX(ENVIOS!$H$4:$H$3003,MATCH($D924,ENVIOS!$A$4:$A$3003,0)),"—"))</f>
        <v/>
      </c>
      <c r="L924" s="49">
        <f>IF($D924="","",IFERROR(INDEX(ENVIOS!$C$4:$C$3003,MATCH($D924,ENVIOS!$A$4:$A$3003,0)),""))</f>
        <v/>
      </c>
      <c r="M924" s="50" t="n"/>
      <c r="N924" s="28">
        <f>IF($M924="","",IFERROR(INDEX(CONFIG!$C$4:$C$63,MATCH($M924,CONFIG!$A$4:$A$63,0)),"Media"))</f>
        <v/>
      </c>
      <c r="O924" s="28">
        <f>IF($M924="","",IF($C924="Interna","NO",IFERROR(INDEX(CONFIG!$E$4:$E$63,MATCH($M924,CONFIG!$A$4:$A$63,0)),"NO")))</f>
        <v/>
      </c>
      <c r="P924" s="50" t="n"/>
      <c r="Q924" s="50" t="n"/>
      <c r="R924" s="28">
        <f>IF($Q924="","",IFERROR(INDEX(CONFIG!$H$4:$H$63,MATCH($Q924,CONFIG!$G$4:$G$63,0)),"Por definir"))</f>
        <v/>
      </c>
      <c r="S924" s="28">
        <f>IF($Q924="","",IFERROR(INDEX(CONFIG!$I$4:$I$63,MATCH($Q924,CONFIG!$G$4:$G$63,0)),"Por definir"))</f>
        <v/>
      </c>
      <c r="T924" s="51" t="n"/>
      <c r="U924" s="52" t="n"/>
      <c r="V924" s="50" t="n"/>
      <c r="W924" s="50" t="n"/>
      <c r="X924" s="49">
        <f>IF(OR($B924="",$M924=""),"",WORKDAY($B924,IFERROR(INDEX(CONFIG!$D$4:$D$63,MATCH($M924,CONFIG!$A$4:$A$63,0)),3)))</f>
        <v/>
      </c>
      <c r="Y924" s="47" t="n"/>
      <c r="Z924" s="24">
        <f>IF($B924="","",IF($Y924&lt;&gt;"",$Y924-$B924,TODAY()-$B924))</f>
        <v/>
      </c>
      <c r="AA924" s="28">
        <f>IF($B924="","",IF(IFERROR(INDEX(CONFIG!$L$4:$L$63,MATCH($V924,CONFIG!$K$4:$K$63,0)),"NO")="SÍ",IF(OR($Y924="",$X924=""),"Resuelta",IF($Y924&gt;$X924,"Resuelta tarde","Resuelta a tiempo")),IF($X924="","Sin clasificar",IF(TODAY()&gt;$X924,"Vencida",IF(TODAY()&gt;=$X924-1,"Por vencer","En plazo")))))</f>
        <v/>
      </c>
      <c r="AB924" s="50" t="n"/>
      <c r="AC924" s="50" t="n"/>
    </row>
    <row r="925" ht="16" customHeight="1">
      <c r="A925" s="28">
        <f>IF($B925="","","N-"&amp;TEXT(ROW()-3,"0000"))</f>
        <v/>
      </c>
      <c r="B925" s="47" t="n"/>
      <c r="C925" s="48" t="n"/>
      <c r="D925" s="48" t="n"/>
      <c r="E925" s="28">
        <f>IF($C925="","",IF($D925="",IF($C925="Interna","Sin guía (interna)","FALTA GUÍA"),IF(COUNTIFS(ENVIOS!$A$4:$A$3003,$D925)=0,"NO EXISTE",IF(COUNTIFS(ENVIOS!$A$4:$A$3003,$D925)&gt;1,"DUPLICADA","OK"))))</f>
        <v/>
      </c>
      <c r="F925" s="28">
        <f>IF($D925="","",IFERROR(INDEX(ENVIOS!$B$4:$B$3003,MATCH($D925,ENVIOS!$A$4:$A$3003,0)),"—"))</f>
        <v/>
      </c>
      <c r="G925" s="23">
        <f>IF($D925="","",IFERROR(INDEX(ENVIOS!$D$4:$D$3003,MATCH($D925,ENVIOS!$A$4:$A$3003,0)),"—"))</f>
        <v/>
      </c>
      <c r="H925" s="23">
        <f>IF($D925="","",IFERROR(INDEX(ENVIOS!$E$4:$E$3003,MATCH($D925,ENVIOS!$A$4:$A$3003,0)),"—"))</f>
        <v/>
      </c>
      <c r="I925" s="23">
        <f>IF($D925="","",IFERROR(INDEX(ENVIOS!$F$4:$F$3003,MATCH($D925,ENVIOS!$A$4:$A$3003,0)),"—"))</f>
        <v/>
      </c>
      <c r="J925" s="23">
        <f>IF($D925="","",IFERROR(INDEX(ENVIOS!$G$4:$G$3003,MATCH($D925,ENVIOS!$A$4:$A$3003,0)),"—"))</f>
        <v/>
      </c>
      <c r="K925" s="28">
        <f>IF($D925="","",IFERROR(INDEX(ENVIOS!$H$4:$H$3003,MATCH($D925,ENVIOS!$A$4:$A$3003,0)),"—"))</f>
        <v/>
      </c>
      <c r="L925" s="49">
        <f>IF($D925="","",IFERROR(INDEX(ENVIOS!$C$4:$C$3003,MATCH($D925,ENVIOS!$A$4:$A$3003,0)),""))</f>
        <v/>
      </c>
      <c r="M925" s="50" t="n"/>
      <c r="N925" s="28">
        <f>IF($M925="","",IFERROR(INDEX(CONFIG!$C$4:$C$63,MATCH($M925,CONFIG!$A$4:$A$63,0)),"Media"))</f>
        <v/>
      </c>
      <c r="O925" s="28">
        <f>IF($M925="","",IF($C925="Interna","NO",IFERROR(INDEX(CONFIG!$E$4:$E$63,MATCH($M925,CONFIG!$A$4:$A$63,0)),"NO")))</f>
        <v/>
      </c>
      <c r="P925" s="50" t="n"/>
      <c r="Q925" s="50" t="n"/>
      <c r="R925" s="28">
        <f>IF($Q925="","",IFERROR(INDEX(CONFIG!$H$4:$H$63,MATCH($Q925,CONFIG!$G$4:$G$63,0)),"Por definir"))</f>
        <v/>
      </c>
      <c r="S925" s="28">
        <f>IF($Q925="","",IFERROR(INDEX(CONFIG!$I$4:$I$63,MATCH($Q925,CONFIG!$G$4:$G$63,0)),"Por definir"))</f>
        <v/>
      </c>
      <c r="T925" s="51" t="n"/>
      <c r="U925" s="52" t="n"/>
      <c r="V925" s="50" t="n"/>
      <c r="W925" s="50" t="n"/>
      <c r="X925" s="49">
        <f>IF(OR($B925="",$M925=""),"",WORKDAY($B925,IFERROR(INDEX(CONFIG!$D$4:$D$63,MATCH($M925,CONFIG!$A$4:$A$63,0)),3)))</f>
        <v/>
      </c>
      <c r="Y925" s="47" t="n"/>
      <c r="Z925" s="24">
        <f>IF($B925="","",IF($Y925&lt;&gt;"",$Y925-$B925,TODAY()-$B925))</f>
        <v/>
      </c>
      <c r="AA925" s="28">
        <f>IF($B925="","",IF(IFERROR(INDEX(CONFIG!$L$4:$L$63,MATCH($V925,CONFIG!$K$4:$K$63,0)),"NO")="SÍ",IF(OR($Y925="",$X925=""),"Resuelta",IF($Y925&gt;$X925,"Resuelta tarde","Resuelta a tiempo")),IF($X925="","Sin clasificar",IF(TODAY()&gt;$X925,"Vencida",IF(TODAY()&gt;=$X925-1,"Por vencer","En plazo")))))</f>
        <v/>
      </c>
      <c r="AB925" s="50" t="n"/>
      <c r="AC925" s="50" t="n"/>
    </row>
    <row r="926" ht="16" customHeight="1">
      <c r="A926" s="28">
        <f>IF($B926="","","N-"&amp;TEXT(ROW()-3,"0000"))</f>
        <v/>
      </c>
      <c r="B926" s="47" t="n"/>
      <c r="C926" s="48" t="n"/>
      <c r="D926" s="48" t="n"/>
      <c r="E926" s="28">
        <f>IF($C926="","",IF($D926="",IF($C926="Interna","Sin guía (interna)","FALTA GUÍA"),IF(COUNTIFS(ENVIOS!$A$4:$A$3003,$D926)=0,"NO EXISTE",IF(COUNTIFS(ENVIOS!$A$4:$A$3003,$D926)&gt;1,"DUPLICADA","OK"))))</f>
        <v/>
      </c>
      <c r="F926" s="28">
        <f>IF($D926="","",IFERROR(INDEX(ENVIOS!$B$4:$B$3003,MATCH($D926,ENVIOS!$A$4:$A$3003,0)),"—"))</f>
        <v/>
      </c>
      <c r="G926" s="23">
        <f>IF($D926="","",IFERROR(INDEX(ENVIOS!$D$4:$D$3003,MATCH($D926,ENVIOS!$A$4:$A$3003,0)),"—"))</f>
        <v/>
      </c>
      <c r="H926" s="23">
        <f>IF($D926="","",IFERROR(INDEX(ENVIOS!$E$4:$E$3003,MATCH($D926,ENVIOS!$A$4:$A$3003,0)),"—"))</f>
        <v/>
      </c>
      <c r="I926" s="23">
        <f>IF($D926="","",IFERROR(INDEX(ENVIOS!$F$4:$F$3003,MATCH($D926,ENVIOS!$A$4:$A$3003,0)),"—"))</f>
        <v/>
      </c>
      <c r="J926" s="23">
        <f>IF($D926="","",IFERROR(INDEX(ENVIOS!$G$4:$G$3003,MATCH($D926,ENVIOS!$A$4:$A$3003,0)),"—"))</f>
        <v/>
      </c>
      <c r="K926" s="28">
        <f>IF($D926="","",IFERROR(INDEX(ENVIOS!$H$4:$H$3003,MATCH($D926,ENVIOS!$A$4:$A$3003,0)),"—"))</f>
        <v/>
      </c>
      <c r="L926" s="49">
        <f>IF($D926="","",IFERROR(INDEX(ENVIOS!$C$4:$C$3003,MATCH($D926,ENVIOS!$A$4:$A$3003,0)),""))</f>
        <v/>
      </c>
      <c r="M926" s="50" t="n"/>
      <c r="N926" s="28">
        <f>IF($M926="","",IFERROR(INDEX(CONFIG!$C$4:$C$63,MATCH($M926,CONFIG!$A$4:$A$63,0)),"Media"))</f>
        <v/>
      </c>
      <c r="O926" s="28">
        <f>IF($M926="","",IF($C926="Interna","NO",IFERROR(INDEX(CONFIG!$E$4:$E$63,MATCH($M926,CONFIG!$A$4:$A$63,0)),"NO")))</f>
        <v/>
      </c>
      <c r="P926" s="50" t="n"/>
      <c r="Q926" s="50" t="n"/>
      <c r="R926" s="28">
        <f>IF($Q926="","",IFERROR(INDEX(CONFIG!$H$4:$H$63,MATCH($Q926,CONFIG!$G$4:$G$63,0)),"Por definir"))</f>
        <v/>
      </c>
      <c r="S926" s="28">
        <f>IF($Q926="","",IFERROR(INDEX(CONFIG!$I$4:$I$63,MATCH($Q926,CONFIG!$G$4:$G$63,0)),"Por definir"))</f>
        <v/>
      </c>
      <c r="T926" s="51" t="n"/>
      <c r="U926" s="52" t="n"/>
      <c r="V926" s="50" t="n"/>
      <c r="W926" s="50" t="n"/>
      <c r="X926" s="49">
        <f>IF(OR($B926="",$M926=""),"",WORKDAY($B926,IFERROR(INDEX(CONFIG!$D$4:$D$63,MATCH($M926,CONFIG!$A$4:$A$63,0)),3)))</f>
        <v/>
      </c>
      <c r="Y926" s="47" t="n"/>
      <c r="Z926" s="24">
        <f>IF($B926="","",IF($Y926&lt;&gt;"",$Y926-$B926,TODAY()-$B926))</f>
        <v/>
      </c>
      <c r="AA926" s="28">
        <f>IF($B926="","",IF(IFERROR(INDEX(CONFIG!$L$4:$L$63,MATCH($V926,CONFIG!$K$4:$K$63,0)),"NO")="SÍ",IF(OR($Y926="",$X926=""),"Resuelta",IF($Y926&gt;$X926,"Resuelta tarde","Resuelta a tiempo")),IF($X926="","Sin clasificar",IF(TODAY()&gt;$X926,"Vencida",IF(TODAY()&gt;=$X926-1,"Por vencer","En plazo")))))</f>
        <v/>
      </c>
      <c r="AB926" s="50" t="n"/>
      <c r="AC926" s="50" t="n"/>
    </row>
    <row r="927" ht="16" customHeight="1">
      <c r="A927" s="28">
        <f>IF($B927="","","N-"&amp;TEXT(ROW()-3,"0000"))</f>
        <v/>
      </c>
      <c r="B927" s="47" t="n"/>
      <c r="C927" s="48" t="n"/>
      <c r="D927" s="48" t="n"/>
      <c r="E927" s="28">
        <f>IF($C927="","",IF($D927="",IF($C927="Interna","Sin guía (interna)","FALTA GUÍA"),IF(COUNTIFS(ENVIOS!$A$4:$A$3003,$D927)=0,"NO EXISTE",IF(COUNTIFS(ENVIOS!$A$4:$A$3003,$D927)&gt;1,"DUPLICADA","OK"))))</f>
        <v/>
      </c>
      <c r="F927" s="28">
        <f>IF($D927="","",IFERROR(INDEX(ENVIOS!$B$4:$B$3003,MATCH($D927,ENVIOS!$A$4:$A$3003,0)),"—"))</f>
        <v/>
      </c>
      <c r="G927" s="23">
        <f>IF($D927="","",IFERROR(INDEX(ENVIOS!$D$4:$D$3003,MATCH($D927,ENVIOS!$A$4:$A$3003,0)),"—"))</f>
        <v/>
      </c>
      <c r="H927" s="23">
        <f>IF($D927="","",IFERROR(INDEX(ENVIOS!$E$4:$E$3003,MATCH($D927,ENVIOS!$A$4:$A$3003,0)),"—"))</f>
        <v/>
      </c>
      <c r="I927" s="23">
        <f>IF($D927="","",IFERROR(INDEX(ENVIOS!$F$4:$F$3003,MATCH($D927,ENVIOS!$A$4:$A$3003,0)),"—"))</f>
        <v/>
      </c>
      <c r="J927" s="23">
        <f>IF($D927="","",IFERROR(INDEX(ENVIOS!$G$4:$G$3003,MATCH($D927,ENVIOS!$A$4:$A$3003,0)),"—"))</f>
        <v/>
      </c>
      <c r="K927" s="28">
        <f>IF($D927="","",IFERROR(INDEX(ENVIOS!$H$4:$H$3003,MATCH($D927,ENVIOS!$A$4:$A$3003,0)),"—"))</f>
        <v/>
      </c>
      <c r="L927" s="49">
        <f>IF($D927="","",IFERROR(INDEX(ENVIOS!$C$4:$C$3003,MATCH($D927,ENVIOS!$A$4:$A$3003,0)),""))</f>
        <v/>
      </c>
      <c r="M927" s="50" t="n"/>
      <c r="N927" s="28">
        <f>IF($M927="","",IFERROR(INDEX(CONFIG!$C$4:$C$63,MATCH($M927,CONFIG!$A$4:$A$63,0)),"Media"))</f>
        <v/>
      </c>
      <c r="O927" s="28">
        <f>IF($M927="","",IF($C927="Interna","NO",IFERROR(INDEX(CONFIG!$E$4:$E$63,MATCH($M927,CONFIG!$A$4:$A$63,0)),"NO")))</f>
        <v/>
      </c>
      <c r="P927" s="50" t="n"/>
      <c r="Q927" s="50" t="n"/>
      <c r="R927" s="28">
        <f>IF($Q927="","",IFERROR(INDEX(CONFIG!$H$4:$H$63,MATCH($Q927,CONFIG!$G$4:$G$63,0)),"Por definir"))</f>
        <v/>
      </c>
      <c r="S927" s="28">
        <f>IF($Q927="","",IFERROR(INDEX(CONFIG!$I$4:$I$63,MATCH($Q927,CONFIG!$G$4:$G$63,0)),"Por definir"))</f>
        <v/>
      </c>
      <c r="T927" s="51" t="n"/>
      <c r="U927" s="52" t="n"/>
      <c r="V927" s="50" t="n"/>
      <c r="W927" s="50" t="n"/>
      <c r="X927" s="49">
        <f>IF(OR($B927="",$M927=""),"",WORKDAY($B927,IFERROR(INDEX(CONFIG!$D$4:$D$63,MATCH($M927,CONFIG!$A$4:$A$63,0)),3)))</f>
        <v/>
      </c>
      <c r="Y927" s="47" t="n"/>
      <c r="Z927" s="24">
        <f>IF($B927="","",IF($Y927&lt;&gt;"",$Y927-$B927,TODAY()-$B927))</f>
        <v/>
      </c>
      <c r="AA927" s="28">
        <f>IF($B927="","",IF(IFERROR(INDEX(CONFIG!$L$4:$L$63,MATCH($V927,CONFIG!$K$4:$K$63,0)),"NO")="SÍ",IF(OR($Y927="",$X927=""),"Resuelta",IF($Y927&gt;$X927,"Resuelta tarde","Resuelta a tiempo")),IF($X927="","Sin clasificar",IF(TODAY()&gt;$X927,"Vencida",IF(TODAY()&gt;=$X927-1,"Por vencer","En plazo")))))</f>
        <v/>
      </c>
      <c r="AB927" s="50" t="n"/>
      <c r="AC927" s="50" t="n"/>
    </row>
    <row r="928" ht="16" customHeight="1">
      <c r="A928" s="28">
        <f>IF($B928="","","N-"&amp;TEXT(ROW()-3,"0000"))</f>
        <v/>
      </c>
      <c r="B928" s="47" t="n"/>
      <c r="C928" s="48" t="n"/>
      <c r="D928" s="48" t="n"/>
      <c r="E928" s="28">
        <f>IF($C928="","",IF($D928="",IF($C928="Interna","Sin guía (interna)","FALTA GUÍA"),IF(COUNTIFS(ENVIOS!$A$4:$A$3003,$D928)=0,"NO EXISTE",IF(COUNTIFS(ENVIOS!$A$4:$A$3003,$D928)&gt;1,"DUPLICADA","OK"))))</f>
        <v/>
      </c>
      <c r="F928" s="28">
        <f>IF($D928="","",IFERROR(INDEX(ENVIOS!$B$4:$B$3003,MATCH($D928,ENVIOS!$A$4:$A$3003,0)),"—"))</f>
        <v/>
      </c>
      <c r="G928" s="23">
        <f>IF($D928="","",IFERROR(INDEX(ENVIOS!$D$4:$D$3003,MATCH($D928,ENVIOS!$A$4:$A$3003,0)),"—"))</f>
        <v/>
      </c>
      <c r="H928" s="23">
        <f>IF($D928="","",IFERROR(INDEX(ENVIOS!$E$4:$E$3003,MATCH($D928,ENVIOS!$A$4:$A$3003,0)),"—"))</f>
        <v/>
      </c>
      <c r="I928" s="23">
        <f>IF($D928="","",IFERROR(INDEX(ENVIOS!$F$4:$F$3003,MATCH($D928,ENVIOS!$A$4:$A$3003,0)),"—"))</f>
        <v/>
      </c>
      <c r="J928" s="23">
        <f>IF($D928="","",IFERROR(INDEX(ENVIOS!$G$4:$G$3003,MATCH($D928,ENVIOS!$A$4:$A$3003,0)),"—"))</f>
        <v/>
      </c>
      <c r="K928" s="28">
        <f>IF($D928="","",IFERROR(INDEX(ENVIOS!$H$4:$H$3003,MATCH($D928,ENVIOS!$A$4:$A$3003,0)),"—"))</f>
        <v/>
      </c>
      <c r="L928" s="49">
        <f>IF($D928="","",IFERROR(INDEX(ENVIOS!$C$4:$C$3003,MATCH($D928,ENVIOS!$A$4:$A$3003,0)),""))</f>
        <v/>
      </c>
      <c r="M928" s="50" t="n"/>
      <c r="N928" s="28">
        <f>IF($M928="","",IFERROR(INDEX(CONFIG!$C$4:$C$63,MATCH($M928,CONFIG!$A$4:$A$63,0)),"Media"))</f>
        <v/>
      </c>
      <c r="O928" s="28">
        <f>IF($M928="","",IF($C928="Interna","NO",IFERROR(INDEX(CONFIG!$E$4:$E$63,MATCH($M928,CONFIG!$A$4:$A$63,0)),"NO")))</f>
        <v/>
      </c>
      <c r="P928" s="50" t="n"/>
      <c r="Q928" s="50" t="n"/>
      <c r="R928" s="28">
        <f>IF($Q928="","",IFERROR(INDEX(CONFIG!$H$4:$H$63,MATCH($Q928,CONFIG!$G$4:$G$63,0)),"Por definir"))</f>
        <v/>
      </c>
      <c r="S928" s="28">
        <f>IF($Q928="","",IFERROR(INDEX(CONFIG!$I$4:$I$63,MATCH($Q928,CONFIG!$G$4:$G$63,0)),"Por definir"))</f>
        <v/>
      </c>
      <c r="T928" s="51" t="n"/>
      <c r="U928" s="52" t="n"/>
      <c r="V928" s="50" t="n"/>
      <c r="W928" s="50" t="n"/>
      <c r="X928" s="49">
        <f>IF(OR($B928="",$M928=""),"",WORKDAY($B928,IFERROR(INDEX(CONFIG!$D$4:$D$63,MATCH($M928,CONFIG!$A$4:$A$63,0)),3)))</f>
        <v/>
      </c>
      <c r="Y928" s="47" t="n"/>
      <c r="Z928" s="24">
        <f>IF($B928="","",IF($Y928&lt;&gt;"",$Y928-$B928,TODAY()-$B928))</f>
        <v/>
      </c>
      <c r="AA928" s="28">
        <f>IF($B928="","",IF(IFERROR(INDEX(CONFIG!$L$4:$L$63,MATCH($V928,CONFIG!$K$4:$K$63,0)),"NO")="SÍ",IF(OR($Y928="",$X928=""),"Resuelta",IF($Y928&gt;$X928,"Resuelta tarde","Resuelta a tiempo")),IF($X928="","Sin clasificar",IF(TODAY()&gt;$X928,"Vencida",IF(TODAY()&gt;=$X928-1,"Por vencer","En plazo")))))</f>
        <v/>
      </c>
      <c r="AB928" s="50" t="n"/>
      <c r="AC928" s="50" t="n"/>
    </row>
    <row r="929" ht="16" customHeight="1">
      <c r="A929" s="28">
        <f>IF($B929="","","N-"&amp;TEXT(ROW()-3,"0000"))</f>
        <v/>
      </c>
      <c r="B929" s="47" t="n"/>
      <c r="C929" s="48" t="n"/>
      <c r="D929" s="48" t="n"/>
      <c r="E929" s="28">
        <f>IF($C929="","",IF($D929="",IF($C929="Interna","Sin guía (interna)","FALTA GUÍA"),IF(COUNTIFS(ENVIOS!$A$4:$A$3003,$D929)=0,"NO EXISTE",IF(COUNTIFS(ENVIOS!$A$4:$A$3003,$D929)&gt;1,"DUPLICADA","OK"))))</f>
        <v/>
      </c>
      <c r="F929" s="28">
        <f>IF($D929="","",IFERROR(INDEX(ENVIOS!$B$4:$B$3003,MATCH($D929,ENVIOS!$A$4:$A$3003,0)),"—"))</f>
        <v/>
      </c>
      <c r="G929" s="23">
        <f>IF($D929="","",IFERROR(INDEX(ENVIOS!$D$4:$D$3003,MATCH($D929,ENVIOS!$A$4:$A$3003,0)),"—"))</f>
        <v/>
      </c>
      <c r="H929" s="23">
        <f>IF($D929="","",IFERROR(INDEX(ENVIOS!$E$4:$E$3003,MATCH($D929,ENVIOS!$A$4:$A$3003,0)),"—"))</f>
        <v/>
      </c>
      <c r="I929" s="23">
        <f>IF($D929="","",IFERROR(INDEX(ENVIOS!$F$4:$F$3003,MATCH($D929,ENVIOS!$A$4:$A$3003,0)),"—"))</f>
        <v/>
      </c>
      <c r="J929" s="23">
        <f>IF($D929="","",IFERROR(INDEX(ENVIOS!$G$4:$G$3003,MATCH($D929,ENVIOS!$A$4:$A$3003,0)),"—"))</f>
        <v/>
      </c>
      <c r="K929" s="28">
        <f>IF($D929="","",IFERROR(INDEX(ENVIOS!$H$4:$H$3003,MATCH($D929,ENVIOS!$A$4:$A$3003,0)),"—"))</f>
        <v/>
      </c>
      <c r="L929" s="49">
        <f>IF($D929="","",IFERROR(INDEX(ENVIOS!$C$4:$C$3003,MATCH($D929,ENVIOS!$A$4:$A$3003,0)),""))</f>
        <v/>
      </c>
      <c r="M929" s="50" t="n"/>
      <c r="N929" s="28">
        <f>IF($M929="","",IFERROR(INDEX(CONFIG!$C$4:$C$63,MATCH($M929,CONFIG!$A$4:$A$63,0)),"Media"))</f>
        <v/>
      </c>
      <c r="O929" s="28">
        <f>IF($M929="","",IF($C929="Interna","NO",IFERROR(INDEX(CONFIG!$E$4:$E$63,MATCH($M929,CONFIG!$A$4:$A$63,0)),"NO")))</f>
        <v/>
      </c>
      <c r="P929" s="50" t="n"/>
      <c r="Q929" s="50" t="n"/>
      <c r="R929" s="28">
        <f>IF($Q929="","",IFERROR(INDEX(CONFIG!$H$4:$H$63,MATCH($Q929,CONFIG!$G$4:$G$63,0)),"Por definir"))</f>
        <v/>
      </c>
      <c r="S929" s="28">
        <f>IF($Q929="","",IFERROR(INDEX(CONFIG!$I$4:$I$63,MATCH($Q929,CONFIG!$G$4:$G$63,0)),"Por definir"))</f>
        <v/>
      </c>
      <c r="T929" s="51" t="n"/>
      <c r="U929" s="52" t="n"/>
      <c r="V929" s="50" t="n"/>
      <c r="W929" s="50" t="n"/>
      <c r="X929" s="49">
        <f>IF(OR($B929="",$M929=""),"",WORKDAY($B929,IFERROR(INDEX(CONFIG!$D$4:$D$63,MATCH($M929,CONFIG!$A$4:$A$63,0)),3)))</f>
        <v/>
      </c>
      <c r="Y929" s="47" t="n"/>
      <c r="Z929" s="24">
        <f>IF($B929="","",IF($Y929&lt;&gt;"",$Y929-$B929,TODAY()-$B929))</f>
        <v/>
      </c>
      <c r="AA929" s="28">
        <f>IF($B929="","",IF(IFERROR(INDEX(CONFIG!$L$4:$L$63,MATCH($V929,CONFIG!$K$4:$K$63,0)),"NO")="SÍ",IF(OR($Y929="",$X929=""),"Resuelta",IF($Y929&gt;$X929,"Resuelta tarde","Resuelta a tiempo")),IF($X929="","Sin clasificar",IF(TODAY()&gt;$X929,"Vencida",IF(TODAY()&gt;=$X929-1,"Por vencer","En plazo")))))</f>
        <v/>
      </c>
      <c r="AB929" s="50" t="n"/>
      <c r="AC929" s="50" t="n"/>
    </row>
    <row r="930" ht="16" customHeight="1">
      <c r="A930" s="28">
        <f>IF($B930="","","N-"&amp;TEXT(ROW()-3,"0000"))</f>
        <v/>
      </c>
      <c r="B930" s="47" t="n"/>
      <c r="C930" s="48" t="n"/>
      <c r="D930" s="48" t="n"/>
      <c r="E930" s="28">
        <f>IF($C930="","",IF($D930="",IF($C930="Interna","Sin guía (interna)","FALTA GUÍA"),IF(COUNTIFS(ENVIOS!$A$4:$A$3003,$D930)=0,"NO EXISTE",IF(COUNTIFS(ENVIOS!$A$4:$A$3003,$D930)&gt;1,"DUPLICADA","OK"))))</f>
        <v/>
      </c>
      <c r="F930" s="28">
        <f>IF($D930="","",IFERROR(INDEX(ENVIOS!$B$4:$B$3003,MATCH($D930,ENVIOS!$A$4:$A$3003,0)),"—"))</f>
        <v/>
      </c>
      <c r="G930" s="23">
        <f>IF($D930="","",IFERROR(INDEX(ENVIOS!$D$4:$D$3003,MATCH($D930,ENVIOS!$A$4:$A$3003,0)),"—"))</f>
        <v/>
      </c>
      <c r="H930" s="23">
        <f>IF($D930="","",IFERROR(INDEX(ENVIOS!$E$4:$E$3003,MATCH($D930,ENVIOS!$A$4:$A$3003,0)),"—"))</f>
        <v/>
      </c>
      <c r="I930" s="23">
        <f>IF($D930="","",IFERROR(INDEX(ENVIOS!$F$4:$F$3003,MATCH($D930,ENVIOS!$A$4:$A$3003,0)),"—"))</f>
        <v/>
      </c>
      <c r="J930" s="23">
        <f>IF($D930="","",IFERROR(INDEX(ENVIOS!$G$4:$G$3003,MATCH($D930,ENVIOS!$A$4:$A$3003,0)),"—"))</f>
        <v/>
      </c>
      <c r="K930" s="28">
        <f>IF($D930="","",IFERROR(INDEX(ENVIOS!$H$4:$H$3003,MATCH($D930,ENVIOS!$A$4:$A$3003,0)),"—"))</f>
        <v/>
      </c>
      <c r="L930" s="49">
        <f>IF($D930="","",IFERROR(INDEX(ENVIOS!$C$4:$C$3003,MATCH($D930,ENVIOS!$A$4:$A$3003,0)),""))</f>
        <v/>
      </c>
      <c r="M930" s="50" t="n"/>
      <c r="N930" s="28">
        <f>IF($M930="","",IFERROR(INDEX(CONFIG!$C$4:$C$63,MATCH($M930,CONFIG!$A$4:$A$63,0)),"Media"))</f>
        <v/>
      </c>
      <c r="O930" s="28">
        <f>IF($M930="","",IF($C930="Interna","NO",IFERROR(INDEX(CONFIG!$E$4:$E$63,MATCH($M930,CONFIG!$A$4:$A$63,0)),"NO")))</f>
        <v/>
      </c>
      <c r="P930" s="50" t="n"/>
      <c r="Q930" s="50" t="n"/>
      <c r="R930" s="28">
        <f>IF($Q930="","",IFERROR(INDEX(CONFIG!$H$4:$H$63,MATCH($Q930,CONFIG!$G$4:$G$63,0)),"Por definir"))</f>
        <v/>
      </c>
      <c r="S930" s="28">
        <f>IF($Q930="","",IFERROR(INDEX(CONFIG!$I$4:$I$63,MATCH($Q930,CONFIG!$G$4:$G$63,0)),"Por definir"))</f>
        <v/>
      </c>
      <c r="T930" s="51" t="n"/>
      <c r="U930" s="52" t="n"/>
      <c r="V930" s="50" t="n"/>
      <c r="W930" s="50" t="n"/>
      <c r="X930" s="49">
        <f>IF(OR($B930="",$M930=""),"",WORKDAY($B930,IFERROR(INDEX(CONFIG!$D$4:$D$63,MATCH($M930,CONFIG!$A$4:$A$63,0)),3)))</f>
        <v/>
      </c>
      <c r="Y930" s="47" t="n"/>
      <c r="Z930" s="24">
        <f>IF($B930="","",IF($Y930&lt;&gt;"",$Y930-$B930,TODAY()-$B930))</f>
        <v/>
      </c>
      <c r="AA930" s="28">
        <f>IF($B930="","",IF(IFERROR(INDEX(CONFIG!$L$4:$L$63,MATCH($V930,CONFIG!$K$4:$K$63,0)),"NO")="SÍ",IF(OR($Y930="",$X930=""),"Resuelta",IF($Y930&gt;$X930,"Resuelta tarde","Resuelta a tiempo")),IF($X930="","Sin clasificar",IF(TODAY()&gt;$X930,"Vencida",IF(TODAY()&gt;=$X930-1,"Por vencer","En plazo")))))</f>
        <v/>
      </c>
      <c r="AB930" s="50" t="n"/>
      <c r="AC930" s="50" t="n"/>
    </row>
    <row r="931" ht="16" customHeight="1">
      <c r="A931" s="28">
        <f>IF($B931="","","N-"&amp;TEXT(ROW()-3,"0000"))</f>
        <v/>
      </c>
      <c r="B931" s="47" t="n"/>
      <c r="C931" s="48" t="n"/>
      <c r="D931" s="48" t="n"/>
      <c r="E931" s="28">
        <f>IF($C931="","",IF($D931="",IF($C931="Interna","Sin guía (interna)","FALTA GUÍA"),IF(COUNTIFS(ENVIOS!$A$4:$A$3003,$D931)=0,"NO EXISTE",IF(COUNTIFS(ENVIOS!$A$4:$A$3003,$D931)&gt;1,"DUPLICADA","OK"))))</f>
        <v/>
      </c>
      <c r="F931" s="28">
        <f>IF($D931="","",IFERROR(INDEX(ENVIOS!$B$4:$B$3003,MATCH($D931,ENVIOS!$A$4:$A$3003,0)),"—"))</f>
        <v/>
      </c>
      <c r="G931" s="23">
        <f>IF($D931="","",IFERROR(INDEX(ENVIOS!$D$4:$D$3003,MATCH($D931,ENVIOS!$A$4:$A$3003,0)),"—"))</f>
        <v/>
      </c>
      <c r="H931" s="23">
        <f>IF($D931="","",IFERROR(INDEX(ENVIOS!$E$4:$E$3003,MATCH($D931,ENVIOS!$A$4:$A$3003,0)),"—"))</f>
        <v/>
      </c>
      <c r="I931" s="23">
        <f>IF($D931="","",IFERROR(INDEX(ENVIOS!$F$4:$F$3003,MATCH($D931,ENVIOS!$A$4:$A$3003,0)),"—"))</f>
        <v/>
      </c>
      <c r="J931" s="23">
        <f>IF($D931="","",IFERROR(INDEX(ENVIOS!$G$4:$G$3003,MATCH($D931,ENVIOS!$A$4:$A$3003,0)),"—"))</f>
        <v/>
      </c>
      <c r="K931" s="28">
        <f>IF($D931="","",IFERROR(INDEX(ENVIOS!$H$4:$H$3003,MATCH($D931,ENVIOS!$A$4:$A$3003,0)),"—"))</f>
        <v/>
      </c>
      <c r="L931" s="49">
        <f>IF($D931="","",IFERROR(INDEX(ENVIOS!$C$4:$C$3003,MATCH($D931,ENVIOS!$A$4:$A$3003,0)),""))</f>
        <v/>
      </c>
      <c r="M931" s="50" t="n"/>
      <c r="N931" s="28">
        <f>IF($M931="","",IFERROR(INDEX(CONFIG!$C$4:$C$63,MATCH($M931,CONFIG!$A$4:$A$63,0)),"Media"))</f>
        <v/>
      </c>
      <c r="O931" s="28">
        <f>IF($M931="","",IF($C931="Interna","NO",IFERROR(INDEX(CONFIG!$E$4:$E$63,MATCH($M931,CONFIG!$A$4:$A$63,0)),"NO")))</f>
        <v/>
      </c>
      <c r="P931" s="50" t="n"/>
      <c r="Q931" s="50" t="n"/>
      <c r="R931" s="28">
        <f>IF($Q931="","",IFERROR(INDEX(CONFIG!$H$4:$H$63,MATCH($Q931,CONFIG!$G$4:$G$63,0)),"Por definir"))</f>
        <v/>
      </c>
      <c r="S931" s="28">
        <f>IF($Q931="","",IFERROR(INDEX(CONFIG!$I$4:$I$63,MATCH($Q931,CONFIG!$G$4:$G$63,0)),"Por definir"))</f>
        <v/>
      </c>
      <c r="T931" s="51" t="n"/>
      <c r="U931" s="52" t="n"/>
      <c r="V931" s="50" t="n"/>
      <c r="W931" s="50" t="n"/>
      <c r="X931" s="49">
        <f>IF(OR($B931="",$M931=""),"",WORKDAY($B931,IFERROR(INDEX(CONFIG!$D$4:$D$63,MATCH($M931,CONFIG!$A$4:$A$63,0)),3)))</f>
        <v/>
      </c>
      <c r="Y931" s="47" t="n"/>
      <c r="Z931" s="24">
        <f>IF($B931="","",IF($Y931&lt;&gt;"",$Y931-$B931,TODAY()-$B931))</f>
        <v/>
      </c>
      <c r="AA931" s="28">
        <f>IF($B931="","",IF(IFERROR(INDEX(CONFIG!$L$4:$L$63,MATCH($V931,CONFIG!$K$4:$K$63,0)),"NO")="SÍ",IF(OR($Y931="",$X931=""),"Resuelta",IF($Y931&gt;$X931,"Resuelta tarde","Resuelta a tiempo")),IF($X931="","Sin clasificar",IF(TODAY()&gt;$X931,"Vencida",IF(TODAY()&gt;=$X931-1,"Por vencer","En plazo")))))</f>
        <v/>
      </c>
      <c r="AB931" s="50" t="n"/>
      <c r="AC931" s="50" t="n"/>
    </row>
    <row r="932" ht="16" customHeight="1">
      <c r="A932" s="28">
        <f>IF($B932="","","N-"&amp;TEXT(ROW()-3,"0000"))</f>
        <v/>
      </c>
      <c r="B932" s="47" t="n"/>
      <c r="C932" s="48" t="n"/>
      <c r="D932" s="48" t="n"/>
      <c r="E932" s="28">
        <f>IF($C932="","",IF($D932="",IF($C932="Interna","Sin guía (interna)","FALTA GUÍA"),IF(COUNTIFS(ENVIOS!$A$4:$A$3003,$D932)=0,"NO EXISTE",IF(COUNTIFS(ENVIOS!$A$4:$A$3003,$D932)&gt;1,"DUPLICADA","OK"))))</f>
        <v/>
      </c>
      <c r="F932" s="28">
        <f>IF($D932="","",IFERROR(INDEX(ENVIOS!$B$4:$B$3003,MATCH($D932,ENVIOS!$A$4:$A$3003,0)),"—"))</f>
        <v/>
      </c>
      <c r="G932" s="23">
        <f>IF($D932="","",IFERROR(INDEX(ENVIOS!$D$4:$D$3003,MATCH($D932,ENVIOS!$A$4:$A$3003,0)),"—"))</f>
        <v/>
      </c>
      <c r="H932" s="23">
        <f>IF($D932="","",IFERROR(INDEX(ENVIOS!$E$4:$E$3003,MATCH($D932,ENVIOS!$A$4:$A$3003,0)),"—"))</f>
        <v/>
      </c>
      <c r="I932" s="23">
        <f>IF($D932="","",IFERROR(INDEX(ENVIOS!$F$4:$F$3003,MATCH($D932,ENVIOS!$A$4:$A$3003,0)),"—"))</f>
        <v/>
      </c>
      <c r="J932" s="23">
        <f>IF($D932="","",IFERROR(INDEX(ENVIOS!$G$4:$G$3003,MATCH($D932,ENVIOS!$A$4:$A$3003,0)),"—"))</f>
        <v/>
      </c>
      <c r="K932" s="28">
        <f>IF($D932="","",IFERROR(INDEX(ENVIOS!$H$4:$H$3003,MATCH($D932,ENVIOS!$A$4:$A$3003,0)),"—"))</f>
        <v/>
      </c>
      <c r="L932" s="49">
        <f>IF($D932="","",IFERROR(INDEX(ENVIOS!$C$4:$C$3003,MATCH($D932,ENVIOS!$A$4:$A$3003,0)),""))</f>
        <v/>
      </c>
      <c r="M932" s="50" t="n"/>
      <c r="N932" s="28">
        <f>IF($M932="","",IFERROR(INDEX(CONFIG!$C$4:$C$63,MATCH($M932,CONFIG!$A$4:$A$63,0)),"Media"))</f>
        <v/>
      </c>
      <c r="O932" s="28">
        <f>IF($M932="","",IF($C932="Interna","NO",IFERROR(INDEX(CONFIG!$E$4:$E$63,MATCH($M932,CONFIG!$A$4:$A$63,0)),"NO")))</f>
        <v/>
      </c>
      <c r="P932" s="50" t="n"/>
      <c r="Q932" s="50" t="n"/>
      <c r="R932" s="28">
        <f>IF($Q932="","",IFERROR(INDEX(CONFIG!$H$4:$H$63,MATCH($Q932,CONFIG!$G$4:$G$63,0)),"Por definir"))</f>
        <v/>
      </c>
      <c r="S932" s="28">
        <f>IF($Q932="","",IFERROR(INDEX(CONFIG!$I$4:$I$63,MATCH($Q932,CONFIG!$G$4:$G$63,0)),"Por definir"))</f>
        <v/>
      </c>
      <c r="T932" s="51" t="n"/>
      <c r="U932" s="52" t="n"/>
      <c r="V932" s="50" t="n"/>
      <c r="W932" s="50" t="n"/>
      <c r="X932" s="49">
        <f>IF(OR($B932="",$M932=""),"",WORKDAY($B932,IFERROR(INDEX(CONFIG!$D$4:$D$63,MATCH($M932,CONFIG!$A$4:$A$63,0)),3)))</f>
        <v/>
      </c>
      <c r="Y932" s="47" t="n"/>
      <c r="Z932" s="24">
        <f>IF($B932="","",IF($Y932&lt;&gt;"",$Y932-$B932,TODAY()-$B932))</f>
        <v/>
      </c>
      <c r="AA932" s="28">
        <f>IF($B932="","",IF(IFERROR(INDEX(CONFIG!$L$4:$L$63,MATCH($V932,CONFIG!$K$4:$K$63,0)),"NO")="SÍ",IF(OR($Y932="",$X932=""),"Resuelta",IF($Y932&gt;$X932,"Resuelta tarde","Resuelta a tiempo")),IF($X932="","Sin clasificar",IF(TODAY()&gt;$X932,"Vencida",IF(TODAY()&gt;=$X932-1,"Por vencer","En plazo")))))</f>
        <v/>
      </c>
      <c r="AB932" s="50" t="n"/>
      <c r="AC932" s="50" t="n"/>
    </row>
    <row r="933" ht="16" customHeight="1">
      <c r="A933" s="28">
        <f>IF($B933="","","N-"&amp;TEXT(ROW()-3,"0000"))</f>
        <v/>
      </c>
      <c r="B933" s="47" t="n"/>
      <c r="C933" s="48" t="n"/>
      <c r="D933" s="48" t="n"/>
      <c r="E933" s="28">
        <f>IF($C933="","",IF($D933="",IF($C933="Interna","Sin guía (interna)","FALTA GUÍA"),IF(COUNTIFS(ENVIOS!$A$4:$A$3003,$D933)=0,"NO EXISTE",IF(COUNTIFS(ENVIOS!$A$4:$A$3003,$D933)&gt;1,"DUPLICADA","OK"))))</f>
        <v/>
      </c>
      <c r="F933" s="28">
        <f>IF($D933="","",IFERROR(INDEX(ENVIOS!$B$4:$B$3003,MATCH($D933,ENVIOS!$A$4:$A$3003,0)),"—"))</f>
        <v/>
      </c>
      <c r="G933" s="23">
        <f>IF($D933="","",IFERROR(INDEX(ENVIOS!$D$4:$D$3003,MATCH($D933,ENVIOS!$A$4:$A$3003,0)),"—"))</f>
        <v/>
      </c>
      <c r="H933" s="23">
        <f>IF($D933="","",IFERROR(INDEX(ENVIOS!$E$4:$E$3003,MATCH($D933,ENVIOS!$A$4:$A$3003,0)),"—"))</f>
        <v/>
      </c>
      <c r="I933" s="23">
        <f>IF($D933="","",IFERROR(INDEX(ENVIOS!$F$4:$F$3003,MATCH($D933,ENVIOS!$A$4:$A$3003,0)),"—"))</f>
        <v/>
      </c>
      <c r="J933" s="23">
        <f>IF($D933="","",IFERROR(INDEX(ENVIOS!$G$4:$G$3003,MATCH($D933,ENVIOS!$A$4:$A$3003,0)),"—"))</f>
        <v/>
      </c>
      <c r="K933" s="28">
        <f>IF($D933="","",IFERROR(INDEX(ENVIOS!$H$4:$H$3003,MATCH($D933,ENVIOS!$A$4:$A$3003,0)),"—"))</f>
        <v/>
      </c>
      <c r="L933" s="49">
        <f>IF($D933="","",IFERROR(INDEX(ENVIOS!$C$4:$C$3003,MATCH($D933,ENVIOS!$A$4:$A$3003,0)),""))</f>
        <v/>
      </c>
      <c r="M933" s="50" t="n"/>
      <c r="N933" s="28">
        <f>IF($M933="","",IFERROR(INDEX(CONFIG!$C$4:$C$63,MATCH($M933,CONFIG!$A$4:$A$63,0)),"Media"))</f>
        <v/>
      </c>
      <c r="O933" s="28">
        <f>IF($M933="","",IF($C933="Interna","NO",IFERROR(INDEX(CONFIG!$E$4:$E$63,MATCH($M933,CONFIG!$A$4:$A$63,0)),"NO")))</f>
        <v/>
      </c>
      <c r="P933" s="50" t="n"/>
      <c r="Q933" s="50" t="n"/>
      <c r="R933" s="28">
        <f>IF($Q933="","",IFERROR(INDEX(CONFIG!$H$4:$H$63,MATCH($Q933,CONFIG!$G$4:$G$63,0)),"Por definir"))</f>
        <v/>
      </c>
      <c r="S933" s="28">
        <f>IF($Q933="","",IFERROR(INDEX(CONFIG!$I$4:$I$63,MATCH($Q933,CONFIG!$G$4:$G$63,0)),"Por definir"))</f>
        <v/>
      </c>
      <c r="T933" s="51" t="n"/>
      <c r="U933" s="52" t="n"/>
      <c r="V933" s="50" t="n"/>
      <c r="W933" s="50" t="n"/>
      <c r="X933" s="49">
        <f>IF(OR($B933="",$M933=""),"",WORKDAY($B933,IFERROR(INDEX(CONFIG!$D$4:$D$63,MATCH($M933,CONFIG!$A$4:$A$63,0)),3)))</f>
        <v/>
      </c>
      <c r="Y933" s="47" t="n"/>
      <c r="Z933" s="24">
        <f>IF($B933="","",IF($Y933&lt;&gt;"",$Y933-$B933,TODAY()-$B933))</f>
        <v/>
      </c>
      <c r="AA933" s="28">
        <f>IF($B933="","",IF(IFERROR(INDEX(CONFIG!$L$4:$L$63,MATCH($V933,CONFIG!$K$4:$K$63,0)),"NO")="SÍ",IF(OR($Y933="",$X933=""),"Resuelta",IF($Y933&gt;$X933,"Resuelta tarde","Resuelta a tiempo")),IF($X933="","Sin clasificar",IF(TODAY()&gt;$X933,"Vencida",IF(TODAY()&gt;=$X933-1,"Por vencer","En plazo")))))</f>
        <v/>
      </c>
      <c r="AB933" s="50" t="n"/>
      <c r="AC933" s="50" t="n"/>
    </row>
    <row r="934" ht="16" customHeight="1">
      <c r="A934" s="28">
        <f>IF($B934="","","N-"&amp;TEXT(ROW()-3,"0000"))</f>
        <v/>
      </c>
      <c r="B934" s="47" t="n"/>
      <c r="C934" s="48" t="n"/>
      <c r="D934" s="48" t="n"/>
      <c r="E934" s="28">
        <f>IF($C934="","",IF($D934="",IF($C934="Interna","Sin guía (interna)","FALTA GUÍA"),IF(COUNTIFS(ENVIOS!$A$4:$A$3003,$D934)=0,"NO EXISTE",IF(COUNTIFS(ENVIOS!$A$4:$A$3003,$D934)&gt;1,"DUPLICADA","OK"))))</f>
        <v/>
      </c>
      <c r="F934" s="28">
        <f>IF($D934="","",IFERROR(INDEX(ENVIOS!$B$4:$B$3003,MATCH($D934,ENVIOS!$A$4:$A$3003,0)),"—"))</f>
        <v/>
      </c>
      <c r="G934" s="23">
        <f>IF($D934="","",IFERROR(INDEX(ENVIOS!$D$4:$D$3003,MATCH($D934,ENVIOS!$A$4:$A$3003,0)),"—"))</f>
        <v/>
      </c>
      <c r="H934" s="23">
        <f>IF($D934="","",IFERROR(INDEX(ENVIOS!$E$4:$E$3003,MATCH($D934,ENVIOS!$A$4:$A$3003,0)),"—"))</f>
        <v/>
      </c>
      <c r="I934" s="23">
        <f>IF($D934="","",IFERROR(INDEX(ENVIOS!$F$4:$F$3003,MATCH($D934,ENVIOS!$A$4:$A$3003,0)),"—"))</f>
        <v/>
      </c>
      <c r="J934" s="23">
        <f>IF($D934="","",IFERROR(INDEX(ENVIOS!$G$4:$G$3003,MATCH($D934,ENVIOS!$A$4:$A$3003,0)),"—"))</f>
        <v/>
      </c>
      <c r="K934" s="28">
        <f>IF($D934="","",IFERROR(INDEX(ENVIOS!$H$4:$H$3003,MATCH($D934,ENVIOS!$A$4:$A$3003,0)),"—"))</f>
        <v/>
      </c>
      <c r="L934" s="49">
        <f>IF($D934="","",IFERROR(INDEX(ENVIOS!$C$4:$C$3003,MATCH($D934,ENVIOS!$A$4:$A$3003,0)),""))</f>
        <v/>
      </c>
      <c r="M934" s="50" t="n"/>
      <c r="N934" s="28">
        <f>IF($M934="","",IFERROR(INDEX(CONFIG!$C$4:$C$63,MATCH($M934,CONFIG!$A$4:$A$63,0)),"Media"))</f>
        <v/>
      </c>
      <c r="O934" s="28">
        <f>IF($M934="","",IF($C934="Interna","NO",IFERROR(INDEX(CONFIG!$E$4:$E$63,MATCH($M934,CONFIG!$A$4:$A$63,0)),"NO")))</f>
        <v/>
      </c>
      <c r="P934" s="50" t="n"/>
      <c r="Q934" s="50" t="n"/>
      <c r="R934" s="28">
        <f>IF($Q934="","",IFERROR(INDEX(CONFIG!$H$4:$H$63,MATCH($Q934,CONFIG!$G$4:$G$63,0)),"Por definir"))</f>
        <v/>
      </c>
      <c r="S934" s="28">
        <f>IF($Q934="","",IFERROR(INDEX(CONFIG!$I$4:$I$63,MATCH($Q934,CONFIG!$G$4:$G$63,0)),"Por definir"))</f>
        <v/>
      </c>
      <c r="T934" s="51" t="n"/>
      <c r="U934" s="52" t="n"/>
      <c r="V934" s="50" t="n"/>
      <c r="W934" s="50" t="n"/>
      <c r="X934" s="49">
        <f>IF(OR($B934="",$M934=""),"",WORKDAY($B934,IFERROR(INDEX(CONFIG!$D$4:$D$63,MATCH($M934,CONFIG!$A$4:$A$63,0)),3)))</f>
        <v/>
      </c>
      <c r="Y934" s="47" t="n"/>
      <c r="Z934" s="24">
        <f>IF($B934="","",IF($Y934&lt;&gt;"",$Y934-$B934,TODAY()-$B934))</f>
        <v/>
      </c>
      <c r="AA934" s="28">
        <f>IF($B934="","",IF(IFERROR(INDEX(CONFIG!$L$4:$L$63,MATCH($V934,CONFIG!$K$4:$K$63,0)),"NO")="SÍ",IF(OR($Y934="",$X934=""),"Resuelta",IF($Y934&gt;$X934,"Resuelta tarde","Resuelta a tiempo")),IF($X934="","Sin clasificar",IF(TODAY()&gt;$X934,"Vencida",IF(TODAY()&gt;=$X934-1,"Por vencer","En plazo")))))</f>
        <v/>
      </c>
      <c r="AB934" s="50" t="n"/>
      <c r="AC934" s="50" t="n"/>
    </row>
    <row r="935" ht="16" customHeight="1">
      <c r="A935" s="28">
        <f>IF($B935="","","N-"&amp;TEXT(ROW()-3,"0000"))</f>
        <v/>
      </c>
      <c r="B935" s="47" t="n"/>
      <c r="C935" s="48" t="n"/>
      <c r="D935" s="48" t="n"/>
      <c r="E935" s="28">
        <f>IF($C935="","",IF($D935="",IF($C935="Interna","Sin guía (interna)","FALTA GUÍA"),IF(COUNTIFS(ENVIOS!$A$4:$A$3003,$D935)=0,"NO EXISTE",IF(COUNTIFS(ENVIOS!$A$4:$A$3003,$D935)&gt;1,"DUPLICADA","OK"))))</f>
        <v/>
      </c>
      <c r="F935" s="28">
        <f>IF($D935="","",IFERROR(INDEX(ENVIOS!$B$4:$B$3003,MATCH($D935,ENVIOS!$A$4:$A$3003,0)),"—"))</f>
        <v/>
      </c>
      <c r="G935" s="23">
        <f>IF($D935="","",IFERROR(INDEX(ENVIOS!$D$4:$D$3003,MATCH($D935,ENVIOS!$A$4:$A$3003,0)),"—"))</f>
        <v/>
      </c>
      <c r="H935" s="23">
        <f>IF($D935="","",IFERROR(INDEX(ENVIOS!$E$4:$E$3003,MATCH($D935,ENVIOS!$A$4:$A$3003,0)),"—"))</f>
        <v/>
      </c>
      <c r="I935" s="23">
        <f>IF($D935="","",IFERROR(INDEX(ENVIOS!$F$4:$F$3003,MATCH($D935,ENVIOS!$A$4:$A$3003,0)),"—"))</f>
        <v/>
      </c>
      <c r="J935" s="23">
        <f>IF($D935="","",IFERROR(INDEX(ENVIOS!$G$4:$G$3003,MATCH($D935,ENVIOS!$A$4:$A$3003,0)),"—"))</f>
        <v/>
      </c>
      <c r="K935" s="28">
        <f>IF($D935="","",IFERROR(INDEX(ENVIOS!$H$4:$H$3003,MATCH($D935,ENVIOS!$A$4:$A$3003,0)),"—"))</f>
        <v/>
      </c>
      <c r="L935" s="49">
        <f>IF($D935="","",IFERROR(INDEX(ENVIOS!$C$4:$C$3003,MATCH($D935,ENVIOS!$A$4:$A$3003,0)),""))</f>
        <v/>
      </c>
      <c r="M935" s="50" t="n"/>
      <c r="N935" s="28">
        <f>IF($M935="","",IFERROR(INDEX(CONFIG!$C$4:$C$63,MATCH($M935,CONFIG!$A$4:$A$63,0)),"Media"))</f>
        <v/>
      </c>
      <c r="O935" s="28">
        <f>IF($M935="","",IF($C935="Interna","NO",IFERROR(INDEX(CONFIG!$E$4:$E$63,MATCH($M935,CONFIG!$A$4:$A$63,0)),"NO")))</f>
        <v/>
      </c>
      <c r="P935" s="50" t="n"/>
      <c r="Q935" s="50" t="n"/>
      <c r="R935" s="28">
        <f>IF($Q935="","",IFERROR(INDEX(CONFIG!$H$4:$H$63,MATCH($Q935,CONFIG!$G$4:$G$63,0)),"Por definir"))</f>
        <v/>
      </c>
      <c r="S935" s="28">
        <f>IF($Q935="","",IFERROR(INDEX(CONFIG!$I$4:$I$63,MATCH($Q935,CONFIG!$G$4:$G$63,0)),"Por definir"))</f>
        <v/>
      </c>
      <c r="T935" s="51" t="n"/>
      <c r="U935" s="52" t="n"/>
      <c r="V935" s="50" t="n"/>
      <c r="W935" s="50" t="n"/>
      <c r="X935" s="49">
        <f>IF(OR($B935="",$M935=""),"",WORKDAY($B935,IFERROR(INDEX(CONFIG!$D$4:$D$63,MATCH($M935,CONFIG!$A$4:$A$63,0)),3)))</f>
        <v/>
      </c>
      <c r="Y935" s="47" t="n"/>
      <c r="Z935" s="24">
        <f>IF($B935="","",IF($Y935&lt;&gt;"",$Y935-$B935,TODAY()-$B935))</f>
        <v/>
      </c>
      <c r="AA935" s="28">
        <f>IF($B935="","",IF(IFERROR(INDEX(CONFIG!$L$4:$L$63,MATCH($V935,CONFIG!$K$4:$K$63,0)),"NO")="SÍ",IF(OR($Y935="",$X935=""),"Resuelta",IF($Y935&gt;$X935,"Resuelta tarde","Resuelta a tiempo")),IF($X935="","Sin clasificar",IF(TODAY()&gt;$X935,"Vencida",IF(TODAY()&gt;=$X935-1,"Por vencer","En plazo")))))</f>
        <v/>
      </c>
      <c r="AB935" s="50" t="n"/>
      <c r="AC935" s="50" t="n"/>
    </row>
    <row r="936" ht="16" customHeight="1">
      <c r="A936" s="28">
        <f>IF($B936="","","N-"&amp;TEXT(ROW()-3,"0000"))</f>
        <v/>
      </c>
      <c r="B936" s="47" t="n"/>
      <c r="C936" s="48" t="n"/>
      <c r="D936" s="48" t="n"/>
      <c r="E936" s="28">
        <f>IF($C936="","",IF($D936="",IF($C936="Interna","Sin guía (interna)","FALTA GUÍA"),IF(COUNTIFS(ENVIOS!$A$4:$A$3003,$D936)=0,"NO EXISTE",IF(COUNTIFS(ENVIOS!$A$4:$A$3003,$D936)&gt;1,"DUPLICADA","OK"))))</f>
        <v/>
      </c>
      <c r="F936" s="28">
        <f>IF($D936="","",IFERROR(INDEX(ENVIOS!$B$4:$B$3003,MATCH($D936,ENVIOS!$A$4:$A$3003,0)),"—"))</f>
        <v/>
      </c>
      <c r="G936" s="23">
        <f>IF($D936="","",IFERROR(INDEX(ENVIOS!$D$4:$D$3003,MATCH($D936,ENVIOS!$A$4:$A$3003,0)),"—"))</f>
        <v/>
      </c>
      <c r="H936" s="23">
        <f>IF($D936="","",IFERROR(INDEX(ENVIOS!$E$4:$E$3003,MATCH($D936,ENVIOS!$A$4:$A$3003,0)),"—"))</f>
        <v/>
      </c>
      <c r="I936" s="23">
        <f>IF($D936="","",IFERROR(INDEX(ENVIOS!$F$4:$F$3003,MATCH($D936,ENVIOS!$A$4:$A$3003,0)),"—"))</f>
        <v/>
      </c>
      <c r="J936" s="23">
        <f>IF($D936="","",IFERROR(INDEX(ENVIOS!$G$4:$G$3003,MATCH($D936,ENVIOS!$A$4:$A$3003,0)),"—"))</f>
        <v/>
      </c>
      <c r="K936" s="28">
        <f>IF($D936="","",IFERROR(INDEX(ENVIOS!$H$4:$H$3003,MATCH($D936,ENVIOS!$A$4:$A$3003,0)),"—"))</f>
        <v/>
      </c>
      <c r="L936" s="49">
        <f>IF($D936="","",IFERROR(INDEX(ENVIOS!$C$4:$C$3003,MATCH($D936,ENVIOS!$A$4:$A$3003,0)),""))</f>
        <v/>
      </c>
      <c r="M936" s="50" t="n"/>
      <c r="N936" s="28">
        <f>IF($M936="","",IFERROR(INDEX(CONFIG!$C$4:$C$63,MATCH($M936,CONFIG!$A$4:$A$63,0)),"Media"))</f>
        <v/>
      </c>
      <c r="O936" s="28">
        <f>IF($M936="","",IF($C936="Interna","NO",IFERROR(INDEX(CONFIG!$E$4:$E$63,MATCH($M936,CONFIG!$A$4:$A$63,0)),"NO")))</f>
        <v/>
      </c>
      <c r="P936" s="50" t="n"/>
      <c r="Q936" s="50" t="n"/>
      <c r="R936" s="28">
        <f>IF($Q936="","",IFERROR(INDEX(CONFIG!$H$4:$H$63,MATCH($Q936,CONFIG!$G$4:$G$63,0)),"Por definir"))</f>
        <v/>
      </c>
      <c r="S936" s="28">
        <f>IF($Q936="","",IFERROR(INDEX(CONFIG!$I$4:$I$63,MATCH($Q936,CONFIG!$G$4:$G$63,0)),"Por definir"))</f>
        <v/>
      </c>
      <c r="T936" s="51" t="n"/>
      <c r="U936" s="52" t="n"/>
      <c r="V936" s="50" t="n"/>
      <c r="W936" s="50" t="n"/>
      <c r="X936" s="49">
        <f>IF(OR($B936="",$M936=""),"",WORKDAY($B936,IFERROR(INDEX(CONFIG!$D$4:$D$63,MATCH($M936,CONFIG!$A$4:$A$63,0)),3)))</f>
        <v/>
      </c>
      <c r="Y936" s="47" t="n"/>
      <c r="Z936" s="24">
        <f>IF($B936="","",IF($Y936&lt;&gt;"",$Y936-$B936,TODAY()-$B936))</f>
        <v/>
      </c>
      <c r="AA936" s="28">
        <f>IF($B936="","",IF(IFERROR(INDEX(CONFIG!$L$4:$L$63,MATCH($V936,CONFIG!$K$4:$K$63,0)),"NO")="SÍ",IF(OR($Y936="",$X936=""),"Resuelta",IF($Y936&gt;$X936,"Resuelta tarde","Resuelta a tiempo")),IF($X936="","Sin clasificar",IF(TODAY()&gt;$X936,"Vencida",IF(TODAY()&gt;=$X936-1,"Por vencer","En plazo")))))</f>
        <v/>
      </c>
      <c r="AB936" s="50" t="n"/>
      <c r="AC936" s="50" t="n"/>
    </row>
    <row r="937" ht="16" customHeight="1">
      <c r="A937" s="28">
        <f>IF($B937="","","N-"&amp;TEXT(ROW()-3,"0000"))</f>
        <v/>
      </c>
      <c r="B937" s="47" t="n"/>
      <c r="C937" s="48" t="n"/>
      <c r="D937" s="48" t="n"/>
      <c r="E937" s="28">
        <f>IF($C937="","",IF($D937="",IF($C937="Interna","Sin guía (interna)","FALTA GUÍA"),IF(COUNTIFS(ENVIOS!$A$4:$A$3003,$D937)=0,"NO EXISTE",IF(COUNTIFS(ENVIOS!$A$4:$A$3003,$D937)&gt;1,"DUPLICADA","OK"))))</f>
        <v/>
      </c>
      <c r="F937" s="28">
        <f>IF($D937="","",IFERROR(INDEX(ENVIOS!$B$4:$B$3003,MATCH($D937,ENVIOS!$A$4:$A$3003,0)),"—"))</f>
        <v/>
      </c>
      <c r="G937" s="23">
        <f>IF($D937="","",IFERROR(INDEX(ENVIOS!$D$4:$D$3003,MATCH($D937,ENVIOS!$A$4:$A$3003,0)),"—"))</f>
        <v/>
      </c>
      <c r="H937" s="23">
        <f>IF($D937="","",IFERROR(INDEX(ENVIOS!$E$4:$E$3003,MATCH($D937,ENVIOS!$A$4:$A$3003,0)),"—"))</f>
        <v/>
      </c>
      <c r="I937" s="23">
        <f>IF($D937="","",IFERROR(INDEX(ENVIOS!$F$4:$F$3003,MATCH($D937,ENVIOS!$A$4:$A$3003,0)),"—"))</f>
        <v/>
      </c>
      <c r="J937" s="23">
        <f>IF($D937="","",IFERROR(INDEX(ENVIOS!$G$4:$G$3003,MATCH($D937,ENVIOS!$A$4:$A$3003,0)),"—"))</f>
        <v/>
      </c>
      <c r="K937" s="28">
        <f>IF($D937="","",IFERROR(INDEX(ENVIOS!$H$4:$H$3003,MATCH($D937,ENVIOS!$A$4:$A$3003,0)),"—"))</f>
        <v/>
      </c>
      <c r="L937" s="49">
        <f>IF($D937="","",IFERROR(INDEX(ENVIOS!$C$4:$C$3003,MATCH($D937,ENVIOS!$A$4:$A$3003,0)),""))</f>
        <v/>
      </c>
      <c r="M937" s="50" t="n"/>
      <c r="N937" s="28">
        <f>IF($M937="","",IFERROR(INDEX(CONFIG!$C$4:$C$63,MATCH($M937,CONFIG!$A$4:$A$63,0)),"Media"))</f>
        <v/>
      </c>
      <c r="O937" s="28">
        <f>IF($M937="","",IF($C937="Interna","NO",IFERROR(INDEX(CONFIG!$E$4:$E$63,MATCH($M937,CONFIG!$A$4:$A$63,0)),"NO")))</f>
        <v/>
      </c>
      <c r="P937" s="50" t="n"/>
      <c r="Q937" s="50" t="n"/>
      <c r="R937" s="28">
        <f>IF($Q937="","",IFERROR(INDEX(CONFIG!$H$4:$H$63,MATCH($Q937,CONFIG!$G$4:$G$63,0)),"Por definir"))</f>
        <v/>
      </c>
      <c r="S937" s="28">
        <f>IF($Q937="","",IFERROR(INDEX(CONFIG!$I$4:$I$63,MATCH($Q937,CONFIG!$G$4:$G$63,0)),"Por definir"))</f>
        <v/>
      </c>
      <c r="T937" s="51" t="n"/>
      <c r="U937" s="52" t="n"/>
      <c r="V937" s="50" t="n"/>
      <c r="W937" s="50" t="n"/>
      <c r="X937" s="49">
        <f>IF(OR($B937="",$M937=""),"",WORKDAY($B937,IFERROR(INDEX(CONFIG!$D$4:$D$63,MATCH($M937,CONFIG!$A$4:$A$63,0)),3)))</f>
        <v/>
      </c>
      <c r="Y937" s="47" t="n"/>
      <c r="Z937" s="24">
        <f>IF($B937="","",IF($Y937&lt;&gt;"",$Y937-$B937,TODAY()-$B937))</f>
        <v/>
      </c>
      <c r="AA937" s="28">
        <f>IF($B937="","",IF(IFERROR(INDEX(CONFIG!$L$4:$L$63,MATCH($V937,CONFIG!$K$4:$K$63,0)),"NO")="SÍ",IF(OR($Y937="",$X937=""),"Resuelta",IF($Y937&gt;$X937,"Resuelta tarde","Resuelta a tiempo")),IF($X937="","Sin clasificar",IF(TODAY()&gt;$X937,"Vencida",IF(TODAY()&gt;=$X937-1,"Por vencer","En plazo")))))</f>
        <v/>
      </c>
      <c r="AB937" s="50" t="n"/>
      <c r="AC937" s="50" t="n"/>
    </row>
    <row r="938" ht="16" customHeight="1">
      <c r="A938" s="28">
        <f>IF($B938="","","N-"&amp;TEXT(ROW()-3,"0000"))</f>
        <v/>
      </c>
      <c r="B938" s="47" t="n"/>
      <c r="C938" s="48" t="n"/>
      <c r="D938" s="48" t="n"/>
      <c r="E938" s="28">
        <f>IF($C938="","",IF($D938="",IF($C938="Interna","Sin guía (interna)","FALTA GUÍA"),IF(COUNTIFS(ENVIOS!$A$4:$A$3003,$D938)=0,"NO EXISTE",IF(COUNTIFS(ENVIOS!$A$4:$A$3003,$D938)&gt;1,"DUPLICADA","OK"))))</f>
        <v/>
      </c>
      <c r="F938" s="28">
        <f>IF($D938="","",IFERROR(INDEX(ENVIOS!$B$4:$B$3003,MATCH($D938,ENVIOS!$A$4:$A$3003,0)),"—"))</f>
        <v/>
      </c>
      <c r="G938" s="23">
        <f>IF($D938="","",IFERROR(INDEX(ENVIOS!$D$4:$D$3003,MATCH($D938,ENVIOS!$A$4:$A$3003,0)),"—"))</f>
        <v/>
      </c>
      <c r="H938" s="23">
        <f>IF($D938="","",IFERROR(INDEX(ENVIOS!$E$4:$E$3003,MATCH($D938,ENVIOS!$A$4:$A$3003,0)),"—"))</f>
        <v/>
      </c>
      <c r="I938" s="23">
        <f>IF($D938="","",IFERROR(INDEX(ENVIOS!$F$4:$F$3003,MATCH($D938,ENVIOS!$A$4:$A$3003,0)),"—"))</f>
        <v/>
      </c>
      <c r="J938" s="23">
        <f>IF($D938="","",IFERROR(INDEX(ENVIOS!$G$4:$G$3003,MATCH($D938,ENVIOS!$A$4:$A$3003,0)),"—"))</f>
        <v/>
      </c>
      <c r="K938" s="28">
        <f>IF($D938="","",IFERROR(INDEX(ENVIOS!$H$4:$H$3003,MATCH($D938,ENVIOS!$A$4:$A$3003,0)),"—"))</f>
        <v/>
      </c>
      <c r="L938" s="49">
        <f>IF($D938="","",IFERROR(INDEX(ENVIOS!$C$4:$C$3003,MATCH($D938,ENVIOS!$A$4:$A$3003,0)),""))</f>
        <v/>
      </c>
      <c r="M938" s="50" t="n"/>
      <c r="N938" s="28">
        <f>IF($M938="","",IFERROR(INDEX(CONFIG!$C$4:$C$63,MATCH($M938,CONFIG!$A$4:$A$63,0)),"Media"))</f>
        <v/>
      </c>
      <c r="O938" s="28">
        <f>IF($M938="","",IF($C938="Interna","NO",IFERROR(INDEX(CONFIG!$E$4:$E$63,MATCH($M938,CONFIG!$A$4:$A$63,0)),"NO")))</f>
        <v/>
      </c>
      <c r="P938" s="50" t="n"/>
      <c r="Q938" s="50" t="n"/>
      <c r="R938" s="28">
        <f>IF($Q938="","",IFERROR(INDEX(CONFIG!$H$4:$H$63,MATCH($Q938,CONFIG!$G$4:$G$63,0)),"Por definir"))</f>
        <v/>
      </c>
      <c r="S938" s="28">
        <f>IF($Q938="","",IFERROR(INDEX(CONFIG!$I$4:$I$63,MATCH($Q938,CONFIG!$G$4:$G$63,0)),"Por definir"))</f>
        <v/>
      </c>
      <c r="T938" s="51" t="n"/>
      <c r="U938" s="52" t="n"/>
      <c r="V938" s="50" t="n"/>
      <c r="W938" s="50" t="n"/>
      <c r="X938" s="49">
        <f>IF(OR($B938="",$M938=""),"",WORKDAY($B938,IFERROR(INDEX(CONFIG!$D$4:$D$63,MATCH($M938,CONFIG!$A$4:$A$63,0)),3)))</f>
        <v/>
      </c>
      <c r="Y938" s="47" t="n"/>
      <c r="Z938" s="24">
        <f>IF($B938="","",IF($Y938&lt;&gt;"",$Y938-$B938,TODAY()-$B938))</f>
        <v/>
      </c>
      <c r="AA938" s="28">
        <f>IF($B938="","",IF(IFERROR(INDEX(CONFIG!$L$4:$L$63,MATCH($V938,CONFIG!$K$4:$K$63,0)),"NO")="SÍ",IF(OR($Y938="",$X938=""),"Resuelta",IF($Y938&gt;$X938,"Resuelta tarde","Resuelta a tiempo")),IF($X938="","Sin clasificar",IF(TODAY()&gt;$X938,"Vencida",IF(TODAY()&gt;=$X938-1,"Por vencer","En plazo")))))</f>
        <v/>
      </c>
      <c r="AB938" s="50" t="n"/>
      <c r="AC938" s="50" t="n"/>
    </row>
    <row r="939" ht="16" customHeight="1">
      <c r="A939" s="28">
        <f>IF($B939="","","N-"&amp;TEXT(ROW()-3,"0000"))</f>
        <v/>
      </c>
      <c r="B939" s="47" t="n"/>
      <c r="C939" s="48" t="n"/>
      <c r="D939" s="48" t="n"/>
      <c r="E939" s="28">
        <f>IF($C939="","",IF($D939="",IF($C939="Interna","Sin guía (interna)","FALTA GUÍA"),IF(COUNTIFS(ENVIOS!$A$4:$A$3003,$D939)=0,"NO EXISTE",IF(COUNTIFS(ENVIOS!$A$4:$A$3003,$D939)&gt;1,"DUPLICADA","OK"))))</f>
        <v/>
      </c>
      <c r="F939" s="28">
        <f>IF($D939="","",IFERROR(INDEX(ENVIOS!$B$4:$B$3003,MATCH($D939,ENVIOS!$A$4:$A$3003,0)),"—"))</f>
        <v/>
      </c>
      <c r="G939" s="23">
        <f>IF($D939="","",IFERROR(INDEX(ENVIOS!$D$4:$D$3003,MATCH($D939,ENVIOS!$A$4:$A$3003,0)),"—"))</f>
        <v/>
      </c>
      <c r="H939" s="23">
        <f>IF($D939="","",IFERROR(INDEX(ENVIOS!$E$4:$E$3003,MATCH($D939,ENVIOS!$A$4:$A$3003,0)),"—"))</f>
        <v/>
      </c>
      <c r="I939" s="23">
        <f>IF($D939="","",IFERROR(INDEX(ENVIOS!$F$4:$F$3003,MATCH($D939,ENVIOS!$A$4:$A$3003,0)),"—"))</f>
        <v/>
      </c>
      <c r="J939" s="23">
        <f>IF($D939="","",IFERROR(INDEX(ENVIOS!$G$4:$G$3003,MATCH($D939,ENVIOS!$A$4:$A$3003,0)),"—"))</f>
        <v/>
      </c>
      <c r="K939" s="28">
        <f>IF($D939="","",IFERROR(INDEX(ENVIOS!$H$4:$H$3003,MATCH($D939,ENVIOS!$A$4:$A$3003,0)),"—"))</f>
        <v/>
      </c>
      <c r="L939" s="49">
        <f>IF($D939="","",IFERROR(INDEX(ENVIOS!$C$4:$C$3003,MATCH($D939,ENVIOS!$A$4:$A$3003,0)),""))</f>
        <v/>
      </c>
      <c r="M939" s="50" t="n"/>
      <c r="N939" s="28">
        <f>IF($M939="","",IFERROR(INDEX(CONFIG!$C$4:$C$63,MATCH($M939,CONFIG!$A$4:$A$63,0)),"Media"))</f>
        <v/>
      </c>
      <c r="O939" s="28">
        <f>IF($M939="","",IF($C939="Interna","NO",IFERROR(INDEX(CONFIG!$E$4:$E$63,MATCH($M939,CONFIG!$A$4:$A$63,0)),"NO")))</f>
        <v/>
      </c>
      <c r="P939" s="50" t="n"/>
      <c r="Q939" s="50" t="n"/>
      <c r="R939" s="28">
        <f>IF($Q939="","",IFERROR(INDEX(CONFIG!$H$4:$H$63,MATCH($Q939,CONFIG!$G$4:$G$63,0)),"Por definir"))</f>
        <v/>
      </c>
      <c r="S939" s="28">
        <f>IF($Q939="","",IFERROR(INDEX(CONFIG!$I$4:$I$63,MATCH($Q939,CONFIG!$G$4:$G$63,0)),"Por definir"))</f>
        <v/>
      </c>
      <c r="T939" s="51" t="n"/>
      <c r="U939" s="52" t="n"/>
      <c r="V939" s="50" t="n"/>
      <c r="W939" s="50" t="n"/>
      <c r="X939" s="49">
        <f>IF(OR($B939="",$M939=""),"",WORKDAY($B939,IFERROR(INDEX(CONFIG!$D$4:$D$63,MATCH($M939,CONFIG!$A$4:$A$63,0)),3)))</f>
        <v/>
      </c>
      <c r="Y939" s="47" t="n"/>
      <c r="Z939" s="24">
        <f>IF($B939="","",IF($Y939&lt;&gt;"",$Y939-$B939,TODAY()-$B939))</f>
        <v/>
      </c>
      <c r="AA939" s="28">
        <f>IF($B939="","",IF(IFERROR(INDEX(CONFIG!$L$4:$L$63,MATCH($V939,CONFIG!$K$4:$K$63,0)),"NO")="SÍ",IF(OR($Y939="",$X939=""),"Resuelta",IF($Y939&gt;$X939,"Resuelta tarde","Resuelta a tiempo")),IF($X939="","Sin clasificar",IF(TODAY()&gt;$X939,"Vencida",IF(TODAY()&gt;=$X939-1,"Por vencer","En plazo")))))</f>
        <v/>
      </c>
      <c r="AB939" s="50" t="n"/>
      <c r="AC939" s="50" t="n"/>
    </row>
    <row r="940" ht="16" customHeight="1">
      <c r="A940" s="28">
        <f>IF($B940="","","N-"&amp;TEXT(ROW()-3,"0000"))</f>
        <v/>
      </c>
      <c r="B940" s="47" t="n"/>
      <c r="C940" s="48" t="n"/>
      <c r="D940" s="48" t="n"/>
      <c r="E940" s="28">
        <f>IF($C940="","",IF($D940="",IF($C940="Interna","Sin guía (interna)","FALTA GUÍA"),IF(COUNTIFS(ENVIOS!$A$4:$A$3003,$D940)=0,"NO EXISTE",IF(COUNTIFS(ENVIOS!$A$4:$A$3003,$D940)&gt;1,"DUPLICADA","OK"))))</f>
        <v/>
      </c>
      <c r="F940" s="28">
        <f>IF($D940="","",IFERROR(INDEX(ENVIOS!$B$4:$B$3003,MATCH($D940,ENVIOS!$A$4:$A$3003,0)),"—"))</f>
        <v/>
      </c>
      <c r="G940" s="23">
        <f>IF($D940="","",IFERROR(INDEX(ENVIOS!$D$4:$D$3003,MATCH($D940,ENVIOS!$A$4:$A$3003,0)),"—"))</f>
        <v/>
      </c>
      <c r="H940" s="23">
        <f>IF($D940="","",IFERROR(INDEX(ENVIOS!$E$4:$E$3003,MATCH($D940,ENVIOS!$A$4:$A$3003,0)),"—"))</f>
        <v/>
      </c>
      <c r="I940" s="23">
        <f>IF($D940="","",IFERROR(INDEX(ENVIOS!$F$4:$F$3003,MATCH($D940,ENVIOS!$A$4:$A$3003,0)),"—"))</f>
        <v/>
      </c>
      <c r="J940" s="23">
        <f>IF($D940="","",IFERROR(INDEX(ENVIOS!$G$4:$G$3003,MATCH($D940,ENVIOS!$A$4:$A$3003,0)),"—"))</f>
        <v/>
      </c>
      <c r="K940" s="28">
        <f>IF($D940="","",IFERROR(INDEX(ENVIOS!$H$4:$H$3003,MATCH($D940,ENVIOS!$A$4:$A$3003,0)),"—"))</f>
        <v/>
      </c>
      <c r="L940" s="49">
        <f>IF($D940="","",IFERROR(INDEX(ENVIOS!$C$4:$C$3003,MATCH($D940,ENVIOS!$A$4:$A$3003,0)),""))</f>
        <v/>
      </c>
      <c r="M940" s="50" t="n"/>
      <c r="N940" s="28">
        <f>IF($M940="","",IFERROR(INDEX(CONFIG!$C$4:$C$63,MATCH($M940,CONFIG!$A$4:$A$63,0)),"Media"))</f>
        <v/>
      </c>
      <c r="O940" s="28">
        <f>IF($M940="","",IF($C940="Interna","NO",IFERROR(INDEX(CONFIG!$E$4:$E$63,MATCH($M940,CONFIG!$A$4:$A$63,0)),"NO")))</f>
        <v/>
      </c>
      <c r="P940" s="50" t="n"/>
      <c r="Q940" s="50" t="n"/>
      <c r="R940" s="28">
        <f>IF($Q940="","",IFERROR(INDEX(CONFIG!$H$4:$H$63,MATCH($Q940,CONFIG!$G$4:$G$63,0)),"Por definir"))</f>
        <v/>
      </c>
      <c r="S940" s="28">
        <f>IF($Q940="","",IFERROR(INDEX(CONFIG!$I$4:$I$63,MATCH($Q940,CONFIG!$G$4:$G$63,0)),"Por definir"))</f>
        <v/>
      </c>
      <c r="T940" s="51" t="n"/>
      <c r="U940" s="52" t="n"/>
      <c r="V940" s="50" t="n"/>
      <c r="W940" s="50" t="n"/>
      <c r="X940" s="49">
        <f>IF(OR($B940="",$M940=""),"",WORKDAY($B940,IFERROR(INDEX(CONFIG!$D$4:$D$63,MATCH($M940,CONFIG!$A$4:$A$63,0)),3)))</f>
        <v/>
      </c>
      <c r="Y940" s="47" t="n"/>
      <c r="Z940" s="24">
        <f>IF($B940="","",IF($Y940&lt;&gt;"",$Y940-$B940,TODAY()-$B940))</f>
        <v/>
      </c>
      <c r="AA940" s="28">
        <f>IF($B940="","",IF(IFERROR(INDEX(CONFIG!$L$4:$L$63,MATCH($V940,CONFIG!$K$4:$K$63,0)),"NO")="SÍ",IF(OR($Y940="",$X940=""),"Resuelta",IF($Y940&gt;$X940,"Resuelta tarde","Resuelta a tiempo")),IF($X940="","Sin clasificar",IF(TODAY()&gt;$X940,"Vencida",IF(TODAY()&gt;=$X940-1,"Por vencer","En plazo")))))</f>
        <v/>
      </c>
      <c r="AB940" s="50" t="n"/>
      <c r="AC940" s="50" t="n"/>
    </row>
    <row r="941" ht="16" customHeight="1">
      <c r="A941" s="28">
        <f>IF($B941="","","N-"&amp;TEXT(ROW()-3,"0000"))</f>
        <v/>
      </c>
      <c r="B941" s="47" t="n"/>
      <c r="C941" s="48" t="n"/>
      <c r="D941" s="48" t="n"/>
      <c r="E941" s="28">
        <f>IF($C941="","",IF($D941="",IF($C941="Interna","Sin guía (interna)","FALTA GUÍA"),IF(COUNTIFS(ENVIOS!$A$4:$A$3003,$D941)=0,"NO EXISTE",IF(COUNTIFS(ENVIOS!$A$4:$A$3003,$D941)&gt;1,"DUPLICADA","OK"))))</f>
        <v/>
      </c>
      <c r="F941" s="28">
        <f>IF($D941="","",IFERROR(INDEX(ENVIOS!$B$4:$B$3003,MATCH($D941,ENVIOS!$A$4:$A$3003,0)),"—"))</f>
        <v/>
      </c>
      <c r="G941" s="23">
        <f>IF($D941="","",IFERROR(INDEX(ENVIOS!$D$4:$D$3003,MATCH($D941,ENVIOS!$A$4:$A$3003,0)),"—"))</f>
        <v/>
      </c>
      <c r="H941" s="23">
        <f>IF($D941="","",IFERROR(INDEX(ENVIOS!$E$4:$E$3003,MATCH($D941,ENVIOS!$A$4:$A$3003,0)),"—"))</f>
        <v/>
      </c>
      <c r="I941" s="23">
        <f>IF($D941="","",IFERROR(INDEX(ENVIOS!$F$4:$F$3003,MATCH($D941,ENVIOS!$A$4:$A$3003,0)),"—"))</f>
        <v/>
      </c>
      <c r="J941" s="23">
        <f>IF($D941="","",IFERROR(INDEX(ENVIOS!$G$4:$G$3003,MATCH($D941,ENVIOS!$A$4:$A$3003,0)),"—"))</f>
        <v/>
      </c>
      <c r="K941" s="28">
        <f>IF($D941="","",IFERROR(INDEX(ENVIOS!$H$4:$H$3003,MATCH($D941,ENVIOS!$A$4:$A$3003,0)),"—"))</f>
        <v/>
      </c>
      <c r="L941" s="49">
        <f>IF($D941="","",IFERROR(INDEX(ENVIOS!$C$4:$C$3003,MATCH($D941,ENVIOS!$A$4:$A$3003,0)),""))</f>
        <v/>
      </c>
      <c r="M941" s="50" t="n"/>
      <c r="N941" s="28">
        <f>IF($M941="","",IFERROR(INDEX(CONFIG!$C$4:$C$63,MATCH($M941,CONFIG!$A$4:$A$63,0)),"Media"))</f>
        <v/>
      </c>
      <c r="O941" s="28">
        <f>IF($M941="","",IF($C941="Interna","NO",IFERROR(INDEX(CONFIG!$E$4:$E$63,MATCH($M941,CONFIG!$A$4:$A$63,0)),"NO")))</f>
        <v/>
      </c>
      <c r="P941" s="50" t="n"/>
      <c r="Q941" s="50" t="n"/>
      <c r="R941" s="28">
        <f>IF($Q941="","",IFERROR(INDEX(CONFIG!$H$4:$H$63,MATCH($Q941,CONFIG!$G$4:$G$63,0)),"Por definir"))</f>
        <v/>
      </c>
      <c r="S941" s="28">
        <f>IF($Q941="","",IFERROR(INDEX(CONFIG!$I$4:$I$63,MATCH($Q941,CONFIG!$G$4:$G$63,0)),"Por definir"))</f>
        <v/>
      </c>
      <c r="T941" s="51" t="n"/>
      <c r="U941" s="52" t="n"/>
      <c r="V941" s="50" t="n"/>
      <c r="W941" s="50" t="n"/>
      <c r="X941" s="49">
        <f>IF(OR($B941="",$M941=""),"",WORKDAY($B941,IFERROR(INDEX(CONFIG!$D$4:$D$63,MATCH($M941,CONFIG!$A$4:$A$63,0)),3)))</f>
        <v/>
      </c>
      <c r="Y941" s="47" t="n"/>
      <c r="Z941" s="24">
        <f>IF($B941="","",IF($Y941&lt;&gt;"",$Y941-$B941,TODAY()-$B941))</f>
        <v/>
      </c>
      <c r="AA941" s="28">
        <f>IF($B941="","",IF(IFERROR(INDEX(CONFIG!$L$4:$L$63,MATCH($V941,CONFIG!$K$4:$K$63,0)),"NO")="SÍ",IF(OR($Y941="",$X941=""),"Resuelta",IF($Y941&gt;$X941,"Resuelta tarde","Resuelta a tiempo")),IF($X941="","Sin clasificar",IF(TODAY()&gt;$X941,"Vencida",IF(TODAY()&gt;=$X941-1,"Por vencer","En plazo")))))</f>
        <v/>
      </c>
      <c r="AB941" s="50" t="n"/>
      <c r="AC941" s="50" t="n"/>
    </row>
    <row r="942" ht="16" customHeight="1">
      <c r="A942" s="28">
        <f>IF($B942="","","N-"&amp;TEXT(ROW()-3,"0000"))</f>
        <v/>
      </c>
      <c r="B942" s="47" t="n"/>
      <c r="C942" s="48" t="n"/>
      <c r="D942" s="48" t="n"/>
      <c r="E942" s="28">
        <f>IF($C942="","",IF($D942="",IF($C942="Interna","Sin guía (interna)","FALTA GUÍA"),IF(COUNTIFS(ENVIOS!$A$4:$A$3003,$D942)=0,"NO EXISTE",IF(COUNTIFS(ENVIOS!$A$4:$A$3003,$D942)&gt;1,"DUPLICADA","OK"))))</f>
        <v/>
      </c>
      <c r="F942" s="28">
        <f>IF($D942="","",IFERROR(INDEX(ENVIOS!$B$4:$B$3003,MATCH($D942,ENVIOS!$A$4:$A$3003,0)),"—"))</f>
        <v/>
      </c>
      <c r="G942" s="23">
        <f>IF($D942="","",IFERROR(INDEX(ENVIOS!$D$4:$D$3003,MATCH($D942,ENVIOS!$A$4:$A$3003,0)),"—"))</f>
        <v/>
      </c>
      <c r="H942" s="23">
        <f>IF($D942="","",IFERROR(INDEX(ENVIOS!$E$4:$E$3003,MATCH($D942,ENVIOS!$A$4:$A$3003,0)),"—"))</f>
        <v/>
      </c>
      <c r="I942" s="23">
        <f>IF($D942="","",IFERROR(INDEX(ENVIOS!$F$4:$F$3003,MATCH($D942,ENVIOS!$A$4:$A$3003,0)),"—"))</f>
        <v/>
      </c>
      <c r="J942" s="23">
        <f>IF($D942="","",IFERROR(INDEX(ENVIOS!$G$4:$G$3003,MATCH($D942,ENVIOS!$A$4:$A$3003,0)),"—"))</f>
        <v/>
      </c>
      <c r="K942" s="28">
        <f>IF($D942="","",IFERROR(INDEX(ENVIOS!$H$4:$H$3003,MATCH($D942,ENVIOS!$A$4:$A$3003,0)),"—"))</f>
        <v/>
      </c>
      <c r="L942" s="49">
        <f>IF($D942="","",IFERROR(INDEX(ENVIOS!$C$4:$C$3003,MATCH($D942,ENVIOS!$A$4:$A$3003,0)),""))</f>
        <v/>
      </c>
      <c r="M942" s="50" t="n"/>
      <c r="N942" s="28">
        <f>IF($M942="","",IFERROR(INDEX(CONFIG!$C$4:$C$63,MATCH($M942,CONFIG!$A$4:$A$63,0)),"Media"))</f>
        <v/>
      </c>
      <c r="O942" s="28">
        <f>IF($M942="","",IF($C942="Interna","NO",IFERROR(INDEX(CONFIG!$E$4:$E$63,MATCH($M942,CONFIG!$A$4:$A$63,0)),"NO")))</f>
        <v/>
      </c>
      <c r="P942" s="50" t="n"/>
      <c r="Q942" s="50" t="n"/>
      <c r="R942" s="28">
        <f>IF($Q942="","",IFERROR(INDEX(CONFIG!$H$4:$H$63,MATCH($Q942,CONFIG!$G$4:$G$63,0)),"Por definir"))</f>
        <v/>
      </c>
      <c r="S942" s="28">
        <f>IF($Q942="","",IFERROR(INDEX(CONFIG!$I$4:$I$63,MATCH($Q942,CONFIG!$G$4:$G$63,0)),"Por definir"))</f>
        <v/>
      </c>
      <c r="T942" s="51" t="n"/>
      <c r="U942" s="52" t="n"/>
      <c r="V942" s="50" t="n"/>
      <c r="W942" s="50" t="n"/>
      <c r="X942" s="49">
        <f>IF(OR($B942="",$M942=""),"",WORKDAY($B942,IFERROR(INDEX(CONFIG!$D$4:$D$63,MATCH($M942,CONFIG!$A$4:$A$63,0)),3)))</f>
        <v/>
      </c>
      <c r="Y942" s="47" t="n"/>
      <c r="Z942" s="24">
        <f>IF($B942="","",IF($Y942&lt;&gt;"",$Y942-$B942,TODAY()-$B942))</f>
        <v/>
      </c>
      <c r="AA942" s="28">
        <f>IF($B942="","",IF(IFERROR(INDEX(CONFIG!$L$4:$L$63,MATCH($V942,CONFIG!$K$4:$K$63,0)),"NO")="SÍ",IF(OR($Y942="",$X942=""),"Resuelta",IF($Y942&gt;$X942,"Resuelta tarde","Resuelta a tiempo")),IF($X942="","Sin clasificar",IF(TODAY()&gt;$X942,"Vencida",IF(TODAY()&gt;=$X942-1,"Por vencer","En plazo")))))</f>
        <v/>
      </c>
      <c r="AB942" s="50" t="n"/>
      <c r="AC942" s="50" t="n"/>
    </row>
    <row r="943" ht="16" customHeight="1">
      <c r="A943" s="28">
        <f>IF($B943="","","N-"&amp;TEXT(ROW()-3,"0000"))</f>
        <v/>
      </c>
      <c r="B943" s="47" t="n"/>
      <c r="C943" s="48" t="n"/>
      <c r="D943" s="48" t="n"/>
      <c r="E943" s="28">
        <f>IF($C943="","",IF($D943="",IF($C943="Interna","Sin guía (interna)","FALTA GUÍA"),IF(COUNTIFS(ENVIOS!$A$4:$A$3003,$D943)=0,"NO EXISTE",IF(COUNTIFS(ENVIOS!$A$4:$A$3003,$D943)&gt;1,"DUPLICADA","OK"))))</f>
        <v/>
      </c>
      <c r="F943" s="28">
        <f>IF($D943="","",IFERROR(INDEX(ENVIOS!$B$4:$B$3003,MATCH($D943,ENVIOS!$A$4:$A$3003,0)),"—"))</f>
        <v/>
      </c>
      <c r="G943" s="23">
        <f>IF($D943="","",IFERROR(INDEX(ENVIOS!$D$4:$D$3003,MATCH($D943,ENVIOS!$A$4:$A$3003,0)),"—"))</f>
        <v/>
      </c>
      <c r="H943" s="23">
        <f>IF($D943="","",IFERROR(INDEX(ENVIOS!$E$4:$E$3003,MATCH($D943,ENVIOS!$A$4:$A$3003,0)),"—"))</f>
        <v/>
      </c>
      <c r="I943" s="23">
        <f>IF($D943="","",IFERROR(INDEX(ENVIOS!$F$4:$F$3003,MATCH($D943,ENVIOS!$A$4:$A$3003,0)),"—"))</f>
        <v/>
      </c>
      <c r="J943" s="23">
        <f>IF($D943="","",IFERROR(INDEX(ENVIOS!$G$4:$G$3003,MATCH($D943,ENVIOS!$A$4:$A$3003,0)),"—"))</f>
        <v/>
      </c>
      <c r="K943" s="28">
        <f>IF($D943="","",IFERROR(INDEX(ENVIOS!$H$4:$H$3003,MATCH($D943,ENVIOS!$A$4:$A$3003,0)),"—"))</f>
        <v/>
      </c>
      <c r="L943" s="49">
        <f>IF($D943="","",IFERROR(INDEX(ENVIOS!$C$4:$C$3003,MATCH($D943,ENVIOS!$A$4:$A$3003,0)),""))</f>
        <v/>
      </c>
      <c r="M943" s="50" t="n"/>
      <c r="N943" s="28">
        <f>IF($M943="","",IFERROR(INDEX(CONFIG!$C$4:$C$63,MATCH($M943,CONFIG!$A$4:$A$63,0)),"Media"))</f>
        <v/>
      </c>
      <c r="O943" s="28">
        <f>IF($M943="","",IF($C943="Interna","NO",IFERROR(INDEX(CONFIG!$E$4:$E$63,MATCH($M943,CONFIG!$A$4:$A$63,0)),"NO")))</f>
        <v/>
      </c>
      <c r="P943" s="50" t="n"/>
      <c r="Q943" s="50" t="n"/>
      <c r="R943" s="28">
        <f>IF($Q943="","",IFERROR(INDEX(CONFIG!$H$4:$H$63,MATCH($Q943,CONFIG!$G$4:$G$63,0)),"Por definir"))</f>
        <v/>
      </c>
      <c r="S943" s="28">
        <f>IF($Q943="","",IFERROR(INDEX(CONFIG!$I$4:$I$63,MATCH($Q943,CONFIG!$G$4:$G$63,0)),"Por definir"))</f>
        <v/>
      </c>
      <c r="T943" s="51" t="n"/>
      <c r="U943" s="52" t="n"/>
      <c r="V943" s="50" t="n"/>
      <c r="W943" s="50" t="n"/>
      <c r="X943" s="49">
        <f>IF(OR($B943="",$M943=""),"",WORKDAY($B943,IFERROR(INDEX(CONFIG!$D$4:$D$63,MATCH($M943,CONFIG!$A$4:$A$63,0)),3)))</f>
        <v/>
      </c>
      <c r="Y943" s="47" t="n"/>
      <c r="Z943" s="24">
        <f>IF($B943="","",IF($Y943&lt;&gt;"",$Y943-$B943,TODAY()-$B943))</f>
        <v/>
      </c>
      <c r="AA943" s="28">
        <f>IF($B943="","",IF(IFERROR(INDEX(CONFIG!$L$4:$L$63,MATCH($V943,CONFIG!$K$4:$K$63,0)),"NO")="SÍ",IF(OR($Y943="",$X943=""),"Resuelta",IF($Y943&gt;$X943,"Resuelta tarde","Resuelta a tiempo")),IF($X943="","Sin clasificar",IF(TODAY()&gt;$X943,"Vencida",IF(TODAY()&gt;=$X943-1,"Por vencer","En plazo")))))</f>
        <v/>
      </c>
      <c r="AB943" s="50" t="n"/>
      <c r="AC943" s="50" t="n"/>
    </row>
    <row r="944" ht="16" customHeight="1">
      <c r="A944" s="28">
        <f>IF($B944="","","N-"&amp;TEXT(ROW()-3,"0000"))</f>
        <v/>
      </c>
      <c r="B944" s="47" t="n"/>
      <c r="C944" s="48" t="n"/>
      <c r="D944" s="48" t="n"/>
      <c r="E944" s="28">
        <f>IF($C944="","",IF($D944="",IF($C944="Interna","Sin guía (interna)","FALTA GUÍA"),IF(COUNTIFS(ENVIOS!$A$4:$A$3003,$D944)=0,"NO EXISTE",IF(COUNTIFS(ENVIOS!$A$4:$A$3003,$D944)&gt;1,"DUPLICADA","OK"))))</f>
        <v/>
      </c>
      <c r="F944" s="28">
        <f>IF($D944="","",IFERROR(INDEX(ENVIOS!$B$4:$B$3003,MATCH($D944,ENVIOS!$A$4:$A$3003,0)),"—"))</f>
        <v/>
      </c>
      <c r="G944" s="23">
        <f>IF($D944="","",IFERROR(INDEX(ENVIOS!$D$4:$D$3003,MATCH($D944,ENVIOS!$A$4:$A$3003,0)),"—"))</f>
        <v/>
      </c>
      <c r="H944" s="23">
        <f>IF($D944="","",IFERROR(INDEX(ENVIOS!$E$4:$E$3003,MATCH($D944,ENVIOS!$A$4:$A$3003,0)),"—"))</f>
        <v/>
      </c>
      <c r="I944" s="23">
        <f>IF($D944="","",IFERROR(INDEX(ENVIOS!$F$4:$F$3003,MATCH($D944,ENVIOS!$A$4:$A$3003,0)),"—"))</f>
        <v/>
      </c>
      <c r="J944" s="23">
        <f>IF($D944="","",IFERROR(INDEX(ENVIOS!$G$4:$G$3003,MATCH($D944,ENVIOS!$A$4:$A$3003,0)),"—"))</f>
        <v/>
      </c>
      <c r="K944" s="28">
        <f>IF($D944="","",IFERROR(INDEX(ENVIOS!$H$4:$H$3003,MATCH($D944,ENVIOS!$A$4:$A$3003,0)),"—"))</f>
        <v/>
      </c>
      <c r="L944" s="49">
        <f>IF($D944="","",IFERROR(INDEX(ENVIOS!$C$4:$C$3003,MATCH($D944,ENVIOS!$A$4:$A$3003,0)),""))</f>
        <v/>
      </c>
      <c r="M944" s="50" t="n"/>
      <c r="N944" s="28">
        <f>IF($M944="","",IFERROR(INDEX(CONFIG!$C$4:$C$63,MATCH($M944,CONFIG!$A$4:$A$63,0)),"Media"))</f>
        <v/>
      </c>
      <c r="O944" s="28">
        <f>IF($M944="","",IF($C944="Interna","NO",IFERROR(INDEX(CONFIG!$E$4:$E$63,MATCH($M944,CONFIG!$A$4:$A$63,0)),"NO")))</f>
        <v/>
      </c>
      <c r="P944" s="50" t="n"/>
      <c r="Q944" s="50" t="n"/>
      <c r="R944" s="28">
        <f>IF($Q944="","",IFERROR(INDEX(CONFIG!$H$4:$H$63,MATCH($Q944,CONFIG!$G$4:$G$63,0)),"Por definir"))</f>
        <v/>
      </c>
      <c r="S944" s="28">
        <f>IF($Q944="","",IFERROR(INDEX(CONFIG!$I$4:$I$63,MATCH($Q944,CONFIG!$G$4:$G$63,0)),"Por definir"))</f>
        <v/>
      </c>
      <c r="T944" s="51" t="n"/>
      <c r="U944" s="52" t="n"/>
      <c r="V944" s="50" t="n"/>
      <c r="W944" s="50" t="n"/>
      <c r="X944" s="49">
        <f>IF(OR($B944="",$M944=""),"",WORKDAY($B944,IFERROR(INDEX(CONFIG!$D$4:$D$63,MATCH($M944,CONFIG!$A$4:$A$63,0)),3)))</f>
        <v/>
      </c>
      <c r="Y944" s="47" t="n"/>
      <c r="Z944" s="24">
        <f>IF($B944="","",IF($Y944&lt;&gt;"",$Y944-$B944,TODAY()-$B944))</f>
        <v/>
      </c>
      <c r="AA944" s="28">
        <f>IF($B944="","",IF(IFERROR(INDEX(CONFIG!$L$4:$L$63,MATCH($V944,CONFIG!$K$4:$K$63,0)),"NO")="SÍ",IF(OR($Y944="",$X944=""),"Resuelta",IF($Y944&gt;$X944,"Resuelta tarde","Resuelta a tiempo")),IF($X944="","Sin clasificar",IF(TODAY()&gt;$X944,"Vencida",IF(TODAY()&gt;=$X944-1,"Por vencer","En plazo")))))</f>
        <v/>
      </c>
      <c r="AB944" s="50" t="n"/>
      <c r="AC944" s="50" t="n"/>
    </row>
    <row r="945" ht="16" customHeight="1">
      <c r="A945" s="28">
        <f>IF($B945="","","N-"&amp;TEXT(ROW()-3,"0000"))</f>
        <v/>
      </c>
      <c r="B945" s="47" t="n"/>
      <c r="C945" s="48" t="n"/>
      <c r="D945" s="48" t="n"/>
      <c r="E945" s="28">
        <f>IF($C945="","",IF($D945="",IF($C945="Interna","Sin guía (interna)","FALTA GUÍA"),IF(COUNTIFS(ENVIOS!$A$4:$A$3003,$D945)=0,"NO EXISTE",IF(COUNTIFS(ENVIOS!$A$4:$A$3003,$D945)&gt;1,"DUPLICADA","OK"))))</f>
        <v/>
      </c>
      <c r="F945" s="28">
        <f>IF($D945="","",IFERROR(INDEX(ENVIOS!$B$4:$B$3003,MATCH($D945,ENVIOS!$A$4:$A$3003,0)),"—"))</f>
        <v/>
      </c>
      <c r="G945" s="23">
        <f>IF($D945="","",IFERROR(INDEX(ENVIOS!$D$4:$D$3003,MATCH($D945,ENVIOS!$A$4:$A$3003,0)),"—"))</f>
        <v/>
      </c>
      <c r="H945" s="23">
        <f>IF($D945="","",IFERROR(INDEX(ENVIOS!$E$4:$E$3003,MATCH($D945,ENVIOS!$A$4:$A$3003,0)),"—"))</f>
        <v/>
      </c>
      <c r="I945" s="23">
        <f>IF($D945="","",IFERROR(INDEX(ENVIOS!$F$4:$F$3003,MATCH($D945,ENVIOS!$A$4:$A$3003,0)),"—"))</f>
        <v/>
      </c>
      <c r="J945" s="23">
        <f>IF($D945="","",IFERROR(INDEX(ENVIOS!$G$4:$G$3003,MATCH($D945,ENVIOS!$A$4:$A$3003,0)),"—"))</f>
        <v/>
      </c>
      <c r="K945" s="28">
        <f>IF($D945="","",IFERROR(INDEX(ENVIOS!$H$4:$H$3003,MATCH($D945,ENVIOS!$A$4:$A$3003,0)),"—"))</f>
        <v/>
      </c>
      <c r="L945" s="49">
        <f>IF($D945="","",IFERROR(INDEX(ENVIOS!$C$4:$C$3003,MATCH($D945,ENVIOS!$A$4:$A$3003,0)),""))</f>
        <v/>
      </c>
      <c r="M945" s="50" t="n"/>
      <c r="N945" s="28">
        <f>IF($M945="","",IFERROR(INDEX(CONFIG!$C$4:$C$63,MATCH($M945,CONFIG!$A$4:$A$63,0)),"Media"))</f>
        <v/>
      </c>
      <c r="O945" s="28">
        <f>IF($M945="","",IF($C945="Interna","NO",IFERROR(INDEX(CONFIG!$E$4:$E$63,MATCH($M945,CONFIG!$A$4:$A$63,0)),"NO")))</f>
        <v/>
      </c>
      <c r="P945" s="50" t="n"/>
      <c r="Q945" s="50" t="n"/>
      <c r="R945" s="28">
        <f>IF($Q945="","",IFERROR(INDEX(CONFIG!$H$4:$H$63,MATCH($Q945,CONFIG!$G$4:$G$63,0)),"Por definir"))</f>
        <v/>
      </c>
      <c r="S945" s="28">
        <f>IF($Q945="","",IFERROR(INDEX(CONFIG!$I$4:$I$63,MATCH($Q945,CONFIG!$G$4:$G$63,0)),"Por definir"))</f>
        <v/>
      </c>
      <c r="T945" s="51" t="n"/>
      <c r="U945" s="52" t="n"/>
      <c r="V945" s="50" t="n"/>
      <c r="W945" s="50" t="n"/>
      <c r="X945" s="49">
        <f>IF(OR($B945="",$M945=""),"",WORKDAY($B945,IFERROR(INDEX(CONFIG!$D$4:$D$63,MATCH($M945,CONFIG!$A$4:$A$63,0)),3)))</f>
        <v/>
      </c>
      <c r="Y945" s="47" t="n"/>
      <c r="Z945" s="24">
        <f>IF($B945="","",IF($Y945&lt;&gt;"",$Y945-$B945,TODAY()-$B945))</f>
        <v/>
      </c>
      <c r="AA945" s="28">
        <f>IF($B945="","",IF(IFERROR(INDEX(CONFIG!$L$4:$L$63,MATCH($V945,CONFIG!$K$4:$K$63,0)),"NO")="SÍ",IF(OR($Y945="",$X945=""),"Resuelta",IF($Y945&gt;$X945,"Resuelta tarde","Resuelta a tiempo")),IF($X945="","Sin clasificar",IF(TODAY()&gt;$X945,"Vencida",IF(TODAY()&gt;=$X945-1,"Por vencer","En plazo")))))</f>
        <v/>
      </c>
      <c r="AB945" s="50" t="n"/>
      <c r="AC945" s="50" t="n"/>
    </row>
    <row r="946" ht="16" customHeight="1">
      <c r="A946" s="28">
        <f>IF($B946="","","N-"&amp;TEXT(ROW()-3,"0000"))</f>
        <v/>
      </c>
      <c r="B946" s="47" t="n"/>
      <c r="C946" s="48" t="n"/>
      <c r="D946" s="48" t="n"/>
      <c r="E946" s="28">
        <f>IF($C946="","",IF($D946="",IF($C946="Interna","Sin guía (interna)","FALTA GUÍA"),IF(COUNTIFS(ENVIOS!$A$4:$A$3003,$D946)=0,"NO EXISTE",IF(COUNTIFS(ENVIOS!$A$4:$A$3003,$D946)&gt;1,"DUPLICADA","OK"))))</f>
        <v/>
      </c>
      <c r="F946" s="28">
        <f>IF($D946="","",IFERROR(INDEX(ENVIOS!$B$4:$B$3003,MATCH($D946,ENVIOS!$A$4:$A$3003,0)),"—"))</f>
        <v/>
      </c>
      <c r="G946" s="23">
        <f>IF($D946="","",IFERROR(INDEX(ENVIOS!$D$4:$D$3003,MATCH($D946,ENVIOS!$A$4:$A$3003,0)),"—"))</f>
        <v/>
      </c>
      <c r="H946" s="23">
        <f>IF($D946="","",IFERROR(INDEX(ENVIOS!$E$4:$E$3003,MATCH($D946,ENVIOS!$A$4:$A$3003,0)),"—"))</f>
        <v/>
      </c>
      <c r="I946" s="23">
        <f>IF($D946="","",IFERROR(INDEX(ENVIOS!$F$4:$F$3003,MATCH($D946,ENVIOS!$A$4:$A$3003,0)),"—"))</f>
        <v/>
      </c>
      <c r="J946" s="23">
        <f>IF($D946="","",IFERROR(INDEX(ENVIOS!$G$4:$G$3003,MATCH($D946,ENVIOS!$A$4:$A$3003,0)),"—"))</f>
        <v/>
      </c>
      <c r="K946" s="28">
        <f>IF($D946="","",IFERROR(INDEX(ENVIOS!$H$4:$H$3003,MATCH($D946,ENVIOS!$A$4:$A$3003,0)),"—"))</f>
        <v/>
      </c>
      <c r="L946" s="49">
        <f>IF($D946="","",IFERROR(INDEX(ENVIOS!$C$4:$C$3003,MATCH($D946,ENVIOS!$A$4:$A$3003,0)),""))</f>
        <v/>
      </c>
      <c r="M946" s="50" t="n"/>
      <c r="N946" s="28">
        <f>IF($M946="","",IFERROR(INDEX(CONFIG!$C$4:$C$63,MATCH($M946,CONFIG!$A$4:$A$63,0)),"Media"))</f>
        <v/>
      </c>
      <c r="O946" s="28">
        <f>IF($M946="","",IF($C946="Interna","NO",IFERROR(INDEX(CONFIG!$E$4:$E$63,MATCH($M946,CONFIG!$A$4:$A$63,0)),"NO")))</f>
        <v/>
      </c>
      <c r="P946" s="50" t="n"/>
      <c r="Q946" s="50" t="n"/>
      <c r="R946" s="28">
        <f>IF($Q946="","",IFERROR(INDEX(CONFIG!$H$4:$H$63,MATCH($Q946,CONFIG!$G$4:$G$63,0)),"Por definir"))</f>
        <v/>
      </c>
      <c r="S946" s="28">
        <f>IF($Q946="","",IFERROR(INDEX(CONFIG!$I$4:$I$63,MATCH($Q946,CONFIG!$G$4:$G$63,0)),"Por definir"))</f>
        <v/>
      </c>
      <c r="T946" s="51" t="n"/>
      <c r="U946" s="52" t="n"/>
      <c r="V946" s="50" t="n"/>
      <c r="W946" s="50" t="n"/>
      <c r="X946" s="49">
        <f>IF(OR($B946="",$M946=""),"",WORKDAY($B946,IFERROR(INDEX(CONFIG!$D$4:$D$63,MATCH($M946,CONFIG!$A$4:$A$63,0)),3)))</f>
        <v/>
      </c>
      <c r="Y946" s="47" t="n"/>
      <c r="Z946" s="24">
        <f>IF($B946="","",IF($Y946&lt;&gt;"",$Y946-$B946,TODAY()-$B946))</f>
        <v/>
      </c>
      <c r="AA946" s="28">
        <f>IF($B946="","",IF(IFERROR(INDEX(CONFIG!$L$4:$L$63,MATCH($V946,CONFIG!$K$4:$K$63,0)),"NO")="SÍ",IF(OR($Y946="",$X946=""),"Resuelta",IF($Y946&gt;$X946,"Resuelta tarde","Resuelta a tiempo")),IF($X946="","Sin clasificar",IF(TODAY()&gt;$X946,"Vencida",IF(TODAY()&gt;=$X946-1,"Por vencer","En plazo")))))</f>
        <v/>
      </c>
      <c r="AB946" s="50" t="n"/>
      <c r="AC946" s="50" t="n"/>
    </row>
    <row r="947" ht="16" customHeight="1">
      <c r="A947" s="28">
        <f>IF($B947="","","N-"&amp;TEXT(ROW()-3,"0000"))</f>
        <v/>
      </c>
      <c r="B947" s="47" t="n"/>
      <c r="C947" s="48" t="n"/>
      <c r="D947" s="48" t="n"/>
      <c r="E947" s="28">
        <f>IF($C947="","",IF($D947="",IF($C947="Interna","Sin guía (interna)","FALTA GUÍA"),IF(COUNTIFS(ENVIOS!$A$4:$A$3003,$D947)=0,"NO EXISTE",IF(COUNTIFS(ENVIOS!$A$4:$A$3003,$D947)&gt;1,"DUPLICADA","OK"))))</f>
        <v/>
      </c>
      <c r="F947" s="28">
        <f>IF($D947="","",IFERROR(INDEX(ENVIOS!$B$4:$B$3003,MATCH($D947,ENVIOS!$A$4:$A$3003,0)),"—"))</f>
        <v/>
      </c>
      <c r="G947" s="23">
        <f>IF($D947="","",IFERROR(INDEX(ENVIOS!$D$4:$D$3003,MATCH($D947,ENVIOS!$A$4:$A$3003,0)),"—"))</f>
        <v/>
      </c>
      <c r="H947" s="23">
        <f>IF($D947="","",IFERROR(INDEX(ENVIOS!$E$4:$E$3003,MATCH($D947,ENVIOS!$A$4:$A$3003,0)),"—"))</f>
        <v/>
      </c>
      <c r="I947" s="23">
        <f>IF($D947="","",IFERROR(INDEX(ENVIOS!$F$4:$F$3003,MATCH($D947,ENVIOS!$A$4:$A$3003,0)),"—"))</f>
        <v/>
      </c>
      <c r="J947" s="23">
        <f>IF($D947="","",IFERROR(INDEX(ENVIOS!$G$4:$G$3003,MATCH($D947,ENVIOS!$A$4:$A$3003,0)),"—"))</f>
        <v/>
      </c>
      <c r="K947" s="28">
        <f>IF($D947="","",IFERROR(INDEX(ENVIOS!$H$4:$H$3003,MATCH($D947,ENVIOS!$A$4:$A$3003,0)),"—"))</f>
        <v/>
      </c>
      <c r="L947" s="49">
        <f>IF($D947="","",IFERROR(INDEX(ENVIOS!$C$4:$C$3003,MATCH($D947,ENVIOS!$A$4:$A$3003,0)),""))</f>
        <v/>
      </c>
      <c r="M947" s="50" t="n"/>
      <c r="N947" s="28">
        <f>IF($M947="","",IFERROR(INDEX(CONFIG!$C$4:$C$63,MATCH($M947,CONFIG!$A$4:$A$63,0)),"Media"))</f>
        <v/>
      </c>
      <c r="O947" s="28">
        <f>IF($M947="","",IF($C947="Interna","NO",IFERROR(INDEX(CONFIG!$E$4:$E$63,MATCH($M947,CONFIG!$A$4:$A$63,0)),"NO")))</f>
        <v/>
      </c>
      <c r="P947" s="50" t="n"/>
      <c r="Q947" s="50" t="n"/>
      <c r="R947" s="28">
        <f>IF($Q947="","",IFERROR(INDEX(CONFIG!$H$4:$H$63,MATCH($Q947,CONFIG!$G$4:$G$63,0)),"Por definir"))</f>
        <v/>
      </c>
      <c r="S947" s="28">
        <f>IF($Q947="","",IFERROR(INDEX(CONFIG!$I$4:$I$63,MATCH($Q947,CONFIG!$G$4:$G$63,0)),"Por definir"))</f>
        <v/>
      </c>
      <c r="T947" s="51" t="n"/>
      <c r="U947" s="52" t="n"/>
      <c r="V947" s="50" t="n"/>
      <c r="W947" s="50" t="n"/>
      <c r="X947" s="49">
        <f>IF(OR($B947="",$M947=""),"",WORKDAY($B947,IFERROR(INDEX(CONFIG!$D$4:$D$63,MATCH($M947,CONFIG!$A$4:$A$63,0)),3)))</f>
        <v/>
      </c>
      <c r="Y947" s="47" t="n"/>
      <c r="Z947" s="24">
        <f>IF($B947="","",IF($Y947&lt;&gt;"",$Y947-$B947,TODAY()-$B947))</f>
        <v/>
      </c>
      <c r="AA947" s="28">
        <f>IF($B947="","",IF(IFERROR(INDEX(CONFIG!$L$4:$L$63,MATCH($V947,CONFIG!$K$4:$K$63,0)),"NO")="SÍ",IF(OR($Y947="",$X947=""),"Resuelta",IF($Y947&gt;$X947,"Resuelta tarde","Resuelta a tiempo")),IF($X947="","Sin clasificar",IF(TODAY()&gt;$X947,"Vencida",IF(TODAY()&gt;=$X947-1,"Por vencer","En plazo")))))</f>
        <v/>
      </c>
      <c r="AB947" s="50" t="n"/>
      <c r="AC947" s="50" t="n"/>
    </row>
    <row r="948" ht="16" customHeight="1">
      <c r="A948" s="28">
        <f>IF($B948="","","N-"&amp;TEXT(ROW()-3,"0000"))</f>
        <v/>
      </c>
      <c r="B948" s="47" t="n"/>
      <c r="C948" s="48" t="n"/>
      <c r="D948" s="48" t="n"/>
      <c r="E948" s="28">
        <f>IF($C948="","",IF($D948="",IF($C948="Interna","Sin guía (interna)","FALTA GUÍA"),IF(COUNTIFS(ENVIOS!$A$4:$A$3003,$D948)=0,"NO EXISTE",IF(COUNTIFS(ENVIOS!$A$4:$A$3003,$D948)&gt;1,"DUPLICADA","OK"))))</f>
        <v/>
      </c>
      <c r="F948" s="28">
        <f>IF($D948="","",IFERROR(INDEX(ENVIOS!$B$4:$B$3003,MATCH($D948,ENVIOS!$A$4:$A$3003,0)),"—"))</f>
        <v/>
      </c>
      <c r="G948" s="23">
        <f>IF($D948="","",IFERROR(INDEX(ENVIOS!$D$4:$D$3003,MATCH($D948,ENVIOS!$A$4:$A$3003,0)),"—"))</f>
        <v/>
      </c>
      <c r="H948" s="23">
        <f>IF($D948="","",IFERROR(INDEX(ENVIOS!$E$4:$E$3003,MATCH($D948,ENVIOS!$A$4:$A$3003,0)),"—"))</f>
        <v/>
      </c>
      <c r="I948" s="23">
        <f>IF($D948="","",IFERROR(INDEX(ENVIOS!$F$4:$F$3003,MATCH($D948,ENVIOS!$A$4:$A$3003,0)),"—"))</f>
        <v/>
      </c>
      <c r="J948" s="23">
        <f>IF($D948="","",IFERROR(INDEX(ENVIOS!$G$4:$G$3003,MATCH($D948,ENVIOS!$A$4:$A$3003,0)),"—"))</f>
        <v/>
      </c>
      <c r="K948" s="28">
        <f>IF($D948="","",IFERROR(INDEX(ENVIOS!$H$4:$H$3003,MATCH($D948,ENVIOS!$A$4:$A$3003,0)),"—"))</f>
        <v/>
      </c>
      <c r="L948" s="49">
        <f>IF($D948="","",IFERROR(INDEX(ENVIOS!$C$4:$C$3003,MATCH($D948,ENVIOS!$A$4:$A$3003,0)),""))</f>
        <v/>
      </c>
      <c r="M948" s="50" t="n"/>
      <c r="N948" s="28">
        <f>IF($M948="","",IFERROR(INDEX(CONFIG!$C$4:$C$63,MATCH($M948,CONFIG!$A$4:$A$63,0)),"Media"))</f>
        <v/>
      </c>
      <c r="O948" s="28">
        <f>IF($M948="","",IF($C948="Interna","NO",IFERROR(INDEX(CONFIG!$E$4:$E$63,MATCH($M948,CONFIG!$A$4:$A$63,0)),"NO")))</f>
        <v/>
      </c>
      <c r="P948" s="50" t="n"/>
      <c r="Q948" s="50" t="n"/>
      <c r="R948" s="28">
        <f>IF($Q948="","",IFERROR(INDEX(CONFIG!$H$4:$H$63,MATCH($Q948,CONFIG!$G$4:$G$63,0)),"Por definir"))</f>
        <v/>
      </c>
      <c r="S948" s="28">
        <f>IF($Q948="","",IFERROR(INDEX(CONFIG!$I$4:$I$63,MATCH($Q948,CONFIG!$G$4:$G$63,0)),"Por definir"))</f>
        <v/>
      </c>
      <c r="T948" s="51" t="n"/>
      <c r="U948" s="52" t="n"/>
      <c r="V948" s="50" t="n"/>
      <c r="W948" s="50" t="n"/>
      <c r="X948" s="49">
        <f>IF(OR($B948="",$M948=""),"",WORKDAY($B948,IFERROR(INDEX(CONFIG!$D$4:$D$63,MATCH($M948,CONFIG!$A$4:$A$63,0)),3)))</f>
        <v/>
      </c>
      <c r="Y948" s="47" t="n"/>
      <c r="Z948" s="24">
        <f>IF($B948="","",IF($Y948&lt;&gt;"",$Y948-$B948,TODAY()-$B948))</f>
        <v/>
      </c>
      <c r="AA948" s="28">
        <f>IF($B948="","",IF(IFERROR(INDEX(CONFIG!$L$4:$L$63,MATCH($V948,CONFIG!$K$4:$K$63,0)),"NO")="SÍ",IF(OR($Y948="",$X948=""),"Resuelta",IF($Y948&gt;$X948,"Resuelta tarde","Resuelta a tiempo")),IF($X948="","Sin clasificar",IF(TODAY()&gt;$X948,"Vencida",IF(TODAY()&gt;=$X948-1,"Por vencer","En plazo")))))</f>
        <v/>
      </c>
      <c r="AB948" s="50" t="n"/>
      <c r="AC948" s="50" t="n"/>
    </row>
    <row r="949" ht="16" customHeight="1">
      <c r="A949" s="28">
        <f>IF($B949="","","N-"&amp;TEXT(ROW()-3,"0000"))</f>
        <v/>
      </c>
      <c r="B949" s="47" t="n"/>
      <c r="C949" s="48" t="n"/>
      <c r="D949" s="48" t="n"/>
      <c r="E949" s="28">
        <f>IF($C949="","",IF($D949="",IF($C949="Interna","Sin guía (interna)","FALTA GUÍA"),IF(COUNTIFS(ENVIOS!$A$4:$A$3003,$D949)=0,"NO EXISTE",IF(COUNTIFS(ENVIOS!$A$4:$A$3003,$D949)&gt;1,"DUPLICADA","OK"))))</f>
        <v/>
      </c>
      <c r="F949" s="28">
        <f>IF($D949="","",IFERROR(INDEX(ENVIOS!$B$4:$B$3003,MATCH($D949,ENVIOS!$A$4:$A$3003,0)),"—"))</f>
        <v/>
      </c>
      <c r="G949" s="23">
        <f>IF($D949="","",IFERROR(INDEX(ENVIOS!$D$4:$D$3003,MATCH($D949,ENVIOS!$A$4:$A$3003,0)),"—"))</f>
        <v/>
      </c>
      <c r="H949" s="23">
        <f>IF($D949="","",IFERROR(INDEX(ENVIOS!$E$4:$E$3003,MATCH($D949,ENVIOS!$A$4:$A$3003,0)),"—"))</f>
        <v/>
      </c>
      <c r="I949" s="23">
        <f>IF($D949="","",IFERROR(INDEX(ENVIOS!$F$4:$F$3003,MATCH($D949,ENVIOS!$A$4:$A$3003,0)),"—"))</f>
        <v/>
      </c>
      <c r="J949" s="23">
        <f>IF($D949="","",IFERROR(INDEX(ENVIOS!$G$4:$G$3003,MATCH($D949,ENVIOS!$A$4:$A$3003,0)),"—"))</f>
        <v/>
      </c>
      <c r="K949" s="28">
        <f>IF($D949="","",IFERROR(INDEX(ENVIOS!$H$4:$H$3003,MATCH($D949,ENVIOS!$A$4:$A$3003,0)),"—"))</f>
        <v/>
      </c>
      <c r="L949" s="49">
        <f>IF($D949="","",IFERROR(INDEX(ENVIOS!$C$4:$C$3003,MATCH($D949,ENVIOS!$A$4:$A$3003,0)),""))</f>
        <v/>
      </c>
      <c r="M949" s="50" t="n"/>
      <c r="N949" s="28">
        <f>IF($M949="","",IFERROR(INDEX(CONFIG!$C$4:$C$63,MATCH($M949,CONFIG!$A$4:$A$63,0)),"Media"))</f>
        <v/>
      </c>
      <c r="O949" s="28">
        <f>IF($M949="","",IF($C949="Interna","NO",IFERROR(INDEX(CONFIG!$E$4:$E$63,MATCH($M949,CONFIG!$A$4:$A$63,0)),"NO")))</f>
        <v/>
      </c>
      <c r="P949" s="50" t="n"/>
      <c r="Q949" s="50" t="n"/>
      <c r="R949" s="28">
        <f>IF($Q949="","",IFERROR(INDEX(CONFIG!$H$4:$H$63,MATCH($Q949,CONFIG!$G$4:$G$63,0)),"Por definir"))</f>
        <v/>
      </c>
      <c r="S949" s="28">
        <f>IF($Q949="","",IFERROR(INDEX(CONFIG!$I$4:$I$63,MATCH($Q949,CONFIG!$G$4:$G$63,0)),"Por definir"))</f>
        <v/>
      </c>
      <c r="T949" s="51" t="n"/>
      <c r="U949" s="52" t="n"/>
      <c r="V949" s="50" t="n"/>
      <c r="W949" s="50" t="n"/>
      <c r="X949" s="49">
        <f>IF(OR($B949="",$M949=""),"",WORKDAY($B949,IFERROR(INDEX(CONFIG!$D$4:$D$63,MATCH($M949,CONFIG!$A$4:$A$63,0)),3)))</f>
        <v/>
      </c>
      <c r="Y949" s="47" t="n"/>
      <c r="Z949" s="24">
        <f>IF($B949="","",IF($Y949&lt;&gt;"",$Y949-$B949,TODAY()-$B949))</f>
        <v/>
      </c>
      <c r="AA949" s="28">
        <f>IF($B949="","",IF(IFERROR(INDEX(CONFIG!$L$4:$L$63,MATCH($V949,CONFIG!$K$4:$K$63,0)),"NO")="SÍ",IF(OR($Y949="",$X949=""),"Resuelta",IF($Y949&gt;$X949,"Resuelta tarde","Resuelta a tiempo")),IF($X949="","Sin clasificar",IF(TODAY()&gt;$X949,"Vencida",IF(TODAY()&gt;=$X949-1,"Por vencer","En plazo")))))</f>
        <v/>
      </c>
      <c r="AB949" s="50" t="n"/>
      <c r="AC949" s="50" t="n"/>
    </row>
    <row r="950" ht="16" customHeight="1">
      <c r="A950" s="28">
        <f>IF($B950="","","N-"&amp;TEXT(ROW()-3,"0000"))</f>
        <v/>
      </c>
      <c r="B950" s="47" t="n"/>
      <c r="C950" s="48" t="n"/>
      <c r="D950" s="48" t="n"/>
      <c r="E950" s="28">
        <f>IF($C950="","",IF($D950="",IF($C950="Interna","Sin guía (interna)","FALTA GUÍA"),IF(COUNTIFS(ENVIOS!$A$4:$A$3003,$D950)=0,"NO EXISTE",IF(COUNTIFS(ENVIOS!$A$4:$A$3003,$D950)&gt;1,"DUPLICADA","OK"))))</f>
        <v/>
      </c>
      <c r="F950" s="28">
        <f>IF($D950="","",IFERROR(INDEX(ENVIOS!$B$4:$B$3003,MATCH($D950,ENVIOS!$A$4:$A$3003,0)),"—"))</f>
        <v/>
      </c>
      <c r="G950" s="23">
        <f>IF($D950="","",IFERROR(INDEX(ENVIOS!$D$4:$D$3003,MATCH($D950,ENVIOS!$A$4:$A$3003,0)),"—"))</f>
        <v/>
      </c>
      <c r="H950" s="23">
        <f>IF($D950="","",IFERROR(INDEX(ENVIOS!$E$4:$E$3003,MATCH($D950,ENVIOS!$A$4:$A$3003,0)),"—"))</f>
        <v/>
      </c>
      <c r="I950" s="23">
        <f>IF($D950="","",IFERROR(INDEX(ENVIOS!$F$4:$F$3003,MATCH($D950,ENVIOS!$A$4:$A$3003,0)),"—"))</f>
        <v/>
      </c>
      <c r="J950" s="23">
        <f>IF($D950="","",IFERROR(INDEX(ENVIOS!$G$4:$G$3003,MATCH($D950,ENVIOS!$A$4:$A$3003,0)),"—"))</f>
        <v/>
      </c>
      <c r="K950" s="28">
        <f>IF($D950="","",IFERROR(INDEX(ENVIOS!$H$4:$H$3003,MATCH($D950,ENVIOS!$A$4:$A$3003,0)),"—"))</f>
        <v/>
      </c>
      <c r="L950" s="49">
        <f>IF($D950="","",IFERROR(INDEX(ENVIOS!$C$4:$C$3003,MATCH($D950,ENVIOS!$A$4:$A$3003,0)),""))</f>
        <v/>
      </c>
      <c r="M950" s="50" t="n"/>
      <c r="N950" s="28">
        <f>IF($M950="","",IFERROR(INDEX(CONFIG!$C$4:$C$63,MATCH($M950,CONFIG!$A$4:$A$63,0)),"Media"))</f>
        <v/>
      </c>
      <c r="O950" s="28">
        <f>IF($M950="","",IF($C950="Interna","NO",IFERROR(INDEX(CONFIG!$E$4:$E$63,MATCH($M950,CONFIG!$A$4:$A$63,0)),"NO")))</f>
        <v/>
      </c>
      <c r="P950" s="50" t="n"/>
      <c r="Q950" s="50" t="n"/>
      <c r="R950" s="28">
        <f>IF($Q950="","",IFERROR(INDEX(CONFIG!$H$4:$H$63,MATCH($Q950,CONFIG!$G$4:$G$63,0)),"Por definir"))</f>
        <v/>
      </c>
      <c r="S950" s="28">
        <f>IF($Q950="","",IFERROR(INDEX(CONFIG!$I$4:$I$63,MATCH($Q950,CONFIG!$G$4:$G$63,0)),"Por definir"))</f>
        <v/>
      </c>
      <c r="T950" s="51" t="n"/>
      <c r="U950" s="52" t="n"/>
      <c r="V950" s="50" t="n"/>
      <c r="W950" s="50" t="n"/>
      <c r="X950" s="49">
        <f>IF(OR($B950="",$M950=""),"",WORKDAY($B950,IFERROR(INDEX(CONFIG!$D$4:$D$63,MATCH($M950,CONFIG!$A$4:$A$63,0)),3)))</f>
        <v/>
      </c>
      <c r="Y950" s="47" t="n"/>
      <c r="Z950" s="24">
        <f>IF($B950="","",IF($Y950&lt;&gt;"",$Y950-$B950,TODAY()-$B950))</f>
        <v/>
      </c>
      <c r="AA950" s="28">
        <f>IF($B950="","",IF(IFERROR(INDEX(CONFIG!$L$4:$L$63,MATCH($V950,CONFIG!$K$4:$K$63,0)),"NO")="SÍ",IF(OR($Y950="",$X950=""),"Resuelta",IF($Y950&gt;$X950,"Resuelta tarde","Resuelta a tiempo")),IF($X950="","Sin clasificar",IF(TODAY()&gt;$X950,"Vencida",IF(TODAY()&gt;=$X950-1,"Por vencer","En plazo")))))</f>
        <v/>
      </c>
      <c r="AB950" s="50" t="n"/>
      <c r="AC950" s="50" t="n"/>
    </row>
    <row r="951" ht="16" customHeight="1">
      <c r="A951" s="28">
        <f>IF($B951="","","N-"&amp;TEXT(ROW()-3,"0000"))</f>
        <v/>
      </c>
      <c r="B951" s="47" t="n"/>
      <c r="C951" s="48" t="n"/>
      <c r="D951" s="48" t="n"/>
      <c r="E951" s="28">
        <f>IF($C951="","",IF($D951="",IF($C951="Interna","Sin guía (interna)","FALTA GUÍA"),IF(COUNTIFS(ENVIOS!$A$4:$A$3003,$D951)=0,"NO EXISTE",IF(COUNTIFS(ENVIOS!$A$4:$A$3003,$D951)&gt;1,"DUPLICADA","OK"))))</f>
        <v/>
      </c>
      <c r="F951" s="28">
        <f>IF($D951="","",IFERROR(INDEX(ENVIOS!$B$4:$B$3003,MATCH($D951,ENVIOS!$A$4:$A$3003,0)),"—"))</f>
        <v/>
      </c>
      <c r="G951" s="23">
        <f>IF($D951="","",IFERROR(INDEX(ENVIOS!$D$4:$D$3003,MATCH($D951,ENVIOS!$A$4:$A$3003,0)),"—"))</f>
        <v/>
      </c>
      <c r="H951" s="23">
        <f>IF($D951="","",IFERROR(INDEX(ENVIOS!$E$4:$E$3003,MATCH($D951,ENVIOS!$A$4:$A$3003,0)),"—"))</f>
        <v/>
      </c>
      <c r="I951" s="23">
        <f>IF($D951="","",IFERROR(INDEX(ENVIOS!$F$4:$F$3003,MATCH($D951,ENVIOS!$A$4:$A$3003,0)),"—"))</f>
        <v/>
      </c>
      <c r="J951" s="23">
        <f>IF($D951="","",IFERROR(INDEX(ENVIOS!$G$4:$G$3003,MATCH($D951,ENVIOS!$A$4:$A$3003,0)),"—"))</f>
        <v/>
      </c>
      <c r="K951" s="28">
        <f>IF($D951="","",IFERROR(INDEX(ENVIOS!$H$4:$H$3003,MATCH($D951,ENVIOS!$A$4:$A$3003,0)),"—"))</f>
        <v/>
      </c>
      <c r="L951" s="49">
        <f>IF($D951="","",IFERROR(INDEX(ENVIOS!$C$4:$C$3003,MATCH($D951,ENVIOS!$A$4:$A$3003,0)),""))</f>
        <v/>
      </c>
      <c r="M951" s="50" t="n"/>
      <c r="N951" s="28">
        <f>IF($M951="","",IFERROR(INDEX(CONFIG!$C$4:$C$63,MATCH($M951,CONFIG!$A$4:$A$63,0)),"Media"))</f>
        <v/>
      </c>
      <c r="O951" s="28">
        <f>IF($M951="","",IF($C951="Interna","NO",IFERROR(INDEX(CONFIG!$E$4:$E$63,MATCH($M951,CONFIG!$A$4:$A$63,0)),"NO")))</f>
        <v/>
      </c>
      <c r="P951" s="50" t="n"/>
      <c r="Q951" s="50" t="n"/>
      <c r="R951" s="28">
        <f>IF($Q951="","",IFERROR(INDEX(CONFIG!$H$4:$H$63,MATCH($Q951,CONFIG!$G$4:$G$63,0)),"Por definir"))</f>
        <v/>
      </c>
      <c r="S951" s="28">
        <f>IF($Q951="","",IFERROR(INDEX(CONFIG!$I$4:$I$63,MATCH($Q951,CONFIG!$G$4:$G$63,0)),"Por definir"))</f>
        <v/>
      </c>
      <c r="T951" s="51" t="n"/>
      <c r="U951" s="52" t="n"/>
      <c r="V951" s="50" t="n"/>
      <c r="W951" s="50" t="n"/>
      <c r="X951" s="49">
        <f>IF(OR($B951="",$M951=""),"",WORKDAY($B951,IFERROR(INDEX(CONFIG!$D$4:$D$63,MATCH($M951,CONFIG!$A$4:$A$63,0)),3)))</f>
        <v/>
      </c>
      <c r="Y951" s="47" t="n"/>
      <c r="Z951" s="24">
        <f>IF($B951="","",IF($Y951&lt;&gt;"",$Y951-$B951,TODAY()-$B951))</f>
        <v/>
      </c>
      <c r="AA951" s="28">
        <f>IF($B951="","",IF(IFERROR(INDEX(CONFIG!$L$4:$L$63,MATCH($V951,CONFIG!$K$4:$K$63,0)),"NO")="SÍ",IF(OR($Y951="",$X951=""),"Resuelta",IF($Y951&gt;$X951,"Resuelta tarde","Resuelta a tiempo")),IF($X951="","Sin clasificar",IF(TODAY()&gt;$X951,"Vencida",IF(TODAY()&gt;=$X951-1,"Por vencer","En plazo")))))</f>
        <v/>
      </c>
      <c r="AB951" s="50" t="n"/>
      <c r="AC951" s="50" t="n"/>
    </row>
    <row r="952" ht="16" customHeight="1">
      <c r="A952" s="28">
        <f>IF($B952="","","N-"&amp;TEXT(ROW()-3,"0000"))</f>
        <v/>
      </c>
      <c r="B952" s="47" t="n"/>
      <c r="C952" s="48" t="n"/>
      <c r="D952" s="48" t="n"/>
      <c r="E952" s="28">
        <f>IF($C952="","",IF($D952="",IF($C952="Interna","Sin guía (interna)","FALTA GUÍA"),IF(COUNTIFS(ENVIOS!$A$4:$A$3003,$D952)=0,"NO EXISTE",IF(COUNTIFS(ENVIOS!$A$4:$A$3003,$D952)&gt;1,"DUPLICADA","OK"))))</f>
        <v/>
      </c>
      <c r="F952" s="28">
        <f>IF($D952="","",IFERROR(INDEX(ENVIOS!$B$4:$B$3003,MATCH($D952,ENVIOS!$A$4:$A$3003,0)),"—"))</f>
        <v/>
      </c>
      <c r="G952" s="23">
        <f>IF($D952="","",IFERROR(INDEX(ENVIOS!$D$4:$D$3003,MATCH($D952,ENVIOS!$A$4:$A$3003,0)),"—"))</f>
        <v/>
      </c>
      <c r="H952" s="23">
        <f>IF($D952="","",IFERROR(INDEX(ENVIOS!$E$4:$E$3003,MATCH($D952,ENVIOS!$A$4:$A$3003,0)),"—"))</f>
        <v/>
      </c>
      <c r="I952" s="23">
        <f>IF($D952="","",IFERROR(INDEX(ENVIOS!$F$4:$F$3003,MATCH($D952,ENVIOS!$A$4:$A$3003,0)),"—"))</f>
        <v/>
      </c>
      <c r="J952" s="23">
        <f>IF($D952="","",IFERROR(INDEX(ENVIOS!$G$4:$G$3003,MATCH($D952,ENVIOS!$A$4:$A$3003,0)),"—"))</f>
        <v/>
      </c>
      <c r="K952" s="28">
        <f>IF($D952="","",IFERROR(INDEX(ENVIOS!$H$4:$H$3003,MATCH($D952,ENVIOS!$A$4:$A$3003,0)),"—"))</f>
        <v/>
      </c>
      <c r="L952" s="49">
        <f>IF($D952="","",IFERROR(INDEX(ENVIOS!$C$4:$C$3003,MATCH($D952,ENVIOS!$A$4:$A$3003,0)),""))</f>
        <v/>
      </c>
      <c r="M952" s="50" t="n"/>
      <c r="N952" s="28">
        <f>IF($M952="","",IFERROR(INDEX(CONFIG!$C$4:$C$63,MATCH($M952,CONFIG!$A$4:$A$63,0)),"Media"))</f>
        <v/>
      </c>
      <c r="O952" s="28">
        <f>IF($M952="","",IF($C952="Interna","NO",IFERROR(INDEX(CONFIG!$E$4:$E$63,MATCH($M952,CONFIG!$A$4:$A$63,0)),"NO")))</f>
        <v/>
      </c>
      <c r="P952" s="50" t="n"/>
      <c r="Q952" s="50" t="n"/>
      <c r="R952" s="28">
        <f>IF($Q952="","",IFERROR(INDEX(CONFIG!$H$4:$H$63,MATCH($Q952,CONFIG!$G$4:$G$63,0)),"Por definir"))</f>
        <v/>
      </c>
      <c r="S952" s="28">
        <f>IF($Q952="","",IFERROR(INDEX(CONFIG!$I$4:$I$63,MATCH($Q952,CONFIG!$G$4:$G$63,0)),"Por definir"))</f>
        <v/>
      </c>
      <c r="T952" s="51" t="n"/>
      <c r="U952" s="52" t="n"/>
      <c r="V952" s="50" t="n"/>
      <c r="W952" s="50" t="n"/>
      <c r="X952" s="49">
        <f>IF(OR($B952="",$M952=""),"",WORKDAY($B952,IFERROR(INDEX(CONFIG!$D$4:$D$63,MATCH($M952,CONFIG!$A$4:$A$63,0)),3)))</f>
        <v/>
      </c>
      <c r="Y952" s="47" t="n"/>
      <c r="Z952" s="24">
        <f>IF($B952="","",IF($Y952&lt;&gt;"",$Y952-$B952,TODAY()-$B952))</f>
        <v/>
      </c>
      <c r="AA952" s="28">
        <f>IF($B952="","",IF(IFERROR(INDEX(CONFIG!$L$4:$L$63,MATCH($V952,CONFIG!$K$4:$K$63,0)),"NO")="SÍ",IF(OR($Y952="",$X952=""),"Resuelta",IF($Y952&gt;$X952,"Resuelta tarde","Resuelta a tiempo")),IF($X952="","Sin clasificar",IF(TODAY()&gt;$X952,"Vencida",IF(TODAY()&gt;=$X952-1,"Por vencer","En plazo")))))</f>
        <v/>
      </c>
      <c r="AB952" s="50" t="n"/>
      <c r="AC952" s="50" t="n"/>
    </row>
    <row r="953" ht="16" customHeight="1">
      <c r="A953" s="28">
        <f>IF($B953="","","N-"&amp;TEXT(ROW()-3,"0000"))</f>
        <v/>
      </c>
      <c r="B953" s="47" t="n"/>
      <c r="C953" s="48" t="n"/>
      <c r="D953" s="48" t="n"/>
      <c r="E953" s="28">
        <f>IF($C953="","",IF($D953="",IF($C953="Interna","Sin guía (interna)","FALTA GUÍA"),IF(COUNTIFS(ENVIOS!$A$4:$A$3003,$D953)=0,"NO EXISTE",IF(COUNTIFS(ENVIOS!$A$4:$A$3003,$D953)&gt;1,"DUPLICADA","OK"))))</f>
        <v/>
      </c>
      <c r="F953" s="28">
        <f>IF($D953="","",IFERROR(INDEX(ENVIOS!$B$4:$B$3003,MATCH($D953,ENVIOS!$A$4:$A$3003,0)),"—"))</f>
        <v/>
      </c>
      <c r="G953" s="23">
        <f>IF($D953="","",IFERROR(INDEX(ENVIOS!$D$4:$D$3003,MATCH($D953,ENVIOS!$A$4:$A$3003,0)),"—"))</f>
        <v/>
      </c>
      <c r="H953" s="23">
        <f>IF($D953="","",IFERROR(INDEX(ENVIOS!$E$4:$E$3003,MATCH($D953,ENVIOS!$A$4:$A$3003,0)),"—"))</f>
        <v/>
      </c>
      <c r="I953" s="23">
        <f>IF($D953="","",IFERROR(INDEX(ENVIOS!$F$4:$F$3003,MATCH($D953,ENVIOS!$A$4:$A$3003,0)),"—"))</f>
        <v/>
      </c>
      <c r="J953" s="23">
        <f>IF($D953="","",IFERROR(INDEX(ENVIOS!$G$4:$G$3003,MATCH($D953,ENVIOS!$A$4:$A$3003,0)),"—"))</f>
        <v/>
      </c>
      <c r="K953" s="28">
        <f>IF($D953="","",IFERROR(INDEX(ENVIOS!$H$4:$H$3003,MATCH($D953,ENVIOS!$A$4:$A$3003,0)),"—"))</f>
        <v/>
      </c>
      <c r="L953" s="49">
        <f>IF($D953="","",IFERROR(INDEX(ENVIOS!$C$4:$C$3003,MATCH($D953,ENVIOS!$A$4:$A$3003,0)),""))</f>
        <v/>
      </c>
      <c r="M953" s="50" t="n"/>
      <c r="N953" s="28">
        <f>IF($M953="","",IFERROR(INDEX(CONFIG!$C$4:$C$63,MATCH($M953,CONFIG!$A$4:$A$63,0)),"Media"))</f>
        <v/>
      </c>
      <c r="O953" s="28">
        <f>IF($M953="","",IF($C953="Interna","NO",IFERROR(INDEX(CONFIG!$E$4:$E$63,MATCH($M953,CONFIG!$A$4:$A$63,0)),"NO")))</f>
        <v/>
      </c>
      <c r="P953" s="50" t="n"/>
      <c r="Q953" s="50" t="n"/>
      <c r="R953" s="28">
        <f>IF($Q953="","",IFERROR(INDEX(CONFIG!$H$4:$H$63,MATCH($Q953,CONFIG!$G$4:$G$63,0)),"Por definir"))</f>
        <v/>
      </c>
      <c r="S953" s="28">
        <f>IF($Q953="","",IFERROR(INDEX(CONFIG!$I$4:$I$63,MATCH($Q953,CONFIG!$G$4:$G$63,0)),"Por definir"))</f>
        <v/>
      </c>
      <c r="T953" s="51" t="n"/>
      <c r="U953" s="52" t="n"/>
      <c r="V953" s="50" t="n"/>
      <c r="W953" s="50" t="n"/>
      <c r="X953" s="49">
        <f>IF(OR($B953="",$M953=""),"",WORKDAY($B953,IFERROR(INDEX(CONFIG!$D$4:$D$63,MATCH($M953,CONFIG!$A$4:$A$63,0)),3)))</f>
        <v/>
      </c>
      <c r="Y953" s="47" t="n"/>
      <c r="Z953" s="24">
        <f>IF($B953="","",IF($Y953&lt;&gt;"",$Y953-$B953,TODAY()-$B953))</f>
        <v/>
      </c>
      <c r="AA953" s="28">
        <f>IF($B953="","",IF(IFERROR(INDEX(CONFIG!$L$4:$L$63,MATCH($V953,CONFIG!$K$4:$K$63,0)),"NO")="SÍ",IF(OR($Y953="",$X953=""),"Resuelta",IF($Y953&gt;$X953,"Resuelta tarde","Resuelta a tiempo")),IF($X953="","Sin clasificar",IF(TODAY()&gt;$X953,"Vencida",IF(TODAY()&gt;=$X953-1,"Por vencer","En plazo")))))</f>
        <v/>
      </c>
      <c r="AB953" s="50" t="n"/>
      <c r="AC953" s="50" t="n"/>
    </row>
    <row r="954" ht="16" customHeight="1">
      <c r="A954" s="28">
        <f>IF($B954="","","N-"&amp;TEXT(ROW()-3,"0000"))</f>
        <v/>
      </c>
      <c r="B954" s="47" t="n"/>
      <c r="C954" s="48" t="n"/>
      <c r="D954" s="48" t="n"/>
      <c r="E954" s="28">
        <f>IF($C954="","",IF($D954="",IF($C954="Interna","Sin guía (interna)","FALTA GUÍA"),IF(COUNTIFS(ENVIOS!$A$4:$A$3003,$D954)=0,"NO EXISTE",IF(COUNTIFS(ENVIOS!$A$4:$A$3003,$D954)&gt;1,"DUPLICADA","OK"))))</f>
        <v/>
      </c>
      <c r="F954" s="28">
        <f>IF($D954="","",IFERROR(INDEX(ENVIOS!$B$4:$B$3003,MATCH($D954,ENVIOS!$A$4:$A$3003,0)),"—"))</f>
        <v/>
      </c>
      <c r="G954" s="23">
        <f>IF($D954="","",IFERROR(INDEX(ENVIOS!$D$4:$D$3003,MATCH($D954,ENVIOS!$A$4:$A$3003,0)),"—"))</f>
        <v/>
      </c>
      <c r="H954" s="23">
        <f>IF($D954="","",IFERROR(INDEX(ENVIOS!$E$4:$E$3003,MATCH($D954,ENVIOS!$A$4:$A$3003,0)),"—"))</f>
        <v/>
      </c>
      <c r="I954" s="23">
        <f>IF($D954="","",IFERROR(INDEX(ENVIOS!$F$4:$F$3003,MATCH($D954,ENVIOS!$A$4:$A$3003,0)),"—"))</f>
        <v/>
      </c>
      <c r="J954" s="23">
        <f>IF($D954="","",IFERROR(INDEX(ENVIOS!$G$4:$G$3003,MATCH($D954,ENVIOS!$A$4:$A$3003,0)),"—"))</f>
        <v/>
      </c>
      <c r="K954" s="28">
        <f>IF($D954="","",IFERROR(INDEX(ENVIOS!$H$4:$H$3003,MATCH($D954,ENVIOS!$A$4:$A$3003,0)),"—"))</f>
        <v/>
      </c>
      <c r="L954" s="49">
        <f>IF($D954="","",IFERROR(INDEX(ENVIOS!$C$4:$C$3003,MATCH($D954,ENVIOS!$A$4:$A$3003,0)),""))</f>
        <v/>
      </c>
      <c r="M954" s="50" t="n"/>
      <c r="N954" s="28">
        <f>IF($M954="","",IFERROR(INDEX(CONFIG!$C$4:$C$63,MATCH($M954,CONFIG!$A$4:$A$63,0)),"Media"))</f>
        <v/>
      </c>
      <c r="O954" s="28">
        <f>IF($M954="","",IF($C954="Interna","NO",IFERROR(INDEX(CONFIG!$E$4:$E$63,MATCH($M954,CONFIG!$A$4:$A$63,0)),"NO")))</f>
        <v/>
      </c>
      <c r="P954" s="50" t="n"/>
      <c r="Q954" s="50" t="n"/>
      <c r="R954" s="28">
        <f>IF($Q954="","",IFERROR(INDEX(CONFIG!$H$4:$H$63,MATCH($Q954,CONFIG!$G$4:$G$63,0)),"Por definir"))</f>
        <v/>
      </c>
      <c r="S954" s="28">
        <f>IF($Q954="","",IFERROR(INDEX(CONFIG!$I$4:$I$63,MATCH($Q954,CONFIG!$G$4:$G$63,0)),"Por definir"))</f>
        <v/>
      </c>
      <c r="T954" s="51" t="n"/>
      <c r="U954" s="52" t="n"/>
      <c r="V954" s="50" t="n"/>
      <c r="W954" s="50" t="n"/>
      <c r="X954" s="49">
        <f>IF(OR($B954="",$M954=""),"",WORKDAY($B954,IFERROR(INDEX(CONFIG!$D$4:$D$63,MATCH($M954,CONFIG!$A$4:$A$63,0)),3)))</f>
        <v/>
      </c>
      <c r="Y954" s="47" t="n"/>
      <c r="Z954" s="24">
        <f>IF($B954="","",IF($Y954&lt;&gt;"",$Y954-$B954,TODAY()-$B954))</f>
        <v/>
      </c>
      <c r="AA954" s="28">
        <f>IF($B954="","",IF(IFERROR(INDEX(CONFIG!$L$4:$L$63,MATCH($V954,CONFIG!$K$4:$K$63,0)),"NO")="SÍ",IF(OR($Y954="",$X954=""),"Resuelta",IF($Y954&gt;$X954,"Resuelta tarde","Resuelta a tiempo")),IF($X954="","Sin clasificar",IF(TODAY()&gt;$X954,"Vencida",IF(TODAY()&gt;=$X954-1,"Por vencer","En plazo")))))</f>
        <v/>
      </c>
      <c r="AB954" s="50" t="n"/>
      <c r="AC954" s="50" t="n"/>
    </row>
    <row r="955" ht="16" customHeight="1">
      <c r="A955" s="28">
        <f>IF($B955="","","N-"&amp;TEXT(ROW()-3,"0000"))</f>
        <v/>
      </c>
      <c r="B955" s="47" t="n"/>
      <c r="C955" s="48" t="n"/>
      <c r="D955" s="48" t="n"/>
      <c r="E955" s="28">
        <f>IF($C955="","",IF($D955="",IF($C955="Interna","Sin guía (interna)","FALTA GUÍA"),IF(COUNTIFS(ENVIOS!$A$4:$A$3003,$D955)=0,"NO EXISTE",IF(COUNTIFS(ENVIOS!$A$4:$A$3003,$D955)&gt;1,"DUPLICADA","OK"))))</f>
        <v/>
      </c>
      <c r="F955" s="28">
        <f>IF($D955="","",IFERROR(INDEX(ENVIOS!$B$4:$B$3003,MATCH($D955,ENVIOS!$A$4:$A$3003,0)),"—"))</f>
        <v/>
      </c>
      <c r="G955" s="23">
        <f>IF($D955="","",IFERROR(INDEX(ENVIOS!$D$4:$D$3003,MATCH($D955,ENVIOS!$A$4:$A$3003,0)),"—"))</f>
        <v/>
      </c>
      <c r="H955" s="23">
        <f>IF($D955="","",IFERROR(INDEX(ENVIOS!$E$4:$E$3003,MATCH($D955,ENVIOS!$A$4:$A$3003,0)),"—"))</f>
        <v/>
      </c>
      <c r="I955" s="23">
        <f>IF($D955="","",IFERROR(INDEX(ENVIOS!$F$4:$F$3003,MATCH($D955,ENVIOS!$A$4:$A$3003,0)),"—"))</f>
        <v/>
      </c>
      <c r="J955" s="23">
        <f>IF($D955="","",IFERROR(INDEX(ENVIOS!$G$4:$G$3003,MATCH($D955,ENVIOS!$A$4:$A$3003,0)),"—"))</f>
        <v/>
      </c>
      <c r="K955" s="28">
        <f>IF($D955="","",IFERROR(INDEX(ENVIOS!$H$4:$H$3003,MATCH($D955,ENVIOS!$A$4:$A$3003,0)),"—"))</f>
        <v/>
      </c>
      <c r="L955" s="49">
        <f>IF($D955="","",IFERROR(INDEX(ENVIOS!$C$4:$C$3003,MATCH($D955,ENVIOS!$A$4:$A$3003,0)),""))</f>
        <v/>
      </c>
      <c r="M955" s="50" t="n"/>
      <c r="N955" s="28">
        <f>IF($M955="","",IFERROR(INDEX(CONFIG!$C$4:$C$63,MATCH($M955,CONFIG!$A$4:$A$63,0)),"Media"))</f>
        <v/>
      </c>
      <c r="O955" s="28">
        <f>IF($M955="","",IF($C955="Interna","NO",IFERROR(INDEX(CONFIG!$E$4:$E$63,MATCH($M955,CONFIG!$A$4:$A$63,0)),"NO")))</f>
        <v/>
      </c>
      <c r="P955" s="50" t="n"/>
      <c r="Q955" s="50" t="n"/>
      <c r="R955" s="28">
        <f>IF($Q955="","",IFERROR(INDEX(CONFIG!$H$4:$H$63,MATCH($Q955,CONFIG!$G$4:$G$63,0)),"Por definir"))</f>
        <v/>
      </c>
      <c r="S955" s="28">
        <f>IF($Q955="","",IFERROR(INDEX(CONFIG!$I$4:$I$63,MATCH($Q955,CONFIG!$G$4:$G$63,0)),"Por definir"))</f>
        <v/>
      </c>
      <c r="T955" s="51" t="n"/>
      <c r="U955" s="52" t="n"/>
      <c r="V955" s="50" t="n"/>
      <c r="W955" s="50" t="n"/>
      <c r="X955" s="49">
        <f>IF(OR($B955="",$M955=""),"",WORKDAY($B955,IFERROR(INDEX(CONFIG!$D$4:$D$63,MATCH($M955,CONFIG!$A$4:$A$63,0)),3)))</f>
        <v/>
      </c>
      <c r="Y955" s="47" t="n"/>
      <c r="Z955" s="24">
        <f>IF($B955="","",IF($Y955&lt;&gt;"",$Y955-$B955,TODAY()-$B955))</f>
        <v/>
      </c>
      <c r="AA955" s="28">
        <f>IF($B955="","",IF(IFERROR(INDEX(CONFIG!$L$4:$L$63,MATCH($V955,CONFIG!$K$4:$K$63,0)),"NO")="SÍ",IF(OR($Y955="",$X955=""),"Resuelta",IF($Y955&gt;$X955,"Resuelta tarde","Resuelta a tiempo")),IF($X955="","Sin clasificar",IF(TODAY()&gt;$X955,"Vencida",IF(TODAY()&gt;=$X955-1,"Por vencer","En plazo")))))</f>
        <v/>
      </c>
      <c r="AB955" s="50" t="n"/>
      <c r="AC955" s="50" t="n"/>
    </row>
    <row r="956" ht="16" customHeight="1">
      <c r="A956" s="28">
        <f>IF($B956="","","N-"&amp;TEXT(ROW()-3,"0000"))</f>
        <v/>
      </c>
      <c r="B956" s="47" t="n"/>
      <c r="C956" s="48" t="n"/>
      <c r="D956" s="48" t="n"/>
      <c r="E956" s="28">
        <f>IF($C956="","",IF($D956="",IF($C956="Interna","Sin guía (interna)","FALTA GUÍA"),IF(COUNTIFS(ENVIOS!$A$4:$A$3003,$D956)=0,"NO EXISTE",IF(COUNTIFS(ENVIOS!$A$4:$A$3003,$D956)&gt;1,"DUPLICADA","OK"))))</f>
        <v/>
      </c>
      <c r="F956" s="28">
        <f>IF($D956="","",IFERROR(INDEX(ENVIOS!$B$4:$B$3003,MATCH($D956,ENVIOS!$A$4:$A$3003,0)),"—"))</f>
        <v/>
      </c>
      <c r="G956" s="23">
        <f>IF($D956="","",IFERROR(INDEX(ENVIOS!$D$4:$D$3003,MATCH($D956,ENVIOS!$A$4:$A$3003,0)),"—"))</f>
        <v/>
      </c>
      <c r="H956" s="23">
        <f>IF($D956="","",IFERROR(INDEX(ENVIOS!$E$4:$E$3003,MATCH($D956,ENVIOS!$A$4:$A$3003,0)),"—"))</f>
        <v/>
      </c>
      <c r="I956" s="23">
        <f>IF($D956="","",IFERROR(INDEX(ENVIOS!$F$4:$F$3003,MATCH($D956,ENVIOS!$A$4:$A$3003,0)),"—"))</f>
        <v/>
      </c>
      <c r="J956" s="23">
        <f>IF($D956="","",IFERROR(INDEX(ENVIOS!$G$4:$G$3003,MATCH($D956,ENVIOS!$A$4:$A$3003,0)),"—"))</f>
        <v/>
      </c>
      <c r="K956" s="28">
        <f>IF($D956="","",IFERROR(INDEX(ENVIOS!$H$4:$H$3003,MATCH($D956,ENVIOS!$A$4:$A$3003,0)),"—"))</f>
        <v/>
      </c>
      <c r="L956" s="49">
        <f>IF($D956="","",IFERROR(INDEX(ENVIOS!$C$4:$C$3003,MATCH($D956,ENVIOS!$A$4:$A$3003,0)),""))</f>
        <v/>
      </c>
      <c r="M956" s="50" t="n"/>
      <c r="N956" s="28">
        <f>IF($M956="","",IFERROR(INDEX(CONFIG!$C$4:$C$63,MATCH($M956,CONFIG!$A$4:$A$63,0)),"Media"))</f>
        <v/>
      </c>
      <c r="O956" s="28">
        <f>IF($M956="","",IF($C956="Interna","NO",IFERROR(INDEX(CONFIG!$E$4:$E$63,MATCH($M956,CONFIG!$A$4:$A$63,0)),"NO")))</f>
        <v/>
      </c>
      <c r="P956" s="50" t="n"/>
      <c r="Q956" s="50" t="n"/>
      <c r="R956" s="28">
        <f>IF($Q956="","",IFERROR(INDEX(CONFIG!$H$4:$H$63,MATCH($Q956,CONFIG!$G$4:$G$63,0)),"Por definir"))</f>
        <v/>
      </c>
      <c r="S956" s="28">
        <f>IF($Q956="","",IFERROR(INDEX(CONFIG!$I$4:$I$63,MATCH($Q956,CONFIG!$G$4:$G$63,0)),"Por definir"))</f>
        <v/>
      </c>
      <c r="T956" s="51" t="n"/>
      <c r="U956" s="52" t="n"/>
      <c r="V956" s="50" t="n"/>
      <c r="W956" s="50" t="n"/>
      <c r="X956" s="49">
        <f>IF(OR($B956="",$M956=""),"",WORKDAY($B956,IFERROR(INDEX(CONFIG!$D$4:$D$63,MATCH($M956,CONFIG!$A$4:$A$63,0)),3)))</f>
        <v/>
      </c>
      <c r="Y956" s="47" t="n"/>
      <c r="Z956" s="24">
        <f>IF($B956="","",IF($Y956&lt;&gt;"",$Y956-$B956,TODAY()-$B956))</f>
        <v/>
      </c>
      <c r="AA956" s="28">
        <f>IF($B956="","",IF(IFERROR(INDEX(CONFIG!$L$4:$L$63,MATCH($V956,CONFIG!$K$4:$K$63,0)),"NO")="SÍ",IF(OR($Y956="",$X956=""),"Resuelta",IF($Y956&gt;$X956,"Resuelta tarde","Resuelta a tiempo")),IF($X956="","Sin clasificar",IF(TODAY()&gt;$X956,"Vencida",IF(TODAY()&gt;=$X956-1,"Por vencer","En plazo")))))</f>
        <v/>
      </c>
      <c r="AB956" s="50" t="n"/>
      <c r="AC956" s="50" t="n"/>
    </row>
    <row r="957" ht="16" customHeight="1">
      <c r="A957" s="28">
        <f>IF($B957="","","N-"&amp;TEXT(ROW()-3,"0000"))</f>
        <v/>
      </c>
      <c r="B957" s="47" t="n"/>
      <c r="C957" s="48" t="n"/>
      <c r="D957" s="48" t="n"/>
      <c r="E957" s="28">
        <f>IF($C957="","",IF($D957="",IF($C957="Interna","Sin guía (interna)","FALTA GUÍA"),IF(COUNTIFS(ENVIOS!$A$4:$A$3003,$D957)=0,"NO EXISTE",IF(COUNTIFS(ENVIOS!$A$4:$A$3003,$D957)&gt;1,"DUPLICADA","OK"))))</f>
        <v/>
      </c>
      <c r="F957" s="28">
        <f>IF($D957="","",IFERROR(INDEX(ENVIOS!$B$4:$B$3003,MATCH($D957,ENVIOS!$A$4:$A$3003,0)),"—"))</f>
        <v/>
      </c>
      <c r="G957" s="23">
        <f>IF($D957="","",IFERROR(INDEX(ENVIOS!$D$4:$D$3003,MATCH($D957,ENVIOS!$A$4:$A$3003,0)),"—"))</f>
        <v/>
      </c>
      <c r="H957" s="23">
        <f>IF($D957="","",IFERROR(INDEX(ENVIOS!$E$4:$E$3003,MATCH($D957,ENVIOS!$A$4:$A$3003,0)),"—"))</f>
        <v/>
      </c>
      <c r="I957" s="23">
        <f>IF($D957="","",IFERROR(INDEX(ENVIOS!$F$4:$F$3003,MATCH($D957,ENVIOS!$A$4:$A$3003,0)),"—"))</f>
        <v/>
      </c>
      <c r="J957" s="23">
        <f>IF($D957="","",IFERROR(INDEX(ENVIOS!$G$4:$G$3003,MATCH($D957,ENVIOS!$A$4:$A$3003,0)),"—"))</f>
        <v/>
      </c>
      <c r="K957" s="28">
        <f>IF($D957="","",IFERROR(INDEX(ENVIOS!$H$4:$H$3003,MATCH($D957,ENVIOS!$A$4:$A$3003,0)),"—"))</f>
        <v/>
      </c>
      <c r="L957" s="49">
        <f>IF($D957="","",IFERROR(INDEX(ENVIOS!$C$4:$C$3003,MATCH($D957,ENVIOS!$A$4:$A$3003,0)),""))</f>
        <v/>
      </c>
      <c r="M957" s="50" t="n"/>
      <c r="N957" s="28">
        <f>IF($M957="","",IFERROR(INDEX(CONFIG!$C$4:$C$63,MATCH($M957,CONFIG!$A$4:$A$63,0)),"Media"))</f>
        <v/>
      </c>
      <c r="O957" s="28">
        <f>IF($M957="","",IF($C957="Interna","NO",IFERROR(INDEX(CONFIG!$E$4:$E$63,MATCH($M957,CONFIG!$A$4:$A$63,0)),"NO")))</f>
        <v/>
      </c>
      <c r="P957" s="50" t="n"/>
      <c r="Q957" s="50" t="n"/>
      <c r="R957" s="28">
        <f>IF($Q957="","",IFERROR(INDEX(CONFIG!$H$4:$H$63,MATCH($Q957,CONFIG!$G$4:$G$63,0)),"Por definir"))</f>
        <v/>
      </c>
      <c r="S957" s="28">
        <f>IF($Q957="","",IFERROR(INDEX(CONFIG!$I$4:$I$63,MATCH($Q957,CONFIG!$G$4:$G$63,0)),"Por definir"))</f>
        <v/>
      </c>
      <c r="T957" s="51" t="n"/>
      <c r="U957" s="52" t="n"/>
      <c r="V957" s="50" t="n"/>
      <c r="W957" s="50" t="n"/>
      <c r="X957" s="49">
        <f>IF(OR($B957="",$M957=""),"",WORKDAY($B957,IFERROR(INDEX(CONFIG!$D$4:$D$63,MATCH($M957,CONFIG!$A$4:$A$63,0)),3)))</f>
        <v/>
      </c>
      <c r="Y957" s="47" t="n"/>
      <c r="Z957" s="24">
        <f>IF($B957="","",IF($Y957&lt;&gt;"",$Y957-$B957,TODAY()-$B957))</f>
        <v/>
      </c>
      <c r="AA957" s="28">
        <f>IF($B957="","",IF(IFERROR(INDEX(CONFIG!$L$4:$L$63,MATCH($V957,CONFIG!$K$4:$K$63,0)),"NO")="SÍ",IF(OR($Y957="",$X957=""),"Resuelta",IF($Y957&gt;$X957,"Resuelta tarde","Resuelta a tiempo")),IF($X957="","Sin clasificar",IF(TODAY()&gt;$X957,"Vencida",IF(TODAY()&gt;=$X957-1,"Por vencer","En plazo")))))</f>
        <v/>
      </c>
      <c r="AB957" s="50" t="n"/>
      <c r="AC957" s="50" t="n"/>
    </row>
    <row r="958" ht="16" customHeight="1">
      <c r="A958" s="28">
        <f>IF($B958="","","N-"&amp;TEXT(ROW()-3,"0000"))</f>
        <v/>
      </c>
      <c r="B958" s="47" t="n"/>
      <c r="C958" s="48" t="n"/>
      <c r="D958" s="48" t="n"/>
      <c r="E958" s="28">
        <f>IF($C958="","",IF($D958="",IF($C958="Interna","Sin guía (interna)","FALTA GUÍA"),IF(COUNTIFS(ENVIOS!$A$4:$A$3003,$D958)=0,"NO EXISTE",IF(COUNTIFS(ENVIOS!$A$4:$A$3003,$D958)&gt;1,"DUPLICADA","OK"))))</f>
        <v/>
      </c>
      <c r="F958" s="28">
        <f>IF($D958="","",IFERROR(INDEX(ENVIOS!$B$4:$B$3003,MATCH($D958,ENVIOS!$A$4:$A$3003,0)),"—"))</f>
        <v/>
      </c>
      <c r="G958" s="23">
        <f>IF($D958="","",IFERROR(INDEX(ENVIOS!$D$4:$D$3003,MATCH($D958,ENVIOS!$A$4:$A$3003,0)),"—"))</f>
        <v/>
      </c>
      <c r="H958" s="23">
        <f>IF($D958="","",IFERROR(INDEX(ENVIOS!$E$4:$E$3003,MATCH($D958,ENVIOS!$A$4:$A$3003,0)),"—"))</f>
        <v/>
      </c>
      <c r="I958" s="23">
        <f>IF($D958="","",IFERROR(INDEX(ENVIOS!$F$4:$F$3003,MATCH($D958,ENVIOS!$A$4:$A$3003,0)),"—"))</f>
        <v/>
      </c>
      <c r="J958" s="23">
        <f>IF($D958="","",IFERROR(INDEX(ENVIOS!$G$4:$G$3003,MATCH($D958,ENVIOS!$A$4:$A$3003,0)),"—"))</f>
        <v/>
      </c>
      <c r="K958" s="28">
        <f>IF($D958="","",IFERROR(INDEX(ENVIOS!$H$4:$H$3003,MATCH($D958,ENVIOS!$A$4:$A$3003,0)),"—"))</f>
        <v/>
      </c>
      <c r="L958" s="49">
        <f>IF($D958="","",IFERROR(INDEX(ENVIOS!$C$4:$C$3003,MATCH($D958,ENVIOS!$A$4:$A$3003,0)),""))</f>
        <v/>
      </c>
      <c r="M958" s="50" t="n"/>
      <c r="N958" s="28">
        <f>IF($M958="","",IFERROR(INDEX(CONFIG!$C$4:$C$63,MATCH($M958,CONFIG!$A$4:$A$63,0)),"Media"))</f>
        <v/>
      </c>
      <c r="O958" s="28">
        <f>IF($M958="","",IF($C958="Interna","NO",IFERROR(INDEX(CONFIG!$E$4:$E$63,MATCH($M958,CONFIG!$A$4:$A$63,0)),"NO")))</f>
        <v/>
      </c>
      <c r="P958" s="50" t="n"/>
      <c r="Q958" s="50" t="n"/>
      <c r="R958" s="28">
        <f>IF($Q958="","",IFERROR(INDEX(CONFIG!$H$4:$H$63,MATCH($Q958,CONFIG!$G$4:$G$63,0)),"Por definir"))</f>
        <v/>
      </c>
      <c r="S958" s="28">
        <f>IF($Q958="","",IFERROR(INDEX(CONFIG!$I$4:$I$63,MATCH($Q958,CONFIG!$G$4:$G$63,0)),"Por definir"))</f>
        <v/>
      </c>
      <c r="T958" s="51" t="n"/>
      <c r="U958" s="52" t="n"/>
      <c r="V958" s="50" t="n"/>
      <c r="W958" s="50" t="n"/>
      <c r="X958" s="49">
        <f>IF(OR($B958="",$M958=""),"",WORKDAY($B958,IFERROR(INDEX(CONFIG!$D$4:$D$63,MATCH($M958,CONFIG!$A$4:$A$63,0)),3)))</f>
        <v/>
      </c>
      <c r="Y958" s="47" t="n"/>
      <c r="Z958" s="24">
        <f>IF($B958="","",IF($Y958&lt;&gt;"",$Y958-$B958,TODAY()-$B958))</f>
        <v/>
      </c>
      <c r="AA958" s="28">
        <f>IF($B958="","",IF(IFERROR(INDEX(CONFIG!$L$4:$L$63,MATCH($V958,CONFIG!$K$4:$K$63,0)),"NO")="SÍ",IF(OR($Y958="",$X958=""),"Resuelta",IF($Y958&gt;$X958,"Resuelta tarde","Resuelta a tiempo")),IF($X958="","Sin clasificar",IF(TODAY()&gt;$X958,"Vencida",IF(TODAY()&gt;=$X958-1,"Por vencer","En plazo")))))</f>
        <v/>
      </c>
      <c r="AB958" s="50" t="n"/>
      <c r="AC958" s="50" t="n"/>
    </row>
    <row r="959" ht="16" customHeight="1">
      <c r="A959" s="28">
        <f>IF($B959="","","N-"&amp;TEXT(ROW()-3,"0000"))</f>
        <v/>
      </c>
      <c r="B959" s="47" t="n"/>
      <c r="C959" s="48" t="n"/>
      <c r="D959" s="48" t="n"/>
      <c r="E959" s="28">
        <f>IF($C959="","",IF($D959="",IF($C959="Interna","Sin guía (interna)","FALTA GUÍA"),IF(COUNTIFS(ENVIOS!$A$4:$A$3003,$D959)=0,"NO EXISTE",IF(COUNTIFS(ENVIOS!$A$4:$A$3003,$D959)&gt;1,"DUPLICADA","OK"))))</f>
        <v/>
      </c>
      <c r="F959" s="28">
        <f>IF($D959="","",IFERROR(INDEX(ENVIOS!$B$4:$B$3003,MATCH($D959,ENVIOS!$A$4:$A$3003,0)),"—"))</f>
        <v/>
      </c>
      <c r="G959" s="23">
        <f>IF($D959="","",IFERROR(INDEX(ENVIOS!$D$4:$D$3003,MATCH($D959,ENVIOS!$A$4:$A$3003,0)),"—"))</f>
        <v/>
      </c>
      <c r="H959" s="23">
        <f>IF($D959="","",IFERROR(INDEX(ENVIOS!$E$4:$E$3003,MATCH($D959,ENVIOS!$A$4:$A$3003,0)),"—"))</f>
        <v/>
      </c>
      <c r="I959" s="23">
        <f>IF($D959="","",IFERROR(INDEX(ENVIOS!$F$4:$F$3003,MATCH($D959,ENVIOS!$A$4:$A$3003,0)),"—"))</f>
        <v/>
      </c>
      <c r="J959" s="23">
        <f>IF($D959="","",IFERROR(INDEX(ENVIOS!$G$4:$G$3003,MATCH($D959,ENVIOS!$A$4:$A$3003,0)),"—"))</f>
        <v/>
      </c>
      <c r="K959" s="28">
        <f>IF($D959="","",IFERROR(INDEX(ENVIOS!$H$4:$H$3003,MATCH($D959,ENVIOS!$A$4:$A$3003,0)),"—"))</f>
        <v/>
      </c>
      <c r="L959" s="49">
        <f>IF($D959="","",IFERROR(INDEX(ENVIOS!$C$4:$C$3003,MATCH($D959,ENVIOS!$A$4:$A$3003,0)),""))</f>
        <v/>
      </c>
      <c r="M959" s="50" t="n"/>
      <c r="N959" s="28">
        <f>IF($M959="","",IFERROR(INDEX(CONFIG!$C$4:$C$63,MATCH($M959,CONFIG!$A$4:$A$63,0)),"Media"))</f>
        <v/>
      </c>
      <c r="O959" s="28">
        <f>IF($M959="","",IF($C959="Interna","NO",IFERROR(INDEX(CONFIG!$E$4:$E$63,MATCH($M959,CONFIG!$A$4:$A$63,0)),"NO")))</f>
        <v/>
      </c>
      <c r="P959" s="50" t="n"/>
      <c r="Q959" s="50" t="n"/>
      <c r="R959" s="28">
        <f>IF($Q959="","",IFERROR(INDEX(CONFIG!$H$4:$H$63,MATCH($Q959,CONFIG!$G$4:$G$63,0)),"Por definir"))</f>
        <v/>
      </c>
      <c r="S959" s="28">
        <f>IF($Q959="","",IFERROR(INDEX(CONFIG!$I$4:$I$63,MATCH($Q959,CONFIG!$G$4:$G$63,0)),"Por definir"))</f>
        <v/>
      </c>
      <c r="T959" s="51" t="n"/>
      <c r="U959" s="52" t="n"/>
      <c r="V959" s="50" t="n"/>
      <c r="W959" s="50" t="n"/>
      <c r="X959" s="49">
        <f>IF(OR($B959="",$M959=""),"",WORKDAY($B959,IFERROR(INDEX(CONFIG!$D$4:$D$63,MATCH($M959,CONFIG!$A$4:$A$63,0)),3)))</f>
        <v/>
      </c>
      <c r="Y959" s="47" t="n"/>
      <c r="Z959" s="24">
        <f>IF($B959="","",IF($Y959&lt;&gt;"",$Y959-$B959,TODAY()-$B959))</f>
        <v/>
      </c>
      <c r="AA959" s="28">
        <f>IF($B959="","",IF(IFERROR(INDEX(CONFIG!$L$4:$L$63,MATCH($V959,CONFIG!$K$4:$K$63,0)),"NO")="SÍ",IF(OR($Y959="",$X959=""),"Resuelta",IF($Y959&gt;$X959,"Resuelta tarde","Resuelta a tiempo")),IF($X959="","Sin clasificar",IF(TODAY()&gt;$X959,"Vencida",IF(TODAY()&gt;=$X959-1,"Por vencer","En plazo")))))</f>
        <v/>
      </c>
      <c r="AB959" s="50" t="n"/>
      <c r="AC959" s="50" t="n"/>
    </row>
    <row r="960" ht="16" customHeight="1">
      <c r="A960" s="28">
        <f>IF($B960="","","N-"&amp;TEXT(ROW()-3,"0000"))</f>
        <v/>
      </c>
      <c r="B960" s="47" t="n"/>
      <c r="C960" s="48" t="n"/>
      <c r="D960" s="48" t="n"/>
      <c r="E960" s="28">
        <f>IF($C960="","",IF($D960="",IF($C960="Interna","Sin guía (interna)","FALTA GUÍA"),IF(COUNTIFS(ENVIOS!$A$4:$A$3003,$D960)=0,"NO EXISTE",IF(COUNTIFS(ENVIOS!$A$4:$A$3003,$D960)&gt;1,"DUPLICADA","OK"))))</f>
        <v/>
      </c>
      <c r="F960" s="28">
        <f>IF($D960="","",IFERROR(INDEX(ENVIOS!$B$4:$B$3003,MATCH($D960,ENVIOS!$A$4:$A$3003,0)),"—"))</f>
        <v/>
      </c>
      <c r="G960" s="23">
        <f>IF($D960="","",IFERROR(INDEX(ENVIOS!$D$4:$D$3003,MATCH($D960,ENVIOS!$A$4:$A$3003,0)),"—"))</f>
        <v/>
      </c>
      <c r="H960" s="23">
        <f>IF($D960="","",IFERROR(INDEX(ENVIOS!$E$4:$E$3003,MATCH($D960,ENVIOS!$A$4:$A$3003,0)),"—"))</f>
        <v/>
      </c>
      <c r="I960" s="23">
        <f>IF($D960="","",IFERROR(INDEX(ENVIOS!$F$4:$F$3003,MATCH($D960,ENVIOS!$A$4:$A$3003,0)),"—"))</f>
        <v/>
      </c>
      <c r="J960" s="23">
        <f>IF($D960="","",IFERROR(INDEX(ENVIOS!$G$4:$G$3003,MATCH($D960,ENVIOS!$A$4:$A$3003,0)),"—"))</f>
        <v/>
      </c>
      <c r="K960" s="28">
        <f>IF($D960="","",IFERROR(INDEX(ENVIOS!$H$4:$H$3003,MATCH($D960,ENVIOS!$A$4:$A$3003,0)),"—"))</f>
        <v/>
      </c>
      <c r="L960" s="49">
        <f>IF($D960="","",IFERROR(INDEX(ENVIOS!$C$4:$C$3003,MATCH($D960,ENVIOS!$A$4:$A$3003,0)),""))</f>
        <v/>
      </c>
      <c r="M960" s="50" t="n"/>
      <c r="N960" s="28">
        <f>IF($M960="","",IFERROR(INDEX(CONFIG!$C$4:$C$63,MATCH($M960,CONFIG!$A$4:$A$63,0)),"Media"))</f>
        <v/>
      </c>
      <c r="O960" s="28">
        <f>IF($M960="","",IF($C960="Interna","NO",IFERROR(INDEX(CONFIG!$E$4:$E$63,MATCH($M960,CONFIG!$A$4:$A$63,0)),"NO")))</f>
        <v/>
      </c>
      <c r="P960" s="50" t="n"/>
      <c r="Q960" s="50" t="n"/>
      <c r="R960" s="28">
        <f>IF($Q960="","",IFERROR(INDEX(CONFIG!$H$4:$H$63,MATCH($Q960,CONFIG!$G$4:$G$63,0)),"Por definir"))</f>
        <v/>
      </c>
      <c r="S960" s="28">
        <f>IF($Q960="","",IFERROR(INDEX(CONFIG!$I$4:$I$63,MATCH($Q960,CONFIG!$G$4:$G$63,0)),"Por definir"))</f>
        <v/>
      </c>
      <c r="T960" s="51" t="n"/>
      <c r="U960" s="52" t="n"/>
      <c r="V960" s="50" t="n"/>
      <c r="W960" s="50" t="n"/>
      <c r="X960" s="49">
        <f>IF(OR($B960="",$M960=""),"",WORKDAY($B960,IFERROR(INDEX(CONFIG!$D$4:$D$63,MATCH($M960,CONFIG!$A$4:$A$63,0)),3)))</f>
        <v/>
      </c>
      <c r="Y960" s="47" t="n"/>
      <c r="Z960" s="24">
        <f>IF($B960="","",IF($Y960&lt;&gt;"",$Y960-$B960,TODAY()-$B960))</f>
        <v/>
      </c>
      <c r="AA960" s="28">
        <f>IF($B960="","",IF(IFERROR(INDEX(CONFIG!$L$4:$L$63,MATCH($V960,CONFIG!$K$4:$K$63,0)),"NO")="SÍ",IF(OR($Y960="",$X960=""),"Resuelta",IF($Y960&gt;$X960,"Resuelta tarde","Resuelta a tiempo")),IF($X960="","Sin clasificar",IF(TODAY()&gt;$X960,"Vencida",IF(TODAY()&gt;=$X960-1,"Por vencer","En plazo")))))</f>
        <v/>
      </c>
      <c r="AB960" s="50" t="n"/>
      <c r="AC960" s="50" t="n"/>
    </row>
    <row r="961" ht="16" customHeight="1">
      <c r="A961" s="28">
        <f>IF($B961="","","N-"&amp;TEXT(ROW()-3,"0000"))</f>
        <v/>
      </c>
      <c r="B961" s="47" t="n"/>
      <c r="C961" s="48" t="n"/>
      <c r="D961" s="48" t="n"/>
      <c r="E961" s="28">
        <f>IF($C961="","",IF($D961="",IF($C961="Interna","Sin guía (interna)","FALTA GUÍA"),IF(COUNTIFS(ENVIOS!$A$4:$A$3003,$D961)=0,"NO EXISTE",IF(COUNTIFS(ENVIOS!$A$4:$A$3003,$D961)&gt;1,"DUPLICADA","OK"))))</f>
        <v/>
      </c>
      <c r="F961" s="28">
        <f>IF($D961="","",IFERROR(INDEX(ENVIOS!$B$4:$B$3003,MATCH($D961,ENVIOS!$A$4:$A$3003,0)),"—"))</f>
        <v/>
      </c>
      <c r="G961" s="23">
        <f>IF($D961="","",IFERROR(INDEX(ENVIOS!$D$4:$D$3003,MATCH($D961,ENVIOS!$A$4:$A$3003,0)),"—"))</f>
        <v/>
      </c>
      <c r="H961" s="23">
        <f>IF($D961="","",IFERROR(INDEX(ENVIOS!$E$4:$E$3003,MATCH($D961,ENVIOS!$A$4:$A$3003,0)),"—"))</f>
        <v/>
      </c>
      <c r="I961" s="23">
        <f>IF($D961="","",IFERROR(INDEX(ENVIOS!$F$4:$F$3003,MATCH($D961,ENVIOS!$A$4:$A$3003,0)),"—"))</f>
        <v/>
      </c>
      <c r="J961" s="23">
        <f>IF($D961="","",IFERROR(INDEX(ENVIOS!$G$4:$G$3003,MATCH($D961,ENVIOS!$A$4:$A$3003,0)),"—"))</f>
        <v/>
      </c>
      <c r="K961" s="28">
        <f>IF($D961="","",IFERROR(INDEX(ENVIOS!$H$4:$H$3003,MATCH($D961,ENVIOS!$A$4:$A$3003,0)),"—"))</f>
        <v/>
      </c>
      <c r="L961" s="49">
        <f>IF($D961="","",IFERROR(INDEX(ENVIOS!$C$4:$C$3003,MATCH($D961,ENVIOS!$A$4:$A$3003,0)),""))</f>
        <v/>
      </c>
      <c r="M961" s="50" t="n"/>
      <c r="N961" s="28">
        <f>IF($M961="","",IFERROR(INDEX(CONFIG!$C$4:$C$63,MATCH($M961,CONFIG!$A$4:$A$63,0)),"Media"))</f>
        <v/>
      </c>
      <c r="O961" s="28">
        <f>IF($M961="","",IF($C961="Interna","NO",IFERROR(INDEX(CONFIG!$E$4:$E$63,MATCH($M961,CONFIG!$A$4:$A$63,0)),"NO")))</f>
        <v/>
      </c>
      <c r="P961" s="50" t="n"/>
      <c r="Q961" s="50" t="n"/>
      <c r="R961" s="28">
        <f>IF($Q961="","",IFERROR(INDEX(CONFIG!$H$4:$H$63,MATCH($Q961,CONFIG!$G$4:$G$63,0)),"Por definir"))</f>
        <v/>
      </c>
      <c r="S961" s="28">
        <f>IF($Q961="","",IFERROR(INDEX(CONFIG!$I$4:$I$63,MATCH($Q961,CONFIG!$G$4:$G$63,0)),"Por definir"))</f>
        <v/>
      </c>
      <c r="T961" s="51" t="n"/>
      <c r="U961" s="52" t="n"/>
      <c r="V961" s="50" t="n"/>
      <c r="W961" s="50" t="n"/>
      <c r="X961" s="49">
        <f>IF(OR($B961="",$M961=""),"",WORKDAY($B961,IFERROR(INDEX(CONFIG!$D$4:$D$63,MATCH($M961,CONFIG!$A$4:$A$63,0)),3)))</f>
        <v/>
      </c>
      <c r="Y961" s="47" t="n"/>
      <c r="Z961" s="24">
        <f>IF($B961="","",IF($Y961&lt;&gt;"",$Y961-$B961,TODAY()-$B961))</f>
        <v/>
      </c>
      <c r="AA961" s="28">
        <f>IF($B961="","",IF(IFERROR(INDEX(CONFIG!$L$4:$L$63,MATCH($V961,CONFIG!$K$4:$K$63,0)),"NO")="SÍ",IF(OR($Y961="",$X961=""),"Resuelta",IF($Y961&gt;$X961,"Resuelta tarde","Resuelta a tiempo")),IF($X961="","Sin clasificar",IF(TODAY()&gt;$X961,"Vencida",IF(TODAY()&gt;=$X961-1,"Por vencer","En plazo")))))</f>
        <v/>
      </c>
      <c r="AB961" s="50" t="n"/>
      <c r="AC961" s="50" t="n"/>
    </row>
    <row r="962" ht="16" customHeight="1">
      <c r="A962" s="28">
        <f>IF($B962="","","N-"&amp;TEXT(ROW()-3,"0000"))</f>
        <v/>
      </c>
      <c r="B962" s="47" t="n"/>
      <c r="C962" s="48" t="n"/>
      <c r="D962" s="48" t="n"/>
      <c r="E962" s="28">
        <f>IF($C962="","",IF($D962="",IF($C962="Interna","Sin guía (interna)","FALTA GUÍA"),IF(COUNTIFS(ENVIOS!$A$4:$A$3003,$D962)=0,"NO EXISTE",IF(COUNTIFS(ENVIOS!$A$4:$A$3003,$D962)&gt;1,"DUPLICADA","OK"))))</f>
        <v/>
      </c>
      <c r="F962" s="28">
        <f>IF($D962="","",IFERROR(INDEX(ENVIOS!$B$4:$B$3003,MATCH($D962,ENVIOS!$A$4:$A$3003,0)),"—"))</f>
        <v/>
      </c>
      <c r="G962" s="23">
        <f>IF($D962="","",IFERROR(INDEX(ENVIOS!$D$4:$D$3003,MATCH($D962,ENVIOS!$A$4:$A$3003,0)),"—"))</f>
        <v/>
      </c>
      <c r="H962" s="23">
        <f>IF($D962="","",IFERROR(INDEX(ENVIOS!$E$4:$E$3003,MATCH($D962,ENVIOS!$A$4:$A$3003,0)),"—"))</f>
        <v/>
      </c>
      <c r="I962" s="23">
        <f>IF($D962="","",IFERROR(INDEX(ENVIOS!$F$4:$F$3003,MATCH($D962,ENVIOS!$A$4:$A$3003,0)),"—"))</f>
        <v/>
      </c>
      <c r="J962" s="23">
        <f>IF($D962="","",IFERROR(INDEX(ENVIOS!$G$4:$G$3003,MATCH($D962,ENVIOS!$A$4:$A$3003,0)),"—"))</f>
        <v/>
      </c>
      <c r="K962" s="28">
        <f>IF($D962="","",IFERROR(INDEX(ENVIOS!$H$4:$H$3003,MATCH($D962,ENVIOS!$A$4:$A$3003,0)),"—"))</f>
        <v/>
      </c>
      <c r="L962" s="49">
        <f>IF($D962="","",IFERROR(INDEX(ENVIOS!$C$4:$C$3003,MATCH($D962,ENVIOS!$A$4:$A$3003,0)),""))</f>
        <v/>
      </c>
      <c r="M962" s="50" t="n"/>
      <c r="N962" s="28">
        <f>IF($M962="","",IFERROR(INDEX(CONFIG!$C$4:$C$63,MATCH($M962,CONFIG!$A$4:$A$63,0)),"Media"))</f>
        <v/>
      </c>
      <c r="O962" s="28">
        <f>IF($M962="","",IF($C962="Interna","NO",IFERROR(INDEX(CONFIG!$E$4:$E$63,MATCH($M962,CONFIG!$A$4:$A$63,0)),"NO")))</f>
        <v/>
      </c>
      <c r="P962" s="50" t="n"/>
      <c r="Q962" s="50" t="n"/>
      <c r="R962" s="28">
        <f>IF($Q962="","",IFERROR(INDEX(CONFIG!$H$4:$H$63,MATCH($Q962,CONFIG!$G$4:$G$63,0)),"Por definir"))</f>
        <v/>
      </c>
      <c r="S962" s="28">
        <f>IF($Q962="","",IFERROR(INDEX(CONFIG!$I$4:$I$63,MATCH($Q962,CONFIG!$G$4:$G$63,0)),"Por definir"))</f>
        <v/>
      </c>
      <c r="T962" s="51" t="n"/>
      <c r="U962" s="52" t="n"/>
      <c r="V962" s="50" t="n"/>
      <c r="W962" s="50" t="n"/>
      <c r="X962" s="49">
        <f>IF(OR($B962="",$M962=""),"",WORKDAY($B962,IFERROR(INDEX(CONFIG!$D$4:$D$63,MATCH($M962,CONFIG!$A$4:$A$63,0)),3)))</f>
        <v/>
      </c>
      <c r="Y962" s="47" t="n"/>
      <c r="Z962" s="24">
        <f>IF($B962="","",IF($Y962&lt;&gt;"",$Y962-$B962,TODAY()-$B962))</f>
        <v/>
      </c>
      <c r="AA962" s="28">
        <f>IF($B962="","",IF(IFERROR(INDEX(CONFIG!$L$4:$L$63,MATCH($V962,CONFIG!$K$4:$K$63,0)),"NO")="SÍ",IF(OR($Y962="",$X962=""),"Resuelta",IF($Y962&gt;$X962,"Resuelta tarde","Resuelta a tiempo")),IF($X962="","Sin clasificar",IF(TODAY()&gt;$X962,"Vencida",IF(TODAY()&gt;=$X962-1,"Por vencer","En plazo")))))</f>
        <v/>
      </c>
      <c r="AB962" s="50" t="n"/>
      <c r="AC962" s="50" t="n"/>
    </row>
    <row r="963" ht="16" customHeight="1">
      <c r="A963" s="28">
        <f>IF($B963="","","N-"&amp;TEXT(ROW()-3,"0000"))</f>
        <v/>
      </c>
      <c r="B963" s="47" t="n"/>
      <c r="C963" s="48" t="n"/>
      <c r="D963" s="48" t="n"/>
      <c r="E963" s="28">
        <f>IF($C963="","",IF($D963="",IF($C963="Interna","Sin guía (interna)","FALTA GUÍA"),IF(COUNTIFS(ENVIOS!$A$4:$A$3003,$D963)=0,"NO EXISTE",IF(COUNTIFS(ENVIOS!$A$4:$A$3003,$D963)&gt;1,"DUPLICADA","OK"))))</f>
        <v/>
      </c>
      <c r="F963" s="28">
        <f>IF($D963="","",IFERROR(INDEX(ENVIOS!$B$4:$B$3003,MATCH($D963,ENVIOS!$A$4:$A$3003,0)),"—"))</f>
        <v/>
      </c>
      <c r="G963" s="23">
        <f>IF($D963="","",IFERROR(INDEX(ENVIOS!$D$4:$D$3003,MATCH($D963,ENVIOS!$A$4:$A$3003,0)),"—"))</f>
        <v/>
      </c>
      <c r="H963" s="23">
        <f>IF($D963="","",IFERROR(INDEX(ENVIOS!$E$4:$E$3003,MATCH($D963,ENVIOS!$A$4:$A$3003,0)),"—"))</f>
        <v/>
      </c>
      <c r="I963" s="23">
        <f>IF($D963="","",IFERROR(INDEX(ENVIOS!$F$4:$F$3003,MATCH($D963,ENVIOS!$A$4:$A$3003,0)),"—"))</f>
        <v/>
      </c>
      <c r="J963" s="23">
        <f>IF($D963="","",IFERROR(INDEX(ENVIOS!$G$4:$G$3003,MATCH($D963,ENVIOS!$A$4:$A$3003,0)),"—"))</f>
        <v/>
      </c>
      <c r="K963" s="28">
        <f>IF($D963="","",IFERROR(INDEX(ENVIOS!$H$4:$H$3003,MATCH($D963,ENVIOS!$A$4:$A$3003,0)),"—"))</f>
        <v/>
      </c>
      <c r="L963" s="49">
        <f>IF($D963="","",IFERROR(INDEX(ENVIOS!$C$4:$C$3003,MATCH($D963,ENVIOS!$A$4:$A$3003,0)),""))</f>
        <v/>
      </c>
      <c r="M963" s="50" t="n"/>
      <c r="N963" s="28">
        <f>IF($M963="","",IFERROR(INDEX(CONFIG!$C$4:$C$63,MATCH($M963,CONFIG!$A$4:$A$63,0)),"Media"))</f>
        <v/>
      </c>
      <c r="O963" s="28">
        <f>IF($M963="","",IF($C963="Interna","NO",IFERROR(INDEX(CONFIG!$E$4:$E$63,MATCH($M963,CONFIG!$A$4:$A$63,0)),"NO")))</f>
        <v/>
      </c>
      <c r="P963" s="50" t="n"/>
      <c r="Q963" s="50" t="n"/>
      <c r="R963" s="28">
        <f>IF($Q963="","",IFERROR(INDEX(CONFIG!$H$4:$H$63,MATCH($Q963,CONFIG!$G$4:$G$63,0)),"Por definir"))</f>
        <v/>
      </c>
      <c r="S963" s="28">
        <f>IF($Q963="","",IFERROR(INDEX(CONFIG!$I$4:$I$63,MATCH($Q963,CONFIG!$G$4:$G$63,0)),"Por definir"))</f>
        <v/>
      </c>
      <c r="T963" s="51" t="n"/>
      <c r="U963" s="52" t="n"/>
      <c r="V963" s="50" t="n"/>
      <c r="W963" s="50" t="n"/>
      <c r="X963" s="49">
        <f>IF(OR($B963="",$M963=""),"",WORKDAY($B963,IFERROR(INDEX(CONFIG!$D$4:$D$63,MATCH($M963,CONFIG!$A$4:$A$63,0)),3)))</f>
        <v/>
      </c>
      <c r="Y963" s="47" t="n"/>
      <c r="Z963" s="24">
        <f>IF($B963="","",IF($Y963&lt;&gt;"",$Y963-$B963,TODAY()-$B963))</f>
        <v/>
      </c>
      <c r="AA963" s="28">
        <f>IF($B963="","",IF(IFERROR(INDEX(CONFIG!$L$4:$L$63,MATCH($V963,CONFIG!$K$4:$K$63,0)),"NO")="SÍ",IF(OR($Y963="",$X963=""),"Resuelta",IF($Y963&gt;$X963,"Resuelta tarde","Resuelta a tiempo")),IF($X963="","Sin clasificar",IF(TODAY()&gt;$X963,"Vencida",IF(TODAY()&gt;=$X963-1,"Por vencer","En plazo")))))</f>
        <v/>
      </c>
      <c r="AB963" s="50" t="n"/>
      <c r="AC963" s="50" t="n"/>
    </row>
    <row r="964" ht="16" customHeight="1">
      <c r="A964" s="28">
        <f>IF($B964="","","N-"&amp;TEXT(ROW()-3,"0000"))</f>
        <v/>
      </c>
      <c r="B964" s="47" t="n"/>
      <c r="C964" s="48" t="n"/>
      <c r="D964" s="48" t="n"/>
      <c r="E964" s="28">
        <f>IF($C964="","",IF($D964="",IF($C964="Interna","Sin guía (interna)","FALTA GUÍA"),IF(COUNTIFS(ENVIOS!$A$4:$A$3003,$D964)=0,"NO EXISTE",IF(COUNTIFS(ENVIOS!$A$4:$A$3003,$D964)&gt;1,"DUPLICADA","OK"))))</f>
        <v/>
      </c>
      <c r="F964" s="28">
        <f>IF($D964="","",IFERROR(INDEX(ENVIOS!$B$4:$B$3003,MATCH($D964,ENVIOS!$A$4:$A$3003,0)),"—"))</f>
        <v/>
      </c>
      <c r="G964" s="23">
        <f>IF($D964="","",IFERROR(INDEX(ENVIOS!$D$4:$D$3003,MATCH($D964,ENVIOS!$A$4:$A$3003,0)),"—"))</f>
        <v/>
      </c>
      <c r="H964" s="23">
        <f>IF($D964="","",IFERROR(INDEX(ENVIOS!$E$4:$E$3003,MATCH($D964,ENVIOS!$A$4:$A$3003,0)),"—"))</f>
        <v/>
      </c>
      <c r="I964" s="23">
        <f>IF($D964="","",IFERROR(INDEX(ENVIOS!$F$4:$F$3003,MATCH($D964,ENVIOS!$A$4:$A$3003,0)),"—"))</f>
        <v/>
      </c>
      <c r="J964" s="23">
        <f>IF($D964="","",IFERROR(INDEX(ENVIOS!$G$4:$G$3003,MATCH($D964,ENVIOS!$A$4:$A$3003,0)),"—"))</f>
        <v/>
      </c>
      <c r="K964" s="28">
        <f>IF($D964="","",IFERROR(INDEX(ENVIOS!$H$4:$H$3003,MATCH($D964,ENVIOS!$A$4:$A$3003,0)),"—"))</f>
        <v/>
      </c>
      <c r="L964" s="49">
        <f>IF($D964="","",IFERROR(INDEX(ENVIOS!$C$4:$C$3003,MATCH($D964,ENVIOS!$A$4:$A$3003,0)),""))</f>
        <v/>
      </c>
      <c r="M964" s="50" t="n"/>
      <c r="N964" s="28">
        <f>IF($M964="","",IFERROR(INDEX(CONFIG!$C$4:$C$63,MATCH($M964,CONFIG!$A$4:$A$63,0)),"Media"))</f>
        <v/>
      </c>
      <c r="O964" s="28">
        <f>IF($M964="","",IF($C964="Interna","NO",IFERROR(INDEX(CONFIG!$E$4:$E$63,MATCH($M964,CONFIG!$A$4:$A$63,0)),"NO")))</f>
        <v/>
      </c>
      <c r="P964" s="50" t="n"/>
      <c r="Q964" s="50" t="n"/>
      <c r="R964" s="28">
        <f>IF($Q964="","",IFERROR(INDEX(CONFIG!$H$4:$H$63,MATCH($Q964,CONFIG!$G$4:$G$63,0)),"Por definir"))</f>
        <v/>
      </c>
      <c r="S964" s="28">
        <f>IF($Q964="","",IFERROR(INDEX(CONFIG!$I$4:$I$63,MATCH($Q964,CONFIG!$G$4:$G$63,0)),"Por definir"))</f>
        <v/>
      </c>
      <c r="T964" s="51" t="n"/>
      <c r="U964" s="52" t="n"/>
      <c r="V964" s="50" t="n"/>
      <c r="W964" s="50" t="n"/>
      <c r="X964" s="49">
        <f>IF(OR($B964="",$M964=""),"",WORKDAY($B964,IFERROR(INDEX(CONFIG!$D$4:$D$63,MATCH($M964,CONFIG!$A$4:$A$63,0)),3)))</f>
        <v/>
      </c>
      <c r="Y964" s="47" t="n"/>
      <c r="Z964" s="24">
        <f>IF($B964="","",IF($Y964&lt;&gt;"",$Y964-$B964,TODAY()-$B964))</f>
        <v/>
      </c>
      <c r="AA964" s="28">
        <f>IF($B964="","",IF(IFERROR(INDEX(CONFIG!$L$4:$L$63,MATCH($V964,CONFIG!$K$4:$K$63,0)),"NO")="SÍ",IF(OR($Y964="",$X964=""),"Resuelta",IF($Y964&gt;$X964,"Resuelta tarde","Resuelta a tiempo")),IF($X964="","Sin clasificar",IF(TODAY()&gt;$X964,"Vencida",IF(TODAY()&gt;=$X964-1,"Por vencer","En plazo")))))</f>
        <v/>
      </c>
      <c r="AB964" s="50" t="n"/>
      <c r="AC964" s="50" t="n"/>
    </row>
    <row r="965" ht="16" customHeight="1">
      <c r="A965" s="28">
        <f>IF($B965="","","N-"&amp;TEXT(ROW()-3,"0000"))</f>
        <v/>
      </c>
      <c r="B965" s="47" t="n"/>
      <c r="C965" s="48" t="n"/>
      <c r="D965" s="48" t="n"/>
      <c r="E965" s="28">
        <f>IF($C965="","",IF($D965="",IF($C965="Interna","Sin guía (interna)","FALTA GUÍA"),IF(COUNTIFS(ENVIOS!$A$4:$A$3003,$D965)=0,"NO EXISTE",IF(COUNTIFS(ENVIOS!$A$4:$A$3003,$D965)&gt;1,"DUPLICADA","OK"))))</f>
        <v/>
      </c>
      <c r="F965" s="28">
        <f>IF($D965="","",IFERROR(INDEX(ENVIOS!$B$4:$B$3003,MATCH($D965,ENVIOS!$A$4:$A$3003,0)),"—"))</f>
        <v/>
      </c>
      <c r="G965" s="23">
        <f>IF($D965="","",IFERROR(INDEX(ENVIOS!$D$4:$D$3003,MATCH($D965,ENVIOS!$A$4:$A$3003,0)),"—"))</f>
        <v/>
      </c>
      <c r="H965" s="23">
        <f>IF($D965="","",IFERROR(INDEX(ENVIOS!$E$4:$E$3003,MATCH($D965,ENVIOS!$A$4:$A$3003,0)),"—"))</f>
        <v/>
      </c>
      <c r="I965" s="23">
        <f>IF($D965="","",IFERROR(INDEX(ENVIOS!$F$4:$F$3003,MATCH($D965,ENVIOS!$A$4:$A$3003,0)),"—"))</f>
        <v/>
      </c>
      <c r="J965" s="23">
        <f>IF($D965="","",IFERROR(INDEX(ENVIOS!$G$4:$G$3003,MATCH($D965,ENVIOS!$A$4:$A$3003,0)),"—"))</f>
        <v/>
      </c>
      <c r="K965" s="28">
        <f>IF($D965="","",IFERROR(INDEX(ENVIOS!$H$4:$H$3003,MATCH($D965,ENVIOS!$A$4:$A$3003,0)),"—"))</f>
        <v/>
      </c>
      <c r="L965" s="49">
        <f>IF($D965="","",IFERROR(INDEX(ENVIOS!$C$4:$C$3003,MATCH($D965,ENVIOS!$A$4:$A$3003,0)),""))</f>
        <v/>
      </c>
      <c r="M965" s="50" t="n"/>
      <c r="N965" s="28">
        <f>IF($M965="","",IFERROR(INDEX(CONFIG!$C$4:$C$63,MATCH($M965,CONFIG!$A$4:$A$63,0)),"Media"))</f>
        <v/>
      </c>
      <c r="O965" s="28">
        <f>IF($M965="","",IF($C965="Interna","NO",IFERROR(INDEX(CONFIG!$E$4:$E$63,MATCH($M965,CONFIG!$A$4:$A$63,0)),"NO")))</f>
        <v/>
      </c>
      <c r="P965" s="50" t="n"/>
      <c r="Q965" s="50" t="n"/>
      <c r="R965" s="28">
        <f>IF($Q965="","",IFERROR(INDEX(CONFIG!$H$4:$H$63,MATCH($Q965,CONFIG!$G$4:$G$63,0)),"Por definir"))</f>
        <v/>
      </c>
      <c r="S965" s="28">
        <f>IF($Q965="","",IFERROR(INDEX(CONFIG!$I$4:$I$63,MATCH($Q965,CONFIG!$G$4:$G$63,0)),"Por definir"))</f>
        <v/>
      </c>
      <c r="T965" s="51" t="n"/>
      <c r="U965" s="52" t="n"/>
      <c r="V965" s="50" t="n"/>
      <c r="W965" s="50" t="n"/>
      <c r="X965" s="49">
        <f>IF(OR($B965="",$M965=""),"",WORKDAY($B965,IFERROR(INDEX(CONFIG!$D$4:$D$63,MATCH($M965,CONFIG!$A$4:$A$63,0)),3)))</f>
        <v/>
      </c>
      <c r="Y965" s="47" t="n"/>
      <c r="Z965" s="24">
        <f>IF($B965="","",IF($Y965&lt;&gt;"",$Y965-$B965,TODAY()-$B965))</f>
        <v/>
      </c>
      <c r="AA965" s="28">
        <f>IF($B965="","",IF(IFERROR(INDEX(CONFIG!$L$4:$L$63,MATCH($V965,CONFIG!$K$4:$K$63,0)),"NO")="SÍ",IF(OR($Y965="",$X965=""),"Resuelta",IF($Y965&gt;$X965,"Resuelta tarde","Resuelta a tiempo")),IF($X965="","Sin clasificar",IF(TODAY()&gt;$X965,"Vencida",IF(TODAY()&gt;=$X965-1,"Por vencer","En plazo")))))</f>
        <v/>
      </c>
      <c r="AB965" s="50" t="n"/>
      <c r="AC965" s="50" t="n"/>
    </row>
    <row r="966" ht="16" customHeight="1">
      <c r="A966" s="28">
        <f>IF($B966="","","N-"&amp;TEXT(ROW()-3,"0000"))</f>
        <v/>
      </c>
      <c r="B966" s="47" t="n"/>
      <c r="C966" s="48" t="n"/>
      <c r="D966" s="48" t="n"/>
      <c r="E966" s="28">
        <f>IF($C966="","",IF($D966="",IF($C966="Interna","Sin guía (interna)","FALTA GUÍA"),IF(COUNTIFS(ENVIOS!$A$4:$A$3003,$D966)=0,"NO EXISTE",IF(COUNTIFS(ENVIOS!$A$4:$A$3003,$D966)&gt;1,"DUPLICADA","OK"))))</f>
        <v/>
      </c>
      <c r="F966" s="28">
        <f>IF($D966="","",IFERROR(INDEX(ENVIOS!$B$4:$B$3003,MATCH($D966,ENVIOS!$A$4:$A$3003,0)),"—"))</f>
        <v/>
      </c>
      <c r="G966" s="23">
        <f>IF($D966="","",IFERROR(INDEX(ENVIOS!$D$4:$D$3003,MATCH($D966,ENVIOS!$A$4:$A$3003,0)),"—"))</f>
        <v/>
      </c>
      <c r="H966" s="23">
        <f>IF($D966="","",IFERROR(INDEX(ENVIOS!$E$4:$E$3003,MATCH($D966,ENVIOS!$A$4:$A$3003,0)),"—"))</f>
        <v/>
      </c>
      <c r="I966" s="23">
        <f>IF($D966="","",IFERROR(INDEX(ENVIOS!$F$4:$F$3003,MATCH($D966,ENVIOS!$A$4:$A$3003,0)),"—"))</f>
        <v/>
      </c>
      <c r="J966" s="23">
        <f>IF($D966="","",IFERROR(INDEX(ENVIOS!$G$4:$G$3003,MATCH($D966,ENVIOS!$A$4:$A$3003,0)),"—"))</f>
        <v/>
      </c>
      <c r="K966" s="28">
        <f>IF($D966="","",IFERROR(INDEX(ENVIOS!$H$4:$H$3003,MATCH($D966,ENVIOS!$A$4:$A$3003,0)),"—"))</f>
        <v/>
      </c>
      <c r="L966" s="49">
        <f>IF($D966="","",IFERROR(INDEX(ENVIOS!$C$4:$C$3003,MATCH($D966,ENVIOS!$A$4:$A$3003,0)),""))</f>
        <v/>
      </c>
      <c r="M966" s="50" t="n"/>
      <c r="N966" s="28">
        <f>IF($M966="","",IFERROR(INDEX(CONFIG!$C$4:$C$63,MATCH($M966,CONFIG!$A$4:$A$63,0)),"Media"))</f>
        <v/>
      </c>
      <c r="O966" s="28">
        <f>IF($M966="","",IF($C966="Interna","NO",IFERROR(INDEX(CONFIG!$E$4:$E$63,MATCH($M966,CONFIG!$A$4:$A$63,0)),"NO")))</f>
        <v/>
      </c>
      <c r="P966" s="50" t="n"/>
      <c r="Q966" s="50" t="n"/>
      <c r="R966" s="28">
        <f>IF($Q966="","",IFERROR(INDEX(CONFIG!$H$4:$H$63,MATCH($Q966,CONFIG!$G$4:$G$63,0)),"Por definir"))</f>
        <v/>
      </c>
      <c r="S966" s="28">
        <f>IF($Q966="","",IFERROR(INDEX(CONFIG!$I$4:$I$63,MATCH($Q966,CONFIG!$G$4:$G$63,0)),"Por definir"))</f>
        <v/>
      </c>
      <c r="T966" s="51" t="n"/>
      <c r="U966" s="52" t="n"/>
      <c r="V966" s="50" t="n"/>
      <c r="W966" s="50" t="n"/>
      <c r="X966" s="49">
        <f>IF(OR($B966="",$M966=""),"",WORKDAY($B966,IFERROR(INDEX(CONFIG!$D$4:$D$63,MATCH($M966,CONFIG!$A$4:$A$63,0)),3)))</f>
        <v/>
      </c>
      <c r="Y966" s="47" t="n"/>
      <c r="Z966" s="24">
        <f>IF($B966="","",IF($Y966&lt;&gt;"",$Y966-$B966,TODAY()-$B966))</f>
        <v/>
      </c>
      <c r="AA966" s="28">
        <f>IF($B966="","",IF(IFERROR(INDEX(CONFIG!$L$4:$L$63,MATCH($V966,CONFIG!$K$4:$K$63,0)),"NO")="SÍ",IF(OR($Y966="",$X966=""),"Resuelta",IF($Y966&gt;$X966,"Resuelta tarde","Resuelta a tiempo")),IF($X966="","Sin clasificar",IF(TODAY()&gt;$X966,"Vencida",IF(TODAY()&gt;=$X966-1,"Por vencer","En plazo")))))</f>
        <v/>
      </c>
      <c r="AB966" s="50" t="n"/>
      <c r="AC966" s="50" t="n"/>
    </row>
    <row r="967" ht="16" customHeight="1">
      <c r="A967" s="28">
        <f>IF($B967="","","N-"&amp;TEXT(ROW()-3,"0000"))</f>
        <v/>
      </c>
      <c r="B967" s="47" t="n"/>
      <c r="C967" s="48" t="n"/>
      <c r="D967" s="48" t="n"/>
      <c r="E967" s="28">
        <f>IF($C967="","",IF($D967="",IF($C967="Interna","Sin guía (interna)","FALTA GUÍA"),IF(COUNTIFS(ENVIOS!$A$4:$A$3003,$D967)=0,"NO EXISTE",IF(COUNTIFS(ENVIOS!$A$4:$A$3003,$D967)&gt;1,"DUPLICADA","OK"))))</f>
        <v/>
      </c>
      <c r="F967" s="28">
        <f>IF($D967="","",IFERROR(INDEX(ENVIOS!$B$4:$B$3003,MATCH($D967,ENVIOS!$A$4:$A$3003,0)),"—"))</f>
        <v/>
      </c>
      <c r="G967" s="23">
        <f>IF($D967="","",IFERROR(INDEX(ENVIOS!$D$4:$D$3003,MATCH($D967,ENVIOS!$A$4:$A$3003,0)),"—"))</f>
        <v/>
      </c>
      <c r="H967" s="23">
        <f>IF($D967="","",IFERROR(INDEX(ENVIOS!$E$4:$E$3003,MATCH($D967,ENVIOS!$A$4:$A$3003,0)),"—"))</f>
        <v/>
      </c>
      <c r="I967" s="23">
        <f>IF($D967="","",IFERROR(INDEX(ENVIOS!$F$4:$F$3003,MATCH($D967,ENVIOS!$A$4:$A$3003,0)),"—"))</f>
        <v/>
      </c>
      <c r="J967" s="23">
        <f>IF($D967="","",IFERROR(INDEX(ENVIOS!$G$4:$G$3003,MATCH($D967,ENVIOS!$A$4:$A$3003,0)),"—"))</f>
        <v/>
      </c>
      <c r="K967" s="28">
        <f>IF($D967="","",IFERROR(INDEX(ENVIOS!$H$4:$H$3003,MATCH($D967,ENVIOS!$A$4:$A$3003,0)),"—"))</f>
        <v/>
      </c>
      <c r="L967" s="49">
        <f>IF($D967="","",IFERROR(INDEX(ENVIOS!$C$4:$C$3003,MATCH($D967,ENVIOS!$A$4:$A$3003,0)),""))</f>
        <v/>
      </c>
      <c r="M967" s="50" t="n"/>
      <c r="N967" s="28">
        <f>IF($M967="","",IFERROR(INDEX(CONFIG!$C$4:$C$63,MATCH($M967,CONFIG!$A$4:$A$63,0)),"Media"))</f>
        <v/>
      </c>
      <c r="O967" s="28">
        <f>IF($M967="","",IF($C967="Interna","NO",IFERROR(INDEX(CONFIG!$E$4:$E$63,MATCH($M967,CONFIG!$A$4:$A$63,0)),"NO")))</f>
        <v/>
      </c>
      <c r="P967" s="50" t="n"/>
      <c r="Q967" s="50" t="n"/>
      <c r="R967" s="28">
        <f>IF($Q967="","",IFERROR(INDEX(CONFIG!$H$4:$H$63,MATCH($Q967,CONFIG!$G$4:$G$63,0)),"Por definir"))</f>
        <v/>
      </c>
      <c r="S967" s="28">
        <f>IF($Q967="","",IFERROR(INDEX(CONFIG!$I$4:$I$63,MATCH($Q967,CONFIG!$G$4:$G$63,0)),"Por definir"))</f>
        <v/>
      </c>
      <c r="T967" s="51" t="n"/>
      <c r="U967" s="52" t="n"/>
      <c r="V967" s="50" t="n"/>
      <c r="W967" s="50" t="n"/>
      <c r="X967" s="49">
        <f>IF(OR($B967="",$M967=""),"",WORKDAY($B967,IFERROR(INDEX(CONFIG!$D$4:$D$63,MATCH($M967,CONFIG!$A$4:$A$63,0)),3)))</f>
        <v/>
      </c>
      <c r="Y967" s="47" t="n"/>
      <c r="Z967" s="24">
        <f>IF($B967="","",IF($Y967&lt;&gt;"",$Y967-$B967,TODAY()-$B967))</f>
        <v/>
      </c>
      <c r="AA967" s="28">
        <f>IF($B967="","",IF(IFERROR(INDEX(CONFIG!$L$4:$L$63,MATCH($V967,CONFIG!$K$4:$K$63,0)),"NO")="SÍ",IF(OR($Y967="",$X967=""),"Resuelta",IF($Y967&gt;$X967,"Resuelta tarde","Resuelta a tiempo")),IF($X967="","Sin clasificar",IF(TODAY()&gt;$X967,"Vencida",IF(TODAY()&gt;=$X967-1,"Por vencer","En plazo")))))</f>
        <v/>
      </c>
      <c r="AB967" s="50" t="n"/>
      <c r="AC967" s="50" t="n"/>
    </row>
    <row r="968" ht="16" customHeight="1">
      <c r="A968" s="28">
        <f>IF($B968="","","N-"&amp;TEXT(ROW()-3,"0000"))</f>
        <v/>
      </c>
      <c r="B968" s="47" t="n"/>
      <c r="C968" s="48" t="n"/>
      <c r="D968" s="48" t="n"/>
      <c r="E968" s="28">
        <f>IF($C968="","",IF($D968="",IF($C968="Interna","Sin guía (interna)","FALTA GUÍA"),IF(COUNTIFS(ENVIOS!$A$4:$A$3003,$D968)=0,"NO EXISTE",IF(COUNTIFS(ENVIOS!$A$4:$A$3003,$D968)&gt;1,"DUPLICADA","OK"))))</f>
        <v/>
      </c>
      <c r="F968" s="28">
        <f>IF($D968="","",IFERROR(INDEX(ENVIOS!$B$4:$B$3003,MATCH($D968,ENVIOS!$A$4:$A$3003,0)),"—"))</f>
        <v/>
      </c>
      <c r="G968" s="23">
        <f>IF($D968="","",IFERROR(INDEX(ENVIOS!$D$4:$D$3003,MATCH($D968,ENVIOS!$A$4:$A$3003,0)),"—"))</f>
        <v/>
      </c>
      <c r="H968" s="23">
        <f>IF($D968="","",IFERROR(INDEX(ENVIOS!$E$4:$E$3003,MATCH($D968,ENVIOS!$A$4:$A$3003,0)),"—"))</f>
        <v/>
      </c>
      <c r="I968" s="23">
        <f>IF($D968="","",IFERROR(INDEX(ENVIOS!$F$4:$F$3003,MATCH($D968,ENVIOS!$A$4:$A$3003,0)),"—"))</f>
        <v/>
      </c>
      <c r="J968" s="23">
        <f>IF($D968="","",IFERROR(INDEX(ENVIOS!$G$4:$G$3003,MATCH($D968,ENVIOS!$A$4:$A$3003,0)),"—"))</f>
        <v/>
      </c>
      <c r="K968" s="28">
        <f>IF($D968="","",IFERROR(INDEX(ENVIOS!$H$4:$H$3003,MATCH($D968,ENVIOS!$A$4:$A$3003,0)),"—"))</f>
        <v/>
      </c>
      <c r="L968" s="49">
        <f>IF($D968="","",IFERROR(INDEX(ENVIOS!$C$4:$C$3003,MATCH($D968,ENVIOS!$A$4:$A$3003,0)),""))</f>
        <v/>
      </c>
      <c r="M968" s="50" t="n"/>
      <c r="N968" s="28">
        <f>IF($M968="","",IFERROR(INDEX(CONFIG!$C$4:$C$63,MATCH($M968,CONFIG!$A$4:$A$63,0)),"Media"))</f>
        <v/>
      </c>
      <c r="O968" s="28">
        <f>IF($M968="","",IF($C968="Interna","NO",IFERROR(INDEX(CONFIG!$E$4:$E$63,MATCH($M968,CONFIG!$A$4:$A$63,0)),"NO")))</f>
        <v/>
      </c>
      <c r="P968" s="50" t="n"/>
      <c r="Q968" s="50" t="n"/>
      <c r="R968" s="28">
        <f>IF($Q968="","",IFERROR(INDEX(CONFIG!$H$4:$H$63,MATCH($Q968,CONFIG!$G$4:$G$63,0)),"Por definir"))</f>
        <v/>
      </c>
      <c r="S968" s="28">
        <f>IF($Q968="","",IFERROR(INDEX(CONFIG!$I$4:$I$63,MATCH($Q968,CONFIG!$G$4:$G$63,0)),"Por definir"))</f>
        <v/>
      </c>
      <c r="T968" s="51" t="n"/>
      <c r="U968" s="52" t="n"/>
      <c r="V968" s="50" t="n"/>
      <c r="W968" s="50" t="n"/>
      <c r="X968" s="49">
        <f>IF(OR($B968="",$M968=""),"",WORKDAY($B968,IFERROR(INDEX(CONFIG!$D$4:$D$63,MATCH($M968,CONFIG!$A$4:$A$63,0)),3)))</f>
        <v/>
      </c>
      <c r="Y968" s="47" t="n"/>
      <c r="Z968" s="24">
        <f>IF($B968="","",IF($Y968&lt;&gt;"",$Y968-$B968,TODAY()-$B968))</f>
        <v/>
      </c>
      <c r="AA968" s="28">
        <f>IF($B968="","",IF(IFERROR(INDEX(CONFIG!$L$4:$L$63,MATCH($V968,CONFIG!$K$4:$K$63,0)),"NO")="SÍ",IF(OR($Y968="",$X968=""),"Resuelta",IF($Y968&gt;$X968,"Resuelta tarde","Resuelta a tiempo")),IF($X968="","Sin clasificar",IF(TODAY()&gt;$X968,"Vencida",IF(TODAY()&gt;=$X968-1,"Por vencer","En plazo")))))</f>
        <v/>
      </c>
      <c r="AB968" s="50" t="n"/>
      <c r="AC968" s="50" t="n"/>
    </row>
    <row r="969" ht="16" customHeight="1">
      <c r="A969" s="28">
        <f>IF($B969="","","N-"&amp;TEXT(ROW()-3,"0000"))</f>
        <v/>
      </c>
      <c r="B969" s="47" t="n"/>
      <c r="C969" s="48" t="n"/>
      <c r="D969" s="48" t="n"/>
      <c r="E969" s="28">
        <f>IF($C969="","",IF($D969="",IF($C969="Interna","Sin guía (interna)","FALTA GUÍA"),IF(COUNTIFS(ENVIOS!$A$4:$A$3003,$D969)=0,"NO EXISTE",IF(COUNTIFS(ENVIOS!$A$4:$A$3003,$D969)&gt;1,"DUPLICADA","OK"))))</f>
        <v/>
      </c>
      <c r="F969" s="28">
        <f>IF($D969="","",IFERROR(INDEX(ENVIOS!$B$4:$B$3003,MATCH($D969,ENVIOS!$A$4:$A$3003,0)),"—"))</f>
        <v/>
      </c>
      <c r="G969" s="23">
        <f>IF($D969="","",IFERROR(INDEX(ENVIOS!$D$4:$D$3003,MATCH($D969,ENVIOS!$A$4:$A$3003,0)),"—"))</f>
        <v/>
      </c>
      <c r="H969" s="23">
        <f>IF($D969="","",IFERROR(INDEX(ENVIOS!$E$4:$E$3003,MATCH($D969,ENVIOS!$A$4:$A$3003,0)),"—"))</f>
        <v/>
      </c>
      <c r="I969" s="23">
        <f>IF($D969="","",IFERROR(INDEX(ENVIOS!$F$4:$F$3003,MATCH($D969,ENVIOS!$A$4:$A$3003,0)),"—"))</f>
        <v/>
      </c>
      <c r="J969" s="23">
        <f>IF($D969="","",IFERROR(INDEX(ENVIOS!$G$4:$G$3003,MATCH($D969,ENVIOS!$A$4:$A$3003,0)),"—"))</f>
        <v/>
      </c>
      <c r="K969" s="28">
        <f>IF($D969="","",IFERROR(INDEX(ENVIOS!$H$4:$H$3003,MATCH($D969,ENVIOS!$A$4:$A$3003,0)),"—"))</f>
        <v/>
      </c>
      <c r="L969" s="49">
        <f>IF($D969="","",IFERROR(INDEX(ENVIOS!$C$4:$C$3003,MATCH($D969,ENVIOS!$A$4:$A$3003,0)),""))</f>
        <v/>
      </c>
      <c r="M969" s="50" t="n"/>
      <c r="N969" s="28">
        <f>IF($M969="","",IFERROR(INDEX(CONFIG!$C$4:$C$63,MATCH($M969,CONFIG!$A$4:$A$63,0)),"Media"))</f>
        <v/>
      </c>
      <c r="O969" s="28">
        <f>IF($M969="","",IF($C969="Interna","NO",IFERROR(INDEX(CONFIG!$E$4:$E$63,MATCH($M969,CONFIG!$A$4:$A$63,0)),"NO")))</f>
        <v/>
      </c>
      <c r="P969" s="50" t="n"/>
      <c r="Q969" s="50" t="n"/>
      <c r="R969" s="28">
        <f>IF($Q969="","",IFERROR(INDEX(CONFIG!$H$4:$H$63,MATCH($Q969,CONFIG!$G$4:$G$63,0)),"Por definir"))</f>
        <v/>
      </c>
      <c r="S969" s="28">
        <f>IF($Q969="","",IFERROR(INDEX(CONFIG!$I$4:$I$63,MATCH($Q969,CONFIG!$G$4:$G$63,0)),"Por definir"))</f>
        <v/>
      </c>
      <c r="T969" s="51" t="n"/>
      <c r="U969" s="52" t="n"/>
      <c r="V969" s="50" t="n"/>
      <c r="W969" s="50" t="n"/>
      <c r="X969" s="49">
        <f>IF(OR($B969="",$M969=""),"",WORKDAY($B969,IFERROR(INDEX(CONFIG!$D$4:$D$63,MATCH($M969,CONFIG!$A$4:$A$63,0)),3)))</f>
        <v/>
      </c>
      <c r="Y969" s="47" t="n"/>
      <c r="Z969" s="24">
        <f>IF($B969="","",IF($Y969&lt;&gt;"",$Y969-$B969,TODAY()-$B969))</f>
        <v/>
      </c>
      <c r="AA969" s="28">
        <f>IF($B969="","",IF(IFERROR(INDEX(CONFIG!$L$4:$L$63,MATCH($V969,CONFIG!$K$4:$K$63,0)),"NO")="SÍ",IF(OR($Y969="",$X969=""),"Resuelta",IF($Y969&gt;$X969,"Resuelta tarde","Resuelta a tiempo")),IF($X969="","Sin clasificar",IF(TODAY()&gt;$X969,"Vencida",IF(TODAY()&gt;=$X969-1,"Por vencer","En plazo")))))</f>
        <v/>
      </c>
      <c r="AB969" s="50" t="n"/>
      <c r="AC969" s="50" t="n"/>
    </row>
    <row r="970" ht="16" customHeight="1">
      <c r="A970" s="28">
        <f>IF($B970="","","N-"&amp;TEXT(ROW()-3,"0000"))</f>
        <v/>
      </c>
      <c r="B970" s="47" t="n"/>
      <c r="C970" s="48" t="n"/>
      <c r="D970" s="48" t="n"/>
      <c r="E970" s="28">
        <f>IF($C970="","",IF($D970="",IF($C970="Interna","Sin guía (interna)","FALTA GUÍA"),IF(COUNTIFS(ENVIOS!$A$4:$A$3003,$D970)=0,"NO EXISTE",IF(COUNTIFS(ENVIOS!$A$4:$A$3003,$D970)&gt;1,"DUPLICADA","OK"))))</f>
        <v/>
      </c>
      <c r="F970" s="28">
        <f>IF($D970="","",IFERROR(INDEX(ENVIOS!$B$4:$B$3003,MATCH($D970,ENVIOS!$A$4:$A$3003,0)),"—"))</f>
        <v/>
      </c>
      <c r="G970" s="23">
        <f>IF($D970="","",IFERROR(INDEX(ENVIOS!$D$4:$D$3003,MATCH($D970,ENVIOS!$A$4:$A$3003,0)),"—"))</f>
        <v/>
      </c>
      <c r="H970" s="23">
        <f>IF($D970="","",IFERROR(INDEX(ENVIOS!$E$4:$E$3003,MATCH($D970,ENVIOS!$A$4:$A$3003,0)),"—"))</f>
        <v/>
      </c>
      <c r="I970" s="23">
        <f>IF($D970="","",IFERROR(INDEX(ENVIOS!$F$4:$F$3003,MATCH($D970,ENVIOS!$A$4:$A$3003,0)),"—"))</f>
        <v/>
      </c>
      <c r="J970" s="23">
        <f>IF($D970="","",IFERROR(INDEX(ENVIOS!$G$4:$G$3003,MATCH($D970,ENVIOS!$A$4:$A$3003,0)),"—"))</f>
        <v/>
      </c>
      <c r="K970" s="28">
        <f>IF($D970="","",IFERROR(INDEX(ENVIOS!$H$4:$H$3003,MATCH($D970,ENVIOS!$A$4:$A$3003,0)),"—"))</f>
        <v/>
      </c>
      <c r="L970" s="49">
        <f>IF($D970="","",IFERROR(INDEX(ENVIOS!$C$4:$C$3003,MATCH($D970,ENVIOS!$A$4:$A$3003,0)),""))</f>
        <v/>
      </c>
      <c r="M970" s="50" t="n"/>
      <c r="N970" s="28">
        <f>IF($M970="","",IFERROR(INDEX(CONFIG!$C$4:$C$63,MATCH($M970,CONFIG!$A$4:$A$63,0)),"Media"))</f>
        <v/>
      </c>
      <c r="O970" s="28">
        <f>IF($M970="","",IF($C970="Interna","NO",IFERROR(INDEX(CONFIG!$E$4:$E$63,MATCH($M970,CONFIG!$A$4:$A$63,0)),"NO")))</f>
        <v/>
      </c>
      <c r="P970" s="50" t="n"/>
      <c r="Q970" s="50" t="n"/>
      <c r="R970" s="28">
        <f>IF($Q970="","",IFERROR(INDEX(CONFIG!$H$4:$H$63,MATCH($Q970,CONFIG!$G$4:$G$63,0)),"Por definir"))</f>
        <v/>
      </c>
      <c r="S970" s="28">
        <f>IF($Q970="","",IFERROR(INDEX(CONFIG!$I$4:$I$63,MATCH($Q970,CONFIG!$G$4:$G$63,0)),"Por definir"))</f>
        <v/>
      </c>
      <c r="T970" s="51" t="n"/>
      <c r="U970" s="52" t="n"/>
      <c r="V970" s="50" t="n"/>
      <c r="W970" s="50" t="n"/>
      <c r="X970" s="49">
        <f>IF(OR($B970="",$M970=""),"",WORKDAY($B970,IFERROR(INDEX(CONFIG!$D$4:$D$63,MATCH($M970,CONFIG!$A$4:$A$63,0)),3)))</f>
        <v/>
      </c>
      <c r="Y970" s="47" t="n"/>
      <c r="Z970" s="24">
        <f>IF($B970="","",IF($Y970&lt;&gt;"",$Y970-$B970,TODAY()-$B970))</f>
        <v/>
      </c>
      <c r="AA970" s="28">
        <f>IF($B970="","",IF(IFERROR(INDEX(CONFIG!$L$4:$L$63,MATCH($V970,CONFIG!$K$4:$K$63,0)),"NO")="SÍ",IF(OR($Y970="",$X970=""),"Resuelta",IF($Y970&gt;$X970,"Resuelta tarde","Resuelta a tiempo")),IF($X970="","Sin clasificar",IF(TODAY()&gt;$X970,"Vencida",IF(TODAY()&gt;=$X970-1,"Por vencer","En plazo")))))</f>
        <v/>
      </c>
      <c r="AB970" s="50" t="n"/>
      <c r="AC970" s="50" t="n"/>
    </row>
    <row r="971" ht="16" customHeight="1">
      <c r="A971" s="28">
        <f>IF($B971="","","N-"&amp;TEXT(ROW()-3,"0000"))</f>
        <v/>
      </c>
      <c r="B971" s="47" t="n"/>
      <c r="C971" s="48" t="n"/>
      <c r="D971" s="48" t="n"/>
      <c r="E971" s="28">
        <f>IF($C971="","",IF($D971="",IF($C971="Interna","Sin guía (interna)","FALTA GUÍA"),IF(COUNTIFS(ENVIOS!$A$4:$A$3003,$D971)=0,"NO EXISTE",IF(COUNTIFS(ENVIOS!$A$4:$A$3003,$D971)&gt;1,"DUPLICADA","OK"))))</f>
        <v/>
      </c>
      <c r="F971" s="28">
        <f>IF($D971="","",IFERROR(INDEX(ENVIOS!$B$4:$B$3003,MATCH($D971,ENVIOS!$A$4:$A$3003,0)),"—"))</f>
        <v/>
      </c>
      <c r="G971" s="23">
        <f>IF($D971="","",IFERROR(INDEX(ENVIOS!$D$4:$D$3003,MATCH($D971,ENVIOS!$A$4:$A$3003,0)),"—"))</f>
        <v/>
      </c>
      <c r="H971" s="23">
        <f>IF($D971="","",IFERROR(INDEX(ENVIOS!$E$4:$E$3003,MATCH($D971,ENVIOS!$A$4:$A$3003,0)),"—"))</f>
        <v/>
      </c>
      <c r="I971" s="23">
        <f>IF($D971="","",IFERROR(INDEX(ENVIOS!$F$4:$F$3003,MATCH($D971,ENVIOS!$A$4:$A$3003,0)),"—"))</f>
        <v/>
      </c>
      <c r="J971" s="23">
        <f>IF($D971="","",IFERROR(INDEX(ENVIOS!$G$4:$G$3003,MATCH($D971,ENVIOS!$A$4:$A$3003,0)),"—"))</f>
        <v/>
      </c>
      <c r="K971" s="28">
        <f>IF($D971="","",IFERROR(INDEX(ENVIOS!$H$4:$H$3003,MATCH($D971,ENVIOS!$A$4:$A$3003,0)),"—"))</f>
        <v/>
      </c>
      <c r="L971" s="49">
        <f>IF($D971="","",IFERROR(INDEX(ENVIOS!$C$4:$C$3003,MATCH($D971,ENVIOS!$A$4:$A$3003,0)),""))</f>
        <v/>
      </c>
      <c r="M971" s="50" t="n"/>
      <c r="N971" s="28">
        <f>IF($M971="","",IFERROR(INDEX(CONFIG!$C$4:$C$63,MATCH($M971,CONFIG!$A$4:$A$63,0)),"Media"))</f>
        <v/>
      </c>
      <c r="O971" s="28">
        <f>IF($M971="","",IF($C971="Interna","NO",IFERROR(INDEX(CONFIG!$E$4:$E$63,MATCH($M971,CONFIG!$A$4:$A$63,0)),"NO")))</f>
        <v/>
      </c>
      <c r="P971" s="50" t="n"/>
      <c r="Q971" s="50" t="n"/>
      <c r="R971" s="28">
        <f>IF($Q971="","",IFERROR(INDEX(CONFIG!$H$4:$H$63,MATCH($Q971,CONFIG!$G$4:$G$63,0)),"Por definir"))</f>
        <v/>
      </c>
      <c r="S971" s="28">
        <f>IF($Q971="","",IFERROR(INDEX(CONFIG!$I$4:$I$63,MATCH($Q971,CONFIG!$G$4:$G$63,0)),"Por definir"))</f>
        <v/>
      </c>
      <c r="T971" s="51" t="n"/>
      <c r="U971" s="52" t="n"/>
      <c r="V971" s="50" t="n"/>
      <c r="W971" s="50" t="n"/>
      <c r="X971" s="49">
        <f>IF(OR($B971="",$M971=""),"",WORKDAY($B971,IFERROR(INDEX(CONFIG!$D$4:$D$63,MATCH($M971,CONFIG!$A$4:$A$63,0)),3)))</f>
        <v/>
      </c>
      <c r="Y971" s="47" t="n"/>
      <c r="Z971" s="24">
        <f>IF($B971="","",IF($Y971&lt;&gt;"",$Y971-$B971,TODAY()-$B971))</f>
        <v/>
      </c>
      <c r="AA971" s="28">
        <f>IF($B971="","",IF(IFERROR(INDEX(CONFIG!$L$4:$L$63,MATCH($V971,CONFIG!$K$4:$K$63,0)),"NO")="SÍ",IF(OR($Y971="",$X971=""),"Resuelta",IF($Y971&gt;$X971,"Resuelta tarde","Resuelta a tiempo")),IF($X971="","Sin clasificar",IF(TODAY()&gt;$X971,"Vencida",IF(TODAY()&gt;=$X971-1,"Por vencer","En plazo")))))</f>
        <v/>
      </c>
      <c r="AB971" s="50" t="n"/>
      <c r="AC971" s="50" t="n"/>
    </row>
    <row r="972" ht="16" customHeight="1">
      <c r="A972" s="28">
        <f>IF($B972="","","N-"&amp;TEXT(ROW()-3,"0000"))</f>
        <v/>
      </c>
      <c r="B972" s="47" t="n"/>
      <c r="C972" s="48" t="n"/>
      <c r="D972" s="48" t="n"/>
      <c r="E972" s="28">
        <f>IF($C972="","",IF($D972="",IF($C972="Interna","Sin guía (interna)","FALTA GUÍA"),IF(COUNTIFS(ENVIOS!$A$4:$A$3003,$D972)=0,"NO EXISTE",IF(COUNTIFS(ENVIOS!$A$4:$A$3003,$D972)&gt;1,"DUPLICADA","OK"))))</f>
        <v/>
      </c>
      <c r="F972" s="28">
        <f>IF($D972="","",IFERROR(INDEX(ENVIOS!$B$4:$B$3003,MATCH($D972,ENVIOS!$A$4:$A$3003,0)),"—"))</f>
        <v/>
      </c>
      <c r="G972" s="23">
        <f>IF($D972="","",IFERROR(INDEX(ENVIOS!$D$4:$D$3003,MATCH($D972,ENVIOS!$A$4:$A$3003,0)),"—"))</f>
        <v/>
      </c>
      <c r="H972" s="23">
        <f>IF($D972="","",IFERROR(INDEX(ENVIOS!$E$4:$E$3003,MATCH($D972,ENVIOS!$A$4:$A$3003,0)),"—"))</f>
        <v/>
      </c>
      <c r="I972" s="23">
        <f>IF($D972="","",IFERROR(INDEX(ENVIOS!$F$4:$F$3003,MATCH($D972,ENVIOS!$A$4:$A$3003,0)),"—"))</f>
        <v/>
      </c>
      <c r="J972" s="23">
        <f>IF($D972="","",IFERROR(INDEX(ENVIOS!$G$4:$G$3003,MATCH($D972,ENVIOS!$A$4:$A$3003,0)),"—"))</f>
        <v/>
      </c>
      <c r="K972" s="28">
        <f>IF($D972="","",IFERROR(INDEX(ENVIOS!$H$4:$H$3003,MATCH($D972,ENVIOS!$A$4:$A$3003,0)),"—"))</f>
        <v/>
      </c>
      <c r="L972" s="49">
        <f>IF($D972="","",IFERROR(INDEX(ENVIOS!$C$4:$C$3003,MATCH($D972,ENVIOS!$A$4:$A$3003,0)),""))</f>
        <v/>
      </c>
      <c r="M972" s="50" t="n"/>
      <c r="N972" s="28">
        <f>IF($M972="","",IFERROR(INDEX(CONFIG!$C$4:$C$63,MATCH($M972,CONFIG!$A$4:$A$63,0)),"Media"))</f>
        <v/>
      </c>
      <c r="O972" s="28">
        <f>IF($M972="","",IF($C972="Interna","NO",IFERROR(INDEX(CONFIG!$E$4:$E$63,MATCH($M972,CONFIG!$A$4:$A$63,0)),"NO")))</f>
        <v/>
      </c>
      <c r="P972" s="50" t="n"/>
      <c r="Q972" s="50" t="n"/>
      <c r="R972" s="28">
        <f>IF($Q972="","",IFERROR(INDEX(CONFIG!$H$4:$H$63,MATCH($Q972,CONFIG!$G$4:$G$63,0)),"Por definir"))</f>
        <v/>
      </c>
      <c r="S972" s="28">
        <f>IF($Q972="","",IFERROR(INDEX(CONFIG!$I$4:$I$63,MATCH($Q972,CONFIG!$G$4:$G$63,0)),"Por definir"))</f>
        <v/>
      </c>
      <c r="T972" s="51" t="n"/>
      <c r="U972" s="52" t="n"/>
      <c r="V972" s="50" t="n"/>
      <c r="W972" s="50" t="n"/>
      <c r="X972" s="49">
        <f>IF(OR($B972="",$M972=""),"",WORKDAY($B972,IFERROR(INDEX(CONFIG!$D$4:$D$63,MATCH($M972,CONFIG!$A$4:$A$63,0)),3)))</f>
        <v/>
      </c>
      <c r="Y972" s="47" t="n"/>
      <c r="Z972" s="24">
        <f>IF($B972="","",IF($Y972&lt;&gt;"",$Y972-$B972,TODAY()-$B972))</f>
        <v/>
      </c>
      <c r="AA972" s="28">
        <f>IF($B972="","",IF(IFERROR(INDEX(CONFIG!$L$4:$L$63,MATCH($V972,CONFIG!$K$4:$K$63,0)),"NO")="SÍ",IF(OR($Y972="",$X972=""),"Resuelta",IF($Y972&gt;$X972,"Resuelta tarde","Resuelta a tiempo")),IF($X972="","Sin clasificar",IF(TODAY()&gt;$X972,"Vencida",IF(TODAY()&gt;=$X972-1,"Por vencer","En plazo")))))</f>
        <v/>
      </c>
      <c r="AB972" s="50" t="n"/>
      <c r="AC972" s="50" t="n"/>
    </row>
    <row r="973" ht="16" customHeight="1">
      <c r="A973" s="28">
        <f>IF($B973="","","N-"&amp;TEXT(ROW()-3,"0000"))</f>
        <v/>
      </c>
      <c r="B973" s="47" t="n"/>
      <c r="C973" s="48" t="n"/>
      <c r="D973" s="48" t="n"/>
      <c r="E973" s="28">
        <f>IF($C973="","",IF($D973="",IF($C973="Interna","Sin guía (interna)","FALTA GUÍA"),IF(COUNTIFS(ENVIOS!$A$4:$A$3003,$D973)=0,"NO EXISTE",IF(COUNTIFS(ENVIOS!$A$4:$A$3003,$D973)&gt;1,"DUPLICADA","OK"))))</f>
        <v/>
      </c>
      <c r="F973" s="28">
        <f>IF($D973="","",IFERROR(INDEX(ENVIOS!$B$4:$B$3003,MATCH($D973,ENVIOS!$A$4:$A$3003,0)),"—"))</f>
        <v/>
      </c>
      <c r="G973" s="23">
        <f>IF($D973="","",IFERROR(INDEX(ENVIOS!$D$4:$D$3003,MATCH($D973,ENVIOS!$A$4:$A$3003,0)),"—"))</f>
        <v/>
      </c>
      <c r="H973" s="23">
        <f>IF($D973="","",IFERROR(INDEX(ENVIOS!$E$4:$E$3003,MATCH($D973,ENVIOS!$A$4:$A$3003,0)),"—"))</f>
        <v/>
      </c>
      <c r="I973" s="23">
        <f>IF($D973="","",IFERROR(INDEX(ENVIOS!$F$4:$F$3003,MATCH($D973,ENVIOS!$A$4:$A$3003,0)),"—"))</f>
        <v/>
      </c>
      <c r="J973" s="23">
        <f>IF($D973="","",IFERROR(INDEX(ENVIOS!$G$4:$G$3003,MATCH($D973,ENVIOS!$A$4:$A$3003,0)),"—"))</f>
        <v/>
      </c>
      <c r="K973" s="28">
        <f>IF($D973="","",IFERROR(INDEX(ENVIOS!$H$4:$H$3003,MATCH($D973,ENVIOS!$A$4:$A$3003,0)),"—"))</f>
        <v/>
      </c>
      <c r="L973" s="49">
        <f>IF($D973="","",IFERROR(INDEX(ENVIOS!$C$4:$C$3003,MATCH($D973,ENVIOS!$A$4:$A$3003,0)),""))</f>
        <v/>
      </c>
      <c r="M973" s="50" t="n"/>
      <c r="N973" s="28">
        <f>IF($M973="","",IFERROR(INDEX(CONFIG!$C$4:$C$63,MATCH($M973,CONFIG!$A$4:$A$63,0)),"Media"))</f>
        <v/>
      </c>
      <c r="O973" s="28">
        <f>IF($M973="","",IF($C973="Interna","NO",IFERROR(INDEX(CONFIG!$E$4:$E$63,MATCH($M973,CONFIG!$A$4:$A$63,0)),"NO")))</f>
        <v/>
      </c>
      <c r="P973" s="50" t="n"/>
      <c r="Q973" s="50" t="n"/>
      <c r="R973" s="28">
        <f>IF($Q973="","",IFERROR(INDEX(CONFIG!$H$4:$H$63,MATCH($Q973,CONFIG!$G$4:$G$63,0)),"Por definir"))</f>
        <v/>
      </c>
      <c r="S973" s="28">
        <f>IF($Q973="","",IFERROR(INDEX(CONFIG!$I$4:$I$63,MATCH($Q973,CONFIG!$G$4:$G$63,0)),"Por definir"))</f>
        <v/>
      </c>
      <c r="T973" s="51" t="n"/>
      <c r="U973" s="52" t="n"/>
      <c r="V973" s="50" t="n"/>
      <c r="W973" s="50" t="n"/>
      <c r="X973" s="49">
        <f>IF(OR($B973="",$M973=""),"",WORKDAY($B973,IFERROR(INDEX(CONFIG!$D$4:$D$63,MATCH($M973,CONFIG!$A$4:$A$63,0)),3)))</f>
        <v/>
      </c>
      <c r="Y973" s="47" t="n"/>
      <c r="Z973" s="24">
        <f>IF($B973="","",IF($Y973&lt;&gt;"",$Y973-$B973,TODAY()-$B973))</f>
        <v/>
      </c>
      <c r="AA973" s="28">
        <f>IF($B973="","",IF(IFERROR(INDEX(CONFIG!$L$4:$L$63,MATCH($V973,CONFIG!$K$4:$K$63,0)),"NO")="SÍ",IF(OR($Y973="",$X973=""),"Resuelta",IF($Y973&gt;$X973,"Resuelta tarde","Resuelta a tiempo")),IF($X973="","Sin clasificar",IF(TODAY()&gt;$X973,"Vencida",IF(TODAY()&gt;=$X973-1,"Por vencer","En plazo")))))</f>
        <v/>
      </c>
      <c r="AB973" s="50" t="n"/>
      <c r="AC973" s="50" t="n"/>
    </row>
    <row r="974" ht="16" customHeight="1">
      <c r="A974" s="28">
        <f>IF($B974="","","N-"&amp;TEXT(ROW()-3,"0000"))</f>
        <v/>
      </c>
      <c r="B974" s="47" t="n"/>
      <c r="C974" s="48" t="n"/>
      <c r="D974" s="48" t="n"/>
      <c r="E974" s="28">
        <f>IF($C974="","",IF($D974="",IF($C974="Interna","Sin guía (interna)","FALTA GUÍA"),IF(COUNTIFS(ENVIOS!$A$4:$A$3003,$D974)=0,"NO EXISTE",IF(COUNTIFS(ENVIOS!$A$4:$A$3003,$D974)&gt;1,"DUPLICADA","OK"))))</f>
        <v/>
      </c>
      <c r="F974" s="28">
        <f>IF($D974="","",IFERROR(INDEX(ENVIOS!$B$4:$B$3003,MATCH($D974,ENVIOS!$A$4:$A$3003,0)),"—"))</f>
        <v/>
      </c>
      <c r="G974" s="23">
        <f>IF($D974="","",IFERROR(INDEX(ENVIOS!$D$4:$D$3003,MATCH($D974,ENVIOS!$A$4:$A$3003,0)),"—"))</f>
        <v/>
      </c>
      <c r="H974" s="23">
        <f>IF($D974="","",IFERROR(INDEX(ENVIOS!$E$4:$E$3003,MATCH($D974,ENVIOS!$A$4:$A$3003,0)),"—"))</f>
        <v/>
      </c>
      <c r="I974" s="23">
        <f>IF($D974="","",IFERROR(INDEX(ENVIOS!$F$4:$F$3003,MATCH($D974,ENVIOS!$A$4:$A$3003,0)),"—"))</f>
        <v/>
      </c>
      <c r="J974" s="23">
        <f>IF($D974="","",IFERROR(INDEX(ENVIOS!$G$4:$G$3003,MATCH($D974,ENVIOS!$A$4:$A$3003,0)),"—"))</f>
        <v/>
      </c>
      <c r="K974" s="28">
        <f>IF($D974="","",IFERROR(INDEX(ENVIOS!$H$4:$H$3003,MATCH($D974,ENVIOS!$A$4:$A$3003,0)),"—"))</f>
        <v/>
      </c>
      <c r="L974" s="49">
        <f>IF($D974="","",IFERROR(INDEX(ENVIOS!$C$4:$C$3003,MATCH($D974,ENVIOS!$A$4:$A$3003,0)),""))</f>
        <v/>
      </c>
      <c r="M974" s="50" t="n"/>
      <c r="N974" s="28">
        <f>IF($M974="","",IFERROR(INDEX(CONFIG!$C$4:$C$63,MATCH($M974,CONFIG!$A$4:$A$63,0)),"Media"))</f>
        <v/>
      </c>
      <c r="O974" s="28">
        <f>IF($M974="","",IF($C974="Interna","NO",IFERROR(INDEX(CONFIG!$E$4:$E$63,MATCH($M974,CONFIG!$A$4:$A$63,0)),"NO")))</f>
        <v/>
      </c>
      <c r="P974" s="50" t="n"/>
      <c r="Q974" s="50" t="n"/>
      <c r="R974" s="28">
        <f>IF($Q974="","",IFERROR(INDEX(CONFIG!$H$4:$H$63,MATCH($Q974,CONFIG!$G$4:$G$63,0)),"Por definir"))</f>
        <v/>
      </c>
      <c r="S974" s="28">
        <f>IF($Q974="","",IFERROR(INDEX(CONFIG!$I$4:$I$63,MATCH($Q974,CONFIG!$G$4:$G$63,0)),"Por definir"))</f>
        <v/>
      </c>
      <c r="T974" s="51" t="n"/>
      <c r="U974" s="52" t="n"/>
      <c r="V974" s="50" t="n"/>
      <c r="W974" s="50" t="n"/>
      <c r="X974" s="49">
        <f>IF(OR($B974="",$M974=""),"",WORKDAY($B974,IFERROR(INDEX(CONFIG!$D$4:$D$63,MATCH($M974,CONFIG!$A$4:$A$63,0)),3)))</f>
        <v/>
      </c>
      <c r="Y974" s="47" t="n"/>
      <c r="Z974" s="24">
        <f>IF($B974="","",IF($Y974&lt;&gt;"",$Y974-$B974,TODAY()-$B974))</f>
        <v/>
      </c>
      <c r="AA974" s="28">
        <f>IF($B974="","",IF(IFERROR(INDEX(CONFIG!$L$4:$L$63,MATCH($V974,CONFIG!$K$4:$K$63,0)),"NO")="SÍ",IF(OR($Y974="",$X974=""),"Resuelta",IF($Y974&gt;$X974,"Resuelta tarde","Resuelta a tiempo")),IF($X974="","Sin clasificar",IF(TODAY()&gt;$X974,"Vencida",IF(TODAY()&gt;=$X974-1,"Por vencer","En plazo")))))</f>
        <v/>
      </c>
      <c r="AB974" s="50" t="n"/>
      <c r="AC974" s="50" t="n"/>
    </row>
    <row r="975" ht="16" customHeight="1">
      <c r="A975" s="28">
        <f>IF($B975="","","N-"&amp;TEXT(ROW()-3,"0000"))</f>
        <v/>
      </c>
      <c r="B975" s="47" t="n"/>
      <c r="C975" s="48" t="n"/>
      <c r="D975" s="48" t="n"/>
      <c r="E975" s="28">
        <f>IF($C975="","",IF($D975="",IF($C975="Interna","Sin guía (interna)","FALTA GUÍA"),IF(COUNTIFS(ENVIOS!$A$4:$A$3003,$D975)=0,"NO EXISTE",IF(COUNTIFS(ENVIOS!$A$4:$A$3003,$D975)&gt;1,"DUPLICADA","OK"))))</f>
        <v/>
      </c>
      <c r="F975" s="28">
        <f>IF($D975="","",IFERROR(INDEX(ENVIOS!$B$4:$B$3003,MATCH($D975,ENVIOS!$A$4:$A$3003,0)),"—"))</f>
        <v/>
      </c>
      <c r="G975" s="23">
        <f>IF($D975="","",IFERROR(INDEX(ENVIOS!$D$4:$D$3003,MATCH($D975,ENVIOS!$A$4:$A$3003,0)),"—"))</f>
        <v/>
      </c>
      <c r="H975" s="23">
        <f>IF($D975="","",IFERROR(INDEX(ENVIOS!$E$4:$E$3003,MATCH($D975,ENVIOS!$A$4:$A$3003,0)),"—"))</f>
        <v/>
      </c>
      <c r="I975" s="23">
        <f>IF($D975="","",IFERROR(INDEX(ENVIOS!$F$4:$F$3003,MATCH($D975,ENVIOS!$A$4:$A$3003,0)),"—"))</f>
        <v/>
      </c>
      <c r="J975" s="23">
        <f>IF($D975="","",IFERROR(INDEX(ENVIOS!$G$4:$G$3003,MATCH($D975,ENVIOS!$A$4:$A$3003,0)),"—"))</f>
        <v/>
      </c>
      <c r="K975" s="28">
        <f>IF($D975="","",IFERROR(INDEX(ENVIOS!$H$4:$H$3003,MATCH($D975,ENVIOS!$A$4:$A$3003,0)),"—"))</f>
        <v/>
      </c>
      <c r="L975" s="49">
        <f>IF($D975="","",IFERROR(INDEX(ENVIOS!$C$4:$C$3003,MATCH($D975,ENVIOS!$A$4:$A$3003,0)),""))</f>
        <v/>
      </c>
      <c r="M975" s="50" t="n"/>
      <c r="N975" s="28">
        <f>IF($M975="","",IFERROR(INDEX(CONFIG!$C$4:$C$63,MATCH($M975,CONFIG!$A$4:$A$63,0)),"Media"))</f>
        <v/>
      </c>
      <c r="O975" s="28">
        <f>IF($M975="","",IF($C975="Interna","NO",IFERROR(INDEX(CONFIG!$E$4:$E$63,MATCH($M975,CONFIG!$A$4:$A$63,0)),"NO")))</f>
        <v/>
      </c>
      <c r="P975" s="50" t="n"/>
      <c r="Q975" s="50" t="n"/>
      <c r="R975" s="28">
        <f>IF($Q975="","",IFERROR(INDEX(CONFIG!$H$4:$H$63,MATCH($Q975,CONFIG!$G$4:$G$63,0)),"Por definir"))</f>
        <v/>
      </c>
      <c r="S975" s="28">
        <f>IF($Q975="","",IFERROR(INDEX(CONFIG!$I$4:$I$63,MATCH($Q975,CONFIG!$G$4:$G$63,0)),"Por definir"))</f>
        <v/>
      </c>
      <c r="T975" s="51" t="n"/>
      <c r="U975" s="52" t="n"/>
      <c r="V975" s="50" t="n"/>
      <c r="W975" s="50" t="n"/>
      <c r="X975" s="49">
        <f>IF(OR($B975="",$M975=""),"",WORKDAY($B975,IFERROR(INDEX(CONFIG!$D$4:$D$63,MATCH($M975,CONFIG!$A$4:$A$63,0)),3)))</f>
        <v/>
      </c>
      <c r="Y975" s="47" t="n"/>
      <c r="Z975" s="24">
        <f>IF($B975="","",IF($Y975&lt;&gt;"",$Y975-$B975,TODAY()-$B975))</f>
        <v/>
      </c>
      <c r="AA975" s="28">
        <f>IF($B975="","",IF(IFERROR(INDEX(CONFIG!$L$4:$L$63,MATCH($V975,CONFIG!$K$4:$K$63,0)),"NO")="SÍ",IF(OR($Y975="",$X975=""),"Resuelta",IF($Y975&gt;$X975,"Resuelta tarde","Resuelta a tiempo")),IF($X975="","Sin clasificar",IF(TODAY()&gt;$X975,"Vencida",IF(TODAY()&gt;=$X975-1,"Por vencer","En plazo")))))</f>
        <v/>
      </c>
      <c r="AB975" s="50" t="n"/>
      <c r="AC975" s="50" t="n"/>
    </row>
    <row r="976" ht="16" customHeight="1">
      <c r="A976" s="28">
        <f>IF($B976="","","N-"&amp;TEXT(ROW()-3,"0000"))</f>
        <v/>
      </c>
      <c r="B976" s="47" t="n"/>
      <c r="C976" s="48" t="n"/>
      <c r="D976" s="48" t="n"/>
      <c r="E976" s="28">
        <f>IF($C976="","",IF($D976="",IF($C976="Interna","Sin guía (interna)","FALTA GUÍA"),IF(COUNTIFS(ENVIOS!$A$4:$A$3003,$D976)=0,"NO EXISTE",IF(COUNTIFS(ENVIOS!$A$4:$A$3003,$D976)&gt;1,"DUPLICADA","OK"))))</f>
        <v/>
      </c>
      <c r="F976" s="28">
        <f>IF($D976="","",IFERROR(INDEX(ENVIOS!$B$4:$B$3003,MATCH($D976,ENVIOS!$A$4:$A$3003,0)),"—"))</f>
        <v/>
      </c>
      <c r="G976" s="23">
        <f>IF($D976="","",IFERROR(INDEX(ENVIOS!$D$4:$D$3003,MATCH($D976,ENVIOS!$A$4:$A$3003,0)),"—"))</f>
        <v/>
      </c>
      <c r="H976" s="23">
        <f>IF($D976="","",IFERROR(INDEX(ENVIOS!$E$4:$E$3003,MATCH($D976,ENVIOS!$A$4:$A$3003,0)),"—"))</f>
        <v/>
      </c>
      <c r="I976" s="23">
        <f>IF($D976="","",IFERROR(INDEX(ENVIOS!$F$4:$F$3003,MATCH($D976,ENVIOS!$A$4:$A$3003,0)),"—"))</f>
        <v/>
      </c>
      <c r="J976" s="23">
        <f>IF($D976="","",IFERROR(INDEX(ENVIOS!$G$4:$G$3003,MATCH($D976,ENVIOS!$A$4:$A$3003,0)),"—"))</f>
        <v/>
      </c>
      <c r="K976" s="28">
        <f>IF($D976="","",IFERROR(INDEX(ENVIOS!$H$4:$H$3003,MATCH($D976,ENVIOS!$A$4:$A$3003,0)),"—"))</f>
        <v/>
      </c>
      <c r="L976" s="49">
        <f>IF($D976="","",IFERROR(INDEX(ENVIOS!$C$4:$C$3003,MATCH($D976,ENVIOS!$A$4:$A$3003,0)),""))</f>
        <v/>
      </c>
      <c r="M976" s="50" t="n"/>
      <c r="N976" s="28">
        <f>IF($M976="","",IFERROR(INDEX(CONFIG!$C$4:$C$63,MATCH($M976,CONFIG!$A$4:$A$63,0)),"Media"))</f>
        <v/>
      </c>
      <c r="O976" s="28">
        <f>IF($M976="","",IF($C976="Interna","NO",IFERROR(INDEX(CONFIG!$E$4:$E$63,MATCH($M976,CONFIG!$A$4:$A$63,0)),"NO")))</f>
        <v/>
      </c>
      <c r="P976" s="50" t="n"/>
      <c r="Q976" s="50" t="n"/>
      <c r="R976" s="28">
        <f>IF($Q976="","",IFERROR(INDEX(CONFIG!$H$4:$H$63,MATCH($Q976,CONFIG!$G$4:$G$63,0)),"Por definir"))</f>
        <v/>
      </c>
      <c r="S976" s="28">
        <f>IF($Q976="","",IFERROR(INDEX(CONFIG!$I$4:$I$63,MATCH($Q976,CONFIG!$G$4:$G$63,0)),"Por definir"))</f>
        <v/>
      </c>
      <c r="T976" s="51" t="n"/>
      <c r="U976" s="52" t="n"/>
      <c r="V976" s="50" t="n"/>
      <c r="W976" s="50" t="n"/>
      <c r="X976" s="49">
        <f>IF(OR($B976="",$M976=""),"",WORKDAY($B976,IFERROR(INDEX(CONFIG!$D$4:$D$63,MATCH($M976,CONFIG!$A$4:$A$63,0)),3)))</f>
        <v/>
      </c>
      <c r="Y976" s="47" t="n"/>
      <c r="Z976" s="24">
        <f>IF($B976="","",IF($Y976&lt;&gt;"",$Y976-$B976,TODAY()-$B976))</f>
        <v/>
      </c>
      <c r="AA976" s="28">
        <f>IF($B976="","",IF(IFERROR(INDEX(CONFIG!$L$4:$L$63,MATCH($V976,CONFIG!$K$4:$K$63,0)),"NO")="SÍ",IF(OR($Y976="",$X976=""),"Resuelta",IF($Y976&gt;$X976,"Resuelta tarde","Resuelta a tiempo")),IF($X976="","Sin clasificar",IF(TODAY()&gt;$X976,"Vencida",IF(TODAY()&gt;=$X976-1,"Por vencer","En plazo")))))</f>
        <v/>
      </c>
      <c r="AB976" s="50" t="n"/>
      <c r="AC976" s="50" t="n"/>
    </row>
    <row r="977" ht="16" customHeight="1">
      <c r="A977" s="28">
        <f>IF($B977="","","N-"&amp;TEXT(ROW()-3,"0000"))</f>
        <v/>
      </c>
      <c r="B977" s="47" t="n"/>
      <c r="C977" s="48" t="n"/>
      <c r="D977" s="48" t="n"/>
      <c r="E977" s="28">
        <f>IF($C977="","",IF($D977="",IF($C977="Interna","Sin guía (interna)","FALTA GUÍA"),IF(COUNTIFS(ENVIOS!$A$4:$A$3003,$D977)=0,"NO EXISTE",IF(COUNTIFS(ENVIOS!$A$4:$A$3003,$D977)&gt;1,"DUPLICADA","OK"))))</f>
        <v/>
      </c>
      <c r="F977" s="28">
        <f>IF($D977="","",IFERROR(INDEX(ENVIOS!$B$4:$B$3003,MATCH($D977,ENVIOS!$A$4:$A$3003,0)),"—"))</f>
        <v/>
      </c>
      <c r="G977" s="23">
        <f>IF($D977="","",IFERROR(INDEX(ENVIOS!$D$4:$D$3003,MATCH($D977,ENVIOS!$A$4:$A$3003,0)),"—"))</f>
        <v/>
      </c>
      <c r="H977" s="23">
        <f>IF($D977="","",IFERROR(INDEX(ENVIOS!$E$4:$E$3003,MATCH($D977,ENVIOS!$A$4:$A$3003,0)),"—"))</f>
        <v/>
      </c>
      <c r="I977" s="23">
        <f>IF($D977="","",IFERROR(INDEX(ENVIOS!$F$4:$F$3003,MATCH($D977,ENVIOS!$A$4:$A$3003,0)),"—"))</f>
        <v/>
      </c>
      <c r="J977" s="23">
        <f>IF($D977="","",IFERROR(INDEX(ENVIOS!$G$4:$G$3003,MATCH($D977,ENVIOS!$A$4:$A$3003,0)),"—"))</f>
        <v/>
      </c>
      <c r="K977" s="28">
        <f>IF($D977="","",IFERROR(INDEX(ENVIOS!$H$4:$H$3003,MATCH($D977,ENVIOS!$A$4:$A$3003,0)),"—"))</f>
        <v/>
      </c>
      <c r="L977" s="49">
        <f>IF($D977="","",IFERROR(INDEX(ENVIOS!$C$4:$C$3003,MATCH($D977,ENVIOS!$A$4:$A$3003,0)),""))</f>
        <v/>
      </c>
      <c r="M977" s="50" t="n"/>
      <c r="N977" s="28">
        <f>IF($M977="","",IFERROR(INDEX(CONFIG!$C$4:$C$63,MATCH($M977,CONFIG!$A$4:$A$63,0)),"Media"))</f>
        <v/>
      </c>
      <c r="O977" s="28">
        <f>IF($M977="","",IF($C977="Interna","NO",IFERROR(INDEX(CONFIG!$E$4:$E$63,MATCH($M977,CONFIG!$A$4:$A$63,0)),"NO")))</f>
        <v/>
      </c>
      <c r="P977" s="50" t="n"/>
      <c r="Q977" s="50" t="n"/>
      <c r="R977" s="28">
        <f>IF($Q977="","",IFERROR(INDEX(CONFIG!$H$4:$H$63,MATCH($Q977,CONFIG!$G$4:$G$63,0)),"Por definir"))</f>
        <v/>
      </c>
      <c r="S977" s="28">
        <f>IF($Q977="","",IFERROR(INDEX(CONFIG!$I$4:$I$63,MATCH($Q977,CONFIG!$G$4:$G$63,0)),"Por definir"))</f>
        <v/>
      </c>
      <c r="T977" s="51" t="n"/>
      <c r="U977" s="52" t="n"/>
      <c r="V977" s="50" t="n"/>
      <c r="W977" s="50" t="n"/>
      <c r="X977" s="49">
        <f>IF(OR($B977="",$M977=""),"",WORKDAY($B977,IFERROR(INDEX(CONFIG!$D$4:$D$63,MATCH($M977,CONFIG!$A$4:$A$63,0)),3)))</f>
        <v/>
      </c>
      <c r="Y977" s="47" t="n"/>
      <c r="Z977" s="24">
        <f>IF($B977="","",IF($Y977&lt;&gt;"",$Y977-$B977,TODAY()-$B977))</f>
        <v/>
      </c>
      <c r="AA977" s="28">
        <f>IF($B977="","",IF(IFERROR(INDEX(CONFIG!$L$4:$L$63,MATCH($V977,CONFIG!$K$4:$K$63,0)),"NO")="SÍ",IF(OR($Y977="",$X977=""),"Resuelta",IF($Y977&gt;$X977,"Resuelta tarde","Resuelta a tiempo")),IF($X977="","Sin clasificar",IF(TODAY()&gt;$X977,"Vencida",IF(TODAY()&gt;=$X977-1,"Por vencer","En plazo")))))</f>
        <v/>
      </c>
      <c r="AB977" s="50" t="n"/>
      <c r="AC977" s="50" t="n"/>
    </row>
    <row r="978" ht="16" customHeight="1">
      <c r="A978" s="28">
        <f>IF($B978="","","N-"&amp;TEXT(ROW()-3,"0000"))</f>
        <v/>
      </c>
      <c r="B978" s="47" t="n"/>
      <c r="C978" s="48" t="n"/>
      <c r="D978" s="48" t="n"/>
      <c r="E978" s="28">
        <f>IF($C978="","",IF($D978="",IF($C978="Interna","Sin guía (interna)","FALTA GUÍA"),IF(COUNTIFS(ENVIOS!$A$4:$A$3003,$D978)=0,"NO EXISTE",IF(COUNTIFS(ENVIOS!$A$4:$A$3003,$D978)&gt;1,"DUPLICADA","OK"))))</f>
        <v/>
      </c>
      <c r="F978" s="28">
        <f>IF($D978="","",IFERROR(INDEX(ENVIOS!$B$4:$B$3003,MATCH($D978,ENVIOS!$A$4:$A$3003,0)),"—"))</f>
        <v/>
      </c>
      <c r="G978" s="23">
        <f>IF($D978="","",IFERROR(INDEX(ENVIOS!$D$4:$D$3003,MATCH($D978,ENVIOS!$A$4:$A$3003,0)),"—"))</f>
        <v/>
      </c>
      <c r="H978" s="23">
        <f>IF($D978="","",IFERROR(INDEX(ENVIOS!$E$4:$E$3003,MATCH($D978,ENVIOS!$A$4:$A$3003,0)),"—"))</f>
        <v/>
      </c>
      <c r="I978" s="23">
        <f>IF($D978="","",IFERROR(INDEX(ENVIOS!$F$4:$F$3003,MATCH($D978,ENVIOS!$A$4:$A$3003,0)),"—"))</f>
        <v/>
      </c>
      <c r="J978" s="23">
        <f>IF($D978="","",IFERROR(INDEX(ENVIOS!$G$4:$G$3003,MATCH($D978,ENVIOS!$A$4:$A$3003,0)),"—"))</f>
        <v/>
      </c>
      <c r="K978" s="28">
        <f>IF($D978="","",IFERROR(INDEX(ENVIOS!$H$4:$H$3003,MATCH($D978,ENVIOS!$A$4:$A$3003,0)),"—"))</f>
        <v/>
      </c>
      <c r="L978" s="49">
        <f>IF($D978="","",IFERROR(INDEX(ENVIOS!$C$4:$C$3003,MATCH($D978,ENVIOS!$A$4:$A$3003,0)),""))</f>
        <v/>
      </c>
      <c r="M978" s="50" t="n"/>
      <c r="N978" s="28">
        <f>IF($M978="","",IFERROR(INDEX(CONFIG!$C$4:$C$63,MATCH($M978,CONFIG!$A$4:$A$63,0)),"Media"))</f>
        <v/>
      </c>
      <c r="O978" s="28">
        <f>IF($M978="","",IF($C978="Interna","NO",IFERROR(INDEX(CONFIG!$E$4:$E$63,MATCH($M978,CONFIG!$A$4:$A$63,0)),"NO")))</f>
        <v/>
      </c>
      <c r="P978" s="50" t="n"/>
      <c r="Q978" s="50" t="n"/>
      <c r="R978" s="28">
        <f>IF($Q978="","",IFERROR(INDEX(CONFIG!$H$4:$H$63,MATCH($Q978,CONFIG!$G$4:$G$63,0)),"Por definir"))</f>
        <v/>
      </c>
      <c r="S978" s="28">
        <f>IF($Q978="","",IFERROR(INDEX(CONFIG!$I$4:$I$63,MATCH($Q978,CONFIG!$G$4:$G$63,0)),"Por definir"))</f>
        <v/>
      </c>
      <c r="T978" s="51" t="n"/>
      <c r="U978" s="52" t="n"/>
      <c r="V978" s="50" t="n"/>
      <c r="W978" s="50" t="n"/>
      <c r="X978" s="49">
        <f>IF(OR($B978="",$M978=""),"",WORKDAY($B978,IFERROR(INDEX(CONFIG!$D$4:$D$63,MATCH($M978,CONFIG!$A$4:$A$63,0)),3)))</f>
        <v/>
      </c>
      <c r="Y978" s="47" t="n"/>
      <c r="Z978" s="24">
        <f>IF($B978="","",IF($Y978&lt;&gt;"",$Y978-$B978,TODAY()-$B978))</f>
        <v/>
      </c>
      <c r="AA978" s="28">
        <f>IF($B978="","",IF(IFERROR(INDEX(CONFIG!$L$4:$L$63,MATCH($V978,CONFIG!$K$4:$K$63,0)),"NO")="SÍ",IF(OR($Y978="",$X978=""),"Resuelta",IF($Y978&gt;$X978,"Resuelta tarde","Resuelta a tiempo")),IF($X978="","Sin clasificar",IF(TODAY()&gt;$X978,"Vencida",IF(TODAY()&gt;=$X978-1,"Por vencer","En plazo")))))</f>
        <v/>
      </c>
      <c r="AB978" s="50" t="n"/>
      <c r="AC978" s="50" t="n"/>
    </row>
    <row r="979" ht="16" customHeight="1">
      <c r="A979" s="28">
        <f>IF($B979="","","N-"&amp;TEXT(ROW()-3,"0000"))</f>
        <v/>
      </c>
      <c r="B979" s="47" t="n"/>
      <c r="C979" s="48" t="n"/>
      <c r="D979" s="48" t="n"/>
      <c r="E979" s="28">
        <f>IF($C979="","",IF($D979="",IF($C979="Interna","Sin guía (interna)","FALTA GUÍA"),IF(COUNTIFS(ENVIOS!$A$4:$A$3003,$D979)=0,"NO EXISTE",IF(COUNTIFS(ENVIOS!$A$4:$A$3003,$D979)&gt;1,"DUPLICADA","OK"))))</f>
        <v/>
      </c>
      <c r="F979" s="28">
        <f>IF($D979="","",IFERROR(INDEX(ENVIOS!$B$4:$B$3003,MATCH($D979,ENVIOS!$A$4:$A$3003,0)),"—"))</f>
        <v/>
      </c>
      <c r="G979" s="23">
        <f>IF($D979="","",IFERROR(INDEX(ENVIOS!$D$4:$D$3003,MATCH($D979,ENVIOS!$A$4:$A$3003,0)),"—"))</f>
        <v/>
      </c>
      <c r="H979" s="23">
        <f>IF($D979="","",IFERROR(INDEX(ENVIOS!$E$4:$E$3003,MATCH($D979,ENVIOS!$A$4:$A$3003,0)),"—"))</f>
        <v/>
      </c>
      <c r="I979" s="23">
        <f>IF($D979="","",IFERROR(INDEX(ENVIOS!$F$4:$F$3003,MATCH($D979,ENVIOS!$A$4:$A$3003,0)),"—"))</f>
        <v/>
      </c>
      <c r="J979" s="23">
        <f>IF($D979="","",IFERROR(INDEX(ENVIOS!$G$4:$G$3003,MATCH($D979,ENVIOS!$A$4:$A$3003,0)),"—"))</f>
        <v/>
      </c>
      <c r="K979" s="28">
        <f>IF($D979="","",IFERROR(INDEX(ENVIOS!$H$4:$H$3003,MATCH($D979,ENVIOS!$A$4:$A$3003,0)),"—"))</f>
        <v/>
      </c>
      <c r="L979" s="49">
        <f>IF($D979="","",IFERROR(INDEX(ENVIOS!$C$4:$C$3003,MATCH($D979,ENVIOS!$A$4:$A$3003,0)),""))</f>
        <v/>
      </c>
      <c r="M979" s="50" t="n"/>
      <c r="N979" s="28">
        <f>IF($M979="","",IFERROR(INDEX(CONFIG!$C$4:$C$63,MATCH($M979,CONFIG!$A$4:$A$63,0)),"Media"))</f>
        <v/>
      </c>
      <c r="O979" s="28">
        <f>IF($M979="","",IF($C979="Interna","NO",IFERROR(INDEX(CONFIG!$E$4:$E$63,MATCH($M979,CONFIG!$A$4:$A$63,0)),"NO")))</f>
        <v/>
      </c>
      <c r="P979" s="50" t="n"/>
      <c r="Q979" s="50" t="n"/>
      <c r="R979" s="28">
        <f>IF($Q979="","",IFERROR(INDEX(CONFIG!$H$4:$H$63,MATCH($Q979,CONFIG!$G$4:$G$63,0)),"Por definir"))</f>
        <v/>
      </c>
      <c r="S979" s="28">
        <f>IF($Q979="","",IFERROR(INDEX(CONFIG!$I$4:$I$63,MATCH($Q979,CONFIG!$G$4:$G$63,0)),"Por definir"))</f>
        <v/>
      </c>
      <c r="T979" s="51" t="n"/>
      <c r="U979" s="52" t="n"/>
      <c r="V979" s="50" t="n"/>
      <c r="W979" s="50" t="n"/>
      <c r="X979" s="49">
        <f>IF(OR($B979="",$M979=""),"",WORKDAY($B979,IFERROR(INDEX(CONFIG!$D$4:$D$63,MATCH($M979,CONFIG!$A$4:$A$63,0)),3)))</f>
        <v/>
      </c>
      <c r="Y979" s="47" t="n"/>
      <c r="Z979" s="24">
        <f>IF($B979="","",IF($Y979&lt;&gt;"",$Y979-$B979,TODAY()-$B979))</f>
        <v/>
      </c>
      <c r="AA979" s="28">
        <f>IF($B979="","",IF(IFERROR(INDEX(CONFIG!$L$4:$L$63,MATCH($V979,CONFIG!$K$4:$K$63,0)),"NO")="SÍ",IF(OR($Y979="",$X979=""),"Resuelta",IF($Y979&gt;$X979,"Resuelta tarde","Resuelta a tiempo")),IF($X979="","Sin clasificar",IF(TODAY()&gt;$X979,"Vencida",IF(TODAY()&gt;=$X979-1,"Por vencer","En plazo")))))</f>
        <v/>
      </c>
      <c r="AB979" s="50" t="n"/>
      <c r="AC979" s="50" t="n"/>
    </row>
    <row r="980" ht="16" customHeight="1">
      <c r="A980" s="28">
        <f>IF($B980="","","N-"&amp;TEXT(ROW()-3,"0000"))</f>
        <v/>
      </c>
      <c r="B980" s="47" t="n"/>
      <c r="C980" s="48" t="n"/>
      <c r="D980" s="48" t="n"/>
      <c r="E980" s="28">
        <f>IF($C980="","",IF($D980="",IF($C980="Interna","Sin guía (interna)","FALTA GUÍA"),IF(COUNTIFS(ENVIOS!$A$4:$A$3003,$D980)=0,"NO EXISTE",IF(COUNTIFS(ENVIOS!$A$4:$A$3003,$D980)&gt;1,"DUPLICADA","OK"))))</f>
        <v/>
      </c>
      <c r="F980" s="28">
        <f>IF($D980="","",IFERROR(INDEX(ENVIOS!$B$4:$B$3003,MATCH($D980,ENVIOS!$A$4:$A$3003,0)),"—"))</f>
        <v/>
      </c>
      <c r="G980" s="23">
        <f>IF($D980="","",IFERROR(INDEX(ENVIOS!$D$4:$D$3003,MATCH($D980,ENVIOS!$A$4:$A$3003,0)),"—"))</f>
        <v/>
      </c>
      <c r="H980" s="23">
        <f>IF($D980="","",IFERROR(INDEX(ENVIOS!$E$4:$E$3003,MATCH($D980,ENVIOS!$A$4:$A$3003,0)),"—"))</f>
        <v/>
      </c>
      <c r="I980" s="23">
        <f>IF($D980="","",IFERROR(INDEX(ENVIOS!$F$4:$F$3003,MATCH($D980,ENVIOS!$A$4:$A$3003,0)),"—"))</f>
        <v/>
      </c>
      <c r="J980" s="23">
        <f>IF($D980="","",IFERROR(INDEX(ENVIOS!$G$4:$G$3003,MATCH($D980,ENVIOS!$A$4:$A$3003,0)),"—"))</f>
        <v/>
      </c>
      <c r="K980" s="28">
        <f>IF($D980="","",IFERROR(INDEX(ENVIOS!$H$4:$H$3003,MATCH($D980,ENVIOS!$A$4:$A$3003,0)),"—"))</f>
        <v/>
      </c>
      <c r="L980" s="49">
        <f>IF($D980="","",IFERROR(INDEX(ENVIOS!$C$4:$C$3003,MATCH($D980,ENVIOS!$A$4:$A$3003,0)),""))</f>
        <v/>
      </c>
      <c r="M980" s="50" t="n"/>
      <c r="N980" s="28">
        <f>IF($M980="","",IFERROR(INDEX(CONFIG!$C$4:$C$63,MATCH($M980,CONFIG!$A$4:$A$63,0)),"Media"))</f>
        <v/>
      </c>
      <c r="O980" s="28">
        <f>IF($M980="","",IF($C980="Interna","NO",IFERROR(INDEX(CONFIG!$E$4:$E$63,MATCH($M980,CONFIG!$A$4:$A$63,0)),"NO")))</f>
        <v/>
      </c>
      <c r="P980" s="50" t="n"/>
      <c r="Q980" s="50" t="n"/>
      <c r="R980" s="28">
        <f>IF($Q980="","",IFERROR(INDEX(CONFIG!$H$4:$H$63,MATCH($Q980,CONFIG!$G$4:$G$63,0)),"Por definir"))</f>
        <v/>
      </c>
      <c r="S980" s="28">
        <f>IF($Q980="","",IFERROR(INDEX(CONFIG!$I$4:$I$63,MATCH($Q980,CONFIG!$G$4:$G$63,0)),"Por definir"))</f>
        <v/>
      </c>
      <c r="T980" s="51" t="n"/>
      <c r="U980" s="52" t="n"/>
      <c r="V980" s="50" t="n"/>
      <c r="W980" s="50" t="n"/>
      <c r="X980" s="49">
        <f>IF(OR($B980="",$M980=""),"",WORKDAY($B980,IFERROR(INDEX(CONFIG!$D$4:$D$63,MATCH($M980,CONFIG!$A$4:$A$63,0)),3)))</f>
        <v/>
      </c>
      <c r="Y980" s="47" t="n"/>
      <c r="Z980" s="24">
        <f>IF($B980="","",IF($Y980&lt;&gt;"",$Y980-$B980,TODAY()-$B980))</f>
        <v/>
      </c>
      <c r="AA980" s="28">
        <f>IF($B980="","",IF(IFERROR(INDEX(CONFIG!$L$4:$L$63,MATCH($V980,CONFIG!$K$4:$K$63,0)),"NO")="SÍ",IF(OR($Y980="",$X980=""),"Resuelta",IF($Y980&gt;$X980,"Resuelta tarde","Resuelta a tiempo")),IF($X980="","Sin clasificar",IF(TODAY()&gt;$X980,"Vencida",IF(TODAY()&gt;=$X980-1,"Por vencer","En plazo")))))</f>
        <v/>
      </c>
      <c r="AB980" s="50" t="n"/>
      <c r="AC980" s="50" t="n"/>
    </row>
    <row r="981" ht="16" customHeight="1">
      <c r="A981" s="28">
        <f>IF($B981="","","N-"&amp;TEXT(ROW()-3,"0000"))</f>
        <v/>
      </c>
      <c r="B981" s="47" t="n"/>
      <c r="C981" s="48" t="n"/>
      <c r="D981" s="48" t="n"/>
      <c r="E981" s="28">
        <f>IF($C981="","",IF($D981="",IF($C981="Interna","Sin guía (interna)","FALTA GUÍA"),IF(COUNTIFS(ENVIOS!$A$4:$A$3003,$D981)=0,"NO EXISTE",IF(COUNTIFS(ENVIOS!$A$4:$A$3003,$D981)&gt;1,"DUPLICADA","OK"))))</f>
        <v/>
      </c>
      <c r="F981" s="28">
        <f>IF($D981="","",IFERROR(INDEX(ENVIOS!$B$4:$B$3003,MATCH($D981,ENVIOS!$A$4:$A$3003,0)),"—"))</f>
        <v/>
      </c>
      <c r="G981" s="23">
        <f>IF($D981="","",IFERROR(INDEX(ENVIOS!$D$4:$D$3003,MATCH($D981,ENVIOS!$A$4:$A$3003,0)),"—"))</f>
        <v/>
      </c>
      <c r="H981" s="23">
        <f>IF($D981="","",IFERROR(INDEX(ENVIOS!$E$4:$E$3003,MATCH($D981,ENVIOS!$A$4:$A$3003,0)),"—"))</f>
        <v/>
      </c>
      <c r="I981" s="23">
        <f>IF($D981="","",IFERROR(INDEX(ENVIOS!$F$4:$F$3003,MATCH($D981,ENVIOS!$A$4:$A$3003,0)),"—"))</f>
        <v/>
      </c>
      <c r="J981" s="23">
        <f>IF($D981="","",IFERROR(INDEX(ENVIOS!$G$4:$G$3003,MATCH($D981,ENVIOS!$A$4:$A$3003,0)),"—"))</f>
        <v/>
      </c>
      <c r="K981" s="28">
        <f>IF($D981="","",IFERROR(INDEX(ENVIOS!$H$4:$H$3003,MATCH($D981,ENVIOS!$A$4:$A$3003,0)),"—"))</f>
        <v/>
      </c>
      <c r="L981" s="49">
        <f>IF($D981="","",IFERROR(INDEX(ENVIOS!$C$4:$C$3003,MATCH($D981,ENVIOS!$A$4:$A$3003,0)),""))</f>
        <v/>
      </c>
      <c r="M981" s="50" t="n"/>
      <c r="N981" s="28">
        <f>IF($M981="","",IFERROR(INDEX(CONFIG!$C$4:$C$63,MATCH($M981,CONFIG!$A$4:$A$63,0)),"Media"))</f>
        <v/>
      </c>
      <c r="O981" s="28">
        <f>IF($M981="","",IF($C981="Interna","NO",IFERROR(INDEX(CONFIG!$E$4:$E$63,MATCH($M981,CONFIG!$A$4:$A$63,0)),"NO")))</f>
        <v/>
      </c>
      <c r="P981" s="50" t="n"/>
      <c r="Q981" s="50" t="n"/>
      <c r="R981" s="28">
        <f>IF($Q981="","",IFERROR(INDEX(CONFIG!$H$4:$H$63,MATCH($Q981,CONFIG!$G$4:$G$63,0)),"Por definir"))</f>
        <v/>
      </c>
      <c r="S981" s="28">
        <f>IF($Q981="","",IFERROR(INDEX(CONFIG!$I$4:$I$63,MATCH($Q981,CONFIG!$G$4:$G$63,0)),"Por definir"))</f>
        <v/>
      </c>
      <c r="T981" s="51" t="n"/>
      <c r="U981" s="52" t="n"/>
      <c r="V981" s="50" t="n"/>
      <c r="W981" s="50" t="n"/>
      <c r="X981" s="49">
        <f>IF(OR($B981="",$M981=""),"",WORKDAY($B981,IFERROR(INDEX(CONFIG!$D$4:$D$63,MATCH($M981,CONFIG!$A$4:$A$63,0)),3)))</f>
        <v/>
      </c>
      <c r="Y981" s="47" t="n"/>
      <c r="Z981" s="24">
        <f>IF($B981="","",IF($Y981&lt;&gt;"",$Y981-$B981,TODAY()-$B981))</f>
        <v/>
      </c>
      <c r="AA981" s="28">
        <f>IF($B981="","",IF(IFERROR(INDEX(CONFIG!$L$4:$L$63,MATCH($V981,CONFIG!$K$4:$K$63,0)),"NO")="SÍ",IF(OR($Y981="",$X981=""),"Resuelta",IF($Y981&gt;$X981,"Resuelta tarde","Resuelta a tiempo")),IF($X981="","Sin clasificar",IF(TODAY()&gt;$X981,"Vencida",IF(TODAY()&gt;=$X981-1,"Por vencer","En plazo")))))</f>
        <v/>
      </c>
      <c r="AB981" s="50" t="n"/>
      <c r="AC981" s="50" t="n"/>
    </row>
    <row r="982" ht="16" customHeight="1">
      <c r="A982" s="28">
        <f>IF($B982="","","N-"&amp;TEXT(ROW()-3,"0000"))</f>
        <v/>
      </c>
      <c r="B982" s="47" t="n"/>
      <c r="C982" s="48" t="n"/>
      <c r="D982" s="48" t="n"/>
      <c r="E982" s="28">
        <f>IF($C982="","",IF($D982="",IF($C982="Interna","Sin guía (interna)","FALTA GUÍA"),IF(COUNTIFS(ENVIOS!$A$4:$A$3003,$D982)=0,"NO EXISTE",IF(COUNTIFS(ENVIOS!$A$4:$A$3003,$D982)&gt;1,"DUPLICADA","OK"))))</f>
        <v/>
      </c>
      <c r="F982" s="28">
        <f>IF($D982="","",IFERROR(INDEX(ENVIOS!$B$4:$B$3003,MATCH($D982,ENVIOS!$A$4:$A$3003,0)),"—"))</f>
        <v/>
      </c>
      <c r="G982" s="23">
        <f>IF($D982="","",IFERROR(INDEX(ENVIOS!$D$4:$D$3003,MATCH($D982,ENVIOS!$A$4:$A$3003,0)),"—"))</f>
        <v/>
      </c>
      <c r="H982" s="23">
        <f>IF($D982="","",IFERROR(INDEX(ENVIOS!$E$4:$E$3003,MATCH($D982,ENVIOS!$A$4:$A$3003,0)),"—"))</f>
        <v/>
      </c>
      <c r="I982" s="23">
        <f>IF($D982="","",IFERROR(INDEX(ENVIOS!$F$4:$F$3003,MATCH($D982,ENVIOS!$A$4:$A$3003,0)),"—"))</f>
        <v/>
      </c>
      <c r="J982" s="23">
        <f>IF($D982="","",IFERROR(INDEX(ENVIOS!$G$4:$G$3003,MATCH($D982,ENVIOS!$A$4:$A$3003,0)),"—"))</f>
        <v/>
      </c>
      <c r="K982" s="28">
        <f>IF($D982="","",IFERROR(INDEX(ENVIOS!$H$4:$H$3003,MATCH($D982,ENVIOS!$A$4:$A$3003,0)),"—"))</f>
        <v/>
      </c>
      <c r="L982" s="49">
        <f>IF($D982="","",IFERROR(INDEX(ENVIOS!$C$4:$C$3003,MATCH($D982,ENVIOS!$A$4:$A$3003,0)),""))</f>
        <v/>
      </c>
      <c r="M982" s="50" t="n"/>
      <c r="N982" s="28">
        <f>IF($M982="","",IFERROR(INDEX(CONFIG!$C$4:$C$63,MATCH($M982,CONFIG!$A$4:$A$63,0)),"Media"))</f>
        <v/>
      </c>
      <c r="O982" s="28">
        <f>IF($M982="","",IF($C982="Interna","NO",IFERROR(INDEX(CONFIG!$E$4:$E$63,MATCH($M982,CONFIG!$A$4:$A$63,0)),"NO")))</f>
        <v/>
      </c>
      <c r="P982" s="50" t="n"/>
      <c r="Q982" s="50" t="n"/>
      <c r="R982" s="28">
        <f>IF($Q982="","",IFERROR(INDEX(CONFIG!$H$4:$H$63,MATCH($Q982,CONFIG!$G$4:$G$63,0)),"Por definir"))</f>
        <v/>
      </c>
      <c r="S982" s="28">
        <f>IF($Q982="","",IFERROR(INDEX(CONFIG!$I$4:$I$63,MATCH($Q982,CONFIG!$G$4:$G$63,0)),"Por definir"))</f>
        <v/>
      </c>
      <c r="T982" s="51" t="n"/>
      <c r="U982" s="52" t="n"/>
      <c r="V982" s="50" t="n"/>
      <c r="W982" s="50" t="n"/>
      <c r="X982" s="49">
        <f>IF(OR($B982="",$M982=""),"",WORKDAY($B982,IFERROR(INDEX(CONFIG!$D$4:$D$63,MATCH($M982,CONFIG!$A$4:$A$63,0)),3)))</f>
        <v/>
      </c>
      <c r="Y982" s="47" t="n"/>
      <c r="Z982" s="24">
        <f>IF($B982="","",IF($Y982&lt;&gt;"",$Y982-$B982,TODAY()-$B982))</f>
        <v/>
      </c>
      <c r="AA982" s="28">
        <f>IF($B982="","",IF(IFERROR(INDEX(CONFIG!$L$4:$L$63,MATCH($V982,CONFIG!$K$4:$K$63,0)),"NO")="SÍ",IF(OR($Y982="",$X982=""),"Resuelta",IF($Y982&gt;$X982,"Resuelta tarde","Resuelta a tiempo")),IF($X982="","Sin clasificar",IF(TODAY()&gt;$X982,"Vencida",IF(TODAY()&gt;=$X982-1,"Por vencer","En plazo")))))</f>
        <v/>
      </c>
      <c r="AB982" s="50" t="n"/>
      <c r="AC982" s="50" t="n"/>
    </row>
    <row r="983" ht="16" customHeight="1">
      <c r="A983" s="28">
        <f>IF($B983="","","N-"&amp;TEXT(ROW()-3,"0000"))</f>
        <v/>
      </c>
      <c r="B983" s="47" t="n"/>
      <c r="C983" s="48" t="n"/>
      <c r="D983" s="48" t="n"/>
      <c r="E983" s="28">
        <f>IF($C983="","",IF($D983="",IF($C983="Interna","Sin guía (interna)","FALTA GUÍA"),IF(COUNTIFS(ENVIOS!$A$4:$A$3003,$D983)=0,"NO EXISTE",IF(COUNTIFS(ENVIOS!$A$4:$A$3003,$D983)&gt;1,"DUPLICADA","OK"))))</f>
        <v/>
      </c>
      <c r="F983" s="28">
        <f>IF($D983="","",IFERROR(INDEX(ENVIOS!$B$4:$B$3003,MATCH($D983,ENVIOS!$A$4:$A$3003,0)),"—"))</f>
        <v/>
      </c>
      <c r="G983" s="23">
        <f>IF($D983="","",IFERROR(INDEX(ENVIOS!$D$4:$D$3003,MATCH($D983,ENVIOS!$A$4:$A$3003,0)),"—"))</f>
        <v/>
      </c>
      <c r="H983" s="23">
        <f>IF($D983="","",IFERROR(INDEX(ENVIOS!$E$4:$E$3003,MATCH($D983,ENVIOS!$A$4:$A$3003,0)),"—"))</f>
        <v/>
      </c>
      <c r="I983" s="23">
        <f>IF($D983="","",IFERROR(INDEX(ENVIOS!$F$4:$F$3003,MATCH($D983,ENVIOS!$A$4:$A$3003,0)),"—"))</f>
        <v/>
      </c>
      <c r="J983" s="23">
        <f>IF($D983="","",IFERROR(INDEX(ENVIOS!$G$4:$G$3003,MATCH($D983,ENVIOS!$A$4:$A$3003,0)),"—"))</f>
        <v/>
      </c>
      <c r="K983" s="28">
        <f>IF($D983="","",IFERROR(INDEX(ENVIOS!$H$4:$H$3003,MATCH($D983,ENVIOS!$A$4:$A$3003,0)),"—"))</f>
        <v/>
      </c>
      <c r="L983" s="49">
        <f>IF($D983="","",IFERROR(INDEX(ENVIOS!$C$4:$C$3003,MATCH($D983,ENVIOS!$A$4:$A$3003,0)),""))</f>
        <v/>
      </c>
      <c r="M983" s="50" t="n"/>
      <c r="N983" s="28">
        <f>IF($M983="","",IFERROR(INDEX(CONFIG!$C$4:$C$63,MATCH($M983,CONFIG!$A$4:$A$63,0)),"Media"))</f>
        <v/>
      </c>
      <c r="O983" s="28">
        <f>IF($M983="","",IF($C983="Interna","NO",IFERROR(INDEX(CONFIG!$E$4:$E$63,MATCH($M983,CONFIG!$A$4:$A$63,0)),"NO")))</f>
        <v/>
      </c>
      <c r="P983" s="50" t="n"/>
      <c r="Q983" s="50" t="n"/>
      <c r="R983" s="28">
        <f>IF($Q983="","",IFERROR(INDEX(CONFIG!$H$4:$H$63,MATCH($Q983,CONFIG!$G$4:$G$63,0)),"Por definir"))</f>
        <v/>
      </c>
      <c r="S983" s="28">
        <f>IF($Q983="","",IFERROR(INDEX(CONFIG!$I$4:$I$63,MATCH($Q983,CONFIG!$G$4:$G$63,0)),"Por definir"))</f>
        <v/>
      </c>
      <c r="T983" s="51" t="n"/>
      <c r="U983" s="52" t="n"/>
      <c r="V983" s="50" t="n"/>
      <c r="W983" s="50" t="n"/>
      <c r="X983" s="49">
        <f>IF(OR($B983="",$M983=""),"",WORKDAY($B983,IFERROR(INDEX(CONFIG!$D$4:$D$63,MATCH($M983,CONFIG!$A$4:$A$63,0)),3)))</f>
        <v/>
      </c>
      <c r="Y983" s="47" t="n"/>
      <c r="Z983" s="24">
        <f>IF($B983="","",IF($Y983&lt;&gt;"",$Y983-$B983,TODAY()-$B983))</f>
        <v/>
      </c>
      <c r="AA983" s="28">
        <f>IF($B983="","",IF(IFERROR(INDEX(CONFIG!$L$4:$L$63,MATCH($V983,CONFIG!$K$4:$K$63,0)),"NO")="SÍ",IF(OR($Y983="",$X983=""),"Resuelta",IF($Y983&gt;$X983,"Resuelta tarde","Resuelta a tiempo")),IF($X983="","Sin clasificar",IF(TODAY()&gt;$X983,"Vencida",IF(TODAY()&gt;=$X983-1,"Por vencer","En plazo")))))</f>
        <v/>
      </c>
      <c r="AB983" s="50" t="n"/>
      <c r="AC983" s="50" t="n"/>
    </row>
    <row r="984" ht="16" customHeight="1">
      <c r="A984" s="28">
        <f>IF($B984="","","N-"&amp;TEXT(ROW()-3,"0000"))</f>
        <v/>
      </c>
      <c r="B984" s="47" t="n"/>
      <c r="C984" s="48" t="n"/>
      <c r="D984" s="48" t="n"/>
      <c r="E984" s="28">
        <f>IF($C984="","",IF($D984="",IF($C984="Interna","Sin guía (interna)","FALTA GUÍA"),IF(COUNTIFS(ENVIOS!$A$4:$A$3003,$D984)=0,"NO EXISTE",IF(COUNTIFS(ENVIOS!$A$4:$A$3003,$D984)&gt;1,"DUPLICADA","OK"))))</f>
        <v/>
      </c>
      <c r="F984" s="28">
        <f>IF($D984="","",IFERROR(INDEX(ENVIOS!$B$4:$B$3003,MATCH($D984,ENVIOS!$A$4:$A$3003,0)),"—"))</f>
        <v/>
      </c>
      <c r="G984" s="23">
        <f>IF($D984="","",IFERROR(INDEX(ENVIOS!$D$4:$D$3003,MATCH($D984,ENVIOS!$A$4:$A$3003,0)),"—"))</f>
        <v/>
      </c>
      <c r="H984" s="23">
        <f>IF($D984="","",IFERROR(INDEX(ENVIOS!$E$4:$E$3003,MATCH($D984,ENVIOS!$A$4:$A$3003,0)),"—"))</f>
        <v/>
      </c>
      <c r="I984" s="23">
        <f>IF($D984="","",IFERROR(INDEX(ENVIOS!$F$4:$F$3003,MATCH($D984,ENVIOS!$A$4:$A$3003,0)),"—"))</f>
        <v/>
      </c>
      <c r="J984" s="23">
        <f>IF($D984="","",IFERROR(INDEX(ENVIOS!$G$4:$G$3003,MATCH($D984,ENVIOS!$A$4:$A$3003,0)),"—"))</f>
        <v/>
      </c>
      <c r="K984" s="28">
        <f>IF($D984="","",IFERROR(INDEX(ENVIOS!$H$4:$H$3003,MATCH($D984,ENVIOS!$A$4:$A$3003,0)),"—"))</f>
        <v/>
      </c>
      <c r="L984" s="49">
        <f>IF($D984="","",IFERROR(INDEX(ENVIOS!$C$4:$C$3003,MATCH($D984,ENVIOS!$A$4:$A$3003,0)),""))</f>
        <v/>
      </c>
      <c r="M984" s="50" t="n"/>
      <c r="N984" s="28">
        <f>IF($M984="","",IFERROR(INDEX(CONFIG!$C$4:$C$63,MATCH($M984,CONFIG!$A$4:$A$63,0)),"Media"))</f>
        <v/>
      </c>
      <c r="O984" s="28">
        <f>IF($M984="","",IF($C984="Interna","NO",IFERROR(INDEX(CONFIG!$E$4:$E$63,MATCH($M984,CONFIG!$A$4:$A$63,0)),"NO")))</f>
        <v/>
      </c>
      <c r="P984" s="50" t="n"/>
      <c r="Q984" s="50" t="n"/>
      <c r="R984" s="28">
        <f>IF($Q984="","",IFERROR(INDEX(CONFIG!$H$4:$H$63,MATCH($Q984,CONFIG!$G$4:$G$63,0)),"Por definir"))</f>
        <v/>
      </c>
      <c r="S984" s="28">
        <f>IF($Q984="","",IFERROR(INDEX(CONFIG!$I$4:$I$63,MATCH($Q984,CONFIG!$G$4:$G$63,0)),"Por definir"))</f>
        <v/>
      </c>
      <c r="T984" s="51" t="n"/>
      <c r="U984" s="52" t="n"/>
      <c r="V984" s="50" t="n"/>
      <c r="W984" s="50" t="n"/>
      <c r="X984" s="49">
        <f>IF(OR($B984="",$M984=""),"",WORKDAY($B984,IFERROR(INDEX(CONFIG!$D$4:$D$63,MATCH($M984,CONFIG!$A$4:$A$63,0)),3)))</f>
        <v/>
      </c>
      <c r="Y984" s="47" t="n"/>
      <c r="Z984" s="24">
        <f>IF($B984="","",IF($Y984&lt;&gt;"",$Y984-$B984,TODAY()-$B984))</f>
        <v/>
      </c>
      <c r="AA984" s="28">
        <f>IF($B984="","",IF(IFERROR(INDEX(CONFIG!$L$4:$L$63,MATCH($V984,CONFIG!$K$4:$K$63,0)),"NO")="SÍ",IF(OR($Y984="",$X984=""),"Resuelta",IF($Y984&gt;$X984,"Resuelta tarde","Resuelta a tiempo")),IF($X984="","Sin clasificar",IF(TODAY()&gt;$X984,"Vencida",IF(TODAY()&gt;=$X984-1,"Por vencer","En plazo")))))</f>
        <v/>
      </c>
      <c r="AB984" s="50" t="n"/>
      <c r="AC984" s="50" t="n"/>
    </row>
    <row r="985" ht="16" customHeight="1">
      <c r="A985" s="28">
        <f>IF($B985="","","N-"&amp;TEXT(ROW()-3,"0000"))</f>
        <v/>
      </c>
      <c r="B985" s="47" t="n"/>
      <c r="C985" s="48" t="n"/>
      <c r="D985" s="48" t="n"/>
      <c r="E985" s="28">
        <f>IF($C985="","",IF($D985="",IF($C985="Interna","Sin guía (interna)","FALTA GUÍA"),IF(COUNTIFS(ENVIOS!$A$4:$A$3003,$D985)=0,"NO EXISTE",IF(COUNTIFS(ENVIOS!$A$4:$A$3003,$D985)&gt;1,"DUPLICADA","OK"))))</f>
        <v/>
      </c>
      <c r="F985" s="28">
        <f>IF($D985="","",IFERROR(INDEX(ENVIOS!$B$4:$B$3003,MATCH($D985,ENVIOS!$A$4:$A$3003,0)),"—"))</f>
        <v/>
      </c>
      <c r="G985" s="23">
        <f>IF($D985="","",IFERROR(INDEX(ENVIOS!$D$4:$D$3003,MATCH($D985,ENVIOS!$A$4:$A$3003,0)),"—"))</f>
        <v/>
      </c>
      <c r="H985" s="23">
        <f>IF($D985="","",IFERROR(INDEX(ENVIOS!$E$4:$E$3003,MATCH($D985,ENVIOS!$A$4:$A$3003,0)),"—"))</f>
        <v/>
      </c>
      <c r="I985" s="23">
        <f>IF($D985="","",IFERROR(INDEX(ENVIOS!$F$4:$F$3003,MATCH($D985,ENVIOS!$A$4:$A$3003,0)),"—"))</f>
        <v/>
      </c>
      <c r="J985" s="23">
        <f>IF($D985="","",IFERROR(INDEX(ENVIOS!$G$4:$G$3003,MATCH($D985,ENVIOS!$A$4:$A$3003,0)),"—"))</f>
        <v/>
      </c>
      <c r="K985" s="28">
        <f>IF($D985="","",IFERROR(INDEX(ENVIOS!$H$4:$H$3003,MATCH($D985,ENVIOS!$A$4:$A$3003,0)),"—"))</f>
        <v/>
      </c>
      <c r="L985" s="49">
        <f>IF($D985="","",IFERROR(INDEX(ENVIOS!$C$4:$C$3003,MATCH($D985,ENVIOS!$A$4:$A$3003,0)),""))</f>
        <v/>
      </c>
      <c r="M985" s="50" t="n"/>
      <c r="N985" s="28">
        <f>IF($M985="","",IFERROR(INDEX(CONFIG!$C$4:$C$63,MATCH($M985,CONFIG!$A$4:$A$63,0)),"Media"))</f>
        <v/>
      </c>
      <c r="O985" s="28">
        <f>IF($M985="","",IF($C985="Interna","NO",IFERROR(INDEX(CONFIG!$E$4:$E$63,MATCH($M985,CONFIG!$A$4:$A$63,0)),"NO")))</f>
        <v/>
      </c>
      <c r="P985" s="50" t="n"/>
      <c r="Q985" s="50" t="n"/>
      <c r="R985" s="28">
        <f>IF($Q985="","",IFERROR(INDEX(CONFIG!$H$4:$H$63,MATCH($Q985,CONFIG!$G$4:$G$63,0)),"Por definir"))</f>
        <v/>
      </c>
      <c r="S985" s="28">
        <f>IF($Q985="","",IFERROR(INDEX(CONFIG!$I$4:$I$63,MATCH($Q985,CONFIG!$G$4:$G$63,0)),"Por definir"))</f>
        <v/>
      </c>
      <c r="T985" s="51" t="n"/>
      <c r="U985" s="52" t="n"/>
      <c r="V985" s="50" t="n"/>
      <c r="W985" s="50" t="n"/>
      <c r="X985" s="49">
        <f>IF(OR($B985="",$M985=""),"",WORKDAY($B985,IFERROR(INDEX(CONFIG!$D$4:$D$63,MATCH($M985,CONFIG!$A$4:$A$63,0)),3)))</f>
        <v/>
      </c>
      <c r="Y985" s="47" t="n"/>
      <c r="Z985" s="24">
        <f>IF($B985="","",IF($Y985&lt;&gt;"",$Y985-$B985,TODAY()-$B985))</f>
        <v/>
      </c>
      <c r="AA985" s="28">
        <f>IF($B985="","",IF(IFERROR(INDEX(CONFIG!$L$4:$L$63,MATCH($V985,CONFIG!$K$4:$K$63,0)),"NO")="SÍ",IF(OR($Y985="",$X985=""),"Resuelta",IF($Y985&gt;$X985,"Resuelta tarde","Resuelta a tiempo")),IF($X985="","Sin clasificar",IF(TODAY()&gt;$X985,"Vencida",IF(TODAY()&gt;=$X985-1,"Por vencer","En plazo")))))</f>
        <v/>
      </c>
      <c r="AB985" s="50" t="n"/>
      <c r="AC985" s="50" t="n"/>
    </row>
    <row r="986" ht="16" customHeight="1">
      <c r="A986" s="28">
        <f>IF($B986="","","N-"&amp;TEXT(ROW()-3,"0000"))</f>
        <v/>
      </c>
      <c r="B986" s="47" t="n"/>
      <c r="C986" s="48" t="n"/>
      <c r="D986" s="48" t="n"/>
      <c r="E986" s="28">
        <f>IF($C986="","",IF($D986="",IF($C986="Interna","Sin guía (interna)","FALTA GUÍA"),IF(COUNTIFS(ENVIOS!$A$4:$A$3003,$D986)=0,"NO EXISTE",IF(COUNTIFS(ENVIOS!$A$4:$A$3003,$D986)&gt;1,"DUPLICADA","OK"))))</f>
        <v/>
      </c>
      <c r="F986" s="28">
        <f>IF($D986="","",IFERROR(INDEX(ENVIOS!$B$4:$B$3003,MATCH($D986,ENVIOS!$A$4:$A$3003,0)),"—"))</f>
        <v/>
      </c>
      <c r="G986" s="23">
        <f>IF($D986="","",IFERROR(INDEX(ENVIOS!$D$4:$D$3003,MATCH($D986,ENVIOS!$A$4:$A$3003,0)),"—"))</f>
        <v/>
      </c>
      <c r="H986" s="23">
        <f>IF($D986="","",IFERROR(INDEX(ENVIOS!$E$4:$E$3003,MATCH($D986,ENVIOS!$A$4:$A$3003,0)),"—"))</f>
        <v/>
      </c>
      <c r="I986" s="23">
        <f>IF($D986="","",IFERROR(INDEX(ENVIOS!$F$4:$F$3003,MATCH($D986,ENVIOS!$A$4:$A$3003,0)),"—"))</f>
        <v/>
      </c>
      <c r="J986" s="23">
        <f>IF($D986="","",IFERROR(INDEX(ENVIOS!$G$4:$G$3003,MATCH($D986,ENVIOS!$A$4:$A$3003,0)),"—"))</f>
        <v/>
      </c>
      <c r="K986" s="28">
        <f>IF($D986="","",IFERROR(INDEX(ENVIOS!$H$4:$H$3003,MATCH($D986,ENVIOS!$A$4:$A$3003,0)),"—"))</f>
        <v/>
      </c>
      <c r="L986" s="49">
        <f>IF($D986="","",IFERROR(INDEX(ENVIOS!$C$4:$C$3003,MATCH($D986,ENVIOS!$A$4:$A$3003,0)),""))</f>
        <v/>
      </c>
      <c r="M986" s="50" t="n"/>
      <c r="N986" s="28">
        <f>IF($M986="","",IFERROR(INDEX(CONFIG!$C$4:$C$63,MATCH($M986,CONFIG!$A$4:$A$63,0)),"Media"))</f>
        <v/>
      </c>
      <c r="O986" s="28">
        <f>IF($M986="","",IF($C986="Interna","NO",IFERROR(INDEX(CONFIG!$E$4:$E$63,MATCH($M986,CONFIG!$A$4:$A$63,0)),"NO")))</f>
        <v/>
      </c>
      <c r="P986" s="50" t="n"/>
      <c r="Q986" s="50" t="n"/>
      <c r="R986" s="28">
        <f>IF($Q986="","",IFERROR(INDEX(CONFIG!$H$4:$H$63,MATCH($Q986,CONFIG!$G$4:$G$63,0)),"Por definir"))</f>
        <v/>
      </c>
      <c r="S986" s="28">
        <f>IF($Q986="","",IFERROR(INDEX(CONFIG!$I$4:$I$63,MATCH($Q986,CONFIG!$G$4:$G$63,0)),"Por definir"))</f>
        <v/>
      </c>
      <c r="T986" s="51" t="n"/>
      <c r="U986" s="52" t="n"/>
      <c r="V986" s="50" t="n"/>
      <c r="W986" s="50" t="n"/>
      <c r="X986" s="49">
        <f>IF(OR($B986="",$M986=""),"",WORKDAY($B986,IFERROR(INDEX(CONFIG!$D$4:$D$63,MATCH($M986,CONFIG!$A$4:$A$63,0)),3)))</f>
        <v/>
      </c>
      <c r="Y986" s="47" t="n"/>
      <c r="Z986" s="24">
        <f>IF($B986="","",IF($Y986&lt;&gt;"",$Y986-$B986,TODAY()-$B986))</f>
        <v/>
      </c>
      <c r="AA986" s="28">
        <f>IF($B986="","",IF(IFERROR(INDEX(CONFIG!$L$4:$L$63,MATCH($V986,CONFIG!$K$4:$K$63,0)),"NO")="SÍ",IF(OR($Y986="",$X986=""),"Resuelta",IF($Y986&gt;$X986,"Resuelta tarde","Resuelta a tiempo")),IF($X986="","Sin clasificar",IF(TODAY()&gt;$X986,"Vencida",IF(TODAY()&gt;=$X986-1,"Por vencer","En plazo")))))</f>
        <v/>
      </c>
      <c r="AB986" s="50" t="n"/>
      <c r="AC986" s="50" t="n"/>
    </row>
    <row r="987" ht="16" customHeight="1">
      <c r="A987" s="28">
        <f>IF($B987="","","N-"&amp;TEXT(ROW()-3,"0000"))</f>
        <v/>
      </c>
      <c r="B987" s="47" t="n"/>
      <c r="C987" s="48" t="n"/>
      <c r="D987" s="48" t="n"/>
      <c r="E987" s="28">
        <f>IF($C987="","",IF($D987="",IF($C987="Interna","Sin guía (interna)","FALTA GUÍA"),IF(COUNTIFS(ENVIOS!$A$4:$A$3003,$D987)=0,"NO EXISTE",IF(COUNTIFS(ENVIOS!$A$4:$A$3003,$D987)&gt;1,"DUPLICADA","OK"))))</f>
        <v/>
      </c>
      <c r="F987" s="28">
        <f>IF($D987="","",IFERROR(INDEX(ENVIOS!$B$4:$B$3003,MATCH($D987,ENVIOS!$A$4:$A$3003,0)),"—"))</f>
        <v/>
      </c>
      <c r="G987" s="23">
        <f>IF($D987="","",IFERROR(INDEX(ENVIOS!$D$4:$D$3003,MATCH($D987,ENVIOS!$A$4:$A$3003,0)),"—"))</f>
        <v/>
      </c>
      <c r="H987" s="23">
        <f>IF($D987="","",IFERROR(INDEX(ENVIOS!$E$4:$E$3003,MATCH($D987,ENVIOS!$A$4:$A$3003,0)),"—"))</f>
        <v/>
      </c>
      <c r="I987" s="23">
        <f>IF($D987="","",IFERROR(INDEX(ENVIOS!$F$4:$F$3003,MATCH($D987,ENVIOS!$A$4:$A$3003,0)),"—"))</f>
        <v/>
      </c>
      <c r="J987" s="23">
        <f>IF($D987="","",IFERROR(INDEX(ENVIOS!$G$4:$G$3003,MATCH($D987,ENVIOS!$A$4:$A$3003,0)),"—"))</f>
        <v/>
      </c>
      <c r="K987" s="28">
        <f>IF($D987="","",IFERROR(INDEX(ENVIOS!$H$4:$H$3003,MATCH($D987,ENVIOS!$A$4:$A$3003,0)),"—"))</f>
        <v/>
      </c>
      <c r="L987" s="49">
        <f>IF($D987="","",IFERROR(INDEX(ENVIOS!$C$4:$C$3003,MATCH($D987,ENVIOS!$A$4:$A$3003,0)),""))</f>
        <v/>
      </c>
      <c r="M987" s="50" t="n"/>
      <c r="N987" s="28">
        <f>IF($M987="","",IFERROR(INDEX(CONFIG!$C$4:$C$63,MATCH($M987,CONFIG!$A$4:$A$63,0)),"Media"))</f>
        <v/>
      </c>
      <c r="O987" s="28">
        <f>IF($M987="","",IF($C987="Interna","NO",IFERROR(INDEX(CONFIG!$E$4:$E$63,MATCH($M987,CONFIG!$A$4:$A$63,0)),"NO")))</f>
        <v/>
      </c>
      <c r="P987" s="50" t="n"/>
      <c r="Q987" s="50" t="n"/>
      <c r="R987" s="28">
        <f>IF($Q987="","",IFERROR(INDEX(CONFIG!$H$4:$H$63,MATCH($Q987,CONFIG!$G$4:$G$63,0)),"Por definir"))</f>
        <v/>
      </c>
      <c r="S987" s="28">
        <f>IF($Q987="","",IFERROR(INDEX(CONFIG!$I$4:$I$63,MATCH($Q987,CONFIG!$G$4:$G$63,0)),"Por definir"))</f>
        <v/>
      </c>
      <c r="T987" s="51" t="n"/>
      <c r="U987" s="52" t="n"/>
      <c r="V987" s="50" t="n"/>
      <c r="W987" s="50" t="n"/>
      <c r="X987" s="49">
        <f>IF(OR($B987="",$M987=""),"",WORKDAY($B987,IFERROR(INDEX(CONFIG!$D$4:$D$63,MATCH($M987,CONFIG!$A$4:$A$63,0)),3)))</f>
        <v/>
      </c>
      <c r="Y987" s="47" t="n"/>
      <c r="Z987" s="24">
        <f>IF($B987="","",IF($Y987&lt;&gt;"",$Y987-$B987,TODAY()-$B987))</f>
        <v/>
      </c>
      <c r="AA987" s="28">
        <f>IF($B987="","",IF(IFERROR(INDEX(CONFIG!$L$4:$L$63,MATCH($V987,CONFIG!$K$4:$K$63,0)),"NO")="SÍ",IF(OR($Y987="",$X987=""),"Resuelta",IF($Y987&gt;$X987,"Resuelta tarde","Resuelta a tiempo")),IF($X987="","Sin clasificar",IF(TODAY()&gt;$X987,"Vencida",IF(TODAY()&gt;=$X987-1,"Por vencer","En plazo")))))</f>
        <v/>
      </c>
      <c r="AB987" s="50" t="n"/>
      <c r="AC987" s="50" t="n"/>
    </row>
    <row r="988" ht="16" customHeight="1">
      <c r="A988" s="28">
        <f>IF($B988="","","N-"&amp;TEXT(ROW()-3,"0000"))</f>
        <v/>
      </c>
      <c r="B988" s="47" t="n"/>
      <c r="C988" s="48" t="n"/>
      <c r="D988" s="48" t="n"/>
      <c r="E988" s="28">
        <f>IF($C988="","",IF($D988="",IF($C988="Interna","Sin guía (interna)","FALTA GUÍA"),IF(COUNTIFS(ENVIOS!$A$4:$A$3003,$D988)=0,"NO EXISTE",IF(COUNTIFS(ENVIOS!$A$4:$A$3003,$D988)&gt;1,"DUPLICADA","OK"))))</f>
        <v/>
      </c>
      <c r="F988" s="28">
        <f>IF($D988="","",IFERROR(INDEX(ENVIOS!$B$4:$B$3003,MATCH($D988,ENVIOS!$A$4:$A$3003,0)),"—"))</f>
        <v/>
      </c>
      <c r="G988" s="23">
        <f>IF($D988="","",IFERROR(INDEX(ENVIOS!$D$4:$D$3003,MATCH($D988,ENVIOS!$A$4:$A$3003,0)),"—"))</f>
        <v/>
      </c>
      <c r="H988" s="23">
        <f>IF($D988="","",IFERROR(INDEX(ENVIOS!$E$4:$E$3003,MATCH($D988,ENVIOS!$A$4:$A$3003,0)),"—"))</f>
        <v/>
      </c>
      <c r="I988" s="23">
        <f>IF($D988="","",IFERROR(INDEX(ENVIOS!$F$4:$F$3003,MATCH($D988,ENVIOS!$A$4:$A$3003,0)),"—"))</f>
        <v/>
      </c>
      <c r="J988" s="23">
        <f>IF($D988="","",IFERROR(INDEX(ENVIOS!$G$4:$G$3003,MATCH($D988,ENVIOS!$A$4:$A$3003,0)),"—"))</f>
        <v/>
      </c>
      <c r="K988" s="28">
        <f>IF($D988="","",IFERROR(INDEX(ENVIOS!$H$4:$H$3003,MATCH($D988,ENVIOS!$A$4:$A$3003,0)),"—"))</f>
        <v/>
      </c>
      <c r="L988" s="49">
        <f>IF($D988="","",IFERROR(INDEX(ENVIOS!$C$4:$C$3003,MATCH($D988,ENVIOS!$A$4:$A$3003,0)),""))</f>
        <v/>
      </c>
      <c r="M988" s="50" t="n"/>
      <c r="N988" s="28">
        <f>IF($M988="","",IFERROR(INDEX(CONFIG!$C$4:$C$63,MATCH($M988,CONFIG!$A$4:$A$63,0)),"Media"))</f>
        <v/>
      </c>
      <c r="O988" s="28">
        <f>IF($M988="","",IF($C988="Interna","NO",IFERROR(INDEX(CONFIG!$E$4:$E$63,MATCH($M988,CONFIG!$A$4:$A$63,0)),"NO")))</f>
        <v/>
      </c>
      <c r="P988" s="50" t="n"/>
      <c r="Q988" s="50" t="n"/>
      <c r="R988" s="28">
        <f>IF($Q988="","",IFERROR(INDEX(CONFIG!$H$4:$H$63,MATCH($Q988,CONFIG!$G$4:$G$63,0)),"Por definir"))</f>
        <v/>
      </c>
      <c r="S988" s="28">
        <f>IF($Q988="","",IFERROR(INDEX(CONFIG!$I$4:$I$63,MATCH($Q988,CONFIG!$G$4:$G$63,0)),"Por definir"))</f>
        <v/>
      </c>
      <c r="T988" s="51" t="n"/>
      <c r="U988" s="52" t="n"/>
      <c r="V988" s="50" t="n"/>
      <c r="W988" s="50" t="n"/>
      <c r="X988" s="49">
        <f>IF(OR($B988="",$M988=""),"",WORKDAY($B988,IFERROR(INDEX(CONFIG!$D$4:$D$63,MATCH($M988,CONFIG!$A$4:$A$63,0)),3)))</f>
        <v/>
      </c>
      <c r="Y988" s="47" t="n"/>
      <c r="Z988" s="24">
        <f>IF($B988="","",IF($Y988&lt;&gt;"",$Y988-$B988,TODAY()-$B988))</f>
        <v/>
      </c>
      <c r="AA988" s="28">
        <f>IF($B988="","",IF(IFERROR(INDEX(CONFIG!$L$4:$L$63,MATCH($V988,CONFIG!$K$4:$K$63,0)),"NO")="SÍ",IF(OR($Y988="",$X988=""),"Resuelta",IF($Y988&gt;$X988,"Resuelta tarde","Resuelta a tiempo")),IF($X988="","Sin clasificar",IF(TODAY()&gt;$X988,"Vencida",IF(TODAY()&gt;=$X988-1,"Por vencer","En plazo")))))</f>
        <v/>
      </c>
      <c r="AB988" s="50" t="n"/>
      <c r="AC988" s="50" t="n"/>
    </row>
    <row r="989" ht="16" customHeight="1">
      <c r="A989" s="28">
        <f>IF($B989="","","N-"&amp;TEXT(ROW()-3,"0000"))</f>
        <v/>
      </c>
      <c r="B989" s="47" t="n"/>
      <c r="C989" s="48" t="n"/>
      <c r="D989" s="48" t="n"/>
      <c r="E989" s="28">
        <f>IF($C989="","",IF($D989="",IF($C989="Interna","Sin guía (interna)","FALTA GUÍA"),IF(COUNTIFS(ENVIOS!$A$4:$A$3003,$D989)=0,"NO EXISTE",IF(COUNTIFS(ENVIOS!$A$4:$A$3003,$D989)&gt;1,"DUPLICADA","OK"))))</f>
        <v/>
      </c>
      <c r="F989" s="28">
        <f>IF($D989="","",IFERROR(INDEX(ENVIOS!$B$4:$B$3003,MATCH($D989,ENVIOS!$A$4:$A$3003,0)),"—"))</f>
        <v/>
      </c>
      <c r="G989" s="23">
        <f>IF($D989="","",IFERROR(INDEX(ENVIOS!$D$4:$D$3003,MATCH($D989,ENVIOS!$A$4:$A$3003,0)),"—"))</f>
        <v/>
      </c>
      <c r="H989" s="23">
        <f>IF($D989="","",IFERROR(INDEX(ENVIOS!$E$4:$E$3003,MATCH($D989,ENVIOS!$A$4:$A$3003,0)),"—"))</f>
        <v/>
      </c>
      <c r="I989" s="23">
        <f>IF($D989="","",IFERROR(INDEX(ENVIOS!$F$4:$F$3003,MATCH($D989,ENVIOS!$A$4:$A$3003,0)),"—"))</f>
        <v/>
      </c>
      <c r="J989" s="23">
        <f>IF($D989="","",IFERROR(INDEX(ENVIOS!$G$4:$G$3003,MATCH($D989,ENVIOS!$A$4:$A$3003,0)),"—"))</f>
        <v/>
      </c>
      <c r="K989" s="28">
        <f>IF($D989="","",IFERROR(INDEX(ENVIOS!$H$4:$H$3003,MATCH($D989,ENVIOS!$A$4:$A$3003,0)),"—"))</f>
        <v/>
      </c>
      <c r="L989" s="49">
        <f>IF($D989="","",IFERROR(INDEX(ENVIOS!$C$4:$C$3003,MATCH($D989,ENVIOS!$A$4:$A$3003,0)),""))</f>
        <v/>
      </c>
      <c r="M989" s="50" t="n"/>
      <c r="N989" s="28">
        <f>IF($M989="","",IFERROR(INDEX(CONFIG!$C$4:$C$63,MATCH($M989,CONFIG!$A$4:$A$63,0)),"Media"))</f>
        <v/>
      </c>
      <c r="O989" s="28">
        <f>IF($M989="","",IF($C989="Interna","NO",IFERROR(INDEX(CONFIG!$E$4:$E$63,MATCH($M989,CONFIG!$A$4:$A$63,0)),"NO")))</f>
        <v/>
      </c>
      <c r="P989" s="50" t="n"/>
      <c r="Q989" s="50" t="n"/>
      <c r="R989" s="28">
        <f>IF($Q989="","",IFERROR(INDEX(CONFIG!$H$4:$H$63,MATCH($Q989,CONFIG!$G$4:$G$63,0)),"Por definir"))</f>
        <v/>
      </c>
      <c r="S989" s="28">
        <f>IF($Q989="","",IFERROR(INDEX(CONFIG!$I$4:$I$63,MATCH($Q989,CONFIG!$G$4:$G$63,0)),"Por definir"))</f>
        <v/>
      </c>
      <c r="T989" s="51" t="n"/>
      <c r="U989" s="52" t="n"/>
      <c r="V989" s="50" t="n"/>
      <c r="W989" s="50" t="n"/>
      <c r="X989" s="49">
        <f>IF(OR($B989="",$M989=""),"",WORKDAY($B989,IFERROR(INDEX(CONFIG!$D$4:$D$63,MATCH($M989,CONFIG!$A$4:$A$63,0)),3)))</f>
        <v/>
      </c>
      <c r="Y989" s="47" t="n"/>
      <c r="Z989" s="24">
        <f>IF($B989="","",IF($Y989&lt;&gt;"",$Y989-$B989,TODAY()-$B989))</f>
        <v/>
      </c>
      <c r="AA989" s="28">
        <f>IF($B989="","",IF(IFERROR(INDEX(CONFIG!$L$4:$L$63,MATCH($V989,CONFIG!$K$4:$K$63,0)),"NO")="SÍ",IF(OR($Y989="",$X989=""),"Resuelta",IF($Y989&gt;$X989,"Resuelta tarde","Resuelta a tiempo")),IF($X989="","Sin clasificar",IF(TODAY()&gt;$X989,"Vencida",IF(TODAY()&gt;=$X989-1,"Por vencer","En plazo")))))</f>
        <v/>
      </c>
      <c r="AB989" s="50" t="n"/>
      <c r="AC989" s="50" t="n"/>
    </row>
    <row r="990" ht="16" customHeight="1">
      <c r="A990" s="28">
        <f>IF($B990="","","N-"&amp;TEXT(ROW()-3,"0000"))</f>
        <v/>
      </c>
      <c r="B990" s="47" t="n"/>
      <c r="C990" s="48" t="n"/>
      <c r="D990" s="48" t="n"/>
      <c r="E990" s="28">
        <f>IF($C990="","",IF($D990="",IF($C990="Interna","Sin guía (interna)","FALTA GUÍA"),IF(COUNTIFS(ENVIOS!$A$4:$A$3003,$D990)=0,"NO EXISTE",IF(COUNTIFS(ENVIOS!$A$4:$A$3003,$D990)&gt;1,"DUPLICADA","OK"))))</f>
        <v/>
      </c>
      <c r="F990" s="28">
        <f>IF($D990="","",IFERROR(INDEX(ENVIOS!$B$4:$B$3003,MATCH($D990,ENVIOS!$A$4:$A$3003,0)),"—"))</f>
        <v/>
      </c>
      <c r="G990" s="23">
        <f>IF($D990="","",IFERROR(INDEX(ENVIOS!$D$4:$D$3003,MATCH($D990,ENVIOS!$A$4:$A$3003,0)),"—"))</f>
        <v/>
      </c>
      <c r="H990" s="23">
        <f>IF($D990="","",IFERROR(INDEX(ENVIOS!$E$4:$E$3003,MATCH($D990,ENVIOS!$A$4:$A$3003,0)),"—"))</f>
        <v/>
      </c>
      <c r="I990" s="23">
        <f>IF($D990="","",IFERROR(INDEX(ENVIOS!$F$4:$F$3003,MATCH($D990,ENVIOS!$A$4:$A$3003,0)),"—"))</f>
        <v/>
      </c>
      <c r="J990" s="23">
        <f>IF($D990="","",IFERROR(INDEX(ENVIOS!$G$4:$G$3003,MATCH($D990,ENVIOS!$A$4:$A$3003,0)),"—"))</f>
        <v/>
      </c>
      <c r="K990" s="28">
        <f>IF($D990="","",IFERROR(INDEX(ENVIOS!$H$4:$H$3003,MATCH($D990,ENVIOS!$A$4:$A$3003,0)),"—"))</f>
        <v/>
      </c>
      <c r="L990" s="49">
        <f>IF($D990="","",IFERROR(INDEX(ENVIOS!$C$4:$C$3003,MATCH($D990,ENVIOS!$A$4:$A$3003,0)),""))</f>
        <v/>
      </c>
      <c r="M990" s="50" t="n"/>
      <c r="N990" s="28">
        <f>IF($M990="","",IFERROR(INDEX(CONFIG!$C$4:$C$63,MATCH($M990,CONFIG!$A$4:$A$63,0)),"Media"))</f>
        <v/>
      </c>
      <c r="O990" s="28">
        <f>IF($M990="","",IF($C990="Interna","NO",IFERROR(INDEX(CONFIG!$E$4:$E$63,MATCH($M990,CONFIG!$A$4:$A$63,0)),"NO")))</f>
        <v/>
      </c>
      <c r="P990" s="50" t="n"/>
      <c r="Q990" s="50" t="n"/>
      <c r="R990" s="28">
        <f>IF($Q990="","",IFERROR(INDEX(CONFIG!$H$4:$H$63,MATCH($Q990,CONFIG!$G$4:$G$63,0)),"Por definir"))</f>
        <v/>
      </c>
      <c r="S990" s="28">
        <f>IF($Q990="","",IFERROR(INDEX(CONFIG!$I$4:$I$63,MATCH($Q990,CONFIG!$G$4:$G$63,0)),"Por definir"))</f>
        <v/>
      </c>
      <c r="T990" s="51" t="n"/>
      <c r="U990" s="52" t="n"/>
      <c r="V990" s="50" t="n"/>
      <c r="W990" s="50" t="n"/>
      <c r="X990" s="49">
        <f>IF(OR($B990="",$M990=""),"",WORKDAY($B990,IFERROR(INDEX(CONFIG!$D$4:$D$63,MATCH($M990,CONFIG!$A$4:$A$63,0)),3)))</f>
        <v/>
      </c>
      <c r="Y990" s="47" t="n"/>
      <c r="Z990" s="24">
        <f>IF($B990="","",IF($Y990&lt;&gt;"",$Y990-$B990,TODAY()-$B990))</f>
        <v/>
      </c>
      <c r="AA990" s="28">
        <f>IF($B990="","",IF(IFERROR(INDEX(CONFIG!$L$4:$L$63,MATCH($V990,CONFIG!$K$4:$K$63,0)),"NO")="SÍ",IF(OR($Y990="",$X990=""),"Resuelta",IF($Y990&gt;$X990,"Resuelta tarde","Resuelta a tiempo")),IF($X990="","Sin clasificar",IF(TODAY()&gt;$X990,"Vencida",IF(TODAY()&gt;=$X990-1,"Por vencer","En plazo")))))</f>
        <v/>
      </c>
      <c r="AB990" s="50" t="n"/>
      <c r="AC990" s="50" t="n"/>
    </row>
    <row r="991" ht="16" customHeight="1">
      <c r="A991" s="28">
        <f>IF($B991="","","N-"&amp;TEXT(ROW()-3,"0000"))</f>
        <v/>
      </c>
      <c r="B991" s="47" t="n"/>
      <c r="C991" s="48" t="n"/>
      <c r="D991" s="48" t="n"/>
      <c r="E991" s="28">
        <f>IF($C991="","",IF($D991="",IF($C991="Interna","Sin guía (interna)","FALTA GUÍA"),IF(COUNTIFS(ENVIOS!$A$4:$A$3003,$D991)=0,"NO EXISTE",IF(COUNTIFS(ENVIOS!$A$4:$A$3003,$D991)&gt;1,"DUPLICADA","OK"))))</f>
        <v/>
      </c>
      <c r="F991" s="28">
        <f>IF($D991="","",IFERROR(INDEX(ENVIOS!$B$4:$B$3003,MATCH($D991,ENVIOS!$A$4:$A$3003,0)),"—"))</f>
        <v/>
      </c>
      <c r="G991" s="23">
        <f>IF($D991="","",IFERROR(INDEX(ENVIOS!$D$4:$D$3003,MATCH($D991,ENVIOS!$A$4:$A$3003,0)),"—"))</f>
        <v/>
      </c>
      <c r="H991" s="23">
        <f>IF($D991="","",IFERROR(INDEX(ENVIOS!$E$4:$E$3003,MATCH($D991,ENVIOS!$A$4:$A$3003,0)),"—"))</f>
        <v/>
      </c>
      <c r="I991" s="23">
        <f>IF($D991="","",IFERROR(INDEX(ENVIOS!$F$4:$F$3003,MATCH($D991,ENVIOS!$A$4:$A$3003,0)),"—"))</f>
        <v/>
      </c>
      <c r="J991" s="23">
        <f>IF($D991="","",IFERROR(INDEX(ENVIOS!$G$4:$G$3003,MATCH($D991,ENVIOS!$A$4:$A$3003,0)),"—"))</f>
        <v/>
      </c>
      <c r="K991" s="28">
        <f>IF($D991="","",IFERROR(INDEX(ENVIOS!$H$4:$H$3003,MATCH($D991,ENVIOS!$A$4:$A$3003,0)),"—"))</f>
        <v/>
      </c>
      <c r="L991" s="49">
        <f>IF($D991="","",IFERROR(INDEX(ENVIOS!$C$4:$C$3003,MATCH($D991,ENVIOS!$A$4:$A$3003,0)),""))</f>
        <v/>
      </c>
      <c r="M991" s="50" t="n"/>
      <c r="N991" s="28">
        <f>IF($M991="","",IFERROR(INDEX(CONFIG!$C$4:$C$63,MATCH($M991,CONFIG!$A$4:$A$63,0)),"Media"))</f>
        <v/>
      </c>
      <c r="O991" s="28">
        <f>IF($M991="","",IF($C991="Interna","NO",IFERROR(INDEX(CONFIG!$E$4:$E$63,MATCH($M991,CONFIG!$A$4:$A$63,0)),"NO")))</f>
        <v/>
      </c>
      <c r="P991" s="50" t="n"/>
      <c r="Q991" s="50" t="n"/>
      <c r="R991" s="28">
        <f>IF($Q991="","",IFERROR(INDEX(CONFIG!$H$4:$H$63,MATCH($Q991,CONFIG!$G$4:$G$63,0)),"Por definir"))</f>
        <v/>
      </c>
      <c r="S991" s="28">
        <f>IF($Q991="","",IFERROR(INDEX(CONFIG!$I$4:$I$63,MATCH($Q991,CONFIG!$G$4:$G$63,0)),"Por definir"))</f>
        <v/>
      </c>
      <c r="T991" s="51" t="n"/>
      <c r="U991" s="52" t="n"/>
      <c r="V991" s="50" t="n"/>
      <c r="W991" s="50" t="n"/>
      <c r="X991" s="49">
        <f>IF(OR($B991="",$M991=""),"",WORKDAY($B991,IFERROR(INDEX(CONFIG!$D$4:$D$63,MATCH($M991,CONFIG!$A$4:$A$63,0)),3)))</f>
        <v/>
      </c>
      <c r="Y991" s="47" t="n"/>
      <c r="Z991" s="24">
        <f>IF($B991="","",IF($Y991&lt;&gt;"",$Y991-$B991,TODAY()-$B991))</f>
        <v/>
      </c>
      <c r="AA991" s="28">
        <f>IF($B991="","",IF(IFERROR(INDEX(CONFIG!$L$4:$L$63,MATCH($V991,CONFIG!$K$4:$K$63,0)),"NO")="SÍ",IF(OR($Y991="",$X991=""),"Resuelta",IF($Y991&gt;$X991,"Resuelta tarde","Resuelta a tiempo")),IF($X991="","Sin clasificar",IF(TODAY()&gt;$X991,"Vencida",IF(TODAY()&gt;=$X991-1,"Por vencer","En plazo")))))</f>
        <v/>
      </c>
      <c r="AB991" s="50" t="n"/>
      <c r="AC991" s="50" t="n"/>
    </row>
    <row r="992" ht="16" customHeight="1">
      <c r="A992" s="28">
        <f>IF($B992="","","N-"&amp;TEXT(ROW()-3,"0000"))</f>
        <v/>
      </c>
      <c r="B992" s="47" t="n"/>
      <c r="C992" s="48" t="n"/>
      <c r="D992" s="48" t="n"/>
      <c r="E992" s="28">
        <f>IF($C992="","",IF($D992="",IF($C992="Interna","Sin guía (interna)","FALTA GUÍA"),IF(COUNTIFS(ENVIOS!$A$4:$A$3003,$D992)=0,"NO EXISTE",IF(COUNTIFS(ENVIOS!$A$4:$A$3003,$D992)&gt;1,"DUPLICADA","OK"))))</f>
        <v/>
      </c>
      <c r="F992" s="28">
        <f>IF($D992="","",IFERROR(INDEX(ENVIOS!$B$4:$B$3003,MATCH($D992,ENVIOS!$A$4:$A$3003,0)),"—"))</f>
        <v/>
      </c>
      <c r="G992" s="23">
        <f>IF($D992="","",IFERROR(INDEX(ENVIOS!$D$4:$D$3003,MATCH($D992,ENVIOS!$A$4:$A$3003,0)),"—"))</f>
        <v/>
      </c>
      <c r="H992" s="23">
        <f>IF($D992="","",IFERROR(INDEX(ENVIOS!$E$4:$E$3003,MATCH($D992,ENVIOS!$A$4:$A$3003,0)),"—"))</f>
        <v/>
      </c>
      <c r="I992" s="23">
        <f>IF($D992="","",IFERROR(INDEX(ENVIOS!$F$4:$F$3003,MATCH($D992,ENVIOS!$A$4:$A$3003,0)),"—"))</f>
        <v/>
      </c>
      <c r="J992" s="23">
        <f>IF($D992="","",IFERROR(INDEX(ENVIOS!$G$4:$G$3003,MATCH($D992,ENVIOS!$A$4:$A$3003,0)),"—"))</f>
        <v/>
      </c>
      <c r="K992" s="28">
        <f>IF($D992="","",IFERROR(INDEX(ENVIOS!$H$4:$H$3003,MATCH($D992,ENVIOS!$A$4:$A$3003,0)),"—"))</f>
        <v/>
      </c>
      <c r="L992" s="49">
        <f>IF($D992="","",IFERROR(INDEX(ENVIOS!$C$4:$C$3003,MATCH($D992,ENVIOS!$A$4:$A$3003,0)),""))</f>
        <v/>
      </c>
      <c r="M992" s="50" t="n"/>
      <c r="N992" s="28">
        <f>IF($M992="","",IFERROR(INDEX(CONFIG!$C$4:$C$63,MATCH($M992,CONFIG!$A$4:$A$63,0)),"Media"))</f>
        <v/>
      </c>
      <c r="O992" s="28">
        <f>IF($M992="","",IF($C992="Interna","NO",IFERROR(INDEX(CONFIG!$E$4:$E$63,MATCH($M992,CONFIG!$A$4:$A$63,0)),"NO")))</f>
        <v/>
      </c>
      <c r="P992" s="50" t="n"/>
      <c r="Q992" s="50" t="n"/>
      <c r="R992" s="28">
        <f>IF($Q992="","",IFERROR(INDEX(CONFIG!$H$4:$H$63,MATCH($Q992,CONFIG!$G$4:$G$63,0)),"Por definir"))</f>
        <v/>
      </c>
      <c r="S992" s="28">
        <f>IF($Q992="","",IFERROR(INDEX(CONFIG!$I$4:$I$63,MATCH($Q992,CONFIG!$G$4:$G$63,0)),"Por definir"))</f>
        <v/>
      </c>
      <c r="T992" s="51" t="n"/>
      <c r="U992" s="52" t="n"/>
      <c r="V992" s="50" t="n"/>
      <c r="W992" s="50" t="n"/>
      <c r="X992" s="49">
        <f>IF(OR($B992="",$M992=""),"",WORKDAY($B992,IFERROR(INDEX(CONFIG!$D$4:$D$63,MATCH($M992,CONFIG!$A$4:$A$63,0)),3)))</f>
        <v/>
      </c>
      <c r="Y992" s="47" t="n"/>
      <c r="Z992" s="24">
        <f>IF($B992="","",IF($Y992&lt;&gt;"",$Y992-$B992,TODAY()-$B992))</f>
        <v/>
      </c>
      <c r="AA992" s="28">
        <f>IF($B992="","",IF(IFERROR(INDEX(CONFIG!$L$4:$L$63,MATCH($V992,CONFIG!$K$4:$K$63,0)),"NO")="SÍ",IF(OR($Y992="",$X992=""),"Resuelta",IF($Y992&gt;$X992,"Resuelta tarde","Resuelta a tiempo")),IF($X992="","Sin clasificar",IF(TODAY()&gt;$X992,"Vencida",IF(TODAY()&gt;=$X992-1,"Por vencer","En plazo")))))</f>
        <v/>
      </c>
      <c r="AB992" s="50" t="n"/>
      <c r="AC992" s="50" t="n"/>
    </row>
    <row r="993" ht="16" customHeight="1">
      <c r="A993" s="28">
        <f>IF($B993="","","N-"&amp;TEXT(ROW()-3,"0000"))</f>
        <v/>
      </c>
      <c r="B993" s="47" t="n"/>
      <c r="C993" s="48" t="n"/>
      <c r="D993" s="48" t="n"/>
      <c r="E993" s="28">
        <f>IF($C993="","",IF($D993="",IF($C993="Interna","Sin guía (interna)","FALTA GUÍA"),IF(COUNTIFS(ENVIOS!$A$4:$A$3003,$D993)=0,"NO EXISTE",IF(COUNTIFS(ENVIOS!$A$4:$A$3003,$D993)&gt;1,"DUPLICADA","OK"))))</f>
        <v/>
      </c>
      <c r="F993" s="28">
        <f>IF($D993="","",IFERROR(INDEX(ENVIOS!$B$4:$B$3003,MATCH($D993,ENVIOS!$A$4:$A$3003,0)),"—"))</f>
        <v/>
      </c>
      <c r="G993" s="23">
        <f>IF($D993="","",IFERROR(INDEX(ENVIOS!$D$4:$D$3003,MATCH($D993,ENVIOS!$A$4:$A$3003,0)),"—"))</f>
        <v/>
      </c>
      <c r="H993" s="23">
        <f>IF($D993="","",IFERROR(INDEX(ENVIOS!$E$4:$E$3003,MATCH($D993,ENVIOS!$A$4:$A$3003,0)),"—"))</f>
        <v/>
      </c>
      <c r="I993" s="23">
        <f>IF($D993="","",IFERROR(INDEX(ENVIOS!$F$4:$F$3003,MATCH($D993,ENVIOS!$A$4:$A$3003,0)),"—"))</f>
        <v/>
      </c>
      <c r="J993" s="23">
        <f>IF($D993="","",IFERROR(INDEX(ENVIOS!$G$4:$G$3003,MATCH($D993,ENVIOS!$A$4:$A$3003,0)),"—"))</f>
        <v/>
      </c>
      <c r="K993" s="28">
        <f>IF($D993="","",IFERROR(INDEX(ENVIOS!$H$4:$H$3003,MATCH($D993,ENVIOS!$A$4:$A$3003,0)),"—"))</f>
        <v/>
      </c>
      <c r="L993" s="49">
        <f>IF($D993="","",IFERROR(INDEX(ENVIOS!$C$4:$C$3003,MATCH($D993,ENVIOS!$A$4:$A$3003,0)),""))</f>
        <v/>
      </c>
      <c r="M993" s="50" t="n"/>
      <c r="N993" s="28">
        <f>IF($M993="","",IFERROR(INDEX(CONFIG!$C$4:$C$63,MATCH($M993,CONFIG!$A$4:$A$63,0)),"Media"))</f>
        <v/>
      </c>
      <c r="O993" s="28">
        <f>IF($M993="","",IF($C993="Interna","NO",IFERROR(INDEX(CONFIG!$E$4:$E$63,MATCH($M993,CONFIG!$A$4:$A$63,0)),"NO")))</f>
        <v/>
      </c>
      <c r="P993" s="50" t="n"/>
      <c r="Q993" s="50" t="n"/>
      <c r="R993" s="28">
        <f>IF($Q993="","",IFERROR(INDEX(CONFIG!$H$4:$H$63,MATCH($Q993,CONFIG!$G$4:$G$63,0)),"Por definir"))</f>
        <v/>
      </c>
      <c r="S993" s="28">
        <f>IF($Q993="","",IFERROR(INDEX(CONFIG!$I$4:$I$63,MATCH($Q993,CONFIG!$G$4:$G$63,0)),"Por definir"))</f>
        <v/>
      </c>
      <c r="T993" s="51" t="n"/>
      <c r="U993" s="52" t="n"/>
      <c r="V993" s="50" t="n"/>
      <c r="W993" s="50" t="n"/>
      <c r="X993" s="49">
        <f>IF(OR($B993="",$M993=""),"",WORKDAY($B993,IFERROR(INDEX(CONFIG!$D$4:$D$63,MATCH($M993,CONFIG!$A$4:$A$63,0)),3)))</f>
        <v/>
      </c>
      <c r="Y993" s="47" t="n"/>
      <c r="Z993" s="24">
        <f>IF($B993="","",IF($Y993&lt;&gt;"",$Y993-$B993,TODAY()-$B993))</f>
        <v/>
      </c>
      <c r="AA993" s="28">
        <f>IF($B993="","",IF(IFERROR(INDEX(CONFIG!$L$4:$L$63,MATCH($V993,CONFIG!$K$4:$K$63,0)),"NO")="SÍ",IF(OR($Y993="",$X993=""),"Resuelta",IF($Y993&gt;$X993,"Resuelta tarde","Resuelta a tiempo")),IF($X993="","Sin clasificar",IF(TODAY()&gt;$X993,"Vencida",IF(TODAY()&gt;=$X993-1,"Por vencer","En plazo")))))</f>
        <v/>
      </c>
      <c r="AB993" s="50" t="n"/>
      <c r="AC993" s="50" t="n"/>
    </row>
    <row r="994" ht="16" customHeight="1">
      <c r="A994" s="28">
        <f>IF($B994="","","N-"&amp;TEXT(ROW()-3,"0000"))</f>
        <v/>
      </c>
      <c r="B994" s="47" t="n"/>
      <c r="C994" s="48" t="n"/>
      <c r="D994" s="48" t="n"/>
      <c r="E994" s="28">
        <f>IF($C994="","",IF($D994="",IF($C994="Interna","Sin guía (interna)","FALTA GUÍA"),IF(COUNTIFS(ENVIOS!$A$4:$A$3003,$D994)=0,"NO EXISTE",IF(COUNTIFS(ENVIOS!$A$4:$A$3003,$D994)&gt;1,"DUPLICADA","OK"))))</f>
        <v/>
      </c>
      <c r="F994" s="28">
        <f>IF($D994="","",IFERROR(INDEX(ENVIOS!$B$4:$B$3003,MATCH($D994,ENVIOS!$A$4:$A$3003,0)),"—"))</f>
        <v/>
      </c>
      <c r="G994" s="23">
        <f>IF($D994="","",IFERROR(INDEX(ENVIOS!$D$4:$D$3003,MATCH($D994,ENVIOS!$A$4:$A$3003,0)),"—"))</f>
        <v/>
      </c>
      <c r="H994" s="23">
        <f>IF($D994="","",IFERROR(INDEX(ENVIOS!$E$4:$E$3003,MATCH($D994,ENVIOS!$A$4:$A$3003,0)),"—"))</f>
        <v/>
      </c>
      <c r="I994" s="23">
        <f>IF($D994="","",IFERROR(INDEX(ENVIOS!$F$4:$F$3003,MATCH($D994,ENVIOS!$A$4:$A$3003,0)),"—"))</f>
        <v/>
      </c>
      <c r="J994" s="23">
        <f>IF($D994="","",IFERROR(INDEX(ENVIOS!$G$4:$G$3003,MATCH($D994,ENVIOS!$A$4:$A$3003,0)),"—"))</f>
        <v/>
      </c>
      <c r="K994" s="28">
        <f>IF($D994="","",IFERROR(INDEX(ENVIOS!$H$4:$H$3003,MATCH($D994,ENVIOS!$A$4:$A$3003,0)),"—"))</f>
        <v/>
      </c>
      <c r="L994" s="49">
        <f>IF($D994="","",IFERROR(INDEX(ENVIOS!$C$4:$C$3003,MATCH($D994,ENVIOS!$A$4:$A$3003,0)),""))</f>
        <v/>
      </c>
      <c r="M994" s="50" t="n"/>
      <c r="N994" s="28">
        <f>IF($M994="","",IFERROR(INDEX(CONFIG!$C$4:$C$63,MATCH($M994,CONFIG!$A$4:$A$63,0)),"Media"))</f>
        <v/>
      </c>
      <c r="O994" s="28">
        <f>IF($M994="","",IF($C994="Interna","NO",IFERROR(INDEX(CONFIG!$E$4:$E$63,MATCH($M994,CONFIG!$A$4:$A$63,0)),"NO")))</f>
        <v/>
      </c>
      <c r="P994" s="50" t="n"/>
      <c r="Q994" s="50" t="n"/>
      <c r="R994" s="28">
        <f>IF($Q994="","",IFERROR(INDEX(CONFIG!$H$4:$H$63,MATCH($Q994,CONFIG!$G$4:$G$63,0)),"Por definir"))</f>
        <v/>
      </c>
      <c r="S994" s="28">
        <f>IF($Q994="","",IFERROR(INDEX(CONFIG!$I$4:$I$63,MATCH($Q994,CONFIG!$G$4:$G$63,0)),"Por definir"))</f>
        <v/>
      </c>
      <c r="T994" s="51" t="n"/>
      <c r="U994" s="52" t="n"/>
      <c r="V994" s="50" t="n"/>
      <c r="W994" s="50" t="n"/>
      <c r="X994" s="49">
        <f>IF(OR($B994="",$M994=""),"",WORKDAY($B994,IFERROR(INDEX(CONFIG!$D$4:$D$63,MATCH($M994,CONFIG!$A$4:$A$63,0)),3)))</f>
        <v/>
      </c>
      <c r="Y994" s="47" t="n"/>
      <c r="Z994" s="24">
        <f>IF($B994="","",IF($Y994&lt;&gt;"",$Y994-$B994,TODAY()-$B994))</f>
        <v/>
      </c>
      <c r="AA994" s="28">
        <f>IF($B994="","",IF(IFERROR(INDEX(CONFIG!$L$4:$L$63,MATCH($V994,CONFIG!$K$4:$K$63,0)),"NO")="SÍ",IF(OR($Y994="",$X994=""),"Resuelta",IF($Y994&gt;$X994,"Resuelta tarde","Resuelta a tiempo")),IF($X994="","Sin clasificar",IF(TODAY()&gt;$X994,"Vencida",IF(TODAY()&gt;=$X994-1,"Por vencer","En plazo")))))</f>
        <v/>
      </c>
      <c r="AB994" s="50" t="n"/>
      <c r="AC994" s="50" t="n"/>
    </row>
    <row r="995" ht="16" customHeight="1">
      <c r="A995" s="28">
        <f>IF($B995="","","N-"&amp;TEXT(ROW()-3,"0000"))</f>
        <v/>
      </c>
      <c r="B995" s="47" t="n"/>
      <c r="C995" s="48" t="n"/>
      <c r="D995" s="48" t="n"/>
      <c r="E995" s="28">
        <f>IF($C995="","",IF($D995="",IF($C995="Interna","Sin guía (interna)","FALTA GUÍA"),IF(COUNTIFS(ENVIOS!$A$4:$A$3003,$D995)=0,"NO EXISTE",IF(COUNTIFS(ENVIOS!$A$4:$A$3003,$D995)&gt;1,"DUPLICADA","OK"))))</f>
        <v/>
      </c>
      <c r="F995" s="28">
        <f>IF($D995="","",IFERROR(INDEX(ENVIOS!$B$4:$B$3003,MATCH($D995,ENVIOS!$A$4:$A$3003,0)),"—"))</f>
        <v/>
      </c>
      <c r="G995" s="23">
        <f>IF($D995="","",IFERROR(INDEX(ENVIOS!$D$4:$D$3003,MATCH($D995,ENVIOS!$A$4:$A$3003,0)),"—"))</f>
        <v/>
      </c>
      <c r="H995" s="23">
        <f>IF($D995="","",IFERROR(INDEX(ENVIOS!$E$4:$E$3003,MATCH($D995,ENVIOS!$A$4:$A$3003,0)),"—"))</f>
        <v/>
      </c>
      <c r="I995" s="23">
        <f>IF($D995="","",IFERROR(INDEX(ENVIOS!$F$4:$F$3003,MATCH($D995,ENVIOS!$A$4:$A$3003,0)),"—"))</f>
        <v/>
      </c>
      <c r="J995" s="23">
        <f>IF($D995="","",IFERROR(INDEX(ENVIOS!$G$4:$G$3003,MATCH($D995,ENVIOS!$A$4:$A$3003,0)),"—"))</f>
        <v/>
      </c>
      <c r="K995" s="28">
        <f>IF($D995="","",IFERROR(INDEX(ENVIOS!$H$4:$H$3003,MATCH($D995,ENVIOS!$A$4:$A$3003,0)),"—"))</f>
        <v/>
      </c>
      <c r="L995" s="49">
        <f>IF($D995="","",IFERROR(INDEX(ENVIOS!$C$4:$C$3003,MATCH($D995,ENVIOS!$A$4:$A$3003,0)),""))</f>
        <v/>
      </c>
      <c r="M995" s="50" t="n"/>
      <c r="N995" s="28">
        <f>IF($M995="","",IFERROR(INDEX(CONFIG!$C$4:$C$63,MATCH($M995,CONFIG!$A$4:$A$63,0)),"Media"))</f>
        <v/>
      </c>
      <c r="O995" s="28">
        <f>IF($M995="","",IF($C995="Interna","NO",IFERROR(INDEX(CONFIG!$E$4:$E$63,MATCH($M995,CONFIG!$A$4:$A$63,0)),"NO")))</f>
        <v/>
      </c>
      <c r="P995" s="50" t="n"/>
      <c r="Q995" s="50" t="n"/>
      <c r="R995" s="28">
        <f>IF($Q995="","",IFERROR(INDEX(CONFIG!$H$4:$H$63,MATCH($Q995,CONFIG!$G$4:$G$63,0)),"Por definir"))</f>
        <v/>
      </c>
      <c r="S995" s="28">
        <f>IF($Q995="","",IFERROR(INDEX(CONFIG!$I$4:$I$63,MATCH($Q995,CONFIG!$G$4:$G$63,0)),"Por definir"))</f>
        <v/>
      </c>
      <c r="T995" s="51" t="n"/>
      <c r="U995" s="52" t="n"/>
      <c r="V995" s="50" t="n"/>
      <c r="W995" s="50" t="n"/>
      <c r="X995" s="49">
        <f>IF(OR($B995="",$M995=""),"",WORKDAY($B995,IFERROR(INDEX(CONFIG!$D$4:$D$63,MATCH($M995,CONFIG!$A$4:$A$63,0)),3)))</f>
        <v/>
      </c>
      <c r="Y995" s="47" t="n"/>
      <c r="Z995" s="24">
        <f>IF($B995="","",IF($Y995&lt;&gt;"",$Y995-$B995,TODAY()-$B995))</f>
        <v/>
      </c>
      <c r="AA995" s="28">
        <f>IF($B995="","",IF(IFERROR(INDEX(CONFIG!$L$4:$L$63,MATCH($V995,CONFIG!$K$4:$K$63,0)),"NO")="SÍ",IF(OR($Y995="",$X995=""),"Resuelta",IF($Y995&gt;$X995,"Resuelta tarde","Resuelta a tiempo")),IF($X995="","Sin clasificar",IF(TODAY()&gt;$X995,"Vencida",IF(TODAY()&gt;=$X995-1,"Por vencer","En plazo")))))</f>
        <v/>
      </c>
      <c r="AB995" s="50" t="n"/>
      <c r="AC995" s="50" t="n"/>
    </row>
    <row r="996" ht="16" customHeight="1">
      <c r="A996" s="28">
        <f>IF($B996="","","N-"&amp;TEXT(ROW()-3,"0000"))</f>
        <v/>
      </c>
      <c r="B996" s="47" t="n"/>
      <c r="C996" s="48" t="n"/>
      <c r="D996" s="48" t="n"/>
      <c r="E996" s="28">
        <f>IF($C996="","",IF($D996="",IF($C996="Interna","Sin guía (interna)","FALTA GUÍA"),IF(COUNTIFS(ENVIOS!$A$4:$A$3003,$D996)=0,"NO EXISTE",IF(COUNTIFS(ENVIOS!$A$4:$A$3003,$D996)&gt;1,"DUPLICADA","OK"))))</f>
        <v/>
      </c>
      <c r="F996" s="28">
        <f>IF($D996="","",IFERROR(INDEX(ENVIOS!$B$4:$B$3003,MATCH($D996,ENVIOS!$A$4:$A$3003,0)),"—"))</f>
        <v/>
      </c>
      <c r="G996" s="23">
        <f>IF($D996="","",IFERROR(INDEX(ENVIOS!$D$4:$D$3003,MATCH($D996,ENVIOS!$A$4:$A$3003,0)),"—"))</f>
        <v/>
      </c>
      <c r="H996" s="23">
        <f>IF($D996="","",IFERROR(INDEX(ENVIOS!$E$4:$E$3003,MATCH($D996,ENVIOS!$A$4:$A$3003,0)),"—"))</f>
        <v/>
      </c>
      <c r="I996" s="23">
        <f>IF($D996="","",IFERROR(INDEX(ENVIOS!$F$4:$F$3003,MATCH($D996,ENVIOS!$A$4:$A$3003,0)),"—"))</f>
        <v/>
      </c>
      <c r="J996" s="23">
        <f>IF($D996="","",IFERROR(INDEX(ENVIOS!$G$4:$G$3003,MATCH($D996,ENVIOS!$A$4:$A$3003,0)),"—"))</f>
        <v/>
      </c>
      <c r="K996" s="28">
        <f>IF($D996="","",IFERROR(INDEX(ENVIOS!$H$4:$H$3003,MATCH($D996,ENVIOS!$A$4:$A$3003,0)),"—"))</f>
        <v/>
      </c>
      <c r="L996" s="49">
        <f>IF($D996="","",IFERROR(INDEX(ENVIOS!$C$4:$C$3003,MATCH($D996,ENVIOS!$A$4:$A$3003,0)),""))</f>
        <v/>
      </c>
      <c r="M996" s="50" t="n"/>
      <c r="N996" s="28">
        <f>IF($M996="","",IFERROR(INDEX(CONFIG!$C$4:$C$63,MATCH($M996,CONFIG!$A$4:$A$63,0)),"Media"))</f>
        <v/>
      </c>
      <c r="O996" s="28">
        <f>IF($M996="","",IF($C996="Interna","NO",IFERROR(INDEX(CONFIG!$E$4:$E$63,MATCH($M996,CONFIG!$A$4:$A$63,0)),"NO")))</f>
        <v/>
      </c>
      <c r="P996" s="50" t="n"/>
      <c r="Q996" s="50" t="n"/>
      <c r="R996" s="28">
        <f>IF($Q996="","",IFERROR(INDEX(CONFIG!$H$4:$H$63,MATCH($Q996,CONFIG!$G$4:$G$63,0)),"Por definir"))</f>
        <v/>
      </c>
      <c r="S996" s="28">
        <f>IF($Q996="","",IFERROR(INDEX(CONFIG!$I$4:$I$63,MATCH($Q996,CONFIG!$G$4:$G$63,0)),"Por definir"))</f>
        <v/>
      </c>
      <c r="T996" s="51" t="n"/>
      <c r="U996" s="52" t="n"/>
      <c r="V996" s="50" t="n"/>
      <c r="W996" s="50" t="n"/>
      <c r="X996" s="49">
        <f>IF(OR($B996="",$M996=""),"",WORKDAY($B996,IFERROR(INDEX(CONFIG!$D$4:$D$63,MATCH($M996,CONFIG!$A$4:$A$63,0)),3)))</f>
        <v/>
      </c>
      <c r="Y996" s="47" t="n"/>
      <c r="Z996" s="24">
        <f>IF($B996="","",IF($Y996&lt;&gt;"",$Y996-$B996,TODAY()-$B996))</f>
        <v/>
      </c>
      <c r="AA996" s="28">
        <f>IF($B996="","",IF(IFERROR(INDEX(CONFIG!$L$4:$L$63,MATCH($V996,CONFIG!$K$4:$K$63,0)),"NO")="SÍ",IF(OR($Y996="",$X996=""),"Resuelta",IF($Y996&gt;$X996,"Resuelta tarde","Resuelta a tiempo")),IF($X996="","Sin clasificar",IF(TODAY()&gt;$X996,"Vencida",IF(TODAY()&gt;=$X996-1,"Por vencer","En plazo")))))</f>
        <v/>
      </c>
      <c r="AB996" s="50" t="n"/>
      <c r="AC996" s="50" t="n"/>
    </row>
    <row r="997" ht="16" customHeight="1">
      <c r="A997" s="28">
        <f>IF($B997="","","N-"&amp;TEXT(ROW()-3,"0000"))</f>
        <v/>
      </c>
      <c r="B997" s="47" t="n"/>
      <c r="C997" s="48" t="n"/>
      <c r="D997" s="48" t="n"/>
      <c r="E997" s="28">
        <f>IF($C997="","",IF($D997="",IF($C997="Interna","Sin guía (interna)","FALTA GUÍA"),IF(COUNTIFS(ENVIOS!$A$4:$A$3003,$D997)=0,"NO EXISTE",IF(COUNTIFS(ENVIOS!$A$4:$A$3003,$D997)&gt;1,"DUPLICADA","OK"))))</f>
        <v/>
      </c>
      <c r="F997" s="28">
        <f>IF($D997="","",IFERROR(INDEX(ENVIOS!$B$4:$B$3003,MATCH($D997,ENVIOS!$A$4:$A$3003,0)),"—"))</f>
        <v/>
      </c>
      <c r="G997" s="23">
        <f>IF($D997="","",IFERROR(INDEX(ENVIOS!$D$4:$D$3003,MATCH($D997,ENVIOS!$A$4:$A$3003,0)),"—"))</f>
        <v/>
      </c>
      <c r="H997" s="23">
        <f>IF($D997="","",IFERROR(INDEX(ENVIOS!$E$4:$E$3003,MATCH($D997,ENVIOS!$A$4:$A$3003,0)),"—"))</f>
        <v/>
      </c>
      <c r="I997" s="23">
        <f>IF($D997="","",IFERROR(INDEX(ENVIOS!$F$4:$F$3003,MATCH($D997,ENVIOS!$A$4:$A$3003,0)),"—"))</f>
        <v/>
      </c>
      <c r="J997" s="23">
        <f>IF($D997="","",IFERROR(INDEX(ENVIOS!$G$4:$G$3003,MATCH($D997,ENVIOS!$A$4:$A$3003,0)),"—"))</f>
        <v/>
      </c>
      <c r="K997" s="28">
        <f>IF($D997="","",IFERROR(INDEX(ENVIOS!$H$4:$H$3003,MATCH($D997,ENVIOS!$A$4:$A$3003,0)),"—"))</f>
        <v/>
      </c>
      <c r="L997" s="49">
        <f>IF($D997="","",IFERROR(INDEX(ENVIOS!$C$4:$C$3003,MATCH($D997,ENVIOS!$A$4:$A$3003,0)),""))</f>
        <v/>
      </c>
      <c r="M997" s="50" t="n"/>
      <c r="N997" s="28">
        <f>IF($M997="","",IFERROR(INDEX(CONFIG!$C$4:$C$63,MATCH($M997,CONFIG!$A$4:$A$63,0)),"Media"))</f>
        <v/>
      </c>
      <c r="O997" s="28">
        <f>IF($M997="","",IF($C997="Interna","NO",IFERROR(INDEX(CONFIG!$E$4:$E$63,MATCH($M997,CONFIG!$A$4:$A$63,0)),"NO")))</f>
        <v/>
      </c>
      <c r="P997" s="50" t="n"/>
      <c r="Q997" s="50" t="n"/>
      <c r="R997" s="28">
        <f>IF($Q997="","",IFERROR(INDEX(CONFIG!$H$4:$H$63,MATCH($Q997,CONFIG!$G$4:$G$63,0)),"Por definir"))</f>
        <v/>
      </c>
      <c r="S997" s="28">
        <f>IF($Q997="","",IFERROR(INDEX(CONFIG!$I$4:$I$63,MATCH($Q997,CONFIG!$G$4:$G$63,0)),"Por definir"))</f>
        <v/>
      </c>
      <c r="T997" s="51" t="n"/>
      <c r="U997" s="52" t="n"/>
      <c r="V997" s="50" t="n"/>
      <c r="W997" s="50" t="n"/>
      <c r="X997" s="49">
        <f>IF(OR($B997="",$M997=""),"",WORKDAY($B997,IFERROR(INDEX(CONFIG!$D$4:$D$63,MATCH($M997,CONFIG!$A$4:$A$63,0)),3)))</f>
        <v/>
      </c>
      <c r="Y997" s="47" t="n"/>
      <c r="Z997" s="24">
        <f>IF($B997="","",IF($Y997&lt;&gt;"",$Y997-$B997,TODAY()-$B997))</f>
        <v/>
      </c>
      <c r="AA997" s="28">
        <f>IF($B997="","",IF(IFERROR(INDEX(CONFIG!$L$4:$L$63,MATCH($V997,CONFIG!$K$4:$K$63,0)),"NO")="SÍ",IF(OR($Y997="",$X997=""),"Resuelta",IF($Y997&gt;$X997,"Resuelta tarde","Resuelta a tiempo")),IF($X997="","Sin clasificar",IF(TODAY()&gt;$X997,"Vencida",IF(TODAY()&gt;=$X997-1,"Por vencer","En plazo")))))</f>
        <v/>
      </c>
      <c r="AB997" s="50" t="n"/>
      <c r="AC997" s="50" t="n"/>
    </row>
    <row r="998" ht="16" customHeight="1">
      <c r="A998" s="28">
        <f>IF($B998="","","N-"&amp;TEXT(ROW()-3,"0000"))</f>
        <v/>
      </c>
      <c r="B998" s="47" t="n"/>
      <c r="C998" s="48" t="n"/>
      <c r="D998" s="48" t="n"/>
      <c r="E998" s="28">
        <f>IF($C998="","",IF($D998="",IF($C998="Interna","Sin guía (interna)","FALTA GUÍA"),IF(COUNTIFS(ENVIOS!$A$4:$A$3003,$D998)=0,"NO EXISTE",IF(COUNTIFS(ENVIOS!$A$4:$A$3003,$D998)&gt;1,"DUPLICADA","OK"))))</f>
        <v/>
      </c>
      <c r="F998" s="28">
        <f>IF($D998="","",IFERROR(INDEX(ENVIOS!$B$4:$B$3003,MATCH($D998,ENVIOS!$A$4:$A$3003,0)),"—"))</f>
        <v/>
      </c>
      <c r="G998" s="23">
        <f>IF($D998="","",IFERROR(INDEX(ENVIOS!$D$4:$D$3003,MATCH($D998,ENVIOS!$A$4:$A$3003,0)),"—"))</f>
        <v/>
      </c>
      <c r="H998" s="23">
        <f>IF($D998="","",IFERROR(INDEX(ENVIOS!$E$4:$E$3003,MATCH($D998,ENVIOS!$A$4:$A$3003,0)),"—"))</f>
        <v/>
      </c>
      <c r="I998" s="23">
        <f>IF($D998="","",IFERROR(INDEX(ENVIOS!$F$4:$F$3003,MATCH($D998,ENVIOS!$A$4:$A$3003,0)),"—"))</f>
        <v/>
      </c>
      <c r="J998" s="23">
        <f>IF($D998="","",IFERROR(INDEX(ENVIOS!$G$4:$G$3003,MATCH($D998,ENVIOS!$A$4:$A$3003,0)),"—"))</f>
        <v/>
      </c>
      <c r="K998" s="28">
        <f>IF($D998="","",IFERROR(INDEX(ENVIOS!$H$4:$H$3003,MATCH($D998,ENVIOS!$A$4:$A$3003,0)),"—"))</f>
        <v/>
      </c>
      <c r="L998" s="49">
        <f>IF($D998="","",IFERROR(INDEX(ENVIOS!$C$4:$C$3003,MATCH($D998,ENVIOS!$A$4:$A$3003,0)),""))</f>
        <v/>
      </c>
      <c r="M998" s="50" t="n"/>
      <c r="N998" s="28">
        <f>IF($M998="","",IFERROR(INDEX(CONFIG!$C$4:$C$63,MATCH($M998,CONFIG!$A$4:$A$63,0)),"Media"))</f>
        <v/>
      </c>
      <c r="O998" s="28">
        <f>IF($M998="","",IF($C998="Interna","NO",IFERROR(INDEX(CONFIG!$E$4:$E$63,MATCH($M998,CONFIG!$A$4:$A$63,0)),"NO")))</f>
        <v/>
      </c>
      <c r="P998" s="50" t="n"/>
      <c r="Q998" s="50" t="n"/>
      <c r="R998" s="28">
        <f>IF($Q998="","",IFERROR(INDEX(CONFIG!$H$4:$H$63,MATCH($Q998,CONFIG!$G$4:$G$63,0)),"Por definir"))</f>
        <v/>
      </c>
      <c r="S998" s="28">
        <f>IF($Q998="","",IFERROR(INDEX(CONFIG!$I$4:$I$63,MATCH($Q998,CONFIG!$G$4:$G$63,0)),"Por definir"))</f>
        <v/>
      </c>
      <c r="T998" s="51" t="n"/>
      <c r="U998" s="52" t="n"/>
      <c r="V998" s="50" t="n"/>
      <c r="W998" s="50" t="n"/>
      <c r="X998" s="49">
        <f>IF(OR($B998="",$M998=""),"",WORKDAY($B998,IFERROR(INDEX(CONFIG!$D$4:$D$63,MATCH($M998,CONFIG!$A$4:$A$63,0)),3)))</f>
        <v/>
      </c>
      <c r="Y998" s="47" t="n"/>
      <c r="Z998" s="24">
        <f>IF($B998="","",IF($Y998&lt;&gt;"",$Y998-$B998,TODAY()-$B998))</f>
        <v/>
      </c>
      <c r="AA998" s="28">
        <f>IF($B998="","",IF(IFERROR(INDEX(CONFIG!$L$4:$L$63,MATCH($V998,CONFIG!$K$4:$K$63,0)),"NO")="SÍ",IF(OR($Y998="",$X998=""),"Resuelta",IF($Y998&gt;$X998,"Resuelta tarde","Resuelta a tiempo")),IF($X998="","Sin clasificar",IF(TODAY()&gt;$X998,"Vencida",IF(TODAY()&gt;=$X998-1,"Por vencer","En plazo")))))</f>
        <v/>
      </c>
      <c r="AB998" s="50" t="n"/>
      <c r="AC998" s="50" t="n"/>
    </row>
    <row r="999" ht="16" customHeight="1">
      <c r="A999" s="28">
        <f>IF($B999="","","N-"&amp;TEXT(ROW()-3,"0000"))</f>
        <v/>
      </c>
      <c r="B999" s="47" t="n"/>
      <c r="C999" s="48" t="n"/>
      <c r="D999" s="48" t="n"/>
      <c r="E999" s="28">
        <f>IF($C999="","",IF($D999="",IF($C999="Interna","Sin guía (interna)","FALTA GUÍA"),IF(COUNTIFS(ENVIOS!$A$4:$A$3003,$D999)=0,"NO EXISTE",IF(COUNTIFS(ENVIOS!$A$4:$A$3003,$D999)&gt;1,"DUPLICADA","OK"))))</f>
        <v/>
      </c>
      <c r="F999" s="28">
        <f>IF($D999="","",IFERROR(INDEX(ENVIOS!$B$4:$B$3003,MATCH($D999,ENVIOS!$A$4:$A$3003,0)),"—"))</f>
        <v/>
      </c>
      <c r="G999" s="23">
        <f>IF($D999="","",IFERROR(INDEX(ENVIOS!$D$4:$D$3003,MATCH($D999,ENVIOS!$A$4:$A$3003,0)),"—"))</f>
        <v/>
      </c>
      <c r="H999" s="23">
        <f>IF($D999="","",IFERROR(INDEX(ENVIOS!$E$4:$E$3003,MATCH($D999,ENVIOS!$A$4:$A$3003,0)),"—"))</f>
        <v/>
      </c>
      <c r="I999" s="23">
        <f>IF($D999="","",IFERROR(INDEX(ENVIOS!$F$4:$F$3003,MATCH($D999,ENVIOS!$A$4:$A$3003,0)),"—"))</f>
        <v/>
      </c>
      <c r="J999" s="23">
        <f>IF($D999="","",IFERROR(INDEX(ENVIOS!$G$4:$G$3003,MATCH($D999,ENVIOS!$A$4:$A$3003,0)),"—"))</f>
        <v/>
      </c>
      <c r="K999" s="28">
        <f>IF($D999="","",IFERROR(INDEX(ENVIOS!$H$4:$H$3003,MATCH($D999,ENVIOS!$A$4:$A$3003,0)),"—"))</f>
        <v/>
      </c>
      <c r="L999" s="49">
        <f>IF($D999="","",IFERROR(INDEX(ENVIOS!$C$4:$C$3003,MATCH($D999,ENVIOS!$A$4:$A$3003,0)),""))</f>
        <v/>
      </c>
      <c r="M999" s="50" t="n"/>
      <c r="N999" s="28">
        <f>IF($M999="","",IFERROR(INDEX(CONFIG!$C$4:$C$63,MATCH($M999,CONFIG!$A$4:$A$63,0)),"Media"))</f>
        <v/>
      </c>
      <c r="O999" s="28">
        <f>IF($M999="","",IF($C999="Interna","NO",IFERROR(INDEX(CONFIG!$E$4:$E$63,MATCH($M999,CONFIG!$A$4:$A$63,0)),"NO")))</f>
        <v/>
      </c>
      <c r="P999" s="50" t="n"/>
      <c r="Q999" s="50" t="n"/>
      <c r="R999" s="28">
        <f>IF($Q999="","",IFERROR(INDEX(CONFIG!$H$4:$H$63,MATCH($Q999,CONFIG!$G$4:$G$63,0)),"Por definir"))</f>
        <v/>
      </c>
      <c r="S999" s="28">
        <f>IF($Q999="","",IFERROR(INDEX(CONFIG!$I$4:$I$63,MATCH($Q999,CONFIG!$G$4:$G$63,0)),"Por definir"))</f>
        <v/>
      </c>
      <c r="T999" s="51" t="n"/>
      <c r="U999" s="52" t="n"/>
      <c r="V999" s="50" t="n"/>
      <c r="W999" s="50" t="n"/>
      <c r="X999" s="49">
        <f>IF(OR($B999="",$M999=""),"",WORKDAY($B999,IFERROR(INDEX(CONFIG!$D$4:$D$63,MATCH($M999,CONFIG!$A$4:$A$63,0)),3)))</f>
        <v/>
      </c>
      <c r="Y999" s="47" t="n"/>
      <c r="Z999" s="24">
        <f>IF($B999="","",IF($Y999&lt;&gt;"",$Y999-$B999,TODAY()-$B999))</f>
        <v/>
      </c>
      <c r="AA999" s="28">
        <f>IF($B999="","",IF(IFERROR(INDEX(CONFIG!$L$4:$L$63,MATCH($V999,CONFIG!$K$4:$K$63,0)),"NO")="SÍ",IF(OR($Y999="",$X999=""),"Resuelta",IF($Y999&gt;$X999,"Resuelta tarde","Resuelta a tiempo")),IF($X999="","Sin clasificar",IF(TODAY()&gt;$X999,"Vencida",IF(TODAY()&gt;=$X999-1,"Por vencer","En plazo")))))</f>
        <v/>
      </c>
      <c r="AB999" s="50" t="n"/>
      <c r="AC999" s="50" t="n"/>
    </row>
    <row r="1000" ht="16" customHeight="1">
      <c r="A1000" s="28">
        <f>IF($B1000="","","N-"&amp;TEXT(ROW()-3,"0000"))</f>
        <v/>
      </c>
      <c r="B1000" s="47" t="n"/>
      <c r="C1000" s="48" t="n"/>
      <c r="D1000" s="48" t="n"/>
      <c r="E1000" s="28">
        <f>IF($C1000="","",IF($D1000="",IF($C1000="Interna","Sin guía (interna)","FALTA GUÍA"),IF(COUNTIFS(ENVIOS!$A$4:$A$3003,$D1000)=0,"NO EXISTE",IF(COUNTIFS(ENVIOS!$A$4:$A$3003,$D1000)&gt;1,"DUPLICADA","OK"))))</f>
        <v/>
      </c>
      <c r="F1000" s="28">
        <f>IF($D1000="","",IFERROR(INDEX(ENVIOS!$B$4:$B$3003,MATCH($D1000,ENVIOS!$A$4:$A$3003,0)),"—"))</f>
        <v/>
      </c>
      <c r="G1000" s="23">
        <f>IF($D1000="","",IFERROR(INDEX(ENVIOS!$D$4:$D$3003,MATCH($D1000,ENVIOS!$A$4:$A$3003,0)),"—"))</f>
        <v/>
      </c>
      <c r="H1000" s="23">
        <f>IF($D1000="","",IFERROR(INDEX(ENVIOS!$E$4:$E$3003,MATCH($D1000,ENVIOS!$A$4:$A$3003,0)),"—"))</f>
        <v/>
      </c>
      <c r="I1000" s="23">
        <f>IF($D1000="","",IFERROR(INDEX(ENVIOS!$F$4:$F$3003,MATCH($D1000,ENVIOS!$A$4:$A$3003,0)),"—"))</f>
        <v/>
      </c>
      <c r="J1000" s="23">
        <f>IF($D1000="","",IFERROR(INDEX(ENVIOS!$G$4:$G$3003,MATCH($D1000,ENVIOS!$A$4:$A$3003,0)),"—"))</f>
        <v/>
      </c>
      <c r="K1000" s="28">
        <f>IF($D1000="","",IFERROR(INDEX(ENVIOS!$H$4:$H$3003,MATCH($D1000,ENVIOS!$A$4:$A$3003,0)),"—"))</f>
        <v/>
      </c>
      <c r="L1000" s="49">
        <f>IF($D1000="","",IFERROR(INDEX(ENVIOS!$C$4:$C$3003,MATCH($D1000,ENVIOS!$A$4:$A$3003,0)),""))</f>
        <v/>
      </c>
      <c r="M1000" s="50" t="n"/>
      <c r="N1000" s="28">
        <f>IF($M1000="","",IFERROR(INDEX(CONFIG!$C$4:$C$63,MATCH($M1000,CONFIG!$A$4:$A$63,0)),"Media"))</f>
        <v/>
      </c>
      <c r="O1000" s="28">
        <f>IF($M1000="","",IF($C1000="Interna","NO",IFERROR(INDEX(CONFIG!$E$4:$E$63,MATCH($M1000,CONFIG!$A$4:$A$63,0)),"NO")))</f>
        <v/>
      </c>
      <c r="P1000" s="50" t="n"/>
      <c r="Q1000" s="50" t="n"/>
      <c r="R1000" s="28">
        <f>IF($Q1000="","",IFERROR(INDEX(CONFIG!$H$4:$H$63,MATCH($Q1000,CONFIG!$G$4:$G$63,0)),"Por definir"))</f>
        <v/>
      </c>
      <c r="S1000" s="28">
        <f>IF($Q1000="","",IFERROR(INDEX(CONFIG!$I$4:$I$63,MATCH($Q1000,CONFIG!$G$4:$G$63,0)),"Por definir"))</f>
        <v/>
      </c>
      <c r="T1000" s="51" t="n"/>
      <c r="U1000" s="52" t="n"/>
      <c r="V1000" s="50" t="n"/>
      <c r="W1000" s="50" t="n"/>
      <c r="X1000" s="49">
        <f>IF(OR($B1000="",$M1000=""),"",WORKDAY($B1000,IFERROR(INDEX(CONFIG!$D$4:$D$63,MATCH($M1000,CONFIG!$A$4:$A$63,0)),3)))</f>
        <v/>
      </c>
      <c r="Y1000" s="47" t="n"/>
      <c r="Z1000" s="24">
        <f>IF($B1000="","",IF($Y1000&lt;&gt;"",$Y1000-$B1000,TODAY()-$B1000))</f>
        <v/>
      </c>
      <c r="AA1000" s="28">
        <f>IF($B1000="","",IF(IFERROR(INDEX(CONFIG!$L$4:$L$63,MATCH($V1000,CONFIG!$K$4:$K$63,0)),"NO")="SÍ",IF(OR($Y1000="",$X1000=""),"Resuelta",IF($Y1000&gt;$X1000,"Resuelta tarde","Resuelta a tiempo")),IF($X1000="","Sin clasificar",IF(TODAY()&gt;$X1000,"Vencida",IF(TODAY()&gt;=$X1000-1,"Por vencer","En plazo")))))</f>
        <v/>
      </c>
      <c r="AB1000" s="50" t="n"/>
      <c r="AC1000" s="50" t="n"/>
    </row>
    <row r="1001" ht="16" customHeight="1">
      <c r="A1001" s="28">
        <f>IF($B1001="","","N-"&amp;TEXT(ROW()-3,"0000"))</f>
        <v/>
      </c>
      <c r="B1001" s="47" t="n"/>
      <c r="C1001" s="48" t="n"/>
      <c r="D1001" s="48" t="n"/>
      <c r="E1001" s="28">
        <f>IF($C1001="","",IF($D1001="",IF($C1001="Interna","Sin guía (interna)","FALTA GUÍA"),IF(COUNTIFS(ENVIOS!$A$4:$A$3003,$D1001)=0,"NO EXISTE",IF(COUNTIFS(ENVIOS!$A$4:$A$3003,$D1001)&gt;1,"DUPLICADA","OK"))))</f>
        <v/>
      </c>
      <c r="F1001" s="28">
        <f>IF($D1001="","",IFERROR(INDEX(ENVIOS!$B$4:$B$3003,MATCH($D1001,ENVIOS!$A$4:$A$3003,0)),"—"))</f>
        <v/>
      </c>
      <c r="G1001" s="23">
        <f>IF($D1001="","",IFERROR(INDEX(ENVIOS!$D$4:$D$3003,MATCH($D1001,ENVIOS!$A$4:$A$3003,0)),"—"))</f>
        <v/>
      </c>
      <c r="H1001" s="23">
        <f>IF($D1001="","",IFERROR(INDEX(ENVIOS!$E$4:$E$3003,MATCH($D1001,ENVIOS!$A$4:$A$3003,0)),"—"))</f>
        <v/>
      </c>
      <c r="I1001" s="23">
        <f>IF($D1001="","",IFERROR(INDEX(ENVIOS!$F$4:$F$3003,MATCH($D1001,ENVIOS!$A$4:$A$3003,0)),"—"))</f>
        <v/>
      </c>
      <c r="J1001" s="23">
        <f>IF($D1001="","",IFERROR(INDEX(ENVIOS!$G$4:$G$3003,MATCH($D1001,ENVIOS!$A$4:$A$3003,0)),"—"))</f>
        <v/>
      </c>
      <c r="K1001" s="28">
        <f>IF($D1001="","",IFERROR(INDEX(ENVIOS!$H$4:$H$3003,MATCH($D1001,ENVIOS!$A$4:$A$3003,0)),"—"))</f>
        <v/>
      </c>
      <c r="L1001" s="49">
        <f>IF($D1001="","",IFERROR(INDEX(ENVIOS!$C$4:$C$3003,MATCH($D1001,ENVIOS!$A$4:$A$3003,0)),""))</f>
        <v/>
      </c>
      <c r="M1001" s="50" t="n"/>
      <c r="N1001" s="28">
        <f>IF($M1001="","",IFERROR(INDEX(CONFIG!$C$4:$C$63,MATCH($M1001,CONFIG!$A$4:$A$63,0)),"Media"))</f>
        <v/>
      </c>
      <c r="O1001" s="28">
        <f>IF($M1001="","",IF($C1001="Interna","NO",IFERROR(INDEX(CONFIG!$E$4:$E$63,MATCH($M1001,CONFIG!$A$4:$A$63,0)),"NO")))</f>
        <v/>
      </c>
      <c r="P1001" s="50" t="n"/>
      <c r="Q1001" s="50" t="n"/>
      <c r="R1001" s="28">
        <f>IF($Q1001="","",IFERROR(INDEX(CONFIG!$H$4:$H$63,MATCH($Q1001,CONFIG!$G$4:$G$63,0)),"Por definir"))</f>
        <v/>
      </c>
      <c r="S1001" s="28">
        <f>IF($Q1001="","",IFERROR(INDEX(CONFIG!$I$4:$I$63,MATCH($Q1001,CONFIG!$G$4:$G$63,0)),"Por definir"))</f>
        <v/>
      </c>
      <c r="T1001" s="51" t="n"/>
      <c r="U1001" s="52" t="n"/>
      <c r="V1001" s="50" t="n"/>
      <c r="W1001" s="50" t="n"/>
      <c r="X1001" s="49">
        <f>IF(OR($B1001="",$M1001=""),"",WORKDAY($B1001,IFERROR(INDEX(CONFIG!$D$4:$D$63,MATCH($M1001,CONFIG!$A$4:$A$63,0)),3)))</f>
        <v/>
      </c>
      <c r="Y1001" s="47" t="n"/>
      <c r="Z1001" s="24">
        <f>IF($B1001="","",IF($Y1001&lt;&gt;"",$Y1001-$B1001,TODAY()-$B1001))</f>
        <v/>
      </c>
      <c r="AA1001" s="28">
        <f>IF($B1001="","",IF(IFERROR(INDEX(CONFIG!$L$4:$L$63,MATCH($V1001,CONFIG!$K$4:$K$63,0)),"NO")="SÍ",IF(OR($Y1001="",$X1001=""),"Resuelta",IF($Y1001&gt;$X1001,"Resuelta tarde","Resuelta a tiempo")),IF($X1001="","Sin clasificar",IF(TODAY()&gt;$X1001,"Vencida",IF(TODAY()&gt;=$X1001-1,"Por vencer","En plazo")))))</f>
        <v/>
      </c>
      <c r="AB1001" s="50" t="n"/>
      <c r="AC1001" s="50" t="n"/>
    </row>
    <row r="1002" ht="16" customHeight="1">
      <c r="A1002" s="28">
        <f>IF($B1002="","","N-"&amp;TEXT(ROW()-3,"0000"))</f>
        <v/>
      </c>
      <c r="B1002" s="47" t="n"/>
      <c r="C1002" s="48" t="n"/>
      <c r="D1002" s="48" t="n"/>
      <c r="E1002" s="28">
        <f>IF($C1002="","",IF($D1002="",IF($C1002="Interna","Sin guía (interna)","FALTA GUÍA"),IF(COUNTIFS(ENVIOS!$A$4:$A$3003,$D1002)=0,"NO EXISTE",IF(COUNTIFS(ENVIOS!$A$4:$A$3003,$D1002)&gt;1,"DUPLICADA","OK"))))</f>
        <v/>
      </c>
      <c r="F1002" s="28">
        <f>IF($D1002="","",IFERROR(INDEX(ENVIOS!$B$4:$B$3003,MATCH($D1002,ENVIOS!$A$4:$A$3003,0)),"—"))</f>
        <v/>
      </c>
      <c r="G1002" s="23">
        <f>IF($D1002="","",IFERROR(INDEX(ENVIOS!$D$4:$D$3003,MATCH($D1002,ENVIOS!$A$4:$A$3003,0)),"—"))</f>
        <v/>
      </c>
      <c r="H1002" s="23">
        <f>IF($D1002="","",IFERROR(INDEX(ENVIOS!$E$4:$E$3003,MATCH($D1002,ENVIOS!$A$4:$A$3003,0)),"—"))</f>
        <v/>
      </c>
      <c r="I1002" s="23">
        <f>IF($D1002="","",IFERROR(INDEX(ENVIOS!$F$4:$F$3003,MATCH($D1002,ENVIOS!$A$4:$A$3003,0)),"—"))</f>
        <v/>
      </c>
      <c r="J1002" s="23">
        <f>IF($D1002="","",IFERROR(INDEX(ENVIOS!$G$4:$G$3003,MATCH($D1002,ENVIOS!$A$4:$A$3003,0)),"—"))</f>
        <v/>
      </c>
      <c r="K1002" s="28">
        <f>IF($D1002="","",IFERROR(INDEX(ENVIOS!$H$4:$H$3003,MATCH($D1002,ENVIOS!$A$4:$A$3003,0)),"—"))</f>
        <v/>
      </c>
      <c r="L1002" s="49">
        <f>IF($D1002="","",IFERROR(INDEX(ENVIOS!$C$4:$C$3003,MATCH($D1002,ENVIOS!$A$4:$A$3003,0)),""))</f>
        <v/>
      </c>
      <c r="M1002" s="50" t="n"/>
      <c r="N1002" s="28">
        <f>IF($M1002="","",IFERROR(INDEX(CONFIG!$C$4:$C$63,MATCH($M1002,CONFIG!$A$4:$A$63,0)),"Media"))</f>
        <v/>
      </c>
      <c r="O1002" s="28">
        <f>IF($M1002="","",IF($C1002="Interna","NO",IFERROR(INDEX(CONFIG!$E$4:$E$63,MATCH($M1002,CONFIG!$A$4:$A$63,0)),"NO")))</f>
        <v/>
      </c>
      <c r="P1002" s="50" t="n"/>
      <c r="Q1002" s="50" t="n"/>
      <c r="R1002" s="28">
        <f>IF($Q1002="","",IFERROR(INDEX(CONFIG!$H$4:$H$63,MATCH($Q1002,CONFIG!$G$4:$G$63,0)),"Por definir"))</f>
        <v/>
      </c>
      <c r="S1002" s="28">
        <f>IF($Q1002="","",IFERROR(INDEX(CONFIG!$I$4:$I$63,MATCH($Q1002,CONFIG!$G$4:$G$63,0)),"Por definir"))</f>
        <v/>
      </c>
      <c r="T1002" s="51" t="n"/>
      <c r="U1002" s="52" t="n"/>
      <c r="V1002" s="50" t="n"/>
      <c r="W1002" s="50" t="n"/>
      <c r="X1002" s="49">
        <f>IF(OR($B1002="",$M1002=""),"",WORKDAY($B1002,IFERROR(INDEX(CONFIG!$D$4:$D$63,MATCH($M1002,CONFIG!$A$4:$A$63,0)),3)))</f>
        <v/>
      </c>
      <c r="Y1002" s="47" t="n"/>
      <c r="Z1002" s="24">
        <f>IF($B1002="","",IF($Y1002&lt;&gt;"",$Y1002-$B1002,TODAY()-$B1002))</f>
        <v/>
      </c>
      <c r="AA1002" s="28">
        <f>IF($B1002="","",IF(IFERROR(INDEX(CONFIG!$L$4:$L$63,MATCH($V1002,CONFIG!$K$4:$K$63,0)),"NO")="SÍ",IF(OR($Y1002="",$X1002=""),"Resuelta",IF($Y1002&gt;$X1002,"Resuelta tarde","Resuelta a tiempo")),IF($X1002="","Sin clasificar",IF(TODAY()&gt;$X1002,"Vencida",IF(TODAY()&gt;=$X1002-1,"Por vencer","En plazo")))))</f>
        <v/>
      </c>
      <c r="AB1002" s="50" t="n"/>
      <c r="AC1002" s="50" t="n"/>
    </row>
    <row r="1003" ht="16" customHeight="1">
      <c r="A1003" s="28">
        <f>IF($B1003="","","N-"&amp;TEXT(ROW()-3,"0000"))</f>
        <v/>
      </c>
      <c r="B1003" s="47" t="n"/>
      <c r="C1003" s="48" t="n"/>
      <c r="D1003" s="48" t="n"/>
      <c r="E1003" s="28">
        <f>IF($C1003="","",IF($D1003="",IF($C1003="Interna","Sin guía (interna)","FALTA GUÍA"),IF(COUNTIFS(ENVIOS!$A$4:$A$3003,$D1003)=0,"NO EXISTE",IF(COUNTIFS(ENVIOS!$A$4:$A$3003,$D1003)&gt;1,"DUPLICADA","OK"))))</f>
        <v/>
      </c>
      <c r="F1003" s="28">
        <f>IF($D1003="","",IFERROR(INDEX(ENVIOS!$B$4:$B$3003,MATCH($D1003,ENVIOS!$A$4:$A$3003,0)),"—"))</f>
        <v/>
      </c>
      <c r="G1003" s="23">
        <f>IF($D1003="","",IFERROR(INDEX(ENVIOS!$D$4:$D$3003,MATCH($D1003,ENVIOS!$A$4:$A$3003,0)),"—"))</f>
        <v/>
      </c>
      <c r="H1003" s="23">
        <f>IF($D1003="","",IFERROR(INDEX(ENVIOS!$E$4:$E$3003,MATCH($D1003,ENVIOS!$A$4:$A$3003,0)),"—"))</f>
        <v/>
      </c>
      <c r="I1003" s="23">
        <f>IF($D1003="","",IFERROR(INDEX(ENVIOS!$F$4:$F$3003,MATCH($D1003,ENVIOS!$A$4:$A$3003,0)),"—"))</f>
        <v/>
      </c>
      <c r="J1003" s="23">
        <f>IF($D1003="","",IFERROR(INDEX(ENVIOS!$G$4:$G$3003,MATCH($D1003,ENVIOS!$A$4:$A$3003,0)),"—"))</f>
        <v/>
      </c>
      <c r="K1003" s="28">
        <f>IF($D1003="","",IFERROR(INDEX(ENVIOS!$H$4:$H$3003,MATCH($D1003,ENVIOS!$A$4:$A$3003,0)),"—"))</f>
        <v/>
      </c>
      <c r="L1003" s="49">
        <f>IF($D1003="","",IFERROR(INDEX(ENVIOS!$C$4:$C$3003,MATCH($D1003,ENVIOS!$A$4:$A$3003,0)),""))</f>
        <v/>
      </c>
      <c r="M1003" s="50" t="n"/>
      <c r="N1003" s="28">
        <f>IF($M1003="","",IFERROR(INDEX(CONFIG!$C$4:$C$63,MATCH($M1003,CONFIG!$A$4:$A$63,0)),"Media"))</f>
        <v/>
      </c>
      <c r="O1003" s="28">
        <f>IF($M1003="","",IF($C1003="Interna","NO",IFERROR(INDEX(CONFIG!$E$4:$E$63,MATCH($M1003,CONFIG!$A$4:$A$63,0)),"NO")))</f>
        <v/>
      </c>
      <c r="P1003" s="50" t="n"/>
      <c r="Q1003" s="50" t="n"/>
      <c r="R1003" s="28">
        <f>IF($Q1003="","",IFERROR(INDEX(CONFIG!$H$4:$H$63,MATCH($Q1003,CONFIG!$G$4:$G$63,0)),"Por definir"))</f>
        <v/>
      </c>
      <c r="S1003" s="28">
        <f>IF($Q1003="","",IFERROR(INDEX(CONFIG!$I$4:$I$63,MATCH($Q1003,CONFIG!$G$4:$G$63,0)),"Por definir"))</f>
        <v/>
      </c>
      <c r="T1003" s="51" t="n"/>
      <c r="U1003" s="52" t="n"/>
      <c r="V1003" s="50" t="n"/>
      <c r="W1003" s="50" t="n"/>
      <c r="X1003" s="49">
        <f>IF(OR($B1003="",$M1003=""),"",WORKDAY($B1003,IFERROR(INDEX(CONFIG!$D$4:$D$63,MATCH($M1003,CONFIG!$A$4:$A$63,0)),3)))</f>
        <v/>
      </c>
      <c r="Y1003" s="47" t="n"/>
      <c r="Z1003" s="24">
        <f>IF($B1003="","",IF($Y1003&lt;&gt;"",$Y1003-$B1003,TODAY()-$B1003))</f>
        <v/>
      </c>
      <c r="AA1003" s="28">
        <f>IF($B1003="","",IF(IFERROR(INDEX(CONFIG!$L$4:$L$63,MATCH($V1003,CONFIG!$K$4:$K$63,0)),"NO")="SÍ",IF(OR($Y1003="",$X1003=""),"Resuelta",IF($Y1003&gt;$X1003,"Resuelta tarde","Resuelta a tiempo")),IF($X1003="","Sin clasificar",IF(TODAY()&gt;$X1003,"Vencida",IF(TODAY()&gt;=$X1003-1,"Por vencer","En plazo")))))</f>
        <v/>
      </c>
      <c r="AB1003" s="50" t="n"/>
      <c r="AC1003" s="50" t="n"/>
    </row>
    <row r="1004" ht="16" customHeight="1">
      <c r="A1004" s="28">
        <f>IF($B1004="","","N-"&amp;TEXT(ROW()-3,"0000"))</f>
        <v/>
      </c>
      <c r="B1004" s="47" t="n"/>
      <c r="C1004" s="48" t="n"/>
      <c r="D1004" s="48" t="n"/>
      <c r="E1004" s="28">
        <f>IF($C1004="","",IF($D1004="",IF($C1004="Interna","Sin guía (interna)","FALTA GUÍA"),IF(COUNTIFS(ENVIOS!$A$4:$A$3003,$D1004)=0,"NO EXISTE",IF(COUNTIFS(ENVIOS!$A$4:$A$3003,$D1004)&gt;1,"DUPLICADA","OK"))))</f>
        <v/>
      </c>
      <c r="F1004" s="28">
        <f>IF($D1004="","",IFERROR(INDEX(ENVIOS!$B$4:$B$3003,MATCH($D1004,ENVIOS!$A$4:$A$3003,0)),"—"))</f>
        <v/>
      </c>
      <c r="G1004" s="23">
        <f>IF($D1004="","",IFERROR(INDEX(ENVIOS!$D$4:$D$3003,MATCH($D1004,ENVIOS!$A$4:$A$3003,0)),"—"))</f>
        <v/>
      </c>
      <c r="H1004" s="23">
        <f>IF($D1004="","",IFERROR(INDEX(ENVIOS!$E$4:$E$3003,MATCH($D1004,ENVIOS!$A$4:$A$3003,0)),"—"))</f>
        <v/>
      </c>
      <c r="I1004" s="23">
        <f>IF($D1004="","",IFERROR(INDEX(ENVIOS!$F$4:$F$3003,MATCH($D1004,ENVIOS!$A$4:$A$3003,0)),"—"))</f>
        <v/>
      </c>
      <c r="J1004" s="23">
        <f>IF($D1004="","",IFERROR(INDEX(ENVIOS!$G$4:$G$3003,MATCH($D1004,ENVIOS!$A$4:$A$3003,0)),"—"))</f>
        <v/>
      </c>
      <c r="K1004" s="28">
        <f>IF($D1004="","",IFERROR(INDEX(ENVIOS!$H$4:$H$3003,MATCH($D1004,ENVIOS!$A$4:$A$3003,0)),"—"))</f>
        <v/>
      </c>
      <c r="L1004" s="49">
        <f>IF($D1004="","",IFERROR(INDEX(ENVIOS!$C$4:$C$3003,MATCH($D1004,ENVIOS!$A$4:$A$3003,0)),""))</f>
        <v/>
      </c>
      <c r="M1004" s="50" t="n"/>
      <c r="N1004" s="28">
        <f>IF($M1004="","",IFERROR(INDEX(CONFIG!$C$4:$C$63,MATCH($M1004,CONFIG!$A$4:$A$63,0)),"Media"))</f>
        <v/>
      </c>
      <c r="O1004" s="28">
        <f>IF($M1004="","",IF($C1004="Interna","NO",IFERROR(INDEX(CONFIG!$E$4:$E$63,MATCH($M1004,CONFIG!$A$4:$A$63,0)),"NO")))</f>
        <v/>
      </c>
      <c r="P1004" s="50" t="n"/>
      <c r="Q1004" s="50" t="n"/>
      <c r="R1004" s="28">
        <f>IF($Q1004="","",IFERROR(INDEX(CONFIG!$H$4:$H$63,MATCH($Q1004,CONFIG!$G$4:$G$63,0)),"Por definir"))</f>
        <v/>
      </c>
      <c r="S1004" s="28">
        <f>IF($Q1004="","",IFERROR(INDEX(CONFIG!$I$4:$I$63,MATCH($Q1004,CONFIG!$G$4:$G$63,0)),"Por definir"))</f>
        <v/>
      </c>
      <c r="T1004" s="51" t="n"/>
      <c r="U1004" s="52" t="n"/>
      <c r="V1004" s="50" t="n"/>
      <c r="W1004" s="50" t="n"/>
      <c r="X1004" s="49">
        <f>IF(OR($B1004="",$M1004=""),"",WORKDAY($B1004,IFERROR(INDEX(CONFIG!$D$4:$D$63,MATCH($M1004,CONFIG!$A$4:$A$63,0)),3)))</f>
        <v/>
      </c>
      <c r="Y1004" s="47" t="n"/>
      <c r="Z1004" s="24">
        <f>IF($B1004="","",IF($Y1004&lt;&gt;"",$Y1004-$B1004,TODAY()-$B1004))</f>
        <v/>
      </c>
      <c r="AA1004" s="28">
        <f>IF($B1004="","",IF(IFERROR(INDEX(CONFIG!$L$4:$L$63,MATCH($V1004,CONFIG!$K$4:$K$63,0)),"NO")="SÍ",IF(OR($Y1004="",$X1004=""),"Resuelta",IF($Y1004&gt;$X1004,"Resuelta tarde","Resuelta a tiempo")),IF($X1004="","Sin clasificar",IF(TODAY()&gt;$X1004,"Vencida",IF(TODAY()&gt;=$X1004-1,"Por vencer","En plazo")))))</f>
        <v/>
      </c>
      <c r="AB1004" s="50" t="n"/>
      <c r="AC1004" s="50" t="n"/>
    </row>
    <row r="1005" ht="16" customHeight="1">
      <c r="A1005" s="28">
        <f>IF($B1005="","","N-"&amp;TEXT(ROW()-3,"0000"))</f>
        <v/>
      </c>
      <c r="B1005" s="47" t="n"/>
      <c r="C1005" s="48" t="n"/>
      <c r="D1005" s="48" t="n"/>
      <c r="E1005" s="28">
        <f>IF($C1005="","",IF($D1005="",IF($C1005="Interna","Sin guía (interna)","FALTA GUÍA"),IF(COUNTIFS(ENVIOS!$A$4:$A$3003,$D1005)=0,"NO EXISTE",IF(COUNTIFS(ENVIOS!$A$4:$A$3003,$D1005)&gt;1,"DUPLICADA","OK"))))</f>
        <v/>
      </c>
      <c r="F1005" s="28">
        <f>IF($D1005="","",IFERROR(INDEX(ENVIOS!$B$4:$B$3003,MATCH($D1005,ENVIOS!$A$4:$A$3003,0)),"—"))</f>
        <v/>
      </c>
      <c r="G1005" s="23">
        <f>IF($D1005="","",IFERROR(INDEX(ENVIOS!$D$4:$D$3003,MATCH($D1005,ENVIOS!$A$4:$A$3003,0)),"—"))</f>
        <v/>
      </c>
      <c r="H1005" s="23">
        <f>IF($D1005="","",IFERROR(INDEX(ENVIOS!$E$4:$E$3003,MATCH($D1005,ENVIOS!$A$4:$A$3003,0)),"—"))</f>
        <v/>
      </c>
      <c r="I1005" s="23">
        <f>IF($D1005="","",IFERROR(INDEX(ENVIOS!$F$4:$F$3003,MATCH($D1005,ENVIOS!$A$4:$A$3003,0)),"—"))</f>
        <v/>
      </c>
      <c r="J1005" s="23">
        <f>IF($D1005="","",IFERROR(INDEX(ENVIOS!$G$4:$G$3003,MATCH($D1005,ENVIOS!$A$4:$A$3003,0)),"—"))</f>
        <v/>
      </c>
      <c r="K1005" s="28">
        <f>IF($D1005="","",IFERROR(INDEX(ENVIOS!$H$4:$H$3003,MATCH($D1005,ENVIOS!$A$4:$A$3003,0)),"—"))</f>
        <v/>
      </c>
      <c r="L1005" s="49">
        <f>IF($D1005="","",IFERROR(INDEX(ENVIOS!$C$4:$C$3003,MATCH($D1005,ENVIOS!$A$4:$A$3003,0)),""))</f>
        <v/>
      </c>
      <c r="M1005" s="50" t="n"/>
      <c r="N1005" s="28">
        <f>IF($M1005="","",IFERROR(INDEX(CONFIG!$C$4:$C$63,MATCH($M1005,CONFIG!$A$4:$A$63,0)),"Media"))</f>
        <v/>
      </c>
      <c r="O1005" s="28">
        <f>IF($M1005="","",IF($C1005="Interna","NO",IFERROR(INDEX(CONFIG!$E$4:$E$63,MATCH($M1005,CONFIG!$A$4:$A$63,0)),"NO")))</f>
        <v/>
      </c>
      <c r="P1005" s="50" t="n"/>
      <c r="Q1005" s="50" t="n"/>
      <c r="R1005" s="28">
        <f>IF($Q1005="","",IFERROR(INDEX(CONFIG!$H$4:$H$63,MATCH($Q1005,CONFIG!$G$4:$G$63,0)),"Por definir"))</f>
        <v/>
      </c>
      <c r="S1005" s="28">
        <f>IF($Q1005="","",IFERROR(INDEX(CONFIG!$I$4:$I$63,MATCH($Q1005,CONFIG!$G$4:$G$63,0)),"Por definir"))</f>
        <v/>
      </c>
      <c r="T1005" s="51" t="n"/>
      <c r="U1005" s="52" t="n"/>
      <c r="V1005" s="50" t="n"/>
      <c r="W1005" s="50" t="n"/>
      <c r="X1005" s="49">
        <f>IF(OR($B1005="",$M1005=""),"",WORKDAY($B1005,IFERROR(INDEX(CONFIG!$D$4:$D$63,MATCH($M1005,CONFIG!$A$4:$A$63,0)),3)))</f>
        <v/>
      </c>
      <c r="Y1005" s="47" t="n"/>
      <c r="Z1005" s="24">
        <f>IF($B1005="","",IF($Y1005&lt;&gt;"",$Y1005-$B1005,TODAY()-$B1005))</f>
        <v/>
      </c>
      <c r="AA1005" s="28">
        <f>IF($B1005="","",IF(IFERROR(INDEX(CONFIG!$L$4:$L$63,MATCH($V1005,CONFIG!$K$4:$K$63,0)),"NO")="SÍ",IF(OR($Y1005="",$X1005=""),"Resuelta",IF($Y1005&gt;$X1005,"Resuelta tarde","Resuelta a tiempo")),IF($X1005="","Sin clasificar",IF(TODAY()&gt;$X1005,"Vencida",IF(TODAY()&gt;=$X1005-1,"Por vencer","En plazo")))))</f>
        <v/>
      </c>
      <c r="AB1005" s="50" t="n"/>
      <c r="AC1005" s="50" t="n"/>
    </row>
    <row r="1006" ht="16" customHeight="1">
      <c r="A1006" s="28">
        <f>IF($B1006="","","N-"&amp;TEXT(ROW()-3,"0000"))</f>
        <v/>
      </c>
      <c r="B1006" s="47" t="n"/>
      <c r="C1006" s="48" t="n"/>
      <c r="D1006" s="48" t="n"/>
      <c r="E1006" s="28">
        <f>IF($C1006="","",IF($D1006="",IF($C1006="Interna","Sin guía (interna)","FALTA GUÍA"),IF(COUNTIFS(ENVIOS!$A$4:$A$3003,$D1006)=0,"NO EXISTE",IF(COUNTIFS(ENVIOS!$A$4:$A$3003,$D1006)&gt;1,"DUPLICADA","OK"))))</f>
        <v/>
      </c>
      <c r="F1006" s="28">
        <f>IF($D1006="","",IFERROR(INDEX(ENVIOS!$B$4:$B$3003,MATCH($D1006,ENVIOS!$A$4:$A$3003,0)),"—"))</f>
        <v/>
      </c>
      <c r="G1006" s="23">
        <f>IF($D1006="","",IFERROR(INDEX(ENVIOS!$D$4:$D$3003,MATCH($D1006,ENVIOS!$A$4:$A$3003,0)),"—"))</f>
        <v/>
      </c>
      <c r="H1006" s="23">
        <f>IF($D1006="","",IFERROR(INDEX(ENVIOS!$E$4:$E$3003,MATCH($D1006,ENVIOS!$A$4:$A$3003,0)),"—"))</f>
        <v/>
      </c>
      <c r="I1006" s="23">
        <f>IF($D1006="","",IFERROR(INDEX(ENVIOS!$F$4:$F$3003,MATCH($D1006,ENVIOS!$A$4:$A$3003,0)),"—"))</f>
        <v/>
      </c>
      <c r="J1006" s="23">
        <f>IF($D1006="","",IFERROR(INDEX(ENVIOS!$G$4:$G$3003,MATCH($D1006,ENVIOS!$A$4:$A$3003,0)),"—"))</f>
        <v/>
      </c>
      <c r="K1006" s="28">
        <f>IF($D1006="","",IFERROR(INDEX(ENVIOS!$H$4:$H$3003,MATCH($D1006,ENVIOS!$A$4:$A$3003,0)),"—"))</f>
        <v/>
      </c>
      <c r="L1006" s="49">
        <f>IF($D1006="","",IFERROR(INDEX(ENVIOS!$C$4:$C$3003,MATCH($D1006,ENVIOS!$A$4:$A$3003,0)),""))</f>
        <v/>
      </c>
      <c r="M1006" s="50" t="n"/>
      <c r="N1006" s="28">
        <f>IF($M1006="","",IFERROR(INDEX(CONFIG!$C$4:$C$63,MATCH($M1006,CONFIG!$A$4:$A$63,0)),"Media"))</f>
        <v/>
      </c>
      <c r="O1006" s="28">
        <f>IF($M1006="","",IF($C1006="Interna","NO",IFERROR(INDEX(CONFIG!$E$4:$E$63,MATCH($M1006,CONFIG!$A$4:$A$63,0)),"NO")))</f>
        <v/>
      </c>
      <c r="P1006" s="50" t="n"/>
      <c r="Q1006" s="50" t="n"/>
      <c r="R1006" s="28">
        <f>IF($Q1006="","",IFERROR(INDEX(CONFIG!$H$4:$H$63,MATCH($Q1006,CONFIG!$G$4:$G$63,0)),"Por definir"))</f>
        <v/>
      </c>
      <c r="S1006" s="28">
        <f>IF($Q1006="","",IFERROR(INDEX(CONFIG!$I$4:$I$63,MATCH($Q1006,CONFIG!$G$4:$G$63,0)),"Por definir"))</f>
        <v/>
      </c>
      <c r="T1006" s="51" t="n"/>
      <c r="U1006" s="52" t="n"/>
      <c r="V1006" s="50" t="n"/>
      <c r="W1006" s="50" t="n"/>
      <c r="X1006" s="49">
        <f>IF(OR($B1006="",$M1006=""),"",WORKDAY($B1006,IFERROR(INDEX(CONFIG!$D$4:$D$63,MATCH($M1006,CONFIG!$A$4:$A$63,0)),3)))</f>
        <v/>
      </c>
      <c r="Y1006" s="47" t="n"/>
      <c r="Z1006" s="24">
        <f>IF($B1006="","",IF($Y1006&lt;&gt;"",$Y1006-$B1006,TODAY()-$B1006))</f>
        <v/>
      </c>
      <c r="AA1006" s="28">
        <f>IF($B1006="","",IF(IFERROR(INDEX(CONFIG!$L$4:$L$63,MATCH($V1006,CONFIG!$K$4:$K$63,0)),"NO")="SÍ",IF(OR($Y1006="",$X1006=""),"Resuelta",IF($Y1006&gt;$X1006,"Resuelta tarde","Resuelta a tiempo")),IF($X1006="","Sin clasificar",IF(TODAY()&gt;$X1006,"Vencida",IF(TODAY()&gt;=$X1006-1,"Por vencer","En plazo")))))</f>
        <v/>
      </c>
      <c r="AB1006" s="50" t="n"/>
      <c r="AC1006" s="50" t="n"/>
    </row>
    <row r="1007" ht="16" customHeight="1">
      <c r="A1007" s="28">
        <f>IF($B1007="","","N-"&amp;TEXT(ROW()-3,"0000"))</f>
        <v/>
      </c>
      <c r="B1007" s="47" t="n"/>
      <c r="C1007" s="48" t="n"/>
      <c r="D1007" s="48" t="n"/>
      <c r="E1007" s="28">
        <f>IF($C1007="","",IF($D1007="",IF($C1007="Interna","Sin guía (interna)","FALTA GUÍA"),IF(COUNTIFS(ENVIOS!$A$4:$A$3003,$D1007)=0,"NO EXISTE",IF(COUNTIFS(ENVIOS!$A$4:$A$3003,$D1007)&gt;1,"DUPLICADA","OK"))))</f>
        <v/>
      </c>
      <c r="F1007" s="28">
        <f>IF($D1007="","",IFERROR(INDEX(ENVIOS!$B$4:$B$3003,MATCH($D1007,ENVIOS!$A$4:$A$3003,0)),"—"))</f>
        <v/>
      </c>
      <c r="G1007" s="23">
        <f>IF($D1007="","",IFERROR(INDEX(ENVIOS!$D$4:$D$3003,MATCH($D1007,ENVIOS!$A$4:$A$3003,0)),"—"))</f>
        <v/>
      </c>
      <c r="H1007" s="23">
        <f>IF($D1007="","",IFERROR(INDEX(ENVIOS!$E$4:$E$3003,MATCH($D1007,ENVIOS!$A$4:$A$3003,0)),"—"))</f>
        <v/>
      </c>
      <c r="I1007" s="23">
        <f>IF($D1007="","",IFERROR(INDEX(ENVIOS!$F$4:$F$3003,MATCH($D1007,ENVIOS!$A$4:$A$3003,0)),"—"))</f>
        <v/>
      </c>
      <c r="J1007" s="23">
        <f>IF($D1007="","",IFERROR(INDEX(ENVIOS!$G$4:$G$3003,MATCH($D1007,ENVIOS!$A$4:$A$3003,0)),"—"))</f>
        <v/>
      </c>
      <c r="K1007" s="28">
        <f>IF($D1007="","",IFERROR(INDEX(ENVIOS!$H$4:$H$3003,MATCH($D1007,ENVIOS!$A$4:$A$3003,0)),"—"))</f>
        <v/>
      </c>
      <c r="L1007" s="49">
        <f>IF($D1007="","",IFERROR(INDEX(ENVIOS!$C$4:$C$3003,MATCH($D1007,ENVIOS!$A$4:$A$3003,0)),""))</f>
        <v/>
      </c>
      <c r="M1007" s="50" t="n"/>
      <c r="N1007" s="28">
        <f>IF($M1007="","",IFERROR(INDEX(CONFIG!$C$4:$C$63,MATCH($M1007,CONFIG!$A$4:$A$63,0)),"Media"))</f>
        <v/>
      </c>
      <c r="O1007" s="28">
        <f>IF($M1007="","",IF($C1007="Interna","NO",IFERROR(INDEX(CONFIG!$E$4:$E$63,MATCH($M1007,CONFIG!$A$4:$A$63,0)),"NO")))</f>
        <v/>
      </c>
      <c r="P1007" s="50" t="n"/>
      <c r="Q1007" s="50" t="n"/>
      <c r="R1007" s="28">
        <f>IF($Q1007="","",IFERROR(INDEX(CONFIG!$H$4:$H$63,MATCH($Q1007,CONFIG!$G$4:$G$63,0)),"Por definir"))</f>
        <v/>
      </c>
      <c r="S1007" s="28">
        <f>IF($Q1007="","",IFERROR(INDEX(CONFIG!$I$4:$I$63,MATCH($Q1007,CONFIG!$G$4:$G$63,0)),"Por definir"))</f>
        <v/>
      </c>
      <c r="T1007" s="51" t="n"/>
      <c r="U1007" s="52" t="n"/>
      <c r="V1007" s="50" t="n"/>
      <c r="W1007" s="50" t="n"/>
      <c r="X1007" s="49">
        <f>IF(OR($B1007="",$M1007=""),"",WORKDAY($B1007,IFERROR(INDEX(CONFIG!$D$4:$D$63,MATCH($M1007,CONFIG!$A$4:$A$63,0)),3)))</f>
        <v/>
      </c>
      <c r="Y1007" s="47" t="n"/>
      <c r="Z1007" s="24">
        <f>IF($B1007="","",IF($Y1007&lt;&gt;"",$Y1007-$B1007,TODAY()-$B1007))</f>
        <v/>
      </c>
      <c r="AA1007" s="28">
        <f>IF($B1007="","",IF(IFERROR(INDEX(CONFIG!$L$4:$L$63,MATCH($V1007,CONFIG!$K$4:$K$63,0)),"NO")="SÍ",IF(OR($Y1007="",$X1007=""),"Resuelta",IF($Y1007&gt;$X1007,"Resuelta tarde","Resuelta a tiempo")),IF($X1007="","Sin clasificar",IF(TODAY()&gt;$X1007,"Vencida",IF(TODAY()&gt;=$X1007-1,"Por vencer","En plazo")))))</f>
        <v/>
      </c>
      <c r="AB1007" s="50" t="n"/>
      <c r="AC1007" s="50" t="n"/>
    </row>
    <row r="1008" ht="16" customHeight="1">
      <c r="A1008" s="28">
        <f>IF($B1008="","","N-"&amp;TEXT(ROW()-3,"0000"))</f>
        <v/>
      </c>
      <c r="B1008" s="47" t="n"/>
      <c r="C1008" s="48" t="n"/>
      <c r="D1008" s="48" t="n"/>
      <c r="E1008" s="28">
        <f>IF($C1008="","",IF($D1008="",IF($C1008="Interna","Sin guía (interna)","FALTA GUÍA"),IF(COUNTIFS(ENVIOS!$A$4:$A$3003,$D1008)=0,"NO EXISTE",IF(COUNTIFS(ENVIOS!$A$4:$A$3003,$D1008)&gt;1,"DUPLICADA","OK"))))</f>
        <v/>
      </c>
      <c r="F1008" s="28">
        <f>IF($D1008="","",IFERROR(INDEX(ENVIOS!$B$4:$B$3003,MATCH($D1008,ENVIOS!$A$4:$A$3003,0)),"—"))</f>
        <v/>
      </c>
      <c r="G1008" s="23">
        <f>IF($D1008="","",IFERROR(INDEX(ENVIOS!$D$4:$D$3003,MATCH($D1008,ENVIOS!$A$4:$A$3003,0)),"—"))</f>
        <v/>
      </c>
      <c r="H1008" s="23">
        <f>IF($D1008="","",IFERROR(INDEX(ENVIOS!$E$4:$E$3003,MATCH($D1008,ENVIOS!$A$4:$A$3003,0)),"—"))</f>
        <v/>
      </c>
      <c r="I1008" s="23">
        <f>IF($D1008="","",IFERROR(INDEX(ENVIOS!$F$4:$F$3003,MATCH($D1008,ENVIOS!$A$4:$A$3003,0)),"—"))</f>
        <v/>
      </c>
      <c r="J1008" s="23">
        <f>IF($D1008="","",IFERROR(INDEX(ENVIOS!$G$4:$G$3003,MATCH($D1008,ENVIOS!$A$4:$A$3003,0)),"—"))</f>
        <v/>
      </c>
      <c r="K1008" s="28">
        <f>IF($D1008="","",IFERROR(INDEX(ENVIOS!$H$4:$H$3003,MATCH($D1008,ENVIOS!$A$4:$A$3003,0)),"—"))</f>
        <v/>
      </c>
      <c r="L1008" s="49">
        <f>IF($D1008="","",IFERROR(INDEX(ENVIOS!$C$4:$C$3003,MATCH($D1008,ENVIOS!$A$4:$A$3003,0)),""))</f>
        <v/>
      </c>
      <c r="M1008" s="50" t="n"/>
      <c r="N1008" s="28">
        <f>IF($M1008="","",IFERROR(INDEX(CONFIG!$C$4:$C$63,MATCH($M1008,CONFIG!$A$4:$A$63,0)),"Media"))</f>
        <v/>
      </c>
      <c r="O1008" s="28">
        <f>IF($M1008="","",IF($C1008="Interna","NO",IFERROR(INDEX(CONFIG!$E$4:$E$63,MATCH($M1008,CONFIG!$A$4:$A$63,0)),"NO")))</f>
        <v/>
      </c>
      <c r="P1008" s="50" t="n"/>
      <c r="Q1008" s="50" t="n"/>
      <c r="R1008" s="28">
        <f>IF($Q1008="","",IFERROR(INDEX(CONFIG!$H$4:$H$63,MATCH($Q1008,CONFIG!$G$4:$G$63,0)),"Por definir"))</f>
        <v/>
      </c>
      <c r="S1008" s="28">
        <f>IF($Q1008="","",IFERROR(INDEX(CONFIG!$I$4:$I$63,MATCH($Q1008,CONFIG!$G$4:$G$63,0)),"Por definir"))</f>
        <v/>
      </c>
      <c r="T1008" s="51" t="n"/>
      <c r="U1008" s="52" t="n"/>
      <c r="V1008" s="50" t="n"/>
      <c r="W1008" s="50" t="n"/>
      <c r="X1008" s="49">
        <f>IF(OR($B1008="",$M1008=""),"",WORKDAY($B1008,IFERROR(INDEX(CONFIG!$D$4:$D$63,MATCH($M1008,CONFIG!$A$4:$A$63,0)),3)))</f>
        <v/>
      </c>
      <c r="Y1008" s="47" t="n"/>
      <c r="Z1008" s="24">
        <f>IF($B1008="","",IF($Y1008&lt;&gt;"",$Y1008-$B1008,TODAY()-$B1008))</f>
        <v/>
      </c>
      <c r="AA1008" s="28">
        <f>IF($B1008="","",IF(IFERROR(INDEX(CONFIG!$L$4:$L$63,MATCH($V1008,CONFIG!$K$4:$K$63,0)),"NO")="SÍ",IF(OR($Y1008="",$X1008=""),"Resuelta",IF($Y1008&gt;$X1008,"Resuelta tarde","Resuelta a tiempo")),IF($X1008="","Sin clasificar",IF(TODAY()&gt;$X1008,"Vencida",IF(TODAY()&gt;=$X1008-1,"Por vencer","En plazo")))))</f>
        <v/>
      </c>
      <c r="AB1008" s="50" t="n"/>
      <c r="AC1008" s="50" t="n"/>
    </row>
    <row r="1009" ht="16" customHeight="1">
      <c r="A1009" s="28">
        <f>IF($B1009="","","N-"&amp;TEXT(ROW()-3,"0000"))</f>
        <v/>
      </c>
      <c r="B1009" s="47" t="n"/>
      <c r="C1009" s="48" t="n"/>
      <c r="D1009" s="48" t="n"/>
      <c r="E1009" s="28">
        <f>IF($C1009="","",IF($D1009="",IF($C1009="Interna","Sin guía (interna)","FALTA GUÍA"),IF(COUNTIFS(ENVIOS!$A$4:$A$3003,$D1009)=0,"NO EXISTE",IF(COUNTIFS(ENVIOS!$A$4:$A$3003,$D1009)&gt;1,"DUPLICADA","OK"))))</f>
        <v/>
      </c>
      <c r="F1009" s="28">
        <f>IF($D1009="","",IFERROR(INDEX(ENVIOS!$B$4:$B$3003,MATCH($D1009,ENVIOS!$A$4:$A$3003,0)),"—"))</f>
        <v/>
      </c>
      <c r="G1009" s="23">
        <f>IF($D1009="","",IFERROR(INDEX(ENVIOS!$D$4:$D$3003,MATCH($D1009,ENVIOS!$A$4:$A$3003,0)),"—"))</f>
        <v/>
      </c>
      <c r="H1009" s="23">
        <f>IF($D1009="","",IFERROR(INDEX(ENVIOS!$E$4:$E$3003,MATCH($D1009,ENVIOS!$A$4:$A$3003,0)),"—"))</f>
        <v/>
      </c>
      <c r="I1009" s="23">
        <f>IF($D1009="","",IFERROR(INDEX(ENVIOS!$F$4:$F$3003,MATCH($D1009,ENVIOS!$A$4:$A$3003,0)),"—"))</f>
        <v/>
      </c>
      <c r="J1009" s="23">
        <f>IF($D1009="","",IFERROR(INDEX(ENVIOS!$G$4:$G$3003,MATCH($D1009,ENVIOS!$A$4:$A$3003,0)),"—"))</f>
        <v/>
      </c>
      <c r="K1009" s="28">
        <f>IF($D1009="","",IFERROR(INDEX(ENVIOS!$H$4:$H$3003,MATCH($D1009,ENVIOS!$A$4:$A$3003,0)),"—"))</f>
        <v/>
      </c>
      <c r="L1009" s="49">
        <f>IF($D1009="","",IFERROR(INDEX(ENVIOS!$C$4:$C$3003,MATCH($D1009,ENVIOS!$A$4:$A$3003,0)),""))</f>
        <v/>
      </c>
      <c r="M1009" s="50" t="n"/>
      <c r="N1009" s="28">
        <f>IF($M1009="","",IFERROR(INDEX(CONFIG!$C$4:$C$63,MATCH($M1009,CONFIG!$A$4:$A$63,0)),"Media"))</f>
        <v/>
      </c>
      <c r="O1009" s="28">
        <f>IF($M1009="","",IF($C1009="Interna","NO",IFERROR(INDEX(CONFIG!$E$4:$E$63,MATCH($M1009,CONFIG!$A$4:$A$63,0)),"NO")))</f>
        <v/>
      </c>
      <c r="P1009" s="50" t="n"/>
      <c r="Q1009" s="50" t="n"/>
      <c r="R1009" s="28">
        <f>IF($Q1009="","",IFERROR(INDEX(CONFIG!$H$4:$H$63,MATCH($Q1009,CONFIG!$G$4:$G$63,0)),"Por definir"))</f>
        <v/>
      </c>
      <c r="S1009" s="28">
        <f>IF($Q1009="","",IFERROR(INDEX(CONFIG!$I$4:$I$63,MATCH($Q1009,CONFIG!$G$4:$G$63,0)),"Por definir"))</f>
        <v/>
      </c>
      <c r="T1009" s="51" t="n"/>
      <c r="U1009" s="52" t="n"/>
      <c r="V1009" s="50" t="n"/>
      <c r="W1009" s="50" t="n"/>
      <c r="X1009" s="49">
        <f>IF(OR($B1009="",$M1009=""),"",WORKDAY($B1009,IFERROR(INDEX(CONFIG!$D$4:$D$63,MATCH($M1009,CONFIG!$A$4:$A$63,0)),3)))</f>
        <v/>
      </c>
      <c r="Y1009" s="47" t="n"/>
      <c r="Z1009" s="24">
        <f>IF($B1009="","",IF($Y1009&lt;&gt;"",$Y1009-$B1009,TODAY()-$B1009))</f>
        <v/>
      </c>
      <c r="AA1009" s="28">
        <f>IF($B1009="","",IF(IFERROR(INDEX(CONFIG!$L$4:$L$63,MATCH($V1009,CONFIG!$K$4:$K$63,0)),"NO")="SÍ",IF(OR($Y1009="",$X1009=""),"Resuelta",IF($Y1009&gt;$X1009,"Resuelta tarde","Resuelta a tiempo")),IF($X1009="","Sin clasificar",IF(TODAY()&gt;$X1009,"Vencida",IF(TODAY()&gt;=$X1009-1,"Por vencer","En plazo")))))</f>
        <v/>
      </c>
      <c r="AB1009" s="50" t="n"/>
      <c r="AC1009" s="50" t="n"/>
    </row>
    <row r="1010" ht="16" customHeight="1">
      <c r="A1010" s="28">
        <f>IF($B1010="","","N-"&amp;TEXT(ROW()-3,"0000"))</f>
        <v/>
      </c>
      <c r="B1010" s="47" t="n"/>
      <c r="C1010" s="48" t="n"/>
      <c r="D1010" s="48" t="n"/>
      <c r="E1010" s="28">
        <f>IF($C1010="","",IF($D1010="",IF($C1010="Interna","Sin guía (interna)","FALTA GUÍA"),IF(COUNTIFS(ENVIOS!$A$4:$A$3003,$D1010)=0,"NO EXISTE",IF(COUNTIFS(ENVIOS!$A$4:$A$3003,$D1010)&gt;1,"DUPLICADA","OK"))))</f>
        <v/>
      </c>
      <c r="F1010" s="28">
        <f>IF($D1010="","",IFERROR(INDEX(ENVIOS!$B$4:$B$3003,MATCH($D1010,ENVIOS!$A$4:$A$3003,0)),"—"))</f>
        <v/>
      </c>
      <c r="G1010" s="23">
        <f>IF($D1010="","",IFERROR(INDEX(ENVIOS!$D$4:$D$3003,MATCH($D1010,ENVIOS!$A$4:$A$3003,0)),"—"))</f>
        <v/>
      </c>
      <c r="H1010" s="23">
        <f>IF($D1010="","",IFERROR(INDEX(ENVIOS!$E$4:$E$3003,MATCH($D1010,ENVIOS!$A$4:$A$3003,0)),"—"))</f>
        <v/>
      </c>
      <c r="I1010" s="23">
        <f>IF($D1010="","",IFERROR(INDEX(ENVIOS!$F$4:$F$3003,MATCH($D1010,ENVIOS!$A$4:$A$3003,0)),"—"))</f>
        <v/>
      </c>
      <c r="J1010" s="23">
        <f>IF($D1010="","",IFERROR(INDEX(ENVIOS!$G$4:$G$3003,MATCH($D1010,ENVIOS!$A$4:$A$3003,0)),"—"))</f>
        <v/>
      </c>
      <c r="K1010" s="28">
        <f>IF($D1010="","",IFERROR(INDEX(ENVIOS!$H$4:$H$3003,MATCH($D1010,ENVIOS!$A$4:$A$3003,0)),"—"))</f>
        <v/>
      </c>
      <c r="L1010" s="49">
        <f>IF($D1010="","",IFERROR(INDEX(ENVIOS!$C$4:$C$3003,MATCH($D1010,ENVIOS!$A$4:$A$3003,0)),""))</f>
        <v/>
      </c>
      <c r="M1010" s="50" t="n"/>
      <c r="N1010" s="28">
        <f>IF($M1010="","",IFERROR(INDEX(CONFIG!$C$4:$C$63,MATCH($M1010,CONFIG!$A$4:$A$63,0)),"Media"))</f>
        <v/>
      </c>
      <c r="O1010" s="28">
        <f>IF($M1010="","",IF($C1010="Interna","NO",IFERROR(INDEX(CONFIG!$E$4:$E$63,MATCH($M1010,CONFIG!$A$4:$A$63,0)),"NO")))</f>
        <v/>
      </c>
      <c r="P1010" s="50" t="n"/>
      <c r="Q1010" s="50" t="n"/>
      <c r="R1010" s="28">
        <f>IF($Q1010="","",IFERROR(INDEX(CONFIG!$H$4:$H$63,MATCH($Q1010,CONFIG!$G$4:$G$63,0)),"Por definir"))</f>
        <v/>
      </c>
      <c r="S1010" s="28">
        <f>IF($Q1010="","",IFERROR(INDEX(CONFIG!$I$4:$I$63,MATCH($Q1010,CONFIG!$G$4:$G$63,0)),"Por definir"))</f>
        <v/>
      </c>
      <c r="T1010" s="51" t="n"/>
      <c r="U1010" s="52" t="n"/>
      <c r="V1010" s="50" t="n"/>
      <c r="W1010" s="50" t="n"/>
      <c r="X1010" s="49">
        <f>IF(OR($B1010="",$M1010=""),"",WORKDAY($B1010,IFERROR(INDEX(CONFIG!$D$4:$D$63,MATCH($M1010,CONFIG!$A$4:$A$63,0)),3)))</f>
        <v/>
      </c>
      <c r="Y1010" s="47" t="n"/>
      <c r="Z1010" s="24">
        <f>IF($B1010="","",IF($Y1010&lt;&gt;"",$Y1010-$B1010,TODAY()-$B1010))</f>
        <v/>
      </c>
      <c r="AA1010" s="28">
        <f>IF($B1010="","",IF(IFERROR(INDEX(CONFIG!$L$4:$L$63,MATCH($V1010,CONFIG!$K$4:$K$63,0)),"NO")="SÍ",IF(OR($Y1010="",$X1010=""),"Resuelta",IF($Y1010&gt;$X1010,"Resuelta tarde","Resuelta a tiempo")),IF($X1010="","Sin clasificar",IF(TODAY()&gt;$X1010,"Vencida",IF(TODAY()&gt;=$X1010-1,"Por vencer","En plazo")))))</f>
        <v/>
      </c>
      <c r="AB1010" s="50" t="n"/>
      <c r="AC1010" s="50" t="n"/>
    </row>
    <row r="1011" ht="16" customHeight="1">
      <c r="A1011" s="28">
        <f>IF($B1011="","","N-"&amp;TEXT(ROW()-3,"0000"))</f>
        <v/>
      </c>
      <c r="B1011" s="47" t="n"/>
      <c r="C1011" s="48" t="n"/>
      <c r="D1011" s="48" t="n"/>
      <c r="E1011" s="28">
        <f>IF($C1011="","",IF($D1011="",IF($C1011="Interna","Sin guía (interna)","FALTA GUÍA"),IF(COUNTIFS(ENVIOS!$A$4:$A$3003,$D1011)=0,"NO EXISTE",IF(COUNTIFS(ENVIOS!$A$4:$A$3003,$D1011)&gt;1,"DUPLICADA","OK"))))</f>
        <v/>
      </c>
      <c r="F1011" s="28">
        <f>IF($D1011="","",IFERROR(INDEX(ENVIOS!$B$4:$B$3003,MATCH($D1011,ENVIOS!$A$4:$A$3003,0)),"—"))</f>
        <v/>
      </c>
      <c r="G1011" s="23">
        <f>IF($D1011="","",IFERROR(INDEX(ENVIOS!$D$4:$D$3003,MATCH($D1011,ENVIOS!$A$4:$A$3003,0)),"—"))</f>
        <v/>
      </c>
      <c r="H1011" s="23">
        <f>IF($D1011="","",IFERROR(INDEX(ENVIOS!$E$4:$E$3003,MATCH($D1011,ENVIOS!$A$4:$A$3003,0)),"—"))</f>
        <v/>
      </c>
      <c r="I1011" s="23">
        <f>IF($D1011="","",IFERROR(INDEX(ENVIOS!$F$4:$F$3003,MATCH($D1011,ENVIOS!$A$4:$A$3003,0)),"—"))</f>
        <v/>
      </c>
      <c r="J1011" s="23">
        <f>IF($D1011="","",IFERROR(INDEX(ENVIOS!$G$4:$G$3003,MATCH($D1011,ENVIOS!$A$4:$A$3003,0)),"—"))</f>
        <v/>
      </c>
      <c r="K1011" s="28">
        <f>IF($D1011="","",IFERROR(INDEX(ENVIOS!$H$4:$H$3003,MATCH($D1011,ENVIOS!$A$4:$A$3003,0)),"—"))</f>
        <v/>
      </c>
      <c r="L1011" s="49">
        <f>IF($D1011="","",IFERROR(INDEX(ENVIOS!$C$4:$C$3003,MATCH($D1011,ENVIOS!$A$4:$A$3003,0)),""))</f>
        <v/>
      </c>
      <c r="M1011" s="50" t="n"/>
      <c r="N1011" s="28">
        <f>IF($M1011="","",IFERROR(INDEX(CONFIG!$C$4:$C$63,MATCH($M1011,CONFIG!$A$4:$A$63,0)),"Media"))</f>
        <v/>
      </c>
      <c r="O1011" s="28">
        <f>IF($M1011="","",IF($C1011="Interna","NO",IFERROR(INDEX(CONFIG!$E$4:$E$63,MATCH($M1011,CONFIG!$A$4:$A$63,0)),"NO")))</f>
        <v/>
      </c>
      <c r="P1011" s="50" t="n"/>
      <c r="Q1011" s="50" t="n"/>
      <c r="R1011" s="28">
        <f>IF($Q1011="","",IFERROR(INDEX(CONFIG!$H$4:$H$63,MATCH($Q1011,CONFIG!$G$4:$G$63,0)),"Por definir"))</f>
        <v/>
      </c>
      <c r="S1011" s="28">
        <f>IF($Q1011="","",IFERROR(INDEX(CONFIG!$I$4:$I$63,MATCH($Q1011,CONFIG!$G$4:$G$63,0)),"Por definir"))</f>
        <v/>
      </c>
      <c r="T1011" s="51" t="n"/>
      <c r="U1011" s="52" t="n"/>
      <c r="V1011" s="50" t="n"/>
      <c r="W1011" s="50" t="n"/>
      <c r="X1011" s="49">
        <f>IF(OR($B1011="",$M1011=""),"",WORKDAY($B1011,IFERROR(INDEX(CONFIG!$D$4:$D$63,MATCH($M1011,CONFIG!$A$4:$A$63,0)),3)))</f>
        <v/>
      </c>
      <c r="Y1011" s="47" t="n"/>
      <c r="Z1011" s="24">
        <f>IF($B1011="","",IF($Y1011&lt;&gt;"",$Y1011-$B1011,TODAY()-$B1011))</f>
        <v/>
      </c>
      <c r="AA1011" s="28">
        <f>IF($B1011="","",IF(IFERROR(INDEX(CONFIG!$L$4:$L$63,MATCH($V1011,CONFIG!$K$4:$K$63,0)),"NO")="SÍ",IF(OR($Y1011="",$X1011=""),"Resuelta",IF($Y1011&gt;$X1011,"Resuelta tarde","Resuelta a tiempo")),IF($X1011="","Sin clasificar",IF(TODAY()&gt;$X1011,"Vencida",IF(TODAY()&gt;=$X1011-1,"Por vencer","En plazo")))))</f>
        <v/>
      </c>
      <c r="AB1011" s="50" t="n"/>
      <c r="AC1011" s="50" t="n"/>
    </row>
    <row r="1012" ht="16" customHeight="1">
      <c r="A1012" s="28">
        <f>IF($B1012="","","N-"&amp;TEXT(ROW()-3,"0000"))</f>
        <v/>
      </c>
      <c r="B1012" s="47" t="n"/>
      <c r="C1012" s="48" t="n"/>
      <c r="D1012" s="48" t="n"/>
      <c r="E1012" s="28">
        <f>IF($C1012="","",IF($D1012="",IF($C1012="Interna","Sin guía (interna)","FALTA GUÍA"),IF(COUNTIFS(ENVIOS!$A$4:$A$3003,$D1012)=0,"NO EXISTE",IF(COUNTIFS(ENVIOS!$A$4:$A$3003,$D1012)&gt;1,"DUPLICADA","OK"))))</f>
        <v/>
      </c>
      <c r="F1012" s="28">
        <f>IF($D1012="","",IFERROR(INDEX(ENVIOS!$B$4:$B$3003,MATCH($D1012,ENVIOS!$A$4:$A$3003,0)),"—"))</f>
        <v/>
      </c>
      <c r="G1012" s="23">
        <f>IF($D1012="","",IFERROR(INDEX(ENVIOS!$D$4:$D$3003,MATCH($D1012,ENVIOS!$A$4:$A$3003,0)),"—"))</f>
        <v/>
      </c>
      <c r="H1012" s="23">
        <f>IF($D1012="","",IFERROR(INDEX(ENVIOS!$E$4:$E$3003,MATCH($D1012,ENVIOS!$A$4:$A$3003,0)),"—"))</f>
        <v/>
      </c>
      <c r="I1012" s="23">
        <f>IF($D1012="","",IFERROR(INDEX(ENVIOS!$F$4:$F$3003,MATCH($D1012,ENVIOS!$A$4:$A$3003,0)),"—"))</f>
        <v/>
      </c>
      <c r="J1012" s="23">
        <f>IF($D1012="","",IFERROR(INDEX(ENVIOS!$G$4:$G$3003,MATCH($D1012,ENVIOS!$A$4:$A$3003,0)),"—"))</f>
        <v/>
      </c>
      <c r="K1012" s="28">
        <f>IF($D1012="","",IFERROR(INDEX(ENVIOS!$H$4:$H$3003,MATCH($D1012,ENVIOS!$A$4:$A$3003,0)),"—"))</f>
        <v/>
      </c>
      <c r="L1012" s="49">
        <f>IF($D1012="","",IFERROR(INDEX(ENVIOS!$C$4:$C$3003,MATCH($D1012,ENVIOS!$A$4:$A$3003,0)),""))</f>
        <v/>
      </c>
      <c r="M1012" s="50" t="n"/>
      <c r="N1012" s="28">
        <f>IF($M1012="","",IFERROR(INDEX(CONFIG!$C$4:$C$63,MATCH($M1012,CONFIG!$A$4:$A$63,0)),"Media"))</f>
        <v/>
      </c>
      <c r="O1012" s="28">
        <f>IF($M1012="","",IF($C1012="Interna","NO",IFERROR(INDEX(CONFIG!$E$4:$E$63,MATCH($M1012,CONFIG!$A$4:$A$63,0)),"NO")))</f>
        <v/>
      </c>
      <c r="P1012" s="50" t="n"/>
      <c r="Q1012" s="50" t="n"/>
      <c r="R1012" s="28">
        <f>IF($Q1012="","",IFERROR(INDEX(CONFIG!$H$4:$H$63,MATCH($Q1012,CONFIG!$G$4:$G$63,0)),"Por definir"))</f>
        <v/>
      </c>
      <c r="S1012" s="28">
        <f>IF($Q1012="","",IFERROR(INDEX(CONFIG!$I$4:$I$63,MATCH($Q1012,CONFIG!$G$4:$G$63,0)),"Por definir"))</f>
        <v/>
      </c>
      <c r="T1012" s="51" t="n"/>
      <c r="U1012" s="52" t="n"/>
      <c r="V1012" s="50" t="n"/>
      <c r="W1012" s="50" t="n"/>
      <c r="X1012" s="49">
        <f>IF(OR($B1012="",$M1012=""),"",WORKDAY($B1012,IFERROR(INDEX(CONFIG!$D$4:$D$63,MATCH($M1012,CONFIG!$A$4:$A$63,0)),3)))</f>
        <v/>
      </c>
      <c r="Y1012" s="47" t="n"/>
      <c r="Z1012" s="24">
        <f>IF($B1012="","",IF($Y1012&lt;&gt;"",$Y1012-$B1012,TODAY()-$B1012))</f>
        <v/>
      </c>
      <c r="AA1012" s="28">
        <f>IF($B1012="","",IF(IFERROR(INDEX(CONFIG!$L$4:$L$63,MATCH($V1012,CONFIG!$K$4:$K$63,0)),"NO")="SÍ",IF(OR($Y1012="",$X1012=""),"Resuelta",IF($Y1012&gt;$X1012,"Resuelta tarde","Resuelta a tiempo")),IF($X1012="","Sin clasificar",IF(TODAY()&gt;$X1012,"Vencida",IF(TODAY()&gt;=$X1012-1,"Por vencer","En plazo")))))</f>
        <v/>
      </c>
      <c r="AB1012" s="50" t="n"/>
      <c r="AC1012" s="50" t="n"/>
    </row>
    <row r="1013" ht="16" customHeight="1">
      <c r="A1013" s="28">
        <f>IF($B1013="","","N-"&amp;TEXT(ROW()-3,"0000"))</f>
        <v/>
      </c>
      <c r="B1013" s="47" t="n"/>
      <c r="C1013" s="48" t="n"/>
      <c r="D1013" s="48" t="n"/>
      <c r="E1013" s="28">
        <f>IF($C1013="","",IF($D1013="",IF($C1013="Interna","Sin guía (interna)","FALTA GUÍA"),IF(COUNTIFS(ENVIOS!$A$4:$A$3003,$D1013)=0,"NO EXISTE",IF(COUNTIFS(ENVIOS!$A$4:$A$3003,$D1013)&gt;1,"DUPLICADA","OK"))))</f>
        <v/>
      </c>
      <c r="F1013" s="28">
        <f>IF($D1013="","",IFERROR(INDEX(ENVIOS!$B$4:$B$3003,MATCH($D1013,ENVIOS!$A$4:$A$3003,0)),"—"))</f>
        <v/>
      </c>
      <c r="G1013" s="23">
        <f>IF($D1013="","",IFERROR(INDEX(ENVIOS!$D$4:$D$3003,MATCH($D1013,ENVIOS!$A$4:$A$3003,0)),"—"))</f>
        <v/>
      </c>
      <c r="H1013" s="23">
        <f>IF($D1013="","",IFERROR(INDEX(ENVIOS!$E$4:$E$3003,MATCH($D1013,ENVIOS!$A$4:$A$3003,0)),"—"))</f>
        <v/>
      </c>
      <c r="I1013" s="23">
        <f>IF($D1013="","",IFERROR(INDEX(ENVIOS!$F$4:$F$3003,MATCH($D1013,ENVIOS!$A$4:$A$3003,0)),"—"))</f>
        <v/>
      </c>
      <c r="J1013" s="23">
        <f>IF($D1013="","",IFERROR(INDEX(ENVIOS!$G$4:$G$3003,MATCH($D1013,ENVIOS!$A$4:$A$3003,0)),"—"))</f>
        <v/>
      </c>
      <c r="K1013" s="28">
        <f>IF($D1013="","",IFERROR(INDEX(ENVIOS!$H$4:$H$3003,MATCH($D1013,ENVIOS!$A$4:$A$3003,0)),"—"))</f>
        <v/>
      </c>
      <c r="L1013" s="49">
        <f>IF($D1013="","",IFERROR(INDEX(ENVIOS!$C$4:$C$3003,MATCH($D1013,ENVIOS!$A$4:$A$3003,0)),""))</f>
        <v/>
      </c>
      <c r="M1013" s="50" t="n"/>
      <c r="N1013" s="28">
        <f>IF($M1013="","",IFERROR(INDEX(CONFIG!$C$4:$C$63,MATCH($M1013,CONFIG!$A$4:$A$63,0)),"Media"))</f>
        <v/>
      </c>
      <c r="O1013" s="28">
        <f>IF($M1013="","",IF($C1013="Interna","NO",IFERROR(INDEX(CONFIG!$E$4:$E$63,MATCH($M1013,CONFIG!$A$4:$A$63,0)),"NO")))</f>
        <v/>
      </c>
      <c r="P1013" s="50" t="n"/>
      <c r="Q1013" s="50" t="n"/>
      <c r="R1013" s="28">
        <f>IF($Q1013="","",IFERROR(INDEX(CONFIG!$H$4:$H$63,MATCH($Q1013,CONFIG!$G$4:$G$63,0)),"Por definir"))</f>
        <v/>
      </c>
      <c r="S1013" s="28">
        <f>IF($Q1013="","",IFERROR(INDEX(CONFIG!$I$4:$I$63,MATCH($Q1013,CONFIG!$G$4:$G$63,0)),"Por definir"))</f>
        <v/>
      </c>
      <c r="T1013" s="51" t="n"/>
      <c r="U1013" s="52" t="n"/>
      <c r="V1013" s="50" t="n"/>
      <c r="W1013" s="50" t="n"/>
      <c r="X1013" s="49">
        <f>IF(OR($B1013="",$M1013=""),"",WORKDAY($B1013,IFERROR(INDEX(CONFIG!$D$4:$D$63,MATCH($M1013,CONFIG!$A$4:$A$63,0)),3)))</f>
        <v/>
      </c>
      <c r="Y1013" s="47" t="n"/>
      <c r="Z1013" s="24">
        <f>IF($B1013="","",IF($Y1013&lt;&gt;"",$Y1013-$B1013,TODAY()-$B1013))</f>
        <v/>
      </c>
      <c r="AA1013" s="28">
        <f>IF($B1013="","",IF(IFERROR(INDEX(CONFIG!$L$4:$L$63,MATCH($V1013,CONFIG!$K$4:$K$63,0)),"NO")="SÍ",IF(OR($Y1013="",$X1013=""),"Resuelta",IF($Y1013&gt;$X1013,"Resuelta tarde","Resuelta a tiempo")),IF($X1013="","Sin clasificar",IF(TODAY()&gt;$X1013,"Vencida",IF(TODAY()&gt;=$X1013-1,"Por vencer","En plazo")))))</f>
        <v/>
      </c>
      <c r="AB1013" s="50" t="n"/>
      <c r="AC1013" s="50" t="n"/>
    </row>
    <row r="1014" ht="16" customHeight="1">
      <c r="A1014" s="28">
        <f>IF($B1014="","","N-"&amp;TEXT(ROW()-3,"0000"))</f>
        <v/>
      </c>
      <c r="B1014" s="47" t="n"/>
      <c r="C1014" s="48" t="n"/>
      <c r="D1014" s="48" t="n"/>
      <c r="E1014" s="28">
        <f>IF($C1014="","",IF($D1014="",IF($C1014="Interna","Sin guía (interna)","FALTA GUÍA"),IF(COUNTIFS(ENVIOS!$A$4:$A$3003,$D1014)=0,"NO EXISTE",IF(COUNTIFS(ENVIOS!$A$4:$A$3003,$D1014)&gt;1,"DUPLICADA","OK"))))</f>
        <v/>
      </c>
      <c r="F1014" s="28">
        <f>IF($D1014="","",IFERROR(INDEX(ENVIOS!$B$4:$B$3003,MATCH($D1014,ENVIOS!$A$4:$A$3003,0)),"—"))</f>
        <v/>
      </c>
      <c r="G1014" s="23">
        <f>IF($D1014="","",IFERROR(INDEX(ENVIOS!$D$4:$D$3003,MATCH($D1014,ENVIOS!$A$4:$A$3003,0)),"—"))</f>
        <v/>
      </c>
      <c r="H1014" s="23">
        <f>IF($D1014="","",IFERROR(INDEX(ENVIOS!$E$4:$E$3003,MATCH($D1014,ENVIOS!$A$4:$A$3003,0)),"—"))</f>
        <v/>
      </c>
      <c r="I1014" s="23">
        <f>IF($D1014="","",IFERROR(INDEX(ENVIOS!$F$4:$F$3003,MATCH($D1014,ENVIOS!$A$4:$A$3003,0)),"—"))</f>
        <v/>
      </c>
      <c r="J1014" s="23">
        <f>IF($D1014="","",IFERROR(INDEX(ENVIOS!$G$4:$G$3003,MATCH($D1014,ENVIOS!$A$4:$A$3003,0)),"—"))</f>
        <v/>
      </c>
      <c r="K1014" s="28">
        <f>IF($D1014="","",IFERROR(INDEX(ENVIOS!$H$4:$H$3003,MATCH($D1014,ENVIOS!$A$4:$A$3003,0)),"—"))</f>
        <v/>
      </c>
      <c r="L1014" s="49">
        <f>IF($D1014="","",IFERROR(INDEX(ENVIOS!$C$4:$C$3003,MATCH($D1014,ENVIOS!$A$4:$A$3003,0)),""))</f>
        <v/>
      </c>
      <c r="M1014" s="50" t="n"/>
      <c r="N1014" s="28">
        <f>IF($M1014="","",IFERROR(INDEX(CONFIG!$C$4:$C$63,MATCH($M1014,CONFIG!$A$4:$A$63,0)),"Media"))</f>
        <v/>
      </c>
      <c r="O1014" s="28">
        <f>IF($M1014="","",IF($C1014="Interna","NO",IFERROR(INDEX(CONFIG!$E$4:$E$63,MATCH($M1014,CONFIG!$A$4:$A$63,0)),"NO")))</f>
        <v/>
      </c>
      <c r="P1014" s="50" t="n"/>
      <c r="Q1014" s="50" t="n"/>
      <c r="R1014" s="28">
        <f>IF($Q1014="","",IFERROR(INDEX(CONFIG!$H$4:$H$63,MATCH($Q1014,CONFIG!$G$4:$G$63,0)),"Por definir"))</f>
        <v/>
      </c>
      <c r="S1014" s="28">
        <f>IF($Q1014="","",IFERROR(INDEX(CONFIG!$I$4:$I$63,MATCH($Q1014,CONFIG!$G$4:$G$63,0)),"Por definir"))</f>
        <v/>
      </c>
      <c r="T1014" s="51" t="n"/>
      <c r="U1014" s="52" t="n"/>
      <c r="V1014" s="50" t="n"/>
      <c r="W1014" s="50" t="n"/>
      <c r="X1014" s="49">
        <f>IF(OR($B1014="",$M1014=""),"",WORKDAY($B1014,IFERROR(INDEX(CONFIG!$D$4:$D$63,MATCH($M1014,CONFIG!$A$4:$A$63,0)),3)))</f>
        <v/>
      </c>
      <c r="Y1014" s="47" t="n"/>
      <c r="Z1014" s="24">
        <f>IF($B1014="","",IF($Y1014&lt;&gt;"",$Y1014-$B1014,TODAY()-$B1014))</f>
        <v/>
      </c>
      <c r="AA1014" s="28">
        <f>IF($B1014="","",IF(IFERROR(INDEX(CONFIG!$L$4:$L$63,MATCH($V1014,CONFIG!$K$4:$K$63,0)),"NO")="SÍ",IF(OR($Y1014="",$X1014=""),"Resuelta",IF($Y1014&gt;$X1014,"Resuelta tarde","Resuelta a tiempo")),IF($X1014="","Sin clasificar",IF(TODAY()&gt;$X1014,"Vencida",IF(TODAY()&gt;=$X1014-1,"Por vencer","En plazo")))))</f>
        <v/>
      </c>
      <c r="AB1014" s="50" t="n"/>
      <c r="AC1014" s="50" t="n"/>
    </row>
    <row r="1015" ht="16" customHeight="1">
      <c r="A1015" s="28">
        <f>IF($B1015="","","N-"&amp;TEXT(ROW()-3,"0000"))</f>
        <v/>
      </c>
      <c r="B1015" s="47" t="n"/>
      <c r="C1015" s="48" t="n"/>
      <c r="D1015" s="48" t="n"/>
      <c r="E1015" s="28">
        <f>IF($C1015="","",IF($D1015="",IF($C1015="Interna","Sin guía (interna)","FALTA GUÍA"),IF(COUNTIFS(ENVIOS!$A$4:$A$3003,$D1015)=0,"NO EXISTE",IF(COUNTIFS(ENVIOS!$A$4:$A$3003,$D1015)&gt;1,"DUPLICADA","OK"))))</f>
        <v/>
      </c>
      <c r="F1015" s="28">
        <f>IF($D1015="","",IFERROR(INDEX(ENVIOS!$B$4:$B$3003,MATCH($D1015,ENVIOS!$A$4:$A$3003,0)),"—"))</f>
        <v/>
      </c>
      <c r="G1015" s="23">
        <f>IF($D1015="","",IFERROR(INDEX(ENVIOS!$D$4:$D$3003,MATCH($D1015,ENVIOS!$A$4:$A$3003,0)),"—"))</f>
        <v/>
      </c>
      <c r="H1015" s="23">
        <f>IF($D1015="","",IFERROR(INDEX(ENVIOS!$E$4:$E$3003,MATCH($D1015,ENVIOS!$A$4:$A$3003,0)),"—"))</f>
        <v/>
      </c>
      <c r="I1015" s="23">
        <f>IF($D1015="","",IFERROR(INDEX(ENVIOS!$F$4:$F$3003,MATCH($D1015,ENVIOS!$A$4:$A$3003,0)),"—"))</f>
        <v/>
      </c>
      <c r="J1015" s="23">
        <f>IF($D1015="","",IFERROR(INDEX(ENVIOS!$G$4:$G$3003,MATCH($D1015,ENVIOS!$A$4:$A$3003,0)),"—"))</f>
        <v/>
      </c>
      <c r="K1015" s="28">
        <f>IF($D1015="","",IFERROR(INDEX(ENVIOS!$H$4:$H$3003,MATCH($D1015,ENVIOS!$A$4:$A$3003,0)),"—"))</f>
        <v/>
      </c>
      <c r="L1015" s="49">
        <f>IF($D1015="","",IFERROR(INDEX(ENVIOS!$C$4:$C$3003,MATCH($D1015,ENVIOS!$A$4:$A$3003,0)),""))</f>
        <v/>
      </c>
      <c r="M1015" s="50" t="n"/>
      <c r="N1015" s="28">
        <f>IF($M1015="","",IFERROR(INDEX(CONFIG!$C$4:$C$63,MATCH($M1015,CONFIG!$A$4:$A$63,0)),"Media"))</f>
        <v/>
      </c>
      <c r="O1015" s="28">
        <f>IF($M1015="","",IF($C1015="Interna","NO",IFERROR(INDEX(CONFIG!$E$4:$E$63,MATCH($M1015,CONFIG!$A$4:$A$63,0)),"NO")))</f>
        <v/>
      </c>
      <c r="P1015" s="50" t="n"/>
      <c r="Q1015" s="50" t="n"/>
      <c r="R1015" s="28">
        <f>IF($Q1015="","",IFERROR(INDEX(CONFIG!$H$4:$H$63,MATCH($Q1015,CONFIG!$G$4:$G$63,0)),"Por definir"))</f>
        <v/>
      </c>
      <c r="S1015" s="28">
        <f>IF($Q1015="","",IFERROR(INDEX(CONFIG!$I$4:$I$63,MATCH($Q1015,CONFIG!$G$4:$G$63,0)),"Por definir"))</f>
        <v/>
      </c>
      <c r="T1015" s="51" t="n"/>
      <c r="U1015" s="52" t="n"/>
      <c r="V1015" s="50" t="n"/>
      <c r="W1015" s="50" t="n"/>
      <c r="X1015" s="49">
        <f>IF(OR($B1015="",$M1015=""),"",WORKDAY($B1015,IFERROR(INDEX(CONFIG!$D$4:$D$63,MATCH($M1015,CONFIG!$A$4:$A$63,0)),3)))</f>
        <v/>
      </c>
      <c r="Y1015" s="47" t="n"/>
      <c r="Z1015" s="24">
        <f>IF($B1015="","",IF($Y1015&lt;&gt;"",$Y1015-$B1015,TODAY()-$B1015))</f>
        <v/>
      </c>
      <c r="AA1015" s="28">
        <f>IF($B1015="","",IF(IFERROR(INDEX(CONFIG!$L$4:$L$63,MATCH($V1015,CONFIG!$K$4:$K$63,0)),"NO")="SÍ",IF(OR($Y1015="",$X1015=""),"Resuelta",IF($Y1015&gt;$X1015,"Resuelta tarde","Resuelta a tiempo")),IF($X1015="","Sin clasificar",IF(TODAY()&gt;$X1015,"Vencida",IF(TODAY()&gt;=$X1015-1,"Por vencer","En plazo")))))</f>
        <v/>
      </c>
      <c r="AB1015" s="50" t="n"/>
      <c r="AC1015" s="50" t="n"/>
    </row>
    <row r="1016" ht="16" customHeight="1">
      <c r="A1016" s="28">
        <f>IF($B1016="","","N-"&amp;TEXT(ROW()-3,"0000"))</f>
        <v/>
      </c>
      <c r="B1016" s="47" t="n"/>
      <c r="C1016" s="48" t="n"/>
      <c r="D1016" s="48" t="n"/>
      <c r="E1016" s="28">
        <f>IF($C1016="","",IF($D1016="",IF($C1016="Interna","Sin guía (interna)","FALTA GUÍA"),IF(COUNTIFS(ENVIOS!$A$4:$A$3003,$D1016)=0,"NO EXISTE",IF(COUNTIFS(ENVIOS!$A$4:$A$3003,$D1016)&gt;1,"DUPLICADA","OK"))))</f>
        <v/>
      </c>
      <c r="F1016" s="28">
        <f>IF($D1016="","",IFERROR(INDEX(ENVIOS!$B$4:$B$3003,MATCH($D1016,ENVIOS!$A$4:$A$3003,0)),"—"))</f>
        <v/>
      </c>
      <c r="G1016" s="23">
        <f>IF($D1016="","",IFERROR(INDEX(ENVIOS!$D$4:$D$3003,MATCH($D1016,ENVIOS!$A$4:$A$3003,0)),"—"))</f>
        <v/>
      </c>
      <c r="H1016" s="23">
        <f>IF($D1016="","",IFERROR(INDEX(ENVIOS!$E$4:$E$3003,MATCH($D1016,ENVIOS!$A$4:$A$3003,0)),"—"))</f>
        <v/>
      </c>
      <c r="I1016" s="23">
        <f>IF($D1016="","",IFERROR(INDEX(ENVIOS!$F$4:$F$3003,MATCH($D1016,ENVIOS!$A$4:$A$3003,0)),"—"))</f>
        <v/>
      </c>
      <c r="J1016" s="23">
        <f>IF($D1016="","",IFERROR(INDEX(ENVIOS!$G$4:$G$3003,MATCH($D1016,ENVIOS!$A$4:$A$3003,0)),"—"))</f>
        <v/>
      </c>
      <c r="K1016" s="28">
        <f>IF($D1016="","",IFERROR(INDEX(ENVIOS!$H$4:$H$3003,MATCH($D1016,ENVIOS!$A$4:$A$3003,0)),"—"))</f>
        <v/>
      </c>
      <c r="L1016" s="49">
        <f>IF($D1016="","",IFERROR(INDEX(ENVIOS!$C$4:$C$3003,MATCH($D1016,ENVIOS!$A$4:$A$3003,0)),""))</f>
        <v/>
      </c>
      <c r="M1016" s="50" t="n"/>
      <c r="N1016" s="28">
        <f>IF($M1016="","",IFERROR(INDEX(CONFIG!$C$4:$C$63,MATCH($M1016,CONFIG!$A$4:$A$63,0)),"Media"))</f>
        <v/>
      </c>
      <c r="O1016" s="28">
        <f>IF($M1016="","",IF($C1016="Interna","NO",IFERROR(INDEX(CONFIG!$E$4:$E$63,MATCH($M1016,CONFIG!$A$4:$A$63,0)),"NO")))</f>
        <v/>
      </c>
      <c r="P1016" s="50" t="n"/>
      <c r="Q1016" s="50" t="n"/>
      <c r="R1016" s="28">
        <f>IF($Q1016="","",IFERROR(INDEX(CONFIG!$H$4:$H$63,MATCH($Q1016,CONFIG!$G$4:$G$63,0)),"Por definir"))</f>
        <v/>
      </c>
      <c r="S1016" s="28">
        <f>IF($Q1016="","",IFERROR(INDEX(CONFIG!$I$4:$I$63,MATCH($Q1016,CONFIG!$G$4:$G$63,0)),"Por definir"))</f>
        <v/>
      </c>
      <c r="T1016" s="51" t="n"/>
      <c r="U1016" s="52" t="n"/>
      <c r="V1016" s="50" t="n"/>
      <c r="W1016" s="50" t="n"/>
      <c r="X1016" s="49">
        <f>IF(OR($B1016="",$M1016=""),"",WORKDAY($B1016,IFERROR(INDEX(CONFIG!$D$4:$D$63,MATCH($M1016,CONFIG!$A$4:$A$63,0)),3)))</f>
        <v/>
      </c>
      <c r="Y1016" s="47" t="n"/>
      <c r="Z1016" s="24">
        <f>IF($B1016="","",IF($Y1016&lt;&gt;"",$Y1016-$B1016,TODAY()-$B1016))</f>
        <v/>
      </c>
      <c r="AA1016" s="28">
        <f>IF($B1016="","",IF(IFERROR(INDEX(CONFIG!$L$4:$L$63,MATCH($V1016,CONFIG!$K$4:$K$63,0)),"NO")="SÍ",IF(OR($Y1016="",$X1016=""),"Resuelta",IF($Y1016&gt;$X1016,"Resuelta tarde","Resuelta a tiempo")),IF($X1016="","Sin clasificar",IF(TODAY()&gt;$X1016,"Vencida",IF(TODAY()&gt;=$X1016-1,"Por vencer","En plazo")))))</f>
        <v/>
      </c>
      <c r="AB1016" s="50" t="n"/>
      <c r="AC1016" s="50" t="n"/>
    </row>
    <row r="1017" ht="16" customHeight="1">
      <c r="A1017" s="28">
        <f>IF($B1017="","","N-"&amp;TEXT(ROW()-3,"0000"))</f>
        <v/>
      </c>
      <c r="B1017" s="47" t="n"/>
      <c r="C1017" s="48" t="n"/>
      <c r="D1017" s="48" t="n"/>
      <c r="E1017" s="28">
        <f>IF($C1017="","",IF($D1017="",IF($C1017="Interna","Sin guía (interna)","FALTA GUÍA"),IF(COUNTIFS(ENVIOS!$A$4:$A$3003,$D1017)=0,"NO EXISTE",IF(COUNTIFS(ENVIOS!$A$4:$A$3003,$D1017)&gt;1,"DUPLICADA","OK"))))</f>
        <v/>
      </c>
      <c r="F1017" s="28">
        <f>IF($D1017="","",IFERROR(INDEX(ENVIOS!$B$4:$B$3003,MATCH($D1017,ENVIOS!$A$4:$A$3003,0)),"—"))</f>
        <v/>
      </c>
      <c r="G1017" s="23">
        <f>IF($D1017="","",IFERROR(INDEX(ENVIOS!$D$4:$D$3003,MATCH($D1017,ENVIOS!$A$4:$A$3003,0)),"—"))</f>
        <v/>
      </c>
      <c r="H1017" s="23">
        <f>IF($D1017="","",IFERROR(INDEX(ENVIOS!$E$4:$E$3003,MATCH($D1017,ENVIOS!$A$4:$A$3003,0)),"—"))</f>
        <v/>
      </c>
      <c r="I1017" s="23">
        <f>IF($D1017="","",IFERROR(INDEX(ENVIOS!$F$4:$F$3003,MATCH($D1017,ENVIOS!$A$4:$A$3003,0)),"—"))</f>
        <v/>
      </c>
      <c r="J1017" s="23">
        <f>IF($D1017="","",IFERROR(INDEX(ENVIOS!$G$4:$G$3003,MATCH($D1017,ENVIOS!$A$4:$A$3003,0)),"—"))</f>
        <v/>
      </c>
      <c r="K1017" s="28">
        <f>IF($D1017="","",IFERROR(INDEX(ENVIOS!$H$4:$H$3003,MATCH($D1017,ENVIOS!$A$4:$A$3003,0)),"—"))</f>
        <v/>
      </c>
      <c r="L1017" s="49">
        <f>IF($D1017="","",IFERROR(INDEX(ENVIOS!$C$4:$C$3003,MATCH($D1017,ENVIOS!$A$4:$A$3003,0)),""))</f>
        <v/>
      </c>
      <c r="M1017" s="50" t="n"/>
      <c r="N1017" s="28">
        <f>IF($M1017="","",IFERROR(INDEX(CONFIG!$C$4:$C$63,MATCH($M1017,CONFIG!$A$4:$A$63,0)),"Media"))</f>
        <v/>
      </c>
      <c r="O1017" s="28">
        <f>IF($M1017="","",IF($C1017="Interna","NO",IFERROR(INDEX(CONFIG!$E$4:$E$63,MATCH($M1017,CONFIG!$A$4:$A$63,0)),"NO")))</f>
        <v/>
      </c>
      <c r="P1017" s="50" t="n"/>
      <c r="Q1017" s="50" t="n"/>
      <c r="R1017" s="28">
        <f>IF($Q1017="","",IFERROR(INDEX(CONFIG!$H$4:$H$63,MATCH($Q1017,CONFIG!$G$4:$G$63,0)),"Por definir"))</f>
        <v/>
      </c>
      <c r="S1017" s="28">
        <f>IF($Q1017="","",IFERROR(INDEX(CONFIG!$I$4:$I$63,MATCH($Q1017,CONFIG!$G$4:$G$63,0)),"Por definir"))</f>
        <v/>
      </c>
      <c r="T1017" s="51" t="n"/>
      <c r="U1017" s="52" t="n"/>
      <c r="V1017" s="50" t="n"/>
      <c r="W1017" s="50" t="n"/>
      <c r="X1017" s="49">
        <f>IF(OR($B1017="",$M1017=""),"",WORKDAY($B1017,IFERROR(INDEX(CONFIG!$D$4:$D$63,MATCH($M1017,CONFIG!$A$4:$A$63,0)),3)))</f>
        <v/>
      </c>
      <c r="Y1017" s="47" t="n"/>
      <c r="Z1017" s="24">
        <f>IF($B1017="","",IF($Y1017&lt;&gt;"",$Y1017-$B1017,TODAY()-$B1017))</f>
        <v/>
      </c>
      <c r="AA1017" s="28">
        <f>IF($B1017="","",IF(IFERROR(INDEX(CONFIG!$L$4:$L$63,MATCH($V1017,CONFIG!$K$4:$K$63,0)),"NO")="SÍ",IF(OR($Y1017="",$X1017=""),"Resuelta",IF($Y1017&gt;$X1017,"Resuelta tarde","Resuelta a tiempo")),IF($X1017="","Sin clasificar",IF(TODAY()&gt;$X1017,"Vencida",IF(TODAY()&gt;=$X1017-1,"Por vencer","En plazo")))))</f>
        <v/>
      </c>
      <c r="AB1017" s="50" t="n"/>
      <c r="AC1017" s="50" t="n"/>
    </row>
    <row r="1018" ht="16" customHeight="1">
      <c r="A1018" s="28">
        <f>IF($B1018="","","N-"&amp;TEXT(ROW()-3,"0000"))</f>
        <v/>
      </c>
      <c r="B1018" s="47" t="n"/>
      <c r="C1018" s="48" t="n"/>
      <c r="D1018" s="48" t="n"/>
      <c r="E1018" s="28">
        <f>IF($C1018="","",IF($D1018="",IF($C1018="Interna","Sin guía (interna)","FALTA GUÍA"),IF(COUNTIFS(ENVIOS!$A$4:$A$3003,$D1018)=0,"NO EXISTE",IF(COUNTIFS(ENVIOS!$A$4:$A$3003,$D1018)&gt;1,"DUPLICADA","OK"))))</f>
        <v/>
      </c>
      <c r="F1018" s="28">
        <f>IF($D1018="","",IFERROR(INDEX(ENVIOS!$B$4:$B$3003,MATCH($D1018,ENVIOS!$A$4:$A$3003,0)),"—"))</f>
        <v/>
      </c>
      <c r="G1018" s="23">
        <f>IF($D1018="","",IFERROR(INDEX(ENVIOS!$D$4:$D$3003,MATCH($D1018,ENVIOS!$A$4:$A$3003,0)),"—"))</f>
        <v/>
      </c>
      <c r="H1018" s="23">
        <f>IF($D1018="","",IFERROR(INDEX(ENVIOS!$E$4:$E$3003,MATCH($D1018,ENVIOS!$A$4:$A$3003,0)),"—"))</f>
        <v/>
      </c>
      <c r="I1018" s="23">
        <f>IF($D1018="","",IFERROR(INDEX(ENVIOS!$F$4:$F$3003,MATCH($D1018,ENVIOS!$A$4:$A$3003,0)),"—"))</f>
        <v/>
      </c>
      <c r="J1018" s="23">
        <f>IF($D1018="","",IFERROR(INDEX(ENVIOS!$G$4:$G$3003,MATCH($D1018,ENVIOS!$A$4:$A$3003,0)),"—"))</f>
        <v/>
      </c>
      <c r="K1018" s="28">
        <f>IF($D1018="","",IFERROR(INDEX(ENVIOS!$H$4:$H$3003,MATCH($D1018,ENVIOS!$A$4:$A$3003,0)),"—"))</f>
        <v/>
      </c>
      <c r="L1018" s="49">
        <f>IF($D1018="","",IFERROR(INDEX(ENVIOS!$C$4:$C$3003,MATCH($D1018,ENVIOS!$A$4:$A$3003,0)),""))</f>
        <v/>
      </c>
      <c r="M1018" s="50" t="n"/>
      <c r="N1018" s="28">
        <f>IF($M1018="","",IFERROR(INDEX(CONFIG!$C$4:$C$63,MATCH($M1018,CONFIG!$A$4:$A$63,0)),"Media"))</f>
        <v/>
      </c>
      <c r="O1018" s="28">
        <f>IF($M1018="","",IF($C1018="Interna","NO",IFERROR(INDEX(CONFIG!$E$4:$E$63,MATCH($M1018,CONFIG!$A$4:$A$63,0)),"NO")))</f>
        <v/>
      </c>
      <c r="P1018" s="50" t="n"/>
      <c r="Q1018" s="50" t="n"/>
      <c r="R1018" s="28">
        <f>IF($Q1018="","",IFERROR(INDEX(CONFIG!$H$4:$H$63,MATCH($Q1018,CONFIG!$G$4:$G$63,0)),"Por definir"))</f>
        <v/>
      </c>
      <c r="S1018" s="28">
        <f>IF($Q1018="","",IFERROR(INDEX(CONFIG!$I$4:$I$63,MATCH($Q1018,CONFIG!$G$4:$G$63,0)),"Por definir"))</f>
        <v/>
      </c>
      <c r="T1018" s="51" t="n"/>
      <c r="U1018" s="52" t="n"/>
      <c r="V1018" s="50" t="n"/>
      <c r="W1018" s="50" t="n"/>
      <c r="X1018" s="49">
        <f>IF(OR($B1018="",$M1018=""),"",WORKDAY($B1018,IFERROR(INDEX(CONFIG!$D$4:$D$63,MATCH($M1018,CONFIG!$A$4:$A$63,0)),3)))</f>
        <v/>
      </c>
      <c r="Y1018" s="47" t="n"/>
      <c r="Z1018" s="24">
        <f>IF($B1018="","",IF($Y1018&lt;&gt;"",$Y1018-$B1018,TODAY()-$B1018))</f>
        <v/>
      </c>
      <c r="AA1018" s="28">
        <f>IF($B1018="","",IF(IFERROR(INDEX(CONFIG!$L$4:$L$63,MATCH($V1018,CONFIG!$K$4:$K$63,0)),"NO")="SÍ",IF(OR($Y1018="",$X1018=""),"Resuelta",IF($Y1018&gt;$X1018,"Resuelta tarde","Resuelta a tiempo")),IF($X1018="","Sin clasificar",IF(TODAY()&gt;$X1018,"Vencida",IF(TODAY()&gt;=$X1018-1,"Por vencer","En plazo")))))</f>
        <v/>
      </c>
      <c r="AB1018" s="50" t="n"/>
      <c r="AC1018" s="50" t="n"/>
    </row>
    <row r="1019" ht="16" customHeight="1">
      <c r="A1019" s="28">
        <f>IF($B1019="","","N-"&amp;TEXT(ROW()-3,"0000"))</f>
        <v/>
      </c>
      <c r="B1019" s="47" t="n"/>
      <c r="C1019" s="48" t="n"/>
      <c r="D1019" s="48" t="n"/>
      <c r="E1019" s="28">
        <f>IF($C1019="","",IF($D1019="",IF($C1019="Interna","Sin guía (interna)","FALTA GUÍA"),IF(COUNTIFS(ENVIOS!$A$4:$A$3003,$D1019)=0,"NO EXISTE",IF(COUNTIFS(ENVIOS!$A$4:$A$3003,$D1019)&gt;1,"DUPLICADA","OK"))))</f>
        <v/>
      </c>
      <c r="F1019" s="28">
        <f>IF($D1019="","",IFERROR(INDEX(ENVIOS!$B$4:$B$3003,MATCH($D1019,ENVIOS!$A$4:$A$3003,0)),"—"))</f>
        <v/>
      </c>
      <c r="G1019" s="23">
        <f>IF($D1019="","",IFERROR(INDEX(ENVIOS!$D$4:$D$3003,MATCH($D1019,ENVIOS!$A$4:$A$3003,0)),"—"))</f>
        <v/>
      </c>
      <c r="H1019" s="23">
        <f>IF($D1019="","",IFERROR(INDEX(ENVIOS!$E$4:$E$3003,MATCH($D1019,ENVIOS!$A$4:$A$3003,0)),"—"))</f>
        <v/>
      </c>
      <c r="I1019" s="23">
        <f>IF($D1019="","",IFERROR(INDEX(ENVIOS!$F$4:$F$3003,MATCH($D1019,ENVIOS!$A$4:$A$3003,0)),"—"))</f>
        <v/>
      </c>
      <c r="J1019" s="23">
        <f>IF($D1019="","",IFERROR(INDEX(ENVIOS!$G$4:$G$3003,MATCH($D1019,ENVIOS!$A$4:$A$3003,0)),"—"))</f>
        <v/>
      </c>
      <c r="K1019" s="28">
        <f>IF($D1019="","",IFERROR(INDEX(ENVIOS!$H$4:$H$3003,MATCH($D1019,ENVIOS!$A$4:$A$3003,0)),"—"))</f>
        <v/>
      </c>
      <c r="L1019" s="49">
        <f>IF($D1019="","",IFERROR(INDEX(ENVIOS!$C$4:$C$3003,MATCH($D1019,ENVIOS!$A$4:$A$3003,0)),""))</f>
        <v/>
      </c>
      <c r="M1019" s="50" t="n"/>
      <c r="N1019" s="28">
        <f>IF($M1019="","",IFERROR(INDEX(CONFIG!$C$4:$C$63,MATCH($M1019,CONFIG!$A$4:$A$63,0)),"Media"))</f>
        <v/>
      </c>
      <c r="O1019" s="28">
        <f>IF($M1019="","",IF($C1019="Interna","NO",IFERROR(INDEX(CONFIG!$E$4:$E$63,MATCH($M1019,CONFIG!$A$4:$A$63,0)),"NO")))</f>
        <v/>
      </c>
      <c r="P1019" s="50" t="n"/>
      <c r="Q1019" s="50" t="n"/>
      <c r="R1019" s="28">
        <f>IF($Q1019="","",IFERROR(INDEX(CONFIG!$H$4:$H$63,MATCH($Q1019,CONFIG!$G$4:$G$63,0)),"Por definir"))</f>
        <v/>
      </c>
      <c r="S1019" s="28">
        <f>IF($Q1019="","",IFERROR(INDEX(CONFIG!$I$4:$I$63,MATCH($Q1019,CONFIG!$G$4:$G$63,0)),"Por definir"))</f>
        <v/>
      </c>
      <c r="T1019" s="51" t="n"/>
      <c r="U1019" s="52" t="n"/>
      <c r="V1019" s="50" t="n"/>
      <c r="W1019" s="50" t="n"/>
      <c r="X1019" s="49">
        <f>IF(OR($B1019="",$M1019=""),"",WORKDAY($B1019,IFERROR(INDEX(CONFIG!$D$4:$D$63,MATCH($M1019,CONFIG!$A$4:$A$63,0)),3)))</f>
        <v/>
      </c>
      <c r="Y1019" s="47" t="n"/>
      <c r="Z1019" s="24">
        <f>IF($B1019="","",IF($Y1019&lt;&gt;"",$Y1019-$B1019,TODAY()-$B1019))</f>
        <v/>
      </c>
      <c r="AA1019" s="28">
        <f>IF($B1019="","",IF(IFERROR(INDEX(CONFIG!$L$4:$L$63,MATCH($V1019,CONFIG!$K$4:$K$63,0)),"NO")="SÍ",IF(OR($Y1019="",$X1019=""),"Resuelta",IF($Y1019&gt;$X1019,"Resuelta tarde","Resuelta a tiempo")),IF($X1019="","Sin clasificar",IF(TODAY()&gt;$X1019,"Vencida",IF(TODAY()&gt;=$X1019-1,"Por vencer","En plazo")))))</f>
        <v/>
      </c>
      <c r="AB1019" s="50" t="n"/>
      <c r="AC1019" s="50" t="n"/>
    </row>
    <row r="1020" ht="16" customHeight="1">
      <c r="A1020" s="28">
        <f>IF($B1020="","","N-"&amp;TEXT(ROW()-3,"0000"))</f>
        <v/>
      </c>
      <c r="B1020" s="47" t="n"/>
      <c r="C1020" s="48" t="n"/>
      <c r="D1020" s="48" t="n"/>
      <c r="E1020" s="28">
        <f>IF($C1020="","",IF($D1020="",IF($C1020="Interna","Sin guía (interna)","FALTA GUÍA"),IF(COUNTIFS(ENVIOS!$A$4:$A$3003,$D1020)=0,"NO EXISTE",IF(COUNTIFS(ENVIOS!$A$4:$A$3003,$D1020)&gt;1,"DUPLICADA","OK"))))</f>
        <v/>
      </c>
      <c r="F1020" s="28">
        <f>IF($D1020="","",IFERROR(INDEX(ENVIOS!$B$4:$B$3003,MATCH($D1020,ENVIOS!$A$4:$A$3003,0)),"—"))</f>
        <v/>
      </c>
      <c r="G1020" s="23">
        <f>IF($D1020="","",IFERROR(INDEX(ENVIOS!$D$4:$D$3003,MATCH($D1020,ENVIOS!$A$4:$A$3003,0)),"—"))</f>
        <v/>
      </c>
      <c r="H1020" s="23">
        <f>IF($D1020="","",IFERROR(INDEX(ENVIOS!$E$4:$E$3003,MATCH($D1020,ENVIOS!$A$4:$A$3003,0)),"—"))</f>
        <v/>
      </c>
      <c r="I1020" s="23">
        <f>IF($D1020="","",IFERROR(INDEX(ENVIOS!$F$4:$F$3003,MATCH($D1020,ENVIOS!$A$4:$A$3003,0)),"—"))</f>
        <v/>
      </c>
      <c r="J1020" s="23">
        <f>IF($D1020="","",IFERROR(INDEX(ENVIOS!$G$4:$G$3003,MATCH($D1020,ENVIOS!$A$4:$A$3003,0)),"—"))</f>
        <v/>
      </c>
      <c r="K1020" s="28">
        <f>IF($D1020="","",IFERROR(INDEX(ENVIOS!$H$4:$H$3003,MATCH($D1020,ENVIOS!$A$4:$A$3003,0)),"—"))</f>
        <v/>
      </c>
      <c r="L1020" s="49">
        <f>IF($D1020="","",IFERROR(INDEX(ENVIOS!$C$4:$C$3003,MATCH($D1020,ENVIOS!$A$4:$A$3003,0)),""))</f>
        <v/>
      </c>
      <c r="M1020" s="50" t="n"/>
      <c r="N1020" s="28">
        <f>IF($M1020="","",IFERROR(INDEX(CONFIG!$C$4:$C$63,MATCH($M1020,CONFIG!$A$4:$A$63,0)),"Media"))</f>
        <v/>
      </c>
      <c r="O1020" s="28">
        <f>IF($M1020="","",IF($C1020="Interna","NO",IFERROR(INDEX(CONFIG!$E$4:$E$63,MATCH($M1020,CONFIG!$A$4:$A$63,0)),"NO")))</f>
        <v/>
      </c>
      <c r="P1020" s="50" t="n"/>
      <c r="Q1020" s="50" t="n"/>
      <c r="R1020" s="28">
        <f>IF($Q1020="","",IFERROR(INDEX(CONFIG!$H$4:$H$63,MATCH($Q1020,CONFIG!$G$4:$G$63,0)),"Por definir"))</f>
        <v/>
      </c>
      <c r="S1020" s="28">
        <f>IF($Q1020="","",IFERROR(INDEX(CONFIG!$I$4:$I$63,MATCH($Q1020,CONFIG!$G$4:$G$63,0)),"Por definir"))</f>
        <v/>
      </c>
      <c r="T1020" s="51" t="n"/>
      <c r="U1020" s="52" t="n"/>
      <c r="V1020" s="50" t="n"/>
      <c r="W1020" s="50" t="n"/>
      <c r="X1020" s="49">
        <f>IF(OR($B1020="",$M1020=""),"",WORKDAY($B1020,IFERROR(INDEX(CONFIG!$D$4:$D$63,MATCH($M1020,CONFIG!$A$4:$A$63,0)),3)))</f>
        <v/>
      </c>
      <c r="Y1020" s="47" t="n"/>
      <c r="Z1020" s="24">
        <f>IF($B1020="","",IF($Y1020&lt;&gt;"",$Y1020-$B1020,TODAY()-$B1020))</f>
        <v/>
      </c>
      <c r="AA1020" s="28">
        <f>IF($B1020="","",IF(IFERROR(INDEX(CONFIG!$L$4:$L$63,MATCH($V1020,CONFIG!$K$4:$K$63,0)),"NO")="SÍ",IF(OR($Y1020="",$X1020=""),"Resuelta",IF($Y1020&gt;$X1020,"Resuelta tarde","Resuelta a tiempo")),IF($X1020="","Sin clasificar",IF(TODAY()&gt;$X1020,"Vencida",IF(TODAY()&gt;=$X1020-1,"Por vencer","En plazo")))))</f>
        <v/>
      </c>
      <c r="AB1020" s="50" t="n"/>
      <c r="AC1020" s="50" t="n"/>
    </row>
    <row r="1021" ht="16" customHeight="1">
      <c r="A1021" s="28">
        <f>IF($B1021="","","N-"&amp;TEXT(ROW()-3,"0000"))</f>
        <v/>
      </c>
      <c r="B1021" s="47" t="n"/>
      <c r="C1021" s="48" t="n"/>
      <c r="D1021" s="48" t="n"/>
      <c r="E1021" s="28">
        <f>IF($C1021="","",IF($D1021="",IF($C1021="Interna","Sin guía (interna)","FALTA GUÍA"),IF(COUNTIFS(ENVIOS!$A$4:$A$3003,$D1021)=0,"NO EXISTE",IF(COUNTIFS(ENVIOS!$A$4:$A$3003,$D1021)&gt;1,"DUPLICADA","OK"))))</f>
        <v/>
      </c>
      <c r="F1021" s="28">
        <f>IF($D1021="","",IFERROR(INDEX(ENVIOS!$B$4:$B$3003,MATCH($D1021,ENVIOS!$A$4:$A$3003,0)),"—"))</f>
        <v/>
      </c>
      <c r="G1021" s="23">
        <f>IF($D1021="","",IFERROR(INDEX(ENVIOS!$D$4:$D$3003,MATCH($D1021,ENVIOS!$A$4:$A$3003,0)),"—"))</f>
        <v/>
      </c>
      <c r="H1021" s="23">
        <f>IF($D1021="","",IFERROR(INDEX(ENVIOS!$E$4:$E$3003,MATCH($D1021,ENVIOS!$A$4:$A$3003,0)),"—"))</f>
        <v/>
      </c>
      <c r="I1021" s="23">
        <f>IF($D1021="","",IFERROR(INDEX(ENVIOS!$F$4:$F$3003,MATCH($D1021,ENVIOS!$A$4:$A$3003,0)),"—"))</f>
        <v/>
      </c>
      <c r="J1021" s="23">
        <f>IF($D1021="","",IFERROR(INDEX(ENVIOS!$G$4:$G$3003,MATCH($D1021,ENVIOS!$A$4:$A$3003,0)),"—"))</f>
        <v/>
      </c>
      <c r="K1021" s="28">
        <f>IF($D1021="","",IFERROR(INDEX(ENVIOS!$H$4:$H$3003,MATCH($D1021,ENVIOS!$A$4:$A$3003,0)),"—"))</f>
        <v/>
      </c>
      <c r="L1021" s="49">
        <f>IF($D1021="","",IFERROR(INDEX(ENVIOS!$C$4:$C$3003,MATCH($D1021,ENVIOS!$A$4:$A$3003,0)),""))</f>
        <v/>
      </c>
      <c r="M1021" s="50" t="n"/>
      <c r="N1021" s="28">
        <f>IF($M1021="","",IFERROR(INDEX(CONFIG!$C$4:$C$63,MATCH($M1021,CONFIG!$A$4:$A$63,0)),"Media"))</f>
        <v/>
      </c>
      <c r="O1021" s="28">
        <f>IF($M1021="","",IF($C1021="Interna","NO",IFERROR(INDEX(CONFIG!$E$4:$E$63,MATCH($M1021,CONFIG!$A$4:$A$63,0)),"NO")))</f>
        <v/>
      </c>
      <c r="P1021" s="50" t="n"/>
      <c r="Q1021" s="50" t="n"/>
      <c r="R1021" s="28">
        <f>IF($Q1021="","",IFERROR(INDEX(CONFIG!$H$4:$H$63,MATCH($Q1021,CONFIG!$G$4:$G$63,0)),"Por definir"))</f>
        <v/>
      </c>
      <c r="S1021" s="28">
        <f>IF($Q1021="","",IFERROR(INDEX(CONFIG!$I$4:$I$63,MATCH($Q1021,CONFIG!$G$4:$G$63,0)),"Por definir"))</f>
        <v/>
      </c>
      <c r="T1021" s="51" t="n"/>
      <c r="U1021" s="52" t="n"/>
      <c r="V1021" s="50" t="n"/>
      <c r="W1021" s="50" t="n"/>
      <c r="X1021" s="49">
        <f>IF(OR($B1021="",$M1021=""),"",WORKDAY($B1021,IFERROR(INDEX(CONFIG!$D$4:$D$63,MATCH($M1021,CONFIG!$A$4:$A$63,0)),3)))</f>
        <v/>
      </c>
      <c r="Y1021" s="47" t="n"/>
      <c r="Z1021" s="24">
        <f>IF($B1021="","",IF($Y1021&lt;&gt;"",$Y1021-$B1021,TODAY()-$B1021))</f>
        <v/>
      </c>
      <c r="AA1021" s="28">
        <f>IF($B1021="","",IF(IFERROR(INDEX(CONFIG!$L$4:$L$63,MATCH($V1021,CONFIG!$K$4:$K$63,0)),"NO")="SÍ",IF(OR($Y1021="",$X1021=""),"Resuelta",IF($Y1021&gt;$X1021,"Resuelta tarde","Resuelta a tiempo")),IF($X1021="","Sin clasificar",IF(TODAY()&gt;$X1021,"Vencida",IF(TODAY()&gt;=$X1021-1,"Por vencer","En plazo")))))</f>
        <v/>
      </c>
      <c r="AB1021" s="50" t="n"/>
      <c r="AC1021" s="50" t="n"/>
    </row>
    <row r="1022" ht="16" customHeight="1">
      <c r="A1022" s="28">
        <f>IF($B1022="","","N-"&amp;TEXT(ROW()-3,"0000"))</f>
        <v/>
      </c>
      <c r="B1022" s="47" t="n"/>
      <c r="C1022" s="48" t="n"/>
      <c r="D1022" s="48" t="n"/>
      <c r="E1022" s="28">
        <f>IF($C1022="","",IF($D1022="",IF($C1022="Interna","Sin guía (interna)","FALTA GUÍA"),IF(COUNTIFS(ENVIOS!$A$4:$A$3003,$D1022)=0,"NO EXISTE",IF(COUNTIFS(ENVIOS!$A$4:$A$3003,$D1022)&gt;1,"DUPLICADA","OK"))))</f>
        <v/>
      </c>
      <c r="F1022" s="28">
        <f>IF($D1022="","",IFERROR(INDEX(ENVIOS!$B$4:$B$3003,MATCH($D1022,ENVIOS!$A$4:$A$3003,0)),"—"))</f>
        <v/>
      </c>
      <c r="G1022" s="23">
        <f>IF($D1022="","",IFERROR(INDEX(ENVIOS!$D$4:$D$3003,MATCH($D1022,ENVIOS!$A$4:$A$3003,0)),"—"))</f>
        <v/>
      </c>
      <c r="H1022" s="23">
        <f>IF($D1022="","",IFERROR(INDEX(ENVIOS!$E$4:$E$3003,MATCH($D1022,ENVIOS!$A$4:$A$3003,0)),"—"))</f>
        <v/>
      </c>
      <c r="I1022" s="23">
        <f>IF($D1022="","",IFERROR(INDEX(ENVIOS!$F$4:$F$3003,MATCH($D1022,ENVIOS!$A$4:$A$3003,0)),"—"))</f>
        <v/>
      </c>
      <c r="J1022" s="23">
        <f>IF($D1022="","",IFERROR(INDEX(ENVIOS!$G$4:$G$3003,MATCH($D1022,ENVIOS!$A$4:$A$3003,0)),"—"))</f>
        <v/>
      </c>
      <c r="K1022" s="28">
        <f>IF($D1022="","",IFERROR(INDEX(ENVIOS!$H$4:$H$3003,MATCH($D1022,ENVIOS!$A$4:$A$3003,0)),"—"))</f>
        <v/>
      </c>
      <c r="L1022" s="49">
        <f>IF($D1022="","",IFERROR(INDEX(ENVIOS!$C$4:$C$3003,MATCH($D1022,ENVIOS!$A$4:$A$3003,0)),""))</f>
        <v/>
      </c>
      <c r="M1022" s="50" t="n"/>
      <c r="N1022" s="28">
        <f>IF($M1022="","",IFERROR(INDEX(CONFIG!$C$4:$C$63,MATCH($M1022,CONFIG!$A$4:$A$63,0)),"Media"))</f>
        <v/>
      </c>
      <c r="O1022" s="28">
        <f>IF($M1022="","",IF($C1022="Interna","NO",IFERROR(INDEX(CONFIG!$E$4:$E$63,MATCH($M1022,CONFIG!$A$4:$A$63,0)),"NO")))</f>
        <v/>
      </c>
      <c r="P1022" s="50" t="n"/>
      <c r="Q1022" s="50" t="n"/>
      <c r="R1022" s="28">
        <f>IF($Q1022="","",IFERROR(INDEX(CONFIG!$H$4:$H$63,MATCH($Q1022,CONFIG!$G$4:$G$63,0)),"Por definir"))</f>
        <v/>
      </c>
      <c r="S1022" s="28">
        <f>IF($Q1022="","",IFERROR(INDEX(CONFIG!$I$4:$I$63,MATCH($Q1022,CONFIG!$G$4:$G$63,0)),"Por definir"))</f>
        <v/>
      </c>
      <c r="T1022" s="51" t="n"/>
      <c r="U1022" s="52" t="n"/>
      <c r="V1022" s="50" t="n"/>
      <c r="W1022" s="50" t="n"/>
      <c r="X1022" s="49">
        <f>IF(OR($B1022="",$M1022=""),"",WORKDAY($B1022,IFERROR(INDEX(CONFIG!$D$4:$D$63,MATCH($M1022,CONFIG!$A$4:$A$63,0)),3)))</f>
        <v/>
      </c>
      <c r="Y1022" s="47" t="n"/>
      <c r="Z1022" s="24">
        <f>IF($B1022="","",IF($Y1022&lt;&gt;"",$Y1022-$B1022,TODAY()-$B1022))</f>
        <v/>
      </c>
      <c r="AA1022" s="28">
        <f>IF($B1022="","",IF(IFERROR(INDEX(CONFIG!$L$4:$L$63,MATCH($V1022,CONFIG!$K$4:$K$63,0)),"NO")="SÍ",IF(OR($Y1022="",$X1022=""),"Resuelta",IF($Y1022&gt;$X1022,"Resuelta tarde","Resuelta a tiempo")),IF($X1022="","Sin clasificar",IF(TODAY()&gt;$X1022,"Vencida",IF(TODAY()&gt;=$X1022-1,"Por vencer","En plazo")))))</f>
        <v/>
      </c>
      <c r="AB1022" s="50" t="n"/>
      <c r="AC1022" s="50" t="n"/>
    </row>
    <row r="1023" ht="16" customHeight="1">
      <c r="A1023" s="28">
        <f>IF($B1023="","","N-"&amp;TEXT(ROW()-3,"0000"))</f>
        <v/>
      </c>
      <c r="B1023" s="47" t="n"/>
      <c r="C1023" s="48" t="n"/>
      <c r="D1023" s="48" t="n"/>
      <c r="E1023" s="28">
        <f>IF($C1023="","",IF($D1023="",IF($C1023="Interna","Sin guía (interna)","FALTA GUÍA"),IF(COUNTIFS(ENVIOS!$A$4:$A$3003,$D1023)=0,"NO EXISTE",IF(COUNTIFS(ENVIOS!$A$4:$A$3003,$D1023)&gt;1,"DUPLICADA","OK"))))</f>
        <v/>
      </c>
      <c r="F1023" s="28">
        <f>IF($D1023="","",IFERROR(INDEX(ENVIOS!$B$4:$B$3003,MATCH($D1023,ENVIOS!$A$4:$A$3003,0)),"—"))</f>
        <v/>
      </c>
      <c r="G1023" s="23">
        <f>IF($D1023="","",IFERROR(INDEX(ENVIOS!$D$4:$D$3003,MATCH($D1023,ENVIOS!$A$4:$A$3003,0)),"—"))</f>
        <v/>
      </c>
      <c r="H1023" s="23">
        <f>IF($D1023="","",IFERROR(INDEX(ENVIOS!$E$4:$E$3003,MATCH($D1023,ENVIOS!$A$4:$A$3003,0)),"—"))</f>
        <v/>
      </c>
      <c r="I1023" s="23">
        <f>IF($D1023="","",IFERROR(INDEX(ENVIOS!$F$4:$F$3003,MATCH($D1023,ENVIOS!$A$4:$A$3003,0)),"—"))</f>
        <v/>
      </c>
      <c r="J1023" s="23">
        <f>IF($D1023="","",IFERROR(INDEX(ENVIOS!$G$4:$G$3003,MATCH($D1023,ENVIOS!$A$4:$A$3003,0)),"—"))</f>
        <v/>
      </c>
      <c r="K1023" s="28">
        <f>IF($D1023="","",IFERROR(INDEX(ENVIOS!$H$4:$H$3003,MATCH($D1023,ENVIOS!$A$4:$A$3003,0)),"—"))</f>
        <v/>
      </c>
      <c r="L1023" s="49">
        <f>IF($D1023="","",IFERROR(INDEX(ENVIOS!$C$4:$C$3003,MATCH($D1023,ENVIOS!$A$4:$A$3003,0)),""))</f>
        <v/>
      </c>
      <c r="M1023" s="50" t="n"/>
      <c r="N1023" s="28">
        <f>IF($M1023="","",IFERROR(INDEX(CONFIG!$C$4:$C$63,MATCH($M1023,CONFIG!$A$4:$A$63,0)),"Media"))</f>
        <v/>
      </c>
      <c r="O1023" s="28">
        <f>IF($M1023="","",IF($C1023="Interna","NO",IFERROR(INDEX(CONFIG!$E$4:$E$63,MATCH($M1023,CONFIG!$A$4:$A$63,0)),"NO")))</f>
        <v/>
      </c>
      <c r="P1023" s="50" t="n"/>
      <c r="Q1023" s="50" t="n"/>
      <c r="R1023" s="28">
        <f>IF($Q1023="","",IFERROR(INDEX(CONFIG!$H$4:$H$63,MATCH($Q1023,CONFIG!$G$4:$G$63,0)),"Por definir"))</f>
        <v/>
      </c>
      <c r="S1023" s="28">
        <f>IF($Q1023="","",IFERROR(INDEX(CONFIG!$I$4:$I$63,MATCH($Q1023,CONFIG!$G$4:$G$63,0)),"Por definir"))</f>
        <v/>
      </c>
      <c r="T1023" s="51" t="n"/>
      <c r="U1023" s="52" t="n"/>
      <c r="V1023" s="50" t="n"/>
      <c r="W1023" s="50" t="n"/>
      <c r="X1023" s="49">
        <f>IF(OR($B1023="",$M1023=""),"",WORKDAY($B1023,IFERROR(INDEX(CONFIG!$D$4:$D$63,MATCH($M1023,CONFIG!$A$4:$A$63,0)),3)))</f>
        <v/>
      </c>
      <c r="Y1023" s="47" t="n"/>
      <c r="Z1023" s="24">
        <f>IF($B1023="","",IF($Y1023&lt;&gt;"",$Y1023-$B1023,TODAY()-$B1023))</f>
        <v/>
      </c>
      <c r="AA1023" s="28">
        <f>IF($B1023="","",IF(IFERROR(INDEX(CONFIG!$L$4:$L$63,MATCH($V1023,CONFIG!$K$4:$K$63,0)),"NO")="SÍ",IF(OR($Y1023="",$X1023=""),"Resuelta",IF($Y1023&gt;$X1023,"Resuelta tarde","Resuelta a tiempo")),IF($X1023="","Sin clasificar",IF(TODAY()&gt;$X1023,"Vencida",IF(TODAY()&gt;=$X1023-1,"Por vencer","En plazo")))))</f>
        <v/>
      </c>
      <c r="AB1023" s="50" t="n"/>
      <c r="AC1023" s="50" t="n"/>
    </row>
    <row r="1024" ht="16" customHeight="1">
      <c r="A1024" s="28">
        <f>IF($B1024="","","N-"&amp;TEXT(ROW()-3,"0000"))</f>
        <v/>
      </c>
      <c r="B1024" s="47" t="n"/>
      <c r="C1024" s="48" t="n"/>
      <c r="D1024" s="48" t="n"/>
      <c r="E1024" s="28">
        <f>IF($C1024="","",IF($D1024="",IF($C1024="Interna","Sin guía (interna)","FALTA GUÍA"),IF(COUNTIFS(ENVIOS!$A$4:$A$3003,$D1024)=0,"NO EXISTE",IF(COUNTIFS(ENVIOS!$A$4:$A$3003,$D1024)&gt;1,"DUPLICADA","OK"))))</f>
        <v/>
      </c>
      <c r="F1024" s="28">
        <f>IF($D1024="","",IFERROR(INDEX(ENVIOS!$B$4:$B$3003,MATCH($D1024,ENVIOS!$A$4:$A$3003,0)),"—"))</f>
        <v/>
      </c>
      <c r="G1024" s="23">
        <f>IF($D1024="","",IFERROR(INDEX(ENVIOS!$D$4:$D$3003,MATCH($D1024,ENVIOS!$A$4:$A$3003,0)),"—"))</f>
        <v/>
      </c>
      <c r="H1024" s="23">
        <f>IF($D1024="","",IFERROR(INDEX(ENVIOS!$E$4:$E$3003,MATCH($D1024,ENVIOS!$A$4:$A$3003,0)),"—"))</f>
        <v/>
      </c>
      <c r="I1024" s="23">
        <f>IF($D1024="","",IFERROR(INDEX(ENVIOS!$F$4:$F$3003,MATCH($D1024,ENVIOS!$A$4:$A$3003,0)),"—"))</f>
        <v/>
      </c>
      <c r="J1024" s="23">
        <f>IF($D1024="","",IFERROR(INDEX(ENVIOS!$G$4:$G$3003,MATCH($D1024,ENVIOS!$A$4:$A$3003,0)),"—"))</f>
        <v/>
      </c>
      <c r="K1024" s="28">
        <f>IF($D1024="","",IFERROR(INDEX(ENVIOS!$H$4:$H$3003,MATCH($D1024,ENVIOS!$A$4:$A$3003,0)),"—"))</f>
        <v/>
      </c>
      <c r="L1024" s="49">
        <f>IF($D1024="","",IFERROR(INDEX(ENVIOS!$C$4:$C$3003,MATCH($D1024,ENVIOS!$A$4:$A$3003,0)),""))</f>
        <v/>
      </c>
      <c r="M1024" s="50" t="n"/>
      <c r="N1024" s="28">
        <f>IF($M1024="","",IFERROR(INDEX(CONFIG!$C$4:$C$63,MATCH($M1024,CONFIG!$A$4:$A$63,0)),"Media"))</f>
        <v/>
      </c>
      <c r="O1024" s="28">
        <f>IF($M1024="","",IF($C1024="Interna","NO",IFERROR(INDEX(CONFIG!$E$4:$E$63,MATCH($M1024,CONFIG!$A$4:$A$63,0)),"NO")))</f>
        <v/>
      </c>
      <c r="P1024" s="50" t="n"/>
      <c r="Q1024" s="50" t="n"/>
      <c r="R1024" s="28">
        <f>IF($Q1024="","",IFERROR(INDEX(CONFIG!$H$4:$H$63,MATCH($Q1024,CONFIG!$G$4:$G$63,0)),"Por definir"))</f>
        <v/>
      </c>
      <c r="S1024" s="28">
        <f>IF($Q1024="","",IFERROR(INDEX(CONFIG!$I$4:$I$63,MATCH($Q1024,CONFIG!$G$4:$G$63,0)),"Por definir"))</f>
        <v/>
      </c>
      <c r="T1024" s="51" t="n"/>
      <c r="U1024" s="52" t="n"/>
      <c r="V1024" s="50" t="n"/>
      <c r="W1024" s="50" t="n"/>
      <c r="X1024" s="49">
        <f>IF(OR($B1024="",$M1024=""),"",WORKDAY($B1024,IFERROR(INDEX(CONFIG!$D$4:$D$63,MATCH($M1024,CONFIG!$A$4:$A$63,0)),3)))</f>
        <v/>
      </c>
      <c r="Y1024" s="47" t="n"/>
      <c r="Z1024" s="24">
        <f>IF($B1024="","",IF($Y1024&lt;&gt;"",$Y1024-$B1024,TODAY()-$B1024))</f>
        <v/>
      </c>
      <c r="AA1024" s="28">
        <f>IF($B1024="","",IF(IFERROR(INDEX(CONFIG!$L$4:$L$63,MATCH($V1024,CONFIG!$K$4:$K$63,0)),"NO")="SÍ",IF(OR($Y1024="",$X1024=""),"Resuelta",IF($Y1024&gt;$X1024,"Resuelta tarde","Resuelta a tiempo")),IF($X1024="","Sin clasificar",IF(TODAY()&gt;$X1024,"Vencida",IF(TODAY()&gt;=$X1024-1,"Por vencer","En plazo")))))</f>
        <v/>
      </c>
      <c r="AB1024" s="50" t="n"/>
      <c r="AC1024" s="50" t="n"/>
    </row>
    <row r="1025" ht="16" customHeight="1">
      <c r="A1025" s="28">
        <f>IF($B1025="","","N-"&amp;TEXT(ROW()-3,"0000"))</f>
        <v/>
      </c>
      <c r="B1025" s="47" t="n"/>
      <c r="C1025" s="48" t="n"/>
      <c r="D1025" s="48" t="n"/>
      <c r="E1025" s="28">
        <f>IF($C1025="","",IF($D1025="",IF($C1025="Interna","Sin guía (interna)","FALTA GUÍA"),IF(COUNTIFS(ENVIOS!$A$4:$A$3003,$D1025)=0,"NO EXISTE",IF(COUNTIFS(ENVIOS!$A$4:$A$3003,$D1025)&gt;1,"DUPLICADA","OK"))))</f>
        <v/>
      </c>
      <c r="F1025" s="28">
        <f>IF($D1025="","",IFERROR(INDEX(ENVIOS!$B$4:$B$3003,MATCH($D1025,ENVIOS!$A$4:$A$3003,0)),"—"))</f>
        <v/>
      </c>
      <c r="G1025" s="23">
        <f>IF($D1025="","",IFERROR(INDEX(ENVIOS!$D$4:$D$3003,MATCH($D1025,ENVIOS!$A$4:$A$3003,0)),"—"))</f>
        <v/>
      </c>
      <c r="H1025" s="23">
        <f>IF($D1025="","",IFERROR(INDEX(ENVIOS!$E$4:$E$3003,MATCH($D1025,ENVIOS!$A$4:$A$3003,0)),"—"))</f>
        <v/>
      </c>
      <c r="I1025" s="23">
        <f>IF($D1025="","",IFERROR(INDEX(ENVIOS!$F$4:$F$3003,MATCH($D1025,ENVIOS!$A$4:$A$3003,0)),"—"))</f>
        <v/>
      </c>
      <c r="J1025" s="23">
        <f>IF($D1025="","",IFERROR(INDEX(ENVIOS!$G$4:$G$3003,MATCH($D1025,ENVIOS!$A$4:$A$3003,0)),"—"))</f>
        <v/>
      </c>
      <c r="K1025" s="28">
        <f>IF($D1025="","",IFERROR(INDEX(ENVIOS!$H$4:$H$3003,MATCH($D1025,ENVIOS!$A$4:$A$3003,0)),"—"))</f>
        <v/>
      </c>
      <c r="L1025" s="49">
        <f>IF($D1025="","",IFERROR(INDEX(ENVIOS!$C$4:$C$3003,MATCH($D1025,ENVIOS!$A$4:$A$3003,0)),""))</f>
        <v/>
      </c>
      <c r="M1025" s="50" t="n"/>
      <c r="N1025" s="28">
        <f>IF($M1025="","",IFERROR(INDEX(CONFIG!$C$4:$C$63,MATCH($M1025,CONFIG!$A$4:$A$63,0)),"Media"))</f>
        <v/>
      </c>
      <c r="O1025" s="28">
        <f>IF($M1025="","",IF($C1025="Interna","NO",IFERROR(INDEX(CONFIG!$E$4:$E$63,MATCH($M1025,CONFIG!$A$4:$A$63,0)),"NO")))</f>
        <v/>
      </c>
      <c r="P1025" s="50" t="n"/>
      <c r="Q1025" s="50" t="n"/>
      <c r="R1025" s="28">
        <f>IF($Q1025="","",IFERROR(INDEX(CONFIG!$H$4:$H$63,MATCH($Q1025,CONFIG!$G$4:$G$63,0)),"Por definir"))</f>
        <v/>
      </c>
      <c r="S1025" s="28">
        <f>IF($Q1025="","",IFERROR(INDEX(CONFIG!$I$4:$I$63,MATCH($Q1025,CONFIG!$G$4:$G$63,0)),"Por definir"))</f>
        <v/>
      </c>
      <c r="T1025" s="51" t="n"/>
      <c r="U1025" s="52" t="n"/>
      <c r="V1025" s="50" t="n"/>
      <c r="W1025" s="50" t="n"/>
      <c r="X1025" s="49">
        <f>IF(OR($B1025="",$M1025=""),"",WORKDAY($B1025,IFERROR(INDEX(CONFIG!$D$4:$D$63,MATCH($M1025,CONFIG!$A$4:$A$63,0)),3)))</f>
        <v/>
      </c>
      <c r="Y1025" s="47" t="n"/>
      <c r="Z1025" s="24">
        <f>IF($B1025="","",IF($Y1025&lt;&gt;"",$Y1025-$B1025,TODAY()-$B1025))</f>
        <v/>
      </c>
      <c r="AA1025" s="28">
        <f>IF($B1025="","",IF(IFERROR(INDEX(CONFIG!$L$4:$L$63,MATCH($V1025,CONFIG!$K$4:$K$63,0)),"NO")="SÍ",IF(OR($Y1025="",$X1025=""),"Resuelta",IF($Y1025&gt;$X1025,"Resuelta tarde","Resuelta a tiempo")),IF($X1025="","Sin clasificar",IF(TODAY()&gt;$X1025,"Vencida",IF(TODAY()&gt;=$X1025-1,"Por vencer","En plazo")))))</f>
        <v/>
      </c>
      <c r="AB1025" s="50" t="n"/>
      <c r="AC1025" s="50" t="n"/>
    </row>
    <row r="1026" ht="16" customHeight="1">
      <c r="A1026" s="28">
        <f>IF($B1026="","","N-"&amp;TEXT(ROW()-3,"0000"))</f>
        <v/>
      </c>
      <c r="B1026" s="47" t="n"/>
      <c r="C1026" s="48" t="n"/>
      <c r="D1026" s="48" t="n"/>
      <c r="E1026" s="28">
        <f>IF($C1026="","",IF($D1026="",IF($C1026="Interna","Sin guía (interna)","FALTA GUÍA"),IF(COUNTIFS(ENVIOS!$A$4:$A$3003,$D1026)=0,"NO EXISTE",IF(COUNTIFS(ENVIOS!$A$4:$A$3003,$D1026)&gt;1,"DUPLICADA","OK"))))</f>
        <v/>
      </c>
      <c r="F1026" s="28">
        <f>IF($D1026="","",IFERROR(INDEX(ENVIOS!$B$4:$B$3003,MATCH($D1026,ENVIOS!$A$4:$A$3003,0)),"—"))</f>
        <v/>
      </c>
      <c r="G1026" s="23">
        <f>IF($D1026="","",IFERROR(INDEX(ENVIOS!$D$4:$D$3003,MATCH($D1026,ENVIOS!$A$4:$A$3003,0)),"—"))</f>
        <v/>
      </c>
      <c r="H1026" s="23">
        <f>IF($D1026="","",IFERROR(INDEX(ENVIOS!$E$4:$E$3003,MATCH($D1026,ENVIOS!$A$4:$A$3003,0)),"—"))</f>
        <v/>
      </c>
      <c r="I1026" s="23">
        <f>IF($D1026="","",IFERROR(INDEX(ENVIOS!$F$4:$F$3003,MATCH($D1026,ENVIOS!$A$4:$A$3003,0)),"—"))</f>
        <v/>
      </c>
      <c r="J1026" s="23">
        <f>IF($D1026="","",IFERROR(INDEX(ENVIOS!$G$4:$G$3003,MATCH($D1026,ENVIOS!$A$4:$A$3003,0)),"—"))</f>
        <v/>
      </c>
      <c r="K1026" s="28">
        <f>IF($D1026="","",IFERROR(INDEX(ENVIOS!$H$4:$H$3003,MATCH($D1026,ENVIOS!$A$4:$A$3003,0)),"—"))</f>
        <v/>
      </c>
      <c r="L1026" s="49">
        <f>IF($D1026="","",IFERROR(INDEX(ENVIOS!$C$4:$C$3003,MATCH($D1026,ENVIOS!$A$4:$A$3003,0)),""))</f>
        <v/>
      </c>
      <c r="M1026" s="50" t="n"/>
      <c r="N1026" s="28">
        <f>IF($M1026="","",IFERROR(INDEX(CONFIG!$C$4:$C$63,MATCH($M1026,CONFIG!$A$4:$A$63,0)),"Media"))</f>
        <v/>
      </c>
      <c r="O1026" s="28">
        <f>IF($M1026="","",IF($C1026="Interna","NO",IFERROR(INDEX(CONFIG!$E$4:$E$63,MATCH($M1026,CONFIG!$A$4:$A$63,0)),"NO")))</f>
        <v/>
      </c>
      <c r="P1026" s="50" t="n"/>
      <c r="Q1026" s="50" t="n"/>
      <c r="R1026" s="28">
        <f>IF($Q1026="","",IFERROR(INDEX(CONFIG!$H$4:$H$63,MATCH($Q1026,CONFIG!$G$4:$G$63,0)),"Por definir"))</f>
        <v/>
      </c>
      <c r="S1026" s="28">
        <f>IF($Q1026="","",IFERROR(INDEX(CONFIG!$I$4:$I$63,MATCH($Q1026,CONFIG!$G$4:$G$63,0)),"Por definir"))</f>
        <v/>
      </c>
      <c r="T1026" s="51" t="n"/>
      <c r="U1026" s="52" t="n"/>
      <c r="V1026" s="50" t="n"/>
      <c r="W1026" s="50" t="n"/>
      <c r="X1026" s="49">
        <f>IF(OR($B1026="",$M1026=""),"",WORKDAY($B1026,IFERROR(INDEX(CONFIG!$D$4:$D$63,MATCH($M1026,CONFIG!$A$4:$A$63,0)),3)))</f>
        <v/>
      </c>
      <c r="Y1026" s="47" t="n"/>
      <c r="Z1026" s="24">
        <f>IF($B1026="","",IF($Y1026&lt;&gt;"",$Y1026-$B1026,TODAY()-$B1026))</f>
        <v/>
      </c>
      <c r="AA1026" s="28">
        <f>IF($B1026="","",IF(IFERROR(INDEX(CONFIG!$L$4:$L$63,MATCH($V1026,CONFIG!$K$4:$K$63,0)),"NO")="SÍ",IF(OR($Y1026="",$X1026=""),"Resuelta",IF($Y1026&gt;$X1026,"Resuelta tarde","Resuelta a tiempo")),IF($X1026="","Sin clasificar",IF(TODAY()&gt;$X1026,"Vencida",IF(TODAY()&gt;=$X1026-1,"Por vencer","En plazo")))))</f>
        <v/>
      </c>
      <c r="AB1026" s="50" t="n"/>
      <c r="AC1026" s="50" t="n"/>
    </row>
    <row r="1027" ht="16" customHeight="1">
      <c r="A1027" s="28">
        <f>IF($B1027="","","N-"&amp;TEXT(ROW()-3,"0000"))</f>
        <v/>
      </c>
      <c r="B1027" s="47" t="n"/>
      <c r="C1027" s="48" t="n"/>
      <c r="D1027" s="48" t="n"/>
      <c r="E1027" s="28">
        <f>IF($C1027="","",IF($D1027="",IF($C1027="Interna","Sin guía (interna)","FALTA GUÍA"),IF(COUNTIFS(ENVIOS!$A$4:$A$3003,$D1027)=0,"NO EXISTE",IF(COUNTIFS(ENVIOS!$A$4:$A$3003,$D1027)&gt;1,"DUPLICADA","OK"))))</f>
        <v/>
      </c>
      <c r="F1027" s="28">
        <f>IF($D1027="","",IFERROR(INDEX(ENVIOS!$B$4:$B$3003,MATCH($D1027,ENVIOS!$A$4:$A$3003,0)),"—"))</f>
        <v/>
      </c>
      <c r="G1027" s="23">
        <f>IF($D1027="","",IFERROR(INDEX(ENVIOS!$D$4:$D$3003,MATCH($D1027,ENVIOS!$A$4:$A$3003,0)),"—"))</f>
        <v/>
      </c>
      <c r="H1027" s="23">
        <f>IF($D1027="","",IFERROR(INDEX(ENVIOS!$E$4:$E$3003,MATCH($D1027,ENVIOS!$A$4:$A$3003,0)),"—"))</f>
        <v/>
      </c>
      <c r="I1027" s="23">
        <f>IF($D1027="","",IFERROR(INDEX(ENVIOS!$F$4:$F$3003,MATCH($D1027,ENVIOS!$A$4:$A$3003,0)),"—"))</f>
        <v/>
      </c>
      <c r="J1027" s="23">
        <f>IF($D1027="","",IFERROR(INDEX(ENVIOS!$G$4:$G$3003,MATCH($D1027,ENVIOS!$A$4:$A$3003,0)),"—"))</f>
        <v/>
      </c>
      <c r="K1027" s="28">
        <f>IF($D1027="","",IFERROR(INDEX(ENVIOS!$H$4:$H$3003,MATCH($D1027,ENVIOS!$A$4:$A$3003,0)),"—"))</f>
        <v/>
      </c>
      <c r="L1027" s="49">
        <f>IF($D1027="","",IFERROR(INDEX(ENVIOS!$C$4:$C$3003,MATCH($D1027,ENVIOS!$A$4:$A$3003,0)),""))</f>
        <v/>
      </c>
      <c r="M1027" s="50" t="n"/>
      <c r="N1027" s="28">
        <f>IF($M1027="","",IFERROR(INDEX(CONFIG!$C$4:$C$63,MATCH($M1027,CONFIG!$A$4:$A$63,0)),"Media"))</f>
        <v/>
      </c>
      <c r="O1027" s="28">
        <f>IF($M1027="","",IF($C1027="Interna","NO",IFERROR(INDEX(CONFIG!$E$4:$E$63,MATCH($M1027,CONFIG!$A$4:$A$63,0)),"NO")))</f>
        <v/>
      </c>
      <c r="P1027" s="50" t="n"/>
      <c r="Q1027" s="50" t="n"/>
      <c r="R1027" s="28">
        <f>IF($Q1027="","",IFERROR(INDEX(CONFIG!$H$4:$H$63,MATCH($Q1027,CONFIG!$G$4:$G$63,0)),"Por definir"))</f>
        <v/>
      </c>
      <c r="S1027" s="28">
        <f>IF($Q1027="","",IFERROR(INDEX(CONFIG!$I$4:$I$63,MATCH($Q1027,CONFIG!$G$4:$G$63,0)),"Por definir"))</f>
        <v/>
      </c>
      <c r="T1027" s="51" t="n"/>
      <c r="U1027" s="52" t="n"/>
      <c r="V1027" s="50" t="n"/>
      <c r="W1027" s="50" t="n"/>
      <c r="X1027" s="49">
        <f>IF(OR($B1027="",$M1027=""),"",WORKDAY($B1027,IFERROR(INDEX(CONFIG!$D$4:$D$63,MATCH($M1027,CONFIG!$A$4:$A$63,0)),3)))</f>
        <v/>
      </c>
      <c r="Y1027" s="47" t="n"/>
      <c r="Z1027" s="24">
        <f>IF($B1027="","",IF($Y1027&lt;&gt;"",$Y1027-$B1027,TODAY()-$B1027))</f>
        <v/>
      </c>
      <c r="AA1027" s="28">
        <f>IF($B1027="","",IF(IFERROR(INDEX(CONFIG!$L$4:$L$63,MATCH($V1027,CONFIG!$K$4:$K$63,0)),"NO")="SÍ",IF(OR($Y1027="",$X1027=""),"Resuelta",IF($Y1027&gt;$X1027,"Resuelta tarde","Resuelta a tiempo")),IF($X1027="","Sin clasificar",IF(TODAY()&gt;$X1027,"Vencida",IF(TODAY()&gt;=$X1027-1,"Por vencer","En plazo")))))</f>
        <v/>
      </c>
      <c r="AB1027" s="50" t="n"/>
      <c r="AC1027" s="50" t="n"/>
    </row>
    <row r="1028" ht="16" customHeight="1">
      <c r="A1028" s="28">
        <f>IF($B1028="","","N-"&amp;TEXT(ROW()-3,"0000"))</f>
        <v/>
      </c>
      <c r="B1028" s="47" t="n"/>
      <c r="C1028" s="48" t="n"/>
      <c r="D1028" s="48" t="n"/>
      <c r="E1028" s="28">
        <f>IF($C1028="","",IF($D1028="",IF($C1028="Interna","Sin guía (interna)","FALTA GUÍA"),IF(COUNTIFS(ENVIOS!$A$4:$A$3003,$D1028)=0,"NO EXISTE",IF(COUNTIFS(ENVIOS!$A$4:$A$3003,$D1028)&gt;1,"DUPLICADA","OK"))))</f>
        <v/>
      </c>
      <c r="F1028" s="28">
        <f>IF($D1028="","",IFERROR(INDEX(ENVIOS!$B$4:$B$3003,MATCH($D1028,ENVIOS!$A$4:$A$3003,0)),"—"))</f>
        <v/>
      </c>
      <c r="G1028" s="23">
        <f>IF($D1028="","",IFERROR(INDEX(ENVIOS!$D$4:$D$3003,MATCH($D1028,ENVIOS!$A$4:$A$3003,0)),"—"))</f>
        <v/>
      </c>
      <c r="H1028" s="23">
        <f>IF($D1028="","",IFERROR(INDEX(ENVIOS!$E$4:$E$3003,MATCH($D1028,ENVIOS!$A$4:$A$3003,0)),"—"))</f>
        <v/>
      </c>
      <c r="I1028" s="23">
        <f>IF($D1028="","",IFERROR(INDEX(ENVIOS!$F$4:$F$3003,MATCH($D1028,ENVIOS!$A$4:$A$3003,0)),"—"))</f>
        <v/>
      </c>
      <c r="J1028" s="23">
        <f>IF($D1028="","",IFERROR(INDEX(ENVIOS!$G$4:$G$3003,MATCH($D1028,ENVIOS!$A$4:$A$3003,0)),"—"))</f>
        <v/>
      </c>
      <c r="K1028" s="28">
        <f>IF($D1028="","",IFERROR(INDEX(ENVIOS!$H$4:$H$3003,MATCH($D1028,ENVIOS!$A$4:$A$3003,0)),"—"))</f>
        <v/>
      </c>
      <c r="L1028" s="49">
        <f>IF($D1028="","",IFERROR(INDEX(ENVIOS!$C$4:$C$3003,MATCH($D1028,ENVIOS!$A$4:$A$3003,0)),""))</f>
        <v/>
      </c>
      <c r="M1028" s="50" t="n"/>
      <c r="N1028" s="28">
        <f>IF($M1028="","",IFERROR(INDEX(CONFIG!$C$4:$C$63,MATCH($M1028,CONFIG!$A$4:$A$63,0)),"Media"))</f>
        <v/>
      </c>
      <c r="O1028" s="28">
        <f>IF($M1028="","",IF($C1028="Interna","NO",IFERROR(INDEX(CONFIG!$E$4:$E$63,MATCH($M1028,CONFIG!$A$4:$A$63,0)),"NO")))</f>
        <v/>
      </c>
      <c r="P1028" s="50" t="n"/>
      <c r="Q1028" s="50" t="n"/>
      <c r="R1028" s="28">
        <f>IF($Q1028="","",IFERROR(INDEX(CONFIG!$H$4:$H$63,MATCH($Q1028,CONFIG!$G$4:$G$63,0)),"Por definir"))</f>
        <v/>
      </c>
      <c r="S1028" s="28">
        <f>IF($Q1028="","",IFERROR(INDEX(CONFIG!$I$4:$I$63,MATCH($Q1028,CONFIG!$G$4:$G$63,0)),"Por definir"))</f>
        <v/>
      </c>
      <c r="T1028" s="51" t="n"/>
      <c r="U1028" s="52" t="n"/>
      <c r="V1028" s="50" t="n"/>
      <c r="W1028" s="50" t="n"/>
      <c r="X1028" s="49">
        <f>IF(OR($B1028="",$M1028=""),"",WORKDAY($B1028,IFERROR(INDEX(CONFIG!$D$4:$D$63,MATCH($M1028,CONFIG!$A$4:$A$63,0)),3)))</f>
        <v/>
      </c>
      <c r="Y1028" s="47" t="n"/>
      <c r="Z1028" s="24">
        <f>IF($B1028="","",IF($Y1028&lt;&gt;"",$Y1028-$B1028,TODAY()-$B1028))</f>
        <v/>
      </c>
      <c r="AA1028" s="28">
        <f>IF($B1028="","",IF(IFERROR(INDEX(CONFIG!$L$4:$L$63,MATCH($V1028,CONFIG!$K$4:$K$63,0)),"NO")="SÍ",IF(OR($Y1028="",$X1028=""),"Resuelta",IF($Y1028&gt;$X1028,"Resuelta tarde","Resuelta a tiempo")),IF($X1028="","Sin clasificar",IF(TODAY()&gt;$X1028,"Vencida",IF(TODAY()&gt;=$X1028-1,"Por vencer","En plazo")))))</f>
        <v/>
      </c>
      <c r="AB1028" s="50" t="n"/>
      <c r="AC1028" s="50" t="n"/>
    </row>
    <row r="1029" ht="16" customHeight="1">
      <c r="A1029" s="28">
        <f>IF($B1029="","","N-"&amp;TEXT(ROW()-3,"0000"))</f>
        <v/>
      </c>
      <c r="B1029" s="47" t="n"/>
      <c r="C1029" s="48" t="n"/>
      <c r="D1029" s="48" t="n"/>
      <c r="E1029" s="28">
        <f>IF($C1029="","",IF($D1029="",IF($C1029="Interna","Sin guía (interna)","FALTA GUÍA"),IF(COUNTIFS(ENVIOS!$A$4:$A$3003,$D1029)=0,"NO EXISTE",IF(COUNTIFS(ENVIOS!$A$4:$A$3003,$D1029)&gt;1,"DUPLICADA","OK"))))</f>
        <v/>
      </c>
      <c r="F1029" s="28">
        <f>IF($D1029="","",IFERROR(INDEX(ENVIOS!$B$4:$B$3003,MATCH($D1029,ENVIOS!$A$4:$A$3003,0)),"—"))</f>
        <v/>
      </c>
      <c r="G1029" s="23">
        <f>IF($D1029="","",IFERROR(INDEX(ENVIOS!$D$4:$D$3003,MATCH($D1029,ENVIOS!$A$4:$A$3003,0)),"—"))</f>
        <v/>
      </c>
      <c r="H1029" s="23">
        <f>IF($D1029="","",IFERROR(INDEX(ENVIOS!$E$4:$E$3003,MATCH($D1029,ENVIOS!$A$4:$A$3003,0)),"—"))</f>
        <v/>
      </c>
      <c r="I1029" s="23">
        <f>IF($D1029="","",IFERROR(INDEX(ENVIOS!$F$4:$F$3003,MATCH($D1029,ENVIOS!$A$4:$A$3003,0)),"—"))</f>
        <v/>
      </c>
      <c r="J1029" s="23">
        <f>IF($D1029="","",IFERROR(INDEX(ENVIOS!$G$4:$G$3003,MATCH($D1029,ENVIOS!$A$4:$A$3003,0)),"—"))</f>
        <v/>
      </c>
      <c r="K1029" s="28">
        <f>IF($D1029="","",IFERROR(INDEX(ENVIOS!$H$4:$H$3003,MATCH($D1029,ENVIOS!$A$4:$A$3003,0)),"—"))</f>
        <v/>
      </c>
      <c r="L1029" s="49">
        <f>IF($D1029="","",IFERROR(INDEX(ENVIOS!$C$4:$C$3003,MATCH($D1029,ENVIOS!$A$4:$A$3003,0)),""))</f>
        <v/>
      </c>
      <c r="M1029" s="50" t="n"/>
      <c r="N1029" s="28">
        <f>IF($M1029="","",IFERROR(INDEX(CONFIG!$C$4:$C$63,MATCH($M1029,CONFIG!$A$4:$A$63,0)),"Media"))</f>
        <v/>
      </c>
      <c r="O1029" s="28">
        <f>IF($M1029="","",IF($C1029="Interna","NO",IFERROR(INDEX(CONFIG!$E$4:$E$63,MATCH($M1029,CONFIG!$A$4:$A$63,0)),"NO")))</f>
        <v/>
      </c>
      <c r="P1029" s="50" t="n"/>
      <c r="Q1029" s="50" t="n"/>
      <c r="R1029" s="28">
        <f>IF($Q1029="","",IFERROR(INDEX(CONFIG!$H$4:$H$63,MATCH($Q1029,CONFIG!$G$4:$G$63,0)),"Por definir"))</f>
        <v/>
      </c>
      <c r="S1029" s="28">
        <f>IF($Q1029="","",IFERROR(INDEX(CONFIG!$I$4:$I$63,MATCH($Q1029,CONFIG!$G$4:$G$63,0)),"Por definir"))</f>
        <v/>
      </c>
      <c r="T1029" s="51" t="n"/>
      <c r="U1029" s="52" t="n"/>
      <c r="V1029" s="50" t="n"/>
      <c r="W1029" s="50" t="n"/>
      <c r="X1029" s="49">
        <f>IF(OR($B1029="",$M1029=""),"",WORKDAY($B1029,IFERROR(INDEX(CONFIG!$D$4:$D$63,MATCH($M1029,CONFIG!$A$4:$A$63,0)),3)))</f>
        <v/>
      </c>
      <c r="Y1029" s="47" t="n"/>
      <c r="Z1029" s="24">
        <f>IF($B1029="","",IF($Y1029&lt;&gt;"",$Y1029-$B1029,TODAY()-$B1029))</f>
        <v/>
      </c>
      <c r="AA1029" s="28">
        <f>IF($B1029="","",IF(IFERROR(INDEX(CONFIG!$L$4:$L$63,MATCH($V1029,CONFIG!$K$4:$K$63,0)),"NO")="SÍ",IF(OR($Y1029="",$X1029=""),"Resuelta",IF($Y1029&gt;$X1029,"Resuelta tarde","Resuelta a tiempo")),IF($X1029="","Sin clasificar",IF(TODAY()&gt;$X1029,"Vencida",IF(TODAY()&gt;=$X1029-1,"Por vencer","En plazo")))))</f>
        <v/>
      </c>
      <c r="AB1029" s="50" t="n"/>
      <c r="AC1029" s="50" t="n"/>
    </row>
    <row r="1030" ht="16" customHeight="1">
      <c r="A1030" s="28">
        <f>IF($B1030="","","N-"&amp;TEXT(ROW()-3,"0000"))</f>
        <v/>
      </c>
      <c r="B1030" s="47" t="n"/>
      <c r="C1030" s="48" t="n"/>
      <c r="D1030" s="48" t="n"/>
      <c r="E1030" s="28">
        <f>IF($C1030="","",IF($D1030="",IF($C1030="Interna","Sin guía (interna)","FALTA GUÍA"),IF(COUNTIFS(ENVIOS!$A$4:$A$3003,$D1030)=0,"NO EXISTE",IF(COUNTIFS(ENVIOS!$A$4:$A$3003,$D1030)&gt;1,"DUPLICADA","OK"))))</f>
        <v/>
      </c>
      <c r="F1030" s="28">
        <f>IF($D1030="","",IFERROR(INDEX(ENVIOS!$B$4:$B$3003,MATCH($D1030,ENVIOS!$A$4:$A$3003,0)),"—"))</f>
        <v/>
      </c>
      <c r="G1030" s="23">
        <f>IF($D1030="","",IFERROR(INDEX(ENVIOS!$D$4:$D$3003,MATCH($D1030,ENVIOS!$A$4:$A$3003,0)),"—"))</f>
        <v/>
      </c>
      <c r="H1030" s="23">
        <f>IF($D1030="","",IFERROR(INDEX(ENVIOS!$E$4:$E$3003,MATCH($D1030,ENVIOS!$A$4:$A$3003,0)),"—"))</f>
        <v/>
      </c>
      <c r="I1030" s="23">
        <f>IF($D1030="","",IFERROR(INDEX(ENVIOS!$F$4:$F$3003,MATCH($D1030,ENVIOS!$A$4:$A$3003,0)),"—"))</f>
        <v/>
      </c>
      <c r="J1030" s="23">
        <f>IF($D1030="","",IFERROR(INDEX(ENVIOS!$G$4:$G$3003,MATCH($D1030,ENVIOS!$A$4:$A$3003,0)),"—"))</f>
        <v/>
      </c>
      <c r="K1030" s="28">
        <f>IF($D1030="","",IFERROR(INDEX(ENVIOS!$H$4:$H$3003,MATCH($D1030,ENVIOS!$A$4:$A$3003,0)),"—"))</f>
        <v/>
      </c>
      <c r="L1030" s="49">
        <f>IF($D1030="","",IFERROR(INDEX(ENVIOS!$C$4:$C$3003,MATCH($D1030,ENVIOS!$A$4:$A$3003,0)),""))</f>
        <v/>
      </c>
      <c r="M1030" s="50" t="n"/>
      <c r="N1030" s="28">
        <f>IF($M1030="","",IFERROR(INDEX(CONFIG!$C$4:$C$63,MATCH($M1030,CONFIG!$A$4:$A$63,0)),"Media"))</f>
        <v/>
      </c>
      <c r="O1030" s="28">
        <f>IF($M1030="","",IF($C1030="Interna","NO",IFERROR(INDEX(CONFIG!$E$4:$E$63,MATCH($M1030,CONFIG!$A$4:$A$63,0)),"NO")))</f>
        <v/>
      </c>
      <c r="P1030" s="50" t="n"/>
      <c r="Q1030" s="50" t="n"/>
      <c r="R1030" s="28">
        <f>IF($Q1030="","",IFERROR(INDEX(CONFIG!$H$4:$H$63,MATCH($Q1030,CONFIG!$G$4:$G$63,0)),"Por definir"))</f>
        <v/>
      </c>
      <c r="S1030" s="28">
        <f>IF($Q1030="","",IFERROR(INDEX(CONFIG!$I$4:$I$63,MATCH($Q1030,CONFIG!$G$4:$G$63,0)),"Por definir"))</f>
        <v/>
      </c>
      <c r="T1030" s="51" t="n"/>
      <c r="U1030" s="52" t="n"/>
      <c r="V1030" s="50" t="n"/>
      <c r="W1030" s="50" t="n"/>
      <c r="X1030" s="49">
        <f>IF(OR($B1030="",$M1030=""),"",WORKDAY($B1030,IFERROR(INDEX(CONFIG!$D$4:$D$63,MATCH($M1030,CONFIG!$A$4:$A$63,0)),3)))</f>
        <v/>
      </c>
      <c r="Y1030" s="47" t="n"/>
      <c r="Z1030" s="24">
        <f>IF($B1030="","",IF($Y1030&lt;&gt;"",$Y1030-$B1030,TODAY()-$B1030))</f>
        <v/>
      </c>
      <c r="AA1030" s="28">
        <f>IF($B1030="","",IF(IFERROR(INDEX(CONFIG!$L$4:$L$63,MATCH($V1030,CONFIG!$K$4:$K$63,0)),"NO")="SÍ",IF(OR($Y1030="",$X1030=""),"Resuelta",IF($Y1030&gt;$X1030,"Resuelta tarde","Resuelta a tiempo")),IF($X1030="","Sin clasificar",IF(TODAY()&gt;$X1030,"Vencida",IF(TODAY()&gt;=$X1030-1,"Por vencer","En plazo")))))</f>
        <v/>
      </c>
      <c r="AB1030" s="50" t="n"/>
      <c r="AC1030" s="50" t="n"/>
    </row>
    <row r="1031" ht="16" customHeight="1">
      <c r="A1031" s="28">
        <f>IF($B1031="","","N-"&amp;TEXT(ROW()-3,"0000"))</f>
        <v/>
      </c>
      <c r="B1031" s="47" t="n"/>
      <c r="C1031" s="48" t="n"/>
      <c r="D1031" s="48" t="n"/>
      <c r="E1031" s="28">
        <f>IF($C1031="","",IF($D1031="",IF($C1031="Interna","Sin guía (interna)","FALTA GUÍA"),IF(COUNTIFS(ENVIOS!$A$4:$A$3003,$D1031)=0,"NO EXISTE",IF(COUNTIFS(ENVIOS!$A$4:$A$3003,$D1031)&gt;1,"DUPLICADA","OK"))))</f>
        <v/>
      </c>
      <c r="F1031" s="28">
        <f>IF($D1031="","",IFERROR(INDEX(ENVIOS!$B$4:$B$3003,MATCH($D1031,ENVIOS!$A$4:$A$3003,0)),"—"))</f>
        <v/>
      </c>
      <c r="G1031" s="23">
        <f>IF($D1031="","",IFERROR(INDEX(ENVIOS!$D$4:$D$3003,MATCH($D1031,ENVIOS!$A$4:$A$3003,0)),"—"))</f>
        <v/>
      </c>
      <c r="H1031" s="23">
        <f>IF($D1031="","",IFERROR(INDEX(ENVIOS!$E$4:$E$3003,MATCH($D1031,ENVIOS!$A$4:$A$3003,0)),"—"))</f>
        <v/>
      </c>
      <c r="I1031" s="23">
        <f>IF($D1031="","",IFERROR(INDEX(ENVIOS!$F$4:$F$3003,MATCH($D1031,ENVIOS!$A$4:$A$3003,0)),"—"))</f>
        <v/>
      </c>
      <c r="J1031" s="23">
        <f>IF($D1031="","",IFERROR(INDEX(ENVIOS!$G$4:$G$3003,MATCH($D1031,ENVIOS!$A$4:$A$3003,0)),"—"))</f>
        <v/>
      </c>
      <c r="K1031" s="28">
        <f>IF($D1031="","",IFERROR(INDEX(ENVIOS!$H$4:$H$3003,MATCH($D1031,ENVIOS!$A$4:$A$3003,0)),"—"))</f>
        <v/>
      </c>
      <c r="L1031" s="49">
        <f>IF($D1031="","",IFERROR(INDEX(ENVIOS!$C$4:$C$3003,MATCH($D1031,ENVIOS!$A$4:$A$3003,0)),""))</f>
        <v/>
      </c>
      <c r="M1031" s="50" t="n"/>
      <c r="N1031" s="28">
        <f>IF($M1031="","",IFERROR(INDEX(CONFIG!$C$4:$C$63,MATCH($M1031,CONFIG!$A$4:$A$63,0)),"Media"))</f>
        <v/>
      </c>
      <c r="O1031" s="28">
        <f>IF($M1031="","",IF($C1031="Interna","NO",IFERROR(INDEX(CONFIG!$E$4:$E$63,MATCH($M1031,CONFIG!$A$4:$A$63,0)),"NO")))</f>
        <v/>
      </c>
      <c r="P1031" s="50" t="n"/>
      <c r="Q1031" s="50" t="n"/>
      <c r="R1031" s="28">
        <f>IF($Q1031="","",IFERROR(INDEX(CONFIG!$H$4:$H$63,MATCH($Q1031,CONFIG!$G$4:$G$63,0)),"Por definir"))</f>
        <v/>
      </c>
      <c r="S1031" s="28">
        <f>IF($Q1031="","",IFERROR(INDEX(CONFIG!$I$4:$I$63,MATCH($Q1031,CONFIG!$G$4:$G$63,0)),"Por definir"))</f>
        <v/>
      </c>
      <c r="T1031" s="51" t="n"/>
      <c r="U1031" s="52" t="n"/>
      <c r="V1031" s="50" t="n"/>
      <c r="W1031" s="50" t="n"/>
      <c r="X1031" s="49">
        <f>IF(OR($B1031="",$M1031=""),"",WORKDAY($B1031,IFERROR(INDEX(CONFIG!$D$4:$D$63,MATCH($M1031,CONFIG!$A$4:$A$63,0)),3)))</f>
        <v/>
      </c>
      <c r="Y1031" s="47" t="n"/>
      <c r="Z1031" s="24">
        <f>IF($B1031="","",IF($Y1031&lt;&gt;"",$Y1031-$B1031,TODAY()-$B1031))</f>
        <v/>
      </c>
      <c r="AA1031" s="28">
        <f>IF($B1031="","",IF(IFERROR(INDEX(CONFIG!$L$4:$L$63,MATCH($V1031,CONFIG!$K$4:$K$63,0)),"NO")="SÍ",IF(OR($Y1031="",$X1031=""),"Resuelta",IF($Y1031&gt;$X1031,"Resuelta tarde","Resuelta a tiempo")),IF($X1031="","Sin clasificar",IF(TODAY()&gt;$X1031,"Vencida",IF(TODAY()&gt;=$X1031-1,"Por vencer","En plazo")))))</f>
        <v/>
      </c>
      <c r="AB1031" s="50" t="n"/>
      <c r="AC1031" s="50" t="n"/>
    </row>
    <row r="1032" ht="16" customHeight="1">
      <c r="A1032" s="28">
        <f>IF($B1032="","","N-"&amp;TEXT(ROW()-3,"0000"))</f>
        <v/>
      </c>
      <c r="B1032" s="47" t="n"/>
      <c r="C1032" s="48" t="n"/>
      <c r="D1032" s="48" t="n"/>
      <c r="E1032" s="28">
        <f>IF($C1032="","",IF($D1032="",IF($C1032="Interna","Sin guía (interna)","FALTA GUÍA"),IF(COUNTIFS(ENVIOS!$A$4:$A$3003,$D1032)=0,"NO EXISTE",IF(COUNTIFS(ENVIOS!$A$4:$A$3003,$D1032)&gt;1,"DUPLICADA","OK"))))</f>
        <v/>
      </c>
      <c r="F1032" s="28">
        <f>IF($D1032="","",IFERROR(INDEX(ENVIOS!$B$4:$B$3003,MATCH($D1032,ENVIOS!$A$4:$A$3003,0)),"—"))</f>
        <v/>
      </c>
      <c r="G1032" s="23">
        <f>IF($D1032="","",IFERROR(INDEX(ENVIOS!$D$4:$D$3003,MATCH($D1032,ENVIOS!$A$4:$A$3003,0)),"—"))</f>
        <v/>
      </c>
      <c r="H1032" s="23">
        <f>IF($D1032="","",IFERROR(INDEX(ENVIOS!$E$4:$E$3003,MATCH($D1032,ENVIOS!$A$4:$A$3003,0)),"—"))</f>
        <v/>
      </c>
      <c r="I1032" s="23">
        <f>IF($D1032="","",IFERROR(INDEX(ENVIOS!$F$4:$F$3003,MATCH($D1032,ENVIOS!$A$4:$A$3003,0)),"—"))</f>
        <v/>
      </c>
      <c r="J1032" s="23">
        <f>IF($D1032="","",IFERROR(INDEX(ENVIOS!$G$4:$G$3003,MATCH($D1032,ENVIOS!$A$4:$A$3003,0)),"—"))</f>
        <v/>
      </c>
      <c r="K1032" s="28">
        <f>IF($D1032="","",IFERROR(INDEX(ENVIOS!$H$4:$H$3003,MATCH($D1032,ENVIOS!$A$4:$A$3003,0)),"—"))</f>
        <v/>
      </c>
      <c r="L1032" s="49">
        <f>IF($D1032="","",IFERROR(INDEX(ENVIOS!$C$4:$C$3003,MATCH($D1032,ENVIOS!$A$4:$A$3003,0)),""))</f>
        <v/>
      </c>
      <c r="M1032" s="50" t="n"/>
      <c r="N1032" s="28">
        <f>IF($M1032="","",IFERROR(INDEX(CONFIG!$C$4:$C$63,MATCH($M1032,CONFIG!$A$4:$A$63,0)),"Media"))</f>
        <v/>
      </c>
      <c r="O1032" s="28">
        <f>IF($M1032="","",IF($C1032="Interna","NO",IFERROR(INDEX(CONFIG!$E$4:$E$63,MATCH($M1032,CONFIG!$A$4:$A$63,0)),"NO")))</f>
        <v/>
      </c>
      <c r="P1032" s="50" t="n"/>
      <c r="Q1032" s="50" t="n"/>
      <c r="R1032" s="28">
        <f>IF($Q1032="","",IFERROR(INDEX(CONFIG!$H$4:$H$63,MATCH($Q1032,CONFIG!$G$4:$G$63,0)),"Por definir"))</f>
        <v/>
      </c>
      <c r="S1032" s="28">
        <f>IF($Q1032="","",IFERROR(INDEX(CONFIG!$I$4:$I$63,MATCH($Q1032,CONFIG!$G$4:$G$63,0)),"Por definir"))</f>
        <v/>
      </c>
      <c r="T1032" s="51" t="n"/>
      <c r="U1032" s="52" t="n"/>
      <c r="V1032" s="50" t="n"/>
      <c r="W1032" s="50" t="n"/>
      <c r="X1032" s="49">
        <f>IF(OR($B1032="",$M1032=""),"",WORKDAY($B1032,IFERROR(INDEX(CONFIG!$D$4:$D$63,MATCH($M1032,CONFIG!$A$4:$A$63,0)),3)))</f>
        <v/>
      </c>
      <c r="Y1032" s="47" t="n"/>
      <c r="Z1032" s="24">
        <f>IF($B1032="","",IF($Y1032&lt;&gt;"",$Y1032-$B1032,TODAY()-$B1032))</f>
        <v/>
      </c>
      <c r="AA1032" s="28">
        <f>IF($B1032="","",IF(IFERROR(INDEX(CONFIG!$L$4:$L$63,MATCH($V1032,CONFIG!$K$4:$K$63,0)),"NO")="SÍ",IF(OR($Y1032="",$X1032=""),"Resuelta",IF($Y1032&gt;$X1032,"Resuelta tarde","Resuelta a tiempo")),IF($X1032="","Sin clasificar",IF(TODAY()&gt;$X1032,"Vencida",IF(TODAY()&gt;=$X1032-1,"Por vencer","En plazo")))))</f>
        <v/>
      </c>
      <c r="AB1032" s="50" t="n"/>
      <c r="AC1032" s="50" t="n"/>
    </row>
    <row r="1033" ht="16" customHeight="1">
      <c r="A1033" s="28">
        <f>IF($B1033="","","N-"&amp;TEXT(ROW()-3,"0000"))</f>
        <v/>
      </c>
      <c r="B1033" s="47" t="n"/>
      <c r="C1033" s="48" t="n"/>
      <c r="D1033" s="48" t="n"/>
      <c r="E1033" s="28">
        <f>IF($C1033="","",IF($D1033="",IF($C1033="Interna","Sin guía (interna)","FALTA GUÍA"),IF(COUNTIFS(ENVIOS!$A$4:$A$3003,$D1033)=0,"NO EXISTE",IF(COUNTIFS(ENVIOS!$A$4:$A$3003,$D1033)&gt;1,"DUPLICADA","OK"))))</f>
        <v/>
      </c>
      <c r="F1033" s="28">
        <f>IF($D1033="","",IFERROR(INDEX(ENVIOS!$B$4:$B$3003,MATCH($D1033,ENVIOS!$A$4:$A$3003,0)),"—"))</f>
        <v/>
      </c>
      <c r="G1033" s="23">
        <f>IF($D1033="","",IFERROR(INDEX(ENVIOS!$D$4:$D$3003,MATCH($D1033,ENVIOS!$A$4:$A$3003,0)),"—"))</f>
        <v/>
      </c>
      <c r="H1033" s="23">
        <f>IF($D1033="","",IFERROR(INDEX(ENVIOS!$E$4:$E$3003,MATCH($D1033,ENVIOS!$A$4:$A$3003,0)),"—"))</f>
        <v/>
      </c>
      <c r="I1033" s="23">
        <f>IF($D1033="","",IFERROR(INDEX(ENVIOS!$F$4:$F$3003,MATCH($D1033,ENVIOS!$A$4:$A$3003,0)),"—"))</f>
        <v/>
      </c>
      <c r="J1033" s="23">
        <f>IF($D1033="","",IFERROR(INDEX(ENVIOS!$G$4:$G$3003,MATCH($D1033,ENVIOS!$A$4:$A$3003,0)),"—"))</f>
        <v/>
      </c>
      <c r="K1033" s="28">
        <f>IF($D1033="","",IFERROR(INDEX(ENVIOS!$H$4:$H$3003,MATCH($D1033,ENVIOS!$A$4:$A$3003,0)),"—"))</f>
        <v/>
      </c>
      <c r="L1033" s="49">
        <f>IF($D1033="","",IFERROR(INDEX(ENVIOS!$C$4:$C$3003,MATCH($D1033,ENVIOS!$A$4:$A$3003,0)),""))</f>
        <v/>
      </c>
      <c r="M1033" s="50" t="n"/>
      <c r="N1033" s="28">
        <f>IF($M1033="","",IFERROR(INDEX(CONFIG!$C$4:$C$63,MATCH($M1033,CONFIG!$A$4:$A$63,0)),"Media"))</f>
        <v/>
      </c>
      <c r="O1033" s="28">
        <f>IF($M1033="","",IF($C1033="Interna","NO",IFERROR(INDEX(CONFIG!$E$4:$E$63,MATCH($M1033,CONFIG!$A$4:$A$63,0)),"NO")))</f>
        <v/>
      </c>
      <c r="P1033" s="50" t="n"/>
      <c r="Q1033" s="50" t="n"/>
      <c r="R1033" s="28">
        <f>IF($Q1033="","",IFERROR(INDEX(CONFIG!$H$4:$H$63,MATCH($Q1033,CONFIG!$G$4:$G$63,0)),"Por definir"))</f>
        <v/>
      </c>
      <c r="S1033" s="28">
        <f>IF($Q1033="","",IFERROR(INDEX(CONFIG!$I$4:$I$63,MATCH($Q1033,CONFIG!$G$4:$G$63,0)),"Por definir"))</f>
        <v/>
      </c>
      <c r="T1033" s="51" t="n"/>
      <c r="U1033" s="52" t="n"/>
      <c r="V1033" s="50" t="n"/>
      <c r="W1033" s="50" t="n"/>
      <c r="X1033" s="49">
        <f>IF(OR($B1033="",$M1033=""),"",WORKDAY($B1033,IFERROR(INDEX(CONFIG!$D$4:$D$63,MATCH($M1033,CONFIG!$A$4:$A$63,0)),3)))</f>
        <v/>
      </c>
      <c r="Y1033" s="47" t="n"/>
      <c r="Z1033" s="24">
        <f>IF($B1033="","",IF($Y1033&lt;&gt;"",$Y1033-$B1033,TODAY()-$B1033))</f>
        <v/>
      </c>
      <c r="AA1033" s="28">
        <f>IF($B1033="","",IF(IFERROR(INDEX(CONFIG!$L$4:$L$63,MATCH($V1033,CONFIG!$K$4:$K$63,0)),"NO")="SÍ",IF(OR($Y1033="",$X1033=""),"Resuelta",IF($Y1033&gt;$X1033,"Resuelta tarde","Resuelta a tiempo")),IF($X1033="","Sin clasificar",IF(TODAY()&gt;$X1033,"Vencida",IF(TODAY()&gt;=$X1033-1,"Por vencer","En plazo")))))</f>
        <v/>
      </c>
      <c r="AB1033" s="50" t="n"/>
      <c r="AC1033" s="50" t="n"/>
    </row>
    <row r="1034" ht="16" customHeight="1">
      <c r="A1034" s="28">
        <f>IF($B1034="","","N-"&amp;TEXT(ROW()-3,"0000"))</f>
        <v/>
      </c>
      <c r="B1034" s="47" t="n"/>
      <c r="C1034" s="48" t="n"/>
      <c r="D1034" s="48" t="n"/>
      <c r="E1034" s="28">
        <f>IF($C1034="","",IF($D1034="",IF($C1034="Interna","Sin guía (interna)","FALTA GUÍA"),IF(COUNTIFS(ENVIOS!$A$4:$A$3003,$D1034)=0,"NO EXISTE",IF(COUNTIFS(ENVIOS!$A$4:$A$3003,$D1034)&gt;1,"DUPLICADA","OK"))))</f>
        <v/>
      </c>
      <c r="F1034" s="28">
        <f>IF($D1034="","",IFERROR(INDEX(ENVIOS!$B$4:$B$3003,MATCH($D1034,ENVIOS!$A$4:$A$3003,0)),"—"))</f>
        <v/>
      </c>
      <c r="G1034" s="23">
        <f>IF($D1034="","",IFERROR(INDEX(ENVIOS!$D$4:$D$3003,MATCH($D1034,ENVIOS!$A$4:$A$3003,0)),"—"))</f>
        <v/>
      </c>
      <c r="H1034" s="23">
        <f>IF($D1034="","",IFERROR(INDEX(ENVIOS!$E$4:$E$3003,MATCH($D1034,ENVIOS!$A$4:$A$3003,0)),"—"))</f>
        <v/>
      </c>
      <c r="I1034" s="23">
        <f>IF($D1034="","",IFERROR(INDEX(ENVIOS!$F$4:$F$3003,MATCH($D1034,ENVIOS!$A$4:$A$3003,0)),"—"))</f>
        <v/>
      </c>
      <c r="J1034" s="23">
        <f>IF($D1034="","",IFERROR(INDEX(ENVIOS!$G$4:$G$3003,MATCH($D1034,ENVIOS!$A$4:$A$3003,0)),"—"))</f>
        <v/>
      </c>
      <c r="K1034" s="28">
        <f>IF($D1034="","",IFERROR(INDEX(ENVIOS!$H$4:$H$3003,MATCH($D1034,ENVIOS!$A$4:$A$3003,0)),"—"))</f>
        <v/>
      </c>
      <c r="L1034" s="49">
        <f>IF($D1034="","",IFERROR(INDEX(ENVIOS!$C$4:$C$3003,MATCH($D1034,ENVIOS!$A$4:$A$3003,0)),""))</f>
        <v/>
      </c>
      <c r="M1034" s="50" t="n"/>
      <c r="N1034" s="28">
        <f>IF($M1034="","",IFERROR(INDEX(CONFIG!$C$4:$C$63,MATCH($M1034,CONFIG!$A$4:$A$63,0)),"Media"))</f>
        <v/>
      </c>
      <c r="O1034" s="28">
        <f>IF($M1034="","",IF($C1034="Interna","NO",IFERROR(INDEX(CONFIG!$E$4:$E$63,MATCH($M1034,CONFIG!$A$4:$A$63,0)),"NO")))</f>
        <v/>
      </c>
      <c r="P1034" s="50" t="n"/>
      <c r="Q1034" s="50" t="n"/>
      <c r="R1034" s="28">
        <f>IF($Q1034="","",IFERROR(INDEX(CONFIG!$H$4:$H$63,MATCH($Q1034,CONFIG!$G$4:$G$63,0)),"Por definir"))</f>
        <v/>
      </c>
      <c r="S1034" s="28">
        <f>IF($Q1034="","",IFERROR(INDEX(CONFIG!$I$4:$I$63,MATCH($Q1034,CONFIG!$G$4:$G$63,0)),"Por definir"))</f>
        <v/>
      </c>
      <c r="T1034" s="51" t="n"/>
      <c r="U1034" s="52" t="n"/>
      <c r="V1034" s="50" t="n"/>
      <c r="W1034" s="50" t="n"/>
      <c r="X1034" s="49">
        <f>IF(OR($B1034="",$M1034=""),"",WORKDAY($B1034,IFERROR(INDEX(CONFIG!$D$4:$D$63,MATCH($M1034,CONFIG!$A$4:$A$63,0)),3)))</f>
        <v/>
      </c>
      <c r="Y1034" s="47" t="n"/>
      <c r="Z1034" s="24">
        <f>IF($B1034="","",IF($Y1034&lt;&gt;"",$Y1034-$B1034,TODAY()-$B1034))</f>
        <v/>
      </c>
      <c r="AA1034" s="28">
        <f>IF($B1034="","",IF(IFERROR(INDEX(CONFIG!$L$4:$L$63,MATCH($V1034,CONFIG!$K$4:$K$63,0)),"NO")="SÍ",IF(OR($Y1034="",$X1034=""),"Resuelta",IF($Y1034&gt;$X1034,"Resuelta tarde","Resuelta a tiempo")),IF($X1034="","Sin clasificar",IF(TODAY()&gt;$X1034,"Vencida",IF(TODAY()&gt;=$X1034-1,"Por vencer","En plazo")))))</f>
        <v/>
      </c>
      <c r="AB1034" s="50" t="n"/>
      <c r="AC1034" s="50" t="n"/>
    </row>
    <row r="1035" ht="16" customHeight="1">
      <c r="A1035" s="28">
        <f>IF($B1035="","","N-"&amp;TEXT(ROW()-3,"0000"))</f>
        <v/>
      </c>
      <c r="B1035" s="47" t="n"/>
      <c r="C1035" s="48" t="n"/>
      <c r="D1035" s="48" t="n"/>
      <c r="E1035" s="28">
        <f>IF($C1035="","",IF($D1035="",IF($C1035="Interna","Sin guía (interna)","FALTA GUÍA"),IF(COUNTIFS(ENVIOS!$A$4:$A$3003,$D1035)=0,"NO EXISTE",IF(COUNTIFS(ENVIOS!$A$4:$A$3003,$D1035)&gt;1,"DUPLICADA","OK"))))</f>
        <v/>
      </c>
      <c r="F1035" s="28">
        <f>IF($D1035="","",IFERROR(INDEX(ENVIOS!$B$4:$B$3003,MATCH($D1035,ENVIOS!$A$4:$A$3003,0)),"—"))</f>
        <v/>
      </c>
      <c r="G1035" s="23">
        <f>IF($D1035="","",IFERROR(INDEX(ENVIOS!$D$4:$D$3003,MATCH($D1035,ENVIOS!$A$4:$A$3003,0)),"—"))</f>
        <v/>
      </c>
      <c r="H1035" s="23">
        <f>IF($D1035="","",IFERROR(INDEX(ENVIOS!$E$4:$E$3003,MATCH($D1035,ENVIOS!$A$4:$A$3003,0)),"—"))</f>
        <v/>
      </c>
      <c r="I1035" s="23">
        <f>IF($D1035="","",IFERROR(INDEX(ENVIOS!$F$4:$F$3003,MATCH($D1035,ENVIOS!$A$4:$A$3003,0)),"—"))</f>
        <v/>
      </c>
      <c r="J1035" s="23">
        <f>IF($D1035="","",IFERROR(INDEX(ENVIOS!$G$4:$G$3003,MATCH($D1035,ENVIOS!$A$4:$A$3003,0)),"—"))</f>
        <v/>
      </c>
      <c r="K1035" s="28">
        <f>IF($D1035="","",IFERROR(INDEX(ENVIOS!$H$4:$H$3003,MATCH($D1035,ENVIOS!$A$4:$A$3003,0)),"—"))</f>
        <v/>
      </c>
      <c r="L1035" s="49">
        <f>IF($D1035="","",IFERROR(INDEX(ENVIOS!$C$4:$C$3003,MATCH($D1035,ENVIOS!$A$4:$A$3003,0)),""))</f>
        <v/>
      </c>
      <c r="M1035" s="50" t="n"/>
      <c r="N1035" s="28">
        <f>IF($M1035="","",IFERROR(INDEX(CONFIG!$C$4:$C$63,MATCH($M1035,CONFIG!$A$4:$A$63,0)),"Media"))</f>
        <v/>
      </c>
      <c r="O1035" s="28">
        <f>IF($M1035="","",IF($C1035="Interna","NO",IFERROR(INDEX(CONFIG!$E$4:$E$63,MATCH($M1035,CONFIG!$A$4:$A$63,0)),"NO")))</f>
        <v/>
      </c>
      <c r="P1035" s="50" t="n"/>
      <c r="Q1035" s="50" t="n"/>
      <c r="R1035" s="28">
        <f>IF($Q1035="","",IFERROR(INDEX(CONFIG!$H$4:$H$63,MATCH($Q1035,CONFIG!$G$4:$G$63,0)),"Por definir"))</f>
        <v/>
      </c>
      <c r="S1035" s="28">
        <f>IF($Q1035="","",IFERROR(INDEX(CONFIG!$I$4:$I$63,MATCH($Q1035,CONFIG!$G$4:$G$63,0)),"Por definir"))</f>
        <v/>
      </c>
      <c r="T1035" s="51" t="n"/>
      <c r="U1035" s="52" t="n"/>
      <c r="V1035" s="50" t="n"/>
      <c r="W1035" s="50" t="n"/>
      <c r="X1035" s="49">
        <f>IF(OR($B1035="",$M1035=""),"",WORKDAY($B1035,IFERROR(INDEX(CONFIG!$D$4:$D$63,MATCH($M1035,CONFIG!$A$4:$A$63,0)),3)))</f>
        <v/>
      </c>
      <c r="Y1035" s="47" t="n"/>
      <c r="Z1035" s="24">
        <f>IF($B1035="","",IF($Y1035&lt;&gt;"",$Y1035-$B1035,TODAY()-$B1035))</f>
        <v/>
      </c>
      <c r="AA1035" s="28">
        <f>IF($B1035="","",IF(IFERROR(INDEX(CONFIG!$L$4:$L$63,MATCH($V1035,CONFIG!$K$4:$K$63,0)),"NO")="SÍ",IF(OR($Y1035="",$X1035=""),"Resuelta",IF($Y1035&gt;$X1035,"Resuelta tarde","Resuelta a tiempo")),IF($X1035="","Sin clasificar",IF(TODAY()&gt;$X1035,"Vencida",IF(TODAY()&gt;=$X1035-1,"Por vencer","En plazo")))))</f>
        <v/>
      </c>
      <c r="AB1035" s="50" t="n"/>
      <c r="AC1035" s="50" t="n"/>
    </row>
    <row r="1036" ht="16" customHeight="1">
      <c r="A1036" s="28">
        <f>IF($B1036="","","N-"&amp;TEXT(ROW()-3,"0000"))</f>
        <v/>
      </c>
      <c r="B1036" s="47" t="n"/>
      <c r="C1036" s="48" t="n"/>
      <c r="D1036" s="48" t="n"/>
      <c r="E1036" s="28">
        <f>IF($C1036="","",IF($D1036="",IF($C1036="Interna","Sin guía (interna)","FALTA GUÍA"),IF(COUNTIFS(ENVIOS!$A$4:$A$3003,$D1036)=0,"NO EXISTE",IF(COUNTIFS(ENVIOS!$A$4:$A$3003,$D1036)&gt;1,"DUPLICADA","OK"))))</f>
        <v/>
      </c>
      <c r="F1036" s="28">
        <f>IF($D1036="","",IFERROR(INDEX(ENVIOS!$B$4:$B$3003,MATCH($D1036,ENVIOS!$A$4:$A$3003,0)),"—"))</f>
        <v/>
      </c>
      <c r="G1036" s="23">
        <f>IF($D1036="","",IFERROR(INDEX(ENVIOS!$D$4:$D$3003,MATCH($D1036,ENVIOS!$A$4:$A$3003,0)),"—"))</f>
        <v/>
      </c>
      <c r="H1036" s="23">
        <f>IF($D1036="","",IFERROR(INDEX(ENVIOS!$E$4:$E$3003,MATCH($D1036,ENVIOS!$A$4:$A$3003,0)),"—"))</f>
        <v/>
      </c>
      <c r="I1036" s="23">
        <f>IF($D1036="","",IFERROR(INDEX(ENVIOS!$F$4:$F$3003,MATCH($D1036,ENVIOS!$A$4:$A$3003,0)),"—"))</f>
        <v/>
      </c>
      <c r="J1036" s="23">
        <f>IF($D1036="","",IFERROR(INDEX(ENVIOS!$G$4:$G$3003,MATCH($D1036,ENVIOS!$A$4:$A$3003,0)),"—"))</f>
        <v/>
      </c>
      <c r="K1036" s="28">
        <f>IF($D1036="","",IFERROR(INDEX(ENVIOS!$H$4:$H$3003,MATCH($D1036,ENVIOS!$A$4:$A$3003,0)),"—"))</f>
        <v/>
      </c>
      <c r="L1036" s="49">
        <f>IF($D1036="","",IFERROR(INDEX(ENVIOS!$C$4:$C$3003,MATCH($D1036,ENVIOS!$A$4:$A$3003,0)),""))</f>
        <v/>
      </c>
      <c r="M1036" s="50" t="n"/>
      <c r="N1036" s="28">
        <f>IF($M1036="","",IFERROR(INDEX(CONFIG!$C$4:$C$63,MATCH($M1036,CONFIG!$A$4:$A$63,0)),"Media"))</f>
        <v/>
      </c>
      <c r="O1036" s="28">
        <f>IF($M1036="","",IF($C1036="Interna","NO",IFERROR(INDEX(CONFIG!$E$4:$E$63,MATCH($M1036,CONFIG!$A$4:$A$63,0)),"NO")))</f>
        <v/>
      </c>
      <c r="P1036" s="50" t="n"/>
      <c r="Q1036" s="50" t="n"/>
      <c r="R1036" s="28">
        <f>IF($Q1036="","",IFERROR(INDEX(CONFIG!$H$4:$H$63,MATCH($Q1036,CONFIG!$G$4:$G$63,0)),"Por definir"))</f>
        <v/>
      </c>
      <c r="S1036" s="28">
        <f>IF($Q1036="","",IFERROR(INDEX(CONFIG!$I$4:$I$63,MATCH($Q1036,CONFIG!$G$4:$G$63,0)),"Por definir"))</f>
        <v/>
      </c>
      <c r="T1036" s="51" t="n"/>
      <c r="U1036" s="52" t="n"/>
      <c r="V1036" s="50" t="n"/>
      <c r="W1036" s="50" t="n"/>
      <c r="X1036" s="49">
        <f>IF(OR($B1036="",$M1036=""),"",WORKDAY($B1036,IFERROR(INDEX(CONFIG!$D$4:$D$63,MATCH($M1036,CONFIG!$A$4:$A$63,0)),3)))</f>
        <v/>
      </c>
      <c r="Y1036" s="47" t="n"/>
      <c r="Z1036" s="24">
        <f>IF($B1036="","",IF($Y1036&lt;&gt;"",$Y1036-$B1036,TODAY()-$B1036))</f>
        <v/>
      </c>
      <c r="AA1036" s="28">
        <f>IF($B1036="","",IF(IFERROR(INDEX(CONFIG!$L$4:$L$63,MATCH($V1036,CONFIG!$K$4:$K$63,0)),"NO")="SÍ",IF(OR($Y1036="",$X1036=""),"Resuelta",IF($Y1036&gt;$X1036,"Resuelta tarde","Resuelta a tiempo")),IF($X1036="","Sin clasificar",IF(TODAY()&gt;$X1036,"Vencida",IF(TODAY()&gt;=$X1036-1,"Por vencer","En plazo")))))</f>
        <v/>
      </c>
      <c r="AB1036" s="50" t="n"/>
      <c r="AC1036" s="50" t="n"/>
    </row>
    <row r="1037" ht="16" customHeight="1">
      <c r="A1037" s="28">
        <f>IF($B1037="","","N-"&amp;TEXT(ROW()-3,"0000"))</f>
        <v/>
      </c>
      <c r="B1037" s="47" t="n"/>
      <c r="C1037" s="48" t="n"/>
      <c r="D1037" s="48" t="n"/>
      <c r="E1037" s="28">
        <f>IF($C1037="","",IF($D1037="",IF($C1037="Interna","Sin guía (interna)","FALTA GUÍA"),IF(COUNTIFS(ENVIOS!$A$4:$A$3003,$D1037)=0,"NO EXISTE",IF(COUNTIFS(ENVIOS!$A$4:$A$3003,$D1037)&gt;1,"DUPLICADA","OK"))))</f>
        <v/>
      </c>
      <c r="F1037" s="28">
        <f>IF($D1037="","",IFERROR(INDEX(ENVIOS!$B$4:$B$3003,MATCH($D1037,ENVIOS!$A$4:$A$3003,0)),"—"))</f>
        <v/>
      </c>
      <c r="G1037" s="23">
        <f>IF($D1037="","",IFERROR(INDEX(ENVIOS!$D$4:$D$3003,MATCH($D1037,ENVIOS!$A$4:$A$3003,0)),"—"))</f>
        <v/>
      </c>
      <c r="H1037" s="23">
        <f>IF($D1037="","",IFERROR(INDEX(ENVIOS!$E$4:$E$3003,MATCH($D1037,ENVIOS!$A$4:$A$3003,0)),"—"))</f>
        <v/>
      </c>
      <c r="I1037" s="23">
        <f>IF($D1037="","",IFERROR(INDEX(ENVIOS!$F$4:$F$3003,MATCH($D1037,ENVIOS!$A$4:$A$3003,0)),"—"))</f>
        <v/>
      </c>
      <c r="J1037" s="23">
        <f>IF($D1037="","",IFERROR(INDEX(ENVIOS!$G$4:$G$3003,MATCH($D1037,ENVIOS!$A$4:$A$3003,0)),"—"))</f>
        <v/>
      </c>
      <c r="K1037" s="28">
        <f>IF($D1037="","",IFERROR(INDEX(ENVIOS!$H$4:$H$3003,MATCH($D1037,ENVIOS!$A$4:$A$3003,0)),"—"))</f>
        <v/>
      </c>
      <c r="L1037" s="49">
        <f>IF($D1037="","",IFERROR(INDEX(ENVIOS!$C$4:$C$3003,MATCH($D1037,ENVIOS!$A$4:$A$3003,0)),""))</f>
        <v/>
      </c>
      <c r="M1037" s="50" t="n"/>
      <c r="N1037" s="28">
        <f>IF($M1037="","",IFERROR(INDEX(CONFIG!$C$4:$C$63,MATCH($M1037,CONFIG!$A$4:$A$63,0)),"Media"))</f>
        <v/>
      </c>
      <c r="O1037" s="28">
        <f>IF($M1037="","",IF($C1037="Interna","NO",IFERROR(INDEX(CONFIG!$E$4:$E$63,MATCH($M1037,CONFIG!$A$4:$A$63,0)),"NO")))</f>
        <v/>
      </c>
      <c r="P1037" s="50" t="n"/>
      <c r="Q1037" s="50" t="n"/>
      <c r="R1037" s="28">
        <f>IF($Q1037="","",IFERROR(INDEX(CONFIG!$H$4:$H$63,MATCH($Q1037,CONFIG!$G$4:$G$63,0)),"Por definir"))</f>
        <v/>
      </c>
      <c r="S1037" s="28">
        <f>IF($Q1037="","",IFERROR(INDEX(CONFIG!$I$4:$I$63,MATCH($Q1037,CONFIG!$G$4:$G$63,0)),"Por definir"))</f>
        <v/>
      </c>
      <c r="T1037" s="51" t="n"/>
      <c r="U1037" s="52" t="n"/>
      <c r="V1037" s="50" t="n"/>
      <c r="W1037" s="50" t="n"/>
      <c r="X1037" s="49">
        <f>IF(OR($B1037="",$M1037=""),"",WORKDAY($B1037,IFERROR(INDEX(CONFIG!$D$4:$D$63,MATCH($M1037,CONFIG!$A$4:$A$63,0)),3)))</f>
        <v/>
      </c>
      <c r="Y1037" s="47" t="n"/>
      <c r="Z1037" s="24">
        <f>IF($B1037="","",IF($Y1037&lt;&gt;"",$Y1037-$B1037,TODAY()-$B1037))</f>
        <v/>
      </c>
      <c r="AA1037" s="28">
        <f>IF($B1037="","",IF(IFERROR(INDEX(CONFIG!$L$4:$L$63,MATCH($V1037,CONFIG!$K$4:$K$63,0)),"NO")="SÍ",IF(OR($Y1037="",$X1037=""),"Resuelta",IF($Y1037&gt;$X1037,"Resuelta tarde","Resuelta a tiempo")),IF($X1037="","Sin clasificar",IF(TODAY()&gt;$X1037,"Vencida",IF(TODAY()&gt;=$X1037-1,"Por vencer","En plazo")))))</f>
        <v/>
      </c>
      <c r="AB1037" s="50" t="n"/>
      <c r="AC1037" s="50" t="n"/>
    </row>
    <row r="1038" ht="16" customHeight="1">
      <c r="A1038" s="28">
        <f>IF($B1038="","","N-"&amp;TEXT(ROW()-3,"0000"))</f>
        <v/>
      </c>
      <c r="B1038" s="47" t="n"/>
      <c r="C1038" s="48" t="n"/>
      <c r="D1038" s="48" t="n"/>
      <c r="E1038" s="28">
        <f>IF($C1038="","",IF($D1038="",IF($C1038="Interna","Sin guía (interna)","FALTA GUÍA"),IF(COUNTIFS(ENVIOS!$A$4:$A$3003,$D1038)=0,"NO EXISTE",IF(COUNTIFS(ENVIOS!$A$4:$A$3003,$D1038)&gt;1,"DUPLICADA","OK"))))</f>
        <v/>
      </c>
      <c r="F1038" s="28">
        <f>IF($D1038="","",IFERROR(INDEX(ENVIOS!$B$4:$B$3003,MATCH($D1038,ENVIOS!$A$4:$A$3003,0)),"—"))</f>
        <v/>
      </c>
      <c r="G1038" s="23">
        <f>IF($D1038="","",IFERROR(INDEX(ENVIOS!$D$4:$D$3003,MATCH($D1038,ENVIOS!$A$4:$A$3003,0)),"—"))</f>
        <v/>
      </c>
      <c r="H1038" s="23">
        <f>IF($D1038="","",IFERROR(INDEX(ENVIOS!$E$4:$E$3003,MATCH($D1038,ENVIOS!$A$4:$A$3003,0)),"—"))</f>
        <v/>
      </c>
      <c r="I1038" s="23">
        <f>IF($D1038="","",IFERROR(INDEX(ENVIOS!$F$4:$F$3003,MATCH($D1038,ENVIOS!$A$4:$A$3003,0)),"—"))</f>
        <v/>
      </c>
      <c r="J1038" s="23">
        <f>IF($D1038="","",IFERROR(INDEX(ENVIOS!$G$4:$G$3003,MATCH($D1038,ENVIOS!$A$4:$A$3003,0)),"—"))</f>
        <v/>
      </c>
      <c r="K1038" s="28">
        <f>IF($D1038="","",IFERROR(INDEX(ENVIOS!$H$4:$H$3003,MATCH($D1038,ENVIOS!$A$4:$A$3003,0)),"—"))</f>
        <v/>
      </c>
      <c r="L1038" s="49">
        <f>IF($D1038="","",IFERROR(INDEX(ENVIOS!$C$4:$C$3003,MATCH($D1038,ENVIOS!$A$4:$A$3003,0)),""))</f>
        <v/>
      </c>
      <c r="M1038" s="50" t="n"/>
      <c r="N1038" s="28">
        <f>IF($M1038="","",IFERROR(INDEX(CONFIG!$C$4:$C$63,MATCH($M1038,CONFIG!$A$4:$A$63,0)),"Media"))</f>
        <v/>
      </c>
      <c r="O1038" s="28">
        <f>IF($M1038="","",IF($C1038="Interna","NO",IFERROR(INDEX(CONFIG!$E$4:$E$63,MATCH($M1038,CONFIG!$A$4:$A$63,0)),"NO")))</f>
        <v/>
      </c>
      <c r="P1038" s="50" t="n"/>
      <c r="Q1038" s="50" t="n"/>
      <c r="R1038" s="28">
        <f>IF($Q1038="","",IFERROR(INDEX(CONFIG!$H$4:$H$63,MATCH($Q1038,CONFIG!$G$4:$G$63,0)),"Por definir"))</f>
        <v/>
      </c>
      <c r="S1038" s="28">
        <f>IF($Q1038="","",IFERROR(INDEX(CONFIG!$I$4:$I$63,MATCH($Q1038,CONFIG!$G$4:$G$63,0)),"Por definir"))</f>
        <v/>
      </c>
      <c r="T1038" s="51" t="n"/>
      <c r="U1038" s="52" t="n"/>
      <c r="V1038" s="50" t="n"/>
      <c r="W1038" s="50" t="n"/>
      <c r="X1038" s="49">
        <f>IF(OR($B1038="",$M1038=""),"",WORKDAY($B1038,IFERROR(INDEX(CONFIG!$D$4:$D$63,MATCH($M1038,CONFIG!$A$4:$A$63,0)),3)))</f>
        <v/>
      </c>
      <c r="Y1038" s="47" t="n"/>
      <c r="Z1038" s="24">
        <f>IF($B1038="","",IF($Y1038&lt;&gt;"",$Y1038-$B1038,TODAY()-$B1038))</f>
        <v/>
      </c>
      <c r="AA1038" s="28">
        <f>IF($B1038="","",IF(IFERROR(INDEX(CONFIG!$L$4:$L$63,MATCH($V1038,CONFIG!$K$4:$K$63,0)),"NO")="SÍ",IF(OR($Y1038="",$X1038=""),"Resuelta",IF($Y1038&gt;$X1038,"Resuelta tarde","Resuelta a tiempo")),IF($X1038="","Sin clasificar",IF(TODAY()&gt;$X1038,"Vencida",IF(TODAY()&gt;=$X1038-1,"Por vencer","En plazo")))))</f>
        <v/>
      </c>
      <c r="AB1038" s="50" t="n"/>
      <c r="AC1038" s="50" t="n"/>
    </row>
    <row r="1039" ht="16" customHeight="1">
      <c r="A1039" s="28">
        <f>IF($B1039="","","N-"&amp;TEXT(ROW()-3,"0000"))</f>
        <v/>
      </c>
      <c r="B1039" s="47" t="n"/>
      <c r="C1039" s="48" t="n"/>
      <c r="D1039" s="48" t="n"/>
      <c r="E1039" s="28">
        <f>IF($C1039="","",IF($D1039="",IF($C1039="Interna","Sin guía (interna)","FALTA GUÍA"),IF(COUNTIFS(ENVIOS!$A$4:$A$3003,$D1039)=0,"NO EXISTE",IF(COUNTIFS(ENVIOS!$A$4:$A$3003,$D1039)&gt;1,"DUPLICADA","OK"))))</f>
        <v/>
      </c>
      <c r="F1039" s="28">
        <f>IF($D1039="","",IFERROR(INDEX(ENVIOS!$B$4:$B$3003,MATCH($D1039,ENVIOS!$A$4:$A$3003,0)),"—"))</f>
        <v/>
      </c>
      <c r="G1039" s="23">
        <f>IF($D1039="","",IFERROR(INDEX(ENVIOS!$D$4:$D$3003,MATCH($D1039,ENVIOS!$A$4:$A$3003,0)),"—"))</f>
        <v/>
      </c>
      <c r="H1039" s="23">
        <f>IF($D1039="","",IFERROR(INDEX(ENVIOS!$E$4:$E$3003,MATCH($D1039,ENVIOS!$A$4:$A$3003,0)),"—"))</f>
        <v/>
      </c>
      <c r="I1039" s="23">
        <f>IF($D1039="","",IFERROR(INDEX(ENVIOS!$F$4:$F$3003,MATCH($D1039,ENVIOS!$A$4:$A$3003,0)),"—"))</f>
        <v/>
      </c>
      <c r="J1039" s="23">
        <f>IF($D1039="","",IFERROR(INDEX(ENVIOS!$G$4:$G$3003,MATCH($D1039,ENVIOS!$A$4:$A$3003,0)),"—"))</f>
        <v/>
      </c>
      <c r="K1039" s="28">
        <f>IF($D1039="","",IFERROR(INDEX(ENVIOS!$H$4:$H$3003,MATCH($D1039,ENVIOS!$A$4:$A$3003,0)),"—"))</f>
        <v/>
      </c>
      <c r="L1039" s="49">
        <f>IF($D1039="","",IFERROR(INDEX(ENVIOS!$C$4:$C$3003,MATCH($D1039,ENVIOS!$A$4:$A$3003,0)),""))</f>
        <v/>
      </c>
      <c r="M1039" s="50" t="n"/>
      <c r="N1039" s="28">
        <f>IF($M1039="","",IFERROR(INDEX(CONFIG!$C$4:$C$63,MATCH($M1039,CONFIG!$A$4:$A$63,0)),"Media"))</f>
        <v/>
      </c>
      <c r="O1039" s="28">
        <f>IF($M1039="","",IF($C1039="Interna","NO",IFERROR(INDEX(CONFIG!$E$4:$E$63,MATCH($M1039,CONFIG!$A$4:$A$63,0)),"NO")))</f>
        <v/>
      </c>
      <c r="P1039" s="50" t="n"/>
      <c r="Q1039" s="50" t="n"/>
      <c r="R1039" s="28">
        <f>IF($Q1039="","",IFERROR(INDEX(CONFIG!$H$4:$H$63,MATCH($Q1039,CONFIG!$G$4:$G$63,0)),"Por definir"))</f>
        <v/>
      </c>
      <c r="S1039" s="28">
        <f>IF($Q1039="","",IFERROR(INDEX(CONFIG!$I$4:$I$63,MATCH($Q1039,CONFIG!$G$4:$G$63,0)),"Por definir"))</f>
        <v/>
      </c>
      <c r="T1039" s="51" t="n"/>
      <c r="U1039" s="52" t="n"/>
      <c r="V1039" s="50" t="n"/>
      <c r="W1039" s="50" t="n"/>
      <c r="X1039" s="49">
        <f>IF(OR($B1039="",$M1039=""),"",WORKDAY($B1039,IFERROR(INDEX(CONFIG!$D$4:$D$63,MATCH($M1039,CONFIG!$A$4:$A$63,0)),3)))</f>
        <v/>
      </c>
      <c r="Y1039" s="47" t="n"/>
      <c r="Z1039" s="24">
        <f>IF($B1039="","",IF($Y1039&lt;&gt;"",$Y1039-$B1039,TODAY()-$B1039))</f>
        <v/>
      </c>
      <c r="AA1039" s="28">
        <f>IF($B1039="","",IF(IFERROR(INDEX(CONFIG!$L$4:$L$63,MATCH($V1039,CONFIG!$K$4:$K$63,0)),"NO")="SÍ",IF(OR($Y1039="",$X1039=""),"Resuelta",IF($Y1039&gt;$X1039,"Resuelta tarde","Resuelta a tiempo")),IF($X1039="","Sin clasificar",IF(TODAY()&gt;$X1039,"Vencida",IF(TODAY()&gt;=$X1039-1,"Por vencer","En plazo")))))</f>
        <v/>
      </c>
      <c r="AB1039" s="50" t="n"/>
      <c r="AC1039" s="50" t="n"/>
    </row>
    <row r="1040" ht="16" customHeight="1">
      <c r="A1040" s="28">
        <f>IF($B1040="","","N-"&amp;TEXT(ROW()-3,"0000"))</f>
        <v/>
      </c>
      <c r="B1040" s="47" t="n"/>
      <c r="C1040" s="48" t="n"/>
      <c r="D1040" s="48" t="n"/>
      <c r="E1040" s="28">
        <f>IF($C1040="","",IF($D1040="",IF($C1040="Interna","Sin guía (interna)","FALTA GUÍA"),IF(COUNTIFS(ENVIOS!$A$4:$A$3003,$D1040)=0,"NO EXISTE",IF(COUNTIFS(ENVIOS!$A$4:$A$3003,$D1040)&gt;1,"DUPLICADA","OK"))))</f>
        <v/>
      </c>
      <c r="F1040" s="28">
        <f>IF($D1040="","",IFERROR(INDEX(ENVIOS!$B$4:$B$3003,MATCH($D1040,ENVIOS!$A$4:$A$3003,0)),"—"))</f>
        <v/>
      </c>
      <c r="G1040" s="23">
        <f>IF($D1040="","",IFERROR(INDEX(ENVIOS!$D$4:$D$3003,MATCH($D1040,ENVIOS!$A$4:$A$3003,0)),"—"))</f>
        <v/>
      </c>
      <c r="H1040" s="23">
        <f>IF($D1040="","",IFERROR(INDEX(ENVIOS!$E$4:$E$3003,MATCH($D1040,ENVIOS!$A$4:$A$3003,0)),"—"))</f>
        <v/>
      </c>
      <c r="I1040" s="23">
        <f>IF($D1040="","",IFERROR(INDEX(ENVIOS!$F$4:$F$3003,MATCH($D1040,ENVIOS!$A$4:$A$3003,0)),"—"))</f>
        <v/>
      </c>
      <c r="J1040" s="23">
        <f>IF($D1040="","",IFERROR(INDEX(ENVIOS!$G$4:$G$3003,MATCH($D1040,ENVIOS!$A$4:$A$3003,0)),"—"))</f>
        <v/>
      </c>
      <c r="K1040" s="28">
        <f>IF($D1040="","",IFERROR(INDEX(ENVIOS!$H$4:$H$3003,MATCH($D1040,ENVIOS!$A$4:$A$3003,0)),"—"))</f>
        <v/>
      </c>
      <c r="L1040" s="49">
        <f>IF($D1040="","",IFERROR(INDEX(ENVIOS!$C$4:$C$3003,MATCH($D1040,ENVIOS!$A$4:$A$3003,0)),""))</f>
        <v/>
      </c>
      <c r="M1040" s="50" t="n"/>
      <c r="N1040" s="28">
        <f>IF($M1040="","",IFERROR(INDEX(CONFIG!$C$4:$C$63,MATCH($M1040,CONFIG!$A$4:$A$63,0)),"Media"))</f>
        <v/>
      </c>
      <c r="O1040" s="28">
        <f>IF($M1040="","",IF($C1040="Interna","NO",IFERROR(INDEX(CONFIG!$E$4:$E$63,MATCH($M1040,CONFIG!$A$4:$A$63,0)),"NO")))</f>
        <v/>
      </c>
      <c r="P1040" s="50" t="n"/>
      <c r="Q1040" s="50" t="n"/>
      <c r="R1040" s="28">
        <f>IF($Q1040="","",IFERROR(INDEX(CONFIG!$H$4:$H$63,MATCH($Q1040,CONFIG!$G$4:$G$63,0)),"Por definir"))</f>
        <v/>
      </c>
      <c r="S1040" s="28">
        <f>IF($Q1040="","",IFERROR(INDEX(CONFIG!$I$4:$I$63,MATCH($Q1040,CONFIG!$G$4:$G$63,0)),"Por definir"))</f>
        <v/>
      </c>
      <c r="T1040" s="51" t="n"/>
      <c r="U1040" s="52" t="n"/>
      <c r="V1040" s="50" t="n"/>
      <c r="W1040" s="50" t="n"/>
      <c r="X1040" s="49">
        <f>IF(OR($B1040="",$M1040=""),"",WORKDAY($B1040,IFERROR(INDEX(CONFIG!$D$4:$D$63,MATCH($M1040,CONFIG!$A$4:$A$63,0)),3)))</f>
        <v/>
      </c>
      <c r="Y1040" s="47" t="n"/>
      <c r="Z1040" s="24">
        <f>IF($B1040="","",IF($Y1040&lt;&gt;"",$Y1040-$B1040,TODAY()-$B1040))</f>
        <v/>
      </c>
      <c r="AA1040" s="28">
        <f>IF($B1040="","",IF(IFERROR(INDEX(CONFIG!$L$4:$L$63,MATCH($V1040,CONFIG!$K$4:$K$63,0)),"NO")="SÍ",IF(OR($Y1040="",$X1040=""),"Resuelta",IF($Y1040&gt;$X1040,"Resuelta tarde","Resuelta a tiempo")),IF($X1040="","Sin clasificar",IF(TODAY()&gt;$X1040,"Vencida",IF(TODAY()&gt;=$X1040-1,"Por vencer","En plazo")))))</f>
        <v/>
      </c>
      <c r="AB1040" s="50" t="n"/>
      <c r="AC1040" s="50" t="n"/>
    </row>
    <row r="1041" ht="16" customHeight="1">
      <c r="A1041" s="28">
        <f>IF($B1041="","","N-"&amp;TEXT(ROW()-3,"0000"))</f>
        <v/>
      </c>
      <c r="B1041" s="47" t="n"/>
      <c r="C1041" s="48" t="n"/>
      <c r="D1041" s="48" t="n"/>
      <c r="E1041" s="28">
        <f>IF($C1041="","",IF($D1041="",IF($C1041="Interna","Sin guía (interna)","FALTA GUÍA"),IF(COUNTIFS(ENVIOS!$A$4:$A$3003,$D1041)=0,"NO EXISTE",IF(COUNTIFS(ENVIOS!$A$4:$A$3003,$D1041)&gt;1,"DUPLICADA","OK"))))</f>
        <v/>
      </c>
      <c r="F1041" s="28">
        <f>IF($D1041="","",IFERROR(INDEX(ENVIOS!$B$4:$B$3003,MATCH($D1041,ENVIOS!$A$4:$A$3003,0)),"—"))</f>
        <v/>
      </c>
      <c r="G1041" s="23">
        <f>IF($D1041="","",IFERROR(INDEX(ENVIOS!$D$4:$D$3003,MATCH($D1041,ENVIOS!$A$4:$A$3003,0)),"—"))</f>
        <v/>
      </c>
      <c r="H1041" s="23">
        <f>IF($D1041="","",IFERROR(INDEX(ENVIOS!$E$4:$E$3003,MATCH($D1041,ENVIOS!$A$4:$A$3003,0)),"—"))</f>
        <v/>
      </c>
      <c r="I1041" s="23">
        <f>IF($D1041="","",IFERROR(INDEX(ENVIOS!$F$4:$F$3003,MATCH($D1041,ENVIOS!$A$4:$A$3003,0)),"—"))</f>
        <v/>
      </c>
      <c r="J1041" s="23">
        <f>IF($D1041="","",IFERROR(INDEX(ENVIOS!$G$4:$G$3003,MATCH($D1041,ENVIOS!$A$4:$A$3003,0)),"—"))</f>
        <v/>
      </c>
      <c r="K1041" s="28">
        <f>IF($D1041="","",IFERROR(INDEX(ENVIOS!$H$4:$H$3003,MATCH($D1041,ENVIOS!$A$4:$A$3003,0)),"—"))</f>
        <v/>
      </c>
      <c r="L1041" s="49">
        <f>IF($D1041="","",IFERROR(INDEX(ENVIOS!$C$4:$C$3003,MATCH($D1041,ENVIOS!$A$4:$A$3003,0)),""))</f>
        <v/>
      </c>
      <c r="M1041" s="50" t="n"/>
      <c r="N1041" s="28">
        <f>IF($M1041="","",IFERROR(INDEX(CONFIG!$C$4:$C$63,MATCH($M1041,CONFIG!$A$4:$A$63,0)),"Media"))</f>
        <v/>
      </c>
      <c r="O1041" s="28">
        <f>IF($M1041="","",IF($C1041="Interna","NO",IFERROR(INDEX(CONFIG!$E$4:$E$63,MATCH($M1041,CONFIG!$A$4:$A$63,0)),"NO")))</f>
        <v/>
      </c>
      <c r="P1041" s="50" t="n"/>
      <c r="Q1041" s="50" t="n"/>
      <c r="R1041" s="28">
        <f>IF($Q1041="","",IFERROR(INDEX(CONFIG!$H$4:$H$63,MATCH($Q1041,CONFIG!$G$4:$G$63,0)),"Por definir"))</f>
        <v/>
      </c>
      <c r="S1041" s="28">
        <f>IF($Q1041="","",IFERROR(INDEX(CONFIG!$I$4:$I$63,MATCH($Q1041,CONFIG!$G$4:$G$63,0)),"Por definir"))</f>
        <v/>
      </c>
      <c r="T1041" s="51" t="n"/>
      <c r="U1041" s="52" t="n"/>
      <c r="V1041" s="50" t="n"/>
      <c r="W1041" s="50" t="n"/>
      <c r="X1041" s="49">
        <f>IF(OR($B1041="",$M1041=""),"",WORKDAY($B1041,IFERROR(INDEX(CONFIG!$D$4:$D$63,MATCH($M1041,CONFIG!$A$4:$A$63,0)),3)))</f>
        <v/>
      </c>
      <c r="Y1041" s="47" t="n"/>
      <c r="Z1041" s="24">
        <f>IF($B1041="","",IF($Y1041&lt;&gt;"",$Y1041-$B1041,TODAY()-$B1041))</f>
        <v/>
      </c>
      <c r="AA1041" s="28">
        <f>IF($B1041="","",IF(IFERROR(INDEX(CONFIG!$L$4:$L$63,MATCH($V1041,CONFIG!$K$4:$K$63,0)),"NO")="SÍ",IF(OR($Y1041="",$X1041=""),"Resuelta",IF($Y1041&gt;$X1041,"Resuelta tarde","Resuelta a tiempo")),IF($X1041="","Sin clasificar",IF(TODAY()&gt;$X1041,"Vencida",IF(TODAY()&gt;=$X1041-1,"Por vencer","En plazo")))))</f>
        <v/>
      </c>
      <c r="AB1041" s="50" t="n"/>
      <c r="AC1041" s="50" t="n"/>
    </row>
    <row r="1042" ht="16" customHeight="1">
      <c r="A1042" s="28">
        <f>IF($B1042="","","N-"&amp;TEXT(ROW()-3,"0000"))</f>
        <v/>
      </c>
      <c r="B1042" s="47" t="n"/>
      <c r="C1042" s="48" t="n"/>
      <c r="D1042" s="48" t="n"/>
      <c r="E1042" s="28">
        <f>IF($C1042="","",IF($D1042="",IF($C1042="Interna","Sin guía (interna)","FALTA GUÍA"),IF(COUNTIFS(ENVIOS!$A$4:$A$3003,$D1042)=0,"NO EXISTE",IF(COUNTIFS(ENVIOS!$A$4:$A$3003,$D1042)&gt;1,"DUPLICADA","OK"))))</f>
        <v/>
      </c>
      <c r="F1042" s="28">
        <f>IF($D1042="","",IFERROR(INDEX(ENVIOS!$B$4:$B$3003,MATCH($D1042,ENVIOS!$A$4:$A$3003,0)),"—"))</f>
        <v/>
      </c>
      <c r="G1042" s="23">
        <f>IF($D1042="","",IFERROR(INDEX(ENVIOS!$D$4:$D$3003,MATCH($D1042,ENVIOS!$A$4:$A$3003,0)),"—"))</f>
        <v/>
      </c>
      <c r="H1042" s="23">
        <f>IF($D1042="","",IFERROR(INDEX(ENVIOS!$E$4:$E$3003,MATCH($D1042,ENVIOS!$A$4:$A$3003,0)),"—"))</f>
        <v/>
      </c>
      <c r="I1042" s="23">
        <f>IF($D1042="","",IFERROR(INDEX(ENVIOS!$F$4:$F$3003,MATCH($D1042,ENVIOS!$A$4:$A$3003,0)),"—"))</f>
        <v/>
      </c>
      <c r="J1042" s="23">
        <f>IF($D1042="","",IFERROR(INDEX(ENVIOS!$G$4:$G$3003,MATCH($D1042,ENVIOS!$A$4:$A$3003,0)),"—"))</f>
        <v/>
      </c>
      <c r="K1042" s="28">
        <f>IF($D1042="","",IFERROR(INDEX(ENVIOS!$H$4:$H$3003,MATCH($D1042,ENVIOS!$A$4:$A$3003,0)),"—"))</f>
        <v/>
      </c>
      <c r="L1042" s="49">
        <f>IF($D1042="","",IFERROR(INDEX(ENVIOS!$C$4:$C$3003,MATCH($D1042,ENVIOS!$A$4:$A$3003,0)),""))</f>
        <v/>
      </c>
      <c r="M1042" s="50" t="n"/>
      <c r="N1042" s="28">
        <f>IF($M1042="","",IFERROR(INDEX(CONFIG!$C$4:$C$63,MATCH($M1042,CONFIG!$A$4:$A$63,0)),"Media"))</f>
        <v/>
      </c>
      <c r="O1042" s="28">
        <f>IF($M1042="","",IF($C1042="Interna","NO",IFERROR(INDEX(CONFIG!$E$4:$E$63,MATCH($M1042,CONFIG!$A$4:$A$63,0)),"NO")))</f>
        <v/>
      </c>
      <c r="P1042" s="50" t="n"/>
      <c r="Q1042" s="50" t="n"/>
      <c r="R1042" s="28">
        <f>IF($Q1042="","",IFERROR(INDEX(CONFIG!$H$4:$H$63,MATCH($Q1042,CONFIG!$G$4:$G$63,0)),"Por definir"))</f>
        <v/>
      </c>
      <c r="S1042" s="28">
        <f>IF($Q1042="","",IFERROR(INDEX(CONFIG!$I$4:$I$63,MATCH($Q1042,CONFIG!$G$4:$G$63,0)),"Por definir"))</f>
        <v/>
      </c>
      <c r="T1042" s="51" t="n"/>
      <c r="U1042" s="52" t="n"/>
      <c r="V1042" s="50" t="n"/>
      <c r="W1042" s="50" t="n"/>
      <c r="X1042" s="49">
        <f>IF(OR($B1042="",$M1042=""),"",WORKDAY($B1042,IFERROR(INDEX(CONFIG!$D$4:$D$63,MATCH($M1042,CONFIG!$A$4:$A$63,0)),3)))</f>
        <v/>
      </c>
      <c r="Y1042" s="47" t="n"/>
      <c r="Z1042" s="24">
        <f>IF($B1042="","",IF($Y1042&lt;&gt;"",$Y1042-$B1042,TODAY()-$B1042))</f>
        <v/>
      </c>
      <c r="AA1042" s="28">
        <f>IF($B1042="","",IF(IFERROR(INDEX(CONFIG!$L$4:$L$63,MATCH($V1042,CONFIG!$K$4:$K$63,0)),"NO")="SÍ",IF(OR($Y1042="",$X1042=""),"Resuelta",IF($Y1042&gt;$X1042,"Resuelta tarde","Resuelta a tiempo")),IF($X1042="","Sin clasificar",IF(TODAY()&gt;$X1042,"Vencida",IF(TODAY()&gt;=$X1042-1,"Por vencer","En plazo")))))</f>
        <v/>
      </c>
      <c r="AB1042" s="50" t="n"/>
      <c r="AC1042" s="50" t="n"/>
    </row>
    <row r="1043" ht="16" customHeight="1">
      <c r="A1043" s="28">
        <f>IF($B1043="","","N-"&amp;TEXT(ROW()-3,"0000"))</f>
        <v/>
      </c>
      <c r="B1043" s="47" t="n"/>
      <c r="C1043" s="48" t="n"/>
      <c r="D1043" s="48" t="n"/>
      <c r="E1043" s="28">
        <f>IF($C1043="","",IF($D1043="",IF($C1043="Interna","Sin guía (interna)","FALTA GUÍA"),IF(COUNTIFS(ENVIOS!$A$4:$A$3003,$D1043)=0,"NO EXISTE",IF(COUNTIFS(ENVIOS!$A$4:$A$3003,$D1043)&gt;1,"DUPLICADA","OK"))))</f>
        <v/>
      </c>
      <c r="F1043" s="28">
        <f>IF($D1043="","",IFERROR(INDEX(ENVIOS!$B$4:$B$3003,MATCH($D1043,ENVIOS!$A$4:$A$3003,0)),"—"))</f>
        <v/>
      </c>
      <c r="G1043" s="23">
        <f>IF($D1043="","",IFERROR(INDEX(ENVIOS!$D$4:$D$3003,MATCH($D1043,ENVIOS!$A$4:$A$3003,0)),"—"))</f>
        <v/>
      </c>
      <c r="H1043" s="23">
        <f>IF($D1043="","",IFERROR(INDEX(ENVIOS!$E$4:$E$3003,MATCH($D1043,ENVIOS!$A$4:$A$3003,0)),"—"))</f>
        <v/>
      </c>
      <c r="I1043" s="23">
        <f>IF($D1043="","",IFERROR(INDEX(ENVIOS!$F$4:$F$3003,MATCH($D1043,ENVIOS!$A$4:$A$3003,0)),"—"))</f>
        <v/>
      </c>
      <c r="J1043" s="23">
        <f>IF($D1043="","",IFERROR(INDEX(ENVIOS!$G$4:$G$3003,MATCH($D1043,ENVIOS!$A$4:$A$3003,0)),"—"))</f>
        <v/>
      </c>
      <c r="K1043" s="28">
        <f>IF($D1043="","",IFERROR(INDEX(ENVIOS!$H$4:$H$3003,MATCH($D1043,ENVIOS!$A$4:$A$3003,0)),"—"))</f>
        <v/>
      </c>
      <c r="L1043" s="49">
        <f>IF($D1043="","",IFERROR(INDEX(ENVIOS!$C$4:$C$3003,MATCH($D1043,ENVIOS!$A$4:$A$3003,0)),""))</f>
        <v/>
      </c>
      <c r="M1043" s="50" t="n"/>
      <c r="N1043" s="28">
        <f>IF($M1043="","",IFERROR(INDEX(CONFIG!$C$4:$C$63,MATCH($M1043,CONFIG!$A$4:$A$63,0)),"Media"))</f>
        <v/>
      </c>
      <c r="O1043" s="28">
        <f>IF($M1043="","",IF($C1043="Interna","NO",IFERROR(INDEX(CONFIG!$E$4:$E$63,MATCH($M1043,CONFIG!$A$4:$A$63,0)),"NO")))</f>
        <v/>
      </c>
      <c r="P1043" s="50" t="n"/>
      <c r="Q1043" s="50" t="n"/>
      <c r="R1043" s="28">
        <f>IF($Q1043="","",IFERROR(INDEX(CONFIG!$H$4:$H$63,MATCH($Q1043,CONFIG!$G$4:$G$63,0)),"Por definir"))</f>
        <v/>
      </c>
      <c r="S1043" s="28">
        <f>IF($Q1043="","",IFERROR(INDEX(CONFIG!$I$4:$I$63,MATCH($Q1043,CONFIG!$G$4:$G$63,0)),"Por definir"))</f>
        <v/>
      </c>
      <c r="T1043" s="51" t="n"/>
      <c r="U1043" s="52" t="n"/>
      <c r="V1043" s="50" t="n"/>
      <c r="W1043" s="50" t="n"/>
      <c r="X1043" s="49">
        <f>IF(OR($B1043="",$M1043=""),"",WORKDAY($B1043,IFERROR(INDEX(CONFIG!$D$4:$D$63,MATCH($M1043,CONFIG!$A$4:$A$63,0)),3)))</f>
        <v/>
      </c>
      <c r="Y1043" s="47" t="n"/>
      <c r="Z1043" s="24">
        <f>IF($B1043="","",IF($Y1043&lt;&gt;"",$Y1043-$B1043,TODAY()-$B1043))</f>
        <v/>
      </c>
      <c r="AA1043" s="28">
        <f>IF($B1043="","",IF(IFERROR(INDEX(CONFIG!$L$4:$L$63,MATCH($V1043,CONFIG!$K$4:$K$63,0)),"NO")="SÍ",IF(OR($Y1043="",$X1043=""),"Resuelta",IF($Y1043&gt;$X1043,"Resuelta tarde","Resuelta a tiempo")),IF($X1043="","Sin clasificar",IF(TODAY()&gt;$X1043,"Vencida",IF(TODAY()&gt;=$X1043-1,"Por vencer","En plazo")))))</f>
        <v/>
      </c>
      <c r="AB1043" s="50" t="n"/>
      <c r="AC1043" s="50" t="n"/>
    </row>
    <row r="1044" ht="16" customHeight="1">
      <c r="A1044" s="28">
        <f>IF($B1044="","","N-"&amp;TEXT(ROW()-3,"0000"))</f>
        <v/>
      </c>
      <c r="B1044" s="47" t="n"/>
      <c r="C1044" s="48" t="n"/>
      <c r="D1044" s="48" t="n"/>
      <c r="E1044" s="28">
        <f>IF($C1044="","",IF($D1044="",IF($C1044="Interna","Sin guía (interna)","FALTA GUÍA"),IF(COUNTIFS(ENVIOS!$A$4:$A$3003,$D1044)=0,"NO EXISTE",IF(COUNTIFS(ENVIOS!$A$4:$A$3003,$D1044)&gt;1,"DUPLICADA","OK"))))</f>
        <v/>
      </c>
      <c r="F1044" s="28">
        <f>IF($D1044="","",IFERROR(INDEX(ENVIOS!$B$4:$B$3003,MATCH($D1044,ENVIOS!$A$4:$A$3003,0)),"—"))</f>
        <v/>
      </c>
      <c r="G1044" s="23">
        <f>IF($D1044="","",IFERROR(INDEX(ENVIOS!$D$4:$D$3003,MATCH($D1044,ENVIOS!$A$4:$A$3003,0)),"—"))</f>
        <v/>
      </c>
      <c r="H1044" s="23">
        <f>IF($D1044="","",IFERROR(INDEX(ENVIOS!$E$4:$E$3003,MATCH($D1044,ENVIOS!$A$4:$A$3003,0)),"—"))</f>
        <v/>
      </c>
      <c r="I1044" s="23">
        <f>IF($D1044="","",IFERROR(INDEX(ENVIOS!$F$4:$F$3003,MATCH($D1044,ENVIOS!$A$4:$A$3003,0)),"—"))</f>
        <v/>
      </c>
      <c r="J1044" s="23">
        <f>IF($D1044="","",IFERROR(INDEX(ENVIOS!$G$4:$G$3003,MATCH($D1044,ENVIOS!$A$4:$A$3003,0)),"—"))</f>
        <v/>
      </c>
      <c r="K1044" s="28">
        <f>IF($D1044="","",IFERROR(INDEX(ENVIOS!$H$4:$H$3003,MATCH($D1044,ENVIOS!$A$4:$A$3003,0)),"—"))</f>
        <v/>
      </c>
      <c r="L1044" s="49">
        <f>IF($D1044="","",IFERROR(INDEX(ENVIOS!$C$4:$C$3003,MATCH($D1044,ENVIOS!$A$4:$A$3003,0)),""))</f>
        <v/>
      </c>
      <c r="M1044" s="50" t="n"/>
      <c r="N1044" s="28">
        <f>IF($M1044="","",IFERROR(INDEX(CONFIG!$C$4:$C$63,MATCH($M1044,CONFIG!$A$4:$A$63,0)),"Media"))</f>
        <v/>
      </c>
      <c r="O1044" s="28">
        <f>IF($M1044="","",IF($C1044="Interna","NO",IFERROR(INDEX(CONFIG!$E$4:$E$63,MATCH($M1044,CONFIG!$A$4:$A$63,0)),"NO")))</f>
        <v/>
      </c>
      <c r="P1044" s="50" t="n"/>
      <c r="Q1044" s="50" t="n"/>
      <c r="R1044" s="28">
        <f>IF($Q1044="","",IFERROR(INDEX(CONFIG!$H$4:$H$63,MATCH($Q1044,CONFIG!$G$4:$G$63,0)),"Por definir"))</f>
        <v/>
      </c>
      <c r="S1044" s="28">
        <f>IF($Q1044="","",IFERROR(INDEX(CONFIG!$I$4:$I$63,MATCH($Q1044,CONFIG!$G$4:$G$63,0)),"Por definir"))</f>
        <v/>
      </c>
      <c r="T1044" s="51" t="n"/>
      <c r="U1044" s="52" t="n"/>
      <c r="V1044" s="50" t="n"/>
      <c r="W1044" s="50" t="n"/>
      <c r="X1044" s="49">
        <f>IF(OR($B1044="",$M1044=""),"",WORKDAY($B1044,IFERROR(INDEX(CONFIG!$D$4:$D$63,MATCH($M1044,CONFIG!$A$4:$A$63,0)),3)))</f>
        <v/>
      </c>
      <c r="Y1044" s="47" t="n"/>
      <c r="Z1044" s="24">
        <f>IF($B1044="","",IF($Y1044&lt;&gt;"",$Y1044-$B1044,TODAY()-$B1044))</f>
        <v/>
      </c>
      <c r="AA1044" s="28">
        <f>IF($B1044="","",IF(IFERROR(INDEX(CONFIG!$L$4:$L$63,MATCH($V1044,CONFIG!$K$4:$K$63,0)),"NO")="SÍ",IF(OR($Y1044="",$X1044=""),"Resuelta",IF($Y1044&gt;$X1044,"Resuelta tarde","Resuelta a tiempo")),IF($X1044="","Sin clasificar",IF(TODAY()&gt;$X1044,"Vencida",IF(TODAY()&gt;=$X1044-1,"Por vencer","En plazo")))))</f>
        <v/>
      </c>
      <c r="AB1044" s="50" t="n"/>
      <c r="AC1044" s="50" t="n"/>
    </row>
    <row r="1045" ht="16" customHeight="1">
      <c r="A1045" s="28">
        <f>IF($B1045="","","N-"&amp;TEXT(ROW()-3,"0000"))</f>
        <v/>
      </c>
      <c r="B1045" s="47" t="n"/>
      <c r="C1045" s="48" t="n"/>
      <c r="D1045" s="48" t="n"/>
      <c r="E1045" s="28">
        <f>IF($C1045="","",IF($D1045="",IF($C1045="Interna","Sin guía (interna)","FALTA GUÍA"),IF(COUNTIFS(ENVIOS!$A$4:$A$3003,$D1045)=0,"NO EXISTE",IF(COUNTIFS(ENVIOS!$A$4:$A$3003,$D1045)&gt;1,"DUPLICADA","OK"))))</f>
        <v/>
      </c>
      <c r="F1045" s="28">
        <f>IF($D1045="","",IFERROR(INDEX(ENVIOS!$B$4:$B$3003,MATCH($D1045,ENVIOS!$A$4:$A$3003,0)),"—"))</f>
        <v/>
      </c>
      <c r="G1045" s="23">
        <f>IF($D1045="","",IFERROR(INDEX(ENVIOS!$D$4:$D$3003,MATCH($D1045,ENVIOS!$A$4:$A$3003,0)),"—"))</f>
        <v/>
      </c>
      <c r="H1045" s="23">
        <f>IF($D1045="","",IFERROR(INDEX(ENVIOS!$E$4:$E$3003,MATCH($D1045,ENVIOS!$A$4:$A$3003,0)),"—"))</f>
        <v/>
      </c>
      <c r="I1045" s="23">
        <f>IF($D1045="","",IFERROR(INDEX(ENVIOS!$F$4:$F$3003,MATCH($D1045,ENVIOS!$A$4:$A$3003,0)),"—"))</f>
        <v/>
      </c>
      <c r="J1045" s="23">
        <f>IF($D1045="","",IFERROR(INDEX(ENVIOS!$G$4:$G$3003,MATCH($D1045,ENVIOS!$A$4:$A$3003,0)),"—"))</f>
        <v/>
      </c>
      <c r="K1045" s="28">
        <f>IF($D1045="","",IFERROR(INDEX(ENVIOS!$H$4:$H$3003,MATCH($D1045,ENVIOS!$A$4:$A$3003,0)),"—"))</f>
        <v/>
      </c>
      <c r="L1045" s="49">
        <f>IF($D1045="","",IFERROR(INDEX(ENVIOS!$C$4:$C$3003,MATCH($D1045,ENVIOS!$A$4:$A$3003,0)),""))</f>
        <v/>
      </c>
      <c r="M1045" s="50" t="n"/>
      <c r="N1045" s="28">
        <f>IF($M1045="","",IFERROR(INDEX(CONFIG!$C$4:$C$63,MATCH($M1045,CONFIG!$A$4:$A$63,0)),"Media"))</f>
        <v/>
      </c>
      <c r="O1045" s="28">
        <f>IF($M1045="","",IF($C1045="Interna","NO",IFERROR(INDEX(CONFIG!$E$4:$E$63,MATCH($M1045,CONFIG!$A$4:$A$63,0)),"NO")))</f>
        <v/>
      </c>
      <c r="P1045" s="50" t="n"/>
      <c r="Q1045" s="50" t="n"/>
      <c r="R1045" s="28">
        <f>IF($Q1045="","",IFERROR(INDEX(CONFIG!$H$4:$H$63,MATCH($Q1045,CONFIG!$G$4:$G$63,0)),"Por definir"))</f>
        <v/>
      </c>
      <c r="S1045" s="28">
        <f>IF($Q1045="","",IFERROR(INDEX(CONFIG!$I$4:$I$63,MATCH($Q1045,CONFIG!$G$4:$G$63,0)),"Por definir"))</f>
        <v/>
      </c>
      <c r="T1045" s="51" t="n"/>
      <c r="U1045" s="52" t="n"/>
      <c r="V1045" s="50" t="n"/>
      <c r="W1045" s="50" t="n"/>
      <c r="X1045" s="49">
        <f>IF(OR($B1045="",$M1045=""),"",WORKDAY($B1045,IFERROR(INDEX(CONFIG!$D$4:$D$63,MATCH($M1045,CONFIG!$A$4:$A$63,0)),3)))</f>
        <v/>
      </c>
      <c r="Y1045" s="47" t="n"/>
      <c r="Z1045" s="24">
        <f>IF($B1045="","",IF($Y1045&lt;&gt;"",$Y1045-$B1045,TODAY()-$B1045))</f>
        <v/>
      </c>
      <c r="AA1045" s="28">
        <f>IF($B1045="","",IF(IFERROR(INDEX(CONFIG!$L$4:$L$63,MATCH($V1045,CONFIG!$K$4:$K$63,0)),"NO")="SÍ",IF(OR($Y1045="",$X1045=""),"Resuelta",IF($Y1045&gt;$X1045,"Resuelta tarde","Resuelta a tiempo")),IF($X1045="","Sin clasificar",IF(TODAY()&gt;$X1045,"Vencida",IF(TODAY()&gt;=$X1045-1,"Por vencer","En plazo")))))</f>
        <v/>
      </c>
      <c r="AB1045" s="50" t="n"/>
      <c r="AC1045" s="50" t="n"/>
    </row>
    <row r="1046" ht="16" customHeight="1">
      <c r="A1046" s="28">
        <f>IF($B1046="","","N-"&amp;TEXT(ROW()-3,"0000"))</f>
        <v/>
      </c>
      <c r="B1046" s="47" t="n"/>
      <c r="C1046" s="48" t="n"/>
      <c r="D1046" s="48" t="n"/>
      <c r="E1046" s="28">
        <f>IF($C1046="","",IF($D1046="",IF($C1046="Interna","Sin guía (interna)","FALTA GUÍA"),IF(COUNTIFS(ENVIOS!$A$4:$A$3003,$D1046)=0,"NO EXISTE",IF(COUNTIFS(ENVIOS!$A$4:$A$3003,$D1046)&gt;1,"DUPLICADA","OK"))))</f>
        <v/>
      </c>
      <c r="F1046" s="28">
        <f>IF($D1046="","",IFERROR(INDEX(ENVIOS!$B$4:$B$3003,MATCH($D1046,ENVIOS!$A$4:$A$3003,0)),"—"))</f>
        <v/>
      </c>
      <c r="G1046" s="23">
        <f>IF($D1046="","",IFERROR(INDEX(ENVIOS!$D$4:$D$3003,MATCH($D1046,ENVIOS!$A$4:$A$3003,0)),"—"))</f>
        <v/>
      </c>
      <c r="H1046" s="23">
        <f>IF($D1046="","",IFERROR(INDEX(ENVIOS!$E$4:$E$3003,MATCH($D1046,ENVIOS!$A$4:$A$3003,0)),"—"))</f>
        <v/>
      </c>
      <c r="I1046" s="23">
        <f>IF($D1046="","",IFERROR(INDEX(ENVIOS!$F$4:$F$3003,MATCH($D1046,ENVIOS!$A$4:$A$3003,0)),"—"))</f>
        <v/>
      </c>
      <c r="J1046" s="23">
        <f>IF($D1046="","",IFERROR(INDEX(ENVIOS!$G$4:$G$3003,MATCH($D1046,ENVIOS!$A$4:$A$3003,0)),"—"))</f>
        <v/>
      </c>
      <c r="K1046" s="28">
        <f>IF($D1046="","",IFERROR(INDEX(ENVIOS!$H$4:$H$3003,MATCH($D1046,ENVIOS!$A$4:$A$3003,0)),"—"))</f>
        <v/>
      </c>
      <c r="L1046" s="49">
        <f>IF($D1046="","",IFERROR(INDEX(ENVIOS!$C$4:$C$3003,MATCH($D1046,ENVIOS!$A$4:$A$3003,0)),""))</f>
        <v/>
      </c>
      <c r="M1046" s="50" t="n"/>
      <c r="N1046" s="28">
        <f>IF($M1046="","",IFERROR(INDEX(CONFIG!$C$4:$C$63,MATCH($M1046,CONFIG!$A$4:$A$63,0)),"Media"))</f>
        <v/>
      </c>
      <c r="O1046" s="28">
        <f>IF($M1046="","",IF($C1046="Interna","NO",IFERROR(INDEX(CONFIG!$E$4:$E$63,MATCH($M1046,CONFIG!$A$4:$A$63,0)),"NO")))</f>
        <v/>
      </c>
      <c r="P1046" s="50" t="n"/>
      <c r="Q1046" s="50" t="n"/>
      <c r="R1046" s="28">
        <f>IF($Q1046="","",IFERROR(INDEX(CONFIG!$H$4:$H$63,MATCH($Q1046,CONFIG!$G$4:$G$63,0)),"Por definir"))</f>
        <v/>
      </c>
      <c r="S1046" s="28">
        <f>IF($Q1046="","",IFERROR(INDEX(CONFIG!$I$4:$I$63,MATCH($Q1046,CONFIG!$G$4:$G$63,0)),"Por definir"))</f>
        <v/>
      </c>
      <c r="T1046" s="51" t="n"/>
      <c r="U1046" s="52" t="n"/>
      <c r="V1046" s="50" t="n"/>
      <c r="W1046" s="50" t="n"/>
      <c r="X1046" s="49">
        <f>IF(OR($B1046="",$M1046=""),"",WORKDAY($B1046,IFERROR(INDEX(CONFIG!$D$4:$D$63,MATCH($M1046,CONFIG!$A$4:$A$63,0)),3)))</f>
        <v/>
      </c>
      <c r="Y1046" s="47" t="n"/>
      <c r="Z1046" s="24">
        <f>IF($B1046="","",IF($Y1046&lt;&gt;"",$Y1046-$B1046,TODAY()-$B1046))</f>
        <v/>
      </c>
      <c r="AA1046" s="28">
        <f>IF($B1046="","",IF(IFERROR(INDEX(CONFIG!$L$4:$L$63,MATCH($V1046,CONFIG!$K$4:$K$63,0)),"NO")="SÍ",IF(OR($Y1046="",$X1046=""),"Resuelta",IF($Y1046&gt;$X1046,"Resuelta tarde","Resuelta a tiempo")),IF($X1046="","Sin clasificar",IF(TODAY()&gt;$X1046,"Vencida",IF(TODAY()&gt;=$X1046-1,"Por vencer","En plazo")))))</f>
        <v/>
      </c>
      <c r="AB1046" s="50" t="n"/>
      <c r="AC1046" s="50" t="n"/>
    </row>
    <row r="1047" ht="16" customHeight="1">
      <c r="A1047" s="28">
        <f>IF($B1047="","","N-"&amp;TEXT(ROW()-3,"0000"))</f>
        <v/>
      </c>
      <c r="B1047" s="47" t="n"/>
      <c r="C1047" s="48" t="n"/>
      <c r="D1047" s="48" t="n"/>
      <c r="E1047" s="28">
        <f>IF($C1047="","",IF($D1047="",IF($C1047="Interna","Sin guía (interna)","FALTA GUÍA"),IF(COUNTIFS(ENVIOS!$A$4:$A$3003,$D1047)=0,"NO EXISTE",IF(COUNTIFS(ENVIOS!$A$4:$A$3003,$D1047)&gt;1,"DUPLICADA","OK"))))</f>
        <v/>
      </c>
      <c r="F1047" s="28">
        <f>IF($D1047="","",IFERROR(INDEX(ENVIOS!$B$4:$B$3003,MATCH($D1047,ENVIOS!$A$4:$A$3003,0)),"—"))</f>
        <v/>
      </c>
      <c r="G1047" s="23">
        <f>IF($D1047="","",IFERROR(INDEX(ENVIOS!$D$4:$D$3003,MATCH($D1047,ENVIOS!$A$4:$A$3003,0)),"—"))</f>
        <v/>
      </c>
      <c r="H1047" s="23">
        <f>IF($D1047="","",IFERROR(INDEX(ENVIOS!$E$4:$E$3003,MATCH($D1047,ENVIOS!$A$4:$A$3003,0)),"—"))</f>
        <v/>
      </c>
      <c r="I1047" s="23">
        <f>IF($D1047="","",IFERROR(INDEX(ENVIOS!$F$4:$F$3003,MATCH($D1047,ENVIOS!$A$4:$A$3003,0)),"—"))</f>
        <v/>
      </c>
      <c r="J1047" s="23">
        <f>IF($D1047="","",IFERROR(INDEX(ENVIOS!$G$4:$G$3003,MATCH($D1047,ENVIOS!$A$4:$A$3003,0)),"—"))</f>
        <v/>
      </c>
      <c r="K1047" s="28">
        <f>IF($D1047="","",IFERROR(INDEX(ENVIOS!$H$4:$H$3003,MATCH($D1047,ENVIOS!$A$4:$A$3003,0)),"—"))</f>
        <v/>
      </c>
      <c r="L1047" s="49">
        <f>IF($D1047="","",IFERROR(INDEX(ENVIOS!$C$4:$C$3003,MATCH($D1047,ENVIOS!$A$4:$A$3003,0)),""))</f>
        <v/>
      </c>
      <c r="M1047" s="50" t="n"/>
      <c r="N1047" s="28">
        <f>IF($M1047="","",IFERROR(INDEX(CONFIG!$C$4:$C$63,MATCH($M1047,CONFIG!$A$4:$A$63,0)),"Media"))</f>
        <v/>
      </c>
      <c r="O1047" s="28">
        <f>IF($M1047="","",IF($C1047="Interna","NO",IFERROR(INDEX(CONFIG!$E$4:$E$63,MATCH($M1047,CONFIG!$A$4:$A$63,0)),"NO")))</f>
        <v/>
      </c>
      <c r="P1047" s="50" t="n"/>
      <c r="Q1047" s="50" t="n"/>
      <c r="R1047" s="28">
        <f>IF($Q1047="","",IFERROR(INDEX(CONFIG!$H$4:$H$63,MATCH($Q1047,CONFIG!$G$4:$G$63,0)),"Por definir"))</f>
        <v/>
      </c>
      <c r="S1047" s="28">
        <f>IF($Q1047="","",IFERROR(INDEX(CONFIG!$I$4:$I$63,MATCH($Q1047,CONFIG!$G$4:$G$63,0)),"Por definir"))</f>
        <v/>
      </c>
      <c r="T1047" s="51" t="n"/>
      <c r="U1047" s="52" t="n"/>
      <c r="V1047" s="50" t="n"/>
      <c r="W1047" s="50" t="n"/>
      <c r="X1047" s="49">
        <f>IF(OR($B1047="",$M1047=""),"",WORKDAY($B1047,IFERROR(INDEX(CONFIG!$D$4:$D$63,MATCH($M1047,CONFIG!$A$4:$A$63,0)),3)))</f>
        <v/>
      </c>
      <c r="Y1047" s="47" t="n"/>
      <c r="Z1047" s="24">
        <f>IF($B1047="","",IF($Y1047&lt;&gt;"",$Y1047-$B1047,TODAY()-$B1047))</f>
        <v/>
      </c>
      <c r="AA1047" s="28">
        <f>IF($B1047="","",IF(IFERROR(INDEX(CONFIG!$L$4:$L$63,MATCH($V1047,CONFIG!$K$4:$K$63,0)),"NO")="SÍ",IF(OR($Y1047="",$X1047=""),"Resuelta",IF($Y1047&gt;$X1047,"Resuelta tarde","Resuelta a tiempo")),IF($X1047="","Sin clasificar",IF(TODAY()&gt;$X1047,"Vencida",IF(TODAY()&gt;=$X1047-1,"Por vencer","En plazo")))))</f>
        <v/>
      </c>
      <c r="AB1047" s="50" t="n"/>
      <c r="AC1047" s="50" t="n"/>
    </row>
    <row r="1048" ht="16" customHeight="1">
      <c r="A1048" s="28">
        <f>IF($B1048="","","N-"&amp;TEXT(ROW()-3,"0000"))</f>
        <v/>
      </c>
      <c r="B1048" s="47" t="n"/>
      <c r="C1048" s="48" t="n"/>
      <c r="D1048" s="48" t="n"/>
      <c r="E1048" s="28">
        <f>IF($C1048="","",IF($D1048="",IF($C1048="Interna","Sin guía (interna)","FALTA GUÍA"),IF(COUNTIFS(ENVIOS!$A$4:$A$3003,$D1048)=0,"NO EXISTE",IF(COUNTIFS(ENVIOS!$A$4:$A$3003,$D1048)&gt;1,"DUPLICADA","OK"))))</f>
        <v/>
      </c>
      <c r="F1048" s="28">
        <f>IF($D1048="","",IFERROR(INDEX(ENVIOS!$B$4:$B$3003,MATCH($D1048,ENVIOS!$A$4:$A$3003,0)),"—"))</f>
        <v/>
      </c>
      <c r="G1048" s="23">
        <f>IF($D1048="","",IFERROR(INDEX(ENVIOS!$D$4:$D$3003,MATCH($D1048,ENVIOS!$A$4:$A$3003,0)),"—"))</f>
        <v/>
      </c>
      <c r="H1048" s="23">
        <f>IF($D1048="","",IFERROR(INDEX(ENVIOS!$E$4:$E$3003,MATCH($D1048,ENVIOS!$A$4:$A$3003,0)),"—"))</f>
        <v/>
      </c>
      <c r="I1048" s="23">
        <f>IF($D1048="","",IFERROR(INDEX(ENVIOS!$F$4:$F$3003,MATCH($D1048,ENVIOS!$A$4:$A$3003,0)),"—"))</f>
        <v/>
      </c>
      <c r="J1048" s="23">
        <f>IF($D1048="","",IFERROR(INDEX(ENVIOS!$G$4:$G$3003,MATCH($D1048,ENVIOS!$A$4:$A$3003,0)),"—"))</f>
        <v/>
      </c>
      <c r="K1048" s="28">
        <f>IF($D1048="","",IFERROR(INDEX(ENVIOS!$H$4:$H$3003,MATCH($D1048,ENVIOS!$A$4:$A$3003,0)),"—"))</f>
        <v/>
      </c>
      <c r="L1048" s="49">
        <f>IF($D1048="","",IFERROR(INDEX(ENVIOS!$C$4:$C$3003,MATCH($D1048,ENVIOS!$A$4:$A$3003,0)),""))</f>
        <v/>
      </c>
      <c r="M1048" s="50" t="n"/>
      <c r="N1048" s="28">
        <f>IF($M1048="","",IFERROR(INDEX(CONFIG!$C$4:$C$63,MATCH($M1048,CONFIG!$A$4:$A$63,0)),"Media"))</f>
        <v/>
      </c>
      <c r="O1048" s="28">
        <f>IF($M1048="","",IF($C1048="Interna","NO",IFERROR(INDEX(CONFIG!$E$4:$E$63,MATCH($M1048,CONFIG!$A$4:$A$63,0)),"NO")))</f>
        <v/>
      </c>
      <c r="P1048" s="50" t="n"/>
      <c r="Q1048" s="50" t="n"/>
      <c r="R1048" s="28">
        <f>IF($Q1048="","",IFERROR(INDEX(CONFIG!$H$4:$H$63,MATCH($Q1048,CONFIG!$G$4:$G$63,0)),"Por definir"))</f>
        <v/>
      </c>
      <c r="S1048" s="28">
        <f>IF($Q1048="","",IFERROR(INDEX(CONFIG!$I$4:$I$63,MATCH($Q1048,CONFIG!$G$4:$G$63,0)),"Por definir"))</f>
        <v/>
      </c>
      <c r="T1048" s="51" t="n"/>
      <c r="U1048" s="52" t="n"/>
      <c r="V1048" s="50" t="n"/>
      <c r="W1048" s="50" t="n"/>
      <c r="X1048" s="49">
        <f>IF(OR($B1048="",$M1048=""),"",WORKDAY($B1048,IFERROR(INDEX(CONFIG!$D$4:$D$63,MATCH($M1048,CONFIG!$A$4:$A$63,0)),3)))</f>
        <v/>
      </c>
      <c r="Y1048" s="47" t="n"/>
      <c r="Z1048" s="24">
        <f>IF($B1048="","",IF($Y1048&lt;&gt;"",$Y1048-$B1048,TODAY()-$B1048))</f>
        <v/>
      </c>
      <c r="AA1048" s="28">
        <f>IF($B1048="","",IF(IFERROR(INDEX(CONFIG!$L$4:$L$63,MATCH($V1048,CONFIG!$K$4:$K$63,0)),"NO")="SÍ",IF(OR($Y1048="",$X1048=""),"Resuelta",IF($Y1048&gt;$X1048,"Resuelta tarde","Resuelta a tiempo")),IF($X1048="","Sin clasificar",IF(TODAY()&gt;$X1048,"Vencida",IF(TODAY()&gt;=$X1048-1,"Por vencer","En plazo")))))</f>
        <v/>
      </c>
      <c r="AB1048" s="50" t="n"/>
      <c r="AC1048" s="50" t="n"/>
    </row>
    <row r="1049" ht="16" customHeight="1">
      <c r="A1049" s="28">
        <f>IF($B1049="","","N-"&amp;TEXT(ROW()-3,"0000"))</f>
        <v/>
      </c>
      <c r="B1049" s="47" t="n"/>
      <c r="C1049" s="48" t="n"/>
      <c r="D1049" s="48" t="n"/>
      <c r="E1049" s="28">
        <f>IF($C1049="","",IF($D1049="",IF($C1049="Interna","Sin guía (interna)","FALTA GUÍA"),IF(COUNTIFS(ENVIOS!$A$4:$A$3003,$D1049)=0,"NO EXISTE",IF(COUNTIFS(ENVIOS!$A$4:$A$3003,$D1049)&gt;1,"DUPLICADA","OK"))))</f>
        <v/>
      </c>
      <c r="F1049" s="28">
        <f>IF($D1049="","",IFERROR(INDEX(ENVIOS!$B$4:$B$3003,MATCH($D1049,ENVIOS!$A$4:$A$3003,0)),"—"))</f>
        <v/>
      </c>
      <c r="G1049" s="23">
        <f>IF($D1049="","",IFERROR(INDEX(ENVIOS!$D$4:$D$3003,MATCH($D1049,ENVIOS!$A$4:$A$3003,0)),"—"))</f>
        <v/>
      </c>
      <c r="H1049" s="23">
        <f>IF($D1049="","",IFERROR(INDEX(ENVIOS!$E$4:$E$3003,MATCH($D1049,ENVIOS!$A$4:$A$3003,0)),"—"))</f>
        <v/>
      </c>
      <c r="I1049" s="23">
        <f>IF($D1049="","",IFERROR(INDEX(ENVIOS!$F$4:$F$3003,MATCH($D1049,ENVIOS!$A$4:$A$3003,0)),"—"))</f>
        <v/>
      </c>
      <c r="J1049" s="23">
        <f>IF($D1049="","",IFERROR(INDEX(ENVIOS!$G$4:$G$3003,MATCH($D1049,ENVIOS!$A$4:$A$3003,0)),"—"))</f>
        <v/>
      </c>
      <c r="K1049" s="28">
        <f>IF($D1049="","",IFERROR(INDEX(ENVIOS!$H$4:$H$3003,MATCH($D1049,ENVIOS!$A$4:$A$3003,0)),"—"))</f>
        <v/>
      </c>
      <c r="L1049" s="49">
        <f>IF($D1049="","",IFERROR(INDEX(ENVIOS!$C$4:$C$3003,MATCH($D1049,ENVIOS!$A$4:$A$3003,0)),""))</f>
        <v/>
      </c>
      <c r="M1049" s="50" t="n"/>
      <c r="N1049" s="28">
        <f>IF($M1049="","",IFERROR(INDEX(CONFIG!$C$4:$C$63,MATCH($M1049,CONFIG!$A$4:$A$63,0)),"Media"))</f>
        <v/>
      </c>
      <c r="O1049" s="28">
        <f>IF($M1049="","",IF($C1049="Interna","NO",IFERROR(INDEX(CONFIG!$E$4:$E$63,MATCH($M1049,CONFIG!$A$4:$A$63,0)),"NO")))</f>
        <v/>
      </c>
      <c r="P1049" s="50" t="n"/>
      <c r="Q1049" s="50" t="n"/>
      <c r="R1049" s="28">
        <f>IF($Q1049="","",IFERROR(INDEX(CONFIG!$H$4:$H$63,MATCH($Q1049,CONFIG!$G$4:$G$63,0)),"Por definir"))</f>
        <v/>
      </c>
      <c r="S1049" s="28">
        <f>IF($Q1049="","",IFERROR(INDEX(CONFIG!$I$4:$I$63,MATCH($Q1049,CONFIG!$G$4:$G$63,0)),"Por definir"))</f>
        <v/>
      </c>
      <c r="T1049" s="51" t="n"/>
      <c r="U1049" s="52" t="n"/>
      <c r="V1049" s="50" t="n"/>
      <c r="W1049" s="50" t="n"/>
      <c r="X1049" s="49">
        <f>IF(OR($B1049="",$M1049=""),"",WORKDAY($B1049,IFERROR(INDEX(CONFIG!$D$4:$D$63,MATCH($M1049,CONFIG!$A$4:$A$63,0)),3)))</f>
        <v/>
      </c>
      <c r="Y1049" s="47" t="n"/>
      <c r="Z1049" s="24">
        <f>IF($B1049="","",IF($Y1049&lt;&gt;"",$Y1049-$B1049,TODAY()-$B1049))</f>
        <v/>
      </c>
      <c r="AA1049" s="28">
        <f>IF($B1049="","",IF(IFERROR(INDEX(CONFIG!$L$4:$L$63,MATCH($V1049,CONFIG!$K$4:$K$63,0)),"NO")="SÍ",IF(OR($Y1049="",$X1049=""),"Resuelta",IF($Y1049&gt;$X1049,"Resuelta tarde","Resuelta a tiempo")),IF($X1049="","Sin clasificar",IF(TODAY()&gt;$X1049,"Vencida",IF(TODAY()&gt;=$X1049-1,"Por vencer","En plazo")))))</f>
        <v/>
      </c>
      <c r="AB1049" s="50" t="n"/>
      <c r="AC1049" s="50" t="n"/>
    </row>
    <row r="1050" ht="16" customHeight="1">
      <c r="A1050" s="28">
        <f>IF($B1050="","","N-"&amp;TEXT(ROW()-3,"0000"))</f>
        <v/>
      </c>
      <c r="B1050" s="47" t="n"/>
      <c r="C1050" s="48" t="n"/>
      <c r="D1050" s="48" t="n"/>
      <c r="E1050" s="28">
        <f>IF($C1050="","",IF($D1050="",IF($C1050="Interna","Sin guía (interna)","FALTA GUÍA"),IF(COUNTIFS(ENVIOS!$A$4:$A$3003,$D1050)=0,"NO EXISTE",IF(COUNTIFS(ENVIOS!$A$4:$A$3003,$D1050)&gt;1,"DUPLICADA","OK"))))</f>
        <v/>
      </c>
      <c r="F1050" s="28">
        <f>IF($D1050="","",IFERROR(INDEX(ENVIOS!$B$4:$B$3003,MATCH($D1050,ENVIOS!$A$4:$A$3003,0)),"—"))</f>
        <v/>
      </c>
      <c r="G1050" s="23">
        <f>IF($D1050="","",IFERROR(INDEX(ENVIOS!$D$4:$D$3003,MATCH($D1050,ENVIOS!$A$4:$A$3003,0)),"—"))</f>
        <v/>
      </c>
      <c r="H1050" s="23">
        <f>IF($D1050="","",IFERROR(INDEX(ENVIOS!$E$4:$E$3003,MATCH($D1050,ENVIOS!$A$4:$A$3003,0)),"—"))</f>
        <v/>
      </c>
      <c r="I1050" s="23">
        <f>IF($D1050="","",IFERROR(INDEX(ENVIOS!$F$4:$F$3003,MATCH($D1050,ENVIOS!$A$4:$A$3003,0)),"—"))</f>
        <v/>
      </c>
      <c r="J1050" s="23">
        <f>IF($D1050="","",IFERROR(INDEX(ENVIOS!$G$4:$G$3003,MATCH($D1050,ENVIOS!$A$4:$A$3003,0)),"—"))</f>
        <v/>
      </c>
      <c r="K1050" s="28">
        <f>IF($D1050="","",IFERROR(INDEX(ENVIOS!$H$4:$H$3003,MATCH($D1050,ENVIOS!$A$4:$A$3003,0)),"—"))</f>
        <v/>
      </c>
      <c r="L1050" s="49">
        <f>IF($D1050="","",IFERROR(INDEX(ENVIOS!$C$4:$C$3003,MATCH($D1050,ENVIOS!$A$4:$A$3003,0)),""))</f>
        <v/>
      </c>
      <c r="M1050" s="50" t="n"/>
      <c r="N1050" s="28">
        <f>IF($M1050="","",IFERROR(INDEX(CONFIG!$C$4:$C$63,MATCH($M1050,CONFIG!$A$4:$A$63,0)),"Media"))</f>
        <v/>
      </c>
      <c r="O1050" s="28">
        <f>IF($M1050="","",IF($C1050="Interna","NO",IFERROR(INDEX(CONFIG!$E$4:$E$63,MATCH($M1050,CONFIG!$A$4:$A$63,0)),"NO")))</f>
        <v/>
      </c>
      <c r="P1050" s="50" t="n"/>
      <c r="Q1050" s="50" t="n"/>
      <c r="R1050" s="28">
        <f>IF($Q1050="","",IFERROR(INDEX(CONFIG!$H$4:$H$63,MATCH($Q1050,CONFIG!$G$4:$G$63,0)),"Por definir"))</f>
        <v/>
      </c>
      <c r="S1050" s="28">
        <f>IF($Q1050="","",IFERROR(INDEX(CONFIG!$I$4:$I$63,MATCH($Q1050,CONFIG!$G$4:$G$63,0)),"Por definir"))</f>
        <v/>
      </c>
      <c r="T1050" s="51" t="n"/>
      <c r="U1050" s="52" t="n"/>
      <c r="V1050" s="50" t="n"/>
      <c r="W1050" s="50" t="n"/>
      <c r="X1050" s="49">
        <f>IF(OR($B1050="",$M1050=""),"",WORKDAY($B1050,IFERROR(INDEX(CONFIG!$D$4:$D$63,MATCH($M1050,CONFIG!$A$4:$A$63,0)),3)))</f>
        <v/>
      </c>
      <c r="Y1050" s="47" t="n"/>
      <c r="Z1050" s="24">
        <f>IF($B1050="","",IF($Y1050&lt;&gt;"",$Y1050-$B1050,TODAY()-$B1050))</f>
        <v/>
      </c>
      <c r="AA1050" s="28">
        <f>IF($B1050="","",IF(IFERROR(INDEX(CONFIG!$L$4:$L$63,MATCH($V1050,CONFIG!$K$4:$K$63,0)),"NO")="SÍ",IF(OR($Y1050="",$X1050=""),"Resuelta",IF($Y1050&gt;$X1050,"Resuelta tarde","Resuelta a tiempo")),IF($X1050="","Sin clasificar",IF(TODAY()&gt;$X1050,"Vencida",IF(TODAY()&gt;=$X1050-1,"Por vencer","En plazo")))))</f>
        <v/>
      </c>
      <c r="AB1050" s="50" t="n"/>
      <c r="AC1050" s="50" t="n"/>
    </row>
    <row r="1051" ht="16" customHeight="1">
      <c r="A1051" s="28">
        <f>IF($B1051="","","N-"&amp;TEXT(ROW()-3,"0000"))</f>
        <v/>
      </c>
      <c r="B1051" s="47" t="n"/>
      <c r="C1051" s="48" t="n"/>
      <c r="D1051" s="48" t="n"/>
      <c r="E1051" s="28">
        <f>IF($C1051="","",IF($D1051="",IF($C1051="Interna","Sin guía (interna)","FALTA GUÍA"),IF(COUNTIFS(ENVIOS!$A$4:$A$3003,$D1051)=0,"NO EXISTE",IF(COUNTIFS(ENVIOS!$A$4:$A$3003,$D1051)&gt;1,"DUPLICADA","OK"))))</f>
        <v/>
      </c>
      <c r="F1051" s="28">
        <f>IF($D1051="","",IFERROR(INDEX(ENVIOS!$B$4:$B$3003,MATCH($D1051,ENVIOS!$A$4:$A$3003,0)),"—"))</f>
        <v/>
      </c>
      <c r="G1051" s="23">
        <f>IF($D1051="","",IFERROR(INDEX(ENVIOS!$D$4:$D$3003,MATCH($D1051,ENVIOS!$A$4:$A$3003,0)),"—"))</f>
        <v/>
      </c>
      <c r="H1051" s="23">
        <f>IF($D1051="","",IFERROR(INDEX(ENVIOS!$E$4:$E$3003,MATCH($D1051,ENVIOS!$A$4:$A$3003,0)),"—"))</f>
        <v/>
      </c>
      <c r="I1051" s="23">
        <f>IF($D1051="","",IFERROR(INDEX(ENVIOS!$F$4:$F$3003,MATCH($D1051,ENVIOS!$A$4:$A$3003,0)),"—"))</f>
        <v/>
      </c>
      <c r="J1051" s="23">
        <f>IF($D1051="","",IFERROR(INDEX(ENVIOS!$G$4:$G$3003,MATCH($D1051,ENVIOS!$A$4:$A$3003,0)),"—"))</f>
        <v/>
      </c>
      <c r="K1051" s="28">
        <f>IF($D1051="","",IFERROR(INDEX(ENVIOS!$H$4:$H$3003,MATCH($D1051,ENVIOS!$A$4:$A$3003,0)),"—"))</f>
        <v/>
      </c>
      <c r="L1051" s="49">
        <f>IF($D1051="","",IFERROR(INDEX(ENVIOS!$C$4:$C$3003,MATCH($D1051,ENVIOS!$A$4:$A$3003,0)),""))</f>
        <v/>
      </c>
      <c r="M1051" s="50" t="n"/>
      <c r="N1051" s="28">
        <f>IF($M1051="","",IFERROR(INDEX(CONFIG!$C$4:$C$63,MATCH($M1051,CONFIG!$A$4:$A$63,0)),"Media"))</f>
        <v/>
      </c>
      <c r="O1051" s="28">
        <f>IF($M1051="","",IF($C1051="Interna","NO",IFERROR(INDEX(CONFIG!$E$4:$E$63,MATCH($M1051,CONFIG!$A$4:$A$63,0)),"NO")))</f>
        <v/>
      </c>
      <c r="P1051" s="50" t="n"/>
      <c r="Q1051" s="50" t="n"/>
      <c r="R1051" s="28">
        <f>IF($Q1051="","",IFERROR(INDEX(CONFIG!$H$4:$H$63,MATCH($Q1051,CONFIG!$G$4:$G$63,0)),"Por definir"))</f>
        <v/>
      </c>
      <c r="S1051" s="28">
        <f>IF($Q1051="","",IFERROR(INDEX(CONFIG!$I$4:$I$63,MATCH($Q1051,CONFIG!$G$4:$G$63,0)),"Por definir"))</f>
        <v/>
      </c>
      <c r="T1051" s="51" t="n"/>
      <c r="U1051" s="52" t="n"/>
      <c r="V1051" s="50" t="n"/>
      <c r="W1051" s="50" t="n"/>
      <c r="X1051" s="49">
        <f>IF(OR($B1051="",$M1051=""),"",WORKDAY($B1051,IFERROR(INDEX(CONFIG!$D$4:$D$63,MATCH($M1051,CONFIG!$A$4:$A$63,0)),3)))</f>
        <v/>
      </c>
      <c r="Y1051" s="47" t="n"/>
      <c r="Z1051" s="24">
        <f>IF($B1051="","",IF($Y1051&lt;&gt;"",$Y1051-$B1051,TODAY()-$B1051))</f>
        <v/>
      </c>
      <c r="AA1051" s="28">
        <f>IF($B1051="","",IF(IFERROR(INDEX(CONFIG!$L$4:$L$63,MATCH($V1051,CONFIG!$K$4:$K$63,0)),"NO")="SÍ",IF(OR($Y1051="",$X1051=""),"Resuelta",IF($Y1051&gt;$X1051,"Resuelta tarde","Resuelta a tiempo")),IF($X1051="","Sin clasificar",IF(TODAY()&gt;$X1051,"Vencida",IF(TODAY()&gt;=$X1051-1,"Por vencer","En plazo")))))</f>
        <v/>
      </c>
      <c r="AB1051" s="50" t="n"/>
      <c r="AC1051" s="50" t="n"/>
    </row>
    <row r="1052" ht="16" customHeight="1">
      <c r="A1052" s="28">
        <f>IF($B1052="","","N-"&amp;TEXT(ROW()-3,"0000"))</f>
        <v/>
      </c>
      <c r="B1052" s="47" t="n"/>
      <c r="C1052" s="48" t="n"/>
      <c r="D1052" s="48" t="n"/>
      <c r="E1052" s="28">
        <f>IF($C1052="","",IF($D1052="",IF($C1052="Interna","Sin guía (interna)","FALTA GUÍA"),IF(COUNTIFS(ENVIOS!$A$4:$A$3003,$D1052)=0,"NO EXISTE",IF(COUNTIFS(ENVIOS!$A$4:$A$3003,$D1052)&gt;1,"DUPLICADA","OK"))))</f>
        <v/>
      </c>
      <c r="F1052" s="28">
        <f>IF($D1052="","",IFERROR(INDEX(ENVIOS!$B$4:$B$3003,MATCH($D1052,ENVIOS!$A$4:$A$3003,0)),"—"))</f>
        <v/>
      </c>
      <c r="G1052" s="23">
        <f>IF($D1052="","",IFERROR(INDEX(ENVIOS!$D$4:$D$3003,MATCH($D1052,ENVIOS!$A$4:$A$3003,0)),"—"))</f>
        <v/>
      </c>
      <c r="H1052" s="23">
        <f>IF($D1052="","",IFERROR(INDEX(ENVIOS!$E$4:$E$3003,MATCH($D1052,ENVIOS!$A$4:$A$3003,0)),"—"))</f>
        <v/>
      </c>
      <c r="I1052" s="23">
        <f>IF($D1052="","",IFERROR(INDEX(ENVIOS!$F$4:$F$3003,MATCH($D1052,ENVIOS!$A$4:$A$3003,0)),"—"))</f>
        <v/>
      </c>
      <c r="J1052" s="23">
        <f>IF($D1052="","",IFERROR(INDEX(ENVIOS!$G$4:$G$3003,MATCH($D1052,ENVIOS!$A$4:$A$3003,0)),"—"))</f>
        <v/>
      </c>
      <c r="K1052" s="28">
        <f>IF($D1052="","",IFERROR(INDEX(ENVIOS!$H$4:$H$3003,MATCH($D1052,ENVIOS!$A$4:$A$3003,0)),"—"))</f>
        <v/>
      </c>
      <c r="L1052" s="49">
        <f>IF($D1052="","",IFERROR(INDEX(ENVIOS!$C$4:$C$3003,MATCH($D1052,ENVIOS!$A$4:$A$3003,0)),""))</f>
        <v/>
      </c>
      <c r="M1052" s="50" t="n"/>
      <c r="N1052" s="28">
        <f>IF($M1052="","",IFERROR(INDEX(CONFIG!$C$4:$C$63,MATCH($M1052,CONFIG!$A$4:$A$63,0)),"Media"))</f>
        <v/>
      </c>
      <c r="O1052" s="28">
        <f>IF($M1052="","",IF($C1052="Interna","NO",IFERROR(INDEX(CONFIG!$E$4:$E$63,MATCH($M1052,CONFIG!$A$4:$A$63,0)),"NO")))</f>
        <v/>
      </c>
      <c r="P1052" s="50" t="n"/>
      <c r="Q1052" s="50" t="n"/>
      <c r="R1052" s="28">
        <f>IF($Q1052="","",IFERROR(INDEX(CONFIG!$H$4:$H$63,MATCH($Q1052,CONFIG!$G$4:$G$63,0)),"Por definir"))</f>
        <v/>
      </c>
      <c r="S1052" s="28">
        <f>IF($Q1052="","",IFERROR(INDEX(CONFIG!$I$4:$I$63,MATCH($Q1052,CONFIG!$G$4:$G$63,0)),"Por definir"))</f>
        <v/>
      </c>
      <c r="T1052" s="51" t="n"/>
      <c r="U1052" s="52" t="n"/>
      <c r="V1052" s="50" t="n"/>
      <c r="W1052" s="50" t="n"/>
      <c r="X1052" s="49">
        <f>IF(OR($B1052="",$M1052=""),"",WORKDAY($B1052,IFERROR(INDEX(CONFIG!$D$4:$D$63,MATCH($M1052,CONFIG!$A$4:$A$63,0)),3)))</f>
        <v/>
      </c>
      <c r="Y1052" s="47" t="n"/>
      <c r="Z1052" s="24">
        <f>IF($B1052="","",IF($Y1052&lt;&gt;"",$Y1052-$B1052,TODAY()-$B1052))</f>
        <v/>
      </c>
      <c r="AA1052" s="28">
        <f>IF($B1052="","",IF(IFERROR(INDEX(CONFIG!$L$4:$L$63,MATCH($V1052,CONFIG!$K$4:$K$63,0)),"NO")="SÍ",IF(OR($Y1052="",$X1052=""),"Resuelta",IF($Y1052&gt;$X1052,"Resuelta tarde","Resuelta a tiempo")),IF($X1052="","Sin clasificar",IF(TODAY()&gt;$X1052,"Vencida",IF(TODAY()&gt;=$X1052-1,"Por vencer","En plazo")))))</f>
        <v/>
      </c>
      <c r="AB1052" s="50" t="n"/>
      <c r="AC1052" s="50" t="n"/>
    </row>
    <row r="1053" ht="16" customHeight="1">
      <c r="A1053" s="28">
        <f>IF($B1053="","","N-"&amp;TEXT(ROW()-3,"0000"))</f>
        <v/>
      </c>
      <c r="B1053" s="47" t="n"/>
      <c r="C1053" s="48" t="n"/>
      <c r="D1053" s="48" t="n"/>
      <c r="E1053" s="28">
        <f>IF($C1053="","",IF($D1053="",IF($C1053="Interna","Sin guía (interna)","FALTA GUÍA"),IF(COUNTIFS(ENVIOS!$A$4:$A$3003,$D1053)=0,"NO EXISTE",IF(COUNTIFS(ENVIOS!$A$4:$A$3003,$D1053)&gt;1,"DUPLICADA","OK"))))</f>
        <v/>
      </c>
      <c r="F1053" s="28">
        <f>IF($D1053="","",IFERROR(INDEX(ENVIOS!$B$4:$B$3003,MATCH($D1053,ENVIOS!$A$4:$A$3003,0)),"—"))</f>
        <v/>
      </c>
      <c r="G1053" s="23">
        <f>IF($D1053="","",IFERROR(INDEX(ENVIOS!$D$4:$D$3003,MATCH($D1053,ENVIOS!$A$4:$A$3003,0)),"—"))</f>
        <v/>
      </c>
      <c r="H1053" s="23">
        <f>IF($D1053="","",IFERROR(INDEX(ENVIOS!$E$4:$E$3003,MATCH($D1053,ENVIOS!$A$4:$A$3003,0)),"—"))</f>
        <v/>
      </c>
      <c r="I1053" s="23">
        <f>IF($D1053="","",IFERROR(INDEX(ENVIOS!$F$4:$F$3003,MATCH($D1053,ENVIOS!$A$4:$A$3003,0)),"—"))</f>
        <v/>
      </c>
      <c r="J1053" s="23">
        <f>IF($D1053="","",IFERROR(INDEX(ENVIOS!$G$4:$G$3003,MATCH($D1053,ENVIOS!$A$4:$A$3003,0)),"—"))</f>
        <v/>
      </c>
      <c r="K1053" s="28">
        <f>IF($D1053="","",IFERROR(INDEX(ENVIOS!$H$4:$H$3003,MATCH($D1053,ENVIOS!$A$4:$A$3003,0)),"—"))</f>
        <v/>
      </c>
      <c r="L1053" s="49">
        <f>IF($D1053="","",IFERROR(INDEX(ENVIOS!$C$4:$C$3003,MATCH($D1053,ENVIOS!$A$4:$A$3003,0)),""))</f>
        <v/>
      </c>
      <c r="M1053" s="50" t="n"/>
      <c r="N1053" s="28">
        <f>IF($M1053="","",IFERROR(INDEX(CONFIG!$C$4:$C$63,MATCH($M1053,CONFIG!$A$4:$A$63,0)),"Media"))</f>
        <v/>
      </c>
      <c r="O1053" s="28">
        <f>IF($M1053="","",IF($C1053="Interna","NO",IFERROR(INDEX(CONFIG!$E$4:$E$63,MATCH($M1053,CONFIG!$A$4:$A$63,0)),"NO")))</f>
        <v/>
      </c>
      <c r="P1053" s="50" t="n"/>
      <c r="Q1053" s="50" t="n"/>
      <c r="R1053" s="28">
        <f>IF($Q1053="","",IFERROR(INDEX(CONFIG!$H$4:$H$63,MATCH($Q1053,CONFIG!$G$4:$G$63,0)),"Por definir"))</f>
        <v/>
      </c>
      <c r="S1053" s="28">
        <f>IF($Q1053="","",IFERROR(INDEX(CONFIG!$I$4:$I$63,MATCH($Q1053,CONFIG!$G$4:$G$63,0)),"Por definir"))</f>
        <v/>
      </c>
      <c r="T1053" s="51" t="n"/>
      <c r="U1053" s="52" t="n"/>
      <c r="V1053" s="50" t="n"/>
      <c r="W1053" s="50" t="n"/>
      <c r="X1053" s="49">
        <f>IF(OR($B1053="",$M1053=""),"",WORKDAY($B1053,IFERROR(INDEX(CONFIG!$D$4:$D$63,MATCH($M1053,CONFIG!$A$4:$A$63,0)),3)))</f>
        <v/>
      </c>
      <c r="Y1053" s="47" t="n"/>
      <c r="Z1053" s="24">
        <f>IF($B1053="","",IF($Y1053&lt;&gt;"",$Y1053-$B1053,TODAY()-$B1053))</f>
        <v/>
      </c>
      <c r="AA1053" s="28">
        <f>IF($B1053="","",IF(IFERROR(INDEX(CONFIG!$L$4:$L$63,MATCH($V1053,CONFIG!$K$4:$K$63,0)),"NO")="SÍ",IF(OR($Y1053="",$X1053=""),"Resuelta",IF($Y1053&gt;$X1053,"Resuelta tarde","Resuelta a tiempo")),IF($X1053="","Sin clasificar",IF(TODAY()&gt;$X1053,"Vencida",IF(TODAY()&gt;=$X1053-1,"Por vencer","En plazo")))))</f>
        <v/>
      </c>
      <c r="AB1053" s="50" t="n"/>
      <c r="AC1053" s="50" t="n"/>
    </row>
    <row r="1054" ht="16" customHeight="1">
      <c r="A1054" s="28">
        <f>IF($B1054="","","N-"&amp;TEXT(ROW()-3,"0000"))</f>
        <v/>
      </c>
      <c r="B1054" s="47" t="n"/>
      <c r="C1054" s="48" t="n"/>
      <c r="D1054" s="48" t="n"/>
      <c r="E1054" s="28">
        <f>IF($C1054="","",IF($D1054="",IF($C1054="Interna","Sin guía (interna)","FALTA GUÍA"),IF(COUNTIFS(ENVIOS!$A$4:$A$3003,$D1054)=0,"NO EXISTE",IF(COUNTIFS(ENVIOS!$A$4:$A$3003,$D1054)&gt;1,"DUPLICADA","OK"))))</f>
        <v/>
      </c>
      <c r="F1054" s="28">
        <f>IF($D1054="","",IFERROR(INDEX(ENVIOS!$B$4:$B$3003,MATCH($D1054,ENVIOS!$A$4:$A$3003,0)),"—"))</f>
        <v/>
      </c>
      <c r="G1054" s="23">
        <f>IF($D1054="","",IFERROR(INDEX(ENVIOS!$D$4:$D$3003,MATCH($D1054,ENVIOS!$A$4:$A$3003,0)),"—"))</f>
        <v/>
      </c>
      <c r="H1054" s="23">
        <f>IF($D1054="","",IFERROR(INDEX(ENVIOS!$E$4:$E$3003,MATCH($D1054,ENVIOS!$A$4:$A$3003,0)),"—"))</f>
        <v/>
      </c>
      <c r="I1054" s="23">
        <f>IF($D1054="","",IFERROR(INDEX(ENVIOS!$F$4:$F$3003,MATCH($D1054,ENVIOS!$A$4:$A$3003,0)),"—"))</f>
        <v/>
      </c>
      <c r="J1054" s="23">
        <f>IF($D1054="","",IFERROR(INDEX(ENVIOS!$G$4:$G$3003,MATCH($D1054,ENVIOS!$A$4:$A$3003,0)),"—"))</f>
        <v/>
      </c>
      <c r="K1054" s="28">
        <f>IF($D1054="","",IFERROR(INDEX(ENVIOS!$H$4:$H$3003,MATCH($D1054,ENVIOS!$A$4:$A$3003,0)),"—"))</f>
        <v/>
      </c>
      <c r="L1054" s="49">
        <f>IF($D1054="","",IFERROR(INDEX(ENVIOS!$C$4:$C$3003,MATCH($D1054,ENVIOS!$A$4:$A$3003,0)),""))</f>
        <v/>
      </c>
      <c r="M1054" s="50" t="n"/>
      <c r="N1054" s="28">
        <f>IF($M1054="","",IFERROR(INDEX(CONFIG!$C$4:$C$63,MATCH($M1054,CONFIG!$A$4:$A$63,0)),"Media"))</f>
        <v/>
      </c>
      <c r="O1054" s="28">
        <f>IF($M1054="","",IF($C1054="Interna","NO",IFERROR(INDEX(CONFIG!$E$4:$E$63,MATCH($M1054,CONFIG!$A$4:$A$63,0)),"NO")))</f>
        <v/>
      </c>
      <c r="P1054" s="50" t="n"/>
      <c r="Q1054" s="50" t="n"/>
      <c r="R1054" s="28">
        <f>IF($Q1054="","",IFERROR(INDEX(CONFIG!$H$4:$H$63,MATCH($Q1054,CONFIG!$G$4:$G$63,0)),"Por definir"))</f>
        <v/>
      </c>
      <c r="S1054" s="28">
        <f>IF($Q1054="","",IFERROR(INDEX(CONFIG!$I$4:$I$63,MATCH($Q1054,CONFIG!$G$4:$G$63,0)),"Por definir"))</f>
        <v/>
      </c>
      <c r="T1054" s="51" t="n"/>
      <c r="U1054" s="52" t="n"/>
      <c r="V1054" s="50" t="n"/>
      <c r="W1054" s="50" t="n"/>
      <c r="X1054" s="49">
        <f>IF(OR($B1054="",$M1054=""),"",WORKDAY($B1054,IFERROR(INDEX(CONFIG!$D$4:$D$63,MATCH($M1054,CONFIG!$A$4:$A$63,0)),3)))</f>
        <v/>
      </c>
      <c r="Y1054" s="47" t="n"/>
      <c r="Z1054" s="24">
        <f>IF($B1054="","",IF($Y1054&lt;&gt;"",$Y1054-$B1054,TODAY()-$B1054))</f>
        <v/>
      </c>
      <c r="AA1054" s="28">
        <f>IF($B1054="","",IF(IFERROR(INDEX(CONFIG!$L$4:$L$63,MATCH($V1054,CONFIG!$K$4:$K$63,0)),"NO")="SÍ",IF(OR($Y1054="",$X1054=""),"Resuelta",IF($Y1054&gt;$X1054,"Resuelta tarde","Resuelta a tiempo")),IF($X1054="","Sin clasificar",IF(TODAY()&gt;$X1054,"Vencida",IF(TODAY()&gt;=$X1054-1,"Por vencer","En plazo")))))</f>
        <v/>
      </c>
      <c r="AB1054" s="50" t="n"/>
      <c r="AC1054" s="50" t="n"/>
    </row>
    <row r="1055" ht="16" customHeight="1">
      <c r="A1055" s="28">
        <f>IF($B1055="","","N-"&amp;TEXT(ROW()-3,"0000"))</f>
        <v/>
      </c>
      <c r="B1055" s="47" t="n"/>
      <c r="C1055" s="48" t="n"/>
      <c r="D1055" s="48" t="n"/>
      <c r="E1055" s="28">
        <f>IF($C1055="","",IF($D1055="",IF($C1055="Interna","Sin guía (interna)","FALTA GUÍA"),IF(COUNTIFS(ENVIOS!$A$4:$A$3003,$D1055)=0,"NO EXISTE",IF(COUNTIFS(ENVIOS!$A$4:$A$3003,$D1055)&gt;1,"DUPLICADA","OK"))))</f>
        <v/>
      </c>
      <c r="F1055" s="28">
        <f>IF($D1055="","",IFERROR(INDEX(ENVIOS!$B$4:$B$3003,MATCH($D1055,ENVIOS!$A$4:$A$3003,0)),"—"))</f>
        <v/>
      </c>
      <c r="G1055" s="23">
        <f>IF($D1055="","",IFERROR(INDEX(ENVIOS!$D$4:$D$3003,MATCH($D1055,ENVIOS!$A$4:$A$3003,0)),"—"))</f>
        <v/>
      </c>
      <c r="H1055" s="23">
        <f>IF($D1055="","",IFERROR(INDEX(ENVIOS!$E$4:$E$3003,MATCH($D1055,ENVIOS!$A$4:$A$3003,0)),"—"))</f>
        <v/>
      </c>
      <c r="I1055" s="23">
        <f>IF($D1055="","",IFERROR(INDEX(ENVIOS!$F$4:$F$3003,MATCH($D1055,ENVIOS!$A$4:$A$3003,0)),"—"))</f>
        <v/>
      </c>
      <c r="J1055" s="23">
        <f>IF($D1055="","",IFERROR(INDEX(ENVIOS!$G$4:$G$3003,MATCH($D1055,ENVIOS!$A$4:$A$3003,0)),"—"))</f>
        <v/>
      </c>
      <c r="K1055" s="28">
        <f>IF($D1055="","",IFERROR(INDEX(ENVIOS!$H$4:$H$3003,MATCH($D1055,ENVIOS!$A$4:$A$3003,0)),"—"))</f>
        <v/>
      </c>
      <c r="L1055" s="49">
        <f>IF($D1055="","",IFERROR(INDEX(ENVIOS!$C$4:$C$3003,MATCH($D1055,ENVIOS!$A$4:$A$3003,0)),""))</f>
        <v/>
      </c>
      <c r="M1055" s="50" t="n"/>
      <c r="N1055" s="28">
        <f>IF($M1055="","",IFERROR(INDEX(CONFIG!$C$4:$C$63,MATCH($M1055,CONFIG!$A$4:$A$63,0)),"Media"))</f>
        <v/>
      </c>
      <c r="O1055" s="28">
        <f>IF($M1055="","",IF($C1055="Interna","NO",IFERROR(INDEX(CONFIG!$E$4:$E$63,MATCH($M1055,CONFIG!$A$4:$A$63,0)),"NO")))</f>
        <v/>
      </c>
      <c r="P1055" s="50" t="n"/>
      <c r="Q1055" s="50" t="n"/>
      <c r="R1055" s="28">
        <f>IF($Q1055="","",IFERROR(INDEX(CONFIG!$H$4:$H$63,MATCH($Q1055,CONFIG!$G$4:$G$63,0)),"Por definir"))</f>
        <v/>
      </c>
      <c r="S1055" s="28">
        <f>IF($Q1055="","",IFERROR(INDEX(CONFIG!$I$4:$I$63,MATCH($Q1055,CONFIG!$G$4:$G$63,0)),"Por definir"))</f>
        <v/>
      </c>
      <c r="T1055" s="51" t="n"/>
      <c r="U1055" s="52" t="n"/>
      <c r="V1055" s="50" t="n"/>
      <c r="W1055" s="50" t="n"/>
      <c r="X1055" s="49">
        <f>IF(OR($B1055="",$M1055=""),"",WORKDAY($B1055,IFERROR(INDEX(CONFIG!$D$4:$D$63,MATCH($M1055,CONFIG!$A$4:$A$63,0)),3)))</f>
        <v/>
      </c>
      <c r="Y1055" s="47" t="n"/>
      <c r="Z1055" s="24">
        <f>IF($B1055="","",IF($Y1055&lt;&gt;"",$Y1055-$B1055,TODAY()-$B1055))</f>
        <v/>
      </c>
      <c r="AA1055" s="28">
        <f>IF($B1055="","",IF(IFERROR(INDEX(CONFIG!$L$4:$L$63,MATCH($V1055,CONFIG!$K$4:$K$63,0)),"NO")="SÍ",IF(OR($Y1055="",$X1055=""),"Resuelta",IF($Y1055&gt;$X1055,"Resuelta tarde","Resuelta a tiempo")),IF($X1055="","Sin clasificar",IF(TODAY()&gt;$X1055,"Vencida",IF(TODAY()&gt;=$X1055-1,"Por vencer","En plazo")))))</f>
        <v/>
      </c>
      <c r="AB1055" s="50" t="n"/>
      <c r="AC1055" s="50" t="n"/>
    </row>
    <row r="1056" ht="16" customHeight="1">
      <c r="A1056" s="28">
        <f>IF($B1056="","","N-"&amp;TEXT(ROW()-3,"0000"))</f>
        <v/>
      </c>
      <c r="B1056" s="47" t="n"/>
      <c r="C1056" s="48" t="n"/>
      <c r="D1056" s="48" t="n"/>
      <c r="E1056" s="28">
        <f>IF($C1056="","",IF($D1056="",IF($C1056="Interna","Sin guía (interna)","FALTA GUÍA"),IF(COUNTIFS(ENVIOS!$A$4:$A$3003,$D1056)=0,"NO EXISTE",IF(COUNTIFS(ENVIOS!$A$4:$A$3003,$D1056)&gt;1,"DUPLICADA","OK"))))</f>
        <v/>
      </c>
      <c r="F1056" s="28">
        <f>IF($D1056="","",IFERROR(INDEX(ENVIOS!$B$4:$B$3003,MATCH($D1056,ENVIOS!$A$4:$A$3003,0)),"—"))</f>
        <v/>
      </c>
      <c r="G1056" s="23">
        <f>IF($D1056="","",IFERROR(INDEX(ENVIOS!$D$4:$D$3003,MATCH($D1056,ENVIOS!$A$4:$A$3003,0)),"—"))</f>
        <v/>
      </c>
      <c r="H1056" s="23">
        <f>IF($D1056="","",IFERROR(INDEX(ENVIOS!$E$4:$E$3003,MATCH($D1056,ENVIOS!$A$4:$A$3003,0)),"—"))</f>
        <v/>
      </c>
      <c r="I1056" s="23">
        <f>IF($D1056="","",IFERROR(INDEX(ENVIOS!$F$4:$F$3003,MATCH($D1056,ENVIOS!$A$4:$A$3003,0)),"—"))</f>
        <v/>
      </c>
      <c r="J1056" s="23">
        <f>IF($D1056="","",IFERROR(INDEX(ENVIOS!$G$4:$G$3003,MATCH($D1056,ENVIOS!$A$4:$A$3003,0)),"—"))</f>
        <v/>
      </c>
      <c r="K1056" s="28">
        <f>IF($D1056="","",IFERROR(INDEX(ENVIOS!$H$4:$H$3003,MATCH($D1056,ENVIOS!$A$4:$A$3003,0)),"—"))</f>
        <v/>
      </c>
      <c r="L1056" s="49">
        <f>IF($D1056="","",IFERROR(INDEX(ENVIOS!$C$4:$C$3003,MATCH($D1056,ENVIOS!$A$4:$A$3003,0)),""))</f>
        <v/>
      </c>
      <c r="M1056" s="50" t="n"/>
      <c r="N1056" s="28">
        <f>IF($M1056="","",IFERROR(INDEX(CONFIG!$C$4:$C$63,MATCH($M1056,CONFIG!$A$4:$A$63,0)),"Media"))</f>
        <v/>
      </c>
      <c r="O1056" s="28">
        <f>IF($M1056="","",IF($C1056="Interna","NO",IFERROR(INDEX(CONFIG!$E$4:$E$63,MATCH($M1056,CONFIG!$A$4:$A$63,0)),"NO")))</f>
        <v/>
      </c>
      <c r="P1056" s="50" t="n"/>
      <c r="Q1056" s="50" t="n"/>
      <c r="R1056" s="28">
        <f>IF($Q1056="","",IFERROR(INDEX(CONFIG!$H$4:$H$63,MATCH($Q1056,CONFIG!$G$4:$G$63,0)),"Por definir"))</f>
        <v/>
      </c>
      <c r="S1056" s="28">
        <f>IF($Q1056="","",IFERROR(INDEX(CONFIG!$I$4:$I$63,MATCH($Q1056,CONFIG!$G$4:$G$63,0)),"Por definir"))</f>
        <v/>
      </c>
      <c r="T1056" s="51" t="n"/>
      <c r="U1056" s="52" t="n"/>
      <c r="V1056" s="50" t="n"/>
      <c r="W1056" s="50" t="n"/>
      <c r="X1056" s="49">
        <f>IF(OR($B1056="",$M1056=""),"",WORKDAY($B1056,IFERROR(INDEX(CONFIG!$D$4:$D$63,MATCH($M1056,CONFIG!$A$4:$A$63,0)),3)))</f>
        <v/>
      </c>
      <c r="Y1056" s="47" t="n"/>
      <c r="Z1056" s="24">
        <f>IF($B1056="","",IF($Y1056&lt;&gt;"",$Y1056-$B1056,TODAY()-$B1056))</f>
        <v/>
      </c>
      <c r="AA1056" s="28">
        <f>IF($B1056="","",IF(IFERROR(INDEX(CONFIG!$L$4:$L$63,MATCH($V1056,CONFIG!$K$4:$K$63,0)),"NO")="SÍ",IF(OR($Y1056="",$X1056=""),"Resuelta",IF($Y1056&gt;$X1056,"Resuelta tarde","Resuelta a tiempo")),IF($X1056="","Sin clasificar",IF(TODAY()&gt;$X1056,"Vencida",IF(TODAY()&gt;=$X1056-1,"Por vencer","En plazo")))))</f>
        <v/>
      </c>
      <c r="AB1056" s="50" t="n"/>
      <c r="AC1056" s="50" t="n"/>
    </row>
    <row r="1057" ht="16" customHeight="1">
      <c r="A1057" s="28">
        <f>IF($B1057="","","N-"&amp;TEXT(ROW()-3,"0000"))</f>
        <v/>
      </c>
      <c r="B1057" s="47" t="n"/>
      <c r="C1057" s="48" t="n"/>
      <c r="D1057" s="48" t="n"/>
      <c r="E1057" s="28">
        <f>IF($C1057="","",IF($D1057="",IF($C1057="Interna","Sin guía (interna)","FALTA GUÍA"),IF(COUNTIFS(ENVIOS!$A$4:$A$3003,$D1057)=0,"NO EXISTE",IF(COUNTIFS(ENVIOS!$A$4:$A$3003,$D1057)&gt;1,"DUPLICADA","OK"))))</f>
        <v/>
      </c>
      <c r="F1057" s="28">
        <f>IF($D1057="","",IFERROR(INDEX(ENVIOS!$B$4:$B$3003,MATCH($D1057,ENVIOS!$A$4:$A$3003,0)),"—"))</f>
        <v/>
      </c>
      <c r="G1057" s="23">
        <f>IF($D1057="","",IFERROR(INDEX(ENVIOS!$D$4:$D$3003,MATCH($D1057,ENVIOS!$A$4:$A$3003,0)),"—"))</f>
        <v/>
      </c>
      <c r="H1057" s="23">
        <f>IF($D1057="","",IFERROR(INDEX(ENVIOS!$E$4:$E$3003,MATCH($D1057,ENVIOS!$A$4:$A$3003,0)),"—"))</f>
        <v/>
      </c>
      <c r="I1057" s="23">
        <f>IF($D1057="","",IFERROR(INDEX(ENVIOS!$F$4:$F$3003,MATCH($D1057,ENVIOS!$A$4:$A$3003,0)),"—"))</f>
        <v/>
      </c>
      <c r="J1057" s="23">
        <f>IF($D1057="","",IFERROR(INDEX(ENVIOS!$G$4:$G$3003,MATCH($D1057,ENVIOS!$A$4:$A$3003,0)),"—"))</f>
        <v/>
      </c>
      <c r="K1057" s="28">
        <f>IF($D1057="","",IFERROR(INDEX(ENVIOS!$H$4:$H$3003,MATCH($D1057,ENVIOS!$A$4:$A$3003,0)),"—"))</f>
        <v/>
      </c>
      <c r="L1057" s="49">
        <f>IF($D1057="","",IFERROR(INDEX(ENVIOS!$C$4:$C$3003,MATCH($D1057,ENVIOS!$A$4:$A$3003,0)),""))</f>
        <v/>
      </c>
      <c r="M1057" s="50" t="n"/>
      <c r="N1057" s="28">
        <f>IF($M1057="","",IFERROR(INDEX(CONFIG!$C$4:$C$63,MATCH($M1057,CONFIG!$A$4:$A$63,0)),"Media"))</f>
        <v/>
      </c>
      <c r="O1057" s="28">
        <f>IF($M1057="","",IF($C1057="Interna","NO",IFERROR(INDEX(CONFIG!$E$4:$E$63,MATCH($M1057,CONFIG!$A$4:$A$63,0)),"NO")))</f>
        <v/>
      </c>
      <c r="P1057" s="50" t="n"/>
      <c r="Q1057" s="50" t="n"/>
      <c r="R1057" s="28">
        <f>IF($Q1057="","",IFERROR(INDEX(CONFIG!$H$4:$H$63,MATCH($Q1057,CONFIG!$G$4:$G$63,0)),"Por definir"))</f>
        <v/>
      </c>
      <c r="S1057" s="28">
        <f>IF($Q1057="","",IFERROR(INDEX(CONFIG!$I$4:$I$63,MATCH($Q1057,CONFIG!$G$4:$G$63,0)),"Por definir"))</f>
        <v/>
      </c>
      <c r="T1057" s="51" t="n"/>
      <c r="U1057" s="52" t="n"/>
      <c r="V1057" s="50" t="n"/>
      <c r="W1057" s="50" t="n"/>
      <c r="X1057" s="49">
        <f>IF(OR($B1057="",$M1057=""),"",WORKDAY($B1057,IFERROR(INDEX(CONFIG!$D$4:$D$63,MATCH($M1057,CONFIG!$A$4:$A$63,0)),3)))</f>
        <v/>
      </c>
      <c r="Y1057" s="47" t="n"/>
      <c r="Z1057" s="24">
        <f>IF($B1057="","",IF($Y1057&lt;&gt;"",$Y1057-$B1057,TODAY()-$B1057))</f>
        <v/>
      </c>
      <c r="AA1057" s="28">
        <f>IF($B1057="","",IF(IFERROR(INDEX(CONFIG!$L$4:$L$63,MATCH($V1057,CONFIG!$K$4:$K$63,0)),"NO")="SÍ",IF(OR($Y1057="",$X1057=""),"Resuelta",IF($Y1057&gt;$X1057,"Resuelta tarde","Resuelta a tiempo")),IF($X1057="","Sin clasificar",IF(TODAY()&gt;$X1057,"Vencida",IF(TODAY()&gt;=$X1057-1,"Por vencer","En plazo")))))</f>
        <v/>
      </c>
      <c r="AB1057" s="50" t="n"/>
      <c r="AC1057" s="50" t="n"/>
    </row>
    <row r="1058" ht="16" customHeight="1">
      <c r="A1058" s="28">
        <f>IF($B1058="","","N-"&amp;TEXT(ROW()-3,"0000"))</f>
        <v/>
      </c>
      <c r="B1058" s="47" t="n"/>
      <c r="C1058" s="48" t="n"/>
      <c r="D1058" s="48" t="n"/>
      <c r="E1058" s="28">
        <f>IF($C1058="","",IF($D1058="",IF($C1058="Interna","Sin guía (interna)","FALTA GUÍA"),IF(COUNTIFS(ENVIOS!$A$4:$A$3003,$D1058)=0,"NO EXISTE",IF(COUNTIFS(ENVIOS!$A$4:$A$3003,$D1058)&gt;1,"DUPLICADA","OK"))))</f>
        <v/>
      </c>
      <c r="F1058" s="28">
        <f>IF($D1058="","",IFERROR(INDEX(ENVIOS!$B$4:$B$3003,MATCH($D1058,ENVIOS!$A$4:$A$3003,0)),"—"))</f>
        <v/>
      </c>
      <c r="G1058" s="23">
        <f>IF($D1058="","",IFERROR(INDEX(ENVIOS!$D$4:$D$3003,MATCH($D1058,ENVIOS!$A$4:$A$3003,0)),"—"))</f>
        <v/>
      </c>
      <c r="H1058" s="23">
        <f>IF($D1058="","",IFERROR(INDEX(ENVIOS!$E$4:$E$3003,MATCH($D1058,ENVIOS!$A$4:$A$3003,0)),"—"))</f>
        <v/>
      </c>
      <c r="I1058" s="23">
        <f>IF($D1058="","",IFERROR(INDEX(ENVIOS!$F$4:$F$3003,MATCH($D1058,ENVIOS!$A$4:$A$3003,0)),"—"))</f>
        <v/>
      </c>
      <c r="J1058" s="23">
        <f>IF($D1058="","",IFERROR(INDEX(ENVIOS!$G$4:$G$3003,MATCH($D1058,ENVIOS!$A$4:$A$3003,0)),"—"))</f>
        <v/>
      </c>
      <c r="K1058" s="28">
        <f>IF($D1058="","",IFERROR(INDEX(ENVIOS!$H$4:$H$3003,MATCH($D1058,ENVIOS!$A$4:$A$3003,0)),"—"))</f>
        <v/>
      </c>
      <c r="L1058" s="49">
        <f>IF($D1058="","",IFERROR(INDEX(ENVIOS!$C$4:$C$3003,MATCH($D1058,ENVIOS!$A$4:$A$3003,0)),""))</f>
        <v/>
      </c>
      <c r="M1058" s="50" t="n"/>
      <c r="N1058" s="28">
        <f>IF($M1058="","",IFERROR(INDEX(CONFIG!$C$4:$C$63,MATCH($M1058,CONFIG!$A$4:$A$63,0)),"Media"))</f>
        <v/>
      </c>
      <c r="O1058" s="28">
        <f>IF($M1058="","",IF($C1058="Interna","NO",IFERROR(INDEX(CONFIG!$E$4:$E$63,MATCH($M1058,CONFIG!$A$4:$A$63,0)),"NO")))</f>
        <v/>
      </c>
      <c r="P1058" s="50" t="n"/>
      <c r="Q1058" s="50" t="n"/>
      <c r="R1058" s="28">
        <f>IF($Q1058="","",IFERROR(INDEX(CONFIG!$H$4:$H$63,MATCH($Q1058,CONFIG!$G$4:$G$63,0)),"Por definir"))</f>
        <v/>
      </c>
      <c r="S1058" s="28">
        <f>IF($Q1058="","",IFERROR(INDEX(CONFIG!$I$4:$I$63,MATCH($Q1058,CONFIG!$G$4:$G$63,0)),"Por definir"))</f>
        <v/>
      </c>
      <c r="T1058" s="51" t="n"/>
      <c r="U1058" s="52" t="n"/>
      <c r="V1058" s="50" t="n"/>
      <c r="W1058" s="50" t="n"/>
      <c r="X1058" s="49">
        <f>IF(OR($B1058="",$M1058=""),"",WORKDAY($B1058,IFERROR(INDEX(CONFIG!$D$4:$D$63,MATCH($M1058,CONFIG!$A$4:$A$63,0)),3)))</f>
        <v/>
      </c>
      <c r="Y1058" s="47" t="n"/>
      <c r="Z1058" s="24">
        <f>IF($B1058="","",IF($Y1058&lt;&gt;"",$Y1058-$B1058,TODAY()-$B1058))</f>
        <v/>
      </c>
      <c r="AA1058" s="28">
        <f>IF($B1058="","",IF(IFERROR(INDEX(CONFIG!$L$4:$L$63,MATCH($V1058,CONFIG!$K$4:$K$63,0)),"NO")="SÍ",IF(OR($Y1058="",$X1058=""),"Resuelta",IF($Y1058&gt;$X1058,"Resuelta tarde","Resuelta a tiempo")),IF($X1058="","Sin clasificar",IF(TODAY()&gt;$X1058,"Vencida",IF(TODAY()&gt;=$X1058-1,"Por vencer","En plazo")))))</f>
        <v/>
      </c>
      <c r="AB1058" s="50" t="n"/>
      <c r="AC1058" s="50" t="n"/>
    </row>
    <row r="1059" ht="16" customHeight="1">
      <c r="A1059" s="28">
        <f>IF($B1059="","","N-"&amp;TEXT(ROW()-3,"0000"))</f>
        <v/>
      </c>
      <c r="B1059" s="47" t="n"/>
      <c r="C1059" s="48" t="n"/>
      <c r="D1059" s="48" t="n"/>
      <c r="E1059" s="28">
        <f>IF($C1059="","",IF($D1059="",IF($C1059="Interna","Sin guía (interna)","FALTA GUÍA"),IF(COUNTIFS(ENVIOS!$A$4:$A$3003,$D1059)=0,"NO EXISTE",IF(COUNTIFS(ENVIOS!$A$4:$A$3003,$D1059)&gt;1,"DUPLICADA","OK"))))</f>
        <v/>
      </c>
      <c r="F1059" s="28">
        <f>IF($D1059="","",IFERROR(INDEX(ENVIOS!$B$4:$B$3003,MATCH($D1059,ENVIOS!$A$4:$A$3003,0)),"—"))</f>
        <v/>
      </c>
      <c r="G1059" s="23">
        <f>IF($D1059="","",IFERROR(INDEX(ENVIOS!$D$4:$D$3003,MATCH($D1059,ENVIOS!$A$4:$A$3003,0)),"—"))</f>
        <v/>
      </c>
      <c r="H1059" s="23">
        <f>IF($D1059="","",IFERROR(INDEX(ENVIOS!$E$4:$E$3003,MATCH($D1059,ENVIOS!$A$4:$A$3003,0)),"—"))</f>
        <v/>
      </c>
      <c r="I1059" s="23">
        <f>IF($D1059="","",IFERROR(INDEX(ENVIOS!$F$4:$F$3003,MATCH($D1059,ENVIOS!$A$4:$A$3003,0)),"—"))</f>
        <v/>
      </c>
      <c r="J1059" s="23">
        <f>IF($D1059="","",IFERROR(INDEX(ENVIOS!$G$4:$G$3003,MATCH($D1059,ENVIOS!$A$4:$A$3003,0)),"—"))</f>
        <v/>
      </c>
      <c r="K1059" s="28">
        <f>IF($D1059="","",IFERROR(INDEX(ENVIOS!$H$4:$H$3003,MATCH($D1059,ENVIOS!$A$4:$A$3003,0)),"—"))</f>
        <v/>
      </c>
      <c r="L1059" s="49">
        <f>IF($D1059="","",IFERROR(INDEX(ENVIOS!$C$4:$C$3003,MATCH($D1059,ENVIOS!$A$4:$A$3003,0)),""))</f>
        <v/>
      </c>
      <c r="M1059" s="50" t="n"/>
      <c r="N1059" s="28">
        <f>IF($M1059="","",IFERROR(INDEX(CONFIG!$C$4:$C$63,MATCH($M1059,CONFIG!$A$4:$A$63,0)),"Media"))</f>
        <v/>
      </c>
      <c r="O1059" s="28">
        <f>IF($M1059="","",IF($C1059="Interna","NO",IFERROR(INDEX(CONFIG!$E$4:$E$63,MATCH($M1059,CONFIG!$A$4:$A$63,0)),"NO")))</f>
        <v/>
      </c>
      <c r="P1059" s="50" t="n"/>
      <c r="Q1059" s="50" t="n"/>
      <c r="R1059" s="28">
        <f>IF($Q1059="","",IFERROR(INDEX(CONFIG!$H$4:$H$63,MATCH($Q1059,CONFIG!$G$4:$G$63,0)),"Por definir"))</f>
        <v/>
      </c>
      <c r="S1059" s="28">
        <f>IF($Q1059="","",IFERROR(INDEX(CONFIG!$I$4:$I$63,MATCH($Q1059,CONFIG!$G$4:$G$63,0)),"Por definir"))</f>
        <v/>
      </c>
      <c r="T1059" s="51" t="n"/>
      <c r="U1059" s="52" t="n"/>
      <c r="V1059" s="50" t="n"/>
      <c r="W1059" s="50" t="n"/>
      <c r="X1059" s="49">
        <f>IF(OR($B1059="",$M1059=""),"",WORKDAY($B1059,IFERROR(INDEX(CONFIG!$D$4:$D$63,MATCH($M1059,CONFIG!$A$4:$A$63,0)),3)))</f>
        <v/>
      </c>
      <c r="Y1059" s="47" t="n"/>
      <c r="Z1059" s="24">
        <f>IF($B1059="","",IF($Y1059&lt;&gt;"",$Y1059-$B1059,TODAY()-$B1059))</f>
        <v/>
      </c>
      <c r="AA1059" s="28">
        <f>IF($B1059="","",IF(IFERROR(INDEX(CONFIG!$L$4:$L$63,MATCH($V1059,CONFIG!$K$4:$K$63,0)),"NO")="SÍ",IF(OR($Y1059="",$X1059=""),"Resuelta",IF($Y1059&gt;$X1059,"Resuelta tarde","Resuelta a tiempo")),IF($X1059="","Sin clasificar",IF(TODAY()&gt;$X1059,"Vencida",IF(TODAY()&gt;=$X1059-1,"Por vencer","En plazo")))))</f>
        <v/>
      </c>
      <c r="AB1059" s="50" t="n"/>
      <c r="AC1059" s="50" t="n"/>
    </row>
    <row r="1060" ht="16" customHeight="1">
      <c r="A1060" s="28">
        <f>IF($B1060="","","N-"&amp;TEXT(ROW()-3,"0000"))</f>
        <v/>
      </c>
      <c r="B1060" s="47" t="n"/>
      <c r="C1060" s="48" t="n"/>
      <c r="D1060" s="48" t="n"/>
      <c r="E1060" s="28">
        <f>IF($C1060="","",IF($D1060="",IF($C1060="Interna","Sin guía (interna)","FALTA GUÍA"),IF(COUNTIFS(ENVIOS!$A$4:$A$3003,$D1060)=0,"NO EXISTE",IF(COUNTIFS(ENVIOS!$A$4:$A$3003,$D1060)&gt;1,"DUPLICADA","OK"))))</f>
        <v/>
      </c>
      <c r="F1060" s="28">
        <f>IF($D1060="","",IFERROR(INDEX(ENVIOS!$B$4:$B$3003,MATCH($D1060,ENVIOS!$A$4:$A$3003,0)),"—"))</f>
        <v/>
      </c>
      <c r="G1060" s="23">
        <f>IF($D1060="","",IFERROR(INDEX(ENVIOS!$D$4:$D$3003,MATCH($D1060,ENVIOS!$A$4:$A$3003,0)),"—"))</f>
        <v/>
      </c>
      <c r="H1060" s="23">
        <f>IF($D1060="","",IFERROR(INDEX(ENVIOS!$E$4:$E$3003,MATCH($D1060,ENVIOS!$A$4:$A$3003,0)),"—"))</f>
        <v/>
      </c>
      <c r="I1060" s="23">
        <f>IF($D1060="","",IFERROR(INDEX(ENVIOS!$F$4:$F$3003,MATCH($D1060,ENVIOS!$A$4:$A$3003,0)),"—"))</f>
        <v/>
      </c>
      <c r="J1060" s="23">
        <f>IF($D1060="","",IFERROR(INDEX(ENVIOS!$G$4:$G$3003,MATCH($D1060,ENVIOS!$A$4:$A$3003,0)),"—"))</f>
        <v/>
      </c>
      <c r="K1060" s="28">
        <f>IF($D1060="","",IFERROR(INDEX(ENVIOS!$H$4:$H$3003,MATCH($D1060,ENVIOS!$A$4:$A$3003,0)),"—"))</f>
        <v/>
      </c>
      <c r="L1060" s="49">
        <f>IF($D1060="","",IFERROR(INDEX(ENVIOS!$C$4:$C$3003,MATCH($D1060,ENVIOS!$A$4:$A$3003,0)),""))</f>
        <v/>
      </c>
      <c r="M1060" s="50" t="n"/>
      <c r="N1060" s="28">
        <f>IF($M1060="","",IFERROR(INDEX(CONFIG!$C$4:$C$63,MATCH($M1060,CONFIG!$A$4:$A$63,0)),"Media"))</f>
        <v/>
      </c>
      <c r="O1060" s="28">
        <f>IF($M1060="","",IF($C1060="Interna","NO",IFERROR(INDEX(CONFIG!$E$4:$E$63,MATCH($M1060,CONFIG!$A$4:$A$63,0)),"NO")))</f>
        <v/>
      </c>
      <c r="P1060" s="50" t="n"/>
      <c r="Q1060" s="50" t="n"/>
      <c r="R1060" s="28">
        <f>IF($Q1060="","",IFERROR(INDEX(CONFIG!$H$4:$H$63,MATCH($Q1060,CONFIG!$G$4:$G$63,0)),"Por definir"))</f>
        <v/>
      </c>
      <c r="S1060" s="28">
        <f>IF($Q1060="","",IFERROR(INDEX(CONFIG!$I$4:$I$63,MATCH($Q1060,CONFIG!$G$4:$G$63,0)),"Por definir"))</f>
        <v/>
      </c>
      <c r="T1060" s="51" t="n"/>
      <c r="U1060" s="52" t="n"/>
      <c r="V1060" s="50" t="n"/>
      <c r="W1060" s="50" t="n"/>
      <c r="X1060" s="49">
        <f>IF(OR($B1060="",$M1060=""),"",WORKDAY($B1060,IFERROR(INDEX(CONFIG!$D$4:$D$63,MATCH($M1060,CONFIG!$A$4:$A$63,0)),3)))</f>
        <v/>
      </c>
      <c r="Y1060" s="47" t="n"/>
      <c r="Z1060" s="24">
        <f>IF($B1060="","",IF($Y1060&lt;&gt;"",$Y1060-$B1060,TODAY()-$B1060))</f>
        <v/>
      </c>
      <c r="AA1060" s="28">
        <f>IF($B1060="","",IF(IFERROR(INDEX(CONFIG!$L$4:$L$63,MATCH($V1060,CONFIG!$K$4:$K$63,0)),"NO")="SÍ",IF(OR($Y1060="",$X1060=""),"Resuelta",IF($Y1060&gt;$X1060,"Resuelta tarde","Resuelta a tiempo")),IF($X1060="","Sin clasificar",IF(TODAY()&gt;$X1060,"Vencida",IF(TODAY()&gt;=$X1060-1,"Por vencer","En plazo")))))</f>
        <v/>
      </c>
      <c r="AB1060" s="50" t="n"/>
      <c r="AC1060" s="50" t="n"/>
    </row>
    <row r="1061" ht="16" customHeight="1">
      <c r="A1061" s="28">
        <f>IF($B1061="","","N-"&amp;TEXT(ROW()-3,"0000"))</f>
        <v/>
      </c>
      <c r="B1061" s="47" t="n"/>
      <c r="C1061" s="48" t="n"/>
      <c r="D1061" s="48" t="n"/>
      <c r="E1061" s="28">
        <f>IF($C1061="","",IF($D1061="",IF($C1061="Interna","Sin guía (interna)","FALTA GUÍA"),IF(COUNTIFS(ENVIOS!$A$4:$A$3003,$D1061)=0,"NO EXISTE",IF(COUNTIFS(ENVIOS!$A$4:$A$3003,$D1061)&gt;1,"DUPLICADA","OK"))))</f>
        <v/>
      </c>
      <c r="F1061" s="28">
        <f>IF($D1061="","",IFERROR(INDEX(ENVIOS!$B$4:$B$3003,MATCH($D1061,ENVIOS!$A$4:$A$3003,0)),"—"))</f>
        <v/>
      </c>
      <c r="G1061" s="23">
        <f>IF($D1061="","",IFERROR(INDEX(ENVIOS!$D$4:$D$3003,MATCH($D1061,ENVIOS!$A$4:$A$3003,0)),"—"))</f>
        <v/>
      </c>
      <c r="H1061" s="23">
        <f>IF($D1061="","",IFERROR(INDEX(ENVIOS!$E$4:$E$3003,MATCH($D1061,ENVIOS!$A$4:$A$3003,0)),"—"))</f>
        <v/>
      </c>
      <c r="I1061" s="23">
        <f>IF($D1061="","",IFERROR(INDEX(ENVIOS!$F$4:$F$3003,MATCH($D1061,ENVIOS!$A$4:$A$3003,0)),"—"))</f>
        <v/>
      </c>
      <c r="J1061" s="23">
        <f>IF($D1061="","",IFERROR(INDEX(ENVIOS!$G$4:$G$3003,MATCH($D1061,ENVIOS!$A$4:$A$3003,0)),"—"))</f>
        <v/>
      </c>
      <c r="K1061" s="28">
        <f>IF($D1061="","",IFERROR(INDEX(ENVIOS!$H$4:$H$3003,MATCH($D1061,ENVIOS!$A$4:$A$3003,0)),"—"))</f>
        <v/>
      </c>
      <c r="L1061" s="49">
        <f>IF($D1061="","",IFERROR(INDEX(ENVIOS!$C$4:$C$3003,MATCH($D1061,ENVIOS!$A$4:$A$3003,0)),""))</f>
        <v/>
      </c>
      <c r="M1061" s="50" t="n"/>
      <c r="N1061" s="28">
        <f>IF($M1061="","",IFERROR(INDEX(CONFIG!$C$4:$C$63,MATCH($M1061,CONFIG!$A$4:$A$63,0)),"Media"))</f>
        <v/>
      </c>
      <c r="O1061" s="28">
        <f>IF($M1061="","",IF($C1061="Interna","NO",IFERROR(INDEX(CONFIG!$E$4:$E$63,MATCH($M1061,CONFIG!$A$4:$A$63,0)),"NO")))</f>
        <v/>
      </c>
      <c r="P1061" s="50" t="n"/>
      <c r="Q1061" s="50" t="n"/>
      <c r="R1061" s="28">
        <f>IF($Q1061="","",IFERROR(INDEX(CONFIG!$H$4:$H$63,MATCH($Q1061,CONFIG!$G$4:$G$63,0)),"Por definir"))</f>
        <v/>
      </c>
      <c r="S1061" s="28">
        <f>IF($Q1061="","",IFERROR(INDEX(CONFIG!$I$4:$I$63,MATCH($Q1061,CONFIG!$G$4:$G$63,0)),"Por definir"))</f>
        <v/>
      </c>
      <c r="T1061" s="51" t="n"/>
      <c r="U1061" s="52" t="n"/>
      <c r="V1061" s="50" t="n"/>
      <c r="W1061" s="50" t="n"/>
      <c r="X1061" s="49">
        <f>IF(OR($B1061="",$M1061=""),"",WORKDAY($B1061,IFERROR(INDEX(CONFIG!$D$4:$D$63,MATCH($M1061,CONFIG!$A$4:$A$63,0)),3)))</f>
        <v/>
      </c>
      <c r="Y1061" s="47" t="n"/>
      <c r="Z1061" s="24">
        <f>IF($B1061="","",IF($Y1061&lt;&gt;"",$Y1061-$B1061,TODAY()-$B1061))</f>
        <v/>
      </c>
      <c r="AA1061" s="28">
        <f>IF($B1061="","",IF(IFERROR(INDEX(CONFIG!$L$4:$L$63,MATCH($V1061,CONFIG!$K$4:$K$63,0)),"NO")="SÍ",IF(OR($Y1061="",$X1061=""),"Resuelta",IF($Y1061&gt;$X1061,"Resuelta tarde","Resuelta a tiempo")),IF($X1061="","Sin clasificar",IF(TODAY()&gt;$X1061,"Vencida",IF(TODAY()&gt;=$X1061-1,"Por vencer","En plazo")))))</f>
        <v/>
      </c>
      <c r="AB1061" s="50" t="n"/>
      <c r="AC1061" s="50" t="n"/>
    </row>
    <row r="1062" ht="16" customHeight="1">
      <c r="A1062" s="28">
        <f>IF($B1062="","","N-"&amp;TEXT(ROW()-3,"0000"))</f>
        <v/>
      </c>
      <c r="B1062" s="47" t="n"/>
      <c r="C1062" s="48" t="n"/>
      <c r="D1062" s="48" t="n"/>
      <c r="E1062" s="28">
        <f>IF($C1062="","",IF($D1062="",IF($C1062="Interna","Sin guía (interna)","FALTA GUÍA"),IF(COUNTIFS(ENVIOS!$A$4:$A$3003,$D1062)=0,"NO EXISTE",IF(COUNTIFS(ENVIOS!$A$4:$A$3003,$D1062)&gt;1,"DUPLICADA","OK"))))</f>
        <v/>
      </c>
      <c r="F1062" s="28">
        <f>IF($D1062="","",IFERROR(INDEX(ENVIOS!$B$4:$B$3003,MATCH($D1062,ENVIOS!$A$4:$A$3003,0)),"—"))</f>
        <v/>
      </c>
      <c r="G1062" s="23">
        <f>IF($D1062="","",IFERROR(INDEX(ENVIOS!$D$4:$D$3003,MATCH($D1062,ENVIOS!$A$4:$A$3003,0)),"—"))</f>
        <v/>
      </c>
      <c r="H1062" s="23">
        <f>IF($D1062="","",IFERROR(INDEX(ENVIOS!$E$4:$E$3003,MATCH($D1062,ENVIOS!$A$4:$A$3003,0)),"—"))</f>
        <v/>
      </c>
      <c r="I1062" s="23">
        <f>IF($D1062="","",IFERROR(INDEX(ENVIOS!$F$4:$F$3003,MATCH($D1062,ENVIOS!$A$4:$A$3003,0)),"—"))</f>
        <v/>
      </c>
      <c r="J1062" s="23">
        <f>IF($D1062="","",IFERROR(INDEX(ENVIOS!$G$4:$G$3003,MATCH($D1062,ENVIOS!$A$4:$A$3003,0)),"—"))</f>
        <v/>
      </c>
      <c r="K1062" s="28">
        <f>IF($D1062="","",IFERROR(INDEX(ENVIOS!$H$4:$H$3003,MATCH($D1062,ENVIOS!$A$4:$A$3003,0)),"—"))</f>
        <v/>
      </c>
      <c r="L1062" s="49">
        <f>IF($D1062="","",IFERROR(INDEX(ENVIOS!$C$4:$C$3003,MATCH($D1062,ENVIOS!$A$4:$A$3003,0)),""))</f>
        <v/>
      </c>
      <c r="M1062" s="50" t="n"/>
      <c r="N1062" s="28">
        <f>IF($M1062="","",IFERROR(INDEX(CONFIG!$C$4:$C$63,MATCH($M1062,CONFIG!$A$4:$A$63,0)),"Media"))</f>
        <v/>
      </c>
      <c r="O1062" s="28">
        <f>IF($M1062="","",IF($C1062="Interna","NO",IFERROR(INDEX(CONFIG!$E$4:$E$63,MATCH($M1062,CONFIG!$A$4:$A$63,0)),"NO")))</f>
        <v/>
      </c>
      <c r="P1062" s="50" t="n"/>
      <c r="Q1062" s="50" t="n"/>
      <c r="R1062" s="28">
        <f>IF($Q1062="","",IFERROR(INDEX(CONFIG!$H$4:$H$63,MATCH($Q1062,CONFIG!$G$4:$G$63,0)),"Por definir"))</f>
        <v/>
      </c>
      <c r="S1062" s="28">
        <f>IF($Q1062="","",IFERROR(INDEX(CONFIG!$I$4:$I$63,MATCH($Q1062,CONFIG!$G$4:$G$63,0)),"Por definir"))</f>
        <v/>
      </c>
      <c r="T1062" s="51" t="n"/>
      <c r="U1062" s="52" t="n"/>
      <c r="V1062" s="50" t="n"/>
      <c r="W1062" s="50" t="n"/>
      <c r="X1062" s="49">
        <f>IF(OR($B1062="",$M1062=""),"",WORKDAY($B1062,IFERROR(INDEX(CONFIG!$D$4:$D$63,MATCH($M1062,CONFIG!$A$4:$A$63,0)),3)))</f>
        <v/>
      </c>
      <c r="Y1062" s="47" t="n"/>
      <c r="Z1062" s="24">
        <f>IF($B1062="","",IF($Y1062&lt;&gt;"",$Y1062-$B1062,TODAY()-$B1062))</f>
        <v/>
      </c>
      <c r="AA1062" s="28">
        <f>IF($B1062="","",IF(IFERROR(INDEX(CONFIG!$L$4:$L$63,MATCH($V1062,CONFIG!$K$4:$K$63,0)),"NO")="SÍ",IF(OR($Y1062="",$X1062=""),"Resuelta",IF($Y1062&gt;$X1062,"Resuelta tarde","Resuelta a tiempo")),IF($X1062="","Sin clasificar",IF(TODAY()&gt;$X1062,"Vencida",IF(TODAY()&gt;=$X1062-1,"Por vencer","En plazo")))))</f>
        <v/>
      </c>
      <c r="AB1062" s="50" t="n"/>
      <c r="AC1062" s="50" t="n"/>
    </row>
    <row r="1063" ht="16" customHeight="1">
      <c r="A1063" s="28">
        <f>IF($B1063="","","N-"&amp;TEXT(ROW()-3,"0000"))</f>
        <v/>
      </c>
      <c r="B1063" s="47" t="n"/>
      <c r="C1063" s="48" t="n"/>
      <c r="D1063" s="48" t="n"/>
      <c r="E1063" s="28">
        <f>IF($C1063="","",IF($D1063="",IF($C1063="Interna","Sin guía (interna)","FALTA GUÍA"),IF(COUNTIFS(ENVIOS!$A$4:$A$3003,$D1063)=0,"NO EXISTE",IF(COUNTIFS(ENVIOS!$A$4:$A$3003,$D1063)&gt;1,"DUPLICADA","OK"))))</f>
        <v/>
      </c>
      <c r="F1063" s="28">
        <f>IF($D1063="","",IFERROR(INDEX(ENVIOS!$B$4:$B$3003,MATCH($D1063,ENVIOS!$A$4:$A$3003,0)),"—"))</f>
        <v/>
      </c>
      <c r="G1063" s="23">
        <f>IF($D1063="","",IFERROR(INDEX(ENVIOS!$D$4:$D$3003,MATCH($D1063,ENVIOS!$A$4:$A$3003,0)),"—"))</f>
        <v/>
      </c>
      <c r="H1063" s="23">
        <f>IF($D1063="","",IFERROR(INDEX(ENVIOS!$E$4:$E$3003,MATCH($D1063,ENVIOS!$A$4:$A$3003,0)),"—"))</f>
        <v/>
      </c>
      <c r="I1063" s="23">
        <f>IF($D1063="","",IFERROR(INDEX(ENVIOS!$F$4:$F$3003,MATCH($D1063,ENVIOS!$A$4:$A$3003,0)),"—"))</f>
        <v/>
      </c>
      <c r="J1063" s="23">
        <f>IF($D1063="","",IFERROR(INDEX(ENVIOS!$G$4:$G$3003,MATCH($D1063,ENVIOS!$A$4:$A$3003,0)),"—"))</f>
        <v/>
      </c>
      <c r="K1063" s="28">
        <f>IF($D1063="","",IFERROR(INDEX(ENVIOS!$H$4:$H$3003,MATCH($D1063,ENVIOS!$A$4:$A$3003,0)),"—"))</f>
        <v/>
      </c>
      <c r="L1063" s="49">
        <f>IF($D1063="","",IFERROR(INDEX(ENVIOS!$C$4:$C$3003,MATCH($D1063,ENVIOS!$A$4:$A$3003,0)),""))</f>
        <v/>
      </c>
      <c r="M1063" s="50" t="n"/>
      <c r="N1063" s="28">
        <f>IF($M1063="","",IFERROR(INDEX(CONFIG!$C$4:$C$63,MATCH($M1063,CONFIG!$A$4:$A$63,0)),"Media"))</f>
        <v/>
      </c>
      <c r="O1063" s="28">
        <f>IF($M1063="","",IF($C1063="Interna","NO",IFERROR(INDEX(CONFIG!$E$4:$E$63,MATCH($M1063,CONFIG!$A$4:$A$63,0)),"NO")))</f>
        <v/>
      </c>
      <c r="P1063" s="50" t="n"/>
      <c r="Q1063" s="50" t="n"/>
      <c r="R1063" s="28">
        <f>IF($Q1063="","",IFERROR(INDEX(CONFIG!$H$4:$H$63,MATCH($Q1063,CONFIG!$G$4:$G$63,0)),"Por definir"))</f>
        <v/>
      </c>
      <c r="S1063" s="28">
        <f>IF($Q1063="","",IFERROR(INDEX(CONFIG!$I$4:$I$63,MATCH($Q1063,CONFIG!$G$4:$G$63,0)),"Por definir"))</f>
        <v/>
      </c>
      <c r="T1063" s="51" t="n"/>
      <c r="U1063" s="52" t="n"/>
      <c r="V1063" s="50" t="n"/>
      <c r="W1063" s="50" t="n"/>
      <c r="X1063" s="49">
        <f>IF(OR($B1063="",$M1063=""),"",WORKDAY($B1063,IFERROR(INDEX(CONFIG!$D$4:$D$63,MATCH($M1063,CONFIG!$A$4:$A$63,0)),3)))</f>
        <v/>
      </c>
      <c r="Y1063" s="47" t="n"/>
      <c r="Z1063" s="24">
        <f>IF($B1063="","",IF($Y1063&lt;&gt;"",$Y1063-$B1063,TODAY()-$B1063))</f>
        <v/>
      </c>
      <c r="AA1063" s="28">
        <f>IF($B1063="","",IF(IFERROR(INDEX(CONFIG!$L$4:$L$63,MATCH($V1063,CONFIG!$K$4:$K$63,0)),"NO")="SÍ",IF(OR($Y1063="",$X1063=""),"Resuelta",IF($Y1063&gt;$X1063,"Resuelta tarde","Resuelta a tiempo")),IF($X1063="","Sin clasificar",IF(TODAY()&gt;$X1063,"Vencida",IF(TODAY()&gt;=$X1063-1,"Por vencer","En plazo")))))</f>
        <v/>
      </c>
      <c r="AB1063" s="50" t="n"/>
      <c r="AC1063" s="50" t="n"/>
    </row>
    <row r="1064" ht="16" customHeight="1">
      <c r="A1064" s="28">
        <f>IF($B1064="","","N-"&amp;TEXT(ROW()-3,"0000"))</f>
        <v/>
      </c>
      <c r="B1064" s="47" t="n"/>
      <c r="C1064" s="48" t="n"/>
      <c r="D1064" s="48" t="n"/>
      <c r="E1064" s="28">
        <f>IF($C1064="","",IF($D1064="",IF($C1064="Interna","Sin guía (interna)","FALTA GUÍA"),IF(COUNTIFS(ENVIOS!$A$4:$A$3003,$D1064)=0,"NO EXISTE",IF(COUNTIFS(ENVIOS!$A$4:$A$3003,$D1064)&gt;1,"DUPLICADA","OK"))))</f>
        <v/>
      </c>
      <c r="F1064" s="28">
        <f>IF($D1064="","",IFERROR(INDEX(ENVIOS!$B$4:$B$3003,MATCH($D1064,ENVIOS!$A$4:$A$3003,0)),"—"))</f>
        <v/>
      </c>
      <c r="G1064" s="23">
        <f>IF($D1064="","",IFERROR(INDEX(ENVIOS!$D$4:$D$3003,MATCH($D1064,ENVIOS!$A$4:$A$3003,0)),"—"))</f>
        <v/>
      </c>
      <c r="H1064" s="23">
        <f>IF($D1064="","",IFERROR(INDEX(ENVIOS!$E$4:$E$3003,MATCH($D1064,ENVIOS!$A$4:$A$3003,0)),"—"))</f>
        <v/>
      </c>
      <c r="I1064" s="23">
        <f>IF($D1064="","",IFERROR(INDEX(ENVIOS!$F$4:$F$3003,MATCH($D1064,ENVIOS!$A$4:$A$3003,0)),"—"))</f>
        <v/>
      </c>
      <c r="J1064" s="23">
        <f>IF($D1064="","",IFERROR(INDEX(ENVIOS!$G$4:$G$3003,MATCH($D1064,ENVIOS!$A$4:$A$3003,0)),"—"))</f>
        <v/>
      </c>
      <c r="K1064" s="28">
        <f>IF($D1064="","",IFERROR(INDEX(ENVIOS!$H$4:$H$3003,MATCH($D1064,ENVIOS!$A$4:$A$3003,0)),"—"))</f>
        <v/>
      </c>
      <c r="L1064" s="49">
        <f>IF($D1064="","",IFERROR(INDEX(ENVIOS!$C$4:$C$3003,MATCH($D1064,ENVIOS!$A$4:$A$3003,0)),""))</f>
        <v/>
      </c>
      <c r="M1064" s="50" t="n"/>
      <c r="N1064" s="28">
        <f>IF($M1064="","",IFERROR(INDEX(CONFIG!$C$4:$C$63,MATCH($M1064,CONFIG!$A$4:$A$63,0)),"Media"))</f>
        <v/>
      </c>
      <c r="O1064" s="28">
        <f>IF($M1064="","",IF($C1064="Interna","NO",IFERROR(INDEX(CONFIG!$E$4:$E$63,MATCH($M1064,CONFIG!$A$4:$A$63,0)),"NO")))</f>
        <v/>
      </c>
      <c r="P1064" s="50" t="n"/>
      <c r="Q1064" s="50" t="n"/>
      <c r="R1064" s="28">
        <f>IF($Q1064="","",IFERROR(INDEX(CONFIG!$H$4:$H$63,MATCH($Q1064,CONFIG!$G$4:$G$63,0)),"Por definir"))</f>
        <v/>
      </c>
      <c r="S1064" s="28">
        <f>IF($Q1064="","",IFERROR(INDEX(CONFIG!$I$4:$I$63,MATCH($Q1064,CONFIG!$G$4:$G$63,0)),"Por definir"))</f>
        <v/>
      </c>
      <c r="T1064" s="51" t="n"/>
      <c r="U1064" s="52" t="n"/>
      <c r="V1064" s="50" t="n"/>
      <c r="W1064" s="50" t="n"/>
      <c r="X1064" s="49">
        <f>IF(OR($B1064="",$M1064=""),"",WORKDAY($B1064,IFERROR(INDEX(CONFIG!$D$4:$D$63,MATCH($M1064,CONFIG!$A$4:$A$63,0)),3)))</f>
        <v/>
      </c>
      <c r="Y1064" s="47" t="n"/>
      <c r="Z1064" s="24">
        <f>IF($B1064="","",IF($Y1064&lt;&gt;"",$Y1064-$B1064,TODAY()-$B1064))</f>
        <v/>
      </c>
      <c r="AA1064" s="28">
        <f>IF($B1064="","",IF(IFERROR(INDEX(CONFIG!$L$4:$L$63,MATCH($V1064,CONFIG!$K$4:$K$63,0)),"NO")="SÍ",IF(OR($Y1064="",$X1064=""),"Resuelta",IF($Y1064&gt;$X1064,"Resuelta tarde","Resuelta a tiempo")),IF($X1064="","Sin clasificar",IF(TODAY()&gt;$X1064,"Vencida",IF(TODAY()&gt;=$X1064-1,"Por vencer","En plazo")))))</f>
        <v/>
      </c>
      <c r="AB1064" s="50" t="n"/>
      <c r="AC1064" s="50" t="n"/>
    </row>
    <row r="1065" ht="16" customHeight="1">
      <c r="A1065" s="28">
        <f>IF($B1065="","","N-"&amp;TEXT(ROW()-3,"0000"))</f>
        <v/>
      </c>
      <c r="B1065" s="47" t="n"/>
      <c r="C1065" s="48" t="n"/>
      <c r="D1065" s="48" t="n"/>
      <c r="E1065" s="28">
        <f>IF($C1065="","",IF($D1065="",IF($C1065="Interna","Sin guía (interna)","FALTA GUÍA"),IF(COUNTIFS(ENVIOS!$A$4:$A$3003,$D1065)=0,"NO EXISTE",IF(COUNTIFS(ENVIOS!$A$4:$A$3003,$D1065)&gt;1,"DUPLICADA","OK"))))</f>
        <v/>
      </c>
      <c r="F1065" s="28">
        <f>IF($D1065="","",IFERROR(INDEX(ENVIOS!$B$4:$B$3003,MATCH($D1065,ENVIOS!$A$4:$A$3003,0)),"—"))</f>
        <v/>
      </c>
      <c r="G1065" s="23">
        <f>IF($D1065="","",IFERROR(INDEX(ENVIOS!$D$4:$D$3003,MATCH($D1065,ENVIOS!$A$4:$A$3003,0)),"—"))</f>
        <v/>
      </c>
      <c r="H1065" s="23">
        <f>IF($D1065="","",IFERROR(INDEX(ENVIOS!$E$4:$E$3003,MATCH($D1065,ENVIOS!$A$4:$A$3003,0)),"—"))</f>
        <v/>
      </c>
      <c r="I1065" s="23">
        <f>IF($D1065="","",IFERROR(INDEX(ENVIOS!$F$4:$F$3003,MATCH($D1065,ENVIOS!$A$4:$A$3003,0)),"—"))</f>
        <v/>
      </c>
      <c r="J1065" s="23">
        <f>IF($D1065="","",IFERROR(INDEX(ENVIOS!$G$4:$G$3003,MATCH($D1065,ENVIOS!$A$4:$A$3003,0)),"—"))</f>
        <v/>
      </c>
      <c r="K1065" s="28">
        <f>IF($D1065="","",IFERROR(INDEX(ENVIOS!$H$4:$H$3003,MATCH($D1065,ENVIOS!$A$4:$A$3003,0)),"—"))</f>
        <v/>
      </c>
      <c r="L1065" s="49">
        <f>IF($D1065="","",IFERROR(INDEX(ENVIOS!$C$4:$C$3003,MATCH($D1065,ENVIOS!$A$4:$A$3003,0)),""))</f>
        <v/>
      </c>
      <c r="M1065" s="50" t="n"/>
      <c r="N1065" s="28">
        <f>IF($M1065="","",IFERROR(INDEX(CONFIG!$C$4:$C$63,MATCH($M1065,CONFIG!$A$4:$A$63,0)),"Media"))</f>
        <v/>
      </c>
      <c r="O1065" s="28">
        <f>IF($M1065="","",IF($C1065="Interna","NO",IFERROR(INDEX(CONFIG!$E$4:$E$63,MATCH($M1065,CONFIG!$A$4:$A$63,0)),"NO")))</f>
        <v/>
      </c>
      <c r="P1065" s="50" t="n"/>
      <c r="Q1065" s="50" t="n"/>
      <c r="R1065" s="28">
        <f>IF($Q1065="","",IFERROR(INDEX(CONFIG!$H$4:$H$63,MATCH($Q1065,CONFIG!$G$4:$G$63,0)),"Por definir"))</f>
        <v/>
      </c>
      <c r="S1065" s="28">
        <f>IF($Q1065="","",IFERROR(INDEX(CONFIG!$I$4:$I$63,MATCH($Q1065,CONFIG!$G$4:$G$63,0)),"Por definir"))</f>
        <v/>
      </c>
      <c r="T1065" s="51" t="n"/>
      <c r="U1065" s="52" t="n"/>
      <c r="V1065" s="50" t="n"/>
      <c r="W1065" s="50" t="n"/>
      <c r="X1065" s="49">
        <f>IF(OR($B1065="",$M1065=""),"",WORKDAY($B1065,IFERROR(INDEX(CONFIG!$D$4:$D$63,MATCH($M1065,CONFIG!$A$4:$A$63,0)),3)))</f>
        <v/>
      </c>
      <c r="Y1065" s="47" t="n"/>
      <c r="Z1065" s="24">
        <f>IF($B1065="","",IF($Y1065&lt;&gt;"",$Y1065-$B1065,TODAY()-$B1065))</f>
        <v/>
      </c>
      <c r="AA1065" s="28">
        <f>IF($B1065="","",IF(IFERROR(INDEX(CONFIG!$L$4:$L$63,MATCH($V1065,CONFIG!$K$4:$K$63,0)),"NO")="SÍ",IF(OR($Y1065="",$X1065=""),"Resuelta",IF($Y1065&gt;$X1065,"Resuelta tarde","Resuelta a tiempo")),IF($X1065="","Sin clasificar",IF(TODAY()&gt;$X1065,"Vencida",IF(TODAY()&gt;=$X1065-1,"Por vencer","En plazo")))))</f>
        <v/>
      </c>
      <c r="AB1065" s="50" t="n"/>
      <c r="AC1065" s="50" t="n"/>
    </row>
    <row r="1066" ht="16" customHeight="1">
      <c r="A1066" s="28">
        <f>IF($B1066="","","N-"&amp;TEXT(ROW()-3,"0000"))</f>
        <v/>
      </c>
      <c r="B1066" s="47" t="n"/>
      <c r="C1066" s="48" t="n"/>
      <c r="D1066" s="48" t="n"/>
      <c r="E1066" s="28">
        <f>IF($C1066="","",IF($D1066="",IF($C1066="Interna","Sin guía (interna)","FALTA GUÍA"),IF(COUNTIFS(ENVIOS!$A$4:$A$3003,$D1066)=0,"NO EXISTE",IF(COUNTIFS(ENVIOS!$A$4:$A$3003,$D1066)&gt;1,"DUPLICADA","OK"))))</f>
        <v/>
      </c>
      <c r="F1066" s="28">
        <f>IF($D1066="","",IFERROR(INDEX(ENVIOS!$B$4:$B$3003,MATCH($D1066,ENVIOS!$A$4:$A$3003,0)),"—"))</f>
        <v/>
      </c>
      <c r="G1066" s="23">
        <f>IF($D1066="","",IFERROR(INDEX(ENVIOS!$D$4:$D$3003,MATCH($D1066,ENVIOS!$A$4:$A$3003,0)),"—"))</f>
        <v/>
      </c>
      <c r="H1066" s="23">
        <f>IF($D1066="","",IFERROR(INDEX(ENVIOS!$E$4:$E$3003,MATCH($D1066,ENVIOS!$A$4:$A$3003,0)),"—"))</f>
        <v/>
      </c>
      <c r="I1066" s="23">
        <f>IF($D1066="","",IFERROR(INDEX(ENVIOS!$F$4:$F$3003,MATCH($D1066,ENVIOS!$A$4:$A$3003,0)),"—"))</f>
        <v/>
      </c>
      <c r="J1066" s="23">
        <f>IF($D1066="","",IFERROR(INDEX(ENVIOS!$G$4:$G$3003,MATCH($D1066,ENVIOS!$A$4:$A$3003,0)),"—"))</f>
        <v/>
      </c>
      <c r="K1066" s="28">
        <f>IF($D1066="","",IFERROR(INDEX(ENVIOS!$H$4:$H$3003,MATCH($D1066,ENVIOS!$A$4:$A$3003,0)),"—"))</f>
        <v/>
      </c>
      <c r="L1066" s="49">
        <f>IF($D1066="","",IFERROR(INDEX(ENVIOS!$C$4:$C$3003,MATCH($D1066,ENVIOS!$A$4:$A$3003,0)),""))</f>
        <v/>
      </c>
      <c r="M1066" s="50" t="n"/>
      <c r="N1066" s="28">
        <f>IF($M1066="","",IFERROR(INDEX(CONFIG!$C$4:$C$63,MATCH($M1066,CONFIG!$A$4:$A$63,0)),"Media"))</f>
        <v/>
      </c>
      <c r="O1066" s="28">
        <f>IF($M1066="","",IF($C1066="Interna","NO",IFERROR(INDEX(CONFIG!$E$4:$E$63,MATCH($M1066,CONFIG!$A$4:$A$63,0)),"NO")))</f>
        <v/>
      </c>
      <c r="P1066" s="50" t="n"/>
      <c r="Q1066" s="50" t="n"/>
      <c r="R1066" s="28">
        <f>IF($Q1066="","",IFERROR(INDEX(CONFIG!$H$4:$H$63,MATCH($Q1066,CONFIG!$G$4:$G$63,0)),"Por definir"))</f>
        <v/>
      </c>
      <c r="S1066" s="28">
        <f>IF($Q1066="","",IFERROR(INDEX(CONFIG!$I$4:$I$63,MATCH($Q1066,CONFIG!$G$4:$G$63,0)),"Por definir"))</f>
        <v/>
      </c>
      <c r="T1066" s="51" t="n"/>
      <c r="U1066" s="52" t="n"/>
      <c r="V1066" s="50" t="n"/>
      <c r="W1066" s="50" t="n"/>
      <c r="X1066" s="49">
        <f>IF(OR($B1066="",$M1066=""),"",WORKDAY($B1066,IFERROR(INDEX(CONFIG!$D$4:$D$63,MATCH($M1066,CONFIG!$A$4:$A$63,0)),3)))</f>
        <v/>
      </c>
      <c r="Y1066" s="47" t="n"/>
      <c r="Z1066" s="24">
        <f>IF($B1066="","",IF($Y1066&lt;&gt;"",$Y1066-$B1066,TODAY()-$B1066))</f>
        <v/>
      </c>
      <c r="AA1066" s="28">
        <f>IF($B1066="","",IF(IFERROR(INDEX(CONFIG!$L$4:$L$63,MATCH($V1066,CONFIG!$K$4:$K$63,0)),"NO")="SÍ",IF(OR($Y1066="",$X1066=""),"Resuelta",IF($Y1066&gt;$X1066,"Resuelta tarde","Resuelta a tiempo")),IF($X1066="","Sin clasificar",IF(TODAY()&gt;$X1066,"Vencida",IF(TODAY()&gt;=$X1066-1,"Por vencer","En plazo")))))</f>
        <v/>
      </c>
      <c r="AB1066" s="50" t="n"/>
      <c r="AC1066" s="50" t="n"/>
    </row>
    <row r="1067" ht="16" customHeight="1">
      <c r="A1067" s="28">
        <f>IF($B1067="","","N-"&amp;TEXT(ROW()-3,"0000"))</f>
        <v/>
      </c>
      <c r="B1067" s="47" t="n"/>
      <c r="C1067" s="48" t="n"/>
      <c r="D1067" s="48" t="n"/>
      <c r="E1067" s="28">
        <f>IF($C1067="","",IF($D1067="",IF($C1067="Interna","Sin guía (interna)","FALTA GUÍA"),IF(COUNTIFS(ENVIOS!$A$4:$A$3003,$D1067)=0,"NO EXISTE",IF(COUNTIFS(ENVIOS!$A$4:$A$3003,$D1067)&gt;1,"DUPLICADA","OK"))))</f>
        <v/>
      </c>
      <c r="F1067" s="28">
        <f>IF($D1067="","",IFERROR(INDEX(ENVIOS!$B$4:$B$3003,MATCH($D1067,ENVIOS!$A$4:$A$3003,0)),"—"))</f>
        <v/>
      </c>
      <c r="G1067" s="23">
        <f>IF($D1067="","",IFERROR(INDEX(ENVIOS!$D$4:$D$3003,MATCH($D1067,ENVIOS!$A$4:$A$3003,0)),"—"))</f>
        <v/>
      </c>
      <c r="H1067" s="23">
        <f>IF($D1067="","",IFERROR(INDEX(ENVIOS!$E$4:$E$3003,MATCH($D1067,ENVIOS!$A$4:$A$3003,0)),"—"))</f>
        <v/>
      </c>
      <c r="I1067" s="23">
        <f>IF($D1067="","",IFERROR(INDEX(ENVIOS!$F$4:$F$3003,MATCH($D1067,ENVIOS!$A$4:$A$3003,0)),"—"))</f>
        <v/>
      </c>
      <c r="J1067" s="23">
        <f>IF($D1067="","",IFERROR(INDEX(ENVIOS!$G$4:$G$3003,MATCH($D1067,ENVIOS!$A$4:$A$3003,0)),"—"))</f>
        <v/>
      </c>
      <c r="K1067" s="28">
        <f>IF($D1067="","",IFERROR(INDEX(ENVIOS!$H$4:$H$3003,MATCH($D1067,ENVIOS!$A$4:$A$3003,0)),"—"))</f>
        <v/>
      </c>
      <c r="L1067" s="49">
        <f>IF($D1067="","",IFERROR(INDEX(ENVIOS!$C$4:$C$3003,MATCH($D1067,ENVIOS!$A$4:$A$3003,0)),""))</f>
        <v/>
      </c>
      <c r="M1067" s="50" t="n"/>
      <c r="N1067" s="28">
        <f>IF($M1067="","",IFERROR(INDEX(CONFIG!$C$4:$C$63,MATCH($M1067,CONFIG!$A$4:$A$63,0)),"Media"))</f>
        <v/>
      </c>
      <c r="O1067" s="28">
        <f>IF($M1067="","",IF($C1067="Interna","NO",IFERROR(INDEX(CONFIG!$E$4:$E$63,MATCH($M1067,CONFIG!$A$4:$A$63,0)),"NO")))</f>
        <v/>
      </c>
      <c r="P1067" s="50" t="n"/>
      <c r="Q1067" s="50" t="n"/>
      <c r="R1067" s="28">
        <f>IF($Q1067="","",IFERROR(INDEX(CONFIG!$H$4:$H$63,MATCH($Q1067,CONFIG!$G$4:$G$63,0)),"Por definir"))</f>
        <v/>
      </c>
      <c r="S1067" s="28">
        <f>IF($Q1067="","",IFERROR(INDEX(CONFIG!$I$4:$I$63,MATCH($Q1067,CONFIG!$G$4:$G$63,0)),"Por definir"))</f>
        <v/>
      </c>
      <c r="T1067" s="51" t="n"/>
      <c r="U1067" s="52" t="n"/>
      <c r="V1067" s="50" t="n"/>
      <c r="W1067" s="50" t="n"/>
      <c r="X1067" s="49">
        <f>IF(OR($B1067="",$M1067=""),"",WORKDAY($B1067,IFERROR(INDEX(CONFIG!$D$4:$D$63,MATCH($M1067,CONFIG!$A$4:$A$63,0)),3)))</f>
        <v/>
      </c>
      <c r="Y1067" s="47" t="n"/>
      <c r="Z1067" s="24">
        <f>IF($B1067="","",IF($Y1067&lt;&gt;"",$Y1067-$B1067,TODAY()-$B1067))</f>
        <v/>
      </c>
      <c r="AA1067" s="28">
        <f>IF($B1067="","",IF(IFERROR(INDEX(CONFIG!$L$4:$L$63,MATCH($V1067,CONFIG!$K$4:$K$63,0)),"NO")="SÍ",IF(OR($Y1067="",$X1067=""),"Resuelta",IF($Y1067&gt;$X1067,"Resuelta tarde","Resuelta a tiempo")),IF($X1067="","Sin clasificar",IF(TODAY()&gt;$X1067,"Vencida",IF(TODAY()&gt;=$X1067-1,"Por vencer","En plazo")))))</f>
        <v/>
      </c>
      <c r="AB1067" s="50" t="n"/>
      <c r="AC1067" s="50" t="n"/>
    </row>
    <row r="1068" ht="16" customHeight="1">
      <c r="A1068" s="28">
        <f>IF($B1068="","","N-"&amp;TEXT(ROW()-3,"0000"))</f>
        <v/>
      </c>
      <c r="B1068" s="47" t="n"/>
      <c r="C1068" s="48" t="n"/>
      <c r="D1068" s="48" t="n"/>
      <c r="E1068" s="28">
        <f>IF($C1068="","",IF($D1068="",IF($C1068="Interna","Sin guía (interna)","FALTA GUÍA"),IF(COUNTIFS(ENVIOS!$A$4:$A$3003,$D1068)=0,"NO EXISTE",IF(COUNTIFS(ENVIOS!$A$4:$A$3003,$D1068)&gt;1,"DUPLICADA","OK"))))</f>
        <v/>
      </c>
      <c r="F1068" s="28">
        <f>IF($D1068="","",IFERROR(INDEX(ENVIOS!$B$4:$B$3003,MATCH($D1068,ENVIOS!$A$4:$A$3003,0)),"—"))</f>
        <v/>
      </c>
      <c r="G1068" s="23">
        <f>IF($D1068="","",IFERROR(INDEX(ENVIOS!$D$4:$D$3003,MATCH($D1068,ENVIOS!$A$4:$A$3003,0)),"—"))</f>
        <v/>
      </c>
      <c r="H1068" s="23">
        <f>IF($D1068="","",IFERROR(INDEX(ENVIOS!$E$4:$E$3003,MATCH($D1068,ENVIOS!$A$4:$A$3003,0)),"—"))</f>
        <v/>
      </c>
      <c r="I1068" s="23">
        <f>IF($D1068="","",IFERROR(INDEX(ENVIOS!$F$4:$F$3003,MATCH($D1068,ENVIOS!$A$4:$A$3003,0)),"—"))</f>
        <v/>
      </c>
      <c r="J1068" s="23">
        <f>IF($D1068="","",IFERROR(INDEX(ENVIOS!$G$4:$G$3003,MATCH($D1068,ENVIOS!$A$4:$A$3003,0)),"—"))</f>
        <v/>
      </c>
      <c r="K1068" s="28">
        <f>IF($D1068="","",IFERROR(INDEX(ENVIOS!$H$4:$H$3003,MATCH($D1068,ENVIOS!$A$4:$A$3003,0)),"—"))</f>
        <v/>
      </c>
      <c r="L1068" s="49">
        <f>IF($D1068="","",IFERROR(INDEX(ENVIOS!$C$4:$C$3003,MATCH($D1068,ENVIOS!$A$4:$A$3003,0)),""))</f>
        <v/>
      </c>
      <c r="M1068" s="50" t="n"/>
      <c r="N1068" s="28">
        <f>IF($M1068="","",IFERROR(INDEX(CONFIG!$C$4:$C$63,MATCH($M1068,CONFIG!$A$4:$A$63,0)),"Media"))</f>
        <v/>
      </c>
      <c r="O1068" s="28">
        <f>IF($M1068="","",IF($C1068="Interna","NO",IFERROR(INDEX(CONFIG!$E$4:$E$63,MATCH($M1068,CONFIG!$A$4:$A$63,0)),"NO")))</f>
        <v/>
      </c>
      <c r="P1068" s="50" t="n"/>
      <c r="Q1068" s="50" t="n"/>
      <c r="R1068" s="28">
        <f>IF($Q1068="","",IFERROR(INDEX(CONFIG!$H$4:$H$63,MATCH($Q1068,CONFIG!$G$4:$G$63,0)),"Por definir"))</f>
        <v/>
      </c>
      <c r="S1068" s="28">
        <f>IF($Q1068="","",IFERROR(INDEX(CONFIG!$I$4:$I$63,MATCH($Q1068,CONFIG!$G$4:$G$63,0)),"Por definir"))</f>
        <v/>
      </c>
      <c r="T1068" s="51" t="n"/>
      <c r="U1068" s="52" t="n"/>
      <c r="V1068" s="50" t="n"/>
      <c r="W1068" s="50" t="n"/>
      <c r="X1068" s="49">
        <f>IF(OR($B1068="",$M1068=""),"",WORKDAY($B1068,IFERROR(INDEX(CONFIG!$D$4:$D$63,MATCH($M1068,CONFIG!$A$4:$A$63,0)),3)))</f>
        <v/>
      </c>
      <c r="Y1068" s="47" t="n"/>
      <c r="Z1068" s="24">
        <f>IF($B1068="","",IF($Y1068&lt;&gt;"",$Y1068-$B1068,TODAY()-$B1068))</f>
        <v/>
      </c>
      <c r="AA1068" s="28">
        <f>IF($B1068="","",IF(IFERROR(INDEX(CONFIG!$L$4:$L$63,MATCH($V1068,CONFIG!$K$4:$K$63,0)),"NO")="SÍ",IF(OR($Y1068="",$X1068=""),"Resuelta",IF($Y1068&gt;$X1068,"Resuelta tarde","Resuelta a tiempo")),IF($X1068="","Sin clasificar",IF(TODAY()&gt;$X1068,"Vencida",IF(TODAY()&gt;=$X1068-1,"Por vencer","En plazo")))))</f>
        <v/>
      </c>
      <c r="AB1068" s="50" t="n"/>
      <c r="AC1068" s="50" t="n"/>
    </row>
    <row r="1069" ht="16" customHeight="1">
      <c r="A1069" s="28">
        <f>IF($B1069="","","N-"&amp;TEXT(ROW()-3,"0000"))</f>
        <v/>
      </c>
      <c r="B1069" s="47" t="n"/>
      <c r="C1069" s="48" t="n"/>
      <c r="D1069" s="48" t="n"/>
      <c r="E1069" s="28">
        <f>IF($C1069="","",IF($D1069="",IF($C1069="Interna","Sin guía (interna)","FALTA GUÍA"),IF(COUNTIFS(ENVIOS!$A$4:$A$3003,$D1069)=0,"NO EXISTE",IF(COUNTIFS(ENVIOS!$A$4:$A$3003,$D1069)&gt;1,"DUPLICADA","OK"))))</f>
        <v/>
      </c>
      <c r="F1069" s="28">
        <f>IF($D1069="","",IFERROR(INDEX(ENVIOS!$B$4:$B$3003,MATCH($D1069,ENVIOS!$A$4:$A$3003,0)),"—"))</f>
        <v/>
      </c>
      <c r="G1069" s="23">
        <f>IF($D1069="","",IFERROR(INDEX(ENVIOS!$D$4:$D$3003,MATCH($D1069,ENVIOS!$A$4:$A$3003,0)),"—"))</f>
        <v/>
      </c>
      <c r="H1069" s="23">
        <f>IF($D1069="","",IFERROR(INDEX(ENVIOS!$E$4:$E$3003,MATCH($D1069,ENVIOS!$A$4:$A$3003,0)),"—"))</f>
        <v/>
      </c>
      <c r="I1069" s="23">
        <f>IF($D1069="","",IFERROR(INDEX(ENVIOS!$F$4:$F$3003,MATCH($D1069,ENVIOS!$A$4:$A$3003,0)),"—"))</f>
        <v/>
      </c>
      <c r="J1069" s="23">
        <f>IF($D1069="","",IFERROR(INDEX(ENVIOS!$G$4:$G$3003,MATCH($D1069,ENVIOS!$A$4:$A$3003,0)),"—"))</f>
        <v/>
      </c>
      <c r="K1069" s="28">
        <f>IF($D1069="","",IFERROR(INDEX(ENVIOS!$H$4:$H$3003,MATCH($D1069,ENVIOS!$A$4:$A$3003,0)),"—"))</f>
        <v/>
      </c>
      <c r="L1069" s="49">
        <f>IF($D1069="","",IFERROR(INDEX(ENVIOS!$C$4:$C$3003,MATCH($D1069,ENVIOS!$A$4:$A$3003,0)),""))</f>
        <v/>
      </c>
      <c r="M1069" s="50" t="n"/>
      <c r="N1069" s="28">
        <f>IF($M1069="","",IFERROR(INDEX(CONFIG!$C$4:$C$63,MATCH($M1069,CONFIG!$A$4:$A$63,0)),"Media"))</f>
        <v/>
      </c>
      <c r="O1069" s="28">
        <f>IF($M1069="","",IF($C1069="Interna","NO",IFERROR(INDEX(CONFIG!$E$4:$E$63,MATCH($M1069,CONFIG!$A$4:$A$63,0)),"NO")))</f>
        <v/>
      </c>
      <c r="P1069" s="50" t="n"/>
      <c r="Q1069" s="50" t="n"/>
      <c r="R1069" s="28">
        <f>IF($Q1069="","",IFERROR(INDEX(CONFIG!$H$4:$H$63,MATCH($Q1069,CONFIG!$G$4:$G$63,0)),"Por definir"))</f>
        <v/>
      </c>
      <c r="S1069" s="28">
        <f>IF($Q1069="","",IFERROR(INDEX(CONFIG!$I$4:$I$63,MATCH($Q1069,CONFIG!$G$4:$G$63,0)),"Por definir"))</f>
        <v/>
      </c>
      <c r="T1069" s="51" t="n"/>
      <c r="U1069" s="52" t="n"/>
      <c r="V1069" s="50" t="n"/>
      <c r="W1069" s="50" t="n"/>
      <c r="X1069" s="49">
        <f>IF(OR($B1069="",$M1069=""),"",WORKDAY($B1069,IFERROR(INDEX(CONFIG!$D$4:$D$63,MATCH($M1069,CONFIG!$A$4:$A$63,0)),3)))</f>
        <v/>
      </c>
      <c r="Y1069" s="47" t="n"/>
      <c r="Z1069" s="24">
        <f>IF($B1069="","",IF($Y1069&lt;&gt;"",$Y1069-$B1069,TODAY()-$B1069))</f>
        <v/>
      </c>
      <c r="AA1069" s="28">
        <f>IF($B1069="","",IF(IFERROR(INDEX(CONFIG!$L$4:$L$63,MATCH($V1069,CONFIG!$K$4:$K$63,0)),"NO")="SÍ",IF(OR($Y1069="",$X1069=""),"Resuelta",IF($Y1069&gt;$X1069,"Resuelta tarde","Resuelta a tiempo")),IF($X1069="","Sin clasificar",IF(TODAY()&gt;$X1069,"Vencida",IF(TODAY()&gt;=$X1069-1,"Por vencer","En plazo")))))</f>
        <v/>
      </c>
      <c r="AB1069" s="50" t="n"/>
      <c r="AC1069" s="50" t="n"/>
    </row>
    <row r="1070" ht="16" customHeight="1">
      <c r="A1070" s="28">
        <f>IF($B1070="","","N-"&amp;TEXT(ROW()-3,"0000"))</f>
        <v/>
      </c>
      <c r="B1070" s="47" t="n"/>
      <c r="C1070" s="48" t="n"/>
      <c r="D1070" s="48" t="n"/>
      <c r="E1070" s="28">
        <f>IF($C1070="","",IF($D1070="",IF($C1070="Interna","Sin guía (interna)","FALTA GUÍA"),IF(COUNTIFS(ENVIOS!$A$4:$A$3003,$D1070)=0,"NO EXISTE",IF(COUNTIFS(ENVIOS!$A$4:$A$3003,$D1070)&gt;1,"DUPLICADA","OK"))))</f>
        <v/>
      </c>
      <c r="F1070" s="28">
        <f>IF($D1070="","",IFERROR(INDEX(ENVIOS!$B$4:$B$3003,MATCH($D1070,ENVIOS!$A$4:$A$3003,0)),"—"))</f>
        <v/>
      </c>
      <c r="G1070" s="23">
        <f>IF($D1070="","",IFERROR(INDEX(ENVIOS!$D$4:$D$3003,MATCH($D1070,ENVIOS!$A$4:$A$3003,0)),"—"))</f>
        <v/>
      </c>
      <c r="H1070" s="23">
        <f>IF($D1070="","",IFERROR(INDEX(ENVIOS!$E$4:$E$3003,MATCH($D1070,ENVIOS!$A$4:$A$3003,0)),"—"))</f>
        <v/>
      </c>
      <c r="I1070" s="23">
        <f>IF($D1070="","",IFERROR(INDEX(ENVIOS!$F$4:$F$3003,MATCH($D1070,ENVIOS!$A$4:$A$3003,0)),"—"))</f>
        <v/>
      </c>
      <c r="J1070" s="23">
        <f>IF($D1070="","",IFERROR(INDEX(ENVIOS!$G$4:$G$3003,MATCH($D1070,ENVIOS!$A$4:$A$3003,0)),"—"))</f>
        <v/>
      </c>
      <c r="K1070" s="28">
        <f>IF($D1070="","",IFERROR(INDEX(ENVIOS!$H$4:$H$3003,MATCH($D1070,ENVIOS!$A$4:$A$3003,0)),"—"))</f>
        <v/>
      </c>
      <c r="L1070" s="49">
        <f>IF($D1070="","",IFERROR(INDEX(ENVIOS!$C$4:$C$3003,MATCH($D1070,ENVIOS!$A$4:$A$3003,0)),""))</f>
        <v/>
      </c>
      <c r="M1070" s="50" t="n"/>
      <c r="N1070" s="28">
        <f>IF($M1070="","",IFERROR(INDEX(CONFIG!$C$4:$C$63,MATCH($M1070,CONFIG!$A$4:$A$63,0)),"Media"))</f>
        <v/>
      </c>
      <c r="O1070" s="28">
        <f>IF($M1070="","",IF($C1070="Interna","NO",IFERROR(INDEX(CONFIG!$E$4:$E$63,MATCH($M1070,CONFIG!$A$4:$A$63,0)),"NO")))</f>
        <v/>
      </c>
      <c r="P1070" s="50" t="n"/>
      <c r="Q1070" s="50" t="n"/>
      <c r="R1070" s="28">
        <f>IF($Q1070="","",IFERROR(INDEX(CONFIG!$H$4:$H$63,MATCH($Q1070,CONFIG!$G$4:$G$63,0)),"Por definir"))</f>
        <v/>
      </c>
      <c r="S1070" s="28">
        <f>IF($Q1070="","",IFERROR(INDEX(CONFIG!$I$4:$I$63,MATCH($Q1070,CONFIG!$G$4:$G$63,0)),"Por definir"))</f>
        <v/>
      </c>
      <c r="T1070" s="51" t="n"/>
      <c r="U1070" s="52" t="n"/>
      <c r="V1070" s="50" t="n"/>
      <c r="W1070" s="50" t="n"/>
      <c r="X1070" s="49">
        <f>IF(OR($B1070="",$M1070=""),"",WORKDAY($B1070,IFERROR(INDEX(CONFIG!$D$4:$D$63,MATCH($M1070,CONFIG!$A$4:$A$63,0)),3)))</f>
        <v/>
      </c>
      <c r="Y1070" s="47" t="n"/>
      <c r="Z1070" s="24">
        <f>IF($B1070="","",IF($Y1070&lt;&gt;"",$Y1070-$B1070,TODAY()-$B1070))</f>
        <v/>
      </c>
      <c r="AA1070" s="28">
        <f>IF($B1070="","",IF(IFERROR(INDEX(CONFIG!$L$4:$L$63,MATCH($V1070,CONFIG!$K$4:$K$63,0)),"NO")="SÍ",IF(OR($Y1070="",$X1070=""),"Resuelta",IF($Y1070&gt;$X1070,"Resuelta tarde","Resuelta a tiempo")),IF($X1070="","Sin clasificar",IF(TODAY()&gt;$X1070,"Vencida",IF(TODAY()&gt;=$X1070-1,"Por vencer","En plazo")))))</f>
        <v/>
      </c>
      <c r="AB1070" s="50" t="n"/>
      <c r="AC1070" s="50" t="n"/>
    </row>
    <row r="1071" ht="16" customHeight="1">
      <c r="A1071" s="28">
        <f>IF($B1071="","","N-"&amp;TEXT(ROW()-3,"0000"))</f>
        <v/>
      </c>
      <c r="B1071" s="47" t="n"/>
      <c r="C1071" s="48" t="n"/>
      <c r="D1071" s="48" t="n"/>
      <c r="E1071" s="28">
        <f>IF($C1071="","",IF($D1071="",IF($C1071="Interna","Sin guía (interna)","FALTA GUÍA"),IF(COUNTIFS(ENVIOS!$A$4:$A$3003,$D1071)=0,"NO EXISTE",IF(COUNTIFS(ENVIOS!$A$4:$A$3003,$D1071)&gt;1,"DUPLICADA","OK"))))</f>
        <v/>
      </c>
      <c r="F1071" s="28">
        <f>IF($D1071="","",IFERROR(INDEX(ENVIOS!$B$4:$B$3003,MATCH($D1071,ENVIOS!$A$4:$A$3003,0)),"—"))</f>
        <v/>
      </c>
      <c r="G1071" s="23">
        <f>IF($D1071="","",IFERROR(INDEX(ENVIOS!$D$4:$D$3003,MATCH($D1071,ENVIOS!$A$4:$A$3003,0)),"—"))</f>
        <v/>
      </c>
      <c r="H1071" s="23">
        <f>IF($D1071="","",IFERROR(INDEX(ENVIOS!$E$4:$E$3003,MATCH($D1071,ENVIOS!$A$4:$A$3003,0)),"—"))</f>
        <v/>
      </c>
      <c r="I1071" s="23">
        <f>IF($D1071="","",IFERROR(INDEX(ENVIOS!$F$4:$F$3003,MATCH($D1071,ENVIOS!$A$4:$A$3003,0)),"—"))</f>
        <v/>
      </c>
      <c r="J1071" s="23">
        <f>IF($D1071="","",IFERROR(INDEX(ENVIOS!$G$4:$G$3003,MATCH($D1071,ENVIOS!$A$4:$A$3003,0)),"—"))</f>
        <v/>
      </c>
      <c r="K1071" s="28">
        <f>IF($D1071="","",IFERROR(INDEX(ENVIOS!$H$4:$H$3003,MATCH($D1071,ENVIOS!$A$4:$A$3003,0)),"—"))</f>
        <v/>
      </c>
      <c r="L1071" s="49">
        <f>IF($D1071="","",IFERROR(INDEX(ENVIOS!$C$4:$C$3003,MATCH($D1071,ENVIOS!$A$4:$A$3003,0)),""))</f>
        <v/>
      </c>
      <c r="M1071" s="50" t="n"/>
      <c r="N1071" s="28">
        <f>IF($M1071="","",IFERROR(INDEX(CONFIG!$C$4:$C$63,MATCH($M1071,CONFIG!$A$4:$A$63,0)),"Media"))</f>
        <v/>
      </c>
      <c r="O1071" s="28">
        <f>IF($M1071="","",IF($C1071="Interna","NO",IFERROR(INDEX(CONFIG!$E$4:$E$63,MATCH($M1071,CONFIG!$A$4:$A$63,0)),"NO")))</f>
        <v/>
      </c>
      <c r="P1071" s="50" t="n"/>
      <c r="Q1071" s="50" t="n"/>
      <c r="R1071" s="28">
        <f>IF($Q1071="","",IFERROR(INDEX(CONFIG!$H$4:$H$63,MATCH($Q1071,CONFIG!$G$4:$G$63,0)),"Por definir"))</f>
        <v/>
      </c>
      <c r="S1071" s="28">
        <f>IF($Q1071="","",IFERROR(INDEX(CONFIG!$I$4:$I$63,MATCH($Q1071,CONFIG!$G$4:$G$63,0)),"Por definir"))</f>
        <v/>
      </c>
      <c r="T1071" s="51" t="n"/>
      <c r="U1071" s="52" t="n"/>
      <c r="V1071" s="50" t="n"/>
      <c r="W1071" s="50" t="n"/>
      <c r="X1071" s="49">
        <f>IF(OR($B1071="",$M1071=""),"",WORKDAY($B1071,IFERROR(INDEX(CONFIG!$D$4:$D$63,MATCH($M1071,CONFIG!$A$4:$A$63,0)),3)))</f>
        <v/>
      </c>
      <c r="Y1071" s="47" t="n"/>
      <c r="Z1071" s="24">
        <f>IF($B1071="","",IF($Y1071&lt;&gt;"",$Y1071-$B1071,TODAY()-$B1071))</f>
        <v/>
      </c>
      <c r="AA1071" s="28">
        <f>IF($B1071="","",IF(IFERROR(INDEX(CONFIG!$L$4:$L$63,MATCH($V1071,CONFIG!$K$4:$K$63,0)),"NO")="SÍ",IF(OR($Y1071="",$X1071=""),"Resuelta",IF($Y1071&gt;$X1071,"Resuelta tarde","Resuelta a tiempo")),IF($X1071="","Sin clasificar",IF(TODAY()&gt;$X1071,"Vencida",IF(TODAY()&gt;=$X1071-1,"Por vencer","En plazo")))))</f>
        <v/>
      </c>
      <c r="AB1071" s="50" t="n"/>
      <c r="AC1071" s="50" t="n"/>
    </row>
    <row r="1072" ht="16" customHeight="1">
      <c r="A1072" s="28">
        <f>IF($B1072="","","N-"&amp;TEXT(ROW()-3,"0000"))</f>
        <v/>
      </c>
      <c r="B1072" s="47" t="n"/>
      <c r="C1072" s="48" t="n"/>
      <c r="D1072" s="48" t="n"/>
      <c r="E1072" s="28">
        <f>IF($C1072="","",IF($D1072="",IF($C1072="Interna","Sin guía (interna)","FALTA GUÍA"),IF(COUNTIFS(ENVIOS!$A$4:$A$3003,$D1072)=0,"NO EXISTE",IF(COUNTIFS(ENVIOS!$A$4:$A$3003,$D1072)&gt;1,"DUPLICADA","OK"))))</f>
        <v/>
      </c>
      <c r="F1072" s="28">
        <f>IF($D1072="","",IFERROR(INDEX(ENVIOS!$B$4:$B$3003,MATCH($D1072,ENVIOS!$A$4:$A$3003,0)),"—"))</f>
        <v/>
      </c>
      <c r="G1072" s="23">
        <f>IF($D1072="","",IFERROR(INDEX(ENVIOS!$D$4:$D$3003,MATCH($D1072,ENVIOS!$A$4:$A$3003,0)),"—"))</f>
        <v/>
      </c>
      <c r="H1072" s="23">
        <f>IF($D1072="","",IFERROR(INDEX(ENVIOS!$E$4:$E$3003,MATCH($D1072,ENVIOS!$A$4:$A$3003,0)),"—"))</f>
        <v/>
      </c>
      <c r="I1072" s="23">
        <f>IF($D1072="","",IFERROR(INDEX(ENVIOS!$F$4:$F$3003,MATCH($D1072,ENVIOS!$A$4:$A$3003,0)),"—"))</f>
        <v/>
      </c>
      <c r="J1072" s="23">
        <f>IF($D1072="","",IFERROR(INDEX(ENVIOS!$G$4:$G$3003,MATCH($D1072,ENVIOS!$A$4:$A$3003,0)),"—"))</f>
        <v/>
      </c>
      <c r="K1072" s="28">
        <f>IF($D1072="","",IFERROR(INDEX(ENVIOS!$H$4:$H$3003,MATCH($D1072,ENVIOS!$A$4:$A$3003,0)),"—"))</f>
        <v/>
      </c>
      <c r="L1072" s="49">
        <f>IF($D1072="","",IFERROR(INDEX(ENVIOS!$C$4:$C$3003,MATCH($D1072,ENVIOS!$A$4:$A$3003,0)),""))</f>
        <v/>
      </c>
      <c r="M1072" s="50" t="n"/>
      <c r="N1072" s="28">
        <f>IF($M1072="","",IFERROR(INDEX(CONFIG!$C$4:$C$63,MATCH($M1072,CONFIG!$A$4:$A$63,0)),"Media"))</f>
        <v/>
      </c>
      <c r="O1072" s="28">
        <f>IF($M1072="","",IF($C1072="Interna","NO",IFERROR(INDEX(CONFIG!$E$4:$E$63,MATCH($M1072,CONFIG!$A$4:$A$63,0)),"NO")))</f>
        <v/>
      </c>
      <c r="P1072" s="50" t="n"/>
      <c r="Q1072" s="50" t="n"/>
      <c r="R1072" s="28">
        <f>IF($Q1072="","",IFERROR(INDEX(CONFIG!$H$4:$H$63,MATCH($Q1072,CONFIG!$G$4:$G$63,0)),"Por definir"))</f>
        <v/>
      </c>
      <c r="S1072" s="28">
        <f>IF($Q1072="","",IFERROR(INDEX(CONFIG!$I$4:$I$63,MATCH($Q1072,CONFIG!$G$4:$G$63,0)),"Por definir"))</f>
        <v/>
      </c>
      <c r="T1072" s="51" t="n"/>
      <c r="U1072" s="52" t="n"/>
      <c r="V1072" s="50" t="n"/>
      <c r="W1072" s="50" t="n"/>
      <c r="X1072" s="49">
        <f>IF(OR($B1072="",$M1072=""),"",WORKDAY($B1072,IFERROR(INDEX(CONFIG!$D$4:$D$63,MATCH($M1072,CONFIG!$A$4:$A$63,0)),3)))</f>
        <v/>
      </c>
      <c r="Y1072" s="47" t="n"/>
      <c r="Z1072" s="24">
        <f>IF($B1072="","",IF($Y1072&lt;&gt;"",$Y1072-$B1072,TODAY()-$B1072))</f>
        <v/>
      </c>
      <c r="AA1072" s="28">
        <f>IF($B1072="","",IF(IFERROR(INDEX(CONFIG!$L$4:$L$63,MATCH($V1072,CONFIG!$K$4:$K$63,0)),"NO")="SÍ",IF(OR($Y1072="",$X1072=""),"Resuelta",IF($Y1072&gt;$X1072,"Resuelta tarde","Resuelta a tiempo")),IF($X1072="","Sin clasificar",IF(TODAY()&gt;$X1072,"Vencida",IF(TODAY()&gt;=$X1072-1,"Por vencer","En plazo")))))</f>
        <v/>
      </c>
      <c r="AB1072" s="50" t="n"/>
      <c r="AC1072" s="50" t="n"/>
    </row>
    <row r="1073" ht="16" customHeight="1">
      <c r="A1073" s="28">
        <f>IF($B1073="","","N-"&amp;TEXT(ROW()-3,"0000"))</f>
        <v/>
      </c>
      <c r="B1073" s="47" t="n"/>
      <c r="C1073" s="48" t="n"/>
      <c r="D1073" s="48" t="n"/>
      <c r="E1073" s="28">
        <f>IF($C1073="","",IF($D1073="",IF($C1073="Interna","Sin guía (interna)","FALTA GUÍA"),IF(COUNTIFS(ENVIOS!$A$4:$A$3003,$D1073)=0,"NO EXISTE",IF(COUNTIFS(ENVIOS!$A$4:$A$3003,$D1073)&gt;1,"DUPLICADA","OK"))))</f>
        <v/>
      </c>
      <c r="F1073" s="28">
        <f>IF($D1073="","",IFERROR(INDEX(ENVIOS!$B$4:$B$3003,MATCH($D1073,ENVIOS!$A$4:$A$3003,0)),"—"))</f>
        <v/>
      </c>
      <c r="G1073" s="23">
        <f>IF($D1073="","",IFERROR(INDEX(ENVIOS!$D$4:$D$3003,MATCH($D1073,ENVIOS!$A$4:$A$3003,0)),"—"))</f>
        <v/>
      </c>
      <c r="H1073" s="23">
        <f>IF($D1073="","",IFERROR(INDEX(ENVIOS!$E$4:$E$3003,MATCH($D1073,ENVIOS!$A$4:$A$3003,0)),"—"))</f>
        <v/>
      </c>
      <c r="I1073" s="23">
        <f>IF($D1073="","",IFERROR(INDEX(ENVIOS!$F$4:$F$3003,MATCH($D1073,ENVIOS!$A$4:$A$3003,0)),"—"))</f>
        <v/>
      </c>
      <c r="J1073" s="23">
        <f>IF($D1073="","",IFERROR(INDEX(ENVIOS!$G$4:$G$3003,MATCH($D1073,ENVIOS!$A$4:$A$3003,0)),"—"))</f>
        <v/>
      </c>
      <c r="K1073" s="28">
        <f>IF($D1073="","",IFERROR(INDEX(ENVIOS!$H$4:$H$3003,MATCH($D1073,ENVIOS!$A$4:$A$3003,0)),"—"))</f>
        <v/>
      </c>
      <c r="L1073" s="49">
        <f>IF($D1073="","",IFERROR(INDEX(ENVIOS!$C$4:$C$3003,MATCH($D1073,ENVIOS!$A$4:$A$3003,0)),""))</f>
        <v/>
      </c>
      <c r="M1073" s="50" t="n"/>
      <c r="N1073" s="28">
        <f>IF($M1073="","",IFERROR(INDEX(CONFIG!$C$4:$C$63,MATCH($M1073,CONFIG!$A$4:$A$63,0)),"Media"))</f>
        <v/>
      </c>
      <c r="O1073" s="28">
        <f>IF($M1073="","",IF($C1073="Interna","NO",IFERROR(INDEX(CONFIG!$E$4:$E$63,MATCH($M1073,CONFIG!$A$4:$A$63,0)),"NO")))</f>
        <v/>
      </c>
      <c r="P1073" s="50" t="n"/>
      <c r="Q1073" s="50" t="n"/>
      <c r="R1073" s="28">
        <f>IF($Q1073="","",IFERROR(INDEX(CONFIG!$H$4:$H$63,MATCH($Q1073,CONFIG!$G$4:$G$63,0)),"Por definir"))</f>
        <v/>
      </c>
      <c r="S1073" s="28">
        <f>IF($Q1073="","",IFERROR(INDEX(CONFIG!$I$4:$I$63,MATCH($Q1073,CONFIG!$G$4:$G$63,0)),"Por definir"))</f>
        <v/>
      </c>
      <c r="T1073" s="51" t="n"/>
      <c r="U1073" s="52" t="n"/>
      <c r="V1073" s="50" t="n"/>
      <c r="W1073" s="50" t="n"/>
      <c r="X1073" s="49">
        <f>IF(OR($B1073="",$M1073=""),"",WORKDAY($B1073,IFERROR(INDEX(CONFIG!$D$4:$D$63,MATCH($M1073,CONFIG!$A$4:$A$63,0)),3)))</f>
        <v/>
      </c>
      <c r="Y1073" s="47" t="n"/>
      <c r="Z1073" s="24">
        <f>IF($B1073="","",IF($Y1073&lt;&gt;"",$Y1073-$B1073,TODAY()-$B1073))</f>
        <v/>
      </c>
      <c r="AA1073" s="28">
        <f>IF($B1073="","",IF(IFERROR(INDEX(CONFIG!$L$4:$L$63,MATCH($V1073,CONFIG!$K$4:$K$63,0)),"NO")="SÍ",IF(OR($Y1073="",$X1073=""),"Resuelta",IF($Y1073&gt;$X1073,"Resuelta tarde","Resuelta a tiempo")),IF($X1073="","Sin clasificar",IF(TODAY()&gt;$X1073,"Vencida",IF(TODAY()&gt;=$X1073-1,"Por vencer","En plazo")))))</f>
        <v/>
      </c>
      <c r="AB1073" s="50" t="n"/>
      <c r="AC1073" s="50" t="n"/>
    </row>
    <row r="1074" ht="16" customHeight="1">
      <c r="A1074" s="28">
        <f>IF($B1074="","","N-"&amp;TEXT(ROW()-3,"0000"))</f>
        <v/>
      </c>
      <c r="B1074" s="47" t="n"/>
      <c r="C1074" s="48" t="n"/>
      <c r="D1074" s="48" t="n"/>
      <c r="E1074" s="28">
        <f>IF($C1074="","",IF($D1074="",IF($C1074="Interna","Sin guía (interna)","FALTA GUÍA"),IF(COUNTIFS(ENVIOS!$A$4:$A$3003,$D1074)=0,"NO EXISTE",IF(COUNTIFS(ENVIOS!$A$4:$A$3003,$D1074)&gt;1,"DUPLICADA","OK"))))</f>
        <v/>
      </c>
      <c r="F1074" s="28">
        <f>IF($D1074="","",IFERROR(INDEX(ENVIOS!$B$4:$B$3003,MATCH($D1074,ENVIOS!$A$4:$A$3003,0)),"—"))</f>
        <v/>
      </c>
      <c r="G1074" s="23">
        <f>IF($D1074="","",IFERROR(INDEX(ENVIOS!$D$4:$D$3003,MATCH($D1074,ENVIOS!$A$4:$A$3003,0)),"—"))</f>
        <v/>
      </c>
      <c r="H1074" s="23">
        <f>IF($D1074="","",IFERROR(INDEX(ENVIOS!$E$4:$E$3003,MATCH($D1074,ENVIOS!$A$4:$A$3003,0)),"—"))</f>
        <v/>
      </c>
      <c r="I1074" s="23">
        <f>IF($D1074="","",IFERROR(INDEX(ENVIOS!$F$4:$F$3003,MATCH($D1074,ENVIOS!$A$4:$A$3003,0)),"—"))</f>
        <v/>
      </c>
      <c r="J1074" s="23">
        <f>IF($D1074="","",IFERROR(INDEX(ENVIOS!$G$4:$G$3003,MATCH($D1074,ENVIOS!$A$4:$A$3003,0)),"—"))</f>
        <v/>
      </c>
      <c r="K1074" s="28">
        <f>IF($D1074="","",IFERROR(INDEX(ENVIOS!$H$4:$H$3003,MATCH($D1074,ENVIOS!$A$4:$A$3003,0)),"—"))</f>
        <v/>
      </c>
      <c r="L1074" s="49">
        <f>IF($D1074="","",IFERROR(INDEX(ENVIOS!$C$4:$C$3003,MATCH($D1074,ENVIOS!$A$4:$A$3003,0)),""))</f>
        <v/>
      </c>
      <c r="M1074" s="50" t="n"/>
      <c r="N1074" s="28">
        <f>IF($M1074="","",IFERROR(INDEX(CONFIG!$C$4:$C$63,MATCH($M1074,CONFIG!$A$4:$A$63,0)),"Media"))</f>
        <v/>
      </c>
      <c r="O1074" s="28">
        <f>IF($M1074="","",IF($C1074="Interna","NO",IFERROR(INDEX(CONFIG!$E$4:$E$63,MATCH($M1074,CONFIG!$A$4:$A$63,0)),"NO")))</f>
        <v/>
      </c>
      <c r="P1074" s="50" t="n"/>
      <c r="Q1074" s="50" t="n"/>
      <c r="R1074" s="28">
        <f>IF($Q1074="","",IFERROR(INDEX(CONFIG!$H$4:$H$63,MATCH($Q1074,CONFIG!$G$4:$G$63,0)),"Por definir"))</f>
        <v/>
      </c>
      <c r="S1074" s="28">
        <f>IF($Q1074="","",IFERROR(INDEX(CONFIG!$I$4:$I$63,MATCH($Q1074,CONFIG!$G$4:$G$63,0)),"Por definir"))</f>
        <v/>
      </c>
      <c r="T1074" s="51" t="n"/>
      <c r="U1074" s="52" t="n"/>
      <c r="V1074" s="50" t="n"/>
      <c r="W1074" s="50" t="n"/>
      <c r="X1074" s="49">
        <f>IF(OR($B1074="",$M1074=""),"",WORKDAY($B1074,IFERROR(INDEX(CONFIG!$D$4:$D$63,MATCH($M1074,CONFIG!$A$4:$A$63,0)),3)))</f>
        <v/>
      </c>
      <c r="Y1074" s="47" t="n"/>
      <c r="Z1074" s="24">
        <f>IF($B1074="","",IF($Y1074&lt;&gt;"",$Y1074-$B1074,TODAY()-$B1074))</f>
        <v/>
      </c>
      <c r="AA1074" s="28">
        <f>IF($B1074="","",IF(IFERROR(INDEX(CONFIG!$L$4:$L$63,MATCH($V1074,CONFIG!$K$4:$K$63,0)),"NO")="SÍ",IF(OR($Y1074="",$X1074=""),"Resuelta",IF($Y1074&gt;$X1074,"Resuelta tarde","Resuelta a tiempo")),IF($X1074="","Sin clasificar",IF(TODAY()&gt;$X1074,"Vencida",IF(TODAY()&gt;=$X1074-1,"Por vencer","En plazo")))))</f>
        <v/>
      </c>
      <c r="AB1074" s="50" t="n"/>
      <c r="AC1074" s="50" t="n"/>
    </row>
    <row r="1075" ht="16" customHeight="1">
      <c r="A1075" s="28">
        <f>IF($B1075="","","N-"&amp;TEXT(ROW()-3,"0000"))</f>
        <v/>
      </c>
      <c r="B1075" s="47" t="n"/>
      <c r="C1075" s="48" t="n"/>
      <c r="D1075" s="48" t="n"/>
      <c r="E1075" s="28">
        <f>IF($C1075="","",IF($D1075="",IF($C1075="Interna","Sin guía (interna)","FALTA GUÍA"),IF(COUNTIFS(ENVIOS!$A$4:$A$3003,$D1075)=0,"NO EXISTE",IF(COUNTIFS(ENVIOS!$A$4:$A$3003,$D1075)&gt;1,"DUPLICADA","OK"))))</f>
        <v/>
      </c>
      <c r="F1075" s="28">
        <f>IF($D1075="","",IFERROR(INDEX(ENVIOS!$B$4:$B$3003,MATCH($D1075,ENVIOS!$A$4:$A$3003,0)),"—"))</f>
        <v/>
      </c>
      <c r="G1075" s="23">
        <f>IF($D1075="","",IFERROR(INDEX(ENVIOS!$D$4:$D$3003,MATCH($D1075,ENVIOS!$A$4:$A$3003,0)),"—"))</f>
        <v/>
      </c>
      <c r="H1075" s="23">
        <f>IF($D1075="","",IFERROR(INDEX(ENVIOS!$E$4:$E$3003,MATCH($D1075,ENVIOS!$A$4:$A$3003,0)),"—"))</f>
        <v/>
      </c>
      <c r="I1075" s="23">
        <f>IF($D1075="","",IFERROR(INDEX(ENVIOS!$F$4:$F$3003,MATCH($D1075,ENVIOS!$A$4:$A$3003,0)),"—"))</f>
        <v/>
      </c>
      <c r="J1075" s="23">
        <f>IF($D1075="","",IFERROR(INDEX(ENVIOS!$G$4:$G$3003,MATCH($D1075,ENVIOS!$A$4:$A$3003,0)),"—"))</f>
        <v/>
      </c>
      <c r="K1075" s="28">
        <f>IF($D1075="","",IFERROR(INDEX(ENVIOS!$H$4:$H$3003,MATCH($D1075,ENVIOS!$A$4:$A$3003,0)),"—"))</f>
        <v/>
      </c>
      <c r="L1075" s="49">
        <f>IF($D1075="","",IFERROR(INDEX(ENVIOS!$C$4:$C$3003,MATCH($D1075,ENVIOS!$A$4:$A$3003,0)),""))</f>
        <v/>
      </c>
      <c r="M1075" s="50" t="n"/>
      <c r="N1075" s="28">
        <f>IF($M1075="","",IFERROR(INDEX(CONFIG!$C$4:$C$63,MATCH($M1075,CONFIG!$A$4:$A$63,0)),"Media"))</f>
        <v/>
      </c>
      <c r="O1075" s="28">
        <f>IF($M1075="","",IF($C1075="Interna","NO",IFERROR(INDEX(CONFIG!$E$4:$E$63,MATCH($M1075,CONFIG!$A$4:$A$63,0)),"NO")))</f>
        <v/>
      </c>
      <c r="P1075" s="50" t="n"/>
      <c r="Q1075" s="50" t="n"/>
      <c r="R1075" s="28">
        <f>IF($Q1075="","",IFERROR(INDEX(CONFIG!$H$4:$H$63,MATCH($Q1075,CONFIG!$G$4:$G$63,0)),"Por definir"))</f>
        <v/>
      </c>
      <c r="S1075" s="28">
        <f>IF($Q1075="","",IFERROR(INDEX(CONFIG!$I$4:$I$63,MATCH($Q1075,CONFIG!$G$4:$G$63,0)),"Por definir"))</f>
        <v/>
      </c>
      <c r="T1075" s="51" t="n"/>
      <c r="U1075" s="52" t="n"/>
      <c r="V1075" s="50" t="n"/>
      <c r="W1075" s="50" t="n"/>
      <c r="X1075" s="49">
        <f>IF(OR($B1075="",$M1075=""),"",WORKDAY($B1075,IFERROR(INDEX(CONFIG!$D$4:$D$63,MATCH($M1075,CONFIG!$A$4:$A$63,0)),3)))</f>
        <v/>
      </c>
      <c r="Y1075" s="47" t="n"/>
      <c r="Z1075" s="24">
        <f>IF($B1075="","",IF($Y1075&lt;&gt;"",$Y1075-$B1075,TODAY()-$B1075))</f>
        <v/>
      </c>
      <c r="AA1075" s="28">
        <f>IF($B1075="","",IF(IFERROR(INDEX(CONFIG!$L$4:$L$63,MATCH($V1075,CONFIG!$K$4:$K$63,0)),"NO")="SÍ",IF(OR($Y1075="",$X1075=""),"Resuelta",IF($Y1075&gt;$X1075,"Resuelta tarde","Resuelta a tiempo")),IF($X1075="","Sin clasificar",IF(TODAY()&gt;$X1075,"Vencida",IF(TODAY()&gt;=$X1075-1,"Por vencer","En plazo")))))</f>
        <v/>
      </c>
      <c r="AB1075" s="50" t="n"/>
      <c r="AC1075" s="50" t="n"/>
    </row>
    <row r="1076" ht="16" customHeight="1">
      <c r="A1076" s="28">
        <f>IF($B1076="","","N-"&amp;TEXT(ROW()-3,"0000"))</f>
        <v/>
      </c>
      <c r="B1076" s="47" t="n"/>
      <c r="C1076" s="48" t="n"/>
      <c r="D1076" s="48" t="n"/>
      <c r="E1076" s="28">
        <f>IF($C1076="","",IF($D1076="",IF($C1076="Interna","Sin guía (interna)","FALTA GUÍA"),IF(COUNTIFS(ENVIOS!$A$4:$A$3003,$D1076)=0,"NO EXISTE",IF(COUNTIFS(ENVIOS!$A$4:$A$3003,$D1076)&gt;1,"DUPLICADA","OK"))))</f>
        <v/>
      </c>
      <c r="F1076" s="28">
        <f>IF($D1076="","",IFERROR(INDEX(ENVIOS!$B$4:$B$3003,MATCH($D1076,ENVIOS!$A$4:$A$3003,0)),"—"))</f>
        <v/>
      </c>
      <c r="G1076" s="23">
        <f>IF($D1076="","",IFERROR(INDEX(ENVIOS!$D$4:$D$3003,MATCH($D1076,ENVIOS!$A$4:$A$3003,0)),"—"))</f>
        <v/>
      </c>
      <c r="H1076" s="23">
        <f>IF($D1076="","",IFERROR(INDEX(ENVIOS!$E$4:$E$3003,MATCH($D1076,ENVIOS!$A$4:$A$3003,0)),"—"))</f>
        <v/>
      </c>
      <c r="I1076" s="23">
        <f>IF($D1076="","",IFERROR(INDEX(ENVIOS!$F$4:$F$3003,MATCH($D1076,ENVIOS!$A$4:$A$3003,0)),"—"))</f>
        <v/>
      </c>
      <c r="J1076" s="23">
        <f>IF($D1076="","",IFERROR(INDEX(ENVIOS!$G$4:$G$3003,MATCH($D1076,ENVIOS!$A$4:$A$3003,0)),"—"))</f>
        <v/>
      </c>
      <c r="K1076" s="28">
        <f>IF($D1076="","",IFERROR(INDEX(ENVIOS!$H$4:$H$3003,MATCH($D1076,ENVIOS!$A$4:$A$3003,0)),"—"))</f>
        <v/>
      </c>
      <c r="L1076" s="49">
        <f>IF($D1076="","",IFERROR(INDEX(ENVIOS!$C$4:$C$3003,MATCH($D1076,ENVIOS!$A$4:$A$3003,0)),""))</f>
        <v/>
      </c>
      <c r="M1076" s="50" t="n"/>
      <c r="N1076" s="28">
        <f>IF($M1076="","",IFERROR(INDEX(CONFIG!$C$4:$C$63,MATCH($M1076,CONFIG!$A$4:$A$63,0)),"Media"))</f>
        <v/>
      </c>
      <c r="O1076" s="28">
        <f>IF($M1076="","",IF($C1076="Interna","NO",IFERROR(INDEX(CONFIG!$E$4:$E$63,MATCH($M1076,CONFIG!$A$4:$A$63,0)),"NO")))</f>
        <v/>
      </c>
      <c r="P1076" s="50" t="n"/>
      <c r="Q1076" s="50" t="n"/>
      <c r="R1076" s="28">
        <f>IF($Q1076="","",IFERROR(INDEX(CONFIG!$H$4:$H$63,MATCH($Q1076,CONFIG!$G$4:$G$63,0)),"Por definir"))</f>
        <v/>
      </c>
      <c r="S1076" s="28">
        <f>IF($Q1076="","",IFERROR(INDEX(CONFIG!$I$4:$I$63,MATCH($Q1076,CONFIG!$G$4:$G$63,0)),"Por definir"))</f>
        <v/>
      </c>
      <c r="T1076" s="51" t="n"/>
      <c r="U1076" s="52" t="n"/>
      <c r="V1076" s="50" t="n"/>
      <c r="W1076" s="50" t="n"/>
      <c r="X1076" s="49">
        <f>IF(OR($B1076="",$M1076=""),"",WORKDAY($B1076,IFERROR(INDEX(CONFIG!$D$4:$D$63,MATCH($M1076,CONFIG!$A$4:$A$63,0)),3)))</f>
        <v/>
      </c>
      <c r="Y1076" s="47" t="n"/>
      <c r="Z1076" s="24">
        <f>IF($B1076="","",IF($Y1076&lt;&gt;"",$Y1076-$B1076,TODAY()-$B1076))</f>
        <v/>
      </c>
      <c r="AA1076" s="28">
        <f>IF($B1076="","",IF(IFERROR(INDEX(CONFIG!$L$4:$L$63,MATCH($V1076,CONFIG!$K$4:$K$63,0)),"NO")="SÍ",IF(OR($Y1076="",$X1076=""),"Resuelta",IF($Y1076&gt;$X1076,"Resuelta tarde","Resuelta a tiempo")),IF($X1076="","Sin clasificar",IF(TODAY()&gt;$X1076,"Vencida",IF(TODAY()&gt;=$X1076-1,"Por vencer","En plazo")))))</f>
        <v/>
      </c>
      <c r="AB1076" s="50" t="n"/>
      <c r="AC1076" s="50" t="n"/>
    </row>
    <row r="1077" ht="16" customHeight="1">
      <c r="A1077" s="28">
        <f>IF($B1077="","","N-"&amp;TEXT(ROW()-3,"0000"))</f>
        <v/>
      </c>
      <c r="B1077" s="47" t="n"/>
      <c r="C1077" s="48" t="n"/>
      <c r="D1077" s="48" t="n"/>
      <c r="E1077" s="28">
        <f>IF($C1077="","",IF($D1077="",IF($C1077="Interna","Sin guía (interna)","FALTA GUÍA"),IF(COUNTIFS(ENVIOS!$A$4:$A$3003,$D1077)=0,"NO EXISTE",IF(COUNTIFS(ENVIOS!$A$4:$A$3003,$D1077)&gt;1,"DUPLICADA","OK"))))</f>
        <v/>
      </c>
      <c r="F1077" s="28">
        <f>IF($D1077="","",IFERROR(INDEX(ENVIOS!$B$4:$B$3003,MATCH($D1077,ENVIOS!$A$4:$A$3003,0)),"—"))</f>
        <v/>
      </c>
      <c r="G1077" s="23">
        <f>IF($D1077="","",IFERROR(INDEX(ENVIOS!$D$4:$D$3003,MATCH($D1077,ENVIOS!$A$4:$A$3003,0)),"—"))</f>
        <v/>
      </c>
      <c r="H1077" s="23">
        <f>IF($D1077="","",IFERROR(INDEX(ENVIOS!$E$4:$E$3003,MATCH($D1077,ENVIOS!$A$4:$A$3003,0)),"—"))</f>
        <v/>
      </c>
      <c r="I1077" s="23">
        <f>IF($D1077="","",IFERROR(INDEX(ENVIOS!$F$4:$F$3003,MATCH($D1077,ENVIOS!$A$4:$A$3003,0)),"—"))</f>
        <v/>
      </c>
      <c r="J1077" s="23">
        <f>IF($D1077="","",IFERROR(INDEX(ENVIOS!$G$4:$G$3003,MATCH($D1077,ENVIOS!$A$4:$A$3003,0)),"—"))</f>
        <v/>
      </c>
      <c r="K1077" s="28">
        <f>IF($D1077="","",IFERROR(INDEX(ENVIOS!$H$4:$H$3003,MATCH($D1077,ENVIOS!$A$4:$A$3003,0)),"—"))</f>
        <v/>
      </c>
      <c r="L1077" s="49">
        <f>IF($D1077="","",IFERROR(INDEX(ENVIOS!$C$4:$C$3003,MATCH($D1077,ENVIOS!$A$4:$A$3003,0)),""))</f>
        <v/>
      </c>
      <c r="M1077" s="50" t="n"/>
      <c r="N1077" s="28">
        <f>IF($M1077="","",IFERROR(INDEX(CONFIG!$C$4:$C$63,MATCH($M1077,CONFIG!$A$4:$A$63,0)),"Media"))</f>
        <v/>
      </c>
      <c r="O1077" s="28">
        <f>IF($M1077="","",IF($C1077="Interna","NO",IFERROR(INDEX(CONFIG!$E$4:$E$63,MATCH($M1077,CONFIG!$A$4:$A$63,0)),"NO")))</f>
        <v/>
      </c>
      <c r="P1077" s="50" t="n"/>
      <c r="Q1077" s="50" t="n"/>
      <c r="R1077" s="28">
        <f>IF($Q1077="","",IFERROR(INDEX(CONFIG!$H$4:$H$63,MATCH($Q1077,CONFIG!$G$4:$G$63,0)),"Por definir"))</f>
        <v/>
      </c>
      <c r="S1077" s="28">
        <f>IF($Q1077="","",IFERROR(INDEX(CONFIG!$I$4:$I$63,MATCH($Q1077,CONFIG!$G$4:$G$63,0)),"Por definir"))</f>
        <v/>
      </c>
      <c r="T1077" s="51" t="n"/>
      <c r="U1077" s="52" t="n"/>
      <c r="V1077" s="50" t="n"/>
      <c r="W1077" s="50" t="n"/>
      <c r="X1077" s="49">
        <f>IF(OR($B1077="",$M1077=""),"",WORKDAY($B1077,IFERROR(INDEX(CONFIG!$D$4:$D$63,MATCH($M1077,CONFIG!$A$4:$A$63,0)),3)))</f>
        <v/>
      </c>
      <c r="Y1077" s="47" t="n"/>
      <c r="Z1077" s="24">
        <f>IF($B1077="","",IF($Y1077&lt;&gt;"",$Y1077-$B1077,TODAY()-$B1077))</f>
        <v/>
      </c>
      <c r="AA1077" s="28">
        <f>IF($B1077="","",IF(IFERROR(INDEX(CONFIG!$L$4:$L$63,MATCH($V1077,CONFIG!$K$4:$K$63,0)),"NO")="SÍ",IF(OR($Y1077="",$X1077=""),"Resuelta",IF($Y1077&gt;$X1077,"Resuelta tarde","Resuelta a tiempo")),IF($X1077="","Sin clasificar",IF(TODAY()&gt;$X1077,"Vencida",IF(TODAY()&gt;=$X1077-1,"Por vencer","En plazo")))))</f>
        <v/>
      </c>
      <c r="AB1077" s="50" t="n"/>
      <c r="AC1077" s="50" t="n"/>
    </row>
    <row r="1078" ht="16" customHeight="1">
      <c r="A1078" s="28">
        <f>IF($B1078="","","N-"&amp;TEXT(ROW()-3,"0000"))</f>
        <v/>
      </c>
      <c r="B1078" s="47" t="n"/>
      <c r="C1078" s="48" t="n"/>
      <c r="D1078" s="48" t="n"/>
      <c r="E1078" s="28">
        <f>IF($C1078="","",IF($D1078="",IF($C1078="Interna","Sin guía (interna)","FALTA GUÍA"),IF(COUNTIFS(ENVIOS!$A$4:$A$3003,$D1078)=0,"NO EXISTE",IF(COUNTIFS(ENVIOS!$A$4:$A$3003,$D1078)&gt;1,"DUPLICADA","OK"))))</f>
        <v/>
      </c>
      <c r="F1078" s="28">
        <f>IF($D1078="","",IFERROR(INDEX(ENVIOS!$B$4:$B$3003,MATCH($D1078,ENVIOS!$A$4:$A$3003,0)),"—"))</f>
        <v/>
      </c>
      <c r="G1078" s="23">
        <f>IF($D1078="","",IFERROR(INDEX(ENVIOS!$D$4:$D$3003,MATCH($D1078,ENVIOS!$A$4:$A$3003,0)),"—"))</f>
        <v/>
      </c>
      <c r="H1078" s="23">
        <f>IF($D1078="","",IFERROR(INDEX(ENVIOS!$E$4:$E$3003,MATCH($D1078,ENVIOS!$A$4:$A$3003,0)),"—"))</f>
        <v/>
      </c>
      <c r="I1078" s="23">
        <f>IF($D1078="","",IFERROR(INDEX(ENVIOS!$F$4:$F$3003,MATCH($D1078,ENVIOS!$A$4:$A$3003,0)),"—"))</f>
        <v/>
      </c>
      <c r="J1078" s="23">
        <f>IF($D1078="","",IFERROR(INDEX(ENVIOS!$G$4:$G$3003,MATCH($D1078,ENVIOS!$A$4:$A$3003,0)),"—"))</f>
        <v/>
      </c>
      <c r="K1078" s="28">
        <f>IF($D1078="","",IFERROR(INDEX(ENVIOS!$H$4:$H$3003,MATCH($D1078,ENVIOS!$A$4:$A$3003,0)),"—"))</f>
        <v/>
      </c>
      <c r="L1078" s="49">
        <f>IF($D1078="","",IFERROR(INDEX(ENVIOS!$C$4:$C$3003,MATCH($D1078,ENVIOS!$A$4:$A$3003,0)),""))</f>
        <v/>
      </c>
      <c r="M1078" s="50" t="n"/>
      <c r="N1078" s="28">
        <f>IF($M1078="","",IFERROR(INDEX(CONFIG!$C$4:$C$63,MATCH($M1078,CONFIG!$A$4:$A$63,0)),"Media"))</f>
        <v/>
      </c>
      <c r="O1078" s="28">
        <f>IF($M1078="","",IF($C1078="Interna","NO",IFERROR(INDEX(CONFIG!$E$4:$E$63,MATCH($M1078,CONFIG!$A$4:$A$63,0)),"NO")))</f>
        <v/>
      </c>
      <c r="P1078" s="50" t="n"/>
      <c r="Q1078" s="50" t="n"/>
      <c r="R1078" s="28">
        <f>IF($Q1078="","",IFERROR(INDEX(CONFIG!$H$4:$H$63,MATCH($Q1078,CONFIG!$G$4:$G$63,0)),"Por definir"))</f>
        <v/>
      </c>
      <c r="S1078" s="28">
        <f>IF($Q1078="","",IFERROR(INDEX(CONFIG!$I$4:$I$63,MATCH($Q1078,CONFIG!$G$4:$G$63,0)),"Por definir"))</f>
        <v/>
      </c>
      <c r="T1078" s="51" t="n"/>
      <c r="U1078" s="52" t="n"/>
      <c r="V1078" s="50" t="n"/>
      <c r="W1078" s="50" t="n"/>
      <c r="X1078" s="49">
        <f>IF(OR($B1078="",$M1078=""),"",WORKDAY($B1078,IFERROR(INDEX(CONFIG!$D$4:$D$63,MATCH($M1078,CONFIG!$A$4:$A$63,0)),3)))</f>
        <v/>
      </c>
      <c r="Y1078" s="47" t="n"/>
      <c r="Z1078" s="24">
        <f>IF($B1078="","",IF($Y1078&lt;&gt;"",$Y1078-$B1078,TODAY()-$B1078))</f>
        <v/>
      </c>
      <c r="AA1078" s="28">
        <f>IF($B1078="","",IF(IFERROR(INDEX(CONFIG!$L$4:$L$63,MATCH($V1078,CONFIG!$K$4:$K$63,0)),"NO")="SÍ",IF(OR($Y1078="",$X1078=""),"Resuelta",IF($Y1078&gt;$X1078,"Resuelta tarde","Resuelta a tiempo")),IF($X1078="","Sin clasificar",IF(TODAY()&gt;$X1078,"Vencida",IF(TODAY()&gt;=$X1078-1,"Por vencer","En plazo")))))</f>
        <v/>
      </c>
      <c r="AB1078" s="50" t="n"/>
      <c r="AC1078" s="50" t="n"/>
    </row>
    <row r="1079" ht="16" customHeight="1">
      <c r="A1079" s="28">
        <f>IF($B1079="","","N-"&amp;TEXT(ROW()-3,"0000"))</f>
        <v/>
      </c>
      <c r="B1079" s="47" t="n"/>
      <c r="C1079" s="48" t="n"/>
      <c r="D1079" s="48" t="n"/>
      <c r="E1079" s="28">
        <f>IF($C1079="","",IF($D1079="",IF($C1079="Interna","Sin guía (interna)","FALTA GUÍA"),IF(COUNTIFS(ENVIOS!$A$4:$A$3003,$D1079)=0,"NO EXISTE",IF(COUNTIFS(ENVIOS!$A$4:$A$3003,$D1079)&gt;1,"DUPLICADA","OK"))))</f>
        <v/>
      </c>
      <c r="F1079" s="28">
        <f>IF($D1079="","",IFERROR(INDEX(ENVIOS!$B$4:$B$3003,MATCH($D1079,ENVIOS!$A$4:$A$3003,0)),"—"))</f>
        <v/>
      </c>
      <c r="G1079" s="23">
        <f>IF($D1079="","",IFERROR(INDEX(ENVIOS!$D$4:$D$3003,MATCH($D1079,ENVIOS!$A$4:$A$3003,0)),"—"))</f>
        <v/>
      </c>
      <c r="H1079" s="23">
        <f>IF($D1079="","",IFERROR(INDEX(ENVIOS!$E$4:$E$3003,MATCH($D1079,ENVIOS!$A$4:$A$3003,0)),"—"))</f>
        <v/>
      </c>
      <c r="I1079" s="23">
        <f>IF($D1079="","",IFERROR(INDEX(ENVIOS!$F$4:$F$3003,MATCH($D1079,ENVIOS!$A$4:$A$3003,0)),"—"))</f>
        <v/>
      </c>
      <c r="J1079" s="23">
        <f>IF($D1079="","",IFERROR(INDEX(ENVIOS!$G$4:$G$3003,MATCH($D1079,ENVIOS!$A$4:$A$3003,0)),"—"))</f>
        <v/>
      </c>
      <c r="K1079" s="28">
        <f>IF($D1079="","",IFERROR(INDEX(ENVIOS!$H$4:$H$3003,MATCH($D1079,ENVIOS!$A$4:$A$3003,0)),"—"))</f>
        <v/>
      </c>
      <c r="L1079" s="49">
        <f>IF($D1079="","",IFERROR(INDEX(ENVIOS!$C$4:$C$3003,MATCH($D1079,ENVIOS!$A$4:$A$3003,0)),""))</f>
        <v/>
      </c>
      <c r="M1079" s="50" t="n"/>
      <c r="N1079" s="28">
        <f>IF($M1079="","",IFERROR(INDEX(CONFIG!$C$4:$C$63,MATCH($M1079,CONFIG!$A$4:$A$63,0)),"Media"))</f>
        <v/>
      </c>
      <c r="O1079" s="28">
        <f>IF($M1079="","",IF($C1079="Interna","NO",IFERROR(INDEX(CONFIG!$E$4:$E$63,MATCH($M1079,CONFIG!$A$4:$A$63,0)),"NO")))</f>
        <v/>
      </c>
      <c r="P1079" s="50" t="n"/>
      <c r="Q1079" s="50" t="n"/>
      <c r="R1079" s="28">
        <f>IF($Q1079="","",IFERROR(INDEX(CONFIG!$H$4:$H$63,MATCH($Q1079,CONFIG!$G$4:$G$63,0)),"Por definir"))</f>
        <v/>
      </c>
      <c r="S1079" s="28">
        <f>IF($Q1079="","",IFERROR(INDEX(CONFIG!$I$4:$I$63,MATCH($Q1079,CONFIG!$G$4:$G$63,0)),"Por definir"))</f>
        <v/>
      </c>
      <c r="T1079" s="51" t="n"/>
      <c r="U1079" s="52" t="n"/>
      <c r="V1079" s="50" t="n"/>
      <c r="W1079" s="50" t="n"/>
      <c r="X1079" s="49">
        <f>IF(OR($B1079="",$M1079=""),"",WORKDAY($B1079,IFERROR(INDEX(CONFIG!$D$4:$D$63,MATCH($M1079,CONFIG!$A$4:$A$63,0)),3)))</f>
        <v/>
      </c>
      <c r="Y1079" s="47" t="n"/>
      <c r="Z1079" s="24">
        <f>IF($B1079="","",IF($Y1079&lt;&gt;"",$Y1079-$B1079,TODAY()-$B1079))</f>
        <v/>
      </c>
      <c r="AA1079" s="28">
        <f>IF($B1079="","",IF(IFERROR(INDEX(CONFIG!$L$4:$L$63,MATCH($V1079,CONFIG!$K$4:$K$63,0)),"NO")="SÍ",IF(OR($Y1079="",$X1079=""),"Resuelta",IF($Y1079&gt;$X1079,"Resuelta tarde","Resuelta a tiempo")),IF($X1079="","Sin clasificar",IF(TODAY()&gt;$X1079,"Vencida",IF(TODAY()&gt;=$X1079-1,"Por vencer","En plazo")))))</f>
        <v/>
      </c>
      <c r="AB1079" s="50" t="n"/>
      <c r="AC1079" s="50" t="n"/>
    </row>
    <row r="1080" ht="16" customHeight="1">
      <c r="A1080" s="28">
        <f>IF($B1080="","","N-"&amp;TEXT(ROW()-3,"0000"))</f>
        <v/>
      </c>
      <c r="B1080" s="47" t="n"/>
      <c r="C1080" s="48" t="n"/>
      <c r="D1080" s="48" t="n"/>
      <c r="E1080" s="28">
        <f>IF($C1080="","",IF($D1080="",IF($C1080="Interna","Sin guía (interna)","FALTA GUÍA"),IF(COUNTIFS(ENVIOS!$A$4:$A$3003,$D1080)=0,"NO EXISTE",IF(COUNTIFS(ENVIOS!$A$4:$A$3003,$D1080)&gt;1,"DUPLICADA","OK"))))</f>
        <v/>
      </c>
      <c r="F1080" s="28">
        <f>IF($D1080="","",IFERROR(INDEX(ENVIOS!$B$4:$B$3003,MATCH($D1080,ENVIOS!$A$4:$A$3003,0)),"—"))</f>
        <v/>
      </c>
      <c r="G1080" s="23">
        <f>IF($D1080="","",IFERROR(INDEX(ENVIOS!$D$4:$D$3003,MATCH($D1080,ENVIOS!$A$4:$A$3003,0)),"—"))</f>
        <v/>
      </c>
      <c r="H1080" s="23">
        <f>IF($D1080="","",IFERROR(INDEX(ENVIOS!$E$4:$E$3003,MATCH($D1080,ENVIOS!$A$4:$A$3003,0)),"—"))</f>
        <v/>
      </c>
      <c r="I1080" s="23">
        <f>IF($D1080="","",IFERROR(INDEX(ENVIOS!$F$4:$F$3003,MATCH($D1080,ENVIOS!$A$4:$A$3003,0)),"—"))</f>
        <v/>
      </c>
      <c r="J1080" s="23">
        <f>IF($D1080="","",IFERROR(INDEX(ENVIOS!$G$4:$G$3003,MATCH($D1080,ENVIOS!$A$4:$A$3003,0)),"—"))</f>
        <v/>
      </c>
      <c r="K1080" s="28">
        <f>IF($D1080="","",IFERROR(INDEX(ENVIOS!$H$4:$H$3003,MATCH($D1080,ENVIOS!$A$4:$A$3003,0)),"—"))</f>
        <v/>
      </c>
      <c r="L1080" s="49">
        <f>IF($D1080="","",IFERROR(INDEX(ENVIOS!$C$4:$C$3003,MATCH($D1080,ENVIOS!$A$4:$A$3003,0)),""))</f>
        <v/>
      </c>
      <c r="M1080" s="50" t="n"/>
      <c r="N1080" s="28">
        <f>IF($M1080="","",IFERROR(INDEX(CONFIG!$C$4:$C$63,MATCH($M1080,CONFIG!$A$4:$A$63,0)),"Media"))</f>
        <v/>
      </c>
      <c r="O1080" s="28">
        <f>IF($M1080="","",IF($C1080="Interna","NO",IFERROR(INDEX(CONFIG!$E$4:$E$63,MATCH($M1080,CONFIG!$A$4:$A$63,0)),"NO")))</f>
        <v/>
      </c>
      <c r="P1080" s="50" t="n"/>
      <c r="Q1080" s="50" t="n"/>
      <c r="R1080" s="28">
        <f>IF($Q1080="","",IFERROR(INDEX(CONFIG!$H$4:$H$63,MATCH($Q1080,CONFIG!$G$4:$G$63,0)),"Por definir"))</f>
        <v/>
      </c>
      <c r="S1080" s="28">
        <f>IF($Q1080="","",IFERROR(INDEX(CONFIG!$I$4:$I$63,MATCH($Q1080,CONFIG!$G$4:$G$63,0)),"Por definir"))</f>
        <v/>
      </c>
      <c r="T1080" s="51" t="n"/>
      <c r="U1080" s="52" t="n"/>
      <c r="V1080" s="50" t="n"/>
      <c r="W1080" s="50" t="n"/>
      <c r="X1080" s="49">
        <f>IF(OR($B1080="",$M1080=""),"",WORKDAY($B1080,IFERROR(INDEX(CONFIG!$D$4:$D$63,MATCH($M1080,CONFIG!$A$4:$A$63,0)),3)))</f>
        <v/>
      </c>
      <c r="Y1080" s="47" t="n"/>
      <c r="Z1080" s="24">
        <f>IF($B1080="","",IF($Y1080&lt;&gt;"",$Y1080-$B1080,TODAY()-$B1080))</f>
        <v/>
      </c>
      <c r="AA1080" s="28">
        <f>IF($B1080="","",IF(IFERROR(INDEX(CONFIG!$L$4:$L$63,MATCH($V1080,CONFIG!$K$4:$K$63,0)),"NO")="SÍ",IF(OR($Y1080="",$X1080=""),"Resuelta",IF($Y1080&gt;$X1080,"Resuelta tarde","Resuelta a tiempo")),IF($X1080="","Sin clasificar",IF(TODAY()&gt;$X1080,"Vencida",IF(TODAY()&gt;=$X1080-1,"Por vencer","En plazo")))))</f>
        <v/>
      </c>
      <c r="AB1080" s="50" t="n"/>
      <c r="AC1080" s="50" t="n"/>
    </row>
    <row r="1081" ht="16" customHeight="1">
      <c r="A1081" s="28">
        <f>IF($B1081="","","N-"&amp;TEXT(ROW()-3,"0000"))</f>
        <v/>
      </c>
      <c r="B1081" s="47" t="n"/>
      <c r="C1081" s="48" t="n"/>
      <c r="D1081" s="48" t="n"/>
      <c r="E1081" s="28">
        <f>IF($C1081="","",IF($D1081="",IF($C1081="Interna","Sin guía (interna)","FALTA GUÍA"),IF(COUNTIFS(ENVIOS!$A$4:$A$3003,$D1081)=0,"NO EXISTE",IF(COUNTIFS(ENVIOS!$A$4:$A$3003,$D1081)&gt;1,"DUPLICADA","OK"))))</f>
        <v/>
      </c>
      <c r="F1081" s="28">
        <f>IF($D1081="","",IFERROR(INDEX(ENVIOS!$B$4:$B$3003,MATCH($D1081,ENVIOS!$A$4:$A$3003,0)),"—"))</f>
        <v/>
      </c>
      <c r="G1081" s="23">
        <f>IF($D1081="","",IFERROR(INDEX(ENVIOS!$D$4:$D$3003,MATCH($D1081,ENVIOS!$A$4:$A$3003,0)),"—"))</f>
        <v/>
      </c>
      <c r="H1081" s="23">
        <f>IF($D1081="","",IFERROR(INDEX(ENVIOS!$E$4:$E$3003,MATCH($D1081,ENVIOS!$A$4:$A$3003,0)),"—"))</f>
        <v/>
      </c>
      <c r="I1081" s="23">
        <f>IF($D1081="","",IFERROR(INDEX(ENVIOS!$F$4:$F$3003,MATCH($D1081,ENVIOS!$A$4:$A$3003,0)),"—"))</f>
        <v/>
      </c>
      <c r="J1081" s="23">
        <f>IF($D1081="","",IFERROR(INDEX(ENVIOS!$G$4:$G$3003,MATCH($D1081,ENVIOS!$A$4:$A$3003,0)),"—"))</f>
        <v/>
      </c>
      <c r="K1081" s="28">
        <f>IF($D1081="","",IFERROR(INDEX(ENVIOS!$H$4:$H$3003,MATCH($D1081,ENVIOS!$A$4:$A$3003,0)),"—"))</f>
        <v/>
      </c>
      <c r="L1081" s="49">
        <f>IF($D1081="","",IFERROR(INDEX(ENVIOS!$C$4:$C$3003,MATCH($D1081,ENVIOS!$A$4:$A$3003,0)),""))</f>
        <v/>
      </c>
      <c r="M1081" s="50" t="n"/>
      <c r="N1081" s="28">
        <f>IF($M1081="","",IFERROR(INDEX(CONFIG!$C$4:$C$63,MATCH($M1081,CONFIG!$A$4:$A$63,0)),"Media"))</f>
        <v/>
      </c>
      <c r="O1081" s="28">
        <f>IF($M1081="","",IF($C1081="Interna","NO",IFERROR(INDEX(CONFIG!$E$4:$E$63,MATCH($M1081,CONFIG!$A$4:$A$63,0)),"NO")))</f>
        <v/>
      </c>
      <c r="P1081" s="50" t="n"/>
      <c r="Q1081" s="50" t="n"/>
      <c r="R1081" s="28">
        <f>IF($Q1081="","",IFERROR(INDEX(CONFIG!$H$4:$H$63,MATCH($Q1081,CONFIG!$G$4:$G$63,0)),"Por definir"))</f>
        <v/>
      </c>
      <c r="S1081" s="28">
        <f>IF($Q1081="","",IFERROR(INDEX(CONFIG!$I$4:$I$63,MATCH($Q1081,CONFIG!$G$4:$G$63,0)),"Por definir"))</f>
        <v/>
      </c>
      <c r="T1081" s="51" t="n"/>
      <c r="U1081" s="52" t="n"/>
      <c r="V1081" s="50" t="n"/>
      <c r="W1081" s="50" t="n"/>
      <c r="X1081" s="49">
        <f>IF(OR($B1081="",$M1081=""),"",WORKDAY($B1081,IFERROR(INDEX(CONFIG!$D$4:$D$63,MATCH($M1081,CONFIG!$A$4:$A$63,0)),3)))</f>
        <v/>
      </c>
      <c r="Y1081" s="47" t="n"/>
      <c r="Z1081" s="24">
        <f>IF($B1081="","",IF($Y1081&lt;&gt;"",$Y1081-$B1081,TODAY()-$B1081))</f>
        <v/>
      </c>
      <c r="AA1081" s="28">
        <f>IF($B1081="","",IF(IFERROR(INDEX(CONFIG!$L$4:$L$63,MATCH($V1081,CONFIG!$K$4:$K$63,0)),"NO")="SÍ",IF(OR($Y1081="",$X1081=""),"Resuelta",IF($Y1081&gt;$X1081,"Resuelta tarde","Resuelta a tiempo")),IF($X1081="","Sin clasificar",IF(TODAY()&gt;$X1081,"Vencida",IF(TODAY()&gt;=$X1081-1,"Por vencer","En plazo")))))</f>
        <v/>
      </c>
      <c r="AB1081" s="50" t="n"/>
      <c r="AC1081" s="50" t="n"/>
    </row>
    <row r="1082" ht="16" customHeight="1">
      <c r="A1082" s="28">
        <f>IF($B1082="","","N-"&amp;TEXT(ROW()-3,"0000"))</f>
        <v/>
      </c>
      <c r="B1082" s="47" t="n"/>
      <c r="C1082" s="48" t="n"/>
      <c r="D1082" s="48" t="n"/>
      <c r="E1082" s="28">
        <f>IF($C1082="","",IF($D1082="",IF($C1082="Interna","Sin guía (interna)","FALTA GUÍA"),IF(COUNTIFS(ENVIOS!$A$4:$A$3003,$D1082)=0,"NO EXISTE",IF(COUNTIFS(ENVIOS!$A$4:$A$3003,$D1082)&gt;1,"DUPLICADA","OK"))))</f>
        <v/>
      </c>
      <c r="F1082" s="28">
        <f>IF($D1082="","",IFERROR(INDEX(ENVIOS!$B$4:$B$3003,MATCH($D1082,ENVIOS!$A$4:$A$3003,0)),"—"))</f>
        <v/>
      </c>
      <c r="G1082" s="23">
        <f>IF($D1082="","",IFERROR(INDEX(ENVIOS!$D$4:$D$3003,MATCH($D1082,ENVIOS!$A$4:$A$3003,0)),"—"))</f>
        <v/>
      </c>
      <c r="H1082" s="23">
        <f>IF($D1082="","",IFERROR(INDEX(ENVIOS!$E$4:$E$3003,MATCH($D1082,ENVIOS!$A$4:$A$3003,0)),"—"))</f>
        <v/>
      </c>
      <c r="I1082" s="23">
        <f>IF($D1082="","",IFERROR(INDEX(ENVIOS!$F$4:$F$3003,MATCH($D1082,ENVIOS!$A$4:$A$3003,0)),"—"))</f>
        <v/>
      </c>
      <c r="J1082" s="23">
        <f>IF($D1082="","",IFERROR(INDEX(ENVIOS!$G$4:$G$3003,MATCH($D1082,ENVIOS!$A$4:$A$3003,0)),"—"))</f>
        <v/>
      </c>
      <c r="K1082" s="28">
        <f>IF($D1082="","",IFERROR(INDEX(ENVIOS!$H$4:$H$3003,MATCH($D1082,ENVIOS!$A$4:$A$3003,0)),"—"))</f>
        <v/>
      </c>
      <c r="L1082" s="49">
        <f>IF($D1082="","",IFERROR(INDEX(ENVIOS!$C$4:$C$3003,MATCH($D1082,ENVIOS!$A$4:$A$3003,0)),""))</f>
        <v/>
      </c>
      <c r="M1082" s="50" t="n"/>
      <c r="N1082" s="28">
        <f>IF($M1082="","",IFERROR(INDEX(CONFIG!$C$4:$C$63,MATCH($M1082,CONFIG!$A$4:$A$63,0)),"Media"))</f>
        <v/>
      </c>
      <c r="O1082" s="28">
        <f>IF($M1082="","",IF($C1082="Interna","NO",IFERROR(INDEX(CONFIG!$E$4:$E$63,MATCH($M1082,CONFIG!$A$4:$A$63,0)),"NO")))</f>
        <v/>
      </c>
      <c r="P1082" s="50" t="n"/>
      <c r="Q1082" s="50" t="n"/>
      <c r="R1082" s="28">
        <f>IF($Q1082="","",IFERROR(INDEX(CONFIG!$H$4:$H$63,MATCH($Q1082,CONFIG!$G$4:$G$63,0)),"Por definir"))</f>
        <v/>
      </c>
      <c r="S1082" s="28">
        <f>IF($Q1082="","",IFERROR(INDEX(CONFIG!$I$4:$I$63,MATCH($Q1082,CONFIG!$G$4:$G$63,0)),"Por definir"))</f>
        <v/>
      </c>
      <c r="T1082" s="51" t="n"/>
      <c r="U1082" s="52" t="n"/>
      <c r="V1082" s="50" t="n"/>
      <c r="W1082" s="50" t="n"/>
      <c r="X1082" s="49">
        <f>IF(OR($B1082="",$M1082=""),"",WORKDAY($B1082,IFERROR(INDEX(CONFIG!$D$4:$D$63,MATCH($M1082,CONFIG!$A$4:$A$63,0)),3)))</f>
        <v/>
      </c>
      <c r="Y1082" s="47" t="n"/>
      <c r="Z1082" s="24">
        <f>IF($B1082="","",IF($Y1082&lt;&gt;"",$Y1082-$B1082,TODAY()-$B1082))</f>
        <v/>
      </c>
      <c r="AA1082" s="28">
        <f>IF($B1082="","",IF(IFERROR(INDEX(CONFIG!$L$4:$L$63,MATCH($V1082,CONFIG!$K$4:$K$63,0)),"NO")="SÍ",IF(OR($Y1082="",$X1082=""),"Resuelta",IF($Y1082&gt;$X1082,"Resuelta tarde","Resuelta a tiempo")),IF($X1082="","Sin clasificar",IF(TODAY()&gt;$X1082,"Vencida",IF(TODAY()&gt;=$X1082-1,"Por vencer","En plazo")))))</f>
        <v/>
      </c>
      <c r="AB1082" s="50" t="n"/>
      <c r="AC1082" s="50" t="n"/>
    </row>
    <row r="1083" ht="16" customHeight="1">
      <c r="A1083" s="28">
        <f>IF($B1083="","","N-"&amp;TEXT(ROW()-3,"0000"))</f>
        <v/>
      </c>
      <c r="B1083" s="47" t="n"/>
      <c r="C1083" s="48" t="n"/>
      <c r="D1083" s="48" t="n"/>
      <c r="E1083" s="28">
        <f>IF($C1083="","",IF($D1083="",IF($C1083="Interna","Sin guía (interna)","FALTA GUÍA"),IF(COUNTIFS(ENVIOS!$A$4:$A$3003,$D1083)=0,"NO EXISTE",IF(COUNTIFS(ENVIOS!$A$4:$A$3003,$D1083)&gt;1,"DUPLICADA","OK"))))</f>
        <v/>
      </c>
      <c r="F1083" s="28">
        <f>IF($D1083="","",IFERROR(INDEX(ENVIOS!$B$4:$B$3003,MATCH($D1083,ENVIOS!$A$4:$A$3003,0)),"—"))</f>
        <v/>
      </c>
      <c r="G1083" s="23">
        <f>IF($D1083="","",IFERROR(INDEX(ENVIOS!$D$4:$D$3003,MATCH($D1083,ENVIOS!$A$4:$A$3003,0)),"—"))</f>
        <v/>
      </c>
      <c r="H1083" s="23">
        <f>IF($D1083="","",IFERROR(INDEX(ENVIOS!$E$4:$E$3003,MATCH($D1083,ENVIOS!$A$4:$A$3003,0)),"—"))</f>
        <v/>
      </c>
      <c r="I1083" s="23">
        <f>IF($D1083="","",IFERROR(INDEX(ENVIOS!$F$4:$F$3003,MATCH($D1083,ENVIOS!$A$4:$A$3003,0)),"—"))</f>
        <v/>
      </c>
      <c r="J1083" s="23">
        <f>IF($D1083="","",IFERROR(INDEX(ENVIOS!$G$4:$G$3003,MATCH($D1083,ENVIOS!$A$4:$A$3003,0)),"—"))</f>
        <v/>
      </c>
      <c r="K1083" s="28">
        <f>IF($D1083="","",IFERROR(INDEX(ENVIOS!$H$4:$H$3003,MATCH($D1083,ENVIOS!$A$4:$A$3003,0)),"—"))</f>
        <v/>
      </c>
      <c r="L1083" s="49">
        <f>IF($D1083="","",IFERROR(INDEX(ENVIOS!$C$4:$C$3003,MATCH($D1083,ENVIOS!$A$4:$A$3003,0)),""))</f>
        <v/>
      </c>
      <c r="M1083" s="50" t="n"/>
      <c r="N1083" s="28">
        <f>IF($M1083="","",IFERROR(INDEX(CONFIG!$C$4:$C$63,MATCH($M1083,CONFIG!$A$4:$A$63,0)),"Media"))</f>
        <v/>
      </c>
      <c r="O1083" s="28">
        <f>IF($M1083="","",IF($C1083="Interna","NO",IFERROR(INDEX(CONFIG!$E$4:$E$63,MATCH($M1083,CONFIG!$A$4:$A$63,0)),"NO")))</f>
        <v/>
      </c>
      <c r="P1083" s="50" t="n"/>
      <c r="Q1083" s="50" t="n"/>
      <c r="R1083" s="28">
        <f>IF($Q1083="","",IFERROR(INDEX(CONFIG!$H$4:$H$63,MATCH($Q1083,CONFIG!$G$4:$G$63,0)),"Por definir"))</f>
        <v/>
      </c>
      <c r="S1083" s="28">
        <f>IF($Q1083="","",IFERROR(INDEX(CONFIG!$I$4:$I$63,MATCH($Q1083,CONFIG!$G$4:$G$63,0)),"Por definir"))</f>
        <v/>
      </c>
      <c r="T1083" s="51" t="n"/>
      <c r="U1083" s="52" t="n"/>
      <c r="V1083" s="50" t="n"/>
      <c r="W1083" s="50" t="n"/>
      <c r="X1083" s="49">
        <f>IF(OR($B1083="",$M1083=""),"",WORKDAY($B1083,IFERROR(INDEX(CONFIG!$D$4:$D$63,MATCH($M1083,CONFIG!$A$4:$A$63,0)),3)))</f>
        <v/>
      </c>
      <c r="Y1083" s="47" t="n"/>
      <c r="Z1083" s="24">
        <f>IF($B1083="","",IF($Y1083&lt;&gt;"",$Y1083-$B1083,TODAY()-$B1083))</f>
        <v/>
      </c>
      <c r="AA1083" s="28">
        <f>IF($B1083="","",IF(IFERROR(INDEX(CONFIG!$L$4:$L$63,MATCH($V1083,CONFIG!$K$4:$K$63,0)),"NO")="SÍ",IF(OR($Y1083="",$X1083=""),"Resuelta",IF($Y1083&gt;$X1083,"Resuelta tarde","Resuelta a tiempo")),IF($X1083="","Sin clasificar",IF(TODAY()&gt;$X1083,"Vencida",IF(TODAY()&gt;=$X1083-1,"Por vencer","En plazo")))))</f>
        <v/>
      </c>
      <c r="AB1083" s="50" t="n"/>
      <c r="AC1083" s="50" t="n"/>
    </row>
    <row r="1084" ht="16" customHeight="1">
      <c r="A1084" s="28">
        <f>IF($B1084="","","N-"&amp;TEXT(ROW()-3,"0000"))</f>
        <v/>
      </c>
      <c r="B1084" s="47" t="n"/>
      <c r="C1084" s="48" t="n"/>
      <c r="D1084" s="48" t="n"/>
      <c r="E1084" s="28">
        <f>IF($C1084="","",IF($D1084="",IF($C1084="Interna","Sin guía (interna)","FALTA GUÍA"),IF(COUNTIFS(ENVIOS!$A$4:$A$3003,$D1084)=0,"NO EXISTE",IF(COUNTIFS(ENVIOS!$A$4:$A$3003,$D1084)&gt;1,"DUPLICADA","OK"))))</f>
        <v/>
      </c>
      <c r="F1084" s="28">
        <f>IF($D1084="","",IFERROR(INDEX(ENVIOS!$B$4:$B$3003,MATCH($D1084,ENVIOS!$A$4:$A$3003,0)),"—"))</f>
        <v/>
      </c>
      <c r="G1084" s="23">
        <f>IF($D1084="","",IFERROR(INDEX(ENVIOS!$D$4:$D$3003,MATCH($D1084,ENVIOS!$A$4:$A$3003,0)),"—"))</f>
        <v/>
      </c>
      <c r="H1084" s="23">
        <f>IF($D1084="","",IFERROR(INDEX(ENVIOS!$E$4:$E$3003,MATCH($D1084,ENVIOS!$A$4:$A$3003,0)),"—"))</f>
        <v/>
      </c>
      <c r="I1084" s="23">
        <f>IF($D1084="","",IFERROR(INDEX(ENVIOS!$F$4:$F$3003,MATCH($D1084,ENVIOS!$A$4:$A$3003,0)),"—"))</f>
        <v/>
      </c>
      <c r="J1084" s="23">
        <f>IF($D1084="","",IFERROR(INDEX(ENVIOS!$G$4:$G$3003,MATCH($D1084,ENVIOS!$A$4:$A$3003,0)),"—"))</f>
        <v/>
      </c>
      <c r="K1084" s="28">
        <f>IF($D1084="","",IFERROR(INDEX(ENVIOS!$H$4:$H$3003,MATCH($D1084,ENVIOS!$A$4:$A$3003,0)),"—"))</f>
        <v/>
      </c>
      <c r="L1084" s="49">
        <f>IF($D1084="","",IFERROR(INDEX(ENVIOS!$C$4:$C$3003,MATCH($D1084,ENVIOS!$A$4:$A$3003,0)),""))</f>
        <v/>
      </c>
      <c r="M1084" s="50" t="n"/>
      <c r="N1084" s="28">
        <f>IF($M1084="","",IFERROR(INDEX(CONFIG!$C$4:$C$63,MATCH($M1084,CONFIG!$A$4:$A$63,0)),"Media"))</f>
        <v/>
      </c>
      <c r="O1084" s="28">
        <f>IF($M1084="","",IF($C1084="Interna","NO",IFERROR(INDEX(CONFIG!$E$4:$E$63,MATCH($M1084,CONFIG!$A$4:$A$63,0)),"NO")))</f>
        <v/>
      </c>
      <c r="P1084" s="50" t="n"/>
      <c r="Q1084" s="50" t="n"/>
      <c r="R1084" s="28">
        <f>IF($Q1084="","",IFERROR(INDEX(CONFIG!$H$4:$H$63,MATCH($Q1084,CONFIG!$G$4:$G$63,0)),"Por definir"))</f>
        <v/>
      </c>
      <c r="S1084" s="28">
        <f>IF($Q1084="","",IFERROR(INDEX(CONFIG!$I$4:$I$63,MATCH($Q1084,CONFIG!$G$4:$G$63,0)),"Por definir"))</f>
        <v/>
      </c>
      <c r="T1084" s="51" t="n"/>
      <c r="U1084" s="52" t="n"/>
      <c r="V1084" s="50" t="n"/>
      <c r="W1084" s="50" t="n"/>
      <c r="X1084" s="49">
        <f>IF(OR($B1084="",$M1084=""),"",WORKDAY($B1084,IFERROR(INDEX(CONFIG!$D$4:$D$63,MATCH($M1084,CONFIG!$A$4:$A$63,0)),3)))</f>
        <v/>
      </c>
      <c r="Y1084" s="47" t="n"/>
      <c r="Z1084" s="24">
        <f>IF($B1084="","",IF($Y1084&lt;&gt;"",$Y1084-$B1084,TODAY()-$B1084))</f>
        <v/>
      </c>
      <c r="AA1084" s="28">
        <f>IF($B1084="","",IF(IFERROR(INDEX(CONFIG!$L$4:$L$63,MATCH($V1084,CONFIG!$K$4:$K$63,0)),"NO")="SÍ",IF(OR($Y1084="",$X1084=""),"Resuelta",IF($Y1084&gt;$X1084,"Resuelta tarde","Resuelta a tiempo")),IF($X1084="","Sin clasificar",IF(TODAY()&gt;$X1084,"Vencida",IF(TODAY()&gt;=$X1084-1,"Por vencer","En plazo")))))</f>
        <v/>
      </c>
      <c r="AB1084" s="50" t="n"/>
      <c r="AC1084" s="50" t="n"/>
    </row>
    <row r="1085" ht="16" customHeight="1">
      <c r="A1085" s="28">
        <f>IF($B1085="","","N-"&amp;TEXT(ROW()-3,"0000"))</f>
        <v/>
      </c>
      <c r="B1085" s="47" t="n"/>
      <c r="C1085" s="48" t="n"/>
      <c r="D1085" s="48" t="n"/>
      <c r="E1085" s="28">
        <f>IF($C1085="","",IF($D1085="",IF($C1085="Interna","Sin guía (interna)","FALTA GUÍA"),IF(COUNTIFS(ENVIOS!$A$4:$A$3003,$D1085)=0,"NO EXISTE",IF(COUNTIFS(ENVIOS!$A$4:$A$3003,$D1085)&gt;1,"DUPLICADA","OK"))))</f>
        <v/>
      </c>
      <c r="F1085" s="28">
        <f>IF($D1085="","",IFERROR(INDEX(ENVIOS!$B$4:$B$3003,MATCH($D1085,ENVIOS!$A$4:$A$3003,0)),"—"))</f>
        <v/>
      </c>
      <c r="G1085" s="23">
        <f>IF($D1085="","",IFERROR(INDEX(ENVIOS!$D$4:$D$3003,MATCH($D1085,ENVIOS!$A$4:$A$3003,0)),"—"))</f>
        <v/>
      </c>
      <c r="H1085" s="23">
        <f>IF($D1085="","",IFERROR(INDEX(ENVIOS!$E$4:$E$3003,MATCH($D1085,ENVIOS!$A$4:$A$3003,0)),"—"))</f>
        <v/>
      </c>
      <c r="I1085" s="23">
        <f>IF($D1085="","",IFERROR(INDEX(ENVIOS!$F$4:$F$3003,MATCH($D1085,ENVIOS!$A$4:$A$3003,0)),"—"))</f>
        <v/>
      </c>
      <c r="J1085" s="23">
        <f>IF($D1085="","",IFERROR(INDEX(ENVIOS!$G$4:$G$3003,MATCH($D1085,ENVIOS!$A$4:$A$3003,0)),"—"))</f>
        <v/>
      </c>
      <c r="K1085" s="28">
        <f>IF($D1085="","",IFERROR(INDEX(ENVIOS!$H$4:$H$3003,MATCH($D1085,ENVIOS!$A$4:$A$3003,0)),"—"))</f>
        <v/>
      </c>
      <c r="L1085" s="49">
        <f>IF($D1085="","",IFERROR(INDEX(ENVIOS!$C$4:$C$3003,MATCH($D1085,ENVIOS!$A$4:$A$3003,0)),""))</f>
        <v/>
      </c>
      <c r="M1085" s="50" t="n"/>
      <c r="N1085" s="28">
        <f>IF($M1085="","",IFERROR(INDEX(CONFIG!$C$4:$C$63,MATCH($M1085,CONFIG!$A$4:$A$63,0)),"Media"))</f>
        <v/>
      </c>
      <c r="O1085" s="28">
        <f>IF($M1085="","",IF($C1085="Interna","NO",IFERROR(INDEX(CONFIG!$E$4:$E$63,MATCH($M1085,CONFIG!$A$4:$A$63,0)),"NO")))</f>
        <v/>
      </c>
      <c r="P1085" s="50" t="n"/>
      <c r="Q1085" s="50" t="n"/>
      <c r="R1085" s="28">
        <f>IF($Q1085="","",IFERROR(INDEX(CONFIG!$H$4:$H$63,MATCH($Q1085,CONFIG!$G$4:$G$63,0)),"Por definir"))</f>
        <v/>
      </c>
      <c r="S1085" s="28">
        <f>IF($Q1085="","",IFERROR(INDEX(CONFIG!$I$4:$I$63,MATCH($Q1085,CONFIG!$G$4:$G$63,0)),"Por definir"))</f>
        <v/>
      </c>
      <c r="T1085" s="51" t="n"/>
      <c r="U1085" s="52" t="n"/>
      <c r="V1085" s="50" t="n"/>
      <c r="W1085" s="50" t="n"/>
      <c r="X1085" s="49">
        <f>IF(OR($B1085="",$M1085=""),"",WORKDAY($B1085,IFERROR(INDEX(CONFIG!$D$4:$D$63,MATCH($M1085,CONFIG!$A$4:$A$63,0)),3)))</f>
        <v/>
      </c>
      <c r="Y1085" s="47" t="n"/>
      <c r="Z1085" s="24">
        <f>IF($B1085="","",IF($Y1085&lt;&gt;"",$Y1085-$B1085,TODAY()-$B1085))</f>
        <v/>
      </c>
      <c r="AA1085" s="28">
        <f>IF($B1085="","",IF(IFERROR(INDEX(CONFIG!$L$4:$L$63,MATCH($V1085,CONFIG!$K$4:$K$63,0)),"NO")="SÍ",IF(OR($Y1085="",$X1085=""),"Resuelta",IF($Y1085&gt;$X1085,"Resuelta tarde","Resuelta a tiempo")),IF($X1085="","Sin clasificar",IF(TODAY()&gt;$X1085,"Vencida",IF(TODAY()&gt;=$X1085-1,"Por vencer","En plazo")))))</f>
        <v/>
      </c>
      <c r="AB1085" s="50" t="n"/>
      <c r="AC1085" s="50" t="n"/>
    </row>
    <row r="1086" ht="16" customHeight="1">
      <c r="A1086" s="28">
        <f>IF($B1086="","","N-"&amp;TEXT(ROW()-3,"0000"))</f>
        <v/>
      </c>
      <c r="B1086" s="47" t="n"/>
      <c r="C1086" s="48" t="n"/>
      <c r="D1086" s="48" t="n"/>
      <c r="E1086" s="28">
        <f>IF($C1086="","",IF($D1086="",IF($C1086="Interna","Sin guía (interna)","FALTA GUÍA"),IF(COUNTIFS(ENVIOS!$A$4:$A$3003,$D1086)=0,"NO EXISTE",IF(COUNTIFS(ENVIOS!$A$4:$A$3003,$D1086)&gt;1,"DUPLICADA","OK"))))</f>
        <v/>
      </c>
      <c r="F1086" s="28">
        <f>IF($D1086="","",IFERROR(INDEX(ENVIOS!$B$4:$B$3003,MATCH($D1086,ENVIOS!$A$4:$A$3003,0)),"—"))</f>
        <v/>
      </c>
      <c r="G1086" s="23">
        <f>IF($D1086="","",IFERROR(INDEX(ENVIOS!$D$4:$D$3003,MATCH($D1086,ENVIOS!$A$4:$A$3003,0)),"—"))</f>
        <v/>
      </c>
      <c r="H1086" s="23">
        <f>IF($D1086="","",IFERROR(INDEX(ENVIOS!$E$4:$E$3003,MATCH($D1086,ENVIOS!$A$4:$A$3003,0)),"—"))</f>
        <v/>
      </c>
      <c r="I1086" s="23">
        <f>IF($D1086="","",IFERROR(INDEX(ENVIOS!$F$4:$F$3003,MATCH($D1086,ENVIOS!$A$4:$A$3003,0)),"—"))</f>
        <v/>
      </c>
      <c r="J1086" s="23">
        <f>IF($D1086="","",IFERROR(INDEX(ENVIOS!$G$4:$G$3003,MATCH($D1086,ENVIOS!$A$4:$A$3003,0)),"—"))</f>
        <v/>
      </c>
      <c r="K1086" s="28">
        <f>IF($D1086="","",IFERROR(INDEX(ENVIOS!$H$4:$H$3003,MATCH($D1086,ENVIOS!$A$4:$A$3003,0)),"—"))</f>
        <v/>
      </c>
      <c r="L1086" s="49">
        <f>IF($D1086="","",IFERROR(INDEX(ENVIOS!$C$4:$C$3003,MATCH($D1086,ENVIOS!$A$4:$A$3003,0)),""))</f>
        <v/>
      </c>
      <c r="M1086" s="50" t="n"/>
      <c r="N1086" s="28">
        <f>IF($M1086="","",IFERROR(INDEX(CONFIG!$C$4:$C$63,MATCH($M1086,CONFIG!$A$4:$A$63,0)),"Media"))</f>
        <v/>
      </c>
      <c r="O1086" s="28">
        <f>IF($M1086="","",IF($C1086="Interna","NO",IFERROR(INDEX(CONFIG!$E$4:$E$63,MATCH($M1086,CONFIG!$A$4:$A$63,0)),"NO")))</f>
        <v/>
      </c>
      <c r="P1086" s="50" t="n"/>
      <c r="Q1086" s="50" t="n"/>
      <c r="R1086" s="28">
        <f>IF($Q1086="","",IFERROR(INDEX(CONFIG!$H$4:$H$63,MATCH($Q1086,CONFIG!$G$4:$G$63,0)),"Por definir"))</f>
        <v/>
      </c>
      <c r="S1086" s="28">
        <f>IF($Q1086="","",IFERROR(INDEX(CONFIG!$I$4:$I$63,MATCH($Q1086,CONFIG!$G$4:$G$63,0)),"Por definir"))</f>
        <v/>
      </c>
      <c r="T1086" s="51" t="n"/>
      <c r="U1086" s="52" t="n"/>
      <c r="V1086" s="50" t="n"/>
      <c r="W1086" s="50" t="n"/>
      <c r="X1086" s="49">
        <f>IF(OR($B1086="",$M1086=""),"",WORKDAY($B1086,IFERROR(INDEX(CONFIG!$D$4:$D$63,MATCH($M1086,CONFIG!$A$4:$A$63,0)),3)))</f>
        <v/>
      </c>
      <c r="Y1086" s="47" t="n"/>
      <c r="Z1086" s="24">
        <f>IF($B1086="","",IF($Y1086&lt;&gt;"",$Y1086-$B1086,TODAY()-$B1086))</f>
        <v/>
      </c>
      <c r="AA1086" s="28">
        <f>IF($B1086="","",IF(IFERROR(INDEX(CONFIG!$L$4:$L$63,MATCH($V1086,CONFIG!$K$4:$K$63,0)),"NO")="SÍ",IF(OR($Y1086="",$X1086=""),"Resuelta",IF($Y1086&gt;$X1086,"Resuelta tarde","Resuelta a tiempo")),IF($X1086="","Sin clasificar",IF(TODAY()&gt;$X1086,"Vencida",IF(TODAY()&gt;=$X1086-1,"Por vencer","En plazo")))))</f>
        <v/>
      </c>
      <c r="AB1086" s="50" t="n"/>
      <c r="AC1086" s="50" t="n"/>
    </row>
    <row r="1087" ht="16" customHeight="1">
      <c r="A1087" s="28">
        <f>IF($B1087="","","N-"&amp;TEXT(ROW()-3,"0000"))</f>
        <v/>
      </c>
      <c r="B1087" s="47" t="n"/>
      <c r="C1087" s="48" t="n"/>
      <c r="D1087" s="48" t="n"/>
      <c r="E1087" s="28">
        <f>IF($C1087="","",IF($D1087="",IF($C1087="Interna","Sin guía (interna)","FALTA GUÍA"),IF(COUNTIFS(ENVIOS!$A$4:$A$3003,$D1087)=0,"NO EXISTE",IF(COUNTIFS(ENVIOS!$A$4:$A$3003,$D1087)&gt;1,"DUPLICADA","OK"))))</f>
        <v/>
      </c>
      <c r="F1087" s="28">
        <f>IF($D1087="","",IFERROR(INDEX(ENVIOS!$B$4:$B$3003,MATCH($D1087,ENVIOS!$A$4:$A$3003,0)),"—"))</f>
        <v/>
      </c>
      <c r="G1087" s="23">
        <f>IF($D1087="","",IFERROR(INDEX(ENVIOS!$D$4:$D$3003,MATCH($D1087,ENVIOS!$A$4:$A$3003,0)),"—"))</f>
        <v/>
      </c>
      <c r="H1087" s="23">
        <f>IF($D1087="","",IFERROR(INDEX(ENVIOS!$E$4:$E$3003,MATCH($D1087,ENVIOS!$A$4:$A$3003,0)),"—"))</f>
        <v/>
      </c>
      <c r="I1087" s="23">
        <f>IF($D1087="","",IFERROR(INDEX(ENVIOS!$F$4:$F$3003,MATCH($D1087,ENVIOS!$A$4:$A$3003,0)),"—"))</f>
        <v/>
      </c>
      <c r="J1087" s="23">
        <f>IF($D1087="","",IFERROR(INDEX(ENVIOS!$G$4:$G$3003,MATCH($D1087,ENVIOS!$A$4:$A$3003,0)),"—"))</f>
        <v/>
      </c>
      <c r="K1087" s="28">
        <f>IF($D1087="","",IFERROR(INDEX(ENVIOS!$H$4:$H$3003,MATCH($D1087,ENVIOS!$A$4:$A$3003,0)),"—"))</f>
        <v/>
      </c>
      <c r="L1087" s="49">
        <f>IF($D1087="","",IFERROR(INDEX(ENVIOS!$C$4:$C$3003,MATCH($D1087,ENVIOS!$A$4:$A$3003,0)),""))</f>
        <v/>
      </c>
      <c r="M1087" s="50" t="n"/>
      <c r="N1087" s="28">
        <f>IF($M1087="","",IFERROR(INDEX(CONFIG!$C$4:$C$63,MATCH($M1087,CONFIG!$A$4:$A$63,0)),"Media"))</f>
        <v/>
      </c>
      <c r="O1087" s="28">
        <f>IF($M1087="","",IF($C1087="Interna","NO",IFERROR(INDEX(CONFIG!$E$4:$E$63,MATCH($M1087,CONFIG!$A$4:$A$63,0)),"NO")))</f>
        <v/>
      </c>
      <c r="P1087" s="50" t="n"/>
      <c r="Q1087" s="50" t="n"/>
      <c r="R1087" s="28">
        <f>IF($Q1087="","",IFERROR(INDEX(CONFIG!$H$4:$H$63,MATCH($Q1087,CONFIG!$G$4:$G$63,0)),"Por definir"))</f>
        <v/>
      </c>
      <c r="S1087" s="28">
        <f>IF($Q1087="","",IFERROR(INDEX(CONFIG!$I$4:$I$63,MATCH($Q1087,CONFIG!$G$4:$G$63,0)),"Por definir"))</f>
        <v/>
      </c>
      <c r="T1087" s="51" t="n"/>
      <c r="U1087" s="52" t="n"/>
      <c r="V1087" s="50" t="n"/>
      <c r="W1087" s="50" t="n"/>
      <c r="X1087" s="49">
        <f>IF(OR($B1087="",$M1087=""),"",WORKDAY($B1087,IFERROR(INDEX(CONFIG!$D$4:$D$63,MATCH($M1087,CONFIG!$A$4:$A$63,0)),3)))</f>
        <v/>
      </c>
      <c r="Y1087" s="47" t="n"/>
      <c r="Z1087" s="24">
        <f>IF($B1087="","",IF($Y1087&lt;&gt;"",$Y1087-$B1087,TODAY()-$B1087))</f>
        <v/>
      </c>
      <c r="AA1087" s="28">
        <f>IF($B1087="","",IF(IFERROR(INDEX(CONFIG!$L$4:$L$63,MATCH($V1087,CONFIG!$K$4:$K$63,0)),"NO")="SÍ",IF(OR($Y1087="",$X1087=""),"Resuelta",IF($Y1087&gt;$X1087,"Resuelta tarde","Resuelta a tiempo")),IF($X1087="","Sin clasificar",IF(TODAY()&gt;$X1087,"Vencida",IF(TODAY()&gt;=$X1087-1,"Por vencer","En plazo")))))</f>
        <v/>
      </c>
      <c r="AB1087" s="50" t="n"/>
      <c r="AC1087" s="50" t="n"/>
    </row>
    <row r="1088" ht="16" customHeight="1">
      <c r="A1088" s="28">
        <f>IF($B1088="","","N-"&amp;TEXT(ROW()-3,"0000"))</f>
        <v/>
      </c>
      <c r="B1088" s="47" t="n"/>
      <c r="C1088" s="48" t="n"/>
      <c r="D1088" s="48" t="n"/>
      <c r="E1088" s="28">
        <f>IF($C1088="","",IF($D1088="",IF($C1088="Interna","Sin guía (interna)","FALTA GUÍA"),IF(COUNTIFS(ENVIOS!$A$4:$A$3003,$D1088)=0,"NO EXISTE",IF(COUNTIFS(ENVIOS!$A$4:$A$3003,$D1088)&gt;1,"DUPLICADA","OK"))))</f>
        <v/>
      </c>
      <c r="F1088" s="28">
        <f>IF($D1088="","",IFERROR(INDEX(ENVIOS!$B$4:$B$3003,MATCH($D1088,ENVIOS!$A$4:$A$3003,0)),"—"))</f>
        <v/>
      </c>
      <c r="G1088" s="23">
        <f>IF($D1088="","",IFERROR(INDEX(ENVIOS!$D$4:$D$3003,MATCH($D1088,ENVIOS!$A$4:$A$3003,0)),"—"))</f>
        <v/>
      </c>
      <c r="H1088" s="23">
        <f>IF($D1088="","",IFERROR(INDEX(ENVIOS!$E$4:$E$3003,MATCH($D1088,ENVIOS!$A$4:$A$3003,0)),"—"))</f>
        <v/>
      </c>
      <c r="I1088" s="23">
        <f>IF($D1088="","",IFERROR(INDEX(ENVIOS!$F$4:$F$3003,MATCH($D1088,ENVIOS!$A$4:$A$3003,0)),"—"))</f>
        <v/>
      </c>
      <c r="J1088" s="23">
        <f>IF($D1088="","",IFERROR(INDEX(ENVIOS!$G$4:$G$3003,MATCH($D1088,ENVIOS!$A$4:$A$3003,0)),"—"))</f>
        <v/>
      </c>
      <c r="K1088" s="28">
        <f>IF($D1088="","",IFERROR(INDEX(ENVIOS!$H$4:$H$3003,MATCH($D1088,ENVIOS!$A$4:$A$3003,0)),"—"))</f>
        <v/>
      </c>
      <c r="L1088" s="49">
        <f>IF($D1088="","",IFERROR(INDEX(ENVIOS!$C$4:$C$3003,MATCH($D1088,ENVIOS!$A$4:$A$3003,0)),""))</f>
        <v/>
      </c>
      <c r="M1088" s="50" t="n"/>
      <c r="N1088" s="28">
        <f>IF($M1088="","",IFERROR(INDEX(CONFIG!$C$4:$C$63,MATCH($M1088,CONFIG!$A$4:$A$63,0)),"Media"))</f>
        <v/>
      </c>
      <c r="O1088" s="28">
        <f>IF($M1088="","",IF($C1088="Interna","NO",IFERROR(INDEX(CONFIG!$E$4:$E$63,MATCH($M1088,CONFIG!$A$4:$A$63,0)),"NO")))</f>
        <v/>
      </c>
      <c r="P1088" s="50" t="n"/>
      <c r="Q1088" s="50" t="n"/>
      <c r="R1088" s="28">
        <f>IF($Q1088="","",IFERROR(INDEX(CONFIG!$H$4:$H$63,MATCH($Q1088,CONFIG!$G$4:$G$63,0)),"Por definir"))</f>
        <v/>
      </c>
      <c r="S1088" s="28">
        <f>IF($Q1088="","",IFERROR(INDEX(CONFIG!$I$4:$I$63,MATCH($Q1088,CONFIG!$G$4:$G$63,0)),"Por definir"))</f>
        <v/>
      </c>
      <c r="T1088" s="51" t="n"/>
      <c r="U1088" s="52" t="n"/>
      <c r="V1088" s="50" t="n"/>
      <c r="W1088" s="50" t="n"/>
      <c r="X1088" s="49">
        <f>IF(OR($B1088="",$M1088=""),"",WORKDAY($B1088,IFERROR(INDEX(CONFIG!$D$4:$D$63,MATCH($M1088,CONFIG!$A$4:$A$63,0)),3)))</f>
        <v/>
      </c>
      <c r="Y1088" s="47" t="n"/>
      <c r="Z1088" s="24">
        <f>IF($B1088="","",IF($Y1088&lt;&gt;"",$Y1088-$B1088,TODAY()-$B1088))</f>
        <v/>
      </c>
      <c r="AA1088" s="28">
        <f>IF($B1088="","",IF(IFERROR(INDEX(CONFIG!$L$4:$L$63,MATCH($V1088,CONFIG!$K$4:$K$63,0)),"NO")="SÍ",IF(OR($Y1088="",$X1088=""),"Resuelta",IF($Y1088&gt;$X1088,"Resuelta tarde","Resuelta a tiempo")),IF($X1088="","Sin clasificar",IF(TODAY()&gt;$X1088,"Vencida",IF(TODAY()&gt;=$X1088-1,"Por vencer","En plazo")))))</f>
        <v/>
      </c>
      <c r="AB1088" s="50" t="n"/>
      <c r="AC1088" s="50" t="n"/>
    </row>
    <row r="1089" ht="16" customHeight="1">
      <c r="A1089" s="28">
        <f>IF($B1089="","","N-"&amp;TEXT(ROW()-3,"0000"))</f>
        <v/>
      </c>
      <c r="B1089" s="47" t="n"/>
      <c r="C1089" s="48" t="n"/>
      <c r="D1089" s="48" t="n"/>
      <c r="E1089" s="28">
        <f>IF($C1089="","",IF($D1089="",IF($C1089="Interna","Sin guía (interna)","FALTA GUÍA"),IF(COUNTIFS(ENVIOS!$A$4:$A$3003,$D1089)=0,"NO EXISTE",IF(COUNTIFS(ENVIOS!$A$4:$A$3003,$D1089)&gt;1,"DUPLICADA","OK"))))</f>
        <v/>
      </c>
      <c r="F1089" s="28">
        <f>IF($D1089="","",IFERROR(INDEX(ENVIOS!$B$4:$B$3003,MATCH($D1089,ENVIOS!$A$4:$A$3003,0)),"—"))</f>
        <v/>
      </c>
      <c r="G1089" s="23">
        <f>IF($D1089="","",IFERROR(INDEX(ENVIOS!$D$4:$D$3003,MATCH($D1089,ENVIOS!$A$4:$A$3003,0)),"—"))</f>
        <v/>
      </c>
      <c r="H1089" s="23">
        <f>IF($D1089="","",IFERROR(INDEX(ENVIOS!$E$4:$E$3003,MATCH($D1089,ENVIOS!$A$4:$A$3003,0)),"—"))</f>
        <v/>
      </c>
      <c r="I1089" s="23">
        <f>IF($D1089="","",IFERROR(INDEX(ENVIOS!$F$4:$F$3003,MATCH($D1089,ENVIOS!$A$4:$A$3003,0)),"—"))</f>
        <v/>
      </c>
      <c r="J1089" s="23">
        <f>IF($D1089="","",IFERROR(INDEX(ENVIOS!$G$4:$G$3003,MATCH($D1089,ENVIOS!$A$4:$A$3003,0)),"—"))</f>
        <v/>
      </c>
      <c r="K1089" s="28">
        <f>IF($D1089="","",IFERROR(INDEX(ENVIOS!$H$4:$H$3003,MATCH($D1089,ENVIOS!$A$4:$A$3003,0)),"—"))</f>
        <v/>
      </c>
      <c r="L1089" s="49">
        <f>IF($D1089="","",IFERROR(INDEX(ENVIOS!$C$4:$C$3003,MATCH($D1089,ENVIOS!$A$4:$A$3003,0)),""))</f>
        <v/>
      </c>
      <c r="M1089" s="50" t="n"/>
      <c r="N1089" s="28">
        <f>IF($M1089="","",IFERROR(INDEX(CONFIG!$C$4:$C$63,MATCH($M1089,CONFIG!$A$4:$A$63,0)),"Media"))</f>
        <v/>
      </c>
      <c r="O1089" s="28">
        <f>IF($M1089="","",IF($C1089="Interna","NO",IFERROR(INDEX(CONFIG!$E$4:$E$63,MATCH($M1089,CONFIG!$A$4:$A$63,0)),"NO")))</f>
        <v/>
      </c>
      <c r="P1089" s="50" t="n"/>
      <c r="Q1089" s="50" t="n"/>
      <c r="R1089" s="28">
        <f>IF($Q1089="","",IFERROR(INDEX(CONFIG!$H$4:$H$63,MATCH($Q1089,CONFIG!$G$4:$G$63,0)),"Por definir"))</f>
        <v/>
      </c>
      <c r="S1089" s="28">
        <f>IF($Q1089="","",IFERROR(INDEX(CONFIG!$I$4:$I$63,MATCH($Q1089,CONFIG!$G$4:$G$63,0)),"Por definir"))</f>
        <v/>
      </c>
      <c r="T1089" s="51" t="n"/>
      <c r="U1089" s="52" t="n"/>
      <c r="V1089" s="50" t="n"/>
      <c r="W1089" s="50" t="n"/>
      <c r="X1089" s="49">
        <f>IF(OR($B1089="",$M1089=""),"",WORKDAY($B1089,IFERROR(INDEX(CONFIG!$D$4:$D$63,MATCH($M1089,CONFIG!$A$4:$A$63,0)),3)))</f>
        <v/>
      </c>
      <c r="Y1089" s="47" t="n"/>
      <c r="Z1089" s="24">
        <f>IF($B1089="","",IF($Y1089&lt;&gt;"",$Y1089-$B1089,TODAY()-$B1089))</f>
        <v/>
      </c>
      <c r="AA1089" s="28">
        <f>IF($B1089="","",IF(IFERROR(INDEX(CONFIG!$L$4:$L$63,MATCH($V1089,CONFIG!$K$4:$K$63,0)),"NO")="SÍ",IF(OR($Y1089="",$X1089=""),"Resuelta",IF($Y1089&gt;$X1089,"Resuelta tarde","Resuelta a tiempo")),IF($X1089="","Sin clasificar",IF(TODAY()&gt;$X1089,"Vencida",IF(TODAY()&gt;=$X1089-1,"Por vencer","En plazo")))))</f>
        <v/>
      </c>
      <c r="AB1089" s="50" t="n"/>
      <c r="AC1089" s="50" t="n"/>
    </row>
    <row r="1090" ht="16" customHeight="1">
      <c r="A1090" s="28">
        <f>IF($B1090="","","N-"&amp;TEXT(ROW()-3,"0000"))</f>
        <v/>
      </c>
      <c r="B1090" s="47" t="n"/>
      <c r="C1090" s="48" t="n"/>
      <c r="D1090" s="48" t="n"/>
      <c r="E1090" s="28">
        <f>IF($C1090="","",IF($D1090="",IF($C1090="Interna","Sin guía (interna)","FALTA GUÍA"),IF(COUNTIFS(ENVIOS!$A$4:$A$3003,$D1090)=0,"NO EXISTE",IF(COUNTIFS(ENVIOS!$A$4:$A$3003,$D1090)&gt;1,"DUPLICADA","OK"))))</f>
        <v/>
      </c>
      <c r="F1090" s="28">
        <f>IF($D1090="","",IFERROR(INDEX(ENVIOS!$B$4:$B$3003,MATCH($D1090,ENVIOS!$A$4:$A$3003,0)),"—"))</f>
        <v/>
      </c>
      <c r="G1090" s="23">
        <f>IF($D1090="","",IFERROR(INDEX(ENVIOS!$D$4:$D$3003,MATCH($D1090,ENVIOS!$A$4:$A$3003,0)),"—"))</f>
        <v/>
      </c>
      <c r="H1090" s="23">
        <f>IF($D1090="","",IFERROR(INDEX(ENVIOS!$E$4:$E$3003,MATCH($D1090,ENVIOS!$A$4:$A$3003,0)),"—"))</f>
        <v/>
      </c>
      <c r="I1090" s="23">
        <f>IF($D1090="","",IFERROR(INDEX(ENVIOS!$F$4:$F$3003,MATCH($D1090,ENVIOS!$A$4:$A$3003,0)),"—"))</f>
        <v/>
      </c>
      <c r="J1090" s="23">
        <f>IF($D1090="","",IFERROR(INDEX(ENVIOS!$G$4:$G$3003,MATCH($D1090,ENVIOS!$A$4:$A$3003,0)),"—"))</f>
        <v/>
      </c>
      <c r="K1090" s="28">
        <f>IF($D1090="","",IFERROR(INDEX(ENVIOS!$H$4:$H$3003,MATCH($D1090,ENVIOS!$A$4:$A$3003,0)),"—"))</f>
        <v/>
      </c>
      <c r="L1090" s="49">
        <f>IF($D1090="","",IFERROR(INDEX(ENVIOS!$C$4:$C$3003,MATCH($D1090,ENVIOS!$A$4:$A$3003,0)),""))</f>
        <v/>
      </c>
      <c r="M1090" s="50" t="n"/>
      <c r="N1090" s="28">
        <f>IF($M1090="","",IFERROR(INDEX(CONFIG!$C$4:$C$63,MATCH($M1090,CONFIG!$A$4:$A$63,0)),"Media"))</f>
        <v/>
      </c>
      <c r="O1090" s="28">
        <f>IF($M1090="","",IF($C1090="Interna","NO",IFERROR(INDEX(CONFIG!$E$4:$E$63,MATCH($M1090,CONFIG!$A$4:$A$63,0)),"NO")))</f>
        <v/>
      </c>
      <c r="P1090" s="50" t="n"/>
      <c r="Q1090" s="50" t="n"/>
      <c r="R1090" s="28">
        <f>IF($Q1090="","",IFERROR(INDEX(CONFIG!$H$4:$H$63,MATCH($Q1090,CONFIG!$G$4:$G$63,0)),"Por definir"))</f>
        <v/>
      </c>
      <c r="S1090" s="28">
        <f>IF($Q1090="","",IFERROR(INDEX(CONFIG!$I$4:$I$63,MATCH($Q1090,CONFIG!$G$4:$G$63,0)),"Por definir"))</f>
        <v/>
      </c>
      <c r="T1090" s="51" t="n"/>
      <c r="U1090" s="52" t="n"/>
      <c r="V1090" s="50" t="n"/>
      <c r="W1090" s="50" t="n"/>
      <c r="X1090" s="49">
        <f>IF(OR($B1090="",$M1090=""),"",WORKDAY($B1090,IFERROR(INDEX(CONFIG!$D$4:$D$63,MATCH($M1090,CONFIG!$A$4:$A$63,0)),3)))</f>
        <v/>
      </c>
      <c r="Y1090" s="47" t="n"/>
      <c r="Z1090" s="24">
        <f>IF($B1090="","",IF($Y1090&lt;&gt;"",$Y1090-$B1090,TODAY()-$B1090))</f>
        <v/>
      </c>
      <c r="AA1090" s="28">
        <f>IF($B1090="","",IF(IFERROR(INDEX(CONFIG!$L$4:$L$63,MATCH($V1090,CONFIG!$K$4:$K$63,0)),"NO")="SÍ",IF(OR($Y1090="",$X1090=""),"Resuelta",IF($Y1090&gt;$X1090,"Resuelta tarde","Resuelta a tiempo")),IF($X1090="","Sin clasificar",IF(TODAY()&gt;$X1090,"Vencida",IF(TODAY()&gt;=$X1090-1,"Por vencer","En plazo")))))</f>
        <v/>
      </c>
      <c r="AB1090" s="50" t="n"/>
      <c r="AC1090" s="50" t="n"/>
    </row>
    <row r="1091" ht="16" customHeight="1">
      <c r="A1091" s="28">
        <f>IF($B1091="","","N-"&amp;TEXT(ROW()-3,"0000"))</f>
        <v/>
      </c>
      <c r="B1091" s="47" t="n"/>
      <c r="C1091" s="48" t="n"/>
      <c r="D1091" s="48" t="n"/>
      <c r="E1091" s="28">
        <f>IF($C1091="","",IF($D1091="",IF($C1091="Interna","Sin guía (interna)","FALTA GUÍA"),IF(COUNTIFS(ENVIOS!$A$4:$A$3003,$D1091)=0,"NO EXISTE",IF(COUNTIFS(ENVIOS!$A$4:$A$3003,$D1091)&gt;1,"DUPLICADA","OK"))))</f>
        <v/>
      </c>
      <c r="F1091" s="28">
        <f>IF($D1091="","",IFERROR(INDEX(ENVIOS!$B$4:$B$3003,MATCH($D1091,ENVIOS!$A$4:$A$3003,0)),"—"))</f>
        <v/>
      </c>
      <c r="G1091" s="23">
        <f>IF($D1091="","",IFERROR(INDEX(ENVIOS!$D$4:$D$3003,MATCH($D1091,ENVIOS!$A$4:$A$3003,0)),"—"))</f>
        <v/>
      </c>
      <c r="H1091" s="23">
        <f>IF($D1091="","",IFERROR(INDEX(ENVIOS!$E$4:$E$3003,MATCH($D1091,ENVIOS!$A$4:$A$3003,0)),"—"))</f>
        <v/>
      </c>
      <c r="I1091" s="23">
        <f>IF($D1091="","",IFERROR(INDEX(ENVIOS!$F$4:$F$3003,MATCH($D1091,ENVIOS!$A$4:$A$3003,0)),"—"))</f>
        <v/>
      </c>
      <c r="J1091" s="23">
        <f>IF($D1091="","",IFERROR(INDEX(ENVIOS!$G$4:$G$3003,MATCH($D1091,ENVIOS!$A$4:$A$3003,0)),"—"))</f>
        <v/>
      </c>
      <c r="K1091" s="28">
        <f>IF($D1091="","",IFERROR(INDEX(ENVIOS!$H$4:$H$3003,MATCH($D1091,ENVIOS!$A$4:$A$3003,0)),"—"))</f>
        <v/>
      </c>
      <c r="L1091" s="49">
        <f>IF($D1091="","",IFERROR(INDEX(ENVIOS!$C$4:$C$3003,MATCH($D1091,ENVIOS!$A$4:$A$3003,0)),""))</f>
        <v/>
      </c>
      <c r="M1091" s="50" t="n"/>
      <c r="N1091" s="28">
        <f>IF($M1091="","",IFERROR(INDEX(CONFIG!$C$4:$C$63,MATCH($M1091,CONFIG!$A$4:$A$63,0)),"Media"))</f>
        <v/>
      </c>
      <c r="O1091" s="28">
        <f>IF($M1091="","",IF($C1091="Interna","NO",IFERROR(INDEX(CONFIG!$E$4:$E$63,MATCH($M1091,CONFIG!$A$4:$A$63,0)),"NO")))</f>
        <v/>
      </c>
      <c r="P1091" s="50" t="n"/>
      <c r="Q1091" s="50" t="n"/>
      <c r="R1091" s="28">
        <f>IF($Q1091="","",IFERROR(INDEX(CONFIG!$H$4:$H$63,MATCH($Q1091,CONFIG!$G$4:$G$63,0)),"Por definir"))</f>
        <v/>
      </c>
      <c r="S1091" s="28">
        <f>IF($Q1091="","",IFERROR(INDEX(CONFIG!$I$4:$I$63,MATCH($Q1091,CONFIG!$G$4:$G$63,0)),"Por definir"))</f>
        <v/>
      </c>
      <c r="T1091" s="51" t="n"/>
      <c r="U1091" s="52" t="n"/>
      <c r="V1091" s="50" t="n"/>
      <c r="W1091" s="50" t="n"/>
      <c r="X1091" s="49">
        <f>IF(OR($B1091="",$M1091=""),"",WORKDAY($B1091,IFERROR(INDEX(CONFIG!$D$4:$D$63,MATCH($M1091,CONFIG!$A$4:$A$63,0)),3)))</f>
        <v/>
      </c>
      <c r="Y1091" s="47" t="n"/>
      <c r="Z1091" s="24">
        <f>IF($B1091="","",IF($Y1091&lt;&gt;"",$Y1091-$B1091,TODAY()-$B1091))</f>
        <v/>
      </c>
      <c r="AA1091" s="28">
        <f>IF($B1091="","",IF(IFERROR(INDEX(CONFIG!$L$4:$L$63,MATCH($V1091,CONFIG!$K$4:$K$63,0)),"NO")="SÍ",IF(OR($Y1091="",$X1091=""),"Resuelta",IF($Y1091&gt;$X1091,"Resuelta tarde","Resuelta a tiempo")),IF($X1091="","Sin clasificar",IF(TODAY()&gt;$X1091,"Vencida",IF(TODAY()&gt;=$X1091-1,"Por vencer","En plazo")))))</f>
        <v/>
      </c>
      <c r="AB1091" s="50" t="n"/>
      <c r="AC1091" s="50" t="n"/>
    </row>
    <row r="1092" ht="16" customHeight="1">
      <c r="A1092" s="28">
        <f>IF($B1092="","","N-"&amp;TEXT(ROW()-3,"0000"))</f>
        <v/>
      </c>
      <c r="B1092" s="47" t="n"/>
      <c r="C1092" s="48" t="n"/>
      <c r="D1092" s="48" t="n"/>
      <c r="E1092" s="28">
        <f>IF($C1092="","",IF($D1092="",IF($C1092="Interna","Sin guía (interna)","FALTA GUÍA"),IF(COUNTIFS(ENVIOS!$A$4:$A$3003,$D1092)=0,"NO EXISTE",IF(COUNTIFS(ENVIOS!$A$4:$A$3003,$D1092)&gt;1,"DUPLICADA","OK"))))</f>
        <v/>
      </c>
      <c r="F1092" s="28">
        <f>IF($D1092="","",IFERROR(INDEX(ENVIOS!$B$4:$B$3003,MATCH($D1092,ENVIOS!$A$4:$A$3003,0)),"—"))</f>
        <v/>
      </c>
      <c r="G1092" s="23">
        <f>IF($D1092="","",IFERROR(INDEX(ENVIOS!$D$4:$D$3003,MATCH($D1092,ENVIOS!$A$4:$A$3003,0)),"—"))</f>
        <v/>
      </c>
      <c r="H1092" s="23">
        <f>IF($D1092="","",IFERROR(INDEX(ENVIOS!$E$4:$E$3003,MATCH($D1092,ENVIOS!$A$4:$A$3003,0)),"—"))</f>
        <v/>
      </c>
      <c r="I1092" s="23">
        <f>IF($D1092="","",IFERROR(INDEX(ENVIOS!$F$4:$F$3003,MATCH($D1092,ENVIOS!$A$4:$A$3003,0)),"—"))</f>
        <v/>
      </c>
      <c r="J1092" s="23">
        <f>IF($D1092="","",IFERROR(INDEX(ENVIOS!$G$4:$G$3003,MATCH($D1092,ENVIOS!$A$4:$A$3003,0)),"—"))</f>
        <v/>
      </c>
      <c r="K1092" s="28">
        <f>IF($D1092="","",IFERROR(INDEX(ENVIOS!$H$4:$H$3003,MATCH($D1092,ENVIOS!$A$4:$A$3003,0)),"—"))</f>
        <v/>
      </c>
      <c r="L1092" s="49">
        <f>IF($D1092="","",IFERROR(INDEX(ENVIOS!$C$4:$C$3003,MATCH($D1092,ENVIOS!$A$4:$A$3003,0)),""))</f>
        <v/>
      </c>
      <c r="M1092" s="50" t="n"/>
      <c r="N1092" s="28">
        <f>IF($M1092="","",IFERROR(INDEX(CONFIG!$C$4:$C$63,MATCH($M1092,CONFIG!$A$4:$A$63,0)),"Media"))</f>
        <v/>
      </c>
      <c r="O1092" s="28">
        <f>IF($M1092="","",IF($C1092="Interna","NO",IFERROR(INDEX(CONFIG!$E$4:$E$63,MATCH($M1092,CONFIG!$A$4:$A$63,0)),"NO")))</f>
        <v/>
      </c>
      <c r="P1092" s="50" t="n"/>
      <c r="Q1092" s="50" t="n"/>
      <c r="R1092" s="28">
        <f>IF($Q1092="","",IFERROR(INDEX(CONFIG!$H$4:$H$63,MATCH($Q1092,CONFIG!$G$4:$G$63,0)),"Por definir"))</f>
        <v/>
      </c>
      <c r="S1092" s="28">
        <f>IF($Q1092="","",IFERROR(INDEX(CONFIG!$I$4:$I$63,MATCH($Q1092,CONFIG!$G$4:$G$63,0)),"Por definir"))</f>
        <v/>
      </c>
      <c r="T1092" s="51" t="n"/>
      <c r="U1092" s="52" t="n"/>
      <c r="V1092" s="50" t="n"/>
      <c r="W1092" s="50" t="n"/>
      <c r="X1092" s="49">
        <f>IF(OR($B1092="",$M1092=""),"",WORKDAY($B1092,IFERROR(INDEX(CONFIG!$D$4:$D$63,MATCH($M1092,CONFIG!$A$4:$A$63,0)),3)))</f>
        <v/>
      </c>
      <c r="Y1092" s="47" t="n"/>
      <c r="Z1092" s="24">
        <f>IF($B1092="","",IF($Y1092&lt;&gt;"",$Y1092-$B1092,TODAY()-$B1092))</f>
        <v/>
      </c>
      <c r="AA1092" s="28">
        <f>IF($B1092="","",IF(IFERROR(INDEX(CONFIG!$L$4:$L$63,MATCH($V1092,CONFIG!$K$4:$K$63,0)),"NO")="SÍ",IF(OR($Y1092="",$X1092=""),"Resuelta",IF($Y1092&gt;$X1092,"Resuelta tarde","Resuelta a tiempo")),IF($X1092="","Sin clasificar",IF(TODAY()&gt;$X1092,"Vencida",IF(TODAY()&gt;=$X1092-1,"Por vencer","En plazo")))))</f>
        <v/>
      </c>
      <c r="AB1092" s="50" t="n"/>
      <c r="AC1092" s="50" t="n"/>
    </row>
    <row r="1093" ht="16" customHeight="1">
      <c r="A1093" s="28">
        <f>IF($B1093="","","N-"&amp;TEXT(ROW()-3,"0000"))</f>
        <v/>
      </c>
      <c r="B1093" s="47" t="n"/>
      <c r="C1093" s="48" t="n"/>
      <c r="D1093" s="48" t="n"/>
      <c r="E1093" s="28">
        <f>IF($C1093="","",IF($D1093="",IF($C1093="Interna","Sin guía (interna)","FALTA GUÍA"),IF(COUNTIFS(ENVIOS!$A$4:$A$3003,$D1093)=0,"NO EXISTE",IF(COUNTIFS(ENVIOS!$A$4:$A$3003,$D1093)&gt;1,"DUPLICADA","OK"))))</f>
        <v/>
      </c>
      <c r="F1093" s="28">
        <f>IF($D1093="","",IFERROR(INDEX(ENVIOS!$B$4:$B$3003,MATCH($D1093,ENVIOS!$A$4:$A$3003,0)),"—"))</f>
        <v/>
      </c>
      <c r="G1093" s="23">
        <f>IF($D1093="","",IFERROR(INDEX(ENVIOS!$D$4:$D$3003,MATCH($D1093,ENVIOS!$A$4:$A$3003,0)),"—"))</f>
        <v/>
      </c>
      <c r="H1093" s="23">
        <f>IF($D1093="","",IFERROR(INDEX(ENVIOS!$E$4:$E$3003,MATCH($D1093,ENVIOS!$A$4:$A$3003,0)),"—"))</f>
        <v/>
      </c>
      <c r="I1093" s="23">
        <f>IF($D1093="","",IFERROR(INDEX(ENVIOS!$F$4:$F$3003,MATCH($D1093,ENVIOS!$A$4:$A$3003,0)),"—"))</f>
        <v/>
      </c>
      <c r="J1093" s="23">
        <f>IF($D1093="","",IFERROR(INDEX(ENVIOS!$G$4:$G$3003,MATCH($D1093,ENVIOS!$A$4:$A$3003,0)),"—"))</f>
        <v/>
      </c>
      <c r="K1093" s="28">
        <f>IF($D1093="","",IFERROR(INDEX(ENVIOS!$H$4:$H$3003,MATCH($D1093,ENVIOS!$A$4:$A$3003,0)),"—"))</f>
        <v/>
      </c>
      <c r="L1093" s="49">
        <f>IF($D1093="","",IFERROR(INDEX(ENVIOS!$C$4:$C$3003,MATCH($D1093,ENVIOS!$A$4:$A$3003,0)),""))</f>
        <v/>
      </c>
      <c r="M1093" s="50" t="n"/>
      <c r="N1093" s="28">
        <f>IF($M1093="","",IFERROR(INDEX(CONFIG!$C$4:$C$63,MATCH($M1093,CONFIG!$A$4:$A$63,0)),"Media"))</f>
        <v/>
      </c>
      <c r="O1093" s="28">
        <f>IF($M1093="","",IF($C1093="Interna","NO",IFERROR(INDEX(CONFIG!$E$4:$E$63,MATCH($M1093,CONFIG!$A$4:$A$63,0)),"NO")))</f>
        <v/>
      </c>
      <c r="P1093" s="50" t="n"/>
      <c r="Q1093" s="50" t="n"/>
      <c r="R1093" s="28">
        <f>IF($Q1093="","",IFERROR(INDEX(CONFIG!$H$4:$H$63,MATCH($Q1093,CONFIG!$G$4:$G$63,0)),"Por definir"))</f>
        <v/>
      </c>
      <c r="S1093" s="28">
        <f>IF($Q1093="","",IFERROR(INDEX(CONFIG!$I$4:$I$63,MATCH($Q1093,CONFIG!$G$4:$G$63,0)),"Por definir"))</f>
        <v/>
      </c>
      <c r="T1093" s="51" t="n"/>
      <c r="U1093" s="52" t="n"/>
      <c r="V1093" s="50" t="n"/>
      <c r="W1093" s="50" t="n"/>
      <c r="X1093" s="49">
        <f>IF(OR($B1093="",$M1093=""),"",WORKDAY($B1093,IFERROR(INDEX(CONFIG!$D$4:$D$63,MATCH($M1093,CONFIG!$A$4:$A$63,0)),3)))</f>
        <v/>
      </c>
      <c r="Y1093" s="47" t="n"/>
      <c r="Z1093" s="24">
        <f>IF($B1093="","",IF($Y1093&lt;&gt;"",$Y1093-$B1093,TODAY()-$B1093))</f>
        <v/>
      </c>
      <c r="AA1093" s="28">
        <f>IF($B1093="","",IF(IFERROR(INDEX(CONFIG!$L$4:$L$63,MATCH($V1093,CONFIG!$K$4:$K$63,0)),"NO")="SÍ",IF(OR($Y1093="",$X1093=""),"Resuelta",IF($Y1093&gt;$X1093,"Resuelta tarde","Resuelta a tiempo")),IF($X1093="","Sin clasificar",IF(TODAY()&gt;$X1093,"Vencida",IF(TODAY()&gt;=$X1093-1,"Por vencer","En plazo")))))</f>
        <v/>
      </c>
      <c r="AB1093" s="50" t="n"/>
      <c r="AC1093" s="50" t="n"/>
    </row>
    <row r="1094" ht="16" customHeight="1">
      <c r="A1094" s="28">
        <f>IF($B1094="","","N-"&amp;TEXT(ROW()-3,"0000"))</f>
        <v/>
      </c>
      <c r="B1094" s="47" t="n"/>
      <c r="C1094" s="48" t="n"/>
      <c r="D1094" s="48" t="n"/>
      <c r="E1094" s="28">
        <f>IF($C1094="","",IF($D1094="",IF($C1094="Interna","Sin guía (interna)","FALTA GUÍA"),IF(COUNTIFS(ENVIOS!$A$4:$A$3003,$D1094)=0,"NO EXISTE",IF(COUNTIFS(ENVIOS!$A$4:$A$3003,$D1094)&gt;1,"DUPLICADA","OK"))))</f>
        <v/>
      </c>
      <c r="F1094" s="28">
        <f>IF($D1094="","",IFERROR(INDEX(ENVIOS!$B$4:$B$3003,MATCH($D1094,ENVIOS!$A$4:$A$3003,0)),"—"))</f>
        <v/>
      </c>
      <c r="G1094" s="23">
        <f>IF($D1094="","",IFERROR(INDEX(ENVIOS!$D$4:$D$3003,MATCH($D1094,ENVIOS!$A$4:$A$3003,0)),"—"))</f>
        <v/>
      </c>
      <c r="H1094" s="23">
        <f>IF($D1094="","",IFERROR(INDEX(ENVIOS!$E$4:$E$3003,MATCH($D1094,ENVIOS!$A$4:$A$3003,0)),"—"))</f>
        <v/>
      </c>
      <c r="I1094" s="23">
        <f>IF($D1094="","",IFERROR(INDEX(ENVIOS!$F$4:$F$3003,MATCH($D1094,ENVIOS!$A$4:$A$3003,0)),"—"))</f>
        <v/>
      </c>
      <c r="J1094" s="23">
        <f>IF($D1094="","",IFERROR(INDEX(ENVIOS!$G$4:$G$3003,MATCH($D1094,ENVIOS!$A$4:$A$3003,0)),"—"))</f>
        <v/>
      </c>
      <c r="K1094" s="28">
        <f>IF($D1094="","",IFERROR(INDEX(ENVIOS!$H$4:$H$3003,MATCH($D1094,ENVIOS!$A$4:$A$3003,0)),"—"))</f>
        <v/>
      </c>
      <c r="L1094" s="49">
        <f>IF($D1094="","",IFERROR(INDEX(ENVIOS!$C$4:$C$3003,MATCH($D1094,ENVIOS!$A$4:$A$3003,0)),""))</f>
        <v/>
      </c>
      <c r="M1094" s="50" t="n"/>
      <c r="N1094" s="28">
        <f>IF($M1094="","",IFERROR(INDEX(CONFIG!$C$4:$C$63,MATCH($M1094,CONFIG!$A$4:$A$63,0)),"Media"))</f>
        <v/>
      </c>
      <c r="O1094" s="28">
        <f>IF($M1094="","",IF($C1094="Interna","NO",IFERROR(INDEX(CONFIG!$E$4:$E$63,MATCH($M1094,CONFIG!$A$4:$A$63,0)),"NO")))</f>
        <v/>
      </c>
      <c r="P1094" s="50" t="n"/>
      <c r="Q1094" s="50" t="n"/>
      <c r="R1094" s="28">
        <f>IF($Q1094="","",IFERROR(INDEX(CONFIG!$H$4:$H$63,MATCH($Q1094,CONFIG!$G$4:$G$63,0)),"Por definir"))</f>
        <v/>
      </c>
      <c r="S1094" s="28">
        <f>IF($Q1094="","",IFERROR(INDEX(CONFIG!$I$4:$I$63,MATCH($Q1094,CONFIG!$G$4:$G$63,0)),"Por definir"))</f>
        <v/>
      </c>
      <c r="T1094" s="51" t="n"/>
      <c r="U1094" s="52" t="n"/>
      <c r="V1094" s="50" t="n"/>
      <c r="W1094" s="50" t="n"/>
      <c r="X1094" s="49">
        <f>IF(OR($B1094="",$M1094=""),"",WORKDAY($B1094,IFERROR(INDEX(CONFIG!$D$4:$D$63,MATCH($M1094,CONFIG!$A$4:$A$63,0)),3)))</f>
        <v/>
      </c>
      <c r="Y1094" s="47" t="n"/>
      <c r="Z1094" s="24">
        <f>IF($B1094="","",IF($Y1094&lt;&gt;"",$Y1094-$B1094,TODAY()-$B1094))</f>
        <v/>
      </c>
      <c r="AA1094" s="28">
        <f>IF($B1094="","",IF(IFERROR(INDEX(CONFIG!$L$4:$L$63,MATCH($V1094,CONFIG!$K$4:$K$63,0)),"NO")="SÍ",IF(OR($Y1094="",$X1094=""),"Resuelta",IF($Y1094&gt;$X1094,"Resuelta tarde","Resuelta a tiempo")),IF($X1094="","Sin clasificar",IF(TODAY()&gt;$X1094,"Vencida",IF(TODAY()&gt;=$X1094-1,"Por vencer","En plazo")))))</f>
        <v/>
      </c>
      <c r="AB1094" s="50" t="n"/>
      <c r="AC1094" s="50" t="n"/>
    </row>
    <row r="1095" ht="16" customHeight="1">
      <c r="A1095" s="28">
        <f>IF($B1095="","","N-"&amp;TEXT(ROW()-3,"0000"))</f>
        <v/>
      </c>
      <c r="B1095" s="47" t="n"/>
      <c r="C1095" s="48" t="n"/>
      <c r="D1095" s="48" t="n"/>
      <c r="E1095" s="28">
        <f>IF($C1095="","",IF($D1095="",IF($C1095="Interna","Sin guía (interna)","FALTA GUÍA"),IF(COUNTIFS(ENVIOS!$A$4:$A$3003,$D1095)=0,"NO EXISTE",IF(COUNTIFS(ENVIOS!$A$4:$A$3003,$D1095)&gt;1,"DUPLICADA","OK"))))</f>
        <v/>
      </c>
      <c r="F1095" s="28">
        <f>IF($D1095="","",IFERROR(INDEX(ENVIOS!$B$4:$B$3003,MATCH($D1095,ENVIOS!$A$4:$A$3003,0)),"—"))</f>
        <v/>
      </c>
      <c r="G1095" s="23">
        <f>IF($D1095="","",IFERROR(INDEX(ENVIOS!$D$4:$D$3003,MATCH($D1095,ENVIOS!$A$4:$A$3003,0)),"—"))</f>
        <v/>
      </c>
      <c r="H1095" s="23">
        <f>IF($D1095="","",IFERROR(INDEX(ENVIOS!$E$4:$E$3003,MATCH($D1095,ENVIOS!$A$4:$A$3003,0)),"—"))</f>
        <v/>
      </c>
      <c r="I1095" s="23">
        <f>IF($D1095="","",IFERROR(INDEX(ENVIOS!$F$4:$F$3003,MATCH($D1095,ENVIOS!$A$4:$A$3003,0)),"—"))</f>
        <v/>
      </c>
      <c r="J1095" s="23">
        <f>IF($D1095="","",IFERROR(INDEX(ENVIOS!$G$4:$G$3003,MATCH($D1095,ENVIOS!$A$4:$A$3003,0)),"—"))</f>
        <v/>
      </c>
      <c r="K1095" s="28">
        <f>IF($D1095="","",IFERROR(INDEX(ENVIOS!$H$4:$H$3003,MATCH($D1095,ENVIOS!$A$4:$A$3003,0)),"—"))</f>
        <v/>
      </c>
      <c r="L1095" s="49">
        <f>IF($D1095="","",IFERROR(INDEX(ENVIOS!$C$4:$C$3003,MATCH($D1095,ENVIOS!$A$4:$A$3003,0)),""))</f>
        <v/>
      </c>
      <c r="M1095" s="50" t="n"/>
      <c r="N1095" s="28">
        <f>IF($M1095="","",IFERROR(INDEX(CONFIG!$C$4:$C$63,MATCH($M1095,CONFIG!$A$4:$A$63,0)),"Media"))</f>
        <v/>
      </c>
      <c r="O1095" s="28">
        <f>IF($M1095="","",IF($C1095="Interna","NO",IFERROR(INDEX(CONFIG!$E$4:$E$63,MATCH($M1095,CONFIG!$A$4:$A$63,0)),"NO")))</f>
        <v/>
      </c>
      <c r="P1095" s="50" t="n"/>
      <c r="Q1095" s="50" t="n"/>
      <c r="R1095" s="28">
        <f>IF($Q1095="","",IFERROR(INDEX(CONFIG!$H$4:$H$63,MATCH($Q1095,CONFIG!$G$4:$G$63,0)),"Por definir"))</f>
        <v/>
      </c>
      <c r="S1095" s="28">
        <f>IF($Q1095="","",IFERROR(INDEX(CONFIG!$I$4:$I$63,MATCH($Q1095,CONFIG!$G$4:$G$63,0)),"Por definir"))</f>
        <v/>
      </c>
      <c r="T1095" s="51" t="n"/>
      <c r="U1095" s="52" t="n"/>
      <c r="V1095" s="50" t="n"/>
      <c r="W1095" s="50" t="n"/>
      <c r="X1095" s="49">
        <f>IF(OR($B1095="",$M1095=""),"",WORKDAY($B1095,IFERROR(INDEX(CONFIG!$D$4:$D$63,MATCH($M1095,CONFIG!$A$4:$A$63,0)),3)))</f>
        <v/>
      </c>
      <c r="Y1095" s="47" t="n"/>
      <c r="Z1095" s="24">
        <f>IF($B1095="","",IF($Y1095&lt;&gt;"",$Y1095-$B1095,TODAY()-$B1095))</f>
        <v/>
      </c>
      <c r="AA1095" s="28">
        <f>IF($B1095="","",IF(IFERROR(INDEX(CONFIG!$L$4:$L$63,MATCH($V1095,CONFIG!$K$4:$K$63,0)),"NO")="SÍ",IF(OR($Y1095="",$X1095=""),"Resuelta",IF($Y1095&gt;$X1095,"Resuelta tarde","Resuelta a tiempo")),IF($X1095="","Sin clasificar",IF(TODAY()&gt;$X1095,"Vencida",IF(TODAY()&gt;=$X1095-1,"Por vencer","En plazo")))))</f>
        <v/>
      </c>
      <c r="AB1095" s="50" t="n"/>
      <c r="AC1095" s="50" t="n"/>
    </row>
    <row r="1096" ht="16" customHeight="1">
      <c r="A1096" s="28">
        <f>IF($B1096="","","N-"&amp;TEXT(ROW()-3,"0000"))</f>
        <v/>
      </c>
      <c r="B1096" s="47" t="n"/>
      <c r="C1096" s="48" t="n"/>
      <c r="D1096" s="48" t="n"/>
      <c r="E1096" s="28">
        <f>IF($C1096="","",IF($D1096="",IF($C1096="Interna","Sin guía (interna)","FALTA GUÍA"),IF(COUNTIFS(ENVIOS!$A$4:$A$3003,$D1096)=0,"NO EXISTE",IF(COUNTIFS(ENVIOS!$A$4:$A$3003,$D1096)&gt;1,"DUPLICADA","OK"))))</f>
        <v/>
      </c>
      <c r="F1096" s="28">
        <f>IF($D1096="","",IFERROR(INDEX(ENVIOS!$B$4:$B$3003,MATCH($D1096,ENVIOS!$A$4:$A$3003,0)),"—"))</f>
        <v/>
      </c>
      <c r="G1096" s="23">
        <f>IF($D1096="","",IFERROR(INDEX(ENVIOS!$D$4:$D$3003,MATCH($D1096,ENVIOS!$A$4:$A$3003,0)),"—"))</f>
        <v/>
      </c>
      <c r="H1096" s="23">
        <f>IF($D1096="","",IFERROR(INDEX(ENVIOS!$E$4:$E$3003,MATCH($D1096,ENVIOS!$A$4:$A$3003,0)),"—"))</f>
        <v/>
      </c>
      <c r="I1096" s="23">
        <f>IF($D1096="","",IFERROR(INDEX(ENVIOS!$F$4:$F$3003,MATCH($D1096,ENVIOS!$A$4:$A$3003,0)),"—"))</f>
        <v/>
      </c>
      <c r="J1096" s="23">
        <f>IF($D1096="","",IFERROR(INDEX(ENVIOS!$G$4:$G$3003,MATCH($D1096,ENVIOS!$A$4:$A$3003,0)),"—"))</f>
        <v/>
      </c>
      <c r="K1096" s="28">
        <f>IF($D1096="","",IFERROR(INDEX(ENVIOS!$H$4:$H$3003,MATCH($D1096,ENVIOS!$A$4:$A$3003,0)),"—"))</f>
        <v/>
      </c>
      <c r="L1096" s="49">
        <f>IF($D1096="","",IFERROR(INDEX(ENVIOS!$C$4:$C$3003,MATCH($D1096,ENVIOS!$A$4:$A$3003,0)),""))</f>
        <v/>
      </c>
      <c r="M1096" s="50" t="n"/>
      <c r="N1096" s="28">
        <f>IF($M1096="","",IFERROR(INDEX(CONFIG!$C$4:$C$63,MATCH($M1096,CONFIG!$A$4:$A$63,0)),"Media"))</f>
        <v/>
      </c>
      <c r="O1096" s="28">
        <f>IF($M1096="","",IF($C1096="Interna","NO",IFERROR(INDEX(CONFIG!$E$4:$E$63,MATCH($M1096,CONFIG!$A$4:$A$63,0)),"NO")))</f>
        <v/>
      </c>
      <c r="P1096" s="50" t="n"/>
      <c r="Q1096" s="50" t="n"/>
      <c r="R1096" s="28">
        <f>IF($Q1096="","",IFERROR(INDEX(CONFIG!$H$4:$H$63,MATCH($Q1096,CONFIG!$G$4:$G$63,0)),"Por definir"))</f>
        <v/>
      </c>
      <c r="S1096" s="28">
        <f>IF($Q1096="","",IFERROR(INDEX(CONFIG!$I$4:$I$63,MATCH($Q1096,CONFIG!$G$4:$G$63,0)),"Por definir"))</f>
        <v/>
      </c>
      <c r="T1096" s="51" t="n"/>
      <c r="U1096" s="52" t="n"/>
      <c r="V1096" s="50" t="n"/>
      <c r="W1096" s="50" t="n"/>
      <c r="X1096" s="49">
        <f>IF(OR($B1096="",$M1096=""),"",WORKDAY($B1096,IFERROR(INDEX(CONFIG!$D$4:$D$63,MATCH($M1096,CONFIG!$A$4:$A$63,0)),3)))</f>
        <v/>
      </c>
      <c r="Y1096" s="47" t="n"/>
      <c r="Z1096" s="24">
        <f>IF($B1096="","",IF($Y1096&lt;&gt;"",$Y1096-$B1096,TODAY()-$B1096))</f>
        <v/>
      </c>
      <c r="AA1096" s="28">
        <f>IF($B1096="","",IF(IFERROR(INDEX(CONFIG!$L$4:$L$63,MATCH($V1096,CONFIG!$K$4:$K$63,0)),"NO")="SÍ",IF(OR($Y1096="",$X1096=""),"Resuelta",IF($Y1096&gt;$X1096,"Resuelta tarde","Resuelta a tiempo")),IF($X1096="","Sin clasificar",IF(TODAY()&gt;$X1096,"Vencida",IF(TODAY()&gt;=$X1096-1,"Por vencer","En plazo")))))</f>
        <v/>
      </c>
      <c r="AB1096" s="50" t="n"/>
      <c r="AC1096" s="50" t="n"/>
    </row>
    <row r="1097" ht="16" customHeight="1">
      <c r="A1097" s="28">
        <f>IF($B1097="","","N-"&amp;TEXT(ROW()-3,"0000"))</f>
        <v/>
      </c>
      <c r="B1097" s="47" t="n"/>
      <c r="C1097" s="48" t="n"/>
      <c r="D1097" s="48" t="n"/>
      <c r="E1097" s="28">
        <f>IF($C1097="","",IF($D1097="",IF($C1097="Interna","Sin guía (interna)","FALTA GUÍA"),IF(COUNTIFS(ENVIOS!$A$4:$A$3003,$D1097)=0,"NO EXISTE",IF(COUNTIFS(ENVIOS!$A$4:$A$3003,$D1097)&gt;1,"DUPLICADA","OK"))))</f>
        <v/>
      </c>
      <c r="F1097" s="28">
        <f>IF($D1097="","",IFERROR(INDEX(ENVIOS!$B$4:$B$3003,MATCH($D1097,ENVIOS!$A$4:$A$3003,0)),"—"))</f>
        <v/>
      </c>
      <c r="G1097" s="23">
        <f>IF($D1097="","",IFERROR(INDEX(ENVIOS!$D$4:$D$3003,MATCH($D1097,ENVIOS!$A$4:$A$3003,0)),"—"))</f>
        <v/>
      </c>
      <c r="H1097" s="23">
        <f>IF($D1097="","",IFERROR(INDEX(ENVIOS!$E$4:$E$3003,MATCH($D1097,ENVIOS!$A$4:$A$3003,0)),"—"))</f>
        <v/>
      </c>
      <c r="I1097" s="23">
        <f>IF($D1097="","",IFERROR(INDEX(ENVIOS!$F$4:$F$3003,MATCH($D1097,ENVIOS!$A$4:$A$3003,0)),"—"))</f>
        <v/>
      </c>
      <c r="J1097" s="23">
        <f>IF($D1097="","",IFERROR(INDEX(ENVIOS!$G$4:$G$3003,MATCH($D1097,ENVIOS!$A$4:$A$3003,0)),"—"))</f>
        <v/>
      </c>
      <c r="K1097" s="28">
        <f>IF($D1097="","",IFERROR(INDEX(ENVIOS!$H$4:$H$3003,MATCH($D1097,ENVIOS!$A$4:$A$3003,0)),"—"))</f>
        <v/>
      </c>
      <c r="L1097" s="49">
        <f>IF($D1097="","",IFERROR(INDEX(ENVIOS!$C$4:$C$3003,MATCH($D1097,ENVIOS!$A$4:$A$3003,0)),""))</f>
        <v/>
      </c>
      <c r="M1097" s="50" t="n"/>
      <c r="N1097" s="28">
        <f>IF($M1097="","",IFERROR(INDEX(CONFIG!$C$4:$C$63,MATCH($M1097,CONFIG!$A$4:$A$63,0)),"Media"))</f>
        <v/>
      </c>
      <c r="O1097" s="28">
        <f>IF($M1097="","",IF($C1097="Interna","NO",IFERROR(INDEX(CONFIG!$E$4:$E$63,MATCH($M1097,CONFIG!$A$4:$A$63,0)),"NO")))</f>
        <v/>
      </c>
      <c r="P1097" s="50" t="n"/>
      <c r="Q1097" s="50" t="n"/>
      <c r="R1097" s="28">
        <f>IF($Q1097="","",IFERROR(INDEX(CONFIG!$H$4:$H$63,MATCH($Q1097,CONFIG!$G$4:$G$63,0)),"Por definir"))</f>
        <v/>
      </c>
      <c r="S1097" s="28">
        <f>IF($Q1097="","",IFERROR(INDEX(CONFIG!$I$4:$I$63,MATCH($Q1097,CONFIG!$G$4:$G$63,0)),"Por definir"))</f>
        <v/>
      </c>
      <c r="T1097" s="51" t="n"/>
      <c r="U1097" s="52" t="n"/>
      <c r="V1097" s="50" t="n"/>
      <c r="W1097" s="50" t="n"/>
      <c r="X1097" s="49">
        <f>IF(OR($B1097="",$M1097=""),"",WORKDAY($B1097,IFERROR(INDEX(CONFIG!$D$4:$D$63,MATCH($M1097,CONFIG!$A$4:$A$63,0)),3)))</f>
        <v/>
      </c>
      <c r="Y1097" s="47" t="n"/>
      <c r="Z1097" s="24">
        <f>IF($B1097="","",IF($Y1097&lt;&gt;"",$Y1097-$B1097,TODAY()-$B1097))</f>
        <v/>
      </c>
      <c r="AA1097" s="28">
        <f>IF($B1097="","",IF(IFERROR(INDEX(CONFIG!$L$4:$L$63,MATCH($V1097,CONFIG!$K$4:$K$63,0)),"NO")="SÍ",IF(OR($Y1097="",$X1097=""),"Resuelta",IF($Y1097&gt;$X1097,"Resuelta tarde","Resuelta a tiempo")),IF($X1097="","Sin clasificar",IF(TODAY()&gt;$X1097,"Vencida",IF(TODAY()&gt;=$X1097-1,"Por vencer","En plazo")))))</f>
        <v/>
      </c>
      <c r="AB1097" s="50" t="n"/>
      <c r="AC1097" s="50" t="n"/>
    </row>
    <row r="1098" ht="16" customHeight="1">
      <c r="A1098" s="28">
        <f>IF($B1098="","","N-"&amp;TEXT(ROW()-3,"0000"))</f>
        <v/>
      </c>
      <c r="B1098" s="47" t="n"/>
      <c r="C1098" s="48" t="n"/>
      <c r="D1098" s="48" t="n"/>
      <c r="E1098" s="28">
        <f>IF($C1098="","",IF($D1098="",IF($C1098="Interna","Sin guía (interna)","FALTA GUÍA"),IF(COUNTIFS(ENVIOS!$A$4:$A$3003,$D1098)=0,"NO EXISTE",IF(COUNTIFS(ENVIOS!$A$4:$A$3003,$D1098)&gt;1,"DUPLICADA","OK"))))</f>
        <v/>
      </c>
      <c r="F1098" s="28">
        <f>IF($D1098="","",IFERROR(INDEX(ENVIOS!$B$4:$B$3003,MATCH($D1098,ENVIOS!$A$4:$A$3003,0)),"—"))</f>
        <v/>
      </c>
      <c r="G1098" s="23">
        <f>IF($D1098="","",IFERROR(INDEX(ENVIOS!$D$4:$D$3003,MATCH($D1098,ENVIOS!$A$4:$A$3003,0)),"—"))</f>
        <v/>
      </c>
      <c r="H1098" s="23">
        <f>IF($D1098="","",IFERROR(INDEX(ENVIOS!$E$4:$E$3003,MATCH($D1098,ENVIOS!$A$4:$A$3003,0)),"—"))</f>
        <v/>
      </c>
      <c r="I1098" s="23">
        <f>IF($D1098="","",IFERROR(INDEX(ENVIOS!$F$4:$F$3003,MATCH($D1098,ENVIOS!$A$4:$A$3003,0)),"—"))</f>
        <v/>
      </c>
      <c r="J1098" s="23">
        <f>IF($D1098="","",IFERROR(INDEX(ENVIOS!$G$4:$G$3003,MATCH($D1098,ENVIOS!$A$4:$A$3003,0)),"—"))</f>
        <v/>
      </c>
      <c r="K1098" s="28">
        <f>IF($D1098="","",IFERROR(INDEX(ENVIOS!$H$4:$H$3003,MATCH($D1098,ENVIOS!$A$4:$A$3003,0)),"—"))</f>
        <v/>
      </c>
      <c r="L1098" s="49">
        <f>IF($D1098="","",IFERROR(INDEX(ENVIOS!$C$4:$C$3003,MATCH($D1098,ENVIOS!$A$4:$A$3003,0)),""))</f>
        <v/>
      </c>
      <c r="M1098" s="50" t="n"/>
      <c r="N1098" s="28">
        <f>IF($M1098="","",IFERROR(INDEX(CONFIG!$C$4:$C$63,MATCH($M1098,CONFIG!$A$4:$A$63,0)),"Media"))</f>
        <v/>
      </c>
      <c r="O1098" s="28">
        <f>IF($M1098="","",IF($C1098="Interna","NO",IFERROR(INDEX(CONFIG!$E$4:$E$63,MATCH($M1098,CONFIG!$A$4:$A$63,0)),"NO")))</f>
        <v/>
      </c>
      <c r="P1098" s="50" t="n"/>
      <c r="Q1098" s="50" t="n"/>
      <c r="R1098" s="28">
        <f>IF($Q1098="","",IFERROR(INDEX(CONFIG!$H$4:$H$63,MATCH($Q1098,CONFIG!$G$4:$G$63,0)),"Por definir"))</f>
        <v/>
      </c>
      <c r="S1098" s="28">
        <f>IF($Q1098="","",IFERROR(INDEX(CONFIG!$I$4:$I$63,MATCH($Q1098,CONFIG!$G$4:$G$63,0)),"Por definir"))</f>
        <v/>
      </c>
      <c r="T1098" s="51" t="n"/>
      <c r="U1098" s="52" t="n"/>
      <c r="V1098" s="50" t="n"/>
      <c r="W1098" s="50" t="n"/>
      <c r="X1098" s="49">
        <f>IF(OR($B1098="",$M1098=""),"",WORKDAY($B1098,IFERROR(INDEX(CONFIG!$D$4:$D$63,MATCH($M1098,CONFIG!$A$4:$A$63,0)),3)))</f>
        <v/>
      </c>
      <c r="Y1098" s="47" t="n"/>
      <c r="Z1098" s="24">
        <f>IF($B1098="","",IF($Y1098&lt;&gt;"",$Y1098-$B1098,TODAY()-$B1098))</f>
        <v/>
      </c>
      <c r="AA1098" s="28">
        <f>IF($B1098="","",IF(IFERROR(INDEX(CONFIG!$L$4:$L$63,MATCH($V1098,CONFIG!$K$4:$K$63,0)),"NO")="SÍ",IF(OR($Y1098="",$X1098=""),"Resuelta",IF($Y1098&gt;$X1098,"Resuelta tarde","Resuelta a tiempo")),IF($X1098="","Sin clasificar",IF(TODAY()&gt;$X1098,"Vencida",IF(TODAY()&gt;=$X1098-1,"Por vencer","En plazo")))))</f>
        <v/>
      </c>
      <c r="AB1098" s="50" t="n"/>
      <c r="AC1098" s="50" t="n"/>
    </row>
    <row r="1099" ht="16" customHeight="1">
      <c r="A1099" s="28">
        <f>IF($B1099="","","N-"&amp;TEXT(ROW()-3,"0000"))</f>
        <v/>
      </c>
      <c r="B1099" s="47" t="n"/>
      <c r="C1099" s="48" t="n"/>
      <c r="D1099" s="48" t="n"/>
      <c r="E1099" s="28">
        <f>IF($C1099="","",IF($D1099="",IF($C1099="Interna","Sin guía (interna)","FALTA GUÍA"),IF(COUNTIFS(ENVIOS!$A$4:$A$3003,$D1099)=0,"NO EXISTE",IF(COUNTIFS(ENVIOS!$A$4:$A$3003,$D1099)&gt;1,"DUPLICADA","OK"))))</f>
        <v/>
      </c>
      <c r="F1099" s="28">
        <f>IF($D1099="","",IFERROR(INDEX(ENVIOS!$B$4:$B$3003,MATCH($D1099,ENVIOS!$A$4:$A$3003,0)),"—"))</f>
        <v/>
      </c>
      <c r="G1099" s="23">
        <f>IF($D1099="","",IFERROR(INDEX(ENVIOS!$D$4:$D$3003,MATCH($D1099,ENVIOS!$A$4:$A$3003,0)),"—"))</f>
        <v/>
      </c>
      <c r="H1099" s="23">
        <f>IF($D1099="","",IFERROR(INDEX(ENVIOS!$E$4:$E$3003,MATCH($D1099,ENVIOS!$A$4:$A$3003,0)),"—"))</f>
        <v/>
      </c>
      <c r="I1099" s="23">
        <f>IF($D1099="","",IFERROR(INDEX(ENVIOS!$F$4:$F$3003,MATCH($D1099,ENVIOS!$A$4:$A$3003,0)),"—"))</f>
        <v/>
      </c>
      <c r="J1099" s="23">
        <f>IF($D1099="","",IFERROR(INDEX(ENVIOS!$G$4:$G$3003,MATCH($D1099,ENVIOS!$A$4:$A$3003,0)),"—"))</f>
        <v/>
      </c>
      <c r="K1099" s="28">
        <f>IF($D1099="","",IFERROR(INDEX(ENVIOS!$H$4:$H$3003,MATCH($D1099,ENVIOS!$A$4:$A$3003,0)),"—"))</f>
        <v/>
      </c>
      <c r="L1099" s="49">
        <f>IF($D1099="","",IFERROR(INDEX(ENVIOS!$C$4:$C$3003,MATCH($D1099,ENVIOS!$A$4:$A$3003,0)),""))</f>
        <v/>
      </c>
      <c r="M1099" s="50" t="n"/>
      <c r="N1099" s="28">
        <f>IF($M1099="","",IFERROR(INDEX(CONFIG!$C$4:$C$63,MATCH($M1099,CONFIG!$A$4:$A$63,0)),"Media"))</f>
        <v/>
      </c>
      <c r="O1099" s="28">
        <f>IF($M1099="","",IF($C1099="Interna","NO",IFERROR(INDEX(CONFIG!$E$4:$E$63,MATCH($M1099,CONFIG!$A$4:$A$63,0)),"NO")))</f>
        <v/>
      </c>
      <c r="P1099" s="50" t="n"/>
      <c r="Q1099" s="50" t="n"/>
      <c r="R1099" s="28">
        <f>IF($Q1099="","",IFERROR(INDEX(CONFIG!$H$4:$H$63,MATCH($Q1099,CONFIG!$G$4:$G$63,0)),"Por definir"))</f>
        <v/>
      </c>
      <c r="S1099" s="28">
        <f>IF($Q1099="","",IFERROR(INDEX(CONFIG!$I$4:$I$63,MATCH($Q1099,CONFIG!$G$4:$G$63,0)),"Por definir"))</f>
        <v/>
      </c>
      <c r="T1099" s="51" t="n"/>
      <c r="U1099" s="52" t="n"/>
      <c r="V1099" s="50" t="n"/>
      <c r="W1099" s="50" t="n"/>
      <c r="X1099" s="49">
        <f>IF(OR($B1099="",$M1099=""),"",WORKDAY($B1099,IFERROR(INDEX(CONFIG!$D$4:$D$63,MATCH($M1099,CONFIG!$A$4:$A$63,0)),3)))</f>
        <v/>
      </c>
      <c r="Y1099" s="47" t="n"/>
      <c r="Z1099" s="24">
        <f>IF($B1099="","",IF($Y1099&lt;&gt;"",$Y1099-$B1099,TODAY()-$B1099))</f>
        <v/>
      </c>
      <c r="AA1099" s="28">
        <f>IF($B1099="","",IF(IFERROR(INDEX(CONFIG!$L$4:$L$63,MATCH($V1099,CONFIG!$K$4:$K$63,0)),"NO")="SÍ",IF(OR($Y1099="",$X1099=""),"Resuelta",IF($Y1099&gt;$X1099,"Resuelta tarde","Resuelta a tiempo")),IF($X1099="","Sin clasificar",IF(TODAY()&gt;$X1099,"Vencida",IF(TODAY()&gt;=$X1099-1,"Por vencer","En plazo")))))</f>
        <v/>
      </c>
      <c r="AB1099" s="50" t="n"/>
      <c r="AC1099" s="50" t="n"/>
    </row>
    <row r="1100" ht="16" customHeight="1">
      <c r="A1100" s="28">
        <f>IF($B1100="","","N-"&amp;TEXT(ROW()-3,"0000"))</f>
        <v/>
      </c>
      <c r="B1100" s="47" t="n"/>
      <c r="C1100" s="48" t="n"/>
      <c r="D1100" s="48" t="n"/>
      <c r="E1100" s="28">
        <f>IF($C1100="","",IF($D1100="",IF($C1100="Interna","Sin guía (interna)","FALTA GUÍA"),IF(COUNTIFS(ENVIOS!$A$4:$A$3003,$D1100)=0,"NO EXISTE",IF(COUNTIFS(ENVIOS!$A$4:$A$3003,$D1100)&gt;1,"DUPLICADA","OK"))))</f>
        <v/>
      </c>
      <c r="F1100" s="28">
        <f>IF($D1100="","",IFERROR(INDEX(ENVIOS!$B$4:$B$3003,MATCH($D1100,ENVIOS!$A$4:$A$3003,0)),"—"))</f>
        <v/>
      </c>
      <c r="G1100" s="23">
        <f>IF($D1100="","",IFERROR(INDEX(ENVIOS!$D$4:$D$3003,MATCH($D1100,ENVIOS!$A$4:$A$3003,0)),"—"))</f>
        <v/>
      </c>
      <c r="H1100" s="23">
        <f>IF($D1100="","",IFERROR(INDEX(ENVIOS!$E$4:$E$3003,MATCH($D1100,ENVIOS!$A$4:$A$3003,0)),"—"))</f>
        <v/>
      </c>
      <c r="I1100" s="23">
        <f>IF($D1100="","",IFERROR(INDEX(ENVIOS!$F$4:$F$3003,MATCH($D1100,ENVIOS!$A$4:$A$3003,0)),"—"))</f>
        <v/>
      </c>
      <c r="J1100" s="23">
        <f>IF($D1100="","",IFERROR(INDEX(ENVIOS!$G$4:$G$3003,MATCH($D1100,ENVIOS!$A$4:$A$3003,0)),"—"))</f>
        <v/>
      </c>
      <c r="K1100" s="28">
        <f>IF($D1100="","",IFERROR(INDEX(ENVIOS!$H$4:$H$3003,MATCH($D1100,ENVIOS!$A$4:$A$3003,0)),"—"))</f>
        <v/>
      </c>
      <c r="L1100" s="49">
        <f>IF($D1100="","",IFERROR(INDEX(ENVIOS!$C$4:$C$3003,MATCH($D1100,ENVIOS!$A$4:$A$3003,0)),""))</f>
        <v/>
      </c>
      <c r="M1100" s="50" t="n"/>
      <c r="N1100" s="28">
        <f>IF($M1100="","",IFERROR(INDEX(CONFIG!$C$4:$C$63,MATCH($M1100,CONFIG!$A$4:$A$63,0)),"Media"))</f>
        <v/>
      </c>
      <c r="O1100" s="28">
        <f>IF($M1100="","",IF($C1100="Interna","NO",IFERROR(INDEX(CONFIG!$E$4:$E$63,MATCH($M1100,CONFIG!$A$4:$A$63,0)),"NO")))</f>
        <v/>
      </c>
      <c r="P1100" s="50" t="n"/>
      <c r="Q1100" s="50" t="n"/>
      <c r="R1100" s="28">
        <f>IF($Q1100="","",IFERROR(INDEX(CONFIG!$H$4:$H$63,MATCH($Q1100,CONFIG!$G$4:$G$63,0)),"Por definir"))</f>
        <v/>
      </c>
      <c r="S1100" s="28">
        <f>IF($Q1100="","",IFERROR(INDEX(CONFIG!$I$4:$I$63,MATCH($Q1100,CONFIG!$G$4:$G$63,0)),"Por definir"))</f>
        <v/>
      </c>
      <c r="T1100" s="51" t="n"/>
      <c r="U1100" s="52" t="n"/>
      <c r="V1100" s="50" t="n"/>
      <c r="W1100" s="50" t="n"/>
      <c r="X1100" s="49">
        <f>IF(OR($B1100="",$M1100=""),"",WORKDAY($B1100,IFERROR(INDEX(CONFIG!$D$4:$D$63,MATCH($M1100,CONFIG!$A$4:$A$63,0)),3)))</f>
        <v/>
      </c>
      <c r="Y1100" s="47" t="n"/>
      <c r="Z1100" s="24">
        <f>IF($B1100="","",IF($Y1100&lt;&gt;"",$Y1100-$B1100,TODAY()-$B1100))</f>
        <v/>
      </c>
      <c r="AA1100" s="28">
        <f>IF($B1100="","",IF(IFERROR(INDEX(CONFIG!$L$4:$L$63,MATCH($V1100,CONFIG!$K$4:$K$63,0)),"NO")="SÍ",IF(OR($Y1100="",$X1100=""),"Resuelta",IF($Y1100&gt;$X1100,"Resuelta tarde","Resuelta a tiempo")),IF($X1100="","Sin clasificar",IF(TODAY()&gt;$X1100,"Vencida",IF(TODAY()&gt;=$X1100-1,"Por vencer","En plazo")))))</f>
        <v/>
      </c>
      <c r="AB1100" s="50" t="n"/>
      <c r="AC1100" s="50" t="n"/>
    </row>
    <row r="1101" ht="16" customHeight="1">
      <c r="A1101" s="28">
        <f>IF($B1101="","","N-"&amp;TEXT(ROW()-3,"0000"))</f>
        <v/>
      </c>
      <c r="B1101" s="47" t="n"/>
      <c r="C1101" s="48" t="n"/>
      <c r="D1101" s="48" t="n"/>
      <c r="E1101" s="28">
        <f>IF($C1101="","",IF($D1101="",IF($C1101="Interna","Sin guía (interna)","FALTA GUÍA"),IF(COUNTIFS(ENVIOS!$A$4:$A$3003,$D1101)=0,"NO EXISTE",IF(COUNTIFS(ENVIOS!$A$4:$A$3003,$D1101)&gt;1,"DUPLICADA","OK"))))</f>
        <v/>
      </c>
      <c r="F1101" s="28">
        <f>IF($D1101="","",IFERROR(INDEX(ENVIOS!$B$4:$B$3003,MATCH($D1101,ENVIOS!$A$4:$A$3003,0)),"—"))</f>
        <v/>
      </c>
      <c r="G1101" s="23">
        <f>IF($D1101="","",IFERROR(INDEX(ENVIOS!$D$4:$D$3003,MATCH($D1101,ENVIOS!$A$4:$A$3003,0)),"—"))</f>
        <v/>
      </c>
      <c r="H1101" s="23">
        <f>IF($D1101="","",IFERROR(INDEX(ENVIOS!$E$4:$E$3003,MATCH($D1101,ENVIOS!$A$4:$A$3003,0)),"—"))</f>
        <v/>
      </c>
      <c r="I1101" s="23">
        <f>IF($D1101="","",IFERROR(INDEX(ENVIOS!$F$4:$F$3003,MATCH($D1101,ENVIOS!$A$4:$A$3003,0)),"—"))</f>
        <v/>
      </c>
      <c r="J1101" s="23">
        <f>IF($D1101="","",IFERROR(INDEX(ENVIOS!$G$4:$G$3003,MATCH($D1101,ENVIOS!$A$4:$A$3003,0)),"—"))</f>
        <v/>
      </c>
      <c r="K1101" s="28">
        <f>IF($D1101="","",IFERROR(INDEX(ENVIOS!$H$4:$H$3003,MATCH($D1101,ENVIOS!$A$4:$A$3003,0)),"—"))</f>
        <v/>
      </c>
      <c r="L1101" s="49">
        <f>IF($D1101="","",IFERROR(INDEX(ENVIOS!$C$4:$C$3003,MATCH($D1101,ENVIOS!$A$4:$A$3003,0)),""))</f>
        <v/>
      </c>
      <c r="M1101" s="50" t="n"/>
      <c r="N1101" s="28">
        <f>IF($M1101="","",IFERROR(INDEX(CONFIG!$C$4:$C$63,MATCH($M1101,CONFIG!$A$4:$A$63,0)),"Media"))</f>
        <v/>
      </c>
      <c r="O1101" s="28">
        <f>IF($M1101="","",IF($C1101="Interna","NO",IFERROR(INDEX(CONFIG!$E$4:$E$63,MATCH($M1101,CONFIG!$A$4:$A$63,0)),"NO")))</f>
        <v/>
      </c>
      <c r="P1101" s="50" t="n"/>
      <c r="Q1101" s="50" t="n"/>
      <c r="R1101" s="28">
        <f>IF($Q1101="","",IFERROR(INDEX(CONFIG!$H$4:$H$63,MATCH($Q1101,CONFIG!$G$4:$G$63,0)),"Por definir"))</f>
        <v/>
      </c>
      <c r="S1101" s="28">
        <f>IF($Q1101="","",IFERROR(INDEX(CONFIG!$I$4:$I$63,MATCH($Q1101,CONFIG!$G$4:$G$63,0)),"Por definir"))</f>
        <v/>
      </c>
      <c r="T1101" s="51" t="n"/>
      <c r="U1101" s="52" t="n"/>
      <c r="V1101" s="50" t="n"/>
      <c r="W1101" s="50" t="n"/>
      <c r="X1101" s="49">
        <f>IF(OR($B1101="",$M1101=""),"",WORKDAY($B1101,IFERROR(INDEX(CONFIG!$D$4:$D$63,MATCH($M1101,CONFIG!$A$4:$A$63,0)),3)))</f>
        <v/>
      </c>
      <c r="Y1101" s="47" t="n"/>
      <c r="Z1101" s="24">
        <f>IF($B1101="","",IF($Y1101&lt;&gt;"",$Y1101-$B1101,TODAY()-$B1101))</f>
        <v/>
      </c>
      <c r="AA1101" s="28">
        <f>IF($B1101="","",IF(IFERROR(INDEX(CONFIG!$L$4:$L$63,MATCH($V1101,CONFIG!$K$4:$K$63,0)),"NO")="SÍ",IF(OR($Y1101="",$X1101=""),"Resuelta",IF($Y1101&gt;$X1101,"Resuelta tarde","Resuelta a tiempo")),IF($X1101="","Sin clasificar",IF(TODAY()&gt;$X1101,"Vencida",IF(TODAY()&gt;=$X1101-1,"Por vencer","En plazo")))))</f>
        <v/>
      </c>
      <c r="AB1101" s="50" t="n"/>
      <c r="AC1101" s="50" t="n"/>
    </row>
    <row r="1102" ht="16" customHeight="1">
      <c r="A1102" s="28">
        <f>IF($B1102="","","N-"&amp;TEXT(ROW()-3,"0000"))</f>
        <v/>
      </c>
      <c r="B1102" s="47" t="n"/>
      <c r="C1102" s="48" t="n"/>
      <c r="D1102" s="48" t="n"/>
      <c r="E1102" s="28">
        <f>IF($C1102="","",IF($D1102="",IF($C1102="Interna","Sin guía (interna)","FALTA GUÍA"),IF(COUNTIFS(ENVIOS!$A$4:$A$3003,$D1102)=0,"NO EXISTE",IF(COUNTIFS(ENVIOS!$A$4:$A$3003,$D1102)&gt;1,"DUPLICADA","OK"))))</f>
        <v/>
      </c>
      <c r="F1102" s="28">
        <f>IF($D1102="","",IFERROR(INDEX(ENVIOS!$B$4:$B$3003,MATCH($D1102,ENVIOS!$A$4:$A$3003,0)),"—"))</f>
        <v/>
      </c>
      <c r="G1102" s="23">
        <f>IF($D1102="","",IFERROR(INDEX(ENVIOS!$D$4:$D$3003,MATCH($D1102,ENVIOS!$A$4:$A$3003,0)),"—"))</f>
        <v/>
      </c>
      <c r="H1102" s="23">
        <f>IF($D1102="","",IFERROR(INDEX(ENVIOS!$E$4:$E$3003,MATCH($D1102,ENVIOS!$A$4:$A$3003,0)),"—"))</f>
        <v/>
      </c>
      <c r="I1102" s="23">
        <f>IF($D1102="","",IFERROR(INDEX(ENVIOS!$F$4:$F$3003,MATCH($D1102,ENVIOS!$A$4:$A$3003,0)),"—"))</f>
        <v/>
      </c>
      <c r="J1102" s="23">
        <f>IF($D1102="","",IFERROR(INDEX(ENVIOS!$G$4:$G$3003,MATCH($D1102,ENVIOS!$A$4:$A$3003,0)),"—"))</f>
        <v/>
      </c>
      <c r="K1102" s="28">
        <f>IF($D1102="","",IFERROR(INDEX(ENVIOS!$H$4:$H$3003,MATCH($D1102,ENVIOS!$A$4:$A$3003,0)),"—"))</f>
        <v/>
      </c>
      <c r="L1102" s="49">
        <f>IF($D1102="","",IFERROR(INDEX(ENVIOS!$C$4:$C$3003,MATCH($D1102,ENVIOS!$A$4:$A$3003,0)),""))</f>
        <v/>
      </c>
      <c r="M1102" s="50" t="n"/>
      <c r="N1102" s="28">
        <f>IF($M1102="","",IFERROR(INDEX(CONFIG!$C$4:$C$63,MATCH($M1102,CONFIG!$A$4:$A$63,0)),"Media"))</f>
        <v/>
      </c>
      <c r="O1102" s="28">
        <f>IF($M1102="","",IF($C1102="Interna","NO",IFERROR(INDEX(CONFIG!$E$4:$E$63,MATCH($M1102,CONFIG!$A$4:$A$63,0)),"NO")))</f>
        <v/>
      </c>
      <c r="P1102" s="50" t="n"/>
      <c r="Q1102" s="50" t="n"/>
      <c r="R1102" s="28">
        <f>IF($Q1102="","",IFERROR(INDEX(CONFIG!$H$4:$H$63,MATCH($Q1102,CONFIG!$G$4:$G$63,0)),"Por definir"))</f>
        <v/>
      </c>
      <c r="S1102" s="28">
        <f>IF($Q1102="","",IFERROR(INDEX(CONFIG!$I$4:$I$63,MATCH($Q1102,CONFIG!$G$4:$G$63,0)),"Por definir"))</f>
        <v/>
      </c>
      <c r="T1102" s="51" t="n"/>
      <c r="U1102" s="52" t="n"/>
      <c r="V1102" s="50" t="n"/>
      <c r="W1102" s="50" t="n"/>
      <c r="X1102" s="49">
        <f>IF(OR($B1102="",$M1102=""),"",WORKDAY($B1102,IFERROR(INDEX(CONFIG!$D$4:$D$63,MATCH($M1102,CONFIG!$A$4:$A$63,0)),3)))</f>
        <v/>
      </c>
      <c r="Y1102" s="47" t="n"/>
      <c r="Z1102" s="24">
        <f>IF($B1102="","",IF($Y1102&lt;&gt;"",$Y1102-$B1102,TODAY()-$B1102))</f>
        <v/>
      </c>
      <c r="AA1102" s="28">
        <f>IF($B1102="","",IF(IFERROR(INDEX(CONFIG!$L$4:$L$63,MATCH($V1102,CONFIG!$K$4:$K$63,0)),"NO")="SÍ",IF(OR($Y1102="",$X1102=""),"Resuelta",IF($Y1102&gt;$X1102,"Resuelta tarde","Resuelta a tiempo")),IF($X1102="","Sin clasificar",IF(TODAY()&gt;$X1102,"Vencida",IF(TODAY()&gt;=$X1102-1,"Por vencer","En plazo")))))</f>
        <v/>
      </c>
      <c r="AB1102" s="50" t="n"/>
      <c r="AC1102" s="50" t="n"/>
    </row>
    <row r="1103" ht="16" customHeight="1">
      <c r="A1103" s="28">
        <f>IF($B1103="","","N-"&amp;TEXT(ROW()-3,"0000"))</f>
        <v/>
      </c>
      <c r="B1103" s="47" t="n"/>
      <c r="C1103" s="48" t="n"/>
      <c r="D1103" s="48" t="n"/>
      <c r="E1103" s="28">
        <f>IF($C1103="","",IF($D1103="",IF($C1103="Interna","Sin guía (interna)","FALTA GUÍA"),IF(COUNTIFS(ENVIOS!$A$4:$A$3003,$D1103)=0,"NO EXISTE",IF(COUNTIFS(ENVIOS!$A$4:$A$3003,$D1103)&gt;1,"DUPLICADA","OK"))))</f>
        <v/>
      </c>
      <c r="F1103" s="28">
        <f>IF($D1103="","",IFERROR(INDEX(ENVIOS!$B$4:$B$3003,MATCH($D1103,ENVIOS!$A$4:$A$3003,0)),"—"))</f>
        <v/>
      </c>
      <c r="G1103" s="23">
        <f>IF($D1103="","",IFERROR(INDEX(ENVIOS!$D$4:$D$3003,MATCH($D1103,ENVIOS!$A$4:$A$3003,0)),"—"))</f>
        <v/>
      </c>
      <c r="H1103" s="23">
        <f>IF($D1103="","",IFERROR(INDEX(ENVIOS!$E$4:$E$3003,MATCH($D1103,ENVIOS!$A$4:$A$3003,0)),"—"))</f>
        <v/>
      </c>
      <c r="I1103" s="23">
        <f>IF($D1103="","",IFERROR(INDEX(ENVIOS!$F$4:$F$3003,MATCH($D1103,ENVIOS!$A$4:$A$3003,0)),"—"))</f>
        <v/>
      </c>
      <c r="J1103" s="23">
        <f>IF($D1103="","",IFERROR(INDEX(ENVIOS!$G$4:$G$3003,MATCH($D1103,ENVIOS!$A$4:$A$3003,0)),"—"))</f>
        <v/>
      </c>
      <c r="K1103" s="28">
        <f>IF($D1103="","",IFERROR(INDEX(ENVIOS!$H$4:$H$3003,MATCH($D1103,ENVIOS!$A$4:$A$3003,0)),"—"))</f>
        <v/>
      </c>
      <c r="L1103" s="49">
        <f>IF($D1103="","",IFERROR(INDEX(ENVIOS!$C$4:$C$3003,MATCH($D1103,ENVIOS!$A$4:$A$3003,0)),""))</f>
        <v/>
      </c>
      <c r="M1103" s="50" t="n"/>
      <c r="N1103" s="28">
        <f>IF($M1103="","",IFERROR(INDEX(CONFIG!$C$4:$C$63,MATCH($M1103,CONFIG!$A$4:$A$63,0)),"Media"))</f>
        <v/>
      </c>
      <c r="O1103" s="28">
        <f>IF($M1103="","",IF($C1103="Interna","NO",IFERROR(INDEX(CONFIG!$E$4:$E$63,MATCH($M1103,CONFIG!$A$4:$A$63,0)),"NO")))</f>
        <v/>
      </c>
      <c r="P1103" s="50" t="n"/>
      <c r="Q1103" s="50" t="n"/>
      <c r="R1103" s="28">
        <f>IF($Q1103="","",IFERROR(INDEX(CONFIG!$H$4:$H$63,MATCH($Q1103,CONFIG!$G$4:$G$63,0)),"Por definir"))</f>
        <v/>
      </c>
      <c r="S1103" s="28">
        <f>IF($Q1103="","",IFERROR(INDEX(CONFIG!$I$4:$I$63,MATCH($Q1103,CONFIG!$G$4:$G$63,0)),"Por definir"))</f>
        <v/>
      </c>
      <c r="T1103" s="51" t="n"/>
      <c r="U1103" s="52" t="n"/>
      <c r="V1103" s="50" t="n"/>
      <c r="W1103" s="50" t="n"/>
      <c r="X1103" s="49">
        <f>IF(OR($B1103="",$M1103=""),"",WORKDAY($B1103,IFERROR(INDEX(CONFIG!$D$4:$D$63,MATCH($M1103,CONFIG!$A$4:$A$63,0)),3)))</f>
        <v/>
      </c>
      <c r="Y1103" s="47" t="n"/>
      <c r="Z1103" s="24">
        <f>IF($B1103="","",IF($Y1103&lt;&gt;"",$Y1103-$B1103,TODAY()-$B1103))</f>
        <v/>
      </c>
      <c r="AA1103" s="28">
        <f>IF($B1103="","",IF(IFERROR(INDEX(CONFIG!$L$4:$L$63,MATCH($V1103,CONFIG!$K$4:$K$63,0)),"NO")="SÍ",IF(OR($Y1103="",$X1103=""),"Resuelta",IF($Y1103&gt;$X1103,"Resuelta tarde","Resuelta a tiempo")),IF($X1103="","Sin clasificar",IF(TODAY()&gt;$X1103,"Vencida",IF(TODAY()&gt;=$X1103-1,"Por vencer","En plazo")))))</f>
        <v/>
      </c>
      <c r="AB1103" s="50" t="n"/>
      <c r="AC1103" s="50" t="n"/>
    </row>
    <row r="1104" ht="16" customHeight="1">
      <c r="A1104" s="28">
        <f>IF($B1104="","","N-"&amp;TEXT(ROW()-3,"0000"))</f>
        <v/>
      </c>
      <c r="B1104" s="47" t="n"/>
      <c r="C1104" s="48" t="n"/>
      <c r="D1104" s="48" t="n"/>
      <c r="E1104" s="28">
        <f>IF($C1104="","",IF($D1104="",IF($C1104="Interna","Sin guía (interna)","FALTA GUÍA"),IF(COUNTIFS(ENVIOS!$A$4:$A$3003,$D1104)=0,"NO EXISTE",IF(COUNTIFS(ENVIOS!$A$4:$A$3003,$D1104)&gt;1,"DUPLICADA","OK"))))</f>
        <v/>
      </c>
      <c r="F1104" s="28">
        <f>IF($D1104="","",IFERROR(INDEX(ENVIOS!$B$4:$B$3003,MATCH($D1104,ENVIOS!$A$4:$A$3003,0)),"—"))</f>
        <v/>
      </c>
      <c r="G1104" s="23">
        <f>IF($D1104="","",IFERROR(INDEX(ENVIOS!$D$4:$D$3003,MATCH($D1104,ENVIOS!$A$4:$A$3003,0)),"—"))</f>
        <v/>
      </c>
      <c r="H1104" s="23">
        <f>IF($D1104="","",IFERROR(INDEX(ENVIOS!$E$4:$E$3003,MATCH($D1104,ENVIOS!$A$4:$A$3003,0)),"—"))</f>
        <v/>
      </c>
      <c r="I1104" s="23">
        <f>IF($D1104="","",IFERROR(INDEX(ENVIOS!$F$4:$F$3003,MATCH($D1104,ENVIOS!$A$4:$A$3003,0)),"—"))</f>
        <v/>
      </c>
      <c r="J1104" s="23">
        <f>IF($D1104="","",IFERROR(INDEX(ENVIOS!$G$4:$G$3003,MATCH($D1104,ENVIOS!$A$4:$A$3003,0)),"—"))</f>
        <v/>
      </c>
      <c r="K1104" s="28">
        <f>IF($D1104="","",IFERROR(INDEX(ENVIOS!$H$4:$H$3003,MATCH($D1104,ENVIOS!$A$4:$A$3003,0)),"—"))</f>
        <v/>
      </c>
      <c r="L1104" s="49">
        <f>IF($D1104="","",IFERROR(INDEX(ENVIOS!$C$4:$C$3003,MATCH($D1104,ENVIOS!$A$4:$A$3003,0)),""))</f>
        <v/>
      </c>
      <c r="M1104" s="50" t="n"/>
      <c r="N1104" s="28">
        <f>IF($M1104="","",IFERROR(INDEX(CONFIG!$C$4:$C$63,MATCH($M1104,CONFIG!$A$4:$A$63,0)),"Media"))</f>
        <v/>
      </c>
      <c r="O1104" s="28">
        <f>IF($M1104="","",IF($C1104="Interna","NO",IFERROR(INDEX(CONFIG!$E$4:$E$63,MATCH($M1104,CONFIG!$A$4:$A$63,0)),"NO")))</f>
        <v/>
      </c>
      <c r="P1104" s="50" t="n"/>
      <c r="Q1104" s="50" t="n"/>
      <c r="R1104" s="28">
        <f>IF($Q1104="","",IFERROR(INDEX(CONFIG!$H$4:$H$63,MATCH($Q1104,CONFIG!$G$4:$G$63,0)),"Por definir"))</f>
        <v/>
      </c>
      <c r="S1104" s="28">
        <f>IF($Q1104="","",IFERROR(INDEX(CONFIG!$I$4:$I$63,MATCH($Q1104,CONFIG!$G$4:$G$63,0)),"Por definir"))</f>
        <v/>
      </c>
      <c r="T1104" s="51" t="n"/>
      <c r="U1104" s="52" t="n"/>
      <c r="V1104" s="50" t="n"/>
      <c r="W1104" s="50" t="n"/>
      <c r="X1104" s="49">
        <f>IF(OR($B1104="",$M1104=""),"",WORKDAY($B1104,IFERROR(INDEX(CONFIG!$D$4:$D$63,MATCH($M1104,CONFIG!$A$4:$A$63,0)),3)))</f>
        <v/>
      </c>
      <c r="Y1104" s="47" t="n"/>
      <c r="Z1104" s="24">
        <f>IF($B1104="","",IF($Y1104&lt;&gt;"",$Y1104-$B1104,TODAY()-$B1104))</f>
        <v/>
      </c>
      <c r="AA1104" s="28">
        <f>IF($B1104="","",IF(IFERROR(INDEX(CONFIG!$L$4:$L$63,MATCH($V1104,CONFIG!$K$4:$K$63,0)),"NO")="SÍ",IF(OR($Y1104="",$X1104=""),"Resuelta",IF($Y1104&gt;$X1104,"Resuelta tarde","Resuelta a tiempo")),IF($X1104="","Sin clasificar",IF(TODAY()&gt;$X1104,"Vencida",IF(TODAY()&gt;=$X1104-1,"Por vencer","En plazo")))))</f>
        <v/>
      </c>
      <c r="AB1104" s="50" t="n"/>
      <c r="AC1104" s="50" t="n"/>
    </row>
    <row r="1105" ht="16" customHeight="1">
      <c r="A1105" s="28">
        <f>IF($B1105="","","N-"&amp;TEXT(ROW()-3,"0000"))</f>
        <v/>
      </c>
      <c r="B1105" s="47" t="n"/>
      <c r="C1105" s="48" t="n"/>
      <c r="D1105" s="48" t="n"/>
      <c r="E1105" s="28">
        <f>IF($C1105="","",IF($D1105="",IF($C1105="Interna","Sin guía (interna)","FALTA GUÍA"),IF(COUNTIFS(ENVIOS!$A$4:$A$3003,$D1105)=0,"NO EXISTE",IF(COUNTIFS(ENVIOS!$A$4:$A$3003,$D1105)&gt;1,"DUPLICADA","OK"))))</f>
        <v/>
      </c>
      <c r="F1105" s="28">
        <f>IF($D1105="","",IFERROR(INDEX(ENVIOS!$B$4:$B$3003,MATCH($D1105,ENVIOS!$A$4:$A$3003,0)),"—"))</f>
        <v/>
      </c>
      <c r="G1105" s="23">
        <f>IF($D1105="","",IFERROR(INDEX(ENVIOS!$D$4:$D$3003,MATCH($D1105,ENVIOS!$A$4:$A$3003,0)),"—"))</f>
        <v/>
      </c>
      <c r="H1105" s="23">
        <f>IF($D1105="","",IFERROR(INDEX(ENVIOS!$E$4:$E$3003,MATCH($D1105,ENVIOS!$A$4:$A$3003,0)),"—"))</f>
        <v/>
      </c>
      <c r="I1105" s="23">
        <f>IF($D1105="","",IFERROR(INDEX(ENVIOS!$F$4:$F$3003,MATCH($D1105,ENVIOS!$A$4:$A$3003,0)),"—"))</f>
        <v/>
      </c>
      <c r="J1105" s="23">
        <f>IF($D1105="","",IFERROR(INDEX(ENVIOS!$G$4:$G$3003,MATCH($D1105,ENVIOS!$A$4:$A$3003,0)),"—"))</f>
        <v/>
      </c>
      <c r="K1105" s="28">
        <f>IF($D1105="","",IFERROR(INDEX(ENVIOS!$H$4:$H$3003,MATCH($D1105,ENVIOS!$A$4:$A$3003,0)),"—"))</f>
        <v/>
      </c>
      <c r="L1105" s="49">
        <f>IF($D1105="","",IFERROR(INDEX(ENVIOS!$C$4:$C$3003,MATCH($D1105,ENVIOS!$A$4:$A$3003,0)),""))</f>
        <v/>
      </c>
      <c r="M1105" s="50" t="n"/>
      <c r="N1105" s="28">
        <f>IF($M1105="","",IFERROR(INDEX(CONFIG!$C$4:$C$63,MATCH($M1105,CONFIG!$A$4:$A$63,0)),"Media"))</f>
        <v/>
      </c>
      <c r="O1105" s="28">
        <f>IF($M1105="","",IF($C1105="Interna","NO",IFERROR(INDEX(CONFIG!$E$4:$E$63,MATCH($M1105,CONFIG!$A$4:$A$63,0)),"NO")))</f>
        <v/>
      </c>
      <c r="P1105" s="50" t="n"/>
      <c r="Q1105" s="50" t="n"/>
      <c r="R1105" s="28">
        <f>IF($Q1105="","",IFERROR(INDEX(CONFIG!$H$4:$H$63,MATCH($Q1105,CONFIG!$G$4:$G$63,0)),"Por definir"))</f>
        <v/>
      </c>
      <c r="S1105" s="28">
        <f>IF($Q1105="","",IFERROR(INDEX(CONFIG!$I$4:$I$63,MATCH($Q1105,CONFIG!$G$4:$G$63,0)),"Por definir"))</f>
        <v/>
      </c>
      <c r="T1105" s="51" t="n"/>
      <c r="U1105" s="52" t="n"/>
      <c r="V1105" s="50" t="n"/>
      <c r="W1105" s="50" t="n"/>
      <c r="X1105" s="49">
        <f>IF(OR($B1105="",$M1105=""),"",WORKDAY($B1105,IFERROR(INDEX(CONFIG!$D$4:$D$63,MATCH($M1105,CONFIG!$A$4:$A$63,0)),3)))</f>
        <v/>
      </c>
      <c r="Y1105" s="47" t="n"/>
      <c r="Z1105" s="24">
        <f>IF($B1105="","",IF($Y1105&lt;&gt;"",$Y1105-$B1105,TODAY()-$B1105))</f>
        <v/>
      </c>
      <c r="AA1105" s="28">
        <f>IF($B1105="","",IF(IFERROR(INDEX(CONFIG!$L$4:$L$63,MATCH($V1105,CONFIG!$K$4:$K$63,0)),"NO")="SÍ",IF(OR($Y1105="",$X1105=""),"Resuelta",IF($Y1105&gt;$X1105,"Resuelta tarde","Resuelta a tiempo")),IF($X1105="","Sin clasificar",IF(TODAY()&gt;$X1105,"Vencida",IF(TODAY()&gt;=$X1105-1,"Por vencer","En plazo")))))</f>
        <v/>
      </c>
      <c r="AB1105" s="50" t="n"/>
      <c r="AC1105" s="50" t="n"/>
    </row>
    <row r="1106" ht="16" customHeight="1">
      <c r="A1106" s="28">
        <f>IF($B1106="","","N-"&amp;TEXT(ROW()-3,"0000"))</f>
        <v/>
      </c>
      <c r="B1106" s="47" t="n"/>
      <c r="C1106" s="48" t="n"/>
      <c r="D1106" s="48" t="n"/>
      <c r="E1106" s="28">
        <f>IF($C1106="","",IF($D1106="",IF($C1106="Interna","Sin guía (interna)","FALTA GUÍA"),IF(COUNTIFS(ENVIOS!$A$4:$A$3003,$D1106)=0,"NO EXISTE",IF(COUNTIFS(ENVIOS!$A$4:$A$3003,$D1106)&gt;1,"DUPLICADA","OK"))))</f>
        <v/>
      </c>
      <c r="F1106" s="28">
        <f>IF($D1106="","",IFERROR(INDEX(ENVIOS!$B$4:$B$3003,MATCH($D1106,ENVIOS!$A$4:$A$3003,0)),"—"))</f>
        <v/>
      </c>
      <c r="G1106" s="23">
        <f>IF($D1106="","",IFERROR(INDEX(ENVIOS!$D$4:$D$3003,MATCH($D1106,ENVIOS!$A$4:$A$3003,0)),"—"))</f>
        <v/>
      </c>
      <c r="H1106" s="23">
        <f>IF($D1106="","",IFERROR(INDEX(ENVIOS!$E$4:$E$3003,MATCH($D1106,ENVIOS!$A$4:$A$3003,0)),"—"))</f>
        <v/>
      </c>
      <c r="I1106" s="23">
        <f>IF($D1106="","",IFERROR(INDEX(ENVIOS!$F$4:$F$3003,MATCH($D1106,ENVIOS!$A$4:$A$3003,0)),"—"))</f>
        <v/>
      </c>
      <c r="J1106" s="23">
        <f>IF($D1106="","",IFERROR(INDEX(ENVIOS!$G$4:$G$3003,MATCH($D1106,ENVIOS!$A$4:$A$3003,0)),"—"))</f>
        <v/>
      </c>
      <c r="K1106" s="28">
        <f>IF($D1106="","",IFERROR(INDEX(ENVIOS!$H$4:$H$3003,MATCH($D1106,ENVIOS!$A$4:$A$3003,0)),"—"))</f>
        <v/>
      </c>
      <c r="L1106" s="49">
        <f>IF($D1106="","",IFERROR(INDEX(ENVIOS!$C$4:$C$3003,MATCH($D1106,ENVIOS!$A$4:$A$3003,0)),""))</f>
        <v/>
      </c>
      <c r="M1106" s="50" t="n"/>
      <c r="N1106" s="28">
        <f>IF($M1106="","",IFERROR(INDEX(CONFIG!$C$4:$C$63,MATCH($M1106,CONFIG!$A$4:$A$63,0)),"Media"))</f>
        <v/>
      </c>
      <c r="O1106" s="28">
        <f>IF($M1106="","",IF($C1106="Interna","NO",IFERROR(INDEX(CONFIG!$E$4:$E$63,MATCH($M1106,CONFIG!$A$4:$A$63,0)),"NO")))</f>
        <v/>
      </c>
      <c r="P1106" s="50" t="n"/>
      <c r="Q1106" s="50" t="n"/>
      <c r="R1106" s="28">
        <f>IF($Q1106="","",IFERROR(INDEX(CONFIG!$H$4:$H$63,MATCH($Q1106,CONFIG!$G$4:$G$63,0)),"Por definir"))</f>
        <v/>
      </c>
      <c r="S1106" s="28">
        <f>IF($Q1106="","",IFERROR(INDEX(CONFIG!$I$4:$I$63,MATCH($Q1106,CONFIG!$G$4:$G$63,0)),"Por definir"))</f>
        <v/>
      </c>
      <c r="T1106" s="51" t="n"/>
      <c r="U1106" s="52" t="n"/>
      <c r="V1106" s="50" t="n"/>
      <c r="W1106" s="50" t="n"/>
      <c r="X1106" s="49">
        <f>IF(OR($B1106="",$M1106=""),"",WORKDAY($B1106,IFERROR(INDEX(CONFIG!$D$4:$D$63,MATCH($M1106,CONFIG!$A$4:$A$63,0)),3)))</f>
        <v/>
      </c>
      <c r="Y1106" s="47" t="n"/>
      <c r="Z1106" s="24">
        <f>IF($B1106="","",IF($Y1106&lt;&gt;"",$Y1106-$B1106,TODAY()-$B1106))</f>
        <v/>
      </c>
      <c r="AA1106" s="28">
        <f>IF($B1106="","",IF(IFERROR(INDEX(CONFIG!$L$4:$L$63,MATCH($V1106,CONFIG!$K$4:$K$63,0)),"NO")="SÍ",IF(OR($Y1106="",$X1106=""),"Resuelta",IF($Y1106&gt;$X1106,"Resuelta tarde","Resuelta a tiempo")),IF($X1106="","Sin clasificar",IF(TODAY()&gt;$X1106,"Vencida",IF(TODAY()&gt;=$X1106-1,"Por vencer","En plazo")))))</f>
        <v/>
      </c>
      <c r="AB1106" s="50" t="n"/>
      <c r="AC1106" s="50" t="n"/>
    </row>
    <row r="1107" ht="16" customHeight="1">
      <c r="A1107" s="28">
        <f>IF($B1107="","","N-"&amp;TEXT(ROW()-3,"0000"))</f>
        <v/>
      </c>
      <c r="B1107" s="47" t="n"/>
      <c r="C1107" s="48" t="n"/>
      <c r="D1107" s="48" t="n"/>
      <c r="E1107" s="28">
        <f>IF($C1107="","",IF($D1107="",IF($C1107="Interna","Sin guía (interna)","FALTA GUÍA"),IF(COUNTIFS(ENVIOS!$A$4:$A$3003,$D1107)=0,"NO EXISTE",IF(COUNTIFS(ENVIOS!$A$4:$A$3003,$D1107)&gt;1,"DUPLICADA","OK"))))</f>
        <v/>
      </c>
      <c r="F1107" s="28">
        <f>IF($D1107="","",IFERROR(INDEX(ENVIOS!$B$4:$B$3003,MATCH($D1107,ENVIOS!$A$4:$A$3003,0)),"—"))</f>
        <v/>
      </c>
      <c r="G1107" s="23">
        <f>IF($D1107="","",IFERROR(INDEX(ENVIOS!$D$4:$D$3003,MATCH($D1107,ENVIOS!$A$4:$A$3003,0)),"—"))</f>
        <v/>
      </c>
      <c r="H1107" s="23">
        <f>IF($D1107="","",IFERROR(INDEX(ENVIOS!$E$4:$E$3003,MATCH($D1107,ENVIOS!$A$4:$A$3003,0)),"—"))</f>
        <v/>
      </c>
      <c r="I1107" s="23">
        <f>IF($D1107="","",IFERROR(INDEX(ENVIOS!$F$4:$F$3003,MATCH($D1107,ENVIOS!$A$4:$A$3003,0)),"—"))</f>
        <v/>
      </c>
      <c r="J1107" s="23">
        <f>IF($D1107="","",IFERROR(INDEX(ENVIOS!$G$4:$G$3003,MATCH($D1107,ENVIOS!$A$4:$A$3003,0)),"—"))</f>
        <v/>
      </c>
      <c r="K1107" s="28">
        <f>IF($D1107="","",IFERROR(INDEX(ENVIOS!$H$4:$H$3003,MATCH($D1107,ENVIOS!$A$4:$A$3003,0)),"—"))</f>
        <v/>
      </c>
      <c r="L1107" s="49">
        <f>IF($D1107="","",IFERROR(INDEX(ENVIOS!$C$4:$C$3003,MATCH($D1107,ENVIOS!$A$4:$A$3003,0)),""))</f>
        <v/>
      </c>
      <c r="M1107" s="50" t="n"/>
      <c r="N1107" s="28">
        <f>IF($M1107="","",IFERROR(INDEX(CONFIG!$C$4:$C$63,MATCH($M1107,CONFIG!$A$4:$A$63,0)),"Media"))</f>
        <v/>
      </c>
      <c r="O1107" s="28">
        <f>IF($M1107="","",IF($C1107="Interna","NO",IFERROR(INDEX(CONFIG!$E$4:$E$63,MATCH($M1107,CONFIG!$A$4:$A$63,0)),"NO")))</f>
        <v/>
      </c>
      <c r="P1107" s="50" t="n"/>
      <c r="Q1107" s="50" t="n"/>
      <c r="R1107" s="28">
        <f>IF($Q1107="","",IFERROR(INDEX(CONFIG!$H$4:$H$63,MATCH($Q1107,CONFIG!$G$4:$G$63,0)),"Por definir"))</f>
        <v/>
      </c>
      <c r="S1107" s="28">
        <f>IF($Q1107="","",IFERROR(INDEX(CONFIG!$I$4:$I$63,MATCH($Q1107,CONFIG!$G$4:$G$63,0)),"Por definir"))</f>
        <v/>
      </c>
      <c r="T1107" s="51" t="n"/>
      <c r="U1107" s="52" t="n"/>
      <c r="V1107" s="50" t="n"/>
      <c r="W1107" s="50" t="n"/>
      <c r="X1107" s="49">
        <f>IF(OR($B1107="",$M1107=""),"",WORKDAY($B1107,IFERROR(INDEX(CONFIG!$D$4:$D$63,MATCH($M1107,CONFIG!$A$4:$A$63,0)),3)))</f>
        <v/>
      </c>
      <c r="Y1107" s="47" t="n"/>
      <c r="Z1107" s="24">
        <f>IF($B1107="","",IF($Y1107&lt;&gt;"",$Y1107-$B1107,TODAY()-$B1107))</f>
        <v/>
      </c>
      <c r="AA1107" s="28">
        <f>IF($B1107="","",IF(IFERROR(INDEX(CONFIG!$L$4:$L$63,MATCH($V1107,CONFIG!$K$4:$K$63,0)),"NO")="SÍ",IF(OR($Y1107="",$X1107=""),"Resuelta",IF($Y1107&gt;$X1107,"Resuelta tarde","Resuelta a tiempo")),IF($X1107="","Sin clasificar",IF(TODAY()&gt;$X1107,"Vencida",IF(TODAY()&gt;=$X1107-1,"Por vencer","En plazo")))))</f>
        <v/>
      </c>
      <c r="AB1107" s="50" t="n"/>
      <c r="AC1107" s="50" t="n"/>
    </row>
    <row r="1108" ht="16" customHeight="1">
      <c r="A1108" s="28">
        <f>IF($B1108="","","N-"&amp;TEXT(ROW()-3,"0000"))</f>
        <v/>
      </c>
      <c r="B1108" s="47" t="n"/>
      <c r="C1108" s="48" t="n"/>
      <c r="D1108" s="48" t="n"/>
      <c r="E1108" s="28">
        <f>IF($C1108="","",IF($D1108="",IF($C1108="Interna","Sin guía (interna)","FALTA GUÍA"),IF(COUNTIFS(ENVIOS!$A$4:$A$3003,$D1108)=0,"NO EXISTE",IF(COUNTIFS(ENVIOS!$A$4:$A$3003,$D1108)&gt;1,"DUPLICADA","OK"))))</f>
        <v/>
      </c>
      <c r="F1108" s="28">
        <f>IF($D1108="","",IFERROR(INDEX(ENVIOS!$B$4:$B$3003,MATCH($D1108,ENVIOS!$A$4:$A$3003,0)),"—"))</f>
        <v/>
      </c>
      <c r="G1108" s="23">
        <f>IF($D1108="","",IFERROR(INDEX(ENVIOS!$D$4:$D$3003,MATCH($D1108,ENVIOS!$A$4:$A$3003,0)),"—"))</f>
        <v/>
      </c>
      <c r="H1108" s="23">
        <f>IF($D1108="","",IFERROR(INDEX(ENVIOS!$E$4:$E$3003,MATCH($D1108,ENVIOS!$A$4:$A$3003,0)),"—"))</f>
        <v/>
      </c>
      <c r="I1108" s="23">
        <f>IF($D1108="","",IFERROR(INDEX(ENVIOS!$F$4:$F$3003,MATCH($D1108,ENVIOS!$A$4:$A$3003,0)),"—"))</f>
        <v/>
      </c>
      <c r="J1108" s="23">
        <f>IF($D1108="","",IFERROR(INDEX(ENVIOS!$G$4:$G$3003,MATCH($D1108,ENVIOS!$A$4:$A$3003,0)),"—"))</f>
        <v/>
      </c>
      <c r="K1108" s="28">
        <f>IF($D1108="","",IFERROR(INDEX(ENVIOS!$H$4:$H$3003,MATCH($D1108,ENVIOS!$A$4:$A$3003,0)),"—"))</f>
        <v/>
      </c>
      <c r="L1108" s="49">
        <f>IF($D1108="","",IFERROR(INDEX(ENVIOS!$C$4:$C$3003,MATCH($D1108,ENVIOS!$A$4:$A$3003,0)),""))</f>
        <v/>
      </c>
      <c r="M1108" s="50" t="n"/>
      <c r="N1108" s="28">
        <f>IF($M1108="","",IFERROR(INDEX(CONFIG!$C$4:$C$63,MATCH($M1108,CONFIG!$A$4:$A$63,0)),"Media"))</f>
        <v/>
      </c>
      <c r="O1108" s="28">
        <f>IF($M1108="","",IF($C1108="Interna","NO",IFERROR(INDEX(CONFIG!$E$4:$E$63,MATCH($M1108,CONFIG!$A$4:$A$63,0)),"NO")))</f>
        <v/>
      </c>
      <c r="P1108" s="50" t="n"/>
      <c r="Q1108" s="50" t="n"/>
      <c r="R1108" s="28">
        <f>IF($Q1108="","",IFERROR(INDEX(CONFIG!$H$4:$H$63,MATCH($Q1108,CONFIG!$G$4:$G$63,0)),"Por definir"))</f>
        <v/>
      </c>
      <c r="S1108" s="28">
        <f>IF($Q1108="","",IFERROR(INDEX(CONFIG!$I$4:$I$63,MATCH($Q1108,CONFIG!$G$4:$G$63,0)),"Por definir"))</f>
        <v/>
      </c>
      <c r="T1108" s="51" t="n"/>
      <c r="U1108" s="52" t="n"/>
      <c r="V1108" s="50" t="n"/>
      <c r="W1108" s="50" t="n"/>
      <c r="X1108" s="49">
        <f>IF(OR($B1108="",$M1108=""),"",WORKDAY($B1108,IFERROR(INDEX(CONFIG!$D$4:$D$63,MATCH($M1108,CONFIG!$A$4:$A$63,0)),3)))</f>
        <v/>
      </c>
      <c r="Y1108" s="47" t="n"/>
      <c r="Z1108" s="24">
        <f>IF($B1108="","",IF($Y1108&lt;&gt;"",$Y1108-$B1108,TODAY()-$B1108))</f>
        <v/>
      </c>
      <c r="AA1108" s="28">
        <f>IF($B1108="","",IF(IFERROR(INDEX(CONFIG!$L$4:$L$63,MATCH($V1108,CONFIG!$K$4:$K$63,0)),"NO")="SÍ",IF(OR($Y1108="",$X1108=""),"Resuelta",IF($Y1108&gt;$X1108,"Resuelta tarde","Resuelta a tiempo")),IF($X1108="","Sin clasificar",IF(TODAY()&gt;$X1108,"Vencida",IF(TODAY()&gt;=$X1108-1,"Por vencer","En plazo")))))</f>
        <v/>
      </c>
      <c r="AB1108" s="50" t="n"/>
      <c r="AC1108" s="50" t="n"/>
    </row>
    <row r="1109" ht="16" customHeight="1">
      <c r="A1109" s="28">
        <f>IF($B1109="","","N-"&amp;TEXT(ROW()-3,"0000"))</f>
        <v/>
      </c>
      <c r="B1109" s="47" t="n"/>
      <c r="C1109" s="48" t="n"/>
      <c r="D1109" s="48" t="n"/>
      <c r="E1109" s="28">
        <f>IF($C1109="","",IF($D1109="",IF($C1109="Interna","Sin guía (interna)","FALTA GUÍA"),IF(COUNTIFS(ENVIOS!$A$4:$A$3003,$D1109)=0,"NO EXISTE",IF(COUNTIFS(ENVIOS!$A$4:$A$3003,$D1109)&gt;1,"DUPLICADA","OK"))))</f>
        <v/>
      </c>
      <c r="F1109" s="28">
        <f>IF($D1109="","",IFERROR(INDEX(ENVIOS!$B$4:$B$3003,MATCH($D1109,ENVIOS!$A$4:$A$3003,0)),"—"))</f>
        <v/>
      </c>
      <c r="G1109" s="23">
        <f>IF($D1109="","",IFERROR(INDEX(ENVIOS!$D$4:$D$3003,MATCH($D1109,ENVIOS!$A$4:$A$3003,0)),"—"))</f>
        <v/>
      </c>
      <c r="H1109" s="23">
        <f>IF($D1109="","",IFERROR(INDEX(ENVIOS!$E$4:$E$3003,MATCH($D1109,ENVIOS!$A$4:$A$3003,0)),"—"))</f>
        <v/>
      </c>
      <c r="I1109" s="23">
        <f>IF($D1109="","",IFERROR(INDEX(ENVIOS!$F$4:$F$3003,MATCH($D1109,ENVIOS!$A$4:$A$3003,0)),"—"))</f>
        <v/>
      </c>
      <c r="J1109" s="23">
        <f>IF($D1109="","",IFERROR(INDEX(ENVIOS!$G$4:$G$3003,MATCH($D1109,ENVIOS!$A$4:$A$3003,0)),"—"))</f>
        <v/>
      </c>
      <c r="K1109" s="28">
        <f>IF($D1109="","",IFERROR(INDEX(ENVIOS!$H$4:$H$3003,MATCH($D1109,ENVIOS!$A$4:$A$3003,0)),"—"))</f>
        <v/>
      </c>
      <c r="L1109" s="49">
        <f>IF($D1109="","",IFERROR(INDEX(ENVIOS!$C$4:$C$3003,MATCH($D1109,ENVIOS!$A$4:$A$3003,0)),""))</f>
        <v/>
      </c>
      <c r="M1109" s="50" t="n"/>
      <c r="N1109" s="28">
        <f>IF($M1109="","",IFERROR(INDEX(CONFIG!$C$4:$C$63,MATCH($M1109,CONFIG!$A$4:$A$63,0)),"Media"))</f>
        <v/>
      </c>
      <c r="O1109" s="28">
        <f>IF($M1109="","",IF($C1109="Interna","NO",IFERROR(INDEX(CONFIG!$E$4:$E$63,MATCH($M1109,CONFIG!$A$4:$A$63,0)),"NO")))</f>
        <v/>
      </c>
      <c r="P1109" s="50" t="n"/>
      <c r="Q1109" s="50" t="n"/>
      <c r="R1109" s="28">
        <f>IF($Q1109="","",IFERROR(INDEX(CONFIG!$H$4:$H$63,MATCH($Q1109,CONFIG!$G$4:$G$63,0)),"Por definir"))</f>
        <v/>
      </c>
      <c r="S1109" s="28">
        <f>IF($Q1109="","",IFERROR(INDEX(CONFIG!$I$4:$I$63,MATCH($Q1109,CONFIG!$G$4:$G$63,0)),"Por definir"))</f>
        <v/>
      </c>
      <c r="T1109" s="51" t="n"/>
      <c r="U1109" s="52" t="n"/>
      <c r="V1109" s="50" t="n"/>
      <c r="W1109" s="50" t="n"/>
      <c r="X1109" s="49">
        <f>IF(OR($B1109="",$M1109=""),"",WORKDAY($B1109,IFERROR(INDEX(CONFIG!$D$4:$D$63,MATCH($M1109,CONFIG!$A$4:$A$63,0)),3)))</f>
        <v/>
      </c>
      <c r="Y1109" s="47" t="n"/>
      <c r="Z1109" s="24">
        <f>IF($B1109="","",IF($Y1109&lt;&gt;"",$Y1109-$B1109,TODAY()-$B1109))</f>
        <v/>
      </c>
      <c r="AA1109" s="28">
        <f>IF($B1109="","",IF(IFERROR(INDEX(CONFIG!$L$4:$L$63,MATCH($V1109,CONFIG!$K$4:$K$63,0)),"NO")="SÍ",IF(OR($Y1109="",$X1109=""),"Resuelta",IF($Y1109&gt;$X1109,"Resuelta tarde","Resuelta a tiempo")),IF($X1109="","Sin clasificar",IF(TODAY()&gt;$X1109,"Vencida",IF(TODAY()&gt;=$X1109-1,"Por vencer","En plazo")))))</f>
        <v/>
      </c>
      <c r="AB1109" s="50" t="n"/>
      <c r="AC1109" s="50" t="n"/>
    </row>
    <row r="1110" ht="16" customHeight="1">
      <c r="A1110" s="28">
        <f>IF($B1110="","","N-"&amp;TEXT(ROW()-3,"0000"))</f>
        <v/>
      </c>
      <c r="B1110" s="47" t="n"/>
      <c r="C1110" s="48" t="n"/>
      <c r="D1110" s="48" t="n"/>
      <c r="E1110" s="28">
        <f>IF($C1110="","",IF($D1110="",IF($C1110="Interna","Sin guía (interna)","FALTA GUÍA"),IF(COUNTIFS(ENVIOS!$A$4:$A$3003,$D1110)=0,"NO EXISTE",IF(COUNTIFS(ENVIOS!$A$4:$A$3003,$D1110)&gt;1,"DUPLICADA","OK"))))</f>
        <v/>
      </c>
      <c r="F1110" s="28">
        <f>IF($D1110="","",IFERROR(INDEX(ENVIOS!$B$4:$B$3003,MATCH($D1110,ENVIOS!$A$4:$A$3003,0)),"—"))</f>
        <v/>
      </c>
      <c r="G1110" s="23">
        <f>IF($D1110="","",IFERROR(INDEX(ENVIOS!$D$4:$D$3003,MATCH($D1110,ENVIOS!$A$4:$A$3003,0)),"—"))</f>
        <v/>
      </c>
      <c r="H1110" s="23">
        <f>IF($D1110="","",IFERROR(INDEX(ENVIOS!$E$4:$E$3003,MATCH($D1110,ENVIOS!$A$4:$A$3003,0)),"—"))</f>
        <v/>
      </c>
      <c r="I1110" s="23">
        <f>IF($D1110="","",IFERROR(INDEX(ENVIOS!$F$4:$F$3003,MATCH($D1110,ENVIOS!$A$4:$A$3003,0)),"—"))</f>
        <v/>
      </c>
      <c r="J1110" s="23">
        <f>IF($D1110="","",IFERROR(INDEX(ENVIOS!$G$4:$G$3003,MATCH($D1110,ENVIOS!$A$4:$A$3003,0)),"—"))</f>
        <v/>
      </c>
      <c r="K1110" s="28">
        <f>IF($D1110="","",IFERROR(INDEX(ENVIOS!$H$4:$H$3003,MATCH($D1110,ENVIOS!$A$4:$A$3003,0)),"—"))</f>
        <v/>
      </c>
      <c r="L1110" s="49">
        <f>IF($D1110="","",IFERROR(INDEX(ENVIOS!$C$4:$C$3003,MATCH($D1110,ENVIOS!$A$4:$A$3003,0)),""))</f>
        <v/>
      </c>
      <c r="M1110" s="50" t="n"/>
      <c r="N1110" s="28">
        <f>IF($M1110="","",IFERROR(INDEX(CONFIG!$C$4:$C$63,MATCH($M1110,CONFIG!$A$4:$A$63,0)),"Media"))</f>
        <v/>
      </c>
      <c r="O1110" s="28">
        <f>IF($M1110="","",IF($C1110="Interna","NO",IFERROR(INDEX(CONFIG!$E$4:$E$63,MATCH($M1110,CONFIG!$A$4:$A$63,0)),"NO")))</f>
        <v/>
      </c>
      <c r="P1110" s="50" t="n"/>
      <c r="Q1110" s="50" t="n"/>
      <c r="R1110" s="28">
        <f>IF($Q1110="","",IFERROR(INDEX(CONFIG!$H$4:$H$63,MATCH($Q1110,CONFIG!$G$4:$G$63,0)),"Por definir"))</f>
        <v/>
      </c>
      <c r="S1110" s="28">
        <f>IF($Q1110="","",IFERROR(INDEX(CONFIG!$I$4:$I$63,MATCH($Q1110,CONFIG!$G$4:$G$63,0)),"Por definir"))</f>
        <v/>
      </c>
      <c r="T1110" s="51" t="n"/>
      <c r="U1110" s="52" t="n"/>
      <c r="V1110" s="50" t="n"/>
      <c r="W1110" s="50" t="n"/>
      <c r="X1110" s="49">
        <f>IF(OR($B1110="",$M1110=""),"",WORKDAY($B1110,IFERROR(INDEX(CONFIG!$D$4:$D$63,MATCH($M1110,CONFIG!$A$4:$A$63,0)),3)))</f>
        <v/>
      </c>
      <c r="Y1110" s="47" t="n"/>
      <c r="Z1110" s="24">
        <f>IF($B1110="","",IF($Y1110&lt;&gt;"",$Y1110-$B1110,TODAY()-$B1110))</f>
        <v/>
      </c>
      <c r="AA1110" s="28">
        <f>IF($B1110="","",IF(IFERROR(INDEX(CONFIG!$L$4:$L$63,MATCH($V1110,CONFIG!$K$4:$K$63,0)),"NO")="SÍ",IF(OR($Y1110="",$X1110=""),"Resuelta",IF($Y1110&gt;$X1110,"Resuelta tarde","Resuelta a tiempo")),IF($X1110="","Sin clasificar",IF(TODAY()&gt;$X1110,"Vencida",IF(TODAY()&gt;=$X1110-1,"Por vencer","En plazo")))))</f>
        <v/>
      </c>
      <c r="AB1110" s="50" t="n"/>
      <c r="AC1110" s="50" t="n"/>
    </row>
    <row r="1111" ht="16" customHeight="1">
      <c r="A1111" s="28">
        <f>IF($B1111="","","N-"&amp;TEXT(ROW()-3,"0000"))</f>
        <v/>
      </c>
      <c r="B1111" s="47" t="n"/>
      <c r="C1111" s="48" t="n"/>
      <c r="D1111" s="48" t="n"/>
      <c r="E1111" s="28">
        <f>IF($C1111="","",IF($D1111="",IF($C1111="Interna","Sin guía (interna)","FALTA GUÍA"),IF(COUNTIFS(ENVIOS!$A$4:$A$3003,$D1111)=0,"NO EXISTE",IF(COUNTIFS(ENVIOS!$A$4:$A$3003,$D1111)&gt;1,"DUPLICADA","OK"))))</f>
        <v/>
      </c>
      <c r="F1111" s="28">
        <f>IF($D1111="","",IFERROR(INDEX(ENVIOS!$B$4:$B$3003,MATCH($D1111,ENVIOS!$A$4:$A$3003,0)),"—"))</f>
        <v/>
      </c>
      <c r="G1111" s="23">
        <f>IF($D1111="","",IFERROR(INDEX(ENVIOS!$D$4:$D$3003,MATCH($D1111,ENVIOS!$A$4:$A$3003,0)),"—"))</f>
        <v/>
      </c>
      <c r="H1111" s="23">
        <f>IF($D1111="","",IFERROR(INDEX(ENVIOS!$E$4:$E$3003,MATCH($D1111,ENVIOS!$A$4:$A$3003,0)),"—"))</f>
        <v/>
      </c>
      <c r="I1111" s="23">
        <f>IF($D1111="","",IFERROR(INDEX(ENVIOS!$F$4:$F$3003,MATCH($D1111,ENVIOS!$A$4:$A$3003,0)),"—"))</f>
        <v/>
      </c>
      <c r="J1111" s="23">
        <f>IF($D1111="","",IFERROR(INDEX(ENVIOS!$G$4:$G$3003,MATCH($D1111,ENVIOS!$A$4:$A$3003,0)),"—"))</f>
        <v/>
      </c>
      <c r="K1111" s="28">
        <f>IF($D1111="","",IFERROR(INDEX(ENVIOS!$H$4:$H$3003,MATCH($D1111,ENVIOS!$A$4:$A$3003,0)),"—"))</f>
        <v/>
      </c>
      <c r="L1111" s="49">
        <f>IF($D1111="","",IFERROR(INDEX(ENVIOS!$C$4:$C$3003,MATCH($D1111,ENVIOS!$A$4:$A$3003,0)),""))</f>
        <v/>
      </c>
      <c r="M1111" s="50" t="n"/>
      <c r="N1111" s="28">
        <f>IF($M1111="","",IFERROR(INDEX(CONFIG!$C$4:$C$63,MATCH($M1111,CONFIG!$A$4:$A$63,0)),"Media"))</f>
        <v/>
      </c>
      <c r="O1111" s="28">
        <f>IF($M1111="","",IF($C1111="Interna","NO",IFERROR(INDEX(CONFIG!$E$4:$E$63,MATCH($M1111,CONFIG!$A$4:$A$63,0)),"NO")))</f>
        <v/>
      </c>
      <c r="P1111" s="50" t="n"/>
      <c r="Q1111" s="50" t="n"/>
      <c r="R1111" s="28">
        <f>IF($Q1111="","",IFERROR(INDEX(CONFIG!$H$4:$H$63,MATCH($Q1111,CONFIG!$G$4:$G$63,0)),"Por definir"))</f>
        <v/>
      </c>
      <c r="S1111" s="28">
        <f>IF($Q1111="","",IFERROR(INDEX(CONFIG!$I$4:$I$63,MATCH($Q1111,CONFIG!$G$4:$G$63,0)),"Por definir"))</f>
        <v/>
      </c>
      <c r="T1111" s="51" t="n"/>
      <c r="U1111" s="52" t="n"/>
      <c r="V1111" s="50" t="n"/>
      <c r="W1111" s="50" t="n"/>
      <c r="X1111" s="49">
        <f>IF(OR($B1111="",$M1111=""),"",WORKDAY($B1111,IFERROR(INDEX(CONFIG!$D$4:$D$63,MATCH($M1111,CONFIG!$A$4:$A$63,0)),3)))</f>
        <v/>
      </c>
      <c r="Y1111" s="47" t="n"/>
      <c r="Z1111" s="24">
        <f>IF($B1111="","",IF($Y1111&lt;&gt;"",$Y1111-$B1111,TODAY()-$B1111))</f>
        <v/>
      </c>
      <c r="AA1111" s="28">
        <f>IF($B1111="","",IF(IFERROR(INDEX(CONFIG!$L$4:$L$63,MATCH($V1111,CONFIG!$K$4:$K$63,0)),"NO")="SÍ",IF(OR($Y1111="",$X1111=""),"Resuelta",IF($Y1111&gt;$X1111,"Resuelta tarde","Resuelta a tiempo")),IF($X1111="","Sin clasificar",IF(TODAY()&gt;$X1111,"Vencida",IF(TODAY()&gt;=$X1111-1,"Por vencer","En plazo")))))</f>
        <v/>
      </c>
      <c r="AB1111" s="50" t="n"/>
      <c r="AC1111" s="50" t="n"/>
    </row>
    <row r="1112" ht="16" customHeight="1">
      <c r="A1112" s="28">
        <f>IF($B1112="","","N-"&amp;TEXT(ROW()-3,"0000"))</f>
        <v/>
      </c>
      <c r="B1112" s="47" t="n"/>
      <c r="C1112" s="48" t="n"/>
      <c r="D1112" s="48" t="n"/>
      <c r="E1112" s="28">
        <f>IF($C1112="","",IF($D1112="",IF($C1112="Interna","Sin guía (interna)","FALTA GUÍA"),IF(COUNTIFS(ENVIOS!$A$4:$A$3003,$D1112)=0,"NO EXISTE",IF(COUNTIFS(ENVIOS!$A$4:$A$3003,$D1112)&gt;1,"DUPLICADA","OK"))))</f>
        <v/>
      </c>
      <c r="F1112" s="28">
        <f>IF($D1112="","",IFERROR(INDEX(ENVIOS!$B$4:$B$3003,MATCH($D1112,ENVIOS!$A$4:$A$3003,0)),"—"))</f>
        <v/>
      </c>
      <c r="G1112" s="23">
        <f>IF($D1112="","",IFERROR(INDEX(ENVIOS!$D$4:$D$3003,MATCH($D1112,ENVIOS!$A$4:$A$3003,0)),"—"))</f>
        <v/>
      </c>
      <c r="H1112" s="23">
        <f>IF($D1112="","",IFERROR(INDEX(ENVIOS!$E$4:$E$3003,MATCH($D1112,ENVIOS!$A$4:$A$3003,0)),"—"))</f>
        <v/>
      </c>
      <c r="I1112" s="23">
        <f>IF($D1112="","",IFERROR(INDEX(ENVIOS!$F$4:$F$3003,MATCH($D1112,ENVIOS!$A$4:$A$3003,0)),"—"))</f>
        <v/>
      </c>
      <c r="J1112" s="23">
        <f>IF($D1112="","",IFERROR(INDEX(ENVIOS!$G$4:$G$3003,MATCH($D1112,ENVIOS!$A$4:$A$3003,0)),"—"))</f>
        <v/>
      </c>
      <c r="K1112" s="28">
        <f>IF($D1112="","",IFERROR(INDEX(ENVIOS!$H$4:$H$3003,MATCH($D1112,ENVIOS!$A$4:$A$3003,0)),"—"))</f>
        <v/>
      </c>
      <c r="L1112" s="49">
        <f>IF($D1112="","",IFERROR(INDEX(ENVIOS!$C$4:$C$3003,MATCH($D1112,ENVIOS!$A$4:$A$3003,0)),""))</f>
        <v/>
      </c>
      <c r="M1112" s="50" t="n"/>
      <c r="N1112" s="28">
        <f>IF($M1112="","",IFERROR(INDEX(CONFIG!$C$4:$C$63,MATCH($M1112,CONFIG!$A$4:$A$63,0)),"Media"))</f>
        <v/>
      </c>
      <c r="O1112" s="28">
        <f>IF($M1112="","",IF($C1112="Interna","NO",IFERROR(INDEX(CONFIG!$E$4:$E$63,MATCH($M1112,CONFIG!$A$4:$A$63,0)),"NO")))</f>
        <v/>
      </c>
      <c r="P1112" s="50" t="n"/>
      <c r="Q1112" s="50" t="n"/>
      <c r="R1112" s="28">
        <f>IF($Q1112="","",IFERROR(INDEX(CONFIG!$H$4:$H$63,MATCH($Q1112,CONFIG!$G$4:$G$63,0)),"Por definir"))</f>
        <v/>
      </c>
      <c r="S1112" s="28">
        <f>IF($Q1112="","",IFERROR(INDEX(CONFIG!$I$4:$I$63,MATCH($Q1112,CONFIG!$G$4:$G$63,0)),"Por definir"))</f>
        <v/>
      </c>
      <c r="T1112" s="51" t="n"/>
      <c r="U1112" s="52" t="n"/>
      <c r="V1112" s="50" t="n"/>
      <c r="W1112" s="50" t="n"/>
      <c r="X1112" s="49">
        <f>IF(OR($B1112="",$M1112=""),"",WORKDAY($B1112,IFERROR(INDEX(CONFIG!$D$4:$D$63,MATCH($M1112,CONFIG!$A$4:$A$63,0)),3)))</f>
        <v/>
      </c>
      <c r="Y1112" s="47" t="n"/>
      <c r="Z1112" s="24">
        <f>IF($B1112="","",IF($Y1112&lt;&gt;"",$Y1112-$B1112,TODAY()-$B1112))</f>
        <v/>
      </c>
      <c r="AA1112" s="28">
        <f>IF($B1112="","",IF(IFERROR(INDEX(CONFIG!$L$4:$L$63,MATCH($V1112,CONFIG!$K$4:$K$63,0)),"NO")="SÍ",IF(OR($Y1112="",$X1112=""),"Resuelta",IF($Y1112&gt;$X1112,"Resuelta tarde","Resuelta a tiempo")),IF($X1112="","Sin clasificar",IF(TODAY()&gt;$X1112,"Vencida",IF(TODAY()&gt;=$X1112-1,"Por vencer","En plazo")))))</f>
        <v/>
      </c>
      <c r="AB1112" s="50" t="n"/>
      <c r="AC1112" s="50" t="n"/>
    </row>
    <row r="1113" ht="16" customHeight="1">
      <c r="A1113" s="28">
        <f>IF($B1113="","","N-"&amp;TEXT(ROW()-3,"0000"))</f>
        <v/>
      </c>
      <c r="B1113" s="47" t="n"/>
      <c r="C1113" s="48" t="n"/>
      <c r="D1113" s="48" t="n"/>
      <c r="E1113" s="28">
        <f>IF($C1113="","",IF($D1113="",IF($C1113="Interna","Sin guía (interna)","FALTA GUÍA"),IF(COUNTIFS(ENVIOS!$A$4:$A$3003,$D1113)=0,"NO EXISTE",IF(COUNTIFS(ENVIOS!$A$4:$A$3003,$D1113)&gt;1,"DUPLICADA","OK"))))</f>
        <v/>
      </c>
      <c r="F1113" s="28">
        <f>IF($D1113="","",IFERROR(INDEX(ENVIOS!$B$4:$B$3003,MATCH($D1113,ENVIOS!$A$4:$A$3003,0)),"—"))</f>
        <v/>
      </c>
      <c r="G1113" s="23">
        <f>IF($D1113="","",IFERROR(INDEX(ENVIOS!$D$4:$D$3003,MATCH($D1113,ENVIOS!$A$4:$A$3003,0)),"—"))</f>
        <v/>
      </c>
      <c r="H1113" s="23">
        <f>IF($D1113="","",IFERROR(INDEX(ENVIOS!$E$4:$E$3003,MATCH($D1113,ENVIOS!$A$4:$A$3003,0)),"—"))</f>
        <v/>
      </c>
      <c r="I1113" s="23">
        <f>IF($D1113="","",IFERROR(INDEX(ENVIOS!$F$4:$F$3003,MATCH($D1113,ENVIOS!$A$4:$A$3003,0)),"—"))</f>
        <v/>
      </c>
      <c r="J1113" s="23">
        <f>IF($D1113="","",IFERROR(INDEX(ENVIOS!$G$4:$G$3003,MATCH($D1113,ENVIOS!$A$4:$A$3003,0)),"—"))</f>
        <v/>
      </c>
      <c r="K1113" s="28">
        <f>IF($D1113="","",IFERROR(INDEX(ENVIOS!$H$4:$H$3003,MATCH($D1113,ENVIOS!$A$4:$A$3003,0)),"—"))</f>
        <v/>
      </c>
      <c r="L1113" s="49">
        <f>IF($D1113="","",IFERROR(INDEX(ENVIOS!$C$4:$C$3003,MATCH($D1113,ENVIOS!$A$4:$A$3003,0)),""))</f>
        <v/>
      </c>
      <c r="M1113" s="50" t="n"/>
      <c r="N1113" s="28">
        <f>IF($M1113="","",IFERROR(INDEX(CONFIG!$C$4:$C$63,MATCH($M1113,CONFIG!$A$4:$A$63,0)),"Media"))</f>
        <v/>
      </c>
      <c r="O1113" s="28">
        <f>IF($M1113="","",IF($C1113="Interna","NO",IFERROR(INDEX(CONFIG!$E$4:$E$63,MATCH($M1113,CONFIG!$A$4:$A$63,0)),"NO")))</f>
        <v/>
      </c>
      <c r="P1113" s="50" t="n"/>
      <c r="Q1113" s="50" t="n"/>
      <c r="R1113" s="28">
        <f>IF($Q1113="","",IFERROR(INDEX(CONFIG!$H$4:$H$63,MATCH($Q1113,CONFIG!$G$4:$G$63,0)),"Por definir"))</f>
        <v/>
      </c>
      <c r="S1113" s="28">
        <f>IF($Q1113="","",IFERROR(INDEX(CONFIG!$I$4:$I$63,MATCH($Q1113,CONFIG!$G$4:$G$63,0)),"Por definir"))</f>
        <v/>
      </c>
      <c r="T1113" s="51" t="n"/>
      <c r="U1113" s="52" t="n"/>
      <c r="V1113" s="50" t="n"/>
      <c r="W1113" s="50" t="n"/>
      <c r="X1113" s="49">
        <f>IF(OR($B1113="",$M1113=""),"",WORKDAY($B1113,IFERROR(INDEX(CONFIG!$D$4:$D$63,MATCH($M1113,CONFIG!$A$4:$A$63,0)),3)))</f>
        <v/>
      </c>
      <c r="Y1113" s="47" t="n"/>
      <c r="Z1113" s="24">
        <f>IF($B1113="","",IF($Y1113&lt;&gt;"",$Y1113-$B1113,TODAY()-$B1113))</f>
        <v/>
      </c>
      <c r="AA1113" s="28">
        <f>IF($B1113="","",IF(IFERROR(INDEX(CONFIG!$L$4:$L$63,MATCH($V1113,CONFIG!$K$4:$K$63,0)),"NO")="SÍ",IF(OR($Y1113="",$X1113=""),"Resuelta",IF($Y1113&gt;$X1113,"Resuelta tarde","Resuelta a tiempo")),IF($X1113="","Sin clasificar",IF(TODAY()&gt;$X1113,"Vencida",IF(TODAY()&gt;=$X1113-1,"Por vencer","En plazo")))))</f>
        <v/>
      </c>
      <c r="AB1113" s="50" t="n"/>
      <c r="AC1113" s="50" t="n"/>
    </row>
    <row r="1114" ht="16" customHeight="1">
      <c r="A1114" s="28">
        <f>IF($B1114="","","N-"&amp;TEXT(ROW()-3,"0000"))</f>
        <v/>
      </c>
      <c r="B1114" s="47" t="n"/>
      <c r="C1114" s="48" t="n"/>
      <c r="D1114" s="48" t="n"/>
      <c r="E1114" s="28">
        <f>IF($C1114="","",IF($D1114="",IF($C1114="Interna","Sin guía (interna)","FALTA GUÍA"),IF(COUNTIFS(ENVIOS!$A$4:$A$3003,$D1114)=0,"NO EXISTE",IF(COUNTIFS(ENVIOS!$A$4:$A$3003,$D1114)&gt;1,"DUPLICADA","OK"))))</f>
        <v/>
      </c>
      <c r="F1114" s="28">
        <f>IF($D1114="","",IFERROR(INDEX(ENVIOS!$B$4:$B$3003,MATCH($D1114,ENVIOS!$A$4:$A$3003,0)),"—"))</f>
        <v/>
      </c>
      <c r="G1114" s="23">
        <f>IF($D1114="","",IFERROR(INDEX(ENVIOS!$D$4:$D$3003,MATCH($D1114,ENVIOS!$A$4:$A$3003,0)),"—"))</f>
        <v/>
      </c>
      <c r="H1114" s="23">
        <f>IF($D1114="","",IFERROR(INDEX(ENVIOS!$E$4:$E$3003,MATCH($D1114,ENVIOS!$A$4:$A$3003,0)),"—"))</f>
        <v/>
      </c>
      <c r="I1114" s="23">
        <f>IF($D1114="","",IFERROR(INDEX(ENVIOS!$F$4:$F$3003,MATCH($D1114,ENVIOS!$A$4:$A$3003,0)),"—"))</f>
        <v/>
      </c>
      <c r="J1114" s="23">
        <f>IF($D1114="","",IFERROR(INDEX(ENVIOS!$G$4:$G$3003,MATCH($D1114,ENVIOS!$A$4:$A$3003,0)),"—"))</f>
        <v/>
      </c>
      <c r="K1114" s="28">
        <f>IF($D1114="","",IFERROR(INDEX(ENVIOS!$H$4:$H$3003,MATCH($D1114,ENVIOS!$A$4:$A$3003,0)),"—"))</f>
        <v/>
      </c>
      <c r="L1114" s="49">
        <f>IF($D1114="","",IFERROR(INDEX(ENVIOS!$C$4:$C$3003,MATCH($D1114,ENVIOS!$A$4:$A$3003,0)),""))</f>
        <v/>
      </c>
      <c r="M1114" s="50" t="n"/>
      <c r="N1114" s="28">
        <f>IF($M1114="","",IFERROR(INDEX(CONFIG!$C$4:$C$63,MATCH($M1114,CONFIG!$A$4:$A$63,0)),"Media"))</f>
        <v/>
      </c>
      <c r="O1114" s="28">
        <f>IF($M1114="","",IF($C1114="Interna","NO",IFERROR(INDEX(CONFIG!$E$4:$E$63,MATCH($M1114,CONFIG!$A$4:$A$63,0)),"NO")))</f>
        <v/>
      </c>
      <c r="P1114" s="50" t="n"/>
      <c r="Q1114" s="50" t="n"/>
      <c r="R1114" s="28">
        <f>IF($Q1114="","",IFERROR(INDEX(CONFIG!$H$4:$H$63,MATCH($Q1114,CONFIG!$G$4:$G$63,0)),"Por definir"))</f>
        <v/>
      </c>
      <c r="S1114" s="28">
        <f>IF($Q1114="","",IFERROR(INDEX(CONFIG!$I$4:$I$63,MATCH($Q1114,CONFIG!$G$4:$G$63,0)),"Por definir"))</f>
        <v/>
      </c>
      <c r="T1114" s="51" t="n"/>
      <c r="U1114" s="52" t="n"/>
      <c r="V1114" s="50" t="n"/>
      <c r="W1114" s="50" t="n"/>
      <c r="X1114" s="49">
        <f>IF(OR($B1114="",$M1114=""),"",WORKDAY($B1114,IFERROR(INDEX(CONFIG!$D$4:$D$63,MATCH($M1114,CONFIG!$A$4:$A$63,0)),3)))</f>
        <v/>
      </c>
      <c r="Y1114" s="47" t="n"/>
      <c r="Z1114" s="24">
        <f>IF($B1114="","",IF($Y1114&lt;&gt;"",$Y1114-$B1114,TODAY()-$B1114))</f>
        <v/>
      </c>
      <c r="AA1114" s="28">
        <f>IF($B1114="","",IF(IFERROR(INDEX(CONFIG!$L$4:$L$63,MATCH($V1114,CONFIG!$K$4:$K$63,0)),"NO")="SÍ",IF(OR($Y1114="",$X1114=""),"Resuelta",IF($Y1114&gt;$X1114,"Resuelta tarde","Resuelta a tiempo")),IF($X1114="","Sin clasificar",IF(TODAY()&gt;$X1114,"Vencida",IF(TODAY()&gt;=$X1114-1,"Por vencer","En plazo")))))</f>
        <v/>
      </c>
      <c r="AB1114" s="50" t="n"/>
      <c r="AC1114" s="50" t="n"/>
    </row>
    <row r="1115" ht="16" customHeight="1">
      <c r="A1115" s="28">
        <f>IF($B1115="","","N-"&amp;TEXT(ROW()-3,"0000"))</f>
        <v/>
      </c>
      <c r="B1115" s="47" t="n"/>
      <c r="C1115" s="48" t="n"/>
      <c r="D1115" s="48" t="n"/>
      <c r="E1115" s="28">
        <f>IF($C1115="","",IF($D1115="",IF($C1115="Interna","Sin guía (interna)","FALTA GUÍA"),IF(COUNTIFS(ENVIOS!$A$4:$A$3003,$D1115)=0,"NO EXISTE",IF(COUNTIFS(ENVIOS!$A$4:$A$3003,$D1115)&gt;1,"DUPLICADA","OK"))))</f>
        <v/>
      </c>
      <c r="F1115" s="28">
        <f>IF($D1115="","",IFERROR(INDEX(ENVIOS!$B$4:$B$3003,MATCH($D1115,ENVIOS!$A$4:$A$3003,0)),"—"))</f>
        <v/>
      </c>
      <c r="G1115" s="23">
        <f>IF($D1115="","",IFERROR(INDEX(ENVIOS!$D$4:$D$3003,MATCH($D1115,ENVIOS!$A$4:$A$3003,0)),"—"))</f>
        <v/>
      </c>
      <c r="H1115" s="23">
        <f>IF($D1115="","",IFERROR(INDEX(ENVIOS!$E$4:$E$3003,MATCH($D1115,ENVIOS!$A$4:$A$3003,0)),"—"))</f>
        <v/>
      </c>
      <c r="I1115" s="23">
        <f>IF($D1115="","",IFERROR(INDEX(ENVIOS!$F$4:$F$3003,MATCH($D1115,ENVIOS!$A$4:$A$3003,0)),"—"))</f>
        <v/>
      </c>
      <c r="J1115" s="23">
        <f>IF($D1115="","",IFERROR(INDEX(ENVIOS!$G$4:$G$3003,MATCH($D1115,ENVIOS!$A$4:$A$3003,0)),"—"))</f>
        <v/>
      </c>
      <c r="K1115" s="28">
        <f>IF($D1115="","",IFERROR(INDEX(ENVIOS!$H$4:$H$3003,MATCH($D1115,ENVIOS!$A$4:$A$3003,0)),"—"))</f>
        <v/>
      </c>
      <c r="L1115" s="49">
        <f>IF($D1115="","",IFERROR(INDEX(ENVIOS!$C$4:$C$3003,MATCH($D1115,ENVIOS!$A$4:$A$3003,0)),""))</f>
        <v/>
      </c>
      <c r="M1115" s="50" t="n"/>
      <c r="N1115" s="28">
        <f>IF($M1115="","",IFERROR(INDEX(CONFIG!$C$4:$C$63,MATCH($M1115,CONFIG!$A$4:$A$63,0)),"Media"))</f>
        <v/>
      </c>
      <c r="O1115" s="28">
        <f>IF($M1115="","",IF($C1115="Interna","NO",IFERROR(INDEX(CONFIG!$E$4:$E$63,MATCH($M1115,CONFIG!$A$4:$A$63,0)),"NO")))</f>
        <v/>
      </c>
      <c r="P1115" s="50" t="n"/>
      <c r="Q1115" s="50" t="n"/>
      <c r="R1115" s="28">
        <f>IF($Q1115="","",IFERROR(INDEX(CONFIG!$H$4:$H$63,MATCH($Q1115,CONFIG!$G$4:$G$63,0)),"Por definir"))</f>
        <v/>
      </c>
      <c r="S1115" s="28">
        <f>IF($Q1115="","",IFERROR(INDEX(CONFIG!$I$4:$I$63,MATCH($Q1115,CONFIG!$G$4:$G$63,0)),"Por definir"))</f>
        <v/>
      </c>
      <c r="T1115" s="51" t="n"/>
      <c r="U1115" s="52" t="n"/>
      <c r="V1115" s="50" t="n"/>
      <c r="W1115" s="50" t="n"/>
      <c r="X1115" s="49">
        <f>IF(OR($B1115="",$M1115=""),"",WORKDAY($B1115,IFERROR(INDEX(CONFIG!$D$4:$D$63,MATCH($M1115,CONFIG!$A$4:$A$63,0)),3)))</f>
        <v/>
      </c>
      <c r="Y1115" s="47" t="n"/>
      <c r="Z1115" s="24">
        <f>IF($B1115="","",IF($Y1115&lt;&gt;"",$Y1115-$B1115,TODAY()-$B1115))</f>
        <v/>
      </c>
      <c r="AA1115" s="28">
        <f>IF($B1115="","",IF(IFERROR(INDEX(CONFIG!$L$4:$L$63,MATCH($V1115,CONFIG!$K$4:$K$63,0)),"NO")="SÍ",IF(OR($Y1115="",$X1115=""),"Resuelta",IF($Y1115&gt;$X1115,"Resuelta tarde","Resuelta a tiempo")),IF($X1115="","Sin clasificar",IF(TODAY()&gt;$X1115,"Vencida",IF(TODAY()&gt;=$X1115-1,"Por vencer","En plazo")))))</f>
        <v/>
      </c>
      <c r="AB1115" s="50" t="n"/>
      <c r="AC1115" s="50" t="n"/>
    </row>
    <row r="1116" ht="16" customHeight="1">
      <c r="A1116" s="28">
        <f>IF($B1116="","","N-"&amp;TEXT(ROW()-3,"0000"))</f>
        <v/>
      </c>
      <c r="B1116" s="47" t="n"/>
      <c r="C1116" s="48" t="n"/>
      <c r="D1116" s="48" t="n"/>
      <c r="E1116" s="28">
        <f>IF($C1116="","",IF($D1116="",IF($C1116="Interna","Sin guía (interna)","FALTA GUÍA"),IF(COUNTIFS(ENVIOS!$A$4:$A$3003,$D1116)=0,"NO EXISTE",IF(COUNTIFS(ENVIOS!$A$4:$A$3003,$D1116)&gt;1,"DUPLICADA","OK"))))</f>
        <v/>
      </c>
      <c r="F1116" s="28">
        <f>IF($D1116="","",IFERROR(INDEX(ENVIOS!$B$4:$B$3003,MATCH($D1116,ENVIOS!$A$4:$A$3003,0)),"—"))</f>
        <v/>
      </c>
      <c r="G1116" s="23">
        <f>IF($D1116="","",IFERROR(INDEX(ENVIOS!$D$4:$D$3003,MATCH($D1116,ENVIOS!$A$4:$A$3003,0)),"—"))</f>
        <v/>
      </c>
      <c r="H1116" s="23">
        <f>IF($D1116="","",IFERROR(INDEX(ENVIOS!$E$4:$E$3003,MATCH($D1116,ENVIOS!$A$4:$A$3003,0)),"—"))</f>
        <v/>
      </c>
      <c r="I1116" s="23">
        <f>IF($D1116="","",IFERROR(INDEX(ENVIOS!$F$4:$F$3003,MATCH($D1116,ENVIOS!$A$4:$A$3003,0)),"—"))</f>
        <v/>
      </c>
      <c r="J1116" s="23">
        <f>IF($D1116="","",IFERROR(INDEX(ENVIOS!$G$4:$G$3003,MATCH($D1116,ENVIOS!$A$4:$A$3003,0)),"—"))</f>
        <v/>
      </c>
      <c r="K1116" s="28">
        <f>IF($D1116="","",IFERROR(INDEX(ENVIOS!$H$4:$H$3003,MATCH($D1116,ENVIOS!$A$4:$A$3003,0)),"—"))</f>
        <v/>
      </c>
      <c r="L1116" s="49">
        <f>IF($D1116="","",IFERROR(INDEX(ENVIOS!$C$4:$C$3003,MATCH($D1116,ENVIOS!$A$4:$A$3003,0)),""))</f>
        <v/>
      </c>
      <c r="M1116" s="50" t="n"/>
      <c r="N1116" s="28">
        <f>IF($M1116="","",IFERROR(INDEX(CONFIG!$C$4:$C$63,MATCH($M1116,CONFIG!$A$4:$A$63,0)),"Media"))</f>
        <v/>
      </c>
      <c r="O1116" s="28">
        <f>IF($M1116="","",IF($C1116="Interna","NO",IFERROR(INDEX(CONFIG!$E$4:$E$63,MATCH($M1116,CONFIG!$A$4:$A$63,0)),"NO")))</f>
        <v/>
      </c>
      <c r="P1116" s="50" t="n"/>
      <c r="Q1116" s="50" t="n"/>
      <c r="R1116" s="28">
        <f>IF($Q1116="","",IFERROR(INDEX(CONFIG!$H$4:$H$63,MATCH($Q1116,CONFIG!$G$4:$G$63,0)),"Por definir"))</f>
        <v/>
      </c>
      <c r="S1116" s="28">
        <f>IF($Q1116="","",IFERROR(INDEX(CONFIG!$I$4:$I$63,MATCH($Q1116,CONFIG!$G$4:$G$63,0)),"Por definir"))</f>
        <v/>
      </c>
      <c r="T1116" s="51" t="n"/>
      <c r="U1116" s="52" t="n"/>
      <c r="V1116" s="50" t="n"/>
      <c r="W1116" s="50" t="n"/>
      <c r="X1116" s="49">
        <f>IF(OR($B1116="",$M1116=""),"",WORKDAY($B1116,IFERROR(INDEX(CONFIG!$D$4:$D$63,MATCH($M1116,CONFIG!$A$4:$A$63,0)),3)))</f>
        <v/>
      </c>
      <c r="Y1116" s="47" t="n"/>
      <c r="Z1116" s="24">
        <f>IF($B1116="","",IF($Y1116&lt;&gt;"",$Y1116-$B1116,TODAY()-$B1116))</f>
        <v/>
      </c>
      <c r="AA1116" s="28">
        <f>IF($B1116="","",IF(IFERROR(INDEX(CONFIG!$L$4:$L$63,MATCH($V1116,CONFIG!$K$4:$K$63,0)),"NO")="SÍ",IF(OR($Y1116="",$X1116=""),"Resuelta",IF($Y1116&gt;$X1116,"Resuelta tarde","Resuelta a tiempo")),IF($X1116="","Sin clasificar",IF(TODAY()&gt;$X1116,"Vencida",IF(TODAY()&gt;=$X1116-1,"Por vencer","En plazo")))))</f>
        <v/>
      </c>
      <c r="AB1116" s="50" t="n"/>
      <c r="AC1116" s="50" t="n"/>
    </row>
    <row r="1117" ht="16" customHeight="1">
      <c r="A1117" s="28">
        <f>IF($B1117="","","N-"&amp;TEXT(ROW()-3,"0000"))</f>
        <v/>
      </c>
      <c r="B1117" s="47" t="n"/>
      <c r="C1117" s="48" t="n"/>
      <c r="D1117" s="48" t="n"/>
      <c r="E1117" s="28">
        <f>IF($C1117="","",IF($D1117="",IF($C1117="Interna","Sin guía (interna)","FALTA GUÍA"),IF(COUNTIFS(ENVIOS!$A$4:$A$3003,$D1117)=0,"NO EXISTE",IF(COUNTIFS(ENVIOS!$A$4:$A$3003,$D1117)&gt;1,"DUPLICADA","OK"))))</f>
        <v/>
      </c>
      <c r="F1117" s="28">
        <f>IF($D1117="","",IFERROR(INDEX(ENVIOS!$B$4:$B$3003,MATCH($D1117,ENVIOS!$A$4:$A$3003,0)),"—"))</f>
        <v/>
      </c>
      <c r="G1117" s="23">
        <f>IF($D1117="","",IFERROR(INDEX(ENVIOS!$D$4:$D$3003,MATCH($D1117,ENVIOS!$A$4:$A$3003,0)),"—"))</f>
        <v/>
      </c>
      <c r="H1117" s="23">
        <f>IF($D1117="","",IFERROR(INDEX(ENVIOS!$E$4:$E$3003,MATCH($D1117,ENVIOS!$A$4:$A$3003,0)),"—"))</f>
        <v/>
      </c>
      <c r="I1117" s="23">
        <f>IF($D1117="","",IFERROR(INDEX(ENVIOS!$F$4:$F$3003,MATCH($D1117,ENVIOS!$A$4:$A$3003,0)),"—"))</f>
        <v/>
      </c>
      <c r="J1117" s="23">
        <f>IF($D1117="","",IFERROR(INDEX(ENVIOS!$G$4:$G$3003,MATCH($D1117,ENVIOS!$A$4:$A$3003,0)),"—"))</f>
        <v/>
      </c>
      <c r="K1117" s="28">
        <f>IF($D1117="","",IFERROR(INDEX(ENVIOS!$H$4:$H$3003,MATCH($D1117,ENVIOS!$A$4:$A$3003,0)),"—"))</f>
        <v/>
      </c>
      <c r="L1117" s="49">
        <f>IF($D1117="","",IFERROR(INDEX(ENVIOS!$C$4:$C$3003,MATCH($D1117,ENVIOS!$A$4:$A$3003,0)),""))</f>
        <v/>
      </c>
      <c r="M1117" s="50" t="n"/>
      <c r="N1117" s="28">
        <f>IF($M1117="","",IFERROR(INDEX(CONFIG!$C$4:$C$63,MATCH($M1117,CONFIG!$A$4:$A$63,0)),"Media"))</f>
        <v/>
      </c>
      <c r="O1117" s="28">
        <f>IF($M1117="","",IF($C1117="Interna","NO",IFERROR(INDEX(CONFIG!$E$4:$E$63,MATCH($M1117,CONFIG!$A$4:$A$63,0)),"NO")))</f>
        <v/>
      </c>
      <c r="P1117" s="50" t="n"/>
      <c r="Q1117" s="50" t="n"/>
      <c r="R1117" s="28">
        <f>IF($Q1117="","",IFERROR(INDEX(CONFIG!$H$4:$H$63,MATCH($Q1117,CONFIG!$G$4:$G$63,0)),"Por definir"))</f>
        <v/>
      </c>
      <c r="S1117" s="28">
        <f>IF($Q1117="","",IFERROR(INDEX(CONFIG!$I$4:$I$63,MATCH($Q1117,CONFIG!$G$4:$G$63,0)),"Por definir"))</f>
        <v/>
      </c>
      <c r="T1117" s="51" t="n"/>
      <c r="U1117" s="52" t="n"/>
      <c r="V1117" s="50" t="n"/>
      <c r="W1117" s="50" t="n"/>
      <c r="X1117" s="49">
        <f>IF(OR($B1117="",$M1117=""),"",WORKDAY($B1117,IFERROR(INDEX(CONFIG!$D$4:$D$63,MATCH($M1117,CONFIG!$A$4:$A$63,0)),3)))</f>
        <v/>
      </c>
      <c r="Y1117" s="47" t="n"/>
      <c r="Z1117" s="24">
        <f>IF($B1117="","",IF($Y1117&lt;&gt;"",$Y1117-$B1117,TODAY()-$B1117))</f>
        <v/>
      </c>
      <c r="AA1117" s="28">
        <f>IF($B1117="","",IF(IFERROR(INDEX(CONFIG!$L$4:$L$63,MATCH($V1117,CONFIG!$K$4:$K$63,0)),"NO")="SÍ",IF(OR($Y1117="",$X1117=""),"Resuelta",IF($Y1117&gt;$X1117,"Resuelta tarde","Resuelta a tiempo")),IF($X1117="","Sin clasificar",IF(TODAY()&gt;$X1117,"Vencida",IF(TODAY()&gt;=$X1117-1,"Por vencer","En plazo")))))</f>
        <v/>
      </c>
      <c r="AB1117" s="50" t="n"/>
      <c r="AC1117" s="50" t="n"/>
    </row>
    <row r="1118" ht="16" customHeight="1">
      <c r="A1118" s="28">
        <f>IF($B1118="","","N-"&amp;TEXT(ROW()-3,"0000"))</f>
        <v/>
      </c>
      <c r="B1118" s="47" t="n"/>
      <c r="C1118" s="48" t="n"/>
      <c r="D1118" s="48" t="n"/>
      <c r="E1118" s="28">
        <f>IF($C1118="","",IF($D1118="",IF($C1118="Interna","Sin guía (interna)","FALTA GUÍA"),IF(COUNTIFS(ENVIOS!$A$4:$A$3003,$D1118)=0,"NO EXISTE",IF(COUNTIFS(ENVIOS!$A$4:$A$3003,$D1118)&gt;1,"DUPLICADA","OK"))))</f>
        <v/>
      </c>
      <c r="F1118" s="28">
        <f>IF($D1118="","",IFERROR(INDEX(ENVIOS!$B$4:$B$3003,MATCH($D1118,ENVIOS!$A$4:$A$3003,0)),"—"))</f>
        <v/>
      </c>
      <c r="G1118" s="23">
        <f>IF($D1118="","",IFERROR(INDEX(ENVIOS!$D$4:$D$3003,MATCH($D1118,ENVIOS!$A$4:$A$3003,0)),"—"))</f>
        <v/>
      </c>
      <c r="H1118" s="23">
        <f>IF($D1118="","",IFERROR(INDEX(ENVIOS!$E$4:$E$3003,MATCH($D1118,ENVIOS!$A$4:$A$3003,0)),"—"))</f>
        <v/>
      </c>
      <c r="I1118" s="23">
        <f>IF($D1118="","",IFERROR(INDEX(ENVIOS!$F$4:$F$3003,MATCH($D1118,ENVIOS!$A$4:$A$3003,0)),"—"))</f>
        <v/>
      </c>
      <c r="J1118" s="23">
        <f>IF($D1118="","",IFERROR(INDEX(ENVIOS!$G$4:$G$3003,MATCH($D1118,ENVIOS!$A$4:$A$3003,0)),"—"))</f>
        <v/>
      </c>
      <c r="K1118" s="28">
        <f>IF($D1118="","",IFERROR(INDEX(ENVIOS!$H$4:$H$3003,MATCH($D1118,ENVIOS!$A$4:$A$3003,0)),"—"))</f>
        <v/>
      </c>
      <c r="L1118" s="49">
        <f>IF($D1118="","",IFERROR(INDEX(ENVIOS!$C$4:$C$3003,MATCH($D1118,ENVIOS!$A$4:$A$3003,0)),""))</f>
        <v/>
      </c>
      <c r="M1118" s="50" t="n"/>
      <c r="N1118" s="28">
        <f>IF($M1118="","",IFERROR(INDEX(CONFIG!$C$4:$C$63,MATCH($M1118,CONFIG!$A$4:$A$63,0)),"Media"))</f>
        <v/>
      </c>
      <c r="O1118" s="28">
        <f>IF($M1118="","",IF($C1118="Interna","NO",IFERROR(INDEX(CONFIG!$E$4:$E$63,MATCH($M1118,CONFIG!$A$4:$A$63,0)),"NO")))</f>
        <v/>
      </c>
      <c r="P1118" s="50" t="n"/>
      <c r="Q1118" s="50" t="n"/>
      <c r="R1118" s="28">
        <f>IF($Q1118="","",IFERROR(INDEX(CONFIG!$H$4:$H$63,MATCH($Q1118,CONFIG!$G$4:$G$63,0)),"Por definir"))</f>
        <v/>
      </c>
      <c r="S1118" s="28">
        <f>IF($Q1118="","",IFERROR(INDEX(CONFIG!$I$4:$I$63,MATCH($Q1118,CONFIG!$G$4:$G$63,0)),"Por definir"))</f>
        <v/>
      </c>
      <c r="T1118" s="51" t="n"/>
      <c r="U1118" s="52" t="n"/>
      <c r="V1118" s="50" t="n"/>
      <c r="W1118" s="50" t="n"/>
      <c r="X1118" s="49">
        <f>IF(OR($B1118="",$M1118=""),"",WORKDAY($B1118,IFERROR(INDEX(CONFIG!$D$4:$D$63,MATCH($M1118,CONFIG!$A$4:$A$63,0)),3)))</f>
        <v/>
      </c>
      <c r="Y1118" s="47" t="n"/>
      <c r="Z1118" s="24">
        <f>IF($B1118="","",IF($Y1118&lt;&gt;"",$Y1118-$B1118,TODAY()-$B1118))</f>
        <v/>
      </c>
      <c r="AA1118" s="28">
        <f>IF($B1118="","",IF(IFERROR(INDEX(CONFIG!$L$4:$L$63,MATCH($V1118,CONFIG!$K$4:$K$63,0)),"NO")="SÍ",IF(OR($Y1118="",$X1118=""),"Resuelta",IF($Y1118&gt;$X1118,"Resuelta tarde","Resuelta a tiempo")),IF($X1118="","Sin clasificar",IF(TODAY()&gt;$X1118,"Vencida",IF(TODAY()&gt;=$X1118-1,"Por vencer","En plazo")))))</f>
        <v/>
      </c>
      <c r="AB1118" s="50" t="n"/>
      <c r="AC1118" s="50" t="n"/>
    </row>
    <row r="1119" ht="16" customHeight="1">
      <c r="A1119" s="28">
        <f>IF($B1119="","","N-"&amp;TEXT(ROW()-3,"0000"))</f>
        <v/>
      </c>
      <c r="B1119" s="47" t="n"/>
      <c r="C1119" s="48" t="n"/>
      <c r="D1119" s="48" t="n"/>
      <c r="E1119" s="28">
        <f>IF($C1119="","",IF($D1119="",IF($C1119="Interna","Sin guía (interna)","FALTA GUÍA"),IF(COUNTIFS(ENVIOS!$A$4:$A$3003,$D1119)=0,"NO EXISTE",IF(COUNTIFS(ENVIOS!$A$4:$A$3003,$D1119)&gt;1,"DUPLICADA","OK"))))</f>
        <v/>
      </c>
      <c r="F1119" s="28">
        <f>IF($D1119="","",IFERROR(INDEX(ENVIOS!$B$4:$B$3003,MATCH($D1119,ENVIOS!$A$4:$A$3003,0)),"—"))</f>
        <v/>
      </c>
      <c r="G1119" s="23">
        <f>IF($D1119="","",IFERROR(INDEX(ENVIOS!$D$4:$D$3003,MATCH($D1119,ENVIOS!$A$4:$A$3003,0)),"—"))</f>
        <v/>
      </c>
      <c r="H1119" s="23">
        <f>IF($D1119="","",IFERROR(INDEX(ENVIOS!$E$4:$E$3003,MATCH($D1119,ENVIOS!$A$4:$A$3003,0)),"—"))</f>
        <v/>
      </c>
      <c r="I1119" s="23">
        <f>IF($D1119="","",IFERROR(INDEX(ENVIOS!$F$4:$F$3003,MATCH($D1119,ENVIOS!$A$4:$A$3003,0)),"—"))</f>
        <v/>
      </c>
      <c r="J1119" s="23">
        <f>IF($D1119="","",IFERROR(INDEX(ENVIOS!$G$4:$G$3003,MATCH($D1119,ENVIOS!$A$4:$A$3003,0)),"—"))</f>
        <v/>
      </c>
      <c r="K1119" s="28">
        <f>IF($D1119="","",IFERROR(INDEX(ENVIOS!$H$4:$H$3003,MATCH($D1119,ENVIOS!$A$4:$A$3003,0)),"—"))</f>
        <v/>
      </c>
      <c r="L1119" s="49">
        <f>IF($D1119="","",IFERROR(INDEX(ENVIOS!$C$4:$C$3003,MATCH($D1119,ENVIOS!$A$4:$A$3003,0)),""))</f>
        <v/>
      </c>
      <c r="M1119" s="50" t="n"/>
      <c r="N1119" s="28">
        <f>IF($M1119="","",IFERROR(INDEX(CONFIG!$C$4:$C$63,MATCH($M1119,CONFIG!$A$4:$A$63,0)),"Media"))</f>
        <v/>
      </c>
      <c r="O1119" s="28">
        <f>IF($M1119="","",IF($C1119="Interna","NO",IFERROR(INDEX(CONFIG!$E$4:$E$63,MATCH($M1119,CONFIG!$A$4:$A$63,0)),"NO")))</f>
        <v/>
      </c>
      <c r="P1119" s="50" t="n"/>
      <c r="Q1119" s="50" t="n"/>
      <c r="R1119" s="28">
        <f>IF($Q1119="","",IFERROR(INDEX(CONFIG!$H$4:$H$63,MATCH($Q1119,CONFIG!$G$4:$G$63,0)),"Por definir"))</f>
        <v/>
      </c>
      <c r="S1119" s="28">
        <f>IF($Q1119="","",IFERROR(INDEX(CONFIG!$I$4:$I$63,MATCH($Q1119,CONFIG!$G$4:$G$63,0)),"Por definir"))</f>
        <v/>
      </c>
      <c r="T1119" s="51" t="n"/>
      <c r="U1119" s="52" t="n"/>
      <c r="V1119" s="50" t="n"/>
      <c r="W1119" s="50" t="n"/>
      <c r="X1119" s="49">
        <f>IF(OR($B1119="",$M1119=""),"",WORKDAY($B1119,IFERROR(INDEX(CONFIG!$D$4:$D$63,MATCH($M1119,CONFIG!$A$4:$A$63,0)),3)))</f>
        <v/>
      </c>
      <c r="Y1119" s="47" t="n"/>
      <c r="Z1119" s="24">
        <f>IF($B1119="","",IF($Y1119&lt;&gt;"",$Y1119-$B1119,TODAY()-$B1119))</f>
        <v/>
      </c>
      <c r="AA1119" s="28">
        <f>IF($B1119="","",IF(IFERROR(INDEX(CONFIG!$L$4:$L$63,MATCH($V1119,CONFIG!$K$4:$K$63,0)),"NO")="SÍ",IF(OR($Y1119="",$X1119=""),"Resuelta",IF($Y1119&gt;$X1119,"Resuelta tarde","Resuelta a tiempo")),IF($X1119="","Sin clasificar",IF(TODAY()&gt;$X1119,"Vencida",IF(TODAY()&gt;=$X1119-1,"Por vencer","En plazo")))))</f>
        <v/>
      </c>
      <c r="AB1119" s="50" t="n"/>
      <c r="AC1119" s="50" t="n"/>
    </row>
    <row r="1120" ht="16" customHeight="1">
      <c r="A1120" s="28">
        <f>IF($B1120="","","N-"&amp;TEXT(ROW()-3,"0000"))</f>
        <v/>
      </c>
      <c r="B1120" s="47" t="n"/>
      <c r="C1120" s="48" t="n"/>
      <c r="D1120" s="48" t="n"/>
      <c r="E1120" s="28">
        <f>IF($C1120="","",IF($D1120="",IF($C1120="Interna","Sin guía (interna)","FALTA GUÍA"),IF(COUNTIFS(ENVIOS!$A$4:$A$3003,$D1120)=0,"NO EXISTE",IF(COUNTIFS(ENVIOS!$A$4:$A$3003,$D1120)&gt;1,"DUPLICADA","OK"))))</f>
        <v/>
      </c>
      <c r="F1120" s="28">
        <f>IF($D1120="","",IFERROR(INDEX(ENVIOS!$B$4:$B$3003,MATCH($D1120,ENVIOS!$A$4:$A$3003,0)),"—"))</f>
        <v/>
      </c>
      <c r="G1120" s="23">
        <f>IF($D1120="","",IFERROR(INDEX(ENVIOS!$D$4:$D$3003,MATCH($D1120,ENVIOS!$A$4:$A$3003,0)),"—"))</f>
        <v/>
      </c>
      <c r="H1120" s="23">
        <f>IF($D1120="","",IFERROR(INDEX(ENVIOS!$E$4:$E$3003,MATCH($D1120,ENVIOS!$A$4:$A$3003,0)),"—"))</f>
        <v/>
      </c>
      <c r="I1120" s="23">
        <f>IF($D1120="","",IFERROR(INDEX(ENVIOS!$F$4:$F$3003,MATCH($D1120,ENVIOS!$A$4:$A$3003,0)),"—"))</f>
        <v/>
      </c>
      <c r="J1120" s="23">
        <f>IF($D1120="","",IFERROR(INDEX(ENVIOS!$G$4:$G$3003,MATCH($D1120,ENVIOS!$A$4:$A$3003,0)),"—"))</f>
        <v/>
      </c>
      <c r="K1120" s="28">
        <f>IF($D1120="","",IFERROR(INDEX(ENVIOS!$H$4:$H$3003,MATCH($D1120,ENVIOS!$A$4:$A$3003,0)),"—"))</f>
        <v/>
      </c>
      <c r="L1120" s="49">
        <f>IF($D1120="","",IFERROR(INDEX(ENVIOS!$C$4:$C$3003,MATCH($D1120,ENVIOS!$A$4:$A$3003,0)),""))</f>
        <v/>
      </c>
      <c r="M1120" s="50" t="n"/>
      <c r="N1120" s="28">
        <f>IF($M1120="","",IFERROR(INDEX(CONFIG!$C$4:$C$63,MATCH($M1120,CONFIG!$A$4:$A$63,0)),"Media"))</f>
        <v/>
      </c>
      <c r="O1120" s="28">
        <f>IF($M1120="","",IF($C1120="Interna","NO",IFERROR(INDEX(CONFIG!$E$4:$E$63,MATCH($M1120,CONFIG!$A$4:$A$63,0)),"NO")))</f>
        <v/>
      </c>
      <c r="P1120" s="50" t="n"/>
      <c r="Q1120" s="50" t="n"/>
      <c r="R1120" s="28">
        <f>IF($Q1120="","",IFERROR(INDEX(CONFIG!$H$4:$H$63,MATCH($Q1120,CONFIG!$G$4:$G$63,0)),"Por definir"))</f>
        <v/>
      </c>
      <c r="S1120" s="28">
        <f>IF($Q1120="","",IFERROR(INDEX(CONFIG!$I$4:$I$63,MATCH($Q1120,CONFIG!$G$4:$G$63,0)),"Por definir"))</f>
        <v/>
      </c>
      <c r="T1120" s="51" t="n"/>
      <c r="U1120" s="52" t="n"/>
      <c r="V1120" s="50" t="n"/>
      <c r="W1120" s="50" t="n"/>
      <c r="X1120" s="49">
        <f>IF(OR($B1120="",$M1120=""),"",WORKDAY($B1120,IFERROR(INDEX(CONFIG!$D$4:$D$63,MATCH($M1120,CONFIG!$A$4:$A$63,0)),3)))</f>
        <v/>
      </c>
      <c r="Y1120" s="47" t="n"/>
      <c r="Z1120" s="24">
        <f>IF($B1120="","",IF($Y1120&lt;&gt;"",$Y1120-$B1120,TODAY()-$B1120))</f>
        <v/>
      </c>
      <c r="AA1120" s="28">
        <f>IF($B1120="","",IF(IFERROR(INDEX(CONFIG!$L$4:$L$63,MATCH($V1120,CONFIG!$K$4:$K$63,0)),"NO")="SÍ",IF(OR($Y1120="",$X1120=""),"Resuelta",IF($Y1120&gt;$X1120,"Resuelta tarde","Resuelta a tiempo")),IF($X1120="","Sin clasificar",IF(TODAY()&gt;$X1120,"Vencida",IF(TODAY()&gt;=$X1120-1,"Por vencer","En plazo")))))</f>
        <v/>
      </c>
      <c r="AB1120" s="50" t="n"/>
      <c r="AC1120" s="50" t="n"/>
    </row>
    <row r="1121" ht="16" customHeight="1">
      <c r="A1121" s="28">
        <f>IF($B1121="","","N-"&amp;TEXT(ROW()-3,"0000"))</f>
        <v/>
      </c>
      <c r="B1121" s="47" t="n"/>
      <c r="C1121" s="48" t="n"/>
      <c r="D1121" s="48" t="n"/>
      <c r="E1121" s="28">
        <f>IF($C1121="","",IF($D1121="",IF($C1121="Interna","Sin guía (interna)","FALTA GUÍA"),IF(COUNTIFS(ENVIOS!$A$4:$A$3003,$D1121)=0,"NO EXISTE",IF(COUNTIFS(ENVIOS!$A$4:$A$3003,$D1121)&gt;1,"DUPLICADA","OK"))))</f>
        <v/>
      </c>
      <c r="F1121" s="28">
        <f>IF($D1121="","",IFERROR(INDEX(ENVIOS!$B$4:$B$3003,MATCH($D1121,ENVIOS!$A$4:$A$3003,0)),"—"))</f>
        <v/>
      </c>
      <c r="G1121" s="23">
        <f>IF($D1121="","",IFERROR(INDEX(ENVIOS!$D$4:$D$3003,MATCH($D1121,ENVIOS!$A$4:$A$3003,0)),"—"))</f>
        <v/>
      </c>
      <c r="H1121" s="23">
        <f>IF($D1121="","",IFERROR(INDEX(ENVIOS!$E$4:$E$3003,MATCH($D1121,ENVIOS!$A$4:$A$3003,0)),"—"))</f>
        <v/>
      </c>
      <c r="I1121" s="23">
        <f>IF($D1121="","",IFERROR(INDEX(ENVIOS!$F$4:$F$3003,MATCH($D1121,ENVIOS!$A$4:$A$3003,0)),"—"))</f>
        <v/>
      </c>
      <c r="J1121" s="23">
        <f>IF($D1121="","",IFERROR(INDEX(ENVIOS!$G$4:$G$3003,MATCH($D1121,ENVIOS!$A$4:$A$3003,0)),"—"))</f>
        <v/>
      </c>
      <c r="K1121" s="28">
        <f>IF($D1121="","",IFERROR(INDEX(ENVIOS!$H$4:$H$3003,MATCH($D1121,ENVIOS!$A$4:$A$3003,0)),"—"))</f>
        <v/>
      </c>
      <c r="L1121" s="49">
        <f>IF($D1121="","",IFERROR(INDEX(ENVIOS!$C$4:$C$3003,MATCH($D1121,ENVIOS!$A$4:$A$3003,0)),""))</f>
        <v/>
      </c>
      <c r="M1121" s="50" t="n"/>
      <c r="N1121" s="28">
        <f>IF($M1121="","",IFERROR(INDEX(CONFIG!$C$4:$C$63,MATCH($M1121,CONFIG!$A$4:$A$63,0)),"Media"))</f>
        <v/>
      </c>
      <c r="O1121" s="28">
        <f>IF($M1121="","",IF($C1121="Interna","NO",IFERROR(INDEX(CONFIG!$E$4:$E$63,MATCH($M1121,CONFIG!$A$4:$A$63,0)),"NO")))</f>
        <v/>
      </c>
      <c r="P1121" s="50" t="n"/>
      <c r="Q1121" s="50" t="n"/>
      <c r="R1121" s="28">
        <f>IF($Q1121="","",IFERROR(INDEX(CONFIG!$H$4:$H$63,MATCH($Q1121,CONFIG!$G$4:$G$63,0)),"Por definir"))</f>
        <v/>
      </c>
      <c r="S1121" s="28">
        <f>IF($Q1121="","",IFERROR(INDEX(CONFIG!$I$4:$I$63,MATCH($Q1121,CONFIG!$G$4:$G$63,0)),"Por definir"))</f>
        <v/>
      </c>
      <c r="T1121" s="51" t="n"/>
      <c r="U1121" s="52" t="n"/>
      <c r="V1121" s="50" t="n"/>
      <c r="W1121" s="50" t="n"/>
      <c r="X1121" s="49">
        <f>IF(OR($B1121="",$M1121=""),"",WORKDAY($B1121,IFERROR(INDEX(CONFIG!$D$4:$D$63,MATCH($M1121,CONFIG!$A$4:$A$63,0)),3)))</f>
        <v/>
      </c>
      <c r="Y1121" s="47" t="n"/>
      <c r="Z1121" s="24">
        <f>IF($B1121="","",IF($Y1121&lt;&gt;"",$Y1121-$B1121,TODAY()-$B1121))</f>
        <v/>
      </c>
      <c r="AA1121" s="28">
        <f>IF($B1121="","",IF(IFERROR(INDEX(CONFIG!$L$4:$L$63,MATCH($V1121,CONFIG!$K$4:$K$63,0)),"NO")="SÍ",IF(OR($Y1121="",$X1121=""),"Resuelta",IF($Y1121&gt;$X1121,"Resuelta tarde","Resuelta a tiempo")),IF($X1121="","Sin clasificar",IF(TODAY()&gt;$X1121,"Vencida",IF(TODAY()&gt;=$X1121-1,"Por vencer","En plazo")))))</f>
        <v/>
      </c>
      <c r="AB1121" s="50" t="n"/>
      <c r="AC1121" s="50" t="n"/>
    </row>
    <row r="1122" ht="16" customHeight="1">
      <c r="A1122" s="28">
        <f>IF($B1122="","","N-"&amp;TEXT(ROW()-3,"0000"))</f>
        <v/>
      </c>
      <c r="B1122" s="47" t="n"/>
      <c r="C1122" s="48" t="n"/>
      <c r="D1122" s="48" t="n"/>
      <c r="E1122" s="28">
        <f>IF($C1122="","",IF($D1122="",IF($C1122="Interna","Sin guía (interna)","FALTA GUÍA"),IF(COUNTIFS(ENVIOS!$A$4:$A$3003,$D1122)=0,"NO EXISTE",IF(COUNTIFS(ENVIOS!$A$4:$A$3003,$D1122)&gt;1,"DUPLICADA","OK"))))</f>
        <v/>
      </c>
      <c r="F1122" s="28">
        <f>IF($D1122="","",IFERROR(INDEX(ENVIOS!$B$4:$B$3003,MATCH($D1122,ENVIOS!$A$4:$A$3003,0)),"—"))</f>
        <v/>
      </c>
      <c r="G1122" s="23">
        <f>IF($D1122="","",IFERROR(INDEX(ENVIOS!$D$4:$D$3003,MATCH($D1122,ENVIOS!$A$4:$A$3003,0)),"—"))</f>
        <v/>
      </c>
      <c r="H1122" s="23">
        <f>IF($D1122="","",IFERROR(INDEX(ENVIOS!$E$4:$E$3003,MATCH($D1122,ENVIOS!$A$4:$A$3003,0)),"—"))</f>
        <v/>
      </c>
      <c r="I1122" s="23">
        <f>IF($D1122="","",IFERROR(INDEX(ENVIOS!$F$4:$F$3003,MATCH($D1122,ENVIOS!$A$4:$A$3003,0)),"—"))</f>
        <v/>
      </c>
      <c r="J1122" s="23">
        <f>IF($D1122="","",IFERROR(INDEX(ENVIOS!$G$4:$G$3003,MATCH($D1122,ENVIOS!$A$4:$A$3003,0)),"—"))</f>
        <v/>
      </c>
      <c r="K1122" s="28">
        <f>IF($D1122="","",IFERROR(INDEX(ENVIOS!$H$4:$H$3003,MATCH($D1122,ENVIOS!$A$4:$A$3003,0)),"—"))</f>
        <v/>
      </c>
      <c r="L1122" s="49">
        <f>IF($D1122="","",IFERROR(INDEX(ENVIOS!$C$4:$C$3003,MATCH($D1122,ENVIOS!$A$4:$A$3003,0)),""))</f>
        <v/>
      </c>
      <c r="M1122" s="50" t="n"/>
      <c r="N1122" s="28">
        <f>IF($M1122="","",IFERROR(INDEX(CONFIG!$C$4:$C$63,MATCH($M1122,CONFIG!$A$4:$A$63,0)),"Media"))</f>
        <v/>
      </c>
      <c r="O1122" s="28">
        <f>IF($M1122="","",IF($C1122="Interna","NO",IFERROR(INDEX(CONFIG!$E$4:$E$63,MATCH($M1122,CONFIG!$A$4:$A$63,0)),"NO")))</f>
        <v/>
      </c>
      <c r="P1122" s="50" t="n"/>
      <c r="Q1122" s="50" t="n"/>
      <c r="R1122" s="28">
        <f>IF($Q1122="","",IFERROR(INDEX(CONFIG!$H$4:$H$63,MATCH($Q1122,CONFIG!$G$4:$G$63,0)),"Por definir"))</f>
        <v/>
      </c>
      <c r="S1122" s="28">
        <f>IF($Q1122="","",IFERROR(INDEX(CONFIG!$I$4:$I$63,MATCH($Q1122,CONFIG!$G$4:$G$63,0)),"Por definir"))</f>
        <v/>
      </c>
      <c r="T1122" s="51" t="n"/>
      <c r="U1122" s="52" t="n"/>
      <c r="V1122" s="50" t="n"/>
      <c r="W1122" s="50" t="n"/>
      <c r="X1122" s="49">
        <f>IF(OR($B1122="",$M1122=""),"",WORKDAY($B1122,IFERROR(INDEX(CONFIG!$D$4:$D$63,MATCH($M1122,CONFIG!$A$4:$A$63,0)),3)))</f>
        <v/>
      </c>
      <c r="Y1122" s="47" t="n"/>
      <c r="Z1122" s="24">
        <f>IF($B1122="","",IF($Y1122&lt;&gt;"",$Y1122-$B1122,TODAY()-$B1122))</f>
        <v/>
      </c>
      <c r="AA1122" s="28">
        <f>IF($B1122="","",IF(IFERROR(INDEX(CONFIG!$L$4:$L$63,MATCH($V1122,CONFIG!$K$4:$K$63,0)),"NO")="SÍ",IF(OR($Y1122="",$X1122=""),"Resuelta",IF($Y1122&gt;$X1122,"Resuelta tarde","Resuelta a tiempo")),IF($X1122="","Sin clasificar",IF(TODAY()&gt;$X1122,"Vencida",IF(TODAY()&gt;=$X1122-1,"Por vencer","En plazo")))))</f>
        <v/>
      </c>
      <c r="AB1122" s="50" t="n"/>
      <c r="AC1122" s="50" t="n"/>
    </row>
    <row r="1123" ht="16" customHeight="1">
      <c r="A1123" s="28">
        <f>IF($B1123="","","N-"&amp;TEXT(ROW()-3,"0000"))</f>
        <v/>
      </c>
      <c r="B1123" s="47" t="n"/>
      <c r="C1123" s="48" t="n"/>
      <c r="D1123" s="48" t="n"/>
      <c r="E1123" s="28">
        <f>IF($C1123="","",IF($D1123="",IF($C1123="Interna","Sin guía (interna)","FALTA GUÍA"),IF(COUNTIFS(ENVIOS!$A$4:$A$3003,$D1123)=0,"NO EXISTE",IF(COUNTIFS(ENVIOS!$A$4:$A$3003,$D1123)&gt;1,"DUPLICADA","OK"))))</f>
        <v/>
      </c>
      <c r="F1123" s="28">
        <f>IF($D1123="","",IFERROR(INDEX(ENVIOS!$B$4:$B$3003,MATCH($D1123,ENVIOS!$A$4:$A$3003,0)),"—"))</f>
        <v/>
      </c>
      <c r="G1123" s="23">
        <f>IF($D1123="","",IFERROR(INDEX(ENVIOS!$D$4:$D$3003,MATCH($D1123,ENVIOS!$A$4:$A$3003,0)),"—"))</f>
        <v/>
      </c>
      <c r="H1123" s="23">
        <f>IF($D1123="","",IFERROR(INDEX(ENVIOS!$E$4:$E$3003,MATCH($D1123,ENVIOS!$A$4:$A$3003,0)),"—"))</f>
        <v/>
      </c>
      <c r="I1123" s="23">
        <f>IF($D1123="","",IFERROR(INDEX(ENVIOS!$F$4:$F$3003,MATCH($D1123,ENVIOS!$A$4:$A$3003,0)),"—"))</f>
        <v/>
      </c>
      <c r="J1123" s="23">
        <f>IF($D1123="","",IFERROR(INDEX(ENVIOS!$G$4:$G$3003,MATCH($D1123,ENVIOS!$A$4:$A$3003,0)),"—"))</f>
        <v/>
      </c>
      <c r="K1123" s="28">
        <f>IF($D1123="","",IFERROR(INDEX(ENVIOS!$H$4:$H$3003,MATCH($D1123,ENVIOS!$A$4:$A$3003,0)),"—"))</f>
        <v/>
      </c>
      <c r="L1123" s="49">
        <f>IF($D1123="","",IFERROR(INDEX(ENVIOS!$C$4:$C$3003,MATCH($D1123,ENVIOS!$A$4:$A$3003,0)),""))</f>
        <v/>
      </c>
      <c r="M1123" s="50" t="n"/>
      <c r="N1123" s="28">
        <f>IF($M1123="","",IFERROR(INDEX(CONFIG!$C$4:$C$63,MATCH($M1123,CONFIG!$A$4:$A$63,0)),"Media"))</f>
        <v/>
      </c>
      <c r="O1123" s="28">
        <f>IF($M1123="","",IF($C1123="Interna","NO",IFERROR(INDEX(CONFIG!$E$4:$E$63,MATCH($M1123,CONFIG!$A$4:$A$63,0)),"NO")))</f>
        <v/>
      </c>
      <c r="P1123" s="50" t="n"/>
      <c r="Q1123" s="50" t="n"/>
      <c r="R1123" s="28">
        <f>IF($Q1123="","",IFERROR(INDEX(CONFIG!$H$4:$H$63,MATCH($Q1123,CONFIG!$G$4:$G$63,0)),"Por definir"))</f>
        <v/>
      </c>
      <c r="S1123" s="28">
        <f>IF($Q1123="","",IFERROR(INDEX(CONFIG!$I$4:$I$63,MATCH($Q1123,CONFIG!$G$4:$G$63,0)),"Por definir"))</f>
        <v/>
      </c>
      <c r="T1123" s="51" t="n"/>
      <c r="U1123" s="52" t="n"/>
      <c r="V1123" s="50" t="n"/>
      <c r="W1123" s="50" t="n"/>
      <c r="X1123" s="49">
        <f>IF(OR($B1123="",$M1123=""),"",WORKDAY($B1123,IFERROR(INDEX(CONFIG!$D$4:$D$63,MATCH($M1123,CONFIG!$A$4:$A$63,0)),3)))</f>
        <v/>
      </c>
      <c r="Y1123" s="47" t="n"/>
      <c r="Z1123" s="24">
        <f>IF($B1123="","",IF($Y1123&lt;&gt;"",$Y1123-$B1123,TODAY()-$B1123))</f>
        <v/>
      </c>
      <c r="AA1123" s="28">
        <f>IF($B1123="","",IF(IFERROR(INDEX(CONFIG!$L$4:$L$63,MATCH($V1123,CONFIG!$K$4:$K$63,0)),"NO")="SÍ",IF(OR($Y1123="",$X1123=""),"Resuelta",IF($Y1123&gt;$X1123,"Resuelta tarde","Resuelta a tiempo")),IF($X1123="","Sin clasificar",IF(TODAY()&gt;$X1123,"Vencida",IF(TODAY()&gt;=$X1123-1,"Por vencer","En plazo")))))</f>
        <v/>
      </c>
      <c r="AB1123" s="50" t="n"/>
      <c r="AC1123" s="50" t="n"/>
    </row>
    <row r="1124" ht="16" customHeight="1">
      <c r="A1124" s="28">
        <f>IF($B1124="","","N-"&amp;TEXT(ROW()-3,"0000"))</f>
        <v/>
      </c>
      <c r="B1124" s="47" t="n"/>
      <c r="C1124" s="48" t="n"/>
      <c r="D1124" s="48" t="n"/>
      <c r="E1124" s="28">
        <f>IF($C1124="","",IF($D1124="",IF($C1124="Interna","Sin guía (interna)","FALTA GUÍA"),IF(COUNTIFS(ENVIOS!$A$4:$A$3003,$D1124)=0,"NO EXISTE",IF(COUNTIFS(ENVIOS!$A$4:$A$3003,$D1124)&gt;1,"DUPLICADA","OK"))))</f>
        <v/>
      </c>
      <c r="F1124" s="28">
        <f>IF($D1124="","",IFERROR(INDEX(ENVIOS!$B$4:$B$3003,MATCH($D1124,ENVIOS!$A$4:$A$3003,0)),"—"))</f>
        <v/>
      </c>
      <c r="G1124" s="23">
        <f>IF($D1124="","",IFERROR(INDEX(ENVIOS!$D$4:$D$3003,MATCH($D1124,ENVIOS!$A$4:$A$3003,0)),"—"))</f>
        <v/>
      </c>
      <c r="H1124" s="23">
        <f>IF($D1124="","",IFERROR(INDEX(ENVIOS!$E$4:$E$3003,MATCH($D1124,ENVIOS!$A$4:$A$3003,0)),"—"))</f>
        <v/>
      </c>
      <c r="I1124" s="23">
        <f>IF($D1124="","",IFERROR(INDEX(ENVIOS!$F$4:$F$3003,MATCH($D1124,ENVIOS!$A$4:$A$3003,0)),"—"))</f>
        <v/>
      </c>
      <c r="J1124" s="23">
        <f>IF($D1124="","",IFERROR(INDEX(ENVIOS!$G$4:$G$3003,MATCH($D1124,ENVIOS!$A$4:$A$3003,0)),"—"))</f>
        <v/>
      </c>
      <c r="K1124" s="28">
        <f>IF($D1124="","",IFERROR(INDEX(ENVIOS!$H$4:$H$3003,MATCH($D1124,ENVIOS!$A$4:$A$3003,0)),"—"))</f>
        <v/>
      </c>
      <c r="L1124" s="49">
        <f>IF($D1124="","",IFERROR(INDEX(ENVIOS!$C$4:$C$3003,MATCH($D1124,ENVIOS!$A$4:$A$3003,0)),""))</f>
        <v/>
      </c>
      <c r="M1124" s="50" t="n"/>
      <c r="N1124" s="28">
        <f>IF($M1124="","",IFERROR(INDEX(CONFIG!$C$4:$C$63,MATCH($M1124,CONFIG!$A$4:$A$63,0)),"Media"))</f>
        <v/>
      </c>
      <c r="O1124" s="28">
        <f>IF($M1124="","",IF($C1124="Interna","NO",IFERROR(INDEX(CONFIG!$E$4:$E$63,MATCH($M1124,CONFIG!$A$4:$A$63,0)),"NO")))</f>
        <v/>
      </c>
      <c r="P1124" s="50" t="n"/>
      <c r="Q1124" s="50" t="n"/>
      <c r="R1124" s="28">
        <f>IF($Q1124="","",IFERROR(INDEX(CONFIG!$H$4:$H$63,MATCH($Q1124,CONFIG!$G$4:$G$63,0)),"Por definir"))</f>
        <v/>
      </c>
      <c r="S1124" s="28">
        <f>IF($Q1124="","",IFERROR(INDEX(CONFIG!$I$4:$I$63,MATCH($Q1124,CONFIG!$G$4:$G$63,0)),"Por definir"))</f>
        <v/>
      </c>
      <c r="T1124" s="51" t="n"/>
      <c r="U1124" s="52" t="n"/>
      <c r="V1124" s="50" t="n"/>
      <c r="W1124" s="50" t="n"/>
      <c r="X1124" s="49">
        <f>IF(OR($B1124="",$M1124=""),"",WORKDAY($B1124,IFERROR(INDEX(CONFIG!$D$4:$D$63,MATCH($M1124,CONFIG!$A$4:$A$63,0)),3)))</f>
        <v/>
      </c>
      <c r="Y1124" s="47" t="n"/>
      <c r="Z1124" s="24">
        <f>IF($B1124="","",IF($Y1124&lt;&gt;"",$Y1124-$B1124,TODAY()-$B1124))</f>
        <v/>
      </c>
      <c r="AA1124" s="28">
        <f>IF($B1124="","",IF(IFERROR(INDEX(CONFIG!$L$4:$L$63,MATCH($V1124,CONFIG!$K$4:$K$63,0)),"NO")="SÍ",IF(OR($Y1124="",$X1124=""),"Resuelta",IF($Y1124&gt;$X1124,"Resuelta tarde","Resuelta a tiempo")),IF($X1124="","Sin clasificar",IF(TODAY()&gt;$X1124,"Vencida",IF(TODAY()&gt;=$X1124-1,"Por vencer","En plazo")))))</f>
        <v/>
      </c>
      <c r="AB1124" s="50" t="n"/>
      <c r="AC1124" s="50" t="n"/>
    </row>
    <row r="1125" ht="16" customHeight="1">
      <c r="A1125" s="28">
        <f>IF($B1125="","","N-"&amp;TEXT(ROW()-3,"0000"))</f>
        <v/>
      </c>
      <c r="B1125" s="47" t="n"/>
      <c r="C1125" s="48" t="n"/>
      <c r="D1125" s="48" t="n"/>
      <c r="E1125" s="28">
        <f>IF($C1125="","",IF($D1125="",IF($C1125="Interna","Sin guía (interna)","FALTA GUÍA"),IF(COUNTIFS(ENVIOS!$A$4:$A$3003,$D1125)=0,"NO EXISTE",IF(COUNTIFS(ENVIOS!$A$4:$A$3003,$D1125)&gt;1,"DUPLICADA","OK"))))</f>
        <v/>
      </c>
      <c r="F1125" s="28">
        <f>IF($D1125="","",IFERROR(INDEX(ENVIOS!$B$4:$B$3003,MATCH($D1125,ENVIOS!$A$4:$A$3003,0)),"—"))</f>
        <v/>
      </c>
      <c r="G1125" s="23">
        <f>IF($D1125="","",IFERROR(INDEX(ENVIOS!$D$4:$D$3003,MATCH($D1125,ENVIOS!$A$4:$A$3003,0)),"—"))</f>
        <v/>
      </c>
      <c r="H1125" s="23">
        <f>IF($D1125="","",IFERROR(INDEX(ENVIOS!$E$4:$E$3003,MATCH($D1125,ENVIOS!$A$4:$A$3003,0)),"—"))</f>
        <v/>
      </c>
      <c r="I1125" s="23">
        <f>IF($D1125="","",IFERROR(INDEX(ENVIOS!$F$4:$F$3003,MATCH($D1125,ENVIOS!$A$4:$A$3003,0)),"—"))</f>
        <v/>
      </c>
      <c r="J1125" s="23">
        <f>IF($D1125="","",IFERROR(INDEX(ENVIOS!$G$4:$G$3003,MATCH($D1125,ENVIOS!$A$4:$A$3003,0)),"—"))</f>
        <v/>
      </c>
      <c r="K1125" s="28">
        <f>IF($D1125="","",IFERROR(INDEX(ENVIOS!$H$4:$H$3003,MATCH($D1125,ENVIOS!$A$4:$A$3003,0)),"—"))</f>
        <v/>
      </c>
      <c r="L1125" s="49">
        <f>IF($D1125="","",IFERROR(INDEX(ENVIOS!$C$4:$C$3003,MATCH($D1125,ENVIOS!$A$4:$A$3003,0)),""))</f>
        <v/>
      </c>
      <c r="M1125" s="50" t="n"/>
      <c r="N1125" s="28">
        <f>IF($M1125="","",IFERROR(INDEX(CONFIG!$C$4:$C$63,MATCH($M1125,CONFIG!$A$4:$A$63,0)),"Media"))</f>
        <v/>
      </c>
      <c r="O1125" s="28">
        <f>IF($M1125="","",IF($C1125="Interna","NO",IFERROR(INDEX(CONFIG!$E$4:$E$63,MATCH($M1125,CONFIG!$A$4:$A$63,0)),"NO")))</f>
        <v/>
      </c>
      <c r="P1125" s="50" t="n"/>
      <c r="Q1125" s="50" t="n"/>
      <c r="R1125" s="28">
        <f>IF($Q1125="","",IFERROR(INDEX(CONFIG!$H$4:$H$63,MATCH($Q1125,CONFIG!$G$4:$G$63,0)),"Por definir"))</f>
        <v/>
      </c>
      <c r="S1125" s="28">
        <f>IF($Q1125="","",IFERROR(INDEX(CONFIG!$I$4:$I$63,MATCH($Q1125,CONFIG!$G$4:$G$63,0)),"Por definir"))</f>
        <v/>
      </c>
      <c r="T1125" s="51" t="n"/>
      <c r="U1125" s="52" t="n"/>
      <c r="V1125" s="50" t="n"/>
      <c r="W1125" s="50" t="n"/>
      <c r="X1125" s="49">
        <f>IF(OR($B1125="",$M1125=""),"",WORKDAY($B1125,IFERROR(INDEX(CONFIG!$D$4:$D$63,MATCH($M1125,CONFIG!$A$4:$A$63,0)),3)))</f>
        <v/>
      </c>
      <c r="Y1125" s="47" t="n"/>
      <c r="Z1125" s="24">
        <f>IF($B1125="","",IF($Y1125&lt;&gt;"",$Y1125-$B1125,TODAY()-$B1125))</f>
        <v/>
      </c>
      <c r="AA1125" s="28">
        <f>IF($B1125="","",IF(IFERROR(INDEX(CONFIG!$L$4:$L$63,MATCH($V1125,CONFIG!$K$4:$K$63,0)),"NO")="SÍ",IF(OR($Y1125="",$X1125=""),"Resuelta",IF($Y1125&gt;$X1125,"Resuelta tarde","Resuelta a tiempo")),IF($X1125="","Sin clasificar",IF(TODAY()&gt;$X1125,"Vencida",IF(TODAY()&gt;=$X1125-1,"Por vencer","En plazo")))))</f>
        <v/>
      </c>
      <c r="AB1125" s="50" t="n"/>
      <c r="AC1125" s="50" t="n"/>
    </row>
    <row r="1126" ht="16" customHeight="1">
      <c r="A1126" s="28">
        <f>IF($B1126="","","N-"&amp;TEXT(ROW()-3,"0000"))</f>
        <v/>
      </c>
      <c r="B1126" s="47" t="n"/>
      <c r="C1126" s="48" t="n"/>
      <c r="D1126" s="48" t="n"/>
      <c r="E1126" s="28">
        <f>IF($C1126="","",IF($D1126="",IF($C1126="Interna","Sin guía (interna)","FALTA GUÍA"),IF(COUNTIFS(ENVIOS!$A$4:$A$3003,$D1126)=0,"NO EXISTE",IF(COUNTIFS(ENVIOS!$A$4:$A$3003,$D1126)&gt;1,"DUPLICADA","OK"))))</f>
        <v/>
      </c>
      <c r="F1126" s="28">
        <f>IF($D1126="","",IFERROR(INDEX(ENVIOS!$B$4:$B$3003,MATCH($D1126,ENVIOS!$A$4:$A$3003,0)),"—"))</f>
        <v/>
      </c>
      <c r="G1126" s="23">
        <f>IF($D1126="","",IFERROR(INDEX(ENVIOS!$D$4:$D$3003,MATCH($D1126,ENVIOS!$A$4:$A$3003,0)),"—"))</f>
        <v/>
      </c>
      <c r="H1126" s="23">
        <f>IF($D1126="","",IFERROR(INDEX(ENVIOS!$E$4:$E$3003,MATCH($D1126,ENVIOS!$A$4:$A$3003,0)),"—"))</f>
        <v/>
      </c>
      <c r="I1126" s="23">
        <f>IF($D1126="","",IFERROR(INDEX(ENVIOS!$F$4:$F$3003,MATCH($D1126,ENVIOS!$A$4:$A$3003,0)),"—"))</f>
        <v/>
      </c>
      <c r="J1126" s="23">
        <f>IF($D1126="","",IFERROR(INDEX(ENVIOS!$G$4:$G$3003,MATCH($D1126,ENVIOS!$A$4:$A$3003,0)),"—"))</f>
        <v/>
      </c>
      <c r="K1126" s="28">
        <f>IF($D1126="","",IFERROR(INDEX(ENVIOS!$H$4:$H$3003,MATCH($D1126,ENVIOS!$A$4:$A$3003,0)),"—"))</f>
        <v/>
      </c>
      <c r="L1126" s="49">
        <f>IF($D1126="","",IFERROR(INDEX(ENVIOS!$C$4:$C$3003,MATCH($D1126,ENVIOS!$A$4:$A$3003,0)),""))</f>
        <v/>
      </c>
      <c r="M1126" s="50" t="n"/>
      <c r="N1126" s="28">
        <f>IF($M1126="","",IFERROR(INDEX(CONFIG!$C$4:$C$63,MATCH($M1126,CONFIG!$A$4:$A$63,0)),"Media"))</f>
        <v/>
      </c>
      <c r="O1126" s="28">
        <f>IF($M1126="","",IF($C1126="Interna","NO",IFERROR(INDEX(CONFIG!$E$4:$E$63,MATCH($M1126,CONFIG!$A$4:$A$63,0)),"NO")))</f>
        <v/>
      </c>
      <c r="P1126" s="50" t="n"/>
      <c r="Q1126" s="50" t="n"/>
      <c r="R1126" s="28">
        <f>IF($Q1126="","",IFERROR(INDEX(CONFIG!$H$4:$H$63,MATCH($Q1126,CONFIG!$G$4:$G$63,0)),"Por definir"))</f>
        <v/>
      </c>
      <c r="S1126" s="28">
        <f>IF($Q1126="","",IFERROR(INDEX(CONFIG!$I$4:$I$63,MATCH($Q1126,CONFIG!$G$4:$G$63,0)),"Por definir"))</f>
        <v/>
      </c>
      <c r="T1126" s="51" t="n"/>
      <c r="U1126" s="52" t="n"/>
      <c r="V1126" s="50" t="n"/>
      <c r="W1126" s="50" t="n"/>
      <c r="X1126" s="49">
        <f>IF(OR($B1126="",$M1126=""),"",WORKDAY($B1126,IFERROR(INDEX(CONFIG!$D$4:$D$63,MATCH($M1126,CONFIG!$A$4:$A$63,0)),3)))</f>
        <v/>
      </c>
      <c r="Y1126" s="47" t="n"/>
      <c r="Z1126" s="24">
        <f>IF($B1126="","",IF($Y1126&lt;&gt;"",$Y1126-$B1126,TODAY()-$B1126))</f>
        <v/>
      </c>
      <c r="AA1126" s="28">
        <f>IF($B1126="","",IF(IFERROR(INDEX(CONFIG!$L$4:$L$63,MATCH($V1126,CONFIG!$K$4:$K$63,0)),"NO")="SÍ",IF(OR($Y1126="",$X1126=""),"Resuelta",IF($Y1126&gt;$X1126,"Resuelta tarde","Resuelta a tiempo")),IF($X1126="","Sin clasificar",IF(TODAY()&gt;$X1126,"Vencida",IF(TODAY()&gt;=$X1126-1,"Por vencer","En plazo")))))</f>
        <v/>
      </c>
      <c r="AB1126" s="50" t="n"/>
      <c r="AC1126" s="50" t="n"/>
    </row>
    <row r="1127" ht="16" customHeight="1">
      <c r="A1127" s="28">
        <f>IF($B1127="","","N-"&amp;TEXT(ROW()-3,"0000"))</f>
        <v/>
      </c>
      <c r="B1127" s="47" t="n"/>
      <c r="C1127" s="48" t="n"/>
      <c r="D1127" s="48" t="n"/>
      <c r="E1127" s="28">
        <f>IF($C1127="","",IF($D1127="",IF($C1127="Interna","Sin guía (interna)","FALTA GUÍA"),IF(COUNTIFS(ENVIOS!$A$4:$A$3003,$D1127)=0,"NO EXISTE",IF(COUNTIFS(ENVIOS!$A$4:$A$3003,$D1127)&gt;1,"DUPLICADA","OK"))))</f>
        <v/>
      </c>
      <c r="F1127" s="28">
        <f>IF($D1127="","",IFERROR(INDEX(ENVIOS!$B$4:$B$3003,MATCH($D1127,ENVIOS!$A$4:$A$3003,0)),"—"))</f>
        <v/>
      </c>
      <c r="G1127" s="23">
        <f>IF($D1127="","",IFERROR(INDEX(ENVIOS!$D$4:$D$3003,MATCH($D1127,ENVIOS!$A$4:$A$3003,0)),"—"))</f>
        <v/>
      </c>
      <c r="H1127" s="23">
        <f>IF($D1127="","",IFERROR(INDEX(ENVIOS!$E$4:$E$3003,MATCH($D1127,ENVIOS!$A$4:$A$3003,0)),"—"))</f>
        <v/>
      </c>
      <c r="I1127" s="23">
        <f>IF($D1127="","",IFERROR(INDEX(ENVIOS!$F$4:$F$3003,MATCH($D1127,ENVIOS!$A$4:$A$3003,0)),"—"))</f>
        <v/>
      </c>
      <c r="J1127" s="23">
        <f>IF($D1127="","",IFERROR(INDEX(ENVIOS!$G$4:$G$3003,MATCH($D1127,ENVIOS!$A$4:$A$3003,0)),"—"))</f>
        <v/>
      </c>
      <c r="K1127" s="28">
        <f>IF($D1127="","",IFERROR(INDEX(ENVIOS!$H$4:$H$3003,MATCH($D1127,ENVIOS!$A$4:$A$3003,0)),"—"))</f>
        <v/>
      </c>
      <c r="L1127" s="49">
        <f>IF($D1127="","",IFERROR(INDEX(ENVIOS!$C$4:$C$3003,MATCH($D1127,ENVIOS!$A$4:$A$3003,0)),""))</f>
        <v/>
      </c>
      <c r="M1127" s="50" t="n"/>
      <c r="N1127" s="28">
        <f>IF($M1127="","",IFERROR(INDEX(CONFIG!$C$4:$C$63,MATCH($M1127,CONFIG!$A$4:$A$63,0)),"Media"))</f>
        <v/>
      </c>
      <c r="O1127" s="28">
        <f>IF($M1127="","",IF($C1127="Interna","NO",IFERROR(INDEX(CONFIG!$E$4:$E$63,MATCH($M1127,CONFIG!$A$4:$A$63,0)),"NO")))</f>
        <v/>
      </c>
      <c r="P1127" s="50" t="n"/>
      <c r="Q1127" s="50" t="n"/>
      <c r="R1127" s="28">
        <f>IF($Q1127="","",IFERROR(INDEX(CONFIG!$H$4:$H$63,MATCH($Q1127,CONFIG!$G$4:$G$63,0)),"Por definir"))</f>
        <v/>
      </c>
      <c r="S1127" s="28">
        <f>IF($Q1127="","",IFERROR(INDEX(CONFIG!$I$4:$I$63,MATCH($Q1127,CONFIG!$G$4:$G$63,0)),"Por definir"))</f>
        <v/>
      </c>
      <c r="T1127" s="51" t="n"/>
      <c r="U1127" s="52" t="n"/>
      <c r="V1127" s="50" t="n"/>
      <c r="W1127" s="50" t="n"/>
      <c r="X1127" s="49">
        <f>IF(OR($B1127="",$M1127=""),"",WORKDAY($B1127,IFERROR(INDEX(CONFIG!$D$4:$D$63,MATCH($M1127,CONFIG!$A$4:$A$63,0)),3)))</f>
        <v/>
      </c>
      <c r="Y1127" s="47" t="n"/>
      <c r="Z1127" s="24">
        <f>IF($B1127="","",IF($Y1127&lt;&gt;"",$Y1127-$B1127,TODAY()-$B1127))</f>
        <v/>
      </c>
      <c r="AA1127" s="28">
        <f>IF($B1127="","",IF(IFERROR(INDEX(CONFIG!$L$4:$L$63,MATCH($V1127,CONFIG!$K$4:$K$63,0)),"NO")="SÍ",IF(OR($Y1127="",$X1127=""),"Resuelta",IF($Y1127&gt;$X1127,"Resuelta tarde","Resuelta a tiempo")),IF($X1127="","Sin clasificar",IF(TODAY()&gt;$X1127,"Vencida",IF(TODAY()&gt;=$X1127-1,"Por vencer","En plazo")))))</f>
        <v/>
      </c>
      <c r="AB1127" s="50" t="n"/>
      <c r="AC1127" s="50" t="n"/>
    </row>
    <row r="1128" ht="16" customHeight="1">
      <c r="A1128" s="28">
        <f>IF($B1128="","","N-"&amp;TEXT(ROW()-3,"0000"))</f>
        <v/>
      </c>
      <c r="B1128" s="47" t="n"/>
      <c r="C1128" s="48" t="n"/>
      <c r="D1128" s="48" t="n"/>
      <c r="E1128" s="28">
        <f>IF($C1128="","",IF($D1128="",IF($C1128="Interna","Sin guía (interna)","FALTA GUÍA"),IF(COUNTIFS(ENVIOS!$A$4:$A$3003,$D1128)=0,"NO EXISTE",IF(COUNTIFS(ENVIOS!$A$4:$A$3003,$D1128)&gt;1,"DUPLICADA","OK"))))</f>
        <v/>
      </c>
      <c r="F1128" s="28">
        <f>IF($D1128="","",IFERROR(INDEX(ENVIOS!$B$4:$B$3003,MATCH($D1128,ENVIOS!$A$4:$A$3003,0)),"—"))</f>
        <v/>
      </c>
      <c r="G1128" s="23">
        <f>IF($D1128="","",IFERROR(INDEX(ENVIOS!$D$4:$D$3003,MATCH($D1128,ENVIOS!$A$4:$A$3003,0)),"—"))</f>
        <v/>
      </c>
      <c r="H1128" s="23">
        <f>IF($D1128="","",IFERROR(INDEX(ENVIOS!$E$4:$E$3003,MATCH($D1128,ENVIOS!$A$4:$A$3003,0)),"—"))</f>
        <v/>
      </c>
      <c r="I1128" s="23">
        <f>IF($D1128="","",IFERROR(INDEX(ENVIOS!$F$4:$F$3003,MATCH($D1128,ENVIOS!$A$4:$A$3003,0)),"—"))</f>
        <v/>
      </c>
      <c r="J1128" s="23">
        <f>IF($D1128="","",IFERROR(INDEX(ENVIOS!$G$4:$G$3003,MATCH($D1128,ENVIOS!$A$4:$A$3003,0)),"—"))</f>
        <v/>
      </c>
      <c r="K1128" s="28">
        <f>IF($D1128="","",IFERROR(INDEX(ENVIOS!$H$4:$H$3003,MATCH($D1128,ENVIOS!$A$4:$A$3003,0)),"—"))</f>
        <v/>
      </c>
      <c r="L1128" s="49">
        <f>IF($D1128="","",IFERROR(INDEX(ENVIOS!$C$4:$C$3003,MATCH($D1128,ENVIOS!$A$4:$A$3003,0)),""))</f>
        <v/>
      </c>
      <c r="M1128" s="50" t="n"/>
      <c r="N1128" s="28">
        <f>IF($M1128="","",IFERROR(INDEX(CONFIG!$C$4:$C$63,MATCH($M1128,CONFIG!$A$4:$A$63,0)),"Media"))</f>
        <v/>
      </c>
      <c r="O1128" s="28">
        <f>IF($M1128="","",IF($C1128="Interna","NO",IFERROR(INDEX(CONFIG!$E$4:$E$63,MATCH($M1128,CONFIG!$A$4:$A$63,0)),"NO")))</f>
        <v/>
      </c>
      <c r="P1128" s="50" t="n"/>
      <c r="Q1128" s="50" t="n"/>
      <c r="R1128" s="28">
        <f>IF($Q1128="","",IFERROR(INDEX(CONFIG!$H$4:$H$63,MATCH($Q1128,CONFIG!$G$4:$G$63,0)),"Por definir"))</f>
        <v/>
      </c>
      <c r="S1128" s="28">
        <f>IF($Q1128="","",IFERROR(INDEX(CONFIG!$I$4:$I$63,MATCH($Q1128,CONFIG!$G$4:$G$63,0)),"Por definir"))</f>
        <v/>
      </c>
      <c r="T1128" s="51" t="n"/>
      <c r="U1128" s="52" t="n"/>
      <c r="V1128" s="50" t="n"/>
      <c r="W1128" s="50" t="n"/>
      <c r="X1128" s="49">
        <f>IF(OR($B1128="",$M1128=""),"",WORKDAY($B1128,IFERROR(INDEX(CONFIG!$D$4:$D$63,MATCH($M1128,CONFIG!$A$4:$A$63,0)),3)))</f>
        <v/>
      </c>
      <c r="Y1128" s="47" t="n"/>
      <c r="Z1128" s="24">
        <f>IF($B1128="","",IF($Y1128&lt;&gt;"",$Y1128-$B1128,TODAY()-$B1128))</f>
        <v/>
      </c>
      <c r="AA1128" s="28">
        <f>IF($B1128="","",IF(IFERROR(INDEX(CONFIG!$L$4:$L$63,MATCH($V1128,CONFIG!$K$4:$K$63,0)),"NO")="SÍ",IF(OR($Y1128="",$X1128=""),"Resuelta",IF($Y1128&gt;$X1128,"Resuelta tarde","Resuelta a tiempo")),IF($X1128="","Sin clasificar",IF(TODAY()&gt;$X1128,"Vencida",IF(TODAY()&gt;=$X1128-1,"Por vencer","En plazo")))))</f>
        <v/>
      </c>
      <c r="AB1128" s="50" t="n"/>
      <c r="AC1128" s="50" t="n"/>
    </row>
    <row r="1129" ht="16" customHeight="1">
      <c r="A1129" s="28">
        <f>IF($B1129="","","N-"&amp;TEXT(ROW()-3,"0000"))</f>
        <v/>
      </c>
      <c r="B1129" s="47" t="n"/>
      <c r="C1129" s="48" t="n"/>
      <c r="D1129" s="48" t="n"/>
      <c r="E1129" s="28">
        <f>IF($C1129="","",IF($D1129="",IF($C1129="Interna","Sin guía (interna)","FALTA GUÍA"),IF(COUNTIFS(ENVIOS!$A$4:$A$3003,$D1129)=0,"NO EXISTE",IF(COUNTIFS(ENVIOS!$A$4:$A$3003,$D1129)&gt;1,"DUPLICADA","OK"))))</f>
        <v/>
      </c>
      <c r="F1129" s="28">
        <f>IF($D1129="","",IFERROR(INDEX(ENVIOS!$B$4:$B$3003,MATCH($D1129,ENVIOS!$A$4:$A$3003,0)),"—"))</f>
        <v/>
      </c>
      <c r="G1129" s="23">
        <f>IF($D1129="","",IFERROR(INDEX(ENVIOS!$D$4:$D$3003,MATCH($D1129,ENVIOS!$A$4:$A$3003,0)),"—"))</f>
        <v/>
      </c>
      <c r="H1129" s="23">
        <f>IF($D1129="","",IFERROR(INDEX(ENVIOS!$E$4:$E$3003,MATCH($D1129,ENVIOS!$A$4:$A$3003,0)),"—"))</f>
        <v/>
      </c>
      <c r="I1129" s="23">
        <f>IF($D1129="","",IFERROR(INDEX(ENVIOS!$F$4:$F$3003,MATCH($D1129,ENVIOS!$A$4:$A$3003,0)),"—"))</f>
        <v/>
      </c>
      <c r="J1129" s="23">
        <f>IF($D1129="","",IFERROR(INDEX(ENVIOS!$G$4:$G$3003,MATCH($D1129,ENVIOS!$A$4:$A$3003,0)),"—"))</f>
        <v/>
      </c>
      <c r="K1129" s="28">
        <f>IF($D1129="","",IFERROR(INDEX(ENVIOS!$H$4:$H$3003,MATCH($D1129,ENVIOS!$A$4:$A$3003,0)),"—"))</f>
        <v/>
      </c>
      <c r="L1129" s="49">
        <f>IF($D1129="","",IFERROR(INDEX(ENVIOS!$C$4:$C$3003,MATCH($D1129,ENVIOS!$A$4:$A$3003,0)),""))</f>
        <v/>
      </c>
      <c r="M1129" s="50" t="n"/>
      <c r="N1129" s="28">
        <f>IF($M1129="","",IFERROR(INDEX(CONFIG!$C$4:$C$63,MATCH($M1129,CONFIG!$A$4:$A$63,0)),"Media"))</f>
        <v/>
      </c>
      <c r="O1129" s="28">
        <f>IF($M1129="","",IF($C1129="Interna","NO",IFERROR(INDEX(CONFIG!$E$4:$E$63,MATCH($M1129,CONFIG!$A$4:$A$63,0)),"NO")))</f>
        <v/>
      </c>
      <c r="P1129" s="50" t="n"/>
      <c r="Q1129" s="50" t="n"/>
      <c r="R1129" s="28">
        <f>IF($Q1129="","",IFERROR(INDEX(CONFIG!$H$4:$H$63,MATCH($Q1129,CONFIG!$G$4:$G$63,0)),"Por definir"))</f>
        <v/>
      </c>
      <c r="S1129" s="28">
        <f>IF($Q1129="","",IFERROR(INDEX(CONFIG!$I$4:$I$63,MATCH($Q1129,CONFIG!$G$4:$G$63,0)),"Por definir"))</f>
        <v/>
      </c>
      <c r="T1129" s="51" t="n"/>
      <c r="U1129" s="52" t="n"/>
      <c r="V1129" s="50" t="n"/>
      <c r="W1129" s="50" t="n"/>
      <c r="X1129" s="49">
        <f>IF(OR($B1129="",$M1129=""),"",WORKDAY($B1129,IFERROR(INDEX(CONFIG!$D$4:$D$63,MATCH($M1129,CONFIG!$A$4:$A$63,0)),3)))</f>
        <v/>
      </c>
      <c r="Y1129" s="47" t="n"/>
      <c r="Z1129" s="24">
        <f>IF($B1129="","",IF($Y1129&lt;&gt;"",$Y1129-$B1129,TODAY()-$B1129))</f>
        <v/>
      </c>
      <c r="AA1129" s="28">
        <f>IF($B1129="","",IF(IFERROR(INDEX(CONFIG!$L$4:$L$63,MATCH($V1129,CONFIG!$K$4:$K$63,0)),"NO")="SÍ",IF(OR($Y1129="",$X1129=""),"Resuelta",IF($Y1129&gt;$X1129,"Resuelta tarde","Resuelta a tiempo")),IF($X1129="","Sin clasificar",IF(TODAY()&gt;$X1129,"Vencida",IF(TODAY()&gt;=$X1129-1,"Por vencer","En plazo")))))</f>
        <v/>
      </c>
      <c r="AB1129" s="50" t="n"/>
      <c r="AC1129" s="50" t="n"/>
    </row>
    <row r="1130" ht="16" customHeight="1">
      <c r="A1130" s="28">
        <f>IF($B1130="","","N-"&amp;TEXT(ROW()-3,"0000"))</f>
        <v/>
      </c>
      <c r="B1130" s="47" t="n"/>
      <c r="C1130" s="48" t="n"/>
      <c r="D1130" s="48" t="n"/>
      <c r="E1130" s="28">
        <f>IF($C1130="","",IF($D1130="",IF($C1130="Interna","Sin guía (interna)","FALTA GUÍA"),IF(COUNTIFS(ENVIOS!$A$4:$A$3003,$D1130)=0,"NO EXISTE",IF(COUNTIFS(ENVIOS!$A$4:$A$3003,$D1130)&gt;1,"DUPLICADA","OK"))))</f>
        <v/>
      </c>
      <c r="F1130" s="28">
        <f>IF($D1130="","",IFERROR(INDEX(ENVIOS!$B$4:$B$3003,MATCH($D1130,ENVIOS!$A$4:$A$3003,0)),"—"))</f>
        <v/>
      </c>
      <c r="G1130" s="23">
        <f>IF($D1130="","",IFERROR(INDEX(ENVIOS!$D$4:$D$3003,MATCH($D1130,ENVIOS!$A$4:$A$3003,0)),"—"))</f>
        <v/>
      </c>
      <c r="H1130" s="23">
        <f>IF($D1130="","",IFERROR(INDEX(ENVIOS!$E$4:$E$3003,MATCH($D1130,ENVIOS!$A$4:$A$3003,0)),"—"))</f>
        <v/>
      </c>
      <c r="I1130" s="23">
        <f>IF($D1130="","",IFERROR(INDEX(ENVIOS!$F$4:$F$3003,MATCH($D1130,ENVIOS!$A$4:$A$3003,0)),"—"))</f>
        <v/>
      </c>
      <c r="J1130" s="23">
        <f>IF($D1130="","",IFERROR(INDEX(ENVIOS!$G$4:$G$3003,MATCH($D1130,ENVIOS!$A$4:$A$3003,0)),"—"))</f>
        <v/>
      </c>
      <c r="K1130" s="28">
        <f>IF($D1130="","",IFERROR(INDEX(ENVIOS!$H$4:$H$3003,MATCH($D1130,ENVIOS!$A$4:$A$3003,0)),"—"))</f>
        <v/>
      </c>
      <c r="L1130" s="49">
        <f>IF($D1130="","",IFERROR(INDEX(ENVIOS!$C$4:$C$3003,MATCH($D1130,ENVIOS!$A$4:$A$3003,0)),""))</f>
        <v/>
      </c>
      <c r="M1130" s="50" t="n"/>
      <c r="N1130" s="28">
        <f>IF($M1130="","",IFERROR(INDEX(CONFIG!$C$4:$C$63,MATCH($M1130,CONFIG!$A$4:$A$63,0)),"Media"))</f>
        <v/>
      </c>
      <c r="O1130" s="28">
        <f>IF($M1130="","",IF($C1130="Interna","NO",IFERROR(INDEX(CONFIG!$E$4:$E$63,MATCH($M1130,CONFIG!$A$4:$A$63,0)),"NO")))</f>
        <v/>
      </c>
      <c r="P1130" s="50" t="n"/>
      <c r="Q1130" s="50" t="n"/>
      <c r="R1130" s="28">
        <f>IF($Q1130="","",IFERROR(INDEX(CONFIG!$H$4:$H$63,MATCH($Q1130,CONFIG!$G$4:$G$63,0)),"Por definir"))</f>
        <v/>
      </c>
      <c r="S1130" s="28">
        <f>IF($Q1130="","",IFERROR(INDEX(CONFIG!$I$4:$I$63,MATCH($Q1130,CONFIG!$G$4:$G$63,0)),"Por definir"))</f>
        <v/>
      </c>
      <c r="T1130" s="51" t="n"/>
      <c r="U1130" s="52" t="n"/>
      <c r="V1130" s="50" t="n"/>
      <c r="W1130" s="50" t="n"/>
      <c r="X1130" s="49">
        <f>IF(OR($B1130="",$M1130=""),"",WORKDAY($B1130,IFERROR(INDEX(CONFIG!$D$4:$D$63,MATCH($M1130,CONFIG!$A$4:$A$63,0)),3)))</f>
        <v/>
      </c>
      <c r="Y1130" s="47" t="n"/>
      <c r="Z1130" s="24">
        <f>IF($B1130="","",IF($Y1130&lt;&gt;"",$Y1130-$B1130,TODAY()-$B1130))</f>
        <v/>
      </c>
      <c r="AA1130" s="28">
        <f>IF($B1130="","",IF(IFERROR(INDEX(CONFIG!$L$4:$L$63,MATCH($V1130,CONFIG!$K$4:$K$63,0)),"NO")="SÍ",IF(OR($Y1130="",$X1130=""),"Resuelta",IF($Y1130&gt;$X1130,"Resuelta tarde","Resuelta a tiempo")),IF($X1130="","Sin clasificar",IF(TODAY()&gt;$X1130,"Vencida",IF(TODAY()&gt;=$X1130-1,"Por vencer","En plazo")))))</f>
        <v/>
      </c>
      <c r="AB1130" s="50" t="n"/>
      <c r="AC1130" s="50" t="n"/>
    </row>
    <row r="1131" ht="16" customHeight="1">
      <c r="A1131" s="28">
        <f>IF($B1131="","","N-"&amp;TEXT(ROW()-3,"0000"))</f>
        <v/>
      </c>
      <c r="B1131" s="47" t="n"/>
      <c r="C1131" s="48" t="n"/>
      <c r="D1131" s="48" t="n"/>
      <c r="E1131" s="28">
        <f>IF($C1131="","",IF($D1131="",IF($C1131="Interna","Sin guía (interna)","FALTA GUÍA"),IF(COUNTIFS(ENVIOS!$A$4:$A$3003,$D1131)=0,"NO EXISTE",IF(COUNTIFS(ENVIOS!$A$4:$A$3003,$D1131)&gt;1,"DUPLICADA","OK"))))</f>
        <v/>
      </c>
      <c r="F1131" s="28">
        <f>IF($D1131="","",IFERROR(INDEX(ENVIOS!$B$4:$B$3003,MATCH($D1131,ENVIOS!$A$4:$A$3003,0)),"—"))</f>
        <v/>
      </c>
      <c r="G1131" s="23">
        <f>IF($D1131="","",IFERROR(INDEX(ENVIOS!$D$4:$D$3003,MATCH($D1131,ENVIOS!$A$4:$A$3003,0)),"—"))</f>
        <v/>
      </c>
      <c r="H1131" s="23">
        <f>IF($D1131="","",IFERROR(INDEX(ENVIOS!$E$4:$E$3003,MATCH($D1131,ENVIOS!$A$4:$A$3003,0)),"—"))</f>
        <v/>
      </c>
      <c r="I1131" s="23">
        <f>IF($D1131="","",IFERROR(INDEX(ENVIOS!$F$4:$F$3003,MATCH($D1131,ENVIOS!$A$4:$A$3003,0)),"—"))</f>
        <v/>
      </c>
      <c r="J1131" s="23">
        <f>IF($D1131="","",IFERROR(INDEX(ENVIOS!$G$4:$G$3003,MATCH($D1131,ENVIOS!$A$4:$A$3003,0)),"—"))</f>
        <v/>
      </c>
      <c r="K1131" s="28">
        <f>IF($D1131="","",IFERROR(INDEX(ENVIOS!$H$4:$H$3003,MATCH($D1131,ENVIOS!$A$4:$A$3003,0)),"—"))</f>
        <v/>
      </c>
      <c r="L1131" s="49">
        <f>IF($D1131="","",IFERROR(INDEX(ENVIOS!$C$4:$C$3003,MATCH($D1131,ENVIOS!$A$4:$A$3003,0)),""))</f>
        <v/>
      </c>
      <c r="M1131" s="50" t="n"/>
      <c r="N1131" s="28">
        <f>IF($M1131="","",IFERROR(INDEX(CONFIG!$C$4:$C$63,MATCH($M1131,CONFIG!$A$4:$A$63,0)),"Media"))</f>
        <v/>
      </c>
      <c r="O1131" s="28">
        <f>IF($M1131="","",IF($C1131="Interna","NO",IFERROR(INDEX(CONFIG!$E$4:$E$63,MATCH($M1131,CONFIG!$A$4:$A$63,0)),"NO")))</f>
        <v/>
      </c>
      <c r="P1131" s="50" t="n"/>
      <c r="Q1131" s="50" t="n"/>
      <c r="R1131" s="28">
        <f>IF($Q1131="","",IFERROR(INDEX(CONFIG!$H$4:$H$63,MATCH($Q1131,CONFIG!$G$4:$G$63,0)),"Por definir"))</f>
        <v/>
      </c>
      <c r="S1131" s="28">
        <f>IF($Q1131="","",IFERROR(INDEX(CONFIG!$I$4:$I$63,MATCH($Q1131,CONFIG!$G$4:$G$63,0)),"Por definir"))</f>
        <v/>
      </c>
      <c r="T1131" s="51" t="n"/>
      <c r="U1131" s="52" t="n"/>
      <c r="V1131" s="50" t="n"/>
      <c r="W1131" s="50" t="n"/>
      <c r="X1131" s="49">
        <f>IF(OR($B1131="",$M1131=""),"",WORKDAY($B1131,IFERROR(INDEX(CONFIG!$D$4:$D$63,MATCH($M1131,CONFIG!$A$4:$A$63,0)),3)))</f>
        <v/>
      </c>
      <c r="Y1131" s="47" t="n"/>
      <c r="Z1131" s="24">
        <f>IF($B1131="","",IF($Y1131&lt;&gt;"",$Y1131-$B1131,TODAY()-$B1131))</f>
        <v/>
      </c>
      <c r="AA1131" s="28">
        <f>IF($B1131="","",IF(IFERROR(INDEX(CONFIG!$L$4:$L$63,MATCH($V1131,CONFIG!$K$4:$K$63,0)),"NO")="SÍ",IF(OR($Y1131="",$X1131=""),"Resuelta",IF($Y1131&gt;$X1131,"Resuelta tarde","Resuelta a tiempo")),IF($X1131="","Sin clasificar",IF(TODAY()&gt;$X1131,"Vencida",IF(TODAY()&gt;=$X1131-1,"Por vencer","En plazo")))))</f>
        <v/>
      </c>
      <c r="AB1131" s="50" t="n"/>
      <c r="AC1131" s="50" t="n"/>
    </row>
    <row r="1132" ht="16" customHeight="1">
      <c r="A1132" s="28">
        <f>IF($B1132="","","N-"&amp;TEXT(ROW()-3,"0000"))</f>
        <v/>
      </c>
      <c r="B1132" s="47" t="n"/>
      <c r="C1132" s="48" t="n"/>
      <c r="D1132" s="48" t="n"/>
      <c r="E1132" s="28">
        <f>IF($C1132="","",IF($D1132="",IF($C1132="Interna","Sin guía (interna)","FALTA GUÍA"),IF(COUNTIFS(ENVIOS!$A$4:$A$3003,$D1132)=0,"NO EXISTE",IF(COUNTIFS(ENVIOS!$A$4:$A$3003,$D1132)&gt;1,"DUPLICADA","OK"))))</f>
        <v/>
      </c>
      <c r="F1132" s="28">
        <f>IF($D1132="","",IFERROR(INDEX(ENVIOS!$B$4:$B$3003,MATCH($D1132,ENVIOS!$A$4:$A$3003,0)),"—"))</f>
        <v/>
      </c>
      <c r="G1132" s="23">
        <f>IF($D1132="","",IFERROR(INDEX(ENVIOS!$D$4:$D$3003,MATCH($D1132,ENVIOS!$A$4:$A$3003,0)),"—"))</f>
        <v/>
      </c>
      <c r="H1132" s="23">
        <f>IF($D1132="","",IFERROR(INDEX(ENVIOS!$E$4:$E$3003,MATCH($D1132,ENVIOS!$A$4:$A$3003,0)),"—"))</f>
        <v/>
      </c>
      <c r="I1132" s="23">
        <f>IF($D1132="","",IFERROR(INDEX(ENVIOS!$F$4:$F$3003,MATCH($D1132,ENVIOS!$A$4:$A$3003,0)),"—"))</f>
        <v/>
      </c>
      <c r="J1132" s="23">
        <f>IF($D1132="","",IFERROR(INDEX(ENVIOS!$G$4:$G$3003,MATCH($D1132,ENVIOS!$A$4:$A$3003,0)),"—"))</f>
        <v/>
      </c>
      <c r="K1132" s="28">
        <f>IF($D1132="","",IFERROR(INDEX(ENVIOS!$H$4:$H$3003,MATCH($D1132,ENVIOS!$A$4:$A$3003,0)),"—"))</f>
        <v/>
      </c>
      <c r="L1132" s="49">
        <f>IF($D1132="","",IFERROR(INDEX(ENVIOS!$C$4:$C$3003,MATCH($D1132,ENVIOS!$A$4:$A$3003,0)),""))</f>
        <v/>
      </c>
      <c r="M1132" s="50" t="n"/>
      <c r="N1132" s="28">
        <f>IF($M1132="","",IFERROR(INDEX(CONFIG!$C$4:$C$63,MATCH($M1132,CONFIG!$A$4:$A$63,0)),"Media"))</f>
        <v/>
      </c>
      <c r="O1132" s="28">
        <f>IF($M1132="","",IF($C1132="Interna","NO",IFERROR(INDEX(CONFIG!$E$4:$E$63,MATCH($M1132,CONFIG!$A$4:$A$63,0)),"NO")))</f>
        <v/>
      </c>
      <c r="P1132" s="50" t="n"/>
      <c r="Q1132" s="50" t="n"/>
      <c r="R1132" s="28">
        <f>IF($Q1132="","",IFERROR(INDEX(CONFIG!$H$4:$H$63,MATCH($Q1132,CONFIG!$G$4:$G$63,0)),"Por definir"))</f>
        <v/>
      </c>
      <c r="S1132" s="28">
        <f>IF($Q1132="","",IFERROR(INDEX(CONFIG!$I$4:$I$63,MATCH($Q1132,CONFIG!$G$4:$G$63,0)),"Por definir"))</f>
        <v/>
      </c>
      <c r="T1132" s="51" t="n"/>
      <c r="U1132" s="52" t="n"/>
      <c r="V1132" s="50" t="n"/>
      <c r="W1132" s="50" t="n"/>
      <c r="X1132" s="49">
        <f>IF(OR($B1132="",$M1132=""),"",WORKDAY($B1132,IFERROR(INDEX(CONFIG!$D$4:$D$63,MATCH($M1132,CONFIG!$A$4:$A$63,0)),3)))</f>
        <v/>
      </c>
      <c r="Y1132" s="47" t="n"/>
      <c r="Z1132" s="24">
        <f>IF($B1132="","",IF($Y1132&lt;&gt;"",$Y1132-$B1132,TODAY()-$B1132))</f>
        <v/>
      </c>
      <c r="AA1132" s="28">
        <f>IF($B1132="","",IF(IFERROR(INDEX(CONFIG!$L$4:$L$63,MATCH($V1132,CONFIG!$K$4:$K$63,0)),"NO")="SÍ",IF(OR($Y1132="",$X1132=""),"Resuelta",IF($Y1132&gt;$X1132,"Resuelta tarde","Resuelta a tiempo")),IF($X1132="","Sin clasificar",IF(TODAY()&gt;$X1132,"Vencida",IF(TODAY()&gt;=$X1132-1,"Por vencer","En plazo")))))</f>
        <v/>
      </c>
      <c r="AB1132" s="50" t="n"/>
      <c r="AC1132" s="50" t="n"/>
    </row>
    <row r="1133" ht="16" customHeight="1">
      <c r="A1133" s="28">
        <f>IF($B1133="","","N-"&amp;TEXT(ROW()-3,"0000"))</f>
        <v/>
      </c>
      <c r="B1133" s="47" t="n"/>
      <c r="C1133" s="48" t="n"/>
      <c r="D1133" s="48" t="n"/>
      <c r="E1133" s="28">
        <f>IF($C1133="","",IF($D1133="",IF($C1133="Interna","Sin guía (interna)","FALTA GUÍA"),IF(COUNTIFS(ENVIOS!$A$4:$A$3003,$D1133)=0,"NO EXISTE",IF(COUNTIFS(ENVIOS!$A$4:$A$3003,$D1133)&gt;1,"DUPLICADA","OK"))))</f>
        <v/>
      </c>
      <c r="F1133" s="28">
        <f>IF($D1133="","",IFERROR(INDEX(ENVIOS!$B$4:$B$3003,MATCH($D1133,ENVIOS!$A$4:$A$3003,0)),"—"))</f>
        <v/>
      </c>
      <c r="G1133" s="23">
        <f>IF($D1133="","",IFERROR(INDEX(ENVIOS!$D$4:$D$3003,MATCH($D1133,ENVIOS!$A$4:$A$3003,0)),"—"))</f>
        <v/>
      </c>
      <c r="H1133" s="23">
        <f>IF($D1133="","",IFERROR(INDEX(ENVIOS!$E$4:$E$3003,MATCH($D1133,ENVIOS!$A$4:$A$3003,0)),"—"))</f>
        <v/>
      </c>
      <c r="I1133" s="23">
        <f>IF($D1133="","",IFERROR(INDEX(ENVIOS!$F$4:$F$3003,MATCH($D1133,ENVIOS!$A$4:$A$3003,0)),"—"))</f>
        <v/>
      </c>
      <c r="J1133" s="23">
        <f>IF($D1133="","",IFERROR(INDEX(ENVIOS!$G$4:$G$3003,MATCH($D1133,ENVIOS!$A$4:$A$3003,0)),"—"))</f>
        <v/>
      </c>
      <c r="K1133" s="28">
        <f>IF($D1133="","",IFERROR(INDEX(ENVIOS!$H$4:$H$3003,MATCH($D1133,ENVIOS!$A$4:$A$3003,0)),"—"))</f>
        <v/>
      </c>
      <c r="L1133" s="49">
        <f>IF($D1133="","",IFERROR(INDEX(ENVIOS!$C$4:$C$3003,MATCH($D1133,ENVIOS!$A$4:$A$3003,0)),""))</f>
        <v/>
      </c>
      <c r="M1133" s="50" t="n"/>
      <c r="N1133" s="28">
        <f>IF($M1133="","",IFERROR(INDEX(CONFIG!$C$4:$C$63,MATCH($M1133,CONFIG!$A$4:$A$63,0)),"Media"))</f>
        <v/>
      </c>
      <c r="O1133" s="28">
        <f>IF($M1133="","",IF($C1133="Interna","NO",IFERROR(INDEX(CONFIG!$E$4:$E$63,MATCH($M1133,CONFIG!$A$4:$A$63,0)),"NO")))</f>
        <v/>
      </c>
      <c r="P1133" s="50" t="n"/>
      <c r="Q1133" s="50" t="n"/>
      <c r="R1133" s="28">
        <f>IF($Q1133="","",IFERROR(INDEX(CONFIG!$H$4:$H$63,MATCH($Q1133,CONFIG!$G$4:$G$63,0)),"Por definir"))</f>
        <v/>
      </c>
      <c r="S1133" s="28">
        <f>IF($Q1133="","",IFERROR(INDEX(CONFIG!$I$4:$I$63,MATCH($Q1133,CONFIG!$G$4:$G$63,0)),"Por definir"))</f>
        <v/>
      </c>
      <c r="T1133" s="51" t="n"/>
      <c r="U1133" s="52" t="n"/>
      <c r="V1133" s="50" t="n"/>
      <c r="W1133" s="50" t="n"/>
      <c r="X1133" s="49">
        <f>IF(OR($B1133="",$M1133=""),"",WORKDAY($B1133,IFERROR(INDEX(CONFIG!$D$4:$D$63,MATCH($M1133,CONFIG!$A$4:$A$63,0)),3)))</f>
        <v/>
      </c>
      <c r="Y1133" s="47" t="n"/>
      <c r="Z1133" s="24">
        <f>IF($B1133="","",IF($Y1133&lt;&gt;"",$Y1133-$B1133,TODAY()-$B1133))</f>
        <v/>
      </c>
      <c r="AA1133" s="28">
        <f>IF($B1133="","",IF(IFERROR(INDEX(CONFIG!$L$4:$L$63,MATCH($V1133,CONFIG!$K$4:$K$63,0)),"NO")="SÍ",IF(OR($Y1133="",$X1133=""),"Resuelta",IF($Y1133&gt;$X1133,"Resuelta tarde","Resuelta a tiempo")),IF($X1133="","Sin clasificar",IF(TODAY()&gt;$X1133,"Vencida",IF(TODAY()&gt;=$X1133-1,"Por vencer","En plazo")))))</f>
        <v/>
      </c>
      <c r="AB1133" s="50" t="n"/>
      <c r="AC1133" s="50" t="n"/>
    </row>
    <row r="1134" ht="16" customHeight="1">
      <c r="A1134" s="28">
        <f>IF($B1134="","","N-"&amp;TEXT(ROW()-3,"0000"))</f>
        <v/>
      </c>
      <c r="B1134" s="47" t="n"/>
      <c r="C1134" s="48" t="n"/>
      <c r="D1134" s="48" t="n"/>
      <c r="E1134" s="28">
        <f>IF($C1134="","",IF($D1134="",IF($C1134="Interna","Sin guía (interna)","FALTA GUÍA"),IF(COUNTIFS(ENVIOS!$A$4:$A$3003,$D1134)=0,"NO EXISTE",IF(COUNTIFS(ENVIOS!$A$4:$A$3003,$D1134)&gt;1,"DUPLICADA","OK"))))</f>
        <v/>
      </c>
      <c r="F1134" s="28">
        <f>IF($D1134="","",IFERROR(INDEX(ENVIOS!$B$4:$B$3003,MATCH($D1134,ENVIOS!$A$4:$A$3003,0)),"—"))</f>
        <v/>
      </c>
      <c r="G1134" s="23">
        <f>IF($D1134="","",IFERROR(INDEX(ENVIOS!$D$4:$D$3003,MATCH($D1134,ENVIOS!$A$4:$A$3003,0)),"—"))</f>
        <v/>
      </c>
      <c r="H1134" s="23">
        <f>IF($D1134="","",IFERROR(INDEX(ENVIOS!$E$4:$E$3003,MATCH($D1134,ENVIOS!$A$4:$A$3003,0)),"—"))</f>
        <v/>
      </c>
      <c r="I1134" s="23">
        <f>IF($D1134="","",IFERROR(INDEX(ENVIOS!$F$4:$F$3003,MATCH($D1134,ENVIOS!$A$4:$A$3003,0)),"—"))</f>
        <v/>
      </c>
      <c r="J1134" s="23">
        <f>IF($D1134="","",IFERROR(INDEX(ENVIOS!$G$4:$G$3003,MATCH($D1134,ENVIOS!$A$4:$A$3003,0)),"—"))</f>
        <v/>
      </c>
      <c r="K1134" s="28">
        <f>IF($D1134="","",IFERROR(INDEX(ENVIOS!$H$4:$H$3003,MATCH($D1134,ENVIOS!$A$4:$A$3003,0)),"—"))</f>
        <v/>
      </c>
      <c r="L1134" s="49">
        <f>IF($D1134="","",IFERROR(INDEX(ENVIOS!$C$4:$C$3003,MATCH($D1134,ENVIOS!$A$4:$A$3003,0)),""))</f>
        <v/>
      </c>
      <c r="M1134" s="50" t="n"/>
      <c r="N1134" s="28">
        <f>IF($M1134="","",IFERROR(INDEX(CONFIG!$C$4:$C$63,MATCH($M1134,CONFIG!$A$4:$A$63,0)),"Media"))</f>
        <v/>
      </c>
      <c r="O1134" s="28">
        <f>IF($M1134="","",IF($C1134="Interna","NO",IFERROR(INDEX(CONFIG!$E$4:$E$63,MATCH($M1134,CONFIG!$A$4:$A$63,0)),"NO")))</f>
        <v/>
      </c>
      <c r="P1134" s="50" t="n"/>
      <c r="Q1134" s="50" t="n"/>
      <c r="R1134" s="28">
        <f>IF($Q1134="","",IFERROR(INDEX(CONFIG!$H$4:$H$63,MATCH($Q1134,CONFIG!$G$4:$G$63,0)),"Por definir"))</f>
        <v/>
      </c>
      <c r="S1134" s="28">
        <f>IF($Q1134="","",IFERROR(INDEX(CONFIG!$I$4:$I$63,MATCH($Q1134,CONFIG!$G$4:$G$63,0)),"Por definir"))</f>
        <v/>
      </c>
      <c r="T1134" s="51" t="n"/>
      <c r="U1134" s="52" t="n"/>
      <c r="V1134" s="50" t="n"/>
      <c r="W1134" s="50" t="n"/>
      <c r="X1134" s="49">
        <f>IF(OR($B1134="",$M1134=""),"",WORKDAY($B1134,IFERROR(INDEX(CONFIG!$D$4:$D$63,MATCH($M1134,CONFIG!$A$4:$A$63,0)),3)))</f>
        <v/>
      </c>
      <c r="Y1134" s="47" t="n"/>
      <c r="Z1134" s="24">
        <f>IF($B1134="","",IF($Y1134&lt;&gt;"",$Y1134-$B1134,TODAY()-$B1134))</f>
        <v/>
      </c>
      <c r="AA1134" s="28">
        <f>IF($B1134="","",IF(IFERROR(INDEX(CONFIG!$L$4:$L$63,MATCH($V1134,CONFIG!$K$4:$K$63,0)),"NO")="SÍ",IF(OR($Y1134="",$X1134=""),"Resuelta",IF($Y1134&gt;$X1134,"Resuelta tarde","Resuelta a tiempo")),IF($X1134="","Sin clasificar",IF(TODAY()&gt;$X1134,"Vencida",IF(TODAY()&gt;=$X1134-1,"Por vencer","En plazo")))))</f>
        <v/>
      </c>
      <c r="AB1134" s="50" t="n"/>
      <c r="AC1134" s="50" t="n"/>
    </row>
    <row r="1135" ht="16" customHeight="1">
      <c r="A1135" s="28">
        <f>IF($B1135="","","N-"&amp;TEXT(ROW()-3,"0000"))</f>
        <v/>
      </c>
      <c r="B1135" s="47" t="n"/>
      <c r="C1135" s="48" t="n"/>
      <c r="D1135" s="48" t="n"/>
      <c r="E1135" s="28">
        <f>IF($C1135="","",IF($D1135="",IF($C1135="Interna","Sin guía (interna)","FALTA GUÍA"),IF(COUNTIFS(ENVIOS!$A$4:$A$3003,$D1135)=0,"NO EXISTE",IF(COUNTIFS(ENVIOS!$A$4:$A$3003,$D1135)&gt;1,"DUPLICADA","OK"))))</f>
        <v/>
      </c>
      <c r="F1135" s="28">
        <f>IF($D1135="","",IFERROR(INDEX(ENVIOS!$B$4:$B$3003,MATCH($D1135,ENVIOS!$A$4:$A$3003,0)),"—"))</f>
        <v/>
      </c>
      <c r="G1135" s="23">
        <f>IF($D1135="","",IFERROR(INDEX(ENVIOS!$D$4:$D$3003,MATCH($D1135,ENVIOS!$A$4:$A$3003,0)),"—"))</f>
        <v/>
      </c>
      <c r="H1135" s="23">
        <f>IF($D1135="","",IFERROR(INDEX(ENVIOS!$E$4:$E$3003,MATCH($D1135,ENVIOS!$A$4:$A$3003,0)),"—"))</f>
        <v/>
      </c>
      <c r="I1135" s="23">
        <f>IF($D1135="","",IFERROR(INDEX(ENVIOS!$F$4:$F$3003,MATCH($D1135,ENVIOS!$A$4:$A$3003,0)),"—"))</f>
        <v/>
      </c>
      <c r="J1135" s="23">
        <f>IF($D1135="","",IFERROR(INDEX(ENVIOS!$G$4:$G$3003,MATCH($D1135,ENVIOS!$A$4:$A$3003,0)),"—"))</f>
        <v/>
      </c>
      <c r="K1135" s="28">
        <f>IF($D1135="","",IFERROR(INDEX(ENVIOS!$H$4:$H$3003,MATCH($D1135,ENVIOS!$A$4:$A$3003,0)),"—"))</f>
        <v/>
      </c>
      <c r="L1135" s="49">
        <f>IF($D1135="","",IFERROR(INDEX(ENVIOS!$C$4:$C$3003,MATCH($D1135,ENVIOS!$A$4:$A$3003,0)),""))</f>
        <v/>
      </c>
      <c r="M1135" s="50" t="n"/>
      <c r="N1135" s="28">
        <f>IF($M1135="","",IFERROR(INDEX(CONFIG!$C$4:$C$63,MATCH($M1135,CONFIG!$A$4:$A$63,0)),"Media"))</f>
        <v/>
      </c>
      <c r="O1135" s="28">
        <f>IF($M1135="","",IF($C1135="Interna","NO",IFERROR(INDEX(CONFIG!$E$4:$E$63,MATCH($M1135,CONFIG!$A$4:$A$63,0)),"NO")))</f>
        <v/>
      </c>
      <c r="P1135" s="50" t="n"/>
      <c r="Q1135" s="50" t="n"/>
      <c r="R1135" s="28">
        <f>IF($Q1135="","",IFERROR(INDEX(CONFIG!$H$4:$H$63,MATCH($Q1135,CONFIG!$G$4:$G$63,0)),"Por definir"))</f>
        <v/>
      </c>
      <c r="S1135" s="28">
        <f>IF($Q1135="","",IFERROR(INDEX(CONFIG!$I$4:$I$63,MATCH($Q1135,CONFIG!$G$4:$G$63,0)),"Por definir"))</f>
        <v/>
      </c>
      <c r="T1135" s="51" t="n"/>
      <c r="U1135" s="52" t="n"/>
      <c r="V1135" s="50" t="n"/>
      <c r="W1135" s="50" t="n"/>
      <c r="X1135" s="49">
        <f>IF(OR($B1135="",$M1135=""),"",WORKDAY($B1135,IFERROR(INDEX(CONFIG!$D$4:$D$63,MATCH($M1135,CONFIG!$A$4:$A$63,0)),3)))</f>
        <v/>
      </c>
      <c r="Y1135" s="47" t="n"/>
      <c r="Z1135" s="24">
        <f>IF($B1135="","",IF($Y1135&lt;&gt;"",$Y1135-$B1135,TODAY()-$B1135))</f>
        <v/>
      </c>
      <c r="AA1135" s="28">
        <f>IF($B1135="","",IF(IFERROR(INDEX(CONFIG!$L$4:$L$63,MATCH($V1135,CONFIG!$K$4:$K$63,0)),"NO")="SÍ",IF(OR($Y1135="",$X1135=""),"Resuelta",IF($Y1135&gt;$X1135,"Resuelta tarde","Resuelta a tiempo")),IF($X1135="","Sin clasificar",IF(TODAY()&gt;$X1135,"Vencida",IF(TODAY()&gt;=$X1135-1,"Por vencer","En plazo")))))</f>
        <v/>
      </c>
      <c r="AB1135" s="50" t="n"/>
      <c r="AC1135" s="50" t="n"/>
    </row>
    <row r="1136" ht="16" customHeight="1">
      <c r="A1136" s="28">
        <f>IF($B1136="","","N-"&amp;TEXT(ROW()-3,"0000"))</f>
        <v/>
      </c>
      <c r="B1136" s="47" t="n"/>
      <c r="C1136" s="48" t="n"/>
      <c r="D1136" s="48" t="n"/>
      <c r="E1136" s="28">
        <f>IF($C1136="","",IF($D1136="",IF($C1136="Interna","Sin guía (interna)","FALTA GUÍA"),IF(COUNTIFS(ENVIOS!$A$4:$A$3003,$D1136)=0,"NO EXISTE",IF(COUNTIFS(ENVIOS!$A$4:$A$3003,$D1136)&gt;1,"DUPLICADA","OK"))))</f>
        <v/>
      </c>
      <c r="F1136" s="28">
        <f>IF($D1136="","",IFERROR(INDEX(ENVIOS!$B$4:$B$3003,MATCH($D1136,ENVIOS!$A$4:$A$3003,0)),"—"))</f>
        <v/>
      </c>
      <c r="G1136" s="23">
        <f>IF($D1136="","",IFERROR(INDEX(ENVIOS!$D$4:$D$3003,MATCH($D1136,ENVIOS!$A$4:$A$3003,0)),"—"))</f>
        <v/>
      </c>
      <c r="H1136" s="23">
        <f>IF($D1136="","",IFERROR(INDEX(ENVIOS!$E$4:$E$3003,MATCH($D1136,ENVIOS!$A$4:$A$3003,0)),"—"))</f>
        <v/>
      </c>
      <c r="I1136" s="23">
        <f>IF($D1136="","",IFERROR(INDEX(ENVIOS!$F$4:$F$3003,MATCH($D1136,ENVIOS!$A$4:$A$3003,0)),"—"))</f>
        <v/>
      </c>
      <c r="J1136" s="23">
        <f>IF($D1136="","",IFERROR(INDEX(ENVIOS!$G$4:$G$3003,MATCH($D1136,ENVIOS!$A$4:$A$3003,0)),"—"))</f>
        <v/>
      </c>
      <c r="K1136" s="28">
        <f>IF($D1136="","",IFERROR(INDEX(ENVIOS!$H$4:$H$3003,MATCH($D1136,ENVIOS!$A$4:$A$3003,0)),"—"))</f>
        <v/>
      </c>
      <c r="L1136" s="49">
        <f>IF($D1136="","",IFERROR(INDEX(ENVIOS!$C$4:$C$3003,MATCH($D1136,ENVIOS!$A$4:$A$3003,0)),""))</f>
        <v/>
      </c>
      <c r="M1136" s="50" t="n"/>
      <c r="N1136" s="28">
        <f>IF($M1136="","",IFERROR(INDEX(CONFIG!$C$4:$C$63,MATCH($M1136,CONFIG!$A$4:$A$63,0)),"Media"))</f>
        <v/>
      </c>
      <c r="O1136" s="28">
        <f>IF($M1136="","",IF($C1136="Interna","NO",IFERROR(INDEX(CONFIG!$E$4:$E$63,MATCH($M1136,CONFIG!$A$4:$A$63,0)),"NO")))</f>
        <v/>
      </c>
      <c r="P1136" s="50" t="n"/>
      <c r="Q1136" s="50" t="n"/>
      <c r="R1136" s="28">
        <f>IF($Q1136="","",IFERROR(INDEX(CONFIG!$H$4:$H$63,MATCH($Q1136,CONFIG!$G$4:$G$63,0)),"Por definir"))</f>
        <v/>
      </c>
      <c r="S1136" s="28">
        <f>IF($Q1136="","",IFERROR(INDEX(CONFIG!$I$4:$I$63,MATCH($Q1136,CONFIG!$G$4:$G$63,0)),"Por definir"))</f>
        <v/>
      </c>
      <c r="T1136" s="51" t="n"/>
      <c r="U1136" s="52" t="n"/>
      <c r="V1136" s="50" t="n"/>
      <c r="W1136" s="50" t="n"/>
      <c r="X1136" s="49">
        <f>IF(OR($B1136="",$M1136=""),"",WORKDAY($B1136,IFERROR(INDEX(CONFIG!$D$4:$D$63,MATCH($M1136,CONFIG!$A$4:$A$63,0)),3)))</f>
        <v/>
      </c>
      <c r="Y1136" s="47" t="n"/>
      <c r="Z1136" s="24">
        <f>IF($B1136="","",IF($Y1136&lt;&gt;"",$Y1136-$B1136,TODAY()-$B1136))</f>
        <v/>
      </c>
      <c r="AA1136" s="28">
        <f>IF($B1136="","",IF(IFERROR(INDEX(CONFIG!$L$4:$L$63,MATCH($V1136,CONFIG!$K$4:$K$63,0)),"NO")="SÍ",IF(OR($Y1136="",$X1136=""),"Resuelta",IF($Y1136&gt;$X1136,"Resuelta tarde","Resuelta a tiempo")),IF($X1136="","Sin clasificar",IF(TODAY()&gt;$X1136,"Vencida",IF(TODAY()&gt;=$X1136-1,"Por vencer","En plazo")))))</f>
        <v/>
      </c>
      <c r="AB1136" s="50" t="n"/>
      <c r="AC1136" s="50" t="n"/>
    </row>
    <row r="1137" ht="16" customHeight="1">
      <c r="A1137" s="28">
        <f>IF($B1137="","","N-"&amp;TEXT(ROW()-3,"0000"))</f>
        <v/>
      </c>
      <c r="B1137" s="47" t="n"/>
      <c r="C1137" s="48" t="n"/>
      <c r="D1137" s="48" t="n"/>
      <c r="E1137" s="28">
        <f>IF($C1137="","",IF($D1137="",IF($C1137="Interna","Sin guía (interna)","FALTA GUÍA"),IF(COUNTIFS(ENVIOS!$A$4:$A$3003,$D1137)=0,"NO EXISTE",IF(COUNTIFS(ENVIOS!$A$4:$A$3003,$D1137)&gt;1,"DUPLICADA","OK"))))</f>
        <v/>
      </c>
      <c r="F1137" s="28">
        <f>IF($D1137="","",IFERROR(INDEX(ENVIOS!$B$4:$B$3003,MATCH($D1137,ENVIOS!$A$4:$A$3003,0)),"—"))</f>
        <v/>
      </c>
      <c r="G1137" s="23">
        <f>IF($D1137="","",IFERROR(INDEX(ENVIOS!$D$4:$D$3003,MATCH($D1137,ENVIOS!$A$4:$A$3003,0)),"—"))</f>
        <v/>
      </c>
      <c r="H1137" s="23">
        <f>IF($D1137="","",IFERROR(INDEX(ENVIOS!$E$4:$E$3003,MATCH($D1137,ENVIOS!$A$4:$A$3003,0)),"—"))</f>
        <v/>
      </c>
      <c r="I1137" s="23">
        <f>IF($D1137="","",IFERROR(INDEX(ENVIOS!$F$4:$F$3003,MATCH($D1137,ENVIOS!$A$4:$A$3003,0)),"—"))</f>
        <v/>
      </c>
      <c r="J1137" s="23">
        <f>IF($D1137="","",IFERROR(INDEX(ENVIOS!$G$4:$G$3003,MATCH($D1137,ENVIOS!$A$4:$A$3003,0)),"—"))</f>
        <v/>
      </c>
      <c r="K1137" s="28">
        <f>IF($D1137="","",IFERROR(INDEX(ENVIOS!$H$4:$H$3003,MATCH($D1137,ENVIOS!$A$4:$A$3003,0)),"—"))</f>
        <v/>
      </c>
      <c r="L1137" s="49">
        <f>IF($D1137="","",IFERROR(INDEX(ENVIOS!$C$4:$C$3003,MATCH($D1137,ENVIOS!$A$4:$A$3003,0)),""))</f>
        <v/>
      </c>
      <c r="M1137" s="50" t="n"/>
      <c r="N1137" s="28">
        <f>IF($M1137="","",IFERROR(INDEX(CONFIG!$C$4:$C$63,MATCH($M1137,CONFIG!$A$4:$A$63,0)),"Media"))</f>
        <v/>
      </c>
      <c r="O1137" s="28">
        <f>IF($M1137="","",IF($C1137="Interna","NO",IFERROR(INDEX(CONFIG!$E$4:$E$63,MATCH($M1137,CONFIG!$A$4:$A$63,0)),"NO")))</f>
        <v/>
      </c>
      <c r="P1137" s="50" t="n"/>
      <c r="Q1137" s="50" t="n"/>
      <c r="R1137" s="28">
        <f>IF($Q1137="","",IFERROR(INDEX(CONFIG!$H$4:$H$63,MATCH($Q1137,CONFIG!$G$4:$G$63,0)),"Por definir"))</f>
        <v/>
      </c>
      <c r="S1137" s="28">
        <f>IF($Q1137="","",IFERROR(INDEX(CONFIG!$I$4:$I$63,MATCH($Q1137,CONFIG!$G$4:$G$63,0)),"Por definir"))</f>
        <v/>
      </c>
      <c r="T1137" s="51" t="n"/>
      <c r="U1137" s="52" t="n"/>
      <c r="V1137" s="50" t="n"/>
      <c r="W1137" s="50" t="n"/>
      <c r="X1137" s="49">
        <f>IF(OR($B1137="",$M1137=""),"",WORKDAY($B1137,IFERROR(INDEX(CONFIG!$D$4:$D$63,MATCH($M1137,CONFIG!$A$4:$A$63,0)),3)))</f>
        <v/>
      </c>
      <c r="Y1137" s="47" t="n"/>
      <c r="Z1137" s="24">
        <f>IF($B1137="","",IF($Y1137&lt;&gt;"",$Y1137-$B1137,TODAY()-$B1137))</f>
        <v/>
      </c>
      <c r="AA1137" s="28">
        <f>IF($B1137="","",IF(IFERROR(INDEX(CONFIG!$L$4:$L$63,MATCH($V1137,CONFIG!$K$4:$K$63,0)),"NO")="SÍ",IF(OR($Y1137="",$X1137=""),"Resuelta",IF($Y1137&gt;$X1137,"Resuelta tarde","Resuelta a tiempo")),IF($X1137="","Sin clasificar",IF(TODAY()&gt;$X1137,"Vencida",IF(TODAY()&gt;=$X1137-1,"Por vencer","En plazo")))))</f>
        <v/>
      </c>
      <c r="AB1137" s="50" t="n"/>
      <c r="AC1137" s="50" t="n"/>
    </row>
    <row r="1138" ht="16" customHeight="1">
      <c r="A1138" s="28">
        <f>IF($B1138="","","N-"&amp;TEXT(ROW()-3,"0000"))</f>
        <v/>
      </c>
      <c r="B1138" s="47" t="n"/>
      <c r="C1138" s="48" t="n"/>
      <c r="D1138" s="48" t="n"/>
      <c r="E1138" s="28">
        <f>IF($C1138="","",IF($D1138="",IF($C1138="Interna","Sin guía (interna)","FALTA GUÍA"),IF(COUNTIFS(ENVIOS!$A$4:$A$3003,$D1138)=0,"NO EXISTE",IF(COUNTIFS(ENVIOS!$A$4:$A$3003,$D1138)&gt;1,"DUPLICADA","OK"))))</f>
        <v/>
      </c>
      <c r="F1138" s="28">
        <f>IF($D1138="","",IFERROR(INDEX(ENVIOS!$B$4:$B$3003,MATCH($D1138,ENVIOS!$A$4:$A$3003,0)),"—"))</f>
        <v/>
      </c>
      <c r="G1138" s="23">
        <f>IF($D1138="","",IFERROR(INDEX(ENVIOS!$D$4:$D$3003,MATCH($D1138,ENVIOS!$A$4:$A$3003,0)),"—"))</f>
        <v/>
      </c>
      <c r="H1138" s="23">
        <f>IF($D1138="","",IFERROR(INDEX(ENVIOS!$E$4:$E$3003,MATCH($D1138,ENVIOS!$A$4:$A$3003,0)),"—"))</f>
        <v/>
      </c>
      <c r="I1138" s="23">
        <f>IF($D1138="","",IFERROR(INDEX(ENVIOS!$F$4:$F$3003,MATCH($D1138,ENVIOS!$A$4:$A$3003,0)),"—"))</f>
        <v/>
      </c>
      <c r="J1138" s="23">
        <f>IF($D1138="","",IFERROR(INDEX(ENVIOS!$G$4:$G$3003,MATCH($D1138,ENVIOS!$A$4:$A$3003,0)),"—"))</f>
        <v/>
      </c>
      <c r="K1138" s="28">
        <f>IF($D1138="","",IFERROR(INDEX(ENVIOS!$H$4:$H$3003,MATCH($D1138,ENVIOS!$A$4:$A$3003,0)),"—"))</f>
        <v/>
      </c>
      <c r="L1138" s="49">
        <f>IF($D1138="","",IFERROR(INDEX(ENVIOS!$C$4:$C$3003,MATCH($D1138,ENVIOS!$A$4:$A$3003,0)),""))</f>
        <v/>
      </c>
      <c r="M1138" s="50" t="n"/>
      <c r="N1138" s="28">
        <f>IF($M1138="","",IFERROR(INDEX(CONFIG!$C$4:$C$63,MATCH($M1138,CONFIG!$A$4:$A$63,0)),"Media"))</f>
        <v/>
      </c>
      <c r="O1138" s="28">
        <f>IF($M1138="","",IF($C1138="Interna","NO",IFERROR(INDEX(CONFIG!$E$4:$E$63,MATCH($M1138,CONFIG!$A$4:$A$63,0)),"NO")))</f>
        <v/>
      </c>
      <c r="P1138" s="50" t="n"/>
      <c r="Q1138" s="50" t="n"/>
      <c r="R1138" s="28">
        <f>IF($Q1138="","",IFERROR(INDEX(CONFIG!$H$4:$H$63,MATCH($Q1138,CONFIG!$G$4:$G$63,0)),"Por definir"))</f>
        <v/>
      </c>
      <c r="S1138" s="28">
        <f>IF($Q1138="","",IFERROR(INDEX(CONFIG!$I$4:$I$63,MATCH($Q1138,CONFIG!$G$4:$G$63,0)),"Por definir"))</f>
        <v/>
      </c>
      <c r="T1138" s="51" t="n"/>
      <c r="U1138" s="52" t="n"/>
      <c r="V1138" s="50" t="n"/>
      <c r="W1138" s="50" t="n"/>
      <c r="X1138" s="49">
        <f>IF(OR($B1138="",$M1138=""),"",WORKDAY($B1138,IFERROR(INDEX(CONFIG!$D$4:$D$63,MATCH($M1138,CONFIG!$A$4:$A$63,0)),3)))</f>
        <v/>
      </c>
      <c r="Y1138" s="47" t="n"/>
      <c r="Z1138" s="24">
        <f>IF($B1138="","",IF($Y1138&lt;&gt;"",$Y1138-$B1138,TODAY()-$B1138))</f>
        <v/>
      </c>
      <c r="AA1138" s="28">
        <f>IF($B1138="","",IF(IFERROR(INDEX(CONFIG!$L$4:$L$63,MATCH($V1138,CONFIG!$K$4:$K$63,0)),"NO")="SÍ",IF(OR($Y1138="",$X1138=""),"Resuelta",IF($Y1138&gt;$X1138,"Resuelta tarde","Resuelta a tiempo")),IF($X1138="","Sin clasificar",IF(TODAY()&gt;$X1138,"Vencida",IF(TODAY()&gt;=$X1138-1,"Por vencer","En plazo")))))</f>
        <v/>
      </c>
      <c r="AB1138" s="50" t="n"/>
      <c r="AC1138" s="50" t="n"/>
    </row>
    <row r="1139" ht="16" customHeight="1">
      <c r="A1139" s="28">
        <f>IF($B1139="","","N-"&amp;TEXT(ROW()-3,"0000"))</f>
        <v/>
      </c>
      <c r="B1139" s="47" t="n"/>
      <c r="C1139" s="48" t="n"/>
      <c r="D1139" s="48" t="n"/>
      <c r="E1139" s="28">
        <f>IF($C1139="","",IF($D1139="",IF($C1139="Interna","Sin guía (interna)","FALTA GUÍA"),IF(COUNTIFS(ENVIOS!$A$4:$A$3003,$D1139)=0,"NO EXISTE",IF(COUNTIFS(ENVIOS!$A$4:$A$3003,$D1139)&gt;1,"DUPLICADA","OK"))))</f>
        <v/>
      </c>
      <c r="F1139" s="28">
        <f>IF($D1139="","",IFERROR(INDEX(ENVIOS!$B$4:$B$3003,MATCH($D1139,ENVIOS!$A$4:$A$3003,0)),"—"))</f>
        <v/>
      </c>
      <c r="G1139" s="23">
        <f>IF($D1139="","",IFERROR(INDEX(ENVIOS!$D$4:$D$3003,MATCH($D1139,ENVIOS!$A$4:$A$3003,0)),"—"))</f>
        <v/>
      </c>
      <c r="H1139" s="23">
        <f>IF($D1139="","",IFERROR(INDEX(ENVIOS!$E$4:$E$3003,MATCH($D1139,ENVIOS!$A$4:$A$3003,0)),"—"))</f>
        <v/>
      </c>
      <c r="I1139" s="23">
        <f>IF($D1139="","",IFERROR(INDEX(ENVIOS!$F$4:$F$3003,MATCH($D1139,ENVIOS!$A$4:$A$3003,0)),"—"))</f>
        <v/>
      </c>
      <c r="J1139" s="23">
        <f>IF($D1139="","",IFERROR(INDEX(ENVIOS!$G$4:$G$3003,MATCH($D1139,ENVIOS!$A$4:$A$3003,0)),"—"))</f>
        <v/>
      </c>
      <c r="K1139" s="28">
        <f>IF($D1139="","",IFERROR(INDEX(ENVIOS!$H$4:$H$3003,MATCH($D1139,ENVIOS!$A$4:$A$3003,0)),"—"))</f>
        <v/>
      </c>
      <c r="L1139" s="49">
        <f>IF($D1139="","",IFERROR(INDEX(ENVIOS!$C$4:$C$3003,MATCH($D1139,ENVIOS!$A$4:$A$3003,0)),""))</f>
        <v/>
      </c>
      <c r="M1139" s="50" t="n"/>
      <c r="N1139" s="28">
        <f>IF($M1139="","",IFERROR(INDEX(CONFIG!$C$4:$C$63,MATCH($M1139,CONFIG!$A$4:$A$63,0)),"Media"))</f>
        <v/>
      </c>
      <c r="O1139" s="28">
        <f>IF($M1139="","",IF($C1139="Interna","NO",IFERROR(INDEX(CONFIG!$E$4:$E$63,MATCH($M1139,CONFIG!$A$4:$A$63,0)),"NO")))</f>
        <v/>
      </c>
      <c r="P1139" s="50" t="n"/>
      <c r="Q1139" s="50" t="n"/>
      <c r="R1139" s="28">
        <f>IF($Q1139="","",IFERROR(INDEX(CONFIG!$H$4:$H$63,MATCH($Q1139,CONFIG!$G$4:$G$63,0)),"Por definir"))</f>
        <v/>
      </c>
      <c r="S1139" s="28">
        <f>IF($Q1139="","",IFERROR(INDEX(CONFIG!$I$4:$I$63,MATCH($Q1139,CONFIG!$G$4:$G$63,0)),"Por definir"))</f>
        <v/>
      </c>
      <c r="T1139" s="51" t="n"/>
      <c r="U1139" s="52" t="n"/>
      <c r="V1139" s="50" t="n"/>
      <c r="W1139" s="50" t="n"/>
      <c r="X1139" s="49">
        <f>IF(OR($B1139="",$M1139=""),"",WORKDAY($B1139,IFERROR(INDEX(CONFIG!$D$4:$D$63,MATCH($M1139,CONFIG!$A$4:$A$63,0)),3)))</f>
        <v/>
      </c>
      <c r="Y1139" s="47" t="n"/>
      <c r="Z1139" s="24">
        <f>IF($B1139="","",IF($Y1139&lt;&gt;"",$Y1139-$B1139,TODAY()-$B1139))</f>
        <v/>
      </c>
      <c r="AA1139" s="28">
        <f>IF($B1139="","",IF(IFERROR(INDEX(CONFIG!$L$4:$L$63,MATCH($V1139,CONFIG!$K$4:$K$63,0)),"NO")="SÍ",IF(OR($Y1139="",$X1139=""),"Resuelta",IF($Y1139&gt;$X1139,"Resuelta tarde","Resuelta a tiempo")),IF($X1139="","Sin clasificar",IF(TODAY()&gt;$X1139,"Vencida",IF(TODAY()&gt;=$X1139-1,"Por vencer","En plazo")))))</f>
        <v/>
      </c>
      <c r="AB1139" s="50" t="n"/>
      <c r="AC1139" s="50" t="n"/>
    </row>
    <row r="1140" ht="16" customHeight="1">
      <c r="A1140" s="28">
        <f>IF($B1140="","","N-"&amp;TEXT(ROW()-3,"0000"))</f>
        <v/>
      </c>
      <c r="B1140" s="47" t="n"/>
      <c r="C1140" s="48" t="n"/>
      <c r="D1140" s="48" t="n"/>
      <c r="E1140" s="28">
        <f>IF($C1140="","",IF($D1140="",IF($C1140="Interna","Sin guía (interna)","FALTA GUÍA"),IF(COUNTIFS(ENVIOS!$A$4:$A$3003,$D1140)=0,"NO EXISTE",IF(COUNTIFS(ENVIOS!$A$4:$A$3003,$D1140)&gt;1,"DUPLICADA","OK"))))</f>
        <v/>
      </c>
      <c r="F1140" s="28">
        <f>IF($D1140="","",IFERROR(INDEX(ENVIOS!$B$4:$B$3003,MATCH($D1140,ENVIOS!$A$4:$A$3003,0)),"—"))</f>
        <v/>
      </c>
      <c r="G1140" s="23">
        <f>IF($D1140="","",IFERROR(INDEX(ENVIOS!$D$4:$D$3003,MATCH($D1140,ENVIOS!$A$4:$A$3003,0)),"—"))</f>
        <v/>
      </c>
      <c r="H1140" s="23">
        <f>IF($D1140="","",IFERROR(INDEX(ENVIOS!$E$4:$E$3003,MATCH($D1140,ENVIOS!$A$4:$A$3003,0)),"—"))</f>
        <v/>
      </c>
      <c r="I1140" s="23">
        <f>IF($D1140="","",IFERROR(INDEX(ENVIOS!$F$4:$F$3003,MATCH($D1140,ENVIOS!$A$4:$A$3003,0)),"—"))</f>
        <v/>
      </c>
      <c r="J1140" s="23">
        <f>IF($D1140="","",IFERROR(INDEX(ENVIOS!$G$4:$G$3003,MATCH($D1140,ENVIOS!$A$4:$A$3003,0)),"—"))</f>
        <v/>
      </c>
      <c r="K1140" s="28">
        <f>IF($D1140="","",IFERROR(INDEX(ENVIOS!$H$4:$H$3003,MATCH($D1140,ENVIOS!$A$4:$A$3003,0)),"—"))</f>
        <v/>
      </c>
      <c r="L1140" s="49">
        <f>IF($D1140="","",IFERROR(INDEX(ENVIOS!$C$4:$C$3003,MATCH($D1140,ENVIOS!$A$4:$A$3003,0)),""))</f>
        <v/>
      </c>
      <c r="M1140" s="50" t="n"/>
      <c r="N1140" s="28">
        <f>IF($M1140="","",IFERROR(INDEX(CONFIG!$C$4:$C$63,MATCH($M1140,CONFIG!$A$4:$A$63,0)),"Media"))</f>
        <v/>
      </c>
      <c r="O1140" s="28">
        <f>IF($M1140="","",IF($C1140="Interna","NO",IFERROR(INDEX(CONFIG!$E$4:$E$63,MATCH($M1140,CONFIG!$A$4:$A$63,0)),"NO")))</f>
        <v/>
      </c>
      <c r="P1140" s="50" t="n"/>
      <c r="Q1140" s="50" t="n"/>
      <c r="R1140" s="28">
        <f>IF($Q1140="","",IFERROR(INDEX(CONFIG!$H$4:$H$63,MATCH($Q1140,CONFIG!$G$4:$G$63,0)),"Por definir"))</f>
        <v/>
      </c>
      <c r="S1140" s="28">
        <f>IF($Q1140="","",IFERROR(INDEX(CONFIG!$I$4:$I$63,MATCH($Q1140,CONFIG!$G$4:$G$63,0)),"Por definir"))</f>
        <v/>
      </c>
      <c r="T1140" s="51" t="n"/>
      <c r="U1140" s="52" t="n"/>
      <c r="V1140" s="50" t="n"/>
      <c r="W1140" s="50" t="n"/>
      <c r="X1140" s="49">
        <f>IF(OR($B1140="",$M1140=""),"",WORKDAY($B1140,IFERROR(INDEX(CONFIG!$D$4:$D$63,MATCH($M1140,CONFIG!$A$4:$A$63,0)),3)))</f>
        <v/>
      </c>
      <c r="Y1140" s="47" t="n"/>
      <c r="Z1140" s="24">
        <f>IF($B1140="","",IF($Y1140&lt;&gt;"",$Y1140-$B1140,TODAY()-$B1140))</f>
        <v/>
      </c>
      <c r="AA1140" s="28">
        <f>IF($B1140="","",IF(IFERROR(INDEX(CONFIG!$L$4:$L$63,MATCH($V1140,CONFIG!$K$4:$K$63,0)),"NO")="SÍ",IF(OR($Y1140="",$X1140=""),"Resuelta",IF($Y1140&gt;$X1140,"Resuelta tarde","Resuelta a tiempo")),IF($X1140="","Sin clasificar",IF(TODAY()&gt;$X1140,"Vencida",IF(TODAY()&gt;=$X1140-1,"Por vencer","En plazo")))))</f>
        <v/>
      </c>
      <c r="AB1140" s="50" t="n"/>
      <c r="AC1140" s="50" t="n"/>
    </row>
    <row r="1141" ht="16" customHeight="1">
      <c r="A1141" s="28">
        <f>IF($B1141="","","N-"&amp;TEXT(ROW()-3,"0000"))</f>
        <v/>
      </c>
      <c r="B1141" s="47" t="n"/>
      <c r="C1141" s="48" t="n"/>
      <c r="D1141" s="48" t="n"/>
      <c r="E1141" s="28">
        <f>IF($C1141="","",IF($D1141="",IF($C1141="Interna","Sin guía (interna)","FALTA GUÍA"),IF(COUNTIFS(ENVIOS!$A$4:$A$3003,$D1141)=0,"NO EXISTE",IF(COUNTIFS(ENVIOS!$A$4:$A$3003,$D1141)&gt;1,"DUPLICADA","OK"))))</f>
        <v/>
      </c>
      <c r="F1141" s="28">
        <f>IF($D1141="","",IFERROR(INDEX(ENVIOS!$B$4:$B$3003,MATCH($D1141,ENVIOS!$A$4:$A$3003,0)),"—"))</f>
        <v/>
      </c>
      <c r="G1141" s="23">
        <f>IF($D1141="","",IFERROR(INDEX(ENVIOS!$D$4:$D$3003,MATCH($D1141,ENVIOS!$A$4:$A$3003,0)),"—"))</f>
        <v/>
      </c>
      <c r="H1141" s="23">
        <f>IF($D1141="","",IFERROR(INDEX(ENVIOS!$E$4:$E$3003,MATCH($D1141,ENVIOS!$A$4:$A$3003,0)),"—"))</f>
        <v/>
      </c>
      <c r="I1141" s="23">
        <f>IF($D1141="","",IFERROR(INDEX(ENVIOS!$F$4:$F$3003,MATCH($D1141,ENVIOS!$A$4:$A$3003,0)),"—"))</f>
        <v/>
      </c>
      <c r="J1141" s="23">
        <f>IF($D1141="","",IFERROR(INDEX(ENVIOS!$G$4:$G$3003,MATCH($D1141,ENVIOS!$A$4:$A$3003,0)),"—"))</f>
        <v/>
      </c>
      <c r="K1141" s="28">
        <f>IF($D1141="","",IFERROR(INDEX(ENVIOS!$H$4:$H$3003,MATCH($D1141,ENVIOS!$A$4:$A$3003,0)),"—"))</f>
        <v/>
      </c>
      <c r="L1141" s="49">
        <f>IF($D1141="","",IFERROR(INDEX(ENVIOS!$C$4:$C$3003,MATCH($D1141,ENVIOS!$A$4:$A$3003,0)),""))</f>
        <v/>
      </c>
      <c r="M1141" s="50" t="n"/>
      <c r="N1141" s="28">
        <f>IF($M1141="","",IFERROR(INDEX(CONFIG!$C$4:$C$63,MATCH($M1141,CONFIG!$A$4:$A$63,0)),"Media"))</f>
        <v/>
      </c>
      <c r="O1141" s="28">
        <f>IF($M1141="","",IF($C1141="Interna","NO",IFERROR(INDEX(CONFIG!$E$4:$E$63,MATCH($M1141,CONFIG!$A$4:$A$63,0)),"NO")))</f>
        <v/>
      </c>
      <c r="P1141" s="50" t="n"/>
      <c r="Q1141" s="50" t="n"/>
      <c r="R1141" s="28">
        <f>IF($Q1141="","",IFERROR(INDEX(CONFIG!$H$4:$H$63,MATCH($Q1141,CONFIG!$G$4:$G$63,0)),"Por definir"))</f>
        <v/>
      </c>
      <c r="S1141" s="28">
        <f>IF($Q1141="","",IFERROR(INDEX(CONFIG!$I$4:$I$63,MATCH($Q1141,CONFIG!$G$4:$G$63,0)),"Por definir"))</f>
        <v/>
      </c>
      <c r="T1141" s="51" t="n"/>
      <c r="U1141" s="52" t="n"/>
      <c r="V1141" s="50" t="n"/>
      <c r="W1141" s="50" t="n"/>
      <c r="X1141" s="49">
        <f>IF(OR($B1141="",$M1141=""),"",WORKDAY($B1141,IFERROR(INDEX(CONFIG!$D$4:$D$63,MATCH($M1141,CONFIG!$A$4:$A$63,0)),3)))</f>
        <v/>
      </c>
      <c r="Y1141" s="47" t="n"/>
      <c r="Z1141" s="24">
        <f>IF($B1141="","",IF($Y1141&lt;&gt;"",$Y1141-$B1141,TODAY()-$B1141))</f>
        <v/>
      </c>
      <c r="AA1141" s="28">
        <f>IF($B1141="","",IF(IFERROR(INDEX(CONFIG!$L$4:$L$63,MATCH($V1141,CONFIG!$K$4:$K$63,0)),"NO")="SÍ",IF(OR($Y1141="",$X1141=""),"Resuelta",IF($Y1141&gt;$X1141,"Resuelta tarde","Resuelta a tiempo")),IF($X1141="","Sin clasificar",IF(TODAY()&gt;$X1141,"Vencida",IF(TODAY()&gt;=$X1141-1,"Por vencer","En plazo")))))</f>
        <v/>
      </c>
      <c r="AB1141" s="50" t="n"/>
      <c r="AC1141" s="50" t="n"/>
    </row>
    <row r="1142" ht="16" customHeight="1">
      <c r="A1142" s="28">
        <f>IF($B1142="","","N-"&amp;TEXT(ROW()-3,"0000"))</f>
        <v/>
      </c>
      <c r="B1142" s="47" t="n"/>
      <c r="C1142" s="48" t="n"/>
      <c r="D1142" s="48" t="n"/>
      <c r="E1142" s="28">
        <f>IF($C1142="","",IF($D1142="",IF($C1142="Interna","Sin guía (interna)","FALTA GUÍA"),IF(COUNTIFS(ENVIOS!$A$4:$A$3003,$D1142)=0,"NO EXISTE",IF(COUNTIFS(ENVIOS!$A$4:$A$3003,$D1142)&gt;1,"DUPLICADA","OK"))))</f>
        <v/>
      </c>
      <c r="F1142" s="28">
        <f>IF($D1142="","",IFERROR(INDEX(ENVIOS!$B$4:$B$3003,MATCH($D1142,ENVIOS!$A$4:$A$3003,0)),"—"))</f>
        <v/>
      </c>
      <c r="G1142" s="23">
        <f>IF($D1142="","",IFERROR(INDEX(ENVIOS!$D$4:$D$3003,MATCH($D1142,ENVIOS!$A$4:$A$3003,0)),"—"))</f>
        <v/>
      </c>
      <c r="H1142" s="23">
        <f>IF($D1142="","",IFERROR(INDEX(ENVIOS!$E$4:$E$3003,MATCH($D1142,ENVIOS!$A$4:$A$3003,0)),"—"))</f>
        <v/>
      </c>
      <c r="I1142" s="23">
        <f>IF($D1142="","",IFERROR(INDEX(ENVIOS!$F$4:$F$3003,MATCH($D1142,ENVIOS!$A$4:$A$3003,0)),"—"))</f>
        <v/>
      </c>
      <c r="J1142" s="23">
        <f>IF($D1142="","",IFERROR(INDEX(ENVIOS!$G$4:$G$3003,MATCH($D1142,ENVIOS!$A$4:$A$3003,0)),"—"))</f>
        <v/>
      </c>
      <c r="K1142" s="28">
        <f>IF($D1142="","",IFERROR(INDEX(ENVIOS!$H$4:$H$3003,MATCH($D1142,ENVIOS!$A$4:$A$3003,0)),"—"))</f>
        <v/>
      </c>
      <c r="L1142" s="49">
        <f>IF($D1142="","",IFERROR(INDEX(ENVIOS!$C$4:$C$3003,MATCH($D1142,ENVIOS!$A$4:$A$3003,0)),""))</f>
        <v/>
      </c>
      <c r="M1142" s="50" t="n"/>
      <c r="N1142" s="28">
        <f>IF($M1142="","",IFERROR(INDEX(CONFIG!$C$4:$C$63,MATCH($M1142,CONFIG!$A$4:$A$63,0)),"Media"))</f>
        <v/>
      </c>
      <c r="O1142" s="28">
        <f>IF($M1142="","",IF($C1142="Interna","NO",IFERROR(INDEX(CONFIG!$E$4:$E$63,MATCH($M1142,CONFIG!$A$4:$A$63,0)),"NO")))</f>
        <v/>
      </c>
      <c r="P1142" s="50" t="n"/>
      <c r="Q1142" s="50" t="n"/>
      <c r="R1142" s="28">
        <f>IF($Q1142="","",IFERROR(INDEX(CONFIG!$H$4:$H$63,MATCH($Q1142,CONFIG!$G$4:$G$63,0)),"Por definir"))</f>
        <v/>
      </c>
      <c r="S1142" s="28">
        <f>IF($Q1142="","",IFERROR(INDEX(CONFIG!$I$4:$I$63,MATCH($Q1142,CONFIG!$G$4:$G$63,0)),"Por definir"))</f>
        <v/>
      </c>
      <c r="T1142" s="51" t="n"/>
      <c r="U1142" s="52" t="n"/>
      <c r="V1142" s="50" t="n"/>
      <c r="W1142" s="50" t="n"/>
      <c r="X1142" s="49">
        <f>IF(OR($B1142="",$M1142=""),"",WORKDAY($B1142,IFERROR(INDEX(CONFIG!$D$4:$D$63,MATCH($M1142,CONFIG!$A$4:$A$63,0)),3)))</f>
        <v/>
      </c>
      <c r="Y1142" s="47" t="n"/>
      <c r="Z1142" s="24">
        <f>IF($B1142="","",IF($Y1142&lt;&gt;"",$Y1142-$B1142,TODAY()-$B1142))</f>
        <v/>
      </c>
      <c r="AA1142" s="28">
        <f>IF($B1142="","",IF(IFERROR(INDEX(CONFIG!$L$4:$L$63,MATCH($V1142,CONFIG!$K$4:$K$63,0)),"NO")="SÍ",IF(OR($Y1142="",$X1142=""),"Resuelta",IF($Y1142&gt;$X1142,"Resuelta tarde","Resuelta a tiempo")),IF($X1142="","Sin clasificar",IF(TODAY()&gt;$X1142,"Vencida",IF(TODAY()&gt;=$X1142-1,"Por vencer","En plazo")))))</f>
        <v/>
      </c>
      <c r="AB1142" s="50" t="n"/>
      <c r="AC1142" s="50" t="n"/>
    </row>
    <row r="1143" ht="16" customHeight="1">
      <c r="A1143" s="28">
        <f>IF($B1143="","","N-"&amp;TEXT(ROW()-3,"0000"))</f>
        <v/>
      </c>
      <c r="B1143" s="47" t="n"/>
      <c r="C1143" s="48" t="n"/>
      <c r="D1143" s="48" t="n"/>
      <c r="E1143" s="28">
        <f>IF($C1143="","",IF($D1143="",IF($C1143="Interna","Sin guía (interna)","FALTA GUÍA"),IF(COUNTIFS(ENVIOS!$A$4:$A$3003,$D1143)=0,"NO EXISTE",IF(COUNTIFS(ENVIOS!$A$4:$A$3003,$D1143)&gt;1,"DUPLICADA","OK"))))</f>
        <v/>
      </c>
      <c r="F1143" s="28">
        <f>IF($D1143="","",IFERROR(INDEX(ENVIOS!$B$4:$B$3003,MATCH($D1143,ENVIOS!$A$4:$A$3003,0)),"—"))</f>
        <v/>
      </c>
      <c r="G1143" s="23">
        <f>IF($D1143="","",IFERROR(INDEX(ENVIOS!$D$4:$D$3003,MATCH($D1143,ENVIOS!$A$4:$A$3003,0)),"—"))</f>
        <v/>
      </c>
      <c r="H1143" s="23">
        <f>IF($D1143="","",IFERROR(INDEX(ENVIOS!$E$4:$E$3003,MATCH($D1143,ENVIOS!$A$4:$A$3003,0)),"—"))</f>
        <v/>
      </c>
      <c r="I1143" s="23">
        <f>IF($D1143="","",IFERROR(INDEX(ENVIOS!$F$4:$F$3003,MATCH($D1143,ENVIOS!$A$4:$A$3003,0)),"—"))</f>
        <v/>
      </c>
      <c r="J1143" s="23">
        <f>IF($D1143="","",IFERROR(INDEX(ENVIOS!$G$4:$G$3003,MATCH($D1143,ENVIOS!$A$4:$A$3003,0)),"—"))</f>
        <v/>
      </c>
      <c r="K1143" s="28">
        <f>IF($D1143="","",IFERROR(INDEX(ENVIOS!$H$4:$H$3003,MATCH($D1143,ENVIOS!$A$4:$A$3003,0)),"—"))</f>
        <v/>
      </c>
      <c r="L1143" s="49">
        <f>IF($D1143="","",IFERROR(INDEX(ENVIOS!$C$4:$C$3003,MATCH($D1143,ENVIOS!$A$4:$A$3003,0)),""))</f>
        <v/>
      </c>
      <c r="M1143" s="50" t="n"/>
      <c r="N1143" s="28">
        <f>IF($M1143="","",IFERROR(INDEX(CONFIG!$C$4:$C$63,MATCH($M1143,CONFIG!$A$4:$A$63,0)),"Media"))</f>
        <v/>
      </c>
      <c r="O1143" s="28">
        <f>IF($M1143="","",IF($C1143="Interna","NO",IFERROR(INDEX(CONFIG!$E$4:$E$63,MATCH($M1143,CONFIG!$A$4:$A$63,0)),"NO")))</f>
        <v/>
      </c>
      <c r="P1143" s="50" t="n"/>
      <c r="Q1143" s="50" t="n"/>
      <c r="R1143" s="28">
        <f>IF($Q1143="","",IFERROR(INDEX(CONFIG!$H$4:$H$63,MATCH($Q1143,CONFIG!$G$4:$G$63,0)),"Por definir"))</f>
        <v/>
      </c>
      <c r="S1143" s="28">
        <f>IF($Q1143="","",IFERROR(INDEX(CONFIG!$I$4:$I$63,MATCH($Q1143,CONFIG!$G$4:$G$63,0)),"Por definir"))</f>
        <v/>
      </c>
      <c r="T1143" s="51" t="n"/>
      <c r="U1143" s="52" t="n"/>
      <c r="V1143" s="50" t="n"/>
      <c r="W1143" s="50" t="n"/>
      <c r="X1143" s="49">
        <f>IF(OR($B1143="",$M1143=""),"",WORKDAY($B1143,IFERROR(INDEX(CONFIG!$D$4:$D$63,MATCH($M1143,CONFIG!$A$4:$A$63,0)),3)))</f>
        <v/>
      </c>
      <c r="Y1143" s="47" t="n"/>
      <c r="Z1143" s="24">
        <f>IF($B1143="","",IF($Y1143&lt;&gt;"",$Y1143-$B1143,TODAY()-$B1143))</f>
        <v/>
      </c>
      <c r="AA1143" s="28">
        <f>IF($B1143="","",IF(IFERROR(INDEX(CONFIG!$L$4:$L$63,MATCH($V1143,CONFIG!$K$4:$K$63,0)),"NO")="SÍ",IF(OR($Y1143="",$X1143=""),"Resuelta",IF($Y1143&gt;$X1143,"Resuelta tarde","Resuelta a tiempo")),IF($X1143="","Sin clasificar",IF(TODAY()&gt;$X1143,"Vencida",IF(TODAY()&gt;=$X1143-1,"Por vencer","En plazo")))))</f>
        <v/>
      </c>
      <c r="AB1143" s="50" t="n"/>
      <c r="AC1143" s="50" t="n"/>
    </row>
    <row r="1144" ht="16" customHeight="1">
      <c r="A1144" s="28">
        <f>IF($B1144="","","N-"&amp;TEXT(ROW()-3,"0000"))</f>
        <v/>
      </c>
      <c r="B1144" s="47" t="n"/>
      <c r="C1144" s="48" t="n"/>
      <c r="D1144" s="48" t="n"/>
      <c r="E1144" s="28">
        <f>IF($C1144="","",IF($D1144="",IF($C1144="Interna","Sin guía (interna)","FALTA GUÍA"),IF(COUNTIFS(ENVIOS!$A$4:$A$3003,$D1144)=0,"NO EXISTE",IF(COUNTIFS(ENVIOS!$A$4:$A$3003,$D1144)&gt;1,"DUPLICADA","OK"))))</f>
        <v/>
      </c>
      <c r="F1144" s="28">
        <f>IF($D1144="","",IFERROR(INDEX(ENVIOS!$B$4:$B$3003,MATCH($D1144,ENVIOS!$A$4:$A$3003,0)),"—"))</f>
        <v/>
      </c>
      <c r="G1144" s="23">
        <f>IF($D1144="","",IFERROR(INDEX(ENVIOS!$D$4:$D$3003,MATCH($D1144,ENVIOS!$A$4:$A$3003,0)),"—"))</f>
        <v/>
      </c>
      <c r="H1144" s="23">
        <f>IF($D1144="","",IFERROR(INDEX(ENVIOS!$E$4:$E$3003,MATCH($D1144,ENVIOS!$A$4:$A$3003,0)),"—"))</f>
        <v/>
      </c>
      <c r="I1144" s="23">
        <f>IF($D1144="","",IFERROR(INDEX(ENVIOS!$F$4:$F$3003,MATCH($D1144,ENVIOS!$A$4:$A$3003,0)),"—"))</f>
        <v/>
      </c>
      <c r="J1144" s="23">
        <f>IF($D1144="","",IFERROR(INDEX(ENVIOS!$G$4:$G$3003,MATCH($D1144,ENVIOS!$A$4:$A$3003,0)),"—"))</f>
        <v/>
      </c>
      <c r="K1144" s="28">
        <f>IF($D1144="","",IFERROR(INDEX(ENVIOS!$H$4:$H$3003,MATCH($D1144,ENVIOS!$A$4:$A$3003,0)),"—"))</f>
        <v/>
      </c>
      <c r="L1144" s="49">
        <f>IF($D1144="","",IFERROR(INDEX(ENVIOS!$C$4:$C$3003,MATCH($D1144,ENVIOS!$A$4:$A$3003,0)),""))</f>
        <v/>
      </c>
      <c r="M1144" s="50" t="n"/>
      <c r="N1144" s="28">
        <f>IF($M1144="","",IFERROR(INDEX(CONFIG!$C$4:$C$63,MATCH($M1144,CONFIG!$A$4:$A$63,0)),"Media"))</f>
        <v/>
      </c>
      <c r="O1144" s="28">
        <f>IF($M1144="","",IF($C1144="Interna","NO",IFERROR(INDEX(CONFIG!$E$4:$E$63,MATCH($M1144,CONFIG!$A$4:$A$63,0)),"NO")))</f>
        <v/>
      </c>
      <c r="P1144" s="50" t="n"/>
      <c r="Q1144" s="50" t="n"/>
      <c r="R1144" s="28">
        <f>IF($Q1144="","",IFERROR(INDEX(CONFIG!$H$4:$H$63,MATCH($Q1144,CONFIG!$G$4:$G$63,0)),"Por definir"))</f>
        <v/>
      </c>
      <c r="S1144" s="28">
        <f>IF($Q1144="","",IFERROR(INDEX(CONFIG!$I$4:$I$63,MATCH($Q1144,CONFIG!$G$4:$G$63,0)),"Por definir"))</f>
        <v/>
      </c>
      <c r="T1144" s="51" t="n"/>
      <c r="U1144" s="52" t="n"/>
      <c r="V1144" s="50" t="n"/>
      <c r="W1144" s="50" t="n"/>
      <c r="X1144" s="49">
        <f>IF(OR($B1144="",$M1144=""),"",WORKDAY($B1144,IFERROR(INDEX(CONFIG!$D$4:$D$63,MATCH($M1144,CONFIG!$A$4:$A$63,0)),3)))</f>
        <v/>
      </c>
      <c r="Y1144" s="47" t="n"/>
      <c r="Z1144" s="24">
        <f>IF($B1144="","",IF($Y1144&lt;&gt;"",$Y1144-$B1144,TODAY()-$B1144))</f>
        <v/>
      </c>
      <c r="AA1144" s="28">
        <f>IF($B1144="","",IF(IFERROR(INDEX(CONFIG!$L$4:$L$63,MATCH($V1144,CONFIG!$K$4:$K$63,0)),"NO")="SÍ",IF(OR($Y1144="",$X1144=""),"Resuelta",IF($Y1144&gt;$X1144,"Resuelta tarde","Resuelta a tiempo")),IF($X1144="","Sin clasificar",IF(TODAY()&gt;$X1144,"Vencida",IF(TODAY()&gt;=$X1144-1,"Por vencer","En plazo")))))</f>
        <v/>
      </c>
      <c r="AB1144" s="50" t="n"/>
      <c r="AC1144" s="50" t="n"/>
    </row>
    <row r="1145" ht="16" customHeight="1">
      <c r="A1145" s="28">
        <f>IF($B1145="","","N-"&amp;TEXT(ROW()-3,"0000"))</f>
        <v/>
      </c>
      <c r="B1145" s="47" t="n"/>
      <c r="C1145" s="48" t="n"/>
      <c r="D1145" s="48" t="n"/>
      <c r="E1145" s="28">
        <f>IF($C1145="","",IF($D1145="",IF($C1145="Interna","Sin guía (interna)","FALTA GUÍA"),IF(COUNTIFS(ENVIOS!$A$4:$A$3003,$D1145)=0,"NO EXISTE",IF(COUNTIFS(ENVIOS!$A$4:$A$3003,$D1145)&gt;1,"DUPLICADA","OK"))))</f>
        <v/>
      </c>
      <c r="F1145" s="28">
        <f>IF($D1145="","",IFERROR(INDEX(ENVIOS!$B$4:$B$3003,MATCH($D1145,ENVIOS!$A$4:$A$3003,0)),"—"))</f>
        <v/>
      </c>
      <c r="G1145" s="23">
        <f>IF($D1145="","",IFERROR(INDEX(ENVIOS!$D$4:$D$3003,MATCH($D1145,ENVIOS!$A$4:$A$3003,0)),"—"))</f>
        <v/>
      </c>
      <c r="H1145" s="23">
        <f>IF($D1145="","",IFERROR(INDEX(ENVIOS!$E$4:$E$3003,MATCH($D1145,ENVIOS!$A$4:$A$3003,0)),"—"))</f>
        <v/>
      </c>
      <c r="I1145" s="23">
        <f>IF($D1145="","",IFERROR(INDEX(ENVIOS!$F$4:$F$3003,MATCH($D1145,ENVIOS!$A$4:$A$3003,0)),"—"))</f>
        <v/>
      </c>
      <c r="J1145" s="23">
        <f>IF($D1145="","",IFERROR(INDEX(ENVIOS!$G$4:$G$3003,MATCH($D1145,ENVIOS!$A$4:$A$3003,0)),"—"))</f>
        <v/>
      </c>
      <c r="K1145" s="28">
        <f>IF($D1145="","",IFERROR(INDEX(ENVIOS!$H$4:$H$3003,MATCH($D1145,ENVIOS!$A$4:$A$3003,0)),"—"))</f>
        <v/>
      </c>
      <c r="L1145" s="49">
        <f>IF($D1145="","",IFERROR(INDEX(ENVIOS!$C$4:$C$3003,MATCH($D1145,ENVIOS!$A$4:$A$3003,0)),""))</f>
        <v/>
      </c>
      <c r="M1145" s="50" t="n"/>
      <c r="N1145" s="28">
        <f>IF($M1145="","",IFERROR(INDEX(CONFIG!$C$4:$C$63,MATCH($M1145,CONFIG!$A$4:$A$63,0)),"Media"))</f>
        <v/>
      </c>
      <c r="O1145" s="28">
        <f>IF($M1145="","",IF($C1145="Interna","NO",IFERROR(INDEX(CONFIG!$E$4:$E$63,MATCH($M1145,CONFIG!$A$4:$A$63,0)),"NO")))</f>
        <v/>
      </c>
      <c r="P1145" s="50" t="n"/>
      <c r="Q1145" s="50" t="n"/>
      <c r="R1145" s="28">
        <f>IF($Q1145="","",IFERROR(INDEX(CONFIG!$H$4:$H$63,MATCH($Q1145,CONFIG!$G$4:$G$63,0)),"Por definir"))</f>
        <v/>
      </c>
      <c r="S1145" s="28">
        <f>IF($Q1145="","",IFERROR(INDEX(CONFIG!$I$4:$I$63,MATCH($Q1145,CONFIG!$G$4:$G$63,0)),"Por definir"))</f>
        <v/>
      </c>
      <c r="T1145" s="51" t="n"/>
      <c r="U1145" s="52" t="n"/>
      <c r="V1145" s="50" t="n"/>
      <c r="W1145" s="50" t="n"/>
      <c r="X1145" s="49">
        <f>IF(OR($B1145="",$M1145=""),"",WORKDAY($B1145,IFERROR(INDEX(CONFIG!$D$4:$D$63,MATCH($M1145,CONFIG!$A$4:$A$63,0)),3)))</f>
        <v/>
      </c>
      <c r="Y1145" s="47" t="n"/>
      <c r="Z1145" s="24">
        <f>IF($B1145="","",IF($Y1145&lt;&gt;"",$Y1145-$B1145,TODAY()-$B1145))</f>
        <v/>
      </c>
      <c r="AA1145" s="28">
        <f>IF($B1145="","",IF(IFERROR(INDEX(CONFIG!$L$4:$L$63,MATCH($V1145,CONFIG!$K$4:$K$63,0)),"NO")="SÍ",IF(OR($Y1145="",$X1145=""),"Resuelta",IF($Y1145&gt;$X1145,"Resuelta tarde","Resuelta a tiempo")),IF($X1145="","Sin clasificar",IF(TODAY()&gt;$X1145,"Vencida",IF(TODAY()&gt;=$X1145-1,"Por vencer","En plazo")))))</f>
        <v/>
      </c>
      <c r="AB1145" s="50" t="n"/>
      <c r="AC1145" s="50" t="n"/>
    </row>
    <row r="1146" ht="16" customHeight="1">
      <c r="A1146" s="28">
        <f>IF($B1146="","","N-"&amp;TEXT(ROW()-3,"0000"))</f>
        <v/>
      </c>
      <c r="B1146" s="47" t="n"/>
      <c r="C1146" s="48" t="n"/>
      <c r="D1146" s="48" t="n"/>
      <c r="E1146" s="28">
        <f>IF($C1146="","",IF($D1146="",IF($C1146="Interna","Sin guía (interna)","FALTA GUÍA"),IF(COUNTIFS(ENVIOS!$A$4:$A$3003,$D1146)=0,"NO EXISTE",IF(COUNTIFS(ENVIOS!$A$4:$A$3003,$D1146)&gt;1,"DUPLICADA","OK"))))</f>
        <v/>
      </c>
      <c r="F1146" s="28">
        <f>IF($D1146="","",IFERROR(INDEX(ENVIOS!$B$4:$B$3003,MATCH($D1146,ENVIOS!$A$4:$A$3003,0)),"—"))</f>
        <v/>
      </c>
      <c r="G1146" s="23">
        <f>IF($D1146="","",IFERROR(INDEX(ENVIOS!$D$4:$D$3003,MATCH($D1146,ENVIOS!$A$4:$A$3003,0)),"—"))</f>
        <v/>
      </c>
      <c r="H1146" s="23">
        <f>IF($D1146="","",IFERROR(INDEX(ENVIOS!$E$4:$E$3003,MATCH($D1146,ENVIOS!$A$4:$A$3003,0)),"—"))</f>
        <v/>
      </c>
      <c r="I1146" s="23">
        <f>IF($D1146="","",IFERROR(INDEX(ENVIOS!$F$4:$F$3003,MATCH($D1146,ENVIOS!$A$4:$A$3003,0)),"—"))</f>
        <v/>
      </c>
      <c r="J1146" s="23">
        <f>IF($D1146="","",IFERROR(INDEX(ENVIOS!$G$4:$G$3003,MATCH($D1146,ENVIOS!$A$4:$A$3003,0)),"—"))</f>
        <v/>
      </c>
      <c r="K1146" s="28">
        <f>IF($D1146="","",IFERROR(INDEX(ENVIOS!$H$4:$H$3003,MATCH($D1146,ENVIOS!$A$4:$A$3003,0)),"—"))</f>
        <v/>
      </c>
      <c r="L1146" s="49">
        <f>IF($D1146="","",IFERROR(INDEX(ENVIOS!$C$4:$C$3003,MATCH($D1146,ENVIOS!$A$4:$A$3003,0)),""))</f>
        <v/>
      </c>
      <c r="M1146" s="50" t="n"/>
      <c r="N1146" s="28">
        <f>IF($M1146="","",IFERROR(INDEX(CONFIG!$C$4:$C$63,MATCH($M1146,CONFIG!$A$4:$A$63,0)),"Media"))</f>
        <v/>
      </c>
      <c r="O1146" s="28">
        <f>IF($M1146="","",IF($C1146="Interna","NO",IFERROR(INDEX(CONFIG!$E$4:$E$63,MATCH($M1146,CONFIG!$A$4:$A$63,0)),"NO")))</f>
        <v/>
      </c>
      <c r="P1146" s="50" t="n"/>
      <c r="Q1146" s="50" t="n"/>
      <c r="R1146" s="28">
        <f>IF($Q1146="","",IFERROR(INDEX(CONFIG!$H$4:$H$63,MATCH($Q1146,CONFIG!$G$4:$G$63,0)),"Por definir"))</f>
        <v/>
      </c>
      <c r="S1146" s="28">
        <f>IF($Q1146="","",IFERROR(INDEX(CONFIG!$I$4:$I$63,MATCH($Q1146,CONFIG!$G$4:$G$63,0)),"Por definir"))</f>
        <v/>
      </c>
      <c r="T1146" s="51" t="n"/>
      <c r="U1146" s="52" t="n"/>
      <c r="V1146" s="50" t="n"/>
      <c r="W1146" s="50" t="n"/>
      <c r="X1146" s="49">
        <f>IF(OR($B1146="",$M1146=""),"",WORKDAY($B1146,IFERROR(INDEX(CONFIG!$D$4:$D$63,MATCH($M1146,CONFIG!$A$4:$A$63,0)),3)))</f>
        <v/>
      </c>
      <c r="Y1146" s="47" t="n"/>
      <c r="Z1146" s="24">
        <f>IF($B1146="","",IF($Y1146&lt;&gt;"",$Y1146-$B1146,TODAY()-$B1146))</f>
        <v/>
      </c>
      <c r="AA1146" s="28">
        <f>IF($B1146="","",IF(IFERROR(INDEX(CONFIG!$L$4:$L$63,MATCH($V1146,CONFIG!$K$4:$K$63,0)),"NO")="SÍ",IF(OR($Y1146="",$X1146=""),"Resuelta",IF($Y1146&gt;$X1146,"Resuelta tarde","Resuelta a tiempo")),IF($X1146="","Sin clasificar",IF(TODAY()&gt;$X1146,"Vencida",IF(TODAY()&gt;=$X1146-1,"Por vencer","En plazo")))))</f>
        <v/>
      </c>
      <c r="AB1146" s="50" t="n"/>
      <c r="AC1146" s="50" t="n"/>
    </row>
    <row r="1147" ht="16" customHeight="1">
      <c r="A1147" s="28">
        <f>IF($B1147="","","N-"&amp;TEXT(ROW()-3,"0000"))</f>
        <v/>
      </c>
      <c r="B1147" s="47" t="n"/>
      <c r="C1147" s="48" t="n"/>
      <c r="D1147" s="48" t="n"/>
      <c r="E1147" s="28">
        <f>IF($C1147="","",IF($D1147="",IF($C1147="Interna","Sin guía (interna)","FALTA GUÍA"),IF(COUNTIFS(ENVIOS!$A$4:$A$3003,$D1147)=0,"NO EXISTE",IF(COUNTIFS(ENVIOS!$A$4:$A$3003,$D1147)&gt;1,"DUPLICADA","OK"))))</f>
        <v/>
      </c>
      <c r="F1147" s="28">
        <f>IF($D1147="","",IFERROR(INDEX(ENVIOS!$B$4:$B$3003,MATCH($D1147,ENVIOS!$A$4:$A$3003,0)),"—"))</f>
        <v/>
      </c>
      <c r="G1147" s="23">
        <f>IF($D1147="","",IFERROR(INDEX(ENVIOS!$D$4:$D$3003,MATCH($D1147,ENVIOS!$A$4:$A$3003,0)),"—"))</f>
        <v/>
      </c>
      <c r="H1147" s="23">
        <f>IF($D1147="","",IFERROR(INDEX(ENVIOS!$E$4:$E$3003,MATCH($D1147,ENVIOS!$A$4:$A$3003,0)),"—"))</f>
        <v/>
      </c>
      <c r="I1147" s="23">
        <f>IF($D1147="","",IFERROR(INDEX(ENVIOS!$F$4:$F$3003,MATCH($D1147,ENVIOS!$A$4:$A$3003,0)),"—"))</f>
        <v/>
      </c>
      <c r="J1147" s="23">
        <f>IF($D1147="","",IFERROR(INDEX(ENVIOS!$G$4:$G$3003,MATCH($D1147,ENVIOS!$A$4:$A$3003,0)),"—"))</f>
        <v/>
      </c>
      <c r="K1147" s="28">
        <f>IF($D1147="","",IFERROR(INDEX(ENVIOS!$H$4:$H$3003,MATCH($D1147,ENVIOS!$A$4:$A$3003,0)),"—"))</f>
        <v/>
      </c>
      <c r="L1147" s="49">
        <f>IF($D1147="","",IFERROR(INDEX(ENVIOS!$C$4:$C$3003,MATCH($D1147,ENVIOS!$A$4:$A$3003,0)),""))</f>
        <v/>
      </c>
      <c r="M1147" s="50" t="n"/>
      <c r="N1147" s="28">
        <f>IF($M1147="","",IFERROR(INDEX(CONFIG!$C$4:$C$63,MATCH($M1147,CONFIG!$A$4:$A$63,0)),"Media"))</f>
        <v/>
      </c>
      <c r="O1147" s="28">
        <f>IF($M1147="","",IF($C1147="Interna","NO",IFERROR(INDEX(CONFIG!$E$4:$E$63,MATCH($M1147,CONFIG!$A$4:$A$63,0)),"NO")))</f>
        <v/>
      </c>
      <c r="P1147" s="50" t="n"/>
      <c r="Q1147" s="50" t="n"/>
      <c r="R1147" s="28">
        <f>IF($Q1147="","",IFERROR(INDEX(CONFIG!$H$4:$H$63,MATCH($Q1147,CONFIG!$G$4:$G$63,0)),"Por definir"))</f>
        <v/>
      </c>
      <c r="S1147" s="28">
        <f>IF($Q1147="","",IFERROR(INDEX(CONFIG!$I$4:$I$63,MATCH($Q1147,CONFIG!$G$4:$G$63,0)),"Por definir"))</f>
        <v/>
      </c>
      <c r="T1147" s="51" t="n"/>
      <c r="U1147" s="52" t="n"/>
      <c r="V1147" s="50" t="n"/>
      <c r="W1147" s="50" t="n"/>
      <c r="X1147" s="49">
        <f>IF(OR($B1147="",$M1147=""),"",WORKDAY($B1147,IFERROR(INDEX(CONFIG!$D$4:$D$63,MATCH($M1147,CONFIG!$A$4:$A$63,0)),3)))</f>
        <v/>
      </c>
      <c r="Y1147" s="47" t="n"/>
      <c r="Z1147" s="24">
        <f>IF($B1147="","",IF($Y1147&lt;&gt;"",$Y1147-$B1147,TODAY()-$B1147))</f>
        <v/>
      </c>
      <c r="AA1147" s="28">
        <f>IF($B1147="","",IF(IFERROR(INDEX(CONFIG!$L$4:$L$63,MATCH($V1147,CONFIG!$K$4:$K$63,0)),"NO")="SÍ",IF(OR($Y1147="",$X1147=""),"Resuelta",IF($Y1147&gt;$X1147,"Resuelta tarde","Resuelta a tiempo")),IF($X1147="","Sin clasificar",IF(TODAY()&gt;$X1147,"Vencida",IF(TODAY()&gt;=$X1147-1,"Por vencer","En plazo")))))</f>
        <v/>
      </c>
      <c r="AB1147" s="50" t="n"/>
      <c r="AC1147" s="50" t="n"/>
    </row>
    <row r="1148" ht="16" customHeight="1">
      <c r="A1148" s="28">
        <f>IF($B1148="","","N-"&amp;TEXT(ROW()-3,"0000"))</f>
        <v/>
      </c>
      <c r="B1148" s="47" t="n"/>
      <c r="C1148" s="48" t="n"/>
      <c r="D1148" s="48" t="n"/>
      <c r="E1148" s="28">
        <f>IF($C1148="","",IF($D1148="",IF($C1148="Interna","Sin guía (interna)","FALTA GUÍA"),IF(COUNTIFS(ENVIOS!$A$4:$A$3003,$D1148)=0,"NO EXISTE",IF(COUNTIFS(ENVIOS!$A$4:$A$3003,$D1148)&gt;1,"DUPLICADA","OK"))))</f>
        <v/>
      </c>
      <c r="F1148" s="28">
        <f>IF($D1148="","",IFERROR(INDEX(ENVIOS!$B$4:$B$3003,MATCH($D1148,ENVIOS!$A$4:$A$3003,0)),"—"))</f>
        <v/>
      </c>
      <c r="G1148" s="23">
        <f>IF($D1148="","",IFERROR(INDEX(ENVIOS!$D$4:$D$3003,MATCH($D1148,ENVIOS!$A$4:$A$3003,0)),"—"))</f>
        <v/>
      </c>
      <c r="H1148" s="23">
        <f>IF($D1148="","",IFERROR(INDEX(ENVIOS!$E$4:$E$3003,MATCH($D1148,ENVIOS!$A$4:$A$3003,0)),"—"))</f>
        <v/>
      </c>
      <c r="I1148" s="23">
        <f>IF($D1148="","",IFERROR(INDEX(ENVIOS!$F$4:$F$3003,MATCH($D1148,ENVIOS!$A$4:$A$3003,0)),"—"))</f>
        <v/>
      </c>
      <c r="J1148" s="23">
        <f>IF($D1148="","",IFERROR(INDEX(ENVIOS!$G$4:$G$3003,MATCH($D1148,ENVIOS!$A$4:$A$3003,0)),"—"))</f>
        <v/>
      </c>
      <c r="K1148" s="28">
        <f>IF($D1148="","",IFERROR(INDEX(ENVIOS!$H$4:$H$3003,MATCH($D1148,ENVIOS!$A$4:$A$3003,0)),"—"))</f>
        <v/>
      </c>
      <c r="L1148" s="49">
        <f>IF($D1148="","",IFERROR(INDEX(ENVIOS!$C$4:$C$3003,MATCH($D1148,ENVIOS!$A$4:$A$3003,0)),""))</f>
        <v/>
      </c>
      <c r="M1148" s="50" t="n"/>
      <c r="N1148" s="28">
        <f>IF($M1148="","",IFERROR(INDEX(CONFIG!$C$4:$C$63,MATCH($M1148,CONFIG!$A$4:$A$63,0)),"Media"))</f>
        <v/>
      </c>
      <c r="O1148" s="28">
        <f>IF($M1148="","",IF($C1148="Interna","NO",IFERROR(INDEX(CONFIG!$E$4:$E$63,MATCH($M1148,CONFIG!$A$4:$A$63,0)),"NO")))</f>
        <v/>
      </c>
      <c r="P1148" s="50" t="n"/>
      <c r="Q1148" s="50" t="n"/>
      <c r="R1148" s="28">
        <f>IF($Q1148="","",IFERROR(INDEX(CONFIG!$H$4:$H$63,MATCH($Q1148,CONFIG!$G$4:$G$63,0)),"Por definir"))</f>
        <v/>
      </c>
      <c r="S1148" s="28">
        <f>IF($Q1148="","",IFERROR(INDEX(CONFIG!$I$4:$I$63,MATCH($Q1148,CONFIG!$G$4:$G$63,0)),"Por definir"))</f>
        <v/>
      </c>
      <c r="T1148" s="51" t="n"/>
      <c r="U1148" s="52" t="n"/>
      <c r="V1148" s="50" t="n"/>
      <c r="W1148" s="50" t="n"/>
      <c r="X1148" s="49">
        <f>IF(OR($B1148="",$M1148=""),"",WORKDAY($B1148,IFERROR(INDEX(CONFIG!$D$4:$D$63,MATCH($M1148,CONFIG!$A$4:$A$63,0)),3)))</f>
        <v/>
      </c>
      <c r="Y1148" s="47" t="n"/>
      <c r="Z1148" s="24">
        <f>IF($B1148="","",IF($Y1148&lt;&gt;"",$Y1148-$B1148,TODAY()-$B1148))</f>
        <v/>
      </c>
      <c r="AA1148" s="28">
        <f>IF($B1148="","",IF(IFERROR(INDEX(CONFIG!$L$4:$L$63,MATCH($V1148,CONFIG!$K$4:$K$63,0)),"NO")="SÍ",IF(OR($Y1148="",$X1148=""),"Resuelta",IF($Y1148&gt;$X1148,"Resuelta tarde","Resuelta a tiempo")),IF($X1148="","Sin clasificar",IF(TODAY()&gt;$X1148,"Vencida",IF(TODAY()&gt;=$X1148-1,"Por vencer","En plazo")))))</f>
        <v/>
      </c>
      <c r="AB1148" s="50" t="n"/>
      <c r="AC1148" s="50" t="n"/>
    </row>
    <row r="1149" ht="16" customHeight="1">
      <c r="A1149" s="28">
        <f>IF($B1149="","","N-"&amp;TEXT(ROW()-3,"0000"))</f>
        <v/>
      </c>
      <c r="B1149" s="47" t="n"/>
      <c r="C1149" s="48" t="n"/>
      <c r="D1149" s="48" t="n"/>
      <c r="E1149" s="28">
        <f>IF($C1149="","",IF($D1149="",IF($C1149="Interna","Sin guía (interna)","FALTA GUÍA"),IF(COUNTIFS(ENVIOS!$A$4:$A$3003,$D1149)=0,"NO EXISTE",IF(COUNTIFS(ENVIOS!$A$4:$A$3003,$D1149)&gt;1,"DUPLICADA","OK"))))</f>
        <v/>
      </c>
      <c r="F1149" s="28">
        <f>IF($D1149="","",IFERROR(INDEX(ENVIOS!$B$4:$B$3003,MATCH($D1149,ENVIOS!$A$4:$A$3003,0)),"—"))</f>
        <v/>
      </c>
      <c r="G1149" s="23">
        <f>IF($D1149="","",IFERROR(INDEX(ENVIOS!$D$4:$D$3003,MATCH($D1149,ENVIOS!$A$4:$A$3003,0)),"—"))</f>
        <v/>
      </c>
      <c r="H1149" s="23">
        <f>IF($D1149="","",IFERROR(INDEX(ENVIOS!$E$4:$E$3003,MATCH($D1149,ENVIOS!$A$4:$A$3003,0)),"—"))</f>
        <v/>
      </c>
      <c r="I1149" s="23">
        <f>IF($D1149="","",IFERROR(INDEX(ENVIOS!$F$4:$F$3003,MATCH($D1149,ENVIOS!$A$4:$A$3003,0)),"—"))</f>
        <v/>
      </c>
      <c r="J1149" s="23">
        <f>IF($D1149="","",IFERROR(INDEX(ENVIOS!$G$4:$G$3003,MATCH($D1149,ENVIOS!$A$4:$A$3003,0)),"—"))</f>
        <v/>
      </c>
      <c r="K1149" s="28">
        <f>IF($D1149="","",IFERROR(INDEX(ENVIOS!$H$4:$H$3003,MATCH($D1149,ENVIOS!$A$4:$A$3003,0)),"—"))</f>
        <v/>
      </c>
      <c r="L1149" s="49">
        <f>IF($D1149="","",IFERROR(INDEX(ENVIOS!$C$4:$C$3003,MATCH($D1149,ENVIOS!$A$4:$A$3003,0)),""))</f>
        <v/>
      </c>
      <c r="M1149" s="50" t="n"/>
      <c r="N1149" s="28">
        <f>IF($M1149="","",IFERROR(INDEX(CONFIG!$C$4:$C$63,MATCH($M1149,CONFIG!$A$4:$A$63,0)),"Media"))</f>
        <v/>
      </c>
      <c r="O1149" s="28">
        <f>IF($M1149="","",IF($C1149="Interna","NO",IFERROR(INDEX(CONFIG!$E$4:$E$63,MATCH($M1149,CONFIG!$A$4:$A$63,0)),"NO")))</f>
        <v/>
      </c>
      <c r="P1149" s="50" t="n"/>
      <c r="Q1149" s="50" t="n"/>
      <c r="R1149" s="28">
        <f>IF($Q1149="","",IFERROR(INDEX(CONFIG!$H$4:$H$63,MATCH($Q1149,CONFIG!$G$4:$G$63,0)),"Por definir"))</f>
        <v/>
      </c>
      <c r="S1149" s="28">
        <f>IF($Q1149="","",IFERROR(INDEX(CONFIG!$I$4:$I$63,MATCH($Q1149,CONFIG!$G$4:$G$63,0)),"Por definir"))</f>
        <v/>
      </c>
      <c r="T1149" s="51" t="n"/>
      <c r="U1149" s="52" t="n"/>
      <c r="V1149" s="50" t="n"/>
      <c r="W1149" s="50" t="n"/>
      <c r="X1149" s="49">
        <f>IF(OR($B1149="",$M1149=""),"",WORKDAY($B1149,IFERROR(INDEX(CONFIG!$D$4:$D$63,MATCH($M1149,CONFIG!$A$4:$A$63,0)),3)))</f>
        <v/>
      </c>
      <c r="Y1149" s="47" t="n"/>
      <c r="Z1149" s="24">
        <f>IF($B1149="","",IF($Y1149&lt;&gt;"",$Y1149-$B1149,TODAY()-$B1149))</f>
        <v/>
      </c>
      <c r="AA1149" s="28">
        <f>IF($B1149="","",IF(IFERROR(INDEX(CONFIG!$L$4:$L$63,MATCH($V1149,CONFIG!$K$4:$K$63,0)),"NO")="SÍ",IF(OR($Y1149="",$X1149=""),"Resuelta",IF($Y1149&gt;$X1149,"Resuelta tarde","Resuelta a tiempo")),IF($X1149="","Sin clasificar",IF(TODAY()&gt;$X1149,"Vencida",IF(TODAY()&gt;=$X1149-1,"Por vencer","En plazo")))))</f>
        <v/>
      </c>
      <c r="AB1149" s="50" t="n"/>
      <c r="AC1149" s="50" t="n"/>
    </row>
    <row r="1150" ht="16" customHeight="1">
      <c r="A1150" s="28">
        <f>IF($B1150="","","N-"&amp;TEXT(ROW()-3,"0000"))</f>
        <v/>
      </c>
      <c r="B1150" s="47" t="n"/>
      <c r="C1150" s="48" t="n"/>
      <c r="D1150" s="48" t="n"/>
      <c r="E1150" s="28">
        <f>IF($C1150="","",IF($D1150="",IF($C1150="Interna","Sin guía (interna)","FALTA GUÍA"),IF(COUNTIFS(ENVIOS!$A$4:$A$3003,$D1150)=0,"NO EXISTE",IF(COUNTIFS(ENVIOS!$A$4:$A$3003,$D1150)&gt;1,"DUPLICADA","OK"))))</f>
        <v/>
      </c>
      <c r="F1150" s="28">
        <f>IF($D1150="","",IFERROR(INDEX(ENVIOS!$B$4:$B$3003,MATCH($D1150,ENVIOS!$A$4:$A$3003,0)),"—"))</f>
        <v/>
      </c>
      <c r="G1150" s="23">
        <f>IF($D1150="","",IFERROR(INDEX(ENVIOS!$D$4:$D$3003,MATCH($D1150,ENVIOS!$A$4:$A$3003,0)),"—"))</f>
        <v/>
      </c>
      <c r="H1150" s="23">
        <f>IF($D1150="","",IFERROR(INDEX(ENVIOS!$E$4:$E$3003,MATCH($D1150,ENVIOS!$A$4:$A$3003,0)),"—"))</f>
        <v/>
      </c>
      <c r="I1150" s="23">
        <f>IF($D1150="","",IFERROR(INDEX(ENVIOS!$F$4:$F$3003,MATCH($D1150,ENVIOS!$A$4:$A$3003,0)),"—"))</f>
        <v/>
      </c>
      <c r="J1150" s="23">
        <f>IF($D1150="","",IFERROR(INDEX(ENVIOS!$G$4:$G$3003,MATCH($D1150,ENVIOS!$A$4:$A$3003,0)),"—"))</f>
        <v/>
      </c>
      <c r="K1150" s="28">
        <f>IF($D1150="","",IFERROR(INDEX(ENVIOS!$H$4:$H$3003,MATCH($D1150,ENVIOS!$A$4:$A$3003,0)),"—"))</f>
        <v/>
      </c>
      <c r="L1150" s="49">
        <f>IF($D1150="","",IFERROR(INDEX(ENVIOS!$C$4:$C$3003,MATCH($D1150,ENVIOS!$A$4:$A$3003,0)),""))</f>
        <v/>
      </c>
      <c r="M1150" s="50" t="n"/>
      <c r="N1150" s="28">
        <f>IF($M1150="","",IFERROR(INDEX(CONFIG!$C$4:$C$63,MATCH($M1150,CONFIG!$A$4:$A$63,0)),"Media"))</f>
        <v/>
      </c>
      <c r="O1150" s="28">
        <f>IF($M1150="","",IF($C1150="Interna","NO",IFERROR(INDEX(CONFIG!$E$4:$E$63,MATCH($M1150,CONFIG!$A$4:$A$63,0)),"NO")))</f>
        <v/>
      </c>
      <c r="P1150" s="50" t="n"/>
      <c r="Q1150" s="50" t="n"/>
      <c r="R1150" s="28">
        <f>IF($Q1150="","",IFERROR(INDEX(CONFIG!$H$4:$H$63,MATCH($Q1150,CONFIG!$G$4:$G$63,0)),"Por definir"))</f>
        <v/>
      </c>
      <c r="S1150" s="28">
        <f>IF($Q1150="","",IFERROR(INDEX(CONFIG!$I$4:$I$63,MATCH($Q1150,CONFIG!$G$4:$G$63,0)),"Por definir"))</f>
        <v/>
      </c>
      <c r="T1150" s="51" t="n"/>
      <c r="U1150" s="52" t="n"/>
      <c r="V1150" s="50" t="n"/>
      <c r="W1150" s="50" t="n"/>
      <c r="X1150" s="49">
        <f>IF(OR($B1150="",$M1150=""),"",WORKDAY($B1150,IFERROR(INDEX(CONFIG!$D$4:$D$63,MATCH($M1150,CONFIG!$A$4:$A$63,0)),3)))</f>
        <v/>
      </c>
      <c r="Y1150" s="47" t="n"/>
      <c r="Z1150" s="24">
        <f>IF($B1150="","",IF($Y1150&lt;&gt;"",$Y1150-$B1150,TODAY()-$B1150))</f>
        <v/>
      </c>
      <c r="AA1150" s="28">
        <f>IF($B1150="","",IF(IFERROR(INDEX(CONFIG!$L$4:$L$63,MATCH($V1150,CONFIG!$K$4:$K$63,0)),"NO")="SÍ",IF(OR($Y1150="",$X1150=""),"Resuelta",IF($Y1150&gt;$X1150,"Resuelta tarde","Resuelta a tiempo")),IF($X1150="","Sin clasificar",IF(TODAY()&gt;$X1150,"Vencida",IF(TODAY()&gt;=$X1150-1,"Por vencer","En plazo")))))</f>
        <v/>
      </c>
      <c r="AB1150" s="50" t="n"/>
      <c r="AC1150" s="50" t="n"/>
    </row>
    <row r="1151" ht="16" customHeight="1">
      <c r="A1151" s="28">
        <f>IF($B1151="","","N-"&amp;TEXT(ROW()-3,"0000"))</f>
        <v/>
      </c>
      <c r="B1151" s="47" t="n"/>
      <c r="C1151" s="48" t="n"/>
      <c r="D1151" s="48" t="n"/>
      <c r="E1151" s="28">
        <f>IF($C1151="","",IF($D1151="",IF($C1151="Interna","Sin guía (interna)","FALTA GUÍA"),IF(COUNTIFS(ENVIOS!$A$4:$A$3003,$D1151)=0,"NO EXISTE",IF(COUNTIFS(ENVIOS!$A$4:$A$3003,$D1151)&gt;1,"DUPLICADA","OK"))))</f>
        <v/>
      </c>
      <c r="F1151" s="28">
        <f>IF($D1151="","",IFERROR(INDEX(ENVIOS!$B$4:$B$3003,MATCH($D1151,ENVIOS!$A$4:$A$3003,0)),"—"))</f>
        <v/>
      </c>
      <c r="G1151" s="23">
        <f>IF($D1151="","",IFERROR(INDEX(ENVIOS!$D$4:$D$3003,MATCH($D1151,ENVIOS!$A$4:$A$3003,0)),"—"))</f>
        <v/>
      </c>
      <c r="H1151" s="23">
        <f>IF($D1151="","",IFERROR(INDEX(ENVIOS!$E$4:$E$3003,MATCH($D1151,ENVIOS!$A$4:$A$3003,0)),"—"))</f>
        <v/>
      </c>
      <c r="I1151" s="23">
        <f>IF($D1151="","",IFERROR(INDEX(ENVIOS!$F$4:$F$3003,MATCH($D1151,ENVIOS!$A$4:$A$3003,0)),"—"))</f>
        <v/>
      </c>
      <c r="J1151" s="23">
        <f>IF($D1151="","",IFERROR(INDEX(ENVIOS!$G$4:$G$3003,MATCH($D1151,ENVIOS!$A$4:$A$3003,0)),"—"))</f>
        <v/>
      </c>
      <c r="K1151" s="28">
        <f>IF($D1151="","",IFERROR(INDEX(ENVIOS!$H$4:$H$3003,MATCH($D1151,ENVIOS!$A$4:$A$3003,0)),"—"))</f>
        <v/>
      </c>
      <c r="L1151" s="49">
        <f>IF($D1151="","",IFERROR(INDEX(ENVIOS!$C$4:$C$3003,MATCH($D1151,ENVIOS!$A$4:$A$3003,0)),""))</f>
        <v/>
      </c>
      <c r="M1151" s="50" t="n"/>
      <c r="N1151" s="28">
        <f>IF($M1151="","",IFERROR(INDEX(CONFIG!$C$4:$C$63,MATCH($M1151,CONFIG!$A$4:$A$63,0)),"Media"))</f>
        <v/>
      </c>
      <c r="O1151" s="28">
        <f>IF($M1151="","",IF($C1151="Interna","NO",IFERROR(INDEX(CONFIG!$E$4:$E$63,MATCH($M1151,CONFIG!$A$4:$A$63,0)),"NO")))</f>
        <v/>
      </c>
      <c r="P1151" s="50" t="n"/>
      <c r="Q1151" s="50" t="n"/>
      <c r="R1151" s="28">
        <f>IF($Q1151="","",IFERROR(INDEX(CONFIG!$H$4:$H$63,MATCH($Q1151,CONFIG!$G$4:$G$63,0)),"Por definir"))</f>
        <v/>
      </c>
      <c r="S1151" s="28">
        <f>IF($Q1151="","",IFERROR(INDEX(CONFIG!$I$4:$I$63,MATCH($Q1151,CONFIG!$G$4:$G$63,0)),"Por definir"))</f>
        <v/>
      </c>
      <c r="T1151" s="51" t="n"/>
      <c r="U1151" s="52" t="n"/>
      <c r="V1151" s="50" t="n"/>
      <c r="W1151" s="50" t="n"/>
      <c r="X1151" s="49">
        <f>IF(OR($B1151="",$M1151=""),"",WORKDAY($B1151,IFERROR(INDEX(CONFIG!$D$4:$D$63,MATCH($M1151,CONFIG!$A$4:$A$63,0)),3)))</f>
        <v/>
      </c>
      <c r="Y1151" s="47" t="n"/>
      <c r="Z1151" s="24">
        <f>IF($B1151="","",IF($Y1151&lt;&gt;"",$Y1151-$B1151,TODAY()-$B1151))</f>
        <v/>
      </c>
      <c r="AA1151" s="28">
        <f>IF($B1151="","",IF(IFERROR(INDEX(CONFIG!$L$4:$L$63,MATCH($V1151,CONFIG!$K$4:$K$63,0)),"NO")="SÍ",IF(OR($Y1151="",$X1151=""),"Resuelta",IF($Y1151&gt;$X1151,"Resuelta tarde","Resuelta a tiempo")),IF($X1151="","Sin clasificar",IF(TODAY()&gt;$X1151,"Vencida",IF(TODAY()&gt;=$X1151-1,"Por vencer","En plazo")))))</f>
        <v/>
      </c>
      <c r="AB1151" s="50" t="n"/>
      <c r="AC1151" s="50" t="n"/>
    </row>
    <row r="1152" ht="16" customHeight="1">
      <c r="A1152" s="28">
        <f>IF($B1152="","","N-"&amp;TEXT(ROW()-3,"0000"))</f>
        <v/>
      </c>
      <c r="B1152" s="47" t="n"/>
      <c r="C1152" s="48" t="n"/>
      <c r="D1152" s="48" t="n"/>
      <c r="E1152" s="28">
        <f>IF($C1152="","",IF($D1152="",IF($C1152="Interna","Sin guía (interna)","FALTA GUÍA"),IF(COUNTIFS(ENVIOS!$A$4:$A$3003,$D1152)=0,"NO EXISTE",IF(COUNTIFS(ENVIOS!$A$4:$A$3003,$D1152)&gt;1,"DUPLICADA","OK"))))</f>
        <v/>
      </c>
      <c r="F1152" s="28">
        <f>IF($D1152="","",IFERROR(INDEX(ENVIOS!$B$4:$B$3003,MATCH($D1152,ENVIOS!$A$4:$A$3003,0)),"—"))</f>
        <v/>
      </c>
      <c r="G1152" s="23">
        <f>IF($D1152="","",IFERROR(INDEX(ENVIOS!$D$4:$D$3003,MATCH($D1152,ENVIOS!$A$4:$A$3003,0)),"—"))</f>
        <v/>
      </c>
      <c r="H1152" s="23">
        <f>IF($D1152="","",IFERROR(INDEX(ENVIOS!$E$4:$E$3003,MATCH($D1152,ENVIOS!$A$4:$A$3003,0)),"—"))</f>
        <v/>
      </c>
      <c r="I1152" s="23">
        <f>IF($D1152="","",IFERROR(INDEX(ENVIOS!$F$4:$F$3003,MATCH($D1152,ENVIOS!$A$4:$A$3003,0)),"—"))</f>
        <v/>
      </c>
      <c r="J1152" s="23">
        <f>IF($D1152="","",IFERROR(INDEX(ENVIOS!$G$4:$G$3003,MATCH($D1152,ENVIOS!$A$4:$A$3003,0)),"—"))</f>
        <v/>
      </c>
      <c r="K1152" s="28">
        <f>IF($D1152="","",IFERROR(INDEX(ENVIOS!$H$4:$H$3003,MATCH($D1152,ENVIOS!$A$4:$A$3003,0)),"—"))</f>
        <v/>
      </c>
      <c r="L1152" s="49">
        <f>IF($D1152="","",IFERROR(INDEX(ENVIOS!$C$4:$C$3003,MATCH($D1152,ENVIOS!$A$4:$A$3003,0)),""))</f>
        <v/>
      </c>
      <c r="M1152" s="50" t="n"/>
      <c r="N1152" s="28">
        <f>IF($M1152="","",IFERROR(INDEX(CONFIG!$C$4:$C$63,MATCH($M1152,CONFIG!$A$4:$A$63,0)),"Media"))</f>
        <v/>
      </c>
      <c r="O1152" s="28">
        <f>IF($M1152="","",IF($C1152="Interna","NO",IFERROR(INDEX(CONFIG!$E$4:$E$63,MATCH($M1152,CONFIG!$A$4:$A$63,0)),"NO")))</f>
        <v/>
      </c>
      <c r="P1152" s="50" t="n"/>
      <c r="Q1152" s="50" t="n"/>
      <c r="R1152" s="28">
        <f>IF($Q1152="","",IFERROR(INDEX(CONFIG!$H$4:$H$63,MATCH($Q1152,CONFIG!$G$4:$G$63,0)),"Por definir"))</f>
        <v/>
      </c>
      <c r="S1152" s="28">
        <f>IF($Q1152="","",IFERROR(INDEX(CONFIG!$I$4:$I$63,MATCH($Q1152,CONFIG!$G$4:$G$63,0)),"Por definir"))</f>
        <v/>
      </c>
      <c r="T1152" s="51" t="n"/>
      <c r="U1152" s="52" t="n"/>
      <c r="V1152" s="50" t="n"/>
      <c r="W1152" s="50" t="n"/>
      <c r="X1152" s="49">
        <f>IF(OR($B1152="",$M1152=""),"",WORKDAY($B1152,IFERROR(INDEX(CONFIG!$D$4:$D$63,MATCH($M1152,CONFIG!$A$4:$A$63,0)),3)))</f>
        <v/>
      </c>
      <c r="Y1152" s="47" t="n"/>
      <c r="Z1152" s="24">
        <f>IF($B1152="","",IF($Y1152&lt;&gt;"",$Y1152-$B1152,TODAY()-$B1152))</f>
        <v/>
      </c>
      <c r="AA1152" s="28">
        <f>IF($B1152="","",IF(IFERROR(INDEX(CONFIG!$L$4:$L$63,MATCH($V1152,CONFIG!$K$4:$K$63,0)),"NO")="SÍ",IF(OR($Y1152="",$X1152=""),"Resuelta",IF($Y1152&gt;$X1152,"Resuelta tarde","Resuelta a tiempo")),IF($X1152="","Sin clasificar",IF(TODAY()&gt;$X1152,"Vencida",IF(TODAY()&gt;=$X1152-1,"Por vencer","En plazo")))))</f>
        <v/>
      </c>
      <c r="AB1152" s="50" t="n"/>
      <c r="AC1152" s="50" t="n"/>
    </row>
    <row r="1153" ht="16" customHeight="1">
      <c r="A1153" s="28">
        <f>IF($B1153="","","N-"&amp;TEXT(ROW()-3,"0000"))</f>
        <v/>
      </c>
      <c r="B1153" s="47" t="n"/>
      <c r="C1153" s="48" t="n"/>
      <c r="D1153" s="48" t="n"/>
      <c r="E1153" s="28">
        <f>IF($C1153="","",IF($D1153="",IF($C1153="Interna","Sin guía (interna)","FALTA GUÍA"),IF(COUNTIFS(ENVIOS!$A$4:$A$3003,$D1153)=0,"NO EXISTE",IF(COUNTIFS(ENVIOS!$A$4:$A$3003,$D1153)&gt;1,"DUPLICADA","OK"))))</f>
        <v/>
      </c>
      <c r="F1153" s="28">
        <f>IF($D1153="","",IFERROR(INDEX(ENVIOS!$B$4:$B$3003,MATCH($D1153,ENVIOS!$A$4:$A$3003,0)),"—"))</f>
        <v/>
      </c>
      <c r="G1153" s="23">
        <f>IF($D1153="","",IFERROR(INDEX(ENVIOS!$D$4:$D$3003,MATCH($D1153,ENVIOS!$A$4:$A$3003,0)),"—"))</f>
        <v/>
      </c>
      <c r="H1153" s="23">
        <f>IF($D1153="","",IFERROR(INDEX(ENVIOS!$E$4:$E$3003,MATCH($D1153,ENVIOS!$A$4:$A$3003,0)),"—"))</f>
        <v/>
      </c>
      <c r="I1153" s="23">
        <f>IF($D1153="","",IFERROR(INDEX(ENVIOS!$F$4:$F$3003,MATCH($D1153,ENVIOS!$A$4:$A$3003,0)),"—"))</f>
        <v/>
      </c>
      <c r="J1153" s="23">
        <f>IF($D1153="","",IFERROR(INDEX(ENVIOS!$G$4:$G$3003,MATCH($D1153,ENVIOS!$A$4:$A$3003,0)),"—"))</f>
        <v/>
      </c>
      <c r="K1153" s="28">
        <f>IF($D1153="","",IFERROR(INDEX(ENVIOS!$H$4:$H$3003,MATCH($D1153,ENVIOS!$A$4:$A$3003,0)),"—"))</f>
        <v/>
      </c>
      <c r="L1153" s="49">
        <f>IF($D1153="","",IFERROR(INDEX(ENVIOS!$C$4:$C$3003,MATCH($D1153,ENVIOS!$A$4:$A$3003,0)),""))</f>
        <v/>
      </c>
      <c r="M1153" s="50" t="n"/>
      <c r="N1153" s="28">
        <f>IF($M1153="","",IFERROR(INDEX(CONFIG!$C$4:$C$63,MATCH($M1153,CONFIG!$A$4:$A$63,0)),"Media"))</f>
        <v/>
      </c>
      <c r="O1153" s="28">
        <f>IF($M1153="","",IF($C1153="Interna","NO",IFERROR(INDEX(CONFIG!$E$4:$E$63,MATCH($M1153,CONFIG!$A$4:$A$63,0)),"NO")))</f>
        <v/>
      </c>
      <c r="P1153" s="50" t="n"/>
      <c r="Q1153" s="50" t="n"/>
      <c r="R1153" s="28">
        <f>IF($Q1153="","",IFERROR(INDEX(CONFIG!$H$4:$H$63,MATCH($Q1153,CONFIG!$G$4:$G$63,0)),"Por definir"))</f>
        <v/>
      </c>
      <c r="S1153" s="28">
        <f>IF($Q1153="","",IFERROR(INDEX(CONFIG!$I$4:$I$63,MATCH($Q1153,CONFIG!$G$4:$G$63,0)),"Por definir"))</f>
        <v/>
      </c>
      <c r="T1153" s="51" t="n"/>
      <c r="U1153" s="52" t="n"/>
      <c r="V1153" s="50" t="n"/>
      <c r="W1153" s="50" t="n"/>
      <c r="X1153" s="49">
        <f>IF(OR($B1153="",$M1153=""),"",WORKDAY($B1153,IFERROR(INDEX(CONFIG!$D$4:$D$63,MATCH($M1153,CONFIG!$A$4:$A$63,0)),3)))</f>
        <v/>
      </c>
      <c r="Y1153" s="47" t="n"/>
      <c r="Z1153" s="24">
        <f>IF($B1153="","",IF($Y1153&lt;&gt;"",$Y1153-$B1153,TODAY()-$B1153))</f>
        <v/>
      </c>
      <c r="AA1153" s="28">
        <f>IF($B1153="","",IF(IFERROR(INDEX(CONFIG!$L$4:$L$63,MATCH($V1153,CONFIG!$K$4:$K$63,0)),"NO")="SÍ",IF(OR($Y1153="",$X1153=""),"Resuelta",IF($Y1153&gt;$X1153,"Resuelta tarde","Resuelta a tiempo")),IF($X1153="","Sin clasificar",IF(TODAY()&gt;$X1153,"Vencida",IF(TODAY()&gt;=$X1153-1,"Por vencer","En plazo")))))</f>
        <v/>
      </c>
      <c r="AB1153" s="50" t="n"/>
      <c r="AC1153" s="50" t="n"/>
    </row>
    <row r="1154" ht="16" customHeight="1">
      <c r="A1154" s="28">
        <f>IF($B1154="","","N-"&amp;TEXT(ROW()-3,"0000"))</f>
        <v/>
      </c>
      <c r="B1154" s="47" t="n"/>
      <c r="C1154" s="48" t="n"/>
      <c r="D1154" s="48" t="n"/>
      <c r="E1154" s="28">
        <f>IF($C1154="","",IF($D1154="",IF($C1154="Interna","Sin guía (interna)","FALTA GUÍA"),IF(COUNTIFS(ENVIOS!$A$4:$A$3003,$D1154)=0,"NO EXISTE",IF(COUNTIFS(ENVIOS!$A$4:$A$3003,$D1154)&gt;1,"DUPLICADA","OK"))))</f>
        <v/>
      </c>
      <c r="F1154" s="28">
        <f>IF($D1154="","",IFERROR(INDEX(ENVIOS!$B$4:$B$3003,MATCH($D1154,ENVIOS!$A$4:$A$3003,0)),"—"))</f>
        <v/>
      </c>
      <c r="G1154" s="23">
        <f>IF($D1154="","",IFERROR(INDEX(ENVIOS!$D$4:$D$3003,MATCH($D1154,ENVIOS!$A$4:$A$3003,0)),"—"))</f>
        <v/>
      </c>
      <c r="H1154" s="23">
        <f>IF($D1154="","",IFERROR(INDEX(ENVIOS!$E$4:$E$3003,MATCH($D1154,ENVIOS!$A$4:$A$3003,0)),"—"))</f>
        <v/>
      </c>
      <c r="I1154" s="23">
        <f>IF($D1154="","",IFERROR(INDEX(ENVIOS!$F$4:$F$3003,MATCH($D1154,ENVIOS!$A$4:$A$3003,0)),"—"))</f>
        <v/>
      </c>
      <c r="J1154" s="23">
        <f>IF($D1154="","",IFERROR(INDEX(ENVIOS!$G$4:$G$3003,MATCH($D1154,ENVIOS!$A$4:$A$3003,0)),"—"))</f>
        <v/>
      </c>
      <c r="K1154" s="28">
        <f>IF($D1154="","",IFERROR(INDEX(ENVIOS!$H$4:$H$3003,MATCH($D1154,ENVIOS!$A$4:$A$3003,0)),"—"))</f>
        <v/>
      </c>
      <c r="L1154" s="49">
        <f>IF($D1154="","",IFERROR(INDEX(ENVIOS!$C$4:$C$3003,MATCH($D1154,ENVIOS!$A$4:$A$3003,0)),""))</f>
        <v/>
      </c>
      <c r="M1154" s="50" t="n"/>
      <c r="N1154" s="28">
        <f>IF($M1154="","",IFERROR(INDEX(CONFIG!$C$4:$C$63,MATCH($M1154,CONFIG!$A$4:$A$63,0)),"Media"))</f>
        <v/>
      </c>
      <c r="O1154" s="28">
        <f>IF($M1154="","",IF($C1154="Interna","NO",IFERROR(INDEX(CONFIG!$E$4:$E$63,MATCH($M1154,CONFIG!$A$4:$A$63,0)),"NO")))</f>
        <v/>
      </c>
      <c r="P1154" s="50" t="n"/>
      <c r="Q1154" s="50" t="n"/>
      <c r="R1154" s="28">
        <f>IF($Q1154="","",IFERROR(INDEX(CONFIG!$H$4:$H$63,MATCH($Q1154,CONFIG!$G$4:$G$63,0)),"Por definir"))</f>
        <v/>
      </c>
      <c r="S1154" s="28">
        <f>IF($Q1154="","",IFERROR(INDEX(CONFIG!$I$4:$I$63,MATCH($Q1154,CONFIG!$G$4:$G$63,0)),"Por definir"))</f>
        <v/>
      </c>
      <c r="T1154" s="51" t="n"/>
      <c r="U1154" s="52" t="n"/>
      <c r="V1154" s="50" t="n"/>
      <c r="W1154" s="50" t="n"/>
      <c r="X1154" s="49">
        <f>IF(OR($B1154="",$M1154=""),"",WORKDAY($B1154,IFERROR(INDEX(CONFIG!$D$4:$D$63,MATCH($M1154,CONFIG!$A$4:$A$63,0)),3)))</f>
        <v/>
      </c>
      <c r="Y1154" s="47" t="n"/>
      <c r="Z1154" s="24">
        <f>IF($B1154="","",IF($Y1154&lt;&gt;"",$Y1154-$B1154,TODAY()-$B1154))</f>
        <v/>
      </c>
      <c r="AA1154" s="28">
        <f>IF($B1154="","",IF(IFERROR(INDEX(CONFIG!$L$4:$L$63,MATCH($V1154,CONFIG!$K$4:$K$63,0)),"NO")="SÍ",IF(OR($Y1154="",$X1154=""),"Resuelta",IF($Y1154&gt;$X1154,"Resuelta tarde","Resuelta a tiempo")),IF($X1154="","Sin clasificar",IF(TODAY()&gt;$X1154,"Vencida",IF(TODAY()&gt;=$X1154-1,"Por vencer","En plazo")))))</f>
        <v/>
      </c>
      <c r="AB1154" s="50" t="n"/>
      <c r="AC1154" s="50" t="n"/>
    </row>
    <row r="1155" ht="16" customHeight="1">
      <c r="A1155" s="28">
        <f>IF($B1155="","","N-"&amp;TEXT(ROW()-3,"0000"))</f>
        <v/>
      </c>
      <c r="B1155" s="47" t="n"/>
      <c r="C1155" s="48" t="n"/>
      <c r="D1155" s="48" t="n"/>
      <c r="E1155" s="28">
        <f>IF($C1155="","",IF($D1155="",IF($C1155="Interna","Sin guía (interna)","FALTA GUÍA"),IF(COUNTIFS(ENVIOS!$A$4:$A$3003,$D1155)=0,"NO EXISTE",IF(COUNTIFS(ENVIOS!$A$4:$A$3003,$D1155)&gt;1,"DUPLICADA","OK"))))</f>
        <v/>
      </c>
      <c r="F1155" s="28">
        <f>IF($D1155="","",IFERROR(INDEX(ENVIOS!$B$4:$B$3003,MATCH($D1155,ENVIOS!$A$4:$A$3003,0)),"—"))</f>
        <v/>
      </c>
      <c r="G1155" s="23">
        <f>IF($D1155="","",IFERROR(INDEX(ENVIOS!$D$4:$D$3003,MATCH($D1155,ENVIOS!$A$4:$A$3003,0)),"—"))</f>
        <v/>
      </c>
      <c r="H1155" s="23">
        <f>IF($D1155="","",IFERROR(INDEX(ENVIOS!$E$4:$E$3003,MATCH($D1155,ENVIOS!$A$4:$A$3003,0)),"—"))</f>
        <v/>
      </c>
      <c r="I1155" s="23">
        <f>IF($D1155="","",IFERROR(INDEX(ENVIOS!$F$4:$F$3003,MATCH($D1155,ENVIOS!$A$4:$A$3003,0)),"—"))</f>
        <v/>
      </c>
      <c r="J1155" s="23">
        <f>IF($D1155="","",IFERROR(INDEX(ENVIOS!$G$4:$G$3003,MATCH($D1155,ENVIOS!$A$4:$A$3003,0)),"—"))</f>
        <v/>
      </c>
      <c r="K1155" s="28">
        <f>IF($D1155="","",IFERROR(INDEX(ENVIOS!$H$4:$H$3003,MATCH($D1155,ENVIOS!$A$4:$A$3003,0)),"—"))</f>
        <v/>
      </c>
      <c r="L1155" s="49">
        <f>IF($D1155="","",IFERROR(INDEX(ENVIOS!$C$4:$C$3003,MATCH($D1155,ENVIOS!$A$4:$A$3003,0)),""))</f>
        <v/>
      </c>
      <c r="M1155" s="50" t="n"/>
      <c r="N1155" s="28">
        <f>IF($M1155="","",IFERROR(INDEX(CONFIG!$C$4:$C$63,MATCH($M1155,CONFIG!$A$4:$A$63,0)),"Media"))</f>
        <v/>
      </c>
      <c r="O1155" s="28">
        <f>IF($M1155="","",IF($C1155="Interna","NO",IFERROR(INDEX(CONFIG!$E$4:$E$63,MATCH($M1155,CONFIG!$A$4:$A$63,0)),"NO")))</f>
        <v/>
      </c>
      <c r="P1155" s="50" t="n"/>
      <c r="Q1155" s="50" t="n"/>
      <c r="R1155" s="28">
        <f>IF($Q1155="","",IFERROR(INDEX(CONFIG!$H$4:$H$63,MATCH($Q1155,CONFIG!$G$4:$G$63,0)),"Por definir"))</f>
        <v/>
      </c>
      <c r="S1155" s="28">
        <f>IF($Q1155="","",IFERROR(INDEX(CONFIG!$I$4:$I$63,MATCH($Q1155,CONFIG!$G$4:$G$63,0)),"Por definir"))</f>
        <v/>
      </c>
      <c r="T1155" s="51" t="n"/>
      <c r="U1155" s="52" t="n"/>
      <c r="V1155" s="50" t="n"/>
      <c r="W1155" s="50" t="n"/>
      <c r="X1155" s="49">
        <f>IF(OR($B1155="",$M1155=""),"",WORKDAY($B1155,IFERROR(INDEX(CONFIG!$D$4:$D$63,MATCH($M1155,CONFIG!$A$4:$A$63,0)),3)))</f>
        <v/>
      </c>
      <c r="Y1155" s="47" t="n"/>
      <c r="Z1155" s="24">
        <f>IF($B1155="","",IF($Y1155&lt;&gt;"",$Y1155-$B1155,TODAY()-$B1155))</f>
        <v/>
      </c>
      <c r="AA1155" s="28">
        <f>IF($B1155="","",IF(IFERROR(INDEX(CONFIG!$L$4:$L$63,MATCH($V1155,CONFIG!$K$4:$K$63,0)),"NO")="SÍ",IF(OR($Y1155="",$X1155=""),"Resuelta",IF($Y1155&gt;$X1155,"Resuelta tarde","Resuelta a tiempo")),IF($X1155="","Sin clasificar",IF(TODAY()&gt;$X1155,"Vencida",IF(TODAY()&gt;=$X1155-1,"Por vencer","En plazo")))))</f>
        <v/>
      </c>
      <c r="AB1155" s="50" t="n"/>
      <c r="AC1155" s="50" t="n"/>
    </row>
    <row r="1156" ht="16" customHeight="1">
      <c r="A1156" s="28">
        <f>IF($B1156="","","N-"&amp;TEXT(ROW()-3,"0000"))</f>
        <v/>
      </c>
      <c r="B1156" s="47" t="n"/>
      <c r="C1156" s="48" t="n"/>
      <c r="D1156" s="48" t="n"/>
      <c r="E1156" s="28">
        <f>IF($C1156="","",IF($D1156="",IF($C1156="Interna","Sin guía (interna)","FALTA GUÍA"),IF(COUNTIFS(ENVIOS!$A$4:$A$3003,$D1156)=0,"NO EXISTE",IF(COUNTIFS(ENVIOS!$A$4:$A$3003,$D1156)&gt;1,"DUPLICADA","OK"))))</f>
        <v/>
      </c>
      <c r="F1156" s="28">
        <f>IF($D1156="","",IFERROR(INDEX(ENVIOS!$B$4:$B$3003,MATCH($D1156,ENVIOS!$A$4:$A$3003,0)),"—"))</f>
        <v/>
      </c>
      <c r="G1156" s="23">
        <f>IF($D1156="","",IFERROR(INDEX(ENVIOS!$D$4:$D$3003,MATCH($D1156,ENVIOS!$A$4:$A$3003,0)),"—"))</f>
        <v/>
      </c>
      <c r="H1156" s="23">
        <f>IF($D1156="","",IFERROR(INDEX(ENVIOS!$E$4:$E$3003,MATCH($D1156,ENVIOS!$A$4:$A$3003,0)),"—"))</f>
        <v/>
      </c>
      <c r="I1156" s="23">
        <f>IF($D1156="","",IFERROR(INDEX(ENVIOS!$F$4:$F$3003,MATCH($D1156,ENVIOS!$A$4:$A$3003,0)),"—"))</f>
        <v/>
      </c>
      <c r="J1156" s="23">
        <f>IF($D1156="","",IFERROR(INDEX(ENVIOS!$G$4:$G$3003,MATCH($D1156,ENVIOS!$A$4:$A$3003,0)),"—"))</f>
        <v/>
      </c>
      <c r="K1156" s="28">
        <f>IF($D1156="","",IFERROR(INDEX(ENVIOS!$H$4:$H$3003,MATCH($D1156,ENVIOS!$A$4:$A$3003,0)),"—"))</f>
        <v/>
      </c>
      <c r="L1156" s="49">
        <f>IF($D1156="","",IFERROR(INDEX(ENVIOS!$C$4:$C$3003,MATCH($D1156,ENVIOS!$A$4:$A$3003,0)),""))</f>
        <v/>
      </c>
      <c r="M1156" s="50" t="n"/>
      <c r="N1156" s="28">
        <f>IF($M1156="","",IFERROR(INDEX(CONFIG!$C$4:$C$63,MATCH($M1156,CONFIG!$A$4:$A$63,0)),"Media"))</f>
        <v/>
      </c>
      <c r="O1156" s="28">
        <f>IF($M1156="","",IF($C1156="Interna","NO",IFERROR(INDEX(CONFIG!$E$4:$E$63,MATCH($M1156,CONFIG!$A$4:$A$63,0)),"NO")))</f>
        <v/>
      </c>
      <c r="P1156" s="50" t="n"/>
      <c r="Q1156" s="50" t="n"/>
      <c r="R1156" s="28">
        <f>IF($Q1156="","",IFERROR(INDEX(CONFIG!$H$4:$H$63,MATCH($Q1156,CONFIG!$G$4:$G$63,0)),"Por definir"))</f>
        <v/>
      </c>
      <c r="S1156" s="28">
        <f>IF($Q1156="","",IFERROR(INDEX(CONFIG!$I$4:$I$63,MATCH($Q1156,CONFIG!$G$4:$G$63,0)),"Por definir"))</f>
        <v/>
      </c>
      <c r="T1156" s="51" t="n"/>
      <c r="U1156" s="52" t="n"/>
      <c r="V1156" s="50" t="n"/>
      <c r="W1156" s="50" t="n"/>
      <c r="X1156" s="49">
        <f>IF(OR($B1156="",$M1156=""),"",WORKDAY($B1156,IFERROR(INDEX(CONFIG!$D$4:$D$63,MATCH($M1156,CONFIG!$A$4:$A$63,0)),3)))</f>
        <v/>
      </c>
      <c r="Y1156" s="47" t="n"/>
      <c r="Z1156" s="24">
        <f>IF($B1156="","",IF($Y1156&lt;&gt;"",$Y1156-$B1156,TODAY()-$B1156))</f>
        <v/>
      </c>
      <c r="AA1156" s="28">
        <f>IF($B1156="","",IF(IFERROR(INDEX(CONFIG!$L$4:$L$63,MATCH($V1156,CONFIG!$K$4:$K$63,0)),"NO")="SÍ",IF(OR($Y1156="",$X1156=""),"Resuelta",IF($Y1156&gt;$X1156,"Resuelta tarde","Resuelta a tiempo")),IF($X1156="","Sin clasificar",IF(TODAY()&gt;$X1156,"Vencida",IF(TODAY()&gt;=$X1156-1,"Por vencer","En plazo")))))</f>
        <v/>
      </c>
      <c r="AB1156" s="50" t="n"/>
      <c r="AC1156" s="50" t="n"/>
    </row>
    <row r="1157" ht="16" customHeight="1">
      <c r="A1157" s="28">
        <f>IF($B1157="","","N-"&amp;TEXT(ROW()-3,"0000"))</f>
        <v/>
      </c>
      <c r="B1157" s="47" t="n"/>
      <c r="C1157" s="48" t="n"/>
      <c r="D1157" s="48" t="n"/>
      <c r="E1157" s="28">
        <f>IF($C1157="","",IF($D1157="",IF($C1157="Interna","Sin guía (interna)","FALTA GUÍA"),IF(COUNTIFS(ENVIOS!$A$4:$A$3003,$D1157)=0,"NO EXISTE",IF(COUNTIFS(ENVIOS!$A$4:$A$3003,$D1157)&gt;1,"DUPLICADA","OK"))))</f>
        <v/>
      </c>
      <c r="F1157" s="28">
        <f>IF($D1157="","",IFERROR(INDEX(ENVIOS!$B$4:$B$3003,MATCH($D1157,ENVIOS!$A$4:$A$3003,0)),"—"))</f>
        <v/>
      </c>
      <c r="G1157" s="23">
        <f>IF($D1157="","",IFERROR(INDEX(ENVIOS!$D$4:$D$3003,MATCH($D1157,ENVIOS!$A$4:$A$3003,0)),"—"))</f>
        <v/>
      </c>
      <c r="H1157" s="23">
        <f>IF($D1157="","",IFERROR(INDEX(ENVIOS!$E$4:$E$3003,MATCH($D1157,ENVIOS!$A$4:$A$3003,0)),"—"))</f>
        <v/>
      </c>
      <c r="I1157" s="23">
        <f>IF($D1157="","",IFERROR(INDEX(ENVIOS!$F$4:$F$3003,MATCH($D1157,ENVIOS!$A$4:$A$3003,0)),"—"))</f>
        <v/>
      </c>
      <c r="J1157" s="23">
        <f>IF($D1157="","",IFERROR(INDEX(ENVIOS!$G$4:$G$3003,MATCH($D1157,ENVIOS!$A$4:$A$3003,0)),"—"))</f>
        <v/>
      </c>
      <c r="K1157" s="28">
        <f>IF($D1157="","",IFERROR(INDEX(ENVIOS!$H$4:$H$3003,MATCH($D1157,ENVIOS!$A$4:$A$3003,0)),"—"))</f>
        <v/>
      </c>
      <c r="L1157" s="49">
        <f>IF($D1157="","",IFERROR(INDEX(ENVIOS!$C$4:$C$3003,MATCH($D1157,ENVIOS!$A$4:$A$3003,0)),""))</f>
        <v/>
      </c>
      <c r="M1157" s="50" t="n"/>
      <c r="N1157" s="28">
        <f>IF($M1157="","",IFERROR(INDEX(CONFIG!$C$4:$C$63,MATCH($M1157,CONFIG!$A$4:$A$63,0)),"Media"))</f>
        <v/>
      </c>
      <c r="O1157" s="28">
        <f>IF($M1157="","",IF($C1157="Interna","NO",IFERROR(INDEX(CONFIG!$E$4:$E$63,MATCH($M1157,CONFIG!$A$4:$A$63,0)),"NO")))</f>
        <v/>
      </c>
      <c r="P1157" s="50" t="n"/>
      <c r="Q1157" s="50" t="n"/>
      <c r="R1157" s="28">
        <f>IF($Q1157="","",IFERROR(INDEX(CONFIG!$H$4:$H$63,MATCH($Q1157,CONFIG!$G$4:$G$63,0)),"Por definir"))</f>
        <v/>
      </c>
      <c r="S1157" s="28">
        <f>IF($Q1157="","",IFERROR(INDEX(CONFIG!$I$4:$I$63,MATCH($Q1157,CONFIG!$G$4:$G$63,0)),"Por definir"))</f>
        <v/>
      </c>
      <c r="T1157" s="51" t="n"/>
      <c r="U1157" s="52" t="n"/>
      <c r="V1157" s="50" t="n"/>
      <c r="W1157" s="50" t="n"/>
      <c r="X1157" s="49">
        <f>IF(OR($B1157="",$M1157=""),"",WORKDAY($B1157,IFERROR(INDEX(CONFIG!$D$4:$D$63,MATCH($M1157,CONFIG!$A$4:$A$63,0)),3)))</f>
        <v/>
      </c>
      <c r="Y1157" s="47" t="n"/>
      <c r="Z1157" s="24">
        <f>IF($B1157="","",IF($Y1157&lt;&gt;"",$Y1157-$B1157,TODAY()-$B1157))</f>
        <v/>
      </c>
      <c r="AA1157" s="28">
        <f>IF($B1157="","",IF(IFERROR(INDEX(CONFIG!$L$4:$L$63,MATCH($V1157,CONFIG!$K$4:$K$63,0)),"NO")="SÍ",IF(OR($Y1157="",$X1157=""),"Resuelta",IF($Y1157&gt;$X1157,"Resuelta tarde","Resuelta a tiempo")),IF($X1157="","Sin clasificar",IF(TODAY()&gt;$X1157,"Vencida",IF(TODAY()&gt;=$X1157-1,"Por vencer","En plazo")))))</f>
        <v/>
      </c>
      <c r="AB1157" s="50" t="n"/>
      <c r="AC1157" s="50" t="n"/>
    </row>
    <row r="1158" ht="16" customHeight="1">
      <c r="A1158" s="28">
        <f>IF($B1158="","","N-"&amp;TEXT(ROW()-3,"0000"))</f>
        <v/>
      </c>
      <c r="B1158" s="47" t="n"/>
      <c r="C1158" s="48" t="n"/>
      <c r="D1158" s="48" t="n"/>
      <c r="E1158" s="28">
        <f>IF($C1158="","",IF($D1158="",IF($C1158="Interna","Sin guía (interna)","FALTA GUÍA"),IF(COUNTIFS(ENVIOS!$A$4:$A$3003,$D1158)=0,"NO EXISTE",IF(COUNTIFS(ENVIOS!$A$4:$A$3003,$D1158)&gt;1,"DUPLICADA","OK"))))</f>
        <v/>
      </c>
      <c r="F1158" s="28">
        <f>IF($D1158="","",IFERROR(INDEX(ENVIOS!$B$4:$B$3003,MATCH($D1158,ENVIOS!$A$4:$A$3003,0)),"—"))</f>
        <v/>
      </c>
      <c r="G1158" s="23">
        <f>IF($D1158="","",IFERROR(INDEX(ENVIOS!$D$4:$D$3003,MATCH($D1158,ENVIOS!$A$4:$A$3003,0)),"—"))</f>
        <v/>
      </c>
      <c r="H1158" s="23">
        <f>IF($D1158="","",IFERROR(INDEX(ENVIOS!$E$4:$E$3003,MATCH($D1158,ENVIOS!$A$4:$A$3003,0)),"—"))</f>
        <v/>
      </c>
      <c r="I1158" s="23">
        <f>IF($D1158="","",IFERROR(INDEX(ENVIOS!$F$4:$F$3003,MATCH($D1158,ENVIOS!$A$4:$A$3003,0)),"—"))</f>
        <v/>
      </c>
      <c r="J1158" s="23">
        <f>IF($D1158="","",IFERROR(INDEX(ENVIOS!$G$4:$G$3003,MATCH($D1158,ENVIOS!$A$4:$A$3003,0)),"—"))</f>
        <v/>
      </c>
      <c r="K1158" s="28">
        <f>IF($D1158="","",IFERROR(INDEX(ENVIOS!$H$4:$H$3003,MATCH($D1158,ENVIOS!$A$4:$A$3003,0)),"—"))</f>
        <v/>
      </c>
      <c r="L1158" s="49">
        <f>IF($D1158="","",IFERROR(INDEX(ENVIOS!$C$4:$C$3003,MATCH($D1158,ENVIOS!$A$4:$A$3003,0)),""))</f>
        <v/>
      </c>
      <c r="M1158" s="50" t="n"/>
      <c r="N1158" s="28">
        <f>IF($M1158="","",IFERROR(INDEX(CONFIG!$C$4:$C$63,MATCH($M1158,CONFIG!$A$4:$A$63,0)),"Media"))</f>
        <v/>
      </c>
      <c r="O1158" s="28">
        <f>IF($M1158="","",IF($C1158="Interna","NO",IFERROR(INDEX(CONFIG!$E$4:$E$63,MATCH($M1158,CONFIG!$A$4:$A$63,0)),"NO")))</f>
        <v/>
      </c>
      <c r="P1158" s="50" t="n"/>
      <c r="Q1158" s="50" t="n"/>
      <c r="R1158" s="28">
        <f>IF($Q1158="","",IFERROR(INDEX(CONFIG!$H$4:$H$63,MATCH($Q1158,CONFIG!$G$4:$G$63,0)),"Por definir"))</f>
        <v/>
      </c>
      <c r="S1158" s="28">
        <f>IF($Q1158="","",IFERROR(INDEX(CONFIG!$I$4:$I$63,MATCH($Q1158,CONFIG!$G$4:$G$63,0)),"Por definir"))</f>
        <v/>
      </c>
      <c r="T1158" s="51" t="n"/>
      <c r="U1158" s="52" t="n"/>
      <c r="V1158" s="50" t="n"/>
      <c r="W1158" s="50" t="n"/>
      <c r="X1158" s="49">
        <f>IF(OR($B1158="",$M1158=""),"",WORKDAY($B1158,IFERROR(INDEX(CONFIG!$D$4:$D$63,MATCH($M1158,CONFIG!$A$4:$A$63,0)),3)))</f>
        <v/>
      </c>
      <c r="Y1158" s="47" t="n"/>
      <c r="Z1158" s="24">
        <f>IF($B1158="","",IF($Y1158&lt;&gt;"",$Y1158-$B1158,TODAY()-$B1158))</f>
        <v/>
      </c>
      <c r="AA1158" s="28">
        <f>IF($B1158="","",IF(IFERROR(INDEX(CONFIG!$L$4:$L$63,MATCH($V1158,CONFIG!$K$4:$K$63,0)),"NO")="SÍ",IF(OR($Y1158="",$X1158=""),"Resuelta",IF($Y1158&gt;$X1158,"Resuelta tarde","Resuelta a tiempo")),IF($X1158="","Sin clasificar",IF(TODAY()&gt;$X1158,"Vencida",IF(TODAY()&gt;=$X1158-1,"Por vencer","En plazo")))))</f>
        <v/>
      </c>
      <c r="AB1158" s="50" t="n"/>
      <c r="AC1158" s="50" t="n"/>
    </row>
    <row r="1159" ht="16" customHeight="1">
      <c r="A1159" s="28">
        <f>IF($B1159="","","N-"&amp;TEXT(ROW()-3,"0000"))</f>
        <v/>
      </c>
      <c r="B1159" s="47" t="n"/>
      <c r="C1159" s="48" t="n"/>
      <c r="D1159" s="48" t="n"/>
      <c r="E1159" s="28">
        <f>IF($C1159="","",IF($D1159="",IF($C1159="Interna","Sin guía (interna)","FALTA GUÍA"),IF(COUNTIFS(ENVIOS!$A$4:$A$3003,$D1159)=0,"NO EXISTE",IF(COUNTIFS(ENVIOS!$A$4:$A$3003,$D1159)&gt;1,"DUPLICADA","OK"))))</f>
        <v/>
      </c>
      <c r="F1159" s="28">
        <f>IF($D1159="","",IFERROR(INDEX(ENVIOS!$B$4:$B$3003,MATCH($D1159,ENVIOS!$A$4:$A$3003,0)),"—"))</f>
        <v/>
      </c>
      <c r="G1159" s="23">
        <f>IF($D1159="","",IFERROR(INDEX(ENVIOS!$D$4:$D$3003,MATCH($D1159,ENVIOS!$A$4:$A$3003,0)),"—"))</f>
        <v/>
      </c>
      <c r="H1159" s="23">
        <f>IF($D1159="","",IFERROR(INDEX(ENVIOS!$E$4:$E$3003,MATCH($D1159,ENVIOS!$A$4:$A$3003,0)),"—"))</f>
        <v/>
      </c>
      <c r="I1159" s="23">
        <f>IF($D1159="","",IFERROR(INDEX(ENVIOS!$F$4:$F$3003,MATCH($D1159,ENVIOS!$A$4:$A$3003,0)),"—"))</f>
        <v/>
      </c>
      <c r="J1159" s="23">
        <f>IF($D1159="","",IFERROR(INDEX(ENVIOS!$G$4:$G$3003,MATCH($D1159,ENVIOS!$A$4:$A$3003,0)),"—"))</f>
        <v/>
      </c>
      <c r="K1159" s="28">
        <f>IF($D1159="","",IFERROR(INDEX(ENVIOS!$H$4:$H$3003,MATCH($D1159,ENVIOS!$A$4:$A$3003,0)),"—"))</f>
        <v/>
      </c>
      <c r="L1159" s="49">
        <f>IF($D1159="","",IFERROR(INDEX(ENVIOS!$C$4:$C$3003,MATCH($D1159,ENVIOS!$A$4:$A$3003,0)),""))</f>
        <v/>
      </c>
      <c r="M1159" s="50" t="n"/>
      <c r="N1159" s="28">
        <f>IF($M1159="","",IFERROR(INDEX(CONFIG!$C$4:$C$63,MATCH($M1159,CONFIG!$A$4:$A$63,0)),"Media"))</f>
        <v/>
      </c>
      <c r="O1159" s="28">
        <f>IF($M1159="","",IF($C1159="Interna","NO",IFERROR(INDEX(CONFIG!$E$4:$E$63,MATCH($M1159,CONFIG!$A$4:$A$63,0)),"NO")))</f>
        <v/>
      </c>
      <c r="P1159" s="50" t="n"/>
      <c r="Q1159" s="50" t="n"/>
      <c r="R1159" s="28">
        <f>IF($Q1159="","",IFERROR(INDEX(CONFIG!$H$4:$H$63,MATCH($Q1159,CONFIG!$G$4:$G$63,0)),"Por definir"))</f>
        <v/>
      </c>
      <c r="S1159" s="28">
        <f>IF($Q1159="","",IFERROR(INDEX(CONFIG!$I$4:$I$63,MATCH($Q1159,CONFIG!$G$4:$G$63,0)),"Por definir"))</f>
        <v/>
      </c>
      <c r="T1159" s="51" t="n"/>
      <c r="U1159" s="52" t="n"/>
      <c r="V1159" s="50" t="n"/>
      <c r="W1159" s="50" t="n"/>
      <c r="X1159" s="49">
        <f>IF(OR($B1159="",$M1159=""),"",WORKDAY($B1159,IFERROR(INDEX(CONFIG!$D$4:$D$63,MATCH($M1159,CONFIG!$A$4:$A$63,0)),3)))</f>
        <v/>
      </c>
      <c r="Y1159" s="47" t="n"/>
      <c r="Z1159" s="24">
        <f>IF($B1159="","",IF($Y1159&lt;&gt;"",$Y1159-$B1159,TODAY()-$B1159))</f>
        <v/>
      </c>
      <c r="AA1159" s="28">
        <f>IF($B1159="","",IF(IFERROR(INDEX(CONFIG!$L$4:$L$63,MATCH($V1159,CONFIG!$K$4:$K$63,0)),"NO")="SÍ",IF(OR($Y1159="",$X1159=""),"Resuelta",IF($Y1159&gt;$X1159,"Resuelta tarde","Resuelta a tiempo")),IF($X1159="","Sin clasificar",IF(TODAY()&gt;$X1159,"Vencida",IF(TODAY()&gt;=$X1159-1,"Por vencer","En plazo")))))</f>
        <v/>
      </c>
      <c r="AB1159" s="50" t="n"/>
      <c r="AC1159" s="50" t="n"/>
    </row>
    <row r="1160" ht="16" customHeight="1">
      <c r="A1160" s="28">
        <f>IF($B1160="","","N-"&amp;TEXT(ROW()-3,"0000"))</f>
        <v/>
      </c>
      <c r="B1160" s="47" t="n"/>
      <c r="C1160" s="48" t="n"/>
      <c r="D1160" s="48" t="n"/>
      <c r="E1160" s="28">
        <f>IF($C1160="","",IF($D1160="",IF($C1160="Interna","Sin guía (interna)","FALTA GUÍA"),IF(COUNTIFS(ENVIOS!$A$4:$A$3003,$D1160)=0,"NO EXISTE",IF(COUNTIFS(ENVIOS!$A$4:$A$3003,$D1160)&gt;1,"DUPLICADA","OK"))))</f>
        <v/>
      </c>
      <c r="F1160" s="28">
        <f>IF($D1160="","",IFERROR(INDEX(ENVIOS!$B$4:$B$3003,MATCH($D1160,ENVIOS!$A$4:$A$3003,0)),"—"))</f>
        <v/>
      </c>
      <c r="G1160" s="23">
        <f>IF($D1160="","",IFERROR(INDEX(ENVIOS!$D$4:$D$3003,MATCH($D1160,ENVIOS!$A$4:$A$3003,0)),"—"))</f>
        <v/>
      </c>
      <c r="H1160" s="23">
        <f>IF($D1160="","",IFERROR(INDEX(ENVIOS!$E$4:$E$3003,MATCH($D1160,ENVIOS!$A$4:$A$3003,0)),"—"))</f>
        <v/>
      </c>
      <c r="I1160" s="23">
        <f>IF($D1160="","",IFERROR(INDEX(ENVIOS!$F$4:$F$3003,MATCH($D1160,ENVIOS!$A$4:$A$3003,0)),"—"))</f>
        <v/>
      </c>
      <c r="J1160" s="23">
        <f>IF($D1160="","",IFERROR(INDEX(ENVIOS!$G$4:$G$3003,MATCH($D1160,ENVIOS!$A$4:$A$3003,0)),"—"))</f>
        <v/>
      </c>
      <c r="K1160" s="28">
        <f>IF($D1160="","",IFERROR(INDEX(ENVIOS!$H$4:$H$3003,MATCH($D1160,ENVIOS!$A$4:$A$3003,0)),"—"))</f>
        <v/>
      </c>
      <c r="L1160" s="49">
        <f>IF($D1160="","",IFERROR(INDEX(ENVIOS!$C$4:$C$3003,MATCH($D1160,ENVIOS!$A$4:$A$3003,0)),""))</f>
        <v/>
      </c>
      <c r="M1160" s="50" t="n"/>
      <c r="N1160" s="28">
        <f>IF($M1160="","",IFERROR(INDEX(CONFIG!$C$4:$C$63,MATCH($M1160,CONFIG!$A$4:$A$63,0)),"Media"))</f>
        <v/>
      </c>
      <c r="O1160" s="28">
        <f>IF($M1160="","",IF($C1160="Interna","NO",IFERROR(INDEX(CONFIG!$E$4:$E$63,MATCH($M1160,CONFIG!$A$4:$A$63,0)),"NO")))</f>
        <v/>
      </c>
      <c r="P1160" s="50" t="n"/>
      <c r="Q1160" s="50" t="n"/>
      <c r="R1160" s="28">
        <f>IF($Q1160="","",IFERROR(INDEX(CONFIG!$H$4:$H$63,MATCH($Q1160,CONFIG!$G$4:$G$63,0)),"Por definir"))</f>
        <v/>
      </c>
      <c r="S1160" s="28">
        <f>IF($Q1160="","",IFERROR(INDEX(CONFIG!$I$4:$I$63,MATCH($Q1160,CONFIG!$G$4:$G$63,0)),"Por definir"))</f>
        <v/>
      </c>
      <c r="T1160" s="51" t="n"/>
      <c r="U1160" s="52" t="n"/>
      <c r="V1160" s="50" t="n"/>
      <c r="W1160" s="50" t="n"/>
      <c r="X1160" s="49">
        <f>IF(OR($B1160="",$M1160=""),"",WORKDAY($B1160,IFERROR(INDEX(CONFIG!$D$4:$D$63,MATCH($M1160,CONFIG!$A$4:$A$63,0)),3)))</f>
        <v/>
      </c>
      <c r="Y1160" s="47" t="n"/>
      <c r="Z1160" s="24">
        <f>IF($B1160="","",IF($Y1160&lt;&gt;"",$Y1160-$B1160,TODAY()-$B1160))</f>
        <v/>
      </c>
      <c r="AA1160" s="28">
        <f>IF($B1160="","",IF(IFERROR(INDEX(CONFIG!$L$4:$L$63,MATCH($V1160,CONFIG!$K$4:$K$63,0)),"NO")="SÍ",IF(OR($Y1160="",$X1160=""),"Resuelta",IF($Y1160&gt;$X1160,"Resuelta tarde","Resuelta a tiempo")),IF($X1160="","Sin clasificar",IF(TODAY()&gt;$X1160,"Vencida",IF(TODAY()&gt;=$X1160-1,"Por vencer","En plazo")))))</f>
        <v/>
      </c>
      <c r="AB1160" s="50" t="n"/>
      <c r="AC1160" s="50" t="n"/>
    </row>
    <row r="1161" ht="16" customHeight="1">
      <c r="A1161" s="28">
        <f>IF($B1161="","","N-"&amp;TEXT(ROW()-3,"0000"))</f>
        <v/>
      </c>
      <c r="B1161" s="47" t="n"/>
      <c r="C1161" s="48" t="n"/>
      <c r="D1161" s="48" t="n"/>
      <c r="E1161" s="28">
        <f>IF($C1161="","",IF($D1161="",IF($C1161="Interna","Sin guía (interna)","FALTA GUÍA"),IF(COUNTIFS(ENVIOS!$A$4:$A$3003,$D1161)=0,"NO EXISTE",IF(COUNTIFS(ENVIOS!$A$4:$A$3003,$D1161)&gt;1,"DUPLICADA","OK"))))</f>
        <v/>
      </c>
      <c r="F1161" s="28">
        <f>IF($D1161="","",IFERROR(INDEX(ENVIOS!$B$4:$B$3003,MATCH($D1161,ENVIOS!$A$4:$A$3003,0)),"—"))</f>
        <v/>
      </c>
      <c r="G1161" s="23">
        <f>IF($D1161="","",IFERROR(INDEX(ENVIOS!$D$4:$D$3003,MATCH($D1161,ENVIOS!$A$4:$A$3003,0)),"—"))</f>
        <v/>
      </c>
      <c r="H1161" s="23">
        <f>IF($D1161="","",IFERROR(INDEX(ENVIOS!$E$4:$E$3003,MATCH($D1161,ENVIOS!$A$4:$A$3003,0)),"—"))</f>
        <v/>
      </c>
      <c r="I1161" s="23">
        <f>IF($D1161="","",IFERROR(INDEX(ENVIOS!$F$4:$F$3003,MATCH($D1161,ENVIOS!$A$4:$A$3003,0)),"—"))</f>
        <v/>
      </c>
      <c r="J1161" s="23">
        <f>IF($D1161="","",IFERROR(INDEX(ENVIOS!$G$4:$G$3003,MATCH($D1161,ENVIOS!$A$4:$A$3003,0)),"—"))</f>
        <v/>
      </c>
      <c r="K1161" s="28">
        <f>IF($D1161="","",IFERROR(INDEX(ENVIOS!$H$4:$H$3003,MATCH($D1161,ENVIOS!$A$4:$A$3003,0)),"—"))</f>
        <v/>
      </c>
      <c r="L1161" s="49">
        <f>IF($D1161="","",IFERROR(INDEX(ENVIOS!$C$4:$C$3003,MATCH($D1161,ENVIOS!$A$4:$A$3003,0)),""))</f>
        <v/>
      </c>
      <c r="M1161" s="50" t="n"/>
      <c r="N1161" s="28">
        <f>IF($M1161="","",IFERROR(INDEX(CONFIG!$C$4:$C$63,MATCH($M1161,CONFIG!$A$4:$A$63,0)),"Media"))</f>
        <v/>
      </c>
      <c r="O1161" s="28">
        <f>IF($M1161="","",IF($C1161="Interna","NO",IFERROR(INDEX(CONFIG!$E$4:$E$63,MATCH($M1161,CONFIG!$A$4:$A$63,0)),"NO")))</f>
        <v/>
      </c>
      <c r="P1161" s="50" t="n"/>
      <c r="Q1161" s="50" t="n"/>
      <c r="R1161" s="28">
        <f>IF($Q1161="","",IFERROR(INDEX(CONFIG!$H$4:$H$63,MATCH($Q1161,CONFIG!$G$4:$G$63,0)),"Por definir"))</f>
        <v/>
      </c>
      <c r="S1161" s="28">
        <f>IF($Q1161="","",IFERROR(INDEX(CONFIG!$I$4:$I$63,MATCH($Q1161,CONFIG!$G$4:$G$63,0)),"Por definir"))</f>
        <v/>
      </c>
      <c r="T1161" s="51" t="n"/>
      <c r="U1161" s="52" t="n"/>
      <c r="V1161" s="50" t="n"/>
      <c r="W1161" s="50" t="n"/>
      <c r="X1161" s="49">
        <f>IF(OR($B1161="",$M1161=""),"",WORKDAY($B1161,IFERROR(INDEX(CONFIG!$D$4:$D$63,MATCH($M1161,CONFIG!$A$4:$A$63,0)),3)))</f>
        <v/>
      </c>
      <c r="Y1161" s="47" t="n"/>
      <c r="Z1161" s="24">
        <f>IF($B1161="","",IF($Y1161&lt;&gt;"",$Y1161-$B1161,TODAY()-$B1161))</f>
        <v/>
      </c>
      <c r="AA1161" s="28">
        <f>IF($B1161="","",IF(IFERROR(INDEX(CONFIG!$L$4:$L$63,MATCH($V1161,CONFIG!$K$4:$K$63,0)),"NO")="SÍ",IF(OR($Y1161="",$X1161=""),"Resuelta",IF($Y1161&gt;$X1161,"Resuelta tarde","Resuelta a tiempo")),IF($X1161="","Sin clasificar",IF(TODAY()&gt;$X1161,"Vencida",IF(TODAY()&gt;=$X1161-1,"Por vencer","En plazo")))))</f>
        <v/>
      </c>
      <c r="AB1161" s="50" t="n"/>
      <c r="AC1161" s="50" t="n"/>
    </row>
    <row r="1162" ht="16" customHeight="1">
      <c r="A1162" s="28">
        <f>IF($B1162="","","N-"&amp;TEXT(ROW()-3,"0000"))</f>
        <v/>
      </c>
      <c r="B1162" s="47" t="n"/>
      <c r="C1162" s="48" t="n"/>
      <c r="D1162" s="48" t="n"/>
      <c r="E1162" s="28">
        <f>IF($C1162="","",IF($D1162="",IF($C1162="Interna","Sin guía (interna)","FALTA GUÍA"),IF(COUNTIFS(ENVIOS!$A$4:$A$3003,$D1162)=0,"NO EXISTE",IF(COUNTIFS(ENVIOS!$A$4:$A$3003,$D1162)&gt;1,"DUPLICADA","OK"))))</f>
        <v/>
      </c>
      <c r="F1162" s="28">
        <f>IF($D1162="","",IFERROR(INDEX(ENVIOS!$B$4:$B$3003,MATCH($D1162,ENVIOS!$A$4:$A$3003,0)),"—"))</f>
        <v/>
      </c>
      <c r="G1162" s="23">
        <f>IF($D1162="","",IFERROR(INDEX(ENVIOS!$D$4:$D$3003,MATCH($D1162,ENVIOS!$A$4:$A$3003,0)),"—"))</f>
        <v/>
      </c>
      <c r="H1162" s="23">
        <f>IF($D1162="","",IFERROR(INDEX(ENVIOS!$E$4:$E$3003,MATCH($D1162,ENVIOS!$A$4:$A$3003,0)),"—"))</f>
        <v/>
      </c>
      <c r="I1162" s="23">
        <f>IF($D1162="","",IFERROR(INDEX(ENVIOS!$F$4:$F$3003,MATCH($D1162,ENVIOS!$A$4:$A$3003,0)),"—"))</f>
        <v/>
      </c>
      <c r="J1162" s="23">
        <f>IF($D1162="","",IFERROR(INDEX(ENVIOS!$G$4:$G$3003,MATCH($D1162,ENVIOS!$A$4:$A$3003,0)),"—"))</f>
        <v/>
      </c>
      <c r="K1162" s="28">
        <f>IF($D1162="","",IFERROR(INDEX(ENVIOS!$H$4:$H$3003,MATCH($D1162,ENVIOS!$A$4:$A$3003,0)),"—"))</f>
        <v/>
      </c>
      <c r="L1162" s="49">
        <f>IF($D1162="","",IFERROR(INDEX(ENVIOS!$C$4:$C$3003,MATCH($D1162,ENVIOS!$A$4:$A$3003,0)),""))</f>
        <v/>
      </c>
      <c r="M1162" s="50" t="n"/>
      <c r="N1162" s="28">
        <f>IF($M1162="","",IFERROR(INDEX(CONFIG!$C$4:$C$63,MATCH($M1162,CONFIG!$A$4:$A$63,0)),"Media"))</f>
        <v/>
      </c>
      <c r="O1162" s="28">
        <f>IF($M1162="","",IF($C1162="Interna","NO",IFERROR(INDEX(CONFIG!$E$4:$E$63,MATCH($M1162,CONFIG!$A$4:$A$63,0)),"NO")))</f>
        <v/>
      </c>
      <c r="P1162" s="50" t="n"/>
      <c r="Q1162" s="50" t="n"/>
      <c r="R1162" s="28">
        <f>IF($Q1162="","",IFERROR(INDEX(CONFIG!$H$4:$H$63,MATCH($Q1162,CONFIG!$G$4:$G$63,0)),"Por definir"))</f>
        <v/>
      </c>
      <c r="S1162" s="28">
        <f>IF($Q1162="","",IFERROR(INDEX(CONFIG!$I$4:$I$63,MATCH($Q1162,CONFIG!$G$4:$G$63,0)),"Por definir"))</f>
        <v/>
      </c>
      <c r="T1162" s="51" t="n"/>
      <c r="U1162" s="52" t="n"/>
      <c r="V1162" s="50" t="n"/>
      <c r="W1162" s="50" t="n"/>
      <c r="X1162" s="49">
        <f>IF(OR($B1162="",$M1162=""),"",WORKDAY($B1162,IFERROR(INDEX(CONFIG!$D$4:$D$63,MATCH($M1162,CONFIG!$A$4:$A$63,0)),3)))</f>
        <v/>
      </c>
      <c r="Y1162" s="47" t="n"/>
      <c r="Z1162" s="24">
        <f>IF($B1162="","",IF($Y1162&lt;&gt;"",$Y1162-$B1162,TODAY()-$B1162))</f>
        <v/>
      </c>
      <c r="AA1162" s="28">
        <f>IF($B1162="","",IF(IFERROR(INDEX(CONFIG!$L$4:$L$63,MATCH($V1162,CONFIG!$K$4:$K$63,0)),"NO")="SÍ",IF(OR($Y1162="",$X1162=""),"Resuelta",IF($Y1162&gt;$X1162,"Resuelta tarde","Resuelta a tiempo")),IF($X1162="","Sin clasificar",IF(TODAY()&gt;$X1162,"Vencida",IF(TODAY()&gt;=$X1162-1,"Por vencer","En plazo")))))</f>
        <v/>
      </c>
      <c r="AB1162" s="50" t="n"/>
      <c r="AC1162" s="50" t="n"/>
    </row>
    <row r="1163" ht="16" customHeight="1">
      <c r="A1163" s="28">
        <f>IF($B1163="","","N-"&amp;TEXT(ROW()-3,"0000"))</f>
        <v/>
      </c>
      <c r="B1163" s="47" t="n"/>
      <c r="C1163" s="48" t="n"/>
      <c r="D1163" s="48" t="n"/>
      <c r="E1163" s="28">
        <f>IF($C1163="","",IF($D1163="",IF($C1163="Interna","Sin guía (interna)","FALTA GUÍA"),IF(COUNTIFS(ENVIOS!$A$4:$A$3003,$D1163)=0,"NO EXISTE",IF(COUNTIFS(ENVIOS!$A$4:$A$3003,$D1163)&gt;1,"DUPLICADA","OK"))))</f>
        <v/>
      </c>
      <c r="F1163" s="28">
        <f>IF($D1163="","",IFERROR(INDEX(ENVIOS!$B$4:$B$3003,MATCH($D1163,ENVIOS!$A$4:$A$3003,0)),"—"))</f>
        <v/>
      </c>
      <c r="G1163" s="23">
        <f>IF($D1163="","",IFERROR(INDEX(ENVIOS!$D$4:$D$3003,MATCH($D1163,ENVIOS!$A$4:$A$3003,0)),"—"))</f>
        <v/>
      </c>
      <c r="H1163" s="23">
        <f>IF($D1163="","",IFERROR(INDEX(ENVIOS!$E$4:$E$3003,MATCH($D1163,ENVIOS!$A$4:$A$3003,0)),"—"))</f>
        <v/>
      </c>
      <c r="I1163" s="23">
        <f>IF($D1163="","",IFERROR(INDEX(ENVIOS!$F$4:$F$3003,MATCH($D1163,ENVIOS!$A$4:$A$3003,0)),"—"))</f>
        <v/>
      </c>
      <c r="J1163" s="23">
        <f>IF($D1163="","",IFERROR(INDEX(ENVIOS!$G$4:$G$3003,MATCH($D1163,ENVIOS!$A$4:$A$3003,0)),"—"))</f>
        <v/>
      </c>
      <c r="K1163" s="28">
        <f>IF($D1163="","",IFERROR(INDEX(ENVIOS!$H$4:$H$3003,MATCH($D1163,ENVIOS!$A$4:$A$3003,0)),"—"))</f>
        <v/>
      </c>
      <c r="L1163" s="49">
        <f>IF($D1163="","",IFERROR(INDEX(ENVIOS!$C$4:$C$3003,MATCH($D1163,ENVIOS!$A$4:$A$3003,0)),""))</f>
        <v/>
      </c>
      <c r="M1163" s="50" t="n"/>
      <c r="N1163" s="28">
        <f>IF($M1163="","",IFERROR(INDEX(CONFIG!$C$4:$C$63,MATCH($M1163,CONFIG!$A$4:$A$63,0)),"Media"))</f>
        <v/>
      </c>
      <c r="O1163" s="28">
        <f>IF($M1163="","",IF($C1163="Interna","NO",IFERROR(INDEX(CONFIG!$E$4:$E$63,MATCH($M1163,CONFIG!$A$4:$A$63,0)),"NO")))</f>
        <v/>
      </c>
      <c r="P1163" s="50" t="n"/>
      <c r="Q1163" s="50" t="n"/>
      <c r="R1163" s="28">
        <f>IF($Q1163="","",IFERROR(INDEX(CONFIG!$H$4:$H$63,MATCH($Q1163,CONFIG!$G$4:$G$63,0)),"Por definir"))</f>
        <v/>
      </c>
      <c r="S1163" s="28">
        <f>IF($Q1163="","",IFERROR(INDEX(CONFIG!$I$4:$I$63,MATCH($Q1163,CONFIG!$G$4:$G$63,0)),"Por definir"))</f>
        <v/>
      </c>
      <c r="T1163" s="51" t="n"/>
      <c r="U1163" s="52" t="n"/>
      <c r="V1163" s="50" t="n"/>
      <c r="W1163" s="50" t="n"/>
      <c r="X1163" s="49">
        <f>IF(OR($B1163="",$M1163=""),"",WORKDAY($B1163,IFERROR(INDEX(CONFIG!$D$4:$D$63,MATCH($M1163,CONFIG!$A$4:$A$63,0)),3)))</f>
        <v/>
      </c>
      <c r="Y1163" s="47" t="n"/>
      <c r="Z1163" s="24">
        <f>IF($B1163="","",IF($Y1163&lt;&gt;"",$Y1163-$B1163,TODAY()-$B1163))</f>
        <v/>
      </c>
      <c r="AA1163" s="28">
        <f>IF($B1163="","",IF(IFERROR(INDEX(CONFIG!$L$4:$L$63,MATCH($V1163,CONFIG!$K$4:$K$63,0)),"NO")="SÍ",IF(OR($Y1163="",$X1163=""),"Resuelta",IF($Y1163&gt;$X1163,"Resuelta tarde","Resuelta a tiempo")),IF($X1163="","Sin clasificar",IF(TODAY()&gt;$X1163,"Vencida",IF(TODAY()&gt;=$X1163-1,"Por vencer","En plazo")))))</f>
        <v/>
      </c>
      <c r="AB1163" s="50" t="n"/>
      <c r="AC1163" s="50" t="n"/>
    </row>
    <row r="1164" ht="16" customHeight="1">
      <c r="A1164" s="28">
        <f>IF($B1164="","","N-"&amp;TEXT(ROW()-3,"0000"))</f>
        <v/>
      </c>
      <c r="B1164" s="47" t="n"/>
      <c r="C1164" s="48" t="n"/>
      <c r="D1164" s="48" t="n"/>
      <c r="E1164" s="28">
        <f>IF($C1164="","",IF($D1164="",IF($C1164="Interna","Sin guía (interna)","FALTA GUÍA"),IF(COUNTIFS(ENVIOS!$A$4:$A$3003,$D1164)=0,"NO EXISTE",IF(COUNTIFS(ENVIOS!$A$4:$A$3003,$D1164)&gt;1,"DUPLICADA","OK"))))</f>
        <v/>
      </c>
      <c r="F1164" s="28">
        <f>IF($D1164="","",IFERROR(INDEX(ENVIOS!$B$4:$B$3003,MATCH($D1164,ENVIOS!$A$4:$A$3003,0)),"—"))</f>
        <v/>
      </c>
      <c r="G1164" s="23">
        <f>IF($D1164="","",IFERROR(INDEX(ENVIOS!$D$4:$D$3003,MATCH($D1164,ENVIOS!$A$4:$A$3003,0)),"—"))</f>
        <v/>
      </c>
      <c r="H1164" s="23">
        <f>IF($D1164="","",IFERROR(INDEX(ENVIOS!$E$4:$E$3003,MATCH($D1164,ENVIOS!$A$4:$A$3003,0)),"—"))</f>
        <v/>
      </c>
      <c r="I1164" s="23">
        <f>IF($D1164="","",IFERROR(INDEX(ENVIOS!$F$4:$F$3003,MATCH($D1164,ENVIOS!$A$4:$A$3003,0)),"—"))</f>
        <v/>
      </c>
      <c r="J1164" s="23">
        <f>IF($D1164="","",IFERROR(INDEX(ENVIOS!$G$4:$G$3003,MATCH($D1164,ENVIOS!$A$4:$A$3003,0)),"—"))</f>
        <v/>
      </c>
      <c r="K1164" s="28">
        <f>IF($D1164="","",IFERROR(INDEX(ENVIOS!$H$4:$H$3003,MATCH($D1164,ENVIOS!$A$4:$A$3003,0)),"—"))</f>
        <v/>
      </c>
      <c r="L1164" s="49">
        <f>IF($D1164="","",IFERROR(INDEX(ENVIOS!$C$4:$C$3003,MATCH($D1164,ENVIOS!$A$4:$A$3003,0)),""))</f>
        <v/>
      </c>
      <c r="M1164" s="50" t="n"/>
      <c r="N1164" s="28">
        <f>IF($M1164="","",IFERROR(INDEX(CONFIG!$C$4:$C$63,MATCH($M1164,CONFIG!$A$4:$A$63,0)),"Media"))</f>
        <v/>
      </c>
      <c r="O1164" s="28">
        <f>IF($M1164="","",IF($C1164="Interna","NO",IFERROR(INDEX(CONFIG!$E$4:$E$63,MATCH($M1164,CONFIG!$A$4:$A$63,0)),"NO")))</f>
        <v/>
      </c>
      <c r="P1164" s="50" t="n"/>
      <c r="Q1164" s="50" t="n"/>
      <c r="R1164" s="28">
        <f>IF($Q1164="","",IFERROR(INDEX(CONFIG!$H$4:$H$63,MATCH($Q1164,CONFIG!$G$4:$G$63,0)),"Por definir"))</f>
        <v/>
      </c>
      <c r="S1164" s="28">
        <f>IF($Q1164="","",IFERROR(INDEX(CONFIG!$I$4:$I$63,MATCH($Q1164,CONFIG!$G$4:$G$63,0)),"Por definir"))</f>
        <v/>
      </c>
      <c r="T1164" s="51" t="n"/>
      <c r="U1164" s="52" t="n"/>
      <c r="V1164" s="50" t="n"/>
      <c r="W1164" s="50" t="n"/>
      <c r="X1164" s="49">
        <f>IF(OR($B1164="",$M1164=""),"",WORKDAY($B1164,IFERROR(INDEX(CONFIG!$D$4:$D$63,MATCH($M1164,CONFIG!$A$4:$A$63,0)),3)))</f>
        <v/>
      </c>
      <c r="Y1164" s="47" t="n"/>
      <c r="Z1164" s="24">
        <f>IF($B1164="","",IF($Y1164&lt;&gt;"",$Y1164-$B1164,TODAY()-$B1164))</f>
        <v/>
      </c>
      <c r="AA1164" s="28">
        <f>IF($B1164="","",IF(IFERROR(INDEX(CONFIG!$L$4:$L$63,MATCH($V1164,CONFIG!$K$4:$K$63,0)),"NO")="SÍ",IF(OR($Y1164="",$X1164=""),"Resuelta",IF($Y1164&gt;$X1164,"Resuelta tarde","Resuelta a tiempo")),IF($X1164="","Sin clasificar",IF(TODAY()&gt;$X1164,"Vencida",IF(TODAY()&gt;=$X1164-1,"Por vencer","En plazo")))))</f>
        <v/>
      </c>
      <c r="AB1164" s="50" t="n"/>
      <c r="AC1164" s="50" t="n"/>
    </row>
    <row r="1165" ht="16" customHeight="1">
      <c r="A1165" s="28">
        <f>IF($B1165="","","N-"&amp;TEXT(ROW()-3,"0000"))</f>
        <v/>
      </c>
      <c r="B1165" s="47" t="n"/>
      <c r="C1165" s="48" t="n"/>
      <c r="D1165" s="48" t="n"/>
      <c r="E1165" s="28">
        <f>IF($C1165="","",IF($D1165="",IF($C1165="Interna","Sin guía (interna)","FALTA GUÍA"),IF(COUNTIFS(ENVIOS!$A$4:$A$3003,$D1165)=0,"NO EXISTE",IF(COUNTIFS(ENVIOS!$A$4:$A$3003,$D1165)&gt;1,"DUPLICADA","OK"))))</f>
        <v/>
      </c>
      <c r="F1165" s="28">
        <f>IF($D1165="","",IFERROR(INDEX(ENVIOS!$B$4:$B$3003,MATCH($D1165,ENVIOS!$A$4:$A$3003,0)),"—"))</f>
        <v/>
      </c>
      <c r="G1165" s="23">
        <f>IF($D1165="","",IFERROR(INDEX(ENVIOS!$D$4:$D$3003,MATCH($D1165,ENVIOS!$A$4:$A$3003,0)),"—"))</f>
        <v/>
      </c>
      <c r="H1165" s="23">
        <f>IF($D1165="","",IFERROR(INDEX(ENVIOS!$E$4:$E$3003,MATCH($D1165,ENVIOS!$A$4:$A$3003,0)),"—"))</f>
        <v/>
      </c>
      <c r="I1165" s="23">
        <f>IF($D1165="","",IFERROR(INDEX(ENVIOS!$F$4:$F$3003,MATCH($D1165,ENVIOS!$A$4:$A$3003,0)),"—"))</f>
        <v/>
      </c>
      <c r="J1165" s="23">
        <f>IF($D1165="","",IFERROR(INDEX(ENVIOS!$G$4:$G$3003,MATCH($D1165,ENVIOS!$A$4:$A$3003,0)),"—"))</f>
        <v/>
      </c>
      <c r="K1165" s="28">
        <f>IF($D1165="","",IFERROR(INDEX(ENVIOS!$H$4:$H$3003,MATCH($D1165,ENVIOS!$A$4:$A$3003,0)),"—"))</f>
        <v/>
      </c>
      <c r="L1165" s="49">
        <f>IF($D1165="","",IFERROR(INDEX(ENVIOS!$C$4:$C$3003,MATCH($D1165,ENVIOS!$A$4:$A$3003,0)),""))</f>
        <v/>
      </c>
      <c r="M1165" s="50" t="n"/>
      <c r="N1165" s="28">
        <f>IF($M1165="","",IFERROR(INDEX(CONFIG!$C$4:$C$63,MATCH($M1165,CONFIG!$A$4:$A$63,0)),"Media"))</f>
        <v/>
      </c>
      <c r="O1165" s="28">
        <f>IF($M1165="","",IF($C1165="Interna","NO",IFERROR(INDEX(CONFIG!$E$4:$E$63,MATCH($M1165,CONFIG!$A$4:$A$63,0)),"NO")))</f>
        <v/>
      </c>
      <c r="P1165" s="50" t="n"/>
      <c r="Q1165" s="50" t="n"/>
      <c r="R1165" s="28">
        <f>IF($Q1165="","",IFERROR(INDEX(CONFIG!$H$4:$H$63,MATCH($Q1165,CONFIG!$G$4:$G$63,0)),"Por definir"))</f>
        <v/>
      </c>
      <c r="S1165" s="28">
        <f>IF($Q1165="","",IFERROR(INDEX(CONFIG!$I$4:$I$63,MATCH($Q1165,CONFIG!$G$4:$G$63,0)),"Por definir"))</f>
        <v/>
      </c>
      <c r="T1165" s="51" t="n"/>
      <c r="U1165" s="52" t="n"/>
      <c r="V1165" s="50" t="n"/>
      <c r="W1165" s="50" t="n"/>
      <c r="X1165" s="49">
        <f>IF(OR($B1165="",$M1165=""),"",WORKDAY($B1165,IFERROR(INDEX(CONFIG!$D$4:$D$63,MATCH($M1165,CONFIG!$A$4:$A$63,0)),3)))</f>
        <v/>
      </c>
      <c r="Y1165" s="47" t="n"/>
      <c r="Z1165" s="24">
        <f>IF($B1165="","",IF($Y1165&lt;&gt;"",$Y1165-$B1165,TODAY()-$B1165))</f>
        <v/>
      </c>
      <c r="AA1165" s="28">
        <f>IF($B1165="","",IF(IFERROR(INDEX(CONFIG!$L$4:$L$63,MATCH($V1165,CONFIG!$K$4:$K$63,0)),"NO")="SÍ",IF(OR($Y1165="",$X1165=""),"Resuelta",IF($Y1165&gt;$X1165,"Resuelta tarde","Resuelta a tiempo")),IF($X1165="","Sin clasificar",IF(TODAY()&gt;$X1165,"Vencida",IF(TODAY()&gt;=$X1165-1,"Por vencer","En plazo")))))</f>
        <v/>
      </c>
      <c r="AB1165" s="50" t="n"/>
      <c r="AC1165" s="50" t="n"/>
    </row>
    <row r="1166" ht="16" customHeight="1">
      <c r="A1166" s="28">
        <f>IF($B1166="","","N-"&amp;TEXT(ROW()-3,"0000"))</f>
        <v/>
      </c>
      <c r="B1166" s="47" t="n"/>
      <c r="C1166" s="48" t="n"/>
      <c r="D1166" s="48" t="n"/>
      <c r="E1166" s="28">
        <f>IF($C1166="","",IF($D1166="",IF($C1166="Interna","Sin guía (interna)","FALTA GUÍA"),IF(COUNTIFS(ENVIOS!$A$4:$A$3003,$D1166)=0,"NO EXISTE",IF(COUNTIFS(ENVIOS!$A$4:$A$3003,$D1166)&gt;1,"DUPLICADA","OK"))))</f>
        <v/>
      </c>
      <c r="F1166" s="28">
        <f>IF($D1166="","",IFERROR(INDEX(ENVIOS!$B$4:$B$3003,MATCH($D1166,ENVIOS!$A$4:$A$3003,0)),"—"))</f>
        <v/>
      </c>
      <c r="G1166" s="23">
        <f>IF($D1166="","",IFERROR(INDEX(ENVIOS!$D$4:$D$3003,MATCH($D1166,ENVIOS!$A$4:$A$3003,0)),"—"))</f>
        <v/>
      </c>
      <c r="H1166" s="23">
        <f>IF($D1166="","",IFERROR(INDEX(ENVIOS!$E$4:$E$3003,MATCH($D1166,ENVIOS!$A$4:$A$3003,0)),"—"))</f>
        <v/>
      </c>
      <c r="I1166" s="23">
        <f>IF($D1166="","",IFERROR(INDEX(ENVIOS!$F$4:$F$3003,MATCH($D1166,ENVIOS!$A$4:$A$3003,0)),"—"))</f>
        <v/>
      </c>
      <c r="J1166" s="23">
        <f>IF($D1166="","",IFERROR(INDEX(ENVIOS!$G$4:$G$3003,MATCH($D1166,ENVIOS!$A$4:$A$3003,0)),"—"))</f>
        <v/>
      </c>
      <c r="K1166" s="28">
        <f>IF($D1166="","",IFERROR(INDEX(ENVIOS!$H$4:$H$3003,MATCH($D1166,ENVIOS!$A$4:$A$3003,0)),"—"))</f>
        <v/>
      </c>
      <c r="L1166" s="49">
        <f>IF($D1166="","",IFERROR(INDEX(ENVIOS!$C$4:$C$3003,MATCH($D1166,ENVIOS!$A$4:$A$3003,0)),""))</f>
        <v/>
      </c>
      <c r="M1166" s="50" t="n"/>
      <c r="N1166" s="28">
        <f>IF($M1166="","",IFERROR(INDEX(CONFIG!$C$4:$C$63,MATCH($M1166,CONFIG!$A$4:$A$63,0)),"Media"))</f>
        <v/>
      </c>
      <c r="O1166" s="28">
        <f>IF($M1166="","",IF($C1166="Interna","NO",IFERROR(INDEX(CONFIG!$E$4:$E$63,MATCH($M1166,CONFIG!$A$4:$A$63,0)),"NO")))</f>
        <v/>
      </c>
      <c r="P1166" s="50" t="n"/>
      <c r="Q1166" s="50" t="n"/>
      <c r="R1166" s="28">
        <f>IF($Q1166="","",IFERROR(INDEX(CONFIG!$H$4:$H$63,MATCH($Q1166,CONFIG!$G$4:$G$63,0)),"Por definir"))</f>
        <v/>
      </c>
      <c r="S1166" s="28">
        <f>IF($Q1166="","",IFERROR(INDEX(CONFIG!$I$4:$I$63,MATCH($Q1166,CONFIG!$G$4:$G$63,0)),"Por definir"))</f>
        <v/>
      </c>
      <c r="T1166" s="51" t="n"/>
      <c r="U1166" s="52" t="n"/>
      <c r="V1166" s="50" t="n"/>
      <c r="W1166" s="50" t="n"/>
      <c r="X1166" s="49">
        <f>IF(OR($B1166="",$M1166=""),"",WORKDAY($B1166,IFERROR(INDEX(CONFIG!$D$4:$D$63,MATCH($M1166,CONFIG!$A$4:$A$63,0)),3)))</f>
        <v/>
      </c>
      <c r="Y1166" s="47" t="n"/>
      <c r="Z1166" s="24">
        <f>IF($B1166="","",IF($Y1166&lt;&gt;"",$Y1166-$B1166,TODAY()-$B1166))</f>
        <v/>
      </c>
      <c r="AA1166" s="28">
        <f>IF($B1166="","",IF(IFERROR(INDEX(CONFIG!$L$4:$L$63,MATCH($V1166,CONFIG!$K$4:$K$63,0)),"NO")="SÍ",IF(OR($Y1166="",$X1166=""),"Resuelta",IF($Y1166&gt;$X1166,"Resuelta tarde","Resuelta a tiempo")),IF($X1166="","Sin clasificar",IF(TODAY()&gt;$X1166,"Vencida",IF(TODAY()&gt;=$X1166-1,"Por vencer","En plazo")))))</f>
        <v/>
      </c>
      <c r="AB1166" s="50" t="n"/>
      <c r="AC1166" s="50" t="n"/>
    </row>
    <row r="1167" ht="16" customHeight="1">
      <c r="A1167" s="28">
        <f>IF($B1167="","","N-"&amp;TEXT(ROW()-3,"0000"))</f>
        <v/>
      </c>
      <c r="B1167" s="47" t="n"/>
      <c r="C1167" s="48" t="n"/>
      <c r="D1167" s="48" t="n"/>
      <c r="E1167" s="28">
        <f>IF($C1167="","",IF($D1167="",IF($C1167="Interna","Sin guía (interna)","FALTA GUÍA"),IF(COUNTIFS(ENVIOS!$A$4:$A$3003,$D1167)=0,"NO EXISTE",IF(COUNTIFS(ENVIOS!$A$4:$A$3003,$D1167)&gt;1,"DUPLICADA","OK"))))</f>
        <v/>
      </c>
      <c r="F1167" s="28">
        <f>IF($D1167="","",IFERROR(INDEX(ENVIOS!$B$4:$B$3003,MATCH($D1167,ENVIOS!$A$4:$A$3003,0)),"—"))</f>
        <v/>
      </c>
      <c r="G1167" s="23">
        <f>IF($D1167="","",IFERROR(INDEX(ENVIOS!$D$4:$D$3003,MATCH($D1167,ENVIOS!$A$4:$A$3003,0)),"—"))</f>
        <v/>
      </c>
      <c r="H1167" s="23">
        <f>IF($D1167="","",IFERROR(INDEX(ENVIOS!$E$4:$E$3003,MATCH($D1167,ENVIOS!$A$4:$A$3003,0)),"—"))</f>
        <v/>
      </c>
      <c r="I1167" s="23">
        <f>IF($D1167="","",IFERROR(INDEX(ENVIOS!$F$4:$F$3003,MATCH($D1167,ENVIOS!$A$4:$A$3003,0)),"—"))</f>
        <v/>
      </c>
      <c r="J1167" s="23">
        <f>IF($D1167="","",IFERROR(INDEX(ENVIOS!$G$4:$G$3003,MATCH($D1167,ENVIOS!$A$4:$A$3003,0)),"—"))</f>
        <v/>
      </c>
      <c r="K1167" s="28">
        <f>IF($D1167="","",IFERROR(INDEX(ENVIOS!$H$4:$H$3003,MATCH($D1167,ENVIOS!$A$4:$A$3003,0)),"—"))</f>
        <v/>
      </c>
      <c r="L1167" s="49">
        <f>IF($D1167="","",IFERROR(INDEX(ENVIOS!$C$4:$C$3003,MATCH($D1167,ENVIOS!$A$4:$A$3003,0)),""))</f>
        <v/>
      </c>
      <c r="M1167" s="50" t="n"/>
      <c r="N1167" s="28">
        <f>IF($M1167="","",IFERROR(INDEX(CONFIG!$C$4:$C$63,MATCH($M1167,CONFIG!$A$4:$A$63,0)),"Media"))</f>
        <v/>
      </c>
      <c r="O1167" s="28">
        <f>IF($M1167="","",IF($C1167="Interna","NO",IFERROR(INDEX(CONFIG!$E$4:$E$63,MATCH($M1167,CONFIG!$A$4:$A$63,0)),"NO")))</f>
        <v/>
      </c>
      <c r="P1167" s="50" t="n"/>
      <c r="Q1167" s="50" t="n"/>
      <c r="R1167" s="28">
        <f>IF($Q1167="","",IFERROR(INDEX(CONFIG!$H$4:$H$63,MATCH($Q1167,CONFIG!$G$4:$G$63,0)),"Por definir"))</f>
        <v/>
      </c>
      <c r="S1167" s="28">
        <f>IF($Q1167="","",IFERROR(INDEX(CONFIG!$I$4:$I$63,MATCH($Q1167,CONFIG!$G$4:$G$63,0)),"Por definir"))</f>
        <v/>
      </c>
      <c r="T1167" s="51" t="n"/>
      <c r="U1167" s="52" t="n"/>
      <c r="V1167" s="50" t="n"/>
      <c r="W1167" s="50" t="n"/>
      <c r="X1167" s="49">
        <f>IF(OR($B1167="",$M1167=""),"",WORKDAY($B1167,IFERROR(INDEX(CONFIG!$D$4:$D$63,MATCH($M1167,CONFIG!$A$4:$A$63,0)),3)))</f>
        <v/>
      </c>
      <c r="Y1167" s="47" t="n"/>
      <c r="Z1167" s="24">
        <f>IF($B1167="","",IF($Y1167&lt;&gt;"",$Y1167-$B1167,TODAY()-$B1167))</f>
        <v/>
      </c>
      <c r="AA1167" s="28">
        <f>IF($B1167="","",IF(IFERROR(INDEX(CONFIG!$L$4:$L$63,MATCH($V1167,CONFIG!$K$4:$K$63,0)),"NO")="SÍ",IF(OR($Y1167="",$X1167=""),"Resuelta",IF($Y1167&gt;$X1167,"Resuelta tarde","Resuelta a tiempo")),IF($X1167="","Sin clasificar",IF(TODAY()&gt;$X1167,"Vencida",IF(TODAY()&gt;=$X1167-1,"Por vencer","En plazo")))))</f>
        <v/>
      </c>
      <c r="AB1167" s="50" t="n"/>
      <c r="AC1167" s="50" t="n"/>
    </row>
    <row r="1168" ht="16" customHeight="1">
      <c r="A1168" s="28">
        <f>IF($B1168="","","N-"&amp;TEXT(ROW()-3,"0000"))</f>
        <v/>
      </c>
      <c r="B1168" s="47" t="n"/>
      <c r="C1168" s="48" t="n"/>
      <c r="D1168" s="48" t="n"/>
      <c r="E1168" s="28">
        <f>IF($C1168="","",IF($D1168="",IF($C1168="Interna","Sin guía (interna)","FALTA GUÍA"),IF(COUNTIFS(ENVIOS!$A$4:$A$3003,$D1168)=0,"NO EXISTE",IF(COUNTIFS(ENVIOS!$A$4:$A$3003,$D1168)&gt;1,"DUPLICADA","OK"))))</f>
        <v/>
      </c>
      <c r="F1168" s="28">
        <f>IF($D1168="","",IFERROR(INDEX(ENVIOS!$B$4:$B$3003,MATCH($D1168,ENVIOS!$A$4:$A$3003,0)),"—"))</f>
        <v/>
      </c>
      <c r="G1168" s="23">
        <f>IF($D1168="","",IFERROR(INDEX(ENVIOS!$D$4:$D$3003,MATCH($D1168,ENVIOS!$A$4:$A$3003,0)),"—"))</f>
        <v/>
      </c>
      <c r="H1168" s="23">
        <f>IF($D1168="","",IFERROR(INDEX(ENVIOS!$E$4:$E$3003,MATCH($D1168,ENVIOS!$A$4:$A$3003,0)),"—"))</f>
        <v/>
      </c>
      <c r="I1168" s="23">
        <f>IF($D1168="","",IFERROR(INDEX(ENVIOS!$F$4:$F$3003,MATCH($D1168,ENVIOS!$A$4:$A$3003,0)),"—"))</f>
        <v/>
      </c>
      <c r="J1168" s="23">
        <f>IF($D1168="","",IFERROR(INDEX(ENVIOS!$G$4:$G$3003,MATCH($D1168,ENVIOS!$A$4:$A$3003,0)),"—"))</f>
        <v/>
      </c>
      <c r="K1168" s="28">
        <f>IF($D1168="","",IFERROR(INDEX(ENVIOS!$H$4:$H$3003,MATCH($D1168,ENVIOS!$A$4:$A$3003,0)),"—"))</f>
        <v/>
      </c>
      <c r="L1168" s="49">
        <f>IF($D1168="","",IFERROR(INDEX(ENVIOS!$C$4:$C$3003,MATCH($D1168,ENVIOS!$A$4:$A$3003,0)),""))</f>
        <v/>
      </c>
      <c r="M1168" s="50" t="n"/>
      <c r="N1168" s="28">
        <f>IF($M1168="","",IFERROR(INDEX(CONFIG!$C$4:$C$63,MATCH($M1168,CONFIG!$A$4:$A$63,0)),"Media"))</f>
        <v/>
      </c>
      <c r="O1168" s="28">
        <f>IF($M1168="","",IF($C1168="Interna","NO",IFERROR(INDEX(CONFIG!$E$4:$E$63,MATCH($M1168,CONFIG!$A$4:$A$63,0)),"NO")))</f>
        <v/>
      </c>
      <c r="P1168" s="50" t="n"/>
      <c r="Q1168" s="50" t="n"/>
      <c r="R1168" s="28">
        <f>IF($Q1168="","",IFERROR(INDEX(CONFIG!$H$4:$H$63,MATCH($Q1168,CONFIG!$G$4:$G$63,0)),"Por definir"))</f>
        <v/>
      </c>
      <c r="S1168" s="28">
        <f>IF($Q1168="","",IFERROR(INDEX(CONFIG!$I$4:$I$63,MATCH($Q1168,CONFIG!$G$4:$G$63,0)),"Por definir"))</f>
        <v/>
      </c>
      <c r="T1168" s="51" t="n"/>
      <c r="U1168" s="52" t="n"/>
      <c r="V1168" s="50" t="n"/>
      <c r="W1168" s="50" t="n"/>
      <c r="X1168" s="49">
        <f>IF(OR($B1168="",$M1168=""),"",WORKDAY($B1168,IFERROR(INDEX(CONFIG!$D$4:$D$63,MATCH($M1168,CONFIG!$A$4:$A$63,0)),3)))</f>
        <v/>
      </c>
      <c r="Y1168" s="47" t="n"/>
      <c r="Z1168" s="24">
        <f>IF($B1168="","",IF($Y1168&lt;&gt;"",$Y1168-$B1168,TODAY()-$B1168))</f>
        <v/>
      </c>
      <c r="AA1168" s="28">
        <f>IF($B1168="","",IF(IFERROR(INDEX(CONFIG!$L$4:$L$63,MATCH($V1168,CONFIG!$K$4:$K$63,0)),"NO")="SÍ",IF(OR($Y1168="",$X1168=""),"Resuelta",IF($Y1168&gt;$X1168,"Resuelta tarde","Resuelta a tiempo")),IF($X1168="","Sin clasificar",IF(TODAY()&gt;$X1168,"Vencida",IF(TODAY()&gt;=$X1168-1,"Por vencer","En plazo")))))</f>
        <v/>
      </c>
      <c r="AB1168" s="50" t="n"/>
      <c r="AC1168" s="50" t="n"/>
    </row>
    <row r="1169" ht="16" customHeight="1">
      <c r="A1169" s="28">
        <f>IF($B1169="","","N-"&amp;TEXT(ROW()-3,"0000"))</f>
        <v/>
      </c>
      <c r="B1169" s="47" t="n"/>
      <c r="C1169" s="48" t="n"/>
      <c r="D1169" s="48" t="n"/>
      <c r="E1169" s="28">
        <f>IF($C1169="","",IF($D1169="",IF($C1169="Interna","Sin guía (interna)","FALTA GUÍA"),IF(COUNTIFS(ENVIOS!$A$4:$A$3003,$D1169)=0,"NO EXISTE",IF(COUNTIFS(ENVIOS!$A$4:$A$3003,$D1169)&gt;1,"DUPLICADA","OK"))))</f>
        <v/>
      </c>
      <c r="F1169" s="28">
        <f>IF($D1169="","",IFERROR(INDEX(ENVIOS!$B$4:$B$3003,MATCH($D1169,ENVIOS!$A$4:$A$3003,0)),"—"))</f>
        <v/>
      </c>
      <c r="G1169" s="23">
        <f>IF($D1169="","",IFERROR(INDEX(ENVIOS!$D$4:$D$3003,MATCH($D1169,ENVIOS!$A$4:$A$3003,0)),"—"))</f>
        <v/>
      </c>
      <c r="H1169" s="23">
        <f>IF($D1169="","",IFERROR(INDEX(ENVIOS!$E$4:$E$3003,MATCH($D1169,ENVIOS!$A$4:$A$3003,0)),"—"))</f>
        <v/>
      </c>
      <c r="I1169" s="23">
        <f>IF($D1169="","",IFERROR(INDEX(ENVIOS!$F$4:$F$3003,MATCH($D1169,ENVIOS!$A$4:$A$3003,0)),"—"))</f>
        <v/>
      </c>
      <c r="J1169" s="23">
        <f>IF($D1169="","",IFERROR(INDEX(ENVIOS!$G$4:$G$3003,MATCH($D1169,ENVIOS!$A$4:$A$3003,0)),"—"))</f>
        <v/>
      </c>
      <c r="K1169" s="28">
        <f>IF($D1169="","",IFERROR(INDEX(ENVIOS!$H$4:$H$3003,MATCH($D1169,ENVIOS!$A$4:$A$3003,0)),"—"))</f>
        <v/>
      </c>
      <c r="L1169" s="49">
        <f>IF($D1169="","",IFERROR(INDEX(ENVIOS!$C$4:$C$3003,MATCH($D1169,ENVIOS!$A$4:$A$3003,0)),""))</f>
        <v/>
      </c>
      <c r="M1169" s="50" t="n"/>
      <c r="N1169" s="28">
        <f>IF($M1169="","",IFERROR(INDEX(CONFIG!$C$4:$C$63,MATCH($M1169,CONFIG!$A$4:$A$63,0)),"Media"))</f>
        <v/>
      </c>
      <c r="O1169" s="28">
        <f>IF($M1169="","",IF($C1169="Interna","NO",IFERROR(INDEX(CONFIG!$E$4:$E$63,MATCH($M1169,CONFIG!$A$4:$A$63,0)),"NO")))</f>
        <v/>
      </c>
      <c r="P1169" s="50" t="n"/>
      <c r="Q1169" s="50" t="n"/>
      <c r="R1169" s="28">
        <f>IF($Q1169="","",IFERROR(INDEX(CONFIG!$H$4:$H$63,MATCH($Q1169,CONFIG!$G$4:$G$63,0)),"Por definir"))</f>
        <v/>
      </c>
      <c r="S1169" s="28">
        <f>IF($Q1169="","",IFERROR(INDEX(CONFIG!$I$4:$I$63,MATCH($Q1169,CONFIG!$G$4:$G$63,0)),"Por definir"))</f>
        <v/>
      </c>
      <c r="T1169" s="51" t="n"/>
      <c r="U1169" s="52" t="n"/>
      <c r="V1169" s="50" t="n"/>
      <c r="W1169" s="50" t="n"/>
      <c r="X1169" s="49">
        <f>IF(OR($B1169="",$M1169=""),"",WORKDAY($B1169,IFERROR(INDEX(CONFIG!$D$4:$D$63,MATCH($M1169,CONFIG!$A$4:$A$63,0)),3)))</f>
        <v/>
      </c>
      <c r="Y1169" s="47" t="n"/>
      <c r="Z1169" s="24">
        <f>IF($B1169="","",IF($Y1169&lt;&gt;"",$Y1169-$B1169,TODAY()-$B1169))</f>
        <v/>
      </c>
      <c r="AA1169" s="28">
        <f>IF($B1169="","",IF(IFERROR(INDEX(CONFIG!$L$4:$L$63,MATCH($V1169,CONFIG!$K$4:$K$63,0)),"NO")="SÍ",IF(OR($Y1169="",$X1169=""),"Resuelta",IF($Y1169&gt;$X1169,"Resuelta tarde","Resuelta a tiempo")),IF($X1169="","Sin clasificar",IF(TODAY()&gt;$X1169,"Vencida",IF(TODAY()&gt;=$X1169-1,"Por vencer","En plazo")))))</f>
        <v/>
      </c>
      <c r="AB1169" s="50" t="n"/>
      <c r="AC1169" s="50" t="n"/>
    </row>
    <row r="1170" ht="16" customHeight="1">
      <c r="A1170" s="28">
        <f>IF($B1170="","","N-"&amp;TEXT(ROW()-3,"0000"))</f>
        <v/>
      </c>
      <c r="B1170" s="47" t="n"/>
      <c r="C1170" s="48" t="n"/>
      <c r="D1170" s="48" t="n"/>
      <c r="E1170" s="28">
        <f>IF($C1170="","",IF($D1170="",IF($C1170="Interna","Sin guía (interna)","FALTA GUÍA"),IF(COUNTIFS(ENVIOS!$A$4:$A$3003,$D1170)=0,"NO EXISTE",IF(COUNTIFS(ENVIOS!$A$4:$A$3003,$D1170)&gt;1,"DUPLICADA","OK"))))</f>
        <v/>
      </c>
      <c r="F1170" s="28">
        <f>IF($D1170="","",IFERROR(INDEX(ENVIOS!$B$4:$B$3003,MATCH($D1170,ENVIOS!$A$4:$A$3003,0)),"—"))</f>
        <v/>
      </c>
      <c r="G1170" s="23">
        <f>IF($D1170="","",IFERROR(INDEX(ENVIOS!$D$4:$D$3003,MATCH($D1170,ENVIOS!$A$4:$A$3003,0)),"—"))</f>
        <v/>
      </c>
      <c r="H1170" s="23">
        <f>IF($D1170="","",IFERROR(INDEX(ENVIOS!$E$4:$E$3003,MATCH($D1170,ENVIOS!$A$4:$A$3003,0)),"—"))</f>
        <v/>
      </c>
      <c r="I1170" s="23">
        <f>IF($D1170="","",IFERROR(INDEX(ENVIOS!$F$4:$F$3003,MATCH($D1170,ENVIOS!$A$4:$A$3003,0)),"—"))</f>
        <v/>
      </c>
      <c r="J1170" s="23">
        <f>IF($D1170="","",IFERROR(INDEX(ENVIOS!$G$4:$G$3003,MATCH($D1170,ENVIOS!$A$4:$A$3003,0)),"—"))</f>
        <v/>
      </c>
      <c r="K1170" s="28">
        <f>IF($D1170="","",IFERROR(INDEX(ENVIOS!$H$4:$H$3003,MATCH($D1170,ENVIOS!$A$4:$A$3003,0)),"—"))</f>
        <v/>
      </c>
      <c r="L1170" s="49">
        <f>IF($D1170="","",IFERROR(INDEX(ENVIOS!$C$4:$C$3003,MATCH($D1170,ENVIOS!$A$4:$A$3003,0)),""))</f>
        <v/>
      </c>
      <c r="M1170" s="50" t="n"/>
      <c r="N1170" s="28">
        <f>IF($M1170="","",IFERROR(INDEX(CONFIG!$C$4:$C$63,MATCH($M1170,CONFIG!$A$4:$A$63,0)),"Media"))</f>
        <v/>
      </c>
      <c r="O1170" s="28">
        <f>IF($M1170="","",IF($C1170="Interna","NO",IFERROR(INDEX(CONFIG!$E$4:$E$63,MATCH($M1170,CONFIG!$A$4:$A$63,0)),"NO")))</f>
        <v/>
      </c>
      <c r="P1170" s="50" t="n"/>
      <c r="Q1170" s="50" t="n"/>
      <c r="R1170" s="28">
        <f>IF($Q1170="","",IFERROR(INDEX(CONFIG!$H$4:$H$63,MATCH($Q1170,CONFIG!$G$4:$G$63,0)),"Por definir"))</f>
        <v/>
      </c>
      <c r="S1170" s="28">
        <f>IF($Q1170="","",IFERROR(INDEX(CONFIG!$I$4:$I$63,MATCH($Q1170,CONFIG!$G$4:$G$63,0)),"Por definir"))</f>
        <v/>
      </c>
      <c r="T1170" s="51" t="n"/>
      <c r="U1170" s="52" t="n"/>
      <c r="V1170" s="50" t="n"/>
      <c r="W1170" s="50" t="n"/>
      <c r="X1170" s="49">
        <f>IF(OR($B1170="",$M1170=""),"",WORKDAY($B1170,IFERROR(INDEX(CONFIG!$D$4:$D$63,MATCH($M1170,CONFIG!$A$4:$A$63,0)),3)))</f>
        <v/>
      </c>
      <c r="Y1170" s="47" t="n"/>
      <c r="Z1170" s="24">
        <f>IF($B1170="","",IF($Y1170&lt;&gt;"",$Y1170-$B1170,TODAY()-$B1170))</f>
        <v/>
      </c>
      <c r="AA1170" s="28">
        <f>IF($B1170="","",IF(IFERROR(INDEX(CONFIG!$L$4:$L$63,MATCH($V1170,CONFIG!$K$4:$K$63,0)),"NO")="SÍ",IF(OR($Y1170="",$X1170=""),"Resuelta",IF($Y1170&gt;$X1170,"Resuelta tarde","Resuelta a tiempo")),IF($X1170="","Sin clasificar",IF(TODAY()&gt;$X1170,"Vencida",IF(TODAY()&gt;=$X1170-1,"Por vencer","En plazo")))))</f>
        <v/>
      </c>
      <c r="AB1170" s="50" t="n"/>
      <c r="AC1170" s="50" t="n"/>
    </row>
    <row r="1171" ht="16" customHeight="1">
      <c r="A1171" s="28">
        <f>IF($B1171="","","N-"&amp;TEXT(ROW()-3,"0000"))</f>
        <v/>
      </c>
      <c r="B1171" s="47" t="n"/>
      <c r="C1171" s="48" t="n"/>
      <c r="D1171" s="48" t="n"/>
      <c r="E1171" s="28">
        <f>IF($C1171="","",IF($D1171="",IF($C1171="Interna","Sin guía (interna)","FALTA GUÍA"),IF(COUNTIFS(ENVIOS!$A$4:$A$3003,$D1171)=0,"NO EXISTE",IF(COUNTIFS(ENVIOS!$A$4:$A$3003,$D1171)&gt;1,"DUPLICADA","OK"))))</f>
        <v/>
      </c>
      <c r="F1171" s="28">
        <f>IF($D1171="","",IFERROR(INDEX(ENVIOS!$B$4:$B$3003,MATCH($D1171,ENVIOS!$A$4:$A$3003,0)),"—"))</f>
        <v/>
      </c>
      <c r="G1171" s="23">
        <f>IF($D1171="","",IFERROR(INDEX(ENVIOS!$D$4:$D$3003,MATCH($D1171,ENVIOS!$A$4:$A$3003,0)),"—"))</f>
        <v/>
      </c>
      <c r="H1171" s="23">
        <f>IF($D1171="","",IFERROR(INDEX(ENVIOS!$E$4:$E$3003,MATCH($D1171,ENVIOS!$A$4:$A$3003,0)),"—"))</f>
        <v/>
      </c>
      <c r="I1171" s="23">
        <f>IF($D1171="","",IFERROR(INDEX(ENVIOS!$F$4:$F$3003,MATCH($D1171,ENVIOS!$A$4:$A$3003,0)),"—"))</f>
        <v/>
      </c>
      <c r="J1171" s="23">
        <f>IF($D1171="","",IFERROR(INDEX(ENVIOS!$G$4:$G$3003,MATCH($D1171,ENVIOS!$A$4:$A$3003,0)),"—"))</f>
        <v/>
      </c>
      <c r="K1171" s="28">
        <f>IF($D1171="","",IFERROR(INDEX(ENVIOS!$H$4:$H$3003,MATCH($D1171,ENVIOS!$A$4:$A$3003,0)),"—"))</f>
        <v/>
      </c>
      <c r="L1171" s="49">
        <f>IF($D1171="","",IFERROR(INDEX(ENVIOS!$C$4:$C$3003,MATCH($D1171,ENVIOS!$A$4:$A$3003,0)),""))</f>
        <v/>
      </c>
      <c r="M1171" s="50" t="n"/>
      <c r="N1171" s="28">
        <f>IF($M1171="","",IFERROR(INDEX(CONFIG!$C$4:$C$63,MATCH($M1171,CONFIG!$A$4:$A$63,0)),"Media"))</f>
        <v/>
      </c>
      <c r="O1171" s="28">
        <f>IF($M1171="","",IF($C1171="Interna","NO",IFERROR(INDEX(CONFIG!$E$4:$E$63,MATCH($M1171,CONFIG!$A$4:$A$63,0)),"NO")))</f>
        <v/>
      </c>
      <c r="P1171" s="50" t="n"/>
      <c r="Q1171" s="50" t="n"/>
      <c r="R1171" s="28">
        <f>IF($Q1171="","",IFERROR(INDEX(CONFIG!$H$4:$H$63,MATCH($Q1171,CONFIG!$G$4:$G$63,0)),"Por definir"))</f>
        <v/>
      </c>
      <c r="S1171" s="28">
        <f>IF($Q1171="","",IFERROR(INDEX(CONFIG!$I$4:$I$63,MATCH($Q1171,CONFIG!$G$4:$G$63,0)),"Por definir"))</f>
        <v/>
      </c>
      <c r="T1171" s="51" t="n"/>
      <c r="U1171" s="52" t="n"/>
      <c r="V1171" s="50" t="n"/>
      <c r="W1171" s="50" t="n"/>
      <c r="X1171" s="49">
        <f>IF(OR($B1171="",$M1171=""),"",WORKDAY($B1171,IFERROR(INDEX(CONFIG!$D$4:$D$63,MATCH($M1171,CONFIG!$A$4:$A$63,0)),3)))</f>
        <v/>
      </c>
      <c r="Y1171" s="47" t="n"/>
      <c r="Z1171" s="24">
        <f>IF($B1171="","",IF($Y1171&lt;&gt;"",$Y1171-$B1171,TODAY()-$B1171))</f>
        <v/>
      </c>
      <c r="AA1171" s="28">
        <f>IF($B1171="","",IF(IFERROR(INDEX(CONFIG!$L$4:$L$63,MATCH($V1171,CONFIG!$K$4:$K$63,0)),"NO")="SÍ",IF(OR($Y1171="",$X1171=""),"Resuelta",IF($Y1171&gt;$X1171,"Resuelta tarde","Resuelta a tiempo")),IF($X1171="","Sin clasificar",IF(TODAY()&gt;$X1171,"Vencida",IF(TODAY()&gt;=$X1171-1,"Por vencer","En plazo")))))</f>
        <v/>
      </c>
      <c r="AB1171" s="50" t="n"/>
      <c r="AC1171" s="50" t="n"/>
    </row>
    <row r="1172" ht="16" customHeight="1">
      <c r="A1172" s="28">
        <f>IF($B1172="","","N-"&amp;TEXT(ROW()-3,"0000"))</f>
        <v/>
      </c>
      <c r="B1172" s="47" t="n"/>
      <c r="C1172" s="48" t="n"/>
      <c r="D1172" s="48" t="n"/>
      <c r="E1172" s="28">
        <f>IF($C1172="","",IF($D1172="",IF($C1172="Interna","Sin guía (interna)","FALTA GUÍA"),IF(COUNTIFS(ENVIOS!$A$4:$A$3003,$D1172)=0,"NO EXISTE",IF(COUNTIFS(ENVIOS!$A$4:$A$3003,$D1172)&gt;1,"DUPLICADA","OK"))))</f>
        <v/>
      </c>
      <c r="F1172" s="28">
        <f>IF($D1172="","",IFERROR(INDEX(ENVIOS!$B$4:$B$3003,MATCH($D1172,ENVIOS!$A$4:$A$3003,0)),"—"))</f>
        <v/>
      </c>
      <c r="G1172" s="23">
        <f>IF($D1172="","",IFERROR(INDEX(ENVIOS!$D$4:$D$3003,MATCH($D1172,ENVIOS!$A$4:$A$3003,0)),"—"))</f>
        <v/>
      </c>
      <c r="H1172" s="23">
        <f>IF($D1172="","",IFERROR(INDEX(ENVIOS!$E$4:$E$3003,MATCH($D1172,ENVIOS!$A$4:$A$3003,0)),"—"))</f>
        <v/>
      </c>
      <c r="I1172" s="23">
        <f>IF($D1172="","",IFERROR(INDEX(ENVIOS!$F$4:$F$3003,MATCH($D1172,ENVIOS!$A$4:$A$3003,0)),"—"))</f>
        <v/>
      </c>
      <c r="J1172" s="23">
        <f>IF($D1172="","",IFERROR(INDEX(ENVIOS!$G$4:$G$3003,MATCH($D1172,ENVIOS!$A$4:$A$3003,0)),"—"))</f>
        <v/>
      </c>
      <c r="K1172" s="28">
        <f>IF($D1172="","",IFERROR(INDEX(ENVIOS!$H$4:$H$3003,MATCH($D1172,ENVIOS!$A$4:$A$3003,0)),"—"))</f>
        <v/>
      </c>
      <c r="L1172" s="49">
        <f>IF($D1172="","",IFERROR(INDEX(ENVIOS!$C$4:$C$3003,MATCH($D1172,ENVIOS!$A$4:$A$3003,0)),""))</f>
        <v/>
      </c>
      <c r="M1172" s="50" t="n"/>
      <c r="N1172" s="28">
        <f>IF($M1172="","",IFERROR(INDEX(CONFIG!$C$4:$C$63,MATCH($M1172,CONFIG!$A$4:$A$63,0)),"Media"))</f>
        <v/>
      </c>
      <c r="O1172" s="28">
        <f>IF($M1172="","",IF($C1172="Interna","NO",IFERROR(INDEX(CONFIG!$E$4:$E$63,MATCH($M1172,CONFIG!$A$4:$A$63,0)),"NO")))</f>
        <v/>
      </c>
      <c r="P1172" s="50" t="n"/>
      <c r="Q1172" s="50" t="n"/>
      <c r="R1172" s="28">
        <f>IF($Q1172="","",IFERROR(INDEX(CONFIG!$H$4:$H$63,MATCH($Q1172,CONFIG!$G$4:$G$63,0)),"Por definir"))</f>
        <v/>
      </c>
      <c r="S1172" s="28">
        <f>IF($Q1172="","",IFERROR(INDEX(CONFIG!$I$4:$I$63,MATCH($Q1172,CONFIG!$G$4:$G$63,0)),"Por definir"))</f>
        <v/>
      </c>
      <c r="T1172" s="51" t="n"/>
      <c r="U1172" s="52" t="n"/>
      <c r="V1172" s="50" t="n"/>
      <c r="W1172" s="50" t="n"/>
      <c r="X1172" s="49">
        <f>IF(OR($B1172="",$M1172=""),"",WORKDAY($B1172,IFERROR(INDEX(CONFIG!$D$4:$D$63,MATCH($M1172,CONFIG!$A$4:$A$63,0)),3)))</f>
        <v/>
      </c>
      <c r="Y1172" s="47" t="n"/>
      <c r="Z1172" s="24">
        <f>IF($B1172="","",IF($Y1172&lt;&gt;"",$Y1172-$B1172,TODAY()-$B1172))</f>
        <v/>
      </c>
      <c r="AA1172" s="28">
        <f>IF($B1172="","",IF(IFERROR(INDEX(CONFIG!$L$4:$L$63,MATCH($V1172,CONFIG!$K$4:$K$63,0)),"NO")="SÍ",IF(OR($Y1172="",$X1172=""),"Resuelta",IF($Y1172&gt;$X1172,"Resuelta tarde","Resuelta a tiempo")),IF($X1172="","Sin clasificar",IF(TODAY()&gt;$X1172,"Vencida",IF(TODAY()&gt;=$X1172-1,"Por vencer","En plazo")))))</f>
        <v/>
      </c>
      <c r="AB1172" s="50" t="n"/>
      <c r="AC1172" s="50" t="n"/>
    </row>
    <row r="1173" ht="16" customHeight="1">
      <c r="A1173" s="28">
        <f>IF($B1173="","","N-"&amp;TEXT(ROW()-3,"0000"))</f>
        <v/>
      </c>
      <c r="B1173" s="47" t="n"/>
      <c r="C1173" s="48" t="n"/>
      <c r="D1173" s="48" t="n"/>
      <c r="E1173" s="28">
        <f>IF($C1173="","",IF($D1173="",IF($C1173="Interna","Sin guía (interna)","FALTA GUÍA"),IF(COUNTIFS(ENVIOS!$A$4:$A$3003,$D1173)=0,"NO EXISTE",IF(COUNTIFS(ENVIOS!$A$4:$A$3003,$D1173)&gt;1,"DUPLICADA","OK"))))</f>
        <v/>
      </c>
      <c r="F1173" s="28">
        <f>IF($D1173="","",IFERROR(INDEX(ENVIOS!$B$4:$B$3003,MATCH($D1173,ENVIOS!$A$4:$A$3003,0)),"—"))</f>
        <v/>
      </c>
      <c r="G1173" s="23">
        <f>IF($D1173="","",IFERROR(INDEX(ENVIOS!$D$4:$D$3003,MATCH($D1173,ENVIOS!$A$4:$A$3003,0)),"—"))</f>
        <v/>
      </c>
      <c r="H1173" s="23">
        <f>IF($D1173="","",IFERROR(INDEX(ENVIOS!$E$4:$E$3003,MATCH($D1173,ENVIOS!$A$4:$A$3003,0)),"—"))</f>
        <v/>
      </c>
      <c r="I1173" s="23">
        <f>IF($D1173="","",IFERROR(INDEX(ENVIOS!$F$4:$F$3003,MATCH($D1173,ENVIOS!$A$4:$A$3003,0)),"—"))</f>
        <v/>
      </c>
      <c r="J1173" s="23">
        <f>IF($D1173="","",IFERROR(INDEX(ENVIOS!$G$4:$G$3003,MATCH($D1173,ENVIOS!$A$4:$A$3003,0)),"—"))</f>
        <v/>
      </c>
      <c r="K1173" s="28">
        <f>IF($D1173="","",IFERROR(INDEX(ENVIOS!$H$4:$H$3003,MATCH($D1173,ENVIOS!$A$4:$A$3003,0)),"—"))</f>
        <v/>
      </c>
      <c r="L1173" s="49">
        <f>IF($D1173="","",IFERROR(INDEX(ENVIOS!$C$4:$C$3003,MATCH($D1173,ENVIOS!$A$4:$A$3003,0)),""))</f>
        <v/>
      </c>
      <c r="M1173" s="50" t="n"/>
      <c r="N1173" s="28">
        <f>IF($M1173="","",IFERROR(INDEX(CONFIG!$C$4:$C$63,MATCH($M1173,CONFIG!$A$4:$A$63,0)),"Media"))</f>
        <v/>
      </c>
      <c r="O1173" s="28">
        <f>IF($M1173="","",IF($C1173="Interna","NO",IFERROR(INDEX(CONFIG!$E$4:$E$63,MATCH($M1173,CONFIG!$A$4:$A$63,0)),"NO")))</f>
        <v/>
      </c>
      <c r="P1173" s="50" t="n"/>
      <c r="Q1173" s="50" t="n"/>
      <c r="R1173" s="28">
        <f>IF($Q1173="","",IFERROR(INDEX(CONFIG!$H$4:$H$63,MATCH($Q1173,CONFIG!$G$4:$G$63,0)),"Por definir"))</f>
        <v/>
      </c>
      <c r="S1173" s="28">
        <f>IF($Q1173="","",IFERROR(INDEX(CONFIG!$I$4:$I$63,MATCH($Q1173,CONFIG!$G$4:$G$63,0)),"Por definir"))</f>
        <v/>
      </c>
      <c r="T1173" s="51" t="n"/>
      <c r="U1173" s="52" t="n"/>
      <c r="V1173" s="50" t="n"/>
      <c r="W1173" s="50" t="n"/>
      <c r="X1173" s="49">
        <f>IF(OR($B1173="",$M1173=""),"",WORKDAY($B1173,IFERROR(INDEX(CONFIG!$D$4:$D$63,MATCH($M1173,CONFIG!$A$4:$A$63,0)),3)))</f>
        <v/>
      </c>
      <c r="Y1173" s="47" t="n"/>
      <c r="Z1173" s="24">
        <f>IF($B1173="","",IF($Y1173&lt;&gt;"",$Y1173-$B1173,TODAY()-$B1173))</f>
        <v/>
      </c>
      <c r="AA1173" s="28">
        <f>IF($B1173="","",IF(IFERROR(INDEX(CONFIG!$L$4:$L$63,MATCH($V1173,CONFIG!$K$4:$K$63,0)),"NO")="SÍ",IF(OR($Y1173="",$X1173=""),"Resuelta",IF($Y1173&gt;$X1173,"Resuelta tarde","Resuelta a tiempo")),IF($X1173="","Sin clasificar",IF(TODAY()&gt;$X1173,"Vencida",IF(TODAY()&gt;=$X1173-1,"Por vencer","En plazo")))))</f>
        <v/>
      </c>
      <c r="AB1173" s="50" t="n"/>
      <c r="AC1173" s="50" t="n"/>
    </row>
    <row r="1174" ht="16" customHeight="1">
      <c r="A1174" s="28">
        <f>IF($B1174="","","N-"&amp;TEXT(ROW()-3,"0000"))</f>
        <v/>
      </c>
      <c r="B1174" s="47" t="n"/>
      <c r="C1174" s="48" t="n"/>
      <c r="D1174" s="48" t="n"/>
      <c r="E1174" s="28">
        <f>IF($C1174="","",IF($D1174="",IF($C1174="Interna","Sin guía (interna)","FALTA GUÍA"),IF(COUNTIFS(ENVIOS!$A$4:$A$3003,$D1174)=0,"NO EXISTE",IF(COUNTIFS(ENVIOS!$A$4:$A$3003,$D1174)&gt;1,"DUPLICADA","OK"))))</f>
        <v/>
      </c>
      <c r="F1174" s="28">
        <f>IF($D1174="","",IFERROR(INDEX(ENVIOS!$B$4:$B$3003,MATCH($D1174,ENVIOS!$A$4:$A$3003,0)),"—"))</f>
        <v/>
      </c>
      <c r="G1174" s="23">
        <f>IF($D1174="","",IFERROR(INDEX(ENVIOS!$D$4:$D$3003,MATCH($D1174,ENVIOS!$A$4:$A$3003,0)),"—"))</f>
        <v/>
      </c>
      <c r="H1174" s="23">
        <f>IF($D1174="","",IFERROR(INDEX(ENVIOS!$E$4:$E$3003,MATCH($D1174,ENVIOS!$A$4:$A$3003,0)),"—"))</f>
        <v/>
      </c>
      <c r="I1174" s="23">
        <f>IF($D1174="","",IFERROR(INDEX(ENVIOS!$F$4:$F$3003,MATCH($D1174,ENVIOS!$A$4:$A$3003,0)),"—"))</f>
        <v/>
      </c>
      <c r="J1174" s="23">
        <f>IF($D1174="","",IFERROR(INDEX(ENVIOS!$G$4:$G$3003,MATCH($D1174,ENVIOS!$A$4:$A$3003,0)),"—"))</f>
        <v/>
      </c>
      <c r="K1174" s="28">
        <f>IF($D1174="","",IFERROR(INDEX(ENVIOS!$H$4:$H$3003,MATCH($D1174,ENVIOS!$A$4:$A$3003,0)),"—"))</f>
        <v/>
      </c>
      <c r="L1174" s="49">
        <f>IF($D1174="","",IFERROR(INDEX(ENVIOS!$C$4:$C$3003,MATCH($D1174,ENVIOS!$A$4:$A$3003,0)),""))</f>
        <v/>
      </c>
      <c r="M1174" s="50" t="n"/>
      <c r="N1174" s="28">
        <f>IF($M1174="","",IFERROR(INDEX(CONFIG!$C$4:$C$63,MATCH($M1174,CONFIG!$A$4:$A$63,0)),"Media"))</f>
        <v/>
      </c>
      <c r="O1174" s="28">
        <f>IF($M1174="","",IF($C1174="Interna","NO",IFERROR(INDEX(CONFIG!$E$4:$E$63,MATCH($M1174,CONFIG!$A$4:$A$63,0)),"NO")))</f>
        <v/>
      </c>
      <c r="P1174" s="50" t="n"/>
      <c r="Q1174" s="50" t="n"/>
      <c r="R1174" s="28">
        <f>IF($Q1174="","",IFERROR(INDEX(CONFIG!$H$4:$H$63,MATCH($Q1174,CONFIG!$G$4:$G$63,0)),"Por definir"))</f>
        <v/>
      </c>
      <c r="S1174" s="28">
        <f>IF($Q1174="","",IFERROR(INDEX(CONFIG!$I$4:$I$63,MATCH($Q1174,CONFIG!$G$4:$G$63,0)),"Por definir"))</f>
        <v/>
      </c>
      <c r="T1174" s="51" t="n"/>
      <c r="U1174" s="52" t="n"/>
      <c r="V1174" s="50" t="n"/>
      <c r="W1174" s="50" t="n"/>
      <c r="X1174" s="49">
        <f>IF(OR($B1174="",$M1174=""),"",WORKDAY($B1174,IFERROR(INDEX(CONFIG!$D$4:$D$63,MATCH($M1174,CONFIG!$A$4:$A$63,0)),3)))</f>
        <v/>
      </c>
      <c r="Y1174" s="47" t="n"/>
      <c r="Z1174" s="24">
        <f>IF($B1174="","",IF($Y1174&lt;&gt;"",$Y1174-$B1174,TODAY()-$B1174))</f>
        <v/>
      </c>
      <c r="AA1174" s="28">
        <f>IF($B1174="","",IF(IFERROR(INDEX(CONFIG!$L$4:$L$63,MATCH($V1174,CONFIG!$K$4:$K$63,0)),"NO")="SÍ",IF(OR($Y1174="",$X1174=""),"Resuelta",IF($Y1174&gt;$X1174,"Resuelta tarde","Resuelta a tiempo")),IF($X1174="","Sin clasificar",IF(TODAY()&gt;$X1174,"Vencida",IF(TODAY()&gt;=$X1174-1,"Por vencer","En plazo")))))</f>
        <v/>
      </c>
      <c r="AB1174" s="50" t="n"/>
      <c r="AC1174" s="50" t="n"/>
    </row>
    <row r="1175" ht="16" customHeight="1">
      <c r="A1175" s="28">
        <f>IF($B1175="","","N-"&amp;TEXT(ROW()-3,"0000"))</f>
        <v/>
      </c>
      <c r="B1175" s="47" t="n"/>
      <c r="C1175" s="48" t="n"/>
      <c r="D1175" s="48" t="n"/>
      <c r="E1175" s="28">
        <f>IF($C1175="","",IF($D1175="",IF($C1175="Interna","Sin guía (interna)","FALTA GUÍA"),IF(COUNTIFS(ENVIOS!$A$4:$A$3003,$D1175)=0,"NO EXISTE",IF(COUNTIFS(ENVIOS!$A$4:$A$3003,$D1175)&gt;1,"DUPLICADA","OK"))))</f>
        <v/>
      </c>
      <c r="F1175" s="28">
        <f>IF($D1175="","",IFERROR(INDEX(ENVIOS!$B$4:$B$3003,MATCH($D1175,ENVIOS!$A$4:$A$3003,0)),"—"))</f>
        <v/>
      </c>
      <c r="G1175" s="23">
        <f>IF($D1175="","",IFERROR(INDEX(ENVIOS!$D$4:$D$3003,MATCH($D1175,ENVIOS!$A$4:$A$3003,0)),"—"))</f>
        <v/>
      </c>
      <c r="H1175" s="23">
        <f>IF($D1175="","",IFERROR(INDEX(ENVIOS!$E$4:$E$3003,MATCH($D1175,ENVIOS!$A$4:$A$3003,0)),"—"))</f>
        <v/>
      </c>
      <c r="I1175" s="23">
        <f>IF($D1175="","",IFERROR(INDEX(ENVIOS!$F$4:$F$3003,MATCH($D1175,ENVIOS!$A$4:$A$3003,0)),"—"))</f>
        <v/>
      </c>
      <c r="J1175" s="23">
        <f>IF($D1175="","",IFERROR(INDEX(ENVIOS!$G$4:$G$3003,MATCH($D1175,ENVIOS!$A$4:$A$3003,0)),"—"))</f>
        <v/>
      </c>
      <c r="K1175" s="28">
        <f>IF($D1175="","",IFERROR(INDEX(ENVIOS!$H$4:$H$3003,MATCH($D1175,ENVIOS!$A$4:$A$3003,0)),"—"))</f>
        <v/>
      </c>
      <c r="L1175" s="49">
        <f>IF($D1175="","",IFERROR(INDEX(ENVIOS!$C$4:$C$3003,MATCH($D1175,ENVIOS!$A$4:$A$3003,0)),""))</f>
        <v/>
      </c>
      <c r="M1175" s="50" t="n"/>
      <c r="N1175" s="28">
        <f>IF($M1175="","",IFERROR(INDEX(CONFIG!$C$4:$C$63,MATCH($M1175,CONFIG!$A$4:$A$63,0)),"Media"))</f>
        <v/>
      </c>
      <c r="O1175" s="28">
        <f>IF($M1175="","",IF($C1175="Interna","NO",IFERROR(INDEX(CONFIG!$E$4:$E$63,MATCH($M1175,CONFIG!$A$4:$A$63,0)),"NO")))</f>
        <v/>
      </c>
      <c r="P1175" s="50" t="n"/>
      <c r="Q1175" s="50" t="n"/>
      <c r="R1175" s="28">
        <f>IF($Q1175="","",IFERROR(INDEX(CONFIG!$H$4:$H$63,MATCH($Q1175,CONFIG!$G$4:$G$63,0)),"Por definir"))</f>
        <v/>
      </c>
      <c r="S1175" s="28">
        <f>IF($Q1175="","",IFERROR(INDEX(CONFIG!$I$4:$I$63,MATCH($Q1175,CONFIG!$G$4:$G$63,0)),"Por definir"))</f>
        <v/>
      </c>
      <c r="T1175" s="51" t="n"/>
      <c r="U1175" s="52" t="n"/>
      <c r="V1175" s="50" t="n"/>
      <c r="W1175" s="50" t="n"/>
      <c r="X1175" s="49">
        <f>IF(OR($B1175="",$M1175=""),"",WORKDAY($B1175,IFERROR(INDEX(CONFIG!$D$4:$D$63,MATCH($M1175,CONFIG!$A$4:$A$63,0)),3)))</f>
        <v/>
      </c>
      <c r="Y1175" s="47" t="n"/>
      <c r="Z1175" s="24">
        <f>IF($B1175="","",IF($Y1175&lt;&gt;"",$Y1175-$B1175,TODAY()-$B1175))</f>
        <v/>
      </c>
      <c r="AA1175" s="28">
        <f>IF($B1175="","",IF(IFERROR(INDEX(CONFIG!$L$4:$L$63,MATCH($V1175,CONFIG!$K$4:$K$63,0)),"NO")="SÍ",IF(OR($Y1175="",$X1175=""),"Resuelta",IF($Y1175&gt;$X1175,"Resuelta tarde","Resuelta a tiempo")),IF($X1175="","Sin clasificar",IF(TODAY()&gt;$X1175,"Vencida",IF(TODAY()&gt;=$X1175-1,"Por vencer","En plazo")))))</f>
        <v/>
      </c>
      <c r="AB1175" s="50" t="n"/>
      <c r="AC1175" s="50" t="n"/>
    </row>
    <row r="1176" ht="16" customHeight="1">
      <c r="A1176" s="28">
        <f>IF($B1176="","","N-"&amp;TEXT(ROW()-3,"0000"))</f>
        <v/>
      </c>
      <c r="B1176" s="47" t="n"/>
      <c r="C1176" s="48" t="n"/>
      <c r="D1176" s="48" t="n"/>
      <c r="E1176" s="28">
        <f>IF($C1176="","",IF($D1176="",IF($C1176="Interna","Sin guía (interna)","FALTA GUÍA"),IF(COUNTIFS(ENVIOS!$A$4:$A$3003,$D1176)=0,"NO EXISTE",IF(COUNTIFS(ENVIOS!$A$4:$A$3003,$D1176)&gt;1,"DUPLICADA","OK"))))</f>
        <v/>
      </c>
      <c r="F1176" s="28">
        <f>IF($D1176="","",IFERROR(INDEX(ENVIOS!$B$4:$B$3003,MATCH($D1176,ENVIOS!$A$4:$A$3003,0)),"—"))</f>
        <v/>
      </c>
      <c r="G1176" s="23">
        <f>IF($D1176="","",IFERROR(INDEX(ENVIOS!$D$4:$D$3003,MATCH($D1176,ENVIOS!$A$4:$A$3003,0)),"—"))</f>
        <v/>
      </c>
      <c r="H1176" s="23">
        <f>IF($D1176="","",IFERROR(INDEX(ENVIOS!$E$4:$E$3003,MATCH($D1176,ENVIOS!$A$4:$A$3003,0)),"—"))</f>
        <v/>
      </c>
      <c r="I1176" s="23">
        <f>IF($D1176="","",IFERROR(INDEX(ENVIOS!$F$4:$F$3003,MATCH($D1176,ENVIOS!$A$4:$A$3003,0)),"—"))</f>
        <v/>
      </c>
      <c r="J1176" s="23">
        <f>IF($D1176="","",IFERROR(INDEX(ENVIOS!$G$4:$G$3003,MATCH($D1176,ENVIOS!$A$4:$A$3003,0)),"—"))</f>
        <v/>
      </c>
      <c r="K1176" s="28">
        <f>IF($D1176="","",IFERROR(INDEX(ENVIOS!$H$4:$H$3003,MATCH($D1176,ENVIOS!$A$4:$A$3003,0)),"—"))</f>
        <v/>
      </c>
      <c r="L1176" s="49">
        <f>IF($D1176="","",IFERROR(INDEX(ENVIOS!$C$4:$C$3003,MATCH($D1176,ENVIOS!$A$4:$A$3003,0)),""))</f>
        <v/>
      </c>
      <c r="M1176" s="50" t="n"/>
      <c r="N1176" s="28">
        <f>IF($M1176="","",IFERROR(INDEX(CONFIG!$C$4:$C$63,MATCH($M1176,CONFIG!$A$4:$A$63,0)),"Media"))</f>
        <v/>
      </c>
      <c r="O1176" s="28">
        <f>IF($M1176="","",IF($C1176="Interna","NO",IFERROR(INDEX(CONFIG!$E$4:$E$63,MATCH($M1176,CONFIG!$A$4:$A$63,0)),"NO")))</f>
        <v/>
      </c>
      <c r="P1176" s="50" t="n"/>
      <c r="Q1176" s="50" t="n"/>
      <c r="R1176" s="28">
        <f>IF($Q1176="","",IFERROR(INDEX(CONFIG!$H$4:$H$63,MATCH($Q1176,CONFIG!$G$4:$G$63,0)),"Por definir"))</f>
        <v/>
      </c>
      <c r="S1176" s="28">
        <f>IF($Q1176="","",IFERROR(INDEX(CONFIG!$I$4:$I$63,MATCH($Q1176,CONFIG!$G$4:$G$63,0)),"Por definir"))</f>
        <v/>
      </c>
      <c r="T1176" s="51" t="n"/>
      <c r="U1176" s="52" t="n"/>
      <c r="V1176" s="50" t="n"/>
      <c r="W1176" s="50" t="n"/>
      <c r="X1176" s="49">
        <f>IF(OR($B1176="",$M1176=""),"",WORKDAY($B1176,IFERROR(INDEX(CONFIG!$D$4:$D$63,MATCH($M1176,CONFIG!$A$4:$A$63,0)),3)))</f>
        <v/>
      </c>
      <c r="Y1176" s="47" t="n"/>
      <c r="Z1176" s="24">
        <f>IF($B1176="","",IF($Y1176&lt;&gt;"",$Y1176-$B1176,TODAY()-$B1176))</f>
        <v/>
      </c>
      <c r="AA1176" s="28">
        <f>IF($B1176="","",IF(IFERROR(INDEX(CONFIG!$L$4:$L$63,MATCH($V1176,CONFIG!$K$4:$K$63,0)),"NO")="SÍ",IF(OR($Y1176="",$X1176=""),"Resuelta",IF($Y1176&gt;$X1176,"Resuelta tarde","Resuelta a tiempo")),IF($X1176="","Sin clasificar",IF(TODAY()&gt;$X1176,"Vencida",IF(TODAY()&gt;=$X1176-1,"Por vencer","En plazo")))))</f>
        <v/>
      </c>
      <c r="AB1176" s="50" t="n"/>
      <c r="AC1176" s="50" t="n"/>
    </row>
    <row r="1177" ht="16" customHeight="1">
      <c r="A1177" s="28">
        <f>IF($B1177="","","N-"&amp;TEXT(ROW()-3,"0000"))</f>
        <v/>
      </c>
      <c r="B1177" s="47" t="n"/>
      <c r="C1177" s="48" t="n"/>
      <c r="D1177" s="48" t="n"/>
      <c r="E1177" s="28">
        <f>IF($C1177="","",IF($D1177="",IF($C1177="Interna","Sin guía (interna)","FALTA GUÍA"),IF(COUNTIFS(ENVIOS!$A$4:$A$3003,$D1177)=0,"NO EXISTE",IF(COUNTIFS(ENVIOS!$A$4:$A$3003,$D1177)&gt;1,"DUPLICADA","OK"))))</f>
        <v/>
      </c>
      <c r="F1177" s="28">
        <f>IF($D1177="","",IFERROR(INDEX(ENVIOS!$B$4:$B$3003,MATCH($D1177,ENVIOS!$A$4:$A$3003,0)),"—"))</f>
        <v/>
      </c>
      <c r="G1177" s="23">
        <f>IF($D1177="","",IFERROR(INDEX(ENVIOS!$D$4:$D$3003,MATCH($D1177,ENVIOS!$A$4:$A$3003,0)),"—"))</f>
        <v/>
      </c>
      <c r="H1177" s="23">
        <f>IF($D1177="","",IFERROR(INDEX(ENVIOS!$E$4:$E$3003,MATCH($D1177,ENVIOS!$A$4:$A$3003,0)),"—"))</f>
        <v/>
      </c>
      <c r="I1177" s="23">
        <f>IF($D1177="","",IFERROR(INDEX(ENVIOS!$F$4:$F$3003,MATCH($D1177,ENVIOS!$A$4:$A$3003,0)),"—"))</f>
        <v/>
      </c>
      <c r="J1177" s="23">
        <f>IF($D1177="","",IFERROR(INDEX(ENVIOS!$G$4:$G$3003,MATCH($D1177,ENVIOS!$A$4:$A$3003,0)),"—"))</f>
        <v/>
      </c>
      <c r="K1177" s="28">
        <f>IF($D1177="","",IFERROR(INDEX(ENVIOS!$H$4:$H$3003,MATCH($D1177,ENVIOS!$A$4:$A$3003,0)),"—"))</f>
        <v/>
      </c>
      <c r="L1177" s="49">
        <f>IF($D1177="","",IFERROR(INDEX(ENVIOS!$C$4:$C$3003,MATCH($D1177,ENVIOS!$A$4:$A$3003,0)),""))</f>
        <v/>
      </c>
      <c r="M1177" s="50" t="n"/>
      <c r="N1177" s="28">
        <f>IF($M1177="","",IFERROR(INDEX(CONFIG!$C$4:$C$63,MATCH($M1177,CONFIG!$A$4:$A$63,0)),"Media"))</f>
        <v/>
      </c>
      <c r="O1177" s="28">
        <f>IF($M1177="","",IF($C1177="Interna","NO",IFERROR(INDEX(CONFIG!$E$4:$E$63,MATCH($M1177,CONFIG!$A$4:$A$63,0)),"NO")))</f>
        <v/>
      </c>
      <c r="P1177" s="50" t="n"/>
      <c r="Q1177" s="50" t="n"/>
      <c r="R1177" s="28">
        <f>IF($Q1177="","",IFERROR(INDEX(CONFIG!$H$4:$H$63,MATCH($Q1177,CONFIG!$G$4:$G$63,0)),"Por definir"))</f>
        <v/>
      </c>
      <c r="S1177" s="28">
        <f>IF($Q1177="","",IFERROR(INDEX(CONFIG!$I$4:$I$63,MATCH($Q1177,CONFIG!$G$4:$G$63,0)),"Por definir"))</f>
        <v/>
      </c>
      <c r="T1177" s="51" t="n"/>
      <c r="U1177" s="52" t="n"/>
      <c r="V1177" s="50" t="n"/>
      <c r="W1177" s="50" t="n"/>
      <c r="X1177" s="49">
        <f>IF(OR($B1177="",$M1177=""),"",WORKDAY($B1177,IFERROR(INDEX(CONFIG!$D$4:$D$63,MATCH($M1177,CONFIG!$A$4:$A$63,0)),3)))</f>
        <v/>
      </c>
      <c r="Y1177" s="47" t="n"/>
      <c r="Z1177" s="24">
        <f>IF($B1177="","",IF($Y1177&lt;&gt;"",$Y1177-$B1177,TODAY()-$B1177))</f>
        <v/>
      </c>
      <c r="AA1177" s="28">
        <f>IF($B1177="","",IF(IFERROR(INDEX(CONFIG!$L$4:$L$63,MATCH($V1177,CONFIG!$K$4:$K$63,0)),"NO")="SÍ",IF(OR($Y1177="",$X1177=""),"Resuelta",IF($Y1177&gt;$X1177,"Resuelta tarde","Resuelta a tiempo")),IF($X1177="","Sin clasificar",IF(TODAY()&gt;$X1177,"Vencida",IF(TODAY()&gt;=$X1177-1,"Por vencer","En plazo")))))</f>
        <v/>
      </c>
      <c r="AB1177" s="50" t="n"/>
      <c r="AC1177" s="50" t="n"/>
    </row>
    <row r="1178" ht="16" customHeight="1">
      <c r="A1178" s="28">
        <f>IF($B1178="","","N-"&amp;TEXT(ROW()-3,"0000"))</f>
        <v/>
      </c>
      <c r="B1178" s="47" t="n"/>
      <c r="C1178" s="48" t="n"/>
      <c r="D1178" s="48" t="n"/>
      <c r="E1178" s="28">
        <f>IF($C1178="","",IF($D1178="",IF($C1178="Interna","Sin guía (interna)","FALTA GUÍA"),IF(COUNTIFS(ENVIOS!$A$4:$A$3003,$D1178)=0,"NO EXISTE",IF(COUNTIFS(ENVIOS!$A$4:$A$3003,$D1178)&gt;1,"DUPLICADA","OK"))))</f>
        <v/>
      </c>
      <c r="F1178" s="28">
        <f>IF($D1178="","",IFERROR(INDEX(ENVIOS!$B$4:$B$3003,MATCH($D1178,ENVIOS!$A$4:$A$3003,0)),"—"))</f>
        <v/>
      </c>
      <c r="G1178" s="23">
        <f>IF($D1178="","",IFERROR(INDEX(ENVIOS!$D$4:$D$3003,MATCH($D1178,ENVIOS!$A$4:$A$3003,0)),"—"))</f>
        <v/>
      </c>
      <c r="H1178" s="23">
        <f>IF($D1178="","",IFERROR(INDEX(ENVIOS!$E$4:$E$3003,MATCH($D1178,ENVIOS!$A$4:$A$3003,0)),"—"))</f>
        <v/>
      </c>
      <c r="I1178" s="23">
        <f>IF($D1178="","",IFERROR(INDEX(ENVIOS!$F$4:$F$3003,MATCH($D1178,ENVIOS!$A$4:$A$3003,0)),"—"))</f>
        <v/>
      </c>
      <c r="J1178" s="23">
        <f>IF($D1178="","",IFERROR(INDEX(ENVIOS!$G$4:$G$3003,MATCH($D1178,ENVIOS!$A$4:$A$3003,0)),"—"))</f>
        <v/>
      </c>
      <c r="K1178" s="28">
        <f>IF($D1178="","",IFERROR(INDEX(ENVIOS!$H$4:$H$3003,MATCH($D1178,ENVIOS!$A$4:$A$3003,0)),"—"))</f>
        <v/>
      </c>
      <c r="L1178" s="49">
        <f>IF($D1178="","",IFERROR(INDEX(ENVIOS!$C$4:$C$3003,MATCH($D1178,ENVIOS!$A$4:$A$3003,0)),""))</f>
        <v/>
      </c>
      <c r="M1178" s="50" t="n"/>
      <c r="N1178" s="28">
        <f>IF($M1178="","",IFERROR(INDEX(CONFIG!$C$4:$C$63,MATCH($M1178,CONFIG!$A$4:$A$63,0)),"Media"))</f>
        <v/>
      </c>
      <c r="O1178" s="28">
        <f>IF($M1178="","",IF($C1178="Interna","NO",IFERROR(INDEX(CONFIG!$E$4:$E$63,MATCH($M1178,CONFIG!$A$4:$A$63,0)),"NO")))</f>
        <v/>
      </c>
      <c r="P1178" s="50" t="n"/>
      <c r="Q1178" s="50" t="n"/>
      <c r="R1178" s="28">
        <f>IF($Q1178="","",IFERROR(INDEX(CONFIG!$H$4:$H$63,MATCH($Q1178,CONFIG!$G$4:$G$63,0)),"Por definir"))</f>
        <v/>
      </c>
      <c r="S1178" s="28">
        <f>IF($Q1178="","",IFERROR(INDEX(CONFIG!$I$4:$I$63,MATCH($Q1178,CONFIG!$G$4:$G$63,0)),"Por definir"))</f>
        <v/>
      </c>
      <c r="T1178" s="51" t="n"/>
      <c r="U1178" s="52" t="n"/>
      <c r="V1178" s="50" t="n"/>
      <c r="W1178" s="50" t="n"/>
      <c r="X1178" s="49">
        <f>IF(OR($B1178="",$M1178=""),"",WORKDAY($B1178,IFERROR(INDEX(CONFIG!$D$4:$D$63,MATCH($M1178,CONFIG!$A$4:$A$63,0)),3)))</f>
        <v/>
      </c>
      <c r="Y1178" s="47" t="n"/>
      <c r="Z1178" s="24">
        <f>IF($B1178="","",IF($Y1178&lt;&gt;"",$Y1178-$B1178,TODAY()-$B1178))</f>
        <v/>
      </c>
      <c r="AA1178" s="28">
        <f>IF($B1178="","",IF(IFERROR(INDEX(CONFIG!$L$4:$L$63,MATCH($V1178,CONFIG!$K$4:$K$63,0)),"NO")="SÍ",IF(OR($Y1178="",$X1178=""),"Resuelta",IF($Y1178&gt;$X1178,"Resuelta tarde","Resuelta a tiempo")),IF($X1178="","Sin clasificar",IF(TODAY()&gt;$X1178,"Vencida",IF(TODAY()&gt;=$X1178-1,"Por vencer","En plazo")))))</f>
        <v/>
      </c>
      <c r="AB1178" s="50" t="n"/>
      <c r="AC1178" s="50" t="n"/>
    </row>
    <row r="1179" ht="16" customHeight="1">
      <c r="A1179" s="28">
        <f>IF($B1179="","","N-"&amp;TEXT(ROW()-3,"0000"))</f>
        <v/>
      </c>
      <c r="B1179" s="47" t="n"/>
      <c r="C1179" s="48" t="n"/>
      <c r="D1179" s="48" t="n"/>
      <c r="E1179" s="28">
        <f>IF($C1179="","",IF($D1179="",IF($C1179="Interna","Sin guía (interna)","FALTA GUÍA"),IF(COUNTIFS(ENVIOS!$A$4:$A$3003,$D1179)=0,"NO EXISTE",IF(COUNTIFS(ENVIOS!$A$4:$A$3003,$D1179)&gt;1,"DUPLICADA","OK"))))</f>
        <v/>
      </c>
      <c r="F1179" s="28">
        <f>IF($D1179="","",IFERROR(INDEX(ENVIOS!$B$4:$B$3003,MATCH($D1179,ENVIOS!$A$4:$A$3003,0)),"—"))</f>
        <v/>
      </c>
      <c r="G1179" s="23">
        <f>IF($D1179="","",IFERROR(INDEX(ENVIOS!$D$4:$D$3003,MATCH($D1179,ENVIOS!$A$4:$A$3003,0)),"—"))</f>
        <v/>
      </c>
      <c r="H1179" s="23">
        <f>IF($D1179="","",IFERROR(INDEX(ENVIOS!$E$4:$E$3003,MATCH($D1179,ENVIOS!$A$4:$A$3003,0)),"—"))</f>
        <v/>
      </c>
      <c r="I1179" s="23">
        <f>IF($D1179="","",IFERROR(INDEX(ENVIOS!$F$4:$F$3003,MATCH($D1179,ENVIOS!$A$4:$A$3003,0)),"—"))</f>
        <v/>
      </c>
      <c r="J1179" s="23">
        <f>IF($D1179="","",IFERROR(INDEX(ENVIOS!$G$4:$G$3003,MATCH($D1179,ENVIOS!$A$4:$A$3003,0)),"—"))</f>
        <v/>
      </c>
      <c r="K1179" s="28">
        <f>IF($D1179="","",IFERROR(INDEX(ENVIOS!$H$4:$H$3003,MATCH($D1179,ENVIOS!$A$4:$A$3003,0)),"—"))</f>
        <v/>
      </c>
      <c r="L1179" s="49">
        <f>IF($D1179="","",IFERROR(INDEX(ENVIOS!$C$4:$C$3003,MATCH($D1179,ENVIOS!$A$4:$A$3003,0)),""))</f>
        <v/>
      </c>
      <c r="M1179" s="50" t="n"/>
      <c r="N1179" s="28">
        <f>IF($M1179="","",IFERROR(INDEX(CONFIG!$C$4:$C$63,MATCH($M1179,CONFIG!$A$4:$A$63,0)),"Media"))</f>
        <v/>
      </c>
      <c r="O1179" s="28">
        <f>IF($M1179="","",IF($C1179="Interna","NO",IFERROR(INDEX(CONFIG!$E$4:$E$63,MATCH($M1179,CONFIG!$A$4:$A$63,0)),"NO")))</f>
        <v/>
      </c>
      <c r="P1179" s="50" t="n"/>
      <c r="Q1179" s="50" t="n"/>
      <c r="R1179" s="28">
        <f>IF($Q1179="","",IFERROR(INDEX(CONFIG!$H$4:$H$63,MATCH($Q1179,CONFIG!$G$4:$G$63,0)),"Por definir"))</f>
        <v/>
      </c>
      <c r="S1179" s="28">
        <f>IF($Q1179="","",IFERROR(INDEX(CONFIG!$I$4:$I$63,MATCH($Q1179,CONFIG!$G$4:$G$63,0)),"Por definir"))</f>
        <v/>
      </c>
      <c r="T1179" s="51" t="n"/>
      <c r="U1179" s="52" t="n"/>
      <c r="V1179" s="50" t="n"/>
      <c r="W1179" s="50" t="n"/>
      <c r="X1179" s="49">
        <f>IF(OR($B1179="",$M1179=""),"",WORKDAY($B1179,IFERROR(INDEX(CONFIG!$D$4:$D$63,MATCH($M1179,CONFIG!$A$4:$A$63,0)),3)))</f>
        <v/>
      </c>
      <c r="Y1179" s="47" t="n"/>
      <c r="Z1179" s="24">
        <f>IF($B1179="","",IF($Y1179&lt;&gt;"",$Y1179-$B1179,TODAY()-$B1179))</f>
        <v/>
      </c>
      <c r="AA1179" s="28">
        <f>IF($B1179="","",IF(IFERROR(INDEX(CONFIG!$L$4:$L$63,MATCH($V1179,CONFIG!$K$4:$K$63,0)),"NO")="SÍ",IF(OR($Y1179="",$X1179=""),"Resuelta",IF($Y1179&gt;$X1179,"Resuelta tarde","Resuelta a tiempo")),IF($X1179="","Sin clasificar",IF(TODAY()&gt;$X1179,"Vencida",IF(TODAY()&gt;=$X1179-1,"Por vencer","En plazo")))))</f>
        <v/>
      </c>
      <c r="AB1179" s="50" t="n"/>
      <c r="AC1179" s="50" t="n"/>
    </row>
    <row r="1180" ht="16" customHeight="1">
      <c r="A1180" s="28">
        <f>IF($B1180="","","N-"&amp;TEXT(ROW()-3,"0000"))</f>
        <v/>
      </c>
      <c r="B1180" s="47" t="n"/>
      <c r="C1180" s="48" t="n"/>
      <c r="D1180" s="48" t="n"/>
      <c r="E1180" s="28">
        <f>IF($C1180="","",IF($D1180="",IF($C1180="Interna","Sin guía (interna)","FALTA GUÍA"),IF(COUNTIFS(ENVIOS!$A$4:$A$3003,$D1180)=0,"NO EXISTE",IF(COUNTIFS(ENVIOS!$A$4:$A$3003,$D1180)&gt;1,"DUPLICADA","OK"))))</f>
        <v/>
      </c>
      <c r="F1180" s="28">
        <f>IF($D1180="","",IFERROR(INDEX(ENVIOS!$B$4:$B$3003,MATCH($D1180,ENVIOS!$A$4:$A$3003,0)),"—"))</f>
        <v/>
      </c>
      <c r="G1180" s="23">
        <f>IF($D1180="","",IFERROR(INDEX(ENVIOS!$D$4:$D$3003,MATCH($D1180,ENVIOS!$A$4:$A$3003,0)),"—"))</f>
        <v/>
      </c>
      <c r="H1180" s="23">
        <f>IF($D1180="","",IFERROR(INDEX(ENVIOS!$E$4:$E$3003,MATCH($D1180,ENVIOS!$A$4:$A$3003,0)),"—"))</f>
        <v/>
      </c>
      <c r="I1180" s="23">
        <f>IF($D1180="","",IFERROR(INDEX(ENVIOS!$F$4:$F$3003,MATCH($D1180,ENVIOS!$A$4:$A$3003,0)),"—"))</f>
        <v/>
      </c>
      <c r="J1180" s="23">
        <f>IF($D1180="","",IFERROR(INDEX(ENVIOS!$G$4:$G$3003,MATCH($D1180,ENVIOS!$A$4:$A$3003,0)),"—"))</f>
        <v/>
      </c>
      <c r="K1180" s="28">
        <f>IF($D1180="","",IFERROR(INDEX(ENVIOS!$H$4:$H$3003,MATCH($D1180,ENVIOS!$A$4:$A$3003,0)),"—"))</f>
        <v/>
      </c>
      <c r="L1180" s="49">
        <f>IF($D1180="","",IFERROR(INDEX(ENVIOS!$C$4:$C$3003,MATCH($D1180,ENVIOS!$A$4:$A$3003,0)),""))</f>
        <v/>
      </c>
      <c r="M1180" s="50" t="n"/>
      <c r="N1180" s="28">
        <f>IF($M1180="","",IFERROR(INDEX(CONFIG!$C$4:$C$63,MATCH($M1180,CONFIG!$A$4:$A$63,0)),"Media"))</f>
        <v/>
      </c>
      <c r="O1180" s="28">
        <f>IF($M1180="","",IF($C1180="Interna","NO",IFERROR(INDEX(CONFIG!$E$4:$E$63,MATCH($M1180,CONFIG!$A$4:$A$63,0)),"NO")))</f>
        <v/>
      </c>
      <c r="P1180" s="50" t="n"/>
      <c r="Q1180" s="50" t="n"/>
      <c r="R1180" s="28">
        <f>IF($Q1180="","",IFERROR(INDEX(CONFIG!$H$4:$H$63,MATCH($Q1180,CONFIG!$G$4:$G$63,0)),"Por definir"))</f>
        <v/>
      </c>
      <c r="S1180" s="28">
        <f>IF($Q1180="","",IFERROR(INDEX(CONFIG!$I$4:$I$63,MATCH($Q1180,CONFIG!$G$4:$G$63,0)),"Por definir"))</f>
        <v/>
      </c>
      <c r="T1180" s="51" t="n"/>
      <c r="U1180" s="52" t="n"/>
      <c r="V1180" s="50" t="n"/>
      <c r="W1180" s="50" t="n"/>
      <c r="X1180" s="49">
        <f>IF(OR($B1180="",$M1180=""),"",WORKDAY($B1180,IFERROR(INDEX(CONFIG!$D$4:$D$63,MATCH($M1180,CONFIG!$A$4:$A$63,0)),3)))</f>
        <v/>
      </c>
      <c r="Y1180" s="47" t="n"/>
      <c r="Z1180" s="24">
        <f>IF($B1180="","",IF($Y1180&lt;&gt;"",$Y1180-$B1180,TODAY()-$B1180))</f>
        <v/>
      </c>
      <c r="AA1180" s="28">
        <f>IF($B1180="","",IF(IFERROR(INDEX(CONFIG!$L$4:$L$63,MATCH($V1180,CONFIG!$K$4:$K$63,0)),"NO")="SÍ",IF(OR($Y1180="",$X1180=""),"Resuelta",IF($Y1180&gt;$X1180,"Resuelta tarde","Resuelta a tiempo")),IF($X1180="","Sin clasificar",IF(TODAY()&gt;$X1180,"Vencida",IF(TODAY()&gt;=$X1180-1,"Por vencer","En plazo")))))</f>
        <v/>
      </c>
      <c r="AB1180" s="50" t="n"/>
      <c r="AC1180" s="50" t="n"/>
    </row>
    <row r="1181" ht="16" customHeight="1">
      <c r="A1181" s="28">
        <f>IF($B1181="","","N-"&amp;TEXT(ROW()-3,"0000"))</f>
        <v/>
      </c>
      <c r="B1181" s="47" t="n"/>
      <c r="C1181" s="48" t="n"/>
      <c r="D1181" s="48" t="n"/>
      <c r="E1181" s="28">
        <f>IF($C1181="","",IF($D1181="",IF($C1181="Interna","Sin guía (interna)","FALTA GUÍA"),IF(COUNTIFS(ENVIOS!$A$4:$A$3003,$D1181)=0,"NO EXISTE",IF(COUNTIFS(ENVIOS!$A$4:$A$3003,$D1181)&gt;1,"DUPLICADA","OK"))))</f>
        <v/>
      </c>
      <c r="F1181" s="28">
        <f>IF($D1181="","",IFERROR(INDEX(ENVIOS!$B$4:$B$3003,MATCH($D1181,ENVIOS!$A$4:$A$3003,0)),"—"))</f>
        <v/>
      </c>
      <c r="G1181" s="23">
        <f>IF($D1181="","",IFERROR(INDEX(ENVIOS!$D$4:$D$3003,MATCH($D1181,ENVIOS!$A$4:$A$3003,0)),"—"))</f>
        <v/>
      </c>
      <c r="H1181" s="23">
        <f>IF($D1181="","",IFERROR(INDEX(ENVIOS!$E$4:$E$3003,MATCH($D1181,ENVIOS!$A$4:$A$3003,0)),"—"))</f>
        <v/>
      </c>
      <c r="I1181" s="23">
        <f>IF($D1181="","",IFERROR(INDEX(ENVIOS!$F$4:$F$3003,MATCH($D1181,ENVIOS!$A$4:$A$3003,0)),"—"))</f>
        <v/>
      </c>
      <c r="J1181" s="23">
        <f>IF($D1181="","",IFERROR(INDEX(ENVIOS!$G$4:$G$3003,MATCH($D1181,ENVIOS!$A$4:$A$3003,0)),"—"))</f>
        <v/>
      </c>
      <c r="K1181" s="28">
        <f>IF($D1181="","",IFERROR(INDEX(ENVIOS!$H$4:$H$3003,MATCH($D1181,ENVIOS!$A$4:$A$3003,0)),"—"))</f>
        <v/>
      </c>
      <c r="L1181" s="49">
        <f>IF($D1181="","",IFERROR(INDEX(ENVIOS!$C$4:$C$3003,MATCH($D1181,ENVIOS!$A$4:$A$3003,0)),""))</f>
        <v/>
      </c>
      <c r="M1181" s="50" t="n"/>
      <c r="N1181" s="28">
        <f>IF($M1181="","",IFERROR(INDEX(CONFIG!$C$4:$C$63,MATCH($M1181,CONFIG!$A$4:$A$63,0)),"Media"))</f>
        <v/>
      </c>
      <c r="O1181" s="28">
        <f>IF($M1181="","",IF($C1181="Interna","NO",IFERROR(INDEX(CONFIG!$E$4:$E$63,MATCH($M1181,CONFIG!$A$4:$A$63,0)),"NO")))</f>
        <v/>
      </c>
      <c r="P1181" s="50" t="n"/>
      <c r="Q1181" s="50" t="n"/>
      <c r="R1181" s="28">
        <f>IF($Q1181="","",IFERROR(INDEX(CONFIG!$H$4:$H$63,MATCH($Q1181,CONFIG!$G$4:$G$63,0)),"Por definir"))</f>
        <v/>
      </c>
      <c r="S1181" s="28">
        <f>IF($Q1181="","",IFERROR(INDEX(CONFIG!$I$4:$I$63,MATCH($Q1181,CONFIG!$G$4:$G$63,0)),"Por definir"))</f>
        <v/>
      </c>
      <c r="T1181" s="51" t="n"/>
      <c r="U1181" s="52" t="n"/>
      <c r="V1181" s="50" t="n"/>
      <c r="W1181" s="50" t="n"/>
      <c r="X1181" s="49">
        <f>IF(OR($B1181="",$M1181=""),"",WORKDAY($B1181,IFERROR(INDEX(CONFIG!$D$4:$D$63,MATCH($M1181,CONFIG!$A$4:$A$63,0)),3)))</f>
        <v/>
      </c>
      <c r="Y1181" s="47" t="n"/>
      <c r="Z1181" s="24">
        <f>IF($B1181="","",IF($Y1181&lt;&gt;"",$Y1181-$B1181,TODAY()-$B1181))</f>
        <v/>
      </c>
      <c r="AA1181" s="28">
        <f>IF($B1181="","",IF(IFERROR(INDEX(CONFIG!$L$4:$L$63,MATCH($V1181,CONFIG!$K$4:$K$63,0)),"NO")="SÍ",IF(OR($Y1181="",$X1181=""),"Resuelta",IF($Y1181&gt;$X1181,"Resuelta tarde","Resuelta a tiempo")),IF($X1181="","Sin clasificar",IF(TODAY()&gt;$X1181,"Vencida",IF(TODAY()&gt;=$X1181-1,"Por vencer","En plazo")))))</f>
        <v/>
      </c>
      <c r="AB1181" s="50" t="n"/>
      <c r="AC1181" s="50" t="n"/>
    </row>
    <row r="1182" ht="16" customHeight="1">
      <c r="A1182" s="28">
        <f>IF($B1182="","","N-"&amp;TEXT(ROW()-3,"0000"))</f>
        <v/>
      </c>
      <c r="B1182" s="47" t="n"/>
      <c r="C1182" s="48" t="n"/>
      <c r="D1182" s="48" t="n"/>
      <c r="E1182" s="28">
        <f>IF($C1182="","",IF($D1182="",IF($C1182="Interna","Sin guía (interna)","FALTA GUÍA"),IF(COUNTIFS(ENVIOS!$A$4:$A$3003,$D1182)=0,"NO EXISTE",IF(COUNTIFS(ENVIOS!$A$4:$A$3003,$D1182)&gt;1,"DUPLICADA","OK"))))</f>
        <v/>
      </c>
      <c r="F1182" s="28">
        <f>IF($D1182="","",IFERROR(INDEX(ENVIOS!$B$4:$B$3003,MATCH($D1182,ENVIOS!$A$4:$A$3003,0)),"—"))</f>
        <v/>
      </c>
      <c r="G1182" s="23">
        <f>IF($D1182="","",IFERROR(INDEX(ENVIOS!$D$4:$D$3003,MATCH($D1182,ENVIOS!$A$4:$A$3003,0)),"—"))</f>
        <v/>
      </c>
      <c r="H1182" s="23">
        <f>IF($D1182="","",IFERROR(INDEX(ENVIOS!$E$4:$E$3003,MATCH($D1182,ENVIOS!$A$4:$A$3003,0)),"—"))</f>
        <v/>
      </c>
      <c r="I1182" s="23">
        <f>IF($D1182="","",IFERROR(INDEX(ENVIOS!$F$4:$F$3003,MATCH($D1182,ENVIOS!$A$4:$A$3003,0)),"—"))</f>
        <v/>
      </c>
      <c r="J1182" s="23">
        <f>IF($D1182="","",IFERROR(INDEX(ENVIOS!$G$4:$G$3003,MATCH($D1182,ENVIOS!$A$4:$A$3003,0)),"—"))</f>
        <v/>
      </c>
      <c r="K1182" s="28">
        <f>IF($D1182="","",IFERROR(INDEX(ENVIOS!$H$4:$H$3003,MATCH($D1182,ENVIOS!$A$4:$A$3003,0)),"—"))</f>
        <v/>
      </c>
      <c r="L1182" s="49">
        <f>IF($D1182="","",IFERROR(INDEX(ENVIOS!$C$4:$C$3003,MATCH($D1182,ENVIOS!$A$4:$A$3003,0)),""))</f>
        <v/>
      </c>
      <c r="M1182" s="50" t="n"/>
      <c r="N1182" s="28">
        <f>IF($M1182="","",IFERROR(INDEX(CONFIG!$C$4:$C$63,MATCH($M1182,CONFIG!$A$4:$A$63,0)),"Media"))</f>
        <v/>
      </c>
      <c r="O1182" s="28">
        <f>IF($M1182="","",IF($C1182="Interna","NO",IFERROR(INDEX(CONFIG!$E$4:$E$63,MATCH($M1182,CONFIG!$A$4:$A$63,0)),"NO")))</f>
        <v/>
      </c>
      <c r="P1182" s="50" t="n"/>
      <c r="Q1182" s="50" t="n"/>
      <c r="R1182" s="28">
        <f>IF($Q1182="","",IFERROR(INDEX(CONFIG!$H$4:$H$63,MATCH($Q1182,CONFIG!$G$4:$G$63,0)),"Por definir"))</f>
        <v/>
      </c>
      <c r="S1182" s="28">
        <f>IF($Q1182="","",IFERROR(INDEX(CONFIG!$I$4:$I$63,MATCH($Q1182,CONFIG!$G$4:$G$63,0)),"Por definir"))</f>
        <v/>
      </c>
      <c r="T1182" s="51" t="n"/>
      <c r="U1182" s="52" t="n"/>
      <c r="V1182" s="50" t="n"/>
      <c r="W1182" s="50" t="n"/>
      <c r="X1182" s="49">
        <f>IF(OR($B1182="",$M1182=""),"",WORKDAY($B1182,IFERROR(INDEX(CONFIG!$D$4:$D$63,MATCH($M1182,CONFIG!$A$4:$A$63,0)),3)))</f>
        <v/>
      </c>
      <c r="Y1182" s="47" t="n"/>
      <c r="Z1182" s="24">
        <f>IF($B1182="","",IF($Y1182&lt;&gt;"",$Y1182-$B1182,TODAY()-$B1182))</f>
        <v/>
      </c>
      <c r="AA1182" s="28">
        <f>IF($B1182="","",IF(IFERROR(INDEX(CONFIG!$L$4:$L$63,MATCH($V1182,CONFIG!$K$4:$K$63,0)),"NO")="SÍ",IF(OR($Y1182="",$X1182=""),"Resuelta",IF($Y1182&gt;$X1182,"Resuelta tarde","Resuelta a tiempo")),IF($X1182="","Sin clasificar",IF(TODAY()&gt;$X1182,"Vencida",IF(TODAY()&gt;=$X1182-1,"Por vencer","En plazo")))))</f>
        <v/>
      </c>
      <c r="AB1182" s="50" t="n"/>
      <c r="AC1182" s="50" t="n"/>
    </row>
    <row r="1183" ht="16" customHeight="1">
      <c r="A1183" s="28">
        <f>IF($B1183="","","N-"&amp;TEXT(ROW()-3,"0000"))</f>
        <v/>
      </c>
      <c r="B1183" s="47" t="n"/>
      <c r="C1183" s="48" t="n"/>
      <c r="D1183" s="48" t="n"/>
      <c r="E1183" s="28">
        <f>IF($C1183="","",IF($D1183="",IF($C1183="Interna","Sin guía (interna)","FALTA GUÍA"),IF(COUNTIFS(ENVIOS!$A$4:$A$3003,$D1183)=0,"NO EXISTE",IF(COUNTIFS(ENVIOS!$A$4:$A$3003,$D1183)&gt;1,"DUPLICADA","OK"))))</f>
        <v/>
      </c>
      <c r="F1183" s="28">
        <f>IF($D1183="","",IFERROR(INDEX(ENVIOS!$B$4:$B$3003,MATCH($D1183,ENVIOS!$A$4:$A$3003,0)),"—"))</f>
        <v/>
      </c>
      <c r="G1183" s="23">
        <f>IF($D1183="","",IFERROR(INDEX(ENVIOS!$D$4:$D$3003,MATCH($D1183,ENVIOS!$A$4:$A$3003,0)),"—"))</f>
        <v/>
      </c>
      <c r="H1183" s="23">
        <f>IF($D1183="","",IFERROR(INDEX(ENVIOS!$E$4:$E$3003,MATCH($D1183,ENVIOS!$A$4:$A$3003,0)),"—"))</f>
        <v/>
      </c>
      <c r="I1183" s="23">
        <f>IF($D1183="","",IFERROR(INDEX(ENVIOS!$F$4:$F$3003,MATCH($D1183,ENVIOS!$A$4:$A$3003,0)),"—"))</f>
        <v/>
      </c>
      <c r="J1183" s="23">
        <f>IF($D1183="","",IFERROR(INDEX(ENVIOS!$G$4:$G$3003,MATCH($D1183,ENVIOS!$A$4:$A$3003,0)),"—"))</f>
        <v/>
      </c>
      <c r="K1183" s="28">
        <f>IF($D1183="","",IFERROR(INDEX(ENVIOS!$H$4:$H$3003,MATCH($D1183,ENVIOS!$A$4:$A$3003,0)),"—"))</f>
        <v/>
      </c>
      <c r="L1183" s="49">
        <f>IF($D1183="","",IFERROR(INDEX(ENVIOS!$C$4:$C$3003,MATCH($D1183,ENVIOS!$A$4:$A$3003,0)),""))</f>
        <v/>
      </c>
      <c r="M1183" s="50" t="n"/>
      <c r="N1183" s="28">
        <f>IF($M1183="","",IFERROR(INDEX(CONFIG!$C$4:$C$63,MATCH($M1183,CONFIG!$A$4:$A$63,0)),"Media"))</f>
        <v/>
      </c>
      <c r="O1183" s="28">
        <f>IF($M1183="","",IF($C1183="Interna","NO",IFERROR(INDEX(CONFIG!$E$4:$E$63,MATCH($M1183,CONFIG!$A$4:$A$63,0)),"NO")))</f>
        <v/>
      </c>
      <c r="P1183" s="50" t="n"/>
      <c r="Q1183" s="50" t="n"/>
      <c r="R1183" s="28">
        <f>IF($Q1183="","",IFERROR(INDEX(CONFIG!$H$4:$H$63,MATCH($Q1183,CONFIG!$G$4:$G$63,0)),"Por definir"))</f>
        <v/>
      </c>
      <c r="S1183" s="28">
        <f>IF($Q1183="","",IFERROR(INDEX(CONFIG!$I$4:$I$63,MATCH($Q1183,CONFIG!$G$4:$G$63,0)),"Por definir"))</f>
        <v/>
      </c>
      <c r="T1183" s="51" t="n"/>
      <c r="U1183" s="52" t="n"/>
      <c r="V1183" s="50" t="n"/>
      <c r="W1183" s="50" t="n"/>
      <c r="X1183" s="49">
        <f>IF(OR($B1183="",$M1183=""),"",WORKDAY($B1183,IFERROR(INDEX(CONFIG!$D$4:$D$63,MATCH($M1183,CONFIG!$A$4:$A$63,0)),3)))</f>
        <v/>
      </c>
      <c r="Y1183" s="47" t="n"/>
      <c r="Z1183" s="24">
        <f>IF($B1183="","",IF($Y1183&lt;&gt;"",$Y1183-$B1183,TODAY()-$B1183))</f>
        <v/>
      </c>
      <c r="AA1183" s="28">
        <f>IF($B1183="","",IF(IFERROR(INDEX(CONFIG!$L$4:$L$63,MATCH($V1183,CONFIG!$K$4:$K$63,0)),"NO")="SÍ",IF(OR($Y1183="",$X1183=""),"Resuelta",IF($Y1183&gt;$X1183,"Resuelta tarde","Resuelta a tiempo")),IF($X1183="","Sin clasificar",IF(TODAY()&gt;$X1183,"Vencida",IF(TODAY()&gt;=$X1183-1,"Por vencer","En plazo")))))</f>
        <v/>
      </c>
      <c r="AB1183" s="50" t="n"/>
      <c r="AC1183" s="50" t="n"/>
    </row>
    <row r="1184" ht="16" customHeight="1">
      <c r="A1184" s="28">
        <f>IF($B1184="","","N-"&amp;TEXT(ROW()-3,"0000"))</f>
        <v/>
      </c>
      <c r="B1184" s="47" t="n"/>
      <c r="C1184" s="48" t="n"/>
      <c r="D1184" s="48" t="n"/>
      <c r="E1184" s="28">
        <f>IF($C1184="","",IF($D1184="",IF($C1184="Interna","Sin guía (interna)","FALTA GUÍA"),IF(COUNTIFS(ENVIOS!$A$4:$A$3003,$D1184)=0,"NO EXISTE",IF(COUNTIFS(ENVIOS!$A$4:$A$3003,$D1184)&gt;1,"DUPLICADA","OK"))))</f>
        <v/>
      </c>
      <c r="F1184" s="28">
        <f>IF($D1184="","",IFERROR(INDEX(ENVIOS!$B$4:$B$3003,MATCH($D1184,ENVIOS!$A$4:$A$3003,0)),"—"))</f>
        <v/>
      </c>
      <c r="G1184" s="23">
        <f>IF($D1184="","",IFERROR(INDEX(ENVIOS!$D$4:$D$3003,MATCH($D1184,ENVIOS!$A$4:$A$3003,0)),"—"))</f>
        <v/>
      </c>
      <c r="H1184" s="23">
        <f>IF($D1184="","",IFERROR(INDEX(ENVIOS!$E$4:$E$3003,MATCH($D1184,ENVIOS!$A$4:$A$3003,0)),"—"))</f>
        <v/>
      </c>
      <c r="I1184" s="23">
        <f>IF($D1184="","",IFERROR(INDEX(ENVIOS!$F$4:$F$3003,MATCH($D1184,ENVIOS!$A$4:$A$3003,0)),"—"))</f>
        <v/>
      </c>
      <c r="J1184" s="23">
        <f>IF($D1184="","",IFERROR(INDEX(ENVIOS!$G$4:$G$3003,MATCH($D1184,ENVIOS!$A$4:$A$3003,0)),"—"))</f>
        <v/>
      </c>
      <c r="K1184" s="28">
        <f>IF($D1184="","",IFERROR(INDEX(ENVIOS!$H$4:$H$3003,MATCH($D1184,ENVIOS!$A$4:$A$3003,0)),"—"))</f>
        <v/>
      </c>
      <c r="L1184" s="49">
        <f>IF($D1184="","",IFERROR(INDEX(ENVIOS!$C$4:$C$3003,MATCH($D1184,ENVIOS!$A$4:$A$3003,0)),""))</f>
        <v/>
      </c>
      <c r="M1184" s="50" t="n"/>
      <c r="N1184" s="28">
        <f>IF($M1184="","",IFERROR(INDEX(CONFIG!$C$4:$C$63,MATCH($M1184,CONFIG!$A$4:$A$63,0)),"Media"))</f>
        <v/>
      </c>
      <c r="O1184" s="28">
        <f>IF($M1184="","",IF($C1184="Interna","NO",IFERROR(INDEX(CONFIG!$E$4:$E$63,MATCH($M1184,CONFIG!$A$4:$A$63,0)),"NO")))</f>
        <v/>
      </c>
      <c r="P1184" s="50" t="n"/>
      <c r="Q1184" s="50" t="n"/>
      <c r="R1184" s="28">
        <f>IF($Q1184="","",IFERROR(INDEX(CONFIG!$H$4:$H$63,MATCH($Q1184,CONFIG!$G$4:$G$63,0)),"Por definir"))</f>
        <v/>
      </c>
      <c r="S1184" s="28">
        <f>IF($Q1184="","",IFERROR(INDEX(CONFIG!$I$4:$I$63,MATCH($Q1184,CONFIG!$G$4:$G$63,0)),"Por definir"))</f>
        <v/>
      </c>
      <c r="T1184" s="51" t="n"/>
      <c r="U1184" s="52" t="n"/>
      <c r="V1184" s="50" t="n"/>
      <c r="W1184" s="50" t="n"/>
      <c r="X1184" s="49">
        <f>IF(OR($B1184="",$M1184=""),"",WORKDAY($B1184,IFERROR(INDEX(CONFIG!$D$4:$D$63,MATCH($M1184,CONFIG!$A$4:$A$63,0)),3)))</f>
        <v/>
      </c>
      <c r="Y1184" s="47" t="n"/>
      <c r="Z1184" s="24">
        <f>IF($B1184="","",IF($Y1184&lt;&gt;"",$Y1184-$B1184,TODAY()-$B1184))</f>
        <v/>
      </c>
      <c r="AA1184" s="28">
        <f>IF($B1184="","",IF(IFERROR(INDEX(CONFIG!$L$4:$L$63,MATCH($V1184,CONFIG!$K$4:$K$63,0)),"NO")="SÍ",IF(OR($Y1184="",$X1184=""),"Resuelta",IF($Y1184&gt;$X1184,"Resuelta tarde","Resuelta a tiempo")),IF($X1184="","Sin clasificar",IF(TODAY()&gt;$X1184,"Vencida",IF(TODAY()&gt;=$X1184-1,"Por vencer","En plazo")))))</f>
        <v/>
      </c>
      <c r="AB1184" s="50" t="n"/>
      <c r="AC1184" s="50" t="n"/>
    </row>
    <row r="1185" ht="16" customHeight="1">
      <c r="A1185" s="28">
        <f>IF($B1185="","","N-"&amp;TEXT(ROW()-3,"0000"))</f>
        <v/>
      </c>
      <c r="B1185" s="47" t="n"/>
      <c r="C1185" s="48" t="n"/>
      <c r="D1185" s="48" t="n"/>
      <c r="E1185" s="28">
        <f>IF($C1185="","",IF($D1185="",IF($C1185="Interna","Sin guía (interna)","FALTA GUÍA"),IF(COUNTIFS(ENVIOS!$A$4:$A$3003,$D1185)=0,"NO EXISTE",IF(COUNTIFS(ENVIOS!$A$4:$A$3003,$D1185)&gt;1,"DUPLICADA","OK"))))</f>
        <v/>
      </c>
      <c r="F1185" s="28">
        <f>IF($D1185="","",IFERROR(INDEX(ENVIOS!$B$4:$B$3003,MATCH($D1185,ENVIOS!$A$4:$A$3003,0)),"—"))</f>
        <v/>
      </c>
      <c r="G1185" s="23">
        <f>IF($D1185="","",IFERROR(INDEX(ENVIOS!$D$4:$D$3003,MATCH($D1185,ENVIOS!$A$4:$A$3003,0)),"—"))</f>
        <v/>
      </c>
      <c r="H1185" s="23">
        <f>IF($D1185="","",IFERROR(INDEX(ENVIOS!$E$4:$E$3003,MATCH($D1185,ENVIOS!$A$4:$A$3003,0)),"—"))</f>
        <v/>
      </c>
      <c r="I1185" s="23">
        <f>IF($D1185="","",IFERROR(INDEX(ENVIOS!$F$4:$F$3003,MATCH($D1185,ENVIOS!$A$4:$A$3003,0)),"—"))</f>
        <v/>
      </c>
      <c r="J1185" s="23">
        <f>IF($D1185="","",IFERROR(INDEX(ENVIOS!$G$4:$G$3003,MATCH($D1185,ENVIOS!$A$4:$A$3003,0)),"—"))</f>
        <v/>
      </c>
      <c r="K1185" s="28">
        <f>IF($D1185="","",IFERROR(INDEX(ENVIOS!$H$4:$H$3003,MATCH($D1185,ENVIOS!$A$4:$A$3003,0)),"—"))</f>
        <v/>
      </c>
      <c r="L1185" s="49">
        <f>IF($D1185="","",IFERROR(INDEX(ENVIOS!$C$4:$C$3003,MATCH($D1185,ENVIOS!$A$4:$A$3003,0)),""))</f>
        <v/>
      </c>
      <c r="M1185" s="50" t="n"/>
      <c r="N1185" s="28">
        <f>IF($M1185="","",IFERROR(INDEX(CONFIG!$C$4:$C$63,MATCH($M1185,CONFIG!$A$4:$A$63,0)),"Media"))</f>
        <v/>
      </c>
      <c r="O1185" s="28">
        <f>IF($M1185="","",IF($C1185="Interna","NO",IFERROR(INDEX(CONFIG!$E$4:$E$63,MATCH($M1185,CONFIG!$A$4:$A$63,0)),"NO")))</f>
        <v/>
      </c>
      <c r="P1185" s="50" t="n"/>
      <c r="Q1185" s="50" t="n"/>
      <c r="R1185" s="28">
        <f>IF($Q1185="","",IFERROR(INDEX(CONFIG!$H$4:$H$63,MATCH($Q1185,CONFIG!$G$4:$G$63,0)),"Por definir"))</f>
        <v/>
      </c>
      <c r="S1185" s="28">
        <f>IF($Q1185="","",IFERROR(INDEX(CONFIG!$I$4:$I$63,MATCH($Q1185,CONFIG!$G$4:$G$63,0)),"Por definir"))</f>
        <v/>
      </c>
      <c r="T1185" s="51" t="n"/>
      <c r="U1185" s="52" t="n"/>
      <c r="V1185" s="50" t="n"/>
      <c r="W1185" s="50" t="n"/>
      <c r="X1185" s="49">
        <f>IF(OR($B1185="",$M1185=""),"",WORKDAY($B1185,IFERROR(INDEX(CONFIG!$D$4:$D$63,MATCH($M1185,CONFIG!$A$4:$A$63,0)),3)))</f>
        <v/>
      </c>
      <c r="Y1185" s="47" t="n"/>
      <c r="Z1185" s="24">
        <f>IF($B1185="","",IF($Y1185&lt;&gt;"",$Y1185-$B1185,TODAY()-$B1185))</f>
        <v/>
      </c>
      <c r="AA1185" s="28">
        <f>IF($B1185="","",IF(IFERROR(INDEX(CONFIG!$L$4:$L$63,MATCH($V1185,CONFIG!$K$4:$K$63,0)),"NO")="SÍ",IF(OR($Y1185="",$X1185=""),"Resuelta",IF($Y1185&gt;$X1185,"Resuelta tarde","Resuelta a tiempo")),IF($X1185="","Sin clasificar",IF(TODAY()&gt;$X1185,"Vencida",IF(TODAY()&gt;=$X1185-1,"Por vencer","En plazo")))))</f>
        <v/>
      </c>
      <c r="AB1185" s="50" t="n"/>
      <c r="AC1185" s="50" t="n"/>
    </row>
    <row r="1186" ht="16" customHeight="1">
      <c r="A1186" s="28">
        <f>IF($B1186="","","N-"&amp;TEXT(ROW()-3,"0000"))</f>
        <v/>
      </c>
      <c r="B1186" s="47" t="n"/>
      <c r="C1186" s="48" t="n"/>
      <c r="D1186" s="48" t="n"/>
      <c r="E1186" s="28">
        <f>IF($C1186="","",IF($D1186="",IF($C1186="Interna","Sin guía (interna)","FALTA GUÍA"),IF(COUNTIFS(ENVIOS!$A$4:$A$3003,$D1186)=0,"NO EXISTE",IF(COUNTIFS(ENVIOS!$A$4:$A$3003,$D1186)&gt;1,"DUPLICADA","OK"))))</f>
        <v/>
      </c>
      <c r="F1186" s="28">
        <f>IF($D1186="","",IFERROR(INDEX(ENVIOS!$B$4:$B$3003,MATCH($D1186,ENVIOS!$A$4:$A$3003,0)),"—"))</f>
        <v/>
      </c>
      <c r="G1186" s="23">
        <f>IF($D1186="","",IFERROR(INDEX(ENVIOS!$D$4:$D$3003,MATCH($D1186,ENVIOS!$A$4:$A$3003,0)),"—"))</f>
        <v/>
      </c>
      <c r="H1186" s="23">
        <f>IF($D1186="","",IFERROR(INDEX(ENVIOS!$E$4:$E$3003,MATCH($D1186,ENVIOS!$A$4:$A$3003,0)),"—"))</f>
        <v/>
      </c>
      <c r="I1186" s="23">
        <f>IF($D1186="","",IFERROR(INDEX(ENVIOS!$F$4:$F$3003,MATCH($D1186,ENVIOS!$A$4:$A$3003,0)),"—"))</f>
        <v/>
      </c>
      <c r="J1186" s="23">
        <f>IF($D1186="","",IFERROR(INDEX(ENVIOS!$G$4:$G$3003,MATCH($D1186,ENVIOS!$A$4:$A$3003,0)),"—"))</f>
        <v/>
      </c>
      <c r="K1186" s="28">
        <f>IF($D1186="","",IFERROR(INDEX(ENVIOS!$H$4:$H$3003,MATCH($D1186,ENVIOS!$A$4:$A$3003,0)),"—"))</f>
        <v/>
      </c>
      <c r="L1186" s="49">
        <f>IF($D1186="","",IFERROR(INDEX(ENVIOS!$C$4:$C$3003,MATCH($D1186,ENVIOS!$A$4:$A$3003,0)),""))</f>
        <v/>
      </c>
      <c r="M1186" s="50" t="n"/>
      <c r="N1186" s="28">
        <f>IF($M1186="","",IFERROR(INDEX(CONFIG!$C$4:$C$63,MATCH($M1186,CONFIG!$A$4:$A$63,0)),"Media"))</f>
        <v/>
      </c>
      <c r="O1186" s="28">
        <f>IF($M1186="","",IF($C1186="Interna","NO",IFERROR(INDEX(CONFIG!$E$4:$E$63,MATCH($M1186,CONFIG!$A$4:$A$63,0)),"NO")))</f>
        <v/>
      </c>
      <c r="P1186" s="50" t="n"/>
      <c r="Q1186" s="50" t="n"/>
      <c r="R1186" s="28">
        <f>IF($Q1186="","",IFERROR(INDEX(CONFIG!$H$4:$H$63,MATCH($Q1186,CONFIG!$G$4:$G$63,0)),"Por definir"))</f>
        <v/>
      </c>
      <c r="S1186" s="28">
        <f>IF($Q1186="","",IFERROR(INDEX(CONFIG!$I$4:$I$63,MATCH($Q1186,CONFIG!$G$4:$G$63,0)),"Por definir"))</f>
        <v/>
      </c>
      <c r="T1186" s="51" t="n"/>
      <c r="U1186" s="52" t="n"/>
      <c r="V1186" s="50" t="n"/>
      <c r="W1186" s="50" t="n"/>
      <c r="X1186" s="49">
        <f>IF(OR($B1186="",$M1186=""),"",WORKDAY($B1186,IFERROR(INDEX(CONFIG!$D$4:$D$63,MATCH($M1186,CONFIG!$A$4:$A$63,0)),3)))</f>
        <v/>
      </c>
      <c r="Y1186" s="47" t="n"/>
      <c r="Z1186" s="24">
        <f>IF($B1186="","",IF($Y1186&lt;&gt;"",$Y1186-$B1186,TODAY()-$B1186))</f>
        <v/>
      </c>
      <c r="AA1186" s="28">
        <f>IF($B1186="","",IF(IFERROR(INDEX(CONFIG!$L$4:$L$63,MATCH($V1186,CONFIG!$K$4:$K$63,0)),"NO")="SÍ",IF(OR($Y1186="",$X1186=""),"Resuelta",IF($Y1186&gt;$X1186,"Resuelta tarde","Resuelta a tiempo")),IF($X1186="","Sin clasificar",IF(TODAY()&gt;$X1186,"Vencida",IF(TODAY()&gt;=$X1186-1,"Por vencer","En plazo")))))</f>
        <v/>
      </c>
      <c r="AB1186" s="50" t="n"/>
      <c r="AC1186" s="50" t="n"/>
    </row>
    <row r="1187" ht="16" customHeight="1">
      <c r="A1187" s="28">
        <f>IF($B1187="","","N-"&amp;TEXT(ROW()-3,"0000"))</f>
        <v/>
      </c>
      <c r="B1187" s="47" t="n"/>
      <c r="C1187" s="48" t="n"/>
      <c r="D1187" s="48" t="n"/>
      <c r="E1187" s="28">
        <f>IF($C1187="","",IF($D1187="",IF($C1187="Interna","Sin guía (interna)","FALTA GUÍA"),IF(COUNTIFS(ENVIOS!$A$4:$A$3003,$D1187)=0,"NO EXISTE",IF(COUNTIFS(ENVIOS!$A$4:$A$3003,$D1187)&gt;1,"DUPLICADA","OK"))))</f>
        <v/>
      </c>
      <c r="F1187" s="28">
        <f>IF($D1187="","",IFERROR(INDEX(ENVIOS!$B$4:$B$3003,MATCH($D1187,ENVIOS!$A$4:$A$3003,0)),"—"))</f>
        <v/>
      </c>
      <c r="G1187" s="23">
        <f>IF($D1187="","",IFERROR(INDEX(ENVIOS!$D$4:$D$3003,MATCH($D1187,ENVIOS!$A$4:$A$3003,0)),"—"))</f>
        <v/>
      </c>
      <c r="H1187" s="23">
        <f>IF($D1187="","",IFERROR(INDEX(ENVIOS!$E$4:$E$3003,MATCH($D1187,ENVIOS!$A$4:$A$3003,0)),"—"))</f>
        <v/>
      </c>
      <c r="I1187" s="23">
        <f>IF($D1187="","",IFERROR(INDEX(ENVIOS!$F$4:$F$3003,MATCH($D1187,ENVIOS!$A$4:$A$3003,0)),"—"))</f>
        <v/>
      </c>
      <c r="J1187" s="23">
        <f>IF($D1187="","",IFERROR(INDEX(ENVIOS!$G$4:$G$3003,MATCH($D1187,ENVIOS!$A$4:$A$3003,0)),"—"))</f>
        <v/>
      </c>
      <c r="K1187" s="28">
        <f>IF($D1187="","",IFERROR(INDEX(ENVIOS!$H$4:$H$3003,MATCH($D1187,ENVIOS!$A$4:$A$3003,0)),"—"))</f>
        <v/>
      </c>
      <c r="L1187" s="49">
        <f>IF($D1187="","",IFERROR(INDEX(ENVIOS!$C$4:$C$3003,MATCH($D1187,ENVIOS!$A$4:$A$3003,0)),""))</f>
        <v/>
      </c>
      <c r="M1187" s="50" t="n"/>
      <c r="N1187" s="28">
        <f>IF($M1187="","",IFERROR(INDEX(CONFIG!$C$4:$C$63,MATCH($M1187,CONFIG!$A$4:$A$63,0)),"Media"))</f>
        <v/>
      </c>
      <c r="O1187" s="28">
        <f>IF($M1187="","",IF($C1187="Interna","NO",IFERROR(INDEX(CONFIG!$E$4:$E$63,MATCH($M1187,CONFIG!$A$4:$A$63,0)),"NO")))</f>
        <v/>
      </c>
      <c r="P1187" s="50" t="n"/>
      <c r="Q1187" s="50" t="n"/>
      <c r="R1187" s="28">
        <f>IF($Q1187="","",IFERROR(INDEX(CONFIG!$H$4:$H$63,MATCH($Q1187,CONFIG!$G$4:$G$63,0)),"Por definir"))</f>
        <v/>
      </c>
      <c r="S1187" s="28">
        <f>IF($Q1187="","",IFERROR(INDEX(CONFIG!$I$4:$I$63,MATCH($Q1187,CONFIG!$G$4:$G$63,0)),"Por definir"))</f>
        <v/>
      </c>
      <c r="T1187" s="51" t="n"/>
      <c r="U1187" s="52" t="n"/>
      <c r="V1187" s="50" t="n"/>
      <c r="W1187" s="50" t="n"/>
      <c r="X1187" s="49">
        <f>IF(OR($B1187="",$M1187=""),"",WORKDAY($B1187,IFERROR(INDEX(CONFIG!$D$4:$D$63,MATCH($M1187,CONFIG!$A$4:$A$63,0)),3)))</f>
        <v/>
      </c>
      <c r="Y1187" s="47" t="n"/>
      <c r="Z1187" s="24">
        <f>IF($B1187="","",IF($Y1187&lt;&gt;"",$Y1187-$B1187,TODAY()-$B1187))</f>
        <v/>
      </c>
      <c r="AA1187" s="28">
        <f>IF($B1187="","",IF(IFERROR(INDEX(CONFIG!$L$4:$L$63,MATCH($V1187,CONFIG!$K$4:$K$63,0)),"NO")="SÍ",IF(OR($Y1187="",$X1187=""),"Resuelta",IF($Y1187&gt;$X1187,"Resuelta tarde","Resuelta a tiempo")),IF($X1187="","Sin clasificar",IF(TODAY()&gt;$X1187,"Vencida",IF(TODAY()&gt;=$X1187-1,"Por vencer","En plazo")))))</f>
        <v/>
      </c>
      <c r="AB1187" s="50" t="n"/>
      <c r="AC1187" s="50" t="n"/>
    </row>
    <row r="1188" ht="16" customHeight="1">
      <c r="A1188" s="28">
        <f>IF($B1188="","","N-"&amp;TEXT(ROW()-3,"0000"))</f>
        <v/>
      </c>
      <c r="B1188" s="47" t="n"/>
      <c r="C1188" s="48" t="n"/>
      <c r="D1188" s="48" t="n"/>
      <c r="E1188" s="28">
        <f>IF($C1188="","",IF($D1188="",IF($C1188="Interna","Sin guía (interna)","FALTA GUÍA"),IF(COUNTIFS(ENVIOS!$A$4:$A$3003,$D1188)=0,"NO EXISTE",IF(COUNTIFS(ENVIOS!$A$4:$A$3003,$D1188)&gt;1,"DUPLICADA","OK"))))</f>
        <v/>
      </c>
      <c r="F1188" s="28">
        <f>IF($D1188="","",IFERROR(INDEX(ENVIOS!$B$4:$B$3003,MATCH($D1188,ENVIOS!$A$4:$A$3003,0)),"—"))</f>
        <v/>
      </c>
      <c r="G1188" s="23">
        <f>IF($D1188="","",IFERROR(INDEX(ENVIOS!$D$4:$D$3003,MATCH($D1188,ENVIOS!$A$4:$A$3003,0)),"—"))</f>
        <v/>
      </c>
      <c r="H1188" s="23">
        <f>IF($D1188="","",IFERROR(INDEX(ENVIOS!$E$4:$E$3003,MATCH($D1188,ENVIOS!$A$4:$A$3003,0)),"—"))</f>
        <v/>
      </c>
      <c r="I1188" s="23">
        <f>IF($D1188="","",IFERROR(INDEX(ENVIOS!$F$4:$F$3003,MATCH($D1188,ENVIOS!$A$4:$A$3003,0)),"—"))</f>
        <v/>
      </c>
      <c r="J1188" s="23">
        <f>IF($D1188="","",IFERROR(INDEX(ENVIOS!$G$4:$G$3003,MATCH($D1188,ENVIOS!$A$4:$A$3003,0)),"—"))</f>
        <v/>
      </c>
      <c r="K1188" s="28">
        <f>IF($D1188="","",IFERROR(INDEX(ENVIOS!$H$4:$H$3003,MATCH($D1188,ENVIOS!$A$4:$A$3003,0)),"—"))</f>
        <v/>
      </c>
      <c r="L1188" s="49">
        <f>IF($D1188="","",IFERROR(INDEX(ENVIOS!$C$4:$C$3003,MATCH($D1188,ENVIOS!$A$4:$A$3003,0)),""))</f>
        <v/>
      </c>
      <c r="M1188" s="50" t="n"/>
      <c r="N1188" s="28">
        <f>IF($M1188="","",IFERROR(INDEX(CONFIG!$C$4:$C$63,MATCH($M1188,CONFIG!$A$4:$A$63,0)),"Media"))</f>
        <v/>
      </c>
      <c r="O1188" s="28">
        <f>IF($M1188="","",IF($C1188="Interna","NO",IFERROR(INDEX(CONFIG!$E$4:$E$63,MATCH($M1188,CONFIG!$A$4:$A$63,0)),"NO")))</f>
        <v/>
      </c>
      <c r="P1188" s="50" t="n"/>
      <c r="Q1188" s="50" t="n"/>
      <c r="R1188" s="28">
        <f>IF($Q1188="","",IFERROR(INDEX(CONFIG!$H$4:$H$63,MATCH($Q1188,CONFIG!$G$4:$G$63,0)),"Por definir"))</f>
        <v/>
      </c>
      <c r="S1188" s="28">
        <f>IF($Q1188="","",IFERROR(INDEX(CONFIG!$I$4:$I$63,MATCH($Q1188,CONFIG!$G$4:$G$63,0)),"Por definir"))</f>
        <v/>
      </c>
      <c r="T1188" s="51" t="n"/>
      <c r="U1188" s="52" t="n"/>
      <c r="V1188" s="50" t="n"/>
      <c r="W1188" s="50" t="n"/>
      <c r="X1188" s="49">
        <f>IF(OR($B1188="",$M1188=""),"",WORKDAY($B1188,IFERROR(INDEX(CONFIG!$D$4:$D$63,MATCH($M1188,CONFIG!$A$4:$A$63,0)),3)))</f>
        <v/>
      </c>
      <c r="Y1188" s="47" t="n"/>
      <c r="Z1188" s="24">
        <f>IF($B1188="","",IF($Y1188&lt;&gt;"",$Y1188-$B1188,TODAY()-$B1188))</f>
        <v/>
      </c>
      <c r="AA1188" s="28">
        <f>IF($B1188="","",IF(IFERROR(INDEX(CONFIG!$L$4:$L$63,MATCH($V1188,CONFIG!$K$4:$K$63,0)),"NO")="SÍ",IF(OR($Y1188="",$X1188=""),"Resuelta",IF($Y1188&gt;$X1188,"Resuelta tarde","Resuelta a tiempo")),IF($X1188="","Sin clasificar",IF(TODAY()&gt;$X1188,"Vencida",IF(TODAY()&gt;=$X1188-1,"Por vencer","En plazo")))))</f>
        <v/>
      </c>
      <c r="AB1188" s="50" t="n"/>
      <c r="AC1188" s="50" t="n"/>
    </row>
    <row r="1189" ht="16" customHeight="1">
      <c r="A1189" s="28">
        <f>IF($B1189="","","N-"&amp;TEXT(ROW()-3,"0000"))</f>
        <v/>
      </c>
      <c r="B1189" s="47" t="n"/>
      <c r="C1189" s="48" t="n"/>
      <c r="D1189" s="48" t="n"/>
      <c r="E1189" s="28">
        <f>IF($C1189="","",IF($D1189="",IF($C1189="Interna","Sin guía (interna)","FALTA GUÍA"),IF(COUNTIFS(ENVIOS!$A$4:$A$3003,$D1189)=0,"NO EXISTE",IF(COUNTIFS(ENVIOS!$A$4:$A$3003,$D1189)&gt;1,"DUPLICADA","OK"))))</f>
        <v/>
      </c>
      <c r="F1189" s="28">
        <f>IF($D1189="","",IFERROR(INDEX(ENVIOS!$B$4:$B$3003,MATCH($D1189,ENVIOS!$A$4:$A$3003,0)),"—"))</f>
        <v/>
      </c>
      <c r="G1189" s="23">
        <f>IF($D1189="","",IFERROR(INDEX(ENVIOS!$D$4:$D$3003,MATCH($D1189,ENVIOS!$A$4:$A$3003,0)),"—"))</f>
        <v/>
      </c>
      <c r="H1189" s="23">
        <f>IF($D1189="","",IFERROR(INDEX(ENVIOS!$E$4:$E$3003,MATCH($D1189,ENVIOS!$A$4:$A$3003,0)),"—"))</f>
        <v/>
      </c>
      <c r="I1189" s="23">
        <f>IF($D1189="","",IFERROR(INDEX(ENVIOS!$F$4:$F$3003,MATCH($D1189,ENVIOS!$A$4:$A$3003,0)),"—"))</f>
        <v/>
      </c>
      <c r="J1189" s="23">
        <f>IF($D1189="","",IFERROR(INDEX(ENVIOS!$G$4:$G$3003,MATCH($D1189,ENVIOS!$A$4:$A$3003,0)),"—"))</f>
        <v/>
      </c>
      <c r="K1189" s="28">
        <f>IF($D1189="","",IFERROR(INDEX(ENVIOS!$H$4:$H$3003,MATCH($D1189,ENVIOS!$A$4:$A$3003,0)),"—"))</f>
        <v/>
      </c>
      <c r="L1189" s="49">
        <f>IF($D1189="","",IFERROR(INDEX(ENVIOS!$C$4:$C$3003,MATCH($D1189,ENVIOS!$A$4:$A$3003,0)),""))</f>
        <v/>
      </c>
      <c r="M1189" s="50" t="n"/>
      <c r="N1189" s="28">
        <f>IF($M1189="","",IFERROR(INDEX(CONFIG!$C$4:$C$63,MATCH($M1189,CONFIG!$A$4:$A$63,0)),"Media"))</f>
        <v/>
      </c>
      <c r="O1189" s="28">
        <f>IF($M1189="","",IF($C1189="Interna","NO",IFERROR(INDEX(CONFIG!$E$4:$E$63,MATCH($M1189,CONFIG!$A$4:$A$63,0)),"NO")))</f>
        <v/>
      </c>
      <c r="P1189" s="50" t="n"/>
      <c r="Q1189" s="50" t="n"/>
      <c r="R1189" s="28">
        <f>IF($Q1189="","",IFERROR(INDEX(CONFIG!$H$4:$H$63,MATCH($Q1189,CONFIG!$G$4:$G$63,0)),"Por definir"))</f>
        <v/>
      </c>
      <c r="S1189" s="28">
        <f>IF($Q1189="","",IFERROR(INDEX(CONFIG!$I$4:$I$63,MATCH($Q1189,CONFIG!$G$4:$G$63,0)),"Por definir"))</f>
        <v/>
      </c>
      <c r="T1189" s="51" t="n"/>
      <c r="U1189" s="52" t="n"/>
      <c r="V1189" s="50" t="n"/>
      <c r="W1189" s="50" t="n"/>
      <c r="X1189" s="49">
        <f>IF(OR($B1189="",$M1189=""),"",WORKDAY($B1189,IFERROR(INDEX(CONFIG!$D$4:$D$63,MATCH($M1189,CONFIG!$A$4:$A$63,0)),3)))</f>
        <v/>
      </c>
      <c r="Y1189" s="47" t="n"/>
      <c r="Z1189" s="24">
        <f>IF($B1189="","",IF($Y1189&lt;&gt;"",$Y1189-$B1189,TODAY()-$B1189))</f>
        <v/>
      </c>
      <c r="AA1189" s="28">
        <f>IF($B1189="","",IF(IFERROR(INDEX(CONFIG!$L$4:$L$63,MATCH($V1189,CONFIG!$K$4:$K$63,0)),"NO")="SÍ",IF(OR($Y1189="",$X1189=""),"Resuelta",IF($Y1189&gt;$X1189,"Resuelta tarde","Resuelta a tiempo")),IF($X1189="","Sin clasificar",IF(TODAY()&gt;$X1189,"Vencida",IF(TODAY()&gt;=$X1189-1,"Por vencer","En plazo")))))</f>
        <v/>
      </c>
      <c r="AB1189" s="50" t="n"/>
      <c r="AC1189" s="50" t="n"/>
    </row>
    <row r="1190" ht="16" customHeight="1">
      <c r="A1190" s="28">
        <f>IF($B1190="","","N-"&amp;TEXT(ROW()-3,"0000"))</f>
        <v/>
      </c>
      <c r="B1190" s="47" t="n"/>
      <c r="C1190" s="48" t="n"/>
      <c r="D1190" s="48" t="n"/>
      <c r="E1190" s="28">
        <f>IF($C1190="","",IF($D1190="",IF($C1190="Interna","Sin guía (interna)","FALTA GUÍA"),IF(COUNTIFS(ENVIOS!$A$4:$A$3003,$D1190)=0,"NO EXISTE",IF(COUNTIFS(ENVIOS!$A$4:$A$3003,$D1190)&gt;1,"DUPLICADA","OK"))))</f>
        <v/>
      </c>
      <c r="F1190" s="28">
        <f>IF($D1190="","",IFERROR(INDEX(ENVIOS!$B$4:$B$3003,MATCH($D1190,ENVIOS!$A$4:$A$3003,0)),"—"))</f>
        <v/>
      </c>
      <c r="G1190" s="23">
        <f>IF($D1190="","",IFERROR(INDEX(ENVIOS!$D$4:$D$3003,MATCH($D1190,ENVIOS!$A$4:$A$3003,0)),"—"))</f>
        <v/>
      </c>
      <c r="H1190" s="23">
        <f>IF($D1190="","",IFERROR(INDEX(ENVIOS!$E$4:$E$3003,MATCH($D1190,ENVIOS!$A$4:$A$3003,0)),"—"))</f>
        <v/>
      </c>
      <c r="I1190" s="23">
        <f>IF($D1190="","",IFERROR(INDEX(ENVIOS!$F$4:$F$3003,MATCH($D1190,ENVIOS!$A$4:$A$3003,0)),"—"))</f>
        <v/>
      </c>
      <c r="J1190" s="23">
        <f>IF($D1190="","",IFERROR(INDEX(ENVIOS!$G$4:$G$3003,MATCH($D1190,ENVIOS!$A$4:$A$3003,0)),"—"))</f>
        <v/>
      </c>
      <c r="K1190" s="28">
        <f>IF($D1190="","",IFERROR(INDEX(ENVIOS!$H$4:$H$3003,MATCH($D1190,ENVIOS!$A$4:$A$3003,0)),"—"))</f>
        <v/>
      </c>
      <c r="L1190" s="49">
        <f>IF($D1190="","",IFERROR(INDEX(ENVIOS!$C$4:$C$3003,MATCH($D1190,ENVIOS!$A$4:$A$3003,0)),""))</f>
        <v/>
      </c>
      <c r="M1190" s="50" t="n"/>
      <c r="N1190" s="28">
        <f>IF($M1190="","",IFERROR(INDEX(CONFIG!$C$4:$C$63,MATCH($M1190,CONFIG!$A$4:$A$63,0)),"Media"))</f>
        <v/>
      </c>
      <c r="O1190" s="28">
        <f>IF($M1190="","",IF($C1190="Interna","NO",IFERROR(INDEX(CONFIG!$E$4:$E$63,MATCH($M1190,CONFIG!$A$4:$A$63,0)),"NO")))</f>
        <v/>
      </c>
      <c r="P1190" s="50" t="n"/>
      <c r="Q1190" s="50" t="n"/>
      <c r="R1190" s="28">
        <f>IF($Q1190="","",IFERROR(INDEX(CONFIG!$H$4:$H$63,MATCH($Q1190,CONFIG!$G$4:$G$63,0)),"Por definir"))</f>
        <v/>
      </c>
      <c r="S1190" s="28">
        <f>IF($Q1190="","",IFERROR(INDEX(CONFIG!$I$4:$I$63,MATCH($Q1190,CONFIG!$G$4:$G$63,0)),"Por definir"))</f>
        <v/>
      </c>
      <c r="T1190" s="51" t="n"/>
      <c r="U1190" s="52" t="n"/>
      <c r="V1190" s="50" t="n"/>
      <c r="W1190" s="50" t="n"/>
      <c r="X1190" s="49">
        <f>IF(OR($B1190="",$M1190=""),"",WORKDAY($B1190,IFERROR(INDEX(CONFIG!$D$4:$D$63,MATCH($M1190,CONFIG!$A$4:$A$63,0)),3)))</f>
        <v/>
      </c>
      <c r="Y1190" s="47" t="n"/>
      <c r="Z1190" s="24">
        <f>IF($B1190="","",IF($Y1190&lt;&gt;"",$Y1190-$B1190,TODAY()-$B1190))</f>
        <v/>
      </c>
      <c r="AA1190" s="28">
        <f>IF($B1190="","",IF(IFERROR(INDEX(CONFIG!$L$4:$L$63,MATCH($V1190,CONFIG!$K$4:$K$63,0)),"NO")="SÍ",IF(OR($Y1190="",$X1190=""),"Resuelta",IF($Y1190&gt;$X1190,"Resuelta tarde","Resuelta a tiempo")),IF($X1190="","Sin clasificar",IF(TODAY()&gt;$X1190,"Vencida",IF(TODAY()&gt;=$X1190-1,"Por vencer","En plazo")))))</f>
        <v/>
      </c>
      <c r="AB1190" s="50" t="n"/>
      <c r="AC1190" s="50" t="n"/>
    </row>
    <row r="1191" ht="16" customHeight="1">
      <c r="A1191" s="28">
        <f>IF($B1191="","","N-"&amp;TEXT(ROW()-3,"0000"))</f>
        <v/>
      </c>
      <c r="B1191" s="47" t="n"/>
      <c r="C1191" s="48" t="n"/>
      <c r="D1191" s="48" t="n"/>
      <c r="E1191" s="28">
        <f>IF($C1191="","",IF($D1191="",IF($C1191="Interna","Sin guía (interna)","FALTA GUÍA"),IF(COUNTIFS(ENVIOS!$A$4:$A$3003,$D1191)=0,"NO EXISTE",IF(COUNTIFS(ENVIOS!$A$4:$A$3003,$D1191)&gt;1,"DUPLICADA","OK"))))</f>
        <v/>
      </c>
      <c r="F1191" s="28">
        <f>IF($D1191="","",IFERROR(INDEX(ENVIOS!$B$4:$B$3003,MATCH($D1191,ENVIOS!$A$4:$A$3003,0)),"—"))</f>
        <v/>
      </c>
      <c r="G1191" s="23">
        <f>IF($D1191="","",IFERROR(INDEX(ENVIOS!$D$4:$D$3003,MATCH($D1191,ENVIOS!$A$4:$A$3003,0)),"—"))</f>
        <v/>
      </c>
      <c r="H1191" s="23">
        <f>IF($D1191="","",IFERROR(INDEX(ENVIOS!$E$4:$E$3003,MATCH($D1191,ENVIOS!$A$4:$A$3003,0)),"—"))</f>
        <v/>
      </c>
      <c r="I1191" s="23">
        <f>IF($D1191="","",IFERROR(INDEX(ENVIOS!$F$4:$F$3003,MATCH($D1191,ENVIOS!$A$4:$A$3003,0)),"—"))</f>
        <v/>
      </c>
      <c r="J1191" s="23">
        <f>IF($D1191="","",IFERROR(INDEX(ENVIOS!$G$4:$G$3003,MATCH($D1191,ENVIOS!$A$4:$A$3003,0)),"—"))</f>
        <v/>
      </c>
      <c r="K1191" s="28">
        <f>IF($D1191="","",IFERROR(INDEX(ENVIOS!$H$4:$H$3003,MATCH($D1191,ENVIOS!$A$4:$A$3003,0)),"—"))</f>
        <v/>
      </c>
      <c r="L1191" s="49">
        <f>IF($D1191="","",IFERROR(INDEX(ENVIOS!$C$4:$C$3003,MATCH($D1191,ENVIOS!$A$4:$A$3003,0)),""))</f>
        <v/>
      </c>
      <c r="M1191" s="50" t="n"/>
      <c r="N1191" s="28">
        <f>IF($M1191="","",IFERROR(INDEX(CONFIG!$C$4:$C$63,MATCH($M1191,CONFIG!$A$4:$A$63,0)),"Media"))</f>
        <v/>
      </c>
      <c r="O1191" s="28">
        <f>IF($M1191="","",IF($C1191="Interna","NO",IFERROR(INDEX(CONFIG!$E$4:$E$63,MATCH($M1191,CONFIG!$A$4:$A$63,0)),"NO")))</f>
        <v/>
      </c>
      <c r="P1191" s="50" t="n"/>
      <c r="Q1191" s="50" t="n"/>
      <c r="R1191" s="28">
        <f>IF($Q1191="","",IFERROR(INDEX(CONFIG!$H$4:$H$63,MATCH($Q1191,CONFIG!$G$4:$G$63,0)),"Por definir"))</f>
        <v/>
      </c>
      <c r="S1191" s="28">
        <f>IF($Q1191="","",IFERROR(INDEX(CONFIG!$I$4:$I$63,MATCH($Q1191,CONFIG!$G$4:$G$63,0)),"Por definir"))</f>
        <v/>
      </c>
      <c r="T1191" s="51" t="n"/>
      <c r="U1191" s="52" t="n"/>
      <c r="V1191" s="50" t="n"/>
      <c r="W1191" s="50" t="n"/>
      <c r="X1191" s="49">
        <f>IF(OR($B1191="",$M1191=""),"",WORKDAY($B1191,IFERROR(INDEX(CONFIG!$D$4:$D$63,MATCH($M1191,CONFIG!$A$4:$A$63,0)),3)))</f>
        <v/>
      </c>
      <c r="Y1191" s="47" t="n"/>
      <c r="Z1191" s="24">
        <f>IF($B1191="","",IF($Y1191&lt;&gt;"",$Y1191-$B1191,TODAY()-$B1191))</f>
        <v/>
      </c>
      <c r="AA1191" s="28">
        <f>IF($B1191="","",IF(IFERROR(INDEX(CONFIG!$L$4:$L$63,MATCH($V1191,CONFIG!$K$4:$K$63,0)),"NO")="SÍ",IF(OR($Y1191="",$X1191=""),"Resuelta",IF($Y1191&gt;$X1191,"Resuelta tarde","Resuelta a tiempo")),IF($X1191="","Sin clasificar",IF(TODAY()&gt;$X1191,"Vencida",IF(TODAY()&gt;=$X1191-1,"Por vencer","En plazo")))))</f>
        <v/>
      </c>
      <c r="AB1191" s="50" t="n"/>
      <c r="AC1191" s="50" t="n"/>
    </row>
    <row r="1192" ht="16" customHeight="1">
      <c r="A1192" s="28">
        <f>IF($B1192="","","N-"&amp;TEXT(ROW()-3,"0000"))</f>
        <v/>
      </c>
      <c r="B1192" s="47" t="n"/>
      <c r="C1192" s="48" t="n"/>
      <c r="D1192" s="48" t="n"/>
      <c r="E1192" s="28">
        <f>IF($C1192="","",IF($D1192="",IF($C1192="Interna","Sin guía (interna)","FALTA GUÍA"),IF(COUNTIFS(ENVIOS!$A$4:$A$3003,$D1192)=0,"NO EXISTE",IF(COUNTIFS(ENVIOS!$A$4:$A$3003,$D1192)&gt;1,"DUPLICADA","OK"))))</f>
        <v/>
      </c>
      <c r="F1192" s="28">
        <f>IF($D1192="","",IFERROR(INDEX(ENVIOS!$B$4:$B$3003,MATCH($D1192,ENVIOS!$A$4:$A$3003,0)),"—"))</f>
        <v/>
      </c>
      <c r="G1192" s="23">
        <f>IF($D1192="","",IFERROR(INDEX(ENVIOS!$D$4:$D$3003,MATCH($D1192,ENVIOS!$A$4:$A$3003,0)),"—"))</f>
        <v/>
      </c>
      <c r="H1192" s="23">
        <f>IF($D1192="","",IFERROR(INDEX(ENVIOS!$E$4:$E$3003,MATCH($D1192,ENVIOS!$A$4:$A$3003,0)),"—"))</f>
        <v/>
      </c>
      <c r="I1192" s="23">
        <f>IF($D1192="","",IFERROR(INDEX(ENVIOS!$F$4:$F$3003,MATCH($D1192,ENVIOS!$A$4:$A$3003,0)),"—"))</f>
        <v/>
      </c>
      <c r="J1192" s="23">
        <f>IF($D1192="","",IFERROR(INDEX(ENVIOS!$G$4:$G$3003,MATCH($D1192,ENVIOS!$A$4:$A$3003,0)),"—"))</f>
        <v/>
      </c>
      <c r="K1192" s="28">
        <f>IF($D1192="","",IFERROR(INDEX(ENVIOS!$H$4:$H$3003,MATCH($D1192,ENVIOS!$A$4:$A$3003,0)),"—"))</f>
        <v/>
      </c>
      <c r="L1192" s="49">
        <f>IF($D1192="","",IFERROR(INDEX(ENVIOS!$C$4:$C$3003,MATCH($D1192,ENVIOS!$A$4:$A$3003,0)),""))</f>
        <v/>
      </c>
      <c r="M1192" s="50" t="n"/>
      <c r="N1192" s="28">
        <f>IF($M1192="","",IFERROR(INDEX(CONFIG!$C$4:$C$63,MATCH($M1192,CONFIG!$A$4:$A$63,0)),"Media"))</f>
        <v/>
      </c>
      <c r="O1192" s="28">
        <f>IF($M1192="","",IF($C1192="Interna","NO",IFERROR(INDEX(CONFIG!$E$4:$E$63,MATCH($M1192,CONFIG!$A$4:$A$63,0)),"NO")))</f>
        <v/>
      </c>
      <c r="P1192" s="50" t="n"/>
      <c r="Q1192" s="50" t="n"/>
      <c r="R1192" s="28">
        <f>IF($Q1192="","",IFERROR(INDEX(CONFIG!$H$4:$H$63,MATCH($Q1192,CONFIG!$G$4:$G$63,0)),"Por definir"))</f>
        <v/>
      </c>
      <c r="S1192" s="28">
        <f>IF($Q1192="","",IFERROR(INDEX(CONFIG!$I$4:$I$63,MATCH($Q1192,CONFIG!$G$4:$G$63,0)),"Por definir"))</f>
        <v/>
      </c>
      <c r="T1192" s="51" t="n"/>
      <c r="U1192" s="52" t="n"/>
      <c r="V1192" s="50" t="n"/>
      <c r="W1192" s="50" t="n"/>
      <c r="X1192" s="49">
        <f>IF(OR($B1192="",$M1192=""),"",WORKDAY($B1192,IFERROR(INDEX(CONFIG!$D$4:$D$63,MATCH($M1192,CONFIG!$A$4:$A$63,0)),3)))</f>
        <v/>
      </c>
      <c r="Y1192" s="47" t="n"/>
      <c r="Z1192" s="24">
        <f>IF($B1192="","",IF($Y1192&lt;&gt;"",$Y1192-$B1192,TODAY()-$B1192))</f>
        <v/>
      </c>
      <c r="AA1192" s="28">
        <f>IF($B1192="","",IF(IFERROR(INDEX(CONFIG!$L$4:$L$63,MATCH($V1192,CONFIG!$K$4:$K$63,0)),"NO")="SÍ",IF(OR($Y1192="",$X1192=""),"Resuelta",IF($Y1192&gt;$X1192,"Resuelta tarde","Resuelta a tiempo")),IF($X1192="","Sin clasificar",IF(TODAY()&gt;$X1192,"Vencida",IF(TODAY()&gt;=$X1192-1,"Por vencer","En plazo")))))</f>
        <v/>
      </c>
      <c r="AB1192" s="50" t="n"/>
      <c r="AC1192" s="50" t="n"/>
    </row>
    <row r="1193" ht="16" customHeight="1">
      <c r="A1193" s="28">
        <f>IF($B1193="","","N-"&amp;TEXT(ROW()-3,"0000"))</f>
        <v/>
      </c>
      <c r="B1193" s="47" t="n"/>
      <c r="C1193" s="48" t="n"/>
      <c r="D1193" s="48" t="n"/>
      <c r="E1193" s="28">
        <f>IF($C1193="","",IF($D1193="",IF($C1193="Interna","Sin guía (interna)","FALTA GUÍA"),IF(COUNTIFS(ENVIOS!$A$4:$A$3003,$D1193)=0,"NO EXISTE",IF(COUNTIFS(ENVIOS!$A$4:$A$3003,$D1193)&gt;1,"DUPLICADA","OK"))))</f>
        <v/>
      </c>
      <c r="F1193" s="28">
        <f>IF($D1193="","",IFERROR(INDEX(ENVIOS!$B$4:$B$3003,MATCH($D1193,ENVIOS!$A$4:$A$3003,0)),"—"))</f>
        <v/>
      </c>
      <c r="G1193" s="23">
        <f>IF($D1193="","",IFERROR(INDEX(ENVIOS!$D$4:$D$3003,MATCH($D1193,ENVIOS!$A$4:$A$3003,0)),"—"))</f>
        <v/>
      </c>
      <c r="H1193" s="23">
        <f>IF($D1193="","",IFERROR(INDEX(ENVIOS!$E$4:$E$3003,MATCH($D1193,ENVIOS!$A$4:$A$3003,0)),"—"))</f>
        <v/>
      </c>
      <c r="I1193" s="23">
        <f>IF($D1193="","",IFERROR(INDEX(ENVIOS!$F$4:$F$3003,MATCH($D1193,ENVIOS!$A$4:$A$3003,0)),"—"))</f>
        <v/>
      </c>
      <c r="J1193" s="23">
        <f>IF($D1193="","",IFERROR(INDEX(ENVIOS!$G$4:$G$3003,MATCH($D1193,ENVIOS!$A$4:$A$3003,0)),"—"))</f>
        <v/>
      </c>
      <c r="K1193" s="28">
        <f>IF($D1193="","",IFERROR(INDEX(ENVIOS!$H$4:$H$3003,MATCH($D1193,ENVIOS!$A$4:$A$3003,0)),"—"))</f>
        <v/>
      </c>
      <c r="L1193" s="49">
        <f>IF($D1193="","",IFERROR(INDEX(ENVIOS!$C$4:$C$3003,MATCH($D1193,ENVIOS!$A$4:$A$3003,0)),""))</f>
        <v/>
      </c>
      <c r="M1193" s="50" t="n"/>
      <c r="N1193" s="28">
        <f>IF($M1193="","",IFERROR(INDEX(CONFIG!$C$4:$C$63,MATCH($M1193,CONFIG!$A$4:$A$63,0)),"Media"))</f>
        <v/>
      </c>
      <c r="O1193" s="28">
        <f>IF($M1193="","",IF($C1193="Interna","NO",IFERROR(INDEX(CONFIG!$E$4:$E$63,MATCH($M1193,CONFIG!$A$4:$A$63,0)),"NO")))</f>
        <v/>
      </c>
      <c r="P1193" s="50" t="n"/>
      <c r="Q1193" s="50" t="n"/>
      <c r="R1193" s="28">
        <f>IF($Q1193="","",IFERROR(INDEX(CONFIG!$H$4:$H$63,MATCH($Q1193,CONFIG!$G$4:$G$63,0)),"Por definir"))</f>
        <v/>
      </c>
      <c r="S1193" s="28">
        <f>IF($Q1193="","",IFERROR(INDEX(CONFIG!$I$4:$I$63,MATCH($Q1193,CONFIG!$G$4:$G$63,0)),"Por definir"))</f>
        <v/>
      </c>
      <c r="T1193" s="51" t="n"/>
      <c r="U1193" s="52" t="n"/>
      <c r="V1193" s="50" t="n"/>
      <c r="W1193" s="50" t="n"/>
      <c r="X1193" s="49">
        <f>IF(OR($B1193="",$M1193=""),"",WORKDAY($B1193,IFERROR(INDEX(CONFIG!$D$4:$D$63,MATCH($M1193,CONFIG!$A$4:$A$63,0)),3)))</f>
        <v/>
      </c>
      <c r="Y1193" s="47" t="n"/>
      <c r="Z1193" s="24">
        <f>IF($B1193="","",IF($Y1193&lt;&gt;"",$Y1193-$B1193,TODAY()-$B1193))</f>
        <v/>
      </c>
      <c r="AA1193" s="28">
        <f>IF($B1193="","",IF(IFERROR(INDEX(CONFIG!$L$4:$L$63,MATCH($V1193,CONFIG!$K$4:$K$63,0)),"NO")="SÍ",IF(OR($Y1193="",$X1193=""),"Resuelta",IF($Y1193&gt;$X1193,"Resuelta tarde","Resuelta a tiempo")),IF($X1193="","Sin clasificar",IF(TODAY()&gt;$X1193,"Vencida",IF(TODAY()&gt;=$X1193-1,"Por vencer","En plazo")))))</f>
        <v/>
      </c>
      <c r="AB1193" s="50" t="n"/>
      <c r="AC1193" s="50" t="n"/>
    </row>
    <row r="1194" ht="16" customHeight="1">
      <c r="A1194" s="28">
        <f>IF($B1194="","","N-"&amp;TEXT(ROW()-3,"0000"))</f>
        <v/>
      </c>
      <c r="B1194" s="47" t="n"/>
      <c r="C1194" s="48" t="n"/>
      <c r="D1194" s="48" t="n"/>
      <c r="E1194" s="28">
        <f>IF($C1194="","",IF($D1194="",IF($C1194="Interna","Sin guía (interna)","FALTA GUÍA"),IF(COUNTIFS(ENVIOS!$A$4:$A$3003,$D1194)=0,"NO EXISTE",IF(COUNTIFS(ENVIOS!$A$4:$A$3003,$D1194)&gt;1,"DUPLICADA","OK"))))</f>
        <v/>
      </c>
      <c r="F1194" s="28">
        <f>IF($D1194="","",IFERROR(INDEX(ENVIOS!$B$4:$B$3003,MATCH($D1194,ENVIOS!$A$4:$A$3003,0)),"—"))</f>
        <v/>
      </c>
      <c r="G1194" s="23">
        <f>IF($D1194="","",IFERROR(INDEX(ENVIOS!$D$4:$D$3003,MATCH($D1194,ENVIOS!$A$4:$A$3003,0)),"—"))</f>
        <v/>
      </c>
      <c r="H1194" s="23">
        <f>IF($D1194="","",IFERROR(INDEX(ENVIOS!$E$4:$E$3003,MATCH($D1194,ENVIOS!$A$4:$A$3003,0)),"—"))</f>
        <v/>
      </c>
      <c r="I1194" s="23">
        <f>IF($D1194="","",IFERROR(INDEX(ENVIOS!$F$4:$F$3003,MATCH($D1194,ENVIOS!$A$4:$A$3003,0)),"—"))</f>
        <v/>
      </c>
      <c r="J1194" s="23">
        <f>IF($D1194="","",IFERROR(INDEX(ENVIOS!$G$4:$G$3003,MATCH($D1194,ENVIOS!$A$4:$A$3003,0)),"—"))</f>
        <v/>
      </c>
      <c r="K1194" s="28">
        <f>IF($D1194="","",IFERROR(INDEX(ENVIOS!$H$4:$H$3003,MATCH($D1194,ENVIOS!$A$4:$A$3003,0)),"—"))</f>
        <v/>
      </c>
      <c r="L1194" s="49">
        <f>IF($D1194="","",IFERROR(INDEX(ENVIOS!$C$4:$C$3003,MATCH($D1194,ENVIOS!$A$4:$A$3003,0)),""))</f>
        <v/>
      </c>
      <c r="M1194" s="50" t="n"/>
      <c r="N1194" s="28">
        <f>IF($M1194="","",IFERROR(INDEX(CONFIG!$C$4:$C$63,MATCH($M1194,CONFIG!$A$4:$A$63,0)),"Media"))</f>
        <v/>
      </c>
      <c r="O1194" s="28">
        <f>IF($M1194="","",IF($C1194="Interna","NO",IFERROR(INDEX(CONFIG!$E$4:$E$63,MATCH($M1194,CONFIG!$A$4:$A$63,0)),"NO")))</f>
        <v/>
      </c>
      <c r="P1194" s="50" t="n"/>
      <c r="Q1194" s="50" t="n"/>
      <c r="R1194" s="28">
        <f>IF($Q1194="","",IFERROR(INDEX(CONFIG!$H$4:$H$63,MATCH($Q1194,CONFIG!$G$4:$G$63,0)),"Por definir"))</f>
        <v/>
      </c>
      <c r="S1194" s="28">
        <f>IF($Q1194="","",IFERROR(INDEX(CONFIG!$I$4:$I$63,MATCH($Q1194,CONFIG!$G$4:$G$63,0)),"Por definir"))</f>
        <v/>
      </c>
      <c r="T1194" s="51" t="n"/>
      <c r="U1194" s="52" t="n"/>
      <c r="V1194" s="50" t="n"/>
      <c r="W1194" s="50" t="n"/>
      <c r="X1194" s="49">
        <f>IF(OR($B1194="",$M1194=""),"",WORKDAY($B1194,IFERROR(INDEX(CONFIG!$D$4:$D$63,MATCH($M1194,CONFIG!$A$4:$A$63,0)),3)))</f>
        <v/>
      </c>
      <c r="Y1194" s="47" t="n"/>
      <c r="Z1194" s="24">
        <f>IF($B1194="","",IF($Y1194&lt;&gt;"",$Y1194-$B1194,TODAY()-$B1194))</f>
        <v/>
      </c>
      <c r="AA1194" s="28">
        <f>IF($B1194="","",IF(IFERROR(INDEX(CONFIG!$L$4:$L$63,MATCH($V1194,CONFIG!$K$4:$K$63,0)),"NO")="SÍ",IF(OR($Y1194="",$X1194=""),"Resuelta",IF($Y1194&gt;$X1194,"Resuelta tarde","Resuelta a tiempo")),IF($X1194="","Sin clasificar",IF(TODAY()&gt;$X1194,"Vencida",IF(TODAY()&gt;=$X1194-1,"Por vencer","En plazo")))))</f>
        <v/>
      </c>
      <c r="AB1194" s="50" t="n"/>
      <c r="AC1194" s="50" t="n"/>
    </row>
    <row r="1195" ht="16" customHeight="1">
      <c r="A1195" s="28">
        <f>IF($B1195="","","N-"&amp;TEXT(ROW()-3,"0000"))</f>
        <v/>
      </c>
      <c r="B1195" s="47" t="n"/>
      <c r="C1195" s="48" t="n"/>
      <c r="D1195" s="48" t="n"/>
      <c r="E1195" s="28">
        <f>IF($C1195="","",IF($D1195="",IF($C1195="Interna","Sin guía (interna)","FALTA GUÍA"),IF(COUNTIFS(ENVIOS!$A$4:$A$3003,$D1195)=0,"NO EXISTE",IF(COUNTIFS(ENVIOS!$A$4:$A$3003,$D1195)&gt;1,"DUPLICADA","OK"))))</f>
        <v/>
      </c>
      <c r="F1195" s="28">
        <f>IF($D1195="","",IFERROR(INDEX(ENVIOS!$B$4:$B$3003,MATCH($D1195,ENVIOS!$A$4:$A$3003,0)),"—"))</f>
        <v/>
      </c>
      <c r="G1195" s="23">
        <f>IF($D1195="","",IFERROR(INDEX(ENVIOS!$D$4:$D$3003,MATCH($D1195,ENVIOS!$A$4:$A$3003,0)),"—"))</f>
        <v/>
      </c>
      <c r="H1195" s="23">
        <f>IF($D1195="","",IFERROR(INDEX(ENVIOS!$E$4:$E$3003,MATCH($D1195,ENVIOS!$A$4:$A$3003,0)),"—"))</f>
        <v/>
      </c>
      <c r="I1195" s="23">
        <f>IF($D1195="","",IFERROR(INDEX(ENVIOS!$F$4:$F$3003,MATCH($D1195,ENVIOS!$A$4:$A$3003,0)),"—"))</f>
        <v/>
      </c>
      <c r="J1195" s="23">
        <f>IF($D1195="","",IFERROR(INDEX(ENVIOS!$G$4:$G$3003,MATCH($D1195,ENVIOS!$A$4:$A$3003,0)),"—"))</f>
        <v/>
      </c>
      <c r="K1195" s="28">
        <f>IF($D1195="","",IFERROR(INDEX(ENVIOS!$H$4:$H$3003,MATCH($D1195,ENVIOS!$A$4:$A$3003,0)),"—"))</f>
        <v/>
      </c>
      <c r="L1195" s="49">
        <f>IF($D1195="","",IFERROR(INDEX(ENVIOS!$C$4:$C$3003,MATCH($D1195,ENVIOS!$A$4:$A$3003,0)),""))</f>
        <v/>
      </c>
      <c r="M1195" s="50" t="n"/>
      <c r="N1195" s="28">
        <f>IF($M1195="","",IFERROR(INDEX(CONFIG!$C$4:$C$63,MATCH($M1195,CONFIG!$A$4:$A$63,0)),"Media"))</f>
        <v/>
      </c>
      <c r="O1195" s="28">
        <f>IF($M1195="","",IF($C1195="Interna","NO",IFERROR(INDEX(CONFIG!$E$4:$E$63,MATCH($M1195,CONFIG!$A$4:$A$63,0)),"NO")))</f>
        <v/>
      </c>
      <c r="P1195" s="50" t="n"/>
      <c r="Q1195" s="50" t="n"/>
      <c r="R1195" s="28">
        <f>IF($Q1195="","",IFERROR(INDEX(CONFIG!$H$4:$H$63,MATCH($Q1195,CONFIG!$G$4:$G$63,0)),"Por definir"))</f>
        <v/>
      </c>
      <c r="S1195" s="28">
        <f>IF($Q1195="","",IFERROR(INDEX(CONFIG!$I$4:$I$63,MATCH($Q1195,CONFIG!$G$4:$G$63,0)),"Por definir"))</f>
        <v/>
      </c>
      <c r="T1195" s="51" t="n"/>
      <c r="U1195" s="52" t="n"/>
      <c r="V1195" s="50" t="n"/>
      <c r="W1195" s="50" t="n"/>
      <c r="X1195" s="49">
        <f>IF(OR($B1195="",$M1195=""),"",WORKDAY($B1195,IFERROR(INDEX(CONFIG!$D$4:$D$63,MATCH($M1195,CONFIG!$A$4:$A$63,0)),3)))</f>
        <v/>
      </c>
      <c r="Y1195" s="47" t="n"/>
      <c r="Z1195" s="24">
        <f>IF($B1195="","",IF($Y1195&lt;&gt;"",$Y1195-$B1195,TODAY()-$B1195))</f>
        <v/>
      </c>
      <c r="AA1195" s="28">
        <f>IF($B1195="","",IF(IFERROR(INDEX(CONFIG!$L$4:$L$63,MATCH($V1195,CONFIG!$K$4:$K$63,0)),"NO")="SÍ",IF(OR($Y1195="",$X1195=""),"Resuelta",IF($Y1195&gt;$X1195,"Resuelta tarde","Resuelta a tiempo")),IF($X1195="","Sin clasificar",IF(TODAY()&gt;$X1195,"Vencida",IF(TODAY()&gt;=$X1195-1,"Por vencer","En plazo")))))</f>
        <v/>
      </c>
      <c r="AB1195" s="50" t="n"/>
      <c r="AC1195" s="50" t="n"/>
    </row>
    <row r="1196" ht="16" customHeight="1">
      <c r="A1196" s="28">
        <f>IF($B1196="","","N-"&amp;TEXT(ROW()-3,"0000"))</f>
        <v/>
      </c>
      <c r="B1196" s="47" t="n"/>
      <c r="C1196" s="48" t="n"/>
      <c r="D1196" s="48" t="n"/>
      <c r="E1196" s="28">
        <f>IF($C1196="","",IF($D1196="",IF($C1196="Interna","Sin guía (interna)","FALTA GUÍA"),IF(COUNTIFS(ENVIOS!$A$4:$A$3003,$D1196)=0,"NO EXISTE",IF(COUNTIFS(ENVIOS!$A$4:$A$3003,$D1196)&gt;1,"DUPLICADA","OK"))))</f>
        <v/>
      </c>
      <c r="F1196" s="28">
        <f>IF($D1196="","",IFERROR(INDEX(ENVIOS!$B$4:$B$3003,MATCH($D1196,ENVIOS!$A$4:$A$3003,0)),"—"))</f>
        <v/>
      </c>
      <c r="G1196" s="23">
        <f>IF($D1196="","",IFERROR(INDEX(ENVIOS!$D$4:$D$3003,MATCH($D1196,ENVIOS!$A$4:$A$3003,0)),"—"))</f>
        <v/>
      </c>
      <c r="H1196" s="23">
        <f>IF($D1196="","",IFERROR(INDEX(ENVIOS!$E$4:$E$3003,MATCH($D1196,ENVIOS!$A$4:$A$3003,0)),"—"))</f>
        <v/>
      </c>
      <c r="I1196" s="23">
        <f>IF($D1196="","",IFERROR(INDEX(ENVIOS!$F$4:$F$3003,MATCH($D1196,ENVIOS!$A$4:$A$3003,0)),"—"))</f>
        <v/>
      </c>
      <c r="J1196" s="23">
        <f>IF($D1196="","",IFERROR(INDEX(ENVIOS!$G$4:$G$3003,MATCH($D1196,ENVIOS!$A$4:$A$3003,0)),"—"))</f>
        <v/>
      </c>
      <c r="K1196" s="28">
        <f>IF($D1196="","",IFERROR(INDEX(ENVIOS!$H$4:$H$3003,MATCH($D1196,ENVIOS!$A$4:$A$3003,0)),"—"))</f>
        <v/>
      </c>
      <c r="L1196" s="49">
        <f>IF($D1196="","",IFERROR(INDEX(ENVIOS!$C$4:$C$3003,MATCH($D1196,ENVIOS!$A$4:$A$3003,0)),""))</f>
        <v/>
      </c>
      <c r="M1196" s="50" t="n"/>
      <c r="N1196" s="28">
        <f>IF($M1196="","",IFERROR(INDEX(CONFIG!$C$4:$C$63,MATCH($M1196,CONFIG!$A$4:$A$63,0)),"Media"))</f>
        <v/>
      </c>
      <c r="O1196" s="28">
        <f>IF($M1196="","",IF($C1196="Interna","NO",IFERROR(INDEX(CONFIG!$E$4:$E$63,MATCH($M1196,CONFIG!$A$4:$A$63,0)),"NO")))</f>
        <v/>
      </c>
      <c r="P1196" s="50" t="n"/>
      <c r="Q1196" s="50" t="n"/>
      <c r="R1196" s="28">
        <f>IF($Q1196="","",IFERROR(INDEX(CONFIG!$H$4:$H$63,MATCH($Q1196,CONFIG!$G$4:$G$63,0)),"Por definir"))</f>
        <v/>
      </c>
      <c r="S1196" s="28">
        <f>IF($Q1196="","",IFERROR(INDEX(CONFIG!$I$4:$I$63,MATCH($Q1196,CONFIG!$G$4:$G$63,0)),"Por definir"))</f>
        <v/>
      </c>
      <c r="T1196" s="51" t="n"/>
      <c r="U1196" s="52" t="n"/>
      <c r="V1196" s="50" t="n"/>
      <c r="W1196" s="50" t="n"/>
      <c r="X1196" s="49">
        <f>IF(OR($B1196="",$M1196=""),"",WORKDAY($B1196,IFERROR(INDEX(CONFIG!$D$4:$D$63,MATCH($M1196,CONFIG!$A$4:$A$63,0)),3)))</f>
        <v/>
      </c>
      <c r="Y1196" s="47" t="n"/>
      <c r="Z1196" s="24">
        <f>IF($B1196="","",IF($Y1196&lt;&gt;"",$Y1196-$B1196,TODAY()-$B1196))</f>
        <v/>
      </c>
      <c r="AA1196" s="28">
        <f>IF($B1196="","",IF(IFERROR(INDEX(CONFIG!$L$4:$L$63,MATCH($V1196,CONFIG!$K$4:$K$63,0)),"NO")="SÍ",IF(OR($Y1196="",$X1196=""),"Resuelta",IF($Y1196&gt;$X1196,"Resuelta tarde","Resuelta a tiempo")),IF($X1196="","Sin clasificar",IF(TODAY()&gt;$X1196,"Vencida",IF(TODAY()&gt;=$X1196-1,"Por vencer","En plazo")))))</f>
        <v/>
      </c>
      <c r="AB1196" s="50" t="n"/>
      <c r="AC1196" s="50" t="n"/>
    </row>
    <row r="1197" ht="16" customHeight="1">
      <c r="A1197" s="28">
        <f>IF($B1197="","","N-"&amp;TEXT(ROW()-3,"0000"))</f>
        <v/>
      </c>
      <c r="B1197" s="47" t="n"/>
      <c r="C1197" s="48" t="n"/>
      <c r="D1197" s="48" t="n"/>
      <c r="E1197" s="28">
        <f>IF($C1197="","",IF($D1197="",IF($C1197="Interna","Sin guía (interna)","FALTA GUÍA"),IF(COUNTIFS(ENVIOS!$A$4:$A$3003,$D1197)=0,"NO EXISTE",IF(COUNTIFS(ENVIOS!$A$4:$A$3003,$D1197)&gt;1,"DUPLICADA","OK"))))</f>
        <v/>
      </c>
      <c r="F1197" s="28">
        <f>IF($D1197="","",IFERROR(INDEX(ENVIOS!$B$4:$B$3003,MATCH($D1197,ENVIOS!$A$4:$A$3003,0)),"—"))</f>
        <v/>
      </c>
      <c r="G1197" s="23">
        <f>IF($D1197="","",IFERROR(INDEX(ENVIOS!$D$4:$D$3003,MATCH($D1197,ENVIOS!$A$4:$A$3003,0)),"—"))</f>
        <v/>
      </c>
      <c r="H1197" s="23">
        <f>IF($D1197="","",IFERROR(INDEX(ENVIOS!$E$4:$E$3003,MATCH($D1197,ENVIOS!$A$4:$A$3003,0)),"—"))</f>
        <v/>
      </c>
      <c r="I1197" s="23">
        <f>IF($D1197="","",IFERROR(INDEX(ENVIOS!$F$4:$F$3003,MATCH($D1197,ENVIOS!$A$4:$A$3003,0)),"—"))</f>
        <v/>
      </c>
      <c r="J1197" s="23">
        <f>IF($D1197="","",IFERROR(INDEX(ENVIOS!$G$4:$G$3003,MATCH($D1197,ENVIOS!$A$4:$A$3003,0)),"—"))</f>
        <v/>
      </c>
      <c r="K1197" s="28">
        <f>IF($D1197="","",IFERROR(INDEX(ENVIOS!$H$4:$H$3003,MATCH($D1197,ENVIOS!$A$4:$A$3003,0)),"—"))</f>
        <v/>
      </c>
      <c r="L1197" s="49">
        <f>IF($D1197="","",IFERROR(INDEX(ENVIOS!$C$4:$C$3003,MATCH($D1197,ENVIOS!$A$4:$A$3003,0)),""))</f>
        <v/>
      </c>
      <c r="M1197" s="50" t="n"/>
      <c r="N1197" s="28">
        <f>IF($M1197="","",IFERROR(INDEX(CONFIG!$C$4:$C$63,MATCH($M1197,CONFIG!$A$4:$A$63,0)),"Media"))</f>
        <v/>
      </c>
      <c r="O1197" s="28">
        <f>IF($M1197="","",IF($C1197="Interna","NO",IFERROR(INDEX(CONFIG!$E$4:$E$63,MATCH($M1197,CONFIG!$A$4:$A$63,0)),"NO")))</f>
        <v/>
      </c>
      <c r="P1197" s="50" t="n"/>
      <c r="Q1197" s="50" t="n"/>
      <c r="R1197" s="28">
        <f>IF($Q1197="","",IFERROR(INDEX(CONFIG!$H$4:$H$63,MATCH($Q1197,CONFIG!$G$4:$G$63,0)),"Por definir"))</f>
        <v/>
      </c>
      <c r="S1197" s="28">
        <f>IF($Q1197="","",IFERROR(INDEX(CONFIG!$I$4:$I$63,MATCH($Q1197,CONFIG!$G$4:$G$63,0)),"Por definir"))</f>
        <v/>
      </c>
      <c r="T1197" s="51" t="n"/>
      <c r="U1197" s="52" t="n"/>
      <c r="V1197" s="50" t="n"/>
      <c r="W1197" s="50" t="n"/>
      <c r="X1197" s="49">
        <f>IF(OR($B1197="",$M1197=""),"",WORKDAY($B1197,IFERROR(INDEX(CONFIG!$D$4:$D$63,MATCH($M1197,CONFIG!$A$4:$A$63,0)),3)))</f>
        <v/>
      </c>
      <c r="Y1197" s="47" t="n"/>
      <c r="Z1197" s="24">
        <f>IF($B1197="","",IF($Y1197&lt;&gt;"",$Y1197-$B1197,TODAY()-$B1197))</f>
        <v/>
      </c>
      <c r="AA1197" s="28">
        <f>IF($B1197="","",IF(IFERROR(INDEX(CONFIG!$L$4:$L$63,MATCH($V1197,CONFIG!$K$4:$K$63,0)),"NO")="SÍ",IF(OR($Y1197="",$X1197=""),"Resuelta",IF($Y1197&gt;$X1197,"Resuelta tarde","Resuelta a tiempo")),IF($X1197="","Sin clasificar",IF(TODAY()&gt;$X1197,"Vencida",IF(TODAY()&gt;=$X1197-1,"Por vencer","En plazo")))))</f>
        <v/>
      </c>
      <c r="AB1197" s="50" t="n"/>
      <c r="AC1197" s="50" t="n"/>
    </row>
    <row r="1198" ht="16" customHeight="1">
      <c r="A1198" s="28">
        <f>IF($B1198="","","N-"&amp;TEXT(ROW()-3,"0000"))</f>
        <v/>
      </c>
      <c r="B1198" s="47" t="n"/>
      <c r="C1198" s="48" t="n"/>
      <c r="D1198" s="48" t="n"/>
      <c r="E1198" s="28">
        <f>IF($C1198="","",IF($D1198="",IF($C1198="Interna","Sin guía (interna)","FALTA GUÍA"),IF(COUNTIFS(ENVIOS!$A$4:$A$3003,$D1198)=0,"NO EXISTE",IF(COUNTIFS(ENVIOS!$A$4:$A$3003,$D1198)&gt;1,"DUPLICADA","OK"))))</f>
        <v/>
      </c>
      <c r="F1198" s="28">
        <f>IF($D1198="","",IFERROR(INDEX(ENVIOS!$B$4:$B$3003,MATCH($D1198,ENVIOS!$A$4:$A$3003,0)),"—"))</f>
        <v/>
      </c>
      <c r="G1198" s="23">
        <f>IF($D1198="","",IFERROR(INDEX(ENVIOS!$D$4:$D$3003,MATCH($D1198,ENVIOS!$A$4:$A$3003,0)),"—"))</f>
        <v/>
      </c>
      <c r="H1198" s="23">
        <f>IF($D1198="","",IFERROR(INDEX(ENVIOS!$E$4:$E$3003,MATCH($D1198,ENVIOS!$A$4:$A$3003,0)),"—"))</f>
        <v/>
      </c>
      <c r="I1198" s="23">
        <f>IF($D1198="","",IFERROR(INDEX(ENVIOS!$F$4:$F$3003,MATCH($D1198,ENVIOS!$A$4:$A$3003,0)),"—"))</f>
        <v/>
      </c>
      <c r="J1198" s="23">
        <f>IF($D1198="","",IFERROR(INDEX(ENVIOS!$G$4:$G$3003,MATCH($D1198,ENVIOS!$A$4:$A$3003,0)),"—"))</f>
        <v/>
      </c>
      <c r="K1198" s="28">
        <f>IF($D1198="","",IFERROR(INDEX(ENVIOS!$H$4:$H$3003,MATCH($D1198,ENVIOS!$A$4:$A$3003,0)),"—"))</f>
        <v/>
      </c>
      <c r="L1198" s="49">
        <f>IF($D1198="","",IFERROR(INDEX(ENVIOS!$C$4:$C$3003,MATCH($D1198,ENVIOS!$A$4:$A$3003,0)),""))</f>
        <v/>
      </c>
      <c r="M1198" s="50" t="n"/>
      <c r="N1198" s="28">
        <f>IF($M1198="","",IFERROR(INDEX(CONFIG!$C$4:$C$63,MATCH($M1198,CONFIG!$A$4:$A$63,0)),"Media"))</f>
        <v/>
      </c>
      <c r="O1198" s="28">
        <f>IF($M1198="","",IF($C1198="Interna","NO",IFERROR(INDEX(CONFIG!$E$4:$E$63,MATCH($M1198,CONFIG!$A$4:$A$63,0)),"NO")))</f>
        <v/>
      </c>
      <c r="P1198" s="50" t="n"/>
      <c r="Q1198" s="50" t="n"/>
      <c r="R1198" s="28">
        <f>IF($Q1198="","",IFERROR(INDEX(CONFIG!$H$4:$H$63,MATCH($Q1198,CONFIG!$G$4:$G$63,0)),"Por definir"))</f>
        <v/>
      </c>
      <c r="S1198" s="28">
        <f>IF($Q1198="","",IFERROR(INDEX(CONFIG!$I$4:$I$63,MATCH($Q1198,CONFIG!$G$4:$G$63,0)),"Por definir"))</f>
        <v/>
      </c>
      <c r="T1198" s="51" t="n"/>
      <c r="U1198" s="52" t="n"/>
      <c r="V1198" s="50" t="n"/>
      <c r="W1198" s="50" t="n"/>
      <c r="X1198" s="49">
        <f>IF(OR($B1198="",$M1198=""),"",WORKDAY($B1198,IFERROR(INDEX(CONFIG!$D$4:$D$63,MATCH($M1198,CONFIG!$A$4:$A$63,0)),3)))</f>
        <v/>
      </c>
      <c r="Y1198" s="47" t="n"/>
      <c r="Z1198" s="24">
        <f>IF($B1198="","",IF($Y1198&lt;&gt;"",$Y1198-$B1198,TODAY()-$B1198))</f>
        <v/>
      </c>
      <c r="AA1198" s="28">
        <f>IF($B1198="","",IF(IFERROR(INDEX(CONFIG!$L$4:$L$63,MATCH($V1198,CONFIG!$K$4:$K$63,0)),"NO")="SÍ",IF(OR($Y1198="",$X1198=""),"Resuelta",IF($Y1198&gt;$X1198,"Resuelta tarde","Resuelta a tiempo")),IF($X1198="","Sin clasificar",IF(TODAY()&gt;$X1198,"Vencida",IF(TODAY()&gt;=$X1198-1,"Por vencer","En plazo")))))</f>
        <v/>
      </c>
      <c r="AB1198" s="50" t="n"/>
      <c r="AC1198" s="50" t="n"/>
    </row>
    <row r="1199" ht="16" customHeight="1">
      <c r="A1199" s="28">
        <f>IF($B1199="","","N-"&amp;TEXT(ROW()-3,"0000"))</f>
        <v/>
      </c>
      <c r="B1199" s="47" t="n"/>
      <c r="C1199" s="48" t="n"/>
      <c r="D1199" s="48" t="n"/>
      <c r="E1199" s="28">
        <f>IF($C1199="","",IF($D1199="",IF($C1199="Interna","Sin guía (interna)","FALTA GUÍA"),IF(COUNTIFS(ENVIOS!$A$4:$A$3003,$D1199)=0,"NO EXISTE",IF(COUNTIFS(ENVIOS!$A$4:$A$3003,$D1199)&gt;1,"DUPLICADA","OK"))))</f>
        <v/>
      </c>
      <c r="F1199" s="28">
        <f>IF($D1199="","",IFERROR(INDEX(ENVIOS!$B$4:$B$3003,MATCH($D1199,ENVIOS!$A$4:$A$3003,0)),"—"))</f>
        <v/>
      </c>
      <c r="G1199" s="23">
        <f>IF($D1199="","",IFERROR(INDEX(ENVIOS!$D$4:$D$3003,MATCH($D1199,ENVIOS!$A$4:$A$3003,0)),"—"))</f>
        <v/>
      </c>
      <c r="H1199" s="23">
        <f>IF($D1199="","",IFERROR(INDEX(ENVIOS!$E$4:$E$3003,MATCH($D1199,ENVIOS!$A$4:$A$3003,0)),"—"))</f>
        <v/>
      </c>
      <c r="I1199" s="23">
        <f>IF($D1199="","",IFERROR(INDEX(ENVIOS!$F$4:$F$3003,MATCH($D1199,ENVIOS!$A$4:$A$3003,0)),"—"))</f>
        <v/>
      </c>
      <c r="J1199" s="23">
        <f>IF($D1199="","",IFERROR(INDEX(ENVIOS!$G$4:$G$3003,MATCH($D1199,ENVIOS!$A$4:$A$3003,0)),"—"))</f>
        <v/>
      </c>
      <c r="K1199" s="28">
        <f>IF($D1199="","",IFERROR(INDEX(ENVIOS!$H$4:$H$3003,MATCH($D1199,ENVIOS!$A$4:$A$3003,0)),"—"))</f>
        <v/>
      </c>
      <c r="L1199" s="49">
        <f>IF($D1199="","",IFERROR(INDEX(ENVIOS!$C$4:$C$3003,MATCH($D1199,ENVIOS!$A$4:$A$3003,0)),""))</f>
        <v/>
      </c>
      <c r="M1199" s="50" t="n"/>
      <c r="N1199" s="28">
        <f>IF($M1199="","",IFERROR(INDEX(CONFIG!$C$4:$C$63,MATCH($M1199,CONFIG!$A$4:$A$63,0)),"Media"))</f>
        <v/>
      </c>
      <c r="O1199" s="28">
        <f>IF($M1199="","",IF($C1199="Interna","NO",IFERROR(INDEX(CONFIG!$E$4:$E$63,MATCH($M1199,CONFIG!$A$4:$A$63,0)),"NO")))</f>
        <v/>
      </c>
      <c r="P1199" s="50" t="n"/>
      <c r="Q1199" s="50" t="n"/>
      <c r="R1199" s="28">
        <f>IF($Q1199="","",IFERROR(INDEX(CONFIG!$H$4:$H$63,MATCH($Q1199,CONFIG!$G$4:$G$63,0)),"Por definir"))</f>
        <v/>
      </c>
      <c r="S1199" s="28">
        <f>IF($Q1199="","",IFERROR(INDEX(CONFIG!$I$4:$I$63,MATCH($Q1199,CONFIG!$G$4:$G$63,0)),"Por definir"))</f>
        <v/>
      </c>
      <c r="T1199" s="51" t="n"/>
      <c r="U1199" s="52" t="n"/>
      <c r="V1199" s="50" t="n"/>
      <c r="W1199" s="50" t="n"/>
      <c r="X1199" s="49">
        <f>IF(OR($B1199="",$M1199=""),"",WORKDAY($B1199,IFERROR(INDEX(CONFIG!$D$4:$D$63,MATCH($M1199,CONFIG!$A$4:$A$63,0)),3)))</f>
        <v/>
      </c>
      <c r="Y1199" s="47" t="n"/>
      <c r="Z1199" s="24">
        <f>IF($B1199="","",IF($Y1199&lt;&gt;"",$Y1199-$B1199,TODAY()-$B1199))</f>
        <v/>
      </c>
      <c r="AA1199" s="28">
        <f>IF($B1199="","",IF(IFERROR(INDEX(CONFIG!$L$4:$L$63,MATCH($V1199,CONFIG!$K$4:$K$63,0)),"NO")="SÍ",IF(OR($Y1199="",$X1199=""),"Resuelta",IF($Y1199&gt;$X1199,"Resuelta tarde","Resuelta a tiempo")),IF($X1199="","Sin clasificar",IF(TODAY()&gt;$X1199,"Vencida",IF(TODAY()&gt;=$X1199-1,"Por vencer","En plazo")))))</f>
        <v/>
      </c>
      <c r="AB1199" s="50" t="n"/>
      <c r="AC1199" s="50" t="n"/>
    </row>
    <row r="1200" ht="16" customHeight="1">
      <c r="A1200" s="28">
        <f>IF($B1200="","","N-"&amp;TEXT(ROW()-3,"0000"))</f>
        <v/>
      </c>
      <c r="B1200" s="47" t="n"/>
      <c r="C1200" s="48" t="n"/>
      <c r="D1200" s="48" t="n"/>
      <c r="E1200" s="28">
        <f>IF($C1200="","",IF($D1200="",IF($C1200="Interna","Sin guía (interna)","FALTA GUÍA"),IF(COUNTIFS(ENVIOS!$A$4:$A$3003,$D1200)=0,"NO EXISTE",IF(COUNTIFS(ENVIOS!$A$4:$A$3003,$D1200)&gt;1,"DUPLICADA","OK"))))</f>
        <v/>
      </c>
      <c r="F1200" s="28">
        <f>IF($D1200="","",IFERROR(INDEX(ENVIOS!$B$4:$B$3003,MATCH($D1200,ENVIOS!$A$4:$A$3003,0)),"—"))</f>
        <v/>
      </c>
      <c r="G1200" s="23">
        <f>IF($D1200="","",IFERROR(INDEX(ENVIOS!$D$4:$D$3003,MATCH($D1200,ENVIOS!$A$4:$A$3003,0)),"—"))</f>
        <v/>
      </c>
      <c r="H1200" s="23">
        <f>IF($D1200="","",IFERROR(INDEX(ENVIOS!$E$4:$E$3003,MATCH($D1200,ENVIOS!$A$4:$A$3003,0)),"—"))</f>
        <v/>
      </c>
      <c r="I1200" s="23">
        <f>IF($D1200="","",IFERROR(INDEX(ENVIOS!$F$4:$F$3003,MATCH($D1200,ENVIOS!$A$4:$A$3003,0)),"—"))</f>
        <v/>
      </c>
      <c r="J1200" s="23">
        <f>IF($D1200="","",IFERROR(INDEX(ENVIOS!$G$4:$G$3003,MATCH($D1200,ENVIOS!$A$4:$A$3003,0)),"—"))</f>
        <v/>
      </c>
      <c r="K1200" s="28">
        <f>IF($D1200="","",IFERROR(INDEX(ENVIOS!$H$4:$H$3003,MATCH($D1200,ENVIOS!$A$4:$A$3003,0)),"—"))</f>
        <v/>
      </c>
      <c r="L1200" s="49">
        <f>IF($D1200="","",IFERROR(INDEX(ENVIOS!$C$4:$C$3003,MATCH($D1200,ENVIOS!$A$4:$A$3003,0)),""))</f>
        <v/>
      </c>
      <c r="M1200" s="50" t="n"/>
      <c r="N1200" s="28">
        <f>IF($M1200="","",IFERROR(INDEX(CONFIG!$C$4:$C$63,MATCH($M1200,CONFIG!$A$4:$A$63,0)),"Media"))</f>
        <v/>
      </c>
      <c r="O1200" s="28">
        <f>IF($M1200="","",IF($C1200="Interna","NO",IFERROR(INDEX(CONFIG!$E$4:$E$63,MATCH($M1200,CONFIG!$A$4:$A$63,0)),"NO")))</f>
        <v/>
      </c>
      <c r="P1200" s="50" t="n"/>
      <c r="Q1200" s="50" t="n"/>
      <c r="R1200" s="28">
        <f>IF($Q1200="","",IFERROR(INDEX(CONFIG!$H$4:$H$63,MATCH($Q1200,CONFIG!$G$4:$G$63,0)),"Por definir"))</f>
        <v/>
      </c>
      <c r="S1200" s="28">
        <f>IF($Q1200="","",IFERROR(INDEX(CONFIG!$I$4:$I$63,MATCH($Q1200,CONFIG!$G$4:$G$63,0)),"Por definir"))</f>
        <v/>
      </c>
      <c r="T1200" s="51" t="n"/>
      <c r="U1200" s="52" t="n"/>
      <c r="V1200" s="50" t="n"/>
      <c r="W1200" s="50" t="n"/>
      <c r="X1200" s="49">
        <f>IF(OR($B1200="",$M1200=""),"",WORKDAY($B1200,IFERROR(INDEX(CONFIG!$D$4:$D$63,MATCH($M1200,CONFIG!$A$4:$A$63,0)),3)))</f>
        <v/>
      </c>
      <c r="Y1200" s="47" t="n"/>
      <c r="Z1200" s="24">
        <f>IF($B1200="","",IF($Y1200&lt;&gt;"",$Y1200-$B1200,TODAY()-$B1200))</f>
        <v/>
      </c>
      <c r="AA1200" s="28">
        <f>IF($B1200="","",IF(IFERROR(INDEX(CONFIG!$L$4:$L$63,MATCH($V1200,CONFIG!$K$4:$K$63,0)),"NO")="SÍ",IF(OR($Y1200="",$X1200=""),"Resuelta",IF($Y1200&gt;$X1200,"Resuelta tarde","Resuelta a tiempo")),IF($X1200="","Sin clasificar",IF(TODAY()&gt;$X1200,"Vencida",IF(TODAY()&gt;=$X1200-1,"Por vencer","En plazo")))))</f>
        <v/>
      </c>
      <c r="AB1200" s="50" t="n"/>
      <c r="AC1200" s="50" t="n"/>
    </row>
    <row r="1201" ht="16" customHeight="1">
      <c r="A1201" s="28">
        <f>IF($B1201="","","N-"&amp;TEXT(ROW()-3,"0000"))</f>
        <v/>
      </c>
      <c r="B1201" s="47" t="n"/>
      <c r="C1201" s="48" t="n"/>
      <c r="D1201" s="48" t="n"/>
      <c r="E1201" s="28">
        <f>IF($C1201="","",IF($D1201="",IF($C1201="Interna","Sin guía (interna)","FALTA GUÍA"),IF(COUNTIFS(ENVIOS!$A$4:$A$3003,$D1201)=0,"NO EXISTE",IF(COUNTIFS(ENVIOS!$A$4:$A$3003,$D1201)&gt;1,"DUPLICADA","OK"))))</f>
        <v/>
      </c>
      <c r="F1201" s="28">
        <f>IF($D1201="","",IFERROR(INDEX(ENVIOS!$B$4:$B$3003,MATCH($D1201,ENVIOS!$A$4:$A$3003,0)),"—"))</f>
        <v/>
      </c>
      <c r="G1201" s="23">
        <f>IF($D1201="","",IFERROR(INDEX(ENVIOS!$D$4:$D$3003,MATCH($D1201,ENVIOS!$A$4:$A$3003,0)),"—"))</f>
        <v/>
      </c>
      <c r="H1201" s="23">
        <f>IF($D1201="","",IFERROR(INDEX(ENVIOS!$E$4:$E$3003,MATCH($D1201,ENVIOS!$A$4:$A$3003,0)),"—"))</f>
        <v/>
      </c>
      <c r="I1201" s="23">
        <f>IF($D1201="","",IFERROR(INDEX(ENVIOS!$F$4:$F$3003,MATCH($D1201,ENVIOS!$A$4:$A$3003,0)),"—"))</f>
        <v/>
      </c>
      <c r="J1201" s="23">
        <f>IF($D1201="","",IFERROR(INDEX(ENVIOS!$G$4:$G$3003,MATCH($D1201,ENVIOS!$A$4:$A$3003,0)),"—"))</f>
        <v/>
      </c>
      <c r="K1201" s="28">
        <f>IF($D1201="","",IFERROR(INDEX(ENVIOS!$H$4:$H$3003,MATCH($D1201,ENVIOS!$A$4:$A$3003,0)),"—"))</f>
        <v/>
      </c>
      <c r="L1201" s="49">
        <f>IF($D1201="","",IFERROR(INDEX(ENVIOS!$C$4:$C$3003,MATCH($D1201,ENVIOS!$A$4:$A$3003,0)),""))</f>
        <v/>
      </c>
      <c r="M1201" s="50" t="n"/>
      <c r="N1201" s="28">
        <f>IF($M1201="","",IFERROR(INDEX(CONFIG!$C$4:$C$63,MATCH($M1201,CONFIG!$A$4:$A$63,0)),"Media"))</f>
        <v/>
      </c>
      <c r="O1201" s="28">
        <f>IF($M1201="","",IF($C1201="Interna","NO",IFERROR(INDEX(CONFIG!$E$4:$E$63,MATCH($M1201,CONFIG!$A$4:$A$63,0)),"NO")))</f>
        <v/>
      </c>
      <c r="P1201" s="50" t="n"/>
      <c r="Q1201" s="50" t="n"/>
      <c r="R1201" s="28">
        <f>IF($Q1201="","",IFERROR(INDEX(CONFIG!$H$4:$H$63,MATCH($Q1201,CONFIG!$G$4:$G$63,0)),"Por definir"))</f>
        <v/>
      </c>
      <c r="S1201" s="28">
        <f>IF($Q1201="","",IFERROR(INDEX(CONFIG!$I$4:$I$63,MATCH($Q1201,CONFIG!$G$4:$G$63,0)),"Por definir"))</f>
        <v/>
      </c>
      <c r="T1201" s="51" t="n"/>
      <c r="U1201" s="52" t="n"/>
      <c r="V1201" s="50" t="n"/>
      <c r="W1201" s="50" t="n"/>
      <c r="X1201" s="49">
        <f>IF(OR($B1201="",$M1201=""),"",WORKDAY($B1201,IFERROR(INDEX(CONFIG!$D$4:$D$63,MATCH($M1201,CONFIG!$A$4:$A$63,0)),3)))</f>
        <v/>
      </c>
      <c r="Y1201" s="47" t="n"/>
      <c r="Z1201" s="24">
        <f>IF($B1201="","",IF($Y1201&lt;&gt;"",$Y1201-$B1201,TODAY()-$B1201))</f>
        <v/>
      </c>
      <c r="AA1201" s="28">
        <f>IF($B1201="","",IF(IFERROR(INDEX(CONFIG!$L$4:$L$63,MATCH($V1201,CONFIG!$K$4:$K$63,0)),"NO")="SÍ",IF(OR($Y1201="",$X1201=""),"Resuelta",IF($Y1201&gt;$X1201,"Resuelta tarde","Resuelta a tiempo")),IF($X1201="","Sin clasificar",IF(TODAY()&gt;$X1201,"Vencida",IF(TODAY()&gt;=$X1201-1,"Por vencer","En plazo")))))</f>
        <v/>
      </c>
      <c r="AB1201" s="50" t="n"/>
      <c r="AC1201" s="50" t="n"/>
    </row>
    <row r="1202" ht="16" customHeight="1">
      <c r="A1202" s="28">
        <f>IF($B1202="","","N-"&amp;TEXT(ROW()-3,"0000"))</f>
        <v/>
      </c>
      <c r="B1202" s="47" t="n"/>
      <c r="C1202" s="48" t="n"/>
      <c r="D1202" s="48" t="n"/>
      <c r="E1202" s="28">
        <f>IF($C1202="","",IF($D1202="",IF($C1202="Interna","Sin guía (interna)","FALTA GUÍA"),IF(COUNTIFS(ENVIOS!$A$4:$A$3003,$D1202)=0,"NO EXISTE",IF(COUNTIFS(ENVIOS!$A$4:$A$3003,$D1202)&gt;1,"DUPLICADA","OK"))))</f>
        <v/>
      </c>
      <c r="F1202" s="28">
        <f>IF($D1202="","",IFERROR(INDEX(ENVIOS!$B$4:$B$3003,MATCH($D1202,ENVIOS!$A$4:$A$3003,0)),"—"))</f>
        <v/>
      </c>
      <c r="G1202" s="23">
        <f>IF($D1202="","",IFERROR(INDEX(ENVIOS!$D$4:$D$3003,MATCH($D1202,ENVIOS!$A$4:$A$3003,0)),"—"))</f>
        <v/>
      </c>
      <c r="H1202" s="23">
        <f>IF($D1202="","",IFERROR(INDEX(ENVIOS!$E$4:$E$3003,MATCH($D1202,ENVIOS!$A$4:$A$3003,0)),"—"))</f>
        <v/>
      </c>
      <c r="I1202" s="23">
        <f>IF($D1202="","",IFERROR(INDEX(ENVIOS!$F$4:$F$3003,MATCH($D1202,ENVIOS!$A$4:$A$3003,0)),"—"))</f>
        <v/>
      </c>
      <c r="J1202" s="23">
        <f>IF($D1202="","",IFERROR(INDEX(ENVIOS!$G$4:$G$3003,MATCH($D1202,ENVIOS!$A$4:$A$3003,0)),"—"))</f>
        <v/>
      </c>
      <c r="K1202" s="28">
        <f>IF($D1202="","",IFERROR(INDEX(ENVIOS!$H$4:$H$3003,MATCH($D1202,ENVIOS!$A$4:$A$3003,0)),"—"))</f>
        <v/>
      </c>
      <c r="L1202" s="49">
        <f>IF($D1202="","",IFERROR(INDEX(ENVIOS!$C$4:$C$3003,MATCH($D1202,ENVIOS!$A$4:$A$3003,0)),""))</f>
        <v/>
      </c>
      <c r="M1202" s="50" t="n"/>
      <c r="N1202" s="28">
        <f>IF($M1202="","",IFERROR(INDEX(CONFIG!$C$4:$C$63,MATCH($M1202,CONFIG!$A$4:$A$63,0)),"Media"))</f>
        <v/>
      </c>
      <c r="O1202" s="28">
        <f>IF($M1202="","",IF($C1202="Interna","NO",IFERROR(INDEX(CONFIG!$E$4:$E$63,MATCH($M1202,CONFIG!$A$4:$A$63,0)),"NO")))</f>
        <v/>
      </c>
      <c r="P1202" s="50" t="n"/>
      <c r="Q1202" s="50" t="n"/>
      <c r="R1202" s="28">
        <f>IF($Q1202="","",IFERROR(INDEX(CONFIG!$H$4:$H$63,MATCH($Q1202,CONFIG!$G$4:$G$63,0)),"Por definir"))</f>
        <v/>
      </c>
      <c r="S1202" s="28">
        <f>IF($Q1202="","",IFERROR(INDEX(CONFIG!$I$4:$I$63,MATCH($Q1202,CONFIG!$G$4:$G$63,0)),"Por definir"))</f>
        <v/>
      </c>
      <c r="T1202" s="51" t="n"/>
      <c r="U1202" s="52" t="n"/>
      <c r="V1202" s="50" t="n"/>
      <c r="W1202" s="50" t="n"/>
      <c r="X1202" s="49">
        <f>IF(OR($B1202="",$M1202=""),"",WORKDAY($B1202,IFERROR(INDEX(CONFIG!$D$4:$D$63,MATCH($M1202,CONFIG!$A$4:$A$63,0)),3)))</f>
        <v/>
      </c>
      <c r="Y1202" s="47" t="n"/>
      <c r="Z1202" s="24">
        <f>IF($B1202="","",IF($Y1202&lt;&gt;"",$Y1202-$B1202,TODAY()-$B1202))</f>
        <v/>
      </c>
      <c r="AA1202" s="28">
        <f>IF($B1202="","",IF(IFERROR(INDEX(CONFIG!$L$4:$L$63,MATCH($V1202,CONFIG!$K$4:$K$63,0)),"NO")="SÍ",IF(OR($Y1202="",$X1202=""),"Resuelta",IF($Y1202&gt;$X1202,"Resuelta tarde","Resuelta a tiempo")),IF($X1202="","Sin clasificar",IF(TODAY()&gt;$X1202,"Vencida",IF(TODAY()&gt;=$X1202-1,"Por vencer","En plazo")))))</f>
        <v/>
      </c>
      <c r="AB1202" s="50" t="n"/>
      <c r="AC1202" s="50" t="n"/>
    </row>
    <row r="1203" ht="16" customHeight="1">
      <c r="A1203" s="28">
        <f>IF($B1203="","","N-"&amp;TEXT(ROW()-3,"0000"))</f>
        <v/>
      </c>
      <c r="B1203" s="47" t="n"/>
      <c r="C1203" s="48" t="n"/>
      <c r="D1203" s="48" t="n"/>
      <c r="E1203" s="28">
        <f>IF($C1203="","",IF($D1203="",IF($C1203="Interna","Sin guía (interna)","FALTA GUÍA"),IF(COUNTIFS(ENVIOS!$A$4:$A$3003,$D1203)=0,"NO EXISTE",IF(COUNTIFS(ENVIOS!$A$4:$A$3003,$D1203)&gt;1,"DUPLICADA","OK"))))</f>
        <v/>
      </c>
      <c r="F1203" s="28">
        <f>IF($D1203="","",IFERROR(INDEX(ENVIOS!$B$4:$B$3003,MATCH($D1203,ENVIOS!$A$4:$A$3003,0)),"—"))</f>
        <v/>
      </c>
      <c r="G1203" s="23">
        <f>IF($D1203="","",IFERROR(INDEX(ENVIOS!$D$4:$D$3003,MATCH($D1203,ENVIOS!$A$4:$A$3003,0)),"—"))</f>
        <v/>
      </c>
      <c r="H1203" s="23">
        <f>IF($D1203="","",IFERROR(INDEX(ENVIOS!$E$4:$E$3003,MATCH($D1203,ENVIOS!$A$4:$A$3003,0)),"—"))</f>
        <v/>
      </c>
      <c r="I1203" s="23">
        <f>IF($D1203="","",IFERROR(INDEX(ENVIOS!$F$4:$F$3003,MATCH($D1203,ENVIOS!$A$4:$A$3003,0)),"—"))</f>
        <v/>
      </c>
      <c r="J1203" s="23">
        <f>IF($D1203="","",IFERROR(INDEX(ENVIOS!$G$4:$G$3003,MATCH($D1203,ENVIOS!$A$4:$A$3003,0)),"—"))</f>
        <v/>
      </c>
      <c r="K1203" s="28">
        <f>IF($D1203="","",IFERROR(INDEX(ENVIOS!$H$4:$H$3003,MATCH($D1203,ENVIOS!$A$4:$A$3003,0)),"—"))</f>
        <v/>
      </c>
      <c r="L1203" s="49">
        <f>IF($D1203="","",IFERROR(INDEX(ENVIOS!$C$4:$C$3003,MATCH($D1203,ENVIOS!$A$4:$A$3003,0)),""))</f>
        <v/>
      </c>
      <c r="M1203" s="50" t="n"/>
      <c r="N1203" s="28">
        <f>IF($M1203="","",IFERROR(INDEX(CONFIG!$C$4:$C$63,MATCH($M1203,CONFIG!$A$4:$A$63,0)),"Media"))</f>
        <v/>
      </c>
      <c r="O1203" s="28">
        <f>IF($M1203="","",IF($C1203="Interna","NO",IFERROR(INDEX(CONFIG!$E$4:$E$63,MATCH($M1203,CONFIG!$A$4:$A$63,0)),"NO")))</f>
        <v/>
      </c>
      <c r="P1203" s="50" t="n"/>
      <c r="Q1203" s="50" t="n"/>
      <c r="R1203" s="28">
        <f>IF($Q1203="","",IFERROR(INDEX(CONFIG!$H$4:$H$63,MATCH($Q1203,CONFIG!$G$4:$G$63,0)),"Por definir"))</f>
        <v/>
      </c>
      <c r="S1203" s="28">
        <f>IF($Q1203="","",IFERROR(INDEX(CONFIG!$I$4:$I$63,MATCH($Q1203,CONFIG!$G$4:$G$63,0)),"Por definir"))</f>
        <v/>
      </c>
      <c r="T1203" s="51" t="n"/>
      <c r="U1203" s="52" t="n"/>
      <c r="V1203" s="50" t="n"/>
      <c r="W1203" s="50" t="n"/>
      <c r="X1203" s="49">
        <f>IF(OR($B1203="",$M1203=""),"",WORKDAY($B1203,IFERROR(INDEX(CONFIG!$D$4:$D$63,MATCH($M1203,CONFIG!$A$4:$A$63,0)),3)))</f>
        <v/>
      </c>
      <c r="Y1203" s="47" t="n"/>
      <c r="Z1203" s="24">
        <f>IF($B1203="","",IF($Y1203&lt;&gt;"",$Y1203-$B1203,TODAY()-$B1203))</f>
        <v/>
      </c>
      <c r="AA1203" s="28">
        <f>IF($B1203="","",IF(IFERROR(INDEX(CONFIG!$L$4:$L$63,MATCH($V1203,CONFIG!$K$4:$K$63,0)),"NO")="SÍ",IF(OR($Y1203="",$X1203=""),"Resuelta",IF($Y1203&gt;$X1203,"Resuelta tarde","Resuelta a tiempo")),IF($X1203="","Sin clasificar",IF(TODAY()&gt;$X1203,"Vencida",IF(TODAY()&gt;=$X1203-1,"Por vencer","En plazo")))))</f>
        <v/>
      </c>
      <c r="AB1203" s="50" t="n"/>
      <c r="AC1203" s="50" t="n"/>
    </row>
    <row r="1204" ht="16" customHeight="1">
      <c r="A1204" s="28">
        <f>IF($B1204="","","N-"&amp;TEXT(ROW()-3,"0000"))</f>
        <v/>
      </c>
      <c r="B1204" s="47" t="n"/>
      <c r="C1204" s="48" t="n"/>
      <c r="D1204" s="48" t="n"/>
      <c r="E1204" s="28">
        <f>IF($C1204="","",IF($D1204="",IF($C1204="Interna","Sin guía (interna)","FALTA GUÍA"),IF(COUNTIFS(ENVIOS!$A$4:$A$3003,$D1204)=0,"NO EXISTE",IF(COUNTIFS(ENVIOS!$A$4:$A$3003,$D1204)&gt;1,"DUPLICADA","OK"))))</f>
        <v/>
      </c>
      <c r="F1204" s="28">
        <f>IF($D1204="","",IFERROR(INDEX(ENVIOS!$B$4:$B$3003,MATCH($D1204,ENVIOS!$A$4:$A$3003,0)),"—"))</f>
        <v/>
      </c>
      <c r="G1204" s="23">
        <f>IF($D1204="","",IFERROR(INDEX(ENVIOS!$D$4:$D$3003,MATCH($D1204,ENVIOS!$A$4:$A$3003,0)),"—"))</f>
        <v/>
      </c>
      <c r="H1204" s="23">
        <f>IF($D1204="","",IFERROR(INDEX(ENVIOS!$E$4:$E$3003,MATCH($D1204,ENVIOS!$A$4:$A$3003,0)),"—"))</f>
        <v/>
      </c>
      <c r="I1204" s="23">
        <f>IF($D1204="","",IFERROR(INDEX(ENVIOS!$F$4:$F$3003,MATCH($D1204,ENVIOS!$A$4:$A$3003,0)),"—"))</f>
        <v/>
      </c>
      <c r="J1204" s="23">
        <f>IF($D1204="","",IFERROR(INDEX(ENVIOS!$G$4:$G$3003,MATCH($D1204,ENVIOS!$A$4:$A$3003,0)),"—"))</f>
        <v/>
      </c>
      <c r="K1204" s="28">
        <f>IF($D1204="","",IFERROR(INDEX(ENVIOS!$H$4:$H$3003,MATCH($D1204,ENVIOS!$A$4:$A$3003,0)),"—"))</f>
        <v/>
      </c>
      <c r="L1204" s="49">
        <f>IF($D1204="","",IFERROR(INDEX(ENVIOS!$C$4:$C$3003,MATCH($D1204,ENVIOS!$A$4:$A$3003,0)),""))</f>
        <v/>
      </c>
      <c r="M1204" s="50" t="n"/>
      <c r="N1204" s="28">
        <f>IF($M1204="","",IFERROR(INDEX(CONFIG!$C$4:$C$63,MATCH($M1204,CONFIG!$A$4:$A$63,0)),"Media"))</f>
        <v/>
      </c>
      <c r="O1204" s="28">
        <f>IF($M1204="","",IF($C1204="Interna","NO",IFERROR(INDEX(CONFIG!$E$4:$E$63,MATCH($M1204,CONFIG!$A$4:$A$63,0)),"NO")))</f>
        <v/>
      </c>
      <c r="P1204" s="50" t="n"/>
      <c r="Q1204" s="50" t="n"/>
      <c r="R1204" s="28">
        <f>IF($Q1204="","",IFERROR(INDEX(CONFIG!$H$4:$H$63,MATCH($Q1204,CONFIG!$G$4:$G$63,0)),"Por definir"))</f>
        <v/>
      </c>
      <c r="S1204" s="28">
        <f>IF($Q1204="","",IFERROR(INDEX(CONFIG!$I$4:$I$63,MATCH($Q1204,CONFIG!$G$4:$G$63,0)),"Por definir"))</f>
        <v/>
      </c>
      <c r="T1204" s="51" t="n"/>
      <c r="U1204" s="52" t="n"/>
      <c r="V1204" s="50" t="n"/>
      <c r="W1204" s="50" t="n"/>
      <c r="X1204" s="49">
        <f>IF(OR($B1204="",$M1204=""),"",WORKDAY($B1204,IFERROR(INDEX(CONFIG!$D$4:$D$63,MATCH($M1204,CONFIG!$A$4:$A$63,0)),3)))</f>
        <v/>
      </c>
      <c r="Y1204" s="47" t="n"/>
      <c r="Z1204" s="24">
        <f>IF($B1204="","",IF($Y1204&lt;&gt;"",$Y1204-$B1204,TODAY()-$B1204))</f>
        <v/>
      </c>
      <c r="AA1204" s="28">
        <f>IF($B1204="","",IF(IFERROR(INDEX(CONFIG!$L$4:$L$63,MATCH($V1204,CONFIG!$K$4:$K$63,0)),"NO")="SÍ",IF(OR($Y1204="",$X1204=""),"Resuelta",IF($Y1204&gt;$X1204,"Resuelta tarde","Resuelta a tiempo")),IF($X1204="","Sin clasificar",IF(TODAY()&gt;$X1204,"Vencida",IF(TODAY()&gt;=$X1204-1,"Por vencer","En plazo")))))</f>
        <v/>
      </c>
      <c r="AB1204" s="50" t="n"/>
      <c r="AC1204" s="50" t="n"/>
    </row>
    <row r="1205" ht="16" customHeight="1">
      <c r="A1205" s="28">
        <f>IF($B1205="","","N-"&amp;TEXT(ROW()-3,"0000"))</f>
        <v/>
      </c>
      <c r="B1205" s="47" t="n"/>
      <c r="C1205" s="48" t="n"/>
      <c r="D1205" s="48" t="n"/>
      <c r="E1205" s="28">
        <f>IF($C1205="","",IF($D1205="",IF($C1205="Interna","Sin guía (interna)","FALTA GUÍA"),IF(COUNTIFS(ENVIOS!$A$4:$A$3003,$D1205)=0,"NO EXISTE",IF(COUNTIFS(ENVIOS!$A$4:$A$3003,$D1205)&gt;1,"DUPLICADA","OK"))))</f>
        <v/>
      </c>
      <c r="F1205" s="28">
        <f>IF($D1205="","",IFERROR(INDEX(ENVIOS!$B$4:$B$3003,MATCH($D1205,ENVIOS!$A$4:$A$3003,0)),"—"))</f>
        <v/>
      </c>
      <c r="G1205" s="23">
        <f>IF($D1205="","",IFERROR(INDEX(ENVIOS!$D$4:$D$3003,MATCH($D1205,ENVIOS!$A$4:$A$3003,0)),"—"))</f>
        <v/>
      </c>
      <c r="H1205" s="23">
        <f>IF($D1205="","",IFERROR(INDEX(ENVIOS!$E$4:$E$3003,MATCH($D1205,ENVIOS!$A$4:$A$3003,0)),"—"))</f>
        <v/>
      </c>
      <c r="I1205" s="23">
        <f>IF($D1205="","",IFERROR(INDEX(ENVIOS!$F$4:$F$3003,MATCH($D1205,ENVIOS!$A$4:$A$3003,0)),"—"))</f>
        <v/>
      </c>
      <c r="J1205" s="23">
        <f>IF($D1205="","",IFERROR(INDEX(ENVIOS!$G$4:$G$3003,MATCH($D1205,ENVIOS!$A$4:$A$3003,0)),"—"))</f>
        <v/>
      </c>
      <c r="K1205" s="28">
        <f>IF($D1205="","",IFERROR(INDEX(ENVIOS!$H$4:$H$3003,MATCH($D1205,ENVIOS!$A$4:$A$3003,0)),"—"))</f>
        <v/>
      </c>
      <c r="L1205" s="49">
        <f>IF($D1205="","",IFERROR(INDEX(ENVIOS!$C$4:$C$3003,MATCH($D1205,ENVIOS!$A$4:$A$3003,0)),""))</f>
        <v/>
      </c>
      <c r="M1205" s="50" t="n"/>
      <c r="N1205" s="28">
        <f>IF($M1205="","",IFERROR(INDEX(CONFIG!$C$4:$C$63,MATCH($M1205,CONFIG!$A$4:$A$63,0)),"Media"))</f>
        <v/>
      </c>
      <c r="O1205" s="28">
        <f>IF($M1205="","",IF($C1205="Interna","NO",IFERROR(INDEX(CONFIG!$E$4:$E$63,MATCH($M1205,CONFIG!$A$4:$A$63,0)),"NO")))</f>
        <v/>
      </c>
      <c r="P1205" s="50" t="n"/>
      <c r="Q1205" s="50" t="n"/>
      <c r="R1205" s="28">
        <f>IF($Q1205="","",IFERROR(INDEX(CONFIG!$H$4:$H$63,MATCH($Q1205,CONFIG!$G$4:$G$63,0)),"Por definir"))</f>
        <v/>
      </c>
      <c r="S1205" s="28">
        <f>IF($Q1205="","",IFERROR(INDEX(CONFIG!$I$4:$I$63,MATCH($Q1205,CONFIG!$G$4:$G$63,0)),"Por definir"))</f>
        <v/>
      </c>
      <c r="T1205" s="51" t="n"/>
      <c r="U1205" s="52" t="n"/>
      <c r="V1205" s="50" t="n"/>
      <c r="W1205" s="50" t="n"/>
      <c r="X1205" s="49">
        <f>IF(OR($B1205="",$M1205=""),"",WORKDAY($B1205,IFERROR(INDEX(CONFIG!$D$4:$D$63,MATCH($M1205,CONFIG!$A$4:$A$63,0)),3)))</f>
        <v/>
      </c>
      <c r="Y1205" s="47" t="n"/>
      <c r="Z1205" s="24">
        <f>IF($B1205="","",IF($Y1205&lt;&gt;"",$Y1205-$B1205,TODAY()-$B1205))</f>
        <v/>
      </c>
      <c r="AA1205" s="28">
        <f>IF($B1205="","",IF(IFERROR(INDEX(CONFIG!$L$4:$L$63,MATCH($V1205,CONFIG!$K$4:$K$63,0)),"NO")="SÍ",IF(OR($Y1205="",$X1205=""),"Resuelta",IF($Y1205&gt;$X1205,"Resuelta tarde","Resuelta a tiempo")),IF($X1205="","Sin clasificar",IF(TODAY()&gt;$X1205,"Vencida",IF(TODAY()&gt;=$X1205-1,"Por vencer","En plazo")))))</f>
        <v/>
      </c>
      <c r="AB1205" s="50" t="n"/>
      <c r="AC1205" s="50" t="n"/>
    </row>
    <row r="1206" ht="16" customHeight="1">
      <c r="A1206" s="28">
        <f>IF($B1206="","","N-"&amp;TEXT(ROW()-3,"0000"))</f>
        <v/>
      </c>
      <c r="B1206" s="47" t="n"/>
      <c r="C1206" s="48" t="n"/>
      <c r="D1206" s="48" t="n"/>
      <c r="E1206" s="28">
        <f>IF($C1206="","",IF($D1206="",IF($C1206="Interna","Sin guía (interna)","FALTA GUÍA"),IF(COUNTIFS(ENVIOS!$A$4:$A$3003,$D1206)=0,"NO EXISTE",IF(COUNTIFS(ENVIOS!$A$4:$A$3003,$D1206)&gt;1,"DUPLICADA","OK"))))</f>
        <v/>
      </c>
      <c r="F1206" s="28">
        <f>IF($D1206="","",IFERROR(INDEX(ENVIOS!$B$4:$B$3003,MATCH($D1206,ENVIOS!$A$4:$A$3003,0)),"—"))</f>
        <v/>
      </c>
      <c r="G1206" s="23">
        <f>IF($D1206="","",IFERROR(INDEX(ENVIOS!$D$4:$D$3003,MATCH($D1206,ENVIOS!$A$4:$A$3003,0)),"—"))</f>
        <v/>
      </c>
      <c r="H1206" s="23">
        <f>IF($D1206="","",IFERROR(INDEX(ENVIOS!$E$4:$E$3003,MATCH($D1206,ENVIOS!$A$4:$A$3003,0)),"—"))</f>
        <v/>
      </c>
      <c r="I1206" s="23">
        <f>IF($D1206="","",IFERROR(INDEX(ENVIOS!$F$4:$F$3003,MATCH($D1206,ENVIOS!$A$4:$A$3003,0)),"—"))</f>
        <v/>
      </c>
      <c r="J1206" s="23">
        <f>IF($D1206="","",IFERROR(INDEX(ENVIOS!$G$4:$G$3003,MATCH($D1206,ENVIOS!$A$4:$A$3003,0)),"—"))</f>
        <v/>
      </c>
      <c r="K1206" s="28">
        <f>IF($D1206="","",IFERROR(INDEX(ENVIOS!$H$4:$H$3003,MATCH($D1206,ENVIOS!$A$4:$A$3003,0)),"—"))</f>
        <v/>
      </c>
      <c r="L1206" s="49">
        <f>IF($D1206="","",IFERROR(INDEX(ENVIOS!$C$4:$C$3003,MATCH($D1206,ENVIOS!$A$4:$A$3003,0)),""))</f>
        <v/>
      </c>
      <c r="M1206" s="50" t="n"/>
      <c r="N1206" s="28">
        <f>IF($M1206="","",IFERROR(INDEX(CONFIG!$C$4:$C$63,MATCH($M1206,CONFIG!$A$4:$A$63,0)),"Media"))</f>
        <v/>
      </c>
      <c r="O1206" s="28">
        <f>IF($M1206="","",IF($C1206="Interna","NO",IFERROR(INDEX(CONFIG!$E$4:$E$63,MATCH($M1206,CONFIG!$A$4:$A$63,0)),"NO")))</f>
        <v/>
      </c>
      <c r="P1206" s="50" t="n"/>
      <c r="Q1206" s="50" t="n"/>
      <c r="R1206" s="28">
        <f>IF($Q1206="","",IFERROR(INDEX(CONFIG!$H$4:$H$63,MATCH($Q1206,CONFIG!$G$4:$G$63,0)),"Por definir"))</f>
        <v/>
      </c>
      <c r="S1206" s="28">
        <f>IF($Q1206="","",IFERROR(INDEX(CONFIG!$I$4:$I$63,MATCH($Q1206,CONFIG!$G$4:$G$63,0)),"Por definir"))</f>
        <v/>
      </c>
      <c r="T1206" s="51" t="n"/>
      <c r="U1206" s="52" t="n"/>
      <c r="V1206" s="50" t="n"/>
      <c r="W1206" s="50" t="n"/>
      <c r="X1206" s="49">
        <f>IF(OR($B1206="",$M1206=""),"",WORKDAY($B1206,IFERROR(INDEX(CONFIG!$D$4:$D$63,MATCH($M1206,CONFIG!$A$4:$A$63,0)),3)))</f>
        <v/>
      </c>
      <c r="Y1206" s="47" t="n"/>
      <c r="Z1206" s="24">
        <f>IF($B1206="","",IF($Y1206&lt;&gt;"",$Y1206-$B1206,TODAY()-$B1206))</f>
        <v/>
      </c>
      <c r="AA1206" s="28">
        <f>IF($B1206="","",IF(IFERROR(INDEX(CONFIG!$L$4:$L$63,MATCH($V1206,CONFIG!$K$4:$K$63,0)),"NO")="SÍ",IF(OR($Y1206="",$X1206=""),"Resuelta",IF($Y1206&gt;$X1206,"Resuelta tarde","Resuelta a tiempo")),IF($X1206="","Sin clasificar",IF(TODAY()&gt;$X1206,"Vencida",IF(TODAY()&gt;=$X1206-1,"Por vencer","En plazo")))))</f>
        <v/>
      </c>
      <c r="AB1206" s="50" t="n"/>
      <c r="AC1206" s="50" t="n"/>
    </row>
    <row r="1207" ht="16" customHeight="1">
      <c r="A1207" s="28">
        <f>IF($B1207="","","N-"&amp;TEXT(ROW()-3,"0000"))</f>
        <v/>
      </c>
      <c r="B1207" s="47" t="n"/>
      <c r="C1207" s="48" t="n"/>
      <c r="D1207" s="48" t="n"/>
      <c r="E1207" s="28">
        <f>IF($C1207="","",IF($D1207="",IF($C1207="Interna","Sin guía (interna)","FALTA GUÍA"),IF(COUNTIFS(ENVIOS!$A$4:$A$3003,$D1207)=0,"NO EXISTE",IF(COUNTIFS(ENVIOS!$A$4:$A$3003,$D1207)&gt;1,"DUPLICADA","OK"))))</f>
        <v/>
      </c>
      <c r="F1207" s="28">
        <f>IF($D1207="","",IFERROR(INDEX(ENVIOS!$B$4:$B$3003,MATCH($D1207,ENVIOS!$A$4:$A$3003,0)),"—"))</f>
        <v/>
      </c>
      <c r="G1207" s="23">
        <f>IF($D1207="","",IFERROR(INDEX(ENVIOS!$D$4:$D$3003,MATCH($D1207,ENVIOS!$A$4:$A$3003,0)),"—"))</f>
        <v/>
      </c>
      <c r="H1207" s="23">
        <f>IF($D1207="","",IFERROR(INDEX(ENVIOS!$E$4:$E$3003,MATCH($D1207,ENVIOS!$A$4:$A$3003,0)),"—"))</f>
        <v/>
      </c>
      <c r="I1207" s="23">
        <f>IF($D1207="","",IFERROR(INDEX(ENVIOS!$F$4:$F$3003,MATCH($D1207,ENVIOS!$A$4:$A$3003,0)),"—"))</f>
        <v/>
      </c>
      <c r="J1207" s="23">
        <f>IF($D1207="","",IFERROR(INDEX(ENVIOS!$G$4:$G$3003,MATCH($D1207,ENVIOS!$A$4:$A$3003,0)),"—"))</f>
        <v/>
      </c>
      <c r="K1207" s="28">
        <f>IF($D1207="","",IFERROR(INDEX(ENVIOS!$H$4:$H$3003,MATCH($D1207,ENVIOS!$A$4:$A$3003,0)),"—"))</f>
        <v/>
      </c>
      <c r="L1207" s="49">
        <f>IF($D1207="","",IFERROR(INDEX(ENVIOS!$C$4:$C$3003,MATCH($D1207,ENVIOS!$A$4:$A$3003,0)),""))</f>
        <v/>
      </c>
      <c r="M1207" s="50" t="n"/>
      <c r="N1207" s="28">
        <f>IF($M1207="","",IFERROR(INDEX(CONFIG!$C$4:$C$63,MATCH($M1207,CONFIG!$A$4:$A$63,0)),"Media"))</f>
        <v/>
      </c>
      <c r="O1207" s="28">
        <f>IF($M1207="","",IF($C1207="Interna","NO",IFERROR(INDEX(CONFIG!$E$4:$E$63,MATCH($M1207,CONFIG!$A$4:$A$63,0)),"NO")))</f>
        <v/>
      </c>
      <c r="P1207" s="50" t="n"/>
      <c r="Q1207" s="50" t="n"/>
      <c r="R1207" s="28">
        <f>IF($Q1207="","",IFERROR(INDEX(CONFIG!$H$4:$H$63,MATCH($Q1207,CONFIG!$G$4:$G$63,0)),"Por definir"))</f>
        <v/>
      </c>
      <c r="S1207" s="28">
        <f>IF($Q1207="","",IFERROR(INDEX(CONFIG!$I$4:$I$63,MATCH($Q1207,CONFIG!$G$4:$G$63,0)),"Por definir"))</f>
        <v/>
      </c>
      <c r="T1207" s="51" t="n"/>
      <c r="U1207" s="52" t="n"/>
      <c r="V1207" s="50" t="n"/>
      <c r="W1207" s="50" t="n"/>
      <c r="X1207" s="49">
        <f>IF(OR($B1207="",$M1207=""),"",WORKDAY($B1207,IFERROR(INDEX(CONFIG!$D$4:$D$63,MATCH($M1207,CONFIG!$A$4:$A$63,0)),3)))</f>
        <v/>
      </c>
      <c r="Y1207" s="47" t="n"/>
      <c r="Z1207" s="24">
        <f>IF($B1207="","",IF($Y1207&lt;&gt;"",$Y1207-$B1207,TODAY()-$B1207))</f>
        <v/>
      </c>
      <c r="AA1207" s="28">
        <f>IF($B1207="","",IF(IFERROR(INDEX(CONFIG!$L$4:$L$63,MATCH($V1207,CONFIG!$K$4:$K$63,0)),"NO")="SÍ",IF(OR($Y1207="",$X1207=""),"Resuelta",IF($Y1207&gt;$X1207,"Resuelta tarde","Resuelta a tiempo")),IF($X1207="","Sin clasificar",IF(TODAY()&gt;$X1207,"Vencida",IF(TODAY()&gt;=$X1207-1,"Por vencer","En plazo")))))</f>
        <v/>
      </c>
      <c r="AB1207" s="50" t="n"/>
      <c r="AC1207" s="50" t="n"/>
    </row>
    <row r="1208" ht="16" customHeight="1">
      <c r="A1208" s="28">
        <f>IF($B1208="","","N-"&amp;TEXT(ROW()-3,"0000"))</f>
        <v/>
      </c>
      <c r="B1208" s="47" t="n"/>
      <c r="C1208" s="48" t="n"/>
      <c r="D1208" s="48" t="n"/>
      <c r="E1208" s="28">
        <f>IF($C1208="","",IF($D1208="",IF($C1208="Interna","Sin guía (interna)","FALTA GUÍA"),IF(COUNTIFS(ENVIOS!$A$4:$A$3003,$D1208)=0,"NO EXISTE",IF(COUNTIFS(ENVIOS!$A$4:$A$3003,$D1208)&gt;1,"DUPLICADA","OK"))))</f>
        <v/>
      </c>
      <c r="F1208" s="28">
        <f>IF($D1208="","",IFERROR(INDEX(ENVIOS!$B$4:$B$3003,MATCH($D1208,ENVIOS!$A$4:$A$3003,0)),"—"))</f>
        <v/>
      </c>
      <c r="G1208" s="23">
        <f>IF($D1208="","",IFERROR(INDEX(ENVIOS!$D$4:$D$3003,MATCH($D1208,ENVIOS!$A$4:$A$3003,0)),"—"))</f>
        <v/>
      </c>
      <c r="H1208" s="23">
        <f>IF($D1208="","",IFERROR(INDEX(ENVIOS!$E$4:$E$3003,MATCH($D1208,ENVIOS!$A$4:$A$3003,0)),"—"))</f>
        <v/>
      </c>
      <c r="I1208" s="23">
        <f>IF($D1208="","",IFERROR(INDEX(ENVIOS!$F$4:$F$3003,MATCH($D1208,ENVIOS!$A$4:$A$3003,0)),"—"))</f>
        <v/>
      </c>
      <c r="J1208" s="23">
        <f>IF($D1208="","",IFERROR(INDEX(ENVIOS!$G$4:$G$3003,MATCH($D1208,ENVIOS!$A$4:$A$3003,0)),"—"))</f>
        <v/>
      </c>
      <c r="K1208" s="28">
        <f>IF($D1208="","",IFERROR(INDEX(ENVIOS!$H$4:$H$3003,MATCH($D1208,ENVIOS!$A$4:$A$3003,0)),"—"))</f>
        <v/>
      </c>
      <c r="L1208" s="49">
        <f>IF($D1208="","",IFERROR(INDEX(ENVIOS!$C$4:$C$3003,MATCH($D1208,ENVIOS!$A$4:$A$3003,0)),""))</f>
        <v/>
      </c>
      <c r="M1208" s="50" t="n"/>
      <c r="N1208" s="28">
        <f>IF($M1208="","",IFERROR(INDEX(CONFIG!$C$4:$C$63,MATCH($M1208,CONFIG!$A$4:$A$63,0)),"Media"))</f>
        <v/>
      </c>
      <c r="O1208" s="28">
        <f>IF($M1208="","",IF($C1208="Interna","NO",IFERROR(INDEX(CONFIG!$E$4:$E$63,MATCH($M1208,CONFIG!$A$4:$A$63,0)),"NO")))</f>
        <v/>
      </c>
      <c r="P1208" s="50" t="n"/>
      <c r="Q1208" s="50" t="n"/>
      <c r="R1208" s="28">
        <f>IF($Q1208="","",IFERROR(INDEX(CONFIG!$H$4:$H$63,MATCH($Q1208,CONFIG!$G$4:$G$63,0)),"Por definir"))</f>
        <v/>
      </c>
      <c r="S1208" s="28">
        <f>IF($Q1208="","",IFERROR(INDEX(CONFIG!$I$4:$I$63,MATCH($Q1208,CONFIG!$G$4:$G$63,0)),"Por definir"))</f>
        <v/>
      </c>
      <c r="T1208" s="51" t="n"/>
      <c r="U1208" s="52" t="n"/>
      <c r="V1208" s="50" t="n"/>
      <c r="W1208" s="50" t="n"/>
      <c r="X1208" s="49">
        <f>IF(OR($B1208="",$M1208=""),"",WORKDAY($B1208,IFERROR(INDEX(CONFIG!$D$4:$D$63,MATCH($M1208,CONFIG!$A$4:$A$63,0)),3)))</f>
        <v/>
      </c>
      <c r="Y1208" s="47" t="n"/>
      <c r="Z1208" s="24">
        <f>IF($B1208="","",IF($Y1208&lt;&gt;"",$Y1208-$B1208,TODAY()-$B1208))</f>
        <v/>
      </c>
      <c r="AA1208" s="28">
        <f>IF($B1208="","",IF(IFERROR(INDEX(CONFIG!$L$4:$L$63,MATCH($V1208,CONFIG!$K$4:$K$63,0)),"NO")="SÍ",IF(OR($Y1208="",$X1208=""),"Resuelta",IF($Y1208&gt;$X1208,"Resuelta tarde","Resuelta a tiempo")),IF($X1208="","Sin clasificar",IF(TODAY()&gt;$X1208,"Vencida",IF(TODAY()&gt;=$X1208-1,"Por vencer","En plazo")))))</f>
        <v/>
      </c>
      <c r="AB1208" s="50" t="n"/>
      <c r="AC1208" s="50" t="n"/>
    </row>
    <row r="1209" ht="16" customHeight="1">
      <c r="A1209" s="28">
        <f>IF($B1209="","","N-"&amp;TEXT(ROW()-3,"0000"))</f>
        <v/>
      </c>
      <c r="B1209" s="47" t="n"/>
      <c r="C1209" s="48" t="n"/>
      <c r="D1209" s="48" t="n"/>
      <c r="E1209" s="28">
        <f>IF($C1209="","",IF($D1209="",IF($C1209="Interna","Sin guía (interna)","FALTA GUÍA"),IF(COUNTIFS(ENVIOS!$A$4:$A$3003,$D1209)=0,"NO EXISTE",IF(COUNTIFS(ENVIOS!$A$4:$A$3003,$D1209)&gt;1,"DUPLICADA","OK"))))</f>
        <v/>
      </c>
      <c r="F1209" s="28">
        <f>IF($D1209="","",IFERROR(INDEX(ENVIOS!$B$4:$B$3003,MATCH($D1209,ENVIOS!$A$4:$A$3003,0)),"—"))</f>
        <v/>
      </c>
      <c r="G1209" s="23">
        <f>IF($D1209="","",IFERROR(INDEX(ENVIOS!$D$4:$D$3003,MATCH($D1209,ENVIOS!$A$4:$A$3003,0)),"—"))</f>
        <v/>
      </c>
      <c r="H1209" s="23">
        <f>IF($D1209="","",IFERROR(INDEX(ENVIOS!$E$4:$E$3003,MATCH($D1209,ENVIOS!$A$4:$A$3003,0)),"—"))</f>
        <v/>
      </c>
      <c r="I1209" s="23">
        <f>IF($D1209="","",IFERROR(INDEX(ENVIOS!$F$4:$F$3003,MATCH($D1209,ENVIOS!$A$4:$A$3003,0)),"—"))</f>
        <v/>
      </c>
      <c r="J1209" s="23">
        <f>IF($D1209="","",IFERROR(INDEX(ENVIOS!$G$4:$G$3003,MATCH($D1209,ENVIOS!$A$4:$A$3003,0)),"—"))</f>
        <v/>
      </c>
      <c r="K1209" s="28">
        <f>IF($D1209="","",IFERROR(INDEX(ENVIOS!$H$4:$H$3003,MATCH($D1209,ENVIOS!$A$4:$A$3003,0)),"—"))</f>
        <v/>
      </c>
      <c r="L1209" s="49">
        <f>IF($D1209="","",IFERROR(INDEX(ENVIOS!$C$4:$C$3003,MATCH($D1209,ENVIOS!$A$4:$A$3003,0)),""))</f>
        <v/>
      </c>
      <c r="M1209" s="50" t="n"/>
      <c r="N1209" s="28">
        <f>IF($M1209="","",IFERROR(INDEX(CONFIG!$C$4:$C$63,MATCH($M1209,CONFIG!$A$4:$A$63,0)),"Media"))</f>
        <v/>
      </c>
      <c r="O1209" s="28">
        <f>IF($M1209="","",IF($C1209="Interna","NO",IFERROR(INDEX(CONFIG!$E$4:$E$63,MATCH($M1209,CONFIG!$A$4:$A$63,0)),"NO")))</f>
        <v/>
      </c>
      <c r="P1209" s="50" t="n"/>
      <c r="Q1209" s="50" t="n"/>
      <c r="R1209" s="28">
        <f>IF($Q1209="","",IFERROR(INDEX(CONFIG!$H$4:$H$63,MATCH($Q1209,CONFIG!$G$4:$G$63,0)),"Por definir"))</f>
        <v/>
      </c>
      <c r="S1209" s="28">
        <f>IF($Q1209="","",IFERROR(INDEX(CONFIG!$I$4:$I$63,MATCH($Q1209,CONFIG!$G$4:$G$63,0)),"Por definir"))</f>
        <v/>
      </c>
      <c r="T1209" s="51" t="n"/>
      <c r="U1209" s="52" t="n"/>
      <c r="V1209" s="50" t="n"/>
      <c r="W1209" s="50" t="n"/>
      <c r="X1209" s="49">
        <f>IF(OR($B1209="",$M1209=""),"",WORKDAY($B1209,IFERROR(INDEX(CONFIG!$D$4:$D$63,MATCH($M1209,CONFIG!$A$4:$A$63,0)),3)))</f>
        <v/>
      </c>
      <c r="Y1209" s="47" t="n"/>
      <c r="Z1209" s="24">
        <f>IF($B1209="","",IF($Y1209&lt;&gt;"",$Y1209-$B1209,TODAY()-$B1209))</f>
        <v/>
      </c>
      <c r="AA1209" s="28">
        <f>IF($B1209="","",IF(IFERROR(INDEX(CONFIG!$L$4:$L$63,MATCH($V1209,CONFIG!$K$4:$K$63,0)),"NO")="SÍ",IF(OR($Y1209="",$X1209=""),"Resuelta",IF($Y1209&gt;$X1209,"Resuelta tarde","Resuelta a tiempo")),IF($X1209="","Sin clasificar",IF(TODAY()&gt;$X1209,"Vencida",IF(TODAY()&gt;=$X1209-1,"Por vencer","En plazo")))))</f>
        <v/>
      </c>
      <c r="AB1209" s="50" t="n"/>
      <c r="AC1209" s="50" t="n"/>
    </row>
    <row r="1210" ht="16" customHeight="1">
      <c r="A1210" s="28">
        <f>IF($B1210="","","N-"&amp;TEXT(ROW()-3,"0000"))</f>
        <v/>
      </c>
      <c r="B1210" s="47" t="n"/>
      <c r="C1210" s="48" t="n"/>
      <c r="D1210" s="48" t="n"/>
      <c r="E1210" s="28">
        <f>IF($C1210="","",IF($D1210="",IF($C1210="Interna","Sin guía (interna)","FALTA GUÍA"),IF(COUNTIFS(ENVIOS!$A$4:$A$3003,$D1210)=0,"NO EXISTE",IF(COUNTIFS(ENVIOS!$A$4:$A$3003,$D1210)&gt;1,"DUPLICADA","OK"))))</f>
        <v/>
      </c>
      <c r="F1210" s="28">
        <f>IF($D1210="","",IFERROR(INDEX(ENVIOS!$B$4:$B$3003,MATCH($D1210,ENVIOS!$A$4:$A$3003,0)),"—"))</f>
        <v/>
      </c>
      <c r="G1210" s="23">
        <f>IF($D1210="","",IFERROR(INDEX(ENVIOS!$D$4:$D$3003,MATCH($D1210,ENVIOS!$A$4:$A$3003,0)),"—"))</f>
        <v/>
      </c>
      <c r="H1210" s="23">
        <f>IF($D1210="","",IFERROR(INDEX(ENVIOS!$E$4:$E$3003,MATCH($D1210,ENVIOS!$A$4:$A$3003,0)),"—"))</f>
        <v/>
      </c>
      <c r="I1210" s="23">
        <f>IF($D1210="","",IFERROR(INDEX(ENVIOS!$F$4:$F$3003,MATCH($D1210,ENVIOS!$A$4:$A$3003,0)),"—"))</f>
        <v/>
      </c>
      <c r="J1210" s="23">
        <f>IF($D1210="","",IFERROR(INDEX(ENVIOS!$G$4:$G$3003,MATCH($D1210,ENVIOS!$A$4:$A$3003,0)),"—"))</f>
        <v/>
      </c>
      <c r="K1210" s="28">
        <f>IF($D1210="","",IFERROR(INDEX(ENVIOS!$H$4:$H$3003,MATCH($D1210,ENVIOS!$A$4:$A$3003,0)),"—"))</f>
        <v/>
      </c>
      <c r="L1210" s="49">
        <f>IF($D1210="","",IFERROR(INDEX(ENVIOS!$C$4:$C$3003,MATCH($D1210,ENVIOS!$A$4:$A$3003,0)),""))</f>
        <v/>
      </c>
      <c r="M1210" s="50" t="n"/>
      <c r="N1210" s="28">
        <f>IF($M1210="","",IFERROR(INDEX(CONFIG!$C$4:$C$63,MATCH($M1210,CONFIG!$A$4:$A$63,0)),"Media"))</f>
        <v/>
      </c>
      <c r="O1210" s="28">
        <f>IF($M1210="","",IF($C1210="Interna","NO",IFERROR(INDEX(CONFIG!$E$4:$E$63,MATCH($M1210,CONFIG!$A$4:$A$63,0)),"NO")))</f>
        <v/>
      </c>
      <c r="P1210" s="50" t="n"/>
      <c r="Q1210" s="50" t="n"/>
      <c r="R1210" s="28">
        <f>IF($Q1210="","",IFERROR(INDEX(CONFIG!$H$4:$H$63,MATCH($Q1210,CONFIG!$G$4:$G$63,0)),"Por definir"))</f>
        <v/>
      </c>
      <c r="S1210" s="28">
        <f>IF($Q1210="","",IFERROR(INDEX(CONFIG!$I$4:$I$63,MATCH($Q1210,CONFIG!$G$4:$G$63,0)),"Por definir"))</f>
        <v/>
      </c>
      <c r="T1210" s="51" t="n"/>
      <c r="U1210" s="52" t="n"/>
      <c r="V1210" s="50" t="n"/>
      <c r="W1210" s="50" t="n"/>
      <c r="X1210" s="49">
        <f>IF(OR($B1210="",$M1210=""),"",WORKDAY($B1210,IFERROR(INDEX(CONFIG!$D$4:$D$63,MATCH($M1210,CONFIG!$A$4:$A$63,0)),3)))</f>
        <v/>
      </c>
      <c r="Y1210" s="47" t="n"/>
      <c r="Z1210" s="24">
        <f>IF($B1210="","",IF($Y1210&lt;&gt;"",$Y1210-$B1210,TODAY()-$B1210))</f>
        <v/>
      </c>
      <c r="AA1210" s="28">
        <f>IF($B1210="","",IF(IFERROR(INDEX(CONFIG!$L$4:$L$63,MATCH($V1210,CONFIG!$K$4:$K$63,0)),"NO")="SÍ",IF(OR($Y1210="",$X1210=""),"Resuelta",IF($Y1210&gt;$X1210,"Resuelta tarde","Resuelta a tiempo")),IF($X1210="","Sin clasificar",IF(TODAY()&gt;$X1210,"Vencida",IF(TODAY()&gt;=$X1210-1,"Por vencer","En plazo")))))</f>
        <v/>
      </c>
      <c r="AB1210" s="50" t="n"/>
      <c r="AC1210" s="50" t="n"/>
    </row>
    <row r="1211" ht="16" customHeight="1">
      <c r="A1211" s="28">
        <f>IF($B1211="","","N-"&amp;TEXT(ROW()-3,"0000"))</f>
        <v/>
      </c>
      <c r="B1211" s="47" t="n"/>
      <c r="C1211" s="48" t="n"/>
      <c r="D1211" s="48" t="n"/>
      <c r="E1211" s="28">
        <f>IF($C1211="","",IF($D1211="",IF($C1211="Interna","Sin guía (interna)","FALTA GUÍA"),IF(COUNTIFS(ENVIOS!$A$4:$A$3003,$D1211)=0,"NO EXISTE",IF(COUNTIFS(ENVIOS!$A$4:$A$3003,$D1211)&gt;1,"DUPLICADA","OK"))))</f>
        <v/>
      </c>
      <c r="F1211" s="28">
        <f>IF($D1211="","",IFERROR(INDEX(ENVIOS!$B$4:$B$3003,MATCH($D1211,ENVIOS!$A$4:$A$3003,0)),"—"))</f>
        <v/>
      </c>
      <c r="G1211" s="23">
        <f>IF($D1211="","",IFERROR(INDEX(ENVIOS!$D$4:$D$3003,MATCH($D1211,ENVIOS!$A$4:$A$3003,0)),"—"))</f>
        <v/>
      </c>
      <c r="H1211" s="23">
        <f>IF($D1211="","",IFERROR(INDEX(ENVIOS!$E$4:$E$3003,MATCH($D1211,ENVIOS!$A$4:$A$3003,0)),"—"))</f>
        <v/>
      </c>
      <c r="I1211" s="23">
        <f>IF($D1211="","",IFERROR(INDEX(ENVIOS!$F$4:$F$3003,MATCH($D1211,ENVIOS!$A$4:$A$3003,0)),"—"))</f>
        <v/>
      </c>
      <c r="J1211" s="23">
        <f>IF($D1211="","",IFERROR(INDEX(ENVIOS!$G$4:$G$3003,MATCH($D1211,ENVIOS!$A$4:$A$3003,0)),"—"))</f>
        <v/>
      </c>
      <c r="K1211" s="28">
        <f>IF($D1211="","",IFERROR(INDEX(ENVIOS!$H$4:$H$3003,MATCH($D1211,ENVIOS!$A$4:$A$3003,0)),"—"))</f>
        <v/>
      </c>
      <c r="L1211" s="49">
        <f>IF($D1211="","",IFERROR(INDEX(ENVIOS!$C$4:$C$3003,MATCH($D1211,ENVIOS!$A$4:$A$3003,0)),""))</f>
        <v/>
      </c>
      <c r="M1211" s="50" t="n"/>
      <c r="N1211" s="28">
        <f>IF($M1211="","",IFERROR(INDEX(CONFIG!$C$4:$C$63,MATCH($M1211,CONFIG!$A$4:$A$63,0)),"Media"))</f>
        <v/>
      </c>
      <c r="O1211" s="28">
        <f>IF($M1211="","",IF($C1211="Interna","NO",IFERROR(INDEX(CONFIG!$E$4:$E$63,MATCH($M1211,CONFIG!$A$4:$A$63,0)),"NO")))</f>
        <v/>
      </c>
      <c r="P1211" s="50" t="n"/>
      <c r="Q1211" s="50" t="n"/>
      <c r="R1211" s="28">
        <f>IF($Q1211="","",IFERROR(INDEX(CONFIG!$H$4:$H$63,MATCH($Q1211,CONFIG!$G$4:$G$63,0)),"Por definir"))</f>
        <v/>
      </c>
      <c r="S1211" s="28">
        <f>IF($Q1211="","",IFERROR(INDEX(CONFIG!$I$4:$I$63,MATCH($Q1211,CONFIG!$G$4:$G$63,0)),"Por definir"))</f>
        <v/>
      </c>
      <c r="T1211" s="51" t="n"/>
      <c r="U1211" s="52" t="n"/>
      <c r="V1211" s="50" t="n"/>
      <c r="W1211" s="50" t="n"/>
      <c r="X1211" s="49">
        <f>IF(OR($B1211="",$M1211=""),"",WORKDAY($B1211,IFERROR(INDEX(CONFIG!$D$4:$D$63,MATCH($M1211,CONFIG!$A$4:$A$63,0)),3)))</f>
        <v/>
      </c>
      <c r="Y1211" s="47" t="n"/>
      <c r="Z1211" s="24">
        <f>IF($B1211="","",IF($Y1211&lt;&gt;"",$Y1211-$B1211,TODAY()-$B1211))</f>
        <v/>
      </c>
      <c r="AA1211" s="28">
        <f>IF($B1211="","",IF(IFERROR(INDEX(CONFIG!$L$4:$L$63,MATCH($V1211,CONFIG!$K$4:$K$63,0)),"NO")="SÍ",IF(OR($Y1211="",$X1211=""),"Resuelta",IF($Y1211&gt;$X1211,"Resuelta tarde","Resuelta a tiempo")),IF($X1211="","Sin clasificar",IF(TODAY()&gt;$X1211,"Vencida",IF(TODAY()&gt;=$X1211-1,"Por vencer","En plazo")))))</f>
        <v/>
      </c>
      <c r="AB1211" s="50" t="n"/>
      <c r="AC1211" s="50" t="n"/>
    </row>
    <row r="1212" ht="16" customHeight="1">
      <c r="A1212" s="28">
        <f>IF($B1212="","","N-"&amp;TEXT(ROW()-3,"0000"))</f>
        <v/>
      </c>
      <c r="B1212" s="47" t="n"/>
      <c r="C1212" s="48" t="n"/>
      <c r="D1212" s="48" t="n"/>
      <c r="E1212" s="28">
        <f>IF($C1212="","",IF($D1212="",IF($C1212="Interna","Sin guía (interna)","FALTA GUÍA"),IF(COUNTIFS(ENVIOS!$A$4:$A$3003,$D1212)=0,"NO EXISTE",IF(COUNTIFS(ENVIOS!$A$4:$A$3003,$D1212)&gt;1,"DUPLICADA","OK"))))</f>
        <v/>
      </c>
      <c r="F1212" s="28">
        <f>IF($D1212="","",IFERROR(INDEX(ENVIOS!$B$4:$B$3003,MATCH($D1212,ENVIOS!$A$4:$A$3003,0)),"—"))</f>
        <v/>
      </c>
      <c r="G1212" s="23">
        <f>IF($D1212="","",IFERROR(INDEX(ENVIOS!$D$4:$D$3003,MATCH($D1212,ENVIOS!$A$4:$A$3003,0)),"—"))</f>
        <v/>
      </c>
      <c r="H1212" s="23">
        <f>IF($D1212="","",IFERROR(INDEX(ENVIOS!$E$4:$E$3003,MATCH($D1212,ENVIOS!$A$4:$A$3003,0)),"—"))</f>
        <v/>
      </c>
      <c r="I1212" s="23">
        <f>IF($D1212="","",IFERROR(INDEX(ENVIOS!$F$4:$F$3003,MATCH($D1212,ENVIOS!$A$4:$A$3003,0)),"—"))</f>
        <v/>
      </c>
      <c r="J1212" s="23">
        <f>IF($D1212="","",IFERROR(INDEX(ENVIOS!$G$4:$G$3003,MATCH($D1212,ENVIOS!$A$4:$A$3003,0)),"—"))</f>
        <v/>
      </c>
      <c r="K1212" s="28">
        <f>IF($D1212="","",IFERROR(INDEX(ENVIOS!$H$4:$H$3003,MATCH($D1212,ENVIOS!$A$4:$A$3003,0)),"—"))</f>
        <v/>
      </c>
      <c r="L1212" s="49">
        <f>IF($D1212="","",IFERROR(INDEX(ENVIOS!$C$4:$C$3003,MATCH($D1212,ENVIOS!$A$4:$A$3003,0)),""))</f>
        <v/>
      </c>
      <c r="M1212" s="50" t="n"/>
      <c r="N1212" s="28">
        <f>IF($M1212="","",IFERROR(INDEX(CONFIG!$C$4:$C$63,MATCH($M1212,CONFIG!$A$4:$A$63,0)),"Media"))</f>
        <v/>
      </c>
      <c r="O1212" s="28">
        <f>IF($M1212="","",IF($C1212="Interna","NO",IFERROR(INDEX(CONFIG!$E$4:$E$63,MATCH($M1212,CONFIG!$A$4:$A$63,0)),"NO")))</f>
        <v/>
      </c>
      <c r="P1212" s="50" t="n"/>
      <c r="Q1212" s="50" t="n"/>
      <c r="R1212" s="28">
        <f>IF($Q1212="","",IFERROR(INDEX(CONFIG!$H$4:$H$63,MATCH($Q1212,CONFIG!$G$4:$G$63,0)),"Por definir"))</f>
        <v/>
      </c>
      <c r="S1212" s="28">
        <f>IF($Q1212="","",IFERROR(INDEX(CONFIG!$I$4:$I$63,MATCH($Q1212,CONFIG!$G$4:$G$63,0)),"Por definir"))</f>
        <v/>
      </c>
      <c r="T1212" s="51" t="n"/>
      <c r="U1212" s="52" t="n"/>
      <c r="V1212" s="50" t="n"/>
      <c r="W1212" s="50" t="n"/>
      <c r="X1212" s="49">
        <f>IF(OR($B1212="",$M1212=""),"",WORKDAY($B1212,IFERROR(INDEX(CONFIG!$D$4:$D$63,MATCH($M1212,CONFIG!$A$4:$A$63,0)),3)))</f>
        <v/>
      </c>
      <c r="Y1212" s="47" t="n"/>
      <c r="Z1212" s="24">
        <f>IF($B1212="","",IF($Y1212&lt;&gt;"",$Y1212-$B1212,TODAY()-$B1212))</f>
        <v/>
      </c>
      <c r="AA1212" s="28">
        <f>IF($B1212="","",IF(IFERROR(INDEX(CONFIG!$L$4:$L$63,MATCH($V1212,CONFIG!$K$4:$K$63,0)),"NO")="SÍ",IF(OR($Y1212="",$X1212=""),"Resuelta",IF($Y1212&gt;$X1212,"Resuelta tarde","Resuelta a tiempo")),IF($X1212="","Sin clasificar",IF(TODAY()&gt;$X1212,"Vencida",IF(TODAY()&gt;=$X1212-1,"Por vencer","En plazo")))))</f>
        <v/>
      </c>
      <c r="AB1212" s="50" t="n"/>
      <c r="AC1212" s="50" t="n"/>
    </row>
    <row r="1213" ht="16" customHeight="1">
      <c r="A1213" s="28">
        <f>IF($B1213="","","N-"&amp;TEXT(ROW()-3,"0000"))</f>
        <v/>
      </c>
      <c r="B1213" s="47" t="n"/>
      <c r="C1213" s="48" t="n"/>
      <c r="D1213" s="48" t="n"/>
      <c r="E1213" s="28">
        <f>IF($C1213="","",IF($D1213="",IF($C1213="Interna","Sin guía (interna)","FALTA GUÍA"),IF(COUNTIFS(ENVIOS!$A$4:$A$3003,$D1213)=0,"NO EXISTE",IF(COUNTIFS(ENVIOS!$A$4:$A$3003,$D1213)&gt;1,"DUPLICADA","OK"))))</f>
        <v/>
      </c>
      <c r="F1213" s="28">
        <f>IF($D1213="","",IFERROR(INDEX(ENVIOS!$B$4:$B$3003,MATCH($D1213,ENVIOS!$A$4:$A$3003,0)),"—"))</f>
        <v/>
      </c>
      <c r="G1213" s="23">
        <f>IF($D1213="","",IFERROR(INDEX(ENVIOS!$D$4:$D$3003,MATCH($D1213,ENVIOS!$A$4:$A$3003,0)),"—"))</f>
        <v/>
      </c>
      <c r="H1213" s="23">
        <f>IF($D1213="","",IFERROR(INDEX(ENVIOS!$E$4:$E$3003,MATCH($D1213,ENVIOS!$A$4:$A$3003,0)),"—"))</f>
        <v/>
      </c>
      <c r="I1213" s="23">
        <f>IF($D1213="","",IFERROR(INDEX(ENVIOS!$F$4:$F$3003,MATCH($D1213,ENVIOS!$A$4:$A$3003,0)),"—"))</f>
        <v/>
      </c>
      <c r="J1213" s="23">
        <f>IF($D1213="","",IFERROR(INDEX(ENVIOS!$G$4:$G$3003,MATCH($D1213,ENVIOS!$A$4:$A$3003,0)),"—"))</f>
        <v/>
      </c>
      <c r="K1213" s="28">
        <f>IF($D1213="","",IFERROR(INDEX(ENVIOS!$H$4:$H$3003,MATCH($D1213,ENVIOS!$A$4:$A$3003,0)),"—"))</f>
        <v/>
      </c>
      <c r="L1213" s="49">
        <f>IF($D1213="","",IFERROR(INDEX(ENVIOS!$C$4:$C$3003,MATCH($D1213,ENVIOS!$A$4:$A$3003,0)),""))</f>
        <v/>
      </c>
      <c r="M1213" s="50" t="n"/>
      <c r="N1213" s="28">
        <f>IF($M1213="","",IFERROR(INDEX(CONFIG!$C$4:$C$63,MATCH($M1213,CONFIG!$A$4:$A$63,0)),"Media"))</f>
        <v/>
      </c>
      <c r="O1213" s="28">
        <f>IF($M1213="","",IF($C1213="Interna","NO",IFERROR(INDEX(CONFIG!$E$4:$E$63,MATCH($M1213,CONFIG!$A$4:$A$63,0)),"NO")))</f>
        <v/>
      </c>
      <c r="P1213" s="50" t="n"/>
      <c r="Q1213" s="50" t="n"/>
      <c r="R1213" s="28">
        <f>IF($Q1213="","",IFERROR(INDEX(CONFIG!$H$4:$H$63,MATCH($Q1213,CONFIG!$G$4:$G$63,0)),"Por definir"))</f>
        <v/>
      </c>
      <c r="S1213" s="28">
        <f>IF($Q1213="","",IFERROR(INDEX(CONFIG!$I$4:$I$63,MATCH($Q1213,CONFIG!$G$4:$G$63,0)),"Por definir"))</f>
        <v/>
      </c>
      <c r="T1213" s="51" t="n"/>
      <c r="U1213" s="52" t="n"/>
      <c r="V1213" s="50" t="n"/>
      <c r="W1213" s="50" t="n"/>
      <c r="X1213" s="49">
        <f>IF(OR($B1213="",$M1213=""),"",WORKDAY($B1213,IFERROR(INDEX(CONFIG!$D$4:$D$63,MATCH($M1213,CONFIG!$A$4:$A$63,0)),3)))</f>
        <v/>
      </c>
      <c r="Y1213" s="47" t="n"/>
      <c r="Z1213" s="24">
        <f>IF($B1213="","",IF($Y1213&lt;&gt;"",$Y1213-$B1213,TODAY()-$B1213))</f>
        <v/>
      </c>
      <c r="AA1213" s="28">
        <f>IF($B1213="","",IF(IFERROR(INDEX(CONFIG!$L$4:$L$63,MATCH($V1213,CONFIG!$K$4:$K$63,0)),"NO")="SÍ",IF(OR($Y1213="",$X1213=""),"Resuelta",IF($Y1213&gt;$X1213,"Resuelta tarde","Resuelta a tiempo")),IF($X1213="","Sin clasificar",IF(TODAY()&gt;$X1213,"Vencida",IF(TODAY()&gt;=$X1213-1,"Por vencer","En plazo")))))</f>
        <v/>
      </c>
      <c r="AB1213" s="50" t="n"/>
      <c r="AC1213" s="50" t="n"/>
    </row>
    <row r="1214" ht="16" customHeight="1">
      <c r="A1214" s="28">
        <f>IF($B1214="","","N-"&amp;TEXT(ROW()-3,"0000"))</f>
        <v/>
      </c>
      <c r="B1214" s="47" t="n"/>
      <c r="C1214" s="48" t="n"/>
      <c r="D1214" s="48" t="n"/>
      <c r="E1214" s="28">
        <f>IF($C1214="","",IF($D1214="",IF($C1214="Interna","Sin guía (interna)","FALTA GUÍA"),IF(COUNTIFS(ENVIOS!$A$4:$A$3003,$D1214)=0,"NO EXISTE",IF(COUNTIFS(ENVIOS!$A$4:$A$3003,$D1214)&gt;1,"DUPLICADA","OK"))))</f>
        <v/>
      </c>
      <c r="F1214" s="28">
        <f>IF($D1214="","",IFERROR(INDEX(ENVIOS!$B$4:$B$3003,MATCH($D1214,ENVIOS!$A$4:$A$3003,0)),"—"))</f>
        <v/>
      </c>
      <c r="G1214" s="23">
        <f>IF($D1214="","",IFERROR(INDEX(ENVIOS!$D$4:$D$3003,MATCH($D1214,ENVIOS!$A$4:$A$3003,0)),"—"))</f>
        <v/>
      </c>
      <c r="H1214" s="23">
        <f>IF($D1214="","",IFERROR(INDEX(ENVIOS!$E$4:$E$3003,MATCH($D1214,ENVIOS!$A$4:$A$3003,0)),"—"))</f>
        <v/>
      </c>
      <c r="I1214" s="23">
        <f>IF($D1214="","",IFERROR(INDEX(ENVIOS!$F$4:$F$3003,MATCH($D1214,ENVIOS!$A$4:$A$3003,0)),"—"))</f>
        <v/>
      </c>
      <c r="J1214" s="23">
        <f>IF($D1214="","",IFERROR(INDEX(ENVIOS!$G$4:$G$3003,MATCH($D1214,ENVIOS!$A$4:$A$3003,0)),"—"))</f>
        <v/>
      </c>
      <c r="K1214" s="28">
        <f>IF($D1214="","",IFERROR(INDEX(ENVIOS!$H$4:$H$3003,MATCH($D1214,ENVIOS!$A$4:$A$3003,0)),"—"))</f>
        <v/>
      </c>
      <c r="L1214" s="49">
        <f>IF($D1214="","",IFERROR(INDEX(ENVIOS!$C$4:$C$3003,MATCH($D1214,ENVIOS!$A$4:$A$3003,0)),""))</f>
        <v/>
      </c>
      <c r="M1214" s="50" t="n"/>
      <c r="N1214" s="28">
        <f>IF($M1214="","",IFERROR(INDEX(CONFIG!$C$4:$C$63,MATCH($M1214,CONFIG!$A$4:$A$63,0)),"Media"))</f>
        <v/>
      </c>
      <c r="O1214" s="28">
        <f>IF($M1214="","",IF($C1214="Interna","NO",IFERROR(INDEX(CONFIG!$E$4:$E$63,MATCH($M1214,CONFIG!$A$4:$A$63,0)),"NO")))</f>
        <v/>
      </c>
      <c r="P1214" s="50" t="n"/>
      <c r="Q1214" s="50" t="n"/>
      <c r="R1214" s="28">
        <f>IF($Q1214="","",IFERROR(INDEX(CONFIG!$H$4:$H$63,MATCH($Q1214,CONFIG!$G$4:$G$63,0)),"Por definir"))</f>
        <v/>
      </c>
      <c r="S1214" s="28">
        <f>IF($Q1214="","",IFERROR(INDEX(CONFIG!$I$4:$I$63,MATCH($Q1214,CONFIG!$G$4:$G$63,0)),"Por definir"))</f>
        <v/>
      </c>
      <c r="T1214" s="51" t="n"/>
      <c r="U1214" s="52" t="n"/>
      <c r="V1214" s="50" t="n"/>
      <c r="W1214" s="50" t="n"/>
      <c r="X1214" s="49">
        <f>IF(OR($B1214="",$M1214=""),"",WORKDAY($B1214,IFERROR(INDEX(CONFIG!$D$4:$D$63,MATCH($M1214,CONFIG!$A$4:$A$63,0)),3)))</f>
        <v/>
      </c>
      <c r="Y1214" s="47" t="n"/>
      <c r="Z1214" s="24">
        <f>IF($B1214="","",IF($Y1214&lt;&gt;"",$Y1214-$B1214,TODAY()-$B1214))</f>
        <v/>
      </c>
      <c r="AA1214" s="28">
        <f>IF($B1214="","",IF(IFERROR(INDEX(CONFIG!$L$4:$L$63,MATCH($V1214,CONFIG!$K$4:$K$63,0)),"NO")="SÍ",IF(OR($Y1214="",$X1214=""),"Resuelta",IF($Y1214&gt;$X1214,"Resuelta tarde","Resuelta a tiempo")),IF($X1214="","Sin clasificar",IF(TODAY()&gt;$X1214,"Vencida",IF(TODAY()&gt;=$X1214-1,"Por vencer","En plazo")))))</f>
        <v/>
      </c>
      <c r="AB1214" s="50" t="n"/>
      <c r="AC1214" s="50" t="n"/>
    </row>
    <row r="1215" ht="16" customHeight="1">
      <c r="A1215" s="28">
        <f>IF($B1215="","","N-"&amp;TEXT(ROW()-3,"0000"))</f>
        <v/>
      </c>
      <c r="B1215" s="47" t="n"/>
      <c r="C1215" s="48" t="n"/>
      <c r="D1215" s="48" t="n"/>
      <c r="E1215" s="28">
        <f>IF($C1215="","",IF($D1215="",IF($C1215="Interna","Sin guía (interna)","FALTA GUÍA"),IF(COUNTIFS(ENVIOS!$A$4:$A$3003,$D1215)=0,"NO EXISTE",IF(COUNTIFS(ENVIOS!$A$4:$A$3003,$D1215)&gt;1,"DUPLICADA","OK"))))</f>
        <v/>
      </c>
      <c r="F1215" s="28">
        <f>IF($D1215="","",IFERROR(INDEX(ENVIOS!$B$4:$B$3003,MATCH($D1215,ENVIOS!$A$4:$A$3003,0)),"—"))</f>
        <v/>
      </c>
      <c r="G1215" s="23">
        <f>IF($D1215="","",IFERROR(INDEX(ENVIOS!$D$4:$D$3003,MATCH($D1215,ENVIOS!$A$4:$A$3003,0)),"—"))</f>
        <v/>
      </c>
      <c r="H1215" s="23">
        <f>IF($D1215="","",IFERROR(INDEX(ENVIOS!$E$4:$E$3003,MATCH($D1215,ENVIOS!$A$4:$A$3003,0)),"—"))</f>
        <v/>
      </c>
      <c r="I1215" s="23">
        <f>IF($D1215="","",IFERROR(INDEX(ENVIOS!$F$4:$F$3003,MATCH($D1215,ENVIOS!$A$4:$A$3003,0)),"—"))</f>
        <v/>
      </c>
      <c r="J1215" s="23">
        <f>IF($D1215="","",IFERROR(INDEX(ENVIOS!$G$4:$G$3003,MATCH($D1215,ENVIOS!$A$4:$A$3003,0)),"—"))</f>
        <v/>
      </c>
      <c r="K1215" s="28">
        <f>IF($D1215="","",IFERROR(INDEX(ENVIOS!$H$4:$H$3003,MATCH($D1215,ENVIOS!$A$4:$A$3003,0)),"—"))</f>
        <v/>
      </c>
      <c r="L1215" s="49">
        <f>IF($D1215="","",IFERROR(INDEX(ENVIOS!$C$4:$C$3003,MATCH($D1215,ENVIOS!$A$4:$A$3003,0)),""))</f>
        <v/>
      </c>
      <c r="M1215" s="50" t="n"/>
      <c r="N1215" s="28">
        <f>IF($M1215="","",IFERROR(INDEX(CONFIG!$C$4:$C$63,MATCH($M1215,CONFIG!$A$4:$A$63,0)),"Media"))</f>
        <v/>
      </c>
      <c r="O1215" s="28">
        <f>IF($M1215="","",IF($C1215="Interna","NO",IFERROR(INDEX(CONFIG!$E$4:$E$63,MATCH($M1215,CONFIG!$A$4:$A$63,0)),"NO")))</f>
        <v/>
      </c>
      <c r="P1215" s="50" t="n"/>
      <c r="Q1215" s="50" t="n"/>
      <c r="R1215" s="28">
        <f>IF($Q1215="","",IFERROR(INDEX(CONFIG!$H$4:$H$63,MATCH($Q1215,CONFIG!$G$4:$G$63,0)),"Por definir"))</f>
        <v/>
      </c>
      <c r="S1215" s="28">
        <f>IF($Q1215="","",IFERROR(INDEX(CONFIG!$I$4:$I$63,MATCH($Q1215,CONFIG!$G$4:$G$63,0)),"Por definir"))</f>
        <v/>
      </c>
      <c r="T1215" s="51" t="n"/>
      <c r="U1215" s="52" t="n"/>
      <c r="V1215" s="50" t="n"/>
      <c r="W1215" s="50" t="n"/>
      <c r="X1215" s="49">
        <f>IF(OR($B1215="",$M1215=""),"",WORKDAY($B1215,IFERROR(INDEX(CONFIG!$D$4:$D$63,MATCH($M1215,CONFIG!$A$4:$A$63,0)),3)))</f>
        <v/>
      </c>
      <c r="Y1215" s="47" t="n"/>
      <c r="Z1215" s="24">
        <f>IF($B1215="","",IF($Y1215&lt;&gt;"",$Y1215-$B1215,TODAY()-$B1215))</f>
        <v/>
      </c>
      <c r="AA1215" s="28">
        <f>IF($B1215="","",IF(IFERROR(INDEX(CONFIG!$L$4:$L$63,MATCH($V1215,CONFIG!$K$4:$K$63,0)),"NO")="SÍ",IF(OR($Y1215="",$X1215=""),"Resuelta",IF($Y1215&gt;$X1215,"Resuelta tarde","Resuelta a tiempo")),IF($X1215="","Sin clasificar",IF(TODAY()&gt;$X1215,"Vencida",IF(TODAY()&gt;=$X1215-1,"Por vencer","En plazo")))))</f>
        <v/>
      </c>
      <c r="AB1215" s="50" t="n"/>
      <c r="AC1215" s="50" t="n"/>
    </row>
    <row r="1216" ht="16" customHeight="1">
      <c r="A1216" s="28">
        <f>IF($B1216="","","N-"&amp;TEXT(ROW()-3,"0000"))</f>
        <v/>
      </c>
      <c r="B1216" s="47" t="n"/>
      <c r="C1216" s="48" t="n"/>
      <c r="D1216" s="48" t="n"/>
      <c r="E1216" s="28">
        <f>IF($C1216="","",IF($D1216="",IF($C1216="Interna","Sin guía (interna)","FALTA GUÍA"),IF(COUNTIFS(ENVIOS!$A$4:$A$3003,$D1216)=0,"NO EXISTE",IF(COUNTIFS(ENVIOS!$A$4:$A$3003,$D1216)&gt;1,"DUPLICADA","OK"))))</f>
        <v/>
      </c>
      <c r="F1216" s="28">
        <f>IF($D1216="","",IFERROR(INDEX(ENVIOS!$B$4:$B$3003,MATCH($D1216,ENVIOS!$A$4:$A$3003,0)),"—"))</f>
        <v/>
      </c>
      <c r="G1216" s="23">
        <f>IF($D1216="","",IFERROR(INDEX(ENVIOS!$D$4:$D$3003,MATCH($D1216,ENVIOS!$A$4:$A$3003,0)),"—"))</f>
        <v/>
      </c>
      <c r="H1216" s="23">
        <f>IF($D1216="","",IFERROR(INDEX(ENVIOS!$E$4:$E$3003,MATCH($D1216,ENVIOS!$A$4:$A$3003,0)),"—"))</f>
        <v/>
      </c>
      <c r="I1216" s="23">
        <f>IF($D1216="","",IFERROR(INDEX(ENVIOS!$F$4:$F$3003,MATCH($D1216,ENVIOS!$A$4:$A$3003,0)),"—"))</f>
        <v/>
      </c>
      <c r="J1216" s="23">
        <f>IF($D1216="","",IFERROR(INDEX(ENVIOS!$G$4:$G$3003,MATCH($D1216,ENVIOS!$A$4:$A$3003,0)),"—"))</f>
        <v/>
      </c>
      <c r="K1216" s="28">
        <f>IF($D1216="","",IFERROR(INDEX(ENVIOS!$H$4:$H$3003,MATCH($D1216,ENVIOS!$A$4:$A$3003,0)),"—"))</f>
        <v/>
      </c>
      <c r="L1216" s="49">
        <f>IF($D1216="","",IFERROR(INDEX(ENVIOS!$C$4:$C$3003,MATCH($D1216,ENVIOS!$A$4:$A$3003,0)),""))</f>
        <v/>
      </c>
      <c r="M1216" s="50" t="n"/>
      <c r="N1216" s="28">
        <f>IF($M1216="","",IFERROR(INDEX(CONFIG!$C$4:$C$63,MATCH($M1216,CONFIG!$A$4:$A$63,0)),"Media"))</f>
        <v/>
      </c>
      <c r="O1216" s="28">
        <f>IF($M1216="","",IF($C1216="Interna","NO",IFERROR(INDEX(CONFIG!$E$4:$E$63,MATCH($M1216,CONFIG!$A$4:$A$63,0)),"NO")))</f>
        <v/>
      </c>
      <c r="P1216" s="50" t="n"/>
      <c r="Q1216" s="50" t="n"/>
      <c r="R1216" s="28">
        <f>IF($Q1216="","",IFERROR(INDEX(CONFIG!$H$4:$H$63,MATCH($Q1216,CONFIG!$G$4:$G$63,0)),"Por definir"))</f>
        <v/>
      </c>
      <c r="S1216" s="28">
        <f>IF($Q1216="","",IFERROR(INDEX(CONFIG!$I$4:$I$63,MATCH($Q1216,CONFIG!$G$4:$G$63,0)),"Por definir"))</f>
        <v/>
      </c>
      <c r="T1216" s="51" t="n"/>
      <c r="U1216" s="52" t="n"/>
      <c r="V1216" s="50" t="n"/>
      <c r="W1216" s="50" t="n"/>
      <c r="X1216" s="49">
        <f>IF(OR($B1216="",$M1216=""),"",WORKDAY($B1216,IFERROR(INDEX(CONFIG!$D$4:$D$63,MATCH($M1216,CONFIG!$A$4:$A$63,0)),3)))</f>
        <v/>
      </c>
      <c r="Y1216" s="47" t="n"/>
      <c r="Z1216" s="24">
        <f>IF($B1216="","",IF($Y1216&lt;&gt;"",$Y1216-$B1216,TODAY()-$B1216))</f>
        <v/>
      </c>
      <c r="AA1216" s="28">
        <f>IF($B1216="","",IF(IFERROR(INDEX(CONFIG!$L$4:$L$63,MATCH($V1216,CONFIG!$K$4:$K$63,0)),"NO")="SÍ",IF(OR($Y1216="",$X1216=""),"Resuelta",IF($Y1216&gt;$X1216,"Resuelta tarde","Resuelta a tiempo")),IF($X1216="","Sin clasificar",IF(TODAY()&gt;$X1216,"Vencida",IF(TODAY()&gt;=$X1216-1,"Por vencer","En plazo")))))</f>
        <v/>
      </c>
      <c r="AB1216" s="50" t="n"/>
      <c r="AC1216" s="50" t="n"/>
    </row>
    <row r="1217" ht="16" customHeight="1">
      <c r="A1217" s="28">
        <f>IF($B1217="","","N-"&amp;TEXT(ROW()-3,"0000"))</f>
        <v/>
      </c>
      <c r="B1217" s="47" t="n"/>
      <c r="C1217" s="48" t="n"/>
      <c r="D1217" s="48" t="n"/>
      <c r="E1217" s="28">
        <f>IF($C1217="","",IF($D1217="",IF($C1217="Interna","Sin guía (interna)","FALTA GUÍA"),IF(COUNTIFS(ENVIOS!$A$4:$A$3003,$D1217)=0,"NO EXISTE",IF(COUNTIFS(ENVIOS!$A$4:$A$3003,$D1217)&gt;1,"DUPLICADA","OK"))))</f>
        <v/>
      </c>
      <c r="F1217" s="28">
        <f>IF($D1217="","",IFERROR(INDEX(ENVIOS!$B$4:$B$3003,MATCH($D1217,ENVIOS!$A$4:$A$3003,0)),"—"))</f>
        <v/>
      </c>
      <c r="G1217" s="23">
        <f>IF($D1217="","",IFERROR(INDEX(ENVIOS!$D$4:$D$3003,MATCH($D1217,ENVIOS!$A$4:$A$3003,0)),"—"))</f>
        <v/>
      </c>
      <c r="H1217" s="23">
        <f>IF($D1217="","",IFERROR(INDEX(ENVIOS!$E$4:$E$3003,MATCH($D1217,ENVIOS!$A$4:$A$3003,0)),"—"))</f>
        <v/>
      </c>
      <c r="I1217" s="23">
        <f>IF($D1217="","",IFERROR(INDEX(ENVIOS!$F$4:$F$3003,MATCH($D1217,ENVIOS!$A$4:$A$3003,0)),"—"))</f>
        <v/>
      </c>
      <c r="J1217" s="23">
        <f>IF($D1217="","",IFERROR(INDEX(ENVIOS!$G$4:$G$3003,MATCH($D1217,ENVIOS!$A$4:$A$3003,0)),"—"))</f>
        <v/>
      </c>
      <c r="K1217" s="28">
        <f>IF($D1217="","",IFERROR(INDEX(ENVIOS!$H$4:$H$3003,MATCH($D1217,ENVIOS!$A$4:$A$3003,0)),"—"))</f>
        <v/>
      </c>
      <c r="L1217" s="49">
        <f>IF($D1217="","",IFERROR(INDEX(ENVIOS!$C$4:$C$3003,MATCH($D1217,ENVIOS!$A$4:$A$3003,0)),""))</f>
        <v/>
      </c>
      <c r="M1217" s="50" t="n"/>
      <c r="N1217" s="28">
        <f>IF($M1217="","",IFERROR(INDEX(CONFIG!$C$4:$C$63,MATCH($M1217,CONFIG!$A$4:$A$63,0)),"Media"))</f>
        <v/>
      </c>
      <c r="O1217" s="28">
        <f>IF($M1217="","",IF($C1217="Interna","NO",IFERROR(INDEX(CONFIG!$E$4:$E$63,MATCH($M1217,CONFIG!$A$4:$A$63,0)),"NO")))</f>
        <v/>
      </c>
      <c r="P1217" s="50" t="n"/>
      <c r="Q1217" s="50" t="n"/>
      <c r="R1217" s="28">
        <f>IF($Q1217="","",IFERROR(INDEX(CONFIG!$H$4:$H$63,MATCH($Q1217,CONFIG!$G$4:$G$63,0)),"Por definir"))</f>
        <v/>
      </c>
      <c r="S1217" s="28">
        <f>IF($Q1217="","",IFERROR(INDEX(CONFIG!$I$4:$I$63,MATCH($Q1217,CONFIG!$G$4:$G$63,0)),"Por definir"))</f>
        <v/>
      </c>
      <c r="T1217" s="51" t="n"/>
      <c r="U1217" s="52" t="n"/>
      <c r="V1217" s="50" t="n"/>
      <c r="W1217" s="50" t="n"/>
      <c r="X1217" s="49">
        <f>IF(OR($B1217="",$M1217=""),"",WORKDAY($B1217,IFERROR(INDEX(CONFIG!$D$4:$D$63,MATCH($M1217,CONFIG!$A$4:$A$63,0)),3)))</f>
        <v/>
      </c>
      <c r="Y1217" s="47" t="n"/>
      <c r="Z1217" s="24">
        <f>IF($B1217="","",IF($Y1217&lt;&gt;"",$Y1217-$B1217,TODAY()-$B1217))</f>
        <v/>
      </c>
      <c r="AA1217" s="28">
        <f>IF($B1217="","",IF(IFERROR(INDEX(CONFIG!$L$4:$L$63,MATCH($V1217,CONFIG!$K$4:$K$63,0)),"NO")="SÍ",IF(OR($Y1217="",$X1217=""),"Resuelta",IF($Y1217&gt;$X1217,"Resuelta tarde","Resuelta a tiempo")),IF($X1217="","Sin clasificar",IF(TODAY()&gt;$X1217,"Vencida",IF(TODAY()&gt;=$X1217-1,"Por vencer","En plazo")))))</f>
        <v/>
      </c>
      <c r="AB1217" s="50" t="n"/>
      <c r="AC1217" s="50" t="n"/>
    </row>
    <row r="1218" ht="16" customHeight="1">
      <c r="A1218" s="28">
        <f>IF($B1218="","","N-"&amp;TEXT(ROW()-3,"0000"))</f>
        <v/>
      </c>
      <c r="B1218" s="47" t="n"/>
      <c r="C1218" s="48" t="n"/>
      <c r="D1218" s="48" t="n"/>
      <c r="E1218" s="28">
        <f>IF($C1218="","",IF($D1218="",IF($C1218="Interna","Sin guía (interna)","FALTA GUÍA"),IF(COUNTIFS(ENVIOS!$A$4:$A$3003,$D1218)=0,"NO EXISTE",IF(COUNTIFS(ENVIOS!$A$4:$A$3003,$D1218)&gt;1,"DUPLICADA","OK"))))</f>
        <v/>
      </c>
      <c r="F1218" s="28">
        <f>IF($D1218="","",IFERROR(INDEX(ENVIOS!$B$4:$B$3003,MATCH($D1218,ENVIOS!$A$4:$A$3003,0)),"—"))</f>
        <v/>
      </c>
      <c r="G1218" s="23">
        <f>IF($D1218="","",IFERROR(INDEX(ENVIOS!$D$4:$D$3003,MATCH($D1218,ENVIOS!$A$4:$A$3003,0)),"—"))</f>
        <v/>
      </c>
      <c r="H1218" s="23">
        <f>IF($D1218="","",IFERROR(INDEX(ENVIOS!$E$4:$E$3003,MATCH($D1218,ENVIOS!$A$4:$A$3003,0)),"—"))</f>
        <v/>
      </c>
      <c r="I1218" s="23">
        <f>IF($D1218="","",IFERROR(INDEX(ENVIOS!$F$4:$F$3003,MATCH($D1218,ENVIOS!$A$4:$A$3003,0)),"—"))</f>
        <v/>
      </c>
      <c r="J1218" s="23">
        <f>IF($D1218="","",IFERROR(INDEX(ENVIOS!$G$4:$G$3003,MATCH($D1218,ENVIOS!$A$4:$A$3003,0)),"—"))</f>
        <v/>
      </c>
      <c r="K1218" s="28">
        <f>IF($D1218="","",IFERROR(INDEX(ENVIOS!$H$4:$H$3003,MATCH($D1218,ENVIOS!$A$4:$A$3003,0)),"—"))</f>
        <v/>
      </c>
      <c r="L1218" s="49">
        <f>IF($D1218="","",IFERROR(INDEX(ENVIOS!$C$4:$C$3003,MATCH($D1218,ENVIOS!$A$4:$A$3003,0)),""))</f>
        <v/>
      </c>
      <c r="M1218" s="50" t="n"/>
      <c r="N1218" s="28">
        <f>IF($M1218="","",IFERROR(INDEX(CONFIG!$C$4:$C$63,MATCH($M1218,CONFIG!$A$4:$A$63,0)),"Media"))</f>
        <v/>
      </c>
      <c r="O1218" s="28">
        <f>IF($M1218="","",IF($C1218="Interna","NO",IFERROR(INDEX(CONFIG!$E$4:$E$63,MATCH($M1218,CONFIG!$A$4:$A$63,0)),"NO")))</f>
        <v/>
      </c>
      <c r="P1218" s="50" t="n"/>
      <c r="Q1218" s="50" t="n"/>
      <c r="R1218" s="28">
        <f>IF($Q1218="","",IFERROR(INDEX(CONFIG!$H$4:$H$63,MATCH($Q1218,CONFIG!$G$4:$G$63,0)),"Por definir"))</f>
        <v/>
      </c>
      <c r="S1218" s="28">
        <f>IF($Q1218="","",IFERROR(INDEX(CONFIG!$I$4:$I$63,MATCH($Q1218,CONFIG!$G$4:$G$63,0)),"Por definir"))</f>
        <v/>
      </c>
      <c r="T1218" s="51" t="n"/>
      <c r="U1218" s="52" t="n"/>
      <c r="V1218" s="50" t="n"/>
      <c r="W1218" s="50" t="n"/>
      <c r="X1218" s="49">
        <f>IF(OR($B1218="",$M1218=""),"",WORKDAY($B1218,IFERROR(INDEX(CONFIG!$D$4:$D$63,MATCH($M1218,CONFIG!$A$4:$A$63,0)),3)))</f>
        <v/>
      </c>
      <c r="Y1218" s="47" t="n"/>
      <c r="Z1218" s="24">
        <f>IF($B1218="","",IF($Y1218&lt;&gt;"",$Y1218-$B1218,TODAY()-$B1218))</f>
        <v/>
      </c>
      <c r="AA1218" s="28">
        <f>IF($B1218="","",IF(IFERROR(INDEX(CONFIG!$L$4:$L$63,MATCH($V1218,CONFIG!$K$4:$K$63,0)),"NO")="SÍ",IF(OR($Y1218="",$X1218=""),"Resuelta",IF($Y1218&gt;$X1218,"Resuelta tarde","Resuelta a tiempo")),IF($X1218="","Sin clasificar",IF(TODAY()&gt;$X1218,"Vencida",IF(TODAY()&gt;=$X1218-1,"Por vencer","En plazo")))))</f>
        <v/>
      </c>
      <c r="AB1218" s="50" t="n"/>
      <c r="AC1218" s="50" t="n"/>
    </row>
    <row r="1219" ht="16" customHeight="1">
      <c r="A1219" s="28">
        <f>IF($B1219="","","N-"&amp;TEXT(ROW()-3,"0000"))</f>
        <v/>
      </c>
      <c r="B1219" s="47" t="n"/>
      <c r="C1219" s="48" t="n"/>
      <c r="D1219" s="48" t="n"/>
      <c r="E1219" s="28">
        <f>IF($C1219="","",IF($D1219="",IF($C1219="Interna","Sin guía (interna)","FALTA GUÍA"),IF(COUNTIFS(ENVIOS!$A$4:$A$3003,$D1219)=0,"NO EXISTE",IF(COUNTIFS(ENVIOS!$A$4:$A$3003,$D1219)&gt;1,"DUPLICADA","OK"))))</f>
        <v/>
      </c>
      <c r="F1219" s="28">
        <f>IF($D1219="","",IFERROR(INDEX(ENVIOS!$B$4:$B$3003,MATCH($D1219,ENVIOS!$A$4:$A$3003,0)),"—"))</f>
        <v/>
      </c>
      <c r="G1219" s="23">
        <f>IF($D1219="","",IFERROR(INDEX(ENVIOS!$D$4:$D$3003,MATCH($D1219,ENVIOS!$A$4:$A$3003,0)),"—"))</f>
        <v/>
      </c>
      <c r="H1219" s="23">
        <f>IF($D1219="","",IFERROR(INDEX(ENVIOS!$E$4:$E$3003,MATCH($D1219,ENVIOS!$A$4:$A$3003,0)),"—"))</f>
        <v/>
      </c>
      <c r="I1219" s="23">
        <f>IF($D1219="","",IFERROR(INDEX(ENVIOS!$F$4:$F$3003,MATCH($D1219,ENVIOS!$A$4:$A$3003,0)),"—"))</f>
        <v/>
      </c>
      <c r="J1219" s="23">
        <f>IF($D1219="","",IFERROR(INDEX(ENVIOS!$G$4:$G$3003,MATCH($D1219,ENVIOS!$A$4:$A$3003,0)),"—"))</f>
        <v/>
      </c>
      <c r="K1219" s="28">
        <f>IF($D1219="","",IFERROR(INDEX(ENVIOS!$H$4:$H$3003,MATCH($D1219,ENVIOS!$A$4:$A$3003,0)),"—"))</f>
        <v/>
      </c>
      <c r="L1219" s="49">
        <f>IF($D1219="","",IFERROR(INDEX(ENVIOS!$C$4:$C$3003,MATCH($D1219,ENVIOS!$A$4:$A$3003,0)),""))</f>
        <v/>
      </c>
      <c r="M1219" s="50" t="n"/>
      <c r="N1219" s="28">
        <f>IF($M1219="","",IFERROR(INDEX(CONFIG!$C$4:$C$63,MATCH($M1219,CONFIG!$A$4:$A$63,0)),"Media"))</f>
        <v/>
      </c>
      <c r="O1219" s="28">
        <f>IF($M1219="","",IF($C1219="Interna","NO",IFERROR(INDEX(CONFIG!$E$4:$E$63,MATCH($M1219,CONFIG!$A$4:$A$63,0)),"NO")))</f>
        <v/>
      </c>
      <c r="P1219" s="50" t="n"/>
      <c r="Q1219" s="50" t="n"/>
      <c r="R1219" s="28">
        <f>IF($Q1219="","",IFERROR(INDEX(CONFIG!$H$4:$H$63,MATCH($Q1219,CONFIG!$G$4:$G$63,0)),"Por definir"))</f>
        <v/>
      </c>
      <c r="S1219" s="28">
        <f>IF($Q1219="","",IFERROR(INDEX(CONFIG!$I$4:$I$63,MATCH($Q1219,CONFIG!$G$4:$G$63,0)),"Por definir"))</f>
        <v/>
      </c>
      <c r="T1219" s="51" t="n"/>
      <c r="U1219" s="52" t="n"/>
      <c r="V1219" s="50" t="n"/>
      <c r="W1219" s="50" t="n"/>
      <c r="X1219" s="49">
        <f>IF(OR($B1219="",$M1219=""),"",WORKDAY($B1219,IFERROR(INDEX(CONFIG!$D$4:$D$63,MATCH($M1219,CONFIG!$A$4:$A$63,0)),3)))</f>
        <v/>
      </c>
      <c r="Y1219" s="47" t="n"/>
      <c r="Z1219" s="24">
        <f>IF($B1219="","",IF($Y1219&lt;&gt;"",$Y1219-$B1219,TODAY()-$B1219))</f>
        <v/>
      </c>
      <c r="AA1219" s="28">
        <f>IF($B1219="","",IF(IFERROR(INDEX(CONFIG!$L$4:$L$63,MATCH($V1219,CONFIG!$K$4:$K$63,0)),"NO")="SÍ",IF(OR($Y1219="",$X1219=""),"Resuelta",IF($Y1219&gt;$X1219,"Resuelta tarde","Resuelta a tiempo")),IF($X1219="","Sin clasificar",IF(TODAY()&gt;$X1219,"Vencida",IF(TODAY()&gt;=$X1219-1,"Por vencer","En plazo")))))</f>
        <v/>
      </c>
      <c r="AB1219" s="50" t="n"/>
      <c r="AC1219" s="50" t="n"/>
    </row>
    <row r="1220" ht="16" customHeight="1">
      <c r="A1220" s="28">
        <f>IF($B1220="","","N-"&amp;TEXT(ROW()-3,"0000"))</f>
        <v/>
      </c>
      <c r="B1220" s="47" t="n"/>
      <c r="C1220" s="48" t="n"/>
      <c r="D1220" s="48" t="n"/>
      <c r="E1220" s="28">
        <f>IF($C1220="","",IF($D1220="",IF($C1220="Interna","Sin guía (interna)","FALTA GUÍA"),IF(COUNTIFS(ENVIOS!$A$4:$A$3003,$D1220)=0,"NO EXISTE",IF(COUNTIFS(ENVIOS!$A$4:$A$3003,$D1220)&gt;1,"DUPLICADA","OK"))))</f>
        <v/>
      </c>
      <c r="F1220" s="28">
        <f>IF($D1220="","",IFERROR(INDEX(ENVIOS!$B$4:$B$3003,MATCH($D1220,ENVIOS!$A$4:$A$3003,0)),"—"))</f>
        <v/>
      </c>
      <c r="G1220" s="23">
        <f>IF($D1220="","",IFERROR(INDEX(ENVIOS!$D$4:$D$3003,MATCH($D1220,ENVIOS!$A$4:$A$3003,0)),"—"))</f>
        <v/>
      </c>
      <c r="H1220" s="23">
        <f>IF($D1220="","",IFERROR(INDEX(ENVIOS!$E$4:$E$3003,MATCH($D1220,ENVIOS!$A$4:$A$3003,0)),"—"))</f>
        <v/>
      </c>
      <c r="I1220" s="23">
        <f>IF($D1220="","",IFERROR(INDEX(ENVIOS!$F$4:$F$3003,MATCH($D1220,ENVIOS!$A$4:$A$3003,0)),"—"))</f>
        <v/>
      </c>
      <c r="J1220" s="23">
        <f>IF($D1220="","",IFERROR(INDEX(ENVIOS!$G$4:$G$3003,MATCH($D1220,ENVIOS!$A$4:$A$3003,0)),"—"))</f>
        <v/>
      </c>
      <c r="K1220" s="28">
        <f>IF($D1220="","",IFERROR(INDEX(ENVIOS!$H$4:$H$3003,MATCH($D1220,ENVIOS!$A$4:$A$3003,0)),"—"))</f>
        <v/>
      </c>
      <c r="L1220" s="49">
        <f>IF($D1220="","",IFERROR(INDEX(ENVIOS!$C$4:$C$3003,MATCH($D1220,ENVIOS!$A$4:$A$3003,0)),""))</f>
        <v/>
      </c>
      <c r="M1220" s="50" t="n"/>
      <c r="N1220" s="28">
        <f>IF($M1220="","",IFERROR(INDEX(CONFIG!$C$4:$C$63,MATCH($M1220,CONFIG!$A$4:$A$63,0)),"Media"))</f>
        <v/>
      </c>
      <c r="O1220" s="28">
        <f>IF($M1220="","",IF($C1220="Interna","NO",IFERROR(INDEX(CONFIG!$E$4:$E$63,MATCH($M1220,CONFIG!$A$4:$A$63,0)),"NO")))</f>
        <v/>
      </c>
      <c r="P1220" s="50" t="n"/>
      <c r="Q1220" s="50" t="n"/>
      <c r="R1220" s="28">
        <f>IF($Q1220="","",IFERROR(INDEX(CONFIG!$H$4:$H$63,MATCH($Q1220,CONFIG!$G$4:$G$63,0)),"Por definir"))</f>
        <v/>
      </c>
      <c r="S1220" s="28">
        <f>IF($Q1220="","",IFERROR(INDEX(CONFIG!$I$4:$I$63,MATCH($Q1220,CONFIG!$G$4:$G$63,0)),"Por definir"))</f>
        <v/>
      </c>
      <c r="T1220" s="51" t="n"/>
      <c r="U1220" s="52" t="n"/>
      <c r="V1220" s="50" t="n"/>
      <c r="W1220" s="50" t="n"/>
      <c r="X1220" s="49">
        <f>IF(OR($B1220="",$M1220=""),"",WORKDAY($B1220,IFERROR(INDEX(CONFIG!$D$4:$D$63,MATCH($M1220,CONFIG!$A$4:$A$63,0)),3)))</f>
        <v/>
      </c>
      <c r="Y1220" s="47" t="n"/>
      <c r="Z1220" s="24">
        <f>IF($B1220="","",IF($Y1220&lt;&gt;"",$Y1220-$B1220,TODAY()-$B1220))</f>
        <v/>
      </c>
      <c r="AA1220" s="28">
        <f>IF($B1220="","",IF(IFERROR(INDEX(CONFIG!$L$4:$L$63,MATCH($V1220,CONFIG!$K$4:$K$63,0)),"NO")="SÍ",IF(OR($Y1220="",$X1220=""),"Resuelta",IF($Y1220&gt;$X1220,"Resuelta tarde","Resuelta a tiempo")),IF($X1220="","Sin clasificar",IF(TODAY()&gt;$X1220,"Vencida",IF(TODAY()&gt;=$X1220-1,"Por vencer","En plazo")))))</f>
        <v/>
      </c>
      <c r="AB1220" s="50" t="n"/>
      <c r="AC1220" s="50" t="n"/>
    </row>
    <row r="1221" ht="16" customHeight="1">
      <c r="A1221" s="28">
        <f>IF($B1221="","","N-"&amp;TEXT(ROW()-3,"0000"))</f>
        <v/>
      </c>
      <c r="B1221" s="47" t="n"/>
      <c r="C1221" s="48" t="n"/>
      <c r="D1221" s="48" t="n"/>
      <c r="E1221" s="28">
        <f>IF($C1221="","",IF($D1221="",IF($C1221="Interna","Sin guía (interna)","FALTA GUÍA"),IF(COUNTIFS(ENVIOS!$A$4:$A$3003,$D1221)=0,"NO EXISTE",IF(COUNTIFS(ENVIOS!$A$4:$A$3003,$D1221)&gt;1,"DUPLICADA","OK"))))</f>
        <v/>
      </c>
      <c r="F1221" s="28">
        <f>IF($D1221="","",IFERROR(INDEX(ENVIOS!$B$4:$B$3003,MATCH($D1221,ENVIOS!$A$4:$A$3003,0)),"—"))</f>
        <v/>
      </c>
      <c r="G1221" s="23">
        <f>IF($D1221="","",IFERROR(INDEX(ENVIOS!$D$4:$D$3003,MATCH($D1221,ENVIOS!$A$4:$A$3003,0)),"—"))</f>
        <v/>
      </c>
      <c r="H1221" s="23">
        <f>IF($D1221="","",IFERROR(INDEX(ENVIOS!$E$4:$E$3003,MATCH($D1221,ENVIOS!$A$4:$A$3003,0)),"—"))</f>
        <v/>
      </c>
      <c r="I1221" s="23">
        <f>IF($D1221="","",IFERROR(INDEX(ENVIOS!$F$4:$F$3003,MATCH($D1221,ENVIOS!$A$4:$A$3003,0)),"—"))</f>
        <v/>
      </c>
      <c r="J1221" s="23">
        <f>IF($D1221="","",IFERROR(INDEX(ENVIOS!$G$4:$G$3003,MATCH($D1221,ENVIOS!$A$4:$A$3003,0)),"—"))</f>
        <v/>
      </c>
      <c r="K1221" s="28">
        <f>IF($D1221="","",IFERROR(INDEX(ENVIOS!$H$4:$H$3003,MATCH($D1221,ENVIOS!$A$4:$A$3003,0)),"—"))</f>
        <v/>
      </c>
      <c r="L1221" s="49">
        <f>IF($D1221="","",IFERROR(INDEX(ENVIOS!$C$4:$C$3003,MATCH($D1221,ENVIOS!$A$4:$A$3003,0)),""))</f>
        <v/>
      </c>
      <c r="M1221" s="50" t="n"/>
      <c r="N1221" s="28">
        <f>IF($M1221="","",IFERROR(INDEX(CONFIG!$C$4:$C$63,MATCH($M1221,CONFIG!$A$4:$A$63,0)),"Media"))</f>
        <v/>
      </c>
      <c r="O1221" s="28">
        <f>IF($M1221="","",IF($C1221="Interna","NO",IFERROR(INDEX(CONFIG!$E$4:$E$63,MATCH($M1221,CONFIG!$A$4:$A$63,0)),"NO")))</f>
        <v/>
      </c>
      <c r="P1221" s="50" t="n"/>
      <c r="Q1221" s="50" t="n"/>
      <c r="R1221" s="28">
        <f>IF($Q1221="","",IFERROR(INDEX(CONFIG!$H$4:$H$63,MATCH($Q1221,CONFIG!$G$4:$G$63,0)),"Por definir"))</f>
        <v/>
      </c>
      <c r="S1221" s="28">
        <f>IF($Q1221="","",IFERROR(INDEX(CONFIG!$I$4:$I$63,MATCH($Q1221,CONFIG!$G$4:$G$63,0)),"Por definir"))</f>
        <v/>
      </c>
      <c r="T1221" s="51" t="n"/>
      <c r="U1221" s="52" t="n"/>
      <c r="V1221" s="50" t="n"/>
      <c r="W1221" s="50" t="n"/>
      <c r="X1221" s="49">
        <f>IF(OR($B1221="",$M1221=""),"",WORKDAY($B1221,IFERROR(INDEX(CONFIG!$D$4:$D$63,MATCH($M1221,CONFIG!$A$4:$A$63,0)),3)))</f>
        <v/>
      </c>
      <c r="Y1221" s="47" t="n"/>
      <c r="Z1221" s="24">
        <f>IF($B1221="","",IF($Y1221&lt;&gt;"",$Y1221-$B1221,TODAY()-$B1221))</f>
        <v/>
      </c>
      <c r="AA1221" s="28">
        <f>IF($B1221="","",IF(IFERROR(INDEX(CONFIG!$L$4:$L$63,MATCH($V1221,CONFIG!$K$4:$K$63,0)),"NO")="SÍ",IF(OR($Y1221="",$X1221=""),"Resuelta",IF($Y1221&gt;$X1221,"Resuelta tarde","Resuelta a tiempo")),IF($X1221="","Sin clasificar",IF(TODAY()&gt;$X1221,"Vencida",IF(TODAY()&gt;=$X1221-1,"Por vencer","En plazo")))))</f>
        <v/>
      </c>
      <c r="AB1221" s="50" t="n"/>
      <c r="AC1221" s="50" t="n"/>
    </row>
    <row r="1222" ht="16" customHeight="1">
      <c r="A1222" s="28">
        <f>IF($B1222="","","N-"&amp;TEXT(ROW()-3,"0000"))</f>
        <v/>
      </c>
      <c r="B1222" s="47" t="n"/>
      <c r="C1222" s="48" t="n"/>
      <c r="D1222" s="48" t="n"/>
      <c r="E1222" s="28">
        <f>IF($C1222="","",IF($D1222="",IF($C1222="Interna","Sin guía (interna)","FALTA GUÍA"),IF(COUNTIFS(ENVIOS!$A$4:$A$3003,$D1222)=0,"NO EXISTE",IF(COUNTIFS(ENVIOS!$A$4:$A$3003,$D1222)&gt;1,"DUPLICADA","OK"))))</f>
        <v/>
      </c>
      <c r="F1222" s="28">
        <f>IF($D1222="","",IFERROR(INDEX(ENVIOS!$B$4:$B$3003,MATCH($D1222,ENVIOS!$A$4:$A$3003,0)),"—"))</f>
        <v/>
      </c>
      <c r="G1222" s="23">
        <f>IF($D1222="","",IFERROR(INDEX(ENVIOS!$D$4:$D$3003,MATCH($D1222,ENVIOS!$A$4:$A$3003,0)),"—"))</f>
        <v/>
      </c>
      <c r="H1222" s="23">
        <f>IF($D1222="","",IFERROR(INDEX(ENVIOS!$E$4:$E$3003,MATCH($D1222,ENVIOS!$A$4:$A$3003,0)),"—"))</f>
        <v/>
      </c>
      <c r="I1222" s="23">
        <f>IF($D1222="","",IFERROR(INDEX(ENVIOS!$F$4:$F$3003,MATCH($D1222,ENVIOS!$A$4:$A$3003,0)),"—"))</f>
        <v/>
      </c>
      <c r="J1222" s="23">
        <f>IF($D1222="","",IFERROR(INDEX(ENVIOS!$G$4:$G$3003,MATCH($D1222,ENVIOS!$A$4:$A$3003,0)),"—"))</f>
        <v/>
      </c>
      <c r="K1222" s="28">
        <f>IF($D1222="","",IFERROR(INDEX(ENVIOS!$H$4:$H$3003,MATCH($D1222,ENVIOS!$A$4:$A$3003,0)),"—"))</f>
        <v/>
      </c>
      <c r="L1222" s="49">
        <f>IF($D1222="","",IFERROR(INDEX(ENVIOS!$C$4:$C$3003,MATCH($D1222,ENVIOS!$A$4:$A$3003,0)),""))</f>
        <v/>
      </c>
      <c r="M1222" s="50" t="n"/>
      <c r="N1222" s="28">
        <f>IF($M1222="","",IFERROR(INDEX(CONFIG!$C$4:$C$63,MATCH($M1222,CONFIG!$A$4:$A$63,0)),"Media"))</f>
        <v/>
      </c>
      <c r="O1222" s="28">
        <f>IF($M1222="","",IF($C1222="Interna","NO",IFERROR(INDEX(CONFIG!$E$4:$E$63,MATCH($M1222,CONFIG!$A$4:$A$63,0)),"NO")))</f>
        <v/>
      </c>
      <c r="P1222" s="50" t="n"/>
      <c r="Q1222" s="50" t="n"/>
      <c r="R1222" s="28">
        <f>IF($Q1222="","",IFERROR(INDEX(CONFIG!$H$4:$H$63,MATCH($Q1222,CONFIG!$G$4:$G$63,0)),"Por definir"))</f>
        <v/>
      </c>
      <c r="S1222" s="28">
        <f>IF($Q1222="","",IFERROR(INDEX(CONFIG!$I$4:$I$63,MATCH($Q1222,CONFIG!$G$4:$G$63,0)),"Por definir"))</f>
        <v/>
      </c>
      <c r="T1222" s="51" t="n"/>
      <c r="U1222" s="52" t="n"/>
      <c r="V1222" s="50" t="n"/>
      <c r="W1222" s="50" t="n"/>
      <c r="X1222" s="49">
        <f>IF(OR($B1222="",$M1222=""),"",WORKDAY($B1222,IFERROR(INDEX(CONFIG!$D$4:$D$63,MATCH($M1222,CONFIG!$A$4:$A$63,0)),3)))</f>
        <v/>
      </c>
      <c r="Y1222" s="47" t="n"/>
      <c r="Z1222" s="24">
        <f>IF($B1222="","",IF($Y1222&lt;&gt;"",$Y1222-$B1222,TODAY()-$B1222))</f>
        <v/>
      </c>
      <c r="AA1222" s="28">
        <f>IF($B1222="","",IF(IFERROR(INDEX(CONFIG!$L$4:$L$63,MATCH($V1222,CONFIG!$K$4:$K$63,0)),"NO")="SÍ",IF(OR($Y1222="",$X1222=""),"Resuelta",IF($Y1222&gt;$X1222,"Resuelta tarde","Resuelta a tiempo")),IF($X1222="","Sin clasificar",IF(TODAY()&gt;$X1222,"Vencida",IF(TODAY()&gt;=$X1222-1,"Por vencer","En plazo")))))</f>
        <v/>
      </c>
      <c r="AB1222" s="50" t="n"/>
      <c r="AC1222" s="50" t="n"/>
    </row>
    <row r="1223" ht="16" customHeight="1">
      <c r="A1223" s="28">
        <f>IF($B1223="","","N-"&amp;TEXT(ROW()-3,"0000"))</f>
        <v/>
      </c>
      <c r="B1223" s="47" t="n"/>
      <c r="C1223" s="48" t="n"/>
      <c r="D1223" s="48" t="n"/>
      <c r="E1223" s="28">
        <f>IF($C1223="","",IF($D1223="",IF($C1223="Interna","Sin guía (interna)","FALTA GUÍA"),IF(COUNTIFS(ENVIOS!$A$4:$A$3003,$D1223)=0,"NO EXISTE",IF(COUNTIFS(ENVIOS!$A$4:$A$3003,$D1223)&gt;1,"DUPLICADA","OK"))))</f>
        <v/>
      </c>
      <c r="F1223" s="28">
        <f>IF($D1223="","",IFERROR(INDEX(ENVIOS!$B$4:$B$3003,MATCH($D1223,ENVIOS!$A$4:$A$3003,0)),"—"))</f>
        <v/>
      </c>
      <c r="G1223" s="23">
        <f>IF($D1223="","",IFERROR(INDEX(ENVIOS!$D$4:$D$3003,MATCH($D1223,ENVIOS!$A$4:$A$3003,0)),"—"))</f>
        <v/>
      </c>
      <c r="H1223" s="23">
        <f>IF($D1223="","",IFERROR(INDEX(ENVIOS!$E$4:$E$3003,MATCH($D1223,ENVIOS!$A$4:$A$3003,0)),"—"))</f>
        <v/>
      </c>
      <c r="I1223" s="23">
        <f>IF($D1223="","",IFERROR(INDEX(ENVIOS!$F$4:$F$3003,MATCH($D1223,ENVIOS!$A$4:$A$3003,0)),"—"))</f>
        <v/>
      </c>
      <c r="J1223" s="23">
        <f>IF($D1223="","",IFERROR(INDEX(ENVIOS!$G$4:$G$3003,MATCH($D1223,ENVIOS!$A$4:$A$3003,0)),"—"))</f>
        <v/>
      </c>
      <c r="K1223" s="28">
        <f>IF($D1223="","",IFERROR(INDEX(ENVIOS!$H$4:$H$3003,MATCH($D1223,ENVIOS!$A$4:$A$3003,0)),"—"))</f>
        <v/>
      </c>
      <c r="L1223" s="49">
        <f>IF($D1223="","",IFERROR(INDEX(ENVIOS!$C$4:$C$3003,MATCH($D1223,ENVIOS!$A$4:$A$3003,0)),""))</f>
        <v/>
      </c>
      <c r="M1223" s="50" t="n"/>
      <c r="N1223" s="28">
        <f>IF($M1223="","",IFERROR(INDEX(CONFIG!$C$4:$C$63,MATCH($M1223,CONFIG!$A$4:$A$63,0)),"Media"))</f>
        <v/>
      </c>
      <c r="O1223" s="28">
        <f>IF($M1223="","",IF($C1223="Interna","NO",IFERROR(INDEX(CONFIG!$E$4:$E$63,MATCH($M1223,CONFIG!$A$4:$A$63,0)),"NO")))</f>
        <v/>
      </c>
      <c r="P1223" s="50" t="n"/>
      <c r="Q1223" s="50" t="n"/>
      <c r="R1223" s="28">
        <f>IF($Q1223="","",IFERROR(INDEX(CONFIG!$H$4:$H$63,MATCH($Q1223,CONFIG!$G$4:$G$63,0)),"Por definir"))</f>
        <v/>
      </c>
      <c r="S1223" s="28">
        <f>IF($Q1223="","",IFERROR(INDEX(CONFIG!$I$4:$I$63,MATCH($Q1223,CONFIG!$G$4:$G$63,0)),"Por definir"))</f>
        <v/>
      </c>
      <c r="T1223" s="51" t="n"/>
      <c r="U1223" s="52" t="n"/>
      <c r="V1223" s="50" t="n"/>
      <c r="W1223" s="50" t="n"/>
      <c r="X1223" s="49">
        <f>IF(OR($B1223="",$M1223=""),"",WORKDAY($B1223,IFERROR(INDEX(CONFIG!$D$4:$D$63,MATCH($M1223,CONFIG!$A$4:$A$63,0)),3)))</f>
        <v/>
      </c>
      <c r="Y1223" s="47" t="n"/>
      <c r="Z1223" s="24">
        <f>IF($B1223="","",IF($Y1223&lt;&gt;"",$Y1223-$B1223,TODAY()-$B1223))</f>
        <v/>
      </c>
      <c r="AA1223" s="28">
        <f>IF($B1223="","",IF(IFERROR(INDEX(CONFIG!$L$4:$L$63,MATCH($V1223,CONFIG!$K$4:$K$63,0)),"NO")="SÍ",IF(OR($Y1223="",$X1223=""),"Resuelta",IF($Y1223&gt;$X1223,"Resuelta tarde","Resuelta a tiempo")),IF($X1223="","Sin clasificar",IF(TODAY()&gt;$X1223,"Vencida",IF(TODAY()&gt;=$X1223-1,"Por vencer","En plazo")))))</f>
        <v/>
      </c>
      <c r="AB1223" s="50" t="n"/>
      <c r="AC1223" s="50" t="n"/>
    </row>
    <row r="1224" ht="16" customHeight="1">
      <c r="A1224" s="28">
        <f>IF($B1224="","","N-"&amp;TEXT(ROW()-3,"0000"))</f>
        <v/>
      </c>
      <c r="B1224" s="47" t="n"/>
      <c r="C1224" s="48" t="n"/>
      <c r="D1224" s="48" t="n"/>
      <c r="E1224" s="28">
        <f>IF($C1224="","",IF($D1224="",IF($C1224="Interna","Sin guía (interna)","FALTA GUÍA"),IF(COUNTIFS(ENVIOS!$A$4:$A$3003,$D1224)=0,"NO EXISTE",IF(COUNTIFS(ENVIOS!$A$4:$A$3003,$D1224)&gt;1,"DUPLICADA","OK"))))</f>
        <v/>
      </c>
      <c r="F1224" s="28">
        <f>IF($D1224="","",IFERROR(INDEX(ENVIOS!$B$4:$B$3003,MATCH($D1224,ENVIOS!$A$4:$A$3003,0)),"—"))</f>
        <v/>
      </c>
      <c r="G1224" s="23">
        <f>IF($D1224="","",IFERROR(INDEX(ENVIOS!$D$4:$D$3003,MATCH($D1224,ENVIOS!$A$4:$A$3003,0)),"—"))</f>
        <v/>
      </c>
      <c r="H1224" s="23">
        <f>IF($D1224="","",IFERROR(INDEX(ENVIOS!$E$4:$E$3003,MATCH($D1224,ENVIOS!$A$4:$A$3003,0)),"—"))</f>
        <v/>
      </c>
      <c r="I1224" s="23">
        <f>IF($D1224="","",IFERROR(INDEX(ENVIOS!$F$4:$F$3003,MATCH($D1224,ENVIOS!$A$4:$A$3003,0)),"—"))</f>
        <v/>
      </c>
      <c r="J1224" s="23">
        <f>IF($D1224="","",IFERROR(INDEX(ENVIOS!$G$4:$G$3003,MATCH($D1224,ENVIOS!$A$4:$A$3003,0)),"—"))</f>
        <v/>
      </c>
      <c r="K1224" s="28">
        <f>IF($D1224="","",IFERROR(INDEX(ENVIOS!$H$4:$H$3003,MATCH($D1224,ENVIOS!$A$4:$A$3003,0)),"—"))</f>
        <v/>
      </c>
      <c r="L1224" s="49">
        <f>IF($D1224="","",IFERROR(INDEX(ENVIOS!$C$4:$C$3003,MATCH($D1224,ENVIOS!$A$4:$A$3003,0)),""))</f>
        <v/>
      </c>
      <c r="M1224" s="50" t="n"/>
      <c r="N1224" s="28">
        <f>IF($M1224="","",IFERROR(INDEX(CONFIG!$C$4:$C$63,MATCH($M1224,CONFIG!$A$4:$A$63,0)),"Media"))</f>
        <v/>
      </c>
      <c r="O1224" s="28">
        <f>IF($M1224="","",IF($C1224="Interna","NO",IFERROR(INDEX(CONFIG!$E$4:$E$63,MATCH($M1224,CONFIG!$A$4:$A$63,0)),"NO")))</f>
        <v/>
      </c>
      <c r="P1224" s="50" t="n"/>
      <c r="Q1224" s="50" t="n"/>
      <c r="R1224" s="28">
        <f>IF($Q1224="","",IFERROR(INDEX(CONFIG!$H$4:$H$63,MATCH($Q1224,CONFIG!$G$4:$G$63,0)),"Por definir"))</f>
        <v/>
      </c>
      <c r="S1224" s="28">
        <f>IF($Q1224="","",IFERROR(INDEX(CONFIG!$I$4:$I$63,MATCH($Q1224,CONFIG!$G$4:$G$63,0)),"Por definir"))</f>
        <v/>
      </c>
      <c r="T1224" s="51" t="n"/>
      <c r="U1224" s="52" t="n"/>
      <c r="V1224" s="50" t="n"/>
      <c r="W1224" s="50" t="n"/>
      <c r="X1224" s="49">
        <f>IF(OR($B1224="",$M1224=""),"",WORKDAY($B1224,IFERROR(INDEX(CONFIG!$D$4:$D$63,MATCH($M1224,CONFIG!$A$4:$A$63,0)),3)))</f>
        <v/>
      </c>
      <c r="Y1224" s="47" t="n"/>
      <c r="Z1224" s="24">
        <f>IF($B1224="","",IF($Y1224&lt;&gt;"",$Y1224-$B1224,TODAY()-$B1224))</f>
        <v/>
      </c>
      <c r="AA1224" s="28">
        <f>IF($B1224="","",IF(IFERROR(INDEX(CONFIG!$L$4:$L$63,MATCH($V1224,CONFIG!$K$4:$K$63,0)),"NO")="SÍ",IF(OR($Y1224="",$X1224=""),"Resuelta",IF($Y1224&gt;$X1224,"Resuelta tarde","Resuelta a tiempo")),IF($X1224="","Sin clasificar",IF(TODAY()&gt;$X1224,"Vencida",IF(TODAY()&gt;=$X1224-1,"Por vencer","En plazo")))))</f>
        <v/>
      </c>
      <c r="AB1224" s="50" t="n"/>
      <c r="AC1224" s="50" t="n"/>
    </row>
    <row r="1225" ht="16" customHeight="1">
      <c r="A1225" s="28">
        <f>IF($B1225="","","N-"&amp;TEXT(ROW()-3,"0000"))</f>
        <v/>
      </c>
      <c r="B1225" s="47" t="n"/>
      <c r="C1225" s="48" t="n"/>
      <c r="D1225" s="48" t="n"/>
      <c r="E1225" s="28">
        <f>IF($C1225="","",IF($D1225="",IF($C1225="Interna","Sin guía (interna)","FALTA GUÍA"),IF(COUNTIFS(ENVIOS!$A$4:$A$3003,$D1225)=0,"NO EXISTE",IF(COUNTIFS(ENVIOS!$A$4:$A$3003,$D1225)&gt;1,"DUPLICADA","OK"))))</f>
        <v/>
      </c>
      <c r="F1225" s="28">
        <f>IF($D1225="","",IFERROR(INDEX(ENVIOS!$B$4:$B$3003,MATCH($D1225,ENVIOS!$A$4:$A$3003,0)),"—"))</f>
        <v/>
      </c>
      <c r="G1225" s="23">
        <f>IF($D1225="","",IFERROR(INDEX(ENVIOS!$D$4:$D$3003,MATCH($D1225,ENVIOS!$A$4:$A$3003,0)),"—"))</f>
        <v/>
      </c>
      <c r="H1225" s="23">
        <f>IF($D1225="","",IFERROR(INDEX(ENVIOS!$E$4:$E$3003,MATCH($D1225,ENVIOS!$A$4:$A$3003,0)),"—"))</f>
        <v/>
      </c>
      <c r="I1225" s="23">
        <f>IF($D1225="","",IFERROR(INDEX(ENVIOS!$F$4:$F$3003,MATCH($D1225,ENVIOS!$A$4:$A$3003,0)),"—"))</f>
        <v/>
      </c>
      <c r="J1225" s="23">
        <f>IF($D1225="","",IFERROR(INDEX(ENVIOS!$G$4:$G$3003,MATCH($D1225,ENVIOS!$A$4:$A$3003,0)),"—"))</f>
        <v/>
      </c>
      <c r="K1225" s="28">
        <f>IF($D1225="","",IFERROR(INDEX(ENVIOS!$H$4:$H$3003,MATCH($D1225,ENVIOS!$A$4:$A$3003,0)),"—"))</f>
        <v/>
      </c>
      <c r="L1225" s="49">
        <f>IF($D1225="","",IFERROR(INDEX(ENVIOS!$C$4:$C$3003,MATCH($D1225,ENVIOS!$A$4:$A$3003,0)),""))</f>
        <v/>
      </c>
      <c r="M1225" s="50" t="n"/>
      <c r="N1225" s="28">
        <f>IF($M1225="","",IFERROR(INDEX(CONFIG!$C$4:$C$63,MATCH($M1225,CONFIG!$A$4:$A$63,0)),"Media"))</f>
        <v/>
      </c>
      <c r="O1225" s="28">
        <f>IF($M1225="","",IF($C1225="Interna","NO",IFERROR(INDEX(CONFIG!$E$4:$E$63,MATCH($M1225,CONFIG!$A$4:$A$63,0)),"NO")))</f>
        <v/>
      </c>
      <c r="P1225" s="50" t="n"/>
      <c r="Q1225" s="50" t="n"/>
      <c r="R1225" s="28">
        <f>IF($Q1225="","",IFERROR(INDEX(CONFIG!$H$4:$H$63,MATCH($Q1225,CONFIG!$G$4:$G$63,0)),"Por definir"))</f>
        <v/>
      </c>
      <c r="S1225" s="28">
        <f>IF($Q1225="","",IFERROR(INDEX(CONFIG!$I$4:$I$63,MATCH($Q1225,CONFIG!$G$4:$G$63,0)),"Por definir"))</f>
        <v/>
      </c>
      <c r="T1225" s="51" t="n"/>
      <c r="U1225" s="52" t="n"/>
      <c r="V1225" s="50" t="n"/>
      <c r="W1225" s="50" t="n"/>
      <c r="X1225" s="49">
        <f>IF(OR($B1225="",$M1225=""),"",WORKDAY($B1225,IFERROR(INDEX(CONFIG!$D$4:$D$63,MATCH($M1225,CONFIG!$A$4:$A$63,0)),3)))</f>
        <v/>
      </c>
      <c r="Y1225" s="47" t="n"/>
      <c r="Z1225" s="24">
        <f>IF($B1225="","",IF($Y1225&lt;&gt;"",$Y1225-$B1225,TODAY()-$B1225))</f>
        <v/>
      </c>
      <c r="AA1225" s="28">
        <f>IF($B1225="","",IF(IFERROR(INDEX(CONFIG!$L$4:$L$63,MATCH($V1225,CONFIG!$K$4:$K$63,0)),"NO")="SÍ",IF(OR($Y1225="",$X1225=""),"Resuelta",IF($Y1225&gt;$X1225,"Resuelta tarde","Resuelta a tiempo")),IF($X1225="","Sin clasificar",IF(TODAY()&gt;$X1225,"Vencida",IF(TODAY()&gt;=$X1225-1,"Por vencer","En plazo")))))</f>
        <v/>
      </c>
      <c r="AB1225" s="50" t="n"/>
      <c r="AC1225" s="50" t="n"/>
    </row>
    <row r="1226" ht="16" customHeight="1">
      <c r="A1226" s="28">
        <f>IF($B1226="","","N-"&amp;TEXT(ROW()-3,"0000"))</f>
        <v/>
      </c>
      <c r="B1226" s="47" t="n"/>
      <c r="C1226" s="48" t="n"/>
      <c r="D1226" s="48" t="n"/>
      <c r="E1226" s="28">
        <f>IF($C1226="","",IF($D1226="",IF($C1226="Interna","Sin guía (interna)","FALTA GUÍA"),IF(COUNTIFS(ENVIOS!$A$4:$A$3003,$D1226)=0,"NO EXISTE",IF(COUNTIFS(ENVIOS!$A$4:$A$3003,$D1226)&gt;1,"DUPLICADA","OK"))))</f>
        <v/>
      </c>
      <c r="F1226" s="28">
        <f>IF($D1226="","",IFERROR(INDEX(ENVIOS!$B$4:$B$3003,MATCH($D1226,ENVIOS!$A$4:$A$3003,0)),"—"))</f>
        <v/>
      </c>
      <c r="G1226" s="23">
        <f>IF($D1226="","",IFERROR(INDEX(ENVIOS!$D$4:$D$3003,MATCH($D1226,ENVIOS!$A$4:$A$3003,0)),"—"))</f>
        <v/>
      </c>
      <c r="H1226" s="23">
        <f>IF($D1226="","",IFERROR(INDEX(ENVIOS!$E$4:$E$3003,MATCH($D1226,ENVIOS!$A$4:$A$3003,0)),"—"))</f>
        <v/>
      </c>
      <c r="I1226" s="23">
        <f>IF($D1226="","",IFERROR(INDEX(ENVIOS!$F$4:$F$3003,MATCH($D1226,ENVIOS!$A$4:$A$3003,0)),"—"))</f>
        <v/>
      </c>
      <c r="J1226" s="23">
        <f>IF($D1226="","",IFERROR(INDEX(ENVIOS!$G$4:$G$3003,MATCH($D1226,ENVIOS!$A$4:$A$3003,0)),"—"))</f>
        <v/>
      </c>
      <c r="K1226" s="28">
        <f>IF($D1226="","",IFERROR(INDEX(ENVIOS!$H$4:$H$3003,MATCH($D1226,ENVIOS!$A$4:$A$3003,0)),"—"))</f>
        <v/>
      </c>
      <c r="L1226" s="49">
        <f>IF($D1226="","",IFERROR(INDEX(ENVIOS!$C$4:$C$3003,MATCH($D1226,ENVIOS!$A$4:$A$3003,0)),""))</f>
        <v/>
      </c>
      <c r="M1226" s="50" t="n"/>
      <c r="N1226" s="28">
        <f>IF($M1226="","",IFERROR(INDEX(CONFIG!$C$4:$C$63,MATCH($M1226,CONFIG!$A$4:$A$63,0)),"Media"))</f>
        <v/>
      </c>
      <c r="O1226" s="28">
        <f>IF($M1226="","",IF($C1226="Interna","NO",IFERROR(INDEX(CONFIG!$E$4:$E$63,MATCH($M1226,CONFIG!$A$4:$A$63,0)),"NO")))</f>
        <v/>
      </c>
      <c r="P1226" s="50" t="n"/>
      <c r="Q1226" s="50" t="n"/>
      <c r="R1226" s="28">
        <f>IF($Q1226="","",IFERROR(INDEX(CONFIG!$H$4:$H$63,MATCH($Q1226,CONFIG!$G$4:$G$63,0)),"Por definir"))</f>
        <v/>
      </c>
      <c r="S1226" s="28">
        <f>IF($Q1226="","",IFERROR(INDEX(CONFIG!$I$4:$I$63,MATCH($Q1226,CONFIG!$G$4:$G$63,0)),"Por definir"))</f>
        <v/>
      </c>
      <c r="T1226" s="51" t="n"/>
      <c r="U1226" s="52" t="n"/>
      <c r="V1226" s="50" t="n"/>
      <c r="W1226" s="50" t="n"/>
      <c r="X1226" s="49">
        <f>IF(OR($B1226="",$M1226=""),"",WORKDAY($B1226,IFERROR(INDEX(CONFIG!$D$4:$D$63,MATCH($M1226,CONFIG!$A$4:$A$63,0)),3)))</f>
        <v/>
      </c>
      <c r="Y1226" s="47" t="n"/>
      <c r="Z1226" s="24">
        <f>IF($B1226="","",IF($Y1226&lt;&gt;"",$Y1226-$B1226,TODAY()-$B1226))</f>
        <v/>
      </c>
      <c r="AA1226" s="28">
        <f>IF($B1226="","",IF(IFERROR(INDEX(CONFIG!$L$4:$L$63,MATCH($V1226,CONFIG!$K$4:$K$63,0)),"NO")="SÍ",IF(OR($Y1226="",$X1226=""),"Resuelta",IF($Y1226&gt;$X1226,"Resuelta tarde","Resuelta a tiempo")),IF($X1226="","Sin clasificar",IF(TODAY()&gt;$X1226,"Vencida",IF(TODAY()&gt;=$X1226-1,"Por vencer","En plazo")))))</f>
        <v/>
      </c>
      <c r="AB1226" s="50" t="n"/>
      <c r="AC1226" s="50" t="n"/>
    </row>
    <row r="1227" ht="16" customHeight="1">
      <c r="A1227" s="28">
        <f>IF($B1227="","","N-"&amp;TEXT(ROW()-3,"0000"))</f>
        <v/>
      </c>
      <c r="B1227" s="47" t="n"/>
      <c r="C1227" s="48" t="n"/>
      <c r="D1227" s="48" t="n"/>
      <c r="E1227" s="28">
        <f>IF($C1227="","",IF($D1227="",IF($C1227="Interna","Sin guía (interna)","FALTA GUÍA"),IF(COUNTIFS(ENVIOS!$A$4:$A$3003,$D1227)=0,"NO EXISTE",IF(COUNTIFS(ENVIOS!$A$4:$A$3003,$D1227)&gt;1,"DUPLICADA","OK"))))</f>
        <v/>
      </c>
      <c r="F1227" s="28">
        <f>IF($D1227="","",IFERROR(INDEX(ENVIOS!$B$4:$B$3003,MATCH($D1227,ENVIOS!$A$4:$A$3003,0)),"—"))</f>
        <v/>
      </c>
      <c r="G1227" s="23">
        <f>IF($D1227="","",IFERROR(INDEX(ENVIOS!$D$4:$D$3003,MATCH($D1227,ENVIOS!$A$4:$A$3003,0)),"—"))</f>
        <v/>
      </c>
      <c r="H1227" s="23">
        <f>IF($D1227="","",IFERROR(INDEX(ENVIOS!$E$4:$E$3003,MATCH($D1227,ENVIOS!$A$4:$A$3003,0)),"—"))</f>
        <v/>
      </c>
      <c r="I1227" s="23">
        <f>IF($D1227="","",IFERROR(INDEX(ENVIOS!$F$4:$F$3003,MATCH($D1227,ENVIOS!$A$4:$A$3003,0)),"—"))</f>
        <v/>
      </c>
      <c r="J1227" s="23">
        <f>IF($D1227="","",IFERROR(INDEX(ENVIOS!$G$4:$G$3003,MATCH($D1227,ENVIOS!$A$4:$A$3003,0)),"—"))</f>
        <v/>
      </c>
      <c r="K1227" s="28">
        <f>IF($D1227="","",IFERROR(INDEX(ENVIOS!$H$4:$H$3003,MATCH($D1227,ENVIOS!$A$4:$A$3003,0)),"—"))</f>
        <v/>
      </c>
      <c r="L1227" s="49">
        <f>IF($D1227="","",IFERROR(INDEX(ENVIOS!$C$4:$C$3003,MATCH($D1227,ENVIOS!$A$4:$A$3003,0)),""))</f>
        <v/>
      </c>
      <c r="M1227" s="50" t="n"/>
      <c r="N1227" s="28">
        <f>IF($M1227="","",IFERROR(INDEX(CONFIG!$C$4:$C$63,MATCH($M1227,CONFIG!$A$4:$A$63,0)),"Media"))</f>
        <v/>
      </c>
      <c r="O1227" s="28">
        <f>IF($M1227="","",IF($C1227="Interna","NO",IFERROR(INDEX(CONFIG!$E$4:$E$63,MATCH($M1227,CONFIG!$A$4:$A$63,0)),"NO")))</f>
        <v/>
      </c>
      <c r="P1227" s="50" t="n"/>
      <c r="Q1227" s="50" t="n"/>
      <c r="R1227" s="28">
        <f>IF($Q1227="","",IFERROR(INDEX(CONFIG!$H$4:$H$63,MATCH($Q1227,CONFIG!$G$4:$G$63,0)),"Por definir"))</f>
        <v/>
      </c>
      <c r="S1227" s="28">
        <f>IF($Q1227="","",IFERROR(INDEX(CONFIG!$I$4:$I$63,MATCH($Q1227,CONFIG!$G$4:$G$63,0)),"Por definir"))</f>
        <v/>
      </c>
      <c r="T1227" s="51" t="n"/>
      <c r="U1227" s="52" t="n"/>
      <c r="V1227" s="50" t="n"/>
      <c r="W1227" s="50" t="n"/>
      <c r="X1227" s="49">
        <f>IF(OR($B1227="",$M1227=""),"",WORKDAY($B1227,IFERROR(INDEX(CONFIG!$D$4:$D$63,MATCH($M1227,CONFIG!$A$4:$A$63,0)),3)))</f>
        <v/>
      </c>
      <c r="Y1227" s="47" t="n"/>
      <c r="Z1227" s="24">
        <f>IF($B1227="","",IF($Y1227&lt;&gt;"",$Y1227-$B1227,TODAY()-$B1227))</f>
        <v/>
      </c>
      <c r="AA1227" s="28">
        <f>IF($B1227="","",IF(IFERROR(INDEX(CONFIG!$L$4:$L$63,MATCH($V1227,CONFIG!$K$4:$K$63,0)),"NO")="SÍ",IF(OR($Y1227="",$X1227=""),"Resuelta",IF($Y1227&gt;$X1227,"Resuelta tarde","Resuelta a tiempo")),IF($X1227="","Sin clasificar",IF(TODAY()&gt;$X1227,"Vencida",IF(TODAY()&gt;=$X1227-1,"Por vencer","En plazo")))))</f>
        <v/>
      </c>
      <c r="AB1227" s="50" t="n"/>
      <c r="AC1227" s="50" t="n"/>
    </row>
    <row r="1228" ht="16" customHeight="1">
      <c r="A1228" s="28">
        <f>IF($B1228="","","N-"&amp;TEXT(ROW()-3,"0000"))</f>
        <v/>
      </c>
      <c r="B1228" s="47" t="n"/>
      <c r="C1228" s="48" t="n"/>
      <c r="D1228" s="48" t="n"/>
      <c r="E1228" s="28">
        <f>IF($C1228="","",IF($D1228="",IF($C1228="Interna","Sin guía (interna)","FALTA GUÍA"),IF(COUNTIFS(ENVIOS!$A$4:$A$3003,$D1228)=0,"NO EXISTE",IF(COUNTIFS(ENVIOS!$A$4:$A$3003,$D1228)&gt;1,"DUPLICADA","OK"))))</f>
        <v/>
      </c>
      <c r="F1228" s="28">
        <f>IF($D1228="","",IFERROR(INDEX(ENVIOS!$B$4:$B$3003,MATCH($D1228,ENVIOS!$A$4:$A$3003,0)),"—"))</f>
        <v/>
      </c>
      <c r="G1228" s="23">
        <f>IF($D1228="","",IFERROR(INDEX(ENVIOS!$D$4:$D$3003,MATCH($D1228,ENVIOS!$A$4:$A$3003,0)),"—"))</f>
        <v/>
      </c>
      <c r="H1228" s="23">
        <f>IF($D1228="","",IFERROR(INDEX(ENVIOS!$E$4:$E$3003,MATCH($D1228,ENVIOS!$A$4:$A$3003,0)),"—"))</f>
        <v/>
      </c>
      <c r="I1228" s="23">
        <f>IF($D1228="","",IFERROR(INDEX(ENVIOS!$F$4:$F$3003,MATCH($D1228,ENVIOS!$A$4:$A$3003,0)),"—"))</f>
        <v/>
      </c>
      <c r="J1228" s="23">
        <f>IF($D1228="","",IFERROR(INDEX(ENVIOS!$G$4:$G$3003,MATCH($D1228,ENVIOS!$A$4:$A$3003,0)),"—"))</f>
        <v/>
      </c>
      <c r="K1228" s="28">
        <f>IF($D1228="","",IFERROR(INDEX(ENVIOS!$H$4:$H$3003,MATCH($D1228,ENVIOS!$A$4:$A$3003,0)),"—"))</f>
        <v/>
      </c>
      <c r="L1228" s="49">
        <f>IF($D1228="","",IFERROR(INDEX(ENVIOS!$C$4:$C$3003,MATCH($D1228,ENVIOS!$A$4:$A$3003,0)),""))</f>
        <v/>
      </c>
      <c r="M1228" s="50" t="n"/>
      <c r="N1228" s="28">
        <f>IF($M1228="","",IFERROR(INDEX(CONFIG!$C$4:$C$63,MATCH($M1228,CONFIG!$A$4:$A$63,0)),"Media"))</f>
        <v/>
      </c>
      <c r="O1228" s="28">
        <f>IF($M1228="","",IF($C1228="Interna","NO",IFERROR(INDEX(CONFIG!$E$4:$E$63,MATCH($M1228,CONFIG!$A$4:$A$63,0)),"NO")))</f>
        <v/>
      </c>
      <c r="P1228" s="50" t="n"/>
      <c r="Q1228" s="50" t="n"/>
      <c r="R1228" s="28">
        <f>IF($Q1228="","",IFERROR(INDEX(CONFIG!$H$4:$H$63,MATCH($Q1228,CONFIG!$G$4:$G$63,0)),"Por definir"))</f>
        <v/>
      </c>
      <c r="S1228" s="28">
        <f>IF($Q1228="","",IFERROR(INDEX(CONFIG!$I$4:$I$63,MATCH($Q1228,CONFIG!$G$4:$G$63,0)),"Por definir"))</f>
        <v/>
      </c>
      <c r="T1228" s="51" t="n"/>
      <c r="U1228" s="52" t="n"/>
      <c r="V1228" s="50" t="n"/>
      <c r="W1228" s="50" t="n"/>
      <c r="X1228" s="49">
        <f>IF(OR($B1228="",$M1228=""),"",WORKDAY($B1228,IFERROR(INDEX(CONFIG!$D$4:$D$63,MATCH($M1228,CONFIG!$A$4:$A$63,0)),3)))</f>
        <v/>
      </c>
      <c r="Y1228" s="47" t="n"/>
      <c r="Z1228" s="24">
        <f>IF($B1228="","",IF($Y1228&lt;&gt;"",$Y1228-$B1228,TODAY()-$B1228))</f>
        <v/>
      </c>
      <c r="AA1228" s="28">
        <f>IF($B1228="","",IF(IFERROR(INDEX(CONFIG!$L$4:$L$63,MATCH($V1228,CONFIG!$K$4:$K$63,0)),"NO")="SÍ",IF(OR($Y1228="",$X1228=""),"Resuelta",IF($Y1228&gt;$X1228,"Resuelta tarde","Resuelta a tiempo")),IF($X1228="","Sin clasificar",IF(TODAY()&gt;$X1228,"Vencida",IF(TODAY()&gt;=$X1228-1,"Por vencer","En plazo")))))</f>
        <v/>
      </c>
      <c r="AB1228" s="50" t="n"/>
      <c r="AC1228" s="50" t="n"/>
    </row>
    <row r="1229" ht="16" customHeight="1">
      <c r="A1229" s="28">
        <f>IF($B1229="","","N-"&amp;TEXT(ROW()-3,"0000"))</f>
        <v/>
      </c>
      <c r="B1229" s="47" t="n"/>
      <c r="C1229" s="48" t="n"/>
      <c r="D1229" s="48" t="n"/>
      <c r="E1229" s="28">
        <f>IF($C1229="","",IF($D1229="",IF($C1229="Interna","Sin guía (interna)","FALTA GUÍA"),IF(COUNTIFS(ENVIOS!$A$4:$A$3003,$D1229)=0,"NO EXISTE",IF(COUNTIFS(ENVIOS!$A$4:$A$3003,$D1229)&gt;1,"DUPLICADA","OK"))))</f>
        <v/>
      </c>
      <c r="F1229" s="28">
        <f>IF($D1229="","",IFERROR(INDEX(ENVIOS!$B$4:$B$3003,MATCH($D1229,ENVIOS!$A$4:$A$3003,0)),"—"))</f>
        <v/>
      </c>
      <c r="G1229" s="23">
        <f>IF($D1229="","",IFERROR(INDEX(ENVIOS!$D$4:$D$3003,MATCH($D1229,ENVIOS!$A$4:$A$3003,0)),"—"))</f>
        <v/>
      </c>
      <c r="H1229" s="23">
        <f>IF($D1229="","",IFERROR(INDEX(ENVIOS!$E$4:$E$3003,MATCH($D1229,ENVIOS!$A$4:$A$3003,0)),"—"))</f>
        <v/>
      </c>
      <c r="I1229" s="23">
        <f>IF($D1229="","",IFERROR(INDEX(ENVIOS!$F$4:$F$3003,MATCH($D1229,ENVIOS!$A$4:$A$3003,0)),"—"))</f>
        <v/>
      </c>
      <c r="J1229" s="23">
        <f>IF($D1229="","",IFERROR(INDEX(ENVIOS!$G$4:$G$3003,MATCH($D1229,ENVIOS!$A$4:$A$3003,0)),"—"))</f>
        <v/>
      </c>
      <c r="K1229" s="28">
        <f>IF($D1229="","",IFERROR(INDEX(ENVIOS!$H$4:$H$3003,MATCH($D1229,ENVIOS!$A$4:$A$3003,0)),"—"))</f>
        <v/>
      </c>
      <c r="L1229" s="49">
        <f>IF($D1229="","",IFERROR(INDEX(ENVIOS!$C$4:$C$3003,MATCH($D1229,ENVIOS!$A$4:$A$3003,0)),""))</f>
        <v/>
      </c>
      <c r="M1229" s="50" t="n"/>
      <c r="N1229" s="28">
        <f>IF($M1229="","",IFERROR(INDEX(CONFIG!$C$4:$C$63,MATCH($M1229,CONFIG!$A$4:$A$63,0)),"Media"))</f>
        <v/>
      </c>
      <c r="O1229" s="28">
        <f>IF($M1229="","",IF($C1229="Interna","NO",IFERROR(INDEX(CONFIG!$E$4:$E$63,MATCH($M1229,CONFIG!$A$4:$A$63,0)),"NO")))</f>
        <v/>
      </c>
      <c r="P1229" s="50" t="n"/>
      <c r="Q1229" s="50" t="n"/>
      <c r="R1229" s="28">
        <f>IF($Q1229="","",IFERROR(INDEX(CONFIG!$H$4:$H$63,MATCH($Q1229,CONFIG!$G$4:$G$63,0)),"Por definir"))</f>
        <v/>
      </c>
      <c r="S1229" s="28">
        <f>IF($Q1229="","",IFERROR(INDEX(CONFIG!$I$4:$I$63,MATCH($Q1229,CONFIG!$G$4:$G$63,0)),"Por definir"))</f>
        <v/>
      </c>
      <c r="T1229" s="51" t="n"/>
      <c r="U1229" s="52" t="n"/>
      <c r="V1229" s="50" t="n"/>
      <c r="W1229" s="50" t="n"/>
      <c r="X1229" s="49">
        <f>IF(OR($B1229="",$M1229=""),"",WORKDAY($B1229,IFERROR(INDEX(CONFIG!$D$4:$D$63,MATCH($M1229,CONFIG!$A$4:$A$63,0)),3)))</f>
        <v/>
      </c>
      <c r="Y1229" s="47" t="n"/>
      <c r="Z1229" s="24">
        <f>IF($B1229="","",IF($Y1229&lt;&gt;"",$Y1229-$B1229,TODAY()-$B1229))</f>
        <v/>
      </c>
      <c r="AA1229" s="28">
        <f>IF($B1229="","",IF(IFERROR(INDEX(CONFIG!$L$4:$L$63,MATCH($V1229,CONFIG!$K$4:$K$63,0)),"NO")="SÍ",IF(OR($Y1229="",$X1229=""),"Resuelta",IF($Y1229&gt;$X1229,"Resuelta tarde","Resuelta a tiempo")),IF($X1229="","Sin clasificar",IF(TODAY()&gt;$X1229,"Vencida",IF(TODAY()&gt;=$X1229-1,"Por vencer","En plazo")))))</f>
        <v/>
      </c>
      <c r="AB1229" s="50" t="n"/>
      <c r="AC1229" s="50" t="n"/>
    </row>
    <row r="1230" ht="16" customHeight="1">
      <c r="A1230" s="28">
        <f>IF($B1230="","","N-"&amp;TEXT(ROW()-3,"0000"))</f>
        <v/>
      </c>
      <c r="B1230" s="47" t="n"/>
      <c r="C1230" s="48" t="n"/>
      <c r="D1230" s="48" t="n"/>
      <c r="E1230" s="28">
        <f>IF($C1230="","",IF($D1230="",IF($C1230="Interna","Sin guía (interna)","FALTA GUÍA"),IF(COUNTIFS(ENVIOS!$A$4:$A$3003,$D1230)=0,"NO EXISTE",IF(COUNTIFS(ENVIOS!$A$4:$A$3003,$D1230)&gt;1,"DUPLICADA","OK"))))</f>
        <v/>
      </c>
      <c r="F1230" s="28">
        <f>IF($D1230="","",IFERROR(INDEX(ENVIOS!$B$4:$B$3003,MATCH($D1230,ENVIOS!$A$4:$A$3003,0)),"—"))</f>
        <v/>
      </c>
      <c r="G1230" s="23">
        <f>IF($D1230="","",IFERROR(INDEX(ENVIOS!$D$4:$D$3003,MATCH($D1230,ENVIOS!$A$4:$A$3003,0)),"—"))</f>
        <v/>
      </c>
      <c r="H1230" s="23">
        <f>IF($D1230="","",IFERROR(INDEX(ENVIOS!$E$4:$E$3003,MATCH($D1230,ENVIOS!$A$4:$A$3003,0)),"—"))</f>
        <v/>
      </c>
      <c r="I1230" s="23">
        <f>IF($D1230="","",IFERROR(INDEX(ENVIOS!$F$4:$F$3003,MATCH($D1230,ENVIOS!$A$4:$A$3003,0)),"—"))</f>
        <v/>
      </c>
      <c r="J1230" s="23">
        <f>IF($D1230="","",IFERROR(INDEX(ENVIOS!$G$4:$G$3003,MATCH($D1230,ENVIOS!$A$4:$A$3003,0)),"—"))</f>
        <v/>
      </c>
      <c r="K1230" s="28">
        <f>IF($D1230="","",IFERROR(INDEX(ENVIOS!$H$4:$H$3003,MATCH($D1230,ENVIOS!$A$4:$A$3003,0)),"—"))</f>
        <v/>
      </c>
      <c r="L1230" s="49">
        <f>IF($D1230="","",IFERROR(INDEX(ENVIOS!$C$4:$C$3003,MATCH($D1230,ENVIOS!$A$4:$A$3003,0)),""))</f>
        <v/>
      </c>
      <c r="M1230" s="50" t="n"/>
      <c r="N1230" s="28">
        <f>IF($M1230="","",IFERROR(INDEX(CONFIG!$C$4:$C$63,MATCH($M1230,CONFIG!$A$4:$A$63,0)),"Media"))</f>
        <v/>
      </c>
      <c r="O1230" s="28">
        <f>IF($M1230="","",IF($C1230="Interna","NO",IFERROR(INDEX(CONFIG!$E$4:$E$63,MATCH($M1230,CONFIG!$A$4:$A$63,0)),"NO")))</f>
        <v/>
      </c>
      <c r="P1230" s="50" t="n"/>
      <c r="Q1230" s="50" t="n"/>
      <c r="R1230" s="28">
        <f>IF($Q1230="","",IFERROR(INDEX(CONFIG!$H$4:$H$63,MATCH($Q1230,CONFIG!$G$4:$G$63,0)),"Por definir"))</f>
        <v/>
      </c>
      <c r="S1230" s="28">
        <f>IF($Q1230="","",IFERROR(INDEX(CONFIG!$I$4:$I$63,MATCH($Q1230,CONFIG!$G$4:$G$63,0)),"Por definir"))</f>
        <v/>
      </c>
      <c r="T1230" s="51" t="n"/>
      <c r="U1230" s="52" t="n"/>
      <c r="V1230" s="50" t="n"/>
      <c r="W1230" s="50" t="n"/>
      <c r="X1230" s="49">
        <f>IF(OR($B1230="",$M1230=""),"",WORKDAY($B1230,IFERROR(INDEX(CONFIG!$D$4:$D$63,MATCH($M1230,CONFIG!$A$4:$A$63,0)),3)))</f>
        <v/>
      </c>
      <c r="Y1230" s="47" t="n"/>
      <c r="Z1230" s="24">
        <f>IF($B1230="","",IF($Y1230&lt;&gt;"",$Y1230-$B1230,TODAY()-$B1230))</f>
        <v/>
      </c>
      <c r="AA1230" s="28">
        <f>IF($B1230="","",IF(IFERROR(INDEX(CONFIG!$L$4:$L$63,MATCH($V1230,CONFIG!$K$4:$K$63,0)),"NO")="SÍ",IF(OR($Y1230="",$X1230=""),"Resuelta",IF($Y1230&gt;$X1230,"Resuelta tarde","Resuelta a tiempo")),IF($X1230="","Sin clasificar",IF(TODAY()&gt;$X1230,"Vencida",IF(TODAY()&gt;=$X1230-1,"Por vencer","En plazo")))))</f>
        <v/>
      </c>
      <c r="AB1230" s="50" t="n"/>
      <c r="AC1230" s="50" t="n"/>
    </row>
    <row r="1231" ht="16" customHeight="1">
      <c r="A1231" s="28">
        <f>IF($B1231="","","N-"&amp;TEXT(ROW()-3,"0000"))</f>
        <v/>
      </c>
      <c r="B1231" s="47" t="n"/>
      <c r="C1231" s="48" t="n"/>
      <c r="D1231" s="48" t="n"/>
      <c r="E1231" s="28">
        <f>IF($C1231="","",IF($D1231="",IF($C1231="Interna","Sin guía (interna)","FALTA GUÍA"),IF(COUNTIFS(ENVIOS!$A$4:$A$3003,$D1231)=0,"NO EXISTE",IF(COUNTIFS(ENVIOS!$A$4:$A$3003,$D1231)&gt;1,"DUPLICADA","OK"))))</f>
        <v/>
      </c>
      <c r="F1231" s="28">
        <f>IF($D1231="","",IFERROR(INDEX(ENVIOS!$B$4:$B$3003,MATCH($D1231,ENVIOS!$A$4:$A$3003,0)),"—"))</f>
        <v/>
      </c>
      <c r="G1231" s="23">
        <f>IF($D1231="","",IFERROR(INDEX(ENVIOS!$D$4:$D$3003,MATCH($D1231,ENVIOS!$A$4:$A$3003,0)),"—"))</f>
        <v/>
      </c>
      <c r="H1231" s="23">
        <f>IF($D1231="","",IFERROR(INDEX(ENVIOS!$E$4:$E$3003,MATCH($D1231,ENVIOS!$A$4:$A$3003,0)),"—"))</f>
        <v/>
      </c>
      <c r="I1231" s="23">
        <f>IF($D1231="","",IFERROR(INDEX(ENVIOS!$F$4:$F$3003,MATCH($D1231,ENVIOS!$A$4:$A$3003,0)),"—"))</f>
        <v/>
      </c>
      <c r="J1231" s="23">
        <f>IF($D1231="","",IFERROR(INDEX(ENVIOS!$G$4:$G$3003,MATCH($D1231,ENVIOS!$A$4:$A$3003,0)),"—"))</f>
        <v/>
      </c>
      <c r="K1231" s="28">
        <f>IF($D1231="","",IFERROR(INDEX(ENVIOS!$H$4:$H$3003,MATCH($D1231,ENVIOS!$A$4:$A$3003,0)),"—"))</f>
        <v/>
      </c>
      <c r="L1231" s="49">
        <f>IF($D1231="","",IFERROR(INDEX(ENVIOS!$C$4:$C$3003,MATCH($D1231,ENVIOS!$A$4:$A$3003,0)),""))</f>
        <v/>
      </c>
      <c r="M1231" s="50" t="n"/>
      <c r="N1231" s="28">
        <f>IF($M1231="","",IFERROR(INDEX(CONFIG!$C$4:$C$63,MATCH($M1231,CONFIG!$A$4:$A$63,0)),"Media"))</f>
        <v/>
      </c>
      <c r="O1231" s="28">
        <f>IF($M1231="","",IF($C1231="Interna","NO",IFERROR(INDEX(CONFIG!$E$4:$E$63,MATCH($M1231,CONFIG!$A$4:$A$63,0)),"NO")))</f>
        <v/>
      </c>
      <c r="P1231" s="50" t="n"/>
      <c r="Q1231" s="50" t="n"/>
      <c r="R1231" s="28">
        <f>IF($Q1231="","",IFERROR(INDEX(CONFIG!$H$4:$H$63,MATCH($Q1231,CONFIG!$G$4:$G$63,0)),"Por definir"))</f>
        <v/>
      </c>
      <c r="S1231" s="28">
        <f>IF($Q1231="","",IFERROR(INDEX(CONFIG!$I$4:$I$63,MATCH($Q1231,CONFIG!$G$4:$G$63,0)),"Por definir"))</f>
        <v/>
      </c>
      <c r="T1231" s="51" t="n"/>
      <c r="U1231" s="52" t="n"/>
      <c r="V1231" s="50" t="n"/>
      <c r="W1231" s="50" t="n"/>
      <c r="X1231" s="49">
        <f>IF(OR($B1231="",$M1231=""),"",WORKDAY($B1231,IFERROR(INDEX(CONFIG!$D$4:$D$63,MATCH($M1231,CONFIG!$A$4:$A$63,0)),3)))</f>
        <v/>
      </c>
      <c r="Y1231" s="47" t="n"/>
      <c r="Z1231" s="24">
        <f>IF($B1231="","",IF($Y1231&lt;&gt;"",$Y1231-$B1231,TODAY()-$B1231))</f>
        <v/>
      </c>
      <c r="AA1231" s="28">
        <f>IF($B1231="","",IF(IFERROR(INDEX(CONFIG!$L$4:$L$63,MATCH($V1231,CONFIG!$K$4:$K$63,0)),"NO")="SÍ",IF(OR($Y1231="",$X1231=""),"Resuelta",IF($Y1231&gt;$X1231,"Resuelta tarde","Resuelta a tiempo")),IF($X1231="","Sin clasificar",IF(TODAY()&gt;$X1231,"Vencida",IF(TODAY()&gt;=$X1231-1,"Por vencer","En plazo")))))</f>
        <v/>
      </c>
      <c r="AB1231" s="50" t="n"/>
      <c r="AC1231" s="50" t="n"/>
    </row>
    <row r="1232" ht="16" customHeight="1">
      <c r="A1232" s="28">
        <f>IF($B1232="","","N-"&amp;TEXT(ROW()-3,"0000"))</f>
        <v/>
      </c>
      <c r="B1232" s="47" t="n"/>
      <c r="C1232" s="48" t="n"/>
      <c r="D1232" s="48" t="n"/>
      <c r="E1232" s="28">
        <f>IF($C1232="","",IF($D1232="",IF($C1232="Interna","Sin guía (interna)","FALTA GUÍA"),IF(COUNTIFS(ENVIOS!$A$4:$A$3003,$D1232)=0,"NO EXISTE",IF(COUNTIFS(ENVIOS!$A$4:$A$3003,$D1232)&gt;1,"DUPLICADA","OK"))))</f>
        <v/>
      </c>
      <c r="F1232" s="28">
        <f>IF($D1232="","",IFERROR(INDEX(ENVIOS!$B$4:$B$3003,MATCH($D1232,ENVIOS!$A$4:$A$3003,0)),"—"))</f>
        <v/>
      </c>
      <c r="G1232" s="23">
        <f>IF($D1232="","",IFERROR(INDEX(ENVIOS!$D$4:$D$3003,MATCH($D1232,ENVIOS!$A$4:$A$3003,0)),"—"))</f>
        <v/>
      </c>
      <c r="H1232" s="23">
        <f>IF($D1232="","",IFERROR(INDEX(ENVIOS!$E$4:$E$3003,MATCH($D1232,ENVIOS!$A$4:$A$3003,0)),"—"))</f>
        <v/>
      </c>
      <c r="I1232" s="23">
        <f>IF($D1232="","",IFERROR(INDEX(ENVIOS!$F$4:$F$3003,MATCH($D1232,ENVIOS!$A$4:$A$3003,0)),"—"))</f>
        <v/>
      </c>
      <c r="J1232" s="23">
        <f>IF($D1232="","",IFERROR(INDEX(ENVIOS!$G$4:$G$3003,MATCH($D1232,ENVIOS!$A$4:$A$3003,0)),"—"))</f>
        <v/>
      </c>
      <c r="K1232" s="28">
        <f>IF($D1232="","",IFERROR(INDEX(ENVIOS!$H$4:$H$3003,MATCH($D1232,ENVIOS!$A$4:$A$3003,0)),"—"))</f>
        <v/>
      </c>
      <c r="L1232" s="49">
        <f>IF($D1232="","",IFERROR(INDEX(ENVIOS!$C$4:$C$3003,MATCH($D1232,ENVIOS!$A$4:$A$3003,0)),""))</f>
        <v/>
      </c>
      <c r="M1232" s="50" t="n"/>
      <c r="N1232" s="28">
        <f>IF($M1232="","",IFERROR(INDEX(CONFIG!$C$4:$C$63,MATCH($M1232,CONFIG!$A$4:$A$63,0)),"Media"))</f>
        <v/>
      </c>
      <c r="O1232" s="28">
        <f>IF($M1232="","",IF($C1232="Interna","NO",IFERROR(INDEX(CONFIG!$E$4:$E$63,MATCH($M1232,CONFIG!$A$4:$A$63,0)),"NO")))</f>
        <v/>
      </c>
      <c r="P1232" s="50" t="n"/>
      <c r="Q1232" s="50" t="n"/>
      <c r="R1232" s="28">
        <f>IF($Q1232="","",IFERROR(INDEX(CONFIG!$H$4:$H$63,MATCH($Q1232,CONFIG!$G$4:$G$63,0)),"Por definir"))</f>
        <v/>
      </c>
      <c r="S1232" s="28">
        <f>IF($Q1232="","",IFERROR(INDEX(CONFIG!$I$4:$I$63,MATCH($Q1232,CONFIG!$G$4:$G$63,0)),"Por definir"))</f>
        <v/>
      </c>
      <c r="T1232" s="51" t="n"/>
      <c r="U1232" s="52" t="n"/>
      <c r="V1232" s="50" t="n"/>
      <c r="W1232" s="50" t="n"/>
      <c r="X1232" s="49">
        <f>IF(OR($B1232="",$M1232=""),"",WORKDAY($B1232,IFERROR(INDEX(CONFIG!$D$4:$D$63,MATCH($M1232,CONFIG!$A$4:$A$63,0)),3)))</f>
        <v/>
      </c>
      <c r="Y1232" s="47" t="n"/>
      <c r="Z1232" s="24">
        <f>IF($B1232="","",IF($Y1232&lt;&gt;"",$Y1232-$B1232,TODAY()-$B1232))</f>
        <v/>
      </c>
      <c r="AA1232" s="28">
        <f>IF($B1232="","",IF(IFERROR(INDEX(CONFIG!$L$4:$L$63,MATCH($V1232,CONFIG!$K$4:$K$63,0)),"NO")="SÍ",IF(OR($Y1232="",$X1232=""),"Resuelta",IF($Y1232&gt;$X1232,"Resuelta tarde","Resuelta a tiempo")),IF($X1232="","Sin clasificar",IF(TODAY()&gt;$X1232,"Vencida",IF(TODAY()&gt;=$X1232-1,"Por vencer","En plazo")))))</f>
        <v/>
      </c>
      <c r="AB1232" s="50" t="n"/>
      <c r="AC1232" s="50" t="n"/>
    </row>
    <row r="1233" ht="16" customHeight="1">
      <c r="A1233" s="28">
        <f>IF($B1233="","","N-"&amp;TEXT(ROW()-3,"0000"))</f>
        <v/>
      </c>
      <c r="B1233" s="47" t="n"/>
      <c r="C1233" s="48" t="n"/>
      <c r="D1233" s="48" t="n"/>
      <c r="E1233" s="28">
        <f>IF($C1233="","",IF($D1233="",IF($C1233="Interna","Sin guía (interna)","FALTA GUÍA"),IF(COUNTIFS(ENVIOS!$A$4:$A$3003,$D1233)=0,"NO EXISTE",IF(COUNTIFS(ENVIOS!$A$4:$A$3003,$D1233)&gt;1,"DUPLICADA","OK"))))</f>
        <v/>
      </c>
      <c r="F1233" s="28">
        <f>IF($D1233="","",IFERROR(INDEX(ENVIOS!$B$4:$B$3003,MATCH($D1233,ENVIOS!$A$4:$A$3003,0)),"—"))</f>
        <v/>
      </c>
      <c r="G1233" s="23">
        <f>IF($D1233="","",IFERROR(INDEX(ENVIOS!$D$4:$D$3003,MATCH($D1233,ENVIOS!$A$4:$A$3003,0)),"—"))</f>
        <v/>
      </c>
      <c r="H1233" s="23">
        <f>IF($D1233="","",IFERROR(INDEX(ENVIOS!$E$4:$E$3003,MATCH($D1233,ENVIOS!$A$4:$A$3003,0)),"—"))</f>
        <v/>
      </c>
      <c r="I1233" s="23">
        <f>IF($D1233="","",IFERROR(INDEX(ENVIOS!$F$4:$F$3003,MATCH($D1233,ENVIOS!$A$4:$A$3003,0)),"—"))</f>
        <v/>
      </c>
      <c r="J1233" s="23">
        <f>IF($D1233="","",IFERROR(INDEX(ENVIOS!$G$4:$G$3003,MATCH($D1233,ENVIOS!$A$4:$A$3003,0)),"—"))</f>
        <v/>
      </c>
      <c r="K1233" s="28">
        <f>IF($D1233="","",IFERROR(INDEX(ENVIOS!$H$4:$H$3003,MATCH($D1233,ENVIOS!$A$4:$A$3003,0)),"—"))</f>
        <v/>
      </c>
      <c r="L1233" s="49">
        <f>IF($D1233="","",IFERROR(INDEX(ENVIOS!$C$4:$C$3003,MATCH($D1233,ENVIOS!$A$4:$A$3003,0)),""))</f>
        <v/>
      </c>
      <c r="M1233" s="50" t="n"/>
      <c r="N1233" s="28">
        <f>IF($M1233="","",IFERROR(INDEX(CONFIG!$C$4:$C$63,MATCH($M1233,CONFIG!$A$4:$A$63,0)),"Media"))</f>
        <v/>
      </c>
      <c r="O1233" s="28">
        <f>IF($M1233="","",IF($C1233="Interna","NO",IFERROR(INDEX(CONFIG!$E$4:$E$63,MATCH($M1233,CONFIG!$A$4:$A$63,0)),"NO")))</f>
        <v/>
      </c>
      <c r="P1233" s="50" t="n"/>
      <c r="Q1233" s="50" t="n"/>
      <c r="R1233" s="28">
        <f>IF($Q1233="","",IFERROR(INDEX(CONFIG!$H$4:$H$63,MATCH($Q1233,CONFIG!$G$4:$G$63,0)),"Por definir"))</f>
        <v/>
      </c>
      <c r="S1233" s="28">
        <f>IF($Q1233="","",IFERROR(INDEX(CONFIG!$I$4:$I$63,MATCH($Q1233,CONFIG!$G$4:$G$63,0)),"Por definir"))</f>
        <v/>
      </c>
      <c r="T1233" s="51" t="n"/>
      <c r="U1233" s="52" t="n"/>
      <c r="V1233" s="50" t="n"/>
      <c r="W1233" s="50" t="n"/>
      <c r="X1233" s="49">
        <f>IF(OR($B1233="",$M1233=""),"",WORKDAY($B1233,IFERROR(INDEX(CONFIG!$D$4:$D$63,MATCH($M1233,CONFIG!$A$4:$A$63,0)),3)))</f>
        <v/>
      </c>
      <c r="Y1233" s="47" t="n"/>
      <c r="Z1233" s="24">
        <f>IF($B1233="","",IF($Y1233&lt;&gt;"",$Y1233-$B1233,TODAY()-$B1233))</f>
        <v/>
      </c>
      <c r="AA1233" s="28">
        <f>IF($B1233="","",IF(IFERROR(INDEX(CONFIG!$L$4:$L$63,MATCH($V1233,CONFIG!$K$4:$K$63,0)),"NO")="SÍ",IF(OR($Y1233="",$X1233=""),"Resuelta",IF($Y1233&gt;$X1233,"Resuelta tarde","Resuelta a tiempo")),IF($X1233="","Sin clasificar",IF(TODAY()&gt;$X1233,"Vencida",IF(TODAY()&gt;=$X1233-1,"Por vencer","En plazo")))))</f>
        <v/>
      </c>
      <c r="AB1233" s="50" t="n"/>
      <c r="AC1233" s="50" t="n"/>
    </row>
    <row r="1234" ht="16" customHeight="1">
      <c r="A1234" s="28">
        <f>IF($B1234="","","N-"&amp;TEXT(ROW()-3,"0000"))</f>
        <v/>
      </c>
      <c r="B1234" s="47" t="n"/>
      <c r="C1234" s="48" t="n"/>
      <c r="D1234" s="48" t="n"/>
      <c r="E1234" s="28">
        <f>IF($C1234="","",IF($D1234="",IF($C1234="Interna","Sin guía (interna)","FALTA GUÍA"),IF(COUNTIFS(ENVIOS!$A$4:$A$3003,$D1234)=0,"NO EXISTE",IF(COUNTIFS(ENVIOS!$A$4:$A$3003,$D1234)&gt;1,"DUPLICADA","OK"))))</f>
        <v/>
      </c>
      <c r="F1234" s="28">
        <f>IF($D1234="","",IFERROR(INDEX(ENVIOS!$B$4:$B$3003,MATCH($D1234,ENVIOS!$A$4:$A$3003,0)),"—"))</f>
        <v/>
      </c>
      <c r="G1234" s="23">
        <f>IF($D1234="","",IFERROR(INDEX(ENVIOS!$D$4:$D$3003,MATCH($D1234,ENVIOS!$A$4:$A$3003,0)),"—"))</f>
        <v/>
      </c>
      <c r="H1234" s="23">
        <f>IF($D1234="","",IFERROR(INDEX(ENVIOS!$E$4:$E$3003,MATCH($D1234,ENVIOS!$A$4:$A$3003,0)),"—"))</f>
        <v/>
      </c>
      <c r="I1234" s="23">
        <f>IF($D1234="","",IFERROR(INDEX(ENVIOS!$F$4:$F$3003,MATCH($D1234,ENVIOS!$A$4:$A$3003,0)),"—"))</f>
        <v/>
      </c>
      <c r="J1234" s="23">
        <f>IF($D1234="","",IFERROR(INDEX(ENVIOS!$G$4:$G$3003,MATCH($D1234,ENVIOS!$A$4:$A$3003,0)),"—"))</f>
        <v/>
      </c>
      <c r="K1234" s="28">
        <f>IF($D1234="","",IFERROR(INDEX(ENVIOS!$H$4:$H$3003,MATCH($D1234,ENVIOS!$A$4:$A$3003,0)),"—"))</f>
        <v/>
      </c>
      <c r="L1234" s="49">
        <f>IF($D1234="","",IFERROR(INDEX(ENVIOS!$C$4:$C$3003,MATCH($D1234,ENVIOS!$A$4:$A$3003,0)),""))</f>
        <v/>
      </c>
      <c r="M1234" s="50" t="n"/>
      <c r="N1234" s="28">
        <f>IF($M1234="","",IFERROR(INDEX(CONFIG!$C$4:$C$63,MATCH($M1234,CONFIG!$A$4:$A$63,0)),"Media"))</f>
        <v/>
      </c>
      <c r="O1234" s="28">
        <f>IF($M1234="","",IF($C1234="Interna","NO",IFERROR(INDEX(CONFIG!$E$4:$E$63,MATCH($M1234,CONFIG!$A$4:$A$63,0)),"NO")))</f>
        <v/>
      </c>
      <c r="P1234" s="50" t="n"/>
      <c r="Q1234" s="50" t="n"/>
      <c r="R1234" s="28">
        <f>IF($Q1234="","",IFERROR(INDEX(CONFIG!$H$4:$H$63,MATCH($Q1234,CONFIG!$G$4:$G$63,0)),"Por definir"))</f>
        <v/>
      </c>
      <c r="S1234" s="28">
        <f>IF($Q1234="","",IFERROR(INDEX(CONFIG!$I$4:$I$63,MATCH($Q1234,CONFIG!$G$4:$G$63,0)),"Por definir"))</f>
        <v/>
      </c>
      <c r="T1234" s="51" t="n"/>
      <c r="U1234" s="52" t="n"/>
      <c r="V1234" s="50" t="n"/>
      <c r="W1234" s="50" t="n"/>
      <c r="X1234" s="49">
        <f>IF(OR($B1234="",$M1234=""),"",WORKDAY($B1234,IFERROR(INDEX(CONFIG!$D$4:$D$63,MATCH($M1234,CONFIG!$A$4:$A$63,0)),3)))</f>
        <v/>
      </c>
      <c r="Y1234" s="47" t="n"/>
      <c r="Z1234" s="24">
        <f>IF($B1234="","",IF($Y1234&lt;&gt;"",$Y1234-$B1234,TODAY()-$B1234))</f>
        <v/>
      </c>
      <c r="AA1234" s="28">
        <f>IF($B1234="","",IF(IFERROR(INDEX(CONFIG!$L$4:$L$63,MATCH($V1234,CONFIG!$K$4:$K$63,0)),"NO")="SÍ",IF(OR($Y1234="",$X1234=""),"Resuelta",IF($Y1234&gt;$X1234,"Resuelta tarde","Resuelta a tiempo")),IF($X1234="","Sin clasificar",IF(TODAY()&gt;$X1234,"Vencida",IF(TODAY()&gt;=$X1234-1,"Por vencer","En plazo")))))</f>
        <v/>
      </c>
      <c r="AB1234" s="50" t="n"/>
      <c r="AC1234" s="50" t="n"/>
    </row>
    <row r="1235" ht="16" customHeight="1">
      <c r="A1235" s="28">
        <f>IF($B1235="","","N-"&amp;TEXT(ROW()-3,"0000"))</f>
        <v/>
      </c>
      <c r="B1235" s="47" t="n"/>
      <c r="C1235" s="48" t="n"/>
      <c r="D1235" s="48" t="n"/>
      <c r="E1235" s="28">
        <f>IF($C1235="","",IF($D1235="",IF($C1235="Interna","Sin guía (interna)","FALTA GUÍA"),IF(COUNTIFS(ENVIOS!$A$4:$A$3003,$D1235)=0,"NO EXISTE",IF(COUNTIFS(ENVIOS!$A$4:$A$3003,$D1235)&gt;1,"DUPLICADA","OK"))))</f>
        <v/>
      </c>
      <c r="F1235" s="28">
        <f>IF($D1235="","",IFERROR(INDEX(ENVIOS!$B$4:$B$3003,MATCH($D1235,ENVIOS!$A$4:$A$3003,0)),"—"))</f>
        <v/>
      </c>
      <c r="G1235" s="23">
        <f>IF($D1235="","",IFERROR(INDEX(ENVIOS!$D$4:$D$3003,MATCH($D1235,ENVIOS!$A$4:$A$3003,0)),"—"))</f>
        <v/>
      </c>
      <c r="H1235" s="23">
        <f>IF($D1235="","",IFERROR(INDEX(ENVIOS!$E$4:$E$3003,MATCH($D1235,ENVIOS!$A$4:$A$3003,0)),"—"))</f>
        <v/>
      </c>
      <c r="I1235" s="23">
        <f>IF($D1235="","",IFERROR(INDEX(ENVIOS!$F$4:$F$3003,MATCH($D1235,ENVIOS!$A$4:$A$3003,0)),"—"))</f>
        <v/>
      </c>
      <c r="J1235" s="23">
        <f>IF($D1235="","",IFERROR(INDEX(ENVIOS!$G$4:$G$3003,MATCH($D1235,ENVIOS!$A$4:$A$3003,0)),"—"))</f>
        <v/>
      </c>
      <c r="K1235" s="28">
        <f>IF($D1235="","",IFERROR(INDEX(ENVIOS!$H$4:$H$3003,MATCH($D1235,ENVIOS!$A$4:$A$3003,0)),"—"))</f>
        <v/>
      </c>
      <c r="L1235" s="49">
        <f>IF($D1235="","",IFERROR(INDEX(ENVIOS!$C$4:$C$3003,MATCH($D1235,ENVIOS!$A$4:$A$3003,0)),""))</f>
        <v/>
      </c>
      <c r="M1235" s="50" t="n"/>
      <c r="N1235" s="28">
        <f>IF($M1235="","",IFERROR(INDEX(CONFIG!$C$4:$C$63,MATCH($M1235,CONFIG!$A$4:$A$63,0)),"Media"))</f>
        <v/>
      </c>
      <c r="O1235" s="28">
        <f>IF($M1235="","",IF($C1235="Interna","NO",IFERROR(INDEX(CONFIG!$E$4:$E$63,MATCH($M1235,CONFIG!$A$4:$A$63,0)),"NO")))</f>
        <v/>
      </c>
      <c r="P1235" s="50" t="n"/>
      <c r="Q1235" s="50" t="n"/>
      <c r="R1235" s="28">
        <f>IF($Q1235="","",IFERROR(INDEX(CONFIG!$H$4:$H$63,MATCH($Q1235,CONFIG!$G$4:$G$63,0)),"Por definir"))</f>
        <v/>
      </c>
      <c r="S1235" s="28">
        <f>IF($Q1235="","",IFERROR(INDEX(CONFIG!$I$4:$I$63,MATCH($Q1235,CONFIG!$G$4:$G$63,0)),"Por definir"))</f>
        <v/>
      </c>
      <c r="T1235" s="51" t="n"/>
      <c r="U1235" s="52" t="n"/>
      <c r="V1235" s="50" t="n"/>
      <c r="W1235" s="50" t="n"/>
      <c r="X1235" s="49">
        <f>IF(OR($B1235="",$M1235=""),"",WORKDAY($B1235,IFERROR(INDEX(CONFIG!$D$4:$D$63,MATCH($M1235,CONFIG!$A$4:$A$63,0)),3)))</f>
        <v/>
      </c>
      <c r="Y1235" s="47" t="n"/>
      <c r="Z1235" s="24">
        <f>IF($B1235="","",IF($Y1235&lt;&gt;"",$Y1235-$B1235,TODAY()-$B1235))</f>
        <v/>
      </c>
      <c r="AA1235" s="28">
        <f>IF($B1235="","",IF(IFERROR(INDEX(CONFIG!$L$4:$L$63,MATCH($V1235,CONFIG!$K$4:$K$63,0)),"NO")="SÍ",IF(OR($Y1235="",$X1235=""),"Resuelta",IF($Y1235&gt;$X1235,"Resuelta tarde","Resuelta a tiempo")),IF($X1235="","Sin clasificar",IF(TODAY()&gt;$X1235,"Vencida",IF(TODAY()&gt;=$X1235-1,"Por vencer","En plazo")))))</f>
        <v/>
      </c>
      <c r="AB1235" s="50" t="n"/>
      <c r="AC1235" s="50" t="n"/>
    </row>
    <row r="1236" ht="16" customHeight="1">
      <c r="A1236" s="28">
        <f>IF($B1236="","","N-"&amp;TEXT(ROW()-3,"0000"))</f>
        <v/>
      </c>
      <c r="B1236" s="47" t="n"/>
      <c r="C1236" s="48" t="n"/>
      <c r="D1236" s="48" t="n"/>
      <c r="E1236" s="28">
        <f>IF($C1236="","",IF($D1236="",IF($C1236="Interna","Sin guía (interna)","FALTA GUÍA"),IF(COUNTIFS(ENVIOS!$A$4:$A$3003,$D1236)=0,"NO EXISTE",IF(COUNTIFS(ENVIOS!$A$4:$A$3003,$D1236)&gt;1,"DUPLICADA","OK"))))</f>
        <v/>
      </c>
      <c r="F1236" s="28">
        <f>IF($D1236="","",IFERROR(INDEX(ENVIOS!$B$4:$B$3003,MATCH($D1236,ENVIOS!$A$4:$A$3003,0)),"—"))</f>
        <v/>
      </c>
      <c r="G1236" s="23">
        <f>IF($D1236="","",IFERROR(INDEX(ENVIOS!$D$4:$D$3003,MATCH($D1236,ENVIOS!$A$4:$A$3003,0)),"—"))</f>
        <v/>
      </c>
      <c r="H1236" s="23">
        <f>IF($D1236="","",IFERROR(INDEX(ENVIOS!$E$4:$E$3003,MATCH($D1236,ENVIOS!$A$4:$A$3003,0)),"—"))</f>
        <v/>
      </c>
      <c r="I1236" s="23">
        <f>IF($D1236="","",IFERROR(INDEX(ENVIOS!$F$4:$F$3003,MATCH($D1236,ENVIOS!$A$4:$A$3003,0)),"—"))</f>
        <v/>
      </c>
      <c r="J1236" s="23">
        <f>IF($D1236="","",IFERROR(INDEX(ENVIOS!$G$4:$G$3003,MATCH($D1236,ENVIOS!$A$4:$A$3003,0)),"—"))</f>
        <v/>
      </c>
      <c r="K1236" s="28">
        <f>IF($D1236="","",IFERROR(INDEX(ENVIOS!$H$4:$H$3003,MATCH($D1236,ENVIOS!$A$4:$A$3003,0)),"—"))</f>
        <v/>
      </c>
      <c r="L1236" s="49">
        <f>IF($D1236="","",IFERROR(INDEX(ENVIOS!$C$4:$C$3003,MATCH($D1236,ENVIOS!$A$4:$A$3003,0)),""))</f>
        <v/>
      </c>
      <c r="M1236" s="50" t="n"/>
      <c r="N1236" s="28">
        <f>IF($M1236="","",IFERROR(INDEX(CONFIG!$C$4:$C$63,MATCH($M1236,CONFIG!$A$4:$A$63,0)),"Media"))</f>
        <v/>
      </c>
      <c r="O1236" s="28">
        <f>IF($M1236="","",IF($C1236="Interna","NO",IFERROR(INDEX(CONFIG!$E$4:$E$63,MATCH($M1236,CONFIG!$A$4:$A$63,0)),"NO")))</f>
        <v/>
      </c>
      <c r="P1236" s="50" t="n"/>
      <c r="Q1236" s="50" t="n"/>
      <c r="R1236" s="28">
        <f>IF($Q1236="","",IFERROR(INDEX(CONFIG!$H$4:$H$63,MATCH($Q1236,CONFIG!$G$4:$G$63,0)),"Por definir"))</f>
        <v/>
      </c>
      <c r="S1236" s="28">
        <f>IF($Q1236="","",IFERROR(INDEX(CONFIG!$I$4:$I$63,MATCH($Q1236,CONFIG!$G$4:$G$63,0)),"Por definir"))</f>
        <v/>
      </c>
      <c r="T1236" s="51" t="n"/>
      <c r="U1236" s="52" t="n"/>
      <c r="V1236" s="50" t="n"/>
      <c r="W1236" s="50" t="n"/>
      <c r="X1236" s="49">
        <f>IF(OR($B1236="",$M1236=""),"",WORKDAY($B1236,IFERROR(INDEX(CONFIG!$D$4:$D$63,MATCH($M1236,CONFIG!$A$4:$A$63,0)),3)))</f>
        <v/>
      </c>
      <c r="Y1236" s="47" t="n"/>
      <c r="Z1236" s="24">
        <f>IF($B1236="","",IF($Y1236&lt;&gt;"",$Y1236-$B1236,TODAY()-$B1236))</f>
        <v/>
      </c>
      <c r="AA1236" s="28">
        <f>IF($B1236="","",IF(IFERROR(INDEX(CONFIG!$L$4:$L$63,MATCH($V1236,CONFIG!$K$4:$K$63,0)),"NO")="SÍ",IF(OR($Y1236="",$X1236=""),"Resuelta",IF($Y1236&gt;$X1236,"Resuelta tarde","Resuelta a tiempo")),IF($X1236="","Sin clasificar",IF(TODAY()&gt;$X1236,"Vencida",IF(TODAY()&gt;=$X1236-1,"Por vencer","En plazo")))))</f>
        <v/>
      </c>
      <c r="AB1236" s="50" t="n"/>
      <c r="AC1236" s="50" t="n"/>
    </row>
    <row r="1237" ht="16" customHeight="1">
      <c r="A1237" s="28">
        <f>IF($B1237="","","N-"&amp;TEXT(ROW()-3,"0000"))</f>
        <v/>
      </c>
      <c r="B1237" s="47" t="n"/>
      <c r="C1237" s="48" t="n"/>
      <c r="D1237" s="48" t="n"/>
      <c r="E1237" s="28">
        <f>IF($C1237="","",IF($D1237="",IF($C1237="Interna","Sin guía (interna)","FALTA GUÍA"),IF(COUNTIFS(ENVIOS!$A$4:$A$3003,$D1237)=0,"NO EXISTE",IF(COUNTIFS(ENVIOS!$A$4:$A$3003,$D1237)&gt;1,"DUPLICADA","OK"))))</f>
        <v/>
      </c>
      <c r="F1237" s="28">
        <f>IF($D1237="","",IFERROR(INDEX(ENVIOS!$B$4:$B$3003,MATCH($D1237,ENVIOS!$A$4:$A$3003,0)),"—"))</f>
        <v/>
      </c>
      <c r="G1237" s="23">
        <f>IF($D1237="","",IFERROR(INDEX(ENVIOS!$D$4:$D$3003,MATCH($D1237,ENVIOS!$A$4:$A$3003,0)),"—"))</f>
        <v/>
      </c>
      <c r="H1237" s="23">
        <f>IF($D1237="","",IFERROR(INDEX(ENVIOS!$E$4:$E$3003,MATCH($D1237,ENVIOS!$A$4:$A$3003,0)),"—"))</f>
        <v/>
      </c>
      <c r="I1237" s="23">
        <f>IF($D1237="","",IFERROR(INDEX(ENVIOS!$F$4:$F$3003,MATCH($D1237,ENVIOS!$A$4:$A$3003,0)),"—"))</f>
        <v/>
      </c>
      <c r="J1237" s="23">
        <f>IF($D1237="","",IFERROR(INDEX(ENVIOS!$G$4:$G$3003,MATCH($D1237,ENVIOS!$A$4:$A$3003,0)),"—"))</f>
        <v/>
      </c>
      <c r="K1237" s="28">
        <f>IF($D1237="","",IFERROR(INDEX(ENVIOS!$H$4:$H$3003,MATCH($D1237,ENVIOS!$A$4:$A$3003,0)),"—"))</f>
        <v/>
      </c>
      <c r="L1237" s="49">
        <f>IF($D1237="","",IFERROR(INDEX(ENVIOS!$C$4:$C$3003,MATCH($D1237,ENVIOS!$A$4:$A$3003,0)),""))</f>
        <v/>
      </c>
      <c r="M1237" s="50" t="n"/>
      <c r="N1237" s="28">
        <f>IF($M1237="","",IFERROR(INDEX(CONFIG!$C$4:$C$63,MATCH($M1237,CONFIG!$A$4:$A$63,0)),"Media"))</f>
        <v/>
      </c>
      <c r="O1237" s="28">
        <f>IF($M1237="","",IF($C1237="Interna","NO",IFERROR(INDEX(CONFIG!$E$4:$E$63,MATCH($M1237,CONFIG!$A$4:$A$63,0)),"NO")))</f>
        <v/>
      </c>
      <c r="P1237" s="50" t="n"/>
      <c r="Q1237" s="50" t="n"/>
      <c r="R1237" s="28">
        <f>IF($Q1237="","",IFERROR(INDEX(CONFIG!$H$4:$H$63,MATCH($Q1237,CONFIG!$G$4:$G$63,0)),"Por definir"))</f>
        <v/>
      </c>
      <c r="S1237" s="28">
        <f>IF($Q1237="","",IFERROR(INDEX(CONFIG!$I$4:$I$63,MATCH($Q1237,CONFIG!$G$4:$G$63,0)),"Por definir"))</f>
        <v/>
      </c>
      <c r="T1237" s="51" t="n"/>
      <c r="U1237" s="52" t="n"/>
      <c r="V1237" s="50" t="n"/>
      <c r="W1237" s="50" t="n"/>
      <c r="X1237" s="49">
        <f>IF(OR($B1237="",$M1237=""),"",WORKDAY($B1237,IFERROR(INDEX(CONFIG!$D$4:$D$63,MATCH($M1237,CONFIG!$A$4:$A$63,0)),3)))</f>
        <v/>
      </c>
      <c r="Y1237" s="47" t="n"/>
      <c r="Z1237" s="24">
        <f>IF($B1237="","",IF($Y1237&lt;&gt;"",$Y1237-$B1237,TODAY()-$B1237))</f>
        <v/>
      </c>
      <c r="AA1237" s="28">
        <f>IF($B1237="","",IF(IFERROR(INDEX(CONFIG!$L$4:$L$63,MATCH($V1237,CONFIG!$K$4:$K$63,0)),"NO")="SÍ",IF(OR($Y1237="",$X1237=""),"Resuelta",IF($Y1237&gt;$X1237,"Resuelta tarde","Resuelta a tiempo")),IF($X1237="","Sin clasificar",IF(TODAY()&gt;$X1237,"Vencida",IF(TODAY()&gt;=$X1237-1,"Por vencer","En plazo")))))</f>
        <v/>
      </c>
      <c r="AB1237" s="50" t="n"/>
      <c r="AC1237" s="50" t="n"/>
    </row>
    <row r="1238" ht="16" customHeight="1">
      <c r="A1238" s="28">
        <f>IF($B1238="","","N-"&amp;TEXT(ROW()-3,"0000"))</f>
        <v/>
      </c>
      <c r="B1238" s="47" t="n"/>
      <c r="C1238" s="48" t="n"/>
      <c r="D1238" s="48" t="n"/>
      <c r="E1238" s="28">
        <f>IF($C1238="","",IF($D1238="",IF($C1238="Interna","Sin guía (interna)","FALTA GUÍA"),IF(COUNTIFS(ENVIOS!$A$4:$A$3003,$D1238)=0,"NO EXISTE",IF(COUNTIFS(ENVIOS!$A$4:$A$3003,$D1238)&gt;1,"DUPLICADA","OK"))))</f>
        <v/>
      </c>
      <c r="F1238" s="28">
        <f>IF($D1238="","",IFERROR(INDEX(ENVIOS!$B$4:$B$3003,MATCH($D1238,ENVIOS!$A$4:$A$3003,0)),"—"))</f>
        <v/>
      </c>
      <c r="G1238" s="23">
        <f>IF($D1238="","",IFERROR(INDEX(ENVIOS!$D$4:$D$3003,MATCH($D1238,ENVIOS!$A$4:$A$3003,0)),"—"))</f>
        <v/>
      </c>
      <c r="H1238" s="23">
        <f>IF($D1238="","",IFERROR(INDEX(ENVIOS!$E$4:$E$3003,MATCH($D1238,ENVIOS!$A$4:$A$3003,0)),"—"))</f>
        <v/>
      </c>
      <c r="I1238" s="23">
        <f>IF($D1238="","",IFERROR(INDEX(ENVIOS!$F$4:$F$3003,MATCH($D1238,ENVIOS!$A$4:$A$3003,0)),"—"))</f>
        <v/>
      </c>
      <c r="J1238" s="23">
        <f>IF($D1238="","",IFERROR(INDEX(ENVIOS!$G$4:$G$3003,MATCH($D1238,ENVIOS!$A$4:$A$3003,0)),"—"))</f>
        <v/>
      </c>
      <c r="K1238" s="28">
        <f>IF($D1238="","",IFERROR(INDEX(ENVIOS!$H$4:$H$3003,MATCH($D1238,ENVIOS!$A$4:$A$3003,0)),"—"))</f>
        <v/>
      </c>
      <c r="L1238" s="49">
        <f>IF($D1238="","",IFERROR(INDEX(ENVIOS!$C$4:$C$3003,MATCH($D1238,ENVIOS!$A$4:$A$3003,0)),""))</f>
        <v/>
      </c>
      <c r="M1238" s="50" t="n"/>
      <c r="N1238" s="28">
        <f>IF($M1238="","",IFERROR(INDEX(CONFIG!$C$4:$C$63,MATCH($M1238,CONFIG!$A$4:$A$63,0)),"Media"))</f>
        <v/>
      </c>
      <c r="O1238" s="28">
        <f>IF($M1238="","",IF($C1238="Interna","NO",IFERROR(INDEX(CONFIG!$E$4:$E$63,MATCH($M1238,CONFIG!$A$4:$A$63,0)),"NO")))</f>
        <v/>
      </c>
      <c r="P1238" s="50" t="n"/>
      <c r="Q1238" s="50" t="n"/>
      <c r="R1238" s="28">
        <f>IF($Q1238="","",IFERROR(INDEX(CONFIG!$H$4:$H$63,MATCH($Q1238,CONFIG!$G$4:$G$63,0)),"Por definir"))</f>
        <v/>
      </c>
      <c r="S1238" s="28">
        <f>IF($Q1238="","",IFERROR(INDEX(CONFIG!$I$4:$I$63,MATCH($Q1238,CONFIG!$G$4:$G$63,0)),"Por definir"))</f>
        <v/>
      </c>
      <c r="T1238" s="51" t="n"/>
      <c r="U1238" s="52" t="n"/>
      <c r="V1238" s="50" t="n"/>
      <c r="W1238" s="50" t="n"/>
      <c r="X1238" s="49">
        <f>IF(OR($B1238="",$M1238=""),"",WORKDAY($B1238,IFERROR(INDEX(CONFIG!$D$4:$D$63,MATCH($M1238,CONFIG!$A$4:$A$63,0)),3)))</f>
        <v/>
      </c>
      <c r="Y1238" s="47" t="n"/>
      <c r="Z1238" s="24">
        <f>IF($B1238="","",IF($Y1238&lt;&gt;"",$Y1238-$B1238,TODAY()-$B1238))</f>
        <v/>
      </c>
      <c r="AA1238" s="28">
        <f>IF($B1238="","",IF(IFERROR(INDEX(CONFIG!$L$4:$L$63,MATCH($V1238,CONFIG!$K$4:$K$63,0)),"NO")="SÍ",IF(OR($Y1238="",$X1238=""),"Resuelta",IF($Y1238&gt;$X1238,"Resuelta tarde","Resuelta a tiempo")),IF($X1238="","Sin clasificar",IF(TODAY()&gt;$X1238,"Vencida",IF(TODAY()&gt;=$X1238-1,"Por vencer","En plazo")))))</f>
        <v/>
      </c>
      <c r="AB1238" s="50" t="n"/>
      <c r="AC1238" s="50" t="n"/>
    </row>
    <row r="1239" ht="16" customHeight="1">
      <c r="A1239" s="28">
        <f>IF($B1239="","","N-"&amp;TEXT(ROW()-3,"0000"))</f>
        <v/>
      </c>
      <c r="B1239" s="47" t="n"/>
      <c r="C1239" s="48" t="n"/>
      <c r="D1239" s="48" t="n"/>
      <c r="E1239" s="28">
        <f>IF($C1239="","",IF($D1239="",IF($C1239="Interna","Sin guía (interna)","FALTA GUÍA"),IF(COUNTIFS(ENVIOS!$A$4:$A$3003,$D1239)=0,"NO EXISTE",IF(COUNTIFS(ENVIOS!$A$4:$A$3003,$D1239)&gt;1,"DUPLICADA","OK"))))</f>
        <v/>
      </c>
      <c r="F1239" s="28">
        <f>IF($D1239="","",IFERROR(INDEX(ENVIOS!$B$4:$B$3003,MATCH($D1239,ENVIOS!$A$4:$A$3003,0)),"—"))</f>
        <v/>
      </c>
      <c r="G1239" s="23">
        <f>IF($D1239="","",IFERROR(INDEX(ENVIOS!$D$4:$D$3003,MATCH($D1239,ENVIOS!$A$4:$A$3003,0)),"—"))</f>
        <v/>
      </c>
      <c r="H1239" s="23">
        <f>IF($D1239="","",IFERROR(INDEX(ENVIOS!$E$4:$E$3003,MATCH($D1239,ENVIOS!$A$4:$A$3003,0)),"—"))</f>
        <v/>
      </c>
      <c r="I1239" s="23">
        <f>IF($D1239="","",IFERROR(INDEX(ENVIOS!$F$4:$F$3003,MATCH($D1239,ENVIOS!$A$4:$A$3003,0)),"—"))</f>
        <v/>
      </c>
      <c r="J1239" s="23">
        <f>IF($D1239="","",IFERROR(INDEX(ENVIOS!$G$4:$G$3003,MATCH($D1239,ENVIOS!$A$4:$A$3003,0)),"—"))</f>
        <v/>
      </c>
      <c r="K1239" s="28">
        <f>IF($D1239="","",IFERROR(INDEX(ENVIOS!$H$4:$H$3003,MATCH($D1239,ENVIOS!$A$4:$A$3003,0)),"—"))</f>
        <v/>
      </c>
      <c r="L1239" s="49">
        <f>IF($D1239="","",IFERROR(INDEX(ENVIOS!$C$4:$C$3003,MATCH($D1239,ENVIOS!$A$4:$A$3003,0)),""))</f>
        <v/>
      </c>
      <c r="M1239" s="50" t="n"/>
      <c r="N1239" s="28">
        <f>IF($M1239="","",IFERROR(INDEX(CONFIG!$C$4:$C$63,MATCH($M1239,CONFIG!$A$4:$A$63,0)),"Media"))</f>
        <v/>
      </c>
      <c r="O1239" s="28">
        <f>IF($M1239="","",IF($C1239="Interna","NO",IFERROR(INDEX(CONFIG!$E$4:$E$63,MATCH($M1239,CONFIG!$A$4:$A$63,0)),"NO")))</f>
        <v/>
      </c>
      <c r="P1239" s="50" t="n"/>
      <c r="Q1239" s="50" t="n"/>
      <c r="R1239" s="28">
        <f>IF($Q1239="","",IFERROR(INDEX(CONFIG!$H$4:$H$63,MATCH($Q1239,CONFIG!$G$4:$G$63,0)),"Por definir"))</f>
        <v/>
      </c>
      <c r="S1239" s="28">
        <f>IF($Q1239="","",IFERROR(INDEX(CONFIG!$I$4:$I$63,MATCH($Q1239,CONFIG!$G$4:$G$63,0)),"Por definir"))</f>
        <v/>
      </c>
      <c r="T1239" s="51" t="n"/>
      <c r="U1239" s="52" t="n"/>
      <c r="V1239" s="50" t="n"/>
      <c r="W1239" s="50" t="n"/>
      <c r="X1239" s="49">
        <f>IF(OR($B1239="",$M1239=""),"",WORKDAY($B1239,IFERROR(INDEX(CONFIG!$D$4:$D$63,MATCH($M1239,CONFIG!$A$4:$A$63,0)),3)))</f>
        <v/>
      </c>
      <c r="Y1239" s="47" t="n"/>
      <c r="Z1239" s="24">
        <f>IF($B1239="","",IF($Y1239&lt;&gt;"",$Y1239-$B1239,TODAY()-$B1239))</f>
        <v/>
      </c>
      <c r="AA1239" s="28">
        <f>IF($B1239="","",IF(IFERROR(INDEX(CONFIG!$L$4:$L$63,MATCH($V1239,CONFIG!$K$4:$K$63,0)),"NO")="SÍ",IF(OR($Y1239="",$X1239=""),"Resuelta",IF($Y1239&gt;$X1239,"Resuelta tarde","Resuelta a tiempo")),IF($X1239="","Sin clasificar",IF(TODAY()&gt;$X1239,"Vencida",IF(TODAY()&gt;=$X1239-1,"Por vencer","En plazo")))))</f>
        <v/>
      </c>
      <c r="AB1239" s="50" t="n"/>
      <c r="AC1239" s="50" t="n"/>
    </row>
    <row r="1240" ht="16" customHeight="1">
      <c r="A1240" s="28">
        <f>IF($B1240="","","N-"&amp;TEXT(ROW()-3,"0000"))</f>
        <v/>
      </c>
      <c r="B1240" s="47" t="n"/>
      <c r="C1240" s="48" t="n"/>
      <c r="D1240" s="48" t="n"/>
      <c r="E1240" s="28">
        <f>IF($C1240="","",IF($D1240="",IF($C1240="Interna","Sin guía (interna)","FALTA GUÍA"),IF(COUNTIFS(ENVIOS!$A$4:$A$3003,$D1240)=0,"NO EXISTE",IF(COUNTIFS(ENVIOS!$A$4:$A$3003,$D1240)&gt;1,"DUPLICADA","OK"))))</f>
        <v/>
      </c>
      <c r="F1240" s="28">
        <f>IF($D1240="","",IFERROR(INDEX(ENVIOS!$B$4:$B$3003,MATCH($D1240,ENVIOS!$A$4:$A$3003,0)),"—"))</f>
        <v/>
      </c>
      <c r="G1240" s="23">
        <f>IF($D1240="","",IFERROR(INDEX(ENVIOS!$D$4:$D$3003,MATCH($D1240,ENVIOS!$A$4:$A$3003,0)),"—"))</f>
        <v/>
      </c>
      <c r="H1240" s="23">
        <f>IF($D1240="","",IFERROR(INDEX(ENVIOS!$E$4:$E$3003,MATCH($D1240,ENVIOS!$A$4:$A$3003,0)),"—"))</f>
        <v/>
      </c>
      <c r="I1240" s="23">
        <f>IF($D1240="","",IFERROR(INDEX(ENVIOS!$F$4:$F$3003,MATCH($D1240,ENVIOS!$A$4:$A$3003,0)),"—"))</f>
        <v/>
      </c>
      <c r="J1240" s="23">
        <f>IF($D1240="","",IFERROR(INDEX(ENVIOS!$G$4:$G$3003,MATCH($D1240,ENVIOS!$A$4:$A$3003,0)),"—"))</f>
        <v/>
      </c>
      <c r="K1240" s="28">
        <f>IF($D1240="","",IFERROR(INDEX(ENVIOS!$H$4:$H$3003,MATCH($D1240,ENVIOS!$A$4:$A$3003,0)),"—"))</f>
        <v/>
      </c>
      <c r="L1240" s="49">
        <f>IF($D1240="","",IFERROR(INDEX(ENVIOS!$C$4:$C$3003,MATCH($D1240,ENVIOS!$A$4:$A$3003,0)),""))</f>
        <v/>
      </c>
      <c r="M1240" s="50" t="n"/>
      <c r="N1240" s="28">
        <f>IF($M1240="","",IFERROR(INDEX(CONFIG!$C$4:$C$63,MATCH($M1240,CONFIG!$A$4:$A$63,0)),"Media"))</f>
        <v/>
      </c>
      <c r="O1240" s="28">
        <f>IF($M1240="","",IF($C1240="Interna","NO",IFERROR(INDEX(CONFIG!$E$4:$E$63,MATCH($M1240,CONFIG!$A$4:$A$63,0)),"NO")))</f>
        <v/>
      </c>
      <c r="P1240" s="50" t="n"/>
      <c r="Q1240" s="50" t="n"/>
      <c r="R1240" s="28">
        <f>IF($Q1240="","",IFERROR(INDEX(CONFIG!$H$4:$H$63,MATCH($Q1240,CONFIG!$G$4:$G$63,0)),"Por definir"))</f>
        <v/>
      </c>
      <c r="S1240" s="28">
        <f>IF($Q1240="","",IFERROR(INDEX(CONFIG!$I$4:$I$63,MATCH($Q1240,CONFIG!$G$4:$G$63,0)),"Por definir"))</f>
        <v/>
      </c>
      <c r="T1240" s="51" t="n"/>
      <c r="U1240" s="52" t="n"/>
      <c r="V1240" s="50" t="n"/>
      <c r="W1240" s="50" t="n"/>
      <c r="X1240" s="49">
        <f>IF(OR($B1240="",$M1240=""),"",WORKDAY($B1240,IFERROR(INDEX(CONFIG!$D$4:$D$63,MATCH($M1240,CONFIG!$A$4:$A$63,0)),3)))</f>
        <v/>
      </c>
      <c r="Y1240" s="47" t="n"/>
      <c r="Z1240" s="24">
        <f>IF($B1240="","",IF($Y1240&lt;&gt;"",$Y1240-$B1240,TODAY()-$B1240))</f>
        <v/>
      </c>
      <c r="AA1240" s="28">
        <f>IF($B1240="","",IF(IFERROR(INDEX(CONFIG!$L$4:$L$63,MATCH($V1240,CONFIG!$K$4:$K$63,0)),"NO")="SÍ",IF(OR($Y1240="",$X1240=""),"Resuelta",IF($Y1240&gt;$X1240,"Resuelta tarde","Resuelta a tiempo")),IF($X1240="","Sin clasificar",IF(TODAY()&gt;$X1240,"Vencida",IF(TODAY()&gt;=$X1240-1,"Por vencer","En plazo")))))</f>
        <v/>
      </c>
      <c r="AB1240" s="50" t="n"/>
      <c r="AC1240" s="50" t="n"/>
    </row>
    <row r="1241" ht="16" customHeight="1">
      <c r="A1241" s="28">
        <f>IF($B1241="","","N-"&amp;TEXT(ROW()-3,"0000"))</f>
        <v/>
      </c>
      <c r="B1241" s="47" t="n"/>
      <c r="C1241" s="48" t="n"/>
      <c r="D1241" s="48" t="n"/>
      <c r="E1241" s="28">
        <f>IF($C1241="","",IF($D1241="",IF($C1241="Interna","Sin guía (interna)","FALTA GUÍA"),IF(COUNTIFS(ENVIOS!$A$4:$A$3003,$D1241)=0,"NO EXISTE",IF(COUNTIFS(ENVIOS!$A$4:$A$3003,$D1241)&gt;1,"DUPLICADA","OK"))))</f>
        <v/>
      </c>
      <c r="F1241" s="28">
        <f>IF($D1241="","",IFERROR(INDEX(ENVIOS!$B$4:$B$3003,MATCH($D1241,ENVIOS!$A$4:$A$3003,0)),"—"))</f>
        <v/>
      </c>
      <c r="G1241" s="23">
        <f>IF($D1241="","",IFERROR(INDEX(ENVIOS!$D$4:$D$3003,MATCH($D1241,ENVIOS!$A$4:$A$3003,0)),"—"))</f>
        <v/>
      </c>
      <c r="H1241" s="23">
        <f>IF($D1241="","",IFERROR(INDEX(ENVIOS!$E$4:$E$3003,MATCH($D1241,ENVIOS!$A$4:$A$3003,0)),"—"))</f>
        <v/>
      </c>
      <c r="I1241" s="23">
        <f>IF($D1241="","",IFERROR(INDEX(ENVIOS!$F$4:$F$3003,MATCH($D1241,ENVIOS!$A$4:$A$3003,0)),"—"))</f>
        <v/>
      </c>
      <c r="J1241" s="23">
        <f>IF($D1241="","",IFERROR(INDEX(ENVIOS!$G$4:$G$3003,MATCH($D1241,ENVIOS!$A$4:$A$3003,0)),"—"))</f>
        <v/>
      </c>
      <c r="K1241" s="28">
        <f>IF($D1241="","",IFERROR(INDEX(ENVIOS!$H$4:$H$3003,MATCH($D1241,ENVIOS!$A$4:$A$3003,0)),"—"))</f>
        <v/>
      </c>
      <c r="L1241" s="49">
        <f>IF($D1241="","",IFERROR(INDEX(ENVIOS!$C$4:$C$3003,MATCH($D1241,ENVIOS!$A$4:$A$3003,0)),""))</f>
        <v/>
      </c>
      <c r="M1241" s="50" t="n"/>
      <c r="N1241" s="28">
        <f>IF($M1241="","",IFERROR(INDEX(CONFIG!$C$4:$C$63,MATCH($M1241,CONFIG!$A$4:$A$63,0)),"Media"))</f>
        <v/>
      </c>
      <c r="O1241" s="28">
        <f>IF($M1241="","",IF($C1241="Interna","NO",IFERROR(INDEX(CONFIG!$E$4:$E$63,MATCH($M1241,CONFIG!$A$4:$A$63,0)),"NO")))</f>
        <v/>
      </c>
      <c r="P1241" s="50" t="n"/>
      <c r="Q1241" s="50" t="n"/>
      <c r="R1241" s="28">
        <f>IF($Q1241="","",IFERROR(INDEX(CONFIG!$H$4:$H$63,MATCH($Q1241,CONFIG!$G$4:$G$63,0)),"Por definir"))</f>
        <v/>
      </c>
      <c r="S1241" s="28">
        <f>IF($Q1241="","",IFERROR(INDEX(CONFIG!$I$4:$I$63,MATCH($Q1241,CONFIG!$G$4:$G$63,0)),"Por definir"))</f>
        <v/>
      </c>
      <c r="T1241" s="51" t="n"/>
      <c r="U1241" s="52" t="n"/>
      <c r="V1241" s="50" t="n"/>
      <c r="W1241" s="50" t="n"/>
      <c r="X1241" s="49">
        <f>IF(OR($B1241="",$M1241=""),"",WORKDAY($B1241,IFERROR(INDEX(CONFIG!$D$4:$D$63,MATCH($M1241,CONFIG!$A$4:$A$63,0)),3)))</f>
        <v/>
      </c>
      <c r="Y1241" s="47" t="n"/>
      <c r="Z1241" s="24">
        <f>IF($B1241="","",IF($Y1241&lt;&gt;"",$Y1241-$B1241,TODAY()-$B1241))</f>
        <v/>
      </c>
      <c r="AA1241" s="28">
        <f>IF($B1241="","",IF(IFERROR(INDEX(CONFIG!$L$4:$L$63,MATCH($V1241,CONFIG!$K$4:$K$63,0)),"NO")="SÍ",IF(OR($Y1241="",$X1241=""),"Resuelta",IF($Y1241&gt;$X1241,"Resuelta tarde","Resuelta a tiempo")),IF($X1241="","Sin clasificar",IF(TODAY()&gt;$X1241,"Vencida",IF(TODAY()&gt;=$X1241-1,"Por vencer","En plazo")))))</f>
        <v/>
      </c>
      <c r="AB1241" s="50" t="n"/>
      <c r="AC1241" s="50" t="n"/>
    </row>
    <row r="1242" ht="16" customHeight="1">
      <c r="A1242" s="28">
        <f>IF($B1242="","","N-"&amp;TEXT(ROW()-3,"0000"))</f>
        <v/>
      </c>
      <c r="B1242" s="47" t="n"/>
      <c r="C1242" s="48" t="n"/>
      <c r="D1242" s="48" t="n"/>
      <c r="E1242" s="28">
        <f>IF($C1242="","",IF($D1242="",IF($C1242="Interna","Sin guía (interna)","FALTA GUÍA"),IF(COUNTIFS(ENVIOS!$A$4:$A$3003,$D1242)=0,"NO EXISTE",IF(COUNTIFS(ENVIOS!$A$4:$A$3003,$D1242)&gt;1,"DUPLICADA","OK"))))</f>
        <v/>
      </c>
      <c r="F1242" s="28">
        <f>IF($D1242="","",IFERROR(INDEX(ENVIOS!$B$4:$B$3003,MATCH($D1242,ENVIOS!$A$4:$A$3003,0)),"—"))</f>
        <v/>
      </c>
      <c r="G1242" s="23">
        <f>IF($D1242="","",IFERROR(INDEX(ENVIOS!$D$4:$D$3003,MATCH($D1242,ENVIOS!$A$4:$A$3003,0)),"—"))</f>
        <v/>
      </c>
      <c r="H1242" s="23">
        <f>IF($D1242="","",IFERROR(INDEX(ENVIOS!$E$4:$E$3003,MATCH($D1242,ENVIOS!$A$4:$A$3003,0)),"—"))</f>
        <v/>
      </c>
      <c r="I1242" s="23">
        <f>IF($D1242="","",IFERROR(INDEX(ENVIOS!$F$4:$F$3003,MATCH($D1242,ENVIOS!$A$4:$A$3003,0)),"—"))</f>
        <v/>
      </c>
      <c r="J1242" s="23">
        <f>IF($D1242="","",IFERROR(INDEX(ENVIOS!$G$4:$G$3003,MATCH($D1242,ENVIOS!$A$4:$A$3003,0)),"—"))</f>
        <v/>
      </c>
      <c r="K1242" s="28">
        <f>IF($D1242="","",IFERROR(INDEX(ENVIOS!$H$4:$H$3003,MATCH($D1242,ENVIOS!$A$4:$A$3003,0)),"—"))</f>
        <v/>
      </c>
      <c r="L1242" s="49">
        <f>IF($D1242="","",IFERROR(INDEX(ENVIOS!$C$4:$C$3003,MATCH($D1242,ENVIOS!$A$4:$A$3003,0)),""))</f>
        <v/>
      </c>
      <c r="M1242" s="50" t="n"/>
      <c r="N1242" s="28">
        <f>IF($M1242="","",IFERROR(INDEX(CONFIG!$C$4:$C$63,MATCH($M1242,CONFIG!$A$4:$A$63,0)),"Media"))</f>
        <v/>
      </c>
      <c r="O1242" s="28">
        <f>IF($M1242="","",IF($C1242="Interna","NO",IFERROR(INDEX(CONFIG!$E$4:$E$63,MATCH($M1242,CONFIG!$A$4:$A$63,0)),"NO")))</f>
        <v/>
      </c>
      <c r="P1242" s="50" t="n"/>
      <c r="Q1242" s="50" t="n"/>
      <c r="R1242" s="28">
        <f>IF($Q1242="","",IFERROR(INDEX(CONFIG!$H$4:$H$63,MATCH($Q1242,CONFIG!$G$4:$G$63,0)),"Por definir"))</f>
        <v/>
      </c>
      <c r="S1242" s="28">
        <f>IF($Q1242="","",IFERROR(INDEX(CONFIG!$I$4:$I$63,MATCH($Q1242,CONFIG!$G$4:$G$63,0)),"Por definir"))</f>
        <v/>
      </c>
      <c r="T1242" s="51" t="n"/>
      <c r="U1242" s="52" t="n"/>
      <c r="V1242" s="50" t="n"/>
      <c r="W1242" s="50" t="n"/>
      <c r="X1242" s="49">
        <f>IF(OR($B1242="",$M1242=""),"",WORKDAY($B1242,IFERROR(INDEX(CONFIG!$D$4:$D$63,MATCH($M1242,CONFIG!$A$4:$A$63,0)),3)))</f>
        <v/>
      </c>
      <c r="Y1242" s="47" t="n"/>
      <c r="Z1242" s="24">
        <f>IF($B1242="","",IF($Y1242&lt;&gt;"",$Y1242-$B1242,TODAY()-$B1242))</f>
        <v/>
      </c>
      <c r="AA1242" s="28">
        <f>IF($B1242="","",IF(IFERROR(INDEX(CONFIG!$L$4:$L$63,MATCH($V1242,CONFIG!$K$4:$K$63,0)),"NO")="SÍ",IF(OR($Y1242="",$X1242=""),"Resuelta",IF($Y1242&gt;$X1242,"Resuelta tarde","Resuelta a tiempo")),IF($X1242="","Sin clasificar",IF(TODAY()&gt;$X1242,"Vencida",IF(TODAY()&gt;=$X1242-1,"Por vencer","En plazo")))))</f>
        <v/>
      </c>
      <c r="AB1242" s="50" t="n"/>
      <c r="AC1242" s="50" t="n"/>
    </row>
    <row r="1243" ht="16" customHeight="1">
      <c r="A1243" s="28">
        <f>IF($B1243="","","N-"&amp;TEXT(ROW()-3,"0000"))</f>
        <v/>
      </c>
      <c r="B1243" s="47" t="n"/>
      <c r="C1243" s="48" t="n"/>
      <c r="D1243" s="48" t="n"/>
      <c r="E1243" s="28">
        <f>IF($C1243="","",IF($D1243="",IF($C1243="Interna","Sin guía (interna)","FALTA GUÍA"),IF(COUNTIFS(ENVIOS!$A$4:$A$3003,$D1243)=0,"NO EXISTE",IF(COUNTIFS(ENVIOS!$A$4:$A$3003,$D1243)&gt;1,"DUPLICADA","OK"))))</f>
        <v/>
      </c>
      <c r="F1243" s="28">
        <f>IF($D1243="","",IFERROR(INDEX(ENVIOS!$B$4:$B$3003,MATCH($D1243,ENVIOS!$A$4:$A$3003,0)),"—"))</f>
        <v/>
      </c>
      <c r="G1243" s="23">
        <f>IF($D1243="","",IFERROR(INDEX(ENVIOS!$D$4:$D$3003,MATCH($D1243,ENVIOS!$A$4:$A$3003,0)),"—"))</f>
        <v/>
      </c>
      <c r="H1243" s="23">
        <f>IF($D1243="","",IFERROR(INDEX(ENVIOS!$E$4:$E$3003,MATCH($D1243,ENVIOS!$A$4:$A$3003,0)),"—"))</f>
        <v/>
      </c>
      <c r="I1243" s="23">
        <f>IF($D1243="","",IFERROR(INDEX(ENVIOS!$F$4:$F$3003,MATCH($D1243,ENVIOS!$A$4:$A$3003,0)),"—"))</f>
        <v/>
      </c>
      <c r="J1243" s="23">
        <f>IF($D1243="","",IFERROR(INDEX(ENVIOS!$G$4:$G$3003,MATCH($D1243,ENVIOS!$A$4:$A$3003,0)),"—"))</f>
        <v/>
      </c>
      <c r="K1243" s="28">
        <f>IF($D1243="","",IFERROR(INDEX(ENVIOS!$H$4:$H$3003,MATCH($D1243,ENVIOS!$A$4:$A$3003,0)),"—"))</f>
        <v/>
      </c>
      <c r="L1243" s="49">
        <f>IF($D1243="","",IFERROR(INDEX(ENVIOS!$C$4:$C$3003,MATCH($D1243,ENVIOS!$A$4:$A$3003,0)),""))</f>
        <v/>
      </c>
      <c r="M1243" s="50" t="n"/>
      <c r="N1243" s="28">
        <f>IF($M1243="","",IFERROR(INDEX(CONFIG!$C$4:$C$63,MATCH($M1243,CONFIG!$A$4:$A$63,0)),"Media"))</f>
        <v/>
      </c>
      <c r="O1243" s="28">
        <f>IF($M1243="","",IF($C1243="Interna","NO",IFERROR(INDEX(CONFIG!$E$4:$E$63,MATCH($M1243,CONFIG!$A$4:$A$63,0)),"NO")))</f>
        <v/>
      </c>
      <c r="P1243" s="50" t="n"/>
      <c r="Q1243" s="50" t="n"/>
      <c r="R1243" s="28">
        <f>IF($Q1243="","",IFERROR(INDEX(CONFIG!$H$4:$H$63,MATCH($Q1243,CONFIG!$G$4:$G$63,0)),"Por definir"))</f>
        <v/>
      </c>
      <c r="S1243" s="28">
        <f>IF($Q1243="","",IFERROR(INDEX(CONFIG!$I$4:$I$63,MATCH($Q1243,CONFIG!$G$4:$G$63,0)),"Por definir"))</f>
        <v/>
      </c>
      <c r="T1243" s="51" t="n"/>
      <c r="U1243" s="52" t="n"/>
      <c r="V1243" s="50" t="n"/>
      <c r="W1243" s="50" t="n"/>
      <c r="X1243" s="49">
        <f>IF(OR($B1243="",$M1243=""),"",WORKDAY($B1243,IFERROR(INDEX(CONFIG!$D$4:$D$63,MATCH($M1243,CONFIG!$A$4:$A$63,0)),3)))</f>
        <v/>
      </c>
      <c r="Y1243" s="47" t="n"/>
      <c r="Z1243" s="24">
        <f>IF($B1243="","",IF($Y1243&lt;&gt;"",$Y1243-$B1243,TODAY()-$B1243))</f>
        <v/>
      </c>
      <c r="AA1243" s="28">
        <f>IF($B1243="","",IF(IFERROR(INDEX(CONFIG!$L$4:$L$63,MATCH($V1243,CONFIG!$K$4:$K$63,0)),"NO")="SÍ",IF(OR($Y1243="",$X1243=""),"Resuelta",IF($Y1243&gt;$X1243,"Resuelta tarde","Resuelta a tiempo")),IF($X1243="","Sin clasificar",IF(TODAY()&gt;$X1243,"Vencida",IF(TODAY()&gt;=$X1243-1,"Por vencer","En plazo")))))</f>
        <v/>
      </c>
      <c r="AB1243" s="50" t="n"/>
      <c r="AC1243" s="50" t="n"/>
    </row>
    <row r="1244" ht="16" customHeight="1">
      <c r="A1244" s="28">
        <f>IF($B1244="","","N-"&amp;TEXT(ROW()-3,"0000"))</f>
        <v/>
      </c>
      <c r="B1244" s="47" t="n"/>
      <c r="C1244" s="48" t="n"/>
      <c r="D1244" s="48" t="n"/>
      <c r="E1244" s="28">
        <f>IF($C1244="","",IF($D1244="",IF($C1244="Interna","Sin guía (interna)","FALTA GUÍA"),IF(COUNTIFS(ENVIOS!$A$4:$A$3003,$D1244)=0,"NO EXISTE",IF(COUNTIFS(ENVIOS!$A$4:$A$3003,$D1244)&gt;1,"DUPLICADA","OK"))))</f>
        <v/>
      </c>
      <c r="F1244" s="28">
        <f>IF($D1244="","",IFERROR(INDEX(ENVIOS!$B$4:$B$3003,MATCH($D1244,ENVIOS!$A$4:$A$3003,0)),"—"))</f>
        <v/>
      </c>
      <c r="G1244" s="23">
        <f>IF($D1244="","",IFERROR(INDEX(ENVIOS!$D$4:$D$3003,MATCH($D1244,ENVIOS!$A$4:$A$3003,0)),"—"))</f>
        <v/>
      </c>
      <c r="H1244" s="23">
        <f>IF($D1244="","",IFERROR(INDEX(ENVIOS!$E$4:$E$3003,MATCH($D1244,ENVIOS!$A$4:$A$3003,0)),"—"))</f>
        <v/>
      </c>
      <c r="I1244" s="23">
        <f>IF($D1244="","",IFERROR(INDEX(ENVIOS!$F$4:$F$3003,MATCH($D1244,ENVIOS!$A$4:$A$3003,0)),"—"))</f>
        <v/>
      </c>
      <c r="J1244" s="23">
        <f>IF($D1244="","",IFERROR(INDEX(ENVIOS!$G$4:$G$3003,MATCH($D1244,ENVIOS!$A$4:$A$3003,0)),"—"))</f>
        <v/>
      </c>
      <c r="K1244" s="28">
        <f>IF($D1244="","",IFERROR(INDEX(ENVIOS!$H$4:$H$3003,MATCH($D1244,ENVIOS!$A$4:$A$3003,0)),"—"))</f>
        <v/>
      </c>
      <c r="L1244" s="49">
        <f>IF($D1244="","",IFERROR(INDEX(ENVIOS!$C$4:$C$3003,MATCH($D1244,ENVIOS!$A$4:$A$3003,0)),""))</f>
        <v/>
      </c>
      <c r="M1244" s="50" t="n"/>
      <c r="N1244" s="28">
        <f>IF($M1244="","",IFERROR(INDEX(CONFIG!$C$4:$C$63,MATCH($M1244,CONFIG!$A$4:$A$63,0)),"Media"))</f>
        <v/>
      </c>
      <c r="O1244" s="28">
        <f>IF($M1244="","",IF($C1244="Interna","NO",IFERROR(INDEX(CONFIG!$E$4:$E$63,MATCH($M1244,CONFIG!$A$4:$A$63,0)),"NO")))</f>
        <v/>
      </c>
      <c r="P1244" s="50" t="n"/>
      <c r="Q1244" s="50" t="n"/>
      <c r="R1244" s="28">
        <f>IF($Q1244="","",IFERROR(INDEX(CONFIG!$H$4:$H$63,MATCH($Q1244,CONFIG!$G$4:$G$63,0)),"Por definir"))</f>
        <v/>
      </c>
      <c r="S1244" s="28">
        <f>IF($Q1244="","",IFERROR(INDEX(CONFIG!$I$4:$I$63,MATCH($Q1244,CONFIG!$G$4:$G$63,0)),"Por definir"))</f>
        <v/>
      </c>
      <c r="T1244" s="51" t="n"/>
      <c r="U1244" s="52" t="n"/>
      <c r="V1244" s="50" t="n"/>
      <c r="W1244" s="50" t="n"/>
      <c r="X1244" s="49">
        <f>IF(OR($B1244="",$M1244=""),"",WORKDAY($B1244,IFERROR(INDEX(CONFIG!$D$4:$D$63,MATCH($M1244,CONFIG!$A$4:$A$63,0)),3)))</f>
        <v/>
      </c>
      <c r="Y1244" s="47" t="n"/>
      <c r="Z1244" s="24">
        <f>IF($B1244="","",IF($Y1244&lt;&gt;"",$Y1244-$B1244,TODAY()-$B1244))</f>
        <v/>
      </c>
      <c r="AA1244" s="28">
        <f>IF($B1244="","",IF(IFERROR(INDEX(CONFIG!$L$4:$L$63,MATCH($V1244,CONFIG!$K$4:$K$63,0)),"NO")="SÍ",IF(OR($Y1244="",$X1244=""),"Resuelta",IF($Y1244&gt;$X1244,"Resuelta tarde","Resuelta a tiempo")),IF($X1244="","Sin clasificar",IF(TODAY()&gt;$X1244,"Vencida",IF(TODAY()&gt;=$X1244-1,"Por vencer","En plazo")))))</f>
        <v/>
      </c>
      <c r="AB1244" s="50" t="n"/>
      <c r="AC1244" s="50" t="n"/>
    </row>
    <row r="1245" ht="16" customHeight="1">
      <c r="A1245" s="28">
        <f>IF($B1245="","","N-"&amp;TEXT(ROW()-3,"0000"))</f>
        <v/>
      </c>
      <c r="B1245" s="47" t="n"/>
      <c r="C1245" s="48" t="n"/>
      <c r="D1245" s="48" t="n"/>
      <c r="E1245" s="28">
        <f>IF($C1245="","",IF($D1245="",IF($C1245="Interna","Sin guía (interna)","FALTA GUÍA"),IF(COUNTIFS(ENVIOS!$A$4:$A$3003,$D1245)=0,"NO EXISTE",IF(COUNTIFS(ENVIOS!$A$4:$A$3003,$D1245)&gt;1,"DUPLICADA","OK"))))</f>
        <v/>
      </c>
      <c r="F1245" s="28">
        <f>IF($D1245="","",IFERROR(INDEX(ENVIOS!$B$4:$B$3003,MATCH($D1245,ENVIOS!$A$4:$A$3003,0)),"—"))</f>
        <v/>
      </c>
      <c r="G1245" s="23">
        <f>IF($D1245="","",IFERROR(INDEX(ENVIOS!$D$4:$D$3003,MATCH($D1245,ENVIOS!$A$4:$A$3003,0)),"—"))</f>
        <v/>
      </c>
      <c r="H1245" s="23">
        <f>IF($D1245="","",IFERROR(INDEX(ENVIOS!$E$4:$E$3003,MATCH($D1245,ENVIOS!$A$4:$A$3003,0)),"—"))</f>
        <v/>
      </c>
      <c r="I1245" s="23">
        <f>IF($D1245="","",IFERROR(INDEX(ENVIOS!$F$4:$F$3003,MATCH($D1245,ENVIOS!$A$4:$A$3003,0)),"—"))</f>
        <v/>
      </c>
      <c r="J1245" s="23">
        <f>IF($D1245="","",IFERROR(INDEX(ENVIOS!$G$4:$G$3003,MATCH($D1245,ENVIOS!$A$4:$A$3003,0)),"—"))</f>
        <v/>
      </c>
      <c r="K1245" s="28">
        <f>IF($D1245="","",IFERROR(INDEX(ENVIOS!$H$4:$H$3003,MATCH($D1245,ENVIOS!$A$4:$A$3003,0)),"—"))</f>
        <v/>
      </c>
      <c r="L1245" s="49">
        <f>IF($D1245="","",IFERROR(INDEX(ENVIOS!$C$4:$C$3003,MATCH($D1245,ENVIOS!$A$4:$A$3003,0)),""))</f>
        <v/>
      </c>
      <c r="M1245" s="50" t="n"/>
      <c r="N1245" s="28">
        <f>IF($M1245="","",IFERROR(INDEX(CONFIG!$C$4:$C$63,MATCH($M1245,CONFIG!$A$4:$A$63,0)),"Media"))</f>
        <v/>
      </c>
      <c r="O1245" s="28">
        <f>IF($M1245="","",IF($C1245="Interna","NO",IFERROR(INDEX(CONFIG!$E$4:$E$63,MATCH($M1245,CONFIG!$A$4:$A$63,0)),"NO")))</f>
        <v/>
      </c>
      <c r="P1245" s="50" t="n"/>
      <c r="Q1245" s="50" t="n"/>
      <c r="R1245" s="28">
        <f>IF($Q1245="","",IFERROR(INDEX(CONFIG!$H$4:$H$63,MATCH($Q1245,CONFIG!$G$4:$G$63,0)),"Por definir"))</f>
        <v/>
      </c>
      <c r="S1245" s="28">
        <f>IF($Q1245="","",IFERROR(INDEX(CONFIG!$I$4:$I$63,MATCH($Q1245,CONFIG!$G$4:$G$63,0)),"Por definir"))</f>
        <v/>
      </c>
      <c r="T1245" s="51" t="n"/>
      <c r="U1245" s="52" t="n"/>
      <c r="V1245" s="50" t="n"/>
      <c r="W1245" s="50" t="n"/>
      <c r="X1245" s="49">
        <f>IF(OR($B1245="",$M1245=""),"",WORKDAY($B1245,IFERROR(INDEX(CONFIG!$D$4:$D$63,MATCH($M1245,CONFIG!$A$4:$A$63,0)),3)))</f>
        <v/>
      </c>
      <c r="Y1245" s="47" t="n"/>
      <c r="Z1245" s="24">
        <f>IF($B1245="","",IF($Y1245&lt;&gt;"",$Y1245-$B1245,TODAY()-$B1245))</f>
        <v/>
      </c>
      <c r="AA1245" s="28">
        <f>IF($B1245="","",IF(IFERROR(INDEX(CONFIG!$L$4:$L$63,MATCH($V1245,CONFIG!$K$4:$K$63,0)),"NO")="SÍ",IF(OR($Y1245="",$X1245=""),"Resuelta",IF($Y1245&gt;$X1245,"Resuelta tarde","Resuelta a tiempo")),IF($X1245="","Sin clasificar",IF(TODAY()&gt;$X1245,"Vencida",IF(TODAY()&gt;=$X1245-1,"Por vencer","En plazo")))))</f>
        <v/>
      </c>
      <c r="AB1245" s="50" t="n"/>
      <c r="AC1245" s="50" t="n"/>
    </row>
    <row r="1246" ht="16" customHeight="1">
      <c r="A1246" s="28">
        <f>IF($B1246="","","N-"&amp;TEXT(ROW()-3,"0000"))</f>
        <v/>
      </c>
      <c r="B1246" s="47" t="n"/>
      <c r="C1246" s="48" t="n"/>
      <c r="D1246" s="48" t="n"/>
      <c r="E1246" s="28">
        <f>IF($C1246="","",IF($D1246="",IF($C1246="Interna","Sin guía (interna)","FALTA GUÍA"),IF(COUNTIFS(ENVIOS!$A$4:$A$3003,$D1246)=0,"NO EXISTE",IF(COUNTIFS(ENVIOS!$A$4:$A$3003,$D1246)&gt;1,"DUPLICADA","OK"))))</f>
        <v/>
      </c>
      <c r="F1246" s="28">
        <f>IF($D1246="","",IFERROR(INDEX(ENVIOS!$B$4:$B$3003,MATCH($D1246,ENVIOS!$A$4:$A$3003,0)),"—"))</f>
        <v/>
      </c>
      <c r="G1246" s="23">
        <f>IF($D1246="","",IFERROR(INDEX(ENVIOS!$D$4:$D$3003,MATCH($D1246,ENVIOS!$A$4:$A$3003,0)),"—"))</f>
        <v/>
      </c>
      <c r="H1246" s="23">
        <f>IF($D1246="","",IFERROR(INDEX(ENVIOS!$E$4:$E$3003,MATCH($D1246,ENVIOS!$A$4:$A$3003,0)),"—"))</f>
        <v/>
      </c>
      <c r="I1246" s="23">
        <f>IF($D1246="","",IFERROR(INDEX(ENVIOS!$F$4:$F$3003,MATCH($D1246,ENVIOS!$A$4:$A$3003,0)),"—"))</f>
        <v/>
      </c>
      <c r="J1246" s="23">
        <f>IF($D1246="","",IFERROR(INDEX(ENVIOS!$G$4:$G$3003,MATCH($D1246,ENVIOS!$A$4:$A$3003,0)),"—"))</f>
        <v/>
      </c>
      <c r="K1246" s="28">
        <f>IF($D1246="","",IFERROR(INDEX(ENVIOS!$H$4:$H$3003,MATCH($D1246,ENVIOS!$A$4:$A$3003,0)),"—"))</f>
        <v/>
      </c>
      <c r="L1246" s="49">
        <f>IF($D1246="","",IFERROR(INDEX(ENVIOS!$C$4:$C$3003,MATCH($D1246,ENVIOS!$A$4:$A$3003,0)),""))</f>
        <v/>
      </c>
      <c r="M1246" s="50" t="n"/>
      <c r="N1246" s="28">
        <f>IF($M1246="","",IFERROR(INDEX(CONFIG!$C$4:$C$63,MATCH($M1246,CONFIG!$A$4:$A$63,0)),"Media"))</f>
        <v/>
      </c>
      <c r="O1246" s="28">
        <f>IF($M1246="","",IF($C1246="Interna","NO",IFERROR(INDEX(CONFIG!$E$4:$E$63,MATCH($M1246,CONFIG!$A$4:$A$63,0)),"NO")))</f>
        <v/>
      </c>
      <c r="P1246" s="50" t="n"/>
      <c r="Q1246" s="50" t="n"/>
      <c r="R1246" s="28">
        <f>IF($Q1246="","",IFERROR(INDEX(CONFIG!$H$4:$H$63,MATCH($Q1246,CONFIG!$G$4:$G$63,0)),"Por definir"))</f>
        <v/>
      </c>
      <c r="S1246" s="28">
        <f>IF($Q1246="","",IFERROR(INDEX(CONFIG!$I$4:$I$63,MATCH($Q1246,CONFIG!$G$4:$G$63,0)),"Por definir"))</f>
        <v/>
      </c>
      <c r="T1246" s="51" t="n"/>
      <c r="U1246" s="52" t="n"/>
      <c r="V1246" s="50" t="n"/>
      <c r="W1246" s="50" t="n"/>
      <c r="X1246" s="49">
        <f>IF(OR($B1246="",$M1246=""),"",WORKDAY($B1246,IFERROR(INDEX(CONFIG!$D$4:$D$63,MATCH($M1246,CONFIG!$A$4:$A$63,0)),3)))</f>
        <v/>
      </c>
      <c r="Y1246" s="47" t="n"/>
      <c r="Z1246" s="24">
        <f>IF($B1246="","",IF($Y1246&lt;&gt;"",$Y1246-$B1246,TODAY()-$B1246))</f>
        <v/>
      </c>
      <c r="AA1246" s="28">
        <f>IF($B1246="","",IF(IFERROR(INDEX(CONFIG!$L$4:$L$63,MATCH($V1246,CONFIG!$K$4:$K$63,0)),"NO")="SÍ",IF(OR($Y1246="",$X1246=""),"Resuelta",IF($Y1246&gt;$X1246,"Resuelta tarde","Resuelta a tiempo")),IF($X1246="","Sin clasificar",IF(TODAY()&gt;$X1246,"Vencida",IF(TODAY()&gt;=$X1246-1,"Por vencer","En plazo")))))</f>
        <v/>
      </c>
      <c r="AB1246" s="50" t="n"/>
      <c r="AC1246" s="50" t="n"/>
    </row>
    <row r="1247" ht="16" customHeight="1">
      <c r="A1247" s="28">
        <f>IF($B1247="","","N-"&amp;TEXT(ROW()-3,"0000"))</f>
        <v/>
      </c>
      <c r="B1247" s="47" t="n"/>
      <c r="C1247" s="48" t="n"/>
      <c r="D1247" s="48" t="n"/>
      <c r="E1247" s="28">
        <f>IF($C1247="","",IF($D1247="",IF($C1247="Interna","Sin guía (interna)","FALTA GUÍA"),IF(COUNTIFS(ENVIOS!$A$4:$A$3003,$D1247)=0,"NO EXISTE",IF(COUNTIFS(ENVIOS!$A$4:$A$3003,$D1247)&gt;1,"DUPLICADA","OK"))))</f>
        <v/>
      </c>
      <c r="F1247" s="28">
        <f>IF($D1247="","",IFERROR(INDEX(ENVIOS!$B$4:$B$3003,MATCH($D1247,ENVIOS!$A$4:$A$3003,0)),"—"))</f>
        <v/>
      </c>
      <c r="G1247" s="23">
        <f>IF($D1247="","",IFERROR(INDEX(ENVIOS!$D$4:$D$3003,MATCH($D1247,ENVIOS!$A$4:$A$3003,0)),"—"))</f>
        <v/>
      </c>
      <c r="H1247" s="23">
        <f>IF($D1247="","",IFERROR(INDEX(ENVIOS!$E$4:$E$3003,MATCH($D1247,ENVIOS!$A$4:$A$3003,0)),"—"))</f>
        <v/>
      </c>
      <c r="I1247" s="23">
        <f>IF($D1247="","",IFERROR(INDEX(ENVIOS!$F$4:$F$3003,MATCH($D1247,ENVIOS!$A$4:$A$3003,0)),"—"))</f>
        <v/>
      </c>
      <c r="J1247" s="23">
        <f>IF($D1247="","",IFERROR(INDEX(ENVIOS!$G$4:$G$3003,MATCH($D1247,ENVIOS!$A$4:$A$3003,0)),"—"))</f>
        <v/>
      </c>
      <c r="K1247" s="28">
        <f>IF($D1247="","",IFERROR(INDEX(ENVIOS!$H$4:$H$3003,MATCH($D1247,ENVIOS!$A$4:$A$3003,0)),"—"))</f>
        <v/>
      </c>
      <c r="L1247" s="49">
        <f>IF($D1247="","",IFERROR(INDEX(ENVIOS!$C$4:$C$3003,MATCH($D1247,ENVIOS!$A$4:$A$3003,0)),""))</f>
        <v/>
      </c>
      <c r="M1247" s="50" t="n"/>
      <c r="N1247" s="28">
        <f>IF($M1247="","",IFERROR(INDEX(CONFIG!$C$4:$C$63,MATCH($M1247,CONFIG!$A$4:$A$63,0)),"Media"))</f>
        <v/>
      </c>
      <c r="O1247" s="28">
        <f>IF($M1247="","",IF($C1247="Interna","NO",IFERROR(INDEX(CONFIG!$E$4:$E$63,MATCH($M1247,CONFIG!$A$4:$A$63,0)),"NO")))</f>
        <v/>
      </c>
      <c r="P1247" s="50" t="n"/>
      <c r="Q1247" s="50" t="n"/>
      <c r="R1247" s="28">
        <f>IF($Q1247="","",IFERROR(INDEX(CONFIG!$H$4:$H$63,MATCH($Q1247,CONFIG!$G$4:$G$63,0)),"Por definir"))</f>
        <v/>
      </c>
      <c r="S1247" s="28">
        <f>IF($Q1247="","",IFERROR(INDEX(CONFIG!$I$4:$I$63,MATCH($Q1247,CONFIG!$G$4:$G$63,0)),"Por definir"))</f>
        <v/>
      </c>
      <c r="T1247" s="51" t="n"/>
      <c r="U1247" s="52" t="n"/>
      <c r="V1247" s="50" t="n"/>
      <c r="W1247" s="50" t="n"/>
      <c r="X1247" s="49">
        <f>IF(OR($B1247="",$M1247=""),"",WORKDAY($B1247,IFERROR(INDEX(CONFIG!$D$4:$D$63,MATCH($M1247,CONFIG!$A$4:$A$63,0)),3)))</f>
        <v/>
      </c>
      <c r="Y1247" s="47" t="n"/>
      <c r="Z1247" s="24">
        <f>IF($B1247="","",IF($Y1247&lt;&gt;"",$Y1247-$B1247,TODAY()-$B1247))</f>
        <v/>
      </c>
      <c r="AA1247" s="28">
        <f>IF($B1247="","",IF(IFERROR(INDEX(CONFIG!$L$4:$L$63,MATCH($V1247,CONFIG!$K$4:$K$63,0)),"NO")="SÍ",IF(OR($Y1247="",$X1247=""),"Resuelta",IF($Y1247&gt;$X1247,"Resuelta tarde","Resuelta a tiempo")),IF($X1247="","Sin clasificar",IF(TODAY()&gt;$X1247,"Vencida",IF(TODAY()&gt;=$X1247-1,"Por vencer","En plazo")))))</f>
        <v/>
      </c>
      <c r="AB1247" s="50" t="n"/>
      <c r="AC1247" s="50" t="n"/>
    </row>
    <row r="1248" ht="16" customHeight="1">
      <c r="A1248" s="28">
        <f>IF($B1248="","","N-"&amp;TEXT(ROW()-3,"0000"))</f>
        <v/>
      </c>
      <c r="B1248" s="47" t="n"/>
      <c r="C1248" s="48" t="n"/>
      <c r="D1248" s="48" t="n"/>
      <c r="E1248" s="28">
        <f>IF($C1248="","",IF($D1248="",IF($C1248="Interna","Sin guía (interna)","FALTA GUÍA"),IF(COUNTIFS(ENVIOS!$A$4:$A$3003,$D1248)=0,"NO EXISTE",IF(COUNTIFS(ENVIOS!$A$4:$A$3003,$D1248)&gt;1,"DUPLICADA","OK"))))</f>
        <v/>
      </c>
      <c r="F1248" s="28">
        <f>IF($D1248="","",IFERROR(INDEX(ENVIOS!$B$4:$B$3003,MATCH($D1248,ENVIOS!$A$4:$A$3003,0)),"—"))</f>
        <v/>
      </c>
      <c r="G1248" s="23">
        <f>IF($D1248="","",IFERROR(INDEX(ENVIOS!$D$4:$D$3003,MATCH($D1248,ENVIOS!$A$4:$A$3003,0)),"—"))</f>
        <v/>
      </c>
      <c r="H1248" s="23">
        <f>IF($D1248="","",IFERROR(INDEX(ENVIOS!$E$4:$E$3003,MATCH($D1248,ENVIOS!$A$4:$A$3003,0)),"—"))</f>
        <v/>
      </c>
      <c r="I1248" s="23">
        <f>IF($D1248="","",IFERROR(INDEX(ENVIOS!$F$4:$F$3003,MATCH($D1248,ENVIOS!$A$4:$A$3003,0)),"—"))</f>
        <v/>
      </c>
      <c r="J1248" s="23">
        <f>IF($D1248="","",IFERROR(INDEX(ENVIOS!$G$4:$G$3003,MATCH($D1248,ENVIOS!$A$4:$A$3003,0)),"—"))</f>
        <v/>
      </c>
      <c r="K1248" s="28">
        <f>IF($D1248="","",IFERROR(INDEX(ENVIOS!$H$4:$H$3003,MATCH($D1248,ENVIOS!$A$4:$A$3003,0)),"—"))</f>
        <v/>
      </c>
      <c r="L1248" s="49">
        <f>IF($D1248="","",IFERROR(INDEX(ENVIOS!$C$4:$C$3003,MATCH($D1248,ENVIOS!$A$4:$A$3003,0)),""))</f>
        <v/>
      </c>
      <c r="M1248" s="50" t="n"/>
      <c r="N1248" s="28">
        <f>IF($M1248="","",IFERROR(INDEX(CONFIG!$C$4:$C$63,MATCH($M1248,CONFIG!$A$4:$A$63,0)),"Media"))</f>
        <v/>
      </c>
      <c r="O1248" s="28">
        <f>IF($M1248="","",IF($C1248="Interna","NO",IFERROR(INDEX(CONFIG!$E$4:$E$63,MATCH($M1248,CONFIG!$A$4:$A$63,0)),"NO")))</f>
        <v/>
      </c>
      <c r="P1248" s="50" t="n"/>
      <c r="Q1248" s="50" t="n"/>
      <c r="R1248" s="28">
        <f>IF($Q1248="","",IFERROR(INDEX(CONFIG!$H$4:$H$63,MATCH($Q1248,CONFIG!$G$4:$G$63,0)),"Por definir"))</f>
        <v/>
      </c>
      <c r="S1248" s="28">
        <f>IF($Q1248="","",IFERROR(INDEX(CONFIG!$I$4:$I$63,MATCH($Q1248,CONFIG!$G$4:$G$63,0)),"Por definir"))</f>
        <v/>
      </c>
      <c r="T1248" s="51" t="n"/>
      <c r="U1248" s="52" t="n"/>
      <c r="V1248" s="50" t="n"/>
      <c r="W1248" s="50" t="n"/>
      <c r="X1248" s="49">
        <f>IF(OR($B1248="",$M1248=""),"",WORKDAY($B1248,IFERROR(INDEX(CONFIG!$D$4:$D$63,MATCH($M1248,CONFIG!$A$4:$A$63,0)),3)))</f>
        <v/>
      </c>
      <c r="Y1248" s="47" t="n"/>
      <c r="Z1248" s="24">
        <f>IF($B1248="","",IF($Y1248&lt;&gt;"",$Y1248-$B1248,TODAY()-$B1248))</f>
        <v/>
      </c>
      <c r="AA1248" s="28">
        <f>IF($B1248="","",IF(IFERROR(INDEX(CONFIG!$L$4:$L$63,MATCH($V1248,CONFIG!$K$4:$K$63,0)),"NO")="SÍ",IF(OR($Y1248="",$X1248=""),"Resuelta",IF($Y1248&gt;$X1248,"Resuelta tarde","Resuelta a tiempo")),IF($X1248="","Sin clasificar",IF(TODAY()&gt;$X1248,"Vencida",IF(TODAY()&gt;=$X1248-1,"Por vencer","En plazo")))))</f>
        <v/>
      </c>
      <c r="AB1248" s="50" t="n"/>
      <c r="AC1248" s="50" t="n"/>
    </row>
    <row r="1249" ht="16" customHeight="1">
      <c r="A1249" s="28">
        <f>IF($B1249="","","N-"&amp;TEXT(ROW()-3,"0000"))</f>
        <v/>
      </c>
      <c r="B1249" s="47" t="n"/>
      <c r="C1249" s="48" t="n"/>
      <c r="D1249" s="48" t="n"/>
      <c r="E1249" s="28">
        <f>IF($C1249="","",IF($D1249="",IF($C1249="Interna","Sin guía (interna)","FALTA GUÍA"),IF(COUNTIFS(ENVIOS!$A$4:$A$3003,$D1249)=0,"NO EXISTE",IF(COUNTIFS(ENVIOS!$A$4:$A$3003,$D1249)&gt;1,"DUPLICADA","OK"))))</f>
        <v/>
      </c>
      <c r="F1249" s="28">
        <f>IF($D1249="","",IFERROR(INDEX(ENVIOS!$B$4:$B$3003,MATCH($D1249,ENVIOS!$A$4:$A$3003,0)),"—"))</f>
        <v/>
      </c>
      <c r="G1249" s="23">
        <f>IF($D1249="","",IFERROR(INDEX(ENVIOS!$D$4:$D$3003,MATCH($D1249,ENVIOS!$A$4:$A$3003,0)),"—"))</f>
        <v/>
      </c>
      <c r="H1249" s="23">
        <f>IF($D1249="","",IFERROR(INDEX(ENVIOS!$E$4:$E$3003,MATCH($D1249,ENVIOS!$A$4:$A$3003,0)),"—"))</f>
        <v/>
      </c>
      <c r="I1249" s="23">
        <f>IF($D1249="","",IFERROR(INDEX(ENVIOS!$F$4:$F$3003,MATCH($D1249,ENVIOS!$A$4:$A$3003,0)),"—"))</f>
        <v/>
      </c>
      <c r="J1249" s="23">
        <f>IF($D1249="","",IFERROR(INDEX(ENVIOS!$G$4:$G$3003,MATCH($D1249,ENVIOS!$A$4:$A$3003,0)),"—"))</f>
        <v/>
      </c>
      <c r="K1249" s="28">
        <f>IF($D1249="","",IFERROR(INDEX(ENVIOS!$H$4:$H$3003,MATCH($D1249,ENVIOS!$A$4:$A$3003,0)),"—"))</f>
        <v/>
      </c>
      <c r="L1249" s="49">
        <f>IF($D1249="","",IFERROR(INDEX(ENVIOS!$C$4:$C$3003,MATCH($D1249,ENVIOS!$A$4:$A$3003,0)),""))</f>
        <v/>
      </c>
      <c r="M1249" s="50" t="n"/>
      <c r="N1249" s="28">
        <f>IF($M1249="","",IFERROR(INDEX(CONFIG!$C$4:$C$63,MATCH($M1249,CONFIG!$A$4:$A$63,0)),"Media"))</f>
        <v/>
      </c>
      <c r="O1249" s="28">
        <f>IF($M1249="","",IF($C1249="Interna","NO",IFERROR(INDEX(CONFIG!$E$4:$E$63,MATCH($M1249,CONFIG!$A$4:$A$63,0)),"NO")))</f>
        <v/>
      </c>
      <c r="P1249" s="50" t="n"/>
      <c r="Q1249" s="50" t="n"/>
      <c r="R1249" s="28">
        <f>IF($Q1249="","",IFERROR(INDEX(CONFIG!$H$4:$H$63,MATCH($Q1249,CONFIG!$G$4:$G$63,0)),"Por definir"))</f>
        <v/>
      </c>
      <c r="S1249" s="28">
        <f>IF($Q1249="","",IFERROR(INDEX(CONFIG!$I$4:$I$63,MATCH($Q1249,CONFIG!$G$4:$G$63,0)),"Por definir"))</f>
        <v/>
      </c>
      <c r="T1249" s="51" t="n"/>
      <c r="U1249" s="52" t="n"/>
      <c r="V1249" s="50" t="n"/>
      <c r="W1249" s="50" t="n"/>
      <c r="X1249" s="49">
        <f>IF(OR($B1249="",$M1249=""),"",WORKDAY($B1249,IFERROR(INDEX(CONFIG!$D$4:$D$63,MATCH($M1249,CONFIG!$A$4:$A$63,0)),3)))</f>
        <v/>
      </c>
      <c r="Y1249" s="47" t="n"/>
      <c r="Z1249" s="24">
        <f>IF($B1249="","",IF($Y1249&lt;&gt;"",$Y1249-$B1249,TODAY()-$B1249))</f>
        <v/>
      </c>
      <c r="AA1249" s="28">
        <f>IF($B1249="","",IF(IFERROR(INDEX(CONFIG!$L$4:$L$63,MATCH($V1249,CONFIG!$K$4:$K$63,0)),"NO")="SÍ",IF(OR($Y1249="",$X1249=""),"Resuelta",IF($Y1249&gt;$X1249,"Resuelta tarde","Resuelta a tiempo")),IF($X1249="","Sin clasificar",IF(TODAY()&gt;$X1249,"Vencida",IF(TODAY()&gt;=$X1249-1,"Por vencer","En plazo")))))</f>
        <v/>
      </c>
      <c r="AB1249" s="50" t="n"/>
      <c r="AC1249" s="50" t="n"/>
    </row>
    <row r="1250" ht="16" customHeight="1">
      <c r="A1250" s="28">
        <f>IF($B1250="","","N-"&amp;TEXT(ROW()-3,"0000"))</f>
        <v/>
      </c>
      <c r="B1250" s="47" t="n"/>
      <c r="C1250" s="48" t="n"/>
      <c r="D1250" s="48" t="n"/>
      <c r="E1250" s="28">
        <f>IF($C1250="","",IF($D1250="",IF($C1250="Interna","Sin guía (interna)","FALTA GUÍA"),IF(COUNTIFS(ENVIOS!$A$4:$A$3003,$D1250)=0,"NO EXISTE",IF(COUNTIFS(ENVIOS!$A$4:$A$3003,$D1250)&gt;1,"DUPLICADA","OK"))))</f>
        <v/>
      </c>
      <c r="F1250" s="28">
        <f>IF($D1250="","",IFERROR(INDEX(ENVIOS!$B$4:$B$3003,MATCH($D1250,ENVIOS!$A$4:$A$3003,0)),"—"))</f>
        <v/>
      </c>
      <c r="G1250" s="23">
        <f>IF($D1250="","",IFERROR(INDEX(ENVIOS!$D$4:$D$3003,MATCH($D1250,ENVIOS!$A$4:$A$3003,0)),"—"))</f>
        <v/>
      </c>
      <c r="H1250" s="23">
        <f>IF($D1250="","",IFERROR(INDEX(ENVIOS!$E$4:$E$3003,MATCH($D1250,ENVIOS!$A$4:$A$3003,0)),"—"))</f>
        <v/>
      </c>
      <c r="I1250" s="23">
        <f>IF($D1250="","",IFERROR(INDEX(ENVIOS!$F$4:$F$3003,MATCH($D1250,ENVIOS!$A$4:$A$3003,0)),"—"))</f>
        <v/>
      </c>
      <c r="J1250" s="23">
        <f>IF($D1250="","",IFERROR(INDEX(ENVIOS!$G$4:$G$3003,MATCH($D1250,ENVIOS!$A$4:$A$3003,0)),"—"))</f>
        <v/>
      </c>
      <c r="K1250" s="28">
        <f>IF($D1250="","",IFERROR(INDEX(ENVIOS!$H$4:$H$3003,MATCH($D1250,ENVIOS!$A$4:$A$3003,0)),"—"))</f>
        <v/>
      </c>
      <c r="L1250" s="49">
        <f>IF($D1250="","",IFERROR(INDEX(ENVIOS!$C$4:$C$3003,MATCH($D1250,ENVIOS!$A$4:$A$3003,0)),""))</f>
        <v/>
      </c>
      <c r="M1250" s="50" t="n"/>
      <c r="N1250" s="28">
        <f>IF($M1250="","",IFERROR(INDEX(CONFIG!$C$4:$C$63,MATCH($M1250,CONFIG!$A$4:$A$63,0)),"Media"))</f>
        <v/>
      </c>
      <c r="O1250" s="28">
        <f>IF($M1250="","",IF($C1250="Interna","NO",IFERROR(INDEX(CONFIG!$E$4:$E$63,MATCH($M1250,CONFIG!$A$4:$A$63,0)),"NO")))</f>
        <v/>
      </c>
      <c r="P1250" s="50" t="n"/>
      <c r="Q1250" s="50" t="n"/>
      <c r="R1250" s="28">
        <f>IF($Q1250="","",IFERROR(INDEX(CONFIG!$H$4:$H$63,MATCH($Q1250,CONFIG!$G$4:$G$63,0)),"Por definir"))</f>
        <v/>
      </c>
      <c r="S1250" s="28">
        <f>IF($Q1250="","",IFERROR(INDEX(CONFIG!$I$4:$I$63,MATCH($Q1250,CONFIG!$G$4:$G$63,0)),"Por definir"))</f>
        <v/>
      </c>
      <c r="T1250" s="51" t="n"/>
      <c r="U1250" s="52" t="n"/>
      <c r="V1250" s="50" t="n"/>
      <c r="W1250" s="50" t="n"/>
      <c r="X1250" s="49">
        <f>IF(OR($B1250="",$M1250=""),"",WORKDAY($B1250,IFERROR(INDEX(CONFIG!$D$4:$D$63,MATCH($M1250,CONFIG!$A$4:$A$63,0)),3)))</f>
        <v/>
      </c>
      <c r="Y1250" s="47" t="n"/>
      <c r="Z1250" s="24">
        <f>IF($B1250="","",IF($Y1250&lt;&gt;"",$Y1250-$B1250,TODAY()-$B1250))</f>
        <v/>
      </c>
      <c r="AA1250" s="28">
        <f>IF($B1250="","",IF(IFERROR(INDEX(CONFIG!$L$4:$L$63,MATCH($V1250,CONFIG!$K$4:$K$63,0)),"NO")="SÍ",IF(OR($Y1250="",$X1250=""),"Resuelta",IF($Y1250&gt;$X1250,"Resuelta tarde","Resuelta a tiempo")),IF($X1250="","Sin clasificar",IF(TODAY()&gt;$X1250,"Vencida",IF(TODAY()&gt;=$X1250-1,"Por vencer","En plazo")))))</f>
        <v/>
      </c>
      <c r="AB1250" s="50" t="n"/>
      <c r="AC1250" s="50" t="n"/>
    </row>
    <row r="1251" ht="16" customHeight="1">
      <c r="A1251" s="28">
        <f>IF($B1251="","","N-"&amp;TEXT(ROW()-3,"0000"))</f>
        <v/>
      </c>
      <c r="B1251" s="47" t="n"/>
      <c r="C1251" s="48" t="n"/>
      <c r="D1251" s="48" t="n"/>
      <c r="E1251" s="28">
        <f>IF($C1251="","",IF($D1251="",IF($C1251="Interna","Sin guía (interna)","FALTA GUÍA"),IF(COUNTIFS(ENVIOS!$A$4:$A$3003,$D1251)=0,"NO EXISTE",IF(COUNTIFS(ENVIOS!$A$4:$A$3003,$D1251)&gt;1,"DUPLICADA","OK"))))</f>
        <v/>
      </c>
      <c r="F1251" s="28">
        <f>IF($D1251="","",IFERROR(INDEX(ENVIOS!$B$4:$B$3003,MATCH($D1251,ENVIOS!$A$4:$A$3003,0)),"—"))</f>
        <v/>
      </c>
      <c r="G1251" s="23">
        <f>IF($D1251="","",IFERROR(INDEX(ENVIOS!$D$4:$D$3003,MATCH($D1251,ENVIOS!$A$4:$A$3003,0)),"—"))</f>
        <v/>
      </c>
      <c r="H1251" s="23">
        <f>IF($D1251="","",IFERROR(INDEX(ENVIOS!$E$4:$E$3003,MATCH($D1251,ENVIOS!$A$4:$A$3003,0)),"—"))</f>
        <v/>
      </c>
      <c r="I1251" s="23">
        <f>IF($D1251="","",IFERROR(INDEX(ENVIOS!$F$4:$F$3003,MATCH($D1251,ENVIOS!$A$4:$A$3003,0)),"—"))</f>
        <v/>
      </c>
      <c r="J1251" s="23">
        <f>IF($D1251="","",IFERROR(INDEX(ENVIOS!$G$4:$G$3003,MATCH($D1251,ENVIOS!$A$4:$A$3003,0)),"—"))</f>
        <v/>
      </c>
      <c r="K1251" s="28">
        <f>IF($D1251="","",IFERROR(INDEX(ENVIOS!$H$4:$H$3003,MATCH($D1251,ENVIOS!$A$4:$A$3003,0)),"—"))</f>
        <v/>
      </c>
      <c r="L1251" s="49">
        <f>IF($D1251="","",IFERROR(INDEX(ENVIOS!$C$4:$C$3003,MATCH($D1251,ENVIOS!$A$4:$A$3003,0)),""))</f>
        <v/>
      </c>
      <c r="M1251" s="50" t="n"/>
      <c r="N1251" s="28">
        <f>IF($M1251="","",IFERROR(INDEX(CONFIG!$C$4:$C$63,MATCH($M1251,CONFIG!$A$4:$A$63,0)),"Media"))</f>
        <v/>
      </c>
      <c r="O1251" s="28">
        <f>IF($M1251="","",IF($C1251="Interna","NO",IFERROR(INDEX(CONFIG!$E$4:$E$63,MATCH($M1251,CONFIG!$A$4:$A$63,0)),"NO")))</f>
        <v/>
      </c>
      <c r="P1251" s="50" t="n"/>
      <c r="Q1251" s="50" t="n"/>
      <c r="R1251" s="28">
        <f>IF($Q1251="","",IFERROR(INDEX(CONFIG!$H$4:$H$63,MATCH($Q1251,CONFIG!$G$4:$G$63,0)),"Por definir"))</f>
        <v/>
      </c>
      <c r="S1251" s="28">
        <f>IF($Q1251="","",IFERROR(INDEX(CONFIG!$I$4:$I$63,MATCH($Q1251,CONFIG!$G$4:$G$63,0)),"Por definir"))</f>
        <v/>
      </c>
      <c r="T1251" s="51" t="n"/>
      <c r="U1251" s="52" t="n"/>
      <c r="V1251" s="50" t="n"/>
      <c r="W1251" s="50" t="n"/>
      <c r="X1251" s="49">
        <f>IF(OR($B1251="",$M1251=""),"",WORKDAY($B1251,IFERROR(INDEX(CONFIG!$D$4:$D$63,MATCH($M1251,CONFIG!$A$4:$A$63,0)),3)))</f>
        <v/>
      </c>
      <c r="Y1251" s="47" t="n"/>
      <c r="Z1251" s="24">
        <f>IF($B1251="","",IF($Y1251&lt;&gt;"",$Y1251-$B1251,TODAY()-$B1251))</f>
        <v/>
      </c>
      <c r="AA1251" s="28">
        <f>IF($B1251="","",IF(IFERROR(INDEX(CONFIG!$L$4:$L$63,MATCH($V1251,CONFIG!$K$4:$K$63,0)),"NO")="SÍ",IF(OR($Y1251="",$X1251=""),"Resuelta",IF($Y1251&gt;$X1251,"Resuelta tarde","Resuelta a tiempo")),IF($X1251="","Sin clasificar",IF(TODAY()&gt;$X1251,"Vencida",IF(TODAY()&gt;=$X1251-1,"Por vencer","En plazo")))))</f>
        <v/>
      </c>
      <c r="AB1251" s="50" t="n"/>
      <c r="AC1251" s="50" t="n"/>
    </row>
    <row r="1252" ht="16" customHeight="1">
      <c r="A1252" s="28">
        <f>IF($B1252="","","N-"&amp;TEXT(ROW()-3,"0000"))</f>
        <v/>
      </c>
      <c r="B1252" s="47" t="n"/>
      <c r="C1252" s="48" t="n"/>
      <c r="D1252" s="48" t="n"/>
      <c r="E1252" s="28">
        <f>IF($C1252="","",IF($D1252="",IF($C1252="Interna","Sin guía (interna)","FALTA GUÍA"),IF(COUNTIFS(ENVIOS!$A$4:$A$3003,$D1252)=0,"NO EXISTE",IF(COUNTIFS(ENVIOS!$A$4:$A$3003,$D1252)&gt;1,"DUPLICADA","OK"))))</f>
        <v/>
      </c>
      <c r="F1252" s="28">
        <f>IF($D1252="","",IFERROR(INDEX(ENVIOS!$B$4:$B$3003,MATCH($D1252,ENVIOS!$A$4:$A$3003,0)),"—"))</f>
        <v/>
      </c>
      <c r="G1252" s="23">
        <f>IF($D1252="","",IFERROR(INDEX(ENVIOS!$D$4:$D$3003,MATCH($D1252,ENVIOS!$A$4:$A$3003,0)),"—"))</f>
        <v/>
      </c>
      <c r="H1252" s="23">
        <f>IF($D1252="","",IFERROR(INDEX(ENVIOS!$E$4:$E$3003,MATCH($D1252,ENVIOS!$A$4:$A$3003,0)),"—"))</f>
        <v/>
      </c>
      <c r="I1252" s="23">
        <f>IF($D1252="","",IFERROR(INDEX(ENVIOS!$F$4:$F$3003,MATCH($D1252,ENVIOS!$A$4:$A$3003,0)),"—"))</f>
        <v/>
      </c>
      <c r="J1252" s="23">
        <f>IF($D1252="","",IFERROR(INDEX(ENVIOS!$G$4:$G$3003,MATCH($D1252,ENVIOS!$A$4:$A$3003,0)),"—"))</f>
        <v/>
      </c>
      <c r="K1252" s="28">
        <f>IF($D1252="","",IFERROR(INDEX(ENVIOS!$H$4:$H$3003,MATCH($D1252,ENVIOS!$A$4:$A$3003,0)),"—"))</f>
        <v/>
      </c>
      <c r="L1252" s="49">
        <f>IF($D1252="","",IFERROR(INDEX(ENVIOS!$C$4:$C$3003,MATCH($D1252,ENVIOS!$A$4:$A$3003,0)),""))</f>
        <v/>
      </c>
      <c r="M1252" s="50" t="n"/>
      <c r="N1252" s="28">
        <f>IF($M1252="","",IFERROR(INDEX(CONFIG!$C$4:$C$63,MATCH($M1252,CONFIG!$A$4:$A$63,0)),"Media"))</f>
        <v/>
      </c>
      <c r="O1252" s="28">
        <f>IF($M1252="","",IF($C1252="Interna","NO",IFERROR(INDEX(CONFIG!$E$4:$E$63,MATCH($M1252,CONFIG!$A$4:$A$63,0)),"NO")))</f>
        <v/>
      </c>
      <c r="P1252" s="50" t="n"/>
      <c r="Q1252" s="50" t="n"/>
      <c r="R1252" s="28">
        <f>IF($Q1252="","",IFERROR(INDEX(CONFIG!$H$4:$H$63,MATCH($Q1252,CONFIG!$G$4:$G$63,0)),"Por definir"))</f>
        <v/>
      </c>
      <c r="S1252" s="28">
        <f>IF($Q1252="","",IFERROR(INDEX(CONFIG!$I$4:$I$63,MATCH($Q1252,CONFIG!$G$4:$G$63,0)),"Por definir"))</f>
        <v/>
      </c>
      <c r="T1252" s="51" t="n"/>
      <c r="U1252" s="52" t="n"/>
      <c r="V1252" s="50" t="n"/>
      <c r="W1252" s="50" t="n"/>
      <c r="X1252" s="49">
        <f>IF(OR($B1252="",$M1252=""),"",WORKDAY($B1252,IFERROR(INDEX(CONFIG!$D$4:$D$63,MATCH($M1252,CONFIG!$A$4:$A$63,0)),3)))</f>
        <v/>
      </c>
      <c r="Y1252" s="47" t="n"/>
      <c r="Z1252" s="24">
        <f>IF($B1252="","",IF($Y1252&lt;&gt;"",$Y1252-$B1252,TODAY()-$B1252))</f>
        <v/>
      </c>
      <c r="AA1252" s="28">
        <f>IF($B1252="","",IF(IFERROR(INDEX(CONFIG!$L$4:$L$63,MATCH($V1252,CONFIG!$K$4:$K$63,0)),"NO")="SÍ",IF(OR($Y1252="",$X1252=""),"Resuelta",IF($Y1252&gt;$X1252,"Resuelta tarde","Resuelta a tiempo")),IF($X1252="","Sin clasificar",IF(TODAY()&gt;$X1252,"Vencida",IF(TODAY()&gt;=$X1252-1,"Por vencer","En plazo")))))</f>
        <v/>
      </c>
      <c r="AB1252" s="50" t="n"/>
      <c r="AC1252" s="50" t="n"/>
    </row>
    <row r="1253" ht="16" customHeight="1">
      <c r="A1253" s="28">
        <f>IF($B1253="","","N-"&amp;TEXT(ROW()-3,"0000"))</f>
        <v/>
      </c>
      <c r="B1253" s="47" t="n"/>
      <c r="C1253" s="48" t="n"/>
      <c r="D1253" s="48" t="n"/>
      <c r="E1253" s="28">
        <f>IF($C1253="","",IF($D1253="",IF($C1253="Interna","Sin guía (interna)","FALTA GUÍA"),IF(COUNTIFS(ENVIOS!$A$4:$A$3003,$D1253)=0,"NO EXISTE",IF(COUNTIFS(ENVIOS!$A$4:$A$3003,$D1253)&gt;1,"DUPLICADA","OK"))))</f>
        <v/>
      </c>
      <c r="F1253" s="28">
        <f>IF($D1253="","",IFERROR(INDEX(ENVIOS!$B$4:$B$3003,MATCH($D1253,ENVIOS!$A$4:$A$3003,0)),"—"))</f>
        <v/>
      </c>
      <c r="G1253" s="23">
        <f>IF($D1253="","",IFERROR(INDEX(ENVIOS!$D$4:$D$3003,MATCH($D1253,ENVIOS!$A$4:$A$3003,0)),"—"))</f>
        <v/>
      </c>
      <c r="H1253" s="23">
        <f>IF($D1253="","",IFERROR(INDEX(ENVIOS!$E$4:$E$3003,MATCH($D1253,ENVIOS!$A$4:$A$3003,0)),"—"))</f>
        <v/>
      </c>
      <c r="I1253" s="23">
        <f>IF($D1253="","",IFERROR(INDEX(ENVIOS!$F$4:$F$3003,MATCH($D1253,ENVIOS!$A$4:$A$3003,0)),"—"))</f>
        <v/>
      </c>
      <c r="J1253" s="23">
        <f>IF($D1253="","",IFERROR(INDEX(ENVIOS!$G$4:$G$3003,MATCH($D1253,ENVIOS!$A$4:$A$3003,0)),"—"))</f>
        <v/>
      </c>
      <c r="K1253" s="28">
        <f>IF($D1253="","",IFERROR(INDEX(ENVIOS!$H$4:$H$3003,MATCH($D1253,ENVIOS!$A$4:$A$3003,0)),"—"))</f>
        <v/>
      </c>
      <c r="L1253" s="49">
        <f>IF($D1253="","",IFERROR(INDEX(ENVIOS!$C$4:$C$3003,MATCH($D1253,ENVIOS!$A$4:$A$3003,0)),""))</f>
        <v/>
      </c>
      <c r="M1253" s="50" t="n"/>
      <c r="N1253" s="28">
        <f>IF($M1253="","",IFERROR(INDEX(CONFIG!$C$4:$C$63,MATCH($M1253,CONFIG!$A$4:$A$63,0)),"Media"))</f>
        <v/>
      </c>
      <c r="O1253" s="28">
        <f>IF($M1253="","",IF($C1253="Interna","NO",IFERROR(INDEX(CONFIG!$E$4:$E$63,MATCH($M1253,CONFIG!$A$4:$A$63,0)),"NO")))</f>
        <v/>
      </c>
      <c r="P1253" s="50" t="n"/>
      <c r="Q1253" s="50" t="n"/>
      <c r="R1253" s="28">
        <f>IF($Q1253="","",IFERROR(INDEX(CONFIG!$H$4:$H$63,MATCH($Q1253,CONFIG!$G$4:$G$63,0)),"Por definir"))</f>
        <v/>
      </c>
      <c r="S1253" s="28">
        <f>IF($Q1253="","",IFERROR(INDEX(CONFIG!$I$4:$I$63,MATCH($Q1253,CONFIG!$G$4:$G$63,0)),"Por definir"))</f>
        <v/>
      </c>
      <c r="T1253" s="51" t="n"/>
      <c r="U1253" s="52" t="n"/>
      <c r="V1253" s="50" t="n"/>
      <c r="W1253" s="50" t="n"/>
      <c r="X1253" s="49">
        <f>IF(OR($B1253="",$M1253=""),"",WORKDAY($B1253,IFERROR(INDEX(CONFIG!$D$4:$D$63,MATCH($M1253,CONFIG!$A$4:$A$63,0)),3)))</f>
        <v/>
      </c>
      <c r="Y1253" s="47" t="n"/>
      <c r="Z1253" s="24">
        <f>IF($B1253="","",IF($Y1253&lt;&gt;"",$Y1253-$B1253,TODAY()-$B1253))</f>
        <v/>
      </c>
      <c r="AA1253" s="28">
        <f>IF($B1253="","",IF(IFERROR(INDEX(CONFIG!$L$4:$L$63,MATCH($V1253,CONFIG!$K$4:$K$63,0)),"NO")="SÍ",IF(OR($Y1253="",$X1253=""),"Resuelta",IF($Y1253&gt;$X1253,"Resuelta tarde","Resuelta a tiempo")),IF($X1253="","Sin clasificar",IF(TODAY()&gt;$X1253,"Vencida",IF(TODAY()&gt;=$X1253-1,"Por vencer","En plazo")))))</f>
        <v/>
      </c>
      <c r="AB1253" s="50" t="n"/>
      <c r="AC1253" s="50" t="n"/>
    </row>
    <row r="1254" ht="16" customHeight="1">
      <c r="A1254" s="28">
        <f>IF($B1254="","","N-"&amp;TEXT(ROW()-3,"0000"))</f>
        <v/>
      </c>
      <c r="B1254" s="47" t="n"/>
      <c r="C1254" s="48" t="n"/>
      <c r="D1254" s="48" t="n"/>
      <c r="E1254" s="28">
        <f>IF($C1254="","",IF($D1254="",IF($C1254="Interna","Sin guía (interna)","FALTA GUÍA"),IF(COUNTIFS(ENVIOS!$A$4:$A$3003,$D1254)=0,"NO EXISTE",IF(COUNTIFS(ENVIOS!$A$4:$A$3003,$D1254)&gt;1,"DUPLICADA","OK"))))</f>
        <v/>
      </c>
      <c r="F1254" s="28">
        <f>IF($D1254="","",IFERROR(INDEX(ENVIOS!$B$4:$B$3003,MATCH($D1254,ENVIOS!$A$4:$A$3003,0)),"—"))</f>
        <v/>
      </c>
      <c r="G1254" s="23">
        <f>IF($D1254="","",IFERROR(INDEX(ENVIOS!$D$4:$D$3003,MATCH($D1254,ENVIOS!$A$4:$A$3003,0)),"—"))</f>
        <v/>
      </c>
      <c r="H1254" s="23">
        <f>IF($D1254="","",IFERROR(INDEX(ENVIOS!$E$4:$E$3003,MATCH($D1254,ENVIOS!$A$4:$A$3003,0)),"—"))</f>
        <v/>
      </c>
      <c r="I1254" s="23">
        <f>IF($D1254="","",IFERROR(INDEX(ENVIOS!$F$4:$F$3003,MATCH($D1254,ENVIOS!$A$4:$A$3003,0)),"—"))</f>
        <v/>
      </c>
      <c r="J1254" s="23">
        <f>IF($D1254="","",IFERROR(INDEX(ENVIOS!$G$4:$G$3003,MATCH($D1254,ENVIOS!$A$4:$A$3003,0)),"—"))</f>
        <v/>
      </c>
      <c r="K1254" s="28">
        <f>IF($D1254="","",IFERROR(INDEX(ENVIOS!$H$4:$H$3003,MATCH($D1254,ENVIOS!$A$4:$A$3003,0)),"—"))</f>
        <v/>
      </c>
      <c r="L1254" s="49">
        <f>IF($D1254="","",IFERROR(INDEX(ENVIOS!$C$4:$C$3003,MATCH($D1254,ENVIOS!$A$4:$A$3003,0)),""))</f>
        <v/>
      </c>
      <c r="M1254" s="50" t="n"/>
      <c r="N1254" s="28">
        <f>IF($M1254="","",IFERROR(INDEX(CONFIG!$C$4:$C$63,MATCH($M1254,CONFIG!$A$4:$A$63,0)),"Media"))</f>
        <v/>
      </c>
      <c r="O1254" s="28">
        <f>IF($M1254="","",IF($C1254="Interna","NO",IFERROR(INDEX(CONFIG!$E$4:$E$63,MATCH($M1254,CONFIG!$A$4:$A$63,0)),"NO")))</f>
        <v/>
      </c>
      <c r="P1254" s="50" t="n"/>
      <c r="Q1254" s="50" t="n"/>
      <c r="R1254" s="28">
        <f>IF($Q1254="","",IFERROR(INDEX(CONFIG!$H$4:$H$63,MATCH($Q1254,CONFIG!$G$4:$G$63,0)),"Por definir"))</f>
        <v/>
      </c>
      <c r="S1254" s="28">
        <f>IF($Q1254="","",IFERROR(INDEX(CONFIG!$I$4:$I$63,MATCH($Q1254,CONFIG!$G$4:$G$63,0)),"Por definir"))</f>
        <v/>
      </c>
      <c r="T1254" s="51" t="n"/>
      <c r="U1254" s="52" t="n"/>
      <c r="V1254" s="50" t="n"/>
      <c r="W1254" s="50" t="n"/>
      <c r="X1254" s="49">
        <f>IF(OR($B1254="",$M1254=""),"",WORKDAY($B1254,IFERROR(INDEX(CONFIG!$D$4:$D$63,MATCH($M1254,CONFIG!$A$4:$A$63,0)),3)))</f>
        <v/>
      </c>
      <c r="Y1254" s="47" t="n"/>
      <c r="Z1254" s="24">
        <f>IF($B1254="","",IF($Y1254&lt;&gt;"",$Y1254-$B1254,TODAY()-$B1254))</f>
        <v/>
      </c>
      <c r="AA1254" s="28">
        <f>IF($B1254="","",IF(IFERROR(INDEX(CONFIG!$L$4:$L$63,MATCH($V1254,CONFIG!$K$4:$K$63,0)),"NO")="SÍ",IF(OR($Y1254="",$X1254=""),"Resuelta",IF($Y1254&gt;$X1254,"Resuelta tarde","Resuelta a tiempo")),IF($X1254="","Sin clasificar",IF(TODAY()&gt;$X1254,"Vencida",IF(TODAY()&gt;=$X1254-1,"Por vencer","En plazo")))))</f>
        <v/>
      </c>
      <c r="AB1254" s="50" t="n"/>
      <c r="AC1254" s="50" t="n"/>
    </row>
    <row r="1255" ht="16" customHeight="1">
      <c r="A1255" s="28">
        <f>IF($B1255="","","N-"&amp;TEXT(ROW()-3,"0000"))</f>
        <v/>
      </c>
      <c r="B1255" s="47" t="n"/>
      <c r="C1255" s="48" t="n"/>
      <c r="D1255" s="48" t="n"/>
      <c r="E1255" s="28">
        <f>IF($C1255="","",IF($D1255="",IF($C1255="Interna","Sin guía (interna)","FALTA GUÍA"),IF(COUNTIFS(ENVIOS!$A$4:$A$3003,$D1255)=0,"NO EXISTE",IF(COUNTIFS(ENVIOS!$A$4:$A$3003,$D1255)&gt;1,"DUPLICADA","OK"))))</f>
        <v/>
      </c>
      <c r="F1255" s="28">
        <f>IF($D1255="","",IFERROR(INDEX(ENVIOS!$B$4:$B$3003,MATCH($D1255,ENVIOS!$A$4:$A$3003,0)),"—"))</f>
        <v/>
      </c>
      <c r="G1255" s="23">
        <f>IF($D1255="","",IFERROR(INDEX(ENVIOS!$D$4:$D$3003,MATCH($D1255,ENVIOS!$A$4:$A$3003,0)),"—"))</f>
        <v/>
      </c>
      <c r="H1255" s="23">
        <f>IF($D1255="","",IFERROR(INDEX(ENVIOS!$E$4:$E$3003,MATCH($D1255,ENVIOS!$A$4:$A$3003,0)),"—"))</f>
        <v/>
      </c>
      <c r="I1255" s="23">
        <f>IF($D1255="","",IFERROR(INDEX(ENVIOS!$F$4:$F$3003,MATCH($D1255,ENVIOS!$A$4:$A$3003,0)),"—"))</f>
        <v/>
      </c>
      <c r="J1255" s="23">
        <f>IF($D1255="","",IFERROR(INDEX(ENVIOS!$G$4:$G$3003,MATCH($D1255,ENVIOS!$A$4:$A$3003,0)),"—"))</f>
        <v/>
      </c>
      <c r="K1255" s="28">
        <f>IF($D1255="","",IFERROR(INDEX(ENVIOS!$H$4:$H$3003,MATCH($D1255,ENVIOS!$A$4:$A$3003,0)),"—"))</f>
        <v/>
      </c>
      <c r="L1255" s="49">
        <f>IF($D1255="","",IFERROR(INDEX(ENVIOS!$C$4:$C$3003,MATCH($D1255,ENVIOS!$A$4:$A$3003,0)),""))</f>
        <v/>
      </c>
      <c r="M1255" s="50" t="n"/>
      <c r="N1255" s="28">
        <f>IF($M1255="","",IFERROR(INDEX(CONFIG!$C$4:$C$63,MATCH($M1255,CONFIG!$A$4:$A$63,0)),"Media"))</f>
        <v/>
      </c>
      <c r="O1255" s="28">
        <f>IF($M1255="","",IF($C1255="Interna","NO",IFERROR(INDEX(CONFIG!$E$4:$E$63,MATCH($M1255,CONFIG!$A$4:$A$63,0)),"NO")))</f>
        <v/>
      </c>
      <c r="P1255" s="50" t="n"/>
      <c r="Q1255" s="50" t="n"/>
      <c r="R1255" s="28">
        <f>IF($Q1255="","",IFERROR(INDEX(CONFIG!$H$4:$H$63,MATCH($Q1255,CONFIG!$G$4:$G$63,0)),"Por definir"))</f>
        <v/>
      </c>
      <c r="S1255" s="28">
        <f>IF($Q1255="","",IFERROR(INDEX(CONFIG!$I$4:$I$63,MATCH($Q1255,CONFIG!$G$4:$G$63,0)),"Por definir"))</f>
        <v/>
      </c>
      <c r="T1255" s="51" t="n"/>
      <c r="U1255" s="52" t="n"/>
      <c r="V1255" s="50" t="n"/>
      <c r="W1255" s="50" t="n"/>
      <c r="X1255" s="49">
        <f>IF(OR($B1255="",$M1255=""),"",WORKDAY($B1255,IFERROR(INDEX(CONFIG!$D$4:$D$63,MATCH($M1255,CONFIG!$A$4:$A$63,0)),3)))</f>
        <v/>
      </c>
      <c r="Y1255" s="47" t="n"/>
      <c r="Z1255" s="24">
        <f>IF($B1255="","",IF($Y1255&lt;&gt;"",$Y1255-$B1255,TODAY()-$B1255))</f>
        <v/>
      </c>
      <c r="AA1255" s="28">
        <f>IF($B1255="","",IF(IFERROR(INDEX(CONFIG!$L$4:$L$63,MATCH($V1255,CONFIG!$K$4:$K$63,0)),"NO")="SÍ",IF(OR($Y1255="",$X1255=""),"Resuelta",IF($Y1255&gt;$X1255,"Resuelta tarde","Resuelta a tiempo")),IF($X1255="","Sin clasificar",IF(TODAY()&gt;$X1255,"Vencida",IF(TODAY()&gt;=$X1255-1,"Por vencer","En plazo")))))</f>
        <v/>
      </c>
      <c r="AB1255" s="50" t="n"/>
      <c r="AC1255" s="50" t="n"/>
    </row>
    <row r="1256" ht="16" customHeight="1">
      <c r="A1256" s="28">
        <f>IF($B1256="","","N-"&amp;TEXT(ROW()-3,"0000"))</f>
        <v/>
      </c>
      <c r="B1256" s="47" t="n"/>
      <c r="C1256" s="48" t="n"/>
      <c r="D1256" s="48" t="n"/>
      <c r="E1256" s="28">
        <f>IF($C1256="","",IF($D1256="",IF($C1256="Interna","Sin guía (interna)","FALTA GUÍA"),IF(COUNTIFS(ENVIOS!$A$4:$A$3003,$D1256)=0,"NO EXISTE",IF(COUNTIFS(ENVIOS!$A$4:$A$3003,$D1256)&gt;1,"DUPLICADA","OK"))))</f>
        <v/>
      </c>
      <c r="F1256" s="28">
        <f>IF($D1256="","",IFERROR(INDEX(ENVIOS!$B$4:$B$3003,MATCH($D1256,ENVIOS!$A$4:$A$3003,0)),"—"))</f>
        <v/>
      </c>
      <c r="G1256" s="23">
        <f>IF($D1256="","",IFERROR(INDEX(ENVIOS!$D$4:$D$3003,MATCH($D1256,ENVIOS!$A$4:$A$3003,0)),"—"))</f>
        <v/>
      </c>
      <c r="H1256" s="23">
        <f>IF($D1256="","",IFERROR(INDEX(ENVIOS!$E$4:$E$3003,MATCH($D1256,ENVIOS!$A$4:$A$3003,0)),"—"))</f>
        <v/>
      </c>
      <c r="I1256" s="23">
        <f>IF($D1256="","",IFERROR(INDEX(ENVIOS!$F$4:$F$3003,MATCH($D1256,ENVIOS!$A$4:$A$3003,0)),"—"))</f>
        <v/>
      </c>
      <c r="J1256" s="23">
        <f>IF($D1256="","",IFERROR(INDEX(ENVIOS!$G$4:$G$3003,MATCH($D1256,ENVIOS!$A$4:$A$3003,0)),"—"))</f>
        <v/>
      </c>
      <c r="K1256" s="28">
        <f>IF($D1256="","",IFERROR(INDEX(ENVIOS!$H$4:$H$3003,MATCH($D1256,ENVIOS!$A$4:$A$3003,0)),"—"))</f>
        <v/>
      </c>
      <c r="L1256" s="49">
        <f>IF($D1256="","",IFERROR(INDEX(ENVIOS!$C$4:$C$3003,MATCH($D1256,ENVIOS!$A$4:$A$3003,0)),""))</f>
        <v/>
      </c>
      <c r="M1256" s="50" t="n"/>
      <c r="N1256" s="28">
        <f>IF($M1256="","",IFERROR(INDEX(CONFIG!$C$4:$C$63,MATCH($M1256,CONFIG!$A$4:$A$63,0)),"Media"))</f>
        <v/>
      </c>
      <c r="O1256" s="28">
        <f>IF($M1256="","",IF($C1256="Interna","NO",IFERROR(INDEX(CONFIG!$E$4:$E$63,MATCH($M1256,CONFIG!$A$4:$A$63,0)),"NO")))</f>
        <v/>
      </c>
      <c r="P1256" s="50" t="n"/>
      <c r="Q1256" s="50" t="n"/>
      <c r="R1256" s="28">
        <f>IF($Q1256="","",IFERROR(INDEX(CONFIG!$H$4:$H$63,MATCH($Q1256,CONFIG!$G$4:$G$63,0)),"Por definir"))</f>
        <v/>
      </c>
      <c r="S1256" s="28">
        <f>IF($Q1256="","",IFERROR(INDEX(CONFIG!$I$4:$I$63,MATCH($Q1256,CONFIG!$G$4:$G$63,0)),"Por definir"))</f>
        <v/>
      </c>
      <c r="T1256" s="51" t="n"/>
      <c r="U1256" s="52" t="n"/>
      <c r="V1256" s="50" t="n"/>
      <c r="W1256" s="50" t="n"/>
      <c r="X1256" s="49">
        <f>IF(OR($B1256="",$M1256=""),"",WORKDAY($B1256,IFERROR(INDEX(CONFIG!$D$4:$D$63,MATCH($M1256,CONFIG!$A$4:$A$63,0)),3)))</f>
        <v/>
      </c>
      <c r="Y1256" s="47" t="n"/>
      <c r="Z1256" s="24">
        <f>IF($B1256="","",IF($Y1256&lt;&gt;"",$Y1256-$B1256,TODAY()-$B1256))</f>
        <v/>
      </c>
      <c r="AA1256" s="28">
        <f>IF($B1256="","",IF(IFERROR(INDEX(CONFIG!$L$4:$L$63,MATCH($V1256,CONFIG!$K$4:$K$63,0)),"NO")="SÍ",IF(OR($Y1256="",$X1256=""),"Resuelta",IF($Y1256&gt;$X1256,"Resuelta tarde","Resuelta a tiempo")),IF($X1256="","Sin clasificar",IF(TODAY()&gt;$X1256,"Vencida",IF(TODAY()&gt;=$X1256-1,"Por vencer","En plazo")))))</f>
        <v/>
      </c>
      <c r="AB1256" s="50" t="n"/>
      <c r="AC1256" s="50" t="n"/>
    </row>
    <row r="1257" ht="16" customHeight="1">
      <c r="A1257" s="28">
        <f>IF($B1257="","","N-"&amp;TEXT(ROW()-3,"0000"))</f>
        <v/>
      </c>
      <c r="B1257" s="47" t="n"/>
      <c r="C1257" s="48" t="n"/>
      <c r="D1257" s="48" t="n"/>
      <c r="E1257" s="28">
        <f>IF($C1257="","",IF($D1257="",IF($C1257="Interna","Sin guía (interna)","FALTA GUÍA"),IF(COUNTIFS(ENVIOS!$A$4:$A$3003,$D1257)=0,"NO EXISTE",IF(COUNTIFS(ENVIOS!$A$4:$A$3003,$D1257)&gt;1,"DUPLICADA","OK"))))</f>
        <v/>
      </c>
      <c r="F1257" s="28">
        <f>IF($D1257="","",IFERROR(INDEX(ENVIOS!$B$4:$B$3003,MATCH($D1257,ENVIOS!$A$4:$A$3003,0)),"—"))</f>
        <v/>
      </c>
      <c r="G1257" s="23">
        <f>IF($D1257="","",IFERROR(INDEX(ENVIOS!$D$4:$D$3003,MATCH($D1257,ENVIOS!$A$4:$A$3003,0)),"—"))</f>
        <v/>
      </c>
      <c r="H1257" s="23">
        <f>IF($D1257="","",IFERROR(INDEX(ENVIOS!$E$4:$E$3003,MATCH($D1257,ENVIOS!$A$4:$A$3003,0)),"—"))</f>
        <v/>
      </c>
      <c r="I1257" s="23">
        <f>IF($D1257="","",IFERROR(INDEX(ENVIOS!$F$4:$F$3003,MATCH($D1257,ENVIOS!$A$4:$A$3003,0)),"—"))</f>
        <v/>
      </c>
      <c r="J1257" s="23">
        <f>IF($D1257="","",IFERROR(INDEX(ENVIOS!$G$4:$G$3003,MATCH($D1257,ENVIOS!$A$4:$A$3003,0)),"—"))</f>
        <v/>
      </c>
      <c r="K1257" s="28">
        <f>IF($D1257="","",IFERROR(INDEX(ENVIOS!$H$4:$H$3003,MATCH($D1257,ENVIOS!$A$4:$A$3003,0)),"—"))</f>
        <v/>
      </c>
      <c r="L1257" s="49">
        <f>IF($D1257="","",IFERROR(INDEX(ENVIOS!$C$4:$C$3003,MATCH($D1257,ENVIOS!$A$4:$A$3003,0)),""))</f>
        <v/>
      </c>
      <c r="M1257" s="50" t="n"/>
      <c r="N1257" s="28">
        <f>IF($M1257="","",IFERROR(INDEX(CONFIG!$C$4:$C$63,MATCH($M1257,CONFIG!$A$4:$A$63,0)),"Media"))</f>
        <v/>
      </c>
      <c r="O1257" s="28">
        <f>IF($M1257="","",IF($C1257="Interna","NO",IFERROR(INDEX(CONFIG!$E$4:$E$63,MATCH($M1257,CONFIG!$A$4:$A$63,0)),"NO")))</f>
        <v/>
      </c>
      <c r="P1257" s="50" t="n"/>
      <c r="Q1257" s="50" t="n"/>
      <c r="R1257" s="28">
        <f>IF($Q1257="","",IFERROR(INDEX(CONFIG!$H$4:$H$63,MATCH($Q1257,CONFIG!$G$4:$G$63,0)),"Por definir"))</f>
        <v/>
      </c>
      <c r="S1257" s="28">
        <f>IF($Q1257="","",IFERROR(INDEX(CONFIG!$I$4:$I$63,MATCH($Q1257,CONFIG!$G$4:$G$63,0)),"Por definir"))</f>
        <v/>
      </c>
      <c r="T1257" s="51" t="n"/>
      <c r="U1257" s="52" t="n"/>
      <c r="V1257" s="50" t="n"/>
      <c r="W1257" s="50" t="n"/>
      <c r="X1257" s="49">
        <f>IF(OR($B1257="",$M1257=""),"",WORKDAY($B1257,IFERROR(INDEX(CONFIG!$D$4:$D$63,MATCH($M1257,CONFIG!$A$4:$A$63,0)),3)))</f>
        <v/>
      </c>
      <c r="Y1257" s="47" t="n"/>
      <c r="Z1257" s="24">
        <f>IF($B1257="","",IF($Y1257&lt;&gt;"",$Y1257-$B1257,TODAY()-$B1257))</f>
        <v/>
      </c>
      <c r="AA1257" s="28">
        <f>IF($B1257="","",IF(IFERROR(INDEX(CONFIG!$L$4:$L$63,MATCH($V1257,CONFIG!$K$4:$K$63,0)),"NO")="SÍ",IF(OR($Y1257="",$X1257=""),"Resuelta",IF($Y1257&gt;$X1257,"Resuelta tarde","Resuelta a tiempo")),IF($X1257="","Sin clasificar",IF(TODAY()&gt;$X1257,"Vencida",IF(TODAY()&gt;=$X1257-1,"Por vencer","En plazo")))))</f>
        <v/>
      </c>
      <c r="AB1257" s="50" t="n"/>
      <c r="AC1257" s="50" t="n"/>
    </row>
    <row r="1258" ht="16" customHeight="1">
      <c r="A1258" s="28">
        <f>IF($B1258="","","N-"&amp;TEXT(ROW()-3,"0000"))</f>
        <v/>
      </c>
      <c r="B1258" s="47" t="n"/>
      <c r="C1258" s="48" t="n"/>
      <c r="D1258" s="48" t="n"/>
      <c r="E1258" s="28">
        <f>IF($C1258="","",IF($D1258="",IF($C1258="Interna","Sin guía (interna)","FALTA GUÍA"),IF(COUNTIFS(ENVIOS!$A$4:$A$3003,$D1258)=0,"NO EXISTE",IF(COUNTIFS(ENVIOS!$A$4:$A$3003,$D1258)&gt;1,"DUPLICADA","OK"))))</f>
        <v/>
      </c>
      <c r="F1258" s="28">
        <f>IF($D1258="","",IFERROR(INDEX(ENVIOS!$B$4:$B$3003,MATCH($D1258,ENVIOS!$A$4:$A$3003,0)),"—"))</f>
        <v/>
      </c>
      <c r="G1258" s="23">
        <f>IF($D1258="","",IFERROR(INDEX(ENVIOS!$D$4:$D$3003,MATCH($D1258,ENVIOS!$A$4:$A$3003,0)),"—"))</f>
        <v/>
      </c>
      <c r="H1258" s="23">
        <f>IF($D1258="","",IFERROR(INDEX(ENVIOS!$E$4:$E$3003,MATCH($D1258,ENVIOS!$A$4:$A$3003,0)),"—"))</f>
        <v/>
      </c>
      <c r="I1258" s="23">
        <f>IF($D1258="","",IFERROR(INDEX(ENVIOS!$F$4:$F$3003,MATCH($D1258,ENVIOS!$A$4:$A$3003,0)),"—"))</f>
        <v/>
      </c>
      <c r="J1258" s="23">
        <f>IF($D1258="","",IFERROR(INDEX(ENVIOS!$G$4:$G$3003,MATCH($D1258,ENVIOS!$A$4:$A$3003,0)),"—"))</f>
        <v/>
      </c>
      <c r="K1258" s="28">
        <f>IF($D1258="","",IFERROR(INDEX(ENVIOS!$H$4:$H$3003,MATCH($D1258,ENVIOS!$A$4:$A$3003,0)),"—"))</f>
        <v/>
      </c>
      <c r="L1258" s="49">
        <f>IF($D1258="","",IFERROR(INDEX(ENVIOS!$C$4:$C$3003,MATCH($D1258,ENVIOS!$A$4:$A$3003,0)),""))</f>
        <v/>
      </c>
      <c r="M1258" s="50" t="n"/>
      <c r="N1258" s="28">
        <f>IF($M1258="","",IFERROR(INDEX(CONFIG!$C$4:$C$63,MATCH($M1258,CONFIG!$A$4:$A$63,0)),"Media"))</f>
        <v/>
      </c>
      <c r="O1258" s="28">
        <f>IF($M1258="","",IF($C1258="Interna","NO",IFERROR(INDEX(CONFIG!$E$4:$E$63,MATCH($M1258,CONFIG!$A$4:$A$63,0)),"NO")))</f>
        <v/>
      </c>
      <c r="P1258" s="50" t="n"/>
      <c r="Q1258" s="50" t="n"/>
      <c r="R1258" s="28">
        <f>IF($Q1258="","",IFERROR(INDEX(CONFIG!$H$4:$H$63,MATCH($Q1258,CONFIG!$G$4:$G$63,0)),"Por definir"))</f>
        <v/>
      </c>
      <c r="S1258" s="28">
        <f>IF($Q1258="","",IFERROR(INDEX(CONFIG!$I$4:$I$63,MATCH($Q1258,CONFIG!$G$4:$G$63,0)),"Por definir"))</f>
        <v/>
      </c>
      <c r="T1258" s="51" t="n"/>
      <c r="U1258" s="52" t="n"/>
      <c r="V1258" s="50" t="n"/>
      <c r="W1258" s="50" t="n"/>
      <c r="X1258" s="49">
        <f>IF(OR($B1258="",$M1258=""),"",WORKDAY($B1258,IFERROR(INDEX(CONFIG!$D$4:$D$63,MATCH($M1258,CONFIG!$A$4:$A$63,0)),3)))</f>
        <v/>
      </c>
      <c r="Y1258" s="47" t="n"/>
      <c r="Z1258" s="24">
        <f>IF($B1258="","",IF($Y1258&lt;&gt;"",$Y1258-$B1258,TODAY()-$B1258))</f>
        <v/>
      </c>
      <c r="AA1258" s="28">
        <f>IF($B1258="","",IF(IFERROR(INDEX(CONFIG!$L$4:$L$63,MATCH($V1258,CONFIG!$K$4:$K$63,0)),"NO")="SÍ",IF(OR($Y1258="",$X1258=""),"Resuelta",IF($Y1258&gt;$X1258,"Resuelta tarde","Resuelta a tiempo")),IF($X1258="","Sin clasificar",IF(TODAY()&gt;$X1258,"Vencida",IF(TODAY()&gt;=$X1258-1,"Por vencer","En plazo")))))</f>
        <v/>
      </c>
      <c r="AB1258" s="50" t="n"/>
      <c r="AC1258" s="50" t="n"/>
    </row>
    <row r="1259" ht="16" customHeight="1">
      <c r="A1259" s="28">
        <f>IF($B1259="","","N-"&amp;TEXT(ROW()-3,"0000"))</f>
        <v/>
      </c>
      <c r="B1259" s="47" t="n"/>
      <c r="C1259" s="48" t="n"/>
      <c r="D1259" s="48" t="n"/>
      <c r="E1259" s="28">
        <f>IF($C1259="","",IF($D1259="",IF($C1259="Interna","Sin guía (interna)","FALTA GUÍA"),IF(COUNTIFS(ENVIOS!$A$4:$A$3003,$D1259)=0,"NO EXISTE",IF(COUNTIFS(ENVIOS!$A$4:$A$3003,$D1259)&gt;1,"DUPLICADA","OK"))))</f>
        <v/>
      </c>
      <c r="F1259" s="28">
        <f>IF($D1259="","",IFERROR(INDEX(ENVIOS!$B$4:$B$3003,MATCH($D1259,ENVIOS!$A$4:$A$3003,0)),"—"))</f>
        <v/>
      </c>
      <c r="G1259" s="23">
        <f>IF($D1259="","",IFERROR(INDEX(ENVIOS!$D$4:$D$3003,MATCH($D1259,ENVIOS!$A$4:$A$3003,0)),"—"))</f>
        <v/>
      </c>
      <c r="H1259" s="23">
        <f>IF($D1259="","",IFERROR(INDEX(ENVIOS!$E$4:$E$3003,MATCH($D1259,ENVIOS!$A$4:$A$3003,0)),"—"))</f>
        <v/>
      </c>
      <c r="I1259" s="23">
        <f>IF($D1259="","",IFERROR(INDEX(ENVIOS!$F$4:$F$3003,MATCH($D1259,ENVIOS!$A$4:$A$3003,0)),"—"))</f>
        <v/>
      </c>
      <c r="J1259" s="23">
        <f>IF($D1259="","",IFERROR(INDEX(ENVIOS!$G$4:$G$3003,MATCH($D1259,ENVIOS!$A$4:$A$3003,0)),"—"))</f>
        <v/>
      </c>
      <c r="K1259" s="28">
        <f>IF($D1259="","",IFERROR(INDEX(ENVIOS!$H$4:$H$3003,MATCH($D1259,ENVIOS!$A$4:$A$3003,0)),"—"))</f>
        <v/>
      </c>
      <c r="L1259" s="49">
        <f>IF($D1259="","",IFERROR(INDEX(ENVIOS!$C$4:$C$3003,MATCH($D1259,ENVIOS!$A$4:$A$3003,0)),""))</f>
        <v/>
      </c>
      <c r="M1259" s="50" t="n"/>
      <c r="N1259" s="28">
        <f>IF($M1259="","",IFERROR(INDEX(CONFIG!$C$4:$C$63,MATCH($M1259,CONFIG!$A$4:$A$63,0)),"Media"))</f>
        <v/>
      </c>
      <c r="O1259" s="28">
        <f>IF($M1259="","",IF($C1259="Interna","NO",IFERROR(INDEX(CONFIG!$E$4:$E$63,MATCH($M1259,CONFIG!$A$4:$A$63,0)),"NO")))</f>
        <v/>
      </c>
      <c r="P1259" s="50" t="n"/>
      <c r="Q1259" s="50" t="n"/>
      <c r="R1259" s="28">
        <f>IF($Q1259="","",IFERROR(INDEX(CONFIG!$H$4:$H$63,MATCH($Q1259,CONFIG!$G$4:$G$63,0)),"Por definir"))</f>
        <v/>
      </c>
      <c r="S1259" s="28">
        <f>IF($Q1259="","",IFERROR(INDEX(CONFIG!$I$4:$I$63,MATCH($Q1259,CONFIG!$G$4:$G$63,0)),"Por definir"))</f>
        <v/>
      </c>
      <c r="T1259" s="51" t="n"/>
      <c r="U1259" s="52" t="n"/>
      <c r="V1259" s="50" t="n"/>
      <c r="W1259" s="50" t="n"/>
      <c r="X1259" s="49">
        <f>IF(OR($B1259="",$M1259=""),"",WORKDAY($B1259,IFERROR(INDEX(CONFIG!$D$4:$D$63,MATCH($M1259,CONFIG!$A$4:$A$63,0)),3)))</f>
        <v/>
      </c>
      <c r="Y1259" s="47" t="n"/>
      <c r="Z1259" s="24">
        <f>IF($B1259="","",IF($Y1259&lt;&gt;"",$Y1259-$B1259,TODAY()-$B1259))</f>
        <v/>
      </c>
      <c r="AA1259" s="28">
        <f>IF($B1259="","",IF(IFERROR(INDEX(CONFIG!$L$4:$L$63,MATCH($V1259,CONFIG!$K$4:$K$63,0)),"NO")="SÍ",IF(OR($Y1259="",$X1259=""),"Resuelta",IF($Y1259&gt;$X1259,"Resuelta tarde","Resuelta a tiempo")),IF($X1259="","Sin clasificar",IF(TODAY()&gt;$X1259,"Vencida",IF(TODAY()&gt;=$X1259-1,"Por vencer","En plazo")))))</f>
        <v/>
      </c>
      <c r="AB1259" s="50" t="n"/>
      <c r="AC1259" s="50" t="n"/>
    </row>
    <row r="1260" ht="16" customHeight="1">
      <c r="A1260" s="28">
        <f>IF($B1260="","","N-"&amp;TEXT(ROW()-3,"0000"))</f>
        <v/>
      </c>
      <c r="B1260" s="47" t="n"/>
      <c r="C1260" s="48" t="n"/>
      <c r="D1260" s="48" t="n"/>
      <c r="E1260" s="28">
        <f>IF($C1260="","",IF($D1260="",IF($C1260="Interna","Sin guía (interna)","FALTA GUÍA"),IF(COUNTIFS(ENVIOS!$A$4:$A$3003,$D1260)=0,"NO EXISTE",IF(COUNTIFS(ENVIOS!$A$4:$A$3003,$D1260)&gt;1,"DUPLICADA","OK"))))</f>
        <v/>
      </c>
      <c r="F1260" s="28">
        <f>IF($D1260="","",IFERROR(INDEX(ENVIOS!$B$4:$B$3003,MATCH($D1260,ENVIOS!$A$4:$A$3003,0)),"—"))</f>
        <v/>
      </c>
      <c r="G1260" s="23">
        <f>IF($D1260="","",IFERROR(INDEX(ENVIOS!$D$4:$D$3003,MATCH($D1260,ENVIOS!$A$4:$A$3003,0)),"—"))</f>
        <v/>
      </c>
      <c r="H1260" s="23">
        <f>IF($D1260="","",IFERROR(INDEX(ENVIOS!$E$4:$E$3003,MATCH($D1260,ENVIOS!$A$4:$A$3003,0)),"—"))</f>
        <v/>
      </c>
      <c r="I1260" s="23">
        <f>IF($D1260="","",IFERROR(INDEX(ENVIOS!$F$4:$F$3003,MATCH($D1260,ENVIOS!$A$4:$A$3003,0)),"—"))</f>
        <v/>
      </c>
      <c r="J1260" s="23">
        <f>IF($D1260="","",IFERROR(INDEX(ENVIOS!$G$4:$G$3003,MATCH($D1260,ENVIOS!$A$4:$A$3003,0)),"—"))</f>
        <v/>
      </c>
      <c r="K1260" s="28">
        <f>IF($D1260="","",IFERROR(INDEX(ENVIOS!$H$4:$H$3003,MATCH($D1260,ENVIOS!$A$4:$A$3003,0)),"—"))</f>
        <v/>
      </c>
      <c r="L1260" s="49">
        <f>IF($D1260="","",IFERROR(INDEX(ENVIOS!$C$4:$C$3003,MATCH($D1260,ENVIOS!$A$4:$A$3003,0)),""))</f>
        <v/>
      </c>
      <c r="M1260" s="50" t="n"/>
      <c r="N1260" s="28">
        <f>IF($M1260="","",IFERROR(INDEX(CONFIG!$C$4:$C$63,MATCH($M1260,CONFIG!$A$4:$A$63,0)),"Media"))</f>
        <v/>
      </c>
      <c r="O1260" s="28">
        <f>IF($M1260="","",IF($C1260="Interna","NO",IFERROR(INDEX(CONFIG!$E$4:$E$63,MATCH($M1260,CONFIG!$A$4:$A$63,0)),"NO")))</f>
        <v/>
      </c>
      <c r="P1260" s="50" t="n"/>
      <c r="Q1260" s="50" t="n"/>
      <c r="R1260" s="28">
        <f>IF($Q1260="","",IFERROR(INDEX(CONFIG!$H$4:$H$63,MATCH($Q1260,CONFIG!$G$4:$G$63,0)),"Por definir"))</f>
        <v/>
      </c>
      <c r="S1260" s="28">
        <f>IF($Q1260="","",IFERROR(INDEX(CONFIG!$I$4:$I$63,MATCH($Q1260,CONFIG!$G$4:$G$63,0)),"Por definir"))</f>
        <v/>
      </c>
      <c r="T1260" s="51" t="n"/>
      <c r="U1260" s="52" t="n"/>
      <c r="V1260" s="50" t="n"/>
      <c r="W1260" s="50" t="n"/>
      <c r="X1260" s="49">
        <f>IF(OR($B1260="",$M1260=""),"",WORKDAY($B1260,IFERROR(INDEX(CONFIG!$D$4:$D$63,MATCH($M1260,CONFIG!$A$4:$A$63,0)),3)))</f>
        <v/>
      </c>
      <c r="Y1260" s="47" t="n"/>
      <c r="Z1260" s="24">
        <f>IF($B1260="","",IF($Y1260&lt;&gt;"",$Y1260-$B1260,TODAY()-$B1260))</f>
        <v/>
      </c>
      <c r="AA1260" s="28">
        <f>IF($B1260="","",IF(IFERROR(INDEX(CONFIG!$L$4:$L$63,MATCH($V1260,CONFIG!$K$4:$K$63,0)),"NO")="SÍ",IF(OR($Y1260="",$X1260=""),"Resuelta",IF($Y1260&gt;$X1260,"Resuelta tarde","Resuelta a tiempo")),IF($X1260="","Sin clasificar",IF(TODAY()&gt;$X1260,"Vencida",IF(TODAY()&gt;=$X1260-1,"Por vencer","En plazo")))))</f>
        <v/>
      </c>
      <c r="AB1260" s="50" t="n"/>
      <c r="AC1260" s="50" t="n"/>
    </row>
    <row r="1261" ht="16" customHeight="1">
      <c r="A1261" s="28">
        <f>IF($B1261="","","N-"&amp;TEXT(ROW()-3,"0000"))</f>
        <v/>
      </c>
      <c r="B1261" s="47" t="n"/>
      <c r="C1261" s="48" t="n"/>
      <c r="D1261" s="48" t="n"/>
      <c r="E1261" s="28">
        <f>IF($C1261="","",IF($D1261="",IF($C1261="Interna","Sin guía (interna)","FALTA GUÍA"),IF(COUNTIFS(ENVIOS!$A$4:$A$3003,$D1261)=0,"NO EXISTE",IF(COUNTIFS(ENVIOS!$A$4:$A$3003,$D1261)&gt;1,"DUPLICADA","OK"))))</f>
        <v/>
      </c>
      <c r="F1261" s="28">
        <f>IF($D1261="","",IFERROR(INDEX(ENVIOS!$B$4:$B$3003,MATCH($D1261,ENVIOS!$A$4:$A$3003,0)),"—"))</f>
        <v/>
      </c>
      <c r="G1261" s="23">
        <f>IF($D1261="","",IFERROR(INDEX(ENVIOS!$D$4:$D$3003,MATCH($D1261,ENVIOS!$A$4:$A$3003,0)),"—"))</f>
        <v/>
      </c>
      <c r="H1261" s="23">
        <f>IF($D1261="","",IFERROR(INDEX(ENVIOS!$E$4:$E$3003,MATCH($D1261,ENVIOS!$A$4:$A$3003,0)),"—"))</f>
        <v/>
      </c>
      <c r="I1261" s="23">
        <f>IF($D1261="","",IFERROR(INDEX(ENVIOS!$F$4:$F$3003,MATCH($D1261,ENVIOS!$A$4:$A$3003,0)),"—"))</f>
        <v/>
      </c>
      <c r="J1261" s="23">
        <f>IF($D1261="","",IFERROR(INDEX(ENVIOS!$G$4:$G$3003,MATCH($D1261,ENVIOS!$A$4:$A$3003,0)),"—"))</f>
        <v/>
      </c>
      <c r="K1261" s="28">
        <f>IF($D1261="","",IFERROR(INDEX(ENVIOS!$H$4:$H$3003,MATCH($D1261,ENVIOS!$A$4:$A$3003,0)),"—"))</f>
        <v/>
      </c>
      <c r="L1261" s="49">
        <f>IF($D1261="","",IFERROR(INDEX(ENVIOS!$C$4:$C$3003,MATCH($D1261,ENVIOS!$A$4:$A$3003,0)),""))</f>
        <v/>
      </c>
      <c r="M1261" s="50" t="n"/>
      <c r="N1261" s="28">
        <f>IF($M1261="","",IFERROR(INDEX(CONFIG!$C$4:$C$63,MATCH($M1261,CONFIG!$A$4:$A$63,0)),"Media"))</f>
        <v/>
      </c>
      <c r="O1261" s="28">
        <f>IF($M1261="","",IF($C1261="Interna","NO",IFERROR(INDEX(CONFIG!$E$4:$E$63,MATCH($M1261,CONFIG!$A$4:$A$63,0)),"NO")))</f>
        <v/>
      </c>
      <c r="P1261" s="50" t="n"/>
      <c r="Q1261" s="50" t="n"/>
      <c r="R1261" s="28">
        <f>IF($Q1261="","",IFERROR(INDEX(CONFIG!$H$4:$H$63,MATCH($Q1261,CONFIG!$G$4:$G$63,0)),"Por definir"))</f>
        <v/>
      </c>
      <c r="S1261" s="28">
        <f>IF($Q1261="","",IFERROR(INDEX(CONFIG!$I$4:$I$63,MATCH($Q1261,CONFIG!$G$4:$G$63,0)),"Por definir"))</f>
        <v/>
      </c>
      <c r="T1261" s="51" t="n"/>
      <c r="U1261" s="52" t="n"/>
      <c r="V1261" s="50" t="n"/>
      <c r="W1261" s="50" t="n"/>
      <c r="X1261" s="49">
        <f>IF(OR($B1261="",$M1261=""),"",WORKDAY($B1261,IFERROR(INDEX(CONFIG!$D$4:$D$63,MATCH($M1261,CONFIG!$A$4:$A$63,0)),3)))</f>
        <v/>
      </c>
      <c r="Y1261" s="47" t="n"/>
      <c r="Z1261" s="24">
        <f>IF($B1261="","",IF($Y1261&lt;&gt;"",$Y1261-$B1261,TODAY()-$B1261))</f>
        <v/>
      </c>
      <c r="AA1261" s="28">
        <f>IF($B1261="","",IF(IFERROR(INDEX(CONFIG!$L$4:$L$63,MATCH($V1261,CONFIG!$K$4:$K$63,0)),"NO")="SÍ",IF(OR($Y1261="",$X1261=""),"Resuelta",IF($Y1261&gt;$X1261,"Resuelta tarde","Resuelta a tiempo")),IF($X1261="","Sin clasificar",IF(TODAY()&gt;$X1261,"Vencida",IF(TODAY()&gt;=$X1261-1,"Por vencer","En plazo")))))</f>
        <v/>
      </c>
      <c r="AB1261" s="50" t="n"/>
      <c r="AC1261" s="50" t="n"/>
    </row>
    <row r="1262" ht="16" customHeight="1">
      <c r="A1262" s="28">
        <f>IF($B1262="","","N-"&amp;TEXT(ROW()-3,"0000"))</f>
        <v/>
      </c>
      <c r="B1262" s="47" t="n"/>
      <c r="C1262" s="48" t="n"/>
      <c r="D1262" s="48" t="n"/>
      <c r="E1262" s="28">
        <f>IF($C1262="","",IF($D1262="",IF($C1262="Interna","Sin guía (interna)","FALTA GUÍA"),IF(COUNTIFS(ENVIOS!$A$4:$A$3003,$D1262)=0,"NO EXISTE",IF(COUNTIFS(ENVIOS!$A$4:$A$3003,$D1262)&gt;1,"DUPLICADA","OK"))))</f>
        <v/>
      </c>
      <c r="F1262" s="28">
        <f>IF($D1262="","",IFERROR(INDEX(ENVIOS!$B$4:$B$3003,MATCH($D1262,ENVIOS!$A$4:$A$3003,0)),"—"))</f>
        <v/>
      </c>
      <c r="G1262" s="23">
        <f>IF($D1262="","",IFERROR(INDEX(ENVIOS!$D$4:$D$3003,MATCH($D1262,ENVIOS!$A$4:$A$3003,0)),"—"))</f>
        <v/>
      </c>
      <c r="H1262" s="23">
        <f>IF($D1262="","",IFERROR(INDEX(ENVIOS!$E$4:$E$3003,MATCH($D1262,ENVIOS!$A$4:$A$3003,0)),"—"))</f>
        <v/>
      </c>
      <c r="I1262" s="23">
        <f>IF($D1262="","",IFERROR(INDEX(ENVIOS!$F$4:$F$3003,MATCH($D1262,ENVIOS!$A$4:$A$3003,0)),"—"))</f>
        <v/>
      </c>
      <c r="J1262" s="23">
        <f>IF($D1262="","",IFERROR(INDEX(ENVIOS!$G$4:$G$3003,MATCH($D1262,ENVIOS!$A$4:$A$3003,0)),"—"))</f>
        <v/>
      </c>
      <c r="K1262" s="28">
        <f>IF($D1262="","",IFERROR(INDEX(ENVIOS!$H$4:$H$3003,MATCH($D1262,ENVIOS!$A$4:$A$3003,0)),"—"))</f>
        <v/>
      </c>
      <c r="L1262" s="49">
        <f>IF($D1262="","",IFERROR(INDEX(ENVIOS!$C$4:$C$3003,MATCH($D1262,ENVIOS!$A$4:$A$3003,0)),""))</f>
        <v/>
      </c>
      <c r="M1262" s="50" t="n"/>
      <c r="N1262" s="28">
        <f>IF($M1262="","",IFERROR(INDEX(CONFIG!$C$4:$C$63,MATCH($M1262,CONFIG!$A$4:$A$63,0)),"Media"))</f>
        <v/>
      </c>
      <c r="O1262" s="28">
        <f>IF($M1262="","",IF($C1262="Interna","NO",IFERROR(INDEX(CONFIG!$E$4:$E$63,MATCH($M1262,CONFIG!$A$4:$A$63,0)),"NO")))</f>
        <v/>
      </c>
      <c r="P1262" s="50" t="n"/>
      <c r="Q1262" s="50" t="n"/>
      <c r="R1262" s="28">
        <f>IF($Q1262="","",IFERROR(INDEX(CONFIG!$H$4:$H$63,MATCH($Q1262,CONFIG!$G$4:$G$63,0)),"Por definir"))</f>
        <v/>
      </c>
      <c r="S1262" s="28">
        <f>IF($Q1262="","",IFERROR(INDEX(CONFIG!$I$4:$I$63,MATCH($Q1262,CONFIG!$G$4:$G$63,0)),"Por definir"))</f>
        <v/>
      </c>
      <c r="T1262" s="51" t="n"/>
      <c r="U1262" s="52" t="n"/>
      <c r="V1262" s="50" t="n"/>
      <c r="W1262" s="50" t="n"/>
      <c r="X1262" s="49">
        <f>IF(OR($B1262="",$M1262=""),"",WORKDAY($B1262,IFERROR(INDEX(CONFIG!$D$4:$D$63,MATCH($M1262,CONFIG!$A$4:$A$63,0)),3)))</f>
        <v/>
      </c>
      <c r="Y1262" s="47" t="n"/>
      <c r="Z1262" s="24">
        <f>IF($B1262="","",IF($Y1262&lt;&gt;"",$Y1262-$B1262,TODAY()-$B1262))</f>
        <v/>
      </c>
      <c r="AA1262" s="28">
        <f>IF($B1262="","",IF(IFERROR(INDEX(CONFIG!$L$4:$L$63,MATCH($V1262,CONFIG!$K$4:$K$63,0)),"NO")="SÍ",IF(OR($Y1262="",$X1262=""),"Resuelta",IF($Y1262&gt;$X1262,"Resuelta tarde","Resuelta a tiempo")),IF($X1262="","Sin clasificar",IF(TODAY()&gt;$X1262,"Vencida",IF(TODAY()&gt;=$X1262-1,"Por vencer","En plazo")))))</f>
        <v/>
      </c>
      <c r="AB1262" s="50" t="n"/>
      <c r="AC1262" s="50" t="n"/>
    </row>
    <row r="1263" ht="16" customHeight="1">
      <c r="A1263" s="28">
        <f>IF($B1263="","","N-"&amp;TEXT(ROW()-3,"0000"))</f>
        <v/>
      </c>
      <c r="B1263" s="47" t="n"/>
      <c r="C1263" s="48" t="n"/>
      <c r="D1263" s="48" t="n"/>
      <c r="E1263" s="28">
        <f>IF($C1263="","",IF($D1263="",IF($C1263="Interna","Sin guía (interna)","FALTA GUÍA"),IF(COUNTIFS(ENVIOS!$A$4:$A$3003,$D1263)=0,"NO EXISTE",IF(COUNTIFS(ENVIOS!$A$4:$A$3003,$D1263)&gt;1,"DUPLICADA","OK"))))</f>
        <v/>
      </c>
      <c r="F1263" s="28">
        <f>IF($D1263="","",IFERROR(INDEX(ENVIOS!$B$4:$B$3003,MATCH($D1263,ENVIOS!$A$4:$A$3003,0)),"—"))</f>
        <v/>
      </c>
      <c r="G1263" s="23">
        <f>IF($D1263="","",IFERROR(INDEX(ENVIOS!$D$4:$D$3003,MATCH($D1263,ENVIOS!$A$4:$A$3003,0)),"—"))</f>
        <v/>
      </c>
      <c r="H1263" s="23">
        <f>IF($D1263="","",IFERROR(INDEX(ENVIOS!$E$4:$E$3003,MATCH($D1263,ENVIOS!$A$4:$A$3003,0)),"—"))</f>
        <v/>
      </c>
      <c r="I1263" s="23">
        <f>IF($D1263="","",IFERROR(INDEX(ENVIOS!$F$4:$F$3003,MATCH($D1263,ENVIOS!$A$4:$A$3003,0)),"—"))</f>
        <v/>
      </c>
      <c r="J1263" s="23">
        <f>IF($D1263="","",IFERROR(INDEX(ENVIOS!$G$4:$G$3003,MATCH($D1263,ENVIOS!$A$4:$A$3003,0)),"—"))</f>
        <v/>
      </c>
      <c r="K1263" s="28">
        <f>IF($D1263="","",IFERROR(INDEX(ENVIOS!$H$4:$H$3003,MATCH($D1263,ENVIOS!$A$4:$A$3003,0)),"—"))</f>
        <v/>
      </c>
      <c r="L1263" s="49">
        <f>IF($D1263="","",IFERROR(INDEX(ENVIOS!$C$4:$C$3003,MATCH($D1263,ENVIOS!$A$4:$A$3003,0)),""))</f>
        <v/>
      </c>
      <c r="M1263" s="50" t="n"/>
      <c r="N1263" s="28">
        <f>IF($M1263="","",IFERROR(INDEX(CONFIG!$C$4:$C$63,MATCH($M1263,CONFIG!$A$4:$A$63,0)),"Media"))</f>
        <v/>
      </c>
      <c r="O1263" s="28">
        <f>IF($M1263="","",IF($C1263="Interna","NO",IFERROR(INDEX(CONFIG!$E$4:$E$63,MATCH($M1263,CONFIG!$A$4:$A$63,0)),"NO")))</f>
        <v/>
      </c>
      <c r="P1263" s="50" t="n"/>
      <c r="Q1263" s="50" t="n"/>
      <c r="R1263" s="28">
        <f>IF($Q1263="","",IFERROR(INDEX(CONFIG!$H$4:$H$63,MATCH($Q1263,CONFIG!$G$4:$G$63,0)),"Por definir"))</f>
        <v/>
      </c>
      <c r="S1263" s="28">
        <f>IF($Q1263="","",IFERROR(INDEX(CONFIG!$I$4:$I$63,MATCH($Q1263,CONFIG!$G$4:$G$63,0)),"Por definir"))</f>
        <v/>
      </c>
      <c r="T1263" s="51" t="n"/>
      <c r="U1263" s="52" t="n"/>
      <c r="V1263" s="50" t="n"/>
      <c r="W1263" s="50" t="n"/>
      <c r="X1263" s="49">
        <f>IF(OR($B1263="",$M1263=""),"",WORKDAY($B1263,IFERROR(INDEX(CONFIG!$D$4:$D$63,MATCH($M1263,CONFIG!$A$4:$A$63,0)),3)))</f>
        <v/>
      </c>
      <c r="Y1263" s="47" t="n"/>
      <c r="Z1263" s="24">
        <f>IF($B1263="","",IF($Y1263&lt;&gt;"",$Y1263-$B1263,TODAY()-$B1263))</f>
        <v/>
      </c>
      <c r="AA1263" s="28">
        <f>IF($B1263="","",IF(IFERROR(INDEX(CONFIG!$L$4:$L$63,MATCH($V1263,CONFIG!$K$4:$K$63,0)),"NO")="SÍ",IF(OR($Y1263="",$X1263=""),"Resuelta",IF($Y1263&gt;$X1263,"Resuelta tarde","Resuelta a tiempo")),IF($X1263="","Sin clasificar",IF(TODAY()&gt;$X1263,"Vencida",IF(TODAY()&gt;=$X1263-1,"Por vencer","En plazo")))))</f>
        <v/>
      </c>
      <c r="AB1263" s="50" t="n"/>
      <c r="AC1263" s="50" t="n"/>
    </row>
    <row r="1264" ht="16" customHeight="1">
      <c r="A1264" s="28">
        <f>IF($B1264="","","N-"&amp;TEXT(ROW()-3,"0000"))</f>
        <v/>
      </c>
      <c r="B1264" s="47" t="n"/>
      <c r="C1264" s="48" t="n"/>
      <c r="D1264" s="48" t="n"/>
      <c r="E1264" s="28">
        <f>IF($C1264="","",IF($D1264="",IF($C1264="Interna","Sin guía (interna)","FALTA GUÍA"),IF(COUNTIFS(ENVIOS!$A$4:$A$3003,$D1264)=0,"NO EXISTE",IF(COUNTIFS(ENVIOS!$A$4:$A$3003,$D1264)&gt;1,"DUPLICADA","OK"))))</f>
        <v/>
      </c>
      <c r="F1264" s="28">
        <f>IF($D1264="","",IFERROR(INDEX(ENVIOS!$B$4:$B$3003,MATCH($D1264,ENVIOS!$A$4:$A$3003,0)),"—"))</f>
        <v/>
      </c>
      <c r="G1264" s="23">
        <f>IF($D1264="","",IFERROR(INDEX(ENVIOS!$D$4:$D$3003,MATCH($D1264,ENVIOS!$A$4:$A$3003,0)),"—"))</f>
        <v/>
      </c>
      <c r="H1264" s="23">
        <f>IF($D1264="","",IFERROR(INDEX(ENVIOS!$E$4:$E$3003,MATCH($D1264,ENVIOS!$A$4:$A$3003,0)),"—"))</f>
        <v/>
      </c>
      <c r="I1264" s="23">
        <f>IF($D1264="","",IFERROR(INDEX(ENVIOS!$F$4:$F$3003,MATCH($D1264,ENVIOS!$A$4:$A$3003,0)),"—"))</f>
        <v/>
      </c>
      <c r="J1264" s="23">
        <f>IF($D1264="","",IFERROR(INDEX(ENVIOS!$G$4:$G$3003,MATCH($D1264,ENVIOS!$A$4:$A$3003,0)),"—"))</f>
        <v/>
      </c>
      <c r="K1264" s="28">
        <f>IF($D1264="","",IFERROR(INDEX(ENVIOS!$H$4:$H$3003,MATCH($D1264,ENVIOS!$A$4:$A$3003,0)),"—"))</f>
        <v/>
      </c>
      <c r="L1264" s="49">
        <f>IF($D1264="","",IFERROR(INDEX(ENVIOS!$C$4:$C$3003,MATCH($D1264,ENVIOS!$A$4:$A$3003,0)),""))</f>
        <v/>
      </c>
      <c r="M1264" s="50" t="n"/>
      <c r="N1264" s="28">
        <f>IF($M1264="","",IFERROR(INDEX(CONFIG!$C$4:$C$63,MATCH($M1264,CONFIG!$A$4:$A$63,0)),"Media"))</f>
        <v/>
      </c>
      <c r="O1264" s="28">
        <f>IF($M1264="","",IF($C1264="Interna","NO",IFERROR(INDEX(CONFIG!$E$4:$E$63,MATCH($M1264,CONFIG!$A$4:$A$63,0)),"NO")))</f>
        <v/>
      </c>
      <c r="P1264" s="50" t="n"/>
      <c r="Q1264" s="50" t="n"/>
      <c r="R1264" s="28">
        <f>IF($Q1264="","",IFERROR(INDEX(CONFIG!$H$4:$H$63,MATCH($Q1264,CONFIG!$G$4:$G$63,0)),"Por definir"))</f>
        <v/>
      </c>
      <c r="S1264" s="28">
        <f>IF($Q1264="","",IFERROR(INDEX(CONFIG!$I$4:$I$63,MATCH($Q1264,CONFIG!$G$4:$G$63,0)),"Por definir"))</f>
        <v/>
      </c>
      <c r="T1264" s="51" t="n"/>
      <c r="U1264" s="52" t="n"/>
      <c r="V1264" s="50" t="n"/>
      <c r="W1264" s="50" t="n"/>
      <c r="X1264" s="49">
        <f>IF(OR($B1264="",$M1264=""),"",WORKDAY($B1264,IFERROR(INDEX(CONFIG!$D$4:$D$63,MATCH($M1264,CONFIG!$A$4:$A$63,0)),3)))</f>
        <v/>
      </c>
      <c r="Y1264" s="47" t="n"/>
      <c r="Z1264" s="24">
        <f>IF($B1264="","",IF($Y1264&lt;&gt;"",$Y1264-$B1264,TODAY()-$B1264))</f>
        <v/>
      </c>
      <c r="AA1264" s="28">
        <f>IF($B1264="","",IF(IFERROR(INDEX(CONFIG!$L$4:$L$63,MATCH($V1264,CONFIG!$K$4:$K$63,0)),"NO")="SÍ",IF(OR($Y1264="",$X1264=""),"Resuelta",IF($Y1264&gt;$X1264,"Resuelta tarde","Resuelta a tiempo")),IF($X1264="","Sin clasificar",IF(TODAY()&gt;$X1264,"Vencida",IF(TODAY()&gt;=$X1264-1,"Por vencer","En plazo")))))</f>
        <v/>
      </c>
      <c r="AB1264" s="50" t="n"/>
      <c r="AC1264" s="50" t="n"/>
    </row>
    <row r="1265" ht="16" customHeight="1">
      <c r="A1265" s="28">
        <f>IF($B1265="","","N-"&amp;TEXT(ROW()-3,"0000"))</f>
        <v/>
      </c>
      <c r="B1265" s="47" t="n"/>
      <c r="C1265" s="48" t="n"/>
      <c r="D1265" s="48" t="n"/>
      <c r="E1265" s="28">
        <f>IF($C1265="","",IF($D1265="",IF($C1265="Interna","Sin guía (interna)","FALTA GUÍA"),IF(COUNTIFS(ENVIOS!$A$4:$A$3003,$D1265)=0,"NO EXISTE",IF(COUNTIFS(ENVIOS!$A$4:$A$3003,$D1265)&gt;1,"DUPLICADA","OK"))))</f>
        <v/>
      </c>
      <c r="F1265" s="28">
        <f>IF($D1265="","",IFERROR(INDEX(ENVIOS!$B$4:$B$3003,MATCH($D1265,ENVIOS!$A$4:$A$3003,0)),"—"))</f>
        <v/>
      </c>
      <c r="G1265" s="23">
        <f>IF($D1265="","",IFERROR(INDEX(ENVIOS!$D$4:$D$3003,MATCH($D1265,ENVIOS!$A$4:$A$3003,0)),"—"))</f>
        <v/>
      </c>
      <c r="H1265" s="23">
        <f>IF($D1265="","",IFERROR(INDEX(ENVIOS!$E$4:$E$3003,MATCH($D1265,ENVIOS!$A$4:$A$3003,0)),"—"))</f>
        <v/>
      </c>
      <c r="I1265" s="23">
        <f>IF($D1265="","",IFERROR(INDEX(ENVIOS!$F$4:$F$3003,MATCH($D1265,ENVIOS!$A$4:$A$3003,0)),"—"))</f>
        <v/>
      </c>
      <c r="J1265" s="23">
        <f>IF($D1265="","",IFERROR(INDEX(ENVIOS!$G$4:$G$3003,MATCH($D1265,ENVIOS!$A$4:$A$3003,0)),"—"))</f>
        <v/>
      </c>
      <c r="K1265" s="28">
        <f>IF($D1265="","",IFERROR(INDEX(ENVIOS!$H$4:$H$3003,MATCH($D1265,ENVIOS!$A$4:$A$3003,0)),"—"))</f>
        <v/>
      </c>
      <c r="L1265" s="49">
        <f>IF($D1265="","",IFERROR(INDEX(ENVIOS!$C$4:$C$3003,MATCH($D1265,ENVIOS!$A$4:$A$3003,0)),""))</f>
        <v/>
      </c>
      <c r="M1265" s="50" t="n"/>
      <c r="N1265" s="28">
        <f>IF($M1265="","",IFERROR(INDEX(CONFIG!$C$4:$C$63,MATCH($M1265,CONFIG!$A$4:$A$63,0)),"Media"))</f>
        <v/>
      </c>
      <c r="O1265" s="28">
        <f>IF($M1265="","",IF($C1265="Interna","NO",IFERROR(INDEX(CONFIG!$E$4:$E$63,MATCH($M1265,CONFIG!$A$4:$A$63,0)),"NO")))</f>
        <v/>
      </c>
      <c r="P1265" s="50" t="n"/>
      <c r="Q1265" s="50" t="n"/>
      <c r="R1265" s="28">
        <f>IF($Q1265="","",IFERROR(INDEX(CONFIG!$H$4:$H$63,MATCH($Q1265,CONFIG!$G$4:$G$63,0)),"Por definir"))</f>
        <v/>
      </c>
      <c r="S1265" s="28">
        <f>IF($Q1265="","",IFERROR(INDEX(CONFIG!$I$4:$I$63,MATCH($Q1265,CONFIG!$G$4:$G$63,0)),"Por definir"))</f>
        <v/>
      </c>
      <c r="T1265" s="51" t="n"/>
      <c r="U1265" s="52" t="n"/>
      <c r="V1265" s="50" t="n"/>
      <c r="W1265" s="50" t="n"/>
      <c r="X1265" s="49">
        <f>IF(OR($B1265="",$M1265=""),"",WORKDAY($B1265,IFERROR(INDEX(CONFIG!$D$4:$D$63,MATCH($M1265,CONFIG!$A$4:$A$63,0)),3)))</f>
        <v/>
      </c>
      <c r="Y1265" s="47" t="n"/>
      <c r="Z1265" s="24">
        <f>IF($B1265="","",IF($Y1265&lt;&gt;"",$Y1265-$B1265,TODAY()-$B1265))</f>
        <v/>
      </c>
      <c r="AA1265" s="28">
        <f>IF($B1265="","",IF(IFERROR(INDEX(CONFIG!$L$4:$L$63,MATCH($V1265,CONFIG!$K$4:$K$63,0)),"NO")="SÍ",IF(OR($Y1265="",$X1265=""),"Resuelta",IF($Y1265&gt;$X1265,"Resuelta tarde","Resuelta a tiempo")),IF($X1265="","Sin clasificar",IF(TODAY()&gt;$X1265,"Vencida",IF(TODAY()&gt;=$X1265-1,"Por vencer","En plazo")))))</f>
        <v/>
      </c>
      <c r="AB1265" s="50" t="n"/>
      <c r="AC1265" s="50" t="n"/>
    </row>
    <row r="1266" ht="16" customHeight="1">
      <c r="A1266" s="28">
        <f>IF($B1266="","","N-"&amp;TEXT(ROW()-3,"0000"))</f>
        <v/>
      </c>
      <c r="B1266" s="47" t="n"/>
      <c r="C1266" s="48" t="n"/>
      <c r="D1266" s="48" t="n"/>
      <c r="E1266" s="28">
        <f>IF($C1266="","",IF($D1266="",IF($C1266="Interna","Sin guía (interna)","FALTA GUÍA"),IF(COUNTIFS(ENVIOS!$A$4:$A$3003,$D1266)=0,"NO EXISTE",IF(COUNTIFS(ENVIOS!$A$4:$A$3003,$D1266)&gt;1,"DUPLICADA","OK"))))</f>
        <v/>
      </c>
      <c r="F1266" s="28">
        <f>IF($D1266="","",IFERROR(INDEX(ENVIOS!$B$4:$B$3003,MATCH($D1266,ENVIOS!$A$4:$A$3003,0)),"—"))</f>
        <v/>
      </c>
      <c r="G1266" s="23">
        <f>IF($D1266="","",IFERROR(INDEX(ENVIOS!$D$4:$D$3003,MATCH($D1266,ENVIOS!$A$4:$A$3003,0)),"—"))</f>
        <v/>
      </c>
      <c r="H1266" s="23">
        <f>IF($D1266="","",IFERROR(INDEX(ENVIOS!$E$4:$E$3003,MATCH($D1266,ENVIOS!$A$4:$A$3003,0)),"—"))</f>
        <v/>
      </c>
      <c r="I1266" s="23">
        <f>IF($D1266="","",IFERROR(INDEX(ENVIOS!$F$4:$F$3003,MATCH($D1266,ENVIOS!$A$4:$A$3003,0)),"—"))</f>
        <v/>
      </c>
      <c r="J1266" s="23">
        <f>IF($D1266="","",IFERROR(INDEX(ENVIOS!$G$4:$G$3003,MATCH($D1266,ENVIOS!$A$4:$A$3003,0)),"—"))</f>
        <v/>
      </c>
      <c r="K1266" s="28">
        <f>IF($D1266="","",IFERROR(INDEX(ENVIOS!$H$4:$H$3003,MATCH($D1266,ENVIOS!$A$4:$A$3003,0)),"—"))</f>
        <v/>
      </c>
      <c r="L1266" s="49">
        <f>IF($D1266="","",IFERROR(INDEX(ENVIOS!$C$4:$C$3003,MATCH($D1266,ENVIOS!$A$4:$A$3003,0)),""))</f>
        <v/>
      </c>
      <c r="M1266" s="50" t="n"/>
      <c r="N1266" s="28">
        <f>IF($M1266="","",IFERROR(INDEX(CONFIG!$C$4:$C$63,MATCH($M1266,CONFIG!$A$4:$A$63,0)),"Media"))</f>
        <v/>
      </c>
      <c r="O1266" s="28">
        <f>IF($M1266="","",IF($C1266="Interna","NO",IFERROR(INDEX(CONFIG!$E$4:$E$63,MATCH($M1266,CONFIG!$A$4:$A$63,0)),"NO")))</f>
        <v/>
      </c>
      <c r="P1266" s="50" t="n"/>
      <c r="Q1266" s="50" t="n"/>
      <c r="R1266" s="28">
        <f>IF($Q1266="","",IFERROR(INDEX(CONFIG!$H$4:$H$63,MATCH($Q1266,CONFIG!$G$4:$G$63,0)),"Por definir"))</f>
        <v/>
      </c>
      <c r="S1266" s="28">
        <f>IF($Q1266="","",IFERROR(INDEX(CONFIG!$I$4:$I$63,MATCH($Q1266,CONFIG!$G$4:$G$63,0)),"Por definir"))</f>
        <v/>
      </c>
      <c r="T1266" s="51" t="n"/>
      <c r="U1266" s="52" t="n"/>
      <c r="V1266" s="50" t="n"/>
      <c r="W1266" s="50" t="n"/>
      <c r="X1266" s="49">
        <f>IF(OR($B1266="",$M1266=""),"",WORKDAY($B1266,IFERROR(INDEX(CONFIG!$D$4:$D$63,MATCH($M1266,CONFIG!$A$4:$A$63,0)),3)))</f>
        <v/>
      </c>
      <c r="Y1266" s="47" t="n"/>
      <c r="Z1266" s="24">
        <f>IF($B1266="","",IF($Y1266&lt;&gt;"",$Y1266-$B1266,TODAY()-$B1266))</f>
        <v/>
      </c>
      <c r="AA1266" s="28">
        <f>IF($B1266="","",IF(IFERROR(INDEX(CONFIG!$L$4:$L$63,MATCH($V1266,CONFIG!$K$4:$K$63,0)),"NO")="SÍ",IF(OR($Y1266="",$X1266=""),"Resuelta",IF($Y1266&gt;$X1266,"Resuelta tarde","Resuelta a tiempo")),IF($X1266="","Sin clasificar",IF(TODAY()&gt;$X1266,"Vencida",IF(TODAY()&gt;=$X1266-1,"Por vencer","En plazo")))))</f>
        <v/>
      </c>
      <c r="AB1266" s="50" t="n"/>
      <c r="AC1266" s="50" t="n"/>
    </row>
    <row r="1267" ht="16" customHeight="1">
      <c r="A1267" s="28">
        <f>IF($B1267="","","N-"&amp;TEXT(ROW()-3,"0000"))</f>
        <v/>
      </c>
      <c r="B1267" s="47" t="n"/>
      <c r="C1267" s="48" t="n"/>
      <c r="D1267" s="48" t="n"/>
      <c r="E1267" s="28">
        <f>IF($C1267="","",IF($D1267="",IF($C1267="Interna","Sin guía (interna)","FALTA GUÍA"),IF(COUNTIFS(ENVIOS!$A$4:$A$3003,$D1267)=0,"NO EXISTE",IF(COUNTIFS(ENVIOS!$A$4:$A$3003,$D1267)&gt;1,"DUPLICADA","OK"))))</f>
        <v/>
      </c>
      <c r="F1267" s="28">
        <f>IF($D1267="","",IFERROR(INDEX(ENVIOS!$B$4:$B$3003,MATCH($D1267,ENVIOS!$A$4:$A$3003,0)),"—"))</f>
        <v/>
      </c>
      <c r="G1267" s="23">
        <f>IF($D1267="","",IFERROR(INDEX(ENVIOS!$D$4:$D$3003,MATCH($D1267,ENVIOS!$A$4:$A$3003,0)),"—"))</f>
        <v/>
      </c>
      <c r="H1267" s="23">
        <f>IF($D1267="","",IFERROR(INDEX(ENVIOS!$E$4:$E$3003,MATCH($D1267,ENVIOS!$A$4:$A$3003,0)),"—"))</f>
        <v/>
      </c>
      <c r="I1267" s="23">
        <f>IF($D1267="","",IFERROR(INDEX(ENVIOS!$F$4:$F$3003,MATCH($D1267,ENVIOS!$A$4:$A$3003,0)),"—"))</f>
        <v/>
      </c>
      <c r="J1267" s="23">
        <f>IF($D1267="","",IFERROR(INDEX(ENVIOS!$G$4:$G$3003,MATCH($D1267,ENVIOS!$A$4:$A$3003,0)),"—"))</f>
        <v/>
      </c>
      <c r="K1267" s="28">
        <f>IF($D1267="","",IFERROR(INDEX(ENVIOS!$H$4:$H$3003,MATCH($D1267,ENVIOS!$A$4:$A$3003,0)),"—"))</f>
        <v/>
      </c>
      <c r="L1267" s="49">
        <f>IF($D1267="","",IFERROR(INDEX(ENVIOS!$C$4:$C$3003,MATCH($D1267,ENVIOS!$A$4:$A$3003,0)),""))</f>
        <v/>
      </c>
      <c r="M1267" s="50" t="n"/>
      <c r="N1267" s="28">
        <f>IF($M1267="","",IFERROR(INDEX(CONFIG!$C$4:$C$63,MATCH($M1267,CONFIG!$A$4:$A$63,0)),"Media"))</f>
        <v/>
      </c>
      <c r="O1267" s="28">
        <f>IF($M1267="","",IF($C1267="Interna","NO",IFERROR(INDEX(CONFIG!$E$4:$E$63,MATCH($M1267,CONFIG!$A$4:$A$63,0)),"NO")))</f>
        <v/>
      </c>
      <c r="P1267" s="50" t="n"/>
      <c r="Q1267" s="50" t="n"/>
      <c r="R1267" s="28">
        <f>IF($Q1267="","",IFERROR(INDEX(CONFIG!$H$4:$H$63,MATCH($Q1267,CONFIG!$G$4:$G$63,0)),"Por definir"))</f>
        <v/>
      </c>
      <c r="S1267" s="28">
        <f>IF($Q1267="","",IFERROR(INDEX(CONFIG!$I$4:$I$63,MATCH($Q1267,CONFIG!$G$4:$G$63,0)),"Por definir"))</f>
        <v/>
      </c>
      <c r="T1267" s="51" t="n"/>
      <c r="U1267" s="52" t="n"/>
      <c r="V1267" s="50" t="n"/>
      <c r="W1267" s="50" t="n"/>
      <c r="X1267" s="49">
        <f>IF(OR($B1267="",$M1267=""),"",WORKDAY($B1267,IFERROR(INDEX(CONFIG!$D$4:$D$63,MATCH($M1267,CONFIG!$A$4:$A$63,0)),3)))</f>
        <v/>
      </c>
      <c r="Y1267" s="47" t="n"/>
      <c r="Z1267" s="24">
        <f>IF($B1267="","",IF($Y1267&lt;&gt;"",$Y1267-$B1267,TODAY()-$B1267))</f>
        <v/>
      </c>
      <c r="AA1267" s="28">
        <f>IF($B1267="","",IF(IFERROR(INDEX(CONFIG!$L$4:$L$63,MATCH($V1267,CONFIG!$K$4:$K$63,0)),"NO")="SÍ",IF(OR($Y1267="",$X1267=""),"Resuelta",IF($Y1267&gt;$X1267,"Resuelta tarde","Resuelta a tiempo")),IF($X1267="","Sin clasificar",IF(TODAY()&gt;$X1267,"Vencida",IF(TODAY()&gt;=$X1267-1,"Por vencer","En plazo")))))</f>
        <v/>
      </c>
      <c r="AB1267" s="50" t="n"/>
      <c r="AC1267" s="50" t="n"/>
    </row>
    <row r="1268" ht="16" customHeight="1">
      <c r="A1268" s="28">
        <f>IF($B1268="","","N-"&amp;TEXT(ROW()-3,"0000"))</f>
        <v/>
      </c>
      <c r="B1268" s="47" t="n"/>
      <c r="C1268" s="48" t="n"/>
      <c r="D1268" s="48" t="n"/>
      <c r="E1268" s="28">
        <f>IF($C1268="","",IF($D1268="",IF($C1268="Interna","Sin guía (interna)","FALTA GUÍA"),IF(COUNTIFS(ENVIOS!$A$4:$A$3003,$D1268)=0,"NO EXISTE",IF(COUNTIFS(ENVIOS!$A$4:$A$3003,$D1268)&gt;1,"DUPLICADA","OK"))))</f>
        <v/>
      </c>
      <c r="F1268" s="28">
        <f>IF($D1268="","",IFERROR(INDEX(ENVIOS!$B$4:$B$3003,MATCH($D1268,ENVIOS!$A$4:$A$3003,0)),"—"))</f>
        <v/>
      </c>
      <c r="G1268" s="23">
        <f>IF($D1268="","",IFERROR(INDEX(ENVIOS!$D$4:$D$3003,MATCH($D1268,ENVIOS!$A$4:$A$3003,0)),"—"))</f>
        <v/>
      </c>
      <c r="H1268" s="23">
        <f>IF($D1268="","",IFERROR(INDEX(ENVIOS!$E$4:$E$3003,MATCH($D1268,ENVIOS!$A$4:$A$3003,0)),"—"))</f>
        <v/>
      </c>
      <c r="I1268" s="23">
        <f>IF($D1268="","",IFERROR(INDEX(ENVIOS!$F$4:$F$3003,MATCH($D1268,ENVIOS!$A$4:$A$3003,0)),"—"))</f>
        <v/>
      </c>
      <c r="J1268" s="23">
        <f>IF($D1268="","",IFERROR(INDEX(ENVIOS!$G$4:$G$3003,MATCH($D1268,ENVIOS!$A$4:$A$3003,0)),"—"))</f>
        <v/>
      </c>
      <c r="K1268" s="28">
        <f>IF($D1268="","",IFERROR(INDEX(ENVIOS!$H$4:$H$3003,MATCH($D1268,ENVIOS!$A$4:$A$3003,0)),"—"))</f>
        <v/>
      </c>
      <c r="L1268" s="49">
        <f>IF($D1268="","",IFERROR(INDEX(ENVIOS!$C$4:$C$3003,MATCH($D1268,ENVIOS!$A$4:$A$3003,0)),""))</f>
        <v/>
      </c>
      <c r="M1268" s="50" t="n"/>
      <c r="N1268" s="28">
        <f>IF($M1268="","",IFERROR(INDEX(CONFIG!$C$4:$C$63,MATCH($M1268,CONFIG!$A$4:$A$63,0)),"Media"))</f>
        <v/>
      </c>
      <c r="O1268" s="28">
        <f>IF($M1268="","",IF($C1268="Interna","NO",IFERROR(INDEX(CONFIG!$E$4:$E$63,MATCH($M1268,CONFIG!$A$4:$A$63,0)),"NO")))</f>
        <v/>
      </c>
      <c r="P1268" s="50" t="n"/>
      <c r="Q1268" s="50" t="n"/>
      <c r="R1268" s="28">
        <f>IF($Q1268="","",IFERROR(INDEX(CONFIG!$H$4:$H$63,MATCH($Q1268,CONFIG!$G$4:$G$63,0)),"Por definir"))</f>
        <v/>
      </c>
      <c r="S1268" s="28">
        <f>IF($Q1268="","",IFERROR(INDEX(CONFIG!$I$4:$I$63,MATCH($Q1268,CONFIG!$G$4:$G$63,0)),"Por definir"))</f>
        <v/>
      </c>
      <c r="T1268" s="51" t="n"/>
      <c r="U1268" s="52" t="n"/>
      <c r="V1268" s="50" t="n"/>
      <c r="W1268" s="50" t="n"/>
      <c r="X1268" s="49">
        <f>IF(OR($B1268="",$M1268=""),"",WORKDAY($B1268,IFERROR(INDEX(CONFIG!$D$4:$D$63,MATCH($M1268,CONFIG!$A$4:$A$63,0)),3)))</f>
        <v/>
      </c>
      <c r="Y1268" s="47" t="n"/>
      <c r="Z1268" s="24">
        <f>IF($B1268="","",IF($Y1268&lt;&gt;"",$Y1268-$B1268,TODAY()-$B1268))</f>
        <v/>
      </c>
      <c r="AA1268" s="28">
        <f>IF($B1268="","",IF(IFERROR(INDEX(CONFIG!$L$4:$L$63,MATCH($V1268,CONFIG!$K$4:$K$63,0)),"NO")="SÍ",IF(OR($Y1268="",$X1268=""),"Resuelta",IF($Y1268&gt;$X1268,"Resuelta tarde","Resuelta a tiempo")),IF($X1268="","Sin clasificar",IF(TODAY()&gt;$X1268,"Vencida",IF(TODAY()&gt;=$X1268-1,"Por vencer","En plazo")))))</f>
        <v/>
      </c>
      <c r="AB1268" s="50" t="n"/>
      <c r="AC1268" s="50" t="n"/>
    </row>
    <row r="1269" ht="16" customHeight="1">
      <c r="A1269" s="28">
        <f>IF($B1269="","","N-"&amp;TEXT(ROW()-3,"0000"))</f>
        <v/>
      </c>
      <c r="B1269" s="47" t="n"/>
      <c r="C1269" s="48" t="n"/>
      <c r="D1269" s="48" t="n"/>
      <c r="E1269" s="28">
        <f>IF($C1269="","",IF($D1269="",IF($C1269="Interna","Sin guía (interna)","FALTA GUÍA"),IF(COUNTIFS(ENVIOS!$A$4:$A$3003,$D1269)=0,"NO EXISTE",IF(COUNTIFS(ENVIOS!$A$4:$A$3003,$D1269)&gt;1,"DUPLICADA","OK"))))</f>
        <v/>
      </c>
      <c r="F1269" s="28">
        <f>IF($D1269="","",IFERROR(INDEX(ENVIOS!$B$4:$B$3003,MATCH($D1269,ENVIOS!$A$4:$A$3003,0)),"—"))</f>
        <v/>
      </c>
      <c r="G1269" s="23">
        <f>IF($D1269="","",IFERROR(INDEX(ENVIOS!$D$4:$D$3003,MATCH($D1269,ENVIOS!$A$4:$A$3003,0)),"—"))</f>
        <v/>
      </c>
      <c r="H1269" s="23">
        <f>IF($D1269="","",IFERROR(INDEX(ENVIOS!$E$4:$E$3003,MATCH($D1269,ENVIOS!$A$4:$A$3003,0)),"—"))</f>
        <v/>
      </c>
      <c r="I1269" s="23">
        <f>IF($D1269="","",IFERROR(INDEX(ENVIOS!$F$4:$F$3003,MATCH($D1269,ENVIOS!$A$4:$A$3003,0)),"—"))</f>
        <v/>
      </c>
      <c r="J1269" s="23">
        <f>IF($D1269="","",IFERROR(INDEX(ENVIOS!$G$4:$G$3003,MATCH($D1269,ENVIOS!$A$4:$A$3003,0)),"—"))</f>
        <v/>
      </c>
      <c r="K1269" s="28">
        <f>IF($D1269="","",IFERROR(INDEX(ENVIOS!$H$4:$H$3003,MATCH($D1269,ENVIOS!$A$4:$A$3003,0)),"—"))</f>
        <v/>
      </c>
      <c r="L1269" s="49">
        <f>IF($D1269="","",IFERROR(INDEX(ENVIOS!$C$4:$C$3003,MATCH($D1269,ENVIOS!$A$4:$A$3003,0)),""))</f>
        <v/>
      </c>
      <c r="M1269" s="50" t="n"/>
      <c r="N1269" s="28">
        <f>IF($M1269="","",IFERROR(INDEX(CONFIG!$C$4:$C$63,MATCH($M1269,CONFIG!$A$4:$A$63,0)),"Media"))</f>
        <v/>
      </c>
      <c r="O1269" s="28">
        <f>IF($M1269="","",IF($C1269="Interna","NO",IFERROR(INDEX(CONFIG!$E$4:$E$63,MATCH($M1269,CONFIG!$A$4:$A$63,0)),"NO")))</f>
        <v/>
      </c>
      <c r="P1269" s="50" t="n"/>
      <c r="Q1269" s="50" t="n"/>
      <c r="R1269" s="28">
        <f>IF($Q1269="","",IFERROR(INDEX(CONFIG!$H$4:$H$63,MATCH($Q1269,CONFIG!$G$4:$G$63,0)),"Por definir"))</f>
        <v/>
      </c>
      <c r="S1269" s="28">
        <f>IF($Q1269="","",IFERROR(INDEX(CONFIG!$I$4:$I$63,MATCH($Q1269,CONFIG!$G$4:$G$63,0)),"Por definir"))</f>
        <v/>
      </c>
      <c r="T1269" s="51" t="n"/>
      <c r="U1269" s="52" t="n"/>
      <c r="V1269" s="50" t="n"/>
      <c r="W1269" s="50" t="n"/>
      <c r="X1269" s="49">
        <f>IF(OR($B1269="",$M1269=""),"",WORKDAY($B1269,IFERROR(INDEX(CONFIG!$D$4:$D$63,MATCH($M1269,CONFIG!$A$4:$A$63,0)),3)))</f>
        <v/>
      </c>
      <c r="Y1269" s="47" t="n"/>
      <c r="Z1269" s="24">
        <f>IF($B1269="","",IF($Y1269&lt;&gt;"",$Y1269-$B1269,TODAY()-$B1269))</f>
        <v/>
      </c>
      <c r="AA1269" s="28">
        <f>IF($B1269="","",IF(IFERROR(INDEX(CONFIG!$L$4:$L$63,MATCH($V1269,CONFIG!$K$4:$K$63,0)),"NO")="SÍ",IF(OR($Y1269="",$X1269=""),"Resuelta",IF($Y1269&gt;$X1269,"Resuelta tarde","Resuelta a tiempo")),IF($X1269="","Sin clasificar",IF(TODAY()&gt;$X1269,"Vencida",IF(TODAY()&gt;=$X1269-1,"Por vencer","En plazo")))))</f>
        <v/>
      </c>
      <c r="AB1269" s="50" t="n"/>
      <c r="AC1269" s="50" t="n"/>
    </row>
    <row r="1270" ht="16" customHeight="1">
      <c r="A1270" s="28">
        <f>IF($B1270="","","N-"&amp;TEXT(ROW()-3,"0000"))</f>
        <v/>
      </c>
      <c r="B1270" s="47" t="n"/>
      <c r="C1270" s="48" t="n"/>
      <c r="D1270" s="48" t="n"/>
      <c r="E1270" s="28">
        <f>IF($C1270="","",IF($D1270="",IF($C1270="Interna","Sin guía (interna)","FALTA GUÍA"),IF(COUNTIFS(ENVIOS!$A$4:$A$3003,$D1270)=0,"NO EXISTE",IF(COUNTIFS(ENVIOS!$A$4:$A$3003,$D1270)&gt;1,"DUPLICADA","OK"))))</f>
        <v/>
      </c>
      <c r="F1270" s="28">
        <f>IF($D1270="","",IFERROR(INDEX(ENVIOS!$B$4:$B$3003,MATCH($D1270,ENVIOS!$A$4:$A$3003,0)),"—"))</f>
        <v/>
      </c>
      <c r="G1270" s="23">
        <f>IF($D1270="","",IFERROR(INDEX(ENVIOS!$D$4:$D$3003,MATCH($D1270,ENVIOS!$A$4:$A$3003,0)),"—"))</f>
        <v/>
      </c>
      <c r="H1270" s="23">
        <f>IF($D1270="","",IFERROR(INDEX(ENVIOS!$E$4:$E$3003,MATCH($D1270,ENVIOS!$A$4:$A$3003,0)),"—"))</f>
        <v/>
      </c>
      <c r="I1270" s="23">
        <f>IF($D1270="","",IFERROR(INDEX(ENVIOS!$F$4:$F$3003,MATCH($D1270,ENVIOS!$A$4:$A$3003,0)),"—"))</f>
        <v/>
      </c>
      <c r="J1270" s="23">
        <f>IF($D1270="","",IFERROR(INDEX(ENVIOS!$G$4:$G$3003,MATCH($D1270,ENVIOS!$A$4:$A$3003,0)),"—"))</f>
        <v/>
      </c>
      <c r="K1270" s="28">
        <f>IF($D1270="","",IFERROR(INDEX(ENVIOS!$H$4:$H$3003,MATCH($D1270,ENVIOS!$A$4:$A$3003,0)),"—"))</f>
        <v/>
      </c>
      <c r="L1270" s="49">
        <f>IF($D1270="","",IFERROR(INDEX(ENVIOS!$C$4:$C$3003,MATCH($D1270,ENVIOS!$A$4:$A$3003,0)),""))</f>
        <v/>
      </c>
      <c r="M1270" s="50" t="n"/>
      <c r="N1270" s="28">
        <f>IF($M1270="","",IFERROR(INDEX(CONFIG!$C$4:$C$63,MATCH($M1270,CONFIG!$A$4:$A$63,0)),"Media"))</f>
        <v/>
      </c>
      <c r="O1270" s="28">
        <f>IF($M1270="","",IF($C1270="Interna","NO",IFERROR(INDEX(CONFIG!$E$4:$E$63,MATCH($M1270,CONFIG!$A$4:$A$63,0)),"NO")))</f>
        <v/>
      </c>
      <c r="P1270" s="50" t="n"/>
      <c r="Q1270" s="50" t="n"/>
      <c r="R1270" s="28">
        <f>IF($Q1270="","",IFERROR(INDEX(CONFIG!$H$4:$H$63,MATCH($Q1270,CONFIG!$G$4:$G$63,0)),"Por definir"))</f>
        <v/>
      </c>
      <c r="S1270" s="28">
        <f>IF($Q1270="","",IFERROR(INDEX(CONFIG!$I$4:$I$63,MATCH($Q1270,CONFIG!$G$4:$G$63,0)),"Por definir"))</f>
        <v/>
      </c>
      <c r="T1270" s="51" t="n"/>
      <c r="U1270" s="52" t="n"/>
      <c r="V1270" s="50" t="n"/>
      <c r="W1270" s="50" t="n"/>
      <c r="X1270" s="49">
        <f>IF(OR($B1270="",$M1270=""),"",WORKDAY($B1270,IFERROR(INDEX(CONFIG!$D$4:$D$63,MATCH($M1270,CONFIG!$A$4:$A$63,0)),3)))</f>
        <v/>
      </c>
      <c r="Y1270" s="47" t="n"/>
      <c r="Z1270" s="24">
        <f>IF($B1270="","",IF($Y1270&lt;&gt;"",$Y1270-$B1270,TODAY()-$B1270))</f>
        <v/>
      </c>
      <c r="AA1270" s="28">
        <f>IF($B1270="","",IF(IFERROR(INDEX(CONFIG!$L$4:$L$63,MATCH($V1270,CONFIG!$K$4:$K$63,0)),"NO")="SÍ",IF(OR($Y1270="",$X1270=""),"Resuelta",IF($Y1270&gt;$X1270,"Resuelta tarde","Resuelta a tiempo")),IF($X1270="","Sin clasificar",IF(TODAY()&gt;$X1270,"Vencida",IF(TODAY()&gt;=$X1270-1,"Por vencer","En plazo")))))</f>
        <v/>
      </c>
      <c r="AB1270" s="50" t="n"/>
      <c r="AC1270" s="50" t="n"/>
    </row>
    <row r="1271" ht="16" customHeight="1">
      <c r="A1271" s="28">
        <f>IF($B1271="","","N-"&amp;TEXT(ROW()-3,"0000"))</f>
        <v/>
      </c>
      <c r="B1271" s="47" t="n"/>
      <c r="C1271" s="48" t="n"/>
      <c r="D1271" s="48" t="n"/>
      <c r="E1271" s="28">
        <f>IF($C1271="","",IF($D1271="",IF($C1271="Interna","Sin guía (interna)","FALTA GUÍA"),IF(COUNTIFS(ENVIOS!$A$4:$A$3003,$D1271)=0,"NO EXISTE",IF(COUNTIFS(ENVIOS!$A$4:$A$3003,$D1271)&gt;1,"DUPLICADA","OK"))))</f>
        <v/>
      </c>
      <c r="F1271" s="28">
        <f>IF($D1271="","",IFERROR(INDEX(ENVIOS!$B$4:$B$3003,MATCH($D1271,ENVIOS!$A$4:$A$3003,0)),"—"))</f>
        <v/>
      </c>
      <c r="G1271" s="23">
        <f>IF($D1271="","",IFERROR(INDEX(ENVIOS!$D$4:$D$3003,MATCH($D1271,ENVIOS!$A$4:$A$3003,0)),"—"))</f>
        <v/>
      </c>
      <c r="H1271" s="23">
        <f>IF($D1271="","",IFERROR(INDEX(ENVIOS!$E$4:$E$3003,MATCH($D1271,ENVIOS!$A$4:$A$3003,0)),"—"))</f>
        <v/>
      </c>
      <c r="I1271" s="23">
        <f>IF($D1271="","",IFERROR(INDEX(ENVIOS!$F$4:$F$3003,MATCH($D1271,ENVIOS!$A$4:$A$3003,0)),"—"))</f>
        <v/>
      </c>
      <c r="J1271" s="23">
        <f>IF($D1271="","",IFERROR(INDEX(ENVIOS!$G$4:$G$3003,MATCH($D1271,ENVIOS!$A$4:$A$3003,0)),"—"))</f>
        <v/>
      </c>
      <c r="K1271" s="28">
        <f>IF($D1271="","",IFERROR(INDEX(ENVIOS!$H$4:$H$3003,MATCH($D1271,ENVIOS!$A$4:$A$3003,0)),"—"))</f>
        <v/>
      </c>
      <c r="L1271" s="49">
        <f>IF($D1271="","",IFERROR(INDEX(ENVIOS!$C$4:$C$3003,MATCH($D1271,ENVIOS!$A$4:$A$3003,0)),""))</f>
        <v/>
      </c>
      <c r="M1271" s="50" t="n"/>
      <c r="N1271" s="28">
        <f>IF($M1271="","",IFERROR(INDEX(CONFIG!$C$4:$C$63,MATCH($M1271,CONFIG!$A$4:$A$63,0)),"Media"))</f>
        <v/>
      </c>
      <c r="O1271" s="28">
        <f>IF($M1271="","",IF($C1271="Interna","NO",IFERROR(INDEX(CONFIG!$E$4:$E$63,MATCH($M1271,CONFIG!$A$4:$A$63,0)),"NO")))</f>
        <v/>
      </c>
      <c r="P1271" s="50" t="n"/>
      <c r="Q1271" s="50" t="n"/>
      <c r="R1271" s="28">
        <f>IF($Q1271="","",IFERROR(INDEX(CONFIG!$H$4:$H$63,MATCH($Q1271,CONFIG!$G$4:$G$63,0)),"Por definir"))</f>
        <v/>
      </c>
      <c r="S1271" s="28">
        <f>IF($Q1271="","",IFERROR(INDEX(CONFIG!$I$4:$I$63,MATCH($Q1271,CONFIG!$G$4:$G$63,0)),"Por definir"))</f>
        <v/>
      </c>
      <c r="T1271" s="51" t="n"/>
      <c r="U1271" s="52" t="n"/>
      <c r="V1271" s="50" t="n"/>
      <c r="W1271" s="50" t="n"/>
      <c r="X1271" s="49">
        <f>IF(OR($B1271="",$M1271=""),"",WORKDAY($B1271,IFERROR(INDEX(CONFIG!$D$4:$D$63,MATCH($M1271,CONFIG!$A$4:$A$63,0)),3)))</f>
        <v/>
      </c>
      <c r="Y1271" s="47" t="n"/>
      <c r="Z1271" s="24">
        <f>IF($B1271="","",IF($Y1271&lt;&gt;"",$Y1271-$B1271,TODAY()-$B1271))</f>
        <v/>
      </c>
      <c r="AA1271" s="28">
        <f>IF($B1271="","",IF(IFERROR(INDEX(CONFIG!$L$4:$L$63,MATCH($V1271,CONFIG!$K$4:$K$63,0)),"NO")="SÍ",IF(OR($Y1271="",$X1271=""),"Resuelta",IF($Y1271&gt;$X1271,"Resuelta tarde","Resuelta a tiempo")),IF($X1271="","Sin clasificar",IF(TODAY()&gt;$X1271,"Vencida",IF(TODAY()&gt;=$X1271-1,"Por vencer","En plazo")))))</f>
        <v/>
      </c>
      <c r="AB1271" s="50" t="n"/>
      <c r="AC1271" s="50" t="n"/>
    </row>
    <row r="1272" ht="16" customHeight="1">
      <c r="A1272" s="28">
        <f>IF($B1272="","","N-"&amp;TEXT(ROW()-3,"0000"))</f>
        <v/>
      </c>
      <c r="B1272" s="47" t="n"/>
      <c r="C1272" s="48" t="n"/>
      <c r="D1272" s="48" t="n"/>
      <c r="E1272" s="28">
        <f>IF($C1272="","",IF($D1272="",IF($C1272="Interna","Sin guía (interna)","FALTA GUÍA"),IF(COUNTIFS(ENVIOS!$A$4:$A$3003,$D1272)=0,"NO EXISTE",IF(COUNTIFS(ENVIOS!$A$4:$A$3003,$D1272)&gt;1,"DUPLICADA","OK"))))</f>
        <v/>
      </c>
      <c r="F1272" s="28">
        <f>IF($D1272="","",IFERROR(INDEX(ENVIOS!$B$4:$B$3003,MATCH($D1272,ENVIOS!$A$4:$A$3003,0)),"—"))</f>
        <v/>
      </c>
      <c r="G1272" s="23">
        <f>IF($D1272="","",IFERROR(INDEX(ENVIOS!$D$4:$D$3003,MATCH($D1272,ENVIOS!$A$4:$A$3003,0)),"—"))</f>
        <v/>
      </c>
      <c r="H1272" s="23">
        <f>IF($D1272="","",IFERROR(INDEX(ENVIOS!$E$4:$E$3003,MATCH($D1272,ENVIOS!$A$4:$A$3003,0)),"—"))</f>
        <v/>
      </c>
      <c r="I1272" s="23">
        <f>IF($D1272="","",IFERROR(INDEX(ENVIOS!$F$4:$F$3003,MATCH($D1272,ENVIOS!$A$4:$A$3003,0)),"—"))</f>
        <v/>
      </c>
      <c r="J1272" s="23">
        <f>IF($D1272="","",IFERROR(INDEX(ENVIOS!$G$4:$G$3003,MATCH($D1272,ENVIOS!$A$4:$A$3003,0)),"—"))</f>
        <v/>
      </c>
      <c r="K1272" s="28">
        <f>IF($D1272="","",IFERROR(INDEX(ENVIOS!$H$4:$H$3003,MATCH($D1272,ENVIOS!$A$4:$A$3003,0)),"—"))</f>
        <v/>
      </c>
      <c r="L1272" s="49">
        <f>IF($D1272="","",IFERROR(INDEX(ENVIOS!$C$4:$C$3003,MATCH($D1272,ENVIOS!$A$4:$A$3003,0)),""))</f>
        <v/>
      </c>
      <c r="M1272" s="50" t="n"/>
      <c r="N1272" s="28">
        <f>IF($M1272="","",IFERROR(INDEX(CONFIG!$C$4:$C$63,MATCH($M1272,CONFIG!$A$4:$A$63,0)),"Media"))</f>
        <v/>
      </c>
      <c r="O1272" s="28">
        <f>IF($M1272="","",IF($C1272="Interna","NO",IFERROR(INDEX(CONFIG!$E$4:$E$63,MATCH($M1272,CONFIG!$A$4:$A$63,0)),"NO")))</f>
        <v/>
      </c>
      <c r="P1272" s="50" t="n"/>
      <c r="Q1272" s="50" t="n"/>
      <c r="R1272" s="28">
        <f>IF($Q1272="","",IFERROR(INDEX(CONFIG!$H$4:$H$63,MATCH($Q1272,CONFIG!$G$4:$G$63,0)),"Por definir"))</f>
        <v/>
      </c>
      <c r="S1272" s="28">
        <f>IF($Q1272="","",IFERROR(INDEX(CONFIG!$I$4:$I$63,MATCH($Q1272,CONFIG!$G$4:$G$63,0)),"Por definir"))</f>
        <v/>
      </c>
      <c r="T1272" s="51" t="n"/>
      <c r="U1272" s="52" t="n"/>
      <c r="V1272" s="50" t="n"/>
      <c r="W1272" s="50" t="n"/>
      <c r="X1272" s="49">
        <f>IF(OR($B1272="",$M1272=""),"",WORKDAY($B1272,IFERROR(INDEX(CONFIG!$D$4:$D$63,MATCH($M1272,CONFIG!$A$4:$A$63,0)),3)))</f>
        <v/>
      </c>
      <c r="Y1272" s="47" t="n"/>
      <c r="Z1272" s="24">
        <f>IF($B1272="","",IF($Y1272&lt;&gt;"",$Y1272-$B1272,TODAY()-$B1272))</f>
        <v/>
      </c>
      <c r="AA1272" s="28">
        <f>IF($B1272="","",IF(IFERROR(INDEX(CONFIG!$L$4:$L$63,MATCH($V1272,CONFIG!$K$4:$K$63,0)),"NO")="SÍ",IF(OR($Y1272="",$X1272=""),"Resuelta",IF($Y1272&gt;$X1272,"Resuelta tarde","Resuelta a tiempo")),IF($X1272="","Sin clasificar",IF(TODAY()&gt;$X1272,"Vencida",IF(TODAY()&gt;=$X1272-1,"Por vencer","En plazo")))))</f>
        <v/>
      </c>
      <c r="AB1272" s="50" t="n"/>
      <c r="AC1272" s="50" t="n"/>
    </row>
    <row r="1273" ht="16" customHeight="1">
      <c r="A1273" s="28">
        <f>IF($B1273="","","N-"&amp;TEXT(ROW()-3,"0000"))</f>
        <v/>
      </c>
      <c r="B1273" s="47" t="n"/>
      <c r="C1273" s="48" t="n"/>
      <c r="D1273" s="48" t="n"/>
      <c r="E1273" s="28">
        <f>IF($C1273="","",IF($D1273="",IF($C1273="Interna","Sin guía (interna)","FALTA GUÍA"),IF(COUNTIFS(ENVIOS!$A$4:$A$3003,$D1273)=0,"NO EXISTE",IF(COUNTIFS(ENVIOS!$A$4:$A$3003,$D1273)&gt;1,"DUPLICADA","OK"))))</f>
        <v/>
      </c>
      <c r="F1273" s="28">
        <f>IF($D1273="","",IFERROR(INDEX(ENVIOS!$B$4:$B$3003,MATCH($D1273,ENVIOS!$A$4:$A$3003,0)),"—"))</f>
        <v/>
      </c>
      <c r="G1273" s="23">
        <f>IF($D1273="","",IFERROR(INDEX(ENVIOS!$D$4:$D$3003,MATCH($D1273,ENVIOS!$A$4:$A$3003,0)),"—"))</f>
        <v/>
      </c>
      <c r="H1273" s="23">
        <f>IF($D1273="","",IFERROR(INDEX(ENVIOS!$E$4:$E$3003,MATCH($D1273,ENVIOS!$A$4:$A$3003,0)),"—"))</f>
        <v/>
      </c>
      <c r="I1273" s="23">
        <f>IF($D1273="","",IFERROR(INDEX(ENVIOS!$F$4:$F$3003,MATCH($D1273,ENVIOS!$A$4:$A$3003,0)),"—"))</f>
        <v/>
      </c>
      <c r="J1273" s="23">
        <f>IF($D1273="","",IFERROR(INDEX(ENVIOS!$G$4:$G$3003,MATCH($D1273,ENVIOS!$A$4:$A$3003,0)),"—"))</f>
        <v/>
      </c>
      <c r="K1273" s="28">
        <f>IF($D1273="","",IFERROR(INDEX(ENVIOS!$H$4:$H$3003,MATCH($D1273,ENVIOS!$A$4:$A$3003,0)),"—"))</f>
        <v/>
      </c>
      <c r="L1273" s="49">
        <f>IF($D1273="","",IFERROR(INDEX(ENVIOS!$C$4:$C$3003,MATCH($D1273,ENVIOS!$A$4:$A$3003,0)),""))</f>
        <v/>
      </c>
      <c r="M1273" s="50" t="n"/>
      <c r="N1273" s="28">
        <f>IF($M1273="","",IFERROR(INDEX(CONFIG!$C$4:$C$63,MATCH($M1273,CONFIG!$A$4:$A$63,0)),"Media"))</f>
        <v/>
      </c>
      <c r="O1273" s="28">
        <f>IF($M1273="","",IF($C1273="Interna","NO",IFERROR(INDEX(CONFIG!$E$4:$E$63,MATCH($M1273,CONFIG!$A$4:$A$63,0)),"NO")))</f>
        <v/>
      </c>
      <c r="P1273" s="50" t="n"/>
      <c r="Q1273" s="50" t="n"/>
      <c r="R1273" s="28">
        <f>IF($Q1273="","",IFERROR(INDEX(CONFIG!$H$4:$H$63,MATCH($Q1273,CONFIG!$G$4:$G$63,0)),"Por definir"))</f>
        <v/>
      </c>
      <c r="S1273" s="28">
        <f>IF($Q1273="","",IFERROR(INDEX(CONFIG!$I$4:$I$63,MATCH($Q1273,CONFIG!$G$4:$G$63,0)),"Por definir"))</f>
        <v/>
      </c>
      <c r="T1273" s="51" t="n"/>
      <c r="U1273" s="52" t="n"/>
      <c r="V1273" s="50" t="n"/>
      <c r="W1273" s="50" t="n"/>
      <c r="X1273" s="49">
        <f>IF(OR($B1273="",$M1273=""),"",WORKDAY($B1273,IFERROR(INDEX(CONFIG!$D$4:$D$63,MATCH($M1273,CONFIG!$A$4:$A$63,0)),3)))</f>
        <v/>
      </c>
      <c r="Y1273" s="47" t="n"/>
      <c r="Z1273" s="24">
        <f>IF($B1273="","",IF($Y1273&lt;&gt;"",$Y1273-$B1273,TODAY()-$B1273))</f>
        <v/>
      </c>
      <c r="AA1273" s="28">
        <f>IF($B1273="","",IF(IFERROR(INDEX(CONFIG!$L$4:$L$63,MATCH($V1273,CONFIG!$K$4:$K$63,0)),"NO")="SÍ",IF(OR($Y1273="",$X1273=""),"Resuelta",IF($Y1273&gt;$X1273,"Resuelta tarde","Resuelta a tiempo")),IF($X1273="","Sin clasificar",IF(TODAY()&gt;$X1273,"Vencida",IF(TODAY()&gt;=$X1273-1,"Por vencer","En plazo")))))</f>
        <v/>
      </c>
      <c r="AB1273" s="50" t="n"/>
      <c r="AC1273" s="50" t="n"/>
    </row>
    <row r="1274" ht="16" customHeight="1">
      <c r="A1274" s="28">
        <f>IF($B1274="","","N-"&amp;TEXT(ROW()-3,"0000"))</f>
        <v/>
      </c>
      <c r="B1274" s="47" t="n"/>
      <c r="C1274" s="48" t="n"/>
      <c r="D1274" s="48" t="n"/>
      <c r="E1274" s="28">
        <f>IF($C1274="","",IF($D1274="",IF($C1274="Interna","Sin guía (interna)","FALTA GUÍA"),IF(COUNTIFS(ENVIOS!$A$4:$A$3003,$D1274)=0,"NO EXISTE",IF(COUNTIFS(ENVIOS!$A$4:$A$3003,$D1274)&gt;1,"DUPLICADA","OK"))))</f>
        <v/>
      </c>
      <c r="F1274" s="28">
        <f>IF($D1274="","",IFERROR(INDEX(ENVIOS!$B$4:$B$3003,MATCH($D1274,ENVIOS!$A$4:$A$3003,0)),"—"))</f>
        <v/>
      </c>
      <c r="G1274" s="23">
        <f>IF($D1274="","",IFERROR(INDEX(ENVIOS!$D$4:$D$3003,MATCH($D1274,ENVIOS!$A$4:$A$3003,0)),"—"))</f>
        <v/>
      </c>
      <c r="H1274" s="23">
        <f>IF($D1274="","",IFERROR(INDEX(ENVIOS!$E$4:$E$3003,MATCH($D1274,ENVIOS!$A$4:$A$3003,0)),"—"))</f>
        <v/>
      </c>
      <c r="I1274" s="23">
        <f>IF($D1274="","",IFERROR(INDEX(ENVIOS!$F$4:$F$3003,MATCH($D1274,ENVIOS!$A$4:$A$3003,0)),"—"))</f>
        <v/>
      </c>
      <c r="J1274" s="23">
        <f>IF($D1274="","",IFERROR(INDEX(ENVIOS!$G$4:$G$3003,MATCH($D1274,ENVIOS!$A$4:$A$3003,0)),"—"))</f>
        <v/>
      </c>
      <c r="K1274" s="28">
        <f>IF($D1274="","",IFERROR(INDEX(ENVIOS!$H$4:$H$3003,MATCH($D1274,ENVIOS!$A$4:$A$3003,0)),"—"))</f>
        <v/>
      </c>
      <c r="L1274" s="49">
        <f>IF($D1274="","",IFERROR(INDEX(ENVIOS!$C$4:$C$3003,MATCH($D1274,ENVIOS!$A$4:$A$3003,0)),""))</f>
        <v/>
      </c>
      <c r="M1274" s="50" t="n"/>
      <c r="N1274" s="28">
        <f>IF($M1274="","",IFERROR(INDEX(CONFIG!$C$4:$C$63,MATCH($M1274,CONFIG!$A$4:$A$63,0)),"Media"))</f>
        <v/>
      </c>
      <c r="O1274" s="28">
        <f>IF($M1274="","",IF($C1274="Interna","NO",IFERROR(INDEX(CONFIG!$E$4:$E$63,MATCH($M1274,CONFIG!$A$4:$A$63,0)),"NO")))</f>
        <v/>
      </c>
      <c r="P1274" s="50" t="n"/>
      <c r="Q1274" s="50" t="n"/>
      <c r="R1274" s="28">
        <f>IF($Q1274="","",IFERROR(INDEX(CONFIG!$H$4:$H$63,MATCH($Q1274,CONFIG!$G$4:$G$63,0)),"Por definir"))</f>
        <v/>
      </c>
      <c r="S1274" s="28">
        <f>IF($Q1274="","",IFERROR(INDEX(CONFIG!$I$4:$I$63,MATCH($Q1274,CONFIG!$G$4:$G$63,0)),"Por definir"))</f>
        <v/>
      </c>
      <c r="T1274" s="51" t="n"/>
      <c r="U1274" s="52" t="n"/>
      <c r="V1274" s="50" t="n"/>
      <c r="W1274" s="50" t="n"/>
      <c r="X1274" s="49">
        <f>IF(OR($B1274="",$M1274=""),"",WORKDAY($B1274,IFERROR(INDEX(CONFIG!$D$4:$D$63,MATCH($M1274,CONFIG!$A$4:$A$63,0)),3)))</f>
        <v/>
      </c>
      <c r="Y1274" s="47" t="n"/>
      <c r="Z1274" s="24">
        <f>IF($B1274="","",IF($Y1274&lt;&gt;"",$Y1274-$B1274,TODAY()-$B1274))</f>
        <v/>
      </c>
      <c r="AA1274" s="28">
        <f>IF($B1274="","",IF(IFERROR(INDEX(CONFIG!$L$4:$L$63,MATCH($V1274,CONFIG!$K$4:$K$63,0)),"NO")="SÍ",IF(OR($Y1274="",$X1274=""),"Resuelta",IF($Y1274&gt;$X1274,"Resuelta tarde","Resuelta a tiempo")),IF($X1274="","Sin clasificar",IF(TODAY()&gt;$X1274,"Vencida",IF(TODAY()&gt;=$X1274-1,"Por vencer","En plazo")))))</f>
        <v/>
      </c>
      <c r="AB1274" s="50" t="n"/>
      <c r="AC1274" s="50" t="n"/>
    </row>
    <row r="1275" ht="16" customHeight="1">
      <c r="A1275" s="28">
        <f>IF($B1275="","","N-"&amp;TEXT(ROW()-3,"0000"))</f>
        <v/>
      </c>
      <c r="B1275" s="47" t="n"/>
      <c r="C1275" s="48" t="n"/>
      <c r="D1275" s="48" t="n"/>
      <c r="E1275" s="28">
        <f>IF($C1275="","",IF($D1275="",IF($C1275="Interna","Sin guía (interna)","FALTA GUÍA"),IF(COUNTIFS(ENVIOS!$A$4:$A$3003,$D1275)=0,"NO EXISTE",IF(COUNTIFS(ENVIOS!$A$4:$A$3003,$D1275)&gt;1,"DUPLICADA","OK"))))</f>
        <v/>
      </c>
      <c r="F1275" s="28">
        <f>IF($D1275="","",IFERROR(INDEX(ENVIOS!$B$4:$B$3003,MATCH($D1275,ENVIOS!$A$4:$A$3003,0)),"—"))</f>
        <v/>
      </c>
      <c r="G1275" s="23">
        <f>IF($D1275="","",IFERROR(INDEX(ENVIOS!$D$4:$D$3003,MATCH($D1275,ENVIOS!$A$4:$A$3003,0)),"—"))</f>
        <v/>
      </c>
      <c r="H1275" s="23">
        <f>IF($D1275="","",IFERROR(INDEX(ENVIOS!$E$4:$E$3003,MATCH($D1275,ENVIOS!$A$4:$A$3003,0)),"—"))</f>
        <v/>
      </c>
      <c r="I1275" s="23">
        <f>IF($D1275="","",IFERROR(INDEX(ENVIOS!$F$4:$F$3003,MATCH($D1275,ENVIOS!$A$4:$A$3003,0)),"—"))</f>
        <v/>
      </c>
      <c r="J1275" s="23">
        <f>IF($D1275="","",IFERROR(INDEX(ENVIOS!$G$4:$G$3003,MATCH($D1275,ENVIOS!$A$4:$A$3003,0)),"—"))</f>
        <v/>
      </c>
      <c r="K1275" s="28">
        <f>IF($D1275="","",IFERROR(INDEX(ENVIOS!$H$4:$H$3003,MATCH($D1275,ENVIOS!$A$4:$A$3003,0)),"—"))</f>
        <v/>
      </c>
      <c r="L1275" s="49">
        <f>IF($D1275="","",IFERROR(INDEX(ENVIOS!$C$4:$C$3003,MATCH($D1275,ENVIOS!$A$4:$A$3003,0)),""))</f>
        <v/>
      </c>
      <c r="M1275" s="50" t="n"/>
      <c r="N1275" s="28">
        <f>IF($M1275="","",IFERROR(INDEX(CONFIG!$C$4:$C$63,MATCH($M1275,CONFIG!$A$4:$A$63,0)),"Media"))</f>
        <v/>
      </c>
      <c r="O1275" s="28">
        <f>IF($M1275="","",IF($C1275="Interna","NO",IFERROR(INDEX(CONFIG!$E$4:$E$63,MATCH($M1275,CONFIG!$A$4:$A$63,0)),"NO")))</f>
        <v/>
      </c>
      <c r="P1275" s="50" t="n"/>
      <c r="Q1275" s="50" t="n"/>
      <c r="R1275" s="28">
        <f>IF($Q1275="","",IFERROR(INDEX(CONFIG!$H$4:$H$63,MATCH($Q1275,CONFIG!$G$4:$G$63,0)),"Por definir"))</f>
        <v/>
      </c>
      <c r="S1275" s="28">
        <f>IF($Q1275="","",IFERROR(INDEX(CONFIG!$I$4:$I$63,MATCH($Q1275,CONFIG!$G$4:$G$63,0)),"Por definir"))</f>
        <v/>
      </c>
      <c r="T1275" s="51" t="n"/>
      <c r="U1275" s="52" t="n"/>
      <c r="V1275" s="50" t="n"/>
      <c r="W1275" s="50" t="n"/>
      <c r="X1275" s="49">
        <f>IF(OR($B1275="",$M1275=""),"",WORKDAY($B1275,IFERROR(INDEX(CONFIG!$D$4:$D$63,MATCH($M1275,CONFIG!$A$4:$A$63,0)),3)))</f>
        <v/>
      </c>
      <c r="Y1275" s="47" t="n"/>
      <c r="Z1275" s="24">
        <f>IF($B1275="","",IF($Y1275&lt;&gt;"",$Y1275-$B1275,TODAY()-$B1275))</f>
        <v/>
      </c>
      <c r="AA1275" s="28">
        <f>IF($B1275="","",IF(IFERROR(INDEX(CONFIG!$L$4:$L$63,MATCH($V1275,CONFIG!$K$4:$K$63,0)),"NO")="SÍ",IF(OR($Y1275="",$X1275=""),"Resuelta",IF($Y1275&gt;$X1275,"Resuelta tarde","Resuelta a tiempo")),IF($X1275="","Sin clasificar",IF(TODAY()&gt;$X1275,"Vencida",IF(TODAY()&gt;=$X1275-1,"Por vencer","En plazo")))))</f>
        <v/>
      </c>
      <c r="AB1275" s="50" t="n"/>
      <c r="AC1275" s="50" t="n"/>
    </row>
    <row r="1276" ht="16" customHeight="1">
      <c r="A1276" s="28">
        <f>IF($B1276="","","N-"&amp;TEXT(ROW()-3,"0000"))</f>
        <v/>
      </c>
      <c r="B1276" s="47" t="n"/>
      <c r="C1276" s="48" t="n"/>
      <c r="D1276" s="48" t="n"/>
      <c r="E1276" s="28">
        <f>IF($C1276="","",IF($D1276="",IF($C1276="Interna","Sin guía (interna)","FALTA GUÍA"),IF(COUNTIFS(ENVIOS!$A$4:$A$3003,$D1276)=0,"NO EXISTE",IF(COUNTIFS(ENVIOS!$A$4:$A$3003,$D1276)&gt;1,"DUPLICADA","OK"))))</f>
        <v/>
      </c>
      <c r="F1276" s="28">
        <f>IF($D1276="","",IFERROR(INDEX(ENVIOS!$B$4:$B$3003,MATCH($D1276,ENVIOS!$A$4:$A$3003,0)),"—"))</f>
        <v/>
      </c>
      <c r="G1276" s="23">
        <f>IF($D1276="","",IFERROR(INDEX(ENVIOS!$D$4:$D$3003,MATCH($D1276,ENVIOS!$A$4:$A$3003,0)),"—"))</f>
        <v/>
      </c>
      <c r="H1276" s="23">
        <f>IF($D1276="","",IFERROR(INDEX(ENVIOS!$E$4:$E$3003,MATCH($D1276,ENVIOS!$A$4:$A$3003,0)),"—"))</f>
        <v/>
      </c>
      <c r="I1276" s="23">
        <f>IF($D1276="","",IFERROR(INDEX(ENVIOS!$F$4:$F$3003,MATCH($D1276,ENVIOS!$A$4:$A$3003,0)),"—"))</f>
        <v/>
      </c>
      <c r="J1276" s="23">
        <f>IF($D1276="","",IFERROR(INDEX(ENVIOS!$G$4:$G$3003,MATCH($D1276,ENVIOS!$A$4:$A$3003,0)),"—"))</f>
        <v/>
      </c>
      <c r="K1276" s="28">
        <f>IF($D1276="","",IFERROR(INDEX(ENVIOS!$H$4:$H$3003,MATCH($D1276,ENVIOS!$A$4:$A$3003,0)),"—"))</f>
        <v/>
      </c>
      <c r="L1276" s="49">
        <f>IF($D1276="","",IFERROR(INDEX(ENVIOS!$C$4:$C$3003,MATCH($D1276,ENVIOS!$A$4:$A$3003,0)),""))</f>
        <v/>
      </c>
      <c r="M1276" s="50" t="n"/>
      <c r="N1276" s="28">
        <f>IF($M1276="","",IFERROR(INDEX(CONFIG!$C$4:$C$63,MATCH($M1276,CONFIG!$A$4:$A$63,0)),"Media"))</f>
        <v/>
      </c>
      <c r="O1276" s="28">
        <f>IF($M1276="","",IF($C1276="Interna","NO",IFERROR(INDEX(CONFIG!$E$4:$E$63,MATCH($M1276,CONFIG!$A$4:$A$63,0)),"NO")))</f>
        <v/>
      </c>
      <c r="P1276" s="50" t="n"/>
      <c r="Q1276" s="50" t="n"/>
      <c r="R1276" s="28">
        <f>IF($Q1276="","",IFERROR(INDEX(CONFIG!$H$4:$H$63,MATCH($Q1276,CONFIG!$G$4:$G$63,0)),"Por definir"))</f>
        <v/>
      </c>
      <c r="S1276" s="28">
        <f>IF($Q1276="","",IFERROR(INDEX(CONFIG!$I$4:$I$63,MATCH($Q1276,CONFIG!$G$4:$G$63,0)),"Por definir"))</f>
        <v/>
      </c>
      <c r="T1276" s="51" t="n"/>
      <c r="U1276" s="52" t="n"/>
      <c r="V1276" s="50" t="n"/>
      <c r="W1276" s="50" t="n"/>
      <c r="X1276" s="49">
        <f>IF(OR($B1276="",$M1276=""),"",WORKDAY($B1276,IFERROR(INDEX(CONFIG!$D$4:$D$63,MATCH($M1276,CONFIG!$A$4:$A$63,0)),3)))</f>
        <v/>
      </c>
      <c r="Y1276" s="47" t="n"/>
      <c r="Z1276" s="24">
        <f>IF($B1276="","",IF($Y1276&lt;&gt;"",$Y1276-$B1276,TODAY()-$B1276))</f>
        <v/>
      </c>
      <c r="AA1276" s="28">
        <f>IF($B1276="","",IF(IFERROR(INDEX(CONFIG!$L$4:$L$63,MATCH($V1276,CONFIG!$K$4:$K$63,0)),"NO")="SÍ",IF(OR($Y1276="",$X1276=""),"Resuelta",IF($Y1276&gt;$X1276,"Resuelta tarde","Resuelta a tiempo")),IF($X1276="","Sin clasificar",IF(TODAY()&gt;$X1276,"Vencida",IF(TODAY()&gt;=$X1276-1,"Por vencer","En plazo")))))</f>
        <v/>
      </c>
      <c r="AB1276" s="50" t="n"/>
      <c r="AC1276" s="50" t="n"/>
    </row>
    <row r="1277" ht="16" customHeight="1">
      <c r="A1277" s="28">
        <f>IF($B1277="","","N-"&amp;TEXT(ROW()-3,"0000"))</f>
        <v/>
      </c>
      <c r="B1277" s="47" t="n"/>
      <c r="C1277" s="48" t="n"/>
      <c r="D1277" s="48" t="n"/>
      <c r="E1277" s="28">
        <f>IF($C1277="","",IF($D1277="",IF($C1277="Interna","Sin guía (interna)","FALTA GUÍA"),IF(COUNTIFS(ENVIOS!$A$4:$A$3003,$D1277)=0,"NO EXISTE",IF(COUNTIFS(ENVIOS!$A$4:$A$3003,$D1277)&gt;1,"DUPLICADA","OK"))))</f>
        <v/>
      </c>
      <c r="F1277" s="28">
        <f>IF($D1277="","",IFERROR(INDEX(ENVIOS!$B$4:$B$3003,MATCH($D1277,ENVIOS!$A$4:$A$3003,0)),"—"))</f>
        <v/>
      </c>
      <c r="G1277" s="23">
        <f>IF($D1277="","",IFERROR(INDEX(ENVIOS!$D$4:$D$3003,MATCH($D1277,ENVIOS!$A$4:$A$3003,0)),"—"))</f>
        <v/>
      </c>
      <c r="H1277" s="23">
        <f>IF($D1277="","",IFERROR(INDEX(ENVIOS!$E$4:$E$3003,MATCH($D1277,ENVIOS!$A$4:$A$3003,0)),"—"))</f>
        <v/>
      </c>
      <c r="I1277" s="23">
        <f>IF($D1277="","",IFERROR(INDEX(ENVIOS!$F$4:$F$3003,MATCH($D1277,ENVIOS!$A$4:$A$3003,0)),"—"))</f>
        <v/>
      </c>
      <c r="J1277" s="23">
        <f>IF($D1277="","",IFERROR(INDEX(ENVIOS!$G$4:$G$3003,MATCH($D1277,ENVIOS!$A$4:$A$3003,0)),"—"))</f>
        <v/>
      </c>
      <c r="K1277" s="28">
        <f>IF($D1277="","",IFERROR(INDEX(ENVIOS!$H$4:$H$3003,MATCH($D1277,ENVIOS!$A$4:$A$3003,0)),"—"))</f>
        <v/>
      </c>
      <c r="L1277" s="49">
        <f>IF($D1277="","",IFERROR(INDEX(ENVIOS!$C$4:$C$3003,MATCH($D1277,ENVIOS!$A$4:$A$3003,0)),""))</f>
        <v/>
      </c>
      <c r="M1277" s="50" t="n"/>
      <c r="N1277" s="28">
        <f>IF($M1277="","",IFERROR(INDEX(CONFIG!$C$4:$C$63,MATCH($M1277,CONFIG!$A$4:$A$63,0)),"Media"))</f>
        <v/>
      </c>
      <c r="O1277" s="28">
        <f>IF($M1277="","",IF($C1277="Interna","NO",IFERROR(INDEX(CONFIG!$E$4:$E$63,MATCH($M1277,CONFIG!$A$4:$A$63,0)),"NO")))</f>
        <v/>
      </c>
      <c r="P1277" s="50" t="n"/>
      <c r="Q1277" s="50" t="n"/>
      <c r="R1277" s="28">
        <f>IF($Q1277="","",IFERROR(INDEX(CONFIG!$H$4:$H$63,MATCH($Q1277,CONFIG!$G$4:$G$63,0)),"Por definir"))</f>
        <v/>
      </c>
      <c r="S1277" s="28">
        <f>IF($Q1277="","",IFERROR(INDEX(CONFIG!$I$4:$I$63,MATCH($Q1277,CONFIG!$G$4:$G$63,0)),"Por definir"))</f>
        <v/>
      </c>
      <c r="T1277" s="51" t="n"/>
      <c r="U1277" s="52" t="n"/>
      <c r="V1277" s="50" t="n"/>
      <c r="W1277" s="50" t="n"/>
      <c r="X1277" s="49">
        <f>IF(OR($B1277="",$M1277=""),"",WORKDAY($B1277,IFERROR(INDEX(CONFIG!$D$4:$D$63,MATCH($M1277,CONFIG!$A$4:$A$63,0)),3)))</f>
        <v/>
      </c>
      <c r="Y1277" s="47" t="n"/>
      <c r="Z1277" s="24">
        <f>IF($B1277="","",IF($Y1277&lt;&gt;"",$Y1277-$B1277,TODAY()-$B1277))</f>
        <v/>
      </c>
      <c r="AA1277" s="28">
        <f>IF($B1277="","",IF(IFERROR(INDEX(CONFIG!$L$4:$L$63,MATCH($V1277,CONFIG!$K$4:$K$63,0)),"NO")="SÍ",IF(OR($Y1277="",$X1277=""),"Resuelta",IF($Y1277&gt;$X1277,"Resuelta tarde","Resuelta a tiempo")),IF($X1277="","Sin clasificar",IF(TODAY()&gt;$X1277,"Vencida",IF(TODAY()&gt;=$X1277-1,"Por vencer","En plazo")))))</f>
        <v/>
      </c>
      <c r="AB1277" s="50" t="n"/>
      <c r="AC1277" s="50" t="n"/>
    </row>
    <row r="1278" ht="16" customHeight="1">
      <c r="A1278" s="28">
        <f>IF($B1278="","","N-"&amp;TEXT(ROW()-3,"0000"))</f>
        <v/>
      </c>
      <c r="B1278" s="47" t="n"/>
      <c r="C1278" s="48" t="n"/>
      <c r="D1278" s="48" t="n"/>
      <c r="E1278" s="28">
        <f>IF($C1278="","",IF($D1278="",IF($C1278="Interna","Sin guía (interna)","FALTA GUÍA"),IF(COUNTIFS(ENVIOS!$A$4:$A$3003,$D1278)=0,"NO EXISTE",IF(COUNTIFS(ENVIOS!$A$4:$A$3003,$D1278)&gt;1,"DUPLICADA","OK"))))</f>
        <v/>
      </c>
      <c r="F1278" s="28">
        <f>IF($D1278="","",IFERROR(INDEX(ENVIOS!$B$4:$B$3003,MATCH($D1278,ENVIOS!$A$4:$A$3003,0)),"—"))</f>
        <v/>
      </c>
      <c r="G1278" s="23">
        <f>IF($D1278="","",IFERROR(INDEX(ENVIOS!$D$4:$D$3003,MATCH($D1278,ENVIOS!$A$4:$A$3003,0)),"—"))</f>
        <v/>
      </c>
      <c r="H1278" s="23">
        <f>IF($D1278="","",IFERROR(INDEX(ENVIOS!$E$4:$E$3003,MATCH($D1278,ENVIOS!$A$4:$A$3003,0)),"—"))</f>
        <v/>
      </c>
      <c r="I1278" s="23">
        <f>IF($D1278="","",IFERROR(INDEX(ENVIOS!$F$4:$F$3003,MATCH($D1278,ENVIOS!$A$4:$A$3003,0)),"—"))</f>
        <v/>
      </c>
      <c r="J1278" s="23">
        <f>IF($D1278="","",IFERROR(INDEX(ENVIOS!$G$4:$G$3003,MATCH($D1278,ENVIOS!$A$4:$A$3003,0)),"—"))</f>
        <v/>
      </c>
      <c r="K1278" s="28">
        <f>IF($D1278="","",IFERROR(INDEX(ENVIOS!$H$4:$H$3003,MATCH($D1278,ENVIOS!$A$4:$A$3003,0)),"—"))</f>
        <v/>
      </c>
      <c r="L1278" s="49">
        <f>IF($D1278="","",IFERROR(INDEX(ENVIOS!$C$4:$C$3003,MATCH($D1278,ENVIOS!$A$4:$A$3003,0)),""))</f>
        <v/>
      </c>
      <c r="M1278" s="50" t="n"/>
      <c r="N1278" s="28">
        <f>IF($M1278="","",IFERROR(INDEX(CONFIG!$C$4:$C$63,MATCH($M1278,CONFIG!$A$4:$A$63,0)),"Media"))</f>
        <v/>
      </c>
      <c r="O1278" s="28">
        <f>IF($M1278="","",IF($C1278="Interna","NO",IFERROR(INDEX(CONFIG!$E$4:$E$63,MATCH($M1278,CONFIG!$A$4:$A$63,0)),"NO")))</f>
        <v/>
      </c>
      <c r="P1278" s="50" t="n"/>
      <c r="Q1278" s="50" t="n"/>
      <c r="R1278" s="28">
        <f>IF($Q1278="","",IFERROR(INDEX(CONFIG!$H$4:$H$63,MATCH($Q1278,CONFIG!$G$4:$G$63,0)),"Por definir"))</f>
        <v/>
      </c>
      <c r="S1278" s="28">
        <f>IF($Q1278="","",IFERROR(INDEX(CONFIG!$I$4:$I$63,MATCH($Q1278,CONFIG!$G$4:$G$63,0)),"Por definir"))</f>
        <v/>
      </c>
      <c r="T1278" s="51" t="n"/>
      <c r="U1278" s="52" t="n"/>
      <c r="V1278" s="50" t="n"/>
      <c r="W1278" s="50" t="n"/>
      <c r="X1278" s="49">
        <f>IF(OR($B1278="",$M1278=""),"",WORKDAY($B1278,IFERROR(INDEX(CONFIG!$D$4:$D$63,MATCH($M1278,CONFIG!$A$4:$A$63,0)),3)))</f>
        <v/>
      </c>
      <c r="Y1278" s="47" t="n"/>
      <c r="Z1278" s="24">
        <f>IF($B1278="","",IF($Y1278&lt;&gt;"",$Y1278-$B1278,TODAY()-$B1278))</f>
        <v/>
      </c>
      <c r="AA1278" s="28">
        <f>IF($B1278="","",IF(IFERROR(INDEX(CONFIG!$L$4:$L$63,MATCH($V1278,CONFIG!$K$4:$K$63,0)),"NO")="SÍ",IF(OR($Y1278="",$X1278=""),"Resuelta",IF($Y1278&gt;$X1278,"Resuelta tarde","Resuelta a tiempo")),IF($X1278="","Sin clasificar",IF(TODAY()&gt;$X1278,"Vencida",IF(TODAY()&gt;=$X1278-1,"Por vencer","En plazo")))))</f>
        <v/>
      </c>
      <c r="AB1278" s="50" t="n"/>
      <c r="AC1278" s="50" t="n"/>
    </row>
    <row r="1279" ht="16" customHeight="1">
      <c r="A1279" s="28">
        <f>IF($B1279="","","N-"&amp;TEXT(ROW()-3,"0000"))</f>
        <v/>
      </c>
      <c r="B1279" s="47" t="n"/>
      <c r="C1279" s="48" t="n"/>
      <c r="D1279" s="48" t="n"/>
      <c r="E1279" s="28">
        <f>IF($C1279="","",IF($D1279="",IF($C1279="Interna","Sin guía (interna)","FALTA GUÍA"),IF(COUNTIFS(ENVIOS!$A$4:$A$3003,$D1279)=0,"NO EXISTE",IF(COUNTIFS(ENVIOS!$A$4:$A$3003,$D1279)&gt;1,"DUPLICADA","OK"))))</f>
        <v/>
      </c>
      <c r="F1279" s="28">
        <f>IF($D1279="","",IFERROR(INDEX(ENVIOS!$B$4:$B$3003,MATCH($D1279,ENVIOS!$A$4:$A$3003,0)),"—"))</f>
        <v/>
      </c>
      <c r="G1279" s="23">
        <f>IF($D1279="","",IFERROR(INDEX(ENVIOS!$D$4:$D$3003,MATCH($D1279,ENVIOS!$A$4:$A$3003,0)),"—"))</f>
        <v/>
      </c>
      <c r="H1279" s="23">
        <f>IF($D1279="","",IFERROR(INDEX(ENVIOS!$E$4:$E$3003,MATCH($D1279,ENVIOS!$A$4:$A$3003,0)),"—"))</f>
        <v/>
      </c>
      <c r="I1279" s="23">
        <f>IF($D1279="","",IFERROR(INDEX(ENVIOS!$F$4:$F$3003,MATCH($D1279,ENVIOS!$A$4:$A$3003,0)),"—"))</f>
        <v/>
      </c>
      <c r="J1279" s="23">
        <f>IF($D1279="","",IFERROR(INDEX(ENVIOS!$G$4:$G$3003,MATCH($D1279,ENVIOS!$A$4:$A$3003,0)),"—"))</f>
        <v/>
      </c>
      <c r="K1279" s="28">
        <f>IF($D1279="","",IFERROR(INDEX(ENVIOS!$H$4:$H$3003,MATCH($D1279,ENVIOS!$A$4:$A$3003,0)),"—"))</f>
        <v/>
      </c>
      <c r="L1279" s="49">
        <f>IF($D1279="","",IFERROR(INDEX(ENVIOS!$C$4:$C$3003,MATCH($D1279,ENVIOS!$A$4:$A$3003,0)),""))</f>
        <v/>
      </c>
      <c r="M1279" s="50" t="n"/>
      <c r="N1279" s="28">
        <f>IF($M1279="","",IFERROR(INDEX(CONFIG!$C$4:$C$63,MATCH($M1279,CONFIG!$A$4:$A$63,0)),"Media"))</f>
        <v/>
      </c>
      <c r="O1279" s="28">
        <f>IF($M1279="","",IF($C1279="Interna","NO",IFERROR(INDEX(CONFIG!$E$4:$E$63,MATCH($M1279,CONFIG!$A$4:$A$63,0)),"NO")))</f>
        <v/>
      </c>
      <c r="P1279" s="50" t="n"/>
      <c r="Q1279" s="50" t="n"/>
      <c r="R1279" s="28">
        <f>IF($Q1279="","",IFERROR(INDEX(CONFIG!$H$4:$H$63,MATCH($Q1279,CONFIG!$G$4:$G$63,0)),"Por definir"))</f>
        <v/>
      </c>
      <c r="S1279" s="28">
        <f>IF($Q1279="","",IFERROR(INDEX(CONFIG!$I$4:$I$63,MATCH($Q1279,CONFIG!$G$4:$G$63,0)),"Por definir"))</f>
        <v/>
      </c>
      <c r="T1279" s="51" t="n"/>
      <c r="U1279" s="52" t="n"/>
      <c r="V1279" s="50" t="n"/>
      <c r="W1279" s="50" t="n"/>
      <c r="X1279" s="49">
        <f>IF(OR($B1279="",$M1279=""),"",WORKDAY($B1279,IFERROR(INDEX(CONFIG!$D$4:$D$63,MATCH($M1279,CONFIG!$A$4:$A$63,0)),3)))</f>
        <v/>
      </c>
      <c r="Y1279" s="47" t="n"/>
      <c r="Z1279" s="24">
        <f>IF($B1279="","",IF($Y1279&lt;&gt;"",$Y1279-$B1279,TODAY()-$B1279))</f>
        <v/>
      </c>
      <c r="AA1279" s="28">
        <f>IF($B1279="","",IF(IFERROR(INDEX(CONFIG!$L$4:$L$63,MATCH($V1279,CONFIG!$K$4:$K$63,0)),"NO")="SÍ",IF(OR($Y1279="",$X1279=""),"Resuelta",IF($Y1279&gt;$X1279,"Resuelta tarde","Resuelta a tiempo")),IF($X1279="","Sin clasificar",IF(TODAY()&gt;$X1279,"Vencida",IF(TODAY()&gt;=$X1279-1,"Por vencer","En plazo")))))</f>
        <v/>
      </c>
      <c r="AB1279" s="50" t="n"/>
      <c r="AC1279" s="50" t="n"/>
    </row>
    <row r="1280" ht="16" customHeight="1">
      <c r="A1280" s="28">
        <f>IF($B1280="","","N-"&amp;TEXT(ROW()-3,"0000"))</f>
        <v/>
      </c>
      <c r="B1280" s="47" t="n"/>
      <c r="C1280" s="48" t="n"/>
      <c r="D1280" s="48" t="n"/>
      <c r="E1280" s="28">
        <f>IF($C1280="","",IF($D1280="",IF($C1280="Interna","Sin guía (interna)","FALTA GUÍA"),IF(COUNTIFS(ENVIOS!$A$4:$A$3003,$D1280)=0,"NO EXISTE",IF(COUNTIFS(ENVIOS!$A$4:$A$3003,$D1280)&gt;1,"DUPLICADA","OK"))))</f>
        <v/>
      </c>
      <c r="F1280" s="28">
        <f>IF($D1280="","",IFERROR(INDEX(ENVIOS!$B$4:$B$3003,MATCH($D1280,ENVIOS!$A$4:$A$3003,0)),"—"))</f>
        <v/>
      </c>
      <c r="G1280" s="23">
        <f>IF($D1280="","",IFERROR(INDEX(ENVIOS!$D$4:$D$3003,MATCH($D1280,ENVIOS!$A$4:$A$3003,0)),"—"))</f>
        <v/>
      </c>
      <c r="H1280" s="23">
        <f>IF($D1280="","",IFERROR(INDEX(ENVIOS!$E$4:$E$3003,MATCH($D1280,ENVIOS!$A$4:$A$3003,0)),"—"))</f>
        <v/>
      </c>
      <c r="I1280" s="23">
        <f>IF($D1280="","",IFERROR(INDEX(ENVIOS!$F$4:$F$3003,MATCH($D1280,ENVIOS!$A$4:$A$3003,0)),"—"))</f>
        <v/>
      </c>
      <c r="J1280" s="23">
        <f>IF($D1280="","",IFERROR(INDEX(ENVIOS!$G$4:$G$3003,MATCH($D1280,ENVIOS!$A$4:$A$3003,0)),"—"))</f>
        <v/>
      </c>
      <c r="K1280" s="28">
        <f>IF($D1280="","",IFERROR(INDEX(ENVIOS!$H$4:$H$3003,MATCH($D1280,ENVIOS!$A$4:$A$3003,0)),"—"))</f>
        <v/>
      </c>
      <c r="L1280" s="49">
        <f>IF($D1280="","",IFERROR(INDEX(ENVIOS!$C$4:$C$3003,MATCH($D1280,ENVIOS!$A$4:$A$3003,0)),""))</f>
        <v/>
      </c>
      <c r="M1280" s="50" t="n"/>
      <c r="N1280" s="28">
        <f>IF($M1280="","",IFERROR(INDEX(CONFIG!$C$4:$C$63,MATCH($M1280,CONFIG!$A$4:$A$63,0)),"Media"))</f>
        <v/>
      </c>
      <c r="O1280" s="28">
        <f>IF($M1280="","",IF($C1280="Interna","NO",IFERROR(INDEX(CONFIG!$E$4:$E$63,MATCH($M1280,CONFIG!$A$4:$A$63,0)),"NO")))</f>
        <v/>
      </c>
      <c r="P1280" s="50" t="n"/>
      <c r="Q1280" s="50" t="n"/>
      <c r="R1280" s="28">
        <f>IF($Q1280="","",IFERROR(INDEX(CONFIG!$H$4:$H$63,MATCH($Q1280,CONFIG!$G$4:$G$63,0)),"Por definir"))</f>
        <v/>
      </c>
      <c r="S1280" s="28">
        <f>IF($Q1280="","",IFERROR(INDEX(CONFIG!$I$4:$I$63,MATCH($Q1280,CONFIG!$G$4:$G$63,0)),"Por definir"))</f>
        <v/>
      </c>
      <c r="T1280" s="51" t="n"/>
      <c r="U1280" s="52" t="n"/>
      <c r="V1280" s="50" t="n"/>
      <c r="W1280" s="50" t="n"/>
      <c r="X1280" s="49">
        <f>IF(OR($B1280="",$M1280=""),"",WORKDAY($B1280,IFERROR(INDEX(CONFIG!$D$4:$D$63,MATCH($M1280,CONFIG!$A$4:$A$63,0)),3)))</f>
        <v/>
      </c>
      <c r="Y1280" s="47" t="n"/>
      <c r="Z1280" s="24">
        <f>IF($B1280="","",IF($Y1280&lt;&gt;"",$Y1280-$B1280,TODAY()-$B1280))</f>
        <v/>
      </c>
      <c r="AA1280" s="28">
        <f>IF($B1280="","",IF(IFERROR(INDEX(CONFIG!$L$4:$L$63,MATCH($V1280,CONFIG!$K$4:$K$63,0)),"NO")="SÍ",IF(OR($Y1280="",$X1280=""),"Resuelta",IF($Y1280&gt;$X1280,"Resuelta tarde","Resuelta a tiempo")),IF($X1280="","Sin clasificar",IF(TODAY()&gt;$X1280,"Vencida",IF(TODAY()&gt;=$X1280-1,"Por vencer","En plazo")))))</f>
        <v/>
      </c>
      <c r="AB1280" s="50" t="n"/>
      <c r="AC1280" s="50" t="n"/>
    </row>
    <row r="1281" ht="16" customHeight="1">
      <c r="A1281" s="28">
        <f>IF($B1281="","","N-"&amp;TEXT(ROW()-3,"0000"))</f>
        <v/>
      </c>
      <c r="B1281" s="47" t="n"/>
      <c r="C1281" s="48" t="n"/>
      <c r="D1281" s="48" t="n"/>
      <c r="E1281" s="28">
        <f>IF($C1281="","",IF($D1281="",IF($C1281="Interna","Sin guía (interna)","FALTA GUÍA"),IF(COUNTIFS(ENVIOS!$A$4:$A$3003,$D1281)=0,"NO EXISTE",IF(COUNTIFS(ENVIOS!$A$4:$A$3003,$D1281)&gt;1,"DUPLICADA","OK"))))</f>
        <v/>
      </c>
      <c r="F1281" s="28">
        <f>IF($D1281="","",IFERROR(INDEX(ENVIOS!$B$4:$B$3003,MATCH($D1281,ENVIOS!$A$4:$A$3003,0)),"—"))</f>
        <v/>
      </c>
      <c r="G1281" s="23">
        <f>IF($D1281="","",IFERROR(INDEX(ENVIOS!$D$4:$D$3003,MATCH($D1281,ENVIOS!$A$4:$A$3003,0)),"—"))</f>
        <v/>
      </c>
      <c r="H1281" s="23">
        <f>IF($D1281="","",IFERROR(INDEX(ENVIOS!$E$4:$E$3003,MATCH($D1281,ENVIOS!$A$4:$A$3003,0)),"—"))</f>
        <v/>
      </c>
      <c r="I1281" s="23">
        <f>IF($D1281="","",IFERROR(INDEX(ENVIOS!$F$4:$F$3003,MATCH($D1281,ENVIOS!$A$4:$A$3003,0)),"—"))</f>
        <v/>
      </c>
      <c r="J1281" s="23">
        <f>IF($D1281="","",IFERROR(INDEX(ENVIOS!$G$4:$G$3003,MATCH($D1281,ENVIOS!$A$4:$A$3003,0)),"—"))</f>
        <v/>
      </c>
      <c r="K1281" s="28">
        <f>IF($D1281="","",IFERROR(INDEX(ENVIOS!$H$4:$H$3003,MATCH($D1281,ENVIOS!$A$4:$A$3003,0)),"—"))</f>
        <v/>
      </c>
      <c r="L1281" s="49">
        <f>IF($D1281="","",IFERROR(INDEX(ENVIOS!$C$4:$C$3003,MATCH($D1281,ENVIOS!$A$4:$A$3003,0)),""))</f>
        <v/>
      </c>
      <c r="M1281" s="50" t="n"/>
      <c r="N1281" s="28">
        <f>IF($M1281="","",IFERROR(INDEX(CONFIG!$C$4:$C$63,MATCH($M1281,CONFIG!$A$4:$A$63,0)),"Media"))</f>
        <v/>
      </c>
      <c r="O1281" s="28">
        <f>IF($M1281="","",IF($C1281="Interna","NO",IFERROR(INDEX(CONFIG!$E$4:$E$63,MATCH($M1281,CONFIG!$A$4:$A$63,0)),"NO")))</f>
        <v/>
      </c>
      <c r="P1281" s="50" t="n"/>
      <c r="Q1281" s="50" t="n"/>
      <c r="R1281" s="28">
        <f>IF($Q1281="","",IFERROR(INDEX(CONFIG!$H$4:$H$63,MATCH($Q1281,CONFIG!$G$4:$G$63,0)),"Por definir"))</f>
        <v/>
      </c>
      <c r="S1281" s="28">
        <f>IF($Q1281="","",IFERROR(INDEX(CONFIG!$I$4:$I$63,MATCH($Q1281,CONFIG!$G$4:$G$63,0)),"Por definir"))</f>
        <v/>
      </c>
      <c r="T1281" s="51" t="n"/>
      <c r="U1281" s="52" t="n"/>
      <c r="V1281" s="50" t="n"/>
      <c r="W1281" s="50" t="n"/>
      <c r="X1281" s="49">
        <f>IF(OR($B1281="",$M1281=""),"",WORKDAY($B1281,IFERROR(INDEX(CONFIG!$D$4:$D$63,MATCH($M1281,CONFIG!$A$4:$A$63,0)),3)))</f>
        <v/>
      </c>
      <c r="Y1281" s="47" t="n"/>
      <c r="Z1281" s="24">
        <f>IF($B1281="","",IF($Y1281&lt;&gt;"",$Y1281-$B1281,TODAY()-$B1281))</f>
        <v/>
      </c>
      <c r="AA1281" s="28">
        <f>IF($B1281="","",IF(IFERROR(INDEX(CONFIG!$L$4:$L$63,MATCH($V1281,CONFIG!$K$4:$K$63,0)),"NO")="SÍ",IF(OR($Y1281="",$X1281=""),"Resuelta",IF($Y1281&gt;$X1281,"Resuelta tarde","Resuelta a tiempo")),IF($X1281="","Sin clasificar",IF(TODAY()&gt;$X1281,"Vencida",IF(TODAY()&gt;=$X1281-1,"Por vencer","En plazo")))))</f>
        <v/>
      </c>
      <c r="AB1281" s="50" t="n"/>
      <c r="AC1281" s="50" t="n"/>
    </row>
    <row r="1282" ht="16" customHeight="1">
      <c r="A1282" s="28">
        <f>IF($B1282="","","N-"&amp;TEXT(ROW()-3,"0000"))</f>
        <v/>
      </c>
      <c r="B1282" s="47" t="n"/>
      <c r="C1282" s="48" t="n"/>
      <c r="D1282" s="48" t="n"/>
      <c r="E1282" s="28">
        <f>IF($C1282="","",IF($D1282="",IF($C1282="Interna","Sin guía (interna)","FALTA GUÍA"),IF(COUNTIFS(ENVIOS!$A$4:$A$3003,$D1282)=0,"NO EXISTE",IF(COUNTIFS(ENVIOS!$A$4:$A$3003,$D1282)&gt;1,"DUPLICADA","OK"))))</f>
        <v/>
      </c>
      <c r="F1282" s="28">
        <f>IF($D1282="","",IFERROR(INDEX(ENVIOS!$B$4:$B$3003,MATCH($D1282,ENVIOS!$A$4:$A$3003,0)),"—"))</f>
        <v/>
      </c>
      <c r="G1282" s="23">
        <f>IF($D1282="","",IFERROR(INDEX(ENVIOS!$D$4:$D$3003,MATCH($D1282,ENVIOS!$A$4:$A$3003,0)),"—"))</f>
        <v/>
      </c>
      <c r="H1282" s="23">
        <f>IF($D1282="","",IFERROR(INDEX(ENVIOS!$E$4:$E$3003,MATCH($D1282,ENVIOS!$A$4:$A$3003,0)),"—"))</f>
        <v/>
      </c>
      <c r="I1282" s="23">
        <f>IF($D1282="","",IFERROR(INDEX(ENVIOS!$F$4:$F$3003,MATCH($D1282,ENVIOS!$A$4:$A$3003,0)),"—"))</f>
        <v/>
      </c>
      <c r="J1282" s="23">
        <f>IF($D1282="","",IFERROR(INDEX(ENVIOS!$G$4:$G$3003,MATCH($D1282,ENVIOS!$A$4:$A$3003,0)),"—"))</f>
        <v/>
      </c>
      <c r="K1282" s="28">
        <f>IF($D1282="","",IFERROR(INDEX(ENVIOS!$H$4:$H$3003,MATCH($D1282,ENVIOS!$A$4:$A$3003,0)),"—"))</f>
        <v/>
      </c>
      <c r="L1282" s="49">
        <f>IF($D1282="","",IFERROR(INDEX(ENVIOS!$C$4:$C$3003,MATCH($D1282,ENVIOS!$A$4:$A$3003,0)),""))</f>
        <v/>
      </c>
      <c r="M1282" s="50" t="n"/>
      <c r="N1282" s="28">
        <f>IF($M1282="","",IFERROR(INDEX(CONFIG!$C$4:$C$63,MATCH($M1282,CONFIG!$A$4:$A$63,0)),"Media"))</f>
        <v/>
      </c>
      <c r="O1282" s="28">
        <f>IF($M1282="","",IF($C1282="Interna","NO",IFERROR(INDEX(CONFIG!$E$4:$E$63,MATCH($M1282,CONFIG!$A$4:$A$63,0)),"NO")))</f>
        <v/>
      </c>
      <c r="P1282" s="50" t="n"/>
      <c r="Q1282" s="50" t="n"/>
      <c r="R1282" s="28">
        <f>IF($Q1282="","",IFERROR(INDEX(CONFIG!$H$4:$H$63,MATCH($Q1282,CONFIG!$G$4:$G$63,0)),"Por definir"))</f>
        <v/>
      </c>
      <c r="S1282" s="28">
        <f>IF($Q1282="","",IFERROR(INDEX(CONFIG!$I$4:$I$63,MATCH($Q1282,CONFIG!$G$4:$G$63,0)),"Por definir"))</f>
        <v/>
      </c>
      <c r="T1282" s="51" t="n"/>
      <c r="U1282" s="52" t="n"/>
      <c r="V1282" s="50" t="n"/>
      <c r="W1282" s="50" t="n"/>
      <c r="X1282" s="49">
        <f>IF(OR($B1282="",$M1282=""),"",WORKDAY($B1282,IFERROR(INDEX(CONFIG!$D$4:$D$63,MATCH($M1282,CONFIG!$A$4:$A$63,0)),3)))</f>
        <v/>
      </c>
      <c r="Y1282" s="47" t="n"/>
      <c r="Z1282" s="24">
        <f>IF($B1282="","",IF($Y1282&lt;&gt;"",$Y1282-$B1282,TODAY()-$B1282))</f>
        <v/>
      </c>
      <c r="AA1282" s="28">
        <f>IF($B1282="","",IF(IFERROR(INDEX(CONFIG!$L$4:$L$63,MATCH($V1282,CONFIG!$K$4:$K$63,0)),"NO")="SÍ",IF(OR($Y1282="",$X1282=""),"Resuelta",IF($Y1282&gt;$X1282,"Resuelta tarde","Resuelta a tiempo")),IF($X1282="","Sin clasificar",IF(TODAY()&gt;$X1282,"Vencida",IF(TODAY()&gt;=$X1282-1,"Por vencer","En plazo")))))</f>
        <v/>
      </c>
      <c r="AB1282" s="50" t="n"/>
      <c r="AC1282" s="50" t="n"/>
    </row>
    <row r="1283" ht="16" customHeight="1">
      <c r="A1283" s="28">
        <f>IF($B1283="","","N-"&amp;TEXT(ROW()-3,"0000"))</f>
        <v/>
      </c>
      <c r="B1283" s="47" t="n"/>
      <c r="C1283" s="48" t="n"/>
      <c r="D1283" s="48" t="n"/>
      <c r="E1283" s="28">
        <f>IF($C1283="","",IF($D1283="",IF($C1283="Interna","Sin guía (interna)","FALTA GUÍA"),IF(COUNTIFS(ENVIOS!$A$4:$A$3003,$D1283)=0,"NO EXISTE",IF(COUNTIFS(ENVIOS!$A$4:$A$3003,$D1283)&gt;1,"DUPLICADA","OK"))))</f>
        <v/>
      </c>
      <c r="F1283" s="28">
        <f>IF($D1283="","",IFERROR(INDEX(ENVIOS!$B$4:$B$3003,MATCH($D1283,ENVIOS!$A$4:$A$3003,0)),"—"))</f>
        <v/>
      </c>
      <c r="G1283" s="23">
        <f>IF($D1283="","",IFERROR(INDEX(ENVIOS!$D$4:$D$3003,MATCH($D1283,ENVIOS!$A$4:$A$3003,0)),"—"))</f>
        <v/>
      </c>
      <c r="H1283" s="23">
        <f>IF($D1283="","",IFERROR(INDEX(ENVIOS!$E$4:$E$3003,MATCH($D1283,ENVIOS!$A$4:$A$3003,0)),"—"))</f>
        <v/>
      </c>
      <c r="I1283" s="23">
        <f>IF($D1283="","",IFERROR(INDEX(ENVIOS!$F$4:$F$3003,MATCH($D1283,ENVIOS!$A$4:$A$3003,0)),"—"))</f>
        <v/>
      </c>
      <c r="J1283" s="23">
        <f>IF($D1283="","",IFERROR(INDEX(ENVIOS!$G$4:$G$3003,MATCH($D1283,ENVIOS!$A$4:$A$3003,0)),"—"))</f>
        <v/>
      </c>
      <c r="K1283" s="28">
        <f>IF($D1283="","",IFERROR(INDEX(ENVIOS!$H$4:$H$3003,MATCH($D1283,ENVIOS!$A$4:$A$3003,0)),"—"))</f>
        <v/>
      </c>
      <c r="L1283" s="49">
        <f>IF($D1283="","",IFERROR(INDEX(ENVIOS!$C$4:$C$3003,MATCH($D1283,ENVIOS!$A$4:$A$3003,0)),""))</f>
        <v/>
      </c>
      <c r="M1283" s="50" t="n"/>
      <c r="N1283" s="28">
        <f>IF($M1283="","",IFERROR(INDEX(CONFIG!$C$4:$C$63,MATCH($M1283,CONFIG!$A$4:$A$63,0)),"Media"))</f>
        <v/>
      </c>
      <c r="O1283" s="28">
        <f>IF($M1283="","",IF($C1283="Interna","NO",IFERROR(INDEX(CONFIG!$E$4:$E$63,MATCH($M1283,CONFIG!$A$4:$A$63,0)),"NO")))</f>
        <v/>
      </c>
      <c r="P1283" s="50" t="n"/>
      <c r="Q1283" s="50" t="n"/>
      <c r="R1283" s="28">
        <f>IF($Q1283="","",IFERROR(INDEX(CONFIG!$H$4:$H$63,MATCH($Q1283,CONFIG!$G$4:$G$63,0)),"Por definir"))</f>
        <v/>
      </c>
      <c r="S1283" s="28">
        <f>IF($Q1283="","",IFERROR(INDEX(CONFIG!$I$4:$I$63,MATCH($Q1283,CONFIG!$G$4:$G$63,0)),"Por definir"))</f>
        <v/>
      </c>
      <c r="T1283" s="51" t="n"/>
      <c r="U1283" s="52" t="n"/>
      <c r="V1283" s="50" t="n"/>
      <c r="W1283" s="50" t="n"/>
      <c r="X1283" s="49">
        <f>IF(OR($B1283="",$M1283=""),"",WORKDAY($B1283,IFERROR(INDEX(CONFIG!$D$4:$D$63,MATCH($M1283,CONFIG!$A$4:$A$63,0)),3)))</f>
        <v/>
      </c>
      <c r="Y1283" s="47" t="n"/>
      <c r="Z1283" s="24">
        <f>IF($B1283="","",IF($Y1283&lt;&gt;"",$Y1283-$B1283,TODAY()-$B1283))</f>
        <v/>
      </c>
      <c r="AA1283" s="28">
        <f>IF($B1283="","",IF(IFERROR(INDEX(CONFIG!$L$4:$L$63,MATCH($V1283,CONFIG!$K$4:$K$63,0)),"NO")="SÍ",IF(OR($Y1283="",$X1283=""),"Resuelta",IF($Y1283&gt;$X1283,"Resuelta tarde","Resuelta a tiempo")),IF($X1283="","Sin clasificar",IF(TODAY()&gt;$X1283,"Vencida",IF(TODAY()&gt;=$X1283-1,"Por vencer","En plazo")))))</f>
        <v/>
      </c>
      <c r="AB1283" s="50" t="n"/>
      <c r="AC1283" s="50" t="n"/>
    </row>
    <row r="1284" ht="16" customHeight="1">
      <c r="A1284" s="28">
        <f>IF($B1284="","","N-"&amp;TEXT(ROW()-3,"0000"))</f>
        <v/>
      </c>
      <c r="B1284" s="47" t="n"/>
      <c r="C1284" s="48" t="n"/>
      <c r="D1284" s="48" t="n"/>
      <c r="E1284" s="28">
        <f>IF($C1284="","",IF($D1284="",IF($C1284="Interna","Sin guía (interna)","FALTA GUÍA"),IF(COUNTIFS(ENVIOS!$A$4:$A$3003,$D1284)=0,"NO EXISTE",IF(COUNTIFS(ENVIOS!$A$4:$A$3003,$D1284)&gt;1,"DUPLICADA","OK"))))</f>
        <v/>
      </c>
      <c r="F1284" s="28">
        <f>IF($D1284="","",IFERROR(INDEX(ENVIOS!$B$4:$B$3003,MATCH($D1284,ENVIOS!$A$4:$A$3003,0)),"—"))</f>
        <v/>
      </c>
      <c r="G1284" s="23">
        <f>IF($D1284="","",IFERROR(INDEX(ENVIOS!$D$4:$D$3003,MATCH($D1284,ENVIOS!$A$4:$A$3003,0)),"—"))</f>
        <v/>
      </c>
      <c r="H1284" s="23">
        <f>IF($D1284="","",IFERROR(INDEX(ENVIOS!$E$4:$E$3003,MATCH($D1284,ENVIOS!$A$4:$A$3003,0)),"—"))</f>
        <v/>
      </c>
      <c r="I1284" s="23">
        <f>IF($D1284="","",IFERROR(INDEX(ENVIOS!$F$4:$F$3003,MATCH($D1284,ENVIOS!$A$4:$A$3003,0)),"—"))</f>
        <v/>
      </c>
      <c r="J1284" s="23">
        <f>IF($D1284="","",IFERROR(INDEX(ENVIOS!$G$4:$G$3003,MATCH($D1284,ENVIOS!$A$4:$A$3003,0)),"—"))</f>
        <v/>
      </c>
      <c r="K1284" s="28">
        <f>IF($D1284="","",IFERROR(INDEX(ENVIOS!$H$4:$H$3003,MATCH($D1284,ENVIOS!$A$4:$A$3003,0)),"—"))</f>
        <v/>
      </c>
      <c r="L1284" s="49">
        <f>IF($D1284="","",IFERROR(INDEX(ENVIOS!$C$4:$C$3003,MATCH($D1284,ENVIOS!$A$4:$A$3003,0)),""))</f>
        <v/>
      </c>
      <c r="M1284" s="50" t="n"/>
      <c r="N1284" s="28">
        <f>IF($M1284="","",IFERROR(INDEX(CONFIG!$C$4:$C$63,MATCH($M1284,CONFIG!$A$4:$A$63,0)),"Media"))</f>
        <v/>
      </c>
      <c r="O1284" s="28">
        <f>IF($M1284="","",IF($C1284="Interna","NO",IFERROR(INDEX(CONFIG!$E$4:$E$63,MATCH($M1284,CONFIG!$A$4:$A$63,0)),"NO")))</f>
        <v/>
      </c>
      <c r="P1284" s="50" t="n"/>
      <c r="Q1284" s="50" t="n"/>
      <c r="R1284" s="28">
        <f>IF($Q1284="","",IFERROR(INDEX(CONFIG!$H$4:$H$63,MATCH($Q1284,CONFIG!$G$4:$G$63,0)),"Por definir"))</f>
        <v/>
      </c>
      <c r="S1284" s="28">
        <f>IF($Q1284="","",IFERROR(INDEX(CONFIG!$I$4:$I$63,MATCH($Q1284,CONFIG!$G$4:$G$63,0)),"Por definir"))</f>
        <v/>
      </c>
      <c r="T1284" s="51" t="n"/>
      <c r="U1284" s="52" t="n"/>
      <c r="V1284" s="50" t="n"/>
      <c r="W1284" s="50" t="n"/>
      <c r="X1284" s="49">
        <f>IF(OR($B1284="",$M1284=""),"",WORKDAY($B1284,IFERROR(INDEX(CONFIG!$D$4:$D$63,MATCH($M1284,CONFIG!$A$4:$A$63,0)),3)))</f>
        <v/>
      </c>
      <c r="Y1284" s="47" t="n"/>
      <c r="Z1284" s="24">
        <f>IF($B1284="","",IF($Y1284&lt;&gt;"",$Y1284-$B1284,TODAY()-$B1284))</f>
        <v/>
      </c>
      <c r="AA1284" s="28">
        <f>IF($B1284="","",IF(IFERROR(INDEX(CONFIG!$L$4:$L$63,MATCH($V1284,CONFIG!$K$4:$K$63,0)),"NO")="SÍ",IF(OR($Y1284="",$X1284=""),"Resuelta",IF($Y1284&gt;$X1284,"Resuelta tarde","Resuelta a tiempo")),IF($X1284="","Sin clasificar",IF(TODAY()&gt;$X1284,"Vencida",IF(TODAY()&gt;=$X1284-1,"Por vencer","En plazo")))))</f>
        <v/>
      </c>
      <c r="AB1284" s="50" t="n"/>
      <c r="AC1284" s="50" t="n"/>
    </row>
    <row r="1285" ht="16" customHeight="1">
      <c r="A1285" s="28">
        <f>IF($B1285="","","N-"&amp;TEXT(ROW()-3,"0000"))</f>
        <v/>
      </c>
      <c r="B1285" s="47" t="n"/>
      <c r="C1285" s="48" t="n"/>
      <c r="D1285" s="48" t="n"/>
      <c r="E1285" s="28">
        <f>IF($C1285="","",IF($D1285="",IF($C1285="Interna","Sin guía (interna)","FALTA GUÍA"),IF(COUNTIFS(ENVIOS!$A$4:$A$3003,$D1285)=0,"NO EXISTE",IF(COUNTIFS(ENVIOS!$A$4:$A$3003,$D1285)&gt;1,"DUPLICADA","OK"))))</f>
        <v/>
      </c>
      <c r="F1285" s="28">
        <f>IF($D1285="","",IFERROR(INDEX(ENVIOS!$B$4:$B$3003,MATCH($D1285,ENVIOS!$A$4:$A$3003,0)),"—"))</f>
        <v/>
      </c>
      <c r="G1285" s="23">
        <f>IF($D1285="","",IFERROR(INDEX(ENVIOS!$D$4:$D$3003,MATCH($D1285,ENVIOS!$A$4:$A$3003,0)),"—"))</f>
        <v/>
      </c>
      <c r="H1285" s="23">
        <f>IF($D1285="","",IFERROR(INDEX(ENVIOS!$E$4:$E$3003,MATCH($D1285,ENVIOS!$A$4:$A$3003,0)),"—"))</f>
        <v/>
      </c>
      <c r="I1285" s="23">
        <f>IF($D1285="","",IFERROR(INDEX(ENVIOS!$F$4:$F$3003,MATCH($D1285,ENVIOS!$A$4:$A$3003,0)),"—"))</f>
        <v/>
      </c>
      <c r="J1285" s="23">
        <f>IF($D1285="","",IFERROR(INDEX(ENVIOS!$G$4:$G$3003,MATCH($D1285,ENVIOS!$A$4:$A$3003,0)),"—"))</f>
        <v/>
      </c>
      <c r="K1285" s="28">
        <f>IF($D1285="","",IFERROR(INDEX(ENVIOS!$H$4:$H$3003,MATCH($D1285,ENVIOS!$A$4:$A$3003,0)),"—"))</f>
        <v/>
      </c>
      <c r="L1285" s="49">
        <f>IF($D1285="","",IFERROR(INDEX(ENVIOS!$C$4:$C$3003,MATCH($D1285,ENVIOS!$A$4:$A$3003,0)),""))</f>
        <v/>
      </c>
      <c r="M1285" s="50" t="n"/>
      <c r="N1285" s="28">
        <f>IF($M1285="","",IFERROR(INDEX(CONFIG!$C$4:$C$63,MATCH($M1285,CONFIG!$A$4:$A$63,0)),"Media"))</f>
        <v/>
      </c>
      <c r="O1285" s="28">
        <f>IF($M1285="","",IF($C1285="Interna","NO",IFERROR(INDEX(CONFIG!$E$4:$E$63,MATCH($M1285,CONFIG!$A$4:$A$63,0)),"NO")))</f>
        <v/>
      </c>
      <c r="P1285" s="50" t="n"/>
      <c r="Q1285" s="50" t="n"/>
      <c r="R1285" s="28">
        <f>IF($Q1285="","",IFERROR(INDEX(CONFIG!$H$4:$H$63,MATCH($Q1285,CONFIG!$G$4:$G$63,0)),"Por definir"))</f>
        <v/>
      </c>
      <c r="S1285" s="28">
        <f>IF($Q1285="","",IFERROR(INDEX(CONFIG!$I$4:$I$63,MATCH($Q1285,CONFIG!$G$4:$G$63,0)),"Por definir"))</f>
        <v/>
      </c>
      <c r="T1285" s="51" t="n"/>
      <c r="U1285" s="52" t="n"/>
      <c r="V1285" s="50" t="n"/>
      <c r="W1285" s="50" t="n"/>
      <c r="X1285" s="49">
        <f>IF(OR($B1285="",$M1285=""),"",WORKDAY($B1285,IFERROR(INDEX(CONFIG!$D$4:$D$63,MATCH($M1285,CONFIG!$A$4:$A$63,0)),3)))</f>
        <v/>
      </c>
      <c r="Y1285" s="47" t="n"/>
      <c r="Z1285" s="24">
        <f>IF($B1285="","",IF($Y1285&lt;&gt;"",$Y1285-$B1285,TODAY()-$B1285))</f>
        <v/>
      </c>
      <c r="AA1285" s="28">
        <f>IF($B1285="","",IF(IFERROR(INDEX(CONFIG!$L$4:$L$63,MATCH($V1285,CONFIG!$K$4:$K$63,0)),"NO")="SÍ",IF(OR($Y1285="",$X1285=""),"Resuelta",IF($Y1285&gt;$X1285,"Resuelta tarde","Resuelta a tiempo")),IF($X1285="","Sin clasificar",IF(TODAY()&gt;$X1285,"Vencida",IF(TODAY()&gt;=$X1285-1,"Por vencer","En plazo")))))</f>
        <v/>
      </c>
      <c r="AB1285" s="50" t="n"/>
      <c r="AC1285" s="50" t="n"/>
    </row>
    <row r="1286" ht="16" customHeight="1">
      <c r="A1286" s="28">
        <f>IF($B1286="","","N-"&amp;TEXT(ROW()-3,"0000"))</f>
        <v/>
      </c>
      <c r="B1286" s="47" t="n"/>
      <c r="C1286" s="48" t="n"/>
      <c r="D1286" s="48" t="n"/>
      <c r="E1286" s="28">
        <f>IF($C1286="","",IF($D1286="",IF($C1286="Interna","Sin guía (interna)","FALTA GUÍA"),IF(COUNTIFS(ENVIOS!$A$4:$A$3003,$D1286)=0,"NO EXISTE",IF(COUNTIFS(ENVIOS!$A$4:$A$3003,$D1286)&gt;1,"DUPLICADA","OK"))))</f>
        <v/>
      </c>
      <c r="F1286" s="28">
        <f>IF($D1286="","",IFERROR(INDEX(ENVIOS!$B$4:$B$3003,MATCH($D1286,ENVIOS!$A$4:$A$3003,0)),"—"))</f>
        <v/>
      </c>
      <c r="G1286" s="23">
        <f>IF($D1286="","",IFERROR(INDEX(ENVIOS!$D$4:$D$3003,MATCH($D1286,ENVIOS!$A$4:$A$3003,0)),"—"))</f>
        <v/>
      </c>
      <c r="H1286" s="23">
        <f>IF($D1286="","",IFERROR(INDEX(ENVIOS!$E$4:$E$3003,MATCH($D1286,ENVIOS!$A$4:$A$3003,0)),"—"))</f>
        <v/>
      </c>
      <c r="I1286" s="23">
        <f>IF($D1286="","",IFERROR(INDEX(ENVIOS!$F$4:$F$3003,MATCH($D1286,ENVIOS!$A$4:$A$3003,0)),"—"))</f>
        <v/>
      </c>
      <c r="J1286" s="23">
        <f>IF($D1286="","",IFERROR(INDEX(ENVIOS!$G$4:$G$3003,MATCH($D1286,ENVIOS!$A$4:$A$3003,0)),"—"))</f>
        <v/>
      </c>
      <c r="K1286" s="28">
        <f>IF($D1286="","",IFERROR(INDEX(ENVIOS!$H$4:$H$3003,MATCH($D1286,ENVIOS!$A$4:$A$3003,0)),"—"))</f>
        <v/>
      </c>
      <c r="L1286" s="49">
        <f>IF($D1286="","",IFERROR(INDEX(ENVIOS!$C$4:$C$3003,MATCH($D1286,ENVIOS!$A$4:$A$3003,0)),""))</f>
        <v/>
      </c>
      <c r="M1286" s="50" t="n"/>
      <c r="N1286" s="28">
        <f>IF($M1286="","",IFERROR(INDEX(CONFIG!$C$4:$C$63,MATCH($M1286,CONFIG!$A$4:$A$63,0)),"Media"))</f>
        <v/>
      </c>
      <c r="O1286" s="28">
        <f>IF($M1286="","",IF($C1286="Interna","NO",IFERROR(INDEX(CONFIG!$E$4:$E$63,MATCH($M1286,CONFIG!$A$4:$A$63,0)),"NO")))</f>
        <v/>
      </c>
      <c r="P1286" s="50" t="n"/>
      <c r="Q1286" s="50" t="n"/>
      <c r="R1286" s="28">
        <f>IF($Q1286="","",IFERROR(INDEX(CONFIG!$H$4:$H$63,MATCH($Q1286,CONFIG!$G$4:$G$63,0)),"Por definir"))</f>
        <v/>
      </c>
      <c r="S1286" s="28">
        <f>IF($Q1286="","",IFERROR(INDEX(CONFIG!$I$4:$I$63,MATCH($Q1286,CONFIG!$G$4:$G$63,0)),"Por definir"))</f>
        <v/>
      </c>
      <c r="T1286" s="51" t="n"/>
      <c r="U1286" s="52" t="n"/>
      <c r="V1286" s="50" t="n"/>
      <c r="W1286" s="50" t="n"/>
      <c r="X1286" s="49">
        <f>IF(OR($B1286="",$M1286=""),"",WORKDAY($B1286,IFERROR(INDEX(CONFIG!$D$4:$D$63,MATCH($M1286,CONFIG!$A$4:$A$63,0)),3)))</f>
        <v/>
      </c>
      <c r="Y1286" s="47" t="n"/>
      <c r="Z1286" s="24">
        <f>IF($B1286="","",IF($Y1286&lt;&gt;"",$Y1286-$B1286,TODAY()-$B1286))</f>
        <v/>
      </c>
      <c r="AA1286" s="28">
        <f>IF($B1286="","",IF(IFERROR(INDEX(CONFIG!$L$4:$L$63,MATCH($V1286,CONFIG!$K$4:$K$63,0)),"NO")="SÍ",IF(OR($Y1286="",$X1286=""),"Resuelta",IF($Y1286&gt;$X1286,"Resuelta tarde","Resuelta a tiempo")),IF($X1286="","Sin clasificar",IF(TODAY()&gt;$X1286,"Vencida",IF(TODAY()&gt;=$X1286-1,"Por vencer","En plazo")))))</f>
        <v/>
      </c>
      <c r="AB1286" s="50" t="n"/>
      <c r="AC1286" s="50" t="n"/>
    </row>
    <row r="1287" ht="16" customHeight="1">
      <c r="A1287" s="28">
        <f>IF($B1287="","","N-"&amp;TEXT(ROW()-3,"0000"))</f>
        <v/>
      </c>
      <c r="B1287" s="47" t="n"/>
      <c r="C1287" s="48" t="n"/>
      <c r="D1287" s="48" t="n"/>
      <c r="E1287" s="28">
        <f>IF($C1287="","",IF($D1287="",IF($C1287="Interna","Sin guía (interna)","FALTA GUÍA"),IF(COUNTIFS(ENVIOS!$A$4:$A$3003,$D1287)=0,"NO EXISTE",IF(COUNTIFS(ENVIOS!$A$4:$A$3003,$D1287)&gt;1,"DUPLICADA","OK"))))</f>
        <v/>
      </c>
      <c r="F1287" s="28">
        <f>IF($D1287="","",IFERROR(INDEX(ENVIOS!$B$4:$B$3003,MATCH($D1287,ENVIOS!$A$4:$A$3003,0)),"—"))</f>
        <v/>
      </c>
      <c r="G1287" s="23">
        <f>IF($D1287="","",IFERROR(INDEX(ENVIOS!$D$4:$D$3003,MATCH($D1287,ENVIOS!$A$4:$A$3003,0)),"—"))</f>
        <v/>
      </c>
      <c r="H1287" s="23">
        <f>IF($D1287="","",IFERROR(INDEX(ENVIOS!$E$4:$E$3003,MATCH($D1287,ENVIOS!$A$4:$A$3003,0)),"—"))</f>
        <v/>
      </c>
      <c r="I1287" s="23">
        <f>IF($D1287="","",IFERROR(INDEX(ENVIOS!$F$4:$F$3003,MATCH($D1287,ENVIOS!$A$4:$A$3003,0)),"—"))</f>
        <v/>
      </c>
      <c r="J1287" s="23">
        <f>IF($D1287="","",IFERROR(INDEX(ENVIOS!$G$4:$G$3003,MATCH($D1287,ENVIOS!$A$4:$A$3003,0)),"—"))</f>
        <v/>
      </c>
      <c r="K1287" s="28">
        <f>IF($D1287="","",IFERROR(INDEX(ENVIOS!$H$4:$H$3003,MATCH($D1287,ENVIOS!$A$4:$A$3003,0)),"—"))</f>
        <v/>
      </c>
      <c r="L1287" s="49">
        <f>IF($D1287="","",IFERROR(INDEX(ENVIOS!$C$4:$C$3003,MATCH($D1287,ENVIOS!$A$4:$A$3003,0)),""))</f>
        <v/>
      </c>
      <c r="M1287" s="50" t="n"/>
      <c r="N1287" s="28">
        <f>IF($M1287="","",IFERROR(INDEX(CONFIG!$C$4:$C$63,MATCH($M1287,CONFIG!$A$4:$A$63,0)),"Media"))</f>
        <v/>
      </c>
      <c r="O1287" s="28">
        <f>IF($M1287="","",IF($C1287="Interna","NO",IFERROR(INDEX(CONFIG!$E$4:$E$63,MATCH($M1287,CONFIG!$A$4:$A$63,0)),"NO")))</f>
        <v/>
      </c>
      <c r="P1287" s="50" t="n"/>
      <c r="Q1287" s="50" t="n"/>
      <c r="R1287" s="28">
        <f>IF($Q1287="","",IFERROR(INDEX(CONFIG!$H$4:$H$63,MATCH($Q1287,CONFIG!$G$4:$G$63,0)),"Por definir"))</f>
        <v/>
      </c>
      <c r="S1287" s="28">
        <f>IF($Q1287="","",IFERROR(INDEX(CONFIG!$I$4:$I$63,MATCH($Q1287,CONFIG!$G$4:$G$63,0)),"Por definir"))</f>
        <v/>
      </c>
      <c r="T1287" s="51" t="n"/>
      <c r="U1287" s="52" t="n"/>
      <c r="V1287" s="50" t="n"/>
      <c r="W1287" s="50" t="n"/>
      <c r="X1287" s="49">
        <f>IF(OR($B1287="",$M1287=""),"",WORKDAY($B1287,IFERROR(INDEX(CONFIG!$D$4:$D$63,MATCH($M1287,CONFIG!$A$4:$A$63,0)),3)))</f>
        <v/>
      </c>
      <c r="Y1287" s="47" t="n"/>
      <c r="Z1287" s="24">
        <f>IF($B1287="","",IF($Y1287&lt;&gt;"",$Y1287-$B1287,TODAY()-$B1287))</f>
        <v/>
      </c>
      <c r="AA1287" s="28">
        <f>IF($B1287="","",IF(IFERROR(INDEX(CONFIG!$L$4:$L$63,MATCH($V1287,CONFIG!$K$4:$K$63,0)),"NO")="SÍ",IF(OR($Y1287="",$X1287=""),"Resuelta",IF($Y1287&gt;$X1287,"Resuelta tarde","Resuelta a tiempo")),IF($X1287="","Sin clasificar",IF(TODAY()&gt;$X1287,"Vencida",IF(TODAY()&gt;=$X1287-1,"Por vencer","En plazo")))))</f>
        <v/>
      </c>
      <c r="AB1287" s="50" t="n"/>
      <c r="AC1287" s="50" t="n"/>
    </row>
    <row r="1288" ht="16" customHeight="1">
      <c r="A1288" s="28">
        <f>IF($B1288="","","N-"&amp;TEXT(ROW()-3,"0000"))</f>
        <v/>
      </c>
      <c r="B1288" s="47" t="n"/>
      <c r="C1288" s="48" t="n"/>
      <c r="D1288" s="48" t="n"/>
      <c r="E1288" s="28">
        <f>IF($C1288="","",IF($D1288="",IF($C1288="Interna","Sin guía (interna)","FALTA GUÍA"),IF(COUNTIFS(ENVIOS!$A$4:$A$3003,$D1288)=0,"NO EXISTE",IF(COUNTIFS(ENVIOS!$A$4:$A$3003,$D1288)&gt;1,"DUPLICADA","OK"))))</f>
        <v/>
      </c>
      <c r="F1288" s="28">
        <f>IF($D1288="","",IFERROR(INDEX(ENVIOS!$B$4:$B$3003,MATCH($D1288,ENVIOS!$A$4:$A$3003,0)),"—"))</f>
        <v/>
      </c>
      <c r="G1288" s="23">
        <f>IF($D1288="","",IFERROR(INDEX(ENVIOS!$D$4:$D$3003,MATCH($D1288,ENVIOS!$A$4:$A$3003,0)),"—"))</f>
        <v/>
      </c>
      <c r="H1288" s="23">
        <f>IF($D1288="","",IFERROR(INDEX(ENVIOS!$E$4:$E$3003,MATCH($D1288,ENVIOS!$A$4:$A$3003,0)),"—"))</f>
        <v/>
      </c>
      <c r="I1288" s="23">
        <f>IF($D1288="","",IFERROR(INDEX(ENVIOS!$F$4:$F$3003,MATCH($D1288,ENVIOS!$A$4:$A$3003,0)),"—"))</f>
        <v/>
      </c>
      <c r="J1288" s="23">
        <f>IF($D1288="","",IFERROR(INDEX(ENVIOS!$G$4:$G$3003,MATCH($D1288,ENVIOS!$A$4:$A$3003,0)),"—"))</f>
        <v/>
      </c>
      <c r="K1288" s="28">
        <f>IF($D1288="","",IFERROR(INDEX(ENVIOS!$H$4:$H$3003,MATCH($D1288,ENVIOS!$A$4:$A$3003,0)),"—"))</f>
        <v/>
      </c>
      <c r="L1288" s="49">
        <f>IF($D1288="","",IFERROR(INDEX(ENVIOS!$C$4:$C$3003,MATCH($D1288,ENVIOS!$A$4:$A$3003,0)),""))</f>
        <v/>
      </c>
      <c r="M1288" s="50" t="n"/>
      <c r="N1288" s="28">
        <f>IF($M1288="","",IFERROR(INDEX(CONFIG!$C$4:$C$63,MATCH($M1288,CONFIG!$A$4:$A$63,0)),"Media"))</f>
        <v/>
      </c>
      <c r="O1288" s="28">
        <f>IF($M1288="","",IF($C1288="Interna","NO",IFERROR(INDEX(CONFIG!$E$4:$E$63,MATCH($M1288,CONFIG!$A$4:$A$63,0)),"NO")))</f>
        <v/>
      </c>
      <c r="P1288" s="50" t="n"/>
      <c r="Q1288" s="50" t="n"/>
      <c r="R1288" s="28">
        <f>IF($Q1288="","",IFERROR(INDEX(CONFIG!$H$4:$H$63,MATCH($Q1288,CONFIG!$G$4:$G$63,0)),"Por definir"))</f>
        <v/>
      </c>
      <c r="S1288" s="28">
        <f>IF($Q1288="","",IFERROR(INDEX(CONFIG!$I$4:$I$63,MATCH($Q1288,CONFIG!$G$4:$G$63,0)),"Por definir"))</f>
        <v/>
      </c>
      <c r="T1288" s="51" t="n"/>
      <c r="U1288" s="52" t="n"/>
      <c r="V1288" s="50" t="n"/>
      <c r="W1288" s="50" t="n"/>
      <c r="X1288" s="49">
        <f>IF(OR($B1288="",$M1288=""),"",WORKDAY($B1288,IFERROR(INDEX(CONFIG!$D$4:$D$63,MATCH($M1288,CONFIG!$A$4:$A$63,0)),3)))</f>
        <v/>
      </c>
      <c r="Y1288" s="47" t="n"/>
      <c r="Z1288" s="24">
        <f>IF($B1288="","",IF($Y1288&lt;&gt;"",$Y1288-$B1288,TODAY()-$B1288))</f>
        <v/>
      </c>
      <c r="AA1288" s="28">
        <f>IF($B1288="","",IF(IFERROR(INDEX(CONFIG!$L$4:$L$63,MATCH($V1288,CONFIG!$K$4:$K$63,0)),"NO")="SÍ",IF(OR($Y1288="",$X1288=""),"Resuelta",IF($Y1288&gt;$X1288,"Resuelta tarde","Resuelta a tiempo")),IF($X1288="","Sin clasificar",IF(TODAY()&gt;$X1288,"Vencida",IF(TODAY()&gt;=$X1288-1,"Por vencer","En plazo")))))</f>
        <v/>
      </c>
      <c r="AB1288" s="50" t="n"/>
      <c r="AC1288" s="50" t="n"/>
    </row>
    <row r="1289" ht="16" customHeight="1">
      <c r="A1289" s="28">
        <f>IF($B1289="","","N-"&amp;TEXT(ROW()-3,"0000"))</f>
        <v/>
      </c>
      <c r="B1289" s="47" t="n"/>
      <c r="C1289" s="48" t="n"/>
      <c r="D1289" s="48" t="n"/>
      <c r="E1289" s="28">
        <f>IF($C1289="","",IF($D1289="",IF($C1289="Interna","Sin guía (interna)","FALTA GUÍA"),IF(COUNTIFS(ENVIOS!$A$4:$A$3003,$D1289)=0,"NO EXISTE",IF(COUNTIFS(ENVIOS!$A$4:$A$3003,$D1289)&gt;1,"DUPLICADA","OK"))))</f>
        <v/>
      </c>
      <c r="F1289" s="28">
        <f>IF($D1289="","",IFERROR(INDEX(ENVIOS!$B$4:$B$3003,MATCH($D1289,ENVIOS!$A$4:$A$3003,0)),"—"))</f>
        <v/>
      </c>
      <c r="G1289" s="23">
        <f>IF($D1289="","",IFERROR(INDEX(ENVIOS!$D$4:$D$3003,MATCH($D1289,ENVIOS!$A$4:$A$3003,0)),"—"))</f>
        <v/>
      </c>
      <c r="H1289" s="23">
        <f>IF($D1289="","",IFERROR(INDEX(ENVIOS!$E$4:$E$3003,MATCH($D1289,ENVIOS!$A$4:$A$3003,0)),"—"))</f>
        <v/>
      </c>
      <c r="I1289" s="23">
        <f>IF($D1289="","",IFERROR(INDEX(ENVIOS!$F$4:$F$3003,MATCH($D1289,ENVIOS!$A$4:$A$3003,0)),"—"))</f>
        <v/>
      </c>
      <c r="J1289" s="23">
        <f>IF($D1289="","",IFERROR(INDEX(ENVIOS!$G$4:$G$3003,MATCH($D1289,ENVIOS!$A$4:$A$3003,0)),"—"))</f>
        <v/>
      </c>
      <c r="K1289" s="28">
        <f>IF($D1289="","",IFERROR(INDEX(ENVIOS!$H$4:$H$3003,MATCH($D1289,ENVIOS!$A$4:$A$3003,0)),"—"))</f>
        <v/>
      </c>
      <c r="L1289" s="49">
        <f>IF($D1289="","",IFERROR(INDEX(ENVIOS!$C$4:$C$3003,MATCH($D1289,ENVIOS!$A$4:$A$3003,0)),""))</f>
        <v/>
      </c>
      <c r="M1289" s="50" t="n"/>
      <c r="N1289" s="28">
        <f>IF($M1289="","",IFERROR(INDEX(CONFIG!$C$4:$C$63,MATCH($M1289,CONFIG!$A$4:$A$63,0)),"Media"))</f>
        <v/>
      </c>
      <c r="O1289" s="28">
        <f>IF($M1289="","",IF($C1289="Interna","NO",IFERROR(INDEX(CONFIG!$E$4:$E$63,MATCH($M1289,CONFIG!$A$4:$A$63,0)),"NO")))</f>
        <v/>
      </c>
      <c r="P1289" s="50" t="n"/>
      <c r="Q1289" s="50" t="n"/>
      <c r="R1289" s="28">
        <f>IF($Q1289="","",IFERROR(INDEX(CONFIG!$H$4:$H$63,MATCH($Q1289,CONFIG!$G$4:$G$63,0)),"Por definir"))</f>
        <v/>
      </c>
      <c r="S1289" s="28">
        <f>IF($Q1289="","",IFERROR(INDEX(CONFIG!$I$4:$I$63,MATCH($Q1289,CONFIG!$G$4:$G$63,0)),"Por definir"))</f>
        <v/>
      </c>
      <c r="T1289" s="51" t="n"/>
      <c r="U1289" s="52" t="n"/>
      <c r="V1289" s="50" t="n"/>
      <c r="W1289" s="50" t="n"/>
      <c r="X1289" s="49">
        <f>IF(OR($B1289="",$M1289=""),"",WORKDAY($B1289,IFERROR(INDEX(CONFIG!$D$4:$D$63,MATCH($M1289,CONFIG!$A$4:$A$63,0)),3)))</f>
        <v/>
      </c>
      <c r="Y1289" s="47" t="n"/>
      <c r="Z1289" s="24">
        <f>IF($B1289="","",IF($Y1289&lt;&gt;"",$Y1289-$B1289,TODAY()-$B1289))</f>
        <v/>
      </c>
      <c r="AA1289" s="28">
        <f>IF($B1289="","",IF(IFERROR(INDEX(CONFIG!$L$4:$L$63,MATCH($V1289,CONFIG!$K$4:$K$63,0)),"NO")="SÍ",IF(OR($Y1289="",$X1289=""),"Resuelta",IF($Y1289&gt;$X1289,"Resuelta tarde","Resuelta a tiempo")),IF($X1289="","Sin clasificar",IF(TODAY()&gt;$X1289,"Vencida",IF(TODAY()&gt;=$X1289-1,"Por vencer","En plazo")))))</f>
        <v/>
      </c>
      <c r="AB1289" s="50" t="n"/>
      <c r="AC1289" s="50" t="n"/>
    </row>
    <row r="1290" ht="16" customHeight="1">
      <c r="A1290" s="28">
        <f>IF($B1290="","","N-"&amp;TEXT(ROW()-3,"0000"))</f>
        <v/>
      </c>
      <c r="B1290" s="47" t="n"/>
      <c r="C1290" s="48" t="n"/>
      <c r="D1290" s="48" t="n"/>
      <c r="E1290" s="28">
        <f>IF($C1290="","",IF($D1290="",IF($C1290="Interna","Sin guía (interna)","FALTA GUÍA"),IF(COUNTIFS(ENVIOS!$A$4:$A$3003,$D1290)=0,"NO EXISTE",IF(COUNTIFS(ENVIOS!$A$4:$A$3003,$D1290)&gt;1,"DUPLICADA","OK"))))</f>
        <v/>
      </c>
      <c r="F1290" s="28">
        <f>IF($D1290="","",IFERROR(INDEX(ENVIOS!$B$4:$B$3003,MATCH($D1290,ENVIOS!$A$4:$A$3003,0)),"—"))</f>
        <v/>
      </c>
      <c r="G1290" s="23">
        <f>IF($D1290="","",IFERROR(INDEX(ENVIOS!$D$4:$D$3003,MATCH($D1290,ENVIOS!$A$4:$A$3003,0)),"—"))</f>
        <v/>
      </c>
      <c r="H1290" s="23">
        <f>IF($D1290="","",IFERROR(INDEX(ENVIOS!$E$4:$E$3003,MATCH($D1290,ENVIOS!$A$4:$A$3003,0)),"—"))</f>
        <v/>
      </c>
      <c r="I1290" s="23">
        <f>IF($D1290="","",IFERROR(INDEX(ENVIOS!$F$4:$F$3003,MATCH($D1290,ENVIOS!$A$4:$A$3003,0)),"—"))</f>
        <v/>
      </c>
      <c r="J1290" s="23">
        <f>IF($D1290="","",IFERROR(INDEX(ENVIOS!$G$4:$G$3003,MATCH($D1290,ENVIOS!$A$4:$A$3003,0)),"—"))</f>
        <v/>
      </c>
      <c r="K1290" s="28">
        <f>IF($D1290="","",IFERROR(INDEX(ENVIOS!$H$4:$H$3003,MATCH($D1290,ENVIOS!$A$4:$A$3003,0)),"—"))</f>
        <v/>
      </c>
      <c r="L1290" s="49">
        <f>IF($D1290="","",IFERROR(INDEX(ENVIOS!$C$4:$C$3003,MATCH($D1290,ENVIOS!$A$4:$A$3003,0)),""))</f>
        <v/>
      </c>
      <c r="M1290" s="50" t="n"/>
      <c r="N1290" s="28">
        <f>IF($M1290="","",IFERROR(INDEX(CONFIG!$C$4:$C$63,MATCH($M1290,CONFIG!$A$4:$A$63,0)),"Media"))</f>
        <v/>
      </c>
      <c r="O1290" s="28">
        <f>IF($M1290="","",IF($C1290="Interna","NO",IFERROR(INDEX(CONFIG!$E$4:$E$63,MATCH($M1290,CONFIG!$A$4:$A$63,0)),"NO")))</f>
        <v/>
      </c>
      <c r="P1290" s="50" t="n"/>
      <c r="Q1290" s="50" t="n"/>
      <c r="R1290" s="28">
        <f>IF($Q1290="","",IFERROR(INDEX(CONFIG!$H$4:$H$63,MATCH($Q1290,CONFIG!$G$4:$G$63,0)),"Por definir"))</f>
        <v/>
      </c>
      <c r="S1290" s="28">
        <f>IF($Q1290="","",IFERROR(INDEX(CONFIG!$I$4:$I$63,MATCH($Q1290,CONFIG!$G$4:$G$63,0)),"Por definir"))</f>
        <v/>
      </c>
      <c r="T1290" s="51" t="n"/>
      <c r="U1290" s="52" t="n"/>
      <c r="V1290" s="50" t="n"/>
      <c r="W1290" s="50" t="n"/>
      <c r="X1290" s="49">
        <f>IF(OR($B1290="",$M1290=""),"",WORKDAY($B1290,IFERROR(INDEX(CONFIG!$D$4:$D$63,MATCH($M1290,CONFIG!$A$4:$A$63,0)),3)))</f>
        <v/>
      </c>
      <c r="Y1290" s="47" t="n"/>
      <c r="Z1290" s="24">
        <f>IF($B1290="","",IF($Y1290&lt;&gt;"",$Y1290-$B1290,TODAY()-$B1290))</f>
        <v/>
      </c>
      <c r="AA1290" s="28">
        <f>IF($B1290="","",IF(IFERROR(INDEX(CONFIG!$L$4:$L$63,MATCH($V1290,CONFIG!$K$4:$K$63,0)),"NO")="SÍ",IF(OR($Y1290="",$X1290=""),"Resuelta",IF($Y1290&gt;$X1290,"Resuelta tarde","Resuelta a tiempo")),IF($X1290="","Sin clasificar",IF(TODAY()&gt;$X1290,"Vencida",IF(TODAY()&gt;=$X1290-1,"Por vencer","En plazo")))))</f>
        <v/>
      </c>
      <c r="AB1290" s="50" t="n"/>
      <c r="AC1290" s="50" t="n"/>
    </row>
    <row r="1291" ht="16" customHeight="1">
      <c r="A1291" s="28">
        <f>IF($B1291="","","N-"&amp;TEXT(ROW()-3,"0000"))</f>
        <v/>
      </c>
      <c r="B1291" s="47" t="n"/>
      <c r="C1291" s="48" t="n"/>
      <c r="D1291" s="48" t="n"/>
      <c r="E1291" s="28">
        <f>IF($C1291="","",IF($D1291="",IF($C1291="Interna","Sin guía (interna)","FALTA GUÍA"),IF(COUNTIFS(ENVIOS!$A$4:$A$3003,$D1291)=0,"NO EXISTE",IF(COUNTIFS(ENVIOS!$A$4:$A$3003,$D1291)&gt;1,"DUPLICADA","OK"))))</f>
        <v/>
      </c>
      <c r="F1291" s="28">
        <f>IF($D1291="","",IFERROR(INDEX(ENVIOS!$B$4:$B$3003,MATCH($D1291,ENVIOS!$A$4:$A$3003,0)),"—"))</f>
        <v/>
      </c>
      <c r="G1291" s="23">
        <f>IF($D1291="","",IFERROR(INDEX(ENVIOS!$D$4:$D$3003,MATCH($D1291,ENVIOS!$A$4:$A$3003,0)),"—"))</f>
        <v/>
      </c>
      <c r="H1291" s="23">
        <f>IF($D1291="","",IFERROR(INDEX(ENVIOS!$E$4:$E$3003,MATCH($D1291,ENVIOS!$A$4:$A$3003,0)),"—"))</f>
        <v/>
      </c>
      <c r="I1291" s="23">
        <f>IF($D1291="","",IFERROR(INDEX(ENVIOS!$F$4:$F$3003,MATCH($D1291,ENVIOS!$A$4:$A$3003,0)),"—"))</f>
        <v/>
      </c>
      <c r="J1291" s="23">
        <f>IF($D1291="","",IFERROR(INDEX(ENVIOS!$G$4:$G$3003,MATCH($D1291,ENVIOS!$A$4:$A$3003,0)),"—"))</f>
        <v/>
      </c>
      <c r="K1291" s="28">
        <f>IF($D1291="","",IFERROR(INDEX(ENVIOS!$H$4:$H$3003,MATCH($D1291,ENVIOS!$A$4:$A$3003,0)),"—"))</f>
        <v/>
      </c>
      <c r="L1291" s="49">
        <f>IF($D1291="","",IFERROR(INDEX(ENVIOS!$C$4:$C$3003,MATCH($D1291,ENVIOS!$A$4:$A$3003,0)),""))</f>
        <v/>
      </c>
      <c r="M1291" s="50" t="n"/>
      <c r="N1291" s="28">
        <f>IF($M1291="","",IFERROR(INDEX(CONFIG!$C$4:$C$63,MATCH($M1291,CONFIG!$A$4:$A$63,0)),"Media"))</f>
        <v/>
      </c>
      <c r="O1291" s="28">
        <f>IF($M1291="","",IF($C1291="Interna","NO",IFERROR(INDEX(CONFIG!$E$4:$E$63,MATCH($M1291,CONFIG!$A$4:$A$63,0)),"NO")))</f>
        <v/>
      </c>
      <c r="P1291" s="50" t="n"/>
      <c r="Q1291" s="50" t="n"/>
      <c r="R1291" s="28">
        <f>IF($Q1291="","",IFERROR(INDEX(CONFIG!$H$4:$H$63,MATCH($Q1291,CONFIG!$G$4:$G$63,0)),"Por definir"))</f>
        <v/>
      </c>
      <c r="S1291" s="28">
        <f>IF($Q1291="","",IFERROR(INDEX(CONFIG!$I$4:$I$63,MATCH($Q1291,CONFIG!$G$4:$G$63,0)),"Por definir"))</f>
        <v/>
      </c>
      <c r="T1291" s="51" t="n"/>
      <c r="U1291" s="52" t="n"/>
      <c r="V1291" s="50" t="n"/>
      <c r="W1291" s="50" t="n"/>
      <c r="X1291" s="49">
        <f>IF(OR($B1291="",$M1291=""),"",WORKDAY($B1291,IFERROR(INDEX(CONFIG!$D$4:$D$63,MATCH($M1291,CONFIG!$A$4:$A$63,0)),3)))</f>
        <v/>
      </c>
      <c r="Y1291" s="47" t="n"/>
      <c r="Z1291" s="24">
        <f>IF($B1291="","",IF($Y1291&lt;&gt;"",$Y1291-$B1291,TODAY()-$B1291))</f>
        <v/>
      </c>
      <c r="AA1291" s="28">
        <f>IF($B1291="","",IF(IFERROR(INDEX(CONFIG!$L$4:$L$63,MATCH($V1291,CONFIG!$K$4:$K$63,0)),"NO")="SÍ",IF(OR($Y1291="",$X1291=""),"Resuelta",IF($Y1291&gt;$X1291,"Resuelta tarde","Resuelta a tiempo")),IF($X1291="","Sin clasificar",IF(TODAY()&gt;$X1291,"Vencida",IF(TODAY()&gt;=$X1291-1,"Por vencer","En plazo")))))</f>
        <v/>
      </c>
      <c r="AB1291" s="50" t="n"/>
      <c r="AC1291" s="50" t="n"/>
    </row>
    <row r="1292" ht="16" customHeight="1">
      <c r="A1292" s="28">
        <f>IF($B1292="","","N-"&amp;TEXT(ROW()-3,"0000"))</f>
        <v/>
      </c>
      <c r="B1292" s="47" t="n"/>
      <c r="C1292" s="48" t="n"/>
      <c r="D1292" s="48" t="n"/>
      <c r="E1292" s="28">
        <f>IF($C1292="","",IF($D1292="",IF($C1292="Interna","Sin guía (interna)","FALTA GUÍA"),IF(COUNTIFS(ENVIOS!$A$4:$A$3003,$D1292)=0,"NO EXISTE",IF(COUNTIFS(ENVIOS!$A$4:$A$3003,$D1292)&gt;1,"DUPLICADA","OK"))))</f>
        <v/>
      </c>
      <c r="F1292" s="28">
        <f>IF($D1292="","",IFERROR(INDEX(ENVIOS!$B$4:$B$3003,MATCH($D1292,ENVIOS!$A$4:$A$3003,0)),"—"))</f>
        <v/>
      </c>
      <c r="G1292" s="23">
        <f>IF($D1292="","",IFERROR(INDEX(ENVIOS!$D$4:$D$3003,MATCH($D1292,ENVIOS!$A$4:$A$3003,0)),"—"))</f>
        <v/>
      </c>
      <c r="H1292" s="23">
        <f>IF($D1292="","",IFERROR(INDEX(ENVIOS!$E$4:$E$3003,MATCH($D1292,ENVIOS!$A$4:$A$3003,0)),"—"))</f>
        <v/>
      </c>
      <c r="I1292" s="23">
        <f>IF($D1292="","",IFERROR(INDEX(ENVIOS!$F$4:$F$3003,MATCH($D1292,ENVIOS!$A$4:$A$3003,0)),"—"))</f>
        <v/>
      </c>
      <c r="J1292" s="23">
        <f>IF($D1292="","",IFERROR(INDEX(ENVIOS!$G$4:$G$3003,MATCH($D1292,ENVIOS!$A$4:$A$3003,0)),"—"))</f>
        <v/>
      </c>
      <c r="K1292" s="28">
        <f>IF($D1292="","",IFERROR(INDEX(ENVIOS!$H$4:$H$3003,MATCH($D1292,ENVIOS!$A$4:$A$3003,0)),"—"))</f>
        <v/>
      </c>
      <c r="L1292" s="49">
        <f>IF($D1292="","",IFERROR(INDEX(ENVIOS!$C$4:$C$3003,MATCH($D1292,ENVIOS!$A$4:$A$3003,0)),""))</f>
        <v/>
      </c>
      <c r="M1292" s="50" t="n"/>
      <c r="N1292" s="28">
        <f>IF($M1292="","",IFERROR(INDEX(CONFIG!$C$4:$C$63,MATCH($M1292,CONFIG!$A$4:$A$63,0)),"Media"))</f>
        <v/>
      </c>
      <c r="O1292" s="28">
        <f>IF($M1292="","",IF($C1292="Interna","NO",IFERROR(INDEX(CONFIG!$E$4:$E$63,MATCH($M1292,CONFIG!$A$4:$A$63,0)),"NO")))</f>
        <v/>
      </c>
      <c r="P1292" s="50" t="n"/>
      <c r="Q1292" s="50" t="n"/>
      <c r="R1292" s="28">
        <f>IF($Q1292="","",IFERROR(INDEX(CONFIG!$H$4:$H$63,MATCH($Q1292,CONFIG!$G$4:$G$63,0)),"Por definir"))</f>
        <v/>
      </c>
      <c r="S1292" s="28">
        <f>IF($Q1292="","",IFERROR(INDEX(CONFIG!$I$4:$I$63,MATCH($Q1292,CONFIG!$G$4:$G$63,0)),"Por definir"))</f>
        <v/>
      </c>
      <c r="T1292" s="51" t="n"/>
      <c r="U1292" s="52" t="n"/>
      <c r="V1292" s="50" t="n"/>
      <c r="W1292" s="50" t="n"/>
      <c r="X1292" s="49">
        <f>IF(OR($B1292="",$M1292=""),"",WORKDAY($B1292,IFERROR(INDEX(CONFIG!$D$4:$D$63,MATCH($M1292,CONFIG!$A$4:$A$63,0)),3)))</f>
        <v/>
      </c>
      <c r="Y1292" s="47" t="n"/>
      <c r="Z1292" s="24">
        <f>IF($B1292="","",IF($Y1292&lt;&gt;"",$Y1292-$B1292,TODAY()-$B1292))</f>
        <v/>
      </c>
      <c r="AA1292" s="28">
        <f>IF($B1292="","",IF(IFERROR(INDEX(CONFIG!$L$4:$L$63,MATCH($V1292,CONFIG!$K$4:$K$63,0)),"NO")="SÍ",IF(OR($Y1292="",$X1292=""),"Resuelta",IF($Y1292&gt;$X1292,"Resuelta tarde","Resuelta a tiempo")),IF($X1292="","Sin clasificar",IF(TODAY()&gt;$X1292,"Vencida",IF(TODAY()&gt;=$X1292-1,"Por vencer","En plazo")))))</f>
        <v/>
      </c>
      <c r="AB1292" s="50" t="n"/>
      <c r="AC1292" s="50" t="n"/>
    </row>
    <row r="1293" ht="16" customHeight="1">
      <c r="A1293" s="28">
        <f>IF($B1293="","","N-"&amp;TEXT(ROW()-3,"0000"))</f>
        <v/>
      </c>
      <c r="B1293" s="47" t="n"/>
      <c r="C1293" s="48" t="n"/>
      <c r="D1293" s="48" t="n"/>
      <c r="E1293" s="28">
        <f>IF($C1293="","",IF($D1293="",IF($C1293="Interna","Sin guía (interna)","FALTA GUÍA"),IF(COUNTIFS(ENVIOS!$A$4:$A$3003,$D1293)=0,"NO EXISTE",IF(COUNTIFS(ENVIOS!$A$4:$A$3003,$D1293)&gt;1,"DUPLICADA","OK"))))</f>
        <v/>
      </c>
      <c r="F1293" s="28">
        <f>IF($D1293="","",IFERROR(INDEX(ENVIOS!$B$4:$B$3003,MATCH($D1293,ENVIOS!$A$4:$A$3003,0)),"—"))</f>
        <v/>
      </c>
      <c r="G1293" s="23">
        <f>IF($D1293="","",IFERROR(INDEX(ENVIOS!$D$4:$D$3003,MATCH($D1293,ENVIOS!$A$4:$A$3003,0)),"—"))</f>
        <v/>
      </c>
      <c r="H1293" s="23">
        <f>IF($D1293="","",IFERROR(INDEX(ENVIOS!$E$4:$E$3003,MATCH($D1293,ENVIOS!$A$4:$A$3003,0)),"—"))</f>
        <v/>
      </c>
      <c r="I1293" s="23">
        <f>IF($D1293="","",IFERROR(INDEX(ENVIOS!$F$4:$F$3003,MATCH($D1293,ENVIOS!$A$4:$A$3003,0)),"—"))</f>
        <v/>
      </c>
      <c r="J1293" s="23">
        <f>IF($D1293="","",IFERROR(INDEX(ENVIOS!$G$4:$G$3003,MATCH($D1293,ENVIOS!$A$4:$A$3003,0)),"—"))</f>
        <v/>
      </c>
      <c r="K1293" s="28">
        <f>IF($D1293="","",IFERROR(INDEX(ENVIOS!$H$4:$H$3003,MATCH($D1293,ENVIOS!$A$4:$A$3003,0)),"—"))</f>
        <v/>
      </c>
      <c r="L1293" s="49">
        <f>IF($D1293="","",IFERROR(INDEX(ENVIOS!$C$4:$C$3003,MATCH($D1293,ENVIOS!$A$4:$A$3003,0)),""))</f>
        <v/>
      </c>
      <c r="M1293" s="50" t="n"/>
      <c r="N1293" s="28">
        <f>IF($M1293="","",IFERROR(INDEX(CONFIG!$C$4:$C$63,MATCH($M1293,CONFIG!$A$4:$A$63,0)),"Media"))</f>
        <v/>
      </c>
      <c r="O1293" s="28">
        <f>IF($M1293="","",IF($C1293="Interna","NO",IFERROR(INDEX(CONFIG!$E$4:$E$63,MATCH($M1293,CONFIG!$A$4:$A$63,0)),"NO")))</f>
        <v/>
      </c>
      <c r="P1293" s="50" t="n"/>
      <c r="Q1293" s="50" t="n"/>
      <c r="R1293" s="28">
        <f>IF($Q1293="","",IFERROR(INDEX(CONFIG!$H$4:$H$63,MATCH($Q1293,CONFIG!$G$4:$G$63,0)),"Por definir"))</f>
        <v/>
      </c>
      <c r="S1293" s="28">
        <f>IF($Q1293="","",IFERROR(INDEX(CONFIG!$I$4:$I$63,MATCH($Q1293,CONFIG!$G$4:$G$63,0)),"Por definir"))</f>
        <v/>
      </c>
      <c r="T1293" s="51" t="n"/>
      <c r="U1293" s="52" t="n"/>
      <c r="V1293" s="50" t="n"/>
      <c r="W1293" s="50" t="n"/>
      <c r="X1293" s="49">
        <f>IF(OR($B1293="",$M1293=""),"",WORKDAY($B1293,IFERROR(INDEX(CONFIG!$D$4:$D$63,MATCH($M1293,CONFIG!$A$4:$A$63,0)),3)))</f>
        <v/>
      </c>
      <c r="Y1293" s="47" t="n"/>
      <c r="Z1293" s="24">
        <f>IF($B1293="","",IF($Y1293&lt;&gt;"",$Y1293-$B1293,TODAY()-$B1293))</f>
        <v/>
      </c>
      <c r="AA1293" s="28">
        <f>IF($B1293="","",IF(IFERROR(INDEX(CONFIG!$L$4:$L$63,MATCH($V1293,CONFIG!$K$4:$K$63,0)),"NO")="SÍ",IF(OR($Y1293="",$X1293=""),"Resuelta",IF($Y1293&gt;$X1293,"Resuelta tarde","Resuelta a tiempo")),IF($X1293="","Sin clasificar",IF(TODAY()&gt;$X1293,"Vencida",IF(TODAY()&gt;=$X1293-1,"Por vencer","En plazo")))))</f>
        <v/>
      </c>
      <c r="AB1293" s="50" t="n"/>
      <c r="AC1293" s="50" t="n"/>
    </row>
    <row r="1294" ht="16" customHeight="1">
      <c r="A1294" s="28">
        <f>IF($B1294="","","N-"&amp;TEXT(ROW()-3,"0000"))</f>
        <v/>
      </c>
      <c r="B1294" s="47" t="n"/>
      <c r="C1294" s="48" t="n"/>
      <c r="D1294" s="48" t="n"/>
      <c r="E1294" s="28">
        <f>IF($C1294="","",IF($D1294="",IF($C1294="Interna","Sin guía (interna)","FALTA GUÍA"),IF(COUNTIFS(ENVIOS!$A$4:$A$3003,$D1294)=0,"NO EXISTE",IF(COUNTIFS(ENVIOS!$A$4:$A$3003,$D1294)&gt;1,"DUPLICADA","OK"))))</f>
        <v/>
      </c>
      <c r="F1294" s="28">
        <f>IF($D1294="","",IFERROR(INDEX(ENVIOS!$B$4:$B$3003,MATCH($D1294,ENVIOS!$A$4:$A$3003,0)),"—"))</f>
        <v/>
      </c>
      <c r="G1294" s="23">
        <f>IF($D1294="","",IFERROR(INDEX(ENVIOS!$D$4:$D$3003,MATCH($D1294,ENVIOS!$A$4:$A$3003,0)),"—"))</f>
        <v/>
      </c>
      <c r="H1294" s="23">
        <f>IF($D1294="","",IFERROR(INDEX(ENVIOS!$E$4:$E$3003,MATCH($D1294,ENVIOS!$A$4:$A$3003,0)),"—"))</f>
        <v/>
      </c>
      <c r="I1294" s="23">
        <f>IF($D1294="","",IFERROR(INDEX(ENVIOS!$F$4:$F$3003,MATCH($D1294,ENVIOS!$A$4:$A$3003,0)),"—"))</f>
        <v/>
      </c>
      <c r="J1294" s="23">
        <f>IF($D1294="","",IFERROR(INDEX(ENVIOS!$G$4:$G$3003,MATCH($D1294,ENVIOS!$A$4:$A$3003,0)),"—"))</f>
        <v/>
      </c>
      <c r="K1294" s="28">
        <f>IF($D1294="","",IFERROR(INDEX(ENVIOS!$H$4:$H$3003,MATCH($D1294,ENVIOS!$A$4:$A$3003,0)),"—"))</f>
        <v/>
      </c>
      <c r="L1294" s="49">
        <f>IF($D1294="","",IFERROR(INDEX(ENVIOS!$C$4:$C$3003,MATCH($D1294,ENVIOS!$A$4:$A$3003,0)),""))</f>
        <v/>
      </c>
      <c r="M1294" s="50" t="n"/>
      <c r="N1294" s="28">
        <f>IF($M1294="","",IFERROR(INDEX(CONFIG!$C$4:$C$63,MATCH($M1294,CONFIG!$A$4:$A$63,0)),"Media"))</f>
        <v/>
      </c>
      <c r="O1294" s="28">
        <f>IF($M1294="","",IF($C1294="Interna","NO",IFERROR(INDEX(CONFIG!$E$4:$E$63,MATCH($M1294,CONFIG!$A$4:$A$63,0)),"NO")))</f>
        <v/>
      </c>
      <c r="P1294" s="50" t="n"/>
      <c r="Q1294" s="50" t="n"/>
      <c r="R1294" s="28">
        <f>IF($Q1294="","",IFERROR(INDEX(CONFIG!$H$4:$H$63,MATCH($Q1294,CONFIG!$G$4:$G$63,0)),"Por definir"))</f>
        <v/>
      </c>
      <c r="S1294" s="28">
        <f>IF($Q1294="","",IFERROR(INDEX(CONFIG!$I$4:$I$63,MATCH($Q1294,CONFIG!$G$4:$G$63,0)),"Por definir"))</f>
        <v/>
      </c>
      <c r="T1294" s="51" t="n"/>
      <c r="U1294" s="52" t="n"/>
      <c r="V1294" s="50" t="n"/>
      <c r="W1294" s="50" t="n"/>
      <c r="X1294" s="49">
        <f>IF(OR($B1294="",$M1294=""),"",WORKDAY($B1294,IFERROR(INDEX(CONFIG!$D$4:$D$63,MATCH($M1294,CONFIG!$A$4:$A$63,0)),3)))</f>
        <v/>
      </c>
      <c r="Y1294" s="47" t="n"/>
      <c r="Z1294" s="24">
        <f>IF($B1294="","",IF($Y1294&lt;&gt;"",$Y1294-$B1294,TODAY()-$B1294))</f>
        <v/>
      </c>
      <c r="AA1294" s="28">
        <f>IF($B1294="","",IF(IFERROR(INDEX(CONFIG!$L$4:$L$63,MATCH($V1294,CONFIG!$K$4:$K$63,0)),"NO")="SÍ",IF(OR($Y1294="",$X1294=""),"Resuelta",IF($Y1294&gt;$X1294,"Resuelta tarde","Resuelta a tiempo")),IF($X1294="","Sin clasificar",IF(TODAY()&gt;$X1294,"Vencida",IF(TODAY()&gt;=$X1294-1,"Por vencer","En plazo")))))</f>
        <v/>
      </c>
      <c r="AB1294" s="50" t="n"/>
      <c r="AC1294" s="50" t="n"/>
    </row>
    <row r="1295" ht="16" customHeight="1">
      <c r="A1295" s="28">
        <f>IF($B1295="","","N-"&amp;TEXT(ROW()-3,"0000"))</f>
        <v/>
      </c>
      <c r="B1295" s="47" t="n"/>
      <c r="C1295" s="48" t="n"/>
      <c r="D1295" s="48" t="n"/>
      <c r="E1295" s="28">
        <f>IF($C1295="","",IF($D1295="",IF($C1295="Interna","Sin guía (interna)","FALTA GUÍA"),IF(COUNTIFS(ENVIOS!$A$4:$A$3003,$D1295)=0,"NO EXISTE",IF(COUNTIFS(ENVIOS!$A$4:$A$3003,$D1295)&gt;1,"DUPLICADA","OK"))))</f>
        <v/>
      </c>
      <c r="F1295" s="28">
        <f>IF($D1295="","",IFERROR(INDEX(ENVIOS!$B$4:$B$3003,MATCH($D1295,ENVIOS!$A$4:$A$3003,0)),"—"))</f>
        <v/>
      </c>
      <c r="G1295" s="23">
        <f>IF($D1295="","",IFERROR(INDEX(ENVIOS!$D$4:$D$3003,MATCH($D1295,ENVIOS!$A$4:$A$3003,0)),"—"))</f>
        <v/>
      </c>
      <c r="H1295" s="23">
        <f>IF($D1295="","",IFERROR(INDEX(ENVIOS!$E$4:$E$3003,MATCH($D1295,ENVIOS!$A$4:$A$3003,0)),"—"))</f>
        <v/>
      </c>
      <c r="I1295" s="23">
        <f>IF($D1295="","",IFERROR(INDEX(ENVIOS!$F$4:$F$3003,MATCH($D1295,ENVIOS!$A$4:$A$3003,0)),"—"))</f>
        <v/>
      </c>
      <c r="J1295" s="23">
        <f>IF($D1295="","",IFERROR(INDEX(ENVIOS!$G$4:$G$3003,MATCH($D1295,ENVIOS!$A$4:$A$3003,0)),"—"))</f>
        <v/>
      </c>
      <c r="K1295" s="28">
        <f>IF($D1295="","",IFERROR(INDEX(ENVIOS!$H$4:$H$3003,MATCH($D1295,ENVIOS!$A$4:$A$3003,0)),"—"))</f>
        <v/>
      </c>
      <c r="L1295" s="49">
        <f>IF($D1295="","",IFERROR(INDEX(ENVIOS!$C$4:$C$3003,MATCH($D1295,ENVIOS!$A$4:$A$3003,0)),""))</f>
        <v/>
      </c>
      <c r="M1295" s="50" t="n"/>
      <c r="N1295" s="28">
        <f>IF($M1295="","",IFERROR(INDEX(CONFIG!$C$4:$C$63,MATCH($M1295,CONFIG!$A$4:$A$63,0)),"Media"))</f>
        <v/>
      </c>
      <c r="O1295" s="28">
        <f>IF($M1295="","",IF($C1295="Interna","NO",IFERROR(INDEX(CONFIG!$E$4:$E$63,MATCH($M1295,CONFIG!$A$4:$A$63,0)),"NO")))</f>
        <v/>
      </c>
      <c r="P1295" s="50" t="n"/>
      <c r="Q1295" s="50" t="n"/>
      <c r="R1295" s="28">
        <f>IF($Q1295="","",IFERROR(INDEX(CONFIG!$H$4:$H$63,MATCH($Q1295,CONFIG!$G$4:$G$63,0)),"Por definir"))</f>
        <v/>
      </c>
      <c r="S1295" s="28">
        <f>IF($Q1295="","",IFERROR(INDEX(CONFIG!$I$4:$I$63,MATCH($Q1295,CONFIG!$G$4:$G$63,0)),"Por definir"))</f>
        <v/>
      </c>
      <c r="T1295" s="51" t="n"/>
      <c r="U1295" s="52" t="n"/>
      <c r="V1295" s="50" t="n"/>
      <c r="W1295" s="50" t="n"/>
      <c r="X1295" s="49">
        <f>IF(OR($B1295="",$M1295=""),"",WORKDAY($B1295,IFERROR(INDEX(CONFIG!$D$4:$D$63,MATCH($M1295,CONFIG!$A$4:$A$63,0)),3)))</f>
        <v/>
      </c>
      <c r="Y1295" s="47" t="n"/>
      <c r="Z1295" s="24">
        <f>IF($B1295="","",IF($Y1295&lt;&gt;"",$Y1295-$B1295,TODAY()-$B1295))</f>
        <v/>
      </c>
      <c r="AA1295" s="28">
        <f>IF($B1295="","",IF(IFERROR(INDEX(CONFIG!$L$4:$L$63,MATCH($V1295,CONFIG!$K$4:$K$63,0)),"NO")="SÍ",IF(OR($Y1295="",$X1295=""),"Resuelta",IF($Y1295&gt;$X1295,"Resuelta tarde","Resuelta a tiempo")),IF($X1295="","Sin clasificar",IF(TODAY()&gt;$X1295,"Vencida",IF(TODAY()&gt;=$X1295-1,"Por vencer","En plazo")))))</f>
        <v/>
      </c>
      <c r="AB1295" s="50" t="n"/>
      <c r="AC1295" s="50" t="n"/>
    </row>
    <row r="1296" ht="16" customHeight="1">
      <c r="A1296" s="28">
        <f>IF($B1296="","","N-"&amp;TEXT(ROW()-3,"0000"))</f>
        <v/>
      </c>
      <c r="B1296" s="47" t="n"/>
      <c r="C1296" s="48" t="n"/>
      <c r="D1296" s="48" t="n"/>
      <c r="E1296" s="28">
        <f>IF($C1296="","",IF($D1296="",IF($C1296="Interna","Sin guía (interna)","FALTA GUÍA"),IF(COUNTIFS(ENVIOS!$A$4:$A$3003,$D1296)=0,"NO EXISTE",IF(COUNTIFS(ENVIOS!$A$4:$A$3003,$D1296)&gt;1,"DUPLICADA","OK"))))</f>
        <v/>
      </c>
      <c r="F1296" s="28">
        <f>IF($D1296="","",IFERROR(INDEX(ENVIOS!$B$4:$B$3003,MATCH($D1296,ENVIOS!$A$4:$A$3003,0)),"—"))</f>
        <v/>
      </c>
      <c r="G1296" s="23">
        <f>IF($D1296="","",IFERROR(INDEX(ENVIOS!$D$4:$D$3003,MATCH($D1296,ENVIOS!$A$4:$A$3003,0)),"—"))</f>
        <v/>
      </c>
      <c r="H1296" s="23">
        <f>IF($D1296="","",IFERROR(INDEX(ENVIOS!$E$4:$E$3003,MATCH($D1296,ENVIOS!$A$4:$A$3003,0)),"—"))</f>
        <v/>
      </c>
      <c r="I1296" s="23">
        <f>IF($D1296="","",IFERROR(INDEX(ENVIOS!$F$4:$F$3003,MATCH($D1296,ENVIOS!$A$4:$A$3003,0)),"—"))</f>
        <v/>
      </c>
      <c r="J1296" s="23">
        <f>IF($D1296="","",IFERROR(INDEX(ENVIOS!$G$4:$G$3003,MATCH($D1296,ENVIOS!$A$4:$A$3003,0)),"—"))</f>
        <v/>
      </c>
      <c r="K1296" s="28">
        <f>IF($D1296="","",IFERROR(INDEX(ENVIOS!$H$4:$H$3003,MATCH($D1296,ENVIOS!$A$4:$A$3003,0)),"—"))</f>
        <v/>
      </c>
      <c r="L1296" s="49">
        <f>IF($D1296="","",IFERROR(INDEX(ENVIOS!$C$4:$C$3003,MATCH($D1296,ENVIOS!$A$4:$A$3003,0)),""))</f>
        <v/>
      </c>
      <c r="M1296" s="50" t="n"/>
      <c r="N1296" s="28">
        <f>IF($M1296="","",IFERROR(INDEX(CONFIG!$C$4:$C$63,MATCH($M1296,CONFIG!$A$4:$A$63,0)),"Media"))</f>
        <v/>
      </c>
      <c r="O1296" s="28">
        <f>IF($M1296="","",IF($C1296="Interna","NO",IFERROR(INDEX(CONFIG!$E$4:$E$63,MATCH($M1296,CONFIG!$A$4:$A$63,0)),"NO")))</f>
        <v/>
      </c>
      <c r="P1296" s="50" t="n"/>
      <c r="Q1296" s="50" t="n"/>
      <c r="R1296" s="28">
        <f>IF($Q1296="","",IFERROR(INDEX(CONFIG!$H$4:$H$63,MATCH($Q1296,CONFIG!$G$4:$G$63,0)),"Por definir"))</f>
        <v/>
      </c>
      <c r="S1296" s="28">
        <f>IF($Q1296="","",IFERROR(INDEX(CONFIG!$I$4:$I$63,MATCH($Q1296,CONFIG!$G$4:$G$63,0)),"Por definir"))</f>
        <v/>
      </c>
      <c r="T1296" s="51" t="n"/>
      <c r="U1296" s="52" t="n"/>
      <c r="V1296" s="50" t="n"/>
      <c r="W1296" s="50" t="n"/>
      <c r="X1296" s="49">
        <f>IF(OR($B1296="",$M1296=""),"",WORKDAY($B1296,IFERROR(INDEX(CONFIG!$D$4:$D$63,MATCH($M1296,CONFIG!$A$4:$A$63,0)),3)))</f>
        <v/>
      </c>
      <c r="Y1296" s="47" t="n"/>
      <c r="Z1296" s="24">
        <f>IF($B1296="","",IF($Y1296&lt;&gt;"",$Y1296-$B1296,TODAY()-$B1296))</f>
        <v/>
      </c>
      <c r="AA1296" s="28">
        <f>IF($B1296="","",IF(IFERROR(INDEX(CONFIG!$L$4:$L$63,MATCH($V1296,CONFIG!$K$4:$K$63,0)),"NO")="SÍ",IF(OR($Y1296="",$X1296=""),"Resuelta",IF($Y1296&gt;$X1296,"Resuelta tarde","Resuelta a tiempo")),IF($X1296="","Sin clasificar",IF(TODAY()&gt;$X1296,"Vencida",IF(TODAY()&gt;=$X1296-1,"Por vencer","En plazo")))))</f>
        <v/>
      </c>
      <c r="AB1296" s="50" t="n"/>
      <c r="AC1296" s="50" t="n"/>
    </row>
    <row r="1297" ht="16" customHeight="1">
      <c r="A1297" s="28">
        <f>IF($B1297="","","N-"&amp;TEXT(ROW()-3,"0000"))</f>
        <v/>
      </c>
      <c r="B1297" s="47" t="n"/>
      <c r="C1297" s="48" t="n"/>
      <c r="D1297" s="48" t="n"/>
      <c r="E1297" s="28">
        <f>IF($C1297="","",IF($D1297="",IF($C1297="Interna","Sin guía (interna)","FALTA GUÍA"),IF(COUNTIFS(ENVIOS!$A$4:$A$3003,$D1297)=0,"NO EXISTE",IF(COUNTIFS(ENVIOS!$A$4:$A$3003,$D1297)&gt;1,"DUPLICADA","OK"))))</f>
        <v/>
      </c>
      <c r="F1297" s="28">
        <f>IF($D1297="","",IFERROR(INDEX(ENVIOS!$B$4:$B$3003,MATCH($D1297,ENVIOS!$A$4:$A$3003,0)),"—"))</f>
        <v/>
      </c>
      <c r="G1297" s="23">
        <f>IF($D1297="","",IFERROR(INDEX(ENVIOS!$D$4:$D$3003,MATCH($D1297,ENVIOS!$A$4:$A$3003,0)),"—"))</f>
        <v/>
      </c>
      <c r="H1297" s="23">
        <f>IF($D1297="","",IFERROR(INDEX(ENVIOS!$E$4:$E$3003,MATCH($D1297,ENVIOS!$A$4:$A$3003,0)),"—"))</f>
        <v/>
      </c>
      <c r="I1297" s="23">
        <f>IF($D1297="","",IFERROR(INDEX(ENVIOS!$F$4:$F$3003,MATCH($D1297,ENVIOS!$A$4:$A$3003,0)),"—"))</f>
        <v/>
      </c>
      <c r="J1297" s="23">
        <f>IF($D1297="","",IFERROR(INDEX(ENVIOS!$G$4:$G$3003,MATCH($D1297,ENVIOS!$A$4:$A$3003,0)),"—"))</f>
        <v/>
      </c>
      <c r="K1297" s="28">
        <f>IF($D1297="","",IFERROR(INDEX(ENVIOS!$H$4:$H$3003,MATCH($D1297,ENVIOS!$A$4:$A$3003,0)),"—"))</f>
        <v/>
      </c>
      <c r="L1297" s="49">
        <f>IF($D1297="","",IFERROR(INDEX(ENVIOS!$C$4:$C$3003,MATCH($D1297,ENVIOS!$A$4:$A$3003,0)),""))</f>
        <v/>
      </c>
      <c r="M1297" s="50" t="n"/>
      <c r="N1297" s="28">
        <f>IF($M1297="","",IFERROR(INDEX(CONFIG!$C$4:$C$63,MATCH($M1297,CONFIG!$A$4:$A$63,0)),"Media"))</f>
        <v/>
      </c>
      <c r="O1297" s="28">
        <f>IF($M1297="","",IF($C1297="Interna","NO",IFERROR(INDEX(CONFIG!$E$4:$E$63,MATCH($M1297,CONFIG!$A$4:$A$63,0)),"NO")))</f>
        <v/>
      </c>
      <c r="P1297" s="50" t="n"/>
      <c r="Q1297" s="50" t="n"/>
      <c r="R1297" s="28">
        <f>IF($Q1297="","",IFERROR(INDEX(CONFIG!$H$4:$H$63,MATCH($Q1297,CONFIG!$G$4:$G$63,0)),"Por definir"))</f>
        <v/>
      </c>
      <c r="S1297" s="28">
        <f>IF($Q1297="","",IFERROR(INDEX(CONFIG!$I$4:$I$63,MATCH($Q1297,CONFIG!$G$4:$G$63,0)),"Por definir"))</f>
        <v/>
      </c>
      <c r="T1297" s="51" t="n"/>
      <c r="U1297" s="52" t="n"/>
      <c r="V1297" s="50" t="n"/>
      <c r="W1297" s="50" t="n"/>
      <c r="X1297" s="49">
        <f>IF(OR($B1297="",$M1297=""),"",WORKDAY($B1297,IFERROR(INDEX(CONFIG!$D$4:$D$63,MATCH($M1297,CONFIG!$A$4:$A$63,0)),3)))</f>
        <v/>
      </c>
      <c r="Y1297" s="47" t="n"/>
      <c r="Z1297" s="24">
        <f>IF($B1297="","",IF($Y1297&lt;&gt;"",$Y1297-$B1297,TODAY()-$B1297))</f>
        <v/>
      </c>
      <c r="AA1297" s="28">
        <f>IF($B1297="","",IF(IFERROR(INDEX(CONFIG!$L$4:$L$63,MATCH($V1297,CONFIG!$K$4:$K$63,0)),"NO")="SÍ",IF(OR($Y1297="",$X1297=""),"Resuelta",IF($Y1297&gt;$X1297,"Resuelta tarde","Resuelta a tiempo")),IF($X1297="","Sin clasificar",IF(TODAY()&gt;$X1297,"Vencida",IF(TODAY()&gt;=$X1297-1,"Por vencer","En plazo")))))</f>
        <v/>
      </c>
      <c r="AB1297" s="50" t="n"/>
      <c r="AC1297" s="50" t="n"/>
    </row>
    <row r="1298" ht="16" customHeight="1">
      <c r="A1298" s="28">
        <f>IF($B1298="","","N-"&amp;TEXT(ROW()-3,"0000"))</f>
        <v/>
      </c>
      <c r="B1298" s="47" t="n"/>
      <c r="C1298" s="48" t="n"/>
      <c r="D1298" s="48" t="n"/>
      <c r="E1298" s="28">
        <f>IF($C1298="","",IF($D1298="",IF($C1298="Interna","Sin guía (interna)","FALTA GUÍA"),IF(COUNTIFS(ENVIOS!$A$4:$A$3003,$D1298)=0,"NO EXISTE",IF(COUNTIFS(ENVIOS!$A$4:$A$3003,$D1298)&gt;1,"DUPLICADA","OK"))))</f>
        <v/>
      </c>
      <c r="F1298" s="28">
        <f>IF($D1298="","",IFERROR(INDEX(ENVIOS!$B$4:$B$3003,MATCH($D1298,ENVIOS!$A$4:$A$3003,0)),"—"))</f>
        <v/>
      </c>
      <c r="G1298" s="23">
        <f>IF($D1298="","",IFERROR(INDEX(ENVIOS!$D$4:$D$3003,MATCH($D1298,ENVIOS!$A$4:$A$3003,0)),"—"))</f>
        <v/>
      </c>
      <c r="H1298" s="23">
        <f>IF($D1298="","",IFERROR(INDEX(ENVIOS!$E$4:$E$3003,MATCH($D1298,ENVIOS!$A$4:$A$3003,0)),"—"))</f>
        <v/>
      </c>
      <c r="I1298" s="23">
        <f>IF($D1298="","",IFERROR(INDEX(ENVIOS!$F$4:$F$3003,MATCH($D1298,ENVIOS!$A$4:$A$3003,0)),"—"))</f>
        <v/>
      </c>
      <c r="J1298" s="23">
        <f>IF($D1298="","",IFERROR(INDEX(ENVIOS!$G$4:$G$3003,MATCH($D1298,ENVIOS!$A$4:$A$3003,0)),"—"))</f>
        <v/>
      </c>
      <c r="K1298" s="28">
        <f>IF($D1298="","",IFERROR(INDEX(ENVIOS!$H$4:$H$3003,MATCH($D1298,ENVIOS!$A$4:$A$3003,0)),"—"))</f>
        <v/>
      </c>
      <c r="L1298" s="49">
        <f>IF($D1298="","",IFERROR(INDEX(ENVIOS!$C$4:$C$3003,MATCH($D1298,ENVIOS!$A$4:$A$3003,0)),""))</f>
        <v/>
      </c>
      <c r="M1298" s="50" t="n"/>
      <c r="N1298" s="28">
        <f>IF($M1298="","",IFERROR(INDEX(CONFIG!$C$4:$C$63,MATCH($M1298,CONFIG!$A$4:$A$63,0)),"Media"))</f>
        <v/>
      </c>
      <c r="O1298" s="28">
        <f>IF($M1298="","",IF($C1298="Interna","NO",IFERROR(INDEX(CONFIG!$E$4:$E$63,MATCH($M1298,CONFIG!$A$4:$A$63,0)),"NO")))</f>
        <v/>
      </c>
      <c r="P1298" s="50" t="n"/>
      <c r="Q1298" s="50" t="n"/>
      <c r="R1298" s="28">
        <f>IF($Q1298="","",IFERROR(INDEX(CONFIG!$H$4:$H$63,MATCH($Q1298,CONFIG!$G$4:$G$63,0)),"Por definir"))</f>
        <v/>
      </c>
      <c r="S1298" s="28">
        <f>IF($Q1298="","",IFERROR(INDEX(CONFIG!$I$4:$I$63,MATCH($Q1298,CONFIG!$G$4:$G$63,0)),"Por definir"))</f>
        <v/>
      </c>
      <c r="T1298" s="51" t="n"/>
      <c r="U1298" s="52" t="n"/>
      <c r="V1298" s="50" t="n"/>
      <c r="W1298" s="50" t="n"/>
      <c r="X1298" s="49">
        <f>IF(OR($B1298="",$M1298=""),"",WORKDAY($B1298,IFERROR(INDEX(CONFIG!$D$4:$D$63,MATCH($M1298,CONFIG!$A$4:$A$63,0)),3)))</f>
        <v/>
      </c>
      <c r="Y1298" s="47" t="n"/>
      <c r="Z1298" s="24">
        <f>IF($B1298="","",IF($Y1298&lt;&gt;"",$Y1298-$B1298,TODAY()-$B1298))</f>
        <v/>
      </c>
      <c r="AA1298" s="28">
        <f>IF($B1298="","",IF(IFERROR(INDEX(CONFIG!$L$4:$L$63,MATCH($V1298,CONFIG!$K$4:$K$63,0)),"NO")="SÍ",IF(OR($Y1298="",$X1298=""),"Resuelta",IF($Y1298&gt;$X1298,"Resuelta tarde","Resuelta a tiempo")),IF($X1298="","Sin clasificar",IF(TODAY()&gt;$X1298,"Vencida",IF(TODAY()&gt;=$X1298-1,"Por vencer","En plazo")))))</f>
        <v/>
      </c>
      <c r="AB1298" s="50" t="n"/>
      <c r="AC1298" s="50" t="n"/>
    </row>
    <row r="1299" ht="16" customHeight="1">
      <c r="A1299" s="28">
        <f>IF($B1299="","","N-"&amp;TEXT(ROW()-3,"0000"))</f>
        <v/>
      </c>
      <c r="B1299" s="47" t="n"/>
      <c r="C1299" s="48" t="n"/>
      <c r="D1299" s="48" t="n"/>
      <c r="E1299" s="28">
        <f>IF($C1299="","",IF($D1299="",IF($C1299="Interna","Sin guía (interna)","FALTA GUÍA"),IF(COUNTIFS(ENVIOS!$A$4:$A$3003,$D1299)=0,"NO EXISTE",IF(COUNTIFS(ENVIOS!$A$4:$A$3003,$D1299)&gt;1,"DUPLICADA","OK"))))</f>
        <v/>
      </c>
      <c r="F1299" s="28">
        <f>IF($D1299="","",IFERROR(INDEX(ENVIOS!$B$4:$B$3003,MATCH($D1299,ENVIOS!$A$4:$A$3003,0)),"—"))</f>
        <v/>
      </c>
      <c r="G1299" s="23">
        <f>IF($D1299="","",IFERROR(INDEX(ENVIOS!$D$4:$D$3003,MATCH($D1299,ENVIOS!$A$4:$A$3003,0)),"—"))</f>
        <v/>
      </c>
      <c r="H1299" s="23">
        <f>IF($D1299="","",IFERROR(INDEX(ENVIOS!$E$4:$E$3003,MATCH($D1299,ENVIOS!$A$4:$A$3003,0)),"—"))</f>
        <v/>
      </c>
      <c r="I1299" s="23">
        <f>IF($D1299="","",IFERROR(INDEX(ENVIOS!$F$4:$F$3003,MATCH($D1299,ENVIOS!$A$4:$A$3003,0)),"—"))</f>
        <v/>
      </c>
      <c r="J1299" s="23">
        <f>IF($D1299="","",IFERROR(INDEX(ENVIOS!$G$4:$G$3003,MATCH($D1299,ENVIOS!$A$4:$A$3003,0)),"—"))</f>
        <v/>
      </c>
      <c r="K1299" s="28">
        <f>IF($D1299="","",IFERROR(INDEX(ENVIOS!$H$4:$H$3003,MATCH($D1299,ENVIOS!$A$4:$A$3003,0)),"—"))</f>
        <v/>
      </c>
      <c r="L1299" s="49">
        <f>IF($D1299="","",IFERROR(INDEX(ENVIOS!$C$4:$C$3003,MATCH($D1299,ENVIOS!$A$4:$A$3003,0)),""))</f>
        <v/>
      </c>
      <c r="M1299" s="50" t="n"/>
      <c r="N1299" s="28">
        <f>IF($M1299="","",IFERROR(INDEX(CONFIG!$C$4:$C$63,MATCH($M1299,CONFIG!$A$4:$A$63,0)),"Media"))</f>
        <v/>
      </c>
      <c r="O1299" s="28">
        <f>IF($M1299="","",IF($C1299="Interna","NO",IFERROR(INDEX(CONFIG!$E$4:$E$63,MATCH($M1299,CONFIG!$A$4:$A$63,0)),"NO")))</f>
        <v/>
      </c>
      <c r="P1299" s="50" t="n"/>
      <c r="Q1299" s="50" t="n"/>
      <c r="R1299" s="28">
        <f>IF($Q1299="","",IFERROR(INDEX(CONFIG!$H$4:$H$63,MATCH($Q1299,CONFIG!$G$4:$G$63,0)),"Por definir"))</f>
        <v/>
      </c>
      <c r="S1299" s="28">
        <f>IF($Q1299="","",IFERROR(INDEX(CONFIG!$I$4:$I$63,MATCH($Q1299,CONFIG!$G$4:$G$63,0)),"Por definir"))</f>
        <v/>
      </c>
      <c r="T1299" s="51" t="n"/>
      <c r="U1299" s="52" t="n"/>
      <c r="V1299" s="50" t="n"/>
      <c r="W1299" s="50" t="n"/>
      <c r="X1299" s="49">
        <f>IF(OR($B1299="",$M1299=""),"",WORKDAY($B1299,IFERROR(INDEX(CONFIG!$D$4:$D$63,MATCH($M1299,CONFIG!$A$4:$A$63,0)),3)))</f>
        <v/>
      </c>
      <c r="Y1299" s="47" t="n"/>
      <c r="Z1299" s="24">
        <f>IF($B1299="","",IF($Y1299&lt;&gt;"",$Y1299-$B1299,TODAY()-$B1299))</f>
        <v/>
      </c>
      <c r="AA1299" s="28">
        <f>IF($B1299="","",IF(IFERROR(INDEX(CONFIG!$L$4:$L$63,MATCH($V1299,CONFIG!$K$4:$K$63,0)),"NO")="SÍ",IF(OR($Y1299="",$X1299=""),"Resuelta",IF($Y1299&gt;$X1299,"Resuelta tarde","Resuelta a tiempo")),IF($X1299="","Sin clasificar",IF(TODAY()&gt;$X1299,"Vencida",IF(TODAY()&gt;=$X1299-1,"Por vencer","En plazo")))))</f>
        <v/>
      </c>
      <c r="AB1299" s="50" t="n"/>
      <c r="AC1299" s="50" t="n"/>
    </row>
    <row r="1300" ht="16" customHeight="1">
      <c r="A1300" s="28">
        <f>IF($B1300="","","N-"&amp;TEXT(ROW()-3,"0000"))</f>
        <v/>
      </c>
      <c r="B1300" s="47" t="n"/>
      <c r="C1300" s="48" t="n"/>
      <c r="D1300" s="48" t="n"/>
      <c r="E1300" s="28">
        <f>IF($C1300="","",IF($D1300="",IF($C1300="Interna","Sin guía (interna)","FALTA GUÍA"),IF(COUNTIFS(ENVIOS!$A$4:$A$3003,$D1300)=0,"NO EXISTE",IF(COUNTIFS(ENVIOS!$A$4:$A$3003,$D1300)&gt;1,"DUPLICADA","OK"))))</f>
        <v/>
      </c>
      <c r="F1300" s="28">
        <f>IF($D1300="","",IFERROR(INDEX(ENVIOS!$B$4:$B$3003,MATCH($D1300,ENVIOS!$A$4:$A$3003,0)),"—"))</f>
        <v/>
      </c>
      <c r="G1300" s="23">
        <f>IF($D1300="","",IFERROR(INDEX(ENVIOS!$D$4:$D$3003,MATCH($D1300,ENVIOS!$A$4:$A$3003,0)),"—"))</f>
        <v/>
      </c>
      <c r="H1300" s="23">
        <f>IF($D1300="","",IFERROR(INDEX(ENVIOS!$E$4:$E$3003,MATCH($D1300,ENVIOS!$A$4:$A$3003,0)),"—"))</f>
        <v/>
      </c>
      <c r="I1300" s="23">
        <f>IF($D1300="","",IFERROR(INDEX(ENVIOS!$F$4:$F$3003,MATCH($D1300,ENVIOS!$A$4:$A$3003,0)),"—"))</f>
        <v/>
      </c>
      <c r="J1300" s="23">
        <f>IF($D1300="","",IFERROR(INDEX(ENVIOS!$G$4:$G$3003,MATCH($D1300,ENVIOS!$A$4:$A$3003,0)),"—"))</f>
        <v/>
      </c>
      <c r="K1300" s="28">
        <f>IF($D1300="","",IFERROR(INDEX(ENVIOS!$H$4:$H$3003,MATCH($D1300,ENVIOS!$A$4:$A$3003,0)),"—"))</f>
        <v/>
      </c>
      <c r="L1300" s="49">
        <f>IF($D1300="","",IFERROR(INDEX(ENVIOS!$C$4:$C$3003,MATCH($D1300,ENVIOS!$A$4:$A$3003,0)),""))</f>
        <v/>
      </c>
      <c r="M1300" s="50" t="n"/>
      <c r="N1300" s="28">
        <f>IF($M1300="","",IFERROR(INDEX(CONFIG!$C$4:$C$63,MATCH($M1300,CONFIG!$A$4:$A$63,0)),"Media"))</f>
        <v/>
      </c>
      <c r="O1300" s="28">
        <f>IF($M1300="","",IF($C1300="Interna","NO",IFERROR(INDEX(CONFIG!$E$4:$E$63,MATCH($M1300,CONFIG!$A$4:$A$63,0)),"NO")))</f>
        <v/>
      </c>
      <c r="P1300" s="50" t="n"/>
      <c r="Q1300" s="50" t="n"/>
      <c r="R1300" s="28">
        <f>IF($Q1300="","",IFERROR(INDEX(CONFIG!$H$4:$H$63,MATCH($Q1300,CONFIG!$G$4:$G$63,0)),"Por definir"))</f>
        <v/>
      </c>
      <c r="S1300" s="28">
        <f>IF($Q1300="","",IFERROR(INDEX(CONFIG!$I$4:$I$63,MATCH($Q1300,CONFIG!$G$4:$G$63,0)),"Por definir"))</f>
        <v/>
      </c>
      <c r="T1300" s="51" t="n"/>
      <c r="U1300" s="52" t="n"/>
      <c r="V1300" s="50" t="n"/>
      <c r="W1300" s="50" t="n"/>
      <c r="X1300" s="49">
        <f>IF(OR($B1300="",$M1300=""),"",WORKDAY($B1300,IFERROR(INDEX(CONFIG!$D$4:$D$63,MATCH($M1300,CONFIG!$A$4:$A$63,0)),3)))</f>
        <v/>
      </c>
      <c r="Y1300" s="47" t="n"/>
      <c r="Z1300" s="24">
        <f>IF($B1300="","",IF($Y1300&lt;&gt;"",$Y1300-$B1300,TODAY()-$B1300))</f>
        <v/>
      </c>
      <c r="AA1300" s="28">
        <f>IF($B1300="","",IF(IFERROR(INDEX(CONFIG!$L$4:$L$63,MATCH($V1300,CONFIG!$K$4:$K$63,0)),"NO")="SÍ",IF(OR($Y1300="",$X1300=""),"Resuelta",IF($Y1300&gt;$X1300,"Resuelta tarde","Resuelta a tiempo")),IF($X1300="","Sin clasificar",IF(TODAY()&gt;$X1300,"Vencida",IF(TODAY()&gt;=$X1300-1,"Por vencer","En plazo")))))</f>
        <v/>
      </c>
      <c r="AB1300" s="50" t="n"/>
      <c r="AC1300" s="50" t="n"/>
    </row>
    <row r="1301" ht="16" customHeight="1">
      <c r="A1301" s="28">
        <f>IF($B1301="","","N-"&amp;TEXT(ROW()-3,"0000"))</f>
        <v/>
      </c>
      <c r="B1301" s="47" t="n"/>
      <c r="C1301" s="48" t="n"/>
      <c r="D1301" s="48" t="n"/>
      <c r="E1301" s="28">
        <f>IF($C1301="","",IF($D1301="",IF($C1301="Interna","Sin guía (interna)","FALTA GUÍA"),IF(COUNTIFS(ENVIOS!$A$4:$A$3003,$D1301)=0,"NO EXISTE",IF(COUNTIFS(ENVIOS!$A$4:$A$3003,$D1301)&gt;1,"DUPLICADA","OK"))))</f>
        <v/>
      </c>
      <c r="F1301" s="28">
        <f>IF($D1301="","",IFERROR(INDEX(ENVIOS!$B$4:$B$3003,MATCH($D1301,ENVIOS!$A$4:$A$3003,0)),"—"))</f>
        <v/>
      </c>
      <c r="G1301" s="23">
        <f>IF($D1301="","",IFERROR(INDEX(ENVIOS!$D$4:$D$3003,MATCH($D1301,ENVIOS!$A$4:$A$3003,0)),"—"))</f>
        <v/>
      </c>
      <c r="H1301" s="23">
        <f>IF($D1301="","",IFERROR(INDEX(ENVIOS!$E$4:$E$3003,MATCH($D1301,ENVIOS!$A$4:$A$3003,0)),"—"))</f>
        <v/>
      </c>
      <c r="I1301" s="23">
        <f>IF($D1301="","",IFERROR(INDEX(ENVIOS!$F$4:$F$3003,MATCH($D1301,ENVIOS!$A$4:$A$3003,0)),"—"))</f>
        <v/>
      </c>
      <c r="J1301" s="23">
        <f>IF($D1301="","",IFERROR(INDEX(ENVIOS!$G$4:$G$3003,MATCH($D1301,ENVIOS!$A$4:$A$3003,0)),"—"))</f>
        <v/>
      </c>
      <c r="K1301" s="28">
        <f>IF($D1301="","",IFERROR(INDEX(ENVIOS!$H$4:$H$3003,MATCH($D1301,ENVIOS!$A$4:$A$3003,0)),"—"))</f>
        <v/>
      </c>
      <c r="L1301" s="49">
        <f>IF($D1301="","",IFERROR(INDEX(ENVIOS!$C$4:$C$3003,MATCH($D1301,ENVIOS!$A$4:$A$3003,0)),""))</f>
        <v/>
      </c>
      <c r="M1301" s="50" t="n"/>
      <c r="N1301" s="28">
        <f>IF($M1301="","",IFERROR(INDEX(CONFIG!$C$4:$C$63,MATCH($M1301,CONFIG!$A$4:$A$63,0)),"Media"))</f>
        <v/>
      </c>
      <c r="O1301" s="28">
        <f>IF($M1301="","",IF($C1301="Interna","NO",IFERROR(INDEX(CONFIG!$E$4:$E$63,MATCH($M1301,CONFIG!$A$4:$A$63,0)),"NO")))</f>
        <v/>
      </c>
      <c r="P1301" s="50" t="n"/>
      <c r="Q1301" s="50" t="n"/>
      <c r="R1301" s="28">
        <f>IF($Q1301="","",IFERROR(INDEX(CONFIG!$H$4:$H$63,MATCH($Q1301,CONFIG!$G$4:$G$63,0)),"Por definir"))</f>
        <v/>
      </c>
      <c r="S1301" s="28">
        <f>IF($Q1301="","",IFERROR(INDEX(CONFIG!$I$4:$I$63,MATCH($Q1301,CONFIG!$G$4:$G$63,0)),"Por definir"))</f>
        <v/>
      </c>
      <c r="T1301" s="51" t="n"/>
      <c r="U1301" s="52" t="n"/>
      <c r="V1301" s="50" t="n"/>
      <c r="W1301" s="50" t="n"/>
      <c r="X1301" s="49">
        <f>IF(OR($B1301="",$M1301=""),"",WORKDAY($B1301,IFERROR(INDEX(CONFIG!$D$4:$D$63,MATCH($M1301,CONFIG!$A$4:$A$63,0)),3)))</f>
        <v/>
      </c>
      <c r="Y1301" s="47" t="n"/>
      <c r="Z1301" s="24">
        <f>IF($B1301="","",IF($Y1301&lt;&gt;"",$Y1301-$B1301,TODAY()-$B1301))</f>
        <v/>
      </c>
      <c r="AA1301" s="28">
        <f>IF($B1301="","",IF(IFERROR(INDEX(CONFIG!$L$4:$L$63,MATCH($V1301,CONFIG!$K$4:$K$63,0)),"NO")="SÍ",IF(OR($Y1301="",$X1301=""),"Resuelta",IF($Y1301&gt;$X1301,"Resuelta tarde","Resuelta a tiempo")),IF($X1301="","Sin clasificar",IF(TODAY()&gt;$X1301,"Vencida",IF(TODAY()&gt;=$X1301-1,"Por vencer","En plazo")))))</f>
        <v/>
      </c>
      <c r="AB1301" s="50" t="n"/>
      <c r="AC1301" s="50" t="n"/>
    </row>
    <row r="1302" ht="16" customHeight="1">
      <c r="A1302" s="28">
        <f>IF($B1302="","","N-"&amp;TEXT(ROW()-3,"0000"))</f>
        <v/>
      </c>
      <c r="B1302" s="47" t="n"/>
      <c r="C1302" s="48" t="n"/>
      <c r="D1302" s="48" t="n"/>
      <c r="E1302" s="28">
        <f>IF($C1302="","",IF($D1302="",IF($C1302="Interna","Sin guía (interna)","FALTA GUÍA"),IF(COUNTIFS(ENVIOS!$A$4:$A$3003,$D1302)=0,"NO EXISTE",IF(COUNTIFS(ENVIOS!$A$4:$A$3003,$D1302)&gt;1,"DUPLICADA","OK"))))</f>
        <v/>
      </c>
      <c r="F1302" s="28">
        <f>IF($D1302="","",IFERROR(INDEX(ENVIOS!$B$4:$B$3003,MATCH($D1302,ENVIOS!$A$4:$A$3003,0)),"—"))</f>
        <v/>
      </c>
      <c r="G1302" s="23">
        <f>IF($D1302="","",IFERROR(INDEX(ENVIOS!$D$4:$D$3003,MATCH($D1302,ENVIOS!$A$4:$A$3003,0)),"—"))</f>
        <v/>
      </c>
      <c r="H1302" s="23">
        <f>IF($D1302="","",IFERROR(INDEX(ENVIOS!$E$4:$E$3003,MATCH($D1302,ENVIOS!$A$4:$A$3003,0)),"—"))</f>
        <v/>
      </c>
      <c r="I1302" s="23">
        <f>IF($D1302="","",IFERROR(INDEX(ENVIOS!$F$4:$F$3003,MATCH($D1302,ENVIOS!$A$4:$A$3003,0)),"—"))</f>
        <v/>
      </c>
      <c r="J1302" s="23">
        <f>IF($D1302="","",IFERROR(INDEX(ENVIOS!$G$4:$G$3003,MATCH($D1302,ENVIOS!$A$4:$A$3003,0)),"—"))</f>
        <v/>
      </c>
      <c r="K1302" s="28">
        <f>IF($D1302="","",IFERROR(INDEX(ENVIOS!$H$4:$H$3003,MATCH($D1302,ENVIOS!$A$4:$A$3003,0)),"—"))</f>
        <v/>
      </c>
      <c r="L1302" s="49">
        <f>IF($D1302="","",IFERROR(INDEX(ENVIOS!$C$4:$C$3003,MATCH($D1302,ENVIOS!$A$4:$A$3003,0)),""))</f>
        <v/>
      </c>
      <c r="M1302" s="50" t="n"/>
      <c r="N1302" s="28">
        <f>IF($M1302="","",IFERROR(INDEX(CONFIG!$C$4:$C$63,MATCH($M1302,CONFIG!$A$4:$A$63,0)),"Media"))</f>
        <v/>
      </c>
      <c r="O1302" s="28">
        <f>IF($M1302="","",IF($C1302="Interna","NO",IFERROR(INDEX(CONFIG!$E$4:$E$63,MATCH($M1302,CONFIG!$A$4:$A$63,0)),"NO")))</f>
        <v/>
      </c>
      <c r="P1302" s="50" t="n"/>
      <c r="Q1302" s="50" t="n"/>
      <c r="R1302" s="28">
        <f>IF($Q1302="","",IFERROR(INDEX(CONFIG!$H$4:$H$63,MATCH($Q1302,CONFIG!$G$4:$G$63,0)),"Por definir"))</f>
        <v/>
      </c>
      <c r="S1302" s="28">
        <f>IF($Q1302="","",IFERROR(INDEX(CONFIG!$I$4:$I$63,MATCH($Q1302,CONFIG!$G$4:$G$63,0)),"Por definir"))</f>
        <v/>
      </c>
      <c r="T1302" s="51" t="n"/>
      <c r="U1302" s="52" t="n"/>
      <c r="V1302" s="50" t="n"/>
      <c r="W1302" s="50" t="n"/>
      <c r="X1302" s="49">
        <f>IF(OR($B1302="",$M1302=""),"",WORKDAY($B1302,IFERROR(INDEX(CONFIG!$D$4:$D$63,MATCH($M1302,CONFIG!$A$4:$A$63,0)),3)))</f>
        <v/>
      </c>
      <c r="Y1302" s="47" t="n"/>
      <c r="Z1302" s="24">
        <f>IF($B1302="","",IF($Y1302&lt;&gt;"",$Y1302-$B1302,TODAY()-$B1302))</f>
        <v/>
      </c>
      <c r="AA1302" s="28">
        <f>IF($B1302="","",IF(IFERROR(INDEX(CONFIG!$L$4:$L$63,MATCH($V1302,CONFIG!$K$4:$K$63,0)),"NO")="SÍ",IF(OR($Y1302="",$X1302=""),"Resuelta",IF($Y1302&gt;$X1302,"Resuelta tarde","Resuelta a tiempo")),IF($X1302="","Sin clasificar",IF(TODAY()&gt;$X1302,"Vencida",IF(TODAY()&gt;=$X1302-1,"Por vencer","En plazo")))))</f>
        <v/>
      </c>
      <c r="AB1302" s="50" t="n"/>
      <c r="AC1302" s="50" t="n"/>
    </row>
    <row r="1303" ht="16" customHeight="1">
      <c r="A1303" s="28">
        <f>IF($B1303="","","N-"&amp;TEXT(ROW()-3,"0000"))</f>
        <v/>
      </c>
      <c r="B1303" s="47" t="n"/>
      <c r="C1303" s="48" t="n"/>
      <c r="D1303" s="48" t="n"/>
      <c r="E1303" s="28">
        <f>IF($C1303="","",IF($D1303="",IF($C1303="Interna","Sin guía (interna)","FALTA GUÍA"),IF(COUNTIFS(ENVIOS!$A$4:$A$3003,$D1303)=0,"NO EXISTE",IF(COUNTIFS(ENVIOS!$A$4:$A$3003,$D1303)&gt;1,"DUPLICADA","OK"))))</f>
        <v/>
      </c>
      <c r="F1303" s="28">
        <f>IF($D1303="","",IFERROR(INDEX(ENVIOS!$B$4:$B$3003,MATCH($D1303,ENVIOS!$A$4:$A$3003,0)),"—"))</f>
        <v/>
      </c>
      <c r="G1303" s="23">
        <f>IF($D1303="","",IFERROR(INDEX(ENVIOS!$D$4:$D$3003,MATCH($D1303,ENVIOS!$A$4:$A$3003,0)),"—"))</f>
        <v/>
      </c>
      <c r="H1303" s="23">
        <f>IF($D1303="","",IFERROR(INDEX(ENVIOS!$E$4:$E$3003,MATCH($D1303,ENVIOS!$A$4:$A$3003,0)),"—"))</f>
        <v/>
      </c>
      <c r="I1303" s="23">
        <f>IF($D1303="","",IFERROR(INDEX(ENVIOS!$F$4:$F$3003,MATCH($D1303,ENVIOS!$A$4:$A$3003,0)),"—"))</f>
        <v/>
      </c>
      <c r="J1303" s="23">
        <f>IF($D1303="","",IFERROR(INDEX(ENVIOS!$G$4:$G$3003,MATCH($D1303,ENVIOS!$A$4:$A$3003,0)),"—"))</f>
        <v/>
      </c>
      <c r="K1303" s="28">
        <f>IF($D1303="","",IFERROR(INDEX(ENVIOS!$H$4:$H$3003,MATCH($D1303,ENVIOS!$A$4:$A$3003,0)),"—"))</f>
        <v/>
      </c>
      <c r="L1303" s="49">
        <f>IF($D1303="","",IFERROR(INDEX(ENVIOS!$C$4:$C$3003,MATCH($D1303,ENVIOS!$A$4:$A$3003,0)),""))</f>
        <v/>
      </c>
      <c r="M1303" s="50" t="n"/>
      <c r="N1303" s="28">
        <f>IF($M1303="","",IFERROR(INDEX(CONFIG!$C$4:$C$63,MATCH($M1303,CONFIG!$A$4:$A$63,0)),"Media"))</f>
        <v/>
      </c>
      <c r="O1303" s="28">
        <f>IF($M1303="","",IF($C1303="Interna","NO",IFERROR(INDEX(CONFIG!$E$4:$E$63,MATCH($M1303,CONFIG!$A$4:$A$63,0)),"NO")))</f>
        <v/>
      </c>
      <c r="P1303" s="50" t="n"/>
      <c r="Q1303" s="50" t="n"/>
      <c r="R1303" s="28">
        <f>IF($Q1303="","",IFERROR(INDEX(CONFIG!$H$4:$H$63,MATCH($Q1303,CONFIG!$G$4:$G$63,0)),"Por definir"))</f>
        <v/>
      </c>
      <c r="S1303" s="28">
        <f>IF($Q1303="","",IFERROR(INDEX(CONFIG!$I$4:$I$63,MATCH($Q1303,CONFIG!$G$4:$G$63,0)),"Por definir"))</f>
        <v/>
      </c>
      <c r="T1303" s="51" t="n"/>
      <c r="U1303" s="52" t="n"/>
      <c r="V1303" s="50" t="n"/>
      <c r="W1303" s="50" t="n"/>
      <c r="X1303" s="49">
        <f>IF(OR($B1303="",$M1303=""),"",WORKDAY($B1303,IFERROR(INDEX(CONFIG!$D$4:$D$63,MATCH($M1303,CONFIG!$A$4:$A$63,0)),3)))</f>
        <v/>
      </c>
      <c r="Y1303" s="47" t="n"/>
      <c r="Z1303" s="24">
        <f>IF($B1303="","",IF($Y1303&lt;&gt;"",$Y1303-$B1303,TODAY()-$B1303))</f>
        <v/>
      </c>
      <c r="AA1303" s="28">
        <f>IF($B1303="","",IF(IFERROR(INDEX(CONFIG!$L$4:$L$63,MATCH($V1303,CONFIG!$K$4:$K$63,0)),"NO")="SÍ",IF(OR($Y1303="",$X1303=""),"Resuelta",IF($Y1303&gt;$X1303,"Resuelta tarde","Resuelta a tiempo")),IF($X1303="","Sin clasificar",IF(TODAY()&gt;$X1303,"Vencida",IF(TODAY()&gt;=$X1303-1,"Por vencer","En plazo")))))</f>
        <v/>
      </c>
      <c r="AB1303" s="50" t="n"/>
      <c r="AC1303" s="50" t="n"/>
    </row>
    <row r="1304" ht="16" customHeight="1">
      <c r="A1304" s="28">
        <f>IF($B1304="","","N-"&amp;TEXT(ROW()-3,"0000"))</f>
        <v/>
      </c>
      <c r="B1304" s="47" t="n"/>
      <c r="C1304" s="48" t="n"/>
      <c r="D1304" s="48" t="n"/>
      <c r="E1304" s="28">
        <f>IF($C1304="","",IF($D1304="",IF($C1304="Interna","Sin guía (interna)","FALTA GUÍA"),IF(COUNTIFS(ENVIOS!$A$4:$A$3003,$D1304)=0,"NO EXISTE",IF(COUNTIFS(ENVIOS!$A$4:$A$3003,$D1304)&gt;1,"DUPLICADA","OK"))))</f>
        <v/>
      </c>
      <c r="F1304" s="28">
        <f>IF($D1304="","",IFERROR(INDEX(ENVIOS!$B$4:$B$3003,MATCH($D1304,ENVIOS!$A$4:$A$3003,0)),"—"))</f>
        <v/>
      </c>
      <c r="G1304" s="23">
        <f>IF($D1304="","",IFERROR(INDEX(ENVIOS!$D$4:$D$3003,MATCH($D1304,ENVIOS!$A$4:$A$3003,0)),"—"))</f>
        <v/>
      </c>
      <c r="H1304" s="23">
        <f>IF($D1304="","",IFERROR(INDEX(ENVIOS!$E$4:$E$3003,MATCH($D1304,ENVIOS!$A$4:$A$3003,0)),"—"))</f>
        <v/>
      </c>
      <c r="I1304" s="23">
        <f>IF($D1304="","",IFERROR(INDEX(ENVIOS!$F$4:$F$3003,MATCH($D1304,ENVIOS!$A$4:$A$3003,0)),"—"))</f>
        <v/>
      </c>
      <c r="J1304" s="23">
        <f>IF($D1304="","",IFERROR(INDEX(ENVIOS!$G$4:$G$3003,MATCH($D1304,ENVIOS!$A$4:$A$3003,0)),"—"))</f>
        <v/>
      </c>
      <c r="K1304" s="28">
        <f>IF($D1304="","",IFERROR(INDEX(ENVIOS!$H$4:$H$3003,MATCH($D1304,ENVIOS!$A$4:$A$3003,0)),"—"))</f>
        <v/>
      </c>
      <c r="L1304" s="49">
        <f>IF($D1304="","",IFERROR(INDEX(ENVIOS!$C$4:$C$3003,MATCH($D1304,ENVIOS!$A$4:$A$3003,0)),""))</f>
        <v/>
      </c>
      <c r="M1304" s="50" t="n"/>
      <c r="N1304" s="28">
        <f>IF($M1304="","",IFERROR(INDEX(CONFIG!$C$4:$C$63,MATCH($M1304,CONFIG!$A$4:$A$63,0)),"Media"))</f>
        <v/>
      </c>
      <c r="O1304" s="28">
        <f>IF($M1304="","",IF($C1304="Interna","NO",IFERROR(INDEX(CONFIG!$E$4:$E$63,MATCH($M1304,CONFIG!$A$4:$A$63,0)),"NO")))</f>
        <v/>
      </c>
      <c r="P1304" s="50" t="n"/>
      <c r="Q1304" s="50" t="n"/>
      <c r="R1304" s="28">
        <f>IF($Q1304="","",IFERROR(INDEX(CONFIG!$H$4:$H$63,MATCH($Q1304,CONFIG!$G$4:$G$63,0)),"Por definir"))</f>
        <v/>
      </c>
      <c r="S1304" s="28">
        <f>IF($Q1304="","",IFERROR(INDEX(CONFIG!$I$4:$I$63,MATCH($Q1304,CONFIG!$G$4:$G$63,0)),"Por definir"))</f>
        <v/>
      </c>
      <c r="T1304" s="51" t="n"/>
      <c r="U1304" s="52" t="n"/>
      <c r="V1304" s="50" t="n"/>
      <c r="W1304" s="50" t="n"/>
      <c r="X1304" s="49">
        <f>IF(OR($B1304="",$M1304=""),"",WORKDAY($B1304,IFERROR(INDEX(CONFIG!$D$4:$D$63,MATCH($M1304,CONFIG!$A$4:$A$63,0)),3)))</f>
        <v/>
      </c>
      <c r="Y1304" s="47" t="n"/>
      <c r="Z1304" s="24">
        <f>IF($B1304="","",IF($Y1304&lt;&gt;"",$Y1304-$B1304,TODAY()-$B1304))</f>
        <v/>
      </c>
      <c r="AA1304" s="28">
        <f>IF($B1304="","",IF(IFERROR(INDEX(CONFIG!$L$4:$L$63,MATCH($V1304,CONFIG!$K$4:$K$63,0)),"NO")="SÍ",IF(OR($Y1304="",$X1304=""),"Resuelta",IF($Y1304&gt;$X1304,"Resuelta tarde","Resuelta a tiempo")),IF($X1304="","Sin clasificar",IF(TODAY()&gt;$X1304,"Vencida",IF(TODAY()&gt;=$X1304-1,"Por vencer","En plazo")))))</f>
        <v/>
      </c>
      <c r="AB1304" s="50" t="n"/>
      <c r="AC1304" s="50" t="n"/>
    </row>
    <row r="1305" ht="16" customHeight="1">
      <c r="A1305" s="28">
        <f>IF($B1305="","","N-"&amp;TEXT(ROW()-3,"0000"))</f>
        <v/>
      </c>
      <c r="B1305" s="47" t="n"/>
      <c r="C1305" s="48" t="n"/>
      <c r="D1305" s="48" t="n"/>
      <c r="E1305" s="28">
        <f>IF($C1305="","",IF($D1305="",IF($C1305="Interna","Sin guía (interna)","FALTA GUÍA"),IF(COUNTIFS(ENVIOS!$A$4:$A$3003,$D1305)=0,"NO EXISTE",IF(COUNTIFS(ENVIOS!$A$4:$A$3003,$D1305)&gt;1,"DUPLICADA","OK"))))</f>
        <v/>
      </c>
      <c r="F1305" s="28">
        <f>IF($D1305="","",IFERROR(INDEX(ENVIOS!$B$4:$B$3003,MATCH($D1305,ENVIOS!$A$4:$A$3003,0)),"—"))</f>
        <v/>
      </c>
      <c r="G1305" s="23">
        <f>IF($D1305="","",IFERROR(INDEX(ENVIOS!$D$4:$D$3003,MATCH($D1305,ENVIOS!$A$4:$A$3003,0)),"—"))</f>
        <v/>
      </c>
      <c r="H1305" s="23">
        <f>IF($D1305="","",IFERROR(INDEX(ENVIOS!$E$4:$E$3003,MATCH($D1305,ENVIOS!$A$4:$A$3003,0)),"—"))</f>
        <v/>
      </c>
      <c r="I1305" s="23">
        <f>IF($D1305="","",IFERROR(INDEX(ENVIOS!$F$4:$F$3003,MATCH($D1305,ENVIOS!$A$4:$A$3003,0)),"—"))</f>
        <v/>
      </c>
      <c r="J1305" s="23">
        <f>IF($D1305="","",IFERROR(INDEX(ENVIOS!$G$4:$G$3003,MATCH($D1305,ENVIOS!$A$4:$A$3003,0)),"—"))</f>
        <v/>
      </c>
      <c r="K1305" s="28">
        <f>IF($D1305="","",IFERROR(INDEX(ENVIOS!$H$4:$H$3003,MATCH($D1305,ENVIOS!$A$4:$A$3003,0)),"—"))</f>
        <v/>
      </c>
      <c r="L1305" s="49">
        <f>IF($D1305="","",IFERROR(INDEX(ENVIOS!$C$4:$C$3003,MATCH($D1305,ENVIOS!$A$4:$A$3003,0)),""))</f>
        <v/>
      </c>
      <c r="M1305" s="50" t="n"/>
      <c r="N1305" s="28">
        <f>IF($M1305="","",IFERROR(INDEX(CONFIG!$C$4:$C$63,MATCH($M1305,CONFIG!$A$4:$A$63,0)),"Media"))</f>
        <v/>
      </c>
      <c r="O1305" s="28">
        <f>IF($M1305="","",IF($C1305="Interna","NO",IFERROR(INDEX(CONFIG!$E$4:$E$63,MATCH($M1305,CONFIG!$A$4:$A$63,0)),"NO")))</f>
        <v/>
      </c>
      <c r="P1305" s="50" t="n"/>
      <c r="Q1305" s="50" t="n"/>
      <c r="R1305" s="28">
        <f>IF($Q1305="","",IFERROR(INDEX(CONFIG!$H$4:$H$63,MATCH($Q1305,CONFIG!$G$4:$G$63,0)),"Por definir"))</f>
        <v/>
      </c>
      <c r="S1305" s="28">
        <f>IF($Q1305="","",IFERROR(INDEX(CONFIG!$I$4:$I$63,MATCH($Q1305,CONFIG!$G$4:$G$63,0)),"Por definir"))</f>
        <v/>
      </c>
      <c r="T1305" s="51" t="n"/>
      <c r="U1305" s="52" t="n"/>
      <c r="V1305" s="50" t="n"/>
      <c r="W1305" s="50" t="n"/>
      <c r="X1305" s="49">
        <f>IF(OR($B1305="",$M1305=""),"",WORKDAY($B1305,IFERROR(INDEX(CONFIG!$D$4:$D$63,MATCH($M1305,CONFIG!$A$4:$A$63,0)),3)))</f>
        <v/>
      </c>
      <c r="Y1305" s="47" t="n"/>
      <c r="Z1305" s="24">
        <f>IF($B1305="","",IF($Y1305&lt;&gt;"",$Y1305-$B1305,TODAY()-$B1305))</f>
        <v/>
      </c>
      <c r="AA1305" s="28">
        <f>IF($B1305="","",IF(IFERROR(INDEX(CONFIG!$L$4:$L$63,MATCH($V1305,CONFIG!$K$4:$K$63,0)),"NO")="SÍ",IF(OR($Y1305="",$X1305=""),"Resuelta",IF($Y1305&gt;$X1305,"Resuelta tarde","Resuelta a tiempo")),IF($X1305="","Sin clasificar",IF(TODAY()&gt;$X1305,"Vencida",IF(TODAY()&gt;=$X1305-1,"Por vencer","En plazo")))))</f>
        <v/>
      </c>
      <c r="AB1305" s="50" t="n"/>
      <c r="AC1305" s="50" t="n"/>
    </row>
    <row r="1306" ht="16" customHeight="1">
      <c r="A1306" s="28">
        <f>IF($B1306="","","N-"&amp;TEXT(ROW()-3,"0000"))</f>
        <v/>
      </c>
      <c r="B1306" s="47" t="n"/>
      <c r="C1306" s="48" t="n"/>
      <c r="D1306" s="48" t="n"/>
      <c r="E1306" s="28">
        <f>IF($C1306="","",IF($D1306="",IF($C1306="Interna","Sin guía (interna)","FALTA GUÍA"),IF(COUNTIFS(ENVIOS!$A$4:$A$3003,$D1306)=0,"NO EXISTE",IF(COUNTIFS(ENVIOS!$A$4:$A$3003,$D1306)&gt;1,"DUPLICADA","OK"))))</f>
        <v/>
      </c>
      <c r="F1306" s="28">
        <f>IF($D1306="","",IFERROR(INDEX(ENVIOS!$B$4:$B$3003,MATCH($D1306,ENVIOS!$A$4:$A$3003,0)),"—"))</f>
        <v/>
      </c>
      <c r="G1306" s="23">
        <f>IF($D1306="","",IFERROR(INDEX(ENVIOS!$D$4:$D$3003,MATCH($D1306,ENVIOS!$A$4:$A$3003,0)),"—"))</f>
        <v/>
      </c>
      <c r="H1306" s="23">
        <f>IF($D1306="","",IFERROR(INDEX(ENVIOS!$E$4:$E$3003,MATCH($D1306,ENVIOS!$A$4:$A$3003,0)),"—"))</f>
        <v/>
      </c>
      <c r="I1306" s="23">
        <f>IF($D1306="","",IFERROR(INDEX(ENVIOS!$F$4:$F$3003,MATCH($D1306,ENVIOS!$A$4:$A$3003,0)),"—"))</f>
        <v/>
      </c>
      <c r="J1306" s="23">
        <f>IF($D1306="","",IFERROR(INDEX(ENVIOS!$G$4:$G$3003,MATCH($D1306,ENVIOS!$A$4:$A$3003,0)),"—"))</f>
        <v/>
      </c>
      <c r="K1306" s="28">
        <f>IF($D1306="","",IFERROR(INDEX(ENVIOS!$H$4:$H$3003,MATCH($D1306,ENVIOS!$A$4:$A$3003,0)),"—"))</f>
        <v/>
      </c>
      <c r="L1306" s="49">
        <f>IF($D1306="","",IFERROR(INDEX(ENVIOS!$C$4:$C$3003,MATCH($D1306,ENVIOS!$A$4:$A$3003,0)),""))</f>
        <v/>
      </c>
      <c r="M1306" s="50" t="n"/>
      <c r="N1306" s="28">
        <f>IF($M1306="","",IFERROR(INDEX(CONFIG!$C$4:$C$63,MATCH($M1306,CONFIG!$A$4:$A$63,0)),"Media"))</f>
        <v/>
      </c>
      <c r="O1306" s="28">
        <f>IF($M1306="","",IF($C1306="Interna","NO",IFERROR(INDEX(CONFIG!$E$4:$E$63,MATCH($M1306,CONFIG!$A$4:$A$63,0)),"NO")))</f>
        <v/>
      </c>
      <c r="P1306" s="50" t="n"/>
      <c r="Q1306" s="50" t="n"/>
      <c r="R1306" s="28">
        <f>IF($Q1306="","",IFERROR(INDEX(CONFIG!$H$4:$H$63,MATCH($Q1306,CONFIG!$G$4:$G$63,0)),"Por definir"))</f>
        <v/>
      </c>
      <c r="S1306" s="28">
        <f>IF($Q1306="","",IFERROR(INDEX(CONFIG!$I$4:$I$63,MATCH($Q1306,CONFIG!$G$4:$G$63,0)),"Por definir"))</f>
        <v/>
      </c>
      <c r="T1306" s="51" t="n"/>
      <c r="U1306" s="52" t="n"/>
      <c r="V1306" s="50" t="n"/>
      <c r="W1306" s="50" t="n"/>
      <c r="X1306" s="49">
        <f>IF(OR($B1306="",$M1306=""),"",WORKDAY($B1306,IFERROR(INDEX(CONFIG!$D$4:$D$63,MATCH($M1306,CONFIG!$A$4:$A$63,0)),3)))</f>
        <v/>
      </c>
      <c r="Y1306" s="47" t="n"/>
      <c r="Z1306" s="24">
        <f>IF($B1306="","",IF($Y1306&lt;&gt;"",$Y1306-$B1306,TODAY()-$B1306))</f>
        <v/>
      </c>
      <c r="AA1306" s="28">
        <f>IF($B1306="","",IF(IFERROR(INDEX(CONFIG!$L$4:$L$63,MATCH($V1306,CONFIG!$K$4:$K$63,0)),"NO")="SÍ",IF(OR($Y1306="",$X1306=""),"Resuelta",IF($Y1306&gt;$X1306,"Resuelta tarde","Resuelta a tiempo")),IF($X1306="","Sin clasificar",IF(TODAY()&gt;$X1306,"Vencida",IF(TODAY()&gt;=$X1306-1,"Por vencer","En plazo")))))</f>
        <v/>
      </c>
      <c r="AB1306" s="50" t="n"/>
      <c r="AC1306" s="50" t="n"/>
    </row>
    <row r="1307" ht="16" customHeight="1">
      <c r="A1307" s="28">
        <f>IF($B1307="","","N-"&amp;TEXT(ROW()-3,"0000"))</f>
        <v/>
      </c>
      <c r="B1307" s="47" t="n"/>
      <c r="C1307" s="48" t="n"/>
      <c r="D1307" s="48" t="n"/>
      <c r="E1307" s="28">
        <f>IF($C1307="","",IF($D1307="",IF($C1307="Interna","Sin guía (interna)","FALTA GUÍA"),IF(COUNTIFS(ENVIOS!$A$4:$A$3003,$D1307)=0,"NO EXISTE",IF(COUNTIFS(ENVIOS!$A$4:$A$3003,$D1307)&gt;1,"DUPLICADA","OK"))))</f>
        <v/>
      </c>
      <c r="F1307" s="28">
        <f>IF($D1307="","",IFERROR(INDEX(ENVIOS!$B$4:$B$3003,MATCH($D1307,ENVIOS!$A$4:$A$3003,0)),"—"))</f>
        <v/>
      </c>
      <c r="G1307" s="23">
        <f>IF($D1307="","",IFERROR(INDEX(ENVIOS!$D$4:$D$3003,MATCH($D1307,ENVIOS!$A$4:$A$3003,0)),"—"))</f>
        <v/>
      </c>
      <c r="H1307" s="23">
        <f>IF($D1307="","",IFERROR(INDEX(ENVIOS!$E$4:$E$3003,MATCH($D1307,ENVIOS!$A$4:$A$3003,0)),"—"))</f>
        <v/>
      </c>
      <c r="I1307" s="23">
        <f>IF($D1307="","",IFERROR(INDEX(ENVIOS!$F$4:$F$3003,MATCH($D1307,ENVIOS!$A$4:$A$3003,0)),"—"))</f>
        <v/>
      </c>
      <c r="J1307" s="23">
        <f>IF($D1307="","",IFERROR(INDEX(ENVIOS!$G$4:$G$3003,MATCH($D1307,ENVIOS!$A$4:$A$3003,0)),"—"))</f>
        <v/>
      </c>
      <c r="K1307" s="28">
        <f>IF($D1307="","",IFERROR(INDEX(ENVIOS!$H$4:$H$3003,MATCH($D1307,ENVIOS!$A$4:$A$3003,0)),"—"))</f>
        <v/>
      </c>
      <c r="L1307" s="49">
        <f>IF($D1307="","",IFERROR(INDEX(ENVIOS!$C$4:$C$3003,MATCH($D1307,ENVIOS!$A$4:$A$3003,0)),""))</f>
        <v/>
      </c>
      <c r="M1307" s="50" t="n"/>
      <c r="N1307" s="28">
        <f>IF($M1307="","",IFERROR(INDEX(CONFIG!$C$4:$C$63,MATCH($M1307,CONFIG!$A$4:$A$63,0)),"Media"))</f>
        <v/>
      </c>
      <c r="O1307" s="28">
        <f>IF($M1307="","",IF($C1307="Interna","NO",IFERROR(INDEX(CONFIG!$E$4:$E$63,MATCH($M1307,CONFIG!$A$4:$A$63,0)),"NO")))</f>
        <v/>
      </c>
      <c r="P1307" s="50" t="n"/>
      <c r="Q1307" s="50" t="n"/>
      <c r="R1307" s="28">
        <f>IF($Q1307="","",IFERROR(INDEX(CONFIG!$H$4:$H$63,MATCH($Q1307,CONFIG!$G$4:$G$63,0)),"Por definir"))</f>
        <v/>
      </c>
      <c r="S1307" s="28">
        <f>IF($Q1307="","",IFERROR(INDEX(CONFIG!$I$4:$I$63,MATCH($Q1307,CONFIG!$G$4:$G$63,0)),"Por definir"))</f>
        <v/>
      </c>
      <c r="T1307" s="51" t="n"/>
      <c r="U1307" s="52" t="n"/>
      <c r="V1307" s="50" t="n"/>
      <c r="W1307" s="50" t="n"/>
      <c r="X1307" s="49">
        <f>IF(OR($B1307="",$M1307=""),"",WORKDAY($B1307,IFERROR(INDEX(CONFIG!$D$4:$D$63,MATCH($M1307,CONFIG!$A$4:$A$63,0)),3)))</f>
        <v/>
      </c>
      <c r="Y1307" s="47" t="n"/>
      <c r="Z1307" s="24">
        <f>IF($B1307="","",IF($Y1307&lt;&gt;"",$Y1307-$B1307,TODAY()-$B1307))</f>
        <v/>
      </c>
      <c r="AA1307" s="28">
        <f>IF($B1307="","",IF(IFERROR(INDEX(CONFIG!$L$4:$L$63,MATCH($V1307,CONFIG!$K$4:$K$63,0)),"NO")="SÍ",IF(OR($Y1307="",$X1307=""),"Resuelta",IF($Y1307&gt;$X1307,"Resuelta tarde","Resuelta a tiempo")),IF($X1307="","Sin clasificar",IF(TODAY()&gt;$X1307,"Vencida",IF(TODAY()&gt;=$X1307-1,"Por vencer","En plazo")))))</f>
        <v/>
      </c>
      <c r="AB1307" s="50" t="n"/>
      <c r="AC1307" s="50" t="n"/>
    </row>
    <row r="1308" ht="16" customHeight="1">
      <c r="A1308" s="28">
        <f>IF($B1308="","","N-"&amp;TEXT(ROW()-3,"0000"))</f>
        <v/>
      </c>
      <c r="B1308" s="47" t="n"/>
      <c r="C1308" s="48" t="n"/>
      <c r="D1308" s="48" t="n"/>
      <c r="E1308" s="28">
        <f>IF($C1308="","",IF($D1308="",IF($C1308="Interna","Sin guía (interna)","FALTA GUÍA"),IF(COUNTIFS(ENVIOS!$A$4:$A$3003,$D1308)=0,"NO EXISTE",IF(COUNTIFS(ENVIOS!$A$4:$A$3003,$D1308)&gt;1,"DUPLICADA","OK"))))</f>
        <v/>
      </c>
      <c r="F1308" s="28">
        <f>IF($D1308="","",IFERROR(INDEX(ENVIOS!$B$4:$B$3003,MATCH($D1308,ENVIOS!$A$4:$A$3003,0)),"—"))</f>
        <v/>
      </c>
      <c r="G1308" s="23">
        <f>IF($D1308="","",IFERROR(INDEX(ENVIOS!$D$4:$D$3003,MATCH($D1308,ENVIOS!$A$4:$A$3003,0)),"—"))</f>
        <v/>
      </c>
      <c r="H1308" s="23">
        <f>IF($D1308="","",IFERROR(INDEX(ENVIOS!$E$4:$E$3003,MATCH($D1308,ENVIOS!$A$4:$A$3003,0)),"—"))</f>
        <v/>
      </c>
      <c r="I1308" s="23">
        <f>IF($D1308="","",IFERROR(INDEX(ENVIOS!$F$4:$F$3003,MATCH($D1308,ENVIOS!$A$4:$A$3003,0)),"—"))</f>
        <v/>
      </c>
      <c r="J1308" s="23">
        <f>IF($D1308="","",IFERROR(INDEX(ENVIOS!$G$4:$G$3003,MATCH($D1308,ENVIOS!$A$4:$A$3003,0)),"—"))</f>
        <v/>
      </c>
      <c r="K1308" s="28">
        <f>IF($D1308="","",IFERROR(INDEX(ENVIOS!$H$4:$H$3003,MATCH($D1308,ENVIOS!$A$4:$A$3003,0)),"—"))</f>
        <v/>
      </c>
      <c r="L1308" s="49">
        <f>IF($D1308="","",IFERROR(INDEX(ENVIOS!$C$4:$C$3003,MATCH($D1308,ENVIOS!$A$4:$A$3003,0)),""))</f>
        <v/>
      </c>
      <c r="M1308" s="50" t="n"/>
      <c r="N1308" s="28">
        <f>IF($M1308="","",IFERROR(INDEX(CONFIG!$C$4:$C$63,MATCH($M1308,CONFIG!$A$4:$A$63,0)),"Media"))</f>
        <v/>
      </c>
      <c r="O1308" s="28">
        <f>IF($M1308="","",IF($C1308="Interna","NO",IFERROR(INDEX(CONFIG!$E$4:$E$63,MATCH($M1308,CONFIG!$A$4:$A$63,0)),"NO")))</f>
        <v/>
      </c>
      <c r="P1308" s="50" t="n"/>
      <c r="Q1308" s="50" t="n"/>
      <c r="R1308" s="28">
        <f>IF($Q1308="","",IFERROR(INDEX(CONFIG!$H$4:$H$63,MATCH($Q1308,CONFIG!$G$4:$G$63,0)),"Por definir"))</f>
        <v/>
      </c>
      <c r="S1308" s="28">
        <f>IF($Q1308="","",IFERROR(INDEX(CONFIG!$I$4:$I$63,MATCH($Q1308,CONFIG!$G$4:$G$63,0)),"Por definir"))</f>
        <v/>
      </c>
      <c r="T1308" s="51" t="n"/>
      <c r="U1308" s="52" t="n"/>
      <c r="V1308" s="50" t="n"/>
      <c r="W1308" s="50" t="n"/>
      <c r="X1308" s="49">
        <f>IF(OR($B1308="",$M1308=""),"",WORKDAY($B1308,IFERROR(INDEX(CONFIG!$D$4:$D$63,MATCH($M1308,CONFIG!$A$4:$A$63,0)),3)))</f>
        <v/>
      </c>
      <c r="Y1308" s="47" t="n"/>
      <c r="Z1308" s="24">
        <f>IF($B1308="","",IF($Y1308&lt;&gt;"",$Y1308-$B1308,TODAY()-$B1308))</f>
        <v/>
      </c>
      <c r="AA1308" s="28">
        <f>IF($B1308="","",IF(IFERROR(INDEX(CONFIG!$L$4:$L$63,MATCH($V1308,CONFIG!$K$4:$K$63,0)),"NO")="SÍ",IF(OR($Y1308="",$X1308=""),"Resuelta",IF($Y1308&gt;$X1308,"Resuelta tarde","Resuelta a tiempo")),IF($X1308="","Sin clasificar",IF(TODAY()&gt;$X1308,"Vencida",IF(TODAY()&gt;=$X1308-1,"Por vencer","En plazo")))))</f>
        <v/>
      </c>
      <c r="AB1308" s="50" t="n"/>
      <c r="AC1308" s="50" t="n"/>
    </row>
    <row r="1309" ht="16" customHeight="1">
      <c r="A1309" s="28">
        <f>IF($B1309="","","N-"&amp;TEXT(ROW()-3,"0000"))</f>
        <v/>
      </c>
      <c r="B1309" s="47" t="n"/>
      <c r="C1309" s="48" t="n"/>
      <c r="D1309" s="48" t="n"/>
      <c r="E1309" s="28">
        <f>IF($C1309="","",IF($D1309="",IF($C1309="Interna","Sin guía (interna)","FALTA GUÍA"),IF(COUNTIFS(ENVIOS!$A$4:$A$3003,$D1309)=0,"NO EXISTE",IF(COUNTIFS(ENVIOS!$A$4:$A$3003,$D1309)&gt;1,"DUPLICADA","OK"))))</f>
        <v/>
      </c>
      <c r="F1309" s="28">
        <f>IF($D1309="","",IFERROR(INDEX(ENVIOS!$B$4:$B$3003,MATCH($D1309,ENVIOS!$A$4:$A$3003,0)),"—"))</f>
        <v/>
      </c>
      <c r="G1309" s="23">
        <f>IF($D1309="","",IFERROR(INDEX(ENVIOS!$D$4:$D$3003,MATCH($D1309,ENVIOS!$A$4:$A$3003,0)),"—"))</f>
        <v/>
      </c>
      <c r="H1309" s="23">
        <f>IF($D1309="","",IFERROR(INDEX(ENVIOS!$E$4:$E$3003,MATCH($D1309,ENVIOS!$A$4:$A$3003,0)),"—"))</f>
        <v/>
      </c>
      <c r="I1309" s="23">
        <f>IF($D1309="","",IFERROR(INDEX(ENVIOS!$F$4:$F$3003,MATCH($D1309,ENVIOS!$A$4:$A$3003,0)),"—"))</f>
        <v/>
      </c>
      <c r="J1309" s="23">
        <f>IF($D1309="","",IFERROR(INDEX(ENVIOS!$G$4:$G$3003,MATCH($D1309,ENVIOS!$A$4:$A$3003,0)),"—"))</f>
        <v/>
      </c>
      <c r="K1309" s="28">
        <f>IF($D1309="","",IFERROR(INDEX(ENVIOS!$H$4:$H$3003,MATCH($D1309,ENVIOS!$A$4:$A$3003,0)),"—"))</f>
        <v/>
      </c>
      <c r="L1309" s="49">
        <f>IF($D1309="","",IFERROR(INDEX(ENVIOS!$C$4:$C$3003,MATCH($D1309,ENVIOS!$A$4:$A$3003,0)),""))</f>
        <v/>
      </c>
      <c r="M1309" s="50" t="n"/>
      <c r="N1309" s="28">
        <f>IF($M1309="","",IFERROR(INDEX(CONFIG!$C$4:$C$63,MATCH($M1309,CONFIG!$A$4:$A$63,0)),"Media"))</f>
        <v/>
      </c>
      <c r="O1309" s="28">
        <f>IF($M1309="","",IF($C1309="Interna","NO",IFERROR(INDEX(CONFIG!$E$4:$E$63,MATCH($M1309,CONFIG!$A$4:$A$63,0)),"NO")))</f>
        <v/>
      </c>
      <c r="P1309" s="50" t="n"/>
      <c r="Q1309" s="50" t="n"/>
      <c r="R1309" s="28">
        <f>IF($Q1309="","",IFERROR(INDEX(CONFIG!$H$4:$H$63,MATCH($Q1309,CONFIG!$G$4:$G$63,0)),"Por definir"))</f>
        <v/>
      </c>
      <c r="S1309" s="28">
        <f>IF($Q1309="","",IFERROR(INDEX(CONFIG!$I$4:$I$63,MATCH($Q1309,CONFIG!$G$4:$G$63,0)),"Por definir"))</f>
        <v/>
      </c>
      <c r="T1309" s="51" t="n"/>
      <c r="U1309" s="52" t="n"/>
      <c r="V1309" s="50" t="n"/>
      <c r="W1309" s="50" t="n"/>
      <c r="X1309" s="49">
        <f>IF(OR($B1309="",$M1309=""),"",WORKDAY($B1309,IFERROR(INDEX(CONFIG!$D$4:$D$63,MATCH($M1309,CONFIG!$A$4:$A$63,0)),3)))</f>
        <v/>
      </c>
      <c r="Y1309" s="47" t="n"/>
      <c r="Z1309" s="24">
        <f>IF($B1309="","",IF($Y1309&lt;&gt;"",$Y1309-$B1309,TODAY()-$B1309))</f>
        <v/>
      </c>
      <c r="AA1309" s="28">
        <f>IF($B1309="","",IF(IFERROR(INDEX(CONFIG!$L$4:$L$63,MATCH($V1309,CONFIG!$K$4:$K$63,0)),"NO")="SÍ",IF(OR($Y1309="",$X1309=""),"Resuelta",IF($Y1309&gt;$X1309,"Resuelta tarde","Resuelta a tiempo")),IF($X1309="","Sin clasificar",IF(TODAY()&gt;$X1309,"Vencida",IF(TODAY()&gt;=$X1309-1,"Por vencer","En plazo")))))</f>
        <v/>
      </c>
      <c r="AB1309" s="50" t="n"/>
      <c r="AC1309" s="50" t="n"/>
    </row>
    <row r="1310" ht="16" customHeight="1">
      <c r="A1310" s="28">
        <f>IF($B1310="","","N-"&amp;TEXT(ROW()-3,"0000"))</f>
        <v/>
      </c>
      <c r="B1310" s="47" t="n"/>
      <c r="C1310" s="48" t="n"/>
      <c r="D1310" s="48" t="n"/>
      <c r="E1310" s="28">
        <f>IF($C1310="","",IF($D1310="",IF($C1310="Interna","Sin guía (interna)","FALTA GUÍA"),IF(COUNTIFS(ENVIOS!$A$4:$A$3003,$D1310)=0,"NO EXISTE",IF(COUNTIFS(ENVIOS!$A$4:$A$3003,$D1310)&gt;1,"DUPLICADA","OK"))))</f>
        <v/>
      </c>
      <c r="F1310" s="28">
        <f>IF($D1310="","",IFERROR(INDEX(ENVIOS!$B$4:$B$3003,MATCH($D1310,ENVIOS!$A$4:$A$3003,0)),"—"))</f>
        <v/>
      </c>
      <c r="G1310" s="23">
        <f>IF($D1310="","",IFERROR(INDEX(ENVIOS!$D$4:$D$3003,MATCH($D1310,ENVIOS!$A$4:$A$3003,0)),"—"))</f>
        <v/>
      </c>
      <c r="H1310" s="23">
        <f>IF($D1310="","",IFERROR(INDEX(ENVIOS!$E$4:$E$3003,MATCH($D1310,ENVIOS!$A$4:$A$3003,0)),"—"))</f>
        <v/>
      </c>
      <c r="I1310" s="23">
        <f>IF($D1310="","",IFERROR(INDEX(ENVIOS!$F$4:$F$3003,MATCH($D1310,ENVIOS!$A$4:$A$3003,0)),"—"))</f>
        <v/>
      </c>
      <c r="J1310" s="23">
        <f>IF($D1310="","",IFERROR(INDEX(ENVIOS!$G$4:$G$3003,MATCH($D1310,ENVIOS!$A$4:$A$3003,0)),"—"))</f>
        <v/>
      </c>
      <c r="K1310" s="28">
        <f>IF($D1310="","",IFERROR(INDEX(ENVIOS!$H$4:$H$3003,MATCH($D1310,ENVIOS!$A$4:$A$3003,0)),"—"))</f>
        <v/>
      </c>
      <c r="L1310" s="49">
        <f>IF($D1310="","",IFERROR(INDEX(ENVIOS!$C$4:$C$3003,MATCH($D1310,ENVIOS!$A$4:$A$3003,0)),""))</f>
        <v/>
      </c>
      <c r="M1310" s="50" t="n"/>
      <c r="N1310" s="28">
        <f>IF($M1310="","",IFERROR(INDEX(CONFIG!$C$4:$C$63,MATCH($M1310,CONFIG!$A$4:$A$63,0)),"Media"))</f>
        <v/>
      </c>
      <c r="O1310" s="28">
        <f>IF($M1310="","",IF($C1310="Interna","NO",IFERROR(INDEX(CONFIG!$E$4:$E$63,MATCH($M1310,CONFIG!$A$4:$A$63,0)),"NO")))</f>
        <v/>
      </c>
      <c r="P1310" s="50" t="n"/>
      <c r="Q1310" s="50" t="n"/>
      <c r="R1310" s="28">
        <f>IF($Q1310="","",IFERROR(INDEX(CONFIG!$H$4:$H$63,MATCH($Q1310,CONFIG!$G$4:$G$63,0)),"Por definir"))</f>
        <v/>
      </c>
      <c r="S1310" s="28">
        <f>IF($Q1310="","",IFERROR(INDEX(CONFIG!$I$4:$I$63,MATCH($Q1310,CONFIG!$G$4:$G$63,0)),"Por definir"))</f>
        <v/>
      </c>
      <c r="T1310" s="51" t="n"/>
      <c r="U1310" s="52" t="n"/>
      <c r="V1310" s="50" t="n"/>
      <c r="W1310" s="50" t="n"/>
      <c r="X1310" s="49">
        <f>IF(OR($B1310="",$M1310=""),"",WORKDAY($B1310,IFERROR(INDEX(CONFIG!$D$4:$D$63,MATCH($M1310,CONFIG!$A$4:$A$63,0)),3)))</f>
        <v/>
      </c>
      <c r="Y1310" s="47" t="n"/>
      <c r="Z1310" s="24">
        <f>IF($B1310="","",IF($Y1310&lt;&gt;"",$Y1310-$B1310,TODAY()-$B1310))</f>
        <v/>
      </c>
      <c r="AA1310" s="28">
        <f>IF($B1310="","",IF(IFERROR(INDEX(CONFIG!$L$4:$L$63,MATCH($V1310,CONFIG!$K$4:$K$63,0)),"NO")="SÍ",IF(OR($Y1310="",$X1310=""),"Resuelta",IF($Y1310&gt;$X1310,"Resuelta tarde","Resuelta a tiempo")),IF($X1310="","Sin clasificar",IF(TODAY()&gt;$X1310,"Vencida",IF(TODAY()&gt;=$X1310-1,"Por vencer","En plazo")))))</f>
        <v/>
      </c>
      <c r="AB1310" s="50" t="n"/>
      <c r="AC1310" s="50" t="n"/>
    </row>
    <row r="1311" ht="16" customHeight="1">
      <c r="A1311" s="28">
        <f>IF($B1311="","","N-"&amp;TEXT(ROW()-3,"0000"))</f>
        <v/>
      </c>
      <c r="B1311" s="47" t="n"/>
      <c r="C1311" s="48" t="n"/>
      <c r="D1311" s="48" t="n"/>
      <c r="E1311" s="28">
        <f>IF($C1311="","",IF($D1311="",IF($C1311="Interna","Sin guía (interna)","FALTA GUÍA"),IF(COUNTIFS(ENVIOS!$A$4:$A$3003,$D1311)=0,"NO EXISTE",IF(COUNTIFS(ENVIOS!$A$4:$A$3003,$D1311)&gt;1,"DUPLICADA","OK"))))</f>
        <v/>
      </c>
      <c r="F1311" s="28">
        <f>IF($D1311="","",IFERROR(INDEX(ENVIOS!$B$4:$B$3003,MATCH($D1311,ENVIOS!$A$4:$A$3003,0)),"—"))</f>
        <v/>
      </c>
      <c r="G1311" s="23">
        <f>IF($D1311="","",IFERROR(INDEX(ENVIOS!$D$4:$D$3003,MATCH($D1311,ENVIOS!$A$4:$A$3003,0)),"—"))</f>
        <v/>
      </c>
      <c r="H1311" s="23">
        <f>IF($D1311="","",IFERROR(INDEX(ENVIOS!$E$4:$E$3003,MATCH($D1311,ENVIOS!$A$4:$A$3003,0)),"—"))</f>
        <v/>
      </c>
      <c r="I1311" s="23">
        <f>IF($D1311="","",IFERROR(INDEX(ENVIOS!$F$4:$F$3003,MATCH($D1311,ENVIOS!$A$4:$A$3003,0)),"—"))</f>
        <v/>
      </c>
      <c r="J1311" s="23">
        <f>IF($D1311="","",IFERROR(INDEX(ENVIOS!$G$4:$G$3003,MATCH($D1311,ENVIOS!$A$4:$A$3003,0)),"—"))</f>
        <v/>
      </c>
      <c r="K1311" s="28">
        <f>IF($D1311="","",IFERROR(INDEX(ENVIOS!$H$4:$H$3003,MATCH($D1311,ENVIOS!$A$4:$A$3003,0)),"—"))</f>
        <v/>
      </c>
      <c r="L1311" s="49">
        <f>IF($D1311="","",IFERROR(INDEX(ENVIOS!$C$4:$C$3003,MATCH($D1311,ENVIOS!$A$4:$A$3003,0)),""))</f>
        <v/>
      </c>
      <c r="M1311" s="50" t="n"/>
      <c r="N1311" s="28">
        <f>IF($M1311="","",IFERROR(INDEX(CONFIG!$C$4:$C$63,MATCH($M1311,CONFIG!$A$4:$A$63,0)),"Media"))</f>
        <v/>
      </c>
      <c r="O1311" s="28">
        <f>IF($M1311="","",IF($C1311="Interna","NO",IFERROR(INDEX(CONFIG!$E$4:$E$63,MATCH($M1311,CONFIG!$A$4:$A$63,0)),"NO")))</f>
        <v/>
      </c>
      <c r="P1311" s="50" t="n"/>
      <c r="Q1311" s="50" t="n"/>
      <c r="R1311" s="28">
        <f>IF($Q1311="","",IFERROR(INDEX(CONFIG!$H$4:$H$63,MATCH($Q1311,CONFIG!$G$4:$G$63,0)),"Por definir"))</f>
        <v/>
      </c>
      <c r="S1311" s="28">
        <f>IF($Q1311="","",IFERROR(INDEX(CONFIG!$I$4:$I$63,MATCH($Q1311,CONFIG!$G$4:$G$63,0)),"Por definir"))</f>
        <v/>
      </c>
      <c r="T1311" s="51" t="n"/>
      <c r="U1311" s="52" t="n"/>
      <c r="V1311" s="50" t="n"/>
      <c r="W1311" s="50" t="n"/>
      <c r="X1311" s="49">
        <f>IF(OR($B1311="",$M1311=""),"",WORKDAY($B1311,IFERROR(INDEX(CONFIG!$D$4:$D$63,MATCH($M1311,CONFIG!$A$4:$A$63,0)),3)))</f>
        <v/>
      </c>
      <c r="Y1311" s="47" t="n"/>
      <c r="Z1311" s="24">
        <f>IF($B1311="","",IF($Y1311&lt;&gt;"",$Y1311-$B1311,TODAY()-$B1311))</f>
        <v/>
      </c>
      <c r="AA1311" s="28">
        <f>IF($B1311="","",IF(IFERROR(INDEX(CONFIG!$L$4:$L$63,MATCH($V1311,CONFIG!$K$4:$K$63,0)),"NO")="SÍ",IF(OR($Y1311="",$X1311=""),"Resuelta",IF($Y1311&gt;$X1311,"Resuelta tarde","Resuelta a tiempo")),IF($X1311="","Sin clasificar",IF(TODAY()&gt;$X1311,"Vencida",IF(TODAY()&gt;=$X1311-1,"Por vencer","En plazo")))))</f>
        <v/>
      </c>
      <c r="AB1311" s="50" t="n"/>
      <c r="AC1311" s="50" t="n"/>
    </row>
    <row r="1312" ht="16" customHeight="1">
      <c r="A1312" s="28">
        <f>IF($B1312="","","N-"&amp;TEXT(ROW()-3,"0000"))</f>
        <v/>
      </c>
      <c r="B1312" s="47" t="n"/>
      <c r="C1312" s="48" t="n"/>
      <c r="D1312" s="48" t="n"/>
      <c r="E1312" s="28">
        <f>IF($C1312="","",IF($D1312="",IF($C1312="Interna","Sin guía (interna)","FALTA GUÍA"),IF(COUNTIFS(ENVIOS!$A$4:$A$3003,$D1312)=0,"NO EXISTE",IF(COUNTIFS(ENVIOS!$A$4:$A$3003,$D1312)&gt;1,"DUPLICADA","OK"))))</f>
        <v/>
      </c>
      <c r="F1312" s="28">
        <f>IF($D1312="","",IFERROR(INDEX(ENVIOS!$B$4:$B$3003,MATCH($D1312,ENVIOS!$A$4:$A$3003,0)),"—"))</f>
        <v/>
      </c>
      <c r="G1312" s="23">
        <f>IF($D1312="","",IFERROR(INDEX(ENVIOS!$D$4:$D$3003,MATCH($D1312,ENVIOS!$A$4:$A$3003,0)),"—"))</f>
        <v/>
      </c>
      <c r="H1312" s="23">
        <f>IF($D1312="","",IFERROR(INDEX(ENVIOS!$E$4:$E$3003,MATCH($D1312,ENVIOS!$A$4:$A$3003,0)),"—"))</f>
        <v/>
      </c>
      <c r="I1312" s="23">
        <f>IF($D1312="","",IFERROR(INDEX(ENVIOS!$F$4:$F$3003,MATCH($D1312,ENVIOS!$A$4:$A$3003,0)),"—"))</f>
        <v/>
      </c>
      <c r="J1312" s="23">
        <f>IF($D1312="","",IFERROR(INDEX(ENVIOS!$G$4:$G$3003,MATCH($D1312,ENVIOS!$A$4:$A$3003,0)),"—"))</f>
        <v/>
      </c>
      <c r="K1312" s="28">
        <f>IF($D1312="","",IFERROR(INDEX(ENVIOS!$H$4:$H$3003,MATCH($D1312,ENVIOS!$A$4:$A$3003,0)),"—"))</f>
        <v/>
      </c>
      <c r="L1312" s="49">
        <f>IF($D1312="","",IFERROR(INDEX(ENVIOS!$C$4:$C$3003,MATCH($D1312,ENVIOS!$A$4:$A$3003,0)),""))</f>
        <v/>
      </c>
      <c r="M1312" s="50" t="n"/>
      <c r="N1312" s="28">
        <f>IF($M1312="","",IFERROR(INDEX(CONFIG!$C$4:$C$63,MATCH($M1312,CONFIG!$A$4:$A$63,0)),"Media"))</f>
        <v/>
      </c>
      <c r="O1312" s="28">
        <f>IF($M1312="","",IF($C1312="Interna","NO",IFERROR(INDEX(CONFIG!$E$4:$E$63,MATCH($M1312,CONFIG!$A$4:$A$63,0)),"NO")))</f>
        <v/>
      </c>
      <c r="P1312" s="50" t="n"/>
      <c r="Q1312" s="50" t="n"/>
      <c r="R1312" s="28">
        <f>IF($Q1312="","",IFERROR(INDEX(CONFIG!$H$4:$H$63,MATCH($Q1312,CONFIG!$G$4:$G$63,0)),"Por definir"))</f>
        <v/>
      </c>
      <c r="S1312" s="28">
        <f>IF($Q1312="","",IFERROR(INDEX(CONFIG!$I$4:$I$63,MATCH($Q1312,CONFIG!$G$4:$G$63,0)),"Por definir"))</f>
        <v/>
      </c>
      <c r="T1312" s="51" t="n"/>
      <c r="U1312" s="52" t="n"/>
      <c r="V1312" s="50" t="n"/>
      <c r="W1312" s="50" t="n"/>
      <c r="X1312" s="49">
        <f>IF(OR($B1312="",$M1312=""),"",WORKDAY($B1312,IFERROR(INDEX(CONFIG!$D$4:$D$63,MATCH($M1312,CONFIG!$A$4:$A$63,0)),3)))</f>
        <v/>
      </c>
      <c r="Y1312" s="47" t="n"/>
      <c r="Z1312" s="24">
        <f>IF($B1312="","",IF($Y1312&lt;&gt;"",$Y1312-$B1312,TODAY()-$B1312))</f>
        <v/>
      </c>
      <c r="AA1312" s="28">
        <f>IF($B1312="","",IF(IFERROR(INDEX(CONFIG!$L$4:$L$63,MATCH($V1312,CONFIG!$K$4:$K$63,0)),"NO")="SÍ",IF(OR($Y1312="",$X1312=""),"Resuelta",IF($Y1312&gt;$X1312,"Resuelta tarde","Resuelta a tiempo")),IF($X1312="","Sin clasificar",IF(TODAY()&gt;$X1312,"Vencida",IF(TODAY()&gt;=$X1312-1,"Por vencer","En plazo")))))</f>
        <v/>
      </c>
      <c r="AB1312" s="50" t="n"/>
      <c r="AC1312" s="50" t="n"/>
    </row>
    <row r="1313" ht="16" customHeight="1">
      <c r="A1313" s="28">
        <f>IF($B1313="","","N-"&amp;TEXT(ROW()-3,"0000"))</f>
        <v/>
      </c>
      <c r="B1313" s="47" t="n"/>
      <c r="C1313" s="48" t="n"/>
      <c r="D1313" s="48" t="n"/>
      <c r="E1313" s="28">
        <f>IF($C1313="","",IF($D1313="",IF($C1313="Interna","Sin guía (interna)","FALTA GUÍA"),IF(COUNTIFS(ENVIOS!$A$4:$A$3003,$D1313)=0,"NO EXISTE",IF(COUNTIFS(ENVIOS!$A$4:$A$3003,$D1313)&gt;1,"DUPLICADA","OK"))))</f>
        <v/>
      </c>
      <c r="F1313" s="28">
        <f>IF($D1313="","",IFERROR(INDEX(ENVIOS!$B$4:$B$3003,MATCH($D1313,ENVIOS!$A$4:$A$3003,0)),"—"))</f>
        <v/>
      </c>
      <c r="G1313" s="23">
        <f>IF($D1313="","",IFERROR(INDEX(ENVIOS!$D$4:$D$3003,MATCH($D1313,ENVIOS!$A$4:$A$3003,0)),"—"))</f>
        <v/>
      </c>
      <c r="H1313" s="23">
        <f>IF($D1313="","",IFERROR(INDEX(ENVIOS!$E$4:$E$3003,MATCH($D1313,ENVIOS!$A$4:$A$3003,0)),"—"))</f>
        <v/>
      </c>
      <c r="I1313" s="23">
        <f>IF($D1313="","",IFERROR(INDEX(ENVIOS!$F$4:$F$3003,MATCH($D1313,ENVIOS!$A$4:$A$3003,0)),"—"))</f>
        <v/>
      </c>
      <c r="J1313" s="23">
        <f>IF($D1313="","",IFERROR(INDEX(ENVIOS!$G$4:$G$3003,MATCH($D1313,ENVIOS!$A$4:$A$3003,0)),"—"))</f>
        <v/>
      </c>
      <c r="K1313" s="28">
        <f>IF($D1313="","",IFERROR(INDEX(ENVIOS!$H$4:$H$3003,MATCH($D1313,ENVIOS!$A$4:$A$3003,0)),"—"))</f>
        <v/>
      </c>
      <c r="L1313" s="49">
        <f>IF($D1313="","",IFERROR(INDEX(ENVIOS!$C$4:$C$3003,MATCH($D1313,ENVIOS!$A$4:$A$3003,0)),""))</f>
        <v/>
      </c>
      <c r="M1313" s="50" t="n"/>
      <c r="N1313" s="28">
        <f>IF($M1313="","",IFERROR(INDEX(CONFIG!$C$4:$C$63,MATCH($M1313,CONFIG!$A$4:$A$63,0)),"Media"))</f>
        <v/>
      </c>
      <c r="O1313" s="28">
        <f>IF($M1313="","",IF($C1313="Interna","NO",IFERROR(INDEX(CONFIG!$E$4:$E$63,MATCH($M1313,CONFIG!$A$4:$A$63,0)),"NO")))</f>
        <v/>
      </c>
      <c r="P1313" s="50" t="n"/>
      <c r="Q1313" s="50" t="n"/>
      <c r="R1313" s="28">
        <f>IF($Q1313="","",IFERROR(INDEX(CONFIG!$H$4:$H$63,MATCH($Q1313,CONFIG!$G$4:$G$63,0)),"Por definir"))</f>
        <v/>
      </c>
      <c r="S1313" s="28">
        <f>IF($Q1313="","",IFERROR(INDEX(CONFIG!$I$4:$I$63,MATCH($Q1313,CONFIG!$G$4:$G$63,0)),"Por definir"))</f>
        <v/>
      </c>
      <c r="T1313" s="51" t="n"/>
      <c r="U1313" s="52" t="n"/>
      <c r="V1313" s="50" t="n"/>
      <c r="W1313" s="50" t="n"/>
      <c r="X1313" s="49">
        <f>IF(OR($B1313="",$M1313=""),"",WORKDAY($B1313,IFERROR(INDEX(CONFIG!$D$4:$D$63,MATCH($M1313,CONFIG!$A$4:$A$63,0)),3)))</f>
        <v/>
      </c>
      <c r="Y1313" s="47" t="n"/>
      <c r="Z1313" s="24">
        <f>IF($B1313="","",IF($Y1313&lt;&gt;"",$Y1313-$B1313,TODAY()-$B1313))</f>
        <v/>
      </c>
      <c r="AA1313" s="28">
        <f>IF($B1313="","",IF(IFERROR(INDEX(CONFIG!$L$4:$L$63,MATCH($V1313,CONFIG!$K$4:$K$63,0)),"NO")="SÍ",IF(OR($Y1313="",$X1313=""),"Resuelta",IF($Y1313&gt;$X1313,"Resuelta tarde","Resuelta a tiempo")),IF($X1313="","Sin clasificar",IF(TODAY()&gt;$X1313,"Vencida",IF(TODAY()&gt;=$X1313-1,"Por vencer","En plazo")))))</f>
        <v/>
      </c>
      <c r="AB1313" s="50" t="n"/>
      <c r="AC1313" s="50" t="n"/>
    </row>
    <row r="1314" ht="16" customHeight="1">
      <c r="A1314" s="28">
        <f>IF($B1314="","","N-"&amp;TEXT(ROW()-3,"0000"))</f>
        <v/>
      </c>
      <c r="B1314" s="47" t="n"/>
      <c r="C1314" s="48" t="n"/>
      <c r="D1314" s="48" t="n"/>
      <c r="E1314" s="28">
        <f>IF($C1314="","",IF($D1314="",IF($C1314="Interna","Sin guía (interna)","FALTA GUÍA"),IF(COUNTIFS(ENVIOS!$A$4:$A$3003,$D1314)=0,"NO EXISTE",IF(COUNTIFS(ENVIOS!$A$4:$A$3003,$D1314)&gt;1,"DUPLICADA","OK"))))</f>
        <v/>
      </c>
      <c r="F1314" s="28">
        <f>IF($D1314="","",IFERROR(INDEX(ENVIOS!$B$4:$B$3003,MATCH($D1314,ENVIOS!$A$4:$A$3003,0)),"—"))</f>
        <v/>
      </c>
      <c r="G1314" s="23">
        <f>IF($D1314="","",IFERROR(INDEX(ENVIOS!$D$4:$D$3003,MATCH($D1314,ENVIOS!$A$4:$A$3003,0)),"—"))</f>
        <v/>
      </c>
      <c r="H1314" s="23">
        <f>IF($D1314="","",IFERROR(INDEX(ENVIOS!$E$4:$E$3003,MATCH($D1314,ENVIOS!$A$4:$A$3003,0)),"—"))</f>
        <v/>
      </c>
      <c r="I1314" s="23">
        <f>IF($D1314="","",IFERROR(INDEX(ENVIOS!$F$4:$F$3003,MATCH($D1314,ENVIOS!$A$4:$A$3003,0)),"—"))</f>
        <v/>
      </c>
      <c r="J1314" s="23">
        <f>IF($D1314="","",IFERROR(INDEX(ENVIOS!$G$4:$G$3003,MATCH($D1314,ENVIOS!$A$4:$A$3003,0)),"—"))</f>
        <v/>
      </c>
      <c r="K1314" s="28">
        <f>IF($D1314="","",IFERROR(INDEX(ENVIOS!$H$4:$H$3003,MATCH($D1314,ENVIOS!$A$4:$A$3003,0)),"—"))</f>
        <v/>
      </c>
      <c r="L1314" s="49">
        <f>IF($D1314="","",IFERROR(INDEX(ENVIOS!$C$4:$C$3003,MATCH($D1314,ENVIOS!$A$4:$A$3003,0)),""))</f>
        <v/>
      </c>
      <c r="M1314" s="50" t="n"/>
      <c r="N1314" s="28">
        <f>IF($M1314="","",IFERROR(INDEX(CONFIG!$C$4:$C$63,MATCH($M1314,CONFIG!$A$4:$A$63,0)),"Media"))</f>
        <v/>
      </c>
      <c r="O1314" s="28">
        <f>IF($M1314="","",IF($C1314="Interna","NO",IFERROR(INDEX(CONFIG!$E$4:$E$63,MATCH($M1314,CONFIG!$A$4:$A$63,0)),"NO")))</f>
        <v/>
      </c>
      <c r="P1314" s="50" t="n"/>
      <c r="Q1314" s="50" t="n"/>
      <c r="R1314" s="28">
        <f>IF($Q1314="","",IFERROR(INDEX(CONFIG!$H$4:$H$63,MATCH($Q1314,CONFIG!$G$4:$G$63,0)),"Por definir"))</f>
        <v/>
      </c>
      <c r="S1314" s="28">
        <f>IF($Q1314="","",IFERROR(INDEX(CONFIG!$I$4:$I$63,MATCH($Q1314,CONFIG!$G$4:$G$63,0)),"Por definir"))</f>
        <v/>
      </c>
      <c r="T1314" s="51" t="n"/>
      <c r="U1314" s="52" t="n"/>
      <c r="V1314" s="50" t="n"/>
      <c r="W1314" s="50" t="n"/>
      <c r="X1314" s="49">
        <f>IF(OR($B1314="",$M1314=""),"",WORKDAY($B1314,IFERROR(INDEX(CONFIG!$D$4:$D$63,MATCH($M1314,CONFIG!$A$4:$A$63,0)),3)))</f>
        <v/>
      </c>
      <c r="Y1314" s="47" t="n"/>
      <c r="Z1314" s="24">
        <f>IF($B1314="","",IF($Y1314&lt;&gt;"",$Y1314-$B1314,TODAY()-$B1314))</f>
        <v/>
      </c>
      <c r="AA1314" s="28">
        <f>IF($B1314="","",IF(IFERROR(INDEX(CONFIG!$L$4:$L$63,MATCH($V1314,CONFIG!$K$4:$K$63,0)),"NO")="SÍ",IF(OR($Y1314="",$X1314=""),"Resuelta",IF($Y1314&gt;$X1314,"Resuelta tarde","Resuelta a tiempo")),IF($X1314="","Sin clasificar",IF(TODAY()&gt;$X1314,"Vencida",IF(TODAY()&gt;=$X1314-1,"Por vencer","En plazo")))))</f>
        <v/>
      </c>
      <c r="AB1314" s="50" t="n"/>
      <c r="AC1314" s="50" t="n"/>
    </row>
    <row r="1315" ht="16" customHeight="1">
      <c r="A1315" s="28">
        <f>IF($B1315="","","N-"&amp;TEXT(ROW()-3,"0000"))</f>
        <v/>
      </c>
      <c r="B1315" s="47" t="n"/>
      <c r="C1315" s="48" t="n"/>
      <c r="D1315" s="48" t="n"/>
      <c r="E1315" s="28">
        <f>IF($C1315="","",IF($D1315="",IF($C1315="Interna","Sin guía (interna)","FALTA GUÍA"),IF(COUNTIFS(ENVIOS!$A$4:$A$3003,$D1315)=0,"NO EXISTE",IF(COUNTIFS(ENVIOS!$A$4:$A$3003,$D1315)&gt;1,"DUPLICADA","OK"))))</f>
        <v/>
      </c>
      <c r="F1315" s="28">
        <f>IF($D1315="","",IFERROR(INDEX(ENVIOS!$B$4:$B$3003,MATCH($D1315,ENVIOS!$A$4:$A$3003,0)),"—"))</f>
        <v/>
      </c>
      <c r="G1315" s="23">
        <f>IF($D1315="","",IFERROR(INDEX(ENVIOS!$D$4:$D$3003,MATCH($D1315,ENVIOS!$A$4:$A$3003,0)),"—"))</f>
        <v/>
      </c>
      <c r="H1315" s="23">
        <f>IF($D1315="","",IFERROR(INDEX(ENVIOS!$E$4:$E$3003,MATCH($D1315,ENVIOS!$A$4:$A$3003,0)),"—"))</f>
        <v/>
      </c>
      <c r="I1315" s="23">
        <f>IF($D1315="","",IFERROR(INDEX(ENVIOS!$F$4:$F$3003,MATCH($D1315,ENVIOS!$A$4:$A$3003,0)),"—"))</f>
        <v/>
      </c>
      <c r="J1315" s="23">
        <f>IF($D1315="","",IFERROR(INDEX(ENVIOS!$G$4:$G$3003,MATCH($D1315,ENVIOS!$A$4:$A$3003,0)),"—"))</f>
        <v/>
      </c>
      <c r="K1315" s="28">
        <f>IF($D1315="","",IFERROR(INDEX(ENVIOS!$H$4:$H$3003,MATCH($D1315,ENVIOS!$A$4:$A$3003,0)),"—"))</f>
        <v/>
      </c>
      <c r="L1315" s="49">
        <f>IF($D1315="","",IFERROR(INDEX(ENVIOS!$C$4:$C$3003,MATCH($D1315,ENVIOS!$A$4:$A$3003,0)),""))</f>
        <v/>
      </c>
      <c r="M1315" s="50" t="n"/>
      <c r="N1315" s="28">
        <f>IF($M1315="","",IFERROR(INDEX(CONFIG!$C$4:$C$63,MATCH($M1315,CONFIG!$A$4:$A$63,0)),"Media"))</f>
        <v/>
      </c>
      <c r="O1315" s="28">
        <f>IF($M1315="","",IF($C1315="Interna","NO",IFERROR(INDEX(CONFIG!$E$4:$E$63,MATCH($M1315,CONFIG!$A$4:$A$63,0)),"NO")))</f>
        <v/>
      </c>
      <c r="P1315" s="50" t="n"/>
      <c r="Q1315" s="50" t="n"/>
      <c r="R1315" s="28">
        <f>IF($Q1315="","",IFERROR(INDEX(CONFIG!$H$4:$H$63,MATCH($Q1315,CONFIG!$G$4:$G$63,0)),"Por definir"))</f>
        <v/>
      </c>
      <c r="S1315" s="28">
        <f>IF($Q1315="","",IFERROR(INDEX(CONFIG!$I$4:$I$63,MATCH($Q1315,CONFIG!$G$4:$G$63,0)),"Por definir"))</f>
        <v/>
      </c>
      <c r="T1315" s="51" t="n"/>
      <c r="U1315" s="52" t="n"/>
      <c r="V1315" s="50" t="n"/>
      <c r="W1315" s="50" t="n"/>
      <c r="X1315" s="49">
        <f>IF(OR($B1315="",$M1315=""),"",WORKDAY($B1315,IFERROR(INDEX(CONFIG!$D$4:$D$63,MATCH($M1315,CONFIG!$A$4:$A$63,0)),3)))</f>
        <v/>
      </c>
      <c r="Y1315" s="47" t="n"/>
      <c r="Z1315" s="24">
        <f>IF($B1315="","",IF($Y1315&lt;&gt;"",$Y1315-$B1315,TODAY()-$B1315))</f>
        <v/>
      </c>
      <c r="AA1315" s="28">
        <f>IF($B1315="","",IF(IFERROR(INDEX(CONFIG!$L$4:$L$63,MATCH($V1315,CONFIG!$K$4:$K$63,0)),"NO")="SÍ",IF(OR($Y1315="",$X1315=""),"Resuelta",IF($Y1315&gt;$X1315,"Resuelta tarde","Resuelta a tiempo")),IF($X1315="","Sin clasificar",IF(TODAY()&gt;$X1315,"Vencida",IF(TODAY()&gt;=$X1315-1,"Por vencer","En plazo")))))</f>
        <v/>
      </c>
      <c r="AB1315" s="50" t="n"/>
      <c r="AC1315" s="50" t="n"/>
    </row>
    <row r="1316" ht="16" customHeight="1">
      <c r="A1316" s="28">
        <f>IF($B1316="","","N-"&amp;TEXT(ROW()-3,"0000"))</f>
        <v/>
      </c>
      <c r="B1316" s="47" t="n"/>
      <c r="C1316" s="48" t="n"/>
      <c r="D1316" s="48" t="n"/>
      <c r="E1316" s="28">
        <f>IF($C1316="","",IF($D1316="",IF($C1316="Interna","Sin guía (interna)","FALTA GUÍA"),IF(COUNTIFS(ENVIOS!$A$4:$A$3003,$D1316)=0,"NO EXISTE",IF(COUNTIFS(ENVIOS!$A$4:$A$3003,$D1316)&gt;1,"DUPLICADA","OK"))))</f>
        <v/>
      </c>
      <c r="F1316" s="28">
        <f>IF($D1316="","",IFERROR(INDEX(ENVIOS!$B$4:$B$3003,MATCH($D1316,ENVIOS!$A$4:$A$3003,0)),"—"))</f>
        <v/>
      </c>
      <c r="G1316" s="23">
        <f>IF($D1316="","",IFERROR(INDEX(ENVIOS!$D$4:$D$3003,MATCH($D1316,ENVIOS!$A$4:$A$3003,0)),"—"))</f>
        <v/>
      </c>
      <c r="H1316" s="23">
        <f>IF($D1316="","",IFERROR(INDEX(ENVIOS!$E$4:$E$3003,MATCH($D1316,ENVIOS!$A$4:$A$3003,0)),"—"))</f>
        <v/>
      </c>
      <c r="I1316" s="23">
        <f>IF($D1316="","",IFERROR(INDEX(ENVIOS!$F$4:$F$3003,MATCH($D1316,ENVIOS!$A$4:$A$3003,0)),"—"))</f>
        <v/>
      </c>
      <c r="J1316" s="23">
        <f>IF($D1316="","",IFERROR(INDEX(ENVIOS!$G$4:$G$3003,MATCH($D1316,ENVIOS!$A$4:$A$3003,0)),"—"))</f>
        <v/>
      </c>
      <c r="K1316" s="28">
        <f>IF($D1316="","",IFERROR(INDEX(ENVIOS!$H$4:$H$3003,MATCH($D1316,ENVIOS!$A$4:$A$3003,0)),"—"))</f>
        <v/>
      </c>
      <c r="L1316" s="49">
        <f>IF($D1316="","",IFERROR(INDEX(ENVIOS!$C$4:$C$3003,MATCH($D1316,ENVIOS!$A$4:$A$3003,0)),""))</f>
        <v/>
      </c>
      <c r="M1316" s="50" t="n"/>
      <c r="N1316" s="28">
        <f>IF($M1316="","",IFERROR(INDEX(CONFIG!$C$4:$C$63,MATCH($M1316,CONFIG!$A$4:$A$63,0)),"Media"))</f>
        <v/>
      </c>
      <c r="O1316" s="28">
        <f>IF($M1316="","",IF($C1316="Interna","NO",IFERROR(INDEX(CONFIG!$E$4:$E$63,MATCH($M1316,CONFIG!$A$4:$A$63,0)),"NO")))</f>
        <v/>
      </c>
      <c r="P1316" s="50" t="n"/>
      <c r="Q1316" s="50" t="n"/>
      <c r="R1316" s="28">
        <f>IF($Q1316="","",IFERROR(INDEX(CONFIG!$H$4:$H$63,MATCH($Q1316,CONFIG!$G$4:$G$63,0)),"Por definir"))</f>
        <v/>
      </c>
      <c r="S1316" s="28">
        <f>IF($Q1316="","",IFERROR(INDEX(CONFIG!$I$4:$I$63,MATCH($Q1316,CONFIG!$G$4:$G$63,0)),"Por definir"))</f>
        <v/>
      </c>
      <c r="T1316" s="51" t="n"/>
      <c r="U1316" s="52" t="n"/>
      <c r="V1316" s="50" t="n"/>
      <c r="W1316" s="50" t="n"/>
      <c r="X1316" s="49">
        <f>IF(OR($B1316="",$M1316=""),"",WORKDAY($B1316,IFERROR(INDEX(CONFIG!$D$4:$D$63,MATCH($M1316,CONFIG!$A$4:$A$63,0)),3)))</f>
        <v/>
      </c>
      <c r="Y1316" s="47" t="n"/>
      <c r="Z1316" s="24">
        <f>IF($B1316="","",IF($Y1316&lt;&gt;"",$Y1316-$B1316,TODAY()-$B1316))</f>
        <v/>
      </c>
      <c r="AA1316" s="28">
        <f>IF($B1316="","",IF(IFERROR(INDEX(CONFIG!$L$4:$L$63,MATCH($V1316,CONFIG!$K$4:$K$63,0)),"NO")="SÍ",IF(OR($Y1316="",$X1316=""),"Resuelta",IF($Y1316&gt;$X1316,"Resuelta tarde","Resuelta a tiempo")),IF($X1316="","Sin clasificar",IF(TODAY()&gt;$X1316,"Vencida",IF(TODAY()&gt;=$X1316-1,"Por vencer","En plazo")))))</f>
        <v/>
      </c>
      <c r="AB1316" s="50" t="n"/>
      <c r="AC1316" s="50" t="n"/>
    </row>
    <row r="1317" ht="16" customHeight="1">
      <c r="A1317" s="28">
        <f>IF($B1317="","","N-"&amp;TEXT(ROW()-3,"0000"))</f>
        <v/>
      </c>
      <c r="B1317" s="47" t="n"/>
      <c r="C1317" s="48" t="n"/>
      <c r="D1317" s="48" t="n"/>
      <c r="E1317" s="28">
        <f>IF($C1317="","",IF($D1317="",IF($C1317="Interna","Sin guía (interna)","FALTA GUÍA"),IF(COUNTIFS(ENVIOS!$A$4:$A$3003,$D1317)=0,"NO EXISTE",IF(COUNTIFS(ENVIOS!$A$4:$A$3003,$D1317)&gt;1,"DUPLICADA","OK"))))</f>
        <v/>
      </c>
      <c r="F1317" s="28">
        <f>IF($D1317="","",IFERROR(INDEX(ENVIOS!$B$4:$B$3003,MATCH($D1317,ENVIOS!$A$4:$A$3003,0)),"—"))</f>
        <v/>
      </c>
      <c r="G1317" s="23">
        <f>IF($D1317="","",IFERROR(INDEX(ENVIOS!$D$4:$D$3003,MATCH($D1317,ENVIOS!$A$4:$A$3003,0)),"—"))</f>
        <v/>
      </c>
      <c r="H1317" s="23">
        <f>IF($D1317="","",IFERROR(INDEX(ENVIOS!$E$4:$E$3003,MATCH($D1317,ENVIOS!$A$4:$A$3003,0)),"—"))</f>
        <v/>
      </c>
      <c r="I1317" s="23">
        <f>IF($D1317="","",IFERROR(INDEX(ENVIOS!$F$4:$F$3003,MATCH($D1317,ENVIOS!$A$4:$A$3003,0)),"—"))</f>
        <v/>
      </c>
      <c r="J1317" s="23">
        <f>IF($D1317="","",IFERROR(INDEX(ENVIOS!$G$4:$G$3003,MATCH($D1317,ENVIOS!$A$4:$A$3003,0)),"—"))</f>
        <v/>
      </c>
      <c r="K1317" s="28">
        <f>IF($D1317="","",IFERROR(INDEX(ENVIOS!$H$4:$H$3003,MATCH($D1317,ENVIOS!$A$4:$A$3003,0)),"—"))</f>
        <v/>
      </c>
      <c r="L1317" s="49">
        <f>IF($D1317="","",IFERROR(INDEX(ENVIOS!$C$4:$C$3003,MATCH($D1317,ENVIOS!$A$4:$A$3003,0)),""))</f>
        <v/>
      </c>
      <c r="M1317" s="50" t="n"/>
      <c r="N1317" s="28">
        <f>IF($M1317="","",IFERROR(INDEX(CONFIG!$C$4:$C$63,MATCH($M1317,CONFIG!$A$4:$A$63,0)),"Media"))</f>
        <v/>
      </c>
      <c r="O1317" s="28">
        <f>IF($M1317="","",IF($C1317="Interna","NO",IFERROR(INDEX(CONFIG!$E$4:$E$63,MATCH($M1317,CONFIG!$A$4:$A$63,0)),"NO")))</f>
        <v/>
      </c>
      <c r="P1317" s="50" t="n"/>
      <c r="Q1317" s="50" t="n"/>
      <c r="R1317" s="28">
        <f>IF($Q1317="","",IFERROR(INDEX(CONFIG!$H$4:$H$63,MATCH($Q1317,CONFIG!$G$4:$G$63,0)),"Por definir"))</f>
        <v/>
      </c>
      <c r="S1317" s="28">
        <f>IF($Q1317="","",IFERROR(INDEX(CONFIG!$I$4:$I$63,MATCH($Q1317,CONFIG!$G$4:$G$63,0)),"Por definir"))</f>
        <v/>
      </c>
      <c r="T1317" s="51" t="n"/>
      <c r="U1317" s="52" t="n"/>
      <c r="V1317" s="50" t="n"/>
      <c r="W1317" s="50" t="n"/>
      <c r="X1317" s="49">
        <f>IF(OR($B1317="",$M1317=""),"",WORKDAY($B1317,IFERROR(INDEX(CONFIG!$D$4:$D$63,MATCH($M1317,CONFIG!$A$4:$A$63,0)),3)))</f>
        <v/>
      </c>
      <c r="Y1317" s="47" t="n"/>
      <c r="Z1317" s="24">
        <f>IF($B1317="","",IF($Y1317&lt;&gt;"",$Y1317-$B1317,TODAY()-$B1317))</f>
        <v/>
      </c>
      <c r="AA1317" s="28">
        <f>IF($B1317="","",IF(IFERROR(INDEX(CONFIG!$L$4:$L$63,MATCH($V1317,CONFIG!$K$4:$K$63,0)),"NO")="SÍ",IF(OR($Y1317="",$X1317=""),"Resuelta",IF($Y1317&gt;$X1317,"Resuelta tarde","Resuelta a tiempo")),IF($X1317="","Sin clasificar",IF(TODAY()&gt;$X1317,"Vencida",IF(TODAY()&gt;=$X1317-1,"Por vencer","En plazo")))))</f>
        <v/>
      </c>
      <c r="AB1317" s="50" t="n"/>
      <c r="AC1317" s="50" t="n"/>
    </row>
    <row r="1318" ht="16" customHeight="1">
      <c r="A1318" s="28">
        <f>IF($B1318="","","N-"&amp;TEXT(ROW()-3,"0000"))</f>
        <v/>
      </c>
      <c r="B1318" s="47" t="n"/>
      <c r="C1318" s="48" t="n"/>
      <c r="D1318" s="48" t="n"/>
      <c r="E1318" s="28">
        <f>IF($C1318="","",IF($D1318="",IF($C1318="Interna","Sin guía (interna)","FALTA GUÍA"),IF(COUNTIFS(ENVIOS!$A$4:$A$3003,$D1318)=0,"NO EXISTE",IF(COUNTIFS(ENVIOS!$A$4:$A$3003,$D1318)&gt;1,"DUPLICADA","OK"))))</f>
        <v/>
      </c>
      <c r="F1318" s="28">
        <f>IF($D1318="","",IFERROR(INDEX(ENVIOS!$B$4:$B$3003,MATCH($D1318,ENVIOS!$A$4:$A$3003,0)),"—"))</f>
        <v/>
      </c>
      <c r="G1318" s="23">
        <f>IF($D1318="","",IFERROR(INDEX(ENVIOS!$D$4:$D$3003,MATCH($D1318,ENVIOS!$A$4:$A$3003,0)),"—"))</f>
        <v/>
      </c>
      <c r="H1318" s="23">
        <f>IF($D1318="","",IFERROR(INDEX(ENVIOS!$E$4:$E$3003,MATCH($D1318,ENVIOS!$A$4:$A$3003,0)),"—"))</f>
        <v/>
      </c>
      <c r="I1318" s="23">
        <f>IF($D1318="","",IFERROR(INDEX(ENVIOS!$F$4:$F$3003,MATCH($D1318,ENVIOS!$A$4:$A$3003,0)),"—"))</f>
        <v/>
      </c>
      <c r="J1318" s="23">
        <f>IF($D1318="","",IFERROR(INDEX(ENVIOS!$G$4:$G$3003,MATCH($D1318,ENVIOS!$A$4:$A$3003,0)),"—"))</f>
        <v/>
      </c>
      <c r="K1318" s="28">
        <f>IF($D1318="","",IFERROR(INDEX(ENVIOS!$H$4:$H$3003,MATCH($D1318,ENVIOS!$A$4:$A$3003,0)),"—"))</f>
        <v/>
      </c>
      <c r="L1318" s="49">
        <f>IF($D1318="","",IFERROR(INDEX(ENVIOS!$C$4:$C$3003,MATCH($D1318,ENVIOS!$A$4:$A$3003,0)),""))</f>
        <v/>
      </c>
      <c r="M1318" s="50" t="n"/>
      <c r="N1318" s="28">
        <f>IF($M1318="","",IFERROR(INDEX(CONFIG!$C$4:$C$63,MATCH($M1318,CONFIG!$A$4:$A$63,0)),"Media"))</f>
        <v/>
      </c>
      <c r="O1318" s="28">
        <f>IF($M1318="","",IF($C1318="Interna","NO",IFERROR(INDEX(CONFIG!$E$4:$E$63,MATCH($M1318,CONFIG!$A$4:$A$63,0)),"NO")))</f>
        <v/>
      </c>
      <c r="P1318" s="50" t="n"/>
      <c r="Q1318" s="50" t="n"/>
      <c r="R1318" s="28">
        <f>IF($Q1318="","",IFERROR(INDEX(CONFIG!$H$4:$H$63,MATCH($Q1318,CONFIG!$G$4:$G$63,0)),"Por definir"))</f>
        <v/>
      </c>
      <c r="S1318" s="28">
        <f>IF($Q1318="","",IFERROR(INDEX(CONFIG!$I$4:$I$63,MATCH($Q1318,CONFIG!$G$4:$G$63,0)),"Por definir"))</f>
        <v/>
      </c>
      <c r="T1318" s="51" t="n"/>
      <c r="U1318" s="52" t="n"/>
      <c r="V1318" s="50" t="n"/>
      <c r="W1318" s="50" t="n"/>
      <c r="X1318" s="49">
        <f>IF(OR($B1318="",$M1318=""),"",WORKDAY($B1318,IFERROR(INDEX(CONFIG!$D$4:$D$63,MATCH($M1318,CONFIG!$A$4:$A$63,0)),3)))</f>
        <v/>
      </c>
      <c r="Y1318" s="47" t="n"/>
      <c r="Z1318" s="24">
        <f>IF($B1318="","",IF($Y1318&lt;&gt;"",$Y1318-$B1318,TODAY()-$B1318))</f>
        <v/>
      </c>
      <c r="AA1318" s="28">
        <f>IF($B1318="","",IF(IFERROR(INDEX(CONFIG!$L$4:$L$63,MATCH($V1318,CONFIG!$K$4:$K$63,0)),"NO")="SÍ",IF(OR($Y1318="",$X1318=""),"Resuelta",IF($Y1318&gt;$X1318,"Resuelta tarde","Resuelta a tiempo")),IF($X1318="","Sin clasificar",IF(TODAY()&gt;$X1318,"Vencida",IF(TODAY()&gt;=$X1318-1,"Por vencer","En plazo")))))</f>
        <v/>
      </c>
      <c r="AB1318" s="50" t="n"/>
      <c r="AC1318" s="50" t="n"/>
    </row>
    <row r="1319" ht="16" customHeight="1">
      <c r="A1319" s="28">
        <f>IF($B1319="","","N-"&amp;TEXT(ROW()-3,"0000"))</f>
        <v/>
      </c>
      <c r="B1319" s="47" t="n"/>
      <c r="C1319" s="48" t="n"/>
      <c r="D1319" s="48" t="n"/>
      <c r="E1319" s="28">
        <f>IF($C1319="","",IF($D1319="",IF($C1319="Interna","Sin guía (interna)","FALTA GUÍA"),IF(COUNTIFS(ENVIOS!$A$4:$A$3003,$D1319)=0,"NO EXISTE",IF(COUNTIFS(ENVIOS!$A$4:$A$3003,$D1319)&gt;1,"DUPLICADA","OK"))))</f>
        <v/>
      </c>
      <c r="F1319" s="28">
        <f>IF($D1319="","",IFERROR(INDEX(ENVIOS!$B$4:$B$3003,MATCH($D1319,ENVIOS!$A$4:$A$3003,0)),"—"))</f>
        <v/>
      </c>
      <c r="G1319" s="23">
        <f>IF($D1319="","",IFERROR(INDEX(ENVIOS!$D$4:$D$3003,MATCH($D1319,ENVIOS!$A$4:$A$3003,0)),"—"))</f>
        <v/>
      </c>
      <c r="H1319" s="23">
        <f>IF($D1319="","",IFERROR(INDEX(ENVIOS!$E$4:$E$3003,MATCH($D1319,ENVIOS!$A$4:$A$3003,0)),"—"))</f>
        <v/>
      </c>
      <c r="I1319" s="23">
        <f>IF($D1319="","",IFERROR(INDEX(ENVIOS!$F$4:$F$3003,MATCH($D1319,ENVIOS!$A$4:$A$3003,0)),"—"))</f>
        <v/>
      </c>
      <c r="J1319" s="23">
        <f>IF($D1319="","",IFERROR(INDEX(ENVIOS!$G$4:$G$3003,MATCH($D1319,ENVIOS!$A$4:$A$3003,0)),"—"))</f>
        <v/>
      </c>
      <c r="K1319" s="28">
        <f>IF($D1319="","",IFERROR(INDEX(ENVIOS!$H$4:$H$3003,MATCH($D1319,ENVIOS!$A$4:$A$3003,0)),"—"))</f>
        <v/>
      </c>
      <c r="L1319" s="49">
        <f>IF($D1319="","",IFERROR(INDEX(ENVIOS!$C$4:$C$3003,MATCH($D1319,ENVIOS!$A$4:$A$3003,0)),""))</f>
        <v/>
      </c>
      <c r="M1319" s="50" t="n"/>
      <c r="N1319" s="28">
        <f>IF($M1319="","",IFERROR(INDEX(CONFIG!$C$4:$C$63,MATCH($M1319,CONFIG!$A$4:$A$63,0)),"Media"))</f>
        <v/>
      </c>
      <c r="O1319" s="28">
        <f>IF($M1319="","",IF($C1319="Interna","NO",IFERROR(INDEX(CONFIG!$E$4:$E$63,MATCH($M1319,CONFIG!$A$4:$A$63,0)),"NO")))</f>
        <v/>
      </c>
      <c r="P1319" s="50" t="n"/>
      <c r="Q1319" s="50" t="n"/>
      <c r="R1319" s="28">
        <f>IF($Q1319="","",IFERROR(INDEX(CONFIG!$H$4:$H$63,MATCH($Q1319,CONFIG!$G$4:$G$63,0)),"Por definir"))</f>
        <v/>
      </c>
      <c r="S1319" s="28">
        <f>IF($Q1319="","",IFERROR(INDEX(CONFIG!$I$4:$I$63,MATCH($Q1319,CONFIG!$G$4:$G$63,0)),"Por definir"))</f>
        <v/>
      </c>
      <c r="T1319" s="51" t="n"/>
      <c r="U1319" s="52" t="n"/>
      <c r="V1319" s="50" t="n"/>
      <c r="W1319" s="50" t="n"/>
      <c r="X1319" s="49">
        <f>IF(OR($B1319="",$M1319=""),"",WORKDAY($B1319,IFERROR(INDEX(CONFIG!$D$4:$D$63,MATCH($M1319,CONFIG!$A$4:$A$63,0)),3)))</f>
        <v/>
      </c>
      <c r="Y1319" s="47" t="n"/>
      <c r="Z1319" s="24">
        <f>IF($B1319="","",IF($Y1319&lt;&gt;"",$Y1319-$B1319,TODAY()-$B1319))</f>
        <v/>
      </c>
      <c r="AA1319" s="28">
        <f>IF($B1319="","",IF(IFERROR(INDEX(CONFIG!$L$4:$L$63,MATCH($V1319,CONFIG!$K$4:$K$63,0)),"NO")="SÍ",IF(OR($Y1319="",$X1319=""),"Resuelta",IF($Y1319&gt;$X1319,"Resuelta tarde","Resuelta a tiempo")),IF($X1319="","Sin clasificar",IF(TODAY()&gt;$X1319,"Vencida",IF(TODAY()&gt;=$X1319-1,"Por vencer","En plazo")))))</f>
        <v/>
      </c>
      <c r="AB1319" s="50" t="n"/>
      <c r="AC1319" s="50" t="n"/>
    </row>
    <row r="1320" ht="16" customHeight="1">
      <c r="A1320" s="28">
        <f>IF($B1320="","","N-"&amp;TEXT(ROW()-3,"0000"))</f>
        <v/>
      </c>
      <c r="B1320" s="47" t="n"/>
      <c r="C1320" s="48" t="n"/>
      <c r="D1320" s="48" t="n"/>
      <c r="E1320" s="28">
        <f>IF($C1320="","",IF($D1320="",IF($C1320="Interna","Sin guía (interna)","FALTA GUÍA"),IF(COUNTIFS(ENVIOS!$A$4:$A$3003,$D1320)=0,"NO EXISTE",IF(COUNTIFS(ENVIOS!$A$4:$A$3003,$D1320)&gt;1,"DUPLICADA","OK"))))</f>
        <v/>
      </c>
      <c r="F1320" s="28">
        <f>IF($D1320="","",IFERROR(INDEX(ENVIOS!$B$4:$B$3003,MATCH($D1320,ENVIOS!$A$4:$A$3003,0)),"—"))</f>
        <v/>
      </c>
      <c r="G1320" s="23">
        <f>IF($D1320="","",IFERROR(INDEX(ENVIOS!$D$4:$D$3003,MATCH($D1320,ENVIOS!$A$4:$A$3003,0)),"—"))</f>
        <v/>
      </c>
      <c r="H1320" s="23">
        <f>IF($D1320="","",IFERROR(INDEX(ENVIOS!$E$4:$E$3003,MATCH($D1320,ENVIOS!$A$4:$A$3003,0)),"—"))</f>
        <v/>
      </c>
      <c r="I1320" s="23">
        <f>IF($D1320="","",IFERROR(INDEX(ENVIOS!$F$4:$F$3003,MATCH($D1320,ENVIOS!$A$4:$A$3003,0)),"—"))</f>
        <v/>
      </c>
      <c r="J1320" s="23">
        <f>IF($D1320="","",IFERROR(INDEX(ENVIOS!$G$4:$G$3003,MATCH($D1320,ENVIOS!$A$4:$A$3003,0)),"—"))</f>
        <v/>
      </c>
      <c r="K1320" s="28">
        <f>IF($D1320="","",IFERROR(INDEX(ENVIOS!$H$4:$H$3003,MATCH($D1320,ENVIOS!$A$4:$A$3003,0)),"—"))</f>
        <v/>
      </c>
      <c r="L1320" s="49">
        <f>IF($D1320="","",IFERROR(INDEX(ENVIOS!$C$4:$C$3003,MATCH($D1320,ENVIOS!$A$4:$A$3003,0)),""))</f>
        <v/>
      </c>
      <c r="M1320" s="50" t="n"/>
      <c r="N1320" s="28">
        <f>IF($M1320="","",IFERROR(INDEX(CONFIG!$C$4:$C$63,MATCH($M1320,CONFIG!$A$4:$A$63,0)),"Media"))</f>
        <v/>
      </c>
      <c r="O1320" s="28">
        <f>IF($M1320="","",IF($C1320="Interna","NO",IFERROR(INDEX(CONFIG!$E$4:$E$63,MATCH($M1320,CONFIG!$A$4:$A$63,0)),"NO")))</f>
        <v/>
      </c>
      <c r="P1320" s="50" t="n"/>
      <c r="Q1320" s="50" t="n"/>
      <c r="R1320" s="28">
        <f>IF($Q1320="","",IFERROR(INDEX(CONFIG!$H$4:$H$63,MATCH($Q1320,CONFIG!$G$4:$G$63,0)),"Por definir"))</f>
        <v/>
      </c>
      <c r="S1320" s="28">
        <f>IF($Q1320="","",IFERROR(INDEX(CONFIG!$I$4:$I$63,MATCH($Q1320,CONFIG!$G$4:$G$63,0)),"Por definir"))</f>
        <v/>
      </c>
      <c r="T1320" s="51" t="n"/>
      <c r="U1320" s="52" t="n"/>
      <c r="V1320" s="50" t="n"/>
      <c r="W1320" s="50" t="n"/>
      <c r="X1320" s="49">
        <f>IF(OR($B1320="",$M1320=""),"",WORKDAY($B1320,IFERROR(INDEX(CONFIG!$D$4:$D$63,MATCH($M1320,CONFIG!$A$4:$A$63,0)),3)))</f>
        <v/>
      </c>
      <c r="Y1320" s="47" t="n"/>
      <c r="Z1320" s="24">
        <f>IF($B1320="","",IF($Y1320&lt;&gt;"",$Y1320-$B1320,TODAY()-$B1320))</f>
        <v/>
      </c>
      <c r="AA1320" s="28">
        <f>IF($B1320="","",IF(IFERROR(INDEX(CONFIG!$L$4:$L$63,MATCH($V1320,CONFIG!$K$4:$K$63,0)),"NO")="SÍ",IF(OR($Y1320="",$X1320=""),"Resuelta",IF($Y1320&gt;$X1320,"Resuelta tarde","Resuelta a tiempo")),IF($X1320="","Sin clasificar",IF(TODAY()&gt;$X1320,"Vencida",IF(TODAY()&gt;=$X1320-1,"Por vencer","En plazo")))))</f>
        <v/>
      </c>
      <c r="AB1320" s="50" t="n"/>
      <c r="AC1320" s="50" t="n"/>
    </row>
    <row r="1321" ht="16" customHeight="1">
      <c r="A1321" s="28">
        <f>IF($B1321="","","N-"&amp;TEXT(ROW()-3,"0000"))</f>
        <v/>
      </c>
      <c r="B1321" s="47" t="n"/>
      <c r="C1321" s="48" t="n"/>
      <c r="D1321" s="48" t="n"/>
      <c r="E1321" s="28">
        <f>IF($C1321="","",IF($D1321="",IF($C1321="Interna","Sin guía (interna)","FALTA GUÍA"),IF(COUNTIFS(ENVIOS!$A$4:$A$3003,$D1321)=0,"NO EXISTE",IF(COUNTIFS(ENVIOS!$A$4:$A$3003,$D1321)&gt;1,"DUPLICADA","OK"))))</f>
        <v/>
      </c>
      <c r="F1321" s="28">
        <f>IF($D1321="","",IFERROR(INDEX(ENVIOS!$B$4:$B$3003,MATCH($D1321,ENVIOS!$A$4:$A$3003,0)),"—"))</f>
        <v/>
      </c>
      <c r="G1321" s="23">
        <f>IF($D1321="","",IFERROR(INDEX(ENVIOS!$D$4:$D$3003,MATCH($D1321,ENVIOS!$A$4:$A$3003,0)),"—"))</f>
        <v/>
      </c>
      <c r="H1321" s="23">
        <f>IF($D1321="","",IFERROR(INDEX(ENVIOS!$E$4:$E$3003,MATCH($D1321,ENVIOS!$A$4:$A$3003,0)),"—"))</f>
        <v/>
      </c>
      <c r="I1321" s="23">
        <f>IF($D1321="","",IFERROR(INDEX(ENVIOS!$F$4:$F$3003,MATCH($D1321,ENVIOS!$A$4:$A$3003,0)),"—"))</f>
        <v/>
      </c>
      <c r="J1321" s="23">
        <f>IF($D1321="","",IFERROR(INDEX(ENVIOS!$G$4:$G$3003,MATCH($D1321,ENVIOS!$A$4:$A$3003,0)),"—"))</f>
        <v/>
      </c>
      <c r="K1321" s="28">
        <f>IF($D1321="","",IFERROR(INDEX(ENVIOS!$H$4:$H$3003,MATCH($D1321,ENVIOS!$A$4:$A$3003,0)),"—"))</f>
        <v/>
      </c>
      <c r="L1321" s="49">
        <f>IF($D1321="","",IFERROR(INDEX(ENVIOS!$C$4:$C$3003,MATCH($D1321,ENVIOS!$A$4:$A$3003,0)),""))</f>
        <v/>
      </c>
      <c r="M1321" s="50" t="n"/>
      <c r="N1321" s="28">
        <f>IF($M1321="","",IFERROR(INDEX(CONFIG!$C$4:$C$63,MATCH($M1321,CONFIG!$A$4:$A$63,0)),"Media"))</f>
        <v/>
      </c>
      <c r="O1321" s="28">
        <f>IF($M1321="","",IF($C1321="Interna","NO",IFERROR(INDEX(CONFIG!$E$4:$E$63,MATCH($M1321,CONFIG!$A$4:$A$63,0)),"NO")))</f>
        <v/>
      </c>
      <c r="P1321" s="50" t="n"/>
      <c r="Q1321" s="50" t="n"/>
      <c r="R1321" s="28">
        <f>IF($Q1321="","",IFERROR(INDEX(CONFIG!$H$4:$H$63,MATCH($Q1321,CONFIG!$G$4:$G$63,0)),"Por definir"))</f>
        <v/>
      </c>
      <c r="S1321" s="28">
        <f>IF($Q1321="","",IFERROR(INDEX(CONFIG!$I$4:$I$63,MATCH($Q1321,CONFIG!$G$4:$G$63,0)),"Por definir"))</f>
        <v/>
      </c>
      <c r="T1321" s="51" t="n"/>
      <c r="U1321" s="52" t="n"/>
      <c r="V1321" s="50" t="n"/>
      <c r="W1321" s="50" t="n"/>
      <c r="X1321" s="49">
        <f>IF(OR($B1321="",$M1321=""),"",WORKDAY($B1321,IFERROR(INDEX(CONFIG!$D$4:$D$63,MATCH($M1321,CONFIG!$A$4:$A$63,0)),3)))</f>
        <v/>
      </c>
      <c r="Y1321" s="47" t="n"/>
      <c r="Z1321" s="24">
        <f>IF($B1321="","",IF($Y1321&lt;&gt;"",$Y1321-$B1321,TODAY()-$B1321))</f>
        <v/>
      </c>
      <c r="AA1321" s="28">
        <f>IF($B1321="","",IF(IFERROR(INDEX(CONFIG!$L$4:$L$63,MATCH($V1321,CONFIG!$K$4:$K$63,0)),"NO")="SÍ",IF(OR($Y1321="",$X1321=""),"Resuelta",IF($Y1321&gt;$X1321,"Resuelta tarde","Resuelta a tiempo")),IF($X1321="","Sin clasificar",IF(TODAY()&gt;$X1321,"Vencida",IF(TODAY()&gt;=$X1321-1,"Por vencer","En plazo")))))</f>
        <v/>
      </c>
      <c r="AB1321" s="50" t="n"/>
      <c r="AC1321" s="50" t="n"/>
    </row>
    <row r="1322" ht="16" customHeight="1">
      <c r="A1322" s="28">
        <f>IF($B1322="","","N-"&amp;TEXT(ROW()-3,"0000"))</f>
        <v/>
      </c>
      <c r="B1322" s="47" t="n"/>
      <c r="C1322" s="48" t="n"/>
      <c r="D1322" s="48" t="n"/>
      <c r="E1322" s="28">
        <f>IF($C1322="","",IF($D1322="",IF($C1322="Interna","Sin guía (interna)","FALTA GUÍA"),IF(COUNTIFS(ENVIOS!$A$4:$A$3003,$D1322)=0,"NO EXISTE",IF(COUNTIFS(ENVIOS!$A$4:$A$3003,$D1322)&gt;1,"DUPLICADA","OK"))))</f>
        <v/>
      </c>
      <c r="F1322" s="28">
        <f>IF($D1322="","",IFERROR(INDEX(ENVIOS!$B$4:$B$3003,MATCH($D1322,ENVIOS!$A$4:$A$3003,0)),"—"))</f>
        <v/>
      </c>
      <c r="G1322" s="23">
        <f>IF($D1322="","",IFERROR(INDEX(ENVIOS!$D$4:$D$3003,MATCH($D1322,ENVIOS!$A$4:$A$3003,0)),"—"))</f>
        <v/>
      </c>
      <c r="H1322" s="23">
        <f>IF($D1322="","",IFERROR(INDEX(ENVIOS!$E$4:$E$3003,MATCH($D1322,ENVIOS!$A$4:$A$3003,0)),"—"))</f>
        <v/>
      </c>
      <c r="I1322" s="23">
        <f>IF($D1322="","",IFERROR(INDEX(ENVIOS!$F$4:$F$3003,MATCH($D1322,ENVIOS!$A$4:$A$3003,0)),"—"))</f>
        <v/>
      </c>
      <c r="J1322" s="23">
        <f>IF($D1322="","",IFERROR(INDEX(ENVIOS!$G$4:$G$3003,MATCH($D1322,ENVIOS!$A$4:$A$3003,0)),"—"))</f>
        <v/>
      </c>
      <c r="K1322" s="28">
        <f>IF($D1322="","",IFERROR(INDEX(ENVIOS!$H$4:$H$3003,MATCH($D1322,ENVIOS!$A$4:$A$3003,0)),"—"))</f>
        <v/>
      </c>
      <c r="L1322" s="49">
        <f>IF($D1322="","",IFERROR(INDEX(ENVIOS!$C$4:$C$3003,MATCH($D1322,ENVIOS!$A$4:$A$3003,0)),""))</f>
        <v/>
      </c>
      <c r="M1322" s="50" t="n"/>
      <c r="N1322" s="28">
        <f>IF($M1322="","",IFERROR(INDEX(CONFIG!$C$4:$C$63,MATCH($M1322,CONFIG!$A$4:$A$63,0)),"Media"))</f>
        <v/>
      </c>
      <c r="O1322" s="28">
        <f>IF($M1322="","",IF($C1322="Interna","NO",IFERROR(INDEX(CONFIG!$E$4:$E$63,MATCH($M1322,CONFIG!$A$4:$A$63,0)),"NO")))</f>
        <v/>
      </c>
      <c r="P1322" s="50" t="n"/>
      <c r="Q1322" s="50" t="n"/>
      <c r="R1322" s="28">
        <f>IF($Q1322="","",IFERROR(INDEX(CONFIG!$H$4:$H$63,MATCH($Q1322,CONFIG!$G$4:$G$63,0)),"Por definir"))</f>
        <v/>
      </c>
      <c r="S1322" s="28">
        <f>IF($Q1322="","",IFERROR(INDEX(CONFIG!$I$4:$I$63,MATCH($Q1322,CONFIG!$G$4:$G$63,0)),"Por definir"))</f>
        <v/>
      </c>
      <c r="T1322" s="51" t="n"/>
      <c r="U1322" s="52" t="n"/>
      <c r="V1322" s="50" t="n"/>
      <c r="W1322" s="50" t="n"/>
      <c r="X1322" s="49">
        <f>IF(OR($B1322="",$M1322=""),"",WORKDAY($B1322,IFERROR(INDEX(CONFIG!$D$4:$D$63,MATCH($M1322,CONFIG!$A$4:$A$63,0)),3)))</f>
        <v/>
      </c>
      <c r="Y1322" s="47" t="n"/>
      <c r="Z1322" s="24">
        <f>IF($B1322="","",IF($Y1322&lt;&gt;"",$Y1322-$B1322,TODAY()-$B1322))</f>
        <v/>
      </c>
      <c r="AA1322" s="28">
        <f>IF($B1322="","",IF(IFERROR(INDEX(CONFIG!$L$4:$L$63,MATCH($V1322,CONFIG!$K$4:$K$63,0)),"NO")="SÍ",IF(OR($Y1322="",$X1322=""),"Resuelta",IF($Y1322&gt;$X1322,"Resuelta tarde","Resuelta a tiempo")),IF($X1322="","Sin clasificar",IF(TODAY()&gt;$X1322,"Vencida",IF(TODAY()&gt;=$X1322-1,"Por vencer","En plazo")))))</f>
        <v/>
      </c>
      <c r="AB1322" s="50" t="n"/>
      <c r="AC1322" s="50" t="n"/>
    </row>
    <row r="1323" ht="16" customHeight="1">
      <c r="A1323" s="28">
        <f>IF($B1323="","","N-"&amp;TEXT(ROW()-3,"0000"))</f>
        <v/>
      </c>
      <c r="B1323" s="47" t="n"/>
      <c r="C1323" s="48" t="n"/>
      <c r="D1323" s="48" t="n"/>
      <c r="E1323" s="28">
        <f>IF($C1323="","",IF($D1323="",IF($C1323="Interna","Sin guía (interna)","FALTA GUÍA"),IF(COUNTIFS(ENVIOS!$A$4:$A$3003,$D1323)=0,"NO EXISTE",IF(COUNTIFS(ENVIOS!$A$4:$A$3003,$D1323)&gt;1,"DUPLICADA","OK"))))</f>
        <v/>
      </c>
      <c r="F1323" s="28">
        <f>IF($D1323="","",IFERROR(INDEX(ENVIOS!$B$4:$B$3003,MATCH($D1323,ENVIOS!$A$4:$A$3003,0)),"—"))</f>
        <v/>
      </c>
      <c r="G1323" s="23">
        <f>IF($D1323="","",IFERROR(INDEX(ENVIOS!$D$4:$D$3003,MATCH($D1323,ENVIOS!$A$4:$A$3003,0)),"—"))</f>
        <v/>
      </c>
      <c r="H1323" s="23">
        <f>IF($D1323="","",IFERROR(INDEX(ENVIOS!$E$4:$E$3003,MATCH($D1323,ENVIOS!$A$4:$A$3003,0)),"—"))</f>
        <v/>
      </c>
      <c r="I1323" s="23">
        <f>IF($D1323="","",IFERROR(INDEX(ENVIOS!$F$4:$F$3003,MATCH($D1323,ENVIOS!$A$4:$A$3003,0)),"—"))</f>
        <v/>
      </c>
      <c r="J1323" s="23">
        <f>IF($D1323="","",IFERROR(INDEX(ENVIOS!$G$4:$G$3003,MATCH($D1323,ENVIOS!$A$4:$A$3003,0)),"—"))</f>
        <v/>
      </c>
      <c r="K1323" s="28">
        <f>IF($D1323="","",IFERROR(INDEX(ENVIOS!$H$4:$H$3003,MATCH($D1323,ENVIOS!$A$4:$A$3003,0)),"—"))</f>
        <v/>
      </c>
      <c r="L1323" s="49">
        <f>IF($D1323="","",IFERROR(INDEX(ENVIOS!$C$4:$C$3003,MATCH($D1323,ENVIOS!$A$4:$A$3003,0)),""))</f>
        <v/>
      </c>
      <c r="M1323" s="50" t="n"/>
      <c r="N1323" s="28">
        <f>IF($M1323="","",IFERROR(INDEX(CONFIG!$C$4:$C$63,MATCH($M1323,CONFIG!$A$4:$A$63,0)),"Media"))</f>
        <v/>
      </c>
      <c r="O1323" s="28">
        <f>IF($M1323="","",IF($C1323="Interna","NO",IFERROR(INDEX(CONFIG!$E$4:$E$63,MATCH($M1323,CONFIG!$A$4:$A$63,0)),"NO")))</f>
        <v/>
      </c>
      <c r="P1323" s="50" t="n"/>
      <c r="Q1323" s="50" t="n"/>
      <c r="R1323" s="28">
        <f>IF($Q1323="","",IFERROR(INDEX(CONFIG!$H$4:$H$63,MATCH($Q1323,CONFIG!$G$4:$G$63,0)),"Por definir"))</f>
        <v/>
      </c>
      <c r="S1323" s="28">
        <f>IF($Q1323="","",IFERROR(INDEX(CONFIG!$I$4:$I$63,MATCH($Q1323,CONFIG!$G$4:$G$63,0)),"Por definir"))</f>
        <v/>
      </c>
      <c r="T1323" s="51" t="n"/>
      <c r="U1323" s="52" t="n"/>
      <c r="V1323" s="50" t="n"/>
      <c r="W1323" s="50" t="n"/>
      <c r="X1323" s="49">
        <f>IF(OR($B1323="",$M1323=""),"",WORKDAY($B1323,IFERROR(INDEX(CONFIG!$D$4:$D$63,MATCH($M1323,CONFIG!$A$4:$A$63,0)),3)))</f>
        <v/>
      </c>
      <c r="Y1323" s="47" t="n"/>
      <c r="Z1323" s="24">
        <f>IF($B1323="","",IF($Y1323&lt;&gt;"",$Y1323-$B1323,TODAY()-$B1323))</f>
        <v/>
      </c>
      <c r="AA1323" s="28">
        <f>IF($B1323="","",IF(IFERROR(INDEX(CONFIG!$L$4:$L$63,MATCH($V1323,CONFIG!$K$4:$K$63,0)),"NO")="SÍ",IF(OR($Y1323="",$X1323=""),"Resuelta",IF($Y1323&gt;$X1323,"Resuelta tarde","Resuelta a tiempo")),IF($X1323="","Sin clasificar",IF(TODAY()&gt;$X1323,"Vencida",IF(TODAY()&gt;=$X1323-1,"Por vencer","En plazo")))))</f>
        <v/>
      </c>
      <c r="AB1323" s="50" t="n"/>
      <c r="AC1323" s="50" t="n"/>
    </row>
    <row r="1324" ht="16" customHeight="1">
      <c r="A1324" s="28">
        <f>IF($B1324="","","N-"&amp;TEXT(ROW()-3,"0000"))</f>
        <v/>
      </c>
      <c r="B1324" s="47" t="n"/>
      <c r="C1324" s="48" t="n"/>
      <c r="D1324" s="48" t="n"/>
      <c r="E1324" s="28">
        <f>IF($C1324="","",IF($D1324="",IF($C1324="Interna","Sin guía (interna)","FALTA GUÍA"),IF(COUNTIFS(ENVIOS!$A$4:$A$3003,$D1324)=0,"NO EXISTE",IF(COUNTIFS(ENVIOS!$A$4:$A$3003,$D1324)&gt;1,"DUPLICADA","OK"))))</f>
        <v/>
      </c>
      <c r="F1324" s="28">
        <f>IF($D1324="","",IFERROR(INDEX(ENVIOS!$B$4:$B$3003,MATCH($D1324,ENVIOS!$A$4:$A$3003,0)),"—"))</f>
        <v/>
      </c>
      <c r="G1324" s="23">
        <f>IF($D1324="","",IFERROR(INDEX(ENVIOS!$D$4:$D$3003,MATCH($D1324,ENVIOS!$A$4:$A$3003,0)),"—"))</f>
        <v/>
      </c>
      <c r="H1324" s="23">
        <f>IF($D1324="","",IFERROR(INDEX(ENVIOS!$E$4:$E$3003,MATCH($D1324,ENVIOS!$A$4:$A$3003,0)),"—"))</f>
        <v/>
      </c>
      <c r="I1324" s="23">
        <f>IF($D1324="","",IFERROR(INDEX(ENVIOS!$F$4:$F$3003,MATCH($D1324,ENVIOS!$A$4:$A$3003,0)),"—"))</f>
        <v/>
      </c>
      <c r="J1324" s="23">
        <f>IF($D1324="","",IFERROR(INDEX(ENVIOS!$G$4:$G$3003,MATCH($D1324,ENVIOS!$A$4:$A$3003,0)),"—"))</f>
        <v/>
      </c>
      <c r="K1324" s="28">
        <f>IF($D1324="","",IFERROR(INDEX(ENVIOS!$H$4:$H$3003,MATCH($D1324,ENVIOS!$A$4:$A$3003,0)),"—"))</f>
        <v/>
      </c>
      <c r="L1324" s="49">
        <f>IF($D1324="","",IFERROR(INDEX(ENVIOS!$C$4:$C$3003,MATCH($D1324,ENVIOS!$A$4:$A$3003,0)),""))</f>
        <v/>
      </c>
      <c r="M1324" s="50" t="n"/>
      <c r="N1324" s="28">
        <f>IF($M1324="","",IFERROR(INDEX(CONFIG!$C$4:$C$63,MATCH($M1324,CONFIG!$A$4:$A$63,0)),"Media"))</f>
        <v/>
      </c>
      <c r="O1324" s="28">
        <f>IF($M1324="","",IF($C1324="Interna","NO",IFERROR(INDEX(CONFIG!$E$4:$E$63,MATCH($M1324,CONFIG!$A$4:$A$63,0)),"NO")))</f>
        <v/>
      </c>
      <c r="P1324" s="50" t="n"/>
      <c r="Q1324" s="50" t="n"/>
      <c r="R1324" s="28">
        <f>IF($Q1324="","",IFERROR(INDEX(CONFIG!$H$4:$H$63,MATCH($Q1324,CONFIG!$G$4:$G$63,0)),"Por definir"))</f>
        <v/>
      </c>
      <c r="S1324" s="28">
        <f>IF($Q1324="","",IFERROR(INDEX(CONFIG!$I$4:$I$63,MATCH($Q1324,CONFIG!$G$4:$G$63,0)),"Por definir"))</f>
        <v/>
      </c>
      <c r="T1324" s="51" t="n"/>
      <c r="U1324" s="52" t="n"/>
      <c r="V1324" s="50" t="n"/>
      <c r="W1324" s="50" t="n"/>
      <c r="X1324" s="49">
        <f>IF(OR($B1324="",$M1324=""),"",WORKDAY($B1324,IFERROR(INDEX(CONFIG!$D$4:$D$63,MATCH($M1324,CONFIG!$A$4:$A$63,0)),3)))</f>
        <v/>
      </c>
      <c r="Y1324" s="47" t="n"/>
      <c r="Z1324" s="24">
        <f>IF($B1324="","",IF($Y1324&lt;&gt;"",$Y1324-$B1324,TODAY()-$B1324))</f>
        <v/>
      </c>
      <c r="AA1324" s="28">
        <f>IF($B1324="","",IF(IFERROR(INDEX(CONFIG!$L$4:$L$63,MATCH($V1324,CONFIG!$K$4:$K$63,0)),"NO")="SÍ",IF(OR($Y1324="",$X1324=""),"Resuelta",IF($Y1324&gt;$X1324,"Resuelta tarde","Resuelta a tiempo")),IF($X1324="","Sin clasificar",IF(TODAY()&gt;$X1324,"Vencida",IF(TODAY()&gt;=$X1324-1,"Por vencer","En plazo")))))</f>
        <v/>
      </c>
      <c r="AB1324" s="50" t="n"/>
      <c r="AC1324" s="50" t="n"/>
    </row>
    <row r="1325" ht="16" customHeight="1">
      <c r="A1325" s="28">
        <f>IF($B1325="","","N-"&amp;TEXT(ROW()-3,"0000"))</f>
        <v/>
      </c>
      <c r="B1325" s="47" t="n"/>
      <c r="C1325" s="48" t="n"/>
      <c r="D1325" s="48" t="n"/>
      <c r="E1325" s="28">
        <f>IF($C1325="","",IF($D1325="",IF($C1325="Interna","Sin guía (interna)","FALTA GUÍA"),IF(COUNTIFS(ENVIOS!$A$4:$A$3003,$D1325)=0,"NO EXISTE",IF(COUNTIFS(ENVIOS!$A$4:$A$3003,$D1325)&gt;1,"DUPLICADA","OK"))))</f>
        <v/>
      </c>
      <c r="F1325" s="28">
        <f>IF($D1325="","",IFERROR(INDEX(ENVIOS!$B$4:$B$3003,MATCH($D1325,ENVIOS!$A$4:$A$3003,0)),"—"))</f>
        <v/>
      </c>
      <c r="G1325" s="23">
        <f>IF($D1325="","",IFERROR(INDEX(ENVIOS!$D$4:$D$3003,MATCH($D1325,ENVIOS!$A$4:$A$3003,0)),"—"))</f>
        <v/>
      </c>
      <c r="H1325" s="23">
        <f>IF($D1325="","",IFERROR(INDEX(ENVIOS!$E$4:$E$3003,MATCH($D1325,ENVIOS!$A$4:$A$3003,0)),"—"))</f>
        <v/>
      </c>
      <c r="I1325" s="23">
        <f>IF($D1325="","",IFERROR(INDEX(ENVIOS!$F$4:$F$3003,MATCH($D1325,ENVIOS!$A$4:$A$3003,0)),"—"))</f>
        <v/>
      </c>
      <c r="J1325" s="23">
        <f>IF($D1325="","",IFERROR(INDEX(ENVIOS!$G$4:$G$3003,MATCH($D1325,ENVIOS!$A$4:$A$3003,0)),"—"))</f>
        <v/>
      </c>
      <c r="K1325" s="28">
        <f>IF($D1325="","",IFERROR(INDEX(ENVIOS!$H$4:$H$3003,MATCH($D1325,ENVIOS!$A$4:$A$3003,0)),"—"))</f>
        <v/>
      </c>
      <c r="L1325" s="49">
        <f>IF($D1325="","",IFERROR(INDEX(ENVIOS!$C$4:$C$3003,MATCH($D1325,ENVIOS!$A$4:$A$3003,0)),""))</f>
        <v/>
      </c>
      <c r="M1325" s="50" t="n"/>
      <c r="N1325" s="28">
        <f>IF($M1325="","",IFERROR(INDEX(CONFIG!$C$4:$C$63,MATCH($M1325,CONFIG!$A$4:$A$63,0)),"Media"))</f>
        <v/>
      </c>
      <c r="O1325" s="28">
        <f>IF($M1325="","",IF($C1325="Interna","NO",IFERROR(INDEX(CONFIG!$E$4:$E$63,MATCH($M1325,CONFIG!$A$4:$A$63,0)),"NO")))</f>
        <v/>
      </c>
      <c r="P1325" s="50" t="n"/>
      <c r="Q1325" s="50" t="n"/>
      <c r="R1325" s="28">
        <f>IF($Q1325="","",IFERROR(INDEX(CONFIG!$H$4:$H$63,MATCH($Q1325,CONFIG!$G$4:$G$63,0)),"Por definir"))</f>
        <v/>
      </c>
      <c r="S1325" s="28">
        <f>IF($Q1325="","",IFERROR(INDEX(CONFIG!$I$4:$I$63,MATCH($Q1325,CONFIG!$G$4:$G$63,0)),"Por definir"))</f>
        <v/>
      </c>
      <c r="T1325" s="51" t="n"/>
      <c r="U1325" s="52" t="n"/>
      <c r="V1325" s="50" t="n"/>
      <c r="W1325" s="50" t="n"/>
      <c r="X1325" s="49">
        <f>IF(OR($B1325="",$M1325=""),"",WORKDAY($B1325,IFERROR(INDEX(CONFIG!$D$4:$D$63,MATCH($M1325,CONFIG!$A$4:$A$63,0)),3)))</f>
        <v/>
      </c>
      <c r="Y1325" s="47" t="n"/>
      <c r="Z1325" s="24">
        <f>IF($B1325="","",IF($Y1325&lt;&gt;"",$Y1325-$B1325,TODAY()-$B1325))</f>
        <v/>
      </c>
      <c r="AA1325" s="28">
        <f>IF($B1325="","",IF(IFERROR(INDEX(CONFIG!$L$4:$L$63,MATCH($V1325,CONFIG!$K$4:$K$63,0)),"NO")="SÍ",IF(OR($Y1325="",$X1325=""),"Resuelta",IF($Y1325&gt;$X1325,"Resuelta tarde","Resuelta a tiempo")),IF($X1325="","Sin clasificar",IF(TODAY()&gt;$X1325,"Vencida",IF(TODAY()&gt;=$X1325-1,"Por vencer","En plazo")))))</f>
        <v/>
      </c>
      <c r="AB1325" s="50" t="n"/>
      <c r="AC1325" s="50" t="n"/>
    </row>
    <row r="1326" ht="16" customHeight="1">
      <c r="A1326" s="28">
        <f>IF($B1326="","","N-"&amp;TEXT(ROW()-3,"0000"))</f>
        <v/>
      </c>
      <c r="B1326" s="47" t="n"/>
      <c r="C1326" s="48" t="n"/>
      <c r="D1326" s="48" t="n"/>
      <c r="E1326" s="28">
        <f>IF($C1326="","",IF($D1326="",IF($C1326="Interna","Sin guía (interna)","FALTA GUÍA"),IF(COUNTIFS(ENVIOS!$A$4:$A$3003,$D1326)=0,"NO EXISTE",IF(COUNTIFS(ENVIOS!$A$4:$A$3003,$D1326)&gt;1,"DUPLICADA","OK"))))</f>
        <v/>
      </c>
      <c r="F1326" s="28">
        <f>IF($D1326="","",IFERROR(INDEX(ENVIOS!$B$4:$B$3003,MATCH($D1326,ENVIOS!$A$4:$A$3003,0)),"—"))</f>
        <v/>
      </c>
      <c r="G1326" s="23">
        <f>IF($D1326="","",IFERROR(INDEX(ENVIOS!$D$4:$D$3003,MATCH($D1326,ENVIOS!$A$4:$A$3003,0)),"—"))</f>
        <v/>
      </c>
      <c r="H1326" s="23">
        <f>IF($D1326="","",IFERROR(INDEX(ENVIOS!$E$4:$E$3003,MATCH($D1326,ENVIOS!$A$4:$A$3003,0)),"—"))</f>
        <v/>
      </c>
      <c r="I1326" s="23">
        <f>IF($D1326="","",IFERROR(INDEX(ENVIOS!$F$4:$F$3003,MATCH($D1326,ENVIOS!$A$4:$A$3003,0)),"—"))</f>
        <v/>
      </c>
      <c r="J1326" s="23">
        <f>IF($D1326="","",IFERROR(INDEX(ENVIOS!$G$4:$G$3003,MATCH($D1326,ENVIOS!$A$4:$A$3003,0)),"—"))</f>
        <v/>
      </c>
      <c r="K1326" s="28">
        <f>IF($D1326="","",IFERROR(INDEX(ENVIOS!$H$4:$H$3003,MATCH($D1326,ENVIOS!$A$4:$A$3003,0)),"—"))</f>
        <v/>
      </c>
      <c r="L1326" s="49">
        <f>IF($D1326="","",IFERROR(INDEX(ENVIOS!$C$4:$C$3003,MATCH($D1326,ENVIOS!$A$4:$A$3003,0)),""))</f>
        <v/>
      </c>
      <c r="M1326" s="50" t="n"/>
      <c r="N1326" s="28">
        <f>IF($M1326="","",IFERROR(INDEX(CONFIG!$C$4:$C$63,MATCH($M1326,CONFIG!$A$4:$A$63,0)),"Media"))</f>
        <v/>
      </c>
      <c r="O1326" s="28">
        <f>IF($M1326="","",IF($C1326="Interna","NO",IFERROR(INDEX(CONFIG!$E$4:$E$63,MATCH($M1326,CONFIG!$A$4:$A$63,0)),"NO")))</f>
        <v/>
      </c>
      <c r="P1326" s="50" t="n"/>
      <c r="Q1326" s="50" t="n"/>
      <c r="R1326" s="28">
        <f>IF($Q1326="","",IFERROR(INDEX(CONFIG!$H$4:$H$63,MATCH($Q1326,CONFIG!$G$4:$G$63,0)),"Por definir"))</f>
        <v/>
      </c>
      <c r="S1326" s="28">
        <f>IF($Q1326="","",IFERROR(INDEX(CONFIG!$I$4:$I$63,MATCH($Q1326,CONFIG!$G$4:$G$63,0)),"Por definir"))</f>
        <v/>
      </c>
      <c r="T1326" s="51" t="n"/>
      <c r="U1326" s="52" t="n"/>
      <c r="V1326" s="50" t="n"/>
      <c r="W1326" s="50" t="n"/>
      <c r="X1326" s="49">
        <f>IF(OR($B1326="",$M1326=""),"",WORKDAY($B1326,IFERROR(INDEX(CONFIG!$D$4:$D$63,MATCH($M1326,CONFIG!$A$4:$A$63,0)),3)))</f>
        <v/>
      </c>
      <c r="Y1326" s="47" t="n"/>
      <c r="Z1326" s="24">
        <f>IF($B1326="","",IF($Y1326&lt;&gt;"",$Y1326-$B1326,TODAY()-$B1326))</f>
        <v/>
      </c>
      <c r="AA1326" s="28">
        <f>IF($B1326="","",IF(IFERROR(INDEX(CONFIG!$L$4:$L$63,MATCH($V1326,CONFIG!$K$4:$K$63,0)),"NO")="SÍ",IF(OR($Y1326="",$X1326=""),"Resuelta",IF($Y1326&gt;$X1326,"Resuelta tarde","Resuelta a tiempo")),IF($X1326="","Sin clasificar",IF(TODAY()&gt;$X1326,"Vencida",IF(TODAY()&gt;=$X1326-1,"Por vencer","En plazo")))))</f>
        <v/>
      </c>
      <c r="AB1326" s="50" t="n"/>
      <c r="AC1326" s="50" t="n"/>
    </row>
    <row r="1327" ht="16" customHeight="1">
      <c r="A1327" s="28">
        <f>IF($B1327="","","N-"&amp;TEXT(ROW()-3,"0000"))</f>
        <v/>
      </c>
      <c r="B1327" s="47" t="n"/>
      <c r="C1327" s="48" t="n"/>
      <c r="D1327" s="48" t="n"/>
      <c r="E1327" s="28">
        <f>IF($C1327="","",IF($D1327="",IF($C1327="Interna","Sin guía (interna)","FALTA GUÍA"),IF(COUNTIFS(ENVIOS!$A$4:$A$3003,$D1327)=0,"NO EXISTE",IF(COUNTIFS(ENVIOS!$A$4:$A$3003,$D1327)&gt;1,"DUPLICADA","OK"))))</f>
        <v/>
      </c>
      <c r="F1327" s="28">
        <f>IF($D1327="","",IFERROR(INDEX(ENVIOS!$B$4:$B$3003,MATCH($D1327,ENVIOS!$A$4:$A$3003,0)),"—"))</f>
        <v/>
      </c>
      <c r="G1327" s="23">
        <f>IF($D1327="","",IFERROR(INDEX(ENVIOS!$D$4:$D$3003,MATCH($D1327,ENVIOS!$A$4:$A$3003,0)),"—"))</f>
        <v/>
      </c>
      <c r="H1327" s="23">
        <f>IF($D1327="","",IFERROR(INDEX(ENVIOS!$E$4:$E$3003,MATCH($D1327,ENVIOS!$A$4:$A$3003,0)),"—"))</f>
        <v/>
      </c>
      <c r="I1327" s="23">
        <f>IF($D1327="","",IFERROR(INDEX(ENVIOS!$F$4:$F$3003,MATCH($D1327,ENVIOS!$A$4:$A$3003,0)),"—"))</f>
        <v/>
      </c>
      <c r="J1327" s="23">
        <f>IF($D1327="","",IFERROR(INDEX(ENVIOS!$G$4:$G$3003,MATCH($D1327,ENVIOS!$A$4:$A$3003,0)),"—"))</f>
        <v/>
      </c>
      <c r="K1327" s="28">
        <f>IF($D1327="","",IFERROR(INDEX(ENVIOS!$H$4:$H$3003,MATCH($D1327,ENVIOS!$A$4:$A$3003,0)),"—"))</f>
        <v/>
      </c>
      <c r="L1327" s="49">
        <f>IF($D1327="","",IFERROR(INDEX(ENVIOS!$C$4:$C$3003,MATCH($D1327,ENVIOS!$A$4:$A$3003,0)),""))</f>
        <v/>
      </c>
      <c r="M1327" s="50" t="n"/>
      <c r="N1327" s="28">
        <f>IF($M1327="","",IFERROR(INDEX(CONFIG!$C$4:$C$63,MATCH($M1327,CONFIG!$A$4:$A$63,0)),"Media"))</f>
        <v/>
      </c>
      <c r="O1327" s="28">
        <f>IF($M1327="","",IF($C1327="Interna","NO",IFERROR(INDEX(CONFIG!$E$4:$E$63,MATCH($M1327,CONFIG!$A$4:$A$63,0)),"NO")))</f>
        <v/>
      </c>
      <c r="P1327" s="50" t="n"/>
      <c r="Q1327" s="50" t="n"/>
      <c r="R1327" s="28">
        <f>IF($Q1327="","",IFERROR(INDEX(CONFIG!$H$4:$H$63,MATCH($Q1327,CONFIG!$G$4:$G$63,0)),"Por definir"))</f>
        <v/>
      </c>
      <c r="S1327" s="28">
        <f>IF($Q1327="","",IFERROR(INDEX(CONFIG!$I$4:$I$63,MATCH($Q1327,CONFIG!$G$4:$G$63,0)),"Por definir"))</f>
        <v/>
      </c>
      <c r="T1327" s="51" t="n"/>
      <c r="U1327" s="52" t="n"/>
      <c r="V1327" s="50" t="n"/>
      <c r="W1327" s="50" t="n"/>
      <c r="X1327" s="49">
        <f>IF(OR($B1327="",$M1327=""),"",WORKDAY($B1327,IFERROR(INDEX(CONFIG!$D$4:$D$63,MATCH($M1327,CONFIG!$A$4:$A$63,0)),3)))</f>
        <v/>
      </c>
      <c r="Y1327" s="47" t="n"/>
      <c r="Z1327" s="24">
        <f>IF($B1327="","",IF($Y1327&lt;&gt;"",$Y1327-$B1327,TODAY()-$B1327))</f>
        <v/>
      </c>
      <c r="AA1327" s="28">
        <f>IF($B1327="","",IF(IFERROR(INDEX(CONFIG!$L$4:$L$63,MATCH($V1327,CONFIG!$K$4:$K$63,0)),"NO")="SÍ",IF(OR($Y1327="",$X1327=""),"Resuelta",IF($Y1327&gt;$X1327,"Resuelta tarde","Resuelta a tiempo")),IF($X1327="","Sin clasificar",IF(TODAY()&gt;$X1327,"Vencida",IF(TODAY()&gt;=$X1327-1,"Por vencer","En plazo")))))</f>
        <v/>
      </c>
      <c r="AB1327" s="50" t="n"/>
      <c r="AC1327" s="50" t="n"/>
    </row>
    <row r="1328" ht="16" customHeight="1">
      <c r="A1328" s="28">
        <f>IF($B1328="","","N-"&amp;TEXT(ROW()-3,"0000"))</f>
        <v/>
      </c>
      <c r="B1328" s="47" t="n"/>
      <c r="C1328" s="48" t="n"/>
      <c r="D1328" s="48" t="n"/>
      <c r="E1328" s="28">
        <f>IF($C1328="","",IF($D1328="",IF($C1328="Interna","Sin guía (interna)","FALTA GUÍA"),IF(COUNTIFS(ENVIOS!$A$4:$A$3003,$D1328)=0,"NO EXISTE",IF(COUNTIFS(ENVIOS!$A$4:$A$3003,$D1328)&gt;1,"DUPLICADA","OK"))))</f>
        <v/>
      </c>
      <c r="F1328" s="28">
        <f>IF($D1328="","",IFERROR(INDEX(ENVIOS!$B$4:$B$3003,MATCH($D1328,ENVIOS!$A$4:$A$3003,0)),"—"))</f>
        <v/>
      </c>
      <c r="G1328" s="23">
        <f>IF($D1328="","",IFERROR(INDEX(ENVIOS!$D$4:$D$3003,MATCH($D1328,ENVIOS!$A$4:$A$3003,0)),"—"))</f>
        <v/>
      </c>
      <c r="H1328" s="23">
        <f>IF($D1328="","",IFERROR(INDEX(ENVIOS!$E$4:$E$3003,MATCH($D1328,ENVIOS!$A$4:$A$3003,0)),"—"))</f>
        <v/>
      </c>
      <c r="I1328" s="23">
        <f>IF($D1328="","",IFERROR(INDEX(ENVIOS!$F$4:$F$3003,MATCH($D1328,ENVIOS!$A$4:$A$3003,0)),"—"))</f>
        <v/>
      </c>
      <c r="J1328" s="23">
        <f>IF($D1328="","",IFERROR(INDEX(ENVIOS!$G$4:$G$3003,MATCH($D1328,ENVIOS!$A$4:$A$3003,0)),"—"))</f>
        <v/>
      </c>
      <c r="K1328" s="28">
        <f>IF($D1328="","",IFERROR(INDEX(ENVIOS!$H$4:$H$3003,MATCH($D1328,ENVIOS!$A$4:$A$3003,0)),"—"))</f>
        <v/>
      </c>
      <c r="L1328" s="49">
        <f>IF($D1328="","",IFERROR(INDEX(ENVIOS!$C$4:$C$3003,MATCH($D1328,ENVIOS!$A$4:$A$3003,0)),""))</f>
        <v/>
      </c>
      <c r="M1328" s="50" t="n"/>
      <c r="N1328" s="28">
        <f>IF($M1328="","",IFERROR(INDEX(CONFIG!$C$4:$C$63,MATCH($M1328,CONFIG!$A$4:$A$63,0)),"Media"))</f>
        <v/>
      </c>
      <c r="O1328" s="28">
        <f>IF($M1328="","",IF($C1328="Interna","NO",IFERROR(INDEX(CONFIG!$E$4:$E$63,MATCH($M1328,CONFIG!$A$4:$A$63,0)),"NO")))</f>
        <v/>
      </c>
      <c r="P1328" s="50" t="n"/>
      <c r="Q1328" s="50" t="n"/>
      <c r="R1328" s="28">
        <f>IF($Q1328="","",IFERROR(INDEX(CONFIG!$H$4:$H$63,MATCH($Q1328,CONFIG!$G$4:$G$63,0)),"Por definir"))</f>
        <v/>
      </c>
      <c r="S1328" s="28">
        <f>IF($Q1328="","",IFERROR(INDEX(CONFIG!$I$4:$I$63,MATCH($Q1328,CONFIG!$G$4:$G$63,0)),"Por definir"))</f>
        <v/>
      </c>
      <c r="T1328" s="51" t="n"/>
      <c r="U1328" s="52" t="n"/>
      <c r="V1328" s="50" t="n"/>
      <c r="W1328" s="50" t="n"/>
      <c r="X1328" s="49">
        <f>IF(OR($B1328="",$M1328=""),"",WORKDAY($B1328,IFERROR(INDEX(CONFIG!$D$4:$D$63,MATCH($M1328,CONFIG!$A$4:$A$63,0)),3)))</f>
        <v/>
      </c>
      <c r="Y1328" s="47" t="n"/>
      <c r="Z1328" s="24">
        <f>IF($B1328="","",IF($Y1328&lt;&gt;"",$Y1328-$B1328,TODAY()-$B1328))</f>
        <v/>
      </c>
      <c r="AA1328" s="28">
        <f>IF($B1328="","",IF(IFERROR(INDEX(CONFIG!$L$4:$L$63,MATCH($V1328,CONFIG!$K$4:$K$63,0)),"NO")="SÍ",IF(OR($Y1328="",$X1328=""),"Resuelta",IF($Y1328&gt;$X1328,"Resuelta tarde","Resuelta a tiempo")),IF($X1328="","Sin clasificar",IF(TODAY()&gt;$X1328,"Vencida",IF(TODAY()&gt;=$X1328-1,"Por vencer","En plazo")))))</f>
        <v/>
      </c>
      <c r="AB1328" s="50" t="n"/>
      <c r="AC1328" s="50" t="n"/>
    </row>
    <row r="1329" ht="16" customHeight="1">
      <c r="A1329" s="28">
        <f>IF($B1329="","","N-"&amp;TEXT(ROW()-3,"0000"))</f>
        <v/>
      </c>
      <c r="B1329" s="47" t="n"/>
      <c r="C1329" s="48" t="n"/>
      <c r="D1329" s="48" t="n"/>
      <c r="E1329" s="28">
        <f>IF($C1329="","",IF($D1329="",IF($C1329="Interna","Sin guía (interna)","FALTA GUÍA"),IF(COUNTIFS(ENVIOS!$A$4:$A$3003,$D1329)=0,"NO EXISTE",IF(COUNTIFS(ENVIOS!$A$4:$A$3003,$D1329)&gt;1,"DUPLICADA","OK"))))</f>
        <v/>
      </c>
      <c r="F1329" s="28">
        <f>IF($D1329="","",IFERROR(INDEX(ENVIOS!$B$4:$B$3003,MATCH($D1329,ENVIOS!$A$4:$A$3003,0)),"—"))</f>
        <v/>
      </c>
      <c r="G1329" s="23">
        <f>IF($D1329="","",IFERROR(INDEX(ENVIOS!$D$4:$D$3003,MATCH($D1329,ENVIOS!$A$4:$A$3003,0)),"—"))</f>
        <v/>
      </c>
      <c r="H1329" s="23">
        <f>IF($D1329="","",IFERROR(INDEX(ENVIOS!$E$4:$E$3003,MATCH($D1329,ENVIOS!$A$4:$A$3003,0)),"—"))</f>
        <v/>
      </c>
      <c r="I1329" s="23">
        <f>IF($D1329="","",IFERROR(INDEX(ENVIOS!$F$4:$F$3003,MATCH($D1329,ENVIOS!$A$4:$A$3003,0)),"—"))</f>
        <v/>
      </c>
      <c r="J1329" s="23">
        <f>IF($D1329="","",IFERROR(INDEX(ENVIOS!$G$4:$G$3003,MATCH($D1329,ENVIOS!$A$4:$A$3003,0)),"—"))</f>
        <v/>
      </c>
      <c r="K1329" s="28">
        <f>IF($D1329="","",IFERROR(INDEX(ENVIOS!$H$4:$H$3003,MATCH($D1329,ENVIOS!$A$4:$A$3003,0)),"—"))</f>
        <v/>
      </c>
      <c r="L1329" s="49">
        <f>IF($D1329="","",IFERROR(INDEX(ENVIOS!$C$4:$C$3003,MATCH($D1329,ENVIOS!$A$4:$A$3003,0)),""))</f>
        <v/>
      </c>
      <c r="M1329" s="50" t="n"/>
      <c r="N1329" s="28">
        <f>IF($M1329="","",IFERROR(INDEX(CONFIG!$C$4:$C$63,MATCH($M1329,CONFIG!$A$4:$A$63,0)),"Media"))</f>
        <v/>
      </c>
      <c r="O1329" s="28">
        <f>IF($M1329="","",IF($C1329="Interna","NO",IFERROR(INDEX(CONFIG!$E$4:$E$63,MATCH($M1329,CONFIG!$A$4:$A$63,0)),"NO")))</f>
        <v/>
      </c>
      <c r="P1329" s="50" t="n"/>
      <c r="Q1329" s="50" t="n"/>
      <c r="R1329" s="28">
        <f>IF($Q1329="","",IFERROR(INDEX(CONFIG!$H$4:$H$63,MATCH($Q1329,CONFIG!$G$4:$G$63,0)),"Por definir"))</f>
        <v/>
      </c>
      <c r="S1329" s="28">
        <f>IF($Q1329="","",IFERROR(INDEX(CONFIG!$I$4:$I$63,MATCH($Q1329,CONFIG!$G$4:$G$63,0)),"Por definir"))</f>
        <v/>
      </c>
      <c r="T1329" s="51" t="n"/>
      <c r="U1329" s="52" t="n"/>
      <c r="V1329" s="50" t="n"/>
      <c r="W1329" s="50" t="n"/>
      <c r="X1329" s="49">
        <f>IF(OR($B1329="",$M1329=""),"",WORKDAY($B1329,IFERROR(INDEX(CONFIG!$D$4:$D$63,MATCH($M1329,CONFIG!$A$4:$A$63,0)),3)))</f>
        <v/>
      </c>
      <c r="Y1329" s="47" t="n"/>
      <c r="Z1329" s="24">
        <f>IF($B1329="","",IF($Y1329&lt;&gt;"",$Y1329-$B1329,TODAY()-$B1329))</f>
        <v/>
      </c>
      <c r="AA1329" s="28">
        <f>IF($B1329="","",IF(IFERROR(INDEX(CONFIG!$L$4:$L$63,MATCH($V1329,CONFIG!$K$4:$K$63,0)),"NO")="SÍ",IF(OR($Y1329="",$X1329=""),"Resuelta",IF($Y1329&gt;$X1329,"Resuelta tarde","Resuelta a tiempo")),IF($X1329="","Sin clasificar",IF(TODAY()&gt;$X1329,"Vencida",IF(TODAY()&gt;=$X1329-1,"Por vencer","En plazo")))))</f>
        <v/>
      </c>
      <c r="AB1329" s="50" t="n"/>
      <c r="AC1329" s="50" t="n"/>
    </row>
    <row r="1330" ht="16" customHeight="1">
      <c r="A1330" s="28">
        <f>IF($B1330="","","N-"&amp;TEXT(ROW()-3,"0000"))</f>
        <v/>
      </c>
      <c r="B1330" s="47" t="n"/>
      <c r="C1330" s="48" t="n"/>
      <c r="D1330" s="48" t="n"/>
      <c r="E1330" s="28">
        <f>IF($C1330="","",IF($D1330="",IF($C1330="Interna","Sin guía (interna)","FALTA GUÍA"),IF(COUNTIFS(ENVIOS!$A$4:$A$3003,$D1330)=0,"NO EXISTE",IF(COUNTIFS(ENVIOS!$A$4:$A$3003,$D1330)&gt;1,"DUPLICADA","OK"))))</f>
        <v/>
      </c>
      <c r="F1330" s="28">
        <f>IF($D1330="","",IFERROR(INDEX(ENVIOS!$B$4:$B$3003,MATCH($D1330,ENVIOS!$A$4:$A$3003,0)),"—"))</f>
        <v/>
      </c>
      <c r="G1330" s="23">
        <f>IF($D1330="","",IFERROR(INDEX(ENVIOS!$D$4:$D$3003,MATCH($D1330,ENVIOS!$A$4:$A$3003,0)),"—"))</f>
        <v/>
      </c>
      <c r="H1330" s="23">
        <f>IF($D1330="","",IFERROR(INDEX(ENVIOS!$E$4:$E$3003,MATCH($D1330,ENVIOS!$A$4:$A$3003,0)),"—"))</f>
        <v/>
      </c>
      <c r="I1330" s="23">
        <f>IF($D1330="","",IFERROR(INDEX(ENVIOS!$F$4:$F$3003,MATCH($D1330,ENVIOS!$A$4:$A$3003,0)),"—"))</f>
        <v/>
      </c>
      <c r="J1330" s="23">
        <f>IF($D1330="","",IFERROR(INDEX(ENVIOS!$G$4:$G$3003,MATCH($D1330,ENVIOS!$A$4:$A$3003,0)),"—"))</f>
        <v/>
      </c>
      <c r="K1330" s="28">
        <f>IF($D1330="","",IFERROR(INDEX(ENVIOS!$H$4:$H$3003,MATCH($D1330,ENVIOS!$A$4:$A$3003,0)),"—"))</f>
        <v/>
      </c>
      <c r="L1330" s="49">
        <f>IF($D1330="","",IFERROR(INDEX(ENVIOS!$C$4:$C$3003,MATCH($D1330,ENVIOS!$A$4:$A$3003,0)),""))</f>
        <v/>
      </c>
      <c r="M1330" s="50" t="n"/>
      <c r="N1330" s="28">
        <f>IF($M1330="","",IFERROR(INDEX(CONFIG!$C$4:$C$63,MATCH($M1330,CONFIG!$A$4:$A$63,0)),"Media"))</f>
        <v/>
      </c>
      <c r="O1330" s="28">
        <f>IF($M1330="","",IF($C1330="Interna","NO",IFERROR(INDEX(CONFIG!$E$4:$E$63,MATCH($M1330,CONFIG!$A$4:$A$63,0)),"NO")))</f>
        <v/>
      </c>
      <c r="P1330" s="50" t="n"/>
      <c r="Q1330" s="50" t="n"/>
      <c r="R1330" s="28">
        <f>IF($Q1330="","",IFERROR(INDEX(CONFIG!$H$4:$H$63,MATCH($Q1330,CONFIG!$G$4:$G$63,0)),"Por definir"))</f>
        <v/>
      </c>
      <c r="S1330" s="28">
        <f>IF($Q1330="","",IFERROR(INDEX(CONFIG!$I$4:$I$63,MATCH($Q1330,CONFIG!$G$4:$G$63,0)),"Por definir"))</f>
        <v/>
      </c>
      <c r="T1330" s="51" t="n"/>
      <c r="U1330" s="52" t="n"/>
      <c r="V1330" s="50" t="n"/>
      <c r="W1330" s="50" t="n"/>
      <c r="X1330" s="49">
        <f>IF(OR($B1330="",$M1330=""),"",WORKDAY($B1330,IFERROR(INDEX(CONFIG!$D$4:$D$63,MATCH($M1330,CONFIG!$A$4:$A$63,0)),3)))</f>
        <v/>
      </c>
      <c r="Y1330" s="47" t="n"/>
      <c r="Z1330" s="24">
        <f>IF($B1330="","",IF($Y1330&lt;&gt;"",$Y1330-$B1330,TODAY()-$B1330))</f>
        <v/>
      </c>
      <c r="AA1330" s="28">
        <f>IF($B1330="","",IF(IFERROR(INDEX(CONFIG!$L$4:$L$63,MATCH($V1330,CONFIG!$K$4:$K$63,0)),"NO")="SÍ",IF(OR($Y1330="",$X1330=""),"Resuelta",IF($Y1330&gt;$X1330,"Resuelta tarde","Resuelta a tiempo")),IF($X1330="","Sin clasificar",IF(TODAY()&gt;$X1330,"Vencida",IF(TODAY()&gt;=$X1330-1,"Por vencer","En plazo")))))</f>
        <v/>
      </c>
      <c r="AB1330" s="50" t="n"/>
      <c r="AC1330" s="50" t="n"/>
    </row>
    <row r="1331" ht="16" customHeight="1">
      <c r="A1331" s="28">
        <f>IF($B1331="","","N-"&amp;TEXT(ROW()-3,"0000"))</f>
        <v/>
      </c>
      <c r="B1331" s="47" t="n"/>
      <c r="C1331" s="48" t="n"/>
      <c r="D1331" s="48" t="n"/>
      <c r="E1331" s="28">
        <f>IF($C1331="","",IF($D1331="",IF($C1331="Interna","Sin guía (interna)","FALTA GUÍA"),IF(COUNTIFS(ENVIOS!$A$4:$A$3003,$D1331)=0,"NO EXISTE",IF(COUNTIFS(ENVIOS!$A$4:$A$3003,$D1331)&gt;1,"DUPLICADA","OK"))))</f>
        <v/>
      </c>
      <c r="F1331" s="28">
        <f>IF($D1331="","",IFERROR(INDEX(ENVIOS!$B$4:$B$3003,MATCH($D1331,ENVIOS!$A$4:$A$3003,0)),"—"))</f>
        <v/>
      </c>
      <c r="G1331" s="23">
        <f>IF($D1331="","",IFERROR(INDEX(ENVIOS!$D$4:$D$3003,MATCH($D1331,ENVIOS!$A$4:$A$3003,0)),"—"))</f>
        <v/>
      </c>
      <c r="H1331" s="23">
        <f>IF($D1331="","",IFERROR(INDEX(ENVIOS!$E$4:$E$3003,MATCH($D1331,ENVIOS!$A$4:$A$3003,0)),"—"))</f>
        <v/>
      </c>
      <c r="I1331" s="23">
        <f>IF($D1331="","",IFERROR(INDEX(ENVIOS!$F$4:$F$3003,MATCH($D1331,ENVIOS!$A$4:$A$3003,0)),"—"))</f>
        <v/>
      </c>
      <c r="J1331" s="23">
        <f>IF($D1331="","",IFERROR(INDEX(ENVIOS!$G$4:$G$3003,MATCH($D1331,ENVIOS!$A$4:$A$3003,0)),"—"))</f>
        <v/>
      </c>
      <c r="K1331" s="28">
        <f>IF($D1331="","",IFERROR(INDEX(ENVIOS!$H$4:$H$3003,MATCH($D1331,ENVIOS!$A$4:$A$3003,0)),"—"))</f>
        <v/>
      </c>
      <c r="L1331" s="49">
        <f>IF($D1331="","",IFERROR(INDEX(ENVIOS!$C$4:$C$3003,MATCH($D1331,ENVIOS!$A$4:$A$3003,0)),""))</f>
        <v/>
      </c>
      <c r="M1331" s="50" t="n"/>
      <c r="N1331" s="28">
        <f>IF($M1331="","",IFERROR(INDEX(CONFIG!$C$4:$C$63,MATCH($M1331,CONFIG!$A$4:$A$63,0)),"Media"))</f>
        <v/>
      </c>
      <c r="O1331" s="28">
        <f>IF($M1331="","",IF($C1331="Interna","NO",IFERROR(INDEX(CONFIG!$E$4:$E$63,MATCH($M1331,CONFIG!$A$4:$A$63,0)),"NO")))</f>
        <v/>
      </c>
      <c r="P1331" s="50" t="n"/>
      <c r="Q1331" s="50" t="n"/>
      <c r="R1331" s="28">
        <f>IF($Q1331="","",IFERROR(INDEX(CONFIG!$H$4:$H$63,MATCH($Q1331,CONFIG!$G$4:$G$63,0)),"Por definir"))</f>
        <v/>
      </c>
      <c r="S1331" s="28">
        <f>IF($Q1331="","",IFERROR(INDEX(CONFIG!$I$4:$I$63,MATCH($Q1331,CONFIG!$G$4:$G$63,0)),"Por definir"))</f>
        <v/>
      </c>
      <c r="T1331" s="51" t="n"/>
      <c r="U1331" s="52" t="n"/>
      <c r="V1331" s="50" t="n"/>
      <c r="W1331" s="50" t="n"/>
      <c r="X1331" s="49">
        <f>IF(OR($B1331="",$M1331=""),"",WORKDAY($B1331,IFERROR(INDEX(CONFIG!$D$4:$D$63,MATCH($M1331,CONFIG!$A$4:$A$63,0)),3)))</f>
        <v/>
      </c>
      <c r="Y1331" s="47" t="n"/>
      <c r="Z1331" s="24">
        <f>IF($B1331="","",IF($Y1331&lt;&gt;"",$Y1331-$B1331,TODAY()-$B1331))</f>
        <v/>
      </c>
      <c r="AA1331" s="28">
        <f>IF($B1331="","",IF(IFERROR(INDEX(CONFIG!$L$4:$L$63,MATCH($V1331,CONFIG!$K$4:$K$63,0)),"NO")="SÍ",IF(OR($Y1331="",$X1331=""),"Resuelta",IF($Y1331&gt;$X1331,"Resuelta tarde","Resuelta a tiempo")),IF($X1331="","Sin clasificar",IF(TODAY()&gt;$X1331,"Vencida",IF(TODAY()&gt;=$X1331-1,"Por vencer","En plazo")))))</f>
        <v/>
      </c>
      <c r="AB1331" s="50" t="n"/>
      <c r="AC1331" s="50" t="n"/>
    </row>
    <row r="1332" ht="16" customHeight="1">
      <c r="A1332" s="28">
        <f>IF($B1332="","","N-"&amp;TEXT(ROW()-3,"0000"))</f>
        <v/>
      </c>
      <c r="B1332" s="47" t="n"/>
      <c r="C1332" s="48" t="n"/>
      <c r="D1332" s="48" t="n"/>
      <c r="E1332" s="28">
        <f>IF($C1332="","",IF($D1332="",IF($C1332="Interna","Sin guía (interna)","FALTA GUÍA"),IF(COUNTIFS(ENVIOS!$A$4:$A$3003,$D1332)=0,"NO EXISTE",IF(COUNTIFS(ENVIOS!$A$4:$A$3003,$D1332)&gt;1,"DUPLICADA","OK"))))</f>
        <v/>
      </c>
      <c r="F1332" s="28">
        <f>IF($D1332="","",IFERROR(INDEX(ENVIOS!$B$4:$B$3003,MATCH($D1332,ENVIOS!$A$4:$A$3003,0)),"—"))</f>
        <v/>
      </c>
      <c r="G1332" s="23">
        <f>IF($D1332="","",IFERROR(INDEX(ENVIOS!$D$4:$D$3003,MATCH($D1332,ENVIOS!$A$4:$A$3003,0)),"—"))</f>
        <v/>
      </c>
      <c r="H1332" s="23">
        <f>IF($D1332="","",IFERROR(INDEX(ENVIOS!$E$4:$E$3003,MATCH($D1332,ENVIOS!$A$4:$A$3003,0)),"—"))</f>
        <v/>
      </c>
      <c r="I1332" s="23">
        <f>IF($D1332="","",IFERROR(INDEX(ENVIOS!$F$4:$F$3003,MATCH($D1332,ENVIOS!$A$4:$A$3003,0)),"—"))</f>
        <v/>
      </c>
      <c r="J1332" s="23">
        <f>IF($D1332="","",IFERROR(INDEX(ENVIOS!$G$4:$G$3003,MATCH($D1332,ENVIOS!$A$4:$A$3003,0)),"—"))</f>
        <v/>
      </c>
      <c r="K1332" s="28">
        <f>IF($D1332="","",IFERROR(INDEX(ENVIOS!$H$4:$H$3003,MATCH($D1332,ENVIOS!$A$4:$A$3003,0)),"—"))</f>
        <v/>
      </c>
      <c r="L1332" s="49">
        <f>IF($D1332="","",IFERROR(INDEX(ENVIOS!$C$4:$C$3003,MATCH($D1332,ENVIOS!$A$4:$A$3003,0)),""))</f>
        <v/>
      </c>
      <c r="M1332" s="50" t="n"/>
      <c r="N1332" s="28">
        <f>IF($M1332="","",IFERROR(INDEX(CONFIG!$C$4:$C$63,MATCH($M1332,CONFIG!$A$4:$A$63,0)),"Media"))</f>
        <v/>
      </c>
      <c r="O1332" s="28">
        <f>IF($M1332="","",IF($C1332="Interna","NO",IFERROR(INDEX(CONFIG!$E$4:$E$63,MATCH($M1332,CONFIG!$A$4:$A$63,0)),"NO")))</f>
        <v/>
      </c>
      <c r="P1332" s="50" t="n"/>
      <c r="Q1332" s="50" t="n"/>
      <c r="R1332" s="28">
        <f>IF($Q1332="","",IFERROR(INDEX(CONFIG!$H$4:$H$63,MATCH($Q1332,CONFIG!$G$4:$G$63,0)),"Por definir"))</f>
        <v/>
      </c>
      <c r="S1332" s="28">
        <f>IF($Q1332="","",IFERROR(INDEX(CONFIG!$I$4:$I$63,MATCH($Q1332,CONFIG!$G$4:$G$63,0)),"Por definir"))</f>
        <v/>
      </c>
      <c r="T1332" s="51" t="n"/>
      <c r="U1332" s="52" t="n"/>
      <c r="V1332" s="50" t="n"/>
      <c r="W1332" s="50" t="n"/>
      <c r="X1332" s="49">
        <f>IF(OR($B1332="",$M1332=""),"",WORKDAY($B1332,IFERROR(INDEX(CONFIG!$D$4:$D$63,MATCH($M1332,CONFIG!$A$4:$A$63,0)),3)))</f>
        <v/>
      </c>
      <c r="Y1332" s="47" t="n"/>
      <c r="Z1332" s="24">
        <f>IF($B1332="","",IF($Y1332&lt;&gt;"",$Y1332-$B1332,TODAY()-$B1332))</f>
        <v/>
      </c>
      <c r="AA1332" s="28">
        <f>IF($B1332="","",IF(IFERROR(INDEX(CONFIG!$L$4:$L$63,MATCH($V1332,CONFIG!$K$4:$K$63,0)),"NO")="SÍ",IF(OR($Y1332="",$X1332=""),"Resuelta",IF($Y1332&gt;$X1332,"Resuelta tarde","Resuelta a tiempo")),IF($X1332="","Sin clasificar",IF(TODAY()&gt;$X1332,"Vencida",IF(TODAY()&gt;=$X1332-1,"Por vencer","En plazo")))))</f>
        <v/>
      </c>
      <c r="AB1332" s="50" t="n"/>
      <c r="AC1332" s="50" t="n"/>
    </row>
    <row r="1333" ht="16" customHeight="1">
      <c r="A1333" s="28">
        <f>IF($B1333="","","N-"&amp;TEXT(ROW()-3,"0000"))</f>
        <v/>
      </c>
      <c r="B1333" s="47" t="n"/>
      <c r="C1333" s="48" t="n"/>
      <c r="D1333" s="48" t="n"/>
      <c r="E1333" s="28">
        <f>IF($C1333="","",IF($D1333="",IF($C1333="Interna","Sin guía (interna)","FALTA GUÍA"),IF(COUNTIFS(ENVIOS!$A$4:$A$3003,$D1333)=0,"NO EXISTE",IF(COUNTIFS(ENVIOS!$A$4:$A$3003,$D1333)&gt;1,"DUPLICADA","OK"))))</f>
        <v/>
      </c>
      <c r="F1333" s="28">
        <f>IF($D1333="","",IFERROR(INDEX(ENVIOS!$B$4:$B$3003,MATCH($D1333,ENVIOS!$A$4:$A$3003,0)),"—"))</f>
        <v/>
      </c>
      <c r="G1333" s="23">
        <f>IF($D1333="","",IFERROR(INDEX(ENVIOS!$D$4:$D$3003,MATCH($D1333,ENVIOS!$A$4:$A$3003,0)),"—"))</f>
        <v/>
      </c>
      <c r="H1333" s="23">
        <f>IF($D1333="","",IFERROR(INDEX(ENVIOS!$E$4:$E$3003,MATCH($D1333,ENVIOS!$A$4:$A$3003,0)),"—"))</f>
        <v/>
      </c>
      <c r="I1333" s="23">
        <f>IF($D1333="","",IFERROR(INDEX(ENVIOS!$F$4:$F$3003,MATCH($D1333,ENVIOS!$A$4:$A$3003,0)),"—"))</f>
        <v/>
      </c>
      <c r="J1333" s="23">
        <f>IF($D1333="","",IFERROR(INDEX(ENVIOS!$G$4:$G$3003,MATCH($D1333,ENVIOS!$A$4:$A$3003,0)),"—"))</f>
        <v/>
      </c>
      <c r="K1333" s="28">
        <f>IF($D1333="","",IFERROR(INDEX(ENVIOS!$H$4:$H$3003,MATCH($D1333,ENVIOS!$A$4:$A$3003,0)),"—"))</f>
        <v/>
      </c>
      <c r="L1333" s="49">
        <f>IF($D1333="","",IFERROR(INDEX(ENVIOS!$C$4:$C$3003,MATCH($D1333,ENVIOS!$A$4:$A$3003,0)),""))</f>
        <v/>
      </c>
      <c r="M1333" s="50" t="n"/>
      <c r="N1333" s="28">
        <f>IF($M1333="","",IFERROR(INDEX(CONFIG!$C$4:$C$63,MATCH($M1333,CONFIG!$A$4:$A$63,0)),"Media"))</f>
        <v/>
      </c>
      <c r="O1333" s="28">
        <f>IF($M1333="","",IF($C1333="Interna","NO",IFERROR(INDEX(CONFIG!$E$4:$E$63,MATCH($M1333,CONFIG!$A$4:$A$63,0)),"NO")))</f>
        <v/>
      </c>
      <c r="P1333" s="50" t="n"/>
      <c r="Q1333" s="50" t="n"/>
      <c r="R1333" s="28">
        <f>IF($Q1333="","",IFERROR(INDEX(CONFIG!$H$4:$H$63,MATCH($Q1333,CONFIG!$G$4:$G$63,0)),"Por definir"))</f>
        <v/>
      </c>
      <c r="S1333" s="28">
        <f>IF($Q1333="","",IFERROR(INDEX(CONFIG!$I$4:$I$63,MATCH($Q1333,CONFIG!$G$4:$G$63,0)),"Por definir"))</f>
        <v/>
      </c>
      <c r="T1333" s="51" t="n"/>
      <c r="U1333" s="52" t="n"/>
      <c r="V1333" s="50" t="n"/>
      <c r="W1333" s="50" t="n"/>
      <c r="X1333" s="49">
        <f>IF(OR($B1333="",$M1333=""),"",WORKDAY($B1333,IFERROR(INDEX(CONFIG!$D$4:$D$63,MATCH($M1333,CONFIG!$A$4:$A$63,0)),3)))</f>
        <v/>
      </c>
      <c r="Y1333" s="47" t="n"/>
      <c r="Z1333" s="24">
        <f>IF($B1333="","",IF($Y1333&lt;&gt;"",$Y1333-$B1333,TODAY()-$B1333))</f>
        <v/>
      </c>
      <c r="AA1333" s="28">
        <f>IF($B1333="","",IF(IFERROR(INDEX(CONFIG!$L$4:$L$63,MATCH($V1333,CONFIG!$K$4:$K$63,0)),"NO")="SÍ",IF(OR($Y1333="",$X1333=""),"Resuelta",IF($Y1333&gt;$X1333,"Resuelta tarde","Resuelta a tiempo")),IF($X1333="","Sin clasificar",IF(TODAY()&gt;$X1333,"Vencida",IF(TODAY()&gt;=$X1333-1,"Por vencer","En plazo")))))</f>
        <v/>
      </c>
      <c r="AB1333" s="50" t="n"/>
      <c r="AC1333" s="50" t="n"/>
    </row>
    <row r="1334" ht="16" customHeight="1">
      <c r="A1334" s="28">
        <f>IF($B1334="","","N-"&amp;TEXT(ROW()-3,"0000"))</f>
        <v/>
      </c>
      <c r="B1334" s="47" t="n"/>
      <c r="C1334" s="48" t="n"/>
      <c r="D1334" s="48" t="n"/>
      <c r="E1334" s="28">
        <f>IF($C1334="","",IF($D1334="",IF($C1334="Interna","Sin guía (interna)","FALTA GUÍA"),IF(COUNTIFS(ENVIOS!$A$4:$A$3003,$D1334)=0,"NO EXISTE",IF(COUNTIFS(ENVIOS!$A$4:$A$3003,$D1334)&gt;1,"DUPLICADA","OK"))))</f>
        <v/>
      </c>
      <c r="F1334" s="28">
        <f>IF($D1334="","",IFERROR(INDEX(ENVIOS!$B$4:$B$3003,MATCH($D1334,ENVIOS!$A$4:$A$3003,0)),"—"))</f>
        <v/>
      </c>
      <c r="G1334" s="23">
        <f>IF($D1334="","",IFERROR(INDEX(ENVIOS!$D$4:$D$3003,MATCH($D1334,ENVIOS!$A$4:$A$3003,0)),"—"))</f>
        <v/>
      </c>
      <c r="H1334" s="23">
        <f>IF($D1334="","",IFERROR(INDEX(ENVIOS!$E$4:$E$3003,MATCH($D1334,ENVIOS!$A$4:$A$3003,0)),"—"))</f>
        <v/>
      </c>
      <c r="I1334" s="23">
        <f>IF($D1334="","",IFERROR(INDEX(ENVIOS!$F$4:$F$3003,MATCH($D1334,ENVIOS!$A$4:$A$3003,0)),"—"))</f>
        <v/>
      </c>
      <c r="J1334" s="23">
        <f>IF($D1334="","",IFERROR(INDEX(ENVIOS!$G$4:$G$3003,MATCH($D1334,ENVIOS!$A$4:$A$3003,0)),"—"))</f>
        <v/>
      </c>
      <c r="K1334" s="28">
        <f>IF($D1334="","",IFERROR(INDEX(ENVIOS!$H$4:$H$3003,MATCH($D1334,ENVIOS!$A$4:$A$3003,0)),"—"))</f>
        <v/>
      </c>
      <c r="L1334" s="49">
        <f>IF($D1334="","",IFERROR(INDEX(ENVIOS!$C$4:$C$3003,MATCH($D1334,ENVIOS!$A$4:$A$3003,0)),""))</f>
        <v/>
      </c>
      <c r="M1334" s="50" t="n"/>
      <c r="N1334" s="28">
        <f>IF($M1334="","",IFERROR(INDEX(CONFIG!$C$4:$C$63,MATCH($M1334,CONFIG!$A$4:$A$63,0)),"Media"))</f>
        <v/>
      </c>
      <c r="O1334" s="28">
        <f>IF($M1334="","",IF($C1334="Interna","NO",IFERROR(INDEX(CONFIG!$E$4:$E$63,MATCH($M1334,CONFIG!$A$4:$A$63,0)),"NO")))</f>
        <v/>
      </c>
      <c r="P1334" s="50" t="n"/>
      <c r="Q1334" s="50" t="n"/>
      <c r="R1334" s="28">
        <f>IF($Q1334="","",IFERROR(INDEX(CONFIG!$H$4:$H$63,MATCH($Q1334,CONFIG!$G$4:$G$63,0)),"Por definir"))</f>
        <v/>
      </c>
      <c r="S1334" s="28">
        <f>IF($Q1334="","",IFERROR(INDEX(CONFIG!$I$4:$I$63,MATCH($Q1334,CONFIG!$G$4:$G$63,0)),"Por definir"))</f>
        <v/>
      </c>
      <c r="T1334" s="51" t="n"/>
      <c r="U1334" s="52" t="n"/>
      <c r="V1334" s="50" t="n"/>
      <c r="W1334" s="50" t="n"/>
      <c r="X1334" s="49">
        <f>IF(OR($B1334="",$M1334=""),"",WORKDAY($B1334,IFERROR(INDEX(CONFIG!$D$4:$D$63,MATCH($M1334,CONFIG!$A$4:$A$63,0)),3)))</f>
        <v/>
      </c>
      <c r="Y1334" s="47" t="n"/>
      <c r="Z1334" s="24">
        <f>IF($B1334="","",IF($Y1334&lt;&gt;"",$Y1334-$B1334,TODAY()-$B1334))</f>
        <v/>
      </c>
      <c r="AA1334" s="28">
        <f>IF($B1334="","",IF(IFERROR(INDEX(CONFIG!$L$4:$L$63,MATCH($V1334,CONFIG!$K$4:$K$63,0)),"NO")="SÍ",IF(OR($Y1334="",$X1334=""),"Resuelta",IF($Y1334&gt;$X1334,"Resuelta tarde","Resuelta a tiempo")),IF($X1334="","Sin clasificar",IF(TODAY()&gt;$X1334,"Vencida",IF(TODAY()&gt;=$X1334-1,"Por vencer","En plazo")))))</f>
        <v/>
      </c>
      <c r="AB1334" s="50" t="n"/>
      <c r="AC1334" s="50" t="n"/>
    </row>
    <row r="1335" ht="16" customHeight="1">
      <c r="A1335" s="28">
        <f>IF($B1335="","","N-"&amp;TEXT(ROW()-3,"0000"))</f>
        <v/>
      </c>
      <c r="B1335" s="47" t="n"/>
      <c r="C1335" s="48" t="n"/>
      <c r="D1335" s="48" t="n"/>
      <c r="E1335" s="28">
        <f>IF($C1335="","",IF($D1335="",IF($C1335="Interna","Sin guía (interna)","FALTA GUÍA"),IF(COUNTIFS(ENVIOS!$A$4:$A$3003,$D1335)=0,"NO EXISTE",IF(COUNTIFS(ENVIOS!$A$4:$A$3003,$D1335)&gt;1,"DUPLICADA","OK"))))</f>
        <v/>
      </c>
      <c r="F1335" s="28">
        <f>IF($D1335="","",IFERROR(INDEX(ENVIOS!$B$4:$B$3003,MATCH($D1335,ENVIOS!$A$4:$A$3003,0)),"—"))</f>
        <v/>
      </c>
      <c r="G1335" s="23">
        <f>IF($D1335="","",IFERROR(INDEX(ENVIOS!$D$4:$D$3003,MATCH($D1335,ENVIOS!$A$4:$A$3003,0)),"—"))</f>
        <v/>
      </c>
      <c r="H1335" s="23">
        <f>IF($D1335="","",IFERROR(INDEX(ENVIOS!$E$4:$E$3003,MATCH($D1335,ENVIOS!$A$4:$A$3003,0)),"—"))</f>
        <v/>
      </c>
      <c r="I1335" s="23">
        <f>IF($D1335="","",IFERROR(INDEX(ENVIOS!$F$4:$F$3003,MATCH($D1335,ENVIOS!$A$4:$A$3003,0)),"—"))</f>
        <v/>
      </c>
      <c r="J1335" s="23">
        <f>IF($D1335="","",IFERROR(INDEX(ENVIOS!$G$4:$G$3003,MATCH($D1335,ENVIOS!$A$4:$A$3003,0)),"—"))</f>
        <v/>
      </c>
      <c r="K1335" s="28">
        <f>IF($D1335="","",IFERROR(INDEX(ENVIOS!$H$4:$H$3003,MATCH($D1335,ENVIOS!$A$4:$A$3003,0)),"—"))</f>
        <v/>
      </c>
      <c r="L1335" s="49">
        <f>IF($D1335="","",IFERROR(INDEX(ENVIOS!$C$4:$C$3003,MATCH($D1335,ENVIOS!$A$4:$A$3003,0)),""))</f>
        <v/>
      </c>
      <c r="M1335" s="50" t="n"/>
      <c r="N1335" s="28">
        <f>IF($M1335="","",IFERROR(INDEX(CONFIG!$C$4:$C$63,MATCH($M1335,CONFIG!$A$4:$A$63,0)),"Media"))</f>
        <v/>
      </c>
      <c r="O1335" s="28">
        <f>IF($M1335="","",IF($C1335="Interna","NO",IFERROR(INDEX(CONFIG!$E$4:$E$63,MATCH($M1335,CONFIG!$A$4:$A$63,0)),"NO")))</f>
        <v/>
      </c>
      <c r="P1335" s="50" t="n"/>
      <c r="Q1335" s="50" t="n"/>
      <c r="R1335" s="28">
        <f>IF($Q1335="","",IFERROR(INDEX(CONFIG!$H$4:$H$63,MATCH($Q1335,CONFIG!$G$4:$G$63,0)),"Por definir"))</f>
        <v/>
      </c>
      <c r="S1335" s="28">
        <f>IF($Q1335="","",IFERROR(INDEX(CONFIG!$I$4:$I$63,MATCH($Q1335,CONFIG!$G$4:$G$63,0)),"Por definir"))</f>
        <v/>
      </c>
      <c r="T1335" s="51" t="n"/>
      <c r="U1335" s="52" t="n"/>
      <c r="V1335" s="50" t="n"/>
      <c r="W1335" s="50" t="n"/>
      <c r="X1335" s="49">
        <f>IF(OR($B1335="",$M1335=""),"",WORKDAY($B1335,IFERROR(INDEX(CONFIG!$D$4:$D$63,MATCH($M1335,CONFIG!$A$4:$A$63,0)),3)))</f>
        <v/>
      </c>
      <c r="Y1335" s="47" t="n"/>
      <c r="Z1335" s="24">
        <f>IF($B1335="","",IF($Y1335&lt;&gt;"",$Y1335-$B1335,TODAY()-$B1335))</f>
        <v/>
      </c>
      <c r="AA1335" s="28">
        <f>IF($B1335="","",IF(IFERROR(INDEX(CONFIG!$L$4:$L$63,MATCH($V1335,CONFIG!$K$4:$K$63,0)),"NO")="SÍ",IF(OR($Y1335="",$X1335=""),"Resuelta",IF($Y1335&gt;$X1335,"Resuelta tarde","Resuelta a tiempo")),IF($X1335="","Sin clasificar",IF(TODAY()&gt;$X1335,"Vencida",IF(TODAY()&gt;=$X1335-1,"Por vencer","En plazo")))))</f>
        <v/>
      </c>
      <c r="AB1335" s="50" t="n"/>
      <c r="AC1335" s="50" t="n"/>
    </row>
    <row r="1336" ht="16" customHeight="1">
      <c r="A1336" s="28">
        <f>IF($B1336="","","N-"&amp;TEXT(ROW()-3,"0000"))</f>
        <v/>
      </c>
      <c r="B1336" s="47" t="n"/>
      <c r="C1336" s="48" t="n"/>
      <c r="D1336" s="48" t="n"/>
      <c r="E1336" s="28">
        <f>IF($C1336="","",IF($D1336="",IF($C1336="Interna","Sin guía (interna)","FALTA GUÍA"),IF(COUNTIFS(ENVIOS!$A$4:$A$3003,$D1336)=0,"NO EXISTE",IF(COUNTIFS(ENVIOS!$A$4:$A$3003,$D1336)&gt;1,"DUPLICADA","OK"))))</f>
        <v/>
      </c>
      <c r="F1336" s="28">
        <f>IF($D1336="","",IFERROR(INDEX(ENVIOS!$B$4:$B$3003,MATCH($D1336,ENVIOS!$A$4:$A$3003,0)),"—"))</f>
        <v/>
      </c>
      <c r="G1336" s="23">
        <f>IF($D1336="","",IFERROR(INDEX(ENVIOS!$D$4:$D$3003,MATCH($D1336,ENVIOS!$A$4:$A$3003,0)),"—"))</f>
        <v/>
      </c>
      <c r="H1336" s="23">
        <f>IF($D1336="","",IFERROR(INDEX(ENVIOS!$E$4:$E$3003,MATCH($D1336,ENVIOS!$A$4:$A$3003,0)),"—"))</f>
        <v/>
      </c>
      <c r="I1336" s="23">
        <f>IF($D1336="","",IFERROR(INDEX(ENVIOS!$F$4:$F$3003,MATCH($D1336,ENVIOS!$A$4:$A$3003,0)),"—"))</f>
        <v/>
      </c>
      <c r="J1336" s="23">
        <f>IF($D1336="","",IFERROR(INDEX(ENVIOS!$G$4:$G$3003,MATCH($D1336,ENVIOS!$A$4:$A$3003,0)),"—"))</f>
        <v/>
      </c>
      <c r="K1336" s="28">
        <f>IF($D1336="","",IFERROR(INDEX(ENVIOS!$H$4:$H$3003,MATCH($D1336,ENVIOS!$A$4:$A$3003,0)),"—"))</f>
        <v/>
      </c>
      <c r="L1336" s="49">
        <f>IF($D1336="","",IFERROR(INDEX(ENVIOS!$C$4:$C$3003,MATCH($D1336,ENVIOS!$A$4:$A$3003,0)),""))</f>
        <v/>
      </c>
      <c r="M1336" s="50" t="n"/>
      <c r="N1336" s="28">
        <f>IF($M1336="","",IFERROR(INDEX(CONFIG!$C$4:$C$63,MATCH($M1336,CONFIG!$A$4:$A$63,0)),"Media"))</f>
        <v/>
      </c>
      <c r="O1336" s="28">
        <f>IF($M1336="","",IF($C1336="Interna","NO",IFERROR(INDEX(CONFIG!$E$4:$E$63,MATCH($M1336,CONFIG!$A$4:$A$63,0)),"NO")))</f>
        <v/>
      </c>
      <c r="P1336" s="50" t="n"/>
      <c r="Q1336" s="50" t="n"/>
      <c r="R1336" s="28">
        <f>IF($Q1336="","",IFERROR(INDEX(CONFIG!$H$4:$H$63,MATCH($Q1336,CONFIG!$G$4:$G$63,0)),"Por definir"))</f>
        <v/>
      </c>
      <c r="S1336" s="28">
        <f>IF($Q1336="","",IFERROR(INDEX(CONFIG!$I$4:$I$63,MATCH($Q1336,CONFIG!$G$4:$G$63,0)),"Por definir"))</f>
        <v/>
      </c>
      <c r="T1336" s="51" t="n"/>
      <c r="U1336" s="52" t="n"/>
      <c r="V1336" s="50" t="n"/>
      <c r="W1336" s="50" t="n"/>
      <c r="X1336" s="49">
        <f>IF(OR($B1336="",$M1336=""),"",WORKDAY($B1336,IFERROR(INDEX(CONFIG!$D$4:$D$63,MATCH($M1336,CONFIG!$A$4:$A$63,0)),3)))</f>
        <v/>
      </c>
      <c r="Y1336" s="47" t="n"/>
      <c r="Z1336" s="24">
        <f>IF($B1336="","",IF($Y1336&lt;&gt;"",$Y1336-$B1336,TODAY()-$B1336))</f>
        <v/>
      </c>
      <c r="AA1336" s="28">
        <f>IF($B1336="","",IF(IFERROR(INDEX(CONFIG!$L$4:$L$63,MATCH($V1336,CONFIG!$K$4:$K$63,0)),"NO")="SÍ",IF(OR($Y1336="",$X1336=""),"Resuelta",IF($Y1336&gt;$X1336,"Resuelta tarde","Resuelta a tiempo")),IF($X1336="","Sin clasificar",IF(TODAY()&gt;$X1336,"Vencida",IF(TODAY()&gt;=$X1336-1,"Por vencer","En plazo")))))</f>
        <v/>
      </c>
      <c r="AB1336" s="50" t="n"/>
      <c r="AC1336" s="50" t="n"/>
    </row>
    <row r="1337" ht="16" customHeight="1">
      <c r="A1337" s="28">
        <f>IF($B1337="","","N-"&amp;TEXT(ROW()-3,"0000"))</f>
        <v/>
      </c>
      <c r="B1337" s="47" t="n"/>
      <c r="C1337" s="48" t="n"/>
      <c r="D1337" s="48" t="n"/>
      <c r="E1337" s="28">
        <f>IF($C1337="","",IF($D1337="",IF($C1337="Interna","Sin guía (interna)","FALTA GUÍA"),IF(COUNTIFS(ENVIOS!$A$4:$A$3003,$D1337)=0,"NO EXISTE",IF(COUNTIFS(ENVIOS!$A$4:$A$3003,$D1337)&gt;1,"DUPLICADA","OK"))))</f>
        <v/>
      </c>
      <c r="F1337" s="28">
        <f>IF($D1337="","",IFERROR(INDEX(ENVIOS!$B$4:$B$3003,MATCH($D1337,ENVIOS!$A$4:$A$3003,0)),"—"))</f>
        <v/>
      </c>
      <c r="G1337" s="23">
        <f>IF($D1337="","",IFERROR(INDEX(ENVIOS!$D$4:$D$3003,MATCH($D1337,ENVIOS!$A$4:$A$3003,0)),"—"))</f>
        <v/>
      </c>
      <c r="H1337" s="23">
        <f>IF($D1337="","",IFERROR(INDEX(ENVIOS!$E$4:$E$3003,MATCH($D1337,ENVIOS!$A$4:$A$3003,0)),"—"))</f>
        <v/>
      </c>
      <c r="I1337" s="23">
        <f>IF($D1337="","",IFERROR(INDEX(ENVIOS!$F$4:$F$3003,MATCH($D1337,ENVIOS!$A$4:$A$3003,0)),"—"))</f>
        <v/>
      </c>
      <c r="J1337" s="23">
        <f>IF($D1337="","",IFERROR(INDEX(ENVIOS!$G$4:$G$3003,MATCH($D1337,ENVIOS!$A$4:$A$3003,0)),"—"))</f>
        <v/>
      </c>
      <c r="K1337" s="28">
        <f>IF($D1337="","",IFERROR(INDEX(ENVIOS!$H$4:$H$3003,MATCH($D1337,ENVIOS!$A$4:$A$3003,0)),"—"))</f>
        <v/>
      </c>
      <c r="L1337" s="49">
        <f>IF($D1337="","",IFERROR(INDEX(ENVIOS!$C$4:$C$3003,MATCH($D1337,ENVIOS!$A$4:$A$3003,0)),""))</f>
        <v/>
      </c>
      <c r="M1337" s="50" t="n"/>
      <c r="N1337" s="28">
        <f>IF($M1337="","",IFERROR(INDEX(CONFIG!$C$4:$C$63,MATCH($M1337,CONFIG!$A$4:$A$63,0)),"Media"))</f>
        <v/>
      </c>
      <c r="O1337" s="28">
        <f>IF($M1337="","",IF($C1337="Interna","NO",IFERROR(INDEX(CONFIG!$E$4:$E$63,MATCH($M1337,CONFIG!$A$4:$A$63,0)),"NO")))</f>
        <v/>
      </c>
      <c r="P1337" s="50" t="n"/>
      <c r="Q1337" s="50" t="n"/>
      <c r="R1337" s="28">
        <f>IF($Q1337="","",IFERROR(INDEX(CONFIG!$H$4:$H$63,MATCH($Q1337,CONFIG!$G$4:$G$63,0)),"Por definir"))</f>
        <v/>
      </c>
      <c r="S1337" s="28">
        <f>IF($Q1337="","",IFERROR(INDEX(CONFIG!$I$4:$I$63,MATCH($Q1337,CONFIG!$G$4:$G$63,0)),"Por definir"))</f>
        <v/>
      </c>
      <c r="T1337" s="51" t="n"/>
      <c r="U1337" s="52" t="n"/>
      <c r="V1337" s="50" t="n"/>
      <c r="W1337" s="50" t="n"/>
      <c r="X1337" s="49">
        <f>IF(OR($B1337="",$M1337=""),"",WORKDAY($B1337,IFERROR(INDEX(CONFIG!$D$4:$D$63,MATCH($M1337,CONFIG!$A$4:$A$63,0)),3)))</f>
        <v/>
      </c>
      <c r="Y1337" s="47" t="n"/>
      <c r="Z1337" s="24">
        <f>IF($B1337="","",IF($Y1337&lt;&gt;"",$Y1337-$B1337,TODAY()-$B1337))</f>
        <v/>
      </c>
      <c r="AA1337" s="28">
        <f>IF($B1337="","",IF(IFERROR(INDEX(CONFIG!$L$4:$L$63,MATCH($V1337,CONFIG!$K$4:$K$63,0)),"NO")="SÍ",IF(OR($Y1337="",$X1337=""),"Resuelta",IF($Y1337&gt;$X1337,"Resuelta tarde","Resuelta a tiempo")),IF($X1337="","Sin clasificar",IF(TODAY()&gt;$X1337,"Vencida",IF(TODAY()&gt;=$X1337-1,"Por vencer","En plazo")))))</f>
        <v/>
      </c>
      <c r="AB1337" s="50" t="n"/>
      <c r="AC1337" s="50" t="n"/>
    </row>
    <row r="1338" ht="16" customHeight="1">
      <c r="A1338" s="28">
        <f>IF($B1338="","","N-"&amp;TEXT(ROW()-3,"0000"))</f>
        <v/>
      </c>
      <c r="B1338" s="47" t="n"/>
      <c r="C1338" s="48" t="n"/>
      <c r="D1338" s="48" t="n"/>
      <c r="E1338" s="28">
        <f>IF($C1338="","",IF($D1338="",IF($C1338="Interna","Sin guía (interna)","FALTA GUÍA"),IF(COUNTIFS(ENVIOS!$A$4:$A$3003,$D1338)=0,"NO EXISTE",IF(COUNTIFS(ENVIOS!$A$4:$A$3003,$D1338)&gt;1,"DUPLICADA","OK"))))</f>
        <v/>
      </c>
      <c r="F1338" s="28">
        <f>IF($D1338="","",IFERROR(INDEX(ENVIOS!$B$4:$B$3003,MATCH($D1338,ENVIOS!$A$4:$A$3003,0)),"—"))</f>
        <v/>
      </c>
      <c r="G1338" s="23">
        <f>IF($D1338="","",IFERROR(INDEX(ENVIOS!$D$4:$D$3003,MATCH($D1338,ENVIOS!$A$4:$A$3003,0)),"—"))</f>
        <v/>
      </c>
      <c r="H1338" s="23">
        <f>IF($D1338="","",IFERROR(INDEX(ENVIOS!$E$4:$E$3003,MATCH($D1338,ENVIOS!$A$4:$A$3003,0)),"—"))</f>
        <v/>
      </c>
      <c r="I1338" s="23">
        <f>IF($D1338="","",IFERROR(INDEX(ENVIOS!$F$4:$F$3003,MATCH($D1338,ENVIOS!$A$4:$A$3003,0)),"—"))</f>
        <v/>
      </c>
      <c r="J1338" s="23">
        <f>IF($D1338="","",IFERROR(INDEX(ENVIOS!$G$4:$G$3003,MATCH($D1338,ENVIOS!$A$4:$A$3003,0)),"—"))</f>
        <v/>
      </c>
      <c r="K1338" s="28">
        <f>IF($D1338="","",IFERROR(INDEX(ENVIOS!$H$4:$H$3003,MATCH($D1338,ENVIOS!$A$4:$A$3003,0)),"—"))</f>
        <v/>
      </c>
      <c r="L1338" s="49">
        <f>IF($D1338="","",IFERROR(INDEX(ENVIOS!$C$4:$C$3003,MATCH($D1338,ENVIOS!$A$4:$A$3003,0)),""))</f>
        <v/>
      </c>
      <c r="M1338" s="50" t="n"/>
      <c r="N1338" s="28">
        <f>IF($M1338="","",IFERROR(INDEX(CONFIG!$C$4:$C$63,MATCH($M1338,CONFIG!$A$4:$A$63,0)),"Media"))</f>
        <v/>
      </c>
      <c r="O1338" s="28">
        <f>IF($M1338="","",IF($C1338="Interna","NO",IFERROR(INDEX(CONFIG!$E$4:$E$63,MATCH($M1338,CONFIG!$A$4:$A$63,0)),"NO")))</f>
        <v/>
      </c>
      <c r="P1338" s="50" t="n"/>
      <c r="Q1338" s="50" t="n"/>
      <c r="R1338" s="28">
        <f>IF($Q1338="","",IFERROR(INDEX(CONFIG!$H$4:$H$63,MATCH($Q1338,CONFIG!$G$4:$G$63,0)),"Por definir"))</f>
        <v/>
      </c>
      <c r="S1338" s="28">
        <f>IF($Q1338="","",IFERROR(INDEX(CONFIG!$I$4:$I$63,MATCH($Q1338,CONFIG!$G$4:$G$63,0)),"Por definir"))</f>
        <v/>
      </c>
      <c r="T1338" s="51" t="n"/>
      <c r="U1338" s="52" t="n"/>
      <c r="V1338" s="50" t="n"/>
      <c r="W1338" s="50" t="n"/>
      <c r="X1338" s="49">
        <f>IF(OR($B1338="",$M1338=""),"",WORKDAY($B1338,IFERROR(INDEX(CONFIG!$D$4:$D$63,MATCH($M1338,CONFIG!$A$4:$A$63,0)),3)))</f>
        <v/>
      </c>
      <c r="Y1338" s="47" t="n"/>
      <c r="Z1338" s="24">
        <f>IF($B1338="","",IF($Y1338&lt;&gt;"",$Y1338-$B1338,TODAY()-$B1338))</f>
        <v/>
      </c>
      <c r="AA1338" s="28">
        <f>IF($B1338="","",IF(IFERROR(INDEX(CONFIG!$L$4:$L$63,MATCH($V1338,CONFIG!$K$4:$K$63,0)),"NO")="SÍ",IF(OR($Y1338="",$X1338=""),"Resuelta",IF($Y1338&gt;$X1338,"Resuelta tarde","Resuelta a tiempo")),IF($X1338="","Sin clasificar",IF(TODAY()&gt;$X1338,"Vencida",IF(TODAY()&gt;=$X1338-1,"Por vencer","En plazo")))))</f>
        <v/>
      </c>
      <c r="AB1338" s="50" t="n"/>
      <c r="AC1338" s="50" t="n"/>
    </row>
    <row r="1339" ht="16" customHeight="1">
      <c r="A1339" s="28">
        <f>IF($B1339="","","N-"&amp;TEXT(ROW()-3,"0000"))</f>
        <v/>
      </c>
      <c r="B1339" s="47" t="n"/>
      <c r="C1339" s="48" t="n"/>
      <c r="D1339" s="48" t="n"/>
      <c r="E1339" s="28">
        <f>IF($C1339="","",IF($D1339="",IF($C1339="Interna","Sin guía (interna)","FALTA GUÍA"),IF(COUNTIFS(ENVIOS!$A$4:$A$3003,$D1339)=0,"NO EXISTE",IF(COUNTIFS(ENVIOS!$A$4:$A$3003,$D1339)&gt;1,"DUPLICADA","OK"))))</f>
        <v/>
      </c>
      <c r="F1339" s="28">
        <f>IF($D1339="","",IFERROR(INDEX(ENVIOS!$B$4:$B$3003,MATCH($D1339,ENVIOS!$A$4:$A$3003,0)),"—"))</f>
        <v/>
      </c>
      <c r="G1339" s="23">
        <f>IF($D1339="","",IFERROR(INDEX(ENVIOS!$D$4:$D$3003,MATCH($D1339,ENVIOS!$A$4:$A$3003,0)),"—"))</f>
        <v/>
      </c>
      <c r="H1339" s="23">
        <f>IF($D1339="","",IFERROR(INDEX(ENVIOS!$E$4:$E$3003,MATCH($D1339,ENVIOS!$A$4:$A$3003,0)),"—"))</f>
        <v/>
      </c>
      <c r="I1339" s="23">
        <f>IF($D1339="","",IFERROR(INDEX(ENVIOS!$F$4:$F$3003,MATCH($D1339,ENVIOS!$A$4:$A$3003,0)),"—"))</f>
        <v/>
      </c>
      <c r="J1339" s="23">
        <f>IF($D1339="","",IFERROR(INDEX(ENVIOS!$G$4:$G$3003,MATCH($D1339,ENVIOS!$A$4:$A$3003,0)),"—"))</f>
        <v/>
      </c>
      <c r="K1339" s="28">
        <f>IF($D1339="","",IFERROR(INDEX(ENVIOS!$H$4:$H$3003,MATCH($D1339,ENVIOS!$A$4:$A$3003,0)),"—"))</f>
        <v/>
      </c>
      <c r="L1339" s="49">
        <f>IF($D1339="","",IFERROR(INDEX(ENVIOS!$C$4:$C$3003,MATCH($D1339,ENVIOS!$A$4:$A$3003,0)),""))</f>
        <v/>
      </c>
      <c r="M1339" s="50" t="n"/>
      <c r="N1339" s="28">
        <f>IF($M1339="","",IFERROR(INDEX(CONFIG!$C$4:$C$63,MATCH($M1339,CONFIG!$A$4:$A$63,0)),"Media"))</f>
        <v/>
      </c>
      <c r="O1339" s="28">
        <f>IF($M1339="","",IF($C1339="Interna","NO",IFERROR(INDEX(CONFIG!$E$4:$E$63,MATCH($M1339,CONFIG!$A$4:$A$63,0)),"NO")))</f>
        <v/>
      </c>
      <c r="P1339" s="50" t="n"/>
      <c r="Q1339" s="50" t="n"/>
      <c r="R1339" s="28">
        <f>IF($Q1339="","",IFERROR(INDEX(CONFIG!$H$4:$H$63,MATCH($Q1339,CONFIG!$G$4:$G$63,0)),"Por definir"))</f>
        <v/>
      </c>
      <c r="S1339" s="28">
        <f>IF($Q1339="","",IFERROR(INDEX(CONFIG!$I$4:$I$63,MATCH($Q1339,CONFIG!$G$4:$G$63,0)),"Por definir"))</f>
        <v/>
      </c>
      <c r="T1339" s="51" t="n"/>
      <c r="U1339" s="52" t="n"/>
      <c r="V1339" s="50" t="n"/>
      <c r="W1339" s="50" t="n"/>
      <c r="X1339" s="49">
        <f>IF(OR($B1339="",$M1339=""),"",WORKDAY($B1339,IFERROR(INDEX(CONFIG!$D$4:$D$63,MATCH($M1339,CONFIG!$A$4:$A$63,0)),3)))</f>
        <v/>
      </c>
      <c r="Y1339" s="47" t="n"/>
      <c r="Z1339" s="24">
        <f>IF($B1339="","",IF($Y1339&lt;&gt;"",$Y1339-$B1339,TODAY()-$B1339))</f>
        <v/>
      </c>
      <c r="AA1339" s="28">
        <f>IF($B1339="","",IF(IFERROR(INDEX(CONFIG!$L$4:$L$63,MATCH($V1339,CONFIG!$K$4:$K$63,0)),"NO")="SÍ",IF(OR($Y1339="",$X1339=""),"Resuelta",IF($Y1339&gt;$X1339,"Resuelta tarde","Resuelta a tiempo")),IF($X1339="","Sin clasificar",IF(TODAY()&gt;$X1339,"Vencida",IF(TODAY()&gt;=$X1339-1,"Por vencer","En plazo")))))</f>
        <v/>
      </c>
      <c r="AB1339" s="50" t="n"/>
      <c r="AC1339" s="50" t="n"/>
    </row>
    <row r="1340" ht="16" customHeight="1">
      <c r="A1340" s="28">
        <f>IF($B1340="","","N-"&amp;TEXT(ROW()-3,"0000"))</f>
        <v/>
      </c>
      <c r="B1340" s="47" t="n"/>
      <c r="C1340" s="48" t="n"/>
      <c r="D1340" s="48" t="n"/>
      <c r="E1340" s="28">
        <f>IF($C1340="","",IF($D1340="",IF($C1340="Interna","Sin guía (interna)","FALTA GUÍA"),IF(COUNTIFS(ENVIOS!$A$4:$A$3003,$D1340)=0,"NO EXISTE",IF(COUNTIFS(ENVIOS!$A$4:$A$3003,$D1340)&gt;1,"DUPLICADA","OK"))))</f>
        <v/>
      </c>
      <c r="F1340" s="28">
        <f>IF($D1340="","",IFERROR(INDEX(ENVIOS!$B$4:$B$3003,MATCH($D1340,ENVIOS!$A$4:$A$3003,0)),"—"))</f>
        <v/>
      </c>
      <c r="G1340" s="23">
        <f>IF($D1340="","",IFERROR(INDEX(ENVIOS!$D$4:$D$3003,MATCH($D1340,ENVIOS!$A$4:$A$3003,0)),"—"))</f>
        <v/>
      </c>
      <c r="H1340" s="23">
        <f>IF($D1340="","",IFERROR(INDEX(ENVIOS!$E$4:$E$3003,MATCH($D1340,ENVIOS!$A$4:$A$3003,0)),"—"))</f>
        <v/>
      </c>
      <c r="I1340" s="23">
        <f>IF($D1340="","",IFERROR(INDEX(ENVIOS!$F$4:$F$3003,MATCH($D1340,ENVIOS!$A$4:$A$3003,0)),"—"))</f>
        <v/>
      </c>
      <c r="J1340" s="23">
        <f>IF($D1340="","",IFERROR(INDEX(ENVIOS!$G$4:$G$3003,MATCH($D1340,ENVIOS!$A$4:$A$3003,0)),"—"))</f>
        <v/>
      </c>
      <c r="K1340" s="28">
        <f>IF($D1340="","",IFERROR(INDEX(ENVIOS!$H$4:$H$3003,MATCH($D1340,ENVIOS!$A$4:$A$3003,0)),"—"))</f>
        <v/>
      </c>
      <c r="L1340" s="49">
        <f>IF($D1340="","",IFERROR(INDEX(ENVIOS!$C$4:$C$3003,MATCH($D1340,ENVIOS!$A$4:$A$3003,0)),""))</f>
        <v/>
      </c>
      <c r="M1340" s="50" t="n"/>
      <c r="N1340" s="28">
        <f>IF($M1340="","",IFERROR(INDEX(CONFIG!$C$4:$C$63,MATCH($M1340,CONFIG!$A$4:$A$63,0)),"Media"))</f>
        <v/>
      </c>
      <c r="O1340" s="28">
        <f>IF($M1340="","",IF($C1340="Interna","NO",IFERROR(INDEX(CONFIG!$E$4:$E$63,MATCH($M1340,CONFIG!$A$4:$A$63,0)),"NO")))</f>
        <v/>
      </c>
      <c r="P1340" s="50" t="n"/>
      <c r="Q1340" s="50" t="n"/>
      <c r="R1340" s="28">
        <f>IF($Q1340="","",IFERROR(INDEX(CONFIG!$H$4:$H$63,MATCH($Q1340,CONFIG!$G$4:$G$63,0)),"Por definir"))</f>
        <v/>
      </c>
      <c r="S1340" s="28">
        <f>IF($Q1340="","",IFERROR(INDEX(CONFIG!$I$4:$I$63,MATCH($Q1340,CONFIG!$G$4:$G$63,0)),"Por definir"))</f>
        <v/>
      </c>
      <c r="T1340" s="51" t="n"/>
      <c r="U1340" s="52" t="n"/>
      <c r="V1340" s="50" t="n"/>
      <c r="W1340" s="50" t="n"/>
      <c r="X1340" s="49">
        <f>IF(OR($B1340="",$M1340=""),"",WORKDAY($B1340,IFERROR(INDEX(CONFIG!$D$4:$D$63,MATCH($M1340,CONFIG!$A$4:$A$63,0)),3)))</f>
        <v/>
      </c>
      <c r="Y1340" s="47" t="n"/>
      <c r="Z1340" s="24">
        <f>IF($B1340="","",IF($Y1340&lt;&gt;"",$Y1340-$B1340,TODAY()-$B1340))</f>
        <v/>
      </c>
      <c r="AA1340" s="28">
        <f>IF($B1340="","",IF(IFERROR(INDEX(CONFIG!$L$4:$L$63,MATCH($V1340,CONFIG!$K$4:$K$63,0)),"NO")="SÍ",IF(OR($Y1340="",$X1340=""),"Resuelta",IF($Y1340&gt;$X1340,"Resuelta tarde","Resuelta a tiempo")),IF($X1340="","Sin clasificar",IF(TODAY()&gt;$X1340,"Vencida",IF(TODAY()&gt;=$X1340-1,"Por vencer","En plazo")))))</f>
        <v/>
      </c>
      <c r="AB1340" s="50" t="n"/>
      <c r="AC1340" s="50" t="n"/>
    </row>
    <row r="1341" ht="16" customHeight="1">
      <c r="A1341" s="28">
        <f>IF($B1341="","","N-"&amp;TEXT(ROW()-3,"0000"))</f>
        <v/>
      </c>
      <c r="B1341" s="47" t="n"/>
      <c r="C1341" s="48" t="n"/>
      <c r="D1341" s="48" t="n"/>
      <c r="E1341" s="28">
        <f>IF($C1341="","",IF($D1341="",IF($C1341="Interna","Sin guía (interna)","FALTA GUÍA"),IF(COUNTIFS(ENVIOS!$A$4:$A$3003,$D1341)=0,"NO EXISTE",IF(COUNTIFS(ENVIOS!$A$4:$A$3003,$D1341)&gt;1,"DUPLICADA","OK"))))</f>
        <v/>
      </c>
      <c r="F1341" s="28">
        <f>IF($D1341="","",IFERROR(INDEX(ENVIOS!$B$4:$B$3003,MATCH($D1341,ENVIOS!$A$4:$A$3003,0)),"—"))</f>
        <v/>
      </c>
      <c r="G1341" s="23">
        <f>IF($D1341="","",IFERROR(INDEX(ENVIOS!$D$4:$D$3003,MATCH($D1341,ENVIOS!$A$4:$A$3003,0)),"—"))</f>
        <v/>
      </c>
      <c r="H1341" s="23">
        <f>IF($D1341="","",IFERROR(INDEX(ENVIOS!$E$4:$E$3003,MATCH($D1341,ENVIOS!$A$4:$A$3003,0)),"—"))</f>
        <v/>
      </c>
      <c r="I1341" s="23">
        <f>IF($D1341="","",IFERROR(INDEX(ENVIOS!$F$4:$F$3003,MATCH($D1341,ENVIOS!$A$4:$A$3003,0)),"—"))</f>
        <v/>
      </c>
      <c r="J1341" s="23">
        <f>IF($D1341="","",IFERROR(INDEX(ENVIOS!$G$4:$G$3003,MATCH($D1341,ENVIOS!$A$4:$A$3003,0)),"—"))</f>
        <v/>
      </c>
      <c r="K1341" s="28">
        <f>IF($D1341="","",IFERROR(INDEX(ENVIOS!$H$4:$H$3003,MATCH($D1341,ENVIOS!$A$4:$A$3003,0)),"—"))</f>
        <v/>
      </c>
      <c r="L1341" s="49">
        <f>IF($D1341="","",IFERROR(INDEX(ENVIOS!$C$4:$C$3003,MATCH($D1341,ENVIOS!$A$4:$A$3003,0)),""))</f>
        <v/>
      </c>
      <c r="M1341" s="50" t="n"/>
      <c r="N1341" s="28">
        <f>IF($M1341="","",IFERROR(INDEX(CONFIG!$C$4:$C$63,MATCH($M1341,CONFIG!$A$4:$A$63,0)),"Media"))</f>
        <v/>
      </c>
      <c r="O1341" s="28">
        <f>IF($M1341="","",IF($C1341="Interna","NO",IFERROR(INDEX(CONFIG!$E$4:$E$63,MATCH($M1341,CONFIG!$A$4:$A$63,0)),"NO")))</f>
        <v/>
      </c>
      <c r="P1341" s="50" t="n"/>
      <c r="Q1341" s="50" t="n"/>
      <c r="R1341" s="28">
        <f>IF($Q1341="","",IFERROR(INDEX(CONFIG!$H$4:$H$63,MATCH($Q1341,CONFIG!$G$4:$G$63,0)),"Por definir"))</f>
        <v/>
      </c>
      <c r="S1341" s="28">
        <f>IF($Q1341="","",IFERROR(INDEX(CONFIG!$I$4:$I$63,MATCH($Q1341,CONFIG!$G$4:$G$63,0)),"Por definir"))</f>
        <v/>
      </c>
      <c r="T1341" s="51" t="n"/>
      <c r="U1341" s="52" t="n"/>
      <c r="V1341" s="50" t="n"/>
      <c r="W1341" s="50" t="n"/>
      <c r="X1341" s="49">
        <f>IF(OR($B1341="",$M1341=""),"",WORKDAY($B1341,IFERROR(INDEX(CONFIG!$D$4:$D$63,MATCH($M1341,CONFIG!$A$4:$A$63,0)),3)))</f>
        <v/>
      </c>
      <c r="Y1341" s="47" t="n"/>
      <c r="Z1341" s="24">
        <f>IF($B1341="","",IF($Y1341&lt;&gt;"",$Y1341-$B1341,TODAY()-$B1341))</f>
        <v/>
      </c>
      <c r="AA1341" s="28">
        <f>IF($B1341="","",IF(IFERROR(INDEX(CONFIG!$L$4:$L$63,MATCH($V1341,CONFIG!$K$4:$K$63,0)),"NO")="SÍ",IF(OR($Y1341="",$X1341=""),"Resuelta",IF($Y1341&gt;$X1341,"Resuelta tarde","Resuelta a tiempo")),IF($X1341="","Sin clasificar",IF(TODAY()&gt;$X1341,"Vencida",IF(TODAY()&gt;=$X1341-1,"Por vencer","En plazo")))))</f>
        <v/>
      </c>
      <c r="AB1341" s="50" t="n"/>
      <c r="AC1341" s="50" t="n"/>
    </row>
    <row r="1342" ht="16" customHeight="1">
      <c r="A1342" s="28">
        <f>IF($B1342="","","N-"&amp;TEXT(ROW()-3,"0000"))</f>
        <v/>
      </c>
      <c r="B1342" s="47" t="n"/>
      <c r="C1342" s="48" t="n"/>
      <c r="D1342" s="48" t="n"/>
      <c r="E1342" s="28">
        <f>IF($C1342="","",IF($D1342="",IF($C1342="Interna","Sin guía (interna)","FALTA GUÍA"),IF(COUNTIFS(ENVIOS!$A$4:$A$3003,$D1342)=0,"NO EXISTE",IF(COUNTIFS(ENVIOS!$A$4:$A$3003,$D1342)&gt;1,"DUPLICADA","OK"))))</f>
        <v/>
      </c>
      <c r="F1342" s="28">
        <f>IF($D1342="","",IFERROR(INDEX(ENVIOS!$B$4:$B$3003,MATCH($D1342,ENVIOS!$A$4:$A$3003,0)),"—"))</f>
        <v/>
      </c>
      <c r="G1342" s="23">
        <f>IF($D1342="","",IFERROR(INDEX(ENVIOS!$D$4:$D$3003,MATCH($D1342,ENVIOS!$A$4:$A$3003,0)),"—"))</f>
        <v/>
      </c>
      <c r="H1342" s="23">
        <f>IF($D1342="","",IFERROR(INDEX(ENVIOS!$E$4:$E$3003,MATCH($D1342,ENVIOS!$A$4:$A$3003,0)),"—"))</f>
        <v/>
      </c>
      <c r="I1342" s="23">
        <f>IF($D1342="","",IFERROR(INDEX(ENVIOS!$F$4:$F$3003,MATCH($D1342,ENVIOS!$A$4:$A$3003,0)),"—"))</f>
        <v/>
      </c>
      <c r="J1342" s="23">
        <f>IF($D1342="","",IFERROR(INDEX(ENVIOS!$G$4:$G$3003,MATCH($D1342,ENVIOS!$A$4:$A$3003,0)),"—"))</f>
        <v/>
      </c>
      <c r="K1342" s="28">
        <f>IF($D1342="","",IFERROR(INDEX(ENVIOS!$H$4:$H$3003,MATCH($D1342,ENVIOS!$A$4:$A$3003,0)),"—"))</f>
        <v/>
      </c>
      <c r="L1342" s="49">
        <f>IF($D1342="","",IFERROR(INDEX(ENVIOS!$C$4:$C$3003,MATCH($D1342,ENVIOS!$A$4:$A$3003,0)),""))</f>
        <v/>
      </c>
      <c r="M1342" s="50" t="n"/>
      <c r="N1342" s="28">
        <f>IF($M1342="","",IFERROR(INDEX(CONFIG!$C$4:$C$63,MATCH($M1342,CONFIG!$A$4:$A$63,0)),"Media"))</f>
        <v/>
      </c>
      <c r="O1342" s="28">
        <f>IF($M1342="","",IF($C1342="Interna","NO",IFERROR(INDEX(CONFIG!$E$4:$E$63,MATCH($M1342,CONFIG!$A$4:$A$63,0)),"NO")))</f>
        <v/>
      </c>
      <c r="P1342" s="50" t="n"/>
      <c r="Q1342" s="50" t="n"/>
      <c r="R1342" s="28">
        <f>IF($Q1342="","",IFERROR(INDEX(CONFIG!$H$4:$H$63,MATCH($Q1342,CONFIG!$G$4:$G$63,0)),"Por definir"))</f>
        <v/>
      </c>
      <c r="S1342" s="28">
        <f>IF($Q1342="","",IFERROR(INDEX(CONFIG!$I$4:$I$63,MATCH($Q1342,CONFIG!$G$4:$G$63,0)),"Por definir"))</f>
        <v/>
      </c>
      <c r="T1342" s="51" t="n"/>
      <c r="U1342" s="52" t="n"/>
      <c r="V1342" s="50" t="n"/>
      <c r="W1342" s="50" t="n"/>
      <c r="X1342" s="49">
        <f>IF(OR($B1342="",$M1342=""),"",WORKDAY($B1342,IFERROR(INDEX(CONFIG!$D$4:$D$63,MATCH($M1342,CONFIG!$A$4:$A$63,0)),3)))</f>
        <v/>
      </c>
      <c r="Y1342" s="47" t="n"/>
      <c r="Z1342" s="24">
        <f>IF($B1342="","",IF($Y1342&lt;&gt;"",$Y1342-$B1342,TODAY()-$B1342))</f>
        <v/>
      </c>
      <c r="AA1342" s="28">
        <f>IF($B1342="","",IF(IFERROR(INDEX(CONFIG!$L$4:$L$63,MATCH($V1342,CONFIG!$K$4:$K$63,0)),"NO")="SÍ",IF(OR($Y1342="",$X1342=""),"Resuelta",IF($Y1342&gt;$X1342,"Resuelta tarde","Resuelta a tiempo")),IF($X1342="","Sin clasificar",IF(TODAY()&gt;$X1342,"Vencida",IF(TODAY()&gt;=$X1342-1,"Por vencer","En plazo")))))</f>
        <v/>
      </c>
      <c r="AB1342" s="50" t="n"/>
      <c r="AC1342" s="50" t="n"/>
    </row>
    <row r="1343" ht="16" customHeight="1">
      <c r="A1343" s="28">
        <f>IF($B1343="","","N-"&amp;TEXT(ROW()-3,"0000"))</f>
        <v/>
      </c>
      <c r="B1343" s="47" t="n"/>
      <c r="C1343" s="48" t="n"/>
      <c r="D1343" s="48" t="n"/>
      <c r="E1343" s="28">
        <f>IF($C1343="","",IF($D1343="",IF($C1343="Interna","Sin guía (interna)","FALTA GUÍA"),IF(COUNTIFS(ENVIOS!$A$4:$A$3003,$D1343)=0,"NO EXISTE",IF(COUNTIFS(ENVIOS!$A$4:$A$3003,$D1343)&gt;1,"DUPLICADA","OK"))))</f>
        <v/>
      </c>
      <c r="F1343" s="28">
        <f>IF($D1343="","",IFERROR(INDEX(ENVIOS!$B$4:$B$3003,MATCH($D1343,ENVIOS!$A$4:$A$3003,0)),"—"))</f>
        <v/>
      </c>
      <c r="G1343" s="23">
        <f>IF($D1343="","",IFERROR(INDEX(ENVIOS!$D$4:$D$3003,MATCH($D1343,ENVIOS!$A$4:$A$3003,0)),"—"))</f>
        <v/>
      </c>
      <c r="H1343" s="23">
        <f>IF($D1343="","",IFERROR(INDEX(ENVIOS!$E$4:$E$3003,MATCH($D1343,ENVIOS!$A$4:$A$3003,0)),"—"))</f>
        <v/>
      </c>
      <c r="I1343" s="23">
        <f>IF($D1343="","",IFERROR(INDEX(ENVIOS!$F$4:$F$3003,MATCH($D1343,ENVIOS!$A$4:$A$3003,0)),"—"))</f>
        <v/>
      </c>
      <c r="J1343" s="23">
        <f>IF($D1343="","",IFERROR(INDEX(ENVIOS!$G$4:$G$3003,MATCH($D1343,ENVIOS!$A$4:$A$3003,0)),"—"))</f>
        <v/>
      </c>
      <c r="K1343" s="28">
        <f>IF($D1343="","",IFERROR(INDEX(ENVIOS!$H$4:$H$3003,MATCH($D1343,ENVIOS!$A$4:$A$3003,0)),"—"))</f>
        <v/>
      </c>
      <c r="L1343" s="49">
        <f>IF($D1343="","",IFERROR(INDEX(ENVIOS!$C$4:$C$3003,MATCH($D1343,ENVIOS!$A$4:$A$3003,0)),""))</f>
        <v/>
      </c>
      <c r="M1343" s="50" t="n"/>
      <c r="N1343" s="28">
        <f>IF($M1343="","",IFERROR(INDEX(CONFIG!$C$4:$C$63,MATCH($M1343,CONFIG!$A$4:$A$63,0)),"Media"))</f>
        <v/>
      </c>
      <c r="O1343" s="28">
        <f>IF($M1343="","",IF($C1343="Interna","NO",IFERROR(INDEX(CONFIG!$E$4:$E$63,MATCH($M1343,CONFIG!$A$4:$A$63,0)),"NO")))</f>
        <v/>
      </c>
      <c r="P1343" s="50" t="n"/>
      <c r="Q1343" s="50" t="n"/>
      <c r="R1343" s="28">
        <f>IF($Q1343="","",IFERROR(INDEX(CONFIG!$H$4:$H$63,MATCH($Q1343,CONFIG!$G$4:$G$63,0)),"Por definir"))</f>
        <v/>
      </c>
      <c r="S1343" s="28">
        <f>IF($Q1343="","",IFERROR(INDEX(CONFIG!$I$4:$I$63,MATCH($Q1343,CONFIG!$G$4:$G$63,0)),"Por definir"))</f>
        <v/>
      </c>
      <c r="T1343" s="51" t="n"/>
      <c r="U1343" s="52" t="n"/>
      <c r="V1343" s="50" t="n"/>
      <c r="W1343" s="50" t="n"/>
      <c r="X1343" s="49">
        <f>IF(OR($B1343="",$M1343=""),"",WORKDAY($B1343,IFERROR(INDEX(CONFIG!$D$4:$D$63,MATCH($M1343,CONFIG!$A$4:$A$63,0)),3)))</f>
        <v/>
      </c>
      <c r="Y1343" s="47" t="n"/>
      <c r="Z1343" s="24">
        <f>IF($B1343="","",IF($Y1343&lt;&gt;"",$Y1343-$B1343,TODAY()-$B1343))</f>
        <v/>
      </c>
      <c r="AA1343" s="28">
        <f>IF($B1343="","",IF(IFERROR(INDEX(CONFIG!$L$4:$L$63,MATCH($V1343,CONFIG!$K$4:$K$63,0)),"NO")="SÍ",IF(OR($Y1343="",$X1343=""),"Resuelta",IF($Y1343&gt;$X1343,"Resuelta tarde","Resuelta a tiempo")),IF($X1343="","Sin clasificar",IF(TODAY()&gt;$X1343,"Vencida",IF(TODAY()&gt;=$X1343-1,"Por vencer","En plazo")))))</f>
        <v/>
      </c>
      <c r="AB1343" s="50" t="n"/>
      <c r="AC1343" s="50" t="n"/>
    </row>
    <row r="1344" ht="16" customHeight="1">
      <c r="A1344" s="28">
        <f>IF($B1344="","","N-"&amp;TEXT(ROW()-3,"0000"))</f>
        <v/>
      </c>
      <c r="B1344" s="47" t="n"/>
      <c r="C1344" s="48" t="n"/>
      <c r="D1344" s="48" t="n"/>
      <c r="E1344" s="28">
        <f>IF($C1344="","",IF($D1344="",IF($C1344="Interna","Sin guía (interna)","FALTA GUÍA"),IF(COUNTIFS(ENVIOS!$A$4:$A$3003,$D1344)=0,"NO EXISTE",IF(COUNTIFS(ENVIOS!$A$4:$A$3003,$D1344)&gt;1,"DUPLICADA","OK"))))</f>
        <v/>
      </c>
      <c r="F1344" s="28">
        <f>IF($D1344="","",IFERROR(INDEX(ENVIOS!$B$4:$B$3003,MATCH($D1344,ENVIOS!$A$4:$A$3003,0)),"—"))</f>
        <v/>
      </c>
      <c r="G1344" s="23">
        <f>IF($D1344="","",IFERROR(INDEX(ENVIOS!$D$4:$D$3003,MATCH($D1344,ENVIOS!$A$4:$A$3003,0)),"—"))</f>
        <v/>
      </c>
      <c r="H1344" s="23">
        <f>IF($D1344="","",IFERROR(INDEX(ENVIOS!$E$4:$E$3003,MATCH($D1344,ENVIOS!$A$4:$A$3003,0)),"—"))</f>
        <v/>
      </c>
      <c r="I1344" s="23">
        <f>IF($D1344="","",IFERROR(INDEX(ENVIOS!$F$4:$F$3003,MATCH($D1344,ENVIOS!$A$4:$A$3003,0)),"—"))</f>
        <v/>
      </c>
      <c r="J1344" s="23">
        <f>IF($D1344="","",IFERROR(INDEX(ENVIOS!$G$4:$G$3003,MATCH($D1344,ENVIOS!$A$4:$A$3003,0)),"—"))</f>
        <v/>
      </c>
      <c r="K1344" s="28">
        <f>IF($D1344="","",IFERROR(INDEX(ENVIOS!$H$4:$H$3003,MATCH($D1344,ENVIOS!$A$4:$A$3003,0)),"—"))</f>
        <v/>
      </c>
      <c r="L1344" s="49">
        <f>IF($D1344="","",IFERROR(INDEX(ENVIOS!$C$4:$C$3003,MATCH($D1344,ENVIOS!$A$4:$A$3003,0)),""))</f>
        <v/>
      </c>
      <c r="M1344" s="50" t="n"/>
      <c r="N1344" s="28">
        <f>IF($M1344="","",IFERROR(INDEX(CONFIG!$C$4:$C$63,MATCH($M1344,CONFIG!$A$4:$A$63,0)),"Media"))</f>
        <v/>
      </c>
      <c r="O1344" s="28">
        <f>IF($M1344="","",IF($C1344="Interna","NO",IFERROR(INDEX(CONFIG!$E$4:$E$63,MATCH($M1344,CONFIG!$A$4:$A$63,0)),"NO")))</f>
        <v/>
      </c>
      <c r="P1344" s="50" t="n"/>
      <c r="Q1344" s="50" t="n"/>
      <c r="R1344" s="28">
        <f>IF($Q1344="","",IFERROR(INDEX(CONFIG!$H$4:$H$63,MATCH($Q1344,CONFIG!$G$4:$G$63,0)),"Por definir"))</f>
        <v/>
      </c>
      <c r="S1344" s="28">
        <f>IF($Q1344="","",IFERROR(INDEX(CONFIG!$I$4:$I$63,MATCH($Q1344,CONFIG!$G$4:$G$63,0)),"Por definir"))</f>
        <v/>
      </c>
      <c r="T1344" s="51" t="n"/>
      <c r="U1344" s="52" t="n"/>
      <c r="V1344" s="50" t="n"/>
      <c r="W1344" s="50" t="n"/>
      <c r="X1344" s="49">
        <f>IF(OR($B1344="",$M1344=""),"",WORKDAY($B1344,IFERROR(INDEX(CONFIG!$D$4:$D$63,MATCH($M1344,CONFIG!$A$4:$A$63,0)),3)))</f>
        <v/>
      </c>
      <c r="Y1344" s="47" t="n"/>
      <c r="Z1344" s="24">
        <f>IF($B1344="","",IF($Y1344&lt;&gt;"",$Y1344-$B1344,TODAY()-$B1344))</f>
        <v/>
      </c>
      <c r="AA1344" s="28">
        <f>IF($B1344="","",IF(IFERROR(INDEX(CONFIG!$L$4:$L$63,MATCH($V1344,CONFIG!$K$4:$K$63,0)),"NO")="SÍ",IF(OR($Y1344="",$X1344=""),"Resuelta",IF($Y1344&gt;$X1344,"Resuelta tarde","Resuelta a tiempo")),IF($X1344="","Sin clasificar",IF(TODAY()&gt;$X1344,"Vencida",IF(TODAY()&gt;=$X1344-1,"Por vencer","En plazo")))))</f>
        <v/>
      </c>
      <c r="AB1344" s="50" t="n"/>
      <c r="AC1344" s="50" t="n"/>
    </row>
    <row r="1345" ht="16" customHeight="1">
      <c r="A1345" s="28">
        <f>IF($B1345="","","N-"&amp;TEXT(ROW()-3,"0000"))</f>
        <v/>
      </c>
      <c r="B1345" s="47" t="n"/>
      <c r="C1345" s="48" t="n"/>
      <c r="D1345" s="48" t="n"/>
      <c r="E1345" s="28">
        <f>IF($C1345="","",IF($D1345="",IF($C1345="Interna","Sin guía (interna)","FALTA GUÍA"),IF(COUNTIFS(ENVIOS!$A$4:$A$3003,$D1345)=0,"NO EXISTE",IF(COUNTIFS(ENVIOS!$A$4:$A$3003,$D1345)&gt;1,"DUPLICADA","OK"))))</f>
        <v/>
      </c>
      <c r="F1345" s="28">
        <f>IF($D1345="","",IFERROR(INDEX(ENVIOS!$B$4:$B$3003,MATCH($D1345,ENVIOS!$A$4:$A$3003,0)),"—"))</f>
        <v/>
      </c>
      <c r="G1345" s="23">
        <f>IF($D1345="","",IFERROR(INDEX(ENVIOS!$D$4:$D$3003,MATCH($D1345,ENVIOS!$A$4:$A$3003,0)),"—"))</f>
        <v/>
      </c>
      <c r="H1345" s="23">
        <f>IF($D1345="","",IFERROR(INDEX(ENVIOS!$E$4:$E$3003,MATCH($D1345,ENVIOS!$A$4:$A$3003,0)),"—"))</f>
        <v/>
      </c>
      <c r="I1345" s="23">
        <f>IF($D1345="","",IFERROR(INDEX(ENVIOS!$F$4:$F$3003,MATCH($D1345,ENVIOS!$A$4:$A$3003,0)),"—"))</f>
        <v/>
      </c>
      <c r="J1345" s="23">
        <f>IF($D1345="","",IFERROR(INDEX(ENVIOS!$G$4:$G$3003,MATCH($D1345,ENVIOS!$A$4:$A$3003,0)),"—"))</f>
        <v/>
      </c>
      <c r="K1345" s="28">
        <f>IF($D1345="","",IFERROR(INDEX(ENVIOS!$H$4:$H$3003,MATCH($D1345,ENVIOS!$A$4:$A$3003,0)),"—"))</f>
        <v/>
      </c>
      <c r="L1345" s="49">
        <f>IF($D1345="","",IFERROR(INDEX(ENVIOS!$C$4:$C$3003,MATCH($D1345,ENVIOS!$A$4:$A$3003,0)),""))</f>
        <v/>
      </c>
      <c r="M1345" s="50" t="n"/>
      <c r="N1345" s="28">
        <f>IF($M1345="","",IFERROR(INDEX(CONFIG!$C$4:$C$63,MATCH($M1345,CONFIG!$A$4:$A$63,0)),"Media"))</f>
        <v/>
      </c>
      <c r="O1345" s="28">
        <f>IF($M1345="","",IF($C1345="Interna","NO",IFERROR(INDEX(CONFIG!$E$4:$E$63,MATCH($M1345,CONFIG!$A$4:$A$63,0)),"NO")))</f>
        <v/>
      </c>
      <c r="P1345" s="50" t="n"/>
      <c r="Q1345" s="50" t="n"/>
      <c r="R1345" s="28">
        <f>IF($Q1345="","",IFERROR(INDEX(CONFIG!$H$4:$H$63,MATCH($Q1345,CONFIG!$G$4:$G$63,0)),"Por definir"))</f>
        <v/>
      </c>
      <c r="S1345" s="28">
        <f>IF($Q1345="","",IFERROR(INDEX(CONFIG!$I$4:$I$63,MATCH($Q1345,CONFIG!$G$4:$G$63,0)),"Por definir"))</f>
        <v/>
      </c>
      <c r="T1345" s="51" t="n"/>
      <c r="U1345" s="52" t="n"/>
      <c r="V1345" s="50" t="n"/>
      <c r="W1345" s="50" t="n"/>
      <c r="X1345" s="49">
        <f>IF(OR($B1345="",$M1345=""),"",WORKDAY($B1345,IFERROR(INDEX(CONFIG!$D$4:$D$63,MATCH($M1345,CONFIG!$A$4:$A$63,0)),3)))</f>
        <v/>
      </c>
      <c r="Y1345" s="47" t="n"/>
      <c r="Z1345" s="24">
        <f>IF($B1345="","",IF($Y1345&lt;&gt;"",$Y1345-$B1345,TODAY()-$B1345))</f>
        <v/>
      </c>
      <c r="AA1345" s="28">
        <f>IF($B1345="","",IF(IFERROR(INDEX(CONFIG!$L$4:$L$63,MATCH($V1345,CONFIG!$K$4:$K$63,0)),"NO")="SÍ",IF(OR($Y1345="",$X1345=""),"Resuelta",IF($Y1345&gt;$X1345,"Resuelta tarde","Resuelta a tiempo")),IF($X1345="","Sin clasificar",IF(TODAY()&gt;$X1345,"Vencida",IF(TODAY()&gt;=$X1345-1,"Por vencer","En plazo")))))</f>
        <v/>
      </c>
      <c r="AB1345" s="50" t="n"/>
      <c r="AC1345" s="50" t="n"/>
    </row>
    <row r="1346" ht="16" customHeight="1">
      <c r="A1346" s="28">
        <f>IF($B1346="","","N-"&amp;TEXT(ROW()-3,"0000"))</f>
        <v/>
      </c>
      <c r="B1346" s="47" t="n"/>
      <c r="C1346" s="48" t="n"/>
      <c r="D1346" s="48" t="n"/>
      <c r="E1346" s="28">
        <f>IF($C1346="","",IF($D1346="",IF($C1346="Interna","Sin guía (interna)","FALTA GUÍA"),IF(COUNTIFS(ENVIOS!$A$4:$A$3003,$D1346)=0,"NO EXISTE",IF(COUNTIFS(ENVIOS!$A$4:$A$3003,$D1346)&gt;1,"DUPLICADA","OK"))))</f>
        <v/>
      </c>
      <c r="F1346" s="28">
        <f>IF($D1346="","",IFERROR(INDEX(ENVIOS!$B$4:$B$3003,MATCH($D1346,ENVIOS!$A$4:$A$3003,0)),"—"))</f>
        <v/>
      </c>
      <c r="G1346" s="23">
        <f>IF($D1346="","",IFERROR(INDEX(ENVIOS!$D$4:$D$3003,MATCH($D1346,ENVIOS!$A$4:$A$3003,0)),"—"))</f>
        <v/>
      </c>
      <c r="H1346" s="23">
        <f>IF($D1346="","",IFERROR(INDEX(ENVIOS!$E$4:$E$3003,MATCH($D1346,ENVIOS!$A$4:$A$3003,0)),"—"))</f>
        <v/>
      </c>
      <c r="I1346" s="23">
        <f>IF($D1346="","",IFERROR(INDEX(ENVIOS!$F$4:$F$3003,MATCH($D1346,ENVIOS!$A$4:$A$3003,0)),"—"))</f>
        <v/>
      </c>
      <c r="J1346" s="23">
        <f>IF($D1346="","",IFERROR(INDEX(ENVIOS!$G$4:$G$3003,MATCH($D1346,ENVIOS!$A$4:$A$3003,0)),"—"))</f>
        <v/>
      </c>
      <c r="K1346" s="28">
        <f>IF($D1346="","",IFERROR(INDEX(ENVIOS!$H$4:$H$3003,MATCH($D1346,ENVIOS!$A$4:$A$3003,0)),"—"))</f>
        <v/>
      </c>
      <c r="L1346" s="49">
        <f>IF($D1346="","",IFERROR(INDEX(ENVIOS!$C$4:$C$3003,MATCH($D1346,ENVIOS!$A$4:$A$3003,0)),""))</f>
        <v/>
      </c>
      <c r="M1346" s="50" t="n"/>
      <c r="N1346" s="28">
        <f>IF($M1346="","",IFERROR(INDEX(CONFIG!$C$4:$C$63,MATCH($M1346,CONFIG!$A$4:$A$63,0)),"Media"))</f>
        <v/>
      </c>
      <c r="O1346" s="28">
        <f>IF($M1346="","",IF($C1346="Interna","NO",IFERROR(INDEX(CONFIG!$E$4:$E$63,MATCH($M1346,CONFIG!$A$4:$A$63,0)),"NO")))</f>
        <v/>
      </c>
      <c r="P1346" s="50" t="n"/>
      <c r="Q1346" s="50" t="n"/>
      <c r="R1346" s="28">
        <f>IF($Q1346="","",IFERROR(INDEX(CONFIG!$H$4:$H$63,MATCH($Q1346,CONFIG!$G$4:$G$63,0)),"Por definir"))</f>
        <v/>
      </c>
      <c r="S1346" s="28">
        <f>IF($Q1346="","",IFERROR(INDEX(CONFIG!$I$4:$I$63,MATCH($Q1346,CONFIG!$G$4:$G$63,0)),"Por definir"))</f>
        <v/>
      </c>
      <c r="T1346" s="51" t="n"/>
      <c r="U1346" s="52" t="n"/>
      <c r="V1346" s="50" t="n"/>
      <c r="W1346" s="50" t="n"/>
      <c r="X1346" s="49">
        <f>IF(OR($B1346="",$M1346=""),"",WORKDAY($B1346,IFERROR(INDEX(CONFIG!$D$4:$D$63,MATCH($M1346,CONFIG!$A$4:$A$63,0)),3)))</f>
        <v/>
      </c>
      <c r="Y1346" s="47" t="n"/>
      <c r="Z1346" s="24">
        <f>IF($B1346="","",IF($Y1346&lt;&gt;"",$Y1346-$B1346,TODAY()-$B1346))</f>
        <v/>
      </c>
      <c r="AA1346" s="28">
        <f>IF($B1346="","",IF(IFERROR(INDEX(CONFIG!$L$4:$L$63,MATCH($V1346,CONFIG!$K$4:$K$63,0)),"NO")="SÍ",IF(OR($Y1346="",$X1346=""),"Resuelta",IF($Y1346&gt;$X1346,"Resuelta tarde","Resuelta a tiempo")),IF($X1346="","Sin clasificar",IF(TODAY()&gt;$X1346,"Vencida",IF(TODAY()&gt;=$X1346-1,"Por vencer","En plazo")))))</f>
        <v/>
      </c>
      <c r="AB1346" s="50" t="n"/>
      <c r="AC1346" s="50" t="n"/>
    </row>
    <row r="1347" ht="16" customHeight="1">
      <c r="A1347" s="28">
        <f>IF($B1347="","","N-"&amp;TEXT(ROW()-3,"0000"))</f>
        <v/>
      </c>
      <c r="B1347" s="47" t="n"/>
      <c r="C1347" s="48" t="n"/>
      <c r="D1347" s="48" t="n"/>
      <c r="E1347" s="28">
        <f>IF($C1347="","",IF($D1347="",IF($C1347="Interna","Sin guía (interna)","FALTA GUÍA"),IF(COUNTIFS(ENVIOS!$A$4:$A$3003,$D1347)=0,"NO EXISTE",IF(COUNTIFS(ENVIOS!$A$4:$A$3003,$D1347)&gt;1,"DUPLICADA","OK"))))</f>
        <v/>
      </c>
      <c r="F1347" s="28">
        <f>IF($D1347="","",IFERROR(INDEX(ENVIOS!$B$4:$B$3003,MATCH($D1347,ENVIOS!$A$4:$A$3003,0)),"—"))</f>
        <v/>
      </c>
      <c r="G1347" s="23">
        <f>IF($D1347="","",IFERROR(INDEX(ENVIOS!$D$4:$D$3003,MATCH($D1347,ENVIOS!$A$4:$A$3003,0)),"—"))</f>
        <v/>
      </c>
      <c r="H1347" s="23">
        <f>IF($D1347="","",IFERROR(INDEX(ENVIOS!$E$4:$E$3003,MATCH($D1347,ENVIOS!$A$4:$A$3003,0)),"—"))</f>
        <v/>
      </c>
      <c r="I1347" s="23">
        <f>IF($D1347="","",IFERROR(INDEX(ENVIOS!$F$4:$F$3003,MATCH($D1347,ENVIOS!$A$4:$A$3003,0)),"—"))</f>
        <v/>
      </c>
      <c r="J1347" s="23">
        <f>IF($D1347="","",IFERROR(INDEX(ENVIOS!$G$4:$G$3003,MATCH($D1347,ENVIOS!$A$4:$A$3003,0)),"—"))</f>
        <v/>
      </c>
      <c r="K1347" s="28">
        <f>IF($D1347="","",IFERROR(INDEX(ENVIOS!$H$4:$H$3003,MATCH($D1347,ENVIOS!$A$4:$A$3003,0)),"—"))</f>
        <v/>
      </c>
      <c r="L1347" s="49">
        <f>IF($D1347="","",IFERROR(INDEX(ENVIOS!$C$4:$C$3003,MATCH($D1347,ENVIOS!$A$4:$A$3003,0)),""))</f>
        <v/>
      </c>
      <c r="M1347" s="50" t="n"/>
      <c r="N1347" s="28">
        <f>IF($M1347="","",IFERROR(INDEX(CONFIG!$C$4:$C$63,MATCH($M1347,CONFIG!$A$4:$A$63,0)),"Media"))</f>
        <v/>
      </c>
      <c r="O1347" s="28">
        <f>IF($M1347="","",IF($C1347="Interna","NO",IFERROR(INDEX(CONFIG!$E$4:$E$63,MATCH($M1347,CONFIG!$A$4:$A$63,0)),"NO")))</f>
        <v/>
      </c>
      <c r="P1347" s="50" t="n"/>
      <c r="Q1347" s="50" t="n"/>
      <c r="R1347" s="28">
        <f>IF($Q1347="","",IFERROR(INDEX(CONFIG!$H$4:$H$63,MATCH($Q1347,CONFIG!$G$4:$G$63,0)),"Por definir"))</f>
        <v/>
      </c>
      <c r="S1347" s="28">
        <f>IF($Q1347="","",IFERROR(INDEX(CONFIG!$I$4:$I$63,MATCH($Q1347,CONFIG!$G$4:$G$63,0)),"Por definir"))</f>
        <v/>
      </c>
      <c r="T1347" s="51" t="n"/>
      <c r="U1347" s="52" t="n"/>
      <c r="V1347" s="50" t="n"/>
      <c r="W1347" s="50" t="n"/>
      <c r="X1347" s="49">
        <f>IF(OR($B1347="",$M1347=""),"",WORKDAY($B1347,IFERROR(INDEX(CONFIG!$D$4:$D$63,MATCH($M1347,CONFIG!$A$4:$A$63,0)),3)))</f>
        <v/>
      </c>
      <c r="Y1347" s="47" t="n"/>
      <c r="Z1347" s="24">
        <f>IF($B1347="","",IF($Y1347&lt;&gt;"",$Y1347-$B1347,TODAY()-$B1347))</f>
        <v/>
      </c>
      <c r="AA1347" s="28">
        <f>IF($B1347="","",IF(IFERROR(INDEX(CONFIG!$L$4:$L$63,MATCH($V1347,CONFIG!$K$4:$K$63,0)),"NO")="SÍ",IF(OR($Y1347="",$X1347=""),"Resuelta",IF($Y1347&gt;$X1347,"Resuelta tarde","Resuelta a tiempo")),IF($X1347="","Sin clasificar",IF(TODAY()&gt;$X1347,"Vencida",IF(TODAY()&gt;=$X1347-1,"Por vencer","En plazo")))))</f>
        <v/>
      </c>
      <c r="AB1347" s="50" t="n"/>
      <c r="AC1347" s="50" t="n"/>
    </row>
    <row r="1348" ht="16" customHeight="1">
      <c r="A1348" s="28">
        <f>IF($B1348="","","N-"&amp;TEXT(ROW()-3,"0000"))</f>
        <v/>
      </c>
      <c r="B1348" s="47" t="n"/>
      <c r="C1348" s="48" t="n"/>
      <c r="D1348" s="48" t="n"/>
      <c r="E1348" s="28">
        <f>IF($C1348="","",IF($D1348="",IF($C1348="Interna","Sin guía (interna)","FALTA GUÍA"),IF(COUNTIFS(ENVIOS!$A$4:$A$3003,$D1348)=0,"NO EXISTE",IF(COUNTIFS(ENVIOS!$A$4:$A$3003,$D1348)&gt;1,"DUPLICADA","OK"))))</f>
        <v/>
      </c>
      <c r="F1348" s="28">
        <f>IF($D1348="","",IFERROR(INDEX(ENVIOS!$B$4:$B$3003,MATCH($D1348,ENVIOS!$A$4:$A$3003,0)),"—"))</f>
        <v/>
      </c>
      <c r="G1348" s="23">
        <f>IF($D1348="","",IFERROR(INDEX(ENVIOS!$D$4:$D$3003,MATCH($D1348,ENVIOS!$A$4:$A$3003,0)),"—"))</f>
        <v/>
      </c>
      <c r="H1348" s="23">
        <f>IF($D1348="","",IFERROR(INDEX(ENVIOS!$E$4:$E$3003,MATCH($D1348,ENVIOS!$A$4:$A$3003,0)),"—"))</f>
        <v/>
      </c>
      <c r="I1348" s="23">
        <f>IF($D1348="","",IFERROR(INDEX(ENVIOS!$F$4:$F$3003,MATCH($D1348,ENVIOS!$A$4:$A$3003,0)),"—"))</f>
        <v/>
      </c>
      <c r="J1348" s="23">
        <f>IF($D1348="","",IFERROR(INDEX(ENVIOS!$G$4:$G$3003,MATCH($D1348,ENVIOS!$A$4:$A$3003,0)),"—"))</f>
        <v/>
      </c>
      <c r="K1348" s="28">
        <f>IF($D1348="","",IFERROR(INDEX(ENVIOS!$H$4:$H$3003,MATCH($D1348,ENVIOS!$A$4:$A$3003,0)),"—"))</f>
        <v/>
      </c>
      <c r="L1348" s="49">
        <f>IF($D1348="","",IFERROR(INDEX(ENVIOS!$C$4:$C$3003,MATCH($D1348,ENVIOS!$A$4:$A$3003,0)),""))</f>
        <v/>
      </c>
      <c r="M1348" s="50" t="n"/>
      <c r="N1348" s="28">
        <f>IF($M1348="","",IFERROR(INDEX(CONFIG!$C$4:$C$63,MATCH($M1348,CONFIG!$A$4:$A$63,0)),"Media"))</f>
        <v/>
      </c>
      <c r="O1348" s="28">
        <f>IF($M1348="","",IF($C1348="Interna","NO",IFERROR(INDEX(CONFIG!$E$4:$E$63,MATCH($M1348,CONFIG!$A$4:$A$63,0)),"NO")))</f>
        <v/>
      </c>
      <c r="P1348" s="50" t="n"/>
      <c r="Q1348" s="50" t="n"/>
      <c r="R1348" s="28">
        <f>IF($Q1348="","",IFERROR(INDEX(CONFIG!$H$4:$H$63,MATCH($Q1348,CONFIG!$G$4:$G$63,0)),"Por definir"))</f>
        <v/>
      </c>
      <c r="S1348" s="28">
        <f>IF($Q1348="","",IFERROR(INDEX(CONFIG!$I$4:$I$63,MATCH($Q1348,CONFIG!$G$4:$G$63,0)),"Por definir"))</f>
        <v/>
      </c>
      <c r="T1348" s="51" t="n"/>
      <c r="U1348" s="52" t="n"/>
      <c r="V1348" s="50" t="n"/>
      <c r="W1348" s="50" t="n"/>
      <c r="X1348" s="49">
        <f>IF(OR($B1348="",$M1348=""),"",WORKDAY($B1348,IFERROR(INDEX(CONFIG!$D$4:$D$63,MATCH($M1348,CONFIG!$A$4:$A$63,0)),3)))</f>
        <v/>
      </c>
      <c r="Y1348" s="47" t="n"/>
      <c r="Z1348" s="24">
        <f>IF($B1348="","",IF($Y1348&lt;&gt;"",$Y1348-$B1348,TODAY()-$B1348))</f>
        <v/>
      </c>
      <c r="AA1348" s="28">
        <f>IF($B1348="","",IF(IFERROR(INDEX(CONFIG!$L$4:$L$63,MATCH($V1348,CONFIG!$K$4:$K$63,0)),"NO")="SÍ",IF(OR($Y1348="",$X1348=""),"Resuelta",IF($Y1348&gt;$X1348,"Resuelta tarde","Resuelta a tiempo")),IF($X1348="","Sin clasificar",IF(TODAY()&gt;$X1348,"Vencida",IF(TODAY()&gt;=$X1348-1,"Por vencer","En plazo")))))</f>
        <v/>
      </c>
      <c r="AB1348" s="50" t="n"/>
      <c r="AC1348" s="50" t="n"/>
    </row>
    <row r="1349" ht="16" customHeight="1">
      <c r="A1349" s="28">
        <f>IF($B1349="","","N-"&amp;TEXT(ROW()-3,"0000"))</f>
        <v/>
      </c>
      <c r="B1349" s="47" t="n"/>
      <c r="C1349" s="48" t="n"/>
      <c r="D1349" s="48" t="n"/>
      <c r="E1349" s="28">
        <f>IF($C1349="","",IF($D1349="",IF($C1349="Interna","Sin guía (interna)","FALTA GUÍA"),IF(COUNTIFS(ENVIOS!$A$4:$A$3003,$D1349)=0,"NO EXISTE",IF(COUNTIFS(ENVIOS!$A$4:$A$3003,$D1349)&gt;1,"DUPLICADA","OK"))))</f>
        <v/>
      </c>
      <c r="F1349" s="28">
        <f>IF($D1349="","",IFERROR(INDEX(ENVIOS!$B$4:$B$3003,MATCH($D1349,ENVIOS!$A$4:$A$3003,0)),"—"))</f>
        <v/>
      </c>
      <c r="G1349" s="23">
        <f>IF($D1349="","",IFERROR(INDEX(ENVIOS!$D$4:$D$3003,MATCH($D1349,ENVIOS!$A$4:$A$3003,0)),"—"))</f>
        <v/>
      </c>
      <c r="H1349" s="23">
        <f>IF($D1349="","",IFERROR(INDEX(ENVIOS!$E$4:$E$3003,MATCH($D1349,ENVIOS!$A$4:$A$3003,0)),"—"))</f>
        <v/>
      </c>
      <c r="I1349" s="23">
        <f>IF($D1349="","",IFERROR(INDEX(ENVIOS!$F$4:$F$3003,MATCH($D1349,ENVIOS!$A$4:$A$3003,0)),"—"))</f>
        <v/>
      </c>
      <c r="J1349" s="23">
        <f>IF($D1349="","",IFERROR(INDEX(ENVIOS!$G$4:$G$3003,MATCH($D1349,ENVIOS!$A$4:$A$3003,0)),"—"))</f>
        <v/>
      </c>
      <c r="K1349" s="28">
        <f>IF($D1349="","",IFERROR(INDEX(ENVIOS!$H$4:$H$3003,MATCH($D1349,ENVIOS!$A$4:$A$3003,0)),"—"))</f>
        <v/>
      </c>
      <c r="L1349" s="49">
        <f>IF($D1349="","",IFERROR(INDEX(ENVIOS!$C$4:$C$3003,MATCH($D1349,ENVIOS!$A$4:$A$3003,0)),""))</f>
        <v/>
      </c>
      <c r="M1349" s="50" t="n"/>
      <c r="N1349" s="28">
        <f>IF($M1349="","",IFERROR(INDEX(CONFIG!$C$4:$C$63,MATCH($M1349,CONFIG!$A$4:$A$63,0)),"Media"))</f>
        <v/>
      </c>
      <c r="O1349" s="28">
        <f>IF($M1349="","",IF($C1349="Interna","NO",IFERROR(INDEX(CONFIG!$E$4:$E$63,MATCH($M1349,CONFIG!$A$4:$A$63,0)),"NO")))</f>
        <v/>
      </c>
      <c r="P1349" s="50" t="n"/>
      <c r="Q1349" s="50" t="n"/>
      <c r="R1349" s="28">
        <f>IF($Q1349="","",IFERROR(INDEX(CONFIG!$H$4:$H$63,MATCH($Q1349,CONFIG!$G$4:$G$63,0)),"Por definir"))</f>
        <v/>
      </c>
      <c r="S1349" s="28">
        <f>IF($Q1349="","",IFERROR(INDEX(CONFIG!$I$4:$I$63,MATCH($Q1349,CONFIG!$G$4:$G$63,0)),"Por definir"))</f>
        <v/>
      </c>
      <c r="T1349" s="51" t="n"/>
      <c r="U1349" s="52" t="n"/>
      <c r="V1349" s="50" t="n"/>
      <c r="W1349" s="50" t="n"/>
      <c r="X1349" s="49">
        <f>IF(OR($B1349="",$M1349=""),"",WORKDAY($B1349,IFERROR(INDEX(CONFIG!$D$4:$D$63,MATCH($M1349,CONFIG!$A$4:$A$63,0)),3)))</f>
        <v/>
      </c>
      <c r="Y1349" s="47" t="n"/>
      <c r="Z1349" s="24">
        <f>IF($B1349="","",IF($Y1349&lt;&gt;"",$Y1349-$B1349,TODAY()-$B1349))</f>
        <v/>
      </c>
      <c r="AA1349" s="28">
        <f>IF($B1349="","",IF(IFERROR(INDEX(CONFIG!$L$4:$L$63,MATCH($V1349,CONFIG!$K$4:$K$63,0)),"NO")="SÍ",IF(OR($Y1349="",$X1349=""),"Resuelta",IF($Y1349&gt;$X1349,"Resuelta tarde","Resuelta a tiempo")),IF($X1349="","Sin clasificar",IF(TODAY()&gt;$X1349,"Vencida",IF(TODAY()&gt;=$X1349-1,"Por vencer","En plazo")))))</f>
        <v/>
      </c>
      <c r="AB1349" s="50" t="n"/>
      <c r="AC1349" s="50" t="n"/>
    </row>
    <row r="1350" ht="16" customHeight="1">
      <c r="A1350" s="28">
        <f>IF($B1350="","","N-"&amp;TEXT(ROW()-3,"0000"))</f>
        <v/>
      </c>
      <c r="B1350" s="47" t="n"/>
      <c r="C1350" s="48" t="n"/>
      <c r="D1350" s="48" t="n"/>
      <c r="E1350" s="28">
        <f>IF($C1350="","",IF($D1350="",IF($C1350="Interna","Sin guía (interna)","FALTA GUÍA"),IF(COUNTIFS(ENVIOS!$A$4:$A$3003,$D1350)=0,"NO EXISTE",IF(COUNTIFS(ENVIOS!$A$4:$A$3003,$D1350)&gt;1,"DUPLICADA","OK"))))</f>
        <v/>
      </c>
      <c r="F1350" s="28">
        <f>IF($D1350="","",IFERROR(INDEX(ENVIOS!$B$4:$B$3003,MATCH($D1350,ENVIOS!$A$4:$A$3003,0)),"—"))</f>
        <v/>
      </c>
      <c r="G1350" s="23">
        <f>IF($D1350="","",IFERROR(INDEX(ENVIOS!$D$4:$D$3003,MATCH($D1350,ENVIOS!$A$4:$A$3003,0)),"—"))</f>
        <v/>
      </c>
      <c r="H1350" s="23">
        <f>IF($D1350="","",IFERROR(INDEX(ENVIOS!$E$4:$E$3003,MATCH($D1350,ENVIOS!$A$4:$A$3003,0)),"—"))</f>
        <v/>
      </c>
      <c r="I1350" s="23">
        <f>IF($D1350="","",IFERROR(INDEX(ENVIOS!$F$4:$F$3003,MATCH($D1350,ENVIOS!$A$4:$A$3003,0)),"—"))</f>
        <v/>
      </c>
      <c r="J1350" s="23">
        <f>IF($D1350="","",IFERROR(INDEX(ENVIOS!$G$4:$G$3003,MATCH($D1350,ENVIOS!$A$4:$A$3003,0)),"—"))</f>
        <v/>
      </c>
      <c r="K1350" s="28">
        <f>IF($D1350="","",IFERROR(INDEX(ENVIOS!$H$4:$H$3003,MATCH($D1350,ENVIOS!$A$4:$A$3003,0)),"—"))</f>
        <v/>
      </c>
      <c r="L1350" s="49">
        <f>IF($D1350="","",IFERROR(INDEX(ENVIOS!$C$4:$C$3003,MATCH($D1350,ENVIOS!$A$4:$A$3003,0)),""))</f>
        <v/>
      </c>
      <c r="M1350" s="50" t="n"/>
      <c r="N1350" s="28">
        <f>IF($M1350="","",IFERROR(INDEX(CONFIG!$C$4:$C$63,MATCH($M1350,CONFIG!$A$4:$A$63,0)),"Media"))</f>
        <v/>
      </c>
      <c r="O1350" s="28">
        <f>IF($M1350="","",IF($C1350="Interna","NO",IFERROR(INDEX(CONFIG!$E$4:$E$63,MATCH($M1350,CONFIG!$A$4:$A$63,0)),"NO")))</f>
        <v/>
      </c>
      <c r="P1350" s="50" t="n"/>
      <c r="Q1350" s="50" t="n"/>
      <c r="R1350" s="28">
        <f>IF($Q1350="","",IFERROR(INDEX(CONFIG!$H$4:$H$63,MATCH($Q1350,CONFIG!$G$4:$G$63,0)),"Por definir"))</f>
        <v/>
      </c>
      <c r="S1350" s="28">
        <f>IF($Q1350="","",IFERROR(INDEX(CONFIG!$I$4:$I$63,MATCH($Q1350,CONFIG!$G$4:$G$63,0)),"Por definir"))</f>
        <v/>
      </c>
      <c r="T1350" s="51" t="n"/>
      <c r="U1350" s="52" t="n"/>
      <c r="V1350" s="50" t="n"/>
      <c r="W1350" s="50" t="n"/>
      <c r="X1350" s="49">
        <f>IF(OR($B1350="",$M1350=""),"",WORKDAY($B1350,IFERROR(INDEX(CONFIG!$D$4:$D$63,MATCH($M1350,CONFIG!$A$4:$A$63,0)),3)))</f>
        <v/>
      </c>
      <c r="Y1350" s="47" t="n"/>
      <c r="Z1350" s="24">
        <f>IF($B1350="","",IF($Y1350&lt;&gt;"",$Y1350-$B1350,TODAY()-$B1350))</f>
        <v/>
      </c>
      <c r="AA1350" s="28">
        <f>IF($B1350="","",IF(IFERROR(INDEX(CONFIG!$L$4:$L$63,MATCH($V1350,CONFIG!$K$4:$K$63,0)),"NO")="SÍ",IF(OR($Y1350="",$X1350=""),"Resuelta",IF($Y1350&gt;$X1350,"Resuelta tarde","Resuelta a tiempo")),IF($X1350="","Sin clasificar",IF(TODAY()&gt;$X1350,"Vencida",IF(TODAY()&gt;=$X1350-1,"Por vencer","En plazo")))))</f>
        <v/>
      </c>
      <c r="AB1350" s="50" t="n"/>
      <c r="AC1350" s="50" t="n"/>
    </row>
    <row r="1351" ht="16" customHeight="1">
      <c r="A1351" s="28">
        <f>IF($B1351="","","N-"&amp;TEXT(ROW()-3,"0000"))</f>
        <v/>
      </c>
      <c r="B1351" s="47" t="n"/>
      <c r="C1351" s="48" t="n"/>
      <c r="D1351" s="48" t="n"/>
      <c r="E1351" s="28">
        <f>IF($C1351="","",IF($D1351="",IF($C1351="Interna","Sin guía (interna)","FALTA GUÍA"),IF(COUNTIFS(ENVIOS!$A$4:$A$3003,$D1351)=0,"NO EXISTE",IF(COUNTIFS(ENVIOS!$A$4:$A$3003,$D1351)&gt;1,"DUPLICADA","OK"))))</f>
        <v/>
      </c>
      <c r="F1351" s="28">
        <f>IF($D1351="","",IFERROR(INDEX(ENVIOS!$B$4:$B$3003,MATCH($D1351,ENVIOS!$A$4:$A$3003,0)),"—"))</f>
        <v/>
      </c>
      <c r="G1351" s="23">
        <f>IF($D1351="","",IFERROR(INDEX(ENVIOS!$D$4:$D$3003,MATCH($D1351,ENVIOS!$A$4:$A$3003,0)),"—"))</f>
        <v/>
      </c>
      <c r="H1351" s="23">
        <f>IF($D1351="","",IFERROR(INDEX(ENVIOS!$E$4:$E$3003,MATCH($D1351,ENVIOS!$A$4:$A$3003,0)),"—"))</f>
        <v/>
      </c>
      <c r="I1351" s="23">
        <f>IF($D1351="","",IFERROR(INDEX(ENVIOS!$F$4:$F$3003,MATCH($D1351,ENVIOS!$A$4:$A$3003,0)),"—"))</f>
        <v/>
      </c>
      <c r="J1351" s="23">
        <f>IF($D1351="","",IFERROR(INDEX(ENVIOS!$G$4:$G$3003,MATCH($D1351,ENVIOS!$A$4:$A$3003,0)),"—"))</f>
        <v/>
      </c>
      <c r="K1351" s="28">
        <f>IF($D1351="","",IFERROR(INDEX(ENVIOS!$H$4:$H$3003,MATCH($D1351,ENVIOS!$A$4:$A$3003,0)),"—"))</f>
        <v/>
      </c>
      <c r="L1351" s="49">
        <f>IF($D1351="","",IFERROR(INDEX(ENVIOS!$C$4:$C$3003,MATCH($D1351,ENVIOS!$A$4:$A$3003,0)),""))</f>
        <v/>
      </c>
      <c r="M1351" s="50" t="n"/>
      <c r="N1351" s="28">
        <f>IF($M1351="","",IFERROR(INDEX(CONFIG!$C$4:$C$63,MATCH($M1351,CONFIG!$A$4:$A$63,0)),"Media"))</f>
        <v/>
      </c>
      <c r="O1351" s="28">
        <f>IF($M1351="","",IF($C1351="Interna","NO",IFERROR(INDEX(CONFIG!$E$4:$E$63,MATCH($M1351,CONFIG!$A$4:$A$63,0)),"NO")))</f>
        <v/>
      </c>
      <c r="P1351" s="50" t="n"/>
      <c r="Q1351" s="50" t="n"/>
      <c r="R1351" s="28">
        <f>IF($Q1351="","",IFERROR(INDEX(CONFIG!$H$4:$H$63,MATCH($Q1351,CONFIG!$G$4:$G$63,0)),"Por definir"))</f>
        <v/>
      </c>
      <c r="S1351" s="28">
        <f>IF($Q1351="","",IFERROR(INDEX(CONFIG!$I$4:$I$63,MATCH($Q1351,CONFIG!$G$4:$G$63,0)),"Por definir"))</f>
        <v/>
      </c>
      <c r="T1351" s="51" t="n"/>
      <c r="U1351" s="52" t="n"/>
      <c r="V1351" s="50" t="n"/>
      <c r="W1351" s="50" t="n"/>
      <c r="X1351" s="49">
        <f>IF(OR($B1351="",$M1351=""),"",WORKDAY($B1351,IFERROR(INDEX(CONFIG!$D$4:$D$63,MATCH($M1351,CONFIG!$A$4:$A$63,0)),3)))</f>
        <v/>
      </c>
      <c r="Y1351" s="47" t="n"/>
      <c r="Z1351" s="24">
        <f>IF($B1351="","",IF($Y1351&lt;&gt;"",$Y1351-$B1351,TODAY()-$B1351))</f>
        <v/>
      </c>
      <c r="AA1351" s="28">
        <f>IF($B1351="","",IF(IFERROR(INDEX(CONFIG!$L$4:$L$63,MATCH($V1351,CONFIG!$K$4:$K$63,0)),"NO")="SÍ",IF(OR($Y1351="",$X1351=""),"Resuelta",IF($Y1351&gt;$X1351,"Resuelta tarde","Resuelta a tiempo")),IF($X1351="","Sin clasificar",IF(TODAY()&gt;$X1351,"Vencida",IF(TODAY()&gt;=$X1351-1,"Por vencer","En plazo")))))</f>
        <v/>
      </c>
      <c r="AB1351" s="50" t="n"/>
      <c r="AC1351" s="50" t="n"/>
    </row>
    <row r="1352" ht="16" customHeight="1">
      <c r="A1352" s="28">
        <f>IF($B1352="","","N-"&amp;TEXT(ROW()-3,"0000"))</f>
        <v/>
      </c>
      <c r="B1352" s="47" t="n"/>
      <c r="C1352" s="48" t="n"/>
      <c r="D1352" s="48" t="n"/>
      <c r="E1352" s="28">
        <f>IF($C1352="","",IF($D1352="",IF($C1352="Interna","Sin guía (interna)","FALTA GUÍA"),IF(COUNTIFS(ENVIOS!$A$4:$A$3003,$D1352)=0,"NO EXISTE",IF(COUNTIFS(ENVIOS!$A$4:$A$3003,$D1352)&gt;1,"DUPLICADA","OK"))))</f>
        <v/>
      </c>
      <c r="F1352" s="28">
        <f>IF($D1352="","",IFERROR(INDEX(ENVIOS!$B$4:$B$3003,MATCH($D1352,ENVIOS!$A$4:$A$3003,0)),"—"))</f>
        <v/>
      </c>
      <c r="G1352" s="23">
        <f>IF($D1352="","",IFERROR(INDEX(ENVIOS!$D$4:$D$3003,MATCH($D1352,ENVIOS!$A$4:$A$3003,0)),"—"))</f>
        <v/>
      </c>
      <c r="H1352" s="23">
        <f>IF($D1352="","",IFERROR(INDEX(ENVIOS!$E$4:$E$3003,MATCH($D1352,ENVIOS!$A$4:$A$3003,0)),"—"))</f>
        <v/>
      </c>
      <c r="I1352" s="23">
        <f>IF($D1352="","",IFERROR(INDEX(ENVIOS!$F$4:$F$3003,MATCH($D1352,ENVIOS!$A$4:$A$3003,0)),"—"))</f>
        <v/>
      </c>
      <c r="J1352" s="23">
        <f>IF($D1352="","",IFERROR(INDEX(ENVIOS!$G$4:$G$3003,MATCH($D1352,ENVIOS!$A$4:$A$3003,0)),"—"))</f>
        <v/>
      </c>
      <c r="K1352" s="28">
        <f>IF($D1352="","",IFERROR(INDEX(ENVIOS!$H$4:$H$3003,MATCH($D1352,ENVIOS!$A$4:$A$3003,0)),"—"))</f>
        <v/>
      </c>
      <c r="L1352" s="49">
        <f>IF($D1352="","",IFERROR(INDEX(ENVIOS!$C$4:$C$3003,MATCH($D1352,ENVIOS!$A$4:$A$3003,0)),""))</f>
        <v/>
      </c>
      <c r="M1352" s="50" t="n"/>
      <c r="N1352" s="28">
        <f>IF($M1352="","",IFERROR(INDEX(CONFIG!$C$4:$C$63,MATCH($M1352,CONFIG!$A$4:$A$63,0)),"Media"))</f>
        <v/>
      </c>
      <c r="O1352" s="28">
        <f>IF($M1352="","",IF($C1352="Interna","NO",IFERROR(INDEX(CONFIG!$E$4:$E$63,MATCH($M1352,CONFIG!$A$4:$A$63,0)),"NO")))</f>
        <v/>
      </c>
      <c r="P1352" s="50" t="n"/>
      <c r="Q1352" s="50" t="n"/>
      <c r="R1352" s="28">
        <f>IF($Q1352="","",IFERROR(INDEX(CONFIG!$H$4:$H$63,MATCH($Q1352,CONFIG!$G$4:$G$63,0)),"Por definir"))</f>
        <v/>
      </c>
      <c r="S1352" s="28">
        <f>IF($Q1352="","",IFERROR(INDEX(CONFIG!$I$4:$I$63,MATCH($Q1352,CONFIG!$G$4:$G$63,0)),"Por definir"))</f>
        <v/>
      </c>
      <c r="T1352" s="51" t="n"/>
      <c r="U1352" s="52" t="n"/>
      <c r="V1352" s="50" t="n"/>
      <c r="W1352" s="50" t="n"/>
      <c r="X1352" s="49">
        <f>IF(OR($B1352="",$M1352=""),"",WORKDAY($B1352,IFERROR(INDEX(CONFIG!$D$4:$D$63,MATCH($M1352,CONFIG!$A$4:$A$63,0)),3)))</f>
        <v/>
      </c>
      <c r="Y1352" s="47" t="n"/>
      <c r="Z1352" s="24">
        <f>IF($B1352="","",IF($Y1352&lt;&gt;"",$Y1352-$B1352,TODAY()-$B1352))</f>
        <v/>
      </c>
      <c r="AA1352" s="28">
        <f>IF($B1352="","",IF(IFERROR(INDEX(CONFIG!$L$4:$L$63,MATCH($V1352,CONFIG!$K$4:$K$63,0)),"NO")="SÍ",IF(OR($Y1352="",$X1352=""),"Resuelta",IF($Y1352&gt;$X1352,"Resuelta tarde","Resuelta a tiempo")),IF($X1352="","Sin clasificar",IF(TODAY()&gt;$X1352,"Vencida",IF(TODAY()&gt;=$X1352-1,"Por vencer","En plazo")))))</f>
        <v/>
      </c>
      <c r="AB1352" s="50" t="n"/>
      <c r="AC1352" s="50" t="n"/>
    </row>
    <row r="1353" ht="16" customHeight="1">
      <c r="A1353" s="28">
        <f>IF($B1353="","","N-"&amp;TEXT(ROW()-3,"0000"))</f>
        <v/>
      </c>
      <c r="B1353" s="47" t="n"/>
      <c r="C1353" s="48" t="n"/>
      <c r="D1353" s="48" t="n"/>
      <c r="E1353" s="28">
        <f>IF($C1353="","",IF($D1353="",IF($C1353="Interna","Sin guía (interna)","FALTA GUÍA"),IF(COUNTIFS(ENVIOS!$A$4:$A$3003,$D1353)=0,"NO EXISTE",IF(COUNTIFS(ENVIOS!$A$4:$A$3003,$D1353)&gt;1,"DUPLICADA","OK"))))</f>
        <v/>
      </c>
      <c r="F1353" s="28">
        <f>IF($D1353="","",IFERROR(INDEX(ENVIOS!$B$4:$B$3003,MATCH($D1353,ENVIOS!$A$4:$A$3003,0)),"—"))</f>
        <v/>
      </c>
      <c r="G1353" s="23">
        <f>IF($D1353="","",IFERROR(INDEX(ENVIOS!$D$4:$D$3003,MATCH($D1353,ENVIOS!$A$4:$A$3003,0)),"—"))</f>
        <v/>
      </c>
      <c r="H1353" s="23">
        <f>IF($D1353="","",IFERROR(INDEX(ENVIOS!$E$4:$E$3003,MATCH($D1353,ENVIOS!$A$4:$A$3003,0)),"—"))</f>
        <v/>
      </c>
      <c r="I1353" s="23">
        <f>IF($D1353="","",IFERROR(INDEX(ENVIOS!$F$4:$F$3003,MATCH($D1353,ENVIOS!$A$4:$A$3003,0)),"—"))</f>
        <v/>
      </c>
      <c r="J1353" s="23">
        <f>IF($D1353="","",IFERROR(INDEX(ENVIOS!$G$4:$G$3003,MATCH($D1353,ENVIOS!$A$4:$A$3003,0)),"—"))</f>
        <v/>
      </c>
      <c r="K1353" s="28">
        <f>IF($D1353="","",IFERROR(INDEX(ENVIOS!$H$4:$H$3003,MATCH($D1353,ENVIOS!$A$4:$A$3003,0)),"—"))</f>
        <v/>
      </c>
      <c r="L1353" s="49">
        <f>IF($D1353="","",IFERROR(INDEX(ENVIOS!$C$4:$C$3003,MATCH($D1353,ENVIOS!$A$4:$A$3003,0)),""))</f>
        <v/>
      </c>
      <c r="M1353" s="50" t="n"/>
      <c r="N1353" s="28">
        <f>IF($M1353="","",IFERROR(INDEX(CONFIG!$C$4:$C$63,MATCH($M1353,CONFIG!$A$4:$A$63,0)),"Media"))</f>
        <v/>
      </c>
      <c r="O1353" s="28">
        <f>IF($M1353="","",IF($C1353="Interna","NO",IFERROR(INDEX(CONFIG!$E$4:$E$63,MATCH($M1353,CONFIG!$A$4:$A$63,0)),"NO")))</f>
        <v/>
      </c>
      <c r="P1353" s="50" t="n"/>
      <c r="Q1353" s="50" t="n"/>
      <c r="R1353" s="28">
        <f>IF($Q1353="","",IFERROR(INDEX(CONFIG!$H$4:$H$63,MATCH($Q1353,CONFIG!$G$4:$G$63,0)),"Por definir"))</f>
        <v/>
      </c>
      <c r="S1353" s="28">
        <f>IF($Q1353="","",IFERROR(INDEX(CONFIG!$I$4:$I$63,MATCH($Q1353,CONFIG!$G$4:$G$63,0)),"Por definir"))</f>
        <v/>
      </c>
      <c r="T1353" s="51" t="n"/>
      <c r="U1353" s="52" t="n"/>
      <c r="V1353" s="50" t="n"/>
      <c r="W1353" s="50" t="n"/>
      <c r="X1353" s="49">
        <f>IF(OR($B1353="",$M1353=""),"",WORKDAY($B1353,IFERROR(INDEX(CONFIG!$D$4:$D$63,MATCH($M1353,CONFIG!$A$4:$A$63,0)),3)))</f>
        <v/>
      </c>
      <c r="Y1353" s="47" t="n"/>
      <c r="Z1353" s="24">
        <f>IF($B1353="","",IF($Y1353&lt;&gt;"",$Y1353-$B1353,TODAY()-$B1353))</f>
        <v/>
      </c>
      <c r="AA1353" s="28">
        <f>IF($B1353="","",IF(IFERROR(INDEX(CONFIG!$L$4:$L$63,MATCH($V1353,CONFIG!$K$4:$K$63,0)),"NO")="SÍ",IF(OR($Y1353="",$X1353=""),"Resuelta",IF($Y1353&gt;$X1353,"Resuelta tarde","Resuelta a tiempo")),IF($X1353="","Sin clasificar",IF(TODAY()&gt;$X1353,"Vencida",IF(TODAY()&gt;=$X1353-1,"Por vencer","En plazo")))))</f>
        <v/>
      </c>
      <c r="AB1353" s="50" t="n"/>
      <c r="AC1353" s="50" t="n"/>
    </row>
    <row r="1354" ht="16" customHeight="1">
      <c r="A1354" s="28">
        <f>IF($B1354="","","N-"&amp;TEXT(ROW()-3,"0000"))</f>
        <v/>
      </c>
      <c r="B1354" s="47" t="n"/>
      <c r="C1354" s="48" t="n"/>
      <c r="D1354" s="48" t="n"/>
      <c r="E1354" s="28">
        <f>IF($C1354="","",IF($D1354="",IF($C1354="Interna","Sin guía (interna)","FALTA GUÍA"),IF(COUNTIFS(ENVIOS!$A$4:$A$3003,$D1354)=0,"NO EXISTE",IF(COUNTIFS(ENVIOS!$A$4:$A$3003,$D1354)&gt;1,"DUPLICADA","OK"))))</f>
        <v/>
      </c>
      <c r="F1354" s="28">
        <f>IF($D1354="","",IFERROR(INDEX(ENVIOS!$B$4:$B$3003,MATCH($D1354,ENVIOS!$A$4:$A$3003,0)),"—"))</f>
        <v/>
      </c>
      <c r="G1354" s="23">
        <f>IF($D1354="","",IFERROR(INDEX(ENVIOS!$D$4:$D$3003,MATCH($D1354,ENVIOS!$A$4:$A$3003,0)),"—"))</f>
        <v/>
      </c>
      <c r="H1354" s="23">
        <f>IF($D1354="","",IFERROR(INDEX(ENVIOS!$E$4:$E$3003,MATCH($D1354,ENVIOS!$A$4:$A$3003,0)),"—"))</f>
        <v/>
      </c>
      <c r="I1354" s="23">
        <f>IF($D1354="","",IFERROR(INDEX(ENVIOS!$F$4:$F$3003,MATCH($D1354,ENVIOS!$A$4:$A$3003,0)),"—"))</f>
        <v/>
      </c>
      <c r="J1354" s="23">
        <f>IF($D1354="","",IFERROR(INDEX(ENVIOS!$G$4:$G$3003,MATCH($D1354,ENVIOS!$A$4:$A$3003,0)),"—"))</f>
        <v/>
      </c>
      <c r="K1354" s="28">
        <f>IF($D1354="","",IFERROR(INDEX(ENVIOS!$H$4:$H$3003,MATCH($D1354,ENVIOS!$A$4:$A$3003,0)),"—"))</f>
        <v/>
      </c>
      <c r="L1354" s="49">
        <f>IF($D1354="","",IFERROR(INDEX(ENVIOS!$C$4:$C$3003,MATCH($D1354,ENVIOS!$A$4:$A$3003,0)),""))</f>
        <v/>
      </c>
      <c r="M1354" s="50" t="n"/>
      <c r="N1354" s="28">
        <f>IF($M1354="","",IFERROR(INDEX(CONFIG!$C$4:$C$63,MATCH($M1354,CONFIG!$A$4:$A$63,0)),"Media"))</f>
        <v/>
      </c>
      <c r="O1354" s="28">
        <f>IF($M1354="","",IF($C1354="Interna","NO",IFERROR(INDEX(CONFIG!$E$4:$E$63,MATCH($M1354,CONFIG!$A$4:$A$63,0)),"NO")))</f>
        <v/>
      </c>
      <c r="P1354" s="50" t="n"/>
      <c r="Q1354" s="50" t="n"/>
      <c r="R1354" s="28">
        <f>IF($Q1354="","",IFERROR(INDEX(CONFIG!$H$4:$H$63,MATCH($Q1354,CONFIG!$G$4:$G$63,0)),"Por definir"))</f>
        <v/>
      </c>
      <c r="S1354" s="28">
        <f>IF($Q1354="","",IFERROR(INDEX(CONFIG!$I$4:$I$63,MATCH($Q1354,CONFIG!$G$4:$G$63,0)),"Por definir"))</f>
        <v/>
      </c>
      <c r="T1354" s="51" t="n"/>
      <c r="U1354" s="52" t="n"/>
      <c r="V1354" s="50" t="n"/>
      <c r="W1354" s="50" t="n"/>
      <c r="X1354" s="49">
        <f>IF(OR($B1354="",$M1354=""),"",WORKDAY($B1354,IFERROR(INDEX(CONFIG!$D$4:$D$63,MATCH($M1354,CONFIG!$A$4:$A$63,0)),3)))</f>
        <v/>
      </c>
      <c r="Y1354" s="47" t="n"/>
      <c r="Z1354" s="24">
        <f>IF($B1354="","",IF($Y1354&lt;&gt;"",$Y1354-$B1354,TODAY()-$B1354))</f>
        <v/>
      </c>
      <c r="AA1354" s="28">
        <f>IF($B1354="","",IF(IFERROR(INDEX(CONFIG!$L$4:$L$63,MATCH($V1354,CONFIG!$K$4:$K$63,0)),"NO")="SÍ",IF(OR($Y1354="",$X1354=""),"Resuelta",IF($Y1354&gt;$X1354,"Resuelta tarde","Resuelta a tiempo")),IF($X1354="","Sin clasificar",IF(TODAY()&gt;$X1354,"Vencida",IF(TODAY()&gt;=$X1354-1,"Por vencer","En plazo")))))</f>
        <v/>
      </c>
      <c r="AB1354" s="50" t="n"/>
      <c r="AC1354" s="50" t="n"/>
    </row>
    <row r="1355" ht="16" customHeight="1">
      <c r="A1355" s="28">
        <f>IF($B1355="","","N-"&amp;TEXT(ROW()-3,"0000"))</f>
        <v/>
      </c>
      <c r="B1355" s="47" t="n"/>
      <c r="C1355" s="48" t="n"/>
      <c r="D1355" s="48" t="n"/>
      <c r="E1355" s="28">
        <f>IF($C1355="","",IF($D1355="",IF($C1355="Interna","Sin guía (interna)","FALTA GUÍA"),IF(COUNTIFS(ENVIOS!$A$4:$A$3003,$D1355)=0,"NO EXISTE",IF(COUNTIFS(ENVIOS!$A$4:$A$3003,$D1355)&gt;1,"DUPLICADA","OK"))))</f>
        <v/>
      </c>
      <c r="F1355" s="28">
        <f>IF($D1355="","",IFERROR(INDEX(ENVIOS!$B$4:$B$3003,MATCH($D1355,ENVIOS!$A$4:$A$3003,0)),"—"))</f>
        <v/>
      </c>
      <c r="G1355" s="23">
        <f>IF($D1355="","",IFERROR(INDEX(ENVIOS!$D$4:$D$3003,MATCH($D1355,ENVIOS!$A$4:$A$3003,0)),"—"))</f>
        <v/>
      </c>
      <c r="H1355" s="23">
        <f>IF($D1355="","",IFERROR(INDEX(ENVIOS!$E$4:$E$3003,MATCH($D1355,ENVIOS!$A$4:$A$3003,0)),"—"))</f>
        <v/>
      </c>
      <c r="I1355" s="23">
        <f>IF($D1355="","",IFERROR(INDEX(ENVIOS!$F$4:$F$3003,MATCH($D1355,ENVIOS!$A$4:$A$3003,0)),"—"))</f>
        <v/>
      </c>
      <c r="J1355" s="23">
        <f>IF($D1355="","",IFERROR(INDEX(ENVIOS!$G$4:$G$3003,MATCH($D1355,ENVIOS!$A$4:$A$3003,0)),"—"))</f>
        <v/>
      </c>
      <c r="K1355" s="28">
        <f>IF($D1355="","",IFERROR(INDEX(ENVIOS!$H$4:$H$3003,MATCH($D1355,ENVIOS!$A$4:$A$3003,0)),"—"))</f>
        <v/>
      </c>
      <c r="L1355" s="49">
        <f>IF($D1355="","",IFERROR(INDEX(ENVIOS!$C$4:$C$3003,MATCH($D1355,ENVIOS!$A$4:$A$3003,0)),""))</f>
        <v/>
      </c>
      <c r="M1355" s="50" t="n"/>
      <c r="N1355" s="28">
        <f>IF($M1355="","",IFERROR(INDEX(CONFIG!$C$4:$C$63,MATCH($M1355,CONFIG!$A$4:$A$63,0)),"Media"))</f>
        <v/>
      </c>
      <c r="O1355" s="28">
        <f>IF($M1355="","",IF($C1355="Interna","NO",IFERROR(INDEX(CONFIG!$E$4:$E$63,MATCH($M1355,CONFIG!$A$4:$A$63,0)),"NO")))</f>
        <v/>
      </c>
      <c r="P1355" s="50" t="n"/>
      <c r="Q1355" s="50" t="n"/>
      <c r="R1355" s="28">
        <f>IF($Q1355="","",IFERROR(INDEX(CONFIG!$H$4:$H$63,MATCH($Q1355,CONFIG!$G$4:$G$63,0)),"Por definir"))</f>
        <v/>
      </c>
      <c r="S1355" s="28">
        <f>IF($Q1355="","",IFERROR(INDEX(CONFIG!$I$4:$I$63,MATCH($Q1355,CONFIG!$G$4:$G$63,0)),"Por definir"))</f>
        <v/>
      </c>
      <c r="T1355" s="51" t="n"/>
      <c r="U1355" s="52" t="n"/>
      <c r="V1355" s="50" t="n"/>
      <c r="W1355" s="50" t="n"/>
      <c r="X1355" s="49">
        <f>IF(OR($B1355="",$M1355=""),"",WORKDAY($B1355,IFERROR(INDEX(CONFIG!$D$4:$D$63,MATCH($M1355,CONFIG!$A$4:$A$63,0)),3)))</f>
        <v/>
      </c>
      <c r="Y1355" s="47" t="n"/>
      <c r="Z1355" s="24">
        <f>IF($B1355="","",IF($Y1355&lt;&gt;"",$Y1355-$B1355,TODAY()-$B1355))</f>
        <v/>
      </c>
      <c r="AA1355" s="28">
        <f>IF($B1355="","",IF(IFERROR(INDEX(CONFIG!$L$4:$L$63,MATCH($V1355,CONFIG!$K$4:$K$63,0)),"NO")="SÍ",IF(OR($Y1355="",$X1355=""),"Resuelta",IF($Y1355&gt;$X1355,"Resuelta tarde","Resuelta a tiempo")),IF($X1355="","Sin clasificar",IF(TODAY()&gt;$X1355,"Vencida",IF(TODAY()&gt;=$X1355-1,"Por vencer","En plazo")))))</f>
        <v/>
      </c>
      <c r="AB1355" s="50" t="n"/>
      <c r="AC1355" s="50" t="n"/>
    </row>
    <row r="1356" ht="16" customHeight="1">
      <c r="A1356" s="28">
        <f>IF($B1356="","","N-"&amp;TEXT(ROW()-3,"0000"))</f>
        <v/>
      </c>
      <c r="B1356" s="47" t="n"/>
      <c r="C1356" s="48" t="n"/>
      <c r="D1356" s="48" t="n"/>
      <c r="E1356" s="28">
        <f>IF($C1356="","",IF($D1356="",IF($C1356="Interna","Sin guía (interna)","FALTA GUÍA"),IF(COUNTIFS(ENVIOS!$A$4:$A$3003,$D1356)=0,"NO EXISTE",IF(COUNTIFS(ENVIOS!$A$4:$A$3003,$D1356)&gt;1,"DUPLICADA","OK"))))</f>
        <v/>
      </c>
      <c r="F1356" s="28">
        <f>IF($D1356="","",IFERROR(INDEX(ENVIOS!$B$4:$B$3003,MATCH($D1356,ENVIOS!$A$4:$A$3003,0)),"—"))</f>
        <v/>
      </c>
      <c r="G1356" s="23">
        <f>IF($D1356="","",IFERROR(INDEX(ENVIOS!$D$4:$D$3003,MATCH($D1356,ENVIOS!$A$4:$A$3003,0)),"—"))</f>
        <v/>
      </c>
      <c r="H1356" s="23">
        <f>IF($D1356="","",IFERROR(INDEX(ENVIOS!$E$4:$E$3003,MATCH($D1356,ENVIOS!$A$4:$A$3003,0)),"—"))</f>
        <v/>
      </c>
      <c r="I1356" s="23">
        <f>IF($D1356="","",IFERROR(INDEX(ENVIOS!$F$4:$F$3003,MATCH($D1356,ENVIOS!$A$4:$A$3003,0)),"—"))</f>
        <v/>
      </c>
      <c r="J1356" s="23">
        <f>IF($D1356="","",IFERROR(INDEX(ENVIOS!$G$4:$G$3003,MATCH($D1356,ENVIOS!$A$4:$A$3003,0)),"—"))</f>
        <v/>
      </c>
      <c r="K1356" s="28">
        <f>IF($D1356="","",IFERROR(INDEX(ENVIOS!$H$4:$H$3003,MATCH($D1356,ENVIOS!$A$4:$A$3003,0)),"—"))</f>
        <v/>
      </c>
      <c r="L1356" s="49">
        <f>IF($D1356="","",IFERROR(INDEX(ENVIOS!$C$4:$C$3003,MATCH($D1356,ENVIOS!$A$4:$A$3003,0)),""))</f>
        <v/>
      </c>
      <c r="M1356" s="50" t="n"/>
      <c r="N1356" s="28">
        <f>IF($M1356="","",IFERROR(INDEX(CONFIG!$C$4:$C$63,MATCH($M1356,CONFIG!$A$4:$A$63,0)),"Media"))</f>
        <v/>
      </c>
      <c r="O1356" s="28">
        <f>IF($M1356="","",IF($C1356="Interna","NO",IFERROR(INDEX(CONFIG!$E$4:$E$63,MATCH($M1356,CONFIG!$A$4:$A$63,0)),"NO")))</f>
        <v/>
      </c>
      <c r="P1356" s="50" t="n"/>
      <c r="Q1356" s="50" t="n"/>
      <c r="R1356" s="28">
        <f>IF($Q1356="","",IFERROR(INDEX(CONFIG!$H$4:$H$63,MATCH($Q1356,CONFIG!$G$4:$G$63,0)),"Por definir"))</f>
        <v/>
      </c>
      <c r="S1356" s="28">
        <f>IF($Q1356="","",IFERROR(INDEX(CONFIG!$I$4:$I$63,MATCH($Q1356,CONFIG!$G$4:$G$63,0)),"Por definir"))</f>
        <v/>
      </c>
      <c r="T1356" s="51" t="n"/>
      <c r="U1356" s="52" t="n"/>
      <c r="V1356" s="50" t="n"/>
      <c r="W1356" s="50" t="n"/>
      <c r="X1356" s="49">
        <f>IF(OR($B1356="",$M1356=""),"",WORKDAY($B1356,IFERROR(INDEX(CONFIG!$D$4:$D$63,MATCH($M1356,CONFIG!$A$4:$A$63,0)),3)))</f>
        <v/>
      </c>
      <c r="Y1356" s="47" t="n"/>
      <c r="Z1356" s="24">
        <f>IF($B1356="","",IF($Y1356&lt;&gt;"",$Y1356-$B1356,TODAY()-$B1356))</f>
        <v/>
      </c>
      <c r="AA1356" s="28">
        <f>IF($B1356="","",IF(IFERROR(INDEX(CONFIG!$L$4:$L$63,MATCH($V1356,CONFIG!$K$4:$K$63,0)),"NO")="SÍ",IF(OR($Y1356="",$X1356=""),"Resuelta",IF($Y1356&gt;$X1356,"Resuelta tarde","Resuelta a tiempo")),IF($X1356="","Sin clasificar",IF(TODAY()&gt;$X1356,"Vencida",IF(TODAY()&gt;=$X1356-1,"Por vencer","En plazo")))))</f>
        <v/>
      </c>
      <c r="AB1356" s="50" t="n"/>
      <c r="AC1356" s="50" t="n"/>
    </row>
    <row r="1357" ht="16" customHeight="1">
      <c r="A1357" s="28">
        <f>IF($B1357="","","N-"&amp;TEXT(ROW()-3,"0000"))</f>
        <v/>
      </c>
      <c r="B1357" s="47" t="n"/>
      <c r="C1357" s="48" t="n"/>
      <c r="D1357" s="48" t="n"/>
      <c r="E1357" s="28">
        <f>IF($C1357="","",IF($D1357="",IF($C1357="Interna","Sin guía (interna)","FALTA GUÍA"),IF(COUNTIFS(ENVIOS!$A$4:$A$3003,$D1357)=0,"NO EXISTE",IF(COUNTIFS(ENVIOS!$A$4:$A$3003,$D1357)&gt;1,"DUPLICADA","OK"))))</f>
        <v/>
      </c>
      <c r="F1357" s="28">
        <f>IF($D1357="","",IFERROR(INDEX(ENVIOS!$B$4:$B$3003,MATCH($D1357,ENVIOS!$A$4:$A$3003,0)),"—"))</f>
        <v/>
      </c>
      <c r="G1357" s="23">
        <f>IF($D1357="","",IFERROR(INDEX(ENVIOS!$D$4:$D$3003,MATCH($D1357,ENVIOS!$A$4:$A$3003,0)),"—"))</f>
        <v/>
      </c>
      <c r="H1357" s="23">
        <f>IF($D1357="","",IFERROR(INDEX(ENVIOS!$E$4:$E$3003,MATCH($D1357,ENVIOS!$A$4:$A$3003,0)),"—"))</f>
        <v/>
      </c>
      <c r="I1357" s="23">
        <f>IF($D1357="","",IFERROR(INDEX(ENVIOS!$F$4:$F$3003,MATCH($D1357,ENVIOS!$A$4:$A$3003,0)),"—"))</f>
        <v/>
      </c>
      <c r="J1357" s="23">
        <f>IF($D1357="","",IFERROR(INDEX(ENVIOS!$G$4:$G$3003,MATCH($D1357,ENVIOS!$A$4:$A$3003,0)),"—"))</f>
        <v/>
      </c>
      <c r="K1357" s="28">
        <f>IF($D1357="","",IFERROR(INDEX(ENVIOS!$H$4:$H$3003,MATCH($D1357,ENVIOS!$A$4:$A$3003,0)),"—"))</f>
        <v/>
      </c>
      <c r="L1357" s="49">
        <f>IF($D1357="","",IFERROR(INDEX(ENVIOS!$C$4:$C$3003,MATCH($D1357,ENVIOS!$A$4:$A$3003,0)),""))</f>
        <v/>
      </c>
      <c r="M1357" s="50" t="n"/>
      <c r="N1357" s="28">
        <f>IF($M1357="","",IFERROR(INDEX(CONFIG!$C$4:$C$63,MATCH($M1357,CONFIG!$A$4:$A$63,0)),"Media"))</f>
        <v/>
      </c>
      <c r="O1357" s="28">
        <f>IF($M1357="","",IF($C1357="Interna","NO",IFERROR(INDEX(CONFIG!$E$4:$E$63,MATCH($M1357,CONFIG!$A$4:$A$63,0)),"NO")))</f>
        <v/>
      </c>
      <c r="P1357" s="50" t="n"/>
      <c r="Q1357" s="50" t="n"/>
      <c r="R1357" s="28">
        <f>IF($Q1357="","",IFERROR(INDEX(CONFIG!$H$4:$H$63,MATCH($Q1357,CONFIG!$G$4:$G$63,0)),"Por definir"))</f>
        <v/>
      </c>
      <c r="S1357" s="28">
        <f>IF($Q1357="","",IFERROR(INDEX(CONFIG!$I$4:$I$63,MATCH($Q1357,CONFIG!$G$4:$G$63,0)),"Por definir"))</f>
        <v/>
      </c>
      <c r="T1357" s="51" t="n"/>
      <c r="U1357" s="52" t="n"/>
      <c r="V1357" s="50" t="n"/>
      <c r="W1357" s="50" t="n"/>
      <c r="X1357" s="49">
        <f>IF(OR($B1357="",$M1357=""),"",WORKDAY($B1357,IFERROR(INDEX(CONFIG!$D$4:$D$63,MATCH($M1357,CONFIG!$A$4:$A$63,0)),3)))</f>
        <v/>
      </c>
      <c r="Y1357" s="47" t="n"/>
      <c r="Z1357" s="24">
        <f>IF($B1357="","",IF($Y1357&lt;&gt;"",$Y1357-$B1357,TODAY()-$B1357))</f>
        <v/>
      </c>
      <c r="AA1357" s="28">
        <f>IF($B1357="","",IF(IFERROR(INDEX(CONFIG!$L$4:$L$63,MATCH($V1357,CONFIG!$K$4:$K$63,0)),"NO")="SÍ",IF(OR($Y1357="",$X1357=""),"Resuelta",IF($Y1357&gt;$X1357,"Resuelta tarde","Resuelta a tiempo")),IF($X1357="","Sin clasificar",IF(TODAY()&gt;$X1357,"Vencida",IF(TODAY()&gt;=$X1357-1,"Por vencer","En plazo")))))</f>
        <v/>
      </c>
      <c r="AB1357" s="50" t="n"/>
      <c r="AC1357" s="50" t="n"/>
    </row>
    <row r="1358" ht="16" customHeight="1">
      <c r="A1358" s="28">
        <f>IF($B1358="","","N-"&amp;TEXT(ROW()-3,"0000"))</f>
        <v/>
      </c>
      <c r="B1358" s="47" t="n"/>
      <c r="C1358" s="48" t="n"/>
      <c r="D1358" s="48" t="n"/>
      <c r="E1358" s="28">
        <f>IF($C1358="","",IF($D1358="",IF($C1358="Interna","Sin guía (interna)","FALTA GUÍA"),IF(COUNTIFS(ENVIOS!$A$4:$A$3003,$D1358)=0,"NO EXISTE",IF(COUNTIFS(ENVIOS!$A$4:$A$3003,$D1358)&gt;1,"DUPLICADA","OK"))))</f>
        <v/>
      </c>
      <c r="F1358" s="28">
        <f>IF($D1358="","",IFERROR(INDEX(ENVIOS!$B$4:$B$3003,MATCH($D1358,ENVIOS!$A$4:$A$3003,0)),"—"))</f>
        <v/>
      </c>
      <c r="G1358" s="23">
        <f>IF($D1358="","",IFERROR(INDEX(ENVIOS!$D$4:$D$3003,MATCH($D1358,ENVIOS!$A$4:$A$3003,0)),"—"))</f>
        <v/>
      </c>
      <c r="H1358" s="23">
        <f>IF($D1358="","",IFERROR(INDEX(ENVIOS!$E$4:$E$3003,MATCH($D1358,ENVIOS!$A$4:$A$3003,0)),"—"))</f>
        <v/>
      </c>
      <c r="I1358" s="23">
        <f>IF($D1358="","",IFERROR(INDEX(ENVIOS!$F$4:$F$3003,MATCH($D1358,ENVIOS!$A$4:$A$3003,0)),"—"))</f>
        <v/>
      </c>
      <c r="J1358" s="23">
        <f>IF($D1358="","",IFERROR(INDEX(ENVIOS!$G$4:$G$3003,MATCH($D1358,ENVIOS!$A$4:$A$3003,0)),"—"))</f>
        <v/>
      </c>
      <c r="K1358" s="28">
        <f>IF($D1358="","",IFERROR(INDEX(ENVIOS!$H$4:$H$3003,MATCH($D1358,ENVIOS!$A$4:$A$3003,0)),"—"))</f>
        <v/>
      </c>
      <c r="L1358" s="49">
        <f>IF($D1358="","",IFERROR(INDEX(ENVIOS!$C$4:$C$3003,MATCH($D1358,ENVIOS!$A$4:$A$3003,0)),""))</f>
        <v/>
      </c>
      <c r="M1358" s="50" t="n"/>
      <c r="N1358" s="28">
        <f>IF($M1358="","",IFERROR(INDEX(CONFIG!$C$4:$C$63,MATCH($M1358,CONFIG!$A$4:$A$63,0)),"Media"))</f>
        <v/>
      </c>
      <c r="O1358" s="28">
        <f>IF($M1358="","",IF($C1358="Interna","NO",IFERROR(INDEX(CONFIG!$E$4:$E$63,MATCH($M1358,CONFIG!$A$4:$A$63,0)),"NO")))</f>
        <v/>
      </c>
      <c r="P1358" s="50" t="n"/>
      <c r="Q1358" s="50" t="n"/>
      <c r="R1358" s="28">
        <f>IF($Q1358="","",IFERROR(INDEX(CONFIG!$H$4:$H$63,MATCH($Q1358,CONFIG!$G$4:$G$63,0)),"Por definir"))</f>
        <v/>
      </c>
      <c r="S1358" s="28">
        <f>IF($Q1358="","",IFERROR(INDEX(CONFIG!$I$4:$I$63,MATCH($Q1358,CONFIG!$G$4:$G$63,0)),"Por definir"))</f>
        <v/>
      </c>
      <c r="T1358" s="51" t="n"/>
      <c r="U1358" s="52" t="n"/>
      <c r="V1358" s="50" t="n"/>
      <c r="W1358" s="50" t="n"/>
      <c r="X1358" s="49">
        <f>IF(OR($B1358="",$M1358=""),"",WORKDAY($B1358,IFERROR(INDEX(CONFIG!$D$4:$D$63,MATCH($M1358,CONFIG!$A$4:$A$63,0)),3)))</f>
        <v/>
      </c>
      <c r="Y1358" s="47" t="n"/>
      <c r="Z1358" s="24">
        <f>IF($B1358="","",IF($Y1358&lt;&gt;"",$Y1358-$B1358,TODAY()-$B1358))</f>
        <v/>
      </c>
      <c r="AA1358" s="28">
        <f>IF($B1358="","",IF(IFERROR(INDEX(CONFIG!$L$4:$L$63,MATCH($V1358,CONFIG!$K$4:$K$63,0)),"NO")="SÍ",IF(OR($Y1358="",$X1358=""),"Resuelta",IF($Y1358&gt;$X1358,"Resuelta tarde","Resuelta a tiempo")),IF($X1358="","Sin clasificar",IF(TODAY()&gt;$X1358,"Vencida",IF(TODAY()&gt;=$X1358-1,"Por vencer","En plazo")))))</f>
        <v/>
      </c>
      <c r="AB1358" s="50" t="n"/>
      <c r="AC1358" s="50" t="n"/>
    </row>
    <row r="1359" ht="16" customHeight="1">
      <c r="A1359" s="28">
        <f>IF($B1359="","","N-"&amp;TEXT(ROW()-3,"0000"))</f>
        <v/>
      </c>
      <c r="B1359" s="47" t="n"/>
      <c r="C1359" s="48" t="n"/>
      <c r="D1359" s="48" t="n"/>
      <c r="E1359" s="28">
        <f>IF($C1359="","",IF($D1359="",IF($C1359="Interna","Sin guía (interna)","FALTA GUÍA"),IF(COUNTIFS(ENVIOS!$A$4:$A$3003,$D1359)=0,"NO EXISTE",IF(COUNTIFS(ENVIOS!$A$4:$A$3003,$D1359)&gt;1,"DUPLICADA","OK"))))</f>
        <v/>
      </c>
      <c r="F1359" s="28">
        <f>IF($D1359="","",IFERROR(INDEX(ENVIOS!$B$4:$B$3003,MATCH($D1359,ENVIOS!$A$4:$A$3003,0)),"—"))</f>
        <v/>
      </c>
      <c r="G1359" s="23">
        <f>IF($D1359="","",IFERROR(INDEX(ENVIOS!$D$4:$D$3003,MATCH($D1359,ENVIOS!$A$4:$A$3003,0)),"—"))</f>
        <v/>
      </c>
      <c r="H1359" s="23">
        <f>IF($D1359="","",IFERROR(INDEX(ENVIOS!$E$4:$E$3003,MATCH($D1359,ENVIOS!$A$4:$A$3003,0)),"—"))</f>
        <v/>
      </c>
      <c r="I1359" s="23">
        <f>IF($D1359="","",IFERROR(INDEX(ENVIOS!$F$4:$F$3003,MATCH($D1359,ENVIOS!$A$4:$A$3003,0)),"—"))</f>
        <v/>
      </c>
      <c r="J1359" s="23">
        <f>IF($D1359="","",IFERROR(INDEX(ENVIOS!$G$4:$G$3003,MATCH($D1359,ENVIOS!$A$4:$A$3003,0)),"—"))</f>
        <v/>
      </c>
      <c r="K1359" s="28">
        <f>IF($D1359="","",IFERROR(INDEX(ENVIOS!$H$4:$H$3003,MATCH($D1359,ENVIOS!$A$4:$A$3003,0)),"—"))</f>
        <v/>
      </c>
      <c r="L1359" s="49">
        <f>IF($D1359="","",IFERROR(INDEX(ENVIOS!$C$4:$C$3003,MATCH($D1359,ENVIOS!$A$4:$A$3003,0)),""))</f>
        <v/>
      </c>
      <c r="M1359" s="50" t="n"/>
      <c r="N1359" s="28">
        <f>IF($M1359="","",IFERROR(INDEX(CONFIG!$C$4:$C$63,MATCH($M1359,CONFIG!$A$4:$A$63,0)),"Media"))</f>
        <v/>
      </c>
      <c r="O1359" s="28">
        <f>IF($M1359="","",IF($C1359="Interna","NO",IFERROR(INDEX(CONFIG!$E$4:$E$63,MATCH($M1359,CONFIG!$A$4:$A$63,0)),"NO")))</f>
        <v/>
      </c>
      <c r="P1359" s="50" t="n"/>
      <c r="Q1359" s="50" t="n"/>
      <c r="R1359" s="28">
        <f>IF($Q1359="","",IFERROR(INDEX(CONFIG!$H$4:$H$63,MATCH($Q1359,CONFIG!$G$4:$G$63,0)),"Por definir"))</f>
        <v/>
      </c>
      <c r="S1359" s="28">
        <f>IF($Q1359="","",IFERROR(INDEX(CONFIG!$I$4:$I$63,MATCH($Q1359,CONFIG!$G$4:$G$63,0)),"Por definir"))</f>
        <v/>
      </c>
      <c r="T1359" s="51" t="n"/>
      <c r="U1359" s="52" t="n"/>
      <c r="V1359" s="50" t="n"/>
      <c r="W1359" s="50" t="n"/>
      <c r="X1359" s="49">
        <f>IF(OR($B1359="",$M1359=""),"",WORKDAY($B1359,IFERROR(INDEX(CONFIG!$D$4:$D$63,MATCH($M1359,CONFIG!$A$4:$A$63,0)),3)))</f>
        <v/>
      </c>
      <c r="Y1359" s="47" t="n"/>
      <c r="Z1359" s="24">
        <f>IF($B1359="","",IF($Y1359&lt;&gt;"",$Y1359-$B1359,TODAY()-$B1359))</f>
        <v/>
      </c>
      <c r="AA1359" s="28">
        <f>IF($B1359="","",IF(IFERROR(INDEX(CONFIG!$L$4:$L$63,MATCH($V1359,CONFIG!$K$4:$K$63,0)),"NO")="SÍ",IF(OR($Y1359="",$X1359=""),"Resuelta",IF($Y1359&gt;$X1359,"Resuelta tarde","Resuelta a tiempo")),IF($X1359="","Sin clasificar",IF(TODAY()&gt;$X1359,"Vencida",IF(TODAY()&gt;=$X1359-1,"Por vencer","En plazo")))))</f>
        <v/>
      </c>
      <c r="AB1359" s="50" t="n"/>
      <c r="AC1359" s="50" t="n"/>
    </row>
    <row r="1360" ht="16" customHeight="1">
      <c r="A1360" s="28">
        <f>IF($B1360="","","N-"&amp;TEXT(ROW()-3,"0000"))</f>
        <v/>
      </c>
      <c r="B1360" s="47" t="n"/>
      <c r="C1360" s="48" t="n"/>
      <c r="D1360" s="48" t="n"/>
      <c r="E1360" s="28">
        <f>IF($C1360="","",IF($D1360="",IF($C1360="Interna","Sin guía (interna)","FALTA GUÍA"),IF(COUNTIFS(ENVIOS!$A$4:$A$3003,$D1360)=0,"NO EXISTE",IF(COUNTIFS(ENVIOS!$A$4:$A$3003,$D1360)&gt;1,"DUPLICADA","OK"))))</f>
        <v/>
      </c>
      <c r="F1360" s="28">
        <f>IF($D1360="","",IFERROR(INDEX(ENVIOS!$B$4:$B$3003,MATCH($D1360,ENVIOS!$A$4:$A$3003,0)),"—"))</f>
        <v/>
      </c>
      <c r="G1360" s="23">
        <f>IF($D1360="","",IFERROR(INDEX(ENVIOS!$D$4:$D$3003,MATCH($D1360,ENVIOS!$A$4:$A$3003,0)),"—"))</f>
        <v/>
      </c>
      <c r="H1360" s="23">
        <f>IF($D1360="","",IFERROR(INDEX(ENVIOS!$E$4:$E$3003,MATCH($D1360,ENVIOS!$A$4:$A$3003,0)),"—"))</f>
        <v/>
      </c>
      <c r="I1360" s="23">
        <f>IF($D1360="","",IFERROR(INDEX(ENVIOS!$F$4:$F$3003,MATCH($D1360,ENVIOS!$A$4:$A$3003,0)),"—"))</f>
        <v/>
      </c>
      <c r="J1360" s="23">
        <f>IF($D1360="","",IFERROR(INDEX(ENVIOS!$G$4:$G$3003,MATCH($D1360,ENVIOS!$A$4:$A$3003,0)),"—"))</f>
        <v/>
      </c>
      <c r="K1360" s="28">
        <f>IF($D1360="","",IFERROR(INDEX(ENVIOS!$H$4:$H$3003,MATCH($D1360,ENVIOS!$A$4:$A$3003,0)),"—"))</f>
        <v/>
      </c>
      <c r="L1360" s="49">
        <f>IF($D1360="","",IFERROR(INDEX(ENVIOS!$C$4:$C$3003,MATCH($D1360,ENVIOS!$A$4:$A$3003,0)),""))</f>
        <v/>
      </c>
      <c r="M1360" s="50" t="n"/>
      <c r="N1360" s="28">
        <f>IF($M1360="","",IFERROR(INDEX(CONFIG!$C$4:$C$63,MATCH($M1360,CONFIG!$A$4:$A$63,0)),"Media"))</f>
        <v/>
      </c>
      <c r="O1360" s="28">
        <f>IF($M1360="","",IF($C1360="Interna","NO",IFERROR(INDEX(CONFIG!$E$4:$E$63,MATCH($M1360,CONFIG!$A$4:$A$63,0)),"NO")))</f>
        <v/>
      </c>
      <c r="P1360" s="50" t="n"/>
      <c r="Q1360" s="50" t="n"/>
      <c r="R1360" s="28">
        <f>IF($Q1360="","",IFERROR(INDEX(CONFIG!$H$4:$H$63,MATCH($Q1360,CONFIG!$G$4:$G$63,0)),"Por definir"))</f>
        <v/>
      </c>
      <c r="S1360" s="28">
        <f>IF($Q1360="","",IFERROR(INDEX(CONFIG!$I$4:$I$63,MATCH($Q1360,CONFIG!$G$4:$G$63,0)),"Por definir"))</f>
        <v/>
      </c>
      <c r="T1360" s="51" t="n"/>
      <c r="U1360" s="52" t="n"/>
      <c r="V1360" s="50" t="n"/>
      <c r="W1360" s="50" t="n"/>
      <c r="X1360" s="49">
        <f>IF(OR($B1360="",$M1360=""),"",WORKDAY($B1360,IFERROR(INDEX(CONFIG!$D$4:$D$63,MATCH($M1360,CONFIG!$A$4:$A$63,0)),3)))</f>
        <v/>
      </c>
      <c r="Y1360" s="47" t="n"/>
      <c r="Z1360" s="24">
        <f>IF($B1360="","",IF($Y1360&lt;&gt;"",$Y1360-$B1360,TODAY()-$B1360))</f>
        <v/>
      </c>
      <c r="AA1360" s="28">
        <f>IF($B1360="","",IF(IFERROR(INDEX(CONFIG!$L$4:$L$63,MATCH($V1360,CONFIG!$K$4:$K$63,0)),"NO")="SÍ",IF(OR($Y1360="",$X1360=""),"Resuelta",IF($Y1360&gt;$X1360,"Resuelta tarde","Resuelta a tiempo")),IF($X1360="","Sin clasificar",IF(TODAY()&gt;$X1360,"Vencida",IF(TODAY()&gt;=$X1360-1,"Por vencer","En plazo")))))</f>
        <v/>
      </c>
      <c r="AB1360" s="50" t="n"/>
      <c r="AC1360" s="50" t="n"/>
    </row>
    <row r="1361" ht="16" customHeight="1">
      <c r="A1361" s="28">
        <f>IF($B1361="","","N-"&amp;TEXT(ROW()-3,"0000"))</f>
        <v/>
      </c>
      <c r="B1361" s="47" t="n"/>
      <c r="C1361" s="48" t="n"/>
      <c r="D1361" s="48" t="n"/>
      <c r="E1361" s="28">
        <f>IF($C1361="","",IF($D1361="",IF($C1361="Interna","Sin guía (interna)","FALTA GUÍA"),IF(COUNTIFS(ENVIOS!$A$4:$A$3003,$D1361)=0,"NO EXISTE",IF(COUNTIFS(ENVIOS!$A$4:$A$3003,$D1361)&gt;1,"DUPLICADA","OK"))))</f>
        <v/>
      </c>
      <c r="F1361" s="28">
        <f>IF($D1361="","",IFERROR(INDEX(ENVIOS!$B$4:$B$3003,MATCH($D1361,ENVIOS!$A$4:$A$3003,0)),"—"))</f>
        <v/>
      </c>
      <c r="G1361" s="23">
        <f>IF($D1361="","",IFERROR(INDEX(ENVIOS!$D$4:$D$3003,MATCH($D1361,ENVIOS!$A$4:$A$3003,0)),"—"))</f>
        <v/>
      </c>
      <c r="H1361" s="23">
        <f>IF($D1361="","",IFERROR(INDEX(ENVIOS!$E$4:$E$3003,MATCH($D1361,ENVIOS!$A$4:$A$3003,0)),"—"))</f>
        <v/>
      </c>
      <c r="I1361" s="23">
        <f>IF($D1361="","",IFERROR(INDEX(ENVIOS!$F$4:$F$3003,MATCH($D1361,ENVIOS!$A$4:$A$3003,0)),"—"))</f>
        <v/>
      </c>
      <c r="J1361" s="23">
        <f>IF($D1361="","",IFERROR(INDEX(ENVIOS!$G$4:$G$3003,MATCH($D1361,ENVIOS!$A$4:$A$3003,0)),"—"))</f>
        <v/>
      </c>
      <c r="K1361" s="28">
        <f>IF($D1361="","",IFERROR(INDEX(ENVIOS!$H$4:$H$3003,MATCH($D1361,ENVIOS!$A$4:$A$3003,0)),"—"))</f>
        <v/>
      </c>
      <c r="L1361" s="49">
        <f>IF($D1361="","",IFERROR(INDEX(ENVIOS!$C$4:$C$3003,MATCH($D1361,ENVIOS!$A$4:$A$3003,0)),""))</f>
        <v/>
      </c>
      <c r="M1361" s="50" t="n"/>
      <c r="N1361" s="28">
        <f>IF($M1361="","",IFERROR(INDEX(CONFIG!$C$4:$C$63,MATCH($M1361,CONFIG!$A$4:$A$63,0)),"Media"))</f>
        <v/>
      </c>
      <c r="O1361" s="28">
        <f>IF($M1361="","",IF($C1361="Interna","NO",IFERROR(INDEX(CONFIG!$E$4:$E$63,MATCH($M1361,CONFIG!$A$4:$A$63,0)),"NO")))</f>
        <v/>
      </c>
      <c r="P1361" s="50" t="n"/>
      <c r="Q1361" s="50" t="n"/>
      <c r="R1361" s="28">
        <f>IF($Q1361="","",IFERROR(INDEX(CONFIG!$H$4:$H$63,MATCH($Q1361,CONFIG!$G$4:$G$63,0)),"Por definir"))</f>
        <v/>
      </c>
      <c r="S1361" s="28">
        <f>IF($Q1361="","",IFERROR(INDEX(CONFIG!$I$4:$I$63,MATCH($Q1361,CONFIG!$G$4:$G$63,0)),"Por definir"))</f>
        <v/>
      </c>
      <c r="T1361" s="51" t="n"/>
      <c r="U1361" s="52" t="n"/>
      <c r="V1361" s="50" t="n"/>
      <c r="W1361" s="50" t="n"/>
      <c r="X1361" s="49">
        <f>IF(OR($B1361="",$M1361=""),"",WORKDAY($B1361,IFERROR(INDEX(CONFIG!$D$4:$D$63,MATCH($M1361,CONFIG!$A$4:$A$63,0)),3)))</f>
        <v/>
      </c>
      <c r="Y1361" s="47" t="n"/>
      <c r="Z1361" s="24">
        <f>IF($B1361="","",IF($Y1361&lt;&gt;"",$Y1361-$B1361,TODAY()-$B1361))</f>
        <v/>
      </c>
      <c r="AA1361" s="28">
        <f>IF($B1361="","",IF(IFERROR(INDEX(CONFIG!$L$4:$L$63,MATCH($V1361,CONFIG!$K$4:$K$63,0)),"NO")="SÍ",IF(OR($Y1361="",$X1361=""),"Resuelta",IF($Y1361&gt;$X1361,"Resuelta tarde","Resuelta a tiempo")),IF($X1361="","Sin clasificar",IF(TODAY()&gt;$X1361,"Vencida",IF(TODAY()&gt;=$X1361-1,"Por vencer","En plazo")))))</f>
        <v/>
      </c>
      <c r="AB1361" s="50" t="n"/>
      <c r="AC1361" s="50" t="n"/>
    </row>
    <row r="1362" ht="16" customHeight="1">
      <c r="A1362" s="28">
        <f>IF($B1362="","","N-"&amp;TEXT(ROW()-3,"0000"))</f>
        <v/>
      </c>
      <c r="B1362" s="47" t="n"/>
      <c r="C1362" s="48" t="n"/>
      <c r="D1362" s="48" t="n"/>
      <c r="E1362" s="28">
        <f>IF($C1362="","",IF($D1362="",IF($C1362="Interna","Sin guía (interna)","FALTA GUÍA"),IF(COUNTIFS(ENVIOS!$A$4:$A$3003,$D1362)=0,"NO EXISTE",IF(COUNTIFS(ENVIOS!$A$4:$A$3003,$D1362)&gt;1,"DUPLICADA","OK"))))</f>
        <v/>
      </c>
      <c r="F1362" s="28">
        <f>IF($D1362="","",IFERROR(INDEX(ENVIOS!$B$4:$B$3003,MATCH($D1362,ENVIOS!$A$4:$A$3003,0)),"—"))</f>
        <v/>
      </c>
      <c r="G1362" s="23">
        <f>IF($D1362="","",IFERROR(INDEX(ENVIOS!$D$4:$D$3003,MATCH($D1362,ENVIOS!$A$4:$A$3003,0)),"—"))</f>
        <v/>
      </c>
      <c r="H1362" s="23">
        <f>IF($D1362="","",IFERROR(INDEX(ENVIOS!$E$4:$E$3003,MATCH($D1362,ENVIOS!$A$4:$A$3003,0)),"—"))</f>
        <v/>
      </c>
      <c r="I1362" s="23">
        <f>IF($D1362="","",IFERROR(INDEX(ENVIOS!$F$4:$F$3003,MATCH($D1362,ENVIOS!$A$4:$A$3003,0)),"—"))</f>
        <v/>
      </c>
      <c r="J1362" s="23">
        <f>IF($D1362="","",IFERROR(INDEX(ENVIOS!$G$4:$G$3003,MATCH($D1362,ENVIOS!$A$4:$A$3003,0)),"—"))</f>
        <v/>
      </c>
      <c r="K1362" s="28">
        <f>IF($D1362="","",IFERROR(INDEX(ENVIOS!$H$4:$H$3003,MATCH($D1362,ENVIOS!$A$4:$A$3003,0)),"—"))</f>
        <v/>
      </c>
      <c r="L1362" s="49">
        <f>IF($D1362="","",IFERROR(INDEX(ENVIOS!$C$4:$C$3003,MATCH($D1362,ENVIOS!$A$4:$A$3003,0)),""))</f>
        <v/>
      </c>
      <c r="M1362" s="50" t="n"/>
      <c r="N1362" s="28">
        <f>IF($M1362="","",IFERROR(INDEX(CONFIG!$C$4:$C$63,MATCH($M1362,CONFIG!$A$4:$A$63,0)),"Media"))</f>
        <v/>
      </c>
      <c r="O1362" s="28">
        <f>IF($M1362="","",IF($C1362="Interna","NO",IFERROR(INDEX(CONFIG!$E$4:$E$63,MATCH($M1362,CONFIG!$A$4:$A$63,0)),"NO")))</f>
        <v/>
      </c>
      <c r="P1362" s="50" t="n"/>
      <c r="Q1362" s="50" t="n"/>
      <c r="R1362" s="28">
        <f>IF($Q1362="","",IFERROR(INDEX(CONFIG!$H$4:$H$63,MATCH($Q1362,CONFIG!$G$4:$G$63,0)),"Por definir"))</f>
        <v/>
      </c>
      <c r="S1362" s="28">
        <f>IF($Q1362="","",IFERROR(INDEX(CONFIG!$I$4:$I$63,MATCH($Q1362,CONFIG!$G$4:$G$63,0)),"Por definir"))</f>
        <v/>
      </c>
      <c r="T1362" s="51" t="n"/>
      <c r="U1362" s="52" t="n"/>
      <c r="V1362" s="50" t="n"/>
      <c r="W1362" s="50" t="n"/>
      <c r="X1362" s="49">
        <f>IF(OR($B1362="",$M1362=""),"",WORKDAY($B1362,IFERROR(INDEX(CONFIG!$D$4:$D$63,MATCH($M1362,CONFIG!$A$4:$A$63,0)),3)))</f>
        <v/>
      </c>
      <c r="Y1362" s="47" t="n"/>
      <c r="Z1362" s="24">
        <f>IF($B1362="","",IF($Y1362&lt;&gt;"",$Y1362-$B1362,TODAY()-$B1362))</f>
        <v/>
      </c>
      <c r="AA1362" s="28">
        <f>IF($B1362="","",IF(IFERROR(INDEX(CONFIG!$L$4:$L$63,MATCH($V1362,CONFIG!$K$4:$K$63,0)),"NO")="SÍ",IF(OR($Y1362="",$X1362=""),"Resuelta",IF($Y1362&gt;$X1362,"Resuelta tarde","Resuelta a tiempo")),IF($X1362="","Sin clasificar",IF(TODAY()&gt;$X1362,"Vencida",IF(TODAY()&gt;=$X1362-1,"Por vencer","En plazo")))))</f>
        <v/>
      </c>
      <c r="AB1362" s="50" t="n"/>
      <c r="AC1362" s="50" t="n"/>
    </row>
    <row r="1363" ht="16" customHeight="1">
      <c r="A1363" s="28">
        <f>IF($B1363="","","N-"&amp;TEXT(ROW()-3,"0000"))</f>
        <v/>
      </c>
      <c r="B1363" s="47" t="n"/>
      <c r="C1363" s="48" t="n"/>
      <c r="D1363" s="48" t="n"/>
      <c r="E1363" s="28">
        <f>IF($C1363="","",IF($D1363="",IF($C1363="Interna","Sin guía (interna)","FALTA GUÍA"),IF(COUNTIFS(ENVIOS!$A$4:$A$3003,$D1363)=0,"NO EXISTE",IF(COUNTIFS(ENVIOS!$A$4:$A$3003,$D1363)&gt;1,"DUPLICADA","OK"))))</f>
        <v/>
      </c>
      <c r="F1363" s="28">
        <f>IF($D1363="","",IFERROR(INDEX(ENVIOS!$B$4:$B$3003,MATCH($D1363,ENVIOS!$A$4:$A$3003,0)),"—"))</f>
        <v/>
      </c>
      <c r="G1363" s="23">
        <f>IF($D1363="","",IFERROR(INDEX(ENVIOS!$D$4:$D$3003,MATCH($D1363,ENVIOS!$A$4:$A$3003,0)),"—"))</f>
        <v/>
      </c>
      <c r="H1363" s="23">
        <f>IF($D1363="","",IFERROR(INDEX(ENVIOS!$E$4:$E$3003,MATCH($D1363,ENVIOS!$A$4:$A$3003,0)),"—"))</f>
        <v/>
      </c>
      <c r="I1363" s="23">
        <f>IF($D1363="","",IFERROR(INDEX(ENVIOS!$F$4:$F$3003,MATCH($D1363,ENVIOS!$A$4:$A$3003,0)),"—"))</f>
        <v/>
      </c>
      <c r="J1363" s="23">
        <f>IF($D1363="","",IFERROR(INDEX(ENVIOS!$G$4:$G$3003,MATCH($D1363,ENVIOS!$A$4:$A$3003,0)),"—"))</f>
        <v/>
      </c>
      <c r="K1363" s="28">
        <f>IF($D1363="","",IFERROR(INDEX(ENVIOS!$H$4:$H$3003,MATCH($D1363,ENVIOS!$A$4:$A$3003,0)),"—"))</f>
        <v/>
      </c>
      <c r="L1363" s="49">
        <f>IF($D1363="","",IFERROR(INDEX(ENVIOS!$C$4:$C$3003,MATCH($D1363,ENVIOS!$A$4:$A$3003,0)),""))</f>
        <v/>
      </c>
      <c r="M1363" s="50" t="n"/>
      <c r="N1363" s="28">
        <f>IF($M1363="","",IFERROR(INDEX(CONFIG!$C$4:$C$63,MATCH($M1363,CONFIG!$A$4:$A$63,0)),"Media"))</f>
        <v/>
      </c>
      <c r="O1363" s="28">
        <f>IF($M1363="","",IF($C1363="Interna","NO",IFERROR(INDEX(CONFIG!$E$4:$E$63,MATCH($M1363,CONFIG!$A$4:$A$63,0)),"NO")))</f>
        <v/>
      </c>
      <c r="P1363" s="50" t="n"/>
      <c r="Q1363" s="50" t="n"/>
      <c r="R1363" s="28">
        <f>IF($Q1363="","",IFERROR(INDEX(CONFIG!$H$4:$H$63,MATCH($Q1363,CONFIG!$G$4:$G$63,0)),"Por definir"))</f>
        <v/>
      </c>
      <c r="S1363" s="28">
        <f>IF($Q1363="","",IFERROR(INDEX(CONFIG!$I$4:$I$63,MATCH($Q1363,CONFIG!$G$4:$G$63,0)),"Por definir"))</f>
        <v/>
      </c>
      <c r="T1363" s="51" t="n"/>
      <c r="U1363" s="52" t="n"/>
      <c r="V1363" s="50" t="n"/>
      <c r="W1363" s="50" t="n"/>
      <c r="X1363" s="49">
        <f>IF(OR($B1363="",$M1363=""),"",WORKDAY($B1363,IFERROR(INDEX(CONFIG!$D$4:$D$63,MATCH($M1363,CONFIG!$A$4:$A$63,0)),3)))</f>
        <v/>
      </c>
      <c r="Y1363" s="47" t="n"/>
      <c r="Z1363" s="24">
        <f>IF($B1363="","",IF($Y1363&lt;&gt;"",$Y1363-$B1363,TODAY()-$B1363))</f>
        <v/>
      </c>
      <c r="AA1363" s="28">
        <f>IF($B1363="","",IF(IFERROR(INDEX(CONFIG!$L$4:$L$63,MATCH($V1363,CONFIG!$K$4:$K$63,0)),"NO")="SÍ",IF(OR($Y1363="",$X1363=""),"Resuelta",IF($Y1363&gt;$X1363,"Resuelta tarde","Resuelta a tiempo")),IF($X1363="","Sin clasificar",IF(TODAY()&gt;$X1363,"Vencida",IF(TODAY()&gt;=$X1363-1,"Por vencer","En plazo")))))</f>
        <v/>
      </c>
      <c r="AB1363" s="50" t="n"/>
      <c r="AC1363" s="50" t="n"/>
    </row>
    <row r="1364" ht="16" customHeight="1">
      <c r="A1364" s="28">
        <f>IF($B1364="","","N-"&amp;TEXT(ROW()-3,"0000"))</f>
        <v/>
      </c>
      <c r="B1364" s="47" t="n"/>
      <c r="C1364" s="48" t="n"/>
      <c r="D1364" s="48" t="n"/>
      <c r="E1364" s="28">
        <f>IF($C1364="","",IF($D1364="",IF($C1364="Interna","Sin guía (interna)","FALTA GUÍA"),IF(COUNTIFS(ENVIOS!$A$4:$A$3003,$D1364)=0,"NO EXISTE",IF(COUNTIFS(ENVIOS!$A$4:$A$3003,$D1364)&gt;1,"DUPLICADA","OK"))))</f>
        <v/>
      </c>
      <c r="F1364" s="28">
        <f>IF($D1364="","",IFERROR(INDEX(ENVIOS!$B$4:$B$3003,MATCH($D1364,ENVIOS!$A$4:$A$3003,0)),"—"))</f>
        <v/>
      </c>
      <c r="G1364" s="23">
        <f>IF($D1364="","",IFERROR(INDEX(ENVIOS!$D$4:$D$3003,MATCH($D1364,ENVIOS!$A$4:$A$3003,0)),"—"))</f>
        <v/>
      </c>
      <c r="H1364" s="23">
        <f>IF($D1364="","",IFERROR(INDEX(ENVIOS!$E$4:$E$3003,MATCH($D1364,ENVIOS!$A$4:$A$3003,0)),"—"))</f>
        <v/>
      </c>
      <c r="I1364" s="23">
        <f>IF($D1364="","",IFERROR(INDEX(ENVIOS!$F$4:$F$3003,MATCH($D1364,ENVIOS!$A$4:$A$3003,0)),"—"))</f>
        <v/>
      </c>
      <c r="J1364" s="23">
        <f>IF($D1364="","",IFERROR(INDEX(ENVIOS!$G$4:$G$3003,MATCH($D1364,ENVIOS!$A$4:$A$3003,0)),"—"))</f>
        <v/>
      </c>
      <c r="K1364" s="28">
        <f>IF($D1364="","",IFERROR(INDEX(ENVIOS!$H$4:$H$3003,MATCH($D1364,ENVIOS!$A$4:$A$3003,0)),"—"))</f>
        <v/>
      </c>
      <c r="L1364" s="49">
        <f>IF($D1364="","",IFERROR(INDEX(ENVIOS!$C$4:$C$3003,MATCH($D1364,ENVIOS!$A$4:$A$3003,0)),""))</f>
        <v/>
      </c>
      <c r="M1364" s="50" t="n"/>
      <c r="N1364" s="28">
        <f>IF($M1364="","",IFERROR(INDEX(CONFIG!$C$4:$C$63,MATCH($M1364,CONFIG!$A$4:$A$63,0)),"Media"))</f>
        <v/>
      </c>
      <c r="O1364" s="28">
        <f>IF($M1364="","",IF($C1364="Interna","NO",IFERROR(INDEX(CONFIG!$E$4:$E$63,MATCH($M1364,CONFIG!$A$4:$A$63,0)),"NO")))</f>
        <v/>
      </c>
      <c r="P1364" s="50" t="n"/>
      <c r="Q1364" s="50" t="n"/>
      <c r="R1364" s="28">
        <f>IF($Q1364="","",IFERROR(INDEX(CONFIG!$H$4:$H$63,MATCH($Q1364,CONFIG!$G$4:$G$63,0)),"Por definir"))</f>
        <v/>
      </c>
      <c r="S1364" s="28">
        <f>IF($Q1364="","",IFERROR(INDEX(CONFIG!$I$4:$I$63,MATCH($Q1364,CONFIG!$G$4:$G$63,0)),"Por definir"))</f>
        <v/>
      </c>
      <c r="T1364" s="51" t="n"/>
      <c r="U1364" s="52" t="n"/>
      <c r="V1364" s="50" t="n"/>
      <c r="W1364" s="50" t="n"/>
      <c r="X1364" s="49">
        <f>IF(OR($B1364="",$M1364=""),"",WORKDAY($B1364,IFERROR(INDEX(CONFIG!$D$4:$D$63,MATCH($M1364,CONFIG!$A$4:$A$63,0)),3)))</f>
        <v/>
      </c>
      <c r="Y1364" s="47" t="n"/>
      <c r="Z1364" s="24">
        <f>IF($B1364="","",IF($Y1364&lt;&gt;"",$Y1364-$B1364,TODAY()-$B1364))</f>
        <v/>
      </c>
      <c r="AA1364" s="28">
        <f>IF($B1364="","",IF(IFERROR(INDEX(CONFIG!$L$4:$L$63,MATCH($V1364,CONFIG!$K$4:$K$63,0)),"NO")="SÍ",IF(OR($Y1364="",$X1364=""),"Resuelta",IF($Y1364&gt;$X1364,"Resuelta tarde","Resuelta a tiempo")),IF($X1364="","Sin clasificar",IF(TODAY()&gt;$X1364,"Vencida",IF(TODAY()&gt;=$X1364-1,"Por vencer","En plazo")))))</f>
        <v/>
      </c>
      <c r="AB1364" s="50" t="n"/>
      <c r="AC1364" s="50" t="n"/>
    </row>
    <row r="1365" ht="16" customHeight="1">
      <c r="A1365" s="28">
        <f>IF($B1365="","","N-"&amp;TEXT(ROW()-3,"0000"))</f>
        <v/>
      </c>
      <c r="B1365" s="47" t="n"/>
      <c r="C1365" s="48" t="n"/>
      <c r="D1365" s="48" t="n"/>
      <c r="E1365" s="28">
        <f>IF($C1365="","",IF($D1365="",IF($C1365="Interna","Sin guía (interna)","FALTA GUÍA"),IF(COUNTIFS(ENVIOS!$A$4:$A$3003,$D1365)=0,"NO EXISTE",IF(COUNTIFS(ENVIOS!$A$4:$A$3003,$D1365)&gt;1,"DUPLICADA","OK"))))</f>
        <v/>
      </c>
      <c r="F1365" s="28">
        <f>IF($D1365="","",IFERROR(INDEX(ENVIOS!$B$4:$B$3003,MATCH($D1365,ENVIOS!$A$4:$A$3003,0)),"—"))</f>
        <v/>
      </c>
      <c r="G1365" s="23">
        <f>IF($D1365="","",IFERROR(INDEX(ENVIOS!$D$4:$D$3003,MATCH($D1365,ENVIOS!$A$4:$A$3003,0)),"—"))</f>
        <v/>
      </c>
      <c r="H1365" s="23">
        <f>IF($D1365="","",IFERROR(INDEX(ENVIOS!$E$4:$E$3003,MATCH($D1365,ENVIOS!$A$4:$A$3003,0)),"—"))</f>
        <v/>
      </c>
      <c r="I1365" s="23">
        <f>IF($D1365="","",IFERROR(INDEX(ENVIOS!$F$4:$F$3003,MATCH($D1365,ENVIOS!$A$4:$A$3003,0)),"—"))</f>
        <v/>
      </c>
      <c r="J1365" s="23">
        <f>IF($D1365="","",IFERROR(INDEX(ENVIOS!$G$4:$G$3003,MATCH($D1365,ENVIOS!$A$4:$A$3003,0)),"—"))</f>
        <v/>
      </c>
      <c r="K1365" s="28">
        <f>IF($D1365="","",IFERROR(INDEX(ENVIOS!$H$4:$H$3003,MATCH($D1365,ENVIOS!$A$4:$A$3003,0)),"—"))</f>
        <v/>
      </c>
      <c r="L1365" s="49">
        <f>IF($D1365="","",IFERROR(INDEX(ENVIOS!$C$4:$C$3003,MATCH($D1365,ENVIOS!$A$4:$A$3003,0)),""))</f>
        <v/>
      </c>
      <c r="M1365" s="50" t="n"/>
      <c r="N1365" s="28">
        <f>IF($M1365="","",IFERROR(INDEX(CONFIG!$C$4:$C$63,MATCH($M1365,CONFIG!$A$4:$A$63,0)),"Media"))</f>
        <v/>
      </c>
      <c r="O1365" s="28">
        <f>IF($M1365="","",IF($C1365="Interna","NO",IFERROR(INDEX(CONFIG!$E$4:$E$63,MATCH($M1365,CONFIG!$A$4:$A$63,0)),"NO")))</f>
        <v/>
      </c>
      <c r="P1365" s="50" t="n"/>
      <c r="Q1365" s="50" t="n"/>
      <c r="R1365" s="28">
        <f>IF($Q1365="","",IFERROR(INDEX(CONFIG!$H$4:$H$63,MATCH($Q1365,CONFIG!$G$4:$G$63,0)),"Por definir"))</f>
        <v/>
      </c>
      <c r="S1365" s="28">
        <f>IF($Q1365="","",IFERROR(INDEX(CONFIG!$I$4:$I$63,MATCH($Q1365,CONFIG!$G$4:$G$63,0)),"Por definir"))</f>
        <v/>
      </c>
      <c r="T1365" s="51" t="n"/>
      <c r="U1365" s="52" t="n"/>
      <c r="V1365" s="50" t="n"/>
      <c r="W1365" s="50" t="n"/>
      <c r="X1365" s="49">
        <f>IF(OR($B1365="",$M1365=""),"",WORKDAY($B1365,IFERROR(INDEX(CONFIG!$D$4:$D$63,MATCH($M1365,CONFIG!$A$4:$A$63,0)),3)))</f>
        <v/>
      </c>
      <c r="Y1365" s="47" t="n"/>
      <c r="Z1365" s="24">
        <f>IF($B1365="","",IF($Y1365&lt;&gt;"",$Y1365-$B1365,TODAY()-$B1365))</f>
        <v/>
      </c>
      <c r="AA1365" s="28">
        <f>IF($B1365="","",IF(IFERROR(INDEX(CONFIG!$L$4:$L$63,MATCH($V1365,CONFIG!$K$4:$K$63,0)),"NO")="SÍ",IF(OR($Y1365="",$X1365=""),"Resuelta",IF($Y1365&gt;$X1365,"Resuelta tarde","Resuelta a tiempo")),IF($X1365="","Sin clasificar",IF(TODAY()&gt;$X1365,"Vencida",IF(TODAY()&gt;=$X1365-1,"Por vencer","En plazo")))))</f>
        <v/>
      </c>
      <c r="AB1365" s="50" t="n"/>
      <c r="AC1365" s="50" t="n"/>
    </row>
    <row r="1366" ht="16" customHeight="1">
      <c r="A1366" s="28">
        <f>IF($B1366="","","N-"&amp;TEXT(ROW()-3,"0000"))</f>
        <v/>
      </c>
      <c r="B1366" s="47" t="n"/>
      <c r="C1366" s="48" t="n"/>
      <c r="D1366" s="48" t="n"/>
      <c r="E1366" s="28">
        <f>IF($C1366="","",IF($D1366="",IF($C1366="Interna","Sin guía (interna)","FALTA GUÍA"),IF(COUNTIFS(ENVIOS!$A$4:$A$3003,$D1366)=0,"NO EXISTE",IF(COUNTIFS(ENVIOS!$A$4:$A$3003,$D1366)&gt;1,"DUPLICADA","OK"))))</f>
        <v/>
      </c>
      <c r="F1366" s="28">
        <f>IF($D1366="","",IFERROR(INDEX(ENVIOS!$B$4:$B$3003,MATCH($D1366,ENVIOS!$A$4:$A$3003,0)),"—"))</f>
        <v/>
      </c>
      <c r="G1366" s="23">
        <f>IF($D1366="","",IFERROR(INDEX(ENVIOS!$D$4:$D$3003,MATCH($D1366,ENVIOS!$A$4:$A$3003,0)),"—"))</f>
        <v/>
      </c>
      <c r="H1366" s="23">
        <f>IF($D1366="","",IFERROR(INDEX(ENVIOS!$E$4:$E$3003,MATCH($D1366,ENVIOS!$A$4:$A$3003,0)),"—"))</f>
        <v/>
      </c>
      <c r="I1366" s="23">
        <f>IF($D1366="","",IFERROR(INDEX(ENVIOS!$F$4:$F$3003,MATCH($D1366,ENVIOS!$A$4:$A$3003,0)),"—"))</f>
        <v/>
      </c>
      <c r="J1366" s="23">
        <f>IF($D1366="","",IFERROR(INDEX(ENVIOS!$G$4:$G$3003,MATCH($D1366,ENVIOS!$A$4:$A$3003,0)),"—"))</f>
        <v/>
      </c>
      <c r="K1366" s="28">
        <f>IF($D1366="","",IFERROR(INDEX(ENVIOS!$H$4:$H$3003,MATCH($D1366,ENVIOS!$A$4:$A$3003,0)),"—"))</f>
        <v/>
      </c>
      <c r="L1366" s="49">
        <f>IF($D1366="","",IFERROR(INDEX(ENVIOS!$C$4:$C$3003,MATCH($D1366,ENVIOS!$A$4:$A$3003,0)),""))</f>
        <v/>
      </c>
      <c r="M1366" s="50" t="n"/>
      <c r="N1366" s="28">
        <f>IF($M1366="","",IFERROR(INDEX(CONFIG!$C$4:$C$63,MATCH($M1366,CONFIG!$A$4:$A$63,0)),"Media"))</f>
        <v/>
      </c>
      <c r="O1366" s="28">
        <f>IF($M1366="","",IF($C1366="Interna","NO",IFERROR(INDEX(CONFIG!$E$4:$E$63,MATCH($M1366,CONFIG!$A$4:$A$63,0)),"NO")))</f>
        <v/>
      </c>
      <c r="P1366" s="50" t="n"/>
      <c r="Q1366" s="50" t="n"/>
      <c r="R1366" s="28">
        <f>IF($Q1366="","",IFERROR(INDEX(CONFIG!$H$4:$H$63,MATCH($Q1366,CONFIG!$G$4:$G$63,0)),"Por definir"))</f>
        <v/>
      </c>
      <c r="S1366" s="28">
        <f>IF($Q1366="","",IFERROR(INDEX(CONFIG!$I$4:$I$63,MATCH($Q1366,CONFIG!$G$4:$G$63,0)),"Por definir"))</f>
        <v/>
      </c>
      <c r="T1366" s="51" t="n"/>
      <c r="U1366" s="52" t="n"/>
      <c r="V1366" s="50" t="n"/>
      <c r="W1366" s="50" t="n"/>
      <c r="X1366" s="49">
        <f>IF(OR($B1366="",$M1366=""),"",WORKDAY($B1366,IFERROR(INDEX(CONFIG!$D$4:$D$63,MATCH($M1366,CONFIG!$A$4:$A$63,0)),3)))</f>
        <v/>
      </c>
      <c r="Y1366" s="47" t="n"/>
      <c r="Z1366" s="24">
        <f>IF($B1366="","",IF($Y1366&lt;&gt;"",$Y1366-$B1366,TODAY()-$B1366))</f>
        <v/>
      </c>
      <c r="AA1366" s="28">
        <f>IF($B1366="","",IF(IFERROR(INDEX(CONFIG!$L$4:$L$63,MATCH($V1366,CONFIG!$K$4:$K$63,0)),"NO")="SÍ",IF(OR($Y1366="",$X1366=""),"Resuelta",IF($Y1366&gt;$X1366,"Resuelta tarde","Resuelta a tiempo")),IF($X1366="","Sin clasificar",IF(TODAY()&gt;$X1366,"Vencida",IF(TODAY()&gt;=$X1366-1,"Por vencer","En plazo")))))</f>
        <v/>
      </c>
      <c r="AB1366" s="50" t="n"/>
      <c r="AC1366" s="50" t="n"/>
    </row>
    <row r="1367" ht="16" customHeight="1">
      <c r="A1367" s="28">
        <f>IF($B1367="","","N-"&amp;TEXT(ROW()-3,"0000"))</f>
        <v/>
      </c>
      <c r="B1367" s="47" t="n"/>
      <c r="C1367" s="48" t="n"/>
      <c r="D1367" s="48" t="n"/>
      <c r="E1367" s="28">
        <f>IF($C1367="","",IF($D1367="",IF($C1367="Interna","Sin guía (interna)","FALTA GUÍA"),IF(COUNTIFS(ENVIOS!$A$4:$A$3003,$D1367)=0,"NO EXISTE",IF(COUNTIFS(ENVIOS!$A$4:$A$3003,$D1367)&gt;1,"DUPLICADA","OK"))))</f>
        <v/>
      </c>
      <c r="F1367" s="28">
        <f>IF($D1367="","",IFERROR(INDEX(ENVIOS!$B$4:$B$3003,MATCH($D1367,ENVIOS!$A$4:$A$3003,0)),"—"))</f>
        <v/>
      </c>
      <c r="G1367" s="23">
        <f>IF($D1367="","",IFERROR(INDEX(ENVIOS!$D$4:$D$3003,MATCH($D1367,ENVIOS!$A$4:$A$3003,0)),"—"))</f>
        <v/>
      </c>
      <c r="H1367" s="23">
        <f>IF($D1367="","",IFERROR(INDEX(ENVIOS!$E$4:$E$3003,MATCH($D1367,ENVIOS!$A$4:$A$3003,0)),"—"))</f>
        <v/>
      </c>
      <c r="I1367" s="23">
        <f>IF($D1367="","",IFERROR(INDEX(ENVIOS!$F$4:$F$3003,MATCH($D1367,ENVIOS!$A$4:$A$3003,0)),"—"))</f>
        <v/>
      </c>
      <c r="J1367" s="23">
        <f>IF($D1367="","",IFERROR(INDEX(ENVIOS!$G$4:$G$3003,MATCH($D1367,ENVIOS!$A$4:$A$3003,0)),"—"))</f>
        <v/>
      </c>
      <c r="K1367" s="28">
        <f>IF($D1367="","",IFERROR(INDEX(ENVIOS!$H$4:$H$3003,MATCH($D1367,ENVIOS!$A$4:$A$3003,0)),"—"))</f>
        <v/>
      </c>
      <c r="L1367" s="49">
        <f>IF($D1367="","",IFERROR(INDEX(ENVIOS!$C$4:$C$3003,MATCH($D1367,ENVIOS!$A$4:$A$3003,0)),""))</f>
        <v/>
      </c>
      <c r="M1367" s="50" t="n"/>
      <c r="N1367" s="28">
        <f>IF($M1367="","",IFERROR(INDEX(CONFIG!$C$4:$C$63,MATCH($M1367,CONFIG!$A$4:$A$63,0)),"Media"))</f>
        <v/>
      </c>
      <c r="O1367" s="28">
        <f>IF($M1367="","",IF($C1367="Interna","NO",IFERROR(INDEX(CONFIG!$E$4:$E$63,MATCH($M1367,CONFIG!$A$4:$A$63,0)),"NO")))</f>
        <v/>
      </c>
      <c r="P1367" s="50" t="n"/>
      <c r="Q1367" s="50" t="n"/>
      <c r="R1367" s="28">
        <f>IF($Q1367="","",IFERROR(INDEX(CONFIG!$H$4:$H$63,MATCH($Q1367,CONFIG!$G$4:$G$63,0)),"Por definir"))</f>
        <v/>
      </c>
      <c r="S1367" s="28">
        <f>IF($Q1367="","",IFERROR(INDEX(CONFIG!$I$4:$I$63,MATCH($Q1367,CONFIG!$G$4:$G$63,0)),"Por definir"))</f>
        <v/>
      </c>
      <c r="T1367" s="51" t="n"/>
      <c r="U1367" s="52" t="n"/>
      <c r="V1367" s="50" t="n"/>
      <c r="W1367" s="50" t="n"/>
      <c r="X1367" s="49">
        <f>IF(OR($B1367="",$M1367=""),"",WORKDAY($B1367,IFERROR(INDEX(CONFIG!$D$4:$D$63,MATCH($M1367,CONFIG!$A$4:$A$63,0)),3)))</f>
        <v/>
      </c>
      <c r="Y1367" s="47" t="n"/>
      <c r="Z1367" s="24">
        <f>IF($B1367="","",IF($Y1367&lt;&gt;"",$Y1367-$B1367,TODAY()-$B1367))</f>
        <v/>
      </c>
      <c r="AA1367" s="28">
        <f>IF($B1367="","",IF(IFERROR(INDEX(CONFIG!$L$4:$L$63,MATCH($V1367,CONFIG!$K$4:$K$63,0)),"NO")="SÍ",IF(OR($Y1367="",$X1367=""),"Resuelta",IF($Y1367&gt;$X1367,"Resuelta tarde","Resuelta a tiempo")),IF($X1367="","Sin clasificar",IF(TODAY()&gt;$X1367,"Vencida",IF(TODAY()&gt;=$X1367-1,"Por vencer","En plazo")))))</f>
        <v/>
      </c>
      <c r="AB1367" s="50" t="n"/>
      <c r="AC1367" s="50" t="n"/>
    </row>
    <row r="1368" ht="16" customHeight="1">
      <c r="A1368" s="28">
        <f>IF($B1368="","","N-"&amp;TEXT(ROW()-3,"0000"))</f>
        <v/>
      </c>
      <c r="B1368" s="47" t="n"/>
      <c r="C1368" s="48" t="n"/>
      <c r="D1368" s="48" t="n"/>
      <c r="E1368" s="28">
        <f>IF($C1368="","",IF($D1368="",IF($C1368="Interna","Sin guía (interna)","FALTA GUÍA"),IF(COUNTIFS(ENVIOS!$A$4:$A$3003,$D1368)=0,"NO EXISTE",IF(COUNTIFS(ENVIOS!$A$4:$A$3003,$D1368)&gt;1,"DUPLICADA","OK"))))</f>
        <v/>
      </c>
      <c r="F1368" s="28">
        <f>IF($D1368="","",IFERROR(INDEX(ENVIOS!$B$4:$B$3003,MATCH($D1368,ENVIOS!$A$4:$A$3003,0)),"—"))</f>
        <v/>
      </c>
      <c r="G1368" s="23">
        <f>IF($D1368="","",IFERROR(INDEX(ENVIOS!$D$4:$D$3003,MATCH($D1368,ENVIOS!$A$4:$A$3003,0)),"—"))</f>
        <v/>
      </c>
      <c r="H1368" s="23">
        <f>IF($D1368="","",IFERROR(INDEX(ENVIOS!$E$4:$E$3003,MATCH($D1368,ENVIOS!$A$4:$A$3003,0)),"—"))</f>
        <v/>
      </c>
      <c r="I1368" s="23">
        <f>IF($D1368="","",IFERROR(INDEX(ENVIOS!$F$4:$F$3003,MATCH($D1368,ENVIOS!$A$4:$A$3003,0)),"—"))</f>
        <v/>
      </c>
      <c r="J1368" s="23">
        <f>IF($D1368="","",IFERROR(INDEX(ENVIOS!$G$4:$G$3003,MATCH($D1368,ENVIOS!$A$4:$A$3003,0)),"—"))</f>
        <v/>
      </c>
      <c r="K1368" s="28">
        <f>IF($D1368="","",IFERROR(INDEX(ENVIOS!$H$4:$H$3003,MATCH($D1368,ENVIOS!$A$4:$A$3003,0)),"—"))</f>
        <v/>
      </c>
      <c r="L1368" s="49">
        <f>IF($D1368="","",IFERROR(INDEX(ENVIOS!$C$4:$C$3003,MATCH($D1368,ENVIOS!$A$4:$A$3003,0)),""))</f>
        <v/>
      </c>
      <c r="M1368" s="50" t="n"/>
      <c r="N1368" s="28">
        <f>IF($M1368="","",IFERROR(INDEX(CONFIG!$C$4:$C$63,MATCH($M1368,CONFIG!$A$4:$A$63,0)),"Media"))</f>
        <v/>
      </c>
      <c r="O1368" s="28">
        <f>IF($M1368="","",IF($C1368="Interna","NO",IFERROR(INDEX(CONFIG!$E$4:$E$63,MATCH($M1368,CONFIG!$A$4:$A$63,0)),"NO")))</f>
        <v/>
      </c>
      <c r="P1368" s="50" t="n"/>
      <c r="Q1368" s="50" t="n"/>
      <c r="R1368" s="28">
        <f>IF($Q1368="","",IFERROR(INDEX(CONFIG!$H$4:$H$63,MATCH($Q1368,CONFIG!$G$4:$G$63,0)),"Por definir"))</f>
        <v/>
      </c>
      <c r="S1368" s="28">
        <f>IF($Q1368="","",IFERROR(INDEX(CONFIG!$I$4:$I$63,MATCH($Q1368,CONFIG!$G$4:$G$63,0)),"Por definir"))</f>
        <v/>
      </c>
      <c r="T1368" s="51" t="n"/>
      <c r="U1368" s="52" t="n"/>
      <c r="V1368" s="50" t="n"/>
      <c r="W1368" s="50" t="n"/>
      <c r="X1368" s="49">
        <f>IF(OR($B1368="",$M1368=""),"",WORKDAY($B1368,IFERROR(INDEX(CONFIG!$D$4:$D$63,MATCH($M1368,CONFIG!$A$4:$A$63,0)),3)))</f>
        <v/>
      </c>
      <c r="Y1368" s="47" t="n"/>
      <c r="Z1368" s="24">
        <f>IF($B1368="","",IF($Y1368&lt;&gt;"",$Y1368-$B1368,TODAY()-$B1368))</f>
        <v/>
      </c>
      <c r="AA1368" s="28">
        <f>IF($B1368="","",IF(IFERROR(INDEX(CONFIG!$L$4:$L$63,MATCH($V1368,CONFIG!$K$4:$K$63,0)),"NO")="SÍ",IF(OR($Y1368="",$X1368=""),"Resuelta",IF($Y1368&gt;$X1368,"Resuelta tarde","Resuelta a tiempo")),IF($X1368="","Sin clasificar",IF(TODAY()&gt;$X1368,"Vencida",IF(TODAY()&gt;=$X1368-1,"Por vencer","En plazo")))))</f>
        <v/>
      </c>
      <c r="AB1368" s="50" t="n"/>
      <c r="AC1368" s="50" t="n"/>
    </row>
    <row r="1369" ht="16" customHeight="1">
      <c r="A1369" s="28">
        <f>IF($B1369="","","N-"&amp;TEXT(ROW()-3,"0000"))</f>
        <v/>
      </c>
      <c r="B1369" s="47" t="n"/>
      <c r="C1369" s="48" t="n"/>
      <c r="D1369" s="48" t="n"/>
      <c r="E1369" s="28">
        <f>IF($C1369="","",IF($D1369="",IF($C1369="Interna","Sin guía (interna)","FALTA GUÍA"),IF(COUNTIFS(ENVIOS!$A$4:$A$3003,$D1369)=0,"NO EXISTE",IF(COUNTIFS(ENVIOS!$A$4:$A$3003,$D1369)&gt;1,"DUPLICADA","OK"))))</f>
        <v/>
      </c>
      <c r="F1369" s="28">
        <f>IF($D1369="","",IFERROR(INDEX(ENVIOS!$B$4:$B$3003,MATCH($D1369,ENVIOS!$A$4:$A$3003,0)),"—"))</f>
        <v/>
      </c>
      <c r="G1369" s="23">
        <f>IF($D1369="","",IFERROR(INDEX(ENVIOS!$D$4:$D$3003,MATCH($D1369,ENVIOS!$A$4:$A$3003,0)),"—"))</f>
        <v/>
      </c>
      <c r="H1369" s="23">
        <f>IF($D1369="","",IFERROR(INDEX(ENVIOS!$E$4:$E$3003,MATCH($D1369,ENVIOS!$A$4:$A$3003,0)),"—"))</f>
        <v/>
      </c>
      <c r="I1369" s="23">
        <f>IF($D1369="","",IFERROR(INDEX(ENVIOS!$F$4:$F$3003,MATCH($D1369,ENVIOS!$A$4:$A$3003,0)),"—"))</f>
        <v/>
      </c>
      <c r="J1369" s="23">
        <f>IF($D1369="","",IFERROR(INDEX(ENVIOS!$G$4:$G$3003,MATCH($D1369,ENVIOS!$A$4:$A$3003,0)),"—"))</f>
        <v/>
      </c>
      <c r="K1369" s="28">
        <f>IF($D1369="","",IFERROR(INDEX(ENVIOS!$H$4:$H$3003,MATCH($D1369,ENVIOS!$A$4:$A$3003,0)),"—"))</f>
        <v/>
      </c>
      <c r="L1369" s="49">
        <f>IF($D1369="","",IFERROR(INDEX(ENVIOS!$C$4:$C$3003,MATCH($D1369,ENVIOS!$A$4:$A$3003,0)),""))</f>
        <v/>
      </c>
      <c r="M1369" s="50" t="n"/>
      <c r="N1369" s="28">
        <f>IF($M1369="","",IFERROR(INDEX(CONFIG!$C$4:$C$63,MATCH($M1369,CONFIG!$A$4:$A$63,0)),"Media"))</f>
        <v/>
      </c>
      <c r="O1369" s="28">
        <f>IF($M1369="","",IF($C1369="Interna","NO",IFERROR(INDEX(CONFIG!$E$4:$E$63,MATCH($M1369,CONFIG!$A$4:$A$63,0)),"NO")))</f>
        <v/>
      </c>
      <c r="P1369" s="50" t="n"/>
      <c r="Q1369" s="50" t="n"/>
      <c r="R1369" s="28">
        <f>IF($Q1369="","",IFERROR(INDEX(CONFIG!$H$4:$H$63,MATCH($Q1369,CONFIG!$G$4:$G$63,0)),"Por definir"))</f>
        <v/>
      </c>
      <c r="S1369" s="28">
        <f>IF($Q1369="","",IFERROR(INDEX(CONFIG!$I$4:$I$63,MATCH($Q1369,CONFIG!$G$4:$G$63,0)),"Por definir"))</f>
        <v/>
      </c>
      <c r="T1369" s="51" t="n"/>
      <c r="U1369" s="52" t="n"/>
      <c r="V1369" s="50" t="n"/>
      <c r="W1369" s="50" t="n"/>
      <c r="X1369" s="49">
        <f>IF(OR($B1369="",$M1369=""),"",WORKDAY($B1369,IFERROR(INDEX(CONFIG!$D$4:$D$63,MATCH($M1369,CONFIG!$A$4:$A$63,0)),3)))</f>
        <v/>
      </c>
      <c r="Y1369" s="47" t="n"/>
      <c r="Z1369" s="24">
        <f>IF($B1369="","",IF($Y1369&lt;&gt;"",$Y1369-$B1369,TODAY()-$B1369))</f>
        <v/>
      </c>
      <c r="AA1369" s="28">
        <f>IF($B1369="","",IF(IFERROR(INDEX(CONFIG!$L$4:$L$63,MATCH($V1369,CONFIG!$K$4:$K$63,0)),"NO")="SÍ",IF(OR($Y1369="",$X1369=""),"Resuelta",IF($Y1369&gt;$X1369,"Resuelta tarde","Resuelta a tiempo")),IF($X1369="","Sin clasificar",IF(TODAY()&gt;$X1369,"Vencida",IF(TODAY()&gt;=$X1369-1,"Por vencer","En plazo")))))</f>
        <v/>
      </c>
      <c r="AB1369" s="50" t="n"/>
      <c r="AC1369" s="50" t="n"/>
    </row>
    <row r="1370" ht="16" customHeight="1">
      <c r="A1370" s="28">
        <f>IF($B1370="","","N-"&amp;TEXT(ROW()-3,"0000"))</f>
        <v/>
      </c>
      <c r="B1370" s="47" t="n"/>
      <c r="C1370" s="48" t="n"/>
      <c r="D1370" s="48" t="n"/>
      <c r="E1370" s="28">
        <f>IF($C1370="","",IF($D1370="",IF($C1370="Interna","Sin guía (interna)","FALTA GUÍA"),IF(COUNTIFS(ENVIOS!$A$4:$A$3003,$D1370)=0,"NO EXISTE",IF(COUNTIFS(ENVIOS!$A$4:$A$3003,$D1370)&gt;1,"DUPLICADA","OK"))))</f>
        <v/>
      </c>
      <c r="F1370" s="28">
        <f>IF($D1370="","",IFERROR(INDEX(ENVIOS!$B$4:$B$3003,MATCH($D1370,ENVIOS!$A$4:$A$3003,0)),"—"))</f>
        <v/>
      </c>
      <c r="G1370" s="23">
        <f>IF($D1370="","",IFERROR(INDEX(ENVIOS!$D$4:$D$3003,MATCH($D1370,ENVIOS!$A$4:$A$3003,0)),"—"))</f>
        <v/>
      </c>
      <c r="H1370" s="23">
        <f>IF($D1370="","",IFERROR(INDEX(ENVIOS!$E$4:$E$3003,MATCH($D1370,ENVIOS!$A$4:$A$3003,0)),"—"))</f>
        <v/>
      </c>
      <c r="I1370" s="23">
        <f>IF($D1370="","",IFERROR(INDEX(ENVIOS!$F$4:$F$3003,MATCH($D1370,ENVIOS!$A$4:$A$3003,0)),"—"))</f>
        <v/>
      </c>
      <c r="J1370" s="23">
        <f>IF($D1370="","",IFERROR(INDEX(ENVIOS!$G$4:$G$3003,MATCH($D1370,ENVIOS!$A$4:$A$3003,0)),"—"))</f>
        <v/>
      </c>
      <c r="K1370" s="28">
        <f>IF($D1370="","",IFERROR(INDEX(ENVIOS!$H$4:$H$3003,MATCH($D1370,ENVIOS!$A$4:$A$3003,0)),"—"))</f>
        <v/>
      </c>
      <c r="L1370" s="49">
        <f>IF($D1370="","",IFERROR(INDEX(ENVIOS!$C$4:$C$3003,MATCH($D1370,ENVIOS!$A$4:$A$3003,0)),""))</f>
        <v/>
      </c>
      <c r="M1370" s="50" t="n"/>
      <c r="N1370" s="28">
        <f>IF($M1370="","",IFERROR(INDEX(CONFIG!$C$4:$C$63,MATCH($M1370,CONFIG!$A$4:$A$63,0)),"Media"))</f>
        <v/>
      </c>
      <c r="O1370" s="28">
        <f>IF($M1370="","",IF($C1370="Interna","NO",IFERROR(INDEX(CONFIG!$E$4:$E$63,MATCH($M1370,CONFIG!$A$4:$A$63,0)),"NO")))</f>
        <v/>
      </c>
      <c r="P1370" s="50" t="n"/>
      <c r="Q1370" s="50" t="n"/>
      <c r="R1370" s="28">
        <f>IF($Q1370="","",IFERROR(INDEX(CONFIG!$H$4:$H$63,MATCH($Q1370,CONFIG!$G$4:$G$63,0)),"Por definir"))</f>
        <v/>
      </c>
      <c r="S1370" s="28">
        <f>IF($Q1370="","",IFERROR(INDEX(CONFIG!$I$4:$I$63,MATCH($Q1370,CONFIG!$G$4:$G$63,0)),"Por definir"))</f>
        <v/>
      </c>
      <c r="T1370" s="51" t="n"/>
      <c r="U1370" s="52" t="n"/>
      <c r="V1370" s="50" t="n"/>
      <c r="W1370" s="50" t="n"/>
      <c r="X1370" s="49">
        <f>IF(OR($B1370="",$M1370=""),"",WORKDAY($B1370,IFERROR(INDEX(CONFIG!$D$4:$D$63,MATCH($M1370,CONFIG!$A$4:$A$63,0)),3)))</f>
        <v/>
      </c>
      <c r="Y1370" s="47" t="n"/>
      <c r="Z1370" s="24">
        <f>IF($B1370="","",IF($Y1370&lt;&gt;"",$Y1370-$B1370,TODAY()-$B1370))</f>
        <v/>
      </c>
      <c r="AA1370" s="28">
        <f>IF($B1370="","",IF(IFERROR(INDEX(CONFIG!$L$4:$L$63,MATCH($V1370,CONFIG!$K$4:$K$63,0)),"NO")="SÍ",IF(OR($Y1370="",$X1370=""),"Resuelta",IF($Y1370&gt;$X1370,"Resuelta tarde","Resuelta a tiempo")),IF($X1370="","Sin clasificar",IF(TODAY()&gt;$X1370,"Vencida",IF(TODAY()&gt;=$X1370-1,"Por vencer","En plazo")))))</f>
        <v/>
      </c>
      <c r="AB1370" s="50" t="n"/>
      <c r="AC1370" s="50" t="n"/>
    </row>
    <row r="1371" ht="16" customHeight="1">
      <c r="A1371" s="28">
        <f>IF($B1371="","","N-"&amp;TEXT(ROW()-3,"0000"))</f>
        <v/>
      </c>
      <c r="B1371" s="47" t="n"/>
      <c r="C1371" s="48" t="n"/>
      <c r="D1371" s="48" t="n"/>
      <c r="E1371" s="28">
        <f>IF($C1371="","",IF($D1371="",IF($C1371="Interna","Sin guía (interna)","FALTA GUÍA"),IF(COUNTIFS(ENVIOS!$A$4:$A$3003,$D1371)=0,"NO EXISTE",IF(COUNTIFS(ENVIOS!$A$4:$A$3003,$D1371)&gt;1,"DUPLICADA","OK"))))</f>
        <v/>
      </c>
      <c r="F1371" s="28">
        <f>IF($D1371="","",IFERROR(INDEX(ENVIOS!$B$4:$B$3003,MATCH($D1371,ENVIOS!$A$4:$A$3003,0)),"—"))</f>
        <v/>
      </c>
      <c r="G1371" s="23">
        <f>IF($D1371="","",IFERROR(INDEX(ENVIOS!$D$4:$D$3003,MATCH($D1371,ENVIOS!$A$4:$A$3003,0)),"—"))</f>
        <v/>
      </c>
      <c r="H1371" s="23">
        <f>IF($D1371="","",IFERROR(INDEX(ENVIOS!$E$4:$E$3003,MATCH($D1371,ENVIOS!$A$4:$A$3003,0)),"—"))</f>
        <v/>
      </c>
      <c r="I1371" s="23">
        <f>IF($D1371="","",IFERROR(INDEX(ENVIOS!$F$4:$F$3003,MATCH($D1371,ENVIOS!$A$4:$A$3003,0)),"—"))</f>
        <v/>
      </c>
      <c r="J1371" s="23">
        <f>IF($D1371="","",IFERROR(INDEX(ENVIOS!$G$4:$G$3003,MATCH($D1371,ENVIOS!$A$4:$A$3003,0)),"—"))</f>
        <v/>
      </c>
      <c r="K1371" s="28">
        <f>IF($D1371="","",IFERROR(INDEX(ENVIOS!$H$4:$H$3003,MATCH($D1371,ENVIOS!$A$4:$A$3003,0)),"—"))</f>
        <v/>
      </c>
      <c r="L1371" s="49">
        <f>IF($D1371="","",IFERROR(INDEX(ENVIOS!$C$4:$C$3003,MATCH($D1371,ENVIOS!$A$4:$A$3003,0)),""))</f>
        <v/>
      </c>
      <c r="M1371" s="50" t="n"/>
      <c r="N1371" s="28">
        <f>IF($M1371="","",IFERROR(INDEX(CONFIG!$C$4:$C$63,MATCH($M1371,CONFIG!$A$4:$A$63,0)),"Media"))</f>
        <v/>
      </c>
      <c r="O1371" s="28">
        <f>IF($M1371="","",IF($C1371="Interna","NO",IFERROR(INDEX(CONFIG!$E$4:$E$63,MATCH($M1371,CONFIG!$A$4:$A$63,0)),"NO")))</f>
        <v/>
      </c>
      <c r="P1371" s="50" t="n"/>
      <c r="Q1371" s="50" t="n"/>
      <c r="R1371" s="28">
        <f>IF($Q1371="","",IFERROR(INDEX(CONFIG!$H$4:$H$63,MATCH($Q1371,CONFIG!$G$4:$G$63,0)),"Por definir"))</f>
        <v/>
      </c>
      <c r="S1371" s="28">
        <f>IF($Q1371="","",IFERROR(INDEX(CONFIG!$I$4:$I$63,MATCH($Q1371,CONFIG!$G$4:$G$63,0)),"Por definir"))</f>
        <v/>
      </c>
      <c r="T1371" s="51" t="n"/>
      <c r="U1371" s="52" t="n"/>
      <c r="V1371" s="50" t="n"/>
      <c r="W1371" s="50" t="n"/>
      <c r="X1371" s="49">
        <f>IF(OR($B1371="",$M1371=""),"",WORKDAY($B1371,IFERROR(INDEX(CONFIG!$D$4:$D$63,MATCH($M1371,CONFIG!$A$4:$A$63,0)),3)))</f>
        <v/>
      </c>
      <c r="Y1371" s="47" t="n"/>
      <c r="Z1371" s="24">
        <f>IF($B1371="","",IF($Y1371&lt;&gt;"",$Y1371-$B1371,TODAY()-$B1371))</f>
        <v/>
      </c>
      <c r="AA1371" s="28">
        <f>IF($B1371="","",IF(IFERROR(INDEX(CONFIG!$L$4:$L$63,MATCH($V1371,CONFIG!$K$4:$K$63,0)),"NO")="SÍ",IF(OR($Y1371="",$X1371=""),"Resuelta",IF($Y1371&gt;$X1371,"Resuelta tarde","Resuelta a tiempo")),IF($X1371="","Sin clasificar",IF(TODAY()&gt;$X1371,"Vencida",IF(TODAY()&gt;=$X1371-1,"Por vencer","En plazo")))))</f>
        <v/>
      </c>
      <c r="AB1371" s="50" t="n"/>
      <c r="AC1371" s="50" t="n"/>
    </row>
    <row r="1372" ht="16" customHeight="1">
      <c r="A1372" s="28">
        <f>IF($B1372="","","N-"&amp;TEXT(ROW()-3,"0000"))</f>
        <v/>
      </c>
      <c r="B1372" s="47" t="n"/>
      <c r="C1372" s="48" t="n"/>
      <c r="D1372" s="48" t="n"/>
      <c r="E1372" s="28">
        <f>IF($C1372="","",IF($D1372="",IF($C1372="Interna","Sin guía (interna)","FALTA GUÍA"),IF(COUNTIFS(ENVIOS!$A$4:$A$3003,$D1372)=0,"NO EXISTE",IF(COUNTIFS(ENVIOS!$A$4:$A$3003,$D1372)&gt;1,"DUPLICADA","OK"))))</f>
        <v/>
      </c>
      <c r="F1372" s="28">
        <f>IF($D1372="","",IFERROR(INDEX(ENVIOS!$B$4:$B$3003,MATCH($D1372,ENVIOS!$A$4:$A$3003,0)),"—"))</f>
        <v/>
      </c>
      <c r="G1372" s="23">
        <f>IF($D1372="","",IFERROR(INDEX(ENVIOS!$D$4:$D$3003,MATCH($D1372,ENVIOS!$A$4:$A$3003,0)),"—"))</f>
        <v/>
      </c>
      <c r="H1372" s="23">
        <f>IF($D1372="","",IFERROR(INDEX(ENVIOS!$E$4:$E$3003,MATCH($D1372,ENVIOS!$A$4:$A$3003,0)),"—"))</f>
        <v/>
      </c>
      <c r="I1372" s="23">
        <f>IF($D1372="","",IFERROR(INDEX(ENVIOS!$F$4:$F$3003,MATCH($D1372,ENVIOS!$A$4:$A$3003,0)),"—"))</f>
        <v/>
      </c>
      <c r="J1372" s="23">
        <f>IF($D1372="","",IFERROR(INDEX(ENVIOS!$G$4:$G$3003,MATCH($D1372,ENVIOS!$A$4:$A$3003,0)),"—"))</f>
        <v/>
      </c>
      <c r="K1372" s="28">
        <f>IF($D1372="","",IFERROR(INDEX(ENVIOS!$H$4:$H$3003,MATCH($D1372,ENVIOS!$A$4:$A$3003,0)),"—"))</f>
        <v/>
      </c>
      <c r="L1372" s="49">
        <f>IF($D1372="","",IFERROR(INDEX(ENVIOS!$C$4:$C$3003,MATCH($D1372,ENVIOS!$A$4:$A$3003,0)),""))</f>
        <v/>
      </c>
      <c r="M1372" s="50" t="n"/>
      <c r="N1372" s="28">
        <f>IF($M1372="","",IFERROR(INDEX(CONFIG!$C$4:$C$63,MATCH($M1372,CONFIG!$A$4:$A$63,0)),"Media"))</f>
        <v/>
      </c>
      <c r="O1372" s="28">
        <f>IF($M1372="","",IF($C1372="Interna","NO",IFERROR(INDEX(CONFIG!$E$4:$E$63,MATCH($M1372,CONFIG!$A$4:$A$63,0)),"NO")))</f>
        <v/>
      </c>
      <c r="P1372" s="50" t="n"/>
      <c r="Q1372" s="50" t="n"/>
      <c r="R1372" s="28">
        <f>IF($Q1372="","",IFERROR(INDEX(CONFIG!$H$4:$H$63,MATCH($Q1372,CONFIG!$G$4:$G$63,0)),"Por definir"))</f>
        <v/>
      </c>
      <c r="S1372" s="28">
        <f>IF($Q1372="","",IFERROR(INDEX(CONFIG!$I$4:$I$63,MATCH($Q1372,CONFIG!$G$4:$G$63,0)),"Por definir"))</f>
        <v/>
      </c>
      <c r="T1372" s="51" t="n"/>
      <c r="U1372" s="52" t="n"/>
      <c r="V1372" s="50" t="n"/>
      <c r="W1372" s="50" t="n"/>
      <c r="X1372" s="49">
        <f>IF(OR($B1372="",$M1372=""),"",WORKDAY($B1372,IFERROR(INDEX(CONFIG!$D$4:$D$63,MATCH($M1372,CONFIG!$A$4:$A$63,0)),3)))</f>
        <v/>
      </c>
      <c r="Y1372" s="47" t="n"/>
      <c r="Z1372" s="24">
        <f>IF($B1372="","",IF($Y1372&lt;&gt;"",$Y1372-$B1372,TODAY()-$B1372))</f>
        <v/>
      </c>
      <c r="AA1372" s="28">
        <f>IF($B1372="","",IF(IFERROR(INDEX(CONFIG!$L$4:$L$63,MATCH($V1372,CONFIG!$K$4:$K$63,0)),"NO")="SÍ",IF(OR($Y1372="",$X1372=""),"Resuelta",IF($Y1372&gt;$X1372,"Resuelta tarde","Resuelta a tiempo")),IF($X1372="","Sin clasificar",IF(TODAY()&gt;$X1372,"Vencida",IF(TODAY()&gt;=$X1372-1,"Por vencer","En plazo")))))</f>
        <v/>
      </c>
      <c r="AB1372" s="50" t="n"/>
      <c r="AC1372" s="50" t="n"/>
    </row>
    <row r="1373" ht="16" customHeight="1">
      <c r="A1373" s="28">
        <f>IF($B1373="","","N-"&amp;TEXT(ROW()-3,"0000"))</f>
        <v/>
      </c>
      <c r="B1373" s="47" t="n"/>
      <c r="C1373" s="48" t="n"/>
      <c r="D1373" s="48" t="n"/>
      <c r="E1373" s="28">
        <f>IF($C1373="","",IF($D1373="",IF($C1373="Interna","Sin guía (interna)","FALTA GUÍA"),IF(COUNTIFS(ENVIOS!$A$4:$A$3003,$D1373)=0,"NO EXISTE",IF(COUNTIFS(ENVIOS!$A$4:$A$3003,$D1373)&gt;1,"DUPLICADA","OK"))))</f>
        <v/>
      </c>
      <c r="F1373" s="28">
        <f>IF($D1373="","",IFERROR(INDEX(ENVIOS!$B$4:$B$3003,MATCH($D1373,ENVIOS!$A$4:$A$3003,0)),"—"))</f>
        <v/>
      </c>
      <c r="G1373" s="23">
        <f>IF($D1373="","",IFERROR(INDEX(ENVIOS!$D$4:$D$3003,MATCH($D1373,ENVIOS!$A$4:$A$3003,0)),"—"))</f>
        <v/>
      </c>
      <c r="H1373" s="23">
        <f>IF($D1373="","",IFERROR(INDEX(ENVIOS!$E$4:$E$3003,MATCH($D1373,ENVIOS!$A$4:$A$3003,0)),"—"))</f>
        <v/>
      </c>
      <c r="I1373" s="23">
        <f>IF($D1373="","",IFERROR(INDEX(ENVIOS!$F$4:$F$3003,MATCH($D1373,ENVIOS!$A$4:$A$3003,0)),"—"))</f>
        <v/>
      </c>
      <c r="J1373" s="23">
        <f>IF($D1373="","",IFERROR(INDEX(ENVIOS!$G$4:$G$3003,MATCH($D1373,ENVIOS!$A$4:$A$3003,0)),"—"))</f>
        <v/>
      </c>
      <c r="K1373" s="28">
        <f>IF($D1373="","",IFERROR(INDEX(ENVIOS!$H$4:$H$3003,MATCH($D1373,ENVIOS!$A$4:$A$3003,0)),"—"))</f>
        <v/>
      </c>
      <c r="L1373" s="49">
        <f>IF($D1373="","",IFERROR(INDEX(ENVIOS!$C$4:$C$3003,MATCH($D1373,ENVIOS!$A$4:$A$3003,0)),""))</f>
        <v/>
      </c>
      <c r="M1373" s="50" t="n"/>
      <c r="N1373" s="28">
        <f>IF($M1373="","",IFERROR(INDEX(CONFIG!$C$4:$C$63,MATCH($M1373,CONFIG!$A$4:$A$63,0)),"Media"))</f>
        <v/>
      </c>
      <c r="O1373" s="28">
        <f>IF($M1373="","",IF($C1373="Interna","NO",IFERROR(INDEX(CONFIG!$E$4:$E$63,MATCH($M1373,CONFIG!$A$4:$A$63,0)),"NO")))</f>
        <v/>
      </c>
      <c r="P1373" s="50" t="n"/>
      <c r="Q1373" s="50" t="n"/>
      <c r="R1373" s="28">
        <f>IF($Q1373="","",IFERROR(INDEX(CONFIG!$H$4:$H$63,MATCH($Q1373,CONFIG!$G$4:$G$63,0)),"Por definir"))</f>
        <v/>
      </c>
      <c r="S1373" s="28">
        <f>IF($Q1373="","",IFERROR(INDEX(CONFIG!$I$4:$I$63,MATCH($Q1373,CONFIG!$G$4:$G$63,0)),"Por definir"))</f>
        <v/>
      </c>
      <c r="T1373" s="51" t="n"/>
      <c r="U1373" s="52" t="n"/>
      <c r="V1373" s="50" t="n"/>
      <c r="W1373" s="50" t="n"/>
      <c r="X1373" s="49">
        <f>IF(OR($B1373="",$M1373=""),"",WORKDAY($B1373,IFERROR(INDEX(CONFIG!$D$4:$D$63,MATCH($M1373,CONFIG!$A$4:$A$63,0)),3)))</f>
        <v/>
      </c>
      <c r="Y1373" s="47" t="n"/>
      <c r="Z1373" s="24">
        <f>IF($B1373="","",IF($Y1373&lt;&gt;"",$Y1373-$B1373,TODAY()-$B1373))</f>
        <v/>
      </c>
      <c r="AA1373" s="28">
        <f>IF($B1373="","",IF(IFERROR(INDEX(CONFIG!$L$4:$L$63,MATCH($V1373,CONFIG!$K$4:$K$63,0)),"NO")="SÍ",IF(OR($Y1373="",$X1373=""),"Resuelta",IF($Y1373&gt;$X1373,"Resuelta tarde","Resuelta a tiempo")),IF($X1373="","Sin clasificar",IF(TODAY()&gt;$X1373,"Vencida",IF(TODAY()&gt;=$X1373-1,"Por vencer","En plazo")))))</f>
        <v/>
      </c>
      <c r="AB1373" s="50" t="n"/>
      <c r="AC1373" s="50" t="n"/>
    </row>
    <row r="1374" ht="16" customHeight="1">
      <c r="A1374" s="28">
        <f>IF($B1374="","","N-"&amp;TEXT(ROW()-3,"0000"))</f>
        <v/>
      </c>
      <c r="B1374" s="47" t="n"/>
      <c r="C1374" s="48" t="n"/>
      <c r="D1374" s="48" t="n"/>
      <c r="E1374" s="28">
        <f>IF($C1374="","",IF($D1374="",IF($C1374="Interna","Sin guía (interna)","FALTA GUÍA"),IF(COUNTIFS(ENVIOS!$A$4:$A$3003,$D1374)=0,"NO EXISTE",IF(COUNTIFS(ENVIOS!$A$4:$A$3003,$D1374)&gt;1,"DUPLICADA","OK"))))</f>
        <v/>
      </c>
      <c r="F1374" s="28">
        <f>IF($D1374="","",IFERROR(INDEX(ENVIOS!$B$4:$B$3003,MATCH($D1374,ENVIOS!$A$4:$A$3003,0)),"—"))</f>
        <v/>
      </c>
      <c r="G1374" s="23">
        <f>IF($D1374="","",IFERROR(INDEX(ENVIOS!$D$4:$D$3003,MATCH($D1374,ENVIOS!$A$4:$A$3003,0)),"—"))</f>
        <v/>
      </c>
      <c r="H1374" s="23">
        <f>IF($D1374="","",IFERROR(INDEX(ENVIOS!$E$4:$E$3003,MATCH($D1374,ENVIOS!$A$4:$A$3003,0)),"—"))</f>
        <v/>
      </c>
      <c r="I1374" s="23">
        <f>IF($D1374="","",IFERROR(INDEX(ENVIOS!$F$4:$F$3003,MATCH($D1374,ENVIOS!$A$4:$A$3003,0)),"—"))</f>
        <v/>
      </c>
      <c r="J1374" s="23">
        <f>IF($D1374="","",IFERROR(INDEX(ENVIOS!$G$4:$G$3003,MATCH($D1374,ENVIOS!$A$4:$A$3003,0)),"—"))</f>
        <v/>
      </c>
      <c r="K1374" s="28">
        <f>IF($D1374="","",IFERROR(INDEX(ENVIOS!$H$4:$H$3003,MATCH($D1374,ENVIOS!$A$4:$A$3003,0)),"—"))</f>
        <v/>
      </c>
      <c r="L1374" s="49">
        <f>IF($D1374="","",IFERROR(INDEX(ENVIOS!$C$4:$C$3003,MATCH($D1374,ENVIOS!$A$4:$A$3003,0)),""))</f>
        <v/>
      </c>
      <c r="M1374" s="50" t="n"/>
      <c r="N1374" s="28">
        <f>IF($M1374="","",IFERROR(INDEX(CONFIG!$C$4:$C$63,MATCH($M1374,CONFIG!$A$4:$A$63,0)),"Media"))</f>
        <v/>
      </c>
      <c r="O1374" s="28">
        <f>IF($M1374="","",IF($C1374="Interna","NO",IFERROR(INDEX(CONFIG!$E$4:$E$63,MATCH($M1374,CONFIG!$A$4:$A$63,0)),"NO")))</f>
        <v/>
      </c>
      <c r="P1374" s="50" t="n"/>
      <c r="Q1374" s="50" t="n"/>
      <c r="R1374" s="28">
        <f>IF($Q1374="","",IFERROR(INDEX(CONFIG!$H$4:$H$63,MATCH($Q1374,CONFIG!$G$4:$G$63,0)),"Por definir"))</f>
        <v/>
      </c>
      <c r="S1374" s="28">
        <f>IF($Q1374="","",IFERROR(INDEX(CONFIG!$I$4:$I$63,MATCH($Q1374,CONFIG!$G$4:$G$63,0)),"Por definir"))</f>
        <v/>
      </c>
      <c r="T1374" s="51" t="n"/>
      <c r="U1374" s="52" t="n"/>
      <c r="V1374" s="50" t="n"/>
      <c r="W1374" s="50" t="n"/>
      <c r="X1374" s="49">
        <f>IF(OR($B1374="",$M1374=""),"",WORKDAY($B1374,IFERROR(INDEX(CONFIG!$D$4:$D$63,MATCH($M1374,CONFIG!$A$4:$A$63,0)),3)))</f>
        <v/>
      </c>
      <c r="Y1374" s="47" t="n"/>
      <c r="Z1374" s="24">
        <f>IF($B1374="","",IF($Y1374&lt;&gt;"",$Y1374-$B1374,TODAY()-$B1374))</f>
        <v/>
      </c>
      <c r="AA1374" s="28">
        <f>IF($B1374="","",IF(IFERROR(INDEX(CONFIG!$L$4:$L$63,MATCH($V1374,CONFIG!$K$4:$K$63,0)),"NO")="SÍ",IF(OR($Y1374="",$X1374=""),"Resuelta",IF($Y1374&gt;$X1374,"Resuelta tarde","Resuelta a tiempo")),IF($X1374="","Sin clasificar",IF(TODAY()&gt;$X1374,"Vencida",IF(TODAY()&gt;=$X1374-1,"Por vencer","En plazo")))))</f>
        <v/>
      </c>
      <c r="AB1374" s="50" t="n"/>
      <c r="AC1374" s="50" t="n"/>
    </row>
    <row r="1375" ht="16" customHeight="1">
      <c r="A1375" s="28">
        <f>IF($B1375="","","N-"&amp;TEXT(ROW()-3,"0000"))</f>
        <v/>
      </c>
      <c r="B1375" s="47" t="n"/>
      <c r="C1375" s="48" t="n"/>
      <c r="D1375" s="48" t="n"/>
      <c r="E1375" s="28">
        <f>IF($C1375="","",IF($D1375="",IF($C1375="Interna","Sin guía (interna)","FALTA GUÍA"),IF(COUNTIFS(ENVIOS!$A$4:$A$3003,$D1375)=0,"NO EXISTE",IF(COUNTIFS(ENVIOS!$A$4:$A$3003,$D1375)&gt;1,"DUPLICADA","OK"))))</f>
        <v/>
      </c>
      <c r="F1375" s="28">
        <f>IF($D1375="","",IFERROR(INDEX(ENVIOS!$B$4:$B$3003,MATCH($D1375,ENVIOS!$A$4:$A$3003,0)),"—"))</f>
        <v/>
      </c>
      <c r="G1375" s="23">
        <f>IF($D1375="","",IFERROR(INDEX(ENVIOS!$D$4:$D$3003,MATCH($D1375,ENVIOS!$A$4:$A$3003,0)),"—"))</f>
        <v/>
      </c>
      <c r="H1375" s="23">
        <f>IF($D1375="","",IFERROR(INDEX(ENVIOS!$E$4:$E$3003,MATCH($D1375,ENVIOS!$A$4:$A$3003,0)),"—"))</f>
        <v/>
      </c>
      <c r="I1375" s="23">
        <f>IF($D1375="","",IFERROR(INDEX(ENVIOS!$F$4:$F$3003,MATCH($D1375,ENVIOS!$A$4:$A$3003,0)),"—"))</f>
        <v/>
      </c>
      <c r="J1375" s="23">
        <f>IF($D1375="","",IFERROR(INDEX(ENVIOS!$G$4:$G$3003,MATCH($D1375,ENVIOS!$A$4:$A$3003,0)),"—"))</f>
        <v/>
      </c>
      <c r="K1375" s="28">
        <f>IF($D1375="","",IFERROR(INDEX(ENVIOS!$H$4:$H$3003,MATCH($D1375,ENVIOS!$A$4:$A$3003,0)),"—"))</f>
        <v/>
      </c>
      <c r="L1375" s="49">
        <f>IF($D1375="","",IFERROR(INDEX(ENVIOS!$C$4:$C$3003,MATCH($D1375,ENVIOS!$A$4:$A$3003,0)),""))</f>
        <v/>
      </c>
      <c r="M1375" s="50" t="n"/>
      <c r="N1375" s="28">
        <f>IF($M1375="","",IFERROR(INDEX(CONFIG!$C$4:$C$63,MATCH($M1375,CONFIG!$A$4:$A$63,0)),"Media"))</f>
        <v/>
      </c>
      <c r="O1375" s="28">
        <f>IF($M1375="","",IF($C1375="Interna","NO",IFERROR(INDEX(CONFIG!$E$4:$E$63,MATCH($M1375,CONFIG!$A$4:$A$63,0)),"NO")))</f>
        <v/>
      </c>
      <c r="P1375" s="50" t="n"/>
      <c r="Q1375" s="50" t="n"/>
      <c r="R1375" s="28">
        <f>IF($Q1375="","",IFERROR(INDEX(CONFIG!$H$4:$H$63,MATCH($Q1375,CONFIG!$G$4:$G$63,0)),"Por definir"))</f>
        <v/>
      </c>
      <c r="S1375" s="28">
        <f>IF($Q1375="","",IFERROR(INDEX(CONFIG!$I$4:$I$63,MATCH($Q1375,CONFIG!$G$4:$G$63,0)),"Por definir"))</f>
        <v/>
      </c>
      <c r="T1375" s="51" t="n"/>
      <c r="U1375" s="52" t="n"/>
      <c r="V1375" s="50" t="n"/>
      <c r="W1375" s="50" t="n"/>
      <c r="X1375" s="49">
        <f>IF(OR($B1375="",$M1375=""),"",WORKDAY($B1375,IFERROR(INDEX(CONFIG!$D$4:$D$63,MATCH($M1375,CONFIG!$A$4:$A$63,0)),3)))</f>
        <v/>
      </c>
      <c r="Y1375" s="47" t="n"/>
      <c r="Z1375" s="24">
        <f>IF($B1375="","",IF($Y1375&lt;&gt;"",$Y1375-$B1375,TODAY()-$B1375))</f>
        <v/>
      </c>
      <c r="AA1375" s="28">
        <f>IF($B1375="","",IF(IFERROR(INDEX(CONFIG!$L$4:$L$63,MATCH($V1375,CONFIG!$K$4:$K$63,0)),"NO")="SÍ",IF(OR($Y1375="",$X1375=""),"Resuelta",IF($Y1375&gt;$X1375,"Resuelta tarde","Resuelta a tiempo")),IF($X1375="","Sin clasificar",IF(TODAY()&gt;$X1375,"Vencida",IF(TODAY()&gt;=$X1375-1,"Por vencer","En plazo")))))</f>
        <v/>
      </c>
      <c r="AB1375" s="50" t="n"/>
      <c r="AC1375" s="50" t="n"/>
    </row>
    <row r="1376" ht="16" customHeight="1">
      <c r="A1376" s="28">
        <f>IF($B1376="","","N-"&amp;TEXT(ROW()-3,"0000"))</f>
        <v/>
      </c>
      <c r="B1376" s="47" t="n"/>
      <c r="C1376" s="48" t="n"/>
      <c r="D1376" s="48" t="n"/>
      <c r="E1376" s="28">
        <f>IF($C1376="","",IF($D1376="",IF($C1376="Interna","Sin guía (interna)","FALTA GUÍA"),IF(COUNTIFS(ENVIOS!$A$4:$A$3003,$D1376)=0,"NO EXISTE",IF(COUNTIFS(ENVIOS!$A$4:$A$3003,$D1376)&gt;1,"DUPLICADA","OK"))))</f>
        <v/>
      </c>
      <c r="F1376" s="28">
        <f>IF($D1376="","",IFERROR(INDEX(ENVIOS!$B$4:$B$3003,MATCH($D1376,ENVIOS!$A$4:$A$3003,0)),"—"))</f>
        <v/>
      </c>
      <c r="G1376" s="23">
        <f>IF($D1376="","",IFERROR(INDEX(ENVIOS!$D$4:$D$3003,MATCH($D1376,ENVIOS!$A$4:$A$3003,0)),"—"))</f>
        <v/>
      </c>
      <c r="H1376" s="23">
        <f>IF($D1376="","",IFERROR(INDEX(ENVIOS!$E$4:$E$3003,MATCH($D1376,ENVIOS!$A$4:$A$3003,0)),"—"))</f>
        <v/>
      </c>
      <c r="I1376" s="23">
        <f>IF($D1376="","",IFERROR(INDEX(ENVIOS!$F$4:$F$3003,MATCH($D1376,ENVIOS!$A$4:$A$3003,0)),"—"))</f>
        <v/>
      </c>
      <c r="J1376" s="23">
        <f>IF($D1376="","",IFERROR(INDEX(ENVIOS!$G$4:$G$3003,MATCH($D1376,ENVIOS!$A$4:$A$3003,0)),"—"))</f>
        <v/>
      </c>
      <c r="K1376" s="28">
        <f>IF($D1376="","",IFERROR(INDEX(ENVIOS!$H$4:$H$3003,MATCH($D1376,ENVIOS!$A$4:$A$3003,0)),"—"))</f>
        <v/>
      </c>
      <c r="L1376" s="49">
        <f>IF($D1376="","",IFERROR(INDEX(ENVIOS!$C$4:$C$3003,MATCH($D1376,ENVIOS!$A$4:$A$3003,0)),""))</f>
        <v/>
      </c>
      <c r="M1376" s="50" t="n"/>
      <c r="N1376" s="28">
        <f>IF($M1376="","",IFERROR(INDEX(CONFIG!$C$4:$C$63,MATCH($M1376,CONFIG!$A$4:$A$63,0)),"Media"))</f>
        <v/>
      </c>
      <c r="O1376" s="28">
        <f>IF($M1376="","",IF($C1376="Interna","NO",IFERROR(INDEX(CONFIG!$E$4:$E$63,MATCH($M1376,CONFIG!$A$4:$A$63,0)),"NO")))</f>
        <v/>
      </c>
      <c r="P1376" s="50" t="n"/>
      <c r="Q1376" s="50" t="n"/>
      <c r="R1376" s="28">
        <f>IF($Q1376="","",IFERROR(INDEX(CONFIG!$H$4:$H$63,MATCH($Q1376,CONFIG!$G$4:$G$63,0)),"Por definir"))</f>
        <v/>
      </c>
      <c r="S1376" s="28">
        <f>IF($Q1376="","",IFERROR(INDEX(CONFIG!$I$4:$I$63,MATCH($Q1376,CONFIG!$G$4:$G$63,0)),"Por definir"))</f>
        <v/>
      </c>
      <c r="T1376" s="51" t="n"/>
      <c r="U1376" s="52" t="n"/>
      <c r="V1376" s="50" t="n"/>
      <c r="W1376" s="50" t="n"/>
      <c r="X1376" s="49">
        <f>IF(OR($B1376="",$M1376=""),"",WORKDAY($B1376,IFERROR(INDEX(CONFIG!$D$4:$D$63,MATCH($M1376,CONFIG!$A$4:$A$63,0)),3)))</f>
        <v/>
      </c>
      <c r="Y1376" s="47" t="n"/>
      <c r="Z1376" s="24">
        <f>IF($B1376="","",IF($Y1376&lt;&gt;"",$Y1376-$B1376,TODAY()-$B1376))</f>
        <v/>
      </c>
      <c r="AA1376" s="28">
        <f>IF($B1376="","",IF(IFERROR(INDEX(CONFIG!$L$4:$L$63,MATCH($V1376,CONFIG!$K$4:$K$63,0)),"NO")="SÍ",IF(OR($Y1376="",$X1376=""),"Resuelta",IF($Y1376&gt;$X1376,"Resuelta tarde","Resuelta a tiempo")),IF($X1376="","Sin clasificar",IF(TODAY()&gt;$X1376,"Vencida",IF(TODAY()&gt;=$X1376-1,"Por vencer","En plazo")))))</f>
        <v/>
      </c>
      <c r="AB1376" s="50" t="n"/>
      <c r="AC1376" s="50" t="n"/>
    </row>
    <row r="1377" ht="16" customHeight="1">
      <c r="A1377" s="28">
        <f>IF($B1377="","","N-"&amp;TEXT(ROW()-3,"0000"))</f>
        <v/>
      </c>
      <c r="B1377" s="47" t="n"/>
      <c r="C1377" s="48" t="n"/>
      <c r="D1377" s="48" t="n"/>
      <c r="E1377" s="28">
        <f>IF($C1377="","",IF($D1377="",IF($C1377="Interna","Sin guía (interna)","FALTA GUÍA"),IF(COUNTIFS(ENVIOS!$A$4:$A$3003,$D1377)=0,"NO EXISTE",IF(COUNTIFS(ENVIOS!$A$4:$A$3003,$D1377)&gt;1,"DUPLICADA","OK"))))</f>
        <v/>
      </c>
      <c r="F1377" s="28">
        <f>IF($D1377="","",IFERROR(INDEX(ENVIOS!$B$4:$B$3003,MATCH($D1377,ENVIOS!$A$4:$A$3003,0)),"—"))</f>
        <v/>
      </c>
      <c r="G1377" s="23">
        <f>IF($D1377="","",IFERROR(INDEX(ENVIOS!$D$4:$D$3003,MATCH($D1377,ENVIOS!$A$4:$A$3003,0)),"—"))</f>
        <v/>
      </c>
      <c r="H1377" s="23">
        <f>IF($D1377="","",IFERROR(INDEX(ENVIOS!$E$4:$E$3003,MATCH($D1377,ENVIOS!$A$4:$A$3003,0)),"—"))</f>
        <v/>
      </c>
      <c r="I1377" s="23">
        <f>IF($D1377="","",IFERROR(INDEX(ENVIOS!$F$4:$F$3003,MATCH($D1377,ENVIOS!$A$4:$A$3003,0)),"—"))</f>
        <v/>
      </c>
      <c r="J1377" s="23">
        <f>IF($D1377="","",IFERROR(INDEX(ENVIOS!$G$4:$G$3003,MATCH($D1377,ENVIOS!$A$4:$A$3003,0)),"—"))</f>
        <v/>
      </c>
      <c r="K1377" s="28">
        <f>IF($D1377="","",IFERROR(INDEX(ENVIOS!$H$4:$H$3003,MATCH($D1377,ENVIOS!$A$4:$A$3003,0)),"—"))</f>
        <v/>
      </c>
      <c r="L1377" s="49">
        <f>IF($D1377="","",IFERROR(INDEX(ENVIOS!$C$4:$C$3003,MATCH($D1377,ENVIOS!$A$4:$A$3003,0)),""))</f>
        <v/>
      </c>
      <c r="M1377" s="50" t="n"/>
      <c r="N1377" s="28">
        <f>IF($M1377="","",IFERROR(INDEX(CONFIG!$C$4:$C$63,MATCH($M1377,CONFIG!$A$4:$A$63,0)),"Media"))</f>
        <v/>
      </c>
      <c r="O1377" s="28">
        <f>IF($M1377="","",IF($C1377="Interna","NO",IFERROR(INDEX(CONFIG!$E$4:$E$63,MATCH($M1377,CONFIG!$A$4:$A$63,0)),"NO")))</f>
        <v/>
      </c>
      <c r="P1377" s="50" t="n"/>
      <c r="Q1377" s="50" t="n"/>
      <c r="R1377" s="28">
        <f>IF($Q1377="","",IFERROR(INDEX(CONFIG!$H$4:$H$63,MATCH($Q1377,CONFIG!$G$4:$G$63,0)),"Por definir"))</f>
        <v/>
      </c>
      <c r="S1377" s="28">
        <f>IF($Q1377="","",IFERROR(INDEX(CONFIG!$I$4:$I$63,MATCH($Q1377,CONFIG!$G$4:$G$63,0)),"Por definir"))</f>
        <v/>
      </c>
      <c r="T1377" s="51" t="n"/>
      <c r="U1377" s="52" t="n"/>
      <c r="V1377" s="50" t="n"/>
      <c r="W1377" s="50" t="n"/>
      <c r="X1377" s="49">
        <f>IF(OR($B1377="",$M1377=""),"",WORKDAY($B1377,IFERROR(INDEX(CONFIG!$D$4:$D$63,MATCH($M1377,CONFIG!$A$4:$A$63,0)),3)))</f>
        <v/>
      </c>
      <c r="Y1377" s="47" t="n"/>
      <c r="Z1377" s="24">
        <f>IF($B1377="","",IF($Y1377&lt;&gt;"",$Y1377-$B1377,TODAY()-$B1377))</f>
        <v/>
      </c>
      <c r="AA1377" s="28">
        <f>IF($B1377="","",IF(IFERROR(INDEX(CONFIG!$L$4:$L$63,MATCH($V1377,CONFIG!$K$4:$K$63,0)),"NO")="SÍ",IF(OR($Y1377="",$X1377=""),"Resuelta",IF($Y1377&gt;$X1377,"Resuelta tarde","Resuelta a tiempo")),IF($X1377="","Sin clasificar",IF(TODAY()&gt;$X1377,"Vencida",IF(TODAY()&gt;=$X1377-1,"Por vencer","En plazo")))))</f>
        <v/>
      </c>
      <c r="AB1377" s="50" t="n"/>
      <c r="AC1377" s="50" t="n"/>
    </row>
    <row r="1378" ht="16" customHeight="1">
      <c r="A1378" s="28">
        <f>IF($B1378="","","N-"&amp;TEXT(ROW()-3,"0000"))</f>
        <v/>
      </c>
      <c r="B1378" s="47" t="n"/>
      <c r="C1378" s="48" t="n"/>
      <c r="D1378" s="48" t="n"/>
      <c r="E1378" s="28">
        <f>IF($C1378="","",IF($D1378="",IF($C1378="Interna","Sin guía (interna)","FALTA GUÍA"),IF(COUNTIFS(ENVIOS!$A$4:$A$3003,$D1378)=0,"NO EXISTE",IF(COUNTIFS(ENVIOS!$A$4:$A$3003,$D1378)&gt;1,"DUPLICADA","OK"))))</f>
        <v/>
      </c>
      <c r="F1378" s="28">
        <f>IF($D1378="","",IFERROR(INDEX(ENVIOS!$B$4:$B$3003,MATCH($D1378,ENVIOS!$A$4:$A$3003,0)),"—"))</f>
        <v/>
      </c>
      <c r="G1378" s="23">
        <f>IF($D1378="","",IFERROR(INDEX(ENVIOS!$D$4:$D$3003,MATCH($D1378,ENVIOS!$A$4:$A$3003,0)),"—"))</f>
        <v/>
      </c>
      <c r="H1378" s="23">
        <f>IF($D1378="","",IFERROR(INDEX(ENVIOS!$E$4:$E$3003,MATCH($D1378,ENVIOS!$A$4:$A$3003,0)),"—"))</f>
        <v/>
      </c>
      <c r="I1378" s="23">
        <f>IF($D1378="","",IFERROR(INDEX(ENVIOS!$F$4:$F$3003,MATCH($D1378,ENVIOS!$A$4:$A$3003,0)),"—"))</f>
        <v/>
      </c>
      <c r="J1378" s="23">
        <f>IF($D1378="","",IFERROR(INDEX(ENVIOS!$G$4:$G$3003,MATCH($D1378,ENVIOS!$A$4:$A$3003,0)),"—"))</f>
        <v/>
      </c>
      <c r="K1378" s="28">
        <f>IF($D1378="","",IFERROR(INDEX(ENVIOS!$H$4:$H$3003,MATCH($D1378,ENVIOS!$A$4:$A$3003,0)),"—"))</f>
        <v/>
      </c>
      <c r="L1378" s="49">
        <f>IF($D1378="","",IFERROR(INDEX(ENVIOS!$C$4:$C$3003,MATCH($D1378,ENVIOS!$A$4:$A$3003,0)),""))</f>
        <v/>
      </c>
      <c r="M1378" s="50" t="n"/>
      <c r="N1378" s="28">
        <f>IF($M1378="","",IFERROR(INDEX(CONFIG!$C$4:$C$63,MATCH($M1378,CONFIG!$A$4:$A$63,0)),"Media"))</f>
        <v/>
      </c>
      <c r="O1378" s="28">
        <f>IF($M1378="","",IF($C1378="Interna","NO",IFERROR(INDEX(CONFIG!$E$4:$E$63,MATCH($M1378,CONFIG!$A$4:$A$63,0)),"NO")))</f>
        <v/>
      </c>
      <c r="P1378" s="50" t="n"/>
      <c r="Q1378" s="50" t="n"/>
      <c r="R1378" s="28">
        <f>IF($Q1378="","",IFERROR(INDEX(CONFIG!$H$4:$H$63,MATCH($Q1378,CONFIG!$G$4:$G$63,0)),"Por definir"))</f>
        <v/>
      </c>
      <c r="S1378" s="28">
        <f>IF($Q1378="","",IFERROR(INDEX(CONFIG!$I$4:$I$63,MATCH($Q1378,CONFIG!$G$4:$G$63,0)),"Por definir"))</f>
        <v/>
      </c>
      <c r="T1378" s="51" t="n"/>
      <c r="U1378" s="52" t="n"/>
      <c r="V1378" s="50" t="n"/>
      <c r="W1378" s="50" t="n"/>
      <c r="X1378" s="49">
        <f>IF(OR($B1378="",$M1378=""),"",WORKDAY($B1378,IFERROR(INDEX(CONFIG!$D$4:$D$63,MATCH($M1378,CONFIG!$A$4:$A$63,0)),3)))</f>
        <v/>
      </c>
      <c r="Y1378" s="47" t="n"/>
      <c r="Z1378" s="24">
        <f>IF($B1378="","",IF($Y1378&lt;&gt;"",$Y1378-$B1378,TODAY()-$B1378))</f>
        <v/>
      </c>
      <c r="AA1378" s="28">
        <f>IF($B1378="","",IF(IFERROR(INDEX(CONFIG!$L$4:$L$63,MATCH($V1378,CONFIG!$K$4:$K$63,0)),"NO")="SÍ",IF(OR($Y1378="",$X1378=""),"Resuelta",IF($Y1378&gt;$X1378,"Resuelta tarde","Resuelta a tiempo")),IF($X1378="","Sin clasificar",IF(TODAY()&gt;$X1378,"Vencida",IF(TODAY()&gt;=$X1378-1,"Por vencer","En plazo")))))</f>
        <v/>
      </c>
      <c r="AB1378" s="50" t="n"/>
      <c r="AC1378" s="50" t="n"/>
    </row>
    <row r="1379" ht="16" customHeight="1">
      <c r="A1379" s="28">
        <f>IF($B1379="","","N-"&amp;TEXT(ROW()-3,"0000"))</f>
        <v/>
      </c>
      <c r="B1379" s="47" t="n"/>
      <c r="C1379" s="48" t="n"/>
      <c r="D1379" s="48" t="n"/>
      <c r="E1379" s="28">
        <f>IF($C1379="","",IF($D1379="",IF($C1379="Interna","Sin guía (interna)","FALTA GUÍA"),IF(COUNTIFS(ENVIOS!$A$4:$A$3003,$D1379)=0,"NO EXISTE",IF(COUNTIFS(ENVIOS!$A$4:$A$3003,$D1379)&gt;1,"DUPLICADA","OK"))))</f>
        <v/>
      </c>
      <c r="F1379" s="28">
        <f>IF($D1379="","",IFERROR(INDEX(ENVIOS!$B$4:$B$3003,MATCH($D1379,ENVIOS!$A$4:$A$3003,0)),"—"))</f>
        <v/>
      </c>
      <c r="G1379" s="23">
        <f>IF($D1379="","",IFERROR(INDEX(ENVIOS!$D$4:$D$3003,MATCH($D1379,ENVIOS!$A$4:$A$3003,0)),"—"))</f>
        <v/>
      </c>
      <c r="H1379" s="23">
        <f>IF($D1379="","",IFERROR(INDEX(ENVIOS!$E$4:$E$3003,MATCH($D1379,ENVIOS!$A$4:$A$3003,0)),"—"))</f>
        <v/>
      </c>
      <c r="I1379" s="23">
        <f>IF($D1379="","",IFERROR(INDEX(ENVIOS!$F$4:$F$3003,MATCH($D1379,ENVIOS!$A$4:$A$3003,0)),"—"))</f>
        <v/>
      </c>
      <c r="J1379" s="23">
        <f>IF($D1379="","",IFERROR(INDEX(ENVIOS!$G$4:$G$3003,MATCH($D1379,ENVIOS!$A$4:$A$3003,0)),"—"))</f>
        <v/>
      </c>
      <c r="K1379" s="28">
        <f>IF($D1379="","",IFERROR(INDEX(ENVIOS!$H$4:$H$3003,MATCH($D1379,ENVIOS!$A$4:$A$3003,0)),"—"))</f>
        <v/>
      </c>
      <c r="L1379" s="49">
        <f>IF($D1379="","",IFERROR(INDEX(ENVIOS!$C$4:$C$3003,MATCH($D1379,ENVIOS!$A$4:$A$3003,0)),""))</f>
        <v/>
      </c>
      <c r="M1379" s="50" t="n"/>
      <c r="N1379" s="28">
        <f>IF($M1379="","",IFERROR(INDEX(CONFIG!$C$4:$C$63,MATCH($M1379,CONFIG!$A$4:$A$63,0)),"Media"))</f>
        <v/>
      </c>
      <c r="O1379" s="28">
        <f>IF($M1379="","",IF($C1379="Interna","NO",IFERROR(INDEX(CONFIG!$E$4:$E$63,MATCH($M1379,CONFIG!$A$4:$A$63,0)),"NO")))</f>
        <v/>
      </c>
      <c r="P1379" s="50" t="n"/>
      <c r="Q1379" s="50" t="n"/>
      <c r="R1379" s="28">
        <f>IF($Q1379="","",IFERROR(INDEX(CONFIG!$H$4:$H$63,MATCH($Q1379,CONFIG!$G$4:$G$63,0)),"Por definir"))</f>
        <v/>
      </c>
      <c r="S1379" s="28">
        <f>IF($Q1379="","",IFERROR(INDEX(CONFIG!$I$4:$I$63,MATCH($Q1379,CONFIG!$G$4:$G$63,0)),"Por definir"))</f>
        <v/>
      </c>
      <c r="T1379" s="51" t="n"/>
      <c r="U1379" s="52" t="n"/>
      <c r="V1379" s="50" t="n"/>
      <c r="W1379" s="50" t="n"/>
      <c r="X1379" s="49">
        <f>IF(OR($B1379="",$M1379=""),"",WORKDAY($B1379,IFERROR(INDEX(CONFIG!$D$4:$D$63,MATCH($M1379,CONFIG!$A$4:$A$63,0)),3)))</f>
        <v/>
      </c>
      <c r="Y1379" s="47" t="n"/>
      <c r="Z1379" s="24">
        <f>IF($B1379="","",IF($Y1379&lt;&gt;"",$Y1379-$B1379,TODAY()-$B1379))</f>
        <v/>
      </c>
      <c r="AA1379" s="28">
        <f>IF($B1379="","",IF(IFERROR(INDEX(CONFIG!$L$4:$L$63,MATCH($V1379,CONFIG!$K$4:$K$63,0)),"NO")="SÍ",IF(OR($Y1379="",$X1379=""),"Resuelta",IF($Y1379&gt;$X1379,"Resuelta tarde","Resuelta a tiempo")),IF($X1379="","Sin clasificar",IF(TODAY()&gt;$X1379,"Vencida",IF(TODAY()&gt;=$X1379-1,"Por vencer","En plazo")))))</f>
        <v/>
      </c>
      <c r="AB1379" s="50" t="n"/>
      <c r="AC1379" s="50" t="n"/>
    </row>
    <row r="1380" ht="16" customHeight="1">
      <c r="A1380" s="28">
        <f>IF($B1380="","","N-"&amp;TEXT(ROW()-3,"0000"))</f>
        <v/>
      </c>
      <c r="B1380" s="47" t="n"/>
      <c r="C1380" s="48" t="n"/>
      <c r="D1380" s="48" t="n"/>
      <c r="E1380" s="28">
        <f>IF($C1380="","",IF($D1380="",IF($C1380="Interna","Sin guía (interna)","FALTA GUÍA"),IF(COUNTIFS(ENVIOS!$A$4:$A$3003,$D1380)=0,"NO EXISTE",IF(COUNTIFS(ENVIOS!$A$4:$A$3003,$D1380)&gt;1,"DUPLICADA","OK"))))</f>
        <v/>
      </c>
      <c r="F1380" s="28">
        <f>IF($D1380="","",IFERROR(INDEX(ENVIOS!$B$4:$B$3003,MATCH($D1380,ENVIOS!$A$4:$A$3003,0)),"—"))</f>
        <v/>
      </c>
      <c r="G1380" s="23">
        <f>IF($D1380="","",IFERROR(INDEX(ENVIOS!$D$4:$D$3003,MATCH($D1380,ENVIOS!$A$4:$A$3003,0)),"—"))</f>
        <v/>
      </c>
      <c r="H1380" s="23">
        <f>IF($D1380="","",IFERROR(INDEX(ENVIOS!$E$4:$E$3003,MATCH($D1380,ENVIOS!$A$4:$A$3003,0)),"—"))</f>
        <v/>
      </c>
      <c r="I1380" s="23">
        <f>IF($D1380="","",IFERROR(INDEX(ENVIOS!$F$4:$F$3003,MATCH($D1380,ENVIOS!$A$4:$A$3003,0)),"—"))</f>
        <v/>
      </c>
      <c r="J1380" s="23">
        <f>IF($D1380="","",IFERROR(INDEX(ENVIOS!$G$4:$G$3003,MATCH($D1380,ENVIOS!$A$4:$A$3003,0)),"—"))</f>
        <v/>
      </c>
      <c r="K1380" s="28">
        <f>IF($D1380="","",IFERROR(INDEX(ENVIOS!$H$4:$H$3003,MATCH($D1380,ENVIOS!$A$4:$A$3003,0)),"—"))</f>
        <v/>
      </c>
      <c r="L1380" s="49">
        <f>IF($D1380="","",IFERROR(INDEX(ENVIOS!$C$4:$C$3003,MATCH($D1380,ENVIOS!$A$4:$A$3003,0)),""))</f>
        <v/>
      </c>
      <c r="M1380" s="50" t="n"/>
      <c r="N1380" s="28">
        <f>IF($M1380="","",IFERROR(INDEX(CONFIG!$C$4:$C$63,MATCH($M1380,CONFIG!$A$4:$A$63,0)),"Media"))</f>
        <v/>
      </c>
      <c r="O1380" s="28">
        <f>IF($M1380="","",IF($C1380="Interna","NO",IFERROR(INDEX(CONFIG!$E$4:$E$63,MATCH($M1380,CONFIG!$A$4:$A$63,0)),"NO")))</f>
        <v/>
      </c>
      <c r="P1380" s="50" t="n"/>
      <c r="Q1380" s="50" t="n"/>
      <c r="R1380" s="28">
        <f>IF($Q1380="","",IFERROR(INDEX(CONFIG!$H$4:$H$63,MATCH($Q1380,CONFIG!$G$4:$G$63,0)),"Por definir"))</f>
        <v/>
      </c>
      <c r="S1380" s="28">
        <f>IF($Q1380="","",IFERROR(INDEX(CONFIG!$I$4:$I$63,MATCH($Q1380,CONFIG!$G$4:$G$63,0)),"Por definir"))</f>
        <v/>
      </c>
      <c r="T1380" s="51" t="n"/>
      <c r="U1380" s="52" t="n"/>
      <c r="V1380" s="50" t="n"/>
      <c r="W1380" s="50" t="n"/>
      <c r="X1380" s="49">
        <f>IF(OR($B1380="",$M1380=""),"",WORKDAY($B1380,IFERROR(INDEX(CONFIG!$D$4:$D$63,MATCH($M1380,CONFIG!$A$4:$A$63,0)),3)))</f>
        <v/>
      </c>
      <c r="Y1380" s="47" t="n"/>
      <c r="Z1380" s="24">
        <f>IF($B1380="","",IF($Y1380&lt;&gt;"",$Y1380-$B1380,TODAY()-$B1380))</f>
        <v/>
      </c>
      <c r="AA1380" s="28">
        <f>IF($B1380="","",IF(IFERROR(INDEX(CONFIG!$L$4:$L$63,MATCH($V1380,CONFIG!$K$4:$K$63,0)),"NO")="SÍ",IF(OR($Y1380="",$X1380=""),"Resuelta",IF($Y1380&gt;$X1380,"Resuelta tarde","Resuelta a tiempo")),IF($X1380="","Sin clasificar",IF(TODAY()&gt;$X1380,"Vencida",IF(TODAY()&gt;=$X1380-1,"Por vencer","En plazo")))))</f>
        <v/>
      </c>
      <c r="AB1380" s="50" t="n"/>
      <c r="AC1380" s="50" t="n"/>
    </row>
    <row r="1381" ht="16" customHeight="1">
      <c r="A1381" s="28">
        <f>IF($B1381="","","N-"&amp;TEXT(ROW()-3,"0000"))</f>
        <v/>
      </c>
      <c r="B1381" s="47" t="n"/>
      <c r="C1381" s="48" t="n"/>
      <c r="D1381" s="48" t="n"/>
      <c r="E1381" s="28">
        <f>IF($C1381="","",IF($D1381="",IF($C1381="Interna","Sin guía (interna)","FALTA GUÍA"),IF(COUNTIFS(ENVIOS!$A$4:$A$3003,$D1381)=0,"NO EXISTE",IF(COUNTIFS(ENVIOS!$A$4:$A$3003,$D1381)&gt;1,"DUPLICADA","OK"))))</f>
        <v/>
      </c>
      <c r="F1381" s="28">
        <f>IF($D1381="","",IFERROR(INDEX(ENVIOS!$B$4:$B$3003,MATCH($D1381,ENVIOS!$A$4:$A$3003,0)),"—"))</f>
        <v/>
      </c>
      <c r="G1381" s="23">
        <f>IF($D1381="","",IFERROR(INDEX(ENVIOS!$D$4:$D$3003,MATCH($D1381,ENVIOS!$A$4:$A$3003,0)),"—"))</f>
        <v/>
      </c>
      <c r="H1381" s="23">
        <f>IF($D1381="","",IFERROR(INDEX(ENVIOS!$E$4:$E$3003,MATCH($D1381,ENVIOS!$A$4:$A$3003,0)),"—"))</f>
        <v/>
      </c>
      <c r="I1381" s="23">
        <f>IF($D1381="","",IFERROR(INDEX(ENVIOS!$F$4:$F$3003,MATCH($D1381,ENVIOS!$A$4:$A$3003,0)),"—"))</f>
        <v/>
      </c>
      <c r="J1381" s="23">
        <f>IF($D1381="","",IFERROR(INDEX(ENVIOS!$G$4:$G$3003,MATCH($D1381,ENVIOS!$A$4:$A$3003,0)),"—"))</f>
        <v/>
      </c>
      <c r="K1381" s="28">
        <f>IF($D1381="","",IFERROR(INDEX(ENVIOS!$H$4:$H$3003,MATCH($D1381,ENVIOS!$A$4:$A$3003,0)),"—"))</f>
        <v/>
      </c>
      <c r="L1381" s="49">
        <f>IF($D1381="","",IFERROR(INDEX(ENVIOS!$C$4:$C$3003,MATCH($D1381,ENVIOS!$A$4:$A$3003,0)),""))</f>
        <v/>
      </c>
      <c r="M1381" s="50" t="n"/>
      <c r="N1381" s="28">
        <f>IF($M1381="","",IFERROR(INDEX(CONFIG!$C$4:$C$63,MATCH($M1381,CONFIG!$A$4:$A$63,0)),"Media"))</f>
        <v/>
      </c>
      <c r="O1381" s="28">
        <f>IF($M1381="","",IF($C1381="Interna","NO",IFERROR(INDEX(CONFIG!$E$4:$E$63,MATCH($M1381,CONFIG!$A$4:$A$63,0)),"NO")))</f>
        <v/>
      </c>
      <c r="P1381" s="50" t="n"/>
      <c r="Q1381" s="50" t="n"/>
      <c r="R1381" s="28">
        <f>IF($Q1381="","",IFERROR(INDEX(CONFIG!$H$4:$H$63,MATCH($Q1381,CONFIG!$G$4:$G$63,0)),"Por definir"))</f>
        <v/>
      </c>
      <c r="S1381" s="28">
        <f>IF($Q1381="","",IFERROR(INDEX(CONFIG!$I$4:$I$63,MATCH($Q1381,CONFIG!$G$4:$G$63,0)),"Por definir"))</f>
        <v/>
      </c>
      <c r="T1381" s="51" t="n"/>
      <c r="U1381" s="52" t="n"/>
      <c r="V1381" s="50" t="n"/>
      <c r="W1381" s="50" t="n"/>
      <c r="X1381" s="49">
        <f>IF(OR($B1381="",$M1381=""),"",WORKDAY($B1381,IFERROR(INDEX(CONFIG!$D$4:$D$63,MATCH($M1381,CONFIG!$A$4:$A$63,0)),3)))</f>
        <v/>
      </c>
      <c r="Y1381" s="47" t="n"/>
      <c r="Z1381" s="24">
        <f>IF($B1381="","",IF($Y1381&lt;&gt;"",$Y1381-$B1381,TODAY()-$B1381))</f>
        <v/>
      </c>
      <c r="AA1381" s="28">
        <f>IF($B1381="","",IF(IFERROR(INDEX(CONFIG!$L$4:$L$63,MATCH($V1381,CONFIG!$K$4:$K$63,0)),"NO")="SÍ",IF(OR($Y1381="",$X1381=""),"Resuelta",IF($Y1381&gt;$X1381,"Resuelta tarde","Resuelta a tiempo")),IF($X1381="","Sin clasificar",IF(TODAY()&gt;$X1381,"Vencida",IF(TODAY()&gt;=$X1381-1,"Por vencer","En plazo")))))</f>
        <v/>
      </c>
      <c r="AB1381" s="50" t="n"/>
      <c r="AC1381" s="50" t="n"/>
    </row>
    <row r="1382" ht="16" customHeight="1">
      <c r="A1382" s="28">
        <f>IF($B1382="","","N-"&amp;TEXT(ROW()-3,"0000"))</f>
        <v/>
      </c>
      <c r="B1382" s="47" t="n"/>
      <c r="C1382" s="48" t="n"/>
      <c r="D1382" s="48" t="n"/>
      <c r="E1382" s="28">
        <f>IF($C1382="","",IF($D1382="",IF($C1382="Interna","Sin guía (interna)","FALTA GUÍA"),IF(COUNTIFS(ENVIOS!$A$4:$A$3003,$D1382)=0,"NO EXISTE",IF(COUNTIFS(ENVIOS!$A$4:$A$3003,$D1382)&gt;1,"DUPLICADA","OK"))))</f>
        <v/>
      </c>
      <c r="F1382" s="28">
        <f>IF($D1382="","",IFERROR(INDEX(ENVIOS!$B$4:$B$3003,MATCH($D1382,ENVIOS!$A$4:$A$3003,0)),"—"))</f>
        <v/>
      </c>
      <c r="G1382" s="23">
        <f>IF($D1382="","",IFERROR(INDEX(ENVIOS!$D$4:$D$3003,MATCH($D1382,ENVIOS!$A$4:$A$3003,0)),"—"))</f>
        <v/>
      </c>
      <c r="H1382" s="23">
        <f>IF($D1382="","",IFERROR(INDEX(ENVIOS!$E$4:$E$3003,MATCH($D1382,ENVIOS!$A$4:$A$3003,0)),"—"))</f>
        <v/>
      </c>
      <c r="I1382" s="23">
        <f>IF($D1382="","",IFERROR(INDEX(ENVIOS!$F$4:$F$3003,MATCH($D1382,ENVIOS!$A$4:$A$3003,0)),"—"))</f>
        <v/>
      </c>
      <c r="J1382" s="23">
        <f>IF($D1382="","",IFERROR(INDEX(ENVIOS!$G$4:$G$3003,MATCH($D1382,ENVIOS!$A$4:$A$3003,0)),"—"))</f>
        <v/>
      </c>
      <c r="K1382" s="28">
        <f>IF($D1382="","",IFERROR(INDEX(ENVIOS!$H$4:$H$3003,MATCH($D1382,ENVIOS!$A$4:$A$3003,0)),"—"))</f>
        <v/>
      </c>
      <c r="L1382" s="49">
        <f>IF($D1382="","",IFERROR(INDEX(ENVIOS!$C$4:$C$3003,MATCH($D1382,ENVIOS!$A$4:$A$3003,0)),""))</f>
        <v/>
      </c>
      <c r="M1382" s="50" t="n"/>
      <c r="N1382" s="28">
        <f>IF($M1382="","",IFERROR(INDEX(CONFIG!$C$4:$C$63,MATCH($M1382,CONFIG!$A$4:$A$63,0)),"Media"))</f>
        <v/>
      </c>
      <c r="O1382" s="28">
        <f>IF($M1382="","",IF($C1382="Interna","NO",IFERROR(INDEX(CONFIG!$E$4:$E$63,MATCH($M1382,CONFIG!$A$4:$A$63,0)),"NO")))</f>
        <v/>
      </c>
      <c r="P1382" s="50" t="n"/>
      <c r="Q1382" s="50" t="n"/>
      <c r="R1382" s="28">
        <f>IF($Q1382="","",IFERROR(INDEX(CONFIG!$H$4:$H$63,MATCH($Q1382,CONFIG!$G$4:$G$63,0)),"Por definir"))</f>
        <v/>
      </c>
      <c r="S1382" s="28">
        <f>IF($Q1382="","",IFERROR(INDEX(CONFIG!$I$4:$I$63,MATCH($Q1382,CONFIG!$G$4:$G$63,0)),"Por definir"))</f>
        <v/>
      </c>
      <c r="T1382" s="51" t="n"/>
      <c r="U1382" s="52" t="n"/>
      <c r="V1382" s="50" t="n"/>
      <c r="W1382" s="50" t="n"/>
      <c r="X1382" s="49">
        <f>IF(OR($B1382="",$M1382=""),"",WORKDAY($B1382,IFERROR(INDEX(CONFIG!$D$4:$D$63,MATCH($M1382,CONFIG!$A$4:$A$63,0)),3)))</f>
        <v/>
      </c>
      <c r="Y1382" s="47" t="n"/>
      <c r="Z1382" s="24">
        <f>IF($B1382="","",IF($Y1382&lt;&gt;"",$Y1382-$B1382,TODAY()-$B1382))</f>
        <v/>
      </c>
      <c r="AA1382" s="28">
        <f>IF($B1382="","",IF(IFERROR(INDEX(CONFIG!$L$4:$L$63,MATCH($V1382,CONFIG!$K$4:$K$63,0)),"NO")="SÍ",IF(OR($Y1382="",$X1382=""),"Resuelta",IF($Y1382&gt;$X1382,"Resuelta tarde","Resuelta a tiempo")),IF($X1382="","Sin clasificar",IF(TODAY()&gt;$X1382,"Vencida",IF(TODAY()&gt;=$X1382-1,"Por vencer","En plazo")))))</f>
        <v/>
      </c>
      <c r="AB1382" s="50" t="n"/>
      <c r="AC1382" s="50" t="n"/>
    </row>
    <row r="1383" ht="16" customHeight="1">
      <c r="A1383" s="28">
        <f>IF($B1383="","","N-"&amp;TEXT(ROW()-3,"0000"))</f>
        <v/>
      </c>
      <c r="B1383" s="47" t="n"/>
      <c r="C1383" s="48" t="n"/>
      <c r="D1383" s="48" t="n"/>
      <c r="E1383" s="28">
        <f>IF($C1383="","",IF($D1383="",IF($C1383="Interna","Sin guía (interna)","FALTA GUÍA"),IF(COUNTIFS(ENVIOS!$A$4:$A$3003,$D1383)=0,"NO EXISTE",IF(COUNTIFS(ENVIOS!$A$4:$A$3003,$D1383)&gt;1,"DUPLICADA","OK"))))</f>
        <v/>
      </c>
      <c r="F1383" s="28">
        <f>IF($D1383="","",IFERROR(INDEX(ENVIOS!$B$4:$B$3003,MATCH($D1383,ENVIOS!$A$4:$A$3003,0)),"—"))</f>
        <v/>
      </c>
      <c r="G1383" s="23">
        <f>IF($D1383="","",IFERROR(INDEX(ENVIOS!$D$4:$D$3003,MATCH($D1383,ENVIOS!$A$4:$A$3003,0)),"—"))</f>
        <v/>
      </c>
      <c r="H1383" s="23">
        <f>IF($D1383="","",IFERROR(INDEX(ENVIOS!$E$4:$E$3003,MATCH($D1383,ENVIOS!$A$4:$A$3003,0)),"—"))</f>
        <v/>
      </c>
      <c r="I1383" s="23">
        <f>IF($D1383="","",IFERROR(INDEX(ENVIOS!$F$4:$F$3003,MATCH($D1383,ENVIOS!$A$4:$A$3003,0)),"—"))</f>
        <v/>
      </c>
      <c r="J1383" s="23">
        <f>IF($D1383="","",IFERROR(INDEX(ENVIOS!$G$4:$G$3003,MATCH($D1383,ENVIOS!$A$4:$A$3003,0)),"—"))</f>
        <v/>
      </c>
      <c r="K1383" s="28">
        <f>IF($D1383="","",IFERROR(INDEX(ENVIOS!$H$4:$H$3003,MATCH($D1383,ENVIOS!$A$4:$A$3003,0)),"—"))</f>
        <v/>
      </c>
      <c r="L1383" s="49">
        <f>IF($D1383="","",IFERROR(INDEX(ENVIOS!$C$4:$C$3003,MATCH($D1383,ENVIOS!$A$4:$A$3003,0)),""))</f>
        <v/>
      </c>
      <c r="M1383" s="50" t="n"/>
      <c r="N1383" s="28">
        <f>IF($M1383="","",IFERROR(INDEX(CONFIG!$C$4:$C$63,MATCH($M1383,CONFIG!$A$4:$A$63,0)),"Media"))</f>
        <v/>
      </c>
      <c r="O1383" s="28">
        <f>IF($M1383="","",IF($C1383="Interna","NO",IFERROR(INDEX(CONFIG!$E$4:$E$63,MATCH($M1383,CONFIG!$A$4:$A$63,0)),"NO")))</f>
        <v/>
      </c>
      <c r="P1383" s="50" t="n"/>
      <c r="Q1383" s="50" t="n"/>
      <c r="R1383" s="28">
        <f>IF($Q1383="","",IFERROR(INDEX(CONFIG!$H$4:$H$63,MATCH($Q1383,CONFIG!$G$4:$G$63,0)),"Por definir"))</f>
        <v/>
      </c>
      <c r="S1383" s="28">
        <f>IF($Q1383="","",IFERROR(INDEX(CONFIG!$I$4:$I$63,MATCH($Q1383,CONFIG!$G$4:$G$63,0)),"Por definir"))</f>
        <v/>
      </c>
      <c r="T1383" s="51" t="n"/>
      <c r="U1383" s="52" t="n"/>
      <c r="V1383" s="50" t="n"/>
      <c r="W1383" s="50" t="n"/>
      <c r="X1383" s="49">
        <f>IF(OR($B1383="",$M1383=""),"",WORKDAY($B1383,IFERROR(INDEX(CONFIG!$D$4:$D$63,MATCH($M1383,CONFIG!$A$4:$A$63,0)),3)))</f>
        <v/>
      </c>
      <c r="Y1383" s="47" t="n"/>
      <c r="Z1383" s="24">
        <f>IF($B1383="","",IF($Y1383&lt;&gt;"",$Y1383-$B1383,TODAY()-$B1383))</f>
        <v/>
      </c>
      <c r="AA1383" s="28">
        <f>IF($B1383="","",IF(IFERROR(INDEX(CONFIG!$L$4:$L$63,MATCH($V1383,CONFIG!$K$4:$K$63,0)),"NO")="SÍ",IF(OR($Y1383="",$X1383=""),"Resuelta",IF($Y1383&gt;$X1383,"Resuelta tarde","Resuelta a tiempo")),IF($X1383="","Sin clasificar",IF(TODAY()&gt;$X1383,"Vencida",IF(TODAY()&gt;=$X1383-1,"Por vencer","En plazo")))))</f>
        <v/>
      </c>
      <c r="AB1383" s="50" t="n"/>
      <c r="AC1383" s="50" t="n"/>
    </row>
    <row r="1384" ht="16" customHeight="1">
      <c r="A1384" s="28">
        <f>IF($B1384="","","N-"&amp;TEXT(ROW()-3,"0000"))</f>
        <v/>
      </c>
      <c r="B1384" s="47" t="n"/>
      <c r="C1384" s="48" t="n"/>
      <c r="D1384" s="48" t="n"/>
      <c r="E1384" s="28">
        <f>IF($C1384="","",IF($D1384="",IF($C1384="Interna","Sin guía (interna)","FALTA GUÍA"),IF(COUNTIFS(ENVIOS!$A$4:$A$3003,$D1384)=0,"NO EXISTE",IF(COUNTIFS(ENVIOS!$A$4:$A$3003,$D1384)&gt;1,"DUPLICADA","OK"))))</f>
        <v/>
      </c>
      <c r="F1384" s="28">
        <f>IF($D1384="","",IFERROR(INDEX(ENVIOS!$B$4:$B$3003,MATCH($D1384,ENVIOS!$A$4:$A$3003,0)),"—"))</f>
        <v/>
      </c>
      <c r="G1384" s="23">
        <f>IF($D1384="","",IFERROR(INDEX(ENVIOS!$D$4:$D$3003,MATCH($D1384,ENVIOS!$A$4:$A$3003,0)),"—"))</f>
        <v/>
      </c>
      <c r="H1384" s="23">
        <f>IF($D1384="","",IFERROR(INDEX(ENVIOS!$E$4:$E$3003,MATCH($D1384,ENVIOS!$A$4:$A$3003,0)),"—"))</f>
        <v/>
      </c>
      <c r="I1384" s="23">
        <f>IF($D1384="","",IFERROR(INDEX(ENVIOS!$F$4:$F$3003,MATCH($D1384,ENVIOS!$A$4:$A$3003,0)),"—"))</f>
        <v/>
      </c>
      <c r="J1384" s="23">
        <f>IF($D1384="","",IFERROR(INDEX(ENVIOS!$G$4:$G$3003,MATCH($D1384,ENVIOS!$A$4:$A$3003,0)),"—"))</f>
        <v/>
      </c>
      <c r="K1384" s="28">
        <f>IF($D1384="","",IFERROR(INDEX(ENVIOS!$H$4:$H$3003,MATCH($D1384,ENVIOS!$A$4:$A$3003,0)),"—"))</f>
        <v/>
      </c>
      <c r="L1384" s="49">
        <f>IF($D1384="","",IFERROR(INDEX(ENVIOS!$C$4:$C$3003,MATCH($D1384,ENVIOS!$A$4:$A$3003,0)),""))</f>
        <v/>
      </c>
      <c r="M1384" s="50" t="n"/>
      <c r="N1384" s="28">
        <f>IF($M1384="","",IFERROR(INDEX(CONFIG!$C$4:$C$63,MATCH($M1384,CONFIG!$A$4:$A$63,0)),"Media"))</f>
        <v/>
      </c>
      <c r="O1384" s="28">
        <f>IF($M1384="","",IF($C1384="Interna","NO",IFERROR(INDEX(CONFIG!$E$4:$E$63,MATCH($M1384,CONFIG!$A$4:$A$63,0)),"NO")))</f>
        <v/>
      </c>
      <c r="P1384" s="50" t="n"/>
      <c r="Q1384" s="50" t="n"/>
      <c r="R1384" s="28">
        <f>IF($Q1384="","",IFERROR(INDEX(CONFIG!$H$4:$H$63,MATCH($Q1384,CONFIG!$G$4:$G$63,0)),"Por definir"))</f>
        <v/>
      </c>
      <c r="S1384" s="28">
        <f>IF($Q1384="","",IFERROR(INDEX(CONFIG!$I$4:$I$63,MATCH($Q1384,CONFIG!$G$4:$G$63,0)),"Por definir"))</f>
        <v/>
      </c>
      <c r="T1384" s="51" t="n"/>
      <c r="U1384" s="52" t="n"/>
      <c r="V1384" s="50" t="n"/>
      <c r="W1384" s="50" t="n"/>
      <c r="X1384" s="49">
        <f>IF(OR($B1384="",$M1384=""),"",WORKDAY($B1384,IFERROR(INDEX(CONFIG!$D$4:$D$63,MATCH($M1384,CONFIG!$A$4:$A$63,0)),3)))</f>
        <v/>
      </c>
      <c r="Y1384" s="47" t="n"/>
      <c r="Z1384" s="24">
        <f>IF($B1384="","",IF($Y1384&lt;&gt;"",$Y1384-$B1384,TODAY()-$B1384))</f>
        <v/>
      </c>
      <c r="AA1384" s="28">
        <f>IF($B1384="","",IF(IFERROR(INDEX(CONFIG!$L$4:$L$63,MATCH($V1384,CONFIG!$K$4:$K$63,0)),"NO")="SÍ",IF(OR($Y1384="",$X1384=""),"Resuelta",IF($Y1384&gt;$X1384,"Resuelta tarde","Resuelta a tiempo")),IF($X1384="","Sin clasificar",IF(TODAY()&gt;$X1384,"Vencida",IF(TODAY()&gt;=$X1384-1,"Por vencer","En plazo")))))</f>
        <v/>
      </c>
      <c r="AB1384" s="50" t="n"/>
      <c r="AC1384" s="50" t="n"/>
    </row>
    <row r="1385" ht="16" customHeight="1">
      <c r="A1385" s="28">
        <f>IF($B1385="","","N-"&amp;TEXT(ROW()-3,"0000"))</f>
        <v/>
      </c>
      <c r="B1385" s="47" t="n"/>
      <c r="C1385" s="48" t="n"/>
      <c r="D1385" s="48" t="n"/>
      <c r="E1385" s="28">
        <f>IF($C1385="","",IF($D1385="",IF($C1385="Interna","Sin guía (interna)","FALTA GUÍA"),IF(COUNTIFS(ENVIOS!$A$4:$A$3003,$D1385)=0,"NO EXISTE",IF(COUNTIFS(ENVIOS!$A$4:$A$3003,$D1385)&gt;1,"DUPLICADA","OK"))))</f>
        <v/>
      </c>
      <c r="F1385" s="28">
        <f>IF($D1385="","",IFERROR(INDEX(ENVIOS!$B$4:$B$3003,MATCH($D1385,ENVIOS!$A$4:$A$3003,0)),"—"))</f>
        <v/>
      </c>
      <c r="G1385" s="23">
        <f>IF($D1385="","",IFERROR(INDEX(ENVIOS!$D$4:$D$3003,MATCH($D1385,ENVIOS!$A$4:$A$3003,0)),"—"))</f>
        <v/>
      </c>
      <c r="H1385" s="23">
        <f>IF($D1385="","",IFERROR(INDEX(ENVIOS!$E$4:$E$3003,MATCH($D1385,ENVIOS!$A$4:$A$3003,0)),"—"))</f>
        <v/>
      </c>
      <c r="I1385" s="23">
        <f>IF($D1385="","",IFERROR(INDEX(ENVIOS!$F$4:$F$3003,MATCH($D1385,ENVIOS!$A$4:$A$3003,0)),"—"))</f>
        <v/>
      </c>
      <c r="J1385" s="23">
        <f>IF($D1385="","",IFERROR(INDEX(ENVIOS!$G$4:$G$3003,MATCH($D1385,ENVIOS!$A$4:$A$3003,0)),"—"))</f>
        <v/>
      </c>
      <c r="K1385" s="28">
        <f>IF($D1385="","",IFERROR(INDEX(ENVIOS!$H$4:$H$3003,MATCH($D1385,ENVIOS!$A$4:$A$3003,0)),"—"))</f>
        <v/>
      </c>
      <c r="L1385" s="49">
        <f>IF($D1385="","",IFERROR(INDEX(ENVIOS!$C$4:$C$3003,MATCH($D1385,ENVIOS!$A$4:$A$3003,0)),""))</f>
        <v/>
      </c>
      <c r="M1385" s="50" t="n"/>
      <c r="N1385" s="28">
        <f>IF($M1385="","",IFERROR(INDEX(CONFIG!$C$4:$C$63,MATCH($M1385,CONFIG!$A$4:$A$63,0)),"Media"))</f>
        <v/>
      </c>
      <c r="O1385" s="28">
        <f>IF($M1385="","",IF($C1385="Interna","NO",IFERROR(INDEX(CONFIG!$E$4:$E$63,MATCH($M1385,CONFIG!$A$4:$A$63,0)),"NO")))</f>
        <v/>
      </c>
      <c r="P1385" s="50" t="n"/>
      <c r="Q1385" s="50" t="n"/>
      <c r="R1385" s="28">
        <f>IF($Q1385="","",IFERROR(INDEX(CONFIG!$H$4:$H$63,MATCH($Q1385,CONFIG!$G$4:$G$63,0)),"Por definir"))</f>
        <v/>
      </c>
      <c r="S1385" s="28">
        <f>IF($Q1385="","",IFERROR(INDEX(CONFIG!$I$4:$I$63,MATCH($Q1385,CONFIG!$G$4:$G$63,0)),"Por definir"))</f>
        <v/>
      </c>
      <c r="T1385" s="51" t="n"/>
      <c r="U1385" s="52" t="n"/>
      <c r="V1385" s="50" t="n"/>
      <c r="W1385" s="50" t="n"/>
      <c r="X1385" s="49">
        <f>IF(OR($B1385="",$M1385=""),"",WORKDAY($B1385,IFERROR(INDEX(CONFIG!$D$4:$D$63,MATCH($M1385,CONFIG!$A$4:$A$63,0)),3)))</f>
        <v/>
      </c>
      <c r="Y1385" s="47" t="n"/>
      <c r="Z1385" s="24">
        <f>IF($B1385="","",IF($Y1385&lt;&gt;"",$Y1385-$B1385,TODAY()-$B1385))</f>
        <v/>
      </c>
      <c r="AA1385" s="28">
        <f>IF($B1385="","",IF(IFERROR(INDEX(CONFIG!$L$4:$L$63,MATCH($V1385,CONFIG!$K$4:$K$63,0)),"NO")="SÍ",IF(OR($Y1385="",$X1385=""),"Resuelta",IF($Y1385&gt;$X1385,"Resuelta tarde","Resuelta a tiempo")),IF($X1385="","Sin clasificar",IF(TODAY()&gt;$X1385,"Vencida",IF(TODAY()&gt;=$X1385-1,"Por vencer","En plazo")))))</f>
        <v/>
      </c>
      <c r="AB1385" s="50" t="n"/>
      <c r="AC1385" s="50" t="n"/>
    </row>
    <row r="1386" ht="16" customHeight="1">
      <c r="A1386" s="28">
        <f>IF($B1386="","","N-"&amp;TEXT(ROW()-3,"0000"))</f>
        <v/>
      </c>
      <c r="B1386" s="47" t="n"/>
      <c r="C1386" s="48" t="n"/>
      <c r="D1386" s="48" t="n"/>
      <c r="E1386" s="28">
        <f>IF($C1386="","",IF($D1386="",IF($C1386="Interna","Sin guía (interna)","FALTA GUÍA"),IF(COUNTIFS(ENVIOS!$A$4:$A$3003,$D1386)=0,"NO EXISTE",IF(COUNTIFS(ENVIOS!$A$4:$A$3003,$D1386)&gt;1,"DUPLICADA","OK"))))</f>
        <v/>
      </c>
      <c r="F1386" s="28">
        <f>IF($D1386="","",IFERROR(INDEX(ENVIOS!$B$4:$B$3003,MATCH($D1386,ENVIOS!$A$4:$A$3003,0)),"—"))</f>
        <v/>
      </c>
      <c r="G1386" s="23">
        <f>IF($D1386="","",IFERROR(INDEX(ENVIOS!$D$4:$D$3003,MATCH($D1386,ENVIOS!$A$4:$A$3003,0)),"—"))</f>
        <v/>
      </c>
      <c r="H1386" s="23">
        <f>IF($D1386="","",IFERROR(INDEX(ENVIOS!$E$4:$E$3003,MATCH($D1386,ENVIOS!$A$4:$A$3003,0)),"—"))</f>
        <v/>
      </c>
      <c r="I1386" s="23">
        <f>IF($D1386="","",IFERROR(INDEX(ENVIOS!$F$4:$F$3003,MATCH($D1386,ENVIOS!$A$4:$A$3003,0)),"—"))</f>
        <v/>
      </c>
      <c r="J1386" s="23">
        <f>IF($D1386="","",IFERROR(INDEX(ENVIOS!$G$4:$G$3003,MATCH($D1386,ENVIOS!$A$4:$A$3003,0)),"—"))</f>
        <v/>
      </c>
      <c r="K1386" s="28">
        <f>IF($D1386="","",IFERROR(INDEX(ENVIOS!$H$4:$H$3003,MATCH($D1386,ENVIOS!$A$4:$A$3003,0)),"—"))</f>
        <v/>
      </c>
      <c r="L1386" s="49">
        <f>IF($D1386="","",IFERROR(INDEX(ENVIOS!$C$4:$C$3003,MATCH($D1386,ENVIOS!$A$4:$A$3003,0)),""))</f>
        <v/>
      </c>
      <c r="M1386" s="50" t="n"/>
      <c r="N1386" s="28">
        <f>IF($M1386="","",IFERROR(INDEX(CONFIG!$C$4:$C$63,MATCH($M1386,CONFIG!$A$4:$A$63,0)),"Media"))</f>
        <v/>
      </c>
      <c r="O1386" s="28">
        <f>IF($M1386="","",IF($C1386="Interna","NO",IFERROR(INDEX(CONFIG!$E$4:$E$63,MATCH($M1386,CONFIG!$A$4:$A$63,0)),"NO")))</f>
        <v/>
      </c>
      <c r="P1386" s="50" t="n"/>
      <c r="Q1386" s="50" t="n"/>
      <c r="R1386" s="28">
        <f>IF($Q1386="","",IFERROR(INDEX(CONFIG!$H$4:$H$63,MATCH($Q1386,CONFIG!$G$4:$G$63,0)),"Por definir"))</f>
        <v/>
      </c>
      <c r="S1386" s="28">
        <f>IF($Q1386="","",IFERROR(INDEX(CONFIG!$I$4:$I$63,MATCH($Q1386,CONFIG!$G$4:$G$63,0)),"Por definir"))</f>
        <v/>
      </c>
      <c r="T1386" s="51" t="n"/>
      <c r="U1386" s="52" t="n"/>
      <c r="V1386" s="50" t="n"/>
      <c r="W1386" s="50" t="n"/>
      <c r="X1386" s="49">
        <f>IF(OR($B1386="",$M1386=""),"",WORKDAY($B1386,IFERROR(INDEX(CONFIG!$D$4:$D$63,MATCH($M1386,CONFIG!$A$4:$A$63,0)),3)))</f>
        <v/>
      </c>
      <c r="Y1386" s="47" t="n"/>
      <c r="Z1386" s="24">
        <f>IF($B1386="","",IF($Y1386&lt;&gt;"",$Y1386-$B1386,TODAY()-$B1386))</f>
        <v/>
      </c>
      <c r="AA1386" s="28">
        <f>IF($B1386="","",IF(IFERROR(INDEX(CONFIG!$L$4:$L$63,MATCH($V1386,CONFIG!$K$4:$K$63,0)),"NO")="SÍ",IF(OR($Y1386="",$X1386=""),"Resuelta",IF($Y1386&gt;$X1386,"Resuelta tarde","Resuelta a tiempo")),IF($X1386="","Sin clasificar",IF(TODAY()&gt;$X1386,"Vencida",IF(TODAY()&gt;=$X1386-1,"Por vencer","En plazo")))))</f>
        <v/>
      </c>
      <c r="AB1386" s="50" t="n"/>
      <c r="AC1386" s="50" t="n"/>
    </row>
    <row r="1387" ht="16" customHeight="1">
      <c r="A1387" s="28">
        <f>IF($B1387="","","N-"&amp;TEXT(ROW()-3,"0000"))</f>
        <v/>
      </c>
      <c r="B1387" s="47" t="n"/>
      <c r="C1387" s="48" t="n"/>
      <c r="D1387" s="48" t="n"/>
      <c r="E1387" s="28">
        <f>IF($C1387="","",IF($D1387="",IF($C1387="Interna","Sin guía (interna)","FALTA GUÍA"),IF(COUNTIFS(ENVIOS!$A$4:$A$3003,$D1387)=0,"NO EXISTE",IF(COUNTIFS(ENVIOS!$A$4:$A$3003,$D1387)&gt;1,"DUPLICADA","OK"))))</f>
        <v/>
      </c>
      <c r="F1387" s="28">
        <f>IF($D1387="","",IFERROR(INDEX(ENVIOS!$B$4:$B$3003,MATCH($D1387,ENVIOS!$A$4:$A$3003,0)),"—"))</f>
        <v/>
      </c>
      <c r="G1387" s="23">
        <f>IF($D1387="","",IFERROR(INDEX(ENVIOS!$D$4:$D$3003,MATCH($D1387,ENVIOS!$A$4:$A$3003,0)),"—"))</f>
        <v/>
      </c>
      <c r="H1387" s="23">
        <f>IF($D1387="","",IFERROR(INDEX(ENVIOS!$E$4:$E$3003,MATCH($D1387,ENVIOS!$A$4:$A$3003,0)),"—"))</f>
        <v/>
      </c>
      <c r="I1387" s="23">
        <f>IF($D1387="","",IFERROR(INDEX(ENVIOS!$F$4:$F$3003,MATCH($D1387,ENVIOS!$A$4:$A$3003,0)),"—"))</f>
        <v/>
      </c>
      <c r="J1387" s="23">
        <f>IF($D1387="","",IFERROR(INDEX(ENVIOS!$G$4:$G$3003,MATCH($D1387,ENVIOS!$A$4:$A$3003,0)),"—"))</f>
        <v/>
      </c>
      <c r="K1387" s="28">
        <f>IF($D1387="","",IFERROR(INDEX(ENVIOS!$H$4:$H$3003,MATCH($D1387,ENVIOS!$A$4:$A$3003,0)),"—"))</f>
        <v/>
      </c>
      <c r="L1387" s="49">
        <f>IF($D1387="","",IFERROR(INDEX(ENVIOS!$C$4:$C$3003,MATCH($D1387,ENVIOS!$A$4:$A$3003,0)),""))</f>
        <v/>
      </c>
      <c r="M1387" s="50" t="n"/>
      <c r="N1387" s="28">
        <f>IF($M1387="","",IFERROR(INDEX(CONFIG!$C$4:$C$63,MATCH($M1387,CONFIG!$A$4:$A$63,0)),"Media"))</f>
        <v/>
      </c>
      <c r="O1387" s="28">
        <f>IF($M1387="","",IF($C1387="Interna","NO",IFERROR(INDEX(CONFIG!$E$4:$E$63,MATCH($M1387,CONFIG!$A$4:$A$63,0)),"NO")))</f>
        <v/>
      </c>
      <c r="P1387" s="50" t="n"/>
      <c r="Q1387" s="50" t="n"/>
      <c r="R1387" s="28">
        <f>IF($Q1387="","",IFERROR(INDEX(CONFIG!$H$4:$H$63,MATCH($Q1387,CONFIG!$G$4:$G$63,0)),"Por definir"))</f>
        <v/>
      </c>
      <c r="S1387" s="28">
        <f>IF($Q1387="","",IFERROR(INDEX(CONFIG!$I$4:$I$63,MATCH($Q1387,CONFIG!$G$4:$G$63,0)),"Por definir"))</f>
        <v/>
      </c>
      <c r="T1387" s="51" t="n"/>
      <c r="U1387" s="52" t="n"/>
      <c r="V1387" s="50" t="n"/>
      <c r="W1387" s="50" t="n"/>
      <c r="X1387" s="49">
        <f>IF(OR($B1387="",$M1387=""),"",WORKDAY($B1387,IFERROR(INDEX(CONFIG!$D$4:$D$63,MATCH($M1387,CONFIG!$A$4:$A$63,0)),3)))</f>
        <v/>
      </c>
      <c r="Y1387" s="47" t="n"/>
      <c r="Z1387" s="24">
        <f>IF($B1387="","",IF($Y1387&lt;&gt;"",$Y1387-$B1387,TODAY()-$B1387))</f>
        <v/>
      </c>
      <c r="AA1387" s="28">
        <f>IF($B1387="","",IF(IFERROR(INDEX(CONFIG!$L$4:$L$63,MATCH($V1387,CONFIG!$K$4:$K$63,0)),"NO")="SÍ",IF(OR($Y1387="",$X1387=""),"Resuelta",IF($Y1387&gt;$X1387,"Resuelta tarde","Resuelta a tiempo")),IF($X1387="","Sin clasificar",IF(TODAY()&gt;$X1387,"Vencida",IF(TODAY()&gt;=$X1387-1,"Por vencer","En plazo")))))</f>
        <v/>
      </c>
      <c r="AB1387" s="50" t="n"/>
      <c r="AC1387" s="50" t="n"/>
    </row>
    <row r="1388" ht="16" customHeight="1">
      <c r="A1388" s="28">
        <f>IF($B1388="","","N-"&amp;TEXT(ROW()-3,"0000"))</f>
        <v/>
      </c>
      <c r="B1388" s="47" t="n"/>
      <c r="C1388" s="48" t="n"/>
      <c r="D1388" s="48" t="n"/>
      <c r="E1388" s="28">
        <f>IF($C1388="","",IF($D1388="",IF($C1388="Interna","Sin guía (interna)","FALTA GUÍA"),IF(COUNTIFS(ENVIOS!$A$4:$A$3003,$D1388)=0,"NO EXISTE",IF(COUNTIFS(ENVIOS!$A$4:$A$3003,$D1388)&gt;1,"DUPLICADA","OK"))))</f>
        <v/>
      </c>
      <c r="F1388" s="28">
        <f>IF($D1388="","",IFERROR(INDEX(ENVIOS!$B$4:$B$3003,MATCH($D1388,ENVIOS!$A$4:$A$3003,0)),"—"))</f>
        <v/>
      </c>
      <c r="G1388" s="23">
        <f>IF($D1388="","",IFERROR(INDEX(ENVIOS!$D$4:$D$3003,MATCH($D1388,ENVIOS!$A$4:$A$3003,0)),"—"))</f>
        <v/>
      </c>
      <c r="H1388" s="23">
        <f>IF($D1388="","",IFERROR(INDEX(ENVIOS!$E$4:$E$3003,MATCH($D1388,ENVIOS!$A$4:$A$3003,0)),"—"))</f>
        <v/>
      </c>
      <c r="I1388" s="23">
        <f>IF($D1388="","",IFERROR(INDEX(ENVIOS!$F$4:$F$3003,MATCH($D1388,ENVIOS!$A$4:$A$3003,0)),"—"))</f>
        <v/>
      </c>
      <c r="J1388" s="23">
        <f>IF($D1388="","",IFERROR(INDEX(ENVIOS!$G$4:$G$3003,MATCH($D1388,ENVIOS!$A$4:$A$3003,0)),"—"))</f>
        <v/>
      </c>
      <c r="K1388" s="28">
        <f>IF($D1388="","",IFERROR(INDEX(ENVIOS!$H$4:$H$3003,MATCH($D1388,ENVIOS!$A$4:$A$3003,0)),"—"))</f>
        <v/>
      </c>
      <c r="L1388" s="49">
        <f>IF($D1388="","",IFERROR(INDEX(ENVIOS!$C$4:$C$3003,MATCH($D1388,ENVIOS!$A$4:$A$3003,0)),""))</f>
        <v/>
      </c>
      <c r="M1388" s="50" t="n"/>
      <c r="N1388" s="28">
        <f>IF($M1388="","",IFERROR(INDEX(CONFIG!$C$4:$C$63,MATCH($M1388,CONFIG!$A$4:$A$63,0)),"Media"))</f>
        <v/>
      </c>
      <c r="O1388" s="28">
        <f>IF($M1388="","",IF($C1388="Interna","NO",IFERROR(INDEX(CONFIG!$E$4:$E$63,MATCH($M1388,CONFIG!$A$4:$A$63,0)),"NO")))</f>
        <v/>
      </c>
      <c r="P1388" s="50" t="n"/>
      <c r="Q1388" s="50" t="n"/>
      <c r="R1388" s="28">
        <f>IF($Q1388="","",IFERROR(INDEX(CONFIG!$H$4:$H$63,MATCH($Q1388,CONFIG!$G$4:$G$63,0)),"Por definir"))</f>
        <v/>
      </c>
      <c r="S1388" s="28">
        <f>IF($Q1388="","",IFERROR(INDEX(CONFIG!$I$4:$I$63,MATCH($Q1388,CONFIG!$G$4:$G$63,0)),"Por definir"))</f>
        <v/>
      </c>
      <c r="T1388" s="51" t="n"/>
      <c r="U1388" s="52" t="n"/>
      <c r="V1388" s="50" t="n"/>
      <c r="W1388" s="50" t="n"/>
      <c r="X1388" s="49">
        <f>IF(OR($B1388="",$M1388=""),"",WORKDAY($B1388,IFERROR(INDEX(CONFIG!$D$4:$D$63,MATCH($M1388,CONFIG!$A$4:$A$63,0)),3)))</f>
        <v/>
      </c>
      <c r="Y1388" s="47" t="n"/>
      <c r="Z1388" s="24">
        <f>IF($B1388="","",IF($Y1388&lt;&gt;"",$Y1388-$B1388,TODAY()-$B1388))</f>
        <v/>
      </c>
      <c r="AA1388" s="28">
        <f>IF($B1388="","",IF(IFERROR(INDEX(CONFIG!$L$4:$L$63,MATCH($V1388,CONFIG!$K$4:$K$63,0)),"NO")="SÍ",IF(OR($Y1388="",$X1388=""),"Resuelta",IF($Y1388&gt;$X1388,"Resuelta tarde","Resuelta a tiempo")),IF($X1388="","Sin clasificar",IF(TODAY()&gt;$X1388,"Vencida",IF(TODAY()&gt;=$X1388-1,"Por vencer","En plazo")))))</f>
        <v/>
      </c>
      <c r="AB1388" s="50" t="n"/>
      <c r="AC1388" s="50" t="n"/>
    </row>
    <row r="1389" ht="16" customHeight="1">
      <c r="A1389" s="28">
        <f>IF($B1389="","","N-"&amp;TEXT(ROW()-3,"0000"))</f>
        <v/>
      </c>
      <c r="B1389" s="47" t="n"/>
      <c r="C1389" s="48" t="n"/>
      <c r="D1389" s="48" t="n"/>
      <c r="E1389" s="28">
        <f>IF($C1389="","",IF($D1389="",IF($C1389="Interna","Sin guía (interna)","FALTA GUÍA"),IF(COUNTIFS(ENVIOS!$A$4:$A$3003,$D1389)=0,"NO EXISTE",IF(COUNTIFS(ENVIOS!$A$4:$A$3003,$D1389)&gt;1,"DUPLICADA","OK"))))</f>
        <v/>
      </c>
      <c r="F1389" s="28">
        <f>IF($D1389="","",IFERROR(INDEX(ENVIOS!$B$4:$B$3003,MATCH($D1389,ENVIOS!$A$4:$A$3003,0)),"—"))</f>
        <v/>
      </c>
      <c r="G1389" s="23">
        <f>IF($D1389="","",IFERROR(INDEX(ENVIOS!$D$4:$D$3003,MATCH($D1389,ENVIOS!$A$4:$A$3003,0)),"—"))</f>
        <v/>
      </c>
      <c r="H1389" s="23">
        <f>IF($D1389="","",IFERROR(INDEX(ENVIOS!$E$4:$E$3003,MATCH($D1389,ENVIOS!$A$4:$A$3003,0)),"—"))</f>
        <v/>
      </c>
      <c r="I1389" s="23">
        <f>IF($D1389="","",IFERROR(INDEX(ENVIOS!$F$4:$F$3003,MATCH($D1389,ENVIOS!$A$4:$A$3003,0)),"—"))</f>
        <v/>
      </c>
      <c r="J1389" s="23">
        <f>IF($D1389="","",IFERROR(INDEX(ENVIOS!$G$4:$G$3003,MATCH($D1389,ENVIOS!$A$4:$A$3003,0)),"—"))</f>
        <v/>
      </c>
      <c r="K1389" s="28">
        <f>IF($D1389="","",IFERROR(INDEX(ENVIOS!$H$4:$H$3003,MATCH($D1389,ENVIOS!$A$4:$A$3003,0)),"—"))</f>
        <v/>
      </c>
      <c r="L1389" s="49">
        <f>IF($D1389="","",IFERROR(INDEX(ENVIOS!$C$4:$C$3003,MATCH($D1389,ENVIOS!$A$4:$A$3003,0)),""))</f>
        <v/>
      </c>
      <c r="M1389" s="50" t="n"/>
      <c r="N1389" s="28">
        <f>IF($M1389="","",IFERROR(INDEX(CONFIG!$C$4:$C$63,MATCH($M1389,CONFIG!$A$4:$A$63,0)),"Media"))</f>
        <v/>
      </c>
      <c r="O1389" s="28">
        <f>IF($M1389="","",IF($C1389="Interna","NO",IFERROR(INDEX(CONFIG!$E$4:$E$63,MATCH($M1389,CONFIG!$A$4:$A$63,0)),"NO")))</f>
        <v/>
      </c>
      <c r="P1389" s="50" t="n"/>
      <c r="Q1389" s="50" t="n"/>
      <c r="R1389" s="28">
        <f>IF($Q1389="","",IFERROR(INDEX(CONFIG!$H$4:$H$63,MATCH($Q1389,CONFIG!$G$4:$G$63,0)),"Por definir"))</f>
        <v/>
      </c>
      <c r="S1389" s="28">
        <f>IF($Q1389="","",IFERROR(INDEX(CONFIG!$I$4:$I$63,MATCH($Q1389,CONFIG!$G$4:$G$63,0)),"Por definir"))</f>
        <v/>
      </c>
      <c r="T1389" s="51" t="n"/>
      <c r="U1389" s="52" t="n"/>
      <c r="V1389" s="50" t="n"/>
      <c r="W1389" s="50" t="n"/>
      <c r="X1389" s="49">
        <f>IF(OR($B1389="",$M1389=""),"",WORKDAY($B1389,IFERROR(INDEX(CONFIG!$D$4:$D$63,MATCH($M1389,CONFIG!$A$4:$A$63,0)),3)))</f>
        <v/>
      </c>
      <c r="Y1389" s="47" t="n"/>
      <c r="Z1389" s="24">
        <f>IF($B1389="","",IF($Y1389&lt;&gt;"",$Y1389-$B1389,TODAY()-$B1389))</f>
        <v/>
      </c>
      <c r="AA1389" s="28">
        <f>IF($B1389="","",IF(IFERROR(INDEX(CONFIG!$L$4:$L$63,MATCH($V1389,CONFIG!$K$4:$K$63,0)),"NO")="SÍ",IF(OR($Y1389="",$X1389=""),"Resuelta",IF($Y1389&gt;$X1389,"Resuelta tarde","Resuelta a tiempo")),IF($X1389="","Sin clasificar",IF(TODAY()&gt;$X1389,"Vencida",IF(TODAY()&gt;=$X1389-1,"Por vencer","En plazo")))))</f>
        <v/>
      </c>
      <c r="AB1389" s="50" t="n"/>
      <c r="AC1389" s="50" t="n"/>
    </row>
    <row r="1390" ht="16" customHeight="1">
      <c r="A1390" s="28">
        <f>IF($B1390="","","N-"&amp;TEXT(ROW()-3,"0000"))</f>
        <v/>
      </c>
      <c r="B1390" s="47" t="n"/>
      <c r="C1390" s="48" t="n"/>
      <c r="D1390" s="48" t="n"/>
      <c r="E1390" s="28">
        <f>IF($C1390="","",IF($D1390="",IF($C1390="Interna","Sin guía (interna)","FALTA GUÍA"),IF(COUNTIFS(ENVIOS!$A$4:$A$3003,$D1390)=0,"NO EXISTE",IF(COUNTIFS(ENVIOS!$A$4:$A$3003,$D1390)&gt;1,"DUPLICADA","OK"))))</f>
        <v/>
      </c>
      <c r="F1390" s="28">
        <f>IF($D1390="","",IFERROR(INDEX(ENVIOS!$B$4:$B$3003,MATCH($D1390,ENVIOS!$A$4:$A$3003,0)),"—"))</f>
        <v/>
      </c>
      <c r="G1390" s="23">
        <f>IF($D1390="","",IFERROR(INDEX(ENVIOS!$D$4:$D$3003,MATCH($D1390,ENVIOS!$A$4:$A$3003,0)),"—"))</f>
        <v/>
      </c>
      <c r="H1390" s="23">
        <f>IF($D1390="","",IFERROR(INDEX(ENVIOS!$E$4:$E$3003,MATCH($D1390,ENVIOS!$A$4:$A$3003,0)),"—"))</f>
        <v/>
      </c>
      <c r="I1390" s="23">
        <f>IF($D1390="","",IFERROR(INDEX(ENVIOS!$F$4:$F$3003,MATCH($D1390,ENVIOS!$A$4:$A$3003,0)),"—"))</f>
        <v/>
      </c>
      <c r="J1390" s="23">
        <f>IF($D1390="","",IFERROR(INDEX(ENVIOS!$G$4:$G$3003,MATCH($D1390,ENVIOS!$A$4:$A$3003,0)),"—"))</f>
        <v/>
      </c>
      <c r="K1390" s="28">
        <f>IF($D1390="","",IFERROR(INDEX(ENVIOS!$H$4:$H$3003,MATCH($D1390,ENVIOS!$A$4:$A$3003,0)),"—"))</f>
        <v/>
      </c>
      <c r="L1390" s="49">
        <f>IF($D1390="","",IFERROR(INDEX(ENVIOS!$C$4:$C$3003,MATCH($D1390,ENVIOS!$A$4:$A$3003,0)),""))</f>
        <v/>
      </c>
      <c r="M1390" s="50" t="n"/>
      <c r="N1390" s="28">
        <f>IF($M1390="","",IFERROR(INDEX(CONFIG!$C$4:$C$63,MATCH($M1390,CONFIG!$A$4:$A$63,0)),"Media"))</f>
        <v/>
      </c>
      <c r="O1390" s="28">
        <f>IF($M1390="","",IF($C1390="Interna","NO",IFERROR(INDEX(CONFIG!$E$4:$E$63,MATCH($M1390,CONFIG!$A$4:$A$63,0)),"NO")))</f>
        <v/>
      </c>
      <c r="P1390" s="50" t="n"/>
      <c r="Q1390" s="50" t="n"/>
      <c r="R1390" s="28">
        <f>IF($Q1390="","",IFERROR(INDEX(CONFIG!$H$4:$H$63,MATCH($Q1390,CONFIG!$G$4:$G$63,0)),"Por definir"))</f>
        <v/>
      </c>
      <c r="S1390" s="28">
        <f>IF($Q1390="","",IFERROR(INDEX(CONFIG!$I$4:$I$63,MATCH($Q1390,CONFIG!$G$4:$G$63,0)),"Por definir"))</f>
        <v/>
      </c>
      <c r="T1390" s="51" t="n"/>
      <c r="U1390" s="52" t="n"/>
      <c r="V1390" s="50" t="n"/>
      <c r="W1390" s="50" t="n"/>
      <c r="X1390" s="49">
        <f>IF(OR($B1390="",$M1390=""),"",WORKDAY($B1390,IFERROR(INDEX(CONFIG!$D$4:$D$63,MATCH($M1390,CONFIG!$A$4:$A$63,0)),3)))</f>
        <v/>
      </c>
      <c r="Y1390" s="47" t="n"/>
      <c r="Z1390" s="24">
        <f>IF($B1390="","",IF($Y1390&lt;&gt;"",$Y1390-$B1390,TODAY()-$B1390))</f>
        <v/>
      </c>
      <c r="AA1390" s="28">
        <f>IF($B1390="","",IF(IFERROR(INDEX(CONFIG!$L$4:$L$63,MATCH($V1390,CONFIG!$K$4:$K$63,0)),"NO")="SÍ",IF(OR($Y1390="",$X1390=""),"Resuelta",IF($Y1390&gt;$X1390,"Resuelta tarde","Resuelta a tiempo")),IF($X1390="","Sin clasificar",IF(TODAY()&gt;$X1390,"Vencida",IF(TODAY()&gt;=$X1390-1,"Por vencer","En plazo")))))</f>
        <v/>
      </c>
      <c r="AB1390" s="50" t="n"/>
      <c r="AC1390" s="50" t="n"/>
    </row>
    <row r="1391" ht="16" customHeight="1">
      <c r="A1391" s="28">
        <f>IF($B1391="","","N-"&amp;TEXT(ROW()-3,"0000"))</f>
        <v/>
      </c>
      <c r="B1391" s="47" t="n"/>
      <c r="C1391" s="48" t="n"/>
      <c r="D1391" s="48" t="n"/>
      <c r="E1391" s="28">
        <f>IF($C1391="","",IF($D1391="",IF($C1391="Interna","Sin guía (interna)","FALTA GUÍA"),IF(COUNTIFS(ENVIOS!$A$4:$A$3003,$D1391)=0,"NO EXISTE",IF(COUNTIFS(ENVIOS!$A$4:$A$3003,$D1391)&gt;1,"DUPLICADA","OK"))))</f>
        <v/>
      </c>
      <c r="F1391" s="28">
        <f>IF($D1391="","",IFERROR(INDEX(ENVIOS!$B$4:$B$3003,MATCH($D1391,ENVIOS!$A$4:$A$3003,0)),"—"))</f>
        <v/>
      </c>
      <c r="G1391" s="23">
        <f>IF($D1391="","",IFERROR(INDEX(ENVIOS!$D$4:$D$3003,MATCH($D1391,ENVIOS!$A$4:$A$3003,0)),"—"))</f>
        <v/>
      </c>
      <c r="H1391" s="23">
        <f>IF($D1391="","",IFERROR(INDEX(ENVIOS!$E$4:$E$3003,MATCH($D1391,ENVIOS!$A$4:$A$3003,0)),"—"))</f>
        <v/>
      </c>
      <c r="I1391" s="23">
        <f>IF($D1391="","",IFERROR(INDEX(ENVIOS!$F$4:$F$3003,MATCH($D1391,ENVIOS!$A$4:$A$3003,0)),"—"))</f>
        <v/>
      </c>
      <c r="J1391" s="23">
        <f>IF($D1391="","",IFERROR(INDEX(ENVIOS!$G$4:$G$3003,MATCH($D1391,ENVIOS!$A$4:$A$3003,0)),"—"))</f>
        <v/>
      </c>
      <c r="K1391" s="28">
        <f>IF($D1391="","",IFERROR(INDEX(ENVIOS!$H$4:$H$3003,MATCH($D1391,ENVIOS!$A$4:$A$3003,0)),"—"))</f>
        <v/>
      </c>
      <c r="L1391" s="49">
        <f>IF($D1391="","",IFERROR(INDEX(ENVIOS!$C$4:$C$3003,MATCH($D1391,ENVIOS!$A$4:$A$3003,0)),""))</f>
        <v/>
      </c>
      <c r="M1391" s="50" t="n"/>
      <c r="N1391" s="28">
        <f>IF($M1391="","",IFERROR(INDEX(CONFIG!$C$4:$C$63,MATCH($M1391,CONFIG!$A$4:$A$63,0)),"Media"))</f>
        <v/>
      </c>
      <c r="O1391" s="28">
        <f>IF($M1391="","",IF($C1391="Interna","NO",IFERROR(INDEX(CONFIG!$E$4:$E$63,MATCH($M1391,CONFIG!$A$4:$A$63,0)),"NO")))</f>
        <v/>
      </c>
      <c r="P1391" s="50" t="n"/>
      <c r="Q1391" s="50" t="n"/>
      <c r="R1391" s="28">
        <f>IF($Q1391="","",IFERROR(INDEX(CONFIG!$H$4:$H$63,MATCH($Q1391,CONFIG!$G$4:$G$63,0)),"Por definir"))</f>
        <v/>
      </c>
      <c r="S1391" s="28">
        <f>IF($Q1391="","",IFERROR(INDEX(CONFIG!$I$4:$I$63,MATCH($Q1391,CONFIG!$G$4:$G$63,0)),"Por definir"))</f>
        <v/>
      </c>
      <c r="T1391" s="51" t="n"/>
      <c r="U1391" s="52" t="n"/>
      <c r="V1391" s="50" t="n"/>
      <c r="W1391" s="50" t="n"/>
      <c r="X1391" s="49">
        <f>IF(OR($B1391="",$M1391=""),"",WORKDAY($B1391,IFERROR(INDEX(CONFIG!$D$4:$D$63,MATCH($M1391,CONFIG!$A$4:$A$63,0)),3)))</f>
        <v/>
      </c>
      <c r="Y1391" s="47" t="n"/>
      <c r="Z1391" s="24">
        <f>IF($B1391="","",IF($Y1391&lt;&gt;"",$Y1391-$B1391,TODAY()-$B1391))</f>
        <v/>
      </c>
      <c r="AA1391" s="28">
        <f>IF($B1391="","",IF(IFERROR(INDEX(CONFIG!$L$4:$L$63,MATCH($V1391,CONFIG!$K$4:$K$63,0)),"NO")="SÍ",IF(OR($Y1391="",$X1391=""),"Resuelta",IF($Y1391&gt;$X1391,"Resuelta tarde","Resuelta a tiempo")),IF($X1391="","Sin clasificar",IF(TODAY()&gt;$X1391,"Vencida",IF(TODAY()&gt;=$X1391-1,"Por vencer","En plazo")))))</f>
        <v/>
      </c>
      <c r="AB1391" s="50" t="n"/>
      <c r="AC1391" s="50" t="n"/>
    </row>
    <row r="1392" ht="16" customHeight="1">
      <c r="A1392" s="28">
        <f>IF($B1392="","","N-"&amp;TEXT(ROW()-3,"0000"))</f>
        <v/>
      </c>
      <c r="B1392" s="47" t="n"/>
      <c r="C1392" s="48" t="n"/>
      <c r="D1392" s="48" t="n"/>
      <c r="E1392" s="28">
        <f>IF($C1392="","",IF($D1392="",IF($C1392="Interna","Sin guía (interna)","FALTA GUÍA"),IF(COUNTIFS(ENVIOS!$A$4:$A$3003,$D1392)=0,"NO EXISTE",IF(COUNTIFS(ENVIOS!$A$4:$A$3003,$D1392)&gt;1,"DUPLICADA","OK"))))</f>
        <v/>
      </c>
      <c r="F1392" s="28">
        <f>IF($D1392="","",IFERROR(INDEX(ENVIOS!$B$4:$B$3003,MATCH($D1392,ENVIOS!$A$4:$A$3003,0)),"—"))</f>
        <v/>
      </c>
      <c r="G1392" s="23">
        <f>IF($D1392="","",IFERROR(INDEX(ENVIOS!$D$4:$D$3003,MATCH($D1392,ENVIOS!$A$4:$A$3003,0)),"—"))</f>
        <v/>
      </c>
      <c r="H1392" s="23">
        <f>IF($D1392="","",IFERROR(INDEX(ENVIOS!$E$4:$E$3003,MATCH($D1392,ENVIOS!$A$4:$A$3003,0)),"—"))</f>
        <v/>
      </c>
      <c r="I1392" s="23">
        <f>IF($D1392="","",IFERROR(INDEX(ENVIOS!$F$4:$F$3003,MATCH($D1392,ENVIOS!$A$4:$A$3003,0)),"—"))</f>
        <v/>
      </c>
      <c r="J1392" s="23">
        <f>IF($D1392="","",IFERROR(INDEX(ENVIOS!$G$4:$G$3003,MATCH($D1392,ENVIOS!$A$4:$A$3003,0)),"—"))</f>
        <v/>
      </c>
      <c r="K1392" s="28">
        <f>IF($D1392="","",IFERROR(INDEX(ENVIOS!$H$4:$H$3003,MATCH($D1392,ENVIOS!$A$4:$A$3003,0)),"—"))</f>
        <v/>
      </c>
      <c r="L1392" s="49">
        <f>IF($D1392="","",IFERROR(INDEX(ENVIOS!$C$4:$C$3003,MATCH($D1392,ENVIOS!$A$4:$A$3003,0)),""))</f>
        <v/>
      </c>
      <c r="M1392" s="50" t="n"/>
      <c r="N1392" s="28">
        <f>IF($M1392="","",IFERROR(INDEX(CONFIG!$C$4:$C$63,MATCH($M1392,CONFIG!$A$4:$A$63,0)),"Media"))</f>
        <v/>
      </c>
      <c r="O1392" s="28">
        <f>IF($M1392="","",IF($C1392="Interna","NO",IFERROR(INDEX(CONFIG!$E$4:$E$63,MATCH($M1392,CONFIG!$A$4:$A$63,0)),"NO")))</f>
        <v/>
      </c>
      <c r="P1392" s="50" t="n"/>
      <c r="Q1392" s="50" t="n"/>
      <c r="R1392" s="28">
        <f>IF($Q1392="","",IFERROR(INDEX(CONFIG!$H$4:$H$63,MATCH($Q1392,CONFIG!$G$4:$G$63,0)),"Por definir"))</f>
        <v/>
      </c>
      <c r="S1392" s="28">
        <f>IF($Q1392="","",IFERROR(INDEX(CONFIG!$I$4:$I$63,MATCH($Q1392,CONFIG!$G$4:$G$63,0)),"Por definir"))</f>
        <v/>
      </c>
      <c r="T1392" s="51" t="n"/>
      <c r="U1392" s="52" t="n"/>
      <c r="V1392" s="50" t="n"/>
      <c r="W1392" s="50" t="n"/>
      <c r="X1392" s="49">
        <f>IF(OR($B1392="",$M1392=""),"",WORKDAY($B1392,IFERROR(INDEX(CONFIG!$D$4:$D$63,MATCH($M1392,CONFIG!$A$4:$A$63,0)),3)))</f>
        <v/>
      </c>
      <c r="Y1392" s="47" t="n"/>
      <c r="Z1392" s="24">
        <f>IF($B1392="","",IF($Y1392&lt;&gt;"",$Y1392-$B1392,TODAY()-$B1392))</f>
        <v/>
      </c>
      <c r="AA1392" s="28">
        <f>IF($B1392="","",IF(IFERROR(INDEX(CONFIG!$L$4:$L$63,MATCH($V1392,CONFIG!$K$4:$K$63,0)),"NO")="SÍ",IF(OR($Y1392="",$X1392=""),"Resuelta",IF($Y1392&gt;$X1392,"Resuelta tarde","Resuelta a tiempo")),IF($X1392="","Sin clasificar",IF(TODAY()&gt;$X1392,"Vencida",IF(TODAY()&gt;=$X1392-1,"Por vencer","En plazo")))))</f>
        <v/>
      </c>
      <c r="AB1392" s="50" t="n"/>
      <c r="AC1392" s="50" t="n"/>
    </row>
    <row r="1393" ht="16" customHeight="1">
      <c r="A1393" s="28">
        <f>IF($B1393="","","N-"&amp;TEXT(ROW()-3,"0000"))</f>
        <v/>
      </c>
      <c r="B1393" s="47" t="n"/>
      <c r="C1393" s="48" t="n"/>
      <c r="D1393" s="48" t="n"/>
      <c r="E1393" s="28">
        <f>IF($C1393="","",IF($D1393="",IF($C1393="Interna","Sin guía (interna)","FALTA GUÍA"),IF(COUNTIFS(ENVIOS!$A$4:$A$3003,$D1393)=0,"NO EXISTE",IF(COUNTIFS(ENVIOS!$A$4:$A$3003,$D1393)&gt;1,"DUPLICADA","OK"))))</f>
        <v/>
      </c>
      <c r="F1393" s="28">
        <f>IF($D1393="","",IFERROR(INDEX(ENVIOS!$B$4:$B$3003,MATCH($D1393,ENVIOS!$A$4:$A$3003,0)),"—"))</f>
        <v/>
      </c>
      <c r="G1393" s="23">
        <f>IF($D1393="","",IFERROR(INDEX(ENVIOS!$D$4:$D$3003,MATCH($D1393,ENVIOS!$A$4:$A$3003,0)),"—"))</f>
        <v/>
      </c>
      <c r="H1393" s="23">
        <f>IF($D1393="","",IFERROR(INDEX(ENVIOS!$E$4:$E$3003,MATCH($D1393,ENVIOS!$A$4:$A$3003,0)),"—"))</f>
        <v/>
      </c>
      <c r="I1393" s="23">
        <f>IF($D1393="","",IFERROR(INDEX(ENVIOS!$F$4:$F$3003,MATCH($D1393,ENVIOS!$A$4:$A$3003,0)),"—"))</f>
        <v/>
      </c>
      <c r="J1393" s="23">
        <f>IF($D1393="","",IFERROR(INDEX(ENVIOS!$G$4:$G$3003,MATCH($D1393,ENVIOS!$A$4:$A$3003,0)),"—"))</f>
        <v/>
      </c>
      <c r="K1393" s="28">
        <f>IF($D1393="","",IFERROR(INDEX(ENVIOS!$H$4:$H$3003,MATCH($D1393,ENVIOS!$A$4:$A$3003,0)),"—"))</f>
        <v/>
      </c>
      <c r="L1393" s="49">
        <f>IF($D1393="","",IFERROR(INDEX(ENVIOS!$C$4:$C$3003,MATCH($D1393,ENVIOS!$A$4:$A$3003,0)),""))</f>
        <v/>
      </c>
      <c r="M1393" s="50" t="n"/>
      <c r="N1393" s="28">
        <f>IF($M1393="","",IFERROR(INDEX(CONFIG!$C$4:$C$63,MATCH($M1393,CONFIG!$A$4:$A$63,0)),"Media"))</f>
        <v/>
      </c>
      <c r="O1393" s="28">
        <f>IF($M1393="","",IF($C1393="Interna","NO",IFERROR(INDEX(CONFIG!$E$4:$E$63,MATCH($M1393,CONFIG!$A$4:$A$63,0)),"NO")))</f>
        <v/>
      </c>
      <c r="P1393" s="50" t="n"/>
      <c r="Q1393" s="50" t="n"/>
      <c r="R1393" s="28">
        <f>IF($Q1393="","",IFERROR(INDEX(CONFIG!$H$4:$H$63,MATCH($Q1393,CONFIG!$G$4:$G$63,0)),"Por definir"))</f>
        <v/>
      </c>
      <c r="S1393" s="28">
        <f>IF($Q1393="","",IFERROR(INDEX(CONFIG!$I$4:$I$63,MATCH($Q1393,CONFIG!$G$4:$G$63,0)),"Por definir"))</f>
        <v/>
      </c>
      <c r="T1393" s="51" t="n"/>
      <c r="U1393" s="52" t="n"/>
      <c r="V1393" s="50" t="n"/>
      <c r="W1393" s="50" t="n"/>
      <c r="X1393" s="49">
        <f>IF(OR($B1393="",$M1393=""),"",WORKDAY($B1393,IFERROR(INDEX(CONFIG!$D$4:$D$63,MATCH($M1393,CONFIG!$A$4:$A$63,0)),3)))</f>
        <v/>
      </c>
      <c r="Y1393" s="47" t="n"/>
      <c r="Z1393" s="24">
        <f>IF($B1393="","",IF($Y1393&lt;&gt;"",$Y1393-$B1393,TODAY()-$B1393))</f>
        <v/>
      </c>
      <c r="AA1393" s="28">
        <f>IF($B1393="","",IF(IFERROR(INDEX(CONFIG!$L$4:$L$63,MATCH($V1393,CONFIG!$K$4:$K$63,0)),"NO")="SÍ",IF(OR($Y1393="",$X1393=""),"Resuelta",IF($Y1393&gt;$X1393,"Resuelta tarde","Resuelta a tiempo")),IF($X1393="","Sin clasificar",IF(TODAY()&gt;$X1393,"Vencida",IF(TODAY()&gt;=$X1393-1,"Por vencer","En plazo")))))</f>
        <v/>
      </c>
      <c r="AB1393" s="50" t="n"/>
      <c r="AC1393" s="50" t="n"/>
    </row>
    <row r="1394" ht="16" customHeight="1">
      <c r="A1394" s="28">
        <f>IF($B1394="","","N-"&amp;TEXT(ROW()-3,"0000"))</f>
        <v/>
      </c>
      <c r="B1394" s="47" t="n"/>
      <c r="C1394" s="48" t="n"/>
      <c r="D1394" s="48" t="n"/>
      <c r="E1394" s="28">
        <f>IF($C1394="","",IF($D1394="",IF($C1394="Interna","Sin guía (interna)","FALTA GUÍA"),IF(COUNTIFS(ENVIOS!$A$4:$A$3003,$D1394)=0,"NO EXISTE",IF(COUNTIFS(ENVIOS!$A$4:$A$3003,$D1394)&gt;1,"DUPLICADA","OK"))))</f>
        <v/>
      </c>
      <c r="F1394" s="28">
        <f>IF($D1394="","",IFERROR(INDEX(ENVIOS!$B$4:$B$3003,MATCH($D1394,ENVIOS!$A$4:$A$3003,0)),"—"))</f>
        <v/>
      </c>
      <c r="G1394" s="23">
        <f>IF($D1394="","",IFERROR(INDEX(ENVIOS!$D$4:$D$3003,MATCH($D1394,ENVIOS!$A$4:$A$3003,0)),"—"))</f>
        <v/>
      </c>
      <c r="H1394" s="23">
        <f>IF($D1394="","",IFERROR(INDEX(ENVIOS!$E$4:$E$3003,MATCH($D1394,ENVIOS!$A$4:$A$3003,0)),"—"))</f>
        <v/>
      </c>
      <c r="I1394" s="23">
        <f>IF($D1394="","",IFERROR(INDEX(ENVIOS!$F$4:$F$3003,MATCH($D1394,ENVIOS!$A$4:$A$3003,0)),"—"))</f>
        <v/>
      </c>
      <c r="J1394" s="23">
        <f>IF($D1394="","",IFERROR(INDEX(ENVIOS!$G$4:$G$3003,MATCH($D1394,ENVIOS!$A$4:$A$3003,0)),"—"))</f>
        <v/>
      </c>
      <c r="K1394" s="28">
        <f>IF($D1394="","",IFERROR(INDEX(ENVIOS!$H$4:$H$3003,MATCH($D1394,ENVIOS!$A$4:$A$3003,0)),"—"))</f>
        <v/>
      </c>
      <c r="L1394" s="49">
        <f>IF($D1394="","",IFERROR(INDEX(ENVIOS!$C$4:$C$3003,MATCH($D1394,ENVIOS!$A$4:$A$3003,0)),""))</f>
        <v/>
      </c>
      <c r="M1394" s="50" t="n"/>
      <c r="N1394" s="28">
        <f>IF($M1394="","",IFERROR(INDEX(CONFIG!$C$4:$C$63,MATCH($M1394,CONFIG!$A$4:$A$63,0)),"Media"))</f>
        <v/>
      </c>
      <c r="O1394" s="28">
        <f>IF($M1394="","",IF($C1394="Interna","NO",IFERROR(INDEX(CONFIG!$E$4:$E$63,MATCH($M1394,CONFIG!$A$4:$A$63,0)),"NO")))</f>
        <v/>
      </c>
      <c r="P1394" s="50" t="n"/>
      <c r="Q1394" s="50" t="n"/>
      <c r="R1394" s="28">
        <f>IF($Q1394="","",IFERROR(INDEX(CONFIG!$H$4:$H$63,MATCH($Q1394,CONFIG!$G$4:$G$63,0)),"Por definir"))</f>
        <v/>
      </c>
      <c r="S1394" s="28">
        <f>IF($Q1394="","",IFERROR(INDEX(CONFIG!$I$4:$I$63,MATCH($Q1394,CONFIG!$G$4:$G$63,0)),"Por definir"))</f>
        <v/>
      </c>
      <c r="T1394" s="51" t="n"/>
      <c r="U1394" s="52" t="n"/>
      <c r="V1394" s="50" t="n"/>
      <c r="W1394" s="50" t="n"/>
      <c r="X1394" s="49">
        <f>IF(OR($B1394="",$M1394=""),"",WORKDAY($B1394,IFERROR(INDEX(CONFIG!$D$4:$D$63,MATCH($M1394,CONFIG!$A$4:$A$63,0)),3)))</f>
        <v/>
      </c>
      <c r="Y1394" s="47" t="n"/>
      <c r="Z1394" s="24">
        <f>IF($B1394="","",IF($Y1394&lt;&gt;"",$Y1394-$B1394,TODAY()-$B1394))</f>
        <v/>
      </c>
      <c r="AA1394" s="28">
        <f>IF($B1394="","",IF(IFERROR(INDEX(CONFIG!$L$4:$L$63,MATCH($V1394,CONFIG!$K$4:$K$63,0)),"NO")="SÍ",IF(OR($Y1394="",$X1394=""),"Resuelta",IF($Y1394&gt;$X1394,"Resuelta tarde","Resuelta a tiempo")),IF($X1394="","Sin clasificar",IF(TODAY()&gt;$X1394,"Vencida",IF(TODAY()&gt;=$X1394-1,"Por vencer","En plazo")))))</f>
        <v/>
      </c>
      <c r="AB1394" s="50" t="n"/>
      <c r="AC1394" s="50" t="n"/>
    </row>
    <row r="1395" ht="16" customHeight="1">
      <c r="A1395" s="28">
        <f>IF($B1395="","","N-"&amp;TEXT(ROW()-3,"0000"))</f>
        <v/>
      </c>
      <c r="B1395" s="47" t="n"/>
      <c r="C1395" s="48" t="n"/>
      <c r="D1395" s="48" t="n"/>
      <c r="E1395" s="28">
        <f>IF($C1395="","",IF($D1395="",IF($C1395="Interna","Sin guía (interna)","FALTA GUÍA"),IF(COUNTIFS(ENVIOS!$A$4:$A$3003,$D1395)=0,"NO EXISTE",IF(COUNTIFS(ENVIOS!$A$4:$A$3003,$D1395)&gt;1,"DUPLICADA","OK"))))</f>
        <v/>
      </c>
      <c r="F1395" s="28">
        <f>IF($D1395="","",IFERROR(INDEX(ENVIOS!$B$4:$B$3003,MATCH($D1395,ENVIOS!$A$4:$A$3003,0)),"—"))</f>
        <v/>
      </c>
      <c r="G1395" s="23">
        <f>IF($D1395="","",IFERROR(INDEX(ENVIOS!$D$4:$D$3003,MATCH($D1395,ENVIOS!$A$4:$A$3003,0)),"—"))</f>
        <v/>
      </c>
      <c r="H1395" s="23">
        <f>IF($D1395="","",IFERROR(INDEX(ENVIOS!$E$4:$E$3003,MATCH($D1395,ENVIOS!$A$4:$A$3003,0)),"—"))</f>
        <v/>
      </c>
      <c r="I1395" s="23">
        <f>IF($D1395="","",IFERROR(INDEX(ENVIOS!$F$4:$F$3003,MATCH($D1395,ENVIOS!$A$4:$A$3003,0)),"—"))</f>
        <v/>
      </c>
      <c r="J1395" s="23">
        <f>IF($D1395="","",IFERROR(INDEX(ENVIOS!$G$4:$G$3003,MATCH($D1395,ENVIOS!$A$4:$A$3003,0)),"—"))</f>
        <v/>
      </c>
      <c r="K1395" s="28">
        <f>IF($D1395="","",IFERROR(INDEX(ENVIOS!$H$4:$H$3003,MATCH($D1395,ENVIOS!$A$4:$A$3003,0)),"—"))</f>
        <v/>
      </c>
      <c r="L1395" s="49">
        <f>IF($D1395="","",IFERROR(INDEX(ENVIOS!$C$4:$C$3003,MATCH($D1395,ENVIOS!$A$4:$A$3003,0)),""))</f>
        <v/>
      </c>
      <c r="M1395" s="50" t="n"/>
      <c r="N1395" s="28">
        <f>IF($M1395="","",IFERROR(INDEX(CONFIG!$C$4:$C$63,MATCH($M1395,CONFIG!$A$4:$A$63,0)),"Media"))</f>
        <v/>
      </c>
      <c r="O1395" s="28">
        <f>IF($M1395="","",IF($C1395="Interna","NO",IFERROR(INDEX(CONFIG!$E$4:$E$63,MATCH($M1395,CONFIG!$A$4:$A$63,0)),"NO")))</f>
        <v/>
      </c>
      <c r="P1395" s="50" t="n"/>
      <c r="Q1395" s="50" t="n"/>
      <c r="R1395" s="28">
        <f>IF($Q1395="","",IFERROR(INDEX(CONFIG!$H$4:$H$63,MATCH($Q1395,CONFIG!$G$4:$G$63,0)),"Por definir"))</f>
        <v/>
      </c>
      <c r="S1395" s="28">
        <f>IF($Q1395="","",IFERROR(INDEX(CONFIG!$I$4:$I$63,MATCH($Q1395,CONFIG!$G$4:$G$63,0)),"Por definir"))</f>
        <v/>
      </c>
      <c r="T1395" s="51" t="n"/>
      <c r="U1395" s="52" t="n"/>
      <c r="V1395" s="50" t="n"/>
      <c r="W1395" s="50" t="n"/>
      <c r="X1395" s="49">
        <f>IF(OR($B1395="",$M1395=""),"",WORKDAY($B1395,IFERROR(INDEX(CONFIG!$D$4:$D$63,MATCH($M1395,CONFIG!$A$4:$A$63,0)),3)))</f>
        <v/>
      </c>
      <c r="Y1395" s="47" t="n"/>
      <c r="Z1395" s="24">
        <f>IF($B1395="","",IF($Y1395&lt;&gt;"",$Y1395-$B1395,TODAY()-$B1395))</f>
        <v/>
      </c>
      <c r="AA1395" s="28">
        <f>IF($B1395="","",IF(IFERROR(INDEX(CONFIG!$L$4:$L$63,MATCH($V1395,CONFIG!$K$4:$K$63,0)),"NO")="SÍ",IF(OR($Y1395="",$X1395=""),"Resuelta",IF($Y1395&gt;$X1395,"Resuelta tarde","Resuelta a tiempo")),IF($X1395="","Sin clasificar",IF(TODAY()&gt;$X1395,"Vencida",IF(TODAY()&gt;=$X1395-1,"Por vencer","En plazo")))))</f>
        <v/>
      </c>
      <c r="AB1395" s="50" t="n"/>
      <c r="AC1395" s="50" t="n"/>
    </row>
    <row r="1396" ht="16" customHeight="1">
      <c r="A1396" s="28">
        <f>IF($B1396="","","N-"&amp;TEXT(ROW()-3,"0000"))</f>
        <v/>
      </c>
      <c r="B1396" s="47" t="n"/>
      <c r="C1396" s="48" t="n"/>
      <c r="D1396" s="48" t="n"/>
      <c r="E1396" s="28">
        <f>IF($C1396="","",IF($D1396="",IF($C1396="Interna","Sin guía (interna)","FALTA GUÍA"),IF(COUNTIFS(ENVIOS!$A$4:$A$3003,$D1396)=0,"NO EXISTE",IF(COUNTIFS(ENVIOS!$A$4:$A$3003,$D1396)&gt;1,"DUPLICADA","OK"))))</f>
        <v/>
      </c>
      <c r="F1396" s="28">
        <f>IF($D1396="","",IFERROR(INDEX(ENVIOS!$B$4:$B$3003,MATCH($D1396,ENVIOS!$A$4:$A$3003,0)),"—"))</f>
        <v/>
      </c>
      <c r="G1396" s="23">
        <f>IF($D1396="","",IFERROR(INDEX(ENVIOS!$D$4:$D$3003,MATCH($D1396,ENVIOS!$A$4:$A$3003,0)),"—"))</f>
        <v/>
      </c>
      <c r="H1396" s="23">
        <f>IF($D1396="","",IFERROR(INDEX(ENVIOS!$E$4:$E$3003,MATCH($D1396,ENVIOS!$A$4:$A$3003,0)),"—"))</f>
        <v/>
      </c>
      <c r="I1396" s="23">
        <f>IF($D1396="","",IFERROR(INDEX(ENVIOS!$F$4:$F$3003,MATCH($D1396,ENVIOS!$A$4:$A$3003,0)),"—"))</f>
        <v/>
      </c>
      <c r="J1396" s="23">
        <f>IF($D1396="","",IFERROR(INDEX(ENVIOS!$G$4:$G$3003,MATCH($D1396,ENVIOS!$A$4:$A$3003,0)),"—"))</f>
        <v/>
      </c>
      <c r="K1396" s="28">
        <f>IF($D1396="","",IFERROR(INDEX(ENVIOS!$H$4:$H$3003,MATCH($D1396,ENVIOS!$A$4:$A$3003,0)),"—"))</f>
        <v/>
      </c>
      <c r="L1396" s="49">
        <f>IF($D1396="","",IFERROR(INDEX(ENVIOS!$C$4:$C$3003,MATCH($D1396,ENVIOS!$A$4:$A$3003,0)),""))</f>
        <v/>
      </c>
      <c r="M1396" s="50" t="n"/>
      <c r="N1396" s="28">
        <f>IF($M1396="","",IFERROR(INDEX(CONFIG!$C$4:$C$63,MATCH($M1396,CONFIG!$A$4:$A$63,0)),"Media"))</f>
        <v/>
      </c>
      <c r="O1396" s="28">
        <f>IF($M1396="","",IF($C1396="Interna","NO",IFERROR(INDEX(CONFIG!$E$4:$E$63,MATCH($M1396,CONFIG!$A$4:$A$63,0)),"NO")))</f>
        <v/>
      </c>
      <c r="P1396" s="50" t="n"/>
      <c r="Q1396" s="50" t="n"/>
      <c r="R1396" s="28">
        <f>IF($Q1396="","",IFERROR(INDEX(CONFIG!$H$4:$H$63,MATCH($Q1396,CONFIG!$G$4:$G$63,0)),"Por definir"))</f>
        <v/>
      </c>
      <c r="S1396" s="28">
        <f>IF($Q1396="","",IFERROR(INDEX(CONFIG!$I$4:$I$63,MATCH($Q1396,CONFIG!$G$4:$G$63,0)),"Por definir"))</f>
        <v/>
      </c>
      <c r="T1396" s="51" t="n"/>
      <c r="U1396" s="52" t="n"/>
      <c r="V1396" s="50" t="n"/>
      <c r="W1396" s="50" t="n"/>
      <c r="X1396" s="49">
        <f>IF(OR($B1396="",$M1396=""),"",WORKDAY($B1396,IFERROR(INDEX(CONFIG!$D$4:$D$63,MATCH($M1396,CONFIG!$A$4:$A$63,0)),3)))</f>
        <v/>
      </c>
      <c r="Y1396" s="47" t="n"/>
      <c r="Z1396" s="24">
        <f>IF($B1396="","",IF($Y1396&lt;&gt;"",$Y1396-$B1396,TODAY()-$B1396))</f>
        <v/>
      </c>
      <c r="AA1396" s="28">
        <f>IF($B1396="","",IF(IFERROR(INDEX(CONFIG!$L$4:$L$63,MATCH($V1396,CONFIG!$K$4:$K$63,0)),"NO")="SÍ",IF(OR($Y1396="",$X1396=""),"Resuelta",IF($Y1396&gt;$X1396,"Resuelta tarde","Resuelta a tiempo")),IF($X1396="","Sin clasificar",IF(TODAY()&gt;$X1396,"Vencida",IF(TODAY()&gt;=$X1396-1,"Por vencer","En plazo")))))</f>
        <v/>
      </c>
      <c r="AB1396" s="50" t="n"/>
      <c r="AC1396" s="50" t="n"/>
    </row>
    <row r="1397" ht="16" customHeight="1">
      <c r="A1397" s="28">
        <f>IF($B1397="","","N-"&amp;TEXT(ROW()-3,"0000"))</f>
        <v/>
      </c>
      <c r="B1397" s="47" t="n"/>
      <c r="C1397" s="48" t="n"/>
      <c r="D1397" s="48" t="n"/>
      <c r="E1397" s="28">
        <f>IF($C1397="","",IF($D1397="",IF($C1397="Interna","Sin guía (interna)","FALTA GUÍA"),IF(COUNTIFS(ENVIOS!$A$4:$A$3003,$D1397)=0,"NO EXISTE",IF(COUNTIFS(ENVIOS!$A$4:$A$3003,$D1397)&gt;1,"DUPLICADA","OK"))))</f>
        <v/>
      </c>
      <c r="F1397" s="28">
        <f>IF($D1397="","",IFERROR(INDEX(ENVIOS!$B$4:$B$3003,MATCH($D1397,ENVIOS!$A$4:$A$3003,0)),"—"))</f>
        <v/>
      </c>
      <c r="G1397" s="23">
        <f>IF($D1397="","",IFERROR(INDEX(ENVIOS!$D$4:$D$3003,MATCH($D1397,ENVIOS!$A$4:$A$3003,0)),"—"))</f>
        <v/>
      </c>
      <c r="H1397" s="23">
        <f>IF($D1397="","",IFERROR(INDEX(ENVIOS!$E$4:$E$3003,MATCH($D1397,ENVIOS!$A$4:$A$3003,0)),"—"))</f>
        <v/>
      </c>
      <c r="I1397" s="23">
        <f>IF($D1397="","",IFERROR(INDEX(ENVIOS!$F$4:$F$3003,MATCH($D1397,ENVIOS!$A$4:$A$3003,0)),"—"))</f>
        <v/>
      </c>
      <c r="J1397" s="23">
        <f>IF($D1397="","",IFERROR(INDEX(ENVIOS!$G$4:$G$3003,MATCH($D1397,ENVIOS!$A$4:$A$3003,0)),"—"))</f>
        <v/>
      </c>
      <c r="K1397" s="28">
        <f>IF($D1397="","",IFERROR(INDEX(ENVIOS!$H$4:$H$3003,MATCH($D1397,ENVIOS!$A$4:$A$3003,0)),"—"))</f>
        <v/>
      </c>
      <c r="L1397" s="49">
        <f>IF($D1397="","",IFERROR(INDEX(ENVIOS!$C$4:$C$3003,MATCH($D1397,ENVIOS!$A$4:$A$3003,0)),""))</f>
        <v/>
      </c>
      <c r="M1397" s="50" t="n"/>
      <c r="N1397" s="28">
        <f>IF($M1397="","",IFERROR(INDEX(CONFIG!$C$4:$C$63,MATCH($M1397,CONFIG!$A$4:$A$63,0)),"Media"))</f>
        <v/>
      </c>
      <c r="O1397" s="28">
        <f>IF($M1397="","",IF($C1397="Interna","NO",IFERROR(INDEX(CONFIG!$E$4:$E$63,MATCH($M1397,CONFIG!$A$4:$A$63,0)),"NO")))</f>
        <v/>
      </c>
      <c r="P1397" s="50" t="n"/>
      <c r="Q1397" s="50" t="n"/>
      <c r="R1397" s="28">
        <f>IF($Q1397="","",IFERROR(INDEX(CONFIG!$H$4:$H$63,MATCH($Q1397,CONFIG!$G$4:$G$63,0)),"Por definir"))</f>
        <v/>
      </c>
      <c r="S1397" s="28">
        <f>IF($Q1397="","",IFERROR(INDEX(CONFIG!$I$4:$I$63,MATCH($Q1397,CONFIG!$G$4:$G$63,0)),"Por definir"))</f>
        <v/>
      </c>
      <c r="T1397" s="51" t="n"/>
      <c r="U1397" s="52" t="n"/>
      <c r="V1397" s="50" t="n"/>
      <c r="W1397" s="50" t="n"/>
      <c r="X1397" s="49">
        <f>IF(OR($B1397="",$M1397=""),"",WORKDAY($B1397,IFERROR(INDEX(CONFIG!$D$4:$D$63,MATCH($M1397,CONFIG!$A$4:$A$63,0)),3)))</f>
        <v/>
      </c>
      <c r="Y1397" s="47" t="n"/>
      <c r="Z1397" s="24">
        <f>IF($B1397="","",IF($Y1397&lt;&gt;"",$Y1397-$B1397,TODAY()-$B1397))</f>
        <v/>
      </c>
      <c r="AA1397" s="28">
        <f>IF($B1397="","",IF(IFERROR(INDEX(CONFIG!$L$4:$L$63,MATCH($V1397,CONFIG!$K$4:$K$63,0)),"NO")="SÍ",IF(OR($Y1397="",$X1397=""),"Resuelta",IF($Y1397&gt;$X1397,"Resuelta tarde","Resuelta a tiempo")),IF($X1397="","Sin clasificar",IF(TODAY()&gt;$X1397,"Vencida",IF(TODAY()&gt;=$X1397-1,"Por vencer","En plazo")))))</f>
        <v/>
      </c>
      <c r="AB1397" s="50" t="n"/>
      <c r="AC1397" s="50" t="n"/>
    </row>
    <row r="1398" ht="16" customHeight="1">
      <c r="A1398" s="28">
        <f>IF($B1398="","","N-"&amp;TEXT(ROW()-3,"0000"))</f>
        <v/>
      </c>
      <c r="B1398" s="47" t="n"/>
      <c r="C1398" s="48" t="n"/>
      <c r="D1398" s="48" t="n"/>
      <c r="E1398" s="28">
        <f>IF($C1398="","",IF($D1398="",IF($C1398="Interna","Sin guía (interna)","FALTA GUÍA"),IF(COUNTIFS(ENVIOS!$A$4:$A$3003,$D1398)=0,"NO EXISTE",IF(COUNTIFS(ENVIOS!$A$4:$A$3003,$D1398)&gt;1,"DUPLICADA","OK"))))</f>
        <v/>
      </c>
      <c r="F1398" s="28">
        <f>IF($D1398="","",IFERROR(INDEX(ENVIOS!$B$4:$B$3003,MATCH($D1398,ENVIOS!$A$4:$A$3003,0)),"—"))</f>
        <v/>
      </c>
      <c r="G1398" s="23">
        <f>IF($D1398="","",IFERROR(INDEX(ENVIOS!$D$4:$D$3003,MATCH($D1398,ENVIOS!$A$4:$A$3003,0)),"—"))</f>
        <v/>
      </c>
      <c r="H1398" s="23">
        <f>IF($D1398="","",IFERROR(INDEX(ENVIOS!$E$4:$E$3003,MATCH($D1398,ENVIOS!$A$4:$A$3003,0)),"—"))</f>
        <v/>
      </c>
      <c r="I1398" s="23">
        <f>IF($D1398="","",IFERROR(INDEX(ENVIOS!$F$4:$F$3003,MATCH($D1398,ENVIOS!$A$4:$A$3003,0)),"—"))</f>
        <v/>
      </c>
      <c r="J1398" s="23">
        <f>IF($D1398="","",IFERROR(INDEX(ENVIOS!$G$4:$G$3003,MATCH($D1398,ENVIOS!$A$4:$A$3003,0)),"—"))</f>
        <v/>
      </c>
      <c r="K1398" s="28">
        <f>IF($D1398="","",IFERROR(INDEX(ENVIOS!$H$4:$H$3003,MATCH($D1398,ENVIOS!$A$4:$A$3003,0)),"—"))</f>
        <v/>
      </c>
      <c r="L1398" s="49">
        <f>IF($D1398="","",IFERROR(INDEX(ENVIOS!$C$4:$C$3003,MATCH($D1398,ENVIOS!$A$4:$A$3003,0)),""))</f>
        <v/>
      </c>
      <c r="M1398" s="50" t="n"/>
      <c r="N1398" s="28">
        <f>IF($M1398="","",IFERROR(INDEX(CONFIG!$C$4:$C$63,MATCH($M1398,CONFIG!$A$4:$A$63,0)),"Media"))</f>
        <v/>
      </c>
      <c r="O1398" s="28">
        <f>IF($M1398="","",IF($C1398="Interna","NO",IFERROR(INDEX(CONFIG!$E$4:$E$63,MATCH($M1398,CONFIG!$A$4:$A$63,0)),"NO")))</f>
        <v/>
      </c>
      <c r="P1398" s="50" t="n"/>
      <c r="Q1398" s="50" t="n"/>
      <c r="R1398" s="28">
        <f>IF($Q1398="","",IFERROR(INDEX(CONFIG!$H$4:$H$63,MATCH($Q1398,CONFIG!$G$4:$G$63,0)),"Por definir"))</f>
        <v/>
      </c>
      <c r="S1398" s="28">
        <f>IF($Q1398="","",IFERROR(INDEX(CONFIG!$I$4:$I$63,MATCH($Q1398,CONFIG!$G$4:$G$63,0)),"Por definir"))</f>
        <v/>
      </c>
      <c r="T1398" s="51" t="n"/>
      <c r="U1398" s="52" t="n"/>
      <c r="V1398" s="50" t="n"/>
      <c r="W1398" s="50" t="n"/>
      <c r="X1398" s="49">
        <f>IF(OR($B1398="",$M1398=""),"",WORKDAY($B1398,IFERROR(INDEX(CONFIG!$D$4:$D$63,MATCH($M1398,CONFIG!$A$4:$A$63,0)),3)))</f>
        <v/>
      </c>
      <c r="Y1398" s="47" t="n"/>
      <c r="Z1398" s="24">
        <f>IF($B1398="","",IF($Y1398&lt;&gt;"",$Y1398-$B1398,TODAY()-$B1398))</f>
        <v/>
      </c>
      <c r="AA1398" s="28">
        <f>IF($B1398="","",IF(IFERROR(INDEX(CONFIG!$L$4:$L$63,MATCH($V1398,CONFIG!$K$4:$K$63,0)),"NO")="SÍ",IF(OR($Y1398="",$X1398=""),"Resuelta",IF($Y1398&gt;$X1398,"Resuelta tarde","Resuelta a tiempo")),IF($X1398="","Sin clasificar",IF(TODAY()&gt;$X1398,"Vencida",IF(TODAY()&gt;=$X1398-1,"Por vencer","En plazo")))))</f>
        <v/>
      </c>
      <c r="AB1398" s="50" t="n"/>
      <c r="AC1398" s="50" t="n"/>
    </row>
    <row r="1399" ht="16" customHeight="1">
      <c r="A1399" s="28">
        <f>IF($B1399="","","N-"&amp;TEXT(ROW()-3,"0000"))</f>
        <v/>
      </c>
      <c r="B1399" s="47" t="n"/>
      <c r="C1399" s="48" t="n"/>
      <c r="D1399" s="48" t="n"/>
      <c r="E1399" s="28">
        <f>IF($C1399="","",IF($D1399="",IF($C1399="Interna","Sin guía (interna)","FALTA GUÍA"),IF(COUNTIFS(ENVIOS!$A$4:$A$3003,$D1399)=0,"NO EXISTE",IF(COUNTIFS(ENVIOS!$A$4:$A$3003,$D1399)&gt;1,"DUPLICADA","OK"))))</f>
        <v/>
      </c>
      <c r="F1399" s="28">
        <f>IF($D1399="","",IFERROR(INDEX(ENVIOS!$B$4:$B$3003,MATCH($D1399,ENVIOS!$A$4:$A$3003,0)),"—"))</f>
        <v/>
      </c>
      <c r="G1399" s="23">
        <f>IF($D1399="","",IFERROR(INDEX(ENVIOS!$D$4:$D$3003,MATCH($D1399,ENVIOS!$A$4:$A$3003,0)),"—"))</f>
        <v/>
      </c>
      <c r="H1399" s="23">
        <f>IF($D1399="","",IFERROR(INDEX(ENVIOS!$E$4:$E$3003,MATCH($D1399,ENVIOS!$A$4:$A$3003,0)),"—"))</f>
        <v/>
      </c>
      <c r="I1399" s="23">
        <f>IF($D1399="","",IFERROR(INDEX(ENVIOS!$F$4:$F$3003,MATCH($D1399,ENVIOS!$A$4:$A$3003,0)),"—"))</f>
        <v/>
      </c>
      <c r="J1399" s="23">
        <f>IF($D1399="","",IFERROR(INDEX(ENVIOS!$G$4:$G$3003,MATCH($D1399,ENVIOS!$A$4:$A$3003,0)),"—"))</f>
        <v/>
      </c>
      <c r="K1399" s="28">
        <f>IF($D1399="","",IFERROR(INDEX(ENVIOS!$H$4:$H$3003,MATCH($D1399,ENVIOS!$A$4:$A$3003,0)),"—"))</f>
        <v/>
      </c>
      <c r="L1399" s="49">
        <f>IF($D1399="","",IFERROR(INDEX(ENVIOS!$C$4:$C$3003,MATCH($D1399,ENVIOS!$A$4:$A$3003,0)),""))</f>
        <v/>
      </c>
      <c r="M1399" s="50" t="n"/>
      <c r="N1399" s="28">
        <f>IF($M1399="","",IFERROR(INDEX(CONFIG!$C$4:$C$63,MATCH($M1399,CONFIG!$A$4:$A$63,0)),"Media"))</f>
        <v/>
      </c>
      <c r="O1399" s="28">
        <f>IF($M1399="","",IF($C1399="Interna","NO",IFERROR(INDEX(CONFIG!$E$4:$E$63,MATCH($M1399,CONFIG!$A$4:$A$63,0)),"NO")))</f>
        <v/>
      </c>
      <c r="P1399" s="50" t="n"/>
      <c r="Q1399" s="50" t="n"/>
      <c r="R1399" s="28">
        <f>IF($Q1399="","",IFERROR(INDEX(CONFIG!$H$4:$H$63,MATCH($Q1399,CONFIG!$G$4:$G$63,0)),"Por definir"))</f>
        <v/>
      </c>
      <c r="S1399" s="28">
        <f>IF($Q1399="","",IFERROR(INDEX(CONFIG!$I$4:$I$63,MATCH($Q1399,CONFIG!$G$4:$G$63,0)),"Por definir"))</f>
        <v/>
      </c>
      <c r="T1399" s="51" t="n"/>
      <c r="U1399" s="52" t="n"/>
      <c r="V1399" s="50" t="n"/>
      <c r="W1399" s="50" t="n"/>
      <c r="X1399" s="49">
        <f>IF(OR($B1399="",$M1399=""),"",WORKDAY($B1399,IFERROR(INDEX(CONFIG!$D$4:$D$63,MATCH($M1399,CONFIG!$A$4:$A$63,0)),3)))</f>
        <v/>
      </c>
      <c r="Y1399" s="47" t="n"/>
      <c r="Z1399" s="24">
        <f>IF($B1399="","",IF($Y1399&lt;&gt;"",$Y1399-$B1399,TODAY()-$B1399))</f>
        <v/>
      </c>
      <c r="AA1399" s="28">
        <f>IF($B1399="","",IF(IFERROR(INDEX(CONFIG!$L$4:$L$63,MATCH($V1399,CONFIG!$K$4:$K$63,0)),"NO")="SÍ",IF(OR($Y1399="",$X1399=""),"Resuelta",IF($Y1399&gt;$X1399,"Resuelta tarde","Resuelta a tiempo")),IF($X1399="","Sin clasificar",IF(TODAY()&gt;$X1399,"Vencida",IF(TODAY()&gt;=$X1399-1,"Por vencer","En plazo")))))</f>
        <v/>
      </c>
      <c r="AB1399" s="50" t="n"/>
      <c r="AC1399" s="50" t="n"/>
    </row>
    <row r="1400" ht="16" customHeight="1">
      <c r="A1400" s="28">
        <f>IF($B1400="","","N-"&amp;TEXT(ROW()-3,"0000"))</f>
        <v/>
      </c>
      <c r="B1400" s="47" t="n"/>
      <c r="C1400" s="48" t="n"/>
      <c r="D1400" s="48" t="n"/>
      <c r="E1400" s="28">
        <f>IF($C1400="","",IF($D1400="",IF($C1400="Interna","Sin guía (interna)","FALTA GUÍA"),IF(COUNTIFS(ENVIOS!$A$4:$A$3003,$D1400)=0,"NO EXISTE",IF(COUNTIFS(ENVIOS!$A$4:$A$3003,$D1400)&gt;1,"DUPLICADA","OK"))))</f>
        <v/>
      </c>
      <c r="F1400" s="28">
        <f>IF($D1400="","",IFERROR(INDEX(ENVIOS!$B$4:$B$3003,MATCH($D1400,ENVIOS!$A$4:$A$3003,0)),"—"))</f>
        <v/>
      </c>
      <c r="G1400" s="23">
        <f>IF($D1400="","",IFERROR(INDEX(ENVIOS!$D$4:$D$3003,MATCH($D1400,ENVIOS!$A$4:$A$3003,0)),"—"))</f>
        <v/>
      </c>
      <c r="H1400" s="23">
        <f>IF($D1400="","",IFERROR(INDEX(ENVIOS!$E$4:$E$3003,MATCH($D1400,ENVIOS!$A$4:$A$3003,0)),"—"))</f>
        <v/>
      </c>
      <c r="I1400" s="23">
        <f>IF($D1400="","",IFERROR(INDEX(ENVIOS!$F$4:$F$3003,MATCH($D1400,ENVIOS!$A$4:$A$3003,0)),"—"))</f>
        <v/>
      </c>
      <c r="J1400" s="23">
        <f>IF($D1400="","",IFERROR(INDEX(ENVIOS!$G$4:$G$3003,MATCH($D1400,ENVIOS!$A$4:$A$3003,0)),"—"))</f>
        <v/>
      </c>
      <c r="K1400" s="28">
        <f>IF($D1400="","",IFERROR(INDEX(ENVIOS!$H$4:$H$3003,MATCH($D1400,ENVIOS!$A$4:$A$3003,0)),"—"))</f>
        <v/>
      </c>
      <c r="L1400" s="49">
        <f>IF($D1400="","",IFERROR(INDEX(ENVIOS!$C$4:$C$3003,MATCH($D1400,ENVIOS!$A$4:$A$3003,0)),""))</f>
        <v/>
      </c>
      <c r="M1400" s="50" t="n"/>
      <c r="N1400" s="28">
        <f>IF($M1400="","",IFERROR(INDEX(CONFIG!$C$4:$C$63,MATCH($M1400,CONFIG!$A$4:$A$63,0)),"Media"))</f>
        <v/>
      </c>
      <c r="O1400" s="28">
        <f>IF($M1400="","",IF($C1400="Interna","NO",IFERROR(INDEX(CONFIG!$E$4:$E$63,MATCH($M1400,CONFIG!$A$4:$A$63,0)),"NO")))</f>
        <v/>
      </c>
      <c r="P1400" s="50" t="n"/>
      <c r="Q1400" s="50" t="n"/>
      <c r="R1400" s="28">
        <f>IF($Q1400="","",IFERROR(INDEX(CONFIG!$H$4:$H$63,MATCH($Q1400,CONFIG!$G$4:$G$63,0)),"Por definir"))</f>
        <v/>
      </c>
      <c r="S1400" s="28">
        <f>IF($Q1400="","",IFERROR(INDEX(CONFIG!$I$4:$I$63,MATCH($Q1400,CONFIG!$G$4:$G$63,0)),"Por definir"))</f>
        <v/>
      </c>
      <c r="T1400" s="51" t="n"/>
      <c r="U1400" s="52" t="n"/>
      <c r="V1400" s="50" t="n"/>
      <c r="W1400" s="50" t="n"/>
      <c r="X1400" s="49">
        <f>IF(OR($B1400="",$M1400=""),"",WORKDAY($B1400,IFERROR(INDEX(CONFIG!$D$4:$D$63,MATCH($M1400,CONFIG!$A$4:$A$63,0)),3)))</f>
        <v/>
      </c>
      <c r="Y1400" s="47" t="n"/>
      <c r="Z1400" s="24">
        <f>IF($B1400="","",IF($Y1400&lt;&gt;"",$Y1400-$B1400,TODAY()-$B1400))</f>
        <v/>
      </c>
      <c r="AA1400" s="28">
        <f>IF($B1400="","",IF(IFERROR(INDEX(CONFIG!$L$4:$L$63,MATCH($V1400,CONFIG!$K$4:$K$63,0)),"NO")="SÍ",IF(OR($Y1400="",$X1400=""),"Resuelta",IF($Y1400&gt;$X1400,"Resuelta tarde","Resuelta a tiempo")),IF($X1400="","Sin clasificar",IF(TODAY()&gt;$X1400,"Vencida",IF(TODAY()&gt;=$X1400-1,"Por vencer","En plazo")))))</f>
        <v/>
      </c>
      <c r="AB1400" s="50" t="n"/>
      <c r="AC1400" s="50" t="n"/>
    </row>
    <row r="1401" ht="16" customHeight="1">
      <c r="A1401" s="28">
        <f>IF($B1401="","","N-"&amp;TEXT(ROW()-3,"0000"))</f>
        <v/>
      </c>
      <c r="B1401" s="47" t="n"/>
      <c r="C1401" s="48" t="n"/>
      <c r="D1401" s="48" t="n"/>
      <c r="E1401" s="28">
        <f>IF($C1401="","",IF($D1401="",IF($C1401="Interna","Sin guía (interna)","FALTA GUÍA"),IF(COUNTIFS(ENVIOS!$A$4:$A$3003,$D1401)=0,"NO EXISTE",IF(COUNTIFS(ENVIOS!$A$4:$A$3003,$D1401)&gt;1,"DUPLICADA","OK"))))</f>
        <v/>
      </c>
      <c r="F1401" s="28">
        <f>IF($D1401="","",IFERROR(INDEX(ENVIOS!$B$4:$B$3003,MATCH($D1401,ENVIOS!$A$4:$A$3003,0)),"—"))</f>
        <v/>
      </c>
      <c r="G1401" s="23">
        <f>IF($D1401="","",IFERROR(INDEX(ENVIOS!$D$4:$D$3003,MATCH($D1401,ENVIOS!$A$4:$A$3003,0)),"—"))</f>
        <v/>
      </c>
      <c r="H1401" s="23">
        <f>IF($D1401="","",IFERROR(INDEX(ENVIOS!$E$4:$E$3003,MATCH($D1401,ENVIOS!$A$4:$A$3003,0)),"—"))</f>
        <v/>
      </c>
      <c r="I1401" s="23">
        <f>IF($D1401="","",IFERROR(INDEX(ENVIOS!$F$4:$F$3003,MATCH($D1401,ENVIOS!$A$4:$A$3003,0)),"—"))</f>
        <v/>
      </c>
      <c r="J1401" s="23">
        <f>IF($D1401="","",IFERROR(INDEX(ENVIOS!$G$4:$G$3003,MATCH($D1401,ENVIOS!$A$4:$A$3003,0)),"—"))</f>
        <v/>
      </c>
      <c r="K1401" s="28">
        <f>IF($D1401="","",IFERROR(INDEX(ENVIOS!$H$4:$H$3003,MATCH($D1401,ENVIOS!$A$4:$A$3003,0)),"—"))</f>
        <v/>
      </c>
      <c r="L1401" s="49">
        <f>IF($D1401="","",IFERROR(INDEX(ENVIOS!$C$4:$C$3003,MATCH($D1401,ENVIOS!$A$4:$A$3003,0)),""))</f>
        <v/>
      </c>
      <c r="M1401" s="50" t="n"/>
      <c r="N1401" s="28">
        <f>IF($M1401="","",IFERROR(INDEX(CONFIG!$C$4:$C$63,MATCH($M1401,CONFIG!$A$4:$A$63,0)),"Media"))</f>
        <v/>
      </c>
      <c r="O1401" s="28">
        <f>IF($M1401="","",IF($C1401="Interna","NO",IFERROR(INDEX(CONFIG!$E$4:$E$63,MATCH($M1401,CONFIG!$A$4:$A$63,0)),"NO")))</f>
        <v/>
      </c>
      <c r="P1401" s="50" t="n"/>
      <c r="Q1401" s="50" t="n"/>
      <c r="R1401" s="28">
        <f>IF($Q1401="","",IFERROR(INDEX(CONFIG!$H$4:$H$63,MATCH($Q1401,CONFIG!$G$4:$G$63,0)),"Por definir"))</f>
        <v/>
      </c>
      <c r="S1401" s="28">
        <f>IF($Q1401="","",IFERROR(INDEX(CONFIG!$I$4:$I$63,MATCH($Q1401,CONFIG!$G$4:$G$63,0)),"Por definir"))</f>
        <v/>
      </c>
      <c r="T1401" s="51" t="n"/>
      <c r="U1401" s="52" t="n"/>
      <c r="V1401" s="50" t="n"/>
      <c r="W1401" s="50" t="n"/>
      <c r="X1401" s="49">
        <f>IF(OR($B1401="",$M1401=""),"",WORKDAY($B1401,IFERROR(INDEX(CONFIG!$D$4:$D$63,MATCH($M1401,CONFIG!$A$4:$A$63,0)),3)))</f>
        <v/>
      </c>
      <c r="Y1401" s="47" t="n"/>
      <c r="Z1401" s="24">
        <f>IF($B1401="","",IF($Y1401&lt;&gt;"",$Y1401-$B1401,TODAY()-$B1401))</f>
        <v/>
      </c>
      <c r="AA1401" s="28">
        <f>IF($B1401="","",IF(IFERROR(INDEX(CONFIG!$L$4:$L$63,MATCH($V1401,CONFIG!$K$4:$K$63,0)),"NO")="SÍ",IF(OR($Y1401="",$X1401=""),"Resuelta",IF($Y1401&gt;$X1401,"Resuelta tarde","Resuelta a tiempo")),IF($X1401="","Sin clasificar",IF(TODAY()&gt;$X1401,"Vencida",IF(TODAY()&gt;=$X1401-1,"Por vencer","En plazo")))))</f>
        <v/>
      </c>
      <c r="AB1401" s="50" t="n"/>
      <c r="AC1401" s="50" t="n"/>
    </row>
    <row r="1402" ht="16" customHeight="1">
      <c r="A1402" s="28">
        <f>IF($B1402="","","N-"&amp;TEXT(ROW()-3,"0000"))</f>
        <v/>
      </c>
      <c r="B1402" s="47" t="n"/>
      <c r="C1402" s="48" t="n"/>
      <c r="D1402" s="48" t="n"/>
      <c r="E1402" s="28">
        <f>IF($C1402="","",IF($D1402="",IF($C1402="Interna","Sin guía (interna)","FALTA GUÍA"),IF(COUNTIFS(ENVIOS!$A$4:$A$3003,$D1402)=0,"NO EXISTE",IF(COUNTIFS(ENVIOS!$A$4:$A$3003,$D1402)&gt;1,"DUPLICADA","OK"))))</f>
        <v/>
      </c>
      <c r="F1402" s="28">
        <f>IF($D1402="","",IFERROR(INDEX(ENVIOS!$B$4:$B$3003,MATCH($D1402,ENVIOS!$A$4:$A$3003,0)),"—"))</f>
        <v/>
      </c>
      <c r="G1402" s="23">
        <f>IF($D1402="","",IFERROR(INDEX(ENVIOS!$D$4:$D$3003,MATCH($D1402,ENVIOS!$A$4:$A$3003,0)),"—"))</f>
        <v/>
      </c>
      <c r="H1402" s="23">
        <f>IF($D1402="","",IFERROR(INDEX(ENVIOS!$E$4:$E$3003,MATCH($D1402,ENVIOS!$A$4:$A$3003,0)),"—"))</f>
        <v/>
      </c>
      <c r="I1402" s="23">
        <f>IF($D1402="","",IFERROR(INDEX(ENVIOS!$F$4:$F$3003,MATCH($D1402,ENVIOS!$A$4:$A$3003,0)),"—"))</f>
        <v/>
      </c>
      <c r="J1402" s="23">
        <f>IF($D1402="","",IFERROR(INDEX(ENVIOS!$G$4:$G$3003,MATCH($D1402,ENVIOS!$A$4:$A$3003,0)),"—"))</f>
        <v/>
      </c>
      <c r="K1402" s="28">
        <f>IF($D1402="","",IFERROR(INDEX(ENVIOS!$H$4:$H$3003,MATCH($D1402,ENVIOS!$A$4:$A$3003,0)),"—"))</f>
        <v/>
      </c>
      <c r="L1402" s="49">
        <f>IF($D1402="","",IFERROR(INDEX(ENVIOS!$C$4:$C$3003,MATCH($D1402,ENVIOS!$A$4:$A$3003,0)),""))</f>
        <v/>
      </c>
      <c r="M1402" s="50" t="n"/>
      <c r="N1402" s="28">
        <f>IF($M1402="","",IFERROR(INDEX(CONFIG!$C$4:$C$63,MATCH($M1402,CONFIG!$A$4:$A$63,0)),"Media"))</f>
        <v/>
      </c>
      <c r="O1402" s="28">
        <f>IF($M1402="","",IF($C1402="Interna","NO",IFERROR(INDEX(CONFIG!$E$4:$E$63,MATCH($M1402,CONFIG!$A$4:$A$63,0)),"NO")))</f>
        <v/>
      </c>
      <c r="P1402" s="50" t="n"/>
      <c r="Q1402" s="50" t="n"/>
      <c r="R1402" s="28">
        <f>IF($Q1402="","",IFERROR(INDEX(CONFIG!$H$4:$H$63,MATCH($Q1402,CONFIG!$G$4:$G$63,0)),"Por definir"))</f>
        <v/>
      </c>
      <c r="S1402" s="28">
        <f>IF($Q1402="","",IFERROR(INDEX(CONFIG!$I$4:$I$63,MATCH($Q1402,CONFIG!$G$4:$G$63,0)),"Por definir"))</f>
        <v/>
      </c>
      <c r="T1402" s="51" t="n"/>
      <c r="U1402" s="52" t="n"/>
      <c r="V1402" s="50" t="n"/>
      <c r="W1402" s="50" t="n"/>
      <c r="X1402" s="49">
        <f>IF(OR($B1402="",$M1402=""),"",WORKDAY($B1402,IFERROR(INDEX(CONFIG!$D$4:$D$63,MATCH($M1402,CONFIG!$A$4:$A$63,0)),3)))</f>
        <v/>
      </c>
      <c r="Y1402" s="47" t="n"/>
      <c r="Z1402" s="24">
        <f>IF($B1402="","",IF($Y1402&lt;&gt;"",$Y1402-$B1402,TODAY()-$B1402))</f>
        <v/>
      </c>
      <c r="AA1402" s="28">
        <f>IF($B1402="","",IF(IFERROR(INDEX(CONFIG!$L$4:$L$63,MATCH($V1402,CONFIG!$K$4:$K$63,0)),"NO")="SÍ",IF(OR($Y1402="",$X1402=""),"Resuelta",IF($Y1402&gt;$X1402,"Resuelta tarde","Resuelta a tiempo")),IF($X1402="","Sin clasificar",IF(TODAY()&gt;$X1402,"Vencida",IF(TODAY()&gt;=$X1402-1,"Por vencer","En plazo")))))</f>
        <v/>
      </c>
      <c r="AB1402" s="50" t="n"/>
      <c r="AC1402" s="50" t="n"/>
    </row>
    <row r="1403" ht="16" customHeight="1">
      <c r="A1403" s="28">
        <f>IF($B1403="","","N-"&amp;TEXT(ROW()-3,"0000"))</f>
        <v/>
      </c>
      <c r="B1403" s="47" t="n"/>
      <c r="C1403" s="48" t="n"/>
      <c r="D1403" s="48" t="n"/>
      <c r="E1403" s="28">
        <f>IF($C1403="","",IF($D1403="",IF($C1403="Interna","Sin guía (interna)","FALTA GUÍA"),IF(COUNTIFS(ENVIOS!$A$4:$A$3003,$D1403)=0,"NO EXISTE",IF(COUNTIFS(ENVIOS!$A$4:$A$3003,$D1403)&gt;1,"DUPLICADA","OK"))))</f>
        <v/>
      </c>
      <c r="F1403" s="28">
        <f>IF($D1403="","",IFERROR(INDEX(ENVIOS!$B$4:$B$3003,MATCH($D1403,ENVIOS!$A$4:$A$3003,0)),"—"))</f>
        <v/>
      </c>
      <c r="G1403" s="23">
        <f>IF($D1403="","",IFERROR(INDEX(ENVIOS!$D$4:$D$3003,MATCH($D1403,ENVIOS!$A$4:$A$3003,0)),"—"))</f>
        <v/>
      </c>
      <c r="H1403" s="23">
        <f>IF($D1403="","",IFERROR(INDEX(ENVIOS!$E$4:$E$3003,MATCH($D1403,ENVIOS!$A$4:$A$3003,0)),"—"))</f>
        <v/>
      </c>
      <c r="I1403" s="23">
        <f>IF($D1403="","",IFERROR(INDEX(ENVIOS!$F$4:$F$3003,MATCH($D1403,ENVIOS!$A$4:$A$3003,0)),"—"))</f>
        <v/>
      </c>
      <c r="J1403" s="23">
        <f>IF($D1403="","",IFERROR(INDEX(ENVIOS!$G$4:$G$3003,MATCH($D1403,ENVIOS!$A$4:$A$3003,0)),"—"))</f>
        <v/>
      </c>
      <c r="K1403" s="28">
        <f>IF($D1403="","",IFERROR(INDEX(ENVIOS!$H$4:$H$3003,MATCH($D1403,ENVIOS!$A$4:$A$3003,0)),"—"))</f>
        <v/>
      </c>
      <c r="L1403" s="49">
        <f>IF($D1403="","",IFERROR(INDEX(ENVIOS!$C$4:$C$3003,MATCH($D1403,ENVIOS!$A$4:$A$3003,0)),""))</f>
        <v/>
      </c>
      <c r="M1403" s="50" t="n"/>
      <c r="N1403" s="28">
        <f>IF($M1403="","",IFERROR(INDEX(CONFIG!$C$4:$C$63,MATCH($M1403,CONFIG!$A$4:$A$63,0)),"Media"))</f>
        <v/>
      </c>
      <c r="O1403" s="28">
        <f>IF($M1403="","",IF($C1403="Interna","NO",IFERROR(INDEX(CONFIG!$E$4:$E$63,MATCH($M1403,CONFIG!$A$4:$A$63,0)),"NO")))</f>
        <v/>
      </c>
      <c r="P1403" s="50" t="n"/>
      <c r="Q1403" s="50" t="n"/>
      <c r="R1403" s="28">
        <f>IF($Q1403="","",IFERROR(INDEX(CONFIG!$H$4:$H$63,MATCH($Q1403,CONFIG!$G$4:$G$63,0)),"Por definir"))</f>
        <v/>
      </c>
      <c r="S1403" s="28">
        <f>IF($Q1403="","",IFERROR(INDEX(CONFIG!$I$4:$I$63,MATCH($Q1403,CONFIG!$G$4:$G$63,0)),"Por definir"))</f>
        <v/>
      </c>
      <c r="T1403" s="51" t="n"/>
      <c r="U1403" s="52" t="n"/>
      <c r="V1403" s="50" t="n"/>
      <c r="W1403" s="50" t="n"/>
      <c r="X1403" s="49">
        <f>IF(OR($B1403="",$M1403=""),"",WORKDAY($B1403,IFERROR(INDEX(CONFIG!$D$4:$D$63,MATCH($M1403,CONFIG!$A$4:$A$63,0)),3)))</f>
        <v/>
      </c>
      <c r="Y1403" s="47" t="n"/>
      <c r="Z1403" s="24">
        <f>IF($B1403="","",IF($Y1403&lt;&gt;"",$Y1403-$B1403,TODAY()-$B1403))</f>
        <v/>
      </c>
      <c r="AA1403" s="28">
        <f>IF($B1403="","",IF(IFERROR(INDEX(CONFIG!$L$4:$L$63,MATCH($V1403,CONFIG!$K$4:$K$63,0)),"NO")="SÍ",IF(OR($Y1403="",$X1403=""),"Resuelta",IF($Y1403&gt;$X1403,"Resuelta tarde","Resuelta a tiempo")),IF($X1403="","Sin clasificar",IF(TODAY()&gt;$X1403,"Vencida",IF(TODAY()&gt;=$X1403-1,"Por vencer","En plazo")))))</f>
        <v/>
      </c>
      <c r="AB1403" s="50" t="n"/>
      <c r="AC1403" s="50" t="n"/>
    </row>
    <row r="1404" ht="16" customHeight="1">
      <c r="A1404" s="28">
        <f>IF($B1404="","","N-"&amp;TEXT(ROW()-3,"0000"))</f>
        <v/>
      </c>
      <c r="B1404" s="47" t="n"/>
      <c r="C1404" s="48" t="n"/>
      <c r="D1404" s="48" t="n"/>
      <c r="E1404" s="28">
        <f>IF($C1404="","",IF($D1404="",IF($C1404="Interna","Sin guía (interna)","FALTA GUÍA"),IF(COUNTIFS(ENVIOS!$A$4:$A$3003,$D1404)=0,"NO EXISTE",IF(COUNTIFS(ENVIOS!$A$4:$A$3003,$D1404)&gt;1,"DUPLICADA","OK"))))</f>
        <v/>
      </c>
      <c r="F1404" s="28">
        <f>IF($D1404="","",IFERROR(INDEX(ENVIOS!$B$4:$B$3003,MATCH($D1404,ENVIOS!$A$4:$A$3003,0)),"—"))</f>
        <v/>
      </c>
      <c r="G1404" s="23">
        <f>IF($D1404="","",IFERROR(INDEX(ENVIOS!$D$4:$D$3003,MATCH($D1404,ENVIOS!$A$4:$A$3003,0)),"—"))</f>
        <v/>
      </c>
      <c r="H1404" s="23">
        <f>IF($D1404="","",IFERROR(INDEX(ENVIOS!$E$4:$E$3003,MATCH($D1404,ENVIOS!$A$4:$A$3003,0)),"—"))</f>
        <v/>
      </c>
      <c r="I1404" s="23">
        <f>IF($D1404="","",IFERROR(INDEX(ENVIOS!$F$4:$F$3003,MATCH($D1404,ENVIOS!$A$4:$A$3003,0)),"—"))</f>
        <v/>
      </c>
      <c r="J1404" s="23">
        <f>IF($D1404="","",IFERROR(INDEX(ENVIOS!$G$4:$G$3003,MATCH($D1404,ENVIOS!$A$4:$A$3003,0)),"—"))</f>
        <v/>
      </c>
      <c r="K1404" s="28">
        <f>IF($D1404="","",IFERROR(INDEX(ENVIOS!$H$4:$H$3003,MATCH($D1404,ENVIOS!$A$4:$A$3003,0)),"—"))</f>
        <v/>
      </c>
      <c r="L1404" s="49">
        <f>IF($D1404="","",IFERROR(INDEX(ENVIOS!$C$4:$C$3003,MATCH($D1404,ENVIOS!$A$4:$A$3003,0)),""))</f>
        <v/>
      </c>
      <c r="M1404" s="50" t="n"/>
      <c r="N1404" s="28">
        <f>IF($M1404="","",IFERROR(INDEX(CONFIG!$C$4:$C$63,MATCH($M1404,CONFIG!$A$4:$A$63,0)),"Media"))</f>
        <v/>
      </c>
      <c r="O1404" s="28">
        <f>IF($M1404="","",IF($C1404="Interna","NO",IFERROR(INDEX(CONFIG!$E$4:$E$63,MATCH($M1404,CONFIG!$A$4:$A$63,0)),"NO")))</f>
        <v/>
      </c>
      <c r="P1404" s="50" t="n"/>
      <c r="Q1404" s="50" t="n"/>
      <c r="R1404" s="28">
        <f>IF($Q1404="","",IFERROR(INDEX(CONFIG!$H$4:$H$63,MATCH($Q1404,CONFIG!$G$4:$G$63,0)),"Por definir"))</f>
        <v/>
      </c>
      <c r="S1404" s="28">
        <f>IF($Q1404="","",IFERROR(INDEX(CONFIG!$I$4:$I$63,MATCH($Q1404,CONFIG!$G$4:$G$63,0)),"Por definir"))</f>
        <v/>
      </c>
      <c r="T1404" s="51" t="n"/>
      <c r="U1404" s="52" t="n"/>
      <c r="V1404" s="50" t="n"/>
      <c r="W1404" s="50" t="n"/>
      <c r="X1404" s="49">
        <f>IF(OR($B1404="",$M1404=""),"",WORKDAY($B1404,IFERROR(INDEX(CONFIG!$D$4:$D$63,MATCH($M1404,CONFIG!$A$4:$A$63,0)),3)))</f>
        <v/>
      </c>
      <c r="Y1404" s="47" t="n"/>
      <c r="Z1404" s="24">
        <f>IF($B1404="","",IF($Y1404&lt;&gt;"",$Y1404-$B1404,TODAY()-$B1404))</f>
        <v/>
      </c>
      <c r="AA1404" s="28">
        <f>IF($B1404="","",IF(IFERROR(INDEX(CONFIG!$L$4:$L$63,MATCH($V1404,CONFIG!$K$4:$K$63,0)),"NO")="SÍ",IF(OR($Y1404="",$X1404=""),"Resuelta",IF($Y1404&gt;$X1404,"Resuelta tarde","Resuelta a tiempo")),IF($X1404="","Sin clasificar",IF(TODAY()&gt;$X1404,"Vencida",IF(TODAY()&gt;=$X1404-1,"Por vencer","En plazo")))))</f>
        <v/>
      </c>
      <c r="AB1404" s="50" t="n"/>
      <c r="AC1404" s="50" t="n"/>
    </row>
    <row r="1405" ht="16" customHeight="1">
      <c r="A1405" s="28">
        <f>IF($B1405="","","N-"&amp;TEXT(ROW()-3,"0000"))</f>
        <v/>
      </c>
      <c r="B1405" s="47" t="n"/>
      <c r="C1405" s="48" t="n"/>
      <c r="D1405" s="48" t="n"/>
      <c r="E1405" s="28">
        <f>IF($C1405="","",IF($D1405="",IF($C1405="Interna","Sin guía (interna)","FALTA GUÍA"),IF(COUNTIFS(ENVIOS!$A$4:$A$3003,$D1405)=0,"NO EXISTE",IF(COUNTIFS(ENVIOS!$A$4:$A$3003,$D1405)&gt;1,"DUPLICADA","OK"))))</f>
        <v/>
      </c>
      <c r="F1405" s="28">
        <f>IF($D1405="","",IFERROR(INDEX(ENVIOS!$B$4:$B$3003,MATCH($D1405,ENVIOS!$A$4:$A$3003,0)),"—"))</f>
        <v/>
      </c>
      <c r="G1405" s="23">
        <f>IF($D1405="","",IFERROR(INDEX(ENVIOS!$D$4:$D$3003,MATCH($D1405,ENVIOS!$A$4:$A$3003,0)),"—"))</f>
        <v/>
      </c>
      <c r="H1405" s="23">
        <f>IF($D1405="","",IFERROR(INDEX(ENVIOS!$E$4:$E$3003,MATCH($D1405,ENVIOS!$A$4:$A$3003,0)),"—"))</f>
        <v/>
      </c>
      <c r="I1405" s="23">
        <f>IF($D1405="","",IFERROR(INDEX(ENVIOS!$F$4:$F$3003,MATCH($D1405,ENVIOS!$A$4:$A$3003,0)),"—"))</f>
        <v/>
      </c>
      <c r="J1405" s="23">
        <f>IF($D1405="","",IFERROR(INDEX(ENVIOS!$G$4:$G$3003,MATCH($D1405,ENVIOS!$A$4:$A$3003,0)),"—"))</f>
        <v/>
      </c>
      <c r="K1405" s="28">
        <f>IF($D1405="","",IFERROR(INDEX(ENVIOS!$H$4:$H$3003,MATCH($D1405,ENVIOS!$A$4:$A$3003,0)),"—"))</f>
        <v/>
      </c>
      <c r="L1405" s="49">
        <f>IF($D1405="","",IFERROR(INDEX(ENVIOS!$C$4:$C$3003,MATCH($D1405,ENVIOS!$A$4:$A$3003,0)),""))</f>
        <v/>
      </c>
      <c r="M1405" s="50" t="n"/>
      <c r="N1405" s="28">
        <f>IF($M1405="","",IFERROR(INDEX(CONFIG!$C$4:$C$63,MATCH($M1405,CONFIG!$A$4:$A$63,0)),"Media"))</f>
        <v/>
      </c>
      <c r="O1405" s="28">
        <f>IF($M1405="","",IF($C1405="Interna","NO",IFERROR(INDEX(CONFIG!$E$4:$E$63,MATCH($M1405,CONFIG!$A$4:$A$63,0)),"NO")))</f>
        <v/>
      </c>
      <c r="P1405" s="50" t="n"/>
      <c r="Q1405" s="50" t="n"/>
      <c r="R1405" s="28">
        <f>IF($Q1405="","",IFERROR(INDEX(CONFIG!$H$4:$H$63,MATCH($Q1405,CONFIG!$G$4:$G$63,0)),"Por definir"))</f>
        <v/>
      </c>
      <c r="S1405" s="28">
        <f>IF($Q1405="","",IFERROR(INDEX(CONFIG!$I$4:$I$63,MATCH($Q1405,CONFIG!$G$4:$G$63,0)),"Por definir"))</f>
        <v/>
      </c>
      <c r="T1405" s="51" t="n"/>
      <c r="U1405" s="52" t="n"/>
      <c r="V1405" s="50" t="n"/>
      <c r="W1405" s="50" t="n"/>
      <c r="X1405" s="49">
        <f>IF(OR($B1405="",$M1405=""),"",WORKDAY($B1405,IFERROR(INDEX(CONFIG!$D$4:$D$63,MATCH($M1405,CONFIG!$A$4:$A$63,0)),3)))</f>
        <v/>
      </c>
      <c r="Y1405" s="47" t="n"/>
      <c r="Z1405" s="24">
        <f>IF($B1405="","",IF($Y1405&lt;&gt;"",$Y1405-$B1405,TODAY()-$B1405))</f>
        <v/>
      </c>
      <c r="AA1405" s="28">
        <f>IF($B1405="","",IF(IFERROR(INDEX(CONFIG!$L$4:$L$63,MATCH($V1405,CONFIG!$K$4:$K$63,0)),"NO")="SÍ",IF(OR($Y1405="",$X1405=""),"Resuelta",IF($Y1405&gt;$X1405,"Resuelta tarde","Resuelta a tiempo")),IF($X1405="","Sin clasificar",IF(TODAY()&gt;$X1405,"Vencida",IF(TODAY()&gt;=$X1405-1,"Por vencer","En plazo")))))</f>
        <v/>
      </c>
      <c r="AB1405" s="50" t="n"/>
      <c r="AC1405" s="50" t="n"/>
    </row>
    <row r="1406" ht="16" customHeight="1">
      <c r="A1406" s="28">
        <f>IF($B1406="","","N-"&amp;TEXT(ROW()-3,"0000"))</f>
        <v/>
      </c>
      <c r="B1406" s="47" t="n"/>
      <c r="C1406" s="48" t="n"/>
      <c r="D1406" s="48" t="n"/>
      <c r="E1406" s="28">
        <f>IF($C1406="","",IF($D1406="",IF($C1406="Interna","Sin guía (interna)","FALTA GUÍA"),IF(COUNTIFS(ENVIOS!$A$4:$A$3003,$D1406)=0,"NO EXISTE",IF(COUNTIFS(ENVIOS!$A$4:$A$3003,$D1406)&gt;1,"DUPLICADA","OK"))))</f>
        <v/>
      </c>
      <c r="F1406" s="28">
        <f>IF($D1406="","",IFERROR(INDEX(ENVIOS!$B$4:$B$3003,MATCH($D1406,ENVIOS!$A$4:$A$3003,0)),"—"))</f>
        <v/>
      </c>
      <c r="G1406" s="23">
        <f>IF($D1406="","",IFERROR(INDEX(ENVIOS!$D$4:$D$3003,MATCH($D1406,ENVIOS!$A$4:$A$3003,0)),"—"))</f>
        <v/>
      </c>
      <c r="H1406" s="23">
        <f>IF($D1406="","",IFERROR(INDEX(ENVIOS!$E$4:$E$3003,MATCH($D1406,ENVIOS!$A$4:$A$3003,0)),"—"))</f>
        <v/>
      </c>
      <c r="I1406" s="23">
        <f>IF($D1406="","",IFERROR(INDEX(ENVIOS!$F$4:$F$3003,MATCH($D1406,ENVIOS!$A$4:$A$3003,0)),"—"))</f>
        <v/>
      </c>
      <c r="J1406" s="23">
        <f>IF($D1406="","",IFERROR(INDEX(ENVIOS!$G$4:$G$3003,MATCH($D1406,ENVIOS!$A$4:$A$3003,0)),"—"))</f>
        <v/>
      </c>
      <c r="K1406" s="28">
        <f>IF($D1406="","",IFERROR(INDEX(ENVIOS!$H$4:$H$3003,MATCH($D1406,ENVIOS!$A$4:$A$3003,0)),"—"))</f>
        <v/>
      </c>
      <c r="L1406" s="49">
        <f>IF($D1406="","",IFERROR(INDEX(ENVIOS!$C$4:$C$3003,MATCH($D1406,ENVIOS!$A$4:$A$3003,0)),""))</f>
        <v/>
      </c>
      <c r="M1406" s="50" t="n"/>
      <c r="N1406" s="28">
        <f>IF($M1406="","",IFERROR(INDEX(CONFIG!$C$4:$C$63,MATCH($M1406,CONFIG!$A$4:$A$63,0)),"Media"))</f>
        <v/>
      </c>
      <c r="O1406" s="28">
        <f>IF($M1406="","",IF($C1406="Interna","NO",IFERROR(INDEX(CONFIG!$E$4:$E$63,MATCH($M1406,CONFIG!$A$4:$A$63,0)),"NO")))</f>
        <v/>
      </c>
      <c r="P1406" s="50" t="n"/>
      <c r="Q1406" s="50" t="n"/>
      <c r="R1406" s="28">
        <f>IF($Q1406="","",IFERROR(INDEX(CONFIG!$H$4:$H$63,MATCH($Q1406,CONFIG!$G$4:$G$63,0)),"Por definir"))</f>
        <v/>
      </c>
      <c r="S1406" s="28">
        <f>IF($Q1406="","",IFERROR(INDEX(CONFIG!$I$4:$I$63,MATCH($Q1406,CONFIG!$G$4:$G$63,0)),"Por definir"))</f>
        <v/>
      </c>
      <c r="T1406" s="51" t="n"/>
      <c r="U1406" s="52" t="n"/>
      <c r="V1406" s="50" t="n"/>
      <c r="W1406" s="50" t="n"/>
      <c r="X1406" s="49">
        <f>IF(OR($B1406="",$M1406=""),"",WORKDAY($B1406,IFERROR(INDEX(CONFIG!$D$4:$D$63,MATCH($M1406,CONFIG!$A$4:$A$63,0)),3)))</f>
        <v/>
      </c>
      <c r="Y1406" s="47" t="n"/>
      <c r="Z1406" s="24">
        <f>IF($B1406="","",IF($Y1406&lt;&gt;"",$Y1406-$B1406,TODAY()-$B1406))</f>
        <v/>
      </c>
      <c r="AA1406" s="28">
        <f>IF($B1406="","",IF(IFERROR(INDEX(CONFIG!$L$4:$L$63,MATCH($V1406,CONFIG!$K$4:$K$63,0)),"NO")="SÍ",IF(OR($Y1406="",$X1406=""),"Resuelta",IF($Y1406&gt;$X1406,"Resuelta tarde","Resuelta a tiempo")),IF($X1406="","Sin clasificar",IF(TODAY()&gt;$X1406,"Vencida",IF(TODAY()&gt;=$X1406-1,"Por vencer","En plazo")))))</f>
        <v/>
      </c>
      <c r="AB1406" s="50" t="n"/>
      <c r="AC1406" s="50" t="n"/>
    </row>
    <row r="1407" ht="16" customHeight="1">
      <c r="A1407" s="28">
        <f>IF($B1407="","","N-"&amp;TEXT(ROW()-3,"0000"))</f>
        <v/>
      </c>
      <c r="B1407" s="47" t="n"/>
      <c r="C1407" s="48" t="n"/>
      <c r="D1407" s="48" t="n"/>
      <c r="E1407" s="28">
        <f>IF($C1407="","",IF($D1407="",IF($C1407="Interna","Sin guía (interna)","FALTA GUÍA"),IF(COUNTIFS(ENVIOS!$A$4:$A$3003,$D1407)=0,"NO EXISTE",IF(COUNTIFS(ENVIOS!$A$4:$A$3003,$D1407)&gt;1,"DUPLICADA","OK"))))</f>
        <v/>
      </c>
      <c r="F1407" s="28">
        <f>IF($D1407="","",IFERROR(INDEX(ENVIOS!$B$4:$B$3003,MATCH($D1407,ENVIOS!$A$4:$A$3003,0)),"—"))</f>
        <v/>
      </c>
      <c r="G1407" s="23">
        <f>IF($D1407="","",IFERROR(INDEX(ENVIOS!$D$4:$D$3003,MATCH($D1407,ENVIOS!$A$4:$A$3003,0)),"—"))</f>
        <v/>
      </c>
      <c r="H1407" s="23">
        <f>IF($D1407="","",IFERROR(INDEX(ENVIOS!$E$4:$E$3003,MATCH($D1407,ENVIOS!$A$4:$A$3003,0)),"—"))</f>
        <v/>
      </c>
      <c r="I1407" s="23">
        <f>IF($D1407="","",IFERROR(INDEX(ENVIOS!$F$4:$F$3003,MATCH($D1407,ENVIOS!$A$4:$A$3003,0)),"—"))</f>
        <v/>
      </c>
      <c r="J1407" s="23">
        <f>IF($D1407="","",IFERROR(INDEX(ENVIOS!$G$4:$G$3003,MATCH($D1407,ENVIOS!$A$4:$A$3003,0)),"—"))</f>
        <v/>
      </c>
      <c r="K1407" s="28">
        <f>IF($D1407="","",IFERROR(INDEX(ENVIOS!$H$4:$H$3003,MATCH($D1407,ENVIOS!$A$4:$A$3003,0)),"—"))</f>
        <v/>
      </c>
      <c r="L1407" s="49">
        <f>IF($D1407="","",IFERROR(INDEX(ENVIOS!$C$4:$C$3003,MATCH($D1407,ENVIOS!$A$4:$A$3003,0)),""))</f>
        <v/>
      </c>
      <c r="M1407" s="50" t="n"/>
      <c r="N1407" s="28">
        <f>IF($M1407="","",IFERROR(INDEX(CONFIG!$C$4:$C$63,MATCH($M1407,CONFIG!$A$4:$A$63,0)),"Media"))</f>
        <v/>
      </c>
      <c r="O1407" s="28">
        <f>IF($M1407="","",IF($C1407="Interna","NO",IFERROR(INDEX(CONFIG!$E$4:$E$63,MATCH($M1407,CONFIG!$A$4:$A$63,0)),"NO")))</f>
        <v/>
      </c>
      <c r="P1407" s="50" t="n"/>
      <c r="Q1407" s="50" t="n"/>
      <c r="R1407" s="28">
        <f>IF($Q1407="","",IFERROR(INDEX(CONFIG!$H$4:$H$63,MATCH($Q1407,CONFIG!$G$4:$G$63,0)),"Por definir"))</f>
        <v/>
      </c>
      <c r="S1407" s="28">
        <f>IF($Q1407="","",IFERROR(INDEX(CONFIG!$I$4:$I$63,MATCH($Q1407,CONFIG!$G$4:$G$63,0)),"Por definir"))</f>
        <v/>
      </c>
      <c r="T1407" s="51" t="n"/>
      <c r="U1407" s="52" t="n"/>
      <c r="V1407" s="50" t="n"/>
      <c r="W1407" s="50" t="n"/>
      <c r="X1407" s="49">
        <f>IF(OR($B1407="",$M1407=""),"",WORKDAY($B1407,IFERROR(INDEX(CONFIG!$D$4:$D$63,MATCH($M1407,CONFIG!$A$4:$A$63,0)),3)))</f>
        <v/>
      </c>
      <c r="Y1407" s="47" t="n"/>
      <c r="Z1407" s="24">
        <f>IF($B1407="","",IF($Y1407&lt;&gt;"",$Y1407-$B1407,TODAY()-$B1407))</f>
        <v/>
      </c>
      <c r="AA1407" s="28">
        <f>IF($B1407="","",IF(IFERROR(INDEX(CONFIG!$L$4:$L$63,MATCH($V1407,CONFIG!$K$4:$K$63,0)),"NO")="SÍ",IF(OR($Y1407="",$X1407=""),"Resuelta",IF($Y1407&gt;$X1407,"Resuelta tarde","Resuelta a tiempo")),IF($X1407="","Sin clasificar",IF(TODAY()&gt;$X1407,"Vencida",IF(TODAY()&gt;=$X1407-1,"Por vencer","En plazo")))))</f>
        <v/>
      </c>
      <c r="AB1407" s="50" t="n"/>
      <c r="AC1407" s="50" t="n"/>
    </row>
    <row r="1408" ht="16" customHeight="1">
      <c r="A1408" s="28">
        <f>IF($B1408="","","N-"&amp;TEXT(ROW()-3,"0000"))</f>
        <v/>
      </c>
      <c r="B1408" s="47" t="n"/>
      <c r="C1408" s="48" t="n"/>
      <c r="D1408" s="48" t="n"/>
      <c r="E1408" s="28">
        <f>IF($C1408="","",IF($D1408="",IF($C1408="Interna","Sin guía (interna)","FALTA GUÍA"),IF(COUNTIFS(ENVIOS!$A$4:$A$3003,$D1408)=0,"NO EXISTE",IF(COUNTIFS(ENVIOS!$A$4:$A$3003,$D1408)&gt;1,"DUPLICADA","OK"))))</f>
        <v/>
      </c>
      <c r="F1408" s="28">
        <f>IF($D1408="","",IFERROR(INDEX(ENVIOS!$B$4:$B$3003,MATCH($D1408,ENVIOS!$A$4:$A$3003,0)),"—"))</f>
        <v/>
      </c>
      <c r="G1408" s="23">
        <f>IF($D1408="","",IFERROR(INDEX(ENVIOS!$D$4:$D$3003,MATCH($D1408,ENVIOS!$A$4:$A$3003,0)),"—"))</f>
        <v/>
      </c>
      <c r="H1408" s="23">
        <f>IF($D1408="","",IFERROR(INDEX(ENVIOS!$E$4:$E$3003,MATCH($D1408,ENVIOS!$A$4:$A$3003,0)),"—"))</f>
        <v/>
      </c>
      <c r="I1408" s="23">
        <f>IF($D1408="","",IFERROR(INDEX(ENVIOS!$F$4:$F$3003,MATCH($D1408,ENVIOS!$A$4:$A$3003,0)),"—"))</f>
        <v/>
      </c>
      <c r="J1408" s="23">
        <f>IF($D1408="","",IFERROR(INDEX(ENVIOS!$G$4:$G$3003,MATCH($D1408,ENVIOS!$A$4:$A$3003,0)),"—"))</f>
        <v/>
      </c>
      <c r="K1408" s="28">
        <f>IF($D1408="","",IFERROR(INDEX(ENVIOS!$H$4:$H$3003,MATCH($D1408,ENVIOS!$A$4:$A$3003,0)),"—"))</f>
        <v/>
      </c>
      <c r="L1408" s="49">
        <f>IF($D1408="","",IFERROR(INDEX(ENVIOS!$C$4:$C$3003,MATCH($D1408,ENVIOS!$A$4:$A$3003,0)),""))</f>
        <v/>
      </c>
      <c r="M1408" s="50" t="n"/>
      <c r="N1408" s="28">
        <f>IF($M1408="","",IFERROR(INDEX(CONFIG!$C$4:$C$63,MATCH($M1408,CONFIG!$A$4:$A$63,0)),"Media"))</f>
        <v/>
      </c>
      <c r="O1408" s="28">
        <f>IF($M1408="","",IF($C1408="Interna","NO",IFERROR(INDEX(CONFIG!$E$4:$E$63,MATCH($M1408,CONFIG!$A$4:$A$63,0)),"NO")))</f>
        <v/>
      </c>
      <c r="P1408" s="50" t="n"/>
      <c r="Q1408" s="50" t="n"/>
      <c r="R1408" s="28">
        <f>IF($Q1408="","",IFERROR(INDEX(CONFIG!$H$4:$H$63,MATCH($Q1408,CONFIG!$G$4:$G$63,0)),"Por definir"))</f>
        <v/>
      </c>
      <c r="S1408" s="28">
        <f>IF($Q1408="","",IFERROR(INDEX(CONFIG!$I$4:$I$63,MATCH($Q1408,CONFIG!$G$4:$G$63,0)),"Por definir"))</f>
        <v/>
      </c>
      <c r="T1408" s="51" t="n"/>
      <c r="U1408" s="52" t="n"/>
      <c r="V1408" s="50" t="n"/>
      <c r="W1408" s="50" t="n"/>
      <c r="X1408" s="49">
        <f>IF(OR($B1408="",$M1408=""),"",WORKDAY($B1408,IFERROR(INDEX(CONFIG!$D$4:$D$63,MATCH($M1408,CONFIG!$A$4:$A$63,0)),3)))</f>
        <v/>
      </c>
      <c r="Y1408" s="47" t="n"/>
      <c r="Z1408" s="24">
        <f>IF($B1408="","",IF($Y1408&lt;&gt;"",$Y1408-$B1408,TODAY()-$B1408))</f>
        <v/>
      </c>
      <c r="AA1408" s="28">
        <f>IF($B1408="","",IF(IFERROR(INDEX(CONFIG!$L$4:$L$63,MATCH($V1408,CONFIG!$K$4:$K$63,0)),"NO")="SÍ",IF(OR($Y1408="",$X1408=""),"Resuelta",IF($Y1408&gt;$X1408,"Resuelta tarde","Resuelta a tiempo")),IF($X1408="","Sin clasificar",IF(TODAY()&gt;$X1408,"Vencida",IF(TODAY()&gt;=$X1408-1,"Por vencer","En plazo")))))</f>
        <v/>
      </c>
      <c r="AB1408" s="50" t="n"/>
      <c r="AC1408" s="50" t="n"/>
    </row>
    <row r="1409" ht="16" customHeight="1">
      <c r="A1409" s="28">
        <f>IF($B1409="","","N-"&amp;TEXT(ROW()-3,"0000"))</f>
        <v/>
      </c>
      <c r="B1409" s="47" t="n"/>
      <c r="C1409" s="48" t="n"/>
      <c r="D1409" s="48" t="n"/>
      <c r="E1409" s="28">
        <f>IF($C1409="","",IF($D1409="",IF($C1409="Interna","Sin guía (interna)","FALTA GUÍA"),IF(COUNTIFS(ENVIOS!$A$4:$A$3003,$D1409)=0,"NO EXISTE",IF(COUNTIFS(ENVIOS!$A$4:$A$3003,$D1409)&gt;1,"DUPLICADA","OK"))))</f>
        <v/>
      </c>
      <c r="F1409" s="28">
        <f>IF($D1409="","",IFERROR(INDEX(ENVIOS!$B$4:$B$3003,MATCH($D1409,ENVIOS!$A$4:$A$3003,0)),"—"))</f>
        <v/>
      </c>
      <c r="G1409" s="23">
        <f>IF($D1409="","",IFERROR(INDEX(ENVIOS!$D$4:$D$3003,MATCH($D1409,ENVIOS!$A$4:$A$3003,0)),"—"))</f>
        <v/>
      </c>
      <c r="H1409" s="23">
        <f>IF($D1409="","",IFERROR(INDEX(ENVIOS!$E$4:$E$3003,MATCH($D1409,ENVIOS!$A$4:$A$3003,0)),"—"))</f>
        <v/>
      </c>
      <c r="I1409" s="23">
        <f>IF($D1409="","",IFERROR(INDEX(ENVIOS!$F$4:$F$3003,MATCH($D1409,ENVIOS!$A$4:$A$3003,0)),"—"))</f>
        <v/>
      </c>
      <c r="J1409" s="23">
        <f>IF($D1409="","",IFERROR(INDEX(ENVIOS!$G$4:$G$3003,MATCH($D1409,ENVIOS!$A$4:$A$3003,0)),"—"))</f>
        <v/>
      </c>
      <c r="K1409" s="28">
        <f>IF($D1409="","",IFERROR(INDEX(ENVIOS!$H$4:$H$3003,MATCH($D1409,ENVIOS!$A$4:$A$3003,0)),"—"))</f>
        <v/>
      </c>
      <c r="L1409" s="49">
        <f>IF($D1409="","",IFERROR(INDEX(ENVIOS!$C$4:$C$3003,MATCH($D1409,ENVIOS!$A$4:$A$3003,0)),""))</f>
        <v/>
      </c>
      <c r="M1409" s="50" t="n"/>
      <c r="N1409" s="28">
        <f>IF($M1409="","",IFERROR(INDEX(CONFIG!$C$4:$C$63,MATCH($M1409,CONFIG!$A$4:$A$63,0)),"Media"))</f>
        <v/>
      </c>
      <c r="O1409" s="28">
        <f>IF($M1409="","",IF($C1409="Interna","NO",IFERROR(INDEX(CONFIG!$E$4:$E$63,MATCH($M1409,CONFIG!$A$4:$A$63,0)),"NO")))</f>
        <v/>
      </c>
      <c r="P1409" s="50" t="n"/>
      <c r="Q1409" s="50" t="n"/>
      <c r="R1409" s="28">
        <f>IF($Q1409="","",IFERROR(INDEX(CONFIG!$H$4:$H$63,MATCH($Q1409,CONFIG!$G$4:$G$63,0)),"Por definir"))</f>
        <v/>
      </c>
      <c r="S1409" s="28">
        <f>IF($Q1409="","",IFERROR(INDEX(CONFIG!$I$4:$I$63,MATCH($Q1409,CONFIG!$G$4:$G$63,0)),"Por definir"))</f>
        <v/>
      </c>
      <c r="T1409" s="51" t="n"/>
      <c r="U1409" s="52" t="n"/>
      <c r="V1409" s="50" t="n"/>
      <c r="W1409" s="50" t="n"/>
      <c r="X1409" s="49">
        <f>IF(OR($B1409="",$M1409=""),"",WORKDAY($B1409,IFERROR(INDEX(CONFIG!$D$4:$D$63,MATCH($M1409,CONFIG!$A$4:$A$63,0)),3)))</f>
        <v/>
      </c>
      <c r="Y1409" s="47" t="n"/>
      <c r="Z1409" s="24">
        <f>IF($B1409="","",IF($Y1409&lt;&gt;"",$Y1409-$B1409,TODAY()-$B1409))</f>
        <v/>
      </c>
      <c r="AA1409" s="28">
        <f>IF($B1409="","",IF(IFERROR(INDEX(CONFIG!$L$4:$L$63,MATCH($V1409,CONFIG!$K$4:$K$63,0)),"NO")="SÍ",IF(OR($Y1409="",$X1409=""),"Resuelta",IF($Y1409&gt;$X1409,"Resuelta tarde","Resuelta a tiempo")),IF($X1409="","Sin clasificar",IF(TODAY()&gt;$X1409,"Vencida",IF(TODAY()&gt;=$X1409-1,"Por vencer","En plazo")))))</f>
        <v/>
      </c>
      <c r="AB1409" s="50" t="n"/>
      <c r="AC1409" s="50" t="n"/>
    </row>
    <row r="1410" ht="16" customHeight="1">
      <c r="A1410" s="28">
        <f>IF($B1410="","","N-"&amp;TEXT(ROW()-3,"0000"))</f>
        <v/>
      </c>
      <c r="B1410" s="47" t="n"/>
      <c r="C1410" s="48" t="n"/>
      <c r="D1410" s="48" t="n"/>
      <c r="E1410" s="28">
        <f>IF($C1410="","",IF($D1410="",IF($C1410="Interna","Sin guía (interna)","FALTA GUÍA"),IF(COUNTIFS(ENVIOS!$A$4:$A$3003,$D1410)=0,"NO EXISTE",IF(COUNTIFS(ENVIOS!$A$4:$A$3003,$D1410)&gt;1,"DUPLICADA","OK"))))</f>
        <v/>
      </c>
      <c r="F1410" s="28">
        <f>IF($D1410="","",IFERROR(INDEX(ENVIOS!$B$4:$B$3003,MATCH($D1410,ENVIOS!$A$4:$A$3003,0)),"—"))</f>
        <v/>
      </c>
      <c r="G1410" s="23">
        <f>IF($D1410="","",IFERROR(INDEX(ENVIOS!$D$4:$D$3003,MATCH($D1410,ENVIOS!$A$4:$A$3003,0)),"—"))</f>
        <v/>
      </c>
      <c r="H1410" s="23">
        <f>IF($D1410="","",IFERROR(INDEX(ENVIOS!$E$4:$E$3003,MATCH($D1410,ENVIOS!$A$4:$A$3003,0)),"—"))</f>
        <v/>
      </c>
      <c r="I1410" s="23">
        <f>IF($D1410="","",IFERROR(INDEX(ENVIOS!$F$4:$F$3003,MATCH($D1410,ENVIOS!$A$4:$A$3003,0)),"—"))</f>
        <v/>
      </c>
      <c r="J1410" s="23">
        <f>IF($D1410="","",IFERROR(INDEX(ENVIOS!$G$4:$G$3003,MATCH($D1410,ENVIOS!$A$4:$A$3003,0)),"—"))</f>
        <v/>
      </c>
      <c r="K1410" s="28">
        <f>IF($D1410="","",IFERROR(INDEX(ENVIOS!$H$4:$H$3003,MATCH($D1410,ENVIOS!$A$4:$A$3003,0)),"—"))</f>
        <v/>
      </c>
      <c r="L1410" s="49">
        <f>IF($D1410="","",IFERROR(INDEX(ENVIOS!$C$4:$C$3003,MATCH($D1410,ENVIOS!$A$4:$A$3003,0)),""))</f>
        <v/>
      </c>
      <c r="M1410" s="50" t="n"/>
      <c r="N1410" s="28">
        <f>IF($M1410="","",IFERROR(INDEX(CONFIG!$C$4:$C$63,MATCH($M1410,CONFIG!$A$4:$A$63,0)),"Media"))</f>
        <v/>
      </c>
      <c r="O1410" s="28">
        <f>IF($M1410="","",IF($C1410="Interna","NO",IFERROR(INDEX(CONFIG!$E$4:$E$63,MATCH($M1410,CONFIG!$A$4:$A$63,0)),"NO")))</f>
        <v/>
      </c>
      <c r="P1410" s="50" t="n"/>
      <c r="Q1410" s="50" t="n"/>
      <c r="R1410" s="28">
        <f>IF($Q1410="","",IFERROR(INDEX(CONFIG!$H$4:$H$63,MATCH($Q1410,CONFIG!$G$4:$G$63,0)),"Por definir"))</f>
        <v/>
      </c>
      <c r="S1410" s="28">
        <f>IF($Q1410="","",IFERROR(INDEX(CONFIG!$I$4:$I$63,MATCH($Q1410,CONFIG!$G$4:$G$63,0)),"Por definir"))</f>
        <v/>
      </c>
      <c r="T1410" s="51" t="n"/>
      <c r="U1410" s="52" t="n"/>
      <c r="V1410" s="50" t="n"/>
      <c r="W1410" s="50" t="n"/>
      <c r="X1410" s="49">
        <f>IF(OR($B1410="",$M1410=""),"",WORKDAY($B1410,IFERROR(INDEX(CONFIG!$D$4:$D$63,MATCH($M1410,CONFIG!$A$4:$A$63,0)),3)))</f>
        <v/>
      </c>
      <c r="Y1410" s="47" t="n"/>
      <c r="Z1410" s="24">
        <f>IF($B1410="","",IF($Y1410&lt;&gt;"",$Y1410-$B1410,TODAY()-$B1410))</f>
        <v/>
      </c>
      <c r="AA1410" s="28">
        <f>IF($B1410="","",IF(IFERROR(INDEX(CONFIG!$L$4:$L$63,MATCH($V1410,CONFIG!$K$4:$K$63,0)),"NO")="SÍ",IF(OR($Y1410="",$X1410=""),"Resuelta",IF($Y1410&gt;$X1410,"Resuelta tarde","Resuelta a tiempo")),IF($X1410="","Sin clasificar",IF(TODAY()&gt;$X1410,"Vencida",IF(TODAY()&gt;=$X1410-1,"Por vencer","En plazo")))))</f>
        <v/>
      </c>
      <c r="AB1410" s="50" t="n"/>
      <c r="AC1410" s="50" t="n"/>
    </row>
    <row r="1411" ht="16" customHeight="1">
      <c r="A1411" s="28">
        <f>IF($B1411="","","N-"&amp;TEXT(ROW()-3,"0000"))</f>
        <v/>
      </c>
      <c r="B1411" s="47" t="n"/>
      <c r="C1411" s="48" t="n"/>
      <c r="D1411" s="48" t="n"/>
      <c r="E1411" s="28">
        <f>IF($C1411="","",IF($D1411="",IF($C1411="Interna","Sin guía (interna)","FALTA GUÍA"),IF(COUNTIFS(ENVIOS!$A$4:$A$3003,$D1411)=0,"NO EXISTE",IF(COUNTIFS(ENVIOS!$A$4:$A$3003,$D1411)&gt;1,"DUPLICADA","OK"))))</f>
        <v/>
      </c>
      <c r="F1411" s="28">
        <f>IF($D1411="","",IFERROR(INDEX(ENVIOS!$B$4:$B$3003,MATCH($D1411,ENVIOS!$A$4:$A$3003,0)),"—"))</f>
        <v/>
      </c>
      <c r="G1411" s="23">
        <f>IF($D1411="","",IFERROR(INDEX(ENVIOS!$D$4:$D$3003,MATCH($D1411,ENVIOS!$A$4:$A$3003,0)),"—"))</f>
        <v/>
      </c>
      <c r="H1411" s="23">
        <f>IF($D1411="","",IFERROR(INDEX(ENVIOS!$E$4:$E$3003,MATCH($D1411,ENVIOS!$A$4:$A$3003,0)),"—"))</f>
        <v/>
      </c>
      <c r="I1411" s="23">
        <f>IF($D1411="","",IFERROR(INDEX(ENVIOS!$F$4:$F$3003,MATCH($D1411,ENVIOS!$A$4:$A$3003,0)),"—"))</f>
        <v/>
      </c>
      <c r="J1411" s="23">
        <f>IF($D1411="","",IFERROR(INDEX(ENVIOS!$G$4:$G$3003,MATCH($D1411,ENVIOS!$A$4:$A$3003,0)),"—"))</f>
        <v/>
      </c>
      <c r="K1411" s="28">
        <f>IF($D1411="","",IFERROR(INDEX(ENVIOS!$H$4:$H$3003,MATCH($D1411,ENVIOS!$A$4:$A$3003,0)),"—"))</f>
        <v/>
      </c>
      <c r="L1411" s="49">
        <f>IF($D1411="","",IFERROR(INDEX(ENVIOS!$C$4:$C$3003,MATCH($D1411,ENVIOS!$A$4:$A$3003,0)),""))</f>
        <v/>
      </c>
      <c r="M1411" s="50" t="n"/>
      <c r="N1411" s="28">
        <f>IF($M1411="","",IFERROR(INDEX(CONFIG!$C$4:$C$63,MATCH($M1411,CONFIG!$A$4:$A$63,0)),"Media"))</f>
        <v/>
      </c>
      <c r="O1411" s="28">
        <f>IF($M1411="","",IF($C1411="Interna","NO",IFERROR(INDEX(CONFIG!$E$4:$E$63,MATCH($M1411,CONFIG!$A$4:$A$63,0)),"NO")))</f>
        <v/>
      </c>
      <c r="P1411" s="50" t="n"/>
      <c r="Q1411" s="50" t="n"/>
      <c r="R1411" s="28">
        <f>IF($Q1411="","",IFERROR(INDEX(CONFIG!$H$4:$H$63,MATCH($Q1411,CONFIG!$G$4:$G$63,0)),"Por definir"))</f>
        <v/>
      </c>
      <c r="S1411" s="28">
        <f>IF($Q1411="","",IFERROR(INDEX(CONFIG!$I$4:$I$63,MATCH($Q1411,CONFIG!$G$4:$G$63,0)),"Por definir"))</f>
        <v/>
      </c>
      <c r="T1411" s="51" t="n"/>
      <c r="U1411" s="52" t="n"/>
      <c r="V1411" s="50" t="n"/>
      <c r="W1411" s="50" t="n"/>
      <c r="X1411" s="49">
        <f>IF(OR($B1411="",$M1411=""),"",WORKDAY($B1411,IFERROR(INDEX(CONFIG!$D$4:$D$63,MATCH($M1411,CONFIG!$A$4:$A$63,0)),3)))</f>
        <v/>
      </c>
      <c r="Y1411" s="47" t="n"/>
      <c r="Z1411" s="24">
        <f>IF($B1411="","",IF($Y1411&lt;&gt;"",$Y1411-$B1411,TODAY()-$B1411))</f>
        <v/>
      </c>
      <c r="AA1411" s="28">
        <f>IF($B1411="","",IF(IFERROR(INDEX(CONFIG!$L$4:$L$63,MATCH($V1411,CONFIG!$K$4:$K$63,0)),"NO")="SÍ",IF(OR($Y1411="",$X1411=""),"Resuelta",IF($Y1411&gt;$X1411,"Resuelta tarde","Resuelta a tiempo")),IF($X1411="","Sin clasificar",IF(TODAY()&gt;$X1411,"Vencida",IF(TODAY()&gt;=$X1411-1,"Por vencer","En plazo")))))</f>
        <v/>
      </c>
      <c r="AB1411" s="50" t="n"/>
      <c r="AC1411" s="50" t="n"/>
    </row>
    <row r="1412" ht="16" customHeight="1">
      <c r="A1412" s="28">
        <f>IF($B1412="","","N-"&amp;TEXT(ROW()-3,"0000"))</f>
        <v/>
      </c>
      <c r="B1412" s="47" t="n"/>
      <c r="C1412" s="48" t="n"/>
      <c r="D1412" s="48" t="n"/>
      <c r="E1412" s="28">
        <f>IF($C1412="","",IF($D1412="",IF($C1412="Interna","Sin guía (interna)","FALTA GUÍA"),IF(COUNTIFS(ENVIOS!$A$4:$A$3003,$D1412)=0,"NO EXISTE",IF(COUNTIFS(ENVIOS!$A$4:$A$3003,$D1412)&gt;1,"DUPLICADA","OK"))))</f>
        <v/>
      </c>
      <c r="F1412" s="28">
        <f>IF($D1412="","",IFERROR(INDEX(ENVIOS!$B$4:$B$3003,MATCH($D1412,ENVIOS!$A$4:$A$3003,0)),"—"))</f>
        <v/>
      </c>
      <c r="G1412" s="23">
        <f>IF($D1412="","",IFERROR(INDEX(ENVIOS!$D$4:$D$3003,MATCH($D1412,ENVIOS!$A$4:$A$3003,0)),"—"))</f>
        <v/>
      </c>
      <c r="H1412" s="23">
        <f>IF($D1412="","",IFERROR(INDEX(ENVIOS!$E$4:$E$3003,MATCH($D1412,ENVIOS!$A$4:$A$3003,0)),"—"))</f>
        <v/>
      </c>
      <c r="I1412" s="23">
        <f>IF($D1412="","",IFERROR(INDEX(ENVIOS!$F$4:$F$3003,MATCH($D1412,ENVIOS!$A$4:$A$3003,0)),"—"))</f>
        <v/>
      </c>
      <c r="J1412" s="23">
        <f>IF($D1412="","",IFERROR(INDEX(ENVIOS!$G$4:$G$3003,MATCH($D1412,ENVIOS!$A$4:$A$3003,0)),"—"))</f>
        <v/>
      </c>
      <c r="K1412" s="28">
        <f>IF($D1412="","",IFERROR(INDEX(ENVIOS!$H$4:$H$3003,MATCH($D1412,ENVIOS!$A$4:$A$3003,0)),"—"))</f>
        <v/>
      </c>
      <c r="L1412" s="49">
        <f>IF($D1412="","",IFERROR(INDEX(ENVIOS!$C$4:$C$3003,MATCH($D1412,ENVIOS!$A$4:$A$3003,0)),""))</f>
        <v/>
      </c>
      <c r="M1412" s="50" t="n"/>
      <c r="N1412" s="28">
        <f>IF($M1412="","",IFERROR(INDEX(CONFIG!$C$4:$C$63,MATCH($M1412,CONFIG!$A$4:$A$63,0)),"Media"))</f>
        <v/>
      </c>
      <c r="O1412" s="28">
        <f>IF($M1412="","",IF($C1412="Interna","NO",IFERROR(INDEX(CONFIG!$E$4:$E$63,MATCH($M1412,CONFIG!$A$4:$A$63,0)),"NO")))</f>
        <v/>
      </c>
      <c r="P1412" s="50" t="n"/>
      <c r="Q1412" s="50" t="n"/>
      <c r="R1412" s="28">
        <f>IF($Q1412="","",IFERROR(INDEX(CONFIG!$H$4:$H$63,MATCH($Q1412,CONFIG!$G$4:$G$63,0)),"Por definir"))</f>
        <v/>
      </c>
      <c r="S1412" s="28">
        <f>IF($Q1412="","",IFERROR(INDEX(CONFIG!$I$4:$I$63,MATCH($Q1412,CONFIG!$G$4:$G$63,0)),"Por definir"))</f>
        <v/>
      </c>
      <c r="T1412" s="51" t="n"/>
      <c r="U1412" s="52" t="n"/>
      <c r="V1412" s="50" t="n"/>
      <c r="W1412" s="50" t="n"/>
      <c r="X1412" s="49">
        <f>IF(OR($B1412="",$M1412=""),"",WORKDAY($B1412,IFERROR(INDEX(CONFIG!$D$4:$D$63,MATCH($M1412,CONFIG!$A$4:$A$63,0)),3)))</f>
        <v/>
      </c>
      <c r="Y1412" s="47" t="n"/>
      <c r="Z1412" s="24">
        <f>IF($B1412="","",IF($Y1412&lt;&gt;"",$Y1412-$B1412,TODAY()-$B1412))</f>
        <v/>
      </c>
      <c r="AA1412" s="28">
        <f>IF($B1412="","",IF(IFERROR(INDEX(CONFIG!$L$4:$L$63,MATCH($V1412,CONFIG!$K$4:$K$63,0)),"NO")="SÍ",IF(OR($Y1412="",$X1412=""),"Resuelta",IF($Y1412&gt;$X1412,"Resuelta tarde","Resuelta a tiempo")),IF($X1412="","Sin clasificar",IF(TODAY()&gt;$X1412,"Vencida",IF(TODAY()&gt;=$X1412-1,"Por vencer","En plazo")))))</f>
        <v/>
      </c>
      <c r="AB1412" s="50" t="n"/>
      <c r="AC1412" s="50" t="n"/>
    </row>
    <row r="1413" ht="16" customHeight="1">
      <c r="A1413" s="28">
        <f>IF($B1413="","","N-"&amp;TEXT(ROW()-3,"0000"))</f>
        <v/>
      </c>
      <c r="B1413" s="47" t="n"/>
      <c r="C1413" s="48" t="n"/>
      <c r="D1413" s="48" t="n"/>
      <c r="E1413" s="28">
        <f>IF($C1413="","",IF($D1413="",IF($C1413="Interna","Sin guía (interna)","FALTA GUÍA"),IF(COUNTIFS(ENVIOS!$A$4:$A$3003,$D1413)=0,"NO EXISTE",IF(COUNTIFS(ENVIOS!$A$4:$A$3003,$D1413)&gt;1,"DUPLICADA","OK"))))</f>
        <v/>
      </c>
      <c r="F1413" s="28">
        <f>IF($D1413="","",IFERROR(INDEX(ENVIOS!$B$4:$B$3003,MATCH($D1413,ENVIOS!$A$4:$A$3003,0)),"—"))</f>
        <v/>
      </c>
      <c r="G1413" s="23">
        <f>IF($D1413="","",IFERROR(INDEX(ENVIOS!$D$4:$D$3003,MATCH($D1413,ENVIOS!$A$4:$A$3003,0)),"—"))</f>
        <v/>
      </c>
      <c r="H1413" s="23">
        <f>IF($D1413="","",IFERROR(INDEX(ENVIOS!$E$4:$E$3003,MATCH($D1413,ENVIOS!$A$4:$A$3003,0)),"—"))</f>
        <v/>
      </c>
      <c r="I1413" s="23">
        <f>IF($D1413="","",IFERROR(INDEX(ENVIOS!$F$4:$F$3003,MATCH($D1413,ENVIOS!$A$4:$A$3003,0)),"—"))</f>
        <v/>
      </c>
      <c r="J1413" s="23">
        <f>IF($D1413="","",IFERROR(INDEX(ENVIOS!$G$4:$G$3003,MATCH($D1413,ENVIOS!$A$4:$A$3003,0)),"—"))</f>
        <v/>
      </c>
      <c r="K1413" s="28">
        <f>IF($D1413="","",IFERROR(INDEX(ENVIOS!$H$4:$H$3003,MATCH($D1413,ENVIOS!$A$4:$A$3003,0)),"—"))</f>
        <v/>
      </c>
      <c r="L1413" s="49">
        <f>IF($D1413="","",IFERROR(INDEX(ENVIOS!$C$4:$C$3003,MATCH($D1413,ENVIOS!$A$4:$A$3003,0)),""))</f>
        <v/>
      </c>
      <c r="M1413" s="50" t="n"/>
      <c r="N1413" s="28">
        <f>IF($M1413="","",IFERROR(INDEX(CONFIG!$C$4:$C$63,MATCH($M1413,CONFIG!$A$4:$A$63,0)),"Media"))</f>
        <v/>
      </c>
      <c r="O1413" s="28">
        <f>IF($M1413="","",IF($C1413="Interna","NO",IFERROR(INDEX(CONFIG!$E$4:$E$63,MATCH($M1413,CONFIG!$A$4:$A$63,0)),"NO")))</f>
        <v/>
      </c>
      <c r="P1413" s="50" t="n"/>
      <c r="Q1413" s="50" t="n"/>
      <c r="R1413" s="28">
        <f>IF($Q1413="","",IFERROR(INDEX(CONFIG!$H$4:$H$63,MATCH($Q1413,CONFIG!$G$4:$G$63,0)),"Por definir"))</f>
        <v/>
      </c>
      <c r="S1413" s="28">
        <f>IF($Q1413="","",IFERROR(INDEX(CONFIG!$I$4:$I$63,MATCH($Q1413,CONFIG!$G$4:$G$63,0)),"Por definir"))</f>
        <v/>
      </c>
      <c r="T1413" s="51" t="n"/>
      <c r="U1413" s="52" t="n"/>
      <c r="V1413" s="50" t="n"/>
      <c r="W1413" s="50" t="n"/>
      <c r="X1413" s="49">
        <f>IF(OR($B1413="",$M1413=""),"",WORKDAY($B1413,IFERROR(INDEX(CONFIG!$D$4:$D$63,MATCH($M1413,CONFIG!$A$4:$A$63,0)),3)))</f>
        <v/>
      </c>
      <c r="Y1413" s="47" t="n"/>
      <c r="Z1413" s="24">
        <f>IF($B1413="","",IF($Y1413&lt;&gt;"",$Y1413-$B1413,TODAY()-$B1413))</f>
        <v/>
      </c>
      <c r="AA1413" s="28">
        <f>IF($B1413="","",IF(IFERROR(INDEX(CONFIG!$L$4:$L$63,MATCH($V1413,CONFIG!$K$4:$K$63,0)),"NO")="SÍ",IF(OR($Y1413="",$X1413=""),"Resuelta",IF($Y1413&gt;$X1413,"Resuelta tarde","Resuelta a tiempo")),IF($X1413="","Sin clasificar",IF(TODAY()&gt;$X1413,"Vencida",IF(TODAY()&gt;=$X1413-1,"Por vencer","En plazo")))))</f>
        <v/>
      </c>
      <c r="AB1413" s="50" t="n"/>
      <c r="AC1413" s="50" t="n"/>
    </row>
    <row r="1414" ht="16" customHeight="1">
      <c r="A1414" s="28">
        <f>IF($B1414="","","N-"&amp;TEXT(ROW()-3,"0000"))</f>
        <v/>
      </c>
      <c r="B1414" s="47" t="n"/>
      <c r="C1414" s="48" t="n"/>
      <c r="D1414" s="48" t="n"/>
      <c r="E1414" s="28">
        <f>IF($C1414="","",IF($D1414="",IF($C1414="Interna","Sin guía (interna)","FALTA GUÍA"),IF(COUNTIFS(ENVIOS!$A$4:$A$3003,$D1414)=0,"NO EXISTE",IF(COUNTIFS(ENVIOS!$A$4:$A$3003,$D1414)&gt;1,"DUPLICADA","OK"))))</f>
        <v/>
      </c>
      <c r="F1414" s="28">
        <f>IF($D1414="","",IFERROR(INDEX(ENVIOS!$B$4:$B$3003,MATCH($D1414,ENVIOS!$A$4:$A$3003,0)),"—"))</f>
        <v/>
      </c>
      <c r="G1414" s="23">
        <f>IF($D1414="","",IFERROR(INDEX(ENVIOS!$D$4:$D$3003,MATCH($D1414,ENVIOS!$A$4:$A$3003,0)),"—"))</f>
        <v/>
      </c>
      <c r="H1414" s="23">
        <f>IF($D1414="","",IFERROR(INDEX(ENVIOS!$E$4:$E$3003,MATCH($D1414,ENVIOS!$A$4:$A$3003,0)),"—"))</f>
        <v/>
      </c>
      <c r="I1414" s="23">
        <f>IF($D1414="","",IFERROR(INDEX(ENVIOS!$F$4:$F$3003,MATCH($D1414,ENVIOS!$A$4:$A$3003,0)),"—"))</f>
        <v/>
      </c>
      <c r="J1414" s="23">
        <f>IF($D1414="","",IFERROR(INDEX(ENVIOS!$G$4:$G$3003,MATCH($D1414,ENVIOS!$A$4:$A$3003,0)),"—"))</f>
        <v/>
      </c>
      <c r="K1414" s="28">
        <f>IF($D1414="","",IFERROR(INDEX(ENVIOS!$H$4:$H$3003,MATCH($D1414,ENVIOS!$A$4:$A$3003,0)),"—"))</f>
        <v/>
      </c>
      <c r="L1414" s="49">
        <f>IF($D1414="","",IFERROR(INDEX(ENVIOS!$C$4:$C$3003,MATCH($D1414,ENVIOS!$A$4:$A$3003,0)),""))</f>
        <v/>
      </c>
      <c r="M1414" s="50" t="n"/>
      <c r="N1414" s="28">
        <f>IF($M1414="","",IFERROR(INDEX(CONFIG!$C$4:$C$63,MATCH($M1414,CONFIG!$A$4:$A$63,0)),"Media"))</f>
        <v/>
      </c>
      <c r="O1414" s="28">
        <f>IF($M1414="","",IF($C1414="Interna","NO",IFERROR(INDEX(CONFIG!$E$4:$E$63,MATCH($M1414,CONFIG!$A$4:$A$63,0)),"NO")))</f>
        <v/>
      </c>
      <c r="P1414" s="50" t="n"/>
      <c r="Q1414" s="50" t="n"/>
      <c r="R1414" s="28">
        <f>IF($Q1414="","",IFERROR(INDEX(CONFIG!$H$4:$H$63,MATCH($Q1414,CONFIG!$G$4:$G$63,0)),"Por definir"))</f>
        <v/>
      </c>
      <c r="S1414" s="28">
        <f>IF($Q1414="","",IFERROR(INDEX(CONFIG!$I$4:$I$63,MATCH($Q1414,CONFIG!$G$4:$G$63,0)),"Por definir"))</f>
        <v/>
      </c>
      <c r="T1414" s="51" t="n"/>
      <c r="U1414" s="52" t="n"/>
      <c r="V1414" s="50" t="n"/>
      <c r="W1414" s="50" t="n"/>
      <c r="X1414" s="49">
        <f>IF(OR($B1414="",$M1414=""),"",WORKDAY($B1414,IFERROR(INDEX(CONFIG!$D$4:$D$63,MATCH($M1414,CONFIG!$A$4:$A$63,0)),3)))</f>
        <v/>
      </c>
      <c r="Y1414" s="47" t="n"/>
      <c r="Z1414" s="24">
        <f>IF($B1414="","",IF($Y1414&lt;&gt;"",$Y1414-$B1414,TODAY()-$B1414))</f>
        <v/>
      </c>
      <c r="AA1414" s="28">
        <f>IF($B1414="","",IF(IFERROR(INDEX(CONFIG!$L$4:$L$63,MATCH($V1414,CONFIG!$K$4:$K$63,0)),"NO")="SÍ",IF(OR($Y1414="",$X1414=""),"Resuelta",IF($Y1414&gt;$X1414,"Resuelta tarde","Resuelta a tiempo")),IF($X1414="","Sin clasificar",IF(TODAY()&gt;$X1414,"Vencida",IF(TODAY()&gt;=$X1414-1,"Por vencer","En plazo")))))</f>
        <v/>
      </c>
      <c r="AB1414" s="50" t="n"/>
      <c r="AC1414" s="50" t="n"/>
    </row>
    <row r="1415" ht="16" customHeight="1">
      <c r="A1415" s="28">
        <f>IF($B1415="","","N-"&amp;TEXT(ROW()-3,"0000"))</f>
        <v/>
      </c>
      <c r="B1415" s="47" t="n"/>
      <c r="C1415" s="48" t="n"/>
      <c r="D1415" s="48" t="n"/>
      <c r="E1415" s="28">
        <f>IF($C1415="","",IF($D1415="",IF($C1415="Interna","Sin guía (interna)","FALTA GUÍA"),IF(COUNTIFS(ENVIOS!$A$4:$A$3003,$D1415)=0,"NO EXISTE",IF(COUNTIFS(ENVIOS!$A$4:$A$3003,$D1415)&gt;1,"DUPLICADA","OK"))))</f>
        <v/>
      </c>
      <c r="F1415" s="28">
        <f>IF($D1415="","",IFERROR(INDEX(ENVIOS!$B$4:$B$3003,MATCH($D1415,ENVIOS!$A$4:$A$3003,0)),"—"))</f>
        <v/>
      </c>
      <c r="G1415" s="23">
        <f>IF($D1415="","",IFERROR(INDEX(ENVIOS!$D$4:$D$3003,MATCH($D1415,ENVIOS!$A$4:$A$3003,0)),"—"))</f>
        <v/>
      </c>
      <c r="H1415" s="23">
        <f>IF($D1415="","",IFERROR(INDEX(ENVIOS!$E$4:$E$3003,MATCH($D1415,ENVIOS!$A$4:$A$3003,0)),"—"))</f>
        <v/>
      </c>
      <c r="I1415" s="23">
        <f>IF($D1415="","",IFERROR(INDEX(ENVIOS!$F$4:$F$3003,MATCH($D1415,ENVIOS!$A$4:$A$3003,0)),"—"))</f>
        <v/>
      </c>
      <c r="J1415" s="23">
        <f>IF($D1415="","",IFERROR(INDEX(ENVIOS!$G$4:$G$3003,MATCH($D1415,ENVIOS!$A$4:$A$3003,0)),"—"))</f>
        <v/>
      </c>
      <c r="K1415" s="28">
        <f>IF($D1415="","",IFERROR(INDEX(ENVIOS!$H$4:$H$3003,MATCH($D1415,ENVIOS!$A$4:$A$3003,0)),"—"))</f>
        <v/>
      </c>
      <c r="L1415" s="49">
        <f>IF($D1415="","",IFERROR(INDEX(ENVIOS!$C$4:$C$3003,MATCH($D1415,ENVIOS!$A$4:$A$3003,0)),""))</f>
        <v/>
      </c>
      <c r="M1415" s="50" t="n"/>
      <c r="N1415" s="28">
        <f>IF($M1415="","",IFERROR(INDEX(CONFIG!$C$4:$C$63,MATCH($M1415,CONFIG!$A$4:$A$63,0)),"Media"))</f>
        <v/>
      </c>
      <c r="O1415" s="28">
        <f>IF($M1415="","",IF($C1415="Interna","NO",IFERROR(INDEX(CONFIG!$E$4:$E$63,MATCH($M1415,CONFIG!$A$4:$A$63,0)),"NO")))</f>
        <v/>
      </c>
      <c r="P1415" s="50" t="n"/>
      <c r="Q1415" s="50" t="n"/>
      <c r="R1415" s="28">
        <f>IF($Q1415="","",IFERROR(INDEX(CONFIG!$H$4:$H$63,MATCH($Q1415,CONFIG!$G$4:$G$63,0)),"Por definir"))</f>
        <v/>
      </c>
      <c r="S1415" s="28">
        <f>IF($Q1415="","",IFERROR(INDEX(CONFIG!$I$4:$I$63,MATCH($Q1415,CONFIG!$G$4:$G$63,0)),"Por definir"))</f>
        <v/>
      </c>
      <c r="T1415" s="51" t="n"/>
      <c r="U1415" s="52" t="n"/>
      <c r="V1415" s="50" t="n"/>
      <c r="W1415" s="50" t="n"/>
      <c r="X1415" s="49">
        <f>IF(OR($B1415="",$M1415=""),"",WORKDAY($B1415,IFERROR(INDEX(CONFIG!$D$4:$D$63,MATCH($M1415,CONFIG!$A$4:$A$63,0)),3)))</f>
        <v/>
      </c>
      <c r="Y1415" s="47" t="n"/>
      <c r="Z1415" s="24">
        <f>IF($B1415="","",IF($Y1415&lt;&gt;"",$Y1415-$B1415,TODAY()-$B1415))</f>
        <v/>
      </c>
      <c r="AA1415" s="28">
        <f>IF($B1415="","",IF(IFERROR(INDEX(CONFIG!$L$4:$L$63,MATCH($V1415,CONFIG!$K$4:$K$63,0)),"NO")="SÍ",IF(OR($Y1415="",$X1415=""),"Resuelta",IF($Y1415&gt;$X1415,"Resuelta tarde","Resuelta a tiempo")),IF($X1415="","Sin clasificar",IF(TODAY()&gt;$X1415,"Vencida",IF(TODAY()&gt;=$X1415-1,"Por vencer","En plazo")))))</f>
        <v/>
      </c>
      <c r="AB1415" s="50" t="n"/>
      <c r="AC1415" s="50" t="n"/>
    </row>
    <row r="1416" ht="16" customHeight="1">
      <c r="A1416" s="28">
        <f>IF($B1416="","","N-"&amp;TEXT(ROW()-3,"0000"))</f>
        <v/>
      </c>
      <c r="B1416" s="47" t="n"/>
      <c r="C1416" s="48" t="n"/>
      <c r="D1416" s="48" t="n"/>
      <c r="E1416" s="28">
        <f>IF($C1416="","",IF($D1416="",IF($C1416="Interna","Sin guía (interna)","FALTA GUÍA"),IF(COUNTIFS(ENVIOS!$A$4:$A$3003,$D1416)=0,"NO EXISTE",IF(COUNTIFS(ENVIOS!$A$4:$A$3003,$D1416)&gt;1,"DUPLICADA","OK"))))</f>
        <v/>
      </c>
      <c r="F1416" s="28">
        <f>IF($D1416="","",IFERROR(INDEX(ENVIOS!$B$4:$B$3003,MATCH($D1416,ENVIOS!$A$4:$A$3003,0)),"—"))</f>
        <v/>
      </c>
      <c r="G1416" s="23">
        <f>IF($D1416="","",IFERROR(INDEX(ENVIOS!$D$4:$D$3003,MATCH($D1416,ENVIOS!$A$4:$A$3003,0)),"—"))</f>
        <v/>
      </c>
      <c r="H1416" s="23">
        <f>IF($D1416="","",IFERROR(INDEX(ENVIOS!$E$4:$E$3003,MATCH($D1416,ENVIOS!$A$4:$A$3003,0)),"—"))</f>
        <v/>
      </c>
      <c r="I1416" s="23">
        <f>IF($D1416="","",IFERROR(INDEX(ENVIOS!$F$4:$F$3003,MATCH($D1416,ENVIOS!$A$4:$A$3003,0)),"—"))</f>
        <v/>
      </c>
      <c r="J1416" s="23">
        <f>IF($D1416="","",IFERROR(INDEX(ENVIOS!$G$4:$G$3003,MATCH($D1416,ENVIOS!$A$4:$A$3003,0)),"—"))</f>
        <v/>
      </c>
      <c r="K1416" s="28">
        <f>IF($D1416="","",IFERROR(INDEX(ENVIOS!$H$4:$H$3003,MATCH($D1416,ENVIOS!$A$4:$A$3003,0)),"—"))</f>
        <v/>
      </c>
      <c r="L1416" s="49">
        <f>IF($D1416="","",IFERROR(INDEX(ENVIOS!$C$4:$C$3003,MATCH($D1416,ENVIOS!$A$4:$A$3003,0)),""))</f>
        <v/>
      </c>
      <c r="M1416" s="50" t="n"/>
      <c r="N1416" s="28">
        <f>IF($M1416="","",IFERROR(INDEX(CONFIG!$C$4:$C$63,MATCH($M1416,CONFIG!$A$4:$A$63,0)),"Media"))</f>
        <v/>
      </c>
      <c r="O1416" s="28">
        <f>IF($M1416="","",IF($C1416="Interna","NO",IFERROR(INDEX(CONFIG!$E$4:$E$63,MATCH($M1416,CONFIG!$A$4:$A$63,0)),"NO")))</f>
        <v/>
      </c>
      <c r="P1416" s="50" t="n"/>
      <c r="Q1416" s="50" t="n"/>
      <c r="R1416" s="28">
        <f>IF($Q1416="","",IFERROR(INDEX(CONFIG!$H$4:$H$63,MATCH($Q1416,CONFIG!$G$4:$G$63,0)),"Por definir"))</f>
        <v/>
      </c>
      <c r="S1416" s="28">
        <f>IF($Q1416="","",IFERROR(INDEX(CONFIG!$I$4:$I$63,MATCH($Q1416,CONFIG!$G$4:$G$63,0)),"Por definir"))</f>
        <v/>
      </c>
      <c r="T1416" s="51" t="n"/>
      <c r="U1416" s="52" t="n"/>
      <c r="V1416" s="50" t="n"/>
      <c r="W1416" s="50" t="n"/>
      <c r="X1416" s="49">
        <f>IF(OR($B1416="",$M1416=""),"",WORKDAY($B1416,IFERROR(INDEX(CONFIG!$D$4:$D$63,MATCH($M1416,CONFIG!$A$4:$A$63,0)),3)))</f>
        <v/>
      </c>
      <c r="Y1416" s="47" t="n"/>
      <c r="Z1416" s="24">
        <f>IF($B1416="","",IF($Y1416&lt;&gt;"",$Y1416-$B1416,TODAY()-$B1416))</f>
        <v/>
      </c>
      <c r="AA1416" s="28">
        <f>IF($B1416="","",IF(IFERROR(INDEX(CONFIG!$L$4:$L$63,MATCH($V1416,CONFIG!$K$4:$K$63,0)),"NO")="SÍ",IF(OR($Y1416="",$X1416=""),"Resuelta",IF($Y1416&gt;$X1416,"Resuelta tarde","Resuelta a tiempo")),IF($X1416="","Sin clasificar",IF(TODAY()&gt;$X1416,"Vencida",IF(TODAY()&gt;=$X1416-1,"Por vencer","En plazo")))))</f>
        <v/>
      </c>
      <c r="AB1416" s="50" t="n"/>
      <c r="AC1416" s="50" t="n"/>
    </row>
    <row r="1417" ht="16" customHeight="1">
      <c r="A1417" s="28">
        <f>IF($B1417="","","N-"&amp;TEXT(ROW()-3,"0000"))</f>
        <v/>
      </c>
      <c r="B1417" s="47" t="n"/>
      <c r="C1417" s="48" t="n"/>
      <c r="D1417" s="48" t="n"/>
      <c r="E1417" s="28">
        <f>IF($C1417="","",IF($D1417="",IF($C1417="Interna","Sin guía (interna)","FALTA GUÍA"),IF(COUNTIFS(ENVIOS!$A$4:$A$3003,$D1417)=0,"NO EXISTE",IF(COUNTIFS(ENVIOS!$A$4:$A$3003,$D1417)&gt;1,"DUPLICADA","OK"))))</f>
        <v/>
      </c>
      <c r="F1417" s="28">
        <f>IF($D1417="","",IFERROR(INDEX(ENVIOS!$B$4:$B$3003,MATCH($D1417,ENVIOS!$A$4:$A$3003,0)),"—"))</f>
        <v/>
      </c>
      <c r="G1417" s="23">
        <f>IF($D1417="","",IFERROR(INDEX(ENVIOS!$D$4:$D$3003,MATCH($D1417,ENVIOS!$A$4:$A$3003,0)),"—"))</f>
        <v/>
      </c>
      <c r="H1417" s="23">
        <f>IF($D1417="","",IFERROR(INDEX(ENVIOS!$E$4:$E$3003,MATCH($D1417,ENVIOS!$A$4:$A$3003,0)),"—"))</f>
        <v/>
      </c>
      <c r="I1417" s="23">
        <f>IF($D1417="","",IFERROR(INDEX(ENVIOS!$F$4:$F$3003,MATCH($D1417,ENVIOS!$A$4:$A$3003,0)),"—"))</f>
        <v/>
      </c>
      <c r="J1417" s="23">
        <f>IF($D1417="","",IFERROR(INDEX(ENVIOS!$G$4:$G$3003,MATCH($D1417,ENVIOS!$A$4:$A$3003,0)),"—"))</f>
        <v/>
      </c>
      <c r="K1417" s="28">
        <f>IF($D1417="","",IFERROR(INDEX(ENVIOS!$H$4:$H$3003,MATCH($D1417,ENVIOS!$A$4:$A$3003,0)),"—"))</f>
        <v/>
      </c>
      <c r="L1417" s="49">
        <f>IF($D1417="","",IFERROR(INDEX(ENVIOS!$C$4:$C$3003,MATCH($D1417,ENVIOS!$A$4:$A$3003,0)),""))</f>
        <v/>
      </c>
      <c r="M1417" s="50" t="n"/>
      <c r="N1417" s="28">
        <f>IF($M1417="","",IFERROR(INDEX(CONFIG!$C$4:$C$63,MATCH($M1417,CONFIG!$A$4:$A$63,0)),"Media"))</f>
        <v/>
      </c>
      <c r="O1417" s="28">
        <f>IF($M1417="","",IF($C1417="Interna","NO",IFERROR(INDEX(CONFIG!$E$4:$E$63,MATCH($M1417,CONFIG!$A$4:$A$63,0)),"NO")))</f>
        <v/>
      </c>
      <c r="P1417" s="50" t="n"/>
      <c r="Q1417" s="50" t="n"/>
      <c r="R1417" s="28">
        <f>IF($Q1417="","",IFERROR(INDEX(CONFIG!$H$4:$H$63,MATCH($Q1417,CONFIG!$G$4:$G$63,0)),"Por definir"))</f>
        <v/>
      </c>
      <c r="S1417" s="28">
        <f>IF($Q1417="","",IFERROR(INDEX(CONFIG!$I$4:$I$63,MATCH($Q1417,CONFIG!$G$4:$G$63,0)),"Por definir"))</f>
        <v/>
      </c>
      <c r="T1417" s="51" t="n"/>
      <c r="U1417" s="52" t="n"/>
      <c r="V1417" s="50" t="n"/>
      <c r="W1417" s="50" t="n"/>
      <c r="X1417" s="49">
        <f>IF(OR($B1417="",$M1417=""),"",WORKDAY($B1417,IFERROR(INDEX(CONFIG!$D$4:$D$63,MATCH($M1417,CONFIG!$A$4:$A$63,0)),3)))</f>
        <v/>
      </c>
      <c r="Y1417" s="47" t="n"/>
      <c r="Z1417" s="24">
        <f>IF($B1417="","",IF($Y1417&lt;&gt;"",$Y1417-$B1417,TODAY()-$B1417))</f>
        <v/>
      </c>
      <c r="AA1417" s="28">
        <f>IF($B1417="","",IF(IFERROR(INDEX(CONFIG!$L$4:$L$63,MATCH($V1417,CONFIG!$K$4:$K$63,0)),"NO")="SÍ",IF(OR($Y1417="",$X1417=""),"Resuelta",IF($Y1417&gt;$X1417,"Resuelta tarde","Resuelta a tiempo")),IF($X1417="","Sin clasificar",IF(TODAY()&gt;$X1417,"Vencida",IF(TODAY()&gt;=$X1417-1,"Por vencer","En plazo")))))</f>
        <v/>
      </c>
      <c r="AB1417" s="50" t="n"/>
      <c r="AC1417" s="50" t="n"/>
    </row>
    <row r="1418" ht="16" customHeight="1">
      <c r="A1418" s="28">
        <f>IF($B1418="","","N-"&amp;TEXT(ROW()-3,"0000"))</f>
        <v/>
      </c>
      <c r="B1418" s="47" t="n"/>
      <c r="C1418" s="48" t="n"/>
      <c r="D1418" s="48" t="n"/>
      <c r="E1418" s="28">
        <f>IF($C1418="","",IF($D1418="",IF($C1418="Interna","Sin guía (interna)","FALTA GUÍA"),IF(COUNTIFS(ENVIOS!$A$4:$A$3003,$D1418)=0,"NO EXISTE",IF(COUNTIFS(ENVIOS!$A$4:$A$3003,$D1418)&gt;1,"DUPLICADA","OK"))))</f>
        <v/>
      </c>
      <c r="F1418" s="28">
        <f>IF($D1418="","",IFERROR(INDEX(ENVIOS!$B$4:$B$3003,MATCH($D1418,ENVIOS!$A$4:$A$3003,0)),"—"))</f>
        <v/>
      </c>
      <c r="G1418" s="23">
        <f>IF($D1418="","",IFERROR(INDEX(ENVIOS!$D$4:$D$3003,MATCH($D1418,ENVIOS!$A$4:$A$3003,0)),"—"))</f>
        <v/>
      </c>
      <c r="H1418" s="23">
        <f>IF($D1418="","",IFERROR(INDEX(ENVIOS!$E$4:$E$3003,MATCH($D1418,ENVIOS!$A$4:$A$3003,0)),"—"))</f>
        <v/>
      </c>
      <c r="I1418" s="23">
        <f>IF($D1418="","",IFERROR(INDEX(ENVIOS!$F$4:$F$3003,MATCH($D1418,ENVIOS!$A$4:$A$3003,0)),"—"))</f>
        <v/>
      </c>
      <c r="J1418" s="23">
        <f>IF($D1418="","",IFERROR(INDEX(ENVIOS!$G$4:$G$3003,MATCH($D1418,ENVIOS!$A$4:$A$3003,0)),"—"))</f>
        <v/>
      </c>
      <c r="K1418" s="28">
        <f>IF($D1418="","",IFERROR(INDEX(ENVIOS!$H$4:$H$3003,MATCH($D1418,ENVIOS!$A$4:$A$3003,0)),"—"))</f>
        <v/>
      </c>
      <c r="L1418" s="49">
        <f>IF($D1418="","",IFERROR(INDEX(ENVIOS!$C$4:$C$3003,MATCH($D1418,ENVIOS!$A$4:$A$3003,0)),""))</f>
        <v/>
      </c>
      <c r="M1418" s="50" t="n"/>
      <c r="N1418" s="28">
        <f>IF($M1418="","",IFERROR(INDEX(CONFIG!$C$4:$C$63,MATCH($M1418,CONFIG!$A$4:$A$63,0)),"Media"))</f>
        <v/>
      </c>
      <c r="O1418" s="28">
        <f>IF($M1418="","",IF($C1418="Interna","NO",IFERROR(INDEX(CONFIG!$E$4:$E$63,MATCH($M1418,CONFIG!$A$4:$A$63,0)),"NO")))</f>
        <v/>
      </c>
      <c r="P1418" s="50" t="n"/>
      <c r="Q1418" s="50" t="n"/>
      <c r="R1418" s="28">
        <f>IF($Q1418="","",IFERROR(INDEX(CONFIG!$H$4:$H$63,MATCH($Q1418,CONFIG!$G$4:$G$63,0)),"Por definir"))</f>
        <v/>
      </c>
      <c r="S1418" s="28">
        <f>IF($Q1418="","",IFERROR(INDEX(CONFIG!$I$4:$I$63,MATCH($Q1418,CONFIG!$G$4:$G$63,0)),"Por definir"))</f>
        <v/>
      </c>
      <c r="T1418" s="51" t="n"/>
      <c r="U1418" s="52" t="n"/>
      <c r="V1418" s="50" t="n"/>
      <c r="W1418" s="50" t="n"/>
      <c r="X1418" s="49">
        <f>IF(OR($B1418="",$M1418=""),"",WORKDAY($B1418,IFERROR(INDEX(CONFIG!$D$4:$D$63,MATCH($M1418,CONFIG!$A$4:$A$63,0)),3)))</f>
        <v/>
      </c>
      <c r="Y1418" s="47" t="n"/>
      <c r="Z1418" s="24">
        <f>IF($B1418="","",IF($Y1418&lt;&gt;"",$Y1418-$B1418,TODAY()-$B1418))</f>
        <v/>
      </c>
      <c r="AA1418" s="28">
        <f>IF($B1418="","",IF(IFERROR(INDEX(CONFIG!$L$4:$L$63,MATCH($V1418,CONFIG!$K$4:$K$63,0)),"NO")="SÍ",IF(OR($Y1418="",$X1418=""),"Resuelta",IF($Y1418&gt;$X1418,"Resuelta tarde","Resuelta a tiempo")),IF($X1418="","Sin clasificar",IF(TODAY()&gt;$X1418,"Vencida",IF(TODAY()&gt;=$X1418-1,"Por vencer","En plazo")))))</f>
        <v/>
      </c>
      <c r="AB1418" s="50" t="n"/>
      <c r="AC1418" s="50" t="n"/>
    </row>
    <row r="1419" ht="16" customHeight="1">
      <c r="A1419" s="28">
        <f>IF($B1419="","","N-"&amp;TEXT(ROW()-3,"0000"))</f>
        <v/>
      </c>
      <c r="B1419" s="47" t="n"/>
      <c r="C1419" s="48" t="n"/>
      <c r="D1419" s="48" t="n"/>
      <c r="E1419" s="28">
        <f>IF($C1419="","",IF($D1419="",IF($C1419="Interna","Sin guía (interna)","FALTA GUÍA"),IF(COUNTIFS(ENVIOS!$A$4:$A$3003,$D1419)=0,"NO EXISTE",IF(COUNTIFS(ENVIOS!$A$4:$A$3003,$D1419)&gt;1,"DUPLICADA","OK"))))</f>
        <v/>
      </c>
      <c r="F1419" s="28">
        <f>IF($D1419="","",IFERROR(INDEX(ENVIOS!$B$4:$B$3003,MATCH($D1419,ENVIOS!$A$4:$A$3003,0)),"—"))</f>
        <v/>
      </c>
      <c r="G1419" s="23">
        <f>IF($D1419="","",IFERROR(INDEX(ENVIOS!$D$4:$D$3003,MATCH($D1419,ENVIOS!$A$4:$A$3003,0)),"—"))</f>
        <v/>
      </c>
      <c r="H1419" s="23">
        <f>IF($D1419="","",IFERROR(INDEX(ENVIOS!$E$4:$E$3003,MATCH($D1419,ENVIOS!$A$4:$A$3003,0)),"—"))</f>
        <v/>
      </c>
      <c r="I1419" s="23">
        <f>IF($D1419="","",IFERROR(INDEX(ENVIOS!$F$4:$F$3003,MATCH($D1419,ENVIOS!$A$4:$A$3003,0)),"—"))</f>
        <v/>
      </c>
      <c r="J1419" s="23">
        <f>IF($D1419="","",IFERROR(INDEX(ENVIOS!$G$4:$G$3003,MATCH($D1419,ENVIOS!$A$4:$A$3003,0)),"—"))</f>
        <v/>
      </c>
      <c r="K1419" s="28">
        <f>IF($D1419="","",IFERROR(INDEX(ENVIOS!$H$4:$H$3003,MATCH($D1419,ENVIOS!$A$4:$A$3003,0)),"—"))</f>
        <v/>
      </c>
      <c r="L1419" s="49">
        <f>IF($D1419="","",IFERROR(INDEX(ENVIOS!$C$4:$C$3003,MATCH($D1419,ENVIOS!$A$4:$A$3003,0)),""))</f>
        <v/>
      </c>
      <c r="M1419" s="50" t="n"/>
      <c r="N1419" s="28">
        <f>IF($M1419="","",IFERROR(INDEX(CONFIG!$C$4:$C$63,MATCH($M1419,CONFIG!$A$4:$A$63,0)),"Media"))</f>
        <v/>
      </c>
      <c r="O1419" s="28">
        <f>IF($M1419="","",IF($C1419="Interna","NO",IFERROR(INDEX(CONFIG!$E$4:$E$63,MATCH($M1419,CONFIG!$A$4:$A$63,0)),"NO")))</f>
        <v/>
      </c>
      <c r="P1419" s="50" t="n"/>
      <c r="Q1419" s="50" t="n"/>
      <c r="R1419" s="28">
        <f>IF($Q1419="","",IFERROR(INDEX(CONFIG!$H$4:$H$63,MATCH($Q1419,CONFIG!$G$4:$G$63,0)),"Por definir"))</f>
        <v/>
      </c>
      <c r="S1419" s="28">
        <f>IF($Q1419="","",IFERROR(INDEX(CONFIG!$I$4:$I$63,MATCH($Q1419,CONFIG!$G$4:$G$63,0)),"Por definir"))</f>
        <v/>
      </c>
      <c r="T1419" s="51" t="n"/>
      <c r="U1419" s="52" t="n"/>
      <c r="V1419" s="50" t="n"/>
      <c r="W1419" s="50" t="n"/>
      <c r="X1419" s="49">
        <f>IF(OR($B1419="",$M1419=""),"",WORKDAY($B1419,IFERROR(INDEX(CONFIG!$D$4:$D$63,MATCH($M1419,CONFIG!$A$4:$A$63,0)),3)))</f>
        <v/>
      </c>
      <c r="Y1419" s="47" t="n"/>
      <c r="Z1419" s="24">
        <f>IF($B1419="","",IF($Y1419&lt;&gt;"",$Y1419-$B1419,TODAY()-$B1419))</f>
        <v/>
      </c>
      <c r="AA1419" s="28">
        <f>IF($B1419="","",IF(IFERROR(INDEX(CONFIG!$L$4:$L$63,MATCH($V1419,CONFIG!$K$4:$K$63,0)),"NO")="SÍ",IF(OR($Y1419="",$X1419=""),"Resuelta",IF($Y1419&gt;$X1419,"Resuelta tarde","Resuelta a tiempo")),IF($X1419="","Sin clasificar",IF(TODAY()&gt;$X1419,"Vencida",IF(TODAY()&gt;=$X1419-1,"Por vencer","En plazo")))))</f>
        <v/>
      </c>
      <c r="AB1419" s="50" t="n"/>
      <c r="AC1419" s="50" t="n"/>
    </row>
    <row r="1420" ht="16" customHeight="1">
      <c r="A1420" s="28">
        <f>IF($B1420="","","N-"&amp;TEXT(ROW()-3,"0000"))</f>
        <v/>
      </c>
      <c r="B1420" s="47" t="n"/>
      <c r="C1420" s="48" t="n"/>
      <c r="D1420" s="48" t="n"/>
      <c r="E1420" s="28">
        <f>IF($C1420="","",IF($D1420="",IF($C1420="Interna","Sin guía (interna)","FALTA GUÍA"),IF(COUNTIFS(ENVIOS!$A$4:$A$3003,$D1420)=0,"NO EXISTE",IF(COUNTIFS(ENVIOS!$A$4:$A$3003,$D1420)&gt;1,"DUPLICADA","OK"))))</f>
        <v/>
      </c>
      <c r="F1420" s="28">
        <f>IF($D1420="","",IFERROR(INDEX(ENVIOS!$B$4:$B$3003,MATCH($D1420,ENVIOS!$A$4:$A$3003,0)),"—"))</f>
        <v/>
      </c>
      <c r="G1420" s="23">
        <f>IF($D1420="","",IFERROR(INDEX(ENVIOS!$D$4:$D$3003,MATCH($D1420,ENVIOS!$A$4:$A$3003,0)),"—"))</f>
        <v/>
      </c>
      <c r="H1420" s="23">
        <f>IF($D1420="","",IFERROR(INDEX(ENVIOS!$E$4:$E$3003,MATCH($D1420,ENVIOS!$A$4:$A$3003,0)),"—"))</f>
        <v/>
      </c>
      <c r="I1420" s="23">
        <f>IF($D1420="","",IFERROR(INDEX(ENVIOS!$F$4:$F$3003,MATCH($D1420,ENVIOS!$A$4:$A$3003,0)),"—"))</f>
        <v/>
      </c>
      <c r="J1420" s="23">
        <f>IF($D1420="","",IFERROR(INDEX(ENVIOS!$G$4:$G$3003,MATCH($D1420,ENVIOS!$A$4:$A$3003,0)),"—"))</f>
        <v/>
      </c>
      <c r="K1420" s="28">
        <f>IF($D1420="","",IFERROR(INDEX(ENVIOS!$H$4:$H$3003,MATCH($D1420,ENVIOS!$A$4:$A$3003,0)),"—"))</f>
        <v/>
      </c>
      <c r="L1420" s="49">
        <f>IF($D1420="","",IFERROR(INDEX(ENVIOS!$C$4:$C$3003,MATCH($D1420,ENVIOS!$A$4:$A$3003,0)),""))</f>
        <v/>
      </c>
      <c r="M1420" s="50" t="n"/>
      <c r="N1420" s="28">
        <f>IF($M1420="","",IFERROR(INDEX(CONFIG!$C$4:$C$63,MATCH($M1420,CONFIG!$A$4:$A$63,0)),"Media"))</f>
        <v/>
      </c>
      <c r="O1420" s="28">
        <f>IF($M1420="","",IF($C1420="Interna","NO",IFERROR(INDEX(CONFIG!$E$4:$E$63,MATCH($M1420,CONFIG!$A$4:$A$63,0)),"NO")))</f>
        <v/>
      </c>
      <c r="P1420" s="50" t="n"/>
      <c r="Q1420" s="50" t="n"/>
      <c r="R1420" s="28">
        <f>IF($Q1420="","",IFERROR(INDEX(CONFIG!$H$4:$H$63,MATCH($Q1420,CONFIG!$G$4:$G$63,0)),"Por definir"))</f>
        <v/>
      </c>
      <c r="S1420" s="28">
        <f>IF($Q1420="","",IFERROR(INDEX(CONFIG!$I$4:$I$63,MATCH($Q1420,CONFIG!$G$4:$G$63,0)),"Por definir"))</f>
        <v/>
      </c>
      <c r="T1420" s="51" t="n"/>
      <c r="U1420" s="52" t="n"/>
      <c r="V1420" s="50" t="n"/>
      <c r="W1420" s="50" t="n"/>
      <c r="X1420" s="49">
        <f>IF(OR($B1420="",$M1420=""),"",WORKDAY($B1420,IFERROR(INDEX(CONFIG!$D$4:$D$63,MATCH($M1420,CONFIG!$A$4:$A$63,0)),3)))</f>
        <v/>
      </c>
      <c r="Y1420" s="47" t="n"/>
      <c r="Z1420" s="24">
        <f>IF($B1420="","",IF($Y1420&lt;&gt;"",$Y1420-$B1420,TODAY()-$B1420))</f>
        <v/>
      </c>
      <c r="AA1420" s="28">
        <f>IF($B1420="","",IF(IFERROR(INDEX(CONFIG!$L$4:$L$63,MATCH($V1420,CONFIG!$K$4:$K$63,0)),"NO")="SÍ",IF(OR($Y1420="",$X1420=""),"Resuelta",IF($Y1420&gt;$X1420,"Resuelta tarde","Resuelta a tiempo")),IF($X1420="","Sin clasificar",IF(TODAY()&gt;$X1420,"Vencida",IF(TODAY()&gt;=$X1420-1,"Por vencer","En plazo")))))</f>
        <v/>
      </c>
      <c r="AB1420" s="50" t="n"/>
      <c r="AC1420" s="50" t="n"/>
    </row>
    <row r="1421" ht="16" customHeight="1">
      <c r="A1421" s="28">
        <f>IF($B1421="","","N-"&amp;TEXT(ROW()-3,"0000"))</f>
        <v/>
      </c>
      <c r="B1421" s="47" t="n"/>
      <c r="C1421" s="48" t="n"/>
      <c r="D1421" s="48" t="n"/>
      <c r="E1421" s="28">
        <f>IF($C1421="","",IF($D1421="",IF($C1421="Interna","Sin guía (interna)","FALTA GUÍA"),IF(COUNTIFS(ENVIOS!$A$4:$A$3003,$D1421)=0,"NO EXISTE",IF(COUNTIFS(ENVIOS!$A$4:$A$3003,$D1421)&gt;1,"DUPLICADA","OK"))))</f>
        <v/>
      </c>
      <c r="F1421" s="28">
        <f>IF($D1421="","",IFERROR(INDEX(ENVIOS!$B$4:$B$3003,MATCH($D1421,ENVIOS!$A$4:$A$3003,0)),"—"))</f>
        <v/>
      </c>
      <c r="G1421" s="23">
        <f>IF($D1421="","",IFERROR(INDEX(ENVIOS!$D$4:$D$3003,MATCH($D1421,ENVIOS!$A$4:$A$3003,0)),"—"))</f>
        <v/>
      </c>
      <c r="H1421" s="23">
        <f>IF($D1421="","",IFERROR(INDEX(ENVIOS!$E$4:$E$3003,MATCH($D1421,ENVIOS!$A$4:$A$3003,0)),"—"))</f>
        <v/>
      </c>
      <c r="I1421" s="23">
        <f>IF($D1421="","",IFERROR(INDEX(ENVIOS!$F$4:$F$3003,MATCH($D1421,ENVIOS!$A$4:$A$3003,0)),"—"))</f>
        <v/>
      </c>
      <c r="J1421" s="23">
        <f>IF($D1421="","",IFERROR(INDEX(ENVIOS!$G$4:$G$3003,MATCH($D1421,ENVIOS!$A$4:$A$3003,0)),"—"))</f>
        <v/>
      </c>
      <c r="K1421" s="28">
        <f>IF($D1421="","",IFERROR(INDEX(ENVIOS!$H$4:$H$3003,MATCH($D1421,ENVIOS!$A$4:$A$3003,0)),"—"))</f>
        <v/>
      </c>
      <c r="L1421" s="49">
        <f>IF($D1421="","",IFERROR(INDEX(ENVIOS!$C$4:$C$3003,MATCH($D1421,ENVIOS!$A$4:$A$3003,0)),""))</f>
        <v/>
      </c>
      <c r="M1421" s="50" t="n"/>
      <c r="N1421" s="28">
        <f>IF($M1421="","",IFERROR(INDEX(CONFIG!$C$4:$C$63,MATCH($M1421,CONFIG!$A$4:$A$63,0)),"Media"))</f>
        <v/>
      </c>
      <c r="O1421" s="28">
        <f>IF($M1421="","",IF($C1421="Interna","NO",IFERROR(INDEX(CONFIG!$E$4:$E$63,MATCH($M1421,CONFIG!$A$4:$A$63,0)),"NO")))</f>
        <v/>
      </c>
      <c r="P1421" s="50" t="n"/>
      <c r="Q1421" s="50" t="n"/>
      <c r="R1421" s="28">
        <f>IF($Q1421="","",IFERROR(INDEX(CONFIG!$H$4:$H$63,MATCH($Q1421,CONFIG!$G$4:$G$63,0)),"Por definir"))</f>
        <v/>
      </c>
      <c r="S1421" s="28">
        <f>IF($Q1421="","",IFERROR(INDEX(CONFIG!$I$4:$I$63,MATCH($Q1421,CONFIG!$G$4:$G$63,0)),"Por definir"))</f>
        <v/>
      </c>
      <c r="T1421" s="51" t="n"/>
      <c r="U1421" s="52" t="n"/>
      <c r="V1421" s="50" t="n"/>
      <c r="W1421" s="50" t="n"/>
      <c r="X1421" s="49">
        <f>IF(OR($B1421="",$M1421=""),"",WORKDAY($B1421,IFERROR(INDEX(CONFIG!$D$4:$D$63,MATCH($M1421,CONFIG!$A$4:$A$63,0)),3)))</f>
        <v/>
      </c>
      <c r="Y1421" s="47" t="n"/>
      <c r="Z1421" s="24">
        <f>IF($B1421="","",IF($Y1421&lt;&gt;"",$Y1421-$B1421,TODAY()-$B1421))</f>
        <v/>
      </c>
      <c r="AA1421" s="28">
        <f>IF($B1421="","",IF(IFERROR(INDEX(CONFIG!$L$4:$L$63,MATCH($V1421,CONFIG!$K$4:$K$63,0)),"NO")="SÍ",IF(OR($Y1421="",$X1421=""),"Resuelta",IF($Y1421&gt;$X1421,"Resuelta tarde","Resuelta a tiempo")),IF($X1421="","Sin clasificar",IF(TODAY()&gt;$X1421,"Vencida",IF(TODAY()&gt;=$X1421-1,"Por vencer","En plazo")))))</f>
        <v/>
      </c>
      <c r="AB1421" s="50" t="n"/>
      <c r="AC1421" s="50" t="n"/>
    </row>
    <row r="1422" ht="16" customHeight="1">
      <c r="A1422" s="28">
        <f>IF($B1422="","","N-"&amp;TEXT(ROW()-3,"0000"))</f>
        <v/>
      </c>
      <c r="B1422" s="47" t="n"/>
      <c r="C1422" s="48" t="n"/>
      <c r="D1422" s="48" t="n"/>
      <c r="E1422" s="28">
        <f>IF($C1422="","",IF($D1422="",IF($C1422="Interna","Sin guía (interna)","FALTA GUÍA"),IF(COUNTIFS(ENVIOS!$A$4:$A$3003,$D1422)=0,"NO EXISTE",IF(COUNTIFS(ENVIOS!$A$4:$A$3003,$D1422)&gt;1,"DUPLICADA","OK"))))</f>
        <v/>
      </c>
      <c r="F1422" s="28">
        <f>IF($D1422="","",IFERROR(INDEX(ENVIOS!$B$4:$B$3003,MATCH($D1422,ENVIOS!$A$4:$A$3003,0)),"—"))</f>
        <v/>
      </c>
      <c r="G1422" s="23">
        <f>IF($D1422="","",IFERROR(INDEX(ENVIOS!$D$4:$D$3003,MATCH($D1422,ENVIOS!$A$4:$A$3003,0)),"—"))</f>
        <v/>
      </c>
      <c r="H1422" s="23">
        <f>IF($D1422="","",IFERROR(INDEX(ENVIOS!$E$4:$E$3003,MATCH($D1422,ENVIOS!$A$4:$A$3003,0)),"—"))</f>
        <v/>
      </c>
      <c r="I1422" s="23">
        <f>IF($D1422="","",IFERROR(INDEX(ENVIOS!$F$4:$F$3003,MATCH($D1422,ENVIOS!$A$4:$A$3003,0)),"—"))</f>
        <v/>
      </c>
      <c r="J1422" s="23">
        <f>IF($D1422="","",IFERROR(INDEX(ENVIOS!$G$4:$G$3003,MATCH($D1422,ENVIOS!$A$4:$A$3003,0)),"—"))</f>
        <v/>
      </c>
      <c r="K1422" s="28">
        <f>IF($D1422="","",IFERROR(INDEX(ENVIOS!$H$4:$H$3003,MATCH($D1422,ENVIOS!$A$4:$A$3003,0)),"—"))</f>
        <v/>
      </c>
      <c r="L1422" s="49">
        <f>IF($D1422="","",IFERROR(INDEX(ENVIOS!$C$4:$C$3003,MATCH($D1422,ENVIOS!$A$4:$A$3003,0)),""))</f>
        <v/>
      </c>
      <c r="M1422" s="50" t="n"/>
      <c r="N1422" s="28">
        <f>IF($M1422="","",IFERROR(INDEX(CONFIG!$C$4:$C$63,MATCH($M1422,CONFIG!$A$4:$A$63,0)),"Media"))</f>
        <v/>
      </c>
      <c r="O1422" s="28">
        <f>IF($M1422="","",IF($C1422="Interna","NO",IFERROR(INDEX(CONFIG!$E$4:$E$63,MATCH($M1422,CONFIG!$A$4:$A$63,0)),"NO")))</f>
        <v/>
      </c>
      <c r="P1422" s="50" t="n"/>
      <c r="Q1422" s="50" t="n"/>
      <c r="R1422" s="28">
        <f>IF($Q1422="","",IFERROR(INDEX(CONFIG!$H$4:$H$63,MATCH($Q1422,CONFIG!$G$4:$G$63,0)),"Por definir"))</f>
        <v/>
      </c>
      <c r="S1422" s="28">
        <f>IF($Q1422="","",IFERROR(INDEX(CONFIG!$I$4:$I$63,MATCH($Q1422,CONFIG!$G$4:$G$63,0)),"Por definir"))</f>
        <v/>
      </c>
      <c r="T1422" s="51" t="n"/>
      <c r="U1422" s="52" t="n"/>
      <c r="V1422" s="50" t="n"/>
      <c r="W1422" s="50" t="n"/>
      <c r="X1422" s="49">
        <f>IF(OR($B1422="",$M1422=""),"",WORKDAY($B1422,IFERROR(INDEX(CONFIG!$D$4:$D$63,MATCH($M1422,CONFIG!$A$4:$A$63,0)),3)))</f>
        <v/>
      </c>
      <c r="Y1422" s="47" t="n"/>
      <c r="Z1422" s="24">
        <f>IF($B1422="","",IF($Y1422&lt;&gt;"",$Y1422-$B1422,TODAY()-$B1422))</f>
        <v/>
      </c>
      <c r="AA1422" s="28">
        <f>IF($B1422="","",IF(IFERROR(INDEX(CONFIG!$L$4:$L$63,MATCH($V1422,CONFIG!$K$4:$K$63,0)),"NO")="SÍ",IF(OR($Y1422="",$X1422=""),"Resuelta",IF($Y1422&gt;$X1422,"Resuelta tarde","Resuelta a tiempo")),IF($X1422="","Sin clasificar",IF(TODAY()&gt;$X1422,"Vencida",IF(TODAY()&gt;=$X1422-1,"Por vencer","En plazo")))))</f>
        <v/>
      </c>
      <c r="AB1422" s="50" t="n"/>
      <c r="AC1422" s="50" t="n"/>
    </row>
    <row r="1423" ht="16" customHeight="1">
      <c r="A1423" s="28">
        <f>IF($B1423="","","N-"&amp;TEXT(ROW()-3,"0000"))</f>
        <v/>
      </c>
      <c r="B1423" s="47" t="n"/>
      <c r="C1423" s="48" t="n"/>
      <c r="D1423" s="48" t="n"/>
      <c r="E1423" s="28">
        <f>IF($C1423="","",IF($D1423="",IF($C1423="Interna","Sin guía (interna)","FALTA GUÍA"),IF(COUNTIFS(ENVIOS!$A$4:$A$3003,$D1423)=0,"NO EXISTE",IF(COUNTIFS(ENVIOS!$A$4:$A$3003,$D1423)&gt;1,"DUPLICADA","OK"))))</f>
        <v/>
      </c>
      <c r="F1423" s="28">
        <f>IF($D1423="","",IFERROR(INDEX(ENVIOS!$B$4:$B$3003,MATCH($D1423,ENVIOS!$A$4:$A$3003,0)),"—"))</f>
        <v/>
      </c>
      <c r="G1423" s="23">
        <f>IF($D1423="","",IFERROR(INDEX(ENVIOS!$D$4:$D$3003,MATCH($D1423,ENVIOS!$A$4:$A$3003,0)),"—"))</f>
        <v/>
      </c>
      <c r="H1423" s="23">
        <f>IF($D1423="","",IFERROR(INDEX(ENVIOS!$E$4:$E$3003,MATCH($D1423,ENVIOS!$A$4:$A$3003,0)),"—"))</f>
        <v/>
      </c>
      <c r="I1423" s="23">
        <f>IF($D1423="","",IFERROR(INDEX(ENVIOS!$F$4:$F$3003,MATCH($D1423,ENVIOS!$A$4:$A$3003,0)),"—"))</f>
        <v/>
      </c>
      <c r="J1423" s="23">
        <f>IF($D1423="","",IFERROR(INDEX(ENVIOS!$G$4:$G$3003,MATCH($D1423,ENVIOS!$A$4:$A$3003,0)),"—"))</f>
        <v/>
      </c>
      <c r="K1423" s="28">
        <f>IF($D1423="","",IFERROR(INDEX(ENVIOS!$H$4:$H$3003,MATCH($D1423,ENVIOS!$A$4:$A$3003,0)),"—"))</f>
        <v/>
      </c>
      <c r="L1423" s="49">
        <f>IF($D1423="","",IFERROR(INDEX(ENVIOS!$C$4:$C$3003,MATCH($D1423,ENVIOS!$A$4:$A$3003,0)),""))</f>
        <v/>
      </c>
      <c r="M1423" s="50" t="n"/>
      <c r="N1423" s="28">
        <f>IF($M1423="","",IFERROR(INDEX(CONFIG!$C$4:$C$63,MATCH($M1423,CONFIG!$A$4:$A$63,0)),"Media"))</f>
        <v/>
      </c>
      <c r="O1423" s="28">
        <f>IF($M1423="","",IF($C1423="Interna","NO",IFERROR(INDEX(CONFIG!$E$4:$E$63,MATCH($M1423,CONFIG!$A$4:$A$63,0)),"NO")))</f>
        <v/>
      </c>
      <c r="P1423" s="50" t="n"/>
      <c r="Q1423" s="50" t="n"/>
      <c r="R1423" s="28">
        <f>IF($Q1423="","",IFERROR(INDEX(CONFIG!$H$4:$H$63,MATCH($Q1423,CONFIG!$G$4:$G$63,0)),"Por definir"))</f>
        <v/>
      </c>
      <c r="S1423" s="28">
        <f>IF($Q1423="","",IFERROR(INDEX(CONFIG!$I$4:$I$63,MATCH($Q1423,CONFIG!$G$4:$G$63,0)),"Por definir"))</f>
        <v/>
      </c>
      <c r="T1423" s="51" t="n"/>
      <c r="U1423" s="52" t="n"/>
      <c r="V1423" s="50" t="n"/>
      <c r="W1423" s="50" t="n"/>
      <c r="X1423" s="49">
        <f>IF(OR($B1423="",$M1423=""),"",WORKDAY($B1423,IFERROR(INDEX(CONFIG!$D$4:$D$63,MATCH($M1423,CONFIG!$A$4:$A$63,0)),3)))</f>
        <v/>
      </c>
      <c r="Y1423" s="47" t="n"/>
      <c r="Z1423" s="24">
        <f>IF($B1423="","",IF($Y1423&lt;&gt;"",$Y1423-$B1423,TODAY()-$B1423))</f>
        <v/>
      </c>
      <c r="AA1423" s="28">
        <f>IF($B1423="","",IF(IFERROR(INDEX(CONFIG!$L$4:$L$63,MATCH($V1423,CONFIG!$K$4:$K$63,0)),"NO")="SÍ",IF(OR($Y1423="",$X1423=""),"Resuelta",IF($Y1423&gt;$X1423,"Resuelta tarde","Resuelta a tiempo")),IF($X1423="","Sin clasificar",IF(TODAY()&gt;$X1423,"Vencida",IF(TODAY()&gt;=$X1423-1,"Por vencer","En plazo")))))</f>
        <v/>
      </c>
      <c r="AB1423" s="50" t="n"/>
      <c r="AC1423" s="50" t="n"/>
    </row>
    <row r="1424" ht="16" customHeight="1">
      <c r="A1424" s="28">
        <f>IF($B1424="","","N-"&amp;TEXT(ROW()-3,"0000"))</f>
        <v/>
      </c>
      <c r="B1424" s="47" t="n"/>
      <c r="C1424" s="48" t="n"/>
      <c r="D1424" s="48" t="n"/>
      <c r="E1424" s="28">
        <f>IF($C1424="","",IF($D1424="",IF($C1424="Interna","Sin guía (interna)","FALTA GUÍA"),IF(COUNTIFS(ENVIOS!$A$4:$A$3003,$D1424)=0,"NO EXISTE",IF(COUNTIFS(ENVIOS!$A$4:$A$3003,$D1424)&gt;1,"DUPLICADA","OK"))))</f>
        <v/>
      </c>
      <c r="F1424" s="28">
        <f>IF($D1424="","",IFERROR(INDEX(ENVIOS!$B$4:$B$3003,MATCH($D1424,ENVIOS!$A$4:$A$3003,0)),"—"))</f>
        <v/>
      </c>
      <c r="G1424" s="23">
        <f>IF($D1424="","",IFERROR(INDEX(ENVIOS!$D$4:$D$3003,MATCH($D1424,ENVIOS!$A$4:$A$3003,0)),"—"))</f>
        <v/>
      </c>
      <c r="H1424" s="23">
        <f>IF($D1424="","",IFERROR(INDEX(ENVIOS!$E$4:$E$3003,MATCH($D1424,ENVIOS!$A$4:$A$3003,0)),"—"))</f>
        <v/>
      </c>
      <c r="I1424" s="23">
        <f>IF($D1424="","",IFERROR(INDEX(ENVIOS!$F$4:$F$3003,MATCH($D1424,ENVIOS!$A$4:$A$3003,0)),"—"))</f>
        <v/>
      </c>
      <c r="J1424" s="23">
        <f>IF($D1424="","",IFERROR(INDEX(ENVIOS!$G$4:$G$3003,MATCH($D1424,ENVIOS!$A$4:$A$3003,0)),"—"))</f>
        <v/>
      </c>
      <c r="K1424" s="28">
        <f>IF($D1424="","",IFERROR(INDEX(ENVIOS!$H$4:$H$3003,MATCH($D1424,ENVIOS!$A$4:$A$3003,0)),"—"))</f>
        <v/>
      </c>
      <c r="L1424" s="49">
        <f>IF($D1424="","",IFERROR(INDEX(ENVIOS!$C$4:$C$3003,MATCH($D1424,ENVIOS!$A$4:$A$3003,0)),""))</f>
        <v/>
      </c>
      <c r="M1424" s="50" t="n"/>
      <c r="N1424" s="28">
        <f>IF($M1424="","",IFERROR(INDEX(CONFIG!$C$4:$C$63,MATCH($M1424,CONFIG!$A$4:$A$63,0)),"Media"))</f>
        <v/>
      </c>
      <c r="O1424" s="28">
        <f>IF($M1424="","",IF($C1424="Interna","NO",IFERROR(INDEX(CONFIG!$E$4:$E$63,MATCH($M1424,CONFIG!$A$4:$A$63,0)),"NO")))</f>
        <v/>
      </c>
      <c r="P1424" s="50" t="n"/>
      <c r="Q1424" s="50" t="n"/>
      <c r="R1424" s="28">
        <f>IF($Q1424="","",IFERROR(INDEX(CONFIG!$H$4:$H$63,MATCH($Q1424,CONFIG!$G$4:$G$63,0)),"Por definir"))</f>
        <v/>
      </c>
      <c r="S1424" s="28">
        <f>IF($Q1424="","",IFERROR(INDEX(CONFIG!$I$4:$I$63,MATCH($Q1424,CONFIG!$G$4:$G$63,0)),"Por definir"))</f>
        <v/>
      </c>
      <c r="T1424" s="51" t="n"/>
      <c r="U1424" s="52" t="n"/>
      <c r="V1424" s="50" t="n"/>
      <c r="W1424" s="50" t="n"/>
      <c r="X1424" s="49">
        <f>IF(OR($B1424="",$M1424=""),"",WORKDAY($B1424,IFERROR(INDEX(CONFIG!$D$4:$D$63,MATCH($M1424,CONFIG!$A$4:$A$63,0)),3)))</f>
        <v/>
      </c>
      <c r="Y1424" s="47" t="n"/>
      <c r="Z1424" s="24">
        <f>IF($B1424="","",IF($Y1424&lt;&gt;"",$Y1424-$B1424,TODAY()-$B1424))</f>
        <v/>
      </c>
      <c r="AA1424" s="28">
        <f>IF($B1424="","",IF(IFERROR(INDEX(CONFIG!$L$4:$L$63,MATCH($V1424,CONFIG!$K$4:$K$63,0)),"NO")="SÍ",IF(OR($Y1424="",$X1424=""),"Resuelta",IF($Y1424&gt;$X1424,"Resuelta tarde","Resuelta a tiempo")),IF($X1424="","Sin clasificar",IF(TODAY()&gt;$X1424,"Vencida",IF(TODAY()&gt;=$X1424-1,"Por vencer","En plazo")))))</f>
        <v/>
      </c>
      <c r="AB1424" s="50" t="n"/>
      <c r="AC1424" s="50" t="n"/>
    </row>
    <row r="1425" ht="16" customHeight="1">
      <c r="A1425" s="28">
        <f>IF($B1425="","","N-"&amp;TEXT(ROW()-3,"0000"))</f>
        <v/>
      </c>
      <c r="B1425" s="47" t="n"/>
      <c r="C1425" s="48" t="n"/>
      <c r="D1425" s="48" t="n"/>
      <c r="E1425" s="28">
        <f>IF($C1425="","",IF($D1425="",IF($C1425="Interna","Sin guía (interna)","FALTA GUÍA"),IF(COUNTIFS(ENVIOS!$A$4:$A$3003,$D1425)=0,"NO EXISTE",IF(COUNTIFS(ENVIOS!$A$4:$A$3003,$D1425)&gt;1,"DUPLICADA","OK"))))</f>
        <v/>
      </c>
      <c r="F1425" s="28">
        <f>IF($D1425="","",IFERROR(INDEX(ENVIOS!$B$4:$B$3003,MATCH($D1425,ENVIOS!$A$4:$A$3003,0)),"—"))</f>
        <v/>
      </c>
      <c r="G1425" s="23">
        <f>IF($D1425="","",IFERROR(INDEX(ENVIOS!$D$4:$D$3003,MATCH($D1425,ENVIOS!$A$4:$A$3003,0)),"—"))</f>
        <v/>
      </c>
      <c r="H1425" s="23">
        <f>IF($D1425="","",IFERROR(INDEX(ENVIOS!$E$4:$E$3003,MATCH($D1425,ENVIOS!$A$4:$A$3003,0)),"—"))</f>
        <v/>
      </c>
      <c r="I1425" s="23">
        <f>IF($D1425="","",IFERROR(INDEX(ENVIOS!$F$4:$F$3003,MATCH($D1425,ENVIOS!$A$4:$A$3003,0)),"—"))</f>
        <v/>
      </c>
      <c r="J1425" s="23">
        <f>IF($D1425="","",IFERROR(INDEX(ENVIOS!$G$4:$G$3003,MATCH($D1425,ENVIOS!$A$4:$A$3003,0)),"—"))</f>
        <v/>
      </c>
      <c r="K1425" s="28">
        <f>IF($D1425="","",IFERROR(INDEX(ENVIOS!$H$4:$H$3003,MATCH($D1425,ENVIOS!$A$4:$A$3003,0)),"—"))</f>
        <v/>
      </c>
      <c r="L1425" s="49">
        <f>IF($D1425="","",IFERROR(INDEX(ENVIOS!$C$4:$C$3003,MATCH($D1425,ENVIOS!$A$4:$A$3003,0)),""))</f>
        <v/>
      </c>
      <c r="M1425" s="50" t="n"/>
      <c r="N1425" s="28">
        <f>IF($M1425="","",IFERROR(INDEX(CONFIG!$C$4:$C$63,MATCH($M1425,CONFIG!$A$4:$A$63,0)),"Media"))</f>
        <v/>
      </c>
      <c r="O1425" s="28">
        <f>IF($M1425="","",IF($C1425="Interna","NO",IFERROR(INDEX(CONFIG!$E$4:$E$63,MATCH($M1425,CONFIG!$A$4:$A$63,0)),"NO")))</f>
        <v/>
      </c>
      <c r="P1425" s="50" t="n"/>
      <c r="Q1425" s="50" t="n"/>
      <c r="R1425" s="28">
        <f>IF($Q1425="","",IFERROR(INDEX(CONFIG!$H$4:$H$63,MATCH($Q1425,CONFIG!$G$4:$G$63,0)),"Por definir"))</f>
        <v/>
      </c>
      <c r="S1425" s="28">
        <f>IF($Q1425="","",IFERROR(INDEX(CONFIG!$I$4:$I$63,MATCH($Q1425,CONFIG!$G$4:$G$63,0)),"Por definir"))</f>
        <v/>
      </c>
      <c r="T1425" s="51" t="n"/>
      <c r="U1425" s="52" t="n"/>
      <c r="V1425" s="50" t="n"/>
      <c r="W1425" s="50" t="n"/>
      <c r="X1425" s="49">
        <f>IF(OR($B1425="",$M1425=""),"",WORKDAY($B1425,IFERROR(INDEX(CONFIG!$D$4:$D$63,MATCH($M1425,CONFIG!$A$4:$A$63,0)),3)))</f>
        <v/>
      </c>
      <c r="Y1425" s="47" t="n"/>
      <c r="Z1425" s="24">
        <f>IF($B1425="","",IF($Y1425&lt;&gt;"",$Y1425-$B1425,TODAY()-$B1425))</f>
        <v/>
      </c>
      <c r="AA1425" s="28">
        <f>IF($B1425="","",IF(IFERROR(INDEX(CONFIG!$L$4:$L$63,MATCH($V1425,CONFIG!$K$4:$K$63,0)),"NO")="SÍ",IF(OR($Y1425="",$X1425=""),"Resuelta",IF($Y1425&gt;$X1425,"Resuelta tarde","Resuelta a tiempo")),IF($X1425="","Sin clasificar",IF(TODAY()&gt;$X1425,"Vencida",IF(TODAY()&gt;=$X1425-1,"Por vencer","En plazo")))))</f>
        <v/>
      </c>
      <c r="AB1425" s="50" t="n"/>
      <c r="AC1425" s="50" t="n"/>
    </row>
    <row r="1426" ht="16" customHeight="1">
      <c r="A1426" s="28">
        <f>IF($B1426="","","N-"&amp;TEXT(ROW()-3,"0000"))</f>
        <v/>
      </c>
      <c r="B1426" s="47" t="n"/>
      <c r="C1426" s="48" t="n"/>
      <c r="D1426" s="48" t="n"/>
      <c r="E1426" s="28">
        <f>IF($C1426="","",IF($D1426="",IF($C1426="Interna","Sin guía (interna)","FALTA GUÍA"),IF(COUNTIFS(ENVIOS!$A$4:$A$3003,$D1426)=0,"NO EXISTE",IF(COUNTIFS(ENVIOS!$A$4:$A$3003,$D1426)&gt;1,"DUPLICADA","OK"))))</f>
        <v/>
      </c>
      <c r="F1426" s="28">
        <f>IF($D1426="","",IFERROR(INDEX(ENVIOS!$B$4:$B$3003,MATCH($D1426,ENVIOS!$A$4:$A$3003,0)),"—"))</f>
        <v/>
      </c>
      <c r="G1426" s="23">
        <f>IF($D1426="","",IFERROR(INDEX(ENVIOS!$D$4:$D$3003,MATCH($D1426,ENVIOS!$A$4:$A$3003,0)),"—"))</f>
        <v/>
      </c>
      <c r="H1426" s="23">
        <f>IF($D1426="","",IFERROR(INDEX(ENVIOS!$E$4:$E$3003,MATCH($D1426,ENVIOS!$A$4:$A$3003,0)),"—"))</f>
        <v/>
      </c>
      <c r="I1426" s="23">
        <f>IF($D1426="","",IFERROR(INDEX(ENVIOS!$F$4:$F$3003,MATCH($D1426,ENVIOS!$A$4:$A$3003,0)),"—"))</f>
        <v/>
      </c>
      <c r="J1426" s="23">
        <f>IF($D1426="","",IFERROR(INDEX(ENVIOS!$G$4:$G$3003,MATCH($D1426,ENVIOS!$A$4:$A$3003,0)),"—"))</f>
        <v/>
      </c>
      <c r="K1426" s="28">
        <f>IF($D1426="","",IFERROR(INDEX(ENVIOS!$H$4:$H$3003,MATCH($D1426,ENVIOS!$A$4:$A$3003,0)),"—"))</f>
        <v/>
      </c>
      <c r="L1426" s="49">
        <f>IF($D1426="","",IFERROR(INDEX(ENVIOS!$C$4:$C$3003,MATCH($D1426,ENVIOS!$A$4:$A$3003,0)),""))</f>
        <v/>
      </c>
      <c r="M1426" s="50" t="n"/>
      <c r="N1426" s="28">
        <f>IF($M1426="","",IFERROR(INDEX(CONFIG!$C$4:$C$63,MATCH($M1426,CONFIG!$A$4:$A$63,0)),"Media"))</f>
        <v/>
      </c>
      <c r="O1426" s="28">
        <f>IF($M1426="","",IF($C1426="Interna","NO",IFERROR(INDEX(CONFIG!$E$4:$E$63,MATCH($M1426,CONFIG!$A$4:$A$63,0)),"NO")))</f>
        <v/>
      </c>
      <c r="P1426" s="50" t="n"/>
      <c r="Q1426" s="50" t="n"/>
      <c r="R1426" s="28">
        <f>IF($Q1426="","",IFERROR(INDEX(CONFIG!$H$4:$H$63,MATCH($Q1426,CONFIG!$G$4:$G$63,0)),"Por definir"))</f>
        <v/>
      </c>
      <c r="S1426" s="28">
        <f>IF($Q1426="","",IFERROR(INDEX(CONFIG!$I$4:$I$63,MATCH($Q1426,CONFIG!$G$4:$G$63,0)),"Por definir"))</f>
        <v/>
      </c>
      <c r="T1426" s="51" t="n"/>
      <c r="U1426" s="52" t="n"/>
      <c r="V1426" s="50" t="n"/>
      <c r="W1426" s="50" t="n"/>
      <c r="X1426" s="49">
        <f>IF(OR($B1426="",$M1426=""),"",WORKDAY($B1426,IFERROR(INDEX(CONFIG!$D$4:$D$63,MATCH($M1426,CONFIG!$A$4:$A$63,0)),3)))</f>
        <v/>
      </c>
      <c r="Y1426" s="47" t="n"/>
      <c r="Z1426" s="24">
        <f>IF($B1426="","",IF($Y1426&lt;&gt;"",$Y1426-$B1426,TODAY()-$B1426))</f>
        <v/>
      </c>
      <c r="AA1426" s="28">
        <f>IF($B1426="","",IF(IFERROR(INDEX(CONFIG!$L$4:$L$63,MATCH($V1426,CONFIG!$K$4:$K$63,0)),"NO")="SÍ",IF(OR($Y1426="",$X1426=""),"Resuelta",IF($Y1426&gt;$X1426,"Resuelta tarde","Resuelta a tiempo")),IF($X1426="","Sin clasificar",IF(TODAY()&gt;$X1426,"Vencida",IF(TODAY()&gt;=$X1426-1,"Por vencer","En plazo")))))</f>
        <v/>
      </c>
      <c r="AB1426" s="50" t="n"/>
      <c r="AC1426" s="50" t="n"/>
    </row>
    <row r="1427" ht="16" customHeight="1">
      <c r="A1427" s="28">
        <f>IF($B1427="","","N-"&amp;TEXT(ROW()-3,"0000"))</f>
        <v/>
      </c>
      <c r="B1427" s="47" t="n"/>
      <c r="C1427" s="48" t="n"/>
      <c r="D1427" s="48" t="n"/>
      <c r="E1427" s="28">
        <f>IF($C1427="","",IF($D1427="",IF($C1427="Interna","Sin guía (interna)","FALTA GUÍA"),IF(COUNTIFS(ENVIOS!$A$4:$A$3003,$D1427)=0,"NO EXISTE",IF(COUNTIFS(ENVIOS!$A$4:$A$3003,$D1427)&gt;1,"DUPLICADA","OK"))))</f>
        <v/>
      </c>
      <c r="F1427" s="28">
        <f>IF($D1427="","",IFERROR(INDEX(ENVIOS!$B$4:$B$3003,MATCH($D1427,ENVIOS!$A$4:$A$3003,0)),"—"))</f>
        <v/>
      </c>
      <c r="G1427" s="23">
        <f>IF($D1427="","",IFERROR(INDEX(ENVIOS!$D$4:$D$3003,MATCH($D1427,ENVIOS!$A$4:$A$3003,0)),"—"))</f>
        <v/>
      </c>
      <c r="H1427" s="23">
        <f>IF($D1427="","",IFERROR(INDEX(ENVIOS!$E$4:$E$3003,MATCH($D1427,ENVIOS!$A$4:$A$3003,0)),"—"))</f>
        <v/>
      </c>
      <c r="I1427" s="23">
        <f>IF($D1427="","",IFERROR(INDEX(ENVIOS!$F$4:$F$3003,MATCH($D1427,ENVIOS!$A$4:$A$3003,0)),"—"))</f>
        <v/>
      </c>
      <c r="J1427" s="23">
        <f>IF($D1427="","",IFERROR(INDEX(ENVIOS!$G$4:$G$3003,MATCH($D1427,ENVIOS!$A$4:$A$3003,0)),"—"))</f>
        <v/>
      </c>
      <c r="K1427" s="28">
        <f>IF($D1427="","",IFERROR(INDEX(ENVIOS!$H$4:$H$3003,MATCH($D1427,ENVIOS!$A$4:$A$3003,0)),"—"))</f>
        <v/>
      </c>
      <c r="L1427" s="49">
        <f>IF($D1427="","",IFERROR(INDEX(ENVIOS!$C$4:$C$3003,MATCH($D1427,ENVIOS!$A$4:$A$3003,0)),""))</f>
        <v/>
      </c>
      <c r="M1427" s="50" t="n"/>
      <c r="N1427" s="28">
        <f>IF($M1427="","",IFERROR(INDEX(CONFIG!$C$4:$C$63,MATCH($M1427,CONFIG!$A$4:$A$63,0)),"Media"))</f>
        <v/>
      </c>
      <c r="O1427" s="28">
        <f>IF($M1427="","",IF($C1427="Interna","NO",IFERROR(INDEX(CONFIG!$E$4:$E$63,MATCH($M1427,CONFIG!$A$4:$A$63,0)),"NO")))</f>
        <v/>
      </c>
      <c r="P1427" s="50" t="n"/>
      <c r="Q1427" s="50" t="n"/>
      <c r="R1427" s="28">
        <f>IF($Q1427="","",IFERROR(INDEX(CONFIG!$H$4:$H$63,MATCH($Q1427,CONFIG!$G$4:$G$63,0)),"Por definir"))</f>
        <v/>
      </c>
      <c r="S1427" s="28">
        <f>IF($Q1427="","",IFERROR(INDEX(CONFIG!$I$4:$I$63,MATCH($Q1427,CONFIG!$G$4:$G$63,0)),"Por definir"))</f>
        <v/>
      </c>
      <c r="T1427" s="51" t="n"/>
      <c r="U1427" s="52" t="n"/>
      <c r="V1427" s="50" t="n"/>
      <c r="W1427" s="50" t="n"/>
      <c r="X1427" s="49">
        <f>IF(OR($B1427="",$M1427=""),"",WORKDAY($B1427,IFERROR(INDEX(CONFIG!$D$4:$D$63,MATCH($M1427,CONFIG!$A$4:$A$63,0)),3)))</f>
        <v/>
      </c>
      <c r="Y1427" s="47" t="n"/>
      <c r="Z1427" s="24">
        <f>IF($B1427="","",IF($Y1427&lt;&gt;"",$Y1427-$B1427,TODAY()-$B1427))</f>
        <v/>
      </c>
      <c r="AA1427" s="28">
        <f>IF($B1427="","",IF(IFERROR(INDEX(CONFIG!$L$4:$L$63,MATCH($V1427,CONFIG!$K$4:$K$63,0)),"NO")="SÍ",IF(OR($Y1427="",$X1427=""),"Resuelta",IF($Y1427&gt;$X1427,"Resuelta tarde","Resuelta a tiempo")),IF($X1427="","Sin clasificar",IF(TODAY()&gt;$X1427,"Vencida",IF(TODAY()&gt;=$X1427-1,"Por vencer","En plazo")))))</f>
        <v/>
      </c>
      <c r="AB1427" s="50" t="n"/>
      <c r="AC1427" s="50" t="n"/>
    </row>
    <row r="1428" ht="16" customHeight="1">
      <c r="A1428" s="28">
        <f>IF($B1428="","","N-"&amp;TEXT(ROW()-3,"0000"))</f>
        <v/>
      </c>
      <c r="B1428" s="47" t="n"/>
      <c r="C1428" s="48" t="n"/>
      <c r="D1428" s="48" t="n"/>
      <c r="E1428" s="28">
        <f>IF($C1428="","",IF($D1428="",IF($C1428="Interna","Sin guía (interna)","FALTA GUÍA"),IF(COUNTIFS(ENVIOS!$A$4:$A$3003,$D1428)=0,"NO EXISTE",IF(COUNTIFS(ENVIOS!$A$4:$A$3003,$D1428)&gt;1,"DUPLICADA","OK"))))</f>
        <v/>
      </c>
      <c r="F1428" s="28">
        <f>IF($D1428="","",IFERROR(INDEX(ENVIOS!$B$4:$B$3003,MATCH($D1428,ENVIOS!$A$4:$A$3003,0)),"—"))</f>
        <v/>
      </c>
      <c r="G1428" s="23">
        <f>IF($D1428="","",IFERROR(INDEX(ENVIOS!$D$4:$D$3003,MATCH($D1428,ENVIOS!$A$4:$A$3003,0)),"—"))</f>
        <v/>
      </c>
      <c r="H1428" s="23">
        <f>IF($D1428="","",IFERROR(INDEX(ENVIOS!$E$4:$E$3003,MATCH($D1428,ENVIOS!$A$4:$A$3003,0)),"—"))</f>
        <v/>
      </c>
      <c r="I1428" s="23">
        <f>IF($D1428="","",IFERROR(INDEX(ENVIOS!$F$4:$F$3003,MATCH($D1428,ENVIOS!$A$4:$A$3003,0)),"—"))</f>
        <v/>
      </c>
      <c r="J1428" s="23">
        <f>IF($D1428="","",IFERROR(INDEX(ENVIOS!$G$4:$G$3003,MATCH($D1428,ENVIOS!$A$4:$A$3003,0)),"—"))</f>
        <v/>
      </c>
      <c r="K1428" s="28">
        <f>IF($D1428="","",IFERROR(INDEX(ENVIOS!$H$4:$H$3003,MATCH($D1428,ENVIOS!$A$4:$A$3003,0)),"—"))</f>
        <v/>
      </c>
      <c r="L1428" s="49">
        <f>IF($D1428="","",IFERROR(INDEX(ENVIOS!$C$4:$C$3003,MATCH($D1428,ENVIOS!$A$4:$A$3003,0)),""))</f>
        <v/>
      </c>
      <c r="M1428" s="50" t="n"/>
      <c r="N1428" s="28">
        <f>IF($M1428="","",IFERROR(INDEX(CONFIG!$C$4:$C$63,MATCH($M1428,CONFIG!$A$4:$A$63,0)),"Media"))</f>
        <v/>
      </c>
      <c r="O1428" s="28">
        <f>IF($M1428="","",IF($C1428="Interna","NO",IFERROR(INDEX(CONFIG!$E$4:$E$63,MATCH($M1428,CONFIG!$A$4:$A$63,0)),"NO")))</f>
        <v/>
      </c>
      <c r="P1428" s="50" t="n"/>
      <c r="Q1428" s="50" t="n"/>
      <c r="R1428" s="28">
        <f>IF($Q1428="","",IFERROR(INDEX(CONFIG!$H$4:$H$63,MATCH($Q1428,CONFIG!$G$4:$G$63,0)),"Por definir"))</f>
        <v/>
      </c>
      <c r="S1428" s="28">
        <f>IF($Q1428="","",IFERROR(INDEX(CONFIG!$I$4:$I$63,MATCH($Q1428,CONFIG!$G$4:$G$63,0)),"Por definir"))</f>
        <v/>
      </c>
      <c r="T1428" s="51" t="n"/>
      <c r="U1428" s="52" t="n"/>
      <c r="V1428" s="50" t="n"/>
      <c r="W1428" s="50" t="n"/>
      <c r="X1428" s="49">
        <f>IF(OR($B1428="",$M1428=""),"",WORKDAY($B1428,IFERROR(INDEX(CONFIG!$D$4:$D$63,MATCH($M1428,CONFIG!$A$4:$A$63,0)),3)))</f>
        <v/>
      </c>
      <c r="Y1428" s="47" t="n"/>
      <c r="Z1428" s="24">
        <f>IF($B1428="","",IF($Y1428&lt;&gt;"",$Y1428-$B1428,TODAY()-$B1428))</f>
        <v/>
      </c>
      <c r="AA1428" s="28">
        <f>IF($B1428="","",IF(IFERROR(INDEX(CONFIG!$L$4:$L$63,MATCH($V1428,CONFIG!$K$4:$K$63,0)),"NO")="SÍ",IF(OR($Y1428="",$X1428=""),"Resuelta",IF($Y1428&gt;$X1428,"Resuelta tarde","Resuelta a tiempo")),IF($X1428="","Sin clasificar",IF(TODAY()&gt;$X1428,"Vencida",IF(TODAY()&gt;=$X1428-1,"Por vencer","En plazo")))))</f>
        <v/>
      </c>
      <c r="AB1428" s="50" t="n"/>
      <c r="AC1428" s="50" t="n"/>
    </row>
    <row r="1429" ht="16" customHeight="1">
      <c r="A1429" s="28">
        <f>IF($B1429="","","N-"&amp;TEXT(ROW()-3,"0000"))</f>
        <v/>
      </c>
      <c r="B1429" s="47" t="n"/>
      <c r="C1429" s="48" t="n"/>
      <c r="D1429" s="48" t="n"/>
      <c r="E1429" s="28">
        <f>IF($C1429="","",IF($D1429="",IF($C1429="Interna","Sin guía (interna)","FALTA GUÍA"),IF(COUNTIFS(ENVIOS!$A$4:$A$3003,$D1429)=0,"NO EXISTE",IF(COUNTIFS(ENVIOS!$A$4:$A$3003,$D1429)&gt;1,"DUPLICADA","OK"))))</f>
        <v/>
      </c>
      <c r="F1429" s="28">
        <f>IF($D1429="","",IFERROR(INDEX(ENVIOS!$B$4:$B$3003,MATCH($D1429,ENVIOS!$A$4:$A$3003,0)),"—"))</f>
        <v/>
      </c>
      <c r="G1429" s="23">
        <f>IF($D1429="","",IFERROR(INDEX(ENVIOS!$D$4:$D$3003,MATCH($D1429,ENVIOS!$A$4:$A$3003,0)),"—"))</f>
        <v/>
      </c>
      <c r="H1429" s="23">
        <f>IF($D1429="","",IFERROR(INDEX(ENVIOS!$E$4:$E$3003,MATCH($D1429,ENVIOS!$A$4:$A$3003,0)),"—"))</f>
        <v/>
      </c>
      <c r="I1429" s="23">
        <f>IF($D1429="","",IFERROR(INDEX(ENVIOS!$F$4:$F$3003,MATCH($D1429,ENVIOS!$A$4:$A$3003,0)),"—"))</f>
        <v/>
      </c>
      <c r="J1429" s="23">
        <f>IF($D1429="","",IFERROR(INDEX(ENVIOS!$G$4:$G$3003,MATCH($D1429,ENVIOS!$A$4:$A$3003,0)),"—"))</f>
        <v/>
      </c>
      <c r="K1429" s="28">
        <f>IF($D1429="","",IFERROR(INDEX(ENVIOS!$H$4:$H$3003,MATCH($D1429,ENVIOS!$A$4:$A$3003,0)),"—"))</f>
        <v/>
      </c>
      <c r="L1429" s="49">
        <f>IF($D1429="","",IFERROR(INDEX(ENVIOS!$C$4:$C$3003,MATCH($D1429,ENVIOS!$A$4:$A$3003,0)),""))</f>
        <v/>
      </c>
      <c r="M1429" s="50" t="n"/>
      <c r="N1429" s="28">
        <f>IF($M1429="","",IFERROR(INDEX(CONFIG!$C$4:$C$63,MATCH($M1429,CONFIG!$A$4:$A$63,0)),"Media"))</f>
        <v/>
      </c>
      <c r="O1429" s="28">
        <f>IF($M1429="","",IF($C1429="Interna","NO",IFERROR(INDEX(CONFIG!$E$4:$E$63,MATCH($M1429,CONFIG!$A$4:$A$63,0)),"NO")))</f>
        <v/>
      </c>
      <c r="P1429" s="50" t="n"/>
      <c r="Q1429" s="50" t="n"/>
      <c r="R1429" s="28">
        <f>IF($Q1429="","",IFERROR(INDEX(CONFIG!$H$4:$H$63,MATCH($Q1429,CONFIG!$G$4:$G$63,0)),"Por definir"))</f>
        <v/>
      </c>
      <c r="S1429" s="28">
        <f>IF($Q1429="","",IFERROR(INDEX(CONFIG!$I$4:$I$63,MATCH($Q1429,CONFIG!$G$4:$G$63,0)),"Por definir"))</f>
        <v/>
      </c>
      <c r="T1429" s="51" t="n"/>
      <c r="U1429" s="52" t="n"/>
      <c r="V1429" s="50" t="n"/>
      <c r="W1429" s="50" t="n"/>
      <c r="X1429" s="49">
        <f>IF(OR($B1429="",$M1429=""),"",WORKDAY($B1429,IFERROR(INDEX(CONFIG!$D$4:$D$63,MATCH($M1429,CONFIG!$A$4:$A$63,0)),3)))</f>
        <v/>
      </c>
      <c r="Y1429" s="47" t="n"/>
      <c r="Z1429" s="24">
        <f>IF($B1429="","",IF($Y1429&lt;&gt;"",$Y1429-$B1429,TODAY()-$B1429))</f>
        <v/>
      </c>
      <c r="AA1429" s="28">
        <f>IF($B1429="","",IF(IFERROR(INDEX(CONFIG!$L$4:$L$63,MATCH($V1429,CONFIG!$K$4:$K$63,0)),"NO")="SÍ",IF(OR($Y1429="",$X1429=""),"Resuelta",IF($Y1429&gt;$X1429,"Resuelta tarde","Resuelta a tiempo")),IF($X1429="","Sin clasificar",IF(TODAY()&gt;$X1429,"Vencida",IF(TODAY()&gt;=$X1429-1,"Por vencer","En plazo")))))</f>
        <v/>
      </c>
      <c r="AB1429" s="50" t="n"/>
      <c r="AC1429" s="50" t="n"/>
    </row>
    <row r="1430" ht="16" customHeight="1">
      <c r="A1430" s="28">
        <f>IF($B1430="","","N-"&amp;TEXT(ROW()-3,"0000"))</f>
        <v/>
      </c>
      <c r="B1430" s="47" t="n"/>
      <c r="C1430" s="48" t="n"/>
      <c r="D1430" s="48" t="n"/>
      <c r="E1430" s="28">
        <f>IF($C1430="","",IF($D1430="",IF($C1430="Interna","Sin guía (interna)","FALTA GUÍA"),IF(COUNTIFS(ENVIOS!$A$4:$A$3003,$D1430)=0,"NO EXISTE",IF(COUNTIFS(ENVIOS!$A$4:$A$3003,$D1430)&gt;1,"DUPLICADA","OK"))))</f>
        <v/>
      </c>
      <c r="F1430" s="28">
        <f>IF($D1430="","",IFERROR(INDEX(ENVIOS!$B$4:$B$3003,MATCH($D1430,ENVIOS!$A$4:$A$3003,0)),"—"))</f>
        <v/>
      </c>
      <c r="G1430" s="23">
        <f>IF($D1430="","",IFERROR(INDEX(ENVIOS!$D$4:$D$3003,MATCH($D1430,ENVIOS!$A$4:$A$3003,0)),"—"))</f>
        <v/>
      </c>
      <c r="H1430" s="23">
        <f>IF($D1430="","",IFERROR(INDEX(ENVIOS!$E$4:$E$3003,MATCH($D1430,ENVIOS!$A$4:$A$3003,0)),"—"))</f>
        <v/>
      </c>
      <c r="I1430" s="23">
        <f>IF($D1430="","",IFERROR(INDEX(ENVIOS!$F$4:$F$3003,MATCH($D1430,ENVIOS!$A$4:$A$3003,0)),"—"))</f>
        <v/>
      </c>
      <c r="J1430" s="23">
        <f>IF($D1430="","",IFERROR(INDEX(ENVIOS!$G$4:$G$3003,MATCH($D1430,ENVIOS!$A$4:$A$3003,0)),"—"))</f>
        <v/>
      </c>
      <c r="K1430" s="28">
        <f>IF($D1430="","",IFERROR(INDEX(ENVIOS!$H$4:$H$3003,MATCH($D1430,ENVIOS!$A$4:$A$3003,0)),"—"))</f>
        <v/>
      </c>
      <c r="L1430" s="49">
        <f>IF($D1430="","",IFERROR(INDEX(ENVIOS!$C$4:$C$3003,MATCH($D1430,ENVIOS!$A$4:$A$3003,0)),""))</f>
        <v/>
      </c>
      <c r="M1430" s="50" t="n"/>
      <c r="N1430" s="28">
        <f>IF($M1430="","",IFERROR(INDEX(CONFIG!$C$4:$C$63,MATCH($M1430,CONFIG!$A$4:$A$63,0)),"Media"))</f>
        <v/>
      </c>
      <c r="O1430" s="28">
        <f>IF($M1430="","",IF($C1430="Interna","NO",IFERROR(INDEX(CONFIG!$E$4:$E$63,MATCH($M1430,CONFIG!$A$4:$A$63,0)),"NO")))</f>
        <v/>
      </c>
      <c r="P1430" s="50" t="n"/>
      <c r="Q1430" s="50" t="n"/>
      <c r="R1430" s="28">
        <f>IF($Q1430="","",IFERROR(INDEX(CONFIG!$H$4:$H$63,MATCH($Q1430,CONFIG!$G$4:$G$63,0)),"Por definir"))</f>
        <v/>
      </c>
      <c r="S1430" s="28">
        <f>IF($Q1430="","",IFERROR(INDEX(CONFIG!$I$4:$I$63,MATCH($Q1430,CONFIG!$G$4:$G$63,0)),"Por definir"))</f>
        <v/>
      </c>
      <c r="T1430" s="51" t="n"/>
      <c r="U1430" s="52" t="n"/>
      <c r="V1430" s="50" t="n"/>
      <c r="W1430" s="50" t="n"/>
      <c r="X1430" s="49">
        <f>IF(OR($B1430="",$M1430=""),"",WORKDAY($B1430,IFERROR(INDEX(CONFIG!$D$4:$D$63,MATCH($M1430,CONFIG!$A$4:$A$63,0)),3)))</f>
        <v/>
      </c>
      <c r="Y1430" s="47" t="n"/>
      <c r="Z1430" s="24">
        <f>IF($B1430="","",IF($Y1430&lt;&gt;"",$Y1430-$B1430,TODAY()-$B1430))</f>
        <v/>
      </c>
      <c r="AA1430" s="28">
        <f>IF($B1430="","",IF(IFERROR(INDEX(CONFIG!$L$4:$L$63,MATCH($V1430,CONFIG!$K$4:$K$63,0)),"NO")="SÍ",IF(OR($Y1430="",$X1430=""),"Resuelta",IF($Y1430&gt;$X1430,"Resuelta tarde","Resuelta a tiempo")),IF($X1430="","Sin clasificar",IF(TODAY()&gt;$X1430,"Vencida",IF(TODAY()&gt;=$X1430-1,"Por vencer","En plazo")))))</f>
        <v/>
      </c>
      <c r="AB1430" s="50" t="n"/>
      <c r="AC1430" s="50" t="n"/>
    </row>
    <row r="1431" ht="16" customHeight="1">
      <c r="A1431" s="28">
        <f>IF($B1431="","","N-"&amp;TEXT(ROW()-3,"0000"))</f>
        <v/>
      </c>
      <c r="B1431" s="47" t="n"/>
      <c r="C1431" s="48" t="n"/>
      <c r="D1431" s="48" t="n"/>
      <c r="E1431" s="28">
        <f>IF($C1431="","",IF($D1431="",IF($C1431="Interna","Sin guía (interna)","FALTA GUÍA"),IF(COUNTIFS(ENVIOS!$A$4:$A$3003,$D1431)=0,"NO EXISTE",IF(COUNTIFS(ENVIOS!$A$4:$A$3003,$D1431)&gt;1,"DUPLICADA","OK"))))</f>
        <v/>
      </c>
      <c r="F1431" s="28">
        <f>IF($D1431="","",IFERROR(INDEX(ENVIOS!$B$4:$B$3003,MATCH($D1431,ENVIOS!$A$4:$A$3003,0)),"—"))</f>
        <v/>
      </c>
      <c r="G1431" s="23">
        <f>IF($D1431="","",IFERROR(INDEX(ENVIOS!$D$4:$D$3003,MATCH($D1431,ENVIOS!$A$4:$A$3003,0)),"—"))</f>
        <v/>
      </c>
      <c r="H1431" s="23">
        <f>IF($D1431="","",IFERROR(INDEX(ENVIOS!$E$4:$E$3003,MATCH($D1431,ENVIOS!$A$4:$A$3003,0)),"—"))</f>
        <v/>
      </c>
      <c r="I1431" s="23">
        <f>IF($D1431="","",IFERROR(INDEX(ENVIOS!$F$4:$F$3003,MATCH($D1431,ENVIOS!$A$4:$A$3003,0)),"—"))</f>
        <v/>
      </c>
      <c r="J1431" s="23">
        <f>IF($D1431="","",IFERROR(INDEX(ENVIOS!$G$4:$G$3003,MATCH($D1431,ENVIOS!$A$4:$A$3003,0)),"—"))</f>
        <v/>
      </c>
      <c r="K1431" s="28">
        <f>IF($D1431="","",IFERROR(INDEX(ENVIOS!$H$4:$H$3003,MATCH($D1431,ENVIOS!$A$4:$A$3003,0)),"—"))</f>
        <v/>
      </c>
      <c r="L1431" s="49">
        <f>IF($D1431="","",IFERROR(INDEX(ENVIOS!$C$4:$C$3003,MATCH($D1431,ENVIOS!$A$4:$A$3003,0)),""))</f>
        <v/>
      </c>
      <c r="M1431" s="50" t="n"/>
      <c r="N1431" s="28">
        <f>IF($M1431="","",IFERROR(INDEX(CONFIG!$C$4:$C$63,MATCH($M1431,CONFIG!$A$4:$A$63,0)),"Media"))</f>
        <v/>
      </c>
      <c r="O1431" s="28">
        <f>IF($M1431="","",IF($C1431="Interna","NO",IFERROR(INDEX(CONFIG!$E$4:$E$63,MATCH($M1431,CONFIG!$A$4:$A$63,0)),"NO")))</f>
        <v/>
      </c>
      <c r="P1431" s="50" t="n"/>
      <c r="Q1431" s="50" t="n"/>
      <c r="R1431" s="28">
        <f>IF($Q1431="","",IFERROR(INDEX(CONFIG!$H$4:$H$63,MATCH($Q1431,CONFIG!$G$4:$G$63,0)),"Por definir"))</f>
        <v/>
      </c>
      <c r="S1431" s="28">
        <f>IF($Q1431="","",IFERROR(INDEX(CONFIG!$I$4:$I$63,MATCH($Q1431,CONFIG!$G$4:$G$63,0)),"Por definir"))</f>
        <v/>
      </c>
      <c r="T1431" s="51" t="n"/>
      <c r="U1431" s="52" t="n"/>
      <c r="V1431" s="50" t="n"/>
      <c r="W1431" s="50" t="n"/>
      <c r="X1431" s="49">
        <f>IF(OR($B1431="",$M1431=""),"",WORKDAY($B1431,IFERROR(INDEX(CONFIG!$D$4:$D$63,MATCH($M1431,CONFIG!$A$4:$A$63,0)),3)))</f>
        <v/>
      </c>
      <c r="Y1431" s="47" t="n"/>
      <c r="Z1431" s="24">
        <f>IF($B1431="","",IF($Y1431&lt;&gt;"",$Y1431-$B1431,TODAY()-$B1431))</f>
        <v/>
      </c>
      <c r="AA1431" s="28">
        <f>IF($B1431="","",IF(IFERROR(INDEX(CONFIG!$L$4:$L$63,MATCH($V1431,CONFIG!$K$4:$K$63,0)),"NO")="SÍ",IF(OR($Y1431="",$X1431=""),"Resuelta",IF($Y1431&gt;$X1431,"Resuelta tarde","Resuelta a tiempo")),IF($X1431="","Sin clasificar",IF(TODAY()&gt;$X1431,"Vencida",IF(TODAY()&gt;=$X1431-1,"Por vencer","En plazo")))))</f>
        <v/>
      </c>
      <c r="AB1431" s="50" t="n"/>
      <c r="AC1431" s="50" t="n"/>
    </row>
    <row r="1432" ht="16" customHeight="1">
      <c r="A1432" s="28">
        <f>IF($B1432="","","N-"&amp;TEXT(ROW()-3,"0000"))</f>
        <v/>
      </c>
      <c r="B1432" s="47" t="n"/>
      <c r="C1432" s="48" t="n"/>
      <c r="D1432" s="48" t="n"/>
      <c r="E1432" s="28">
        <f>IF($C1432="","",IF($D1432="",IF($C1432="Interna","Sin guía (interna)","FALTA GUÍA"),IF(COUNTIFS(ENVIOS!$A$4:$A$3003,$D1432)=0,"NO EXISTE",IF(COUNTIFS(ENVIOS!$A$4:$A$3003,$D1432)&gt;1,"DUPLICADA","OK"))))</f>
        <v/>
      </c>
      <c r="F1432" s="28">
        <f>IF($D1432="","",IFERROR(INDEX(ENVIOS!$B$4:$B$3003,MATCH($D1432,ENVIOS!$A$4:$A$3003,0)),"—"))</f>
        <v/>
      </c>
      <c r="G1432" s="23">
        <f>IF($D1432="","",IFERROR(INDEX(ENVIOS!$D$4:$D$3003,MATCH($D1432,ENVIOS!$A$4:$A$3003,0)),"—"))</f>
        <v/>
      </c>
      <c r="H1432" s="23">
        <f>IF($D1432="","",IFERROR(INDEX(ENVIOS!$E$4:$E$3003,MATCH($D1432,ENVIOS!$A$4:$A$3003,0)),"—"))</f>
        <v/>
      </c>
      <c r="I1432" s="23">
        <f>IF($D1432="","",IFERROR(INDEX(ENVIOS!$F$4:$F$3003,MATCH($D1432,ENVIOS!$A$4:$A$3003,0)),"—"))</f>
        <v/>
      </c>
      <c r="J1432" s="23">
        <f>IF($D1432="","",IFERROR(INDEX(ENVIOS!$G$4:$G$3003,MATCH($D1432,ENVIOS!$A$4:$A$3003,0)),"—"))</f>
        <v/>
      </c>
      <c r="K1432" s="28">
        <f>IF($D1432="","",IFERROR(INDEX(ENVIOS!$H$4:$H$3003,MATCH($D1432,ENVIOS!$A$4:$A$3003,0)),"—"))</f>
        <v/>
      </c>
      <c r="L1432" s="49">
        <f>IF($D1432="","",IFERROR(INDEX(ENVIOS!$C$4:$C$3003,MATCH($D1432,ENVIOS!$A$4:$A$3003,0)),""))</f>
        <v/>
      </c>
      <c r="M1432" s="50" t="n"/>
      <c r="N1432" s="28">
        <f>IF($M1432="","",IFERROR(INDEX(CONFIG!$C$4:$C$63,MATCH($M1432,CONFIG!$A$4:$A$63,0)),"Media"))</f>
        <v/>
      </c>
      <c r="O1432" s="28">
        <f>IF($M1432="","",IF($C1432="Interna","NO",IFERROR(INDEX(CONFIG!$E$4:$E$63,MATCH($M1432,CONFIG!$A$4:$A$63,0)),"NO")))</f>
        <v/>
      </c>
      <c r="P1432" s="50" t="n"/>
      <c r="Q1432" s="50" t="n"/>
      <c r="R1432" s="28">
        <f>IF($Q1432="","",IFERROR(INDEX(CONFIG!$H$4:$H$63,MATCH($Q1432,CONFIG!$G$4:$G$63,0)),"Por definir"))</f>
        <v/>
      </c>
      <c r="S1432" s="28">
        <f>IF($Q1432="","",IFERROR(INDEX(CONFIG!$I$4:$I$63,MATCH($Q1432,CONFIG!$G$4:$G$63,0)),"Por definir"))</f>
        <v/>
      </c>
      <c r="T1432" s="51" t="n"/>
      <c r="U1432" s="52" t="n"/>
      <c r="V1432" s="50" t="n"/>
      <c r="W1432" s="50" t="n"/>
      <c r="X1432" s="49">
        <f>IF(OR($B1432="",$M1432=""),"",WORKDAY($B1432,IFERROR(INDEX(CONFIG!$D$4:$D$63,MATCH($M1432,CONFIG!$A$4:$A$63,0)),3)))</f>
        <v/>
      </c>
      <c r="Y1432" s="47" t="n"/>
      <c r="Z1432" s="24">
        <f>IF($B1432="","",IF($Y1432&lt;&gt;"",$Y1432-$B1432,TODAY()-$B1432))</f>
        <v/>
      </c>
      <c r="AA1432" s="28">
        <f>IF($B1432="","",IF(IFERROR(INDEX(CONFIG!$L$4:$L$63,MATCH($V1432,CONFIG!$K$4:$K$63,0)),"NO")="SÍ",IF(OR($Y1432="",$X1432=""),"Resuelta",IF($Y1432&gt;$X1432,"Resuelta tarde","Resuelta a tiempo")),IF($X1432="","Sin clasificar",IF(TODAY()&gt;$X1432,"Vencida",IF(TODAY()&gt;=$X1432-1,"Por vencer","En plazo")))))</f>
        <v/>
      </c>
      <c r="AB1432" s="50" t="n"/>
      <c r="AC1432" s="50" t="n"/>
    </row>
    <row r="1433" ht="16" customHeight="1">
      <c r="A1433" s="28">
        <f>IF($B1433="","","N-"&amp;TEXT(ROW()-3,"0000"))</f>
        <v/>
      </c>
      <c r="B1433" s="47" t="n"/>
      <c r="C1433" s="48" t="n"/>
      <c r="D1433" s="48" t="n"/>
      <c r="E1433" s="28">
        <f>IF($C1433="","",IF($D1433="",IF($C1433="Interna","Sin guía (interna)","FALTA GUÍA"),IF(COUNTIFS(ENVIOS!$A$4:$A$3003,$D1433)=0,"NO EXISTE",IF(COUNTIFS(ENVIOS!$A$4:$A$3003,$D1433)&gt;1,"DUPLICADA","OK"))))</f>
        <v/>
      </c>
      <c r="F1433" s="28">
        <f>IF($D1433="","",IFERROR(INDEX(ENVIOS!$B$4:$B$3003,MATCH($D1433,ENVIOS!$A$4:$A$3003,0)),"—"))</f>
        <v/>
      </c>
      <c r="G1433" s="23">
        <f>IF($D1433="","",IFERROR(INDEX(ENVIOS!$D$4:$D$3003,MATCH($D1433,ENVIOS!$A$4:$A$3003,0)),"—"))</f>
        <v/>
      </c>
      <c r="H1433" s="23">
        <f>IF($D1433="","",IFERROR(INDEX(ENVIOS!$E$4:$E$3003,MATCH($D1433,ENVIOS!$A$4:$A$3003,0)),"—"))</f>
        <v/>
      </c>
      <c r="I1433" s="23">
        <f>IF($D1433="","",IFERROR(INDEX(ENVIOS!$F$4:$F$3003,MATCH($D1433,ENVIOS!$A$4:$A$3003,0)),"—"))</f>
        <v/>
      </c>
      <c r="J1433" s="23">
        <f>IF($D1433="","",IFERROR(INDEX(ENVIOS!$G$4:$G$3003,MATCH($D1433,ENVIOS!$A$4:$A$3003,0)),"—"))</f>
        <v/>
      </c>
      <c r="K1433" s="28">
        <f>IF($D1433="","",IFERROR(INDEX(ENVIOS!$H$4:$H$3003,MATCH($D1433,ENVIOS!$A$4:$A$3003,0)),"—"))</f>
        <v/>
      </c>
      <c r="L1433" s="49">
        <f>IF($D1433="","",IFERROR(INDEX(ENVIOS!$C$4:$C$3003,MATCH($D1433,ENVIOS!$A$4:$A$3003,0)),""))</f>
        <v/>
      </c>
      <c r="M1433" s="50" t="n"/>
      <c r="N1433" s="28">
        <f>IF($M1433="","",IFERROR(INDEX(CONFIG!$C$4:$C$63,MATCH($M1433,CONFIG!$A$4:$A$63,0)),"Media"))</f>
        <v/>
      </c>
      <c r="O1433" s="28">
        <f>IF($M1433="","",IF($C1433="Interna","NO",IFERROR(INDEX(CONFIG!$E$4:$E$63,MATCH($M1433,CONFIG!$A$4:$A$63,0)),"NO")))</f>
        <v/>
      </c>
      <c r="P1433" s="50" t="n"/>
      <c r="Q1433" s="50" t="n"/>
      <c r="R1433" s="28">
        <f>IF($Q1433="","",IFERROR(INDEX(CONFIG!$H$4:$H$63,MATCH($Q1433,CONFIG!$G$4:$G$63,0)),"Por definir"))</f>
        <v/>
      </c>
      <c r="S1433" s="28">
        <f>IF($Q1433="","",IFERROR(INDEX(CONFIG!$I$4:$I$63,MATCH($Q1433,CONFIG!$G$4:$G$63,0)),"Por definir"))</f>
        <v/>
      </c>
      <c r="T1433" s="51" t="n"/>
      <c r="U1433" s="52" t="n"/>
      <c r="V1433" s="50" t="n"/>
      <c r="W1433" s="50" t="n"/>
      <c r="X1433" s="49">
        <f>IF(OR($B1433="",$M1433=""),"",WORKDAY($B1433,IFERROR(INDEX(CONFIG!$D$4:$D$63,MATCH($M1433,CONFIG!$A$4:$A$63,0)),3)))</f>
        <v/>
      </c>
      <c r="Y1433" s="47" t="n"/>
      <c r="Z1433" s="24">
        <f>IF($B1433="","",IF($Y1433&lt;&gt;"",$Y1433-$B1433,TODAY()-$B1433))</f>
        <v/>
      </c>
      <c r="AA1433" s="28">
        <f>IF($B1433="","",IF(IFERROR(INDEX(CONFIG!$L$4:$L$63,MATCH($V1433,CONFIG!$K$4:$K$63,0)),"NO")="SÍ",IF(OR($Y1433="",$X1433=""),"Resuelta",IF($Y1433&gt;$X1433,"Resuelta tarde","Resuelta a tiempo")),IF($X1433="","Sin clasificar",IF(TODAY()&gt;$X1433,"Vencida",IF(TODAY()&gt;=$X1433-1,"Por vencer","En plazo")))))</f>
        <v/>
      </c>
      <c r="AB1433" s="50" t="n"/>
      <c r="AC1433" s="50" t="n"/>
    </row>
    <row r="1434" ht="16" customHeight="1">
      <c r="A1434" s="28">
        <f>IF($B1434="","","N-"&amp;TEXT(ROW()-3,"0000"))</f>
        <v/>
      </c>
      <c r="B1434" s="47" t="n"/>
      <c r="C1434" s="48" t="n"/>
      <c r="D1434" s="48" t="n"/>
      <c r="E1434" s="28">
        <f>IF($C1434="","",IF($D1434="",IF($C1434="Interna","Sin guía (interna)","FALTA GUÍA"),IF(COUNTIFS(ENVIOS!$A$4:$A$3003,$D1434)=0,"NO EXISTE",IF(COUNTIFS(ENVIOS!$A$4:$A$3003,$D1434)&gt;1,"DUPLICADA","OK"))))</f>
        <v/>
      </c>
      <c r="F1434" s="28">
        <f>IF($D1434="","",IFERROR(INDEX(ENVIOS!$B$4:$B$3003,MATCH($D1434,ENVIOS!$A$4:$A$3003,0)),"—"))</f>
        <v/>
      </c>
      <c r="G1434" s="23">
        <f>IF($D1434="","",IFERROR(INDEX(ENVIOS!$D$4:$D$3003,MATCH($D1434,ENVIOS!$A$4:$A$3003,0)),"—"))</f>
        <v/>
      </c>
      <c r="H1434" s="23">
        <f>IF($D1434="","",IFERROR(INDEX(ENVIOS!$E$4:$E$3003,MATCH($D1434,ENVIOS!$A$4:$A$3003,0)),"—"))</f>
        <v/>
      </c>
      <c r="I1434" s="23">
        <f>IF($D1434="","",IFERROR(INDEX(ENVIOS!$F$4:$F$3003,MATCH($D1434,ENVIOS!$A$4:$A$3003,0)),"—"))</f>
        <v/>
      </c>
      <c r="J1434" s="23">
        <f>IF($D1434="","",IFERROR(INDEX(ENVIOS!$G$4:$G$3003,MATCH($D1434,ENVIOS!$A$4:$A$3003,0)),"—"))</f>
        <v/>
      </c>
      <c r="K1434" s="28">
        <f>IF($D1434="","",IFERROR(INDEX(ENVIOS!$H$4:$H$3003,MATCH($D1434,ENVIOS!$A$4:$A$3003,0)),"—"))</f>
        <v/>
      </c>
      <c r="L1434" s="49">
        <f>IF($D1434="","",IFERROR(INDEX(ENVIOS!$C$4:$C$3003,MATCH($D1434,ENVIOS!$A$4:$A$3003,0)),""))</f>
        <v/>
      </c>
      <c r="M1434" s="50" t="n"/>
      <c r="N1434" s="28">
        <f>IF($M1434="","",IFERROR(INDEX(CONFIG!$C$4:$C$63,MATCH($M1434,CONFIG!$A$4:$A$63,0)),"Media"))</f>
        <v/>
      </c>
      <c r="O1434" s="28">
        <f>IF($M1434="","",IF($C1434="Interna","NO",IFERROR(INDEX(CONFIG!$E$4:$E$63,MATCH($M1434,CONFIG!$A$4:$A$63,0)),"NO")))</f>
        <v/>
      </c>
      <c r="P1434" s="50" t="n"/>
      <c r="Q1434" s="50" t="n"/>
      <c r="R1434" s="28">
        <f>IF($Q1434="","",IFERROR(INDEX(CONFIG!$H$4:$H$63,MATCH($Q1434,CONFIG!$G$4:$G$63,0)),"Por definir"))</f>
        <v/>
      </c>
      <c r="S1434" s="28">
        <f>IF($Q1434="","",IFERROR(INDEX(CONFIG!$I$4:$I$63,MATCH($Q1434,CONFIG!$G$4:$G$63,0)),"Por definir"))</f>
        <v/>
      </c>
      <c r="T1434" s="51" t="n"/>
      <c r="U1434" s="52" t="n"/>
      <c r="V1434" s="50" t="n"/>
      <c r="W1434" s="50" t="n"/>
      <c r="X1434" s="49">
        <f>IF(OR($B1434="",$M1434=""),"",WORKDAY($B1434,IFERROR(INDEX(CONFIG!$D$4:$D$63,MATCH($M1434,CONFIG!$A$4:$A$63,0)),3)))</f>
        <v/>
      </c>
      <c r="Y1434" s="47" t="n"/>
      <c r="Z1434" s="24">
        <f>IF($B1434="","",IF($Y1434&lt;&gt;"",$Y1434-$B1434,TODAY()-$B1434))</f>
        <v/>
      </c>
      <c r="AA1434" s="28">
        <f>IF($B1434="","",IF(IFERROR(INDEX(CONFIG!$L$4:$L$63,MATCH($V1434,CONFIG!$K$4:$K$63,0)),"NO")="SÍ",IF(OR($Y1434="",$X1434=""),"Resuelta",IF($Y1434&gt;$X1434,"Resuelta tarde","Resuelta a tiempo")),IF($X1434="","Sin clasificar",IF(TODAY()&gt;$X1434,"Vencida",IF(TODAY()&gt;=$X1434-1,"Por vencer","En plazo")))))</f>
        <v/>
      </c>
      <c r="AB1434" s="50" t="n"/>
      <c r="AC1434" s="50" t="n"/>
    </row>
    <row r="1435" ht="16" customHeight="1">
      <c r="A1435" s="28">
        <f>IF($B1435="","","N-"&amp;TEXT(ROW()-3,"0000"))</f>
        <v/>
      </c>
      <c r="B1435" s="47" t="n"/>
      <c r="C1435" s="48" t="n"/>
      <c r="D1435" s="48" t="n"/>
      <c r="E1435" s="28">
        <f>IF($C1435="","",IF($D1435="",IF($C1435="Interna","Sin guía (interna)","FALTA GUÍA"),IF(COUNTIFS(ENVIOS!$A$4:$A$3003,$D1435)=0,"NO EXISTE",IF(COUNTIFS(ENVIOS!$A$4:$A$3003,$D1435)&gt;1,"DUPLICADA","OK"))))</f>
        <v/>
      </c>
      <c r="F1435" s="28">
        <f>IF($D1435="","",IFERROR(INDEX(ENVIOS!$B$4:$B$3003,MATCH($D1435,ENVIOS!$A$4:$A$3003,0)),"—"))</f>
        <v/>
      </c>
      <c r="G1435" s="23">
        <f>IF($D1435="","",IFERROR(INDEX(ENVIOS!$D$4:$D$3003,MATCH($D1435,ENVIOS!$A$4:$A$3003,0)),"—"))</f>
        <v/>
      </c>
      <c r="H1435" s="23">
        <f>IF($D1435="","",IFERROR(INDEX(ENVIOS!$E$4:$E$3003,MATCH($D1435,ENVIOS!$A$4:$A$3003,0)),"—"))</f>
        <v/>
      </c>
      <c r="I1435" s="23">
        <f>IF($D1435="","",IFERROR(INDEX(ENVIOS!$F$4:$F$3003,MATCH($D1435,ENVIOS!$A$4:$A$3003,0)),"—"))</f>
        <v/>
      </c>
      <c r="J1435" s="23">
        <f>IF($D1435="","",IFERROR(INDEX(ENVIOS!$G$4:$G$3003,MATCH($D1435,ENVIOS!$A$4:$A$3003,0)),"—"))</f>
        <v/>
      </c>
      <c r="K1435" s="28">
        <f>IF($D1435="","",IFERROR(INDEX(ENVIOS!$H$4:$H$3003,MATCH($D1435,ENVIOS!$A$4:$A$3003,0)),"—"))</f>
        <v/>
      </c>
      <c r="L1435" s="49">
        <f>IF($D1435="","",IFERROR(INDEX(ENVIOS!$C$4:$C$3003,MATCH($D1435,ENVIOS!$A$4:$A$3003,0)),""))</f>
        <v/>
      </c>
      <c r="M1435" s="50" t="n"/>
      <c r="N1435" s="28">
        <f>IF($M1435="","",IFERROR(INDEX(CONFIG!$C$4:$C$63,MATCH($M1435,CONFIG!$A$4:$A$63,0)),"Media"))</f>
        <v/>
      </c>
      <c r="O1435" s="28">
        <f>IF($M1435="","",IF($C1435="Interna","NO",IFERROR(INDEX(CONFIG!$E$4:$E$63,MATCH($M1435,CONFIG!$A$4:$A$63,0)),"NO")))</f>
        <v/>
      </c>
      <c r="P1435" s="50" t="n"/>
      <c r="Q1435" s="50" t="n"/>
      <c r="R1435" s="28">
        <f>IF($Q1435="","",IFERROR(INDEX(CONFIG!$H$4:$H$63,MATCH($Q1435,CONFIG!$G$4:$G$63,0)),"Por definir"))</f>
        <v/>
      </c>
      <c r="S1435" s="28">
        <f>IF($Q1435="","",IFERROR(INDEX(CONFIG!$I$4:$I$63,MATCH($Q1435,CONFIG!$G$4:$G$63,0)),"Por definir"))</f>
        <v/>
      </c>
      <c r="T1435" s="51" t="n"/>
      <c r="U1435" s="52" t="n"/>
      <c r="V1435" s="50" t="n"/>
      <c r="W1435" s="50" t="n"/>
      <c r="X1435" s="49">
        <f>IF(OR($B1435="",$M1435=""),"",WORKDAY($B1435,IFERROR(INDEX(CONFIG!$D$4:$D$63,MATCH($M1435,CONFIG!$A$4:$A$63,0)),3)))</f>
        <v/>
      </c>
      <c r="Y1435" s="47" t="n"/>
      <c r="Z1435" s="24">
        <f>IF($B1435="","",IF($Y1435&lt;&gt;"",$Y1435-$B1435,TODAY()-$B1435))</f>
        <v/>
      </c>
      <c r="AA1435" s="28">
        <f>IF($B1435="","",IF(IFERROR(INDEX(CONFIG!$L$4:$L$63,MATCH($V1435,CONFIG!$K$4:$K$63,0)),"NO")="SÍ",IF(OR($Y1435="",$X1435=""),"Resuelta",IF($Y1435&gt;$X1435,"Resuelta tarde","Resuelta a tiempo")),IF($X1435="","Sin clasificar",IF(TODAY()&gt;$X1435,"Vencida",IF(TODAY()&gt;=$X1435-1,"Por vencer","En plazo")))))</f>
        <v/>
      </c>
      <c r="AB1435" s="50" t="n"/>
      <c r="AC1435" s="50" t="n"/>
    </row>
    <row r="1436" ht="16" customHeight="1">
      <c r="A1436" s="28">
        <f>IF($B1436="","","N-"&amp;TEXT(ROW()-3,"0000"))</f>
        <v/>
      </c>
      <c r="B1436" s="47" t="n"/>
      <c r="C1436" s="48" t="n"/>
      <c r="D1436" s="48" t="n"/>
      <c r="E1436" s="28">
        <f>IF($C1436="","",IF($D1436="",IF($C1436="Interna","Sin guía (interna)","FALTA GUÍA"),IF(COUNTIFS(ENVIOS!$A$4:$A$3003,$D1436)=0,"NO EXISTE",IF(COUNTIFS(ENVIOS!$A$4:$A$3003,$D1436)&gt;1,"DUPLICADA","OK"))))</f>
        <v/>
      </c>
      <c r="F1436" s="28">
        <f>IF($D1436="","",IFERROR(INDEX(ENVIOS!$B$4:$B$3003,MATCH($D1436,ENVIOS!$A$4:$A$3003,0)),"—"))</f>
        <v/>
      </c>
      <c r="G1436" s="23">
        <f>IF($D1436="","",IFERROR(INDEX(ENVIOS!$D$4:$D$3003,MATCH($D1436,ENVIOS!$A$4:$A$3003,0)),"—"))</f>
        <v/>
      </c>
      <c r="H1436" s="23">
        <f>IF($D1436="","",IFERROR(INDEX(ENVIOS!$E$4:$E$3003,MATCH($D1436,ENVIOS!$A$4:$A$3003,0)),"—"))</f>
        <v/>
      </c>
      <c r="I1436" s="23">
        <f>IF($D1436="","",IFERROR(INDEX(ENVIOS!$F$4:$F$3003,MATCH($D1436,ENVIOS!$A$4:$A$3003,0)),"—"))</f>
        <v/>
      </c>
      <c r="J1436" s="23">
        <f>IF($D1436="","",IFERROR(INDEX(ENVIOS!$G$4:$G$3003,MATCH($D1436,ENVIOS!$A$4:$A$3003,0)),"—"))</f>
        <v/>
      </c>
      <c r="K1436" s="28">
        <f>IF($D1436="","",IFERROR(INDEX(ENVIOS!$H$4:$H$3003,MATCH($D1436,ENVIOS!$A$4:$A$3003,0)),"—"))</f>
        <v/>
      </c>
      <c r="L1436" s="49">
        <f>IF($D1436="","",IFERROR(INDEX(ENVIOS!$C$4:$C$3003,MATCH($D1436,ENVIOS!$A$4:$A$3003,0)),""))</f>
        <v/>
      </c>
      <c r="M1436" s="50" t="n"/>
      <c r="N1436" s="28">
        <f>IF($M1436="","",IFERROR(INDEX(CONFIG!$C$4:$C$63,MATCH($M1436,CONFIG!$A$4:$A$63,0)),"Media"))</f>
        <v/>
      </c>
      <c r="O1436" s="28">
        <f>IF($M1436="","",IF($C1436="Interna","NO",IFERROR(INDEX(CONFIG!$E$4:$E$63,MATCH($M1436,CONFIG!$A$4:$A$63,0)),"NO")))</f>
        <v/>
      </c>
      <c r="P1436" s="50" t="n"/>
      <c r="Q1436" s="50" t="n"/>
      <c r="R1436" s="28">
        <f>IF($Q1436="","",IFERROR(INDEX(CONFIG!$H$4:$H$63,MATCH($Q1436,CONFIG!$G$4:$G$63,0)),"Por definir"))</f>
        <v/>
      </c>
      <c r="S1436" s="28">
        <f>IF($Q1436="","",IFERROR(INDEX(CONFIG!$I$4:$I$63,MATCH($Q1436,CONFIG!$G$4:$G$63,0)),"Por definir"))</f>
        <v/>
      </c>
      <c r="T1436" s="51" t="n"/>
      <c r="U1436" s="52" t="n"/>
      <c r="V1436" s="50" t="n"/>
      <c r="W1436" s="50" t="n"/>
      <c r="X1436" s="49">
        <f>IF(OR($B1436="",$M1436=""),"",WORKDAY($B1436,IFERROR(INDEX(CONFIG!$D$4:$D$63,MATCH($M1436,CONFIG!$A$4:$A$63,0)),3)))</f>
        <v/>
      </c>
      <c r="Y1436" s="47" t="n"/>
      <c r="Z1436" s="24">
        <f>IF($B1436="","",IF($Y1436&lt;&gt;"",$Y1436-$B1436,TODAY()-$B1436))</f>
        <v/>
      </c>
      <c r="AA1436" s="28">
        <f>IF($B1436="","",IF(IFERROR(INDEX(CONFIG!$L$4:$L$63,MATCH($V1436,CONFIG!$K$4:$K$63,0)),"NO")="SÍ",IF(OR($Y1436="",$X1436=""),"Resuelta",IF($Y1436&gt;$X1436,"Resuelta tarde","Resuelta a tiempo")),IF($X1436="","Sin clasificar",IF(TODAY()&gt;$X1436,"Vencida",IF(TODAY()&gt;=$X1436-1,"Por vencer","En plazo")))))</f>
        <v/>
      </c>
      <c r="AB1436" s="50" t="n"/>
      <c r="AC1436" s="50" t="n"/>
    </row>
    <row r="1437" ht="16" customHeight="1">
      <c r="A1437" s="28">
        <f>IF($B1437="","","N-"&amp;TEXT(ROW()-3,"0000"))</f>
        <v/>
      </c>
      <c r="B1437" s="47" t="n"/>
      <c r="C1437" s="48" t="n"/>
      <c r="D1437" s="48" t="n"/>
      <c r="E1437" s="28">
        <f>IF($C1437="","",IF($D1437="",IF($C1437="Interna","Sin guía (interna)","FALTA GUÍA"),IF(COUNTIFS(ENVIOS!$A$4:$A$3003,$D1437)=0,"NO EXISTE",IF(COUNTIFS(ENVIOS!$A$4:$A$3003,$D1437)&gt;1,"DUPLICADA","OK"))))</f>
        <v/>
      </c>
      <c r="F1437" s="28">
        <f>IF($D1437="","",IFERROR(INDEX(ENVIOS!$B$4:$B$3003,MATCH($D1437,ENVIOS!$A$4:$A$3003,0)),"—"))</f>
        <v/>
      </c>
      <c r="G1437" s="23">
        <f>IF($D1437="","",IFERROR(INDEX(ENVIOS!$D$4:$D$3003,MATCH($D1437,ENVIOS!$A$4:$A$3003,0)),"—"))</f>
        <v/>
      </c>
      <c r="H1437" s="23">
        <f>IF($D1437="","",IFERROR(INDEX(ENVIOS!$E$4:$E$3003,MATCH($D1437,ENVIOS!$A$4:$A$3003,0)),"—"))</f>
        <v/>
      </c>
      <c r="I1437" s="23">
        <f>IF($D1437="","",IFERROR(INDEX(ENVIOS!$F$4:$F$3003,MATCH($D1437,ENVIOS!$A$4:$A$3003,0)),"—"))</f>
        <v/>
      </c>
      <c r="J1437" s="23">
        <f>IF($D1437="","",IFERROR(INDEX(ENVIOS!$G$4:$G$3003,MATCH($D1437,ENVIOS!$A$4:$A$3003,0)),"—"))</f>
        <v/>
      </c>
      <c r="K1437" s="28">
        <f>IF($D1437="","",IFERROR(INDEX(ENVIOS!$H$4:$H$3003,MATCH($D1437,ENVIOS!$A$4:$A$3003,0)),"—"))</f>
        <v/>
      </c>
      <c r="L1437" s="49">
        <f>IF($D1437="","",IFERROR(INDEX(ENVIOS!$C$4:$C$3003,MATCH($D1437,ENVIOS!$A$4:$A$3003,0)),""))</f>
        <v/>
      </c>
      <c r="M1437" s="50" t="n"/>
      <c r="N1437" s="28">
        <f>IF($M1437="","",IFERROR(INDEX(CONFIG!$C$4:$C$63,MATCH($M1437,CONFIG!$A$4:$A$63,0)),"Media"))</f>
        <v/>
      </c>
      <c r="O1437" s="28">
        <f>IF($M1437="","",IF($C1437="Interna","NO",IFERROR(INDEX(CONFIG!$E$4:$E$63,MATCH($M1437,CONFIG!$A$4:$A$63,0)),"NO")))</f>
        <v/>
      </c>
      <c r="P1437" s="50" t="n"/>
      <c r="Q1437" s="50" t="n"/>
      <c r="R1437" s="28">
        <f>IF($Q1437="","",IFERROR(INDEX(CONFIG!$H$4:$H$63,MATCH($Q1437,CONFIG!$G$4:$G$63,0)),"Por definir"))</f>
        <v/>
      </c>
      <c r="S1437" s="28">
        <f>IF($Q1437="","",IFERROR(INDEX(CONFIG!$I$4:$I$63,MATCH($Q1437,CONFIG!$G$4:$G$63,0)),"Por definir"))</f>
        <v/>
      </c>
      <c r="T1437" s="51" t="n"/>
      <c r="U1437" s="52" t="n"/>
      <c r="V1437" s="50" t="n"/>
      <c r="W1437" s="50" t="n"/>
      <c r="X1437" s="49">
        <f>IF(OR($B1437="",$M1437=""),"",WORKDAY($B1437,IFERROR(INDEX(CONFIG!$D$4:$D$63,MATCH($M1437,CONFIG!$A$4:$A$63,0)),3)))</f>
        <v/>
      </c>
      <c r="Y1437" s="47" t="n"/>
      <c r="Z1437" s="24">
        <f>IF($B1437="","",IF($Y1437&lt;&gt;"",$Y1437-$B1437,TODAY()-$B1437))</f>
        <v/>
      </c>
      <c r="AA1437" s="28">
        <f>IF($B1437="","",IF(IFERROR(INDEX(CONFIG!$L$4:$L$63,MATCH($V1437,CONFIG!$K$4:$K$63,0)),"NO")="SÍ",IF(OR($Y1437="",$X1437=""),"Resuelta",IF($Y1437&gt;$X1437,"Resuelta tarde","Resuelta a tiempo")),IF($X1437="","Sin clasificar",IF(TODAY()&gt;$X1437,"Vencida",IF(TODAY()&gt;=$X1437-1,"Por vencer","En plazo")))))</f>
        <v/>
      </c>
      <c r="AB1437" s="50" t="n"/>
      <c r="AC1437" s="50" t="n"/>
    </row>
    <row r="1438" ht="16" customHeight="1">
      <c r="A1438" s="28">
        <f>IF($B1438="","","N-"&amp;TEXT(ROW()-3,"0000"))</f>
        <v/>
      </c>
      <c r="B1438" s="47" t="n"/>
      <c r="C1438" s="48" t="n"/>
      <c r="D1438" s="48" t="n"/>
      <c r="E1438" s="28">
        <f>IF($C1438="","",IF($D1438="",IF($C1438="Interna","Sin guía (interna)","FALTA GUÍA"),IF(COUNTIFS(ENVIOS!$A$4:$A$3003,$D1438)=0,"NO EXISTE",IF(COUNTIFS(ENVIOS!$A$4:$A$3003,$D1438)&gt;1,"DUPLICADA","OK"))))</f>
        <v/>
      </c>
      <c r="F1438" s="28">
        <f>IF($D1438="","",IFERROR(INDEX(ENVIOS!$B$4:$B$3003,MATCH($D1438,ENVIOS!$A$4:$A$3003,0)),"—"))</f>
        <v/>
      </c>
      <c r="G1438" s="23">
        <f>IF($D1438="","",IFERROR(INDEX(ENVIOS!$D$4:$D$3003,MATCH($D1438,ENVIOS!$A$4:$A$3003,0)),"—"))</f>
        <v/>
      </c>
      <c r="H1438" s="23">
        <f>IF($D1438="","",IFERROR(INDEX(ENVIOS!$E$4:$E$3003,MATCH($D1438,ENVIOS!$A$4:$A$3003,0)),"—"))</f>
        <v/>
      </c>
      <c r="I1438" s="23">
        <f>IF($D1438="","",IFERROR(INDEX(ENVIOS!$F$4:$F$3003,MATCH($D1438,ENVIOS!$A$4:$A$3003,0)),"—"))</f>
        <v/>
      </c>
      <c r="J1438" s="23">
        <f>IF($D1438="","",IFERROR(INDEX(ENVIOS!$G$4:$G$3003,MATCH($D1438,ENVIOS!$A$4:$A$3003,0)),"—"))</f>
        <v/>
      </c>
      <c r="K1438" s="28">
        <f>IF($D1438="","",IFERROR(INDEX(ENVIOS!$H$4:$H$3003,MATCH($D1438,ENVIOS!$A$4:$A$3003,0)),"—"))</f>
        <v/>
      </c>
      <c r="L1438" s="49">
        <f>IF($D1438="","",IFERROR(INDEX(ENVIOS!$C$4:$C$3003,MATCH($D1438,ENVIOS!$A$4:$A$3003,0)),""))</f>
        <v/>
      </c>
      <c r="M1438" s="50" t="n"/>
      <c r="N1438" s="28">
        <f>IF($M1438="","",IFERROR(INDEX(CONFIG!$C$4:$C$63,MATCH($M1438,CONFIG!$A$4:$A$63,0)),"Media"))</f>
        <v/>
      </c>
      <c r="O1438" s="28">
        <f>IF($M1438="","",IF($C1438="Interna","NO",IFERROR(INDEX(CONFIG!$E$4:$E$63,MATCH($M1438,CONFIG!$A$4:$A$63,0)),"NO")))</f>
        <v/>
      </c>
      <c r="P1438" s="50" t="n"/>
      <c r="Q1438" s="50" t="n"/>
      <c r="R1438" s="28">
        <f>IF($Q1438="","",IFERROR(INDEX(CONFIG!$H$4:$H$63,MATCH($Q1438,CONFIG!$G$4:$G$63,0)),"Por definir"))</f>
        <v/>
      </c>
      <c r="S1438" s="28">
        <f>IF($Q1438="","",IFERROR(INDEX(CONFIG!$I$4:$I$63,MATCH($Q1438,CONFIG!$G$4:$G$63,0)),"Por definir"))</f>
        <v/>
      </c>
      <c r="T1438" s="51" t="n"/>
      <c r="U1438" s="52" t="n"/>
      <c r="V1438" s="50" t="n"/>
      <c r="W1438" s="50" t="n"/>
      <c r="X1438" s="49">
        <f>IF(OR($B1438="",$M1438=""),"",WORKDAY($B1438,IFERROR(INDEX(CONFIG!$D$4:$D$63,MATCH($M1438,CONFIG!$A$4:$A$63,0)),3)))</f>
        <v/>
      </c>
      <c r="Y1438" s="47" t="n"/>
      <c r="Z1438" s="24">
        <f>IF($B1438="","",IF($Y1438&lt;&gt;"",$Y1438-$B1438,TODAY()-$B1438))</f>
        <v/>
      </c>
      <c r="AA1438" s="28">
        <f>IF($B1438="","",IF(IFERROR(INDEX(CONFIG!$L$4:$L$63,MATCH($V1438,CONFIG!$K$4:$K$63,0)),"NO")="SÍ",IF(OR($Y1438="",$X1438=""),"Resuelta",IF($Y1438&gt;$X1438,"Resuelta tarde","Resuelta a tiempo")),IF($X1438="","Sin clasificar",IF(TODAY()&gt;$X1438,"Vencida",IF(TODAY()&gt;=$X1438-1,"Por vencer","En plazo")))))</f>
        <v/>
      </c>
      <c r="AB1438" s="50" t="n"/>
      <c r="AC1438" s="50" t="n"/>
    </row>
    <row r="1439" ht="16" customHeight="1">
      <c r="A1439" s="28">
        <f>IF($B1439="","","N-"&amp;TEXT(ROW()-3,"0000"))</f>
        <v/>
      </c>
      <c r="B1439" s="47" t="n"/>
      <c r="C1439" s="48" t="n"/>
      <c r="D1439" s="48" t="n"/>
      <c r="E1439" s="28">
        <f>IF($C1439="","",IF($D1439="",IF($C1439="Interna","Sin guía (interna)","FALTA GUÍA"),IF(COUNTIFS(ENVIOS!$A$4:$A$3003,$D1439)=0,"NO EXISTE",IF(COUNTIFS(ENVIOS!$A$4:$A$3003,$D1439)&gt;1,"DUPLICADA","OK"))))</f>
        <v/>
      </c>
      <c r="F1439" s="28">
        <f>IF($D1439="","",IFERROR(INDEX(ENVIOS!$B$4:$B$3003,MATCH($D1439,ENVIOS!$A$4:$A$3003,0)),"—"))</f>
        <v/>
      </c>
      <c r="G1439" s="23">
        <f>IF($D1439="","",IFERROR(INDEX(ENVIOS!$D$4:$D$3003,MATCH($D1439,ENVIOS!$A$4:$A$3003,0)),"—"))</f>
        <v/>
      </c>
      <c r="H1439" s="23">
        <f>IF($D1439="","",IFERROR(INDEX(ENVIOS!$E$4:$E$3003,MATCH($D1439,ENVIOS!$A$4:$A$3003,0)),"—"))</f>
        <v/>
      </c>
      <c r="I1439" s="23">
        <f>IF($D1439="","",IFERROR(INDEX(ENVIOS!$F$4:$F$3003,MATCH($D1439,ENVIOS!$A$4:$A$3003,0)),"—"))</f>
        <v/>
      </c>
      <c r="J1439" s="23">
        <f>IF($D1439="","",IFERROR(INDEX(ENVIOS!$G$4:$G$3003,MATCH($D1439,ENVIOS!$A$4:$A$3003,0)),"—"))</f>
        <v/>
      </c>
      <c r="K1439" s="28">
        <f>IF($D1439="","",IFERROR(INDEX(ENVIOS!$H$4:$H$3003,MATCH($D1439,ENVIOS!$A$4:$A$3003,0)),"—"))</f>
        <v/>
      </c>
      <c r="L1439" s="49">
        <f>IF($D1439="","",IFERROR(INDEX(ENVIOS!$C$4:$C$3003,MATCH($D1439,ENVIOS!$A$4:$A$3003,0)),""))</f>
        <v/>
      </c>
      <c r="M1439" s="50" t="n"/>
      <c r="N1439" s="28">
        <f>IF($M1439="","",IFERROR(INDEX(CONFIG!$C$4:$C$63,MATCH($M1439,CONFIG!$A$4:$A$63,0)),"Media"))</f>
        <v/>
      </c>
      <c r="O1439" s="28">
        <f>IF($M1439="","",IF($C1439="Interna","NO",IFERROR(INDEX(CONFIG!$E$4:$E$63,MATCH($M1439,CONFIG!$A$4:$A$63,0)),"NO")))</f>
        <v/>
      </c>
      <c r="P1439" s="50" t="n"/>
      <c r="Q1439" s="50" t="n"/>
      <c r="R1439" s="28">
        <f>IF($Q1439="","",IFERROR(INDEX(CONFIG!$H$4:$H$63,MATCH($Q1439,CONFIG!$G$4:$G$63,0)),"Por definir"))</f>
        <v/>
      </c>
      <c r="S1439" s="28">
        <f>IF($Q1439="","",IFERROR(INDEX(CONFIG!$I$4:$I$63,MATCH($Q1439,CONFIG!$G$4:$G$63,0)),"Por definir"))</f>
        <v/>
      </c>
      <c r="T1439" s="51" t="n"/>
      <c r="U1439" s="52" t="n"/>
      <c r="V1439" s="50" t="n"/>
      <c r="W1439" s="50" t="n"/>
      <c r="X1439" s="49">
        <f>IF(OR($B1439="",$M1439=""),"",WORKDAY($B1439,IFERROR(INDEX(CONFIG!$D$4:$D$63,MATCH($M1439,CONFIG!$A$4:$A$63,0)),3)))</f>
        <v/>
      </c>
      <c r="Y1439" s="47" t="n"/>
      <c r="Z1439" s="24">
        <f>IF($B1439="","",IF($Y1439&lt;&gt;"",$Y1439-$B1439,TODAY()-$B1439))</f>
        <v/>
      </c>
      <c r="AA1439" s="28">
        <f>IF($B1439="","",IF(IFERROR(INDEX(CONFIG!$L$4:$L$63,MATCH($V1439,CONFIG!$K$4:$K$63,0)),"NO")="SÍ",IF(OR($Y1439="",$X1439=""),"Resuelta",IF($Y1439&gt;$X1439,"Resuelta tarde","Resuelta a tiempo")),IF($X1439="","Sin clasificar",IF(TODAY()&gt;$X1439,"Vencida",IF(TODAY()&gt;=$X1439-1,"Por vencer","En plazo")))))</f>
        <v/>
      </c>
      <c r="AB1439" s="50" t="n"/>
      <c r="AC1439" s="50" t="n"/>
    </row>
    <row r="1440" ht="16" customHeight="1">
      <c r="A1440" s="28">
        <f>IF($B1440="","","N-"&amp;TEXT(ROW()-3,"0000"))</f>
        <v/>
      </c>
      <c r="B1440" s="47" t="n"/>
      <c r="C1440" s="48" t="n"/>
      <c r="D1440" s="48" t="n"/>
      <c r="E1440" s="28">
        <f>IF($C1440="","",IF($D1440="",IF($C1440="Interna","Sin guía (interna)","FALTA GUÍA"),IF(COUNTIFS(ENVIOS!$A$4:$A$3003,$D1440)=0,"NO EXISTE",IF(COUNTIFS(ENVIOS!$A$4:$A$3003,$D1440)&gt;1,"DUPLICADA","OK"))))</f>
        <v/>
      </c>
      <c r="F1440" s="28">
        <f>IF($D1440="","",IFERROR(INDEX(ENVIOS!$B$4:$B$3003,MATCH($D1440,ENVIOS!$A$4:$A$3003,0)),"—"))</f>
        <v/>
      </c>
      <c r="G1440" s="23">
        <f>IF($D1440="","",IFERROR(INDEX(ENVIOS!$D$4:$D$3003,MATCH($D1440,ENVIOS!$A$4:$A$3003,0)),"—"))</f>
        <v/>
      </c>
      <c r="H1440" s="23">
        <f>IF($D1440="","",IFERROR(INDEX(ENVIOS!$E$4:$E$3003,MATCH($D1440,ENVIOS!$A$4:$A$3003,0)),"—"))</f>
        <v/>
      </c>
      <c r="I1440" s="23">
        <f>IF($D1440="","",IFERROR(INDEX(ENVIOS!$F$4:$F$3003,MATCH($D1440,ENVIOS!$A$4:$A$3003,0)),"—"))</f>
        <v/>
      </c>
      <c r="J1440" s="23">
        <f>IF($D1440="","",IFERROR(INDEX(ENVIOS!$G$4:$G$3003,MATCH($D1440,ENVIOS!$A$4:$A$3003,0)),"—"))</f>
        <v/>
      </c>
      <c r="K1440" s="28">
        <f>IF($D1440="","",IFERROR(INDEX(ENVIOS!$H$4:$H$3003,MATCH($D1440,ENVIOS!$A$4:$A$3003,0)),"—"))</f>
        <v/>
      </c>
      <c r="L1440" s="49">
        <f>IF($D1440="","",IFERROR(INDEX(ENVIOS!$C$4:$C$3003,MATCH($D1440,ENVIOS!$A$4:$A$3003,0)),""))</f>
        <v/>
      </c>
      <c r="M1440" s="50" t="n"/>
      <c r="N1440" s="28">
        <f>IF($M1440="","",IFERROR(INDEX(CONFIG!$C$4:$C$63,MATCH($M1440,CONFIG!$A$4:$A$63,0)),"Media"))</f>
        <v/>
      </c>
      <c r="O1440" s="28">
        <f>IF($M1440="","",IF($C1440="Interna","NO",IFERROR(INDEX(CONFIG!$E$4:$E$63,MATCH($M1440,CONFIG!$A$4:$A$63,0)),"NO")))</f>
        <v/>
      </c>
      <c r="P1440" s="50" t="n"/>
      <c r="Q1440" s="50" t="n"/>
      <c r="R1440" s="28">
        <f>IF($Q1440="","",IFERROR(INDEX(CONFIG!$H$4:$H$63,MATCH($Q1440,CONFIG!$G$4:$G$63,0)),"Por definir"))</f>
        <v/>
      </c>
      <c r="S1440" s="28">
        <f>IF($Q1440="","",IFERROR(INDEX(CONFIG!$I$4:$I$63,MATCH($Q1440,CONFIG!$G$4:$G$63,0)),"Por definir"))</f>
        <v/>
      </c>
      <c r="T1440" s="51" t="n"/>
      <c r="U1440" s="52" t="n"/>
      <c r="V1440" s="50" t="n"/>
      <c r="W1440" s="50" t="n"/>
      <c r="X1440" s="49">
        <f>IF(OR($B1440="",$M1440=""),"",WORKDAY($B1440,IFERROR(INDEX(CONFIG!$D$4:$D$63,MATCH($M1440,CONFIG!$A$4:$A$63,0)),3)))</f>
        <v/>
      </c>
      <c r="Y1440" s="47" t="n"/>
      <c r="Z1440" s="24">
        <f>IF($B1440="","",IF($Y1440&lt;&gt;"",$Y1440-$B1440,TODAY()-$B1440))</f>
        <v/>
      </c>
      <c r="AA1440" s="28">
        <f>IF($B1440="","",IF(IFERROR(INDEX(CONFIG!$L$4:$L$63,MATCH($V1440,CONFIG!$K$4:$K$63,0)),"NO")="SÍ",IF(OR($Y1440="",$X1440=""),"Resuelta",IF($Y1440&gt;$X1440,"Resuelta tarde","Resuelta a tiempo")),IF($X1440="","Sin clasificar",IF(TODAY()&gt;$X1440,"Vencida",IF(TODAY()&gt;=$X1440-1,"Por vencer","En plazo")))))</f>
        <v/>
      </c>
      <c r="AB1440" s="50" t="n"/>
      <c r="AC1440" s="50" t="n"/>
    </row>
    <row r="1441" ht="16" customHeight="1">
      <c r="A1441" s="28">
        <f>IF($B1441="","","N-"&amp;TEXT(ROW()-3,"0000"))</f>
        <v/>
      </c>
      <c r="B1441" s="47" t="n"/>
      <c r="C1441" s="48" t="n"/>
      <c r="D1441" s="48" t="n"/>
      <c r="E1441" s="28">
        <f>IF($C1441="","",IF($D1441="",IF($C1441="Interna","Sin guía (interna)","FALTA GUÍA"),IF(COUNTIFS(ENVIOS!$A$4:$A$3003,$D1441)=0,"NO EXISTE",IF(COUNTIFS(ENVIOS!$A$4:$A$3003,$D1441)&gt;1,"DUPLICADA","OK"))))</f>
        <v/>
      </c>
      <c r="F1441" s="28">
        <f>IF($D1441="","",IFERROR(INDEX(ENVIOS!$B$4:$B$3003,MATCH($D1441,ENVIOS!$A$4:$A$3003,0)),"—"))</f>
        <v/>
      </c>
      <c r="G1441" s="23">
        <f>IF($D1441="","",IFERROR(INDEX(ENVIOS!$D$4:$D$3003,MATCH($D1441,ENVIOS!$A$4:$A$3003,0)),"—"))</f>
        <v/>
      </c>
      <c r="H1441" s="23">
        <f>IF($D1441="","",IFERROR(INDEX(ENVIOS!$E$4:$E$3003,MATCH($D1441,ENVIOS!$A$4:$A$3003,0)),"—"))</f>
        <v/>
      </c>
      <c r="I1441" s="23">
        <f>IF($D1441="","",IFERROR(INDEX(ENVIOS!$F$4:$F$3003,MATCH($D1441,ENVIOS!$A$4:$A$3003,0)),"—"))</f>
        <v/>
      </c>
      <c r="J1441" s="23">
        <f>IF($D1441="","",IFERROR(INDEX(ENVIOS!$G$4:$G$3003,MATCH($D1441,ENVIOS!$A$4:$A$3003,0)),"—"))</f>
        <v/>
      </c>
      <c r="K1441" s="28">
        <f>IF($D1441="","",IFERROR(INDEX(ENVIOS!$H$4:$H$3003,MATCH($D1441,ENVIOS!$A$4:$A$3003,0)),"—"))</f>
        <v/>
      </c>
      <c r="L1441" s="49">
        <f>IF($D1441="","",IFERROR(INDEX(ENVIOS!$C$4:$C$3003,MATCH($D1441,ENVIOS!$A$4:$A$3003,0)),""))</f>
        <v/>
      </c>
      <c r="M1441" s="50" t="n"/>
      <c r="N1441" s="28">
        <f>IF($M1441="","",IFERROR(INDEX(CONFIG!$C$4:$C$63,MATCH($M1441,CONFIG!$A$4:$A$63,0)),"Media"))</f>
        <v/>
      </c>
      <c r="O1441" s="28">
        <f>IF($M1441="","",IF($C1441="Interna","NO",IFERROR(INDEX(CONFIG!$E$4:$E$63,MATCH($M1441,CONFIG!$A$4:$A$63,0)),"NO")))</f>
        <v/>
      </c>
      <c r="P1441" s="50" t="n"/>
      <c r="Q1441" s="50" t="n"/>
      <c r="R1441" s="28">
        <f>IF($Q1441="","",IFERROR(INDEX(CONFIG!$H$4:$H$63,MATCH($Q1441,CONFIG!$G$4:$G$63,0)),"Por definir"))</f>
        <v/>
      </c>
      <c r="S1441" s="28">
        <f>IF($Q1441="","",IFERROR(INDEX(CONFIG!$I$4:$I$63,MATCH($Q1441,CONFIG!$G$4:$G$63,0)),"Por definir"))</f>
        <v/>
      </c>
      <c r="T1441" s="51" t="n"/>
      <c r="U1441" s="52" t="n"/>
      <c r="V1441" s="50" t="n"/>
      <c r="W1441" s="50" t="n"/>
      <c r="X1441" s="49">
        <f>IF(OR($B1441="",$M1441=""),"",WORKDAY($B1441,IFERROR(INDEX(CONFIG!$D$4:$D$63,MATCH($M1441,CONFIG!$A$4:$A$63,0)),3)))</f>
        <v/>
      </c>
      <c r="Y1441" s="47" t="n"/>
      <c r="Z1441" s="24">
        <f>IF($B1441="","",IF($Y1441&lt;&gt;"",$Y1441-$B1441,TODAY()-$B1441))</f>
        <v/>
      </c>
      <c r="AA1441" s="28">
        <f>IF($B1441="","",IF(IFERROR(INDEX(CONFIG!$L$4:$L$63,MATCH($V1441,CONFIG!$K$4:$K$63,0)),"NO")="SÍ",IF(OR($Y1441="",$X1441=""),"Resuelta",IF($Y1441&gt;$X1441,"Resuelta tarde","Resuelta a tiempo")),IF($X1441="","Sin clasificar",IF(TODAY()&gt;$X1441,"Vencida",IF(TODAY()&gt;=$X1441-1,"Por vencer","En plazo")))))</f>
        <v/>
      </c>
      <c r="AB1441" s="50" t="n"/>
      <c r="AC1441" s="50" t="n"/>
    </row>
    <row r="1442" ht="16" customHeight="1">
      <c r="A1442" s="28">
        <f>IF($B1442="","","N-"&amp;TEXT(ROW()-3,"0000"))</f>
        <v/>
      </c>
      <c r="B1442" s="47" t="n"/>
      <c r="C1442" s="48" t="n"/>
      <c r="D1442" s="48" t="n"/>
      <c r="E1442" s="28">
        <f>IF($C1442="","",IF($D1442="",IF($C1442="Interna","Sin guía (interna)","FALTA GUÍA"),IF(COUNTIFS(ENVIOS!$A$4:$A$3003,$D1442)=0,"NO EXISTE",IF(COUNTIFS(ENVIOS!$A$4:$A$3003,$D1442)&gt;1,"DUPLICADA","OK"))))</f>
        <v/>
      </c>
      <c r="F1442" s="28">
        <f>IF($D1442="","",IFERROR(INDEX(ENVIOS!$B$4:$B$3003,MATCH($D1442,ENVIOS!$A$4:$A$3003,0)),"—"))</f>
        <v/>
      </c>
      <c r="G1442" s="23">
        <f>IF($D1442="","",IFERROR(INDEX(ENVIOS!$D$4:$D$3003,MATCH($D1442,ENVIOS!$A$4:$A$3003,0)),"—"))</f>
        <v/>
      </c>
      <c r="H1442" s="23">
        <f>IF($D1442="","",IFERROR(INDEX(ENVIOS!$E$4:$E$3003,MATCH($D1442,ENVIOS!$A$4:$A$3003,0)),"—"))</f>
        <v/>
      </c>
      <c r="I1442" s="23">
        <f>IF($D1442="","",IFERROR(INDEX(ENVIOS!$F$4:$F$3003,MATCH($D1442,ENVIOS!$A$4:$A$3003,0)),"—"))</f>
        <v/>
      </c>
      <c r="J1442" s="23">
        <f>IF($D1442="","",IFERROR(INDEX(ENVIOS!$G$4:$G$3003,MATCH($D1442,ENVIOS!$A$4:$A$3003,0)),"—"))</f>
        <v/>
      </c>
      <c r="K1442" s="28">
        <f>IF($D1442="","",IFERROR(INDEX(ENVIOS!$H$4:$H$3003,MATCH($D1442,ENVIOS!$A$4:$A$3003,0)),"—"))</f>
        <v/>
      </c>
      <c r="L1442" s="49">
        <f>IF($D1442="","",IFERROR(INDEX(ENVIOS!$C$4:$C$3003,MATCH($D1442,ENVIOS!$A$4:$A$3003,0)),""))</f>
        <v/>
      </c>
      <c r="M1442" s="50" t="n"/>
      <c r="N1442" s="28">
        <f>IF($M1442="","",IFERROR(INDEX(CONFIG!$C$4:$C$63,MATCH($M1442,CONFIG!$A$4:$A$63,0)),"Media"))</f>
        <v/>
      </c>
      <c r="O1442" s="28">
        <f>IF($M1442="","",IF($C1442="Interna","NO",IFERROR(INDEX(CONFIG!$E$4:$E$63,MATCH($M1442,CONFIG!$A$4:$A$63,0)),"NO")))</f>
        <v/>
      </c>
      <c r="P1442" s="50" t="n"/>
      <c r="Q1442" s="50" t="n"/>
      <c r="R1442" s="28">
        <f>IF($Q1442="","",IFERROR(INDEX(CONFIG!$H$4:$H$63,MATCH($Q1442,CONFIG!$G$4:$G$63,0)),"Por definir"))</f>
        <v/>
      </c>
      <c r="S1442" s="28">
        <f>IF($Q1442="","",IFERROR(INDEX(CONFIG!$I$4:$I$63,MATCH($Q1442,CONFIG!$G$4:$G$63,0)),"Por definir"))</f>
        <v/>
      </c>
      <c r="T1442" s="51" t="n"/>
      <c r="U1442" s="52" t="n"/>
      <c r="V1442" s="50" t="n"/>
      <c r="W1442" s="50" t="n"/>
      <c r="X1442" s="49">
        <f>IF(OR($B1442="",$M1442=""),"",WORKDAY($B1442,IFERROR(INDEX(CONFIG!$D$4:$D$63,MATCH($M1442,CONFIG!$A$4:$A$63,0)),3)))</f>
        <v/>
      </c>
      <c r="Y1442" s="47" t="n"/>
      <c r="Z1442" s="24">
        <f>IF($B1442="","",IF($Y1442&lt;&gt;"",$Y1442-$B1442,TODAY()-$B1442))</f>
        <v/>
      </c>
      <c r="AA1442" s="28">
        <f>IF($B1442="","",IF(IFERROR(INDEX(CONFIG!$L$4:$L$63,MATCH($V1442,CONFIG!$K$4:$K$63,0)),"NO")="SÍ",IF(OR($Y1442="",$X1442=""),"Resuelta",IF($Y1442&gt;$X1442,"Resuelta tarde","Resuelta a tiempo")),IF($X1442="","Sin clasificar",IF(TODAY()&gt;$X1442,"Vencida",IF(TODAY()&gt;=$X1442-1,"Por vencer","En plazo")))))</f>
        <v/>
      </c>
      <c r="AB1442" s="50" t="n"/>
      <c r="AC1442" s="50" t="n"/>
    </row>
    <row r="1443" ht="16" customHeight="1">
      <c r="A1443" s="28">
        <f>IF($B1443="","","N-"&amp;TEXT(ROW()-3,"0000"))</f>
        <v/>
      </c>
      <c r="B1443" s="47" t="n"/>
      <c r="C1443" s="48" t="n"/>
      <c r="D1443" s="48" t="n"/>
      <c r="E1443" s="28">
        <f>IF($C1443="","",IF($D1443="",IF($C1443="Interna","Sin guía (interna)","FALTA GUÍA"),IF(COUNTIFS(ENVIOS!$A$4:$A$3003,$D1443)=0,"NO EXISTE",IF(COUNTIFS(ENVIOS!$A$4:$A$3003,$D1443)&gt;1,"DUPLICADA","OK"))))</f>
        <v/>
      </c>
      <c r="F1443" s="28">
        <f>IF($D1443="","",IFERROR(INDEX(ENVIOS!$B$4:$B$3003,MATCH($D1443,ENVIOS!$A$4:$A$3003,0)),"—"))</f>
        <v/>
      </c>
      <c r="G1443" s="23">
        <f>IF($D1443="","",IFERROR(INDEX(ENVIOS!$D$4:$D$3003,MATCH($D1443,ENVIOS!$A$4:$A$3003,0)),"—"))</f>
        <v/>
      </c>
      <c r="H1443" s="23">
        <f>IF($D1443="","",IFERROR(INDEX(ENVIOS!$E$4:$E$3003,MATCH($D1443,ENVIOS!$A$4:$A$3003,0)),"—"))</f>
        <v/>
      </c>
      <c r="I1443" s="23">
        <f>IF($D1443="","",IFERROR(INDEX(ENVIOS!$F$4:$F$3003,MATCH($D1443,ENVIOS!$A$4:$A$3003,0)),"—"))</f>
        <v/>
      </c>
      <c r="J1443" s="23">
        <f>IF($D1443="","",IFERROR(INDEX(ENVIOS!$G$4:$G$3003,MATCH($D1443,ENVIOS!$A$4:$A$3003,0)),"—"))</f>
        <v/>
      </c>
      <c r="K1443" s="28">
        <f>IF($D1443="","",IFERROR(INDEX(ENVIOS!$H$4:$H$3003,MATCH($D1443,ENVIOS!$A$4:$A$3003,0)),"—"))</f>
        <v/>
      </c>
      <c r="L1443" s="49">
        <f>IF($D1443="","",IFERROR(INDEX(ENVIOS!$C$4:$C$3003,MATCH($D1443,ENVIOS!$A$4:$A$3003,0)),""))</f>
        <v/>
      </c>
      <c r="M1443" s="50" t="n"/>
      <c r="N1443" s="28">
        <f>IF($M1443="","",IFERROR(INDEX(CONFIG!$C$4:$C$63,MATCH($M1443,CONFIG!$A$4:$A$63,0)),"Media"))</f>
        <v/>
      </c>
      <c r="O1443" s="28">
        <f>IF($M1443="","",IF($C1443="Interna","NO",IFERROR(INDEX(CONFIG!$E$4:$E$63,MATCH($M1443,CONFIG!$A$4:$A$63,0)),"NO")))</f>
        <v/>
      </c>
      <c r="P1443" s="50" t="n"/>
      <c r="Q1443" s="50" t="n"/>
      <c r="R1443" s="28">
        <f>IF($Q1443="","",IFERROR(INDEX(CONFIG!$H$4:$H$63,MATCH($Q1443,CONFIG!$G$4:$G$63,0)),"Por definir"))</f>
        <v/>
      </c>
      <c r="S1443" s="28">
        <f>IF($Q1443="","",IFERROR(INDEX(CONFIG!$I$4:$I$63,MATCH($Q1443,CONFIG!$G$4:$G$63,0)),"Por definir"))</f>
        <v/>
      </c>
      <c r="T1443" s="51" t="n"/>
      <c r="U1443" s="52" t="n"/>
      <c r="V1443" s="50" t="n"/>
      <c r="W1443" s="50" t="n"/>
      <c r="X1443" s="49">
        <f>IF(OR($B1443="",$M1443=""),"",WORKDAY($B1443,IFERROR(INDEX(CONFIG!$D$4:$D$63,MATCH($M1443,CONFIG!$A$4:$A$63,0)),3)))</f>
        <v/>
      </c>
      <c r="Y1443" s="47" t="n"/>
      <c r="Z1443" s="24">
        <f>IF($B1443="","",IF($Y1443&lt;&gt;"",$Y1443-$B1443,TODAY()-$B1443))</f>
        <v/>
      </c>
      <c r="AA1443" s="28">
        <f>IF($B1443="","",IF(IFERROR(INDEX(CONFIG!$L$4:$L$63,MATCH($V1443,CONFIG!$K$4:$K$63,0)),"NO")="SÍ",IF(OR($Y1443="",$X1443=""),"Resuelta",IF($Y1443&gt;$X1443,"Resuelta tarde","Resuelta a tiempo")),IF($X1443="","Sin clasificar",IF(TODAY()&gt;$X1443,"Vencida",IF(TODAY()&gt;=$X1443-1,"Por vencer","En plazo")))))</f>
        <v/>
      </c>
      <c r="AB1443" s="50" t="n"/>
      <c r="AC1443" s="50" t="n"/>
    </row>
    <row r="1444" ht="16" customHeight="1">
      <c r="A1444" s="28">
        <f>IF($B1444="","","N-"&amp;TEXT(ROW()-3,"0000"))</f>
        <v/>
      </c>
      <c r="B1444" s="47" t="n"/>
      <c r="C1444" s="48" t="n"/>
      <c r="D1444" s="48" t="n"/>
      <c r="E1444" s="28">
        <f>IF($C1444="","",IF($D1444="",IF($C1444="Interna","Sin guía (interna)","FALTA GUÍA"),IF(COUNTIFS(ENVIOS!$A$4:$A$3003,$D1444)=0,"NO EXISTE",IF(COUNTIFS(ENVIOS!$A$4:$A$3003,$D1444)&gt;1,"DUPLICADA","OK"))))</f>
        <v/>
      </c>
      <c r="F1444" s="28">
        <f>IF($D1444="","",IFERROR(INDEX(ENVIOS!$B$4:$B$3003,MATCH($D1444,ENVIOS!$A$4:$A$3003,0)),"—"))</f>
        <v/>
      </c>
      <c r="G1444" s="23">
        <f>IF($D1444="","",IFERROR(INDEX(ENVIOS!$D$4:$D$3003,MATCH($D1444,ENVIOS!$A$4:$A$3003,0)),"—"))</f>
        <v/>
      </c>
      <c r="H1444" s="23">
        <f>IF($D1444="","",IFERROR(INDEX(ENVIOS!$E$4:$E$3003,MATCH($D1444,ENVIOS!$A$4:$A$3003,0)),"—"))</f>
        <v/>
      </c>
      <c r="I1444" s="23">
        <f>IF($D1444="","",IFERROR(INDEX(ENVIOS!$F$4:$F$3003,MATCH($D1444,ENVIOS!$A$4:$A$3003,0)),"—"))</f>
        <v/>
      </c>
      <c r="J1444" s="23">
        <f>IF($D1444="","",IFERROR(INDEX(ENVIOS!$G$4:$G$3003,MATCH($D1444,ENVIOS!$A$4:$A$3003,0)),"—"))</f>
        <v/>
      </c>
      <c r="K1444" s="28">
        <f>IF($D1444="","",IFERROR(INDEX(ENVIOS!$H$4:$H$3003,MATCH($D1444,ENVIOS!$A$4:$A$3003,0)),"—"))</f>
        <v/>
      </c>
      <c r="L1444" s="49">
        <f>IF($D1444="","",IFERROR(INDEX(ENVIOS!$C$4:$C$3003,MATCH($D1444,ENVIOS!$A$4:$A$3003,0)),""))</f>
        <v/>
      </c>
      <c r="M1444" s="50" t="n"/>
      <c r="N1444" s="28">
        <f>IF($M1444="","",IFERROR(INDEX(CONFIG!$C$4:$C$63,MATCH($M1444,CONFIG!$A$4:$A$63,0)),"Media"))</f>
        <v/>
      </c>
      <c r="O1444" s="28">
        <f>IF($M1444="","",IF($C1444="Interna","NO",IFERROR(INDEX(CONFIG!$E$4:$E$63,MATCH($M1444,CONFIG!$A$4:$A$63,0)),"NO")))</f>
        <v/>
      </c>
      <c r="P1444" s="50" t="n"/>
      <c r="Q1444" s="50" t="n"/>
      <c r="R1444" s="28">
        <f>IF($Q1444="","",IFERROR(INDEX(CONFIG!$H$4:$H$63,MATCH($Q1444,CONFIG!$G$4:$G$63,0)),"Por definir"))</f>
        <v/>
      </c>
      <c r="S1444" s="28">
        <f>IF($Q1444="","",IFERROR(INDEX(CONFIG!$I$4:$I$63,MATCH($Q1444,CONFIG!$G$4:$G$63,0)),"Por definir"))</f>
        <v/>
      </c>
      <c r="T1444" s="51" t="n"/>
      <c r="U1444" s="52" t="n"/>
      <c r="V1444" s="50" t="n"/>
      <c r="W1444" s="50" t="n"/>
      <c r="X1444" s="49">
        <f>IF(OR($B1444="",$M1444=""),"",WORKDAY($B1444,IFERROR(INDEX(CONFIG!$D$4:$D$63,MATCH($M1444,CONFIG!$A$4:$A$63,0)),3)))</f>
        <v/>
      </c>
      <c r="Y1444" s="47" t="n"/>
      <c r="Z1444" s="24">
        <f>IF($B1444="","",IF($Y1444&lt;&gt;"",$Y1444-$B1444,TODAY()-$B1444))</f>
        <v/>
      </c>
      <c r="AA1444" s="28">
        <f>IF($B1444="","",IF(IFERROR(INDEX(CONFIG!$L$4:$L$63,MATCH($V1444,CONFIG!$K$4:$K$63,0)),"NO")="SÍ",IF(OR($Y1444="",$X1444=""),"Resuelta",IF($Y1444&gt;$X1444,"Resuelta tarde","Resuelta a tiempo")),IF($X1444="","Sin clasificar",IF(TODAY()&gt;$X1444,"Vencida",IF(TODAY()&gt;=$X1444-1,"Por vencer","En plazo")))))</f>
        <v/>
      </c>
      <c r="AB1444" s="50" t="n"/>
      <c r="AC1444" s="50" t="n"/>
    </row>
    <row r="1445" ht="16" customHeight="1">
      <c r="A1445" s="28">
        <f>IF($B1445="","","N-"&amp;TEXT(ROW()-3,"0000"))</f>
        <v/>
      </c>
      <c r="B1445" s="47" t="n"/>
      <c r="C1445" s="48" t="n"/>
      <c r="D1445" s="48" t="n"/>
      <c r="E1445" s="28">
        <f>IF($C1445="","",IF($D1445="",IF($C1445="Interna","Sin guía (interna)","FALTA GUÍA"),IF(COUNTIFS(ENVIOS!$A$4:$A$3003,$D1445)=0,"NO EXISTE",IF(COUNTIFS(ENVIOS!$A$4:$A$3003,$D1445)&gt;1,"DUPLICADA","OK"))))</f>
        <v/>
      </c>
      <c r="F1445" s="28">
        <f>IF($D1445="","",IFERROR(INDEX(ENVIOS!$B$4:$B$3003,MATCH($D1445,ENVIOS!$A$4:$A$3003,0)),"—"))</f>
        <v/>
      </c>
      <c r="G1445" s="23">
        <f>IF($D1445="","",IFERROR(INDEX(ENVIOS!$D$4:$D$3003,MATCH($D1445,ENVIOS!$A$4:$A$3003,0)),"—"))</f>
        <v/>
      </c>
      <c r="H1445" s="23">
        <f>IF($D1445="","",IFERROR(INDEX(ENVIOS!$E$4:$E$3003,MATCH($D1445,ENVIOS!$A$4:$A$3003,0)),"—"))</f>
        <v/>
      </c>
      <c r="I1445" s="23">
        <f>IF($D1445="","",IFERROR(INDEX(ENVIOS!$F$4:$F$3003,MATCH($D1445,ENVIOS!$A$4:$A$3003,0)),"—"))</f>
        <v/>
      </c>
      <c r="J1445" s="23">
        <f>IF($D1445="","",IFERROR(INDEX(ENVIOS!$G$4:$G$3003,MATCH($D1445,ENVIOS!$A$4:$A$3003,0)),"—"))</f>
        <v/>
      </c>
      <c r="K1445" s="28">
        <f>IF($D1445="","",IFERROR(INDEX(ENVIOS!$H$4:$H$3003,MATCH($D1445,ENVIOS!$A$4:$A$3003,0)),"—"))</f>
        <v/>
      </c>
      <c r="L1445" s="49">
        <f>IF($D1445="","",IFERROR(INDEX(ENVIOS!$C$4:$C$3003,MATCH($D1445,ENVIOS!$A$4:$A$3003,0)),""))</f>
        <v/>
      </c>
      <c r="M1445" s="50" t="n"/>
      <c r="N1445" s="28">
        <f>IF($M1445="","",IFERROR(INDEX(CONFIG!$C$4:$C$63,MATCH($M1445,CONFIG!$A$4:$A$63,0)),"Media"))</f>
        <v/>
      </c>
      <c r="O1445" s="28">
        <f>IF($M1445="","",IF($C1445="Interna","NO",IFERROR(INDEX(CONFIG!$E$4:$E$63,MATCH($M1445,CONFIG!$A$4:$A$63,0)),"NO")))</f>
        <v/>
      </c>
      <c r="P1445" s="50" t="n"/>
      <c r="Q1445" s="50" t="n"/>
      <c r="R1445" s="28">
        <f>IF($Q1445="","",IFERROR(INDEX(CONFIG!$H$4:$H$63,MATCH($Q1445,CONFIG!$G$4:$G$63,0)),"Por definir"))</f>
        <v/>
      </c>
      <c r="S1445" s="28">
        <f>IF($Q1445="","",IFERROR(INDEX(CONFIG!$I$4:$I$63,MATCH($Q1445,CONFIG!$G$4:$G$63,0)),"Por definir"))</f>
        <v/>
      </c>
      <c r="T1445" s="51" t="n"/>
      <c r="U1445" s="52" t="n"/>
      <c r="V1445" s="50" t="n"/>
      <c r="W1445" s="50" t="n"/>
      <c r="X1445" s="49">
        <f>IF(OR($B1445="",$M1445=""),"",WORKDAY($B1445,IFERROR(INDEX(CONFIG!$D$4:$D$63,MATCH($M1445,CONFIG!$A$4:$A$63,0)),3)))</f>
        <v/>
      </c>
      <c r="Y1445" s="47" t="n"/>
      <c r="Z1445" s="24">
        <f>IF($B1445="","",IF($Y1445&lt;&gt;"",$Y1445-$B1445,TODAY()-$B1445))</f>
        <v/>
      </c>
      <c r="AA1445" s="28">
        <f>IF($B1445="","",IF(IFERROR(INDEX(CONFIG!$L$4:$L$63,MATCH($V1445,CONFIG!$K$4:$K$63,0)),"NO")="SÍ",IF(OR($Y1445="",$X1445=""),"Resuelta",IF($Y1445&gt;$X1445,"Resuelta tarde","Resuelta a tiempo")),IF($X1445="","Sin clasificar",IF(TODAY()&gt;$X1445,"Vencida",IF(TODAY()&gt;=$X1445-1,"Por vencer","En plazo")))))</f>
        <v/>
      </c>
      <c r="AB1445" s="50" t="n"/>
      <c r="AC1445" s="50" t="n"/>
    </row>
    <row r="1446" ht="16" customHeight="1">
      <c r="A1446" s="28">
        <f>IF($B1446="","","N-"&amp;TEXT(ROW()-3,"0000"))</f>
        <v/>
      </c>
      <c r="B1446" s="47" t="n"/>
      <c r="C1446" s="48" t="n"/>
      <c r="D1446" s="48" t="n"/>
      <c r="E1446" s="28">
        <f>IF($C1446="","",IF($D1446="",IF($C1446="Interna","Sin guía (interna)","FALTA GUÍA"),IF(COUNTIFS(ENVIOS!$A$4:$A$3003,$D1446)=0,"NO EXISTE",IF(COUNTIFS(ENVIOS!$A$4:$A$3003,$D1446)&gt;1,"DUPLICADA","OK"))))</f>
        <v/>
      </c>
      <c r="F1446" s="28">
        <f>IF($D1446="","",IFERROR(INDEX(ENVIOS!$B$4:$B$3003,MATCH($D1446,ENVIOS!$A$4:$A$3003,0)),"—"))</f>
        <v/>
      </c>
      <c r="G1446" s="23">
        <f>IF($D1446="","",IFERROR(INDEX(ENVIOS!$D$4:$D$3003,MATCH($D1446,ENVIOS!$A$4:$A$3003,0)),"—"))</f>
        <v/>
      </c>
      <c r="H1446" s="23">
        <f>IF($D1446="","",IFERROR(INDEX(ENVIOS!$E$4:$E$3003,MATCH($D1446,ENVIOS!$A$4:$A$3003,0)),"—"))</f>
        <v/>
      </c>
      <c r="I1446" s="23">
        <f>IF($D1446="","",IFERROR(INDEX(ENVIOS!$F$4:$F$3003,MATCH($D1446,ENVIOS!$A$4:$A$3003,0)),"—"))</f>
        <v/>
      </c>
      <c r="J1446" s="23">
        <f>IF($D1446="","",IFERROR(INDEX(ENVIOS!$G$4:$G$3003,MATCH($D1446,ENVIOS!$A$4:$A$3003,0)),"—"))</f>
        <v/>
      </c>
      <c r="K1446" s="28">
        <f>IF($D1446="","",IFERROR(INDEX(ENVIOS!$H$4:$H$3003,MATCH($D1446,ENVIOS!$A$4:$A$3003,0)),"—"))</f>
        <v/>
      </c>
      <c r="L1446" s="49">
        <f>IF($D1446="","",IFERROR(INDEX(ENVIOS!$C$4:$C$3003,MATCH($D1446,ENVIOS!$A$4:$A$3003,0)),""))</f>
        <v/>
      </c>
      <c r="M1446" s="50" t="n"/>
      <c r="N1446" s="28">
        <f>IF($M1446="","",IFERROR(INDEX(CONFIG!$C$4:$C$63,MATCH($M1446,CONFIG!$A$4:$A$63,0)),"Media"))</f>
        <v/>
      </c>
      <c r="O1446" s="28">
        <f>IF($M1446="","",IF($C1446="Interna","NO",IFERROR(INDEX(CONFIG!$E$4:$E$63,MATCH($M1446,CONFIG!$A$4:$A$63,0)),"NO")))</f>
        <v/>
      </c>
      <c r="P1446" s="50" t="n"/>
      <c r="Q1446" s="50" t="n"/>
      <c r="R1446" s="28">
        <f>IF($Q1446="","",IFERROR(INDEX(CONFIG!$H$4:$H$63,MATCH($Q1446,CONFIG!$G$4:$G$63,0)),"Por definir"))</f>
        <v/>
      </c>
      <c r="S1446" s="28">
        <f>IF($Q1446="","",IFERROR(INDEX(CONFIG!$I$4:$I$63,MATCH($Q1446,CONFIG!$G$4:$G$63,0)),"Por definir"))</f>
        <v/>
      </c>
      <c r="T1446" s="51" t="n"/>
      <c r="U1446" s="52" t="n"/>
      <c r="V1446" s="50" t="n"/>
      <c r="W1446" s="50" t="n"/>
      <c r="X1446" s="49">
        <f>IF(OR($B1446="",$M1446=""),"",WORKDAY($B1446,IFERROR(INDEX(CONFIG!$D$4:$D$63,MATCH($M1446,CONFIG!$A$4:$A$63,0)),3)))</f>
        <v/>
      </c>
      <c r="Y1446" s="47" t="n"/>
      <c r="Z1446" s="24">
        <f>IF($B1446="","",IF($Y1446&lt;&gt;"",$Y1446-$B1446,TODAY()-$B1446))</f>
        <v/>
      </c>
      <c r="AA1446" s="28">
        <f>IF($B1446="","",IF(IFERROR(INDEX(CONFIG!$L$4:$L$63,MATCH($V1446,CONFIG!$K$4:$K$63,0)),"NO")="SÍ",IF(OR($Y1446="",$X1446=""),"Resuelta",IF($Y1446&gt;$X1446,"Resuelta tarde","Resuelta a tiempo")),IF($X1446="","Sin clasificar",IF(TODAY()&gt;$X1446,"Vencida",IF(TODAY()&gt;=$X1446-1,"Por vencer","En plazo")))))</f>
        <v/>
      </c>
      <c r="AB1446" s="50" t="n"/>
      <c r="AC1446" s="50" t="n"/>
    </row>
    <row r="1447" ht="16" customHeight="1">
      <c r="A1447" s="28">
        <f>IF($B1447="","","N-"&amp;TEXT(ROW()-3,"0000"))</f>
        <v/>
      </c>
      <c r="B1447" s="47" t="n"/>
      <c r="C1447" s="48" t="n"/>
      <c r="D1447" s="48" t="n"/>
      <c r="E1447" s="28">
        <f>IF($C1447="","",IF($D1447="",IF($C1447="Interna","Sin guía (interna)","FALTA GUÍA"),IF(COUNTIFS(ENVIOS!$A$4:$A$3003,$D1447)=0,"NO EXISTE",IF(COUNTIFS(ENVIOS!$A$4:$A$3003,$D1447)&gt;1,"DUPLICADA","OK"))))</f>
        <v/>
      </c>
      <c r="F1447" s="28">
        <f>IF($D1447="","",IFERROR(INDEX(ENVIOS!$B$4:$B$3003,MATCH($D1447,ENVIOS!$A$4:$A$3003,0)),"—"))</f>
        <v/>
      </c>
      <c r="G1447" s="23">
        <f>IF($D1447="","",IFERROR(INDEX(ENVIOS!$D$4:$D$3003,MATCH($D1447,ENVIOS!$A$4:$A$3003,0)),"—"))</f>
        <v/>
      </c>
      <c r="H1447" s="23">
        <f>IF($D1447="","",IFERROR(INDEX(ENVIOS!$E$4:$E$3003,MATCH($D1447,ENVIOS!$A$4:$A$3003,0)),"—"))</f>
        <v/>
      </c>
      <c r="I1447" s="23">
        <f>IF($D1447="","",IFERROR(INDEX(ENVIOS!$F$4:$F$3003,MATCH($D1447,ENVIOS!$A$4:$A$3003,0)),"—"))</f>
        <v/>
      </c>
      <c r="J1447" s="23">
        <f>IF($D1447="","",IFERROR(INDEX(ENVIOS!$G$4:$G$3003,MATCH($D1447,ENVIOS!$A$4:$A$3003,0)),"—"))</f>
        <v/>
      </c>
      <c r="K1447" s="28">
        <f>IF($D1447="","",IFERROR(INDEX(ENVIOS!$H$4:$H$3003,MATCH($D1447,ENVIOS!$A$4:$A$3003,0)),"—"))</f>
        <v/>
      </c>
      <c r="L1447" s="49">
        <f>IF($D1447="","",IFERROR(INDEX(ENVIOS!$C$4:$C$3003,MATCH($D1447,ENVIOS!$A$4:$A$3003,0)),""))</f>
        <v/>
      </c>
      <c r="M1447" s="50" t="n"/>
      <c r="N1447" s="28">
        <f>IF($M1447="","",IFERROR(INDEX(CONFIG!$C$4:$C$63,MATCH($M1447,CONFIG!$A$4:$A$63,0)),"Media"))</f>
        <v/>
      </c>
      <c r="O1447" s="28">
        <f>IF($M1447="","",IF($C1447="Interna","NO",IFERROR(INDEX(CONFIG!$E$4:$E$63,MATCH($M1447,CONFIG!$A$4:$A$63,0)),"NO")))</f>
        <v/>
      </c>
      <c r="P1447" s="50" t="n"/>
      <c r="Q1447" s="50" t="n"/>
      <c r="R1447" s="28">
        <f>IF($Q1447="","",IFERROR(INDEX(CONFIG!$H$4:$H$63,MATCH($Q1447,CONFIG!$G$4:$G$63,0)),"Por definir"))</f>
        <v/>
      </c>
      <c r="S1447" s="28">
        <f>IF($Q1447="","",IFERROR(INDEX(CONFIG!$I$4:$I$63,MATCH($Q1447,CONFIG!$G$4:$G$63,0)),"Por definir"))</f>
        <v/>
      </c>
      <c r="T1447" s="51" t="n"/>
      <c r="U1447" s="52" t="n"/>
      <c r="V1447" s="50" t="n"/>
      <c r="W1447" s="50" t="n"/>
      <c r="X1447" s="49">
        <f>IF(OR($B1447="",$M1447=""),"",WORKDAY($B1447,IFERROR(INDEX(CONFIG!$D$4:$D$63,MATCH($M1447,CONFIG!$A$4:$A$63,0)),3)))</f>
        <v/>
      </c>
      <c r="Y1447" s="47" t="n"/>
      <c r="Z1447" s="24">
        <f>IF($B1447="","",IF($Y1447&lt;&gt;"",$Y1447-$B1447,TODAY()-$B1447))</f>
        <v/>
      </c>
      <c r="AA1447" s="28">
        <f>IF($B1447="","",IF(IFERROR(INDEX(CONFIG!$L$4:$L$63,MATCH($V1447,CONFIG!$K$4:$K$63,0)),"NO")="SÍ",IF(OR($Y1447="",$X1447=""),"Resuelta",IF($Y1447&gt;$X1447,"Resuelta tarde","Resuelta a tiempo")),IF($X1447="","Sin clasificar",IF(TODAY()&gt;$X1447,"Vencida",IF(TODAY()&gt;=$X1447-1,"Por vencer","En plazo")))))</f>
        <v/>
      </c>
      <c r="AB1447" s="50" t="n"/>
      <c r="AC1447" s="50" t="n"/>
    </row>
    <row r="1448" ht="16" customHeight="1">
      <c r="A1448" s="28">
        <f>IF($B1448="","","N-"&amp;TEXT(ROW()-3,"0000"))</f>
        <v/>
      </c>
      <c r="B1448" s="47" t="n"/>
      <c r="C1448" s="48" t="n"/>
      <c r="D1448" s="48" t="n"/>
      <c r="E1448" s="28">
        <f>IF($C1448="","",IF($D1448="",IF($C1448="Interna","Sin guía (interna)","FALTA GUÍA"),IF(COUNTIFS(ENVIOS!$A$4:$A$3003,$D1448)=0,"NO EXISTE",IF(COUNTIFS(ENVIOS!$A$4:$A$3003,$D1448)&gt;1,"DUPLICADA","OK"))))</f>
        <v/>
      </c>
      <c r="F1448" s="28">
        <f>IF($D1448="","",IFERROR(INDEX(ENVIOS!$B$4:$B$3003,MATCH($D1448,ENVIOS!$A$4:$A$3003,0)),"—"))</f>
        <v/>
      </c>
      <c r="G1448" s="23">
        <f>IF($D1448="","",IFERROR(INDEX(ENVIOS!$D$4:$D$3003,MATCH($D1448,ENVIOS!$A$4:$A$3003,0)),"—"))</f>
        <v/>
      </c>
      <c r="H1448" s="23">
        <f>IF($D1448="","",IFERROR(INDEX(ENVIOS!$E$4:$E$3003,MATCH($D1448,ENVIOS!$A$4:$A$3003,0)),"—"))</f>
        <v/>
      </c>
      <c r="I1448" s="23">
        <f>IF($D1448="","",IFERROR(INDEX(ENVIOS!$F$4:$F$3003,MATCH($D1448,ENVIOS!$A$4:$A$3003,0)),"—"))</f>
        <v/>
      </c>
      <c r="J1448" s="23">
        <f>IF($D1448="","",IFERROR(INDEX(ENVIOS!$G$4:$G$3003,MATCH($D1448,ENVIOS!$A$4:$A$3003,0)),"—"))</f>
        <v/>
      </c>
      <c r="K1448" s="28">
        <f>IF($D1448="","",IFERROR(INDEX(ENVIOS!$H$4:$H$3003,MATCH($D1448,ENVIOS!$A$4:$A$3003,0)),"—"))</f>
        <v/>
      </c>
      <c r="L1448" s="49">
        <f>IF($D1448="","",IFERROR(INDEX(ENVIOS!$C$4:$C$3003,MATCH($D1448,ENVIOS!$A$4:$A$3003,0)),""))</f>
        <v/>
      </c>
      <c r="M1448" s="50" t="n"/>
      <c r="N1448" s="28">
        <f>IF($M1448="","",IFERROR(INDEX(CONFIG!$C$4:$C$63,MATCH($M1448,CONFIG!$A$4:$A$63,0)),"Media"))</f>
        <v/>
      </c>
      <c r="O1448" s="28">
        <f>IF($M1448="","",IF($C1448="Interna","NO",IFERROR(INDEX(CONFIG!$E$4:$E$63,MATCH($M1448,CONFIG!$A$4:$A$63,0)),"NO")))</f>
        <v/>
      </c>
      <c r="P1448" s="50" t="n"/>
      <c r="Q1448" s="50" t="n"/>
      <c r="R1448" s="28">
        <f>IF($Q1448="","",IFERROR(INDEX(CONFIG!$H$4:$H$63,MATCH($Q1448,CONFIG!$G$4:$G$63,0)),"Por definir"))</f>
        <v/>
      </c>
      <c r="S1448" s="28">
        <f>IF($Q1448="","",IFERROR(INDEX(CONFIG!$I$4:$I$63,MATCH($Q1448,CONFIG!$G$4:$G$63,0)),"Por definir"))</f>
        <v/>
      </c>
      <c r="T1448" s="51" t="n"/>
      <c r="U1448" s="52" t="n"/>
      <c r="V1448" s="50" t="n"/>
      <c r="W1448" s="50" t="n"/>
      <c r="X1448" s="49">
        <f>IF(OR($B1448="",$M1448=""),"",WORKDAY($B1448,IFERROR(INDEX(CONFIG!$D$4:$D$63,MATCH($M1448,CONFIG!$A$4:$A$63,0)),3)))</f>
        <v/>
      </c>
      <c r="Y1448" s="47" t="n"/>
      <c r="Z1448" s="24">
        <f>IF($B1448="","",IF($Y1448&lt;&gt;"",$Y1448-$B1448,TODAY()-$B1448))</f>
        <v/>
      </c>
      <c r="AA1448" s="28">
        <f>IF($B1448="","",IF(IFERROR(INDEX(CONFIG!$L$4:$L$63,MATCH($V1448,CONFIG!$K$4:$K$63,0)),"NO")="SÍ",IF(OR($Y1448="",$X1448=""),"Resuelta",IF($Y1448&gt;$X1448,"Resuelta tarde","Resuelta a tiempo")),IF($X1448="","Sin clasificar",IF(TODAY()&gt;$X1448,"Vencida",IF(TODAY()&gt;=$X1448-1,"Por vencer","En plazo")))))</f>
        <v/>
      </c>
      <c r="AB1448" s="50" t="n"/>
      <c r="AC1448" s="50" t="n"/>
    </row>
    <row r="1449" ht="16" customHeight="1">
      <c r="A1449" s="28">
        <f>IF($B1449="","","N-"&amp;TEXT(ROW()-3,"0000"))</f>
        <v/>
      </c>
      <c r="B1449" s="47" t="n"/>
      <c r="C1449" s="48" t="n"/>
      <c r="D1449" s="48" t="n"/>
      <c r="E1449" s="28">
        <f>IF($C1449="","",IF($D1449="",IF($C1449="Interna","Sin guía (interna)","FALTA GUÍA"),IF(COUNTIFS(ENVIOS!$A$4:$A$3003,$D1449)=0,"NO EXISTE",IF(COUNTIFS(ENVIOS!$A$4:$A$3003,$D1449)&gt;1,"DUPLICADA","OK"))))</f>
        <v/>
      </c>
      <c r="F1449" s="28">
        <f>IF($D1449="","",IFERROR(INDEX(ENVIOS!$B$4:$B$3003,MATCH($D1449,ENVIOS!$A$4:$A$3003,0)),"—"))</f>
        <v/>
      </c>
      <c r="G1449" s="23">
        <f>IF($D1449="","",IFERROR(INDEX(ENVIOS!$D$4:$D$3003,MATCH($D1449,ENVIOS!$A$4:$A$3003,0)),"—"))</f>
        <v/>
      </c>
      <c r="H1449" s="23">
        <f>IF($D1449="","",IFERROR(INDEX(ENVIOS!$E$4:$E$3003,MATCH($D1449,ENVIOS!$A$4:$A$3003,0)),"—"))</f>
        <v/>
      </c>
      <c r="I1449" s="23">
        <f>IF($D1449="","",IFERROR(INDEX(ENVIOS!$F$4:$F$3003,MATCH($D1449,ENVIOS!$A$4:$A$3003,0)),"—"))</f>
        <v/>
      </c>
      <c r="J1449" s="23">
        <f>IF($D1449="","",IFERROR(INDEX(ENVIOS!$G$4:$G$3003,MATCH($D1449,ENVIOS!$A$4:$A$3003,0)),"—"))</f>
        <v/>
      </c>
      <c r="K1449" s="28">
        <f>IF($D1449="","",IFERROR(INDEX(ENVIOS!$H$4:$H$3003,MATCH($D1449,ENVIOS!$A$4:$A$3003,0)),"—"))</f>
        <v/>
      </c>
      <c r="L1449" s="49">
        <f>IF($D1449="","",IFERROR(INDEX(ENVIOS!$C$4:$C$3003,MATCH($D1449,ENVIOS!$A$4:$A$3003,0)),""))</f>
        <v/>
      </c>
      <c r="M1449" s="50" t="n"/>
      <c r="N1449" s="28">
        <f>IF($M1449="","",IFERROR(INDEX(CONFIG!$C$4:$C$63,MATCH($M1449,CONFIG!$A$4:$A$63,0)),"Media"))</f>
        <v/>
      </c>
      <c r="O1449" s="28">
        <f>IF($M1449="","",IF($C1449="Interna","NO",IFERROR(INDEX(CONFIG!$E$4:$E$63,MATCH($M1449,CONFIG!$A$4:$A$63,0)),"NO")))</f>
        <v/>
      </c>
      <c r="P1449" s="50" t="n"/>
      <c r="Q1449" s="50" t="n"/>
      <c r="R1449" s="28">
        <f>IF($Q1449="","",IFERROR(INDEX(CONFIG!$H$4:$H$63,MATCH($Q1449,CONFIG!$G$4:$G$63,0)),"Por definir"))</f>
        <v/>
      </c>
      <c r="S1449" s="28">
        <f>IF($Q1449="","",IFERROR(INDEX(CONFIG!$I$4:$I$63,MATCH($Q1449,CONFIG!$G$4:$G$63,0)),"Por definir"))</f>
        <v/>
      </c>
      <c r="T1449" s="51" t="n"/>
      <c r="U1449" s="52" t="n"/>
      <c r="V1449" s="50" t="n"/>
      <c r="W1449" s="50" t="n"/>
      <c r="X1449" s="49">
        <f>IF(OR($B1449="",$M1449=""),"",WORKDAY($B1449,IFERROR(INDEX(CONFIG!$D$4:$D$63,MATCH($M1449,CONFIG!$A$4:$A$63,0)),3)))</f>
        <v/>
      </c>
      <c r="Y1449" s="47" t="n"/>
      <c r="Z1449" s="24">
        <f>IF($B1449="","",IF($Y1449&lt;&gt;"",$Y1449-$B1449,TODAY()-$B1449))</f>
        <v/>
      </c>
      <c r="AA1449" s="28">
        <f>IF($B1449="","",IF(IFERROR(INDEX(CONFIG!$L$4:$L$63,MATCH($V1449,CONFIG!$K$4:$K$63,0)),"NO")="SÍ",IF(OR($Y1449="",$X1449=""),"Resuelta",IF($Y1449&gt;$X1449,"Resuelta tarde","Resuelta a tiempo")),IF($X1449="","Sin clasificar",IF(TODAY()&gt;$X1449,"Vencida",IF(TODAY()&gt;=$X1449-1,"Por vencer","En plazo")))))</f>
        <v/>
      </c>
      <c r="AB1449" s="50" t="n"/>
      <c r="AC1449" s="50" t="n"/>
    </row>
    <row r="1450" ht="16" customHeight="1">
      <c r="A1450" s="28">
        <f>IF($B1450="","","N-"&amp;TEXT(ROW()-3,"0000"))</f>
        <v/>
      </c>
      <c r="B1450" s="47" t="n"/>
      <c r="C1450" s="48" t="n"/>
      <c r="D1450" s="48" t="n"/>
      <c r="E1450" s="28">
        <f>IF($C1450="","",IF($D1450="",IF($C1450="Interna","Sin guía (interna)","FALTA GUÍA"),IF(COUNTIFS(ENVIOS!$A$4:$A$3003,$D1450)=0,"NO EXISTE",IF(COUNTIFS(ENVIOS!$A$4:$A$3003,$D1450)&gt;1,"DUPLICADA","OK"))))</f>
        <v/>
      </c>
      <c r="F1450" s="28">
        <f>IF($D1450="","",IFERROR(INDEX(ENVIOS!$B$4:$B$3003,MATCH($D1450,ENVIOS!$A$4:$A$3003,0)),"—"))</f>
        <v/>
      </c>
      <c r="G1450" s="23">
        <f>IF($D1450="","",IFERROR(INDEX(ENVIOS!$D$4:$D$3003,MATCH($D1450,ENVIOS!$A$4:$A$3003,0)),"—"))</f>
        <v/>
      </c>
      <c r="H1450" s="23">
        <f>IF($D1450="","",IFERROR(INDEX(ENVIOS!$E$4:$E$3003,MATCH($D1450,ENVIOS!$A$4:$A$3003,0)),"—"))</f>
        <v/>
      </c>
      <c r="I1450" s="23">
        <f>IF($D1450="","",IFERROR(INDEX(ENVIOS!$F$4:$F$3003,MATCH($D1450,ENVIOS!$A$4:$A$3003,0)),"—"))</f>
        <v/>
      </c>
      <c r="J1450" s="23">
        <f>IF($D1450="","",IFERROR(INDEX(ENVIOS!$G$4:$G$3003,MATCH($D1450,ENVIOS!$A$4:$A$3003,0)),"—"))</f>
        <v/>
      </c>
      <c r="K1450" s="28">
        <f>IF($D1450="","",IFERROR(INDEX(ENVIOS!$H$4:$H$3003,MATCH($D1450,ENVIOS!$A$4:$A$3003,0)),"—"))</f>
        <v/>
      </c>
      <c r="L1450" s="49">
        <f>IF($D1450="","",IFERROR(INDEX(ENVIOS!$C$4:$C$3003,MATCH($D1450,ENVIOS!$A$4:$A$3003,0)),""))</f>
        <v/>
      </c>
      <c r="M1450" s="50" t="n"/>
      <c r="N1450" s="28">
        <f>IF($M1450="","",IFERROR(INDEX(CONFIG!$C$4:$C$63,MATCH($M1450,CONFIG!$A$4:$A$63,0)),"Media"))</f>
        <v/>
      </c>
      <c r="O1450" s="28">
        <f>IF($M1450="","",IF($C1450="Interna","NO",IFERROR(INDEX(CONFIG!$E$4:$E$63,MATCH($M1450,CONFIG!$A$4:$A$63,0)),"NO")))</f>
        <v/>
      </c>
      <c r="P1450" s="50" t="n"/>
      <c r="Q1450" s="50" t="n"/>
      <c r="R1450" s="28">
        <f>IF($Q1450="","",IFERROR(INDEX(CONFIG!$H$4:$H$63,MATCH($Q1450,CONFIG!$G$4:$G$63,0)),"Por definir"))</f>
        <v/>
      </c>
      <c r="S1450" s="28">
        <f>IF($Q1450="","",IFERROR(INDEX(CONFIG!$I$4:$I$63,MATCH($Q1450,CONFIG!$G$4:$G$63,0)),"Por definir"))</f>
        <v/>
      </c>
      <c r="T1450" s="51" t="n"/>
      <c r="U1450" s="52" t="n"/>
      <c r="V1450" s="50" t="n"/>
      <c r="W1450" s="50" t="n"/>
      <c r="X1450" s="49">
        <f>IF(OR($B1450="",$M1450=""),"",WORKDAY($B1450,IFERROR(INDEX(CONFIG!$D$4:$D$63,MATCH($M1450,CONFIG!$A$4:$A$63,0)),3)))</f>
        <v/>
      </c>
      <c r="Y1450" s="47" t="n"/>
      <c r="Z1450" s="24">
        <f>IF($B1450="","",IF($Y1450&lt;&gt;"",$Y1450-$B1450,TODAY()-$B1450))</f>
        <v/>
      </c>
      <c r="AA1450" s="28">
        <f>IF($B1450="","",IF(IFERROR(INDEX(CONFIG!$L$4:$L$63,MATCH($V1450,CONFIG!$K$4:$K$63,0)),"NO")="SÍ",IF(OR($Y1450="",$X1450=""),"Resuelta",IF($Y1450&gt;$X1450,"Resuelta tarde","Resuelta a tiempo")),IF($X1450="","Sin clasificar",IF(TODAY()&gt;$X1450,"Vencida",IF(TODAY()&gt;=$X1450-1,"Por vencer","En plazo")))))</f>
        <v/>
      </c>
      <c r="AB1450" s="50" t="n"/>
      <c r="AC1450" s="50" t="n"/>
    </row>
    <row r="1451" ht="16" customHeight="1">
      <c r="A1451" s="28">
        <f>IF($B1451="","","N-"&amp;TEXT(ROW()-3,"0000"))</f>
        <v/>
      </c>
      <c r="B1451" s="47" t="n"/>
      <c r="C1451" s="48" t="n"/>
      <c r="D1451" s="48" t="n"/>
      <c r="E1451" s="28">
        <f>IF($C1451="","",IF($D1451="",IF($C1451="Interna","Sin guía (interna)","FALTA GUÍA"),IF(COUNTIFS(ENVIOS!$A$4:$A$3003,$D1451)=0,"NO EXISTE",IF(COUNTIFS(ENVIOS!$A$4:$A$3003,$D1451)&gt;1,"DUPLICADA","OK"))))</f>
        <v/>
      </c>
      <c r="F1451" s="28">
        <f>IF($D1451="","",IFERROR(INDEX(ENVIOS!$B$4:$B$3003,MATCH($D1451,ENVIOS!$A$4:$A$3003,0)),"—"))</f>
        <v/>
      </c>
      <c r="G1451" s="23">
        <f>IF($D1451="","",IFERROR(INDEX(ENVIOS!$D$4:$D$3003,MATCH($D1451,ENVIOS!$A$4:$A$3003,0)),"—"))</f>
        <v/>
      </c>
      <c r="H1451" s="23">
        <f>IF($D1451="","",IFERROR(INDEX(ENVIOS!$E$4:$E$3003,MATCH($D1451,ENVIOS!$A$4:$A$3003,0)),"—"))</f>
        <v/>
      </c>
      <c r="I1451" s="23">
        <f>IF($D1451="","",IFERROR(INDEX(ENVIOS!$F$4:$F$3003,MATCH($D1451,ENVIOS!$A$4:$A$3003,0)),"—"))</f>
        <v/>
      </c>
      <c r="J1451" s="23">
        <f>IF($D1451="","",IFERROR(INDEX(ENVIOS!$G$4:$G$3003,MATCH($D1451,ENVIOS!$A$4:$A$3003,0)),"—"))</f>
        <v/>
      </c>
      <c r="K1451" s="28">
        <f>IF($D1451="","",IFERROR(INDEX(ENVIOS!$H$4:$H$3003,MATCH($D1451,ENVIOS!$A$4:$A$3003,0)),"—"))</f>
        <v/>
      </c>
      <c r="L1451" s="49">
        <f>IF($D1451="","",IFERROR(INDEX(ENVIOS!$C$4:$C$3003,MATCH($D1451,ENVIOS!$A$4:$A$3003,0)),""))</f>
        <v/>
      </c>
      <c r="M1451" s="50" t="n"/>
      <c r="N1451" s="28">
        <f>IF($M1451="","",IFERROR(INDEX(CONFIG!$C$4:$C$63,MATCH($M1451,CONFIG!$A$4:$A$63,0)),"Media"))</f>
        <v/>
      </c>
      <c r="O1451" s="28">
        <f>IF($M1451="","",IF($C1451="Interna","NO",IFERROR(INDEX(CONFIG!$E$4:$E$63,MATCH($M1451,CONFIG!$A$4:$A$63,0)),"NO")))</f>
        <v/>
      </c>
      <c r="P1451" s="50" t="n"/>
      <c r="Q1451" s="50" t="n"/>
      <c r="R1451" s="28">
        <f>IF($Q1451="","",IFERROR(INDEX(CONFIG!$H$4:$H$63,MATCH($Q1451,CONFIG!$G$4:$G$63,0)),"Por definir"))</f>
        <v/>
      </c>
      <c r="S1451" s="28">
        <f>IF($Q1451="","",IFERROR(INDEX(CONFIG!$I$4:$I$63,MATCH($Q1451,CONFIG!$G$4:$G$63,0)),"Por definir"))</f>
        <v/>
      </c>
      <c r="T1451" s="51" t="n"/>
      <c r="U1451" s="52" t="n"/>
      <c r="V1451" s="50" t="n"/>
      <c r="W1451" s="50" t="n"/>
      <c r="X1451" s="49">
        <f>IF(OR($B1451="",$M1451=""),"",WORKDAY($B1451,IFERROR(INDEX(CONFIG!$D$4:$D$63,MATCH($M1451,CONFIG!$A$4:$A$63,0)),3)))</f>
        <v/>
      </c>
      <c r="Y1451" s="47" t="n"/>
      <c r="Z1451" s="24">
        <f>IF($B1451="","",IF($Y1451&lt;&gt;"",$Y1451-$B1451,TODAY()-$B1451))</f>
        <v/>
      </c>
      <c r="AA1451" s="28">
        <f>IF($B1451="","",IF(IFERROR(INDEX(CONFIG!$L$4:$L$63,MATCH($V1451,CONFIG!$K$4:$K$63,0)),"NO")="SÍ",IF(OR($Y1451="",$X1451=""),"Resuelta",IF($Y1451&gt;$X1451,"Resuelta tarde","Resuelta a tiempo")),IF($X1451="","Sin clasificar",IF(TODAY()&gt;$X1451,"Vencida",IF(TODAY()&gt;=$X1451-1,"Por vencer","En plazo")))))</f>
        <v/>
      </c>
      <c r="AB1451" s="50" t="n"/>
      <c r="AC1451" s="50" t="n"/>
    </row>
    <row r="1452" ht="16" customHeight="1">
      <c r="A1452" s="28">
        <f>IF($B1452="","","N-"&amp;TEXT(ROW()-3,"0000"))</f>
        <v/>
      </c>
      <c r="B1452" s="47" t="n"/>
      <c r="C1452" s="48" t="n"/>
      <c r="D1452" s="48" t="n"/>
      <c r="E1452" s="28">
        <f>IF($C1452="","",IF($D1452="",IF($C1452="Interna","Sin guía (interna)","FALTA GUÍA"),IF(COUNTIFS(ENVIOS!$A$4:$A$3003,$D1452)=0,"NO EXISTE",IF(COUNTIFS(ENVIOS!$A$4:$A$3003,$D1452)&gt;1,"DUPLICADA","OK"))))</f>
        <v/>
      </c>
      <c r="F1452" s="28">
        <f>IF($D1452="","",IFERROR(INDEX(ENVIOS!$B$4:$B$3003,MATCH($D1452,ENVIOS!$A$4:$A$3003,0)),"—"))</f>
        <v/>
      </c>
      <c r="G1452" s="23">
        <f>IF($D1452="","",IFERROR(INDEX(ENVIOS!$D$4:$D$3003,MATCH($D1452,ENVIOS!$A$4:$A$3003,0)),"—"))</f>
        <v/>
      </c>
      <c r="H1452" s="23">
        <f>IF($D1452="","",IFERROR(INDEX(ENVIOS!$E$4:$E$3003,MATCH($D1452,ENVIOS!$A$4:$A$3003,0)),"—"))</f>
        <v/>
      </c>
      <c r="I1452" s="23">
        <f>IF($D1452="","",IFERROR(INDEX(ENVIOS!$F$4:$F$3003,MATCH($D1452,ENVIOS!$A$4:$A$3003,0)),"—"))</f>
        <v/>
      </c>
      <c r="J1452" s="23">
        <f>IF($D1452="","",IFERROR(INDEX(ENVIOS!$G$4:$G$3003,MATCH($D1452,ENVIOS!$A$4:$A$3003,0)),"—"))</f>
        <v/>
      </c>
      <c r="K1452" s="28">
        <f>IF($D1452="","",IFERROR(INDEX(ENVIOS!$H$4:$H$3003,MATCH($D1452,ENVIOS!$A$4:$A$3003,0)),"—"))</f>
        <v/>
      </c>
      <c r="L1452" s="49">
        <f>IF($D1452="","",IFERROR(INDEX(ENVIOS!$C$4:$C$3003,MATCH($D1452,ENVIOS!$A$4:$A$3003,0)),""))</f>
        <v/>
      </c>
      <c r="M1452" s="50" t="n"/>
      <c r="N1452" s="28">
        <f>IF($M1452="","",IFERROR(INDEX(CONFIG!$C$4:$C$63,MATCH($M1452,CONFIG!$A$4:$A$63,0)),"Media"))</f>
        <v/>
      </c>
      <c r="O1452" s="28">
        <f>IF($M1452="","",IF($C1452="Interna","NO",IFERROR(INDEX(CONFIG!$E$4:$E$63,MATCH($M1452,CONFIG!$A$4:$A$63,0)),"NO")))</f>
        <v/>
      </c>
      <c r="P1452" s="50" t="n"/>
      <c r="Q1452" s="50" t="n"/>
      <c r="R1452" s="28">
        <f>IF($Q1452="","",IFERROR(INDEX(CONFIG!$H$4:$H$63,MATCH($Q1452,CONFIG!$G$4:$G$63,0)),"Por definir"))</f>
        <v/>
      </c>
      <c r="S1452" s="28">
        <f>IF($Q1452="","",IFERROR(INDEX(CONFIG!$I$4:$I$63,MATCH($Q1452,CONFIG!$G$4:$G$63,0)),"Por definir"))</f>
        <v/>
      </c>
      <c r="T1452" s="51" t="n"/>
      <c r="U1452" s="52" t="n"/>
      <c r="V1452" s="50" t="n"/>
      <c r="W1452" s="50" t="n"/>
      <c r="X1452" s="49">
        <f>IF(OR($B1452="",$M1452=""),"",WORKDAY($B1452,IFERROR(INDEX(CONFIG!$D$4:$D$63,MATCH($M1452,CONFIG!$A$4:$A$63,0)),3)))</f>
        <v/>
      </c>
      <c r="Y1452" s="47" t="n"/>
      <c r="Z1452" s="24">
        <f>IF($B1452="","",IF($Y1452&lt;&gt;"",$Y1452-$B1452,TODAY()-$B1452))</f>
        <v/>
      </c>
      <c r="AA1452" s="28">
        <f>IF($B1452="","",IF(IFERROR(INDEX(CONFIG!$L$4:$L$63,MATCH($V1452,CONFIG!$K$4:$K$63,0)),"NO")="SÍ",IF(OR($Y1452="",$X1452=""),"Resuelta",IF($Y1452&gt;$X1452,"Resuelta tarde","Resuelta a tiempo")),IF($X1452="","Sin clasificar",IF(TODAY()&gt;$X1452,"Vencida",IF(TODAY()&gt;=$X1452-1,"Por vencer","En plazo")))))</f>
        <v/>
      </c>
      <c r="AB1452" s="50" t="n"/>
      <c r="AC1452" s="50" t="n"/>
    </row>
    <row r="1453" ht="16" customHeight="1">
      <c r="A1453" s="28">
        <f>IF($B1453="","","N-"&amp;TEXT(ROW()-3,"0000"))</f>
        <v/>
      </c>
      <c r="B1453" s="47" t="n"/>
      <c r="C1453" s="48" t="n"/>
      <c r="D1453" s="48" t="n"/>
      <c r="E1453" s="28">
        <f>IF($C1453="","",IF($D1453="",IF($C1453="Interna","Sin guía (interna)","FALTA GUÍA"),IF(COUNTIFS(ENVIOS!$A$4:$A$3003,$D1453)=0,"NO EXISTE",IF(COUNTIFS(ENVIOS!$A$4:$A$3003,$D1453)&gt;1,"DUPLICADA","OK"))))</f>
        <v/>
      </c>
      <c r="F1453" s="28">
        <f>IF($D1453="","",IFERROR(INDEX(ENVIOS!$B$4:$B$3003,MATCH($D1453,ENVIOS!$A$4:$A$3003,0)),"—"))</f>
        <v/>
      </c>
      <c r="G1453" s="23">
        <f>IF($D1453="","",IFERROR(INDEX(ENVIOS!$D$4:$D$3003,MATCH($D1453,ENVIOS!$A$4:$A$3003,0)),"—"))</f>
        <v/>
      </c>
      <c r="H1453" s="23">
        <f>IF($D1453="","",IFERROR(INDEX(ENVIOS!$E$4:$E$3003,MATCH($D1453,ENVIOS!$A$4:$A$3003,0)),"—"))</f>
        <v/>
      </c>
      <c r="I1453" s="23">
        <f>IF($D1453="","",IFERROR(INDEX(ENVIOS!$F$4:$F$3003,MATCH($D1453,ENVIOS!$A$4:$A$3003,0)),"—"))</f>
        <v/>
      </c>
      <c r="J1453" s="23">
        <f>IF($D1453="","",IFERROR(INDEX(ENVIOS!$G$4:$G$3003,MATCH($D1453,ENVIOS!$A$4:$A$3003,0)),"—"))</f>
        <v/>
      </c>
      <c r="K1453" s="28">
        <f>IF($D1453="","",IFERROR(INDEX(ENVIOS!$H$4:$H$3003,MATCH($D1453,ENVIOS!$A$4:$A$3003,0)),"—"))</f>
        <v/>
      </c>
      <c r="L1453" s="49">
        <f>IF($D1453="","",IFERROR(INDEX(ENVIOS!$C$4:$C$3003,MATCH($D1453,ENVIOS!$A$4:$A$3003,0)),""))</f>
        <v/>
      </c>
      <c r="M1453" s="50" t="n"/>
      <c r="N1453" s="28">
        <f>IF($M1453="","",IFERROR(INDEX(CONFIG!$C$4:$C$63,MATCH($M1453,CONFIG!$A$4:$A$63,0)),"Media"))</f>
        <v/>
      </c>
      <c r="O1453" s="28">
        <f>IF($M1453="","",IF($C1453="Interna","NO",IFERROR(INDEX(CONFIG!$E$4:$E$63,MATCH($M1453,CONFIG!$A$4:$A$63,0)),"NO")))</f>
        <v/>
      </c>
      <c r="P1453" s="50" t="n"/>
      <c r="Q1453" s="50" t="n"/>
      <c r="R1453" s="28">
        <f>IF($Q1453="","",IFERROR(INDEX(CONFIG!$H$4:$H$63,MATCH($Q1453,CONFIG!$G$4:$G$63,0)),"Por definir"))</f>
        <v/>
      </c>
      <c r="S1453" s="28">
        <f>IF($Q1453="","",IFERROR(INDEX(CONFIG!$I$4:$I$63,MATCH($Q1453,CONFIG!$G$4:$G$63,0)),"Por definir"))</f>
        <v/>
      </c>
      <c r="T1453" s="51" t="n"/>
      <c r="U1453" s="52" t="n"/>
      <c r="V1453" s="50" t="n"/>
      <c r="W1453" s="50" t="n"/>
      <c r="X1453" s="49">
        <f>IF(OR($B1453="",$M1453=""),"",WORKDAY($B1453,IFERROR(INDEX(CONFIG!$D$4:$D$63,MATCH($M1453,CONFIG!$A$4:$A$63,0)),3)))</f>
        <v/>
      </c>
      <c r="Y1453" s="47" t="n"/>
      <c r="Z1453" s="24">
        <f>IF($B1453="","",IF($Y1453&lt;&gt;"",$Y1453-$B1453,TODAY()-$B1453))</f>
        <v/>
      </c>
      <c r="AA1453" s="28">
        <f>IF($B1453="","",IF(IFERROR(INDEX(CONFIG!$L$4:$L$63,MATCH($V1453,CONFIG!$K$4:$K$63,0)),"NO")="SÍ",IF(OR($Y1453="",$X1453=""),"Resuelta",IF($Y1453&gt;$X1453,"Resuelta tarde","Resuelta a tiempo")),IF($X1453="","Sin clasificar",IF(TODAY()&gt;$X1453,"Vencida",IF(TODAY()&gt;=$X1453-1,"Por vencer","En plazo")))))</f>
        <v/>
      </c>
      <c r="AB1453" s="50" t="n"/>
      <c r="AC1453" s="50" t="n"/>
    </row>
    <row r="1454" ht="16" customHeight="1">
      <c r="A1454" s="28">
        <f>IF($B1454="","","N-"&amp;TEXT(ROW()-3,"0000"))</f>
        <v/>
      </c>
      <c r="B1454" s="47" t="n"/>
      <c r="C1454" s="48" t="n"/>
      <c r="D1454" s="48" t="n"/>
      <c r="E1454" s="28">
        <f>IF($C1454="","",IF($D1454="",IF($C1454="Interna","Sin guía (interna)","FALTA GUÍA"),IF(COUNTIFS(ENVIOS!$A$4:$A$3003,$D1454)=0,"NO EXISTE",IF(COUNTIFS(ENVIOS!$A$4:$A$3003,$D1454)&gt;1,"DUPLICADA","OK"))))</f>
        <v/>
      </c>
      <c r="F1454" s="28">
        <f>IF($D1454="","",IFERROR(INDEX(ENVIOS!$B$4:$B$3003,MATCH($D1454,ENVIOS!$A$4:$A$3003,0)),"—"))</f>
        <v/>
      </c>
      <c r="G1454" s="23">
        <f>IF($D1454="","",IFERROR(INDEX(ENVIOS!$D$4:$D$3003,MATCH($D1454,ENVIOS!$A$4:$A$3003,0)),"—"))</f>
        <v/>
      </c>
      <c r="H1454" s="23">
        <f>IF($D1454="","",IFERROR(INDEX(ENVIOS!$E$4:$E$3003,MATCH($D1454,ENVIOS!$A$4:$A$3003,0)),"—"))</f>
        <v/>
      </c>
      <c r="I1454" s="23">
        <f>IF($D1454="","",IFERROR(INDEX(ENVIOS!$F$4:$F$3003,MATCH($D1454,ENVIOS!$A$4:$A$3003,0)),"—"))</f>
        <v/>
      </c>
      <c r="J1454" s="23">
        <f>IF($D1454="","",IFERROR(INDEX(ENVIOS!$G$4:$G$3003,MATCH($D1454,ENVIOS!$A$4:$A$3003,0)),"—"))</f>
        <v/>
      </c>
      <c r="K1454" s="28">
        <f>IF($D1454="","",IFERROR(INDEX(ENVIOS!$H$4:$H$3003,MATCH($D1454,ENVIOS!$A$4:$A$3003,0)),"—"))</f>
        <v/>
      </c>
      <c r="L1454" s="49">
        <f>IF($D1454="","",IFERROR(INDEX(ENVIOS!$C$4:$C$3003,MATCH($D1454,ENVIOS!$A$4:$A$3003,0)),""))</f>
        <v/>
      </c>
      <c r="M1454" s="50" t="n"/>
      <c r="N1454" s="28">
        <f>IF($M1454="","",IFERROR(INDEX(CONFIG!$C$4:$C$63,MATCH($M1454,CONFIG!$A$4:$A$63,0)),"Media"))</f>
        <v/>
      </c>
      <c r="O1454" s="28">
        <f>IF($M1454="","",IF($C1454="Interna","NO",IFERROR(INDEX(CONFIG!$E$4:$E$63,MATCH($M1454,CONFIG!$A$4:$A$63,0)),"NO")))</f>
        <v/>
      </c>
      <c r="P1454" s="50" t="n"/>
      <c r="Q1454" s="50" t="n"/>
      <c r="R1454" s="28">
        <f>IF($Q1454="","",IFERROR(INDEX(CONFIG!$H$4:$H$63,MATCH($Q1454,CONFIG!$G$4:$G$63,0)),"Por definir"))</f>
        <v/>
      </c>
      <c r="S1454" s="28">
        <f>IF($Q1454="","",IFERROR(INDEX(CONFIG!$I$4:$I$63,MATCH($Q1454,CONFIG!$G$4:$G$63,0)),"Por definir"))</f>
        <v/>
      </c>
      <c r="T1454" s="51" t="n"/>
      <c r="U1454" s="52" t="n"/>
      <c r="V1454" s="50" t="n"/>
      <c r="W1454" s="50" t="n"/>
      <c r="X1454" s="49">
        <f>IF(OR($B1454="",$M1454=""),"",WORKDAY($B1454,IFERROR(INDEX(CONFIG!$D$4:$D$63,MATCH($M1454,CONFIG!$A$4:$A$63,0)),3)))</f>
        <v/>
      </c>
      <c r="Y1454" s="47" t="n"/>
      <c r="Z1454" s="24">
        <f>IF($B1454="","",IF($Y1454&lt;&gt;"",$Y1454-$B1454,TODAY()-$B1454))</f>
        <v/>
      </c>
      <c r="AA1454" s="28">
        <f>IF($B1454="","",IF(IFERROR(INDEX(CONFIG!$L$4:$L$63,MATCH($V1454,CONFIG!$K$4:$K$63,0)),"NO")="SÍ",IF(OR($Y1454="",$X1454=""),"Resuelta",IF($Y1454&gt;$X1454,"Resuelta tarde","Resuelta a tiempo")),IF($X1454="","Sin clasificar",IF(TODAY()&gt;$X1454,"Vencida",IF(TODAY()&gt;=$X1454-1,"Por vencer","En plazo")))))</f>
        <v/>
      </c>
      <c r="AB1454" s="50" t="n"/>
      <c r="AC1454" s="50" t="n"/>
    </row>
    <row r="1455" ht="16" customHeight="1">
      <c r="A1455" s="28">
        <f>IF($B1455="","","N-"&amp;TEXT(ROW()-3,"0000"))</f>
        <v/>
      </c>
      <c r="B1455" s="47" t="n"/>
      <c r="C1455" s="48" t="n"/>
      <c r="D1455" s="48" t="n"/>
      <c r="E1455" s="28">
        <f>IF($C1455="","",IF($D1455="",IF($C1455="Interna","Sin guía (interna)","FALTA GUÍA"),IF(COUNTIFS(ENVIOS!$A$4:$A$3003,$D1455)=0,"NO EXISTE",IF(COUNTIFS(ENVIOS!$A$4:$A$3003,$D1455)&gt;1,"DUPLICADA","OK"))))</f>
        <v/>
      </c>
      <c r="F1455" s="28">
        <f>IF($D1455="","",IFERROR(INDEX(ENVIOS!$B$4:$B$3003,MATCH($D1455,ENVIOS!$A$4:$A$3003,0)),"—"))</f>
        <v/>
      </c>
      <c r="G1455" s="23">
        <f>IF($D1455="","",IFERROR(INDEX(ENVIOS!$D$4:$D$3003,MATCH($D1455,ENVIOS!$A$4:$A$3003,0)),"—"))</f>
        <v/>
      </c>
      <c r="H1455" s="23">
        <f>IF($D1455="","",IFERROR(INDEX(ENVIOS!$E$4:$E$3003,MATCH($D1455,ENVIOS!$A$4:$A$3003,0)),"—"))</f>
        <v/>
      </c>
      <c r="I1455" s="23">
        <f>IF($D1455="","",IFERROR(INDEX(ENVIOS!$F$4:$F$3003,MATCH($D1455,ENVIOS!$A$4:$A$3003,0)),"—"))</f>
        <v/>
      </c>
      <c r="J1455" s="23">
        <f>IF($D1455="","",IFERROR(INDEX(ENVIOS!$G$4:$G$3003,MATCH($D1455,ENVIOS!$A$4:$A$3003,0)),"—"))</f>
        <v/>
      </c>
      <c r="K1455" s="28">
        <f>IF($D1455="","",IFERROR(INDEX(ENVIOS!$H$4:$H$3003,MATCH($D1455,ENVIOS!$A$4:$A$3003,0)),"—"))</f>
        <v/>
      </c>
      <c r="L1455" s="49">
        <f>IF($D1455="","",IFERROR(INDEX(ENVIOS!$C$4:$C$3003,MATCH($D1455,ENVIOS!$A$4:$A$3003,0)),""))</f>
        <v/>
      </c>
      <c r="M1455" s="50" t="n"/>
      <c r="N1455" s="28">
        <f>IF($M1455="","",IFERROR(INDEX(CONFIG!$C$4:$C$63,MATCH($M1455,CONFIG!$A$4:$A$63,0)),"Media"))</f>
        <v/>
      </c>
      <c r="O1455" s="28">
        <f>IF($M1455="","",IF($C1455="Interna","NO",IFERROR(INDEX(CONFIG!$E$4:$E$63,MATCH($M1455,CONFIG!$A$4:$A$63,0)),"NO")))</f>
        <v/>
      </c>
      <c r="P1455" s="50" t="n"/>
      <c r="Q1455" s="50" t="n"/>
      <c r="R1455" s="28">
        <f>IF($Q1455="","",IFERROR(INDEX(CONFIG!$H$4:$H$63,MATCH($Q1455,CONFIG!$G$4:$G$63,0)),"Por definir"))</f>
        <v/>
      </c>
      <c r="S1455" s="28">
        <f>IF($Q1455="","",IFERROR(INDEX(CONFIG!$I$4:$I$63,MATCH($Q1455,CONFIG!$G$4:$G$63,0)),"Por definir"))</f>
        <v/>
      </c>
      <c r="T1455" s="51" t="n"/>
      <c r="U1455" s="52" t="n"/>
      <c r="V1455" s="50" t="n"/>
      <c r="W1455" s="50" t="n"/>
      <c r="X1455" s="49">
        <f>IF(OR($B1455="",$M1455=""),"",WORKDAY($B1455,IFERROR(INDEX(CONFIG!$D$4:$D$63,MATCH($M1455,CONFIG!$A$4:$A$63,0)),3)))</f>
        <v/>
      </c>
      <c r="Y1455" s="47" t="n"/>
      <c r="Z1455" s="24">
        <f>IF($B1455="","",IF($Y1455&lt;&gt;"",$Y1455-$B1455,TODAY()-$B1455))</f>
        <v/>
      </c>
      <c r="AA1455" s="28">
        <f>IF($B1455="","",IF(IFERROR(INDEX(CONFIG!$L$4:$L$63,MATCH($V1455,CONFIG!$K$4:$K$63,0)),"NO")="SÍ",IF(OR($Y1455="",$X1455=""),"Resuelta",IF($Y1455&gt;$X1455,"Resuelta tarde","Resuelta a tiempo")),IF($X1455="","Sin clasificar",IF(TODAY()&gt;$X1455,"Vencida",IF(TODAY()&gt;=$X1455-1,"Por vencer","En plazo")))))</f>
        <v/>
      </c>
      <c r="AB1455" s="50" t="n"/>
      <c r="AC1455" s="50" t="n"/>
    </row>
    <row r="1456" ht="16" customHeight="1">
      <c r="A1456" s="28">
        <f>IF($B1456="","","N-"&amp;TEXT(ROW()-3,"0000"))</f>
        <v/>
      </c>
      <c r="B1456" s="47" t="n"/>
      <c r="C1456" s="48" t="n"/>
      <c r="D1456" s="48" t="n"/>
      <c r="E1456" s="28">
        <f>IF($C1456="","",IF($D1456="",IF($C1456="Interna","Sin guía (interna)","FALTA GUÍA"),IF(COUNTIFS(ENVIOS!$A$4:$A$3003,$D1456)=0,"NO EXISTE",IF(COUNTIFS(ENVIOS!$A$4:$A$3003,$D1456)&gt;1,"DUPLICADA","OK"))))</f>
        <v/>
      </c>
      <c r="F1456" s="28">
        <f>IF($D1456="","",IFERROR(INDEX(ENVIOS!$B$4:$B$3003,MATCH($D1456,ENVIOS!$A$4:$A$3003,0)),"—"))</f>
        <v/>
      </c>
      <c r="G1456" s="23">
        <f>IF($D1456="","",IFERROR(INDEX(ENVIOS!$D$4:$D$3003,MATCH($D1456,ENVIOS!$A$4:$A$3003,0)),"—"))</f>
        <v/>
      </c>
      <c r="H1456" s="23">
        <f>IF($D1456="","",IFERROR(INDEX(ENVIOS!$E$4:$E$3003,MATCH($D1456,ENVIOS!$A$4:$A$3003,0)),"—"))</f>
        <v/>
      </c>
      <c r="I1456" s="23">
        <f>IF($D1456="","",IFERROR(INDEX(ENVIOS!$F$4:$F$3003,MATCH($D1456,ENVIOS!$A$4:$A$3003,0)),"—"))</f>
        <v/>
      </c>
      <c r="J1456" s="23">
        <f>IF($D1456="","",IFERROR(INDEX(ENVIOS!$G$4:$G$3003,MATCH($D1456,ENVIOS!$A$4:$A$3003,0)),"—"))</f>
        <v/>
      </c>
      <c r="K1456" s="28">
        <f>IF($D1456="","",IFERROR(INDEX(ENVIOS!$H$4:$H$3003,MATCH($D1456,ENVIOS!$A$4:$A$3003,0)),"—"))</f>
        <v/>
      </c>
      <c r="L1456" s="49">
        <f>IF($D1456="","",IFERROR(INDEX(ENVIOS!$C$4:$C$3003,MATCH($D1456,ENVIOS!$A$4:$A$3003,0)),""))</f>
        <v/>
      </c>
      <c r="M1456" s="50" t="n"/>
      <c r="N1456" s="28">
        <f>IF($M1456="","",IFERROR(INDEX(CONFIG!$C$4:$C$63,MATCH($M1456,CONFIG!$A$4:$A$63,0)),"Media"))</f>
        <v/>
      </c>
      <c r="O1456" s="28">
        <f>IF($M1456="","",IF($C1456="Interna","NO",IFERROR(INDEX(CONFIG!$E$4:$E$63,MATCH($M1456,CONFIG!$A$4:$A$63,0)),"NO")))</f>
        <v/>
      </c>
      <c r="P1456" s="50" t="n"/>
      <c r="Q1456" s="50" t="n"/>
      <c r="R1456" s="28">
        <f>IF($Q1456="","",IFERROR(INDEX(CONFIG!$H$4:$H$63,MATCH($Q1456,CONFIG!$G$4:$G$63,0)),"Por definir"))</f>
        <v/>
      </c>
      <c r="S1456" s="28">
        <f>IF($Q1456="","",IFERROR(INDEX(CONFIG!$I$4:$I$63,MATCH($Q1456,CONFIG!$G$4:$G$63,0)),"Por definir"))</f>
        <v/>
      </c>
      <c r="T1456" s="51" t="n"/>
      <c r="U1456" s="52" t="n"/>
      <c r="V1456" s="50" t="n"/>
      <c r="W1456" s="50" t="n"/>
      <c r="X1456" s="49">
        <f>IF(OR($B1456="",$M1456=""),"",WORKDAY($B1456,IFERROR(INDEX(CONFIG!$D$4:$D$63,MATCH($M1456,CONFIG!$A$4:$A$63,0)),3)))</f>
        <v/>
      </c>
      <c r="Y1456" s="47" t="n"/>
      <c r="Z1456" s="24">
        <f>IF($B1456="","",IF($Y1456&lt;&gt;"",$Y1456-$B1456,TODAY()-$B1456))</f>
        <v/>
      </c>
      <c r="AA1456" s="28">
        <f>IF($B1456="","",IF(IFERROR(INDEX(CONFIG!$L$4:$L$63,MATCH($V1456,CONFIG!$K$4:$K$63,0)),"NO")="SÍ",IF(OR($Y1456="",$X1456=""),"Resuelta",IF($Y1456&gt;$X1456,"Resuelta tarde","Resuelta a tiempo")),IF($X1456="","Sin clasificar",IF(TODAY()&gt;$X1456,"Vencida",IF(TODAY()&gt;=$X1456-1,"Por vencer","En plazo")))))</f>
        <v/>
      </c>
      <c r="AB1456" s="50" t="n"/>
      <c r="AC1456" s="50" t="n"/>
    </row>
    <row r="1457" ht="16" customHeight="1">
      <c r="A1457" s="28">
        <f>IF($B1457="","","N-"&amp;TEXT(ROW()-3,"0000"))</f>
        <v/>
      </c>
      <c r="B1457" s="47" t="n"/>
      <c r="C1457" s="48" t="n"/>
      <c r="D1457" s="48" t="n"/>
      <c r="E1457" s="28">
        <f>IF($C1457="","",IF($D1457="",IF($C1457="Interna","Sin guía (interna)","FALTA GUÍA"),IF(COUNTIFS(ENVIOS!$A$4:$A$3003,$D1457)=0,"NO EXISTE",IF(COUNTIFS(ENVIOS!$A$4:$A$3003,$D1457)&gt;1,"DUPLICADA","OK"))))</f>
        <v/>
      </c>
      <c r="F1457" s="28">
        <f>IF($D1457="","",IFERROR(INDEX(ENVIOS!$B$4:$B$3003,MATCH($D1457,ENVIOS!$A$4:$A$3003,0)),"—"))</f>
        <v/>
      </c>
      <c r="G1457" s="23">
        <f>IF($D1457="","",IFERROR(INDEX(ENVIOS!$D$4:$D$3003,MATCH($D1457,ENVIOS!$A$4:$A$3003,0)),"—"))</f>
        <v/>
      </c>
      <c r="H1457" s="23">
        <f>IF($D1457="","",IFERROR(INDEX(ENVIOS!$E$4:$E$3003,MATCH($D1457,ENVIOS!$A$4:$A$3003,0)),"—"))</f>
        <v/>
      </c>
      <c r="I1457" s="23">
        <f>IF($D1457="","",IFERROR(INDEX(ENVIOS!$F$4:$F$3003,MATCH($D1457,ENVIOS!$A$4:$A$3003,0)),"—"))</f>
        <v/>
      </c>
      <c r="J1457" s="23">
        <f>IF($D1457="","",IFERROR(INDEX(ENVIOS!$G$4:$G$3003,MATCH($D1457,ENVIOS!$A$4:$A$3003,0)),"—"))</f>
        <v/>
      </c>
      <c r="K1457" s="28">
        <f>IF($D1457="","",IFERROR(INDEX(ENVIOS!$H$4:$H$3003,MATCH($D1457,ENVIOS!$A$4:$A$3003,0)),"—"))</f>
        <v/>
      </c>
      <c r="L1457" s="49">
        <f>IF($D1457="","",IFERROR(INDEX(ENVIOS!$C$4:$C$3003,MATCH($D1457,ENVIOS!$A$4:$A$3003,0)),""))</f>
        <v/>
      </c>
      <c r="M1457" s="50" t="n"/>
      <c r="N1457" s="28">
        <f>IF($M1457="","",IFERROR(INDEX(CONFIG!$C$4:$C$63,MATCH($M1457,CONFIG!$A$4:$A$63,0)),"Media"))</f>
        <v/>
      </c>
      <c r="O1457" s="28">
        <f>IF($M1457="","",IF($C1457="Interna","NO",IFERROR(INDEX(CONFIG!$E$4:$E$63,MATCH($M1457,CONFIG!$A$4:$A$63,0)),"NO")))</f>
        <v/>
      </c>
      <c r="P1457" s="50" t="n"/>
      <c r="Q1457" s="50" t="n"/>
      <c r="R1457" s="28">
        <f>IF($Q1457="","",IFERROR(INDEX(CONFIG!$H$4:$H$63,MATCH($Q1457,CONFIG!$G$4:$G$63,0)),"Por definir"))</f>
        <v/>
      </c>
      <c r="S1457" s="28">
        <f>IF($Q1457="","",IFERROR(INDEX(CONFIG!$I$4:$I$63,MATCH($Q1457,CONFIG!$G$4:$G$63,0)),"Por definir"))</f>
        <v/>
      </c>
      <c r="T1457" s="51" t="n"/>
      <c r="U1457" s="52" t="n"/>
      <c r="V1457" s="50" t="n"/>
      <c r="W1457" s="50" t="n"/>
      <c r="X1457" s="49">
        <f>IF(OR($B1457="",$M1457=""),"",WORKDAY($B1457,IFERROR(INDEX(CONFIG!$D$4:$D$63,MATCH($M1457,CONFIG!$A$4:$A$63,0)),3)))</f>
        <v/>
      </c>
      <c r="Y1457" s="47" t="n"/>
      <c r="Z1457" s="24">
        <f>IF($B1457="","",IF($Y1457&lt;&gt;"",$Y1457-$B1457,TODAY()-$B1457))</f>
        <v/>
      </c>
      <c r="AA1457" s="28">
        <f>IF($B1457="","",IF(IFERROR(INDEX(CONFIG!$L$4:$L$63,MATCH($V1457,CONFIG!$K$4:$K$63,0)),"NO")="SÍ",IF(OR($Y1457="",$X1457=""),"Resuelta",IF($Y1457&gt;$X1457,"Resuelta tarde","Resuelta a tiempo")),IF($X1457="","Sin clasificar",IF(TODAY()&gt;$X1457,"Vencida",IF(TODAY()&gt;=$X1457-1,"Por vencer","En plazo")))))</f>
        <v/>
      </c>
      <c r="AB1457" s="50" t="n"/>
      <c r="AC1457" s="50" t="n"/>
    </row>
    <row r="1458" ht="16" customHeight="1">
      <c r="A1458" s="28">
        <f>IF($B1458="","","N-"&amp;TEXT(ROW()-3,"0000"))</f>
        <v/>
      </c>
      <c r="B1458" s="47" t="n"/>
      <c r="C1458" s="48" t="n"/>
      <c r="D1458" s="48" t="n"/>
      <c r="E1458" s="28">
        <f>IF($C1458="","",IF($D1458="",IF($C1458="Interna","Sin guía (interna)","FALTA GUÍA"),IF(COUNTIFS(ENVIOS!$A$4:$A$3003,$D1458)=0,"NO EXISTE",IF(COUNTIFS(ENVIOS!$A$4:$A$3003,$D1458)&gt;1,"DUPLICADA","OK"))))</f>
        <v/>
      </c>
      <c r="F1458" s="28">
        <f>IF($D1458="","",IFERROR(INDEX(ENVIOS!$B$4:$B$3003,MATCH($D1458,ENVIOS!$A$4:$A$3003,0)),"—"))</f>
        <v/>
      </c>
      <c r="G1458" s="23">
        <f>IF($D1458="","",IFERROR(INDEX(ENVIOS!$D$4:$D$3003,MATCH($D1458,ENVIOS!$A$4:$A$3003,0)),"—"))</f>
        <v/>
      </c>
      <c r="H1458" s="23">
        <f>IF($D1458="","",IFERROR(INDEX(ENVIOS!$E$4:$E$3003,MATCH($D1458,ENVIOS!$A$4:$A$3003,0)),"—"))</f>
        <v/>
      </c>
      <c r="I1458" s="23">
        <f>IF($D1458="","",IFERROR(INDEX(ENVIOS!$F$4:$F$3003,MATCH($D1458,ENVIOS!$A$4:$A$3003,0)),"—"))</f>
        <v/>
      </c>
      <c r="J1458" s="23">
        <f>IF($D1458="","",IFERROR(INDEX(ENVIOS!$G$4:$G$3003,MATCH($D1458,ENVIOS!$A$4:$A$3003,0)),"—"))</f>
        <v/>
      </c>
      <c r="K1458" s="28">
        <f>IF($D1458="","",IFERROR(INDEX(ENVIOS!$H$4:$H$3003,MATCH($D1458,ENVIOS!$A$4:$A$3003,0)),"—"))</f>
        <v/>
      </c>
      <c r="L1458" s="49">
        <f>IF($D1458="","",IFERROR(INDEX(ENVIOS!$C$4:$C$3003,MATCH($D1458,ENVIOS!$A$4:$A$3003,0)),""))</f>
        <v/>
      </c>
      <c r="M1458" s="50" t="n"/>
      <c r="N1458" s="28">
        <f>IF($M1458="","",IFERROR(INDEX(CONFIG!$C$4:$C$63,MATCH($M1458,CONFIG!$A$4:$A$63,0)),"Media"))</f>
        <v/>
      </c>
      <c r="O1458" s="28">
        <f>IF($M1458="","",IF($C1458="Interna","NO",IFERROR(INDEX(CONFIG!$E$4:$E$63,MATCH($M1458,CONFIG!$A$4:$A$63,0)),"NO")))</f>
        <v/>
      </c>
      <c r="P1458" s="50" t="n"/>
      <c r="Q1458" s="50" t="n"/>
      <c r="R1458" s="28">
        <f>IF($Q1458="","",IFERROR(INDEX(CONFIG!$H$4:$H$63,MATCH($Q1458,CONFIG!$G$4:$G$63,0)),"Por definir"))</f>
        <v/>
      </c>
      <c r="S1458" s="28">
        <f>IF($Q1458="","",IFERROR(INDEX(CONFIG!$I$4:$I$63,MATCH($Q1458,CONFIG!$G$4:$G$63,0)),"Por definir"))</f>
        <v/>
      </c>
      <c r="T1458" s="51" t="n"/>
      <c r="U1458" s="52" t="n"/>
      <c r="V1458" s="50" t="n"/>
      <c r="W1458" s="50" t="n"/>
      <c r="X1458" s="49">
        <f>IF(OR($B1458="",$M1458=""),"",WORKDAY($B1458,IFERROR(INDEX(CONFIG!$D$4:$D$63,MATCH($M1458,CONFIG!$A$4:$A$63,0)),3)))</f>
        <v/>
      </c>
      <c r="Y1458" s="47" t="n"/>
      <c r="Z1458" s="24">
        <f>IF($B1458="","",IF($Y1458&lt;&gt;"",$Y1458-$B1458,TODAY()-$B1458))</f>
        <v/>
      </c>
      <c r="AA1458" s="28">
        <f>IF($B1458="","",IF(IFERROR(INDEX(CONFIG!$L$4:$L$63,MATCH($V1458,CONFIG!$K$4:$K$63,0)),"NO")="SÍ",IF(OR($Y1458="",$X1458=""),"Resuelta",IF($Y1458&gt;$X1458,"Resuelta tarde","Resuelta a tiempo")),IF($X1458="","Sin clasificar",IF(TODAY()&gt;$X1458,"Vencida",IF(TODAY()&gt;=$X1458-1,"Por vencer","En plazo")))))</f>
        <v/>
      </c>
      <c r="AB1458" s="50" t="n"/>
      <c r="AC1458" s="50" t="n"/>
    </row>
    <row r="1459" ht="16" customHeight="1">
      <c r="A1459" s="28">
        <f>IF($B1459="","","N-"&amp;TEXT(ROW()-3,"0000"))</f>
        <v/>
      </c>
      <c r="B1459" s="47" t="n"/>
      <c r="C1459" s="48" t="n"/>
      <c r="D1459" s="48" t="n"/>
      <c r="E1459" s="28">
        <f>IF($C1459="","",IF($D1459="",IF($C1459="Interna","Sin guía (interna)","FALTA GUÍA"),IF(COUNTIFS(ENVIOS!$A$4:$A$3003,$D1459)=0,"NO EXISTE",IF(COUNTIFS(ENVIOS!$A$4:$A$3003,$D1459)&gt;1,"DUPLICADA","OK"))))</f>
        <v/>
      </c>
      <c r="F1459" s="28">
        <f>IF($D1459="","",IFERROR(INDEX(ENVIOS!$B$4:$B$3003,MATCH($D1459,ENVIOS!$A$4:$A$3003,0)),"—"))</f>
        <v/>
      </c>
      <c r="G1459" s="23">
        <f>IF($D1459="","",IFERROR(INDEX(ENVIOS!$D$4:$D$3003,MATCH($D1459,ENVIOS!$A$4:$A$3003,0)),"—"))</f>
        <v/>
      </c>
      <c r="H1459" s="23">
        <f>IF($D1459="","",IFERROR(INDEX(ENVIOS!$E$4:$E$3003,MATCH($D1459,ENVIOS!$A$4:$A$3003,0)),"—"))</f>
        <v/>
      </c>
      <c r="I1459" s="23">
        <f>IF($D1459="","",IFERROR(INDEX(ENVIOS!$F$4:$F$3003,MATCH($D1459,ENVIOS!$A$4:$A$3003,0)),"—"))</f>
        <v/>
      </c>
      <c r="J1459" s="23">
        <f>IF($D1459="","",IFERROR(INDEX(ENVIOS!$G$4:$G$3003,MATCH($D1459,ENVIOS!$A$4:$A$3003,0)),"—"))</f>
        <v/>
      </c>
      <c r="K1459" s="28">
        <f>IF($D1459="","",IFERROR(INDEX(ENVIOS!$H$4:$H$3003,MATCH($D1459,ENVIOS!$A$4:$A$3003,0)),"—"))</f>
        <v/>
      </c>
      <c r="L1459" s="49">
        <f>IF($D1459="","",IFERROR(INDEX(ENVIOS!$C$4:$C$3003,MATCH($D1459,ENVIOS!$A$4:$A$3003,0)),""))</f>
        <v/>
      </c>
      <c r="M1459" s="50" t="n"/>
      <c r="N1459" s="28">
        <f>IF($M1459="","",IFERROR(INDEX(CONFIG!$C$4:$C$63,MATCH($M1459,CONFIG!$A$4:$A$63,0)),"Media"))</f>
        <v/>
      </c>
      <c r="O1459" s="28">
        <f>IF($M1459="","",IF($C1459="Interna","NO",IFERROR(INDEX(CONFIG!$E$4:$E$63,MATCH($M1459,CONFIG!$A$4:$A$63,0)),"NO")))</f>
        <v/>
      </c>
      <c r="P1459" s="50" t="n"/>
      <c r="Q1459" s="50" t="n"/>
      <c r="R1459" s="28">
        <f>IF($Q1459="","",IFERROR(INDEX(CONFIG!$H$4:$H$63,MATCH($Q1459,CONFIG!$G$4:$G$63,0)),"Por definir"))</f>
        <v/>
      </c>
      <c r="S1459" s="28">
        <f>IF($Q1459="","",IFERROR(INDEX(CONFIG!$I$4:$I$63,MATCH($Q1459,CONFIG!$G$4:$G$63,0)),"Por definir"))</f>
        <v/>
      </c>
      <c r="T1459" s="51" t="n"/>
      <c r="U1459" s="52" t="n"/>
      <c r="V1459" s="50" t="n"/>
      <c r="W1459" s="50" t="n"/>
      <c r="X1459" s="49">
        <f>IF(OR($B1459="",$M1459=""),"",WORKDAY($B1459,IFERROR(INDEX(CONFIG!$D$4:$D$63,MATCH($M1459,CONFIG!$A$4:$A$63,0)),3)))</f>
        <v/>
      </c>
      <c r="Y1459" s="47" t="n"/>
      <c r="Z1459" s="24">
        <f>IF($B1459="","",IF($Y1459&lt;&gt;"",$Y1459-$B1459,TODAY()-$B1459))</f>
        <v/>
      </c>
      <c r="AA1459" s="28">
        <f>IF($B1459="","",IF(IFERROR(INDEX(CONFIG!$L$4:$L$63,MATCH($V1459,CONFIG!$K$4:$K$63,0)),"NO")="SÍ",IF(OR($Y1459="",$X1459=""),"Resuelta",IF($Y1459&gt;$X1459,"Resuelta tarde","Resuelta a tiempo")),IF($X1459="","Sin clasificar",IF(TODAY()&gt;$X1459,"Vencida",IF(TODAY()&gt;=$X1459-1,"Por vencer","En plazo")))))</f>
        <v/>
      </c>
      <c r="AB1459" s="50" t="n"/>
      <c r="AC1459" s="50" t="n"/>
    </row>
    <row r="1460" ht="16" customHeight="1">
      <c r="A1460" s="28">
        <f>IF($B1460="","","N-"&amp;TEXT(ROW()-3,"0000"))</f>
        <v/>
      </c>
      <c r="B1460" s="47" t="n"/>
      <c r="C1460" s="48" t="n"/>
      <c r="D1460" s="48" t="n"/>
      <c r="E1460" s="28">
        <f>IF($C1460="","",IF($D1460="",IF($C1460="Interna","Sin guía (interna)","FALTA GUÍA"),IF(COUNTIFS(ENVIOS!$A$4:$A$3003,$D1460)=0,"NO EXISTE",IF(COUNTIFS(ENVIOS!$A$4:$A$3003,$D1460)&gt;1,"DUPLICADA","OK"))))</f>
        <v/>
      </c>
      <c r="F1460" s="28">
        <f>IF($D1460="","",IFERROR(INDEX(ENVIOS!$B$4:$B$3003,MATCH($D1460,ENVIOS!$A$4:$A$3003,0)),"—"))</f>
        <v/>
      </c>
      <c r="G1460" s="23">
        <f>IF($D1460="","",IFERROR(INDEX(ENVIOS!$D$4:$D$3003,MATCH($D1460,ENVIOS!$A$4:$A$3003,0)),"—"))</f>
        <v/>
      </c>
      <c r="H1460" s="23">
        <f>IF($D1460="","",IFERROR(INDEX(ENVIOS!$E$4:$E$3003,MATCH($D1460,ENVIOS!$A$4:$A$3003,0)),"—"))</f>
        <v/>
      </c>
      <c r="I1460" s="23">
        <f>IF($D1460="","",IFERROR(INDEX(ENVIOS!$F$4:$F$3003,MATCH($D1460,ENVIOS!$A$4:$A$3003,0)),"—"))</f>
        <v/>
      </c>
      <c r="J1460" s="23">
        <f>IF($D1460="","",IFERROR(INDEX(ENVIOS!$G$4:$G$3003,MATCH($D1460,ENVIOS!$A$4:$A$3003,0)),"—"))</f>
        <v/>
      </c>
      <c r="K1460" s="28">
        <f>IF($D1460="","",IFERROR(INDEX(ENVIOS!$H$4:$H$3003,MATCH($D1460,ENVIOS!$A$4:$A$3003,0)),"—"))</f>
        <v/>
      </c>
      <c r="L1460" s="49">
        <f>IF($D1460="","",IFERROR(INDEX(ENVIOS!$C$4:$C$3003,MATCH($D1460,ENVIOS!$A$4:$A$3003,0)),""))</f>
        <v/>
      </c>
      <c r="M1460" s="50" t="n"/>
      <c r="N1460" s="28">
        <f>IF($M1460="","",IFERROR(INDEX(CONFIG!$C$4:$C$63,MATCH($M1460,CONFIG!$A$4:$A$63,0)),"Media"))</f>
        <v/>
      </c>
      <c r="O1460" s="28">
        <f>IF($M1460="","",IF($C1460="Interna","NO",IFERROR(INDEX(CONFIG!$E$4:$E$63,MATCH($M1460,CONFIG!$A$4:$A$63,0)),"NO")))</f>
        <v/>
      </c>
      <c r="P1460" s="50" t="n"/>
      <c r="Q1460" s="50" t="n"/>
      <c r="R1460" s="28">
        <f>IF($Q1460="","",IFERROR(INDEX(CONFIG!$H$4:$H$63,MATCH($Q1460,CONFIG!$G$4:$G$63,0)),"Por definir"))</f>
        <v/>
      </c>
      <c r="S1460" s="28">
        <f>IF($Q1460="","",IFERROR(INDEX(CONFIG!$I$4:$I$63,MATCH($Q1460,CONFIG!$G$4:$G$63,0)),"Por definir"))</f>
        <v/>
      </c>
      <c r="T1460" s="51" t="n"/>
      <c r="U1460" s="52" t="n"/>
      <c r="V1460" s="50" t="n"/>
      <c r="W1460" s="50" t="n"/>
      <c r="X1460" s="49">
        <f>IF(OR($B1460="",$M1460=""),"",WORKDAY($B1460,IFERROR(INDEX(CONFIG!$D$4:$D$63,MATCH($M1460,CONFIG!$A$4:$A$63,0)),3)))</f>
        <v/>
      </c>
      <c r="Y1460" s="47" t="n"/>
      <c r="Z1460" s="24">
        <f>IF($B1460="","",IF($Y1460&lt;&gt;"",$Y1460-$B1460,TODAY()-$B1460))</f>
        <v/>
      </c>
      <c r="AA1460" s="28">
        <f>IF($B1460="","",IF(IFERROR(INDEX(CONFIG!$L$4:$L$63,MATCH($V1460,CONFIG!$K$4:$K$63,0)),"NO")="SÍ",IF(OR($Y1460="",$X1460=""),"Resuelta",IF($Y1460&gt;$X1460,"Resuelta tarde","Resuelta a tiempo")),IF($X1460="","Sin clasificar",IF(TODAY()&gt;$X1460,"Vencida",IF(TODAY()&gt;=$X1460-1,"Por vencer","En plazo")))))</f>
        <v/>
      </c>
      <c r="AB1460" s="50" t="n"/>
      <c r="AC1460" s="50" t="n"/>
    </row>
    <row r="1461" ht="16" customHeight="1">
      <c r="A1461" s="28">
        <f>IF($B1461="","","N-"&amp;TEXT(ROW()-3,"0000"))</f>
        <v/>
      </c>
      <c r="B1461" s="47" t="n"/>
      <c r="C1461" s="48" t="n"/>
      <c r="D1461" s="48" t="n"/>
      <c r="E1461" s="28">
        <f>IF($C1461="","",IF($D1461="",IF($C1461="Interna","Sin guía (interna)","FALTA GUÍA"),IF(COUNTIFS(ENVIOS!$A$4:$A$3003,$D1461)=0,"NO EXISTE",IF(COUNTIFS(ENVIOS!$A$4:$A$3003,$D1461)&gt;1,"DUPLICADA","OK"))))</f>
        <v/>
      </c>
      <c r="F1461" s="28">
        <f>IF($D1461="","",IFERROR(INDEX(ENVIOS!$B$4:$B$3003,MATCH($D1461,ENVIOS!$A$4:$A$3003,0)),"—"))</f>
        <v/>
      </c>
      <c r="G1461" s="23">
        <f>IF($D1461="","",IFERROR(INDEX(ENVIOS!$D$4:$D$3003,MATCH($D1461,ENVIOS!$A$4:$A$3003,0)),"—"))</f>
        <v/>
      </c>
      <c r="H1461" s="23">
        <f>IF($D1461="","",IFERROR(INDEX(ENVIOS!$E$4:$E$3003,MATCH($D1461,ENVIOS!$A$4:$A$3003,0)),"—"))</f>
        <v/>
      </c>
      <c r="I1461" s="23">
        <f>IF($D1461="","",IFERROR(INDEX(ENVIOS!$F$4:$F$3003,MATCH($D1461,ENVIOS!$A$4:$A$3003,0)),"—"))</f>
        <v/>
      </c>
      <c r="J1461" s="23">
        <f>IF($D1461="","",IFERROR(INDEX(ENVIOS!$G$4:$G$3003,MATCH($D1461,ENVIOS!$A$4:$A$3003,0)),"—"))</f>
        <v/>
      </c>
      <c r="K1461" s="28">
        <f>IF($D1461="","",IFERROR(INDEX(ENVIOS!$H$4:$H$3003,MATCH($D1461,ENVIOS!$A$4:$A$3003,0)),"—"))</f>
        <v/>
      </c>
      <c r="L1461" s="49">
        <f>IF($D1461="","",IFERROR(INDEX(ENVIOS!$C$4:$C$3003,MATCH($D1461,ENVIOS!$A$4:$A$3003,0)),""))</f>
        <v/>
      </c>
      <c r="M1461" s="50" t="n"/>
      <c r="N1461" s="28">
        <f>IF($M1461="","",IFERROR(INDEX(CONFIG!$C$4:$C$63,MATCH($M1461,CONFIG!$A$4:$A$63,0)),"Media"))</f>
        <v/>
      </c>
      <c r="O1461" s="28">
        <f>IF($M1461="","",IF($C1461="Interna","NO",IFERROR(INDEX(CONFIG!$E$4:$E$63,MATCH($M1461,CONFIG!$A$4:$A$63,0)),"NO")))</f>
        <v/>
      </c>
      <c r="P1461" s="50" t="n"/>
      <c r="Q1461" s="50" t="n"/>
      <c r="R1461" s="28">
        <f>IF($Q1461="","",IFERROR(INDEX(CONFIG!$H$4:$H$63,MATCH($Q1461,CONFIG!$G$4:$G$63,0)),"Por definir"))</f>
        <v/>
      </c>
      <c r="S1461" s="28">
        <f>IF($Q1461="","",IFERROR(INDEX(CONFIG!$I$4:$I$63,MATCH($Q1461,CONFIG!$G$4:$G$63,0)),"Por definir"))</f>
        <v/>
      </c>
      <c r="T1461" s="51" t="n"/>
      <c r="U1461" s="52" t="n"/>
      <c r="V1461" s="50" t="n"/>
      <c r="W1461" s="50" t="n"/>
      <c r="X1461" s="49">
        <f>IF(OR($B1461="",$M1461=""),"",WORKDAY($B1461,IFERROR(INDEX(CONFIG!$D$4:$D$63,MATCH($M1461,CONFIG!$A$4:$A$63,0)),3)))</f>
        <v/>
      </c>
      <c r="Y1461" s="47" t="n"/>
      <c r="Z1461" s="24">
        <f>IF($B1461="","",IF($Y1461&lt;&gt;"",$Y1461-$B1461,TODAY()-$B1461))</f>
        <v/>
      </c>
      <c r="AA1461" s="28">
        <f>IF($B1461="","",IF(IFERROR(INDEX(CONFIG!$L$4:$L$63,MATCH($V1461,CONFIG!$K$4:$K$63,0)),"NO")="SÍ",IF(OR($Y1461="",$X1461=""),"Resuelta",IF($Y1461&gt;$X1461,"Resuelta tarde","Resuelta a tiempo")),IF($X1461="","Sin clasificar",IF(TODAY()&gt;$X1461,"Vencida",IF(TODAY()&gt;=$X1461-1,"Por vencer","En plazo")))))</f>
        <v/>
      </c>
      <c r="AB1461" s="50" t="n"/>
      <c r="AC1461" s="50" t="n"/>
    </row>
    <row r="1462" ht="16" customHeight="1">
      <c r="A1462" s="28">
        <f>IF($B1462="","","N-"&amp;TEXT(ROW()-3,"0000"))</f>
        <v/>
      </c>
      <c r="B1462" s="47" t="n"/>
      <c r="C1462" s="48" t="n"/>
      <c r="D1462" s="48" t="n"/>
      <c r="E1462" s="28">
        <f>IF($C1462="","",IF($D1462="",IF($C1462="Interna","Sin guía (interna)","FALTA GUÍA"),IF(COUNTIFS(ENVIOS!$A$4:$A$3003,$D1462)=0,"NO EXISTE",IF(COUNTIFS(ENVIOS!$A$4:$A$3003,$D1462)&gt;1,"DUPLICADA","OK"))))</f>
        <v/>
      </c>
      <c r="F1462" s="28">
        <f>IF($D1462="","",IFERROR(INDEX(ENVIOS!$B$4:$B$3003,MATCH($D1462,ENVIOS!$A$4:$A$3003,0)),"—"))</f>
        <v/>
      </c>
      <c r="G1462" s="23">
        <f>IF($D1462="","",IFERROR(INDEX(ENVIOS!$D$4:$D$3003,MATCH($D1462,ENVIOS!$A$4:$A$3003,0)),"—"))</f>
        <v/>
      </c>
      <c r="H1462" s="23">
        <f>IF($D1462="","",IFERROR(INDEX(ENVIOS!$E$4:$E$3003,MATCH($D1462,ENVIOS!$A$4:$A$3003,0)),"—"))</f>
        <v/>
      </c>
      <c r="I1462" s="23">
        <f>IF($D1462="","",IFERROR(INDEX(ENVIOS!$F$4:$F$3003,MATCH($D1462,ENVIOS!$A$4:$A$3003,0)),"—"))</f>
        <v/>
      </c>
      <c r="J1462" s="23">
        <f>IF($D1462="","",IFERROR(INDEX(ENVIOS!$G$4:$G$3003,MATCH($D1462,ENVIOS!$A$4:$A$3003,0)),"—"))</f>
        <v/>
      </c>
      <c r="K1462" s="28">
        <f>IF($D1462="","",IFERROR(INDEX(ENVIOS!$H$4:$H$3003,MATCH($D1462,ENVIOS!$A$4:$A$3003,0)),"—"))</f>
        <v/>
      </c>
      <c r="L1462" s="49">
        <f>IF($D1462="","",IFERROR(INDEX(ENVIOS!$C$4:$C$3003,MATCH($D1462,ENVIOS!$A$4:$A$3003,0)),""))</f>
        <v/>
      </c>
      <c r="M1462" s="50" t="n"/>
      <c r="N1462" s="28">
        <f>IF($M1462="","",IFERROR(INDEX(CONFIG!$C$4:$C$63,MATCH($M1462,CONFIG!$A$4:$A$63,0)),"Media"))</f>
        <v/>
      </c>
      <c r="O1462" s="28">
        <f>IF($M1462="","",IF($C1462="Interna","NO",IFERROR(INDEX(CONFIG!$E$4:$E$63,MATCH($M1462,CONFIG!$A$4:$A$63,0)),"NO")))</f>
        <v/>
      </c>
      <c r="P1462" s="50" t="n"/>
      <c r="Q1462" s="50" t="n"/>
      <c r="R1462" s="28">
        <f>IF($Q1462="","",IFERROR(INDEX(CONFIG!$H$4:$H$63,MATCH($Q1462,CONFIG!$G$4:$G$63,0)),"Por definir"))</f>
        <v/>
      </c>
      <c r="S1462" s="28">
        <f>IF($Q1462="","",IFERROR(INDEX(CONFIG!$I$4:$I$63,MATCH($Q1462,CONFIG!$G$4:$G$63,0)),"Por definir"))</f>
        <v/>
      </c>
      <c r="T1462" s="51" t="n"/>
      <c r="U1462" s="52" t="n"/>
      <c r="V1462" s="50" t="n"/>
      <c r="W1462" s="50" t="n"/>
      <c r="X1462" s="49">
        <f>IF(OR($B1462="",$M1462=""),"",WORKDAY($B1462,IFERROR(INDEX(CONFIG!$D$4:$D$63,MATCH($M1462,CONFIG!$A$4:$A$63,0)),3)))</f>
        <v/>
      </c>
      <c r="Y1462" s="47" t="n"/>
      <c r="Z1462" s="24">
        <f>IF($B1462="","",IF($Y1462&lt;&gt;"",$Y1462-$B1462,TODAY()-$B1462))</f>
        <v/>
      </c>
      <c r="AA1462" s="28">
        <f>IF($B1462="","",IF(IFERROR(INDEX(CONFIG!$L$4:$L$63,MATCH($V1462,CONFIG!$K$4:$K$63,0)),"NO")="SÍ",IF(OR($Y1462="",$X1462=""),"Resuelta",IF($Y1462&gt;$X1462,"Resuelta tarde","Resuelta a tiempo")),IF($X1462="","Sin clasificar",IF(TODAY()&gt;$X1462,"Vencida",IF(TODAY()&gt;=$X1462-1,"Por vencer","En plazo")))))</f>
        <v/>
      </c>
      <c r="AB1462" s="50" t="n"/>
      <c r="AC1462" s="50" t="n"/>
    </row>
    <row r="1463" ht="16" customHeight="1">
      <c r="A1463" s="28">
        <f>IF($B1463="","","N-"&amp;TEXT(ROW()-3,"0000"))</f>
        <v/>
      </c>
      <c r="B1463" s="47" t="n"/>
      <c r="C1463" s="48" t="n"/>
      <c r="D1463" s="48" t="n"/>
      <c r="E1463" s="28">
        <f>IF($C1463="","",IF($D1463="",IF($C1463="Interna","Sin guía (interna)","FALTA GUÍA"),IF(COUNTIFS(ENVIOS!$A$4:$A$3003,$D1463)=0,"NO EXISTE",IF(COUNTIFS(ENVIOS!$A$4:$A$3003,$D1463)&gt;1,"DUPLICADA","OK"))))</f>
        <v/>
      </c>
      <c r="F1463" s="28">
        <f>IF($D1463="","",IFERROR(INDEX(ENVIOS!$B$4:$B$3003,MATCH($D1463,ENVIOS!$A$4:$A$3003,0)),"—"))</f>
        <v/>
      </c>
      <c r="G1463" s="23">
        <f>IF($D1463="","",IFERROR(INDEX(ENVIOS!$D$4:$D$3003,MATCH($D1463,ENVIOS!$A$4:$A$3003,0)),"—"))</f>
        <v/>
      </c>
      <c r="H1463" s="23">
        <f>IF($D1463="","",IFERROR(INDEX(ENVIOS!$E$4:$E$3003,MATCH($D1463,ENVIOS!$A$4:$A$3003,0)),"—"))</f>
        <v/>
      </c>
      <c r="I1463" s="23">
        <f>IF($D1463="","",IFERROR(INDEX(ENVIOS!$F$4:$F$3003,MATCH($D1463,ENVIOS!$A$4:$A$3003,0)),"—"))</f>
        <v/>
      </c>
      <c r="J1463" s="23">
        <f>IF($D1463="","",IFERROR(INDEX(ENVIOS!$G$4:$G$3003,MATCH($D1463,ENVIOS!$A$4:$A$3003,0)),"—"))</f>
        <v/>
      </c>
      <c r="K1463" s="28">
        <f>IF($D1463="","",IFERROR(INDEX(ENVIOS!$H$4:$H$3003,MATCH($D1463,ENVIOS!$A$4:$A$3003,0)),"—"))</f>
        <v/>
      </c>
      <c r="L1463" s="49">
        <f>IF($D1463="","",IFERROR(INDEX(ENVIOS!$C$4:$C$3003,MATCH($D1463,ENVIOS!$A$4:$A$3003,0)),""))</f>
        <v/>
      </c>
      <c r="M1463" s="50" t="n"/>
      <c r="N1463" s="28">
        <f>IF($M1463="","",IFERROR(INDEX(CONFIG!$C$4:$C$63,MATCH($M1463,CONFIG!$A$4:$A$63,0)),"Media"))</f>
        <v/>
      </c>
      <c r="O1463" s="28">
        <f>IF($M1463="","",IF($C1463="Interna","NO",IFERROR(INDEX(CONFIG!$E$4:$E$63,MATCH($M1463,CONFIG!$A$4:$A$63,0)),"NO")))</f>
        <v/>
      </c>
      <c r="P1463" s="50" t="n"/>
      <c r="Q1463" s="50" t="n"/>
      <c r="R1463" s="28">
        <f>IF($Q1463="","",IFERROR(INDEX(CONFIG!$H$4:$H$63,MATCH($Q1463,CONFIG!$G$4:$G$63,0)),"Por definir"))</f>
        <v/>
      </c>
      <c r="S1463" s="28">
        <f>IF($Q1463="","",IFERROR(INDEX(CONFIG!$I$4:$I$63,MATCH($Q1463,CONFIG!$G$4:$G$63,0)),"Por definir"))</f>
        <v/>
      </c>
      <c r="T1463" s="51" t="n"/>
      <c r="U1463" s="52" t="n"/>
      <c r="V1463" s="50" t="n"/>
      <c r="W1463" s="50" t="n"/>
      <c r="X1463" s="49">
        <f>IF(OR($B1463="",$M1463=""),"",WORKDAY($B1463,IFERROR(INDEX(CONFIG!$D$4:$D$63,MATCH($M1463,CONFIG!$A$4:$A$63,0)),3)))</f>
        <v/>
      </c>
      <c r="Y1463" s="47" t="n"/>
      <c r="Z1463" s="24">
        <f>IF($B1463="","",IF($Y1463&lt;&gt;"",$Y1463-$B1463,TODAY()-$B1463))</f>
        <v/>
      </c>
      <c r="AA1463" s="28">
        <f>IF($B1463="","",IF(IFERROR(INDEX(CONFIG!$L$4:$L$63,MATCH($V1463,CONFIG!$K$4:$K$63,0)),"NO")="SÍ",IF(OR($Y1463="",$X1463=""),"Resuelta",IF($Y1463&gt;$X1463,"Resuelta tarde","Resuelta a tiempo")),IF($X1463="","Sin clasificar",IF(TODAY()&gt;$X1463,"Vencida",IF(TODAY()&gt;=$X1463-1,"Por vencer","En plazo")))))</f>
        <v/>
      </c>
      <c r="AB1463" s="50" t="n"/>
      <c r="AC1463" s="50" t="n"/>
    </row>
    <row r="1464" ht="16" customHeight="1">
      <c r="A1464" s="28">
        <f>IF($B1464="","","N-"&amp;TEXT(ROW()-3,"0000"))</f>
        <v/>
      </c>
      <c r="B1464" s="47" t="n"/>
      <c r="C1464" s="48" t="n"/>
      <c r="D1464" s="48" t="n"/>
      <c r="E1464" s="28">
        <f>IF($C1464="","",IF($D1464="",IF($C1464="Interna","Sin guía (interna)","FALTA GUÍA"),IF(COUNTIFS(ENVIOS!$A$4:$A$3003,$D1464)=0,"NO EXISTE",IF(COUNTIFS(ENVIOS!$A$4:$A$3003,$D1464)&gt;1,"DUPLICADA","OK"))))</f>
        <v/>
      </c>
      <c r="F1464" s="28">
        <f>IF($D1464="","",IFERROR(INDEX(ENVIOS!$B$4:$B$3003,MATCH($D1464,ENVIOS!$A$4:$A$3003,0)),"—"))</f>
        <v/>
      </c>
      <c r="G1464" s="23">
        <f>IF($D1464="","",IFERROR(INDEX(ENVIOS!$D$4:$D$3003,MATCH($D1464,ENVIOS!$A$4:$A$3003,0)),"—"))</f>
        <v/>
      </c>
      <c r="H1464" s="23">
        <f>IF($D1464="","",IFERROR(INDEX(ENVIOS!$E$4:$E$3003,MATCH($D1464,ENVIOS!$A$4:$A$3003,0)),"—"))</f>
        <v/>
      </c>
      <c r="I1464" s="23">
        <f>IF($D1464="","",IFERROR(INDEX(ENVIOS!$F$4:$F$3003,MATCH($D1464,ENVIOS!$A$4:$A$3003,0)),"—"))</f>
        <v/>
      </c>
      <c r="J1464" s="23">
        <f>IF($D1464="","",IFERROR(INDEX(ENVIOS!$G$4:$G$3003,MATCH($D1464,ENVIOS!$A$4:$A$3003,0)),"—"))</f>
        <v/>
      </c>
      <c r="K1464" s="28">
        <f>IF($D1464="","",IFERROR(INDEX(ENVIOS!$H$4:$H$3003,MATCH($D1464,ENVIOS!$A$4:$A$3003,0)),"—"))</f>
        <v/>
      </c>
      <c r="L1464" s="49">
        <f>IF($D1464="","",IFERROR(INDEX(ENVIOS!$C$4:$C$3003,MATCH($D1464,ENVIOS!$A$4:$A$3003,0)),""))</f>
        <v/>
      </c>
      <c r="M1464" s="50" t="n"/>
      <c r="N1464" s="28">
        <f>IF($M1464="","",IFERROR(INDEX(CONFIG!$C$4:$C$63,MATCH($M1464,CONFIG!$A$4:$A$63,0)),"Media"))</f>
        <v/>
      </c>
      <c r="O1464" s="28">
        <f>IF($M1464="","",IF($C1464="Interna","NO",IFERROR(INDEX(CONFIG!$E$4:$E$63,MATCH($M1464,CONFIG!$A$4:$A$63,0)),"NO")))</f>
        <v/>
      </c>
      <c r="P1464" s="50" t="n"/>
      <c r="Q1464" s="50" t="n"/>
      <c r="R1464" s="28">
        <f>IF($Q1464="","",IFERROR(INDEX(CONFIG!$H$4:$H$63,MATCH($Q1464,CONFIG!$G$4:$G$63,0)),"Por definir"))</f>
        <v/>
      </c>
      <c r="S1464" s="28">
        <f>IF($Q1464="","",IFERROR(INDEX(CONFIG!$I$4:$I$63,MATCH($Q1464,CONFIG!$G$4:$G$63,0)),"Por definir"))</f>
        <v/>
      </c>
      <c r="T1464" s="51" t="n"/>
      <c r="U1464" s="52" t="n"/>
      <c r="V1464" s="50" t="n"/>
      <c r="W1464" s="50" t="n"/>
      <c r="X1464" s="49">
        <f>IF(OR($B1464="",$M1464=""),"",WORKDAY($B1464,IFERROR(INDEX(CONFIG!$D$4:$D$63,MATCH($M1464,CONFIG!$A$4:$A$63,0)),3)))</f>
        <v/>
      </c>
      <c r="Y1464" s="47" t="n"/>
      <c r="Z1464" s="24">
        <f>IF($B1464="","",IF($Y1464&lt;&gt;"",$Y1464-$B1464,TODAY()-$B1464))</f>
        <v/>
      </c>
      <c r="AA1464" s="28">
        <f>IF($B1464="","",IF(IFERROR(INDEX(CONFIG!$L$4:$L$63,MATCH($V1464,CONFIG!$K$4:$K$63,0)),"NO")="SÍ",IF(OR($Y1464="",$X1464=""),"Resuelta",IF($Y1464&gt;$X1464,"Resuelta tarde","Resuelta a tiempo")),IF($X1464="","Sin clasificar",IF(TODAY()&gt;$X1464,"Vencida",IF(TODAY()&gt;=$X1464-1,"Por vencer","En plazo")))))</f>
        <v/>
      </c>
      <c r="AB1464" s="50" t="n"/>
      <c r="AC1464" s="50" t="n"/>
    </row>
    <row r="1465" ht="16" customHeight="1">
      <c r="A1465" s="28">
        <f>IF($B1465="","","N-"&amp;TEXT(ROW()-3,"0000"))</f>
        <v/>
      </c>
      <c r="B1465" s="47" t="n"/>
      <c r="C1465" s="48" t="n"/>
      <c r="D1465" s="48" t="n"/>
      <c r="E1465" s="28">
        <f>IF($C1465="","",IF($D1465="",IF($C1465="Interna","Sin guía (interna)","FALTA GUÍA"),IF(COUNTIFS(ENVIOS!$A$4:$A$3003,$D1465)=0,"NO EXISTE",IF(COUNTIFS(ENVIOS!$A$4:$A$3003,$D1465)&gt;1,"DUPLICADA","OK"))))</f>
        <v/>
      </c>
      <c r="F1465" s="28">
        <f>IF($D1465="","",IFERROR(INDEX(ENVIOS!$B$4:$B$3003,MATCH($D1465,ENVIOS!$A$4:$A$3003,0)),"—"))</f>
        <v/>
      </c>
      <c r="G1465" s="23">
        <f>IF($D1465="","",IFERROR(INDEX(ENVIOS!$D$4:$D$3003,MATCH($D1465,ENVIOS!$A$4:$A$3003,0)),"—"))</f>
        <v/>
      </c>
      <c r="H1465" s="23">
        <f>IF($D1465="","",IFERROR(INDEX(ENVIOS!$E$4:$E$3003,MATCH($D1465,ENVIOS!$A$4:$A$3003,0)),"—"))</f>
        <v/>
      </c>
      <c r="I1465" s="23">
        <f>IF($D1465="","",IFERROR(INDEX(ENVIOS!$F$4:$F$3003,MATCH($D1465,ENVIOS!$A$4:$A$3003,0)),"—"))</f>
        <v/>
      </c>
      <c r="J1465" s="23">
        <f>IF($D1465="","",IFERROR(INDEX(ENVIOS!$G$4:$G$3003,MATCH($D1465,ENVIOS!$A$4:$A$3003,0)),"—"))</f>
        <v/>
      </c>
      <c r="K1465" s="28">
        <f>IF($D1465="","",IFERROR(INDEX(ENVIOS!$H$4:$H$3003,MATCH($D1465,ENVIOS!$A$4:$A$3003,0)),"—"))</f>
        <v/>
      </c>
      <c r="L1465" s="49">
        <f>IF($D1465="","",IFERROR(INDEX(ENVIOS!$C$4:$C$3003,MATCH($D1465,ENVIOS!$A$4:$A$3003,0)),""))</f>
        <v/>
      </c>
      <c r="M1465" s="50" t="n"/>
      <c r="N1465" s="28">
        <f>IF($M1465="","",IFERROR(INDEX(CONFIG!$C$4:$C$63,MATCH($M1465,CONFIG!$A$4:$A$63,0)),"Media"))</f>
        <v/>
      </c>
      <c r="O1465" s="28">
        <f>IF($M1465="","",IF($C1465="Interna","NO",IFERROR(INDEX(CONFIG!$E$4:$E$63,MATCH($M1465,CONFIG!$A$4:$A$63,0)),"NO")))</f>
        <v/>
      </c>
      <c r="P1465" s="50" t="n"/>
      <c r="Q1465" s="50" t="n"/>
      <c r="R1465" s="28">
        <f>IF($Q1465="","",IFERROR(INDEX(CONFIG!$H$4:$H$63,MATCH($Q1465,CONFIG!$G$4:$G$63,0)),"Por definir"))</f>
        <v/>
      </c>
      <c r="S1465" s="28">
        <f>IF($Q1465="","",IFERROR(INDEX(CONFIG!$I$4:$I$63,MATCH($Q1465,CONFIG!$G$4:$G$63,0)),"Por definir"))</f>
        <v/>
      </c>
      <c r="T1465" s="51" t="n"/>
      <c r="U1465" s="52" t="n"/>
      <c r="V1465" s="50" t="n"/>
      <c r="W1465" s="50" t="n"/>
      <c r="X1465" s="49">
        <f>IF(OR($B1465="",$M1465=""),"",WORKDAY($B1465,IFERROR(INDEX(CONFIG!$D$4:$D$63,MATCH($M1465,CONFIG!$A$4:$A$63,0)),3)))</f>
        <v/>
      </c>
      <c r="Y1465" s="47" t="n"/>
      <c r="Z1465" s="24">
        <f>IF($B1465="","",IF($Y1465&lt;&gt;"",$Y1465-$B1465,TODAY()-$B1465))</f>
        <v/>
      </c>
      <c r="AA1465" s="28">
        <f>IF($B1465="","",IF(IFERROR(INDEX(CONFIG!$L$4:$L$63,MATCH($V1465,CONFIG!$K$4:$K$63,0)),"NO")="SÍ",IF(OR($Y1465="",$X1465=""),"Resuelta",IF($Y1465&gt;$X1465,"Resuelta tarde","Resuelta a tiempo")),IF($X1465="","Sin clasificar",IF(TODAY()&gt;$X1465,"Vencida",IF(TODAY()&gt;=$X1465-1,"Por vencer","En plazo")))))</f>
        <v/>
      </c>
      <c r="AB1465" s="50" t="n"/>
      <c r="AC1465" s="50" t="n"/>
    </row>
    <row r="1466" ht="16" customHeight="1">
      <c r="A1466" s="28">
        <f>IF($B1466="","","N-"&amp;TEXT(ROW()-3,"0000"))</f>
        <v/>
      </c>
      <c r="B1466" s="47" t="n"/>
      <c r="C1466" s="48" t="n"/>
      <c r="D1466" s="48" t="n"/>
      <c r="E1466" s="28">
        <f>IF($C1466="","",IF($D1466="",IF($C1466="Interna","Sin guía (interna)","FALTA GUÍA"),IF(COUNTIFS(ENVIOS!$A$4:$A$3003,$D1466)=0,"NO EXISTE",IF(COUNTIFS(ENVIOS!$A$4:$A$3003,$D1466)&gt;1,"DUPLICADA","OK"))))</f>
        <v/>
      </c>
      <c r="F1466" s="28">
        <f>IF($D1466="","",IFERROR(INDEX(ENVIOS!$B$4:$B$3003,MATCH($D1466,ENVIOS!$A$4:$A$3003,0)),"—"))</f>
        <v/>
      </c>
      <c r="G1466" s="23">
        <f>IF($D1466="","",IFERROR(INDEX(ENVIOS!$D$4:$D$3003,MATCH($D1466,ENVIOS!$A$4:$A$3003,0)),"—"))</f>
        <v/>
      </c>
      <c r="H1466" s="23">
        <f>IF($D1466="","",IFERROR(INDEX(ENVIOS!$E$4:$E$3003,MATCH($D1466,ENVIOS!$A$4:$A$3003,0)),"—"))</f>
        <v/>
      </c>
      <c r="I1466" s="23">
        <f>IF($D1466="","",IFERROR(INDEX(ENVIOS!$F$4:$F$3003,MATCH($D1466,ENVIOS!$A$4:$A$3003,0)),"—"))</f>
        <v/>
      </c>
      <c r="J1466" s="23">
        <f>IF($D1466="","",IFERROR(INDEX(ENVIOS!$G$4:$G$3003,MATCH($D1466,ENVIOS!$A$4:$A$3003,0)),"—"))</f>
        <v/>
      </c>
      <c r="K1466" s="28">
        <f>IF($D1466="","",IFERROR(INDEX(ENVIOS!$H$4:$H$3003,MATCH($D1466,ENVIOS!$A$4:$A$3003,0)),"—"))</f>
        <v/>
      </c>
      <c r="L1466" s="49">
        <f>IF($D1466="","",IFERROR(INDEX(ENVIOS!$C$4:$C$3003,MATCH($D1466,ENVIOS!$A$4:$A$3003,0)),""))</f>
        <v/>
      </c>
      <c r="M1466" s="50" t="n"/>
      <c r="N1466" s="28">
        <f>IF($M1466="","",IFERROR(INDEX(CONFIG!$C$4:$C$63,MATCH($M1466,CONFIG!$A$4:$A$63,0)),"Media"))</f>
        <v/>
      </c>
      <c r="O1466" s="28">
        <f>IF($M1466="","",IF($C1466="Interna","NO",IFERROR(INDEX(CONFIG!$E$4:$E$63,MATCH($M1466,CONFIG!$A$4:$A$63,0)),"NO")))</f>
        <v/>
      </c>
      <c r="P1466" s="50" t="n"/>
      <c r="Q1466" s="50" t="n"/>
      <c r="R1466" s="28">
        <f>IF($Q1466="","",IFERROR(INDEX(CONFIG!$H$4:$H$63,MATCH($Q1466,CONFIG!$G$4:$G$63,0)),"Por definir"))</f>
        <v/>
      </c>
      <c r="S1466" s="28">
        <f>IF($Q1466="","",IFERROR(INDEX(CONFIG!$I$4:$I$63,MATCH($Q1466,CONFIG!$G$4:$G$63,0)),"Por definir"))</f>
        <v/>
      </c>
      <c r="T1466" s="51" t="n"/>
      <c r="U1466" s="52" t="n"/>
      <c r="V1466" s="50" t="n"/>
      <c r="W1466" s="50" t="n"/>
      <c r="X1466" s="49">
        <f>IF(OR($B1466="",$M1466=""),"",WORKDAY($B1466,IFERROR(INDEX(CONFIG!$D$4:$D$63,MATCH($M1466,CONFIG!$A$4:$A$63,0)),3)))</f>
        <v/>
      </c>
      <c r="Y1466" s="47" t="n"/>
      <c r="Z1466" s="24">
        <f>IF($B1466="","",IF($Y1466&lt;&gt;"",$Y1466-$B1466,TODAY()-$B1466))</f>
        <v/>
      </c>
      <c r="AA1466" s="28">
        <f>IF($B1466="","",IF(IFERROR(INDEX(CONFIG!$L$4:$L$63,MATCH($V1466,CONFIG!$K$4:$K$63,0)),"NO")="SÍ",IF(OR($Y1466="",$X1466=""),"Resuelta",IF($Y1466&gt;$X1466,"Resuelta tarde","Resuelta a tiempo")),IF($X1466="","Sin clasificar",IF(TODAY()&gt;$X1466,"Vencida",IF(TODAY()&gt;=$X1466-1,"Por vencer","En plazo")))))</f>
        <v/>
      </c>
      <c r="AB1466" s="50" t="n"/>
      <c r="AC1466" s="50" t="n"/>
    </row>
    <row r="1467" ht="16" customHeight="1">
      <c r="A1467" s="28">
        <f>IF($B1467="","","N-"&amp;TEXT(ROW()-3,"0000"))</f>
        <v/>
      </c>
      <c r="B1467" s="47" t="n"/>
      <c r="C1467" s="48" t="n"/>
      <c r="D1467" s="48" t="n"/>
      <c r="E1467" s="28">
        <f>IF($C1467="","",IF($D1467="",IF($C1467="Interna","Sin guía (interna)","FALTA GUÍA"),IF(COUNTIFS(ENVIOS!$A$4:$A$3003,$D1467)=0,"NO EXISTE",IF(COUNTIFS(ENVIOS!$A$4:$A$3003,$D1467)&gt;1,"DUPLICADA","OK"))))</f>
        <v/>
      </c>
      <c r="F1467" s="28">
        <f>IF($D1467="","",IFERROR(INDEX(ENVIOS!$B$4:$B$3003,MATCH($D1467,ENVIOS!$A$4:$A$3003,0)),"—"))</f>
        <v/>
      </c>
      <c r="G1467" s="23">
        <f>IF($D1467="","",IFERROR(INDEX(ENVIOS!$D$4:$D$3003,MATCH($D1467,ENVIOS!$A$4:$A$3003,0)),"—"))</f>
        <v/>
      </c>
      <c r="H1467" s="23">
        <f>IF($D1467="","",IFERROR(INDEX(ENVIOS!$E$4:$E$3003,MATCH($D1467,ENVIOS!$A$4:$A$3003,0)),"—"))</f>
        <v/>
      </c>
      <c r="I1467" s="23">
        <f>IF($D1467="","",IFERROR(INDEX(ENVIOS!$F$4:$F$3003,MATCH($D1467,ENVIOS!$A$4:$A$3003,0)),"—"))</f>
        <v/>
      </c>
      <c r="J1467" s="23">
        <f>IF($D1467="","",IFERROR(INDEX(ENVIOS!$G$4:$G$3003,MATCH($D1467,ENVIOS!$A$4:$A$3003,0)),"—"))</f>
        <v/>
      </c>
      <c r="K1467" s="28">
        <f>IF($D1467="","",IFERROR(INDEX(ENVIOS!$H$4:$H$3003,MATCH($D1467,ENVIOS!$A$4:$A$3003,0)),"—"))</f>
        <v/>
      </c>
      <c r="L1467" s="49">
        <f>IF($D1467="","",IFERROR(INDEX(ENVIOS!$C$4:$C$3003,MATCH($D1467,ENVIOS!$A$4:$A$3003,0)),""))</f>
        <v/>
      </c>
      <c r="M1467" s="50" t="n"/>
      <c r="N1467" s="28">
        <f>IF($M1467="","",IFERROR(INDEX(CONFIG!$C$4:$C$63,MATCH($M1467,CONFIG!$A$4:$A$63,0)),"Media"))</f>
        <v/>
      </c>
      <c r="O1467" s="28">
        <f>IF($M1467="","",IF($C1467="Interna","NO",IFERROR(INDEX(CONFIG!$E$4:$E$63,MATCH($M1467,CONFIG!$A$4:$A$63,0)),"NO")))</f>
        <v/>
      </c>
      <c r="P1467" s="50" t="n"/>
      <c r="Q1467" s="50" t="n"/>
      <c r="R1467" s="28">
        <f>IF($Q1467="","",IFERROR(INDEX(CONFIG!$H$4:$H$63,MATCH($Q1467,CONFIG!$G$4:$G$63,0)),"Por definir"))</f>
        <v/>
      </c>
      <c r="S1467" s="28">
        <f>IF($Q1467="","",IFERROR(INDEX(CONFIG!$I$4:$I$63,MATCH($Q1467,CONFIG!$G$4:$G$63,0)),"Por definir"))</f>
        <v/>
      </c>
      <c r="T1467" s="51" t="n"/>
      <c r="U1467" s="52" t="n"/>
      <c r="V1467" s="50" t="n"/>
      <c r="W1467" s="50" t="n"/>
      <c r="X1467" s="49">
        <f>IF(OR($B1467="",$M1467=""),"",WORKDAY($B1467,IFERROR(INDEX(CONFIG!$D$4:$D$63,MATCH($M1467,CONFIG!$A$4:$A$63,0)),3)))</f>
        <v/>
      </c>
      <c r="Y1467" s="47" t="n"/>
      <c r="Z1467" s="24">
        <f>IF($B1467="","",IF($Y1467&lt;&gt;"",$Y1467-$B1467,TODAY()-$B1467))</f>
        <v/>
      </c>
      <c r="AA1467" s="28">
        <f>IF($B1467="","",IF(IFERROR(INDEX(CONFIG!$L$4:$L$63,MATCH($V1467,CONFIG!$K$4:$K$63,0)),"NO")="SÍ",IF(OR($Y1467="",$X1467=""),"Resuelta",IF($Y1467&gt;$X1467,"Resuelta tarde","Resuelta a tiempo")),IF($X1467="","Sin clasificar",IF(TODAY()&gt;$X1467,"Vencida",IF(TODAY()&gt;=$X1467-1,"Por vencer","En plazo")))))</f>
        <v/>
      </c>
      <c r="AB1467" s="50" t="n"/>
      <c r="AC1467" s="50" t="n"/>
    </row>
    <row r="1468" ht="16" customHeight="1">
      <c r="A1468" s="28">
        <f>IF($B1468="","","N-"&amp;TEXT(ROW()-3,"0000"))</f>
        <v/>
      </c>
      <c r="B1468" s="47" t="n"/>
      <c r="C1468" s="48" t="n"/>
      <c r="D1468" s="48" t="n"/>
      <c r="E1468" s="28">
        <f>IF($C1468="","",IF($D1468="",IF($C1468="Interna","Sin guía (interna)","FALTA GUÍA"),IF(COUNTIFS(ENVIOS!$A$4:$A$3003,$D1468)=0,"NO EXISTE",IF(COUNTIFS(ENVIOS!$A$4:$A$3003,$D1468)&gt;1,"DUPLICADA","OK"))))</f>
        <v/>
      </c>
      <c r="F1468" s="28">
        <f>IF($D1468="","",IFERROR(INDEX(ENVIOS!$B$4:$B$3003,MATCH($D1468,ENVIOS!$A$4:$A$3003,0)),"—"))</f>
        <v/>
      </c>
      <c r="G1468" s="23">
        <f>IF($D1468="","",IFERROR(INDEX(ENVIOS!$D$4:$D$3003,MATCH($D1468,ENVIOS!$A$4:$A$3003,0)),"—"))</f>
        <v/>
      </c>
      <c r="H1468" s="23">
        <f>IF($D1468="","",IFERROR(INDEX(ENVIOS!$E$4:$E$3003,MATCH($D1468,ENVIOS!$A$4:$A$3003,0)),"—"))</f>
        <v/>
      </c>
      <c r="I1468" s="23">
        <f>IF($D1468="","",IFERROR(INDEX(ENVIOS!$F$4:$F$3003,MATCH($D1468,ENVIOS!$A$4:$A$3003,0)),"—"))</f>
        <v/>
      </c>
      <c r="J1468" s="23">
        <f>IF($D1468="","",IFERROR(INDEX(ENVIOS!$G$4:$G$3003,MATCH($D1468,ENVIOS!$A$4:$A$3003,0)),"—"))</f>
        <v/>
      </c>
      <c r="K1468" s="28">
        <f>IF($D1468="","",IFERROR(INDEX(ENVIOS!$H$4:$H$3003,MATCH($D1468,ENVIOS!$A$4:$A$3003,0)),"—"))</f>
        <v/>
      </c>
      <c r="L1468" s="49">
        <f>IF($D1468="","",IFERROR(INDEX(ENVIOS!$C$4:$C$3003,MATCH($D1468,ENVIOS!$A$4:$A$3003,0)),""))</f>
        <v/>
      </c>
      <c r="M1468" s="50" t="n"/>
      <c r="N1468" s="28">
        <f>IF($M1468="","",IFERROR(INDEX(CONFIG!$C$4:$C$63,MATCH($M1468,CONFIG!$A$4:$A$63,0)),"Media"))</f>
        <v/>
      </c>
      <c r="O1468" s="28">
        <f>IF($M1468="","",IF($C1468="Interna","NO",IFERROR(INDEX(CONFIG!$E$4:$E$63,MATCH($M1468,CONFIG!$A$4:$A$63,0)),"NO")))</f>
        <v/>
      </c>
      <c r="P1468" s="50" t="n"/>
      <c r="Q1468" s="50" t="n"/>
      <c r="R1468" s="28">
        <f>IF($Q1468="","",IFERROR(INDEX(CONFIG!$H$4:$H$63,MATCH($Q1468,CONFIG!$G$4:$G$63,0)),"Por definir"))</f>
        <v/>
      </c>
      <c r="S1468" s="28">
        <f>IF($Q1468="","",IFERROR(INDEX(CONFIG!$I$4:$I$63,MATCH($Q1468,CONFIG!$G$4:$G$63,0)),"Por definir"))</f>
        <v/>
      </c>
      <c r="T1468" s="51" t="n"/>
      <c r="U1468" s="52" t="n"/>
      <c r="V1468" s="50" t="n"/>
      <c r="W1468" s="50" t="n"/>
      <c r="X1468" s="49">
        <f>IF(OR($B1468="",$M1468=""),"",WORKDAY($B1468,IFERROR(INDEX(CONFIG!$D$4:$D$63,MATCH($M1468,CONFIG!$A$4:$A$63,0)),3)))</f>
        <v/>
      </c>
      <c r="Y1468" s="47" t="n"/>
      <c r="Z1468" s="24">
        <f>IF($B1468="","",IF($Y1468&lt;&gt;"",$Y1468-$B1468,TODAY()-$B1468))</f>
        <v/>
      </c>
      <c r="AA1468" s="28">
        <f>IF($B1468="","",IF(IFERROR(INDEX(CONFIG!$L$4:$L$63,MATCH($V1468,CONFIG!$K$4:$K$63,0)),"NO")="SÍ",IF(OR($Y1468="",$X1468=""),"Resuelta",IF($Y1468&gt;$X1468,"Resuelta tarde","Resuelta a tiempo")),IF($X1468="","Sin clasificar",IF(TODAY()&gt;$X1468,"Vencida",IF(TODAY()&gt;=$X1468-1,"Por vencer","En plazo")))))</f>
        <v/>
      </c>
      <c r="AB1468" s="50" t="n"/>
      <c r="AC1468" s="50" t="n"/>
    </row>
    <row r="1469" ht="16" customHeight="1">
      <c r="A1469" s="28">
        <f>IF($B1469="","","N-"&amp;TEXT(ROW()-3,"0000"))</f>
        <v/>
      </c>
      <c r="B1469" s="47" t="n"/>
      <c r="C1469" s="48" t="n"/>
      <c r="D1469" s="48" t="n"/>
      <c r="E1469" s="28">
        <f>IF($C1469="","",IF($D1469="",IF($C1469="Interna","Sin guía (interna)","FALTA GUÍA"),IF(COUNTIFS(ENVIOS!$A$4:$A$3003,$D1469)=0,"NO EXISTE",IF(COUNTIFS(ENVIOS!$A$4:$A$3003,$D1469)&gt;1,"DUPLICADA","OK"))))</f>
        <v/>
      </c>
      <c r="F1469" s="28">
        <f>IF($D1469="","",IFERROR(INDEX(ENVIOS!$B$4:$B$3003,MATCH($D1469,ENVIOS!$A$4:$A$3003,0)),"—"))</f>
        <v/>
      </c>
      <c r="G1469" s="23">
        <f>IF($D1469="","",IFERROR(INDEX(ENVIOS!$D$4:$D$3003,MATCH($D1469,ENVIOS!$A$4:$A$3003,0)),"—"))</f>
        <v/>
      </c>
      <c r="H1469" s="23">
        <f>IF($D1469="","",IFERROR(INDEX(ENVIOS!$E$4:$E$3003,MATCH($D1469,ENVIOS!$A$4:$A$3003,0)),"—"))</f>
        <v/>
      </c>
      <c r="I1469" s="23">
        <f>IF($D1469="","",IFERROR(INDEX(ENVIOS!$F$4:$F$3003,MATCH($D1469,ENVIOS!$A$4:$A$3003,0)),"—"))</f>
        <v/>
      </c>
      <c r="J1469" s="23">
        <f>IF($D1469="","",IFERROR(INDEX(ENVIOS!$G$4:$G$3003,MATCH($D1469,ENVIOS!$A$4:$A$3003,0)),"—"))</f>
        <v/>
      </c>
      <c r="K1469" s="28">
        <f>IF($D1469="","",IFERROR(INDEX(ENVIOS!$H$4:$H$3003,MATCH($D1469,ENVIOS!$A$4:$A$3003,0)),"—"))</f>
        <v/>
      </c>
      <c r="L1469" s="49">
        <f>IF($D1469="","",IFERROR(INDEX(ENVIOS!$C$4:$C$3003,MATCH($D1469,ENVIOS!$A$4:$A$3003,0)),""))</f>
        <v/>
      </c>
      <c r="M1469" s="50" t="n"/>
      <c r="N1469" s="28">
        <f>IF($M1469="","",IFERROR(INDEX(CONFIG!$C$4:$C$63,MATCH($M1469,CONFIG!$A$4:$A$63,0)),"Media"))</f>
        <v/>
      </c>
      <c r="O1469" s="28">
        <f>IF($M1469="","",IF($C1469="Interna","NO",IFERROR(INDEX(CONFIG!$E$4:$E$63,MATCH($M1469,CONFIG!$A$4:$A$63,0)),"NO")))</f>
        <v/>
      </c>
      <c r="P1469" s="50" t="n"/>
      <c r="Q1469" s="50" t="n"/>
      <c r="R1469" s="28">
        <f>IF($Q1469="","",IFERROR(INDEX(CONFIG!$H$4:$H$63,MATCH($Q1469,CONFIG!$G$4:$G$63,0)),"Por definir"))</f>
        <v/>
      </c>
      <c r="S1469" s="28">
        <f>IF($Q1469="","",IFERROR(INDEX(CONFIG!$I$4:$I$63,MATCH($Q1469,CONFIG!$G$4:$G$63,0)),"Por definir"))</f>
        <v/>
      </c>
      <c r="T1469" s="51" t="n"/>
      <c r="U1469" s="52" t="n"/>
      <c r="V1469" s="50" t="n"/>
      <c r="W1469" s="50" t="n"/>
      <c r="X1469" s="49">
        <f>IF(OR($B1469="",$M1469=""),"",WORKDAY($B1469,IFERROR(INDEX(CONFIG!$D$4:$D$63,MATCH($M1469,CONFIG!$A$4:$A$63,0)),3)))</f>
        <v/>
      </c>
      <c r="Y1469" s="47" t="n"/>
      <c r="Z1469" s="24">
        <f>IF($B1469="","",IF($Y1469&lt;&gt;"",$Y1469-$B1469,TODAY()-$B1469))</f>
        <v/>
      </c>
      <c r="AA1469" s="28">
        <f>IF($B1469="","",IF(IFERROR(INDEX(CONFIG!$L$4:$L$63,MATCH($V1469,CONFIG!$K$4:$K$63,0)),"NO")="SÍ",IF(OR($Y1469="",$X1469=""),"Resuelta",IF($Y1469&gt;$X1469,"Resuelta tarde","Resuelta a tiempo")),IF($X1469="","Sin clasificar",IF(TODAY()&gt;$X1469,"Vencida",IF(TODAY()&gt;=$X1469-1,"Por vencer","En plazo")))))</f>
        <v/>
      </c>
      <c r="AB1469" s="50" t="n"/>
      <c r="AC1469" s="50" t="n"/>
    </row>
    <row r="1470" ht="16" customHeight="1">
      <c r="A1470" s="28">
        <f>IF($B1470="","","N-"&amp;TEXT(ROW()-3,"0000"))</f>
        <v/>
      </c>
      <c r="B1470" s="47" t="n"/>
      <c r="C1470" s="48" t="n"/>
      <c r="D1470" s="48" t="n"/>
      <c r="E1470" s="28">
        <f>IF($C1470="","",IF($D1470="",IF($C1470="Interna","Sin guía (interna)","FALTA GUÍA"),IF(COUNTIFS(ENVIOS!$A$4:$A$3003,$D1470)=0,"NO EXISTE",IF(COUNTIFS(ENVIOS!$A$4:$A$3003,$D1470)&gt;1,"DUPLICADA","OK"))))</f>
        <v/>
      </c>
      <c r="F1470" s="28">
        <f>IF($D1470="","",IFERROR(INDEX(ENVIOS!$B$4:$B$3003,MATCH($D1470,ENVIOS!$A$4:$A$3003,0)),"—"))</f>
        <v/>
      </c>
      <c r="G1470" s="23">
        <f>IF($D1470="","",IFERROR(INDEX(ENVIOS!$D$4:$D$3003,MATCH($D1470,ENVIOS!$A$4:$A$3003,0)),"—"))</f>
        <v/>
      </c>
      <c r="H1470" s="23">
        <f>IF($D1470="","",IFERROR(INDEX(ENVIOS!$E$4:$E$3003,MATCH($D1470,ENVIOS!$A$4:$A$3003,0)),"—"))</f>
        <v/>
      </c>
      <c r="I1470" s="23">
        <f>IF($D1470="","",IFERROR(INDEX(ENVIOS!$F$4:$F$3003,MATCH($D1470,ENVIOS!$A$4:$A$3003,0)),"—"))</f>
        <v/>
      </c>
      <c r="J1470" s="23">
        <f>IF($D1470="","",IFERROR(INDEX(ENVIOS!$G$4:$G$3003,MATCH($D1470,ENVIOS!$A$4:$A$3003,0)),"—"))</f>
        <v/>
      </c>
      <c r="K1470" s="28">
        <f>IF($D1470="","",IFERROR(INDEX(ENVIOS!$H$4:$H$3003,MATCH($D1470,ENVIOS!$A$4:$A$3003,0)),"—"))</f>
        <v/>
      </c>
      <c r="L1470" s="49">
        <f>IF($D1470="","",IFERROR(INDEX(ENVIOS!$C$4:$C$3003,MATCH($D1470,ENVIOS!$A$4:$A$3003,0)),""))</f>
        <v/>
      </c>
      <c r="M1470" s="50" t="n"/>
      <c r="N1470" s="28">
        <f>IF($M1470="","",IFERROR(INDEX(CONFIG!$C$4:$C$63,MATCH($M1470,CONFIG!$A$4:$A$63,0)),"Media"))</f>
        <v/>
      </c>
      <c r="O1470" s="28">
        <f>IF($M1470="","",IF($C1470="Interna","NO",IFERROR(INDEX(CONFIG!$E$4:$E$63,MATCH($M1470,CONFIG!$A$4:$A$63,0)),"NO")))</f>
        <v/>
      </c>
      <c r="P1470" s="50" t="n"/>
      <c r="Q1470" s="50" t="n"/>
      <c r="R1470" s="28">
        <f>IF($Q1470="","",IFERROR(INDEX(CONFIG!$H$4:$H$63,MATCH($Q1470,CONFIG!$G$4:$G$63,0)),"Por definir"))</f>
        <v/>
      </c>
      <c r="S1470" s="28">
        <f>IF($Q1470="","",IFERROR(INDEX(CONFIG!$I$4:$I$63,MATCH($Q1470,CONFIG!$G$4:$G$63,0)),"Por definir"))</f>
        <v/>
      </c>
      <c r="T1470" s="51" t="n"/>
      <c r="U1470" s="52" t="n"/>
      <c r="V1470" s="50" t="n"/>
      <c r="W1470" s="50" t="n"/>
      <c r="X1470" s="49">
        <f>IF(OR($B1470="",$M1470=""),"",WORKDAY($B1470,IFERROR(INDEX(CONFIG!$D$4:$D$63,MATCH($M1470,CONFIG!$A$4:$A$63,0)),3)))</f>
        <v/>
      </c>
      <c r="Y1470" s="47" t="n"/>
      <c r="Z1470" s="24">
        <f>IF($B1470="","",IF($Y1470&lt;&gt;"",$Y1470-$B1470,TODAY()-$B1470))</f>
        <v/>
      </c>
      <c r="AA1470" s="28">
        <f>IF($B1470="","",IF(IFERROR(INDEX(CONFIG!$L$4:$L$63,MATCH($V1470,CONFIG!$K$4:$K$63,0)),"NO")="SÍ",IF(OR($Y1470="",$X1470=""),"Resuelta",IF($Y1470&gt;$X1470,"Resuelta tarde","Resuelta a tiempo")),IF($X1470="","Sin clasificar",IF(TODAY()&gt;$X1470,"Vencida",IF(TODAY()&gt;=$X1470-1,"Por vencer","En plazo")))))</f>
        <v/>
      </c>
      <c r="AB1470" s="50" t="n"/>
      <c r="AC1470" s="50" t="n"/>
    </row>
    <row r="1471" ht="16" customHeight="1">
      <c r="A1471" s="28">
        <f>IF($B1471="","","N-"&amp;TEXT(ROW()-3,"0000"))</f>
        <v/>
      </c>
      <c r="B1471" s="47" t="n"/>
      <c r="C1471" s="48" t="n"/>
      <c r="D1471" s="48" t="n"/>
      <c r="E1471" s="28">
        <f>IF($C1471="","",IF($D1471="",IF($C1471="Interna","Sin guía (interna)","FALTA GUÍA"),IF(COUNTIFS(ENVIOS!$A$4:$A$3003,$D1471)=0,"NO EXISTE",IF(COUNTIFS(ENVIOS!$A$4:$A$3003,$D1471)&gt;1,"DUPLICADA","OK"))))</f>
        <v/>
      </c>
      <c r="F1471" s="28">
        <f>IF($D1471="","",IFERROR(INDEX(ENVIOS!$B$4:$B$3003,MATCH($D1471,ENVIOS!$A$4:$A$3003,0)),"—"))</f>
        <v/>
      </c>
      <c r="G1471" s="23">
        <f>IF($D1471="","",IFERROR(INDEX(ENVIOS!$D$4:$D$3003,MATCH($D1471,ENVIOS!$A$4:$A$3003,0)),"—"))</f>
        <v/>
      </c>
      <c r="H1471" s="23">
        <f>IF($D1471="","",IFERROR(INDEX(ENVIOS!$E$4:$E$3003,MATCH($D1471,ENVIOS!$A$4:$A$3003,0)),"—"))</f>
        <v/>
      </c>
      <c r="I1471" s="23">
        <f>IF($D1471="","",IFERROR(INDEX(ENVIOS!$F$4:$F$3003,MATCH($D1471,ENVIOS!$A$4:$A$3003,0)),"—"))</f>
        <v/>
      </c>
      <c r="J1471" s="23">
        <f>IF($D1471="","",IFERROR(INDEX(ENVIOS!$G$4:$G$3003,MATCH($D1471,ENVIOS!$A$4:$A$3003,0)),"—"))</f>
        <v/>
      </c>
      <c r="K1471" s="28">
        <f>IF($D1471="","",IFERROR(INDEX(ENVIOS!$H$4:$H$3003,MATCH($D1471,ENVIOS!$A$4:$A$3003,0)),"—"))</f>
        <v/>
      </c>
      <c r="L1471" s="49">
        <f>IF($D1471="","",IFERROR(INDEX(ENVIOS!$C$4:$C$3003,MATCH($D1471,ENVIOS!$A$4:$A$3003,0)),""))</f>
        <v/>
      </c>
      <c r="M1471" s="50" t="n"/>
      <c r="N1471" s="28">
        <f>IF($M1471="","",IFERROR(INDEX(CONFIG!$C$4:$C$63,MATCH($M1471,CONFIG!$A$4:$A$63,0)),"Media"))</f>
        <v/>
      </c>
      <c r="O1471" s="28">
        <f>IF($M1471="","",IF($C1471="Interna","NO",IFERROR(INDEX(CONFIG!$E$4:$E$63,MATCH($M1471,CONFIG!$A$4:$A$63,0)),"NO")))</f>
        <v/>
      </c>
      <c r="P1471" s="50" t="n"/>
      <c r="Q1471" s="50" t="n"/>
      <c r="R1471" s="28">
        <f>IF($Q1471="","",IFERROR(INDEX(CONFIG!$H$4:$H$63,MATCH($Q1471,CONFIG!$G$4:$G$63,0)),"Por definir"))</f>
        <v/>
      </c>
      <c r="S1471" s="28">
        <f>IF($Q1471="","",IFERROR(INDEX(CONFIG!$I$4:$I$63,MATCH($Q1471,CONFIG!$G$4:$G$63,0)),"Por definir"))</f>
        <v/>
      </c>
      <c r="T1471" s="51" t="n"/>
      <c r="U1471" s="52" t="n"/>
      <c r="V1471" s="50" t="n"/>
      <c r="W1471" s="50" t="n"/>
      <c r="X1471" s="49">
        <f>IF(OR($B1471="",$M1471=""),"",WORKDAY($B1471,IFERROR(INDEX(CONFIG!$D$4:$D$63,MATCH($M1471,CONFIG!$A$4:$A$63,0)),3)))</f>
        <v/>
      </c>
      <c r="Y1471" s="47" t="n"/>
      <c r="Z1471" s="24">
        <f>IF($B1471="","",IF($Y1471&lt;&gt;"",$Y1471-$B1471,TODAY()-$B1471))</f>
        <v/>
      </c>
      <c r="AA1471" s="28">
        <f>IF($B1471="","",IF(IFERROR(INDEX(CONFIG!$L$4:$L$63,MATCH($V1471,CONFIG!$K$4:$K$63,0)),"NO")="SÍ",IF(OR($Y1471="",$X1471=""),"Resuelta",IF($Y1471&gt;$X1471,"Resuelta tarde","Resuelta a tiempo")),IF($X1471="","Sin clasificar",IF(TODAY()&gt;$X1471,"Vencida",IF(TODAY()&gt;=$X1471-1,"Por vencer","En plazo")))))</f>
        <v/>
      </c>
      <c r="AB1471" s="50" t="n"/>
      <c r="AC1471" s="50" t="n"/>
    </row>
    <row r="1472" ht="16" customHeight="1">
      <c r="A1472" s="28">
        <f>IF($B1472="","","N-"&amp;TEXT(ROW()-3,"0000"))</f>
        <v/>
      </c>
      <c r="B1472" s="47" t="n"/>
      <c r="C1472" s="48" t="n"/>
      <c r="D1472" s="48" t="n"/>
      <c r="E1472" s="28">
        <f>IF($C1472="","",IF($D1472="",IF($C1472="Interna","Sin guía (interna)","FALTA GUÍA"),IF(COUNTIFS(ENVIOS!$A$4:$A$3003,$D1472)=0,"NO EXISTE",IF(COUNTIFS(ENVIOS!$A$4:$A$3003,$D1472)&gt;1,"DUPLICADA","OK"))))</f>
        <v/>
      </c>
      <c r="F1472" s="28">
        <f>IF($D1472="","",IFERROR(INDEX(ENVIOS!$B$4:$B$3003,MATCH($D1472,ENVIOS!$A$4:$A$3003,0)),"—"))</f>
        <v/>
      </c>
      <c r="G1472" s="23">
        <f>IF($D1472="","",IFERROR(INDEX(ENVIOS!$D$4:$D$3003,MATCH($D1472,ENVIOS!$A$4:$A$3003,0)),"—"))</f>
        <v/>
      </c>
      <c r="H1472" s="23">
        <f>IF($D1472="","",IFERROR(INDEX(ENVIOS!$E$4:$E$3003,MATCH($D1472,ENVIOS!$A$4:$A$3003,0)),"—"))</f>
        <v/>
      </c>
      <c r="I1472" s="23">
        <f>IF($D1472="","",IFERROR(INDEX(ENVIOS!$F$4:$F$3003,MATCH($D1472,ENVIOS!$A$4:$A$3003,0)),"—"))</f>
        <v/>
      </c>
      <c r="J1472" s="23">
        <f>IF($D1472="","",IFERROR(INDEX(ENVIOS!$G$4:$G$3003,MATCH($D1472,ENVIOS!$A$4:$A$3003,0)),"—"))</f>
        <v/>
      </c>
      <c r="K1472" s="28">
        <f>IF($D1472="","",IFERROR(INDEX(ENVIOS!$H$4:$H$3003,MATCH($D1472,ENVIOS!$A$4:$A$3003,0)),"—"))</f>
        <v/>
      </c>
      <c r="L1472" s="49">
        <f>IF($D1472="","",IFERROR(INDEX(ENVIOS!$C$4:$C$3003,MATCH($D1472,ENVIOS!$A$4:$A$3003,0)),""))</f>
        <v/>
      </c>
      <c r="M1472" s="50" t="n"/>
      <c r="N1472" s="28">
        <f>IF($M1472="","",IFERROR(INDEX(CONFIG!$C$4:$C$63,MATCH($M1472,CONFIG!$A$4:$A$63,0)),"Media"))</f>
        <v/>
      </c>
      <c r="O1472" s="28">
        <f>IF($M1472="","",IF($C1472="Interna","NO",IFERROR(INDEX(CONFIG!$E$4:$E$63,MATCH($M1472,CONFIG!$A$4:$A$63,0)),"NO")))</f>
        <v/>
      </c>
      <c r="P1472" s="50" t="n"/>
      <c r="Q1472" s="50" t="n"/>
      <c r="R1472" s="28">
        <f>IF($Q1472="","",IFERROR(INDEX(CONFIG!$H$4:$H$63,MATCH($Q1472,CONFIG!$G$4:$G$63,0)),"Por definir"))</f>
        <v/>
      </c>
      <c r="S1472" s="28">
        <f>IF($Q1472="","",IFERROR(INDEX(CONFIG!$I$4:$I$63,MATCH($Q1472,CONFIG!$G$4:$G$63,0)),"Por definir"))</f>
        <v/>
      </c>
      <c r="T1472" s="51" t="n"/>
      <c r="U1472" s="52" t="n"/>
      <c r="V1472" s="50" t="n"/>
      <c r="W1472" s="50" t="n"/>
      <c r="X1472" s="49">
        <f>IF(OR($B1472="",$M1472=""),"",WORKDAY($B1472,IFERROR(INDEX(CONFIG!$D$4:$D$63,MATCH($M1472,CONFIG!$A$4:$A$63,0)),3)))</f>
        <v/>
      </c>
      <c r="Y1472" s="47" t="n"/>
      <c r="Z1472" s="24">
        <f>IF($B1472="","",IF($Y1472&lt;&gt;"",$Y1472-$B1472,TODAY()-$B1472))</f>
        <v/>
      </c>
      <c r="AA1472" s="28">
        <f>IF($B1472="","",IF(IFERROR(INDEX(CONFIG!$L$4:$L$63,MATCH($V1472,CONFIG!$K$4:$K$63,0)),"NO")="SÍ",IF(OR($Y1472="",$X1472=""),"Resuelta",IF($Y1472&gt;$X1472,"Resuelta tarde","Resuelta a tiempo")),IF($X1472="","Sin clasificar",IF(TODAY()&gt;$X1472,"Vencida",IF(TODAY()&gt;=$X1472-1,"Por vencer","En plazo")))))</f>
        <v/>
      </c>
      <c r="AB1472" s="50" t="n"/>
      <c r="AC1472" s="50" t="n"/>
    </row>
    <row r="1473" ht="16" customHeight="1">
      <c r="A1473" s="28">
        <f>IF($B1473="","","N-"&amp;TEXT(ROW()-3,"0000"))</f>
        <v/>
      </c>
      <c r="B1473" s="47" t="n"/>
      <c r="C1473" s="48" t="n"/>
      <c r="D1473" s="48" t="n"/>
      <c r="E1473" s="28">
        <f>IF($C1473="","",IF($D1473="",IF($C1473="Interna","Sin guía (interna)","FALTA GUÍA"),IF(COUNTIFS(ENVIOS!$A$4:$A$3003,$D1473)=0,"NO EXISTE",IF(COUNTIFS(ENVIOS!$A$4:$A$3003,$D1473)&gt;1,"DUPLICADA","OK"))))</f>
        <v/>
      </c>
      <c r="F1473" s="28">
        <f>IF($D1473="","",IFERROR(INDEX(ENVIOS!$B$4:$B$3003,MATCH($D1473,ENVIOS!$A$4:$A$3003,0)),"—"))</f>
        <v/>
      </c>
      <c r="G1473" s="23">
        <f>IF($D1473="","",IFERROR(INDEX(ENVIOS!$D$4:$D$3003,MATCH($D1473,ENVIOS!$A$4:$A$3003,0)),"—"))</f>
        <v/>
      </c>
      <c r="H1473" s="23">
        <f>IF($D1473="","",IFERROR(INDEX(ENVIOS!$E$4:$E$3003,MATCH($D1473,ENVIOS!$A$4:$A$3003,0)),"—"))</f>
        <v/>
      </c>
      <c r="I1473" s="23">
        <f>IF($D1473="","",IFERROR(INDEX(ENVIOS!$F$4:$F$3003,MATCH($D1473,ENVIOS!$A$4:$A$3003,0)),"—"))</f>
        <v/>
      </c>
      <c r="J1473" s="23">
        <f>IF($D1473="","",IFERROR(INDEX(ENVIOS!$G$4:$G$3003,MATCH($D1473,ENVIOS!$A$4:$A$3003,0)),"—"))</f>
        <v/>
      </c>
      <c r="K1473" s="28">
        <f>IF($D1473="","",IFERROR(INDEX(ENVIOS!$H$4:$H$3003,MATCH($D1473,ENVIOS!$A$4:$A$3003,0)),"—"))</f>
        <v/>
      </c>
      <c r="L1473" s="49">
        <f>IF($D1473="","",IFERROR(INDEX(ENVIOS!$C$4:$C$3003,MATCH($D1473,ENVIOS!$A$4:$A$3003,0)),""))</f>
        <v/>
      </c>
      <c r="M1473" s="50" t="n"/>
      <c r="N1473" s="28">
        <f>IF($M1473="","",IFERROR(INDEX(CONFIG!$C$4:$C$63,MATCH($M1473,CONFIG!$A$4:$A$63,0)),"Media"))</f>
        <v/>
      </c>
      <c r="O1473" s="28">
        <f>IF($M1473="","",IF($C1473="Interna","NO",IFERROR(INDEX(CONFIG!$E$4:$E$63,MATCH($M1473,CONFIG!$A$4:$A$63,0)),"NO")))</f>
        <v/>
      </c>
      <c r="P1473" s="50" t="n"/>
      <c r="Q1473" s="50" t="n"/>
      <c r="R1473" s="28">
        <f>IF($Q1473="","",IFERROR(INDEX(CONFIG!$H$4:$H$63,MATCH($Q1473,CONFIG!$G$4:$G$63,0)),"Por definir"))</f>
        <v/>
      </c>
      <c r="S1473" s="28">
        <f>IF($Q1473="","",IFERROR(INDEX(CONFIG!$I$4:$I$63,MATCH($Q1473,CONFIG!$G$4:$G$63,0)),"Por definir"))</f>
        <v/>
      </c>
      <c r="T1473" s="51" t="n"/>
      <c r="U1473" s="52" t="n"/>
      <c r="V1473" s="50" t="n"/>
      <c r="W1473" s="50" t="n"/>
      <c r="X1473" s="49">
        <f>IF(OR($B1473="",$M1473=""),"",WORKDAY($B1473,IFERROR(INDEX(CONFIG!$D$4:$D$63,MATCH($M1473,CONFIG!$A$4:$A$63,0)),3)))</f>
        <v/>
      </c>
      <c r="Y1473" s="47" t="n"/>
      <c r="Z1473" s="24">
        <f>IF($B1473="","",IF($Y1473&lt;&gt;"",$Y1473-$B1473,TODAY()-$B1473))</f>
        <v/>
      </c>
      <c r="AA1473" s="28">
        <f>IF($B1473="","",IF(IFERROR(INDEX(CONFIG!$L$4:$L$63,MATCH($V1473,CONFIG!$K$4:$K$63,0)),"NO")="SÍ",IF(OR($Y1473="",$X1473=""),"Resuelta",IF($Y1473&gt;$X1473,"Resuelta tarde","Resuelta a tiempo")),IF($X1473="","Sin clasificar",IF(TODAY()&gt;$X1473,"Vencida",IF(TODAY()&gt;=$X1473-1,"Por vencer","En plazo")))))</f>
        <v/>
      </c>
      <c r="AB1473" s="50" t="n"/>
      <c r="AC1473" s="50" t="n"/>
    </row>
    <row r="1474" ht="16" customHeight="1">
      <c r="A1474" s="28">
        <f>IF($B1474="","","N-"&amp;TEXT(ROW()-3,"0000"))</f>
        <v/>
      </c>
      <c r="B1474" s="47" t="n"/>
      <c r="C1474" s="48" t="n"/>
      <c r="D1474" s="48" t="n"/>
      <c r="E1474" s="28">
        <f>IF($C1474="","",IF($D1474="",IF($C1474="Interna","Sin guía (interna)","FALTA GUÍA"),IF(COUNTIFS(ENVIOS!$A$4:$A$3003,$D1474)=0,"NO EXISTE",IF(COUNTIFS(ENVIOS!$A$4:$A$3003,$D1474)&gt;1,"DUPLICADA","OK"))))</f>
        <v/>
      </c>
      <c r="F1474" s="28">
        <f>IF($D1474="","",IFERROR(INDEX(ENVIOS!$B$4:$B$3003,MATCH($D1474,ENVIOS!$A$4:$A$3003,0)),"—"))</f>
        <v/>
      </c>
      <c r="G1474" s="23">
        <f>IF($D1474="","",IFERROR(INDEX(ENVIOS!$D$4:$D$3003,MATCH($D1474,ENVIOS!$A$4:$A$3003,0)),"—"))</f>
        <v/>
      </c>
      <c r="H1474" s="23">
        <f>IF($D1474="","",IFERROR(INDEX(ENVIOS!$E$4:$E$3003,MATCH($D1474,ENVIOS!$A$4:$A$3003,0)),"—"))</f>
        <v/>
      </c>
      <c r="I1474" s="23">
        <f>IF($D1474="","",IFERROR(INDEX(ENVIOS!$F$4:$F$3003,MATCH($D1474,ENVIOS!$A$4:$A$3003,0)),"—"))</f>
        <v/>
      </c>
      <c r="J1474" s="23">
        <f>IF($D1474="","",IFERROR(INDEX(ENVIOS!$G$4:$G$3003,MATCH($D1474,ENVIOS!$A$4:$A$3003,0)),"—"))</f>
        <v/>
      </c>
      <c r="K1474" s="28">
        <f>IF($D1474="","",IFERROR(INDEX(ENVIOS!$H$4:$H$3003,MATCH($D1474,ENVIOS!$A$4:$A$3003,0)),"—"))</f>
        <v/>
      </c>
      <c r="L1474" s="49">
        <f>IF($D1474="","",IFERROR(INDEX(ENVIOS!$C$4:$C$3003,MATCH($D1474,ENVIOS!$A$4:$A$3003,0)),""))</f>
        <v/>
      </c>
      <c r="M1474" s="50" t="n"/>
      <c r="N1474" s="28">
        <f>IF($M1474="","",IFERROR(INDEX(CONFIG!$C$4:$C$63,MATCH($M1474,CONFIG!$A$4:$A$63,0)),"Media"))</f>
        <v/>
      </c>
      <c r="O1474" s="28">
        <f>IF($M1474="","",IF($C1474="Interna","NO",IFERROR(INDEX(CONFIG!$E$4:$E$63,MATCH($M1474,CONFIG!$A$4:$A$63,0)),"NO")))</f>
        <v/>
      </c>
      <c r="P1474" s="50" t="n"/>
      <c r="Q1474" s="50" t="n"/>
      <c r="R1474" s="28">
        <f>IF($Q1474="","",IFERROR(INDEX(CONFIG!$H$4:$H$63,MATCH($Q1474,CONFIG!$G$4:$G$63,0)),"Por definir"))</f>
        <v/>
      </c>
      <c r="S1474" s="28">
        <f>IF($Q1474="","",IFERROR(INDEX(CONFIG!$I$4:$I$63,MATCH($Q1474,CONFIG!$G$4:$G$63,0)),"Por definir"))</f>
        <v/>
      </c>
      <c r="T1474" s="51" t="n"/>
      <c r="U1474" s="52" t="n"/>
      <c r="V1474" s="50" t="n"/>
      <c r="W1474" s="50" t="n"/>
      <c r="X1474" s="49">
        <f>IF(OR($B1474="",$M1474=""),"",WORKDAY($B1474,IFERROR(INDEX(CONFIG!$D$4:$D$63,MATCH($M1474,CONFIG!$A$4:$A$63,0)),3)))</f>
        <v/>
      </c>
      <c r="Y1474" s="47" t="n"/>
      <c r="Z1474" s="24">
        <f>IF($B1474="","",IF($Y1474&lt;&gt;"",$Y1474-$B1474,TODAY()-$B1474))</f>
        <v/>
      </c>
      <c r="AA1474" s="28">
        <f>IF($B1474="","",IF(IFERROR(INDEX(CONFIG!$L$4:$L$63,MATCH($V1474,CONFIG!$K$4:$K$63,0)),"NO")="SÍ",IF(OR($Y1474="",$X1474=""),"Resuelta",IF($Y1474&gt;$X1474,"Resuelta tarde","Resuelta a tiempo")),IF($X1474="","Sin clasificar",IF(TODAY()&gt;$X1474,"Vencida",IF(TODAY()&gt;=$X1474-1,"Por vencer","En plazo")))))</f>
        <v/>
      </c>
      <c r="AB1474" s="50" t="n"/>
      <c r="AC1474" s="50" t="n"/>
    </row>
    <row r="1475" ht="16" customHeight="1">
      <c r="A1475" s="28">
        <f>IF($B1475="","","N-"&amp;TEXT(ROW()-3,"0000"))</f>
        <v/>
      </c>
      <c r="B1475" s="47" t="n"/>
      <c r="C1475" s="48" t="n"/>
      <c r="D1475" s="48" t="n"/>
      <c r="E1475" s="28">
        <f>IF($C1475="","",IF($D1475="",IF($C1475="Interna","Sin guía (interna)","FALTA GUÍA"),IF(COUNTIFS(ENVIOS!$A$4:$A$3003,$D1475)=0,"NO EXISTE",IF(COUNTIFS(ENVIOS!$A$4:$A$3003,$D1475)&gt;1,"DUPLICADA","OK"))))</f>
        <v/>
      </c>
      <c r="F1475" s="28">
        <f>IF($D1475="","",IFERROR(INDEX(ENVIOS!$B$4:$B$3003,MATCH($D1475,ENVIOS!$A$4:$A$3003,0)),"—"))</f>
        <v/>
      </c>
      <c r="G1475" s="23">
        <f>IF($D1475="","",IFERROR(INDEX(ENVIOS!$D$4:$D$3003,MATCH($D1475,ENVIOS!$A$4:$A$3003,0)),"—"))</f>
        <v/>
      </c>
      <c r="H1475" s="23">
        <f>IF($D1475="","",IFERROR(INDEX(ENVIOS!$E$4:$E$3003,MATCH($D1475,ENVIOS!$A$4:$A$3003,0)),"—"))</f>
        <v/>
      </c>
      <c r="I1475" s="23">
        <f>IF($D1475="","",IFERROR(INDEX(ENVIOS!$F$4:$F$3003,MATCH($D1475,ENVIOS!$A$4:$A$3003,0)),"—"))</f>
        <v/>
      </c>
      <c r="J1475" s="23">
        <f>IF($D1475="","",IFERROR(INDEX(ENVIOS!$G$4:$G$3003,MATCH($D1475,ENVIOS!$A$4:$A$3003,0)),"—"))</f>
        <v/>
      </c>
      <c r="K1475" s="28">
        <f>IF($D1475="","",IFERROR(INDEX(ENVIOS!$H$4:$H$3003,MATCH($D1475,ENVIOS!$A$4:$A$3003,0)),"—"))</f>
        <v/>
      </c>
      <c r="L1475" s="49">
        <f>IF($D1475="","",IFERROR(INDEX(ENVIOS!$C$4:$C$3003,MATCH($D1475,ENVIOS!$A$4:$A$3003,0)),""))</f>
        <v/>
      </c>
      <c r="M1475" s="50" t="n"/>
      <c r="N1475" s="28">
        <f>IF($M1475="","",IFERROR(INDEX(CONFIG!$C$4:$C$63,MATCH($M1475,CONFIG!$A$4:$A$63,0)),"Media"))</f>
        <v/>
      </c>
      <c r="O1475" s="28">
        <f>IF($M1475="","",IF($C1475="Interna","NO",IFERROR(INDEX(CONFIG!$E$4:$E$63,MATCH($M1475,CONFIG!$A$4:$A$63,0)),"NO")))</f>
        <v/>
      </c>
      <c r="P1475" s="50" t="n"/>
      <c r="Q1475" s="50" t="n"/>
      <c r="R1475" s="28">
        <f>IF($Q1475="","",IFERROR(INDEX(CONFIG!$H$4:$H$63,MATCH($Q1475,CONFIG!$G$4:$G$63,0)),"Por definir"))</f>
        <v/>
      </c>
      <c r="S1475" s="28">
        <f>IF($Q1475="","",IFERROR(INDEX(CONFIG!$I$4:$I$63,MATCH($Q1475,CONFIG!$G$4:$G$63,0)),"Por definir"))</f>
        <v/>
      </c>
      <c r="T1475" s="51" t="n"/>
      <c r="U1475" s="52" t="n"/>
      <c r="V1475" s="50" t="n"/>
      <c r="W1475" s="50" t="n"/>
      <c r="X1475" s="49">
        <f>IF(OR($B1475="",$M1475=""),"",WORKDAY($B1475,IFERROR(INDEX(CONFIG!$D$4:$D$63,MATCH($M1475,CONFIG!$A$4:$A$63,0)),3)))</f>
        <v/>
      </c>
      <c r="Y1475" s="47" t="n"/>
      <c r="Z1475" s="24">
        <f>IF($B1475="","",IF($Y1475&lt;&gt;"",$Y1475-$B1475,TODAY()-$B1475))</f>
        <v/>
      </c>
      <c r="AA1475" s="28">
        <f>IF($B1475="","",IF(IFERROR(INDEX(CONFIG!$L$4:$L$63,MATCH($V1475,CONFIG!$K$4:$K$63,0)),"NO")="SÍ",IF(OR($Y1475="",$X1475=""),"Resuelta",IF($Y1475&gt;$X1475,"Resuelta tarde","Resuelta a tiempo")),IF($X1475="","Sin clasificar",IF(TODAY()&gt;$X1475,"Vencida",IF(TODAY()&gt;=$X1475-1,"Por vencer","En plazo")))))</f>
        <v/>
      </c>
      <c r="AB1475" s="50" t="n"/>
      <c r="AC1475" s="50" t="n"/>
    </row>
    <row r="1476" ht="16" customHeight="1">
      <c r="A1476" s="28">
        <f>IF($B1476="","","N-"&amp;TEXT(ROW()-3,"0000"))</f>
        <v/>
      </c>
      <c r="B1476" s="47" t="n"/>
      <c r="C1476" s="48" t="n"/>
      <c r="D1476" s="48" t="n"/>
      <c r="E1476" s="28">
        <f>IF($C1476="","",IF($D1476="",IF($C1476="Interna","Sin guía (interna)","FALTA GUÍA"),IF(COUNTIFS(ENVIOS!$A$4:$A$3003,$D1476)=0,"NO EXISTE",IF(COUNTIFS(ENVIOS!$A$4:$A$3003,$D1476)&gt;1,"DUPLICADA","OK"))))</f>
        <v/>
      </c>
      <c r="F1476" s="28">
        <f>IF($D1476="","",IFERROR(INDEX(ENVIOS!$B$4:$B$3003,MATCH($D1476,ENVIOS!$A$4:$A$3003,0)),"—"))</f>
        <v/>
      </c>
      <c r="G1476" s="23">
        <f>IF($D1476="","",IFERROR(INDEX(ENVIOS!$D$4:$D$3003,MATCH($D1476,ENVIOS!$A$4:$A$3003,0)),"—"))</f>
        <v/>
      </c>
      <c r="H1476" s="23">
        <f>IF($D1476="","",IFERROR(INDEX(ENVIOS!$E$4:$E$3003,MATCH($D1476,ENVIOS!$A$4:$A$3003,0)),"—"))</f>
        <v/>
      </c>
      <c r="I1476" s="23">
        <f>IF($D1476="","",IFERROR(INDEX(ENVIOS!$F$4:$F$3003,MATCH($D1476,ENVIOS!$A$4:$A$3003,0)),"—"))</f>
        <v/>
      </c>
      <c r="J1476" s="23">
        <f>IF($D1476="","",IFERROR(INDEX(ENVIOS!$G$4:$G$3003,MATCH($D1476,ENVIOS!$A$4:$A$3003,0)),"—"))</f>
        <v/>
      </c>
      <c r="K1476" s="28">
        <f>IF($D1476="","",IFERROR(INDEX(ENVIOS!$H$4:$H$3003,MATCH($D1476,ENVIOS!$A$4:$A$3003,0)),"—"))</f>
        <v/>
      </c>
      <c r="L1476" s="49">
        <f>IF($D1476="","",IFERROR(INDEX(ENVIOS!$C$4:$C$3003,MATCH($D1476,ENVIOS!$A$4:$A$3003,0)),""))</f>
        <v/>
      </c>
      <c r="M1476" s="50" t="n"/>
      <c r="N1476" s="28">
        <f>IF($M1476="","",IFERROR(INDEX(CONFIG!$C$4:$C$63,MATCH($M1476,CONFIG!$A$4:$A$63,0)),"Media"))</f>
        <v/>
      </c>
      <c r="O1476" s="28">
        <f>IF($M1476="","",IF($C1476="Interna","NO",IFERROR(INDEX(CONFIG!$E$4:$E$63,MATCH($M1476,CONFIG!$A$4:$A$63,0)),"NO")))</f>
        <v/>
      </c>
      <c r="P1476" s="50" t="n"/>
      <c r="Q1476" s="50" t="n"/>
      <c r="R1476" s="28">
        <f>IF($Q1476="","",IFERROR(INDEX(CONFIG!$H$4:$H$63,MATCH($Q1476,CONFIG!$G$4:$G$63,0)),"Por definir"))</f>
        <v/>
      </c>
      <c r="S1476" s="28">
        <f>IF($Q1476="","",IFERROR(INDEX(CONFIG!$I$4:$I$63,MATCH($Q1476,CONFIG!$G$4:$G$63,0)),"Por definir"))</f>
        <v/>
      </c>
      <c r="T1476" s="51" t="n"/>
      <c r="U1476" s="52" t="n"/>
      <c r="V1476" s="50" t="n"/>
      <c r="W1476" s="50" t="n"/>
      <c r="X1476" s="49">
        <f>IF(OR($B1476="",$M1476=""),"",WORKDAY($B1476,IFERROR(INDEX(CONFIG!$D$4:$D$63,MATCH($M1476,CONFIG!$A$4:$A$63,0)),3)))</f>
        <v/>
      </c>
      <c r="Y1476" s="47" t="n"/>
      <c r="Z1476" s="24">
        <f>IF($B1476="","",IF($Y1476&lt;&gt;"",$Y1476-$B1476,TODAY()-$B1476))</f>
        <v/>
      </c>
      <c r="AA1476" s="28">
        <f>IF($B1476="","",IF(IFERROR(INDEX(CONFIG!$L$4:$L$63,MATCH($V1476,CONFIG!$K$4:$K$63,0)),"NO")="SÍ",IF(OR($Y1476="",$X1476=""),"Resuelta",IF($Y1476&gt;$X1476,"Resuelta tarde","Resuelta a tiempo")),IF($X1476="","Sin clasificar",IF(TODAY()&gt;$X1476,"Vencida",IF(TODAY()&gt;=$X1476-1,"Por vencer","En plazo")))))</f>
        <v/>
      </c>
      <c r="AB1476" s="50" t="n"/>
      <c r="AC1476" s="50" t="n"/>
    </row>
    <row r="1477" ht="16" customHeight="1">
      <c r="A1477" s="28">
        <f>IF($B1477="","","N-"&amp;TEXT(ROW()-3,"0000"))</f>
        <v/>
      </c>
      <c r="B1477" s="47" t="n"/>
      <c r="C1477" s="48" t="n"/>
      <c r="D1477" s="48" t="n"/>
      <c r="E1477" s="28">
        <f>IF($C1477="","",IF($D1477="",IF($C1477="Interna","Sin guía (interna)","FALTA GUÍA"),IF(COUNTIFS(ENVIOS!$A$4:$A$3003,$D1477)=0,"NO EXISTE",IF(COUNTIFS(ENVIOS!$A$4:$A$3003,$D1477)&gt;1,"DUPLICADA","OK"))))</f>
        <v/>
      </c>
      <c r="F1477" s="28">
        <f>IF($D1477="","",IFERROR(INDEX(ENVIOS!$B$4:$B$3003,MATCH($D1477,ENVIOS!$A$4:$A$3003,0)),"—"))</f>
        <v/>
      </c>
      <c r="G1477" s="23">
        <f>IF($D1477="","",IFERROR(INDEX(ENVIOS!$D$4:$D$3003,MATCH($D1477,ENVIOS!$A$4:$A$3003,0)),"—"))</f>
        <v/>
      </c>
      <c r="H1477" s="23">
        <f>IF($D1477="","",IFERROR(INDEX(ENVIOS!$E$4:$E$3003,MATCH($D1477,ENVIOS!$A$4:$A$3003,0)),"—"))</f>
        <v/>
      </c>
      <c r="I1477" s="23">
        <f>IF($D1477="","",IFERROR(INDEX(ENVIOS!$F$4:$F$3003,MATCH($D1477,ENVIOS!$A$4:$A$3003,0)),"—"))</f>
        <v/>
      </c>
      <c r="J1477" s="23">
        <f>IF($D1477="","",IFERROR(INDEX(ENVIOS!$G$4:$G$3003,MATCH($D1477,ENVIOS!$A$4:$A$3003,0)),"—"))</f>
        <v/>
      </c>
      <c r="K1477" s="28">
        <f>IF($D1477="","",IFERROR(INDEX(ENVIOS!$H$4:$H$3003,MATCH($D1477,ENVIOS!$A$4:$A$3003,0)),"—"))</f>
        <v/>
      </c>
      <c r="L1477" s="49">
        <f>IF($D1477="","",IFERROR(INDEX(ENVIOS!$C$4:$C$3003,MATCH($D1477,ENVIOS!$A$4:$A$3003,0)),""))</f>
        <v/>
      </c>
      <c r="M1477" s="50" t="n"/>
      <c r="N1477" s="28">
        <f>IF($M1477="","",IFERROR(INDEX(CONFIG!$C$4:$C$63,MATCH($M1477,CONFIG!$A$4:$A$63,0)),"Media"))</f>
        <v/>
      </c>
      <c r="O1477" s="28">
        <f>IF($M1477="","",IF($C1477="Interna","NO",IFERROR(INDEX(CONFIG!$E$4:$E$63,MATCH($M1477,CONFIG!$A$4:$A$63,0)),"NO")))</f>
        <v/>
      </c>
      <c r="P1477" s="50" t="n"/>
      <c r="Q1477" s="50" t="n"/>
      <c r="R1477" s="28">
        <f>IF($Q1477="","",IFERROR(INDEX(CONFIG!$H$4:$H$63,MATCH($Q1477,CONFIG!$G$4:$G$63,0)),"Por definir"))</f>
        <v/>
      </c>
      <c r="S1477" s="28">
        <f>IF($Q1477="","",IFERROR(INDEX(CONFIG!$I$4:$I$63,MATCH($Q1477,CONFIG!$G$4:$G$63,0)),"Por definir"))</f>
        <v/>
      </c>
      <c r="T1477" s="51" t="n"/>
      <c r="U1477" s="52" t="n"/>
      <c r="V1477" s="50" t="n"/>
      <c r="W1477" s="50" t="n"/>
      <c r="X1477" s="49">
        <f>IF(OR($B1477="",$M1477=""),"",WORKDAY($B1477,IFERROR(INDEX(CONFIG!$D$4:$D$63,MATCH($M1477,CONFIG!$A$4:$A$63,0)),3)))</f>
        <v/>
      </c>
      <c r="Y1477" s="47" t="n"/>
      <c r="Z1477" s="24">
        <f>IF($B1477="","",IF($Y1477&lt;&gt;"",$Y1477-$B1477,TODAY()-$B1477))</f>
        <v/>
      </c>
      <c r="AA1477" s="28">
        <f>IF($B1477="","",IF(IFERROR(INDEX(CONFIG!$L$4:$L$63,MATCH($V1477,CONFIG!$K$4:$K$63,0)),"NO")="SÍ",IF(OR($Y1477="",$X1477=""),"Resuelta",IF($Y1477&gt;$X1477,"Resuelta tarde","Resuelta a tiempo")),IF($X1477="","Sin clasificar",IF(TODAY()&gt;$X1477,"Vencida",IF(TODAY()&gt;=$X1477-1,"Por vencer","En plazo")))))</f>
        <v/>
      </c>
      <c r="AB1477" s="50" t="n"/>
      <c r="AC1477" s="50" t="n"/>
    </row>
    <row r="1478" ht="16" customHeight="1">
      <c r="A1478" s="28">
        <f>IF($B1478="","","N-"&amp;TEXT(ROW()-3,"0000"))</f>
        <v/>
      </c>
      <c r="B1478" s="47" t="n"/>
      <c r="C1478" s="48" t="n"/>
      <c r="D1478" s="48" t="n"/>
      <c r="E1478" s="28">
        <f>IF($C1478="","",IF($D1478="",IF($C1478="Interna","Sin guía (interna)","FALTA GUÍA"),IF(COUNTIFS(ENVIOS!$A$4:$A$3003,$D1478)=0,"NO EXISTE",IF(COUNTIFS(ENVIOS!$A$4:$A$3003,$D1478)&gt;1,"DUPLICADA","OK"))))</f>
        <v/>
      </c>
      <c r="F1478" s="28">
        <f>IF($D1478="","",IFERROR(INDEX(ENVIOS!$B$4:$B$3003,MATCH($D1478,ENVIOS!$A$4:$A$3003,0)),"—"))</f>
        <v/>
      </c>
      <c r="G1478" s="23">
        <f>IF($D1478="","",IFERROR(INDEX(ENVIOS!$D$4:$D$3003,MATCH($D1478,ENVIOS!$A$4:$A$3003,0)),"—"))</f>
        <v/>
      </c>
      <c r="H1478" s="23">
        <f>IF($D1478="","",IFERROR(INDEX(ENVIOS!$E$4:$E$3003,MATCH($D1478,ENVIOS!$A$4:$A$3003,0)),"—"))</f>
        <v/>
      </c>
      <c r="I1478" s="23">
        <f>IF($D1478="","",IFERROR(INDEX(ENVIOS!$F$4:$F$3003,MATCH($D1478,ENVIOS!$A$4:$A$3003,0)),"—"))</f>
        <v/>
      </c>
      <c r="J1478" s="23">
        <f>IF($D1478="","",IFERROR(INDEX(ENVIOS!$G$4:$G$3003,MATCH($D1478,ENVIOS!$A$4:$A$3003,0)),"—"))</f>
        <v/>
      </c>
      <c r="K1478" s="28">
        <f>IF($D1478="","",IFERROR(INDEX(ENVIOS!$H$4:$H$3003,MATCH($D1478,ENVIOS!$A$4:$A$3003,0)),"—"))</f>
        <v/>
      </c>
      <c r="L1478" s="49">
        <f>IF($D1478="","",IFERROR(INDEX(ENVIOS!$C$4:$C$3003,MATCH($D1478,ENVIOS!$A$4:$A$3003,0)),""))</f>
        <v/>
      </c>
      <c r="M1478" s="50" t="n"/>
      <c r="N1478" s="28">
        <f>IF($M1478="","",IFERROR(INDEX(CONFIG!$C$4:$C$63,MATCH($M1478,CONFIG!$A$4:$A$63,0)),"Media"))</f>
        <v/>
      </c>
      <c r="O1478" s="28">
        <f>IF($M1478="","",IF($C1478="Interna","NO",IFERROR(INDEX(CONFIG!$E$4:$E$63,MATCH($M1478,CONFIG!$A$4:$A$63,0)),"NO")))</f>
        <v/>
      </c>
      <c r="P1478" s="50" t="n"/>
      <c r="Q1478" s="50" t="n"/>
      <c r="R1478" s="28">
        <f>IF($Q1478="","",IFERROR(INDEX(CONFIG!$H$4:$H$63,MATCH($Q1478,CONFIG!$G$4:$G$63,0)),"Por definir"))</f>
        <v/>
      </c>
      <c r="S1478" s="28">
        <f>IF($Q1478="","",IFERROR(INDEX(CONFIG!$I$4:$I$63,MATCH($Q1478,CONFIG!$G$4:$G$63,0)),"Por definir"))</f>
        <v/>
      </c>
      <c r="T1478" s="51" t="n"/>
      <c r="U1478" s="52" t="n"/>
      <c r="V1478" s="50" t="n"/>
      <c r="W1478" s="50" t="n"/>
      <c r="X1478" s="49">
        <f>IF(OR($B1478="",$M1478=""),"",WORKDAY($B1478,IFERROR(INDEX(CONFIG!$D$4:$D$63,MATCH($M1478,CONFIG!$A$4:$A$63,0)),3)))</f>
        <v/>
      </c>
      <c r="Y1478" s="47" t="n"/>
      <c r="Z1478" s="24">
        <f>IF($B1478="","",IF($Y1478&lt;&gt;"",$Y1478-$B1478,TODAY()-$B1478))</f>
        <v/>
      </c>
      <c r="AA1478" s="28">
        <f>IF($B1478="","",IF(IFERROR(INDEX(CONFIG!$L$4:$L$63,MATCH($V1478,CONFIG!$K$4:$K$63,0)),"NO")="SÍ",IF(OR($Y1478="",$X1478=""),"Resuelta",IF($Y1478&gt;$X1478,"Resuelta tarde","Resuelta a tiempo")),IF($X1478="","Sin clasificar",IF(TODAY()&gt;$X1478,"Vencida",IF(TODAY()&gt;=$X1478-1,"Por vencer","En plazo")))))</f>
        <v/>
      </c>
      <c r="AB1478" s="50" t="n"/>
      <c r="AC1478" s="50" t="n"/>
    </row>
    <row r="1479" ht="16" customHeight="1">
      <c r="A1479" s="28">
        <f>IF($B1479="","","N-"&amp;TEXT(ROW()-3,"0000"))</f>
        <v/>
      </c>
      <c r="B1479" s="47" t="n"/>
      <c r="C1479" s="48" t="n"/>
      <c r="D1479" s="48" t="n"/>
      <c r="E1479" s="28">
        <f>IF($C1479="","",IF($D1479="",IF($C1479="Interna","Sin guía (interna)","FALTA GUÍA"),IF(COUNTIFS(ENVIOS!$A$4:$A$3003,$D1479)=0,"NO EXISTE",IF(COUNTIFS(ENVIOS!$A$4:$A$3003,$D1479)&gt;1,"DUPLICADA","OK"))))</f>
        <v/>
      </c>
      <c r="F1479" s="28">
        <f>IF($D1479="","",IFERROR(INDEX(ENVIOS!$B$4:$B$3003,MATCH($D1479,ENVIOS!$A$4:$A$3003,0)),"—"))</f>
        <v/>
      </c>
      <c r="G1479" s="23">
        <f>IF($D1479="","",IFERROR(INDEX(ENVIOS!$D$4:$D$3003,MATCH($D1479,ENVIOS!$A$4:$A$3003,0)),"—"))</f>
        <v/>
      </c>
      <c r="H1479" s="23">
        <f>IF($D1479="","",IFERROR(INDEX(ENVIOS!$E$4:$E$3003,MATCH($D1479,ENVIOS!$A$4:$A$3003,0)),"—"))</f>
        <v/>
      </c>
      <c r="I1479" s="23">
        <f>IF($D1479="","",IFERROR(INDEX(ENVIOS!$F$4:$F$3003,MATCH($D1479,ENVIOS!$A$4:$A$3003,0)),"—"))</f>
        <v/>
      </c>
      <c r="J1479" s="23">
        <f>IF($D1479="","",IFERROR(INDEX(ENVIOS!$G$4:$G$3003,MATCH($D1479,ENVIOS!$A$4:$A$3003,0)),"—"))</f>
        <v/>
      </c>
      <c r="K1479" s="28">
        <f>IF($D1479="","",IFERROR(INDEX(ENVIOS!$H$4:$H$3003,MATCH($D1479,ENVIOS!$A$4:$A$3003,0)),"—"))</f>
        <v/>
      </c>
      <c r="L1479" s="49">
        <f>IF($D1479="","",IFERROR(INDEX(ENVIOS!$C$4:$C$3003,MATCH($D1479,ENVIOS!$A$4:$A$3003,0)),""))</f>
        <v/>
      </c>
      <c r="M1479" s="50" t="n"/>
      <c r="N1479" s="28">
        <f>IF($M1479="","",IFERROR(INDEX(CONFIG!$C$4:$C$63,MATCH($M1479,CONFIG!$A$4:$A$63,0)),"Media"))</f>
        <v/>
      </c>
      <c r="O1479" s="28">
        <f>IF($M1479="","",IF($C1479="Interna","NO",IFERROR(INDEX(CONFIG!$E$4:$E$63,MATCH($M1479,CONFIG!$A$4:$A$63,0)),"NO")))</f>
        <v/>
      </c>
      <c r="P1479" s="50" t="n"/>
      <c r="Q1479" s="50" t="n"/>
      <c r="R1479" s="28">
        <f>IF($Q1479="","",IFERROR(INDEX(CONFIG!$H$4:$H$63,MATCH($Q1479,CONFIG!$G$4:$G$63,0)),"Por definir"))</f>
        <v/>
      </c>
      <c r="S1479" s="28">
        <f>IF($Q1479="","",IFERROR(INDEX(CONFIG!$I$4:$I$63,MATCH($Q1479,CONFIG!$G$4:$G$63,0)),"Por definir"))</f>
        <v/>
      </c>
      <c r="T1479" s="51" t="n"/>
      <c r="U1479" s="52" t="n"/>
      <c r="V1479" s="50" t="n"/>
      <c r="W1479" s="50" t="n"/>
      <c r="X1479" s="49">
        <f>IF(OR($B1479="",$M1479=""),"",WORKDAY($B1479,IFERROR(INDEX(CONFIG!$D$4:$D$63,MATCH($M1479,CONFIG!$A$4:$A$63,0)),3)))</f>
        <v/>
      </c>
      <c r="Y1479" s="47" t="n"/>
      <c r="Z1479" s="24">
        <f>IF($B1479="","",IF($Y1479&lt;&gt;"",$Y1479-$B1479,TODAY()-$B1479))</f>
        <v/>
      </c>
      <c r="AA1479" s="28">
        <f>IF($B1479="","",IF(IFERROR(INDEX(CONFIG!$L$4:$L$63,MATCH($V1479,CONFIG!$K$4:$K$63,0)),"NO")="SÍ",IF(OR($Y1479="",$X1479=""),"Resuelta",IF($Y1479&gt;$X1479,"Resuelta tarde","Resuelta a tiempo")),IF($X1479="","Sin clasificar",IF(TODAY()&gt;$X1479,"Vencida",IF(TODAY()&gt;=$X1479-1,"Por vencer","En plazo")))))</f>
        <v/>
      </c>
      <c r="AB1479" s="50" t="n"/>
      <c r="AC1479" s="50" t="n"/>
    </row>
    <row r="1480" ht="16" customHeight="1">
      <c r="A1480" s="28">
        <f>IF($B1480="","","N-"&amp;TEXT(ROW()-3,"0000"))</f>
        <v/>
      </c>
      <c r="B1480" s="47" t="n"/>
      <c r="C1480" s="48" t="n"/>
      <c r="D1480" s="48" t="n"/>
      <c r="E1480" s="28">
        <f>IF($C1480="","",IF($D1480="",IF($C1480="Interna","Sin guía (interna)","FALTA GUÍA"),IF(COUNTIFS(ENVIOS!$A$4:$A$3003,$D1480)=0,"NO EXISTE",IF(COUNTIFS(ENVIOS!$A$4:$A$3003,$D1480)&gt;1,"DUPLICADA","OK"))))</f>
        <v/>
      </c>
      <c r="F1480" s="28">
        <f>IF($D1480="","",IFERROR(INDEX(ENVIOS!$B$4:$B$3003,MATCH($D1480,ENVIOS!$A$4:$A$3003,0)),"—"))</f>
        <v/>
      </c>
      <c r="G1480" s="23">
        <f>IF($D1480="","",IFERROR(INDEX(ENVIOS!$D$4:$D$3003,MATCH($D1480,ENVIOS!$A$4:$A$3003,0)),"—"))</f>
        <v/>
      </c>
      <c r="H1480" s="23">
        <f>IF($D1480="","",IFERROR(INDEX(ENVIOS!$E$4:$E$3003,MATCH($D1480,ENVIOS!$A$4:$A$3003,0)),"—"))</f>
        <v/>
      </c>
      <c r="I1480" s="23">
        <f>IF($D1480="","",IFERROR(INDEX(ENVIOS!$F$4:$F$3003,MATCH($D1480,ENVIOS!$A$4:$A$3003,0)),"—"))</f>
        <v/>
      </c>
      <c r="J1480" s="23">
        <f>IF($D1480="","",IFERROR(INDEX(ENVIOS!$G$4:$G$3003,MATCH($D1480,ENVIOS!$A$4:$A$3003,0)),"—"))</f>
        <v/>
      </c>
      <c r="K1480" s="28">
        <f>IF($D1480="","",IFERROR(INDEX(ENVIOS!$H$4:$H$3003,MATCH($D1480,ENVIOS!$A$4:$A$3003,0)),"—"))</f>
        <v/>
      </c>
      <c r="L1480" s="49">
        <f>IF($D1480="","",IFERROR(INDEX(ENVIOS!$C$4:$C$3003,MATCH($D1480,ENVIOS!$A$4:$A$3003,0)),""))</f>
        <v/>
      </c>
      <c r="M1480" s="50" t="n"/>
      <c r="N1480" s="28">
        <f>IF($M1480="","",IFERROR(INDEX(CONFIG!$C$4:$C$63,MATCH($M1480,CONFIG!$A$4:$A$63,0)),"Media"))</f>
        <v/>
      </c>
      <c r="O1480" s="28">
        <f>IF($M1480="","",IF($C1480="Interna","NO",IFERROR(INDEX(CONFIG!$E$4:$E$63,MATCH($M1480,CONFIG!$A$4:$A$63,0)),"NO")))</f>
        <v/>
      </c>
      <c r="P1480" s="50" t="n"/>
      <c r="Q1480" s="50" t="n"/>
      <c r="R1480" s="28">
        <f>IF($Q1480="","",IFERROR(INDEX(CONFIG!$H$4:$H$63,MATCH($Q1480,CONFIG!$G$4:$G$63,0)),"Por definir"))</f>
        <v/>
      </c>
      <c r="S1480" s="28">
        <f>IF($Q1480="","",IFERROR(INDEX(CONFIG!$I$4:$I$63,MATCH($Q1480,CONFIG!$G$4:$G$63,0)),"Por definir"))</f>
        <v/>
      </c>
      <c r="T1480" s="51" t="n"/>
      <c r="U1480" s="52" t="n"/>
      <c r="V1480" s="50" t="n"/>
      <c r="W1480" s="50" t="n"/>
      <c r="X1480" s="49">
        <f>IF(OR($B1480="",$M1480=""),"",WORKDAY($B1480,IFERROR(INDEX(CONFIG!$D$4:$D$63,MATCH($M1480,CONFIG!$A$4:$A$63,0)),3)))</f>
        <v/>
      </c>
      <c r="Y1480" s="47" t="n"/>
      <c r="Z1480" s="24">
        <f>IF($B1480="","",IF($Y1480&lt;&gt;"",$Y1480-$B1480,TODAY()-$B1480))</f>
        <v/>
      </c>
      <c r="AA1480" s="28">
        <f>IF($B1480="","",IF(IFERROR(INDEX(CONFIG!$L$4:$L$63,MATCH($V1480,CONFIG!$K$4:$K$63,0)),"NO")="SÍ",IF(OR($Y1480="",$X1480=""),"Resuelta",IF($Y1480&gt;$X1480,"Resuelta tarde","Resuelta a tiempo")),IF($X1480="","Sin clasificar",IF(TODAY()&gt;$X1480,"Vencida",IF(TODAY()&gt;=$X1480-1,"Por vencer","En plazo")))))</f>
        <v/>
      </c>
      <c r="AB1480" s="50" t="n"/>
      <c r="AC1480" s="50" t="n"/>
    </row>
    <row r="1481" ht="16" customHeight="1">
      <c r="A1481" s="28">
        <f>IF($B1481="","","N-"&amp;TEXT(ROW()-3,"0000"))</f>
        <v/>
      </c>
      <c r="B1481" s="47" t="n"/>
      <c r="C1481" s="48" t="n"/>
      <c r="D1481" s="48" t="n"/>
      <c r="E1481" s="28">
        <f>IF($C1481="","",IF($D1481="",IF($C1481="Interna","Sin guía (interna)","FALTA GUÍA"),IF(COUNTIFS(ENVIOS!$A$4:$A$3003,$D1481)=0,"NO EXISTE",IF(COUNTIFS(ENVIOS!$A$4:$A$3003,$D1481)&gt;1,"DUPLICADA","OK"))))</f>
        <v/>
      </c>
      <c r="F1481" s="28">
        <f>IF($D1481="","",IFERROR(INDEX(ENVIOS!$B$4:$B$3003,MATCH($D1481,ENVIOS!$A$4:$A$3003,0)),"—"))</f>
        <v/>
      </c>
      <c r="G1481" s="23">
        <f>IF($D1481="","",IFERROR(INDEX(ENVIOS!$D$4:$D$3003,MATCH($D1481,ENVIOS!$A$4:$A$3003,0)),"—"))</f>
        <v/>
      </c>
      <c r="H1481" s="23">
        <f>IF($D1481="","",IFERROR(INDEX(ENVIOS!$E$4:$E$3003,MATCH($D1481,ENVIOS!$A$4:$A$3003,0)),"—"))</f>
        <v/>
      </c>
      <c r="I1481" s="23">
        <f>IF($D1481="","",IFERROR(INDEX(ENVIOS!$F$4:$F$3003,MATCH($D1481,ENVIOS!$A$4:$A$3003,0)),"—"))</f>
        <v/>
      </c>
      <c r="J1481" s="23">
        <f>IF($D1481="","",IFERROR(INDEX(ENVIOS!$G$4:$G$3003,MATCH($D1481,ENVIOS!$A$4:$A$3003,0)),"—"))</f>
        <v/>
      </c>
      <c r="K1481" s="28">
        <f>IF($D1481="","",IFERROR(INDEX(ENVIOS!$H$4:$H$3003,MATCH($D1481,ENVIOS!$A$4:$A$3003,0)),"—"))</f>
        <v/>
      </c>
      <c r="L1481" s="49">
        <f>IF($D1481="","",IFERROR(INDEX(ENVIOS!$C$4:$C$3003,MATCH($D1481,ENVIOS!$A$4:$A$3003,0)),""))</f>
        <v/>
      </c>
      <c r="M1481" s="50" t="n"/>
      <c r="N1481" s="28">
        <f>IF($M1481="","",IFERROR(INDEX(CONFIG!$C$4:$C$63,MATCH($M1481,CONFIG!$A$4:$A$63,0)),"Media"))</f>
        <v/>
      </c>
      <c r="O1481" s="28">
        <f>IF($M1481="","",IF($C1481="Interna","NO",IFERROR(INDEX(CONFIG!$E$4:$E$63,MATCH($M1481,CONFIG!$A$4:$A$63,0)),"NO")))</f>
        <v/>
      </c>
      <c r="P1481" s="50" t="n"/>
      <c r="Q1481" s="50" t="n"/>
      <c r="R1481" s="28">
        <f>IF($Q1481="","",IFERROR(INDEX(CONFIG!$H$4:$H$63,MATCH($Q1481,CONFIG!$G$4:$G$63,0)),"Por definir"))</f>
        <v/>
      </c>
      <c r="S1481" s="28">
        <f>IF($Q1481="","",IFERROR(INDEX(CONFIG!$I$4:$I$63,MATCH($Q1481,CONFIG!$G$4:$G$63,0)),"Por definir"))</f>
        <v/>
      </c>
      <c r="T1481" s="51" t="n"/>
      <c r="U1481" s="52" t="n"/>
      <c r="V1481" s="50" t="n"/>
      <c r="W1481" s="50" t="n"/>
      <c r="X1481" s="49">
        <f>IF(OR($B1481="",$M1481=""),"",WORKDAY($B1481,IFERROR(INDEX(CONFIG!$D$4:$D$63,MATCH($M1481,CONFIG!$A$4:$A$63,0)),3)))</f>
        <v/>
      </c>
      <c r="Y1481" s="47" t="n"/>
      <c r="Z1481" s="24">
        <f>IF($B1481="","",IF($Y1481&lt;&gt;"",$Y1481-$B1481,TODAY()-$B1481))</f>
        <v/>
      </c>
      <c r="AA1481" s="28">
        <f>IF($B1481="","",IF(IFERROR(INDEX(CONFIG!$L$4:$L$63,MATCH($V1481,CONFIG!$K$4:$K$63,0)),"NO")="SÍ",IF(OR($Y1481="",$X1481=""),"Resuelta",IF($Y1481&gt;$X1481,"Resuelta tarde","Resuelta a tiempo")),IF($X1481="","Sin clasificar",IF(TODAY()&gt;$X1481,"Vencida",IF(TODAY()&gt;=$X1481-1,"Por vencer","En plazo")))))</f>
        <v/>
      </c>
      <c r="AB1481" s="50" t="n"/>
      <c r="AC1481" s="50" t="n"/>
    </row>
    <row r="1482" ht="16" customHeight="1">
      <c r="A1482" s="28">
        <f>IF($B1482="","","N-"&amp;TEXT(ROW()-3,"0000"))</f>
        <v/>
      </c>
      <c r="B1482" s="47" t="n"/>
      <c r="C1482" s="48" t="n"/>
      <c r="D1482" s="48" t="n"/>
      <c r="E1482" s="28">
        <f>IF($C1482="","",IF($D1482="",IF($C1482="Interna","Sin guía (interna)","FALTA GUÍA"),IF(COUNTIFS(ENVIOS!$A$4:$A$3003,$D1482)=0,"NO EXISTE",IF(COUNTIFS(ENVIOS!$A$4:$A$3003,$D1482)&gt;1,"DUPLICADA","OK"))))</f>
        <v/>
      </c>
      <c r="F1482" s="28">
        <f>IF($D1482="","",IFERROR(INDEX(ENVIOS!$B$4:$B$3003,MATCH($D1482,ENVIOS!$A$4:$A$3003,0)),"—"))</f>
        <v/>
      </c>
      <c r="G1482" s="23">
        <f>IF($D1482="","",IFERROR(INDEX(ENVIOS!$D$4:$D$3003,MATCH($D1482,ENVIOS!$A$4:$A$3003,0)),"—"))</f>
        <v/>
      </c>
      <c r="H1482" s="23">
        <f>IF($D1482="","",IFERROR(INDEX(ENVIOS!$E$4:$E$3003,MATCH($D1482,ENVIOS!$A$4:$A$3003,0)),"—"))</f>
        <v/>
      </c>
      <c r="I1482" s="23">
        <f>IF($D1482="","",IFERROR(INDEX(ENVIOS!$F$4:$F$3003,MATCH($D1482,ENVIOS!$A$4:$A$3003,0)),"—"))</f>
        <v/>
      </c>
      <c r="J1482" s="23">
        <f>IF($D1482="","",IFERROR(INDEX(ENVIOS!$G$4:$G$3003,MATCH($D1482,ENVIOS!$A$4:$A$3003,0)),"—"))</f>
        <v/>
      </c>
      <c r="K1482" s="28">
        <f>IF($D1482="","",IFERROR(INDEX(ENVIOS!$H$4:$H$3003,MATCH($D1482,ENVIOS!$A$4:$A$3003,0)),"—"))</f>
        <v/>
      </c>
      <c r="L1482" s="49">
        <f>IF($D1482="","",IFERROR(INDEX(ENVIOS!$C$4:$C$3003,MATCH($D1482,ENVIOS!$A$4:$A$3003,0)),""))</f>
        <v/>
      </c>
      <c r="M1482" s="50" t="n"/>
      <c r="N1482" s="28">
        <f>IF($M1482="","",IFERROR(INDEX(CONFIG!$C$4:$C$63,MATCH($M1482,CONFIG!$A$4:$A$63,0)),"Media"))</f>
        <v/>
      </c>
      <c r="O1482" s="28">
        <f>IF($M1482="","",IF($C1482="Interna","NO",IFERROR(INDEX(CONFIG!$E$4:$E$63,MATCH($M1482,CONFIG!$A$4:$A$63,0)),"NO")))</f>
        <v/>
      </c>
      <c r="P1482" s="50" t="n"/>
      <c r="Q1482" s="50" t="n"/>
      <c r="R1482" s="28">
        <f>IF($Q1482="","",IFERROR(INDEX(CONFIG!$H$4:$H$63,MATCH($Q1482,CONFIG!$G$4:$G$63,0)),"Por definir"))</f>
        <v/>
      </c>
      <c r="S1482" s="28">
        <f>IF($Q1482="","",IFERROR(INDEX(CONFIG!$I$4:$I$63,MATCH($Q1482,CONFIG!$G$4:$G$63,0)),"Por definir"))</f>
        <v/>
      </c>
      <c r="T1482" s="51" t="n"/>
      <c r="U1482" s="52" t="n"/>
      <c r="V1482" s="50" t="n"/>
      <c r="W1482" s="50" t="n"/>
      <c r="X1482" s="49">
        <f>IF(OR($B1482="",$M1482=""),"",WORKDAY($B1482,IFERROR(INDEX(CONFIG!$D$4:$D$63,MATCH($M1482,CONFIG!$A$4:$A$63,0)),3)))</f>
        <v/>
      </c>
      <c r="Y1482" s="47" t="n"/>
      <c r="Z1482" s="24">
        <f>IF($B1482="","",IF($Y1482&lt;&gt;"",$Y1482-$B1482,TODAY()-$B1482))</f>
        <v/>
      </c>
      <c r="AA1482" s="28">
        <f>IF($B1482="","",IF(IFERROR(INDEX(CONFIG!$L$4:$L$63,MATCH($V1482,CONFIG!$K$4:$K$63,0)),"NO")="SÍ",IF(OR($Y1482="",$X1482=""),"Resuelta",IF($Y1482&gt;$X1482,"Resuelta tarde","Resuelta a tiempo")),IF($X1482="","Sin clasificar",IF(TODAY()&gt;$X1482,"Vencida",IF(TODAY()&gt;=$X1482-1,"Por vencer","En plazo")))))</f>
        <v/>
      </c>
      <c r="AB1482" s="50" t="n"/>
      <c r="AC1482" s="50" t="n"/>
    </row>
    <row r="1483" ht="16" customHeight="1">
      <c r="A1483" s="28">
        <f>IF($B1483="","","N-"&amp;TEXT(ROW()-3,"0000"))</f>
        <v/>
      </c>
      <c r="B1483" s="47" t="n"/>
      <c r="C1483" s="48" t="n"/>
      <c r="D1483" s="48" t="n"/>
      <c r="E1483" s="28">
        <f>IF($C1483="","",IF($D1483="",IF($C1483="Interna","Sin guía (interna)","FALTA GUÍA"),IF(COUNTIFS(ENVIOS!$A$4:$A$3003,$D1483)=0,"NO EXISTE",IF(COUNTIFS(ENVIOS!$A$4:$A$3003,$D1483)&gt;1,"DUPLICADA","OK"))))</f>
        <v/>
      </c>
      <c r="F1483" s="28">
        <f>IF($D1483="","",IFERROR(INDEX(ENVIOS!$B$4:$B$3003,MATCH($D1483,ENVIOS!$A$4:$A$3003,0)),"—"))</f>
        <v/>
      </c>
      <c r="G1483" s="23">
        <f>IF($D1483="","",IFERROR(INDEX(ENVIOS!$D$4:$D$3003,MATCH($D1483,ENVIOS!$A$4:$A$3003,0)),"—"))</f>
        <v/>
      </c>
      <c r="H1483" s="23">
        <f>IF($D1483="","",IFERROR(INDEX(ENVIOS!$E$4:$E$3003,MATCH($D1483,ENVIOS!$A$4:$A$3003,0)),"—"))</f>
        <v/>
      </c>
      <c r="I1483" s="23">
        <f>IF($D1483="","",IFERROR(INDEX(ENVIOS!$F$4:$F$3003,MATCH($D1483,ENVIOS!$A$4:$A$3003,0)),"—"))</f>
        <v/>
      </c>
      <c r="J1483" s="23">
        <f>IF($D1483="","",IFERROR(INDEX(ENVIOS!$G$4:$G$3003,MATCH($D1483,ENVIOS!$A$4:$A$3003,0)),"—"))</f>
        <v/>
      </c>
      <c r="K1483" s="28">
        <f>IF($D1483="","",IFERROR(INDEX(ENVIOS!$H$4:$H$3003,MATCH($D1483,ENVIOS!$A$4:$A$3003,0)),"—"))</f>
        <v/>
      </c>
      <c r="L1483" s="49">
        <f>IF($D1483="","",IFERROR(INDEX(ENVIOS!$C$4:$C$3003,MATCH($D1483,ENVIOS!$A$4:$A$3003,0)),""))</f>
        <v/>
      </c>
      <c r="M1483" s="50" t="n"/>
      <c r="N1483" s="28">
        <f>IF($M1483="","",IFERROR(INDEX(CONFIG!$C$4:$C$63,MATCH($M1483,CONFIG!$A$4:$A$63,0)),"Media"))</f>
        <v/>
      </c>
      <c r="O1483" s="28">
        <f>IF($M1483="","",IF($C1483="Interna","NO",IFERROR(INDEX(CONFIG!$E$4:$E$63,MATCH($M1483,CONFIG!$A$4:$A$63,0)),"NO")))</f>
        <v/>
      </c>
      <c r="P1483" s="50" t="n"/>
      <c r="Q1483" s="50" t="n"/>
      <c r="R1483" s="28">
        <f>IF($Q1483="","",IFERROR(INDEX(CONFIG!$H$4:$H$63,MATCH($Q1483,CONFIG!$G$4:$G$63,0)),"Por definir"))</f>
        <v/>
      </c>
      <c r="S1483" s="28">
        <f>IF($Q1483="","",IFERROR(INDEX(CONFIG!$I$4:$I$63,MATCH($Q1483,CONFIG!$G$4:$G$63,0)),"Por definir"))</f>
        <v/>
      </c>
      <c r="T1483" s="51" t="n"/>
      <c r="U1483" s="52" t="n"/>
      <c r="V1483" s="50" t="n"/>
      <c r="W1483" s="50" t="n"/>
      <c r="X1483" s="49">
        <f>IF(OR($B1483="",$M1483=""),"",WORKDAY($B1483,IFERROR(INDEX(CONFIG!$D$4:$D$63,MATCH($M1483,CONFIG!$A$4:$A$63,0)),3)))</f>
        <v/>
      </c>
      <c r="Y1483" s="47" t="n"/>
      <c r="Z1483" s="24">
        <f>IF($B1483="","",IF($Y1483&lt;&gt;"",$Y1483-$B1483,TODAY()-$B1483))</f>
        <v/>
      </c>
      <c r="AA1483" s="28">
        <f>IF($B1483="","",IF(IFERROR(INDEX(CONFIG!$L$4:$L$63,MATCH($V1483,CONFIG!$K$4:$K$63,0)),"NO")="SÍ",IF(OR($Y1483="",$X1483=""),"Resuelta",IF($Y1483&gt;$X1483,"Resuelta tarde","Resuelta a tiempo")),IF($X1483="","Sin clasificar",IF(TODAY()&gt;$X1483,"Vencida",IF(TODAY()&gt;=$X1483-1,"Por vencer","En plazo")))))</f>
        <v/>
      </c>
      <c r="AB1483" s="50" t="n"/>
      <c r="AC1483" s="50" t="n"/>
    </row>
    <row r="1484" ht="16" customHeight="1">
      <c r="A1484" s="28">
        <f>IF($B1484="","","N-"&amp;TEXT(ROW()-3,"0000"))</f>
        <v/>
      </c>
      <c r="B1484" s="47" t="n"/>
      <c r="C1484" s="48" t="n"/>
      <c r="D1484" s="48" t="n"/>
      <c r="E1484" s="28">
        <f>IF($C1484="","",IF($D1484="",IF($C1484="Interna","Sin guía (interna)","FALTA GUÍA"),IF(COUNTIFS(ENVIOS!$A$4:$A$3003,$D1484)=0,"NO EXISTE",IF(COUNTIFS(ENVIOS!$A$4:$A$3003,$D1484)&gt;1,"DUPLICADA","OK"))))</f>
        <v/>
      </c>
      <c r="F1484" s="28">
        <f>IF($D1484="","",IFERROR(INDEX(ENVIOS!$B$4:$B$3003,MATCH($D1484,ENVIOS!$A$4:$A$3003,0)),"—"))</f>
        <v/>
      </c>
      <c r="G1484" s="23">
        <f>IF($D1484="","",IFERROR(INDEX(ENVIOS!$D$4:$D$3003,MATCH($D1484,ENVIOS!$A$4:$A$3003,0)),"—"))</f>
        <v/>
      </c>
      <c r="H1484" s="23">
        <f>IF($D1484="","",IFERROR(INDEX(ENVIOS!$E$4:$E$3003,MATCH($D1484,ENVIOS!$A$4:$A$3003,0)),"—"))</f>
        <v/>
      </c>
      <c r="I1484" s="23">
        <f>IF($D1484="","",IFERROR(INDEX(ENVIOS!$F$4:$F$3003,MATCH($D1484,ENVIOS!$A$4:$A$3003,0)),"—"))</f>
        <v/>
      </c>
      <c r="J1484" s="23">
        <f>IF($D1484="","",IFERROR(INDEX(ENVIOS!$G$4:$G$3003,MATCH($D1484,ENVIOS!$A$4:$A$3003,0)),"—"))</f>
        <v/>
      </c>
      <c r="K1484" s="28">
        <f>IF($D1484="","",IFERROR(INDEX(ENVIOS!$H$4:$H$3003,MATCH($D1484,ENVIOS!$A$4:$A$3003,0)),"—"))</f>
        <v/>
      </c>
      <c r="L1484" s="49">
        <f>IF($D1484="","",IFERROR(INDEX(ENVIOS!$C$4:$C$3003,MATCH($D1484,ENVIOS!$A$4:$A$3003,0)),""))</f>
        <v/>
      </c>
      <c r="M1484" s="50" t="n"/>
      <c r="N1484" s="28">
        <f>IF($M1484="","",IFERROR(INDEX(CONFIG!$C$4:$C$63,MATCH($M1484,CONFIG!$A$4:$A$63,0)),"Media"))</f>
        <v/>
      </c>
      <c r="O1484" s="28">
        <f>IF($M1484="","",IF($C1484="Interna","NO",IFERROR(INDEX(CONFIG!$E$4:$E$63,MATCH($M1484,CONFIG!$A$4:$A$63,0)),"NO")))</f>
        <v/>
      </c>
      <c r="P1484" s="50" t="n"/>
      <c r="Q1484" s="50" t="n"/>
      <c r="R1484" s="28">
        <f>IF($Q1484="","",IFERROR(INDEX(CONFIG!$H$4:$H$63,MATCH($Q1484,CONFIG!$G$4:$G$63,0)),"Por definir"))</f>
        <v/>
      </c>
      <c r="S1484" s="28">
        <f>IF($Q1484="","",IFERROR(INDEX(CONFIG!$I$4:$I$63,MATCH($Q1484,CONFIG!$G$4:$G$63,0)),"Por definir"))</f>
        <v/>
      </c>
      <c r="T1484" s="51" t="n"/>
      <c r="U1484" s="52" t="n"/>
      <c r="V1484" s="50" t="n"/>
      <c r="W1484" s="50" t="n"/>
      <c r="X1484" s="49">
        <f>IF(OR($B1484="",$M1484=""),"",WORKDAY($B1484,IFERROR(INDEX(CONFIG!$D$4:$D$63,MATCH($M1484,CONFIG!$A$4:$A$63,0)),3)))</f>
        <v/>
      </c>
      <c r="Y1484" s="47" t="n"/>
      <c r="Z1484" s="24">
        <f>IF($B1484="","",IF($Y1484&lt;&gt;"",$Y1484-$B1484,TODAY()-$B1484))</f>
        <v/>
      </c>
      <c r="AA1484" s="28">
        <f>IF($B1484="","",IF(IFERROR(INDEX(CONFIG!$L$4:$L$63,MATCH($V1484,CONFIG!$K$4:$K$63,0)),"NO")="SÍ",IF(OR($Y1484="",$X1484=""),"Resuelta",IF($Y1484&gt;$X1484,"Resuelta tarde","Resuelta a tiempo")),IF($X1484="","Sin clasificar",IF(TODAY()&gt;$X1484,"Vencida",IF(TODAY()&gt;=$X1484-1,"Por vencer","En plazo")))))</f>
        <v/>
      </c>
      <c r="AB1484" s="50" t="n"/>
      <c r="AC1484" s="50" t="n"/>
    </row>
    <row r="1485" ht="16" customHeight="1">
      <c r="A1485" s="28">
        <f>IF($B1485="","","N-"&amp;TEXT(ROW()-3,"0000"))</f>
        <v/>
      </c>
      <c r="B1485" s="47" t="n"/>
      <c r="C1485" s="48" t="n"/>
      <c r="D1485" s="48" t="n"/>
      <c r="E1485" s="28">
        <f>IF($C1485="","",IF($D1485="",IF($C1485="Interna","Sin guía (interna)","FALTA GUÍA"),IF(COUNTIFS(ENVIOS!$A$4:$A$3003,$D1485)=0,"NO EXISTE",IF(COUNTIFS(ENVIOS!$A$4:$A$3003,$D1485)&gt;1,"DUPLICADA","OK"))))</f>
        <v/>
      </c>
      <c r="F1485" s="28">
        <f>IF($D1485="","",IFERROR(INDEX(ENVIOS!$B$4:$B$3003,MATCH($D1485,ENVIOS!$A$4:$A$3003,0)),"—"))</f>
        <v/>
      </c>
      <c r="G1485" s="23">
        <f>IF($D1485="","",IFERROR(INDEX(ENVIOS!$D$4:$D$3003,MATCH($D1485,ENVIOS!$A$4:$A$3003,0)),"—"))</f>
        <v/>
      </c>
      <c r="H1485" s="23">
        <f>IF($D1485="","",IFERROR(INDEX(ENVIOS!$E$4:$E$3003,MATCH($D1485,ENVIOS!$A$4:$A$3003,0)),"—"))</f>
        <v/>
      </c>
      <c r="I1485" s="23">
        <f>IF($D1485="","",IFERROR(INDEX(ENVIOS!$F$4:$F$3003,MATCH($D1485,ENVIOS!$A$4:$A$3003,0)),"—"))</f>
        <v/>
      </c>
      <c r="J1485" s="23">
        <f>IF($D1485="","",IFERROR(INDEX(ENVIOS!$G$4:$G$3003,MATCH($D1485,ENVIOS!$A$4:$A$3003,0)),"—"))</f>
        <v/>
      </c>
      <c r="K1485" s="28">
        <f>IF($D1485="","",IFERROR(INDEX(ENVIOS!$H$4:$H$3003,MATCH($D1485,ENVIOS!$A$4:$A$3003,0)),"—"))</f>
        <v/>
      </c>
      <c r="L1485" s="49">
        <f>IF($D1485="","",IFERROR(INDEX(ENVIOS!$C$4:$C$3003,MATCH($D1485,ENVIOS!$A$4:$A$3003,0)),""))</f>
        <v/>
      </c>
      <c r="M1485" s="50" t="n"/>
      <c r="N1485" s="28">
        <f>IF($M1485="","",IFERROR(INDEX(CONFIG!$C$4:$C$63,MATCH($M1485,CONFIG!$A$4:$A$63,0)),"Media"))</f>
        <v/>
      </c>
      <c r="O1485" s="28">
        <f>IF($M1485="","",IF($C1485="Interna","NO",IFERROR(INDEX(CONFIG!$E$4:$E$63,MATCH($M1485,CONFIG!$A$4:$A$63,0)),"NO")))</f>
        <v/>
      </c>
      <c r="P1485" s="50" t="n"/>
      <c r="Q1485" s="50" t="n"/>
      <c r="R1485" s="28">
        <f>IF($Q1485="","",IFERROR(INDEX(CONFIG!$H$4:$H$63,MATCH($Q1485,CONFIG!$G$4:$G$63,0)),"Por definir"))</f>
        <v/>
      </c>
      <c r="S1485" s="28">
        <f>IF($Q1485="","",IFERROR(INDEX(CONFIG!$I$4:$I$63,MATCH($Q1485,CONFIG!$G$4:$G$63,0)),"Por definir"))</f>
        <v/>
      </c>
      <c r="T1485" s="51" t="n"/>
      <c r="U1485" s="52" t="n"/>
      <c r="V1485" s="50" t="n"/>
      <c r="W1485" s="50" t="n"/>
      <c r="X1485" s="49">
        <f>IF(OR($B1485="",$M1485=""),"",WORKDAY($B1485,IFERROR(INDEX(CONFIG!$D$4:$D$63,MATCH($M1485,CONFIG!$A$4:$A$63,0)),3)))</f>
        <v/>
      </c>
      <c r="Y1485" s="47" t="n"/>
      <c r="Z1485" s="24">
        <f>IF($B1485="","",IF($Y1485&lt;&gt;"",$Y1485-$B1485,TODAY()-$B1485))</f>
        <v/>
      </c>
      <c r="AA1485" s="28">
        <f>IF($B1485="","",IF(IFERROR(INDEX(CONFIG!$L$4:$L$63,MATCH($V1485,CONFIG!$K$4:$K$63,0)),"NO")="SÍ",IF(OR($Y1485="",$X1485=""),"Resuelta",IF($Y1485&gt;$X1485,"Resuelta tarde","Resuelta a tiempo")),IF($X1485="","Sin clasificar",IF(TODAY()&gt;$X1485,"Vencida",IF(TODAY()&gt;=$X1485-1,"Por vencer","En plazo")))))</f>
        <v/>
      </c>
      <c r="AB1485" s="50" t="n"/>
      <c r="AC1485" s="50" t="n"/>
    </row>
    <row r="1486" ht="16" customHeight="1">
      <c r="A1486" s="28">
        <f>IF($B1486="","","N-"&amp;TEXT(ROW()-3,"0000"))</f>
        <v/>
      </c>
      <c r="B1486" s="47" t="n"/>
      <c r="C1486" s="48" t="n"/>
      <c r="D1486" s="48" t="n"/>
      <c r="E1486" s="28">
        <f>IF($C1486="","",IF($D1486="",IF($C1486="Interna","Sin guía (interna)","FALTA GUÍA"),IF(COUNTIFS(ENVIOS!$A$4:$A$3003,$D1486)=0,"NO EXISTE",IF(COUNTIFS(ENVIOS!$A$4:$A$3003,$D1486)&gt;1,"DUPLICADA","OK"))))</f>
        <v/>
      </c>
      <c r="F1486" s="28">
        <f>IF($D1486="","",IFERROR(INDEX(ENVIOS!$B$4:$B$3003,MATCH($D1486,ENVIOS!$A$4:$A$3003,0)),"—"))</f>
        <v/>
      </c>
      <c r="G1486" s="23">
        <f>IF($D1486="","",IFERROR(INDEX(ENVIOS!$D$4:$D$3003,MATCH($D1486,ENVIOS!$A$4:$A$3003,0)),"—"))</f>
        <v/>
      </c>
      <c r="H1486" s="23">
        <f>IF($D1486="","",IFERROR(INDEX(ENVIOS!$E$4:$E$3003,MATCH($D1486,ENVIOS!$A$4:$A$3003,0)),"—"))</f>
        <v/>
      </c>
      <c r="I1486" s="23">
        <f>IF($D1486="","",IFERROR(INDEX(ENVIOS!$F$4:$F$3003,MATCH($D1486,ENVIOS!$A$4:$A$3003,0)),"—"))</f>
        <v/>
      </c>
      <c r="J1486" s="23">
        <f>IF($D1486="","",IFERROR(INDEX(ENVIOS!$G$4:$G$3003,MATCH($D1486,ENVIOS!$A$4:$A$3003,0)),"—"))</f>
        <v/>
      </c>
      <c r="K1486" s="28">
        <f>IF($D1486="","",IFERROR(INDEX(ENVIOS!$H$4:$H$3003,MATCH($D1486,ENVIOS!$A$4:$A$3003,0)),"—"))</f>
        <v/>
      </c>
      <c r="L1486" s="49">
        <f>IF($D1486="","",IFERROR(INDEX(ENVIOS!$C$4:$C$3003,MATCH($D1486,ENVIOS!$A$4:$A$3003,0)),""))</f>
        <v/>
      </c>
      <c r="M1486" s="50" t="n"/>
      <c r="N1486" s="28">
        <f>IF($M1486="","",IFERROR(INDEX(CONFIG!$C$4:$C$63,MATCH($M1486,CONFIG!$A$4:$A$63,0)),"Media"))</f>
        <v/>
      </c>
      <c r="O1486" s="28">
        <f>IF($M1486="","",IF($C1486="Interna","NO",IFERROR(INDEX(CONFIG!$E$4:$E$63,MATCH($M1486,CONFIG!$A$4:$A$63,0)),"NO")))</f>
        <v/>
      </c>
      <c r="P1486" s="50" t="n"/>
      <c r="Q1486" s="50" t="n"/>
      <c r="R1486" s="28">
        <f>IF($Q1486="","",IFERROR(INDEX(CONFIG!$H$4:$H$63,MATCH($Q1486,CONFIG!$G$4:$G$63,0)),"Por definir"))</f>
        <v/>
      </c>
      <c r="S1486" s="28">
        <f>IF($Q1486="","",IFERROR(INDEX(CONFIG!$I$4:$I$63,MATCH($Q1486,CONFIG!$G$4:$G$63,0)),"Por definir"))</f>
        <v/>
      </c>
      <c r="T1486" s="51" t="n"/>
      <c r="U1486" s="52" t="n"/>
      <c r="V1486" s="50" t="n"/>
      <c r="W1486" s="50" t="n"/>
      <c r="X1486" s="49">
        <f>IF(OR($B1486="",$M1486=""),"",WORKDAY($B1486,IFERROR(INDEX(CONFIG!$D$4:$D$63,MATCH($M1486,CONFIG!$A$4:$A$63,0)),3)))</f>
        <v/>
      </c>
      <c r="Y1486" s="47" t="n"/>
      <c r="Z1486" s="24">
        <f>IF($B1486="","",IF($Y1486&lt;&gt;"",$Y1486-$B1486,TODAY()-$B1486))</f>
        <v/>
      </c>
      <c r="AA1486" s="28">
        <f>IF($B1486="","",IF(IFERROR(INDEX(CONFIG!$L$4:$L$63,MATCH($V1486,CONFIG!$K$4:$K$63,0)),"NO")="SÍ",IF(OR($Y1486="",$X1486=""),"Resuelta",IF($Y1486&gt;$X1486,"Resuelta tarde","Resuelta a tiempo")),IF($X1486="","Sin clasificar",IF(TODAY()&gt;$X1486,"Vencida",IF(TODAY()&gt;=$X1486-1,"Por vencer","En plazo")))))</f>
        <v/>
      </c>
      <c r="AB1486" s="50" t="n"/>
      <c r="AC1486" s="50" t="n"/>
    </row>
    <row r="1487" ht="16" customHeight="1">
      <c r="A1487" s="28">
        <f>IF($B1487="","","N-"&amp;TEXT(ROW()-3,"0000"))</f>
        <v/>
      </c>
      <c r="B1487" s="47" t="n"/>
      <c r="C1487" s="48" t="n"/>
      <c r="D1487" s="48" t="n"/>
      <c r="E1487" s="28">
        <f>IF($C1487="","",IF($D1487="",IF($C1487="Interna","Sin guía (interna)","FALTA GUÍA"),IF(COUNTIFS(ENVIOS!$A$4:$A$3003,$D1487)=0,"NO EXISTE",IF(COUNTIFS(ENVIOS!$A$4:$A$3003,$D1487)&gt;1,"DUPLICADA","OK"))))</f>
        <v/>
      </c>
      <c r="F1487" s="28">
        <f>IF($D1487="","",IFERROR(INDEX(ENVIOS!$B$4:$B$3003,MATCH($D1487,ENVIOS!$A$4:$A$3003,0)),"—"))</f>
        <v/>
      </c>
      <c r="G1487" s="23">
        <f>IF($D1487="","",IFERROR(INDEX(ENVIOS!$D$4:$D$3003,MATCH($D1487,ENVIOS!$A$4:$A$3003,0)),"—"))</f>
        <v/>
      </c>
      <c r="H1487" s="23">
        <f>IF($D1487="","",IFERROR(INDEX(ENVIOS!$E$4:$E$3003,MATCH($D1487,ENVIOS!$A$4:$A$3003,0)),"—"))</f>
        <v/>
      </c>
      <c r="I1487" s="23">
        <f>IF($D1487="","",IFERROR(INDEX(ENVIOS!$F$4:$F$3003,MATCH($D1487,ENVIOS!$A$4:$A$3003,0)),"—"))</f>
        <v/>
      </c>
      <c r="J1487" s="23">
        <f>IF($D1487="","",IFERROR(INDEX(ENVIOS!$G$4:$G$3003,MATCH($D1487,ENVIOS!$A$4:$A$3003,0)),"—"))</f>
        <v/>
      </c>
      <c r="K1487" s="28">
        <f>IF($D1487="","",IFERROR(INDEX(ENVIOS!$H$4:$H$3003,MATCH($D1487,ENVIOS!$A$4:$A$3003,0)),"—"))</f>
        <v/>
      </c>
      <c r="L1487" s="49">
        <f>IF($D1487="","",IFERROR(INDEX(ENVIOS!$C$4:$C$3003,MATCH($D1487,ENVIOS!$A$4:$A$3003,0)),""))</f>
        <v/>
      </c>
      <c r="M1487" s="50" t="n"/>
      <c r="N1487" s="28">
        <f>IF($M1487="","",IFERROR(INDEX(CONFIG!$C$4:$C$63,MATCH($M1487,CONFIG!$A$4:$A$63,0)),"Media"))</f>
        <v/>
      </c>
      <c r="O1487" s="28">
        <f>IF($M1487="","",IF($C1487="Interna","NO",IFERROR(INDEX(CONFIG!$E$4:$E$63,MATCH($M1487,CONFIG!$A$4:$A$63,0)),"NO")))</f>
        <v/>
      </c>
      <c r="P1487" s="50" t="n"/>
      <c r="Q1487" s="50" t="n"/>
      <c r="R1487" s="28">
        <f>IF($Q1487="","",IFERROR(INDEX(CONFIG!$H$4:$H$63,MATCH($Q1487,CONFIG!$G$4:$G$63,0)),"Por definir"))</f>
        <v/>
      </c>
      <c r="S1487" s="28">
        <f>IF($Q1487="","",IFERROR(INDEX(CONFIG!$I$4:$I$63,MATCH($Q1487,CONFIG!$G$4:$G$63,0)),"Por definir"))</f>
        <v/>
      </c>
      <c r="T1487" s="51" t="n"/>
      <c r="U1487" s="52" t="n"/>
      <c r="V1487" s="50" t="n"/>
      <c r="W1487" s="50" t="n"/>
      <c r="X1487" s="49">
        <f>IF(OR($B1487="",$M1487=""),"",WORKDAY($B1487,IFERROR(INDEX(CONFIG!$D$4:$D$63,MATCH($M1487,CONFIG!$A$4:$A$63,0)),3)))</f>
        <v/>
      </c>
      <c r="Y1487" s="47" t="n"/>
      <c r="Z1487" s="24">
        <f>IF($B1487="","",IF($Y1487&lt;&gt;"",$Y1487-$B1487,TODAY()-$B1487))</f>
        <v/>
      </c>
      <c r="AA1487" s="28">
        <f>IF($B1487="","",IF(IFERROR(INDEX(CONFIG!$L$4:$L$63,MATCH($V1487,CONFIG!$K$4:$K$63,0)),"NO")="SÍ",IF(OR($Y1487="",$X1487=""),"Resuelta",IF($Y1487&gt;$X1487,"Resuelta tarde","Resuelta a tiempo")),IF($X1487="","Sin clasificar",IF(TODAY()&gt;$X1487,"Vencida",IF(TODAY()&gt;=$X1487-1,"Por vencer","En plazo")))))</f>
        <v/>
      </c>
      <c r="AB1487" s="50" t="n"/>
      <c r="AC1487" s="50" t="n"/>
    </row>
    <row r="1488" ht="16" customHeight="1">
      <c r="A1488" s="28">
        <f>IF($B1488="","","N-"&amp;TEXT(ROW()-3,"0000"))</f>
        <v/>
      </c>
      <c r="B1488" s="47" t="n"/>
      <c r="C1488" s="48" t="n"/>
      <c r="D1488" s="48" t="n"/>
      <c r="E1488" s="28">
        <f>IF($C1488="","",IF($D1488="",IF($C1488="Interna","Sin guía (interna)","FALTA GUÍA"),IF(COUNTIFS(ENVIOS!$A$4:$A$3003,$D1488)=0,"NO EXISTE",IF(COUNTIFS(ENVIOS!$A$4:$A$3003,$D1488)&gt;1,"DUPLICADA","OK"))))</f>
        <v/>
      </c>
      <c r="F1488" s="28">
        <f>IF($D1488="","",IFERROR(INDEX(ENVIOS!$B$4:$B$3003,MATCH($D1488,ENVIOS!$A$4:$A$3003,0)),"—"))</f>
        <v/>
      </c>
      <c r="G1488" s="23">
        <f>IF($D1488="","",IFERROR(INDEX(ENVIOS!$D$4:$D$3003,MATCH($D1488,ENVIOS!$A$4:$A$3003,0)),"—"))</f>
        <v/>
      </c>
      <c r="H1488" s="23">
        <f>IF($D1488="","",IFERROR(INDEX(ENVIOS!$E$4:$E$3003,MATCH($D1488,ENVIOS!$A$4:$A$3003,0)),"—"))</f>
        <v/>
      </c>
      <c r="I1488" s="23">
        <f>IF($D1488="","",IFERROR(INDEX(ENVIOS!$F$4:$F$3003,MATCH($D1488,ENVIOS!$A$4:$A$3003,0)),"—"))</f>
        <v/>
      </c>
      <c r="J1488" s="23">
        <f>IF($D1488="","",IFERROR(INDEX(ENVIOS!$G$4:$G$3003,MATCH($D1488,ENVIOS!$A$4:$A$3003,0)),"—"))</f>
        <v/>
      </c>
      <c r="K1488" s="28">
        <f>IF($D1488="","",IFERROR(INDEX(ENVIOS!$H$4:$H$3003,MATCH($D1488,ENVIOS!$A$4:$A$3003,0)),"—"))</f>
        <v/>
      </c>
      <c r="L1488" s="49">
        <f>IF($D1488="","",IFERROR(INDEX(ENVIOS!$C$4:$C$3003,MATCH($D1488,ENVIOS!$A$4:$A$3003,0)),""))</f>
        <v/>
      </c>
      <c r="M1488" s="50" t="n"/>
      <c r="N1488" s="28">
        <f>IF($M1488="","",IFERROR(INDEX(CONFIG!$C$4:$C$63,MATCH($M1488,CONFIG!$A$4:$A$63,0)),"Media"))</f>
        <v/>
      </c>
      <c r="O1488" s="28">
        <f>IF($M1488="","",IF($C1488="Interna","NO",IFERROR(INDEX(CONFIG!$E$4:$E$63,MATCH($M1488,CONFIG!$A$4:$A$63,0)),"NO")))</f>
        <v/>
      </c>
      <c r="P1488" s="50" t="n"/>
      <c r="Q1488" s="50" t="n"/>
      <c r="R1488" s="28">
        <f>IF($Q1488="","",IFERROR(INDEX(CONFIG!$H$4:$H$63,MATCH($Q1488,CONFIG!$G$4:$G$63,0)),"Por definir"))</f>
        <v/>
      </c>
      <c r="S1488" s="28">
        <f>IF($Q1488="","",IFERROR(INDEX(CONFIG!$I$4:$I$63,MATCH($Q1488,CONFIG!$G$4:$G$63,0)),"Por definir"))</f>
        <v/>
      </c>
      <c r="T1488" s="51" t="n"/>
      <c r="U1488" s="52" t="n"/>
      <c r="V1488" s="50" t="n"/>
      <c r="W1488" s="50" t="n"/>
      <c r="X1488" s="49">
        <f>IF(OR($B1488="",$M1488=""),"",WORKDAY($B1488,IFERROR(INDEX(CONFIG!$D$4:$D$63,MATCH($M1488,CONFIG!$A$4:$A$63,0)),3)))</f>
        <v/>
      </c>
      <c r="Y1488" s="47" t="n"/>
      <c r="Z1488" s="24">
        <f>IF($B1488="","",IF($Y1488&lt;&gt;"",$Y1488-$B1488,TODAY()-$B1488))</f>
        <v/>
      </c>
      <c r="AA1488" s="28">
        <f>IF($B1488="","",IF(IFERROR(INDEX(CONFIG!$L$4:$L$63,MATCH($V1488,CONFIG!$K$4:$K$63,0)),"NO")="SÍ",IF(OR($Y1488="",$X1488=""),"Resuelta",IF($Y1488&gt;$X1488,"Resuelta tarde","Resuelta a tiempo")),IF($X1488="","Sin clasificar",IF(TODAY()&gt;$X1488,"Vencida",IF(TODAY()&gt;=$X1488-1,"Por vencer","En plazo")))))</f>
        <v/>
      </c>
      <c r="AB1488" s="50" t="n"/>
      <c r="AC1488" s="50" t="n"/>
    </row>
    <row r="1489" ht="16" customHeight="1">
      <c r="A1489" s="28">
        <f>IF($B1489="","","N-"&amp;TEXT(ROW()-3,"0000"))</f>
        <v/>
      </c>
      <c r="B1489" s="47" t="n"/>
      <c r="C1489" s="48" t="n"/>
      <c r="D1489" s="48" t="n"/>
      <c r="E1489" s="28">
        <f>IF($C1489="","",IF($D1489="",IF($C1489="Interna","Sin guía (interna)","FALTA GUÍA"),IF(COUNTIFS(ENVIOS!$A$4:$A$3003,$D1489)=0,"NO EXISTE",IF(COUNTIFS(ENVIOS!$A$4:$A$3003,$D1489)&gt;1,"DUPLICADA","OK"))))</f>
        <v/>
      </c>
      <c r="F1489" s="28">
        <f>IF($D1489="","",IFERROR(INDEX(ENVIOS!$B$4:$B$3003,MATCH($D1489,ENVIOS!$A$4:$A$3003,0)),"—"))</f>
        <v/>
      </c>
      <c r="G1489" s="23">
        <f>IF($D1489="","",IFERROR(INDEX(ENVIOS!$D$4:$D$3003,MATCH($D1489,ENVIOS!$A$4:$A$3003,0)),"—"))</f>
        <v/>
      </c>
      <c r="H1489" s="23">
        <f>IF($D1489="","",IFERROR(INDEX(ENVIOS!$E$4:$E$3003,MATCH($D1489,ENVIOS!$A$4:$A$3003,0)),"—"))</f>
        <v/>
      </c>
      <c r="I1489" s="23">
        <f>IF($D1489="","",IFERROR(INDEX(ENVIOS!$F$4:$F$3003,MATCH($D1489,ENVIOS!$A$4:$A$3003,0)),"—"))</f>
        <v/>
      </c>
      <c r="J1489" s="23">
        <f>IF($D1489="","",IFERROR(INDEX(ENVIOS!$G$4:$G$3003,MATCH($D1489,ENVIOS!$A$4:$A$3003,0)),"—"))</f>
        <v/>
      </c>
      <c r="K1489" s="28">
        <f>IF($D1489="","",IFERROR(INDEX(ENVIOS!$H$4:$H$3003,MATCH($D1489,ENVIOS!$A$4:$A$3003,0)),"—"))</f>
        <v/>
      </c>
      <c r="L1489" s="49">
        <f>IF($D1489="","",IFERROR(INDEX(ENVIOS!$C$4:$C$3003,MATCH($D1489,ENVIOS!$A$4:$A$3003,0)),""))</f>
        <v/>
      </c>
      <c r="M1489" s="50" t="n"/>
      <c r="N1489" s="28">
        <f>IF($M1489="","",IFERROR(INDEX(CONFIG!$C$4:$C$63,MATCH($M1489,CONFIG!$A$4:$A$63,0)),"Media"))</f>
        <v/>
      </c>
      <c r="O1489" s="28">
        <f>IF($M1489="","",IF($C1489="Interna","NO",IFERROR(INDEX(CONFIG!$E$4:$E$63,MATCH($M1489,CONFIG!$A$4:$A$63,0)),"NO")))</f>
        <v/>
      </c>
      <c r="P1489" s="50" t="n"/>
      <c r="Q1489" s="50" t="n"/>
      <c r="R1489" s="28">
        <f>IF($Q1489="","",IFERROR(INDEX(CONFIG!$H$4:$H$63,MATCH($Q1489,CONFIG!$G$4:$G$63,0)),"Por definir"))</f>
        <v/>
      </c>
      <c r="S1489" s="28">
        <f>IF($Q1489="","",IFERROR(INDEX(CONFIG!$I$4:$I$63,MATCH($Q1489,CONFIG!$G$4:$G$63,0)),"Por definir"))</f>
        <v/>
      </c>
      <c r="T1489" s="51" t="n"/>
      <c r="U1489" s="52" t="n"/>
      <c r="V1489" s="50" t="n"/>
      <c r="W1489" s="50" t="n"/>
      <c r="X1489" s="49">
        <f>IF(OR($B1489="",$M1489=""),"",WORKDAY($B1489,IFERROR(INDEX(CONFIG!$D$4:$D$63,MATCH($M1489,CONFIG!$A$4:$A$63,0)),3)))</f>
        <v/>
      </c>
      <c r="Y1489" s="47" t="n"/>
      <c r="Z1489" s="24">
        <f>IF($B1489="","",IF($Y1489&lt;&gt;"",$Y1489-$B1489,TODAY()-$B1489))</f>
        <v/>
      </c>
      <c r="AA1489" s="28">
        <f>IF($B1489="","",IF(IFERROR(INDEX(CONFIG!$L$4:$L$63,MATCH($V1489,CONFIG!$K$4:$K$63,0)),"NO")="SÍ",IF(OR($Y1489="",$X1489=""),"Resuelta",IF($Y1489&gt;$X1489,"Resuelta tarde","Resuelta a tiempo")),IF($X1489="","Sin clasificar",IF(TODAY()&gt;$X1489,"Vencida",IF(TODAY()&gt;=$X1489-1,"Por vencer","En plazo")))))</f>
        <v/>
      </c>
      <c r="AB1489" s="50" t="n"/>
      <c r="AC1489" s="50" t="n"/>
    </row>
    <row r="1490" ht="16" customHeight="1">
      <c r="A1490" s="28">
        <f>IF($B1490="","","N-"&amp;TEXT(ROW()-3,"0000"))</f>
        <v/>
      </c>
      <c r="B1490" s="47" t="n"/>
      <c r="C1490" s="48" t="n"/>
      <c r="D1490" s="48" t="n"/>
      <c r="E1490" s="28">
        <f>IF($C1490="","",IF($D1490="",IF($C1490="Interna","Sin guía (interna)","FALTA GUÍA"),IF(COUNTIFS(ENVIOS!$A$4:$A$3003,$D1490)=0,"NO EXISTE",IF(COUNTIFS(ENVIOS!$A$4:$A$3003,$D1490)&gt;1,"DUPLICADA","OK"))))</f>
        <v/>
      </c>
      <c r="F1490" s="28">
        <f>IF($D1490="","",IFERROR(INDEX(ENVIOS!$B$4:$B$3003,MATCH($D1490,ENVIOS!$A$4:$A$3003,0)),"—"))</f>
        <v/>
      </c>
      <c r="G1490" s="23">
        <f>IF($D1490="","",IFERROR(INDEX(ENVIOS!$D$4:$D$3003,MATCH($D1490,ENVIOS!$A$4:$A$3003,0)),"—"))</f>
        <v/>
      </c>
      <c r="H1490" s="23">
        <f>IF($D1490="","",IFERROR(INDEX(ENVIOS!$E$4:$E$3003,MATCH($D1490,ENVIOS!$A$4:$A$3003,0)),"—"))</f>
        <v/>
      </c>
      <c r="I1490" s="23">
        <f>IF($D1490="","",IFERROR(INDEX(ENVIOS!$F$4:$F$3003,MATCH($D1490,ENVIOS!$A$4:$A$3003,0)),"—"))</f>
        <v/>
      </c>
      <c r="J1490" s="23">
        <f>IF($D1490="","",IFERROR(INDEX(ENVIOS!$G$4:$G$3003,MATCH($D1490,ENVIOS!$A$4:$A$3003,0)),"—"))</f>
        <v/>
      </c>
      <c r="K1490" s="28">
        <f>IF($D1490="","",IFERROR(INDEX(ENVIOS!$H$4:$H$3003,MATCH($D1490,ENVIOS!$A$4:$A$3003,0)),"—"))</f>
        <v/>
      </c>
      <c r="L1490" s="49">
        <f>IF($D1490="","",IFERROR(INDEX(ENVIOS!$C$4:$C$3003,MATCH($D1490,ENVIOS!$A$4:$A$3003,0)),""))</f>
        <v/>
      </c>
      <c r="M1490" s="50" t="n"/>
      <c r="N1490" s="28">
        <f>IF($M1490="","",IFERROR(INDEX(CONFIG!$C$4:$C$63,MATCH($M1490,CONFIG!$A$4:$A$63,0)),"Media"))</f>
        <v/>
      </c>
      <c r="O1490" s="28">
        <f>IF($M1490="","",IF($C1490="Interna","NO",IFERROR(INDEX(CONFIG!$E$4:$E$63,MATCH($M1490,CONFIG!$A$4:$A$63,0)),"NO")))</f>
        <v/>
      </c>
      <c r="P1490" s="50" t="n"/>
      <c r="Q1490" s="50" t="n"/>
      <c r="R1490" s="28">
        <f>IF($Q1490="","",IFERROR(INDEX(CONFIG!$H$4:$H$63,MATCH($Q1490,CONFIG!$G$4:$G$63,0)),"Por definir"))</f>
        <v/>
      </c>
      <c r="S1490" s="28">
        <f>IF($Q1490="","",IFERROR(INDEX(CONFIG!$I$4:$I$63,MATCH($Q1490,CONFIG!$G$4:$G$63,0)),"Por definir"))</f>
        <v/>
      </c>
      <c r="T1490" s="51" t="n"/>
      <c r="U1490" s="52" t="n"/>
      <c r="V1490" s="50" t="n"/>
      <c r="W1490" s="50" t="n"/>
      <c r="X1490" s="49">
        <f>IF(OR($B1490="",$M1490=""),"",WORKDAY($B1490,IFERROR(INDEX(CONFIG!$D$4:$D$63,MATCH($M1490,CONFIG!$A$4:$A$63,0)),3)))</f>
        <v/>
      </c>
      <c r="Y1490" s="47" t="n"/>
      <c r="Z1490" s="24">
        <f>IF($B1490="","",IF($Y1490&lt;&gt;"",$Y1490-$B1490,TODAY()-$B1490))</f>
        <v/>
      </c>
      <c r="AA1490" s="28">
        <f>IF($B1490="","",IF(IFERROR(INDEX(CONFIG!$L$4:$L$63,MATCH($V1490,CONFIG!$K$4:$K$63,0)),"NO")="SÍ",IF(OR($Y1490="",$X1490=""),"Resuelta",IF($Y1490&gt;$X1490,"Resuelta tarde","Resuelta a tiempo")),IF($X1490="","Sin clasificar",IF(TODAY()&gt;$X1490,"Vencida",IF(TODAY()&gt;=$X1490-1,"Por vencer","En plazo")))))</f>
        <v/>
      </c>
      <c r="AB1490" s="50" t="n"/>
      <c r="AC1490" s="50" t="n"/>
    </row>
    <row r="1491" ht="16" customHeight="1">
      <c r="A1491" s="28">
        <f>IF($B1491="","","N-"&amp;TEXT(ROW()-3,"0000"))</f>
        <v/>
      </c>
      <c r="B1491" s="47" t="n"/>
      <c r="C1491" s="48" t="n"/>
      <c r="D1491" s="48" t="n"/>
      <c r="E1491" s="28">
        <f>IF($C1491="","",IF($D1491="",IF($C1491="Interna","Sin guía (interna)","FALTA GUÍA"),IF(COUNTIFS(ENVIOS!$A$4:$A$3003,$D1491)=0,"NO EXISTE",IF(COUNTIFS(ENVIOS!$A$4:$A$3003,$D1491)&gt;1,"DUPLICADA","OK"))))</f>
        <v/>
      </c>
      <c r="F1491" s="28">
        <f>IF($D1491="","",IFERROR(INDEX(ENVIOS!$B$4:$B$3003,MATCH($D1491,ENVIOS!$A$4:$A$3003,0)),"—"))</f>
        <v/>
      </c>
      <c r="G1491" s="23">
        <f>IF($D1491="","",IFERROR(INDEX(ENVIOS!$D$4:$D$3003,MATCH($D1491,ENVIOS!$A$4:$A$3003,0)),"—"))</f>
        <v/>
      </c>
      <c r="H1491" s="23">
        <f>IF($D1491="","",IFERROR(INDEX(ENVIOS!$E$4:$E$3003,MATCH($D1491,ENVIOS!$A$4:$A$3003,0)),"—"))</f>
        <v/>
      </c>
      <c r="I1491" s="23">
        <f>IF($D1491="","",IFERROR(INDEX(ENVIOS!$F$4:$F$3003,MATCH($D1491,ENVIOS!$A$4:$A$3003,0)),"—"))</f>
        <v/>
      </c>
      <c r="J1491" s="23">
        <f>IF($D1491="","",IFERROR(INDEX(ENVIOS!$G$4:$G$3003,MATCH($D1491,ENVIOS!$A$4:$A$3003,0)),"—"))</f>
        <v/>
      </c>
      <c r="K1491" s="28">
        <f>IF($D1491="","",IFERROR(INDEX(ENVIOS!$H$4:$H$3003,MATCH($D1491,ENVIOS!$A$4:$A$3003,0)),"—"))</f>
        <v/>
      </c>
      <c r="L1491" s="49">
        <f>IF($D1491="","",IFERROR(INDEX(ENVIOS!$C$4:$C$3003,MATCH($D1491,ENVIOS!$A$4:$A$3003,0)),""))</f>
        <v/>
      </c>
      <c r="M1491" s="50" t="n"/>
      <c r="N1491" s="28">
        <f>IF($M1491="","",IFERROR(INDEX(CONFIG!$C$4:$C$63,MATCH($M1491,CONFIG!$A$4:$A$63,0)),"Media"))</f>
        <v/>
      </c>
      <c r="O1491" s="28">
        <f>IF($M1491="","",IF($C1491="Interna","NO",IFERROR(INDEX(CONFIG!$E$4:$E$63,MATCH($M1491,CONFIG!$A$4:$A$63,0)),"NO")))</f>
        <v/>
      </c>
      <c r="P1491" s="50" t="n"/>
      <c r="Q1491" s="50" t="n"/>
      <c r="R1491" s="28">
        <f>IF($Q1491="","",IFERROR(INDEX(CONFIG!$H$4:$H$63,MATCH($Q1491,CONFIG!$G$4:$G$63,0)),"Por definir"))</f>
        <v/>
      </c>
      <c r="S1491" s="28">
        <f>IF($Q1491="","",IFERROR(INDEX(CONFIG!$I$4:$I$63,MATCH($Q1491,CONFIG!$G$4:$G$63,0)),"Por definir"))</f>
        <v/>
      </c>
      <c r="T1491" s="51" t="n"/>
      <c r="U1491" s="52" t="n"/>
      <c r="V1491" s="50" t="n"/>
      <c r="W1491" s="50" t="n"/>
      <c r="X1491" s="49">
        <f>IF(OR($B1491="",$M1491=""),"",WORKDAY($B1491,IFERROR(INDEX(CONFIG!$D$4:$D$63,MATCH($M1491,CONFIG!$A$4:$A$63,0)),3)))</f>
        <v/>
      </c>
      <c r="Y1491" s="47" t="n"/>
      <c r="Z1491" s="24">
        <f>IF($B1491="","",IF($Y1491&lt;&gt;"",$Y1491-$B1491,TODAY()-$B1491))</f>
        <v/>
      </c>
      <c r="AA1491" s="28">
        <f>IF($B1491="","",IF(IFERROR(INDEX(CONFIG!$L$4:$L$63,MATCH($V1491,CONFIG!$K$4:$K$63,0)),"NO")="SÍ",IF(OR($Y1491="",$X1491=""),"Resuelta",IF($Y1491&gt;$X1491,"Resuelta tarde","Resuelta a tiempo")),IF($X1491="","Sin clasificar",IF(TODAY()&gt;$X1491,"Vencida",IF(TODAY()&gt;=$X1491-1,"Por vencer","En plazo")))))</f>
        <v/>
      </c>
      <c r="AB1491" s="50" t="n"/>
      <c r="AC1491" s="50" t="n"/>
    </row>
    <row r="1492" ht="16" customHeight="1">
      <c r="A1492" s="28">
        <f>IF($B1492="","","N-"&amp;TEXT(ROW()-3,"0000"))</f>
        <v/>
      </c>
      <c r="B1492" s="47" t="n"/>
      <c r="C1492" s="48" t="n"/>
      <c r="D1492" s="48" t="n"/>
      <c r="E1492" s="28">
        <f>IF($C1492="","",IF($D1492="",IF($C1492="Interna","Sin guía (interna)","FALTA GUÍA"),IF(COUNTIFS(ENVIOS!$A$4:$A$3003,$D1492)=0,"NO EXISTE",IF(COUNTIFS(ENVIOS!$A$4:$A$3003,$D1492)&gt;1,"DUPLICADA","OK"))))</f>
        <v/>
      </c>
      <c r="F1492" s="28">
        <f>IF($D1492="","",IFERROR(INDEX(ENVIOS!$B$4:$B$3003,MATCH($D1492,ENVIOS!$A$4:$A$3003,0)),"—"))</f>
        <v/>
      </c>
      <c r="G1492" s="23">
        <f>IF($D1492="","",IFERROR(INDEX(ENVIOS!$D$4:$D$3003,MATCH($D1492,ENVIOS!$A$4:$A$3003,0)),"—"))</f>
        <v/>
      </c>
      <c r="H1492" s="23">
        <f>IF($D1492="","",IFERROR(INDEX(ENVIOS!$E$4:$E$3003,MATCH($D1492,ENVIOS!$A$4:$A$3003,0)),"—"))</f>
        <v/>
      </c>
      <c r="I1492" s="23">
        <f>IF($D1492="","",IFERROR(INDEX(ENVIOS!$F$4:$F$3003,MATCH($D1492,ENVIOS!$A$4:$A$3003,0)),"—"))</f>
        <v/>
      </c>
      <c r="J1492" s="23">
        <f>IF($D1492="","",IFERROR(INDEX(ENVIOS!$G$4:$G$3003,MATCH($D1492,ENVIOS!$A$4:$A$3003,0)),"—"))</f>
        <v/>
      </c>
      <c r="K1492" s="28">
        <f>IF($D1492="","",IFERROR(INDEX(ENVIOS!$H$4:$H$3003,MATCH($D1492,ENVIOS!$A$4:$A$3003,0)),"—"))</f>
        <v/>
      </c>
      <c r="L1492" s="49">
        <f>IF($D1492="","",IFERROR(INDEX(ENVIOS!$C$4:$C$3003,MATCH($D1492,ENVIOS!$A$4:$A$3003,0)),""))</f>
        <v/>
      </c>
      <c r="M1492" s="50" t="n"/>
      <c r="N1492" s="28">
        <f>IF($M1492="","",IFERROR(INDEX(CONFIG!$C$4:$C$63,MATCH($M1492,CONFIG!$A$4:$A$63,0)),"Media"))</f>
        <v/>
      </c>
      <c r="O1492" s="28">
        <f>IF($M1492="","",IF($C1492="Interna","NO",IFERROR(INDEX(CONFIG!$E$4:$E$63,MATCH($M1492,CONFIG!$A$4:$A$63,0)),"NO")))</f>
        <v/>
      </c>
      <c r="P1492" s="50" t="n"/>
      <c r="Q1492" s="50" t="n"/>
      <c r="R1492" s="28">
        <f>IF($Q1492="","",IFERROR(INDEX(CONFIG!$H$4:$H$63,MATCH($Q1492,CONFIG!$G$4:$G$63,0)),"Por definir"))</f>
        <v/>
      </c>
      <c r="S1492" s="28">
        <f>IF($Q1492="","",IFERROR(INDEX(CONFIG!$I$4:$I$63,MATCH($Q1492,CONFIG!$G$4:$G$63,0)),"Por definir"))</f>
        <v/>
      </c>
      <c r="T1492" s="51" t="n"/>
      <c r="U1492" s="52" t="n"/>
      <c r="V1492" s="50" t="n"/>
      <c r="W1492" s="50" t="n"/>
      <c r="X1492" s="49">
        <f>IF(OR($B1492="",$M1492=""),"",WORKDAY($B1492,IFERROR(INDEX(CONFIG!$D$4:$D$63,MATCH($M1492,CONFIG!$A$4:$A$63,0)),3)))</f>
        <v/>
      </c>
      <c r="Y1492" s="47" t="n"/>
      <c r="Z1492" s="24">
        <f>IF($B1492="","",IF($Y1492&lt;&gt;"",$Y1492-$B1492,TODAY()-$B1492))</f>
        <v/>
      </c>
      <c r="AA1492" s="28">
        <f>IF($B1492="","",IF(IFERROR(INDEX(CONFIG!$L$4:$L$63,MATCH($V1492,CONFIG!$K$4:$K$63,0)),"NO")="SÍ",IF(OR($Y1492="",$X1492=""),"Resuelta",IF($Y1492&gt;$X1492,"Resuelta tarde","Resuelta a tiempo")),IF($X1492="","Sin clasificar",IF(TODAY()&gt;$X1492,"Vencida",IF(TODAY()&gt;=$X1492-1,"Por vencer","En plazo")))))</f>
        <v/>
      </c>
      <c r="AB1492" s="50" t="n"/>
      <c r="AC1492" s="50" t="n"/>
    </row>
    <row r="1493" ht="16" customHeight="1">
      <c r="A1493" s="28">
        <f>IF($B1493="","","N-"&amp;TEXT(ROW()-3,"0000"))</f>
        <v/>
      </c>
      <c r="B1493" s="47" t="n"/>
      <c r="C1493" s="48" t="n"/>
      <c r="D1493" s="48" t="n"/>
      <c r="E1493" s="28">
        <f>IF($C1493="","",IF($D1493="",IF($C1493="Interna","Sin guía (interna)","FALTA GUÍA"),IF(COUNTIFS(ENVIOS!$A$4:$A$3003,$D1493)=0,"NO EXISTE",IF(COUNTIFS(ENVIOS!$A$4:$A$3003,$D1493)&gt;1,"DUPLICADA","OK"))))</f>
        <v/>
      </c>
      <c r="F1493" s="28">
        <f>IF($D1493="","",IFERROR(INDEX(ENVIOS!$B$4:$B$3003,MATCH($D1493,ENVIOS!$A$4:$A$3003,0)),"—"))</f>
        <v/>
      </c>
      <c r="G1493" s="23">
        <f>IF($D1493="","",IFERROR(INDEX(ENVIOS!$D$4:$D$3003,MATCH($D1493,ENVIOS!$A$4:$A$3003,0)),"—"))</f>
        <v/>
      </c>
      <c r="H1493" s="23">
        <f>IF($D1493="","",IFERROR(INDEX(ENVIOS!$E$4:$E$3003,MATCH($D1493,ENVIOS!$A$4:$A$3003,0)),"—"))</f>
        <v/>
      </c>
      <c r="I1493" s="23">
        <f>IF($D1493="","",IFERROR(INDEX(ENVIOS!$F$4:$F$3003,MATCH($D1493,ENVIOS!$A$4:$A$3003,0)),"—"))</f>
        <v/>
      </c>
      <c r="J1493" s="23">
        <f>IF($D1493="","",IFERROR(INDEX(ENVIOS!$G$4:$G$3003,MATCH($D1493,ENVIOS!$A$4:$A$3003,0)),"—"))</f>
        <v/>
      </c>
      <c r="K1493" s="28">
        <f>IF($D1493="","",IFERROR(INDEX(ENVIOS!$H$4:$H$3003,MATCH($D1493,ENVIOS!$A$4:$A$3003,0)),"—"))</f>
        <v/>
      </c>
      <c r="L1493" s="49">
        <f>IF($D1493="","",IFERROR(INDEX(ENVIOS!$C$4:$C$3003,MATCH($D1493,ENVIOS!$A$4:$A$3003,0)),""))</f>
        <v/>
      </c>
      <c r="M1493" s="50" t="n"/>
      <c r="N1493" s="28">
        <f>IF($M1493="","",IFERROR(INDEX(CONFIG!$C$4:$C$63,MATCH($M1493,CONFIG!$A$4:$A$63,0)),"Media"))</f>
        <v/>
      </c>
      <c r="O1493" s="28">
        <f>IF($M1493="","",IF($C1493="Interna","NO",IFERROR(INDEX(CONFIG!$E$4:$E$63,MATCH($M1493,CONFIG!$A$4:$A$63,0)),"NO")))</f>
        <v/>
      </c>
      <c r="P1493" s="50" t="n"/>
      <c r="Q1493" s="50" t="n"/>
      <c r="R1493" s="28">
        <f>IF($Q1493="","",IFERROR(INDEX(CONFIG!$H$4:$H$63,MATCH($Q1493,CONFIG!$G$4:$G$63,0)),"Por definir"))</f>
        <v/>
      </c>
      <c r="S1493" s="28">
        <f>IF($Q1493="","",IFERROR(INDEX(CONFIG!$I$4:$I$63,MATCH($Q1493,CONFIG!$G$4:$G$63,0)),"Por definir"))</f>
        <v/>
      </c>
      <c r="T1493" s="51" t="n"/>
      <c r="U1493" s="52" t="n"/>
      <c r="V1493" s="50" t="n"/>
      <c r="W1493" s="50" t="n"/>
      <c r="X1493" s="49">
        <f>IF(OR($B1493="",$M1493=""),"",WORKDAY($B1493,IFERROR(INDEX(CONFIG!$D$4:$D$63,MATCH($M1493,CONFIG!$A$4:$A$63,0)),3)))</f>
        <v/>
      </c>
      <c r="Y1493" s="47" t="n"/>
      <c r="Z1493" s="24">
        <f>IF($B1493="","",IF($Y1493&lt;&gt;"",$Y1493-$B1493,TODAY()-$B1493))</f>
        <v/>
      </c>
      <c r="AA1493" s="28">
        <f>IF($B1493="","",IF(IFERROR(INDEX(CONFIG!$L$4:$L$63,MATCH($V1493,CONFIG!$K$4:$K$63,0)),"NO")="SÍ",IF(OR($Y1493="",$X1493=""),"Resuelta",IF($Y1493&gt;$X1493,"Resuelta tarde","Resuelta a tiempo")),IF($X1493="","Sin clasificar",IF(TODAY()&gt;$X1493,"Vencida",IF(TODAY()&gt;=$X1493-1,"Por vencer","En plazo")))))</f>
        <v/>
      </c>
      <c r="AB1493" s="50" t="n"/>
      <c r="AC1493" s="50" t="n"/>
    </row>
    <row r="1494" ht="16" customHeight="1">
      <c r="A1494" s="28">
        <f>IF($B1494="","","N-"&amp;TEXT(ROW()-3,"0000"))</f>
        <v/>
      </c>
      <c r="B1494" s="47" t="n"/>
      <c r="C1494" s="48" t="n"/>
      <c r="D1494" s="48" t="n"/>
      <c r="E1494" s="28">
        <f>IF($C1494="","",IF($D1494="",IF($C1494="Interna","Sin guía (interna)","FALTA GUÍA"),IF(COUNTIFS(ENVIOS!$A$4:$A$3003,$D1494)=0,"NO EXISTE",IF(COUNTIFS(ENVIOS!$A$4:$A$3003,$D1494)&gt;1,"DUPLICADA","OK"))))</f>
        <v/>
      </c>
      <c r="F1494" s="28">
        <f>IF($D1494="","",IFERROR(INDEX(ENVIOS!$B$4:$B$3003,MATCH($D1494,ENVIOS!$A$4:$A$3003,0)),"—"))</f>
        <v/>
      </c>
      <c r="G1494" s="23">
        <f>IF($D1494="","",IFERROR(INDEX(ENVIOS!$D$4:$D$3003,MATCH($D1494,ENVIOS!$A$4:$A$3003,0)),"—"))</f>
        <v/>
      </c>
      <c r="H1494" s="23">
        <f>IF($D1494="","",IFERROR(INDEX(ENVIOS!$E$4:$E$3003,MATCH($D1494,ENVIOS!$A$4:$A$3003,0)),"—"))</f>
        <v/>
      </c>
      <c r="I1494" s="23">
        <f>IF($D1494="","",IFERROR(INDEX(ENVIOS!$F$4:$F$3003,MATCH($D1494,ENVIOS!$A$4:$A$3003,0)),"—"))</f>
        <v/>
      </c>
      <c r="J1494" s="23">
        <f>IF($D1494="","",IFERROR(INDEX(ENVIOS!$G$4:$G$3003,MATCH($D1494,ENVIOS!$A$4:$A$3003,0)),"—"))</f>
        <v/>
      </c>
      <c r="K1494" s="28">
        <f>IF($D1494="","",IFERROR(INDEX(ENVIOS!$H$4:$H$3003,MATCH($D1494,ENVIOS!$A$4:$A$3003,0)),"—"))</f>
        <v/>
      </c>
      <c r="L1494" s="49">
        <f>IF($D1494="","",IFERROR(INDEX(ENVIOS!$C$4:$C$3003,MATCH($D1494,ENVIOS!$A$4:$A$3003,0)),""))</f>
        <v/>
      </c>
      <c r="M1494" s="50" t="n"/>
      <c r="N1494" s="28">
        <f>IF($M1494="","",IFERROR(INDEX(CONFIG!$C$4:$C$63,MATCH($M1494,CONFIG!$A$4:$A$63,0)),"Media"))</f>
        <v/>
      </c>
      <c r="O1494" s="28">
        <f>IF($M1494="","",IF($C1494="Interna","NO",IFERROR(INDEX(CONFIG!$E$4:$E$63,MATCH($M1494,CONFIG!$A$4:$A$63,0)),"NO")))</f>
        <v/>
      </c>
      <c r="P1494" s="50" t="n"/>
      <c r="Q1494" s="50" t="n"/>
      <c r="R1494" s="28">
        <f>IF($Q1494="","",IFERROR(INDEX(CONFIG!$H$4:$H$63,MATCH($Q1494,CONFIG!$G$4:$G$63,0)),"Por definir"))</f>
        <v/>
      </c>
      <c r="S1494" s="28">
        <f>IF($Q1494="","",IFERROR(INDEX(CONFIG!$I$4:$I$63,MATCH($Q1494,CONFIG!$G$4:$G$63,0)),"Por definir"))</f>
        <v/>
      </c>
      <c r="T1494" s="51" t="n"/>
      <c r="U1494" s="52" t="n"/>
      <c r="V1494" s="50" t="n"/>
      <c r="W1494" s="50" t="n"/>
      <c r="X1494" s="49">
        <f>IF(OR($B1494="",$M1494=""),"",WORKDAY($B1494,IFERROR(INDEX(CONFIG!$D$4:$D$63,MATCH($M1494,CONFIG!$A$4:$A$63,0)),3)))</f>
        <v/>
      </c>
      <c r="Y1494" s="47" t="n"/>
      <c r="Z1494" s="24">
        <f>IF($B1494="","",IF($Y1494&lt;&gt;"",$Y1494-$B1494,TODAY()-$B1494))</f>
        <v/>
      </c>
      <c r="AA1494" s="28">
        <f>IF($B1494="","",IF(IFERROR(INDEX(CONFIG!$L$4:$L$63,MATCH($V1494,CONFIG!$K$4:$K$63,0)),"NO")="SÍ",IF(OR($Y1494="",$X1494=""),"Resuelta",IF($Y1494&gt;$X1494,"Resuelta tarde","Resuelta a tiempo")),IF($X1494="","Sin clasificar",IF(TODAY()&gt;$X1494,"Vencida",IF(TODAY()&gt;=$X1494-1,"Por vencer","En plazo")))))</f>
        <v/>
      </c>
      <c r="AB1494" s="50" t="n"/>
      <c r="AC1494" s="50" t="n"/>
    </row>
    <row r="1495" ht="16" customHeight="1">
      <c r="A1495" s="28">
        <f>IF($B1495="","","N-"&amp;TEXT(ROW()-3,"0000"))</f>
        <v/>
      </c>
      <c r="B1495" s="47" t="n"/>
      <c r="C1495" s="48" t="n"/>
      <c r="D1495" s="48" t="n"/>
      <c r="E1495" s="28">
        <f>IF($C1495="","",IF($D1495="",IF($C1495="Interna","Sin guía (interna)","FALTA GUÍA"),IF(COUNTIFS(ENVIOS!$A$4:$A$3003,$D1495)=0,"NO EXISTE",IF(COUNTIFS(ENVIOS!$A$4:$A$3003,$D1495)&gt;1,"DUPLICADA","OK"))))</f>
        <v/>
      </c>
      <c r="F1495" s="28">
        <f>IF($D1495="","",IFERROR(INDEX(ENVIOS!$B$4:$B$3003,MATCH($D1495,ENVIOS!$A$4:$A$3003,0)),"—"))</f>
        <v/>
      </c>
      <c r="G1495" s="23">
        <f>IF($D1495="","",IFERROR(INDEX(ENVIOS!$D$4:$D$3003,MATCH($D1495,ENVIOS!$A$4:$A$3003,0)),"—"))</f>
        <v/>
      </c>
      <c r="H1495" s="23">
        <f>IF($D1495="","",IFERROR(INDEX(ENVIOS!$E$4:$E$3003,MATCH($D1495,ENVIOS!$A$4:$A$3003,0)),"—"))</f>
        <v/>
      </c>
      <c r="I1495" s="23">
        <f>IF($D1495="","",IFERROR(INDEX(ENVIOS!$F$4:$F$3003,MATCH($D1495,ENVIOS!$A$4:$A$3003,0)),"—"))</f>
        <v/>
      </c>
      <c r="J1495" s="23">
        <f>IF($D1495="","",IFERROR(INDEX(ENVIOS!$G$4:$G$3003,MATCH($D1495,ENVIOS!$A$4:$A$3003,0)),"—"))</f>
        <v/>
      </c>
      <c r="K1495" s="28">
        <f>IF($D1495="","",IFERROR(INDEX(ENVIOS!$H$4:$H$3003,MATCH($D1495,ENVIOS!$A$4:$A$3003,0)),"—"))</f>
        <v/>
      </c>
      <c r="L1495" s="49">
        <f>IF($D1495="","",IFERROR(INDEX(ENVIOS!$C$4:$C$3003,MATCH($D1495,ENVIOS!$A$4:$A$3003,0)),""))</f>
        <v/>
      </c>
      <c r="M1495" s="50" t="n"/>
      <c r="N1495" s="28">
        <f>IF($M1495="","",IFERROR(INDEX(CONFIG!$C$4:$C$63,MATCH($M1495,CONFIG!$A$4:$A$63,0)),"Media"))</f>
        <v/>
      </c>
      <c r="O1495" s="28">
        <f>IF($M1495="","",IF($C1495="Interna","NO",IFERROR(INDEX(CONFIG!$E$4:$E$63,MATCH($M1495,CONFIG!$A$4:$A$63,0)),"NO")))</f>
        <v/>
      </c>
      <c r="P1495" s="50" t="n"/>
      <c r="Q1495" s="50" t="n"/>
      <c r="R1495" s="28">
        <f>IF($Q1495="","",IFERROR(INDEX(CONFIG!$H$4:$H$63,MATCH($Q1495,CONFIG!$G$4:$G$63,0)),"Por definir"))</f>
        <v/>
      </c>
      <c r="S1495" s="28">
        <f>IF($Q1495="","",IFERROR(INDEX(CONFIG!$I$4:$I$63,MATCH($Q1495,CONFIG!$G$4:$G$63,0)),"Por definir"))</f>
        <v/>
      </c>
      <c r="T1495" s="51" t="n"/>
      <c r="U1495" s="52" t="n"/>
      <c r="V1495" s="50" t="n"/>
      <c r="W1495" s="50" t="n"/>
      <c r="X1495" s="49">
        <f>IF(OR($B1495="",$M1495=""),"",WORKDAY($B1495,IFERROR(INDEX(CONFIG!$D$4:$D$63,MATCH($M1495,CONFIG!$A$4:$A$63,0)),3)))</f>
        <v/>
      </c>
      <c r="Y1495" s="47" t="n"/>
      <c r="Z1495" s="24">
        <f>IF($B1495="","",IF($Y1495&lt;&gt;"",$Y1495-$B1495,TODAY()-$B1495))</f>
        <v/>
      </c>
      <c r="AA1495" s="28">
        <f>IF($B1495="","",IF(IFERROR(INDEX(CONFIG!$L$4:$L$63,MATCH($V1495,CONFIG!$K$4:$K$63,0)),"NO")="SÍ",IF(OR($Y1495="",$X1495=""),"Resuelta",IF($Y1495&gt;$X1495,"Resuelta tarde","Resuelta a tiempo")),IF($X1495="","Sin clasificar",IF(TODAY()&gt;$X1495,"Vencida",IF(TODAY()&gt;=$X1495-1,"Por vencer","En plazo")))))</f>
        <v/>
      </c>
      <c r="AB1495" s="50" t="n"/>
      <c r="AC1495" s="50" t="n"/>
    </row>
    <row r="1496" ht="16" customHeight="1">
      <c r="A1496" s="28">
        <f>IF($B1496="","","N-"&amp;TEXT(ROW()-3,"0000"))</f>
        <v/>
      </c>
      <c r="B1496" s="47" t="n"/>
      <c r="C1496" s="48" t="n"/>
      <c r="D1496" s="48" t="n"/>
      <c r="E1496" s="28">
        <f>IF($C1496="","",IF($D1496="",IF($C1496="Interna","Sin guía (interna)","FALTA GUÍA"),IF(COUNTIFS(ENVIOS!$A$4:$A$3003,$D1496)=0,"NO EXISTE",IF(COUNTIFS(ENVIOS!$A$4:$A$3003,$D1496)&gt;1,"DUPLICADA","OK"))))</f>
        <v/>
      </c>
      <c r="F1496" s="28">
        <f>IF($D1496="","",IFERROR(INDEX(ENVIOS!$B$4:$B$3003,MATCH($D1496,ENVIOS!$A$4:$A$3003,0)),"—"))</f>
        <v/>
      </c>
      <c r="G1496" s="23">
        <f>IF($D1496="","",IFERROR(INDEX(ENVIOS!$D$4:$D$3003,MATCH($D1496,ENVIOS!$A$4:$A$3003,0)),"—"))</f>
        <v/>
      </c>
      <c r="H1496" s="23">
        <f>IF($D1496="","",IFERROR(INDEX(ENVIOS!$E$4:$E$3003,MATCH($D1496,ENVIOS!$A$4:$A$3003,0)),"—"))</f>
        <v/>
      </c>
      <c r="I1496" s="23">
        <f>IF($D1496="","",IFERROR(INDEX(ENVIOS!$F$4:$F$3003,MATCH($D1496,ENVIOS!$A$4:$A$3003,0)),"—"))</f>
        <v/>
      </c>
      <c r="J1496" s="23">
        <f>IF($D1496="","",IFERROR(INDEX(ENVIOS!$G$4:$G$3003,MATCH($D1496,ENVIOS!$A$4:$A$3003,0)),"—"))</f>
        <v/>
      </c>
      <c r="K1496" s="28">
        <f>IF($D1496="","",IFERROR(INDEX(ENVIOS!$H$4:$H$3003,MATCH($D1496,ENVIOS!$A$4:$A$3003,0)),"—"))</f>
        <v/>
      </c>
      <c r="L1496" s="49">
        <f>IF($D1496="","",IFERROR(INDEX(ENVIOS!$C$4:$C$3003,MATCH($D1496,ENVIOS!$A$4:$A$3003,0)),""))</f>
        <v/>
      </c>
      <c r="M1496" s="50" t="n"/>
      <c r="N1496" s="28">
        <f>IF($M1496="","",IFERROR(INDEX(CONFIG!$C$4:$C$63,MATCH($M1496,CONFIG!$A$4:$A$63,0)),"Media"))</f>
        <v/>
      </c>
      <c r="O1496" s="28">
        <f>IF($M1496="","",IF($C1496="Interna","NO",IFERROR(INDEX(CONFIG!$E$4:$E$63,MATCH($M1496,CONFIG!$A$4:$A$63,0)),"NO")))</f>
        <v/>
      </c>
      <c r="P1496" s="50" t="n"/>
      <c r="Q1496" s="50" t="n"/>
      <c r="R1496" s="28">
        <f>IF($Q1496="","",IFERROR(INDEX(CONFIG!$H$4:$H$63,MATCH($Q1496,CONFIG!$G$4:$G$63,0)),"Por definir"))</f>
        <v/>
      </c>
      <c r="S1496" s="28">
        <f>IF($Q1496="","",IFERROR(INDEX(CONFIG!$I$4:$I$63,MATCH($Q1496,CONFIG!$G$4:$G$63,0)),"Por definir"))</f>
        <v/>
      </c>
      <c r="T1496" s="51" t="n"/>
      <c r="U1496" s="52" t="n"/>
      <c r="V1496" s="50" t="n"/>
      <c r="W1496" s="50" t="n"/>
      <c r="X1496" s="49">
        <f>IF(OR($B1496="",$M1496=""),"",WORKDAY($B1496,IFERROR(INDEX(CONFIG!$D$4:$D$63,MATCH($M1496,CONFIG!$A$4:$A$63,0)),3)))</f>
        <v/>
      </c>
      <c r="Y1496" s="47" t="n"/>
      <c r="Z1496" s="24">
        <f>IF($B1496="","",IF($Y1496&lt;&gt;"",$Y1496-$B1496,TODAY()-$B1496))</f>
        <v/>
      </c>
      <c r="AA1496" s="28">
        <f>IF($B1496="","",IF(IFERROR(INDEX(CONFIG!$L$4:$L$63,MATCH($V1496,CONFIG!$K$4:$K$63,0)),"NO")="SÍ",IF(OR($Y1496="",$X1496=""),"Resuelta",IF($Y1496&gt;$X1496,"Resuelta tarde","Resuelta a tiempo")),IF($X1496="","Sin clasificar",IF(TODAY()&gt;$X1496,"Vencida",IF(TODAY()&gt;=$X1496-1,"Por vencer","En plazo")))))</f>
        <v/>
      </c>
      <c r="AB1496" s="50" t="n"/>
      <c r="AC1496" s="50" t="n"/>
    </row>
    <row r="1497" ht="16" customHeight="1">
      <c r="A1497" s="28">
        <f>IF($B1497="","","N-"&amp;TEXT(ROW()-3,"0000"))</f>
        <v/>
      </c>
      <c r="B1497" s="47" t="n"/>
      <c r="C1497" s="48" t="n"/>
      <c r="D1497" s="48" t="n"/>
      <c r="E1497" s="28">
        <f>IF($C1497="","",IF($D1497="",IF($C1497="Interna","Sin guía (interna)","FALTA GUÍA"),IF(COUNTIFS(ENVIOS!$A$4:$A$3003,$D1497)=0,"NO EXISTE",IF(COUNTIFS(ENVIOS!$A$4:$A$3003,$D1497)&gt;1,"DUPLICADA","OK"))))</f>
        <v/>
      </c>
      <c r="F1497" s="28">
        <f>IF($D1497="","",IFERROR(INDEX(ENVIOS!$B$4:$B$3003,MATCH($D1497,ENVIOS!$A$4:$A$3003,0)),"—"))</f>
        <v/>
      </c>
      <c r="G1497" s="23">
        <f>IF($D1497="","",IFERROR(INDEX(ENVIOS!$D$4:$D$3003,MATCH($D1497,ENVIOS!$A$4:$A$3003,0)),"—"))</f>
        <v/>
      </c>
      <c r="H1497" s="23">
        <f>IF($D1497="","",IFERROR(INDEX(ENVIOS!$E$4:$E$3003,MATCH($D1497,ENVIOS!$A$4:$A$3003,0)),"—"))</f>
        <v/>
      </c>
      <c r="I1497" s="23">
        <f>IF($D1497="","",IFERROR(INDEX(ENVIOS!$F$4:$F$3003,MATCH($D1497,ENVIOS!$A$4:$A$3003,0)),"—"))</f>
        <v/>
      </c>
      <c r="J1497" s="23">
        <f>IF($D1497="","",IFERROR(INDEX(ENVIOS!$G$4:$G$3003,MATCH($D1497,ENVIOS!$A$4:$A$3003,0)),"—"))</f>
        <v/>
      </c>
      <c r="K1497" s="28">
        <f>IF($D1497="","",IFERROR(INDEX(ENVIOS!$H$4:$H$3003,MATCH($D1497,ENVIOS!$A$4:$A$3003,0)),"—"))</f>
        <v/>
      </c>
      <c r="L1497" s="49">
        <f>IF($D1497="","",IFERROR(INDEX(ENVIOS!$C$4:$C$3003,MATCH($D1497,ENVIOS!$A$4:$A$3003,0)),""))</f>
        <v/>
      </c>
      <c r="M1497" s="50" t="n"/>
      <c r="N1497" s="28">
        <f>IF($M1497="","",IFERROR(INDEX(CONFIG!$C$4:$C$63,MATCH($M1497,CONFIG!$A$4:$A$63,0)),"Media"))</f>
        <v/>
      </c>
      <c r="O1497" s="28">
        <f>IF($M1497="","",IF($C1497="Interna","NO",IFERROR(INDEX(CONFIG!$E$4:$E$63,MATCH($M1497,CONFIG!$A$4:$A$63,0)),"NO")))</f>
        <v/>
      </c>
      <c r="P1497" s="50" t="n"/>
      <c r="Q1497" s="50" t="n"/>
      <c r="R1497" s="28">
        <f>IF($Q1497="","",IFERROR(INDEX(CONFIG!$H$4:$H$63,MATCH($Q1497,CONFIG!$G$4:$G$63,0)),"Por definir"))</f>
        <v/>
      </c>
      <c r="S1497" s="28">
        <f>IF($Q1497="","",IFERROR(INDEX(CONFIG!$I$4:$I$63,MATCH($Q1497,CONFIG!$G$4:$G$63,0)),"Por definir"))</f>
        <v/>
      </c>
      <c r="T1497" s="51" t="n"/>
      <c r="U1497" s="52" t="n"/>
      <c r="V1497" s="50" t="n"/>
      <c r="W1497" s="50" t="n"/>
      <c r="X1497" s="49">
        <f>IF(OR($B1497="",$M1497=""),"",WORKDAY($B1497,IFERROR(INDEX(CONFIG!$D$4:$D$63,MATCH($M1497,CONFIG!$A$4:$A$63,0)),3)))</f>
        <v/>
      </c>
      <c r="Y1497" s="47" t="n"/>
      <c r="Z1497" s="24">
        <f>IF($B1497="","",IF($Y1497&lt;&gt;"",$Y1497-$B1497,TODAY()-$B1497))</f>
        <v/>
      </c>
      <c r="AA1497" s="28">
        <f>IF($B1497="","",IF(IFERROR(INDEX(CONFIG!$L$4:$L$63,MATCH($V1497,CONFIG!$K$4:$K$63,0)),"NO")="SÍ",IF(OR($Y1497="",$X1497=""),"Resuelta",IF($Y1497&gt;$X1497,"Resuelta tarde","Resuelta a tiempo")),IF($X1497="","Sin clasificar",IF(TODAY()&gt;$X1497,"Vencida",IF(TODAY()&gt;=$X1497-1,"Por vencer","En plazo")))))</f>
        <v/>
      </c>
      <c r="AB1497" s="50" t="n"/>
      <c r="AC1497" s="50" t="n"/>
    </row>
    <row r="1498" ht="16" customHeight="1">
      <c r="A1498" s="28">
        <f>IF($B1498="","","N-"&amp;TEXT(ROW()-3,"0000"))</f>
        <v/>
      </c>
      <c r="B1498" s="47" t="n"/>
      <c r="C1498" s="48" t="n"/>
      <c r="D1498" s="48" t="n"/>
      <c r="E1498" s="28">
        <f>IF($C1498="","",IF($D1498="",IF($C1498="Interna","Sin guía (interna)","FALTA GUÍA"),IF(COUNTIFS(ENVIOS!$A$4:$A$3003,$D1498)=0,"NO EXISTE",IF(COUNTIFS(ENVIOS!$A$4:$A$3003,$D1498)&gt;1,"DUPLICADA","OK"))))</f>
        <v/>
      </c>
      <c r="F1498" s="28">
        <f>IF($D1498="","",IFERROR(INDEX(ENVIOS!$B$4:$B$3003,MATCH($D1498,ENVIOS!$A$4:$A$3003,0)),"—"))</f>
        <v/>
      </c>
      <c r="G1498" s="23">
        <f>IF($D1498="","",IFERROR(INDEX(ENVIOS!$D$4:$D$3003,MATCH($D1498,ENVIOS!$A$4:$A$3003,0)),"—"))</f>
        <v/>
      </c>
      <c r="H1498" s="23">
        <f>IF($D1498="","",IFERROR(INDEX(ENVIOS!$E$4:$E$3003,MATCH($D1498,ENVIOS!$A$4:$A$3003,0)),"—"))</f>
        <v/>
      </c>
      <c r="I1498" s="23">
        <f>IF($D1498="","",IFERROR(INDEX(ENVIOS!$F$4:$F$3003,MATCH($D1498,ENVIOS!$A$4:$A$3003,0)),"—"))</f>
        <v/>
      </c>
      <c r="J1498" s="23">
        <f>IF($D1498="","",IFERROR(INDEX(ENVIOS!$G$4:$G$3003,MATCH($D1498,ENVIOS!$A$4:$A$3003,0)),"—"))</f>
        <v/>
      </c>
      <c r="K1498" s="28">
        <f>IF($D1498="","",IFERROR(INDEX(ENVIOS!$H$4:$H$3003,MATCH($D1498,ENVIOS!$A$4:$A$3003,0)),"—"))</f>
        <v/>
      </c>
      <c r="L1498" s="49">
        <f>IF($D1498="","",IFERROR(INDEX(ENVIOS!$C$4:$C$3003,MATCH($D1498,ENVIOS!$A$4:$A$3003,0)),""))</f>
        <v/>
      </c>
      <c r="M1498" s="50" t="n"/>
      <c r="N1498" s="28">
        <f>IF($M1498="","",IFERROR(INDEX(CONFIG!$C$4:$C$63,MATCH($M1498,CONFIG!$A$4:$A$63,0)),"Media"))</f>
        <v/>
      </c>
      <c r="O1498" s="28">
        <f>IF($M1498="","",IF($C1498="Interna","NO",IFERROR(INDEX(CONFIG!$E$4:$E$63,MATCH($M1498,CONFIG!$A$4:$A$63,0)),"NO")))</f>
        <v/>
      </c>
      <c r="P1498" s="50" t="n"/>
      <c r="Q1498" s="50" t="n"/>
      <c r="R1498" s="28">
        <f>IF($Q1498="","",IFERROR(INDEX(CONFIG!$H$4:$H$63,MATCH($Q1498,CONFIG!$G$4:$G$63,0)),"Por definir"))</f>
        <v/>
      </c>
      <c r="S1498" s="28">
        <f>IF($Q1498="","",IFERROR(INDEX(CONFIG!$I$4:$I$63,MATCH($Q1498,CONFIG!$G$4:$G$63,0)),"Por definir"))</f>
        <v/>
      </c>
      <c r="T1498" s="51" t="n"/>
      <c r="U1498" s="52" t="n"/>
      <c r="V1498" s="50" t="n"/>
      <c r="W1498" s="50" t="n"/>
      <c r="X1498" s="49">
        <f>IF(OR($B1498="",$M1498=""),"",WORKDAY($B1498,IFERROR(INDEX(CONFIG!$D$4:$D$63,MATCH($M1498,CONFIG!$A$4:$A$63,0)),3)))</f>
        <v/>
      </c>
      <c r="Y1498" s="47" t="n"/>
      <c r="Z1498" s="24">
        <f>IF($B1498="","",IF($Y1498&lt;&gt;"",$Y1498-$B1498,TODAY()-$B1498))</f>
        <v/>
      </c>
      <c r="AA1498" s="28">
        <f>IF($B1498="","",IF(IFERROR(INDEX(CONFIG!$L$4:$L$63,MATCH($V1498,CONFIG!$K$4:$K$63,0)),"NO")="SÍ",IF(OR($Y1498="",$X1498=""),"Resuelta",IF($Y1498&gt;$X1498,"Resuelta tarde","Resuelta a tiempo")),IF($X1498="","Sin clasificar",IF(TODAY()&gt;$X1498,"Vencida",IF(TODAY()&gt;=$X1498-1,"Por vencer","En plazo")))))</f>
        <v/>
      </c>
      <c r="AB1498" s="50" t="n"/>
      <c r="AC1498" s="50" t="n"/>
    </row>
    <row r="1499" ht="16" customHeight="1">
      <c r="A1499" s="28">
        <f>IF($B1499="","","N-"&amp;TEXT(ROW()-3,"0000"))</f>
        <v/>
      </c>
      <c r="B1499" s="47" t="n"/>
      <c r="C1499" s="48" t="n"/>
      <c r="D1499" s="48" t="n"/>
      <c r="E1499" s="28">
        <f>IF($C1499="","",IF($D1499="",IF($C1499="Interna","Sin guía (interna)","FALTA GUÍA"),IF(COUNTIFS(ENVIOS!$A$4:$A$3003,$D1499)=0,"NO EXISTE",IF(COUNTIFS(ENVIOS!$A$4:$A$3003,$D1499)&gt;1,"DUPLICADA","OK"))))</f>
        <v/>
      </c>
      <c r="F1499" s="28">
        <f>IF($D1499="","",IFERROR(INDEX(ENVIOS!$B$4:$B$3003,MATCH($D1499,ENVIOS!$A$4:$A$3003,0)),"—"))</f>
        <v/>
      </c>
      <c r="G1499" s="23">
        <f>IF($D1499="","",IFERROR(INDEX(ENVIOS!$D$4:$D$3003,MATCH($D1499,ENVIOS!$A$4:$A$3003,0)),"—"))</f>
        <v/>
      </c>
      <c r="H1499" s="23">
        <f>IF($D1499="","",IFERROR(INDEX(ENVIOS!$E$4:$E$3003,MATCH($D1499,ENVIOS!$A$4:$A$3003,0)),"—"))</f>
        <v/>
      </c>
      <c r="I1499" s="23">
        <f>IF($D1499="","",IFERROR(INDEX(ENVIOS!$F$4:$F$3003,MATCH($D1499,ENVIOS!$A$4:$A$3003,0)),"—"))</f>
        <v/>
      </c>
      <c r="J1499" s="23">
        <f>IF($D1499="","",IFERROR(INDEX(ENVIOS!$G$4:$G$3003,MATCH($D1499,ENVIOS!$A$4:$A$3003,0)),"—"))</f>
        <v/>
      </c>
      <c r="K1499" s="28">
        <f>IF($D1499="","",IFERROR(INDEX(ENVIOS!$H$4:$H$3003,MATCH($D1499,ENVIOS!$A$4:$A$3003,0)),"—"))</f>
        <v/>
      </c>
      <c r="L1499" s="49">
        <f>IF($D1499="","",IFERROR(INDEX(ENVIOS!$C$4:$C$3003,MATCH($D1499,ENVIOS!$A$4:$A$3003,0)),""))</f>
        <v/>
      </c>
      <c r="M1499" s="50" t="n"/>
      <c r="N1499" s="28">
        <f>IF($M1499="","",IFERROR(INDEX(CONFIG!$C$4:$C$63,MATCH($M1499,CONFIG!$A$4:$A$63,0)),"Media"))</f>
        <v/>
      </c>
      <c r="O1499" s="28">
        <f>IF($M1499="","",IF($C1499="Interna","NO",IFERROR(INDEX(CONFIG!$E$4:$E$63,MATCH($M1499,CONFIG!$A$4:$A$63,0)),"NO")))</f>
        <v/>
      </c>
      <c r="P1499" s="50" t="n"/>
      <c r="Q1499" s="50" t="n"/>
      <c r="R1499" s="28">
        <f>IF($Q1499="","",IFERROR(INDEX(CONFIG!$H$4:$H$63,MATCH($Q1499,CONFIG!$G$4:$G$63,0)),"Por definir"))</f>
        <v/>
      </c>
      <c r="S1499" s="28">
        <f>IF($Q1499="","",IFERROR(INDEX(CONFIG!$I$4:$I$63,MATCH($Q1499,CONFIG!$G$4:$G$63,0)),"Por definir"))</f>
        <v/>
      </c>
      <c r="T1499" s="51" t="n"/>
      <c r="U1499" s="52" t="n"/>
      <c r="V1499" s="50" t="n"/>
      <c r="W1499" s="50" t="n"/>
      <c r="X1499" s="49">
        <f>IF(OR($B1499="",$M1499=""),"",WORKDAY($B1499,IFERROR(INDEX(CONFIG!$D$4:$D$63,MATCH($M1499,CONFIG!$A$4:$A$63,0)),3)))</f>
        <v/>
      </c>
      <c r="Y1499" s="47" t="n"/>
      <c r="Z1499" s="24">
        <f>IF($B1499="","",IF($Y1499&lt;&gt;"",$Y1499-$B1499,TODAY()-$B1499))</f>
        <v/>
      </c>
      <c r="AA1499" s="28">
        <f>IF($B1499="","",IF(IFERROR(INDEX(CONFIG!$L$4:$L$63,MATCH($V1499,CONFIG!$K$4:$K$63,0)),"NO")="SÍ",IF(OR($Y1499="",$X1499=""),"Resuelta",IF($Y1499&gt;$X1499,"Resuelta tarde","Resuelta a tiempo")),IF($X1499="","Sin clasificar",IF(TODAY()&gt;$X1499,"Vencida",IF(TODAY()&gt;=$X1499-1,"Por vencer","En plazo")))))</f>
        <v/>
      </c>
      <c r="AB1499" s="50" t="n"/>
      <c r="AC1499" s="50" t="n"/>
    </row>
    <row r="1500" ht="16" customHeight="1">
      <c r="A1500" s="28">
        <f>IF($B1500="","","N-"&amp;TEXT(ROW()-3,"0000"))</f>
        <v/>
      </c>
      <c r="B1500" s="47" t="n"/>
      <c r="C1500" s="48" t="n"/>
      <c r="D1500" s="48" t="n"/>
      <c r="E1500" s="28">
        <f>IF($C1500="","",IF($D1500="",IF($C1500="Interna","Sin guía (interna)","FALTA GUÍA"),IF(COUNTIFS(ENVIOS!$A$4:$A$3003,$D1500)=0,"NO EXISTE",IF(COUNTIFS(ENVIOS!$A$4:$A$3003,$D1500)&gt;1,"DUPLICADA","OK"))))</f>
        <v/>
      </c>
      <c r="F1500" s="28">
        <f>IF($D1500="","",IFERROR(INDEX(ENVIOS!$B$4:$B$3003,MATCH($D1500,ENVIOS!$A$4:$A$3003,0)),"—"))</f>
        <v/>
      </c>
      <c r="G1500" s="23">
        <f>IF($D1500="","",IFERROR(INDEX(ENVIOS!$D$4:$D$3003,MATCH($D1500,ENVIOS!$A$4:$A$3003,0)),"—"))</f>
        <v/>
      </c>
      <c r="H1500" s="23">
        <f>IF($D1500="","",IFERROR(INDEX(ENVIOS!$E$4:$E$3003,MATCH($D1500,ENVIOS!$A$4:$A$3003,0)),"—"))</f>
        <v/>
      </c>
      <c r="I1500" s="23">
        <f>IF($D1500="","",IFERROR(INDEX(ENVIOS!$F$4:$F$3003,MATCH($D1500,ENVIOS!$A$4:$A$3003,0)),"—"))</f>
        <v/>
      </c>
      <c r="J1500" s="23">
        <f>IF($D1500="","",IFERROR(INDEX(ENVIOS!$G$4:$G$3003,MATCH($D1500,ENVIOS!$A$4:$A$3003,0)),"—"))</f>
        <v/>
      </c>
      <c r="K1500" s="28">
        <f>IF($D1500="","",IFERROR(INDEX(ENVIOS!$H$4:$H$3003,MATCH($D1500,ENVIOS!$A$4:$A$3003,0)),"—"))</f>
        <v/>
      </c>
      <c r="L1500" s="49">
        <f>IF($D1500="","",IFERROR(INDEX(ENVIOS!$C$4:$C$3003,MATCH($D1500,ENVIOS!$A$4:$A$3003,0)),""))</f>
        <v/>
      </c>
      <c r="M1500" s="50" t="n"/>
      <c r="N1500" s="28">
        <f>IF($M1500="","",IFERROR(INDEX(CONFIG!$C$4:$C$63,MATCH($M1500,CONFIG!$A$4:$A$63,0)),"Media"))</f>
        <v/>
      </c>
      <c r="O1500" s="28">
        <f>IF($M1500="","",IF($C1500="Interna","NO",IFERROR(INDEX(CONFIG!$E$4:$E$63,MATCH($M1500,CONFIG!$A$4:$A$63,0)),"NO")))</f>
        <v/>
      </c>
      <c r="P1500" s="50" t="n"/>
      <c r="Q1500" s="50" t="n"/>
      <c r="R1500" s="28">
        <f>IF($Q1500="","",IFERROR(INDEX(CONFIG!$H$4:$H$63,MATCH($Q1500,CONFIG!$G$4:$G$63,0)),"Por definir"))</f>
        <v/>
      </c>
      <c r="S1500" s="28">
        <f>IF($Q1500="","",IFERROR(INDEX(CONFIG!$I$4:$I$63,MATCH($Q1500,CONFIG!$G$4:$G$63,0)),"Por definir"))</f>
        <v/>
      </c>
      <c r="T1500" s="51" t="n"/>
      <c r="U1500" s="52" t="n"/>
      <c r="V1500" s="50" t="n"/>
      <c r="W1500" s="50" t="n"/>
      <c r="X1500" s="49">
        <f>IF(OR($B1500="",$M1500=""),"",WORKDAY($B1500,IFERROR(INDEX(CONFIG!$D$4:$D$63,MATCH($M1500,CONFIG!$A$4:$A$63,0)),3)))</f>
        <v/>
      </c>
      <c r="Y1500" s="47" t="n"/>
      <c r="Z1500" s="24">
        <f>IF($B1500="","",IF($Y1500&lt;&gt;"",$Y1500-$B1500,TODAY()-$B1500))</f>
        <v/>
      </c>
      <c r="AA1500" s="28">
        <f>IF($B1500="","",IF(IFERROR(INDEX(CONFIG!$L$4:$L$63,MATCH($V1500,CONFIG!$K$4:$K$63,0)),"NO")="SÍ",IF(OR($Y1500="",$X1500=""),"Resuelta",IF($Y1500&gt;$X1500,"Resuelta tarde","Resuelta a tiempo")),IF($X1500="","Sin clasificar",IF(TODAY()&gt;$X1500,"Vencida",IF(TODAY()&gt;=$X1500-1,"Por vencer","En plazo")))))</f>
        <v/>
      </c>
      <c r="AB1500" s="50" t="n"/>
      <c r="AC1500" s="50" t="n"/>
    </row>
    <row r="1501" ht="16" customHeight="1">
      <c r="A1501" s="28">
        <f>IF($B1501="","","N-"&amp;TEXT(ROW()-3,"0000"))</f>
        <v/>
      </c>
      <c r="B1501" s="47" t="n"/>
      <c r="C1501" s="48" t="n"/>
      <c r="D1501" s="48" t="n"/>
      <c r="E1501" s="28">
        <f>IF($C1501="","",IF($D1501="",IF($C1501="Interna","Sin guía (interna)","FALTA GUÍA"),IF(COUNTIFS(ENVIOS!$A$4:$A$3003,$D1501)=0,"NO EXISTE",IF(COUNTIFS(ENVIOS!$A$4:$A$3003,$D1501)&gt;1,"DUPLICADA","OK"))))</f>
        <v/>
      </c>
      <c r="F1501" s="28">
        <f>IF($D1501="","",IFERROR(INDEX(ENVIOS!$B$4:$B$3003,MATCH($D1501,ENVIOS!$A$4:$A$3003,0)),"—"))</f>
        <v/>
      </c>
      <c r="G1501" s="23">
        <f>IF($D1501="","",IFERROR(INDEX(ENVIOS!$D$4:$D$3003,MATCH($D1501,ENVIOS!$A$4:$A$3003,0)),"—"))</f>
        <v/>
      </c>
      <c r="H1501" s="23">
        <f>IF($D1501="","",IFERROR(INDEX(ENVIOS!$E$4:$E$3003,MATCH($D1501,ENVIOS!$A$4:$A$3003,0)),"—"))</f>
        <v/>
      </c>
      <c r="I1501" s="23">
        <f>IF($D1501="","",IFERROR(INDEX(ENVIOS!$F$4:$F$3003,MATCH($D1501,ENVIOS!$A$4:$A$3003,0)),"—"))</f>
        <v/>
      </c>
      <c r="J1501" s="23">
        <f>IF($D1501="","",IFERROR(INDEX(ENVIOS!$G$4:$G$3003,MATCH($D1501,ENVIOS!$A$4:$A$3003,0)),"—"))</f>
        <v/>
      </c>
      <c r="K1501" s="28">
        <f>IF($D1501="","",IFERROR(INDEX(ENVIOS!$H$4:$H$3003,MATCH($D1501,ENVIOS!$A$4:$A$3003,0)),"—"))</f>
        <v/>
      </c>
      <c r="L1501" s="49">
        <f>IF($D1501="","",IFERROR(INDEX(ENVIOS!$C$4:$C$3003,MATCH($D1501,ENVIOS!$A$4:$A$3003,0)),""))</f>
        <v/>
      </c>
      <c r="M1501" s="50" t="n"/>
      <c r="N1501" s="28">
        <f>IF($M1501="","",IFERROR(INDEX(CONFIG!$C$4:$C$63,MATCH($M1501,CONFIG!$A$4:$A$63,0)),"Media"))</f>
        <v/>
      </c>
      <c r="O1501" s="28">
        <f>IF($M1501="","",IF($C1501="Interna","NO",IFERROR(INDEX(CONFIG!$E$4:$E$63,MATCH($M1501,CONFIG!$A$4:$A$63,0)),"NO")))</f>
        <v/>
      </c>
      <c r="P1501" s="50" t="n"/>
      <c r="Q1501" s="50" t="n"/>
      <c r="R1501" s="28">
        <f>IF($Q1501="","",IFERROR(INDEX(CONFIG!$H$4:$H$63,MATCH($Q1501,CONFIG!$G$4:$G$63,0)),"Por definir"))</f>
        <v/>
      </c>
      <c r="S1501" s="28">
        <f>IF($Q1501="","",IFERROR(INDEX(CONFIG!$I$4:$I$63,MATCH($Q1501,CONFIG!$G$4:$G$63,0)),"Por definir"))</f>
        <v/>
      </c>
      <c r="T1501" s="51" t="n"/>
      <c r="U1501" s="52" t="n"/>
      <c r="V1501" s="50" t="n"/>
      <c r="W1501" s="50" t="n"/>
      <c r="X1501" s="49">
        <f>IF(OR($B1501="",$M1501=""),"",WORKDAY($B1501,IFERROR(INDEX(CONFIG!$D$4:$D$63,MATCH($M1501,CONFIG!$A$4:$A$63,0)),3)))</f>
        <v/>
      </c>
      <c r="Y1501" s="47" t="n"/>
      <c r="Z1501" s="24">
        <f>IF($B1501="","",IF($Y1501&lt;&gt;"",$Y1501-$B1501,TODAY()-$B1501))</f>
        <v/>
      </c>
      <c r="AA1501" s="28">
        <f>IF($B1501="","",IF(IFERROR(INDEX(CONFIG!$L$4:$L$63,MATCH($V1501,CONFIG!$K$4:$K$63,0)),"NO")="SÍ",IF(OR($Y1501="",$X1501=""),"Resuelta",IF($Y1501&gt;$X1501,"Resuelta tarde","Resuelta a tiempo")),IF($X1501="","Sin clasificar",IF(TODAY()&gt;$X1501,"Vencida",IF(TODAY()&gt;=$X1501-1,"Por vencer","En plazo")))))</f>
        <v/>
      </c>
      <c r="AB1501" s="50" t="n"/>
      <c r="AC1501" s="50" t="n"/>
    </row>
    <row r="1502" ht="16" customHeight="1">
      <c r="A1502" s="28">
        <f>IF($B1502="","","N-"&amp;TEXT(ROW()-3,"0000"))</f>
        <v/>
      </c>
      <c r="B1502" s="47" t="n"/>
      <c r="C1502" s="48" t="n"/>
      <c r="D1502" s="48" t="n"/>
      <c r="E1502" s="28">
        <f>IF($C1502="","",IF($D1502="",IF($C1502="Interna","Sin guía (interna)","FALTA GUÍA"),IF(COUNTIFS(ENVIOS!$A$4:$A$3003,$D1502)=0,"NO EXISTE",IF(COUNTIFS(ENVIOS!$A$4:$A$3003,$D1502)&gt;1,"DUPLICADA","OK"))))</f>
        <v/>
      </c>
      <c r="F1502" s="28">
        <f>IF($D1502="","",IFERROR(INDEX(ENVIOS!$B$4:$B$3003,MATCH($D1502,ENVIOS!$A$4:$A$3003,0)),"—"))</f>
        <v/>
      </c>
      <c r="G1502" s="23">
        <f>IF($D1502="","",IFERROR(INDEX(ENVIOS!$D$4:$D$3003,MATCH($D1502,ENVIOS!$A$4:$A$3003,0)),"—"))</f>
        <v/>
      </c>
      <c r="H1502" s="23">
        <f>IF($D1502="","",IFERROR(INDEX(ENVIOS!$E$4:$E$3003,MATCH($D1502,ENVIOS!$A$4:$A$3003,0)),"—"))</f>
        <v/>
      </c>
      <c r="I1502" s="23">
        <f>IF($D1502="","",IFERROR(INDEX(ENVIOS!$F$4:$F$3003,MATCH($D1502,ENVIOS!$A$4:$A$3003,0)),"—"))</f>
        <v/>
      </c>
      <c r="J1502" s="23">
        <f>IF($D1502="","",IFERROR(INDEX(ENVIOS!$G$4:$G$3003,MATCH($D1502,ENVIOS!$A$4:$A$3003,0)),"—"))</f>
        <v/>
      </c>
      <c r="K1502" s="28">
        <f>IF($D1502="","",IFERROR(INDEX(ENVIOS!$H$4:$H$3003,MATCH($D1502,ENVIOS!$A$4:$A$3003,0)),"—"))</f>
        <v/>
      </c>
      <c r="L1502" s="49">
        <f>IF($D1502="","",IFERROR(INDEX(ENVIOS!$C$4:$C$3003,MATCH($D1502,ENVIOS!$A$4:$A$3003,0)),""))</f>
        <v/>
      </c>
      <c r="M1502" s="50" t="n"/>
      <c r="N1502" s="28">
        <f>IF($M1502="","",IFERROR(INDEX(CONFIG!$C$4:$C$63,MATCH($M1502,CONFIG!$A$4:$A$63,0)),"Media"))</f>
        <v/>
      </c>
      <c r="O1502" s="28">
        <f>IF($M1502="","",IF($C1502="Interna","NO",IFERROR(INDEX(CONFIG!$E$4:$E$63,MATCH($M1502,CONFIG!$A$4:$A$63,0)),"NO")))</f>
        <v/>
      </c>
      <c r="P1502" s="50" t="n"/>
      <c r="Q1502" s="50" t="n"/>
      <c r="R1502" s="28">
        <f>IF($Q1502="","",IFERROR(INDEX(CONFIG!$H$4:$H$63,MATCH($Q1502,CONFIG!$G$4:$G$63,0)),"Por definir"))</f>
        <v/>
      </c>
      <c r="S1502" s="28">
        <f>IF($Q1502="","",IFERROR(INDEX(CONFIG!$I$4:$I$63,MATCH($Q1502,CONFIG!$G$4:$G$63,0)),"Por definir"))</f>
        <v/>
      </c>
      <c r="T1502" s="51" t="n"/>
      <c r="U1502" s="52" t="n"/>
      <c r="V1502" s="50" t="n"/>
      <c r="W1502" s="50" t="n"/>
      <c r="X1502" s="49">
        <f>IF(OR($B1502="",$M1502=""),"",WORKDAY($B1502,IFERROR(INDEX(CONFIG!$D$4:$D$63,MATCH($M1502,CONFIG!$A$4:$A$63,0)),3)))</f>
        <v/>
      </c>
      <c r="Y1502" s="47" t="n"/>
      <c r="Z1502" s="24">
        <f>IF($B1502="","",IF($Y1502&lt;&gt;"",$Y1502-$B1502,TODAY()-$B1502))</f>
        <v/>
      </c>
      <c r="AA1502" s="28">
        <f>IF($B1502="","",IF(IFERROR(INDEX(CONFIG!$L$4:$L$63,MATCH($V1502,CONFIG!$K$4:$K$63,0)),"NO")="SÍ",IF(OR($Y1502="",$X1502=""),"Resuelta",IF($Y1502&gt;$X1502,"Resuelta tarde","Resuelta a tiempo")),IF($X1502="","Sin clasificar",IF(TODAY()&gt;$X1502,"Vencida",IF(TODAY()&gt;=$X1502-1,"Por vencer","En plazo")))))</f>
        <v/>
      </c>
      <c r="AB1502" s="50" t="n"/>
      <c r="AC1502" s="50" t="n"/>
    </row>
    <row r="1503" ht="16" customHeight="1">
      <c r="A1503" s="28">
        <f>IF($B1503="","","N-"&amp;TEXT(ROW()-3,"0000"))</f>
        <v/>
      </c>
      <c r="B1503" s="47" t="n"/>
      <c r="C1503" s="48" t="n"/>
      <c r="D1503" s="48" t="n"/>
      <c r="E1503" s="28">
        <f>IF($C1503="","",IF($D1503="",IF($C1503="Interna","Sin guía (interna)","FALTA GUÍA"),IF(COUNTIFS(ENVIOS!$A$4:$A$3003,$D1503)=0,"NO EXISTE",IF(COUNTIFS(ENVIOS!$A$4:$A$3003,$D1503)&gt;1,"DUPLICADA","OK"))))</f>
        <v/>
      </c>
      <c r="F1503" s="28">
        <f>IF($D1503="","",IFERROR(INDEX(ENVIOS!$B$4:$B$3003,MATCH($D1503,ENVIOS!$A$4:$A$3003,0)),"—"))</f>
        <v/>
      </c>
      <c r="G1503" s="23">
        <f>IF($D1503="","",IFERROR(INDEX(ENVIOS!$D$4:$D$3003,MATCH($D1503,ENVIOS!$A$4:$A$3003,0)),"—"))</f>
        <v/>
      </c>
      <c r="H1503" s="23">
        <f>IF($D1503="","",IFERROR(INDEX(ENVIOS!$E$4:$E$3003,MATCH($D1503,ENVIOS!$A$4:$A$3003,0)),"—"))</f>
        <v/>
      </c>
      <c r="I1503" s="23">
        <f>IF($D1503="","",IFERROR(INDEX(ENVIOS!$F$4:$F$3003,MATCH($D1503,ENVIOS!$A$4:$A$3003,0)),"—"))</f>
        <v/>
      </c>
      <c r="J1503" s="23">
        <f>IF($D1503="","",IFERROR(INDEX(ENVIOS!$G$4:$G$3003,MATCH($D1503,ENVIOS!$A$4:$A$3003,0)),"—"))</f>
        <v/>
      </c>
      <c r="K1503" s="28">
        <f>IF($D1503="","",IFERROR(INDEX(ENVIOS!$H$4:$H$3003,MATCH($D1503,ENVIOS!$A$4:$A$3003,0)),"—"))</f>
        <v/>
      </c>
      <c r="L1503" s="49">
        <f>IF($D1503="","",IFERROR(INDEX(ENVIOS!$C$4:$C$3003,MATCH($D1503,ENVIOS!$A$4:$A$3003,0)),""))</f>
        <v/>
      </c>
      <c r="M1503" s="50" t="n"/>
      <c r="N1503" s="28">
        <f>IF($M1503="","",IFERROR(INDEX(CONFIG!$C$4:$C$63,MATCH($M1503,CONFIG!$A$4:$A$63,0)),"Media"))</f>
        <v/>
      </c>
      <c r="O1503" s="28">
        <f>IF($M1503="","",IF($C1503="Interna","NO",IFERROR(INDEX(CONFIG!$E$4:$E$63,MATCH($M1503,CONFIG!$A$4:$A$63,0)),"NO")))</f>
        <v/>
      </c>
      <c r="P1503" s="50" t="n"/>
      <c r="Q1503" s="50" t="n"/>
      <c r="R1503" s="28">
        <f>IF($Q1503="","",IFERROR(INDEX(CONFIG!$H$4:$H$63,MATCH($Q1503,CONFIG!$G$4:$G$63,0)),"Por definir"))</f>
        <v/>
      </c>
      <c r="S1503" s="28">
        <f>IF($Q1503="","",IFERROR(INDEX(CONFIG!$I$4:$I$63,MATCH($Q1503,CONFIG!$G$4:$G$63,0)),"Por definir"))</f>
        <v/>
      </c>
      <c r="T1503" s="51" t="n"/>
      <c r="U1503" s="52" t="n"/>
      <c r="V1503" s="50" t="n"/>
      <c r="W1503" s="50" t="n"/>
      <c r="X1503" s="49">
        <f>IF(OR($B1503="",$M1503=""),"",WORKDAY($B1503,IFERROR(INDEX(CONFIG!$D$4:$D$63,MATCH($M1503,CONFIG!$A$4:$A$63,0)),3)))</f>
        <v/>
      </c>
      <c r="Y1503" s="47" t="n"/>
      <c r="Z1503" s="24">
        <f>IF($B1503="","",IF($Y1503&lt;&gt;"",$Y1503-$B1503,TODAY()-$B1503))</f>
        <v/>
      </c>
      <c r="AA1503" s="28">
        <f>IF($B1503="","",IF(IFERROR(INDEX(CONFIG!$L$4:$L$63,MATCH($V1503,CONFIG!$K$4:$K$63,0)),"NO")="SÍ",IF(OR($Y1503="",$X1503=""),"Resuelta",IF($Y1503&gt;$X1503,"Resuelta tarde","Resuelta a tiempo")),IF($X1503="","Sin clasificar",IF(TODAY()&gt;$X1503,"Vencida",IF(TODAY()&gt;=$X1503-1,"Por vencer","En plazo")))))</f>
        <v/>
      </c>
      <c r="AB1503" s="50" t="n"/>
      <c r="AC1503" s="50" t="n"/>
    </row>
  </sheetData>
  <sheetProtection selectLockedCells="0" selectUnlockedCells="0" sheet="1" objects="0" insertRows="1" insertHyperlinks="1" autoFilter="0" scenarios="0" formatColumns="0" deleteColumns="1" insertColumns="1" pivotTables="1" deleteRows="1" formatCells="1" formatRows="0" sort="0"/>
  <autoFilter ref="A3:AC1503"/>
  <mergeCells count="6">
    <mergeCell ref="A2:L2"/>
    <mergeCell ref="A1:AC1"/>
    <mergeCell ref="T2:U2"/>
    <mergeCell ref="AB2:AC2"/>
    <mergeCell ref="M2:S2"/>
    <mergeCell ref="V2:AA2"/>
  </mergeCells>
  <conditionalFormatting sqref="AA4:AA1503">
    <cfRule type="cellIs" priority="1" operator="equal" dxfId="4">
      <formula>"En plazo"</formula>
    </cfRule>
    <cfRule type="cellIs" priority="2" operator="equal" dxfId="6">
      <formula>"Por vencer"</formula>
    </cfRule>
    <cfRule type="cellIs" priority="3" operator="equal" dxfId="7">
      <formula>"Vencida"</formula>
    </cfRule>
    <cfRule type="cellIs" priority="4" operator="equal" dxfId="5">
      <formula>"Resuelta a tiempo"</formula>
    </cfRule>
    <cfRule type="cellIs" priority="5" operator="equal" dxfId="10">
      <formula>"Resuelta tarde"</formula>
    </cfRule>
    <cfRule type="cellIs" priority="6" operator="equal" dxfId="9">
      <formula>"Resuelta"</formula>
    </cfRule>
    <cfRule type="cellIs" priority="7" operator="equal" dxfId="9">
      <formula>"Sin clasificar"</formula>
    </cfRule>
  </conditionalFormatting>
  <conditionalFormatting sqref="N4:N1503">
    <cfRule type="cellIs" priority="8" operator="equal" dxfId="8">
      <formula>"Crítica"</formula>
    </cfRule>
    <cfRule type="cellIs" priority="9" operator="equal" dxfId="7">
      <formula>"Alta"</formula>
    </cfRule>
    <cfRule type="cellIs" priority="10" operator="equal" dxfId="6">
      <formula>"Media"</formula>
    </cfRule>
    <cfRule type="cellIs" priority="11" operator="equal" dxfId="4">
      <formula>"Baja"</formula>
    </cfRule>
  </conditionalFormatting>
  <conditionalFormatting sqref="O4:O1503">
    <cfRule type="cellIs" priority="12" operator="equal" dxfId="6">
      <formula>"SÍ"</formula>
    </cfRule>
  </conditionalFormatting>
  <conditionalFormatting sqref="C4:C1503">
    <cfRule type="cellIs" priority="13" operator="equal" dxfId="5">
      <formula>"Interna"</formula>
    </cfRule>
    <cfRule type="cellIs" priority="14" operator="equal" dxfId="9">
      <formula>"En ruta"</formula>
    </cfRule>
  </conditionalFormatting>
  <conditionalFormatting sqref="E4:E1503">
    <cfRule type="cellIs" priority="15" operator="equal" dxfId="4">
      <formula>"OK"</formula>
    </cfRule>
    <cfRule type="cellIs" priority="16" operator="equal" dxfId="7">
      <formula>"NO EXISTE"</formula>
    </cfRule>
    <cfRule type="cellIs" priority="17" operator="equal" dxfId="7">
      <formula>"FALTA GUÍA"</formula>
    </cfRule>
    <cfRule type="cellIs" priority="18" operator="equal" dxfId="6">
      <formula>"DUPLICADA"</formula>
    </cfRule>
    <cfRule type="cellIs" priority="19" operator="equal" dxfId="11">
      <formula>"Sin guía (interna)"</formula>
    </cfRule>
  </conditionalFormatting>
  <conditionalFormatting sqref="V4:V1503">
    <cfRule type="expression" priority="20" dxfId="7">
      <formula>$U4="Sin gestionar"</formula>
    </cfRule>
    <cfRule type="expression" priority="21" dxfId="4">
      <formula>AND($U4&lt;&gt;"",IFERROR(INDEX(CONFIG!$L$4:$L$63,MATCH($U4,CONFIG!$K$4:$K$63,0)),"NO")="SÍ")</formula>
    </cfRule>
    <cfRule type="expression" priority="22" dxfId="6">
      <formula>AND($U4&lt;&gt;"",IFERROR(INDEX(CONFIG!$L$4:$L$63,MATCH($U4,CONFIG!$K$4:$K$63,0)),"NO")="NO")</formula>
    </cfRule>
  </conditionalFormatting>
  <conditionalFormatting sqref="Y4:Y1503">
    <cfRule type="expression" priority="23" dxfId="7">
      <formula>AND($X4="",$Z4="Resuelta")</formula>
    </cfRule>
  </conditionalFormatting>
  <conditionalFormatting sqref="U4:U1503">
    <cfRule type="dataBar" priority="24">
      <dataBar showValue="1">
        <cfvo type="num" val="0"/>
        <cfvo type="percentile" val="95"/>
        <color rgb="00D97706"/>
      </dataBar>
    </cfRule>
  </conditionalFormatting>
  <conditionalFormatting sqref="Z4:Z1503">
    <cfRule type="dataBar" priority="25">
      <dataBar showValue="1">
        <cfvo type="num" val="0"/>
        <cfvo type="percentile" val="95"/>
        <color rgb="0094A3B8"/>
      </dataBar>
    </cfRule>
  </conditionalFormatting>
  <conditionalFormatting sqref="A4:AB1503">
    <cfRule type="expression" priority="26" dxfId="12">
      <formula>$Z4="Vencida"</formula>
    </cfRule>
  </conditionalFormatting>
  <dataValidations count="10">
    <dataValidation sqref="C4:C1503" showDropDown="0" showInputMessage="1" showErrorMessage="1" allowBlank="1" errorTitle="Origen no válido" error="«En ruta» si pasó con un envío despachado; «Interna» si pasó dentro de la empresa." promptTitle="Origen" prompt="En ruta = lleva Nº de guía.  Interna = deje la guía vacía." type="list">
      <formula1>ORIGENES</formula1>
    </dataValidation>
    <dataValidation sqref="M4:M1503" showDropDown="0" showInputMessage="1" showErrorMessage="1" allowBlank="1" errorTitle="Tipo no válido" error="Elíjalo de la lista. Para agregar uno nuevo vaya a CONFIG, columna A." promptTitle="Tipo de novedad" prompt="Define la gravedad y el plazo (SLA)." type="list">
      <formula1>TIPOS_NOVEDAD</formula1>
    </dataValidation>
    <dataValidation sqref="P4:P1503" showDropDown="0" showInputMessage="1" showErrorMessage="1" allowBlank="1" errorTitle="Punto no válido" error="Elíjalo de la lista. Para agregar uno nuevo vaya a CONFIG, columna N." promptTitle="Punto de ocurrencia" prompt="En qué parte de la operación se rompió." type="list">
      <formula1>PUNTOS_OCURRENCIA</formula1>
    </dataValidation>
    <dataValidation sqref="Q4:Q1503" showDropDown="0" showInputMessage="1" showErrorMessage="1" allowBlank="1" errorTitle="Causa no válida" error="Elíjala de la lista. Para agregar una nueva vaya a CONFIG, columna G." promptTitle="Causa raíz" prompt="Por qué pasó. Define la familia 6M y el área responsable." type="list">
      <formula1>CAUSAS_RAIZ</formula1>
    </dataValidation>
    <dataValidation sqref="V4:V1503" showDropDown="0" showInputMessage="1" showErrorMessage="1" allowBlank="1" errorTitle="Estado no válido" error="Elíjalo de la lista. Para agregar uno nuevo vaya a CONFIG, columna K." promptTitle="Estado" prompt="Los estados con ¿CIERRA EL CASO? = SÍ detienen el conteo de días." type="list">
      <formula1>ESTADOS_NOVEDAD</formula1>
    </dataValidation>
    <dataValidation sqref="W4:W1503" showDropDown="0" showInputMessage="0" showErrorMessage="1" allowBlank="1" errorTitle="Responsable no válido" error="Elíjalo de la lista (CONFIG, columna T)." type="list">
      <formula1>RESPONSABLES</formula1>
    </dataValidation>
    <dataValidation sqref="B4:B1503" showDropDown="0" showInputMessage="0" showErrorMessage="1" allowBlank="1" errorTitle="Fecha no válida" error="Escriba una fecha real (dd/mm/aaaa)." type="date" operator="between">
      <formula1>DATE(2020,1,1)</formula1>
      <formula2>DATE(2040,12,31)</formula2>
    </dataValidation>
    <dataValidation sqref="Y4:Y1503" showDropDown="0" showInputMessage="0" showErrorMessage="1" allowBlank="1" errorTitle="Fecha de solución inválida" error="No puede ser anterior a la fecha de la novedad." type="custom">
      <formula1>OR($Y4="",AND(ISNUMBER($Y4),$Y4&gt;=$B4))</formula1>
    </dataValidation>
    <dataValidation sqref="T4:T1503" showDropDown="0" showInputMessage="0" showErrorMessage="1" allowBlank="1" errorTitle="Valor inválido" error="Debe ser un número mayor o igual a 0." type="decimal" operator="greaterThanOrEqual">
      <formula1>0</formula1>
    </dataValidation>
    <dataValidation sqref="U4:U1503" showDropDown="0" showInputMessage="0" showErrorMessage="1" allowBlank="1" errorTitle="Valor inválido" error="Debe ser un número mayor o igual a 0."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tabColor rgb="FF2563EB"/>
    <outlinePr summaryBelow="1" summaryRight="1"/>
    <pageSetUpPr/>
  </sheetPr>
  <dimension ref="A1:Q3003"/>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4" customWidth="1" min="2" max="2"/>
    <col width="13" customWidth="1" min="3" max="3"/>
    <col width="32" customWidth="1" min="4" max="4"/>
    <col width="18" customWidth="1" min="5" max="5"/>
    <col width="20" customWidth="1" min="6" max="6"/>
    <col width="22" customWidth="1" min="7" max="7"/>
    <col width="10" customWidth="1" min="8" max="8"/>
    <col width="13" customWidth="1" min="9" max="9"/>
    <col width="15" customWidth="1" min="10" max="10"/>
    <col width="15" customWidth="1" min="11" max="11"/>
    <col width="15" customWidth="1" min="12" max="12"/>
    <col width="11" customWidth="1" min="13" max="13"/>
    <col width="13" customWidth="1" min="14" max="14"/>
    <col width="11" customWidth="1" min="15" max="15"/>
    <col width="13" customWidth="1" min="16" max="16"/>
    <col width="11" customWidth="1" min="17" max="17"/>
  </cols>
  <sheetData>
    <row r="1" ht="34" customHeight="1">
      <c r="A1" s="1" t="inlineStr">
        <is>
          <t>ENVÍOS · base de despachos</t>
        </is>
      </c>
    </row>
    <row r="2" ht="17" customHeight="1">
      <c r="A2" s="44" t="inlineStr">
        <is>
          <t>① SE DIGITA AL DESPACHAR  ·  pegue o escriba aquí</t>
        </is>
      </c>
      <c r="L2" s="45" t="inlineStr">
        <is>
          <t>② AL ENTREGAR</t>
        </is>
      </c>
      <c r="M2" s="44" t="inlineStr">
        <is>
          <t>③ SE CALCULA SOLO  ·  no escriba en esta zona</t>
        </is>
      </c>
    </row>
    <row r="3" ht="34" customHeight="1">
      <c r="A3" s="46" t="inlineStr">
        <is>
          <t>Nº Guía / Remisión</t>
        </is>
      </c>
      <c r="B3" s="46" t="inlineStr">
        <is>
          <t>Nº Pedido</t>
        </is>
      </c>
      <c r="C3" s="46" t="inlineStr">
        <is>
          <t>Fecha despacho</t>
        </is>
      </c>
      <c r="D3" s="46" t="inlineStr">
        <is>
          <t>Cliente</t>
        </is>
      </c>
      <c r="E3" s="46" t="inlineStr">
        <is>
          <t>Ciudad destino</t>
        </is>
      </c>
      <c r="F3" s="46" t="inlineStr">
        <is>
          <t>Transportadora</t>
        </is>
      </c>
      <c r="G3" s="46" t="inlineStr">
        <is>
          <t>Conductor</t>
        </is>
      </c>
      <c r="H3" s="46" t="inlineStr">
        <is>
          <t>Placa</t>
        </is>
      </c>
      <c r="I3" s="46" t="inlineStr">
        <is>
          <t>Unidades enviadas</t>
        </is>
      </c>
      <c r="J3" s="46" t="inlineStr">
        <is>
          <t>Valor del envío</t>
        </is>
      </c>
      <c r="K3" s="46" t="inlineStr">
        <is>
          <t>Fecha promesa de entrega</t>
        </is>
      </c>
      <c r="L3" s="46" t="inlineStr">
        <is>
          <t>Fecha de entrega real</t>
        </is>
      </c>
      <c r="M3" s="22" t="inlineStr">
        <is>
          <t>Días en ruta</t>
        </is>
      </c>
      <c r="N3" s="22" t="inlineStr">
        <is>
          <t>¿Llegó a tiempo?</t>
        </is>
      </c>
      <c r="O3" s="22" t="inlineStr">
        <is>
          <t>Novedades</t>
        </is>
      </c>
      <c r="P3" s="22" t="inlineStr">
        <is>
          <t>¿Llegó completa?</t>
        </is>
      </c>
      <c r="Q3" s="22" t="inlineStr">
        <is>
          <t>OTIF</t>
        </is>
      </c>
    </row>
    <row r="4" ht="16" customHeight="1">
      <c r="A4" s="48" t="inlineStr">
        <is>
          <t>G-2401</t>
        </is>
      </c>
      <c r="B4" s="48" t="inlineStr">
        <is>
          <t>P-5001</t>
        </is>
      </c>
      <c r="C4" s="47" t="n">
        <v>46244</v>
      </c>
      <c r="D4" s="50" t="inlineStr">
        <is>
          <t>Agroveterinaria El Roble</t>
        </is>
      </c>
      <c r="E4" s="50" t="inlineStr">
        <is>
          <t>Bogotá</t>
        </is>
      </c>
      <c r="F4" s="50" t="inlineStr">
        <is>
          <t>Transportadora A</t>
        </is>
      </c>
      <c r="G4" s="50" t="inlineStr">
        <is>
          <t>Juan Contreras</t>
        </is>
      </c>
      <c r="H4" s="48" t="inlineStr">
        <is>
          <t>SSY657</t>
        </is>
      </c>
      <c r="I4" s="51" t="n">
        <v>12</v>
      </c>
      <c r="J4" s="52" t="n">
        <v>4300000</v>
      </c>
      <c r="K4" s="47" t="n">
        <v>46246</v>
      </c>
      <c r="L4" s="47" t="n">
        <v>46246</v>
      </c>
      <c r="M4" s="24">
        <f>IF(OR($A4="",$C4=""),"",IF($L4&lt;&gt;"",$L4-$C4,TODAY()-$C4))</f>
        <v/>
      </c>
      <c r="N4" s="28">
        <f>IF(OR($A4="",$K4=""),"",IF($L4="",IF(TODAY()&gt;$K4,"Atrasado","En ruta"),IF($L4&lt;=$K4,"Sí","No")))</f>
        <v/>
      </c>
      <c r="O4" s="24">
        <f>IF($A4="","",COUNTIFS(NOVEDADES!$D$4:$D$1503,$A4))</f>
        <v/>
      </c>
      <c r="P4" s="28">
        <f>IF($A4="","",IF(COUNTIFS(NOVEDADES!$D$4:$D$1503,$A4,NOVEDADES!$O$4:$O$1503,"SÍ")&gt;0,"No","Sí"))</f>
        <v/>
      </c>
      <c r="Q4" s="28">
        <f>IF(OR($A4="",$L4=""),"",IF(AND($N4="Sí",$P4="Sí"),"OTIF","Falló"))</f>
        <v/>
      </c>
    </row>
    <row r="5" ht="16" customHeight="1">
      <c r="A5" s="48" t="inlineStr">
        <is>
          <t>G-2402</t>
        </is>
      </c>
      <c r="B5" s="48" t="inlineStr">
        <is>
          <t>P-5002</t>
        </is>
      </c>
      <c r="C5" s="47" t="n">
        <v>46245</v>
      </c>
      <c r="D5" s="50" t="inlineStr">
        <is>
          <t>Distribuidora La Sabana</t>
        </is>
      </c>
      <c r="E5" s="50" t="inlineStr">
        <is>
          <t>Chía</t>
        </is>
      </c>
      <c r="F5" s="50" t="inlineStr">
        <is>
          <t>Transportadora A</t>
        </is>
      </c>
      <c r="G5" s="50" t="inlineStr">
        <is>
          <t>Juan Contreras</t>
        </is>
      </c>
      <c r="H5" s="48" t="inlineStr">
        <is>
          <t>SSY657</t>
        </is>
      </c>
      <c r="I5" s="51" t="n">
        <v>8</v>
      </c>
      <c r="J5" s="52" t="n">
        <v>2100000</v>
      </c>
      <c r="K5" s="47" t="n">
        <v>46247</v>
      </c>
      <c r="L5" s="47" t="n">
        <v>46247</v>
      </c>
      <c r="M5" s="24">
        <f>IF(OR($A5="",$C5=""),"",IF($L5&lt;&gt;"",$L5-$C5,TODAY()-$C5))</f>
        <v/>
      </c>
      <c r="N5" s="28">
        <f>IF(OR($A5="",$K5=""),"",IF($L5="",IF(TODAY()&gt;$K5,"Atrasado","En ruta"),IF($L5&lt;=$K5,"Sí","No")))</f>
        <v/>
      </c>
      <c r="O5" s="24">
        <f>IF($A5="","",COUNTIFS(NOVEDADES!$D$4:$D$1503,$A5))</f>
        <v/>
      </c>
      <c r="P5" s="28">
        <f>IF($A5="","",IF(COUNTIFS(NOVEDADES!$D$4:$D$1503,$A5,NOVEDADES!$O$4:$O$1503,"SÍ")&gt;0,"No","Sí"))</f>
        <v/>
      </c>
      <c r="Q5" s="28">
        <f>IF(OR($A5="",$L5=""),"",IF(AND($N5="Sí",$P5="Sí"),"OTIF","Falló"))</f>
        <v/>
      </c>
    </row>
    <row r="6" ht="16" customHeight="1">
      <c r="A6" s="48" t="inlineStr">
        <is>
          <t>G-2403</t>
        </is>
      </c>
      <c r="B6" s="48" t="inlineStr">
        <is>
          <t>P-5003</t>
        </is>
      </c>
      <c r="C6" s="47" t="n">
        <v>46247</v>
      </c>
      <c r="D6" s="50" t="inlineStr">
        <is>
          <t>Almacén Los Andes</t>
        </is>
      </c>
      <c r="E6" s="50" t="inlineStr">
        <is>
          <t>Bogotá</t>
        </is>
      </c>
      <c r="F6" s="50" t="inlineStr">
        <is>
          <t>Transportadora A</t>
        </is>
      </c>
      <c r="G6" s="50" t="inlineStr">
        <is>
          <t>Marta Peña</t>
        </is>
      </c>
      <c r="H6" s="48" t="inlineStr">
        <is>
          <t>KLM220</t>
        </is>
      </c>
      <c r="I6" s="51" t="n">
        <v>5</v>
      </c>
      <c r="J6" s="52" t="n">
        <v>1500000</v>
      </c>
      <c r="K6" s="47" t="n">
        <v>46249</v>
      </c>
      <c r="L6" s="47" t="n">
        <v>46248</v>
      </c>
      <c r="M6" s="24">
        <f>IF(OR($A6="",$C6=""),"",IF($L6&lt;&gt;"",$L6-$C6,TODAY()-$C6))</f>
        <v/>
      </c>
      <c r="N6" s="28">
        <f>IF(OR($A6="",$K6=""),"",IF($L6="",IF(TODAY()&gt;$K6,"Atrasado","En ruta"),IF($L6&lt;=$K6,"Sí","No")))</f>
        <v/>
      </c>
      <c r="O6" s="24">
        <f>IF($A6="","",COUNTIFS(NOVEDADES!$D$4:$D$1503,$A6))</f>
        <v/>
      </c>
      <c r="P6" s="28">
        <f>IF($A6="","",IF(COUNTIFS(NOVEDADES!$D$4:$D$1503,$A6,NOVEDADES!$O$4:$O$1503,"SÍ")&gt;0,"No","Sí"))</f>
        <v/>
      </c>
      <c r="Q6" s="28">
        <f>IF(OR($A6="",$L6=""),"",IF(AND($N6="Sí",$P6="Sí"),"OTIF","Falló"))</f>
        <v/>
      </c>
    </row>
    <row r="7" ht="16" customHeight="1">
      <c r="A7" s="48" t="inlineStr">
        <is>
          <t>G-2404</t>
        </is>
      </c>
      <c r="B7" s="48" t="inlineStr">
        <is>
          <t>P-5004</t>
        </is>
      </c>
      <c r="C7" s="47" t="n">
        <v>46251</v>
      </c>
      <c r="D7" s="50" t="inlineStr">
        <is>
          <t>Insumos del Norte</t>
        </is>
      </c>
      <c r="E7" s="50" t="inlineStr">
        <is>
          <t>Zipaquirá</t>
        </is>
      </c>
      <c r="F7" s="50" t="inlineStr">
        <is>
          <t>Transportadora A</t>
        </is>
      </c>
      <c r="G7" s="50" t="inlineStr">
        <is>
          <t>Juan Contreras</t>
        </is>
      </c>
      <c r="H7" s="48" t="inlineStr">
        <is>
          <t>SSY657</t>
        </is>
      </c>
      <c r="I7" s="51" t="n">
        <v>15</v>
      </c>
      <c r="J7" s="52" t="n">
        <v>5200000</v>
      </c>
      <c r="K7" s="47" t="n">
        <v>46253</v>
      </c>
      <c r="L7" s="47" t="n">
        <v>46253</v>
      </c>
      <c r="M7" s="24">
        <f>IF(OR($A7="",$C7=""),"",IF($L7&lt;&gt;"",$L7-$C7,TODAY()-$C7))</f>
        <v/>
      </c>
      <c r="N7" s="28">
        <f>IF(OR($A7="",$K7=""),"",IF($L7="",IF(TODAY()&gt;$K7,"Atrasado","En ruta"),IF($L7&lt;=$K7,"Sí","No")))</f>
        <v/>
      </c>
      <c r="O7" s="24">
        <f>IF($A7="","",COUNTIFS(NOVEDADES!$D$4:$D$1503,$A7))</f>
        <v/>
      </c>
      <c r="P7" s="28">
        <f>IF($A7="","",IF(COUNTIFS(NOVEDADES!$D$4:$D$1503,$A7,NOVEDADES!$O$4:$O$1503,"SÍ")&gt;0,"No","Sí"))</f>
        <v/>
      </c>
      <c r="Q7" s="28">
        <f>IF(OR($A7="",$L7=""),"",IF(AND($N7="Sí",$P7="Sí"),"OTIF","Falló"))</f>
        <v/>
      </c>
    </row>
    <row r="8" ht="16" customHeight="1">
      <c r="A8" s="48" t="inlineStr">
        <is>
          <t>G-2405</t>
        </is>
      </c>
      <c r="B8" s="48" t="inlineStr">
        <is>
          <t>P-5005</t>
        </is>
      </c>
      <c r="C8" s="47" t="n">
        <v>46254</v>
      </c>
      <c r="D8" s="50" t="inlineStr">
        <is>
          <t>Veterinaria San Jorge</t>
        </is>
      </c>
      <c r="E8" s="50" t="inlineStr">
        <is>
          <t>Cota</t>
        </is>
      </c>
      <c r="F8" s="50" t="inlineStr">
        <is>
          <t>Transportadora A</t>
        </is>
      </c>
      <c r="G8" s="50" t="inlineStr">
        <is>
          <t>Marta Peña</t>
        </is>
      </c>
      <c r="H8" s="48" t="inlineStr">
        <is>
          <t>KLM220</t>
        </is>
      </c>
      <c r="I8" s="51" t="n">
        <v>4</v>
      </c>
      <c r="J8" s="52" t="n">
        <v>1100000</v>
      </c>
      <c r="K8" s="47" t="n">
        <v>46256</v>
      </c>
      <c r="L8" s="47" t="n">
        <v>46256</v>
      </c>
      <c r="M8" s="24">
        <f>IF(OR($A8="",$C8=""),"",IF($L8&lt;&gt;"",$L8-$C8,TODAY()-$C8))</f>
        <v/>
      </c>
      <c r="N8" s="28">
        <f>IF(OR($A8="",$K8=""),"",IF($L8="",IF(TODAY()&gt;$K8,"Atrasado","En ruta"),IF($L8&lt;=$K8,"Sí","No")))</f>
        <v/>
      </c>
      <c r="O8" s="24">
        <f>IF($A8="","",COUNTIFS(NOVEDADES!$D$4:$D$1503,$A8))</f>
        <v/>
      </c>
      <c r="P8" s="28">
        <f>IF($A8="","",IF(COUNTIFS(NOVEDADES!$D$4:$D$1503,$A8,NOVEDADES!$O$4:$O$1503,"SÍ")&gt;0,"No","Sí"))</f>
        <v/>
      </c>
      <c r="Q8" s="28">
        <f>IF(OR($A8="",$L8=""),"",IF(AND($N8="Sí",$P8="Sí"),"OTIF","Falló"))</f>
        <v/>
      </c>
    </row>
    <row r="9" ht="16" customHeight="1">
      <c r="A9" s="48" t="inlineStr">
        <is>
          <t>G-2406</t>
        </is>
      </c>
      <c r="B9" s="48" t="inlineStr">
        <is>
          <t>P-5006</t>
        </is>
      </c>
      <c r="C9" s="47" t="n">
        <v>46259</v>
      </c>
      <c r="D9" s="50" t="inlineStr">
        <is>
          <t>Comercial El Prado</t>
        </is>
      </c>
      <c r="E9" s="50" t="inlineStr">
        <is>
          <t>Bogotá</t>
        </is>
      </c>
      <c r="F9" s="50" t="inlineStr">
        <is>
          <t>Transportadora A</t>
        </is>
      </c>
      <c r="G9" s="50" t="inlineStr">
        <is>
          <t>Juan Contreras</t>
        </is>
      </c>
      <c r="H9" s="48" t="inlineStr">
        <is>
          <t>SSY657</t>
        </is>
      </c>
      <c r="I9" s="51" t="n">
        <v>9</v>
      </c>
      <c r="J9" s="52" t="n">
        <v>2800000</v>
      </c>
      <c r="K9" s="47" t="n">
        <v>46261</v>
      </c>
      <c r="L9" s="47" t="n">
        <v>46261</v>
      </c>
      <c r="M9" s="24">
        <f>IF(OR($A9="",$C9=""),"",IF($L9&lt;&gt;"",$L9-$C9,TODAY()-$C9))</f>
        <v/>
      </c>
      <c r="N9" s="28">
        <f>IF(OR($A9="",$K9=""),"",IF($L9="",IF(TODAY()&gt;$K9,"Atrasado","En ruta"),IF($L9&lt;=$K9,"Sí","No")))</f>
        <v/>
      </c>
      <c r="O9" s="24">
        <f>IF($A9="","",COUNTIFS(NOVEDADES!$D$4:$D$1503,$A9))</f>
        <v/>
      </c>
      <c r="P9" s="28">
        <f>IF($A9="","",IF(COUNTIFS(NOVEDADES!$D$4:$D$1503,$A9,NOVEDADES!$O$4:$O$1503,"SÍ")&gt;0,"No","Sí"))</f>
        <v/>
      </c>
      <c r="Q9" s="28">
        <f>IF(OR($A9="",$L9=""),"",IF(AND($N9="Sí",$P9="Sí"),"OTIF","Falló"))</f>
        <v/>
      </c>
    </row>
    <row r="10" ht="16" customHeight="1">
      <c r="A10" s="48" t="inlineStr">
        <is>
          <t>G-2407</t>
        </is>
      </c>
      <c r="B10" s="48" t="inlineStr">
        <is>
          <t>P-5007</t>
        </is>
      </c>
      <c r="C10" s="47" t="n">
        <v>46262</v>
      </c>
      <c r="D10" s="50" t="inlineStr">
        <is>
          <t>Agro Suministros SAS</t>
        </is>
      </c>
      <c r="E10" s="50" t="inlineStr">
        <is>
          <t>Funza</t>
        </is>
      </c>
      <c r="F10" s="50" t="inlineStr">
        <is>
          <t>Transportadora A</t>
        </is>
      </c>
      <c r="G10" s="50" t="inlineStr">
        <is>
          <t>Marta Peña</t>
        </is>
      </c>
      <c r="H10" s="48" t="inlineStr">
        <is>
          <t>KLM220</t>
        </is>
      </c>
      <c r="I10" s="51" t="n">
        <v>6</v>
      </c>
      <c r="J10" s="52" t="n">
        <v>1750000</v>
      </c>
      <c r="K10" s="47" t="n">
        <v>46266</v>
      </c>
      <c r="L10" s="47" t="n">
        <v>46266</v>
      </c>
      <c r="M10" s="24">
        <f>IF(OR($A10="",$C10=""),"",IF($L10&lt;&gt;"",$L10-$C10,TODAY()-$C10))</f>
        <v/>
      </c>
      <c r="N10" s="28">
        <f>IF(OR($A10="",$K10=""),"",IF($L10="",IF(TODAY()&gt;$K10,"Atrasado","En ruta"),IF($L10&lt;=$K10,"Sí","No")))</f>
        <v/>
      </c>
      <c r="O10" s="24">
        <f>IF($A10="","",COUNTIFS(NOVEDADES!$D$4:$D$1503,$A10))</f>
        <v/>
      </c>
      <c r="P10" s="28">
        <f>IF($A10="","",IF(COUNTIFS(NOVEDADES!$D$4:$D$1503,$A10,NOVEDADES!$O$4:$O$1503,"SÍ")&gt;0,"No","Sí"))</f>
        <v/>
      </c>
      <c r="Q10" s="28">
        <f>IF(OR($A10="",$L10=""),"",IF(AND($N10="Sí",$P10="Sí"),"OTIF","Falló"))</f>
        <v/>
      </c>
    </row>
    <row r="11" ht="16" customHeight="1">
      <c r="A11" s="48" t="inlineStr">
        <is>
          <t>G-2408</t>
        </is>
      </c>
      <c r="B11" s="48" t="inlineStr">
        <is>
          <t>P-5008</t>
        </is>
      </c>
      <c r="C11" s="47" t="n">
        <v>46267</v>
      </c>
      <c r="D11" s="50" t="inlineStr">
        <is>
          <t>Distribuidora La Sabana</t>
        </is>
      </c>
      <c r="E11" s="50" t="inlineStr">
        <is>
          <t>Chía</t>
        </is>
      </c>
      <c r="F11" s="50" t="inlineStr">
        <is>
          <t>Transportadora A</t>
        </is>
      </c>
      <c r="G11" s="50" t="inlineStr">
        <is>
          <t>Juan Contreras</t>
        </is>
      </c>
      <c r="H11" s="48" t="inlineStr">
        <is>
          <t>SSY657</t>
        </is>
      </c>
      <c r="I11" s="51" t="n">
        <v>11</v>
      </c>
      <c r="J11" s="52" t="n">
        <v>3400000</v>
      </c>
      <c r="K11" s="47" t="n">
        <v>46269</v>
      </c>
      <c r="L11" s="47" t="n">
        <v>46269</v>
      </c>
      <c r="M11" s="24">
        <f>IF(OR($A11="",$C11=""),"",IF($L11&lt;&gt;"",$L11-$C11,TODAY()-$C11))</f>
        <v/>
      </c>
      <c r="N11" s="28">
        <f>IF(OR($A11="",$K11=""),"",IF($L11="",IF(TODAY()&gt;$K11,"Atrasado","En ruta"),IF($L11&lt;=$K11,"Sí","No")))</f>
        <v/>
      </c>
      <c r="O11" s="24">
        <f>IF($A11="","",COUNTIFS(NOVEDADES!$D$4:$D$1503,$A11))</f>
        <v/>
      </c>
      <c r="P11" s="28">
        <f>IF($A11="","",IF(COUNTIFS(NOVEDADES!$D$4:$D$1503,$A11,NOVEDADES!$O$4:$O$1503,"SÍ")&gt;0,"No","Sí"))</f>
        <v/>
      </c>
      <c r="Q11" s="28">
        <f>IF(OR($A11="",$L11=""),"",IF(AND($N11="Sí",$P11="Sí"),"OTIF","Falló"))</f>
        <v/>
      </c>
    </row>
    <row r="12" ht="16" customHeight="1">
      <c r="A12" s="48" t="inlineStr">
        <is>
          <t>G-2409</t>
        </is>
      </c>
      <c r="B12" s="48" t="inlineStr">
        <is>
          <t>P-5009</t>
        </is>
      </c>
      <c r="C12" s="47" t="n">
        <v>46244</v>
      </c>
      <c r="D12" s="50" t="inlineStr">
        <is>
          <t>Almacén Central del Café</t>
        </is>
      </c>
      <c r="E12" s="50" t="inlineStr">
        <is>
          <t>Pereira</t>
        </is>
      </c>
      <c r="F12" s="50" t="inlineStr">
        <is>
          <t>Transportadora B</t>
        </is>
      </c>
      <c r="G12" s="50" t="inlineStr">
        <is>
          <t>Pedro Ruiz</t>
        </is>
      </c>
      <c r="H12" s="48" t="inlineStr">
        <is>
          <t>ABC123</t>
        </is>
      </c>
      <c r="I12" s="51" t="n">
        <v>7</v>
      </c>
      <c r="J12" s="52" t="n">
        <v>2050000</v>
      </c>
      <c r="K12" s="47" t="n">
        <v>46248</v>
      </c>
      <c r="L12" s="47" t="n">
        <v>46248</v>
      </c>
      <c r="M12" s="24">
        <f>IF(OR($A12="",$C12=""),"",IF($L12&lt;&gt;"",$L12-$C12,TODAY()-$C12))</f>
        <v/>
      </c>
      <c r="N12" s="28">
        <f>IF(OR($A12="",$K12=""),"",IF($L12="",IF(TODAY()&gt;$K12,"Atrasado","En ruta"),IF($L12&lt;=$K12,"Sí","No")))</f>
        <v/>
      </c>
      <c r="O12" s="24">
        <f>IF($A12="","",COUNTIFS(NOVEDADES!$D$4:$D$1503,$A12))</f>
        <v/>
      </c>
      <c r="P12" s="28">
        <f>IF($A12="","",IF(COUNTIFS(NOVEDADES!$D$4:$D$1503,$A12,NOVEDADES!$O$4:$O$1503,"SÍ")&gt;0,"No","Sí"))</f>
        <v/>
      </c>
      <c r="Q12" s="28">
        <f>IF(OR($A12="",$L12=""),"",IF(AND($N12="Sí",$P12="Sí"),"OTIF","Falló"))</f>
        <v/>
      </c>
    </row>
    <row r="13" ht="16" customHeight="1">
      <c r="A13" s="48" t="inlineStr">
        <is>
          <t>G-2410</t>
        </is>
      </c>
      <c r="B13" s="48" t="inlineStr">
        <is>
          <t>P-5010</t>
        </is>
      </c>
      <c r="C13" s="47" t="n">
        <v>46246</v>
      </c>
      <c r="D13" s="50" t="inlineStr">
        <is>
          <t>Mercados del Eje</t>
        </is>
      </c>
      <c r="E13" s="50" t="inlineStr">
        <is>
          <t>Armenia</t>
        </is>
      </c>
      <c r="F13" s="50" t="inlineStr">
        <is>
          <t>Transportadora B</t>
        </is>
      </c>
      <c r="G13" s="50" t="inlineStr">
        <is>
          <t>Pedro Ruiz</t>
        </is>
      </c>
      <c r="H13" s="48" t="inlineStr">
        <is>
          <t>ABC123</t>
        </is>
      </c>
      <c r="I13" s="51" t="n">
        <v>20</v>
      </c>
      <c r="J13" s="52" t="n">
        <v>7000000</v>
      </c>
      <c r="K13" s="47" t="n">
        <v>46250</v>
      </c>
      <c r="L13" s="47" t="n">
        <v>46252</v>
      </c>
      <c r="M13" s="24">
        <f>IF(OR($A13="",$C13=""),"",IF($L13&lt;&gt;"",$L13-$C13,TODAY()-$C13))</f>
        <v/>
      </c>
      <c r="N13" s="28">
        <f>IF(OR($A13="",$K13=""),"",IF($L13="",IF(TODAY()&gt;$K13,"Atrasado","En ruta"),IF($L13&lt;=$K13,"Sí","No")))</f>
        <v/>
      </c>
      <c r="O13" s="24">
        <f>IF($A13="","",COUNTIFS(NOVEDADES!$D$4:$D$1503,$A13))</f>
        <v/>
      </c>
      <c r="P13" s="28">
        <f>IF($A13="","",IF(COUNTIFS(NOVEDADES!$D$4:$D$1503,$A13,NOVEDADES!$O$4:$O$1503,"SÍ")&gt;0,"No","Sí"))</f>
        <v/>
      </c>
      <c r="Q13" s="28">
        <f>IF(OR($A13="",$L13=""),"",IF(AND($N13="Sí",$P13="Sí"),"OTIF","Falló"))</f>
        <v/>
      </c>
    </row>
    <row r="14" ht="16" customHeight="1">
      <c r="A14" s="48" t="inlineStr">
        <is>
          <t>G-2411</t>
        </is>
      </c>
      <c r="B14" s="48" t="inlineStr">
        <is>
          <t>P-5011</t>
        </is>
      </c>
      <c r="C14" s="47" t="n">
        <v>46248</v>
      </c>
      <c r="D14" s="50" t="inlineStr">
        <is>
          <t>Surtitodo Manizales</t>
        </is>
      </c>
      <c r="E14" s="50" t="inlineStr">
        <is>
          <t>Manizales</t>
        </is>
      </c>
      <c r="F14" s="50" t="inlineStr">
        <is>
          <t>Transportadora B</t>
        </is>
      </c>
      <c r="G14" s="50" t="inlineStr">
        <is>
          <t>Ivan Salas</t>
        </is>
      </c>
      <c r="H14" s="48" t="inlineStr">
        <is>
          <t>RTF908</t>
        </is>
      </c>
      <c r="I14" s="51" t="n">
        <v>10</v>
      </c>
      <c r="J14" s="52" t="n">
        <v>3100000</v>
      </c>
      <c r="K14" s="47" t="n">
        <v>46252</v>
      </c>
      <c r="L14" s="47" t="n">
        <v>46252</v>
      </c>
      <c r="M14" s="24">
        <f>IF(OR($A14="",$C14=""),"",IF($L14&lt;&gt;"",$L14-$C14,TODAY()-$C14))</f>
        <v/>
      </c>
      <c r="N14" s="28">
        <f>IF(OR($A14="",$K14=""),"",IF($L14="",IF(TODAY()&gt;$K14,"Atrasado","En ruta"),IF($L14&lt;=$K14,"Sí","No")))</f>
        <v/>
      </c>
      <c r="O14" s="24">
        <f>IF($A14="","",COUNTIFS(NOVEDADES!$D$4:$D$1503,$A14))</f>
        <v/>
      </c>
      <c r="P14" s="28">
        <f>IF($A14="","",IF(COUNTIFS(NOVEDADES!$D$4:$D$1503,$A14,NOVEDADES!$O$4:$O$1503,"SÍ")&gt;0,"No","Sí"))</f>
        <v/>
      </c>
      <c r="Q14" s="28">
        <f>IF(OR($A14="",$L14=""),"",IF(AND($N14="Sí",$P14="Sí"),"OTIF","Falló"))</f>
        <v/>
      </c>
    </row>
    <row r="15" ht="16" customHeight="1">
      <c r="A15" s="48" t="inlineStr">
        <is>
          <t>G-2412</t>
        </is>
      </c>
      <c r="B15" s="48" t="inlineStr">
        <is>
          <t>P-5012</t>
        </is>
      </c>
      <c r="C15" s="47" t="n">
        <v>46253</v>
      </c>
      <c r="D15" s="50" t="inlineStr">
        <is>
          <t>Agropecuaria del Quindío</t>
        </is>
      </c>
      <c r="E15" s="50" t="inlineStr">
        <is>
          <t>Armenia</t>
        </is>
      </c>
      <c r="F15" s="50" t="inlineStr">
        <is>
          <t>Transportadora B</t>
        </is>
      </c>
      <c r="G15" s="50" t="inlineStr">
        <is>
          <t>Pedro Ruiz</t>
        </is>
      </c>
      <c r="H15" s="48" t="inlineStr">
        <is>
          <t>ABC123</t>
        </is>
      </c>
      <c r="I15" s="51" t="n">
        <v>6</v>
      </c>
      <c r="J15" s="52" t="n">
        <v>1900000</v>
      </c>
      <c r="K15" s="47" t="n">
        <v>46257</v>
      </c>
      <c r="L15" s="47" t="n">
        <v>46257</v>
      </c>
      <c r="M15" s="24">
        <f>IF(OR($A15="",$C15=""),"",IF($L15&lt;&gt;"",$L15-$C15,TODAY()-$C15))</f>
        <v/>
      </c>
      <c r="N15" s="28">
        <f>IF(OR($A15="",$K15=""),"",IF($L15="",IF(TODAY()&gt;$K15,"Atrasado","En ruta"),IF($L15&lt;=$K15,"Sí","No")))</f>
        <v/>
      </c>
      <c r="O15" s="24">
        <f>IF($A15="","",COUNTIFS(NOVEDADES!$D$4:$D$1503,$A15))</f>
        <v/>
      </c>
      <c r="P15" s="28">
        <f>IF($A15="","",IF(COUNTIFS(NOVEDADES!$D$4:$D$1503,$A15,NOVEDADES!$O$4:$O$1503,"SÍ")&gt;0,"No","Sí"))</f>
        <v/>
      </c>
      <c r="Q15" s="28">
        <f>IF(OR($A15="",$L15=""),"",IF(AND($N15="Sí",$P15="Sí"),"OTIF","Falló"))</f>
        <v/>
      </c>
    </row>
    <row r="16" ht="16" customHeight="1">
      <c r="A16" s="48" t="inlineStr">
        <is>
          <t>G-2413</t>
        </is>
      </c>
      <c r="B16" s="48" t="inlineStr">
        <is>
          <t>P-5013</t>
        </is>
      </c>
      <c r="C16" s="47" t="n">
        <v>46258</v>
      </c>
      <c r="D16" s="50" t="inlineStr">
        <is>
          <t>Almacén Central del Café</t>
        </is>
      </c>
      <c r="E16" s="50" t="inlineStr">
        <is>
          <t>Pereira</t>
        </is>
      </c>
      <c r="F16" s="50" t="inlineStr">
        <is>
          <t>Transportadora B</t>
        </is>
      </c>
      <c r="G16" s="50" t="inlineStr">
        <is>
          <t>Ivan Salas</t>
        </is>
      </c>
      <c r="H16" s="48" t="inlineStr">
        <is>
          <t>RTF908</t>
        </is>
      </c>
      <c r="I16" s="51" t="n">
        <v>14</v>
      </c>
      <c r="J16" s="52" t="n">
        <v>4600000</v>
      </c>
      <c r="K16" s="47" t="n">
        <v>46262</v>
      </c>
      <c r="L16" s="47" t="n">
        <v>46265</v>
      </c>
      <c r="M16" s="24">
        <f>IF(OR($A16="",$C16=""),"",IF($L16&lt;&gt;"",$L16-$C16,TODAY()-$C16))</f>
        <v/>
      </c>
      <c r="N16" s="28">
        <f>IF(OR($A16="",$K16=""),"",IF($L16="",IF(TODAY()&gt;$K16,"Atrasado","En ruta"),IF($L16&lt;=$K16,"Sí","No")))</f>
        <v/>
      </c>
      <c r="O16" s="24">
        <f>IF($A16="","",COUNTIFS(NOVEDADES!$D$4:$D$1503,$A16))</f>
        <v/>
      </c>
      <c r="P16" s="28">
        <f>IF($A16="","",IF(COUNTIFS(NOVEDADES!$D$4:$D$1503,$A16,NOVEDADES!$O$4:$O$1503,"SÍ")&gt;0,"No","Sí"))</f>
        <v/>
      </c>
      <c r="Q16" s="28">
        <f>IF(OR($A16="",$L16=""),"",IF(AND($N16="Sí",$P16="Sí"),"OTIF","Falló"))</f>
        <v/>
      </c>
    </row>
    <row r="17" ht="16" customHeight="1">
      <c r="A17" s="48" t="inlineStr">
        <is>
          <t>G-2414</t>
        </is>
      </c>
      <c r="B17" s="48" t="inlineStr">
        <is>
          <t>P-5014</t>
        </is>
      </c>
      <c r="C17" s="47" t="n">
        <v>46261</v>
      </c>
      <c r="D17" s="50" t="inlineStr">
        <is>
          <t>Distribuciones Risaralda</t>
        </is>
      </c>
      <c r="E17" s="50" t="inlineStr">
        <is>
          <t>Dosquebradas</t>
        </is>
      </c>
      <c r="F17" s="50" t="inlineStr">
        <is>
          <t>Transportadora B</t>
        </is>
      </c>
      <c r="G17" s="50" t="inlineStr">
        <is>
          <t>Pedro Ruiz</t>
        </is>
      </c>
      <c r="H17" s="48" t="inlineStr">
        <is>
          <t>ABC123</t>
        </is>
      </c>
      <c r="I17" s="51" t="n">
        <v>3</v>
      </c>
      <c r="J17" s="52" t="n">
        <v>850000</v>
      </c>
      <c r="K17" s="47" t="n">
        <v>46265</v>
      </c>
      <c r="L17" s="47" t="n">
        <v>46265</v>
      </c>
      <c r="M17" s="24">
        <f>IF(OR($A17="",$C17=""),"",IF($L17&lt;&gt;"",$L17-$C17,TODAY()-$C17))</f>
        <v/>
      </c>
      <c r="N17" s="28">
        <f>IF(OR($A17="",$K17=""),"",IF($L17="",IF(TODAY()&gt;$K17,"Atrasado","En ruta"),IF($L17&lt;=$K17,"Sí","No")))</f>
        <v/>
      </c>
      <c r="O17" s="24">
        <f>IF($A17="","",COUNTIFS(NOVEDADES!$D$4:$D$1503,$A17))</f>
        <v/>
      </c>
      <c r="P17" s="28">
        <f>IF($A17="","",IF(COUNTIFS(NOVEDADES!$D$4:$D$1503,$A17,NOVEDADES!$O$4:$O$1503,"SÍ")&gt;0,"No","Sí"))</f>
        <v/>
      </c>
      <c r="Q17" s="28">
        <f>IF(OR($A17="",$L17=""),"",IF(AND($N17="Sí",$P17="Sí"),"OTIF","Falló"))</f>
        <v/>
      </c>
    </row>
    <row r="18" ht="16" customHeight="1">
      <c r="A18" s="48" t="inlineStr">
        <is>
          <t>G-2415</t>
        </is>
      </c>
      <c r="B18" s="48" t="inlineStr">
        <is>
          <t>P-5015</t>
        </is>
      </c>
      <c r="C18" s="47" t="n">
        <v>46266</v>
      </c>
      <c r="D18" s="50" t="inlineStr">
        <is>
          <t>Mercados del Eje</t>
        </is>
      </c>
      <c r="E18" s="50" t="inlineStr">
        <is>
          <t>Armenia</t>
        </is>
      </c>
      <c r="F18" s="50" t="inlineStr">
        <is>
          <t>Transportadora B</t>
        </is>
      </c>
      <c r="G18" s="50" t="inlineStr">
        <is>
          <t>Ivan Salas</t>
        </is>
      </c>
      <c r="H18" s="48" t="inlineStr">
        <is>
          <t>RTF908</t>
        </is>
      </c>
      <c r="I18" s="51" t="n">
        <v>18</v>
      </c>
      <c r="J18" s="52" t="n">
        <v>5900000</v>
      </c>
      <c r="K18" s="47" t="n">
        <v>46270</v>
      </c>
      <c r="L18" s="47" t="n">
        <v>46272</v>
      </c>
      <c r="M18" s="24">
        <f>IF(OR($A18="",$C18=""),"",IF($L18&lt;&gt;"",$L18-$C18,TODAY()-$C18))</f>
        <v/>
      </c>
      <c r="N18" s="28">
        <f>IF(OR($A18="",$K18=""),"",IF($L18="",IF(TODAY()&gt;$K18,"Atrasado","En ruta"),IF($L18&lt;=$K18,"Sí","No")))</f>
        <v/>
      </c>
      <c r="O18" s="24">
        <f>IF($A18="","",COUNTIFS(NOVEDADES!$D$4:$D$1503,$A18))</f>
        <v/>
      </c>
      <c r="P18" s="28">
        <f>IF($A18="","",IF(COUNTIFS(NOVEDADES!$D$4:$D$1503,$A18,NOVEDADES!$O$4:$O$1503,"SÍ")&gt;0,"No","Sí"))</f>
        <v/>
      </c>
      <c r="Q18" s="28">
        <f>IF(OR($A18="",$L18=""),"",IF(AND($N18="Sí",$P18="Sí"),"OTIF","Falló"))</f>
        <v/>
      </c>
    </row>
    <row r="19" ht="16" customHeight="1">
      <c r="A19" s="48" t="inlineStr">
        <is>
          <t>G-2416</t>
        </is>
      </c>
      <c r="B19" s="48" t="inlineStr">
        <is>
          <t>P-5016</t>
        </is>
      </c>
      <c r="C19" s="47" t="n">
        <v>46268</v>
      </c>
      <c r="D19" s="50" t="inlineStr">
        <is>
          <t>Surtitodo Manizales</t>
        </is>
      </c>
      <c r="E19" s="50" t="inlineStr">
        <is>
          <t>Manizales</t>
        </is>
      </c>
      <c r="F19" s="50" t="inlineStr">
        <is>
          <t>Transportadora B</t>
        </is>
      </c>
      <c r="G19" s="50" t="inlineStr">
        <is>
          <t>Pedro Ruiz</t>
        </is>
      </c>
      <c r="H19" s="48" t="inlineStr">
        <is>
          <t>ABC123</t>
        </is>
      </c>
      <c r="I19" s="51" t="n">
        <v>8</v>
      </c>
      <c r="J19" s="52" t="n">
        <v>2400000</v>
      </c>
      <c r="K19" s="47" t="n">
        <v>46272</v>
      </c>
      <c r="L19" s="47" t="n">
        <v>46272</v>
      </c>
      <c r="M19" s="24">
        <f>IF(OR($A19="",$C19=""),"",IF($L19&lt;&gt;"",$L19-$C19,TODAY()-$C19))</f>
        <v/>
      </c>
      <c r="N19" s="28">
        <f>IF(OR($A19="",$K19=""),"",IF($L19="",IF(TODAY()&gt;$K19,"Atrasado","En ruta"),IF($L19&lt;=$K19,"Sí","No")))</f>
        <v/>
      </c>
      <c r="O19" s="24">
        <f>IF($A19="","",COUNTIFS(NOVEDADES!$D$4:$D$1503,$A19))</f>
        <v/>
      </c>
      <c r="P19" s="28">
        <f>IF($A19="","",IF(COUNTIFS(NOVEDADES!$D$4:$D$1503,$A19,NOVEDADES!$O$4:$O$1503,"SÍ")&gt;0,"No","Sí"))</f>
        <v/>
      </c>
      <c r="Q19" s="28">
        <f>IF(OR($A19="",$L19=""),"",IF(AND($N19="Sí",$P19="Sí"),"OTIF","Falló"))</f>
        <v/>
      </c>
    </row>
    <row r="20" ht="16" customHeight="1">
      <c r="A20" s="48" t="inlineStr">
        <is>
          <t>G-2417</t>
        </is>
      </c>
      <c r="B20" s="48" t="inlineStr">
        <is>
          <t>P-5017</t>
        </is>
      </c>
      <c r="C20" s="47" t="n">
        <v>46245</v>
      </c>
      <c r="D20" s="50" t="inlineStr">
        <is>
          <t>Comercial del Norte</t>
        </is>
      </c>
      <c r="E20" s="50" t="inlineStr">
        <is>
          <t>Barranquilla</t>
        </is>
      </c>
      <c r="F20" s="50" t="inlineStr">
        <is>
          <t>Transportadora C</t>
        </is>
      </c>
      <c r="G20" s="50" t="inlineStr">
        <is>
          <t>Luis Gómez</t>
        </is>
      </c>
      <c r="H20" s="48" t="inlineStr">
        <is>
          <t>XYZ987</t>
        </is>
      </c>
      <c r="I20" s="51" t="n">
        <v>22</v>
      </c>
      <c r="J20" s="52" t="n">
        <v>7600000</v>
      </c>
      <c r="K20" s="47" t="n">
        <v>46250</v>
      </c>
      <c r="L20" s="47" t="n">
        <v>46254</v>
      </c>
      <c r="M20" s="24">
        <f>IF(OR($A20="",$C20=""),"",IF($L20&lt;&gt;"",$L20-$C20,TODAY()-$C20))</f>
        <v/>
      </c>
      <c r="N20" s="28">
        <f>IF(OR($A20="",$K20=""),"",IF($L20="",IF(TODAY()&gt;$K20,"Atrasado","En ruta"),IF($L20&lt;=$K20,"Sí","No")))</f>
        <v/>
      </c>
      <c r="O20" s="24">
        <f>IF($A20="","",COUNTIFS(NOVEDADES!$D$4:$D$1503,$A20))</f>
        <v/>
      </c>
      <c r="P20" s="28">
        <f>IF($A20="","",IF(COUNTIFS(NOVEDADES!$D$4:$D$1503,$A20,NOVEDADES!$O$4:$O$1503,"SÍ")&gt;0,"No","Sí"))</f>
        <v/>
      </c>
      <c r="Q20" s="28">
        <f>IF(OR($A20="",$L20=""),"",IF(AND($N20="Sí",$P20="Sí"),"OTIF","Falló"))</f>
        <v/>
      </c>
    </row>
    <row r="21" ht="16" customHeight="1">
      <c r="A21" s="48" t="inlineStr">
        <is>
          <t>G-2418</t>
        </is>
      </c>
      <c r="B21" s="48" t="inlineStr">
        <is>
          <t>P-5018</t>
        </is>
      </c>
      <c r="C21" s="47" t="n">
        <v>46248</v>
      </c>
      <c r="D21" s="50" t="inlineStr">
        <is>
          <t>Distribuidora Caribe</t>
        </is>
      </c>
      <c r="E21" s="50" t="inlineStr">
        <is>
          <t>Santa Marta</t>
        </is>
      </c>
      <c r="F21" s="50" t="inlineStr">
        <is>
          <t>Transportadora C</t>
        </is>
      </c>
      <c r="G21" s="50" t="inlineStr">
        <is>
          <t>Luis Gómez</t>
        </is>
      </c>
      <c r="H21" s="48" t="inlineStr">
        <is>
          <t>XYZ987</t>
        </is>
      </c>
      <c r="I21" s="51" t="n">
        <v>16</v>
      </c>
      <c r="J21" s="52" t="n">
        <v>5100000</v>
      </c>
      <c r="K21" s="47" t="n">
        <v>46253</v>
      </c>
      <c r="L21" s="47" t="n">
        <v>46253</v>
      </c>
      <c r="M21" s="24">
        <f>IF(OR($A21="",$C21=""),"",IF($L21&lt;&gt;"",$L21-$C21,TODAY()-$C21))</f>
        <v/>
      </c>
      <c r="N21" s="28">
        <f>IF(OR($A21="",$K21=""),"",IF($L21="",IF(TODAY()&gt;$K21,"Atrasado","En ruta"),IF($L21&lt;=$K21,"Sí","No")))</f>
        <v/>
      </c>
      <c r="O21" s="24">
        <f>IF($A21="","",COUNTIFS(NOVEDADES!$D$4:$D$1503,$A21))</f>
        <v/>
      </c>
      <c r="P21" s="28">
        <f>IF($A21="","",IF(COUNTIFS(NOVEDADES!$D$4:$D$1503,$A21,NOVEDADES!$O$4:$O$1503,"SÍ")&gt;0,"No","Sí"))</f>
        <v/>
      </c>
      <c r="Q21" s="28">
        <f>IF(OR($A21="",$L21=""),"",IF(AND($N21="Sí",$P21="Sí"),"OTIF","Falló"))</f>
        <v/>
      </c>
    </row>
    <row r="22" ht="16" customHeight="1">
      <c r="A22" s="48" t="inlineStr">
        <is>
          <t>G-2419</t>
        </is>
      </c>
      <c r="B22" s="48" t="inlineStr">
        <is>
          <t>P-5019</t>
        </is>
      </c>
      <c r="C22" s="47" t="n">
        <v>46252</v>
      </c>
      <c r="D22" s="50" t="inlineStr">
        <is>
          <t>Almacenes del Atlántico</t>
        </is>
      </c>
      <c r="E22" s="50" t="inlineStr">
        <is>
          <t>Barranquilla</t>
        </is>
      </c>
      <c r="F22" s="50" t="inlineStr">
        <is>
          <t>Transportadora C</t>
        </is>
      </c>
      <c r="G22" s="50" t="inlineStr">
        <is>
          <t>Nelson Ríos</t>
        </is>
      </c>
      <c r="H22" s="48" t="inlineStr">
        <is>
          <t>PLK441</t>
        </is>
      </c>
      <c r="I22" s="51" t="n">
        <v>9</v>
      </c>
      <c r="J22" s="52" t="n">
        <v>2900000</v>
      </c>
      <c r="K22" s="47" t="n">
        <v>46257</v>
      </c>
      <c r="L22" s="47" t="n">
        <v>46261</v>
      </c>
      <c r="M22" s="24">
        <f>IF(OR($A22="",$C22=""),"",IF($L22&lt;&gt;"",$L22-$C22,TODAY()-$C22))</f>
        <v/>
      </c>
      <c r="N22" s="28">
        <f>IF(OR($A22="",$K22=""),"",IF($L22="",IF(TODAY()&gt;$K22,"Atrasado","En ruta"),IF($L22&lt;=$K22,"Sí","No")))</f>
        <v/>
      </c>
      <c r="O22" s="24">
        <f>IF($A22="","",COUNTIFS(NOVEDADES!$D$4:$D$1503,$A22))</f>
        <v/>
      </c>
      <c r="P22" s="28">
        <f>IF($A22="","",IF(COUNTIFS(NOVEDADES!$D$4:$D$1503,$A22,NOVEDADES!$O$4:$O$1503,"SÍ")&gt;0,"No","Sí"))</f>
        <v/>
      </c>
      <c r="Q22" s="28">
        <f>IF(OR($A22="",$L22=""),"",IF(AND($N22="Sí",$P22="Sí"),"OTIF","Falló"))</f>
        <v/>
      </c>
    </row>
    <row r="23" ht="16" customHeight="1">
      <c r="A23" s="48" t="inlineStr">
        <is>
          <t>G-2420</t>
        </is>
      </c>
      <c r="B23" s="48" t="inlineStr">
        <is>
          <t>P-5020</t>
        </is>
      </c>
      <c r="C23" s="47" t="n">
        <v>46255</v>
      </c>
      <c r="D23" s="50" t="inlineStr">
        <is>
          <t>Agro Costa SAS</t>
        </is>
      </c>
      <c r="E23" s="50" t="inlineStr">
        <is>
          <t>Cartagena</t>
        </is>
      </c>
      <c r="F23" s="50" t="inlineStr">
        <is>
          <t>Transportadora C</t>
        </is>
      </c>
      <c r="G23" s="50" t="inlineStr">
        <is>
          <t>Luis Gómez</t>
        </is>
      </c>
      <c r="H23" s="48" t="inlineStr">
        <is>
          <t>XYZ987</t>
        </is>
      </c>
      <c r="I23" s="51" t="n">
        <v>12</v>
      </c>
      <c r="J23" s="52" t="n">
        <v>3800000</v>
      </c>
      <c r="K23" s="47" t="n">
        <v>46260</v>
      </c>
      <c r="L23" s="47" t="n">
        <v>46263</v>
      </c>
      <c r="M23" s="24">
        <f>IF(OR($A23="",$C23=""),"",IF($L23&lt;&gt;"",$L23-$C23,TODAY()-$C23))</f>
        <v/>
      </c>
      <c r="N23" s="28">
        <f>IF(OR($A23="",$K23=""),"",IF($L23="",IF(TODAY()&gt;$K23,"Atrasado","En ruta"),IF($L23&lt;=$K23,"Sí","No")))</f>
        <v/>
      </c>
      <c r="O23" s="24">
        <f>IF($A23="","",COUNTIFS(NOVEDADES!$D$4:$D$1503,$A23))</f>
        <v/>
      </c>
      <c r="P23" s="28">
        <f>IF($A23="","",IF(COUNTIFS(NOVEDADES!$D$4:$D$1503,$A23,NOVEDADES!$O$4:$O$1503,"SÍ")&gt;0,"No","Sí"))</f>
        <v/>
      </c>
      <c r="Q23" s="28">
        <f>IF(OR($A23="",$L23=""),"",IF(AND($N23="Sí",$P23="Sí"),"OTIF","Falló"))</f>
        <v/>
      </c>
    </row>
    <row r="24" ht="16" customHeight="1">
      <c r="A24" s="48" t="inlineStr">
        <is>
          <t>G-2421</t>
        </is>
      </c>
      <c r="B24" s="48" t="inlineStr">
        <is>
          <t>P-5021</t>
        </is>
      </c>
      <c r="C24" s="47" t="n">
        <v>46260</v>
      </c>
      <c r="D24" s="50" t="inlineStr">
        <is>
          <t>Distribuidora Caribe</t>
        </is>
      </c>
      <c r="E24" s="50" t="inlineStr">
        <is>
          <t>Santa Marta</t>
        </is>
      </c>
      <c r="F24" s="50" t="inlineStr">
        <is>
          <t>Transportadora C</t>
        </is>
      </c>
      <c r="G24" s="50" t="inlineStr">
        <is>
          <t>Nelson Ríos</t>
        </is>
      </c>
      <c r="H24" s="48" t="inlineStr">
        <is>
          <t>PLK441</t>
        </is>
      </c>
      <c r="I24" s="51" t="n">
        <v>7</v>
      </c>
      <c r="J24" s="52" t="n">
        <v>2200000</v>
      </c>
      <c r="K24" s="47" t="n">
        <v>46265</v>
      </c>
      <c r="L24" s="47" t="n">
        <v>46265</v>
      </c>
      <c r="M24" s="24">
        <f>IF(OR($A24="",$C24=""),"",IF($L24&lt;&gt;"",$L24-$C24,TODAY()-$C24))</f>
        <v/>
      </c>
      <c r="N24" s="28">
        <f>IF(OR($A24="",$K24=""),"",IF($L24="",IF(TODAY()&gt;$K24,"Atrasado","En ruta"),IF($L24&lt;=$K24,"Sí","No")))</f>
        <v/>
      </c>
      <c r="O24" s="24">
        <f>IF($A24="","",COUNTIFS(NOVEDADES!$D$4:$D$1503,$A24))</f>
        <v/>
      </c>
      <c r="P24" s="28">
        <f>IF($A24="","",IF(COUNTIFS(NOVEDADES!$D$4:$D$1503,$A24,NOVEDADES!$O$4:$O$1503,"SÍ")&gt;0,"No","Sí"))</f>
        <v/>
      </c>
      <c r="Q24" s="28">
        <f>IF(OR($A24="",$L24=""),"",IF(AND($N24="Sí",$P24="Sí"),"OTIF","Falló"))</f>
        <v/>
      </c>
    </row>
    <row r="25" ht="16" customHeight="1">
      <c r="A25" s="48" t="inlineStr">
        <is>
          <t>G-2422</t>
        </is>
      </c>
      <c r="B25" s="48" t="inlineStr">
        <is>
          <t>P-5022</t>
        </is>
      </c>
      <c r="C25" s="47" t="n">
        <v>46266</v>
      </c>
      <c r="D25" s="50" t="inlineStr">
        <is>
          <t>Comercial del Norte</t>
        </is>
      </c>
      <c r="E25" s="50" t="inlineStr">
        <is>
          <t>Barranquilla</t>
        </is>
      </c>
      <c r="F25" s="50" t="inlineStr">
        <is>
          <t>Transportadora C</t>
        </is>
      </c>
      <c r="G25" s="50" t="inlineStr">
        <is>
          <t>Luis Gómez</t>
        </is>
      </c>
      <c r="H25" s="48" t="inlineStr">
        <is>
          <t>XYZ987</t>
        </is>
      </c>
      <c r="I25" s="51" t="n">
        <v>25</v>
      </c>
      <c r="J25" s="52" t="n">
        <v>8200000</v>
      </c>
      <c r="K25" s="47" t="n">
        <v>46271</v>
      </c>
      <c r="L25" s="47" t="n">
        <v>46274</v>
      </c>
      <c r="M25" s="24">
        <f>IF(OR($A25="",$C25=""),"",IF($L25&lt;&gt;"",$L25-$C25,TODAY()-$C25))</f>
        <v/>
      </c>
      <c r="N25" s="28">
        <f>IF(OR($A25="",$K25=""),"",IF($L25="",IF(TODAY()&gt;$K25,"Atrasado","En ruta"),IF($L25&lt;=$K25,"Sí","No")))</f>
        <v/>
      </c>
      <c r="O25" s="24">
        <f>IF($A25="","",COUNTIFS(NOVEDADES!$D$4:$D$1503,$A25))</f>
        <v/>
      </c>
      <c r="P25" s="28">
        <f>IF($A25="","",IF(COUNTIFS(NOVEDADES!$D$4:$D$1503,$A25,NOVEDADES!$O$4:$O$1503,"SÍ")&gt;0,"No","Sí"))</f>
        <v/>
      </c>
      <c r="Q25" s="28">
        <f>IF(OR($A25="",$L25=""),"",IF(AND($N25="Sí",$P25="Sí"),"OTIF","Falló"))</f>
        <v/>
      </c>
    </row>
    <row r="26" ht="16" customHeight="1">
      <c r="A26" s="48" t="inlineStr">
        <is>
          <t>G-2423</t>
        </is>
      </c>
      <c r="B26" s="48" t="inlineStr">
        <is>
          <t>P-5023</t>
        </is>
      </c>
      <c r="C26" s="47" t="n">
        <v>46269</v>
      </c>
      <c r="D26" s="50" t="inlineStr">
        <is>
          <t>Agro Costa SAS</t>
        </is>
      </c>
      <c r="E26" s="50" t="inlineStr">
        <is>
          <t>Cartagena</t>
        </is>
      </c>
      <c r="F26" s="50" t="inlineStr">
        <is>
          <t>Transportadora C</t>
        </is>
      </c>
      <c r="G26" s="50" t="inlineStr">
        <is>
          <t>Nelson Ríos</t>
        </is>
      </c>
      <c r="H26" s="48" t="inlineStr">
        <is>
          <t>PLK441</t>
        </is>
      </c>
      <c r="I26" s="51" t="n">
        <v>11</v>
      </c>
      <c r="J26" s="52" t="n">
        <v>3500000</v>
      </c>
      <c r="K26" s="47" t="n">
        <v>46274</v>
      </c>
      <c r="L26" s="47" t="n"/>
      <c r="M26" s="24">
        <f>IF(OR($A26="",$C26=""),"",IF($L26&lt;&gt;"",$L26-$C26,TODAY()-$C26))</f>
        <v/>
      </c>
      <c r="N26" s="28">
        <f>IF(OR($A26="",$K26=""),"",IF($L26="",IF(TODAY()&gt;$K26,"Atrasado","En ruta"),IF($L26&lt;=$K26,"Sí","No")))</f>
        <v/>
      </c>
      <c r="O26" s="24">
        <f>IF($A26="","",COUNTIFS(NOVEDADES!$D$4:$D$1503,$A26))</f>
        <v/>
      </c>
      <c r="P26" s="28">
        <f>IF($A26="","",IF(COUNTIFS(NOVEDADES!$D$4:$D$1503,$A26,NOVEDADES!$O$4:$O$1503,"SÍ")&gt;0,"No","Sí"))</f>
        <v/>
      </c>
      <c r="Q26" s="28">
        <f>IF(OR($A26="",$L26=""),"",IF(AND($N26="Sí",$P26="Sí"),"OTIF","Falló"))</f>
        <v/>
      </c>
    </row>
    <row r="27" ht="16" customHeight="1">
      <c r="A27" s="48" t="inlineStr">
        <is>
          <t>G-2424</t>
        </is>
      </c>
      <c r="B27" s="48" t="inlineStr">
        <is>
          <t>P-5024</t>
        </is>
      </c>
      <c r="C27" s="47" t="n">
        <v>46246</v>
      </c>
      <c r="D27" s="50" t="inlineStr">
        <is>
          <t>Agro Sur Ltda</t>
        </is>
      </c>
      <c r="E27" s="50" t="inlineStr">
        <is>
          <t>Neiva</t>
        </is>
      </c>
      <c r="F27" s="50" t="inlineStr">
        <is>
          <t>Flota propia</t>
        </is>
      </c>
      <c r="G27" s="50" t="inlineStr">
        <is>
          <t>Ana Torres</t>
        </is>
      </c>
      <c r="H27" s="48" t="inlineStr">
        <is>
          <t>QTZ531</t>
        </is>
      </c>
      <c r="I27" s="51" t="n">
        <v>7</v>
      </c>
      <c r="J27" s="52" t="n">
        <v>1900000</v>
      </c>
      <c r="K27" s="47" t="n">
        <v>46249</v>
      </c>
      <c r="L27" s="47" t="n">
        <v>46249</v>
      </c>
      <c r="M27" s="24">
        <f>IF(OR($A27="",$C27=""),"",IF($L27&lt;&gt;"",$L27-$C27,TODAY()-$C27))</f>
        <v/>
      </c>
      <c r="N27" s="28">
        <f>IF(OR($A27="",$K27=""),"",IF($L27="",IF(TODAY()&gt;$K27,"Atrasado","En ruta"),IF($L27&lt;=$K27,"Sí","No")))</f>
        <v/>
      </c>
      <c r="O27" s="24">
        <f>IF($A27="","",COUNTIFS(NOVEDADES!$D$4:$D$1503,$A27))</f>
        <v/>
      </c>
      <c r="P27" s="28">
        <f>IF($A27="","",IF(COUNTIFS(NOVEDADES!$D$4:$D$1503,$A27,NOVEDADES!$O$4:$O$1503,"SÍ")&gt;0,"No","Sí"))</f>
        <v/>
      </c>
      <c r="Q27" s="28">
        <f>IF(OR($A27="",$L27=""),"",IF(AND($N27="Sí",$P27="Sí"),"OTIF","Falló"))</f>
        <v/>
      </c>
    </row>
    <row r="28" ht="16" customHeight="1">
      <c r="A28" s="48" t="inlineStr">
        <is>
          <t>G-2425</t>
        </is>
      </c>
      <c r="B28" s="48" t="inlineStr">
        <is>
          <t>P-5025</t>
        </is>
      </c>
      <c r="C28" s="47" t="n">
        <v>46251</v>
      </c>
      <c r="D28" s="50" t="inlineStr">
        <is>
          <t>Tienda El Campo</t>
        </is>
      </c>
      <c r="E28" s="50" t="inlineStr">
        <is>
          <t>Villavicencio</t>
        </is>
      </c>
      <c r="F28" s="50" t="inlineStr">
        <is>
          <t>Flota propia</t>
        </is>
      </c>
      <c r="G28" s="50" t="inlineStr">
        <is>
          <t>Ana Torres</t>
        </is>
      </c>
      <c r="H28" s="48" t="inlineStr">
        <is>
          <t>QTZ531</t>
        </is>
      </c>
      <c r="I28" s="51" t="n">
        <v>3</v>
      </c>
      <c r="J28" s="52" t="n">
        <v>900000</v>
      </c>
      <c r="K28" s="47" t="n">
        <v>46254</v>
      </c>
      <c r="L28" s="47" t="n">
        <v>46256</v>
      </c>
      <c r="M28" s="24">
        <f>IF(OR($A28="",$C28=""),"",IF($L28&lt;&gt;"",$L28-$C28,TODAY()-$C28))</f>
        <v/>
      </c>
      <c r="N28" s="28">
        <f>IF(OR($A28="",$K28=""),"",IF($L28="",IF(TODAY()&gt;$K28,"Atrasado","En ruta"),IF($L28&lt;=$K28,"Sí","No")))</f>
        <v/>
      </c>
      <c r="O28" s="24">
        <f>IF($A28="","",COUNTIFS(NOVEDADES!$D$4:$D$1503,$A28))</f>
        <v/>
      </c>
      <c r="P28" s="28">
        <f>IF($A28="","",IF(COUNTIFS(NOVEDADES!$D$4:$D$1503,$A28,NOVEDADES!$O$4:$O$1503,"SÍ")&gt;0,"No","Sí"))</f>
        <v/>
      </c>
      <c r="Q28" s="28">
        <f>IF(OR($A28="",$L28=""),"",IF(AND($N28="Sí",$P28="Sí"),"OTIF","Falló"))</f>
        <v/>
      </c>
    </row>
    <row r="29" ht="16" customHeight="1">
      <c r="A29" s="48" t="inlineStr">
        <is>
          <t>G-2426</t>
        </is>
      </c>
      <c r="B29" s="48" t="inlineStr">
        <is>
          <t>P-5026</t>
        </is>
      </c>
      <c r="C29" s="47" t="n">
        <v>46254</v>
      </c>
      <c r="D29" s="50" t="inlineStr">
        <is>
          <t>Insumos del Llano</t>
        </is>
      </c>
      <c r="E29" s="50" t="inlineStr">
        <is>
          <t>Villavicencio</t>
        </is>
      </c>
      <c r="F29" s="50" t="inlineStr">
        <is>
          <t>Flota propia</t>
        </is>
      </c>
      <c r="G29" s="50" t="inlineStr">
        <is>
          <t>Carlos Mena</t>
        </is>
      </c>
      <c r="H29" s="48" t="inlineStr">
        <is>
          <t>HJU775</t>
        </is>
      </c>
      <c r="I29" s="51" t="n">
        <v>13</v>
      </c>
      <c r="J29" s="52" t="n">
        <v>4100000</v>
      </c>
      <c r="K29" s="47" t="n">
        <v>46257</v>
      </c>
      <c r="L29" s="47" t="n">
        <v>46257</v>
      </c>
      <c r="M29" s="24">
        <f>IF(OR($A29="",$C29=""),"",IF($L29&lt;&gt;"",$L29-$C29,TODAY()-$C29))</f>
        <v/>
      </c>
      <c r="N29" s="28">
        <f>IF(OR($A29="",$K29=""),"",IF($L29="",IF(TODAY()&gt;$K29,"Atrasado","En ruta"),IF($L29&lt;=$K29,"Sí","No")))</f>
        <v/>
      </c>
      <c r="O29" s="24">
        <f>IF($A29="","",COUNTIFS(NOVEDADES!$D$4:$D$1503,$A29))</f>
        <v/>
      </c>
      <c r="P29" s="28">
        <f>IF($A29="","",IF(COUNTIFS(NOVEDADES!$D$4:$D$1503,$A29,NOVEDADES!$O$4:$O$1503,"SÍ")&gt;0,"No","Sí"))</f>
        <v/>
      </c>
      <c r="Q29" s="28">
        <f>IF(OR($A29="",$L29=""),"",IF(AND($N29="Sí",$P29="Sí"),"OTIF","Falló"))</f>
        <v/>
      </c>
    </row>
    <row r="30" ht="16" customHeight="1">
      <c r="A30" s="48" t="inlineStr">
        <is>
          <t>G-2427</t>
        </is>
      </c>
      <c r="B30" s="48" t="inlineStr">
        <is>
          <t>P-5027</t>
        </is>
      </c>
      <c r="C30" s="47" t="n">
        <v>46258</v>
      </c>
      <c r="D30" s="50" t="inlineStr">
        <is>
          <t>Agro Sur Ltda</t>
        </is>
      </c>
      <c r="E30" s="50" t="inlineStr">
        <is>
          <t>Neiva</t>
        </is>
      </c>
      <c r="F30" s="50" t="inlineStr">
        <is>
          <t>Flota propia</t>
        </is>
      </c>
      <c r="G30" s="50" t="inlineStr">
        <is>
          <t>Ana Torres</t>
        </is>
      </c>
      <c r="H30" s="48" t="inlineStr">
        <is>
          <t>QTZ531</t>
        </is>
      </c>
      <c r="I30" s="51" t="n">
        <v>9</v>
      </c>
      <c r="J30" s="52" t="n">
        <v>2700000</v>
      </c>
      <c r="K30" s="47" t="n">
        <v>46261</v>
      </c>
      <c r="L30" s="47" t="n">
        <v>46261</v>
      </c>
      <c r="M30" s="24">
        <f>IF(OR($A30="",$C30=""),"",IF($L30&lt;&gt;"",$L30-$C30,TODAY()-$C30))</f>
        <v/>
      </c>
      <c r="N30" s="28">
        <f>IF(OR($A30="",$K30=""),"",IF($L30="",IF(TODAY()&gt;$K30,"Atrasado","En ruta"),IF($L30&lt;=$K30,"Sí","No")))</f>
        <v/>
      </c>
      <c r="O30" s="24">
        <f>IF($A30="","",COUNTIFS(NOVEDADES!$D$4:$D$1503,$A30))</f>
        <v/>
      </c>
      <c r="P30" s="28">
        <f>IF($A30="","",IF(COUNTIFS(NOVEDADES!$D$4:$D$1503,$A30,NOVEDADES!$O$4:$O$1503,"SÍ")&gt;0,"No","Sí"))</f>
        <v/>
      </c>
      <c r="Q30" s="28">
        <f>IF(OR($A30="",$L30=""),"",IF(AND($N30="Sí",$P30="Sí"),"OTIF","Falló"))</f>
        <v/>
      </c>
    </row>
    <row r="31" ht="16" customHeight="1">
      <c r="A31" s="48" t="inlineStr">
        <is>
          <t>G-2428</t>
        </is>
      </c>
      <c r="B31" s="48" t="inlineStr">
        <is>
          <t>P-5028</t>
        </is>
      </c>
      <c r="C31" s="47" t="n">
        <v>46265</v>
      </c>
      <c r="D31" s="50" t="inlineStr">
        <is>
          <t>Distribuidora del Huila</t>
        </is>
      </c>
      <c r="E31" s="50" t="inlineStr">
        <is>
          <t>Pitalito</t>
        </is>
      </c>
      <c r="F31" s="50" t="inlineStr">
        <is>
          <t>Flota propia</t>
        </is>
      </c>
      <c r="G31" s="50" t="inlineStr">
        <is>
          <t>Carlos Mena</t>
        </is>
      </c>
      <c r="H31" s="48" t="inlineStr">
        <is>
          <t>HJU775</t>
        </is>
      </c>
      <c r="I31" s="51" t="n">
        <v>5</v>
      </c>
      <c r="J31" s="52" t="n">
        <v>1600000</v>
      </c>
      <c r="K31" s="47" t="n">
        <v>46268</v>
      </c>
      <c r="L31" s="47" t="n">
        <v>46268</v>
      </c>
      <c r="M31" s="24">
        <f>IF(OR($A31="",$C31=""),"",IF($L31&lt;&gt;"",$L31-$C31,TODAY()-$C31))</f>
        <v/>
      </c>
      <c r="N31" s="28">
        <f>IF(OR($A31="",$K31=""),"",IF($L31="",IF(TODAY()&gt;$K31,"Atrasado","En ruta"),IF($L31&lt;=$K31,"Sí","No")))</f>
        <v/>
      </c>
      <c r="O31" s="24">
        <f>IF($A31="","",COUNTIFS(NOVEDADES!$D$4:$D$1503,$A31))</f>
        <v/>
      </c>
      <c r="P31" s="28">
        <f>IF($A31="","",IF(COUNTIFS(NOVEDADES!$D$4:$D$1503,$A31,NOVEDADES!$O$4:$O$1503,"SÍ")&gt;0,"No","Sí"))</f>
        <v/>
      </c>
      <c r="Q31" s="28">
        <f>IF(OR($A31="",$L31=""),"",IF(AND($N31="Sí",$P31="Sí"),"OTIF","Falló"))</f>
        <v/>
      </c>
    </row>
    <row r="32" ht="16" customHeight="1">
      <c r="A32" s="48" t="inlineStr">
        <is>
          <t>G-2429</t>
        </is>
      </c>
      <c r="B32" s="48" t="inlineStr">
        <is>
          <t>P-5029</t>
        </is>
      </c>
      <c r="C32" s="47" t="n">
        <v>46267</v>
      </c>
      <c r="D32" s="50" t="inlineStr">
        <is>
          <t>Insumos del Llano</t>
        </is>
      </c>
      <c r="E32" s="50" t="inlineStr">
        <is>
          <t>Villavicencio</t>
        </is>
      </c>
      <c r="F32" s="50" t="inlineStr">
        <is>
          <t>Flota propia</t>
        </is>
      </c>
      <c r="G32" s="50" t="inlineStr">
        <is>
          <t>Ana Torres</t>
        </is>
      </c>
      <c r="H32" s="48" t="inlineStr">
        <is>
          <t>QTZ531</t>
        </is>
      </c>
      <c r="I32" s="51" t="n">
        <v>10</v>
      </c>
      <c r="J32" s="52" t="n">
        <v>3200000</v>
      </c>
      <c r="K32" s="47" t="n">
        <v>46270</v>
      </c>
      <c r="L32" s="47" t="n">
        <v>46270</v>
      </c>
      <c r="M32" s="24">
        <f>IF(OR($A32="",$C32=""),"",IF($L32&lt;&gt;"",$L32-$C32,TODAY()-$C32))</f>
        <v/>
      </c>
      <c r="N32" s="28">
        <f>IF(OR($A32="",$K32=""),"",IF($L32="",IF(TODAY()&gt;$K32,"Atrasado","En ruta"),IF($L32&lt;=$K32,"Sí","No")))</f>
        <v/>
      </c>
      <c r="O32" s="24">
        <f>IF($A32="","",COUNTIFS(NOVEDADES!$D$4:$D$1503,$A32))</f>
        <v/>
      </c>
      <c r="P32" s="28">
        <f>IF($A32="","",IF(COUNTIFS(NOVEDADES!$D$4:$D$1503,$A32,NOVEDADES!$O$4:$O$1503,"SÍ")&gt;0,"No","Sí"))</f>
        <v/>
      </c>
      <c r="Q32" s="28">
        <f>IF(OR($A32="",$L32=""),"",IF(AND($N32="Sí",$P32="Sí"),"OTIF","Falló"))</f>
        <v/>
      </c>
    </row>
    <row r="33" ht="16" customHeight="1">
      <c r="A33" s="48" t="inlineStr">
        <is>
          <t>G-2430</t>
        </is>
      </c>
      <c r="B33" s="48" t="inlineStr">
        <is>
          <t>P-5030</t>
        </is>
      </c>
      <c r="C33" s="47" t="n">
        <v>46272</v>
      </c>
      <c r="D33" s="50" t="inlineStr">
        <is>
          <t>Tienda El Campo</t>
        </is>
      </c>
      <c r="E33" s="50" t="inlineStr">
        <is>
          <t>Villavicencio</t>
        </is>
      </c>
      <c r="F33" s="50" t="inlineStr">
        <is>
          <t>Flota propia</t>
        </is>
      </c>
      <c r="G33" s="50" t="inlineStr">
        <is>
          <t>Carlos Mena</t>
        </is>
      </c>
      <c r="H33" s="48" t="inlineStr">
        <is>
          <t>HJU775</t>
        </is>
      </c>
      <c r="I33" s="51" t="n">
        <v>4</v>
      </c>
      <c r="J33" s="52" t="n">
        <v>1250000</v>
      </c>
      <c r="K33" s="47" t="n">
        <v>46275</v>
      </c>
      <c r="L33" s="47" t="n"/>
      <c r="M33" s="24">
        <f>IF(OR($A33="",$C33=""),"",IF($L33&lt;&gt;"",$L33-$C33,TODAY()-$C33))</f>
        <v/>
      </c>
      <c r="N33" s="28">
        <f>IF(OR($A33="",$K33=""),"",IF($L33="",IF(TODAY()&gt;$K33,"Atrasado","En ruta"),IF($L33&lt;=$K33,"Sí","No")))</f>
        <v/>
      </c>
      <c r="O33" s="24">
        <f>IF($A33="","",COUNTIFS(NOVEDADES!$D$4:$D$1503,$A33))</f>
        <v/>
      </c>
      <c r="P33" s="28">
        <f>IF($A33="","",IF(COUNTIFS(NOVEDADES!$D$4:$D$1503,$A33,NOVEDADES!$O$4:$O$1503,"SÍ")&gt;0,"No","Sí"))</f>
        <v/>
      </c>
      <c r="Q33" s="28">
        <f>IF(OR($A33="",$L33=""),"",IF(AND($N33="Sí",$P33="Sí"),"OTIF","Falló"))</f>
        <v/>
      </c>
    </row>
    <row r="34" ht="16" customHeight="1">
      <c r="A34" s="48" t="n"/>
      <c r="B34" s="48" t="n"/>
      <c r="C34" s="47" t="n"/>
      <c r="D34" s="50" t="n"/>
      <c r="E34" s="50" t="n"/>
      <c r="F34" s="50" t="n"/>
      <c r="G34" s="50" t="n"/>
      <c r="H34" s="48" t="n"/>
      <c r="I34" s="51" t="n"/>
      <c r="J34" s="52" t="n"/>
      <c r="K34" s="47" t="n"/>
      <c r="L34" s="47" t="n"/>
      <c r="M34" s="24">
        <f>IF(OR($A34="",$C34=""),"",IF($L34&lt;&gt;"",$L34-$C34,TODAY()-$C34))</f>
        <v/>
      </c>
      <c r="N34" s="28">
        <f>IF(OR($A34="",$K34=""),"",IF($L34="",IF(TODAY()&gt;$K34,"Atrasado","En ruta"),IF($L34&lt;=$K34,"Sí","No")))</f>
        <v/>
      </c>
      <c r="O34" s="24">
        <f>IF($A34="","",COUNTIFS(NOVEDADES!$D$4:$D$1503,$A34))</f>
        <v/>
      </c>
      <c r="P34" s="28">
        <f>IF($A34="","",IF(COUNTIFS(NOVEDADES!$D$4:$D$1503,$A34,NOVEDADES!$O$4:$O$1503,"SÍ")&gt;0,"No","Sí"))</f>
        <v/>
      </c>
      <c r="Q34" s="28">
        <f>IF(OR($A34="",$L34=""),"",IF(AND($N34="Sí",$P34="Sí"),"OTIF","Falló"))</f>
        <v/>
      </c>
    </row>
    <row r="35" ht="16" customHeight="1">
      <c r="A35" s="48" t="n"/>
      <c r="B35" s="48" t="n"/>
      <c r="C35" s="47" t="n"/>
      <c r="D35" s="50" t="n"/>
      <c r="E35" s="50" t="n"/>
      <c r="F35" s="50" t="n"/>
      <c r="G35" s="50" t="n"/>
      <c r="H35" s="48" t="n"/>
      <c r="I35" s="51" t="n"/>
      <c r="J35" s="52" t="n"/>
      <c r="K35" s="47" t="n"/>
      <c r="L35" s="47" t="n"/>
      <c r="M35" s="24">
        <f>IF(OR($A35="",$C35=""),"",IF($L35&lt;&gt;"",$L35-$C35,TODAY()-$C35))</f>
        <v/>
      </c>
      <c r="N35" s="28">
        <f>IF(OR($A35="",$K35=""),"",IF($L35="",IF(TODAY()&gt;$K35,"Atrasado","En ruta"),IF($L35&lt;=$K35,"Sí","No")))</f>
        <v/>
      </c>
      <c r="O35" s="24">
        <f>IF($A35="","",COUNTIFS(NOVEDADES!$D$4:$D$1503,$A35))</f>
        <v/>
      </c>
      <c r="P35" s="28">
        <f>IF($A35="","",IF(COUNTIFS(NOVEDADES!$D$4:$D$1503,$A35,NOVEDADES!$O$4:$O$1503,"SÍ")&gt;0,"No","Sí"))</f>
        <v/>
      </c>
      <c r="Q35" s="28">
        <f>IF(OR($A35="",$L35=""),"",IF(AND($N35="Sí",$P35="Sí"),"OTIF","Falló"))</f>
        <v/>
      </c>
    </row>
    <row r="36" ht="16" customHeight="1">
      <c r="A36" s="48" t="n"/>
      <c r="B36" s="48" t="n"/>
      <c r="C36" s="47" t="n"/>
      <c r="D36" s="50" t="n"/>
      <c r="E36" s="50" t="n"/>
      <c r="F36" s="50" t="n"/>
      <c r="G36" s="50" t="n"/>
      <c r="H36" s="48" t="n"/>
      <c r="I36" s="51" t="n"/>
      <c r="J36" s="52" t="n"/>
      <c r="K36" s="47" t="n"/>
      <c r="L36" s="47" t="n"/>
      <c r="M36" s="24">
        <f>IF(OR($A36="",$C36=""),"",IF($L36&lt;&gt;"",$L36-$C36,TODAY()-$C36))</f>
        <v/>
      </c>
      <c r="N36" s="28">
        <f>IF(OR($A36="",$K36=""),"",IF($L36="",IF(TODAY()&gt;$K36,"Atrasado","En ruta"),IF($L36&lt;=$K36,"Sí","No")))</f>
        <v/>
      </c>
      <c r="O36" s="24">
        <f>IF($A36="","",COUNTIFS(NOVEDADES!$D$4:$D$1503,$A36))</f>
        <v/>
      </c>
      <c r="P36" s="28">
        <f>IF($A36="","",IF(COUNTIFS(NOVEDADES!$D$4:$D$1503,$A36,NOVEDADES!$O$4:$O$1503,"SÍ")&gt;0,"No","Sí"))</f>
        <v/>
      </c>
      <c r="Q36" s="28">
        <f>IF(OR($A36="",$L36=""),"",IF(AND($N36="Sí",$P36="Sí"),"OTIF","Falló"))</f>
        <v/>
      </c>
    </row>
    <row r="37" ht="16" customHeight="1">
      <c r="A37" s="48" t="n"/>
      <c r="B37" s="48" t="n"/>
      <c r="C37" s="47" t="n"/>
      <c r="D37" s="50" t="n"/>
      <c r="E37" s="50" t="n"/>
      <c r="F37" s="50" t="n"/>
      <c r="G37" s="50" t="n"/>
      <c r="H37" s="48" t="n"/>
      <c r="I37" s="51" t="n"/>
      <c r="J37" s="52" t="n"/>
      <c r="K37" s="47" t="n"/>
      <c r="L37" s="47" t="n"/>
      <c r="M37" s="24">
        <f>IF(OR($A37="",$C37=""),"",IF($L37&lt;&gt;"",$L37-$C37,TODAY()-$C37))</f>
        <v/>
      </c>
      <c r="N37" s="28">
        <f>IF(OR($A37="",$K37=""),"",IF($L37="",IF(TODAY()&gt;$K37,"Atrasado","En ruta"),IF($L37&lt;=$K37,"Sí","No")))</f>
        <v/>
      </c>
      <c r="O37" s="24">
        <f>IF($A37="","",COUNTIFS(NOVEDADES!$D$4:$D$1503,$A37))</f>
        <v/>
      </c>
      <c r="P37" s="28">
        <f>IF($A37="","",IF(COUNTIFS(NOVEDADES!$D$4:$D$1503,$A37,NOVEDADES!$O$4:$O$1503,"SÍ")&gt;0,"No","Sí"))</f>
        <v/>
      </c>
      <c r="Q37" s="28">
        <f>IF(OR($A37="",$L37=""),"",IF(AND($N37="Sí",$P37="Sí"),"OTIF","Falló"))</f>
        <v/>
      </c>
    </row>
    <row r="38" ht="16" customHeight="1">
      <c r="A38" s="48" t="n"/>
      <c r="B38" s="48" t="n"/>
      <c r="C38" s="47" t="n"/>
      <c r="D38" s="50" t="n"/>
      <c r="E38" s="50" t="n"/>
      <c r="F38" s="50" t="n"/>
      <c r="G38" s="50" t="n"/>
      <c r="H38" s="48" t="n"/>
      <c r="I38" s="51" t="n"/>
      <c r="J38" s="52" t="n"/>
      <c r="K38" s="47" t="n"/>
      <c r="L38" s="47" t="n"/>
      <c r="M38" s="24">
        <f>IF(OR($A38="",$C38=""),"",IF($L38&lt;&gt;"",$L38-$C38,TODAY()-$C38))</f>
        <v/>
      </c>
      <c r="N38" s="28">
        <f>IF(OR($A38="",$K38=""),"",IF($L38="",IF(TODAY()&gt;$K38,"Atrasado","En ruta"),IF($L38&lt;=$K38,"Sí","No")))</f>
        <v/>
      </c>
      <c r="O38" s="24">
        <f>IF($A38="","",COUNTIFS(NOVEDADES!$D$4:$D$1503,$A38))</f>
        <v/>
      </c>
      <c r="P38" s="28">
        <f>IF($A38="","",IF(COUNTIFS(NOVEDADES!$D$4:$D$1503,$A38,NOVEDADES!$O$4:$O$1503,"SÍ")&gt;0,"No","Sí"))</f>
        <v/>
      </c>
      <c r="Q38" s="28">
        <f>IF(OR($A38="",$L38=""),"",IF(AND($N38="Sí",$P38="Sí"),"OTIF","Falló"))</f>
        <v/>
      </c>
    </row>
    <row r="39" ht="16" customHeight="1">
      <c r="A39" s="48" t="n"/>
      <c r="B39" s="48" t="n"/>
      <c r="C39" s="47" t="n"/>
      <c r="D39" s="50" t="n"/>
      <c r="E39" s="50" t="n"/>
      <c r="F39" s="50" t="n"/>
      <c r="G39" s="50" t="n"/>
      <c r="H39" s="48" t="n"/>
      <c r="I39" s="51" t="n"/>
      <c r="J39" s="52" t="n"/>
      <c r="K39" s="47" t="n"/>
      <c r="L39" s="47" t="n"/>
      <c r="M39" s="24">
        <f>IF(OR($A39="",$C39=""),"",IF($L39&lt;&gt;"",$L39-$C39,TODAY()-$C39))</f>
        <v/>
      </c>
      <c r="N39" s="28">
        <f>IF(OR($A39="",$K39=""),"",IF($L39="",IF(TODAY()&gt;$K39,"Atrasado","En ruta"),IF($L39&lt;=$K39,"Sí","No")))</f>
        <v/>
      </c>
      <c r="O39" s="24">
        <f>IF($A39="","",COUNTIFS(NOVEDADES!$D$4:$D$1503,$A39))</f>
        <v/>
      </c>
      <c r="P39" s="28">
        <f>IF($A39="","",IF(COUNTIFS(NOVEDADES!$D$4:$D$1503,$A39,NOVEDADES!$O$4:$O$1503,"SÍ")&gt;0,"No","Sí"))</f>
        <v/>
      </c>
      <c r="Q39" s="28">
        <f>IF(OR($A39="",$L39=""),"",IF(AND($N39="Sí",$P39="Sí"),"OTIF","Falló"))</f>
        <v/>
      </c>
    </row>
    <row r="40" ht="16" customHeight="1">
      <c r="A40" s="48" t="n"/>
      <c r="B40" s="48" t="n"/>
      <c r="C40" s="47" t="n"/>
      <c r="D40" s="50" t="n"/>
      <c r="E40" s="50" t="n"/>
      <c r="F40" s="50" t="n"/>
      <c r="G40" s="50" t="n"/>
      <c r="H40" s="48" t="n"/>
      <c r="I40" s="51" t="n"/>
      <c r="J40" s="52" t="n"/>
      <c r="K40" s="47" t="n"/>
      <c r="L40" s="47" t="n"/>
      <c r="M40" s="24">
        <f>IF(OR($A40="",$C40=""),"",IF($L40&lt;&gt;"",$L40-$C40,TODAY()-$C40))</f>
        <v/>
      </c>
      <c r="N40" s="28">
        <f>IF(OR($A40="",$K40=""),"",IF($L40="",IF(TODAY()&gt;$K40,"Atrasado","En ruta"),IF($L40&lt;=$K40,"Sí","No")))</f>
        <v/>
      </c>
      <c r="O40" s="24">
        <f>IF($A40="","",COUNTIFS(NOVEDADES!$D$4:$D$1503,$A40))</f>
        <v/>
      </c>
      <c r="P40" s="28">
        <f>IF($A40="","",IF(COUNTIFS(NOVEDADES!$D$4:$D$1503,$A40,NOVEDADES!$O$4:$O$1503,"SÍ")&gt;0,"No","Sí"))</f>
        <v/>
      </c>
      <c r="Q40" s="28">
        <f>IF(OR($A40="",$L40=""),"",IF(AND($N40="Sí",$P40="Sí"),"OTIF","Falló"))</f>
        <v/>
      </c>
    </row>
    <row r="41" ht="16" customHeight="1">
      <c r="A41" s="48" t="n"/>
      <c r="B41" s="48" t="n"/>
      <c r="C41" s="47" t="n"/>
      <c r="D41" s="50" t="n"/>
      <c r="E41" s="50" t="n"/>
      <c r="F41" s="50" t="n"/>
      <c r="G41" s="50" t="n"/>
      <c r="H41" s="48" t="n"/>
      <c r="I41" s="51" t="n"/>
      <c r="J41" s="52" t="n"/>
      <c r="K41" s="47" t="n"/>
      <c r="L41" s="47" t="n"/>
      <c r="M41" s="24">
        <f>IF(OR($A41="",$C41=""),"",IF($L41&lt;&gt;"",$L41-$C41,TODAY()-$C41))</f>
        <v/>
      </c>
      <c r="N41" s="28">
        <f>IF(OR($A41="",$K41=""),"",IF($L41="",IF(TODAY()&gt;$K41,"Atrasado","En ruta"),IF($L41&lt;=$K41,"Sí","No")))</f>
        <v/>
      </c>
      <c r="O41" s="24">
        <f>IF($A41="","",COUNTIFS(NOVEDADES!$D$4:$D$1503,$A41))</f>
        <v/>
      </c>
      <c r="P41" s="28">
        <f>IF($A41="","",IF(COUNTIFS(NOVEDADES!$D$4:$D$1503,$A41,NOVEDADES!$O$4:$O$1503,"SÍ")&gt;0,"No","Sí"))</f>
        <v/>
      </c>
      <c r="Q41" s="28">
        <f>IF(OR($A41="",$L41=""),"",IF(AND($N41="Sí",$P41="Sí"),"OTIF","Falló"))</f>
        <v/>
      </c>
    </row>
    <row r="42" ht="16" customHeight="1">
      <c r="A42" s="48" t="n"/>
      <c r="B42" s="48" t="n"/>
      <c r="C42" s="47" t="n"/>
      <c r="D42" s="50" t="n"/>
      <c r="E42" s="50" t="n"/>
      <c r="F42" s="50" t="n"/>
      <c r="G42" s="50" t="n"/>
      <c r="H42" s="48" t="n"/>
      <c r="I42" s="51" t="n"/>
      <c r="J42" s="52" t="n"/>
      <c r="K42" s="47" t="n"/>
      <c r="L42" s="47" t="n"/>
      <c r="M42" s="24">
        <f>IF(OR($A42="",$C42=""),"",IF($L42&lt;&gt;"",$L42-$C42,TODAY()-$C42))</f>
        <v/>
      </c>
      <c r="N42" s="28">
        <f>IF(OR($A42="",$K42=""),"",IF($L42="",IF(TODAY()&gt;$K42,"Atrasado","En ruta"),IF($L42&lt;=$K42,"Sí","No")))</f>
        <v/>
      </c>
      <c r="O42" s="24">
        <f>IF($A42="","",COUNTIFS(NOVEDADES!$D$4:$D$1503,$A42))</f>
        <v/>
      </c>
      <c r="P42" s="28">
        <f>IF($A42="","",IF(COUNTIFS(NOVEDADES!$D$4:$D$1503,$A42,NOVEDADES!$O$4:$O$1503,"SÍ")&gt;0,"No","Sí"))</f>
        <v/>
      </c>
      <c r="Q42" s="28">
        <f>IF(OR($A42="",$L42=""),"",IF(AND($N42="Sí",$P42="Sí"),"OTIF","Falló"))</f>
        <v/>
      </c>
    </row>
    <row r="43" ht="16" customHeight="1">
      <c r="A43" s="48" t="n"/>
      <c r="B43" s="48" t="n"/>
      <c r="C43" s="47" t="n"/>
      <c r="D43" s="50" t="n"/>
      <c r="E43" s="50" t="n"/>
      <c r="F43" s="50" t="n"/>
      <c r="G43" s="50" t="n"/>
      <c r="H43" s="48" t="n"/>
      <c r="I43" s="51" t="n"/>
      <c r="J43" s="52" t="n"/>
      <c r="K43" s="47" t="n"/>
      <c r="L43" s="47" t="n"/>
      <c r="M43" s="24">
        <f>IF(OR($A43="",$C43=""),"",IF($L43&lt;&gt;"",$L43-$C43,TODAY()-$C43))</f>
        <v/>
      </c>
      <c r="N43" s="28">
        <f>IF(OR($A43="",$K43=""),"",IF($L43="",IF(TODAY()&gt;$K43,"Atrasado","En ruta"),IF($L43&lt;=$K43,"Sí","No")))</f>
        <v/>
      </c>
      <c r="O43" s="24">
        <f>IF($A43="","",COUNTIFS(NOVEDADES!$D$4:$D$1503,$A43))</f>
        <v/>
      </c>
      <c r="P43" s="28">
        <f>IF($A43="","",IF(COUNTIFS(NOVEDADES!$D$4:$D$1503,$A43,NOVEDADES!$O$4:$O$1503,"SÍ")&gt;0,"No","Sí"))</f>
        <v/>
      </c>
      <c r="Q43" s="28">
        <f>IF(OR($A43="",$L43=""),"",IF(AND($N43="Sí",$P43="Sí"),"OTIF","Falló"))</f>
        <v/>
      </c>
    </row>
    <row r="44" ht="16" customHeight="1">
      <c r="A44" s="48" t="n"/>
      <c r="B44" s="48" t="n"/>
      <c r="C44" s="47" t="n"/>
      <c r="D44" s="50" t="n"/>
      <c r="E44" s="50" t="n"/>
      <c r="F44" s="50" t="n"/>
      <c r="G44" s="50" t="n"/>
      <c r="H44" s="48" t="n"/>
      <c r="I44" s="51" t="n"/>
      <c r="J44" s="52" t="n"/>
      <c r="K44" s="47" t="n"/>
      <c r="L44" s="47" t="n"/>
      <c r="M44" s="24">
        <f>IF(OR($A44="",$C44=""),"",IF($L44&lt;&gt;"",$L44-$C44,TODAY()-$C44))</f>
        <v/>
      </c>
      <c r="N44" s="28">
        <f>IF(OR($A44="",$K44=""),"",IF($L44="",IF(TODAY()&gt;$K44,"Atrasado","En ruta"),IF($L44&lt;=$K44,"Sí","No")))</f>
        <v/>
      </c>
      <c r="O44" s="24">
        <f>IF($A44="","",COUNTIFS(NOVEDADES!$D$4:$D$1503,$A44))</f>
        <v/>
      </c>
      <c r="P44" s="28">
        <f>IF($A44="","",IF(COUNTIFS(NOVEDADES!$D$4:$D$1503,$A44,NOVEDADES!$O$4:$O$1503,"SÍ")&gt;0,"No","Sí"))</f>
        <v/>
      </c>
      <c r="Q44" s="28">
        <f>IF(OR($A44="",$L44=""),"",IF(AND($N44="Sí",$P44="Sí"),"OTIF","Falló"))</f>
        <v/>
      </c>
    </row>
    <row r="45" ht="16" customHeight="1">
      <c r="A45" s="48" t="n"/>
      <c r="B45" s="48" t="n"/>
      <c r="C45" s="47" t="n"/>
      <c r="D45" s="50" t="n"/>
      <c r="E45" s="50" t="n"/>
      <c r="F45" s="50" t="n"/>
      <c r="G45" s="50" t="n"/>
      <c r="H45" s="48" t="n"/>
      <c r="I45" s="51" t="n"/>
      <c r="J45" s="52" t="n"/>
      <c r="K45" s="47" t="n"/>
      <c r="L45" s="47" t="n"/>
      <c r="M45" s="24">
        <f>IF(OR($A45="",$C45=""),"",IF($L45&lt;&gt;"",$L45-$C45,TODAY()-$C45))</f>
        <v/>
      </c>
      <c r="N45" s="28">
        <f>IF(OR($A45="",$K45=""),"",IF($L45="",IF(TODAY()&gt;$K45,"Atrasado","En ruta"),IF($L45&lt;=$K45,"Sí","No")))</f>
        <v/>
      </c>
      <c r="O45" s="24">
        <f>IF($A45="","",COUNTIFS(NOVEDADES!$D$4:$D$1503,$A45))</f>
        <v/>
      </c>
      <c r="P45" s="28">
        <f>IF($A45="","",IF(COUNTIFS(NOVEDADES!$D$4:$D$1503,$A45,NOVEDADES!$O$4:$O$1503,"SÍ")&gt;0,"No","Sí"))</f>
        <v/>
      </c>
      <c r="Q45" s="28">
        <f>IF(OR($A45="",$L45=""),"",IF(AND($N45="Sí",$P45="Sí"),"OTIF","Falló"))</f>
        <v/>
      </c>
    </row>
    <row r="46" ht="16" customHeight="1">
      <c r="A46" s="48" t="n"/>
      <c r="B46" s="48" t="n"/>
      <c r="C46" s="47" t="n"/>
      <c r="D46" s="50" t="n"/>
      <c r="E46" s="50" t="n"/>
      <c r="F46" s="50" t="n"/>
      <c r="G46" s="50" t="n"/>
      <c r="H46" s="48" t="n"/>
      <c r="I46" s="51" t="n"/>
      <c r="J46" s="52" t="n"/>
      <c r="K46" s="47" t="n"/>
      <c r="L46" s="47" t="n"/>
      <c r="M46" s="24">
        <f>IF(OR($A46="",$C46=""),"",IF($L46&lt;&gt;"",$L46-$C46,TODAY()-$C46))</f>
        <v/>
      </c>
      <c r="N46" s="28">
        <f>IF(OR($A46="",$K46=""),"",IF($L46="",IF(TODAY()&gt;$K46,"Atrasado","En ruta"),IF($L46&lt;=$K46,"Sí","No")))</f>
        <v/>
      </c>
      <c r="O46" s="24">
        <f>IF($A46="","",COUNTIFS(NOVEDADES!$D$4:$D$1503,$A46))</f>
        <v/>
      </c>
      <c r="P46" s="28">
        <f>IF($A46="","",IF(COUNTIFS(NOVEDADES!$D$4:$D$1503,$A46,NOVEDADES!$O$4:$O$1503,"SÍ")&gt;0,"No","Sí"))</f>
        <v/>
      </c>
      <c r="Q46" s="28">
        <f>IF(OR($A46="",$L46=""),"",IF(AND($N46="Sí",$P46="Sí"),"OTIF","Falló"))</f>
        <v/>
      </c>
    </row>
    <row r="47" ht="16" customHeight="1">
      <c r="A47" s="48" t="n"/>
      <c r="B47" s="48" t="n"/>
      <c r="C47" s="47" t="n"/>
      <c r="D47" s="50" t="n"/>
      <c r="E47" s="50" t="n"/>
      <c r="F47" s="50" t="n"/>
      <c r="G47" s="50" t="n"/>
      <c r="H47" s="48" t="n"/>
      <c r="I47" s="51" t="n"/>
      <c r="J47" s="52" t="n"/>
      <c r="K47" s="47" t="n"/>
      <c r="L47" s="47" t="n"/>
      <c r="M47" s="24">
        <f>IF(OR($A47="",$C47=""),"",IF($L47&lt;&gt;"",$L47-$C47,TODAY()-$C47))</f>
        <v/>
      </c>
      <c r="N47" s="28">
        <f>IF(OR($A47="",$K47=""),"",IF($L47="",IF(TODAY()&gt;$K47,"Atrasado","En ruta"),IF($L47&lt;=$K47,"Sí","No")))</f>
        <v/>
      </c>
      <c r="O47" s="24">
        <f>IF($A47="","",COUNTIFS(NOVEDADES!$D$4:$D$1503,$A47))</f>
        <v/>
      </c>
      <c r="P47" s="28">
        <f>IF($A47="","",IF(COUNTIFS(NOVEDADES!$D$4:$D$1503,$A47,NOVEDADES!$O$4:$O$1503,"SÍ")&gt;0,"No","Sí"))</f>
        <v/>
      </c>
      <c r="Q47" s="28">
        <f>IF(OR($A47="",$L47=""),"",IF(AND($N47="Sí",$P47="Sí"),"OTIF","Falló"))</f>
        <v/>
      </c>
    </row>
    <row r="48" ht="16" customHeight="1">
      <c r="A48" s="48" t="n"/>
      <c r="B48" s="48" t="n"/>
      <c r="C48" s="47" t="n"/>
      <c r="D48" s="50" t="n"/>
      <c r="E48" s="50" t="n"/>
      <c r="F48" s="50" t="n"/>
      <c r="G48" s="50" t="n"/>
      <c r="H48" s="48" t="n"/>
      <c r="I48" s="51" t="n"/>
      <c r="J48" s="52" t="n"/>
      <c r="K48" s="47" t="n"/>
      <c r="L48" s="47" t="n"/>
      <c r="M48" s="24">
        <f>IF(OR($A48="",$C48=""),"",IF($L48&lt;&gt;"",$L48-$C48,TODAY()-$C48))</f>
        <v/>
      </c>
      <c r="N48" s="28">
        <f>IF(OR($A48="",$K48=""),"",IF($L48="",IF(TODAY()&gt;$K48,"Atrasado","En ruta"),IF($L48&lt;=$K48,"Sí","No")))</f>
        <v/>
      </c>
      <c r="O48" s="24">
        <f>IF($A48="","",COUNTIFS(NOVEDADES!$D$4:$D$1503,$A48))</f>
        <v/>
      </c>
      <c r="P48" s="28">
        <f>IF($A48="","",IF(COUNTIFS(NOVEDADES!$D$4:$D$1503,$A48,NOVEDADES!$O$4:$O$1503,"SÍ")&gt;0,"No","Sí"))</f>
        <v/>
      </c>
      <c r="Q48" s="28">
        <f>IF(OR($A48="",$L48=""),"",IF(AND($N48="Sí",$P48="Sí"),"OTIF","Falló"))</f>
        <v/>
      </c>
    </row>
    <row r="49" ht="16" customHeight="1">
      <c r="A49" s="48" t="n"/>
      <c r="B49" s="48" t="n"/>
      <c r="C49" s="47" t="n"/>
      <c r="D49" s="50" t="n"/>
      <c r="E49" s="50" t="n"/>
      <c r="F49" s="50" t="n"/>
      <c r="G49" s="50" t="n"/>
      <c r="H49" s="48" t="n"/>
      <c r="I49" s="51" t="n"/>
      <c r="J49" s="52" t="n"/>
      <c r="K49" s="47" t="n"/>
      <c r="L49" s="47" t="n"/>
      <c r="M49" s="24">
        <f>IF(OR($A49="",$C49=""),"",IF($L49&lt;&gt;"",$L49-$C49,TODAY()-$C49))</f>
        <v/>
      </c>
      <c r="N49" s="28">
        <f>IF(OR($A49="",$K49=""),"",IF($L49="",IF(TODAY()&gt;$K49,"Atrasado","En ruta"),IF($L49&lt;=$K49,"Sí","No")))</f>
        <v/>
      </c>
      <c r="O49" s="24">
        <f>IF($A49="","",COUNTIFS(NOVEDADES!$D$4:$D$1503,$A49))</f>
        <v/>
      </c>
      <c r="P49" s="28">
        <f>IF($A49="","",IF(COUNTIFS(NOVEDADES!$D$4:$D$1503,$A49,NOVEDADES!$O$4:$O$1503,"SÍ")&gt;0,"No","Sí"))</f>
        <v/>
      </c>
      <c r="Q49" s="28">
        <f>IF(OR($A49="",$L49=""),"",IF(AND($N49="Sí",$P49="Sí"),"OTIF","Falló"))</f>
        <v/>
      </c>
    </row>
    <row r="50" ht="16" customHeight="1">
      <c r="A50" s="48" t="n"/>
      <c r="B50" s="48" t="n"/>
      <c r="C50" s="47" t="n"/>
      <c r="D50" s="50" t="n"/>
      <c r="E50" s="50" t="n"/>
      <c r="F50" s="50" t="n"/>
      <c r="G50" s="50" t="n"/>
      <c r="H50" s="48" t="n"/>
      <c r="I50" s="51" t="n"/>
      <c r="J50" s="52" t="n"/>
      <c r="K50" s="47" t="n"/>
      <c r="L50" s="47" t="n"/>
      <c r="M50" s="24">
        <f>IF(OR($A50="",$C50=""),"",IF($L50&lt;&gt;"",$L50-$C50,TODAY()-$C50))</f>
        <v/>
      </c>
      <c r="N50" s="28">
        <f>IF(OR($A50="",$K50=""),"",IF($L50="",IF(TODAY()&gt;$K50,"Atrasado","En ruta"),IF($L50&lt;=$K50,"Sí","No")))</f>
        <v/>
      </c>
      <c r="O50" s="24">
        <f>IF($A50="","",COUNTIFS(NOVEDADES!$D$4:$D$1503,$A50))</f>
        <v/>
      </c>
      <c r="P50" s="28">
        <f>IF($A50="","",IF(COUNTIFS(NOVEDADES!$D$4:$D$1503,$A50,NOVEDADES!$O$4:$O$1503,"SÍ")&gt;0,"No","Sí"))</f>
        <v/>
      </c>
      <c r="Q50" s="28">
        <f>IF(OR($A50="",$L50=""),"",IF(AND($N50="Sí",$P50="Sí"),"OTIF","Falló"))</f>
        <v/>
      </c>
    </row>
    <row r="51" ht="16" customHeight="1">
      <c r="A51" s="48" t="n"/>
      <c r="B51" s="48" t="n"/>
      <c r="C51" s="47" t="n"/>
      <c r="D51" s="50" t="n"/>
      <c r="E51" s="50" t="n"/>
      <c r="F51" s="50" t="n"/>
      <c r="G51" s="50" t="n"/>
      <c r="H51" s="48" t="n"/>
      <c r="I51" s="51" t="n"/>
      <c r="J51" s="52" t="n"/>
      <c r="K51" s="47" t="n"/>
      <c r="L51" s="47" t="n"/>
      <c r="M51" s="24">
        <f>IF(OR($A51="",$C51=""),"",IF($L51&lt;&gt;"",$L51-$C51,TODAY()-$C51))</f>
        <v/>
      </c>
      <c r="N51" s="28">
        <f>IF(OR($A51="",$K51=""),"",IF($L51="",IF(TODAY()&gt;$K51,"Atrasado","En ruta"),IF($L51&lt;=$K51,"Sí","No")))</f>
        <v/>
      </c>
      <c r="O51" s="24">
        <f>IF($A51="","",COUNTIFS(NOVEDADES!$D$4:$D$1503,$A51))</f>
        <v/>
      </c>
      <c r="P51" s="28">
        <f>IF($A51="","",IF(COUNTIFS(NOVEDADES!$D$4:$D$1503,$A51,NOVEDADES!$O$4:$O$1503,"SÍ")&gt;0,"No","Sí"))</f>
        <v/>
      </c>
      <c r="Q51" s="28">
        <f>IF(OR($A51="",$L51=""),"",IF(AND($N51="Sí",$P51="Sí"),"OTIF","Falló"))</f>
        <v/>
      </c>
    </row>
    <row r="52" ht="16" customHeight="1">
      <c r="A52" s="48" t="n"/>
      <c r="B52" s="48" t="n"/>
      <c r="C52" s="47" t="n"/>
      <c r="D52" s="50" t="n"/>
      <c r="E52" s="50" t="n"/>
      <c r="F52" s="50" t="n"/>
      <c r="G52" s="50" t="n"/>
      <c r="H52" s="48" t="n"/>
      <c r="I52" s="51" t="n"/>
      <c r="J52" s="52" t="n"/>
      <c r="K52" s="47" t="n"/>
      <c r="L52" s="47" t="n"/>
      <c r="M52" s="24">
        <f>IF(OR($A52="",$C52=""),"",IF($L52&lt;&gt;"",$L52-$C52,TODAY()-$C52))</f>
        <v/>
      </c>
      <c r="N52" s="28">
        <f>IF(OR($A52="",$K52=""),"",IF($L52="",IF(TODAY()&gt;$K52,"Atrasado","En ruta"),IF($L52&lt;=$K52,"Sí","No")))</f>
        <v/>
      </c>
      <c r="O52" s="24">
        <f>IF($A52="","",COUNTIFS(NOVEDADES!$D$4:$D$1503,$A52))</f>
        <v/>
      </c>
      <c r="P52" s="28">
        <f>IF($A52="","",IF(COUNTIFS(NOVEDADES!$D$4:$D$1503,$A52,NOVEDADES!$O$4:$O$1503,"SÍ")&gt;0,"No","Sí"))</f>
        <v/>
      </c>
      <c r="Q52" s="28">
        <f>IF(OR($A52="",$L52=""),"",IF(AND($N52="Sí",$P52="Sí"),"OTIF","Falló"))</f>
        <v/>
      </c>
    </row>
    <row r="53" ht="16" customHeight="1">
      <c r="A53" s="48" t="n"/>
      <c r="B53" s="48" t="n"/>
      <c r="C53" s="47" t="n"/>
      <c r="D53" s="50" t="n"/>
      <c r="E53" s="50" t="n"/>
      <c r="F53" s="50" t="n"/>
      <c r="G53" s="50" t="n"/>
      <c r="H53" s="48" t="n"/>
      <c r="I53" s="51" t="n"/>
      <c r="J53" s="52" t="n"/>
      <c r="K53" s="47" t="n"/>
      <c r="L53" s="47" t="n"/>
      <c r="M53" s="24">
        <f>IF(OR($A53="",$C53=""),"",IF($L53&lt;&gt;"",$L53-$C53,TODAY()-$C53))</f>
        <v/>
      </c>
      <c r="N53" s="28">
        <f>IF(OR($A53="",$K53=""),"",IF($L53="",IF(TODAY()&gt;$K53,"Atrasado","En ruta"),IF($L53&lt;=$K53,"Sí","No")))</f>
        <v/>
      </c>
      <c r="O53" s="24">
        <f>IF($A53="","",COUNTIFS(NOVEDADES!$D$4:$D$1503,$A53))</f>
        <v/>
      </c>
      <c r="P53" s="28">
        <f>IF($A53="","",IF(COUNTIFS(NOVEDADES!$D$4:$D$1503,$A53,NOVEDADES!$O$4:$O$1503,"SÍ")&gt;0,"No","Sí"))</f>
        <v/>
      </c>
      <c r="Q53" s="28">
        <f>IF(OR($A53="",$L53=""),"",IF(AND($N53="Sí",$P53="Sí"),"OTIF","Falló"))</f>
        <v/>
      </c>
    </row>
    <row r="54" ht="16" customHeight="1">
      <c r="A54" s="48" t="n"/>
      <c r="B54" s="48" t="n"/>
      <c r="C54" s="47" t="n"/>
      <c r="D54" s="50" t="n"/>
      <c r="E54" s="50" t="n"/>
      <c r="F54" s="50" t="n"/>
      <c r="G54" s="50" t="n"/>
      <c r="H54" s="48" t="n"/>
      <c r="I54" s="51" t="n"/>
      <c r="J54" s="52" t="n"/>
      <c r="K54" s="47" t="n"/>
      <c r="L54" s="47" t="n"/>
      <c r="M54" s="24">
        <f>IF(OR($A54="",$C54=""),"",IF($L54&lt;&gt;"",$L54-$C54,TODAY()-$C54))</f>
        <v/>
      </c>
      <c r="N54" s="28">
        <f>IF(OR($A54="",$K54=""),"",IF($L54="",IF(TODAY()&gt;$K54,"Atrasado","En ruta"),IF($L54&lt;=$K54,"Sí","No")))</f>
        <v/>
      </c>
      <c r="O54" s="24">
        <f>IF($A54="","",COUNTIFS(NOVEDADES!$D$4:$D$1503,$A54))</f>
        <v/>
      </c>
      <c r="P54" s="28">
        <f>IF($A54="","",IF(COUNTIFS(NOVEDADES!$D$4:$D$1503,$A54,NOVEDADES!$O$4:$O$1503,"SÍ")&gt;0,"No","Sí"))</f>
        <v/>
      </c>
      <c r="Q54" s="28">
        <f>IF(OR($A54="",$L54=""),"",IF(AND($N54="Sí",$P54="Sí"),"OTIF","Falló"))</f>
        <v/>
      </c>
    </row>
    <row r="55" ht="16" customHeight="1">
      <c r="A55" s="48" t="n"/>
      <c r="B55" s="48" t="n"/>
      <c r="C55" s="47" t="n"/>
      <c r="D55" s="50" t="n"/>
      <c r="E55" s="50" t="n"/>
      <c r="F55" s="50" t="n"/>
      <c r="G55" s="50" t="n"/>
      <c r="H55" s="48" t="n"/>
      <c r="I55" s="51" t="n"/>
      <c r="J55" s="52" t="n"/>
      <c r="K55" s="47" t="n"/>
      <c r="L55" s="47" t="n"/>
      <c r="M55" s="24">
        <f>IF(OR($A55="",$C55=""),"",IF($L55&lt;&gt;"",$L55-$C55,TODAY()-$C55))</f>
        <v/>
      </c>
      <c r="N55" s="28">
        <f>IF(OR($A55="",$K55=""),"",IF($L55="",IF(TODAY()&gt;$K55,"Atrasado","En ruta"),IF($L55&lt;=$K55,"Sí","No")))</f>
        <v/>
      </c>
      <c r="O55" s="24">
        <f>IF($A55="","",COUNTIFS(NOVEDADES!$D$4:$D$1503,$A55))</f>
        <v/>
      </c>
      <c r="P55" s="28">
        <f>IF($A55="","",IF(COUNTIFS(NOVEDADES!$D$4:$D$1503,$A55,NOVEDADES!$O$4:$O$1503,"SÍ")&gt;0,"No","Sí"))</f>
        <v/>
      </c>
      <c r="Q55" s="28">
        <f>IF(OR($A55="",$L55=""),"",IF(AND($N55="Sí",$P55="Sí"),"OTIF","Falló"))</f>
        <v/>
      </c>
    </row>
    <row r="56" ht="16" customHeight="1">
      <c r="A56" s="48" t="n"/>
      <c r="B56" s="48" t="n"/>
      <c r="C56" s="47" t="n"/>
      <c r="D56" s="50" t="n"/>
      <c r="E56" s="50" t="n"/>
      <c r="F56" s="50" t="n"/>
      <c r="G56" s="50" t="n"/>
      <c r="H56" s="48" t="n"/>
      <c r="I56" s="51" t="n"/>
      <c r="J56" s="52" t="n"/>
      <c r="K56" s="47" t="n"/>
      <c r="L56" s="47" t="n"/>
      <c r="M56" s="24">
        <f>IF(OR($A56="",$C56=""),"",IF($L56&lt;&gt;"",$L56-$C56,TODAY()-$C56))</f>
        <v/>
      </c>
      <c r="N56" s="28">
        <f>IF(OR($A56="",$K56=""),"",IF($L56="",IF(TODAY()&gt;$K56,"Atrasado","En ruta"),IF($L56&lt;=$K56,"Sí","No")))</f>
        <v/>
      </c>
      <c r="O56" s="24">
        <f>IF($A56="","",COUNTIFS(NOVEDADES!$D$4:$D$1503,$A56))</f>
        <v/>
      </c>
      <c r="P56" s="28">
        <f>IF($A56="","",IF(COUNTIFS(NOVEDADES!$D$4:$D$1503,$A56,NOVEDADES!$O$4:$O$1503,"SÍ")&gt;0,"No","Sí"))</f>
        <v/>
      </c>
      <c r="Q56" s="28">
        <f>IF(OR($A56="",$L56=""),"",IF(AND($N56="Sí",$P56="Sí"),"OTIF","Falló"))</f>
        <v/>
      </c>
    </row>
    <row r="57" ht="16" customHeight="1">
      <c r="A57" s="48" t="n"/>
      <c r="B57" s="48" t="n"/>
      <c r="C57" s="47" t="n"/>
      <c r="D57" s="50" t="n"/>
      <c r="E57" s="50" t="n"/>
      <c r="F57" s="50" t="n"/>
      <c r="G57" s="50" t="n"/>
      <c r="H57" s="48" t="n"/>
      <c r="I57" s="51" t="n"/>
      <c r="J57" s="52" t="n"/>
      <c r="K57" s="47" t="n"/>
      <c r="L57" s="47" t="n"/>
      <c r="M57" s="24">
        <f>IF(OR($A57="",$C57=""),"",IF($L57&lt;&gt;"",$L57-$C57,TODAY()-$C57))</f>
        <v/>
      </c>
      <c r="N57" s="28">
        <f>IF(OR($A57="",$K57=""),"",IF($L57="",IF(TODAY()&gt;$K57,"Atrasado","En ruta"),IF($L57&lt;=$K57,"Sí","No")))</f>
        <v/>
      </c>
      <c r="O57" s="24">
        <f>IF($A57="","",COUNTIFS(NOVEDADES!$D$4:$D$1503,$A57))</f>
        <v/>
      </c>
      <c r="P57" s="28">
        <f>IF($A57="","",IF(COUNTIFS(NOVEDADES!$D$4:$D$1503,$A57,NOVEDADES!$O$4:$O$1503,"SÍ")&gt;0,"No","Sí"))</f>
        <v/>
      </c>
      <c r="Q57" s="28">
        <f>IF(OR($A57="",$L57=""),"",IF(AND($N57="Sí",$P57="Sí"),"OTIF","Falló"))</f>
        <v/>
      </c>
    </row>
    <row r="58" ht="16" customHeight="1">
      <c r="A58" s="48" t="n"/>
      <c r="B58" s="48" t="n"/>
      <c r="C58" s="47" t="n"/>
      <c r="D58" s="50" t="n"/>
      <c r="E58" s="50" t="n"/>
      <c r="F58" s="50" t="n"/>
      <c r="G58" s="50" t="n"/>
      <c r="H58" s="48" t="n"/>
      <c r="I58" s="51" t="n"/>
      <c r="J58" s="52" t="n"/>
      <c r="K58" s="47" t="n"/>
      <c r="L58" s="47" t="n"/>
      <c r="M58" s="24">
        <f>IF(OR($A58="",$C58=""),"",IF($L58&lt;&gt;"",$L58-$C58,TODAY()-$C58))</f>
        <v/>
      </c>
      <c r="N58" s="28">
        <f>IF(OR($A58="",$K58=""),"",IF($L58="",IF(TODAY()&gt;$K58,"Atrasado","En ruta"),IF($L58&lt;=$K58,"Sí","No")))</f>
        <v/>
      </c>
      <c r="O58" s="24">
        <f>IF($A58="","",COUNTIFS(NOVEDADES!$D$4:$D$1503,$A58))</f>
        <v/>
      </c>
      <c r="P58" s="28">
        <f>IF($A58="","",IF(COUNTIFS(NOVEDADES!$D$4:$D$1503,$A58,NOVEDADES!$O$4:$O$1503,"SÍ")&gt;0,"No","Sí"))</f>
        <v/>
      </c>
      <c r="Q58" s="28">
        <f>IF(OR($A58="",$L58=""),"",IF(AND($N58="Sí",$P58="Sí"),"OTIF","Falló"))</f>
        <v/>
      </c>
    </row>
    <row r="59" ht="16" customHeight="1">
      <c r="A59" s="48" t="n"/>
      <c r="B59" s="48" t="n"/>
      <c r="C59" s="47" t="n"/>
      <c r="D59" s="50" t="n"/>
      <c r="E59" s="50" t="n"/>
      <c r="F59" s="50" t="n"/>
      <c r="G59" s="50" t="n"/>
      <c r="H59" s="48" t="n"/>
      <c r="I59" s="51" t="n"/>
      <c r="J59" s="52" t="n"/>
      <c r="K59" s="47" t="n"/>
      <c r="L59" s="47" t="n"/>
      <c r="M59" s="24">
        <f>IF(OR($A59="",$C59=""),"",IF($L59&lt;&gt;"",$L59-$C59,TODAY()-$C59))</f>
        <v/>
      </c>
      <c r="N59" s="28">
        <f>IF(OR($A59="",$K59=""),"",IF($L59="",IF(TODAY()&gt;$K59,"Atrasado","En ruta"),IF($L59&lt;=$K59,"Sí","No")))</f>
        <v/>
      </c>
      <c r="O59" s="24">
        <f>IF($A59="","",COUNTIFS(NOVEDADES!$D$4:$D$1503,$A59))</f>
        <v/>
      </c>
      <c r="P59" s="28">
        <f>IF($A59="","",IF(COUNTIFS(NOVEDADES!$D$4:$D$1503,$A59,NOVEDADES!$O$4:$O$1503,"SÍ")&gt;0,"No","Sí"))</f>
        <v/>
      </c>
      <c r="Q59" s="28">
        <f>IF(OR($A59="",$L59=""),"",IF(AND($N59="Sí",$P59="Sí"),"OTIF","Falló"))</f>
        <v/>
      </c>
    </row>
    <row r="60" ht="16" customHeight="1">
      <c r="A60" s="48" t="n"/>
      <c r="B60" s="48" t="n"/>
      <c r="C60" s="47" t="n"/>
      <c r="D60" s="50" t="n"/>
      <c r="E60" s="50" t="n"/>
      <c r="F60" s="50" t="n"/>
      <c r="G60" s="50" t="n"/>
      <c r="H60" s="48" t="n"/>
      <c r="I60" s="51" t="n"/>
      <c r="J60" s="52" t="n"/>
      <c r="K60" s="47" t="n"/>
      <c r="L60" s="47" t="n"/>
      <c r="M60" s="24">
        <f>IF(OR($A60="",$C60=""),"",IF($L60&lt;&gt;"",$L60-$C60,TODAY()-$C60))</f>
        <v/>
      </c>
      <c r="N60" s="28">
        <f>IF(OR($A60="",$K60=""),"",IF($L60="",IF(TODAY()&gt;$K60,"Atrasado","En ruta"),IF($L60&lt;=$K60,"Sí","No")))</f>
        <v/>
      </c>
      <c r="O60" s="24">
        <f>IF($A60="","",COUNTIFS(NOVEDADES!$D$4:$D$1503,$A60))</f>
        <v/>
      </c>
      <c r="P60" s="28">
        <f>IF($A60="","",IF(COUNTIFS(NOVEDADES!$D$4:$D$1503,$A60,NOVEDADES!$O$4:$O$1503,"SÍ")&gt;0,"No","Sí"))</f>
        <v/>
      </c>
      <c r="Q60" s="28">
        <f>IF(OR($A60="",$L60=""),"",IF(AND($N60="Sí",$P60="Sí"),"OTIF","Falló"))</f>
        <v/>
      </c>
    </row>
    <row r="61" ht="16" customHeight="1">
      <c r="A61" s="48" t="n"/>
      <c r="B61" s="48" t="n"/>
      <c r="C61" s="47" t="n"/>
      <c r="D61" s="50" t="n"/>
      <c r="E61" s="50" t="n"/>
      <c r="F61" s="50" t="n"/>
      <c r="G61" s="50" t="n"/>
      <c r="H61" s="48" t="n"/>
      <c r="I61" s="51" t="n"/>
      <c r="J61" s="52" t="n"/>
      <c r="K61" s="47" t="n"/>
      <c r="L61" s="47" t="n"/>
      <c r="M61" s="24">
        <f>IF(OR($A61="",$C61=""),"",IF($L61&lt;&gt;"",$L61-$C61,TODAY()-$C61))</f>
        <v/>
      </c>
      <c r="N61" s="28">
        <f>IF(OR($A61="",$K61=""),"",IF($L61="",IF(TODAY()&gt;$K61,"Atrasado","En ruta"),IF($L61&lt;=$K61,"Sí","No")))</f>
        <v/>
      </c>
      <c r="O61" s="24">
        <f>IF($A61="","",COUNTIFS(NOVEDADES!$D$4:$D$1503,$A61))</f>
        <v/>
      </c>
      <c r="P61" s="28">
        <f>IF($A61="","",IF(COUNTIFS(NOVEDADES!$D$4:$D$1503,$A61,NOVEDADES!$O$4:$O$1503,"SÍ")&gt;0,"No","Sí"))</f>
        <v/>
      </c>
      <c r="Q61" s="28">
        <f>IF(OR($A61="",$L61=""),"",IF(AND($N61="Sí",$P61="Sí"),"OTIF","Falló"))</f>
        <v/>
      </c>
    </row>
    <row r="62" ht="16" customHeight="1">
      <c r="A62" s="48" t="n"/>
      <c r="B62" s="48" t="n"/>
      <c r="C62" s="47" t="n"/>
      <c r="D62" s="50" t="n"/>
      <c r="E62" s="50" t="n"/>
      <c r="F62" s="50" t="n"/>
      <c r="G62" s="50" t="n"/>
      <c r="H62" s="48" t="n"/>
      <c r="I62" s="51" t="n"/>
      <c r="J62" s="52" t="n"/>
      <c r="K62" s="47" t="n"/>
      <c r="L62" s="47" t="n"/>
      <c r="M62" s="24">
        <f>IF(OR($A62="",$C62=""),"",IF($L62&lt;&gt;"",$L62-$C62,TODAY()-$C62))</f>
        <v/>
      </c>
      <c r="N62" s="28">
        <f>IF(OR($A62="",$K62=""),"",IF($L62="",IF(TODAY()&gt;$K62,"Atrasado","En ruta"),IF($L62&lt;=$K62,"Sí","No")))</f>
        <v/>
      </c>
      <c r="O62" s="24">
        <f>IF($A62="","",COUNTIFS(NOVEDADES!$D$4:$D$1503,$A62))</f>
        <v/>
      </c>
      <c r="P62" s="28">
        <f>IF($A62="","",IF(COUNTIFS(NOVEDADES!$D$4:$D$1503,$A62,NOVEDADES!$O$4:$O$1503,"SÍ")&gt;0,"No","Sí"))</f>
        <v/>
      </c>
      <c r="Q62" s="28">
        <f>IF(OR($A62="",$L62=""),"",IF(AND($N62="Sí",$P62="Sí"),"OTIF","Falló"))</f>
        <v/>
      </c>
    </row>
    <row r="63" ht="16" customHeight="1">
      <c r="A63" s="48" t="n"/>
      <c r="B63" s="48" t="n"/>
      <c r="C63" s="47" t="n"/>
      <c r="D63" s="50" t="n"/>
      <c r="E63" s="50" t="n"/>
      <c r="F63" s="50" t="n"/>
      <c r="G63" s="50" t="n"/>
      <c r="H63" s="48" t="n"/>
      <c r="I63" s="51" t="n"/>
      <c r="J63" s="52" t="n"/>
      <c r="K63" s="47" t="n"/>
      <c r="L63" s="47" t="n"/>
      <c r="M63" s="24">
        <f>IF(OR($A63="",$C63=""),"",IF($L63&lt;&gt;"",$L63-$C63,TODAY()-$C63))</f>
        <v/>
      </c>
      <c r="N63" s="28">
        <f>IF(OR($A63="",$K63=""),"",IF($L63="",IF(TODAY()&gt;$K63,"Atrasado","En ruta"),IF($L63&lt;=$K63,"Sí","No")))</f>
        <v/>
      </c>
      <c r="O63" s="24">
        <f>IF($A63="","",COUNTIFS(NOVEDADES!$D$4:$D$1503,$A63))</f>
        <v/>
      </c>
      <c r="P63" s="28">
        <f>IF($A63="","",IF(COUNTIFS(NOVEDADES!$D$4:$D$1503,$A63,NOVEDADES!$O$4:$O$1503,"SÍ")&gt;0,"No","Sí"))</f>
        <v/>
      </c>
      <c r="Q63" s="28">
        <f>IF(OR($A63="",$L63=""),"",IF(AND($N63="Sí",$P63="Sí"),"OTIF","Falló"))</f>
        <v/>
      </c>
    </row>
    <row r="64" ht="16" customHeight="1">
      <c r="A64" s="48" t="n"/>
      <c r="B64" s="48" t="n"/>
      <c r="C64" s="47" t="n"/>
      <c r="D64" s="50" t="n"/>
      <c r="E64" s="50" t="n"/>
      <c r="F64" s="50" t="n"/>
      <c r="G64" s="50" t="n"/>
      <c r="H64" s="48" t="n"/>
      <c r="I64" s="51" t="n"/>
      <c r="J64" s="52" t="n"/>
      <c r="K64" s="47" t="n"/>
      <c r="L64" s="47" t="n"/>
      <c r="M64" s="24">
        <f>IF(OR($A64="",$C64=""),"",IF($L64&lt;&gt;"",$L64-$C64,TODAY()-$C64))</f>
        <v/>
      </c>
      <c r="N64" s="28">
        <f>IF(OR($A64="",$K64=""),"",IF($L64="",IF(TODAY()&gt;$K64,"Atrasado","En ruta"),IF($L64&lt;=$K64,"Sí","No")))</f>
        <v/>
      </c>
      <c r="O64" s="24">
        <f>IF($A64="","",COUNTIFS(NOVEDADES!$D$4:$D$1503,$A64))</f>
        <v/>
      </c>
      <c r="P64" s="28">
        <f>IF($A64="","",IF(COUNTIFS(NOVEDADES!$D$4:$D$1503,$A64,NOVEDADES!$O$4:$O$1503,"SÍ")&gt;0,"No","Sí"))</f>
        <v/>
      </c>
      <c r="Q64" s="28">
        <f>IF(OR($A64="",$L64=""),"",IF(AND($N64="Sí",$P64="Sí"),"OTIF","Falló"))</f>
        <v/>
      </c>
    </row>
    <row r="65" ht="16" customHeight="1">
      <c r="A65" s="48" t="n"/>
      <c r="B65" s="48" t="n"/>
      <c r="C65" s="47" t="n"/>
      <c r="D65" s="50" t="n"/>
      <c r="E65" s="50" t="n"/>
      <c r="F65" s="50" t="n"/>
      <c r="G65" s="50" t="n"/>
      <c r="H65" s="48" t="n"/>
      <c r="I65" s="51" t="n"/>
      <c r="J65" s="52" t="n"/>
      <c r="K65" s="47" t="n"/>
      <c r="L65" s="47" t="n"/>
      <c r="M65" s="24">
        <f>IF(OR($A65="",$C65=""),"",IF($L65&lt;&gt;"",$L65-$C65,TODAY()-$C65))</f>
        <v/>
      </c>
      <c r="N65" s="28">
        <f>IF(OR($A65="",$K65=""),"",IF($L65="",IF(TODAY()&gt;$K65,"Atrasado","En ruta"),IF($L65&lt;=$K65,"Sí","No")))</f>
        <v/>
      </c>
      <c r="O65" s="24">
        <f>IF($A65="","",COUNTIFS(NOVEDADES!$D$4:$D$1503,$A65))</f>
        <v/>
      </c>
      <c r="P65" s="28">
        <f>IF($A65="","",IF(COUNTIFS(NOVEDADES!$D$4:$D$1503,$A65,NOVEDADES!$O$4:$O$1503,"SÍ")&gt;0,"No","Sí"))</f>
        <v/>
      </c>
      <c r="Q65" s="28">
        <f>IF(OR($A65="",$L65=""),"",IF(AND($N65="Sí",$P65="Sí"),"OTIF","Falló"))</f>
        <v/>
      </c>
    </row>
    <row r="66" ht="16" customHeight="1">
      <c r="A66" s="48" t="n"/>
      <c r="B66" s="48" t="n"/>
      <c r="C66" s="47" t="n"/>
      <c r="D66" s="50" t="n"/>
      <c r="E66" s="50" t="n"/>
      <c r="F66" s="50" t="n"/>
      <c r="G66" s="50" t="n"/>
      <c r="H66" s="48" t="n"/>
      <c r="I66" s="51" t="n"/>
      <c r="J66" s="52" t="n"/>
      <c r="K66" s="47" t="n"/>
      <c r="L66" s="47" t="n"/>
      <c r="M66" s="24">
        <f>IF(OR($A66="",$C66=""),"",IF($L66&lt;&gt;"",$L66-$C66,TODAY()-$C66))</f>
        <v/>
      </c>
      <c r="N66" s="28">
        <f>IF(OR($A66="",$K66=""),"",IF($L66="",IF(TODAY()&gt;$K66,"Atrasado","En ruta"),IF($L66&lt;=$K66,"Sí","No")))</f>
        <v/>
      </c>
      <c r="O66" s="24">
        <f>IF($A66="","",COUNTIFS(NOVEDADES!$D$4:$D$1503,$A66))</f>
        <v/>
      </c>
      <c r="P66" s="28">
        <f>IF($A66="","",IF(COUNTIFS(NOVEDADES!$D$4:$D$1503,$A66,NOVEDADES!$O$4:$O$1503,"SÍ")&gt;0,"No","Sí"))</f>
        <v/>
      </c>
      <c r="Q66" s="28">
        <f>IF(OR($A66="",$L66=""),"",IF(AND($N66="Sí",$P66="Sí"),"OTIF","Falló"))</f>
        <v/>
      </c>
    </row>
    <row r="67" ht="16" customHeight="1">
      <c r="A67" s="48" t="n"/>
      <c r="B67" s="48" t="n"/>
      <c r="C67" s="47" t="n"/>
      <c r="D67" s="50" t="n"/>
      <c r="E67" s="50" t="n"/>
      <c r="F67" s="50" t="n"/>
      <c r="G67" s="50" t="n"/>
      <c r="H67" s="48" t="n"/>
      <c r="I67" s="51" t="n"/>
      <c r="J67" s="52" t="n"/>
      <c r="K67" s="47" t="n"/>
      <c r="L67" s="47" t="n"/>
      <c r="M67" s="24">
        <f>IF(OR($A67="",$C67=""),"",IF($L67&lt;&gt;"",$L67-$C67,TODAY()-$C67))</f>
        <v/>
      </c>
      <c r="N67" s="28">
        <f>IF(OR($A67="",$K67=""),"",IF($L67="",IF(TODAY()&gt;$K67,"Atrasado","En ruta"),IF($L67&lt;=$K67,"Sí","No")))</f>
        <v/>
      </c>
      <c r="O67" s="24">
        <f>IF($A67="","",COUNTIFS(NOVEDADES!$D$4:$D$1503,$A67))</f>
        <v/>
      </c>
      <c r="P67" s="28">
        <f>IF($A67="","",IF(COUNTIFS(NOVEDADES!$D$4:$D$1503,$A67,NOVEDADES!$O$4:$O$1503,"SÍ")&gt;0,"No","Sí"))</f>
        <v/>
      </c>
      <c r="Q67" s="28">
        <f>IF(OR($A67="",$L67=""),"",IF(AND($N67="Sí",$P67="Sí"),"OTIF","Falló"))</f>
        <v/>
      </c>
    </row>
    <row r="68" ht="16" customHeight="1">
      <c r="A68" s="48" t="n"/>
      <c r="B68" s="48" t="n"/>
      <c r="C68" s="47" t="n"/>
      <c r="D68" s="50" t="n"/>
      <c r="E68" s="50" t="n"/>
      <c r="F68" s="50" t="n"/>
      <c r="G68" s="50" t="n"/>
      <c r="H68" s="48" t="n"/>
      <c r="I68" s="51" t="n"/>
      <c r="J68" s="52" t="n"/>
      <c r="K68" s="47" t="n"/>
      <c r="L68" s="47" t="n"/>
      <c r="M68" s="24">
        <f>IF(OR($A68="",$C68=""),"",IF($L68&lt;&gt;"",$L68-$C68,TODAY()-$C68))</f>
        <v/>
      </c>
      <c r="N68" s="28">
        <f>IF(OR($A68="",$K68=""),"",IF($L68="",IF(TODAY()&gt;$K68,"Atrasado","En ruta"),IF($L68&lt;=$K68,"Sí","No")))</f>
        <v/>
      </c>
      <c r="O68" s="24">
        <f>IF($A68="","",COUNTIFS(NOVEDADES!$D$4:$D$1503,$A68))</f>
        <v/>
      </c>
      <c r="P68" s="28">
        <f>IF($A68="","",IF(COUNTIFS(NOVEDADES!$D$4:$D$1503,$A68,NOVEDADES!$O$4:$O$1503,"SÍ")&gt;0,"No","Sí"))</f>
        <v/>
      </c>
      <c r="Q68" s="28">
        <f>IF(OR($A68="",$L68=""),"",IF(AND($N68="Sí",$P68="Sí"),"OTIF","Falló"))</f>
        <v/>
      </c>
    </row>
    <row r="69" ht="16" customHeight="1">
      <c r="A69" s="48" t="n"/>
      <c r="B69" s="48" t="n"/>
      <c r="C69" s="47" t="n"/>
      <c r="D69" s="50" t="n"/>
      <c r="E69" s="50" t="n"/>
      <c r="F69" s="50" t="n"/>
      <c r="G69" s="50" t="n"/>
      <c r="H69" s="48" t="n"/>
      <c r="I69" s="51" t="n"/>
      <c r="J69" s="52" t="n"/>
      <c r="K69" s="47" t="n"/>
      <c r="L69" s="47" t="n"/>
      <c r="M69" s="24">
        <f>IF(OR($A69="",$C69=""),"",IF($L69&lt;&gt;"",$L69-$C69,TODAY()-$C69))</f>
        <v/>
      </c>
      <c r="N69" s="28">
        <f>IF(OR($A69="",$K69=""),"",IF($L69="",IF(TODAY()&gt;$K69,"Atrasado","En ruta"),IF($L69&lt;=$K69,"Sí","No")))</f>
        <v/>
      </c>
      <c r="O69" s="24">
        <f>IF($A69="","",COUNTIFS(NOVEDADES!$D$4:$D$1503,$A69))</f>
        <v/>
      </c>
      <c r="P69" s="28">
        <f>IF($A69="","",IF(COUNTIFS(NOVEDADES!$D$4:$D$1503,$A69,NOVEDADES!$O$4:$O$1503,"SÍ")&gt;0,"No","Sí"))</f>
        <v/>
      </c>
      <c r="Q69" s="28">
        <f>IF(OR($A69="",$L69=""),"",IF(AND($N69="Sí",$P69="Sí"),"OTIF","Falló"))</f>
        <v/>
      </c>
    </row>
    <row r="70" ht="16" customHeight="1">
      <c r="A70" s="48" t="n"/>
      <c r="B70" s="48" t="n"/>
      <c r="C70" s="47" t="n"/>
      <c r="D70" s="50" t="n"/>
      <c r="E70" s="50" t="n"/>
      <c r="F70" s="50" t="n"/>
      <c r="G70" s="50" t="n"/>
      <c r="H70" s="48" t="n"/>
      <c r="I70" s="51" t="n"/>
      <c r="J70" s="52" t="n"/>
      <c r="K70" s="47" t="n"/>
      <c r="L70" s="47" t="n"/>
      <c r="M70" s="24">
        <f>IF(OR($A70="",$C70=""),"",IF($L70&lt;&gt;"",$L70-$C70,TODAY()-$C70))</f>
        <v/>
      </c>
      <c r="N70" s="28">
        <f>IF(OR($A70="",$K70=""),"",IF($L70="",IF(TODAY()&gt;$K70,"Atrasado","En ruta"),IF($L70&lt;=$K70,"Sí","No")))</f>
        <v/>
      </c>
      <c r="O70" s="24">
        <f>IF($A70="","",COUNTIFS(NOVEDADES!$D$4:$D$1503,$A70))</f>
        <v/>
      </c>
      <c r="P70" s="28">
        <f>IF($A70="","",IF(COUNTIFS(NOVEDADES!$D$4:$D$1503,$A70,NOVEDADES!$O$4:$O$1503,"SÍ")&gt;0,"No","Sí"))</f>
        <v/>
      </c>
      <c r="Q70" s="28">
        <f>IF(OR($A70="",$L70=""),"",IF(AND($N70="Sí",$P70="Sí"),"OTIF","Falló"))</f>
        <v/>
      </c>
    </row>
    <row r="71" ht="16" customHeight="1">
      <c r="A71" s="48" t="n"/>
      <c r="B71" s="48" t="n"/>
      <c r="C71" s="47" t="n"/>
      <c r="D71" s="50" t="n"/>
      <c r="E71" s="50" t="n"/>
      <c r="F71" s="50" t="n"/>
      <c r="G71" s="50" t="n"/>
      <c r="H71" s="48" t="n"/>
      <c r="I71" s="51" t="n"/>
      <c r="J71" s="52" t="n"/>
      <c r="K71" s="47" t="n"/>
      <c r="L71" s="47" t="n"/>
      <c r="M71" s="24">
        <f>IF(OR($A71="",$C71=""),"",IF($L71&lt;&gt;"",$L71-$C71,TODAY()-$C71))</f>
        <v/>
      </c>
      <c r="N71" s="28">
        <f>IF(OR($A71="",$K71=""),"",IF($L71="",IF(TODAY()&gt;$K71,"Atrasado","En ruta"),IF($L71&lt;=$K71,"Sí","No")))</f>
        <v/>
      </c>
      <c r="O71" s="24">
        <f>IF($A71="","",COUNTIFS(NOVEDADES!$D$4:$D$1503,$A71))</f>
        <v/>
      </c>
      <c r="P71" s="28">
        <f>IF($A71="","",IF(COUNTIFS(NOVEDADES!$D$4:$D$1503,$A71,NOVEDADES!$O$4:$O$1503,"SÍ")&gt;0,"No","Sí"))</f>
        <v/>
      </c>
      <c r="Q71" s="28">
        <f>IF(OR($A71="",$L71=""),"",IF(AND($N71="Sí",$P71="Sí"),"OTIF","Falló"))</f>
        <v/>
      </c>
    </row>
    <row r="72" ht="16" customHeight="1">
      <c r="A72" s="48" t="n"/>
      <c r="B72" s="48" t="n"/>
      <c r="C72" s="47" t="n"/>
      <c r="D72" s="50" t="n"/>
      <c r="E72" s="50" t="n"/>
      <c r="F72" s="50" t="n"/>
      <c r="G72" s="50" t="n"/>
      <c r="H72" s="48" t="n"/>
      <c r="I72" s="51" t="n"/>
      <c r="J72" s="52" t="n"/>
      <c r="K72" s="47" t="n"/>
      <c r="L72" s="47" t="n"/>
      <c r="M72" s="24">
        <f>IF(OR($A72="",$C72=""),"",IF($L72&lt;&gt;"",$L72-$C72,TODAY()-$C72))</f>
        <v/>
      </c>
      <c r="N72" s="28">
        <f>IF(OR($A72="",$K72=""),"",IF($L72="",IF(TODAY()&gt;$K72,"Atrasado","En ruta"),IF($L72&lt;=$K72,"Sí","No")))</f>
        <v/>
      </c>
      <c r="O72" s="24">
        <f>IF($A72="","",COUNTIFS(NOVEDADES!$D$4:$D$1503,$A72))</f>
        <v/>
      </c>
      <c r="P72" s="28">
        <f>IF($A72="","",IF(COUNTIFS(NOVEDADES!$D$4:$D$1503,$A72,NOVEDADES!$O$4:$O$1503,"SÍ")&gt;0,"No","Sí"))</f>
        <v/>
      </c>
      <c r="Q72" s="28">
        <f>IF(OR($A72="",$L72=""),"",IF(AND($N72="Sí",$P72="Sí"),"OTIF","Falló"))</f>
        <v/>
      </c>
    </row>
    <row r="73" ht="16" customHeight="1">
      <c r="A73" s="48" t="n"/>
      <c r="B73" s="48" t="n"/>
      <c r="C73" s="47" t="n"/>
      <c r="D73" s="50" t="n"/>
      <c r="E73" s="50" t="n"/>
      <c r="F73" s="50" t="n"/>
      <c r="G73" s="50" t="n"/>
      <c r="H73" s="48" t="n"/>
      <c r="I73" s="51" t="n"/>
      <c r="J73" s="52" t="n"/>
      <c r="K73" s="47" t="n"/>
      <c r="L73" s="47" t="n"/>
      <c r="M73" s="24">
        <f>IF(OR($A73="",$C73=""),"",IF($L73&lt;&gt;"",$L73-$C73,TODAY()-$C73))</f>
        <v/>
      </c>
      <c r="N73" s="28">
        <f>IF(OR($A73="",$K73=""),"",IF($L73="",IF(TODAY()&gt;$K73,"Atrasado","En ruta"),IF($L73&lt;=$K73,"Sí","No")))</f>
        <v/>
      </c>
      <c r="O73" s="24">
        <f>IF($A73="","",COUNTIFS(NOVEDADES!$D$4:$D$1503,$A73))</f>
        <v/>
      </c>
      <c r="P73" s="28">
        <f>IF($A73="","",IF(COUNTIFS(NOVEDADES!$D$4:$D$1503,$A73,NOVEDADES!$O$4:$O$1503,"SÍ")&gt;0,"No","Sí"))</f>
        <v/>
      </c>
      <c r="Q73" s="28">
        <f>IF(OR($A73="",$L73=""),"",IF(AND($N73="Sí",$P73="Sí"),"OTIF","Falló"))</f>
        <v/>
      </c>
    </row>
    <row r="74" ht="16" customHeight="1">
      <c r="A74" s="48" t="n"/>
      <c r="B74" s="48" t="n"/>
      <c r="C74" s="47" t="n"/>
      <c r="D74" s="50" t="n"/>
      <c r="E74" s="50" t="n"/>
      <c r="F74" s="50" t="n"/>
      <c r="G74" s="50" t="n"/>
      <c r="H74" s="48" t="n"/>
      <c r="I74" s="51" t="n"/>
      <c r="J74" s="52" t="n"/>
      <c r="K74" s="47" t="n"/>
      <c r="L74" s="47" t="n"/>
      <c r="M74" s="24">
        <f>IF(OR($A74="",$C74=""),"",IF($L74&lt;&gt;"",$L74-$C74,TODAY()-$C74))</f>
        <v/>
      </c>
      <c r="N74" s="28">
        <f>IF(OR($A74="",$K74=""),"",IF($L74="",IF(TODAY()&gt;$K74,"Atrasado","En ruta"),IF($L74&lt;=$K74,"Sí","No")))</f>
        <v/>
      </c>
      <c r="O74" s="24">
        <f>IF($A74="","",COUNTIFS(NOVEDADES!$D$4:$D$1503,$A74))</f>
        <v/>
      </c>
      <c r="P74" s="28">
        <f>IF($A74="","",IF(COUNTIFS(NOVEDADES!$D$4:$D$1503,$A74,NOVEDADES!$O$4:$O$1503,"SÍ")&gt;0,"No","Sí"))</f>
        <v/>
      </c>
      <c r="Q74" s="28">
        <f>IF(OR($A74="",$L74=""),"",IF(AND($N74="Sí",$P74="Sí"),"OTIF","Falló"))</f>
        <v/>
      </c>
    </row>
    <row r="75" ht="16" customHeight="1">
      <c r="A75" s="48" t="n"/>
      <c r="B75" s="48" t="n"/>
      <c r="C75" s="47" t="n"/>
      <c r="D75" s="50" t="n"/>
      <c r="E75" s="50" t="n"/>
      <c r="F75" s="50" t="n"/>
      <c r="G75" s="50" t="n"/>
      <c r="H75" s="48" t="n"/>
      <c r="I75" s="51" t="n"/>
      <c r="J75" s="52" t="n"/>
      <c r="K75" s="47" t="n"/>
      <c r="L75" s="47" t="n"/>
      <c r="M75" s="24">
        <f>IF(OR($A75="",$C75=""),"",IF($L75&lt;&gt;"",$L75-$C75,TODAY()-$C75))</f>
        <v/>
      </c>
      <c r="N75" s="28">
        <f>IF(OR($A75="",$K75=""),"",IF($L75="",IF(TODAY()&gt;$K75,"Atrasado","En ruta"),IF($L75&lt;=$K75,"Sí","No")))</f>
        <v/>
      </c>
      <c r="O75" s="24">
        <f>IF($A75="","",COUNTIFS(NOVEDADES!$D$4:$D$1503,$A75))</f>
        <v/>
      </c>
      <c r="P75" s="28">
        <f>IF($A75="","",IF(COUNTIFS(NOVEDADES!$D$4:$D$1503,$A75,NOVEDADES!$O$4:$O$1503,"SÍ")&gt;0,"No","Sí"))</f>
        <v/>
      </c>
      <c r="Q75" s="28">
        <f>IF(OR($A75="",$L75=""),"",IF(AND($N75="Sí",$P75="Sí"),"OTIF","Falló"))</f>
        <v/>
      </c>
    </row>
    <row r="76" ht="16" customHeight="1">
      <c r="A76" s="48" t="n"/>
      <c r="B76" s="48" t="n"/>
      <c r="C76" s="47" t="n"/>
      <c r="D76" s="50" t="n"/>
      <c r="E76" s="50" t="n"/>
      <c r="F76" s="50" t="n"/>
      <c r="G76" s="50" t="n"/>
      <c r="H76" s="48" t="n"/>
      <c r="I76" s="51" t="n"/>
      <c r="J76" s="52" t="n"/>
      <c r="K76" s="47" t="n"/>
      <c r="L76" s="47" t="n"/>
      <c r="M76" s="24">
        <f>IF(OR($A76="",$C76=""),"",IF($L76&lt;&gt;"",$L76-$C76,TODAY()-$C76))</f>
        <v/>
      </c>
      <c r="N76" s="28">
        <f>IF(OR($A76="",$K76=""),"",IF($L76="",IF(TODAY()&gt;$K76,"Atrasado","En ruta"),IF($L76&lt;=$K76,"Sí","No")))</f>
        <v/>
      </c>
      <c r="O76" s="24">
        <f>IF($A76="","",COUNTIFS(NOVEDADES!$D$4:$D$1503,$A76))</f>
        <v/>
      </c>
      <c r="P76" s="28">
        <f>IF($A76="","",IF(COUNTIFS(NOVEDADES!$D$4:$D$1503,$A76,NOVEDADES!$O$4:$O$1503,"SÍ")&gt;0,"No","Sí"))</f>
        <v/>
      </c>
      <c r="Q76" s="28">
        <f>IF(OR($A76="",$L76=""),"",IF(AND($N76="Sí",$P76="Sí"),"OTIF","Falló"))</f>
        <v/>
      </c>
    </row>
    <row r="77" ht="16" customHeight="1">
      <c r="A77" s="48" t="n"/>
      <c r="B77" s="48" t="n"/>
      <c r="C77" s="47" t="n"/>
      <c r="D77" s="50" t="n"/>
      <c r="E77" s="50" t="n"/>
      <c r="F77" s="50" t="n"/>
      <c r="G77" s="50" t="n"/>
      <c r="H77" s="48" t="n"/>
      <c r="I77" s="51" t="n"/>
      <c r="J77" s="52" t="n"/>
      <c r="K77" s="47" t="n"/>
      <c r="L77" s="47" t="n"/>
      <c r="M77" s="24">
        <f>IF(OR($A77="",$C77=""),"",IF($L77&lt;&gt;"",$L77-$C77,TODAY()-$C77))</f>
        <v/>
      </c>
      <c r="N77" s="28">
        <f>IF(OR($A77="",$K77=""),"",IF($L77="",IF(TODAY()&gt;$K77,"Atrasado","En ruta"),IF($L77&lt;=$K77,"Sí","No")))</f>
        <v/>
      </c>
      <c r="O77" s="24">
        <f>IF($A77="","",COUNTIFS(NOVEDADES!$D$4:$D$1503,$A77))</f>
        <v/>
      </c>
      <c r="P77" s="28">
        <f>IF($A77="","",IF(COUNTIFS(NOVEDADES!$D$4:$D$1503,$A77,NOVEDADES!$O$4:$O$1503,"SÍ")&gt;0,"No","Sí"))</f>
        <v/>
      </c>
      <c r="Q77" s="28">
        <f>IF(OR($A77="",$L77=""),"",IF(AND($N77="Sí",$P77="Sí"),"OTIF","Falló"))</f>
        <v/>
      </c>
    </row>
    <row r="78" ht="16" customHeight="1">
      <c r="A78" s="48" t="n"/>
      <c r="B78" s="48" t="n"/>
      <c r="C78" s="47" t="n"/>
      <c r="D78" s="50" t="n"/>
      <c r="E78" s="50" t="n"/>
      <c r="F78" s="50" t="n"/>
      <c r="G78" s="50" t="n"/>
      <c r="H78" s="48" t="n"/>
      <c r="I78" s="51" t="n"/>
      <c r="J78" s="52" t="n"/>
      <c r="K78" s="47" t="n"/>
      <c r="L78" s="47" t="n"/>
      <c r="M78" s="24">
        <f>IF(OR($A78="",$C78=""),"",IF($L78&lt;&gt;"",$L78-$C78,TODAY()-$C78))</f>
        <v/>
      </c>
      <c r="N78" s="28">
        <f>IF(OR($A78="",$K78=""),"",IF($L78="",IF(TODAY()&gt;$K78,"Atrasado","En ruta"),IF($L78&lt;=$K78,"Sí","No")))</f>
        <v/>
      </c>
      <c r="O78" s="24">
        <f>IF($A78="","",COUNTIFS(NOVEDADES!$D$4:$D$1503,$A78))</f>
        <v/>
      </c>
      <c r="P78" s="28">
        <f>IF($A78="","",IF(COUNTIFS(NOVEDADES!$D$4:$D$1503,$A78,NOVEDADES!$O$4:$O$1503,"SÍ")&gt;0,"No","Sí"))</f>
        <v/>
      </c>
      <c r="Q78" s="28">
        <f>IF(OR($A78="",$L78=""),"",IF(AND($N78="Sí",$P78="Sí"),"OTIF","Falló"))</f>
        <v/>
      </c>
    </row>
    <row r="79" ht="16" customHeight="1">
      <c r="A79" s="48" t="n"/>
      <c r="B79" s="48" t="n"/>
      <c r="C79" s="47" t="n"/>
      <c r="D79" s="50" t="n"/>
      <c r="E79" s="50" t="n"/>
      <c r="F79" s="50" t="n"/>
      <c r="G79" s="50" t="n"/>
      <c r="H79" s="48" t="n"/>
      <c r="I79" s="51" t="n"/>
      <c r="J79" s="52" t="n"/>
      <c r="K79" s="47" t="n"/>
      <c r="L79" s="47" t="n"/>
      <c r="M79" s="24">
        <f>IF(OR($A79="",$C79=""),"",IF($L79&lt;&gt;"",$L79-$C79,TODAY()-$C79))</f>
        <v/>
      </c>
      <c r="N79" s="28">
        <f>IF(OR($A79="",$K79=""),"",IF($L79="",IF(TODAY()&gt;$K79,"Atrasado","En ruta"),IF($L79&lt;=$K79,"Sí","No")))</f>
        <v/>
      </c>
      <c r="O79" s="24">
        <f>IF($A79="","",COUNTIFS(NOVEDADES!$D$4:$D$1503,$A79))</f>
        <v/>
      </c>
      <c r="P79" s="28">
        <f>IF($A79="","",IF(COUNTIFS(NOVEDADES!$D$4:$D$1503,$A79,NOVEDADES!$O$4:$O$1503,"SÍ")&gt;0,"No","Sí"))</f>
        <v/>
      </c>
      <c r="Q79" s="28">
        <f>IF(OR($A79="",$L79=""),"",IF(AND($N79="Sí",$P79="Sí"),"OTIF","Falló"))</f>
        <v/>
      </c>
    </row>
    <row r="80" ht="16" customHeight="1">
      <c r="A80" s="48" t="n"/>
      <c r="B80" s="48" t="n"/>
      <c r="C80" s="47" t="n"/>
      <c r="D80" s="50" t="n"/>
      <c r="E80" s="50" t="n"/>
      <c r="F80" s="50" t="n"/>
      <c r="G80" s="50" t="n"/>
      <c r="H80" s="48" t="n"/>
      <c r="I80" s="51" t="n"/>
      <c r="J80" s="52" t="n"/>
      <c r="K80" s="47" t="n"/>
      <c r="L80" s="47" t="n"/>
      <c r="M80" s="24">
        <f>IF(OR($A80="",$C80=""),"",IF($L80&lt;&gt;"",$L80-$C80,TODAY()-$C80))</f>
        <v/>
      </c>
      <c r="N80" s="28">
        <f>IF(OR($A80="",$K80=""),"",IF($L80="",IF(TODAY()&gt;$K80,"Atrasado","En ruta"),IF($L80&lt;=$K80,"Sí","No")))</f>
        <v/>
      </c>
      <c r="O80" s="24">
        <f>IF($A80="","",COUNTIFS(NOVEDADES!$D$4:$D$1503,$A80))</f>
        <v/>
      </c>
      <c r="P80" s="28">
        <f>IF($A80="","",IF(COUNTIFS(NOVEDADES!$D$4:$D$1503,$A80,NOVEDADES!$O$4:$O$1503,"SÍ")&gt;0,"No","Sí"))</f>
        <v/>
      </c>
      <c r="Q80" s="28">
        <f>IF(OR($A80="",$L80=""),"",IF(AND($N80="Sí",$P80="Sí"),"OTIF","Falló"))</f>
        <v/>
      </c>
    </row>
    <row r="81" ht="16" customHeight="1">
      <c r="A81" s="48" t="n"/>
      <c r="B81" s="48" t="n"/>
      <c r="C81" s="47" t="n"/>
      <c r="D81" s="50" t="n"/>
      <c r="E81" s="50" t="n"/>
      <c r="F81" s="50" t="n"/>
      <c r="G81" s="50" t="n"/>
      <c r="H81" s="48" t="n"/>
      <c r="I81" s="51" t="n"/>
      <c r="J81" s="52" t="n"/>
      <c r="K81" s="47" t="n"/>
      <c r="L81" s="47" t="n"/>
      <c r="M81" s="24">
        <f>IF(OR($A81="",$C81=""),"",IF($L81&lt;&gt;"",$L81-$C81,TODAY()-$C81))</f>
        <v/>
      </c>
      <c r="N81" s="28">
        <f>IF(OR($A81="",$K81=""),"",IF($L81="",IF(TODAY()&gt;$K81,"Atrasado","En ruta"),IF($L81&lt;=$K81,"Sí","No")))</f>
        <v/>
      </c>
      <c r="O81" s="24">
        <f>IF($A81="","",COUNTIFS(NOVEDADES!$D$4:$D$1503,$A81))</f>
        <v/>
      </c>
      <c r="P81" s="28">
        <f>IF($A81="","",IF(COUNTIFS(NOVEDADES!$D$4:$D$1503,$A81,NOVEDADES!$O$4:$O$1503,"SÍ")&gt;0,"No","Sí"))</f>
        <v/>
      </c>
      <c r="Q81" s="28">
        <f>IF(OR($A81="",$L81=""),"",IF(AND($N81="Sí",$P81="Sí"),"OTIF","Falló"))</f>
        <v/>
      </c>
    </row>
    <row r="82" ht="16" customHeight="1">
      <c r="A82" s="48" t="n"/>
      <c r="B82" s="48" t="n"/>
      <c r="C82" s="47" t="n"/>
      <c r="D82" s="50" t="n"/>
      <c r="E82" s="50" t="n"/>
      <c r="F82" s="50" t="n"/>
      <c r="G82" s="50" t="n"/>
      <c r="H82" s="48" t="n"/>
      <c r="I82" s="51" t="n"/>
      <c r="J82" s="52" t="n"/>
      <c r="K82" s="47" t="n"/>
      <c r="L82" s="47" t="n"/>
      <c r="M82" s="24">
        <f>IF(OR($A82="",$C82=""),"",IF($L82&lt;&gt;"",$L82-$C82,TODAY()-$C82))</f>
        <v/>
      </c>
      <c r="N82" s="28">
        <f>IF(OR($A82="",$K82=""),"",IF($L82="",IF(TODAY()&gt;$K82,"Atrasado","En ruta"),IF($L82&lt;=$K82,"Sí","No")))</f>
        <v/>
      </c>
      <c r="O82" s="24">
        <f>IF($A82="","",COUNTIFS(NOVEDADES!$D$4:$D$1503,$A82))</f>
        <v/>
      </c>
      <c r="P82" s="28">
        <f>IF($A82="","",IF(COUNTIFS(NOVEDADES!$D$4:$D$1503,$A82,NOVEDADES!$O$4:$O$1503,"SÍ")&gt;0,"No","Sí"))</f>
        <v/>
      </c>
      <c r="Q82" s="28">
        <f>IF(OR($A82="",$L82=""),"",IF(AND($N82="Sí",$P82="Sí"),"OTIF","Falló"))</f>
        <v/>
      </c>
    </row>
    <row r="83" ht="16" customHeight="1">
      <c r="A83" s="48" t="n"/>
      <c r="B83" s="48" t="n"/>
      <c r="C83" s="47" t="n"/>
      <c r="D83" s="50" t="n"/>
      <c r="E83" s="50" t="n"/>
      <c r="F83" s="50" t="n"/>
      <c r="G83" s="50" t="n"/>
      <c r="H83" s="48" t="n"/>
      <c r="I83" s="51" t="n"/>
      <c r="J83" s="52" t="n"/>
      <c r="K83" s="47" t="n"/>
      <c r="L83" s="47" t="n"/>
      <c r="M83" s="24">
        <f>IF(OR($A83="",$C83=""),"",IF($L83&lt;&gt;"",$L83-$C83,TODAY()-$C83))</f>
        <v/>
      </c>
      <c r="N83" s="28">
        <f>IF(OR($A83="",$K83=""),"",IF($L83="",IF(TODAY()&gt;$K83,"Atrasado","En ruta"),IF($L83&lt;=$K83,"Sí","No")))</f>
        <v/>
      </c>
      <c r="O83" s="24">
        <f>IF($A83="","",COUNTIFS(NOVEDADES!$D$4:$D$1503,$A83))</f>
        <v/>
      </c>
      <c r="P83" s="28">
        <f>IF($A83="","",IF(COUNTIFS(NOVEDADES!$D$4:$D$1503,$A83,NOVEDADES!$O$4:$O$1503,"SÍ")&gt;0,"No","Sí"))</f>
        <v/>
      </c>
      <c r="Q83" s="28">
        <f>IF(OR($A83="",$L83=""),"",IF(AND($N83="Sí",$P83="Sí"),"OTIF","Falló"))</f>
        <v/>
      </c>
    </row>
    <row r="84" ht="16" customHeight="1">
      <c r="A84" s="48" t="n"/>
      <c r="B84" s="48" t="n"/>
      <c r="C84" s="47" t="n"/>
      <c r="D84" s="50" t="n"/>
      <c r="E84" s="50" t="n"/>
      <c r="F84" s="50" t="n"/>
      <c r="G84" s="50" t="n"/>
      <c r="H84" s="48" t="n"/>
      <c r="I84" s="51" t="n"/>
      <c r="J84" s="52" t="n"/>
      <c r="K84" s="47" t="n"/>
      <c r="L84" s="47" t="n"/>
      <c r="M84" s="24">
        <f>IF(OR($A84="",$C84=""),"",IF($L84&lt;&gt;"",$L84-$C84,TODAY()-$C84))</f>
        <v/>
      </c>
      <c r="N84" s="28">
        <f>IF(OR($A84="",$K84=""),"",IF($L84="",IF(TODAY()&gt;$K84,"Atrasado","En ruta"),IF($L84&lt;=$K84,"Sí","No")))</f>
        <v/>
      </c>
      <c r="O84" s="24">
        <f>IF($A84="","",COUNTIFS(NOVEDADES!$D$4:$D$1503,$A84))</f>
        <v/>
      </c>
      <c r="P84" s="28">
        <f>IF($A84="","",IF(COUNTIFS(NOVEDADES!$D$4:$D$1503,$A84,NOVEDADES!$O$4:$O$1503,"SÍ")&gt;0,"No","Sí"))</f>
        <v/>
      </c>
      <c r="Q84" s="28">
        <f>IF(OR($A84="",$L84=""),"",IF(AND($N84="Sí",$P84="Sí"),"OTIF","Falló"))</f>
        <v/>
      </c>
    </row>
    <row r="85" ht="16" customHeight="1">
      <c r="A85" s="48" t="n"/>
      <c r="B85" s="48" t="n"/>
      <c r="C85" s="47" t="n"/>
      <c r="D85" s="50" t="n"/>
      <c r="E85" s="50" t="n"/>
      <c r="F85" s="50" t="n"/>
      <c r="G85" s="50" t="n"/>
      <c r="H85" s="48" t="n"/>
      <c r="I85" s="51" t="n"/>
      <c r="J85" s="52" t="n"/>
      <c r="K85" s="47" t="n"/>
      <c r="L85" s="47" t="n"/>
      <c r="M85" s="24">
        <f>IF(OR($A85="",$C85=""),"",IF($L85&lt;&gt;"",$L85-$C85,TODAY()-$C85))</f>
        <v/>
      </c>
      <c r="N85" s="28">
        <f>IF(OR($A85="",$K85=""),"",IF($L85="",IF(TODAY()&gt;$K85,"Atrasado","En ruta"),IF($L85&lt;=$K85,"Sí","No")))</f>
        <v/>
      </c>
      <c r="O85" s="24">
        <f>IF($A85="","",COUNTIFS(NOVEDADES!$D$4:$D$1503,$A85))</f>
        <v/>
      </c>
      <c r="P85" s="28">
        <f>IF($A85="","",IF(COUNTIFS(NOVEDADES!$D$4:$D$1503,$A85,NOVEDADES!$O$4:$O$1503,"SÍ")&gt;0,"No","Sí"))</f>
        <v/>
      </c>
      <c r="Q85" s="28">
        <f>IF(OR($A85="",$L85=""),"",IF(AND($N85="Sí",$P85="Sí"),"OTIF","Falló"))</f>
        <v/>
      </c>
    </row>
    <row r="86" ht="16" customHeight="1">
      <c r="A86" s="48" t="n"/>
      <c r="B86" s="48" t="n"/>
      <c r="C86" s="47" t="n"/>
      <c r="D86" s="50" t="n"/>
      <c r="E86" s="50" t="n"/>
      <c r="F86" s="50" t="n"/>
      <c r="G86" s="50" t="n"/>
      <c r="H86" s="48" t="n"/>
      <c r="I86" s="51" t="n"/>
      <c r="J86" s="52" t="n"/>
      <c r="K86" s="47" t="n"/>
      <c r="L86" s="47" t="n"/>
      <c r="M86" s="24">
        <f>IF(OR($A86="",$C86=""),"",IF($L86&lt;&gt;"",$L86-$C86,TODAY()-$C86))</f>
        <v/>
      </c>
      <c r="N86" s="28">
        <f>IF(OR($A86="",$K86=""),"",IF($L86="",IF(TODAY()&gt;$K86,"Atrasado","En ruta"),IF($L86&lt;=$K86,"Sí","No")))</f>
        <v/>
      </c>
      <c r="O86" s="24">
        <f>IF($A86="","",COUNTIFS(NOVEDADES!$D$4:$D$1503,$A86))</f>
        <v/>
      </c>
      <c r="P86" s="28">
        <f>IF($A86="","",IF(COUNTIFS(NOVEDADES!$D$4:$D$1503,$A86,NOVEDADES!$O$4:$O$1503,"SÍ")&gt;0,"No","Sí"))</f>
        <v/>
      </c>
      <c r="Q86" s="28">
        <f>IF(OR($A86="",$L86=""),"",IF(AND($N86="Sí",$P86="Sí"),"OTIF","Falló"))</f>
        <v/>
      </c>
    </row>
    <row r="87" ht="16" customHeight="1">
      <c r="A87" s="48" t="n"/>
      <c r="B87" s="48" t="n"/>
      <c r="C87" s="47" t="n"/>
      <c r="D87" s="50" t="n"/>
      <c r="E87" s="50" t="n"/>
      <c r="F87" s="50" t="n"/>
      <c r="G87" s="50" t="n"/>
      <c r="H87" s="48" t="n"/>
      <c r="I87" s="51" t="n"/>
      <c r="J87" s="52" t="n"/>
      <c r="K87" s="47" t="n"/>
      <c r="L87" s="47" t="n"/>
      <c r="M87" s="24">
        <f>IF(OR($A87="",$C87=""),"",IF($L87&lt;&gt;"",$L87-$C87,TODAY()-$C87))</f>
        <v/>
      </c>
      <c r="N87" s="28">
        <f>IF(OR($A87="",$K87=""),"",IF($L87="",IF(TODAY()&gt;$K87,"Atrasado","En ruta"),IF($L87&lt;=$K87,"Sí","No")))</f>
        <v/>
      </c>
      <c r="O87" s="24">
        <f>IF($A87="","",COUNTIFS(NOVEDADES!$D$4:$D$1503,$A87))</f>
        <v/>
      </c>
      <c r="P87" s="28">
        <f>IF($A87="","",IF(COUNTIFS(NOVEDADES!$D$4:$D$1503,$A87,NOVEDADES!$O$4:$O$1503,"SÍ")&gt;0,"No","Sí"))</f>
        <v/>
      </c>
      <c r="Q87" s="28">
        <f>IF(OR($A87="",$L87=""),"",IF(AND($N87="Sí",$P87="Sí"),"OTIF","Falló"))</f>
        <v/>
      </c>
    </row>
    <row r="88" ht="16" customHeight="1">
      <c r="A88" s="48" t="n"/>
      <c r="B88" s="48" t="n"/>
      <c r="C88" s="47" t="n"/>
      <c r="D88" s="50" t="n"/>
      <c r="E88" s="50" t="n"/>
      <c r="F88" s="50" t="n"/>
      <c r="G88" s="50" t="n"/>
      <c r="H88" s="48" t="n"/>
      <c r="I88" s="51" t="n"/>
      <c r="J88" s="52" t="n"/>
      <c r="K88" s="47" t="n"/>
      <c r="L88" s="47" t="n"/>
      <c r="M88" s="24">
        <f>IF(OR($A88="",$C88=""),"",IF($L88&lt;&gt;"",$L88-$C88,TODAY()-$C88))</f>
        <v/>
      </c>
      <c r="N88" s="28">
        <f>IF(OR($A88="",$K88=""),"",IF($L88="",IF(TODAY()&gt;$K88,"Atrasado","En ruta"),IF($L88&lt;=$K88,"Sí","No")))</f>
        <v/>
      </c>
      <c r="O88" s="24">
        <f>IF($A88="","",COUNTIFS(NOVEDADES!$D$4:$D$1503,$A88))</f>
        <v/>
      </c>
      <c r="P88" s="28">
        <f>IF($A88="","",IF(COUNTIFS(NOVEDADES!$D$4:$D$1503,$A88,NOVEDADES!$O$4:$O$1503,"SÍ")&gt;0,"No","Sí"))</f>
        <v/>
      </c>
      <c r="Q88" s="28">
        <f>IF(OR($A88="",$L88=""),"",IF(AND($N88="Sí",$P88="Sí"),"OTIF","Falló"))</f>
        <v/>
      </c>
    </row>
    <row r="89" ht="16" customHeight="1">
      <c r="A89" s="48" t="n"/>
      <c r="B89" s="48" t="n"/>
      <c r="C89" s="47" t="n"/>
      <c r="D89" s="50" t="n"/>
      <c r="E89" s="50" t="n"/>
      <c r="F89" s="50" t="n"/>
      <c r="G89" s="50" t="n"/>
      <c r="H89" s="48" t="n"/>
      <c r="I89" s="51" t="n"/>
      <c r="J89" s="52" t="n"/>
      <c r="K89" s="47" t="n"/>
      <c r="L89" s="47" t="n"/>
      <c r="M89" s="24">
        <f>IF(OR($A89="",$C89=""),"",IF($L89&lt;&gt;"",$L89-$C89,TODAY()-$C89))</f>
        <v/>
      </c>
      <c r="N89" s="28">
        <f>IF(OR($A89="",$K89=""),"",IF($L89="",IF(TODAY()&gt;$K89,"Atrasado","En ruta"),IF($L89&lt;=$K89,"Sí","No")))</f>
        <v/>
      </c>
      <c r="O89" s="24">
        <f>IF($A89="","",COUNTIFS(NOVEDADES!$D$4:$D$1503,$A89))</f>
        <v/>
      </c>
      <c r="P89" s="28">
        <f>IF($A89="","",IF(COUNTIFS(NOVEDADES!$D$4:$D$1503,$A89,NOVEDADES!$O$4:$O$1503,"SÍ")&gt;0,"No","Sí"))</f>
        <v/>
      </c>
      <c r="Q89" s="28">
        <f>IF(OR($A89="",$L89=""),"",IF(AND($N89="Sí",$P89="Sí"),"OTIF","Falló"))</f>
        <v/>
      </c>
    </row>
    <row r="90" ht="16" customHeight="1">
      <c r="A90" s="48" t="n"/>
      <c r="B90" s="48" t="n"/>
      <c r="C90" s="47" t="n"/>
      <c r="D90" s="50" t="n"/>
      <c r="E90" s="50" t="n"/>
      <c r="F90" s="50" t="n"/>
      <c r="G90" s="50" t="n"/>
      <c r="H90" s="48" t="n"/>
      <c r="I90" s="51" t="n"/>
      <c r="J90" s="52" t="n"/>
      <c r="K90" s="47" t="n"/>
      <c r="L90" s="47" t="n"/>
      <c r="M90" s="24">
        <f>IF(OR($A90="",$C90=""),"",IF($L90&lt;&gt;"",$L90-$C90,TODAY()-$C90))</f>
        <v/>
      </c>
      <c r="N90" s="28">
        <f>IF(OR($A90="",$K90=""),"",IF($L90="",IF(TODAY()&gt;$K90,"Atrasado","En ruta"),IF($L90&lt;=$K90,"Sí","No")))</f>
        <v/>
      </c>
      <c r="O90" s="24">
        <f>IF($A90="","",COUNTIFS(NOVEDADES!$D$4:$D$1503,$A90))</f>
        <v/>
      </c>
      <c r="P90" s="28">
        <f>IF($A90="","",IF(COUNTIFS(NOVEDADES!$D$4:$D$1503,$A90,NOVEDADES!$O$4:$O$1503,"SÍ")&gt;0,"No","Sí"))</f>
        <v/>
      </c>
      <c r="Q90" s="28">
        <f>IF(OR($A90="",$L90=""),"",IF(AND($N90="Sí",$P90="Sí"),"OTIF","Falló"))</f>
        <v/>
      </c>
    </row>
    <row r="91" ht="16" customHeight="1">
      <c r="A91" s="48" t="n"/>
      <c r="B91" s="48" t="n"/>
      <c r="C91" s="47" t="n"/>
      <c r="D91" s="50" t="n"/>
      <c r="E91" s="50" t="n"/>
      <c r="F91" s="50" t="n"/>
      <c r="G91" s="50" t="n"/>
      <c r="H91" s="48" t="n"/>
      <c r="I91" s="51" t="n"/>
      <c r="J91" s="52" t="n"/>
      <c r="K91" s="47" t="n"/>
      <c r="L91" s="47" t="n"/>
      <c r="M91" s="24">
        <f>IF(OR($A91="",$C91=""),"",IF($L91&lt;&gt;"",$L91-$C91,TODAY()-$C91))</f>
        <v/>
      </c>
      <c r="N91" s="28">
        <f>IF(OR($A91="",$K91=""),"",IF($L91="",IF(TODAY()&gt;$K91,"Atrasado","En ruta"),IF($L91&lt;=$K91,"Sí","No")))</f>
        <v/>
      </c>
      <c r="O91" s="24">
        <f>IF($A91="","",COUNTIFS(NOVEDADES!$D$4:$D$1503,$A91))</f>
        <v/>
      </c>
      <c r="P91" s="28">
        <f>IF($A91="","",IF(COUNTIFS(NOVEDADES!$D$4:$D$1503,$A91,NOVEDADES!$O$4:$O$1503,"SÍ")&gt;0,"No","Sí"))</f>
        <v/>
      </c>
      <c r="Q91" s="28">
        <f>IF(OR($A91="",$L91=""),"",IF(AND($N91="Sí",$P91="Sí"),"OTIF","Falló"))</f>
        <v/>
      </c>
    </row>
    <row r="92" ht="16" customHeight="1">
      <c r="A92" s="48" t="n"/>
      <c r="B92" s="48" t="n"/>
      <c r="C92" s="47" t="n"/>
      <c r="D92" s="50" t="n"/>
      <c r="E92" s="50" t="n"/>
      <c r="F92" s="50" t="n"/>
      <c r="G92" s="50" t="n"/>
      <c r="H92" s="48" t="n"/>
      <c r="I92" s="51" t="n"/>
      <c r="J92" s="52" t="n"/>
      <c r="K92" s="47" t="n"/>
      <c r="L92" s="47" t="n"/>
      <c r="M92" s="24">
        <f>IF(OR($A92="",$C92=""),"",IF($L92&lt;&gt;"",$L92-$C92,TODAY()-$C92))</f>
        <v/>
      </c>
      <c r="N92" s="28">
        <f>IF(OR($A92="",$K92=""),"",IF($L92="",IF(TODAY()&gt;$K92,"Atrasado","En ruta"),IF($L92&lt;=$K92,"Sí","No")))</f>
        <v/>
      </c>
      <c r="O92" s="24">
        <f>IF($A92="","",COUNTIFS(NOVEDADES!$D$4:$D$1503,$A92))</f>
        <v/>
      </c>
      <c r="P92" s="28">
        <f>IF($A92="","",IF(COUNTIFS(NOVEDADES!$D$4:$D$1503,$A92,NOVEDADES!$O$4:$O$1503,"SÍ")&gt;0,"No","Sí"))</f>
        <v/>
      </c>
      <c r="Q92" s="28">
        <f>IF(OR($A92="",$L92=""),"",IF(AND($N92="Sí",$P92="Sí"),"OTIF","Falló"))</f>
        <v/>
      </c>
    </row>
    <row r="93" ht="16" customHeight="1">
      <c r="A93" s="48" t="n"/>
      <c r="B93" s="48" t="n"/>
      <c r="C93" s="47" t="n"/>
      <c r="D93" s="50" t="n"/>
      <c r="E93" s="50" t="n"/>
      <c r="F93" s="50" t="n"/>
      <c r="G93" s="50" t="n"/>
      <c r="H93" s="48" t="n"/>
      <c r="I93" s="51" t="n"/>
      <c r="J93" s="52" t="n"/>
      <c r="K93" s="47" t="n"/>
      <c r="L93" s="47" t="n"/>
      <c r="M93" s="24">
        <f>IF(OR($A93="",$C93=""),"",IF($L93&lt;&gt;"",$L93-$C93,TODAY()-$C93))</f>
        <v/>
      </c>
      <c r="N93" s="28">
        <f>IF(OR($A93="",$K93=""),"",IF($L93="",IF(TODAY()&gt;$K93,"Atrasado","En ruta"),IF($L93&lt;=$K93,"Sí","No")))</f>
        <v/>
      </c>
      <c r="O93" s="24">
        <f>IF($A93="","",COUNTIFS(NOVEDADES!$D$4:$D$1503,$A93))</f>
        <v/>
      </c>
      <c r="P93" s="28">
        <f>IF($A93="","",IF(COUNTIFS(NOVEDADES!$D$4:$D$1503,$A93,NOVEDADES!$O$4:$O$1503,"SÍ")&gt;0,"No","Sí"))</f>
        <v/>
      </c>
      <c r="Q93" s="28">
        <f>IF(OR($A93="",$L93=""),"",IF(AND($N93="Sí",$P93="Sí"),"OTIF","Falló"))</f>
        <v/>
      </c>
    </row>
    <row r="94" ht="16" customHeight="1">
      <c r="A94" s="48" t="n"/>
      <c r="B94" s="48" t="n"/>
      <c r="C94" s="47" t="n"/>
      <c r="D94" s="50" t="n"/>
      <c r="E94" s="50" t="n"/>
      <c r="F94" s="50" t="n"/>
      <c r="G94" s="50" t="n"/>
      <c r="H94" s="48" t="n"/>
      <c r="I94" s="51" t="n"/>
      <c r="J94" s="52" t="n"/>
      <c r="K94" s="47" t="n"/>
      <c r="L94" s="47" t="n"/>
      <c r="M94" s="24">
        <f>IF(OR($A94="",$C94=""),"",IF($L94&lt;&gt;"",$L94-$C94,TODAY()-$C94))</f>
        <v/>
      </c>
      <c r="N94" s="28">
        <f>IF(OR($A94="",$K94=""),"",IF($L94="",IF(TODAY()&gt;$K94,"Atrasado","En ruta"),IF($L94&lt;=$K94,"Sí","No")))</f>
        <v/>
      </c>
      <c r="O94" s="24">
        <f>IF($A94="","",COUNTIFS(NOVEDADES!$D$4:$D$1503,$A94))</f>
        <v/>
      </c>
      <c r="P94" s="28">
        <f>IF($A94="","",IF(COUNTIFS(NOVEDADES!$D$4:$D$1503,$A94,NOVEDADES!$O$4:$O$1503,"SÍ")&gt;0,"No","Sí"))</f>
        <v/>
      </c>
      <c r="Q94" s="28">
        <f>IF(OR($A94="",$L94=""),"",IF(AND($N94="Sí",$P94="Sí"),"OTIF","Falló"))</f>
        <v/>
      </c>
    </row>
    <row r="95" ht="16" customHeight="1">
      <c r="A95" s="48" t="n"/>
      <c r="B95" s="48" t="n"/>
      <c r="C95" s="47" t="n"/>
      <c r="D95" s="50" t="n"/>
      <c r="E95" s="50" t="n"/>
      <c r="F95" s="50" t="n"/>
      <c r="G95" s="50" t="n"/>
      <c r="H95" s="48" t="n"/>
      <c r="I95" s="51" t="n"/>
      <c r="J95" s="52" t="n"/>
      <c r="K95" s="47" t="n"/>
      <c r="L95" s="47" t="n"/>
      <c r="M95" s="24">
        <f>IF(OR($A95="",$C95=""),"",IF($L95&lt;&gt;"",$L95-$C95,TODAY()-$C95))</f>
        <v/>
      </c>
      <c r="N95" s="28">
        <f>IF(OR($A95="",$K95=""),"",IF($L95="",IF(TODAY()&gt;$K95,"Atrasado","En ruta"),IF($L95&lt;=$K95,"Sí","No")))</f>
        <v/>
      </c>
      <c r="O95" s="24">
        <f>IF($A95="","",COUNTIFS(NOVEDADES!$D$4:$D$1503,$A95))</f>
        <v/>
      </c>
      <c r="P95" s="28">
        <f>IF($A95="","",IF(COUNTIFS(NOVEDADES!$D$4:$D$1503,$A95,NOVEDADES!$O$4:$O$1503,"SÍ")&gt;0,"No","Sí"))</f>
        <v/>
      </c>
      <c r="Q95" s="28">
        <f>IF(OR($A95="",$L95=""),"",IF(AND($N95="Sí",$P95="Sí"),"OTIF","Falló"))</f>
        <v/>
      </c>
    </row>
    <row r="96" ht="16" customHeight="1">
      <c r="A96" s="48" t="n"/>
      <c r="B96" s="48" t="n"/>
      <c r="C96" s="47" t="n"/>
      <c r="D96" s="50" t="n"/>
      <c r="E96" s="50" t="n"/>
      <c r="F96" s="50" t="n"/>
      <c r="G96" s="50" t="n"/>
      <c r="H96" s="48" t="n"/>
      <c r="I96" s="51" t="n"/>
      <c r="J96" s="52" t="n"/>
      <c r="K96" s="47" t="n"/>
      <c r="L96" s="47" t="n"/>
      <c r="M96" s="24">
        <f>IF(OR($A96="",$C96=""),"",IF($L96&lt;&gt;"",$L96-$C96,TODAY()-$C96))</f>
        <v/>
      </c>
      <c r="N96" s="28">
        <f>IF(OR($A96="",$K96=""),"",IF($L96="",IF(TODAY()&gt;$K96,"Atrasado","En ruta"),IF($L96&lt;=$K96,"Sí","No")))</f>
        <v/>
      </c>
      <c r="O96" s="24">
        <f>IF($A96="","",COUNTIFS(NOVEDADES!$D$4:$D$1503,$A96))</f>
        <v/>
      </c>
      <c r="P96" s="28">
        <f>IF($A96="","",IF(COUNTIFS(NOVEDADES!$D$4:$D$1503,$A96,NOVEDADES!$O$4:$O$1503,"SÍ")&gt;0,"No","Sí"))</f>
        <v/>
      </c>
      <c r="Q96" s="28">
        <f>IF(OR($A96="",$L96=""),"",IF(AND($N96="Sí",$P96="Sí"),"OTIF","Falló"))</f>
        <v/>
      </c>
    </row>
    <row r="97" ht="16" customHeight="1">
      <c r="A97" s="48" t="n"/>
      <c r="B97" s="48" t="n"/>
      <c r="C97" s="47" t="n"/>
      <c r="D97" s="50" t="n"/>
      <c r="E97" s="50" t="n"/>
      <c r="F97" s="50" t="n"/>
      <c r="G97" s="50" t="n"/>
      <c r="H97" s="48" t="n"/>
      <c r="I97" s="51" t="n"/>
      <c r="J97" s="52" t="n"/>
      <c r="K97" s="47" t="n"/>
      <c r="L97" s="47" t="n"/>
      <c r="M97" s="24">
        <f>IF(OR($A97="",$C97=""),"",IF($L97&lt;&gt;"",$L97-$C97,TODAY()-$C97))</f>
        <v/>
      </c>
      <c r="N97" s="28">
        <f>IF(OR($A97="",$K97=""),"",IF($L97="",IF(TODAY()&gt;$K97,"Atrasado","En ruta"),IF($L97&lt;=$K97,"Sí","No")))</f>
        <v/>
      </c>
      <c r="O97" s="24">
        <f>IF($A97="","",COUNTIFS(NOVEDADES!$D$4:$D$1503,$A97))</f>
        <v/>
      </c>
      <c r="P97" s="28">
        <f>IF($A97="","",IF(COUNTIFS(NOVEDADES!$D$4:$D$1503,$A97,NOVEDADES!$O$4:$O$1503,"SÍ")&gt;0,"No","Sí"))</f>
        <v/>
      </c>
      <c r="Q97" s="28">
        <f>IF(OR($A97="",$L97=""),"",IF(AND($N97="Sí",$P97="Sí"),"OTIF","Falló"))</f>
        <v/>
      </c>
    </row>
    <row r="98" ht="16" customHeight="1">
      <c r="A98" s="48" t="n"/>
      <c r="B98" s="48" t="n"/>
      <c r="C98" s="47" t="n"/>
      <c r="D98" s="50" t="n"/>
      <c r="E98" s="50" t="n"/>
      <c r="F98" s="50" t="n"/>
      <c r="G98" s="50" t="n"/>
      <c r="H98" s="48" t="n"/>
      <c r="I98" s="51" t="n"/>
      <c r="J98" s="52" t="n"/>
      <c r="K98" s="47" t="n"/>
      <c r="L98" s="47" t="n"/>
      <c r="M98" s="24">
        <f>IF(OR($A98="",$C98=""),"",IF($L98&lt;&gt;"",$L98-$C98,TODAY()-$C98))</f>
        <v/>
      </c>
      <c r="N98" s="28">
        <f>IF(OR($A98="",$K98=""),"",IF($L98="",IF(TODAY()&gt;$K98,"Atrasado","En ruta"),IF($L98&lt;=$K98,"Sí","No")))</f>
        <v/>
      </c>
      <c r="O98" s="24">
        <f>IF($A98="","",COUNTIFS(NOVEDADES!$D$4:$D$1503,$A98))</f>
        <v/>
      </c>
      <c r="P98" s="28">
        <f>IF($A98="","",IF(COUNTIFS(NOVEDADES!$D$4:$D$1503,$A98,NOVEDADES!$O$4:$O$1503,"SÍ")&gt;0,"No","Sí"))</f>
        <v/>
      </c>
      <c r="Q98" s="28">
        <f>IF(OR($A98="",$L98=""),"",IF(AND($N98="Sí",$P98="Sí"),"OTIF","Falló"))</f>
        <v/>
      </c>
    </row>
    <row r="99" ht="16" customHeight="1">
      <c r="A99" s="48" t="n"/>
      <c r="B99" s="48" t="n"/>
      <c r="C99" s="47" t="n"/>
      <c r="D99" s="50" t="n"/>
      <c r="E99" s="50" t="n"/>
      <c r="F99" s="50" t="n"/>
      <c r="G99" s="50" t="n"/>
      <c r="H99" s="48" t="n"/>
      <c r="I99" s="51" t="n"/>
      <c r="J99" s="52" t="n"/>
      <c r="K99" s="47" t="n"/>
      <c r="L99" s="47" t="n"/>
      <c r="M99" s="24">
        <f>IF(OR($A99="",$C99=""),"",IF($L99&lt;&gt;"",$L99-$C99,TODAY()-$C99))</f>
        <v/>
      </c>
      <c r="N99" s="28">
        <f>IF(OR($A99="",$K99=""),"",IF($L99="",IF(TODAY()&gt;$K99,"Atrasado","En ruta"),IF($L99&lt;=$K99,"Sí","No")))</f>
        <v/>
      </c>
      <c r="O99" s="24">
        <f>IF($A99="","",COUNTIFS(NOVEDADES!$D$4:$D$1503,$A99))</f>
        <v/>
      </c>
      <c r="P99" s="28">
        <f>IF($A99="","",IF(COUNTIFS(NOVEDADES!$D$4:$D$1503,$A99,NOVEDADES!$O$4:$O$1503,"SÍ")&gt;0,"No","Sí"))</f>
        <v/>
      </c>
      <c r="Q99" s="28">
        <f>IF(OR($A99="",$L99=""),"",IF(AND($N99="Sí",$P99="Sí"),"OTIF","Falló"))</f>
        <v/>
      </c>
    </row>
    <row r="100" ht="16" customHeight="1">
      <c r="A100" s="48" t="n"/>
      <c r="B100" s="48" t="n"/>
      <c r="C100" s="47" t="n"/>
      <c r="D100" s="50" t="n"/>
      <c r="E100" s="50" t="n"/>
      <c r="F100" s="50" t="n"/>
      <c r="G100" s="50" t="n"/>
      <c r="H100" s="48" t="n"/>
      <c r="I100" s="51" t="n"/>
      <c r="J100" s="52" t="n"/>
      <c r="K100" s="47" t="n"/>
      <c r="L100" s="47" t="n"/>
      <c r="M100" s="24">
        <f>IF(OR($A100="",$C100=""),"",IF($L100&lt;&gt;"",$L100-$C100,TODAY()-$C100))</f>
        <v/>
      </c>
      <c r="N100" s="28">
        <f>IF(OR($A100="",$K100=""),"",IF($L100="",IF(TODAY()&gt;$K100,"Atrasado","En ruta"),IF($L100&lt;=$K100,"Sí","No")))</f>
        <v/>
      </c>
      <c r="O100" s="24">
        <f>IF($A100="","",COUNTIFS(NOVEDADES!$D$4:$D$1503,$A100))</f>
        <v/>
      </c>
      <c r="P100" s="28">
        <f>IF($A100="","",IF(COUNTIFS(NOVEDADES!$D$4:$D$1503,$A100,NOVEDADES!$O$4:$O$1503,"SÍ")&gt;0,"No","Sí"))</f>
        <v/>
      </c>
      <c r="Q100" s="28">
        <f>IF(OR($A100="",$L100=""),"",IF(AND($N100="Sí",$P100="Sí"),"OTIF","Falló"))</f>
        <v/>
      </c>
    </row>
    <row r="101" ht="16" customHeight="1">
      <c r="A101" s="48" t="n"/>
      <c r="B101" s="48" t="n"/>
      <c r="C101" s="47" t="n"/>
      <c r="D101" s="50" t="n"/>
      <c r="E101" s="50" t="n"/>
      <c r="F101" s="50" t="n"/>
      <c r="G101" s="50" t="n"/>
      <c r="H101" s="48" t="n"/>
      <c r="I101" s="51" t="n"/>
      <c r="J101" s="52" t="n"/>
      <c r="K101" s="47" t="n"/>
      <c r="L101" s="47" t="n"/>
      <c r="M101" s="24">
        <f>IF(OR($A101="",$C101=""),"",IF($L101&lt;&gt;"",$L101-$C101,TODAY()-$C101))</f>
        <v/>
      </c>
      <c r="N101" s="28">
        <f>IF(OR($A101="",$K101=""),"",IF($L101="",IF(TODAY()&gt;$K101,"Atrasado","En ruta"),IF($L101&lt;=$K101,"Sí","No")))</f>
        <v/>
      </c>
      <c r="O101" s="24">
        <f>IF($A101="","",COUNTIFS(NOVEDADES!$D$4:$D$1503,$A101))</f>
        <v/>
      </c>
      <c r="P101" s="28">
        <f>IF($A101="","",IF(COUNTIFS(NOVEDADES!$D$4:$D$1503,$A101,NOVEDADES!$O$4:$O$1503,"SÍ")&gt;0,"No","Sí"))</f>
        <v/>
      </c>
      <c r="Q101" s="28">
        <f>IF(OR($A101="",$L101=""),"",IF(AND($N101="Sí",$P101="Sí"),"OTIF","Falló"))</f>
        <v/>
      </c>
    </row>
    <row r="102" ht="16" customHeight="1">
      <c r="A102" s="48" t="n"/>
      <c r="B102" s="48" t="n"/>
      <c r="C102" s="47" t="n"/>
      <c r="D102" s="50" t="n"/>
      <c r="E102" s="50" t="n"/>
      <c r="F102" s="50" t="n"/>
      <c r="G102" s="50" t="n"/>
      <c r="H102" s="48" t="n"/>
      <c r="I102" s="51" t="n"/>
      <c r="J102" s="52" t="n"/>
      <c r="K102" s="47" t="n"/>
      <c r="L102" s="47" t="n"/>
      <c r="M102" s="24">
        <f>IF(OR($A102="",$C102=""),"",IF($L102&lt;&gt;"",$L102-$C102,TODAY()-$C102))</f>
        <v/>
      </c>
      <c r="N102" s="28">
        <f>IF(OR($A102="",$K102=""),"",IF($L102="",IF(TODAY()&gt;$K102,"Atrasado","En ruta"),IF($L102&lt;=$K102,"Sí","No")))</f>
        <v/>
      </c>
      <c r="O102" s="24">
        <f>IF($A102="","",COUNTIFS(NOVEDADES!$D$4:$D$1503,$A102))</f>
        <v/>
      </c>
      <c r="P102" s="28">
        <f>IF($A102="","",IF(COUNTIFS(NOVEDADES!$D$4:$D$1503,$A102,NOVEDADES!$O$4:$O$1503,"SÍ")&gt;0,"No","Sí"))</f>
        <v/>
      </c>
      <c r="Q102" s="28">
        <f>IF(OR($A102="",$L102=""),"",IF(AND($N102="Sí",$P102="Sí"),"OTIF","Falló"))</f>
        <v/>
      </c>
    </row>
    <row r="103" ht="16" customHeight="1">
      <c r="A103" s="48" t="n"/>
      <c r="B103" s="48" t="n"/>
      <c r="C103" s="47" t="n"/>
      <c r="D103" s="50" t="n"/>
      <c r="E103" s="50" t="n"/>
      <c r="F103" s="50" t="n"/>
      <c r="G103" s="50" t="n"/>
      <c r="H103" s="48" t="n"/>
      <c r="I103" s="51" t="n"/>
      <c r="J103" s="52" t="n"/>
      <c r="K103" s="47" t="n"/>
      <c r="L103" s="47" t="n"/>
      <c r="M103" s="24">
        <f>IF(OR($A103="",$C103=""),"",IF($L103&lt;&gt;"",$L103-$C103,TODAY()-$C103))</f>
        <v/>
      </c>
      <c r="N103" s="28">
        <f>IF(OR($A103="",$K103=""),"",IF($L103="",IF(TODAY()&gt;$K103,"Atrasado","En ruta"),IF($L103&lt;=$K103,"Sí","No")))</f>
        <v/>
      </c>
      <c r="O103" s="24">
        <f>IF($A103="","",COUNTIFS(NOVEDADES!$D$4:$D$1503,$A103))</f>
        <v/>
      </c>
      <c r="P103" s="28">
        <f>IF($A103="","",IF(COUNTIFS(NOVEDADES!$D$4:$D$1503,$A103,NOVEDADES!$O$4:$O$1503,"SÍ")&gt;0,"No","Sí"))</f>
        <v/>
      </c>
      <c r="Q103" s="28">
        <f>IF(OR($A103="",$L103=""),"",IF(AND($N103="Sí",$P103="Sí"),"OTIF","Falló"))</f>
        <v/>
      </c>
    </row>
    <row r="104" ht="16" customHeight="1">
      <c r="A104" s="48" t="n"/>
      <c r="B104" s="48" t="n"/>
      <c r="C104" s="47" t="n"/>
      <c r="D104" s="50" t="n"/>
      <c r="E104" s="50" t="n"/>
      <c r="F104" s="50" t="n"/>
      <c r="G104" s="50" t="n"/>
      <c r="H104" s="48" t="n"/>
      <c r="I104" s="51" t="n"/>
      <c r="J104" s="52" t="n"/>
      <c r="K104" s="47" t="n"/>
      <c r="L104" s="47" t="n"/>
      <c r="M104" s="24">
        <f>IF(OR($A104="",$C104=""),"",IF($L104&lt;&gt;"",$L104-$C104,TODAY()-$C104))</f>
        <v/>
      </c>
      <c r="N104" s="28">
        <f>IF(OR($A104="",$K104=""),"",IF($L104="",IF(TODAY()&gt;$K104,"Atrasado","En ruta"),IF($L104&lt;=$K104,"Sí","No")))</f>
        <v/>
      </c>
      <c r="O104" s="24">
        <f>IF($A104="","",COUNTIFS(NOVEDADES!$D$4:$D$1503,$A104))</f>
        <v/>
      </c>
      <c r="P104" s="28">
        <f>IF($A104="","",IF(COUNTIFS(NOVEDADES!$D$4:$D$1503,$A104,NOVEDADES!$O$4:$O$1503,"SÍ")&gt;0,"No","Sí"))</f>
        <v/>
      </c>
      <c r="Q104" s="28">
        <f>IF(OR($A104="",$L104=""),"",IF(AND($N104="Sí",$P104="Sí"),"OTIF","Falló"))</f>
        <v/>
      </c>
    </row>
    <row r="105" ht="16" customHeight="1">
      <c r="A105" s="48" t="n"/>
      <c r="B105" s="48" t="n"/>
      <c r="C105" s="47" t="n"/>
      <c r="D105" s="50" t="n"/>
      <c r="E105" s="50" t="n"/>
      <c r="F105" s="50" t="n"/>
      <c r="G105" s="50" t="n"/>
      <c r="H105" s="48" t="n"/>
      <c r="I105" s="51" t="n"/>
      <c r="J105" s="52" t="n"/>
      <c r="K105" s="47" t="n"/>
      <c r="L105" s="47" t="n"/>
      <c r="M105" s="24">
        <f>IF(OR($A105="",$C105=""),"",IF($L105&lt;&gt;"",$L105-$C105,TODAY()-$C105))</f>
        <v/>
      </c>
      <c r="N105" s="28">
        <f>IF(OR($A105="",$K105=""),"",IF($L105="",IF(TODAY()&gt;$K105,"Atrasado","En ruta"),IF($L105&lt;=$K105,"Sí","No")))</f>
        <v/>
      </c>
      <c r="O105" s="24">
        <f>IF($A105="","",COUNTIFS(NOVEDADES!$D$4:$D$1503,$A105))</f>
        <v/>
      </c>
      <c r="P105" s="28">
        <f>IF($A105="","",IF(COUNTIFS(NOVEDADES!$D$4:$D$1503,$A105,NOVEDADES!$O$4:$O$1503,"SÍ")&gt;0,"No","Sí"))</f>
        <v/>
      </c>
      <c r="Q105" s="28">
        <f>IF(OR($A105="",$L105=""),"",IF(AND($N105="Sí",$P105="Sí"),"OTIF","Falló"))</f>
        <v/>
      </c>
    </row>
    <row r="106" ht="16" customHeight="1">
      <c r="A106" s="48" t="n"/>
      <c r="B106" s="48" t="n"/>
      <c r="C106" s="47" t="n"/>
      <c r="D106" s="50" t="n"/>
      <c r="E106" s="50" t="n"/>
      <c r="F106" s="50" t="n"/>
      <c r="G106" s="50" t="n"/>
      <c r="H106" s="48" t="n"/>
      <c r="I106" s="51" t="n"/>
      <c r="J106" s="52" t="n"/>
      <c r="K106" s="47" t="n"/>
      <c r="L106" s="47" t="n"/>
      <c r="M106" s="24">
        <f>IF(OR($A106="",$C106=""),"",IF($L106&lt;&gt;"",$L106-$C106,TODAY()-$C106))</f>
        <v/>
      </c>
      <c r="N106" s="28">
        <f>IF(OR($A106="",$K106=""),"",IF($L106="",IF(TODAY()&gt;$K106,"Atrasado","En ruta"),IF($L106&lt;=$K106,"Sí","No")))</f>
        <v/>
      </c>
      <c r="O106" s="24">
        <f>IF($A106="","",COUNTIFS(NOVEDADES!$D$4:$D$1503,$A106))</f>
        <v/>
      </c>
      <c r="P106" s="28">
        <f>IF($A106="","",IF(COUNTIFS(NOVEDADES!$D$4:$D$1503,$A106,NOVEDADES!$O$4:$O$1503,"SÍ")&gt;0,"No","Sí"))</f>
        <v/>
      </c>
      <c r="Q106" s="28">
        <f>IF(OR($A106="",$L106=""),"",IF(AND($N106="Sí",$P106="Sí"),"OTIF","Falló"))</f>
        <v/>
      </c>
    </row>
    <row r="107" ht="16" customHeight="1">
      <c r="A107" s="48" t="n"/>
      <c r="B107" s="48" t="n"/>
      <c r="C107" s="47" t="n"/>
      <c r="D107" s="50" t="n"/>
      <c r="E107" s="50" t="n"/>
      <c r="F107" s="50" t="n"/>
      <c r="G107" s="50" t="n"/>
      <c r="H107" s="48" t="n"/>
      <c r="I107" s="51" t="n"/>
      <c r="J107" s="52" t="n"/>
      <c r="K107" s="47" t="n"/>
      <c r="L107" s="47" t="n"/>
      <c r="M107" s="24">
        <f>IF(OR($A107="",$C107=""),"",IF($L107&lt;&gt;"",$L107-$C107,TODAY()-$C107))</f>
        <v/>
      </c>
      <c r="N107" s="28">
        <f>IF(OR($A107="",$K107=""),"",IF($L107="",IF(TODAY()&gt;$K107,"Atrasado","En ruta"),IF($L107&lt;=$K107,"Sí","No")))</f>
        <v/>
      </c>
      <c r="O107" s="24">
        <f>IF($A107="","",COUNTIFS(NOVEDADES!$D$4:$D$1503,$A107))</f>
        <v/>
      </c>
      <c r="P107" s="28">
        <f>IF($A107="","",IF(COUNTIFS(NOVEDADES!$D$4:$D$1503,$A107,NOVEDADES!$O$4:$O$1503,"SÍ")&gt;0,"No","Sí"))</f>
        <v/>
      </c>
      <c r="Q107" s="28">
        <f>IF(OR($A107="",$L107=""),"",IF(AND($N107="Sí",$P107="Sí"),"OTIF","Falló"))</f>
        <v/>
      </c>
    </row>
    <row r="108" ht="16" customHeight="1">
      <c r="A108" s="48" t="n"/>
      <c r="B108" s="48" t="n"/>
      <c r="C108" s="47" t="n"/>
      <c r="D108" s="50" t="n"/>
      <c r="E108" s="50" t="n"/>
      <c r="F108" s="50" t="n"/>
      <c r="G108" s="50" t="n"/>
      <c r="H108" s="48" t="n"/>
      <c r="I108" s="51" t="n"/>
      <c r="J108" s="52" t="n"/>
      <c r="K108" s="47" t="n"/>
      <c r="L108" s="47" t="n"/>
      <c r="M108" s="24">
        <f>IF(OR($A108="",$C108=""),"",IF($L108&lt;&gt;"",$L108-$C108,TODAY()-$C108))</f>
        <v/>
      </c>
      <c r="N108" s="28">
        <f>IF(OR($A108="",$K108=""),"",IF($L108="",IF(TODAY()&gt;$K108,"Atrasado","En ruta"),IF($L108&lt;=$K108,"Sí","No")))</f>
        <v/>
      </c>
      <c r="O108" s="24">
        <f>IF($A108="","",COUNTIFS(NOVEDADES!$D$4:$D$1503,$A108))</f>
        <v/>
      </c>
      <c r="P108" s="28">
        <f>IF($A108="","",IF(COUNTIFS(NOVEDADES!$D$4:$D$1503,$A108,NOVEDADES!$O$4:$O$1503,"SÍ")&gt;0,"No","Sí"))</f>
        <v/>
      </c>
      <c r="Q108" s="28">
        <f>IF(OR($A108="",$L108=""),"",IF(AND($N108="Sí",$P108="Sí"),"OTIF","Falló"))</f>
        <v/>
      </c>
    </row>
    <row r="109" ht="16" customHeight="1">
      <c r="A109" s="48" t="n"/>
      <c r="B109" s="48" t="n"/>
      <c r="C109" s="47" t="n"/>
      <c r="D109" s="50" t="n"/>
      <c r="E109" s="50" t="n"/>
      <c r="F109" s="50" t="n"/>
      <c r="G109" s="50" t="n"/>
      <c r="H109" s="48" t="n"/>
      <c r="I109" s="51" t="n"/>
      <c r="J109" s="52" t="n"/>
      <c r="K109" s="47" t="n"/>
      <c r="L109" s="47" t="n"/>
      <c r="M109" s="24">
        <f>IF(OR($A109="",$C109=""),"",IF($L109&lt;&gt;"",$L109-$C109,TODAY()-$C109))</f>
        <v/>
      </c>
      <c r="N109" s="28">
        <f>IF(OR($A109="",$K109=""),"",IF($L109="",IF(TODAY()&gt;$K109,"Atrasado","En ruta"),IF($L109&lt;=$K109,"Sí","No")))</f>
        <v/>
      </c>
      <c r="O109" s="24">
        <f>IF($A109="","",COUNTIFS(NOVEDADES!$D$4:$D$1503,$A109))</f>
        <v/>
      </c>
      <c r="P109" s="28">
        <f>IF($A109="","",IF(COUNTIFS(NOVEDADES!$D$4:$D$1503,$A109,NOVEDADES!$O$4:$O$1503,"SÍ")&gt;0,"No","Sí"))</f>
        <v/>
      </c>
      <c r="Q109" s="28">
        <f>IF(OR($A109="",$L109=""),"",IF(AND($N109="Sí",$P109="Sí"),"OTIF","Falló"))</f>
        <v/>
      </c>
    </row>
    <row r="110" ht="16" customHeight="1">
      <c r="A110" s="48" t="n"/>
      <c r="B110" s="48" t="n"/>
      <c r="C110" s="47" t="n"/>
      <c r="D110" s="50" t="n"/>
      <c r="E110" s="50" t="n"/>
      <c r="F110" s="50" t="n"/>
      <c r="G110" s="50" t="n"/>
      <c r="H110" s="48" t="n"/>
      <c r="I110" s="51" t="n"/>
      <c r="J110" s="52" t="n"/>
      <c r="K110" s="47" t="n"/>
      <c r="L110" s="47" t="n"/>
      <c r="M110" s="24">
        <f>IF(OR($A110="",$C110=""),"",IF($L110&lt;&gt;"",$L110-$C110,TODAY()-$C110))</f>
        <v/>
      </c>
      <c r="N110" s="28">
        <f>IF(OR($A110="",$K110=""),"",IF($L110="",IF(TODAY()&gt;$K110,"Atrasado","En ruta"),IF($L110&lt;=$K110,"Sí","No")))</f>
        <v/>
      </c>
      <c r="O110" s="24">
        <f>IF($A110="","",COUNTIFS(NOVEDADES!$D$4:$D$1503,$A110))</f>
        <v/>
      </c>
      <c r="P110" s="28">
        <f>IF($A110="","",IF(COUNTIFS(NOVEDADES!$D$4:$D$1503,$A110,NOVEDADES!$O$4:$O$1503,"SÍ")&gt;0,"No","Sí"))</f>
        <v/>
      </c>
      <c r="Q110" s="28">
        <f>IF(OR($A110="",$L110=""),"",IF(AND($N110="Sí",$P110="Sí"),"OTIF","Falló"))</f>
        <v/>
      </c>
    </row>
    <row r="111" ht="16" customHeight="1">
      <c r="A111" s="48" t="n"/>
      <c r="B111" s="48" t="n"/>
      <c r="C111" s="47" t="n"/>
      <c r="D111" s="50" t="n"/>
      <c r="E111" s="50" t="n"/>
      <c r="F111" s="50" t="n"/>
      <c r="G111" s="50" t="n"/>
      <c r="H111" s="48" t="n"/>
      <c r="I111" s="51" t="n"/>
      <c r="J111" s="52" t="n"/>
      <c r="K111" s="47" t="n"/>
      <c r="L111" s="47" t="n"/>
      <c r="M111" s="24">
        <f>IF(OR($A111="",$C111=""),"",IF($L111&lt;&gt;"",$L111-$C111,TODAY()-$C111))</f>
        <v/>
      </c>
      <c r="N111" s="28">
        <f>IF(OR($A111="",$K111=""),"",IF($L111="",IF(TODAY()&gt;$K111,"Atrasado","En ruta"),IF($L111&lt;=$K111,"Sí","No")))</f>
        <v/>
      </c>
      <c r="O111" s="24">
        <f>IF($A111="","",COUNTIFS(NOVEDADES!$D$4:$D$1503,$A111))</f>
        <v/>
      </c>
      <c r="P111" s="28">
        <f>IF($A111="","",IF(COUNTIFS(NOVEDADES!$D$4:$D$1503,$A111,NOVEDADES!$O$4:$O$1503,"SÍ")&gt;0,"No","Sí"))</f>
        <v/>
      </c>
      <c r="Q111" s="28">
        <f>IF(OR($A111="",$L111=""),"",IF(AND($N111="Sí",$P111="Sí"),"OTIF","Falló"))</f>
        <v/>
      </c>
    </row>
    <row r="112" ht="16" customHeight="1">
      <c r="A112" s="48" t="n"/>
      <c r="B112" s="48" t="n"/>
      <c r="C112" s="47" t="n"/>
      <c r="D112" s="50" t="n"/>
      <c r="E112" s="50" t="n"/>
      <c r="F112" s="50" t="n"/>
      <c r="G112" s="50" t="n"/>
      <c r="H112" s="48" t="n"/>
      <c r="I112" s="51" t="n"/>
      <c r="J112" s="52" t="n"/>
      <c r="K112" s="47" t="n"/>
      <c r="L112" s="47" t="n"/>
      <c r="M112" s="24">
        <f>IF(OR($A112="",$C112=""),"",IF($L112&lt;&gt;"",$L112-$C112,TODAY()-$C112))</f>
        <v/>
      </c>
      <c r="N112" s="28">
        <f>IF(OR($A112="",$K112=""),"",IF($L112="",IF(TODAY()&gt;$K112,"Atrasado","En ruta"),IF($L112&lt;=$K112,"Sí","No")))</f>
        <v/>
      </c>
      <c r="O112" s="24">
        <f>IF($A112="","",COUNTIFS(NOVEDADES!$D$4:$D$1503,$A112))</f>
        <v/>
      </c>
      <c r="P112" s="28">
        <f>IF($A112="","",IF(COUNTIFS(NOVEDADES!$D$4:$D$1503,$A112,NOVEDADES!$O$4:$O$1503,"SÍ")&gt;0,"No","Sí"))</f>
        <v/>
      </c>
      <c r="Q112" s="28">
        <f>IF(OR($A112="",$L112=""),"",IF(AND($N112="Sí",$P112="Sí"),"OTIF","Falló"))</f>
        <v/>
      </c>
    </row>
    <row r="113" ht="16" customHeight="1">
      <c r="A113" s="48" t="n"/>
      <c r="B113" s="48" t="n"/>
      <c r="C113" s="47" t="n"/>
      <c r="D113" s="50" t="n"/>
      <c r="E113" s="50" t="n"/>
      <c r="F113" s="50" t="n"/>
      <c r="G113" s="50" t="n"/>
      <c r="H113" s="48" t="n"/>
      <c r="I113" s="51" t="n"/>
      <c r="J113" s="52" t="n"/>
      <c r="K113" s="47" t="n"/>
      <c r="L113" s="47" t="n"/>
      <c r="M113" s="24">
        <f>IF(OR($A113="",$C113=""),"",IF($L113&lt;&gt;"",$L113-$C113,TODAY()-$C113))</f>
        <v/>
      </c>
      <c r="N113" s="28">
        <f>IF(OR($A113="",$K113=""),"",IF($L113="",IF(TODAY()&gt;$K113,"Atrasado","En ruta"),IF($L113&lt;=$K113,"Sí","No")))</f>
        <v/>
      </c>
      <c r="O113" s="24">
        <f>IF($A113="","",COUNTIFS(NOVEDADES!$D$4:$D$1503,$A113))</f>
        <v/>
      </c>
      <c r="P113" s="28">
        <f>IF($A113="","",IF(COUNTIFS(NOVEDADES!$D$4:$D$1503,$A113,NOVEDADES!$O$4:$O$1503,"SÍ")&gt;0,"No","Sí"))</f>
        <v/>
      </c>
      <c r="Q113" s="28">
        <f>IF(OR($A113="",$L113=""),"",IF(AND($N113="Sí",$P113="Sí"),"OTIF","Falló"))</f>
        <v/>
      </c>
    </row>
    <row r="114" ht="16" customHeight="1">
      <c r="A114" s="48" t="n"/>
      <c r="B114" s="48" t="n"/>
      <c r="C114" s="47" t="n"/>
      <c r="D114" s="50" t="n"/>
      <c r="E114" s="50" t="n"/>
      <c r="F114" s="50" t="n"/>
      <c r="G114" s="50" t="n"/>
      <c r="H114" s="48" t="n"/>
      <c r="I114" s="51" t="n"/>
      <c r="J114" s="52" t="n"/>
      <c r="K114" s="47" t="n"/>
      <c r="L114" s="47" t="n"/>
      <c r="M114" s="24">
        <f>IF(OR($A114="",$C114=""),"",IF($L114&lt;&gt;"",$L114-$C114,TODAY()-$C114))</f>
        <v/>
      </c>
      <c r="N114" s="28">
        <f>IF(OR($A114="",$K114=""),"",IF($L114="",IF(TODAY()&gt;$K114,"Atrasado","En ruta"),IF($L114&lt;=$K114,"Sí","No")))</f>
        <v/>
      </c>
      <c r="O114" s="24">
        <f>IF($A114="","",COUNTIFS(NOVEDADES!$D$4:$D$1503,$A114))</f>
        <v/>
      </c>
      <c r="P114" s="28">
        <f>IF($A114="","",IF(COUNTIFS(NOVEDADES!$D$4:$D$1503,$A114,NOVEDADES!$O$4:$O$1503,"SÍ")&gt;0,"No","Sí"))</f>
        <v/>
      </c>
      <c r="Q114" s="28">
        <f>IF(OR($A114="",$L114=""),"",IF(AND($N114="Sí",$P114="Sí"),"OTIF","Falló"))</f>
        <v/>
      </c>
    </row>
    <row r="115" ht="16" customHeight="1">
      <c r="A115" s="48" t="n"/>
      <c r="B115" s="48" t="n"/>
      <c r="C115" s="47" t="n"/>
      <c r="D115" s="50" t="n"/>
      <c r="E115" s="50" t="n"/>
      <c r="F115" s="50" t="n"/>
      <c r="G115" s="50" t="n"/>
      <c r="H115" s="48" t="n"/>
      <c r="I115" s="51" t="n"/>
      <c r="J115" s="52" t="n"/>
      <c r="K115" s="47" t="n"/>
      <c r="L115" s="47" t="n"/>
      <c r="M115" s="24">
        <f>IF(OR($A115="",$C115=""),"",IF($L115&lt;&gt;"",$L115-$C115,TODAY()-$C115))</f>
        <v/>
      </c>
      <c r="N115" s="28">
        <f>IF(OR($A115="",$K115=""),"",IF($L115="",IF(TODAY()&gt;$K115,"Atrasado","En ruta"),IF($L115&lt;=$K115,"Sí","No")))</f>
        <v/>
      </c>
      <c r="O115" s="24">
        <f>IF($A115="","",COUNTIFS(NOVEDADES!$D$4:$D$1503,$A115))</f>
        <v/>
      </c>
      <c r="P115" s="28">
        <f>IF($A115="","",IF(COUNTIFS(NOVEDADES!$D$4:$D$1503,$A115,NOVEDADES!$O$4:$O$1503,"SÍ")&gt;0,"No","Sí"))</f>
        <v/>
      </c>
      <c r="Q115" s="28">
        <f>IF(OR($A115="",$L115=""),"",IF(AND($N115="Sí",$P115="Sí"),"OTIF","Falló"))</f>
        <v/>
      </c>
    </row>
    <row r="116" ht="16" customHeight="1">
      <c r="A116" s="48" t="n"/>
      <c r="B116" s="48" t="n"/>
      <c r="C116" s="47" t="n"/>
      <c r="D116" s="50" t="n"/>
      <c r="E116" s="50" t="n"/>
      <c r="F116" s="50" t="n"/>
      <c r="G116" s="50" t="n"/>
      <c r="H116" s="48" t="n"/>
      <c r="I116" s="51" t="n"/>
      <c r="J116" s="52" t="n"/>
      <c r="K116" s="47" t="n"/>
      <c r="L116" s="47" t="n"/>
      <c r="M116" s="24">
        <f>IF(OR($A116="",$C116=""),"",IF($L116&lt;&gt;"",$L116-$C116,TODAY()-$C116))</f>
        <v/>
      </c>
      <c r="N116" s="28">
        <f>IF(OR($A116="",$K116=""),"",IF($L116="",IF(TODAY()&gt;$K116,"Atrasado","En ruta"),IF($L116&lt;=$K116,"Sí","No")))</f>
        <v/>
      </c>
      <c r="O116" s="24">
        <f>IF($A116="","",COUNTIFS(NOVEDADES!$D$4:$D$1503,$A116))</f>
        <v/>
      </c>
      <c r="P116" s="28">
        <f>IF($A116="","",IF(COUNTIFS(NOVEDADES!$D$4:$D$1503,$A116,NOVEDADES!$O$4:$O$1503,"SÍ")&gt;0,"No","Sí"))</f>
        <v/>
      </c>
      <c r="Q116" s="28">
        <f>IF(OR($A116="",$L116=""),"",IF(AND($N116="Sí",$P116="Sí"),"OTIF","Falló"))</f>
        <v/>
      </c>
    </row>
    <row r="117" ht="16" customHeight="1">
      <c r="A117" s="48" t="n"/>
      <c r="B117" s="48" t="n"/>
      <c r="C117" s="47" t="n"/>
      <c r="D117" s="50" t="n"/>
      <c r="E117" s="50" t="n"/>
      <c r="F117" s="50" t="n"/>
      <c r="G117" s="50" t="n"/>
      <c r="H117" s="48" t="n"/>
      <c r="I117" s="51" t="n"/>
      <c r="J117" s="52" t="n"/>
      <c r="K117" s="47" t="n"/>
      <c r="L117" s="47" t="n"/>
      <c r="M117" s="24">
        <f>IF(OR($A117="",$C117=""),"",IF($L117&lt;&gt;"",$L117-$C117,TODAY()-$C117))</f>
        <v/>
      </c>
      <c r="N117" s="28">
        <f>IF(OR($A117="",$K117=""),"",IF($L117="",IF(TODAY()&gt;$K117,"Atrasado","En ruta"),IF($L117&lt;=$K117,"Sí","No")))</f>
        <v/>
      </c>
      <c r="O117" s="24">
        <f>IF($A117="","",COUNTIFS(NOVEDADES!$D$4:$D$1503,$A117))</f>
        <v/>
      </c>
      <c r="P117" s="28">
        <f>IF($A117="","",IF(COUNTIFS(NOVEDADES!$D$4:$D$1503,$A117,NOVEDADES!$O$4:$O$1503,"SÍ")&gt;0,"No","Sí"))</f>
        <v/>
      </c>
      <c r="Q117" s="28">
        <f>IF(OR($A117="",$L117=""),"",IF(AND($N117="Sí",$P117="Sí"),"OTIF","Falló"))</f>
        <v/>
      </c>
    </row>
    <row r="118" ht="16" customHeight="1">
      <c r="A118" s="48" t="n"/>
      <c r="B118" s="48" t="n"/>
      <c r="C118" s="47" t="n"/>
      <c r="D118" s="50" t="n"/>
      <c r="E118" s="50" t="n"/>
      <c r="F118" s="50" t="n"/>
      <c r="G118" s="50" t="n"/>
      <c r="H118" s="48" t="n"/>
      <c r="I118" s="51" t="n"/>
      <c r="J118" s="52" t="n"/>
      <c r="K118" s="47" t="n"/>
      <c r="L118" s="47" t="n"/>
      <c r="M118" s="24">
        <f>IF(OR($A118="",$C118=""),"",IF($L118&lt;&gt;"",$L118-$C118,TODAY()-$C118))</f>
        <v/>
      </c>
      <c r="N118" s="28">
        <f>IF(OR($A118="",$K118=""),"",IF($L118="",IF(TODAY()&gt;$K118,"Atrasado","En ruta"),IF($L118&lt;=$K118,"Sí","No")))</f>
        <v/>
      </c>
      <c r="O118" s="24">
        <f>IF($A118="","",COUNTIFS(NOVEDADES!$D$4:$D$1503,$A118))</f>
        <v/>
      </c>
      <c r="P118" s="28">
        <f>IF($A118="","",IF(COUNTIFS(NOVEDADES!$D$4:$D$1503,$A118,NOVEDADES!$O$4:$O$1503,"SÍ")&gt;0,"No","Sí"))</f>
        <v/>
      </c>
      <c r="Q118" s="28">
        <f>IF(OR($A118="",$L118=""),"",IF(AND($N118="Sí",$P118="Sí"),"OTIF","Falló"))</f>
        <v/>
      </c>
    </row>
    <row r="119" ht="16" customHeight="1">
      <c r="A119" s="48" t="n"/>
      <c r="B119" s="48" t="n"/>
      <c r="C119" s="47" t="n"/>
      <c r="D119" s="50" t="n"/>
      <c r="E119" s="50" t="n"/>
      <c r="F119" s="50" t="n"/>
      <c r="G119" s="50" t="n"/>
      <c r="H119" s="48" t="n"/>
      <c r="I119" s="51" t="n"/>
      <c r="J119" s="52" t="n"/>
      <c r="K119" s="47" t="n"/>
      <c r="L119" s="47" t="n"/>
      <c r="M119" s="24">
        <f>IF(OR($A119="",$C119=""),"",IF($L119&lt;&gt;"",$L119-$C119,TODAY()-$C119))</f>
        <v/>
      </c>
      <c r="N119" s="28">
        <f>IF(OR($A119="",$K119=""),"",IF($L119="",IF(TODAY()&gt;$K119,"Atrasado","En ruta"),IF($L119&lt;=$K119,"Sí","No")))</f>
        <v/>
      </c>
      <c r="O119" s="24">
        <f>IF($A119="","",COUNTIFS(NOVEDADES!$D$4:$D$1503,$A119))</f>
        <v/>
      </c>
      <c r="P119" s="28">
        <f>IF($A119="","",IF(COUNTIFS(NOVEDADES!$D$4:$D$1503,$A119,NOVEDADES!$O$4:$O$1503,"SÍ")&gt;0,"No","Sí"))</f>
        <v/>
      </c>
      <c r="Q119" s="28">
        <f>IF(OR($A119="",$L119=""),"",IF(AND($N119="Sí",$P119="Sí"),"OTIF","Falló"))</f>
        <v/>
      </c>
    </row>
    <row r="120" ht="16" customHeight="1">
      <c r="A120" s="48" t="n"/>
      <c r="B120" s="48" t="n"/>
      <c r="C120" s="47" t="n"/>
      <c r="D120" s="50" t="n"/>
      <c r="E120" s="50" t="n"/>
      <c r="F120" s="50" t="n"/>
      <c r="G120" s="50" t="n"/>
      <c r="H120" s="48" t="n"/>
      <c r="I120" s="51" t="n"/>
      <c r="J120" s="52" t="n"/>
      <c r="K120" s="47" t="n"/>
      <c r="L120" s="47" t="n"/>
      <c r="M120" s="24">
        <f>IF(OR($A120="",$C120=""),"",IF($L120&lt;&gt;"",$L120-$C120,TODAY()-$C120))</f>
        <v/>
      </c>
      <c r="N120" s="28">
        <f>IF(OR($A120="",$K120=""),"",IF($L120="",IF(TODAY()&gt;$K120,"Atrasado","En ruta"),IF($L120&lt;=$K120,"Sí","No")))</f>
        <v/>
      </c>
      <c r="O120" s="24">
        <f>IF($A120="","",COUNTIFS(NOVEDADES!$D$4:$D$1503,$A120))</f>
        <v/>
      </c>
      <c r="P120" s="28">
        <f>IF($A120="","",IF(COUNTIFS(NOVEDADES!$D$4:$D$1503,$A120,NOVEDADES!$O$4:$O$1503,"SÍ")&gt;0,"No","Sí"))</f>
        <v/>
      </c>
      <c r="Q120" s="28">
        <f>IF(OR($A120="",$L120=""),"",IF(AND($N120="Sí",$P120="Sí"),"OTIF","Falló"))</f>
        <v/>
      </c>
    </row>
    <row r="121" ht="16" customHeight="1">
      <c r="A121" s="48" t="n"/>
      <c r="B121" s="48" t="n"/>
      <c r="C121" s="47" t="n"/>
      <c r="D121" s="50" t="n"/>
      <c r="E121" s="50" t="n"/>
      <c r="F121" s="50" t="n"/>
      <c r="G121" s="50" t="n"/>
      <c r="H121" s="48" t="n"/>
      <c r="I121" s="51" t="n"/>
      <c r="J121" s="52" t="n"/>
      <c r="K121" s="47" t="n"/>
      <c r="L121" s="47" t="n"/>
      <c r="M121" s="24">
        <f>IF(OR($A121="",$C121=""),"",IF($L121&lt;&gt;"",$L121-$C121,TODAY()-$C121))</f>
        <v/>
      </c>
      <c r="N121" s="28">
        <f>IF(OR($A121="",$K121=""),"",IF($L121="",IF(TODAY()&gt;$K121,"Atrasado","En ruta"),IF($L121&lt;=$K121,"Sí","No")))</f>
        <v/>
      </c>
      <c r="O121" s="24">
        <f>IF($A121="","",COUNTIFS(NOVEDADES!$D$4:$D$1503,$A121))</f>
        <v/>
      </c>
      <c r="P121" s="28">
        <f>IF($A121="","",IF(COUNTIFS(NOVEDADES!$D$4:$D$1503,$A121,NOVEDADES!$O$4:$O$1503,"SÍ")&gt;0,"No","Sí"))</f>
        <v/>
      </c>
      <c r="Q121" s="28">
        <f>IF(OR($A121="",$L121=""),"",IF(AND($N121="Sí",$P121="Sí"),"OTIF","Falló"))</f>
        <v/>
      </c>
    </row>
    <row r="122" ht="16" customHeight="1">
      <c r="A122" s="48" t="n"/>
      <c r="B122" s="48" t="n"/>
      <c r="C122" s="47" t="n"/>
      <c r="D122" s="50" t="n"/>
      <c r="E122" s="50" t="n"/>
      <c r="F122" s="50" t="n"/>
      <c r="G122" s="50" t="n"/>
      <c r="H122" s="48" t="n"/>
      <c r="I122" s="51" t="n"/>
      <c r="J122" s="52" t="n"/>
      <c r="K122" s="47" t="n"/>
      <c r="L122" s="47" t="n"/>
      <c r="M122" s="24">
        <f>IF(OR($A122="",$C122=""),"",IF($L122&lt;&gt;"",$L122-$C122,TODAY()-$C122))</f>
        <v/>
      </c>
      <c r="N122" s="28">
        <f>IF(OR($A122="",$K122=""),"",IF($L122="",IF(TODAY()&gt;$K122,"Atrasado","En ruta"),IF($L122&lt;=$K122,"Sí","No")))</f>
        <v/>
      </c>
      <c r="O122" s="24">
        <f>IF($A122="","",COUNTIFS(NOVEDADES!$D$4:$D$1503,$A122))</f>
        <v/>
      </c>
      <c r="P122" s="28">
        <f>IF($A122="","",IF(COUNTIFS(NOVEDADES!$D$4:$D$1503,$A122,NOVEDADES!$O$4:$O$1503,"SÍ")&gt;0,"No","Sí"))</f>
        <v/>
      </c>
      <c r="Q122" s="28">
        <f>IF(OR($A122="",$L122=""),"",IF(AND($N122="Sí",$P122="Sí"),"OTIF","Falló"))</f>
        <v/>
      </c>
    </row>
    <row r="123" ht="16" customHeight="1">
      <c r="A123" s="48" t="n"/>
      <c r="B123" s="48" t="n"/>
      <c r="C123" s="47" t="n"/>
      <c r="D123" s="50" t="n"/>
      <c r="E123" s="50" t="n"/>
      <c r="F123" s="50" t="n"/>
      <c r="G123" s="50" t="n"/>
      <c r="H123" s="48" t="n"/>
      <c r="I123" s="51" t="n"/>
      <c r="J123" s="52" t="n"/>
      <c r="K123" s="47" t="n"/>
      <c r="L123" s="47" t="n"/>
      <c r="M123" s="24">
        <f>IF(OR($A123="",$C123=""),"",IF($L123&lt;&gt;"",$L123-$C123,TODAY()-$C123))</f>
        <v/>
      </c>
      <c r="N123" s="28">
        <f>IF(OR($A123="",$K123=""),"",IF($L123="",IF(TODAY()&gt;$K123,"Atrasado","En ruta"),IF($L123&lt;=$K123,"Sí","No")))</f>
        <v/>
      </c>
      <c r="O123" s="24">
        <f>IF($A123="","",COUNTIFS(NOVEDADES!$D$4:$D$1503,$A123))</f>
        <v/>
      </c>
      <c r="P123" s="28">
        <f>IF($A123="","",IF(COUNTIFS(NOVEDADES!$D$4:$D$1503,$A123,NOVEDADES!$O$4:$O$1503,"SÍ")&gt;0,"No","Sí"))</f>
        <v/>
      </c>
      <c r="Q123" s="28">
        <f>IF(OR($A123="",$L123=""),"",IF(AND($N123="Sí",$P123="Sí"),"OTIF","Falló"))</f>
        <v/>
      </c>
    </row>
    <row r="124" ht="16" customHeight="1">
      <c r="A124" s="48" t="n"/>
      <c r="B124" s="48" t="n"/>
      <c r="C124" s="47" t="n"/>
      <c r="D124" s="50" t="n"/>
      <c r="E124" s="50" t="n"/>
      <c r="F124" s="50" t="n"/>
      <c r="G124" s="50" t="n"/>
      <c r="H124" s="48" t="n"/>
      <c r="I124" s="51" t="n"/>
      <c r="J124" s="52" t="n"/>
      <c r="K124" s="47" t="n"/>
      <c r="L124" s="47" t="n"/>
      <c r="M124" s="24">
        <f>IF(OR($A124="",$C124=""),"",IF($L124&lt;&gt;"",$L124-$C124,TODAY()-$C124))</f>
        <v/>
      </c>
      <c r="N124" s="28">
        <f>IF(OR($A124="",$K124=""),"",IF($L124="",IF(TODAY()&gt;$K124,"Atrasado","En ruta"),IF($L124&lt;=$K124,"Sí","No")))</f>
        <v/>
      </c>
      <c r="O124" s="24">
        <f>IF($A124="","",COUNTIFS(NOVEDADES!$D$4:$D$1503,$A124))</f>
        <v/>
      </c>
      <c r="P124" s="28">
        <f>IF($A124="","",IF(COUNTIFS(NOVEDADES!$D$4:$D$1503,$A124,NOVEDADES!$O$4:$O$1503,"SÍ")&gt;0,"No","Sí"))</f>
        <v/>
      </c>
      <c r="Q124" s="28">
        <f>IF(OR($A124="",$L124=""),"",IF(AND($N124="Sí",$P124="Sí"),"OTIF","Falló"))</f>
        <v/>
      </c>
    </row>
    <row r="125" ht="16" customHeight="1">
      <c r="A125" s="48" t="n"/>
      <c r="B125" s="48" t="n"/>
      <c r="C125" s="47" t="n"/>
      <c r="D125" s="50" t="n"/>
      <c r="E125" s="50" t="n"/>
      <c r="F125" s="50" t="n"/>
      <c r="G125" s="50" t="n"/>
      <c r="H125" s="48" t="n"/>
      <c r="I125" s="51" t="n"/>
      <c r="J125" s="52" t="n"/>
      <c r="K125" s="47" t="n"/>
      <c r="L125" s="47" t="n"/>
      <c r="M125" s="24">
        <f>IF(OR($A125="",$C125=""),"",IF($L125&lt;&gt;"",$L125-$C125,TODAY()-$C125))</f>
        <v/>
      </c>
      <c r="N125" s="28">
        <f>IF(OR($A125="",$K125=""),"",IF($L125="",IF(TODAY()&gt;$K125,"Atrasado","En ruta"),IF($L125&lt;=$K125,"Sí","No")))</f>
        <v/>
      </c>
      <c r="O125" s="24">
        <f>IF($A125="","",COUNTIFS(NOVEDADES!$D$4:$D$1503,$A125))</f>
        <v/>
      </c>
      <c r="P125" s="28">
        <f>IF($A125="","",IF(COUNTIFS(NOVEDADES!$D$4:$D$1503,$A125,NOVEDADES!$O$4:$O$1503,"SÍ")&gt;0,"No","Sí"))</f>
        <v/>
      </c>
      <c r="Q125" s="28">
        <f>IF(OR($A125="",$L125=""),"",IF(AND($N125="Sí",$P125="Sí"),"OTIF","Falló"))</f>
        <v/>
      </c>
    </row>
    <row r="126" ht="16" customHeight="1">
      <c r="A126" s="48" t="n"/>
      <c r="B126" s="48" t="n"/>
      <c r="C126" s="47" t="n"/>
      <c r="D126" s="50" t="n"/>
      <c r="E126" s="50" t="n"/>
      <c r="F126" s="50" t="n"/>
      <c r="G126" s="50" t="n"/>
      <c r="H126" s="48" t="n"/>
      <c r="I126" s="51" t="n"/>
      <c r="J126" s="52" t="n"/>
      <c r="K126" s="47" t="n"/>
      <c r="L126" s="47" t="n"/>
      <c r="M126" s="24">
        <f>IF(OR($A126="",$C126=""),"",IF($L126&lt;&gt;"",$L126-$C126,TODAY()-$C126))</f>
        <v/>
      </c>
      <c r="N126" s="28">
        <f>IF(OR($A126="",$K126=""),"",IF($L126="",IF(TODAY()&gt;$K126,"Atrasado","En ruta"),IF($L126&lt;=$K126,"Sí","No")))</f>
        <v/>
      </c>
      <c r="O126" s="24">
        <f>IF($A126="","",COUNTIFS(NOVEDADES!$D$4:$D$1503,$A126))</f>
        <v/>
      </c>
      <c r="P126" s="28">
        <f>IF($A126="","",IF(COUNTIFS(NOVEDADES!$D$4:$D$1503,$A126,NOVEDADES!$O$4:$O$1503,"SÍ")&gt;0,"No","Sí"))</f>
        <v/>
      </c>
      <c r="Q126" s="28">
        <f>IF(OR($A126="",$L126=""),"",IF(AND($N126="Sí",$P126="Sí"),"OTIF","Falló"))</f>
        <v/>
      </c>
    </row>
    <row r="127" ht="16" customHeight="1">
      <c r="A127" s="48" t="n"/>
      <c r="B127" s="48" t="n"/>
      <c r="C127" s="47" t="n"/>
      <c r="D127" s="50" t="n"/>
      <c r="E127" s="50" t="n"/>
      <c r="F127" s="50" t="n"/>
      <c r="G127" s="50" t="n"/>
      <c r="H127" s="48" t="n"/>
      <c r="I127" s="51" t="n"/>
      <c r="J127" s="52" t="n"/>
      <c r="K127" s="47" t="n"/>
      <c r="L127" s="47" t="n"/>
      <c r="M127" s="24">
        <f>IF(OR($A127="",$C127=""),"",IF($L127&lt;&gt;"",$L127-$C127,TODAY()-$C127))</f>
        <v/>
      </c>
      <c r="N127" s="28">
        <f>IF(OR($A127="",$K127=""),"",IF($L127="",IF(TODAY()&gt;$K127,"Atrasado","En ruta"),IF($L127&lt;=$K127,"Sí","No")))</f>
        <v/>
      </c>
      <c r="O127" s="24">
        <f>IF($A127="","",COUNTIFS(NOVEDADES!$D$4:$D$1503,$A127))</f>
        <v/>
      </c>
      <c r="P127" s="28">
        <f>IF($A127="","",IF(COUNTIFS(NOVEDADES!$D$4:$D$1503,$A127,NOVEDADES!$O$4:$O$1503,"SÍ")&gt;0,"No","Sí"))</f>
        <v/>
      </c>
      <c r="Q127" s="28">
        <f>IF(OR($A127="",$L127=""),"",IF(AND($N127="Sí",$P127="Sí"),"OTIF","Falló"))</f>
        <v/>
      </c>
    </row>
    <row r="128" ht="16" customHeight="1">
      <c r="A128" s="48" t="n"/>
      <c r="B128" s="48" t="n"/>
      <c r="C128" s="47" t="n"/>
      <c r="D128" s="50" t="n"/>
      <c r="E128" s="50" t="n"/>
      <c r="F128" s="50" t="n"/>
      <c r="G128" s="50" t="n"/>
      <c r="H128" s="48" t="n"/>
      <c r="I128" s="51" t="n"/>
      <c r="J128" s="52" t="n"/>
      <c r="K128" s="47" t="n"/>
      <c r="L128" s="47" t="n"/>
      <c r="M128" s="24">
        <f>IF(OR($A128="",$C128=""),"",IF($L128&lt;&gt;"",$L128-$C128,TODAY()-$C128))</f>
        <v/>
      </c>
      <c r="N128" s="28">
        <f>IF(OR($A128="",$K128=""),"",IF($L128="",IF(TODAY()&gt;$K128,"Atrasado","En ruta"),IF($L128&lt;=$K128,"Sí","No")))</f>
        <v/>
      </c>
      <c r="O128" s="24">
        <f>IF($A128="","",COUNTIFS(NOVEDADES!$D$4:$D$1503,$A128))</f>
        <v/>
      </c>
      <c r="P128" s="28">
        <f>IF($A128="","",IF(COUNTIFS(NOVEDADES!$D$4:$D$1503,$A128,NOVEDADES!$O$4:$O$1503,"SÍ")&gt;0,"No","Sí"))</f>
        <v/>
      </c>
      <c r="Q128" s="28">
        <f>IF(OR($A128="",$L128=""),"",IF(AND($N128="Sí",$P128="Sí"),"OTIF","Falló"))</f>
        <v/>
      </c>
    </row>
    <row r="129" ht="16" customHeight="1">
      <c r="A129" s="48" t="n"/>
      <c r="B129" s="48" t="n"/>
      <c r="C129" s="47" t="n"/>
      <c r="D129" s="50" t="n"/>
      <c r="E129" s="50" t="n"/>
      <c r="F129" s="50" t="n"/>
      <c r="G129" s="50" t="n"/>
      <c r="H129" s="48" t="n"/>
      <c r="I129" s="51" t="n"/>
      <c r="J129" s="52" t="n"/>
      <c r="K129" s="47" t="n"/>
      <c r="L129" s="47" t="n"/>
      <c r="M129" s="24">
        <f>IF(OR($A129="",$C129=""),"",IF($L129&lt;&gt;"",$L129-$C129,TODAY()-$C129))</f>
        <v/>
      </c>
      <c r="N129" s="28">
        <f>IF(OR($A129="",$K129=""),"",IF($L129="",IF(TODAY()&gt;$K129,"Atrasado","En ruta"),IF($L129&lt;=$K129,"Sí","No")))</f>
        <v/>
      </c>
      <c r="O129" s="24">
        <f>IF($A129="","",COUNTIFS(NOVEDADES!$D$4:$D$1503,$A129))</f>
        <v/>
      </c>
      <c r="P129" s="28">
        <f>IF($A129="","",IF(COUNTIFS(NOVEDADES!$D$4:$D$1503,$A129,NOVEDADES!$O$4:$O$1503,"SÍ")&gt;0,"No","Sí"))</f>
        <v/>
      </c>
      <c r="Q129" s="28">
        <f>IF(OR($A129="",$L129=""),"",IF(AND($N129="Sí",$P129="Sí"),"OTIF","Falló"))</f>
        <v/>
      </c>
    </row>
    <row r="130" ht="16" customHeight="1">
      <c r="A130" s="48" t="n"/>
      <c r="B130" s="48" t="n"/>
      <c r="C130" s="47" t="n"/>
      <c r="D130" s="50" t="n"/>
      <c r="E130" s="50" t="n"/>
      <c r="F130" s="50" t="n"/>
      <c r="G130" s="50" t="n"/>
      <c r="H130" s="48" t="n"/>
      <c r="I130" s="51" t="n"/>
      <c r="J130" s="52" t="n"/>
      <c r="K130" s="47" t="n"/>
      <c r="L130" s="47" t="n"/>
      <c r="M130" s="24">
        <f>IF(OR($A130="",$C130=""),"",IF($L130&lt;&gt;"",$L130-$C130,TODAY()-$C130))</f>
        <v/>
      </c>
      <c r="N130" s="28">
        <f>IF(OR($A130="",$K130=""),"",IF($L130="",IF(TODAY()&gt;$K130,"Atrasado","En ruta"),IF($L130&lt;=$K130,"Sí","No")))</f>
        <v/>
      </c>
      <c r="O130" s="24">
        <f>IF($A130="","",COUNTIFS(NOVEDADES!$D$4:$D$1503,$A130))</f>
        <v/>
      </c>
      <c r="P130" s="28">
        <f>IF($A130="","",IF(COUNTIFS(NOVEDADES!$D$4:$D$1503,$A130,NOVEDADES!$O$4:$O$1503,"SÍ")&gt;0,"No","Sí"))</f>
        <v/>
      </c>
      <c r="Q130" s="28">
        <f>IF(OR($A130="",$L130=""),"",IF(AND($N130="Sí",$P130="Sí"),"OTIF","Falló"))</f>
        <v/>
      </c>
    </row>
    <row r="131" ht="16" customHeight="1">
      <c r="A131" s="48" t="n"/>
      <c r="B131" s="48" t="n"/>
      <c r="C131" s="47" t="n"/>
      <c r="D131" s="50" t="n"/>
      <c r="E131" s="50" t="n"/>
      <c r="F131" s="50" t="n"/>
      <c r="G131" s="50" t="n"/>
      <c r="H131" s="48" t="n"/>
      <c r="I131" s="51" t="n"/>
      <c r="J131" s="52" t="n"/>
      <c r="K131" s="47" t="n"/>
      <c r="L131" s="47" t="n"/>
      <c r="M131" s="24">
        <f>IF(OR($A131="",$C131=""),"",IF($L131&lt;&gt;"",$L131-$C131,TODAY()-$C131))</f>
        <v/>
      </c>
      <c r="N131" s="28">
        <f>IF(OR($A131="",$K131=""),"",IF($L131="",IF(TODAY()&gt;$K131,"Atrasado","En ruta"),IF($L131&lt;=$K131,"Sí","No")))</f>
        <v/>
      </c>
      <c r="O131" s="24">
        <f>IF($A131="","",COUNTIFS(NOVEDADES!$D$4:$D$1503,$A131))</f>
        <v/>
      </c>
      <c r="P131" s="28">
        <f>IF($A131="","",IF(COUNTIFS(NOVEDADES!$D$4:$D$1503,$A131,NOVEDADES!$O$4:$O$1503,"SÍ")&gt;0,"No","Sí"))</f>
        <v/>
      </c>
      <c r="Q131" s="28">
        <f>IF(OR($A131="",$L131=""),"",IF(AND($N131="Sí",$P131="Sí"),"OTIF","Falló"))</f>
        <v/>
      </c>
    </row>
    <row r="132" ht="16" customHeight="1">
      <c r="A132" s="48" t="n"/>
      <c r="B132" s="48" t="n"/>
      <c r="C132" s="47" t="n"/>
      <c r="D132" s="50" t="n"/>
      <c r="E132" s="50" t="n"/>
      <c r="F132" s="50" t="n"/>
      <c r="G132" s="50" t="n"/>
      <c r="H132" s="48" t="n"/>
      <c r="I132" s="51" t="n"/>
      <c r="J132" s="52" t="n"/>
      <c r="K132" s="47" t="n"/>
      <c r="L132" s="47" t="n"/>
      <c r="M132" s="24">
        <f>IF(OR($A132="",$C132=""),"",IF($L132&lt;&gt;"",$L132-$C132,TODAY()-$C132))</f>
        <v/>
      </c>
      <c r="N132" s="28">
        <f>IF(OR($A132="",$K132=""),"",IF($L132="",IF(TODAY()&gt;$K132,"Atrasado","En ruta"),IF($L132&lt;=$K132,"Sí","No")))</f>
        <v/>
      </c>
      <c r="O132" s="24">
        <f>IF($A132="","",COUNTIFS(NOVEDADES!$D$4:$D$1503,$A132))</f>
        <v/>
      </c>
      <c r="P132" s="28">
        <f>IF($A132="","",IF(COUNTIFS(NOVEDADES!$D$4:$D$1503,$A132,NOVEDADES!$O$4:$O$1503,"SÍ")&gt;0,"No","Sí"))</f>
        <v/>
      </c>
      <c r="Q132" s="28">
        <f>IF(OR($A132="",$L132=""),"",IF(AND($N132="Sí",$P132="Sí"),"OTIF","Falló"))</f>
        <v/>
      </c>
    </row>
    <row r="133" ht="16" customHeight="1">
      <c r="A133" s="48" t="n"/>
      <c r="B133" s="48" t="n"/>
      <c r="C133" s="47" t="n"/>
      <c r="D133" s="50" t="n"/>
      <c r="E133" s="50" t="n"/>
      <c r="F133" s="50" t="n"/>
      <c r="G133" s="50" t="n"/>
      <c r="H133" s="48" t="n"/>
      <c r="I133" s="51" t="n"/>
      <c r="J133" s="52" t="n"/>
      <c r="K133" s="47" t="n"/>
      <c r="L133" s="47" t="n"/>
      <c r="M133" s="24">
        <f>IF(OR($A133="",$C133=""),"",IF($L133&lt;&gt;"",$L133-$C133,TODAY()-$C133))</f>
        <v/>
      </c>
      <c r="N133" s="28">
        <f>IF(OR($A133="",$K133=""),"",IF($L133="",IF(TODAY()&gt;$K133,"Atrasado","En ruta"),IF($L133&lt;=$K133,"Sí","No")))</f>
        <v/>
      </c>
      <c r="O133" s="24">
        <f>IF($A133="","",COUNTIFS(NOVEDADES!$D$4:$D$1503,$A133))</f>
        <v/>
      </c>
      <c r="P133" s="28">
        <f>IF($A133="","",IF(COUNTIFS(NOVEDADES!$D$4:$D$1503,$A133,NOVEDADES!$O$4:$O$1503,"SÍ")&gt;0,"No","Sí"))</f>
        <v/>
      </c>
      <c r="Q133" s="28">
        <f>IF(OR($A133="",$L133=""),"",IF(AND($N133="Sí",$P133="Sí"),"OTIF","Falló"))</f>
        <v/>
      </c>
    </row>
    <row r="134" ht="16" customHeight="1">
      <c r="A134" s="48" t="n"/>
      <c r="B134" s="48" t="n"/>
      <c r="C134" s="47" t="n"/>
      <c r="D134" s="50" t="n"/>
      <c r="E134" s="50" t="n"/>
      <c r="F134" s="50" t="n"/>
      <c r="G134" s="50" t="n"/>
      <c r="H134" s="48" t="n"/>
      <c r="I134" s="51" t="n"/>
      <c r="J134" s="52" t="n"/>
      <c r="K134" s="47" t="n"/>
      <c r="L134" s="47" t="n"/>
      <c r="M134" s="24">
        <f>IF(OR($A134="",$C134=""),"",IF($L134&lt;&gt;"",$L134-$C134,TODAY()-$C134))</f>
        <v/>
      </c>
      <c r="N134" s="28">
        <f>IF(OR($A134="",$K134=""),"",IF($L134="",IF(TODAY()&gt;$K134,"Atrasado","En ruta"),IF($L134&lt;=$K134,"Sí","No")))</f>
        <v/>
      </c>
      <c r="O134" s="24">
        <f>IF($A134="","",COUNTIFS(NOVEDADES!$D$4:$D$1503,$A134))</f>
        <v/>
      </c>
      <c r="P134" s="28">
        <f>IF($A134="","",IF(COUNTIFS(NOVEDADES!$D$4:$D$1503,$A134,NOVEDADES!$O$4:$O$1503,"SÍ")&gt;0,"No","Sí"))</f>
        <v/>
      </c>
      <c r="Q134" s="28">
        <f>IF(OR($A134="",$L134=""),"",IF(AND($N134="Sí",$P134="Sí"),"OTIF","Falló"))</f>
        <v/>
      </c>
    </row>
    <row r="135" ht="16" customHeight="1">
      <c r="A135" s="48" t="n"/>
      <c r="B135" s="48" t="n"/>
      <c r="C135" s="47" t="n"/>
      <c r="D135" s="50" t="n"/>
      <c r="E135" s="50" t="n"/>
      <c r="F135" s="50" t="n"/>
      <c r="G135" s="50" t="n"/>
      <c r="H135" s="48" t="n"/>
      <c r="I135" s="51" t="n"/>
      <c r="J135" s="52" t="n"/>
      <c r="K135" s="47" t="n"/>
      <c r="L135" s="47" t="n"/>
      <c r="M135" s="24">
        <f>IF(OR($A135="",$C135=""),"",IF($L135&lt;&gt;"",$L135-$C135,TODAY()-$C135))</f>
        <v/>
      </c>
      <c r="N135" s="28">
        <f>IF(OR($A135="",$K135=""),"",IF($L135="",IF(TODAY()&gt;$K135,"Atrasado","En ruta"),IF($L135&lt;=$K135,"Sí","No")))</f>
        <v/>
      </c>
      <c r="O135" s="24">
        <f>IF($A135="","",COUNTIFS(NOVEDADES!$D$4:$D$1503,$A135))</f>
        <v/>
      </c>
      <c r="P135" s="28">
        <f>IF($A135="","",IF(COUNTIFS(NOVEDADES!$D$4:$D$1503,$A135,NOVEDADES!$O$4:$O$1503,"SÍ")&gt;0,"No","Sí"))</f>
        <v/>
      </c>
      <c r="Q135" s="28">
        <f>IF(OR($A135="",$L135=""),"",IF(AND($N135="Sí",$P135="Sí"),"OTIF","Falló"))</f>
        <v/>
      </c>
    </row>
    <row r="136" ht="16" customHeight="1">
      <c r="A136" s="48" t="n"/>
      <c r="B136" s="48" t="n"/>
      <c r="C136" s="47" t="n"/>
      <c r="D136" s="50" t="n"/>
      <c r="E136" s="50" t="n"/>
      <c r="F136" s="50" t="n"/>
      <c r="G136" s="50" t="n"/>
      <c r="H136" s="48" t="n"/>
      <c r="I136" s="51" t="n"/>
      <c r="J136" s="52" t="n"/>
      <c r="K136" s="47" t="n"/>
      <c r="L136" s="47" t="n"/>
      <c r="M136" s="24">
        <f>IF(OR($A136="",$C136=""),"",IF($L136&lt;&gt;"",$L136-$C136,TODAY()-$C136))</f>
        <v/>
      </c>
      <c r="N136" s="28">
        <f>IF(OR($A136="",$K136=""),"",IF($L136="",IF(TODAY()&gt;$K136,"Atrasado","En ruta"),IF($L136&lt;=$K136,"Sí","No")))</f>
        <v/>
      </c>
      <c r="O136" s="24">
        <f>IF($A136="","",COUNTIFS(NOVEDADES!$D$4:$D$1503,$A136))</f>
        <v/>
      </c>
      <c r="P136" s="28">
        <f>IF($A136="","",IF(COUNTIFS(NOVEDADES!$D$4:$D$1503,$A136,NOVEDADES!$O$4:$O$1503,"SÍ")&gt;0,"No","Sí"))</f>
        <v/>
      </c>
      <c r="Q136" s="28">
        <f>IF(OR($A136="",$L136=""),"",IF(AND($N136="Sí",$P136="Sí"),"OTIF","Falló"))</f>
        <v/>
      </c>
    </row>
    <row r="137" ht="16" customHeight="1">
      <c r="A137" s="48" t="n"/>
      <c r="B137" s="48" t="n"/>
      <c r="C137" s="47" t="n"/>
      <c r="D137" s="50" t="n"/>
      <c r="E137" s="50" t="n"/>
      <c r="F137" s="50" t="n"/>
      <c r="G137" s="50" t="n"/>
      <c r="H137" s="48" t="n"/>
      <c r="I137" s="51" t="n"/>
      <c r="J137" s="52" t="n"/>
      <c r="K137" s="47" t="n"/>
      <c r="L137" s="47" t="n"/>
      <c r="M137" s="24">
        <f>IF(OR($A137="",$C137=""),"",IF($L137&lt;&gt;"",$L137-$C137,TODAY()-$C137))</f>
        <v/>
      </c>
      <c r="N137" s="28">
        <f>IF(OR($A137="",$K137=""),"",IF($L137="",IF(TODAY()&gt;$K137,"Atrasado","En ruta"),IF($L137&lt;=$K137,"Sí","No")))</f>
        <v/>
      </c>
      <c r="O137" s="24">
        <f>IF($A137="","",COUNTIFS(NOVEDADES!$D$4:$D$1503,$A137))</f>
        <v/>
      </c>
      <c r="P137" s="28">
        <f>IF($A137="","",IF(COUNTIFS(NOVEDADES!$D$4:$D$1503,$A137,NOVEDADES!$O$4:$O$1503,"SÍ")&gt;0,"No","Sí"))</f>
        <v/>
      </c>
      <c r="Q137" s="28">
        <f>IF(OR($A137="",$L137=""),"",IF(AND($N137="Sí",$P137="Sí"),"OTIF","Falló"))</f>
        <v/>
      </c>
    </row>
    <row r="138" ht="16" customHeight="1">
      <c r="A138" s="48" t="n"/>
      <c r="B138" s="48" t="n"/>
      <c r="C138" s="47" t="n"/>
      <c r="D138" s="50" t="n"/>
      <c r="E138" s="50" t="n"/>
      <c r="F138" s="50" t="n"/>
      <c r="G138" s="50" t="n"/>
      <c r="H138" s="48" t="n"/>
      <c r="I138" s="51" t="n"/>
      <c r="J138" s="52" t="n"/>
      <c r="K138" s="47" t="n"/>
      <c r="L138" s="47" t="n"/>
      <c r="M138" s="24">
        <f>IF(OR($A138="",$C138=""),"",IF($L138&lt;&gt;"",$L138-$C138,TODAY()-$C138))</f>
        <v/>
      </c>
      <c r="N138" s="28">
        <f>IF(OR($A138="",$K138=""),"",IF($L138="",IF(TODAY()&gt;$K138,"Atrasado","En ruta"),IF($L138&lt;=$K138,"Sí","No")))</f>
        <v/>
      </c>
      <c r="O138" s="24">
        <f>IF($A138="","",COUNTIFS(NOVEDADES!$D$4:$D$1503,$A138))</f>
        <v/>
      </c>
      <c r="P138" s="28">
        <f>IF($A138="","",IF(COUNTIFS(NOVEDADES!$D$4:$D$1503,$A138,NOVEDADES!$O$4:$O$1503,"SÍ")&gt;0,"No","Sí"))</f>
        <v/>
      </c>
      <c r="Q138" s="28">
        <f>IF(OR($A138="",$L138=""),"",IF(AND($N138="Sí",$P138="Sí"),"OTIF","Falló"))</f>
        <v/>
      </c>
    </row>
    <row r="139" ht="16" customHeight="1">
      <c r="A139" s="48" t="n"/>
      <c r="B139" s="48" t="n"/>
      <c r="C139" s="47" t="n"/>
      <c r="D139" s="50" t="n"/>
      <c r="E139" s="50" t="n"/>
      <c r="F139" s="50" t="n"/>
      <c r="G139" s="50" t="n"/>
      <c r="H139" s="48" t="n"/>
      <c r="I139" s="51" t="n"/>
      <c r="J139" s="52" t="n"/>
      <c r="K139" s="47" t="n"/>
      <c r="L139" s="47" t="n"/>
      <c r="M139" s="24">
        <f>IF(OR($A139="",$C139=""),"",IF($L139&lt;&gt;"",$L139-$C139,TODAY()-$C139))</f>
        <v/>
      </c>
      <c r="N139" s="28">
        <f>IF(OR($A139="",$K139=""),"",IF($L139="",IF(TODAY()&gt;$K139,"Atrasado","En ruta"),IF($L139&lt;=$K139,"Sí","No")))</f>
        <v/>
      </c>
      <c r="O139" s="24">
        <f>IF($A139="","",COUNTIFS(NOVEDADES!$D$4:$D$1503,$A139))</f>
        <v/>
      </c>
      <c r="P139" s="28">
        <f>IF($A139="","",IF(COUNTIFS(NOVEDADES!$D$4:$D$1503,$A139,NOVEDADES!$O$4:$O$1503,"SÍ")&gt;0,"No","Sí"))</f>
        <v/>
      </c>
      <c r="Q139" s="28">
        <f>IF(OR($A139="",$L139=""),"",IF(AND($N139="Sí",$P139="Sí"),"OTIF","Falló"))</f>
        <v/>
      </c>
    </row>
    <row r="140" ht="16" customHeight="1">
      <c r="A140" s="48" t="n"/>
      <c r="B140" s="48" t="n"/>
      <c r="C140" s="47" t="n"/>
      <c r="D140" s="50" t="n"/>
      <c r="E140" s="50" t="n"/>
      <c r="F140" s="50" t="n"/>
      <c r="G140" s="50" t="n"/>
      <c r="H140" s="48" t="n"/>
      <c r="I140" s="51" t="n"/>
      <c r="J140" s="52" t="n"/>
      <c r="K140" s="47" t="n"/>
      <c r="L140" s="47" t="n"/>
      <c r="M140" s="24">
        <f>IF(OR($A140="",$C140=""),"",IF($L140&lt;&gt;"",$L140-$C140,TODAY()-$C140))</f>
        <v/>
      </c>
      <c r="N140" s="28">
        <f>IF(OR($A140="",$K140=""),"",IF($L140="",IF(TODAY()&gt;$K140,"Atrasado","En ruta"),IF($L140&lt;=$K140,"Sí","No")))</f>
        <v/>
      </c>
      <c r="O140" s="24">
        <f>IF($A140="","",COUNTIFS(NOVEDADES!$D$4:$D$1503,$A140))</f>
        <v/>
      </c>
      <c r="P140" s="28">
        <f>IF($A140="","",IF(COUNTIFS(NOVEDADES!$D$4:$D$1503,$A140,NOVEDADES!$O$4:$O$1503,"SÍ")&gt;0,"No","Sí"))</f>
        <v/>
      </c>
      <c r="Q140" s="28">
        <f>IF(OR($A140="",$L140=""),"",IF(AND($N140="Sí",$P140="Sí"),"OTIF","Falló"))</f>
        <v/>
      </c>
    </row>
    <row r="141" ht="16" customHeight="1">
      <c r="A141" s="48" t="n"/>
      <c r="B141" s="48" t="n"/>
      <c r="C141" s="47" t="n"/>
      <c r="D141" s="50" t="n"/>
      <c r="E141" s="50" t="n"/>
      <c r="F141" s="50" t="n"/>
      <c r="G141" s="50" t="n"/>
      <c r="H141" s="48" t="n"/>
      <c r="I141" s="51" t="n"/>
      <c r="J141" s="52" t="n"/>
      <c r="K141" s="47" t="n"/>
      <c r="L141" s="47" t="n"/>
      <c r="M141" s="24">
        <f>IF(OR($A141="",$C141=""),"",IF($L141&lt;&gt;"",$L141-$C141,TODAY()-$C141))</f>
        <v/>
      </c>
      <c r="N141" s="28">
        <f>IF(OR($A141="",$K141=""),"",IF($L141="",IF(TODAY()&gt;$K141,"Atrasado","En ruta"),IF($L141&lt;=$K141,"Sí","No")))</f>
        <v/>
      </c>
      <c r="O141" s="24">
        <f>IF($A141="","",COUNTIFS(NOVEDADES!$D$4:$D$1503,$A141))</f>
        <v/>
      </c>
      <c r="P141" s="28">
        <f>IF($A141="","",IF(COUNTIFS(NOVEDADES!$D$4:$D$1503,$A141,NOVEDADES!$O$4:$O$1503,"SÍ")&gt;0,"No","Sí"))</f>
        <v/>
      </c>
      <c r="Q141" s="28">
        <f>IF(OR($A141="",$L141=""),"",IF(AND($N141="Sí",$P141="Sí"),"OTIF","Falló"))</f>
        <v/>
      </c>
    </row>
    <row r="142" ht="16" customHeight="1">
      <c r="A142" s="48" t="n"/>
      <c r="B142" s="48" t="n"/>
      <c r="C142" s="47" t="n"/>
      <c r="D142" s="50" t="n"/>
      <c r="E142" s="50" t="n"/>
      <c r="F142" s="50" t="n"/>
      <c r="G142" s="50" t="n"/>
      <c r="H142" s="48" t="n"/>
      <c r="I142" s="51" t="n"/>
      <c r="J142" s="52" t="n"/>
      <c r="K142" s="47" t="n"/>
      <c r="L142" s="47" t="n"/>
      <c r="M142" s="24">
        <f>IF(OR($A142="",$C142=""),"",IF($L142&lt;&gt;"",$L142-$C142,TODAY()-$C142))</f>
        <v/>
      </c>
      <c r="N142" s="28">
        <f>IF(OR($A142="",$K142=""),"",IF($L142="",IF(TODAY()&gt;$K142,"Atrasado","En ruta"),IF($L142&lt;=$K142,"Sí","No")))</f>
        <v/>
      </c>
      <c r="O142" s="24">
        <f>IF($A142="","",COUNTIFS(NOVEDADES!$D$4:$D$1503,$A142))</f>
        <v/>
      </c>
      <c r="P142" s="28">
        <f>IF($A142="","",IF(COUNTIFS(NOVEDADES!$D$4:$D$1503,$A142,NOVEDADES!$O$4:$O$1503,"SÍ")&gt;0,"No","Sí"))</f>
        <v/>
      </c>
      <c r="Q142" s="28">
        <f>IF(OR($A142="",$L142=""),"",IF(AND($N142="Sí",$P142="Sí"),"OTIF","Falló"))</f>
        <v/>
      </c>
    </row>
    <row r="143" ht="16" customHeight="1">
      <c r="A143" s="48" t="n"/>
      <c r="B143" s="48" t="n"/>
      <c r="C143" s="47" t="n"/>
      <c r="D143" s="50" t="n"/>
      <c r="E143" s="50" t="n"/>
      <c r="F143" s="50" t="n"/>
      <c r="G143" s="50" t="n"/>
      <c r="H143" s="48" t="n"/>
      <c r="I143" s="51" t="n"/>
      <c r="J143" s="52" t="n"/>
      <c r="K143" s="47" t="n"/>
      <c r="L143" s="47" t="n"/>
      <c r="M143" s="24">
        <f>IF(OR($A143="",$C143=""),"",IF($L143&lt;&gt;"",$L143-$C143,TODAY()-$C143))</f>
        <v/>
      </c>
      <c r="N143" s="28">
        <f>IF(OR($A143="",$K143=""),"",IF($L143="",IF(TODAY()&gt;$K143,"Atrasado","En ruta"),IF($L143&lt;=$K143,"Sí","No")))</f>
        <v/>
      </c>
      <c r="O143" s="24">
        <f>IF($A143="","",COUNTIFS(NOVEDADES!$D$4:$D$1503,$A143))</f>
        <v/>
      </c>
      <c r="P143" s="28">
        <f>IF($A143="","",IF(COUNTIFS(NOVEDADES!$D$4:$D$1503,$A143,NOVEDADES!$O$4:$O$1503,"SÍ")&gt;0,"No","Sí"))</f>
        <v/>
      </c>
      <c r="Q143" s="28">
        <f>IF(OR($A143="",$L143=""),"",IF(AND($N143="Sí",$P143="Sí"),"OTIF","Falló"))</f>
        <v/>
      </c>
    </row>
    <row r="144" ht="16" customHeight="1">
      <c r="A144" s="48" t="n"/>
      <c r="B144" s="48" t="n"/>
      <c r="C144" s="47" t="n"/>
      <c r="D144" s="50" t="n"/>
      <c r="E144" s="50" t="n"/>
      <c r="F144" s="50" t="n"/>
      <c r="G144" s="50" t="n"/>
      <c r="H144" s="48" t="n"/>
      <c r="I144" s="51" t="n"/>
      <c r="J144" s="52" t="n"/>
      <c r="K144" s="47" t="n"/>
      <c r="L144" s="47" t="n"/>
      <c r="M144" s="24">
        <f>IF(OR($A144="",$C144=""),"",IF($L144&lt;&gt;"",$L144-$C144,TODAY()-$C144))</f>
        <v/>
      </c>
      <c r="N144" s="28">
        <f>IF(OR($A144="",$K144=""),"",IF($L144="",IF(TODAY()&gt;$K144,"Atrasado","En ruta"),IF($L144&lt;=$K144,"Sí","No")))</f>
        <v/>
      </c>
      <c r="O144" s="24">
        <f>IF($A144="","",COUNTIFS(NOVEDADES!$D$4:$D$1503,$A144))</f>
        <v/>
      </c>
      <c r="P144" s="28">
        <f>IF($A144="","",IF(COUNTIFS(NOVEDADES!$D$4:$D$1503,$A144,NOVEDADES!$O$4:$O$1503,"SÍ")&gt;0,"No","Sí"))</f>
        <v/>
      </c>
      <c r="Q144" s="28">
        <f>IF(OR($A144="",$L144=""),"",IF(AND($N144="Sí",$P144="Sí"),"OTIF","Falló"))</f>
        <v/>
      </c>
    </row>
    <row r="145" ht="16" customHeight="1">
      <c r="A145" s="48" t="n"/>
      <c r="B145" s="48" t="n"/>
      <c r="C145" s="47" t="n"/>
      <c r="D145" s="50" t="n"/>
      <c r="E145" s="50" t="n"/>
      <c r="F145" s="50" t="n"/>
      <c r="G145" s="50" t="n"/>
      <c r="H145" s="48" t="n"/>
      <c r="I145" s="51" t="n"/>
      <c r="J145" s="52" t="n"/>
      <c r="K145" s="47" t="n"/>
      <c r="L145" s="47" t="n"/>
      <c r="M145" s="24">
        <f>IF(OR($A145="",$C145=""),"",IF($L145&lt;&gt;"",$L145-$C145,TODAY()-$C145))</f>
        <v/>
      </c>
      <c r="N145" s="28">
        <f>IF(OR($A145="",$K145=""),"",IF($L145="",IF(TODAY()&gt;$K145,"Atrasado","En ruta"),IF($L145&lt;=$K145,"Sí","No")))</f>
        <v/>
      </c>
      <c r="O145" s="24">
        <f>IF($A145="","",COUNTIFS(NOVEDADES!$D$4:$D$1503,$A145))</f>
        <v/>
      </c>
      <c r="P145" s="28">
        <f>IF($A145="","",IF(COUNTIFS(NOVEDADES!$D$4:$D$1503,$A145,NOVEDADES!$O$4:$O$1503,"SÍ")&gt;0,"No","Sí"))</f>
        <v/>
      </c>
      <c r="Q145" s="28">
        <f>IF(OR($A145="",$L145=""),"",IF(AND($N145="Sí",$P145="Sí"),"OTIF","Falló"))</f>
        <v/>
      </c>
    </row>
    <row r="146" ht="16" customHeight="1">
      <c r="A146" s="48" t="n"/>
      <c r="B146" s="48" t="n"/>
      <c r="C146" s="47" t="n"/>
      <c r="D146" s="50" t="n"/>
      <c r="E146" s="50" t="n"/>
      <c r="F146" s="50" t="n"/>
      <c r="G146" s="50" t="n"/>
      <c r="H146" s="48" t="n"/>
      <c r="I146" s="51" t="n"/>
      <c r="J146" s="52" t="n"/>
      <c r="K146" s="47" t="n"/>
      <c r="L146" s="47" t="n"/>
      <c r="M146" s="24">
        <f>IF(OR($A146="",$C146=""),"",IF($L146&lt;&gt;"",$L146-$C146,TODAY()-$C146))</f>
        <v/>
      </c>
      <c r="N146" s="28">
        <f>IF(OR($A146="",$K146=""),"",IF($L146="",IF(TODAY()&gt;$K146,"Atrasado","En ruta"),IF($L146&lt;=$K146,"Sí","No")))</f>
        <v/>
      </c>
      <c r="O146" s="24">
        <f>IF($A146="","",COUNTIFS(NOVEDADES!$D$4:$D$1503,$A146))</f>
        <v/>
      </c>
      <c r="P146" s="28">
        <f>IF($A146="","",IF(COUNTIFS(NOVEDADES!$D$4:$D$1503,$A146,NOVEDADES!$O$4:$O$1503,"SÍ")&gt;0,"No","Sí"))</f>
        <v/>
      </c>
      <c r="Q146" s="28">
        <f>IF(OR($A146="",$L146=""),"",IF(AND($N146="Sí",$P146="Sí"),"OTIF","Falló"))</f>
        <v/>
      </c>
    </row>
    <row r="147" ht="16" customHeight="1">
      <c r="A147" s="48" t="n"/>
      <c r="B147" s="48" t="n"/>
      <c r="C147" s="47" t="n"/>
      <c r="D147" s="50" t="n"/>
      <c r="E147" s="50" t="n"/>
      <c r="F147" s="50" t="n"/>
      <c r="G147" s="50" t="n"/>
      <c r="H147" s="48" t="n"/>
      <c r="I147" s="51" t="n"/>
      <c r="J147" s="52" t="n"/>
      <c r="K147" s="47" t="n"/>
      <c r="L147" s="47" t="n"/>
      <c r="M147" s="24">
        <f>IF(OR($A147="",$C147=""),"",IF($L147&lt;&gt;"",$L147-$C147,TODAY()-$C147))</f>
        <v/>
      </c>
      <c r="N147" s="28">
        <f>IF(OR($A147="",$K147=""),"",IF($L147="",IF(TODAY()&gt;$K147,"Atrasado","En ruta"),IF($L147&lt;=$K147,"Sí","No")))</f>
        <v/>
      </c>
      <c r="O147" s="24">
        <f>IF($A147="","",COUNTIFS(NOVEDADES!$D$4:$D$1503,$A147))</f>
        <v/>
      </c>
      <c r="P147" s="28">
        <f>IF($A147="","",IF(COUNTIFS(NOVEDADES!$D$4:$D$1503,$A147,NOVEDADES!$O$4:$O$1503,"SÍ")&gt;0,"No","Sí"))</f>
        <v/>
      </c>
      <c r="Q147" s="28">
        <f>IF(OR($A147="",$L147=""),"",IF(AND($N147="Sí",$P147="Sí"),"OTIF","Falló"))</f>
        <v/>
      </c>
    </row>
    <row r="148" ht="16" customHeight="1">
      <c r="A148" s="48" t="n"/>
      <c r="B148" s="48" t="n"/>
      <c r="C148" s="47" t="n"/>
      <c r="D148" s="50" t="n"/>
      <c r="E148" s="50" t="n"/>
      <c r="F148" s="50" t="n"/>
      <c r="G148" s="50" t="n"/>
      <c r="H148" s="48" t="n"/>
      <c r="I148" s="51" t="n"/>
      <c r="J148" s="52" t="n"/>
      <c r="K148" s="47" t="n"/>
      <c r="L148" s="47" t="n"/>
      <c r="M148" s="24">
        <f>IF(OR($A148="",$C148=""),"",IF($L148&lt;&gt;"",$L148-$C148,TODAY()-$C148))</f>
        <v/>
      </c>
      <c r="N148" s="28">
        <f>IF(OR($A148="",$K148=""),"",IF($L148="",IF(TODAY()&gt;$K148,"Atrasado","En ruta"),IF($L148&lt;=$K148,"Sí","No")))</f>
        <v/>
      </c>
      <c r="O148" s="24">
        <f>IF($A148="","",COUNTIFS(NOVEDADES!$D$4:$D$1503,$A148))</f>
        <v/>
      </c>
      <c r="P148" s="28">
        <f>IF($A148="","",IF(COUNTIFS(NOVEDADES!$D$4:$D$1503,$A148,NOVEDADES!$O$4:$O$1503,"SÍ")&gt;0,"No","Sí"))</f>
        <v/>
      </c>
      <c r="Q148" s="28">
        <f>IF(OR($A148="",$L148=""),"",IF(AND($N148="Sí",$P148="Sí"),"OTIF","Falló"))</f>
        <v/>
      </c>
    </row>
    <row r="149" ht="16" customHeight="1">
      <c r="A149" s="48" t="n"/>
      <c r="B149" s="48" t="n"/>
      <c r="C149" s="47" t="n"/>
      <c r="D149" s="50" t="n"/>
      <c r="E149" s="50" t="n"/>
      <c r="F149" s="50" t="n"/>
      <c r="G149" s="50" t="n"/>
      <c r="H149" s="48" t="n"/>
      <c r="I149" s="51" t="n"/>
      <c r="J149" s="52" t="n"/>
      <c r="K149" s="47" t="n"/>
      <c r="L149" s="47" t="n"/>
      <c r="M149" s="24">
        <f>IF(OR($A149="",$C149=""),"",IF($L149&lt;&gt;"",$L149-$C149,TODAY()-$C149))</f>
        <v/>
      </c>
      <c r="N149" s="28">
        <f>IF(OR($A149="",$K149=""),"",IF($L149="",IF(TODAY()&gt;$K149,"Atrasado","En ruta"),IF($L149&lt;=$K149,"Sí","No")))</f>
        <v/>
      </c>
      <c r="O149" s="24">
        <f>IF($A149="","",COUNTIFS(NOVEDADES!$D$4:$D$1503,$A149))</f>
        <v/>
      </c>
      <c r="P149" s="28">
        <f>IF($A149="","",IF(COUNTIFS(NOVEDADES!$D$4:$D$1503,$A149,NOVEDADES!$O$4:$O$1503,"SÍ")&gt;0,"No","Sí"))</f>
        <v/>
      </c>
      <c r="Q149" s="28">
        <f>IF(OR($A149="",$L149=""),"",IF(AND($N149="Sí",$P149="Sí"),"OTIF","Falló"))</f>
        <v/>
      </c>
    </row>
    <row r="150" ht="16" customHeight="1">
      <c r="A150" s="48" t="n"/>
      <c r="B150" s="48" t="n"/>
      <c r="C150" s="47" t="n"/>
      <c r="D150" s="50" t="n"/>
      <c r="E150" s="50" t="n"/>
      <c r="F150" s="50" t="n"/>
      <c r="G150" s="50" t="n"/>
      <c r="H150" s="48" t="n"/>
      <c r="I150" s="51" t="n"/>
      <c r="J150" s="52" t="n"/>
      <c r="K150" s="47" t="n"/>
      <c r="L150" s="47" t="n"/>
      <c r="M150" s="24">
        <f>IF(OR($A150="",$C150=""),"",IF($L150&lt;&gt;"",$L150-$C150,TODAY()-$C150))</f>
        <v/>
      </c>
      <c r="N150" s="28">
        <f>IF(OR($A150="",$K150=""),"",IF($L150="",IF(TODAY()&gt;$K150,"Atrasado","En ruta"),IF($L150&lt;=$K150,"Sí","No")))</f>
        <v/>
      </c>
      <c r="O150" s="24">
        <f>IF($A150="","",COUNTIFS(NOVEDADES!$D$4:$D$1503,$A150))</f>
        <v/>
      </c>
      <c r="P150" s="28">
        <f>IF($A150="","",IF(COUNTIFS(NOVEDADES!$D$4:$D$1503,$A150,NOVEDADES!$O$4:$O$1503,"SÍ")&gt;0,"No","Sí"))</f>
        <v/>
      </c>
      <c r="Q150" s="28">
        <f>IF(OR($A150="",$L150=""),"",IF(AND($N150="Sí",$P150="Sí"),"OTIF","Falló"))</f>
        <v/>
      </c>
    </row>
    <row r="151" ht="16" customHeight="1">
      <c r="A151" s="48" t="n"/>
      <c r="B151" s="48" t="n"/>
      <c r="C151" s="47" t="n"/>
      <c r="D151" s="50" t="n"/>
      <c r="E151" s="50" t="n"/>
      <c r="F151" s="50" t="n"/>
      <c r="G151" s="50" t="n"/>
      <c r="H151" s="48" t="n"/>
      <c r="I151" s="51" t="n"/>
      <c r="J151" s="52" t="n"/>
      <c r="K151" s="47" t="n"/>
      <c r="L151" s="47" t="n"/>
      <c r="M151" s="24">
        <f>IF(OR($A151="",$C151=""),"",IF($L151&lt;&gt;"",$L151-$C151,TODAY()-$C151))</f>
        <v/>
      </c>
      <c r="N151" s="28">
        <f>IF(OR($A151="",$K151=""),"",IF($L151="",IF(TODAY()&gt;$K151,"Atrasado","En ruta"),IF($L151&lt;=$K151,"Sí","No")))</f>
        <v/>
      </c>
      <c r="O151" s="24">
        <f>IF($A151="","",COUNTIFS(NOVEDADES!$D$4:$D$1503,$A151))</f>
        <v/>
      </c>
      <c r="P151" s="28">
        <f>IF($A151="","",IF(COUNTIFS(NOVEDADES!$D$4:$D$1503,$A151,NOVEDADES!$O$4:$O$1503,"SÍ")&gt;0,"No","Sí"))</f>
        <v/>
      </c>
      <c r="Q151" s="28">
        <f>IF(OR($A151="",$L151=""),"",IF(AND($N151="Sí",$P151="Sí"),"OTIF","Falló"))</f>
        <v/>
      </c>
    </row>
    <row r="152" ht="16" customHeight="1">
      <c r="A152" s="48" t="n"/>
      <c r="B152" s="48" t="n"/>
      <c r="C152" s="47" t="n"/>
      <c r="D152" s="50" t="n"/>
      <c r="E152" s="50" t="n"/>
      <c r="F152" s="50" t="n"/>
      <c r="G152" s="50" t="n"/>
      <c r="H152" s="48" t="n"/>
      <c r="I152" s="51" t="n"/>
      <c r="J152" s="52" t="n"/>
      <c r="K152" s="47" t="n"/>
      <c r="L152" s="47" t="n"/>
      <c r="M152" s="24">
        <f>IF(OR($A152="",$C152=""),"",IF($L152&lt;&gt;"",$L152-$C152,TODAY()-$C152))</f>
        <v/>
      </c>
      <c r="N152" s="28">
        <f>IF(OR($A152="",$K152=""),"",IF($L152="",IF(TODAY()&gt;$K152,"Atrasado","En ruta"),IF($L152&lt;=$K152,"Sí","No")))</f>
        <v/>
      </c>
      <c r="O152" s="24">
        <f>IF($A152="","",COUNTIFS(NOVEDADES!$D$4:$D$1503,$A152))</f>
        <v/>
      </c>
      <c r="P152" s="28">
        <f>IF($A152="","",IF(COUNTIFS(NOVEDADES!$D$4:$D$1503,$A152,NOVEDADES!$O$4:$O$1503,"SÍ")&gt;0,"No","Sí"))</f>
        <v/>
      </c>
      <c r="Q152" s="28">
        <f>IF(OR($A152="",$L152=""),"",IF(AND($N152="Sí",$P152="Sí"),"OTIF","Falló"))</f>
        <v/>
      </c>
    </row>
    <row r="153" ht="16" customHeight="1">
      <c r="A153" s="48" t="n"/>
      <c r="B153" s="48" t="n"/>
      <c r="C153" s="47" t="n"/>
      <c r="D153" s="50" t="n"/>
      <c r="E153" s="50" t="n"/>
      <c r="F153" s="50" t="n"/>
      <c r="G153" s="50" t="n"/>
      <c r="H153" s="48" t="n"/>
      <c r="I153" s="51" t="n"/>
      <c r="J153" s="52" t="n"/>
      <c r="K153" s="47" t="n"/>
      <c r="L153" s="47" t="n"/>
      <c r="M153" s="24">
        <f>IF(OR($A153="",$C153=""),"",IF($L153&lt;&gt;"",$L153-$C153,TODAY()-$C153))</f>
        <v/>
      </c>
      <c r="N153" s="28">
        <f>IF(OR($A153="",$K153=""),"",IF($L153="",IF(TODAY()&gt;$K153,"Atrasado","En ruta"),IF($L153&lt;=$K153,"Sí","No")))</f>
        <v/>
      </c>
      <c r="O153" s="24">
        <f>IF($A153="","",COUNTIFS(NOVEDADES!$D$4:$D$1503,$A153))</f>
        <v/>
      </c>
      <c r="P153" s="28">
        <f>IF($A153="","",IF(COUNTIFS(NOVEDADES!$D$4:$D$1503,$A153,NOVEDADES!$O$4:$O$1503,"SÍ")&gt;0,"No","Sí"))</f>
        <v/>
      </c>
      <c r="Q153" s="28">
        <f>IF(OR($A153="",$L153=""),"",IF(AND($N153="Sí",$P153="Sí"),"OTIF","Falló"))</f>
        <v/>
      </c>
    </row>
    <row r="154" ht="16" customHeight="1">
      <c r="A154" s="48" t="n"/>
      <c r="B154" s="48" t="n"/>
      <c r="C154" s="47" t="n"/>
      <c r="D154" s="50" t="n"/>
      <c r="E154" s="50" t="n"/>
      <c r="F154" s="50" t="n"/>
      <c r="G154" s="50" t="n"/>
      <c r="H154" s="48" t="n"/>
      <c r="I154" s="51" t="n"/>
      <c r="J154" s="52" t="n"/>
      <c r="K154" s="47" t="n"/>
      <c r="L154" s="47" t="n"/>
      <c r="M154" s="24">
        <f>IF(OR($A154="",$C154=""),"",IF($L154&lt;&gt;"",$L154-$C154,TODAY()-$C154))</f>
        <v/>
      </c>
      <c r="N154" s="28">
        <f>IF(OR($A154="",$K154=""),"",IF($L154="",IF(TODAY()&gt;$K154,"Atrasado","En ruta"),IF($L154&lt;=$K154,"Sí","No")))</f>
        <v/>
      </c>
      <c r="O154" s="24">
        <f>IF($A154="","",COUNTIFS(NOVEDADES!$D$4:$D$1503,$A154))</f>
        <v/>
      </c>
      <c r="P154" s="28">
        <f>IF($A154="","",IF(COUNTIFS(NOVEDADES!$D$4:$D$1503,$A154,NOVEDADES!$O$4:$O$1503,"SÍ")&gt;0,"No","Sí"))</f>
        <v/>
      </c>
      <c r="Q154" s="28">
        <f>IF(OR($A154="",$L154=""),"",IF(AND($N154="Sí",$P154="Sí"),"OTIF","Falló"))</f>
        <v/>
      </c>
    </row>
    <row r="155" ht="16" customHeight="1">
      <c r="A155" s="48" t="n"/>
      <c r="B155" s="48" t="n"/>
      <c r="C155" s="47" t="n"/>
      <c r="D155" s="50" t="n"/>
      <c r="E155" s="50" t="n"/>
      <c r="F155" s="50" t="n"/>
      <c r="G155" s="50" t="n"/>
      <c r="H155" s="48" t="n"/>
      <c r="I155" s="51" t="n"/>
      <c r="J155" s="52" t="n"/>
      <c r="K155" s="47" t="n"/>
      <c r="L155" s="47" t="n"/>
      <c r="M155" s="24">
        <f>IF(OR($A155="",$C155=""),"",IF($L155&lt;&gt;"",$L155-$C155,TODAY()-$C155))</f>
        <v/>
      </c>
      <c r="N155" s="28">
        <f>IF(OR($A155="",$K155=""),"",IF($L155="",IF(TODAY()&gt;$K155,"Atrasado","En ruta"),IF($L155&lt;=$K155,"Sí","No")))</f>
        <v/>
      </c>
      <c r="O155" s="24">
        <f>IF($A155="","",COUNTIFS(NOVEDADES!$D$4:$D$1503,$A155))</f>
        <v/>
      </c>
      <c r="P155" s="28">
        <f>IF($A155="","",IF(COUNTIFS(NOVEDADES!$D$4:$D$1503,$A155,NOVEDADES!$O$4:$O$1503,"SÍ")&gt;0,"No","Sí"))</f>
        <v/>
      </c>
      <c r="Q155" s="28">
        <f>IF(OR($A155="",$L155=""),"",IF(AND($N155="Sí",$P155="Sí"),"OTIF","Falló"))</f>
        <v/>
      </c>
    </row>
    <row r="156" ht="16" customHeight="1">
      <c r="A156" s="48" t="n"/>
      <c r="B156" s="48" t="n"/>
      <c r="C156" s="47" t="n"/>
      <c r="D156" s="50" t="n"/>
      <c r="E156" s="50" t="n"/>
      <c r="F156" s="50" t="n"/>
      <c r="G156" s="50" t="n"/>
      <c r="H156" s="48" t="n"/>
      <c r="I156" s="51" t="n"/>
      <c r="J156" s="52" t="n"/>
      <c r="K156" s="47" t="n"/>
      <c r="L156" s="47" t="n"/>
      <c r="M156" s="24">
        <f>IF(OR($A156="",$C156=""),"",IF($L156&lt;&gt;"",$L156-$C156,TODAY()-$C156))</f>
        <v/>
      </c>
      <c r="N156" s="28">
        <f>IF(OR($A156="",$K156=""),"",IF($L156="",IF(TODAY()&gt;$K156,"Atrasado","En ruta"),IF($L156&lt;=$K156,"Sí","No")))</f>
        <v/>
      </c>
      <c r="O156" s="24">
        <f>IF($A156="","",COUNTIFS(NOVEDADES!$D$4:$D$1503,$A156))</f>
        <v/>
      </c>
      <c r="P156" s="28">
        <f>IF($A156="","",IF(COUNTIFS(NOVEDADES!$D$4:$D$1503,$A156,NOVEDADES!$O$4:$O$1503,"SÍ")&gt;0,"No","Sí"))</f>
        <v/>
      </c>
      <c r="Q156" s="28">
        <f>IF(OR($A156="",$L156=""),"",IF(AND($N156="Sí",$P156="Sí"),"OTIF","Falló"))</f>
        <v/>
      </c>
    </row>
    <row r="157" ht="16" customHeight="1">
      <c r="A157" s="48" t="n"/>
      <c r="B157" s="48" t="n"/>
      <c r="C157" s="47" t="n"/>
      <c r="D157" s="50" t="n"/>
      <c r="E157" s="50" t="n"/>
      <c r="F157" s="50" t="n"/>
      <c r="G157" s="50" t="n"/>
      <c r="H157" s="48" t="n"/>
      <c r="I157" s="51" t="n"/>
      <c r="J157" s="52" t="n"/>
      <c r="K157" s="47" t="n"/>
      <c r="L157" s="47" t="n"/>
      <c r="M157" s="24">
        <f>IF(OR($A157="",$C157=""),"",IF($L157&lt;&gt;"",$L157-$C157,TODAY()-$C157))</f>
        <v/>
      </c>
      <c r="N157" s="28">
        <f>IF(OR($A157="",$K157=""),"",IF($L157="",IF(TODAY()&gt;$K157,"Atrasado","En ruta"),IF($L157&lt;=$K157,"Sí","No")))</f>
        <v/>
      </c>
      <c r="O157" s="24">
        <f>IF($A157="","",COUNTIFS(NOVEDADES!$D$4:$D$1503,$A157))</f>
        <v/>
      </c>
      <c r="P157" s="28">
        <f>IF($A157="","",IF(COUNTIFS(NOVEDADES!$D$4:$D$1503,$A157,NOVEDADES!$O$4:$O$1503,"SÍ")&gt;0,"No","Sí"))</f>
        <v/>
      </c>
      <c r="Q157" s="28">
        <f>IF(OR($A157="",$L157=""),"",IF(AND($N157="Sí",$P157="Sí"),"OTIF","Falló"))</f>
        <v/>
      </c>
    </row>
    <row r="158" ht="16" customHeight="1">
      <c r="A158" s="48" t="n"/>
      <c r="B158" s="48" t="n"/>
      <c r="C158" s="47" t="n"/>
      <c r="D158" s="50" t="n"/>
      <c r="E158" s="50" t="n"/>
      <c r="F158" s="50" t="n"/>
      <c r="G158" s="50" t="n"/>
      <c r="H158" s="48" t="n"/>
      <c r="I158" s="51" t="n"/>
      <c r="J158" s="52" t="n"/>
      <c r="K158" s="47" t="n"/>
      <c r="L158" s="47" t="n"/>
      <c r="M158" s="24">
        <f>IF(OR($A158="",$C158=""),"",IF($L158&lt;&gt;"",$L158-$C158,TODAY()-$C158))</f>
        <v/>
      </c>
      <c r="N158" s="28">
        <f>IF(OR($A158="",$K158=""),"",IF($L158="",IF(TODAY()&gt;$K158,"Atrasado","En ruta"),IF($L158&lt;=$K158,"Sí","No")))</f>
        <v/>
      </c>
      <c r="O158" s="24">
        <f>IF($A158="","",COUNTIFS(NOVEDADES!$D$4:$D$1503,$A158))</f>
        <v/>
      </c>
      <c r="P158" s="28">
        <f>IF($A158="","",IF(COUNTIFS(NOVEDADES!$D$4:$D$1503,$A158,NOVEDADES!$O$4:$O$1503,"SÍ")&gt;0,"No","Sí"))</f>
        <v/>
      </c>
      <c r="Q158" s="28">
        <f>IF(OR($A158="",$L158=""),"",IF(AND($N158="Sí",$P158="Sí"),"OTIF","Falló"))</f>
        <v/>
      </c>
    </row>
    <row r="159" ht="16" customHeight="1">
      <c r="A159" s="48" t="n"/>
      <c r="B159" s="48" t="n"/>
      <c r="C159" s="47" t="n"/>
      <c r="D159" s="50" t="n"/>
      <c r="E159" s="50" t="n"/>
      <c r="F159" s="50" t="n"/>
      <c r="G159" s="50" t="n"/>
      <c r="H159" s="48" t="n"/>
      <c r="I159" s="51" t="n"/>
      <c r="J159" s="52" t="n"/>
      <c r="K159" s="47" t="n"/>
      <c r="L159" s="47" t="n"/>
      <c r="M159" s="24">
        <f>IF(OR($A159="",$C159=""),"",IF($L159&lt;&gt;"",$L159-$C159,TODAY()-$C159))</f>
        <v/>
      </c>
      <c r="N159" s="28">
        <f>IF(OR($A159="",$K159=""),"",IF($L159="",IF(TODAY()&gt;$K159,"Atrasado","En ruta"),IF($L159&lt;=$K159,"Sí","No")))</f>
        <v/>
      </c>
      <c r="O159" s="24">
        <f>IF($A159="","",COUNTIFS(NOVEDADES!$D$4:$D$1503,$A159))</f>
        <v/>
      </c>
      <c r="P159" s="28">
        <f>IF($A159="","",IF(COUNTIFS(NOVEDADES!$D$4:$D$1503,$A159,NOVEDADES!$O$4:$O$1503,"SÍ")&gt;0,"No","Sí"))</f>
        <v/>
      </c>
      <c r="Q159" s="28">
        <f>IF(OR($A159="",$L159=""),"",IF(AND($N159="Sí",$P159="Sí"),"OTIF","Falló"))</f>
        <v/>
      </c>
    </row>
    <row r="160" ht="16" customHeight="1">
      <c r="A160" s="48" t="n"/>
      <c r="B160" s="48" t="n"/>
      <c r="C160" s="47" t="n"/>
      <c r="D160" s="50" t="n"/>
      <c r="E160" s="50" t="n"/>
      <c r="F160" s="50" t="n"/>
      <c r="G160" s="50" t="n"/>
      <c r="H160" s="48" t="n"/>
      <c r="I160" s="51" t="n"/>
      <c r="J160" s="52" t="n"/>
      <c r="K160" s="47" t="n"/>
      <c r="L160" s="47" t="n"/>
      <c r="M160" s="24">
        <f>IF(OR($A160="",$C160=""),"",IF($L160&lt;&gt;"",$L160-$C160,TODAY()-$C160))</f>
        <v/>
      </c>
      <c r="N160" s="28">
        <f>IF(OR($A160="",$K160=""),"",IF($L160="",IF(TODAY()&gt;$K160,"Atrasado","En ruta"),IF($L160&lt;=$K160,"Sí","No")))</f>
        <v/>
      </c>
      <c r="O160" s="24">
        <f>IF($A160="","",COUNTIFS(NOVEDADES!$D$4:$D$1503,$A160))</f>
        <v/>
      </c>
      <c r="P160" s="28">
        <f>IF($A160="","",IF(COUNTIFS(NOVEDADES!$D$4:$D$1503,$A160,NOVEDADES!$O$4:$O$1503,"SÍ")&gt;0,"No","Sí"))</f>
        <v/>
      </c>
      <c r="Q160" s="28">
        <f>IF(OR($A160="",$L160=""),"",IF(AND($N160="Sí",$P160="Sí"),"OTIF","Falló"))</f>
        <v/>
      </c>
    </row>
    <row r="161" ht="16" customHeight="1">
      <c r="A161" s="48" t="n"/>
      <c r="B161" s="48" t="n"/>
      <c r="C161" s="47" t="n"/>
      <c r="D161" s="50" t="n"/>
      <c r="E161" s="50" t="n"/>
      <c r="F161" s="50" t="n"/>
      <c r="G161" s="50" t="n"/>
      <c r="H161" s="48" t="n"/>
      <c r="I161" s="51" t="n"/>
      <c r="J161" s="52" t="n"/>
      <c r="K161" s="47" t="n"/>
      <c r="L161" s="47" t="n"/>
      <c r="M161" s="24">
        <f>IF(OR($A161="",$C161=""),"",IF($L161&lt;&gt;"",$L161-$C161,TODAY()-$C161))</f>
        <v/>
      </c>
      <c r="N161" s="28">
        <f>IF(OR($A161="",$K161=""),"",IF($L161="",IF(TODAY()&gt;$K161,"Atrasado","En ruta"),IF($L161&lt;=$K161,"Sí","No")))</f>
        <v/>
      </c>
      <c r="O161" s="24">
        <f>IF($A161="","",COUNTIFS(NOVEDADES!$D$4:$D$1503,$A161))</f>
        <v/>
      </c>
      <c r="P161" s="28">
        <f>IF($A161="","",IF(COUNTIFS(NOVEDADES!$D$4:$D$1503,$A161,NOVEDADES!$O$4:$O$1503,"SÍ")&gt;0,"No","Sí"))</f>
        <v/>
      </c>
      <c r="Q161" s="28">
        <f>IF(OR($A161="",$L161=""),"",IF(AND($N161="Sí",$P161="Sí"),"OTIF","Falló"))</f>
        <v/>
      </c>
    </row>
    <row r="162" ht="16" customHeight="1">
      <c r="A162" s="48" t="n"/>
      <c r="B162" s="48" t="n"/>
      <c r="C162" s="47" t="n"/>
      <c r="D162" s="50" t="n"/>
      <c r="E162" s="50" t="n"/>
      <c r="F162" s="50" t="n"/>
      <c r="G162" s="50" t="n"/>
      <c r="H162" s="48" t="n"/>
      <c r="I162" s="51" t="n"/>
      <c r="J162" s="52" t="n"/>
      <c r="K162" s="47" t="n"/>
      <c r="L162" s="47" t="n"/>
      <c r="M162" s="24">
        <f>IF(OR($A162="",$C162=""),"",IF($L162&lt;&gt;"",$L162-$C162,TODAY()-$C162))</f>
        <v/>
      </c>
      <c r="N162" s="28">
        <f>IF(OR($A162="",$K162=""),"",IF($L162="",IF(TODAY()&gt;$K162,"Atrasado","En ruta"),IF($L162&lt;=$K162,"Sí","No")))</f>
        <v/>
      </c>
      <c r="O162" s="24">
        <f>IF($A162="","",COUNTIFS(NOVEDADES!$D$4:$D$1503,$A162))</f>
        <v/>
      </c>
      <c r="P162" s="28">
        <f>IF($A162="","",IF(COUNTIFS(NOVEDADES!$D$4:$D$1503,$A162,NOVEDADES!$O$4:$O$1503,"SÍ")&gt;0,"No","Sí"))</f>
        <v/>
      </c>
      <c r="Q162" s="28">
        <f>IF(OR($A162="",$L162=""),"",IF(AND($N162="Sí",$P162="Sí"),"OTIF","Falló"))</f>
        <v/>
      </c>
    </row>
    <row r="163" ht="16" customHeight="1">
      <c r="A163" s="48" t="n"/>
      <c r="B163" s="48" t="n"/>
      <c r="C163" s="47" t="n"/>
      <c r="D163" s="50" t="n"/>
      <c r="E163" s="50" t="n"/>
      <c r="F163" s="50" t="n"/>
      <c r="G163" s="50" t="n"/>
      <c r="H163" s="48" t="n"/>
      <c r="I163" s="51" t="n"/>
      <c r="J163" s="52" t="n"/>
      <c r="K163" s="47" t="n"/>
      <c r="L163" s="47" t="n"/>
      <c r="M163" s="24">
        <f>IF(OR($A163="",$C163=""),"",IF($L163&lt;&gt;"",$L163-$C163,TODAY()-$C163))</f>
        <v/>
      </c>
      <c r="N163" s="28">
        <f>IF(OR($A163="",$K163=""),"",IF($L163="",IF(TODAY()&gt;$K163,"Atrasado","En ruta"),IF($L163&lt;=$K163,"Sí","No")))</f>
        <v/>
      </c>
      <c r="O163" s="24">
        <f>IF($A163="","",COUNTIFS(NOVEDADES!$D$4:$D$1503,$A163))</f>
        <v/>
      </c>
      <c r="P163" s="28">
        <f>IF($A163="","",IF(COUNTIFS(NOVEDADES!$D$4:$D$1503,$A163,NOVEDADES!$O$4:$O$1503,"SÍ")&gt;0,"No","Sí"))</f>
        <v/>
      </c>
      <c r="Q163" s="28">
        <f>IF(OR($A163="",$L163=""),"",IF(AND($N163="Sí",$P163="Sí"),"OTIF","Falló"))</f>
        <v/>
      </c>
    </row>
    <row r="164" ht="16" customHeight="1">
      <c r="A164" s="48" t="n"/>
      <c r="B164" s="48" t="n"/>
      <c r="C164" s="47" t="n"/>
      <c r="D164" s="50" t="n"/>
      <c r="E164" s="50" t="n"/>
      <c r="F164" s="50" t="n"/>
      <c r="G164" s="50" t="n"/>
      <c r="H164" s="48" t="n"/>
      <c r="I164" s="51" t="n"/>
      <c r="J164" s="52" t="n"/>
      <c r="K164" s="47" t="n"/>
      <c r="L164" s="47" t="n"/>
      <c r="M164" s="24">
        <f>IF(OR($A164="",$C164=""),"",IF($L164&lt;&gt;"",$L164-$C164,TODAY()-$C164))</f>
        <v/>
      </c>
      <c r="N164" s="28">
        <f>IF(OR($A164="",$K164=""),"",IF($L164="",IF(TODAY()&gt;$K164,"Atrasado","En ruta"),IF($L164&lt;=$K164,"Sí","No")))</f>
        <v/>
      </c>
      <c r="O164" s="24">
        <f>IF($A164="","",COUNTIFS(NOVEDADES!$D$4:$D$1503,$A164))</f>
        <v/>
      </c>
      <c r="P164" s="28">
        <f>IF($A164="","",IF(COUNTIFS(NOVEDADES!$D$4:$D$1503,$A164,NOVEDADES!$O$4:$O$1503,"SÍ")&gt;0,"No","Sí"))</f>
        <v/>
      </c>
      <c r="Q164" s="28">
        <f>IF(OR($A164="",$L164=""),"",IF(AND($N164="Sí",$P164="Sí"),"OTIF","Falló"))</f>
        <v/>
      </c>
    </row>
    <row r="165" ht="16" customHeight="1">
      <c r="A165" s="48" t="n"/>
      <c r="B165" s="48" t="n"/>
      <c r="C165" s="47" t="n"/>
      <c r="D165" s="50" t="n"/>
      <c r="E165" s="50" t="n"/>
      <c r="F165" s="50" t="n"/>
      <c r="G165" s="50" t="n"/>
      <c r="H165" s="48" t="n"/>
      <c r="I165" s="51" t="n"/>
      <c r="J165" s="52" t="n"/>
      <c r="K165" s="47" t="n"/>
      <c r="L165" s="47" t="n"/>
      <c r="M165" s="24">
        <f>IF(OR($A165="",$C165=""),"",IF($L165&lt;&gt;"",$L165-$C165,TODAY()-$C165))</f>
        <v/>
      </c>
      <c r="N165" s="28">
        <f>IF(OR($A165="",$K165=""),"",IF($L165="",IF(TODAY()&gt;$K165,"Atrasado","En ruta"),IF($L165&lt;=$K165,"Sí","No")))</f>
        <v/>
      </c>
      <c r="O165" s="24">
        <f>IF($A165="","",COUNTIFS(NOVEDADES!$D$4:$D$1503,$A165))</f>
        <v/>
      </c>
      <c r="P165" s="28">
        <f>IF($A165="","",IF(COUNTIFS(NOVEDADES!$D$4:$D$1503,$A165,NOVEDADES!$O$4:$O$1503,"SÍ")&gt;0,"No","Sí"))</f>
        <v/>
      </c>
      <c r="Q165" s="28">
        <f>IF(OR($A165="",$L165=""),"",IF(AND($N165="Sí",$P165="Sí"),"OTIF","Falló"))</f>
        <v/>
      </c>
    </row>
    <row r="166" ht="16" customHeight="1">
      <c r="A166" s="48" t="n"/>
      <c r="B166" s="48" t="n"/>
      <c r="C166" s="47" t="n"/>
      <c r="D166" s="50" t="n"/>
      <c r="E166" s="50" t="n"/>
      <c r="F166" s="50" t="n"/>
      <c r="G166" s="50" t="n"/>
      <c r="H166" s="48" t="n"/>
      <c r="I166" s="51" t="n"/>
      <c r="J166" s="52" t="n"/>
      <c r="K166" s="47" t="n"/>
      <c r="L166" s="47" t="n"/>
      <c r="M166" s="24">
        <f>IF(OR($A166="",$C166=""),"",IF($L166&lt;&gt;"",$L166-$C166,TODAY()-$C166))</f>
        <v/>
      </c>
      <c r="N166" s="28">
        <f>IF(OR($A166="",$K166=""),"",IF($L166="",IF(TODAY()&gt;$K166,"Atrasado","En ruta"),IF($L166&lt;=$K166,"Sí","No")))</f>
        <v/>
      </c>
      <c r="O166" s="24">
        <f>IF($A166="","",COUNTIFS(NOVEDADES!$D$4:$D$1503,$A166))</f>
        <v/>
      </c>
      <c r="P166" s="28">
        <f>IF($A166="","",IF(COUNTIFS(NOVEDADES!$D$4:$D$1503,$A166,NOVEDADES!$O$4:$O$1503,"SÍ")&gt;0,"No","Sí"))</f>
        <v/>
      </c>
      <c r="Q166" s="28">
        <f>IF(OR($A166="",$L166=""),"",IF(AND($N166="Sí",$P166="Sí"),"OTIF","Falló"))</f>
        <v/>
      </c>
    </row>
    <row r="167" ht="16" customHeight="1">
      <c r="A167" s="48" t="n"/>
      <c r="B167" s="48" t="n"/>
      <c r="C167" s="47" t="n"/>
      <c r="D167" s="50" t="n"/>
      <c r="E167" s="50" t="n"/>
      <c r="F167" s="50" t="n"/>
      <c r="G167" s="50" t="n"/>
      <c r="H167" s="48" t="n"/>
      <c r="I167" s="51" t="n"/>
      <c r="J167" s="52" t="n"/>
      <c r="K167" s="47" t="n"/>
      <c r="L167" s="47" t="n"/>
      <c r="M167" s="24">
        <f>IF(OR($A167="",$C167=""),"",IF($L167&lt;&gt;"",$L167-$C167,TODAY()-$C167))</f>
        <v/>
      </c>
      <c r="N167" s="28">
        <f>IF(OR($A167="",$K167=""),"",IF($L167="",IF(TODAY()&gt;$K167,"Atrasado","En ruta"),IF($L167&lt;=$K167,"Sí","No")))</f>
        <v/>
      </c>
      <c r="O167" s="24">
        <f>IF($A167="","",COUNTIFS(NOVEDADES!$D$4:$D$1503,$A167))</f>
        <v/>
      </c>
      <c r="P167" s="28">
        <f>IF($A167="","",IF(COUNTIFS(NOVEDADES!$D$4:$D$1503,$A167,NOVEDADES!$O$4:$O$1503,"SÍ")&gt;0,"No","Sí"))</f>
        <v/>
      </c>
      <c r="Q167" s="28">
        <f>IF(OR($A167="",$L167=""),"",IF(AND($N167="Sí",$P167="Sí"),"OTIF","Falló"))</f>
        <v/>
      </c>
    </row>
    <row r="168" ht="16" customHeight="1">
      <c r="A168" s="48" t="n"/>
      <c r="B168" s="48" t="n"/>
      <c r="C168" s="47" t="n"/>
      <c r="D168" s="50" t="n"/>
      <c r="E168" s="50" t="n"/>
      <c r="F168" s="50" t="n"/>
      <c r="G168" s="50" t="n"/>
      <c r="H168" s="48" t="n"/>
      <c r="I168" s="51" t="n"/>
      <c r="J168" s="52" t="n"/>
      <c r="K168" s="47" t="n"/>
      <c r="L168" s="47" t="n"/>
      <c r="M168" s="24">
        <f>IF(OR($A168="",$C168=""),"",IF($L168&lt;&gt;"",$L168-$C168,TODAY()-$C168))</f>
        <v/>
      </c>
      <c r="N168" s="28">
        <f>IF(OR($A168="",$K168=""),"",IF($L168="",IF(TODAY()&gt;$K168,"Atrasado","En ruta"),IF($L168&lt;=$K168,"Sí","No")))</f>
        <v/>
      </c>
      <c r="O168" s="24">
        <f>IF($A168="","",COUNTIFS(NOVEDADES!$D$4:$D$1503,$A168))</f>
        <v/>
      </c>
      <c r="P168" s="28">
        <f>IF($A168="","",IF(COUNTIFS(NOVEDADES!$D$4:$D$1503,$A168,NOVEDADES!$O$4:$O$1503,"SÍ")&gt;0,"No","Sí"))</f>
        <v/>
      </c>
      <c r="Q168" s="28">
        <f>IF(OR($A168="",$L168=""),"",IF(AND($N168="Sí",$P168="Sí"),"OTIF","Falló"))</f>
        <v/>
      </c>
    </row>
    <row r="169" ht="16" customHeight="1">
      <c r="A169" s="48" t="n"/>
      <c r="B169" s="48" t="n"/>
      <c r="C169" s="47" t="n"/>
      <c r="D169" s="50" t="n"/>
      <c r="E169" s="50" t="n"/>
      <c r="F169" s="50" t="n"/>
      <c r="G169" s="50" t="n"/>
      <c r="H169" s="48" t="n"/>
      <c r="I169" s="51" t="n"/>
      <c r="J169" s="52" t="n"/>
      <c r="K169" s="47" t="n"/>
      <c r="L169" s="47" t="n"/>
      <c r="M169" s="24">
        <f>IF(OR($A169="",$C169=""),"",IF($L169&lt;&gt;"",$L169-$C169,TODAY()-$C169))</f>
        <v/>
      </c>
      <c r="N169" s="28">
        <f>IF(OR($A169="",$K169=""),"",IF($L169="",IF(TODAY()&gt;$K169,"Atrasado","En ruta"),IF($L169&lt;=$K169,"Sí","No")))</f>
        <v/>
      </c>
      <c r="O169" s="24">
        <f>IF($A169="","",COUNTIFS(NOVEDADES!$D$4:$D$1503,$A169))</f>
        <v/>
      </c>
      <c r="P169" s="28">
        <f>IF($A169="","",IF(COUNTIFS(NOVEDADES!$D$4:$D$1503,$A169,NOVEDADES!$O$4:$O$1503,"SÍ")&gt;0,"No","Sí"))</f>
        <v/>
      </c>
      <c r="Q169" s="28">
        <f>IF(OR($A169="",$L169=""),"",IF(AND($N169="Sí",$P169="Sí"),"OTIF","Falló"))</f>
        <v/>
      </c>
    </row>
    <row r="170" ht="16" customHeight="1">
      <c r="A170" s="48" t="n"/>
      <c r="B170" s="48" t="n"/>
      <c r="C170" s="47" t="n"/>
      <c r="D170" s="50" t="n"/>
      <c r="E170" s="50" t="n"/>
      <c r="F170" s="50" t="n"/>
      <c r="G170" s="50" t="n"/>
      <c r="H170" s="48" t="n"/>
      <c r="I170" s="51" t="n"/>
      <c r="J170" s="52" t="n"/>
      <c r="K170" s="47" t="n"/>
      <c r="L170" s="47" t="n"/>
      <c r="M170" s="24">
        <f>IF(OR($A170="",$C170=""),"",IF($L170&lt;&gt;"",$L170-$C170,TODAY()-$C170))</f>
        <v/>
      </c>
      <c r="N170" s="28">
        <f>IF(OR($A170="",$K170=""),"",IF($L170="",IF(TODAY()&gt;$K170,"Atrasado","En ruta"),IF($L170&lt;=$K170,"Sí","No")))</f>
        <v/>
      </c>
      <c r="O170" s="24">
        <f>IF($A170="","",COUNTIFS(NOVEDADES!$D$4:$D$1503,$A170))</f>
        <v/>
      </c>
      <c r="P170" s="28">
        <f>IF($A170="","",IF(COUNTIFS(NOVEDADES!$D$4:$D$1503,$A170,NOVEDADES!$O$4:$O$1503,"SÍ")&gt;0,"No","Sí"))</f>
        <v/>
      </c>
      <c r="Q170" s="28">
        <f>IF(OR($A170="",$L170=""),"",IF(AND($N170="Sí",$P170="Sí"),"OTIF","Falló"))</f>
        <v/>
      </c>
    </row>
    <row r="171" ht="16" customHeight="1">
      <c r="A171" s="48" t="n"/>
      <c r="B171" s="48" t="n"/>
      <c r="C171" s="47" t="n"/>
      <c r="D171" s="50" t="n"/>
      <c r="E171" s="50" t="n"/>
      <c r="F171" s="50" t="n"/>
      <c r="G171" s="50" t="n"/>
      <c r="H171" s="48" t="n"/>
      <c r="I171" s="51" t="n"/>
      <c r="J171" s="52" t="n"/>
      <c r="K171" s="47" t="n"/>
      <c r="L171" s="47" t="n"/>
      <c r="M171" s="24">
        <f>IF(OR($A171="",$C171=""),"",IF($L171&lt;&gt;"",$L171-$C171,TODAY()-$C171))</f>
        <v/>
      </c>
      <c r="N171" s="28">
        <f>IF(OR($A171="",$K171=""),"",IF($L171="",IF(TODAY()&gt;$K171,"Atrasado","En ruta"),IF($L171&lt;=$K171,"Sí","No")))</f>
        <v/>
      </c>
      <c r="O171" s="24">
        <f>IF($A171="","",COUNTIFS(NOVEDADES!$D$4:$D$1503,$A171))</f>
        <v/>
      </c>
      <c r="P171" s="28">
        <f>IF($A171="","",IF(COUNTIFS(NOVEDADES!$D$4:$D$1503,$A171,NOVEDADES!$O$4:$O$1503,"SÍ")&gt;0,"No","Sí"))</f>
        <v/>
      </c>
      <c r="Q171" s="28">
        <f>IF(OR($A171="",$L171=""),"",IF(AND($N171="Sí",$P171="Sí"),"OTIF","Falló"))</f>
        <v/>
      </c>
    </row>
    <row r="172" ht="16" customHeight="1">
      <c r="A172" s="48" t="n"/>
      <c r="B172" s="48" t="n"/>
      <c r="C172" s="47" t="n"/>
      <c r="D172" s="50" t="n"/>
      <c r="E172" s="50" t="n"/>
      <c r="F172" s="50" t="n"/>
      <c r="G172" s="50" t="n"/>
      <c r="H172" s="48" t="n"/>
      <c r="I172" s="51" t="n"/>
      <c r="J172" s="52" t="n"/>
      <c r="K172" s="47" t="n"/>
      <c r="L172" s="47" t="n"/>
      <c r="M172" s="24">
        <f>IF(OR($A172="",$C172=""),"",IF($L172&lt;&gt;"",$L172-$C172,TODAY()-$C172))</f>
        <v/>
      </c>
      <c r="N172" s="28">
        <f>IF(OR($A172="",$K172=""),"",IF($L172="",IF(TODAY()&gt;$K172,"Atrasado","En ruta"),IF($L172&lt;=$K172,"Sí","No")))</f>
        <v/>
      </c>
      <c r="O172" s="24">
        <f>IF($A172="","",COUNTIFS(NOVEDADES!$D$4:$D$1503,$A172))</f>
        <v/>
      </c>
      <c r="P172" s="28">
        <f>IF($A172="","",IF(COUNTIFS(NOVEDADES!$D$4:$D$1503,$A172,NOVEDADES!$O$4:$O$1503,"SÍ")&gt;0,"No","Sí"))</f>
        <v/>
      </c>
      <c r="Q172" s="28">
        <f>IF(OR($A172="",$L172=""),"",IF(AND($N172="Sí",$P172="Sí"),"OTIF","Falló"))</f>
        <v/>
      </c>
    </row>
    <row r="173" ht="16" customHeight="1">
      <c r="A173" s="48" t="n"/>
      <c r="B173" s="48" t="n"/>
      <c r="C173" s="47" t="n"/>
      <c r="D173" s="50" t="n"/>
      <c r="E173" s="50" t="n"/>
      <c r="F173" s="50" t="n"/>
      <c r="G173" s="50" t="n"/>
      <c r="H173" s="48" t="n"/>
      <c r="I173" s="51" t="n"/>
      <c r="J173" s="52" t="n"/>
      <c r="K173" s="47" t="n"/>
      <c r="L173" s="47" t="n"/>
      <c r="M173" s="24">
        <f>IF(OR($A173="",$C173=""),"",IF($L173&lt;&gt;"",$L173-$C173,TODAY()-$C173))</f>
        <v/>
      </c>
      <c r="N173" s="28">
        <f>IF(OR($A173="",$K173=""),"",IF($L173="",IF(TODAY()&gt;$K173,"Atrasado","En ruta"),IF($L173&lt;=$K173,"Sí","No")))</f>
        <v/>
      </c>
      <c r="O173" s="24">
        <f>IF($A173="","",COUNTIFS(NOVEDADES!$D$4:$D$1503,$A173))</f>
        <v/>
      </c>
      <c r="P173" s="28">
        <f>IF($A173="","",IF(COUNTIFS(NOVEDADES!$D$4:$D$1503,$A173,NOVEDADES!$O$4:$O$1503,"SÍ")&gt;0,"No","Sí"))</f>
        <v/>
      </c>
      <c r="Q173" s="28">
        <f>IF(OR($A173="",$L173=""),"",IF(AND($N173="Sí",$P173="Sí"),"OTIF","Falló"))</f>
        <v/>
      </c>
    </row>
    <row r="174" ht="16" customHeight="1">
      <c r="A174" s="48" t="n"/>
      <c r="B174" s="48" t="n"/>
      <c r="C174" s="47" t="n"/>
      <c r="D174" s="50" t="n"/>
      <c r="E174" s="50" t="n"/>
      <c r="F174" s="50" t="n"/>
      <c r="G174" s="50" t="n"/>
      <c r="H174" s="48" t="n"/>
      <c r="I174" s="51" t="n"/>
      <c r="J174" s="52" t="n"/>
      <c r="K174" s="47" t="n"/>
      <c r="L174" s="47" t="n"/>
      <c r="M174" s="24">
        <f>IF(OR($A174="",$C174=""),"",IF($L174&lt;&gt;"",$L174-$C174,TODAY()-$C174))</f>
        <v/>
      </c>
      <c r="N174" s="28">
        <f>IF(OR($A174="",$K174=""),"",IF($L174="",IF(TODAY()&gt;$K174,"Atrasado","En ruta"),IF($L174&lt;=$K174,"Sí","No")))</f>
        <v/>
      </c>
      <c r="O174" s="24">
        <f>IF($A174="","",COUNTIFS(NOVEDADES!$D$4:$D$1503,$A174))</f>
        <v/>
      </c>
      <c r="P174" s="28">
        <f>IF($A174="","",IF(COUNTIFS(NOVEDADES!$D$4:$D$1503,$A174,NOVEDADES!$O$4:$O$1503,"SÍ")&gt;0,"No","Sí"))</f>
        <v/>
      </c>
      <c r="Q174" s="28">
        <f>IF(OR($A174="",$L174=""),"",IF(AND($N174="Sí",$P174="Sí"),"OTIF","Falló"))</f>
        <v/>
      </c>
    </row>
    <row r="175" ht="16" customHeight="1">
      <c r="A175" s="48" t="n"/>
      <c r="B175" s="48" t="n"/>
      <c r="C175" s="47" t="n"/>
      <c r="D175" s="50" t="n"/>
      <c r="E175" s="50" t="n"/>
      <c r="F175" s="50" t="n"/>
      <c r="G175" s="50" t="n"/>
      <c r="H175" s="48" t="n"/>
      <c r="I175" s="51" t="n"/>
      <c r="J175" s="52" t="n"/>
      <c r="K175" s="47" t="n"/>
      <c r="L175" s="47" t="n"/>
      <c r="M175" s="24">
        <f>IF(OR($A175="",$C175=""),"",IF($L175&lt;&gt;"",$L175-$C175,TODAY()-$C175))</f>
        <v/>
      </c>
      <c r="N175" s="28">
        <f>IF(OR($A175="",$K175=""),"",IF($L175="",IF(TODAY()&gt;$K175,"Atrasado","En ruta"),IF($L175&lt;=$K175,"Sí","No")))</f>
        <v/>
      </c>
      <c r="O175" s="24">
        <f>IF($A175="","",COUNTIFS(NOVEDADES!$D$4:$D$1503,$A175))</f>
        <v/>
      </c>
      <c r="P175" s="28">
        <f>IF($A175="","",IF(COUNTIFS(NOVEDADES!$D$4:$D$1503,$A175,NOVEDADES!$O$4:$O$1503,"SÍ")&gt;0,"No","Sí"))</f>
        <v/>
      </c>
      <c r="Q175" s="28">
        <f>IF(OR($A175="",$L175=""),"",IF(AND($N175="Sí",$P175="Sí"),"OTIF","Falló"))</f>
        <v/>
      </c>
    </row>
    <row r="176" ht="16" customHeight="1">
      <c r="A176" s="48" t="n"/>
      <c r="B176" s="48" t="n"/>
      <c r="C176" s="47" t="n"/>
      <c r="D176" s="50" t="n"/>
      <c r="E176" s="50" t="n"/>
      <c r="F176" s="50" t="n"/>
      <c r="G176" s="50" t="n"/>
      <c r="H176" s="48" t="n"/>
      <c r="I176" s="51" t="n"/>
      <c r="J176" s="52" t="n"/>
      <c r="K176" s="47" t="n"/>
      <c r="L176" s="47" t="n"/>
      <c r="M176" s="24">
        <f>IF(OR($A176="",$C176=""),"",IF($L176&lt;&gt;"",$L176-$C176,TODAY()-$C176))</f>
        <v/>
      </c>
      <c r="N176" s="28">
        <f>IF(OR($A176="",$K176=""),"",IF($L176="",IF(TODAY()&gt;$K176,"Atrasado","En ruta"),IF($L176&lt;=$K176,"Sí","No")))</f>
        <v/>
      </c>
      <c r="O176" s="24">
        <f>IF($A176="","",COUNTIFS(NOVEDADES!$D$4:$D$1503,$A176))</f>
        <v/>
      </c>
      <c r="P176" s="28">
        <f>IF($A176="","",IF(COUNTIFS(NOVEDADES!$D$4:$D$1503,$A176,NOVEDADES!$O$4:$O$1503,"SÍ")&gt;0,"No","Sí"))</f>
        <v/>
      </c>
      <c r="Q176" s="28">
        <f>IF(OR($A176="",$L176=""),"",IF(AND($N176="Sí",$P176="Sí"),"OTIF","Falló"))</f>
        <v/>
      </c>
    </row>
    <row r="177" ht="16" customHeight="1">
      <c r="A177" s="48" t="n"/>
      <c r="B177" s="48" t="n"/>
      <c r="C177" s="47" t="n"/>
      <c r="D177" s="50" t="n"/>
      <c r="E177" s="50" t="n"/>
      <c r="F177" s="50" t="n"/>
      <c r="G177" s="50" t="n"/>
      <c r="H177" s="48" t="n"/>
      <c r="I177" s="51" t="n"/>
      <c r="J177" s="52" t="n"/>
      <c r="K177" s="47" t="n"/>
      <c r="L177" s="47" t="n"/>
      <c r="M177" s="24">
        <f>IF(OR($A177="",$C177=""),"",IF($L177&lt;&gt;"",$L177-$C177,TODAY()-$C177))</f>
        <v/>
      </c>
      <c r="N177" s="28">
        <f>IF(OR($A177="",$K177=""),"",IF($L177="",IF(TODAY()&gt;$K177,"Atrasado","En ruta"),IF($L177&lt;=$K177,"Sí","No")))</f>
        <v/>
      </c>
      <c r="O177" s="24">
        <f>IF($A177="","",COUNTIFS(NOVEDADES!$D$4:$D$1503,$A177))</f>
        <v/>
      </c>
      <c r="P177" s="28">
        <f>IF($A177="","",IF(COUNTIFS(NOVEDADES!$D$4:$D$1503,$A177,NOVEDADES!$O$4:$O$1503,"SÍ")&gt;0,"No","Sí"))</f>
        <v/>
      </c>
      <c r="Q177" s="28">
        <f>IF(OR($A177="",$L177=""),"",IF(AND($N177="Sí",$P177="Sí"),"OTIF","Falló"))</f>
        <v/>
      </c>
    </row>
    <row r="178" ht="16" customHeight="1">
      <c r="A178" s="48" t="n"/>
      <c r="B178" s="48" t="n"/>
      <c r="C178" s="47" t="n"/>
      <c r="D178" s="50" t="n"/>
      <c r="E178" s="50" t="n"/>
      <c r="F178" s="50" t="n"/>
      <c r="G178" s="50" t="n"/>
      <c r="H178" s="48" t="n"/>
      <c r="I178" s="51" t="n"/>
      <c r="J178" s="52" t="n"/>
      <c r="K178" s="47" t="n"/>
      <c r="L178" s="47" t="n"/>
      <c r="M178" s="24">
        <f>IF(OR($A178="",$C178=""),"",IF($L178&lt;&gt;"",$L178-$C178,TODAY()-$C178))</f>
        <v/>
      </c>
      <c r="N178" s="28">
        <f>IF(OR($A178="",$K178=""),"",IF($L178="",IF(TODAY()&gt;$K178,"Atrasado","En ruta"),IF($L178&lt;=$K178,"Sí","No")))</f>
        <v/>
      </c>
      <c r="O178" s="24">
        <f>IF($A178="","",COUNTIFS(NOVEDADES!$D$4:$D$1503,$A178))</f>
        <v/>
      </c>
      <c r="P178" s="28">
        <f>IF($A178="","",IF(COUNTIFS(NOVEDADES!$D$4:$D$1503,$A178,NOVEDADES!$O$4:$O$1503,"SÍ")&gt;0,"No","Sí"))</f>
        <v/>
      </c>
      <c r="Q178" s="28">
        <f>IF(OR($A178="",$L178=""),"",IF(AND($N178="Sí",$P178="Sí"),"OTIF","Falló"))</f>
        <v/>
      </c>
    </row>
    <row r="179" ht="16" customHeight="1">
      <c r="A179" s="48" t="n"/>
      <c r="B179" s="48" t="n"/>
      <c r="C179" s="47" t="n"/>
      <c r="D179" s="50" t="n"/>
      <c r="E179" s="50" t="n"/>
      <c r="F179" s="50" t="n"/>
      <c r="G179" s="50" t="n"/>
      <c r="H179" s="48" t="n"/>
      <c r="I179" s="51" t="n"/>
      <c r="J179" s="52" t="n"/>
      <c r="K179" s="47" t="n"/>
      <c r="L179" s="47" t="n"/>
      <c r="M179" s="24">
        <f>IF(OR($A179="",$C179=""),"",IF($L179&lt;&gt;"",$L179-$C179,TODAY()-$C179))</f>
        <v/>
      </c>
      <c r="N179" s="28">
        <f>IF(OR($A179="",$K179=""),"",IF($L179="",IF(TODAY()&gt;$K179,"Atrasado","En ruta"),IF($L179&lt;=$K179,"Sí","No")))</f>
        <v/>
      </c>
      <c r="O179" s="24">
        <f>IF($A179="","",COUNTIFS(NOVEDADES!$D$4:$D$1503,$A179))</f>
        <v/>
      </c>
      <c r="P179" s="28">
        <f>IF($A179="","",IF(COUNTIFS(NOVEDADES!$D$4:$D$1503,$A179,NOVEDADES!$O$4:$O$1503,"SÍ")&gt;0,"No","Sí"))</f>
        <v/>
      </c>
      <c r="Q179" s="28">
        <f>IF(OR($A179="",$L179=""),"",IF(AND($N179="Sí",$P179="Sí"),"OTIF","Falló"))</f>
        <v/>
      </c>
    </row>
    <row r="180" ht="16" customHeight="1">
      <c r="A180" s="48" t="n"/>
      <c r="B180" s="48" t="n"/>
      <c r="C180" s="47" t="n"/>
      <c r="D180" s="50" t="n"/>
      <c r="E180" s="50" t="n"/>
      <c r="F180" s="50" t="n"/>
      <c r="G180" s="50" t="n"/>
      <c r="H180" s="48" t="n"/>
      <c r="I180" s="51" t="n"/>
      <c r="J180" s="52" t="n"/>
      <c r="K180" s="47" t="n"/>
      <c r="L180" s="47" t="n"/>
      <c r="M180" s="24">
        <f>IF(OR($A180="",$C180=""),"",IF($L180&lt;&gt;"",$L180-$C180,TODAY()-$C180))</f>
        <v/>
      </c>
      <c r="N180" s="28">
        <f>IF(OR($A180="",$K180=""),"",IF($L180="",IF(TODAY()&gt;$K180,"Atrasado","En ruta"),IF($L180&lt;=$K180,"Sí","No")))</f>
        <v/>
      </c>
      <c r="O180" s="24">
        <f>IF($A180="","",COUNTIFS(NOVEDADES!$D$4:$D$1503,$A180))</f>
        <v/>
      </c>
      <c r="P180" s="28">
        <f>IF($A180="","",IF(COUNTIFS(NOVEDADES!$D$4:$D$1503,$A180,NOVEDADES!$O$4:$O$1503,"SÍ")&gt;0,"No","Sí"))</f>
        <v/>
      </c>
      <c r="Q180" s="28">
        <f>IF(OR($A180="",$L180=""),"",IF(AND($N180="Sí",$P180="Sí"),"OTIF","Falló"))</f>
        <v/>
      </c>
    </row>
    <row r="181" ht="16" customHeight="1">
      <c r="A181" s="48" t="n"/>
      <c r="B181" s="48" t="n"/>
      <c r="C181" s="47" t="n"/>
      <c r="D181" s="50" t="n"/>
      <c r="E181" s="50" t="n"/>
      <c r="F181" s="50" t="n"/>
      <c r="G181" s="50" t="n"/>
      <c r="H181" s="48" t="n"/>
      <c r="I181" s="51" t="n"/>
      <c r="J181" s="52" t="n"/>
      <c r="K181" s="47" t="n"/>
      <c r="L181" s="47" t="n"/>
      <c r="M181" s="24">
        <f>IF(OR($A181="",$C181=""),"",IF($L181&lt;&gt;"",$L181-$C181,TODAY()-$C181))</f>
        <v/>
      </c>
      <c r="N181" s="28">
        <f>IF(OR($A181="",$K181=""),"",IF($L181="",IF(TODAY()&gt;$K181,"Atrasado","En ruta"),IF($L181&lt;=$K181,"Sí","No")))</f>
        <v/>
      </c>
      <c r="O181" s="24">
        <f>IF($A181="","",COUNTIFS(NOVEDADES!$D$4:$D$1503,$A181))</f>
        <v/>
      </c>
      <c r="P181" s="28">
        <f>IF($A181="","",IF(COUNTIFS(NOVEDADES!$D$4:$D$1503,$A181,NOVEDADES!$O$4:$O$1503,"SÍ")&gt;0,"No","Sí"))</f>
        <v/>
      </c>
      <c r="Q181" s="28">
        <f>IF(OR($A181="",$L181=""),"",IF(AND($N181="Sí",$P181="Sí"),"OTIF","Falló"))</f>
        <v/>
      </c>
    </row>
    <row r="182" ht="16" customHeight="1">
      <c r="A182" s="48" t="n"/>
      <c r="B182" s="48" t="n"/>
      <c r="C182" s="47" t="n"/>
      <c r="D182" s="50" t="n"/>
      <c r="E182" s="50" t="n"/>
      <c r="F182" s="50" t="n"/>
      <c r="G182" s="50" t="n"/>
      <c r="H182" s="48" t="n"/>
      <c r="I182" s="51" t="n"/>
      <c r="J182" s="52" t="n"/>
      <c r="K182" s="47" t="n"/>
      <c r="L182" s="47" t="n"/>
      <c r="M182" s="24">
        <f>IF(OR($A182="",$C182=""),"",IF($L182&lt;&gt;"",$L182-$C182,TODAY()-$C182))</f>
        <v/>
      </c>
      <c r="N182" s="28">
        <f>IF(OR($A182="",$K182=""),"",IF($L182="",IF(TODAY()&gt;$K182,"Atrasado","En ruta"),IF($L182&lt;=$K182,"Sí","No")))</f>
        <v/>
      </c>
      <c r="O182" s="24">
        <f>IF($A182="","",COUNTIFS(NOVEDADES!$D$4:$D$1503,$A182))</f>
        <v/>
      </c>
      <c r="P182" s="28">
        <f>IF($A182="","",IF(COUNTIFS(NOVEDADES!$D$4:$D$1503,$A182,NOVEDADES!$O$4:$O$1503,"SÍ")&gt;0,"No","Sí"))</f>
        <v/>
      </c>
      <c r="Q182" s="28">
        <f>IF(OR($A182="",$L182=""),"",IF(AND($N182="Sí",$P182="Sí"),"OTIF","Falló"))</f>
        <v/>
      </c>
    </row>
    <row r="183" ht="16" customHeight="1">
      <c r="A183" s="48" t="n"/>
      <c r="B183" s="48" t="n"/>
      <c r="C183" s="47" t="n"/>
      <c r="D183" s="50" t="n"/>
      <c r="E183" s="50" t="n"/>
      <c r="F183" s="50" t="n"/>
      <c r="G183" s="50" t="n"/>
      <c r="H183" s="48" t="n"/>
      <c r="I183" s="51" t="n"/>
      <c r="J183" s="52" t="n"/>
      <c r="K183" s="47" t="n"/>
      <c r="L183" s="47" t="n"/>
      <c r="M183" s="24">
        <f>IF(OR($A183="",$C183=""),"",IF($L183&lt;&gt;"",$L183-$C183,TODAY()-$C183))</f>
        <v/>
      </c>
      <c r="N183" s="28">
        <f>IF(OR($A183="",$K183=""),"",IF($L183="",IF(TODAY()&gt;$K183,"Atrasado","En ruta"),IF($L183&lt;=$K183,"Sí","No")))</f>
        <v/>
      </c>
      <c r="O183" s="24">
        <f>IF($A183="","",COUNTIFS(NOVEDADES!$D$4:$D$1503,$A183))</f>
        <v/>
      </c>
      <c r="P183" s="28">
        <f>IF($A183="","",IF(COUNTIFS(NOVEDADES!$D$4:$D$1503,$A183,NOVEDADES!$O$4:$O$1503,"SÍ")&gt;0,"No","Sí"))</f>
        <v/>
      </c>
      <c r="Q183" s="28">
        <f>IF(OR($A183="",$L183=""),"",IF(AND($N183="Sí",$P183="Sí"),"OTIF","Falló"))</f>
        <v/>
      </c>
    </row>
    <row r="184" ht="16" customHeight="1">
      <c r="A184" s="48" t="n"/>
      <c r="B184" s="48" t="n"/>
      <c r="C184" s="47" t="n"/>
      <c r="D184" s="50" t="n"/>
      <c r="E184" s="50" t="n"/>
      <c r="F184" s="50" t="n"/>
      <c r="G184" s="50" t="n"/>
      <c r="H184" s="48" t="n"/>
      <c r="I184" s="51" t="n"/>
      <c r="J184" s="52" t="n"/>
      <c r="K184" s="47" t="n"/>
      <c r="L184" s="47" t="n"/>
      <c r="M184" s="24">
        <f>IF(OR($A184="",$C184=""),"",IF($L184&lt;&gt;"",$L184-$C184,TODAY()-$C184))</f>
        <v/>
      </c>
      <c r="N184" s="28">
        <f>IF(OR($A184="",$K184=""),"",IF($L184="",IF(TODAY()&gt;$K184,"Atrasado","En ruta"),IF($L184&lt;=$K184,"Sí","No")))</f>
        <v/>
      </c>
      <c r="O184" s="24">
        <f>IF($A184="","",COUNTIFS(NOVEDADES!$D$4:$D$1503,$A184))</f>
        <v/>
      </c>
      <c r="P184" s="28">
        <f>IF($A184="","",IF(COUNTIFS(NOVEDADES!$D$4:$D$1503,$A184,NOVEDADES!$O$4:$O$1503,"SÍ")&gt;0,"No","Sí"))</f>
        <v/>
      </c>
      <c r="Q184" s="28">
        <f>IF(OR($A184="",$L184=""),"",IF(AND($N184="Sí",$P184="Sí"),"OTIF","Falló"))</f>
        <v/>
      </c>
    </row>
    <row r="185" ht="16" customHeight="1">
      <c r="A185" s="48" t="n"/>
      <c r="B185" s="48" t="n"/>
      <c r="C185" s="47" t="n"/>
      <c r="D185" s="50" t="n"/>
      <c r="E185" s="50" t="n"/>
      <c r="F185" s="50" t="n"/>
      <c r="G185" s="50" t="n"/>
      <c r="H185" s="48" t="n"/>
      <c r="I185" s="51" t="n"/>
      <c r="J185" s="52" t="n"/>
      <c r="K185" s="47" t="n"/>
      <c r="L185" s="47" t="n"/>
      <c r="M185" s="24">
        <f>IF(OR($A185="",$C185=""),"",IF($L185&lt;&gt;"",$L185-$C185,TODAY()-$C185))</f>
        <v/>
      </c>
      <c r="N185" s="28">
        <f>IF(OR($A185="",$K185=""),"",IF($L185="",IF(TODAY()&gt;$K185,"Atrasado","En ruta"),IF($L185&lt;=$K185,"Sí","No")))</f>
        <v/>
      </c>
      <c r="O185" s="24">
        <f>IF($A185="","",COUNTIFS(NOVEDADES!$D$4:$D$1503,$A185))</f>
        <v/>
      </c>
      <c r="P185" s="28">
        <f>IF($A185="","",IF(COUNTIFS(NOVEDADES!$D$4:$D$1503,$A185,NOVEDADES!$O$4:$O$1503,"SÍ")&gt;0,"No","Sí"))</f>
        <v/>
      </c>
      <c r="Q185" s="28">
        <f>IF(OR($A185="",$L185=""),"",IF(AND($N185="Sí",$P185="Sí"),"OTIF","Falló"))</f>
        <v/>
      </c>
    </row>
    <row r="186" ht="16" customHeight="1">
      <c r="A186" s="48" t="n"/>
      <c r="B186" s="48" t="n"/>
      <c r="C186" s="47" t="n"/>
      <c r="D186" s="50" t="n"/>
      <c r="E186" s="50" t="n"/>
      <c r="F186" s="50" t="n"/>
      <c r="G186" s="50" t="n"/>
      <c r="H186" s="48" t="n"/>
      <c r="I186" s="51" t="n"/>
      <c r="J186" s="52" t="n"/>
      <c r="K186" s="47" t="n"/>
      <c r="L186" s="47" t="n"/>
      <c r="M186" s="24">
        <f>IF(OR($A186="",$C186=""),"",IF($L186&lt;&gt;"",$L186-$C186,TODAY()-$C186))</f>
        <v/>
      </c>
      <c r="N186" s="28">
        <f>IF(OR($A186="",$K186=""),"",IF($L186="",IF(TODAY()&gt;$K186,"Atrasado","En ruta"),IF($L186&lt;=$K186,"Sí","No")))</f>
        <v/>
      </c>
      <c r="O186" s="24">
        <f>IF($A186="","",COUNTIFS(NOVEDADES!$D$4:$D$1503,$A186))</f>
        <v/>
      </c>
      <c r="P186" s="28">
        <f>IF($A186="","",IF(COUNTIFS(NOVEDADES!$D$4:$D$1503,$A186,NOVEDADES!$O$4:$O$1503,"SÍ")&gt;0,"No","Sí"))</f>
        <v/>
      </c>
      <c r="Q186" s="28">
        <f>IF(OR($A186="",$L186=""),"",IF(AND($N186="Sí",$P186="Sí"),"OTIF","Falló"))</f>
        <v/>
      </c>
    </row>
    <row r="187" ht="16" customHeight="1">
      <c r="A187" s="48" t="n"/>
      <c r="B187" s="48" t="n"/>
      <c r="C187" s="47" t="n"/>
      <c r="D187" s="50" t="n"/>
      <c r="E187" s="50" t="n"/>
      <c r="F187" s="50" t="n"/>
      <c r="G187" s="50" t="n"/>
      <c r="H187" s="48" t="n"/>
      <c r="I187" s="51" t="n"/>
      <c r="J187" s="52" t="n"/>
      <c r="K187" s="47" t="n"/>
      <c r="L187" s="47" t="n"/>
      <c r="M187" s="24">
        <f>IF(OR($A187="",$C187=""),"",IF($L187&lt;&gt;"",$L187-$C187,TODAY()-$C187))</f>
        <v/>
      </c>
      <c r="N187" s="28">
        <f>IF(OR($A187="",$K187=""),"",IF($L187="",IF(TODAY()&gt;$K187,"Atrasado","En ruta"),IF($L187&lt;=$K187,"Sí","No")))</f>
        <v/>
      </c>
      <c r="O187" s="24">
        <f>IF($A187="","",COUNTIFS(NOVEDADES!$D$4:$D$1503,$A187))</f>
        <v/>
      </c>
      <c r="P187" s="28">
        <f>IF($A187="","",IF(COUNTIFS(NOVEDADES!$D$4:$D$1503,$A187,NOVEDADES!$O$4:$O$1503,"SÍ")&gt;0,"No","Sí"))</f>
        <v/>
      </c>
      <c r="Q187" s="28">
        <f>IF(OR($A187="",$L187=""),"",IF(AND($N187="Sí",$P187="Sí"),"OTIF","Falló"))</f>
        <v/>
      </c>
    </row>
    <row r="188" ht="16" customHeight="1">
      <c r="A188" s="48" t="n"/>
      <c r="B188" s="48" t="n"/>
      <c r="C188" s="47" t="n"/>
      <c r="D188" s="50" t="n"/>
      <c r="E188" s="50" t="n"/>
      <c r="F188" s="50" t="n"/>
      <c r="G188" s="50" t="n"/>
      <c r="H188" s="48" t="n"/>
      <c r="I188" s="51" t="n"/>
      <c r="J188" s="52" t="n"/>
      <c r="K188" s="47" t="n"/>
      <c r="L188" s="47" t="n"/>
      <c r="M188" s="24">
        <f>IF(OR($A188="",$C188=""),"",IF($L188&lt;&gt;"",$L188-$C188,TODAY()-$C188))</f>
        <v/>
      </c>
      <c r="N188" s="28">
        <f>IF(OR($A188="",$K188=""),"",IF($L188="",IF(TODAY()&gt;$K188,"Atrasado","En ruta"),IF($L188&lt;=$K188,"Sí","No")))</f>
        <v/>
      </c>
      <c r="O188" s="24">
        <f>IF($A188="","",COUNTIFS(NOVEDADES!$D$4:$D$1503,$A188))</f>
        <v/>
      </c>
      <c r="P188" s="28">
        <f>IF($A188="","",IF(COUNTIFS(NOVEDADES!$D$4:$D$1503,$A188,NOVEDADES!$O$4:$O$1503,"SÍ")&gt;0,"No","Sí"))</f>
        <v/>
      </c>
      <c r="Q188" s="28">
        <f>IF(OR($A188="",$L188=""),"",IF(AND($N188="Sí",$P188="Sí"),"OTIF","Falló"))</f>
        <v/>
      </c>
    </row>
    <row r="189" ht="16" customHeight="1">
      <c r="A189" s="48" t="n"/>
      <c r="B189" s="48" t="n"/>
      <c r="C189" s="47" t="n"/>
      <c r="D189" s="50" t="n"/>
      <c r="E189" s="50" t="n"/>
      <c r="F189" s="50" t="n"/>
      <c r="G189" s="50" t="n"/>
      <c r="H189" s="48" t="n"/>
      <c r="I189" s="51" t="n"/>
      <c r="J189" s="52" t="n"/>
      <c r="K189" s="47" t="n"/>
      <c r="L189" s="47" t="n"/>
      <c r="M189" s="24">
        <f>IF(OR($A189="",$C189=""),"",IF($L189&lt;&gt;"",$L189-$C189,TODAY()-$C189))</f>
        <v/>
      </c>
      <c r="N189" s="28">
        <f>IF(OR($A189="",$K189=""),"",IF($L189="",IF(TODAY()&gt;$K189,"Atrasado","En ruta"),IF($L189&lt;=$K189,"Sí","No")))</f>
        <v/>
      </c>
      <c r="O189" s="24">
        <f>IF($A189="","",COUNTIFS(NOVEDADES!$D$4:$D$1503,$A189))</f>
        <v/>
      </c>
      <c r="P189" s="28">
        <f>IF($A189="","",IF(COUNTIFS(NOVEDADES!$D$4:$D$1503,$A189,NOVEDADES!$O$4:$O$1503,"SÍ")&gt;0,"No","Sí"))</f>
        <v/>
      </c>
      <c r="Q189" s="28">
        <f>IF(OR($A189="",$L189=""),"",IF(AND($N189="Sí",$P189="Sí"),"OTIF","Falló"))</f>
        <v/>
      </c>
    </row>
    <row r="190" ht="16" customHeight="1">
      <c r="A190" s="48" t="n"/>
      <c r="B190" s="48" t="n"/>
      <c r="C190" s="47" t="n"/>
      <c r="D190" s="50" t="n"/>
      <c r="E190" s="50" t="n"/>
      <c r="F190" s="50" t="n"/>
      <c r="G190" s="50" t="n"/>
      <c r="H190" s="48" t="n"/>
      <c r="I190" s="51" t="n"/>
      <c r="J190" s="52" t="n"/>
      <c r="K190" s="47" t="n"/>
      <c r="L190" s="47" t="n"/>
      <c r="M190" s="24">
        <f>IF(OR($A190="",$C190=""),"",IF($L190&lt;&gt;"",$L190-$C190,TODAY()-$C190))</f>
        <v/>
      </c>
      <c r="N190" s="28">
        <f>IF(OR($A190="",$K190=""),"",IF($L190="",IF(TODAY()&gt;$K190,"Atrasado","En ruta"),IF($L190&lt;=$K190,"Sí","No")))</f>
        <v/>
      </c>
      <c r="O190" s="24">
        <f>IF($A190="","",COUNTIFS(NOVEDADES!$D$4:$D$1503,$A190))</f>
        <v/>
      </c>
      <c r="P190" s="28">
        <f>IF($A190="","",IF(COUNTIFS(NOVEDADES!$D$4:$D$1503,$A190,NOVEDADES!$O$4:$O$1503,"SÍ")&gt;0,"No","Sí"))</f>
        <v/>
      </c>
      <c r="Q190" s="28">
        <f>IF(OR($A190="",$L190=""),"",IF(AND($N190="Sí",$P190="Sí"),"OTIF","Falló"))</f>
        <v/>
      </c>
    </row>
    <row r="191" ht="16" customHeight="1">
      <c r="A191" s="48" t="n"/>
      <c r="B191" s="48" t="n"/>
      <c r="C191" s="47" t="n"/>
      <c r="D191" s="50" t="n"/>
      <c r="E191" s="50" t="n"/>
      <c r="F191" s="50" t="n"/>
      <c r="G191" s="50" t="n"/>
      <c r="H191" s="48" t="n"/>
      <c r="I191" s="51" t="n"/>
      <c r="J191" s="52" t="n"/>
      <c r="K191" s="47" t="n"/>
      <c r="L191" s="47" t="n"/>
      <c r="M191" s="24">
        <f>IF(OR($A191="",$C191=""),"",IF($L191&lt;&gt;"",$L191-$C191,TODAY()-$C191))</f>
        <v/>
      </c>
      <c r="N191" s="28">
        <f>IF(OR($A191="",$K191=""),"",IF($L191="",IF(TODAY()&gt;$K191,"Atrasado","En ruta"),IF($L191&lt;=$K191,"Sí","No")))</f>
        <v/>
      </c>
      <c r="O191" s="24">
        <f>IF($A191="","",COUNTIFS(NOVEDADES!$D$4:$D$1503,$A191))</f>
        <v/>
      </c>
      <c r="P191" s="28">
        <f>IF($A191="","",IF(COUNTIFS(NOVEDADES!$D$4:$D$1503,$A191,NOVEDADES!$O$4:$O$1503,"SÍ")&gt;0,"No","Sí"))</f>
        <v/>
      </c>
      <c r="Q191" s="28">
        <f>IF(OR($A191="",$L191=""),"",IF(AND($N191="Sí",$P191="Sí"),"OTIF","Falló"))</f>
        <v/>
      </c>
    </row>
    <row r="192" ht="16" customHeight="1">
      <c r="A192" s="48" t="n"/>
      <c r="B192" s="48" t="n"/>
      <c r="C192" s="47" t="n"/>
      <c r="D192" s="50" t="n"/>
      <c r="E192" s="50" t="n"/>
      <c r="F192" s="50" t="n"/>
      <c r="G192" s="50" t="n"/>
      <c r="H192" s="48" t="n"/>
      <c r="I192" s="51" t="n"/>
      <c r="J192" s="52" t="n"/>
      <c r="K192" s="47" t="n"/>
      <c r="L192" s="47" t="n"/>
      <c r="M192" s="24">
        <f>IF(OR($A192="",$C192=""),"",IF($L192&lt;&gt;"",$L192-$C192,TODAY()-$C192))</f>
        <v/>
      </c>
      <c r="N192" s="28">
        <f>IF(OR($A192="",$K192=""),"",IF($L192="",IF(TODAY()&gt;$K192,"Atrasado","En ruta"),IF($L192&lt;=$K192,"Sí","No")))</f>
        <v/>
      </c>
      <c r="O192" s="24">
        <f>IF($A192="","",COUNTIFS(NOVEDADES!$D$4:$D$1503,$A192))</f>
        <v/>
      </c>
      <c r="P192" s="28">
        <f>IF($A192="","",IF(COUNTIFS(NOVEDADES!$D$4:$D$1503,$A192,NOVEDADES!$O$4:$O$1503,"SÍ")&gt;0,"No","Sí"))</f>
        <v/>
      </c>
      <c r="Q192" s="28">
        <f>IF(OR($A192="",$L192=""),"",IF(AND($N192="Sí",$P192="Sí"),"OTIF","Falló"))</f>
        <v/>
      </c>
    </row>
    <row r="193" ht="16" customHeight="1">
      <c r="A193" s="48" t="n"/>
      <c r="B193" s="48" t="n"/>
      <c r="C193" s="47" t="n"/>
      <c r="D193" s="50" t="n"/>
      <c r="E193" s="50" t="n"/>
      <c r="F193" s="50" t="n"/>
      <c r="G193" s="50" t="n"/>
      <c r="H193" s="48" t="n"/>
      <c r="I193" s="51" t="n"/>
      <c r="J193" s="52" t="n"/>
      <c r="K193" s="47" t="n"/>
      <c r="L193" s="47" t="n"/>
      <c r="M193" s="24">
        <f>IF(OR($A193="",$C193=""),"",IF($L193&lt;&gt;"",$L193-$C193,TODAY()-$C193))</f>
        <v/>
      </c>
      <c r="N193" s="28">
        <f>IF(OR($A193="",$K193=""),"",IF($L193="",IF(TODAY()&gt;$K193,"Atrasado","En ruta"),IF($L193&lt;=$K193,"Sí","No")))</f>
        <v/>
      </c>
      <c r="O193" s="24">
        <f>IF($A193="","",COUNTIFS(NOVEDADES!$D$4:$D$1503,$A193))</f>
        <v/>
      </c>
      <c r="P193" s="28">
        <f>IF($A193="","",IF(COUNTIFS(NOVEDADES!$D$4:$D$1503,$A193,NOVEDADES!$O$4:$O$1503,"SÍ")&gt;0,"No","Sí"))</f>
        <v/>
      </c>
      <c r="Q193" s="28">
        <f>IF(OR($A193="",$L193=""),"",IF(AND($N193="Sí",$P193="Sí"),"OTIF","Falló"))</f>
        <v/>
      </c>
    </row>
    <row r="194" ht="16" customHeight="1">
      <c r="A194" s="48" t="n"/>
      <c r="B194" s="48" t="n"/>
      <c r="C194" s="47" t="n"/>
      <c r="D194" s="50" t="n"/>
      <c r="E194" s="50" t="n"/>
      <c r="F194" s="50" t="n"/>
      <c r="G194" s="50" t="n"/>
      <c r="H194" s="48" t="n"/>
      <c r="I194" s="51" t="n"/>
      <c r="J194" s="52" t="n"/>
      <c r="K194" s="47" t="n"/>
      <c r="L194" s="47" t="n"/>
      <c r="M194" s="24">
        <f>IF(OR($A194="",$C194=""),"",IF($L194&lt;&gt;"",$L194-$C194,TODAY()-$C194))</f>
        <v/>
      </c>
      <c r="N194" s="28">
        <f>IF(OR($A194="",$K194=""),"",IF($L194="",IF(TODAY()&gt;$K194,"Atrasado","En ruta"),IF($L194&lt;=$K194,"Sí","No")))</f>
        <v/>
      </c>
      <c r="O194" s="24">
        <f>IF($A194="","",COUNTIFS(NOVEDADES!$D$4:$D$1503,$A194))</f>
        <v/>
      </c>
      <c r="P194" s="28">
        <f>IF($A194="","",IF(COUNTIFS(NOVEDADES!$D$4:$D$1503,$A194,NOVEDADES!$O$4:$O$1503,"SÍ")&gt;0,"No","Sí"))</f>
        <v/>
      </c>
      <c r="Q194" s="28">
        <f>IF(OR($A194="",$L194=""),"",IF(AND($N194="Sí",$P194="Sí"),"OTIF","Falló"))</f>
        <v/>
      </c>
    </row>
    <row r="195" ht="16" customHeight="1">
      <c r="A195" s="48" t="n"/>
      <c r="B195" s="48" t="n"/>
      <c r="C195" s="47" t="n"/>
      <c r="D195" s="50" t="n"/>
      <c r="E195" s="50" t="n"/>
      <c r="F195" s="50" t="n"/>
      <c r="G195" s="50" t="n"/>
      <c r="H195" s="48" t="n"/>
      <c r="I195" s="51" t="n"/>
      <c r="J195" s="52" t="n"/>
      <c r="K195" s="47" t="n"/>
      <c r="L195" s="47" t="n"/>
      <c r="M195" s="24">
        <f>IF(OR($A195="",$C195=""),"",IF($L195&lt;&gt;"",$L195-$C195,TODAY()-$C195))</f>
        <v/>
      </c>
      <c r="N195" s="28">
        <f>IF(OR($A195="",$K195=""),"",IF($L195="",IF(TODAY()&gt;$K195,"Atrasado","En ruta"),IF($L195&lt;=$K195,"Sí","No")))</f>
        <v/>
      </c>
      <c r="O195" s="24">
        <f>IF($A195="","",COUNTIFS(NOVEDADES!$D$4:$D$1503,$A195))</f>
        <v/>
      </c>
      <c r="P195" s="28">
        <f>IF($A195="","",IF(COUNTIFS(NOVEDADES!$D$4:$D$1503,$A195,NOVEDADES!$O$4:$O$1503,"SÍ")&gt;0,"No","Sí"))</f>
        <v/>
      </c>
      <c r="Q195" s="28">
        <f>IF(OR($A195="",$L195=""),"",IF(AND($N195="Sí",$P195="Sí"),"OTIF","Falló"))</f>
        <v/>
      </c>
    </row>
    <row r="196" ht="16" customHeight="1">
      <c r="A196" s="48" t="n"/>
      <c r="B196" s="48" t="n"/>
      <c r="C196" s="47" t="n"/>
      <c r="D196" s="50" t="n"/>
      <c r="E196" s="50" t="n"/>
      <c r="F196" s="50" t="n"/>
      <c r="G196" s="50" t="n"/>
      <c r="H196" s="48" t="n"/>
      <c r="I196" s="51" t="n"/>
      <c r="J196" s="52" t="n"/>
      <c r="K196" s="47" t="n"/>
      <c r="L196" s="47" t="n"/>
      <c r="M196" s="24">
        <f>IF(OR($A196="",$C196=""),"",IF($L196&lt;&gt;"",$L196-$C196,TODAY()-$C196))</f>
        <v/>
      </c>
      <c r="N196" s="28">
        <f>IF(OR($A196="",$K196=""),"",IF($L196="",IF(TODAY()&gt;$K196,"Atrasado","En ruta"),IF($L196&lt;=$K196,"Sí","No")))</f>
        <v/>
      </c>
      <c r="O196" s="24">
        <f>IF($A196="","",COUNTIFS(NOVEDADES!$D$4:$D$1503,$A196))</f>
        <v/>
      </c>
      <c r="P196" s="28">
        <f>IF($A196="","",IF(COUNTIFS(NOVEDADES!$D$4:$D$1503,$A196,NOVEDADES!$O$4:$O$1503,"SÍ")&gt;0,"No","Sí"))</f>
        <v/>
      </c>
      <c r="Q196" s="28">
        <f>IF(OR($A196="",$L196=""),"",IF(AND($N196="Sí",$P196="Sí"),"OTIF","Falló"))</f>
        <v/>
      </c>
    </row>
    <row r="197" ht="16" customHeight="1">
      <c r="A197" s="48" t="n"/>
      <c r="B197" s="48" t="n"/>
      <c r="C197" s="47" t="n"/>
      <c r="D197" s="50" t="n"/>
      <c r="E197" s="50" t="n"/>
      <c r="F197" s="50" t="n"/>
      <c r="G197" s="50" t="n"/>
      <c r="H197" s="48" t="n"/>
      <c r="I197" s="51" t="n"/>
      <c r="J197" s="52" t="n"/>
      <c r="K197" s="47" t="n"/>
      <c r="L197" s="47" t="n"/>
      <c r="M197" s="24">
        <f>IF(OR($A197="",$C197=""),"",IF($L197&lt;&gt;"",$L197-$C197,TODAY()-$C197))</f>
        <v/>
      </c>
      <c r="N197" s="28">
        <f>IF(OR($A197="",$K197=""),"",IF($L197="",IF(TODAY()&gt;$K197,"Atrasado","En ruta"),IF($L197&lt;=$K197,"Sí","No")))</f>
        <v/>
      </c>
      <c r="O197" s="24">
        <f>IF($A197="","",COUNTIFS(NOVEDADES!$D$4:$D$1503,$A197))</f>
        <v/>
      </c>
      <c r="P197" s="28">
        <f>IF($A197="","",IF(COUNTIFS(NOVEDADES!$D$4:$D$1503,$A197,NOVEDADES!$O$4:$O$1503,"SÍ")&gt;0,"No","Sí"))</f>
        <v/>
      </c>
      <c r="Q197" s="28">
        <f>IF(OR($A197="",$L197=""),"",IF(AND($N197="Sí",$P197="Sí"),"OTIF","Falló"))</f>
        <v/>
      </c>
    </row>
    <row r="198" ht="16" customHeight="1">
      <c r="A198" s="48" t="n"/>
      <c r="B198" s="48" t="n"/>
      <c r="C198" s="47" t="n"/>
      <c r="D198" s="50" t="n"/>
      <c r="E198" s="50" t="n"/>
      <c r="F198" s="50" t="n"/>
      <c r="G198" s="50" t="n"/>
      <c r="H198" s="48" t="n"/>
      <c r="I198" s="51" t="n"/>
      <c r="J198" s="52" t="n"/>
      <c r="K198" s="47" t="n"/>
      <c r="L198" s="47" t="n"/>
      <c r="M198" s="24">
        <f>IF(OR($A198="",$C198=""),"",IF($L198&lt;&gt;"",$L198-$C198,TODAY()-$C198))</f>
        <v/>
      </c>
      <c r="N198" s="28">
        <f>IF(OR($A198="",$K198=""),"",IF($L198="",IF(TODAY()&gt;$K198,"Atrasado","En ruta"),IF($L198&lt;=$K198,"Sí","No")))</f>
        <v/>
      </c>
      <c r="O198" s="24">
        <f>IF($A198="","",COUNTIFS(NOVEDADES!$D$4:$D$1503,$A198))</f>
        <v/>
      </c>
      <c r="P198" s="28">
        <f>IF($A198="","",IF(COUNTIFS(NOVEDADES!$D$4:$D$1503,$A198,NOVEDADES!$O$4:$O$1503,"SÍ")&gt;0,"No","Sí"))</f>
        <v/>
      </c>
      <c r="Q198" s="28">
        <f>IF(OR($A198="",$L198=""),"",IF(AND($N198="Sí",$P198="Sí"),"OTIF","Falló"))</f>
        <v/>
      </c>
    </row>
    <row r="199" ht="16" customHeight="1">
      <c r="A199" s="48" t="n"/>
      <c r="B199" s="48" t="n"/>
      <c r="C199" s="47" t="n"/>
      <c r="D199" s="50" t="n"/>
      <c r="E199" s="50" t="n"/>
      <c r="F199" s="50" t="n"/>
      <c r="G199" s="50" t="n"/>
      <c r="H199" s="48" t="n"/>
      <c r="I199" s="51" t="n"/>
      <c r="J199" s="52" t="n"/>
      <c r="K199" s="47" t="n"/>
      <c r="L199" s="47" t="n"/>
      <c r="M199" s="24">
        <f>IF(OR($A199="",$C199=""),"",IF($L199&lt;&gt;"",$L199-$C199,TODAY()-$C199))</f>
        <v/>
      </c>
      <c r="N199" s="28">
        <f>IF(OR($A199="",$K199=""),"",IF($L199="",IF(TODAY()&gt;$K199,"Atrasado","En ruta"),IF($L199&lt;=$K199,"Sí","No")))</f>
        <v/>
      </c>
      <c r="O199" s="24">
        <f>IF($A199="","",COUNTIFS(NOVEDADES!$D$4:$D$1503,$A199))</f>
        <v/>
      </c>
      <c r="P199" s="28">
        <f>IF($A199="","",IF(COUNTIFS(NOVEDADES!$D$4:$D$1503,$A199,NOVEDADES!$O$4:$O$1503,"SÍ")&gt;0,"No","Sí"))</f>
        <v/>
      </c>
      <c r="Q199" s="28">
        <f>IF(OR($A199="",$L199=""),"",IF(AND($N199="Sí",$P199="Sí"),"OTIF","Falló"))</f>
        <v/>
      </c>
    </row>
    <row r="200" ht="16" customHeight="1">
      <c r="A200" s="48" t="n"/>
      <c r="B200" s="48" t="n"/>
      <c r="C200" s="47" t="n"/>
      <c r="D200" s="50" t="n"/>
      <c r="E200" s="50" t="n"/>
      <c r="F200" s="50" t="n"/>
      <c r="G200" s="50" t="n"/>
      <c r="H200" s="48" t="n"/>
      <c r="I200" s="51" t="n"/>
      <c r="J200" s="52" t="n"/>
      <c r="K200" s="47" t="n"/>
      <c r="L200" s="47" t="n"/>
      <c r="M200" s="24">
        <f>IF(OR($A200="",$C200=""),"",IF($L200&lt;&gt;"",$L200-$C200,TODAY()-$C200))</f>
        <v/>
      </c>
      <c r="N200" s="28">
        <f>IF(OR($A200="",$K200=""),"",IF($L200="",IF(TODAY()&gt;$K200,"Atrasado","En ruta"),IF($L200&lt;=$K200,"Sí","No")))</f>
        <v/>
      </c>
      <c r="O200" s="24">
        <f>IF($A200="","",COUNTIFS(NOVEDADES!$D$4:$D$1503,$A200))</f>
        <v/>
      </c>
      <c r="P200" s="28">
        <f>IF($A200="","",IF(COUNTIFS(NOVEDADES!$D$4:$D$1503,$A200,NOVEDADES!$O$4:$O$1503,"SÍ")&gt;0,"No","Sí"))</f>
        <v/>
      </c>
      <c r="Q200" s="28">
        <f>IF(OR($A200="",$L200=""),"",IF(AND($N200="Sí",$P200="Sí"),"OTIF","Falló"))</f>
        <v/>
      </c>
    </row>
    <row r="201" ht="16" customHeight="1">
      <c r="A201" s="48" t="n"/>
      <c r="B201" s="48" t="n"/>
      <c r="C201" s="47" t="n"/>
      <c r="D201" s="50" t="n"/>
      <c r="E201" s="50" t="n"/>
      <c r="F201" s="50" t="n"/>
      <c r="G201" s="50" t="n"/>
      <c r="H201" s="48" t="n"/>
      <c r="I201" s="51" t="n"/>
      <c r="J201" s="52" t="n"/>
      <c r="K201" s="47" t="n"/>
      <c r="L201" s="47" t="n"/>
      <c r="M201" s="24">
        <f>IF(OR($A201="",$C201=""),"",IF($L201&lt;&gt;"",$L201-$C201,TODAY()-$C201))</f>
        <v/>
      </c>
      <c r="N201" s="28">
        <f>IF(OR($A201="",$K201=""),"",IF($L201="",IF(TODAY()&gt;$K201,"Atrasado","En ruta"),IF($L201&lt;=$K201,"Sí","No")))</f>
        <v/>
      </c>
      <c r="O201" s="24">
        <f>IF($A201="","",COUNTIFS(NOVEDADES!$D$4:$D$1503,$A201))</f>
        <v/>
      </c>
      <c r="P201" s="28">
        <f>IF($A201="","",IF(COUNTIFS(NOVEDADES!$D$4:$D$1503,$A201,NOVEDADES!$O$4:$O$1503,"SÍ")&gt;0,"No","Sí"))</f>
        <v/>
      </c>
      <c r="Q201" s="28">
        <f>IF(OR($A201="",$L201=""),"",IF(AND($N201="Sí",$P201="Sí"),"OTIF","Falló"))</f>
        <v/>
      </c>
    </row>
    <row r="202" ht="16" customHeight="1">
      <c r="A202" s="48" t="n"/>
      <c r="B202" s="48" t="n"/>
      <c r="C202" s="47" t="n"/>
      <c r="D202" s="50" t="n"/>
      <c r="E202" s="50" t="n"/>
      <c r="F202" s="50" t="n"/>
      <c r="G202" s="50" t="n"/>
      <c r="H202" s="48" t="n"/>
      <c r="I202" s="51" t="n"/>
      <c r="J202" s="52" t="n"/>
      <c r="K202" s="47" t="n"/>
      <c r="L202" s="47" t="n"/>
      <c r="M202" s="24">
        <f>IF(OR($A202="",$C202=""),"",IF($L202&lt;&gt;"",$L202-$C202,TODAY()-$C202))</f>
        <v/>
      </c>
      <c r="N202" s="28">
        <f>IF(OR($A202="",$K202=""),"",IF($L202="",IF(TODAY()&gt;$K202,"Atrasado","En ruta"),IF($L202&lt;=$K202,"Sí","No")))</f>
        <v/>
      </c>
      <c r="O202" s="24">
        <f>IF($A202="","",COUNTIFS(NOVEDADES!$D$4:$D$1503,$A202))</f>
        <v/>
      </c>
      <c r="P202" s="28">
        <f>IF($A202="","",IF(COUNTIFS(NOVEDADES!$D$4:$D$1503,$A202,NOVEDADES!$O$4:$O$1503,"SÍ")&gt;0,"No","Sí"))</f>
        <v/>
      </c>
      <c r="Q202" s="28">
        <f>IF(OR($A202="",$L202=""),"",IF(AND($N202="Sí",$P202="Sí"),"OTIF","Falló"))</f>
        <v/>
      </c>
    </row>
    <row r="203" ht="16" customHeight="1">
      <c r="A203" s="48" t="n"/>
      <c r="B203" s="48" t="n"/>
      <c r="C203" s="47" t="n"/>
      <c r="D203" s="50" t="n"/>
      <c r="E203" s="50" t="n"/>
      <c r="F203" s="50" t="n"/>
      <c r="G203" s="50" t="n"/>
      <c r="H203" s="48" t="n"/>
      <c r="I203" s="51" t="n"/>
      <c r="J203" s="52" t="n"/>
      <c r="K203" s="47" t="n"/>
      <c r="L203" s="47" t="n"/>
      <c r="M203" s="24">
        <f>IF(OR($A203="",$C203=""),"",IF($L203&lt;&gt;"",$L203-$C203,TODAY()-$C203))</f>
        <v/>
      </c>
      <c r="N203" s="28">
        <f>IF(OR($A203="",$K203=""),"",IF($L203="",IF(TODAY()&gt;$K203,"Atrasado","En ruta"),IF($L203&lt;=$K203,"Sí","No")))</f>
        <v/>
      </c>
      <c r="O203" s="24">
        <f>IF($A203="","",COUNTIFS(NOVEDADES!$D$4:$D$1503,$A203))</f>
        <v/>
      </c>
      <c r="P203" s="28">
        <f>IF($A203="","",IF(COUNTIFS(NOVEDADES!$D$4:$D$1503,$A203,NOVEDADES!$O$4:$O$1503,"SÍ")&gt;0,"No","Sí"))</f>
        <v/>
      </c>
      <c r="Q203" s="28">
        <f>IF(OR($A203="",$L203=""),"",IF(AND($N203="Sí",$P203="Sí"),"OTIF","Falló"))</f>
        <v/>
      </c>
    </row>
    <row r="204" ht="16" customHeight="1">
      <c r="A204" s="48" t="n"/>
      <c r="B204" s="48" t="n"/>
      <c r="C204" s="47" t="n"/>
      <c r="D204" s="50" t="n"/>
      <c r="E204" s="50" t="n"/>
      <c r="F204" s="50" t="n"/>
      <c r="G204" s="50" t="n"/>
      <c r="H204" s="48" t="n"/>
      <c r="I204" s="51" t="n"/>
      <c r="J204" s="52" t="n"/>
      <c r="K204" s="47" t="n"/>
      <c r="L204" s="47" t="n"/>
      <c r="M204" s="24">
        <f>IF(OR($A204="",$C204=""),"",IF($L204&lt;&gt;"",$L204-$C204,TODAY()-$C204))</f>
        <v/>
      </c>
      <c r="N204" s="28">
        <f>IF(OR($A204="",$K204=""),"",IF($L204="",IF(TODAY()&gt;$K204,"Atrasado","En ruta"),IF($L204&lt;=$K204,"Sí","No")))</f>
        <v/>
      </c>
      <c r="O204" s="24">
        <f>IF($A204="","",COUNTIFS(NOVEDADES!$D$4:$D$1503,$A204))</f>
        <v/>
      </c>
      <c r="P204" s="28">
        <f>IF($A204="","",IF(COUNTIFS(NOVEDADES!$D$4:$D$1503,$A204,NOVEDADES!$O$4:$O$1503,"SÍ")&gt;0,"No","Sí"))</f>
        <v/>
      </c>
      <c r="Q204" s="28">
        <f>IF(OR($A204="",$L204=""),"",IF(AND($N204="Sí",$P204="Sí"),"OTIF","Falló"))</f>
        <v/>
      </c>
    </row>
    <row r="205" ht="16" customHeight="1">
      <c r="A205" s="48" t="n"/>
      <c r="B205" s="48" t="n"/>
      <c r="C205" s="47" t="n"/>
      <c r="D205" s="50" t="n"/>
      <c r="E205" s="50" t="n"/>
      <c r="F205" s="50" t="n"/>
      <c r="G205" s="50" t="n"/>
      <c r="H205" s="48" t="n"/>
      <c r="I205" s="51" t="n"/>
      <c r="J205" s="52" t="n"/>
      <c r="K205" s="47" t="n"/>
      <c r="L205" s="47" t="n"/>
      <c r="M205" s="24">
        <f>IF(OR($A205="",$C205=""),"",IF($L205&lt;&gt;"",$L205-$C205,TODAY()-$C205))</f>
        <v/>
      </c>
      <c r="N205" s="28">
        <f>IF(OR($A205="",$K205=""),"",IF($L205="",IF(TODAY()&gt;$K205,"Atrasado","En ruta"),IF($L205&lt;=$K205,"Sí","No")))</f>
        <v/>
      </c>
      <c r="O205" s="24">
        <f>IF($A205="","",COUNTIFS(NOVEDADES!$D$4:$D$1503,$A205))</f>
        <v/>
      </c>
      <c r="P205" s="28">
        <f>IF($A205="","",IF(COUNTIFS(NOVEDADES!$D$4:$D$1503,$A205,NOVEDADES!$O$4:$O$1503,"SÍ")&gt;0,"No","Sí"))</f>
        <v/>
      </c>
      <c r="Q205" s="28">
        <f>IF(OR($A205="",$L205=""),"",IF(AND($N205="Sí",$P205="Sí"),"OTIF","Falló"))</f>
        <v/>
      </c>
    </row>
    <row r="206" ht="16" customHeight="1">
      <c r="A206" s="48" t="n"/>
      <c r="B206" s="48" t="n"/>
      <c r="C206" s="47" t="n"/>
      <c r="D206" s="50" t="n"/>
      <c r="E206" s="50" t="n"/>
      <c r="F206" s="50" t="n"/>
      <c r="G206" s="50" t="n"/>
      <c r="H206" s="48" t="n"/>
      <c r="I206" s="51" t="n"/>
      <c r="J206" s="52" t="n"/>
      <c r="K206" s="47" t="n"/>
      <c r="L206" s="47" t="n"/>
      <c r="M206" s="24">
        <f>IF(OR($A206="",$C206=""),"",IF($L206&lt;&gt;"",$L206-$C206,TODAY()-$C206))</f>
        <v/>
      </c>
      <c r="N206" s="28">
        <f>IF(OR($A206="",$K206=""),"",IF($L206="",IF(TODAY()&gt;$K206,"Atrasado","En ruta"),IF($L206&lt;=$K206,"Sí","No")))</f>
        <v/>
      </c>
      <c r="O206" s="24">
        <f>IF($A206="","",COUNTIFS(NOVEDADES!$D$4:$D$1503,$A206))</f>
        <v/>
      </c>
      <c r="P206" s="28">
        <f>IF($A206="","",IF(COUNTIFS(NOVEDADES!$D$4:$D$1503,$A206,NOVEDADES!$O$4:$O$1503,"SÍ")&gt;0,"No","Sí"))</f>
        <v/>
      </c>
      <c r="Q206" s="28">
        <f>IF(OR($A206="",$L206=""),"",IF(AND($N206="Sí",$P206="Sí"),"OTIF","Falló"))</f>
        <v/>
      </c>
    </row>
    <row r="207" ht="16" customHeight="1">
      <c r="A207" s="48" t="n"/>
      <c r="B207" s="48" t="n"/>
      <c r="C207" s="47" t="n"/>
      <c r="D207" s="50" t="n"/>
      <c r="E207" s="50" t="n"/>
      <c r="F207" s="50" t="n"/>
      <c r="G207" s="50" t="n"/>
      <c r="H207" s="48" t="n"/>
      <c r="I207" s="51" t="n"/>
      <c r="J207" s="52" t="n"/>
      <c r="K207" s="47" t="n"/>
      <c r="L207" s="47" t="n"/>
      <c r="M207" s="24">
        <f>IF(OR($A207="",$C207=""),"",IF($L207&lt;&gt;"",$L207-$C207,TODAY()-$C207))</f>
        <v/>
      </c>
      <c r="N207" s="28">
        <f>IF(OR($A207="",$K207=""),"",IF($L207="",IF(TODAY()&gt;$K207,"Atrasado","En ruta"),IF($L207&lt;=$K207,"Sí","No")))</f>
        <v/>
      </c>
      <c r="O207" s="24">
        <f>IF($A207="","",COUNTIFS(NOVEDADES!$D$4:$D$1503,$A207))</f>
        <v/>
      </c>
      <c r="P207" s="28">
        <f>IF($A207="","",IF(COUNTIFS(NOVEDADES!$D$4:$D$1503,$A207,NOVEDADES!$O$4:$O$1503,"SÍ")&gt;0,"No","Sí"))</f>
        <v/>
      </c>
      <c r="Q207" s="28">
        <f>IF(OR($A207="",$L207=""),"",IF(AND($N207="Sí",$P207="Sí"),"OTIF","Falló"))</f>
        <v/>
      </c>
    </row>
    <row r="208" ht="16" customHeight="1">
      <c r="A208" s="48" t="n"/>
      <c r="B208" s="48" t="n"/>
      <c r="C208" s="47" t="n"/>
      <c r="D208" s="50" t="n"/>
      <c r="E208" s="50" t="n"/>
      <c r="F208" s="50" t="n"/>
      <c r="G208" s="50" t="n"/>
      <c r="H208" s="48" t="n"/>
      <c r="I208" s="51" t="n"/>
      <c r="J208" s="52" t="n"/>
      <c r="K208" s="47" t="n"/>
      <c r="L208" s="47" t="n"/>
      <c r="M208" s="24">
        <f>IF(OR($A208="",$C208=""),"",IF($L208&lt;&gt;"",$L208-$C208,TODAY()-$C208))</f>
        <v/>
      </c>
      <c r="N208" s="28">
        <f>IF(OR($A208="",$K208=""),"",IF($L208="",IF(TODAY()&gt;$K208,"Atrasado","En ruta"),IF($L208&lt;=$K208,"Sí","No")))</f>
        <v/>
      </c>
      <c r="O208" s="24">
        <f>IF($A208="","",COUNTIFS(NOVEDADES!$D$4:$D$1503,$A208))</f>
        <v/>
      </c>
      <c r="P208" s="28">
        <f>IF($A208="","",IF(COUNTIFS(NOVEDADES!$D$4:$D$1503,$A208,NOVEDADES!$O$4:$O$1503,"SÍ")&gt;0,"No","Sí"))</f>
        <v/>
      </c>
      <c r="Q208" s="28">
        <f>IF(OR($A208="",$L208=""),"",IF(AND($N208="Sí",$P208="Sí"),"OTIF","Falló"))</f>
        <v/>
      </c>
    </row>
    <row r="209" ht="16" customHeight="1">
      <c r="A209" s="48" t="n"/>
      <c r="B209" s="48" t="n"/>
      <c r="C209" s="47" t="n"/>
      <c r="D209" s="50" t="n"/>
      <c r="E209" s="50" t="n"/>
      <c r="F209" s="50" t="n"/>
      <c r="G209" s="50" t="n"/>
      <c r="H209" s="48" t="n"/>
      <c r="I209" s="51" t="n"/>
      <c r="J209" s="52" t="n"/>
      <c r="K209" s="47" t="n"/>
      <c r="L209" s="47" t="n"/>
      <c r="M209" s="24">
        <f>IF(OR($A209="",$C209=""),"",IF($L209&lt;&gt;"",$L209-$C209,TODAY()-$C209))</f>
        <v/>
      </c>
      <c r="N209" s="28">
        <f>IF(OR($A209="",$K209=""),"",IF($L209="",IF(TODAY()&gt;$K209,"Atrasado","En ruta"),IF($L209&lt;=$K209,"Sí","No")))</f>
        <v/>
      </c>
      <c r="O209" s="24">
        <f>IF($A209="","",COUNTIFS(NOVEDADES!$D$4:$D$1503,$A209))</f>
        <v/>
      </c>
      <c r="P209" s="28">
        <f>IF($A209="","",IF(COUNTIFS(NOVEDADES!$D$4:$D$1503,$A209,NOVEDADES!$O$4:$O$1503,"SÍ")&gt;0,"No","Sí"))</f>
        <v/>
      </c>
      <c r="Q209" s="28">
        <f>IF(OR($A209="",$L209=""),"",IF(AND($N209="Sí",$P209="Sí"),"OTIF","Falló"))</f>
        <v/>
      </c>
    </row>
    <row r="210" ht="16" customHeight="1">
      <c r="A210" s="48" t="n"/>
      <c r="B210" s="48" t="n"/>
      <c r="C210" s="47" t="n"/>
      <c r="D210" s="50" t="n"/>
      <c r="E210" s="50" t="n"/>
      <c r="F210" s="50" t="n"/>
      <c r="G210" s="50" t="n"/>
      <c r="H210" s="48" t="n"/>
      <c r="I210" s="51" t="n"/>
      <c r="J210" s="52" t="n"/>
      <c r="K210" s="47" t="n"/>
      <c r="L210" s="47" t="n"/>
      <c r="M210" s="24">
        <f>IF(OR($A210="",$C210=""),"",IF($L210&lt;&gt;"",$L210-$C210,TODAY()-$C210))</f>
        <v/>
      </c>
      <c r="N210" s="28">
        <f>IF(OR($A210="",$K210=""),"",IF($L210="",IF(TODAY()&gt;$K210,"Atrasado","En ruta"),IF($L210&lt;=$K210,"Sí","No")))</f>
        <v/>
      </c>
      <c r="O210" s="24">
        <f>IF($A210="","",COUNTIFS(NOVEDADES!$D$4:$D$1503,$A210))</f>
        <v/>
      </c>
      <c r="P210" s="28">
        <f>IF($A210="","",IF(COUNTIFS(NOVEDADES!$D$4:$D$1503,$A210,NOVEDADES!$O$4:$O$1503,"SÍ")&gt;0,"No","Sí"))</f>
        <v/>
      </c>
      <c r="Q210" s="28">
        <f>IF(OR($A210="",$L210=""),"",IF(AND($N210="Sí",$P210="Sí"),"OTIF","Falló"))</f>
        <v/>
      </c>
    </row>
    <row r="211" ht="16" customHeight="1">
      <c r="A211" s="48" t="n"/>
      <c r="B211" s="48" t="n"/>
      <c r="C211" s="47" t="n"/>
      <c r="D211" s="50" t="n"/>
      <c r="E211" s="50" t="n"/>
      <c r="F211" s="50" t="n"/>
      <c r="G211" s="50" t="n"/>
      <c r="H211" s="48" t="n"/>
      <c r="I211" s="51" t="n"/>
      <c r="J211" s="52" t="n"/>
      <c r="K211" s="47" t="n"/>
      <c r="L211" s="47" t="n"/>
      <c r="M211" s="24">
        <f>IF(OR($A211="",$C211=""),"",IF($L211&lt;&gt;"",$L211-$C211,TODAY()-$C211))</f>
        <v/>
      </c>
      <c r="N211" s="28">
        <f>IF(OR($A211="",$K211=""),"",IF($L211="",IF(TODAY()&gt;$K211,"Atrasado","En ruta"),IF($L211&lt;=$K211,"Sí","No")))</f>
        <v/>
      </c>
      <c r="O211" s="24">
        <f>IF($A211="","",COUNTIFS(NOVEDADES!$D$4:$D$1503,$A211))</f>
        <v/>
      </c>
      <c r="P211" s="28">
        <f>IF($A211="","",IF(COUNTIFS(NOVEDADES!$D$4:$D$1503,$A211,NOVEDADES!$O$4:$O$1503,"SÍ")&gt;0,"No","Sí"))</f>
        <v/>
      </c>
      <c r="Q211" s="28">
        <f>IF(OR($A211="",$L211=""),"",IF(AND($N211="Sí",$P211="Sí"),"OTIF","Falló"))</f>
        <v/>
      </c>
    </row>
    <row r="212" ht="16" customHeight="1">
      <c r="A212" s="48" t="n"/>
      <c r="B212" s="48" t="n"/>
      <c r="C212" s="47" t="n"/>
      <c r="D212" s="50" t="n"/>
      <c r="E212" s="50" t="n"/>
      <c r="F212" s="50" t="n"/>
      <c r="G212" s="50" t="n"/>
      <c r="H212" s="48" t="n"/>
      <c r="I212" s="51" t="n"/>
      <c r="J212" s="52" t="n"/>
      <c r="K212" s="47" t="n"/>
      <c r="L212" s="47" t="n"/>
      <c r="M212" s="24">
        <f>IF(OR($A212="",$C212=""),"",IF($L212&lt;&gt;"",$L212-$C212,TODAY()-$C212))</f>
        <v/>
      </c>
      <c r="N212" s="28">
        <f>IF(OR($A212="",$K212=""),"",IF($L212="",IF(TODAY()&gt;$K212,"Atrasado","En ruta"),IF($L212&lt;=$K212,"Sí","No")))</f>
        <v/>
      </c>
      <c r="O212" s="24">
        <f>IF($A212="","",COUNTIFS(NOVEDADES!$D$4:$D$1503,$A212))</f>
        <v/>
      </c>
      <c r="P212" s="28">
        <f>IF($A212="","",IF(COUNTIFS(NOVEDADES!$D$4:$D$1503,$A212,NOVEDADES!$O$4:$O$1503,"SÍ")&gt;0,"No","Sí"))</f>
        <v/>
      </c>
      <c r="Q212" s="28">
        <f>IF(OR($A212="",$L212=""),"",IF(AND($N212="Sí",$P212="Sí"),"OTIF","Falló"))</f>
        <v/>
      </c>
    </row>
    <row r="213" ht="16" customHeight="1">
      <c r="A213" s="48" t="n"/>
      <c r="B213" s="48" t="n"/>
      <c r="C213" s="47" t="n"/>
      <c r="D213" s="50" t="n"/>
      <c r="E213" s="50" t="n"/>
      <c r="F213" s="50" t="n"/>
      <c r="G213" s="50" t="n"/>
      <c r="H213" s="48" t="n"/>
      <c r="I213" s="51" t="n"/>
      <c r="J213" s="52" t="n"/>
      <c r="K213" s="47" t="n"/>
      <c r="L213" s="47" t="n"/>
      <c r="M213" s="24">
        <f>IF(OR($A213="",$C213=""),"",IF($L213&lt;&gt;"",$L213-$C213,TODAY()-$C213))</f>
        <v/>
      </c>
      <c r="N213" s="28">
        <f>IF(OR($A213="",$K213=""),"",IF($L213="",IF(TODAY()&gt;$K213,"Atrasado","En ruta"),IF($L213&lt;=$K213,"Sí","No")))</f>
        <v/>
      </c>
      <c r="O213" s="24">
        <f>IF($A213="","",COUNTIFS(NOVEDADES!$D$4:$D$1503,$A213))</f>
        <v/>
      </c>
      <c r="P213" s="28">
        <f>IF($A213="","",IF(COUNTIFS(NOVEDADES!$D$4:$D$1503,$A213,NOVEDADES!$O$4:$O$1503,"SÍ")&gt;0,"No","Sí"))</f>
        <v/>
      </c>
      <c r="Q213" s="28">
        <f>IF(OR($A213="",$L213=""),"",IF(AND($N213="Sí",$P213="Sí"),"OTIF","Falló"))</f>
        <v/>
      </c>
    </row>
    <row r="214" ht="16" customHeight="1">
      <c r="A214" s="48" t="n"/>
      <c r="B214" s="48" t="n"/>
      <c r="C214" s="47" t="n"/>
      <c r="D214" s="50" t="n"/>
      <c r="E214" s="50" t="n"/>
      <c r="F214" s="50" t="n"/>
      <c r="G214" s="50" t="n"/>
      <c r="H214" s="48" t="n"/>
      <c r="I214" s="51" t="n"/>
      <c r="J214" s="52" t="n"/>
      <c r="K214" s="47" t="n"/>
      <c r="L214" s="47" t="n"/>
      <c r="M214" s="24">
        <f>IF(OR($A214="",$C214=""),"",IF($L214&lt;&gt;"",$L214-$C214,TODAY()-$C214))</f>
        <v/>
      </c>
      <c r="N214" s="28">
        <f>IF(OR($A214="",$K214=""),"",IF($L214="",IF(TODAY()&gt;$K214,"Atrasado","En ruta"),IF($L214&lt;=$K214,"Sí","No")))</f>
        <v/>
      </c>
      <c r="O214" s="24">
        <f>IF($A214="","",COUNTIFS(NOVEDADES!$D$4:$D$1503,$A214))</f>
        <v/>
      </c>
      <c r="P214" s="28">
        <f>IF($A214="","",IF(COUNTIFS(NOVEDADES!$D$4:$D$1503,$A214,NOVEDADES!$O$4:$O$1503,"SÍ")&gt;0,"No","Sí"))</f>
        <v/>
      </c>
      <c r="Q214" s="28">
        <f>IF(OR($A214="",$L214=""),"",IF(AND($N214="Sí",$P214="Sí"),"OTIF","Falló"))</f>
        <v/>
      </c>
    </row>
    <row r="215" ht="16" customHeight="1">
      <c r="A215" s="48" t="n"/>
      <c r="B215" s="48" t="n"/>
      <c r="C215" s="47" t="n"/>
      <c r="D215" s="50" t="n"/>
      <c r="E215" s="50" t="n"/>
      <c r="F215" s="50" t="n"/>
      <c r="G215" s="50" t="n"/>
      <c r="H215" s="48" t="n"/>
      <c r="I215" s="51" t="n"/>
      <c r="J215" s="52" t="n"/>
      <c r="K215" s="47" t="n"/>
      <c r="L215" s="47" t="n"/>
      <c r="M215" s="24">
        <f>IF(OR($A215="",$C215=""),"",IF($L215&lt;&gt;"",$L215-$C215,TODAY()-$C215))</f>
        <v/>
      </c>
      <c r="N215" s="28">
        <f>IF(OR($A215="",$K215=""),"",IF($L215="",IF(TODAY()&gt;$K215,"Atrasado","En ruta"),IF($L215&lt;=$K215,"Sí","No")))</f>
        <v/>
      </c>
      <c r="O215" s="24">
        <f>IF($A215="","",COUNTIFS(NOVEDADES!$D$4:$D$1503,$A215))</f>
        <v/>
      </c>
      <c r="P215" s="28">
        <f>IF($A215="","",IF(COUNTIFS(NOVEDADES!$D$4:$D$1503,$A215,NOVEDADES!$O$4:$O$1503,"SÍ")&gt;0,"No","Sí"))</f>
        <v/>
      </c>
      <c r="Q215" s="28">
        <f>IF(OR($A215="",$L215=""),"",IF(AND($N215="Sí",$P215="Sí"),"OTIF","Falló"))</f>
        <v/>
      </c>
    </row>
    <row r="216" ht="16" customHeight="1">
      <c r="A216" s="48" t="n"/>
      <c r="B216" s="48" t="n"/>
      <c r="C216" s="47" t="n"/>
      <c r="D216" s="50" t="n"/>
      <c r="E216" s="50" t="n"/>
      <c r="F216" s="50" t="n"/>
      <c r="G216" s="50" t="n"/>
      <c r="H216" s="48" t="n"/>
      <c r="I216" s="51" t="n"/>
      <c r="J216" s="52" t="n"/>
      <c r="K216" s="47" t="n"/>
      <c r="L216" s="47" t="n"/>
      <c r="M216" s="24">
        <f>IF(OR($A216="",$C216=""),"",IF($L216&lt;&gt;"",$L216-$C216,TODAY()-$C216))</f>
        <v/>
      </c>
      <c r="N216" s="28">
        <f>IF(OR($A216="",$K216=""),"",IF($L216="",IF(TODAY()&gt;$K216,"Atrasado","En ruta"),IF($L216&lt;=$K216,"Sí","No")))</f>
        <v/>
      </c>
      <c r="O216" s="24">
        <f>IF($A216="","",COUNTIFS(NOVEDADES!$D$4:$D$1503,$A216))</f>
        <v/>
      </c>
      <c r="P216" s="28">
        <f>IF($A216="","",IF(COUNTIFS(NOVEDADES!$D$4:$D$1503,$A216,NOVEDADES!$O$4:$O$1503,"SÍ")&gt;0,"No","Sí"))</f>
        <v/>
      </c>
      <c r="Q216" s="28">
        <f>IF(OR($A216="",$L216=""),"",IF(AND($N216="Sí",$P216="Sí"),"OTIF","Falló"))</f>
        <v/>
      </c>
    </row>
    <row r="217" ht="16" customHeight="1">
      <c r="A217" s="48" t="n"/>
      <c r="B217" s="48" t="n"/>
      <c r="C217" s="47" t="n"/>
      <c r="D217" s="50" t="n"/>
      <c r="E217" s="50" t="n"/>
      <c r="F217" s="50" t="n"/>
      <c r="G217" s="50" t="n"/>
      <c r="H217" s="48" t="n"/>
      <c r="I217" s="51" t="n"/>
      <c r="J217" s="52" t="n"/>
      <c r="K217" s="47" t="n"/>
      <c r="L217" s="47" t="n"/>
      <c r="M217" s="24">
        <f>IF(OR($A217="",$C217=""),"",IF($L217&lt;&gt;"",$L217-$C217,TODAY()-$C217))</f>
        <v/>
      </c>
      <c r="N217" s="28">
        <f>IF(OR($A217="",$K217=""),"",IF($L217="",IF(TODAY()&gt;$K217,"Atrasado","En ruta"),IF($L217&lt;=$K217,"Sí","No")))</f>
        <v/>
      </c>
      <c r="O217" s="24">
        <f>IF($A217="","",COUNTIFS(NOVEDADES!$D$4:$D$1503,$A217))</f>
        <v/>
      </c>
      <c r="P217" s="28">
        <f>IF($A217="","",IF(COUNTIFS(NOVEDADES!$D$4:$D$1503,$A217,NOVEDADES!$O$4:$O$1503,"SÍ")&gt;0,"No","Sí"))</f>
        <v/>
      </c>
      <c r="Q217" s="28">
        <f>IF(OR($A217="",$L217=""),"",IF(AND($N217="Sí",$P217="Sí"),"OTIF","Falló"))</f>
        <v/>
      </c>
    </row>
    <row r="218" ht="16" customHeight="1">
      <c r="A218" s="48" t="n"/>
      <c r="B218" s="48" t="n"/>
      <c r="C218" s="47" t="n"/>
      <c r="D218" s="50" t="n"/>
      <c r="E218" s="50" t="n"/>
      <c r="F218" s="50" t="n"/>
      <c r="G218" s="50" t="n"/>
      <c r="H218" s="48" t="n"/>
      <c r="I218" s="51" t="n"/>
      <c r="J218" s="52" t="n"/>
      <c r="K218" s="47" t="n"/>
      <c r="L218" s="47" t="n"/>
      <c r="M218" s="24">
        <f>IF(OR($A218="",$C218=""),"",IF($L218&lt;&gt;"",$L218-$C218,TODAY()-$C218))</f>
        <v/>
      </c>
      <c r="N218" s="28">
        <f>IF(OR($A218="",$K218=""),"",IF($L218="",IF(TODAY()&gt;$K218,"Atrasado","En ruta"),IF($L218&lt;=$K218,"Sí","No")))</f>
        <v/>
      </c>
      <c r="O218" s="24">
        <f>IF($A218="","",COUNTIFS(NOVEDADES!$D$4:$D$1503,$A218))</f>
        <v/>
      </c>
      <c r="P218" s="28">
        <f>IF($A218="","",IF(COUNTIFS(NOVEDADES!$D$4:$D$1503,$A218,NOVEDADES!$O$4:$O$1503,"SÍ")&gt;0,"No","Sí"))</f>
        <v/>
      </c>
      <c r="Q218" s="28">
        <f>IF(OR($A218="",$L218=""),"",IF(AND($N218="Sí",$P218="Sí"),"OTIF","Falló"))</f>
        <v/>
      </c>
    </row>
    <row r="219" ht="16" customHeight="1">
      <c r="A219" s="48" t="n"/>
      <c r="B219" s="48" t="n"/>
      <c r="C219" s="47" t="n"/>
      <c r="D219" s="50" t="n"/>
      <c r="E219" s="50" t="n"/>
      <c r="F219" s="50" t="n"/>
      <c r="G219" s="50" t="n"/>
      <c r="H219" s="48" t="n"/>
      <c r="I219" s="51" t="n"/>
      <c r="J219" s="52" t="n"/>
      <c r="K219" s="47" t="n"/>
      <c r="L219" s="47" t="n"/>
      <c r="M219" s="24">
        <f>IF(OR($A219="",$C219=""),"",IF($L219&lt;&gt;"",$L219-$C219,TODAY()-$C219))</f>
        <v/>
      </c>
      <c r="N219" s="28">
        <f>IF(OR($A219="",$K219=""),"",IF($L219="",IF(TODAY()&gt;$K219,"Atrasado","En ruta"),IF($L219&lt;=$K219,"Sí","No")))</f>
        <v/>
      </c>
      <c r="O219" s="24">
        <f>IF($A219="","",COUNTIFS(NOVEDADES!$D$4:$D$1503,$A219))</f>
        <v/>
      </c>
      <c r="P219" s="28">
        <f>IF($A219="","",IF(COUNTIFS(NOVEDADES!$D$4:$D$1503,$A219,NOVEDADES!$O$4:$O$1503,"SÍ")&gt;0,"No","Sí"))</f>
        <v/>
      </c>
      <c r="Q219" s="28">
        <f>IF(OR($A219="",$L219=""),"",IF(AND($N219="Sí",$P219="Sí"),"OTIF","Falló"))</f>
        <v/>
      </c>
    </row>
    <row r="220" ht="16" customHeight="1">
      <c r="A220" s="48" t="n"/>
      <c r="B220" s="48" t="n"/>
      <c r="C220" s="47" t="n"/>
      <c r="D220" s="50" t="n"/>
      <c r="E220" s="50" t="n"/>
      <c r="F220" s="50" t="n"/>
      <c r="G220" s="50" t="n"/>
      <c r="H220" s="48" t="n"/>
      <c r="I220" s="51" t="n"/>
      <c r="J220" s="52" t="n"/>
      <c r="K220" s="47" t="n"/>
      <c r="L220" s="47" t="n"/>
      <c r="M220" s="24">
        <f>IF(OR($A220="",$C220=""),"",IF($L220&lt;&gt;"",$L220-$C220,TODAY()-$C220))</f>
        <v/>
      </c>
      <c r="N220" s="28">
        <f>IF(OR($A220="",$K220=""),"",IF($L220="",IF(TODAY()&gt;$K220,"Atrasado","En ruta"),IF($L220&lt;=$K220,"Sí","No")))</f>
        <v/>
      </c>
      <c r="O220" s="24">
        <f>IF($A220="","",COUNTIFS(NOVEDADES!$D$4:$D$1503,$A220))</f>
        <v/>
      </c>
      <c r="P220" s="28">
        <f>IF($A220="","",IF(COUNTIFS(NOVEDADES!$D$4:$D$1503,$A220,NOVEDADES!$O$4:$O$1503,"SÍ")&gt;0,"No","Sí"))</f>
        <v/>
      </c>
      <c r="Q220" s="28">
        <f>IF(OR($A220="",$L220=""),"",IF(AND($N220="Sí",$P220="Sí"),"OTIF","Falló"))</f>
        <v/>
      </c>
    </row>
    <row r="221" ht="16" customHeight="1">
      <c r="A221" s="48" t="n"/>
      <c r="B221" s="48" t="n"/>
      <c r="C221" s="47" t="n"/>
      <c r="D221" s="50" t="n"/>
      <c r="E221" s="50" t="n"/>
      <c r="F221" s="50" t="n"/>
      <c r="G221" s="50" t="n"/>
      <c r="H221" s="48" t="n"/>
      <c r="I221" s="51" t="n"/>
      <c r="J221" s="52" t="n"/>
      <c r="K221" s="47" t="n"/>
      <c r="L221" s="47" t="n"/>
      <c r="M221" s="24">
        <f>IF(OR($A221="",$C221=""),"",IF($L221&lt;&gt;"",$L221-$C221,TODAY()-$C221))</f>
        <v/>
      </c>
      <c r="N221" s="28">
        <f>IF(OR($A221="",$K221=""),"",IF($L221="",IF(TODAY()&gt;$K221,"Atrasado","En ruta"),IF($L221&lt;=$K221,"Sí","No")))</f>
        <v/>
      </c>
      <c r="O221" s="24">
        <f>IF($A221="","",COUNTIFS(NOVEDADES!$D$4:$D$1503,$A221))</f>
        <v/>
      </c>
      <c r="P221" s="28">
        <f>IF($A221="","",IF(COUNTIFS(NOVEDADES!$D$4:$D$1503,$A221,NOVEDADES!$O$4:$O$1503,"SÍ")&gt;0,"No","Sí"))</f>
        <v/>
      </c>
      <c r="Q221" s="28">
        <f>IF(OR($A221="",$L221=""),"",IF(AND($N221="Sí",$P221="Sí"),"OTIF","Falló"))</f>
        <v/>
      </c>
    </row>
    <row r="222" ht="16" customHeight="1">
      <c r="A222" s="48" t="n"/>
      <c r="B222" s="48" t="n"/>
      <c r="C222" s="47" t="n"/>
      <c r="D222" s="50" t="n"/>
      <c r="E222" s="50" t="n"/>
      <c r="F222" s="50" t="n"/>
      <c r="G222" s="50" t="n"/>
      <c r="H222" s="48" t="n"/>
      <c r="I222" s="51" t="n"/>
      <c r="J222" s="52" t="n"/>
      <c r="K222" s="47" t="n"/>
      <c r="L222" s="47" t="n"/>
      <c r="M222" s="24">
        <f>IF(OR($A222="",$C222=""),"",IF($L222&lt;&gt;"",$L222-$C222,TODAY()-$C222))</f>
        <v/>
      </c>
      <c r="N222" s="28">
        <f>IF(OR($A222="",$K222=""),"",IF($L222="",IF(TODAY()&gt;$K222,"Atrasado","En ruta"),IF($L222&lt;=$K222,"Sí","No")))</f>
        <v/>
      </c>
      <c r="O222" s="24">
        <f>IF($A222="","",COUNTIFS(NOVEDADES!$D$4:$D$1503,$A222))</f>
        <v/>
      </c>
      <c r="P222" s="28">
        <f>IF($A222="","",IF(COUNTIFS(NOVEDADES!$D$4:$D$1503,$A222,NOVEDADES!$O$4:$O$1503,"SÍ")&gt;0,"No","Sí"))</f>
        <v/>
      </c>
      <c r="Q222" s="28">
        <f>IF(OR($A222="",$L222=""),"",IF(AND($N222="Sí",$P222="Sí"),"OTIF","Falló"))</f>
        <v/>
      </c>
    </row>
    <row r="223" ht="16" customHeight="1">
      <c r="A223" s="48" t="n"/>
      <c r="B223" s="48" t="n"/>
      <c r="C223" s="47" t="n"/>
      <c r="D223" s="50" t="n"/>
      <c r="E223" s="50" t="n"/>
      <c r="F223" s="50" t="n"/>
      <c r="G223" s="50" t="n"/>
      <c r="H223" s="48" t="n"/>
      <c r="I223" s="51" t="n"/>
      <c r="J223" s="52" t="n"/>
      <c r="K223" s="47" t="n"/>
      <c r="L223" s="47" t="n"/>
      <c r="M223" s="24">
        <f>IF(OR($A223="",$C223=""),"",IF($L223&lt;&gt;"",$L223-$C223,TODAY()-$C223))</f>
        <v/>
      </c>
      <c r="N223" s="28">
        <f>IF(OR($A223="",$K223=""),"",IF($L223="",IF(TODAY()&gt;$K223,"Atrasado","En ruta"),IF($L223&lt;=$K223,"Sí","No")))</f>
        <v/>
      </c>
      <c r="O223" s="24">
        <f>IF($A223="","",COUNTIFS(NOVEDADES!$D$4:$D$1503,$A223))</f>
        <v/>
      </c>
      <c r="P223" s="28">
        <f>IF($A223="","",IF(COUNTIFS(NOVEDADES!$D$4:$D$1503,$A223,NOVEDADES!$O$4:$O$1503,"SÍ")&gt;0,"No","Sí"))</f>
        <v/>
      </c>
      <c r="Q223" s="28">
        <f>IF(OR($A223="",$L223=""),"",IF(AND($N223="Sí",$P223="Sí"),"OTIF","Falló"))</f>
        <v/>
      </c>
    </row>
    <row r="224" ht="16" customHeight="1">
      <c r="A224" s="48" t="n"/>
      <c r="B224" s="48" t="n"/>
      <c r="C224" s="47" t="n"/>
      <c r="D224" s="50" t="n"/>
      <c r="E224" s="50" t="n"/>
      <c r="F224" s="50" t="n"/>
      <c r="G224" s="50" t="n"/>
      <c r="H224" s="48" t="n"/>
      <c r="I224" s="51" t="n"/>
      <c r="J224" s="52" t="n"/>
      <c r="K224" s="47" t="n"/>
      <c r="L224" s="47" t="n"/>
      <c r="M224" s="24">
        <f>IF(OR($A224="",$C224=""),"",IF($L224&lt;&gt;"",$L224-$C224,TODAY()-$C224))</f>
        <v/>
      </c>
      <c r="N224" s="28">
        <f>IF(OR($A224="",$K224=""),"",IF($L224="",IF(TODAY()&gt;$K224,"Atrasado","En ruta"),IF($L224&lt;=$K224,"Sí","No")))</f>
        <v/>
      </c>
      <c r="O224" s="24">
        <f>IF($A224="","",COUNTIFS(NOVEDADES!$D$4:$D$1503,$A224))</f>
        <v/>
      </c>
      <c r="P224" s="28">
        <f>IF($A224="","",IF(COUNTIFS(NOVEDADES!$D$4:$D$1503,$A224,NOVEDADES!$O$4:$O$1503,"SÍ")&gt;0,"No","Sí"))</f>
        <v/>
      </c>
      <c r="Q224" s="28">
        <f>IF(OR($A224="",$L224=""),"",IF(AND($N224="Sí",$P224="Sí"),"OTIF","Falló"))</f>
        <v/>
      </c>
    </row>
    <row r="225" ht="16" customHeight="1">
      <c r="A225" s="48" t="n"/>
      <c r="B225" s="48" t="n"/>
      <c r="C225" s="47" t="n"/>
      <c r="D225" s="50" t="n"/>
      <c r="E225" s="50" t="n"/>
      <c r="F225" s="50" t="n"/>
      <c r="G225" s="50" t="n"/>
      <c r="H225" s="48" t="n"/>
      <c r="I225" s="51" t="n"/>
      <c r="J225" s="52" t="n"/>
      <c r="K225" s="47" t="n"/>
      <c r="L225" s="47" t="n"/>
      <c r="M225" s="24">
        <f>IF(OR($A225="",$C225=""),"",IF($L225&lt;&gt;"",$L225-$C225,TODAY()-$C225))</f>
        <v/>
      </c>
      <c r="N225" s="28">
        <f>IF(OR($A225="",$K225=""),"",IF($L225="",IF(TODAY()&gt;$K225,"Atrasado","En ruta"),IF($L225&lt;=$K225,"Sí","No")))</f>
        <v/>
      </c>
      <c r="O225" s="24">
        <f>IF($A225="","",COUNTIFS(NOVEDADES!$D$4:$D$1503,$A225))</f>
        <v/>
      </c>
      <c r="P225" s="28">
        <f>IF($A225="","",IF(COUNTIFS(NOVEDADES!$D$4:$D$1503,$A225,NOVEDADES!$O$4:$O$1503,"SÍ")&gt;0,"No","Sí"))</f>
        <v/>
      </c>
      <c r="Q225" s="28">
        <f>IF(OR($A225="",$L225=""),"",IF(AND($N225="Sí",$P225="Sí"),"OTIF","Falló"))</f>
        <v/>
      </c>
    </row>
    <row r="226" ht="16" customHeight="1">
      <c r="A226" s="48" t="n"/>
      <c r="B226" s="48" t="n"/>
      <c r="C226" s="47" t="n"/>
      <c r="D226" s="50" t="n"/>
      <c r="E226" s="50" t="n"/>
      <c r="F226" s="50" t="n"/>
      <c r="G226" s="50" t="n"/>
      <c r="H226" s="48" t="n"/>
      <c r="I226" s="51" t="n"/>
      <c r="J226" s="52" t="n"/>
      <c r="K226" s="47" t="n"/>
      <c r="L226" s="47" t="n"/>
      <c r="M226" s="24">
        <f>IF(OR($A226="",$C226=""),"",IF($L226&lt;&gt;"",$L226-$C226,TODAY()-$C226))</f>
        <v/>
      </c>
      <c r="N226" s="28">
        <f>IF(OR($A226="",$K226=""),"",IF($L226="",IF(TODAY()&gt;$K226,"Atrasado","En ruta"),IF($L226&lt;=$K226,"Sí","No")))</f>
        <v/>
      </c>
      <c r="O226" s="24">
        <f>IF($A226="","",COUNTIFS(NOVEDADES!$D$4:$D$1503,$A226))</f>
        <v/>
      </c>
      <c r="P226" s="28">
        <f>IF($A226="","",IF(COUNTIFS(NOVEDADES!$D$4:$D$1503,$A226,NOVEDADES!$O$4:$O$1503,"SÍ")&gt;0,"No","Sí"))</f>
        <v/>
      </c>
      <c r="Q226" s="28">
        <f>IF(OR($A226="",$L226=""),"",IF(AND($N226="Sí",$P226="Sí"),"OTIF","Falló"))</f>
        <v/>
      </c>
    </row>
    <row r="227" ht="16" customHeight="1">
      <c r="A227" s="48" t="n"/>
      <c r="B227" s="48" t="n"/>
      <c r="C227" s="47" t="n"/>
      <c r="D227" s="50" t="n"/>
      <c r="E227" s="50" t="n"/>
      <c r="F227" s="50" t="n"/>
      <c r="G227" s="50" t="n"/>
      <c r="H227" s="48" t="n"/>
      <c r="I227" s="51" t="n"/>
      <c r="J227" s="52" t="n"/>
      <c r="K227" s="47" t="n"/>
      <c r="L227" s="47" t="n"/>
      <c r="M227" s="24">
        <f>IF(OR($A227="",$C227=""),"",IF($L227&lt;&gt;"",$L227-$C227,TODAY()-$C227))</f>
        <v/>
      </c>
      <c r="N227" s="28">
        <f>IF(OR($A227="",$K227=""),"",IF($L227="",IF(TODAY()&gt;$K227,"Atrasado","En ruta"),IF($L227&lt;=$K227,"Sí","No")))</f>
        <v/>
      </c>
      <c r="O227" s="24">
        <f>IF($A227="","",COUNTIFS(NOVEDADES!$D$4:$D$1503,$A227))</f>
        <v/>
      </c>
      <c r="P227" s="28">
        <f>IF($A227="","",IF(COUNTIFS(NOVEDADES!$D$4:$D$1503,$A227,NOVEDADES!$O$4:$O$1503,"SÍ")&gt;0,"No","Sí"))</f>
        <v/>
      </c>
      <c r="Q227" s="28">
        <f>IF(OR($A227="",$L227=""),"",IF(AND($N227="Sí",$P227="Sí"),"OTIF","Falló"))</f>
        <v/>
      </c>
    </row>
    <row r="228" ht="16" customHeight="1">
      <c r="A228" s="48" t="n"/>
      <c r="B228" s="48" t="n"/>
      <c r="C228" s="47" t="n"/>
      <c r="D228" s="50" t="n"/>
      <c r="E228" s="50" t="n"/>
      <c r="F228" s="50" t="n"/>
      <c r="G228" s="50" t="n"/>
      <c r="H228" s="48" t="n"/>
      <c r="I228" s="51" t="n"/>
      <c r="J228" s="52" t="n"/>
      <c r="K228" s="47" t="n"/>
      <c r="L228" s="47" t="n"/>
      <c r="M228" s="24">
        <f>IF(OR($A228="",$C228=""),"",IF($L228&lt;&gt;"",$L228-$C228,TODAY()-$C228))</f>
        <v/>
      </c>
      <c r="N228" s="28">
        <f>IF(OR($A228="",$K228=""),"",IF($L228="",IF(TODAY()&gt;$K228,"Atrasado","En ruta"),IF($L228&lt;=$K228,"Sí","No")))</f>
        <v/>
      </c>
      <c r="O228" s="24">
        <f>IF($A228="","",COUNTIFS(NOVEDADES!$D$4:$D$1503,$A228))</f>
        <v/>
      </c>
      <c r="P228" s="28">
        <f>IF($A228="","",IF(COUNTIFS(NOVEDADES!$D$4:$D$1503,$A228,NOVEDADES!$O$4:$O$1503,"SÍ")&gt;0,"No","Sí"))</f>
        <v/>
      </c>
      <c r="Q228" s="28">
        <f>IF(OR($A228="",$L228=""),"",IF(AND($N228="Sí",$P228="Sí"),"OTIF","Falló"))</f>
        <v/>
      </c>
    </row>
    <row r="229" ht="16" customHeight="1">
      <c r="A229" s="48" t="n"/>
      <c r="B229" s="48" t="n"/>
      <c r="C229" s="47" t="n"/>
      <c r="D229" s="50" t="n"/>
      <c r="E229" s="50" t="n"/>
      <c r="F229" s="50" t="n"/>
      <c r="G229" s="50" t="n"/>
      <c r="H229" s="48" t="n"/>
      <c r="I229" s="51" t="n"/>
      <c r="J229" s="52" t="n"/>
      <c r="K229" s="47" t="n"/>
      <c r="L229" s="47" t="n"/>
      <c r="M229" s="24">
        <f>IF(OR($A229="",$C229=""),"",IF($L229&lt;&gt;"",$L229-$C229,TODAY()-$C229))</f>
        <v/>
      </c>
      <c r="N229" s="28">
        <f>IF(OR($A229="",$K229=""),"",IF($L229="",IF(TODAY()&gt;$K229,"Atrasado","En ruta"),IF($L229&lt;=$K229,"Sí","No")))</f>
        <v/>
      </c>
      <c r="O229" s="24">
        <f>IF($A229="","",COUNTIFS(NOVEDADES!$D$4:$D$1503,$A229))</f>
        <v/>
      </c>
      <c r="P229" s="28">
        <f>IF($A229="","",IF(COUNTIFS(NOVEDADES!$D$4:$D$1503,$A229,NOVEDADES!$O$4:$O$1503,"SÍ")&gt;0,"No","Sí"))</f>
        <v/>
      </c>
      <c r="Q229" s="28">
        <f>IF(OR($A229="",$L229=""),"",IF(AND($N229="Sí",$P229="Sí"),"OTIF","Falló"))</f>
        <v/>
      </c>
    </row>
    <row r="230" ht="16" customHeight="1">
      <c r="A230" s="48" t="n"/>
      <c r="B230" s="48" t="n"/>
      <c r="C230" s="47" t="n"/>
      <c r="D230" s="50" t="n"/>
      <c r="E230" s="50" t="n"/>
      <c r="F230" s="50" t="n"/>
      <c r="G230" s="50" t="n"/>
      <c r="H230" s="48" t="n"/>
      <c r="I230" s="51" t="n"/>
      <c r="J230" s="52" t="n"/>
      <c r="K230" s="47" t="n"/>
      <c r="L230" s="47" t="n"/>
      <c r="M230" s="24">
        <f>IF(OR($A230="",$C230=""),"",IF($L230&lt;&gt;"",$L230-$C230,TODAY()-$C230))</f>
        <v/>
      </c>
      <c r="N230" s="28">
        <f>IF(OR($A230="",$K230=""),"",IF($L230="",IF(TODAY()&gt;$K230,"Atrasado","En ruta"),IF($L230&lt;=$K230,"Sí","No")))</f>
        <v/>
      </c>
      <c r="O230" s="24">
        <f>IF($A230="","",COUNTIFS(NOVEDADES!$D$4:$D$1503,$A230))</f>
        <v/>
      </c>
      <c r="P230" s="28">
        <f>IF($A230="","",IF(COUNTIFS(NOVEDADES!$D$4:$D$1503,$A230,NOVEDADES!$O$4:$O$1503,"SÍ")&gt;0,"No","Sí"))</f>
        <v/>
      </c>
      <c r="Q230" s="28">
        <f>IF(OR($A230="",$L230=""),"",IF(AND($N230="Sí",$P230="Sí"),"OTIF","Falló"))</f>
        <v/>
      </c>
    </row>
    <row r="231" ht="16" customHeight="1">
      <c r="A231" s="48" t="n"/>
      <c r="B231" s="48" t="n"/>
      <c r="C231" s="47" t="n"/>
      <c r="D231" s="50" t="n"/>
      <c r="E231" s="50" t="n"/>
      <c r="F231" s="50" t="n"/>
      <c r="G231" s="50" t="n"/>
      <c r="H231" s="48" t="n"/>
      <c r="I231" s="51" t="n"/>
      <c r="J231" s="52" t="n"/>
      <c r="K231" s="47" t="n"/>
      <c r="L231" s="47" t="n"/>
      <c r="M231" s="24">
        <f>IF(OR($A231="",$C231=""),"",IF($L231&lt;&gt;"",$L231-$C231,TODAY()-$C231))</f>
        <v/>
      </c>
      <c r="N231" s="28">
        <f>IF(OR($A231="",$K231=""),"",IF($L231="",IF(TODAY()&gt;$K231,"Atrasado","En ruta"),IF($L231&lt;=$K231,"Sí","No")))</f>
        <v/>
      </c>
      <c r="O231" s="24">
        <f>IF($A231="","",COUNTIFS(NOVEDADES!$D$4:$D$1503,$A231))</f>
        <v/>
      </c>
      <c r="P231" s="28">
        <f>IF($A231="","",IF(COUNTIFS(NOVEDADES!$D$4:$D$1503,$A231,NOVEDADES!$O$4:$O$1503,"SÍ")&gt;0,"No","Sí"))</f>
        <v/>
      </c>
      <c r="Q231" s="28">
        <f>IF(OR($A231="",$L231=""),"",IF(AND($N231="Sí",$P231="Sí"),"OTIF","Falló"))</f>
        <v/>
      </c>
    </row>
    <row r="232" ht="16" customHeight="1">
      <c r="A232" s="48" t="n"/>
      <c r="B232" s="48" t="n"/>
      <c r="C232" s="47" t="n"/>
      <c r="D232" s="50" t="n"/>
      <c r="E232" s="50" t="n"/>
      <c r="F232" s="50" t="n"/>
      <c r="G232" s="50" t="n"/>
      <c r="H232" s="48" t="n"/>
      <c r="I232" s="51" t="n"/>
      <c r="J232" s="52" t="n"/>
      <c r="K232" s="47" t="n"/>
      <c r="L232" s="47" t="n"/>
      <c r="M232" s="24">
        <f>IF(OR($A232="",$C232=""),"",IF($L232&lt;&gt;"",$L232-$C232,TODAY()-$C232))</f>
        <v/>
      </c>
      <c r="N232" s="28">
        <f>IF(OR($A232="",$K232=""),"",IF($L232="",IF(TODAY()&gt;$K232,"Atrasado","En ruta"),IF($L232&lt;=$K232,"Sí","No")))</f>
        <v/>
      </c>
      <c r="O232" s="24">
        <f>IF($A232="","",COUNTIFS(NOVEDADES!$D$4:$D$1503,$A232))</f>
        <v/>
      </c>
      <c r="P232" s="28">
        <f>IF($A232="","",IF(COUNTIFS(NOVEDADES!$D$4:$D$1503,$A232,NOVEDADES!$O$4:$O$1503,"SÍ")&gt;0,"No","Sí"))</f>
        <v/>
      </c>
      <c r="Q232" s="28">
        <f>IF(OR($A232="",$L232=""),"",IF(AND($N232="Sí",$P232="Sí"),"OTIF","Falló"))</f>
        <v/>
      </c>
    </row>
    <row r="233" ht="16" customHeight="1">
      <c r="A233" s="48" t="n"/>
      <c r="B233" s="48" t="n"/>
      <c r="C233" s="47" t="n"/>
      <c r="D233" s="50" t="n"/>
      <c r="E233" s="50" t="n"/>
      <c r="F233" s="50" t="n"/>
      <c r="G233" s="50" t="n"/>
      <c r="H233" s="48" t="n"/>
      <c r="I233" s="51" t="n"/>
      <c r="J233" s="52" t="n"/>
      <c r="K233" s="47" t="n"/>
      <c r="L233" s="47" t="n"/>
      <c r="M233" s="24">
        <f>IF(OR($A233="",$C233=""),"",IF($L233&lt;&gt;"",$L233-$C233,TODAY()-$C233))</f>
        <v/>
      </c>
      <c r="N233" s="28">
        <f>IF(OR($A233="",$K233=""),"",IF($L233="",IF(TODAY()&gt;$K233,"Atrasado","En ruta"),IF($L233&lt;=$K233,"Sí","No")))</f>
        <v/>
      </c>
      <c r="O233" s="24">
        <f>IF($A233="","",COUNTIFS(NOVEDADES!$D$4:$D$1503,$A233))</f>
        <v/>
      </c>
      <c r="P233" s="28">
        <f>IF($A233="","",IF(COUNTIFS(NOVEDADES!$D$4:$D$1503,$A233,NOVEDADES!$O$4:$O$1503,"SÍ")&gt;0,"No","Sí"))</f>
        <v/>
      </c>
      <c r="Q233" s="28">
        <f>IF(OR($A233="",$L233=""),"",IF(AND($N233="Sí",$P233="Sí"),"OTIF","Falló"))</f>
        <v/>
      </c>
    </row>
    <row r="234" ht="16" customHeight="1">
      <c r="A234" s="48" t="n"/>
      <c r="B234" s="48" t="n"/>
      <c r="C234" s="47" t="n"/>
      <c r="D234" s="50" t="n"/>
      <c r="E234" s="50" t="n"/>
      <c r="F234" s="50" t="n"/>
      <c r="G234" s="50" t="n"/>
      <c r="H234" s="48" t="n"/>
      <c r="I234" s="51" t="n"/>
      <c r="J234" s="52" t="n"/>
      <c r="K234" s="47" t="n"/>
      <c r="L234" s="47" t="n"/>
      <c r="M234" s="24">
        <f>IF(OR($A234="",$C234=""),"",IF($L234&lt;&gt;"",$L234-$C234,TODAY()-$C234))</f>
        <v/>
      </c>
      <c r="N234" s="28">
        <f>IF(OR($A234="",$K234=""),"",IF($L234="",IF(TODAY()&gt;$K234,"Atrasado","En ruta"),IF($L234&lt;=$K234,"Sí","No")))</f>
        <v/>
      </c>
      <c r="O234" s="24">
        <f>IF($A234="","",COUNTIFS(NOVEDADES!$D$4:$D$1503,$A234))</f>
        <v/>
      </c>
      <c r="P234" s="28">
        <f>IF($A234="","",IF(COUNTIFS(NOVEDADES!$D$4:$D$1503,$A234,NOVEDADES!$O$4:$O$1503,"SÍ")&gt;0,"No","Sí"))</f>
        <v/>
      </c>
      <c r="Q234" s="28">
        <f>IF(OR($A234="",$L234=""),"",IF(AND($N234="Sí",$P234="Sí"),"OTIF","Falló"))</f>
        <v/>
      </c>
    </row>
    <row r="235" ht="16" customHeight="1">
      <c r="A235" s="48" t="n"/>
      <c r="B235" s="48" t="n"/>
      <c r="C235" s="47" t="n"/>
      <c r="D235" s="50" t="n"/>
      <c r="E235" s="50" t="n"/>
      <c r="F235" s="50" t="n"/>
      <c r="G235" s="50" t="n"/>
      <c r="H235" s="48" t="n"/>
      <c r="I235" s="51" t="n"/>
      <c r="J235" s="52" t="n"/>
      <c r="K235" s="47" t="n"/>
      <c r="L235" s="47" t="n"/>
      <c r="M235" s="24">
        <f>IF(OR($A235="",$C235=""),"",IF($L235&lt;&gt;"",$L235-$C235,TODAY()-$C235))</f>
        <v/>
      </c>
      <c r="N235" s="28">
        <f>IF(OR($A235="",$K235=""),"",IF($L235="",IF(TODAY()&gt;$K235,"Atrasado","En ruta"),IF($L235&lt;=$K235,"Sí","No")))</f>
        <v/>
      </c>
      <c r="O235" s="24">
        <f>IF($A235="","",COUNTIFS(NOVEDADES!$D$4:$D$1503,$A235))</f>
        <v/>
      </c>
      <c r="P235" s="28">
        <f>IF($A235="","",IF(COUNTIFS(NOVEDADES!$D$4:$D$1503,$A235,NOVEDADES!$O$4:$O$1503,"SÍ")&gt;0,"No","Sí"))</f>
        <v/>
      </c>
      <c r="Q235" s="28">
        <f>IF(OR($A235="",$L235=""),"",IF(AND($N235="Sí",$P235="Sí"),"OTIF","Falló"))</f>
        <v/>
      </c>
    </row>
    <row r="236" ht="16" customHeight="1">
      <c r="A236" s="48" t="n"/>
      <c r="B236" s="48" t="n"/>
      <c r="C236" s="47" t="n"/>
      <c r="D236" s="50" t="n"/>
      <c r="E236" s="50" t="n"/>
      <c r="F236" s="50" t="n"/>
      <c r="G236" s="50" t="n"/>
      <c r="H236" s="48" t="n"/>
      <c r="I236" s="51" t="n"/>
      <c r="J236" s="52" t="n"/>
      <c r="K236" s="47" t="n"/>
      <c r="L236" s="47" t="n"/>
      <c r="M236" s="24">
        <f>IF(OR($A236="",$C236=""),"",IF($L236&lt;&gt;"",$L236-$C236,TODAY()-$C236))</f>
        <v/>
      </c>
      <c r="N236" s="28">
        <f>IF(OR($A236="",$K236=""),"",IF($L236="",IF(TODAY()&gt;$K236,"Atrasado","En ruta"),IF($L236&lt;=$K236,"Sí","No")))</f>
        <v/>
      </c>
      <c r="O236" s="24">
        <f>IF($A236="","",COUNTIFS(NOVEDADES!$D$4:$D$1503,$A236))</f>
        <v/>
      </c>
      <c r="P236" s="28">
        <f>IF($A236="","",IF(COUNTIFS(NOVEDADES!$D$4:$D$1503,$A236,NOVEDADES!$O$4:$O$1503,"SÍ")&gt;0,"No","Sí"))</f>
        <v/>
      </c>
      <c r="Q236" s="28">
        <f>IF(OR($A236="",$L236=""),"",IF(AND($N236="Sí",$P236="Sí"),"OTIF","Falló"))</f>
        <v/>
      </c>
    </row>
    <row r="237" ht="16" customHeight="1">
      <c r="A237" s="48" t="n"/>
      <c r="B237" s="48" t="n"/>
      <c r="C237" s="47" t="n"/>
      <c r="D237" s="50" t="n"/>
      <c r="E237" s="50" t="n"/>
      <c r="F237" s="50" t="n"/>
      <c r="G237" s="50" t="n"/>
      <c r="H237" s="48" t="n"/>
      <c r="I237" s="51" t="n"/>
      <c r="J237" s="52" t="n"/>
      <c r="K237" s="47" t="n"/>
      <c r="L237" s="47" t="n"/>
      <c r="M237" s="24">
        <f>IF(OR($A237="",$C237=""),"",IF($L237&lt;&gt;"",$L237-$C237,TODAY()-$C237))</f>
        <v/>
      </c>
      <c r="N237" s="28">
        <f>IF(OR($A237="",$K237=""),"",IF($L237="",IF(TODAY()&gt;$K237,"Atrasado","En ruta"),IF($L237&lt;=$K237,"Sí","No")))</f>
        <v/>
      </c>
      <c r="O237" s="24">
        <f>IF($A237="","",COUNTIFS(NOVEDADES!$D$4:$D$1503,$A237))</f>
        <v/>
      </c>
      <c r="P237" s="28">
        <f>IF($A237="","",IF(COUNTIFS(NOVEDADES!$D$4:$D$1503,$A237,NOVEDADES!$O$4:$O$1503,"SÍ")&gt;0,"No","Sí"))</f>
        <v/>
      </c>
      <c r="Q237" s="28">
        <f>IF(OR($A237="",$L237=""),"",IF(AND($N237="Sí",$P237="Sí"),"OTIF","Falló"))</f>
        <v/>
      </c>
    </row>
    <row r="238" ht="16" customHeight="1">
      <c r="A238" s="48" t="n"/>
      <c r="B238" s="48" t="n"/>
      <c r="C238" s="47" t="n"/>
      <c r="D238" s="50" t="n"/>
      <c r="E238" s="50" t="n"/>
      <c r="F238" s="50" t="n"/>
      <c r="G238" s="50" t="n"/>
      <c r="H238" s="48" t="n"/>
      <c r="I238" s="51" t="n"/>
      <c r="J238" s="52" t="n"/>
      <c r="K238" s="47" t="n"/>
      <c r="L238" s="47" t="n"/>
      <c r="M238" s="24">
        <f>IF(OR($A238="",$C238=""),"",IF($L238&lt;&gt;"",$L238-$C238,TODAY()-$C238))</f>
        <v/>
      </c>
      <c r="N238" s="28">
        <f>IF(OR($A238="",$K238=""),"",IF($L238="",IF(TODAY()&gt;$K238,"Atrasado","En ruta"),IF($L238&lt;=$K238,"Sí","No")))</f>
        <v/>
      </c>
      <c r="O238" s="24">
        <f>IF($A238="","",COUNTIFS(NOVEDADES!$D$4:$D$1503,$A238))</f>
        <v/>
      </c>
      <c r="P238" s="28">
        <f>IF($A238="","",IF(COUNTIFS(NOVEDADES!$D$4:$D$1503,$A238,NOVEDADES!$O$4:$O$1503,"SÍ")&gt;0,"No","Sí"))</f>
        <v/>
      </c>
      <c r="Q238" s="28">
        <f>IF(OR($A238="",$L238=""),"",IF(AND($N238="Sí",$P238="Sí"),"OTIF","Falló"))</f>
        <v/>
      </c>
    </row>
    <row r="239" ht="16" customHeight="1">
      <c r="A239" s="48" t="n"/>
      <c r="B239" s="48" t="n"/>
      <c r="C239" s="47" t="n"/>
      <c r="D239" s="50" t="n"/>
      <c r="E239" s="50" t="n"/>
      <c r="F239" s="50" t="n"/>
      <c r="G239" s="50" t="n"/>
      <c r="H239" s="48" t="n"/>
      <c r="I239" s="51" t="n"/>
      <c r="J239" s="52" t="n"/>
      <c r="K239" s="47" t="n"/>
      <c r="L239" s="47" t="n"/>
      <c r="M239" s="24">
        <f>IF(OR($A239="",$C239=""),"",IF($L239&lt;&gt;"",$L239-$C239,TODAY()-$C239))</f>
        <v/>
      </c>
      <c r="N239" s="28">
        <f>IF(OR($A239="",$K239=""),"",IF($L239="",IF(TODAY()&gt;$K239,"Atrasado","En ruta"),IF($L239&lt;=$K239,"Sí","No")))</f>
        <v/>
      </c>
      <c r="O239" s="24">
        <f>IF($A239="","",COUNTIFS(NOVEDADES!$D$4:$D$1503,$A239))</f>
        <v/>
      </c>
      <c r="P239" s="28">
        <f>IF($A239="","",IF(COUNTIFS(NOVEDADES!$D$4:$D$1503,$A239,NOVEDADES!$O$4:$O$1503,"SÍ")&gt;0,"No","Sí"))</f>
        <v/>
      </c>
      <c r="Q239" s="28">
        <f>IF(OR($A239="",$L239=""),"",IF(AND($N239="Sí",$P239="Sí"),"OTIF","Falló"))</f>
        <v/>
      </c>
    </row>
    <row r="240" ht="16" customHeight="1">
      <c r="A240" s="48" t="n"/>
      <c r="B240" s="48" t="n"/>
      <c r="C240" s="47" t="n"/>
      <c r="D240" s="50" t="n"/>
      <c r="E240" s="50" t="n"/>
      <c r="F240" s="50" t="n"/>
      <c r="G240" s="50" t="n"/>
      <c r="H240" s="48" t="n"/>
      <c r="I240" s="51" t="n"/>
      <c r="J240" s="52" t="n"/>
      <c r="K240" s="47" t="n"/>
      <c r="L240" s="47" t="n"/>
      <c r="M240" s="24">
        <f>IF(OR($A240="",$C240=""),"",IF($L240&lt;&gt;"",$L240-$C240,TODAY()-$C240))</f>
        <v/>
      </c>
      <c r="N240" s="28">
        <f>IF(OR($A240="",$K240=""),"",IF($L240="",IF(TODAY()&gt;$K240,"Atrasado","En ruta"),IF($L240&lt;=$K240,"Sí","No")))</f>
        <v/>
      </c>
      <c r="O240" s="24">
        <f>IF($A240="","",COUNTIFS(NOVEDADES!$D$4:$D$1503,$A240))</f>
        <v/>
      </c>
      <c r="P240" s="28">
        <f>IF($A240="","",IF(COUNTIFS(NOVEDADES!$D$4:$D$1503,$A240,NOVEDADES!$O$4:$O$1503,"SÍ")&gt;0,"No","Sí"))</f>
        <v/>
      </c>
      <c r="Q240" s="28">
        <f>IF(OR($A240="",$L240=""),"",IF(AND($N240="Sí",$P240="Sí"),"OTIF","Falló"))</f>
        <v/>
      </c>
    </row>
    <row r="241" ht="16" customHeight="1">
      <c r="A241" s="48" t="n"/>
      <c r="B241" s="48" t="n"/>
      <c r="C241" s="47" t="n"/>
      <c r="D241" s="50" t="n"/>
      <c r="E241" s="50" t="n"/>
      <c r="F241" s="50" t="n"/>
      <c r="G241" s="50" t="n"/>
      <c r="H241" s="48" t="n"/>
      <c r="I241" s="51" t="n"/>
      <c r="J241" s="52" t="n"/>
      <c r="K241" s="47" t="n"/>
      <c r="L241" s="47" t="n"/>
      <c r="M241" s="24">
        <f>IF(OR($A241="",$C241=""),"",IF($L241&lt;&gt;"",$L241-$C241,TODAY()-$C241))</f>
        <v/>
      </c>
      <c r="N241" s="28">
        <f>IF(OR($A241="",$K241=""),"",IF($L241="",IF(TODAY()&gt;$K241,"Atrasado","En ruta"),IF($L241&lt;=$K241,"Sí","No")))</f>
        <v/>
      </c>
      <c r="O241" s="24">
        <f>IF($A241="","",COUNTIFS(NOVEDADES!$D$4:$D$1503,$A241))</f>
        <v/>
      </c>
      <c r="P241" s="28">
        <f>IF($A241="","",IF(COUNTIFS(NOVEDADES!$D$4:$D$1503,$A241,NOVEDADES!$O$4:$O$1503,"SÍ")&gt;0,"No","Sí"))</f>
        <v/>
      </c>
      <c r="Q241" s="28">
        <f>IF(OR($A241="",$L241=""),"",IF(AND($N241="Sí",$P241="Sí"),"OTIF","Falló"))</f>
        <v/>
      </c>
    </row>
    <row r="242" ht="16" customHeight="1">
      <c r="A242" s="48" t="n"/>
      <c r="B242" s="48" t="n"/>
      <c r="C242" s="47" t="n"/>
      <c r="D242" s="50" t="n"/>
      <c r="E242" s="50" t="n"/>
      <c r="F242" s="50" t="n"/>
      <c r="G242" s="50" t="n"/>
      <c r="H242" s="48" t="n"/>
      <c r="I242" s="51" t="n"/>
      <c r="J242" s="52" t="n"/>
      <c r="K242" s="47" t="n"/>
      <c r="L242" s="47" t="n"/>
      <c r="M242" s="24">
        <f>IF(OR($A242="",$C242=""),"",IF($L242&lt;&gt;"",$L242-$C242,TODAY()-$C242))</f>
        <v/>
      </c>
      <c r="N242" s="28">
        <f>IF(OR($A242="",$K242=""),"",IF($L242="",IF(TODAY()&gt;$K242,"Atrasado","En ruta"),IF($L242&lt;=$K242,"Sí","No")))</f>
        <v/>
      </c>
      <c r="O242" s="24">
        <f>IF($A242="","",COUNTIFS(NOVEDADES!$D$4:$D$1503,$A242))</f>
        <v/>
      </c>
      <c r="P242" s="28">
        <f>IF($A242="","",IF(COUNTIFS(NOVEDADES!$D$4:$D$1503,$A242,NOVEDADES!$O$4:$O$1503,"SÍ")&gt;0,"No","Sí"))</f>
        <v/>
      </c>
      <c r="Q242" s="28">
        <f>IF(OR($A242="",$L242=""),"",IF(AND($N242="Sí",$P242="Sí"),"OTIF","Falló"))</f>
        <v/>
      </c>
    </row>
    <row r="243" ht="16" customHeight="1">
      <c r="A243" s="48" t="n"/>
      <c r="B243" s="48" t="n"/>
      <c r="C243" s="47" t="n"/>
      <c r="D243" s="50" t="n"/>
      <c r="E243" s="50" t="n"/>
      <c r="F243" s="50" t="n"/>
      <c r="G243" s="50" t="n"/>
      <c r="H243" s="48" t="n"/>
      <c r="I243" s="51" t="n"/>
      <c r="J243" s="52" t="n"/>
      <c r="K243" s="47" t="n"/>
      <c r="L243" s="47" t="n"/>
      <c r="M243" s="24">
        <f>IF(OR($A243="",$C243=""),"",IF($L243&lt;&gt;"",$L243-$C243,TODAY()-$C243))</f>
        <v/>
      </c>
      <c r="N243" s="28">
        <f>IF(OR($A243="",$K243=""),"",IF($L243="",IF(TODAY()&gt;$K243,"Atrasado","En ruta"),IF($L243&lt;=$K243,"Sí","No")))</f>
        <v/>
      </c>
      <c r="O243" s="24">
        <f>IF($A243="","",COUNTIFS(NOVEDADES!$D$4:$D$1503,$A243))</f>
        <v/>
      </c>
      <c r="P243" s="28">
        <f>IF($A243="","",IF(COUNTIFS(NOVEDADES!$D$4:$D$1503,$A243,NOVEDADES!$O$4:$O$1503,"SÍ")&gt;0,"No","Sí"))</f>
        <v/>
      </c>
      <c r="Q243" s="28">
        <f>IF(OR($A243="",$L243=""),"",IF(AND($N243="Sí",$P243="Sí"),"OTIF","Falló"))</f>
        <v/>
      </c>
    </row>
    <row r="244" ht="16" customHeight="1">
      <c r="A244" s="48" t="n"/>
      <c r="B244" s="48" t="n"/>
      <c r="C244" s="47" t="n"/>
      <c r="D244" s="50" t="n"/>
      <c r="E244" s="50" t="n"/>
      <c r="F244" s="50" t="n"/>
      <c r="G244" s="50" t="n"/>
      <c r="H244" s="48" t="n"/>
      <c r="I244" s="51" t="n"/>
      <c r="J244" s="52" t="n"/>
      <c r="K244" s="47" t="n"/>
      <c r="L244" s="47" t="n"/>
      <c r="M244" s="24">
        <f>IF(OR($A244="",$C244=""),"",IF($L244&lt;&gt;"",$L244-$C244,TODAY()-$C244))</f>
        <v/>
      </c>
      <c r="N244" s="28">
        <f>IF(OR($A244="",$K244=""),"",IF($L244="",IF(TODAY()&gt;$K244,"Atrasado","En ruta"),IF($L244&lt;=$K244,"Sí","No")))</f>
        <v/>
      </c>
      <c r="O244" s="24">
        <f>IF($A244="","",COUNTIFS(NOVEDADES!$D$4:$D$1503,$A244))</f>
        <v/>
      </c>
      <c r="P244" s="28">
        <f>IF($A244="","",IF(COUNTIFS(NOVEDADES!$D$4:$D$1503,$A244,NOVEDADES!$O$4:$O$1503,"SÍ")&gt;0,"No","Sí"))</f>
        <v/>
      </c>
      <c r="Q244" s="28">
        <f>IF(OR($A244="",$L244=""),"",IF(AND($N244="Sí",$P244="Sí"),"OTIF","Falló"))</f>
        <v/>
      </c>
    </row>
    <row r="245" ht="16" customHeight="1">
      <c r="A245" s="48" t="n"/>
      <c r="B245" s="48" t="n"/>
      <c r="C245" s="47" t="n"/>
      <c r="D245" s="50" t="n"/>
      <c r="E245" s="50" t="n"/>
      <c r="F245" s="50" t="n"/>
      <c r="G245" s="50" t="n"/>
      <c r="H245" s="48" t="n"/>
      <c r="I245" s="51" t="n"/>
      <c r="J245" s="52" t="n"/>
      <c r="K245" s="47" t="n"/>
      <c r="L245" s="47" t="n"/>
      <c r="M245" s="24">
        <f>IF(OR($A245="",$C245=""),"",IF($L245&lt;&gt;"",$L245-$C245,TODAY()-$C245))</f>
        <v/>
      </c>
      <c r="N245" s="28">
        <f>IF(OR($A245="",$K245=""),"",IF($L245="",IF(TODAY()&gt;$K245,"Atrasado","En ruta"),IF($L245&lt;=$K245,"Sí","No")))</f>
        <v/>
      </c>
      <c r="O245" s="24">
        <f>IF($A245="","",COUNTIFS(NOVEDADES!$D$4:$D$1503,$A245))</f>
        <v/>
      </c>
      <c r="P245" s="28">
        <f>IF($A245="","",IF(COUNTIFS(NOVEDADES!$D$4:$D$1503,$A245,NOVEDADES!$O$4:$O$1503,"SÍ")&gt;0,"No","Sí"))</f>
        <v/>
      </c>
      <c r="Q245" s="28">
        <f>IF(OR($A245="",$L245=""),"",IF(AND($N245="Sí",$P245="Sí"),"OTIF","Falló"))</f>
        <v/>
      </c>
    </row>
    <row r="246" ht="16" customHeight="1">
      <c r="A246" s="48" t="n"/>
      <c r="B246" s="48" t="n"/>
      <c r="C246" s="47" t="n"/>
      <c r="D246" s="50" t="n"/>
      <c r="E246" s="50" t="n"/>
      <c r="F246" s="50" t="n"/>
      <c r="G246" s="50" t="n"/>
      <c r="H246" s="48" t="n"/>
      <c r="I246" s="51" t="n"/>
      <c r="J246" s="52" t="n"/>
      <c r="K246" s="47" t="n"/>
      <c r="L246" s="47" t="n"/>
      <c r="M246" s="24">
        <f>IF(OR($A246="",$C246=""),"",IF($L246&lt;&gt;"",$L246-$C246,TODAY()-$C246))</f>
        <v/>
      </c>
      <c r="N246" s="28">
        <f>IF(OR($A246="",$K246=""),"",IF($L246="",IF(TODAY()&gt;$K246,"Atrasado","En ruta"),IF($L246&lt;=$K246,"Sí","No")))</f>
        <v/>
      </c>
      <c r="O246" s="24">
        <f>IF($A246="","",COUNTIFS(NOVEDADES!$D$4:$D$1503,$A246))</f>
        <v/>
      </c>
      <c r="P246" s="28">
        <f>IF($A246="","",IF(COUNTIFS(NOVEDADES!$D$4:$D$1503,$A246,NOVEDADES!$O$4:$O$1503,"SÍ")&gt;0,"No","Sí"))</f>
        <v/>
      </c>
      <c r="Q246" s="28">
        <f>IF(OR($A246="",$L246=""),"",IF(AND($N246="Sí",$P246="Sí"),"OTIF","Falló"))</f>
        <v/>
      </c>
    </row>
    <row r="247" ht="16" customHeight="1">
      <c r="A247" s="48" t="n"/>
      <c r="B247" s="48" t="n"/>
      <c r="C247" s="47" t="n"/>
      <c r="D247" s="50" t="n"/>
      <c r="E247" s="50" t="n"/>
      <c r="F247" s="50" t="n"/>
      <c r="G247" s="50" t="n"/>
      <c r="H247" s="48" t="n"/>
      <c r="I247" s="51" t="n"/>
      <c r="J247" s="52" t="n"/>
      <c r="K247" s="47" t="n"/>
      <c r="L247" s="47" t="n"/>
      <c r="M247" s="24">
        <f>IF(OR($A247="",$C247=""),"",IF($L247&lt;&gt;"",$L247-$C247,TODAY()-$C247))</f>
        <v/>
      </c>
      <c r="N247" s="28">
        <f>IF(OR($A247="",$K247=""),"",IF($L247="",IF(TODAY()&gt;$K247,"Atrasado","En ruta"),IF($L247&lt;=$K247,"Sí","No")))</f>
        <v/>
      </c>
      <c r="O247" s="24">
        <f>IF($A247="","",COUNTIFS(NOVEDADES!$D$4:$D$1503,$A247))</f>
        <v/>
      </c>
      <c r="P247" s="28">
        <f>IF($A247="","",IF(COUNTIFS(NOVEDADES!$D$4:$D$1503,$A247,NOVEDADES!$O$4:$O$1503,"SÍ")&gt;0,"No","Sí"))</f>
        <v/>
      </c>
      <c r="Q247" s="28">
        <f>IF(OR($A247="",$L247=""),"",IF(AND($N247="Sí",$P247="Sí"),"OTIF","Falló"))</f>
        <v/>
      </c>
    </row>
    <row r="248" ht="16" customHeight="1">
      <c r="A248" s="48" t="n"/>
      <c r="B248" s="48" t="n"/>
      <c r="C248" s="47" t="n"/>
      <c r="D248" s="50" t="n"/>
      <c r="E248" s="50" t="n"/>
      <c r="F248" s="50" t="n"/>
      <c r="G248" s="50" t="n"/>
      <c r="H248" s="48" t="n"/>
      <c r="I248" s="51" t="n"/>
      <c r="J248" s="52" t="n"/>
      <c r="K248" s="47" t="n"/>
      <c r="L248" s="47" t="n"/>
      <c r="M248" s="24">
        <f>IF(OR($A248="",$C248=""),"",IF($L248&lt;&gt;"",$L248-$C248,TODAY()-$C248))</f>
        <v/>
      </c>
      <c r="N248" s="28">
        <f>IF(OR($A248="",$K248=""),"",IF($L248="",IF(TODAY()&gt;$K248,"Atrasado","En ruta"),IF($L248&lt;=$K248,"Sí","No")))</f>
        <v/>
      </c>
      <c r="O248" s="24">
        <f>IF($A248="","",COUNTIFS(NOVEDADES!$D$4:$D$1503,$A248))</f>
        <v/>
      </c>
      <c r="P248" s="28">
        <f>IF($A248="","",IF(COUNTIFS(NOVEDADES!$D$4:$D$1503,$A248,NOVEDADES!$O$4:$O$1503,"SÍ")&gt;0,"No","Sí"))</f>
        <v/>
      </c>
      <c r="Q248" s="28">
        <f>IF(OR($A248="",$L248=""),"",IF(AND($N248="Sí",$P248="Sí"),"OTIF","Falló"))</f>
        <v/>
      </c>
    </row>
    <row r="249" ht="16" customHeight="1">
      <c r="A249" s="48" t="n"/>
      <c r="B249" s="48" t="n"/>
      <c r="C249" s="47" t="n"/>
      <c r="D249" s="50" t="n"/>
      <c r="E249" s="50" t="n"/>
      <c r="F249" s="50" t="n"/>
      <c r="G249" s="50" t="n"/>
      <c r="H249" s="48" t="n"/>
      <c r="I249" s="51" t="n"/>
      <c r="J249" s="52" t="n"/>
      <c r="K249" s="47" t="n"/>
      <c r="L249" s="47" t="n"/>
      <c r="M249" s="24">
        <f>IF(OR($A249="",$C249=""),"",IF($L249&lt;&gt;"",$L249-$C249,TODAY()-$C249))</f>
        <v/>
      </c>
      <c r="N249" s="28">
        <f>IF(OR($A249="",$K249=""),"",IF($L249="",IF(TODAY()&gt;$K249,"Atrasado","En ruta"),IF($L249&lt;=$K249,"Sí","No")))</f>
        <v/>
      </c>
      <c r="O249" s="24">
        <f>IF($A249="","",COUNTIFS(NOVEDADES!$D$4:$D$1503,$A249))</f>
        <v/>
      </c>
      <c r="P249" s="28">
        <f>IF($A249="","",IF(COUNTIFS(NOVEDADES!$D$4:$D$1503,$A249,NOVEDADES!$O$4:$O$1503,"SÍ")&gt;0,"No","Sí"))</f>
        <v/>
      </c>
      <c r="Q249" s="28">
        <f>IF(OR($A249="",$L249=""),"",IF(AND($N249="Sí",$P249="Sí"),"OTIF","Falló"))</f>
        <v/>
      </c>
    </row>
    <row r="250" ht="16" customHeight="1">
      <c r="A250" s="48" t="n"/>
      <c r="B250" s="48" t="n"/>
      <c r="C250" s="47" t="n"/>
      <c r="D250" s="50" t="n"/>
      <c r="E250" s="50" t="n"/>
      <c r="F250" s="50" t="n"/>
      <c r="G250" s="50" t="n"/>
      <c r="H250" s="48" t="n"/>
      <c r="I250" s="51" t="n"/>
      <c r="J250" s="52" t="n"/>
      <c r="K250" s="47" t="n"/>
      <c r="L250" s="47" t="n"/>
      <c r="M250" s="24">
        <f>IF(OR($A250="",$C250=""),"",IF($L250&lt;&gt;"",$L250-$C250,TODAY()-$C250))</f>
        <v/>
      </c>
      <c r="N250" s="28">
        <f>IF(OR($A250="",$K250=""),"",IF($L250="",IF(TODAY()&gt;$K250,"Atrasado","En ruta"),IF($L250&lt;=$K250,"Sí","No")))</f>
        <v/>
      </c>
      <c r="O250" s="24">
        <f>IF($A250="","",COUNTIFS(NOVEDADES!$D$4:$D$1503,$A250))</f>
        <v/>
      </c>
      <c r="P250" s="28">
        <f>IF($A250="","",IF(COUNTIFS(NOVEDADES!$D$4:$D$1503,$A250,NOVEDADES!$O$4:$O$1503,"SÍ")&gt;0,"No","Sí"))</f>
        <v/>
      </c>
      <c r="Q250" s="28">
        <f>IF(OR($A250="",$L250=""),"",IF(AND($N250="Sí",$P250="Sí"),"OTIF","Falló"))</f>
        <v/>
      </c>
    </row>
    <row r="251" ht="16" customHeight="1">
      <c r="A251" s="48" t="n"/>
      <c r="B251" s="48" t="n"/>
      <c r="C251" s="47" t="n"/>
      <c r="D251" s="50" t="n"/>
      <c r="E251" s="50" t="n"/>
      <c r="F251" s="50" t="n"/>
      <c r="G251" s="50" t="n"/>
      <c r="H251" s="48" t="n"/>
      <c r="I251" s="51" t="n"/>
      <c r="J251" s="52" t="n"/>
      <c r="K251" s="47" t="n"/>
      <c r="L251" s="47" t="n"/>
      <c r="M251" s="24">
        <f>IF(OR($A251="",$C251=""),"",IF($L251&lt;&gt;"",$L251-$C251,TODAY()-$C251))</f>
        <v/>
      </c>
      <c r="N251" s="28">
        <f>IF(OR($A251="",$K251=""),"",IF($L251="",IF(TODAY()&gt;$K251,"Atrasado","En ruta"),IF($L251&lt;=$K251,"Sí","No")))</f>
        <v/>
      </c>
      <c r="O251" s="24">
        <f>IF($A251="","",COUNTIFS(NOVEDADES!$D$4:$D$1503,$A251))</f>
        <v/>
      </c>
      <c r="P251" s="28">
        <f>IF($A251="","",IF(COUNTIFS(NOVEDADES!$D$4:$D$1503,$A251,NOVEDADES!$O$4:$O$1503,"SÍ")&gt;0,"No","Sí"))</f>
        <v/>
      </c>
      <c r="Q251" s="28">
        <f>IF(OR($A251="",$L251=""),"",IF(AND($N251="Sí",$P251="Sí"),"OTIF","Falló"))</f>
        <v/>
      </c>
    </row>
    <row r="252" ht="16" customHeight="1">
      <c r="A252" s="48" t="n"/>
      <c r="B252" s="48" t="n"/>
      <c r="C252" s="47" t="n"/>
      <c r="D252" s="50" t="n"/>
      <c r="E252" s="50" t="n"/>
      <c r="F252" s="50" t="n"/>
      <c r="G252" s="50" t="n"/>
      <c r="H252" s="48" t="n"/>
      <c r="I252" s="51" t="n"/>
      <c r="J252" s="52" t="n"/>
      <c r="K252" s="47" t="n"/>
      <c r="L252" s="47" t="n"/>
      <c r="M252" s="24">
        <f>IF(OR($A252="",$C252=""),"",IF($L252&lt;&gt;"",$L252-$C252,TODAY()-$C252))</f>
        <v/>
      </c>
      <c r="N252" s="28">
        <f>IF(OR($A252="",$K252=""),"",IF($L252="",IF(TODAY()&gt;$K252,"Atrasado","En ruta"),IF($L252&lt;=$K252,"Sí","No")))</f>
        <v/>
      </c>
      <c r="O252" s="24">
        <f>IF($A252="","",COUNTIFS(NOVEDADES!$D$4:$D$1503,$A252))</f>
        <v/>
      </c>
      <c r="P252" s="28">
        <f>IF($A252="","",IF(COUNTIFS(NOVEDADES!$D$4:$D$1503,$A252,NOVEDADES!$O$4:$O$1503,"SÍ")&gt;0,"No","Sí"))</f>
        <v/>
      </c>
      <c r="Q252" s="28">
        <f>IF(OR($A252="",$L252=""),"",IF(AND($N252="Sí",$P252="Sí"),"OTIF","Falló"))</f>
        <v/>
      </c>
    </row>
    <row r="253" ht="16" customHeight="1">
      <c r="A253" s="48" t="n"/>
      <c r="B253" s="48" t="n"/>
      <c r="C253" s="47" t="n"/>
      <c r="D253" s="50" t="n"/>
      <c r="E253" s="50" t="n"/>
      <c r="F253" s="50" t="n"/>
      <c r="G253" s="50" t="n"/>
      <c r="H253" s="48" t="n"/>
      <c r="I253" s="51" t="n"/>
      <c r="J253" s="52" t="n"/>
      <c r="K253" s="47" t="n"/>
      <c r="L253" s="47" t="n"/>
      <c r="M253" s="24">
        <f>IF(OR($A253="",$C253=""),"",IF($L253&lt;&gt;"",$L253-$C253,TODAY()-$C253))</f>
        <v/>
      </c>
      <c r="N253" s="28">
        <f>IF(OR($A253="",$K253=""),"",IF($L253="",IF(TODAY()&gt;$K253,"Atrasado","En ruta"),IF($L253&lt;=$K253,"Sí","No")))</f>
        <v/>
      </c>
      <c r="O253" s="24">
        <f>IF($A253="","",COUNTIFS(NOVEDADES!$D$4:$D$1503,$A253))</f>
        <v/>
      </c>
      <c r="P253" s="28">
        <f>IF($A253="","",IF(COUNTIFS(NOVEDADES!$D$4:$D$1503,$A253,NOVEDADES!$O$4:$O$1503,"SÍ")&gt;0,"No","Sí"))</f>
        <v/>
      </c>
      <c r="Q253" s="28">
        <f>IF(OR($A253="",$L253=""),"",IF(AND($N253="Sí",$P253="Sí"),"OTIF","Falló"))</f>
        <v/>
      </c>
    </row>
    <row r="254" ht="16" customHeight="1">
      <c r="A254" s="48" t="n"/>
      <c r="B254" s="48" t="n"/>
      <c r="C254" s="47" t="n"/>
      <c r="D254" s="50" t="n"/>
      <c r="E254" s="50" t="n"/>
      <c r="F254" s="50" t="n"/>
      <c r="G254" s="50" t="n"/>
      <c r="H254" s="48" t="n"/>
      <c r="I254" s="51" t="n"/>
      <c r="J254" s="52" t="n"/>
      <c r="K254" s="47" t="n"/>
      <c r="L254" s="47" t="n"/>
      <c r="M254" s="24">
        <f>IF(OR($A254="",$C254=""),"",IF($L254&lt;&gt;"",$L254-$C254,TODAY()-$C254))</f>
        <v/>
      </c>
      <c r="N254" s="28">
        <f>IF(OR($A254="",$K254=""),"",IF($L254="",IF(TODAY()&gt;$K254,"Atrasado","En ruta"),IF($L254&lt;=$K254,"Sí","No")))</f>
        <v/>
      </c>
      <c r="O254" s="24">
        <f>IF($A254="","",COUNTIFS(NOVEDADES!$D$4:$D$1503,$A254))</f>
        <v/>
      </c>
      <c r="P254" s="28">
        <f>IF($A254="","",IF(COUNTIFS(NOVEDADES!$D$4:$D$1503,$A254,NOVEDADES!$O$4:$O$1503,"SÍ")&gt;0,"No","Sí"))</f>
        <v/>
      </c>
      <c r="Q254" s="28">
        <f>IF(OR($A254="",$L254=""),"",IF(AND($N254="Sí",$P254="Sí"),"OTIF","Falló"))</f>
        <v/>
      </c>
    </row>
    <row r="255" ht="16" customHeight="1">
      <c r="A255" s="48" t="n"/>
      <c r="B255" s="48" t="n"/>
      <c r="C255" s="47" t="n"/>
      <c r="D255" s="50" t="n"/>
      <c r="E255" s="50" t="n"/>
      <c r="F255" s="50" t="n"/>
      <c r="G255" s="50" t="n"/>
      <c r="H255" s="48" t="n"/>
      <c r="I255" s="51" t="n"/>
      <c r="J255" s="52" t="n"/>
      <c r="K255" s="47" t="n"/>
      <c r="L255" s="47" t="n"/>
      <c r="M255" s="24">
        <f>IF(OR($A255="",$C255=""),"",IF($L255&lt;&gt;"",$L255-$C255,TODAY()-$C255))</f>
        <v/>
      </c>
      <c r="N255" s="28">
        <f>IF(OR($A255="",$K255=""),"",IF($L255="",IF(TODAY()&gt;$K255,"Atrasado","En ruta"),IF($L255&lt;=$K255,"Sí","No")))</f>
        <v/>
      </c>
      <c r="O255" s="24">
        <f>IF($A255="","",COUNTIFS(NOVEDADES!$D$4:$D$1503,$A255))</f>
        <v/>
      </c>
      <c r="P255" s="28">
        <f>IF($A255="","",IF(COUNTIFS(NOVEDADES!$D$4:$D$1503,$A255,NOVEDADES!$O$4:$O$1503,"SÍ")&gt;0,"No","Sí"))</f>
        <v/>
      </c>
      <c r="Q255" s="28">
        <f>IF(OR($A255="",$L255=""),"",IF(AND($N255="Sí",$P255="Sí"),"OTIF","Falló"))</f>
        <v/>
      </c>
    </row>
    <row r="256" ht="16" customHeight="1">
      <c r="A256" s="48" t="n"/>
      <c r="B256" s="48" t="n"/>
      <c r="C256" s="47" t="n"/>
      <c r="D256" s="50" t="n"/>
      <c r="E256" s="50" t="n"/>
      <c r="F256" s="50" t="n"/>
      <c r="G256" s="50" t="n"/>
      <c r="H256" s="48" t="n"/>
      <c r="I256" s="51" t="n"/>
      <c r="J256" s="52" t="n"/>
      <c r="K256" s="47" t="n"/>
      <c r="L256" s="47" t="n"/>
      <c r="M256" s="24">
        <f>IF(OR($A256="",$C256=""),"",IF($L256&lt;&gt;"",$L256-$C256,TODAY()-$C256))</f>
        <v/>
      </c>
      <c r="N256" s="28">
        <f>IF(OR($A256="",$K256=""),"",IF($L256="",IF(TODAY()&gt;$K256,"Atrasado","En ruta"),IF($L256&lt;=$K256,"Sí","No")))</f>
        <v/>
      </c>
      <c r="O256" s="24">
        <f>IF($A256="","",COUNTIFS(NOVEDADES!$D$4:$D$1503,$A256))</f>
        <v/>
      </c>
      <c r="P256" s="28">
        <f>IF($A256="","",IF(COUNTIFS(NOVEDADES!$D$4:$D$1503,$A256,NOVEDADES!$O$4:$O$1503,"SÍ")&gt;0,"No","Sí"))</f>
        <v/>
      </c>
      <c r="Q256" s="28">
        <f>IF(OR($A256="",$L256=""),"",IF(AND($N256="Sí",$P256="Sí"),"OTIF","Falló"))</f>
        <v/>
      </c>
    </row>
    <row r="257" ht="16" customHeight="1">
      <c r="A257" s="48" t="n"/>
      <c r="B257" s="48" t="n"/>
      <c r="C257" s="47" t="n"/>
      <c r="D257" s="50" t="n"/>
      <c r="E257" s="50" t="n"/>
      <c r="F257" s="50" t="n"/>
      <c r="G257" s="50" t="n"/>
      <c r="H257" s="48" t="n"/>
      <c r="I257" s="51" t="n"/>
      <c r="J257" s="52" t="n"/>
      <c r="K257" s="47" t="n"/>
      <c r="L257" s="47" t="n"/>
      <c r="M257" s="24">
        <f>IF(OR($A257="",$C257=""),"",IF($L257&lt;&gt;"",$L257-$C257,TODAY()-$C257))</f>
        <v/>
      </c>
      <c r="N257" s="28">
        <f>IF(OR($A257="",$K257=""),"",IF($L257="",IF(TODAY()&gt;$K257,"Atrasado","En ruta"),IF($L257&lt;=$K257,"Sí","No")))</f>
        <v/>
      </c>
      <c r="O257" s="24">
        <f>IF($A257="","",COUNTIFS(NOVEDADES!$D$4:$D$1503,$A257))</f>
        <v/>
      </c>
      <c r="P257" s="28">
        <f>IF($A257="","",IF(COUNTIFS(NOVEDADES!$D$4:$D$1503,$A257,NOVEDADES!$O$4:$O$1503,"SÍ")&gt;0,"No","Sí"))</f>
        <v/>
      </c>
      <c r="Q257" s="28">
        <f>IF(OR($A257="",$L257=""),"",IF(AND($N257="Sí",$P257="Sí"),"OTIF","Falló"))</f>
        <v/>
      </c>
    </row>
    <row r="258" ht="16" customHeight="1">
      <c r="A258" s="48" t="n"/>
      <c r="B258" s="48" t="n"/>
      <c r="C258" s="47" t="n"/>
      <c r="D258" s="50" t="n"/>
      <c r="E258" s="50" t="n"/>
      <c r="F258" s="50" t="n"/>
      <c r="G258" s="50" t="n"/>
      <c r="H258" s="48" t="n"/>
      <c r="I258" s="51" t="n"/>
      <c r="J258" s="52" t="n"/>
      <c r="K258" s="47" t="n"/>
      <c r="L258" s="47" t="n"/>
      <c r="M258" s="24">
        <f>IF(OR($A258="",$C258=""),"",IF($L258&lt;&gt;"",$L258-$C258,TODAY()-$C258))</f>
        <v/>
      </c>
      <c r="N258" s="28">
        <f>IF(OR($A258="",$K258=""),"",IF($L258="",IF(TODAY()&gt;$K258,"Atrasado","En ruta"),IF($L258&lt;=$K258,"Sí","No")))</f>
        <v/>
      </c>
      <c r="O258" s="24">
        <f>IF($A258="","",COUNTIFS(NOVEDADES!$D$4:$D$1503,$A258))</f>
        <v/>
      </c>
      <c r="P258" s="28">
        <f>IF($A258="","",IF(COUNTIFS(NOVEDADES!$D$4:$D$1503,$A258,NOVEDADES!$O$4:$O$1503,"SÍ")&gt;0,"No","Sí"))</f>
        <v/>
      </c>
      <c r="Q258" s="28">
        <f>IF(OR($A258="",$L258=""),"",IF(AND($N258="Sí",$P258="Sí"),"OTIF","Falló"))</f>
        <v/>
      </c>
    </row>
    <row r="259" ht="16" customHeight="1">
      <c r="A259" s="48" t="n"/>
      <c r="B259" s="48" t="n"/>
      <c r="C259" s="47" t="n"/>
      <c r="D259" s="50" t="n"/>
      <c r="E259" s="50" t="n"/>
      <c r="F259" s="50" t="n"/>
      <c r="G259" s="50" t="n"/>
      <c r="H259" s="48" t="n"/>
      <c r="I259" s="51" t="n"/>
      <c r="J259" s="52" t="n"/>
      <c r="K259" s="47" t="n"/>
      <c r="L259" s="47" t="n"/>
      <c r="M259" s="24">
        <f>IF(OR($A259="",$C259=""),"",IF($L259&lt;&gt;"",$L259-$C259,TODAY()-$C259))</f>
        <v/>
      </c>
      <c r="N259" s="28">
        <f>IF(OR($A259="",$K259=""),"",IF($L259="",IF(TODAY()&gt;$K259,"Atrasado","En ruta"),IF($L259&lt;=$K259,"Sí","No")))</f>
        <v/>
      </c>
      <c r="O259" s="24">
        <f>IF($A259="","",COUNTIFS(NOVEDADES!$D$4:$D$1503,$A259))</f>
        <v/>
      </c>
      <c r="P259" s="28">
        <f>IF($A259="","",IF(COUNTIFS(NOVEDADES!$D$4:$D$1503,$A259,NOVEDADES!$O$4:$O$1503,"SÍ")&gt;0,"No","Sí"))</f>
        <v/>
      </c>
      <c r="Q259" s="28">
        <f>IF(OR($A259="",$L259=""),"",IF(AND($N259="Sí",$P259="Sí"),"OTIF","Falló"))</f>
        <v/>
      </c>
    </row>
    <row r="260" ht="16" customHeight="1">
      <c r="A260" s="48" t="n"/>
      <c r="B260" s="48" t="n"/>
      <c r="C260" s="47" t="n"/>
      <c r="D260" s="50" t="n"/>
      <c r="E260" s="50" t="n"/>
      <c r="F260" s="50" t="n"/>
      <c r="G260" s="50" t="n"/>
      <c r="H260" s="48" t="n"/>
      <c r="I260" s="51" t="n"/>
      <c r="J260" s="52" t="n"/>
      <c r="K260" s="47" t="n"/>
      <c r="L260" s="47" t="n"/>
      <c r="M260" s="24">
        <f>IF(OR($A260="",$C260=""),"",IF($L260&lt;&gt;"",$L260-$C260,TODAY()-$C260))</f>
        <v/>
      </c>
      <c r="N260" s="28">
        <f>IF(OR($A260="",$K260=""),"",IF($L260="",IF(TODAY()&gt;$K260,"Atrasado","En ruta"),IF($L260&lt;=$K260,"Sí","No")))</f>
        <v/>
      </c>
      <c r="O260" s="24">
        <f>IF($A260="","",COUNTIFS(NOVEDADES!$D$4:$D$1503,$A260))</f>
        <v/>
      </c>
      <c r="P260" s="28">
        <f>IF($A260="","",IF(COUNTIFS(NOVEDADES!$D$4:$D$1503,$A260,NOVEDADES!$O$4:$O$1503,"SÍ")&gt;0,"No","Sí"))</f>
        <v/>
      </c>
      <c r="Q260" s="28">
        <f>IF(OR($A260="",$L260=""),"",IF(AND($N260="Sí",$P260="Sí"),"OTIF","Falló"))</f>
        <v/>
      </c>
    </row>
    <row r="261" ht="16" customHeight="1">
      <c r="A261" s="48" t="n"/>
      <c r="B261" s="48" t="n"/>
      <c r="C261" s="47" t="n"/>
      <c r="D261" s="50" t="n"/>
      <c r="E261" s="50" t="n"/>
      <c r="F261" s="50" t="n"/>
      <c r="G261" s="50" t="n"/>
      <c r="H261" s="48" t="n"/>
      <c r="I261" s="51" t="n"/>
      <c r="J261" s="52" t="n"/>
      <c r="K261" s="47" t="n"/>
      <c r="L261" s="47" t="n"/>
      <c r="M261" s="24">
        <f>IF(OR($A261="",$C261=""),"",IF($L261&lt;&gt;"",$L261-$C261,TODAY()-$C261))</f>
        <v/>
      </c>
      <c r="N261" s="28">
        <f>IF(OR($A261="",$K261=""),"",IF($L261="",IF(TODAY()&gt;$K261,"Atrasado","En ruta"),IF($L261&lt;=$K261,"Sí","No")))</f>
        <v/>
      </c>
      <c r="O261" s="24">
        <f>IF($A261="","",COUNTIFS(NOVEDADES!$D$4:$D$1503,$A261))</f>
        <v/>
      </c>
      <c r="P261" s="28">
        <f>IF($A261="","",IF(COUNTIFS(NOVEDADES!$D$4:$D$1503,$A261,NOVEDADES!$O$4:$O$1503,"SÍ")&gt;0,"No","Sí"))</f>
        <v/>
      </c>
      <c r="Q261" s="28">
        <f>IF(OR($A261="",$L261=""),"",IF(AND($N261="Sí",$P261="Sí"),"OTIF","Falló"))</f>
        <v/>
      </c>
    </row>
    <row r="262" ht="16" customHeight="1">
      <c r="A262" s="48" t="n"/>
      <c r="B262" s="48" t="n"/>
      <c r="C262" s="47" t="n"/>
      <c r="D262" s="50" t="n"/>
      <c r="E262" s="50" t="n"/>
      <c r="F262" s="50" t="n"/>
      <c r="G262" s="50" t="n"/>
      <c r="H262" s="48" t="n"/>
      <c r="I262" s="51" t="n"/>
      <c r="J262" s="52" t="n"/>
      <c r="K262" s="47" t="n"/>
      <c r="L262" s="47" t="n"/>
      <c r="M262" s="24">
        <f>IF(OR($A262="",$C262=""),"",IF($L262&lt;&gt;"",$L262-$C262,TODAY()-$C262))</f>
        <v/>
      </c>
      <c r="N262" s="28">
        <f>IF(OR($A262="",$K262=""),"",IF($L262="",IF(TODAY()&gt;$K262,"Atrasado","En ruta"),IF($L262&lt;=$K262,"Sí","No")))</f>
        <v/>
      </c>
      <c r="O262" s="24">
        <f>IF($A262="","",COUNTIFS(NOVEDADES!$D$4:$D$1503,$A262))</f>
        <v/>
      </c>
      <c r="P262" s="28">
        <f>IF($A262="","",IF(COUNTIFS(NOVEDADES!$D$4:$D$1503,$A262,NOVEDADES!$O$4:$O$1503,"SÍ")&gt;0,"No","Sí"))</f>
        <v/>
      </c>
      <c r="Q262" s="28">
        <f>IF(OR($A262="",$L262=""),"",IF(AND($N262="Sí",$P262="Sí"),"OTIF","Falló"))</f>
        <v/>
      </c>
    </row>
    <row r="263" ht="16" customHeight="1">
      <c r="A263" s="48" t="n"/>
      <c r="B263" s="48" t="n"/>
      <c r="C263" s="47" t="n"/>
      <c r="D263" s="50" t="n"/>
      <c r="E263" s="50" t="n"/>
      <c r="F263" s="50" t="n"/>
      <c r="G263" s="50" t="n"/>
      <c r="H263" s="48" t="n"/>
      <c r="I263" s="51" t="n"/>
      <c r="J263" s="52" t="n"/>
      <c r="K263" s="47" t="n"/>
      <c r="L263" s="47" t="n"/>
      <c r="M263" s="24">
        <f>IF(OR($A263="",$C263=""),"",IF($L263&lt;&gt;"",$L263-$C263,TODAY()-$C263))</f>
        <v/>
      </c>
      <c r="N263" s="28">
        <f>IF(OR($A263="",$K263=""),"",IF($L263="",IF(TODAY()&gt;$K263,"Atrasado","En ruta"),IF($L263&lt;=$K263,"Sí","No")))</f>
        <v/>
      </c>
      <c r="O263" s="24">
        <f>IF($A263="","",COUNTIFS(NOVEDADES!$D$4:$D$1503,$A263))</f>
        <v/>
      </c>
      <c r="P263" s="28">
        <f>IF($A263="","",IF(COUNTIFS(NOVEDADES!$D$4:$D$1503,$A263,NOVEDADES!$O$4:$O$1503,"SÍ")&gt;0,"No","Sí"))</f>
        <v/>
      </c>
      <c r="Q263" s="28">
        <f>IF(OR($A263="",$L263=""),"",IF(AND($N263="Sí",$P263="Sí"),"OTIF","Falló"))</f>
        <v/>
      </c>
    </row>
    <row r="264" ht="16" customHeight="1">
      <c r="A264" s="48" t="n"/>
      <c r="B264" s="48" t="n"/>
      <c r="C264" s="47" t="n"/>
      <c r="D264" s="50" t="n"/>
      <c r="E264" s="50" t="n"/>
      <c r="F264" s="50" t="n"/>
      <c r="G264" s="50" t="n"/>
      <c r="H264" s="48" t="n"/>
      <c r="I264" s="51" t="n"/>
      <c r="J264" s="52" t="n"/>
      <c r="K264" s="47" t="n"/>
      <c r="L264" s="47" t="n"/>
      <c r="M264" s="24">
        <f>IF(OR($A264="",$C264=""),"",IF($L264&lt;&gt;"",$L264-$C264,TODAY()-$C264))</f>
        <v/>
      </c>
      <c r="N264" s="28">
        <f>IF(OR($A264="",$K264=""),"",IF($L264="",IF(TODAY()&gt;$K264,"Atrasado","En ruta"),IF($L264&lt;=$K264,"Sí","No")))</f>
        <v/>
      </c>
      <c r="O264" s="24">
        <f>IF($A264="","",COUNTIFS(NOVEDADES!$D$4:$D$1503,$A264))</f>
        <v/>
      </c>
      <c r="P264" s="28">
        <f>IF($A264="","",IF(COUNTIFS(NOVEDADES!$D$4:$D$1503,$A264,NOVEDADES!$O$4:$O$1503,"SÍ")&gt;0,"No","Sí"))</f>
        <v/>
      </c>
      <c r="Q264" s="28">
        <f>IF(OR($A264="",$L264=""),"",IF(AND($N264="Sí",$P264="Sí"),"OTIF","Falló"))</f>
        <v/>
      </c>
    </row>
    <row r="265" ht="16" customHeight="1">
      <c r="A265" s="48" t="n"/>
      <c r="B265" s="48" t="n"/>
      <c r="C265" s="47" t="n"/>
      <c r="D265" s="50" t="n"/>
      <c r="E265" s="50" t="n"/>
      <c r="F265" s="50" t="n"/>
      <c r="G265" s="50" t="n"/>
      <c r="H265" s="48" t="n"/>
      <c r="I265" s="51" t="n"/>
      <c r="J265" s="52" t="n"/>
      <c r="K265" s="47" t="n"/>
      <c r="L265" s="47" t="n"/>
      <c r="M265" s="24">
        <f>IF(OR($A265="",$C265=""),"",IF($L265&lt;&gt;"",$L265-$C265,TODAY()-$C265))</f>
        <v/>
      </c>
      <c r="N265" s="28">
        <f>IF(OR($A265="",$K265=""),"",IF($L265="",IF(TODAY()&gt;$K265,"Atrasado","En ruta"),IF($L265&lt;=$K265,"Sí","No")))</f>
        <v/>
      </c>
      <c r="O265" s="24">
        <f>IF($A265="","",COUNTIFS(NOVEDADES!$D$4:$D$1503,$A265))</f>
        <v/>
      </c>
      <c r="P265" s="28">
        <f>IF($A265="","",IF(COUNTIFS(NOVEDADES!$D$4:$D$1503,$A265,NOVEDADES!$O$4:$O$1503,"SÍ")&gt;0,"No","Sí"))</f>
        <v/>
      </c>
      <c r="Q265" s="28">
        <f>IF(OR($A265="",$L265=""),"",IF(AND($N265="Sí",$P265="Sí"),"OTIF","Falló"))</f>
        <v/>
      </c>
    </row>
    <row r="266" ht="16" customHeight="1">
      <c r="A266" s="48" t="n"/>
      <c r="B266" s="48" t="n"/>
      <c r="C266" s="47" t="n"/>
      <c r="D266" s="50" t="n"/>
      <c r="E266" s="50" t="n"/>
      <c r="F266" s="50" t="n"/>
      <c r="G266" s="50" t="n"/>
      <c r="H266" s="48" t="n"/>
      <c r="I266" s="51" t="n"/>
      <c r="J266" s="52" t="n"/>
      <c r="K266" s="47" t="n"/>
      <c r="L266" s="47" t="n"/>
      <c r="M266" s="24">
        <f>IF(OR($A266="",$C266=""),"",IF($L266&lt;&gt;"",$L266-$C266,TODAY()-$C266))</f>
        <v/>
      </c>
      <c r="N266" s="28">
        <f>IF(OR($A266="",$K266=""),"",IF($L266="",IF(TODAY()&gt;$K266,"Atrasado","En ruta"),IF($L266&lt;=$K266,"Sí","No")))</f>
        <v/>
      </c>
      <c r="O266" s="24">
        <f>IF($A266="","",COUNTIFS(NOVEDADES!$D$4:$D$1503,$A266))</f>
        <v/>
      </c>
      <c r="P266" s="28">
        <f>IF($A266="","",IF(COUNTIFS(NOVEDADES!$D$4:$D$1503,$A266,NOVEDADES!$O$4:$O$1503,"SÍ")&gt;0,"No","Sí"))</f>
        <v/>
      </c>
      <c r="Q266" s="28">
        <f>IF(OR($A266="",$L266=""),"",IF(AND($N266="Sí",$P266="Sí"),"OTIF","Falló"))</f>
        <v/>
      </c>
    </row>
    <row r="267" ht="16" customHeight="1">
      <c r="A267" s="48" t="n"/>
      <c r="B267" s="48" t="n"/>
      <c r="C267" s="47" t="n"/>
      <c r="D267" s="50" t="n"/>
      <c r="E267" s="50" t="n"/>
      <c r="F267" s="50" t="n"/>
      <c r="G267" s="50" t="n"/>
      <c r="H267" s="48" t="n"/>
      <c r="I267" s="51" t="n"/>
      <c r="J267" s="52" t="n"/>
      <c r="K267" s="47" t="n"/>
      <c r="L267" s="47" t="n"/>
      <c r="M267" s="24">
        <f>IF(OR($A267="",$C267=""),"",IF($L267&lt;&gt;"",$L267-$C267,TODAY()-$C267))</f>
        <v/>
      </c>
      <c r="N267" s="28">
        <f>IF(OR($A267="",$K267=""),"",IF($L267="",IF(TODAY()&gt;$K267,"Atrasado","En ruta"),IF($L267&lt;=$K267,"Sí","No")))</f>
        <v/>
      </c>
      <c r="O267" s="24">
        <f>IF($A267="","",COUNTIFS(NOVEDADES!$D$4:$D$1503,$A267))</f>
        <v/>
      </c>
      <c r="P267" s="28">
        <f>IF($A267="","",IF(COUNTIFS(NOVEDADES!$D$4:$D$1503,$A267,NOVEDADES!$O$4:$O$1503,"SÍ")&gt;0,"No","Sí"))</f>
        <v/>
      </c>
      <c r="Q267" s="28">
        <f>IF(OR($A267="",$L267=""),"",IF(AND($N267="Sí",$P267="Sí"),"OTIF","Falló"))</f>
        <v/>
      </c>
    </row>
    <row r="268" ht="16" customHeight="1">
      <c r="A268" s="48" t="n"/>
      <c r="B268" s="48" t="n"/>
      <c r="C268" s="47" t="n"/>
      <c r="D268" s="50" t="n"/>
      <c r="E268" s="50" t="n"/>
      <c r="F268" s="50" t="n"/>
      <c r="G268" s="50" t="n"/>
      <c r="H268" s="48" t="n"/>
      <c r="I268" s="51" t="n"/>
      <c r="J268" s="52" t="n"/>
      <c r="K268" s="47" t="n"/>
      <c r="L268" s="47" t="n"/>
      <c r="M268" s="24">
        <f>IF(OR($A268="",$C268=""),"",IF($L268&lt;&gt;"",$L268-$C268,TODAY()-$C268))</f>
        <v/>
      </c>
      <c r="N268" s="28">
        <f>IF(OR($A268="",$K268=""),"",IF($L268="",IF(TODAY()&gt;$K268,"Atrasado","En ruta"),IF($L268&lt;=$K268,"Sí","No")))</f>
        <v/>
      </c>
      <c r="O268" s="24">
        <f>IF($A268="","",COUNTIFS(NOVEDADES!$D$4:$D$1503,$A268))</f>
        <v/>
      </c>
      <c r="P268" s="28">
        <f>IF($A268="","",IF(COUNTIFS(NOVEDADES!$D$4:$D$1503,$A268,NOVEDADES!$O$4:$O$1503,"SÍ")&gt;0,"No","Sí"))</f>
        <v/>
      </c>
      <c r="Q268" s="28">
        <f>IF(OR($A268="",$L268=""),"",IF(AND($N268="Sí",$P268="Sí"),"OTIF","Falló"))</f>
        <v/>
      </c>
    </row>
    <row r="269" ht="16" customHeight="1">
      <c r="A269" s="48" t="n"/>
      <c r="B269" s="48" t="n"/>
      <c r="C269" s="47" t="n"/>
      <c r="D269" s="50" t="n"/>
      <c r="E269" s="50" t="n"/>
      <c r="F269" s="50" t="n"/>
      <c r="G269" s="50" t="n"/>
      <c r="H269" s="48" t="n"/>
      <c r="I269" s="51" t="n"/>
      <c r="J269" s="52" t="n"/>
      <c r="K269" s="47" t="n"/>
      <c r="L269" s="47" t="n"/>
      <c r="M269" s="24">
        <f>IF(OR($A269="",$C269=""),"",IF($L269&lt;&gt;"",$L269-$C269,TODAY()-$C269))</f>
        <v/>
      </c>
      <c r="N269" s="28">
        <f>IF(OR($A269="",$K269=""),"",IF($L269="",IF(TODAY()&gt;$K269,"Atrasado","En ruta"),IF($L269&lt;=$K269,"Sí","No")))</f>
        <v/>
      </c>
      <c r="O269" s="24">
        <f>IF($A269="","",COUNTIFS(NOVEDADES!$D$4:$D$1503,$A269))</f>
        <v/>
      </c>
      <c r="P269" s="28">
        <f>IF($A269="","",IF(COUNTIFS(NOVEDADES!$D$4:$D$1503,$A269,NOVEDADES!$O$4:$O$1503,"SÍ")&gt;0,"No","Sí"))</f>
        <v/>
      </c>
      <c r="Q269" s="28">
        <f>IF(OR($A269="",$L269=""),"",IF(AND($N269="Sí",$P269="Sí"),"OTIF","Falló"))</f>
        <v/>
      </c>
    </row>
    <row r="270" ht="16" customHeight="1">
      <c r="A270" s="48" t="n"/>
      <c r="B270" s="48" t="n"/>
      <c r="C270" s="47" t="n"/>
      <c r="D270" s="50" t="n"/>
      <c r="E270" s="50" t="n"/>
      <c r="F270" s="50" t="n"/>
      <c r="G270" s="50" t="n"/>
      <c r="H270" s="48" t="n"/>
      <c r="I270" s="51" t="n"/>
      <c r="J270" s="52" t="n"/>
      <c r="K270" s="47" t="n"/>
      <c r="L270" s="47" t="n"/>
      <c r="M270" s="24">
        <f>IF(OR($A270="",$C270=""),"",IF($L270&lt;&gt;"",$L270-$C270,TODAY()-$C270))</f>
        <v/>
      </c>
      <c r="N270" s="28">
        <f>IF(OR($A270="",$K270=""),"",IF($L270="",IF(TODAY()&gt;$K270,"Atrasado","En ruta"),IF($L270&lt;=$K270,"Sí","No")))</f>
        <v/>
      </c>
      <c r="O270" s="24">
        <f>IF($A270="","",COUNTIFS(NOVEDADES!$D$4:$D$1503,$A270))</f>
        <v/>
      </c>
      <c r="P270" s="28">
        <f>IF($A270="","",IF(COUNTIFS(NOVEDADES!$D$4:$D$1503,$A270,NOVEDADES!$O$4:$O$1503,"SÍ")&gt;0,"No","Sí"))</f>
        <v/>
      </c>
      <c r="Q270" s="28">
        <f>IF(OR($A270="",$L270=""),"",IF(AND($N270="Sí",$P270="Sí"),"OTIF","Falló"))</f>
        <v/>
      </c>
    </row>
    <row r="271" ht="16" customHeight="1">
      <c r="A271" s="48" t="n"/>
      <c r="B271" s="48" t="n"/>
      <c r="C271" s="47" t="n"/>
      <c r="D271" s="50" t="n"/>
      <c r="E271" s="50" t="n"/>
      <c r="F271" s="50" t="n"/>
      <c r="G271" s="50" t="n"/>
      <c r="H271" s="48" t="n"/>
      <c r="I271" s="51" t="n"/>
      <c r="J271" s="52" t="n"/>
      <c r="K271" s="47" t="n"/>
      <c r="L271" s="47" t="n"/>
      <c r="M271" s="24">
        <f>IF(OR($A271="",$C271=""),"",IF($L271&lt;&gt;"",$L271-$C271,TODAY()-$C271))</f>
        <v/>
      </c>
      <c r="N271" s="28">
        <f>IF(OR($A271="",$K271=""),"",IF($L271="",IF(TODAY()&gt;$K271,"Atrasado","En ruta"),IF($L271&lt;=$K271,"Sí","No")))</f>
        <v/>
      </c>
      <c r="O271" s="24">
        <f>IF($A271="","",COUNTIFS(NOVEDADES!$D$4:$D$1503,$A271))</f>
        <v/>
      </c>
      <c r="P271" s="28">
        <f>IF($A271="","",IF(COUNTIFS(NOVEDADES!$D$4:$D$1503,$A271,NOVEDADES!$O$4:$O$1503,"SÍ")&gt;0,"No","Sí"))</f>
        <v/>
      </c>
      <c r="Q271" s="28">
        <f>IF(OR($A271="",$L271=""),"",IF(AND($N271="Sí",$P271="Sí"),"OTIF","Falló"))</f>
        <v/>
      </c>
    </row>
    <row r="272" ht="16" customHeight="1">
      <c r="A272" s="48" t="n"/>
      <c r="B272" s="48" t="n"/>
      <c r="C272" s="47" t="n"/>
      <c r="D272" s="50" t="n"/>
      <c r="E272" s="50" t="n"/>
      <c r="F272" s="50" t="n"/>
      <c r="G272" s="50" t="n"/>
      <c r="H272" s="48" t="n"/>
      <c r="I272" s="51" t="n"/>
      <c r="J272" s="52" t="n"/>
      <c r="K272" s="47" t="n"/>
      <c r="L272" s="47" t="n"/>
      <c r="M272" s="24">
        <f>IF(OR($A272="",$C272=""),"",IF($L272&lt;&gt;"",$L272-$C272,TODAY()-$C272))</f>
        <v/>
      </c>
      <c r="N272" s="28">
        <f>IF(OR($A272="",$K272=""),"",IF($L272="",IF(TODAY()&gt;$K272,"Atrasado","En ruta"),IF($L272&lt;=$K272,"Sí","No")))</f>
        <v/>
      </c>
      <c r="O272" s="24">
        <f>IF($A272="","",COUNTIFS(NOVEDADES!$D$4:$D$1503,$A272))</f>
        <v/>
      </c>
      <c r="P272" s="28">
        <f>IF($A272="","",IF(COUNTIFS(NOVEDADES!$D$4:$D$1503,$A272,NOVEDADES!$O$4:$O$1503,"SÍ")&gt;0,"No","Sí"))</f>
        <v/>
      </c>
      <c r="Q272" s="28">
        <f>IF(OR($A272="",$L272=""),"",IF(AND($N272="Sí",$P272="Sí"),"OTIF","Falló"))</f>
        <v/>
      </c>
    </row>
    <row r="273" ht="16" customHeight="1">
      <c r="A273" s="48" t="n"/>
      <c r="B273" s="48" t="n"/>
      <c r="C273" s="47" t="n"/>
      <c r="D273" s="50" t="n"/>
      <c r="E273" s="50" t="n"/>
      <c r="F273" s="50" t="n"/>
      <c r="G273" s="50" t="n"/>
      <c r="H273" s="48" t="n"/>
      <c r="I273" s="51" t="n"/>
      <c r="J273" s="52" t="n"/>
      <c r="K273" s="47" t="n"/>
      <c r="L273" s="47" t="n"/>
      <c r="M273" s="24">
        <f>IF(OR($A273="",$C273=""),"",IF($L273&lt;&gt;"",$L273-$C273,TODAY()-$C273))</f>
        <v/>
      </c>
      <c r="N273" s="28">
        <f>IF(OR($A273="",$K273=""),"",IF($L273="",IF(TODAY()&gt;$K273,"Atrasado","En ruta"),IF($L273&lt;=$K273,"Sí","No")))</f>
        <v/>
      </c>
      <c r="O273" s="24">
        <f>IF($A273="","",COUNTIFS(NOVEDADES!$D$4:$D$1503,$A273))</f>
        <v/>
      </c>
      <c r="P273" s="28">
        <f>IF($A273="","",IF(COUNTIFS(NOVEDADES!$D$4:$D$1503,$A273,NOVEDADES!$O$4:$O$1503,"SÍ")&gt;0,"No","Sí"))</f>
        <v/>
      </c>
      <c r="Q273" s="28">
        <f>IF(OR($A273="",$L273=""),"",IF(AND($N273="Sí",$P273="Sí"),"OTIF","Falló"))</f>
        <v/>
      </c>
    </row>
    <row r="274" ht="16" customHeight="1">
      <c r="A274" s="48" t="n"/>
      <c r="B274" s="48" t="n"/>
      <c r="C274" s="47" t="n"/>
      <c r="D274" s="50" t="n"/>
      <c r="E274" s="50" t="n"/>
      <c r="F274" s="50" t="n"/>
      <c r="G274" s="50" t="n"/>
      <c r="H274" s="48" t="n"/>
      <c r="I274" s="51" t="n"/>
      <c r="J274" s="52" t="n"/>
      <c r="K274" s="47" t="n"/>
      <c r="L274" s="47" t="n"/>
      <c r="M274" s="24">
        <f>IF(OR($A274="",$C274=""),"",IF($L274&lt;&gt;"",$L274-$C274,TODAY()-$C274))</f>
        <v/>
      </c>
      <c r="N274" s="28">
        <f>IF(OR($A274="",$K274=""),"",IF($L274="",IF(TODAY()&gt;$K274,"Atrasado","En ruta"),IF($L274&lt;=$K274,"Sí","No")))</f>
        <v/>
      </c>
      <c r="O274" s="24">
        <f>IF($A274="","",COUNTIFS(NOVEDADES!$D$4:$D$1503,$A274))</f>
        <v/>
      </c>
      <c r="P274" s="28">
        <f>IF($A274="","",IF(COUNTIFS(NOVEDADES!$D$4:$D$1503,$A274,NOVEDADES!$O$4:$O$1503,"SÍ")&gt;0,"No","Sí"))</f>
        <v/>
      </c>
      <c r="Q274" s="28">
        <f>IF(OR($A274="",$L274=""),"",IF(AND($N274="Sí",$P274="Sí"),"OTIF","Falló"))</f>
        <v/>
      </c>
    </row>
    <row r="275" ht="16" customHeight="1">
      <c r="A275" s="48" t="n"/>
      <c r="B275" s="48" t="n"/>
      <c r="C275" s="47" t="n"/>
      <c r="D275" s="50" t="n"/>
      <c r="E275" s="50" t="n"/>
      <c r="F275" s="50" t="n"/>
      <c r="G275" s="50" t="n"/>
      <c r="H275" s="48" t="n"/>
      <c r="I275" s="51" t="n"/>
      <c r="J275" s="52" t="n"/>
      <c r="K275" s="47" t="n"/>
      <c r="L275" s="47" t="n"/>
      <c r="M275" s="24">
        <f>IF(OR($A275="",$C275=""),"",IF($L275&lt;&gt;"",$L275-$C275,TODAY()-$C275))</f>
        <v/>
      </c>
      <c r="N275" s="28">
        <f>IF(OR($A275="",$K275=""),"",IF($L275="",IF(TODAY()&gt;$K275,"Atrasado","En ruta"),IF($L275&lt;=$K275,"Sí","No")))</f>
        <v/>
      </c>
      <c r="O275" s="24">
        <f>IF($A275="","",COUNTIFS(NOVEDADES!$D$4:$D$1503,$A275))</f>
        <v/>
      </c>
      <c r="P275" s="28">
        <f>IF($A275="","",IF(COUNTIFS(NOVEDADES!$D$4:$D$1503,$A275,NOVEDADES!$O$4:$O$1503,"SÍ")&gt;0,"No","Sí"))</f>
        <v/>
      </c>
      <c r="Q275" s="28">
        <f>IF(OR($A275="",$L275=""),"",IF(AND($N275="Sí",$P275="Sí"),"OTIF","Falló"))</f>
        <v/>
      </c>
    </row>
    <row r="276" ht="16" customHeight="1">
      <c r="A276" s="48" t="n"/>
      <c r="B276" s="48" t="n"/>
      <c r="C276" s="47" t="n"/>
      <c r="D276" s="50" t="n"/>
      <c r="E276" s="50" t="n"/>
      <c r="F276" s="50" t="n"/>
      <c r="G276" s="50" t="n"/>
      <c r="H276" s="48" t="n"/>
      <c r="I276" s="51" t="n"/>
      <c r="J276" s="52" t="n"/>
      <c r="K276" s="47" t="n"/>
      <c r="L276" s="47" t="n"/>
      <c r="M276" s="24">
        <f>IF(OR($A276="",$C276=""),"",IF($L276&lt;&gt;"",$L276-$C276,TODAY()-$C276))</f>
        <v/>
      </c>
      <c r="N276" s="28">
        <f>IF(OR($A276="",$K276=""),"",IF($L276="",IF(TODAY()&gt;$K276,"Atrasado","En ruta"),IF($L276&lt;=$K276,"Sí","No")))</f>
        <v/>
      </c>
      <c r="O276" s="24">
        <f>IF($A276="","",COUNTIFS(NOVEDADES!$D$4:$D$1503,$A276))</f>
        <v/>
      </c>
      <c r="P276" s="28">
        <f>IF($A276="","",IF(COUNTIFS(NOVEDADES!$D$4:$D$1503,$A276,NOVEDADES!$O$4:$O$1503,"SÍ")&gt;0,"No","Sí"))</f>
        <v/>
      </c>
      <c r="Q276" s="28">
        <f>IF(OR($A276="",$L276=""),"",IF(AND($N276="Sí",$P276="Sí"),"OTIF","Falló"))</f>
        <v/>
      </c>
    </row>
    <row r="277" ht="16" customHeight="1">
      <c r="A277" s="48" t="n"/>
      <c r="B277" s="48" t="n"/>
      <c r="C277" s="47" t="n"/>
      <c r="D277" s="50" t="n"/>
      <c r="E277" s="50" t="n"/>
      <c r="F277" s="50" t="n"/>
      <c r="G277" s="50" t="n"/>
      <c r="H277" s="48" t="n"/>
      <c r="I277" s="51" t="n"/>
      <c r="J277" s="52" t="n"/>
      <c r="K277" s="47" t="n"/>
      <c r="L277" s="47" t="n"/>
      <c r="M277" s="24">
        <f>IF(OR($A277="",$C277=""),"",IF($L277&lt;&gt;"",$L277-$C277,TODAY()-$C277))</f>
        <v/>
      </c>
      <c r="N277" s="28">
        <f>IF(OR($A277="",$K277=""),"",IF($L277="",IF(TODAY()&gt;$K277,"Atrasado","En ruta"),IF($L277&lt;=$K277,"Sí","No")))</f>
        <v/>
      </c>
      <c r="O277" s="24">
        <f>IF($A277="","",COUNTIFS(NOVEDADES!$D$4:$D$1503,$A277))</f>
        <v/>
      </c>
      <c r="P277" s="28">
        <f>IF($A277="","",IF(COUNTIFS(NOVEDADES!$D$4:$D$1503,$A277,NOVEDADES!$O$4:$O$1503,"SÍ")&gt;0,"No","Sí"))</f>
        <v/>
      </c>
      <c r="Q277" s="28">
        <f>IF(OR($A277="",$L277=""),"",IF(AND($N277="Sí",$P277="Sí"),"OTIF","Falló"))</f>
        <v/>
      </c>
    </row>
    <row r="278" ht="16" customHeight="1">
      <c r="A278" s="48" t="n"/>
      <c r="B278" s="48" t="n"/>
      <c r="C278" s="47" t="n"/>
      <c r="D278" s="50" t="n"/>
      <c r="E278" s="50" t="n"/>
      <c r="F278" s="50" t="n"/>
      <c r="G278" s="50" t="n"/>
      <c r="H278" s="48" t="n"/>
      <c r="I278" s="51" t="n"/>
      <c r="J278" s="52" t="n"/>
      <c r="K278" s="47" t="n"/>
      <c r="L278" s="47" t="n"/>
      <c r="M278" s="24">
        <f>IF(OR($A278="",$C278=""),"",IF($L278&lt;&gt;"",$L278-$C278,TODAY()-$C278))</f>
        <v/>
      </c>
      <c r="N278" s="28">
        <f>IF(OR($A278="",$K278=""),"",IF($L278="",IF(TODAY()&gt;$K278,"Atrasado","En ruta"),IF($L278&lt;=$K278,"Sí","No")))</f>
        <v/>
      </c>
      <c r="O278" s="24">
        <f>IF($A278="","",COUNTIFS(NOVEDADES!$D$4:$D$1503,$A278))</f>
        <v/>
      </c>
      <c r="P278" s="28">
        <f>IF($A278="","",IF(COUNTIFS(NOVEDADES!$D$4:$D$1503,$A278,NOVEDADES!$O$4:$O$1503,"SÍ")&gt;0,"No","Sí"))</f>
        <v/>
      </c>
      <c r="Q278" s="28">
        <f>IF(OR($A278="",$L278=""),"",IF(AND($N278="Sí",$P278="Sí"),"OTIF","Falló"))</f>
        <v/>
      </c>
    </row>
    <row r="279" ht="16" customHeight="1">
      <c r="A279" s="48" t="n"/>
      <c r="B279" s="48" t="n"/>
      <c r="C279" s="47" t="n"/>
      <c r="D279" s="50" t="n"/>
      <c r="E279" s="50" t="n"/>
      <c r="F279" s="50" t="n"/>
      <c r="G279" s="50" t="n"/>
      <c r="H279" s="48" t="n"/>
      <c r="I279" s="51" t="n"/>
      <c r="J279" s="52" t="n"/>
      <c r="K279" s="47" t="n"/>
      <c r="L279" s="47" t="n"/>
      <c r="M279" s="24">
        <f>IF(OR($A279="",$C279=""),"",IF($L279&lt;&gt;"",$L279-$C279,TODAY()-$C279))</f>
        <v/>
      </c>
      <c r="N279" s="28">
        <f>IF(OR($A279="",$K279=""),"",IF($L279="",IF(TODAY()&gt;$K279,"Atrasado","En ruta"),IF($L279&lt;=$K279,"Sí","No")))</f>
        <v/>
      </c>
      <c r="O279" s="24">
        <f>IF($A279="","",COUNTIFS(NOVEDADES!$D$4:$D$1503,$A279))</f>
        <v/>
      </c>
      <c r="P279" s="28">
        <f>IF($A279="","",IF(COUNTIFS(NOVEDADES!$D$4:$D$1503,$A279,NOVEDADES!$O$4:$O$1503,"SÍ")&gt;0,"No","Sí"))</f>
        <v/>
      </c>
      <c r="Q279" s="28">
        <f>IF(OR($A279="",$L279=""),"",IF(AND($N279="Sí",$P279="Sí"),"OTIF","Falló"))</f>
        <v/>
      </c>
    </row>
    <row r="280" ht="16" customHeight="1">
      <c r="A280" s="48" t="n"/>
      <c r="B280" s="48" t="n"/>
      <c r="C280" s="47" t="n"/>
      <c r="D280" s="50" t="n"/>
      <c r="E280" s="50" t="n"/>
      <c r="F280" s="50" t="n"/>
      <c r="G280" s="50" t="n"/>
      <c r="H280" s="48" t="n"/>
      <c r="I280" s="51" t="n"/>
      <c r="J280" s="52" t="n"/>
      <c r="K280" s="47" t="n"/>
      <c r="L280" s="47" t="n"/>
      <c r="M280" s="24">
        <f>IF(OR($A280="",$C280=""),"",IF($L280&lt;&gt;"",$L280-$C280,TODAY()-$C280))</f>
        <v/>
      </c>
      <c r="N280" s="28">
        <f>IF(OR($A280="",$K280=""),"",IF($L280="",IF(TODAY()&gt;$K280,"Atrasado","En ruta"),IF($L280&lt;=$K280,"Sí","No")))</f>
        <v/>
      </c>
      <c r="O280" s="24">
        <f>IF($A280="","",COUNTIFS(NOVEDADES!$D$4:$D$1503,$A280))</f>
        <v/>
      </c>
      <c r="P280" s="28">
        <f>IF($A280="","",IF(COUNTIFS(NOVEDADES!$D$4:$D$1503,$A280,NOVEDADES!$O$4:$O$1503,"SÍ")&gt;0,"No","Sí"))</f>
        <v/>
      </c>
      <c r="Q280" s="28">
        <f>IF(OR($A280="",$L280=""),"",IF(AND($N280="Sí",$P280="Sí"),"OTIF","Falló"))</f>
        <v/>
      </c>
    </row>
    <row r="281" ht="16" customHeight="1">
      <c r="A281" s="48" t="n"/>
      <c r="B281" s="48" t="n"/>
      <c r="C281" s="47" t="n"/>
      <c r="D281" s="50" t="n"/>
      <c r="E281" s="50" t="n"/>
      <c r="F281" s="50" t="n"/>
      <c r="G281" s="50" t="n"/>
      <c r="H281" s="48" t="n"/>
      <c r="I281" s="51" t="n"/>
      <c r="J281" s="52" t="n"/>
      <c r="K281" s="47" t="n"/>
      <c r="L281" s="47" t="n"/>
      <c r="M281" s="24">
        <f>IF(OR($A281="",$C281=""),"",IF($L281&lt;&gt;"",$L281-$C281,TODAY()-$C281))</f>
        <v/>
      </c>
      <c r="N281" s="28">
        <f>IF(OR($A281="",$K281=""),"",IF($L281="",IF(TODAY()&gt;$K281,"Atrasado","En ruta"),IF($L281&lt;=$K281,"Sí","No")))</f>
        <v/>
      </c>
      <c r="O281" s="24">
        <f>IF($A281="","",COUNTIFS(NOVEDADES!$D$4:$D$1503,$A281))</f>
        <v/>
      </c>
      <c r="P281" s="28">
        <f>IF($A281="","",IF(COUNTIFS(NOVEDADES!$D$4:$D$1503,$A281,NOVEDADES!$O$4:$O$1503,"SÍ")&gt;0,"No","Sí"))</f>
        <v/>
      </c>
      <c r="Q281" s="28">
        <f>IF(OR($A281="",$L281=""),"",IF(AND($N281="Sí",$P281="Sí"),"OTIF","Falló"))</f>
        <v/>
      </c>
    </row>
    <row r="282" ht="16" customHeight="1">
      <c r="A282" s="48" t="n"/>
      <c r="B282" s="48" t="n"/>
      <c r="C282" s="47" t="n"/>
      <c r="D282" s="50" t="n"/>
      <c r="E282" s="50" t="n"/>
      <c r="F282" s="50" t="n"/>
      <c r="G282" s="50" t="n"/>
      <c r="H282" s="48" t="n"/>
      <c r="I282" s="51" t="n"/>
      <c r="J282" s="52" t="n"/>
      <c r="K282" s="47" t="n"/>
      <c r="L282" s="47" t="n"/>
      <c r="M282" s="24">
        <f>IF(OR($A282="",$C282=""),"",IF($L282&lt;&gt;"",$L282-$C282,TODAY()-$C282))</f>
        <v/>
      </c>
      <c r="N282" s="28">
        <f>IF(OR($A282="",$K282=""),"",IF($L282="",IF(TODAY()&gt;$K282,"Atrasado","En ruta"),IF($L282&lt;=$K282,"Sí","No")))</f>
        <v/>
      </c>
      <c r="O282" s="24">
        <f>IF($A282="","",COUNTIFS(NOVEDADES!$D$4:$D$1503,$A282))</f>
        <v/>
      </c>
      <c r="P282" s="28">
        <f>IF($A282="","",IF(COUNTIFS(NOVEDADES!$D$4:$D$1503,$A282,NOVEDADES!$O$4:$O$1503,"SÍ")&gt;0,"No","Sí"))</f>
        <v/>
      </c>
      <c r="Q282" s="28">
        <f>IF(OR($A282="",$L282=""),"",IF(AND($N282="Sí",$P282="Sí"),"OTIF","Falló"))</f>
        <v/>
      </c>
    </row>
    <row r="283" ht="16" customHeight="1">
      <c r="A283" s="48" t="n"/>
      <c r="B283" s="48" t="n"/>
      <c r="C283" s="47" t="n"/>
      <c r="D283" s="50" t="n"/>
      <c r="E283" s="50" t="n"/>
      <c r="F283" s="50" t="n"/>
      <c r="G283" s="50" t="n"/>
      <c r="H283" s="48" t="n"/>
      <c r="I283" s="51" t="n"/>
      <c r="J283" s="52" t="n"/>
      <c r="K283" s="47" t="n"/>
      <c r="L283" s="47" t="n"/>
      <c r="M283" s="24">
        <f>IF(OR($A283="",$C283=""),"",IF($L283&lt;&gt;"",$L283-$C283,TODAY()-$C283))</f>
        <v/>
      </c>
      <c r="N283" s="28">
        <f>IF(OR($A283="",$K283=""),"",IF($L283="",IF(TODAY()&gt;$K283,"Atrasado","En ruta"),IF($L283&lt;=$K283,"Sí","No")))</f>
        <v/>
      </c>
      <c r="O283" s="24">
        <f>IF($A283="","",COUNTIFS(NOVEDADES!$D$4:$D$1503,$A283))</f>
        <v/>
      </c>
      <c r="P283" s="28">
        <f>IF($A283="","",IF(COUNTIFS(NOVEDADES!$D$4:$D$1503,$A283,NOVEDADES!$O$4:$O$1503,"SÍ")&gt;0,"No","Sí"))</f>
        <v/>
      </c>
      <c r="Q283" s="28">
        <f>IF(OR($A283="",$L283=""),"",IF(AND($N283="Sí",$P283="Sí"),"OTIF","Falló"))</f>
        <v/>
      </c>
    </row>
    <row r="284" ht="16" customHeight="1">
      <c r="A284" s="48" t="n"/>
      <c r="B284" s="48" t="n"/>
      <c r="C284" s="47" t="n"/>
      <c r="D284" s="50" t="n"/>
      <c r="E284" s="50" t="n"/>
      <c r="F284" s="50" t="n"/>
      <c r="G284" s="50" t="n"/>
      <c r="H284" s="48" t="n"/>
      <c r="I284" s="51" t="n"/>
      <c r="J284" s="52" t="n"/>
      <c r="K284" s="47" t="n"/>
      <c r="L284" s="47" t="n"/>
      <c r="M284" s="24">
        <f>IF(OR($A284="",$C284=""),"",IF($L284&lt;&gt;"",$L284-$C284,TODAY()-$C284))</f>
        <v/>
      </c>
      <c r="N284" s="28">
        <f>IF(OR($A284="",$K284=""),"",IF($L284="",IF(TODAY()&gt;$K284,"Atrasado","En ruta"),IF($L284&lt;=$K284,"Sí","No")))</f>
        <v/>
      </c>
      <c r="O284" s="24">
        <f>IF($A284="","",COUNTIFS(NOVEDADES!$D$4:$D$1503,$A284))</f>
        <v/>
      </c>
      <c r="P284" s="28">
        <f>IF($A284="","",IF(COUNTIFS(NOVEDADES!$D$4:$D$1503,$A284,NOVEDADES!$O$4:$O$1503,"SÍ")&gt;0,"No","Sí"))</f>
        <v/>
      </c>
      <c r="Q284" s="28">
        <f>IF(OR($A284="",$L284=""),"",IF(AND($N284="Sí",$P284="Sí"),"OTIF","Falló"))</f>
        <v/>
      </c>
    </row>
    <row r="285" ht="16" customHeight="1">
      <c r="A285" s="48" t="n"/>
      <c r="B285" s="48" t="n"/>
      <c r="C285" s="47" t="n"/>
      <c r="D285" s="50" t="n"/>
      <c r="E285" s="50" t="n"/>
      <c r="F285" s="50" t="n"/>
      <c r="G285" s="50" t="n"/>
      <c r="H285" s="48" t="n"/>
      <c r="I285" s="51" t="n"/>
      <c r="J285" s="52" t="n"/>
      <c r="K285" s="47" t="n"/>
      <c r="L285" s="47" t="n"/>
      <c r="M285" s="24">
        <f>IF(OR($A285="",$C285=""),"",IF($L285&lt;&gt;"",$L285-$C285,TODAY()-$C285))</f>
        <v/>
      </c>
      <c r="N285" s="28">
        <f>IF(OR($A285="",$K285=""),"",IF($L285="",IF(TODAY()&gt;$K285,"Atrasado","En ruta"),IF($L285&lt;=$K285,"Sí","No")))</f>
        <v/>
      </c>
      <c r="O285" s="24">
        <f>IF($A285="","",COUNTIFS(NOVEDADES!$D$4:$D$1503,$A285))</f>
        <v/>
      </c>
      <c r="P285" s="28">
        <f>IF($A285="","",IF(COUNTIFS(NOVEDADES!$D$4:$D$1503,$A285,NOVEDADES!$O$4:$O$1503,"SÍ")&gt;0,"No","Sí"))</f>
        <v/>
      </c>
      <c r="Q285" s="28">
        <f>IF(OR($A285="",$L285=""),"",IF(AND($N285="Sí",$P285="Sí"),"OTIF","Falló"))</f>
        <v/>
      </c>
    </row>
    <row r="286" ht="16" customHeight="1">
      <c r="A286" s="48" t="n"/>
      <c r="B286" s="48" t="n"/>
      <c r="C286" s="47" t="n"/>
      <c r="D286" s="50" t="n"/>
      <c r="E286" s="50" t="n"/>
      <c r="F286" s="50" t="n"/>
      <c r="G286" s="50" t="n"/>
      <c r="H286" s="48" t="n"/>
      <c r="I286" s="51" t="n"/>
      <c r="J286" s="52" t="n"/>
      <c r="K286" s="47" t="n"/>
      <c r="L286" s="47" t="n"/>
      <c r="M286" s="24">
        <f>IF(OR($A286="",$C286=""),"",IF($L286&lt;&gt;"",$L286-$C286,TODAY()-$C286))</f>
        <v/>
      </c>
      <c r="N286" s="28">
        <f>IF(OR($A286="",$K286=""),"",IF($L286="",IF(TODAY()&gt;$K286,"Atrasado","En ruta"),IF($L286&lt;=$K286,"Sí","No")))</f>
        <v/>
      </c>
      <c r="O286" s="24">
        <f>IF($A286="","",COUNTIFS(NOVEDADES!$D$4:$D$1503,$A286))</f>
        <v/>
      </c>
      <c r="P286" s="28">
        <f>IF($A286="","",IF(COUNTIFS(NOVEDADES!$D$4:$D$1503,$A286,NOVEDADES!$O$4:$O$1503,"SÍ")&gt;0,"No","Sí"))</f>
        <v/>
      </c>
      <c r="Q286" s="28">
        <f>IF(OR($A286="",$L286=""),"",IF(AND($N286="Sí",$P286="Sí"),"OTIF","Falló"))</f>
        <v/>
      </c>
    </row>
    <row r="287" ht="16" customHeight="1">
      <c r="A287" s="48" t="n"/>
      <c r="B287" s="48" t="n"/>
      <c r="C287" s="47" t="n"/>
      <c r="D287" s="50" t="n"/>
      <c r="E287" s="50" t="n"/>
      <c r="F287" s="50" t="n"/>
      <c r="G287" s="50" t="n"/>
      <c r="H287" s="48" t="n"/>
      <c r="I287" s="51" t="n"/>
      <c r="J287" s="52" t="n"/>
      <c r="K287" s="47" t="n"/>
      <c r="L287" s="47" t="n"/>
      <c r="M287" s="24">
        <f>IF(OR($A287="",$C287=""),"",IF($L287&lt;&gt;"",$L287-$C287,TODAY()-$C287))</f>
        <v/>
      </c>
      <c r="N287" s="28">
        <f>IF(OR($A287="",$K287=""),"",IF($L287="",IF(TODAY()&gt;$K287,"Atrasado","En ruta"),IF($L287&lt;=$K287,"Sí","No")))</f>
        <v/>
      </c>
      <c r="O287" s="24">
        <f>IF($A287="","",COUNTIFS(NOVEDADES!$D$4:$D$1503,$A287))</f>
        <v/>
      </c>
      <c r="P287" s="28">
        <f>IF($A287="","",IF(COUNTIFS(NOVEDADES!$D$4:$D$1503,$A287,NOVEDADES!$O$4:$O$1503,"SÍ")&gt;0,"No","Sí"))</f>
        <v/>
      </c>
      <c r="Q287" s="28">
        <f>IF(OR($A287="",$L287=""),"",IF(AND($N287="Sí",$P287="Sí"),"OTIF","Falló"))</f>
        <v/>
      </c>
    </row>
    <row r="288" ht="16" customHeight="1">
      <c r="A288" s="48" t="n"/>
      <c r="B288" s="48" t="n"/>
      <c r="C288" s="47" t="n"/>
      <c r="D288" s="50" t="n"/>
      <c r="E288" s="50" t="n"/>
      <c r="F288" s="50" t="n"/>
      <c r="G288" s="50" t="n"/>
      <c r="H288" s="48" t="n"/>
      <c r="I288" s="51" t="n"/>
      <c r="J288" s="52" t="n"/>
      <c r="K288" s="47" t="n"/>
      <c r="L288" s="47" t="n"/>
      <c r="M288" s="24">
        <f>IF(OR($A288="",$C288=""),"",IF($L288&lt;&gt;"",$L288-$C288,TODAY()-$C288))</f>
        <v/>
      </c>
      <c r="N288" s="28">
        <f>IF(OR($A288="",$K288=""),"",IF($L288="",IF(TODAY()&gt;$K288,"Atrasado","En ruta"),IF($L288&lt;=$K288,"Sí","No")))</f>
        <v/>
      </c>
      <c r="O288" s="24">
        <f>IF($A288="","",COUNTIFS(NOVEDADES!$D$4:$D$1503,$A288))</f>
        <v/>
      </c>
      <c r="P288" s="28">
        <f>IF($A288="","",IF(COUNTIFS(NOVEDADES!$D$4:$D$1503,$A288,NOVEDADES!$O$4:$O$1503,"SÍ")&gt;0,"No","Sí"))</f>
        <v/>
      </c>
      <c r="Q288" s="28">
        <f>IF(OR($A288="",$L288=""),"",IF(AND($N288="Sí",$P288="Sí"),"OTIF","Falló"))</f>
        <v/>
      </c>
    </row>
    <row r="289" ht="16" customHeight="1">
      <c r="A289" s="48" t="n"/>
      <c r="B289" s="48" t="n"/>
      <c r="C289" s="47" t="n"/>
      <c r="D289" s="50" t="n"/>
      <c r="E289" s="50" t="n"/>
      <c r="F289" s="50" t="n"/>
      <c r="G289" s="50" t="n"/>
      <c r="H289" s="48" t="n"/>
      <c r="I289" s="51" t="n"/>
      <c r="J289" s="52" t="n"/>
      <c r="K289" s="47" t="n"/>
      <c r="L289" s="47" t="n"/>
      <c r="M289" s="24">
        <f>IF(OR($A289="",$C289=""),"",IF($L289&lt;&gt;"",$L289-$C289,TODAY()-$C289))</f>
        <v/>
      </c>
      <c r="N289" s="28">
        <f>IF(OR($A289="",$K289=""),"",IF($L289="",IF(TODAY()&gt;$K289,"Atrasado","En ruta"),IF($L289&lt;=$K289,"Sí","No")))</f>
        <v/>
      </c>
      <c r="O289" s="24">
        <f>IF($A289="","",COUNTIFS(NOVEDADES!$D$4:$D$1503,$A289))</f>
        <v/>
      </c>
      <c r="P289" s="28">
        <f>IF($A289="","",IF(COUNTIFS(NOVEDADES!$D$4:$D$1503,$A289,NOVEDADES!$O$4:$O$1503,"SÍ")&gt;0,"No","Sí"))</f>
        <v/>
      </c>
      <c r="Q289" s="28">
        <f>IF(OR($A289="",$L289=""),"",IF(AND($N289="Sí",$P289="Sí"),"OTIF","Falló"))</f>
        <v/>
      </c>
    </row>
    <row r="290" ht="16" customHeight="1">
      <c r="A290" s="48" t="n"/>
      <c r="B290" s="48" t="n"/>
      <c r="C290" s="47" t="n"/>
      <c r="D290" s="50" t="n"/>
      <c r="E290" s="50" t="n"/>
      <c r="F290" s="50" t="n"/>
      <c r="G290" s="50" t="n"/>
      <c r="H290" s="48" t="n"/>
      <c r="I290" s="51" t="n"/>
      <c r="J290" s="52" t="n"/>
      <c r="K290" s="47" t="n"/>
      <c r="L290" s="47" t="n"/>
      <c r="M290" s="24">
        <f>IF(OR($A290="",$C290=""),"",IF($L290&lt;&gt;"",$L290-$C290,TODAY()-$C290))</f>
        <v/>
      </c>
      <c r="N290" s="28">
        <f>IF(OR($A290="",$K290=""),"",IF($L290="",IF(TODAY()&gt;$K290,"Atrasado","En ruta"),IF($L290&lt;=$K290,"Sí","No")))</f>
        <v/>
      </c>
      <c r="O290" s="24">
        <f>IF($A290="","",COUNTIFS(NOVEDADES!$D$4:$D$1503,$A290))</f>
        <v/>
      </c>
      <c r="P290" s="28">
        <f>IF($A290="","",IF(COUNTIFS(NOVEDADES!$D$4:$D$1503,$A290,NOVEDADES!$O$4:$O$1503,"SÍ")&gt;0,"No","Sí"))</f>
        <v/>
      </c>
      <c r="Q290" s="28">
        <f>IF(OR($A290="",$L290=""),"",IF(AND($N290="Sí",$P290="Sí"),"OTIF","Falló"))</f>
        <v/>
      </c>
    </row>
    <row r="291" ht="16" customHeight="1">
      <c r="A291" s="48" t="n"/>
      <c r="B291" s="48" t="n"/>
      <c r="C291" s="47" t="n"/>
      <c r="D291" s="50" t="n"/>
      <c r="E291" s="50" t="n"/>
      <c r="F291" s="50" t="n"/>
      <c r="G291" s="50" t="n"/>
      <c r="H291" s="48" t="n"/>
      <c r="I291" s="51" t="n"/>
      <c r="J291" s="52" t="n"/>
      <c r="K291" s="47" t="n"/>
      <c r="L291" s="47" t="n"/>
      <c r="M291" s="24">
        <f>IF(OR($A291="",$C291=""),"",IF($L291&lt;&gt;"",$L291-$C291,TODAY()-$C291))</f>
        <v/>
      </c>
      <c r="N291" s="28">
        <f>IF(OR($A291="",$K291=""),"",IF($L291="",IF(TODAY()&gt;$K291,"Atrasado","En ruta"),IF($L291&lt;=$K291,"Sí","No")))</f>
        <v/>
      </c>
      <c r="O291" s="24">
        <f>IF($A291="","",COUNTIFS(NOVEDADES!$D$4:$D$1503,$A291))</f>
        <v/>
      </c>
      <c r="P291" s="28">
        <f>IF($A291="","",IF(COUNTIFS(NOVEDADES!$D$4:$D$1503,$A291,NOVEDADES!$O$4:$O$1503,"SÍ")&gt;0,"No","Sí"))</f>
        <v/>
      </c>
      <c r="Q291" s="28">
        <f>IF(OR($A291="",$L291=""),"",IF(AND($N291="Sí",$P291="Sí"),"OTIF","Falló"))</f>
        <v/>
      </c>
    </row>
    <row r="292" ht="16" customHeight="1">
      <c r="A292" s="48" t="n"/>
      <c r="B292" s="48" t="n"/>
      <c r="C292" s="47" t="n"/>
      <c r="D292" s="50" t="n"/>
      <c r="E292" s="50" t="n"/>
      <c r="F292" s="50" t="n"/>
      <c r="G292" s="50" t="n"/>
      <c r="H292" s="48" t="n"/>
      <c r="I292" s="51" t="n"/>
      <c r="J292" s="52" t="n"/>
      <c r="K292" s="47" t="n"/>
      <c r="L292" s="47" t="n"/>
      <c r="M292" s="24">
        <f>IF(OR($A292="",$C292=""),"",IF($L292&lt;&gt;"",$L292-$C292,TODAY()-$C292))</f>
        <v/>
      </c>
      <c r="N292" s="28">
        <f>IF(OR($A292="",$K292=""),"",IF($L292="",IF(TODAY()&gt;$K292,"Atrasado","En ruta"),IF($L292&lt;=$K292,"Sí","No")))</f>
        <v/>
      </c>
      <c r="O292" s="24">
        <f>IF($A292="","",COUNTIFS(NOVEDADES!$D$4:$D$1503,$A292))</f>
        <v/>
      </c>
      <c r="P292" s="28">
        <f>IF($A292="","",IF(COUNTIFS(NOVEDADES!$D$4:$D$1503,$A292,NOVEDADES!$O$4:$O$1503,"SÍ")&gt;0,"No","Sí"))</f>
        <v/>
      </c>
      <c r="Q292" s="28">
        <f>IF(OR($A292="",$L292=""),"",IF(AND($N292="Sí",$P292="Sí"),"OTIF","Falló"))</f>
        <v/>
      </c>
    </row>
    <row r="293" ht="16" customHeight="1">
      <c r="A293" s="48" t="n"/>
      <c r="B293" s="48" t="n"/>
      <c r="C293" s="47" t="n"/>
      <c r="D293" s="50" t="n"/>
      <c r="E293" s="50" t="n"/>
      <c r="F293" s="50" t="n"/>
      <c r="G293" s="50" t="n"/>
      <c r="H293" s="48" t="n"/>
      <c r="I293" s="51" t="n"/>
      <c r="J293" s="52" t="n"/>
      <c r="K293" s="47" t="n"/>
      <c r="L293" s="47" t="n"/>
      <c r="M293" s="24">
        <f>IF(OR($A293="",$C293=""),"",IF($L293&lt;&gt;"",$L293-$C293,TODAY()-$C293))</f>
        <v/>
      </c>
      <c r="N293" s="28">
        <f>IF(OR($A293="",$K293=""),"",IF($L293="",IF(TODAY()&gt;$K293,"Atrasado","En ruta"),IF($L293&lt;=$K293,"Sí","No")))</f>
        <v/>
      </c>
      <c r="O293" s="24">
        <f>IF($A293="","",COUNTIFS(NOVEDADES!$D$4:$D$1503,$A293))</f>
        <v/>
      </c>
      <c r="P293" s="28">
        <f>IF($A293="","",IF(COUNTIFS(NOVEDADES!$D$4:$D$1503,$A293,NOVEDADES!$O$4:$O$1503,"SÍ")&gt;0,"No","Sí"))</f>
        <v/>
      </c>
      <c r="Q293" s="28">
        <f>IF(OR($A293="",$L293=""),"",IF(AND($N293="Sí",$P293="Sí"),"OTIF","Falló"))</f>
        <v/>
      </c>
    </row>
    <row r="294" ht="16" customHeight="1">
      <c r="A294" s="48" t="n"/>
      <c r="B294" s="48" t="n"/>
      <c r="C294" s="47" t="n"/>
      <c r="D294" s="50" t="n"/>
      <c r="E294" s="50" t="n"/>
      <c r="F294" s="50" t="n"/>
      <c r="G294" s="50" t="n"/>
      <c r="H294" s="48" t="n"/>
      <c r="I294" s="51" t="n"/>
      <c r="J294" s="52" t="n"/>
      <c r="K294" s="47" t="n"/>
      <c r="L294" s="47" t="n"/>
      <c r="M294" s="24">
        <f>IF(OR($A294="",$C294=""),"",IF($L294&lt;&gt;"",$L294-$C294,TODAY()-$C294))</f>
        <v/>
      </c>
      <c r="N294" s="28">
        <f>IF(OR($A294="",$K294=""),"",IF($L294="",IF(TODAY()&gt;$K294,"Atrasado","En ruta"),IF($L294&lt;=$K294,"Sí","No")))</f>
        <v/>
      </c>
      <c r="O294" s="24">
        <f>IF($A294="","",COUNTIFS(NOVEDADES!$D$4:$D$1503,$A294))</f>
        <v/>
      </c>
      <c r="P294" s="28">
        <f>IF($A294="","",IF(COUNTIFS(NOVEDADES!$D$4:$D$1503,$A294,NOVEDADES!$O$4:$O$1503,"SÍ")&gt;0,"No","Sí"))</f>
        <v/>
      </c>
      <c r="Q294" s="28">
        <f>IF(OR($A294="",$L294=""),"",IF(AND($N294="Sí",$P294="Sí"),"OTIF","Falló"))</f>
        <v/>
      </c>
    </row>
    <row r="295" ht="16" customHeight="1">
      <c r="A295" s="48" t="n"/>
      <c r="B295" s="48" t="n"/>
      <c r="C295" s="47" t="n"/>
      <c r="D295" s="50" t="n"/>
      <c r="E295" s="50" t="n"/>
      <c r="F295" s="50" t="n"/>
      <c r="G295" s="50" t="n"/>
      <c r="H295" s="48" t="n"/>
      <c r="I295" s="51" t="n"/>
      <c r="J295" s="52" t="n"/>
      <c r="K295" s="47" t="n"/>
      <c r="L295" s="47" t="n"/>
      <c r="M295" s="24">
        <f>IF(OR($A295="",$C295=""),"",IF($L295&lt;&gt;"",$L295-$C295,TODAY()-$C295))</f>
        <v/>
      </c>
      <c r="N295" s="28">
        <f>IF(OR($A295="",$K295=""),"",IF($L295="",IF(TODAY()&gt;$K295,"Atrasado","En ruta"),IF($L295&lt;=$K295,"Sí","No")))</f>
        <v/>
      </c>
      <c r="O295" s="24">
        <f>IF($A295="","",COUNTIFS(NOVEDADES!$D$4:$D$1503,$A295))</f>
        <v/>
      </c>
      <c r="P295" s="28">
        <f>IF($A295="","",IF(COUNTIFS(NOVEDADES!$D$4:$D$1503,$A295,NOVEDADES!$O$4:$O$1503,"SÍ")&gt;0,"No","Sí"))</f>
        <v/>
      </c>
      <c r="Q295" s="28">
        <f>IF(OR($A295="",$L295=""),"",IF(AND($N295="Sí",$P295="Sí"),"OTIF","Falló"))</f>
        <v/>
      </c>
    </row>
    <row r="296" ht="16" customHeight="1">
      <c r="A296" s="48" t="n"/>
      <c r="B296" s="48" t="n"/>
      <c r="C296" s="47" t="n"/>
      <c r="D296" s="50" t="n"/>
      <c r="E296" s="50" t="n"/>
      <c r="F296" s="50" t="n"/>
      <c r="G296" s="50" t="n"/>
      <c r="H296" s="48" t="n"/>
      <c r="I296" s="51" t="n"/>
      <c r="J296" s="52" t="n"/>
      <c r="K296" s="47" t="n"/>
      <c r="L296" s="47" t="n"/>
      <c r="M296" s="24">
        <f>IF(OR($A296="",$C296=""),"",IF($L296&lt;&gt;"",$L296-$C296,TODAY()-$C296))</f>
        <v/>
      </c>
      <c r="N296" s="28">
        <f>IF(OR($A296="",$K296=""),"",IF($L296="",IF(TODAY()&gt;$K296,"Atrasado","En ruta"),IF($L296&lt;=$K296,"Sí","No")))</f>
        <v/>
      </c>
      <c r="O296" s="24">
        <f>IF($A296="","",COUNTIFS(NOVEDADES!$D$4:$D$1503,$A296))</f>
        <v/>
      </c>
      <c r="P296" s="28">
        <f>IF($A296="","",IF(COUNTIFS(NOVEDADES!$D$4:$D$1503,$A296,NOVEDADES!$O$4:$O$1503,"SÍ")&gt;0,"No","Sí"))</f>
        <v/>
      </c>
      <c r="Q296" s="28">
        <f>IF(OR($A296="",$L296=""),"",IF(AND($N296="Sí",$P296="Sí"),"OTIF","Falló"))</f>
        <v/>
      </c>
    </row>
    <row r="297" ht="16" customHeight="1">
      <c r="A297" s="48" t="n"/>
      <c r="B297" s="48" t="n"/>
      <c r="C297" s="47" t="n"/>
      <c r="D297" s="50" t="n"/>
      <c r="E297" s="50" t="n"/>
      <c r="F297" s="50" t="n"/>
      <c r="G297" s="50" t="n"/>
      <c r="H297" s="48" t="n"/>
      <c r="I297" s="51" t="n"/>
      <c r="J297" s="52" t="n"/>
      <c r="K297" s="47" t="n"/>
      <c r="L297" s="47" t="n"/>
      <c r="M297" s="24">
        <f>IF(OR($A297="",$C297=""),"",IF($L297&lt;&gt;"",$L297-$C297,TODAY()-$C297))</f>
        <v/>
      </c>
      <c r="N297" s="28">
        <f>IF(OR($A297="",$K297=""),"",IF($L297="",IF(TODAY()&gt;$K297,"Atrasado","En ruta"),IF($L297&lt;=$K297,"Sí","No")))</f>
        <v/>
      </c>
      <c r="O297" s="24">
        <f>IF($A297="","",COUNTIFS(NOVEDADES!$D$4:$D$1503,$A297))</f>
        <v/>
      </c>
      <c r="P297" s="28">
        <f>IF($A297="","",IF(COUNTIFS(NOVEDADES!$D$4:$D$1503,$A297,NOVEDADES!$O$4:$O$1503,"SÍ")&gt;0,"No","Sí"))</f>
        <v/>
      </c>
      <c r="Q297" s="28">
        <f>IF(OR($A297="",$L297=""),"",IF(AND($N297="Sí",$P297="Sí"),"OTIF","Falló"))</f>
        <v/>
      </c>
    </row>
    <row r="298" ht="16" customHeight="1">
      <c r="A298" s="48" t="n"/>
      <c r="B298" s="48" t="n"/>
      <c r="C298" s="47" t="n"/>
      <c r="D298" s="50" t="n"/>
      <c r="E298" s="50" t="n"/>
      <c r="F298" s="50" t="n"/>
      <c r="G298" s="50" t="n"/>
      <c r="H298" s="48" t="n"/>
      <c r="I298" s="51" t="n"/>
      <c r="J298" s="52" t="n"/>
      <c r="K298" s="47" t="n"/>
      <c r="L298" s="47" t="n"/>
      <c r="M298" s="24">
        <f>IF(OR($A298="",$C298=""),"",IF($L298&lt;&gt;"",$L298-$C298,TODAY()-$C298))</f>
        <v/>
      </c>
      <c r="N298" s="28">
        <f>IF(OR($A298="",$K298=""),"",IF($L298="",IF(TODAY()&gt;$K298,"Atrasado","En ruta"),IF($L298&lt;=$K298,"Sí","No")))</f>
        <v/>
      </c>
      <c r="O298" s="24">
        <f>IF($A298="","",COUNTIFS(NOVEDADES!$D$4:$D$1503,$A298))</f>
        <v/>
      </c>
      <c r="P298" s="28">
        <f>IF($A298="","",IF(COUNTIFS(NOVEDADES!$D$4:$D$1503,$A298,NOVEDADES!$O$4:$O$1503,"SÍ")&gt;0,"No","Sí"))</f>
        <v/>
      </c>
      <c r="Q298" s="28">
        <f>IF(OR($A298="",$L298=""),"",IF(AND($N298="Sí",$P298="Sí"),"OTIF","Falló"))</f>
        <v/>
      </c>
    </row>
    <row r="299" ht="16" customHeight="1">
      <c r="A299" s="48" t="n"/>
      <c r="B299" s="48" t="n"/>
      <c r="C299" s="47" t="n"/>
      <c r="D299" s="50" t="n"/>
      <c r="E299" s="50" t="n"/>
      <c r="F299" s="50" t="n"/>
      <c r="G299" s="50" t="n"/>
      <c r="H299" s="48" t="n"/>
      <c r="I299" s="51" t="n"/>
      <c r="J299" s="52" t="n"/>
      <c r="K299" s="47" t="n"/>
      <c r="L299" s="47" t="n"/>
      <c r="M299" s="24">
        <f>IF(OR($A299="",$C299=""),"",IF($L299&lt;&gt;"",$L299-$C299,TODAY()-$C299))</f>
        <v/>
      </c>
      <c r="N299" s="28">
        <f>IF(OR($A299="",$K299=""),"",IF($L299="",IF(TODAY()&gt;$K299,"Atrasado","En ruta"),IF($L299&lt;=$K299,"Sí","No")))</f>
        <v/>
      </c>
      <c r="O299" s="24">
        <f>IF($A299="","",COUNTIFS(NOVEDADES!$D$4:$D$1503,$A299))</f>
        <v/>
      </c>
      <c r="P299" s="28">
        <f>IF($A299="","",IF(COUNTIFS(NOVEDADES!$D$4:$D$1503,$A299,NOVEDADES!$O$4:$O$1503,"SÍ")&gt;0,"No","Sí"))</f>
        <v/>
      </c>
      <c r="Q299" s="28">
        <f>IF(OR($A299="",$L299=""),"",IF(AND($N299="Sí",$P299="Sí"),"OTIF","Falló"))</f>
        <v/>
      </c>
    </row>
    <row r="300" ht="16" customHeight="1">
      <c r="A300" s="48" t="n"/>
      <c r="B300" s="48" t="n"/>
      <c r="C300" s="47" t="n"/>
      <c r="D300" s="50" t="n"/>
      <c r="E300" s="50" t="n"/>
      <c r="F300" s="50" t="n"/>
      <c r="G300" s="50" t="n"/>
      <c r="H300" s="48" t="n"/>
      <c r="I300" s="51" t="n"/>
      <c r="J300" s="52" t="n"/>
      <c r="K300" s="47" t="n"/>
      <c r="L300" s="47" t="n"/>
      <c r="M300" s="24">
        <f>IF(OR($A300="",$C300=""),"",IF($L300&lt;&gt;"",$L300-$C300,TODAY()-$C300))</f>
        <v/>
      </c>
      <c r="N300" s="28">
        <f>IF(OR($A300="",$K300=""),"",IF($L300="",IF(TODAY()&gt;$K300,"Atrasado","En ruta"),IF($L300&lt;=$K300,"Sí","No")))</f>
        <v/>
      </c>
      <c r="O300" s="24">
        <f>IF($A300="","",COUNTIFS(NOVEDADES!$D$4:$D$1503,$A300))</f>
        <v/>
      </c>
      <c r="P300" s="28">
        <f>IF($A300="","",IF(COUNTIFS(NOVEDADES!$D$4:$D$1503,$A300,NOVEDADES!$O$4:$O$1503,"SÍ")&gt;0,"No","Sí"))</f>
        <v/>
      </c>
      <c r="Q300" s="28">
        <f>IF(OR($A300="",$L300=""),"",IF(AND($N300="Sí",$P300="Sí"),"OTIF","Falló"))</f>
        <v/>
      </c>
    </row>
    <row r="301" ht="16" customHeight="1">
      <c r="A301" s="48" t="n"/>
      <c r="B301" s="48" t="n"/>
      <c r="C301" s="47" t="n"/>
      <c r="D301" s="50" t="n"/>
      <c r="E301" s="50" t="n"/>
      <c r="F301" s="50" t="n"/>
      <c r="G301" s="50" t="n"/>
      <c r="H301" s="48" t="n"/>
      <c r="I301" s="51" t="n"/>
      <c r="J301" s="52" t="n"/>
      <c r="K301" s="47" t="n"/>
      <c r="L301" s="47" t="n"/>
      <c r="M301" s="24">
        <f>IF(OR($A301="",$C301=""),"",IF($L301&lt;&gt;"",$L301-$C301,TODAY()-$C301))</f>
        <v/>
      </c>
      <c r="N301" s="28">
        <f>IF(OR($A301="",$K301=""),"",IF($L301="",IF(TODAY()&gt;$K301,"Atrasado","En ruta"),IF($L301&lt;=$K301,"Sí","No")))</f>
        <v/>
      </c>
      <c r="O301" s="24">
        <f>IF($A301="","",COUNTIFS(NOVEDADES!$D$4:$D$1503,$A301))</f>
        <v/>
      </c>
      <c r="P301" s="28">
        <f>IF($A301="","",IF(COUNTIFS(NOVEDADES!$D$4:$D$1503,$A301,NOVEDADES!$O$4:$O$1503,"SÍ")&gt;0,"No","Sí"))</f>
        <v/>
      </c>
      <c r="Q301" s="28">
        <f>IF(OR($A301="",$L301=""),"",IF(AND($N301="Sí",$P301="Sí"),"OTIF","Falló"))</f>
        <v/>
      </c>
    </row>
    <row r="302" ht="16" customHeight="1">
      <c r="A302" s="48" t="n"/>
      <c r="B302" s="48" t="n"/>
      <c r="C302" s="47" t="n"/>
      <c r="D302" s="50" t="n"/>
      <c r="E302" s="50" t="n"/>
      <c r="F302" s="50" t="n"/>
      <c r="G302" s="50" t="n"/>
      <c r="H302" s="48" t="n"/>
      <c r="I302" s="51" t="n"/>
      <c r="J302" s="52" t="n"/>
      <c r="K302" s="47" t="n"/>
      <c r="L302" s="47" t="n"/>
      <c r="M302" s="24">
        <f>IF(OR($A302="",$C302=""),"",IF($L302&lt;&gt;"",$L302-$C302,TODAY()-$C302))</f>
        <v/>
      </c>
      <c r="N302" s="28">
        <f>IF(OR($A302="",$K302=""),"",IF($L302="",IF(TODAY()&gt;$K302,"Atrasado","En ruta"),IF($L302&lt;=$K302,"Sí","No")))</f>
        <v/>
      </c>
      <c r="O302" s="24">
        <f>IF($A302="","",COUNTIFS(NOVEDADES!$D$4:$D$1503,$A302))</f>
        <v/>
      </c>
      <c r="P302" s="28">
        <f>IF($A302="","",IF(COUNTIFS(NOVEDADES!$D$4:$D$1503,$A302,NOVEDADES!$O$4:$O$1503,"SÍ")&gt;0,"No","Sí"))</f>
        <v/>
      </c>
      <c r="Q302" s="28">
        <f>IF(OR($A302="",$L302=""),"",IF(AND($N302="Sí",$P302="Sí"),"OTIF","Falló"))</f>
        <v/>
      </c>
    </row>
    <row r="303" ht="16" customHeight="1">
      <c r="A303" s="48" t="n"/>
      <c r="B303" s="48" t="n"/>
      <c r="C303" s="47" t="n"/>
      <c r="D303" s="50" t="n"/>
      <c r="E303" s="50" t="n"/>
      <c r="F303" s="50" t="n"/>
      <c r="G303" s="50" t="n"/>
      <c r="H303" s="48" t="n"/>
      <c r="I303" s="51" t="n"/>
      <c r="J303" s="52" t="n"/>
      <c r="K303" s="47" t="n"/>
      <c r="L303" s="47" t="n"/>
      <c r="M303" s="24">
        <f>IF(OR($A303="",$C303=""),"",IF($L303&lt;&gt;"",$L303-$C303,TODAY()-$C303))</f>
        <v/>
      </c>
      <c r="N303" s="28">
        <f>IF(OR($A303="",$K303=""),"",IF($L303="",IF(TODAY()&gt;$K303,"Atrasado","En ruta"),IF($L303&lt;=$K303,"Sí","No")))</f>
        <v/>
      </c>
      <c r="O303" s="24">
        <f>IF($A303="","",COUNTIFS(NOVEDADES!$D$4:$D$1503,$A303))</f>
        <v/>
      </c>
      <c r="P303" s="28">
        <f>IF($A303="","",IF(COUNTIFS(NOVEDADES!$D$4:$D$1503,$A303,NOVEDADES!$O$4:$O$1503,"SÍ")&gt;0,"No","Sí"))</f>
        <v/>
      </c>
      <c r="Q303" s="28">
        <f>IF(OR($A303="",$L303=""),"",IF(AND($N303="Sí",$P303="Sí"),"OTIF","Falló"))</f>
        <v/>
      </c>
    </row>
    <row r="304" ht="16" customHeight="1">
      <c r="A304" s="48" t="n"/>
      <c r="B304" s="48" t="n"/>
      <c r="C304" s="47" t="n"/>
      <c r="D304" s="50" t="n"/>
      <c r="E304" s="50" t="n"/>
      <c r="F304" s="50" t="n"/>
      <c r="G304" s="50" t="n"/>
      <c r="H304" s="48" t="n"/>
      <c r="I304" s="51" t="n"/>
      <c r="J304" s="52" t="n"/>
      <c r="K304" s="47" t="n"/>
      <c r="L304" s="47" t="n"/>
      <c r="M304" s="24">
        <f>IF(OR($A304="",$C304=""),"",IF($L304&lt;&gt;"",$L304-$C304,TODAY()-$C304))</f>
        <v/>
      </c>
      <c r="N304" s="28">
        <f>IF(OR($A304="",$K304=""),"",IF($L304="",IF(TODAY()&gt;$K304,"Atrasado","En ruta"),IF($L304&lt;=$K304,"Sí","No")))</f>
        <v/>
      </c>
      <c r="O304" s="24">
        <f>IF($A304="","",COUNTIFS(NOVEDADES!$D$4:$D$1503,$A304))</f>
        <v/>
      </c>
      <c r="P304" s="28">
        <f>IF($A304="","",IF(COUNTIFS(NOVEDADES!$D$4:$D$1503,$A304,NOVEDADES!$O$4:$O$1503,"SÍ")&gt;0,"No","Sí"))</f>
        <v/>
      </c>
      <c r="Q304" s="28">
        <f>IF(OR($A304="",$L304=""),"",IF(AND($N304="Sí",$P304="Sí"),"OTIF","Falló"))</f>
        <v/>
      </c>
    </row>
    <row r="305" ht="16" customHeight="1">
      <c r="A305" s="48" t="n"/>
      <c r="B305" s="48" t="n"/>
      <c r="C305" s="47" t="n"/>
      <c r="D305" s="50" t="n"/>
      <c r="E305" s="50" t="n"/>
      <c r="F305" s="50" t="n"/>
      <c r="G305" s="50" t="n"/>
      <c r="H305" s="48" t="n"/>
      <c r="I305" s="51" t="n"/>
      <c r="J305" s="52" t="n"/>
      <c r="K305" s="47" t="n"/>
      <c r="L305" s="47" t="n"/>
      <c r="M305" s="24">
        <f>IF(OR($A305="",$C305=""),"",IF($L305&lt;&gt;"",$L305-$C305,TODAY()-$C305))</f>
        <v/>
      </c>
      <c r="N305" s="28">
        <f>IF(OR($A305="",$K305=""),"",IF($L305="",IF(TODAY()&gt;$K305,"Atrasado","En ruta"),IF($L305&lt;=$K305,"Sí","No")))</f>
        <v/>
      </c>
      <c r="O305" s="24">
        <f>IF($A305="","",COUNTIFS(NOVEDADES!$D$4:$D$1503,$A305))</f>
        <v/>
      </c>
      <c r="P305" s="28">
        <f>IF($A305="","",IF(COUNTIFS(NOVEDADES!$D$4:$D$1503,$A305,NOVEDADES!$O$4:$O$1503,"SÍ")&gt;0,"No","Sí"))</f>
        <v/>
      </c>
      <c r="Q305" s="28">
        <f>IF(OR($A305="",$L305=""),"",IF(AND($N305="Sí",$P305="Sí"),"OTIF","Falló"))</f>
        <v/>
      </c>
    </row>
    <row r="306" ht="16" customHeight="1">
      <c r="A306" s="48" t="n"/>
      <c r="B306" s="48" t="n"/>
      <c r="C306" s="47" t="n"/>
      <c r="D306" s="50" t="n"/>
      <c r="E306" s="50" t="n"/>
      <c r="F306" s="50" t="n"/>
      <c r="G306" s="50" t="n"/>
      <c r="H306" s="48" t="n"/>
      <c r="I306" s="51" t="n"/>
      <c r="J306" s="52" t="n"/>
      <c r="K306" s="47" t="n"/>
      <c r="L306" s="47" t="n"/>
      <c r="M306" s="24">
        <f>IF(OR($A306="",$C306=""),"",IF($L306&lt;&gt;"",$L306-$C306,TODAY()-$C306))</f>
        <v/>
      </c>
      <c r="N306" s="28">
        <f>IF(OR($A306="",$K306=""),"",IF($L306="",IF(TODAY()&gt;$K306,"Atrasado","En ruta"),IF($L306&lt;=$K306,"Sí","No")))</f>
        <v/>
      </c>
      <c r="O306" s="24">
        <f>IF($A306="","",COUNTIFS(NOVEDADES!$D$4:$D$1503,$A306))</f>
        <v/>
      </c>
      <c r="P306" s="28">
        <f>IF($A306="","",IF(COUNTIFS(NOVEDADES!$D$4:$D$1503,$A306,NOVEDADES!$O$4:$O$1503,"SÍ")&gt;0,"No","Sí"))</f>
        <v/>
      </c>
      <c r="Q306" s="28">
        <f>IF(OR($A306="",$L306=""),"",IF(AND($N306="Sí",$P306="Sí"),"OTIF","Falló"))</f>
        <v/>
      </c>
    </row>
    <row r="307" ht="16" customHeight="1">
      <c r="A307" s="48" t="n"/>
      <c r="B307" s="48" t="n"/>
      <c r="C307" s="47" t="n"/>
      <c r="D307" s="50" t="n"/>
      <c r="E307" s="50" t="n"/>
      <c r="F307" s="50" t="n"/>
      <c r="G307" s="50" t="n"/>
      <c r="H307" s="48" t="n"/>
      <c r="I307" s="51" t="n"/>
      <c r="J307" s="52" t="n"/>
      <c r="K307" s="47" t="n"/>
      <c r="L307" s="47" t="n"/>
      <c r="M307" s="24">
        <f>IF(OR($A307="",$C307=""),"",IF($L307&lt;&gt;"",$L307-$C307,TODAY()-$C307))</f>
        <v/>
      </c>
      <c r="N307" s="28">
        <f>IF(OR($A307="",$K307=""),"",IF($L307="",IF(TODAY()&gt;$K307,"Atrasado","En ruta"),IF($L307&lt;=$K307,"Sí","No")))</f>
        <v/>
      </c>
      <c r="O307" s="24">
        <f>IF($A307="","",COUNTIFS(NOVEDADES!$D$4:$D$1503,$A307))</f>
        <v/>
      </c>
      <c r="P307" s="28">
        <f>IF($A307="","",IF(COUNTIFS(NOVEDADES!$D$4:$D$1503,$A307,NOVEDADES!$O$4:$O$1503,"SÍ")&gt;0,"No","Sí"))</f>
        <v/>
      </c>
      <c r="Q307" s="28">
        <f>IF(OR($A307="",$L307=""),"",IF(AND($N307="Sí",$P307="Sí"),"OTIF","Falló"))</f>
        <v/>
      </c>
    </row>
    <row r="308" ht="16" customHeight="1">
      <c r="A308" s="48" t="n"/>
      <c r="B308" s="48" t="n"/>
      <c r="C308" s="47" t="n"/>
      <c r="D308" s="50" t="n"/>
      <c r="E308" s="50" t="n"/>
      <c r="F308" s="50" t="n"/>
      <c r="G308" s="50" t="n"/>
      <c r="H308" s="48" t="n"/>
      <c r="I308" s="51" t="n"/>
      <c r="J308" s="52" t="n"/>
      <c r="K308" s="47" t="n"/>
      <c r="L308" s="47" t="n"/>
      <c r="M308" s="24">
        <f>IF(OR($A308="",$C308=""),"",IF($L308&lt;&gt;"",$L308-$C308,TODAY()-$C308))</f>
        <v/>
      </c>
      <c r="N308" s="28">
        <f>IF(OR($A308="",$K308=""),"",IF($L308="",IF(TODAY()&gt;$K308,"Atrasado","En ruta"),IF($L308&lt;=$K308,"Sí","No")))</f>
        <v/>
      </c>
      <c r="O308" s="24">
        <f>IF($A308="","",COUNTIFS(NOVEDADES!$D$4:$D$1503,$A308))</f>
        <v/>
      </c>
      <c r="P308" s="28">
        <f>IF($A308="","",IF(COUNTIFS(NOVEDADES!$D$4:$D$1503,$A308,NOVEDADES!$O$4:$O$1503,"SÍ")&gt;0,"No","Sí"))</f>
        <v/>
      </c>
      <c r="Q308" s="28">
        <f>IF(OR($A308="",$L308=""),"",IF(AND($N308="Sí",$P308="Sí"),"OTIF","Falló"))</f>
        <v/>
      </c>
    </row>
    <row r="309" ht="16" customHeight="1">
      <c r="A309" s="48" t="n"/>
      <c r="B309" s="48" t="n"/>
      <c r="C309" s="47" t="n"/>
      <c r="D309" s="50" t="n"/>
      <c r="E309" s="50" t="n"/>
      <c r="F309" s="50" t="n"/>
      <c r="G309" s="50" t="n"/>
      <c r="H309" s="48" t="n"/>
      <c r="I309" s="51" t="n"/>
      <c r="J309" s="52" t="n"/>
      <c r="K309" s="47" t="n"/>
      <c r="L309" s="47" t="n"/>
      <c r="M309" s="24">
        <f>IF(OR($A309="",$C309=""),"",IF($L309&lt;&gt;"",$L309-$C309,TODAY()-$C309))</f>
        <v/>
      </c>
      <c r="N309" s="28">
        <f>IF(OR($A309="",$K309=""),"",IF($L309="",IF(TODAY()&gt;$K309,"Atrasado","En ruta"),IF($L309&lt;=$K309,"Sí","No")))</f>
        <v/>
      </c>
      <c r="O309" s="24">
        <f>IF($A309="","",COUNTIFS(NOVEDADES!$D$4:$D$1503,$A309))</f>
        <v/>
      </c>
      <c r="P309" s="28">
        <f>IF($A309="","",IF(COUNTIFS(NOVEDADES!$D$4:$D$1503,$A309,NOVEDADES!$O$4:$O$1503,"SÍ")&gt;0,"No","Sí"))</f>
        <v/>
      </c>
      <c r="Q309" s="28">
        <f>IF(OR($A309="",$L309=""),"",IF(AND($N309="Sí",$P309="Sí"),"OTIF","Falló"))</f>
        <v/>
      </c>
    </row>
    <row r="310" ht="16" customHeight="1">
      <c r="A310" s="48" t="n"/>
      <c r="B310" s="48" t="n"/>
      <c r="C310" s="47" t="n"/>
      <c r="D310" s="50" t="n"/>
      <c r="E310" s="50" t="n"/>
      <c r="F310" s="50" t="n"/>
      <c r="G310" s="50" t="n"/>
      <c r="H310" s="48" t="n"/>
      <c r="I310" s="51" t="n"/>
      <c r="J310" s="52" t="n"/>
      <c r="K310" s="47" t="n"/>
      <c r="L310" s="47" t="n"/>
      <c r="M310" s="24">
        <f>IF(OR($A310="",$C310=""),"",IF($L310&lt;&gt;"",$L310-$C310,TODAY()-$C310))</f>
        <v/>
      </c>
      <c r="N310" s="28">
        <f>IF(OR($A310="",$K310=""),"",IF($L310="",IF(TODAY()&gt;$K310,"Atrasado","En ruta"),IF($L310&lt;=$K310,"Sí","No")))</f>
        <v/>
      </c>
      <c r="O310" s="24">
        <f>IF($A310="","",COUNTIFS(NOVEDADES!$D$4:$D$1503,$A310))</f>
        <v/>
      </c>
      <c r="P310" s="28">
        <f>IF($A310="","",IF(COUNTIFS(NOVEDADES!$D$4:$D$1503,$A310,NOVEDADES!$O$4:$O$1503,"SÍ")&gt;0,"No","Sí"))</f>
        <v/>
      </c>
      <c r="Q310" s="28">
        <f>IF(OR($A310="",$L310=""),"",IF(AND($N310="Sí",$P310="Sí"),"OTIF","Falló"))</f>
        <v/>
      </c>
    </row>
    <row r="311" ht="16" customHeight="1">
      <c r="A311" s="48" t="n"/>
      <c r="B311" s="48" t="n"/>
      <c r="C311" s="47" t="n"/>
      <c r="D311" s="50" t="n"/>
      <c r="E311" s="50" t="n"/>
      <c r="F311" s="50" t="n"/>
      <c r="G311" s="50" t="n"/>
      <c r="H311" s="48" t="n"/>
      <c r="I311" s="51" t="n"/>
      <c r="J311" s="52" t="n"/>
      <c r="K311" s="47" t="n"/>
      <c r="L311" s="47" t="n"/>
      <c r="M311" s="24">
        <f>IF(OR($A311="",$C311=""),"",IF($L311&lt;&gt;"",$L311-$C311,TODAY()-$C311))</f>
        <v/>
      </c>
      <c r="N311" s="28">
        <f>IF(OR($A311="",$K311=""),"",IF($L311="",IF(TODAY()&gt;$K311,"Atrasado","En ruta"),IF($L311&lt;=$K311,"Sí","No")))</f>
        <v/>
      </c>
      <c r="O311" s="24">
        <f>IF($A311="","",COUNTIFS(NOVEDADES!$D$4:$D$1503,$A311))</f>
        <v/>
      </c>
      <c r="P311" s="28">
        <f>IF($A311="","",IF(COUNTIFS(NOVEDADES!$D$4:$D$1503,$A311,NOVEDADES!$O$4:$O$1503,"SÍ")&gt;0,"No","Sí"))</f>
        <v/>
      </c>
      <c r="Q311" s="28">
        <f>IF(OR($A311="",$L311=""),"",IF(AND($N311="Sí",$P311="Sí"),"OTIF","Falló"))</f>
        <v/>
      </c>
    </row>
    <row r="312" ht="16" customHeight="1">
      <c r="A312" s="48" t="n"/>
      <c r="B312" s="48" t="n"/>
      <c r="C312" s="47" t="n"/>
      <c r="D312" s="50" t="n"/>
      <c r="E312" s="50" t="n"/>
      <c r="F312" s="50" t="n"/>
      <c r="G312" s="50" t="n"/>
      <c r="H312" s="48" t="n"/>
      <c r="I312" s="51" t="n"/>
      <c r="J312" s="52" t="n"/>
      <c r="K312" s="47" t="n"/>
      <c r="L312" s="47" t="n"/>
      <c r="M312" s="24">
        <f>IF(OR($A312="",$C312=""),"",IF($L312&lt;&gt;"",$L312-$C312,TODAY()-$C312))</f>
        <v/>
      </c>
      <c r="N312" s="28">
        <f>IF(OR($A312="",$K312=""),"",IF($L312="",IF(TODAY()&gt;$K312,"Atrasado","En ruta"),IF($L312&lt;=$K312,"Sí","No")))</f>
        <v/>
      </c>
      <c r="O312" s="24">
        <f>IF($A312="","",COUNTIFS(NOVEDADES!$D$4:$D$1503,$A312))</f>
        <v/>
      </c>
      <c r="P312" s="28">
        <f>IF($A312="","",IF(COUNTIFS(NOVEDADES!$D$4:$D$1503,$A312,NOVEDADES!$O$4:$O$1503,"SÍ")&gt;0,"No","Sí"))</f>
        <v/>
      </c>
      <c r="Q312" s="28">
        <f>IF(OR($A312="",$L312=""),"",IF(AND($N312="Sí",$P312="Sí"),"OTIF","Falló"))</f>
        <v/>
      </c>
    </row>
    <row r="313" ht="16" customHeight="1">
      <c r="A313" s="48" t="n"/>
      <c r="B313" s="48" t="n"/>
      <c r="C313" s="47" t="n"/>
      <c r="D313" s="50" t="n"/>
      <c r="E313" s="50" t="n"/>
      <c r="F313" s="50" t="n"/>
      <c r="G313" s="50" t="n"/>
      <c r="H313" s="48" t="n"/>
      <c r="I313" s="51" t="n"/>
      <c r="J313" s="52" t="n"/>
      <c r="K313" s="47" t="n"/>
      <c r="L313" s="47" t="n"/>
      <c r="M313" s="24">
        <f>IF(OR($A313="",$C313=""),"",IF($L313&lt;&gt;"",$L313-$C313,TODAY()-$C313))</f>
        <v/>
      </c>
      <c r="N313" s="28">
        <f>IF(OR($A313="",$K313=""),"",IF($L313="",IF(TODAY()&gt;$K313,"Atrasado","En ruta"),IF($L313&lt;=$K313,"Sí","No")))</f>
        <v/>
      </c>
      <c r="O313" s="24">
        <f>IF($A313="","",COUNTIFS(NOVEDADES!$D$4:$D$1503,$A313))</f>
        <v/>
      </c>
      <c r="P313" s="28">
        <f>IF($A313="","",IF(COUNTIFS(NOVEDADES!$D$4:$D$1503,$A313,NOVEDADES!$O$4:$O$1503,"SÍ")&gt;0,"No","Sí"))</f>
        <v/>
      </c>
      <c r="Q313" s="28">
        <f>IF(OR($A313="",$L313=""),"",IF(AND($N313="Sí",$P313="Sí"),"OTIF","Falló"))</f>
        <v/>
      </c>
    </row>
    <row r="314" ht="16" customHeight="1">
      <c r="A314" s="48" t="n"/>
      <c r="B314" s="48" t="n"/>
      <c r="C314" s="47" t="n"/>
      <c r="D314" s="50" t="n"/>
      <c r="E314" s="50" t="n"/>
      <c r="F314" s="50" t="n"/>
      <c r="G314" s="50" t="n"/>
      <c r="H314" s="48" t="n"/>
      <c r="I314" s="51" t="n"/>
      <c r="J314" s="52" t="n"/>
      <c r="K314" s="47" t="n"/>
      <c r="L314" s="47" t="n"/>
      <c r="M314" s="24">
        <f>IF(OR($A314="",$C314=""),"",IF($L314&lt;&gt;"",$L314-$C314,TODAY()-$C314))</f>
        <v/>
      </c>
      <c r="N314" s="28">
        <f>IF(OR($A314="",$K314=""),"",IF($L314="",IF(TODAY()&gt;$K314,"Atrasado","En ruta"),IF($L314&lt;=$K314,"Sí","No")))</f>
        <v/>
      </c>
      <c r="O314" s="24">
        <f>IF($A314="","",COUNTIFS(NOVEDADES!$D$4:$D$1503,$A314))</f>
        <v/>
      </c>
      <c r="P314" s="28">
        <f>IF($A314="","",IF(COUNTIFS(NOVEDADES!$D$4:$D$1503,$A314,NOVEDADES!$O$4:$O$1503,"SÍ")&gt;0,"No","Sí"))</f>
        <v/>
      </c>
      <c r="Q314" s="28">
        <f>IF(OR($A314="",$L314=""),"",IF(AND($N314="Sí",$P314="Sí"),"OTIF","Falló"))</f>
        <v/>
      </c>
    </row>
    <row r="315" ht="16" customHeight="1">
      <c r="A315" s="48" t="n"/>
      <c r="B315" s="48" t="n"/>
      <c r="C315" s="47" t="n"/>
      <c r="D315" s="50" t="n"/>
      <c r="E315" s="50" t="n"/>
      <c r="F315" s="50" t="n"/>
      <c r="G315" s="50" t="n"/>
      <c r="H315" s="48" t="n"/>
      <c r="I315" s="51" t="n"/>
      <c r="J315" s="52" t="n"/>
      <c r="K315" s="47" t="n"/>
      <c r="L315" s="47" t="n"/>
      <c r="M315" s="24">
        <f>IF(OR($A315="",$C315=""),"",IF($L315&lt;&gt;"",$L315-$C315,TODAY()-$C315))</f>
        <v/>
      </c>
      <c r="N315" s="28">
        <f>IF(OR($A315="",$K315=""),"",IF($L315="",IF(TODAY()&gt;$K315,"Atrasado","En ruta"),IF($L315&lt;=$K315,"Sí","No")))</f>
        <v/>
      </c>
      <c r="O315" s="24">
        <f>IF($A315="","",COUNTIFS(NOVEDADES!$D$4:$D$1503,$A315))</f>
        <v/>
      </c>
      <c r="P315" s="28">
        <f>IF($A315="","",IF(COUNTIFS(NOVEDADES!$D$4:$D$1503,$A315,NOVEDADES!$O$4:$O$1503,"SÍ")&gt;0,"No","Sí"))</f>
        <v/>
      </c>
      <c r="Q315" s="28">
        <f>IF(OR($A315="",$L315=""),"",IF(AND($N315="Sí",$P315="Sí"),"OTIF","Falló"))</f>
        <v/>
      </c>
    </row>
    <row r="316" ht="16" customHeight="1">
      <c r="A316" s="48" t="n"/>
      <c r="B316" s="48" t="n"/>
      <c r="C316" s="47" t="n"/>
      <c r="D316" s="50" t="n"/>
      <c r="E316" s="50" t="n"/>
      <c r="F316" s="50" t="n"/>
      <c r="G316" s="50" t="n"/>
      <c r="H316" s="48" t="n"/>
      <c r="I316" s="51" t="n"/>
      <c r="J316" s="52" t="n"/>
      <c r="K316" s="47" t="n"/>
      <c r="L316" s="47" t="n"/>
      <c r="M316" s="24">
        <f>IF(OR($A316="",$C316=""),"",IF($L316&lt;&gt;"",$L316-$C316,TODAY()-$C316))</f>
        <v/>
      </c>
      <c r="N316" s="28">
        <f>IF(OR($A316="",$K316=""),"",IF($L316="",IF(TODAY()&gt;$K316,"Atrasado","En ruta"),IF($L316&lt;=$K316,"Sí","No")))</f>
        <v/>
      </c>
      <c r="O316" s="24">
        <f>IF($A316="","",COUNTIFS(NOVEDADES!$D$4:$D$1503,$A316))</f>
        <v/>
      </c>
      <c r="P316" s="28">
        <f>IF($A316="","",IF(COUNTIFS(NOVEDADES!$D$4:$D$1503,$A316,NOVEDADES!$O$4:$O$1503,"SÍ")&gt;0,"No","Sí"))</f>
        <v/>
      </c>
      <c r="Q316" s="28">
        <f>IF(OR($A316="",$L316=""),"",IF(AND($N316="Sí",$P316="Sí"),"OTIF","Falló"))</f>
        <v/>
      </c>
    </row>
    <row r="317" ht="16" customHeight="1">
      <c r="A317" s="48" t="n"/>
      <c r="B317" s="48" t="n"/>
      <c r="C317" s="47" t="n"/>
      <c r="D317" s="50" t="n"/>
      <c r="E317" s="50" t="n"/>
      <c r="F317" s="50" t="n"/>
      <c r="G317" s="50" t="n"/>
      <c r="H317" s="48" t="n"/>
      <c r="I317" s="51" t="n"/>
      <c r="J317" s="52" t="n"/>
      <c r="K317" s="47" t="n"/>
      <c r="L317" s="47" t="n"/>
      <c r="M317" s="24">
        <f>IF(OR($A317="",$C317=""),"",IF($L317&lt;&gt;"",$L317-$C317,TODAY()-$C317))</f>
        <v/>
      </c>
      <c r="N317" s="28">
        <f>IF(OR($A317="",$K317=""),"",IF($L317="",IF(TODAY()&gt;$K317,"Atrasado","En ruta"),IF($L317&lt;=$K317,"Sí","No")))</f>
        <v/>
      </c>
      <c r="O317" s="24">
        <f>IF($A317="","",COUNTIFS(NOVEDADES!$D$4:$D$1503,$A317))</f>
        <v/>
      </c>
      <c r="P317" s="28">
        <f>IF($A317="","",IF(COUNTIFS(NOVEDADES!$D$4:$D$1503,$A317,NOVEDADES!$O$4:$O$1503,"SÍ")&gt;0,"No","Sí"))</f>
        <v/>
      </c>
      <c r="Q317" s="28">
        <f>IF(OR($A317="",$L317=""),"",IF(AND($N317="Sí",$P317="Sí"),"OTIF","Falló"))</f>
        <v/>
      </c>
    </row>
    <row r="318" ht="16" customHeight="1">
      <c r="A318" s="48" t="n"/>
      <c r="B318" s="48" t="n"/>
      <c r="C318" s="47" t="n"/>
      <c r="D318" s="50" t="n"/>
      <c r="E318" s="50" t="n"/>
      <c r="F318" s="50" t="n"/>
      <c r="G318" s="50" t="n"/>
      <c r="H318" s="48" t="n"/>
      <c r="I318" s="51" t="n"/>
      <c r="J318" s="52" t="n"/>
      <c r="K318" s="47" t="n"/>
      <c r="L318" s="47" t="n"/>
      <c r="M318" s="24">
        <f>IF(OR($A318="",$C318=""),"",IF($L318&lt;&gt;"",$L318-$C318,TODAY()-$C318))</f>
        <v/>
      </c>
      <c r="N318" s="28">
        <f>IF(OR($A318="",$K318=""),"",IF($L318="",IF(TODAY()&gt;$K318,"Atrasado","En ruta"),IF($L318&lt;=$K318,"Sí","No")))</f>
        <v/>
      </c>
      <c r="O318" s="24">
        <f>IF($A318="","",COUNTIFS(NOVEDADES!$D$4:$D$1503,$A318))</f>
        <v/>
      </c>
      <c r="P318" s="28">
        <f>IF($A318="","",IF(COUNTIFS(NOVEDADES!$D$4:$D$1503,$A318,NOVEDADES!$O$4:$O$1503,"SÍ")&gt;0,"No","Sí"))</f>
        <v/>
      </c>
      <c r="Q318" s="28">
        <f>IF(OR($A318="",$L318=""),"",IF(AND($N318="Sí",$P318="Sí"),"OTIF","Falló"))</f>
        <v/>
      </c>
    </row>
    <row r="319" ht="16" customHeight="1">
      <c r="A319" s="48" t="n"/>
      <c r="B319" s="48" t="n"/>
      <c r="C319" s="47" t="n"/>
      <c r="D319" s="50" t="n"/>
      <c r="E319" s="50" t="n"/>
      <c r="F319" s="50" t="n"/>
      <c r="G319" s="50" t="n"/>
      <c r="H319" s="48" t="n"/>
      <c r="I319" s="51" t="n"/>
      <c r="J319" s="52" t="n"/>
      <c r="K319" s="47" t="n"/>
      <c r="L319" s="47" t="n"/>
      <c r="M319" s="24">
        <f>IF(OR($A319="",$C319=""),"",IF($L319&lt;&gt;"",$L319-$C319,TODAY()-$C319))</f>
        <v/>
      </c>
      <c r="N319" s="28">
        <f>IF(OR($A319="",$K319=""),"",IF($L319="",IF(TODAY()&gt;$K319,"Atrasado","En ruta"),IF($L319&lt;=$K319,"Sí","No")))</f>
        <v/>
      </c>
      <c r="O319" s="24">
        <f>IF($A319="","",COUNTIFS(NOVEDADES!$D$4:$D$1503,$A319))</f>
        <v/>
      </c>
      <c r="P319" s="28">
        <f>IF($A319="","",IF(COUNTIFS(NOVEDADES!$D$4:$D$1503,$A319,NOVEDADES!$O$4:$O$1503,"SÍ")&gt;0,"No","Sí"))</f>
        <v/>
      </c>
      <c r="Q319" s="28">
        <f>IF(OR($A319="",$L319=""),"",IF(AND($N319="Sí",$P319="Sí"),"OTIF","Falló"))</f>
        <v/>
      </c>
    </row>
    <row r="320" ht="16" customHeight="1">
      <c r="A320" s="48" t="n"/>
      <c r="B320" s="48" t="n"/>
      <c r="C320" s="47" t="n"/>
      <c r="D320" s="50" t="n"/>
      <c r="E320" s="50" t="n"/>
      <c r="F320" s="50" t="n"/>
      <c r="G320" s="50" t="n"/>
      <c r="H320" s="48" t="n"/>
      <c r="I320" s="51" t="n"/>
      <c r="J320" s="52" t="n"/>
      <c r="K320" s="47" t="n"/>
      <c r="L320" s="47" t="n"/>
      <c r="M320" s="24">
        <f>IF(OR($A320="",$C320=""),"",IF($L320&lt;&gt;"",$L320-$C320,TODAY()-$C320))</f>
        <v/>
      </c>
      <c r="N320" s="28">
        <f>IF(OR($A320="",$K320=""),"",IF($L320="",IF(TODAY()&gt;$K320,"Atrasado","En ruta"),IF($L320&lt;=$K320,"Sí","No")))</f>
        <v/>
      </c>
      <c r="O320" s="24">
        <f>IF($A320="","",COUNTIFS(NOVEDADES!$D$4:$D$1503,$A320))</f>
        <v/>
      </c>
      <c r="P320" s="28">
        <f>IF($A320="","",IF(COUNTIFS(NOVEDADES!$D$4:$D$1503,$A320,NOVEDADES!$O$4:$O$1503,"SÍ")&gt;0,"No","Sí"))</f>
        <v/>
      </c>
      <c r="Q320" s="28">
        <f>IF(OR($A320="",$L320=""),"",IF(AND($N320="Sí",$P320="Sí"),"OTIF","Falló"))</f>
        <v/>
      </c>
    </row>
    <row r="321" ht="16" customHeight="1">
      <c r="A321" s="48" t="n"/>
      <c r="B321" s="48" t="n"/>
      <c r="C321" s="47" t="n"/>
      <c r="D321" s="50" t="n"/>
      <c r="E321" s="50" t="n"/>
      <c r="F321" s="50" t="n"/>
      <c r="G321" s="50" t="n"/>
      <c r="H321" s="48" t="n"/>
      <c r="I321" s="51" t="n"/>
      <c r="J321" s="52" t="n"/>
      <c r="K321" s="47" t="n"/>
      <c r="L321" s="47" t="n"/>
      <c r="M321" s="24">
        <f>IF(OR($A321="",$C321=""),"",IF($L321&lt;&gt;"",$L321-$C321,TODAY()-$C321))</f>
        <v/>
      </c>
      <c r="N321" s="28">
        <f>IF(OR($A321="",$K321=""),"",IF($L321="",IF(TODAY()&gt;$K321,"Atrasado","En ruta"),IF($L321&lt;=$K321,"Sí","No")))</f>
        <v/>
      </c>
      <c r="O321" s="24">
        <f>IF($A321="","",COUNTIFS(NOVEDADES!$D$4:$D$1503,$A321))</f>
        <v/>
      </c>
      <c r="P321" s="28">
        <f>IF($A321="","",IF(COUNTIFS(NOVEDADES!$D$4:$D$1503,$A321,NOVEDADES!$O$4:$O$1503,"SÍ")&gt;0,"No","Sí"))</f>
        <v/>
      </c>
      <c r="Q321" s="28">
        <f>IF(OR($A321="",$L321=""),"",IF(AND($N321="Sí",$P321="Sí"),"OTIF","Falló"))</f>
        <v/>
      </c>
    </row>
    <row r="322" ht="16" customHeight="1">
      <c r="A322" s="48" t="n"/>
      <c r="B322" s="48" t="n"/>
      <c r="C322" s="47" t="n"/>
      <c r="D322" s="50" t="n"/>
      <c r="E322" s="50" t="n"/>
      <c r="F322" s="50" t="n"/>
      <c r="G322" s="50" t="n"/>
      <c r="H322" s="48" t="n"/>
      <c r="I322" s="51" t="n"/>
      <c r="J322" s="52" t="n"/>
      <c r="K322" s="47" t="n"/>
      <c r="L322" s="47" t="n"/>
      <c r="M322" s="24">
        <f>IF(OR($A322="",$C322=""),"",IF($L322&lt;&gt;"",$L322-$C322,TODAY()-$C322))</f>
        <v/>
      </c>
      <c r="N322" s="28">
        <f>IF(OR($A322="",$K322=""),"",IF($L322="",IF(TODAY()&gt;$K322,"Atrasado","En ruta"),IF($L322&lt;=$K322,"Sí","No")))</f>
        <v/>
      </c>
      <c r="O322" s="24">
        <f>IF($A322="","",COUNTIFS(NOVEDADES!$D$4:$D$1503,$A322))</f>
        <v/>
      </c>
      <c r="P322" s="28">
        <f>IF($A322="","",IF(COUNTIFS(NOVEDADES!$D$4:$D$1503,$A322,NOVEDADES!$O$4:$O$1503,"SÍ")&gt;0,"No","Sí"))</f>
        <v/>
      </c>
      <c r="Q322" s="28">
        <f>IF(OR($A322="",$L322=""),"",IF(AND($N322="Sí",$P322="Sí"),"OTIF","Falló"))</f>
        <v/>
      </c>
    </row>
    <row r="323" ht="16" customHeight="1">
      <c r="A323" s="48" t="n"/>
      <c r="B323" s="48" t="n"/>
      <c r="C323" s="47" t="n"/>
      <c r="D323" s="50" t="n"/>
      <c r="E323" s="50" t="n"/>
      <c r="F323" s="50" t="n"/>
      <c r="G323" s="50" t="n"/>
      <c r="H323" s="48" t="n"/>
      <c r="I323" s="51" t="n"/>
      <c r="J323" s="52" t="n"/>
      <c r="K323" s="47" t="n"/>
      <c r="L323" s="47" t="n"/>
      <c r="M323" s="24">
        <f>IF(OR($A323="",$C323=""),"",IF($L323&lt;&gt;"",$L323-$C323,TODAY()-$C323))</f>
        <v/>
      </c>
      <c r="N323" s="28">
        <f>IF(OR($A323="",$K323=""),"",IF($L323="",IF(TODAY()&gt;$K323,"Atrasado","En ruta"),IF($L323&lt;=$K323,"Sí","No")))</f>
        <v/>
      </c>
      <c r="O323" s="24">
        <f>IF($A323="","",COUNTIFS(NOVEDADES!$D$4:$D$1503,$A323))</f>
        <v/>
      </c>
      <c r="P323" s="28">
        <f>IF($A323="","",IF(COUNTIFS(NOVEDADES!$D$4:$D$1503,$A323,NOVEDADES!$O$4:$O$1503,"SÍ")&gt;0,"No","Sí"))</f>
        <v/>
      </c>
      <c r="Q323" s="28">
        <f>IF(OR($A323="",$L323=""),"",IF(AND($N323="Sí",$P323="Sí"),"OTIF","Falló"))</f>
        <v/>
      </c>
    </row>
    <row r="324" ht="16" customHeight="1">
      <c r="A324" s="48" t="n"/>
      <c r="B324" s="48" t="n"/>
      <c r="C324" s="47" t="n"/>
      <c r="D324" s="50" t="n"/>
      <c r="E324" s="50" t="n"/>
      <c r="F324" s="50" t="n"/>
      <c r="G324" s="50" t="n"/>
      <c r="H324" s="48" t="n"/>
      <c r="I324" s="51" t="n"/>
      <c r="J324" s="52" t="n"/>
      <c r="K324" s="47" t="n"/>
      <c r="L324" s="47" t="n"/>
      <c r="M324" s="24">
        <f>IF(OR($A324="",$C324=""),"",IF($L324&lt;&gt;"",$L324-$C324,TODAY()-$C324))</f>
        <v/>
      </c>
      <c r="N324" s="28">
        <f>IF(OR($A324="",$K324=""),"",IF($L324="",IF(TODAY()&gt;$K324,"Atrasado","En ruta"),IF($L324&lt;=$K324,"Sí","No")))</f>
        <v/>
      </c>
      <c r="O324" s="24">
        <f>IF($A324="","",COUNTIFS(NOVEDADES!$D$4:$D$1503,$A324))</f>
        <v/>
      </c>
      <c r="P324" s="28">
        <f>IF($A324="","",IF(COUNTIFS(NOVEDADES!$D$4:$D$1503,$A324,NOVEDADES!$O$4:$O$1503,"SÍ")&gt;0,"No","Sí"))</f>
        <v/>
      </c>
      <c r="Q324" s="28">
        <f>IF(OR($A324="",$L324=""),"",IF(AND($N324="Sí",$P324="Sí"),"OTIF","Falló"))</f>
        <v/>
      </c>
    </row>
    <row r="325" ht="16" customHeight="1">
      <c r="A325" s="48" t="n"/>
      <c r="B325" s="48" t="n"/>
      <c r="C325" s="47" t="n"/>
      <c r="D325" s="50" t="n"/>
      <c r="E325" s="50" t="n"/>
      <c r="F325" s="50" t="n"/>
      <c r="G325" s="50" t="n"/>
      <c r="H325" s="48" t="n"/>
      <c r="I325" s="51" t="n"/>
      <c r="J325" s="52" t="n"/>
      <c r="K325" s="47" t="n"/>
      <c r="L325" s="47" t="n"/>
      <c r="M325" s="24">
        <f>IF(OR($A325="",$C325=""),"",IF($L325&lt;&gt;"",$L325-$C325,TODAY()-$C325))</f>
        <v/>
      </c>
      <c r="N325" s="28">
        <f>IF(OR($A325="",$K325=""),"",IF($L325="",IF(TODAY()&gt;$K325,"Atrasado","En ruta"),IF($L325&lt;=$K325,"Sí","No")))</f>
        <v/>
      </c>
      <c r="O325" s="24">
        <f>IF($A325="","",COUNTIFS(NOVEDADES!$D$4:$D$1503,$A325))</f>
        <v/>
      </c>
      <c r="P325" s="28">
        <f>IF($A325="","",IF(COUNTIFS(NOVEDADES!$D$4:$D$1503,$A325,NOVEDADES!$O$4:$O$1503,"SÍ")&gt;0,"No","Sí"))</f>
        <v/>
      </c>
      <c r="Q325" s="28">
        <f>IF(OR($A325="",$L325=""),"",IF(AND($N325="Sí",$P325="Sí"),"OTIF","Falló"))</f>
        <v/>
      </c>
    </row>
    <row r="326" ht="16" customHeight="1">
      <c r="A326" s="48" t="n"/>
      <c r="B326" s="48" t="n"/>
      <c r="C326" s="47" t="n"/>
      <c r="D326" s="50" t="n"/>
      <c r="E326" s="50" t="n"/>
      <c r="F326" s="50" t="n"/>
      <c r="G326" s="50" t="n"/>
      <c r="H326" s="48" t="n"/>
      <c r="I326" s="51" t="n"/>
      <c r="J326" s="52" t="n"/>
      <c r="K326" s="47" t="n"/>
      <c r="L326" s="47" t="n"/>
      <c r="M326" s="24">
        <f>IF(OR($A326="",$C326=""),"",IF($L326&lt;&gt;"",$L326-$C326,TODAY()-$C326))</f>
        <v/>
      </c>
      <c r="N326" s="28">
        <f>IF(OR($A326="",$K326=""),"",IF($L326="",IF(TODAY()&gt;$K326,"Atrasado","En ruta"),IF($L326&lt;=$K326,"Sí","No")))</f>
        <v/>
      </c>
      <c r="O326" s="24">
        <f>IF($A326="","",COUNTIFS(NOVEDADES!$D$4:$D$1503,$A326))</f>
        <v/>
      </c>
      <c r="P326" s="28">
        <f>IF($A326="","",IF(COUNTIFS(NOVEDADES!$D$4:$D$1503,$A326,NOVEDADES!$O$4:$O$1503,"SÍ")&gt;0,"No","Sí"))</f>
        <v/>
      </c>
      <c r="Q326" s="28">
        <f>IF(OR($A326="",$L326=""),"",IF(AND($N326="Sí",$P326="Sí"),"OTIF","Falló"))</f>
        <v/>
      </c>
    </row>
    <row r="327" ht="16" customHeight="1">
      <c r="A327" s="48" t="n"/>
      <c r="B327" s="48" t="n"/>
      <c r="C327" s="47" t="n"/>
      <c r="D327" s="50" t="n"/>
      <c r="E327" s="50" t="n"/>
      <c r="F327" s="50" t="n"/>
      <c r="G327" s="50" t="n"/>
      <c r="H327" s="48" t="n"/>
      <c r="I327" s="51" t="n"/>
      <c r="J327" s="52" t="n"/>
      <c r="K327" s="47" t="n"/>
      <c r="L327" s="47" t="n"/>
      <c r="M327" s="24">
        <f>IF(OR($A327="",$C327=""),"",IF($L327&lt;&gt;"",$L327-$C327,TODAY()-$C327))</f>
        <v/>
      </c>
      <c r="N327" s="28">
        <f>IF(OR($A327="",$K327=""),"",IF($L327="",IF(TODAY()&gt;$K327,"Atrasado","En ruta"),IF($L327&lt;=$K327,"Sí","No")))</f>
        <v/>
      </c>
      <c r="O327" s="24">
        <f>IF($A327="","",COUNTIFS(NOVEDADES!$D$4:$D$1503,$A327))</f>
        <v/>
      </c>
      <c r="P327" s="28">
        <f>IF($A327="","",IF(COUNTIFS(NOVEDADES!$D$4:$D$1503,$A327,NOVEDADES!$O$4:$O$1503,"SÍ")&gt;0,"No","Sí"))</f>
        <v/>
      </c>
      <c r="Q327" s="28">
        <f>IF(OR($A327="",$L327=""),"",IF(AND($N327="Sí",$P327="Sí"),"OTIF","Falló"))</f>
        <v/>
      </c>
    </row>
    <row r="328" ht="16" customHeight="1">
      <c r="A328" s="48" t="n"/>
      <c r="B328" s="48" t="n"/>
      <c r="C328" s="47" t="n"/>
      <c r="D328" s="50" t="n"/>
      <c r="E328" s="50" t="n"/>
      <c r="F328" s="50" t="n"/>
      <c r="G328" s="50" t="n"/>
      <c r="H328" s="48" t="n"/>
      <c r="I328" s="51" t="n"/>
      <c r="J328" s="52" t="n"/>
      <c r="K328" s="47" t="n"/>
      <c r="L328" s="47" t="n"/>
      <c r="M328" s="24">
        <f>IF(OR($A328="",$C328=""),"",IF($L328&lt;&gt;"",$L328-$C328,TODAY()-$C328))</f>
        <v/>
      </c>
      <c r="N328" s="28">
        <f>IF(OR($A328="",$K328=""),"",IF($L328="",IF(TODAY()&gt;$K328,"Atrasado","En ruta"),IF($L328&lt;=$K328,"Sí","No")))</f>
        <v/>
      </c>
      <c r="O328" s="24">
        <f>IF($A328="","",COUNTIFS(NOVEDADES!$D$4:$D$1503,$A328))</f>
        <v/>
      </c>
      <c r="P328" s="28">
        <f>IF($A328="","",IF(COUNTIFS(NOVEDADES!$D$4:$D$1503,$A328,NOVEDADES!$O$4:$O$1503,"SÍ")&gt;0,"No","Sí"))</f>
        <v/>
      </c>
      <c r="Q328" s="28">
        <f>IF(OR($A328="",$L328=""),"",IF(AND($N328="Sí",$P328="Sí"),"OTIF","Falló"))</f>
        <v/>
      </c>
    </row>
    <row r="329" ht="16" customHeight="1">
      <c r="A329" s="48" t="n"/>
      <c r="B329" s="48" t="n"/>
      <c r="C329" s="47" t="n"/>
      <c r="D329" s="50" t="n"/>
      <c r="E329" s="50" t="n"/>
      <c r="F329" s="50" t="n"/>
      <c r="G329" s="50" t="n"/>
      <c r="H329" s="48" t="n"/>
      <c r="I329" s="51" t="n"/>
      <c r="J329" s="52" t="n"/>
      <c r="K329" s="47" t="n"/>
      <c r="L329" s="47" t="n"/>
      <c r="M329" s="24">
        <f>IF(OR($A329="",$C329=""),"",IF($L329&lt;&gt;"",$L329-$C329,TODAY()-$C329))</f>
        <v/>
      </c>
      <c r="N329" s="28">
        <f>IF(OR($A329="",$K329=""),"",IF($L329="",IF(TODAY()&gt;$K329,"Atrasado","En ruta"),IF($L329&lt;=$K329,"Sí","No")))</f>
        <v/>
      </c>
      <c r="O329" s="24">
        <f>IF($A329="","",COUNTIFS(NOVEDADES!$D$4:$D$1503,$A329))</f>
        <v/>
      </c>
      <c r="P329" s="28">
        <f>IF($A329="","",IF(COUNTIFS(NOVEDADES!$D$4:$D$1503,$A329,NOVEDADES!$O$4:$O$1503,"SÍ")&gt;0,"No","Sí"))</f>
        <v/>
      </c>
      <c r="Q329" s="28">
        <f>IF(OR($A329="",$L329=""),"",IF(AND($N329="Sí",$P329="Sí"),"OTIF","Falló"))</f>
        <v/>
      </c>
    </row>
    <row r="330" ht="16" customHeight="1">
      <c r="A330" s="48" t="n"/>
      <c r="B330" s="48" t="n"/>
      <c r="C330" s="47" t="n"/>
      <c r="D330" s="50" t="n"/>
      <c r="E330" s="50" t="n"/>
      <c r="F330" s="50" t="n"/>
      <c r="G330" s="50" t="n"/>
      <c r="H330" s="48" t="n"/>
      <c r="I330" s="51" t="n"/>
      <c r="J330" s="52" t="n"/>
      <c r="K330" s="47" t="n"/>
      <c r="L330" s="47" t="n"/>
      <c r="M330" s="24">
        <f>IF(OR($A330="",$C330=""),"",IF($L330&lt;&gt;"",$L330-$C330,TODAY()-$C330))</f>
        <v/>
      </c>
      <c r="N330" s="28">
        <f>IF(OR($A330="",$K330=""),"",IF($L330="",IF(TODAY()&gt;$K330,"Atrasado","En ruta"),IF($L330&lt;=$K330,"Sí","No")))</f>
        <v/>
      </c>
      <c r="O330" s="24">
        <f>IF($A330="","",COUNTIFS(NOVEDADES!$D$4:$D$1503,$A330))</f>
        <v/>
      </c>
      <c r="P330" s="28">
        <f>IF($A330="","",IF(COUNTIFS(NOVEDADES!$D$4:$D$1503,$A330,NOVEDADES!$O$4:$O$1503,"SÍ")&gt;0,"No","Sí"))</f>
        <v/>
      </c>
      <c r="Q330" s="28">
        <f>IF(OR($A330="",$L330=""),"",IF(AND($N330="Sí",$P330="Sí"),"OTIF","Falló"))</f>
        <v/>
      </c>
    </row>
    <row r="331" ht="16" customHeight="1">
      <c r="A331" s="48" t="n"/>
      <c r="B331" s="48" t="n"/>
      <c r="C331" s="47" t="n"/>
      <c r="D331" s="50" t="n"/>
      <c r="E331" s="50" t="n"/>
      <c r="F331" s="50" t="n"/>
      <c r="G331" s="50" t="n"/>
      <c r="H331" s="48" t="n"/>
      <c r="I331" s="51" t="n"/>
      <c r="J331" s="52" t="n"/>
      <c r="K331" s="47" t="n"/>
      <c r="L331" s="47" t="n"/>
      <c r="M331" s="24">
        <f>IF(OR($A331="",$C331=""),"",IF($L331&lt;&gt;"",$L331-$C331,TODAY()-$C331))</f>
        <v/>
      </c>
      <c r="N331" s="28">
        <f>IF(OR($A331="",$K331=""),"",IF($L331="",IF(TODAY()&gt;$K331,"Atrasado","En ruta"),IF($L331&lt;=$K331,"Sí","No")))</f>
        <v/>
      </c>
      <c r="O331" s="24">
        <f>IF($A331="","",COUNTIFS(NOVEDADES!$D$4:$D$1503,$A331))</f>
        <v/>
      </c>
      <c r="P331" s="28">
        <f>IF($A331="","",IF(COUNTIFS(NOVEDADES!$D$4:$D$1503,$A331,NOVEDADES!$O$4:$O$1503,"SÍ")&gt;0,"No","Sí"))</f>
        <v/>
      </c>
      <c r="Q331" s="28">
        <f>IF(OR($A331="",$L331=""),"",IF(AND($N331="Sí",$P331="Sí"),"OTIF","Falló"))</f>
        <v/>
      </c>
    </row>
    <row r="332" ht="16" customHeight="1">
      <c r="A332" s="48" t="n"/>
      <c r="B332" s="48" t="n"/>
      <c r="C332" s="47" t="n"/>
      <c r="D332" s="50" t="n"/>
      <c r="E332" s="50" t="n"/>
      <c r="F332" s="50" t="n"/>
      <c r="G332" s="50" t="n"/>
      <c r="H332" s="48" t="n"/>
      <c r="I332" s="51" t="n"/>
      <c r="J332" s="52" t="n"/>
      <c r="K332" s="47" t="n"/>
      <c r="L332" s="47" t="n"/>
      <c r="M332" s="24">
        <f>IF(OR($A332="",$C332=""),"",IF($L332&lt;&gt;"",$L332-$C332,TODAY()-$C332))</f>
        <v/>
      </c>
      <c r="N332" s="28">
        <f>IF(OR($A332="",$K332=""),"",IF($L332="",IF(TODAY()&gt;$K332,"Atrasado","En ruta"),IF($L332&lt;=$K332,"Sí","No")))</f>
        <v/>
      </c>
      <c r="O332" s="24">
        <f>IF($A332="","",COUNTIFS(NOVEDADES!$D$4:$D$1503,$A332))</f>
        <v/>
      </c>
      <c r="P332" s="28">
        <f>IF($A332="","",IF(COUNTIFS(NOVEDADES!$D$4:$D$1503,$A332,NOVEDADES!$O$4:$O$1503,"SÍ")&gt;0,"No","Sí"))</f>
        <v/>
      </c>
      <c r="Q332" s="28">
        <f>IF(OR($A332="",$L332=""),"",IF(AND($N332="Sí",$P332="Sí"),"OTIF","Falló"))</f>
        <v/>
      </c>
    </row>
    <row r="333" ht="16" customHeight="1">
      <c r="A333" s="48" t="n"/>
      <c r="B333" s="48" t="n"/>
      <c r="C333" s="47" t="n"/>
      <c r="D333" s="50" t="n"/>
      <c r="E333" s="50" t="n"/>
      <c r="F333" s="50" t="n"/>
      <c r="G333" s="50" t="n"/>
      <c r="H333" s="48" t="n"/>
      <c r="I333" s="51" t="n"/>
      <c r="J333" s="52" t="n"/>
      <c r="K333" s="47" t="n"/>
      <c r="L333" s="47" t="n"/>
      <c r="M333" s="24">
        <f>IF(OR($A333="",$C333=""),"",IF($L333&lt;&gt;"",$L333-$C333,TODAY()-$C333))</f>
        <v/>
      </c>
      <c r="N333" s="28">
        <f>IF(OR($A333="",$K333=""),"",IF($L333="",IF(TODAY()&gt;$K333,"Atrasado","En ruta"),IF($L333&lt;=$K333,"Sí","No")))</f>
        <v/>
      </c>
      <c r="O333" s="24">
        <f>IF($A333="","",COUNTIFS(NOVEDADES!$D$4:$D$1503,$A333))</f>
        <v/>
      </c>
      <c r="P333" s="28">
        <f>IF($A333="","",IF(COUNTIFS(NOVEDADES!$D$4:$D$1503,$A333,NOVEDADES!$O$4:$O$1503,"SÍ")&gt;0,"No","Sí"))</f>
        <v/>
      </c>
      <c r="Q333" s="28">
        <f>IF(OR($A333="",$L333=""),"",IF(AND($N333="Sí",$P333="Sí"),"OTIF","Falló"))</f>
        <v/>
      </c>
    </row>
    <row r="334" ht="16" customHeight="1">
      <c r="A334" s="48" t="n"/>
      <c r="B334" s="48" t="n"/>
      <c r="C334" s="47" t="n"/>
      <c r="D334" s="50" t="n"/>
      <c r="E334" s="50" t="n"/>
      <c r="F334" s="50" t="n"/>
      <c r="G334" s="50" t="n"/>
      <c r="H334" s="48" t="n"/>
      <c r="I334" s="51" t="n"/>
      <c r="J334" s="52" t="n"/>
      <c r="K334" s="47" t="n"/>
      <c r="L334" s="47" t="n"/>
      <c r="M334" s="24">
        <f>IF(OR($A334="",$C334=""),"",IF($L334&lt;&gt;"",$L334-$C334,TODAY()-$C334))</f>
        <v/>
      </c>
      <c r="N334" s="28">
        <f>IF(OR($A334="",$K334=""),"",IF($L334="",IF(TODAY()&gt;$K334,"Atrasado","En ruta"),IF($L334&lt;=$K334,"Sí","No")))</f>
        <v/>
      </c>
      <c r="O334" s="24">
        <f>IF($A334="","",COUNTIFS(NOVEDADES!$D$4:$D$1503,$A334))</f>
        <v/>
      </c>
      <c r="P334" s="28">
        <f>IF($A334="","",IF(COUNTIFS(NOVEDADES!$D$4:$D$1503,$A334,NOVEDADES!$O$4:$O$1503,"SÍ")&gt;0,"No","Sí"))</f>
        <v/>
      </c>
      <c r="Q334" s="28">
        <f>IF(OR($A334="",$L334=""),"",IF(AND($N334="Sí",$P334="Sí"),"OTIF","Falló"))</f>
        <v/>
      </c>
    </row>
    <row r="335" ht="16" customHeight="1">
      <c r="A335" s="48" t="n"/>
      <c r="B335" s="48" t="n"/>
      <c r="C335" s="47" t="n"/>
      <c r="D335" s="50" t="n"/>
      <c r="E335" s="50" t="n"/>
      <c r="F335" s="50" t="n"/>
      <c r="G335" s="50" t="n"/>
      <c r="H335" s="48" t="n"/>
      <c r="I335" s="51" t="n"/>
      <c r="J335" s="52" t="n"/>
      <c r="K335" s="47" t="n"/>
      <c r="L335" s="47" t="n"/>
      <c r="M335" s="24">
        <f>IF(OR($A335="",$C335=""),"",IF($L335&lt;&gt;"",$L335-$C335,TODAY()-$C335))</f>
        <v/>
      </c>
      <c r="N335" s="28">
        <f>IF(OR($A335="",$K335=""),"",IF($L335="",IF(TODAY()&gt;$K335,"Atrasado","En ruta"),IF($L335&lt;=$K335,"Sí","No")))</f>
        <v/>
      </c>
      <c r="O335" s="24">
        <f>IF($A335="","",COUNTIFS(NOVEDADES!$D$4:$D$1503,$A335))</f>
        <v/>
      </c>
      <c r="P335" s="28">
        <f>IF($A335="","",IF(COUNTIFS(NOVEDADES!$D$4:$D$1503,$A335,NOVEDADES!$O$4:$O$1503,"SÍ")&gt;0,"No","Sí"))</f>
        <v/>
      </c>
      <c r="Q335" s="28">
        <f>IF(OR($A335="",$L335=""),"",IF(AND($N335="Sí",$P335="Sí"),"OTIF","Falló"))</f>
        <v/>
      </c>
    </row>
    <row r="336" ht="16" customHeight="1">
      <c r="A336" s="48" t="n"/>
      <c r="B336" s="48" t="n"/>
      <c r="C336" s="47" t="n"/>
      <c r="D336" s="50" t="n"/>
      <c r="E336" s="50" t="n"/>
      <c r="F336" s="50" t="n"/>
      <c r="G336" s="50" t="n"/>
      <c r="H336" s="48" t="n"/>
      <c r="I336" s="51" t="n"/>
      <c r="J336" s="52" t="n"/>
      <c r="K336" s="47" t="n"/>
      <c r="L336" s="47" t="n"/>
      <c r="M336" s="24">
        <f>IF(OR($A336="",$C336=""),"",IF($L336&lt;&gt;"",$L336-$C336,TODAY()-$C336))</f>
        <v/>
      </c>
      <c r="N336" s="28">
        <f>IF(OR($A336="",$K336=""),"",IF($L336="",IF(TODAY()&gt;$K336,"Atrasado","En ruta"),IF($L336&lt;=$K336,"Sí","No")))</f>
        <v/>
      </c>
      <c r="O336" s="24">
        <f>IF($A336="","",COUNTIFS(NOVEDADES!$D$4:$D$1503,$A336))</f>
        <v/>
      </c>
      <c r="P336" s="28">
        <f>IF($A336="","",IF(COUNTIFS(NOVEDADES!$D$4:$D$1503,$A336,NOVEDADES!$O$4:$O$1503,"SÍ")&gt;0,"No","Sí"))</f>
        <v/>
      </c>
      <c r="Q336" s="28">
        <f>IF(OR($A336="",$L336=""),"",IF(AND($N336="Sí",$P336="Sí"),"OTIF","Falló"))</f>
        <v/>
      </c>
    </row>
    <row r="337" ht="16" customHeight="1">
      <c r="A337" s="48" t="n"/>
      <c r="B337" s="48" t="n"/>
      <c r="C337" s="47" t="n"/>
      <c r="D337" s="50" t="n"/>
      <c r="E337" s="50" t="n"/>
      <c r="F337" s="50" t="n"/>
      <c r="G337" s="50" t="n"/>
      <c r="H337" s="48" t="n"/>
      <c r="I337" s="51" t="n"/>
      <c r="J337" s="52" t="n"/>
      <c r="K337" s="47" t="n"/>
      <c r="L337" s="47" t="n"/>
      <c r="M337" s="24">
        <f>IF(OR($A337="",$C337=""),"",IF($L337&lt;&gt;"",$L337-$C337,TODAY()-$C337))</f>
        <v/>
      </c>
      <c r="N337" s="28">
        <f>IF(OR($A337="",$K337=""),"",IF($L337="",IF(TODAY()&gt;$K337,"Atrasado","En ruta"),IF($L337&lt;=$K337,"Sí","No")))</f>
        <v/>
      </c>
      <c r="O337" s="24">
        <f>IF($A337="","",COUNTIFS(NOVEDADES!$D$4:$D$1503,$A337))</f>
        <v/>
      </c>
      <c r="P337" s="28">
        <f>IF($A337="","",IF(COUNTIFS(NOVEDADES!$D$4:$D$1503,$A337,NOVEDADES!$O$4:$O$1503,"SÍ")&gt;0,"No","Sí"))</f>
        <v/>
      </c>
      <c r="Q337" s="28">
        <f>IF(OR($A337="",$L337=""),"",IF(AND($N337="Sí",$P337="Sí"),"OTIF","Falló"))</f>
        <v/>
      </c>
    </row>
    <row r="338" ht="16" customHeight="1">
      <c r="A338" s="48" t="n"/>
      <c r="B338" s="48" t="n"/>
      <c r="C338" s="47" t="n"/>
      <c r="D338" s="50" t="n"/>
      <c r="E338" s="50" t="n"/>
      <c r="F338" s="50" t="n"/>
      <c r="G338" s="50" t="n"/>
      <c r="H338" s="48" t="n"/>
      <c r="I338" s="51" t="n"/>
      <c r="J338" s="52" t="n"/>
      <c r="K338" s="47" t="n"/>
      <c r="L338" s="47" t="n"/>
      <c r="M338" s="24">
        <f>IF(OR($A338="",$C338=""),"",IF($L338&lt;&gt;"",$L338-$C338,TODAY()-$C338))</f>
        <v/>
      </c>
      <c r="N338" s="28">
        <f>IF(OR($A338="",$K338=""),"",IF($L338="",IF(TODAY()&gt;$K338,"Atrasado","En ruta"),IF($L338&lt;=$K338,"Sí","No")))</f>
        <v/>
      </c>
      <c r="O338" s="24">
        <f>IF($A338="","",COUNTIFS(NOVEDADES!$D$4:$D$1503,$A338))</f>
        <v/>
      </c>
      <c r="P338" s="28">
        <f>IF($A338="","",IF(COUNTIFS(NOVEDADES!$D$4:$D$1503,$A338,NOVEDADES!$O$4:$O$1503,"SÍ")&gt;0,"No","Sí"))</f>
        <v/>
      </c>
      <c r="Q338" s="28">
        <f>IF(OR($A338="",$L338=""),"",IF(AND($N338="Sí",$P338="Sí"),"OTIF","Falló"))</f>
        <v/>
      </c>
    </row>
    <row r="339" ht="16" customHeight="1">
      <c r="A339" s="48" t="n"/>
      <c r="B339" s="48" t="n"/>
      <c r="C339" s="47" t="n"/>
      <c r="D339" s="50" t="n"/>
      <c r="E339" s="50" t="n"/>
      <c r="F339" s="50" t="n"/>
      <c r="G339" s="50" t="n"/>
      <c r="H339" s="48" t="n"/>
      <c r="I339" s="51" t="n"/>
      <c r="J339" s="52" t="n"/>
      <c r="K339" s="47" t="n"/>
      <c r="L339" s="47" t="n"/>
      <c r="M339" s="24">
        <f>IF(OR($A339="",$C339=""),"",IF($L339&lt;&gt;"",$L339-$C339,TODAY()-$C339))</f>
        <v/>
      </c>
      <c r="N339" s="28">
        <f>IF(OR($A339="",$K339=""),"",IF($L339="",IF(TODAY()&gt;$K339,"Atrasado","En ruta"),IF($L339&lt;=$K339,"Sí","No")))</f>
        <v/>
      </c>
      <c r="O339" s="24">
        <f>IF($A339="","",COUNTIFS(NOVEDADES!$D$4:$D$1503,$A339))</f>
        <v/>
      </c>
      <c r="P339" s="28">
        <f>IF($A339="","",IF(COUNTIFS(NOVEDADES!$D$4:$D$1503,$A339,NOVEDADES!$O$4:$O$1503,"SÍ")&gt;0,"No","Sí"))</f>
        <v/>
      </c>
      <c r="Q339" s="28">
        <f>IF(OR($A339="",$L339=""),"",IF(AND($N339="Sí",$P339="Sí"),"OTIF","Falló"))</f>
        <v/>
      </c>
    </row>
    <row r="340" ht="16" customHeight="1">
      <c r="A340" s="48" t="n"/>
      <c r="B340" s="48" t="n"/>
      <c r="C340" s="47" t="n"/>
      <c r="D340" s="50" t="n"/>
      <c r="E340" s="50" t="n"/>
      <c r="F340" s="50" t="n"/>
      <c r="G340" s="50" t="n"/>
      <c r="H340" s="48" t="n"/>
      <c r="I340" s="51" t="n"/>
      <c r="J340" s="52" t="n"/>
      <c r="K340" s="47" t="n"/>
      <c r="L340" s="47" t="n"/>
      <c r="M340" s="24">
        <f>IF(OR($A340="",$C340=""),"",IF($L340&lt;&gt;"",$L340-$C340,TODAY()-$C340))</f>
        <v/>
      </c>
      <c r="N340" s="28">
        <f>IF(OR($A340="",$K340=""),"",IF($L340="",IF(TODAY()&gt;$K340,"Atrasado","En ruta"),IF($L340&lt;=$K340,"Sí","No")))</f>
        <v/>
      </c>
      <c r="O340" s="24">
        <f>IF($A340="","",COUNTIFS(NOVEDADES!$D$4:$D$1503,$A340))</f>
        <v/>
      </c>
      <c r="P340" s="28">
        <f>IF($A340="","",IF(COUNTIFS(NOVEDADES!$D$4:$D$1503,$A340,NOVEDADES!$O$4:$O$1503,"SÍ")&gt;0,"No","Sí"))</f>
        <v/>
      </c>
      <c r="Q340" s="28">
        <f>IF(OR($A340="",$L340=""),"",IF(AND($N340="Sí",$P340="Sí"),"OTIF","Falló"))</f>
        <v/>
      </c>
    </row>
    <row r="341" ht="16" customHeight="1">
      <c r="A341" s="48" t="n"/>
      <c r="B341" s="48" t="n"/>
      <c r="C341" s="47" t="n"/>
      <c r="D341" s="50" t="n"/>
      <c r="E341" s="50" t="n"/>
      <c r="F341" s="50" t="n"/>
      <c r="G341" s="50" t="n"/>
      <c r="H341" s="48" t="n"/>
      <c r="I341" s="51" t="n"/>
      <c r="J341" s="52" t="n"/>
      <c r="K341" s="47" t="n"/>
      <c r="L341" s="47" t="n"/>
      <c r="M341" s="24">
        <f>IF(OR($A341="",$C341=""),"",IF($L341&lt;&gt;"",$L341-$C341,TODAY()-$C341))</f>
        <v/>
      </c>
      <c r="N341" s="28">
        <f>IF(OR($A341="",$K341=""),"",IF($L341="",IF(TODAY()&gt;$K341,"Atrasado","En ruta"),IF($L341&lt;=$K341,"Sí","No")))</f>
        <v/>
      </c>
      <c r="O341" s="24">
        <f>IF($A341="","",COUNTIFS(NOVEDADES!$D$4:$D$1503,$A341))</f>
        <v/>
      </c>
      <c r="P341" s="28">
        <f>IF($A341="","",IF(COUNTIFS(NOVEDADES!$D$4:$D$1503,$A341,NOVEDADES!$O$4:$O$1503,"SÍ")&gt;0,"No","Sí"))</f>
        <v/>
      </c>
      <c r="Q341" s="28">
        <f>IF(OR($A341="",$L341=""),"",IF(AND($N341="Sí",$P341="Sí"),"OTIF","Falló"))</f>
        <v/>
      </c>
    </row>
    <row r="342" ht="16" customHeight="1">
      <c r="A342" s="48" t="n"/>
      <c r="B342" s="48" t="n"/>
      <c r="C342" s="47" t="n"/>
      <c r="D342" s="50" t="n"/>
      <c r="E342" s="50" t="n"/>
      <c r="F342" s="50" t="n"/>
      <c r="G342" s="50" t="n"/>
      <c r="H342" s="48" t="n"/>
      <c r="I342" s="51" t="n"/>
      <c r="J342" s="52" t="n"/>
      <c r="K342" s="47" t="n"/>
      <c r="L342" s="47" t="n"/>
      <c r="M342" s="24">
        <f>IF(OR($A342="",$C342=""),"",IF($L342&lt;&gt;"",$L342-$C342,TODAY()-$C342))</f>
        <v/>
      </c>
      <c r="N342" s="28">
        <f>IF(OR($A342="",$K342=""),"",IF($L342="",IF(TODAY()&gt;$K342,"Atrasado","En ruta"),IF($L342&lt;=$K342,"Sí","No")))</f>
        <v/>
      </c>
      <c r="O342" s="24">
        <f>IF($A342="","",COUNTIFS(NOVEDADES!$D$4:$D$1503,$A342))</f>
        <v/>
      </c>
      <c r="P342" s="28">
        <f>IF($A342="","",IF(COUNTIFS(NOVEDADES!$D$4:$D$1503,$A342,NOVEDADES!$O$4:$O$1503,"SÍ")&gt;0,"No","Sí"))</f>
        <v/>
      </c>
      <c r="Q342" s="28">
        <f>IF(OR($A342="",$L342=""),"",IF(AND($N342="Sí",$P342="Sí"),"OTIF","Falló"))</f>
        <v/>
      </c>
    </row>
    <row r="343" ht="16" customHeight="1">
      <c r="A343" s="48" t="n"/>
      <c r="B343" s="48" t="n"/>
      <c r="C343" s="47" t="n"/>
      <c r="D343" s="50" t="n"/>
      <c r="E343" s="50" t="n"/>
      <c r="F343" s="50" t="n"/>
      <c r="G343" s="50" t="n"/>
      <c r="H343" s="48" t="n"/>
      <c r="I343" s="51" t="n"/>
      <c r="J343" s="52" t="n"/>
      <c r="K343" s="47" t="n"/>
      <c r="L343" s="47" t="n"/>
      <c r="M343" s="24">
        <f>IF(OR($A343="",$C343=""),"",IF($L343&lt;&gt;"",$L343-$C343,TODAY()-$C343))</f>
        <v/>
      </c>
      <c r="N343" s="28">
        <f>IF(OR($A343="",$K343=""),"",IF($L343="",IF(TODAY()&gt;$K343,"Atrasado","En ruta"),IF($L343&lt;=$K343,"Sí","No")))</f>
        <v/>
      </c>
      <c r="O343" s="24">
        <f>IF($A343="","",COUNTIFS(NOVEDADES!$D$4:$D$1503,$A343))</f>
        <v/>
      </c>
      <c r="P343" s="28">
        <f>IF($A343="","",IF(COUNTIFS(NOVEDADES!$D$4:$D$1503,$A343,NOVEDADES!$O$4:$O$1503,"SÍ")&gt;0,"No","Sí"))</f>
        <v/>
      </c>
      <c r="Q343" s="28">
        <f>IF(OR($A343="",$L343=""),"",IF(AND($N343="Sí",$P343="Sí"),"OTIF","Falló"))</f>
        <v/>
      </c>
    </row>
    <row r="344" ht="16" customHeight="1">
      <c r="A344" s="48" t="n"/>
      <c r="B344" s="48" t="n"/>
      <c r="C344" s="47" t="n"/>
      <c r="D344" s="50" t="n"/>
      <c r="E344" s="50" t="n"/>
      <c r="F344" s="50" t="n"/>
      <c r="G344" s="50" t="n"/>
      <c r="H344" s="48" t="n"/>
      <c r="I344" s="51" t="n"/>
      <c r="J344" s="52" t="n"/>
      <c r="K344" s="47" t="n"/>
      <c r="L344" s="47" t="n"/>
      <c r="M344" s="24">
        <f>IF(OR($A344="",$C344=""),"",IF($L344&lt;&gt;"",$L344-$C344,TODAY()-$C344))</f>
        <v/>
      </c>
      <c r="N344" s="28">
        <f>IF(OR($A344="",$K344=""),"",IF($L344="",IF(TODAY()&gt;$K344,"Atrasado","En ruta"),IF($L344&lt;=$K344,"Sí","No")))</f>
        <v/>
      </c>
      <c r="O344" s="24">
        <f>IF($A344="","",COUNTIFS(NOVEDADES!$D$4:$D$1503,$A344))</f>
        <v/>
      </c>
      <c r="P344" s="28">
        <f>IF($A344="","",IF(COUNTIFS(NOVEDADES!$D$4:$D$1503,$A344,NOVEDADES!$O$4:$O$1503,"SÍ")&gt;0,"No","Sí"))</f>
        <v/>
      </c>
      <c r="Q344" s="28">
        <f>IF(OR($A344="",$L344=""),"",IF(AND($N344="Sí",$P344="Sí"),"OTIF","Falló"))</f>
        <v/>
      </c>
    </row>
    <row r="345" ht="16" customHeight="1">
      <c r="A345" s="48" t="n"/>
      <c r="B345" s="48" t="n"/>
      <c r="C345" s="47" t="n"/>
      <c r="D345" s="50" t="n"/>
      <c r="E345" s="50" t="n"/>
      <c r="F345" s="50" t="n"/>
      <c r="G345" s="50" t="n"/>
      <c r="H345" s="48" t="n"/>
      <c r="I345" s="51" t="n"/>
      <c r="J345" s="52" t="n"/>
      <c r="K345" s="47" t="n"/>
      <c r="L345" s="47" t="n"/>
      <c r="M345" s="24">
        <f>IF(OR($A345="",$C345=""),"",IF($L345&lt;&gt;"",$L345-$C345,TODAY()-$C345))</f>
        <v/>
      </c>
      <c r="N345" s="28">
        <f>IF(OR($A345="",$K345=""),"",IF($L345="",IF(TODAY()&gt;$K345,"Atrasado","En ruta"),IF($L345&lt;=$K345,"Sí","No")))</f>
        <v/>
      </c>
      <c r="O345" s="24">
        <f>IF($A345="","",COUNTIFS(NOVEDADES!$D$4:$D$1503,$A345))</f>
        <v/>
      </c>
      <c r="P345" s="28">
        <f>IF($A345="","",IF(COUNTIFS(NOVEDADES!$D$4:$D$1503,$A345,NOVEDADES!$O$4:$O$1503,"SÍ")&gt;0,"No","Sí"))</f>
        <v/>
      </c>
      <c r="Q345" s="28">
        <f>IF(OR($A345="",$L345=""),"",IF(AND($N345="Sí",$P345="Sí"),"OTIF","Falló"))</f>
        <v/>
      </c>
    </row>
    <row r="346" ht="16" customHeight="1">
      <c r="A346" s="48" t="n"/>
      <c r="B346" s="48" t="n"/>
      <c r="C346" s="47" t="n"/>
      <c r="D346" s="50" t="n"/>
      <c r="E346" s="50" t="n"/>
      <c r="F346" s="50" t="n"/>
      <c r="G346" s="50" t="n"/>
      <c r="H346" s="48" t="n"/>
      <c r="I346" s="51" t="n"/>
      <c r="J346" s="52" t="n"/>
      <c r="K346" s="47" t="n"/>
      <c r="L346" s="47" t="n"/>
      <c r="M346" s="24">
        <f>IF(OR($A346="",$C346=""),"",IF($L346&lt;&gt;"",$L346-$C346,TODAY()-$C346))</f>
        <v/>
      </c>
      <c r="N346" s="28">
        <f>IF(OR($A346="",$K346=""),"",IF($L346="",IF(TODAY()&gt;$K346,"Atrasado","En ruta"),IF($L346&lt;=$K346,"Sí","No")))</f>
        <v/>
      </c>
      <c r="O346" s="24">
        <f>IF($A346="","",COUNTIFS(NOVEDADES!$D$4:$D$1503,$A346))</f>
        <v/>
      </c>
      <c r="P346" s="28">
        <f>IF($A346="","",IF(COUNTIFS(NOVEDADES!$D$4:$D$1503,$A346,NOVEDADES!$O$4:$O$1503,"SÍ")&gt;0,"No","Sí"))</f>
        <v/>
      </c>
      <c r="Q346" s="28">
        <f>IF(OR($A346="",$L346=""),"",IF(AND($N346="Sí",$P346="Sí"),"OTIF","Falló"))</f>
        <v/>
      </c>
    </row>
    <row r="347" ht="16" customHeight="1">
      <c r="A347" s="48" t="n"/>
      <c r="B347" s="48" t="n"/>
      <c r="C347" s="47" t="n"/>
      <c r="D347" s="50" t="n"/>
      <c r="E347" s="50" t="n"/>
      <c r="F347" s="50" t="n"/>
      <c r="G347" s="50" t="n"/>
      <c r="H347" s="48" t="n"/>
      <c r="I347" s="51" t="n"/>
      <c r="J347" s="52" t="n"/>
      <c r="K347" s="47" t="n"/>
      <c r="L347" s="47" t="n"/>
      <c r="M347" s="24">
        <f>IF(OR($A347="",$C347=""),"",IF($L347&lt;&gt;"",$L347-$C347,TODAY()-$C347))</f>
        <v/>
      </c>
      <c r="N347" s="28">
        <f>IF(OR($A347="",$K347=""),"",IF($L347="",IF(TODAY()&gt;$K347,"Atrasado","En ruta"),IF($L347&lt;=$K347,"Sí","No")))</f>
        <v/>
      </c>
      <c r="O347" s="24">
        <f>IF($A347="","",COUNTIFS(NOVEDADES!$D$4:$D$1503,$A347))</f>
        <v/>
      </c>
      <c r="P347" s="28">
        <f>IF($A347="","",IF(COUNTIFS(NOVEDADES!$D$4:$D$1503,$A347,NOVEDADES!$O$4:$O$1503,"SÍ")&gt;0,"No","Sí"))</f>
        <v/>
      </c>
      <c r="Q347" s="28">
        <f>IF(OR($A347="",$L347=""),"",IF(AND($N347="Sí",$P347="Sí"),"OTIF","Falló"))</f>
        <v/>
      </c>
    </row>
    <row r="348" ht="16" customHeight="1">
      <c r="A348" s="48" t="n"/>
      <c r="B348" s="48" t="n"/>
      <c r="C348" s="47" t="n"/>
      <c r="D348" s="50" t="n"/>
      <c r="E348" s="50" t="n"/>
      <c r="F348" s="50" t="n"/>
      <c r="G348" s="50" t="n"/>
      <c r="H348" s="48" t="n"/>
      <c r="I348" s="51" t="n"/>
      <c r="J348" s="52" t="n"/>
      <c r="K348" s="47" t="n"/>
      <c r="L348" s="47" t="n"/>
      <c r="M348" s="24">
        <f>IF(OR($A348="",$C348=""),"",IF($L348&lt;&gt;"",$L348-$C348,TODAY()-$C348))</f>
        <v/>
      </c>
      <c r="N348" s="28">
        <f>IF(OR($A348="",$K348=""),"",IF($L348="",IF(TODAY()&gt;$K348,"Atrasado","En ruta"),IF($L348&lt;=$K348,"Sí","No")))</f>
        <v/>
      </c>
      <c r="O348" s="24">
        <f>IF($A348="","",COUNTIFS(NOVEDADES!$D$4:$D$1503,$A348))</f>
        <v/>
      </c>
      <c r="P348" s="28">
        <f>IF($A348="","",IF(COUNTIFS(NOVEDADES!$D$4:$D$1503,$A348,NOVEDADES!$O$4:$O$1503,"SÍ")&gt;0,"No","Sí"))</f>
        <v/>
      </c>
      <c r="Q348" s="28">
        <f>IF(OR($A348="",$L348=""),"",IF(AND($N348="Sí",$P348="Sí"),"OTIF","Falló"))</f>
        <v/>
      </c>
    </row>
    <row r="349" ht="16" customHeight="1">
      <c r="A349" s="48" t="n"/>
      <c r="B349" s="48" t="n"/>
      <c r="C349" s="47" t="n"/>
      <c r="D349" s="50" t="n"/>
      <c r="E349" s="50" t="n"/>
      <c r="F349" s="50" t="n"/>
      <c r="G349" s="50" t="n"/>
      <c r="H349" s="48" t="n"/>
      <c r="I349" s="51" t="n"/>
      <c r="J349" s="52" t="n"/>
      <c r="K349" s="47" t="n"/>
      <c r="L349" s="47" t="n"/>
      <c r="M349" s="24">
        <f>IF(OR($A349="",$C349=""),"",IF($L349&lt;&gt;"",$L349-$C349,TODAY()-$C349))</f>
        <v/>
      </c>
      <c r="N349" s="28">
        <f>IF(OR($A349="",$K349=""),"",IF($L349="",IF(TODAY()&gt;$K349,"Atrasado","En ruta"),IF($L349&lt;=$K349,"Sí","No")))</f>
        <v/>
      </c>
      <c r="O349" s="24">
        <f>IF($A349="","",COUNTIFS(NOVEDADES!$D$4:$D$1503,$A349))</f>
        <v/>
      </c>
      <c r="P349" s="28">
        <f>IF($A349="","",IF(COUNTIFS(NOVEDADES!$D$4:$D$1503,$A349,NOVEDADES!$O$4:$O$1503,"SÍ")&gt;0,"No","Sí"))</f>
        <v/>
      </c>
      <c r="Q349" s="28">
        <f>IF(OR($A349="",$L349=""),"",IF(AND($N349="Sí",$P349="Sí"),"OTIF","Falló"))</f>
        <v/>
      </c>
    </row>
    <row r="350" ht="16" customHeight="1">
      <c r="A350" s="48" t="n"/>
      <c r="B350" s="48" t="n"/>
      <c r="C350" s="47" t="n"/>
      <c r="D350" s="50" t="n"/>
      <c r="E350" s="50" t="n"/>
      <c r="F350" s="50" t="n"/>
      <c r="G350" s="50" t="n"/>
      <c r="H350" s="48" t="n"/>
      <c r="I350" s="51" t="n"/>
      <c r="J350" s="52" t="n"/>
      <c r="K350" s="47" t="n"/>
      <c r="L350" s="47" t="n"/>
      <c r="M350" s="24">
        <f>IF(OR($A350="",$C350=""),"",IF($L350&lt;&gt;"",$L350-$C350,TODAY()-$C350))</f>
        <v/>
      </c>
      <c r="N350" s="28">
        <f>IF(OR($A350="",$K350=""),"",IF($L350="",IF(TODAY()&gt;$K350,"Atrasado","En ruta"),IF($L350&lt;=$K350,"Sí","No")))</f>
        <v/>
      </c>
      <c r="O350" s="24">
        <f>IF($A350="","",COUNTIFS(NOVEDADES!$D$4:$D$1503,$A350))</f>
        <v/>
      </c>
      <c r="P350" s="28">
        <f>IF($A350="","",IF(COUNTIFS(NOVEDADES!$D$4:$D$1503,$A350,NOVEDADES!$O$4:$O$1503,"SÍ")&gt;0,"No","Sí"))</f>
        <v/>
      </c>
      <c r="Q350" s="28">
        <f>IF(OR($A350="",$L350=""),"",IF(AND($N350="Sí",$P350="Sí"),"OTIF","Falló"))</f>
        <v/>
      </c>
    </row>
    <row r="351" ht="16" customHeight="1">
      <c r="A351" s="48" t="n"/>
      <c r="B351" s="48" t="n"/>
      <c r="C351" s="47" t="n"/>
      <c r="D351" s="50" t="n"/>
      <c r="E351" s="50" t="n"/>
      <c r="F351" s="50" t="n"/>
      <c r="G351" s="50" t="n"/>
      <c r="H351" s="48" t="n"/>
      <c r="I351" s="51" t="n"/>
      <c r="J351" s="52" t="n"/>
      <c r="K351" s="47" t="n"/>
      <c r="L351" s="47" t="n"/>
      <c r="M351" s="24">
        <f>IF(OR($A351="",$C351=""),"",IF($L351&lt;&gt;"",$L351-$C351,TODAY()-$C351))</f>
        <v/>
      </c>
      <c r="N351" s="28">
        <f>IF(OR($A351="",$K351=""),"",IF($L351="",IF(TODAY()&gt;$K351,"Atrasado","En ruta"),IF($L351&lt;=$K351,"Sí","No")))</f>
        <v/>
      </c>
      <c r="O351" s="24">
        <f>IF($A351="","",COUNTIFS(NOVEDADES!$D$4:$D$1503,$A351))</f>
        <v/>
      </c>
      <c r="P351" s="28">
        <f>IF($A351="","",IF(COUNTIFS(NOVEDADES!$D$4:$D$1503,$A351,NOVEDADES!$O$4:$O$1503,"SÍ")&gt;0,"No","Sí"))</f>
        <v/>
      </c>
      <c r="Q351" s="28">
        <f>IF(OR($A351="",$L351=""),"",IF(AND($N351="Sí",$P351="Sí"),"OTIF","Falló"))</f>
        <v/>
      </c>
    </row>
    <row r="352" ht="16" customHeight="1">
      <c r="A352" s="48" t="n"/>
      <c r="B352" s="48" t="n"/>
      <c r="C352" s="47" t="n"/>
      <c r="D352" s="50" t="n"/>
      <c r="E352" s="50" t="n"/>
      <c r="F352" s="50" t="n"/>
      <c r="G352" s="50" t="n"/>
      <c r="H352" s="48" t="n"/>
      <c r="I352" s="51" t="n"/>
      <c r="J352" s="52" t="n"/>
      <c r="K352" s="47" t="n"/>
      <c r="L352" s="47" t="n"/>
      <c r="M352" s="24">
        <f>IF(OR($A352="",$C352=""),"",IF($L352&lt;&gt;"",$L352-$C352,TODAY()-$C352))</f>
        <v/>
      </c>
      <c r="N352" s="28">
        <f>IF(OR($A352="",$K352=""),"",IF($L352="",IF(TODAY()&gt;$K352,"Atrasado","En ruta"),IF($L352&lt;=$K352,"Sí","No")))</f>
        <v/>
      </c>
      <c r="O352" s="24">
        <f>IF($A352="","",COUNTIFS(NOVEDADES!$D$4:$D$1503,$A352))</f>
        <v/>
      </c>
      <c r="P352" s="28">
        <f>IF($A352="","",IF(COUNTIFS(NOVEDADES!$D$4:$D$1503,$A352,NOVEDADES!$O$4:$O$1503,"SÍ")&gt;0,"No","Sí"))</f>
        <v/>
      </c>
      <c r="Q352" s="28">
        <f>IF(OR($A352="",$L352=""),"",IF(AND($N352="Sí",$P352="Sí"),"OTIF","Falló"))</f>
        <v/>
      </c>
    </row>
    <row r="353" ht="16" customHeight="1">
      <c r="A353" s="48" t="n"/>
      <c r="B353" s="48" t="n"/>
      <c r="C353" s="47" t="n"/>
      <c r="D353" s="50" t="n"/>
      <c r="E353" s="50" t="n"/>
      <c r="F353" s="50" t="n"/>
      <c r="G353" s="50" t="n"/>
      <c r="H353" s="48" t="n"/>
      <c r="I353" s="51" t="n"/>
      <c r="J353" s="52" t="n"/>
      <c r="K353" s="47" t="n"/>
      <c r="L353" s="47" t="n"/>
      <c r="M353" s="24">
        <f>IF(OR($A353="",$C353=""),"",IF($L353&lt;&gt;"",$L353-$C353,TODAY()-$C353))</f>
        <v/>
      </c>
      <c r="N353" s="28">
        <f>IF(OR($A353="",$K353=""),"",IF($L353="",IF(TODAY()&gt;$K353,"Atrasado","En ruta"),IF($L353&lt;=$K353,"Sí","No")))</f>
        <v/>
      </c>
      <c r="O353" s="24">
        <f>IF($A353="","",COUNTIFS(NOVEDADES!$D$4:$D$1503,$A353))</f>
        <v/>
      </c>
      <c r="P353" s="28">
        <f>IF($A353="","",IF(COUNTIFS(NOVEDADES!$D$4:$D$1503,$A353,NOVEDADES!$O$4:$O$1503,"SÍ")&gt;0,"No","Sí"))</f>
        <v/>
      </c>
      <c r="Q353" s="28">
        <f>IF(OR($A353="",$L353=""),"",IF(AND($N353="Sí",$P353="Sí"),"OTIF","Falló"))</f>
        <v/>
      </c>
    </row>
    <row r="354" ht="16" customHeight="1">
      <c r="A354" s="48" t="n"/>
      <c r="B354" s="48" t="n"/>
      <c r="C354" s="47" t="n"/>
      <c r="D354" s="50" t="n"/>
      <c r="E354" s="50" t="n"/>
      <c r="F354" s="50" t="n"/>
      <c r="G354" s="50" t="n"/>
      <c r="H354" s="48" t="n"/>
      <c r="I354" s="51" t="n"/>
      <c r="J354" s="52" t="n"/>
      <c r="K354" s="47" t="n"/>
      <c r="L354" s="47" t="n"/>
      <c r="M354" s="24">
        <f>IF(OR($A354="",$C354=""),"",IF($L354&lt;&gt;"",$L354-$C354,TODAY()-$C354))</f>
        <v/>
      </c>
      <c r="N354" s="28">
        <f>IF(OR($A354="",$K354=""),"",IF($L354="",IF(TODAY()&gt;$K354,"Atrasado","En ruta"),IF($L354&lt;=$K354,"Sí","No")))</f>
        <v/>
      </c>
      <c r="O354" s="24">
        <f>IF($A354="","",COUNTIFS(NOVEDADES!$D$4:$D$1503,$A354))</f>
        <v/>
      </c>
      <c r="P354" s="28">
        <f>IF($A354="","",IF(COUNTIFS(NOVEDADES!$D$4:$D$1503,$A354,NOVEDADES!$O$4:$O$1503,"SÍ")&gt;0,"No","Sí"))</f>
        <v/>
      </c>
      <c r="Q354" s="28">
        <f>IF(OR($A354="",$L354=""),"",IF(AND($N354="Sí",$P354="Sí"),"OTIF","Falló"))</f>
        <v/>
      </c>
    </row>
    <row r="355" ht="16" customHeight="1">
      <c r="A355" s="48" t="n"/>
      <c r="B355" s="48" t="n"/>
      <c r="C355" s="47" t="n"/>
      <c r="D355" s="50" t="n"/>
      <c r="E355" s="50" t="n"/>
      <c r="F355" s="50" t="n"/>
      <c r="G355" s="50" t="n"/>
      <c r="H355" s="48" t="n"/>
      <c r="I355" s="51" t="n"/>
      <c r="J355" s="52" t="n"/>
      <c r="K355" s="47" t="n"/>
      <c r="L355" s="47" t="n"/>
      <c r="M355" s="24">
        <f>IF(OR($A355="",$C355=""),"",IF($L355&lt;&gt;"",$L355-$C355,TODAY()-$C355))</f>
        <v/>
      </c>
      <c r="N355" s="28">
        <f>IF(OR($A355="",$K355=""),"",IF($L355="",IF(TODAY()&gt;$K355,"Atrasado","En ruta"),IF($L355&lt;=$K355,"Sí","No")))</f>
        <v/>
      </c>
      <c r="O355" s="24">
        <f>IF($A355="","",COUNTIFS(NOVEDADES!$D$4:$D$1503,$A355))</f>
        <v/>
      </c>
      <c r="P355" s="28">
        <f>IF($A355="","",IF(COUNTIFS(NOVEDADES!$D$4:$D$1503,$A355,NOVEDADES!$O$4:$O$1503,"SÍ")&gt;0,"No","Sí"))</f>
        <v/>
      </c>
      <c r="Q355" s="28">
        <f>IF(OR($A355="",$L355=""),"",IF(AND($N355="Sí",$P355="Sí"),"OTIF","Falló"))</f>
        <v/>
      </c>
    </row>
    <row r="356" ht="16" customHeight="1">
      <c r="A356" s="48" t="n"/>
      <c r="B356" s="48" t="n"/>
      <c r="C356" s="47" t="n"/>
      <c r="D356" s="50" t="n"/>
      <c r="E356" s="50" t="n"/>
      <c r="F356" s="50" t="n"/>
      <c r="G356" s="50" t="n"/>
      <c r="H356" s="48" t="n"/>
      <c r="I356" s="51" t="n"/>
      <c r="J356" s="52" t="n"/>
      <c r="K356" s="47" t="n"/>
      <c r="L356" s="47" t="n"/>
      <c r="M356" s="24">
        <f>IF(OR($A356="",$C356=""),"",IF($L356&lt;&gt;"",$L356-$C356,TODAY()-$C356))</f>
        <v/>
      </c>
      <c r="N356" s="28">
        <f>IF(OR($A356="",$K356=""),"",IF($L356="",IF(TODAY()&gt;$K356,"Atrasado","En ruta"),IF($L356&lt;=$K356,"Sí","No")))</f>
        <v/>
      </c>
      <c r="O356" s="24">
        <f>IF($A356="","",COUNTIFS(NOVEDADES!$D$4:$D$1503,$A356))</f>
        <v/>
      </c>
      <c r="P356" s="28">
        <f>IF($A356="","",IF(COUNTIFS(NOVEDADES!$D$4:$D$1503,$A356,NOVEDADES!$O$4:$O$1503,"SÍ")&gt;0,"No","Sí"))</f>
        <v/>
      </c>
      <c r="Q356" s="28">
        <f>IF(OR($A356="",$L356=""),"",IF(AND($N356="Sí",$P356="Sí"),"OTIF","Falló"))</f>
        <v/>
      </c>
    </row>
    <row r="357" ht="16" customHeight="1">
      <c r="A357" s="48" t="n"/>
      <c r="B357" s="48" t="n"/>
      <c r="C357" s="47" t="n"/>
      <c r="D357" s="50" t="n"/>
      <c r="E357" s="50" t="n"/>
      <c r="F357" s="50" t="n"/>
      <c r="G357" s="50" t="n"/>
      <c r="H357" s="48" t="n"/>
      <c r="I357" s="51" t="n"/>
      <c r="J357" s="52" t="n"/>
      <c r="K357" s="47" t="n"/>
      <c r="L357" s="47" t="n"/>
      <c r="M357" s="24">
        <f>IF(OR($A357="",$C357=""),"",IF($L357&lt;&gt;"",$L357-$C357,TODAY()-$C357))</f>
        <v/>
      </c>
      <c r="N357" s="28">
        <f>IF(OR($A357="",$K357=""),"",IF($L357="",IF(TODAY()&gt;$K357,"Atrasado","En ruta"),IF($L357&lt;=$K357,"Sí","No")))</f>
        <v/>
      </c>
      <c r="O357" s="24">
        <f>IF($A357="","",COUNTIFS(NOVEDADES!$D$4:$D$1503,$A357))</f>
        <v/>
      </c>
      <c r="P357" s="28">
        <f>IF($A357="","",IF(COUNTIFS(NOVEDADES!$D$4:$D$1503,$A357,NOVEDADES!$O$4:$O$1503,"SÍ")&gt;0,"No","Sí"))</f>
        <v/>
      </c>
      <c r="Q357" s="28">
        <f>IF(OR($A357="",$L357=""),"",IF(AND($N357="Sí",$P357="Sí"),"OTIF","Falló"))</f>
        <v/>
      </c>
    </row>
    <row r="358" ht="16" customHeight="1">
      <c r="A358" s="48" t="n"/>
      <c r="B358" s="48" t="n"/>
      <c r="C358" s="47" t="n"/>
      <c r="D358" s="50" t="n"/>
      <c r="E358" s="50" t="n"/>
      <c r="F358" s="50" t="n"/>
      <c r="G358" s="50" t="n"/>
      <c r="H358" s="48" t="n"/>
      <c r="I358" s="51" t="n"/>
      <c r="J358" s="52" t="n"/>
      <c r="K358" s="47" t="n"/>
      <c r="L358" s="47" t="n"/>
      <c r="M358" s="24">
        <f>IF(OR($A358="",$C358=""),"",IF($L358&lt;&gt;"",$L358-$C358,TODAY()-$C358))</f>
        <v/>
      </c>
      <c r="N358" s="28">
        <f>IF(OR($A358="",$K358=""),"",IF($L358="",IF(TODAY()&gt;$K358,"Atrasado","En ruta"),IF($L358&lt;=$K358,"Sí","No")))</f>
        <v/>
      </c>
      <c r="O358" s="24">
        <f>IF($A358="","",COUNTIFS(NOVEDADES!$D$4:$D$1503,$A358))</f>
        <v/>
      </c>
      <c r="P358" s="28">
        <f>IF($A358="","",IF(COUNTIFS(NOVEDADES!$D$4:$D$1503,$A358,NOVEDADES!$O$4:$O$1503,"SÍ")&gt;0,"No","Sí"))</f>
        <v/>
      </c>
      <c r="Q358" s="28">
        <f>IF(OR($A358="",$L358=""),"",IF(AND($N358="Sí",$P358="Sí"),"OTIF","Falló"))</f>
        <v/>
      </c>
    </row>
    <row r="359" ht="16" customHeight="1">
      <c r="A359" s="48" t="n"/>
      <c r="B359" s="48" t="n"/>
      <c r="C359" s="47" t="n"/>
      <c r="D359" s="50" t="n"/>
      <c r="E359" s="50" t="n"/>
      <c r="F359" s="50" t="n"/>
      <c r="G359" s="50" t="n"/>
      <c r="H359" s="48" t="n"/>
      <c r="I359" s="51" t="n"/>
      <c r="J359" s="52" t="n"/>
      <c r="K359" s="47" t="n"/>
      <c r="L359" s="47" t="n"/>
      <c r="M359" s="24">
        <f>IF(OR($A359="",$C359=""),"",IF($L359&lt;&gt;"",$L359-$C359,TODAY()-$C359))</f>
        <v/>
      </c>
      <c r="N359" s="28">
        <f>IF(OR($A359="",$K359=""),"",IF($L359="",IF(TODAY()&gt;$K359,"Atrasado","En ruta"),IF($L359&lt;=$K359,"Sí","No")))</f>
        <v/>
      </c>
      <c r="O359" s="24">
        <f>IF($A359="","",COUNTIFS(NOVEDADES!$D$4:$D$1503,$A359))</f>
        <v/>
      </c>
      <c r="P359" s="28">
        <f>IF($A359="","",IF(COUNTIFS(NOVEDADES!$D$4:$D$1503,$A359,NOVEDADES!$O$4:$O$1503,"SÍ")&gt;0,"No","Sí"))</f>
        <v/>
      </c>
      <c r="Q359" s="28">
        <f>IF(OR($A359="",$L359=""),"",IF(AND($N359="Sí",$P359="Sí"),"OTIF","Falló"))</f>
        <v/>
      </c>
    </row>
    <row r="360" ht="16" customHeight="1">
      <c r="A360" s="48" t="n"/>
      <c r="B360" s="48" t="n"/>
      <c r="C360" s="47" t="n"/>
      <c r="D360" s="50" t="n"/>
      <c r="E360" s="50" t="n"/>
      <c r="F360" s="50" t="n"/>
      <c r="G360" s="50" t="n"/>
      <c r="H360" s="48" t="n"/>
      <c r="I360" s="51" t="n"/>
      <c r="J360" s="52" t="n"/>
      <c r="K360" s="47" t="n"/>
      <c r="L360" s="47" t="n"/>
      <c r="M360" s="24">
        <f>IF(OR($A360="",$C360=""),"",IF($L360&lt;&gt;"",$L360-$C360,TODAY()-$C360))</f>
        <v/>
      </c>
      <c r="N360" s="28">
        <f>IF(OR($A360="",$K360=""),"",IF($L360="",IF(TODAY()&gt;$K360,"Atrasado","En ruta"),IF($L360&lt;=$K360,"Sí","No")))</f>
        <v/>
      </c>
      <c r="O360" s="24">
        <f>IF($A360="","",COUNTIFS(NOVEDADES!$D$4:$D$1503,$A360))</f>
        <v/>
      </c>
      <c r="P360" s="28">
        <f>IF($A360="","",IF(COUNTIFS(NOVEDADES!$D$4:$D$1503,$A360,NOVEDADES!$O$4:$O$1503,"SÍ")&gt;0,"No","Sí"))</f>
        <v/>
      </c>
      <c r="Q360" s="28">
        <f>IF(OR($A360="",$L360=""),"",IF(AND($N360="Sí",$P360="Sí"),"OTIF","Falló"))</f>
        <v/>
      </c>
    </row>
    <row r="361" ht="16" customHeight="1">
      <c r="A361" s="48" t="n"/>
      <c r="B361" s="48" t="n"/>
      <c r="C361" s="47" t="n"/>
      <c r="D361" s="50" t="n"/>
      <c r="E361" s="50" t="n"/>
      <c r="F361" s="50" t="n"/>
      <c r="G361" s="50" t="n"/>
      <c r="H361" s="48" t="n"/>
      <c r="I361" s="51" t="n"/>
      <c r="J361" s="52" t="n"/>
      <c r="K361" s="47" t="n"/>
      <c r="L361" s="47" t="n"/>
      <c r="M361" s="24">
        <f>IF(OR($A361="",$C361=""),"",IF($L361&lt;&gt;"",$L361-$C361,TODAY()-$C361))</f>
        <v/>
      </c>
      <c r="N361" s="28">
        <f>IF(OR($A361="",$K361=""),"",IF($L361="",IF(TODAY()&gt;$K361,"Atrasado","En ruta"),IF($L361&lt;=$K361,"Sí","No")))</f>
        <v/>
      </c>
      <c r="O361" s="24">
        <f>IF($A361="","",COUNTIFS(NOVEDADES!$D$4:$D$1503,$A361))</f>
        <v/>
      </c>
      <c r="P361" s="28">
        <f>IF($A361="","",IF(COUNTIFS(NOVEDADES!$D$4:$D$1503,$A361,NOVEDADES!$O$4:$O$1503,"SÍ")&gt;0,"No","Sí"))</f>
        <v/>
      </c>
      <c r="Q361" s="28">
        <f>IF(OR($A361="",$L361=""),"",IF(AND($N361="Sí",$P361="Sí"),"OTIF","Falló"))</f>
        <v/>
      </c>
    </row>
    <row r="362" ht="16" customHeight="1">
      <c r="A362" s="48" t="n"/>
      <c r="B362" s="48" t="n"/>
      <c r="C362" s="47" t="n"/>
      <c r="D362" s="50" t="n"/>
      <c r="E362" s="50" t="n"/>
      <c r="F362" s="50" t="n"/>
      <c r="G362" s="50" t="n"/>
      <c r="H362" s="48" t="n"/>
      <c r="I362" s="51" t="n"/>
      <c r="J362" s="52" t="n"/>
      <c r="K362" s="47" t="n"/>
      <c r="L362" s="47" t="n"/>
      <c r="M362" s="24">
        <f>IF(OR($A362="",$C362=""),"",IF($L362&lt;&gt;"",$L362-$C362,TODAY()-$C362))</f>
        <v/>
      </c>
      <c r="N362" s="28">
        <f>IF(OR($A362="",$K362=""),"",IF($L362="",IF(TODAY()&gt;$K362,"Atrasado","En ruta"),IF($L362&lt;=$K362,"Sí","No")))</f>
        <v/>
      </c>
      <c r="O362" s="24">
        <f>IF($A362="","",COUNTIFS(NOVEDADES!$D$4:$D$1503,$A362))</f>
        <v/>
      </c>
      <c r="P362" s="28">
        <f>IF($A362="","",IF(COUNTIFS(NOVEDADES!$D$4:$D$1503,$A362,NOVEDADES!$O$4:$O$1503,"SÍ")&gt;0,"No","Sí"))</f>
        <v/>
      </c>
      <c r="Q362" s="28">
        <f>IF(OR($A362="",$L362=""),"",IF(AND($N362="Sí",$P362="Sí"),"OTIF","Falló"))</f>
        <v/>
      </c>
    </row>
    <row r="363" ht="16" customHeight="1">
      <c r="A363" s="48" t="n"/>
      <c r="B363" s="48" t="n"/>
      <c r="C363" s="47" t="n"/>
      <c r="D363" s="50" t="n"/>
      <c r="E363" s="50" t="n"/>
      <c r="F363" s="50" t="n"/>
      <c r="G363" s="50" t="n"/>
      <c r="H363" s="48" t="n"/>
      <c r="I363" s="51" t="n"/>
      <c r="J363" s="52" t="n"/>
      <c r="K363" s="47" t="n"/>
      <c r="L363" s="47" t="n"/>
      <c r="M363" s="24">
        <f>IF(OR($A363="",$C363=""),"",IF($L363&lt;&gt;"",$L363-$C363,TODAY()-$C363))</f>
        <v/>
      </c>
      <c r="N363" s="28">
        <f>IF(OR($A363="",$K363=""),"",IF($L363="",IF(TODAY()&gt;$K363,"Atrasado","En ruta"),IF($L363&lt;=$K363,"Sí","No")))</f>
        <v/>
      </c>
      <c r="O363" s="24">
        <f>IF($A363="","",COUNTIFS(NOVEDADES!$D$4:$D$1503,$A363))</f>
        <v/>
      </c>
      <c r="P363" s="28">
        <f>IF($A363="","",IF(COUNTIFS(NOVEDADES!$D$4:$D$1503,$A363,NOVEDADES!$O$4:$O$1503,"SÍ")&gt;0,"No","Sí"))</f>
        <v/>
      </c>
      <c r="Q363" s="28">
        <f>IF(OR($A363="",$L363=""),"",IF(AND($N363="Sí",$P363="Sí"),"OTIF","Falló"))</f>
        <v/>
      </c>
    </row>
    <row r="364" ht="16" customHeight="1">
      <c r="A364" s="48" t="n"/>
      <c r="B364" s="48" t="n"/>
      <c r="C364" s="47" t="n"/>
      <c r="D364" s="50" t="n"/>
      <c r="E364" s="50" t="n"/>
      <c r="F364" s="50" t="n"/>
      <c r="G364" s="50" t="n"/>
      <c r="H364" s="48" t="n"/>
      <c r="I364" s="51" t="n"/>
      <c r="J364" s="52" t="n"/>
      <c r="K364" s="47" t="n"/>
      <c r="L364" s="47" t="n"/>
      <c r="M364" s="24">
        <f>IF(OR($A364="",$C364=""),"",IF($L364&lt;&gt;"",$L364-$C364,TODAY()-$C364))</f>
        <v/>
      </c>
      <c r="N364" s="28">
        <f>IF(OR($A364="",$K364=""),"",IF($L364="",IF(TODAY()&gt;$K364,"Atrasado","En ruta"),IF($L364&lt;=$K364,"Sí","No")))</f>
        <v/>
      </c>
      <c r="O364" s="24">
        <f>IF($A364="","",COUNTIFS(NOVEDADES!$D$4:$D$1503,$A364))</f>
        <v/>
      </c>
      <c r="P364" s="28">
        <f>IF($A364="","",IF(COUNTIFS(NOVEDADES!$D$4:$D$1503,$A364,NOVEDADES!$O$4:$O$1503,"SÍ")&gt;0,"No","Sí"))</f>
        <v/>
      </c>
      <c r="Q364" s="28">
        <f>IF(OR($A364="",$L364=""),"",IF(AND($N364="Sí",$P364="Sí"),"OTIF","Falló"))</f>
        <v/>
      </c>
    </row>
    <row r="365" ht="16" customHeight="1">
      <c r="A365" s="48" t="n"/>
      <c r="B365" s="48" t="n"/>
      <c r="C365" s="47" t="n"/>
      <c r="D365" s="50" t="n"/>
      <c r="E365" s="50" t="n"/>
      <c r="F365" s="50" t="n"/>
      <c r="G365" s="50" t="n"/>
      <c r="H365" s="48" t="n"/>
      <c r="I365" s="51" t="n"/>
      <c r="J365" s="52" t="n"/>
      <c r="K365" s="47" t="n"/>
      <c r="L365" s="47" t="n"/>
      <c r="M365" s="24">
        <f>IF(OR($A365="",$C365=""),"",IF($L365&lt;&gt;"",$L365-$C365,TODAY()-$C365))</f>
        <v/>
      </c>
      <c r="N365" s="28">
        <f>IF(OR($A365="",$K365=""),"",IF($L365="",IF(TODAY()&gt;$K365,"Atrasado","En ruta"),IF($L365&lt;=$K365,"Sí","No")))</f>
        <v/>
      </c>
      <c r="O365" s="24">
        <f>IF($A365="","",COUNTIFS(NOVEDADES!$D$4:$D$1503,$A365))</f>
        <v/>
      </c>
      <c r="P365" s="28">
        <f>IF($A365="","",IF(COUNTIFS(NOVEDADES!$D$4:$D$1503,$A365,NOVEDADES!$O$4:$O$1503,"SÍ")&gt;0,"No","Sí"))</f>
        <v/>
      </c>
      <c r="Q365" s="28">
        <f>IF(OR($A365="",$L365=""),"",IF(AND($N365="Sí",$P365="Sí"),"OTIF","Falló"))</f>
        <v/>
      </c>
    </row>
    <row r="366" ht="16" customHeight="1">
      <c r="A366" s="48" t="n"/>
      <c r="B366" s="48" t="n"/>
      <c r="C366" s="47" t="n"/>
      <c r="D366" s="50" t="n"/>
      <c r="E366" s="50" t="n"/>
      <c r="F366" s="50" t="n"/>
      <c r="G366" s="50" t="n"/>
      <c r="H366" s="48" t="n"/>
      <c r="I366" s="51" t="n"/>
      <c r="J366" s="52" t="n"/>
      <c r="K366" s="47" t="n"/>
      <c r="L366" s="47" t="n"/>
      <c r="M366" s="24">
        <f>IF(OR($A366="",$C366=""),"",IF($L366&lt;&gt;"",$L366-$C366,TODAY()-$C366))</f>
        <v/>
      </c>
      <c r="N366" s="28">
        <f>IF(OR($A366="",$K366=""),"",IF($L366="",IF(TODAY()&gt;$K366,"Atrasado","En ruta"),IF($L366&lt;=$K366,"Sí","No")))</f>
        <v/>
      </c>
      <c r="O366" s="24">
        <f>IF($A366="","",COUNTIFS(NOVEDADES!$D$4:$D$1503,$A366))</f>
        <v/>
      </c>
      <c r="P366" s="28">
        <f>IF($A366="","",IF(COUNTIFS(NOVEDADES!$D$4:$D$1503,$A366,NOVEDADES!$O$4:$O$1503,"SÍ")&gt;0,"No","Sí"))</f>
        <v/>
      </c>
      <c r="Q366" s="28">
        <f>IF(OR($A366="",$L366=""),"",IF(AND($N366="Sí",$P366="Sí"),"OTIF","Falló"))</f>
        <v/>
      </c>
    </row>
    <row r="367" ht="16" customHeight="1">
      <c r="A367" s="48" t="n"/>
      <c r="B367" s="48" t="n"/>
      <c r="C367" s="47" t="n"/>
      <c r="D367" s="50" t="n"/>
      <c r="E367" s="50" t="n"/>
      <c r="F367" s="50" t="n"/>
      <c r="G367" s="50" t="n"/>
      <c r="H367" s="48" t="n"/>
      <c r="I367" s="51" t="n"/>
      <c r="J367" s="52" t="n"/>
      <c r="K367" s="47" t="n"/>
      <c r="L367" s="47" t="n"/>
      <c r="M367" s="24">
        <f>IF(OR($A367="",$C367=""),"",IF($L367&lt;&gt;"",$L367-$C367,TODAY()-$C367))</f>
        <v/>
      </c>
      <c r="N367" s="28">
        <f>IF(OR($A367="",$K367=""),"",IF($L367="",IF(TODAY()&gt;$K367,"Atrasado","En ruta"),IF($L367&lt;=$K367,"Sí","No")))</f>
        <v/>
      </c>
      <c r="O367" s="24">
        <f>IF($A367="","",COUNTIFS(NOVEDADES!$D$4:$D$1503,$A367))</f>
        <v/>
      </c>
      <c r="P367" s="28">
        <f>IF($A367="","",IF(COUNTIFS(NOVEDADES!$D$4:$D$1503,$A367,NOVEDADES!$O$4:$O$1503,"SÍ")&gt;0,"No","Sí"))</f>
        <v/>
      </c>
      <c r="Q367" s="28">
        <f>IF(OR($A367="",$L367=""),"",IF(AND($N367="Sí",$P367="Sí"),"OTIF","Falló"))</f>
        <v/>
      </c>
    </row>
    <row r="368" ht="16" customHeight="1">
      <c r="A368" s="48" t="n"/>
      <c r="B368" s="48" t="n"/>
      <c r="C368" s="47" t="n"/>
      <c r="D368" s="50" t="n"/>
      <c r="E368" s="50" t="n"/>
      <c r="F368" s="50" t="n"/>
      <c r="G368" s="50" t="n"/>
      <c r="H368" s="48" t="n"/>
      <c r="I368" s="51" t="n"/>
      <c r="J368" s="52" t="n"/>
      <c r="K368" s="47" t="n"/>
      <c r="L368" s="47" t="n"/>
      <c r="M368" s="24">
        <f>IF(OR($A368="",$C368=""),"",IF($L368&lt;&gt;"",$L368-$C368,TODAY()-$C368))</f>
        <v/>
      </c>
      <c r="N368" s="28">
        <f>IF(OR($A368="",$K368=""),"",IF($L368="",IF(TODAY()&gt;$K368,"Atrasado","En ruta"),IF($L368&lt;=$K368,"Sí","No")))</f>
        <v/>
      </c>
      <c r="O368" s="24">
        <f>IF($A368="","",COUNTIFS(NOVEDADES!$D$4:$D$1503,$A368))</f>
        <v/>
      </c>
      <c r="P368" s="28">
        <f>IF($A368="","",IF(COUNTIFS(NOVEDADES!$D$4:$D$1503,$A368,NOVEDADES!$O$4:$O$1503,"SÍ")&gt;0,"No","Sí"))</f>
        <v/>
      </c>
      <c r="Q368" s="28">
        <f>IF(OR($A368="",$L368=""),"",IF(AND($N368="Sí",$P368="Sí"),"OTIF","Falló"))</f>
        <v/>
      </c>
    </row>
    <row r="369" ht="16" customHeight="1">
      <c r="A369" s="48" t="n"/>
      <c r="B369" s="48" t="n"/>
      <c r="C369" s="47" t="n"/>
      <c r="D369" s="50" t="n"/>
      <c r="E369" s="50" t="n"/>
      <c r="F369" s="50" t="n"/>
      <c r="G369" s="50" t="n"/>
      <c r="H369" s="48" t="n"/>
      <c r="I369" s="51" t="n"/>
      <c r="J369" s="52" t="n"/>
      <c r="K369" s="47" t="n"/>
      <c r="L369" s="47" t="n"/>
      <c r="M369" s="24">
        <f>IF(OR($A369="",$C369=""),"",IF($L369&lt;&gt;"",$L369-$C369,TODAY()-$C369))</f>
        <v/>
      </c>
      <c r="N369" s="28">
        <f>IF(OR($A369="",$K369=""),"",IF($L369="",IF(TODAY()&gt;$K369,"Atrasado","En ruta"),IF($L369&lt;=$K369,"Sí","No")))</f>
        <v/>
      </c>
      <c r="O369" s="24">
        <f>IF($A369="","",COUNTIFS(NOVEDADES!$D$4:$D$1503,$A369))</f>
        <v/>
      </c>
      <c r="P369" s="28">
        <f>IF($A369="","",IF(COUNTIFS(NOVEDADES!$D$4:$D$1503,$A369,NOVEDADES!$O$4:$O$1503,"SÍ")&gt;0,"No","Sí"))</f>
        <v/>
      </c>
      <c r="Q369" s="28">
        <f>IF(OR($A369="",$L369=""),"",IF(AND($N369="Sí",$P369="Sí"),"OTIF","Falló"))</f>
        <v/>
      </c>
    </row>
    <row r="370" ht="16" customHeight="1">
      <c r="A370" s="48" t="n"/>
      <c r="B370" s="48" t="n"/>
      <c r="C370" s="47" t="n"/>
      <c r="D370" s="50" t="n"/>
      <c r="E370" s="50" t="n"/>
      <c r="F370" s="50" t="n"/>
      <c r="G370" s="50" t="n"/>
      <c r="H370" s="48" t="n"/>
      <c r="I370" s="51" t="n"/>
      <c r="J370" s="52" t="n"/>
      <c r="K370" s="47" t="n"/>
      <c r="L370" s="47" t="n"/>
      <c r="M370" s="24">
        <f>IF(OR($A370="",$C370=""),"",IF($L370&lt;&gt;"",$L370-$C370,TODAY()-$C370))</f>
        <v/>
      </c>
      <c r="N370" s="28">
        <f>IF(OR($A370="",$K370=""),"",IF($L370="",IF(TODAY()&gt;$K370,"Atrasado","En ruta"),IF($L370&lt;=$K370,"Sí","No")))</f>
        <v/>
      </c>
      <c r="O370" s="24">
        <f>IF($A370="","",COUNTIFS(NOVEDADES!$D$4:$D$1503,$A370))</f>
        <v/>
      </c>
      <c r="P370" s="28">
        <f>IF($A370="","",IF(COUNTIFS(NOVEDADES!$D$4:$D$1503,$A370,NOVEDADES!$O$4:$O$1503,"SÍ")&gt;0,"No","Sí"))</f>
        <v/>
      </c>
      <c r="Q370" s="28">
        <f>IF(OR($A370="",$L370=""),"",IF(AND($N370="Sí",$P370="Sí"),"OTIF","Falló"))</f>
        <v/>
      </c>
    </row>
    <row r="371" ht="16" customHeight="1">
      <c r="A371" s="48" t="n"/>
      <c r="B371" s="48" t="n"/>
      <c r="C371" s="47" t="n"/>
      <c r="D371" s="50" t="n"/>
      <c r="E371" s="50" t="n"/>
      <c r="F371" s="50" t="n"/>
      <c r="G371" s="50" t="n"/>
      <c r="H371" s="48" t="n"/>
      <c r="I371" s="51" t="n"/>
      <c r="J371" s="52" t="n"/>
      <c r="K371" s="47" t="n"/>
      <c r="L371" s="47" t="n"/>
      <c r="M371" s="24">
        <f>IF(OR($A371="",$C371=""),"",IF($L371&lt;&gt;"",$L371-$C371,TODAY()-$C371))</f>
        <v/>
      </c>
      <c r="N371" s="28">
        <f>IF(OR($A371="",$K371=""),"",IF($L371="",IF(TODAY()&gt;$K371,"Atrasado","En ruta"),IF($L371&lt;=$K371,"Sí","No")))</f>
        <v/>
      </c>
      <c r="O371" s="24">
        <f>IF($A371="","",COUNTIFS(NOVEDADES!$D$4:$D$1503,$A371))</f>
        <v/>
      </c>
      <c r="P371" s="28">
        <f>IF($A371="","",IF(COUNTIFS(NOVEDADES!$D$4:$D$1503,$A371,NOVEDADES!$O$4:$O$1503,"SÍ")&gt;0,"No","Sí"))</f>
        <v/>
      </c>
      <c r="Q371" s="28">
        <f>IF(OR($A371="",$L371=""),"",IF(AND($N371="Sí",$P371="Sí"),"OTIF","Falló"))</f>
        <v/>
      </c>
    </row>
    <row r="372" ht="16" customHeight="1">
      <c r="A372" s="48" t="n"/>
      <c r="B372" s="48" t="n"/>
      <c r="C372" s="47" t="n"/>
      <c r="D372" s="50" t="n"/>
      <c r="E372" s="50" t="n"/>
      <c r="F372" s="50" t="n"/>
      <c r="G372" s="50" t="n"/>
      <c r="H372" s="48" t="n"/>
      <c r="I372" s="51" t="n"/>
      <c r="J372" s="52" t="n"/>
      <c r="K372" s="47" t="n"/>
      <c r="L372" s="47" t="n"/>
      <c r="M372" s="24">
        <f>IF(OR($A372="",$C372=""),"",IF($L372&lt;&gt;"",$L372-$C372,TODAY()-$C372))</f>
        <v/>
      </c>
      <c r="N372" s="28">
        <f>IF(OR($A372="",$K372=""),"",IF($L372="",IF(TODAY()&gt;$K372,"Atrasado","En ruta"),IF($L372&lt;=$K372,"Sí","No")))</f>
        <v/>
      </c>
      <c r="O372" s="24">
        <f>IF($A372="","",COUNTIFS(NOVEDADES!$D$4:$D$1503,$A372))</f>
        <v/>
      </c>
      <c r="P372" s="28">
        <f>IF($A372="","",IF(COUNTIFS(NOVEDADES!$D$4:$D$1503,$A372,NOVEDADES!$O$4:$O$1503,"SÍ")&gt;0,"No","Sí"))</f>
        <v/>
      </c>
      <c r="Q372" s="28">
        <f>IF(OR($A372="",$L372=""),"",IF(AND($N372="Sí",$P372="Sí"),"OTIF","Falló"))</f>
        <v/>
      </c>
    </row>
    <row r="373" ht="16" customHeight="1">
      <c r="A373" s="48" t="n"/>
      <c r="B373" s="48" t="n"/>
      <c r="C373" s="47" t="n"/>
      <c r="D373" s="50" t="n"/>
      <c r="E373" s="50" t="n"/>
      <c r="F373" s="50" t="n"/>
      <c r="G373" s="50" t="n"/>
      <c r="H373" s="48" t="n"/>
      <c r="I373" s="51" t="n"/>
      <c r="J373" s="52" t="n"/>
      <c r="K373" s="47" t="n"/>
      <c r="L373" s="47" t="n"/>
      <c r="M373" s="24">
        <f>IF(OR($A373="",$C373=""),"",IF($L373&lt;&gt;"",$L373-$C373,TODAY()-$C373))</f>
        <v/>
      </c>
      <c r="N373" s="28">
        <f>IF(OR($A373="",$K373=""),"",IF($L373="",IF(TODAY()&gt;$K373,"Atrasado","En ruta"),IF($L373&lt;=$K373,"Sí","No")))</f>
        <v/>
      </c>
      <c r="O373" s="24">
        <f>IF($A373="","",COUNTIFS(NOVEDADES!$D$4:$D$1503,$A373))</f>
        <v/>
      </c>
      <c r="P373" s="28">
        <f>IF($A373="","",IF(COUNTIFS(NOVEDADES!$D$4:$D$1503,$A373,NOVEDADES!$O$4:$O$1503,"SÍ")&gt;0,"No","Sí"))</f>
        <v/>
      </c>
      <c r="Q373" s="28">
        <f>IF(OR($A373="",$L373=""),"",IF(AND($N373="Sí",$P373="Sí"),"OTIF","Falló"))</f>
        <v/>
      </c>
    </row>
    <row r="374" ht="16" customHeight="1">
      <c r="A374" s="48" t="n"/>
      <c r="B374" s="48" t="n"/>
      <c r="C374" s="47" t="n"/>
      <c r="D374" s="50" t="n"/>
      <c r="E374" s="50" t="n"/>
      <c r="F374" s="50" t="n"/>
      <c r="G374" s="50" t="n"/>
      <c r="H374" s="48" t="n"/>
      <c r="I374" s="51" t="n"/>
      <c r="J374" s="52" t="n"/>
      <c r="K374" s="47" t="n"/>
      <c r="L374" s="47" t="n"/>
      <c r="M374" s="24">
        <f>IF(OR($A374="",$C374=""),"",IF($L374&lt;&gt;"",$L374-$C374,TODAY()-$C374))</f>
        <v/>
      </c>
      <c r="N374" s="28">
        <f>IF(OR($A374="",$K374=""),"",IF($L374="",IF(TODAY()&gt;$K374,"Atrasado","En ruta"),IF($L374&lt;=$K374,"Sí","No")))</f>
        <v/>
      </c>
      <c r="O374" s="24">
        <f>IF($A374="","",COUNTIFS(NOVEDADES!$D$4:$D$1503,$A374))</f>
        <v/>
      </c>
      <c r="P374" s="28">
        <f>IF($A374="","",IF(COUNTIFS(NOVEDADES!$D$4:$D$1503,$A374,NOVEDADES!$O$4:$O$1503,"SÍ")&gt;0,"No","Sí"))</f>
        <v/>
      </c>
      <c r="Q374" s="28">
        <f>IF(OR($A374="",$L374=""),"",IF(AND($N374="Sí",$P374="Sí"),"OTIF","Falló"))</f>
        <v/>
      </c>
    </row>
    <row r="375" ht="16" customHeight="1">
      <c r="A375" s="48" t="n"/>
      <c r="B375" s="48" t="n"/>
      <c r="C375" s="47" t="n"/>
      <c r="D375" s="50" t="n"/>
      <c r="E375" s="50" t="n"/>
      <c r="F375" s="50" t="n"/>
      <c r="G375" s="50" t="n"/>
      <c r="H375" s="48" t="n"/>
      <c r="I375" s="51" t="n"/>
      <c r="J375" s="52" t="n"/>
      <c r="K375" s="47" t="n"/>
      <c r="L375" s="47" t="n"/>
      <c r="M375" s="24">
        <f>IF(OR($A375="",$C375=""),"",IF($L375&lt;&gt;"",$L375-$C375,TODAY()-$C375))</f>
        <v/>
      </c>
      <c r="N375" s="28">
        <f>IF(OR($A375="",$K375=""),"",IF($L375="",IF(TODAY()&gt;$K375,"Atrasado","En ruta"),IF($L375&lt;=$K375,"Sí","No")))</f>
        <v/>
      </c>
      <c r="O375" s="24">
        <f>IF($A375="","",COUNTIFS(NOVEDADES!$D$4:$D$1503,$A375))</f>
        <v/>
      </c>
      <c r="P375" s="28">
        <f>IF($A375="","",IF(COUNTIFS(NOVEDADES!$D$4:$D$1503,$A375,NOVEDADES!$O$4:$O$1503,"SÍ")&gt;0,"No","Sí"))</f>
        <v/>
      </c>
      <c r="Q375" s="28">
        <f>IF(OR($A375="",$L375=""),"",IF(AND($N375="Sí",$P375="Sí"),"OTIF","Falló"))</f>
        <v/>
      </c>
    </row>
    <row r="376" ht="16" customHeight="1">
      <c r="A376" s="48" t="n"/>
      <c r="B376" s="48" t="n"/>
      <c r="C376" s="47" t="n"/>
      <c r="D376" s="50" t="n"/>
      <c r="E376" s="50" t="n"/>
      <c r="F376" s="50" t="n"/>
      <c r="G376" s="50" t="n"/>
      <c r="H376" s="48" t="n"/>
      <c r="I376" s="51" t="n"/>
      <c r="J376" s="52" t="n"/>
      <c r="K376" s="47" t="n"/>
      <c r="L376" s="47" t="n"/>
      <c r="M376" s="24">
        <f>IF(OR($A376="",$C376=""),"",IF($L376&lt;&gt;"",$L376-$C376,TODAY()-$C376))</f>
        <v/>
      </c>
      <c r="N376" s="28">
        <f>IF(OR($A376="",$K376=""),"",IF($L376="",IF(TODAY()&gt;$K376,"Atrasado","En ruta"),IF($L376&lt;=$K376,"Sí","No")))</f>
        <v/>
      </c>
      <c r="O376" s="24">
        <f>IF($A376="","",COUNTIFS(NOVEDADES!$D$4:$D$1503,$A376))</f>
        <v/>
      </c>
      <c r="P376" s="28">
        <f>IF($A376="","",IF(COUNTIFS(NOVEDADES!$D$4:$D$1503,$A376,NOVEDADES!$O$4:$O$1503,"SÍ")&gt;0,"No","Sí"))</f>
        <v/>
      </c>
      <c r="Q376" s="28">
        <f>IF(OR($A376="",$L376=""),"",IF(AND($N376="Sí",$P376="Sí"),"OTIF","Falló"))</f>
        <v/>
      </c>
    </row>
    <row r="377" ht="16" customHeight="1">
      <c r="A377" s="48" t="n"/>
      <c r="B377" s="48" t="n"/>
      <c r="C377" s="47" t="n"/>
      <c r="D377" s="50" t="n"/>
      <c r="E377" s="50" t="n"/>
      <c r="F377" s="50" t="n"/>
      <c r="G377" s="50" t="n"/>
      <c r="H377" s="48" t="n"/>
      <c r="I377" s="51" t="n"/>
      <c r="J377" s="52" t="n"/>
      <c r="K377" s="47" t="n"/>
      <c r="L377" s="47" t="n"/>
      <c r="M377" s="24">
        <f>IF(OR($A377="",$C377=""),"",IF($L377&lt;&gt;"",$L377-$C377,TODAY()-$C377))</f>
        <v/>
      </c>
      <c r="N377" s="28">
        <f>IF(OR($A377="",$K377=""),"",IF($L377="",IF(TODAY()&gt;$K377,"Atrasado","En ruta"),IF($L377&lt;=$K377,"Sí","No")))</f>
        <v/>
      </c>
      <c r="O377" s="24">
        <f>IF($A377="","",COUNTIFS(NOVEDADES!$D$4:$D$1503,$A377))</f>
        <v/>
      </c>
      <c r="P377" s="28">
        <f>IF($A377="","",IF(COUNTIFS(NOVEDADES!$D$4:$D$1503,$A377,NOVEDADES!$O$4:$O$1503,"SÍ")&gt;0,"No","Sí"))</f>
        <v/>
      </c>
      <c r="Q377" s="28">
        <f>IF(OR($A377="",$L377=""),"",IF(AND($N377="Sí",$P377="Sí"),"OTIF","Falló"))</f>
        <v/>
      </c>
    </row>
    <row r="378" ht="16" customHeight="1">
      <c r="A378" s="48" t="n"/>
      <c r="B378" s="48" t="n"/>
      <c r="C378" s="47" t="n"/>
      <c r="D378" s="50" t="n"/>
      <c r="E378" s="50" t="n"/>
      <c r="F378" s="50" t="n"/>
      <c r="G378" s="50" t="n"/>
      <c r="H378" s="48" t="n"/>
      <c r="I378" s="51" t="n"/>
      <c r="J378" s="52" t="n"/>
      <c r="K378" s="47" t="n"/>
      <c r="L378" s="47" t="n"/>
      <c r="M378" s="24">
        <f>IF(OR($A378="",$C378=""),"",IF($L378&lt;&gt;"",$L378-$C378,TODAY()-$C378))</f>
        <v/>
      </c>
      <c r="N378" s="28">
        <f>IF(OR($A378="",$K378=""),"",IF($L378="",IF(TODAY()&gt;$K378,"Atrasado","En ruta"),IF($L378&lt;=$K378,"Sí","No")))</f>
        <v/>
      </c>
      <c r="O378" s="24">
        <f>IF($A378="","",COUNTIFS(NOVEDADES!$D$4:$D$1503,$A378))</f>
        <v/>
      </c>
      <c r="P378" s="28">
        <f>IF($A378="","",IF(COUNTIFS(NOVEDADES!$D$4:$D$1503,$A378,NOVEDADES!$O$4:$O$1503,"SÍ")&gt;0,"No","Sí"))</f>
        <v/>
      </c>
      <c r="Q378" s="28">
        <f>IF(OR($A378="",$L378=""),"",IF(AND($N378="Sí",$P378="Sí"),"OTIF","Falló"))</f>
        <v/>
      </c>
    </row>
    <row r="379" ht="16" customHeight="1">
      <c r="A379" s="48" t="n"/>
      <c r="B379" s="48" t="n"/>
      <c r="C379" s="47" t="n"/>
      <c r="D379" s="50" t="n"/>
      <c r="E379" s="50" t="n"/>
      <c r="F379" s="50" t="n"/>
      <c r="G379" s="50" t="n"/>
      <c r="H379" s="48" t="n"/>
      <c r="I379" s="51" t="n"/>
      <c r="J379" s="52" t="n"/>
      <c r="K379" s="47" t="n"/>
      <c r="L379" s="47" t="n"/>
      <c r="M379" s="24">
        <f>IF(OR($A379="",$C379=""),"",IF($L379&lt;&gt;"",$L379-$C379,TODAY()-$C379))</f>
        <v/>
      </c>
      <c r="N379" s="28">
        <f>IF(OR($A379="",$K379=""),"",IF($L379="",IF(TODAY()&gt;$K379,"Atrasado","En ruta"),IF($L379&lt;=$K379,"Sí","No")))</f>
        <v/>
      </c>
      <c r="O379" s="24">
        <f>IF($A379="","",COUNTIFS(NOVEDADES!$D$4:$D$1503,$A379))</f>
        <v/>
      </c>
      <c r="P379" s="28">
        <f>IF($A379="","",IF(COUNTIFS(NOVEDADES!$D$4:$D$1503,$A379,NOVEDADES!$O$4:$O$1503,"SÍ")&gt;0,"No","Sí"))</f>
        <v/>
      </c>
      <c r="Q379" s="28">
        <f>IF(OR($A379="",$L379=""),"",IF(AND($N379="Sí",$P379="Sí"),"OTIF","Falló"))</f>
        <v/>
      </c>
    </row>
    <row r="380" ht="16" customHeight="1">
      <c r="A380" s="48" t="n"/>
      <c r="B380" s="48" t="n"/>
      <c r="C380" s="47" t="n"/>
      <c r="D380" s="50" t="n"/>
      <c r="E380" s="50" t="n"/>
      <c r="F380" s="50" t="n"/>
      <c r="G380" s="50" t="n"/>
      <c r="H380" s="48" t="n"/>
      <c r="I380" s="51" t="n"/>
      <c r="J380" s="52" t="n"/>
      <c r="K380" s="47" t="n"/>
      <c r="L380" s="47" t="n"/>
      <c r="M380" s="24">
        <f>IF(OR($A380="",$C380=""),"",IF($L380&lt;&gt;"",$L380-$C380,TODAY()-$C380))</f>
        <v/>
      </c>
      <c r="N380" s="28">
        <f>IF(OR($A380="",$K380=""),"",IF($L380="",IF(TODAY()&gt;$K380,"Atrasado","En ruta"),IF($L380&lt;=$K380,"Sí","No")))</f>
        <v/>
      </c>
      <c r="O380" s="24">
        <f>IF($A380="","",COUNTIFS(NOVEDADES!$D$4:$D$1503,$A380))</f>
        <v/>
      </c>
      <c r="P380" s="28">
        <f>IF($A380="","",IF(COUNTIFS(NOVEDADES!$D$4:$D$1503,$A380,NOVEDADES!$O$4:$O$1503,"SÍ")&gt;0,"No","Sí"))</f>
        <v/>
      </c>
      <c r="Q380" s="28">
        <f>IF(OR($A380="",$L380=""),"",IF(AND($N380="Sí",$P380="Sí"),"OTIF","Falló"))</f>
        <v/>
      </c>
    </row>
    <row r="381" ht="16" customHeight="1">
      <c r="A381" s="48" t="n"/>
      <c r="B381" s="48" t="n"/>
      <c r="C381" s="47" t="n"/>
      <c r="D381" s="50" t="n"/>
      <c r="E381" s="50" t="n"/>
      <c r="F381" s="50" t="n"/>
      <c r="G381" s="50" t="n"/>
      <c r="H381" s="48" t="n"/>
      <c r="I381" s="51" t="n"/>
      <c r="J381" s="52" t="n"/>
      <c r="K381" s="47" t="n"/>
      <c r="L381" s="47" t="n"/>
      <c r="M381" s="24">
        <f>IF(OR($A381="",$C381=""),"",IF($L381&lt;&gt;"",$L381-$C381,TODAY()-$C381))</f>
        <v/>
      </c>
      <c r="N381" s="28">
        <f>IF(OR($A381="",$K381=""),"",IF($L381="",IF(TODAY()&gt;$K381,"Atrasado","En ruta"),IF($L381&lt;=$K381,"Sí","No")))</f>
        <v/>
      </c>
      <c r="O381" s="24">
        <f>IF($A381="","",COUNTIFS(NOVEDADES!$D$4:$D$1503,$A381))</f>
        <v/>
      </c>
      <c r="P381" s="28">
        <f>IF($A381="","",IF(COUNTIFS(NOVEDADES!$D$4:$D$1503,$A381,NOVEDADES!$O$4:$O$1503,"SÍ")&gt;0,"No","Sí"))</f>
        <v/>
      </c>
      <c r="Q381" s="28">
        <f>IF(OR($A381="",$L381=""),"",IF(AND($N381="Sí",$P381="Sí"),"OTIF","Falló"))</f>
        <v/>
      </c>
    </row>
    <row r="382" ht="16" customHeight="1">
      <c r="A382" s="48" t="n"/>
      <c r="B382" s="48" t="n"/>
      <c r="C382" s="47" t="n"/>
      <c r="D382" s="50" t="n"/>
      <c r="E382" s="50" t="n"/>
      <c r="F382" s="50" t="n"/>
      <c r="G382" s="50" t="n"/>
      <c r="H382" s="48" t="n"/>
      <c r="I382" s="51" t="n"/>
      <c r="J382" s="52" t="n"/>
      <c r="K382" s="47" t="n"/>
      <c r="L382" s="47" t="n"/>
      <c r="M382" s="24">
        <f>IF(OR($A382="",$C382=""),"",IF($L382&lt;&gt;"",$L382-$C382,TODAY()-$C382))</f>
        <v/>
      </c>
      <c r="N382" s="28">
        <f>IF(OR($A382="",$K382=""),"",IF($L382="",IF(TODAY()&gt;$K382,"Atrasado","En ruta"),IF($L382&lt;=$K382,"Sí","No")))</f>
        <v/>
      </c>
      <c r="O382" s="24">
        <f>IF($A382="","",COUNTIFS(NOVEDADES!$D$4:$D$1503,$A382))</f>
        <v/>
      </c>
      <c r="P382" s="28">
        <f>IF($A382="","",IF(COUNTIFS(NOVEDADES!$D$4:$D$1503,$A382,NOVEDADES!$O$4:$O$1503,"SÍ")&gt;0,"No","Sí"))</f>
        <v/>
      </c>
      <c r="Q382" s="28">
        <f>IF(OR($A382="",$L382=""),"",IF(AND($N382="Sí",$P382="Sí"),"OTIF","Falló"))</f>
        <v/>
      </c>
    </row>
    <row r="383" ht="16" customHeight="1">
      <c r="A383" s="48" t="n"/>
      <c r="B383" s="48" t="n"/>
      <c r="C383" s="47" t="n"/>
      <c r="D383" s="50" t="n"/>
      <c r="E383" s="50" t="n"/>
      <c r="F383" s="50" t="n"/>
      <c r="G383" s="50" t="n"/>
      <c r="H383" s="48" t="n"/>
      <c r="I383" s="51" t="n"/>
      <c r="J383" s="52" t="n"/>
      <c r="K383" s="47" t="n"/>
      <c r="L383" s="47" t="n"/>
      <c r="M383" s="24">
        <f>IF(OR($A383="",$C383=""),"",IF($L383&lt;&gt;"",$L383-$C383,TODAY()-$C383))</f>
        <v/>
      </c>
      <c r="N383" s="28">
        <f>IF(OR($A383="",$K383=""),"",IF($L383="",IF(TODAY()&gt;$K383,"Atrasado","En ruta"),IF($L383&lt;=$K383,"Sí","No")))</f>
        <v/>
      </c>
      <c r="O383" s="24">
        <f>IF($A383="","",COUNTIFS(NOVEDADES!$D$4:$D$1503,$A383))</f>
        <v/>
      </c>
      <c r="P383" s="28">
        <f>IF($A383="","",IF(COUNTIFS(NOVEDADES!$D$4:$D$1503,$A383,NOVEDADES!$O$4:$O$1503,"SÍ")&gt;0,"No","Sí"))</f>
        <v/>
      </c>
      <c r="Q383" s="28">
        <f>IF(OR($A383="",$L383=""),"",IF(AND($N383="Sí",$P383="Sí"),"OTIF","Falló"))</f>
        <v/>
      </c>
    </row>
    <row r="384" ht="16" customHeight="1">
      <c r="A384" s="48" t="n"/>
      <c r="B384" s="48" t="n"/>
      <c r="C384" s="47" t="n"/>
      <c r="D384" s="50" t="n"/>
      <c r="E384" s="50" t="n"/>
      <c r="F384" s="50" t="n"/>
      <c r="G384" s="50" t="n"/>
      <c r="H384" s="48" t="n"/>
      <c r="I384" s="51" t="n"/>
      <c r="J384" s="52" t="n"/>
      <c r="K384" s="47" t="n"/>
      <c r="L384" s="47" t="n"/>
      <c r="M384" s="24">
        <f>IF(OR($A384="",$C384=""),"",IF($L384&lt;&gt;"",$L384-$C384,TODAY()-$C384))</f>
        <v/>
      </c>
      <c r="N384" s="28">
        <f>IF(OR($A384="",$K384=""),"",IF($L384="",IF(TODAY()&gt;$K384,"Atrasado","En ruta"),IF($L384&lt;=$K384,"Sí","No")))</f>
        <v/>
      </c>
      <c r="O384" s="24">
        <f>IF($A384="","",COUNTIFS(NOVEDADES!$D$4:$D$1503,$A384))</f>
        <v/>
      </c>
      <c r="P384" s="28">
        <f>IF($A384="","",IF(COUNTIFS(NOVEDADES!$D$4:$D$1503,$A384,NOVEDADES!$O$4:$O$1503,"SÍ")&gt;0,"No","Sí"))</f>
        <v/>
      </c>
      <c r="Q384" s="28">
        <f>IF(OR($A384="",$L384=""),"",IF(AND($N384="Sí",$P384="Sí"),"OTIF","Falló"))</f>
        <v/>
      </c>
    </row>
    <row r="385" ht="16" customHeight="1">
      <c r="A385" s="48" t="n"/>
      <c r="B385" s="48" t="n"/>
      <c r="C385" s="47" t="n"/>
      <c r="D385" s="50" t="n"/>
      <c r="E385" s="50" t="n"/>
      <c r="F385" s="50" t="n"/>
      <c r="G385" s="50" t="n"/>
      <c r="H385" s="48" t="n"/>
      <c r="I385" s="51" t="n"/>
      <c r="J385" s="52" t="n"/>
      <c r="K385" s="47" t="n"/>
      <c r="L385" s="47" t="n"/>
      <c r="M385" s="24">
        <f>IF(OR($A385="",$C385=""),"",IF($L385&lt;&gt;"",$L385-$C385,TODAY()-$C385))</f>
        <v/>
      </c>
      <c r="N385" s="28">
        <f>IF(OR($A385="",$K385=""),"",IF($L385="",IF(TODAY()&gt;$K385,"Atrasado","En ruta"),IF($L385&lt;=$K385,"Sí","No")))</f>
        <v/>
      </c>
      <c r="O385" s="24">
        <f>IF($A385="","",COUNTIFS(NOVEDADES!$D$4:$D$1503,$A385))</f>
        <v/>
      </c>
      <c r="P385" s="28">
        <f>IF($A385="","",IF(COUNTIFS(NOVEDADES!$D$4:$D$1503,$A385,NOVEDADES!$O$4:$O$1503,"SÍ")&gt;0,"No","Sí"))</f>
        <v/>
      </c>
      <c r="Q385" s="28">
        <f>IF(OR($A385="",$L385=""),"",IF(AND($N385="Sí",$P385="Sí"),"OTIF","Falló"))</f>
        <v/>
      </c>
    </row>
    <row r="386" ht="16" customHeight="1">
      <c r="A386" s="48" t="n"/>
      <c r="B386" s="48" t="n"/>
      <c r="C386" s="47" t="n"/>
      <c r="D386" s="50" t="n"/>
      <c r="E386" s="50" t="n"/>
      <c r="F386" s="50" t="n"/>
      <c r="G386" s="50" t="n"/>
      <c r="H386" s="48" t="n"/>
      <c r="I386" s="51" t="n"/>
      <c r="J386" s="52" t="n"/>
      <c r="K386" s="47" t="n"/>
      <c r="L386" s="47" t="n"/>
      <c r="M386" s="24">
        <f>IF(OR($A386="",$C386=""),"",IF($L386&lt;&gt;"",$L386-$C386,TODAY()-$C386))</f>
        <v/>
      </c>
      <c r="N386" s="28">
        <f>IF(OR($A386="",$K386=""),"",IF($L386="",IF(TODAY()&gt;$K386,"Atrasado","En ruta"),IF($L386&lt;=$K386,"Sí","No")))</f>
        <v/>
      </c>
      <c r="O386" s="24">
        <f>IF($A386="","",COUNTIFS(NOVEDADES!$D$4:$D$1503,$A386))</f>
        <v/>
      </c>
      <c r="P386" s="28">
        <f>IF($A386="","",IF(COUNTIFS(NOVEDADES!$D$4:$D$1503,$A386,NOVEDADES!$O$4:$O$1503,"SÍ")&gt;0,"No","Sí"))</f>
        <v/>
      </c>
      <c r="Q386" s="28">
        <f>IF(OR($A386="",$L386=""),"",IF(AND($N386="Sí",$P386="Sí"),"OTIF","Falló"))</f>
        <v/>
      </c>
    </row>
    <row r="387" ht="16" customHeight="1">
      <c r="A387" s="48" t="n"/>
      <c r="B387" s="48" t="n"/>
      <c r="C387" s="47" t="n"/>
      <c r="D387" s="50" t="n"/>
      <c r="E387" s="50" t="n"/>
      <c r="F387" s="50" t="n"/>
      <c r="G387" s="50" t="n"/>
      <c r="H387" s="48" t="n"/>
      <c r="I387" s="51" t="n"/>
      <c r="J387" s="52" t="n"/>
      <c r="K387" s="47" t="n"/>
      <c r="L387" s="47" t="n"/>
      <c r="M387" s="24">
        <f>IF(OR($A387="",$C387=""),"",IF($L387&lt;&gt;"",$L387-$C387,TODAY()-$C387))</f>
        <v/>
      </c>
      <c r="N387" s="28">
        <f>IF(OR($A387="",$K387=""),"",IF($L387="",IF(TODAY()&gt;$K387,"Atrasado","En ruta"),IF($L387&lt;=$K387,"Sí","No")))</f>
        <v/>
      </c>
      <c r="O387" s="24">
        <f>IF($A387="","",COUNTIFS(NOVEDADES!$D$4:$D$1503,$A387))</f>
        <v/>
      </c>
      <c r="P387" s="28">
        <f>IF($A387="","",IF(COUNTIFS(NOVEDADES!$D$4:$D$1503,$A387,NOVEDADES!$O$4:$O$1503,"SÍ")&gt;0,"No","Sí"))</f>
        <v/>
      </c>
      <c r="Q387" s="28">
        <f>IF(OR($A387="",$L387=""),"",IF(AND($N387="Sí",$P387="Sí"),"OTIF","Falló"))</f>
        <v/>
      </c>
    </row>
    <row r="388" ht="16" customHeight="1">
      <c r="A388" s="48" t="n"/>
      <c r="B388" s="48" t="n"/>
      <c r="C388" s="47" t="n"/>
      <c r="D388" s="50" t="n"/>
      <c r="E388" s="50" t="n"/>
      <c r="F388" s="50" t="n"/>
      <c r="G388" s="50" t="n"/>
      <c r="H388" s="48" t="n"/>
      <c r="I388" s="51" t="n"/>
      <c r="J388" s="52" t="n"/>
      <c r="K388" s="47" t="n"/>
      <c r="L388" s="47" t="n"/>
      <c r="M388" s="24">
        <f>IF(OR($A388="",$C388=""),"",IF($L388&lt;&gt;"",$L388-$C388,TODAY()-$C388))</f>
        <v/>
      </c>
      <c r="N388" s="28">
        <f>IF(OR($A388="",$K388=""),"",IF($L388="",IF(TODAY()&gt;$K388,"Atrasado","En ruta"),IF($L388&lt;=$K388,"Sí","No")))</f>
        <v/>
      </c>
      <c r="O388" s="24">
        <f>IF($A388="","",COUNTIFS(NOVEDADES!$D$4:$D$1503,$A388))</f>
        <v/>
      </c>
      <c r="P388" s="28">
        <f>IF($A388="","",IF(COUNTIFS(NOVEDADES!$D$4:$D$1503,$A388,NOVEDADES!$O$4:$O$1503,"SÍ")&gt;0,"No","Sí"))</f>
        <v/>
      </c>
      <c r="Q388" s="28">
        <f>IF(OR($A388="",$L388=""),"",IF(AND($N388="Sí",$P388="Sí"),"OTIF","Falló"))</f>
        <v/>
      </c>
    </row>
    <row r="389" ht="16" customHeight="1">
      <c r="A389" s="48" t="n"/>
      <c r="B389" s="48" t="n"/>
      <c r="C389" s="47" t="n"/>
      <c r="D389" s="50" t="n"/>
      <c r="E389" s="50" t="n"/>
      <c r="F389" s="50" t="n"/>
      <c r="G389" s="50" t="n"/>
      <c r="H389" s="48" t="n"/>
      <c r="I389" s="51" t="n"/>
      <c r="J389" s="52" t="n"/>
      <c r="K389" s="47" t="n"/>
      <c r="L389" s="47" t="n"/>
      <c r="M389" s="24">
        <f>IF(OR($A389="",$C389=""),"",IF($L389&lt;&gt;"",$L389-$C389,TODAY()-$C389))</f>
        <v/>
      </c>
      <c r="N389" s="28">
        <f>IF(OR($A389="",$K389=""),"",IF($L389="",IF(TODAY()&gt;$K389,"Atrasado","En ruta"),IF($L389&lt;=$K389,"Sí","No")))</f>
        <v/>
      </c>
      <c r="O389" s="24">
        <f>IF($A389="","",COUNTIFS(NOVEDADES!$D$4:$D$1503,$A389))</f>
        <v/>
      </c>
      <c r="P389" s="28">
        <f>IF($A389="","",IF(COUNTIFS(NOVEDADES!$D$4:$D$1503,$A389,NOVEDADES!$O$4:$O$1503,"SÍ")&gt;0,"No","Sí"))</f>
        <v/>
      </c>
      <c r="Q389" s="28">
        <f>IF(OR($A389="",$L389=""),"",IF(AND($N389="Sí",$P389="Sí"),"OTIF","Falló"))</f>
        <v/>
      </c>
    </row>
    <row r="390" ht="16" customHeight="1">
      <c r="A390" s="48" t="n"/>
      <c r="B390" s="48" t="n"/>
      <c r="C390" s="47" t="n"/>
      <c r="D390" s="50" t="n"/>
      <c r="E390" s="50" t="n"/>
      <c r="F390" s="50" t="n"/>
      <c r="G390" s="50" t="n"/>
      <c r="H390" s="48" t="n"/>
      <c r="I390" s="51" t="n"/>
      <c r="J390" s="52" t="n"/>
      <c r="K390" s="47" t="n"/>
      <c r="L390" s="47" t="n"/>
      <c r="M390" s="24">
        <f>IF(OR($A390="",$C390=""),"",IF($L390&lt;&gt;"",$L390-$C390,TODAY()-$C390))</f>
        <v/>
      </c>
      <c r="N390" s="28">
        <f>IF(OR($A390="",$K390=""),"",IF($L390="",IF(TODAY()&gt;$K390,"Atrasado","En ruta"),IF($L390&lt;=$K390,"Sí","No")))</f>
        <v/>
      </c>
      <c r="O390" s="24">
        <f>IF($A390="","",COUNTIFS(NOVEDADES!$D$4:$D$1503,$A390))</f>
        <v/>
      </c>
      <c r="P390" s="28">
        <f>IF($A390="","",IF(COUNTIFS(NOVEDADES!$D$4:$D$1503,$A390,NOVEDADES!$O$4:$O$1503,"SÍ")&gt;0,"No","Sí"))</f>
        <v/>
      </c>
      <c r="Q390" s="28">
        <f>IF(OR($A390="",$L390=""),"",IF(AND($N390="Sí",$P390="Sí"),"OTIF","Falló"))</f>
        <v/>
      </c>
    </row>
    <row r="391" ht="16" customHeight="1">
      <c r="A391" s="48" t="n"/>
      <c r="B391" s="48" t="n"/>
      <c r="C391" s="47" t="n"/>
      <c r="D391" s="50" t="n"/>
      <c r="E391" s="50" t="n"/>
      <c r="F391" s="50" t="n"/>
      <c r="G391" s="50" t="n"/>
      <c r="H391" s="48" t="n"/>
      <c r="I391" s="51" t="n"/>
      <c r="J391" s="52" t="n"/>
      <c r="K391" s="47" t="n"/>
      <c r="L391" s="47" t="n"/>
      <c r="M391" s="24">
        <f>IF(OR($A391="",$C391=""),"",IF($L391&lt;&gt;"",$L391-$C391,TODAY()-$C391))</f>
        <v/>
      </c>
      <c r="N391" s="28">
        <f>IF(OR($A391="",$K391=""),"",IF($L391="",IF(TODAY()&gt;$K391,"Atrasado","En ruta"),IF($L391&lt;=$K391,"Sí","No")))</f>
        <v/>
      </c>
      <c r="O391" s="24">
        <f>IF($A391="","",COUNTIFS(NOVEDADES!$D$4:$D$1503,$A391))</f>
        <v/>
      </c>
      <c r="P391" s="28">
        <f>IF($A391="","",IF(COUNTIFS(NOVEDADES!$D$4:$D$1503,$A391,NOVEDADES!$O$4:$O$1503,"SÍ")&gt;0,"No","Sí"))</f>
        <v/>
      </c>
      <c r="Q391" s="28">
        <f>IF(OR($A391="",$L391=""),"",IF(AND($N391="Sí",$P391="Sí"),"OTIF","Falló"))</f>
        <v/>
      </c>
    </row>
    <row r="392" ht="16" customHeight="1">
      <c r="A392" s="48" t="n"/>
      <c r="B392" s="48" t="n"/>
      <c r="C392" s="47" t="n"/>
      <c r="D392" s="50" t="n"/>
      <c r="E392" s="50" t="n"/>
      <c r="F392" s="50" t="n"/>
      <c r="G392" s="50" t="n"/>
      <c r="H392" s="48" t="n"/>
      <c r="I392" s="51" t="n"/>
      <c r="J392" s="52" t="n"/>
      <c r="K392" s="47" t="n"/>
      <c r="L392" s="47" t="n"/>
      <c r="M392" s="24">
        <f>IF(OR($A392="",$C392=""),"",IF($L392&lt;&gt;"",$L392-$C392,TODAY()-$C392))</f>
        <v/>
      </c>
      <c r="N392" s="28">
        <f>IF(OR($A392="",$K392=""),"",IF($L392="",IF(TODAY()&gt;$K392,"Atrasado","En ruta"),IF($L392&lt;=$K392,"Sí","No")))</f>
        <v/>
      </c>
      <c r="O392" s="24">
        <f>IF($A392="","",COUNTIFS(NOVEDADES!$D$4:$D$1503,$A392))</f>
        <v/>
      </c>
      <c r="P392" s="28">
        <f>IF($A392="","",IF(COUNTIFS(NOVEDADES!$D$4:$D$1503,$A392,NOVEDADES!$O$4:$O$1503,"SÍ")&gt;0,"No","Sí"))</f>
        <v/>
      </c>
      <c r="Q392" s="28">
        <f>IF(OR($A392="",$L392=""),"",IF(AND($N392="Sí",$P392="Sí"),"OTIF","Falló"))</f>
        <v/>
      </c>
    </row>
    <row r="393" ht="16" customHeight="1">
      <c r="A393" s="48" t="n"/>
      <c r="B393" s="48" t="n"/>
      <c r="C393" s="47" t="n"/>
      <c r="D393" s="50" t="n"/>
      <c r="E393" s="50" t="n"/>
      <c r="F393" s="50" t="n"/>
      <c r="G393" s="50" t="n"/>
      <c r="H393" s="48" t="n"/>
      <c r="I393" s="51" t="n"/>
      <c r="J393" s="52" t="n"/>
      <c r="K393" s="47" t="n"/>
      <c r="L393" s="47" t="n"/>
      <c r="M393" s="24">
        <f>IF(OR($A393="",$C393=""),"",IF($L393&lt;&gt;"",$L393-$C393,TODAY()-$C393))</f>
        <v/>
      </c>
      <c r="N393" s="28">
        <f>IF(OR($A393="",$K393=""),"",IF($L393="",IF(TODAY()&gt;$K393,"Atrasado","En ruta"),IF($L393&lt;=$K393,"Sí","No")))</f>
        <v/>
      </c>
      <c r="O393" s="24">
        <f>IF($A393="","",COUNTIFS(NOVEDADES!$D$4:$D$1503,$A393))</f>
        <v/>
      </c>
      <c r="P393" s="28">
        <f>IF($A393="","",IF(COUNTIFS(NOVEDADES!$D$4:$D$1503,$A393,NOVEDADES!$O$4:$O$1503,"SÍ")&gt;0,"No","Sí"))</f>
        <v/>
      </c>
      <c r="Q393" s="28">
        <f>IF(OR($A393="",$L393=""),"",IF(AND($N393="Sí",$P393="Sí"),"OTIF","Falló"))</f>
        <v/>
      </c>
    </row>
    <row r="394" ht="16" customHeight="1">
      <c r="A394" s="48" t="n"/>
      <c r="B394" s="48" t="n"/>
      <c r="C394" s="47" t="n"/>
      <c r="D394" s="50" t="n"/>
      <c r="E394" s="50" t="n"/>
      <c r="F394" s="50" t="n"/>
      <c r="G394" s="50" t="n"/>
      <c r="H394" s="48" t="n"/>
      <c r="I394" s="51" t="n"/>
      <c r="J394" s="52" t="n"/>
      <c r="K394" s="47" t="n"/>
      <c r="L394" s="47" t="n"/>
      <c r="M394" s="24">
        <f>IF(OR($A394="",$C394=""),"",IF($L394&lt;&gt;"",$L394-$C394,TODAY()-$C394))</f>
        <v/>
      </c>
      <c r="N394" s="28">
        <f>IF(OR($A394="",$K394=""),"",IF($L394="",IF(TODAY()&gt;$K394,"Atrasado","En ruta"),IF($L394&lt;=$K394,"Sí","No")))</f>
        <v/>
      </c>
      <c r="O394" s="24">
        <f>IF($A394="","",COUNTIFS(NOVEDADES!$D$4:$D$1503,$A394))</f>
        <v/>
      </c>
      <c r="P394" s="28">
        <f>IF($A394="","",IF(COUNTIFS(NOVEDADES!$D$4:$D$1503,$A394,NOVEDADES!$O$4:$O$1503,"SÍ")&gt;0,"No","Sí"))</f>
        <v/>
      </c>
      <c r="Q394" s="28">
        <f>IF(OR($A394="",$L394=""),"",IF(AND($N394="Sí",$P394="Sí"),"OTIF","Falló"))</f>
        <v/>
      </c>
    </row>
    <row r="395" ht="16" customHeight="1">
      <c r="A395" s="48" t="n"/>
      <c r="B395" s="48" t="n"/>
      <c r="C395" s="47" t="n"/>
      <c r="D395" s="50" t="n"/>
      <c r="E395" s="50" t="n"/>
      <c r="F395" s="50" t="n"/>
      <c r="G395" s="50" t="n"/>
      <c r="H395" s="48" t="n"/>
      <c r="I395" s="51" t="n"/>
      <c r="J395" s="52" t="n"/>
      <c r="K395" s="47" t="n"/>
      <c r="L395" s="47" t="n"/>
      <c r="M395" s="24">
        <f>IF(OR($A395="",$C395=""),"",IF($L395&lt;&gt;"",$L395-$C395,TODAY()-$C395))</f>
        <v/>
      </c>
      <c r="N395" s="28">
        <f>IF(OR($A395="",$K395=""),"",IF($L395="",IF(TODAY()&gt;$K395,"Atrasado","En ruta"),IF($L395&lt;=$K395,"Sí","No")))</f>
        <v/>
      </c>
      <c r="O395" s="24">
        <f>IF($A395="","",COUNTIFS(NOVEDADES!$D$4:$D$1503,$A395))</f>
        <v/>
      </c>
      <c r="P395" s="28">
        <f>IF($A395="","",IF(COUNTIFS(NOVEDADES!$D$4:$D$1503,$A395,NOVEDADES!$O$4:$O$1503,"SÍ")&gt;0,"No","Sí"))</f>
        <v/>
      </c>
      <c r="Q395" s="28">
        <f>IF(OR($A395="",$L395=""),"",IF(AND($N395="Sí",$P395="Sí"),"OTIF","Falló"))</f>
        <v/>
      </c>
    </row>
    <row r="396" ht="16" customHeight="1">
      <c r="A396" s="48" t="n"/>
      <c r="B396" s="48" t="n"/>
      <c r="C396" s="47" t="n"/>
      <c r="D396" s="50" t="n"/>
      <c r="E396" s="50" t="n"/>
      <c r="F396" s="50" t="n"/>
      <c r="G396" s="50" t="n"/>
      <c r="H396" s="48" t="n"/>
      <c r="I396" s="51" t="n"/>
      <c r="J396" s="52" t="n"/>
      <c r="K396" s="47" t="n"/>
      <c r="L396" s="47" t="n"/>
      <c r="M396" s="24">
        <f>IF(OR($A396="",$C396=""),"",IF($L396&lt;&gt;"",$L396-$C396,TODAY()-$C396))</f>
        <v/>
      </c>
      <c r="N396" s="28">
        <f>IF(OR($A396="",$K396=""),"",IF($L396="",IF(TODAY()&gt;$K396,"Atrasado","En ruta"),IF($L396&lt;=$K396,"Sí","No")))</f>
        <v/>
      </c>
      <c r="O396" s="24">
        <f>IF($A396="","",COUNTIFS(NOVEDADES!$D$4:$D$1503,$A396))</f>
        <v/>
      </c>
      <c r="P396" s="28">
        <f>IF($A396="","",IF(COUNTIFS(NOVEDADES!$D$4:$D$1503,$A396,NOVEDADES!$O$4:$O$1503,"SÍ")&gt;0,"No","Sí"))</f>
        <v/>
      </c>
      <c r="Q396" s="28">
        <f>IF(OR($A396="",$L396=""),"",IF(AND($N396="Sí",$P396="Sí"),"OTIF","Falló"))</f>
        <v/>
      </c>
    </row>
    <row r="397" ht="16" customHeight="1">
      <c r="A397" s="48" t="n"/>
      <c r="B397" s="48" t="n"/>
      <c r="C397" s="47" t="n"/>
      <c r="D397" s="50" t="n"/>
      <c r="E397" s="50" t="n"/>
      <c r="F397" s="50" t="n"/>
      <c r="G397" s="50" t="n"/>
      <c r="H397" s="48" t="n"/>
      <c r="I397" s="51" t="n"/>
      <c r="J397" s="52" t="n"/>
      <c r="K397" s="47" t="n"/>
      <c r="L397" s="47" t="n"/>
      <c r="M397" s="24">
        <f>IF(OR($A397="",$C397=""),"",IF($L397&lt;&gt;"",$L397-$C397,TODAY()-$C397))</f>
        <v/>
      </c>
      <c r="N397" s="28">
        <f>IF(OR($A397="",$K397=""),"",IF($L397="",IF(TODAY()&gt;$K397,"Atrasado","En ruta"),IF($L397&lt;=$K397,"Sí","No")))</f>
        <v/>
      </c>
      <c r="O397" s="24">
        <f>IF($A397="","",COUNTIFS(NOVEDADES!$D$4:$D$1503,$A397))</f>
        <v/>
      </c>
      <c r="P397" s="28">
        <f>IF($A397="","",IF(COUNTIFS(NOVEDADES!$D$4:$D$1503,$A397,NOVEDADES!$O$4:$O$1503,"SÍ")&gt;0,"No","Sí"))</f>
        <v/>
      </c>
      <c r="Q397" s="28">
        <f>IF(OR($A397="",$L397=""),"",IF(AND($N397="Sí",$P397="Sí"),"OTIF","Falló"))</f>
        <v/>
      </c>
    </row>
    <row r="398" ht="16" customHeight="1">
      <c r="A398" s="48" t="n"/>
      <c r="B398" s="48" t="n"/>
      <c r="C398" s="47" t="n"/>
      <c r="D398" s="50" t="n"/>
      <c r="E398" s="50" t="n"/>
      <c r="F398" s="50" t="n"/>
      <c r="G398" s="50" t="n"/>
      <c r="H398" s="48" t="n"/>
      <c r="I398" s="51" t="n"/>
      <c r="J398" s="52" t="n"/>
      <c r="K398" s="47" t="n"/>
      <c r="L398" s="47" t="n"/>
      <c r="M398" s="24">
        <f>IF(OR($A398="",$C398=""),"",IF($L398&lt;&gt;"",$L398-$C398,TODAY()-$C398))</f>
        <v/>
      </c>
      <c r="N398" s="28">
        <f>IF(OR($A398="",$K398=""),"",IF($L398="",IF(TODAY()&gt;$K398,"Atrasado","En ruta"),IF($L398&lt;=$K398,"Sí","No")))</f>
        <v/>
      </c>
      <c r="O398" s="24">
        <f>IF($A398="","",COUNTIFS(NOVEDADES!$D$4:$D$1503,$A398))</f>
        <v/>
      </c>
      <c r="P398" s="28">
        <f>IF($A398="","",IF(COUNTIFS(NOVEDADES!$D$4:$D$1503,$A398,NOVEDADES!$O$4:$O$1503,"SÍ")&gt;0,"No","Sí"))</f>
        <v/>
      </c>
      <c r="Q398" s="28">
        <f>IF(OR($A398="",$L398=""),"",IF(AND($N398="Sí",$P398="Sí"),"OTIF","Falló"))</f>
        <v/>
      </c>
    </row>
    <row r="399" ht="16" customHeight="1">
      <c r="A399" s="48" t="n"/>
      <c r="B399" s="48" t="n"/>
      <c r="C399" s="47" t="n"/>
      <c r="D399" s="50" t="n"/>
      <c r="E399" s="50" t="n"/>
      <c r="F399" s="50" t="n"/>
      <c r="G399" s="50" t="n"/>
      <c r="H399" s="48" t="n"/>
      <c r="I399" s="51" t="n"/>
      <c r="J399" s="52" t="n"/>
      <c r="K399" s="47" t="n"/>
      <c r="L399" s="47" t="n"/>
      <c r="M399" s="24">
        <f>IF(OR($A399="",$C399=""),"",IF($L399&lt;&gt;"",$L399-$C399,TODAY()-$C399))</f>
        <v/>
      </c>
      <c r="N399" s="28">
        <f>IF(OR($A399="",$K399=""),"",IF($L399="",IF(TODAY()&gt;$K399,"Atrasado","En ruta"),IF($L399&lt;=$K399,"Sí","No")))</f>
        <v/>
      </c>
      <c r="O399" s="24">
        <f>IF($A399="","",COUNTIFS(NOVEDADES!$D$4:$D$1503,$A399))</f>
        <v/>
      </c>
      <c r="P399" s="28">
        <f>IF($A399="","",IF(COUNTIFS(NOVEDADES!$D$4:$D$1503,$A399,NOVEDADES!$O$4:$O$1503,"SÍ")&gt;0,"No","Sí"))</f>
        <v/>
      </c>
      <c r="Q399" s="28">
        <f>IF(OR($A399="",$L399=""),"",IF(AND($N399="Sí",$P399="Sí"),"OTIF","Falló"))</f>
        <v/>
      </c>
    </row>
    <row r="400" ht="16" customHeight="1">
      <c r="A400" s="48" t="n"/>
      <c r="B400" s="48" t="n"/>
      <c r="C400" s="47" t="n"/>
      <c r="D400" s="50" t="n"/>
      <c r="E400" s="50" t="n"/>
      <c r="F400" s="50" t="n"/>
      <c r="G400" s="50" t="n"/>
      <c r="H400" s="48" t="n"/>
      <c r="I400" s="51" t="n"/>
      <c r="J400" s="52" t="n"/>
      <c r="K400" s="47" t="n"/>
      <c r="L400" s="47" t="n"/>
      <c r="M400" s="24">
        <f>IF(OR($A400="",$C400=""),"",IF($L400&lt;&gt;"",$L400-$C400,TODAY()-$C400))</f>
        <v/>
      </c>
      <c r="N400" s="28">
        <f>IF(OR($A400="",$K400=""),"",IF($L400="",IF(TODAY()&gt;$K400,"Atrasado","En ruta"),IF($L400&lt;=$K400,"Sí","No")))</f>
        <v/>
      </c>
      <c r="O400" s="24">
        <f>IF($A400="","",COUNTIFS(NOVEDADES!$D$4:$D$1503,$A400))</f>
        <v/>
      </c>
      <c r="P400" s="28">
        <f>IF($A400="","",IF(COUNTIFS(NOVEDADES!$D$4:$D$1503,$A400,NOVEDADES!$O$4:$O$1503,"SÍ")&gt;0,"No","Sí"))</f>
        <v/>
      </c>
      <c r="Q400" s="28">
        <f>IF(OR($A400="",$L400=""),"",IF(AND($N400="Sí",$P400="Sí"),"OTIF","Falló"))</f>
        <v/>
      </c>
    </row>
    <row r="401" ht="16" customHeight="1">
      <c r="A401" s="48" t="n"/>
      <c r="B401" s="48" t="n"/>
      <c r="C401" s="47" t="n"/>
      <c r="D401" s="50" t="n"/>
      <c r="E401" s="50" t="n"/>
      <c r="F401" s="50" t="n"/>
      <c r="G401" s="50" t="n"/>
      <c r="H401" s="48" t="n"/>
      <c r="I401" s="51" t="n"/>
      <c r="J401" s="52" t="n"/>
      <c r="K401" s="47" t="n"/>
      <c r="L401" s="47" t="n"/>
      <c r="M401" s="24">
        <f>IF(OR($A401="",$C401=""),"",IF($L401&lt;&gt;"",$L401-$C401,TODAY()-$C401))</f>
        <v/>
      </c>
      <c r="N401" s="28">
        <f>IF(OR($A401="",$K401=""),"",IF($L401="",IF(TODAY()&gt;$K401,"Atrasado","En ruta"),IF($L401&lt;=$K401,"Sí","No")))</f>
        <v/>
      </c>
      <c r="O401" s="24">
        <f>IF($A401="","",COUNTIFS(NOVEDADES!$D$4:$D$1503,$A401))</f>
        <v/>
      </c>
      <c r="P401" s="28">
        <f>IF($A401="","",IF(COUNTIFS(NOVEDADES!$D$4:$D$1503,$A401,NOVEDADES!$O$4:$O$1503,"SÍ")&gt;0,"No","Sí"))</f>
        <v/>
      </c>
      <c r="Q401" s="28">
        <f>IF(OR($A401="",$L401=""),"",IF(AND($N401="Sí",$P401="Sí"),"OTIF","Falló"))</f>
        <v/>
      </c>
    </row>
    <row r="402" ht="16" customHeight="1">
      <c r="A402" s="48" t="n"/>
      <c r="B402" s="48" t="n"/>
      <c r="C402" s="47" t="n"/>
      <c r="D402" s="50" t="n"/>
      <c r="E402" s="50" t="n"/>
      <c r="F402" s="50" t="n"/>
      <c r="G402" s="50" t="n"/>
      <c r="H402" s="48" t="n"/>
      <c r="I402" s="51" t="n"/>
      <c r="J402" s="52" t="n"/>
      <c r="K402" s="47" t="n"/>
      <c r="L402" s="47" t="n"/>
      <c r="M402" s="24">
        <f>IF(OR($A402="",$C402=""),"",IF($L402&lt;&gt;"",$L402-$C402,TODAY()-$C402))</f>
        <v/>
      </c>
      <c r="N402" s="28">
        <f>IF(OR($A402="",$K402=""),"",IF($L402="",IF(TODAY()&gt;$K402,"Atrasado","En ruta"),IF($L402&lt;=$K402,"Sí","No")))</f>
        <v/>
      </c>
      <c r="O402" s="24">
        <f>IF($A402="","",COUNTIFS(NOVEDADES!$D$4:$D$1503,$A402))</f>
        <v/>
      </c>
      <c r="P402" s="28">
        <f>IF($A402="","",IF(COUNTIFS(NOVEDADES!$D$4:$D$1503,$A402,NOVEDADES!$O$4:$O$1503,"SÍ")&gt;0,"No","Sí"))</f>
        <v/>
      </c>
      <c r="Q402" s="28">
        <f>IF(OR($A402="",$L402=""),"",IF(AND($N402="Sí",$P402="Sí"),"OTIF","Falló"))</f>
        <v/>
      </c>
    </row>
    <row r="403" ht="16" customHeight="1">
      <c r="A403" s="48" t="n"/>
      <c r="B403" s="48" t="n"/>
      <c r="C403" s="47" t="n"/>
      <c r="D403" s="50" t="n"/>
      <c r="E403" s="50" t="n"/>
      <c r="F403" s="50" t="n"/>
      <c r="G403" s="50" t="n"/>
      <c r="H403" s="48" t="n"/>
      <c r="I403" s="51" t="n"/>
      <c r="J403" s="52" t="n"/>
      <c r="K403" s="47" t="n"/>
      <c r="L403" s="47" t="n"/>
      <c r="M403" s="24">
        <f>IF(OR($A403="",$C403=""),"",IF($L403&lt;&gt;"",$L403-$C403,TODAY()-$C403))</f>
        <v/>
      </c>
      <c r="N403" s="28">
        <f>IF(OR($A403="",$K403=""),"",IF($L403="",IF(TODAY()&gt;$K403,"Atrasado","En ruta"),IF($L403&lt;=$K403,"Sí","No")))</f>
        <v/>
      </c>
      <c r="O403" s="24">
        <f>IF($A403="","",COUNTIFS(NOVEDADES!$D$4:$D$1503,$A403))</f>
        <v/>
      </c>
      <c r="P403" s="28">
        <f>IF($A403="","",IF(COUNTIFS(NOVEDADES!$D$4:$D$1503,$A403,NOVEDADES!$O$4:$O$1503,"SÍ")&gt;0,"No","Sí"))</f>
        <v/>
      </c>
      <c r="Q403" s="28">
        <f>IF(OR($A403="",$L403=""),"",IF(AND($N403="Sí",$P403="Sí"),"OTIF","Falló"))</f>
        <v/>
      </c>
    </row>
    <row r="404" ht="16" customHeight="1">
      <c r="A404" s="48" t="n"/>
      <c r="B404" s="48" t="n"/>
      <c r="C404" s="47" t="n"/>
      <c r="D404" s="50" t="n"/>
      <c r="E404" s="50" t="n"/>
      <c r="F404" s="50" t="n"/>
      <c r="G404" s="50" t="n"/>
      <c r="H404" s="48" t="n"/>
      <c r="I404" s="51" t="n"/>
      <c r="J404" s="52" t="n"/>
      <c r="K404" s="47" t="n"/>
      <c r="L404" s="47" t="n"/>
      <c r="M404" s="24">
        <f>IF(OR($A404="",$C404=""),"",IF($L404&lt;&gt;"",$L404-$C404,TODAY()-$C404))</f>
        <v/>
      </c>
      <c r="N404" s="28">
        <f>IF(OR($A404="",$K404=""),"",IF($L404="",IF(TODAY()&gt;$K404,"Atrasado","En ruta"),IF($L404&lt;=$K404,"Sí","No")))</f>
        <v/>
      </c>
      <c r="O404" s="24">
        <f>IF($A404="","",COUNTIFS(NOVEDADES!$D$4:$D$1503,$A404))</f>
        <v/>
      </c>
      <c r="P404" s="28">
        <f>IF($A404="","",IF(COUNTIFS(NOVEDADES!$D$4:$D$1503,$A404,NOVEDADES!$O$4:$O$1503,"SÍ")&gt;0,"No","Sí"))</f>
        <v/>
      </c>
      <c r="Q404" s="28">
        <f>IF(OR($A404="",$L404=""),"",IF(AND($N404="Sí",$P404="Sí"),"OTIF","Falló"))</f>
        <v/>
      </c>
    </row>
    <row r="405" ht="16" customHeight="1">
      <c r="A405" s="48" t="n"/>
      <c r="B405" s="48" t="n"/>
      <c r="C405" s="47" t="n"/>
      <c r="D405" s="50" t="n"/>
      <c r="E405" s="50" t="n"/>
      <c r="F405" s="50" t="n"/>
      <c r="G405" s="50" t="n"/>
      <c r="H405" s="48" t="n"/>
      <c r="I405" s="51" t="n"/>
      <c r="J405" s="52" t="n"/>
      <c r="K405" s="47" t="n"/>
      <c r="L405" s="47" t="n"/>
      <c r="M405" s="24">
        <f>IF(OR($A405="",$C405=""),"",IF($L405&lt;&gt;"",$L405-$C405,TODAY()-$C405))</f>
        <v/>
      </c>
      <c r="N405" s="28">
        <f>IF(OR($A405="",$K405=""),"",IF($L405="",IF(TODAY()&gt;$K405,"Atrasado","En ruta"),IF($L405&lt;=$K405,"Sí","No")))</f>
        <v/>
      </c>
      <c r="O405" s="24">
        <f>IF($A405="","",COUNTIFS(NOVEDADES!$D$4:$D$1503,$A405))</f>
        <v/>
      </c>
      <c r="P405" s="28">
        <f>IF($A405="","",IF(COUNTIFS(NOVEDADES!$D$4:$D$1503,$A405,NOVEDADES!$O$4:$O$1503,"SÍ")&gt;0,"No","Sí"))</f>
        <v/>
      </c>
      <c r="Q405" s="28">
        <f>IF(OR($A405="",$L405=""),"",IF(AND($N405="Sí",$P405="Sí"),"OTIF","Falló"))</f>
        <v/>
      </c>
    </row>
    <row r="406" ht="16" customHeight="1">
      <c r="A406" s="48" t="n"/>
      <c r="B406" s="48" t="n"/>
      <c r="C406" s="47" t="n"/>
      <c r="D406" s="50" t="n"/>
      <c r="E406" s="50" t="n"/>
      <c r="F406" s="50" t="n"/>
      <c r="G406" s="50" t="n"/>
      <c r="H406" s="48" t="n"/>
      <c r="I406" s="51" t="n"/>
      <c r="J406" s="52" t="n"/>
      <c r="K406" s="47" t="n"/>
      <c r="L406" s="47" t="n"/>
      <c r="M406" s="24">
        <f>IF(OR($A406="",$C406=""),"",IF($L406&lt;&gt;"",$L406-$C406,TODAY()-$C406))</f>
        <v/>
      </c>
      <c r="N406" s="28">
        <f>IF(OR($A406="",$K406=""),"",IF($L406="",IF(TODAY()&gt;$K406,"Atrasado","En ruta"),IF($L406&lt;=$K406,"Sí","No")))</f>
        <v/>
      </c>
      <c r="O406" s="24">
        <f>IF($A406="","",COUNTIFS(NOVEDADES!$D$4:$D$1503,$A406))</f>
        <v/>
      </c>
      <c r="P406" s="28">
        <f>IF($A406="","",IF(COUNTIFS(NOVEDADES!$D$4:$D$1503,$A406,NOVEDADES!$O$4:$O$1503,"SÍ")&gt;0,"No","Sí"))</f>
        <v/>
      </c>
      <c r="Q406" s="28">
        <f>IF(OR($A406="",$L406=""),"",IF(AND($N406="Sí",$P406="Sí"),"OTIF","Falló"))</f>
        <v/>
      </c>
    </row>
    <row r="407" ht="16" customHeight="1">
      <c r="A407" s="48" t="n"/>
      <c r="B407" s="48" t="n"/>
      <c r="C407" s="47" t="n"/>
      <c r="D407" s="50" t="n"/>
      <c r="E407" s="50" t="n"/>
      <c r="F407" s="50" t="n"/>
      <c r="G407" s="50" t="n"/>
      <c r="H407" s="48" t="n"/>
      <c r="I407" s="51" t="n"/>
      <c r="J407" s="52" t="n"/>
      <c r="K407" s="47" t="n"/>
      <c r="L407" s="47" t="n"/>
      <c r="M407" s="24">
        <f>IF(OR($A407="",$C407=""),"",IF($L407&lt;&gt;"",$L407-$C407,TODAY()-$C407))</f>
        <v/>
      </c>
      <c r="N407" s="28">
        <f>IF(OR($A407="",$K407=""),"",IF($L407="",IF(TODAY()&gt;$K407,"Atrasado","En ruta"),IF($L407&lt;=$K407,"Sí","No")))</f>
        <v/>
      </c>
      <c r="O407" s="24">
        <f>IF($A407="","",COUNTIFS(NOVEDADES!$D$4:$D$1503,$A407))</f>
        <v/>
      </c>
      <c r="P407" s="28">
        <f>IF($A407="","",IF(COUNTIFS(NOVEDADES!$D$4:$D$1503,$A407,NOVEDADES!$O$4:$O$1503,"SÍ")&gt;0,"No","Sí"))</f>
        <v/>
      </c>
      <c r="Q407" s="28">
        <f>IF(OR($A407="",$L407=""),"",IF(AND($N407="Sí",$P407="Sí"),"OTIF","Falló"))</f>
        <v/>
      </c>
    </row>
    <row r="408" ht="16" customHeight="1">
      <c r="A408" s="48" t="n"/>
      <c r="B408" s="48" t="n"/>
      <c r="C408" s="47" t="n"/>
      <c r="D408" s="50" t="n"/>
      <c r="E408" s="50" t="n"/>
      <c r="F408" s="50" t="n"/>
      <c r="G408" s="50" t="n"/>
      <c r="H408" s="48" t="n"/>
      <c r="I408" s="51" t="n"/>
      <c r="J408" s="52" t="n"/>
      <c r="K408" s="47" t="n"/>
      <c r="L408" s="47" t="n"/>
      <c r="M408" s="24">
        <f>IF(OR($A408="",$C408=""),"",IF($L408&lt;&gt;"",$L408-$C408,TODAY()-$C408))</f>
        <v/>
      </c>
      <c r="N408" s="28">
        <f>IF(OR($A408="",$K408=""),"",IF($L408="",IF(TODAY()&gt;$K408,"Atrasado","En ruta"),IF($L408&lt;=$K408,"Sí","No")))</f>
        <v/>
      </c>
      <c r="O408" s="24">
        <f>IF($A408="","",COUNTIFS(NOVEDADES!$D$4:$D$1503,$A408))</f>
        <v/>
      </c>
      <c r="P408" s="28">
        <f>IF($A408="","",IF(COUNTIFS(NOVEDADES!$D$4:$D$1503,$A408,NOVEDADES!$O$4:$O$1503,"SÍ")&gt;0,"No","Sí"))</f>
        <v/>
      </c>
      <c r="Q408" s="28">
        <f>IF(OR($A408="",$L408=""),"",IF(AND($N408="Sí",$P408="Sí"),"OTIF","Falló"))</f>
        <v/>
      </c>
    </row>
    <row r="409" ht="16" customHeight="1">
      <c r="A409" s="48" t="n"/>
      <c r="B409" s="48" t="n"/>
      <c r="C409" s="47" t="n"/>
      <c r="D409" s="50" t="n"/>
      <c r="E409" s="50" t="n"/>
      <c r="F409" s="50" t="n"/>
      <c r="G409" s="50" t="n"/>
      <c r="H409" s="48" t="n"/>
      <c r="I409" s="51" t="n"/>
      <c r="J409" s="52" t="n"/>
      <c r="K409" s="47" t="n"/>
      <c r="L409" s="47" t="n"/>
      <c r="M409" s="24">
        <f>IF(OR($A409="",$C409=""),"",IF($L409&lt;&gt;"",$L409-$C409,TODAY()-$C409))</f>
        <v/>
      </c>
      <c r="N409" s="28">
        <f>IF(OR($A409="",$K409=""),"",IF($L409="",IF(TODAY()&gt;$K409,"Atrasado","En ruta"),IF($L409&lt;=$K409,"Sí","No")))</f>
        <v/>
      </c>
      <c r="O409" s="24">
        <f>IF($A409="","",COUNTIFS(NOVEDADES!$D$4:$D$1503,$A409))</f>
        <v/>
      </c>
      <c r="P409" s="28">
        <f>IF($A409="","",IF(COUNTIFS(NOVEDADES!$D$4:$D$1503,$A409,NOVEDADES!$O$4:$O$1503,"SÍ")&gt;0,"No","Sí"))</f>
        <v/>
      </c>
      <c r="Q409" s="28">
        <f>IF(OR($A409="",$L409=""),"",IF(AND($N409="Sí",$P409="Sí"),"OTIF","Falló"))</f>
        <v/>
      </c>
    </row>
    <row r="410" ht="16" customHeight="1">
      <c r="A410" s="48" t="n"/>
      <c r="B410" s="48" t="n"/>
      <c r="C410" s="47" t="n"/>
      <c r="D410" s="50" t="n"/>
      <c r="E410" s="50" t="n"/>
      <c r="F410" s="50" t="n"/>
      <c r="G410" s="50" t="n"/>
      <c r="H410" s="48" t="n"/>
      <c r="I410" s="51" t="n"/>
      <c r="J410" s="52" t="n"/>
      <c r="K410" s="47" t="n"/>
      <c r="L410" s="47" t="n"/>
      <c r="M410" s="24">
        <f>IF(OR($A410="",$C410=""),"",IF($L410&lt;&gt;"",$L410-$C410,TODAY()-$C410))</f>
        <v/>
      </c>
      <c r="N410" s="28">
        <f>IF(OR($A410="",$K410=""),"",IF($L410="",IF(TODAY()&gt;$K410,"Atrasado","En ruta"),IF($L410&lt;=$K410,"Sí","No")))</f>
        <v/>
      </c>
      <c r="O410" s="24">
        <f>IF($A410="","",COUNTIFS(NOVEDADES!$D$4:$D$1503,$A410))</f>
        <v/>
      </c>
      <c r="P410" s="28">
        <f>IF($A410="","",IF(COUNTIFS(NOVEDADES!$D$4:$D$1503,$A410,NOVEDADES!$O$4:$O$1503,"SÍ")&gt;0,"No","Sí"))</f>
        <v/>
      </c>
      <c r="Q410" s="28">
        <f>IF(OR($A410="",$L410=""),"",IF(AND($N410="Sí",$P410="Sí"),"OTIF","Falló"))</f>
        <v/>
      </c>
    </row>
    <row r="411" ht="16" customHeight="1">
      <c r="A411" s="48" t="n"/>
      <c r="B411" s="48" t="n"/>
      <c r="C411" s="47" t="n"/>
      <c r="D411" s="50" t="n"/>
      <c r="E411" s="50" t="n"/>
      <c r="F411" s="50" t="n"/>
      <c r="G411" s="50" t="n"/>
      <c r="H411" s="48" t="n"/>
      <c r="I411" s="51" t="n"/>
      <c r="J411" s="52" t="n"/>
      <c r="K411" s="47" t="n"/>
      <c r="L411" s="47" t="n"/>
      <c r="M411" s="24">
        <f>IF(OR($A411="",$C411=""),"",IF($L411&lt;&gt;"",$L411-$C411,TODAY()-$C411))</f>
        <v/>
      </c>
      <c r="N411" s="28">
        <f>IF(OR($A411="",$K411=""),"",IF($L411="",IF(TODAY()&gt;$K411,"Atrasado","En ruta"),IF($L411&lt;=$K411,"Sí","No")))</f>
        <v/>
      </c>
      <c r="O411" s="24">
        <f>IF($A411="","",COUNTIFS(NOVEDADES!$D$4:$D$1503,$A411))</f>
        <v/>
      </c>
      <c r="P411" s="28">
        <f>IF($A411="","",IF(COUNTIFS(NOVEDADES!$D$4:$D$1503,$A411,NOVEDADES!$O$4:$O$1503,"SÍ")&gt;0,"No","Sí"))</f>
        <v/>
      </c>
      <c r="Q411" s="28">
        <f>IF(OR($A411="",$L411=""),"",IF(AND($N411="Sí",$P411="Sí"),"OTIF","Falló"))</f>
        <v/>
      </c>
    </row>
    <row r="412" ht="16" customHeight="1">
      <c r="A412" s="48" t="n"/>
      <c r="B412" s="48" t="n"/>
      <c r="C412" s="47" t="n"/>
      <c r="D412" s="50" t="n"/>
      <c r="E412" s="50" t="n"/>
      <c r="F412" s="50" t="n"/>
      <c r="G412" s="50" t="n"/>
      <c r="H412" s="48" t="n"/>
      <c r="I412" s="51" t="n"/>
      <c r="J412" s="52" t="n"/>
      <c r="K412" s="47" t="n"/>
      <c r="L412" s="47" t="n"/>
      <c r="M412" s="24">
        <f>IF(OR($A412="",$C412=""),"",IF($L412&lt;&gt;"",$L412-$C412,TODAY()-$C412))</f>
        <v/>
      </c>
      <c r="N412" s="28">
        <f>IF(OR($A412="",$K412=""),"",IF($L412="",IF(TODAY()&gt;$K412,"Atrasado","En ruta"),IF($L412&lt;=$K412,"Sí","No")))</f>
        <v/>
      </c>
      <c r="O412" s="24">
        <f>IF($A412="","",COUNTIFS(NOVEDADES!$D$4:$D$1503,$A412))</f>
        <v/>
      </c>
      <c r="P412" s="28">
        <f>IF($A412="","",IF(COUNTIFS(NOVEDADES!$D$4:$D$1503,$A412,NOVEDADES!$O$4:$O$1503,"SÍ")&gt;0,"No","Sí"))</f>
        <v/>
      </c>
      <c r="Q412" s="28">
        <f>IF(OR($A412="",$L412=""),"",IF(AND($N412="Sí",$P412="Sí"),"OTIF","Falló"))</f>
        <v/>
      </c>
    </row>
    <row r="413" ht="16" customHeight="1">
      <c r="A413" s="48" t="n"/>
      <c r="B413" s="48" t="n"/>
      <c r="C413" s="47" t="n"/>
      <c r="D413" s="50" t="n"/>
      <c r="E413" s="50" t="n"/>
      <c r="F413" s="50" t="n"/>
      <c r="G413" s="50" t="n"/>
      <c r="H413" s="48" t="n"/>
      <c r="I413" s="51" t="n"/>
      <c r="J413" s="52" t="n"/>
      <c r="K413" s="47" t="n"/>
      <c r="L413" s="47" t="n"/>
      <c r="M413" s="24">
        <f>IF(OR($A413="",$C413=""),"",IF($L413&lt;&gt;"",$L413-$C413,TODAY()-$C413))</f>
        <v/>
      </c>
      <c r="N413" s="28">
        <f>IF(OR($A413="",$K413=""),"",IF($L413="",IF(TODAY()&gt;$K413,"Atrasado","En ruta"),IF($L413&lt;=$K413,"Sí","No")))</f>
        <v/>
      </c>
      <c r="O413" s="24">
        <f>IF($A413="","",COUNTIFS(NOVEDADES!$D$4:$D$1503,$A413))</f>
        <v/>
      </c>
      <c r="P413" s="28">
        <f>IF($A413="","",IF(COUNTIFS(NOVEDADES!$D$4:$D$1503,$A413,NOVEDADES!$O$4:$O$1503,"SÍ")&gt;0,"No","Sí"))</f>
        <v/>
      </c>
      <c r="Q413" s="28">
        <f>IF(OR($A413="",$L413=""),"",IF(AND($N413="Sí",$P413="Sí"),"OTIF","Falló"))</f>
        <v/>
      </c>
    </row>
    <row r="414" ht="16" customHeight="1">
      <c r="A414" s="48" t="n"/>
      <c r="B414" s="48" t="n"/>
      <c r="C414" s="47" t="n"/>
      <c r="D414" s="50" t="n"/>
      <c r="E414" s="50" t="n"/>
      <c r="F414" s="50" t="n"/>
      <c r="G414" s="50" t="n"/>
      <c r="H414" s="48" t="n"/>
      <c r="I414" s="51" t="n"/>
      <c r="J414" s="52" t="n"/>
      <c r="K414" s="47" t="n"/>
      <c r="L414" s="47" t="n"/>
      <c r="M414" s="24">
        <f>IF(OR($A414="",$C414=""),"",IF($L414&lt;&gt;"",$L414-$C414,TODAY()-$C414))</f>
        <v/>
      </c>
      <c r="N414" s="28">
        <f>IF(OR($A414="",$K414=""),"",IF($L414="",IF(TODAY()&gt;$K414,"Atrasado","En ruta"),IF($L414&lt;=$K414,"Sí","No")))</f>
        <v/>
      </c>
      <c r="O414" s="24">
        <f>IF($A414="","",COUNTIFS(NOVEDADES!$D$4:$D$1503,$A414))</f>
        <v/>
      </c>
      <c r="P414" s="28">
        <f>IF($A414="","",IF(COUNTIFS(NOVEDADES!$D$4:$D$1503,$A414,NOVEDADES!$O$4:$O$1503,"SÍ")&gt;0,"No","Sí"))</f>
        <v/>
      </c>
      <c r="Q414" s="28">
        <f>IF(OR($A414="",$L414=""),"",IF(AND($N414="Sí",$P414="Sí"),"OTIF","Falló"))</f>
        <v/>
      </c>
    </row>
    <row r="415" ht="16" customHeight="1">
      <c r="A415" s="48" t="n"/>
      <c r="B415" s="48" t="n"/>
      <c r="C415" s="47" t="n"/>
      <c r="D415" s="50" t="n"/>
      <c r="E415" s="50" t="n"/>
      <c r="F415" s="50" t="n"/>
      <c r="G415" s="50" t="n"/>
      <c r="H415" s="48" t="n"/>
      <c r="I415" s="51" t="n"/>
      <c r="J415" s="52" t="n"/>
      <c r="K415" s="47" t="n"/>
      <c r="L415" s="47" t="n"/>
      <c r="M415" s="24">
        <f>IF(OR($A415="",$C415=""),"",IF($L415&lt;&gt;"",$L415-$C415,TODAY()-$C415))</f>
        <v/>
      </c>
      <c r="N415" s="28">
        <f>IF(OR($A415="",$K415=""),"",IF($L415="",IF(TODAY()&gt;$K415,"Atrasado","En ruta"),IF($L415&lt;=$K415,"Sí","No")))</f>
        <v/>
      </c>
      <c r="O415" s="24">
        <f>IF($A415="","",COUNTIFS(NOVEDADES!$D$4:$D$1503,$A415))</f>
        <v/>
      </c>
      <c r="P415" s="28">
        <f>IF($A415="","",IF(COUNTIFS(NOVEDADES!$D$4:$D$1503,$A415,NOVEDADES!$O$4:$O$1503,"SÍ")&gt;0,"No","Sí"))</f>
        <v/>
      </c>
      <c r="Q415" s="28">
        <f>IF(OR($A415="",$L415=""),"",IF(AND($N415="Sí",$P415="Sí"),"OTIF","Falló"))</f>
        <v/>
      </c>
    </row>
    <row r="416" ht="16" customHeight="1">
      <c r="A416" s="48" t="n"/>
      <c r="B416" s="48" t="n"/>
      <c r="C416" s="47" t="n"/>
      <c r="D416" s="50" t="n"/>
      <c r="E416" s="50" t="n"/>
      <c r="F416" s="50" t="n"/>
      <c r="G416" s="50" t="n"/>
      <c r="H416" s="48" t="n"/>
      <c r="I416" s="51" t="n"/>
      <c r="J416" s="52" t="n"/>
      <c r="K416" s="47" t="n"/>
      <c r="L416" s="47" t="n"/>
      <c r="M416" s="24">
        <f>IF(OR($A416="",$C416=""),"",IF($L416&lt;&gt;"",$L416-$C416,TODAY()-$C416))</f>
        <v/>
      </c>
      <c r="N416" s="28">
        <f>IF(OR($A416="",$K416=""),"",IF($L416="",IF(TODAY()&gt;$K416,"Atrasado","En ruta"),IF($L416&lt;=$K416,"Sí","No")))</f>
        <v/>
      </c>
      <c r="O416" s="24">
        <f>IF($A416="","",COUNTIFS(NOVEDADES!$D$4:$D$1503,$A416))</f>
        <v/>
      </c>
      <c r="P416" s="28">
        <f>IF($A416="","",IF(COUNTIFS(NOVEDADES!$D$4:$D$1503,$A416,NOVEDADES!$O$4:$O$1503,"SÍ")&gt;0,"No","Sí"))</f>
        <v/>
      </c>
      <c r="Q416" s="28">
        <f>IF(OR($A416="",$L416=""),"",IF(AND($N416="Sí",$P416="Sí"),"OTIF","Falló"))</f>
        <v/>
      </c>
    </row>
    <row r="417" ht="16" customHeight="1">
      <c r="A417" s="48" t="n"/>
      <c r="B417" s="48" t="n"/>
      <c r="C417" s="47" t="n"/>
      <c r="D417" s="50" t="n"/>
      <c r="E417" s="50" t="n"/>
      <c r="F417" s="50" t="n"/>
      <c r="G417" s="50" t="n"/>
      <c r="H417" s="48" t="n"/>
      <c r="I417" s="51" t="n"/>
      <c r="J417" s="52" t="n"/>
      <c r="K417" s="47" t="n"/>
      <c r="L417" s="47" t="n"/>
      <c r="M417" s="24">
        <f>IF(OR($A417="",$C417=""),"",IF($L417&lt;&gt;"",$L417-$C417,TODAY()-$C417))</f>
        <v/>
      </c>
      <c r="N417" s="28">
        <f>IF(OR($A417="",$K417=""),"",IF($L417="",IF(TODAY()&gt;$K417,"Atrasado","En ruta"),IF($L417&lt;=$K417,"Sí","No")))</f>
        <v/>
      </c>
      <c r="O417" s="24">
        <f>IF($A417="","",COUNTIFS(NOVEDADES!$D$4:$D$1503,$A417))</f>
        <v/>
      </c>
      <c r="P417" s="28">
        <f>IF($A417="","",IF(COUNTIFS(NOVEDADES!$D$4:$D$1503,$A417,NOVEDADES!$O$4:$O$1503,"SÍ")&gt;0,"No","Sí"))</f>
        <v/>
      </c>
      <c r="Q417" s="28">
        <f>IF(OR($A417="",$L417=""),"",IF(AND($N417="Sí",$P417="Sí"),"OTIF","Falló"))</f>
        <v/>
      </c>
    </row>
    <row r="418" ht="16" customHeight="1">
      <c r="A418" s="48" t="n"/>
      <c r="B418" s="48" t="n"/>
      <c r="C418" s="47" t="n"/>
      <c r="D418" s="50" t="n"/>
      <c r="E418" s="50" t="n"/>
      <c r="F418" s="50" t="n"/>
      <c r="G418" s="50" t="n"/>
      <c r="H418" s="48" t="n"/>
      <c r="I418" s="51" t="n"/>
      <c r="J418" s="52" t="n"/>
      <c r="K418" s="47" t="n"/>
      <c r="L418" s="47" t="n"/>
      <c r="M418" s="24">
        <f>IF(OR($A418="",$C418=""),"",IF($L418&lt;&gt;"",$L418-$C418,TODAY()-$C418))</f>
        <v/>
      </c>
      <c r="N418" s="28">
        <f>IF(OR($A418="",$K418=""),"",IF($L418="",IF(TODAY()&gt;$K418,"Atrasado","En ruta"),IF($L418&lt;=$K418,"Sí","No")))</f>
        <v/>
      </c>
      <c r="O418" s="24">
        <f>IF($A418="","",COUNTIFS(NOVEDADES!$D$4:$D$1503,$A418))</f>
        <v/>
      </c>
      <c r="P418" s="28">
        <f>IF($A418="","",IF(COUNTIFS(NOVEDADES!$D$4:$D$1503,$A418,NOVEDADES!$O$4:$O$1503,"SÍ")&gt;0,"No","Sí"))</f>
        <v/>
      </c>
      <c r="Q418" s="28">
        <f>IF(OR($A418="",$L418=""),"",IF(AND($N418="Sí",$P418="Sí"),"OTIF","Falló"))</f>
        <v/>
      </c>
    </row>
    <row r="419" ht="16" customHeight="1">
      <c r="A419" s="48" t="n"/>
      <c r="B419" s="48" t="n"/>
      <c r="C419" s="47" t="n"/>
      <c r="D419" s="50" t="n"/>
      <c r="E419" s="50" t="n"/>
      <c r="F419" s="50" t="n"/>
      <c r="G419" s="50" t="n"/>
      <c r="H419" s="48" t="n"/>
      <c r="I419" s="51" t="n"/>
      <c r="J419" s="52" t="n"/>
      <c r="K419" s="47" t="n"/>
      <c r="L419" s="47" t="n"/>
      <c r="M419" s="24">
        <f>IF(OR($A419="",$C419=""),"",IF($L419&lt;&gt;"",$L419-$C419,TODAY()-$C419))</f>
        <v/>
      </c>
      <c r="N419" s="28">
        <f>IF(OR($A419="",$K419=""),"",IF($L419="",IF(TODAY()&gt;$K419,"Atrasado","En ruta"),IF($L419&lt;=$K419,"Sí","No")))</f>
        <v/>
      </c>
      <c r="O419" s="24">
        <f>IF($A419="","",COUNTIFS(NOVEDADES!$D$4:$D$1503,$A419))</f>
        <v/>
      </c>
      <c r="P419" s="28">
        <f>IF($A419="","",IF(COUNTIFS(NOVEDADES!$D$4:$D$1503,$A419,NOVEDADES!$O$4:$O$1503,"SÍ")&gt;0,"No","Sí"))</f>
        <v/>
      </c>
      <c r="Q419" s="28">
        <f>IF(OR($A419="",$L419=""),"",IF(AND($N419="Sí",$P419="Sí"),"OTIF","Falló"))</f>
        <v/>
      </c>
    </row>
    <row r="420" ht="16" customHeight="1">
      <c r="A420" s="48" t="n"/>
      <c r="B420" s="48" t="n"/>
      <c r="C420" s="47" t="n"/>
      <c r="D420" s="50" t="n"/>
      <c r="E420" s="50" t="n"/>
      <c r="F420" s="50" t="n"/>
      <c r="G420" s="50" t="n"/>
      <c r="H420" s="48" t="n"/>
      <c r="I420" s="51" t="n"/>
      <c r="J420" s="52" t="n"/>
      <c r="K420" s="47" t="n"/>
      <c r="L420" s="47" t="n"/>
      <c r="M420" s="24">
        <f>IF(OR($A420="",$C420=""),"",IF($L420&lt;&gt;"",$L420-$C420,TODAY()-$C420))</f>
        <v/>
      </c>
      <c r="N420" s="28">
        <f>IF(OR($A420="",$K420=""),"",IF($L420="",IF(TODAY()&gt;$K420,"Atrasado","En ruta"),IF($L420&lt;=$K420,"Sí","No")))</f>
        <v/>
      </c>
      <c r="O420" s="24">
        <f>IF($A420="","",COUNTIFS(NOVEDADES!$D$4:$D$1503,$A420))</f>
        <v/>
      </c>
      <c r="P420" s="28">
        <f>IF($A420="","",IF(COUNTIFS(NOVEDADES!$D$4:$D$1503,$A420,NOVEDADES!$O$4:$O$1503,"SÍ")&gt;0,"No","Sí"))</f>
        <v/>
      </c>
      <c r="Q420" s="28">
        <f>IF(OR($A420="",$L420=""),"",IF(AND($N420="Sí",$P420="Sí"),"OTIF","Falló"))</f>
        <v/>
      </c>
    </row>
    <row r="421" ht="16" customHeight="1">
      <c r="A421" s="48" t="n"/>
      <c r="B421" s="48" t="n"/>
      <c r="C421" s="47" t="n"/>
      <c r="D421" s="50" t="n"/>
      <c r="E421" s="50" t="n"/>
      <c r="F421" s="50" t="n"/>
      <c r="G421" s="50" t="n"/>
      <c r="H421" s="48" t="n"/>
      <c r="I421" s="51" t="n"/>
      <c r="J421" s="52" t="n"/>
      <c r="K421" s="47" t="n"/>
      <c r="L421" s="47" t="n"/>
      <c r="M421" s="24">
        <f>IF(OR($A421="",$C421=""),"",IF($L421&lt;&gt;"",$L421-$C421,TODAY()-$C421))</f>
        <v/>
      </c>
      <c r="N421" s="28">
        <f>IF(OR($A421="",$K421=""),"",IF($L421="",IF(TODAY()&gt;$K421,"Atrasado","En ruta"),IF($L421&lt;=$K421,"Sí","No")))</f>
        <v/>
      </c>
      <c r="O421" s="24">
        <f>IF($A421="","",COUNTIFS(NOVEDADES!$D$4:$D$1503,$A421))</f>
        <v/>
      </c>
      <c r="P421" s="28">
        <f>IF($A421="","",IF(COUNTIFS(NOVEDADES!$D$4:$D$1503,$A421,NOVEDADES!$O$4:$O$1503,"SÍ")&gt;0,"No","Sí"))</f>
        <v/>
      </c>
      <c r="Q421" s="28">
        <f>IF(OR($A421="",$L421=""),"",IF(AND($N421="Sí",$P421="Sí"),"OTIF","Falló"))</f>
        <v/>
      </c>
    </row>
    <row r="422" ht="16" customHeight="1">
      <c r="A422" s="48" t="n"/>
      <c r="B422" s="48" t="n"/>
      <c r="C422" s="47" t="n"/>
      <c r="D422" s="50" t="n"/>
      <c r="E422" s="50" t="n"/>
      <c r="F422" s="50" t="n"/>
      <c r="G422" s="50" t="n"/>
      <c r="H422" s="48" t="n"/>
      <c r="I422" s="51" t="n"/>
      <c r="J422" s="52" t="n"/>
      <c r="K422" s="47" t="n"/>
      <c r="L422" s="47" t="n"/>
      <c r="M422" s="24">
        <f>IF(OR($A422="",$C422=""),"",IF($L422&lt;&gt;"",$L422-$C422,TODAY()-$C422))</f>
        <v/>
      </c>
      <c r="N422" s="28">
        <f>IF(OR($A422="",$K422=""),"",IF($L422="",IF(TODAY()&gt;$K422,"Atrasado","En ruta"),IF($L422&lt;=$K422,"Sí","No")))</f>
        <v/>
      </c>
      <c r="O422" s="24">
        <f>IF($A422="","",COUNTIFS(NOVEDADES!$D$4:$D$1503,$A422))</f>
        <v/>
      </c>
      <c r="P422" s="28">
        <f>IF($A422="","",IF(COUNTIFS(NOVEDADES!$D$4:$D$1503,$A422,NOVEDADES!$O$4:$O$1503,"SÍ")&gt;0,"No","Sí"))</f>
        <v/>
      </c>
      <c r="Q422" s="28">
        <f>IF(OR($A422="",$L422=""),"",IF(AND($N422="Sí",$P422="Sí"),"OTIF","Falló"))</f>
        <v/>
      </c>
    </row>
    <row r="423" ht="16" customHeight="1">
      <c r="A423" s="48" t="n"/>
      <c r="B423" s="48" t="n"/>
      <c r="C423" s="47" t="n"/>
      <c r="D423" s="50" t="n"/>
      <c r="E423" s="50" t="n"/>
      <c r="F423" s="50" t="n"/>
      <c r="G423" s="50" t="n"/>
      <c r="H423" s="48" t="n"/>
      <c r="I423" s="51" t="n"/>
      <c r="J423" s="52" t="n"/>
      <c r="K423" s="47" t="n"/>
      <c r="L423" s="47" t="n"/>
      <c r="M423" s="24">
        <f>IF(OR($A423="",$C423=""),"",IF($L423&lt;&gt;"",$L423-$C423,TODAY()-$C423))</f>
        <v/>
      </c>
      <c r="N423" s="28">
        <f>IF(OR($A423="",$K423=""),"",IF($L423="",IF(TODAY()&gt;$K423,"Atrasado","En ruta"),IF($L423&lt;=$K423,"Sí","No")))</f>
        <v/>
      </c>
      <c r="O423" s="24">
        <f>IF($A423="","",COUNTIFS(NOVEDADES!$D$4:$D$1503,$A423))</f>
        <v/>
      </c>
      <c r="P423" s="28">
        <f>IF($A423="","",IF(COUNTIFS(NOVEDADES!$D$4:$D$1503,$A423,NOVEDADES!$O$4:$O$1503,"SÍ")&gt;0,"No","Sí"))</f>
        <v/>
      </c>
      <c r="Q423" s="28">
        <f>IF(OR($A423="",$L423=""),"",IF(AND($N423="Sí",$P423="Sí"),"OTIF","Falló"))</f>
        <v/>
      </c>
    </row>
    <row r="424" ht="16" customHeight="1">
      <c r="A424" s="48" t="n"/>
      <c r="B424" s="48" t="n"/>
      <c r="C424" s="47" t="n"/>
      <c r="D424" s="50" t="n"/>
      <c r="E424" s="50" t="n"/>
      <c r="F424" s="50" t="n"/>
      <c r="G424" s="50" t="n"/>
      <c r="H424" s="48" t="n"/>
      <c r="I424" s="51" t="n"/>
      <c r="J424" s="52" t="n"/>
      <c r="K424" s="47" t="n"/>
      <c r="L424" s="47" t="n"/>
      <c r="M424" s="24">
        <f>IF(OR($A424="",$C424=""),"",IF($L424&lt;&gt;"",$L424-$C424,TODAY()-$C424))</f>
        <v/>
      </c>
      <c r="N424" s="28">
        <f>IF(OR($A424="",$K424=""),"",IF($L424="",IF(TODAY()&gt;$K424,"Atrasado","En ruta"),IF($L424&lt;=$K424,"Sí","No")))</f>
        <v/>
      </c>
      <c r="O424" s="24">
        <f>IF($A424="","",COUNTIFS(NOVEDADES!$D$4:$D$1503,$A424))</f>
        <v/>
      </c>
      <c r="P424" s="28">
        <f>IF($A424="","",IF(COUNTIFS(NOVEDADES!$D$4:$D$1503,$A424,NOVEDADES!$O$4:$O$1503,"SÍ")&gt;0,"No","Sí"))</f>
        <v/>
      </c>
      <c r="Q424" s="28">
        <f>IF(OR($A424="",$L424=""),"",IF(AND($N424="Sí",$P424="Sí"),"OTIF","Falló"))</f>
        <v/>
      </c>
    </row>
    <row r="425" ht="16" customHeight="1">
      <c r="A425" s="48" t="n"/>
      <c r="B425" s="48" t="n"/>
      <c r="C425" s="47" t="n"/>
      <c r="D425" s="50" t="n"/>
      <c r="E425" s="50" t="n"/>
      <c r="F425" s="50" t="n"/>
      <c r="G425" s="50" t="n"/>
      <c r="H425" s="48" t="n"/>
      <c r="I425" s="51" t="n"/>
      <c r="J425" s="52" t="n"/>
      <c r="K425" s="47" t="n"/>
      <c r="L425" s="47" t="n"/>
      <c r="M425" s="24">
        <f>IF(OR($A425="",$C425=""),"",IF($L425&lt;&gt;"",$L425-$C425,TODAY()-$C425))</f>
        <v/>
      </c>
      <c r="N425" s="28">
        <f>IF(OR($A425="",$K425=""),"",IF($L425="",IF(TODAY()&gt;$K425,"Atrasado","En ruta"),IF($L425&lt;=$K425,"Sí","No")))</f>
        <v/>
      </c>
      <c r="O425" s="24">
        <f>IF($A425="","",COUNTIFS(NOVEDADES!$D$4:$D$1503,$A425))</f>
        <v/>
      </c>
      <c r="P425" s="28">
        <f>IF($A425="","",IF(COUNTIFS(NOVEDADES!$D$4:$D$1503,$A425,NOVEDADES!$O$4:$O$1503,"SÍ")&gt;0,"No","Sí"))</f>
        <v/>
      </c>
      <c r="Q425" s="28">
        <f>IF(OR($A425="",$L425=""),"",IF(AND($N425="Sí",$P425="Sí"),"OTIF","Falló"))</f>
        <v/>
      </c>
    </row>
    <row r="426" ht="16" customHeight="1">
      <c r="A426" s="48" t="n"/>
      <c r="B426" s="48" t="n"/>
      <c r="C426" s="47" t="n"/>
      <c r="D426" s="50" t="n"/>
      <c r="E426" s="50" t="n"/>
      <c r="F426" s="50" t="n"/>
      <c r="G426" s="50" t="n"/>
      <c r="H426" s="48" t="n"/>
      <c r="I426" s="51" t="n"/>
      <c r="J426" s="52" t="n"/>
      <c r="K426" s="47" t="n"/>
      <c r="L426" s="47" t="n"/>
      <c r="M426" s="24">
        <f>IF(OR($A426="",$C426=""),"",IF($L426&lt;&gt;"",$L426-$C426,TODAY()-$C426))</f>
        <v/>
      </c>
      <c r="N426" s="28">
        <f>IF(OR($A426="",$K426=""),"",IF($L426="",IF(TODAY()&gt;$K426,"Atrasado","En ruta"),IF($L426&lt;=$K426,"Sí","No")))</f>
        <v/>
      </c>
      <c r="O426" s="24">
        <f>IF($A426="","",COUNTIFS(NOVEDADES!$D$4:$D$1503,$A426))</f>
        <v/>
      </c>
      <c r="P426" s="28">
        <f>IF($A426="","",IF(COUNTIFS(NOVEDADES!$D$4:$D$1503,$A426,NOVEDADES!$O$4:$O$1503,"SÍ")&gt;0,"No","Sí"))</f>
        <v/>
      </c>
      <c r="Q426" s="28">
        <f>IF(OR($A426="",$L426=""),"",IF(AND($N426="Sí",$P426="Sí"),"OTIF","Falló"))</f>
        <v/>
      </c>
    </row>
    <row r="427" ht="16" customHeight="1">
      <c r="A427" s="48" t="n"/>
      <c r="B427" s="48" t="n"/>
      <c r="C427" s="47" t="n"/>
      <c r="D427" s="50" t="n"/>
      <c r="E427" s="50" t="n"/>
      <c r="F427" s="50" t="n"/>
      <c r="G427" s="50" t="n"/>
      <c r="H427" s="48" t="n"/>
      <c r="I427" s="51" t="n"/>
      <c r="J427" s="52" t="n"/>
      <c r="K427" s="47" t="n"/>
      <c r="L427" s="47" t="n"/>
      <c r="M427" s="24">
        <f>IF(OR($A427="",$C427=""),"",IF($L427&lt;&gt;"",$L427-$C427,TODAY()-$C427))</f>
        <v/>
      </c>
      <c r="N427" s="28">
        <f>IF(OR($A427="",$K427=""),"",IF($L427="",IF(TODAY()&gt;$K427,"Atrasado","En ruta"),IF($L427&lt;=$K427,"Sí","No")))</f>
        <v/>
      </c>
      <c r="O427" s="24">
        <f>IF($A427="","",COUNTIFS(NOVEDADES!$D$4:$D$1503,$A427))</f>
        <v/>
      </c>
      <c r="P427" s="28">
        <f>IF($A427="","",IF(COUNTIFS(NOVEDADES!$D$4:$D$1503,$A427,NOVEDADES!$O$4:$O$1503,"SÍ")&gt;0,"No","Sí"))</f>
        <v/>
      </c>
      <c r="Q427" s="28">
        <f>IF(OR($A427="",$L427=""),"",IF(AND($N427="Sí",$P427="Sí"),"OTIF","Falló"))</f>
        <v/>
      </c>
    </row>
    <row r="428" ht="16" customHeight="1">
      <c r="A428" s="48" t="n"/>
      <c r="B428" s="48" t="n"/>
      <c r="C428" s="47" t="n"/>
      <c r="D428" s="50" t="n"/>
      <c r="E428" s="50" t="n"/>
      <c r="F428" s="50" t="n"/>
      <c r="G428" s="50" t="n"/>
      <c r="H428" s="48" t="n"/>
      <c r="I428" s="51" t="n"/>
      <c r="J428" s="52" t="n"/>
      <c r="K428" s="47" t="n"/>
      <c r="L428" s="47" t="n"/>
      <c r="M428" s="24">
        <f>IF(OR($A428="",$C428=""),"",IF($L428&lt;&gt;"",$L428-$C428,TODAY()-$C428))</f>
        <v/>
      </c>
      <c r="N428" s="28">
        <f>IF(OR($A428="",$K428=""),"",IF($L428="",IF(TODAY()&gt;$K428,"Atrasado","En ruta"),IF($L428&lt;=$K428,"Sí","No")))</f>
        <v/>
      </c>
      <c r="O428" s="24">
        <f>IF($A428="","",COUNTIFS(NOVEDADES!$D$4:$D$1503,$A428))</f>
        <v/>
      </c>
      <c r="P428" s="28">
        <f>IF($A428="","",IF(COUNTIFS(NOVEDADES!$D$4:$D$1503,$A428,NOVEDADES!$O$4:$O$1503,"SÍ")&gt;0,"No","Sí"))</f>
        <v/>
      </c>
      <c r="Q428" s="28">
        <f>IF(OR($A428="",$L428=""),"",IF(AND($N428="Sí",$P428="Sí"),"OTIF","Falló"))</f>
        <v/>
      </c>
    </row>
    <row r="429" ht="16" customHeight="1">
      <c r="A429" s="48" t="n"/>
      <c r="B429" s="48" t="n"/>
      <c r="C429" s="47" t="n"/>
      <c r="D429" s="50" t="n"/>
      <c r="E429" s="50" t="n"/>
      <c r="F429" s="50" t="n"/>
      <c r="G429" s="50" t="n"/>
      <c r="H429" s="48" t="n"/>
      <c r="I429" s="51" t="n"/>
      <c r="J429" s="52" t="n"/>
      <c r="K429" s="47" t="n"/>
      <c r="L429" s="47" t="n"/>
      <c r="M429" s="24">
        <f>IF(OR($A429="",$C429=""),"",IF($L429&lt;&gt;"",$L429-$C429,TODAY()-$C429))</f>
        <v/>
      </c>
      <c r="N429" s="28">
        <f>IF(OR($A429="",$K429=""),"",IF($L429="",IF(TODAY()&gt;$K429,"Atrasado","En ruta"),IF($L429&lt;=$K429,"Sí","No")))</f>
        <v/>
      </c>
      <c r="O429" s="24">
        <f>IF($A429="","",COUNTIFS(NOVEDADES!$D$4:$D$1503,$A429))</f>
        <v/>
      </c>
      <c r="P429" s="28">
        <f>IF($A429="","",IF(COUNTIFS(NOVEDADES!$D$4:$D$1503,$A429,NOVEDADES!$O$4:$O$1503,"SÍ")&gt;0,"No","Sí"))</f>
        <v/>
      </c>
      <c r="Q429" s="28">
        <f>IF(OR($A429="",$L429=""),"",IF(AND($N429="Sí",$P429="Sí"),"OTIF","Falló"))</f>
        <v/>
      </c>
    </row>
    <row r="430" ht="16" customHeight="1">
      <c r="A430" s="48" t="n"/>
      <c r="B430" s="48" t="n"/>
      <c r="C430" s="47" t="n"/>
      <c r="D430" s="50" t="n"/>
      <c r="E430" s="50" t="n"/>
      <c r="F430" s="50" t="n"/>
      <c r="G430" s="50" t="n"/>
      <c r="H430" s="48" t="n"/>
      <c r="I430" s="51" t="n"/>
      <c r="J430" s="52" t="n"/>
      <c r="K430" s="47" t="n"/>
      <c r="L430" s="47" t="n"/>
      <c r="M430" s="24">
        <f>IF(OR($A430="",$C430=""),"",IF($L430&lt;&gt;"",$L430-$C430,TODAY()-$C430))</f>
        <v/>
      </c>
      <c r="N430" s="28">
        <f>IF(OR($A430="",$K430=""),"",IF($L430="",IF(TODAY()&gt;$K430,"Atrasado","En ruta"),IF($L430&lt;=$K430,"Sí","No")))</f>
        <v/>
      </c>
      <c r="O430" s="24">
        <f>IF($A430="","",COUNTIFS(NOVEDADES!$D$4:$D$1503,$A430))</f>
        <v/>
      </c>
      <c r="P430" s="28">
        <f>IF($A430="","",IF(COUNTIFS(NOVEDADES!$D$4:$D$1503,$A430,NOVEDADES!$O$4:$O$1503,"SÍ")&gt;0,"No","Sí"))</f>
        <v/>
      </c>
      <c r="Q430" s="28">
        <f>IF(OR($A430="",$L430=""),"",IF(AND($N430="Sí",$P430="Sí"),"OTIF","Falló"))</f>
        <v/>
      </c>
    </row>
    <row r="431" ht="16" customHeight="1">
      <c r="A431" s="48" t="n"/>
      <c r="B431" s="48" t="n"/>
      <c r="C431" s="47" t="n"/>
      <c r="D431" s="50" t="n"/>
      <c r="E431" s="50" t="n"/>
      <c r="F431" s="50" t="n"/>
      <c r="G431" s="50" t="n"/>
      <c r="H431" s="48" t="n"/>
      <c r="I431" s="51" t="n"/>
      <c r="J431" s="52" t="n"/>
      <c r="K431" s="47" t="n"/>
      <c r="L431" s="47" t="n"/>
      <c r="M431" s="24">
        <f>IF(OR($A431="",$C431=""),"",IF($L431&lt;&gt;"",$L431-$C431,TODAY()-$C431))</f>
        <v/>
      </c>
      <c r="N431" s="28">
        <f>IF(OR($A431="",$K431=""),"",IF($L431="",IF(TODAY()&gt;$K431,"Atrasado","En ruta"),IF($L431&lt;=$K431,"Sí","No")))</f>
        <v/>
      </c>
      <c r="O431" s="24">
        <f>IF($A431="","",COUNTIFS(NOVEDADES!$D$4:$D$1503,$A431))</f>
        <v/>
      </c>
      <c r="P431" s="28">
        <f>IF($A431="","",IF(COUNTIFS(NOVEDADES!$D$4:$D$1503,$A431,NOVEDADES!$O$4:$O$1503,"SÍ")&gt;0,"No","Sí"))</f>
        <v/>
      </c>
      <c r="Q431" s="28">
        <f>IF(OR($A431="",$L431=""),"",IF(AND($N431="Sí",$P431="Sí"),"OTIF","Falló"))</f>
        <v/>
      </c>
    </row>
    <row r="432" ht="16" customHeight="1">
      <c r="A432" s="48" t="n"/>
      <c r="B432" s="48" t="n"/>
      <c r="C432" s="47" t="n"/>
      <c r="D432" s="50" t="n"/>
      <c r="E432" s="50" t="n"/>
      <c r="F432" s="50" t="n"/>
      <c r="G432" s="50" t="n"/>
      <c r="H432" s="48" t="n"/>
      <c r="I432" s="51" t="n"/>
      <c r="J432" s="52" t="n"/>
      <c r="K432" s="47" t="n"/>
      <c r="L432" s="47" t="n"/>
      <c r="M432" s="24">
        <f>IF(OR($A432="",$C432=""),"",IF($L432&lt;&gt;"",$L432-$C432,TODAY()-$C432))</f>
        <v/>
      </c>
      <c r="N432" s="28">
        <f>IF(OR($A432="",$K432=""),"",IF($L432="",IF(TODAY()&gt;$K432,"Atrasado","En ruta"),IF($L432&lt;=$K432,"Sí","No")))</f>
        <v/>
      </c>
      <c r="O432" s="24">
        <f>IF($A432="","",COUNTIFS(NOVEDADES!$D$4:$D$1503,$A432))</f>
        <v/>
      </c>
      <c r="P432" s="28">
        <f>IF($A432="","",IF(COUNTIFS(NOVEDADES!$D$4:$D$1503,$A432,NOVEDADES!$O$4:$O$1503,"SÍ")&gt;0,"No","Sí"))</f>
        <v/>
      </c>
      <c r="Q432" s="28">
        <f>IF(OR($A432="",$L432=""),"",IF(AND($N432="Sí",$P432="Sí"),"OTIF","Falló"))</f>
        <v/>
      </c>
    </row>
    <row r="433" ht="16" customHeight="1">
      <c r="A433" s="48" t="n"/>
      <c r="B433" s="48" t="n"/>
      <c r="C433" s="47" t="n"/>
      <c r="D433" s="50" t="n"/>
      <c r="E433" s="50" t="n"/>
      <c r="F433" s="50" t="n"/>
      <c r="G433" s="50" t="n"/>
      <c r="H433" s="48" t="n"/>
      <c r="I433" s="51" t="n"/>
      <c r="J433" s="52" t="n"/>
      <c r="K433" s="47" t="n"/>
      <c r="L433" s="47" t="n"/>
      <c r="M433" s="24">
        <f>IF(OR($A433="",$C433=""),"",IF($L433&lt;&gt;"",$L433-$C433,TODAY()-$C433))</f>
        <v/>
      </c>
      <c r="N433" s="28">
        <f>IF(OR($A433="",$K433=""),"",IF($L433="",IF(TODAY()&gt;$K433,"Atrasado","En ruta"),IF($L433&lt;=$K433,"Sí","No")))</f>
        <v/>
      </c>
      <c r="O433" s="24">
        <f>IF($A433="","",COUNTIFS(NOVEDADES!$D$4:$D$1503,$A433))</f>
        <v/>
      </c>
      <c r="P433" s="28">
        <f>IF($A433="","",IF(COUNTIFS(NOVEDADES!$D$4:$D$1503,$A433,NOVEDADES!$O$4:$O$1503,"SÍ")&gt;0,"No","Sí"))</f>
        <v/>
      </c>
      <c r="Q433" s="28">
        <f>IF(OR($A433="",$L433=""),"",IF(AND($N433="Sí",$P433="Sí"),"OTIF","Falló"))</f>
        <v/>
      </c>
    </row>
    <row r="434" ht="16" customHeight="1">
      <c r="A434" s="48" t="n"/>
      <c r="B434" s="48" t="n"/>
      <c r="C434" s="47" t="n"/>
      <c r="D434" s="50" t="n"/>
      <c r="E434" s="50" t="n"/>
      <c r="F434" s="50" t="n"/>
      <c r="G434" s="50" t="n"/>
      <c r="H434" s="48" t="n"/>
      <c r="I434" s="51" t="n"/>
      <c r="J434" s="52" t="n"/>
      <c r="K434" s="47" t="n"/>
      <c r="L434" s="47" t="n"/>
      <c r="M434" s="24">
        <f>IF(OR($A434="",$C434=""),"",IF($L434&lt;&gt;"",$L434-$C434,TODAY()-$C434))</f>
        <v/>
      </c>
      <c r="N434" s="28">
        <f>IF(OR($A434="",$K434=""),"",IF($L434="",IF(TODAY()&gt;$K434,"Atrasado","En ruta"),IF($L434&lt;=$K434,"Sí","No")))</f>
        <v/>
      </c>
      <c r="O434" s="24">
        <f>IF($A434="","",COUNTIFS(NOVEDADES!$D$4:$D$1503,$A434))</f>
        <v/>
      </c>
      <c r="P434" s="28">
        <f>IF($A434="","",IF(COUNTIFS(NOVEDADES!$D$4:$D$1503,$A434,NOVEDADES!$O$4:$O$1503,"SÍ")&gt;0,"No","Sí"))</f>
        <v/>
      </c>
      <c r="Q434" s="28">
        <f>IF(OR($A434="",$L434=""),"",IF(AND($N434="Sí",$P434="Sí"),"OTIF","Falló"))</f>
        <v/>
      </c>
    </row>
    <row r="435" ht="16" customHeight="1">
      <c r="A435" s="48" t="n"/>
      <c r="B435" s="48" t="n"/>
      <c r="C435" s="47" t="n"/>
      <c r="D435" s="50" t="n"/>
      <c r="E435" s="50" t="n"/>
      <c r="F435" s="50" t="n"/>
      <c r="G435" s="50" t="n"/>
      <c r="H435" s="48" t="n"/>
      <c r="I435" s="51" t="n"/>
      <c r="J435" s="52" t="n"/>
      <c r="K435" s="47" t="n"/>
      <c r="L435" s="47" t="n"/>
      <c r="M435" s="24">
        <f>IF(OR($A435="",$C435=""),"",IF($L435&lt;&gt;"",$L435-$C435,TODAY()-$C435))</f>
        <v/>
      </c>
      <c r="N435" s="28">
        <f>IF(OR($A435="",$K435=""),"",IF($L435="",IF(TODAY()&gt;$K435,"Atrasado","En ruta"),IF($L435&lt;=$K435,"Sí","No")))</f>
        <v/>
      </c>
      <c r="O435" s="24">
        <f>IF($A435="","",COUNTIFS(NOVEDADES!$D$4:$D$1503,$A435))</f>
        <v/>
      </c>
      <c r="P435" s="28">
        <f>IF($A435="","",IF(COUNTIFS(NOVEDADES!$D$4:$D$1503,$A435,NOVEDADES!$O$4:$O$1503,"SÍ")&gt;0,"No","Sí"))</f>
        <v/>
      </c>
      <c r="Q435" s="28">
        <f>IF(OR($A435="",$L435=""),"",IF(AND($N435="Sí",$P435="Sí"),"OTIF","Falló"))</f>
        <v/>
      </c>
    </row>
    <row r="436" ht="16" customHeight="1">
      <c r="A436" s="48" t="n"/>
      <c r="B436" s="48" t="n"/>
      <c r="C436" s="47" t="n"/>
      <c r="D436" s="50" t="n"/>
      <c r="E436" s="50" t="n"/>
      <c r="F436" s="50" t="n"/>
      <c r="G436" s="50" t="n"/>
      <c r="H436" s="48" t="n"/>
      <c r="I436" s="51" t="n"/>
      <c r="J436" s="52" t="n"/>
      <c r="K436" s="47" t="n"/>
      <c r="L436" s="47" t="n"/>
      <c r="M436" s="24">
        <f>IF(OR($A436="",$C436=""),"",IF($L436&lt;&gt;"",$L436-$C436,TODAY()-$C436))</f>
        <v/>
      </c>
      <c r="N436" s="28">
        <f>IF(OR($A436="",$K436=""),"",IF($L436="",IF(TODAY()&gt;$K436,"Atrasado","En ruta"),IF($L436&lt;=$K436,"Sí","No")))</f>
        <v/>
      </c>
      <c r="O436" s="24">
        <f>IF($A436="","",COUNTIFS(NOVEDADES!$D$4:$D$1503,$A436))</f>
        <v/>
      </c>
      <c r="P436" s="28">
        <f>IF($A436="","",IF(COUNTIFS(NOVEDADES!$D$4:$D$1503,$A436,NOVEDADES!$O$4:$O$1503,"SÍ")&gt;0,"No","Sí"))</f>
        <v/>
      </c>
      <c r="Q436" s="28">
        <f>IF(OR($A436="",$L436=""),"",IF(AND($N436="Sí",$P436="Sí"),"OTIF","Falló"))</f>
        <v/>
      </c>
    </row>
    <row r="437" ht="16" customHeight="1">
      <c r="A437" s="48" t="n"/>
      <c r="B437" s="48" t="n"/>
      <c r="C437" s="47" t="n"/>
      <c r="D437" s="50" t="n"/>
      <c r="E437" s="50" t="n"/>
      <c r="F437" s="50" t="n"/>
      <c r="G437" s="50" t="n"/>
      <c r="H437" s="48" t="n"/>
      <c r="I437" s="51" t="n"/>
      <c r="J437" s="52" t="n"/>
      <c r="K437" s="47" t="n"/>
      <c r="L437" s="47" t="n"/>
      <c r="M437" s="24">
        <f>IF(OR($A437="",$C437=""),"",IF($L437&lt;&gt;"",$L437-$C437,TODAY()-$C437))</f>
        <v/>
      </c>
      <c r="N437" s="28">
        <f>IF(OR($A437="",$K437=""),"",IF($L437="",IF(TODAY()&gt;$K437,"Atrasado","En ruta"),IF($L437&lt;=$K437,"Sí","No")))</f>
        <v/>
      </c>
      <c r="O437" s="24">
        <f>IF($A437="","",COUNTIFS(NOVEDADES!$D$4:$D$1503,$A437))</f>
        <v/>
      </c>
      <c r="P437" s="28">
        <f>IF($A437="","",IF(COUNTIFS(NOVEDADES!$D$4:$D$1503,$A437,NOVEDADES!$O$4:$O$1503,"SÍ")&gt;0,"No","Sí"))</f>
        <v/>
      </c>
      <c r="Q437" s="28">
        <f>IF(OR($A437="",$L437=""),"",IF(AND($N437="Sí",$P437="Sí"),"OTIF","Falló"))</f>
        <v/>
      </c>
    </row>
    <row r="438" ht="16" customHeight="1">
      <c r="A438" s="48" t="n"/>
      <c r="B438" s="48" t="n"/>
      <c r="C438" s="47" t="n"/>
      <c r="D438" s="50" t="n"/>
      <c r="E438" s="50" t="n"/>
      <c r="F438" s="50" t="n"/>
      <c r="G438" s="50" t="n"/>
      <c r="H438" s="48" t="n"/>
      <c r="I438" s="51" t="n"/>
      <c r="J438" s="52" t="n"/>
      <c r="K438" s="47" t="n"/>
      <c r="L438" s="47" t="n"/>
      <c r="M438" s="24">
        <f>IF(OR($A438="",$C438=""),"",IF($L438&lt;&gt;"",$L438-$C438,TODAY()-$C438))</f>
        <v/>
      </c>
      <c r="N438" s="28">
        <f>IF(OR($A438="",$K438=""),"",IF($L438="",IF(TODAY()&gt;$K438,"Atrasado","En ruta"),IF($L438&lt;=$K438,"Sí","No")))</f>
        <v/>
      </c>
      <c r="O438" s="24">
        <f>IF($A438="","",COUNTIFS(NOVEDADES!$D$4:$D$1503,$A438))</f>
        <v/>
      </c>
      <c r="P438" s="28">
        <f>IF($A438="","",IF(COUNTIFS(NOVEDADES!$D$4:$D$1503,$A438,NOVEDADES!$O$4:$O$1503,"SÍ")&gt;0,"No","Sí"))</f>
        <v/>
      </c>
      <c r="Q438" s="28">
        <f>IF(OR($A438="",$L438=""),"",IF(AND($N438="Sí",$P438="Sí"),"OTIF","Falló"))</f>
        <v/>
      </c>
    </row>
    <row r="439" ht="16" customHeight="1">
      <c r="A439" s="48" t="n"/>
      <c r="B439" s="48" t="n"/>
      <c r="C439" s="47" t="n"/>
      <c r="D439" s="50" t="n"/>
      <c r="E439" s="50" t="n"/>
      <c r="F439" s="50" t="n"/>
      <c r="G439" s="50" t="n"/>
      <c r="H439" s="48" t="n"/>
      <c r="I439" s="51" t="n"/>
      <c r="J439" s="52" t="n"/>
      <c r="K439" s="47" t="n"/>
      <c r="L439" s="47" t="n"/>
      <c r="M439" s="24">
        <f>IF(OR($A439="",$C439=""),"",IF($L439&lt;&gt;"",$L439-$C439,TODAY()-$C439))</f>
        <v/>
      </c>
      <c r="N439" s="28">
        <f>IF(OR($A439="",$K439=""),"",IF($L439="",IF(TODAY()&gt;$K439,"Atrasado","En ruta"),IF($L439&lt;=$K439,"Sí","No")))</f>
        <v/>
      </c>
      <c r="O439" s="24">
        <f>IF($A439="","",COUNTIFS(NOVEDADES!$D$4:$D$1503,$A439))</f>
        <v/>
      </c>
      <c r="P439" s="28">
        <f>IF($A439="","",IF(COUNTIFS(NOVEDADES!$D$4:$D$1503,$A439,NOVEDADES!$O$4:$O$1503,"SÍ")&gt;0,"No","Sí"))</f>
        <v/>
      </c>
      <c r="Q439" s="28">
        <f>IF(OR($A439="",$L439=""),"",IF(AND($N439="Sí",$P439="Sí"),"OTIF","Falló"))</f>
        <v/>
      </c>
    </row>
    <row r="440" ht="16" customHeight="1">
      <c r="A440" s="48" t="n"/>
      <c r="B440" s="48" t="n"/>
      <c r="C440" s="47" t="n"/>
      <c r="D440" s="50" t="n"/>
      <c r="E440" s="50" t="n"/>
      <c r="F440" s="50" t="n"/>
      <c r="G440" s="50" t="n"/>
      <c r="H440" s="48" t="n"/>
      <c r="I440" s="51" t="n"/>
      <c r="J440" s="52" t="n"/>
      <c r="K440" s="47" t="n"/>
      <c r="L440" s="47" t="n"/>
      <c r="M440" s="24">
        <f>IF(OR($A440="",$C440=""),"",IF($L440&lt;&gt;"",$L440-$C440,TODAY()-$C440))</f>
        <v/>
      </c>
      <c r="N440" s="28">
        <f>IF(OR($A440="",$K440=""),"",IF($L440="",IF(TODAY()&gt;$K440,"Atrasado","En ruta"),IF($L440&lt;=$K440,"Sí","No")))</f>
        <v/>
      </c>
      <c r="O440" s="24">
        <f>IF($A440="","",COUNTIFS(NOVEDADES!$D$4:$D$1503,$A440))</f>
        <v/>
      </c>
      <c r="P440" s="28">
        <f>IF($A440="","",IF(COUNTIFS(NOVEDADES!$D$4:$D$1503,$A440,NOVEDADES!$O$4:$O$1503,"SÍ")&gt;0,"No","Sí"))</f>
        <v/>
      </c>
      <c r="Q440" s="28">
        <f>IF(OR($A440="",$L440=""),"",IF(AND($N440="Sí",$P440="Sí"),"OTIF","Falló"))</f>
        <v/>
      </c>
    </row>
    <row r="441" ht="16" customHeight="1">
      <c r="A441" s="48" t="n"/>
      <c r="B441" s="48" t="n"/>
      <c r="C441" s="47" t="n"/>
      <c r="D441" s="50" t="n"/>
      <c r="E441" s="50" t="n"/>
      <c r="F441" s="50" t="n"/>
      <c r="G441" s="50" t="n"/>
      <c r="H441" s="48" t="n"/>
      <c r="I441" s="51" t="n"/>
      <c r="J441" s="52" t="n"/>
      <c r="K441" s="47" t="n"/>
      <c r="L441" s="47" t="n"/>
      <c r="M441" s="24">
        <f>IF(OR($A441="",$C441=""),"",IF($L441&lt;&gt;"",$L441-$C441,TODAY()-$C441))</f>
        <v/>
      </c>
      <c r="N441" s="28">
        <f>IF(OR($A441="",$K441=""),"",IF($L441="",IF(TODAY()&gt;$K441,"Atrasado","En ruta"),IF($L441&lt;=$K441,"Sí","No")))</f>
        <v/>
      </c>
      <c r="O441" s="24">
        <f>IF($A441="","",COUNTIFS(NOVEDADES!$D$4:$D$1503,$A441))</f>
        <v/>
      </c>
      <c r="P441" s="28">
        <f>IF($A441="","",IF(COUNTIFS(NOVEDADES!$D$4:$D$1503,$A441,NOVEDADES!$O$4:$O$1503,"SÍ")&gt;0,"No","Sí"))</f>
        <v/>
      </c>
      <c r="Q441" s="28">
        <f>IF(OR($A441="",$L441=""),"",IF(AND($N441="Sí",$P441="Sí"),"OTIF","Falló"))</f>
        <v/>
      </c>
    </row>
    <row r="442" ht="16" customHeight="1">
      <c r="A442" s="48" t="n"/>
      <c r="B442" s="48" t="n"/>
      <c r="C442" s="47" t="n"/>
      <c r="D442" s="50" t="n"/>
      <c r="E442" s="50" t="n"/>
      <c r="F442" s="50" t="n"/>
      <c r="G442" s="50" t="n"/>
      <c r="H442" s="48" t="n"/>
      <c r="I442" s="51" t="n"/>
      <c r="J442" s="52" t="n"/>
      <c r="K442" s="47" t="n"/>
      <c r="L442" s="47" t="n"/>
      <c r="M442" s="24">
        <f>IF(OR($A442="",$C442=""),"",IF($L442&lt;&gt;"",$L442-$C442,TODAY()-$C442))</f>
        <v/>
      </c>
      <c r="N442" s="28">
        <f>IF(OR($A442="",$K442=""),"",IF($L442="",IF(TODAY()&gt;$K442,"Atrasado","En ruta"),IF($L442&lt;=$K442,"Sí","No")))</f>
        <v/>
      </c>
      <c r="O442" s="24">
        <f>IF($A442="","",COUNTIFS(NOVEDADES!$D$4:$D$1503,$A442))</f>
        <v/>
      </c>
      <c r="P442" s="28">
        <f>IF($A442="","",IF(COUNTIFS(NOVEDADES!$D$4:$D$1503,$A442,NOVEDADES!$O$4:$O$1503,"SÍ")&gt;0,"No","Sí"))</f>
        <v/>
      </c>
      <c r="Q442" s="28">
        <f>IF(OR($A442="",$L442=""),"",IF(AND($N442="Sí",$P442="Sí"),"OTIF","Falló"))</f>
        <v/>
      </c>
    </row>
    <row r="443" ht="16" customHeight="1">
      <c r="A443" s="48" t="n"/>
      <c r="B443" s="48" t="n"/>
      <c r="C443" s="47" t="n"/>
      <c r="D443" s="50" t="n"/>
      <c r="E443" s="50" t="n"/>
      <c r="F443" s="50" t="n"/>
      <c r="G443" s="50" t="n"/>
      <c r="H443" s="48" t="n"/>
      <c r="I443" s="51" t="n"/>
      <c r="J443" s="52" t="n"/>
      <c r="K443" s="47" t="n"/>
      <c r="L443" s="47" t="n"/>
      <c r="M443" s="24">
        <f>IF(OR($A443="",$C443=""),"",IF($L443&lt;&gt;"",$L443-$C443,TODAY()-$C443))</f>
        <v/>
      </c>
      <c r="N443" s="28">
        <f>IF(OR($A443="",$K443=""),"",IF($L443="",IF(TODAY()&gt;$K443,"Atrasado","En ruta"),IF($L443&lt;=$K443,"Sí","No")))</f>
        <v/>
      </c>
      <c r="O443" s="24">
        <f>IF($A443="","",COUNTIFS(NOVEDADES!$D$4:$D$1503,$A443))</f>
        <v/>
      </c>
      <c r="P443" s="28">
        <f>IF($A443="","",IF(COUNTIFS(NOVEDADES!$D$4:$D$1503,$A443,NOVEDADES!$O$4:$O$1503,"SÍ")&gt;0,"No","Sí"))</f>
        <v/>
      </c>
      <c r="Q443" s="28">
        <f>IF(OR($A443="",$L443=""),"",IF(AND($N443="Sí",$P443="Sí"),"OTIF","Falló"))</f>
        <v/>
      </c>
    </row>
    <row r="444" ht="16" customHeight="1">
      <c r="A444" s="48" t="n"/>
      <c r="B444" s="48" t="n"/>
      <c r="C444" s="47" t="n"/>
      <c r="D444" s="50" t="n"/>
      <c r="E444" s="50" t="n"/>
      <c r="F444" s="50" t="n"/>
      <c r="G444" s="50" t="n"/>
      <c r="H444" s="48" t="n"/>
      <c r="I444" s="51" t="n"/>
      <c r="J444" s="52" t="n"/>
      <c r="K444" s="47" t="n"/>
      <c r="L444" s="47" t="n"/>
      <c r="M444" s="24">
        <f>IF(OR($A444="",$C444=""),"",IF($L444&lt;&gt;"",$L444-$C444,TODAY()-$C444))</f>
        <v/>
      </c>
      <c r="N444" s="28">
        <f>IF(OR($A444="",$K444=""),"",IF($L444="",IF(TODAY()&gt;$K444,"Atrasado","En ruta"),IF($L444&lt;=$K444,"Sí","No")))</f>
        <v/>
      </c>
      <c r="O444" s="24">
        <f>IF($A444="","",COUNTIFS(NOVEDADES!$D$4:$D$1503,$A444))</f>
        <v/>
      </c>
      <c r="P444" s="28">
        <f>IF($A444="","",IF(COUNTIFS(NOVEDADES!$D$4:$D$1503,$A444,NOVEDADES!$O$4:$O$1503,"SÍ")&gt;0,"No","Sí"))</f>
        <v/>
      </c>
      <c r="Q444" s="28">
        <f>IF(OR($A444="",$L444=""),"",IF(AND($N444="Sí",$P444="Sí"),"OTIF","Falló"))</f>
        <v/>
      </c>
    </row>
    <row r="445" ht="16" customHeight="1">
      <c r="A445" s="48" t="n"/>
      <c r="B445" s="48" t="n"/>
      <c r="C445" s="47" t="n"/>
      <c r="D445" s="50" t="n"/>
      <c r="E445" s="50" t="n"/>
      <c r="F445" s="50" t="n"/>
      <c r="G445" s="50" t="n"/>
      <c r="H445" s="48" t="n"/>
      <c r="I445" s="51" t="n"/>
      <c r="J445" s="52" t="n"/>
      <c r="K445" s="47" t="n"/>
      <c r="L445" s="47" t="n"/>
      <c r="M445" s="24">
        <f>IF(OR($A445="",$C445=""),"",IF($L445&lt;&gt;"",$L445-$C445,TODAY()-$C445))</f>
        <v/>
      </c>
      <c r="N445" s="28">
        <f>IF(OR($A445="",$K445=""),"",IF($L445="",IF(TODAY()&gt;$K445,"Atrasado","En ruta"),IF($L445&lt;=$K445,"Sí","No")))</f>
        <v/>
      </c>
      <c r="O445" s="24">
        <f>IF($A445="","",COUNTIFS(NOVEDADES!$D$4:$D$1503,$A445))</f>
        <v/>
      </c>
      <c r="P445" s="28">
        <f>IF($A445="","",IF(COUNTIFS(NOVEDADES!$D$4:$D$1503,$A445,NOVEDADES!$O$4:$O$1503,"SÍ")&gt;0,"No","Sí"))</f>
        <v/>
      </c>
      <c r="Q445" s="28">
        <f>IF(OR($A445="",$L445=""),"",IF(AND($N445="Sí",$P445="Sí"),"OTIF","Falló"))</f>
        <v/>
      </c>
    </row>
    <row r="446" ht="16" customHeight="1">
      <c r="A446" s="48" t="n"/>
      <c r="B446" s="48" t="n"/>
      <c r="C446" s="47" t="n"/>
      <c r="D446" s="50" t="n"/>
      <c r="E446" s="50" t="n"/>
      <c r="F446" s="50" t="n"/>
      <c r="G446" s="50" t="n"/>
      <c r="H446" s="48" t="n"/>
      <c r="I446" s="51" t="n"/>
      <c r="J446" s="52" t="n"/>
      <c r="K446" s="47" t="n"/>
      <c r="L446" s="47" t="n"/>
      <c r="M446" s="24">
        <f>IF(OR($A446="",$C446=""),"",IF($L446&lt;&gt;"",$L446-$C446,TODAY()-$C446))</f>
        <v/>
      </c>
      <c r="N446" s="28">
        <f>IF(OR($A446="",$K446=""),"",IF($L446="",IF(TODAY()&gt;$K446,"Atrasado","En ruta"),IF($L446&lt;=$K446,"Sí","No")))</f>
        <v/>
      </c>
      <c r="O446" s="24">
        <f>IF($A446="","",COUNTIFS(NOVEDADES!$D$4:$D$1503,$A446))</f>
        <v/>
      </c>
      <c r="P446" s="28">
        <f>IF($A446="","",IF(COUNTIFS(NOVEDADES!$D$4:$D$1503,$A446,NOVEDADES!$O$4:$O$1503,"SÍ")&gt;0,"No","Sí"))</f>
        <v/>
      </c>
      <c r="Q446" s="28">
        <f>IF(OR($A446="",$L446=""),"",IF(AND($N446="Sí",$P446="Sí"),"OTIF","Falló"))</f>
        <v/>
      </c>
    </row>
    <row r="447" ht="16" customHeight="1">
      <c r="A447" s="48" t="n"/>
      <c r="B447" s="48" t="n"/>
      <c r="C447" s="47" t="n"/>
      <c r="D447" s="50" t="n"/>
      <c r="E447" s="50" t="n"/>
      <c r="F447" s="50" t="n"/>
      <c r="G447" s="50" t="n"/>
      <c r="H447" s="48" t="n"/>
      <c r="I447" s="51" t="n"/>
      <c r="J447" s="52" t="n"/>
      <c r="K447" s="47" t="n"/>
      <c r="L447" s="47" t="n"/>
      <c r="M447" s="24">
        <f>IF(OR($A447="",$C447=""),"",IF($L447&lt;&gt;"",$L447-$C447,TODAY()-$C447))</f>
        <v/>
      </c>
      <c r="N447" s="28">
        <f>IF(OR($A447="",$K447=""),"",IF($L447="",IF(TODAY()&gt;$K447,"Atrasado","En ruta"),IF($L447&lt;=$K447,"Sí","No")))</f>
        <v/>
      </c>
      <c r="O447" s="24">
        <f>IF($A447="","",COUNTIFS(NOVEDADES!$D$4:$D$1503,$A447))</f>
        <v/>
      </c>
      <c r="P447" s="28">
        <f>IF($A447="","",IF(COUNTIFS(NOVEDADES!$D$4:$D$1503,$A447,NOVEDADES!$O$4:$O$1503,"SÍ")&gt;0,"No","Sí"))</f>
        <v/>
      </c>
      <c r="Q447" s="28">
        <f>IF(OR($A447="",$L447=""),"",IF(AND($N447="Sí",$P447="Sí"),"OTIF","Falló"))</f>
        <v/>
      </c>
    </row>
    <row r="448" ht="16" customHeight="1">
      <c r="A448" s="48" t="n"/>
      <c r="B448" s="48" t="n"/>
      <c r="C448" s="47" t="n"/>
      <c r="D448" s="50" t="n"/>
      <c r="E448" s="50" t="n"/>
      <c r="F448" s="50" t="n"/>
      <c r="G448" s="50" t="n"/>
      <c r="H448" s="48" t="n"/>
      <c r="I448" s="51" t="n"/>
      <c r="J448" s="52" t="n"/>
      <c r="K448" s="47" t="n"/>
      <c r="L448" s="47" t="n"/>
      <c r="M448" s="24">
        <f>IF(OR($A448="",$C448=""),"",IF($L448&lt;&gt;"",$L448-$C448,TODAY()-$C448))</f>
        <v/>
      </c>
      <c r="N448" s="28">
        <f>IF(OR($A448="",$K448=""),"",IF($L448="",IF(TODAY()&gt;$K448,"Atrasado","En ruta"),IF($L448&lt;=$K448,"Sí","No")))</f>
        <v/>
      </c>
      <c r="O448" s="24">
        <f>IF($A448="","",COUNTIFS(NOVEDADES!$D$4:$D$1503,$A448))</f>
        <v/>
      </c>
      <c r="P448" s="28">
        <f>IF($A448="","",IF(COUNTIFS(NOVEDADES!$D$4:$D$1503,$A448,NOVEDADES!$O$4:$O$1503,"SÍ")&gt;0,"No","Sí"))</f>
        <v/>
      </c>
      <c r="Q448" s="28">
        <f>IF(OR($A448="",$L448=""),"",IF(AND($N448="Sí",$P448="Sí"),"OTIF","Falló"))</f>
        <v/>
      </c>
    </row>
    <row r="449" ht="16" customHeight="1">
      <c r="A449" s="48" t="n"/>
      <c r="B449" s="48" t="n"/>
      <c r="C449" s="47" t="n"/>
      <c r="D449" s="50" t="n"/>
      <c r="E449" s="50" t="n"/>
      <c r="F449" s="50" t="n"/>
      <c r="G449" s="50" t="n"/>
      <c r="H449" s="48" t="n"/>
      <c r="I449" s="51" t="n"/>
      <c r="J449" s="52" t="n"/>
      <c r="K449" s="47" t="n"/>
      <c r="L449" s="47" t="n"/>
      <c r="M449" s="24">
        <f>IF(OR($A449="",$C449=""),"",IF($L449&lt;&gt;"",$L449-$C449,TODAY()-$C449))</f>
        <v/>
      </c>
      <c r="N449" s="28">
        <f>IF(OR($A449="",$K449=""),"",IF($L449="",IF(TODAY()&gt;$K449,"Atrasado","En ruta"),IF($L449&lt;=$K449,"Sí","No")))</f>
        <v/>
      </c>
      <c r="O449" s="24">
        <f>IF($A449="","",COUNTIFS(NOVEDADES!$D$4:$D$1503,$A449))</f>
        <v/>
      </c>
      <c r="P449" s="28">
        <f>IF($A449="","",IF(COUNTIFS(NOVEDADES!$D$4:$D$1503,$A449,NOVEDADES!$O$4:$O$1503,"SÍ")&gt;0,"No","Sí"))</f>
        <v/>
      </c>
      <c r="Q449" s="28">
        <f>IF(OR($A449="",$L449=""),"",IF(AND($N449="Sí",$P449="Sí"),"OTIF","Falló"))</f>
        <v/>
      </c>
    </row>
    <row r="450" ht="16" customHeight="1">
      <c r="A450" s="48" t="n"/>
      <c r="B450" s="48" t="n"/>
      <c r="C450" s="47" t="n"/>
      <c r="D450" s="50" t="n"/>
      <c r="E450" s="50" t="n"/>
      <c r="F450" s="50" t="n"/>
      <c r="G450" s="50" t="n"/>
      <c r="H450" s="48" t="n"/>
      <c r="I450" s="51" t="n"/>
      <c r="J450" s="52" t="n"/>
      <c r="K450" s="47" t="n"/>
      <c r="L450" s="47" t="n"/>
      <c r="M450" s="24">
        <f>IF(OR($A450="",$C450=""),"",IF($L450&lt;&gt;"",$L450-$C450,TODAY()-$C450))</f>
        <v/>
      </c>
      <c r="N450" s="28">
        <f>IF(OR($A450="",$K450=""),"",IF($L450="",IF(TODAY()&gt;$K450,"Atrasado","En ruta"),IF($L450&lt;=$K450,"Sí","No")))</f>
        <v/>
      </c>
      <c r="O450" s="24">
        <f>IF($A450="","",COUNTIFS(NOVEDADES!$D$4:$D$1503,$A450))</f>
        <v/>
      </c>
      <c r="P450" s="28">
        <f>IF($A450="","",IF(COUNTIFS(NOVEDADES!$D$4:$D$1503,$A450,NOVEDADES!$O$4:$O$1503,"SÍ")&gt;0,"No","Sí"))</f>
        <v/>
      </c>
      <c r="Q450" s="28">
        <f>IF(OR($A450="",$L450=""),"",IF(AND($N450="Sí",$P450="Sí"),"OTIF","Falló"))</f>
        <v/>
      </c>
    </row>
    <row r="451" ht="16" customHeight="1">
      <c r="A451" s="48" t="n"/>
      <c r="B451" s="48" t="n"/>
      <c r="C451" s="47" t="n"/>
      <c r="D451" s="50" t="n"/>
      <c r="E451" s="50" t="n"/>
      <c r="F451" s="50" t="n"/>
      <c r="G451" s="50" t="n"/>
      <c r="H451" s="48" t="n"/>
      <c r="I451" s="51" t="n"/>
      <c r="J451" s="52" t="n"/>
      <c r="K451" s="47" t="n"/>
      <c r="L451" s="47" t="n"/>
      <c r="M451" s="24">
        <f>IF(OR($A451="",$C451=""),"",IF($L451&lt;&gt;"",$L451-$C451,TODAY()-$C451))</f>
        <v/>
      </c>
      <c r="N451" s="28">
        <f>IF(OR($A451="",$K451=""),"",IF($L451="",IF(TODAY()&gt;$K451,"Atrasado","En ruta"),IF($L451&lt;=$K451,"Sí","No")))</f>
        <v/>
      </c>
      <c r="O451" s="24">
        <f>IF($A451="","",COUNTIFS(NOVEDADES!$D$4:$D$1503,$A451))</f>
        <v/>
      </c>
      <c r="P451" s="28">
        <f>IF($A451="","",IF(COUNTIFS(NOVEDADES!$D$4:$D$1503,$A451,NOVEDADES!$O$4:$O$1503,"SÍ")&gt;0,"No","Sí"))</f>
        <v/>
      </c>
      <c r="Q451" s="28">
        <f>IF(OR($A451="",$L451=""),"",IF(AND($N451="Sí",$P451="Sí"),"OTIF","Falló"))</f>
        <v/>
      </c>
    </row>
    <row r="452" ht="16" customHeight="1">
      <c r="A452" s="48" t="n"/>
      <c r="B452" s="48" t="n"/>
      <c r="C452" s="47" t="n"/>
      <c r="D452" s="50" t="n"/>
      <c r="E452" s="50" t="n"/>
      <c r="F452" s="50" t="n"/>
      <c r="G452" s="50" t="n"/>
      <c r="H452" s="48" t="n"/>
      <c r="I452" s="51" t="n"/>
      <c r="J452" s="52" t="n"/>
      <c r="K452" s="47" t="n"/>
      <c r="L452" s="47" t="n"/>
      <c r="M452" s="24">
        <f>IF(OR($A452="",$C452=""),"",IF($L452&lt;&gt;"",$L452-$C452,TODAY()-$C452))</f>
        <v/>
      </c>
      <c r="N452" s="28">
        <f>IF(OR($A452="",$K452=""),"",IF($L452="",IF(TODAY()&gt;$K452,"Atrasado","En ruta"),IF($L452&lt;=$K452,"Sí","No")))</f>
        <v/>
      </c>
      <c r="O452" s="24">
        <f>IF($A452="","",COUNTIFS(NOVEDADES!$D$4:$D$1503,$A452))</f>
        <v/>
      </c>
      <c r="P452" s="28">
        <f>IF($A452="","",IF(COUNTIFS(NOVEDADES!$D$4:$D$1503,$A452,NOVEDADES!$O$4:$O$1503,"SÍ")&gt;0,"No","Sí"))</f>
        <v/>
      </c>
      <c r="Q452" s="28">
        <f>IF(OR($A452="",$L452=""),"",IF(AND($N452="Sí",$P452="Sí"),"OTIF","Falló"))</f>
        <v/>
      </c>
    </row>
    <row r="453" ht="16" customHeight="1">
      <c r="A453" s="48" t="n"/>
      <c r="B453" s="48" t="n"/>
      <c r="C453" s="47" t="n"/>
      <c r="D453" s="50" t="n"/>
      <c r="E453" s="50" t="n"/>
      <c r="F453" s="50" t="n"/>
      <c r="G453" s="50" t="n"/>
      <c r="H453" s="48" t="n"/>
      <c r="I453" s="51" t="n"/>
      <c r="J453" s="52" t="n"/>
      <c r="K453" s="47" t="n"/>
      <c r="L453" s="47" t="n"/>
      <c r="M453" s="24">
        <f>IF(OR($A453="",$C453=""),"",IF($L453&lt;&gt;"",$L453-$C453,TODAY()-$C453))</f>
        <v/>
      </c>
      <c r="N453" s="28">
        <f>IF(OR($A453="",$K453=""),"",IF($L453="",IF(TODAY()&gt;$K453,"Atrasado","En ruta"),IF($L453&lt;=$K453,"Sí","No")))</f>
        <v/>
      </c>
      <c r="O453" s="24">
        <f>IF($A453="","",COUNTIFS(NOVEDADES!$D$4:$D$1503,$A453))</f>
        <v/>
      </c>
      <c r="P453" s="28">
        <f>IF($A453="","",IF(COUNTIFS(NOVEDADES!$D$4:$D$1503,$A453,NOVEDADES!$O$4:$O$1503,"SÍ")&gt;0,"No","Sí"))</f>
        <v/>
      </c>
      <c r="Q453" s="28">
        <f>IF(OR($A453="",$L453=""),"",IF(AND($N453="Sí",$P453="Sí"),"OTIF","Falló"))</f>
        <v/>
      </c>
    </row>
    <row r="454" ht="16" customHeight="1">
      <c r="A454" s="48" t="n"/>
      <c r="B454" s="48" t="n"/>
      <c r="C454" s="47" t="n"/>
      <c r="D454" s="50" t="n"/>
      <c r="E454" s="50" t="n"/>
      <c r="F454" s="50" t="n"/>
      <c r="G454" s="50" t="n"/>
      <c r="H454" s="48" t="n"/>
      <c r="I454" s="51" t="n"/>
      <c r="J454" s="52" t="n"/>
      <c r="K454" s="47" t="n"/>
      <c r="L454" s="47" t="n"/>
      <c r="M454" s="24">
        <f>IF(OR($A454="",$C454=""),"",IF($L454&lt;&gt;"",$L454-$C454,TODAY()-$C454))</f>
        <v/>
      </c>
      <c r="N454" s="28">
        <f>IF(OR($A454="",$K454=""),"",IF($L454="",IF(TODAY()&gt;$K454,"Atrasado","En ruta"),IF($L454&lt;=$K454,"Sí","No")))</f>
        <v/>
      </c>
      <c r="O454" s="24">
        <f>IF($A454="","",COUNTIFS(NOVEDADES!$D$4:$D$1503,$A454))</f>
        <v/>
      </c>
      <c r="P454" s="28">
        <f>IF($A454="","",IF(COUNTIFS(NOVEDADES!$D$4:$D$1503,$A454,NOVEDADES!$O$4:$O$1503,"SÍ")&gt;0,"No","Sí"))</f>
        <v/>
      </c>
      <c r="Q454" s="28">
        <f>IF(OR($A454="",$L454=""),"",IF(AND($N454="Sí",$P454="Sí"),"OTIF","Falló"))</f>
        <v/>
      </c>
    </row>
    <row r="455" ht="16" customHeight="1">
      <c r="A455" s="48" t="n"/>
      <c r="B455" s="48" t="n"/>
      <c r="C455" s="47" t="n"/>
      <c r="D455" s="50" t="n"/>
      <c r="E455" s="50" t="n"/>
      <c r="F455" s="50" t="n"/>
      <c r="G455" s="50" t="n"/>
      <c r="H455" s="48" t="n"/>
      <c r="I455" s="51" t="n"/>
      <c r="J455" s="52" t="n"/>
      <c r="K455" s="47" t="n"/>
      <c r="L455" s="47" t="n"/>
      <c r="M455" s="24">
        <f>IF(OR($A455="",$C455=""),"",IF($L455&lt;&gt;"",$L455-$C455,TODAY()-$C455))</f>
        <v/>
      </c>
      <c r="N455" s="28">
        <f>IF(OR($A455="",$K455=""),"",IF($L455="",IF(TODAY()&gt;$K455,"Atrasado","En ruta"),IF($L455&lt;=$K455,"Sí","No")))</f>
        <v/>
      </c>
      <c r="O455" s="24">
        <f>IF($A455="","",COUNTIFS(NOVEDADES!$D$4:$D$1503,$A455))</f>
        <v/>
      </c>
      <c r="P455" s="28">
        <f>IF($A455="","",IF(COUNTIFS(NOVEDADES!$D$4:$D$1503,$A455,NOVEDADES!$O$4:$O$1503,"SÍ")&gt;0,"No","Sí"))</f>
        <v/>
      </c>
      <c r="Q455" s="28">
        <f>IF(OR($A455="",$L455=""),"",IF(AND($N455="Sí",$P455="Sí"),"OTIF","Falló"))</f>
        <v/>
      </c>
    </row>
    <row r="456" ht="16" customHeight="1">
      <c r="A456" s="48" t="n"/>
      <c r="B456" s="48" t="n"/>
      <c r="C456" s="47" t="n"/>
      <c r="D456" s="50" t="n"/>
      <c r="E456" s="50" t="n"/>
      <c r="F456" s="50" t="n"/>
      <c r="G456" s="50" t="n"/>
      <c r="H456" s="48" t="n"/>
      <c r="I456" s="51" t="n"/>
      <c r="J456" s="52" t="n"/>
      <c r="K456" s="47" t="n"/>
      <c r="L456" s="47" t="n"/>
      <c r="M456" s="24">
        <f>IF(OR($A456="",$C456=""),"",IF($L456&lt;&gt;"",$L456-$C456,TODAY()-$C456))</f>
        <v/>
      </c>
      <c r="N456" s="28">
        <f>IF(OR($A456="",$K456=""),"",IF($L456="",IF(TODAY()&gt;$K456,"Atrasado","En ruta"),IF($L456&lt;=$K456,"Sí","No")))</f>
        <v/>
      </c>
      <c r="O456" s="24">
        <f>IF($A456="","",COUNTIFS(NOVEDADES!$D$4:$D$1503,$A456))</f>
        <v/>
      </c>
      <c r="P456" s="28">
        <f>IF($A456="","",IF(COUNTIFS(NOVEDADES!$D$4:$D$1503,$A456,NOVEDADES!$O$4:$O$1503,"SÍ")&gt;0,"No","Sí"))</f>
        <v/>
      </c>
      <c r="Q456" s="28">
        <f>IF(OR($A456="",$L456=""),"",IF(AND($N456="Sí",$P456="Sí"),"OTIF","Falló"))</f>
        <v/>
      </c>
    </row>
    <row r="457" ht="16" customHeight="1">
      <c r="A457" s="48" t="n"/>
      <c r="B457" s="48" t="n"/>
      <c r="C457" s="47" t="n"/>
      <c r="D457" s="50" t="n"/>
      <c r="E457" s="50" t="n"/>
      <c r="F457" s="50" t="n"/>
      <c r="G457" s="50" t="n"/>
      <c r="H457" s="48" t="n"/>
      <c r="I457" s="51" t="n"/>
      <c r="J457" s="52" t="n"/>
      <c r="K457" s="47" t="n"/>
      <c r="L457" s="47" t="n"/>
      <c r="M457" s="24">
        <f>IF(OR($A457="",$C457=""),"",IF($L457&lt;&gt;"",$L457-$C457,TODAY()-$C457))</f>
        <v/>
      </c>
      <c r="N457" s="28">
        <f>IF(OR($A457="",$K457=""),"",IF($L457="",IF(TODAY()&gt;$K457,"Atrasado","En ruta"),IF($L457&lt;=$K457,"Sí","No")))</f>
        <v/>
      </c>
      <c r="O457" s="24">
        <f>IF($A457="","",COUNTIFS(NOVEDADES!$D$4:$D$1503,$A457))</f>
        <v/>
      </c>
      <c r="P457" s="28">
        <f>IF($A457="","",IF(COUNTIFS(NOVEDADES!$D$4:$D$1503,$A457,NOVEDADES!$O$4:$O$1503,"SÍ")&gt;0,"No","Sí"))</f>
        <v/>
      </c>
      <c r="Q457" s="28">
        <f>IF(OR($A457="",$L457=""),"",IF(AND($N457="Sí",$P457="Sí"),"OTIF","Falló"))</f>
        <v/>
      </c>
    </row>
    <row r="458" ht="16" customHeight="1">
      <c r="A458" s="48" t="n"/>
      <c r="B458" s="48" t="n"/>
      <c r="C458" s="47" t="n"/>
      <c r="D458" s="50" t="n"/>
      <c r="E458" s="50" t="n"/>
      <c r="F458" s="50" t="n"/>
      <c r="G458" s="50" t="n"/>
      <c r="H458" s="48" t="n"/>
      <c r="I458" s="51" t="n"/>
      <c r="J458" s="52" t="n"/>
      <c r="K458" s="47" t="n"/>
      <c r="L458" s="47" t="n"/>
      <c r="M458" s="24">
        <f>IF(OR($A458="",$C458=""),"",IF($L458&lt;&gt;"",$L458-$C458,TODAY()-$C458))</f>
        <v/>
      </c>
      <c r="N458" s="28">
        <f>IF(OR($A458="",$K458=""),"",IF($L458="",IF(TODAY()&gt;$K458,"Atrasado","En ruta"),IF($L458&lt;=$K458,"Sí","No")))</f>
        <v/>
      </c>
      <c r="O458" s="24">
        <f>IF($A458="","",COUNTIFS(NOVEDADES!$D$4:$D$1503,$A458))</f>
        <v/>
      </c>
      <c r="P458" s="28">
        <f>IF($A458="","",IF(COUNTIFS(NOVEDADES!$D$4:$D$1503,$A458,NOVEDADES!$O$4:$O$1503,"SÍ")&gt;0,"No","Sí"))</f>
        <v/>
      </c>
      <c r="Q458" s="28">
        <f>IF(OR($A458="",$L458=""),"",IF(AND($N458="Sí",$P458="Sí"),"OTIF","Falló"))</f>
        <v/>
      </c>
    </row>
    <row r="459" ht="16" customHeight="1">
      <c r="A459" s="48" t="n"/>
      <c r="B459" s="48" t="n"/>
      <c r="C459" s="47" t="n"/>
      <c r="D459" s="50" t="n"/>
      <c r="E459" s="50" t="n"/>
      <c r="F459" s="50" t="n"/>
      <c r="G459" s="50" t="n"/>
      <c r="H459" s="48" t="n"/>
      <c r="I459" s="51" t="n"/>
      <c r="J459" s="52" t="n"/>
      <c r="K459" s="47" t="n"/>
      <c r="L459" s="47" t="n"/>
      <c r="M459" s="24">
        <f>IF(OR($A459="",$C459=""),"",IF($L459&lt;&gt;"",$L459-$C459,TODAY()-$C459))</f>
        <v/>
      </c>
      <c r="N459" s="28">
        <f>IF(OR($A459="",$K459=""),"",IF($L459="",IF(TODAY()&gt;$K459,"Atrasado","En ruta"),IF($L459&lt;=$K459,"Sí","No")))</f>
        <v/>
      </c>
      <c r="O459" s="24">
        <f>IF($A459="","",COUNTIFS(NOVEDADES!$D$4:$D$1503,$A459))</f>
        <v/>
      </c>
      <c r="P459" s="28">
        <f>IF($A459="","",IF(COUNTIFS(NOVEDADES!$D$4:$D$1503,$A459,NOVEDADES!$O$4:$O$1503,"SÍ")&gt;0,"No","Sí"))</f>
        <v/>
      </c>
      <c r="Q459" s="28">
        <f>IF(OR($A459="",$L459=""),"",IF(AND($N459="Sí",$P459="Sí"),"OTIF","Falló"))</f>
        <v/>
      </c>
    </row>
    <row r="460" ht="16" customHeight="1">
      <c r="A460" s="48" t="n"/>
      <c r="B460" s="48" t="n"/>
      <c r="C460" s="47" t="n"/>
      <c r="D460" s="50" t="n"/>
      <c r="E460" s="50" t="n"/>
      <c r="F460" s="50" t="n"/>
      <c r="G460" s="50" t="n"/>
      <c r="H460" s="48" t="n"/>
      <c r="I460" s="51" t="n"/>
      <c r="J460" s="52" t="n"/>
      <c r="K460" s="47" t="n"/>
      <c r="L460" s="47" t="n"/>
      <c r="M460" s="24">
        <f>IF(OR($A460="",$C460=""),"",IF($L460&lt;&gt;"",$L460-$C460,TODAY()-$C460))</f>
        <v/>
      </c>
      <c r="N460" s="28">
        <f>IF(OR($A460="",$K460=""),"",IF($L460="",IF(TODAY()&gt;$K460,"Atrasado","En ruta"),IF($L460&lt;=$K460,"Sí","No")))</f>
        <v/>
      </c>
      <c r="O460" s="24">
        <f>IF($A460="","",COUNTIFS(NOVEDADES!$D$4:$D$1503,$A460))</f>
        <v/>
      </c>
      <c r="P460" s="28">
        <f>IF($A460="","",IF(COUNTIFS(NOVEDADES!$D$4:$D$1503,$A460,NOVEDADES!$O$4:$O$1503,"SÍ")&gt;0,"No","Sí"))</f>
        <v/>
      </c>
      <c r="Q460" s="28">
        <f>IF(OR($A460="",$L460=""),"",IF(AND($N460="Sí",$P460="Sí"),"OTIF","Falló"))</f>
        <v/>
      </c>
    </row>
    <row r="461" ht="16" customHeight="1">
      <c r="A461" s="48" t="n"/>
      <c r="B461" s="48" t="n"/>
      <c r="C461" s="47" t="n"/>
      <c r="D461" s="50" t="n"/>
      <c r="E461" s="50" t="n"/>
      <c r="F461" s="50" t="n"/>
      <c r="G461" s="50" t="n"/>
      <c r="H461" s="48" t="n"/>
      <c r="I461" s="51" t="n"/>
      <c r="J461" s="52" t="n"/>
      <c r="K461" s="47" t="n"/>
      <c r="L461" s="47" t="n"/>
      <c r="M461" s="24">
        <f>IF(OR($A461="",$C461=""),"",IF($L461&lt;&gt;"",$L461-$C461,TODAY()-$C461))</f>
        <v/>
      </c>
      <c r="N461" s="28">
        <f>IF(OR($A461="",$K461=""),"",IF($L461="",IF(TODAY()&gt;$K461,"Atrasado","En ruta"),IF($L461&lt;=$K461,"Sí","No")))</f>
        <v/>
      </c>
      <c r="O461" s="24">
        <f>IF($A461="","",COUNTIFS(NOVEDADES!$D$4:$D$1503,$A461))</f>
        <v/>
      </c>
      <c r="P461" s="28">
        <f>IF($A461="","",IF(COUNTIFS(NOVEDADES!$D$4:$D$1503,$A461,NOVEDADES!$O$4:$O$1503,"SÍ")&gt;0,"No","Sí"))</f>
        <v/>
      </c>
      <c r="Q461" s="28">
        <f>IF(OR($A461="",$L461=""),"",IF(AND($N461="Sí",$P461="Sí"),"OTIF","Falló"))</f>
        <v/>
      </c>
    </row>
    <row r="462" ht="16" customHeight="1">
      <c r="A462" s="48" t="n"/>
      <c r="B462" s="48" t="n"/>
      <c r="C462" s="47" t="n"/>
      <c r="D462" s="50" t="n"/>
      <c r="E462" s="50" t="n"/>
      <c r="F462" s="50" t="n"/>
      <c r="G462" s="50" t="n"/>
      <c r="H462" s="48" t="n"/>
      <c r="I462" s="51" t="n"/>
      <c r="J462" s="52" t="n"/>
      <c r="K462" s="47" t="n"/>
      <c r="L462" s="47" t="n"/>
      <c r="M462" s="24">
        <f>IF(OR($A462="",$C462=""),"",IF($L462&lt;&gt;"",$L462-$C462,TODAY()-$C462))</f>
        <v/>
      </c>
      <c r="N462" s="28">
        <f>IF(OR($A462="",$K462=""),"",IF($L462="",IF(TODAY()&gt;$K462,"Atrasado","En ruta"),IF($L462&lt;=$K462,"Sí","No")))</f>
        <v/>
      </c>
      <c r="O462" s="24">
        <f>IF($A462="","",COUNTIFS(NOVEDADES!$D$4:$D$1503,$A462))</f>
        <v/>
      </c>
      <c r="P462" s="28">
        <f>IF($A462="","",IF(COUNTIFS(NOVEDADES!$D$4:$D$1503,$A462,NOVEDADES!$O$4:$O$1503,"SÍ")&gt;0,"No","Sí"))</f>
        <v/>
      </c>
      <c r="Q462" s="28">
        <f>IF(OR($A462="",$L462=""),"",IF(AND($N462="Sí",$P462="Sí"),"OTIF","Falló"))</f>
        <v/>
      </c>
    </row>
    <row r="463" ht="16" customHeight="1">
      <c r="A463" s="48" t="n"/>
      <c r="B463" s="48" t="n"/>
      <c r="C463" s="47" t="n"/>
      <c r="D463" s="50" t="n"/>
      <c r="E463" s="50" t="n"/>
      <c r="F463" s="50" t="n"/>
      <c r="G463" s="50" t="n"/>
      <c r="H463" s="48" t="n"/>
      <c r="I463" s="51" t="n"/>
      <c r="J463" s="52" t="n"/>
      <c r="K463" s="47" t="n"/>
      <c r="L463" s="47" t="n"/>
      <c r="M463" s="24">
        <f>IF(OR($A463="",$C463=""),"",IF($L463&lt;&gt;"",$L463-$C463,TODAY()-$C463))</f>
        <v/>
      </c>
      <c r="N463" s="28">
        <f>IF(OR($A463="",$K463=""),"",IF($L463="",IF(TODAY()&gt;$K463,"Atrasado","En ruta"),IF($L463&lt;=$K463,"Sí","No")))</f>
        <v/>
      </c>
      <c r="O463" s="24">
        <f>IF($A463="","",COUNTIFS(NOVEDADES!$D$4:$D$1503,$A463))</f>
        <v/>
      </c>
      <c r="P463" s="28">
        <f>IF($A463="","",IF(COUNTIFS(NOVEDADES!$D$4:$D$1503,$A463,NOVEDADES!$O$4:$O$1503,"SÍ")&gt;0,"No","Sí"))</f>
        <v/>
      </c>
      <c r="Q463" s="28">
        <f>IF(OR($A463="",$L463=""),"",IF(AND($N463="Sí",$P463="Sí"),"OTIF","Falló"))</f>
        <v/>
      </c>
    </row>
    <row r="464" ht="16" customHeight="1">
      <c r="A464" s="48" t="n"/>
      <c r="B464" s="48" t="n"/>
      <c r="C464" s="47" t="n"/>
      <c r="D464" s="50" t="n"/>
      <c r="E464" s="50" t="n"/>
      <c r="F464" s="50" t="n"/>
      <c r="G464" s="50" t="n"/>
      <c r="H464" s="48" t="n"/>
      <c r="I464" s="51" t="n"/>
      <c r="J464" s="52" t="n"/>
      <c r="K464" s="47" t="n"/>
      <c r="L464" s="47" t="n"/>
      <c r="M464" s="24">
        <f>IF(OR($A464="",$C464=""),"",IF($L464&lt;&gt;"",$L464-$C464,TODAY()-$C464))</f>
        <v/>
      </c>
      <c r="N464" s="28">
        <f>IF(OR($A464="",$K464=""),"",IF($L464="",IF(TODAY()&gt;$K464,"Atrasado","En ruta"),IF($L464&lt;=$K464,"Sí","No")))</f>
        <v/>
      </c>
      <c r="O464" s="24">
        <f>IF($A464="","",COUNTIFS(NOVEDADES!$D$4:$D$1503,$A464))</f>
        <v/>
      </c>
      <c r="P464" s="28">
        <f>IF($A464="","",IF(COUNTIFS(NOVEDADES!$D$4:$D$1503,$A464,NOVEDADES!$O$4:$O$1503,"SÍ")&gt;0,"No","Sí"))</f>
        <v/>
      </c>
      <c r="Q464" s="28">
        <f>IF(OR($A464="",$L464=""),"",IF(AND($N464="Sí",$P464="Sí"),"OTIF","Falló"))</f>
        <v/>
      </c>
    </row>
    <row r="465" ht="16" customHeight="1">
      <c r="A465" s="48" t="n"/>
      <c r="B465" s="48" t="n"/>
      <c r="C465" s="47" t="n"/>
      <c r="D465" s="50" t="n"/>
      <c r="E465" s="50" t="n"/>
      <c r="F465" s="50" t="n"/>
      <c r="G465" s="50" t="n"/>
      <c r="H465" s="48" t="n"/>
      <c r="I465" s="51" t="n"/>
      <c r="J465" s="52" t="n"/>
      <c r="K465" s="47" t="n"/>
      <c r="L465" s="47" t="n"/>
      <c r="M465" s="24">
        <f>IF(OR($A465="",$C465=""),"",IF($L465&lt;&gt;"",$L465-$C465,TODAY()-$C465))</f>
        <v/>
      </c>
      <c r="N465" s="28">
        <f>IF(OR($A465="",$K465=""),"",IF($L465="",IF(TODAY()&gt;$K465,"Atrasado","En ruta"),IF($L465&lt;=$K465,"Sí","No")))</f>
        <v/>
      </c>
      <c r="O465" s="24">
        <f>IF($A465="","",COUNTIFS(NOVEDADES!$D$4:$D$1503,$A465))</f>
        <v/>
      </c>
      <c r="P465" s="28">
        <f>IF($A465="","",IF(COUNTIFS(NOVEDADES!$D$4:$D$1503,$A465,NOVEDADES!$O$4:$O$1503,"SÍ")&gt;0,"No","Sí"))</f>
        <v/>
      </c>
      <c r="Q465" s="28">
        <f>IF(OR($A465="",$L465=""),"",IF(AND($N465="Sí",$P465="Sí"),"OTIF","Falló"))</f>
        <v/>
      </c>
    </row>
    <row r="466" ht="16" customHeight="1">
      <c r="A466" s="48" t="n"/>
      <c r="B466" s="48" t="n"/>
      <c r="C466" s="47" t="n"/>
      <c r="D466" s="50" t="n"/>
      <c r="E466" s="50" t="n"/>
      <c r="F466" s="50" t="n"/>
      <c r="G466" s="50" t="n"/>
      <c r="H466" s="48" t="n"/>
      <c r="I466" s="51" t="n"/>
      <c r="J466" s="52" t="n"/>
      <c r="K466" s="47" t="n"/>
      <c r="L466" s="47" t="n"/>
      <c r="M466" s="24">
        <f>IF(OR($A466="",$C466=""),"",IF($L466&lt;&gt;"",$L466-$C466,TODAY()-$C466))</f>
        <v/>
      </c>
      <c r="N466" s="28">
        <f>IF(OR($A466="",$K466=""),"",IF($L466="",IF(TODAY()&gt;$K466,"Atrasado","En ruta"),IF($L466&lt;=$K466,"Sí","No")))</f>
        <v/>
      </c>
      <c r="O466" s="24">
        <f>IF($A466="","",COUNTIFS(NOVEDADES!$D$4:$D$1503,$A466))</f>
        <v/>
      </c>
      <c r="P466" s="28">
        <f>IF($A466="","",IF(COUNTIFS(NOVEDADES!$D$4:$D$1503,$A466,NOVEDADES!$O$4:$O$1503,"SÍ")&gt;0,"No","Sí"))</f>
        <v/>
      </c>
      <c r="Q466" s="28">
        <f>IF(OR($A466="",$L466=""),"",IF(AND($N466="Sí",$P466="Sí"),"OTIF","Falló"))</f>
        <v/>
      </c>
    </row>
    <row r="467" ht="16" customHeight="1">
      <c r="A467" s="48" t="n"/>
      <c r="B467" s="48" t="n"/>
      <c r="C467" s="47" t="n"/>
      <c r="D467" s="50" t="n"/>
      <c r="E467" s="50" t="n"/>
      <c r="F467" s="50" t="n"/>
      <c r="G467" s="50" t="n"/>
      <c r="H467" s="48" t="n"/>
      <c r="I467" s="51" t="n"/>
      <c r="J467" s="52" t="n"/>
      <c r="K467" s="47" t="n"/>
      <c r="L467" s="47" t="n"/>
      <c r="M467" s="24">
        <f>IF(OR($A467="",$C467=""),"",IF($L467&lt;&gt;"",$L467-$C467,TODAY()-$C467))</f>
        <v/>
      </c>
      <c r="N467" s="28">
        <f>IF(OR($A467="",$K467=""),"",IF($L467="",IF(TODAY()&gt;$K467,"Atrasado","En ruta"),IF($L467&lt;=$K467,"Sí","No")))</f>
        <v/>
      </c>
      <c r="O467" s="24">
        <f>IF($A467="","",COUNTIFS(NOVEDADES!$D$4:$D$1503,$A467))</f>
        <v/>
      </c>
      <c r="P467" s="28">
        <f>IF($A467="","",IF(COUNTIFS(NOVEDADES!$D$4:$D$1503,$A467,NOVEDADES!$O$4:$O$1503,"SÍ")&gt;0,"No","Sí"))</f>
        <v/>
      </c>
      <c r="Q467" s="28">
        <f>IF(OR($A467="",$L467=""),"",IF(AND($N467="Sí",$P467="Sí"),"OTIF","Falló"))</f>
        <v/>
      </c>
    </row>
    <row r="468" ht="16" customHeight="1">
      <c r="A468" s="48" t="n"/>
      <c r="B468" s="48" t="n"/>
      <c r="C468" s="47" t="n"/>
      <c r="D468" s="50" t="n"/>
      <c r="E468" s="50" t="n"/>
      <c r="F468" s="50" t="n"/>
      <c r="G468" s="50" t="n"/>
      <c r="H468" s="48" t="n"/>
      <c r="I468" s="51" t="n"/>
      <c r="J468" s="52" t="n"/>
      <c r="K468" s="47" t="n"/>
      <c r="L468" s="47" t="n"/>
      <c r="M468" s="24">
        <f>IF(OR($A468="",$C468=""),"",IF($L468&lt;&gt;"",$L468-$C468,TODAY()-$C468))</f>
        <v/>
      </c>
      <c r="N468" s="28">
        <f>IF(OR($A468="",$K468=""),"",IF($L468="",IF(TODAY()&gt;$K468,"Atrasado","En ruta"),IF($L468&lt;=$K468,"Sí","No")))</f>
        <v/>
      </c>
      <c r="O468" s="24">
        <f>IF($A468="","",COUNTIFS(NOVEDADES!$D$4:$D$1503,$A468))</f>
        <v/>
      </c>
      <c r="P468" s="28">
        <f>IF($A468="","",IF(COUNTIFS(NOVEDADES!$D$4:$D$1503,$A468,NOVEDADES!$O$4:$O$1503,"SÍ")&gt;0,"No","Sí"))</f>
        <v/>
      </c>
      <c r="Q468" s="28">
        <f>IF(OR($A468="",$L468=""),"",IF(AND($N468="Sí",$P468="Sí"),"OTIF","Falló"))</f>
        <v/>
      </c>
    </row>
    <row r="469" ht="16" customHeight="1">
      <c r="A469" s="48" t="n"/>
      <c r="B469" s="48" t="n"/>
      <c r="C469" s="47" t="n"/>
      <c r="D469" s="50" t="n"/>
      <c r="E469" s="50" t="n"/>
      <c r="F469" s="50" t="n"/>
      <c r="G469" s="50" t="n"/>
      <c r="H469" s="48" t="n"/>
      <c r="I469" s="51" t="n"/>
      <c r="J469" s="52" t="n"/>
      <c r="K469" s="47" t="n"/>
      <c r="L469" s="47" t="n"/>
      <c r="M469" s="24">
        <f>IF(OR($A469="",$C469=""),"",IF($L469&lt;&gt;"",$L469-$C469,TODAY()-$C469))</f>
        <v/>
      </c>
      <c r="N469" s="28">
        <f>IF(OR($A469="",$K469=""),"",IF($L469="",IF(TODAY()&gt;$K469,"Atrasado","En ruta"),IF($L469&lt;=$K469,"Sí","No")))</f>
        <v/>
      </c>
      <c r="O469" s="24">
        <f>IF($A469="","",COUNTIFS(NOVEDADES!$D$4:$D$1503,$A469))</f>
        <v/>
      </c>
      <c r="P469" s="28">
        <f>IF($A469="","",IF(COUNTIFS(NOVEDADES!$D$4:$D$1503,$A469,NOVEDADES!$O$4:$O$1503,"SÍ")&gt;0,"No","Sí"))</f>
        <v/>
      </c>
      <c r="Q469" s="28">
        <f>IF(OR($A469="",$L469=""),"",IF(AND($N469="Sí",$P469="Sí"),"OTIF","Falló"))</f>
        <v/>
      </c>
    </row>
    <row r="470" ht="16" customHeight="1">
      <c r="A470" s="48" t="n"/>
      <c r="B470" s="48" t="n"/>
      <c r="C470" s="47" t="n"/>
      <c r="D470" s="50" t="n"/>
      <c r="E470" s="50" t="n"/>
      <c r="F470" s="50" t="n"/>
      <c r="G470" s="50" t="n"/>
      <c r="H470" s="48" t="n"/>
      <c r="I470" s="51" t="n"/>
      <c r="J470" s="52" t="n"/>
      <c r="K470" s="47" t="n"/>
      <c r="L470" s="47" t="n"/>
      <c r="M470" s="24">
        <f>IF(OR($A470="",$C470=""),"",IF($L470&lt;&gt;"",$L470-$C470,TODAY()-$C470))</f>
        <v/>
      </c>
      <c r="N470" s="28">
        <f>IF(OR($A470="",$K470=""),"",IF($L470="",IF(TODAY()&gt;$K470,"Atrasado","En ruta"),IF($L470&lt;=$K470,"Sí","No")))</f>
        <v/>
      </c>
      <c r="O470" s="24">
        <f>IF($A470="","",COUNTIFS(NOVEDADES!$D$4:$D$1503,$A470))</f>
        <v/>
      </c>
      <c r="P470" s="28">
        <f>IF($A470="","",IF(COUNTIFS(NOVEDADES!$D$4:$D$1503,$A470,NOVEDADES!$O$4:$O$1503,"SÍ")&gt;0,"No","Sí"))</f>
        <v/>
      </c>
      <c r="Q470" s="28">
        <f>IF(OR($A470="",$L470=""),"",IF(AND($N470="Sí",$P470="Sí"),"OTIF","Falló"))</f>
        <v/>
      </c>
    </row>
    <row r="471" ht="16" customHeight="1">
      <c r="A471" s="48" t="n"/>
      <c r="B471" s="48" t="n"/>
      <c r="C471" s="47" t="n"/>
      <c r="D471" s="50" t="n"/>
      <c r="E471" s="50" t="n"/>
      <c r="F471" s="50" t="n"/>
      <c r="G471" s="50" t="n"/>
      <c r="H471" s="48" t="n"/>
      <c r="I471" s="51" t="n"/>
      <c r="J471" s="52" t="n"/>
      <c r="K471" s="47" t="n"/>
      <c r="L471" s="47" t="n"/>
      <c r="M471" s="24">
        <f>IF(OR($A471="",$C471=""),"",IF($L471&lt;&gt;"",$L471-$C471,TODAY()-$C471))</f>
        <v/>
      </c>
      <c r="N471" s="28">
        <f>IF(OR($A471="",$K471=""),"",IF($L471="",IF(TODAY()&gt;$K471,"Atrasado","En ruta"),IF($L471&lt;=$K471,"Sí","No")))</f>
        <v/>
      </c>
      <c r="O471" s="24">
        <f>IF($A471="","",COUNTIFS(NOVEDADES!$D$4:$D$1503,$A471))</f>
        <v/>
      </c>
      <c r="P471" s="28">
        <f>IF($A471="","",IF(COUNTIFS(NOVEDADES!$D$4:$D$1503,$A471,NOVEDADES!$O$4:$O$1503,"SÍ")&gt;0,"No","Sí"))</f>
        <v/>
      </c>
      <c r="Q471" s="28">
        <f>IF(OR($A471="",$L471=""),"",IF(AND($N471="Sí",$P471="Sí"),"OTIF","Falló"))</f>
        <v/>
      </c>
    </row>
    <row r="472" ht="16" customHeight="1">
      <c r="A472" s="48" t="n"/>
      <c r="B472" s="48" t="n"/>
      <c r="C472" s="47" t="n"/>
      <c r="D472" s="50" t="n"/>
      <c r="E472" s="50" t="n"/>
      <c r="F472" s="50" t="n"/>
      <c r="G472" s="50" t="n"/>
      <c r="H472" s="48" t="n"/>
      <c r="I472" s="51" t="n"/>
      <c r="J472" s="52" t="n"/>
      <c r="K472" s="47" t="n"/>
      <c r="L472" s="47" t="n"/>
      <c r="M472" s="24">
        <f>IF(OR($A472="",$C472=""),"",IF($L472&lt;&gt;"",$L472-$C472,TODAY()-$C472))</f>
        <v/>
      </c>
      <c r="N472" s="28">
        <f>IF(OR($A472="",$K472=""),"",IF($L472="",IF(TODAY()&gt;$K472,"Atrasado","En ruta"),IF($L472&lt;=$K472,"Sí","No")))</f>
        <v/>
      </c>
      <c r="O472" s="24">
        <f>IF($A472="","",COUNTIFS(NOVEDADES!$D$4:$D$1503,$A472))</f>
        <v/>
      </c>
      <c r="P472" s="28">
        <f>IF($A472="","",IF(COUNTIFS(NOVEDADES!$D$4:$D$1503,$A472,NOVEDADES!$O$4:$O$1503,"SÍ")&gt;0,"No","Sí"))</f>
        <v/>
      </c>
      <c r="Q472" s="28">
        <f>IF(OR($A472="",$L472=""),"",IF(AND($N472="Sí",$P472="Sí"),"OTIF","Falló"))</f>
        <v/>
      </c>
    </row>
    <row r="473" ht="16" customHeight="1">
      <c r="A473" s="48" t="n"/>
      <c r="B473" s="48" t="n"/>
      <c r="C473" s="47" t="n"/>
      <c r="D473" s="50" t="n"/>
      <c r="E473" s="50" t="n"/>
      <c r="F473" s="50" t="n"/>
      <c r="G473" s="50" t="n"/>
      <c r="H473" s="48" t="n"/>
      <c r="I473" s="51" t="n"/>
      <c r="J473" s="52" t="n"/>
      <c r="K473" s="47" t="n"/>
      <c r="L473" s="47" t="n"/>
      <c r="M473" s="24">
        <f>IF(OR($A473="",$C473=""),"",IF($L473&lt;&gt;"",$L473-$C473,TODAY()-$C473))</f>
        <v/>
      </c>
      <c r="N473" s="28">
        <f>IF(OR($A473="",$K473=""),"",IF($L473="",IF(TODAY()&gt;$K473,"Atrasado","En ruta"),IF($L473&lt;=$K473,"Sí","No")))</f>
        <v/>
      </c>
      <c r="O473" s="24">
        <f>IF($A473="","",COUNTIFS(NOVEDADES!$D$4:$D$1503,$A473))</f>
        <v/>
      </c>
      <c r="P473" s="28">
        <f>IF($A473="","",IF(COUNTIFS(NOVEDADES!$D$4:$D$1503,$A473,NOVEDADES!$O$4:$O$1503,"SÍ")&gt;0,"No","Sí"))</f>
        <v/>
      </c>
      <c r="Q473" s="28">
        <f>IF(OR($A473="",$L473=""),"",IF(AND($N473="Sí",$P473="Sí"),"OTIF","Falló"))</f>
        <v/>
      </c>
    </row>
    <row r="474" ht="16" customHeight="1">
      <c r="A474" s="48" t="n"/>
      <c r="B474" s="48" t="n"/>
      <c r="C474" s="47" t="n"/>
      <c r="D474" s="50" t="n"/>
      <c r="E474" s="50" t="n"/>
      <c r="F474" s="50" t="n"/>
      <c r="G474" s="50" t="n"/>
      <c r="H474" s="48" t="n"/>
      <c r="I474" s="51" t="n"/>
      <c r="J474" s="52" t="n"/>
      <c r="K474" s="47" t="n"/>
      <c r="L474" s="47" t="n"/>
      <c r="M474" s="24">
        <f>IF(OR($A474="",$C474=""),"",IF($L474&lt;&gt;"",$L474-$C474,TODAY()-$C474))</f>
        <v/>
      </c>
      <c r="N474" s="28">
        <f>IF(OR($A474="",$K474=""),"",IF($L474="",IF(TODAY()&gt;$K474,"Atrasado","En ruta"),IF($L474&lt;=$K474,"Sí","No")))</f>
        <v/>
      </c>
      <c r="O474" s="24">
        <f>IF($A474="","",COUNTIFS(NOVEDADES!$D$4:$D$1503,$A474))</f>
        <v/>
      </c>
      <c r="P474" s="28">
        <f>IF($A474="","",IF(COUNTIFS(NOVEDADES!$D$4:$D$1503,$A474,NOVEDADES!$O$4:$O$1503,"SÍ")&gt;0,"No","Sí"))</f>
        <v/>
      </c>
      <c r="Q474" s="28">
        <f>IF(OR($A474="",$L474=""),"",IF(AND($N474="Sí",$P474="Sí"),"OTIF","Falló"))</f>
        <v/>
      </c>
    </row>
    <row r="475" ht="16" customHeight="1">
      <c r="A475" s="48" t="n"/>
      <c r="B475" s="48" t="n"/>
      <c r="C475" s="47" t="n"/>
      <c r="D475" s="50" t="n"/>
      <c r="E475" s="50" t="n"/>
      <c r="F475" s="50" t="n"/>
      <c r="G475" s="50" t="n"/>
      <c r="H475" s="48" t="n"/>
      <c r="I475" s="51" t="n"/>
      <c r="J475" s="52" t="n"/>
      <c r="K475" s="47" t="n"/>
      <c r="L475" s="47" t="n"/>
      <c r="M475" s="24">
        <f>IF(OR($A475="",$C475=""),"",IF($L475&lt;&gt;"",$L475-$C475,TODAY()-$C475))</f>
        <v/>
      </c>
      <c r="N475" s="28">
        <f>IF(OR($A475="",$K475=""),"",IF($L475="",IF(TODAY()&gt;$K475,"Atrasado","En ruta"),IF($L475&lt;=$K475,"Sí","No")))</f>
        <v/>
      </c>
      <c r="O475" s="24">
        <f>IF($A475="","",COUNTIFS(NOVEDADES!$D$4:$D$1503,$A475))</f>
        <v/>
      </c>
      <c r="P475" s="28">
        <f>IF($A475="","",IF(COUNTIFS(NOVEDADES!$D$4:$D$1503,$A475,NOVEDADES!$O$4:$O$1503,"SÍ")&gt;0,"No","Sí"))</f>
        <v/>
      </c>
      <c r="Q475" s="28">
        <f>IF(OR($A475="",$L475=""),"",IF(AND($N475="Sí",$P475="Sí"),"OTIF","Falló"))</f>
        <v/>
      </c>
    </row>
    <row r="476" ht="16" customHeight="1">
      <c r="A476" s="48" t="n"/>
      <c r="B476" s="48" t="n"/>
      <c r="C476" s="47" t="n"/>
      <c r="D476" s="50" t="n"/>
      <c r="E476" s="50" t="n"/>
      <c r="F476" s="50" t="n"/>
      <c r="G476" s="50" t="n"/>
      <c r="H476" s="48" t="n"/>
      <c r="I476" s="51" t="n"/>
      <c r="J476" s="52" t="n"/>
      <c r="K476" s="47" t="n"/>
      <c r="L476" s="47" t="n"/>
      <c r="M476" s="24">
        <f>IF(OR($A476="",$C476=""),"",IF($L476&lt;&gt;"",$L476-$C476,TODAY()-$C476))</f>
        <v/>
      </c>
      <c r="N476" s="28">
        <f>IF(OR($A476="",$K476=""),"",IF($L476="",IF(TODAY()&gt;$K476,"Atrasado","En ruta"),IF($L476&lt;=$K476,"Sí","No")))</f>
        <v/>
      </c>
      <c r="O476" s="24">
        <f>IF($A476="","",COUNTIFS(NOVEDADES!$D$4:$D$1503,$A476))</f>
        <v/>
      </c>
      <c r="P476" s="28">
        <f>IF($A476="","",IF(COUNTIFS(NOVEDADES!$D$4:$D$1503,$A476,NOVEDADES!$O$4:$O$1503,"SÍ")&gt;0,"No","Sí"))</f>
        <v/>
      </c>
      <c r="Q476" s="28">
        <f>IF(OR($A476="",$L476=""),"",IF(AND($N476="Sí",$P476="Sí"),"OTIF","Falló"))</f>
        <v/>
      </c>
    </row>
    <row r="477" ht="16" customHeight="1">
      <c r="A477" s="48" t="n"/>
      <c r="B477" s="48" t="n"/>
      <c r="C477" s="47" t="n"/>
      <c r="D477" s="50" t="n"/>
      <c r="E477" s="50" t="n"/>
      <c r="F477" s="50" t="n"/>
      <c r="G477" s="50" t="n"/>
      <c r="H477" s="48" t="n"/>
      <c r="I477" s="51" t="n"/>
      <c r="J477" s="52" t="n"/>
      <c r="K477" s="47" t="n"/>
      <c r="L477" s="47" t="n"/>
      <c r="M477" s="24">
        <f>IF(OR($A477="",$C477=""),"",IF($L477&lt;&gt;"",$L477-$C477,TODAY()-$C477))</f>
        <v/>
      </c>
      <c r="N477" s="28">
        <f>IF(OR($A477="",$K477=""),"",IF($L477="",IF(TODAY()&gt;$K477,"Atrasado","En ruta"),IF($L477&lt;=$K477,"Sí","No")))</f>
        <v/>
      </c>
      <c r="O477" s="24">
        <f>IF($A477="","",COUNTIFS(NOVEDADES!$D$4:$D$1503,$A477))</f>
        <v/>
      </c>
      <c r="P477" s="28">
        <f>IF($A477="","",IF(COUNTIFS(NOVEDADES!$D$4:$D$1503,$A477,NOVEDADES!$O$4:$O$1503,"SÍ")&gt;0,"No","Sí"))</f>
        <v/>
      </c>
      <c r="Q477" s="28">
        <f>IF(OR($A477="",$L477=""),"",IF(AND($N477="Sí",$P477="Sí"),"OTIF","Falló"))</f>
        <v/>
      </c>
    </row>
    <row r="478" ht="16" customHeight="1">
      <c r="A478" s="48" t="n"/>
      <c r="B478" s="48" t="n"/>
      <c r="C478" s="47" t="n"/>
      <c r="D478" s="50" t="n"/>
      <c r="E478" s="50" t="n"/>
      <c r="F478" s="50" t="n"/>
      <c r="G478" s="50" t="n"/>
      <c r="H478" s="48" t="n"/>
      <c r="I478" s="51" t="n"/>
      <c r="J478" s="52" t="n"/>
      <c r="K478" s="47" t="n"/>
      <c r="L478" s="47" t="n"/>
      <c r="M478" s="24">
        <f>IF(OR($A478="",$C478=""),"",IF($L478&lt;&gt;"",$L478-$C478,TODAY()-$C478))</f>
        <v/>
      </c>
      <c r="N478" s="28">
        <f>IF(OR($A478="",$K478=""),"",IF($L478="",IF(TODAY()&gt;$K478,"Atrasado","En ruta"),IF($L478&lt;=$K478,"Sí","No")))</f>
        <v/>
      </c>
      <c r="O478" s="24">
        <f>IF($A478="","",COUNTIFS(NOVEDADES!$D$4:$D$1503,$A478))</f>
        <v/>
      </c>
      <c r="P478" s="28">
        <f>IF($A478="","",IF(COUNTIFS(NOVEDADES!$D$4:$D$1503,$A478,NOVEDADES!$O$4:$O$1503,"SÍ")&gt;0,"No","Sí"))</f>
        <v/>
      </c>
      <c r="Q478" s="28">
        <f>IF(OR($A478="",$L478=""),"",IF(AND($N478="Sí",$P478="Sí"),"OTIF","Falló"))</f>
        <v/>
      </c>
    </row>
    <row r="479" ht="16" customHeight="1">
      <c r="A479" s="48" t="n"/>
      <c r="B479" s="48" t="n"/>
      <c r="C479" s="47" t="n"/>
      <c r="D479" s="50" t="n"/>
      <c r="E479" s="50" t="n"/>
      <c r="F479" s="50" t="n"/>
      <c r="G479" s="50" t="n"/>
      <c r="H479" s="48" t="n"/>
      <c r="I479" s="51" t="n"/>
      <c r="J479" s="52" t="n"/>
      <c r="K479" s="47" t="n"/>
      <c r="L479" s="47" t="n"/>
      <c r="M479" s="24">
        <f>IF(OR($A479="",$C479=""),"",IF($L479&lt;&gt;"",$L479-$C479,TODAY()-$C479))</f>
        <v/>
      </c>
      <c r="N479" s="28">
        <f>IF(OR($A479="",$K479=""),"",IF($L479="",IF(TODAY()&gt;$K479,"Atrasado","En ruta"),IF($L479&lt;=$K479,"Sí","No")))</f>
        <v/>
      </c>
      <c r="O479" s="24">
        <f>IF($A479="","",COUNTIFS(NOVEDADES!$D$4:$D$1503,$A479))</f>
        <v/>
      </c>
      <c r="P479" s="28">
        <f>IF($A479="","",IF(COUNTIFS(NOVEDADES!$D$4:$D$1503,$A479,NOVEDADES!$O$4:$O$1503,"SÍ")&gt;0,"No","Sí"))</f>
        <v/>
      </c>
      <c r="Q479" s="28">
        <f>IF(OR($A479="",$L479=""),"",IF(AND($N479="Sí",$P479="Sí"),"OTIF","Falló"))</f>
        <v/>
      </c>
    </row>
    <row r="480" ht="16" customHeight="1">
      <c r="A480" s="48" t="n"/>
      <c r="B480" s="48" t="n"/>
      <c r="C480" s="47" t="n"/>
      <c r="D480" s="50" t="n"/>
      <c r="E480" s="50" t="n"/>
      <c r="F480" s="50" t="n"/>
      <c r="G480" s="50" t="n"/>
      <c r="H480" s="48" t="n"/>
      <c r="I480" s="51" t="n"/>
      <c r="J480" s="52" t="n"/>
      <c r="K480" s="47" t="n"/>
      <c r="L480" s="47" t="n"/>
      <c r="M480" s="24">
        <f>IF(OR($A480="",$C480=""),"",IF($L480&lt;&gt;"",$L480-$C480,TODAY()-$C480))</f>
        <v/>
      </c>
      <c r="N480" s="28">
        <f>IF(OR($A480="",$K480=""),"",IF($L480="",IF(TODAY()&gt;$K480,"Atrasado","En ruta"),IF($L480&lt;=$K480,"Sí","No")))</f>
        <v/>
      </c>
      <c r="O480" s="24">
        <f>IF($A480="","",COUNTIFS(NOVEDADES!$D$4:$D$1503,$A480))</f>
        <v/>
      </c>
      <c r="P480" s="28">
        <f>IF($A480="","",IF(COUNTIFS(NOVEDADES!$D$4:$D$1503,$A480,NOVEDADES!$O$4:$O$1503,"SÍ")&gt;0,"No","Sí"))</f>
        <v/>
      </c>
      <c r="Q480" s="28">
        <f>IF(OR($A480="",$L480=""),"",IF(AND($N480="Sí",$P480="Sí"),"OTIF","Falló"))</f>
        <v/>
      </c>
    </row>
    <row r="481" ht="16" customHeight="1">
      <c r="A481" s="48" t="n"/>
      <c r="B481" s="48" t="n"/>
      <c r="C481" s="47" t="n"/>
      <c r="D481" s="50" t="n"/>
      <c r="E481" s="50" t="n"/>
      <c r="F481" s="50" t="n"/>
      <c r="G481" s="50" t="n"/>
      <c r="H481" s="48" t="n"/>
      <c r="I481" s="51" t="n"/>
      <c r="J481" s="52" t="n"/>
      <c r="K481" s="47" t="n"/>
      <c r="L481" s="47" t="n"/>
      <c r="M481" s="24">
        <f>IF(OR($A481="",$C481=""),"",IF($L481&lt;&gt;"",$L481-$C481,TODAY()-$C481))</f>
        <v/>
      </c>
      <c r="N481" s="28">
        <f>IF(OR($A481="",$K481=""),"",IF($L481="",IF(TODAY()&gt;$K481,"Atrasado","En ruta"),IF($L481&lt;=$K481,"Sí","No")))</f>
        <v/>
      </c>
      <c r="O481" s="24">
        <f>IF($A481="","",COUNTIFS(NOVEDADES!$D$4:$D$1503,$A481))</f>
        <v/>
      </c>
      <c r="P481" s="28">
        <f>IF($A481="","",IF(COUNTIFS(NOVEDADES!$D$4:$D$1503,$A481,NOVEDADES!$O$4:$O$1503,"SÍ")&gt;0,"No","Sí"))</f>
        <v/>
      </c>
      <c r="Q481" s="28">
        <f>IF(OR($A481="",$L481=""),"",IF(AND($N481="Sí",$P481="Sí"),"OTIF","Falló"))</f>
        <v/>
      </c>
    </row>
    <row r="482" ht="16" customHeight="1">
      <c r="A482" s="48" t="n"/>
      <c r="B482" s="48" t="n"/>
      <c r="C482" s="47" t="n"/>
      <c r="D482" s="50" t="n"/>
      <c r="E482" s="50" t="n"/>
      <c r="F482" s="50" t="n"/>
      <c r="G482" s="50" t="n"/>
      <c r="H482" s="48" t="n"/>
      <c r="I482" s="51" t="n"/>
      <c r="J482" s="52" t="n"/>
      <c r="K482" s="47" t="n"/>
      <c r="L482" s="47" t="n"/>
      <c r="M482" s="24">
        <f>IF(OR($A482="",$C482=""),"",IF($L482&lt;&gt;"",$L482-$C482,TODAY()-$C482))</f>
        <v/>
      </c>
      <c r="N482" s="28">
        <f>IF(OR($A482="",$K482=""),"",IF($L482="",IF(TODAY()&gt;$K482,"Atrasado","En ruta"),IF($L482&lt;=$K482,"Sí","No")))</f>
        <v/>
      </c>
      <c r="O482" s="24">
        <f>IF($A482="","",COUNTIFS(NOVEDADES!$D$4:$D$1503,$A482))</f>
        <v/>
      </c>
      <c r="P482" s="28">
        <f>IF($A482="","",IF(COUNTIFS(NOVEDADES!$D$4:$D$1503,$A482,NOVEDADES!$O$4:$O$1503,"SÍ")&gt;0,"No","Sí"))</f>
        <v/>
      </c>
      <c r="Q482" s="28">
        <f>IF(OR($A482="",$L482=""),"",IF(AND($N482="Sí",$P482="Sí"),"OTIF","Falló"))</f>
        <v/>
      </c>
    </row>
    <row r="483" ht="16" customHeight="1">
      <c r="A483" s="48" t="n"/>
      <c r="B483" s="48" t="n"/>
      <c r="C483" s="47" t="n"/>
      <c r="D483" s="50" t="n"/>
      <c r="E483" s="50" t="n"/>
      <c r="F483" s="50" t="n"/>
      <c r="G483" s="50" t="n"/>
      <c r="H483" s="48" t="n"/>
      <c r="I483" s="51" t="n"/>
      <c r="J483" s="52" t="n"/>
      <c r="K483" s="47" t="n"/>
      <c r="L483" s="47" t="n"/>
      <c r="M483" s="24">
        <f>IF(OR($A483="",$C483=""),"",IF($L483&lt;&gt;"",$L483-$C483,TODAY()-$C483))</f>
        <v/>
      </c>
      <c r="N483" s="28">
        <f>IF(OR($A483="",$K483=""),"",IF($L483="",IF(TODAY()&gt;$K483,"Atrasado","En ruta"),IF($L483&lt;=$K483,"Sí","No")))</f>
        <v/>
      </c>
      <c r="O483" s="24">
        <f>IF($A483="","",COUNTIFS(NOVEDADES!$D$4:$D$1503,$A483))</f>
        <v/>
      </c>
      <c r="P483" s="28">
        <f>IF($A483="","",IF(COUNTIFS(NOVEDADES!$D$4:$D$1503,$A483,NOVEDADES!$O$4:$O$1503,"SÍ")&gt;0,"No","Sí"))</f>
        <v/>
      </c>
      <c r="Q483" s="28">
        <f>IF(OR($A483="",$L483=""),"",IF(AND($N483="Sí",$P483="Sí"),"OTIF","Falló"))</f>
        <v/>
      </c>
    </row>
    <row r="484" ht="16" customHeight="1">
      <c r="A484" s="48" t="n"/>
      <c r="B484" s="48" t="n"/>
      <c r="C484" s="47" t="n"/>
      <c r="D484" s="50" t="n"/>
      <c r="E484" s="50" t="n"/>
      <c r="F484" s="50" t="n"/>
      <c r="G484" s="50" t="n"/>
      <c r="H484" s="48" t="n"/>
      <c r="I484" s="51" t="n"/>
      <c r="J484" s="52" t="n"/>
      <c r="K484" s="47" t="n"/>
      <c r="L484" s="47" t="n"/>
      <c r="M484" s="24">
        <f>IF(OR($A484="",$C484=""),"",IF($L484&lt;&gt;"",$L484-$C484,TODAY()-$C484))</f>
        <v/>
      </c>
      <c r="N484" s="28">
        <f>IF(OR($A484="",$K484=""),"",IF($L484="",IF(TODAY()&gt;$K484,"Atrasado","En ruta"),IF($L484&lt;=$K484,"Sí","No")))</f>
        <v/>
      </c>
      <c r="O484" s="24">
        <f>IF($A484="","",COUNTIFS(NOVEDADES!$D$4:$D$1503,$A484))</f>
        <v/>
      </c>
      <c r="P484" s="28">
        <f>IF($A484="","",IF(COUNTIFS(NOVEDADES!$D$4:$D$1503,$A484,NOVEDADES!$O$4:$O$1503,"SÍ")&gt;0,"No","Sí"))</f>
        <v/>
      </c>
      <c r="Q484" s="28">
        <f>IF(OR($A484="",$L484=""),"",IF(AND($N484="Sí",$P484="Sí"),"OTIF","Falló"))</f>
        <v/>
      </c>
    </row>
    <row r="485" ht="16" customHeight="1">
      <c r="A485" s="48" t="n"/>
      <c r="B485" s="48" t="n"/>
      <c r="C485" s="47" t="n"/>
      <c r="D485" s="50" t="n"/>
      <c r="E485" s="50" t="n"/>
      <c r="F485" s="50" t="n"/>
      <c r="G485" s="50" t="n"/>
      <c r="H485" s="48" t="n"/>
      <c r="I485" s="51" t="n"/>
      <c r="J485" s="52" t="n"/>
      <c r="K485" s="47" t="n"/>
      <c r="L485" s="47" t="n"/>
      <c r="M485" s="24">
        <f>IF(OR($A485="",$C485=""),"",IF($L485&lt;&gt;"",$L485-$C485,TODAY()-$C485))</f>
        <v/>
      </c>
      <c r="N485" s="28">
        <f>IF(OR($A485="",$K485=""),"",IF($L485="",IF(TODAY()&gt;$K485,"Atrasado","En ruta"),IF($L485&lt;=$K485,"Sí","No")))</f>
        <v/>
      </c>
      <c r="O485" s="24">
        <f>IF($A485="","",COUNTIFS(NOVEDADES!$D$4:$D$1503,$A485))</f>
        <v/>
      </c>
      <c r="P485" s="28">
        <f>IF($A485="","",IF(COUNTIFS(NOVEDADES!$D$4:$D$1503,$A485,NOVEDADES!$O$4:$O$1503,"SÍ")&gt;0,"No","Sí"))</f>
        <v/>
      </c>
      <c r="Q485" s="28">
        <f>IF(OR($A485="",$L485=""),"",IF(AND($N485="Sí",$P485="Sí"),"OTIF","Falló"))</f>
        <v/>
      </c>
    </row>
    <row r="486" ht="16" customHeight="1">
      <c r="A486" s="48" t="n"/>
      <c r="B486" s="48" t="n"/>
      <c r="C486" s="47" t="n"/>
      <c r="D486" s="50" t="n"/>
      <c r="E486" s="50" t="n"/>
      <c r="F486" s="50" t="n"/>
      <c r="G486" s="50" t="n"/>
      <c r="H486" s="48" t="n"/>
      <c r="I486" s="51" t="n"/>
      <c r="J486" s="52" t="n"/>
      <c r="K486" s="47" t="n"/>
      <c r="L486" s="47" t="n"/>
      <c r="M486" s="24">
        <f>IF(OR($A486="",$C486=""),"",IF($L486&lt;&gt;"",$L486-$C486,TODAY()-$C486))</f>
        <v/>
      </c>
      <c r="N486" s="28">
        <f>IF(OR($A486="",$K486=""),"",IF($L486="",IF(TODAY()&gt;$K486,"Atrasado","En ruta"),IF($L486&lt;=$K486,"Sí","No")))</f>
        <v/>
      </c>
      <c r="O486" s="24">
        <f>IF($A486="","",COUNTIFS(NOVEDADES!$D$4:$D$1503,$A486))</f>
        <v/>
      </c>
      <c r="P486" s="28">
        <f>IF($A486="","",IF(COUNTIFS(NOVEDADES!$D$4:$D$1503,$A486,NOVEDADES!$O$4:$O$1503,"SÍ")&gt;0,"No","Sí"))</f>
        <v/>
      </c>
      <c r="Q486" s="28">
        <f>IF(OR($A486="",$L486=""),"",IF(AND($N486="Sí",$P486="Sí"),"OTIF","Falló"))</f>
        <v/>
      </c>
    </row>
    <row r="487" ht="16" customHeight="1">
      <c r="A487" s="48" t="n"/>
      <c r="B487" s="48" t="n"/>
      <c r="C487" s="47" t="n"/>
      <c r="D487" s="50" t="n"/>
      <c r="E487" s="50" t="n"/>
      <c r="F487" s="50" t="n"/>
      <c r="G487" s="50" t="n"/>
      <c r="H487" s="48" t="n"/>
      <c r="I487" s="51" t="n"/>
      <c r="J487" s="52" t="n"/>
      <c r="K487" s="47" t="n"/>
      <c r="L487" s="47" t="n"/>
      <c r="M487" s="24">
        <f>IF(OR($A487="",$C487=""),"",IF($L487&lt;&gt;"",$L487-$C487,TODAY()-$C487))</f>
        <v/>
      </c>
      <c r="N487" s="28">
        <f>IF(OR($A487="",$K487=""),"",IF($L487="",IF(TODAY()&gt;$K487,"Atrasado","En ruta"),IF($L487&lt;=$K487,"Sí","No")))</f>
        <v/>
      </c>
      <c r="O487" s="24">
        <f>IF($A487="","",COUNTIFS(NOVEDADES!$D$4:$D$1503,$A487))</f>
        <v/>
      </c>
      <c r="P487" s="28">
        <f>IF($A487="","",IF(COUNTIFS(NOVEDADES!$D$4:$D$1503,$A487,NOVEDADES!$O$4:$O$1503,"SÍ")&gt;0,"No","Sí"))</f>
        <v/>
      </c>
      <c r="Q487" s="28">
        <f>IF(OR($A487="",$L487=""),"",IF(AND($N487="Sí",$P487="Sí"),"OTIF","Falló"))</f>
        <v/>
      </c>
    </row>
    <row r="488" ht="16" customHeight="1">
      <c r="A488" s="48" t="n"/>
      <c r="B488" s="48" t="n"/>
      <c r="C488" s="47" t="n"/>
      <c r="D488" s="50" t="n"/>
      <c r="E488" s="50" t="n"/>
      <c r="F488" s="50" t="n"/>
      <c r="G488" s="50" t="n"/>
      <c r="H488" s="48" t="n"/>
      <c r="I488" s="51" t="n"/>
      <c r="J488" s="52" t="n"/>
      <c r="K488" s="47" t="n"/>
      <c r="L488" s="47" t="n"/>
      <c r="M488" s="24">
        <f>IF(OR($A488="",$C488=""),"",IF($L488&lt;&gt;"",$L488-$C488,TODAY()-$C488))</f>
        <v/>
      </c>
      <c r="N488" s="28">
        <f>IF(OR($A488="",$K488=""),"",IF($L488="",IF(TODAY()&gt;$K488,"Atrasado","En ruta"),IF($L488&lt;=$K488,"Sí","No")))</f>
        <v/>
      </c>
      <c r="O488" s="24">
        <f>IF($A488="","",COUNTIFS(NOVEDADES!$D$4:$D$1503,$A488))</f>
        <v/>
      </c>
      <c r="P488" s="28">
        <f>IF($A488="","",IF(COUNTIFS(NOVEDADES!$D$4:$D$1503,$A488,NOVEDADES!$O$4:$O$1503,"SÍ")&gt;0,"No","Sí"))</f>
        <v/>
      </c>
      <c r="Q488" s="28">
        <f>IF(OR($A488="",$L488=""),"",IF(AND($N488="Sí",$P488="Sí"),"OTIF","Falló"))</f>
        <v/>
      </c>
    </row>
    <row r="489" ht="16" customHeight="1">
      <c r="A489" s="48" t="n"/>
      <c r="B489" s="48" t="n"/>
      <c r="C489" s="47" t="n"/>
      <c r="D489" s="50" t="n"/>
      <c r="E489" s="50" t="n"/>
      <c r="F489" s="50" t="n"/>
      <c r="G489" s="50" t="n"/>
      <c r="H489" s="48" t="n"/>
      <c r="I489" s="51" t="n"/>
      <c r="J489" s="52" t="n"/>
      <c r="K489" s="47" t="n"/>
      <c r="L489" s="47" t="n"/>
      <c r="M489" s="24">
        <f>IF(OR($A489="",$C489=""),"",IF($L489&lt;&gt;"",$L489-$C489,TODAY()-$C489))</f>
        <v/>
      </c>
      <c r="N489" s="28">
        <f>IF(OR($A489="",$K489=""),"",IF($L489="",IF(TODAY()&gt;$K489,"Atrasado","En ruta"),IF($L489&lt;=$K489,"Sí","No")))</f>
        <v/>
      </c>
      <c r="O489" s="24">
        <f>IF($A489="","",COUNTIFS(NOVEDADES!$D$4:$D$1503,$A489))</f>
        <v/>
      </c>
      <c r="P489" s="28">
        <f>IF($A489="","",IF(COUNTIFS(NOVEDADES!$D$4:$D$1503,$A489,NOVEDADES!$O$4:$O$1503,"SÍ")&gt;0,"No","Sí"))</f>
        <v/>
      </c>
      <c r="Q489" s="28">
        <f>IF(OR($A489="",$L489=""),"",IF(AND($N489="Sí",$P489="Sí"),"OTIF","Falló"))</f>
        <v/>
      </c>
    </row>
    <row r="490" ht="16" customHeight="1">
      <c r="A490" s="48" t="n"/>
      <c r="B490" s="48" t="n"/>
      <c r="C490" s="47" t="n"/>
      <c r="D490" s="50" t="n"/>
      <c r="E490" s="50" t="n"/>
      <c r="F490" s="50" t="n"/>
      <c r="G490" s="50" t="n"/>
      <c r="H490" s="48" t="n"/>
      <c r="I490" s="51" t="n"/>
      <c r="J490" s="52" t="n"/>
      <c r="K490" s="47" t="n"/>
      <c r="L490" s="47" t="n"/>
      <c r="M490" s="24">
        <f>IF(OR($A490="",$C490=""),"",IF($L490&lt;&gt;"",$L490-$C490,TODAY()-$C490))</f>
        <v/>
      </c>
      <c r="N490" s="28">
        <f>IF(OR($A490="",$K490=""),"",IF($L490="",IF(TODAY()&gt;$K490,"Atrasado","En ruta"),IF($L490&lt;=$K490,"Sí","No")))</f>
        <v/>
      </c>
      <c r="O490" s="24">
        <f>IF($A490="","",COUNTIFS(NOVEDADES!$D$4:$D$1503,$A490))</f>
        <v/>
      </c>
      <c r="P490" s="28">
        <f>IF($A490="","",IF(COUNTIFS(NOVEDADES!$D$4:$D$1503,$A490,NOVEDADES!$O$4:$O$1503,"SÍ")&gt;0,"No","Sí"))</f>
        <v/>
      </c>
      <c r="Q490" s="28">
        <f>IF(OR($A490="",$L490=""),"",IF(AND($N490="Sí",$P490="Sí"),"OTIF","Falló"))</f>
        <v/>
      </c>
    </row>
    <row r="491" ht="16" customHeight="1">
      <c r="A491" s="48" t="n"/>
      <c r="B491" s="48" t="n"/>
      <c r="C491" s="47" t="n"/>
      <c r="D491" s="50" t="n"/>
      <c r="E491" s="50" t="n"/>
      <c r="F491" s="50" t="n"/>
      <c r="G491" s="50" t="n"/>
      <c r="H491" s="48" t="n"/>
      <c r="I491" s="51" t="n"/>
      <c r="J491" s="52" t="n"/>
      <c r="K491" s="47" t="n"/>
      <c r="L491" s="47" t="n"/>
      <c r="M491" s="24">
        <f>IF(OR($A491="",$C491=""),"",IF($L491&lt;&gt;"",$L491-$C491,TODAY()-$C491))</f>
        <v/>
      </c>
      <c r="N491" s="28">
        <f>IF(OR($A491="",$K491=""),"",IF($L491="",IF(TODAY()&gt;$K491,"Atrasado","En ruta"),IF($L491&lt;=$K491,"Sí","No")))</f>
        <v/>
      </c>
      <c r="O491" s="24">
        <f>IF($A491="","",COUNTIFS(NOVEDADES!$D$4:$D$1503,$A491))</f>
        <v/>
      </c>
      <c r="P491" s="28">
        <f>IF($A491="","",IF(COUNTIFS(NOVEDADES!$D$4:$D$1503,$A491,NOVEDADES!$O$4:$O$1503,"SÍ")&gt;0,"No","Sí"))</f>
        <v/>
      </c>
      <c r="Q491" s="28">
        <f>IF(OR($A491="",$L491=""),"",IF(AND($N491="Sí",$P491="Sí"),"OTIF","Falló"))</f>
        <v/>
      </c>
    </row>
    <row r="492" ht="16" customHeight="1">
      <c r="A492" s="48" t="n"/>
      <c r="B492" s="48" t="n"/>
      <c r="C492" s="47" t="n"/>
      <c r="D492" s="50" t="n"/>
      <c r="E492" s="50" t="n"/>
      <c r="F492" s="50" t="n"/>
      <c r="G492" s="50" t="n"/>
      <c r="H492" s="48" t="n"/>
      <c r="I492" s="51" t="n"/>
      <c r="J492" s="52" t="n"/>
      <c r="K492" s="47" t="n"/>
      <c r="L492" s="47" t="n"/>
      <c r="M492" s="24">
        <f>IF(OR($A492="",$C492=""),"",IF($L492&lt;&gt;"",$L492-$C492,TODAY()-$C492))</f>
        <v/>
      </c>
      <c r="N492" s="28">
        <f>IF(OR($A492="",$K492=""),"",IF($L492="",IF(TODAY()&gt;$K492,"Atrasado","En ruta"),IF($L492&lt;=$K492,"Sí","No")))</f>
        <v/>
      </c>
      <c r="O492" s="24">
        <f>IF($A492="","",COUNTIFS(NOVEDADES!$D$4:$D$1503,$A492))</f>
        <v/>
      </c>
      <c r="P492" s="28">
        <f>IF($A492="","",IF(COUNTIFS(NOVEDADES!$D$4:$D$1503,$A492,NOVEDADES!$O$4:$O$1503,"SÍ")&gt;0,"No","Sí"))</f>
        <v/>
      </c>
      <c r="Q492" s="28">
        <f>IF(OR($A492="",$L492=""),"",IF(AND($N492="Sí",$P492="Sí"),"OTIF","Falló"))</f>
        <v/>
      </c>
    </row>
    <row r="493" ht="16" customHeight="1">
      <c r="A493" s="48" t="n"/>
      <c r="B493" s="48" t="n"/>
      <c r="C493" s="47" t="n"/>
      <c r="D493" s="50" t="n"/>
      <c r="E493" s="50" t="n"/>
      <c r="F493" s="50" t="n"/>
      <c r="G493" s="50" t="n"/>
      <c r="H493" s="48" t="n"/>
      <c r="I493" s="51" t="n"/>
      <c r="J493" s="52" t="n"/>
      <c r="K493" s="47" t="n"/>
      <c r="L493" s="47" t="n"/>
      <c r="M493" s="24">
        <f>IF(OR($A493="",$C493=""),"",IF($L493&lt;&gt;"",$L493-$C493,TODAY()-$C493))</f>
        <v/>
      </c>
      <c r="N493" s="28">
        <f>IF(OR($A493="",$K493=""),"",IF($L493="",IF(TODAY()&gt;$K493,"Atrasado","En ruta"),IF($L493&lt;=$K493,"Sí","No")))</f>
        <v/>
      </c>
      <c r="O493" s="24">
        <f>IF($A493="","",COUNTIFS(NOVEDADES!$D$4:$D$1503,$A493))</f>
        <v/>
      </c>
      <c r="P493" s="28">
        <f>IF($A493="","",IF(COUNTIFS(NOVEDADES!$D$4:$D$1503,$A493,NOVEDADES!$O$4:$O$1503,"SÍ")&gt;0,"No","Sí"))</f>
        <v/>
      </c>
      <c r="Q493" s="28">
        <f>IF(OR($A493="",$L493=""),"",IF(AND($N493="Sí",$P493="Sí"),"OTIF","Falló"))</f>
        <v/>
      </c>
    </row>
    <row r="494" ht="16" customHeight="1">
      <c r="A494" s="48" t="n"/>
      <c r="B494" s="48" t="n"/>
      <c r="C494" s="47" t="n"/>
      <c r="D494" s="50" t="n"/>
      <c r="E494" s="50" t="n"/>
      <c r="F494" s="50" t="n"/>
      <c r="G494" s="50" t="n"/>
      <c r="H494" s="48" t="n"/>
      <c r="I494" s="51" t="n"/>
      <c r="J494" s="52" t="n"/>
      <c r="K494" s="47" t="n"/>
      <c r="L494" s="47" t="n"/>
      <c r="M494" s="24">
        <f>IF(OR($A494="",$C494=""),"",IF($L494&lt;&gt;"",$L494-$C494,TODAY()-$C494))</f>
        <v/>
      </c>
      <c r="N494" s="28">
        <f>IF(OR($A494="",$K494=""),"",IF($L494="",IF(TODAY()&gt;$K494,"Atrasado","En ruta"),IF($L494&lt;=$K494,"Sí","No")))</f>
        <v/>
      </c>
      <c r="O494" s="24">
        <f>IF($A494="","",COUNTIFS(NOVEDADES!$D$4:$D$1503,$A494))</f>
        <v/>
      </c>
      <c r="P494" s="28">
        <f>IF($A494="","",IF(COUNTIFS(NOVEDADES!$D$4:$D$1503,$A494,NOVEDADES!$O$4:$O$1503,"SÍ")&gt;0,"No","Sí"))</f>
        <v/>
      </c>
      <c r="Q494" s="28">
        <f>IF(OR($A494="",$L494=""),"",IF(AND($N494="Sí",$P494="Sí"),"OTIF","Falló"))</f>
        <v/>
      </c>
    </row>
    <row r="495" ht="16" customHeight="1">
      <c r="A495" s="48" t="n"/>
      <c r="B495" s="48" t="n"/>
      <c r="C495" s="47" t="n"/>
      <c r="D495" s="50" t="n"/>
      <c r="E495" s="50" t="n"/>
      <c r="F495" s="50" t="n"/>
      <c r="G495" s="50" t="n"/>
      <c r="H495" s="48" t="n"/>
      <c r="I495" s="51" t="n"/>
      <c r="J495" s="52" t="n"/>
      <c r="K495" s="47" t="n"/>
      <c r="L495" s="47" t="n"/>
      <c r="M495" s="24">
        <f>IF(OR($A495="",$C495=""),"",IF($L495&lt;&gt;"",$L495-$C495,TODAY()-$C495))</f>
        <v/>
      </c>
      <c r="N495" s="28">
        <f>IF(OR($A495="",$K495=""),"",IF($L495="",IF(TODAY()&gt;$K495,"Atrasado","En ruta"),IF($L495&lt;=$K495,"Sí","No")))</f>
        <v/>
      </c>
      <c r="O495" s="24">
        <f>IF($A495="","",COUNTIFS(NOVEDADES!$D$4:$D$1503,$A495))</f>
        <v/>
      </c>
      <c r="P495" s="28">
        <f>IF($A495="","",IF(COUNTIFS(NOVEDADES!$D$4:$D$1503,$A495,NOVEDADES!$O$4:$O$1503,"SÍ")&gt;0,"No","Sí"))</f>
        <v/>
      </c>
      <c r="Q495" s="28">
        <f>IF(OR($A495="",$L495=""),"",IF(AND($N495="Sí",$P495="Sí"),"OTIF","Falló"))</f>
        <v/>
      </c>
    </row>
    <row r="496" ht="16" customHeight="1">
      <c r="A496" s="48" t="n"/>
      <c r="B496" s="48" t="n"/>
      <c r="C496" s="47" t="n"/>
      <c r="D496" s="50" t="n"/>
      <c r="E496" s="50" t="n"/>
      <c r="F496" s="50" t="n"/>
      <c r="G496" s="50" t="n"/>
      <c r="H496" s="48" t="n"/>
      <c r="I496" s="51" t="n"/>
      <c r="J496" s="52" t="n"/>
      <c r="K496" s="47" t="n"/>
      <c r="L496" s="47" t="n"/>
      <c r="M496" s="24">
        <f>IF(OR($A496="",$C496=""),"",IF($L496&lt;&gt;"",$L496-$C496,TODAY()-$C496))</f>
        <v/>
      </c>
      <c r="N496" s="28">
        <f>IF(OR($A496="",$K496=""),"",IF($L496="",IF(TODAY()&gt;$K496,"Atrasado","En ruta"),IF($L496&lt;=$K496,"Sí","No")))</f>
        <v/>
      </c>
      <c r="O496" s="24">
        <f>IF($A496="","",COUNTIFS(NOVEDADES!$D$4:$D$1503,$A496))</f>
        <v/>
      </c>
      <c r="P496" s="28">
        <f>IF($A496="","",IF(COUNTIFS(NOVEDADES!$D$4:$D$1503,$A496,NOVEDADES!$O$4:$O$1503,"SÍ")&gt;0,"No","Sí"))</f>
        <v/>
      </c>
      <c r="Q496" s="28">
        <f>IF(OR($A496="",$L496=""),"",IF(AND($N496="Sí",$P496="Sí"),"OTIF","Falló"))</f>
        <v/>
      </c>
    </row>
    <row r="497" ht="16" customHeight="1">
      <c r="A497" s="48" t="n"/>
      <c r="B497" s="48" t="n"/>
      <c r="C497" s="47" t="n"/>
      <c r="D497" s="50" t="n"/>
      <c r="E497" s="50" t="n"/>
      <c r="F497" s="50" t="n"/>
      <c r="G497" s="50" t="n"/>
      <c r="H497" s="48" t="n"/>
      <c r="I497" s="51" t="n"/>
      <c r="J497" s="52" t="n"/>
      <c r="K497" s="47" t="n"/>
      <c r="L497" s="47" t="n"/>
      <c r="M497" s="24">
        <f>IF(OR($A497="",$C497=""),"",IF($L497&lt;&gt;"",$L497-$C497,TODAY()-$C497))</f>
        <v/>
      </c>
      <c r="N497" s="28">
        <f>IF(OR($A497="",$K497=""),"",IF($L497="",IF(TODAY()&gt;$K497,"Atrasado","En ruta"),IF($L497&lt;=$K497,"Sí","No")))</f>
        <v/>
      </c>
      <c r="O497" s="24">
        <f>IF($A497="","",COUNTIFS(NOVEDADES!$D$4:$D$1503,$A497))</f>
        <v/>
      </c>
      <c r="P497" s="28">
        <f>IF($A497="","",IF(COUNTIFS(NOVEDADES!$D$4:$D$1503,$A497,NOVEDADES!$O$4:$O$1503,"SÍ")&gt;0,"No","Sí"))</f>
        <v/>
      </c>
      <c r="Q497" s="28">
        <f>IF(OR($A497="",$L497=""),"",IF(AND($N497="Sí",$P497="Sí"),"OTIF","Falló"))</f>
        <v/>
      </c>
    </row>
    <row r="498" ht="16" customHeight="1">
      <c r="A498" s="48" t="n"/>
      <c r="B498" s="48" t="n"/>
      <c r="C498" s="47" t="n"/>
      <c r="D498" s="50" t="n"/>
      <c r="E498" s="50" t="n"/>
      <c r="F498" s="50" t="n"/>
      <c r="G498" s="50" t="n"/>
      <c r="H498" s="48" t="n"/>
      <c r="I498" s="51" t="n"/>
      <c r="J498" s="52" t="n"/>
      <c r="K498" s="47" t="n"/>
      <c r="L498" s="47" t="n"/>
      <c r="M498" s="24">
        <f>IF(OR($A498="",$C498=""),"",IF($L498&lt;&gt;"",$L498-$C498,TODAY()-$C498))</f>
        <v/>
      </c>
      <c r="N498" s="28">
        <f>IF(OR($A498="",$K498=""),"",IF($L498="",IF(TODAY()&gt;$K498,"Atrasado","En ruta"),IF($L498&lt;=$K498,"Sí","No")))</f>
        <v/>
      </c>
      <c r="O498" s="24">
        <f>IF($A498="","",COUNTIFS(NOVEDADES!$D$4:$D$1503,$A498))</f>
        <v/>
      </c>
      <c r="P498" s="28">
        <f>IF($A498="","",IF(COUNTIFS(NOVEDADES!$D$4:$D$1503,$A498,NOVEDADES!$O$4:$O$1503,"SÍ")&gt;0,"No","Sí"))</f>
        <v/>
      </c>
      <c r="Q498" s="28">
        <f>IF(OR($A498="",$L498=""),"",IF(AND($N498="Sí",$P498="Sí"),"OTIF","Falló"))</f>
        <v/>
      </c>
    </row>
    <row r="499" ht="16" customHeight="1">
      <c r="A499" s="48" t="n"/>
      <c r="B499" s="48" t="n"/>
      <c r="C499" s="47" t="n"/>
      <c r="D499" s="50" t="n"/>
      <c r="E499" s="50" t="n"/>
      <c r="F499" s="50" t="n"/>
      <c r="G499" s="50" t="n"/>
      <c r="H499" s="48" t="n"/>
      <c r="I499" s="51" t="n"/>
      <c r="J499" s="52" t="n"/>
      <c r="K499" s="47" t="n"/>
      <c r="L499" s="47" t="n"/>
      <c r="M499" s="24">
        <f>IF(OR($A499="",$C499=""),"",IF($L499&lt;&gt;"",$L499-$C499,TODAY()-$C499))</f>
        <v/>
      </c>
      <c r="N499" s="28">
        <f>IF(OR($A499="",$K499=""),"",IF($L499="",IF(TODAY()&gt;$K499,"Atrasado","En ruta"),IF($L499&lt;=$K499,"Sí","No")))</f>
        <v/>
      </c>
      <c r="O499" s="24">
        <f>IF($A499="","",COUNTIFS(NOVEDADES!$D$4:$D$1503,$A499))</f>
        <v/>
      </c>
      <c r="P499" s="28">
        <f>IF($A499="","",IF(COUNTIFS(NOVEDADES!$D$4:$D$1503,$A499,NOVEDADES!$O$4:$O$1503,"SÍ")&gt;0,"No","Sí"))</f>
        <v/>
      </c>
      <c r="Q499" s="28">
        <f>IF(OR($A499="",$L499=""),"",IF(AND($N499="Sí",$P499="Sí"),"OTIF","Falló"))</f>
        <v/>
      </c>
    </row>
    <row r="500" ht="16" customHeight="1">
      <c r="A500" s="48" t="n"/>
      <c r="B500" s="48" t="n"/>
      <c r="C500" s="47" t="n"/>
      <c r="D500" s="50" t="n"/>
      <c r="E500" s="50" t="n"/>
      <c r="F500" s="50" t="n"/>
      <c r="G500" s="50" t="n"/>
      <c r="H500" s="48" t="n"/>
      <c r="I500" s="51" t="n"/>
      <c r="J500" s="52" t="n"/>
      <c r="K500" s="47" t="n"/>
      <c r="L500" s="47" t="n"/>
      <c r="M500" s="24">
        <f>IF(OR($A500="",$C500=""),"",IF($L500&lt;&gt;"",$L500-$C500,TODAY()-$C500))</f>
        <v/>
      </c>
      <c r="N500" s="28">
        <f>IF(OR($A500="",$K500=""),"",IF($L500="",IF(TODAY()&gt;$K500,"Atrasado","En ruta"),IF($L500&lt;=$K500,"Sí","No")))</f>
        <v/>
      </c>
      <c r="O500" s="24">
        <f>IF($A500="","",COUNTIFS(NOVEDADES!$D$4:$D$1503,$A500))</f>
        <v/>
      </c>
      <c r="P500" s="28">
        <f>IF($A500="","",IF(COUNTIFS(NOVEDADES!$D$4:$D$1503,$A500,NOVEDADES!$O$4:$O$1503,"SÍ")&gt;0,"No","Sí"))</f>
        <v/>
      </c>
      <c r="Q500" s="28">
        <f>IF(OR($A500="",$L500=""),"",IF(AND($N500="Sí",$P500="Sí"),"OTIF","Falló"))</f>
        <v/>
      </c>
    </row>
    <row r="501" ht="16" customHeight="1">
      <c r="A501" s="48" t="n"/>
      <c r="B501" s="48" t="n"/>
      <c r="C501" s="47" t="n"/>
      <c r="D501" s="50" t="n"/>
      <c r="E501" s="50" t="n"/>
      <c r="F501" s="50" t="n"/>
      <c r="G501" s="50" t="n"/>
      <c r="H501" s="48" t="n"/>
      <c r="I501" s="51" t="n"/>
      <c r="J501" s="52" t="n"/>
      <c r="K501" s="47" t="n"/>
      <c r="L501" s="47" t="n"/>
      <c r="M501" s="24">
        <f>IF(OR($A501="",$C501=""),"",IF($L501&lt;&gt;"",$L501-$C501,TODAY()-$C501))</f>
        <v/>
      </c>
      <c r="N501" s="28">
        <f>IF(OR($A501="",$K501=""),"",IF($L501="",IF(TODAY()&gt;$K501,"Atrasado","En ruta"),IF($L501&lt;=$K501,"Sí","No")))</f>
        <v/>
      </c>
      <c r="O501" s="24">
        <f>IF($A501="","",COUNTIFS(NOVEDADES!$D$4:$D$1503,$A501))</f>
        <v/>
      </c>
      <c r="P501" s="28">
        <f>IF($A501="","",IF(COUNTIFS(NOVEDADES!$D$4:$D$1503,$A501,NOVEDADES!$O$4:$O$1503,"SÍ")&gt;0,"No","Sí"))</f>
        <v/>
      </c>
      <c r="Q501" s="28">
        <f>IF(OR($A501="",$L501=""),"",IF(AND($N501="Sí",$P501="Sí"),"OTIF","Falló"))</f>
        <v/>
      </c>
    </row>
    <row r="502" ht="16" customHeight="1">
      <c r="A502" s="48" t="n"/>
      <c r="B502" s="48" t="n"/>
      <c r="C502" s="47" t="n"/>
      <c r="D502" s="50" t="n"/>
      <c r="E502" s="50" t="n"/>
      <c r="F502" s="50" t="n"/>
      <c r="G502" s="50" t="n"/>
      <c r="H502" s="48" t="n"/>
      <c r="I502" s="51" t="n"/>
      <c r="J502" s="52" t="n"/>
      <c r="K502" s="47" t="n"/>
      <c r="L502" s="47" t="n"/>
      <c r="M502" s="24">
        <f>IF(OR($A502="",$C502=""),"",IF($L502&lt;&gt;"",$L502-$C502,TODAY()-$C502))</f>
        <v/>
      </c>
      <c r="N502" s="28">
        <f>IF(OR($A502="",$K502=""),"",IF($L502="",IF(TODAY()&gt;$K502,"Atrasado","En ruta"),IF($L502&lt;=$K502,"Sí","No")))</f>
        <v/>
      </c>
      <c r="O502" s="24">
        <f>IF($A502="","",COUNTIFS(NOVEDADES!$D$4:$D$1503,$A502))</f>
        <v/>
      </c>
      <c r="P502" s="28">
        <f>IF($A502="","",IF(COUNTIFS(NOVEDADES!$D$4:$D$1503,$A502,NOVEDADES!$O$4:$O$1503,"SÍ")&gt;0,"No","Sí"))</f>
        <v/>
      </c>
      <c r="Q502" s="28">
        <f>IF(OR($A502="",$L502=""),"",IF(AND($N502="Sí",$P502="Sí"),"OTIF","Falló"))</f>
        <v/>
      </c>
    </row>
    <row r="503" ht="16" customHeight="1">
      <c r="A503" s="48" t="n"/>
      <c r="B503" s="48" t="n"/>
      <c r="C503" s="47" t="n"/>
      <c r="D503" s="50" t="n"/>
      <c r="E503" s="50" t="n"/>
      <c r="F503" s="50" t="n"/>
      <c r="G503" s="50" t="n"/>
      <c r="H503" s="48" t="n"/>
      <c r="I503" s="51" t="n"/>
      <c r="J503" s="52" t="n"/>
      <c r="K503" s="47" t="n"/>
      <c r="L503" s="47" t="n"/>
      <c r="M503" s="24">
        <f>IF(OR($A503="",$C503=""),"",IF($L503&lt;&gt;"",$L503-$C503,TODAY()-$C503))</f>
        <v/>
      </c>
      <c r="N503" s="28">
        <f>IF(OR($A503="",$K503=""),"",IF($L503="",IF(TODAY()&gt;$K503,"Atrasado","En ruta"),IF($L503&lt;=$K503,"Sí","No")))</f>
        <v/>
      </c>
      <c r="O503" s="24">
        <f>IF($A503="","",COUNTIFS(NOVEDADES!$D$4:$D$1503,$A503))</f>
        <v/>
      </c>
      <c r="P503" s="28">
        <f>IF($A503="","",IF(COUNTIFS(NOVEDADES!$D$4:$D$1503,$A503,NOVEDADES!$O$4:$O$1503,"SÍ")&gt;0,"No","Sí"))</f>
        <v/>
      </c>
      <c r="Q503" s="28">
        <f>IF(OR($A503="",$L503=""),"",IF(AND($N503="Sí",$P503="Sí"),"OTIF","Falló"))</f>
        <v/>
      </c>
    </row>
    <row r="504" ht="16" customHeight="1">
      <c r="A504" s="48" t="n"/>
      <c r="B504" s="48" t="n"/>
      <c r="C504" s="47" t="n"/>
      <c r="D504" s="50" t="n"/>
      <c r="E504" s="50" t="n"/>
      <c r="F504" s="50" t="n"/>
      <c r="G504" s="50" t="n"/>
      <c r="H504" s="48" t="n"/>
      <c r="I504" s="51" t="n"/>
      <c r="J504" s="52" t="n"/>
      <c r="K504" s="47" t="n"/>
      <c r="L504" s="47" t="n"/>
      <c r="M504" s="24">
        <f>IF(OR($A504="",$C504=""),"",IF($L504&lt;&gt;"",$L504-$C504,TODAY()-$C504))</f>
        <v/>
      </c>
      <c r="N504" s="28">
        <f>IF(OR($A504="",$K504=""),"",IF($L504="",IF(TODAY()&gt;$K504,"Atrasado","En ruta"),IF($L504&lt;=$K504,"Sí","No")))</f>
        <v/>
      </c>
      <c r="O504" s="24">
        <f>IF($A504="","",COUNTIFS(NOVEDADES!$D$4:$D$1503,$A504))</f>
        <v/>
      </c>
      <c r="P504" s="28">
        <f>IF($A504="","",IF(COUNTIFS(NOVEDADES!$D$4:$D$1503,$A504,NOVEDADES!$O$4:$O$1503,"SÍ")&gt;0,"No","Sí"))</f>
        <v/>
      </c>
      <c r="Q504" s="28">
        <f>IF(OR($A504="",$L504=""),"",IF(AND($N504="Sí",$P504="Sí"),"OTIF","Falló"))</f>
        <v/>
      </c>
    </row>
    <row r="505" ht="16" customHeight="1">
      <c r="A505" s="48" t="n"/>
      <c r="B505" s="48" t="n"/>
      <c r="C505" s="47" t="n"/>
      <c r="D505" s="50" t="n"/>
      <c r="E505" s="50" t="n"/>
      <c r="F505" s="50" t="n"/>
      <c r="G505" s="50" t="n"/>
      <c r="H505" s="48" t="n"/>
      <c r="I505" s="51" t="n"/>
      <c r="J505" s="52" t="n"/>
      <c r="K505" s="47" t="n"/>
      <c r="L505" s="47" t="n"/>
      <c r="M505" s="24">
        <f>IF(OR($A505="",$C505=""),"",IF($L505&lt;&gt;"",$L505-$C505,TODAY()-$C505))</f>
        <v/>
      </c>
      <c r="N505" s="28">
        <f>IF(OR($A505="",$K505=""),"",IF($L505="",IF(TODAY()&gt;$K505,"Atrasado","En ruta"),IF($L505&lt;=$K505,"Sí","No")))</f>
        <v/>
      </c>
      <c r="O505" s="24">
        <f>IF($A505="","",COUNTIFS(NOVEDADES!$D$4:$D$1503,$A505))</f>
        <v/>
      </c>
      <c r="P505" s="28">
        <f>IF($A505="","",IF(COUNTIFS(NOVEDADES!$D$4:$D$1503,$A505,NOVEDADES!$O$4:$O$1503,"SÍ")&gt;0,"No","Sí"))</f>
        <v/>
      </c>
      <c r="Q505" s="28">
        <f>IF(OR($A505="",$L505=""),"",IF(AND($N505="Sí",$P505="Sí"),"OTIF","Falló"))</f>
        <v/>
      </c>
    </row>
    <row r="506" ht="16" customHeight="1">
      <c r="A506" s="48" t="n"/>
      <c r="B506" s="48" t="n"/>
      <c r="C506" s="47" t="n"/>
      <c r="D506" s="50" t="n"/>
      <c r="E506" s="50" t="n"/>
      <c r="F506" s="50" t="n"/>
      <c r="G506" s="50" t="n"/>
      <c r="H506" s="48" t="n"/>
      <c r="I506" s="51" t="n"/>
      <c r="J506" s="52" t="n"/>
      <c r="K506" s="47" t="n"/>
      <c r="L506" s="47" t="n"/>
      <c r="M506" s="24">
        <f>IF(OR($A506="",$C506=""),"",IF($L506&lt;&gt;"",$L506-$C506,TODAY()-$C506))</f>
        <v/>
      </c>
      <c r="N506" s="28">
        <f>IF(OR($A506="",$K506=""),"",IF($L506="",IF(TODAY()&gt;$K506,"Atrasado","En ruta"),IF($L506&lt;=$K506,"Sí","No")))</f>
        <v/>
      </c>
      <c r="O506" s="24">
        <f>IF($A506="","",COUNTIFS(NOVEDADES!$D$4:$D$1503,$A506))</f>
        <v/>
      </c>
      <c r="P506" s="28">
        <f>IF($A506="","",IF(COUNTIFS(NOVEDADES!$D$4:$D$1503,$A506,NOVEDADES!$O$4:$O$1503,"SÍ")&gt;0,"No","Sí"))</f>
        <v/>
      </c>
      <c r="Q506" s="28">
        <f>IF(OR($A506="",$L506=""),"",IF(AND($N506="Sí",$P506="Sí"),"OTIF","Falló"))</f>
        <v/>
      </c>
    </row>
    <row r="507" ht="16" customHeight="1">
      <c r="A507" s="48" t="n"/>
      <c r="B507" s="48" t="n"/>
      <c r="C507" s="47" t="n"/>
      <c r="D507" s="50" t="n"/>
      <c r="E507" s="50" t="n"/>
      <c r="F507" s="50" t="n"/>
      <c r="G507" s="50" t="n"/>
      <c r="H507" s="48" t="n"/>
      <c r="I507" s="51" t="n"/>
      <c r="J507" s="52" t="n"/>
      <c r="K507" s="47" t="n"/>
      <c r="L507" s="47" t="n"/>
      <c r="M507" s="24">
        <f>IF(OR($A507="",$C507=""),"",IF($L507&lt;&gt;"",$L507-$C507,TODAY()-$C507))</f>
        <v/>
      </c>
      <c r="N507" s="28">
        <f>IF(OR($A507="",$K507=""),"",IF($L507="",IF(TODAY()&gt;$K507,"Atrasado","En ruta"),IF($L507&lt;=$K507,"Sí","No")))</f>
        <v/>
      </c>
      <c r="O507" s="24">
        <f>IF($A507="","",COUNTIFS(NOVEDADES!$D$4:$D$1503,$A507))</f>
        <v/>
      </c>
      <c r="P507" s="28">
        <f>IF($A507="","",IF(COUNTIFS(NOVEDADES!$D$4:$D$1503,$A507,NOVEDADES!$O$4:$O$1503,"SÍ")&gt;0,"No","Sí"))</f>
        <v/>
      </c>
      <c r="Q507" s="28">
        <f>IF(OR($A507="",$L507=""),"",IF(AND($N507="Sí",$P507="Sí"),"OTIF","Falló"))</f>
        <v/>
      </c>
    </row>
    <row r="508" ht="16" customHeight="1">
      <c r="A508" s="48" t="n"/>
      <c r="B508" s="48" t="n"/>
      <c r="C508" s="47" t="n"/>
      <c r="D508" s="50" t="n"/>
      <c r="E508" s="50" t="n"/>
      <c r="F508" s="50" t="n"/>
      <c r="G508" s="50" t="n"/>
      <c r="H508" s="48" t="n"/>
      <c r="I508" s="51" t="n"/>
      <c r="J508" s="52" t="n"/>
      <c r="K508" s="47" t="n"/>
      <c r="L508" s="47" t="n"/>
      <c r="M508" s="24">
        <f>IF(OR($A508="",$C508=""),"",IF($L508&lt;&gt;"",$L508-$C508,TODAY()-$C508))</f>
        <v/>
      </c>
      <c r="N508" s="28">
        <f>IF(OR($A508="",$K508=""),"",IF($L508="",IF(TODAY()&gt;$K508,"Atrasado","En ruta"),IF($L508&lt;=$K508,"Sí","No")))</f>
        <v/>
      </c>
      <c r="O508" s="24">
        <f>IF($A508="","",COUNTIFS(NOVEDADES!$D$4:$D$1503,$A508))</f>
        <v/>
      </c>
      <c r="P508" s="28">
        <f>IF($A508="","",IF(COUNTIFS(NOVEDADES!$D$4:$D$1503,$A508,NOVEDADES!$O$4:$O$1503,"SÍ")&gt;0,"No","Sí"))</f>
        <v/>
      </c>
      <c r="Q508" s="28">
        <f>IF(OR($A508="",$L508=""),"",IF(AND($N508="Sí",$P508="Sí"),"OTIF","Falló"))</f>
        <v/>
      </c>
    </row>
    <row r="509" ht="16" customHeight="1">
      <c r="A509" s="48" t="n"/>
      <c r="B509" s="48" t="n"/>
      <c r="C509" s="47" t="n"/>
      <c r="D509" s="50" t="n"/>
      <c r="E509" s="50" t="n"/>
      <c r="F509" s="50" t="n"/>
      <c r="G509" s="50" t="n"/>
      <c r="H509" s="48" t="n"/>
      <c r="I509" s="51" t="n"/>
      <c r="J509" s="52" t="n"/>
      <c r="K509" s="47" t="n"/>
      <c r="L509" s="47" t="n"/>
      <c r="M509" s="24">
        <f>IF(OR($A509="",$C509=""),"",IF($L509&lt;&gt;"",$L509-$C509,TODAY()-$C509))</f>
        <v/>
      </c>
      <c r="N509" s="28">
        <f>IF(OR($A509="",$K509=""),"",IF($L509="",IF(TODAY()&gt;$K509,"Atrasado","En ruta"),IF($L509&lt;=$K509,"Sí","No")))</f>
        <v/>
      </c>
      <c r="O509" s="24">
        <f>IF($A509="","",COUNTIFS(NOVEDADES!$D$4:$D$1503,$A509))</f>
        <v/>
      </c>
      <c r="P509" s="28">
        <f>IF($A509="","",IF(COUNTIFS(NOVEDADES!$D$4:$D$1503,$A509,NOVEDADES!$O$4:$O$1503,"SÍ")&gt;0,"No","Sí"))</f>
        <v/>
      </c>
      <c r="Q509" s="28">
        <f>IF(OR($A509="",$L509=""),"",IF(AND($N509="Sí",$P509="Sí"),"OTIF","Falló"))</f>
        <v/>
      </c>
    </row>
    <row r="510" ht="16" customHeight="1">
      <c r="A510" s="48" t="n"/>
      <c r="B510" s="48" t="n"/>
      <c r="C510" s="47" t="n"/>
      <c r="D510" s="50" t="n"/>
      <c r="E510" s="50" t="n"/>
      <c r="F510" s="50" t="n"/>
      <c r="G510" s="50" t="n"/>
      <c r="H510" s="48" t="n"/>
      <c r="I510" s="51" t="n"/>
      <c r="J510" s="52" t="n"/>
      <c r="K510" s="47" t="n"/>
      <c r="L510" s="47" t="n"/>
      <c r="M510" s="24">
        <f>IF(OR($A510="",$C510=""),"",IF($L510&lt;&gt;"",$L510-$C510,TODAY()-$C510))</f>
        <v/>
      </c>
      <c r="N510" s="28">
        <f>IF(OR($A510="",$K510=""),"",IF($L510="",IF(TODAY()&gt;$K510,"Atrasado","En ruta"),IF($L510&lt;=$K510,"Sí","No")))</f>
        <v/>
      </c>
      <c r="O510" s="24">
        <f>IF($A510="","",COUNTIFS(NOVEDADES!$D$4:$D$1503,$A510))</f>
        <v/>
      </c>
      <c r="P510" s="28">
        <f>IF($A510="","",IF(COUNTIFS(NOVEDADES!$D$4:$D$1503,$A510,NOVEDADES!$O$4:$O$1503,"SÍ")&gt;0,"No","Sí"))</f>
        <v/>
      </c>
      <c r="Q510" s="28">
        <f>IF(OR($A510="",$L510=""),"",IF(AND($N510="Sí",$P510="Sí"),"OTIF","Falló"))</f>
        <v/>
      </c>
    </row>
    <row r="511" ht="16" customHeight="1">
      <c r="A511" s="48" t="n"/>
      <c r="B511" s="48" t="n"/>
      <c r="C511" s="47" t="n"/>
      <c r="D511" s="50" t="n"/>
      <c r="E511" s="50" t="n"/>
      <c r="F511" s="50" t="n"/>
      <c r="G511" s="50" t="n"/>
      <c r="H511" s="48" t="n"/>
      <c r="I511" s="51" t="n"/>
      <c r="J511" s="52" t="n"/>
      <c r="K511" s="47" t="n"/>
      <c r="L511" s="47" t="n"/>
      <c r="M511" s="24">
        <f>IF(OR($A511="",$C511=""),"",IF($L511&lt;&gt;"",$L511-$C511,TODAY()-$C511))</f>
        <v/>
      </c>
      <c r="N511" s="28">
        <f>IF(OR($A511="",$K511=""),"",IF($L511="",IF(TODAY()&gt;$K511,"Atrasado","En ruta"),IF($L511&lt;=$K511,"Sí","No")))</f>
        <v/>
      </c>
      <c r="O511" s="24">
        <f>IF($A511="","",COUNTIFS(NOVEDADES!$D$4:$D$1503,$A511))</f>
        <v/>
      </c>
      <c r="P511" s="28">
        <f>IF($A511="","",IF(COUNTIFS(NOVEDADES!$D$4:$D$1503,$A511,NOVEDADES!$O$4:$O$1503,"SÍ")&gt;0,"No","Sí"))</f>
        <v/>
      </c>
      <c r="Q511" s="28">
        <f>IF(OR($A511="",$L511=""),"",IF(AND($N511="Sí",$P511="Sí"),"OTIF","Falló"))</f>
        <v/>
      </c>
    </row>
    <row r="512" ht="16" customHeight="1">
      <c r="A512" s="48" t="n"/>
      <c r="B512" s="48" t="n"/>
      <c r="C512" s="47" t="n"/>
      <c r="D512" s="50" t="n"/>
      <c r="E512" s="50" t="n"/>
      <c r="F512" s="50" t="n"/>
      <c r="G512" s="50" t="n"/>
      <c r="H512" s="48" t="n"/>
      <c r="I512" s="51" t="n"/>
      <c r="J512" s="52" t="n"/>
      <c r="K512" s="47" t="n"/>
      <c r="L512" s="47" t="n"/>
      <c r="M512" s="24">
        <f>IF(OR($A512="",$C512=""),"",IF($L512&lt;&gt;"",$L512-$C512,TODAY()-$C512))</f>
        <v/>
      </c>
      <c r="N512" s="28">
        <f>IF(OR($A512="",$K512=""),"",IF($L512="",IF(TODAY()&gt;$K512,"Atrasado","En ruta"),IF($L512&lt;=$K512,"Sí","No")))</f>
        <v/>
      </c>
      <c r="O512" s="24">
        <f>IF($A512="","",COUNTIFS(NOVEDADES!$D$4:$D$1503,$A512))</f>
        <v/>
      </c>
      <c r="P512" s="28">
        <f>IF($A512="","",IF(COUNTIFS(NOVEDADES!$D$4:$D$1503,$A512,NOVEDADES!$O$4:$O$1503,"SÍ")&gt;0,"No","Sí"))</f>
        <v/>
      </c>
      <c r="Q512" s="28">
        <f>IF(OR($A512="",$L512=""),"",IF(AND($N512="Sí",$P512="Sí"),"OTIF","Falló"))</f>
        <v/>
      </c>
    </row>
    <row r="513" ht="16" customHeight="1">
      <c r="A513" s="48" t="n"/>
      <c r="B513" s="48" t="n"/>
      <c r="C513" s="47" t="n"/>
      <c r="D513" s="50" t="n"/>
      <c r="E513" s="50" t="n"/>
      <c r="F513" s="50" t="n"/>
      <c r="G513" s="50" t="n"/>
      <c r="H513" s="48" t="n"/>
      <c r="I513" s="51" t="n"/>
      <c r="J513" s="52" t="n"/>
      <c r="K513" s="47" t="n"/>
      <c r="L513" s="47" t="n"/>
      <c r="M513" s="24">
        <f>IF(OR($A513="",$C513=""),"",IF($L513&lt;&gt;"",$L513-$C513,TODAY()-$C513))</f>
        <v/>
      </c>
      <c r="N513" s="28">
        <f>IF(OR($A513="",$K513=""),"",IF($L513="",IF(TODAY()&gt;$K513,"Atrasado","En ruta"),IF($L513&lt;=$K513,"Sí","No")))</f>
        <v/>
      </c>
      <c r="O513" s="24">
        <f>IF($A513="","",COUNTIFS(NOVEDADES!$D$4:$D$1503,$A513))</f>
        <v/>
      </c>
      <c r="P513" s="28">
        <f>IF($A513="","",IF(COUNTIFS(NOVEDADES!$D$4:$D$1503,$A513,NOVEDADES!$O$4:$O$1503,"SÍ")&gt;0,"No","Sí"))</f>
        <v/>
      </c>
      <c r="Q513" s="28">
        <f>IF(OR($A513="",$L513=""),"",IF(AND($N513="Sí",$P513="Sí"),"OTIF","Falló"))</f>
        <v/>
      </c>
    </row>
    <row r="514" ht="16" customHeight="1">
      <c r="A514" s="48" t="n"/>
      <c r="B514" s="48" t="n"/>
      <c r="C514" s="47" t="n"/>
      <c r="D514" s="50" t="n"/>
      <c r="E514" s="50" t="n"/>
      <c r="F514" s="50" t="n"/>
      <c r="G514" s="50" t="n"/>
      <c r="H514" s="48" t="n"/>
      <c r="I514" s="51" t="n"/>
      <c r="J514" s="52" t="n"/>
      <c r="K514" s="47" t="n"/>
      <c r="L514" s="47" t="n"/>
      <c r="M514" s="24">
        <f>IF(OR($A514="",$C514=""),"",IF($L514&lt;&gt;"",$L514-$C514,TODAY()-$C514))</f>
        <v/>
      </c>
      <c r="N514" s="28">
        <f>IF(OR($A514="",$K514=""),"",IF($L514="",IF(TODAY()&gt;$K514,"Atrasado","En ruta"),IF($L514&lt;=$K514,"Sí","No")))</f>
        <v/>
      </c>
      <c r="O514" s="24">
        <f>IF($A514="","",COUNTIFS(NOVEDADES!$D$4:$D$1503,$A514))</f>
        <v/>
      </c>
      <c r="P514" s="28">
        <f>IF($A514="","",IF(COUNTIFS(NOVEDADES!$D$4:$D$1503,$A514,NOVEDADES!$O$4:$O$1503,"SÍ")&gt;0,"No","Sí"))</f>
        <v/>
      </c>
      <c r="Q514" s="28">
        <f>IF(OR($A514="",$L514=""),"",IF(AND($N514="Sí",$P514="Sí"),"OTIF","Falló"))</f>
        <v/>
      </c>
    </row>
    <row r="515" ht="16" customHeight="1">
      <c r="A515" s="48" t="n"/>
      <c r="B515" s="48" t="n"/>
      <c r="C515" s="47" t="n"/>
      <c r="D515" s="50" t="n"/>
      <c r="E515" s="50" t="n"/>
      <c r="F515" s="50" t="n"/>
      <c r="G515" s="50" t="n"/>
      <c r="H515" s="48" t="n"/>
      <c r="I515" s="51" t="n"/>
      <c r="J515" s="52" t="n"/>
      <c r="K515" s="47" t="n"/>
      <c r="L515" s="47" t="n"/>
      <c r="M515" s="24">
        <f>IF(OR($A515="",$C515=""),"",IF($L515&lt;&gt;"",$L515-$C515,TODAY()-$C515))</f>
        <v/>
      </c>
      <c r="N515" s="28">
        <f>IF(OR($A515="",$K515=""),"",IF($L515="",IF(TODAY()&gt;$K515,"Atrasado","En ruta"),IF($L515&lt;=$K515,"Sí","No")))</f>
        <v/>
      </c>
      <c r="O515" s="24">
        <f>IF($A515="","",COUNTIFS(NOVEDADES!$D$4:$D$1503,$A515))</f>
        <v/>
      </c>
      <c r="P515" s="28">
        <f>IF($A515="","",IF(COUNTIFS(NOVEDADES!$D$4:$D$1503,$A515,NOVEDADES!$O$4:$O$1503,"SÍ")&gt;0,"No","Sí"))</f>
        <v/>
      </c>
      <c r="Q515" s="28">
        <f>IF(OR($A515="",$L515=""),"",IF(AND($N515="Sí",$P515="Sí"),"OTIF","Falló"))</f>
        <v/>
      </c>
    </row>
    <row r="516" ht="16" customHeight="1">
      <c r="A516" s="48" t="n"/>
      <c r="B516" s="48" t="n"/>
      <c r="C516" s="47" t="n"/>
      <c r="D516" s="50" t="n"/>
      <c r="E516" s="50" t="n"/>
      <c r="F516" s="50" t="n"/>
      <c r="G516" s="50" t="n"/>
      <c r="H516" s="48" t="n"/>
      <c r="I516" s="51" t="n"/>
      <c r="J516" s="52" t="n"/>
      <c r="K516" s="47" t="n"/>
      <c r="L516" s="47" t="n"/>
      <c r="M516" s="24">
        <f>IF(OR($A516="",$C516=""),"",IF($L516&lt;&gt;"",$L516-$C516,TODAY()-$C516))</f>
        <v/>
      </c>
      <c r="N516" s="28">
        <f>IF(OR($A516="",$K516=""),"",IF($L516="",IF(TODAY()&gt;$K516,"Atrasado","En ruta"),IF($L516&lt;=$K516,"Sí","No")))</f>
        <v/>
      </c>
      <c r="O516" s="24">
        <f>IF($A516="","",COUNTIFS(NOVEDADES!$D$4:$D$1503,$A516))</f>
        <v/>
      </c>
      <c r="P516" s="28">
        <f>IF($A516="","",IF(COUNTIFS(NOVEDADES!$D$4:$D$1503,$A516,NOVEDADES!$O$4:$O$1503,"SÍ")&gt;0,"No","Sí"))</f>
        <v/>
      </c>
      <c r="Q516" s="28">
        <f>IF(OR($A516="",$L516=""),"",IF(AND($N516="Sí",$P516="Sí"),"OTIF","Falló"))</f>
        <v/>
      </c>
    </row>
    <row r="517" ht="16" customHeight="1">
      <c r="A517" s="48" t="n"/>
      <c r="B517" s="48" t="n"/>
      <c r="C517" s="47" t="n"/>
      <c r="D517" s="50" t="n"/>
      <c r="E517" s="50" t="n"/>
      <c r="F517" s="50" t="n"/>
      <c r="G517" s="50" t="n"/>
      <c r="H517" s="48" t="n"/>
      <c r="I517" s="51" t="n"/>
      <c r="J517" s="52" t="n"/>
      <c r="K517" s="47" t="n"/>
      <c r="L517" s="47" t="n"/>
      <c r="M517" s="24">
        <f>IF(OR($A517="",$C517=""),"",IF($L517&lt;&gt;"",$L517-$C517,TODAY()-$C517))</f>
        <v/>
      </c>
      <c r="N517" s="28">
        <f>IF(OR($A517="",$K517=""),"",IF($L517="",IF(TODAY()&gt;$K517,"Atrasado","En ruta"),IF($L517&lt;=$K517,"Sí","No")))</f>
        <v/>
      </c>
      <c r="O517" s="24">
        <f>IF($A517="","",COUNTIFS(NOVEDADES!$D$4:$D$1503,$A517))</f>
        <v/>
      </c>
      <c r="P517" s="28">
        <f>IF($A517="","",IF(COUNTIFS(NOVEDADES!$D$4:$D$1503,$A517,NOVEDADES!$O$4:$O$1503,"SÍ")&gt;0,"No","Sí"))</f>
        <v/>
      </c>
      <c r="Q517" s="28">
        <f>IF(OR($A517="",$L517=""),"",IF(AND($N517="Sí",$P517="Sí"),"OTIF","Falló"))</f>
        <v/>
      </c>
    </row>
    <row r="518" ht="16" customHeight="1">
      <c r="A518" s="48" t="n"/>
      <c r="B518" s="48" t="n"/>
      <c r="C518" s="47" t="n"/>
      <c r="D518" s="50" t="n"/>
      <c r="E518" s="50" t="n"/>
      <c r="F518" s="50" t="n"/>
      <c r="G518" s="50" t="n"/>
      <c r="H518" s="48" t="n"/>
      <c r="I518" s="51" t="n"/>
      <c r="J518" s="52" t="n"/>
      <c r="K518" s="47" t="n"/>
      <c r="L518" s="47" t="n"/>
      <c r="M518" s="24">
        <f>IF(OR($A518="",$C518=""),"",IF($L518&lt;&gt;"",$L518-$C518,TODAY()-$C518))</f>
        <v/>
      </c>
      <c r="N518" s="28">
        <f>IF(OR($A518="",$K518=""),"",IF($L518="",IF(TODAY()&gt;$K518,"Atrasado","En ruta"),IF($L518&lt;=$K518,"Sí","No")))</f>
        <v/>
      </c>
      <c r="O518" s="24">
        <f>IF($A518="","",COUNTIFS(NOVEDADES!$D$4:$D$1503,$A518))</f>
        <v/>
      </c>
      <c r="P518" s="28">
        <f>IF($A518="","",IF(COUNTIFS(NOVEDADES!$D$4:$D$1503,$A518,NOVEDADES!$O$4:$O$1503,"SÍ")&gt;0,"No","Sí"))</f>
        <v/>
      </c>
      <c r="Q518" s="28">
        <f>IF(OR($A518="",$L518=""),"",IF(AND($N518="Sí",$P518="Sí"),"OTIF","Falló"))</f>
        <v/>
      </c>
    </row>
    <row r="519" ht="16" customHeight="1">
      <c r="A519" s="48" t="n"/>
      <c r="B519" s="48" t="n"/>
      <c r="C519" s="47" t="n"/>
      <c r="D519" s="50" t="n"/>
      <c r="E519" s="50" t="n"/>
      <c r="F519" s="50" t="n"/>
      <c r="G519" s="50" t="n"/>
      <c r="H519" s="48" t="n"/>
      <c r="I519" s="51" t="n"/>
      <c r="J519" s="52" t="n"/>
      <c r="K519" s="47" t="n"/>
      <c r="L519" s="47" t="n"/>
      <c r="M519" s="24">
        <f>IF(OR($A519="",$C519=""),"",IF($L519&lt;&gt;"",$L519-$C519,TODAY()-$C519))</f>
        <v/>
      </c>
      <c r="N519" s="28">
        <f>IF(OR($A519="",$K519=""),"",IF($L519="",IF(TODAY()&gt;$K519,"Atrasado","En ruta"),IF($L519&lt;=$K519,"Sí","No")))</f>
        <v/>
      </c>
      <c r="O519" s="24">
        <f>IF($A519="","",COUNTIFS(NOVEDADES!$D$4:$D$1503,$A519))</f>
        <v/>
      </c>
      <c r="P519" s="28">
        <f>IF($A519="","",IF(COUNTIFS(NOVEDADES!$D$4:$D$1503,$A519,NOVEDADES!$O$4:$O$1503,"SÍ")&gt;0,"No","Sí"))</f>
        <v/>
      </c>
      <c r="Q519" s="28">
        <f>IF(OR($A519="",$L519=""),"",IF(AND($N519="Sí",$P519="Sí"),"OTIF","Falló"))</f>
        <v/>
      </c>
    </row>
    <row r="520" ht="16" customHeight="1">
      <c r="A520" s="48" t="n"/>
      <c r="B520" s="48" t="n"/>
      <c r="C520" s="47" t="n"/>
      <c r="D520" s="50" t="n"/>
      <c r="E520" s="50" t="n"/>
      <c r="F520" s="50" t="n"/>
      <c r="G520" s="50" t="n"/>
      <c r="H520" s="48" t="n"/>
      <c r="I520" s="51" t="n"/>
      <c r="J520" s="52" t="n"/>
      <c r="K520" s="47" t="n"/>
      <c r="L520" s="47" t="n"/>
      <c r="M520" s="24">
        <f>IF(OR($A520="",$C520=""),"",IF($L520&lt;&gt;"",$L520-$C520,TODAY()-$C520))</f>
        <v/>
      </c>
      <c r="N520" s="28">
        <f>IF(OR($A520="",$K520=""),"",IF($L520="",IF(TODAY()&gt;$K520,"Atrasado","En ruta"),IF($L520&lt;=$K520,"Sí","No")))</f>
        <v/>
      </c>
      <c r="O520" s="24">
        <f>IF($A520="","",COUNTIFS(NOVEDADES!$D$4:$D$1503,$A520))</f>
        <v/>
      </c>
      <c r="P520" s="28">
        <f>IF($A520="","",IF(COUNTIFS(NOVEDADES!$D$4:$D$1503,$A520,NOVEDADES!$O$4:$O$1503,"SÍ")&gt;0,"No","Sí"))</f>
        <v/>
      </c>
      <c r="Q520" s="28">
        <f>IF(OR($A520="",$L520=""),"",IF(AND($N520="Sí",$P520="Sí"),"OTIF","Falló"))</f>
        <v/>
      </c>
    </row>
    <row r="521" ht="16" customHeight="1">
      <c r="A521" s="48" t="n"/>
      <c r="B521" s="48" t="n"/>
      <c r="C521" s="47" t="n"/>
      <c r="D521" s="50" t="n"/>
      <c r="E521" s="50" t="n"/>
      <c r="F521" s="50" t="n"/>
      <c r="G521" s="50" t="n"/>
      <c r="H521" s="48" t="n"/>
      <c r="I521" s="51" t="n"/>
      <c r="J521" s="52" t="n"/>
      <c r="K521" s="47" t="n"/>
      <c r="L521" s="47" t="n"/>
      <c r="M521" s="24">
        <f>IF(OR($A521="",$C521=""),"",IF($L521&lt;&gt;"",$L521-$C521,TODAY()-$C521))</f>
        <v/>
      </c>
      <c r="N521" s="28">
        <f>IF(OR($A521="",$K521=""),"",IF($L521="",IF(TODAY()&gt;$K521,"Atrasado","En ruta"),IF($L521&lt;=$K521,"Sí","No")))</f>
        <v/>
      </c>
      <c r="O521" s="24">
        <f>IF($A521="","",COUNTIFS(NOVEDADES!$D$4:$D$1503,$A521))</f>
        <v/>
      </c>
      <c r="P521" s="28">
        <f>IF($A521="","",IF(COUNTIFS(NOVEDADES!$D$4:$D$1503,$A521,NOVEDADES!$O$4:$O$1503,"SÍ")&gt;0,"No","Sí"))</f>
        <v/>
      </c>
      <c r="Q521" s="28">
        <f>IF(OR($A521="",$L521=""),"",IF(AND($N521="Sí",$P521="Sí"),"OTIF","Falló"))</f>
        <v/>
      </c>
    </row>
    <row r="522" ht="16" customHeight="1">
      <c r="A522" s="48" t="n"/>
      <c r="B522" s="48" t="n"/>
      <c r="C522" s="47" t="n"/>
      <c r="D522" s="50" t="n"/>
      <c r="E522" s="50" t="n"/>
      <c r="F522" s="50" t="n"/>
      <c r="G522" s="50" t="n"/>
      <c r="H522" s="48" t="n"/>
      <c r="I522" s="51" t="n"/>
      <c r="J522" s="52" t="n"/>
      <c r="K522" s="47" t="n"/>
      <c r="L522" s="47" t="n"/>
      <c r="M522" s="24">
        <f>IF(OR($A522="",$C522=""),"",IF($L522&lt;&gt;"",$L522-$C522,TODAY()-$C522))</f>
        <v/>
      </c>
      <c r="N522" s="28">
        <f>IF(OR($A522="",$K522=""),"",IF($L522="",IF(TODAY()&gt;$K522,"Atrasado","En ruta"),IF($L522&lt;=$K522,"Sí","No")))</f>
        <v/>
      </c>
      <c r="O522" s="24">
        <f>IF($A522="","",COUNTIFS(NOVEDADES!$D$4:$D$1503,$A522))</f>
        <v/>
      </c>
      <c r="P522" s="28">
        <f>IF($A522="","",IF(COUNTIFS(NOVEDADES!$D$4:$D$1503,$A522,NOVEDADES!$O$4:$O$1503,"SÍ")&gt;0,"No","Sí"))</f>
        <v/>
      </c>
      <c r="Q522" s="28">
        <f>IF(OR($A522="",$L522=""),"",IF(AND($N522="Sí",$P522="Sí"),"OTIF","Falló"))</f>
        <v/>
      </c>
    </row>
    <row r="523" ht="16" customHeight="1">
      <c r="A523" s="48" t="n"/>
      <c r="B523" s="48" t="n"/>
      <c r="C523" s="47" t="n"/>
      <c r="D523" s="50" t="n"/>
      <c r="E523" s="50" t="n"/>
      <c r="F523" s="50" t="n"/>
      <c r="G523" s="50" t="n"/>
      <c r="H523" s="48" t="n"/>
      <c r="I523" s="51" t="n"/>
      <c r="J523" s="52" t="n"/>
      <c r="K523" s="47" t="n"/>
      <c r="L523" s="47" t="n"/>
      <c r="M523" s="24">
        <f>IF(OR($A523="",$C523=""),"",IF($L523&lt;&gt;"",$L523-$C523,TODAY()-$C523))</f>
        <v/>
      </c>
      <c r="N523" s="28">
        <f>IF(OR($A523="",$K523=""),"",IF($L523="",IF(TODAY()&gt;$K523,"Atrasado","En ruta"),IF($L523&lt;=$K523,"Sí","No")))</f>
        <v/>
      </c>
      <c r="O523" s="24">
        <f>IF($A523="","",COUNTIFS(NOVEDADES!$D$4:$D$1503,$A523))</f>
        <v/>
      </c>
      <c r="P523" s="28">
        <f>IF($A523="","",IF(COUNTIFS(NOVEDADES!$D$4:$D$1503,$A523,NOVEDADES!$O$4:$O$1503,"SÍ")&gt;0,"No","Sí"))</f>
        <v/>
      </c>
      <c r="Q523" s="28">
        <f>IF(OR($A523="",$L523=""),"",IF(AND($N523="Sí",$P523="Sí"),"OTIF","Falló"))</f>
        <v/>
      </c>
    </row>
    <row r="524" ht="16" customHeight="1">
      <c r="A524" s="48" t="n"/>
      <c r="B524" s="48" t="n"/>
      <c r="C524" s="47" t="n"/>
      <c r="D524" s="50" t="n"/>
      <c r="E524" s="50" t="n"/>
      <c r="F524" s="50" t="n"/>
      <c r="G524" s="50" t="n"/>
      <c r="H524" s="48" t="n"/>
      <c r="I524" s="51" t="n"/>
      <c r="J524" s="52" t="n"/>
      <c r="K524" s="47" t="n"/>
      <c r="L524" s="47" t="n"/>
      <c r="M524" s="24">
        <f>IF(OR($A524="",$C524=""),"",IF($L524&lt;&gt;"",$L524-$C524,TODAY()-$C524))</f>
        <v/>
      </c>
      <c r="N524" s="28">
        <f>IF(OR($A524="",$K524=""),"",IF($L524="",IF(TODAY()&gt;$K524,"Atrasado","En ruta"),IF($L524&lt;=$K524,"Sí","No")))</f>
        <v/>
      </c>
      <c r="O524" s="24">
        <f>IF($A524="","",COUNTIFS(NOVEDADES!$D$4:$D$1503,$A524))</f>
        <v/>
      </c>
      <c r="P524" s="28">
        <f>IF($A524="","",IF(COUNTIFS(NOVEDADES!$D$4:$D$1503,$A524,NOVEDADES!$O$4:$O$1503,"SÍ")&gt;0,"No","Sí"))</f>
        <v/>
      </c>
      <c r="Q524" s="28">
        <f>IF(OR($A524="",$L524=""),"",IF(AND($N524="Sí",$P524="Sí"),"OTIF","Falló"))</f>
        <v/>
      </c>
    </row>
    <row r="525" ht="16" customHeight="1">
      <c r="A525" s="48" t="n"/>
      <c r="B525" s="48" t="n"/>
      <c r="C525" s="47" t="n"/>
      <c r="D525" s="50" t="n"/>
      <c r="E525" s="50" t="n"/>
      <c r="F525" s="50" t="n"/>
      <c r="G525" s="50" t="n"/>
      <c r="H525" s="48" t="n"/>
      <c r="I525" s="51" t="n"/>
      <c r="J525" s="52" t="n"/>
      <c r="K525" s="47" t="n"/>
      <c r="L525" s="47" t="n"/>
      <c r="M525" s="24">
        <f>IF(OR($A525="",$C525=""),"",IF($L525&lt;&gt;"",$L525-$C525,TODAY()-$C525))</f>
        <v/>
      </c>
      <c r="N525" s="28">
        <f>IF(OR($A525="",$K525=""),"",IF($L525="",IF(TODAY()&gt;$K525,"Atrasado","En ruta"),IF($L525&lt;=$K525,"Sí","No")))</f>
        <v/>
      </c>
      <c r="O525" s="24">
        <f>IF($A525="","",COUNTIFS(NOVEDADES!$D$4:$D$1503,$A525))</f>
        <v/>
      </c>
      <c r="P525" s="28">
        <f>IF($A525="","",IF(COUNTIFS(NOVEDADES!$D$4:$D$1503,$A525,NOVEDADES!$O$4:$O$1503,"SÍ")&gt;0,"No","Sí"))</f>
        <v/>
      </c>
      <c r="Q525" s="28">
        <f>IF(OR($A525="",$L525=""),"",IF(AND($N525="Sí",$P525="Sí"),"OTIF","Falló"))</f>
        <v/>
      </c>
    </row>
    <row r="526" ht="16" customHeight="1">
      <c r="A526" s="48" t="n"/>
      <c r="B526" s="48" t="n"/>
      <c r="C526" s="47" t="n"/>
      <c r="D526" s="50" t="n"/>
      <c r="E526" s="50" t="n"/>
      <c r="F526" s="50" t="n"/>
      <c r="G526" s="50" t="n"/>
      <c r="H526" s="48" t="n"/>
      <c r="I526" s="51" t="n"/>
      <c r="J526" s="52" t="n"/>
      <c r="K526" s="47" t="n"/>
      <c r="L526" s="47" t="n"/>
      <c r="M526" s="24">
        <f>IF(OR($A526="",$C526=""),"",IF($L526&lt;&gt;"",$L526-$C526,TODAY()-$C526))</f>
        <v/>
      </c>
      <c r="N526" s="28">
        <f>IF(OR($A526="",$K526=""),"",IF($L526="",IF(TODAY()&gt;$K526,"Atrasado","En ruta"),IF($L526&lt;=$K526,"Sí","No")))</f>
        <v/>
      </c>
      <c r="O526" s="24">
        <f>IF($A526="","",COUNTIFS(NOVEDADES!$D$4:$D$1503,$A526))</f>
        <v/>
      </c>
      <c r="P526" s="28">
        <f>IF($A526="","",IF(COUNTIFS(NOVEDADES!$D$4:$D$1503,$A526,NOVEDADES!$O$4:$O$1503,"SÍ")&gt;0,"No","Sí"))</f>
        <v/>
      </c>
      <c r="Q526" s="28">
        <f>IF(OR($A526="",$L526=""),"",IF(AND($N526="Sí",$P526="Sí"),"OTIF","Falló"))</f>
        <v/>
      </c>
    </row>
    <row r="527" ht="16" customHeight="1">
      <c r="A527" s="48" t="n"/>
      <c r="B527" s="48" t="n"/>
      <c r="C527" s="47" t="n"/>
      <c r="D527" s="50" t="n"/>
      <c r="E527" s="50" t="n"/>
      <c r="F527" s="50" t="n"/>
      <c r="G527" s="50" t="n"/>
      <c r="H527" s="48" t="n"/>
      <c r="I527" s="51" t="n"/>
      <c r="J527" s="52" t="n"/>
      <c r="K527" s="47" t="n"/>
      <c r="L527" s="47" t="n"/>
      <c r="M527" s="24">
        <f>IF(OR($A527="",$C527=""),"",IF($L527&lt;&gt;"",$L527-$C527,TODAY()-$C527))</f>
        <v/>
      </c>
      <c r="N527" s="28">
        <f>IF(OR($A527="",$K527=""),"",IF($L527="",IF(TODAY()&gt;$K527,"Atrasado","En ruta"),IF($L527&lt;=$K527,"Sí","No")))</f>
        <v/>
      </c>
      <c r="O527" s="24">
        <f>IF($A527="","",COUNTIFS(NOVEDADES!$D$4:$D$1503,$A527))</f>
        <v/>
      </c>
      <c r="P527" s="28">
        <f>IF($A527="","",IF(COUNTIFS(NOVEDADES!$D$4:$D$1503,$A527,NOVEDADES!$O$4:$O$1503,"SÍ")&gt;0,"No","Sí"))</f>
        <v/>
      </c>
      <c r="Q527" s="28">
        <f>IF(OR($A527="",$L527=""),"",IF(AND($N527="Sí",$P527="Sí"),"OTIF","Falló"))</f>
        <v/>
      </c>
    </row>
    <row r="528" ht="16" customHeight="1">
      <c r="A528" s="48" t="n"/>
      <c r="B528" s="48" t="n"/>
      <c r="C528" s="47" t="n"/>
      <c r="D528" s="50" t="n"/>
      <c r="E528" s="50" t="n"/>
      <c r="F528" s="50" t="n"/>
      <c r="G528" s="50" t="n"/>
      <c r="H528" s="48" t="n"/>
      <c r="I528" s="51" t="n"/>
      <c r="J528" s="52" t="n"/>
      <c r="K528" s="47" t="n"/>
      <c r="L528" s="47" t="n"/>
      <c r="M528" s="24">
        <f>IF(OR($A528="",$C528=""),"",IF($L528&lt;&gt;"",$L528-$C528,TODAY()-$C528))</f>
        <v/>
      </c>
      <c r="N528" s="28">
        <f>IF(OR($A528="",$K528=""),"",IF($L528="",IF(TODAY()&gt;$K528,"Atrasado","En ruta"),IF($L528&lt;=$K528,"Sí","No")))</f>
        <v/>
      </c>
      <c r="O528" s="24">
        <f>IF($A528="","",COUNTIFS(NOVEDADES!$D$4:$D$1503,$A528))</f>
        <v/>
      </c>
      <c r="P528" s="28">
        <f>IF($A528="","",IF(COUNTIFS(NOVEDADES!$D$4:$D$1503,$A528,NOVEDADES!$O$4:$O$1503,"SÍ")&gt;0,"No","Sí"))</f>
        <v/>
      </c>
      <c r="Q528" s="28">
        <f>IF(OR($A528="",$L528=""),"",IF(AND($N528="Sí",$P528="Sí"),"OTIF","Falló"))</f>
        <v/>
      </c>
    </row>
    <row r="529" ht="16" customHeight="1">
      <c r="A529" s="48" t="n"/>
      <c r="B529" s="48" t="n"/>
      <c r="C529" s="47" t="n"/>
      <c r="D529" s="50" t="n"/>
      <c r="E529" s="50" t="n"/>
      <c r="F529" s="50" t="n"/>
      <c r="G529" s="50" t="n"/>
      <c r="H529" s="48" t="n"/>
      <c r="I529" s="51" t="n"/>
      <c r="J529" s="52" t="n"/>
      <c r="K529" s="47" t="n"/>
      <c r="L529" s="47" t="n"/>
      <c r="M529" s="24">
        <f>IF(OR($A529="",$C529=""),"",IF($L529&lt;&gt;"",$L529-$C529,TODAY()-$C529))</f>
        <v/>
      </c>
      <c r="N529" s="28">
        <f>IF(OR($A529="",$K529=""),"",IF($L529="",IF(TODAY()&gt;$K529,"Atrasado","En ruta"),IF($L529&lt;=$K529,"Sí","No")))</f>
        <v/>
      </c>
      <c r="O529" s="24">
        <f>IF($A529="","",COUNTIFS(NOVEDADES!$D$4:$D$1503,$A529))</f>
        <v/>
      </c>
      <c r="P529" s="28">
        <f>IF($A529="","",IF(COUNTIFS(NOVEDADES!$D$4:$D$1503,$A529,NOVEDADES!$O$4:$O$1503,"SÍ")&gt;0,"No","Sí"))</f>
        <v/>
      </c>
      <c r="Q529" s="28">
        <f>IF(OR($A529="",$L529=""),"",IF(AND($N529="Sí",$P529="Sí"),"OTIF","Falló"))</f>
        <v/>
      </c>
    </row>
    <row r="530" ht="16" customHeight="1">
      <c r="A530" s="48" t="n"/>
      <c r="B530" s="48" t="n"/>
      <c r="C530" s="47" t="n"/>
      <c r="D530" s="50" t="n"/>
      <c r="E530" s="50" t="n"/>
      <c r="F530" s="50" t="n"/>
      <c r="G530" s="50" t="n"/>
      <c r="H530" s="48" t="n"/>
      <c r="I530" s="51" t="n"/>
      <c r="J530" s="52" t="n"/>
      <c r="K530" s="47" t="n"/>
      <c r="L530" s="47" t="n"/>
      <c r="M530" s="24">
        <f>IF(OR($A530="",$C530=""),"",IF($L530&lt;&gt;"",$L530-$C530,TODAY()-$C530))</f>
        <v/>
      </c>
      <c r="N530" s="28">
        <f>IF(OR($A530="",$K530=""),"",IF($L530="",IF(TODAY()&gt;$K530,"Atrasado","En ruta"),IF($L530&lt;=$K530,"Sí","No")))</f>
        <v/>
      </c>
      <c r="O530" s="24">
        <f>IF($A530="","",COUNTIFS(NOVEDADES!$D$4:$D$1503,$A530))</f>
        <v/>
      </c>
      <c r="P530" s="28">
        <f>IF($A530="","",IF(COUNTIFS(NOVEDADES!$D$4:$D$1503,$A530,NOVEDADES!$O$4:$O$1503,"SÍ")&gt;0,"No","Sí"))</f>
        <v/>
      </c>
      <c r="Q530" s="28">
        <f>IF(OR($A530="",$L530=""),"",IF(AND($N530="Sí",$P530="Sí"),"OTIF","Falló"))</f>
        <v/>
      </c>
    </row>
    <row r="531" ht="16" customHeight="1">
      <c r="A531" s="48" t="n"/>
      <c r="B531" s="48" t="n"/>
      <c r="C531" s="47" t="n"/>
      <c r="D531" s="50" t="n"/>
      <c r="E531" s="50" t="n"/>
      <c r="F531" s="50" t="n"/>
      <c r="G531" s="50" t="n"/>
      <c r="H531" s="48" t="n"/>
      <c r="I531" s="51" t="n"/>
      <c r="J531" s="52" t="n"/>
      <c r="K531" s="47" t="n"/>
      <c r="L531" s="47" t="n"/>
      <c r="M531" s="24">
        <f>IF(OR($A531="",$C531=""),"",IF($L531&lt;&gt;"",$L531-$C531,TODAY()-$C531))</f>
        <v/>
      </c>
      <c r="N531" s="28">
        <f>IF(OR($A531="",$K531=""),"",IF($L531="",IF(TODAY()&gt;$K531,"Atrasado","En ruta"),IF($L531&lt;=$K531,"Sí","No")))</f>
        <v/>
      </c>
      <c r="O531" s="24">
        <f>IF($A531="","",COUNTIFS(NOVEDADES!$D$4:$D$1503,$A531))</f>
        <v/>
      </c>
      <c r="P531" s="28">
        <f>IF($A531="","",IF(COUNTIFS(NOVEDADES!$D$4:$D$1503,$A531,NOVEDADES!$O$4:$O$1503,"SÍ")&gt;0,"No","Sí"))</f>
        <v/>
      </c>
      <c r="Q531" s="28">
        <f>IF(OR($A531="",$L531=""),"",IF(AND($N531="Sí",$P531="Sí"),"OTIF","Falló"))</f>
        <v/>
      </c>
    </row>
    <row r="532" ht="16" customHeight="1">
      <c r="A532" s="48" t="n"/>
      <c r="B532" s="48" t="n"/>
      <c r="C532" s="47" t="n"/>
      <c r="D532" s="50" t="n"/>
      <c r="E532" s="50" t="n"/>
      <c r="F532" s="50" t="n"/>
      <c r="G532" s="50" t="n"/>
      <c r="H532" s="48" t="n"/>
      <c r="I532" s="51" t="n"/>
      <c r="J532" s="52" t="n"/>
      <c r="K532" s="47" t="n"/>
      <c r="L532" s="47" t="n"/>
      <c r="M532" s="24">
        <f>IF(OR($A532="",$C532=""),"",IF($L532&lt;&gt;"",$L532-$C532,TODAY()-$C532))</f>
        <v/>
      </c>
      <c r="N532" s="28">
        <f>IF(OR($A532="",$K532=""),"",IF($L532="",IF(TODAY()&gt;$K532,"Atrasado","En ruta"),IF($L532&lt;=$K532,"Sí","No")))</f>
        <v/>
      </c>
      <c r="O532" s="24">
        <f>IF($A532="","",COUNTIFS(NOVEDADES!$D$4:$D$1503,$A532))</f>
        <v/>
      </c>
      <c r="P532" s="28">
        <f>IF($A532="","",IF(COUNTIFS(NOVEDADES!$D$4:$D$1503,$A532,NOVEDADES!$O$4:$O$1503,"SÍ")&gt;0,"No","Sí"))</f>
        <v/>
      </c>
      <c r="Q532" s="28">
        <f>IF(OR($A532="",$L532=""),"",IF(AND($N532="Sí",$P532="Sí"),"OTIF","Falló"))</f>
        <v/>
      </c>
    </row>
    <row r="533" ht="16" customHeight="1">
      <c r="A533" s="48" t="n"/>
      <c r="B533" s="48" t="n"/>
      <c r="C533" s="47" t="n"/>
      <c r="D533" s="50" t="n"/>
      <c r="E533" s="50" t="n"/>
      <c r="F533" s="50" t="n"/>
      <c r="G533" s="50" t="n"/>
      <c r="H533" s="48" t="n"/>
      <c r="I533" s="51" t="n"/>
      <c r="J533" s="52" t="n"/>
      <c r="K533" s="47" t="n"/>
      <c r="L533" s="47" t="n"/>
      <c r="M533" s="24">
        <f>IF(OR($A533="",$C533=""),"",IF($L533&lt;&gt;"",$L533-$C533,TODAY()-$C533))</f>
        <v/>
      </c>
      <c r="N533" s="28">
        <f>IF(OR($A533="",$K533=""),"",IF($L533="",IF(TODAY()&gt;$K533,"Atrasado","En ruta"),IF($L533&lt;=$K533,"Sí","No")))</f>
        <v/>
      </c>
      <c r="O533" s="24">
        <f>IF($A533="","",COUNTIFS(NOVEDADES!$D$4:$D$1503,$A533))</f>
        <v/>
      </c>
      <c r="P533" s="28">
        <f>IF($A533="","",IF(COUNTIFS(NOVEDADES!$D$4:$D$1503,$A533,NOVEDADES!$O$4:$O$1503,"SÍ")&gt;0,"No","Sí"))</f>
        <v/>
      </c>
      <c r="Q533" s="28">
        <f>IF(OR($A533="",$L533=""),"",IF(AND($N533="Sí",$P533="Sí"),"OTIF","Falló"))</f>
        <v/>
      </c>
    </row>
    <row r="534" ht="16" customHeight="1">
      <c r="A534" s="48" t="n"/>
      <c r="B534" s="48" t="n"/>
      <c r="C534" s="47" t="n"/>
      <c r="D534" s="50" t="n"/>
      <c r="E534" s="50" t="n"/>
      <c r="F534" s="50" t="n"/>
      <c r="G534" s="50" t="n"/>
      <c r="H534" s="48" t="n"/>
      <c r="I534" s="51" t="n"/>
      <c r="J534" s="52" t="n"/>
      <c r="K534" s="47" t="n"/>
      <c r="L534" s="47" t="n"/>
      <c r="M534" s="24">
        <f>IF(OR($A534="",$C534=""),"",IF($L534&lt;&gt;"",$L534-$C534,TODAY()-$C534))</f>
        <v/>
      </c>
      <c r="N534" s="28">
        <f>IF(OR($A534="",$K534=""),"",IF($L534="",IF(TODAY()&gt;$K534,"Atrasado","En ruta"),IF($L534&lt;=$K534,"Sí","No")))</f>
        <v/>
      </c>
      <c r="O534" s="24">
        <f>IF($A534="","",COUNTIFS(NOVEDADES!$D$4:$D$1503,$A534))</f>
        <v/>
      </c>
      <c r="P534" s="28">
        <f>IF($A534="","",IF(COUNTIFS(NOVEDADES!$D$4:$D$1503,$A534,NOVEDADES!$O$4:$O$1503,"SÍ")&gt;0,"No","Sí"))</f>
        <v/>
      </c>
      <c r="Q534" s="28">
        <f>IF(OR($A534="",$L534=""),"",IF(AND($N534="Sí",$P534="Sí"),"OTIF","Falló"))</f>
        <v/>
      </c>
    </row>
    <row r="535" ht="16" customHeight="1">
      <c r="A535" s="48" t="n"/>
      <c r="B535" s="48" t="n"/>
      <c r="C535" s="47" t="n"/>
      <c r="D535" s="50" t="n"/>
      <c r="E535" s="50" t="n"/>
      <c r="F535" s="50" t="n"/>
      <c r="G535" s="50" t="n"/>
      <c r="H535" s="48" t="n"/>
      <c r="I535" s="51" t="n"/>
      <c r="J535" s="52" t="n"/>
      <c r="K535" s="47" t="n"/>
      <c r="L535" s="47" t="n"/>
      <c r="M535" s="24">
        <f>IF(OR($A535="",$C535=""),"",IF($L535&lt;&gt;"",$L535-$C535,TODAY()-$C535))</f>
        <v/>
      </c>
      <c r="N535" s="28">
        <f>IF(OR($A535="",$K535=""),"",IF($L535="",IF(TODAY()&gt;$K535,"Atrasado","En ruta"),IF($L535&lt;=$K535,"Sí","No")))</f>
        <v/>
      </c>
      <c r="O535" s="24">
        <f>IF($A535="","",COUNTIFS(NOVEDADES!$D$4:$D$1503,$A535))</f>
        <v/>
      </c>
      <c r="P535" s="28">
        <f>IF($A535="","",IF(COUNTIFS(NOVEDADES!$D$4:$D$1503,$A535,NOVEDADES!$O$4:$O$1503,"SÍ")&gt;0,"No","Sí"))</f>
        <v/>
      </c>
      <c r="Q535" s="28">
        <f>IF(OR($A535="",$L535=""),"",IF(AND($N535="Sí",$P535="Sí"),"OTIF","Falló"))</f>
        <v/>
      </c>
    </row>
    <row r="536" ht="16" customHeight="1">
      <c r="A536" s="48" t="n"/>
      <c r="B536" s="48" t="n"/>
      <c r="C536" s="47" t="n"/>
      <c r="D536" s="50" t="n"/>
      <c r="E536" s="50" t="n"/>
      <c r="F536" s="50" t="n"/>
      <c r="G536" s="50" t="n"/>
      <c r="H536" s="48" t="n"/>
      <c r="I536" s="51" t="n"/>
      <c r="J536" s="52" t="n"/>
      <c r="K536" s="47" t="n"/>
      <c r="L536" s="47" t="n"/>
      <c r="M536" s="24">
        <f>IF(OR($A536="",$C536=""),"",IF($L536&lt;&gt;"",$L536-$C536,TODAY()-$C536))</f>
        <v/>
      </c>
      <c r="N536" s="28">
        <f>IF(OR($A536="",$K536=""),"",IF($L536="",IF(TODAY()&gt;$K536,"Atrasado","En ruta"),IF($L536&lt;=$K536,"Sí","No")))</f>
        <v/>
      </c>
      <c r="O536" s="24">
        <f>IF($A536="","",COUNTIFS(NOVEDADES!$D$4:$D$1503,$A536))</f>
        <v/>
      </c>
      <c r="P536" s="28">
        <f>IF($A536="","",IF(COUNTIFS(NOVEDADES!$D$4:$D$1503,$A536,NOVEDADES!$O$4:$O$1503,"SÍ")&gt;0,"No","Sí"))</f>
        <v/>
      </c>
      <c r="Q536" s="28">
        <f>IF(OR($A536="",$L536=""),"",IF(AND($N536="Sí",$P536="Sí"),"OTIF","Falló"))</f>
        <v/>
      </c>
    </row>
    <row r="537" ht="16" customHeight="1">
      <c r="A537" s="48" t="n"/>
      <c r="B537" s="48" t="n"/>
      <c r="C537" s="47" t="n"/>
      <c r="D537" s="50" t="n"/>
      <c r="E537" s="50" t="n"/>
      <c r="F537" s="50" t="n"/>
      <c r="G537" s="50" t="n"/>
      <c r="H537" s="48" t="n"/>
      <c r="I537" s="51" t="n"/>
      <c r="J537" s="52" t="n"/>
      <c r="K537" s="47" t="n"/>
      <c r="L537" s="47" t="n"/>
      <c r="M537" s="24">
        <f>IF(OR($A537="",$C537=""),"",IF($L537&lt;&gt;"",$L537-$C537,TODAY()-$C537))</f>
        <v/>
      </c>
      <c r="N537" s="28">
        <f>IF(OR($A537="",$K537=""),"",IF($L537="",IF(TODAY()&gt;$K537,"Atrasado","En ruta"),IF($L537&lt;=$K537,"Sí","No")))</f>
        <v/>
      </c>
      <c r="O537" s="24">
        <f>IF($A537="","",COUNTIFS(NOVEDADES!$D$4:$D$1503,$A537))</f>
        <v/>
      </c>
      <c r="P537" s="28">
        <f>IF($A537="","",IF(COUNTIFS(NOVEDADES!$D$4:$D$1503,$A537,NOVEDADES!$O$4:$O$1503,"SÍ")&gt;0,"No","Sí"))</f>
        <v/>
      </c>
      <c r="Q537" s="28">
        <f>IF(OR($A537="",$L537=""),"",IF(AND($N537="Sí",$P537="Sí"),"OTIF","Falló"))</f>
        <v/>
      </c>
    </row>
    <row r="538" ht="16" customHeight="1">
      <c r="A538" s="48" t="n"/>
      <c r="B538" s="48" t="n"/>
      <c r="C538" s="47" t="n"/>
      <c r="D538" s="50" t="n"/>
      <c r="E538" s="50" t="n"/>
      <c r="F538" s="50" t="n"/>
      <c r="G538" s="50" t="n"/>
      <c r="H538" s="48" t="n"/>
      <c r="I538" s="51" t="n"/>
      <c r="J538" s="52" t="n"/>
      <c r="K538" s="47" t="n"/>
      <c r="L538" s="47" t="n"/>
      <c r="M538" s="24">
        <f>IF(OR($A538="",$C538=""),"",IF($L538&lt;&gt;"",$L538-$C538,TODAY()-$C538))</f>
        <v/>
      </c>
      <c r="N538" s="28">
        <f>IF(OR($A538="",$K538=""),"",IF($L538="",IF(TODAY()&gt;$K538,"Atrasado","En ruta"),IF($L538&lt;=$K538,"Sí","No")))</f>
        <v/>
      </c>
      <c r="O538" s="24">
        <f>IF($A538="","",COUNTIFS(NOVEDADES!$D$4:$D$1503,$A538))</f>
        <v/>
      </c>
      <c r="P538" s="28">
        <f>IF($A538="","",IF(COUNTIFS(NOVEDADES!$D$4:$D$1503,$A538,NOVEDADES!$O$4:$O$1503,"SÍ")&gt;0,"No","Sí"))</f>
        <v/>
      </c>
      <c r="Q538" s="28">
        <f>IF(OR($A538="",$L538=""),"",IF(AND($N538="Sí",$P538="Sí"),"OTIF","Falló"))</f>
        <v/>
      </c>
    </row>
    <row r="539" ht="16" customHeight="1">
      <c r="A539" s="48" t="n"/>
      <c r="B539" s="48" t="n"/>
      <c r="C539" s="47" t="n"/>
      <c r="D539" s="50" t="n"/>
      <c r="E539" s="50" t="n"/>
      <c r="F539" s="50" t="n"/>
      <c r="G539" s="50" t="n"/>
      <c r="H539" s="48" t="n"/>
      <c r="I539" s="51" t="n"/>
      <c r="J539" s="52" t="n"/>
      <c r="K539" s="47" t="n"/>
      <c r="L539" s="47" t="n"/>
      <c r="M539" s="24">
        <f>IF(OR($A539="",$C539=""),"",IF($L539&lt;&gt;"",$L539-$C539,TODAY()-$C539))</f>
        <v/>
      </c>
      <c r="N539" s="28">
        <f>IF(OR($A539="",$K539=""),"",IF($L539="",IF(TODAY()&gt;$K539,"Atrasado","En ruta"),IF($L539&lt;=$K539,"Sí","No")))</f>
        <v/>
      </c>
      <c r="O539" s="24">
        <f>IF($A539="","",COUNTIFS(NOVEDADES!$D$4:$D$1503,$A539))</f>
        <v/>
      </c>
      <c r="P539" s="28">
        <f>IF($A539="","",IF(COUNTIFS(NOVEDADES!$D$4:$D$1503,$A539,NOVEDADES!$O$4:$O$1503,"SÍ")&gt;0,"No","Sí"))</f>
        <v/>
      </c>
      <c r="Q539" s="28">
        <f>IF(OR($A539="",$L539=""),"",IF(AND($N539="Sí",$P539="Sí"),"OTIF","Falló"))</f>
        <v/>
      </c>
    </row>
    <row r="540" ht="16" customHeight="1">
      <c r="A540" s="48" t="n"/>
      <c r="B540" s="48" t="n"/>
      <c r="C540" s="47" t="n"/>
      <c r="D540" s="50" t="n"/>
      <c r="E540" s="50" t="n"/>
      <c r="F540" s="50" t="n"/>
      <c r="G540" s="50" t="n"/>
      <c r="H540" s="48" t="n"/>
      <c r="I540" s="51" t="n"/>
      <c r="J540" s="52" t="n"/>
      <c r="K540" s="47" t="n"/>
      <c r="L540" s="47" t="n"/>
      <c r="M540" s="24">
        <f>IF(OR($A540="",$C540=""),"",IF($L540&lt;&gt;"",$L540-$C540,TODAY()-$C540))</f>
        <v/>
      </c>
      <c r="N540" s="28">
        <f>IF(OR($A540="",$K540=""),"",IF($L540="",IF(TODAY()&gt;$K540,"Atrasado","En ruta"),IF($L540&lt;=$K540,"Sí","No")))</f>
        <v/>
      </c>
      <c r="O540" s="24">
        <f>IF($A540="","",COUNTIFS(NOVEDADES!$D$4:$D$1503,$A540))</f>
        <v/>
      </c>
      <c r="P540" s="28">
        <f>IF($A540="","",IF(COUNTIFS(NOVEDADES!$D$4:$D$1503,$A540,NOVEDADES!$O$4:$O$1503,"SÍ")&gt;0,"No","Sí"))</f>
        <v/>
      </c>
      <c r="Q540" s="28">
        <f>IF(OR($A540="",$L540=""),"",IF(AND($N540="Sí",$P540="Sí"),"OTIF","Falló"))</f>
        <v/>
      </c>
    </row>
    <row r="541" ht="16" customHeight="1">
      <c r="A541" s="48" t="n"/>
      <c r="B541" s="48" t="n"/>
      <c r="C541" s="47" t="n"/>
      <c r="D541" s="50" t="n"/>
      <c r="E541" s="50" t="n"/>
      <c r="F541" s="50" t="n"/>
      <c r="G541" s="50" t="n"/>
      <c r="H541" s="48" t="n"/>
      <c r="I541" s="51" t="n"/>
      <c r="J541" s="52" t="n"/>
      <c r="K541" s="47" t="n"/>
      <c r="L541" s="47" t="n"/>
      <c r="M541" s="24">
        <f>IF(OR($A541="",$C541=""),"",IF($L541&lt;&gt;"",$L541-$C541,TODAY()-$C541))</f>
        <v/>
      </c>
      <c r="N541" s="28">
        <f>IF(OR($A541="",$K541=""),"",IF($L541="",IF(TODAY()&gt;$K541,"Atrasado","En ruta"),IF($L541&lt;=$K541,"Sí","No")))</f>
        <v/>
      </c>
      <c r="O541" s="24">
        <f>IF($A541="","",COUNTIFS(NOVEDADES!$D$4:$D$1503,$A541))</f>
        <v/>
      </c>
      <c r="P541" s="28">
        <f>IF($A541="","",IF(COUNTIFS(NOVEDADES!$D$4:$D$1503,$A541,NOVEDADES!$O$4:$O$1503,"SÍ")&gt;0,"No","Sí"))</f>
        <v/>
      </c>
      <c r="Q541" s="28">
        <f>IF(OR($A541="",$L541=""),"",IF(AND($N541="Sí",$P541="Sí"),"OTIF","Falló"))</f>
        <v/>
      </c>
    </row>
    <row r="542" ht="16" customHeight="1">
      <c r="A542" s="48" t="n"/>
      <c r="B542" s="48" t="n"/>
      <c r="C542" s="47" t="n"/>
      <c r="D542" s="50" t="n"/>
      <c r="E542" s="50" t="n"/>
      <c r="F542" s="50" t="n"/>
      <c r="G542" s="50" t="n"/>
      <c r="H542" s="48" t="n"/>
      <c r="I542" s="51" t="n"/>
      <c r="J542" s="52" t="n"/>
      <c r="K542" s="47" t="n"/>
      <c r="L542" s="47" t="n"/>
      <c r="M542" s="24">
        <f>IF(OR($A542="",$C542=""),"",IF($L542&lt;&gt;"",$L542-$C542,TODAY()-$C542))</f>
        <v/>
      </c>
      <c r="N542" s="28">
        <f>IF(OR($A542="",$K542=""),"",IF($L542="",IF(TODAY()&gt;$K542,"Atrasado","En ruta"),IF($L542&lt;=$K542,"Sí","No")))</f>
        <v/>
      </c>
      <c r="O542" s="24">
        <f>IF($A542="","",COUNTIFS(NOVEDADES!$D$4:$D$1503,$A542))</f>
        <v/>
      </c>
      <c r="P542" s="28">
        <f>IF($A542="","",IF(COUNTIFS(NOVEDADES!$D$4:$D$1503,$A542,NOVEDADES!$O$4:$O$1503,"SÍ")&gt;0,"No","Sí"))</f>
        <v/>
      </c>
      <c r="Q542" s="28">
        <f>IF(OR($A542="",$L542=""),"",IF(AND($N542="Sí",$P542="Sí"),"OTIF","Falló"))</f>
        <v/>
      </c>
    </row>
    <row r="543" ht="16" customHeight="1">
      <c r="A543" s="48" t="n"/>
      <c r="B543" s="48" t="n"/>
      <c r="C543" s="47" t="n"/>
      <c r="D543" s="50" t="n"/>
      <c r="E543" s="50" t="n"/>
      <c r="F543" s="50" t="n"/>
      <c r="G543" s="50" t="n"/>
      <c r="H543" s="48" t="n"/>
      <c r="I543" s="51" t="n"/>
      <c r="J543" s="52" t="n"/>
      <c r="K543" s="47" t="n"/>
      <c r="L543" s="47" t="n"/>
      <c r="M543" s="24">
        <f>IF(OR($A543="",$C543=""),"",IF($L543&lt;&gt;"",$L543-$C543,TODAY()-$C543))</f>
        <v/>
      </c>
      <c r="N543" s="28">
        <f>IF(OR($A543="",$K543=""),"",IF($L543="",IF(TODAY()&gt;$K543,"Atrasado","En ruta"),IF($L543&lt;=$K543,"Sí","No")))</f>
        <v/>
      </c>
      <c r="O543" s="24">
        <f>IF($A543="","",COUNTIFS(NOVEDADES!$D$4:$D$1503,$A543))</f>
        <v/>
      </c>
      <c r="P543" s="28">
        <f>IF($A543="","",IF(COUNTIFS(NOVEDADES!$D$4:$D$1503,$A543,NOVEDADES!$O$4:$O$1503,"SÍ")&gt;0,"No","Sí"))</f>
        <v/>
      </c>
      <c r="Q543" s="28">
        <f>IF(OR($A543="",$L543=""),"",IF(AND($N543="Sí",$P543="Sí"),"OTIF","Falló"))</f>
        <v/>
      </c>
    </row>
    <row r="544" ht="16" customHeight="1">
      <c r="A544" s="48" t="n"/>
      <c r="B544" s="48" t="n"/>
      <c r="C544" s="47" t="n"/>
      <c r="D544" s="50" t="n"/>
      <c r="E544" s="50" t="n"/>
      <c r="F544" s="50" t="n"/>
      <c r="G544" s="50" t="n"/>
      <c r="H544" s="48" t="n"/>
      <c r="I544" s="51" t="n"/>
      <c r="J544" s="52" t="n"/>
      <c r="K544" s="47" t="n"/>
      <c r="L544" s="47" t="n"/>
      <c r="M544" s="24">
        <f>IF(OR($A544="",$C544=""),"",IF($L544&lt;&gt;"",$L544-$C544,TODAY()-$C544))</f>
        <v/>
      </c>
      <c r="N544" s="28">
        <f>IF(OR($A544="",$K544=""),"",IF($L544="",IF(TODAY()&gt;$K544,"Atrasado","En ruta"),IF($L544&lt;=$K544,"Sí","No")))</f>
        <v/>
      </c>
      <c r="O544" s="24">
        <f>IF($A544="","",COUNTIFS(NOVEDADES!$D$4:$D$1503,$A544))</f>
        <v/>
      </c>
      <c r="P544" s="28">
        <f>IF($A544="","",IF(COUNTIFS(NOVEDADES!$D$4:$D$1503,$A544,NOVEDADES!$O$4:$O$1503,"SÍ")&gt;0,"No","Sí"))</f>
        <v/>
      </c>
      <c r="Q544" s="28">
        <f>IF(OR($A544="",$L544=""),"",IF(AND($N544="Sí",$P544="Sí"),"OTIF","Falló"))</f>
        <v/>
      </c>
    </row>
    <row r="545" ht="16" customHeight="1">
      <c r="A545" s="48" t="n"/>
      <c r="B545" s="48" t="n"/>
      <c r="C545" s="47" t="n"/>
      <c r="D545" s="50" t="n"/>
      <c r="E545" s="50" t="n"/>
      <c r="F545" s="50" t="n"/>
      <c r="G545" s="50" t="n"/>
      <c r="H545" s="48" t="n"/>
      <c r="I545" s="51" t="n"/>
      <c r="J545" s="52" t="n"/>
      <c r="K545" s="47" t="n"/>
      <c r="L545" s="47" t="n"/>
      <c r="M545" s="24">
        <f>IF(OR($A545="",$C545=""),"",IF($L545&lt;&gt;"",$L545-$C545,TODAY()-$C545))</f>
        <v/>
      </c>
      <c r="N545" s="28">
        <f>IF(OR($A545="",$K545=""),"",IF($L545="",IF(TODAY()&gt;$K545,"Atrasado","En ruta"),IF($L545&lt;=$K545,"Sí","No")))</f>
        <v/>
      </c>
      <c r="O545" s="24">
        <f>IF($A545="","",COUNTIFS(NOVEDADES!$D$4:$D$1503,$A545))</f>
        <v/>
      </c>
      <c r="P545" s="28">
        <f>IF($A545="","",IF(COUNTIFS(NOVEDADES!$D$4:$D$1503,$A545,NOVEDADES!$O$4:$O$1503,"SÍ")&gt;0,"No","Sí"))</f>
        <v/>
      </c>
      <c r="Q545" s="28">
        <f>IF(OR($A545="",$L545=""),"",IF(AND($N545="Sí",$P545="Sí"),"OTIF","Falló"))</f>
        <v/>
      </c>
    </row>
    <row r="546" ht="16" customHeight="1">
      <c r="A546" s="48" t="n"/>
      <c r="B546" s="48" t="n"/>
      <c r="C546" s="47" t="n"/>
      <c r="D546" s="50" t="n"/>
      <c r="E546" s="50" t="n"/>
      <c r="F546" s="50" t="n"/>
      <c r="G546" s="50" t="n"/>
      <c r="H546" s="48" t="n"/>
      <c r="I546" s="51" t="n"/>
      <c r="J546" s="52" t="n"/>
      <c r="K546" s="47" t="n"/>
      <c r="L546" s="47" t="n"/>
      <c r="M546" s="24">
        <f>IF(OR($A546="",$C546=""),"",IF($L546&lt;&gt;"",$L546-$C546,TODAY()-$C546))</f>
        <v/>
      </c>
      <c r="N546" s="28">
        <f>IF(OR($A546="",$K546=""),"",IF($L546="",IF(TODAY()&gt;$K546,"Atrasado","En ruta"),IF($L546&lt;=$K546,"Sí","No")))</f>
        <v/>
      </c>
      <c r="O546" s="24">
        <f>IF($A546="","",COUNTIFS(NOVEDADES!$D$4:$D$1503,$A546))</f>
        <v/>
      </c>
      <c r="P546" s="28">
        <f>IF($A546="","",IF(COUNTIFS(NOVEDADES!$D$4:$D$1503,$A546,NOVEDADES!$O$4:$O$1503,"SÍ")&gt;0,"No","Sí"))</f>
        <v/>
      </c>
      <c r="Q546" s="28">
        <f>IF(OR($A546="",$L546=""),"",IF(AND($N546="Sí",$P546="Sí"),"OTIF","Falló"))</f>
        <v/>
      </c>
    </row>
    <row r="547" ht="16" customHeight="1">
      <c r="A547" s="48" t="n"/>
      <c r="B547" s="48" t="n"/>
      <c r="C547" s="47" t="n"/>
      <c r="D547" s="50" t="n"/>
      <c r="E547" s="50" t="n"/>
      <c r="F547" s="50" t="n"/>
      <c r="G547" s="50" t="n"/>
      <c r="H547" s="48" t="n"/>
      <c r="I547" s="51" t="n"/>
      <c r="J547" s="52" t="n"/>
      <c r="K547" s="47" t="n"/>
      <c r="L547" s="47" t="n"/>
      <c r="M547" s="24">
        <f>IF(OR($A547="",$C547=""),"",IF($L547&lt;&gt;"",$L547-$C547,TODAY()-$C547))</f>
        <v/>
      </c>
      <c r="N547" s="28">
        <f>IF(OR($A547="",$K547=""),"",IF($L547="",IF(TODAY()&gt;$K547,"Atrasado","En ruta"),IF($L547&lt;=$K547,"Sí","No")))</f>
        <v/>
      </c>
      <c r="O547" s="24">
        <f>IF($A547="","",COUNTIFS(NOVEDADES!$D$4:$D$1503,$A547))</f>
        <v/>
      </c>
      <c r="P547" s="28">
        <f>IF($A547="","",IF(COUNTIFS(NOVEDADES!$D$4:$D$1503,$A547,NOVEDADES!$O$4:$O$1503,"SÍ")&gt;0,"No","Sí"))</f>
        <v/>
      </c>
      <c r="Q547" s="28">
        <f>IF(OR($A547="",$L547=""),"",IF(AND($N547="Sí",$P547="Sí"),"OTIF","Falló"))</f>
        <v/>
      </c>
    </row>
    <row r="548" ht="16" customHeight="1">
      <c r="A548" s="48" t="n"/>
      <c r="B548" s="48" t="n"/>
      <c r="C548" s="47" t="n"/>
      <c r="D548" s="50" t="n"/>
      <c r="E548" s="50" t="n"/>
      <c r="F548" s="50" t="n"/>
      <c r="G548" s="50" t="n"/>
      <c r="H548" s="48" t="n"/>
      <c r="I548" s="51" t="n"/>
      <c r="J548" s="52" t="n"/>
      <c r="K548" s="47" t="n"/>
      <c r="L548" s="47" t="n"/>
      <c r="M548" s="24">
        <f>IF(OR($A548="",$C548=""),"",IF($L548&lt;&gt;"",$L548-$C548,TODAY()-$C548))</f>
        <v/>
      </c>
      <c r="N548" s="28">
        <f>IF(OR($A548="",$K548=""),"",IF($L548="",IF(TODAY()&gt;$K548,"Atrasado","En ruta"),IF($L548&lt;=$K548,"Sí","No")))</f>
        <v/>
      </c>
      <c r="O548" s="24">
        <f>IF($A548="","",COUNTIFS(NOVEDADES!$D$4:$D$1503,$A548))</f>
        <v/>
      </c>
      <c r="P548" s="28">
        <f>IF($A548="","",IF(COUNTIFS(NOVEDADES!$D$4:$D$1503,$A548,NOVEDADES!$O$4:$O$1503,"SÍ")&gt;0,"No","Sí"))</f>
        <v/>
      </c>
      <c r="Q548" s="28">
        <f>IF(OR($A548="",$L548=""),"",IF(AND($N548="Sí",$P548="Sí"),"OTIF","Falló"))</f>
        <v/>
      </c>
    </row>
    <row r="549" ht="16" customHeight="1">
      <c r="A549" s="48" t="n"/>
      <c r="B549" s="48" t="n"/>
      <c r="C549" s="47" t="n"/>
      <c r="D549" s="50" t="n"/>
      <c r="E549" s="50" t="n"/>
      <c r="F549" s="50" t="n"/>
      <c r="G549" s="50" t="n"/>
      <c r="H549" s="48" t="n"/>
      <c r="I549" s="51" t="n"/>
      <c r="J549" s="52" t="n"/>
      <c r="K549" s="47" t="n"/>
      <c r="L549" s="47" t="n"/>
      <c r="M549" s="24">
        <f>IF(OR($A549="",$C549=""),"",IF($L549&lt;&gt;"",$L549-$C549,TODAY()-$C549))</f>
        <v/>
      </c>
      <c r="N549" s="28">
        <f>IF(OR($A549="",$K549=""),"",IF($L549="",IF(TODAY()&gt;$K549,"Atrasado","En ruta"),IF($L549&lt;=$K549,"Sí","No")))</f>
        <v/>
      </c>
      <c r="O549" s="24">
        <f>IF($A549="","",COUNTIFS(NOVEDADES!$D$4:$D$1503,$A549))</f>
        <v/>
      </c>
      <c r="P549" s="28">
        <f>IF($A549="","",IF(COUNTIFS(NOVEDADES!$D$4:$D$1503,$A549,NOVEDADES!$O$4:$O$1503,"SÍ")&gt;0,"No","Sí"))</f>
        <v/>
      </c>
      <c r="Q549" s="28">
        <f>IF(OR($A549="",$L549=""),"",IF(AND($N549="Sí",$P549="Sí"),"OTIF","Falló"))</f>
        <v/>
      </c>
    </row>
    <row r="550" ht="16" customHeight="1">
      <c r="A550" s="48" t="n"/>
      <c r="B550" s="48" t="n"/>
      <c r="C550" s="47" t="n"/>
      <c r="D550" s="50" t="n"/>
      <c r="E550" s="50" t="n"/>
      <c r="F550" s="50" t="n"/>
      <c r="G550" s="50" t="n"/>
      <c r="H550" s="48" t="n"/>
      <c r="I550" s="51" t="n"/>
      <c r="J550" s="52" t="n"/>
      <c r="K550" s="47" t="n"/>
      <c r="L550" s="47" t="n"/>
      <c r="M550" s="24">
        <f>IF(OR($A550="",$C550=""),"",IF($L550&lt;&gt;"",$L550-$C550,TODAY()-$C550))</f>
        <v/>
      </c>
      <c r="N550" s="28">
        <f>IF(OR($A550="",$K550=""),"",IF($L550="",IF(TODAY()&gt;$K550,"Atrasado","En ruta"),IF($L550&lt;=$K550,"Sí","No")))</f>
        <v/>
      </c>
      <c r="O550" s="24">
        <f>IF($A550="","",COUNTIFS(NOVEDADES!$D$4:$D$1503,$A550))</f>
        <v/>
      </c>
      <c r="P550" s="28">
        <f>IF($A550="","",IF(COUNTIFS(NOVEDADES!$D$4:$D$1503,$A550,NOVEDADES!$O$4:$O$1503,"SÍ")&gt;0,"No","Sí"))</f>
        <v/>
      </c>
      <c r="Q550" s="28">
        <f>IF(OR($A550="",$L550=""),"",IF(AND($N550="Sí",$P550="Sí"),"OTIF","Falló"))</f>
        <v/>
      </c>
    </row>
    <row r="551" ht="16" customHeight="1">
      <c r="A551" s="48" t="n"/>
      <c r="B551" s="48" t="n"/>
      <c r="C551" s="47" t="n"/>
      <c r="D551" s="50" t="n"/>
      <c r="E551" s="50" t="n"/>
      <c r="F551" s="50" t="n"/>
      <c r="G551" s="50" t="n"/>
      <c r="H551" s="48" t="n"/>
      <c r="I551" s="51" t="n"/>
      <c r="J551" s="52" t="n"/>
      <c r="K551" s="47" t="n"/>
      <c r="L551" s="47" t="n"/>
      <c r="M551" s="24">
        <f>IF(OR($A551="",$C551=""),"",IF($L551&lt;&gt;"",$L551-$C551,TODAY()-$C551))</f>
        <v/>
      </c>
      <c r="N551" s="28">
        <f>IF(OR($A551="",$K551=""),"",IF($L551="",IF(TODAY()&gt;$K551,"Atrasado","En ruta"),IF($L551&lt;=$K551,"Sí","No")))</f>
        <v/>
      </c>
      <c r="O551" s="24">
        <f>IF($A551="","",COUNTIFS(NOVEDADES!$D$4:$D$1503,$A551))</f>
        <v/>
      </c>
      <c r="P551" s="28">
        <f>IF($A551="","",IF(COUNTIFS(NOVEDADES!$D$4:$D$1503,$A551,NOVEDADES!$O$4:$O$1503,"SÍ")&gt;0,"No","Sí"))</f>
        <v/>
      </c>
      <c r="Q551" s="28">
        <f>IF(OR($A551="",$L551=""),"",IF(AND($N551="Sí",$P551="Sí"),"OTIF","Falló"))</f>
        <v/>
      </c>
    </row>
    <row r="552" ht="16" customHeight="1">
      <c r="A552" s="48" t="n"/>
      <c r="B552" s="48" t="n"/>
      <c r="C552" s="47" t="n"/>
      <c r="D552" s="50" t="n"/>
      <c r="E552" s="50" t="n"/>
      <c r="F552" s="50" t="n"/>
      <c r="G552" s="50" t="n"/>
      <c r="H552" s="48" t="n"/>
      <c r="I552" s="51" t="n"/>
      <c r="J552" s="52" t="n"/>
      <c r="K552" s="47" t="n"/>
      <c r="L552" s="47" t="n"/>
      <c r="M552" s="24">
        <f>IF(OR($A552="",$C552=""),"",IF($L552&lt;&gt;"",$L552-$C552,TODAY()-$C552))</f>
        <v/>
      </c>
      <c r="N552" s="28">
        <f>IF(OR($A552="",$K552=""),"",IF($L552="",IF(TODAY()&gt;$K552,"Atrasado","En ruta"),IF($L552&lt;=$K552,"Sí","No")))</f>
        <v/>
      </c>
      <c r="O552" s="24">
        <f>IF($A552="","",COUNTIFS(NOVEDADES!$D$4:$D$1503,$A552))</f>
        <v/>
      </c>
      <c r="P552" s="28">
        <f>IF($A552="","",IF(COUNTIFS(NOVEDADES!$D$4:$D$1503,$A552,NOVEDADES!$O$4:$O$1503,"SÍ")&gt;0,"No","Sí"))</f>
        <v/>
      </c>
      <c r="Q552" s="28">
        <f>IF(OR($A552="",$L552=""),"",IF(AND($N552="Sí",$P552="Sí"),"OTIF","Falló"))</f>
        <v/>
      </c>
    </row>
    <row r="553" ht="16" customHeight="1">
      <c r="A553" s="48" t="n"/>
      <c r="B553" s="48" t="n"/>
      <c r="C553" s="47" t="n"/>
      <c r="D553" s="50" t="n"/>
      <c r="E553" s="50" t="n"/>
      <c r="F553" s="50" t="n"/>
      <c r="G553" s="50" t="n"/>
      <c r="H553" s="48" t="n"/>
      <c r="I553" s="51" t="n"/>
      <c r="J553" s="52" t="n"/>
      <c r="K553" s="47" t="n"/>
      <c r="L553" s="47" t="n"/>
      <c r="M553" s="24">
        <f>IF(OR($A553="",$C553=""),"",IF($L553&lt;&gt;"",$L553-$C553,TODAY()-$C553))</f>
        <v/>
      </c>
      <c r="N553" s="28">
        <f>IF(OR($A553="",$K553=""),"",IF($L553="",IF(TODAY()&gt;$K553,"Atrasado","En ruta"),IF($L553&lt;=$K553,"Sí","No")))</f>
        <v/>
      </c>
      <c r="O553" s="24">
        <f>IF($A553="","",COUNTIFS(NOVEDADES!$D$4:$D$1503,$A553))</f>
        <v/>
      </c>
      <c r="P553" s="28">
        <f>IF($A553="","",IF(COUNTIFS(NOVEDADES!$D$4:$D$1503,$A553,NOVEDADES!$O$4:$O$1503,"SÍ")&gt;0,"No","Sí"))</f>
        <v/>
      </c>
      <c r="Q553" s="28">
        <f>IF(OR($A553="",$L553=""),"",IF(AND($N553="Sí",$P553="Sí"),"OTIF","Falló"))</f>
        <v/>
      </c>
    </row>
    <row r="554" ht="16" customHeight="1">
      <c r="A554" s="48" t="n"/>
      <c r="B554" s="48" t="n"/>
      <c r="C554" s="47" t="n"/>
      <c r="D554" s="50" t="n"/>
      <c r="E554" s="50" t="n"/>
      <c r="F554" s="50" t="n"/>
      <c r="G554" s="50" t="n"/>
      <c r="H554" s="48" t="n"/>
      <c r="I554" s="51" t="n"/>
      <c r="J554" s="52" t="n"/>
      <c r="K554" s="47" t="n"/>
      <c r="L554" s="47" t="n"/>
      <c r="M554" s="24">
        <f>IF(OR($A554="",$C554=""),"",IF($L554&lt;&gt;"",$L554-$C554,TODAY()-$C554))</f>
        <v/>
      </c>
      <c r="N554" s="28">
        <f>IF(OR($A554="",$K554=""),"",IF($L554="",IF(TODAY()&gt;$K554,"Atrasado","En ruta"),IF($L554&lt;=$K554,"Sí","No")))</f>
        <v/>
      </c>
      <c r="O554" s="24">
        <f>IF($A554="","",COUNTIFS(NOVEDADES!$D$4:$D$1503,$A554))</f>
        <v/>
      </c>
      <c r="P554" s="28">
        <f>IF($A554="","",IF(COUNTIFS(NOVEDADES!$D$4:$D$1503,$A554,NOVEDADES!$O$4:$O$1503,"SÍ")&gt;0,"No","Sí"))</f>
        <v/>
      </c>
      <c r="Q554" s="28">
        <f>IF(OR($A554="",$L554=""),"",IF(AND($N554="Sí",$P554="Sí"),"OTIF","Falló"))</f>
        <v/>
      </c>
    </row>
    <row r="555" ht="16" customHeight="1">
      <c r="A555" s="48" t="n"/>
      <c r="B555" s="48" t="n"/>
      <c r="C555" s="47" t="n"/>
      <c r="D555" s="50" t="n"/>
      <c r="E555" s="50" t="n"/>
      <c r="F555" s="50" t="n"/>
      <c r="G555" s="50" t="n"/>
      <c r="H555" s="48" t="n"/>
      <c r="I555" s="51" t="n"/>
      <c r="J555" s="52" t="n"/>
      <c r="K555" s="47" t="n"/>
      <c r="L555" s="47" t="n"/>
      <c r="M555" s="24">
        <f>IF(OR($A555="",$C555=""),"",IF($L555&lt;&gt;"",$L555-$C555,TODAY()-$C555))</f>
        <v/>
      </c>
      <c r="N555" s="28">
        <f>IF(OR($A555="",$K555=""),"",IF($L555="",IF(TODAY()&gt;$K555,"Atrasado","En ruta"),IF($L555&lt;=$K555,"Sí","No")))</f>
        <v/>
      </c>
      <c r="O555" s="24">
        <f>IF($A555="","",COUNTIFS(NOVEDADES!$D$4:$D$1503,$A555))</f>
        <v/>
      </c>
      <c r="P555" s="28">
        <f>IF($A555="","",IF(COUNTIFS(NOVEDADES!$D$4:$D$1503,$A555,NOVEDADES!$O$4:$O$1503,"SÍ")&gt;0,"No","Sí"))</f>
        <v/>
      </c>
      <c r="Q555" s="28">
        <f>IF(OR($A555="",$L555=""),"",IF(AND($N555="Sí",$P555="Sí"),"OTIF","Falló"))</f>
        <v/>
      </c>
    </row>
    <row r="556" ht="16" customHeight="1">
      <c r="A556" s="48" t="n"/>
      <c r="B556" s="48" t="n"/>
      <c r="C556" s="47" t="n"/>
      <c r="D556" s="50" t="n"/>
      <c r="E556" s="50" t="n"/>
      <c r="F556" s="50" t="n"/>
      <c r="G556" s="50" t="n"/>
      <c r="H556" s="48" t="n"/>
      <c r="I556" s="51" t="n"/>
      <c r="J556" s="52" t="n"/>
      <c r="K556" s="47" t="n"/>
      <c r="L556" s="47" t="n"/>
      <c r="M556" s="24">
        <f>IF(OR($A556="",$C556=""),"",IF($L556&lt;&gt;"",$L556-$C556,TODAY()-$C556))</f>
        <v/>
      </c>
      <c r="N556" s="28">
        <f>IF(OR($A556="",$K556=""),"",IF($L556="",IF(TODAY()&gt;$K556,"Atrasado","En ruta"),IF($L556&lt;=$K556,"Sí","No")))</f>
        <v/>
      </c>
      <c r="O556" s="24">
        <f>IF($A556="","",COUNTIFS(NOVEDADES!$D$4:$D$1503,$A556))</f>
        <v/>
      </c>
      <c r="P556" s="28">
        <f>IF($A556="","",IF(COUNTIFS(NOVEDADES!$D$4:$D$1503,$A556,NOVEDADES!$O$4:$O$1503,"SÍ")&gt;0,"No","Sí"))</f>
        <v/>
      </c>
      <c r="Q556" s="28">
        <f>IF(OR($A556="",$L556=""),"",IF(AND($N556="Sí",$P556="Sí"),"OTIF","Falló"))</f>
        <v/>
      </c>
    </row>
    <row r="557" ht="16" customHeight="1">
      <c r="A557" s="48" t="n"/>
      <c r="B557" s="48" t="n"/>
      <c r="C557" s="47" t="n"/>
      <c r="D557" s="50" t="n"/>
      <c r="E557" s="50" t="n"/>
      <c r="F557" s="50" t="n"/>
      <c r="G557" s="50" t="n"/>
      <c r="H557" s="48" t="n"/>
      <c r="I557" s="51" t="n"/>
      <c r="J557" s="52" t="n"/>
      <c r="K557" s="47" t="n"/>
      <c r="L557" s="47" t="n"/>
      <c r="M557" s="24">
        <f>IF(OR($A557="",$C557=""),"",IF($L557&lt;&gt;"",$L557-$C557,TODAY()-$C557))</f>
        <v/>
      </c>
      <c r="N557" s="28">
        <f>IF(OR($A557="",$K557=""),"",IF($L557="",IF(TODAY()&gt;$K557,"Atrasado","En ruta"),IF($L557&lt;=$K557,"Sí","No")))</f>
        <v/>
      </c>
      <c r="O557" s="24">
        <f>IF($A557="","",COUNTIFS(NOVEDADES!$D$4:$D$1503,$A557))</f>
        <v/>
      </c>
      <c r="P557" s="28">
        <f>IF($A557="","",IF(COUNTIFS(NOVEDADES!$D$4:$D$1503,$A557,NOVEDADES!$O$4:$O$1503,"SÍ")&gt;0,"No","Sí"))</f>
        <v/>
      </c>
      <c r="Q557" s="28">
        <f>IF(OR($A557="",$L557=""),"",IF(AND($N557="Sí",$P557="Sí"),"OTIF","Falló"))</f>
        <v/>
      </c>
    </row>
    <row r="558" ht="16" customHeight="1">
      <c r="A558" s="48" t="n"/>
      <c r="B558" s="48" t="n"/>
      <c r="C558" s="47" t="n"/>
      <c r="D558" s="50" t="n"/>
      <c r="E558" s="50" t="n"/>
      <c r="F558" s="50" t="n"/>
      <c r="G558" s="50" t="n"/>
      <c r="H558" s="48" t="n"/>
      <c r="I558" s="51" t="n"/>
      <c r="J558" s="52" t="n"/>
      <c r="K558" s="47" t="n"/>
      <c r="L558" s="47" t="n"/>
      <c r="M558" s="24">
        <f>IF(OR($A558="",$C558=""),"",IF($L558&lt;&gt;"",$L558-$C558,TODAY()-$C558))</f>
        <v/>
      </c>
      <c r="N558" s="28">
        <f>IF(OR($A558="",$K558=""),"",IF($L558="",IF(TODAY()&gt;$K558,"Atrasado","En ruta"),IF($L558&lt;=$K558,"Sí","No")))</f>
        <v/>
      </c>
      <c r="O558" s="24">
        <f>IF($A558="","",COUNTIFS(NOVEDADES!$D$4:$D$1503,$A558))</f>
        <v/>
      </c>
      <c r="P558" s="28">
        <f>IF($A558="","",IF(COUNTIFS(NOVEDADES!$D$4:$D$1503,$A558,NOVEDADES!$O$4:$O$1503,"SÍ")&gt;0,"No","Sí"))</f>
        <v/>
      </c>
      <c r="Q558" s="28">
        <f>IF(OR($A558="",$L558=""),"",IF(AND($N558="Sí",$P558="Sí"),"OTIF","Falló"))</f>
        <v/>
      </c>
    </row>
    <row r="559" ht="16" customHeight="1">
      <c r="A559" s="48" t="n"/>
      <c r="B559" s="48" t="n"/>
      <c r="C559" s="47" t="n"/>
      <c r="D559" s="50" t="n"/>
      <c r="E559" s="50" t="n"/>
      <c r="F559" s="50" t="n"/>
      <c r="G559" s="50" t="n"/>
      <c r="H559" s="48" t="n"/>
      <c r="I559" s="51" t="n"/>
      <c r="J559" s="52" t="n"/>
      <c r="K559" s="47" t="n"/>
      <c r="L559" s="47" t="n"/>
      <c r="M559" s="24">
        <f>IF(OR($A559="",$C559=""),"",IF($L559&lt;&gt;"",$L559-$C559,TODAY()-$C559))</f>
        <v/>
      </c>
      <c r="N559" s="28">
        <f>IF(OR($A559="",$K559=""),"",IF($L559="",IF(TODAY()&gt;$K559,"Atrasado","En ruta"),IF($L559&lt;=$K559,"Sí","No")))</f>
        <v/>
      </c>
      <c r="O559" s="24">
        <f>IF($A559="","",COUNTIFS(NOVEDADES!$D$4:$D$1503,$A559))</f>
        <v/>
      </c>
      <c r="P559" s="28">
        <f>IF($A559="","",IF(COUNTIFS(NOVEDADES!$D$4:$D$1503,$A559,NOVEDADES!$O$4:$O$1503,"SÍ")&gt;0,"No","Sí"))</f>
        <v/>
      </c>
      <c r="Q559" s="28">
        <f>IF(OR($A559="",$L559=""),"",IF(AND($N559="Sí",$P559="Sí"),"OTIF","Falló"))</f>
        <v/>
      </c>
    </row>
    <row r="560" ht="16" customHeight="1">
      <c r="A560" s="48" t="n"/>
      <c r="B560" s="48" t="n"/>
      <c r="C560" s="47" t="n"/>
      <c r="D560" s="50" t="n"/>
      <c r="E560" s="50" t="n"/>
      <c r="F560" s="50" t="n"/>
      <c r="G560" s="50" t="n"/>
      <c r="H560" s="48" t="n"/>
      <c r="I560" s="51" t="n"/>
      <c r="J560" s="52" t="n"/>
      <c r="K560" s="47" t="n"/>
      <c r="L560" s="47" t="n"/>
      <c r="M560" s="24">
        <f>IF(OR($A560="",$C560=""),"",IF($L560&lt;&gt;"",$L560-$C560,TODAY()-$C560))</f>
        <v/>
      </c>
      <c r="N560" s="28">
        <f>IF(OR($A560="",$K560=""),"",IF($L560="",IF(TODAY()&gt;$K560,"Atrasado","En ruta"),IF($L560&lt;=$K560,"Sí","No")))</f>
        <v/>
      </c>
      <c r="O560" s="24">
        <f>IF($A560="","",COUNTIFS(NOVEDADES!$D$4:$D$1503,$A560))</f>
        <v/>
      </c>
      <c r="P560" s="28">
        <f>IF($A560="","",IF(COUNTIFS(NOVEDADES!$D$4:$D$1503,$A560,NOVEDADES!$O$4:$O$1503,"SÍ")&gt;0,"No","Sí"))</f>
        <v/>
      </c>
      <c r="Q560" s="28">
        <f>IF(OR($A560="",$L560=""),"",IF(AND($N560="Sí",$P560="Sí"),"OTIF","Falló"))</f>
        <v/>
      </c>
    </row>
    <row r="561" ht="16" customHeight="1">
      <c r="A561" s="48" t="n"/>
      <c r="B561" s="48" t="n"/>
      <c r="C561" s="47" t="n"/>
      <c r="D561" s="50" t="n"/>
      <c r="E561" s="50" t="n"/>
      <c r="F561" s="50" t="n"/>
      <c r="G561" s="50" t="n"/>
      <c r="H561" s="48" t="n"/>
      <c r="I561" s="51" t="n"/>
      <c r="J561" s="52" t="n"/>
      <c r="K561" s="47" t="n"/>
      <c r="L561" s="47" t="n"/>
      <c r="M561" s="24">
        <f>IF(OR($A561="",$C561=""),"",IF($L561&lt;&gt;"",$L561-$C561,TODAY()-$C561))</f>
        <v/>
      </c>
      <c r="N561" s="28">
        <f>IF(OR($A561="",$K561=""),"",IF($L561="",IF(TODAY()&gt;$K561,"Atrasado","En ruta"),IF($L561&lt;=$K561,"Sí","No")))</f>
        <v/>
      </c>
      <c r="O561" s="24">
        <f>IF($A561="","",COUNTIFS(NOVEDADES!$D$4:$D$1503,$A561))</f>
        <v/>
      </c>
      <c r="P561" s="28">
        <f>IF($A561="","",IF(COUNTIFS(NOVEDADES!$D$4:$D$1503,$A561,NOVEDADES!$O$4:$O$1503,"SÍ")&gt;0,"No","Sí"))</f>
        <v/>
      </c>
      <c r="Q561" s="28">
        <f>IF(OR($A561="",$L561=""),"",IF(AND($N561="Sí",$P561="Sí"),"OTIF","Falló"))</f>
        <v/>
      </c>
    </row>
    <row r="562" ht="16" customHeight="1">
      <c r="A562" s="48" t="n"/>
      <c r="B562" s="48" t="n"/>
      <c r="C562" s="47" t="n"/>
      <c r="D562" s="50" t="n"/>
      <c r="E562" s="50" t="n"/>
      <c r="F562" s="50" t="n"/>
      <c r="G562" s="50" t="n"/>
      <c r="H562" s="48" t="n"/>
      <c r="I562" s="51" t="n"/>
      <c r="J562" s="52" t="n"/>
      <c r="K562" s="47" t="n"/>
      <c r="L562" s="47" t="n"/>
      <c r="M562" s="24">
        <f>IF(OR($A562="",$C562=""),"",IF($L562&lt;&gt;"",$L562-$C562,TODAY()-$C562))</f>
        <v/>
      </c>
      <c r="N562" s="28">
        <f>IF(OR($A562="",$K562=""),"",IF($L562="",IF(TODAY()&gt;$K562,"Atrasado","En ruta"),IF($L562&lt;=$K562,"Sí","No")))</f>
        <v/>
      </c>
      <c r="O562" s="24">
        <f>IF($A562="","",COUNTIFS(NOVEDADES!$D$4:$D$1503,$A562))</f>
        <v/>
      </c>
      <c r="P562" s="28">
        <f>IF($A562="","",IF(COUNTIFS(NOVEDADES!$D$4:$D$1503,$A562,NOVEDADES!$O$4:$O$1503,"SÍ")&gt;0,"No","Sí"))</f>
        <v/>
      </c>
      <c r="Q562" s="28">
        <f>IF(OR($A562="",$L562=""),"",IF(AND($N562="Sí",$P562="Sí"),"OTIF","Falló"))</f>
        <v/>
      </c>
    </row>
    <row r="563" ht="16" customHeight="1">
      <c r="A563" s="48" t="n"/>
      <c r="B563" s="48" t="n"/>
      <c r="C563" s="47" t="n"/>
      <c r="D563" s="50" t="n"/>
      <c r="E563" s="50" t="n"/>
      <c r="F563" s="50" t="n"/>
      <c r="G563" s="50" t="n"/>
      <c r="H563" s="48" t="n"/>
      <c r="I563" s="51" t="n"/>
      <c r="J563" s="52" t="n"/>
      <c r="K563" s="47" t="n"/>
      <c r="L563" s="47" t="n"/>
      <c r="M563" s="24">
        <f>IF(OR($A563="",$C563=""),"",IF($L563&lt;&gt;"",$L563-$C563,TODAY()-$C563))</f>
        <v/>
      </c>
      <c r="N563" s="28">
        <f>IF(OR($A563="",$K563=""),"",IF($L563="",IF(TODAY()&gt;$K563,"Atrasado","En ruta"),IF($L563&lt;=$K563,"Sí","No")))</f>
        <v/>
      </c>
      <c r="O563" s="24">
        <f>IF($A563="","",COUNTIFS(NOVEDADES!$D$4:$D$1503,$A563))</f>
        <v/>
      </c>
      <c r="P563" s="28">
        <f>IF($A563="","",IF(COUNTIFS(NOVEDADES!$D$4:$D$1503,$A563,NOVEDADES!$O$4:$O$1503,"SÍ")&gt;0,"No","Sí"))</f>
        <v/>
      </c>
      <c r="Q563" s="28">
        <f>IF(OR($A563="",$L563=""),"",IF(AND($N563="Sí",$P563="Sí"),"OTIF","Falló"))</f>
        <v/>
      </c>
    </row>
    <row r="564" ht="16" customHeight="1">
      <c r="A564" s="48" t="n"/>
      <c r="B564" s="48" t="n"/>
      <c r="C564" s="47" t="n"/>
      <c r="D564" s="50" t="n"/>
      <c r="E564" s="50" t="n"/>
      <c r="F564" s="50" t="n"/>
      <c r="G564" s="50" t="n"/>
      <c r="H564" s="48" t="n"/>
      <c r="I564" s="51" t="n"/>
      <c r="J564" s="52" t="n"/>
      <c r="K564" s="47" t="n"/>
      <c r="L564" s="47" t="n"/>
      <c r="M564" s="24">
        <f>IF(OR($A564="",$C564=""),"",IF($L564&lt;&gt;"",$L564-$C564,TODAY()-$C564))</f>
        <v/>
      </c>
      <c r="N564" s="28">
        <f>IF(OR($A564="",$K564=""),"",IF($L564="",IF(TODAY()&gt;$K564,"Atrasado","En ruta"),IF($L564&lt;=$K564,"Sí","No")))</f>
        <v/>
      </c>
      <c r="O564" s="24">
        <f>IF($A564="","",COUNTIFS(NOVEDADES!$D$4:$D$1503,$A564))</f>
        <v/>
      </c>
      <c r="P564" s="28">
        <f>IF($A564="","",IF(COUNTIFS(NOVEDADES!$D$4:$D$1503,$A564,NOVEDADES!$O$4:$O$1503,"SÍ")&gt;0,"No","Sí"))</f>
        <v/>
      </c>
      <c r="Q564" s="28">
        <f>IF(OR($A564="",$L564=""),"",IF(AND($N564="Sí",$P564="Sí"),"OTIF","Falló"))</f>
        <v/>
      </c>
    </row>
    <row r="565" ht="16" customHeight="1">
      <c r="A565" s="48" t="n"/>
      <c r="B565" s="48" t="n"/>
      <c r="C565" s="47" t="n"/>
      <c r="D565" s="50" t="n"/>
      <c r="E565" s="50" t="n"/>
      <c r="F565" s="50" t="n"/>
      <c r="G565" s="50" t="n"/>
      <c r="H565" s="48" t="n"/>
      <c r="I565" s="51" t="n"/>
      <c r="J565" s="52" t="n"/>
      <c r="K565" s="47" t="n"/>
      <c r="L565" s="47" t="n"/>
      <c r="M565" s="24">
        <f>IF(OR($A565="",$C565=""),"",IF($L565&lt;&gt;"",$L565-$C565,TODAY()-$C565))</f>
        <v/>
      </c>
      <c r="N565" s="28">
        <f>IF(OR($A565="",$K565=""),"",IF($L565="",IF(TODAY()&gt;$K565,"Atrasado","En ruta"),IF($L565&lt;=$K565,"Sí","No")))</f>
        <v/>
      </c>
      <c r="O565" s="24">
        <f>IF($A565="","",COUNTIFS(NOVEDADES!$D$4:$D$1503,$A565))</f>
        <v/>
      </c>
      <c r="P565" s="28">
        <f>IF($A565="","",IF(COUNTIFS(NOVEDADES!$D$4:$D$1503,$A565,NOVEDADES!$O$4:$O$1503,"SÍ")&gt;0,"No","Sí"))</f>
        <v/>
      </c>
      <c r="Q565" s="28">
        <f>IF(OR($A565="",$L565=""),"",IF(AND($N565="Sí",$P565="Sí"),"OTIF","Falló"))</f>
        <v/>
      </c>
    </row>
    <row r="566" ht="16" customHeight="1">
      <c r="A566" s="48" t="n"/>
      <c r="B566" s="48" t="n"/>
      <c r="C566" s="47" t="n"/>
      <c r="D566" s="50" t="n"/>
      <c r="E566" s="50" t="n"/>
      <c r="F566" s="50" t="n"/>
      <c r="G566" s="50" t="n"/>
      <c r="H566" s="48" t="n"/>
      <c r="I566" s="51" t="n"/>
      <c r="J566" s="52" t="n"/>
      <c r="K566" s="47" t="n"/>
      <c r="L566" s="47" t="n"/>
      <c r="M566" s="24">
        <f>IF(OR($A566="",$C566=""),"",IF($L566&lt;&gt;"",$L566-$C566,TODAY()-$C566))</f>
        <v/>
      </c>
      <c r="N566" s="28">
        <f>IF(OR($A566="",$K566=""),"",IF($L566="",IF(TODAY()&gt;$K566,"Atrasado","En ruta"),IF($L566&lt;=$K566,"Sí","No")))</f>
        <v/>
      </c>
      <c r="O566" s="24">
        <f>IF($A566="","",COUNTIFS(NOVEDADES!$D$4:$D$1503,$A566))</f>
        <v/>
      </c>
      <c r="P566" s="28">
        <f>IF($A566="","",IF(COUNTIFS(NOVEDADES!$D$4:$D$1503,$A566,NOVEDADES!$O$4:$O$1503,"SÍ")&gt;0,"No","Sí"))</f>
        <v/>
      </c>
      <c r="Q566" s="28">
        <f>IF(OR($A566="",$L566=""),"",IF(AND($N566="Sí",$P566="Sí"),"OTIF","Falló"))</f>
        <v/>
      </c>
    </row>
    <row r="567" ht="16" customHeight="1">
      <c r="A567" s="48" t="n"/>
      <c r="B567" s="48" t="n"/>
      <c r="C567" s="47" t="n"/>
      <c r="D567" s="50" t="n"/>
      <c r="E567" s="50" t="n"/>
      <c r="F567" s="50" t="n"/>
      <c r="G567" s="50" t="n"/>
      <c r="H567" s="48" t="n"/>
      <c r="I567" s="51" t="n"/>
      <c r="J567" s="52" t="n"/>
      <c r="K567" s="47" t="n"/>
      <c r="L567" s="47" t="n"/>
      <c r="M567" s="24">
        <f>IF(OR($A567="",$C567=""),"",IF($L567&lt;&gt;"",$L567-$C567,TODAY()-$C567))</f>
        <v/>
      </c>
      <c r="N567" s="28">
        <f>IF(OR($A567="",$K567=""),"",IF($L567="",IF(TODAY()&gt;$K567,"Atrasado","En ruta"),IF($L567&lt;=$K567,"Sí","No")))</f>
        <v/>
      </c>
      <c r="O567" s="24">
        <f>IF($A567="","",COUNTIFS(NOVEDADES!$D$4:$D$1503,$A567))</f>
        <v/>
      </c>
      <c r="P567" s="28">
        <f>IF($A567="","",IF(COUNTIFS(NOVEDADES!$D$4:$D$1503,$A567,NOVEDADES!$O$4:$O$1503,"SÍ")&gt;0,"No","Sí"))</f>
        <v/>
      </c>
      <c r="Q567" s="28">
        <f>IF(OR($A567="",$L567=""),"",IF(AND($N567="Sí",$P567="Sí"),"OTIF","Falló"))</f>
        <v/>
      </c>
    </row>
    <row r="568" ht="16" customHeight="1">
      <c r="A568" s="48" t="n"/>
      <c r="B568" s="48" t="n"/>
      <c r="C568" s="47" t="n"/>
      <c r="D568" s="50" t="n"/>
      <c r="E568" s="50" t="n"/>
      <c r="F568" s="50" t="n"/>
      <c r="G568" s="50" t="n"/>
      <c r="H568" s="48" t="n"/>
      <c r="I568" s="51" t="n"/>
      <c r="J568" s="52" t="n"/>
      <c r="K568" s="47" t="n"/>
      <c r="L568" s="47" t="n"/>
      <c r="M568" s="24">
        <f>IF(OR($A568="",$C568=""),"",IF($L568&lt;&gt;"",$L568-$C568,TODAY()-$C568))</f>
        <v/>
      </c>
      <c r="N568" s="28">
        <f>IF(OR($A568="",$K568=""),"",IF($L568="",IF(TODAY()&gt;$K568,"Atrasado","En ruta"),IF($L568&lt;=$K568,"Sí","No")))</f>
        <v/>
      </c>
      <c r="O568" s="24">
        <f>IF($A568="","",COUNTIFS(NOVEDADES!$D$4:$D$1503,$A568))</f>
        <v/>
      </c>
      <c r="P568" s="28">
        <f>IF($A568="","",IF(COUNTIFS(NOVEDADES!$D$4:$D$1503,$A568,NOVEDADES!$O$4:$O$1503,"SÍ")&gt;0,"No","Sí"))</f>
        <v/>
      </c>
      <c r="Q568" s="28">
        <f>IF(OR($A568="",$L568=""),"",IF(AND($N568="Sí",$P568="Sí"),"OTIF","Falló"))</f>
        <v/>
      </c>
    </row>
    <row r="569" ht="16" customHeight="1">
      <c r="A569" s="48" t="n"/>
      <c r="B569" s="48" t="n"/>
      <c r="C569" s="47" t="n"/>
      <c r="D569" s="50" t="n"/>
      <c r="E569" s="50" t="n"/>
      <c r="F569" s="50" t="n"/>
      <c r="G569" s="50" t="n"/>
      <c r="H569" s="48" t="n"/>
      <c r="I569" s="51" t="n"/>
      <c r="J569" s="52" t="n"/>
      <c r="K569" s="47" t="n"/>
      <c r="L569" s="47" t="n"/>
      <c r="M569" s="24">
        <f>IF(OR($A569="",$C569=""),"",IF($L569&lt;&gt;"",$L569-$C569,TODAY()-$C569))</f>
        <v/>
      </c>
      <c r="N569" s="28">
        <f>IF(OR($A569="",$K569=""),"",IF($L569="",IF(TODAY()&gt;$K569,"Atrasado","En ruta"),IF($L569&lt;=$K569,"Sí","No")))</f>
        <v/>
      </c>
      <c r="O569" s="24">
        <f>IF($A569="","",COUNTIFS(NOVEDADES!$D$4:$D$1503,$A569))</f>
        <v/>
      </c>
      <c r="P569" s="28">
        <f>IF($A569="","",IF(COUNTIFS(NOVEDADES!$D$4:$D$1503,$A569,NOVEDADES!$O$4:$O$1503,"SÍ")&gt;0,"No","Sí"))</f>
        <v/>
      </c>
      <c r="Q569" s="28">
        <f>IF(OR($A569="",$L569=""),"",IF(AND($N569="Sí",$P569="Sí"),"OTIF","Falló"))</f>
        <v/>
      </c>
    </row>
    <row r="570" ht="16" customHeight="1">
      <c r="A570" s="48" t="n"/>
      <c r="B570" s="48" t="n"/>
      <c r="C570" s="47" t="n"/>
      <c r="D570" s="50" t="n"/>
      <c r="E570" s="50" t="n"/>
      <c r="F570" s="50" t="n"/>
      <c r="G570" s="50" t="n"/>
      <c r="H570" s="48" t="n"/>
      <c r="I570" s="51" t="n"/>
      <c r="J570" s="52" t="n"/>
      <c r="K570" s="47" t="n"/>
      <c r="L570" s="47" t="n"/>
      <c r="M570" s="24">
        <f>IF(OR($A570="",$C570=""),"",IF($L570&lt;&gt;"",$L570-$C570,TODAY()-$C570))</f>
        <v/>
      </c>
      <c r="N570" s="28">
        <f>IF(OR($A570="",$K570=""),"",IF($L570="",IF(TODAY()&gt;$K570,"Atrasado","En ruta"),IF($L570&lt;=$K570,"Sí","No")))</f>
        <v/>
      </c>
      <c r="O570" s="24">
        <f>IF($A570="","",COUNTIFS(NOVEDADES!$D$4:$D$1503,$A570))</f>
        <v/>
      </c>
      <c r="P570" s="28">
        <f>IF($A570="","",IF(COUNTIFS(NOVEDADES!$D$4:$D$1503,$A570,NOVEDADES!$O$4:$O$1503,"SÍ")&gt;0,"No","Sí"))</f>
        <v/>
      </c>
      <c r="Q570" s="28">
        <f>IF(OR($A570="",$L570=""),"",IF(AND($N570="Sí",$P570="Sí"),"OTIF","Falló"))</f>
        <v/>
      </c>
    </row>
    <row r="571" ht="16" customHeight="1">
      <c r="A571" s="48" t="n"/>
      <c r="B571" s="48" t="n"/>
      <c r="C571" s="47" t="n"/>
      <c r="D571" s="50" t="n"/>
      <c r="E571" s="50" t="n"/>
      <c r="F571" s="50" t="n"/>
      <c r="G571" s="50" t="n"/>
      <c r="H571" s="48" t="n"/>
      <c r="I571" s="51" t="n"/>
      <c r="J571" s="52" t="n"/>
      <c r="K571" s="47" t="n"/>
      <c r="L571" s="47" t="n"/>
      <c r="M571" s="24">
        <f>IF(OR($A571="",$C571=""),"",IF($L571&lt;&gt;"",$L571-$C571,TODAY()-$C571))</f>
        <v/>
      </c>
      <c r="N571" s="28">
        <f>IF(OR($A571="",$K571=""),"",IF($L571="",IF(TODAY()&gt;$K571,"Atrasado","En ruta"),IF($L571&lt;=$K571,"Sí","No")))</f>
        <v/>
      </c>
      <c r="O571" s="24">
        <f>IF($A571="","",COUNTIFS(NOVEDADES!$D$4:$D$1503,$A571))</f>
        <v/>
      </c>
      <c r="P571" s="28">
        <f>IF($A571="","",IF(COUNTIFS(NOVEDADES!$D$4:$D$1503,$A571,NOVEDADES!$O$4:$O$1503,"SÍ")&gt;0,"No","Sí"))</f>
        <v/>
      </c>
      <c r="Q571" s="28">
        <f>IF(OR($A571="",$L571=""),"",IF(AND($N571="Sí",$P571="Sí"),"OTIF","Falló"))</f>
        <v/>
      </c>
    </row>
    <row r="572" ht="16" customHeight="1">
      <c r="A572" s="48" t="n"/>
      <c r="B572" s="48" t="n"/>
      <c r="C572" s="47" t="n"/>
      <c r="D572" s="50" t="n"/>
      <c r="E572" s="50" t="n"/>
      <c r="F572" s="50" t="n"/>
      <c r="G572" s="50" t="n"/>
      <c r="H572" s="48" t="n"/>
      <c r="I572" s="51" t="n"/>
      <c r="J572" s="52" t="n"/>
      <c r="K572" s="47" t="n"/>
      <c r="L572" s="47" t="n"/>
      <c r="M572" s="24">
        <f>IF(OR($A572="",$C572=""),"",IF($L572&lt;&gt;"",$L572-$C572,TODAY()-$C572))</f>
        <v/>
      </c>
      <c r="N572" s="28">
        <f>IF(OR($A572="",$K572=""),"",IF($L572="",IF(TODAY()&gt;$K572,"Atrasado","En ruta"),IF($L572&lt;=$K572,"Sí","No")))</f>
        <v/>
      </c>
      <c r="O572" s="24">
        <f>IF($A572="","",COUNTIFS(NOVEDADES!$D$4:$D$1503,$A572))</f>
        <v/>
      </c>
      <c r="P572" s="28">
        <f>IF($A572="","",IF(COUNTIFS(NOVEDADES!$D$4:$D$1503,$A572,NOVEDADES!$O$4:$O$1503,"SÍ")&gt;0,"No","Sí"))</f>
        <v/>
      </c>
      <c r="Q572" s="28">
        <f>IF(OR($A572="",$L572=""),"",IF(AND($N572="Sí",$P572="Sí"),"OTIF","Falló"))</f>
        <v/>
      </c>
    </row>
    <row r="573" ht="16" customHeight="1">
      <c r="A573" s="48" t="n"/>
      <c r="B573" s="48" t="n"/>
      <c r="C573" s="47" t="n"/>
      <c r="D573" s="50" t="n"/>
      <c r="E573" s="50" t="n"/>
      <c r="F573" s="50" t="n"/>
      <c r="G573" s="50" t="n"/>
      <c r="H573" s="48" t="n"/>
      <c r="I573" s="51" t="n"/>
      <c r="J573" s="52" t="n"/>
      <c r="K573" s="47" t="n"/>
      <c r="L573" s="47" t="n"/>
      <c r="M573" s="24">
        <f>IF(OR($A573="",$C573=""),"",IF($L573&lt;&gt;"",$L573-$C573,TODAY()-$C573))</f>
        <v/>
      </c>
      <c r="N573" s="28">
        <f>IF(OR($A573="",$K573=""),"",IF($L573="",IF(TODAY()&gt;$K573,"Atrasado","En ruta"),IF($L573&lt;=$K573,"Sí","No")))</f>
        <v/>
      </c>
      <c r="O573" s="24">
        <f>IF($A573="","",COUNTIFS(NOVEDADES!$D$4:$D$1503,$A573))</f>
        <v/>
      </c>
      <c r="P573" s="28">
        <f>IF($A573="","",IF(COUNTIFS(NOVEDADES!$D$4:$D$1503,$A573,NOVEDADES!$O$4:$O$1503,"SÍ")&gt;0,"No","Sí"))</f>
        <v/>
      </c>
      <c r="Q573" s="28">
        <f>IF(OR($A573="",$L573=""),"",IF(AND($N573="Sí",$P573="Sí"),"OTIF","Falló"))</f>
        <v/>
      </c>
    </row>
    <row r="574" ht="16" customHeight="1">
      <c r="A574" s="48" t="n"/>
      <c r="B574" s="48" t="n"/>
      <c r="C574" s="47" t="n"/>
      <c r="D574" s="50" t="n"/>
      <c r="E574" s="50" t="n"/>
      <c r="F574" s="50" t="n"/>
      <c r="G574" s="50" t="n"/>
      <c r="H574" s="48" t="n"/>
      <c r="I574" s="51" t="n"/>
      <c r="J574" s="52" t="n"/>
      <c r="K574" s="47" t="n"/>
      <c r="L574" s="47" t="n"/>
      <c r="M574" s="24">
        <f>IF(OR($A574="",$C574=""),"",IF($L574&lt;&gt;"",$L574-$C574,TODAY()-$C574))</f>
        <v/>
      </c>
      <c r="N574" s="28">
        <f>IF(OR($A574="",$K574=""),"",IF($L574="",IF(TODAY()&gt;$K574,"Atrasado","En ruta"),IF($L574&lt;=$K574,"Sí","No")))</f>
        <v/>
      </c>
      <c r="O574" s="24">
        <f>IF($A574="","",COUNTIFS(NOVEDADES!$D$4:$D$1503,$A574))</f>
        <v/>
      </c>
      <c r="P574" s="28">
        <f>IF($A574="","",IF(COUNTIFS(NOVEDADES!$D$4:$D$1503,$A574,NOVEDADES!$O$4:$O$1503,"SÍ")&gt;0,"No","Sí"))</f>
        <v/>
      </c>
      <c r="Q574" s="28">
        <f>IF(OR($A574="",$L574=""),"",IF(AND($N574="Sí",$P574="Sí"),"OTIF","Falló"))</f>
        <v/>
      </c>
    </row>
    <row r="575" ht="16" customHeight="1">
      <c r="A575" s="48" t="n"/>
      <c r="B575" s="48" t="n"/>
      <c r="C575" s="47" t="n"/>
      <c r="D575" s="50" t="n"/>
      <c r="E575" s="50" t="n"/>
      <c r="F575" s="50" t="n"/>
      <c r="G575" s="50" t="n"/>
      <c r="H575" s="48" t="n"/>
      <c r="I575" s="51" t="n"/>
      <c r="J575" s="52" t="n"/>
      <c r="K575" s="47" t="n"/>
      <c r="L575" s="47" t="n"/>
      <c r="M575" s="24">
        <f>IF(OR($A575="",$C575=""),"",IF($L575&lt;&gt;"",$L575-$C575,TODAY()-$C575))</f>
        <v/>
      </c>
      <c r="N575" s="28">
        <f>IF(OR($A575="",$K575=""),"",IF($L575="",IF(TODAY()&gt;$K575,"Atrasado","En ruta"),IF($L575&lt;=$K575,"Sí","No")))</f>
        <v/>
      </c>
      <c r="O575" s="24">
        <f>IF($A575="","",COUNTIFS(NOVEDADES!$D$4:$D$1503,$A575))</f>
        <v/>
      </c>
      <c r="P575" s="28">
        <f>IF($A575="","",IF(COUNTIFS(NOVEDADES!$D$4:$D$1503,$A575,NOVEDADES!$O$4:$O$1503,"SÍ")&gt;0,"No","Sí"))</f>
        <v/>
      </c>
      <c r="Q575" s="28">
        <f>IF(OR($A575="",$L575=""),"",IF(AND($N575="Sí",$P575="Sí"),"OTIF","Falló"))</f>
        <v/>
      </c>
    </row>
    <row r="576" ht="16" customHeight="1">
      <c r="A576" s="48" t="n"/>
      <c r="B576" s="48" t="n"/>
      <c r="C576" s="47" t="n"/>
      <c r="D576" s="50" t="n"/>
      <c r="E576" s="50" t="n"/>
      <c r="F576" s="50" t="n"/>
      <c r="G576" s="50" t="n"/>
      <c r="H576" s="48" t="n"/>
      <c r="I576" s="51" t="n"/>
      <c r="J576" s="52" t="n"/>
      <c r="K576" s="47" t="n"/>
      <c r="L576" s="47" t="n"/>
      <c r="M576" s="24">
        <f>IF(OR($A576="",$C576=""),"",IF($L576&lt;&gt;"",$L576-$C576,TODAY()-$C576))</f>
        <v/>
      </c>
      <c r="N576" s="28">
        <f>IF(OR($A576="",$K576=""),"",IF($L576="",IF(TODAY()&gt;$K576,"Atrasado","En ruta"),IF($L576&lt;=$K576,"Sí","No")))</f>
        <v/>
      </c>
      <c r="O576" s="24">
        <f>IF($A576="","",COUNTIFS(NOVEDADES!$D$4:$D$1503,$A576))</f>
        <v/>
      </c>
      <c r="P576" s="28">
        <f>IF($A576="","",IF(COUNTIFS(NOVEDADES!$D$4:$D$1503,$A576,NOVEDADES!$O$4:$O$1503,"SÍ")&gt;0,"No","Sí"))</f>
        <v/>
      </c>
      <c r="Q576" s="28">
        <f>IF(OR($A576="",$L576=""),"",IF(AND($N576="Sí",$P576="Sí"),"OTIF","Falló"))</f>
        <v/>
      </c>
    </row>
    <row r="577" ht="16" customHeight="1">
      <c r="A577" s="48" t="n"/>
      <c r="B577" s="48" t="n"/>
      <c r="C577" s="47" t="n"/>
      <c r="D577" s="50" t="n"/>
      <c r="E577" s="50" t="n"/>
      <c r="F577" s="50" t="n"/>
      <c r="G577" s="50" t="n"/>
      <c r="H577" s="48" t="n"/>
      <c r="I577" s="51" t="n"/>
      <c r="J577" s="52" t="n"/>
      <c r="K577" s="47" t="n"/>
      <c r="L577" s="47" t="n"/>
      <c r="M577" s="24">
        <f>IF(OR($A577="",$C577=""),"",IF($L577&lt;&gt;"",$L577-$C577,TODAY()-$C577))</f>
        <v/>
      </c>
      <c r="N577" s="28">
        <f>IF(OR($A577="",$K577=""),"",IF($L577="",IF(TODAY()&gt;$K577,"Atrasado","En ruta"),IF($L577&lt;=$K577,"Sí","No")))</f>
        <v/>
      </c>
      <c r="O577" s="24">
        <f>IF($A577="","",COUNTIFS(NOVEDADES!$D$4:$D$1503,$A577))</f>
        <v/>
      </c>
      <c r="P577" s="28">
        <f>IF($A577="","",IF(COUNTIFS(NOVEDADES!$D$4:$D$1503,$A577,NOVEDADES!$O$4:$O$1503,"SÍ")&gt;0,"No","Sí"))</f>
        <v/>
      </c>
      <c r="Q577" s="28">
        <f>IF(OR($A577="",$L577=""),"",IF(AND($N577="Sí",$P577="Sí"),"OTIF","Falló"))</f>
        <v/>
      </c>
    </row>
    <row r="578" ht="16" customHeight="1">
      <c r="A578" s="48" t="n"/>
      <c r="B578" s="48" t="n"/>
      <c r="C578" s="47" t="n"/>
      <c r="D578" s="50" t="n"/>
      <c r="E578" s="50" t="n"/>
      <c r="F578" s="50" t="n"/>
      <c r="G578" s="50" t="n"/>
      <c r="H578" s="48" t="n"/>
      <c r="I578" s="51" t="n"/>
      <c r="J578" s="52" t="n"/>
      <c r="K578" s="47" t="n"/>
      <c r="L578" s="47" t="n"/>
      <c r="M578" s="24">
        <f>IF(OR($A578="",$C578=""),"",IF($L578&lt;&gt;"",$L578-$C578,TODAY()-$C578))</f>
        <v/>
      </c>
      <c r="N578" s="28">
        <f>IF(OR($A578="",$K578=""),"",IF($L578="",IF(TODAY()&gt;$K578,"Atrasado","En ruta"),IF($L578&lt;=$K578,"Sí","No")))</f>
        <v/>
      </c>
      <c r="O578" s="24">
        <f>IF($A578="","",COUNTIFS(NOVEDADES!$D$4:$D$1503,$A578))</f>
        <v/>
      </c>
      <c r="P578" s="28">
        <f>IF($A578="","",IF(COUNTIFS(NOVEDADES!$D$4:$D$1503,$A578,NOVEDADES!$O$4:$O$1503,"SÍ")&gt;0,"No","Sí"))</f>
        <v/>
      </c>
      <c r="Q578" s="28">
        <f>IF(OR($A578="",$L578=""),"",IF(AND($N578="Sí",$P578="Sí"),"OTIF","Falló"))</f>
        <v/>
      </c>
    </row>
    <row r="579" ht="16" customHeight="1">
      <c r="A579" s="48" t="n"/>
      <c r="B579" s="48" t="n"/>
      <c r="C579" s="47" t="n"/>
      <c r="D579" s="50" t="n"/>
      <c r="E579" s="50" t="n"/>
      <c r="F579" s="50" t="n"/>
      <c r="G579" s="50" t="n"/>
      <c r="H579" s="48" t="n"/>
      <c r="I579" s="51" t="n"/>
      <c r="J579" s="52" t="n"/>
      <c r="K579" s="47" t="n"/>
      <c r="L579" s="47" t="n"/>
      <c r="M579" s="24">
        <f>IF(OR($A579="",$C579=""),"",IF($L579&lt;&gt;"",$L579-$C579,TODAY()-$C579))</f>
        <v/>
      </c>
      <c r="N579" s="28">
        <f>IF(OR($A579="",$K579=""),"",IF($L579="",IF(TODAY()&gt;$K579,"Atrasado","En ruta"),IF($L579&lt;=$K579,"Sí","No")))</f>
        <v/>
      </c>
      <c r="O579" s="24">
        <f>IF($A579="","",COUNTIFS(NOVEDADES!$D$4:$D$1503,$A579))</f>
        <v/>
      </c>
      <c r="P579" s="28">
        <f>IF($A579="","",IF(COUNTIFS(NOVEDADES!$D$4:$D$1503,$A579,NOVEDADES!$O$4:$O$1503,"SÍ")&gt;0,"No","Sí"))</f>
        <v/>
      </c>
      <c r="Q579" s="28">
        <f>IF(OR($A579="",$L579=""),"",IF(AND($N579="Sí",$P579="Sí"),"OTIF","Falló"))</f>
        <v/>
      </c>
    </row>
    <row r="580" ht="16" customHeight="1">
      <c r="A580" s="48" t="n"/>
      <c r="B580" s="48" t="n"/>
      <c r="C580" s="47" t="n"/>
      <c r="D580" s="50" t="n"/>
      <c r="E580" s="50" t="n"/>
      <c r="F580" s="50" t="n"/>
      <c r="G580" s="50" t="n"/>
      <c r="H580" s="48" t="n"/>
      <c r="I580" s="51" t="n"/>
      <c r="J580" s="52" t="n"/>
      <c r="K580" s="47" t="n"/>
      <c r="L580" s="47" t="n"/>
      <c r="M580" s="24">
        <f>IF(OR($A580="",$C580=""),"",IF($L580&lt;&gt;"",$L580-$C580,TODAY()-$C580))</f>
        <v/>
      </c>
      <c r="N580" s="28">
        <f>IF(OR($A580="",$K580=""),"",IF($L580="",IF(TODAY()&gt;$K580,"Atrasado","En ruta"),IF($L580&lt;=$K580,"Sí","No")))</f>
        <v/>
      </c>
      <c r="O580" s="24">
        <f>IF($A580="","",COUNTIFS(NOVEDADES!$D$4:$D$1503,$A580))</f>
        <v/>
      </c>
      <c r="P580" s="28">
        <f>IF($A580="","",IF(COUNTIFS(NOVEDADES!$D$4:$D$1503,$A580,NOVEDADES!$O$4:$O$1503,"SÍ")&gt;0,"No","Sí"))</f>
        <v/>
      </c>
      <c r="Q580" s="28">
        <f>IF(OR($A580="",$L580=""),"",IF(AND($N580="Sí",$P580="Sí"),"OTIF","Falló"))</f>
        <v/>
      </c>
    </row>
    <row r="581" ht="16" customHeight="1">
      <c r="A581" s="48" t="n"/>
      <c r="B581" s="48" t="n"/>
      <c r="C581" s="47" t="n"/>
      <c r="D581" s="50" t="n"/>
      <c r="E581" s="50" t="n"/>
      <c r="F581" s="50" t="n"/>
      <c r="G581" s="50" t="n"/>
      <c r="H581" s="48" t="n"/>
      <c r="I581" s="51" t="n"/>
      <c r="J581" s="52" t="n"/>
      <c r="K581" s="47" t="n"/>
      <c r="L581" s="47" t="n"/>
      <c r="M581" s="24">
        <f>IF(OR($A581="",$C581=""),"",IF($L581&lt;&gt;"",$L581-$C581,TODAY()-$C581))</f>
        <v/>
      </c>
      <c r="N581" s="28">
        <f>IF(OR($A581="",$K581=""),"",IF($L581="",IF(TODAY()&gt;$K581,"Atrasado","En ruta"),IF($L581&lt;=$K581,"Sí","No")))</f>
        <v/>
      </c>
      <c r="O581" s="24">
        <f>IF($A581="","",COUNTIFS(NOVEDADES!$D$4:$D$1503,$A581))</f>
        <v/>
      </c>
      <c r="P581" s="28">
        <f>IF($A581="","",IF(COUNTIFS(NOVEDADES!$D$4:$D$1503,$A581,NOVEDADES!$O$4:$O$1503,"SÍ")&gt;0,"No","Sí"))</f>
        <v/>
      </c>
      <c r="Q581" s="28">
        <f>IF(OR($A581="",$L581=""),"",IF(AND($N581="Sí",$P581="Sí"),"OTIF","Falló"))</f>
        <v/>
      </c>
    </row>
    <row r="582" ht="16" customHeight="1">
      <c r="A582" s="48" t="n"/>
      <c r="B582" s="48" t="n"/>
      <c r="C582" s="47" t="n"/>
      <c r="D582" s="50" t="n"/>
      <c r="E582" s="50" t="n"/>
      <c r="F582" s="50" t="n"/>
      <c r="G582" s="50" t="n"/>
      <c r="H582" s="48" t="n"/>
      <c r="I582" s="51" t="n"/>
      <c r="J582" s="52" t="n"/>
      <c r="K582" s="47" t="n"/>
      <c r="L582" s="47" t="n"/>
      <c r="M582" s="24">
        <f>IF(OR($A582="",$C582=""),"",IF($L582&lt;&gt;"",$L582-$C582,TODAY()-$C582))</f>
        <v/>
      </c>
      <c r="N582" s="28">
        <f>IF(OR($A582="",$K582=""),"",IF($L582="",IF(TODAY()&gt;$K582,"Atrasado","En ruta"),IF($L582&lt;=$K582,"Sí","No")))</f>
        <v/>
      </c>
      <c r="O582" s="24">
        <f>IF($A582="","",COUNTIFS(NOVEDADES!$D$4:$D$1503,$A582))</f>
        <v/>
      </c>
      <c r="P582" s="28">
        <f>IF($A582="","",IF(COUNTIFS(NOVEDADES!$D$4:$D$1503,$A582,NOVEDADES!$O$4:$O$1503,"SÍ")&gt;0,"No","Sí"))</f>
        <v/>
      </c>
      <c r="Q582" s="28">
        <f>IF(OR($A582="",$L582=""),"",IF(AND($N582="Sí",$P582="Sí"),"OTIF","Falló"))</f>
        <v/>
      </c>
    </row>
    <row r="583" ht="16" customHeight="1">
      <c r="A583" s="48" t="n"/>
      <c r="B583" s="48" t="n"/>
      <c r="C583" s="47" t="n"/>
      <c r="D583" s="50" t="n"/>
      <c r="E583" s="50" t="n"/>
      <c r="F583" s="50" t="n"/>
      <c r="G583" s="50" t="n"/>
      <c r="H583" s="48" t="n"/>
      <c r="I583" s="51" t="n"/>
      <c r="J583" s="52" t="n"/>
      <c r="K583" s="47" t="n"/>
      <c r="L583" s="47" t="n"/>
      <c r="M583" s="24">
        <f>IF(OR($A583="",$C583=""),"",IF($L583&lt;&gt;"",$L583-$C583,TODAY()-$C583))</f>
        <v/>
      </c>
      <c r="N583" s="28">
        <f>IF(OR($A583="",$K583=""),"",IF($L583="",IF(TODAY()&gt;$K583,"Atrasado","En ruta"),IF($L583&lt;=$K583,"Sí","No")))</f>
        <v/>
      </c>
      <c r="O583" s="24">
        <f>IF($A583="","",COUNTIFS(NOVEDADES!$D$4:$D$1503,$A583))</f>
        <v/>
      </c>
      <c r="P583" s="28">
        <f>IF($A583="","",IF(COUNTIFS(NOVEDADES!$D$4:$D$1503,$A583,NOVEDADES!$O$4:$O$1503,"SÍ")&gt;0,"No","Sí"))</f>
        <v/>
      </c>
      <c r="Q583" s="28">
        <f>IF(OR($A583="",$L583=""),"",IF(AND($N583="Sí",$P583="Sí"),"OTIF","Falló"))</f>
        <v/>
      </c>
    </row>
    <row r="584" ht="16" customHeight="1">
      <c r="A584" s="48" t="n"/>
      <c r="B584" s="48" t="n"/>
      <c r="C584" s="47" t="n"/>
      <c r="D584" s="50" t="n"/>
      <c r="E584" s="50" t="n"/>
      <c r="F584" s="50" t="n"/>
      <c r="G584" s="50" t="n"/>
      <c r="H584" s="48" t="n"/>
      <c r="I584" s="51" t="n"/>
      <c r="J584" s="52" t="n"/>
      <c r="K584" s="47" t="n"/>
      <c r="L584" s="47" t="n"/>
      <c r="M584" s="24">
        <f>IF(OR($A584="",$C584=""),"",IF($L584&lt;&gt;"",$L584-$C584,TODAY()-$C584))</f>
        <v/>
      </c>
      <c r="N584" s="28">
        <f>IF(OR($A584="",$K584=""),"",IF($L584="",IF(TODAY()&gt;$K584,"Atrasado","En ruta"),IF($L584&lt;=$K584,"Sí","No")))</f>
        <v/>
      </c>
      <c r="O584" s="24">
        <f>IF($A584="","",COUNTIFS(NOVEDADES!$D$4:$D$1503,$A584))</f>
        <v/>
      </c>
      <c r="P584" s="28">
        <f>IF($A584="","",IF(COUNTIFS(NOVEDADES!$D$4:$D$1503,$A584,NOVEDADES!$O$4:$O$1503,"SÍ")&gt;0,"No","Sí"))</f>
        <v/>
      </c>
      <c r="Q584" s="28">
        <f>IF(OR($A584="",$L584=""),"",IF(AND($N584="Sí",$P584="Sí"),"OTIF","Falló"))</f>
        <v/>
      </c>
    </row>
    <row r="585" ht="16" customHeight="1">
      <c r="A585" s="48" t="n"/>
      <c r="B585" s="48" t="n"/>
      <c r="C585" s="47" t="n"/>
      <c r="D585" s="50" t="n"/>
      <c r="E585" s="50" t="n"/>
      <c r="F585" s="50" t="n"/>
      <c r="G585" s="50" t="n"/>
      <c r="H585" s="48" t="n"/>
      <c r="I585" s="51" t="n"/>
      <c r="J585" s="52" t="n"/>
      <c r="K585" s="47" t="n"/>
      <c r="L585" s="47" t="n"/>
      <c r="M585" s="24">
        <f>IF(OR($A585="",$C585=""),"",IF($L585&lt;&gt;"",$L585-$C585,TODAY()-$C585))</f>
        <v/>
      </c>
      <c r="N585" s="28">
        <f>IF(OR($A585="",$K585=""),"",IF($L585="",IF(TODAY()&gt;$K585,"Atrasado","En ruta"),IF($L585&lt;=$K585,"Sí","No")))</f>
        <v/>
      </c>
      <c r="O585" s="24">
        <f>IF($A585="","",COUNTIFS(NOVEDADES!$D$4:$D$1503,$A585))</f>
        <v/>
      </c>
      <c r="P585" s="28">
        <f>IF($A585="","",IF(COUNTIFS(NOVEDADES!$D$4:$D$1503,$A585,NOVEDADES!$O$4:$O$1503,"SÍ")&gt;0,"No","Sí"))</f>
        <v/>
      </c>
      <c r="Q585" s="28">
        <f>IF(OR($A585="",$L585=""),"",IF(AND($N585="Sí",$P585="Sí"),"OTIF","Falló"))</f>
        <v/>
      </c>
    </row>
    <row r="586" ht="16" customHeight="1">
      <c r="A586" s="48" t="n"/>
      <c r="B586" s="48" t="n"/>
      <c r="C586" s="47" t="n"/>
      <c r="D586" s="50" t="n"/>
      <c r="E586" s="50" t="n"/>
      <c r="F586" s="50" t="n"/>
      <c r="G586" s="50" t="n"/>
      <c r="H586" s="48" t="n"/>
      <c r="I586" s="51" t="n"/>
      <c r="J586" s="52" t="n"/>
      <c r="K586" s="47" t="n"/>
      <c r="L586" s="47" t="n"/>
      <c r="M586" s="24">
        <f>IF(OR($A586="",$C586=""),"",IF($L586&lt;&gt;"",$L586-$C586,TODAY()-$C586))</f>
        <v/>
      </c>
      <c r="N586" s="28">
        <f>IF(OR($A586="",$K586=""),"",IF($L586="",IF(TODAY()&gt;$K586,"Atrasado","En ruta"),IF($L586&lt;=$K586,"Sí","No")))</f>
        <v/>
      </c>
      <c r="O586" s="24">
        <f>IF($A586="","",COUNTIFS(NOVEDADES!$D$4:$D$1503,$A586))</f>
        <v/>
      </c>
      <c r="P586" s="28">
        <f>IF($A586="","",IF(COUNTIFS(NOVEDADES!$D$4:$D$1503,$A586,NOVEDADES!$O$4:$O$1503,"SÍ")&gt;0,"No","Sí"))</f>
        <v/>
      </c>
      <c r="Q586" s="28">
        <f>IF(OR($A586="",$L586=""),"",IF(AND($N586="Sí",$P586="Sí"),"OTIF","Falló"))</f>
        <v/>
      </c>
    </row>
    <row r="587" ht="16" customHeight="1">
      <c r="A587" s="48" t="n"/>
      <c r="B587" s="48" t="n"/>
      <c r="C587" s="47" t="n"/>
      <c r="D587" s="50" t="n"/>
      <c r="E587" s="50" t="n"/>
      <c r="F587" s="50" t="n"/>
      <c r="G587" s="50" t="n"/>
      <c r="H587" s="48" t="n"/>
      <c r="I587" s="51" t="n"/>
      <c r="J587" s="52" t="n"/>
      <c r="K587" s="47" t="n"/>
      <c r="L587" s="47" t="n"/>
      <c r="M587" s="24">
        <f>IF(OR($A587="",$C587=""),"",IF($L587&lt;&gt;"",$L587-$C587,TODAY()-$C587))</f>
        <v/>
      </c>
      <c r="N587" s="28">
        <f>IF(OR($A587="",$K587=""),"",IF($L587="",IF(TODAY()&gt;$K587,"Atrasado","En ruta"),IF($L587&lt;=$K587,"Sí","No")))</f>
        <v/>
      </c>
      <c r="O587" s="24">
        <f>IF($A587="","",COUNTIFS(NOVEDADES!$D$4:$D$1503,$A587))</f>
        <v/>
      </c>
      <c r="P587" s="28">
        <f>IF($A587="","",IF(COUNTIFS(NOVEDADES!$D$4:$D$1503,$A587,NOVEDADES!$O$4:$O$1503,"SÍ")&gt;0,"No","Sí"))</f>
        <v/>
      </c>
      <c r="Q587" s="28">
        <f>IF(OR($A587="",$L587=""),"",IF(AND($N587="Sí",$P587="Sí"),"OTIF","Falló"))</f>
        <v/>
      </c>
    </row>
    <row r="588" ht="16" customHeight="1">
      <c r="A588" s="48" t="n"/>
      <c r="B588" s="48" t="n"/>
      <c r="C588" s="47" t="n"/>
      <c r="D588" s="50" t="n"/>
      <c r="E588" s="50" t="n"/>
      <c r="F588" s="50" t="n"/>
      <c r="G588" s="50" t="n"/>
      <c r="H588" s="48" t="n"/>
      <c r="I588" s="51" t="n"/>
      <c r="J588" s="52" t="n"/>
      <c r="K588" s="47" t="n"/>
      <c r="L588" s="47" t="n"/>
      <c r="M588" s="24">
        <f>IF(OR($A588="",$C588=""),"",IF($L588&lt;&gt;"",$L588-$C588,TODAY()-$C588))</f>
        <v/>
      </c>
      <c r="N588" s="28">
        <f>IF(OR($A588="",$K588=""),"",IF($L588="",IF(TODAY()&gt;$K588,"Atrasado","En ruta"),IF($L588&lt;=$K588,"Sí","No")))</f>
        <v/>
      </c>
      <c r="O588" s="24">
        <f>IF($A588="","",COUNTIFS(NOVEDADES!$D$4:$D$1503,$A588))</f>
        <v/>
      </c>
      <c r="P588" s="28">
        <f>IF($A588="","",IF(COUNTIFS(NOVEDADES!$D$4:$D$1503,$A588,NOVEDADES!$O$4:$O$1503,"SÍ")&gt;0,"No","Sí"))</f>
        <v/>
      </c>
      <c r="Q588" s="28">
        <f>IF(OR($A588="",$L588=""),"",IF(AND($N588="Sí",$P588="Sí"),"OTIF","Falló"))</f>
        <v/>
      </c>
    </row>
    <row r="589" ht="16" customHeight="1">
      <c r="A589" s="48" t="n"/>
      <c r="B589" s="48" t="n"/>
      <c r="C589" s="47" t="n"/>
      <c r="D589" s="50" t="n"/>
      <c r="E589" s="50" t="n"/>
      <c r="F589" s="50" t="n"/>
      <c r="G589" s="50" t="n"/>
      <c r="H589" s="48" t="n"/>
      <c r="I589" s="51" t="n"/>
      <c r="J589" s="52" t="n"/>
      <c r="K589" s="47" t="n"/>
      <c r="L589" s="47" t="n"/>
      <c r="M589" s="24">
        <f>IF(OR($A589="",$C589=""),"",IF($L589&lt;&gt;"",$L589-$C589,TODAY()-$C589))</f>
        <v/>
      </c>
      <c r="N589" s="28">
        <f>IF(OR($A589="",$K589=""),"",IF($L589="",IF(TODAY()&gt;$K589,"Atrasado","En ruta"),IF($L589&lt;=$K589,"Sí","No")))</f>
        <v/>
      </c>
      <c r="O589" s="24">
        <f>IF($A589="","",COUNTIFS(NOVEDADES!$D$4:$D$1503,$A589))</f>
        <v/>
      </c>
      <c r="P589" s="28">
        <f>IF($A589="","",IF(COUNTIFS(NOVEDADES!$D$4:$D$1503,$A589,NOVEDADES!$O$4:$O$1503,"SÍ")&gt;0,"No","Sí"))</f>
        <v/>
      </c>
      <c r="Q589" s="28">
        <f>IF(OR($A589="",$L589=""),"",IF(AND($N589="Sí",$P589="Sí"),"OTIF","Falló"))</f>
        <v/>
      </c>
    </row>
    <row r="590" ht="16" customHeight="1">
      <c r="A590" s="48" t="n"/>
      <c r="B590" s="48" t="n"/>
      <c r="C590" s="47" t="n"/>
      <c r="D590" s="50" t="n"/>
      <c r="E590" s="50" t="n"/>
      <c r="F590" s="50" t="n"/>
      <c r="G590" s="50" t="n"/>
      <c r="H590" s="48" t="n"/>
      <c r="I590" s="51" t="n"/>
      <c r="J590" s="52" t="n"/>
      <c r="K590" s="47" t="n"/>
      <c r="L590" s="47" t="n"/>
      <c r="M590" s="24">
        <f>IF(OR($A590="",$C590=""),"",IF($L590&lt;&gt;"",$L590-$C590,TODAY()-$C590))</f>
        <v/>
      </c>
      <c r="N590" s="28">
        <f>IF(OR($A590="",$K590=""),"",IF($L590="",IF(TODAY()&gt;$K590,"Atrasado","En ruta"),IF($L590&lt;=$K590,"Sí","No")))</f>
        <v/>
      </c>
      <c r="O590" s="24">
        <f>IF($A590="","",COUNTIFS(NOVEDADES!$D$4:$D$1503,$A590))</f>
        <v/>
      </c>
      <c r="P590" s="28">
        <f>IF($A590="","",IF(COUNTIFS(NOVEDADES!$D$4:$D$1503,$A590,NOVEDADES!$O$4:$O$1503,"SÍ")&gt;0,"No","Sí"))</f>
        <v/>
      </c>
      <c r="Q590" s="28">
        <f>IF(OR($A590="",$L590=""),"",IF(AND($N590="Sí",$P590="Sí"),"OTIF","Falló"))</f>
        <v/>
      </c>
    </row>
    <row r="591" ht="16" customHeight="1">
      <c r="A591" s="48" t="n"/>
      <c r="B591" s="48" t="n"/>
      <c r="C591" s="47" t="n"/>
      <c r="D591" s="50" t="n"/>
      <c r="E591" s="50" t="n"/>
      <c r="F591" s="50" t="n"/>
      <c r="G591" s="50" t="n"/>
      <c r="H591" s="48" t="n"/>
      <c r="I591" s="51" t="n"/>
      <c r="J591" s="52" t="n"/>
      <c r="K591" s="47" t="n"/>
      <c r="L591" s="47" t="n"/>
      <c r="M591" s="24">
        <f>IF(OR($A591="",$C591=""),"",IF($L591&lt;&gt;"",$L591-$C591,TODAY()-$C591))</f>
        <v/>
      </c>
      <c r="N591" s="28">
        <f>IF(OR($A591="",$K591=""),"",IF($L591="",IF(TODAY()&gt;$K591,"Atrasado","En ruta"),IF($L591&lt;=$K591,"Sí","No")))</f>
        <v/>
      </c>
      <c r="O591" s="24">
        <f>IF($A591="","",COUNTIFS(NOVEDADES!$D$4:$D$1503,$A591))</f>
        <v/>
      </c>
      <c r="P591" s="28">
        <f>IF($A591="","",IF(COUNTIFS(NOVEDADES!$D$4:$D$1503,$A591,NOVEDADES!$O$4:$O$1503,"SÍ")&gt;0,"No","Sí"))</f>
        <v/>
      </c>
      <c r="Q591" s="28">
        <f>IF(OR($A591="",$L591=""),"",IF(AND($N591="Sí",$P591="Sí"),"OTIF","Falló"))</f>
        <v/>
      </c>
    </row>
    <row r="592" ht="16" customHeight="1">
      <c r="A592" s="48" t="n"/>
      <c r="B592" s="48" t="n"/>
      <c r="C592" s="47" t="n"/>
      <c r="D592" s="50" t="n"/>
      <c r="E592" s="50" t="n"/>
      <c r="F592" s="50" t="n"/>
      <c r="G592" s="50" t="n"/>
      <c r="H592" s="48" t="n"/>
      <c r="I592" s="51" t="n"/>
      <c r="J592" s="52" t="n"/>
      <c r="K592" s="47" t="n"/>
      <c r="L592" s="47" t="n"/>
      <c r="M592" s="24">
        <f>IF(OR($A592="",$C592=""),"",IF($L592&lt;&gt;"",$L592-$C592,TODAY()-$C592))</f>
        <v/>
      </c>
      <c r="N592" s="28">
        <f>IF(OR($A592="",$K592=""),"",IF($L592="",IF(TODAY()&gt;$K592,"Atrasado","En ruta"),IF($L592&lt;=$K592,"Sí","No")))</f>
        <v/>
      </c>
      <c r="O592" s="24">
        <f>IF($A592="","",COUNTIFS(NOVEDADES!$D$4:$D$1503,$A592))</f>
        <v/>
      </c>
      <c r="P592" s="28">
        <f>IF($A592="","",IF(COUNTIFS(NOVEDADES!$D$4:$D$1503,$A592,NOVEDADES!$O$4:$O$1503,"SÍ")&gt;0,"No","Sí"))</f>
        <v/>
      </c>
      <c r="Q592" s="28">
        <f>IF(OR($A592="",$L592=""),"",IF(AND($N592="Sí",$P592="Sí"),"OTIF","Falló"))</f>
        <v/>
      </c>
    </row>
    <row r="593" ht="16" customHeight="1">
      <c r="A593" s="48" t="n"/>
      <c r="B593" s="48" t="n"/>
      <c r="C593" s="47" t="n"/>
      <c r="D593" s="50" t="n"/>
      <c r="E593" s="50" t="n"/>
      <c r="F593" s="50" t="n"/>
      <c r="G593" s="50" t="n"/>
      <c r="H593" s="48" t="n"/>
      <c r="I593" s="51" t="n"/>
      <c r="J593" s="52" t="n"/>
      <c r="K593" s="47" t="n"/>
      <c r="L593" s="47" t="n"/>
      <c r="M593" s="24">
        <f>IF(OR($A593="",$C593=""),"",IF($L593&lt;&gt;"",$L593-$C593,TODAY()-$C593))</f>
        <v/>
      </c>
      <c r="N593" s="28">
        <f>IF(OR($A593="",$K593=""),"",IF($L593="",IF(TODAY()&gt;$K593,"Atrasado","En ruta"),IF($L593&lt;=$K593,"Sí","No")))</f>
        <v/>
      </c>
      <c r="O593" s="24">
        <f>IF($A593="","",COUNTIFS(NOVEDADES!$D$4:$D$1503,$A593))</f>
        <v/>
      </c>
      <c r="P593" s="28">
        <f>IF($A593="","",IF(COUNTIFS(NOVEDADES!$D$4:$D$1503,$A593,NOVEDADES!$O$4:$O$1503,"SÍ")&gt;0,"No","Sí"))</f>
        <v/>
      </c>
      <c r="Q593" s="28">
        <f>IF(OR($A593="",$L593=""),"",IF(AND($N593="Sí",$P593="Sí"),"OTIF","Falló"))</f>
        <v/>
      </c>
    </row>
    <row r="594" ht="16" customHeight="1">
      <c r="A594" s="48" t="n"/>
      <c r="B594" s="48" t="n"/>
      <c r="C594" s="47" t="n"/>
      <c r="D594" s="50" t="n"/>
      <c r="E594" s="50" t="n"/>
      <c r="F594" s="50" t="n"/>
      <c r="G594" s="50" t="n"/>
      <c r="H594" s="48" t="n"/>
      <c r="I594" s="51" t="n"/>
      <c r="J594" s="52" t="n"/>
      <c r="K594" s="47" t="n"/>
      <c r="L594" s="47" t="n"/>
      <c r="M594" s="24">
        <f>IF(OR($A594="",$C594=""),"",IF($L594&lt;&gt;"",$L594-$C594,TODAY()-$C594))</f>
        <v/>
      </c>
      <c r="N594" s="28">
        <f>IF(OR($A594="",$K594=""),"",IF($L594="",IF(TODAY()&gt;$K594,"Atrasado","En ruta"),IF($L594&lt;=$K594,"Sí","No")))</f>
        <v/>
      </c>
      <c r="O594" s="24">
        <f>IF($A594="","",COUNTIFS(NOVEDADES!$D$4:$D$1503,$A594))</f>
        <v/>
      </c>
      <c r="P594" s="28">
        <f>IF($A594="","",IF(COUNTIFS(NOVEDADES!$D$4:$D$1503,$A594,NOVEDADES!$O$4:$O$1503,"SÍ")&gt;0,"No","Sí"))</f>
        <v/>
      </c>
      <c r="Q594" s="28">
        <f>IF(OR($A594="",$L594=""),"",IF(AND($N594="Sí",$P594="Sí"),"OTIF","Falló"))</f>
        <v/>
      </c>
    </row>
    <row r="595" ht="16" customHeight="1">
      <c r="A595" s="48" t="n"/>
      <c r="B595" s="48" t="n"/>
      <c r="C595" s="47" t="n"/>
      <c r="D595" s="50" t="n"/>
      <c r="E595" s="50" t="n"/>
      <c r="F595" s="50" t="n"/>
      <c r="G595" s="50" t="n"/>
      <c r="H595" s="48" t="n"/>
      <c r="I595" s="51" t="n"/>
      <c r="J595" s="52" t="n"/>
      <c r="K595" s="47" t="n"/>
      <c r="L595" s="47" t="n"/>
      <c r="M595" s="24">
        <f>IF(OR($A595="",$C595=""),"",IF($L595&lt;&gt;"",$L595-$C595,TODAY()-$C595))</f>
        <v/>
      </c>
      <c r="N595" s="28">
        <f>IF(OR($A595="",$K595=""),"",IF($L595="",IF(TODAY()&gt;$K595,"Atrasado","En ruta"),IF($L595&lt;=$K595,"Sí","No")))</f>
        <v/>
      </c>
      <c r="O595" s="24">
        <f>IF($A595="","",COUNTIFS(NOVEDADES!$D$4:$D$1503,$A595))</f>
        <v/>
      </c>
      <c r="P595" s="28">
        <f>IF($A595="","",IF(COUNTIFS(NOVEDADES!$D$4:$D$1503,$A595,NOVEDADES!$O$4:$O$1503,"SÍ")&gt;0,"No","Sí"))</f>
        <v/>
      </c>
      <c r="Q595" s="28">
        <f>IF(OR($A595="",$L595=""),"",IF(AND($N595="Sí",$P595="Sí"),"OTIF","Falló"))</f>
        <v/>
      </c>
    </row>
    <row r="596" ht="16" customHeight="1">
      <c r="A596" s="48" t="n"/>
      <c r="B596" s="48" t="n"/>
      <c r="C596" s="47" t="n"/>
      <c r="D596" s="50" t="n"/>
      <c r="E596" s="50" t="n"/>
      <c r="F596" s="50" t="n"/>
      <c r="G596" s="50" t="n"/>
      <c r="H596" s="48" t="n"/>
      <c r="I596" s="51" t="n"/>
      <c r="J596" s="52" t="n"/>
      <c r="K596" s="47" t="n"/>
      <c r="L596" s="47" t="n"/>
      <c r="M596" s="24">
        <f>IF(OR($A596="",$C596=""),"",IF($L596&lt;&gt;"",$L596-$C596,TODAY()-$C596))</f>
        <v/>
      </c>
      <c r="N596" s="28">
        <f>IF(OR($A596="",$K596=""),"",IF($L596="",IF(TODAY()&gt;$K596,"Atrasado","En ruta"),IF($L596&lt;=$K596,"Sí","No")))</f>
        <v/>
      </c>
      <c r="O596" s="24">
        <f>IF($A596="","",COUNTIFS(NOVEDADES!$D$4:$D$1503,$A596))</f>
        <v/>
      </c>
      <c r="P596" s="28">
        <f>IF($A596="","",IF(COUNTIFS(NOVEDADES!$D$4:$D$1503,$A596,NOVEDADES!$O$4:$O$1503,"SÍ")&gt;0,"No","Sí"))</f>
        <v/>
      </c>
      <c r="Q596" s="28">
        <f>IF(OR($A596="",$L596=""),"",IF(AND($N596="Sí",$P596="Sí"),"OTIF","Falló"))</f>
        <v/>
      </c>
    </row>
    <row r="597" ht="16" customHeight="1">
      <c r="A597" s="48" t="n"/>
      <c r="B597" s="48" t="n"/>
      <c r="C597" s="47" t="n"/>
      <c r="D597" s="50" t="n"/>
      <c r="E597" s="50" t="n"/>
      <c r="F597" s="50" t="n"/>
      <c r="G597" s="50" t="n"/>
      <c r="H597" s="48" t="n"/>
      <c r="I597" s="51" t="n"/>
      <c r="J597" s="52" t="n"/>
      <c r="K597" s="47" t="n"/>
      <c r="L597" s="47" t="n"/>
      <c r="M597" s="24">
        <f>IF(OR($A597="",$C597=""),"",IF($L597&lt;&gt;"",$L597-$C597,TODAY()-$C597))</f>
        <v/>
      </c>
      <c r="N597" s="28">
        <f>IF(OR($A597="",$K597=""),"",IF($L597="",IF(TODAY()&gt;$K597,"Atrasado","En ruta"),IF($L597&lt;=$K597,"Sí","No")))</f>
        <v/>
      </c>
      <c r="O597" s="24">
        <f>IF($A597="","",COUNTIFS(NOVEDADES!$D$4:$D$1503,$A597))</f>
        <v/>
      </c>
      <c r="P597" s="28">
        <f>IF($A597="","",IF(COUNTIFS(NOVEDADES!$D$4:$D$1503,$A597,NOVEDADES!$O$4:$O$1503,"SÍ")&gt;0,"No","Sí"))</f>
        <v/>
      </c>
      <c r="Q597" s="28">
        <f>IF(OR($A597="",$L597=""),"",IF(AND($N597="Sí",$P597="Sí"),"OTIF","Falló"))</f>
        <v/>
      </c>
    </row>
    <row r="598" ht="16" customHeight="1">
      <c r="A598" s="48" t="n"/>
      <c r="B598" s="48" t="n"/>
      <c r="C598" s="47" t="n"/>
      <c r="D598" s="50" t="n"/>
      <c r="E598" s="50" t="n"/>
      <c r="F598" s="50" t="n"/>
      <c r="G598" s="50" t="n"/>
      <c r="H598" s="48" t="n"/>
      <c r="I598" s="51" t="n"/>
      <c r="J598" s="52" t="n"/>
      <c r="K598" s="47" t="n"/>
      <c r="L598" s="47" t="n"/>
      <c r="M598" s="24">
        <f>IF(OR($A598="",$C598=""),"",IF($L598&lt;&gt;"",$L598-$C598,TODAY()-$C598))</f>
        <v/>
      </c>
      <c r="N598" s="28">
        <f>IF(OR($A598="",$K598=""),"",IF($L598="",IF(TODAY()&gt;$K598,"Atrasado","En ruta"),IF($L598&lt;=$K598,"Sí","No")))</f>
        <v/>
      </c>
      <c r="O598" s="24">
        <f>IF($A598="","",COUNTIFS(NOVEDADES!$D$4:$D$1503,$A598))</f>
        <v/>
      </c>
      <c r="P598" s="28">
        <f>IF($A598="","",IF(COUNTIFS(NOVEDADES!$D$4:$D$1503,$A598,NOVEDADES!$O$4:$O$1503,"SÍ")&gt;0,"No","Sí"))</f>
        <v/>
      </c>
      <c r="Q598" s="28">
        <f>IF(OR($A598="",$L598=""),"",IF(AND($N598="Sí",$P598="Sí"),"OTIF","Falló"))</f>
        <v/>
      </c>
    </row>
    <row r="599" ht="16" customHeight="1">
      <c r="A599" s="48" t="n"/>
      <c r="B599" s="48" t="n"/>
      <c r="C599" s="47" t="n"/>
      <c r="D599" s="50" t="n"/>
      <c r="E599" s="50" t="n"/>
      <c r="F599" s="50" t="n"/>
      <c r="G599" s="50" t="n"/>
      <c r="H599" s="48" t="n"/>
      <c r="I599" s="51" t="n"/>
      <c r="J599" s="52" t="n"/>
      <c r="K599" s="47" t="n"/>
      <c r="L599" s="47" t="n"/>
      <c r="M599" s="24">
        <f>IF(OR($A599="",$C599=""),"",IF($L599&lt;&gt;"",$L599-$C599,TODAY()-$C599))</f>
        <v/>
      </c>
      <c r="N599" s="28">
        <f>IF(OR($A599="",$K599=""),"",IF($L599="",IF(TODAY()&gt;$K599,"Atrasado","En ruta"),IF($L599&lt;=$K599,"Sí","No")))</f>
        <v/>
      </c>
      <c r="O599" s="24">
        <f>IF($A599="","",COUNTIFS(NOVEDADES!$D$4:$D$1503,$A599))</f>
        <v/>
      </c>
      <c r="P599" s="28">
        <f>IF($A599="","",IF(COUNTIFS(NOVEDADES!$D$4:$D$1503,$A599,NOVEDADES!$O$4:$O$1503,"SÍ")&gt;0,"No","Sí"))</f>
        <v/>
      </c>
      <c r="Q599" s="28">
        <f>IF(OR($A599="",$L599=""),"",IF(AND($N599="Sí",$P599="Sí"),"OTIF","Falló"))</f>
        <v/>
      </c>
    </row>
    <row r="600" ht="16" customHeight="1">
      <c r="A600" s="48" t="n"/>
      <c r="B600" s="48" t="n"/>
      <c r="C600" s="47" t="n"/>
      <c r="D600" s="50" t="n"/>
      <c r="E600" s="50" t="n"/>
      <c r="F600" s="50" t="n"/>
      <c r="G600" s="50" t="n"/>
      <c r="H600" s="48" t="n"/>
      <c r="I600" s="51" t="n"/>
      <c r="J600" s="52" t="n"/>
      <c r="K600" s="47" t="n"/>
      <c r="L600" s="47" t="n"/>
      <c r="M600" s="24">
        <f>IF(OR($A600="",$C600=""),"",IF($L600&lt;&gt;"",$L600-$C600,TODAY()-$C600))</f>
        <v/>
      </c>
      <c r="N600" s="28">
        <f>IF(OR($A600="",$K600=""),"",IF($L600="",IF(TODAY()&gt;$K600,"Atrasado","En ruta"),IF($L600&lt;=$K600,"Sí","No")))</f>
        <v/>
      </c>
      <c r="O600" s="24">
        <f>IF($A600="","",COUNTIFS(NOVEDADES!$D$4:$D$1503,$A600))</f>
        <v/>
      </c>
      <c r="P600" s="28">
        <f>IF($A600="","",IF(COUNTIFS(NOVEDADES!$D$4:$D$1503,$A600,NOVEDADES!$O$4:$O$1503,"SÍ")&gt;0,"No","Sí"))</f>
        <v/>
      </c>
      <c r="Q600" s="28">
        <f>IF(OR($A600="",$L600=""),"",IF(AND($N600="Sí",$P600="Sí"),"OTIF","Falló"))</f>
        <v/>
      </c>
    </row>
    <row r="601" ht="16" customHeight="1">
      <c r="A601" s="48" t="n"/>
      <c r="B601" s="48" t="n"/>
      <c r="C601" s="47" t="n"/>
      <c r="D601" s="50" t="n"/>
      <c r="E601" s="50" t="n"/>
      <c r="F601" s="50" t="n"/>
      <c r="G601" s="50" t="n"/>
      <c r="H601" s="48" t="n"/>
      <c r="I601" s="51" t="n"/>
      <c r="J601" s="52" t="n"/>
      <c r="K601" s="47" t="n"/>
      <c r="L601" s="47" t="n"/>
      <c r="M601" s="24">
        <f>IF(OR($A601="",$C601=""),"",IF($L601&lt;&gt;"",$L601-$C601,TODAY()-$C601))</f>
        <v/>
      </c>
      <c r="N601" s="28">
        <f>IF(OR($A601="",$K601=""),"",IF($L601="",IF(TODAY()&gt;$K601,"Atrasado","En ruta"),IF($L601&lt;=$K601,"Sí","No")))</f>
        <v/>
      </c>
      <c r="O601" s="24">
        <f>IF($A601="","",COUNTIFS(NOVEDADES!$D$4:$D$1503,$A601))</f>
        <v/>
      </c>
      <c r="P601" s="28">
        <f>IF($A601="","",IF(COUNTIFS(NOVEDADES!$D$4:$D$1503,$A601,NOVEDADES!$O$4:$O$1503,"SÍ")&gt;0,"No","Sí"))</f>
        <v/>
      </c>
      <c r="Q601" s="28">
        <f>IF(OR($A601="",$L601=""),"",IF(AND($N601="Sí",$P601="Sí"),"OTIF","Falló"))</f>
        <v/>
      </c>
    </row>
    <row r="602" ht="16" customHeight="1">
      <c r="A602" s="48" t="n"/>
      <c r="B602" s="48" t="n"/>
      <c r="C602" s="47" t="n"/>
      <c r="D602" s="50" t="n"/>
      <c r="E602" s="50" t="n"/>
      <c r="F602" s="50" t="n"/>
      <c r="G602" s="50" t="n"/>
      <c r="H602" s="48" t="n"/>
      <c r="I602" s="51" t="n"/>
      <c r="J602" s="52" t="n"/>
      <c r="K602" s="47" t="n"/>
      <c r="L602" s="47" t="n"/>
      <c r="M602" s="24">
        <f>IF(OR($A602="",$C602=""),"",IF($L602&lt;&gt;"",$L602-$C602,TODAY()-$C602))</f>
        <v/>
      </c>
      <c r="N602" s="28">
        <f>IF(OR($A602="",$K602=""),"",IF($L602="",IF(TODAY()&gt;$K602,"Atrasado","En ruta"),IF($L602&lt;=$K602,"Sí","No")))</f>
        <v/>
      </c>
      <c r="O602" s="24">
        <f>IF($A602="","",COUNTIFS(NOVEDADES!$D$4:$D$1503,$A602))</f>
        <v/>
      </c>
      <c r="P602" s="28">
        <f>IF($A602="","",IF(COUNTIFS(NOVEDADES!$D$4:$D$1503,$A602,NOVEDADES!$O$4:$O$1503,"SÍ")&gt;0,"No","Sí"))</f>
        <v/>
      </c>
      <c r="Q602" s="28">
        <f>IF(OR($A602="",$L602=""),"",IF(AND($N602="Sí",$P602="Sí"),"OTIF","Falló"))</f>
        <v/>
      </c>
    </row>
    <row r="603" ht="16" customHeight="1">
      <c r="A603" s="48" t="n"/>
      <c r="B603" s="48" t="n"/>
      <c r="C603" s="47" t="n"/>
      <c r="D603" s="50" t="n"/>
      <c r="E603" s="50" t="n"/>
      <c r="F603" s="50" t="n"/>
      <c r="G603" s="50" t="n"/>
      <c r="H603" s="48" t="n"/>
      <c r="I603" s="51" t="n"/>
      <c r="J603" s="52" t="n"/>
      <c r="K603" s="47" t="n"/>
      <c r="L603" s="47" t="n"/>
      <c r="M603" s="24">
        <f>IF(OR($A603="",$C603=""),"",IF($L603&lt;&gt;"",$L603-$C603,TODAY()-$C603))</f>
        <v/>
      </c>
      <c r="N603" s="28">
        <f>IF(OR($A603="",$K603=""),"",IF($L603="",IF(TODAY()&gt;$K603,"Atrasado","En ruta"),IF($L603&lt;=$K603,"Sí","No")))</f>
        <v/>
      </c>
      <c r="O603" s="24">
        <f>IF($A603="","",COUNTIFS(NOVEDADES!$D$4:$D$1503,$A603))</f>
        <v/>
      </c>
      <c r="P603" s="28">
        <f>IF($A603="","",IF(COUNTIFS(NOVEDADES!$D$4:$D$1503,$A603,NOVEDADES!$O$4:$O$1503,"SÍ")&gt;0,"No","Sí"))</f>
        <v/>
      </c>
      <c r="Q603" s="28">
        <f>IF(OR($A603="",$L603=""),"",IF(AND($N603="Sí",$P603="Sí"),"OTIF","Falló"))</f>
        <v/>
      </c>
    </row>
    <row r="604" ht="16" customHeight="1">
      <c r="A604" s="48" t="n"/>
      <c r="B604" s="48" t="n"/>
      <c r="C604" s="47" t="n"/>
      <c r="D604" s="50" t="n"/>
      <c r="E604" s="50" t="n"/>
      <c r="F604" s="50" t="n"/>
      <c r="G604" s="50" t="n"/>
      <c r="H604" s="48" t="n"/>
      <c r="I604" s="51" t="n"/>
      <c r="J604" s="52" t="n"/>
      <c r="K604" s="47" t="n"/>
      <c r="L604" s="47" t="n"/>
      <c r="M604" s="24">
        <f>IF(OR($A604="",$C604=""),"",IF($L604&lt;&gt;"",$L604-$C604,TODAY()-$C604))</f>
        <v/>
      </c>
      <c r="N604" s="28">
        <f>IF(OR($A604="",$K604=""),"",IF($L604="",IF(TODAY()&gt;$K604,"Atrasado","En ruta"),IF($L604&lt;=$K604,"Sí","No")))</f>
        <v/>
      </c>
      <c r="O604" s="24">
        <f>IF($A604="","",COUNTIFS(NOVEDADES!$D$4:$D$1503,$A604))</f>
        <v/>
      </c>
      <c r="P604" s="28">
        <f>IF($A604="","",IF(COUNTIFS(NOVEDADES!$D$4:$D$1503,$A604,NOVEDADES!$O$4:$O$1503,"SÍ")&gt;0,"No","Sí"))</f>
        <v/>
      </c>
      <c r="Q604" s="28">
        <f>IF(OR($A604="",$L604=""),"",IF(AND($N604="Sí",$P604="Sí"),"OTIF","Falló"))</f>
        <v/>
      </c>
    </row>
    <row r="605" ht="16" customHeight="1">
      <c r="A605" s="48" t="n"/>
      <c r="B605" s="48" t="n"/>
      <c r="C605" s="47" t="n"/>
      <c r="D605" s="50" t="n"/>
      <c r="E605" s="50" t="n"/>
      <c r="F605" s="50" t="n"/>
      <c r="G605" s="50" t="n"/>
      <c r="H605" s="48" t="n"/>
      <c r="I605" s="51" t="n"/>
      <c r="J605" s="52" t="n"/>
      <c r="K605" s="47" t="n"/>
      <c r="L605" s="47" t="n"/>
      <c r="M605" s="24">
        <f>IF(OR($A605="",$C605=""),"",IF($L605&lt;&gt;"",$L605-$C605,TODAY()-$C605))</f>
        <v/>
      </c>
      <c r="N605" s="28">
        <f>IF(OR($A605="",$K605=""),"",IF($L605="",IF(TODAY()&gt;$K605,"Atrasado","En ruta"),IF($L605&lt;=$K605,"Sí","No")))</f>
        <v/>
      </c>
      <c r="O605" s="24">
        <f>IF($A605="","",COUNTIFS(NOVEDADES!$D$4:$D$1503,$A605))</f>
        <v/>
      </c>
      <c r="P605" s="28">
        <f>IF($A605="","",IF(COUNTIFS(NOVEDADES!$D$4:$D$1503,$A605,NOVEDADES!$O$4:$O$1503,"SÍ")&gt;0,"No","Sí"))</f>
        <v/>
      </c>
      <c r="Q605" s="28">
        <f>IF(OR($A605="",$L605=""),"",IF(AND($N605="Sí",$P605="Sí"),"OTIF","Falló"))</f>
        <v/>
      </c>
    </row>
    <row r="606" ht="16" customHeight="1">
      <c r="A606" s="48" t="n"/>
      <c r="B606" s="48" t="n"/>
      <c r="C606" s="47" t="n"/>
      <c r="D606" s="50" t="n"/>
      <c r="E606" s="50" t="n"/>
      <c r="F606" s="50" t="n"/>
      <c r="G606" s="50" t="n"/>
      <c r="H606" s="48" t="n"/>
      <c r="I606" s="51" t="n"/>
      <c r="J606" s="52" t="n"/>
      <c r="K606" s="47" t="n"/>
      <c r="L606" s="47" t="n"/>
      <c r="M606" s="24">
        <f>IF(OR($A606="",$C606=""),"",IF($L606&lt;&gt;"",$L606-$C606,TODAY()-$C606))</f>
        <v/>
      </c>
      <c r="N606" s="28">
        <f>IF(OR($A606="",$K606=""),"",IF($L606="",IF(TODAY()&gt;$K606,"Atrasado","En ruta"),IF($L606&lt;=$K606,"Sí","No")))</f>
        <v/>
      </c>
      <c r="O606" s="24">
        <f>IF($A606="","",COUNTIFS(NOVEDADES!$D$4:$D$1503,$A606))</f>
        <v/>
      </c>
      <c r="P606" s="28">
        <f>IF($A606="","",IF(COUNTIFS(NOVEDADES!$D$4:$D$1503,$A606,NOVEDADES!$O$4:$O$1503,"SÍ")&gt;0,"No","Sí"))</f>
        <v/>
      </c>
      <c r="Q606" s="28">
        <f>IF(OR($A606="",$L606=""),"",IF(AND($N606="Sí",$P606="Sí"),"OTIF","Falló"))</f>
        <v/>
      </c>
    </row>
    <row r="607" ht="16" customHeight="1">
      <c r="A607" s="48" t="n"/>
      <c r="B607" s="48" t="n"/>
      <c r="C607" s="47" t="n"/>
      <c r="D607" s="50" t="n"/>
      <c r="E607" s="50" t="n"/>
      <c r="F607" s="50" t="n"/>
      <c r="G607" s="50" t="n"/>
      <c r="H607" s="48" t="n"/>
      <c r="I607" s="51" t="n"/>
      <c r="J607" s="52" t="n"/>
      <c r="K607" s="47" t="n"/>
      <c r="L607" s="47" t="n"/>
      <c r="M607" s="24">
        <f>IF(OR($A607="",$C607=""),"",IF($L607&lt;&gt;"",$L607-$C607,TODAY()-$C607))</f>
        <v/>
      </c>
      <c r="N607" s="28">
        <f>IF(OR($A607="",$K607=""),"",IF($L607="",IF(TODAY()&gt;$K607,"Atrasado","En ruta"),IF($L607&lt;=$K607,"Sí","No")))</f>
        <v/>
      </c>
      <c r="O607" s="24">
        <f>IF($A607="","",COUNTIFS(NOVEDADES!$D$4:$D$1503,$A607))</f>
        <v/>
      </c>
      <c r="P607" s="28">
        <f>IF($A607="","",IF(COUNTIFS(NOVEDADES!$D$4:$D$1503,$A607,NOVEDADES!$O$4:$O$1503,"SÍ")&gt;0,"No","Sí"))</f>
        <v/>
      </c>
      <c r="Q607" s="28">
        <f>IF(OR($A607="",$L607=""),"",IF(AND($N607="Sí",$P607="Sí"),"OTIF","Falló"))</f>
        <v/>
      </c>
    </row>
    <row r="608" ht="16" customHeight="1">
      <c r="A608" s="48" t="n"/>
      <c r="B608" s="48" t="n"/>
      <c r="C608" s="47" t="n"/>
      <c r="D608" s="50" t="n"/>
      <c r="E608" s="50" t="n"/>
      <c r="F608" s="50" t="n"/>
      <c r="G608" s="50" t="n"/>
      <c r="H608" s="48" t="n"/>
      <c r="I608" s="51" t="n"/>
      <c r="J608" s="52" t="n"/>
      <c r="K608" s="47" t="n"/>
      <c r="L608" s="47" t="n"/>
      <c r="M608" s="24">
        <f>IF(OR($A608="",$C608=""),"",IF($L608&lt;&gt;"",$L608-$C608,TODAY()-$C608))</f>
        <v/>
      </c>
      <c r="N608" s="28">
        <f>IF(OR($A608="",$K608=""),"",IF($L608="",IF(TODAY()&gt;$K608,"Atrasado","En ruta"),IF($L608&lt;=$K608,"Sí","No")))</f>
        <v/>
      </c>
      <c r="O608" s="24">
        <f>IF($A608="","",COUNTIFS(NOVEDADES!$D$4:$D$1503,$A608))</f>
        <v/>
      </c>
      <c r="P608" s="28">
        <f>IF($A608="","",IF(COUNTIFS(NOVEDADES!$D$4:$D$1503,$A608,NOVEDADES!$O$4:$O$1503,"SÍ")&gt;0,"No","Sí"))</f>
        <v/>
      </c>
      <c r="Q608" s="28">
        <f>IF(OR($A608="",$L608=""),"",IF(AND($N608="Sí",$P608="Sí"),"OTIF","Falló"))</f>
        <v/>
      </c>
    </row>
    <row r="609" ht="16" customHeight="1">
      <c r="A609" s="48" t="n"/>
      <c r="B609" s="48" t="n"/>
      <c r="C609" s="47" t="n"/>
      <c r="D609" s="50" t="n"/>
      <c r="E609" s="50" t="n"/>
      <c r="F609" s="50" t="n"/>
      <c r="G609" s="50" t="n"/>
      <c r="H609" s="48" t="n"/>
      <c r="I609" s="51" t="n"/>
      <c r="J609" s="52" t="n"/>
      <c r="K609" s="47" t="n"/>
      <c r="L609" s="47" t="n"/>
      <c r="M609" s="24">
        <f>IF(OR($A609="",$C609=""),"",IF($L609&lt;&gt;"",$L609-$C609,TODAY()-$C609))</f>
        <v/>
      </c>
      <c r="N609" s="28">
        <f>IF(OR($A609="",$K609=""),"",IF($L609="",IF(TODAY()&gt;$K609,"Atrasado","En ruta"),IF($L609&lt;=$K609,"Sí","No")))</f>
        <v/>
      </c>
      <c r="O609" s="24">
        <f>IF($A609="","",COUNTIFS(NOVEDADES!$D$4:$D$1503,$A609))</f>
        <v/>
      </c>
      <c r="P609" s="28">
        <f>IF($A609="","",IF(COUNTIFS(NOVEDADES!$D$4:$D$1503,$A609,NOVEDADES!$O$4:$O$1503,"SÍ")&gt;0,"No","Sí"))</f>
        <v/>
      </c>
      <c r="Q609" s="28">
        <f>IF(OR($A609="",$L609=""),"",IF(AND($N609="Sí",$P609="Sí"),"OTIF","Falló"))</f>
        <v/>
      </c>
    </row>
    <row r="610" ht="16" customHeight="1">
      <c r="A610" s="48" t="n"/>
      <c r="B610" s="48" t="n"/>
      <c r="C610" s="47" t="n"/>
      <c r="D610" s="50" t="n"/>
      <c r="E610" s="50" t="n"/>
      <c r="F610" s="50" t="n"/>
      <c r="G610" s="50" t="n"/>
      <c r="H610" s="48" t="n"/>
      <c r="I610" s="51" t="n"/>
      <c r="J610" s="52" t="n"/>
      <c r="K610" s="47" t="n"/>
      <c r="L610" s="47" t="n"/>
      <c r="M610" s="24">
        <f>IF(OR($A610="",$C610=""),"",IF($L610&lt;&gt;"",$L610-$C610,TODAY()-$C610))</f>
        <v/>
      </c>
      <c r="N610" s="28">
        <f>IF(OR($A610="",$K610=""),"",IF($L610="",IF(TODAY()&gt;$K610,"Atrasado","En ruta"),IF($L610&lt;=$K610,"Sí","No")))</f>
        <v/>
      </c>
      <c r="O610" s="24">
        <f>IF($A610="","",COUNTIFS(NOVEDADES!$D$4:$D$1503,$A610))</f>
        <v/>
      </c>
      <c r="P610" s="28">
        <f>IF($A610="","",IF(COUNTIFS(NOVEDADES!$D$4:$D$1503,$A610,NOVEDADES!$O$4:$O$1503,"SÍ")&gt;0,"No","Sí"))</f>
        <v/>
      </c>
      <c r="Q610" s="28">
        <f>IF(OR($A610="",$L610=""),"",IF(AND($N610="Sí",$P610="Sí"),"OTIF","Falló"))</f>
        <v/>
      </c>
    </row>
    <row r="611" ht="16" customHeight="1">
      <c r="A611" s="48" t="n"/>
      <c r="B611" s="48" t="n"/>
      <c r="C611" s="47" t="n"/>
      <c r="D611" s="50" t="n"/>
      <c r="E611" s="50" t="n"/>
      <c r="F611" s="50" t="n"/>
      <c r="G611" s="50" t="n"/>
      <c r="H611" s="48" t="n"/>
      <c r="I611" s="51" t="n"/>
      <c r="J611" s="52" t="n"/>
      <c r="K611" s="47" t="n"/>
      <c r="L611" s="47" t="n"/>
      <c r="M611" s="24">
        <f>IF(OR($A611="",$C611=""),"",IF($L611&lt;&gt;"",$L611-$C611,TODAY()-$C611))</f>
        <v/>
      </c>
      <c r="N611" s="28">
        <f>IF(OR($A611="",$K611=""),"",IF($L611="",IF(TODAY()&gt;$K611,"Atrasado","En ruta"),IF($L611&lt;=$K611,"Sí","No")))</f>
        <v/>
      </c>
      <c r="O611" s="24">
        <f>IF($A611="","",COUNTIFS(NOVEDADES!$D$4:$D$1503,$A611))</f>
        <v/>
      </c>
      <c r="P611" s="28">
        <f>IF($A611="","",IF(COUNTIFS(NOVEDADES!$D$4:$D$1503,$A611,NOVEDADES!$O$4:$O$1503,"SÍ")&gt;0,"No","Sí"))</f>
        <v/>
      </c>
      <c r="Q611" s="28">
        <f>IF(OR($A611="",$L611=""),"",IF(AND($N611="Sí",$P611="Sí"),"OTIF","Falló"))</f>
        <v/>
      </c>
    </row>
    <row r="612" ht="16" customHeight="1">
      <c r="A612" s="48" t="n"/>
      <c r="B612" s="48" t="n"/>
      <c r="C612" s="47" t="n"/>
      <c r="D612" s="50" t="n"/>
      <c r="E612" s="50" t="n"/>
      <c r="F612" s="50" t="n"/>
      <c r="G612" s="50" t="n"/>
      <c r="H612" s="48" t="n"/>
      <c r="I612" s="51" t="n"/>
      <c r="J612" s="52" t="n"/>
      <c r="K612" s="47" t="n"/>
      <c r="L612" s="47" t="n"/>
      <c r="M612" s="24">
        <f>IF(OR($A612="",$C612=""),"",IF($L612&lt;&gt;"",$L612-$C612,TODAY()-$C612))</f>
        <v/>
      </c>
      <c r="N612" s="28">
        <f>IF(OR($A612="",$K612=""),"",IF($L612="",IF(TODAY()&gt;$K612,"Atrasado","En ruta"),IF($L612&lt;=$K612,"Sí","No")))</f>
        <v/>
      </c>
      <c r="O612" s="24">
        <f>IF($A612="","",COUNTIFS(NOVEDADES!$D$4:$D$1503,$A612))</f>
        <v/>
      </c>
      <c r="P612" s="28">
        <f>IF($A612="","",IF(COUNTIFS(NOVEDADES!$D$4:$D$1503,$A612,NOVEDADES!$O$4:$O$1503,"SÍ")&gt;0,"No","Sí"))</f>
        <v/>
      </c>
      <c r="Q612" s="28">
        <f>IF(OR($A612="",$L612=""),"",IF(AND($N612="Sí",$P612="Sí"),"OTIF","Falló"))</f>
        <v/>
      </c>
    </row>
    <row r="613" ht="16" customHeight="1">
      <c r="A613" s="48" t="n"/>
      <c r="B613" s="48" t="n"/>
      <c r="C613" s="47" t="n"/>
      <c r="D613" s="50" t="n"/>
      <c r="E613" s="50" t="n"/>
      <c r="F613" s="50" t="n"/>
      <c r="G613" s="50" t="n"/>
      <c r="H613" s="48" t="n"/>
      <c r="I613" s="51" t="n"/>
      <c r="J613" s="52" t="n"/>
      <c r="K613" s="47" t="n"/>
      <c r="L613" s="47" t="n"/>
      <c r="M613" s="24">
        <f>IF(OR($A613="",$C613=""),"",IF($L613&lt;&gt;"",$L613-$C613,TODAY()-$C613))</f>
        <v/>
      </c>
      <c r="N613" s="28">
        <f>IF(OR($A613="",$K613=""),"",IF($L613="",IF(TODAY()&gt;$K613,"Atrasado","En ruta"),IF($L613&lt;=$K613,"Sí","No")))</f>
        <v/>
      </c>
      <c r="O613" s="24">
        <f>IF($A613="","",COUNTIFS(NOVEDADES!$D$4:$D$1503,$A613))</f>
        <v/>
      </c>
      <c r="P613" s="28">
        <f>IF($A613="","",IF(COUNTIFS(NOVEDADES!$D$4:$D$1503,$A613,NOVEDADES!$O$4:$O$1503,"SÍ")&gt;0,"No","Sí"))</f>
        <v/>
      </c>
      <c r="Q613" s="28">
        <f>IF(OR($A613="",$L613=""),"",IF(AND($N613="Sí",$P613="Sí"),"OTIF","Falló"))</f>
        <v/>
      </c>
    </row>
    <row r="614" ht="16" customHeight="1">
      <c r="A614" s="48" t="n"/>
      <c r="B614" s="48" t="n"/>
      <c r="C614" s="47" t="n"/>
      <c r="D614" s="50" t="n"/>
      <c r="E614" s="50" t="n"/>
      <c r="F614" s="50" t="n"/>
      <c r="G614" s="50" t="n"/>
      <c r="H614" s="48" t="n"/>
      <c r="I614" s="51" t="n"/>
      <c r="J614" s="52" t="n"/>
      <c r="K614" s="47" t="n"/>
      <c r="L614" s="47" t="n"/>
      <c r="M614" s="24">
        <f>IF(OR($A614="",$C614=""),"",IF($L614&lt;&gt;"",$L614-$C614,TODAY()-$C614))</f>
        <v/>
      </c>
      <c r="N614" s="28">
        <f>IF(OR($A614="",$K614=""),"",IF($L614="",IF(TODAY()&gt;$K614,"Atrasado","En ruta"),IF($L614&lt;=$K614,"Sí","No")))</f>
        <v/>
      </c>
      <c r="O614" s="24">
        <f>IF($A614="","",COUNTIFS(NOVEDADES!$D$4:$D$1503,$A614))</f>
        <v/>
      </c>
      <c r="P614" s="28">
        <f>IF($A614="","",IF(COUNTIFS(NOVEDADES!$D$4:$D$1503,$A614,NOVEDADES!$O$4:$O$1503,"SÍ")&gt;0,"No","Sí"))</f>
        <v/>
      </c>
      <c r="Q614" s="28">
        <f>IF(OR($A614="",$L614=""),"",IF(AND($N614="Sí",$P614="Sí"),"OTIF","Falló"))</f>
        <v/>
      </c>
    </row>
    <row r="615" ht="16" customHeight="1">
      <c r="A615" s="48" t="n"/>
      <c r="B615" s="48" t="n"/>
      <c r="C615" s="47" t="n"/>
      <c r="D615" s="50" t="n"/>
      <c r="E615" s="50" t="n"/>
      <c r="F615" s="50" t="n"/>
      <c r="G615" s="50" t="n"/>
      <c r="H615" s="48" t="n"/>
      <c r="I615" s="51" t="n"/>
      <c r="J615" s="52" t="n"/>
      <c r="K615" s="47" t="n"/>
      <c r="L615" s="47" t="n"/>
      <c r="M615" s="24">
        <f>IF(OR($A615="",$C615=""),"",IF($L615&lt;&gt;"",$L615-$C615,TODAY()-$C615))</f>
        <v/>
      </c>
      <c r="N615" s="28">
        <f>IF(OR($A615="",$K615=""),"",IF($L615="",IF(TODAY()&gt;$K615,"Atrasado","En ruta"),IF($L615&lt;=$K615,"Sí","No")))</f>
        <v/>
      </c>
      <c r="O615" s="24">
        <f>IF($A615="","",COUNTIFS(NOVEDADES!$D$4:$D$1503,$A615))</f>
        <v/>
      </c>
      <c r="P615" s="28">
        <f>IF($A615="","",IF(COUNTIFS(NOVEDADES!$D$4:$D$1503,$A615,NOVEDADES!$O$4:$O$1503,"SÍ")&gt;0,"No","Sí"))</f>
        <v/>
      </c>
      <c r="Q615" s="28">
        <f>IF(OR($A615="",$L615=""),"",IF(AND($N615="Sí",$P615="Sí"),"OTIF","Falló"))</f>
        <v/>
      </c>
    </row>
    <row r="616" ht="16" customHeight="1">
      <c r="A616" s="48" t="n"/>
      <c r="B616" s="48" t="n"/>
      <c r="C616" s="47" t="n"/>
      <c r="D616" s="50" t="n"/>
      <c r="E616" s="50" t="n"/>
      <c r="F616" s="50" t="n"/>
      <c r="G616" s="50" t="n"/>
      <c r="H616" s="48" t="n"/>
      <c r="I616" s="51" t="n"/>
      <c r="J616" s="52" t="n"/>
      <c r="K616" s="47" t="n"/>
      <c r="L616" s="47" t="n"/>
      <c r="M616" s="24">
        <f>IF(OR($A616="",$C616=""),"",IF($L616&lt;&gt;"",$L616-$C616,TODAY()-$C616))</f>
        <v/>
      </c>
      <c r="N616" s="28">
        <f>IF(OR($A616="",$K616=""),"",IF($L616="",IF(TODAY()&gt;$K616,"Atrasado","En ruta"),IF($L616&lt;=$K616,"Sí","No")))</f>
        <v/>
      </c>
      <c r="O616" s="24">
        <f>IF($A616="","",COUNTIFS(NOVEDADES!$D$4:$D$1503,$A616))</f>
        <v/>
      </c>
      <c r="P616" s="28">
        <f>IF($A616="","",IF(COUNTIFS(NOVEDADES!$D$4:$D$1503,$A616,NOVEDADES!$O$4:$O$1503,"SÍ")&gt;0,"No","Sí"))</f>
        <v/>
      </c>
      <c r="Q616" s="28">
        <f>IF(OR($A616="",$L616=""),"",IF(AND($N616="Sí",$P616="Sí"),"OTIF","Falló"))</f>
        <v/>
      </c>
    </row>
    <row r="617" ht="16" customHeight="1">
      <c r="A617" s="48" t="n"/>
      <c r="B617" s="48" t="n"/>
      <c r="C617" s="47" t="n"/>
      <c r="D617" s="50" t="n"/>
      <c r="E617" s="50" t="n"/>
      <c r="F617" s="50" t="n"/>
      <c r="G617" s="50" t="n"/>
      <c r="H617" s="48" t="n"/>
      <c r="I617" s="51" t="n"/>
      <c r="J617" s="52" t="n"/>
      <c r="K617" s="47" t="n"/>
      <c r="L617" s="47" t="n"/>
      <c r="M617" s="24">
        <f>IF(OR($A617="",$C617=""),"",IF($L617&lt;&gt;"",$L617-$C617,TODAY()-$C617))</f>
        <v/>
      </c>
      <c r="N617" s="28">
        <f>IF(OR($A617="",$K617=""),"",IF($L617="",IF(TODAY()&gt;$K617,"Atrasado","En ruta"),IF($L617&lt;=$K617,"Sí","No")))</f>
        <v/>
      </c>
      <c r="O617" s="24">
        <f>IF($A617="","",COUNTIFS(NOVEDADES!$D$4:$D$1503,$A617))</f>
        <v/>
      </c>
      <c r="P617" s="28">
        <f>IF($A617="","",IF(COUNTIFS(NOVEDADES!$D$4:$D$1503,$A617,NOVEDADES!$O$4:$O$1503,"SÍ")&gt;0,"No","Sí"))</f>
        <v/>
      </c>
      <c r="Q617" s="28">
        <f>IF(OR($A617="",$L617=""),"",IF(AND($N617="Sí",$P617="Sí"),"OTIF","Falló"))</f>
        <v/>
      </c>
    </row>
    <row r="618" ht="16" customHeight="1">
      <c r="A618" s="48" t="n"/>
      <c r="B618" s="48" t="n"/>
      <c r="C618" s="47" t="n"/>
      <c r="D618" s="50" t="n"/>
      <c r="E618" s="50" t="n"/>
      <c r="F618" s="50" t="n"/>
      <c r="G618" s="50" t="n"/>
      <c r="H618" s="48" t="n"/>
      <c r="I618" s="51" t="n"/>
      <c r="J618" s="52" t="n"/>
      <c r="K618" s="47" t="n"/>
      <c r="L618" s="47" t="n"/>
      <c r="M618" s="24">
        <f>IF(OR($A618="",$C618=""),"",IF($L618&lt;&gt;"",$L618-$C618,TODAY()-$C618))</f>
        <v/>
      </c>
      <c r="N618" s="28">
        <f>IF(OR($A618="",$K618=""),"",IF($L618="",IF(TODAY()&gt;$K618,"Atrasado","En ruta"),IF($L618&lt;=$K618,"Sí","No")))</f>
        <v/>
      </c>
      <c r="O618" s="24">
        <f>IF($A618="","",COUNTIFS(NOVEDADES!$D$4:$D$1503,$A618))</f>
        <v/>
      </c>
      <c r="P618" s="28">
        <f>IF($A618="","",IF(COUNTIFS(NOVEDADES!$D$4:$D$1503,$A618,NOVEDADES!$O$4:$O$1503,"SÍ")&gt;0,"No","Sí"))</f>
        <v/>
      </c>
      <c r="Q618" s="28">
        <f>IF(OR($A618="",$L618=""),"",IF(AND($N618="Sí",$P618="Sí"),"OTIF","Falló"))</f>
        <v/>
      </c>
    </row>
    <row r="619" ht="16" customHeight="1">
      <c r="A619" s="48" t="n"/>
      <c r="B619" s="48" t="n"/>
      <c r="C619" s="47" t="n"/>
      <c r="D619" s="50" t="n"/>
      <c r="E619" s="50" t="n"/>
      <c r="F619" s="50" t="n"/>
      <c r="G619" s="50" t="n"/>
      <c r="H619" s="48" t="n"/>
      <c r="I619" s="51" t="n"/>
      <c r="J619" s="52" t="n"/>
      <c r="K619" s="47" t="n"/>
      <c r="L619" s="47" t="n"/>
      <c r="M619" s="24">
        <f>IF(OR($A619="",$C619=""),"",IF($L619&lt;&gt;"",$L619-$C619,TODAY()-$C619))</f>
        <v/>
      </c>
      <c r="N619" s="28">
        <f>IF(OR($A619="",$K619=""),"",IF($L619="",IF(TODAY()&gt;$K619,"Atrasado","En ruta"),IF($L619&lt;=$K619,"Sí","No")))</f>
        <v/>
      </c>
      <c r="O619" s="24">
        <f>IF($A619="","",COUNTIFS(NOVEDADES!$D$4:$D$1503,$A619))</f>
        <v/>
      </c>
      <c r="P619" s="28">
        <f>IF($A619="","",IF(COUNTIFS(NOVEDADES!$D$4:$D$1503,$A619,NOVEDADES!$O$4:$O$1503,"SÍ")&gt;0,"No","Sí"))</f>
        <v/>
      </c>
      <c r="Q619" s="28">
        <f>IF(OR($A619="",$L619=""),"",IF(AND($N619="Sí",$P619="Sí"),"OTIF","Falló"))</f>
        <v/>
      </c>
    </row>
    <row r="620" ht="16" customHeight="1">
      <c r="A620" s="48" t="n"/>
      <c r="B620" s="48" t="n"/>
      <c r="C620" s="47" t="n"/>
      <c r="D620" s="50" t="n"/>
      <c r="E620" s="50" t="n"/>
      <c r="F620" s="50" t="n"/>
      <c r="G620" s="50" t="n"/>
      <c r="H620" s="48" t="n"/>
      <c r="I620" s="51" t="n"/>
      <c r="J620" s="52" t="n"/>
      <c r="K620" s="47" t="n"/>
      <c r="L620" s="47" t="n"/>
      <c r="M620" s="24">
        <f>IF(OR($A620="",$C620=""),"",IF($L620&lt;&gt;"",$L620-$C620,TODAY()-$C620))</f>
        <v/>
      </c>
      <c r="N620" s="28">
        <f>IF(OR($A620="",$K620=""),"",IF($L620="",IF(TODAY()&gt;$K620,"Atrasado","En ruta"),IF($L620&lt;=$K620,"Sí","No")))</f>
        <v/>
      </c>
      <c r="O620" s="24">
        <f>IF($A620="","",COUNTIFS(NOVEDADES!$D$4:$D$1503,$A620))</f>
        <v/>
      </c>
      <c r="P620" s="28">
        <f>IF($A620="","",IF(COUNTIFS(NOVEDADES!$D$4:$D$1503,$A620,NOVEDADES!$O$4:$O$1503,"SÍ")&gt;0,"No","Sí"))</f>
        <v/>
      </c>
      <c r="Q620" s="28">
        <f>IF(OR($A620="",$L620=""),"",IF(AND($N620="Sí",$P620="Sí"),"OTIF","Falló"))</f>
        <v/>
      </c>
    </row>
    <row r="621" ht="16" customHeight="1">
      <c r="A621" s="48" t="n"/>
      <c r="B621" s="48" t="n"/>
      <c r="C621" s="47" t="n"/>
      <c r="D621" s="50" t="n"/>
      <c r="E621" s="50" t="n"/>
      <c r="F621" s="50" t="n"/>
      <c r="G621" s="50" t="n"/>
      <c r="H621" s="48" t="n"/>
      <c r="I621" s="51" t="n"/>
      <c r="J621" s="52" t="n"/>
      <c r="K621" s="47" t="n"/>
      <c r="L621" s="47" t="n"/>
      <c r="M621" s="24">
        <f>IF(OR($A621="",$C621=""),"",IF($L621&lt;&gt;"",$L621-$C621,TODAY()-$C621))</f>
        <v/>
      </c>
      <c r="N621" s="28">
        <f>IF(OR($A621="",$K621=""),"",IF($L621="",IF(TODAY()&gt;$K621,"Atrasado","En ruta"),IF($L621&lt;=$K621,"Sí","No")))</f>
        <v/>
      </c>
      <c r="O621" s="24">
        <f>IF($A621="","",COUNTIFS(NOVEDADES!$D$4:$D$1503,$A621))</f>
        <v/>
      </c>
      <c r="P621" s="28">
        <f>IF($A621="","",IF(COUNTIFS(NOVEDADES!$D$4:$D$1503,$A621,NOVEDADES!$O$4:$O$1503,"SÍ")&gt;0,"No","Sí"))</f>
        <v/>
      </c>
      <c r="Q621" s="28">
        <f>IF(OR($A621="",$L621=""),"",IF(AND($N621="Sí",$P621="Sí"),"OTIF","Falló"))</f>
        <v/>
      </c>
    </row>
    <row r="622" ht="16" customHeight="1">
      <c r="A622" s="48" t="n"/>
      <c r="B622" s="48" t="n"/>
      <c r="C622" s="47" t="n"/>
      <c r="D622" s="50" t="n"/>
      <c r="E622" s="50" t="n"/>
      <c r="F622" s="50" t="n"/>
      <c r="G622" s="50" t="n"/>
      <c r="H622" s="48" t="n"/>
      <c r="I622" s="51" t="n"/>
      <c r="J622" s="52" t="n"/>
      <c r="K622" s="47" t="n"/>
      <c r="L622" s="47" t="n"/>
      <c r="M622" s="24">
        <f>IF(OR($A622="",$C622=""),"",IF($L622&lt;&gt;"",$L622-$C622,TODAY()-$C622))</f>
        <v/>
      </c>
      <c r="N622" s="28">
        <f>IF(OR($A622="",$K622=""),"",IF($L622="",IF(TODAY()&gt;$K622,"Atrasado","En ruta"),IF($L622&lt;=$K622,"Sí","No")))</f>
        <v/>
      </c>
      <c r="O622" s="24">
        <f>IF($A622="","",COUNTIFS(NOVEDADES!$D$4:$D$1503,$A622))</f>
        <v/>
      </c>
      <c r="P622" s="28">
        <f>IF($A622="","",IF(COUNTIFS(NOVEDADES!$D$4:$D$1503,$A622,NOVEDADES!$O$4:$O$1503,"SÍ")&gt;0,"No","Sí"))</f>
        <v/>
      </c>
      <c r="Q622" s="28">
        <f>IF(OR($A622="",$L622=""),"",IF(AND($N622="Sí",$P622="Sí"),"OTIF","Falló"))</f>
        <v/>
      </c>
    </row>
    <row r="623" ht="16" customHeight="1">
      <c r="A623" s="48" t="n"/>
      <c r="B623" s="48" t="n"/>
      <c r="C623" s="47" t="n"/>
      <c r="D623" s="50" t="n"/>
      <c r="E623" s="50" t="n"/>
      <c r="F623" s="50" t="n"/>
      <c r="G623" s="50" t="n"/>
      <c r="H623" s="48" t="n"/>
      <c r="I623" s="51" t="n"/>
      <c r="J623" s="52" t="n"/>
      <c r="K623" s="47" t="n"/>
      <c r="L623" s="47" t="n"/>
      <c r="M623" s="24">
        <f>IF(OR($A623="",$C623=""),"",IF($L623&lt;&gt;"",$L623-$C623,TODAY()-$C623))</f>
        <v/>
      </c>
      <c r="N623" s="28">
        <f>IF(OR($A623="",$K623=""),"",IF($L623="",IF(TODAY()&gt;$K623,"Atrasado","En ruta"),IF($L623&lt;=$K623,"Sí","No")))</f>
        <v/>
      </c>
      <c r="O623" s="24">
        <f>IF($A623="","",COUNTIFS(NOVEDADES!$D$4:$D$1503,$A623))</f>
        <v/>
      </c>
      <c r="P623" s="28">
        <f>IF($A623="","",IF(COUNTIFS(NOVEDADES!$D$4:$D$1503,$A623,NOVEDADES!$O$4:$O$1503,"SÍ")&gt;0,"No","Sí"))</f>
        <v/>
      </c>
      <c r="Q623" s="28">
        <f>IF(OR($A623="",$L623=""),"",IF(AND($N623="Sí",$P623="Sí"),"OTIF","Falló"))</f>
        <v/>
      </c>
    </row>
    <row r="624" ht="16" customHeight="1">
      <c r="A624" s="48" t="n"/>
      <c r="B624" s="48" t="n"/>
      <c r="C624" s="47" t="n"/>
      <c r="D624" s="50" t="n"/>
      <c r="E624" s="50" t="n"/>
      <c r="F624" s="50" t="n"/>
      <c r="G624" s="50" t="n"/>
      <c r="H624" s="48" t="n"/>
      <c r="I624" s="51" t="n"/>
      <c r="J624" s="52" t="n"/>
      <c r="K624" s="47" t="n"/>
      <c r="L624" s="47" t="n"/>
      <c r="M624" s="24">
        <f>IF(OR($A624="",$C624=""),"",IF($L624&lt;&gt;"",$L624-$C624,TODAY()-$C624))</f>
        <v/>
      </c>
      <c r="N624" s="28">
        <f>IF(OR($A624="",$K624=""),"",IF($L624="",IF(TODAY()&gt;$K624,"Atrasado","En ruta"),IF($L624&lt;=$K624,"Sí","No")))</f>
        <v/>
      </c>
      <c r="O624" s="24">
        <f>IF($A624="","",COUNTIFS(NOVEDADES!$D$4:$D$1503,$A624))</f>
        <v/>
      </c>
      <c r="P624" s="28">
        <f>IF($A624="","",IF(COUNTIFS(NOVEDADES!$D$4:$D$1503,$A624,NOVEDADES!$O$4:$O$1503,"SÍ")&gt;0,"No","Sí"))</f>
        <v/>
      </c>
      <c r="Q624" s="28">
        <f>IF(OR($A624="",$L624=""),"",IF(AND($N624="Sí",$P624="Sí"),"OTIF","Falló"))</f>
        <v/>
      </c>
    </row>
    <row r="625" ht="16" customHeight="1">
      <c r="A625" s="48" t="n"/>
      <c r="B625" s="48" t="n"/>
      <c r="C625" s="47" t="n"/>
      <c r="D625" s="50" t="n"/>
      <c r="E625" s="50" t="n"/>
      <c r="F625" s="50" t="n"/>
      <c r="G625" s="50" t="n"/>
      <c r="H625" s="48" t="n"/>
      <c r="I625" s="51" t="n"/>
      <c r="J625" s="52" t="n"/>
      <c r="K625" s="47" t="n"/>
      <c r="L625" s="47" t="n"/>
      <c r="M625" s="24">
        <f>IF(OR($A625="",$C625=""),"",IF($L625&lt;&gt;"",$L625-$C625,TODAY()-$C625))</f>
        <v/>
      </c>
      <c r="N625" s="28">
        <f>IF(OR($A625="",$K625=""),"",IF($L625="",IF(TODAY()&gt;$K625,"Atrasado","En ruta"),IF($L625&lt;=$K625,"Sí","No")))</f>
        <v/>
      </c>
      <c r="O625" s="24">
        <f>IF($A625="","",COUNTIFS(NOVEDADES!$D$4:$D$1503,$A625))</f>
        <v/>
      </c>
      <c r="P625" s="28">
        <f>IF($A625="","",IF(COUNTIFS(NOVEDADES!$D$4:$D$1503,$A625,NOVEDADES!$O$4:$O$1503,"SÍ")&gt;0,"No","Sí"))</f>
        <v/>
      </c>
      <c r="Q625" s="28">
        <f>IF(OR($A625="",$L625=""),"",IF(AND($N625="Sí",$P625="Sí"),"OTIF","Falló"))</f>
        <v/>
      </c>
    </row>
    <row r="626" ht="16" customHeight="1">
      <c r="A626" s="48" t="n"/>
      <c r="B626" s="48" t="n"/>
      <c r="C626" s="47" t="n"/>
      <c r="D626" s="50" t="n"/>
      <c r="E626" s="50" t="n"/>
      <c r="F626" s="50" t="n"/>
      <c r="G626" s="50" t="n"/>
      <c r="H626" s="48" t="n"/>
      <c r="I626" s="51" t="n"/>
      <c r="J626" s="52" t="n"/>
      <c r="K626" s="47" t="n"/>
      <c r="L626" s="47" t="n"/>
      <c r="M626" s="24">
        <f>IF(OR($A626="",$C626=""),"",IF($L626&lt;&gt;"",$L626-$C626,TODAY()-$C626))</f>
        <v/>
      </c>
      <c r="N626" s="28">
        <f>IF(OR($A626="",$K626=""),"",IF($L626="",IF(TODAY()&gt;$K626,"Atrasado","En ruta"),IF($L626&lt;=$K626,"Sí","No")))</f>
        <v/>
      </c>
      <c r="O626" s="24">
        <f>IF($A626="","",COUNTIFS(NOVEDADES!$D$4:$D$1503,$A626))</f>
        <v/>
      </c>
      <c r="P626" s="28">
        <f>IF($A626="","",IF(COUNTIFS(NOVEDADES!$D$4:$D$1503,$A626,NOVEDADES!$O$4:$O$1503,"SÍ")&gt;0,"No","Sí"))</f>
        <v/>
      </c>
      <c r="Q626" s="28">
        <f>IF(OR($A626="",$L626=""),"",IF(AND($N626="Sí",$P626="Sí"),"OTIF","Falló"))</f>
        <v/>
      </c>
    </row>
    <row r="627" ht="16" customHeight="1">
      <c r="A627" s="48" t="n"/>
      <c r="B627" s="48" t="n"/>
      <c r="C627" s="47" t="n"/>
      <c r="D627" s="50" t="n"/>
      <c r="E627" s="50" t="n"/>
      <c r="F627" s="50" t="n"/>
      <c r="G627" s="50" t="n"/>
      <c r="H627" s="48" t="n"/>
      <c r="I627" s="51" t="n"/>
      <c r="J627" s="52" t="n"/>
      <c r="K627" s="47" t="n"/>
      <c r="L627" s="47" t="n"/>
      <c r="M627" s="24">
        <f>IF(OR($A627="",$C627=""),"",IF($L627&lt;&gt;"",$L627-$C627,TODAY()-$C627))</f>
        <v/>
      </c>
      <c r="N627" s="28">
        <f>IF(OR($A627="",$K627=""),"",IF($L627="",IF(TODAY()&gt;$K627,"Atrasado","En ruta"),IF($L627&lt;=$K627,"Sí","No")))</f>
        <v/>
      </c>
      <c r="O627" s="24">
        <f>IF($A627="","",COUNTIFS(NOVEDADES!$D$4:$D$1503,$A627))</f>
        <v/>
      </c>
      <c r="P627" s="28">
        <f>IF($A627="","",IF(COUNTIFS(NOVEDADES!$D$4:$D$1503,$A627,NOVEDADES!$O$4:$O$1503,"SÍ")&gt;0,"No","Sí"))</f>
        <v/>
      </c>
      <c r="Q627" s="28">
        <f>IF(OR($A627="",$L627=""),"",IF(AND($N627="Sí",$P627="Sí"),"OTIF","Falló"))</f>
        <v/>
      </c>
    </row>
    <row r="628" ht="16" customHeight="1">
      <c r="A628" s="48" t="n"/>
      <c r="B628" s="48" t="n"/>
      <c r="C628" s="47" t="n"/>
      <c r="D628" s="50" t="n"/>
      <c r="E628" s="50" t="n"/>
      <c r="F628" s="50" t="n"/>
      <c r="G628" s="50" t="n"/>
      <c r="H628" s="48" t="n"/>
      <c r="I628" s="51" t="n"/>
      <c r="J628" s="52" t="n"/>
      <c r="K628" s="47" t="n"/>
      <c r="L628" s="47" t="n"/>
      <c r="M628" s="24">
        <f>IF(OR($A628="",$C628=""),"",IF($L628&lt;&gt;"",$L628-$C628,TODAY()-$C628))</f>
        <v/>
      </c>
      <c r="N628" s="28">
        <f>IF(OR($A628="",$K628=""),"",IF($L628="",IF(TODAY()&gt;$K628,"Atrasado","En ruta"),IF($L628&lt;=$K628,"Sí","No")))</f>
        <v/>
      </c>
      <c r="O628" s="24">
        <f>IF($A628="","",COUNTIFS(NOVEDADES!$D$4:$D$1503,$A628))</f>
        <v/>
      </c>
      <c r="P628" s="28">
        <f>IF($A628="","",IF(COUNTIFS(NOVEDADES!$D$4:$D$1503,$A628,NOVEDADES!$O$4:$O$1503,"SÍ")&gt;0,"No","Sí"))</f>
        <v/>
      </c>
      <c r="Q628" s="28">
        <f>IF(OR($A628="",$L628=""),"",IF(AND($N628="Sí",$P628="Sí"),"OTIF","Falló"))</f>
        <v/>
      </c>
    </row>
    <row r="629" ht="16" customHeight="1">
      <c r="A629" s="48" t="n"/>
      <c r="B629" s="48" t="n"/>
      <c r="C629" s="47" t="n"/>
      <c r="D629" s="50" t="n"/>
      <c r="E629" s="50" t="n"/>
      <c r="F629" s="50" t="n"/>
      <c r="G629" s="50" t="n"/>
      <c r="H629" s="48" t="n"/>
      <c r="I629" s="51" t="n"/>
      <c r="J629" s="52" t="n"/>
      <c r="K629" s="47" t="n"/>
      <c r="L629" s="47" t="n"/>
      <c r="M629" s="24">
        <f>IF(OR($A629="",$C629=""),"",IF($L629&lt;&gt;"",$L629-$C629,TODAY()-$C629))</f>
        <v/>
      </c>
      <c r="N629" s="28">
        <f>IF(OR($A629="",$K629=""),"",IF($L629="",IF(TODAY()&gt;$K629,"Atrasado","En ruta"),IF($L629&lt;=$K629,"Sí","No")))</f>
        <v/>
      </c>
      <c r="O629" s="24">
        <f>IF($A629="","",COUNTIFS(NOVEDADES!$D$4:$D$1503,$A629))</f>
        <v/>
      </c>
      <c r="P629" s="28">
        <f>IF($A629="","",IF(COUNTIFS(NOVEDADES!$D$4:$D$1503,$A629,NOVEDADES!$O$4:$O$1503,"SÍ")&gt;0,"No","Sí"))</f>
        <v/>
      </c>
      <c r="Q629" s="28">
        <f>IF(OR($A629="",$L629=""),"",IF(AND($N629="Sí",$P629="Sí"),"OTIF","Falló"))</f>
        <v/>
      </c>
    </row>
    <row r="630" ht="16" customHeight="1">
      <c r="A630" s="48" t="n"/>
      <c r="B630" s="48" t="n"/>
      <c r="C630" s="47" t="n"/>
      <c r="D630" s="50" t="n"/>
      <c r="E630" s="50" t="n"/>
      <c r="F630" s="50" t="n"/>
      <c r="G630" s="50" t="n"/>
      <c r="H630" s="48" t="n"/>
      <c r="I630" s="51" t="n"/>
      <c r="J630" s="52" t="n"/>
      <c r="K630" s="47" t="n"/>
      <c r="L630" s="47" t="n"/>
      <c r="M630" s="24">
        <f>IF(OR($A630="",$C630=""),"",IF($L630&lt;&gt;"",$L630-$C630,TODAY()-$C630))</f>
        <v/>
      </c>
      <c r="N630" s="28">
        <f>IF(OR($A630="",$K630=""),"",IF($L630="",IF(TODAY()&gt;$K630,"Atrasado","En ruta"),IF($L630&lt;=$K630,"Sí","No")))</f>
        <v/>
      </c>
      <c r="O630" s="24">
        <f>IF($A630="","",COUNTIFS(NOVEDADES!$D$4:$D$1503,$A630))</f>
        <v/>
      </c>
      <c r="P630" s="28">
        <f>IF($A630="","",IF(COUNTIFS(NOVEDADES!$D$4:$D$1503,$A630,NOVEDADES!$O$4:$O$1503,"SÍ")&gt;0,"No","Sí"))</f>
        <v/>
      </c>
      <c r="Q630" s="28">
        <f>IF(OR($A630="",$L630=""),"",IF(AND($N630="Sí",$P630="Sí"),"OTIF","Falló"))</f>
        <v/>
      </c>
    </row>
    <row r="631" ht="16" customHeight="1">
      <c r="A631" s="48" t="n"/>
      <c r="B631" s="48" t="n"/>
      <c r="C631" s="47" t="n"/>
      <c r="D631" s="50" t="n"/>
      <c r="E631" s="50" t="n"/>
      <c r="F631" s="50" t="n"/>
      <c r="G631" s="50" t="n"/>
      <c r="H631" s="48" t="n"/>
      <c r="I631" s="51" t="n"/>
      <c r="J631" s="52" t="n"/>
      <c r="K631" s="47" t="n"/>
      <c r="L631" s="47" t="n"/>
      <c r="M631" s="24">
        <f>IF(OR($A631="",$C631=""),"",IF($L631&lt;&gt;"",$L631-$C631,TODAY()-$C631))</f>
        <v/>
      </c>
      <c r="N631" s="28">
        <f>IF(OR($A631="",$K631=""),"",IF($L631="",IF(TODAY()&gt;$K631,"Atrasado","En ruta"),IF($L631&lt;=$K631,"Sí","No")))</f>
        <v/>
      </c>
      <c r="O631" s="24">
        <f>IF($A631="","",COUNTIFS(NOVEDADES!$D$4:$D$1503,$A631))</f>
        <v/>
      </c>
      <c r="P631" s="28">
        <f>IF($A631="","",IF(COUNTIFS(NOVEDADES!$D$4:$D$1503,$A631,NOVEDADES!$O$4:$O$1503,"SÍ")&gt;0,"No","Sí"))</f>
        <v/>
      </c>
      <c r="Q631" s="28">
        <f>IF(OR($A631="",$L631=""),"",IF(AND($N631="Sí",$P631="Sí"),"OTIF","Falló"))</f>
        <v/>
      </c>
    </row>
    <row r="632" ht="16" customHeight="1">
      <c r="A632" s="48" t="n"/>
      <c r="B632" s="48" t="n"/>
      <c r="C632" s="47" t="n"/>
      <c r="D632" s="50" t="n"/>
      <c r="E632" s="50" t="n"/>
      <c r="F632" s="50" t="n"/>
      <c r="G632" s="50" t="n"/>
      <c r="H632" s="48" t="n"/>
      <c r="I632" s="51" t="n"/>
      <c r="J632" s="52" t="n"/>
      <c r="K632" s="47" t="n"/>
      <c r="L632" s="47" t="n"/>
      <c r="M632" s="24">
        <f>IF(OR($A632="",$C632=""),"",IF($L632&lt;&gt;"",$L632-$C632,TODAY()-$C632))</f>
        <v/>
      </c>
      <c r="N632" s="28">
        <f>IF(OR($A632="",$K632=""),"",IF($L632="",IF(TODAY()&gt;$K632,"Atrasado","En ruta"),IF($L632&lt;=$K632,"Sí","No")))</f>
        <v/>
      </c>
      <c r="O632" s="24">
        <f>IF($A632="","",COUNTIFS(NOVEDADES!$D$4:$D$1503,$A632))</f>
        <v/>
      </c>
      <c r="P632" s="28">
        <f>IF($A632="","",IF(COUNTIFS(NOVEDADES!$D$4:$D$1503,$A632,NOVEDADES!$O$4:$O$1503,"SÍ")&gt;0,"No","Sí"))</f>
        <v/>
      </c>
      <c r="Q632" s="28">
        <f>IF(OR($A632="",$L632=""),"",IF(AND($N632="Sí",$P632="Sí"),"OTIF","Falló"))</f>
        <v/>
      </c>
    </row>
    <row r="633" ht="16" customHeight="1">
      <c r="A633" s="48" t="n"/>
      <c r="B633" s="48" t="n"/>
      <c r="C633" s="47" t="n"/>
      <c r="D633" s="50" t="n"/>
      <c r="E633" s="50" t="n"/>
      <c r="F633" s="50" t="n"/>
      <c r="G633" s="50" t="n"/>
      <c r="H633" s="48" t="n"/>
      <c r="I633" s="51" t="n"/>
      <c r="J633" s="52" t="n"/>
      <c r="K633" s="47" t="n"/>
      <c r="L633" s="47" t="n"/>
      <c r="M633" s="24">
        <f>IF(OR($A633="",$C633=""),"",IF($L633&lt;&gt;"",$L633-$C633,TODAY()-$C633))</f>
        <v/>
      </c>
      <c r="N633" s="28">
        <f>IF(OR($A633="",$K633=""),"",IF($L633="",IF(TODAY()&gt;$K633,"Atrasado","En ruta"),IF($L633&lt;=$K633,"Sí","No")))</f>
        <v/>
      </c>
      <c r="O633" s="24">
        <f>IF($A633="","",COUNTIFS(NOVEDADES!$D$4:$D$1503,$A633))</f>
        <v/>
      </c>
      <c r="P633" s="28">
        <f>IF($A633="","",IF(COUNTIFS(NOVEDADES!$D$4:$D$1503,$A633,NOVEDADES!$O$4:$O$1503,"SÍ")&gt;0,"No","Sí"))</f>
        <v/>
      </c>
      <c r="Q633" s="28">
        <f>IF(OR($A633="",$L633=""),"",IF(AND($N633="Sí",$P633="Sí"),"OTIF","Falló"))</f>
        <v/>
      </c>
    </row>
    <row r="634" ht="16" customHeight="1">
      <c r="A634" s="48" t="n"/>
      <c r="B634" s="48" t="n"/>
      <c r="C634" s="47" t="n"/>
      <c r="D634" s="50" t="n"/>
      <c r="E634" s="50" t="n"/>
      <c r="F634" s="50" t="n"/>
      <c r="G634" s="50" t="n"/>
      <c r="H634" s="48" t="n"/>
      <c r="I634" s="51" t="n"/>
      <c r="J634" s="52" t="n"/>
      <c r="K634" s="47" t="n"/>
      <c r="L634" s="47" t="n"/>
      <c r="M634" s="24">
        <f>IF(OR($A634="",$C634=""),"",IF($L634&lt;&gt;"",$L634-$C634,TODAY()-$C634))</f>
        <v/>
      </c>
      <c r="N634" s="28">
        <f>IF(OR($A634="",$K634=""),"",IF($L634="",IF(TODAY()&gt;$K634,"Atrasado","En ruta"),IF($L634&lt;=$K634,"Sí","No")))</f>
        <v/>
      </c>
      <c r="O634" s="24">
        <f>IF($A634="","",COUNTIFS(NOVEDADES!$D$4:$D$1503,$A634))</f>
        <v/>
      </c>
      <c r="P634" s="28">
        <f>IF($A634="","",IF(COUNTIFS(NOVEDADES!$D$4:$D$1503,$A634,NOVEDADES!$O$4:$O$1503,"SÍ")&gt;0,"No","Sí"))</f>
        <v/>
      </c>
      <c r="Q634" s="28">
        <f>IF(OR($A634="",$L634=""),"",IF(AND($N634="Sí",$P634="Sí"),"OTIF","Falló"))</f>
        <v/>
      </c>
    </row>
    <row r="635" ht="16" customHeight="1">
      <c r="A635" s="48" t="n"/>
      <c r="B635" s="48" t="n"/>
      <c r="C635" s="47" t="n"/>
      <c r="D635" s="50" t="n"/>
      <c r="E635" s="50" t="n"/>
      <c r="F635" s="50" t="n"/>
      <c r="G635" s="50" t="n"/>
      <c r="H635" s="48" t="n"/>
      <c r="I635" s="51" t="n"/>
      <c r="J635" s="52" t="n"/>
      <c r="K635" s="47" t="n"/>
      <c r="L635" s="47" t="n"/>
      <c r="M635" s="24">
        <f>IF(OR($A635="",$C635=""),"",IF($L635&lt;&gt;"",$L635-$C635,TODAY()-$C635))</f>
        <v/>
      </c>
      <c r="N635" s="28">
        <f>IF(OR($A635="",$K635=""),"",IF($L635="",IF(TODAY()&gt;$K635,"Atrasado","En ruta"),IF($L635&lt;=$K635,"Sí","No")))</f>
        <v/>
      </c>
      <c r="O635" s="24">
        <f>IF($A635="","",COUNTIFS(NOVEDADES!$D$4:$D$1503,$A635))</f>
        <v/>
      </c>
      <c r="P635" s="28">
        <f>IF($A635="","",IF(COUNTIFS(NOVEDADES!$D$4:$D$1503,$A635,NOVEDADES!$O$4:$O$1503,"SÍ")&gt;0,"No","Sí"))</f>
        <v/>
      </c>
      <c r="Q635" s="28">
        <f>IF(OR($A635="",$L635=""),"",IF(AND($N635="Sí",$P635="Sí"),"OTIF","Falló"))</f>
        <v/>
      </c>
    </row>
    <row r="636" ht="16" customHeight="1">
      <c r="A636" s="48" t="n"/>
      <c r="B636" s="48" t="n"/>
      <c r="C636" s="47" t="n"/>
      <c r="D636" s="50" t="n"/>
      <c r="E636" s="50" t="n"/>
      <c r="F636" s="50" t="n"/>
      <c r="G636" s="50" t="n"/>
      <c r="H636" s="48" t="n"/>
      <c r="I636" s="51" t="n"/>
      <c r="J636" s="52" t="n"/>
      <c r="K636" s="47" t="n"/>
      <c r="L636" s="47" t="n"/>
      <c r="M636" s="24">
        <f>IF(OR($A636="",$C636=""),"",IF($L636&lt;&gt;"",$L636-$C636,TODAY()-$C636))</f>
        <v/>
      </c>
      <c r="N636" s="28">
        <f>IF(OR($A636="",$K636=""),"",IF($L636="",IF(TODAY()&gt;$K636,"Atrasado","En ruta"),IF($L636&lt;=$K636,"Sí","No")))</f>
        <v/>
      </c>
      <c r="O636" s="24">
        <f>IF($A636="","",COUNTIFS(NOVEDADES!$D$4:$D$1503,$A636))</f>
        <v/>
      </c>
      <c r="P636" s="28">
        <f>IF($A636="","",IF(COUNTIFS(NOVEDADES!$D$4:$D$1503,$A636,NOVEDADES!$O$4:$O$1503,"SÍ")&gt;0,"No","Sí"))</f>
        <v/>
      </c>
      <c r="Q636" s="28">
        <f>IF(OR($A636="",$L636=""),"",IF(AND($N636="Sí",$P636="Sí"),"OTIF","Falló"))</f>
        <v/>
      </c>
    </row>
    <row r="637" ht="16" customHeight="1">
      <c r="A637" s="48" t="n"/>
      <c r="B637" s="48" t="n"/>
      <c r="C637" s="47" t="n"/>
      <c r="D637" s="50" t="n"/>
      <c r="E637" s="50" t="n"/>
      <c r="F637" s="50" t="n"/>
      <c r="G637" s="50" t="n"/>
      <c r="H637" s="48" t="n"/>
      <c r="I637" s="51" t="n"/>
      <c r="J637" s="52" t="n"/>
      <c r="K637" s="47" t="n"/>
      <c r="L637" s="47" t="n"/>
      <c r="M637" s="24">
        <f>IF(OR($A637="",$C637=""),"",IF($L637&lt;&gt;"",$L637-$C637,TODAY()-$C637))</f>
        <v/>
      </c>
      <c r="N637" s="28">
        <f>IF(OR($A637="",$K637=""),"",IF($L637="",IF(TODAY()&gt;$K637,"Atrasado","En ruta"),IF($L637&lt;=$K637,"Sí","No")))</f>
        <v/>
      </c>
      <c r="O637" s="24">
        <f>IF($A637="","",COUNTIFS(NOVEDADES!$D$4:$D$1503,$A637))</f>
        <v/>
      </c>
      <c r="P637" s="28">
        <f>IF($A637="","",IF(COUNTIFS(NOVEDADES!$D$4:$D$1503,$A637,NOVEDADES!$O$4:$O$1503,"SÍ")&gt;0,"No","Sí"))</f>
        <v/>
      </c>
      <c r="Q637" s="28">
        <f>IF(OR($A637="",$L637=""),"",IF(AND($N637="Sí",$P637="Sí"),"OTIF","Falló"))</f>
        <v/>
      </c>
    </row>
    <row r="638" ht="16" customHeight="1">
      <c r="A638" s="48" t="n"/>
      <c r="B638" s="48" t="n"/>
      <c r="C638" s="47" t="n"/>
      <c r="D638" s="50" t="n"/>
      <c r="E638" s="50" t="n"/>
      <c r="F638" s="50" t="n"/>
      <c r="G638" s="50" t="n"/>
      <c r="H638" s="48" t="n"/>
      <c r="I638" s="51" t="n"/>
      <c r="J638" s="52" t="n"/>
      <c r="K638" s="47" t="n"/>
      <c r="L638" s="47" t="n"/>
      <c r="M638" s="24">
        <f>IF(OR($A638="",$C638=""),"",IF($L638&lt;&gt;"",$L638-$C638,TODAY()-$C638))</f>
        <v/>
      </c>
      <c r="N638" s="28">
        <f>IF(OR($A638="",$K638=""),"",IF($L638="",IF(TODAY()&gt;$K638,"Atrasado","En ruta"),IF($L638&lt;=$K638,"Sí","No")))</f>
        <v/>
      </c>
      <c r="O638" s="24">
        <f>IF($A638="","",COUNTIFS(NOVEDADES!$D$4:$D$1503,$A638))</f>
        <v/>
      </c>
      <c r="P638" s="28">
        <f>IF($A638="","",IF(COUNTIFS(NOVEDADES!$D$4:$D$1503,$A638,NOVEDADES!$O$4:$O$1503,"SÍ")&gt;0,"No","Sí"))</f>
        <v/>
      </c>
      <c r="Q638" s="28">
        <f>IF(OR($A638="",$L638=""),"",IF(AND($N638="Sí",$P638="Sí"),"OTIF","Falló"))</f>
        <v/>
      </c>
    </row>
    <row r="639" ht="16" customHeight="1">
      <c r="A639" s="48" t="n"/>
      <c r="B639" s="48" t="n"/>
      <c r="C639" s="47" t="n"/>
      <c r="D639" s="50" t="n"/>
      <c r="E639" s="50" t="n"/>
      <c r="F639" s="50" t="n"/>
      <c r="G639" s="50" t="n"/>
      <c r="H639" s="48" t="n"/>
      <c r="I639" s="51" t="n"/>
      <c r="J639" s="52" t="n"/>
      <c r="K639" s="47" t="n"/>
      <c r="L639" s="47" t="n"/>
      <c r="M639" s="24">
        <f>IF(OR($A639="",$C639=""),"",IF($L639&lt;&gt;"",$L639-$C639,TODAY()-$C639))</f>
        <v/>
      </c>
      <c r="N639" s="28">
        <f>IF(OR($A639="",$K639=""),"",IF($L639="",IF(TODAY()&gt;$K639,"Atrasado","En ruta"),IF($L639&lt;=$K639,"Sí","No")))</f>
        <v/>
      </c>
      <c r="O639" s="24">
        <f>IF($A639="","",COUNTIFS(NOVEDADES!$D$4:$D$1503,$A639))</f>
        <v/>
      </c>
      <c r="P639" s="28">
        <f>IF($A639="","",IF(COUNTIFS(NOVEDADES!$D$4:$D$1503,$A639,NOVEDADES!$O$4:$O$1503,"SÍ")&gt;0,"No","Sí"))</f>
        <v/>
      </c>
      <c r="Q639" s="28">
        <f>IF(OR($A639="",$L639=""),"",IF(AND($N639="Sí",$P639="Sí"),"OTIF","Falló"))</f>
        <v/>
      </c>
    </row>
    <row r="640" ht="16" customHeight="1">
      <c r="A640" s="48" t="n"/>
      <c r="B640" s="48" t="n"/>
      <c r="C640" s="47" t="n"/>
      <c r="D640" s="50" t="n"/>
      <c r="E640" s="50" t="n"/>
      <c r="F640" s="50" t="n"/>
      <c r="G640" s="50" t="n"/>
      <c r="H640" s="48" t="n"/>
      <c r="I640" s="51" t="n"/>
      <c r="J640" s="52" t="n"/>
      <c r="K640" s="47" t="n"/>
      <c r="L640" s="47" t="n"/>
      <c r="M640" s="24">
        <f>IF(OR($A640="",$C640=""),"",IF($L640&lt;&gt;"",$L640-$C640,TODAY()-$C640))</f>
        <v/>
      </c>
      <c r="N640" s="28">
        <f>IF(OR($A640="",$K640=""),"",IF($L640="",IF(TODAY()&gt;$K640,"Atrasado","En ruta"),IF($L640&lt;=$K640,"Sí","No")))</f>
        <v/>
      </c>
      <c r="O640" s="24">
        <f>IF($A640="","",COUNTIFS(NOVEDADES!$D$4:$D$1503,$A640))</f>
        <v/>
      </c>
      <c r="P640" s="28">
        <f>IF($A640="","",IF(COUNTIFS(NOVEDADES!$D$4:$D$1503,$A640,NOVEDADES!$O$4:$O$1503,"SÍ")&gt;0,"No","Sí"))</f>
        <v/>
      </c>
      <c r="Q640" s="28">
        <f>IF(OR($A640="",$L640=""),"",IF(AND($N640="Sí",$P640="Sí"),"OTIF","Falló"))</f>
        <v/>
      </c>
    </row>
    <row r="641" ht="16" customHeight="1">
      <c r="A641" s="48" t="n"/>
      <c r="B641" s="48" t="n"/>
      <c r="C641" s="47" t="n"/>
      <c r="D641" s="50" t="n"/>
      <c r="E641" s="50" t="n"/>
      <c r="F641" s="50" t="n"/>
      <c r="G641" s="50" t="n"/>
      <c r="H641" s="48" t="n"/>
      <c r="I641" s="51" t="n"/>
      <c r="J641" s="52" t="n"/>
      <c r="K641" s="47" t="n"/>
      <c r="L641" s="47" t="n"/>
      <c r="M641" s="24">
        <f>IF(OR($A641="",$C641=""),"",IF($L641&lt;&gt;"",$L641-$C641,TODAY()-$C641))</f>
        <v/>
      </c>
      <c r="N641" s="28">
        <f>IF(OR($A641="",$K641=""),"",IF($L641="",IF(TODAY()&gt;$K641,"Atrasado","En ruta"),IF($L641&lt;=$K641,"Sí","No")))</f>
        <v/>
      </c>
      <c r="O641" s="24">
        <f>IF($A641="","",COUNTIFS(NOVEDADES!$D$4:$D$1503,$A641))</f>
        <v/>
      </c>
      <c r="P641" s="28">
        <f>IF($A641="","",IF(COUNTIFS(NOVEDADES!$D$4:$D$1503,$A641,NOVEDADES!$O$4:$O$1503,"SÍ")&gt;0,"No","Sí"))</f>
        <v/>
      </c>
      <c r="Q641" s="28">
        <f>IF(OR($A641="",$L641=""),"",IF(AND($N641="Sí",$P641="Sí"),"OTIF","Falló"))</f>
        <v/>
      </c>
    </row>
    <row r="642" ht="16" customHeight="1">
      <c r="A642" s="48" t="n"/>
      <c r="B642" s="48" t="n"/>
      <c r="C642" s="47" t="n"/>
      <c r="D642" s="50" t="n"/>
      <c r="E642" s="50" t="n"/>
      <c r="F642" s="50" t="n"/>
      <c r="G642" s="50" t="n"/>
      <c r="H642" s="48" t="n"/>
      <c r="I642" s="51" t="n"/>
      <c r="J642" s="52" t="n"/>
      <c r="K642" s="47" t="n"/>
      <c r="L642" s="47" t="n"/>
      <c r="M642" s="24">
        <f>IF(OR($A642="",$C642=""),"",IF($L642&lt;&gt;"",$L642-$C642,TODAY()-$C642))</f>
        <v/>
      </c>
      <c r="N642" s="28">
        <f>IF(OR($A642="",$K642=""),"",IF($L642="",IF(TODAY()&gt;$K642,"Atrasado","En ruta"),IF($L642&lt;=$K642,"Sí","No")))</f>
        <v/>
      </c>
      <c r="O642" s="24">
        <f>IF($A642="","",COUNTIFS(NOVEDADES!$D$4:$D$1503,$A642))</f>
        <v/>
      </c>
      <c r="P642" s="28">
        <f>IF($A642="","",IF(COUNTIFS(NOVEDADES!$D$4:$D$1503,$A642,NOVEDADES!$O$4:$O$1503,"SÍ")&gt;0,"No","Sí"))</f>
        <v/>
      </c>
      <c r="Q642" s="28">
        <f>IF(OR($A642="",$L642=""),"",IF(AND($N642="Sí",$P642="Sí"),"OTIF","Falló"))</f>
        <v/>
      </c>
    </row>
    <row r="643" ht="16" customHeight="1">
      <c r="A643" s="48" t="n"/>
      <c r="B643" s="48" t="n"/>
      <c r="C643" s="47" t="n"/>
      <c r="D643" s="50" t="n"/>
      <c r="E643" s="50" t="n"/>
      <c r="F643" s="50" t="n"/>
      <c r="G643" s="50" t="n"/>
      <c r="H643" s="48" t="n"/>
      <c r="I643" s="51" t="n"/>
      <c r="J643" s="52" t="n"/>
      <c r="K643" s="47" t="n"/>
      <c r="L643" s="47" t="n"/>
      <c r="M643" s="24">
        <f>IF(OR($A643="",$C643=""),"",IF($L643&lt;&gt;"",$L643-$C643,TODAY()-$C643))</f>
        <v/>
      </c>
      <c r="N643" s="28">
        <f>IF(OR($A643="",$K643=""),"",IF($L643="",IF(TODAY()&gt;$K643,"Atrasado","En ruta"),IF($L643&lt;=$K643,"Sí","No")))</f>
        <v/>
      </c>
      <c r="O643" s="24">
        <f>IF($A643="","",COUNTIFS(NOVEDADES!$D$4:$D$1503,$A643))</f>
        <v/>
      </c>
      <c r="P643" s="28">
        <f>IF($A643="","",IF(COUNTIFS(NOVEDADES!$D$4:$D$1503,$A643,NOVEDADES!$O$4:$O$1503,"SÍ")&gt;0,"No","Sí"))</f>
        <v/>
      </c>
      <c r="Q643" s="28">
        <f>IF(OR($A643="",$L643=""),"",IF(AND($N643="Sí",$P643="Sí"),"OTIF","Falló"))</f>
        <v/>
      </c>
    </row>
    <row r="644" ht="16" customHeight="1">
      <c r="A644" s="48" t="n"/>
      <c r="B644" s="48" t="n"/>
      <c r="C644" s="47" t="n"/>
      <c r="D644" s="50" t="n"/>
      <c r="E644" s="50" t="n"/>
      <c r="F644" s="50" t="n"/>
      <c r="G644" s="50" t="n"/>
      <c r="H644" s="48" t="n"/>
      <c r="I644" s="51" t="n"/>
      <c r="J644" s="52" t="n"/>
      <c r="K644" s="47" t="n"/>
      <c r="L644" s="47" t="n"/>
      <c r="M644" s="24">
        <f>IF(OR($A644="",$C644=""),"",IF($L644&lt;&gt;"",$L644-$C644,TODAY()-$C644))</f>
        <v/>
      </c>
      <c r="N644" s="28">
        <f>IF(OR($A644="",$K644=""),"",IF($L644="",IF(TODAY()&gt;$K644,"Atrasado","En ruta"),IF($L644&lt;=$K644,"Sí","No")))</f>
        <v/>
      </c>
      <c r="O644" s="24">
        <f>IF($A644="","",COUNTIFS(NOVEDADES!$D$4:$D$1503,$A644))</f>
        <v/>
      </c>
      <c r="P644" s="28">
        <f>IF($A644="","",IF(COUNTIFS(NOVEDADES!$D$4:$D$1503,$A644,NOVEDADES!$O$4:$O$1503,"SÍ")&gt;0,"No","Sí"))</f>
        <v/>
      </c>
      <c r="Q644" s="28">
        <f>IF(OR($A644="",$L644=""),"",IF(AND($N644="Sí",$P644="Sí"),"OTIF","Falló"))</f>
        <v/>
      </c>
    </row>
    <row r="645" ht="16" customHeight="1">
      <c r="A645" s="48" t="n"/>
      <c r="B645" s="48" t="n"/>
      <c r="C645" s="47" t="n"/>
      <c r="D645" s="50" t="n"/>
      <c r="E645" s="50" t="n"/>
      <c r="F645" s="50" t="n"/>
      <c r="G645" s="50" t="n"/>
      <c r="H645" s="48" t="n"/>
      <c r="I645" s="51" t="n"/>
      <c r="J645" s="52" t="n"/>
      <c r="K645" s="47" t="n"/>
      <c r="L645" s="47" t="n"/>
      <c r="M645" s="24">
        <f>IF(OR($A645="",$C645=""),"",IF($L645&lt;&gt;"",$L645-$C645,TODAY()-$C645))</f>
        <v/>
      </c>
      <c r="N645" s="28">
        <f>IF(OR($A645="",$K645=""),"",IF($L645="",IF(TODAY()&gt;$K645,"Atrasado","En ruta"),IF($L645&lt;=$K645,"Sí","No")))</f>
        <v/>
      </c>
      <c r="O645" s="24">
        <f>IF($A645="","",COUNTIFS(NOVEDADES!$D$4:$D$1503,$A645))</f>
        <v/>
      </c>
      <c r="P645" s="28">
        <f>IF($A645="","",IF(COUNTIFS(NOVEDADES!$D$4:$D$1503,$A645,NOVEDADES!$O$4:$O$1503,"SÍ")&gt;0,"No","Sí"))</f>
        <v/>
      </c>
      <c r="Q645" s="28">
        <f>IF(OR($A645="",$L645=""),"",IF(AND($N645="Sí",$P645="Sí"),"OTIF","Falló"))</f>
        <v/>
      </c>
    </row>
    <row r="646" ht="16" customHeight="1">
      <c r="A646" s="48" t="n"/>
      <c r="B646" s="48" t="n"/>
      <c r="C646" s="47" t="n"/>
      <c r="D646" s="50" t="n"/>
      <c r="E646" s="50" t="n"/>
      <c r="F646" s="50" t="n"/>
      <c r="G646" s="50" t="n"/>
      <c r="H646" s="48" t="n"/>
      <c r="I646" s="51" t="n"/>
      <c r="J646" s="52" t="n"/>
      <c r="K646" s="47" t="n"/>
      <c r="L646" s="47" t="n"/>
      <c r="M646" s="24">
        <f>IF(OR($A646="",$C646=""),"",IF($L646&lt;&gt;"",$L646-$C646,TODAY()-$C646))</f>
        <v/>
      </c>
      <c r="N646" s="28">
        <f>IF(OR($A646="",$K646=""),"",IF($L646="",IF(TODAY()&gt;$K646,"Atrasado","En ruta"),IF($L646&lt;=$K646,"Sí","No")))</f>
        <v/>
      </c>
      <c r="O646" s="24">
        <f>IF($A646="","",COUNTIFS(NOVEDADES!$D$4:$D$1503,$A646))</f>
        <v/>
      </c>
      <c r="P646" s="28">
        <f>IF($A646="","",IF(COUNTIFS(NOVEDADES!$D$4:$D$1503,$A646,NOVEDADES!$O$4:$O$1503,"SÍ")&gt;0,"No","Sí"))</f>
        <v/>
      </c>
      <c r="Q646" s="28">
        <f>IF(OR($A646="",$L646=""),"",IF(AND($N646="Sí",$P646="Sí"),"OTIF","Falló"))</f>
        <v/>
      </c>
    </row>
    <row r="647" ht="16" customHeight="1">
      <c r="A647" s="48" t="n"/>
      <c r="B647" s="48" t="n"/>
      <c r="C647" s="47" t="n"/>
      <c r="D647" s="50" t="n"/>
      <c r="E647" s="50" t="n"/>
      <c r="F647" s="50" t="n"/>
      <c r="G647" s="50" t="n"/>
      <c r="H647" s="48" t="n"/>
      <c r="I647" s="51" t="n"/>
      <c r="J647" s="52" t="n"/>
      <c r="K647" s="47" t="n"/>
      <c r="L647" s="47" t="n"/>
      <c r="M647" s="24">
        <f>IF(OR($A647="",$C647=""),"",IF($L647&lt;&gt;"",$L647-$C647,TODAY()-$C647))</f>
        <v/>
      </c>
      <c r="N647" s="28">
        <f>IF(OR($A647="",$K647=""),"",IF($L647="",IF(TODAY()&gt;$K647,"Atrasado","En ruta"),IF($L647&lt;=$K647,"Sí","No")))</f>
        <v/>
      </c>
      <c r="O647" s="24">
        <f>IF($A647="","",COUNTIFS(NOVEDADES!$D$4:$D$1503,$A647))</f>
        <v/>
      </c>
      <c r="P647" s="28">
        <f>IF($A647="","",IF(COUNTIFS(NOVEDADES!$D$4:$D$1503,$A647,NOVEDADES!$O$4:$O$1503,"SÍ")&gt;0,"No","Sí"))</f>
        <v/>
      </c>
      <c r="Q647" s="28">
        <f>IF(OR($A647="",$L647=""),"",IF(AND($N647="Sí",$P647="Sí"),"OTIF","Falló"))</f>
        <v/>
      </c>
    </row>
    <row r="648" ht="16" customHeight="1">
      <c r="A648" s="48" t="n"/>
      <c r="B648" s="48" t="n"/>
      <c r="C648" s="47" t="n"/>
      <c r="D648" s="50" t="n"/>
      <c r="E648" s="50" t="n"/>
      <c r="F648" s="50" t="n"/>
      <c r="G648" s="50" t="n"/>
      <c r="H648" s="48" t="n"/>
      <c r="I648" s="51" t="n"/>
      <c r="J648" s="52" t="n"/>
      <c r="K648" s="47" t="n"/>
      <c r="L648" s="47" t="n"/>
      <c r="M648" s="24">
        <f>IF(OR($A648="",$C648=""),"",IF($L648&lt;&gt;"",$L648-$C648,TODAY()-$C648))</f>
        <v/>
      </c>
      <c r="N648" s="28">
        <f>IF(OR($A648="",$K648=""),"",IF($L648="",IF(TODAY()&gt;$K648,"Atrasado","En ruta"),IF($L648&lt;=$K648,"Sí","No")))</f>
        <v/>
      </c>
      <c r="O648" s="24">
        <f>IF($A648="","",COUNTIFS(NOVEDADES!$D$4:$D$1503,$A648))</f>
        <v/>
      </c>
      <c r="P648" s="28">
        <f>IF($A648="","",IF(COUNTIFS(NOVEDADES!$D$4:$D$1503,$A648,NOVEDADES!$O$4:$O$1503,"SÍ")&gt;0,"No","Sí"))</f>
        <v/>
      </c>
      <c r="Q648" s="28">
        <f>IF(OR($A648="",$L648=""),"",IF(AND($N648="Sí",$P648="Sí"),"OTIF","Falló"))</f>
        <v/>
      </c>
    </row>
    <row r="649" ht="16" customHeight="1">
      <c r="A649" s="48" t="n"/>
      <c r="B649" s="48" t="n"/>
      <c r="C649" s="47" t="n"/>
      <c r="D649" s="50" t="n"/>
      <c r="E649" s="50" t="n"/>
      <c r="F649" s="50" t="n"/>
      <c r="G649" s="50" t="n"/>
      <c r="H649" s="48" t="n"/>
      <c r="I649" s="51" t="n"/>
      <c r="J649" s="52" t="n"/>
      <c r="K649" s="47" t="n"/>
      <c r="L649" s="47" t="n"/>
      <c r="M649" s="24">
        <f>IF(OR($A649="",$C649=""),"",IF($L649&lt;&gt;"",$L649-$C649,TODAY()-$C649))</f>
        <v/>
      </c>
      <c r="N649" s="28">
        <f>IF(OR($A649="",$K649=""),"",IF($L649="",IF(TODAY()&gt;$K649,"Atrasado","En ruta"),IF($L649&lt;=$K649,"Sí","No")))</f>
        <v/>
      </c>
      <c r="O649" s="24">
        <f>IF($A649="","",COUNTIFS(NOVEDADES!$D$4:$D$1503,$A649))</f>
        <v/>
      </c>
      <c r="P649" s="28">
        <f>IF($A649="","",IF(COUNTIFS(NOVEDADES!$D$4:$D$1503,$A649,NOVEDADES!$O$4:$O$1503,"SÍ")&gt;0,"No","Sí"))</f>
        <v/>
      </c>
      <c r="Q649" s="28">
        <f>IF(OR($A649="",$L649=""),"",IF(AND($N649="Sí",$P649="Sí"),"OTIF","Falló"))</f>
        <v/>
      </c>
    </row>
    <row r="650" ht="16" customHeight="1">
      <c r="A650" s="48" t="n"/>
      <c r="B650" s="48" t="n"/>
      <c r="C650" s="47" t="n"/>
      <c r="D650" s="50" t="n"/>
      <c r="E650" s="50" t="n"/>
      <c r="F650" s="50" t="n"/>
      <c r="G650" s="50" t="n"/>
      <c r="H650" s="48" t="n"/>
      <c r="I650" s="51" t="n"/>
      <c r="J650" s="52" t="n"/>
      <c r="K650" s="47" t="n"/>
      <c r="L650" s="47" t="n"/>
      <c r="M650" s="24">
        <f>IF(OR($A650="",$C650=""),"",IF($L650&lt;&gt;"",$L650-$C650,TODAY()-$C650))</f>
        <v/>
      </c>
      <c r="N650" s="28">
        <f>IF(OR($A650="",$K650=""),"",IF($L650="",IF(TODAY()&gt;$K650,"Atrasado","En ruta"),IF($L650&lt;=$K650,"Sí","No")))</f>
        <v/>
      </c>
      <c r="O650" s="24">
        <f>IF($A650="","",COUNTIFS(NOVEDADES!$D$4:$D$1503,$A650))</f>
        <v/>
      </c>
      <c r="P650" s="28">
        <f>IF($A650="","",IF(COUNTIFS(NOVEDADES!$D$4:$D$1503,$A650,NOVEDADES!$O$4:$O$1503,"SÍ")&gt;0,"No","Sí"))</f>
        <v/>
      </c>
      <c r="Q650" s="28">
        <f>IF(OR($A650="",$L650=""),"",IF(AND($N650="Sí",$P650="Sí"),"OTIF","Falló"))</f>
        <v/>
      </c>
    </row>
    <row r="651" ht="16" customHeight="1">
      <c r="A651" s="48" t="n"/>
      <c r="B651" s="48" t="n"/>
      <c r="C651" s="47" t="n"/>
      <c r="D651" s="50" t="n"/>
      <c r="E651" s="50" t="n"/>
      <c r="F651" s="50" t="n"/>
      <c r="G651" s="50" t="n"/>
      <c r="H651" s="48" t="n"/>
      <c r="I651" s="51" t="n"/>
      <c r="J651" s="52" t="n"/>
      <c r="K651" s="47" t="n"/>
      <c r="L651" s="47" t="n"/>
      <c r="M651" s="24">
        <f>IF(OR($A651="",$C651=""),"",IF($L651&lt;&gt;"",$L651-$C651,TODAY()-$C651))</f>
        <v/>
      </c>
      <c r="N651" s="28">
        <f>IF(OR($A651="",$K651=""),"",IF($L651="",IF(TODAY()&gt;$K651,"Atrasado","En ruta"),IF($L651&lt;=$K651,"Sí","No")))</f>
        <v/>
      </c>
      <c r="O651" s="24">
        <f>IF($A651="","",COUNTIFS(NOVEDADES!$D$4:$D$1503,$A651))</f>
        <v/>
      </c>
      <c r="P651" s="28">
        <f>IF($A651="","",IF(COUNTIFS(NOVEDADES!$D$4:$D$1503,$A651,NOVEDADES!$O$4:$O$1503,"SÍ")&gt;0,"No","Sí"))</f>
        <v/>
      </c>
      <c r="Q651" s="28">
        <f>IF(OR($A651="",$L651=""),"",IF(AND($N651="Sí",$P651="Sí"),"OTIF","Falló"))</f>
        <v/>
      </c>
    </row>
    <row r="652" ht="16" customHeight="1">
      <c r="A652" s="48" t="n"/>
      <c r="B652" s="48" t="n"/>
      <c r="C652" s="47" t="n"/>
      <c r="D652" s="50" t="n"/>
      <c r="E652" s="50" t="n"/>
      <c r="F652" s="50" t="n"/>
      <c r="G652" s="50" t="n"/>
      <c r="H652" s="48" t="n"/>
      <c r="I652" s="51" t="n"/>
      <c r="J652" s="52" t="n"/>
      <c r="K652" s="47" t="n"/>
      <c r="L652" s="47" t="n"/>
      <c r="M652" s="24">
        <f>IF(OR($A652="",$C652=""),"",IF($L652&lt;&gt;"",$L652-$C652,TODAY()-$C652))</f>
        <v/>
      </c>
      <c r="N652" s="28">
        <f>IF(OR($A652="",$K652=""),"",IF($L652="",IF(TODAY()&gt;$K652,"Atrasado","En ruta"),IF($L652&lt;=$K652,"Sí","No")))</f>
        <v/>
      </c>
      <c r="O652" s="24">
        <f>IF($A652="","",COUNTIFS(NOVEDADES!$D$4:$D$1503,$A652))</f>
        <v/>
      </c>
      <c r="P652" s="28">
        <f>IF($A652="","",IF(COUNTIFS(NOVEDADES!$D$4:$D$1503,$A652,NOVEDADES!$O$4:$O$1503,"SÍ")&gt;0,"No","Sí"))</f>
        <v/>
      </c>
      <c r="Q652" s="28">
        <f>IF(OR($A652="",$L652=""),"",IF(AND($N652="Sí",$P652="Sí"),"OTIF","Falló"))</f>
        <v/>
      </c>
    </row>
    <row r="653" ht="16" customHeight="1">
      <c r="A653" s="48" t="n"/>
      <c r="B653" s="48" t="n"/>
      <c r="C653" s="47" t="n"/>
      <c r="D653" s="50" t="n"/>
      <c r="E653" s="50" t="n"/>
      <c r="F653" s="50" t="n"/>
      <c r="G653" s="50" t="n"/>
      <c r="H653" s="48" t="n"/>
      <c r="I653" s="51" t="n"/>
      <c r="J653" s="52" t="n"/>
      <c r="K653" s="47" t="n"/>
      <c r="L653" s="47" t="n"/>
      <c r="M653" s="24">
        <f>IF(OR($A653="",$C653=""),"",IF($L653&lt;&gt;"",$L653-$C653,TODAY()-$C653))</f>
        <v/>
      </c>
      <c r="N653" s="28">
        <f>IF(OR($A653="",$K653=""),"",IF($L653="",IF(TODAY()&gt;$K653,"Atrasado","En ruta"),IF($L653&lt;=$K653,"Sí","No")))</f>
        <v/>
      </c>
      <c r="O653" s="24">
        <f>IF($A653="","",COUNTIFS(NOVEDADES!$D$4:$D$1503,$A653))</f>
        <v/>
      </c>
      <c r="P653" s="28">
        <f>IF($A653="","",IF(COUNTIFS(NOVEDADES!$D$4:$D$1503,$A653,NOVEDADES!$O$4:$O$1503,"SÍ")&gt;0,"No","Sí"))</f>
        <v/>
      </c>
      <c r="Q653" s="28">
        <f>IF(OR($A653="",$L653=""),"",IF(AND($N653="Sí",$P653="Sí"),"OTIF","Falló"))</f>
        <v/>
      </c>
    </row>
    <row r="654" ht="16" customHeight="1">
      <c r="A654" s="48" t="n"/>
      <c r="B654" s="48" t="n"/>
      <c r="C654" s="47" t="n"/>
      <c r="D654" s="50" t="n"/>
      <c r="E654" s="50" t="n"/>
      <c r="F654" s="50" t="n"/>
      <c r="G654" s="50" t="n"/>
      <c r="H654" s="48" t="n"/>
      <c r="I654" s="51" t="n"/>
      <c r="J654" s="52" t="n"/>
      <c r="K654" s="47" t="n"/>
      <c r="L654" s="47" t="n"/>
      <c r="M654" s="24">
        <f>IF(OR($A654="",$C654=""),"",IF($L654&lt;&gt;"",$L654-$C654,TODAY()-$C654))</f>
        <v/>
      </c>
      <c r="N654" s="28">
        <f>IF(OR($A654="",$K654=""),"",IF($L654="",IF(TODAY()&gt;$K654,"Atrasado","En ruta"),IF($L654&lt;=$K654,"Sí","No")))</f>
        <v/>
      </c>
      <c r="O654" s="24">
        <f>IF($A654="","",COUNTIFS(NOVEDADES!$D$4:$D$1503,$A654))</f>
        <v/>
      </c>
      <c r="P654" s="28">
        <f>IF($A654="","",IF(COUNTIFS(NOVEDADES!$D$4:$D$1503,$A654,NOVEDADES!$O$4:$O$1503,"SÍ")&gt;0,"No","Sí"))</f>
        <v/>
      </c>
      <c r="Q654" s="28">
        <f>IF(OR($A654="",$L654=""),"",IF(AND($N654="Sí",$P654="Sí"),"OTIF","Falló"))</f>
        <v/>
      </c>
    </row>
    <row r="655" ht="16" customHeight="1">
      <c r="A655" s="48" t="n"/>
      <c r="B655" s="48" t="n"/>
      <c r="C655" s="47" t="n"/>
      <c r="D655" s="50" t="n"/>
      <c r="E655" s="50" t="n"/>
      <c r="F655" s="50" t="n"/>
      <c r="G655" s="50" t="n"/>
      <c r="H655" s="48" t="n"/>
      <c r="I655" s="51" t="n"/>
      <c r="J655" s="52" t="n"/>
      <c r="K655" s="47" t="n"/>
      <c r="L655" s="47" t="n"/>
      <c r="M655" s="24">
        <f>IF(OR($A655="",$C655=""),"",IF($L655&lt;&gt;"",$L655-$C655,TODAY()-$C655))</f>
        <v/>
      </c>
      <c r="N655" s="28">
        <f>IF(OR($A655="",$K655=""),"",IF($L655="",IF(TODAY()&gt;$K655,"Atrasado","En ruta"),IF($L655&lt;=$K655,"Sí","No")))</f>
        <v/>
      </c>
      <c r="O655" s="24">
        <f>IF($A655="","",COUNTIFS(NOVEDADES!$D$4:$D$1503,$A655))</f>
        <v/>
      </c>
      <c r="P655" s="28">
        <f>IF($A655="","",IF(COUNTIFS(NOVEDADES!$D$4:$D$1503,$A655,NOVEDADES!$O$4:$O$1503,"SÍ")&gt;0,"No","Sí"))</f>
        <v/>
      </c>
      <c r="Q655" s="28">
        <f>IF(OR($A655="",$L655=""),"",IF(AND($N655="Sí",$P655="Sí"),"OTIF","Falló"))</f>
        <v/>
      </c>
    </row>
    <row r="656" ht="16" customHeight="1">
      <c r="A656" s="48" t="n"/>
      <c r="B656" s="48" t="n"/>
      <c r="C656" s="47" t="n"/>
      <c r="D656" s="50" t="n"/>
      <c r="E656" s="50" t="n"/>
      <c r="F656" s="50" t="n"/>
      <c r="G656" s="50" t="n"/>
      <c r="H656" s="48" t="n"/>
      <c r="I656" s="51" t="n"/>
      <c r="J656" s="52" t="n"/>
      <c r="K656" s="47" t="n"/>
      <c r="L656" s="47" t="n"/>
      <c r="M656" s="24">
        <f>IF(OR($A656="",$C656=""),"",IF($L656&lt;&gt;"",$L656-$C656,TODAY()-$C656))</f>
        <v/>
      </c>
      <c r="N656" s="28">
        <f>IF(OR($A656="",$K656=""),"",IF($L656="",IF(TODAY()&gt;$K656,"Atrasado","En ruta"),IF($L656&lt;=$K656,"Sí","No")))</f>
        <v/>
      </c>
      <c r="O656" s="24">
        <f>IF($A656="","",COUNTIFS(NOVEDADES!$D$4:$D$1503,$A656))</f>
        <v/>
      </c>
      <c r="P656" s="28">
        <f>IF($A656="","",IF(COUNTIFS(NOVEDADES!$D$4:$D$1503,$A656,NOVEDADES!$O$4:$O$1503,"SÍ")&gt;0,"No","Sí"))</f>
        <v/>
      </c>
      <c r="Q656" s="28">
        <f>IF(OR($A656="",$L656=""),"",IF(AND($N656="Sí",$P656="Sí"),"OTIF","Falló"))</f>
        <v/>
      </c>
    </row>
    <row r="657" ht="16" customHeight="1">
      <c r="A657" s="48" t="n"/>
      <c r="B657" s="48" t="n"/>
      <c r="C657" s="47" t="n"/>
      <c r="D657" s="50" t="n"/>
      <c r="E657" s="50" t="n"/>
      <c r="F657" s="50" t="n"/>
      <c r="G657" s="50" t="n"/>
      <c r="H657" s="48" t="n"/>
      <c r="I657" s="51" t="n"/>
      <c r="J657" s="52" t="n"/>
      <c r="K657" s="47" t="n"/>
      <c r="L657" s="47" t="n"/>
      <c r="M657" s="24">
        <f>IF(OR($A657="",$C657=""),"",IF($L657&lt;&gt;"",$L657-$C657,TODAY()-$C657))</f>
        <v/>
      </c>
      <c r="N657" s="28">
        <f>IF(OR($A657="",$K657=""),"",IF($L657="",IF(TODAY()&gt;$K657,"Atrasado","En ruta"),IF($L657&lt;=$K657,"Sí","No")))</f>
        <v/>
      </c>
      <c r="O657" s="24">
        <f>IF($A657="","",COUNTIFS(NOVEDADES!$D$4:$D$1503,$A657))</f>
        <v/>
      </c>
      <c r="P657" s="28">
        <f>IF($A657="","",IF(COUNTIFS(NOVEDADES!$D$4:$D$1503,$A657,NOVEDADES!$O$4:$O$1503,"SÍ")&gt;0,"No","Sí"))</f>
        <v/>
      </c>
      <c r="Q657" s="28">
        <f>IF(OR($A657="",$L657=""),"",IF(AND($N657="Sí",$P657="Sí"),"OTIF","Falló"))</f>
        <v/>
      </c>
    </row>
    <row r="658" ht="16" customHeight="1">
      <c r="A658" s="48" t="n"/>
      <c r="B658" s="48" t="n"/>
      <c r="C658" s="47" t="n"/>
      <c r="D658" s="50" t="n"/>
      <c r="E658" s="50" t="n"/>
      <c r="F658" s="50" t="n"/>
      <c r="G658" s="50" t="n"/>
      <c r="H658" s="48" t="n"/>
      <c r="I658" s="51" t="n"/>
      <c r="J658" s="52" t="n"/>
      <c r="K658" s="47" t="n"/>
      <c r="L658" s="47" t="n"/>
      <c r="M658" s="24">
        <f>IF(OR($A658="",$C658=""),"",IF($L658&lt;&gt;"",$L658-$C658,TODAY()-$C658))</f>
        <v/>
      </c>
      <c r="N658" s="28">
        <f>IF(OR($A658="",$K658=""),"",IF($L658="",IF(TODAY()&gt;$K658,"Atrasado","En ruta"),IF($L658&lt;=$K658,"Sí","No")))</f>
        <v/>
      </c>
      <c r="O658" s="24">
        <f>IF($A658="","",COUNTIFS(NOVEDADES!$D$4:$D$1503,$A658))</f>
        <v/>
      </c>
      <c r="P658" s="28">
        <f>IF($A658="","",IF(COUNTIFS(NOVEDADES!$D$4:$D$1503,$A658,NOVEDADES!$O$4:$O$1503,"SÍ")&gt;0,"No","Sí"))</f>
        <v/>
      </c>
      <c r="Q658" s="28">
        <f>IF(OR($A658="",$L658=""),"",IF(AND($N658="Sí",$P658="Sí"),"OTIF","Falló"))</f>
        <v/>
      </c>
    </row>
    <row r="659" ht="16" customHeight="1">
      <c r="A659" s="48" t="n"/>
      <c r="B659" s="48" t="n"/>
      <c r="C659" s="47" t="n"/>
      <c r="D659" s="50" t="n"/>
      <c r="E659" s="50" t="n"/>
      <c r="F659" s="50" t="n"/>
      <c r="G659" s="50" t="n"/>
      <c r="H659" s="48" t="n"/>
      <c r="I659" s="51" t="n"/>
      <c r="J659" s="52" t="n"/>
      <c r="K659" s="47" t="n"/>
      <c r="L659" s="47" t="n"/>
      <c r="M659" s="24">
        <f>IF(OR($A659="",$C659=""),"",IF($L659&lt;&gt;"",$L659-$C659,TODAY()-$C659))</f>
        <v/>
      </c>
      <c r="N659" s="28">
        <f>IF(OR($A659="",$K659=""),"",IF($L659="",IF(TODAY()&gt;$K659,"Atrasado","En ruta"),IF($L659&lt;=$K659,"Sí","No")))</f>
        <v/>
      </c>
      <c r="O659" s="24">
        <f>IF($A659="","",COUNTIFS(NOVEDADES!$D$4:$D$1503,$A659))</f>
        <v/>
      </c>
      <c r="P659" s="28">
        <f>IF($A659="","",IF(COUNTIFS(NOVEDADES!$D$4:$D$1503,$A659,NOVEDADES!$O$4:$O$1503,"SÍ")&gt;0,"No","Sí"))</f>
        <v/>
      </c>
      <c r="Q659" s="28">
        <f>IF(OR($A659="",$L659=""),"",IF(AND($N659="Sí",$P659="Sí"),"OTIF","Falló"))</f>
        <v/>
      </c>
    </row>
    <row r="660" ht="16" customHeight="1">
      <c r="A660" s="48" t="n"/>
      <c r="B660" s="48" t="n"/>
      <c r="C660" s="47" t="n"/>
      <c r="D660" s="50" t="n"/>
      <c r="E660" s="50" t="n"/>
      <c r="F660" s="50" t="n"/>
      <c r="G660" s="50" t="n"/>
      <c r="H660" s="48" t="n"/>
      <c r="I660" s="51" t="n"/>
      <c r="J660" s="52" t="n"/>
      <c r="K660" s="47" t="n"/>
      <c r="L660" s="47" t="n"/>
      <c r="M660" s="24">
        <f>IF(OR($A660="",$C660=""),"",IF($L660&lt;&gt;"",$L660-$C660,TODAY()-$C660))</f>
        <v/>
      </c>
      <c r="N660" s="28">
        <f>IF(OR($A660="",$K660=""),"",IF($L660="",IF(TODAY()&gt;$K660,"Atrasado","En ruta"),IF($L660&lt;=$K660,"Sí","No")))</f>
        <v/>
      </c>
      <c r="O660" s="24">
        <f>IF($A660="","",COUNTIFS(NOVEDADES!$D$4:$D$1503,$A660))</f>
        <v/>
      </c>
      <c r="P660" s="28">
        <f>IF($A660="","",IF(COUNTIFS(NOVEDADES!$D$4:$D$1503,$A660,NOVEDADES!$O$4:$O$1503,"SÍ")&gt;0,"No","Sí"))</f>
        <v/>
      </c>
      <c r="Q660" s="28">
        <f>IF(OR($A660="",$L660=""),"",IF(AND($N660="Sí",$P660="Sí"),"OTIF","Falló"))</f>
        <v/>
      </c>
    </row>
    <row r="661" ht="16" customHeight="1">
      <c r="A661" s="48" t="n"/>
      <c r="B661" s="48" t="n"/>
      <c r="C661" s="47" t="n"/>
      <c r="D661" s="50" t="n"/>
      <c r="E661" s="50" t="n"/>
      <c r="F661" s="50" t="n"/>
      <c r="G661" s="50" t="n"/>
      <c r="H661" s="48" t="n"/>
      <c r="I661" s="51" t="n"/>
      <c r="J661" s="52" t="n"/>
      <c r="K661" s="47" t="n"/>
      <c r="L661" s="47" t="n"/>
      <c r="M661" s="24">
        <f>IF(OR($A661="",$C661=""),"",IF($L661&lt;&gt;"",$L661-$C661,TODAY()-$C661))</f>
        <v/>
      </c>
      <c r="N661" s="28">
        <f>IF(OR($A661="",$K661=""),"",IF($L661="",IF(TODAY()&gt;$K661,"Atrasado","En ruta"),IF($L661&lt;=$K661,"Sí","No")))</f>
        <v/>
      </c>
      <c r="O661" s="24">
        <f>IF($A661="","",COUNTIFS(NOVEDADES!$D$4:$D$1503,$A661))</f>
        <v/>
      </c>
      <c r="P661" s="28">
        <f>IF($A661="","",IF(COUNTIFS(NOVEDADES!$D$4:$D$1503,$A661,NOVEDADES!$O$4:$O$1503,"SÍ")&gt;0,"No","Sí"))</f>
        <v/>
      </c>
      <c r="Q661" s="28">
        <f>IF(OR($A661="",$L661=""),"",IF(AND($N661="Sí",$P661="Sí"),"OTIF","Falló"))</f>
        <v/>
      </c>
    </row>
    <row r="662" ht="16" customHeight="1">
      <c r="A662" s="48" t="n"/>
      <c r="B662" s="48" t="n"/>
      <c r="C662" s="47" t="n"/>
      <c r="D662" s="50" t="n"/>
      <c r="E662" s="50" t="n"/>
      <c r="F662" s="50" t="n"/>
      <c r="G662" s="50" t="n"/>
      <c r="H662" s="48" t="n"/>
      <c r="I662" s="51" t="n"/>
      <c r="J662" s="52" t="n"/>
      <c r="K662" s="47" t="n"/>
      <c r="L662" s="47" t="n"/>
      <c r="M662" s="24">
        <f>IF(OR($A662="",$C662=""),"",IF($L662&lt;&gt;"",$L662-$C662,TODAY()-$C662))</f>
        <v/>
      </c>
      <c r="N662" s="28">
        <f>IF(OR($A662="",$K662=""),"",IF($L662="",IF(TODAY()&gt;$K662,"Atrasado","En ruta"),IF($L662&lt;=$K662,"Sí","No")))</f>
        <v/>
      </c>
      <c r="O662" s="24">
        <f>IF($A662="","",COUNTIFS(NOVEDADES!$D$4:$D$1503,$A662))</f>
        <v/>
      </c>
      <c r="P662" s="28">
        <f>IF($A662="","",IF(COUNTIFS(NOVEDADES!$D$4:$D$1503,$A662,NOVEDADES!$O$4:$O$1503,"SÍ")&gt;0,"No","Sí"))</f>
        <v/>
      </c>
      <c r="Q662" s="28">
        <f>IF(OR($A662="",$L662=""),"",IF(AND($N662="Sí",$P662="Sí"),"OTIF","Falló"))</f>
        <v/>
      </c>
    </row>
    <row r="663" ht="16" customHeight="1">
      <c r="A663" s="48" t="n"/>
      <c r="B663" s="48" t="n"/>
      <c r="C663" s="47" t="n"/>
      <c r="D663" s="50" t="n"/>
      <c r="E663" s="50" t="n"/>
      <c r="F663" s="50" t="n"/>
      <c r="G663" s="50" t="n"/>
      <c r="H663" s="48" t="n"/>
      <c r="I663" s="51" t="n"/>
      <c r="J663" s="52" t="n"/>
      <c r="K663" s="47" t="n"/>
      <c r="L663" s="47" t="n"/>
      <c r="M663" s="24">
        <f>IF(OR($A663="",$C663=""),"",IF($L663&lt;&gt;"",$L663-$C663,TODAY()-$C663))</f>
        <v/>
      </c>
      <c r="N663" s="28">
        <f>IF(OR($A663="",$K663=""),"",IF($L663="",IF(TODAY()&gt;$K663,"Atrasado","En ruta"),IF($L663&lt;=$K663,"Sí","No")))</f>
        <v/>
      </c>
      <c r="O663" s="24">
        <f>IF($A663="","",COUNTIFS(NOVEDADES!$D$4:$D$1503,$A663))</f>
        <v/>
      </c>
      <c r="P663" s="28">
        <f>IF($A663="","",IF(COUNTIFS(NOVEDADES!$D$4:$D$1503,$A663,NOVEDADES!$O$4:$O$1503,"SÍ")&gt;0,"No","Sí"))</f>
        <v/>
      </c>
      <c r="Q663" s="28">
        <f>IF(OR($A663="",$L663=""),"",IF(AND($N663="Sí",$P663="Sí"),"OTIF","Falló"))</f>
        <v/>
      </c>
    </row>
    <row r="664" ht="16" customHeight="1">
      <c r="A664" s="48" t="n"/>
      <c r="B664" s="48" t="n"/>
      <c r="C664" s="47" t="n"/>
      <c r="D664" s="50" t="n"/>
      <c r="E664" s="50" t="n"/>
      <c r="F664" s="50" t="n"/>
      <c r="G664" s="50" t="n"/>
      <c r="H664" s="48" t="n"/>
      <c r="I664" s="51" t="n"/>
      <c r="J664" s="52" t="n"/>
      <c r="K664" s="47" t="n"/>
      <c r="L664" s="47" t="n"/>
      <c r="M664" s="24">
        <f>IF(OR($A664="",$C664=""),"",IF($L664&lt;&gt;"",$L664-$C664,TODAY()-$C664))</f>
        <v/>
      </c>
      <c r="N664" s="28">
        <f>IF(OR($A664="",$K664=""),"",IF($L664="",IF(TODAY()&gt;$K664,"Atrasado","En ruta"),IF($L664&lt;=$K664,"Sí","No")))</f>
        <v/>
      </c>
      <c r="O664" s="24">
        <f>IF($A664="","",COUNTIFS(NOVEDADES!$D$4:$D$1503,$A664))</f>
        <v/>
      </c>
      <c r="P664" s="28">
        <f>IF($A664="","",IF(COUNTIFS(NOVEDADES!$D$4:$D$1503,$A664,NOVEDADES!$O$4:$O$1503,"SÍ")&gt;0,"No","Sí"))</f>
        <v/>
      </c>
      <c r="Q664" s="28">
        <f>IF(OR($A664="",$L664=""),"",IF(AND($N664="Sí",$P664="Sí"),"OTIF","Falló"))</f>
        <v/>
      </c>
    </row>
    <row r="665" ht="16" customHeight="1">
      <c r="A665" s="48" t="n"/>
      <c r="B665" s="48" t="n"/>
      <c r="C665" s="47" t="n"/>
      <c r="D665" s="50" t="n"/>
      <c r="E665" s="50" t="n"/>
      <c r="F665" s="50" t="n"/>
      <c r="G665" s="50" t="n"/>
      <c r="H665" s="48" t="n"/>
      <c r="I665" s="51" t="n"/>
      <c r="J665" s="52" t="n"/>
      <c r="K665" s="47" t="n"/>
      <c r="L665" s="47" t="n"/>
      <c r="M665" s="24">
        <f>IF(OR($A665="",$C665=""),"",IF($L665&lt;&gt;"",$L665-$C665,TODAY()-$C665))</f>
        <v/>
      </c>
      <c r="N665" s="28">
        <f>IF(OR($A665="",$K665=""),"",IF($L665="",IF(TODAY()&gt;$K665,"Atrasado","En ruta"),IF($L665&lt;=$K665,"Sí","No")))</f>
        <v/>
      </c>
      <c r="O665" s="24">
        <f>IF($A665="","",COUNTIFS(NOVEDADES!$D$4:$D$1503,$A665))</f>
        <v/>
      </c>
      <c r="P665" s="28">
        <f>IF($A665="","",IF(COUNTIFS(NOVEDADES!$D$4:$D$1503,$A665,NOVEDADES!$O$4:$O$1503,"SÍ")&gt;0,"No","Sí"))</f>
        <v/>
      </c>
      <c r="Q665" s="28">
        <f>IF(OR($A665="",$L665=""),"",IF(AND($N665="Sí",$P665="Sí"),"OTIF","Falló"))</f>
        <v/>
      </c>
    </row>
    <row r="666" ht="16" customHeight="1">
      <c r="A666" s="48" t="n"/>
      <c r="B666" s="48" t="n"/>
      <c r="C666" s="47" t="n"/>
      <c r="D666" s="50" t="n"/>
      <c r="E666" s="50" t="n"/>
      <c r="F666" s="50" t="n"/>
      <c r="G666" s="50" t="n"/>
      <c r="H666" s="48" t="n"/>
      <c r="I666" s="51" t="n"/>
      <c r="J666" s="52" t="n"/>
      <c r="K666" s="47" t="n"/>
      <c r="L666" s="47" t="n"/>
      <c r="M666" s="24">
        <f>IF(OR($A666="",$C666=""),"",IF($L666&lt;&gt;"",$L666-$C666,TODAY()-$C666))</f>
        <v/>
      </c>
      <c r="N666" s="28">
        <f>IF(OR($A666="",$K666=""),"",IF($L666="",IF(TODAY()&gt;$K666,"Atrasado","En ruta"),IF($L666&lt;=$K666,"Sí","No")))</f>
        <v/>
      </c>
      <c r="O666" s="24">
        <f>IF($A666="","",COUNTIFS(NOVEDADES!$D$4:$D$1503,$A666))</f>
        <v/>
      </c>
      <c r="P666" s="28">
        <f>IF($A666="","",IF(COUNTIFS(NOVEDADES!$D$4:$D$1503,$A666,NOVEDADES!$O$4:$O$1503,"SÍ")&gt;0,"No","Sí"))</f>
        <v/>
      </c>
      <c r="Q666" s="28">
        <f>IF(OR($A666="",$L666=""),"",IF(AND($N666="Sí",$P666="Sí"),"OTIF","Falló"))</f>
        <v/>
      </c>
    </row>
    <row r="667" ht="16" customHeight="1">
      <c r="A667" s="48" t="n"/>
      <c r="B667" s="48" t="n"/>
      <c r="C667" s="47" t="n"/>
      <c r="D667" s="50" t="n"/>
      <c r="E667" s="50" t="n"/>
      <c r="F667" s="50" t="n"/>
      <c r="G667" s="50" t="n"/>
      <c r="H667" s="48" t="n"/>
      <c r="I667" s="51" t="n"/>
      <c r="J667" s="52" t="n"/>
      <c r="K667" s="47" t="n"/>
      <c r="L667" s="47" t="n"/>
      <c r="M667" s="24">
        <f>IF(OR($A667="",$C667=""),"",IF($L667&lt;&gt;"",$L667-$C667,TODAY()-$C667))</f>
        <v/>
      </c>
      <c r="N667" s="28">
        <f>IF(OR($A667="",$K667=""),"",IF($L667="",IF(TODAY()&gt;$K667,"Atrasado","En ruta"),IF($L667&lt;=$K667,"Sí","No")))</f>
        <v/>
      </c>
      <c r="O667" s="24">
        <f>IF($A667="","",COUNTIFS(NOVEDADES!$D$4:$D$1503,$A667))</f>
        <v/>
      </c>
      <c r="P667" s="28">
        <f>IF($A667="","",IF(COUNTIFS(NOVEDADES!$D$4:$D$1503,$A667,NOVEDADES!$O$4:$O$1503,"SÍ")&gt;0,"No","Sí"))</f>
        <v/>
      </c>
      <c r="Q667" s="28">
        <f>IF(OR($A667="",$L667=""),"",IF(AND($N667="Sí",$P667="Sí"),"OTIF","Falló"))</f>
        <v/>
      </c>
    </row>
    <row r="668" ht="16" customHeight="1">
      <c r="A668" s="48" t="n"/>
      <c r="B668" s="48" t="n"/>
      <c r="C668" s="47" t="n"/>
      <c r="D668" s="50" t="n"/>
      <c r="E668" s="50" t="n"/>
      <c r="F668" s="50" t="n"/>
      <c r="G668" s="50" t="n"/>
      <c r="H668" s="48" t="n"/>
      <c r="I668" s="51" t="n"/>
      <c r="J668" s="52" t="n"/>
      <c r="K668" s="47" t="n"/>
      <c r="L668" s="47" t="n"/>
      <c r="M668" s="24">
        <f>IF(OR($A668="",$C668=""),"",IF($L668&lt;&gt;"",$L668-$C668,TODAY()-$C668))</f>
        <v/>
      </c>
      <c r="N668" s="28">
        <f>IF(OR($A668="",$K668=""),"",IF($L668="",IF(TODAY()&gt;$K668,"Atrasado","En ruta"),IF($L668&lt;=$K668,"Sí","No")))</f>
        <v/>
      </c>
      <c r="O668" s="24">
        <f>IF($A668="","",COUNTIFS(NOVEDADES!$D$4:$D$1503,$A668))</f>
        <v/>
      </c>
      <c r="P668" s="28">
        <f>IF($A668="","",IF(COUNTIFS(NOVEDADES!$D$4:$D$1503,$A668,NOVEDADES!$O$4:$O$1503,"SÍ")&gt;0,"No","Sí"))</f>
        <v/>
      </c>
      <c r="Q668" s="28">
        <f>IF(OR($A668="",$L668=""),"",IF(AND($N668="Sí",$P668="Sí"),"OTIF","Falló"))</f>
        <v/>
      </c>
    </row>
    <row r="669" ht="16" customHeight="1">
      <c r="A669" s="48" t="n"/>
      <c r="B669" s="48" t="n"/>
      <c r="C669" s="47" t="n"/>
      <c r="D669" s="50" t="n"/>
      <c r="E669" s="50" t="n"/>
      <c r="F669" s="50" t="n"/>
      <c r="G669" s="50" t="n"/>
      <c r="H669" s="48" t="n"/>
      <c r="I669" s="51" t="n"/>
      <c r="J669" s="52" t="n"/>
      <c r="K669" s="47" t="n"/>
      <c r="L669" s="47" t="n"/>
      <c r="M669" s="24">
        <f>IF(OR($A669="",$C669=""),"",IF($L669&lt;&gt;"",$L669-$C669,TODAY()-$C669))</f>
        <v/>
      </c>
      <c r="N669" s="28">
        <f>IF(OR($A669="",$K669=""),"",IF($L669="",IF(TODAY()&gt;$K669,"Atrasado","En ruta"),IF($L669&lt;=$K669,"Sí","No")))</f>
        <v/>
      </c>
      <c r="O669" s="24">
        <f>IF($A669="","",COUNTIFS(NOVEDADES!$D$4:$D$1503,$A669))</f>
        <v/>
      </c>
      <c r="P669" s="28">
        <f>IF($A669="","",IF(COUNTIFS(NOVEDADES!$D$4:$D$1503,$A669,NOVEDADES!$O$4:$O$1503,"SÍ")&gt;0,"No","Sí"))</f>
        <v/>
      </c>
      <c r="Q669" s="28">
        <f>IF(OR($A669="",$L669=""),"",IF(AND($N669="Sí",$P669="Sí"),"OTIF","Falló"))</f>
        <v/>
      </c>
    </row>
    <row r="670" ht="16" customHeight="1">
      <c r="A670" s="48" t="n"/>
      <c r="B670" s="48" t="n"/>
      <c r="C670" s="47" t="n"/>
      <c r="D670" s="50" t="n"/>
      <c r="E670" s="50" t="n"/>
      <c r="F670" s="50" t="n"/>
      <c r="G670" s="50" t="n"/>
      <c r="H670" s="48" t="n"/>
      <c r="I670" s="51" t="n"/>
      <c r="J670" s="52" t="n"/>
      <c r="K670" s="47" t="n"/>
      <c r="L670" s="47" t="n"/>
      <c r="M670" s="24">
        <f>IF(OR($A670="",$C670=""),"",IF($L670&lt;&gt;"",$L670-$C670,TODAY()-$C670))</f>
        <v/>
      </c>
      <c r="N670" s="28">
        <f>IF(OR($A670="",$K670=""),"",IF($L670="",IF(TODAY()&gt;$K670,"Atrasado","En ruta"),IF($L670&lt;=$K670,"Sí","No")))</f>
        <v/>
      </c>
      <c r="O670" s="24">
        <f>IF($A670="","",COUNTIFS(NOVEDADES!$D$4:$D$1503,$A670))</f>
        <v/>
      </c>
      <c r="P670" s="28">
        <f>IF($A670="","",IF(COUNTIFS(NOVEDADES!$D$4:$D$1503,$A670,NOVEDADES!$O$4:$O$1503,"SÍ")&gt;0,"No","Sí"))</f>
        <v/>
      </c>
      <c r="Q670" s="28">
        <f>IF(OR($A670="",$L670=""),"",IF(AND($N670="Sí",$P670="Sí"),"OTIF","Falló"))</f>
        <v/>
      </c>
    </row>
    <row r="671" ht="16" customHeight="1">
      <c r="A671" s="48" t="n"/>
      <c r="B671" s="48" t="n"/>
      <c r="C671" s="47" t="n"/>
      <c r="D671" s="50" t="n"/>
      <c r="E671" s="50" t="n"/>
      <c r="F671" s="50" t="n"/>
      <c r="G671" s="50" t="n"/>
      <c r="H671" s="48" t="n"/>
      <c r="I671" s="51" t="n"/>
      <c r="J671" s="52" t="n"/>
      <c r="K671" s="47" t="n"/>
      <c r="L671" s="47" t="n"/>
      <c r="M671" s="24">
        <f>IF(OR($A671="",$C671=""),"",IF($L671&lt;&gt;"",$L671-$C671,TODAY()-$C671))</f>
        <v/>
      </c>
      <c r="N671" s="28">
        <f>IF(OR($A671="",$K671=""),"",IF($L671="",IF(TODAY()&gt;$K671,"Atrasado","En ruta"),IF($L671&lt;=$K671,"Sí","No")))</f>
        <v/>
      </c>
      <c r="O671" s="24">
        <f>IF($A671="","",COUNTIFS(NOVEDADES!$D$4:$D$1503,$A671))</f>
        <v/>
      </c>
      <c r="P671" s="28">
        <f>IF($A671="","",IF(COUNTIFS(NOVEDADES!$D$4:$D$1503,$A671,NOVEDADES!$O$4:$O$1503,"SÍ")&gt;0,"No","Sí"))</f>
        <v/>
      </c>
      <c r="Q671" s="28">
        <f>IF(OR($A671="",$L671=""),"",IF(AND($N671="Sí",$P671="Sí"),"OTIF","Falló"))</f>
        <v/>
      </c>
    </row>
    <row r="672" ht="16" customHeight="1">
      <c r="A672" s="48" t="n"/>
      <c r="B672" s="48" t="n"/>
      <c r="C672" s="47" t="n"/>
      <c r="D672" s="50" t="n"/>
      <c r="E672" s="50" t="n"/>
      <c r="F672" s="50" t="n"/>
      <c r="G672" s="50" t="n"/>
      <c r="H672" s="48" t="n"/>
      <c r="I672" s="51" t="n"/>
      <c r="J672" s="52" t="n"/>
      <c r="K672" s="47" t="n"/>
      <c r="L672" s="47" t="n"/>
      <c r="M672" s="24">
        <f>IF(OR($A672="",$C672=""),"",IF($L672&lt;&gt;"",$L672-$C672,TODAY()-$C672))</f>
        <v/>
      </c>
      <c r="N672" s="28">
        <f>IF(OR($A672="",$K672=""),"",IF($L672="",IF(TODAY()&gt;$K672,"Atrasado","En ruta"),IF($L672&lt;=$K672,"Sí","No")))</f>
        <v/>
      </c>
      <c r="O672" s="24">
        <f>IF($A672="","",COUNTIFS(NOVEDADES!$D$4:$D$1503,$A672))</f>
        <v/>
      </c>
      <c r="P672" s="28">
        <f>IF($A672="","",IF(COUNTIFS(NOVEDADES!$D$4:$D$1503,$A672,NOVEDADES!$O$4:$O$1503,"SÍ")&gt;0,"No","Sí"))</f>
        <v/>
      </c>
      <c r="Q672" s="28">
        <f>IF(OR($A672="",$L672=""),"",IF(AND($N672="Sí",$P672="Sí"),"OTIF","Falló"))</f>
        <v/>
      </c>
    </row>
    <row r="673" ht="16" customHeight="1">
      <c r="A673" s="48" t="n"/>
      <c r="B673" s="48" t="n"/>
      <c r="C673" s="47" t="n"/>
      <c r="D673" s="50" t="n"/>
      <c r="E673" s="50" t="n"/>
      <c r="F673" s="50" t="n"/>
      <c r="G673" s="50" t="n"/>
      <c r="H673" s="48" t="n"/>
      <c r="I673" s="51" t="n"/>
      <c r="J673" s="52" t="n"/>
      <c r="K673" s="47" t="n"/>
      <c r="L673" s="47" t="n"/>
      <c r="M673" s="24">
        <f>IF(OR($A673="",$C673=""),"",IF($L673&lt;&gt;"",$L673-$C673,TODAY()-$C673))</f>
        <v/>
      </c>
      <c r="N673" s="28">
        <f>IF(OR($A673="",$K673=""),"",IF($L673="",IF(TODAY()&gt;$K673,"Atrasado","En ruta"),IF($L673&lt;=$K673,"Sí","No")))</f>
        <v/>
      </c>
      <c r="O673" s="24">
        <f>IF($A673="","",COUNTIFS(NOVEDADES!$D$4:$D$1503,$A673))</f>
        <v/>
      </c>
      <c r="P673" s="28">
        <f>IF($A673="","",IF(COUNTIFS(NOVEDADES!$D$4:$D$1503,$A673,NOVEDADES!$O$4:$O$1503,"SÍ")&gt;0,"No","Sí"))</f>
        <v/>
      </c>
      <c r="Q673" s="28">
        <f>IF(OR($A673="",$L673=""),"",IF(AND($N673="Sí",$P673="Sí"),"OTIF","Falló"))</f>
        <v/>
      </c>
    </row>
    <row r="674" ht="16" customHeight="1">
      <c r="A674" s="48" t="n"/>
      <c r="B674" s="48" t="n"/>
      <c r="C674" s="47" t="n"/>
      <c r="D674" s="50" t="n"/>
      <c r="E674" s="50" t="n"/>
      <c r="F674" s="50" t="n"/>
      <c r="G674" s="50" t="n"/>
      <c r="H674" s="48" t="n"/>
      <c r="I674" s="51" t="n"/>
      <c r="J674" s="52" t="n"/>
      <c r="K674" s="47" t="n"/>
      <c r="L674" s="47" t="n"/>
      <c r="M674" s="24">
        <f>IF(OR($A674="",$C674=""),"",IF($L674&lt;&gt;"",$L674-$C674,TODAY()-$C674))</f>
        <v/>
      </c>
      <c r="N674" s="28">
        <f>IF(OR($A674="",$K674=""),"",IF($L674="",IF(TODAY()&gt;$K674,"Atrasado","En ruta"),IF($L674&lt;=$K674,"Sí","No")))</f>
        <v/>
      </c>
      <c r="O674" s="24">
        <f>IF($A674="","",COUNTIFS(NOVEDADES!$D$4:$D$1503,$A674))</f>
        <v/>
      </c>
      <c r="P674" s="28">
        <f>IF($A674="","",IF(COUNTIFS(NOVEDADES!$D$4:$D$1503,$A674,NOVEDADES!$O$4:$O$1503,"SÍ")&gt;0,"No","Sí"))</f>
        <v/>
      </c>
      <c r="Q674" s="28">
        <f>IF(OR($A674="",$L674=""),"",IF(AND($N674="Sí",$P674="Sí"),"OTIF","Falló"))</f>
        <v/>
      </c>
    </row>
    <row r="675" ht="16" customHeight="1">
      <c r="A675" s="48" t="n"/>
      <c r="B675" s="48" t="n"/>
      <c r="C675" s="47" t="n"/>
      <c r="D675" s="50" t="n"/>
      <c r="E675" s="50" t="n"/>
      <c r="F675" s="50" t="n"/>
      <c r="G675" s="50" t="n"/>
      <c r="H675" s="48" t="n"/>
      <c r="I675" s="51" t="n"/>
      <c r="J675" s="52" t="n"/>
      <c r="K675" s="47" t="n"/>
      <c r="L675" s="47" t="n"/>
      <c r="M675" s="24">
        <f>IF(OR($A675="",$C675=""),"",IF($L675&lt;&gt;"",$L675-$C675,TODAY()-$C675))</f>
        <v/>
      </c>
      <c r="N675" s="28">
        <f>IF(OR($A675="",$K675=""),"",IF($L675="",IF(TODAY()&gt;$K675,"Atrasado","En ruta"),IF($L675&lt;=$K675,"Sí","No")))</f>
        <v/>
      </c>
      <c r="O675" s="24">
        <f>IF($A675="","",COUNTIFS(NOVEDADES!$D$4:$D$1503,$A675))</f>
        <v/>
      </c>
      <c r="P675" s="28">
        <f>IF($A675="","",IF(COUNTIFS(NOVEDADES!$D$4:$D$1503,$A675,NOVEDADES!$O$4:$O$1503,"SÍ")&gt;0,"No","Sí"))</f>
        <v/>
      </c>
      <c r="Q675" s="28">
        <f>IF(OR($A675="",$L675=""),"",IF(AND($N675="Sí",$P675="Sí"),"OTIF","Falló"))</f>
        <v/>
      </c>
    </row>
    <row r="676" ht="16" customHeight="1">
      <c r="A676" s="48" t="n"/>
      <c r="B676" s="48" t="n"/>
      <c r="C676" s="47" t="n"/>
      <c r="D676" s="50" t="n"/>
      <c r="E676" s="50" t="n"/>
      <c r="F676" s="50" t="n"/>
      <c r="G676" s="50" t="n"/>
      <c r="H676" s="48" t="n"/>
      <c r="I676" s="51" t="n"/>
      <c r="J676" s="52" t="n"/>
      <c r="K676" s="47" t="n"/>
      <c r="L676" s="47" t="n"/>
      <c r="M676" s="24">
        <f>IF(OR($A676="",$C676=""),"",IF($L676&lt;&gt;"",$L676-$C676,TODAY()-$C676))</f>
        <v/>
      </c>
      <c r="N676" s="28">
        <f>IF(OR($A676="",$K676=""),"",IF($L676="",IF(TODAY()&gt;$K676,"Atrasado","En ruta"),IF($L676&lt;=$K676,"Sí","No")))</f>
        <v/>
      </c>
      <c r="O676" s="24">
        <f>IF($A676="","",COUNTIFS(NOVEDADES!$D$4:$D$1503,$A676))</f>
        <v/>
      </c>
      <c r="P676" s="28">
        <f>IF($A676="","",IF(COUNTIFS(NOVEDADES!$D$4:$D$1503,$A676,NOVEDADES!$O$4:$O$1503,"SÍ")&gt;0,"No","Sí"))</f>
        <v/>
      </c>
      <c r="Q676" s="28">
        <f>IF(OR($A676="",$L676=""),"",IF(AND($N676="Sí",$P676="Sí"),"OTIF","Falló"))</f>
        <v/>
      </c>
    </row>
    <row r="677" ht="16" customHeight="1">
      <c r="A677" s="48" t="n"/>
      <c r="B677" s="48" t="n"/>
      <c r="C677" s="47" t="n"/>
      <c r="D677" s="50" t="n"/>
      <c r="E677" s="50" t="n"/>
      <c r="F677" s="50" t="n"/>
      <c r="G677" s="50" t="n"/>
      <c r="H677" s="48" t="n"/>
      <c r="I677" s="51" t="n"/>
      <c r="J677" s="52" t="n"/>
      <c r="K677" s="47" t="n"/>
      <c r="L677" s="47" t="n"/>
      <c r="M677" s="24">
        <f>IF(OR($A677="",$C677=""),"",IF($L677&lt;&gt;"",$L677-$C677,TODAY()-$C677))</f>
        <v/>
      </c>
      <c r="N677" s="28">
        <f>IF(OR($A677="",$K677=""),"",IF($L677="",IF(TODAY()&gt;$K677,"Atrasado","En ruta"),IF($L677&lt;=$K677,"Sí","No")))</f>
        <v/>
      </c>
      <c r="O677" s="24">
        <f>IF($A677="","",COUNTIFS(NOVEDADES!$D$4:$D$1503,$A677))</f>
        <v/>
      </c>
      <c r="P677" s="28">
        <f>IF($A677="","",IF(COUNTIFS(NOVEDADES!$D$4:$D$1503,$A677,NOVEDADES!$O$4:$O$1503,"SÍ")&gt;0,"No","Sí"))</f>
        <v/>
      </c>
      <c r="Q677" s="28">
        <f>IF(OR($A677="",$L677=""),"",IF(AND($N677="Sí",$P677="Sí"),"OTIF","Falló"))</f>
        <v/>
      </c>
    </row>
    <row r="678" ht="16" customHeight="1">
      <c r="A678" s="48" t="n"/>
      <c r="B678" s="48" t="n"/>
      <c r="C678" s="47" t="n"/>
      <c r="D678" s="50" t="n"/>
      <c r="E678" s="50" t="n"/>
      <c r="F678" s="50" t="n"/>
      <c r="G678" s="50" t="n"/>
      <c r="H678" s="48" t="n"/>
      <c r="I678" s="51" t="n"/>
      <c r="J678" s="52" t="n"/>
      <c r="K678" s="47" t="n"/>
      <c r="L678" s="47" t="n"/>
      <c r="M678" s="24">
        <f>IF(OR($A678="",$C678=""),"",IF($L678&lt;&gt;"",$L678-$C678,TODAY()-$C678))</f>
        <v/>
      </c>
      <c r="N678" s="28">
        <f>IF(OR($A678="",$K678=""),"",IF($L678="",IF(TODAY()&gt;$K678,"Atrasado","En ruta"),IF($L678&lt;=$K678,"Sí","No")))</f>
        <v/>
      </c>
      <c r="O678" s="24">
        <f>IF($A678="","",COUNTIFS(NOVEDADES!$D$4:$D$1503,$A678))</f>
        <v/>
      </c>
      <c r="P678" s="28">
        <f>IF($A678="","",IF(COUNTIFS(NOVEDADES!$D$4:$D$1503,$A678,NOVEDADES!$O$4:$O$1503,"SÍ")&gt;0,"No","Sí"))</f>
        <v/>
      </c>
      <c r="Q678" s="28">
        <f>IF(OR($A678="",$L678=""),"",IF(AND($N678="Sí",$P678="Sí"),"OTIF","Falló"))</f>
        <v/>
      </c>
    </row>
    <row r="679" ht="16" customHeight="1">
      <c r="A679" s="48" t="n"/>
      <c r="B679" s="48" t="n"/>
      <c r="C679" s="47" t="n"/>
      <c r="D679" s="50" t="n"/>
      <c r="E679" s="50" t="n"/>
      <c r="F679" s="50" t="n"/>
      <c r="G679" s="50" t="n"/>
      <c r="H679" s="48" t="n"/>
      <c r="I679" s="51" t="n"/>
      <c r="J679" s="52" t="n"/>
      <c r="K679" s="47" t="n"/>
      <c r="L679" s="47" t="n"/>
      <c r="M679" s="24">
        <f>IF(OR($A679="",$C679=""),"",IF($L679&lt;&gt;"",$L679-$C679,TODAY()-$C679))</f>
        <v/>
      </c>
      <c r="N679" s="28">
        <f>IF(OR($A679="",$K679=""),"",IF($L679="",IF(TODAY()&gt;$K679,"Atrasado","En ruta"),IF($L679&lt;=$K679,"Sí","No")))</f>
        <v/>
      </c>
      <c r="O679" s="24">
        <f>IF($A679="","",COUNTIFS(NOVEDADES!$D$4:$D$1503,$A679))</f>
        <v/>
      </c>
      <c r="P679" s="28">
        <f>IF($A679="","",IF(COUNTIFS(NOVEDADES!$D$4:$D$1503,$A679,NOVEDADES!$O$4:$O$1503,"SÍ")&gt;0,"No","Sí"))</f>
        <v/>
      </c>
      <c r="Q679" s="28">
        <f>IF(OR($A679="",$L679=""),"",IF(AND($N679="Sí",$P679="Sí"),"OTIF","Falló"))</f>
        <v/>
      </c>
    </row>
    <row r="680" ht="16" customHeight="1">
      <c r="A680" s="48" t="n"/>
      <c r="B680" s="48" t="n"/>
      <c r="C680" s="47" t="n"/>
      <c r="D680" s="50" t="n"/>
      <c r="E680" s="50" t="n"/>
      <c r="F680" s="50" t="n"/>
      <c r="G680" s="50" t="n"/>
      <c r="H680" s="48" t="n"/>
      <c r="I680" s="51" t="n"/>
      <c r="J680" s="52" t="n"/>
      <c r="K680" s="47" t="n"/>
      <c r="L680" s="47" t="n"/>
      <c r="M680" s="24">
        <f>IF(OR($A680="",$C680=""),"",IF($L680&lt;&gt;"",$L680-$C680,TODAY()-$C680))</f>
        <v/>
      </c>
      <c r="N680" s="28">
        <f>IF(OR($A680="",$K680=""),"",IF($L680="",IF(TODAY()&gt;$K680,"Atrasado","En ruta"),IF($L680&lt;=$K680,"Sí","No")))</f>
        <v/>
      </c>
      <c r="O680" s="24">
        <f>IF($A680="","",COUNTIFS(NOVEDADES!$D$4:$D$1503,$A680))</f>
        <v/>
      </c>
      <c r="P680" s="28">
        <f>IF($A680="","",IF(COUNTIFS(NOVEDADES!$D$4:$D$1503,$A680,NOVEDADES!$O$4:$O$1503,"SÍ")&gt;0,"No","Sí"))</f>
        <v/>
      </c>
      <c r="Q680" s="28">
        <f>IF(OR($A680="",$L680=""),"",IF(AND($N680="Sí",$P680="Sí"),"OTIF","Falló"))</f>
        <v/>
      </c>
    </row>
    <row r="681" ht="16" customHeight="1">
      <c r="A681" s="48" t="n"/>
      <c r="B681" s="48" t="n"/>
      <c r="C681" s="47" t="n"/>
      <c r="D681" s="50" t="n"/>
      <c r="E681" s="50" t="n"/>
      <c r="F681" s="50" t="n"/>
      <c r="G681" s="50" t="n"/>
      <c r="H681" s="48" t="n"/>
      <c r="I681" s="51" t="n"/>
      <c r="J681" s="52" t="n"/>
      <c r="K681" s="47" t="n"/>
      <c r="L681" s="47" t="n"/>
      <c r="M681" s="24">
        <f>IF(OR($A681="",$C681=""),"",IF($L681&lt;&gt;"",$L681-$C681,TODAY()-$C681))</f>
        <v/>
      </c>
      <c r="N681" s="28">
        <f>IF(OR($A681="",$K681=""),"",IF($L681="",IF(TODAY()&gt;$K681,"Atrasado","En ruta"),IF($L681&lt;=$K681,"Sí","No")))</f>
        <v/>
      </c>
      <c r="O681" s="24">
        <f>IF($A681="","",COUNTIFS(NOVEDADES!$D$4:$D$1503,$A681))</f>
        <v/>
      </c>
      <c r="P681" s="28">
        <f>IF($A681="","",IF(COUNTIFS(NOVEDADES!$D$4:$D$1503,$A681,NOVEDADES!$O$4:$O$1503,"SÍ")&gt;0,"No","Sí"))</f>
        <v/>
      </c>
      <c r="Q681" s="28">
        <f>IF(OR($A681="",$L681=""),"",IF(AND($N681="Sí",$P681="Sí"),"OTIF","Falló"))</f>
        <v/>
      </c>
    </row>
    <row r="682" ht="16" customHeight="1">
      <c r="A682" s="48" t="n"/>
      <c r="B682" s="48" t="n"/>
      <c r="C682" s="47" t="n"/>
      <c r="D682" s="50" t="n"/>
      <c r="E682" s="50" t="n"/>
      <c r="F682" s="50" t="n"/>
      <c r="G682" s="50" t="n"/>
      <c r="H682" s="48" t="n"/>
      <c r="I682" s="51" t="n"/>
      <c r="J682" s="52" t="n"/>
      <c r="K682" s="47" t="n"/>
      <c r="L682" s="47" t="n"/>
      <c r="M682" s="24">
        <f>IF(OR($A682="",$C682=""),"",IF($L682&lt;&gt;"",$L682-$C682,TODAY()-$C682))</f>
        <v/>
      </c>
      <c r="N682" s="28">
        <f>IF(OR($A682="",$K682=""),"",IF($L682="",IF(TODAY()&gt;$K682,"Atrasado","En ruta"),IF($L682&lt;=$K682,"Sí","No")))</f>
        <v/>
      </c>
      <c r="O682" s="24">
        <f>IF($A682="","",COUNTIFS(NOVEDADES!$D$4:$D$1503,$A682))</f>
        <v/>
      </c>
      <c r="P682" s="28">
        <f>IF($A682="","",IF(COUNTIFS(NOVEDADES!$D$4:$D$1503,$A682,NOVEDADES!$O$4:$O$1503,"SÍ")&gt;0,"No","Sí"))</f>
        <v/>
      </c>
      <c r="Q682" s="28">
        <f>IF(OR($A682="",$L682=""),"",IF(AND($N682="Sí",$P682="Sí"),"OTIF","Falló"))</f>
        <v/>
      </c>
    </row>
    <row r="683" ht="16" customHeight="1">
      <c r="A683" s="48" t="n"/>
      <c r="B683" s="48" t="n"/>
      <c r="C683" s="47" t="n"/>
      <c r="D683" s="50" t="n"/>
      <c r="E683" s="50" t="n"/>
      <c r="F683" s="50" t="n"/>
      <c r="G683" s="50" t="n"/>
      <c r="H683" s="48" t="n"/>
      <c r="I683" s="51" t="n"/>
      <c r="J683" s="52" t="n"/>
      <c r="K683" s="47" t="n"/>
      <c r="L683" s="47" t="n"/>
      <c r="M683" s="24">
        <f>IF(OR($A683="",$C683=""),"",IF($L683&lt;&gt;"",$L683-$C683,TODAY()-$C683))</f>
        <v/>
      </c>
      <c r="N683" s="28">
        <f>IF(OR($A683="",$K683=""),"",IF($L683="",IF(TODAY()&gt;$K683,"Atrasado","En ruta"),IF($L683&lt;=$K683,"Sí","No")))</f>
        <v/>
      </c>
      <c r="O683" s="24">
        <f>IF($A683="","",COUNTIFS(NOVEDADES!$D$4:$D$1503,$A683))</f>
        <v/>
      </c>
      <c r="P683" s="28">
        <f>IF($A683="","",IF(COUNTIFS(NOVEDADES!$D$4:$D$1503,$A683,NOVEDADES!$O$4:$O$1503,"SÍ")&gt;0,"No","Sí"))</f>
        <v/>
      </c>
      <c r="Q683" s="28">
        <f>IF(OR($A683="",$L683=""),"",IF(AND($N683="Sí",$P683="Sí"),"OTIF","Falló"))</f>
        <v/>
      </c>
    </row>
    <row r="684" ht="16" customHeight="1">
      <c r="A684" s="48" t="n"/>
      <c r="B684" s="48" t="n"/>
      <c r="C684" s="47" t="n"/>
      <c r="D684" s="50" t="n"/>
      <c r="E684" s="50" t="n"/>
      <c r="F684" s="50" t="n"/>
      <c r="G684" s="50" t="n"/>
      <c r="H684" s="48" t="n"/>
      <c r="I684" s="51" t="n"/>
      <c r="J684" s="52" t="n"/>
      <c r="K684" s="47" t="n"/>
      <c r="L684" s="47" t="n"/>
      <c r="M684" s="24">
        <f>IF(OR($A684="",$C684=""),"",IF($L684&lt;&gt;"",$L684-$C684,TODAY()-$C684))</f>
        <v/>
      </c>
      <c r="N684" s="28">
        <f>IF(OR($A684="",$K684=""),"",IF($L684="",IF(TODAY()&gt;$K684,"Atrasado","En ruta"),IF($L684&lt;=$K684,"Sí","No")))</f>
        <v/>
      </c>
      <c r="O684" s="24">
        <f>IF($A684="","",COUNTIFS(NOVEDADES!$D$4:$D$1503,$A684))</f>
        <v/>
      </c>
      <c r="P684" s="28">
        <f>IF($A684="","",IF(COUNTIFS(NOVEDADES!$D$4:$D$1503,$A684,NOVEDADES!$O$4:$O$1503,"SÍ")&gt;0,"No","Sí"))</f>
        <v/>
      </c>
      <c r="Q684" s="28">
        <f>IF(OR($A684="",$L684=""),"",IF(AND($N684="Sí",$P684="Sí"),"OTIF","Falló"))</f>
        <v/>
      </c>
    </row>
    <row r="685" ht="16" customHeight="1">
      <c r="A685" s="48" t="n"/>
      <c r="B685" s="48" t="n"/>
      <c r="C685" s="47" t="n"/>
      <c r="D685" s="50" t="n"/>
      <c r="E685" s="50" t="n"/>
      <c r="F685" s="50" t="n"/>
      <c r="G685" s="50" t="n"/>
      <c r="H685" s="48" t="n"/>
      <c r="I685" s="51" t="n"/>
      <c r="J685" s="52" t="n"/>
      <c r="K685" s="47" t="n"/>
      <c r="L685" s="47" t="n"/>
      <c r="M685" s="24">
        <f>IF(OR($A685="",$C685=""),"",IF($L685&lt;&gt;"",$L685-$C685,TODAY()-$C685))</f>
        <v/>
      </c>
      <c r="N685" s="28">
        <f>IF(OR($A685="",$K685=""),"",IF($L685="",IF(TODAY()&gt;$K685,"Atrasado","En ruta"),IF($L685&lt;=$K685,"Sí","No")))</f>
        <v/>
      </c>
      <c r="O685" s="24">
        <f>IF($A685="","",COUNTIFS(NOVEDADES!$D$4:$D$1503,$A685))</f>
        <v/>
      </c>
      <c r="P685" s="28">
        <f>IF($A685="","",IF(COUNTIFS(NOVEDADES!$D$4:$D$1503,$A685,NOVEDADES!$O$4:$O$1503,"SÍ")&gt;0,"No","Sí"))</f>
        <v/>
      </c>
      <c r="Q685" s="28">
        <f>IF(OR($A685="",$L685=""),"",IF(AND($N685="Sí",$P685="Sí"),"OTIF","Falló"))</f>
        <v/>
      </c>
    </row>
    <row r="686" ht="16" customHeight="1">
      <c r="A686" s="48" t="n"/>
      <c r="B686" s="48" t="n"/>
      <c r="C686" s="47" t="n"/>
      <c r="D686" s="50" t="n"/>
      <c r="E686" s="50" t="n"/>
      <c r="F686" s="50" t="n"/>
      <c r="G686" s="50" t="n"/>
      <c r="H686" s="48" t="n"/>
      <c r="I686" s="51" t="n"/>
      <c r="J686" s="52" t="n"/>
      <c r="K686" s="47" t="n"/>
      <c r="L686" s="47" t="n"/>
      <c r="M686" s="24">
        <f>IF(OR($A686="",$C686=""),"",IF($L686&lt;&gt;"",$L686-$C686,TODAY()-$C686))</f>
        <v/>
      </c>
      <c r="N686" s="28">
        <f>IF(OR($A686="",$K686=""),"",IF($L686="",IF(TODAY()&gt;$K686,"Atrasado","En ruta"),IF($L686&lt;=$K686,"Sí","No")))</f>
        <v/>
      </c>
      <c r="O686" s="24">
        <f>IF($A686="","",COUNTIFS(NOVEDADES!$D$4:$D$1503,$A686))</f>
        <v/>
      </c>
      <c r="P686" s="28">
        <f>IF($A686="","",IF(COUNTIFS(NOVEDADES!$D$4:$D$1503,$A686,NOVEDADES!$O$4:$O$1503,"SÍ")&gt;0,"No","Sí"))</f>
        <v/>
      </c>
      <c r="Q686" s="28">
        <f>IF(OR($A686="",$L686=""),"",IF(AND($N686="Sí",$P686="Sí"),"OTIF","Falló"))</f>
        <v/>
      </c>
    </row>
    <row r="687" ht="16" customHeight="1">
      <c r="A687" s="48" t="n"/>
      <c r="B687" s="48" t="n"/>
      <c r="C687" s="47" t="n"/>
      <c r="D687" s="50" t="n"/>
      <c r="E687" s="50" t="n"/>
      <c r="F687" s="50" t="n"/>
      <c r="G687" s="50" t="n"/>
      <c r="H687" s="48" t="n"/>
      <c r="I687" s="51" t="n"/>
      <c r="J687" s="52" t="n"/>
      <c r="K687" s="47" t="n"/>
      <c r="L687" s="47" t="n"/>
      <c r="M687" s="24">
        <f>IF(OR($A687="",$C687=""),"",IF($L687&lt;&gt;"",$L687-$C687,TODAY()-$C687))</f>
        <v/>
      </c>
      <c r="N687" s="28">
        <f>IF(OR($A687="",$K687=""),"",IF($L687="",IF(TODAY()&gt;$K687,"Atrasado","En ruta"),IF($L687&lt;=$K687,"Sí","No")))</f>
        <v/>
      </c>
      <c r="O687" s="24">
        <f>IF($A687="","",COUNTIFS(NOVEDADES!$D$4:$D$1503,$A687))</f>
        <v/>
      </c>
      <c r="P687" s="28">
        <f>IF($A687="","",IF(COUNTIFS(NOVEDADES!$D$4:$D$1503,$A687,NOVEDADES!$O$4:$O$1503,"SÍ")&gt;0,"No","Sí"))</f>
        <v/>
      </c>
      <c r="Q687" s="28">
        <f>IF(OR($A687="",$L687=""),"",IF(AND($N687="Sí",$P687="Sí"),"OTIF","Falló"))</f>
        <v/>
      </c>
    </row>
    <row r="688" ht="16" customHeight="1">
      <c r="A688" s="48" t="n"/>
      <c r="B688" s="48" t="n"/>
      <c r="C688" s="47" t="n"/>
      <c r="D688" s="50" t="n"/>
      <c r="E688" s="50" t="n"/>
      <c r="F688" s="50" t="n"/>
      <c r="G688" s="50" t="n"/>
      <c r="H688" s="48" t="n"/>
      <c r="I688" s="51" t="n"/>
      <c r="J688" s="52" t="n"/>
      <c r="K688" s="47" t="n"/>
      <c r="L688" s="47" t="n"/>
      <c r="M688" s="24">
        <f>IF(OR($A688="",$C688=""),"",IF($L688&lt;&gt;"",$L688-$C688,TODAY()-$C688))</f>
        <v/>
      </c>
      <c r="N688" s="28">
        <f>IF(OR($A688="",$K688=""),"",IF($L688="",IF(TODAY()&gt;$K688,"Atrasado","En ruta"),IF($L688&lt;=$K688,"Sí","No")))</f>
        <v/>
      </c>
      <c r="O688" s="24">
        <f>IF($A688="","",COUNTIFS(NOVEDADES!$D$4:$D$1503,$A688))</f>
        <v/>
      </c>
      <c r="P688" s="28">
        <f>IF($A688="","",IF(COUNTIFS(NOVEDADES!$D$4:$D$1503,$A688,NOVEDADES!$O$4:$O$1503,"SÍ")&gt;0,"No","Sí"))</f>
        <v/>
      </c>
      <c r="Q688" s="28">
        <f>IF(OR($A688="",$L688=""),"",IF(AND($N688="Sí",$P688="Sí"),"OTIF","Falló"))</f>
        <v/>
      </c>
    </row>
    <row r="689" ht="16" customHeight="1">
      <c r="A689" s="48" t="n"/>
      <c r="B689" s="48" t="n"/>
      <c r="C689" s="47" t="n"/>
      <c r="D689" s="50" t="n"/>
      <c r="E689" s="50" t="n"/>
      <c r="F689" s="50" t="n"/>
      <c r="G689" s="50" t="n"/>
      <c r="H689" s="48" t="n"/>
      <c r="I689" s="51" t="n"/>
      <c r="J689" s="52" t="n"/>
      <c r="K689" s="47" t="n"/>
      <c r="L689" s="47" t="n"/>
      <c r="M689" s="24">
        <f>IF(OR($A689="",$C689=""),"",IF($L689&lt;&gt;"",$L689-$C689,TODAY()-$C689))</f>
        <v/>
      </c>
      <c r="N689" s="28">
        <f>IF(OR($A689="",$K689=""),"",IF($L689="",IF(TODAY()&gt;$K689,"Atrasado","En ruta"),IF($L689&lt;=$K689,"Sí","No")))</f>
        <v/>
      </c>
      <c r="O689" s="24">
        <f>IF($A689="","",COUNTIFS(NOVEDADES!$D$4:$D$1503,$A689))</f>
        <v/>
      </c>
      <c r="P689" s="28">
        <f>IF($A689="","",IF(COUNTIFS(NOVEDADES!$D$4:$D$1503,$A689,NOVEDADES!$O$4:$O$1503,"SÍ")&gt;0,"No","Sí"))</f>
        <v/>
      </c>
      <c r="Q689" s="28">
        <f>IF(OR($A689="",$L689=""),"",IF(AND($N689="Sí",$P689="Sí"),"OTIF","Falló"))</f>
        <v/>
      </c>
    </row>
    <row r="690" ht="16" customHeight="1">
      <c r="A690" s="48" t="n"/>
      <c r="B690" s="48" t="n"/>
      <c r="C690" s="47" t="n"/>
      <c r="D690" s="50" t="n"/>
      <c r="E690" s="50" t="n"/>
      <c r="F690" s="50" t="n"/>
      <c r="G690" s="50" t="n"/>
      <c r="H690" s="48" t="n"/>
      <c r="I690" s="51" t="n"/>
      <c r="J690" s="52" t="n"/>
      <c r="K690" s="47" t="n"/>
      <c r="L690" s="47" t="n"/>
      <c r="M690" s="24">
        <f>IF(OR($A690="",$C690=""),"",IF($L690&lt;&gt;"",$L690-$C690,TODAY()-$C690))</f>
        <v/>
      </c>
      <c r="N690" s="28">
        <f>IF(OR($A690="",$K690=""),"",IF($L690="",IF(TODAY()&gt;$K690,"Atrasado","En ruta"),IF($L690&lt;=$K690,"Sí","No")))</f>
        <v/>
      </c>
      <c r="O690" s="24">
        <f>IF($A690="","",COUNTIFS(NOVEDADES!$D$4:$D$1503,$A690))</f>
        <v/>
      </c>
      <c r="P690" s="28">
        <f>IF($A690="","",IF(COUNTIFS(NOVEDADES!$D$4:$D$1503,$A690,NOVEDADES!$O$4:$O$1503,"SÍ")&gt;0,"No","Sí"))</f>
        <v/>
      </c>
      <c r="Q690" s="28">
        <f>IF(OR($A690="",$L690=""),"",IF(AND($N690="Sí",$P690="Sí"),"OTIF","Falló"))</f>
        <v/>
      </c>
    </row>
    <row r="691" ht="16" customHeight="1">
      <c r="A691" s="48" t="n"/>
      <c r="B691" s="48" t="n"/>
      <c r="C691" s="47" t="n"/>
      <c r="D691" s="50" t="n"/>
      <c r="E691" s="50" t="n"/>
      <c r="F691" s="50" t="n"/>
      <c r="G691" s="50" t="n"/>
      <c r="H691" s="48" t="n"/>
      <c r="I691" s="51" t="n"/>
      <c r="J691" s="52" t="n"/>
      <c r="K691" s="47" t="n"/>
      <c r="L691" s="47" t="n"/>
      <c r="M691" s="24">
        <f>IF(OR($A691="",$C691=""),"",IF($L691&lt;&gt;"",$L691-$C691,TODAY()-$C691))</f>
        <v/>
      </c>
      <c r="N691" s="28">
        <f>IF(OR($A691="",$K691=""),"",IF($L691="",IF(TODAY()&gt;$K691,"Atrasado","En ruta"),IF($L691&lt;=$K691,"Sí","No")))</f>
        <v/>
      </c>
      <c r="O691" s="24">
        <f>IF($A691="","",COUNTIFS(NOVEDADES!$D$4:$D$1503,$A691))</f>
        <v/>
      </c>
      <c r="P691" s="28">
        <f>IF($A691="","",IF(COUNTIFS(NOVEDADES!$D$4:$D$1503,$A691,NOVEDADES!$O$4:$O$1503,"SÍ")&gt;0,"No","Sí"))</f>
        <v/>
      </c>
      <c r="Q691" s="28">
        <f>IF(OR($A691="",$L691=""),"",IF(AND($N691="Sí",$P691="Sí"),"OTIF","Falló"))</f>
        <v/>
      </c>
    </row>
    <row r="692" ht="16" customHeight="1">
      <c r="A692" s="48" t="n"/>
      <c r="B692" s="48" t="n"/>
      <c r="C692" s="47" t="n"/>
      <c r="D692" s="50" t="n"/>
      <c r="E692" s="50" t="n"/>
      <c r="F692" s="50" t="n"/>
      <c r="G692" s="50" t="n"/>
      <c r="H692" s="48" t="n"/>
      <c r="I692" s="51" t="n"/>
      <c r="J692" s="52" t="n"/>
      <c r="K692" s="47" t="n"/>
      <c r="L692" s="47" t="n"/>
      <c r="M692" s="24">
        <f>IF(OR($A692="",$C692=""),"",IF($L692&lt;&gt;"",$L692-$C692,TODAY()-$C692))</f>
        <v/>
      </c>
      <c r="N692" s="28">
        <f>IF(OR($A692="",$K692=""),"",IF($L692="",IF(TODAY()&gt;$K692,"Atrasado","En ruta"),IF($L692&lt;=$K692,"Sí","No")))</f>
        <v/>
      </c>
      <c r="O692" s="24">
        <f>IF($A692="","",COUNTIFS(NOVEDADES!$D$4:$D$1503,$A692))</f>
        <v/>
      </c>
      <c r="P692" s="28">
        <f>IF($A692="","",IF(COUNTIFS(NOVEDADES!$D$4:$D$1503,$A692,NOVEDADES!$O$4:$O$1503,"SÍ")&gt;0,"No","Sí"))</f>
        <v/>
      </c>
      <c r="Q692" s="28">
        <f>IF(OR($A692="",$L692=""),"",IF(AND($N692="Sí",$P692="Sí"),"OTIF","Falló"))</f>
        <v/>
      </c>
    </row>
    <row r="693" ht="16" customHeight="1">
      <c r="A693" s="48" t="n"/>
      <c r="B693" s="48" t="n"/>
      <c r="C693" s="47" t="n"/>
      <c r="D693" s="50" t="n"/>
      <c r="E693" s="50" t="n"/>
      <c r="F693" s="50" t="n"/>
      <c r="G693" s="50" t="n"/>
      <c r="H693" s="48" t="n"/>
      <c r="I693" s="51" t="n"/>
      <c r="J693" s="52" t="n"/>
      <c r="K693" s="47" t="n"/>
      <c r="L693" s="47" t="n"/>
      <c r="M693" s="24">
        <f>IF(OR($A693="",$C693=""),"",IF($L693&lt;&gt;"",$L693-$C693,TODAY()-$C693))</f>
        <v/>
      </c>
      <c r="N693" s="28">
        <f>IF(OR($A693="",$K693=""),"",IF($L693="",IF(TODAY()&gt;$K693,"Atrasado","En ruta"),IF($L693&lt;=$K693,"Sí","No")))</f>
        <v/>
      </c>
      <c r="O693" s="24">
        <f>IF($A693="","",COUNTIFS(NOVEDADES!$D$4:$D$1503,$A693))</f>
        <v/>
      </c>
      <c r="P693" s="28">
        <f>IF($A693="","",IF(COUNTIFS(NOVEDADES!$D$4:$D$1503,$A693,NOVEDADES!$O$4:$O$1503,"SÍ")&gt;0,"No","Sí"))</f>
        <v/>
      </c>
      <c r="Q693" s="28">
        <f>IF(OR($A693="",$L693=""),"",IF(AND($N693="Sí",$P693="Sí"),"OTIF","Falló"))</f>
        <v/>
      </c>
    </row>
    <row r="694" ht="16" customHeight="1">
      <c r="A694" s="48" t="n"/>
      <c r="B694" s="48" t="n"/>
      <c r="C694" s="47" t="n"/>
      <c r="D694" s="50" t="n"/>
      <c r="E694" s="50" t="n"/>
      <c r="F694" s="50" t="n"/>
      <c r="G694" s="50" t="n"/>
      <c r="H694" s="48" t="n"/>
      <c r="I694" s="51" t="n"/>
      <c r="J694" s="52" t="n"/>
      <c r="K694" s="47" t="n"/>
      <c r="L694" s="47" t="n"/>
      <c r="M694" s="24">
        <f>IF(OR($A694="",$C694=""),"",IF($L694&lt;&gt;"",$L694-$C694,TODAY()-$C694))</f>
        <v/>
      </c>
      <c r="N694" s="28">
        <f>IF(OR($A694="",$K694=""),"",IF($L694="",IF(TODAY()&gt;$K694,"Atrasado","En ruta"),IF($L694&lt;=$K694,"Sí","No")))</f>
        <v/>
      </c>
      <c r="O694" s="24">
        <f>IF($A694="","",COUNTIFS(NOVEDADES!$D$4:$D$1503,$A694))</f>
        <v/>
      </c>
      <c r="P694" s="28">
        <f>IF($A694="","",IF(COUNTIFS(NOVEDADES!$D$4:$D$1503,$A694,NOVEDADES!$O$4:$O$1503,"SÍ")&gt;0,"No","Sí"))</f>
        <v/>
      </c>
      <c r="Q694" s="28">
        <f>IF(OR($A694="",$L694=""),"",IF(AND($N694="Sí",$P694="Sí"),"OTIF","Falló"))</f>
        <v/>
      </c>
    </row>
    <row r="695" ht="16" customHeight="1">
      <c r="A695" s="48" t="n"/>
      <c r="B695" s="48" t="n"/>
      <c r="C695" s="47" t="n"/>
      <c r="D695" s="50" t="n"/>
      <c r="E695" s="50" t="n"/>
      <c r="F695" s="50" t="n"/>
      <c r="G695" s="50" t="n"/>
      <c r="H695" s="48" t="n"/>
      <c r="I695" s="51" t="n"/>
      <c r="J695" s="52" t="n"/>
      <c r="K695" s="47" t="n"/>
      <c r="L695" s="47" t="n"/>
      <c r="M695" s="24">
        <f>IF(OR($A695="",$C695=""),"",IF($L695&lt;&gt;"",$L695-$C695,TODAY()-$C695))</f>
        <v/>
      </c>
      <c r="N695" s="28">
        <f>IF(OR($A695="",$K695=""),"",IF($L695="",IF(TODAY()&gt;$K695,"Atrasado","En ruta"),IF($L695&lt;=$K695,"Sí","No")))</f>
        <v/>
      </c>
      <c r="O695" s="24">
        <f>IF($A695="","",COUNTIFS(NOVEDADES!$D$4:$D$1503,$A695))</f>
        <v/>
      </c>
      <c r="P695" s="28">
        <f>IF($A695="","",IF(COUNTIFS(NOVEDADES!$D$4:$D$1503,$A695,NOVEDADES!$O$4:$O$1503,"SÍ")&gt;0,"No","Sí"))</f>
        <v/>
      </c>
      <c r="Q695" s="28">
        <f>IF(OR($A695="",$L695=""),"",IF(AND($N695="Sí",$P695="Sí"),"OTIF","Falló"))</f>
        <v/>
      </c>
    </row>
    <row r="696" ht="16" customHeight="1">
      <c r="A696" s="48" t="n"/>
      <c r="B696" s="48" t="n"/>
      <c r="C696" s="47" t="n"/>
      <c r="D696" s="50" t="n"/>
      <c r="E696" s="50" t="n"/>
      <c r="F696" s="50" t="n"/>
      <c r="G696" s="50" t="n"/>
      <c r="H696" s="48" t="n"/>
      <c r="I696" s="51" t="n"/>
      <c r="J696" s="52" t="n"/>
      <c r="K696" s="47" t="n"/>
      <c r="L696" s="47" t="n"/>
      <c r="M696" s="24">
        <f>IF(OR($A696="",$C696=""),"",IF($L696&lt;&gt;"",$L696-$C696,TODAY()-$C696))</f>
        <v/>
      </c>
      <c r="N696" s="28">
        <f>IF(OR($A696="",$K696=""),"",IF($L696="",IF(TODAY()&gt;$K696,"Atrasado","En ruta"),IF($L696&lt;=$K696,"Sí","No")))</f>
        <v/>
      </c>
      <c r="O696" s="24">
        <f>IF($A696="","",COUNTIFS(NOVEDADES!$D$4:$D$1503,$A696))</f>
        <v/>
      </c>
      <c r="P696" s="28">
        <f>IF($A696="","",IF(COUNTIFS(NOVEDADES!$D$4:$D$1503,$A696,NOVEDADES!$O$4:$O$1503,"SÍ")&gt;0,"No","Sí"))</f>
        <v/>
      </c>
      <c r="Q696" s="28">
        <f>IF(OR($A696="",$L696=""),"",IF(AND($N696="Sí",$P696="Sí"),"OTIF","Falló"))</f>
        <v/>
      </c>
    </row>
    <row r="697" ht="16" customHeight="1">
      <c r="A697" s="48" t="n"/>
      <c r="B697" s="48" t="n"/>
      <c r="C697" s="47" t="n"/>
      <c r="D697" s="50" t="n"/>
      <c r="E697" s="50" t="n"/>
      <c r="F697" s="50" t="n"/>
      <c r="G697" s="50" t="n"/>
      <c r="H697" s="48" t="n"/>
      <c r="I697" s="51" t="n"/>
      <c r="J697" s="52" t="n"/>
      <c r="K697" s="47" t="n"/>
      <c r="L697" s="47" t="n"/>
      <c r="M697" s="24">
        <f>IF(OR($A697="",$C697=""),"",IF($L697&lt;&gt;"",$L697-$C697,TODAY()-$C697))</f>
        <v/>
      </c>
      <c r="N697" s="28">
        <f>IF(OR($A697="",$K697=""),"",IF($L697="",IF(TODAY()&gt;$K697,"Atrasado","En ruta"),IF($L697&lt;=$K697,"Sí","No")))</f>
        <v/>
      </c>
      <c r="O697" s="24">
        <f>IF($A697="","",COUNTIFS(NOVEDADES!$D$4:$D$1503,$A697))</f>
        <v/>
      </c>
      <c r="P697" s="28">
        <f>IF($A697="","",IF(COUNTIFS(NOVEDADES!$D$4:$D$1503,$A697,NOVEDADES!$O$4:$O$1503,"SÍ")&gt;0,"No","Sí"))</f>
        <v/>
      </c>
      <c r="Q697" s="28">
        <f>IF(OR($A697="",$L697=""),"",IF(AND($N697="Sí",$P697="Sí"),"OTIF","Falló"))</f>
        <v/>
      </c>
    </row>
    <row r="698" ht="16" customHeight="1">
      <c r="A698" s="48" t="n"/>
      <c r="B698" s="48" t="n"/>
      <c r="C698" s="47" t="n"/>
      <c r="D698" s="50" t="n"/>
      <c r="E698" s="50" t="n"/>
      <c r="F698" s="50" t="n"/>
      <c r="G698" s="50" t="n"/>
      <c r="H698" s="48" t="n"/>
      <c r="I698" s="51" t="n"/>
      <c r="J698" s="52" t="n"/>
      <c r="K698" s="47" t="n"/>
      <c r="L698" s="47" t="n"/>
      <c r="M698" s="24">
        <f>IF(OR($A698="",$C698=""),"",IF($L698&lt;&gt;"",$L698-$C698,TODAY()-$C698))</f>
        <v/>
      </c>
      <c r="N698" s="28">
        <f>IF(OR($A698="",$K698=""),"",IF($L698="",IF(TODAY()&gt;$K698,"Atrasado","En ruta"),IF($L698&lt;=$K698,"Sí","No")))</f>
        <v/>
      </c>
      <c r="O698" s="24">
        <f>IF($A698="","",COUNTIFS(NOVEDADES!$D$4:$D$1503,$A698))</f>
        <v/>
      </c>
      <c r="P698" s="28">
        <f>IF($A698="","",IF(COUNTIFS(NOVEDADES!$D$4:$D$1503,$A698,NOVEDADES!$O$4:$O$1503,"SÍ")&gt;0,"No","Sí"))</f>
        <v/>
      </c>
      <c r="Q698" s="28">
        <f>IF(OR($A698="",$L698=""),"",IF(AND($N698="Sí",$P698="Sí"),"OTIF","Falló"))</f>
        <v/>
      </c>
    </row>
    <row r="699" ht="16" customHeight="1">
      <c r="A699" s="48" t="n"/>
      <c r="B699" s="48" t="n"/>
      <c r="C699" s="47" t="n"/>
      <c r="D699" s="50" t="n"/>
      <c r="E699" s="50" t="n"/>
      <c r="F699" s="50" t="n"/>
      <c r="G699" s="50" t="n"/>
      <c r="H699" s="48" t="n"/>
      <c r="I699" s="51" t="n"/>
      <c r="J699" s="52" t="n"/>
      <c r="K699" s="47" t="n"/>
      <c r="L699" s="47" t="n"/>
      <c r="M699" s="24">
        <f>IF(OR($A699="",$C699=""),"",IF($L699&lt;&gt;"",$L699-$C699,TODAY()-$C699))</f>
        <v/>
      </c>
      <c r="N699" s="28">
        <f>IF(OR($A699="",$K699=""),"",IF($L699="",IF(TODAY()&gt;$K699,"Atrasado","En ruta"),IF($L699&lt;=$K699,"Sí","No")))</f>
        <v/>
      </c>
      <c r="O699" s="24">
        <f>IF($A699="","",COUNTIFS(NOVEDADES!$D$4:$D$1503,$A699))</f>
        <v/>
      </c>
      <c r="P699" s="28">
        <f>IF($A699="","",IF(COUNTIFS(NOVEDADES!$D$4:$D$1503,$A699,NOVEDADES!$O$4:$O$1503,"SÍ")&gt;0,"No","Sí"))</f>
        <v/>
      </c>
      <c r="Q699" s="28">
        <f>IF(OR($A699="",$L699=""),"",IF(AND($N699="Sí",$P699="Sí"),"OTIF","Falló"))</f>
        <v/>
      </c>
    </row>
    <row r="700" ht="16" customHeight="1">
      <c r="A700" s="48" t="n"/>
      <c r="B700" s="48" t="n"/>
      <c r="C700" s="47" t="n"/>
      <c r="D700" s="50" t="n"/>
      <c r="E700" s="50" t="n"/>
      <c r="F700" s="50" t="n"/>
      <c r="G700" s="50" t="n"/>
      <c r="H700" s="48" t="n"/>
      <c r="I700" s="51" t="n"/>
      <c r="J700" s="52" t="n"/>
      <c r="K700" s="47" t="n"/>
      <c r="L700" s="47" t="n"/>
      <c r="M700" s="24">
        <f>IF(OR($A700="",$C700=""),"",IF($L700&lt;&gt;"",$L700-$C700,TODAY()-$C700))</f>
        <v/>
      </c>
      <c r="N700" s="28">
        <f>IF(OR($A700="",$K700=""),"",IF($L700="",IF(TODAY()&gt;$K700,"Atrasado","En ruta"),IF($L700&lt;=$K700,"Sí","No")))</f>
        <v/>
      </c>
      <c r="O700" s="24">
        <f>IF($A700="","",COUNTIFS(NOVEDADES!$D$4:$D$1503,$A700))</f>
        <v/>
      </c>
      <c r="P700" s="28">
        <f>IF($A700="","",IF(COUNTIFS(NOVEDADES!$D$4:$D$1503,$A700,NOVEDADES!$O$4:$O$1503,"SÍ")&gt;0,"No","Sí"))</f>
        <v/>
      </c>
      <c r="Q700" s="28">
        <f>IF(OR($A700="",$L700=""),"",IF(AND($N700="Sí",$P700="Sí"),"OTIF","Falló"))</f>
        <v/>
      </c>
    </row>
    <row r="701" ht="16" customHeight="1">
      <c r="A701" s="48" t="n"/>
      <c r="B701" s="48" t="n"/>
      <c r="C701" s="47" t="n"/>
      <c r="D701" s="50" t="n"/>
      <c r="E701" s="50" t="n"/>
      <c r="F701" s="50" t="n"/>
      <c r="G701" s="50" t="n"/>
      <c r="H701" s="48" t="n"/>
      <c r="I701" s="51" t="n"/>
      <c r="J701" s="52" t="n"/>
      <c r="K701" s="47" t="n"/>
      <c r="L701" s="47" t="n"/>
      <c r="M701" s="24">
        <f>IF(OR($A701="",$C701=""),"",IF($L701&lt;&gt;"",$L701-$C701,TODAY()-$C701))</f>
        <v/>
      </c>
      <c r="N701" s="28">
        <f>IF(OR($A701="",$K701=""),"",IF($L701="",IF(TODAY()&gt;$K701,"Atrasado","En ruta"),IF($L701&lt;=$K701,"Sí","No")))</f>
        <v/>
      </c>
      <c r="O701" s="24">
        <f>IF($A701="","",COUNTIFS(NOVEDADES!$D$4:$D$1503,$A701))</f>
        <v/>
      </c>
      <c r="P701" s="28">
        <f>IF($A701="","",IF(COUNTIFS(NOVEDADES!$D$4:$D$1503,$A701,NOVEDADES!$O$4:$O$1503,"SÍ")&gt;0,"No","Sí"))</f>
        <v/>
      </c>
      <c r="Q701" s="28">
        <f>IF(OR($A701="",$L701=""),"",IF(AND($N701="Sí",$P701="Sí"),"OTIF","Falló"))</f>
        <v/>
      </c>
    </row>
    <row r="702" ht="16" customHeight="1">
      <c r="A702" s="48" t="n"/>
      <c r="B702" s="48" t="n"/>
      <c r="C702" s="47" t="n"/>
      <c r="D702" s="50" t="n"/>
      <c r="E702" s="50" t="n"/>
      <c r="F702" s="50" t="n"/>
      <c r="G702" s="50" t="n"/>
      <c r="H702" s="48" t="n"/>
      <c r="I702" s="51" t="n"/>
      <c r="J702" s="52" t="n"/>
      <c r="K702" s="47" t="n"/>
      <c r="L702" s="47" t="n"/>
      <c r="M702" s="24">
        <f>IF(OR($A702="",$C702=""),"",IF($L702&lt;&gt;"",$L702-$C702,TODAY()-$C702))</f>
        <v/>
      </c>
      <c r="N702" s="28">
        <f>IF(OR($A702="",$K702=""),"",IF($L702="",IF(TODAY()&gt;$K702,"Atrasado","En ruta"),IF($L702&lt;=$K702,"Sí","No")))</f>
        <v/>
      </c>
      <c r="O702" s="24">
        <f>IF($A702="","",COUNTIFS(NOVEDADES!$D$4:$D$1503,$A702))</f>
        <v/>
      </c>
      <c r="P702" s="28">
        <f>IF($A702="","",IF(COUNTIFS(NOVEDADES!$D$4:$D$1503,$A702,NOVEDADES!$O$4:$O$1503,"SÍ")&gt;0,"No","Sí"))</f>
        <v/>
      </c>
      <c r="Q702" s="28">
        <f>IF(OR($A702="",$L702=""),"",IF(AND($N702="Sí",$P702="Sí"),"OTIF","Falló"))</f>
        <v/>
      </c>
    </row>
    <row r="703" ht="16" customHeight="1">
      <c r="A703" s="48" t="n"/>
      <c r="B703" s="48" t="n"/>
      <c r="C703" s="47" t="n"/>
      <c r="D703" s="50" t="n"/>
      <c r="E703" s="50" t="n"/>
      <c r="F703" s="50" t="n"/>
      <c r="G703" s="50" t="n"/>
      <c r="H703" s="48" t="n"/>
      <c r="I703" s="51" t="n"/>
      <c r="J703" s="52" t="n"/>
      <c r="K703" s="47" t="n"/>
      <c r="L703" s="47" t="n"/>
      <c r="M703" s="24">
        <f>IF(OR($A703="",$C703=""),"",IF($L703&lt;&gt;"",$L703-$C703,TODAY()-$C703))</f>
        <v/>
      </c>
      <c r="N703" s="28">
        <f>IF(OR($A703="",$K703=""),"",IF($L703="",IF(TODAY()&gt;$K703,"Atrasado","En ruta"),IF($L703&lt;=$K703,"Sí","No")))</f>
        <v/>
      </c>
      <c r="O703" s="24">
        <f>IF($A703="","",COUNTIFS(NOVEDADES!$D$4:$D$1503,$A703))</f>
        <v/>
      </c>
      <c r="P703" s="28">
        <f>IF($A703="","",IF(COUNTIFS(NOVEDADES!$D$4:$D$1503,$A703,NOVEDADES!$O$4:$O$1503,"SÍ")&gt;0,"No","Sí"))</f>
        <v/>
      </c>
      <c r="Q703" s="28">
        <f>IF(OR($A703="",$L703=""),"",IF(AND($N703="Sí",$P703="Sí"),"OTIF","Falló"))</f>
        <v/>
      </c>
    </row>
    <row r="704" ht="16" customHeight="1">
      <c r="A704" s="48" t="n"/>
      <c r="B704" s="48" t="n"/>
      <c r="C704" s="47" t="n"/>
      <c r="D704" s="50" t="n"/>
      <c r="E704" s="50" t="n"/>
      <c r="F704" s="50" t="n"/>
      <c r="G704" s="50" t="n"/>
      <c r="H704" s="48" t="n"/>
      <c r="I704" s="51" t="n"/>
      <c r="J704" s="52" t="n"/>
      <c r="K704" s="47" t="n"/>
      <c r="L704" s="47" t="n"/>
      <c r="M704" s="24">
        <f>IF(OR($A704="",$C704=""),"",IF($L704&lt;&gt;"",$L704-$C704,TODAY()-$C704))</f>
        <v/>
      </c>
      <c r="N704" s="28">
        <f>IF(OR($A704="",$K704=""),"",IF($L704="",IF(TODAY()&gt;$K704,"Atrasado","En ruta"),IF($L704&lt;=$K704,"Sí","No")))</f>
        <v/>
      </c>
      <c r="O704" s="24">
        <f>IF($A704="","",COUNTIFS(NOVEDADES!$D$4:$D$1503,$A704))</f>
        <v/>
      </c>
      <c r="P704" s="28">
        <f>IF($A704="","",IF(COUNTIFS(NOVEDADES!$D$4:$D$1503,$A704,NOVEDADES!$O$4:$O$1503,"SÍ")&gt;0,"No","Sí"))</f>
        <v/>
      </c>
      <c r="Q704" s="28">
        <f>IF(OR($A704="",$L704=""),"",IF(AND($N704="Sí",$P704="Sí"),"OTIF","Falló"))</f>
        <v/>
      </c>
    </row>
    <row r="705" ht="16" customHeight="1">
      <c r="A705" s="48" t="n"/>
      <c r="B705" s="48" t="n"/>
      <c r="C705" s="47" t="n"/>
      <c r="D705" s="50" t="n"/>
      <c r="E705" s="50" t="n"/>
      <c r="F705" s="50" t="n"/>
      <c r="G705" s="50" t="n"/>
      <c r="H705" s="48" t="n"/>
      <c r="I705" s="51" t="n"/>
      <c r="J705" s="52" t="n"/>
      <c r="K705" s="47" t="n"/>
      <c r="L705" s="47" t="n"/>
      <c r="M705" s="24">
        <f>IF(OR($A705="",$C705=""),"",IF($L705&lt;&gt;"",$L705-$C705,TODAY()-$C705))</f>
        <v/>
      </c>
      <c r="N705" s="28">
        <f>IF(OR($A705="",$K705=""),"",IF($L705="",IF(TODAY()&gt;$K705,"Atrasado","En ruta"),IF($L705&lt;=$K705,"Sí","No")))</f>
        <v/>
      </c>
      <c r="O705" s="24">
        <f>IF($A705="","",COUNTIFS(NOVEDADES!$D$4:$D$1503,$A705))</f>
        <v/>
      </c>
      <c r="P705" s="28">
        <f>IF($A705="","",IF(COUNTIFS(NOVEDADES!$D$4:$D$1503,$A705,NOVEDADES!$O$4:$O$1503,"SÍ")&gt;0,"No","Sí"))</f>
        <v/>
      </c>
      <c r="Q705" s="28">
        <f>IF(OR($A705="",$L705=""),"",IF(AND($N705="Sí",$P705="Sí"),"OTIF","Falló"))</f>
        <v/>
      </c>
    </row>
    <row r="706" ht="16" customHeight="1">
      <c r="A706" s="48" t="n"/>
      <c r="B706" s="48" t="n"/>
      <c r="C706" s="47" t="n"/>
      <c r="D706" s="50" t="n"/>
      <c r="E706" s="50" t="n"/>
      <c r="F706" s="50" t="n"/>
      <c r="G706" s="50" t="n"/>
      <c r="H706" s="48" t="n"/>
      <c r="I706" s="51" t="n"/>
      <c r="J706" s="52" t="n"/>
      <c r="K706" s="47" t="n"/>
      <c r="L706" s="47" t="n"/>
      <c r="M706" s="24">
        <f>IF(OR($A706="",$C706=""),"",IF($L706&lt;&gt;"",$L706-$C706,TODAY()-$C706))</f>
        <v/>
      </c>
      <c r="N706" s="28">
        <f>IF(OR($A706="",$K706=""),"",IF($L706="",IF(TODAY()&gt;$K706,"Atrasado","En ruta"),IF($L706&lt;=$K706,"Sí","No")))</f>
        <v/>
      </c>
      <c r="O706" s="24">
        <f>IF($A706="","",COUNTIFS(NOVEDADES!$D$4:$D$1503,$A706))</f>
        <v/>
      </c>
      <c r="P706" s="28">
        <f>IF($A706="","",IF(COUNTIFS(NOVEDADES!$D$4:$D$1503,$A706,NOVEDADES!$O$4:$O$1503,"SÍ")&gt;0,"No","Sí"))</f>
        <v/>
      </c>
      <c r="Q706" s="28">
        <f>IF(OR($A706="",$L706=""),"",IF(AND($N706="Sí",$P706="Sí"),"OTIF","Falló"))</f>
        <v/>
      </c>
    </row>
    <row r="707" ht="16" customHeight="1">
      <c r="A707" s="48" t="n"/>
      <c r="B707" s="48" t="n"/>
      <c r="C707" s="47" t="n"/>
      <c r="D707" s="50" t="n"/>
      <c r="E707" s="50" t="n"/>
      <c r="F707" s="50" t="n"/>
      <c r="G707" s="50" t="n"/>
      <c r="H707" s="48" t="n"/>
      <c r="I707" s="51" t="n"/>
      <c r="J707" s="52" t="n"/>
      <c r="K707" s="47" t="n"/>
      <c r="L707" s="47" t="n"/>
      <c r="M707" s="24">
        <f>IF(OR($A707="",$C707=""),"",IF($L707&lt;&gt;"",$L707-$C707,TODAY()-$C707))</f>
        <v/>
      </c>
      <c r="N707" s="28">
        <f>IF(OR($A707="",$K707=""),"",IF($L707="",IF(TODAY()&gt;$K707,"Atrasado","En ruta"),IF($L707&lt;=$K707,"Sí","No")))</f>
        <v/>
      </c>
      <c r="O707" s="24">
        <f>IF($A707="","",COUNTIFS(NOVEDADES!$D$4:$D$1503,$A707))</f>
        <v/>
      </c>
      <c r="P707" s="28">
        <f>IF($A707="","",IF(COUNTIFS(NOVEDADES!$D$4:$D$1503,$A707,NOVEDADES!$O$4:$O$1503,"SÍ")&gt;0,"No","Sí"))</f>
        <v/>
      </c>
      <c r="Q707" s="28">
        <f>IF(OR($A707="",$L707=""),"",IF(AND($N707="Sí",$P707="Sí"),"OTIF","Falló"))</f>
        <v/>
      </c>
    </row>
    <row r="708" ht="16" customHeight="1">
      <c r="A708" s="48" t="n"/>
      <c r="B708" s="48" t="n"/>
      <c r="C708" s="47" t="n"/>
      <c r="D708" s="50" t="n"/>
      <c r="E708" s="50" t="n"/>
      <c r="F708" s="50" t="n"/>
      <c r="G708" s="50" t="n"/>
      <c r="H708" s="48" t="n"/>
      <c r="I708" s="51" t="n"/>
      <c r="J708" s="52" t="n"/>
      <c r="K708" s="47" t="n"/>
      <c r="L708" s="47" t="n"/>
      <c r="M708" s="24">
        <f>IF(OR($A708="",$C708=""),"",IF($L708&lt;&gt;"",$L708-$C708,TODAY()-$C708))</f>
        <v/>
      </c>
      <c r="N708" s="28">
        <f>IF(OR($A708="",$K708=""),"",IF($L708="",IF(TODAY()&gt;$K708,"Atrasado","En ruta"),IF($L708&lt;=$K708,"Sí","No")))</f>
        <v/>
      </c>
      <c r="O708" s="24">
        <f>IF($A708="","",COUNTIFS(NOVEDADES!$D$4:$D$1503,$A708))</f>
        <v/>
      </c>
      <c r="P708" s="28">
        <f>IF($A708="","",IF(COUNTIFS(NOVEDADES!$D$4:$D$1503,$A708,NOVEDADES!$O$4:$O$1503,"SÍ")&gt;0,"No","Sí"))</f>
        <v/>
      </c>
      <c r="Q708" s="28">
        <f>IF(OR($A708="",$L708=""),"",IF(AND($N708="Sí",$P708="Sí"),"OTIF","Falló"))</f>
        <v/>
      </c>
    </row>
    <row r="709" ht="16" customHeight="1">
      <c r="A709" s="48" t="n"/>
      <c r="B709" s="48" t="n"/>
      <c r="C709" s="47" t="n"/>
      <c r="D709" s="50" t="n"/>
      <c r="E709" s="50" t="n"/>
      <c r="F709" s="50" t="n"/>
      <c r="G709" s="50" t="n"/>
      <c r="H709" s="48" t="n"/>
      <c r="I709" s="51" t="n"/>
      <c r="J709" s="52" t="n"/>
      <c r="K709" s="47" t="n"/>
      <c r="L709" s="47" t="n"/>
      <c r="M709" s="24">
        <f>IF(OR($A709="",$C709=""),"",IF($L709&lt;&gt;"",$L709-$C709,TODAY()-$C709))</f>
        <v/>
      </c>
      <c r="N709" s="28">
        <f>IF(OR($A709="",$K709=""),"",IF($L709="",IF(TODAY()&gt;$K709,"Atrasado","En ruta"),IF($L709&lt;=$K709,"Sí","No")))</f>
        <v/>
      </c>
      <c r="O709" s="24">
        <f>IF($A709="","",COUNTIFS(NOVEDADES!$D$4:$D$1503,$A709))</f>
        <v/>
      </c>
      <c r="P709" s="28">
        <f>IF($A709="","",IF(COUNTIFS(NOVEDADES!$D$4:$D$1503,$A709,NOVEDADES!$O$4:$O$1503,"SÍ")&gt;0,"No","Sí"))</f>
        <v/>
      </c>
      <c r="Q709" s="28">
        <f>IF(OR($A709="",$L709=""),"",IF(AND($N709="Sí",$P709="Sí"),"OTIF","Falló"))</f>
        <v/>
      </c>
    </row>
    <row r="710" ht="16" customHeight="1">
      <c r="A710" s="48" t="n"/>
      <c r="B710" s="48" t="n"/>
      <c r="C710" s="47" t="n"/>
      <c r="D710" s="50" t="n"/>
      <c r="E710" s="50" t="n"/>
      <c r="F710" s="50" t="n"/>
      <c r="G710" s="50" t="n"/>
      <c r="H710" s="48" t="n"/>
      <c r="I710" s="51" t="n"/>
      <c r="J710" s="52" t="n"/>
      <c r="K710" s="47" t="n"/>
      <c r="L710" s="47" t="n"/>
      <c r="M710" s="24">
        <f>IF(OR($A710="",$C710=""),"",IF($L710&lt;&gt;"",$L710-$C710,TODAY()-$C710))</f>
        <v/>
      </c>
      <c r="N710" s="28">
        <f>IF(OR($A710="",$K710=""),"",IF($L710="",IF(TODAY()&gt;$K710,"Atrasado","En ruta"),IF($L710&lt;=$K710,"Sí","No")))</f>
        <v/>
      </c>
      <c r="O710" s="24">
        <f>IF($A710="","",COUNTIFS(NOVEDADES!$D$4:$D$1503,$A710))</f>
        <v/>
      </c>
      <c r="P710" s="28">
        <f>IF($A710="","",IF(COUNTIFS(NOVEDADES!$D$4:$D$1503,$A710,NOVEDADES!$O$4:$O$1503,"SÍ")&gt;0,"No","Sí"))</f>
        <v/>
      </c>
      <c r="Q710" s="28">
        <f>IF(OR($A710="",$L710=""),"",IF(AND($N710="Sí",$P710="Sí"),"OTIF","Falló"))</f>
        <v/>
      </c>
    </row>
    <row r="711" ht="16" customHeight="1">
      <c r="A711" s="48" t="n"/>
      <c r="B711" s="48" t="n"/>
      <c r="C711" s="47" t="n"/>
      <c r="D711" s="50" t="n"/>
      <c r="E711" s="50" t="n"/>
      <c r="F711" s="50" t="n"/>
      <c r="G711" s="50" t="n"/>
      <c r="H711" s="48" t="n"/>
      <c r="I711" s="51" t="n"/>
      <c r="J711" s="52" t="n"/>
      <c r="K711" s="47" t="n"/>
      <c r="L711" s="47" t="n"/>
      <c r="M711" s="24">
        <f>IF(OR($A711="",$C711=""),"",IF($L711&lt;&gt;"",$L711-$C711,TODAY()-$C711))</f>
        <v/>
      </c>
      <c r="N711" s="28">
        <f>IF(OR($A711="",$K711=""),"",IF($L711="",IF(TODAY()&gt;$K711,"Atrasado","En ruta"),IF($L711&lt;=$K711,"Sí","No")))</f>
        <v/>
      </c>
      <c r="O711" s="24">
        <f>IF($A711="","",COUNTIFS(NOVEDADES!$D$4:$D$1503,$A711))</f>
        <v/>
      </c>
      <c r="P711" s="28">
        <f>IF($A711="","",IF(COUNTIFS(NOVEDADES!$D$4:$D$1503,$A711,NOVEDADES!$O$4:$O$1503,"SÍ")&gt;0,"No","Sí"))</f>
        <v/>
      </c>
      <c r="Q711" s="28">
        <f>IF(OR($A711="",$L711=""),"",IF(AND($N711="Sí",$P711="Sí"),"OTIF","Falló"))</f>
        <v/>
      </c>
    </row>
    <row r="712" ht="16" customHeight="1">
      <c r="A712" s="48" t="n"/>
      <c r="B712" s="48" t="n"/>
      <c r="C712" s="47" t="n"/>
      <c r="D712" s="50" t="n"/>
      <c r="E712" s="50" t="n"/>
      <c r="F712" s="50" t="n"/>
      <c r="G712" s="50" t="n"/>
      <c r="H712" s="48" t="n"/>
      <c r="I712" s="51" t="n"/>
      <c r="J712" s="52" t="n"/>
      <c r="K712" s="47" t="n"/>
      <c r="L712" s="47" t="n"/>
      <c r="M712" s="24">
        <f>IF(OR($A712="",$C712=""),"",IF($L712&lt;&gt;"",$L712-$C712,TODAY()-$C712))</f>
        <v/>
      </c>
      <c r="N712" s="28">
        <f>IF(OR($A712="",$K712=""),"",IF($L712="",IF(TODAY()&gt;$K712,"Atrasado","En ruta"),IF($L712&lt;=$K712,"Sí","No")))</f>
        <v/>
      </c>
      <c r="O712" s="24">
        <f>IF($A712="","",COUNTIFS(NOVEDADES!$D$4:$D$1503,$A712))</f>
        <v/>
      </c>
      <c r="P712" s="28">
        <f>IF($A712="","",IF(COUNTIFS(NOVEDADES!$D$4:$D$1503,$A712,NOVEDADES!$O$4:$O$1503,"SÍ")&gt;0,"No","Sí"))</f>
        <v/>
      </c>
      <c r="Q712" s="28">
        <f>IF(OR($A712="",$L712=""),"",IF(AND($N712="Sí",$P712="Sí"),"OTIF","Falló"))</f>
        <v/>
      </c>
    </row>
    <row r="713" ht="16" customHeight="1">
      <c r="A713" s="48" t="n"/>
      <c r="B713" s="48" t="n"/>
      <c r="C713" s="47" t="n"/>
      <c r="D713" s="50" t="n"/>
      <c r="E713" s="50" t="n"/>
      <c r="F713" s="50" t="n"/>
      <c r="G713" s="50" t="n"/>
      <c r="H713" s="48" t="n"/>
      <c r="I713" s="51" t="n"/>
      <c r="J713" s="52" t="n"/>
      <c r="K713" s="47" t="n"/>
      <c r="L713" s="47" t="n"/>
      <c r="M713" s="24">
        <f>IF(OR($A713="",$C713=""),"",IF($L713&lt;&gt;"",$L713-$C713,TODAY()-$C713))</f>
        <v/>
      </c>
      <c r="N713" s="28">
        <f>IF(OR($A713="",$K713=""),"",IF($L713="",IF(TODAY()&gt;$K713,"Atrasado","En ruta"),IF($L713&lt;=$K713,"Sí","No")))</f>
        <v/>
      </c>
      <c r="O713" s="24">
        <f>IF($A713="","",COUNTIFS(NOVEDADES!$D$4:$D$1503,$A713))</f>
        <v/>
      </c>
      <c r="P713" s="28">
        <f>IF($A713="","",IF(COUNTIFS(NOVEDADES!$D$4:$D$1503,$A713,NOVEDADES!$O$4:$O$1503,"SÍ")&gt;0,"No","Sí"))</f>
        <v/>
      </c>
      <c r="Q713" s="28">
        <f>IF(OR($A713="",$L713=""),"",IF(AND($N713="Sí",$P713="Sí"),"OTIF","Falló"))</f>
        <v/>
      </c>
    </row>
    <row r="714" ht="16" customHeight="1">
      <c r="A714" s="48" t="n"/>
      <c r="B714" s="48" t="n"/>
      <c r="C714" s="47" t="n"/>
      <c r="D714" s="50" t="n"/>
      <c r="E714" s="50" t="n"/>
      <c r="F714" s="50" t="n"/>
      <c r="G714" s="50" t="n"/>
      <c r="H714" s="48" t="n"/>
      <c r="I714" s="51" t="n"/>
      <c r="J714" s="52" t="n"/>
      <c r="K714" s="47" t="n"/>
      <c r="L714" s="47" t="n"/>
      <c r="M714" s="24">
        <f>IF(OR($A714="",$C714=""),"",IF($L714&lt;&gt;"",$L714-$C714,TODAY()-$C714))</f>
        <v/>
      </c>
      <c r="N714" s="28">
        <f>IF(OR($A714="",$K714=""),"",IF($L714="",IF(TODAY()&gt;$K714,"Atrasado","En ruta"),IF($L714&lt;=$K714,"Sí","No")))</f>
        <v/>
      </c>
      <c r="O714" s="24">
        <f>IF($A714="","",COUNTIFS(NOVEDADES!$D$4:$D$1503,$A714))</f>
        <v/>
      </c>
      <c r="P714" s="28">
        <f>IF($A714="","",IF(COUNTIFS(NOVEDADES!$D$4:$D$1503,$A714,NOVEDADES!$O$4:$O$1503,"SÍ")&gt;0,"No","Sí"))</f>
        <v/>
      </c>
      <c r="Q714" s="28">
        <f>IF(OR($A714="",$L714=""),"",IF(AND($N714="Sí",$P714="Sí"),"OTIF","Falló"))</f>
        <v/>
      </c>
    </row>
    <row r="715" ht="16" customHeight="1">
      <c r="A715" s="48" t="n"/>
      <c r="B715" s="48" t="n"/>
      <c r="C715" s="47" t="n"/>
      <c r="D715" s="50" t="n"/>
      <c r="E715" s="50" t="n"/>
      <c r="F715" s="50" t="n"/>
      <c r="G715" s="50" t="n"/>
      <c r="H715" s="48" t="n"/>
      <c r="I715" s="51" t="n"/>
      <c r="J715" s="52" t="n"/>
      <c r="K715" s="47" t="n"/>
      <c r="L715" s="47" t="n"/>
      <c r="M715" s="24">
        <f>IF(OR($A715="",$C715=""),"",IF($L715&lt;&gt;"",$L715-$C715,TODAY()-$C715))</f>
        <v/>
      </c>
      <c r="N715" s="28">
        <f>IF(OR($A715="",$K715=""),"",IF($L715="",IF(TODAY()&gt;$K715,"Atrasado","En ruta"),IF($L715&lt;=$K715,"Sí","No")))</f>
        <v/>
      </c>
      <c r="O715" s="24">
        <f>IF($A715="","",COUNTIFS(NOVEDADES!$D$4:$D$1503,$A715))</f>
        <v/>
      </c>
      <c r="P715" s="28">
        <f>IF($A715="","",IF(COUNTIFS(NOVEDADES!$D$4:$D$1503,$A715,NOVEDADES!$O$4:$O$1503,"SÍ")&gt;0,"No","Sí"))</f>
        <v/>
      </c>
      <c r="Q715" s="28">
        <f>IF(OR($A715="",$L715=""),"",IF(AND($N715="Sí",$P715="Sí"),"OTIF","Falló"))</f>
        <v/>
      </c>
    </row>
    <row r="716" ht="16" customHeight="1">
      <c r="A716" s="48" t="n"/>
      <c r="B716" s="48" t="n"/>
      <c r="C716" s="47" t="n"/>
      <c r="D716" s="50" t="n"/>
      <c r="E716" s="50" t="n"/>
      <c r="F716" s="50" t="n"/>
      <c r="G716" s="50" t="n"/>
      <c r="H716" s="48" t="n"/>
      <c r="I716" s="51" t="n"/>
      <c r="J716" s="52" t="n"/>
      <c r="K716" s="47" t="n"/>
      <c r="L716" s="47" t="n"/>
      <c r="M716" s="24">
        <f>IF(OR($A716="",$C716=""),"",IF($L716&lt;&gt;"",$L716-$C716,TODAY()-$C716))</f>
        <v/>
      </c>
      <c r="N716" s="28">
        <f>IF(OR($A716="",$K716=""),"",IF($L716="",IF(TODAY()&gt;$K716,"Atrasado","En ruta"),IF($L716&lt;=$K716,"Sí","No")))</f>
        <v/>
      </c>
      <c r="O716" s="24">
        <f>IF($A716="","",COUNTIFS(NOVEDADES!$D$4:$D$1503,$A716))</f>
        <v/>
      </c>
      <c r="P716" s="28">
        <f>IF($A716="","",IF(COUNTIFS(NOVEDADES!$D$4:$D$1503,$A716,NOVEDADES!$O$4:$O$1503,"SÍ")&gt;0,"No","Sí"))</f>
        <v/>
      </c>
      <c r="Q716" s="28">
        <f>IF(OR($A716="",$L716=""),"",IF(AND($N716="Sí",$P716="Sí"),"OTIF","Falló"))</f>
        <v/>
      </c>
    </row>
    <row r="717" ht="16" customHeight="1">
      <c r="A717" s="48" t="n"/>
      <c r="B717" s="48" t="n"/>
      <c r="C717" s="47" t="n"/>
      <c r="D717" s="50" t="n"/>
      <c r="E717" s="50" t="n"/>
      <c r="F717" s="50" t="n"/>
      <c r="G717" s="50" t="n"/>
      <c r="H717" s="48" t="n"/>
      <c r="I717" s="51" t="n"/>
      <c r="J717" s="52" t="n"/>
      <c r="K717" s="47" t="n"/>
      <c r="L717" s="47" t="n"/>
      <c r="M717" s="24">
        <f>IF(OR($A717="",$C717=""),"",IF($L717&lt;&gt;"",$L717-$C717,TODAY()-$C717))</f>
        <v/>
      </c>
      <c r="N717" s="28">
        <f>IF(OR($A717="",$K717=""),"",IF($L717="",IF(TODAY()&gt;$K717,"Atrasado","En ruta"),IF($L717&lt;=$K717,"Sí","No")))</f>
        <v/>
      </c>
      <c r="O717" s="24">
        <f>IF($A717="","",COUNTIFS(NOVEDADES!$D$4:$D$1503,$A717))</f>
        <v/>
      </c>
      <c r="P717" s="28">
        <f>IF($A717="","",IF(COUNTIFS(NOVEDADES!$D$4:$D$1503,$A717,NOVEDADES!$O$4:$O$1503,"SÍ")&gt;0,"No","Sí"))</f>
        <v/>
      </c>
      <c r="Q717" s="28">
        <f>IF(OR($A717="",$L717=""),"",IF(AND($N717="Sí",$P717="Sí"),"OTIF","Falló"))</f>
        <v/>
      </c>
    </row>
    <row r="718" ht="16" customHeight="1">
      <c r="A718" s="48" t="n"/>
      <c r="B718" s="48" t="n"/>
      <c r="C718" s="47" t="n"/>
      <c r="D718" s="50" t="n"/>
      <c r="E718" s="50" t="n"/>
      <c r="F718" s="50" t="n"/>
      <c r="G718" s="50" t="n"/>
      <c r="H718" s="48" t="n"/>
      <c r="I718" s="51" t="n"/>
      <c r="J718" s="52" t="n"/>
      <c r="K718" s="47" t="n"/>
      <c r="L718" s="47" t="n"/>
      <c r="M718" s="24">
        <f>IF(OR($A718="",$C718=""),"",IF($L718&lt;&gt;"",$L718-$C718,TODAY()-$C718))</f>
        <v/>
      </c>
      <c r="N718" s="28">
        <f>IF(OR($A718="",$K718=""),"",IF($L718="",IF(TODAY()&gt;$K718,"Atrasado","En ruta"),IF($L718&lt;=$K718,"Sí","No")))</f>
        <v/>
      </c>
      <c r="O718" s="24">
        <f>IF($A718="","",COUNTIFS(NOVEDADES!$D$4:$D$1503,$A718))</f>
        <v/>
      </c>
      <c r="P718" s="28">
        <f>IF($A718="","",IF(COUNTIFS(NOVEDADES!$D$4:$D$1503,$A718,NOVEDADES!$O$4:$O$1503,"SÍ")&gt;0,"No","Sí"))</f>
        <v/>
      </c>
      <c r="Q718" s="28">
        <f>IF(OR($A718="",$L718=""),"",IF(AND($N718="Sí",$P718="Sí"),"OTIF","Falló"))</f>
        <v/>
      </c>
    </row>
    <row r="719" ht="16" customHeight="1">
      <c r="A719" s="48" t="n"/>
      <c r="B719" s="48" t="n"/>
      <c r="C719" s="47" t="n"/>
      <c r="D719" s="50" t="n"/>
      <c r="E719" s="50" t="n"/>
      <c r="F719" s="50" t="n"/>
      <c r="G719" s="50" t="n"/>
      <c r="H719" s="48" t="n"/>
      <c r="I719" s="51" t="n"/>
      <c r="J719" s="52" t="n"/>
      <c r="K719" s="47" t="n"/>
      <c r="L719" s="47" t="n"/>
      <c r="M719" s="24">
        <f>IF(OR($A719="",$C719=""),"",IF($L719&lt;&gt;"",$L719-$C719,TODAY()-$C719))</f>
        <v/>
      </c>
      <c r="N719" s="28">
        <f>IF(OR($A719="",$K719=""),"",IF($L719="",IF(TODAY()&gt;$K719,"Atrasado","En ruta"),IF($L719&lt;=$K719,"Sí","No")))</f>
        <v/>
      </c>
      <c r="O719" s="24">
        <f>IF($A719="","",COUNTIFS(NOVEDADES!$D$4:$D$1503,$A719))</f>
        <v/>
      </c>
      <c r="P719" s="28">
        <f>IF($A719="","",IF(COUNTIFS(NOVEDADES!$D$4:$D$1503,$A719,NOVEDADES!$O$4:$O$1503,"SÍ")&gt;0,"No","Sí"))</f>
        <v/>
      </c>
      <c r="Q719" s="28">
        <f>IF(OR($A719="",$L719=""),"",IF(AND($N719="Sí",$P719="Sí"),"OTIF","Falló"))</f>
        <v/>
      </c>
    </row>
    <row r="720" ht="16" customHeight="1">
      <c r="A720" s="48" t="n"/>
      <c r="B720" s="48" t="n"/>
      <c r="C720" s="47" t="n"/>
      <c r="D720" s="50" t="n"/>
      <c r="E720" s="50" t="n"/>
      <c r="F720" s="50" t="n"/>
      <c r="G720" s="50" t="n"/>
      <c r="H720" s="48" t="n"/>
      <c r="I720" s="51" t="n"/>
      <c r="J720" s="52" t="n"/>
      <c r="K720" s="47" t="n"/>
      <c r="L720" s="47" t="n"/>
      <c r="M720" s="24">
        <f>IF(OR($A720="",$C720=""),"",IF($L720&lt;&gt;"",$L720-$C720,TODAY()-$C720))</f>
        <v/>
      </c>
      <c r="N720" s="28">
        <f>IF(OR($A720="",$K720=""),"",IF($L720="",IF(TODAY()&gt;$K720,"Atrasado","En ruta"),IF($L720&lt;=$K720,"Sí","No")))</f>
        <v/>
      </c>
      <c r="O720" s="24">
        <f>IF($A720="","",COUNTIFS(NOVEDADES!$D$4:$D$1503,$A720))</f>
        <v/>
      </c>
      <c r="P720" s="28">
        <f>IF($A720="","",IF(COUNTIFS(NOVEDADES!$D$4:$D$1503,$A720,NOVEDADES!$O$4:$O$1503,"SÍ")&gt;0,"No","Sí"))</f>
        <v/>
      </c>
      <c r="Q720" s="28">
        <f>IF(OR($A720="",$L720=""),"",IF(AND($N720="Sí",$P720="Sí"),"OTIF","Falló"))</f>
        <v/>
      </c>
    </row>
    <row r="721" ht="16" customHeight="1">
      <c r="A721" s="48" t="n"/>
      <c r="B721" s="48" t="n"/>
      <c r="C721" s="47" t="n"/>
      <c r="D721" s="50" t="n"/>
      <c r="E721" s="50" t="n"/>
      <c r="F721" s="50" t="n"/>
      <c r="G721" s="50" t="n"/>
      <c r="H721" s="48" t="n"/>
      <c r="I721" s="51" t="n"/>
      <c r="J721" s="52" t="n"/>
      <c r="K721" s="47" t="n"/>
      <c r="L721" s="47" t="n"/>
      <c r="M721" s="24">
        <f>IF(OR($A721="",$C721=""),"",IF($L721&lt;&gt;"",$L721-$C721,TODAY()-$C721))</f>
        <v/>
      </c>
      <c r="N721" s="28">
        <f>IF(OR($A721="",$K721=""),"",IF($L721="",IF(TODAY()&gt;$K721,"Atrasado","En ruta"),IF($L721&lt;=$K721,"Sí","No")))</f>
        <v/>
      </c>
      <c r="O721" s="24">
        <f>IF($A721="","",COUNTIFS(NOVEDADES!$D$4:$D$1503,$A721))</f>
        <v/>
      </c>
      <c r="P721" s="28">
        <f>IF($A721="","",IF(COUNTIFS(NOVEDADES!$D$4:$D$1503,$A721,NOVEDADES!$O$4:$O$1503,"SÍ")&gt;0,"No","Sí"))</f>
        <v/>
      </c>
      <c r="Q721" s="28">
        <f>IF(OR($A721="",$L721=""),"",IF(AND($N721="Sí",$P721="Sí"),"OTIF","Falló"))</f>
        <v/>
      </c>
    </row>
    <row r="722" ht="16" customHeight="1">
      <c r="A722" s="48" t="n"/>
      <c r="B722" s="48" t="n"/>
      <c r="C722" s="47" t="n"/>
      <c r="D722" s="50" t="n"/>
      <c r="E722" s="50" t="n"/>
      <c r="F722" s="50" t="n"/>
      <c r="G722" s="50" t="n"/>
      <c r="H722" s="48" t="n"/>
      <c r="I722" s="51" t="n"/>
      <c r="J722" s="52" t="n"/>
      <c r="K722" s="47" t="n"/>
      <c r="L722" s="47" t="n"/>
      <c r="M722" s="24">
        <f>IF(OR($A722="",$C722=""),"",IF($L722&lt;&gt;"",$L722-$C722,TODAY()-$C722))</f>
        <v/>
      </c>
      <c r="N722" s="28">
        <f>IF(OR($A722="",$K722=""),"",IF($L722="",IF(TODAY()&gt;$K722,"Atrasado","En ruta"),IF($L722&lt;=$K722,"Sí","No")))</f>
        <v/>
      </c>
      <c r="O722" s="24">
        <f>IF($A722="","",COUNTIFS(NOVEDADES!$D$4:$D$1503,$A722))</f>
        <v/>
      </c>
      <c r="P722" s="28">
        <f>IF($A722="","",IF(COUNTIFS(NOVEDADES!$D$4:$D$1503,$A722,NOVEDADES!$O$4:$O$1503,"SÍ")&gt;0,"No","Sí"))</f>
        <v/>
      </c>
      <c r="Q722" s="28">
        <f>IF(OR($A722="",$L722=""),"",IF(AND($N722="Sí",$P722="Sí"),"OTIF","Falló"))</f>
        <v/>
      </c>
    </row>
    <row r="723" ht="16" customHeight="1">
      <c r="A723" s="48" t="n"/>
      <c r="B723" s="48" t="n"/>
      <c r="C723" s="47" t="n"/>
      <c r="D723" s="50" t="n"/>
      <c r="E723" s="50" t="n"/>
      <c r="F723" s="50" t="n"/>
      <c r="G723" s="50" t="n"/>
      <c r="H723" s="48" t="n"/>
      <c r="I723" s="51" t="n"/>
      <c r="J723" s="52" t="n"/>
      <c r="K723" s="47" t="n"/>
      <c r="L723" s="47" t="n"/>
      <c r="M723" s="24">
        <f>IF(OR($A723="",$C723=""),"",IF($L723&lt;&gt;"",$L723-$C723,TODAY()-$C723))</f>
        <v/>
      </c>
      <c r="N723" s="28">
        <f>IF(OR($A723="",$K723=""),"",IF($L723="",IF(TODAY()&gt;$K723,"Atrasado","En ruta"),IF($L723&lt;=$K723,"Sí","No")))</f>
        <v/>
      </c>
      <c r="O723" s="24">
        <f>IF($A723="","",COUNTIFS(NOVEDADES!$D$4:$D$1503,$A723))</f>
        <v/>
      </c>
      <c r="P723" s="28">
        <f>IF($A723="","",IF(COUNTIFS(NOVEDADES!$D$4:$D$1503,$A723,NOVEDADES!$O$4:$O$1503,"SÍ")&gt;0,"No","Sí"))</f>
        <v/>
      </c>
      <c r="Q723" s="28">
        <f>IF(OR($A723="",$L723=""),"",IF(AND($N723="Sí",$P723="Sí"),"OTIF","Falló"))</f>
        <v/>
      </c>
    </row>
    <row r="724" ht="16" customHeight="1">
      <c r="A724" s="48" t="n"/>
      <c r="B724" s="48" t="n"/>
      <c r="C724" s="47" t="n"/>
      <c r="D724" s="50" t="n"/>
      <c r="E724" s="50" t="n"/>
      <c r="F724" s="50" t="n"/>
      <c r="G724" s="50" t="n"/>
      <c r="H724" s="48" t="n"/>
      <c r="I724" s="51" t="n"/>
      <c r="J724" s="52" t="n"/>
      <c r="K724" s="47" t="n"/>
      <c r="L724" s="47" t="n"/>
      <c r="M724" s="24">
        <f>IF(OR($A724="",$C724=""),"",IF($L724&lt;&gt;"",$L724-$C724,TODAY()-$C724))</f>
        <v/>
      </c>
      <c r="N724" s="28">
        <f>IF(OR($A724="",$K724=""),"",IF($L724="",IF(TODAY()&gt;$K724,"Atrasado","En ruta"),IF($L724&lt;=$K724,"Sí","No")))</f>
        <v/>
      </c>
      <c r="O724" s="24">
        <f>IF($A724="","",COUNTIFS(NOVEDADES!$D$4:$D$1503,$A724))</f>
        <v/>
      </c>
      <c r="P724" s="28">
        <f>IF($A724="","",IF(COUNTIFS(NOVEDADES!$D$4:$D$1503,$A724,NOVEDADES!$O$4:$O$1503,"SÍ")&gt;0,"No","Sí"))</f>
        <v/>
      </c>
      <c r="Q724" s="28">
        <f>IF(OR($A724="",$L724=""),"",IF(AND($N724="Sí",$P724="Sí"),"OTIF","Falló"))</f>
        <v/>
      </c>
    </row>
    <row r="725" ht="16" customHeight="1">
      <c r="A725" s="48" t="n"/>
      <c r="B725" s="48" t="n"/>
      <c r="C725" s="47" t="n"/>
      <c r="D725" s="50" t="n"/>
      <c r="E725" s="50" t="n"/>
      <c r="F725" s="50" t="n"/>
      <c r="G725" s="50" t="n"/>
      <c r="H725" s="48" t="n"/>
      <c r="I725" s="51" t="n"/>
      <c r="J725" s="52" t="n"/>
      <c r="K725" s="47" t="n"/>
      <c r="L725" s="47" t="n"/>
      <c r="M725" s="24">
        <f>IF(OR($A725="",$C725=""),"",IF($L725&lt;&gt;"",$L725-$C725,TODAY()-$C725))</f>
        <v/>
      </c>
      <c r="N725" s="28">
        <f>IF(OR($A725="",$K725=""),"",IF($L725="",IF(TODAY()&gt;$K725,"Atrasado","En ruta"),IF($L725&lt;=$K725,"Sí","No")))</f>
        <v/>
      </c>
      <c r="O725" s="24">
        <f>IF($A725="","",COUNTIFS(NOVEDADES!$D$4:$D$1503,$A725))</f>
        <v/>
      </c>
      <c r="P725" s="28">
        <f>IF($A725="","",IF(COUNTIFS(NOVEDADES!$D$4:$D$1503,$A725,NOVEDADES!$O$4:$O$1503,"SÍ")&gt;0,"No","Sí"))</f>
        <v/>
      </c>
      <c r="Q725" s="28">
        <f>IF(OR($A725="",$L725=""),"",IF(AND($N725="Sí",$P725="Sí"),"OTIF","Falló"))</f>
        <v/>
      </c>
    </row>
    <row r="726" ht="16" customHeight="1">
      <c r="A726" s="48" t="n"/>
      <c r="B726" s="48" t="n"/>
      <c r="C726" s="47" t="n"/>
      <c r="D726" s="50" t="n"/>
      <c r="E726" s="50" t="n"/>
      <c r="F726" s="50" t="n"/>
      <c r="G726" s="50" t="n"/>
      <c r="H726" s="48" t="n"/>
      <c r="I726" s="51" t="n"/>
      <c r="J726" s="52" t="n"/>
      <c r="K726" s="47" t="n"/>
      <c r="L726" s="47" t="n"/>
      <c r="M726" s="24">
        <f>IF(OR($A726="",$C726=""),"",IF($L726&lt;&gt;"",$L726-$C726,TODAY()-$C726))</f>
        <v/>
      </c>
      <c r="N726" s="28">
        <f>IF(OR($A726="",$K726=""),"",IF($L726="",IF(TODAY()&gt;$K726,"Atrasado","En ruta"),IF($L726&lt;=$K726,"Sí","No")))</f>
        <v/>
      </c>
      <c r="O726" s="24">
        <f>IF($A726="","",COUNTIFS(NOVEDADES!$D$4:$D$1503,$A726))</f>
        <v/>
      </c>
      <c r="P726" s="28">
        <f>IF($A726="","",IF(COUNTIFS(NOVEDADES!$D$4:$D$1503,$A726,NOVEDADES!$O$4:$O$1503,"SÍ")&gt;0,"No","Sí"))</f>
        <v/>
      </c>
      <c r="Q726" s="28">
        <f>IF(OR($A726="",$L726=""),"",IF(AND($N726="Sí",$P726="Sí"),"OTIF","Falló"))</f>
        <v/>
      </c>
    </row>
    <row r="727" ht="16" customHeight="1">
      <c r="A727" s="48" t="n"/>
      <c r="B727" s="48" t="n"/>
      <c r="C727" s="47" t="n"/>
      <c r="D727" s="50" t="n"/>
      <c r="E727" s="50" t="n"/>
      <c r="F727" s="50" t="n"/>
      <c r="G727" s="50" t="n"/>
      <c r="H727" s="48" t="n"/>
      <c r="I727" s="51" t="n"/>
      <c r="J727" s="52" t="n"/>
      <c r="K727" s="47" t="n"/>
      <c r="L727" s="47" t="n"/>
      <c r="M727" s="24">
        <f>IF(OR($A727="",$C727=""),"",IF($L727&lt;&gt;"",$L727-$C727,TODAY()-$C727))</f>
        <v/>
      </c>
      <c r="N727" s="28">
        <f>IF(OR($A727="",$K727=""),"",IF($L727="",IF(TODAY()&gt;$K727,"Atrasado","En ruta"),IF($L727&lt;=$K727,"Sí","No")))</f>
        <v/>
      </c>
      <c r="O727" s="24">
        <f>IF($A727="","",COUNTIFS(NOVEDADES!$D$4:$D$1503,$A727))</f>
        <v/>
      </c>
      <c r="P727" s="28">
        <f>IF($A727="","",IF(COUNTIFS(NOVEDADES!$D$4:$D$1503,$A727,NOVEDADES!$O$4:$O$1503,"SÍ")&gt;0,"No","Sí"))</f>
        <v/>
      </c>
      <c r="Q727" s="28">
        <f>IF(OR($A727="",$L727=""),"",IF(AND($N727="Sí",$P727="Sí"),"OTIF","Falló"))</f>
        <v/>
      </c>
    </row>
    <row r="728" ht="16" customHeight="1">
      <c r="A728" s="48" t="n"/>
      <c r="B728" s="48" t="n"/>
      <c r="C728" s="47" t="n"/>
      <c r="D728" s="50" t="n"/>
      <c r="E728" s="50" t="n"/>
      <c r="F728" s="50" t="n"/>
      <c r="G728" s="50" t="n"/>
      <c r="H728" s="48" t="n"/>
      <c r="I728" s="51" t="n"/>
      <c r="J728" s="52" t="n"/>
      <c r="K728" s="47" t="n"/>
      <c r="L728" s="47" t="n"/>
      <c r="M728" s="24">
        <f>IF(OR($A728="",$C728=""),"",IF($L728&lt;&gt;"",$L728-$C728,TODAY()-$C728))</f>
        <v/>
      </c>
      <c r="N728" s="28">
        <f>IF(OR($A728="",$K728=""),"",IF($L728="",IF(TODAY()&gt;$K728,"Atrasado","En ruta"),IF($L728&lt;=$K728,"Sí","No")))</f>
        <v/>
      </c>
      <c r="O728" s="24">
        <f>IF($A728="","",COUNTIFS(NOVEDADES!$D$4:$D$1503,$A728))</f>
        <v/>
      </c>
      <c r="P728" s="28">
        <f>IF($A728="","",IF(COUNTIFS(NOVEDADES!$D$4:$D$1503,$A728,NOVEDADES!$O$4:$O$1503,"SÍ")&gt;0,"No","Sí"))</f>
        <v/>
      </c>
      <c r="Q728" s="28">
        <f>IF(OR($A728="",$L728=""),"",IF(AND($N728="Sí",$P728="Sí"),"OTIF","Falló"))</f>
        <v/>
      </c>
    </row>
    <row r="729" ht="16" customHeight="1">
      <c r="A729" s="48" t="n"/>
      <c r="B729" s="48" t="n"/>
      <c r="C729" s="47" t="n"/>
      <c r="D729" s="50" t="n"/>
      <c r="E729" s="50" t="n"/>
      <c r="F729" s="50" t="n"/>
      <c r="G729" s="50" t="n"/>
      <c r="H729" s="48" t="n"/>
      <c r="I729" s="51" t="n"/>
      <c r="J729" s="52" t="n"/>
      <c r="K729" s="47" t="n"/>
      <c r="L729" s="47" t="n"/>
      <c r="M729" s="24">
        <f>IF(OR($A729="",$C729=""),"",IF($L729&lt;&gt;"",$L729-$C729,TODAY()-$C729))</f>
        <v/>
      </c>
      <c r="N729" s="28">
        <f>IF(OR($A729="",$K729=""),"",IF($L729="",IF(TODAY()&gt;$K729,"Atrasado","En ruta"),IF($L729&lt;=$K729,"Sí","No")))</f>
        <v/>
      </c>
      <c r="O729" s="24">
        <f>IF($A729="","",COUNTIFS(NOVEDADES!$D$4:$D$1503,$A729))</f>
        <v/>
      </c>
      <c r="P729" s="28">
        <f>IF($A729="","",IF(COUNTIFS(NOVEDADES!$D$4:$D$1503,$A729,NOVEDADES!$O$4:$O$1503,"SÍ")&gt;0,"No","Sí"))</f>
        <v/>
      </c>
      <c r="Q729" s="28">
        <f>IF(OR($A729="",$L729=""),"",IF(AND($N729="Sí",$P729="Sí"),"OTIF","Falló"))</f>
        <v/>
      </c>
    </row>
    <row r="730" ht="16" customHeight="1">
      <c r="A730" s="48" t="n"/>
      <c r="B730" s="48" t="n"/>
      <c r="C730" s="47" t="n"/>
      <c r="D730" s="50" t="n"/>
      <c r="E730" s="50" t="n"/>
      <c r="F730" s="50" t="n"/>
      <c r="G730" s="50" t="n"/>
      <c r="H730" s="48" t="n"/>
      <c r="I730" s="51" t="n"/>
      <c r="J730" s="52" t="n"/>
      <c r="K730" s="47" t="n"/>
      <c r="L730" s="47" t="n"/>
      <c r="M730" s="24">
        <f>IF(OR($A730="",$C730=""),"",IF($L730&lt;&gt;"",$L730-$C730,TODAY()-$C730))</f>
        <v/>
      </c>
      <c r="N730" s="28">
        <f>IF(OR($A730="",$K730=""),"",IF($L730="",IF(TODAY()&gt;$K730,"Atrasado","En ruta"),IF($L730&lt;=$K730,"Sí","No")))</f>
        <v/>
      </c>
      <c r="O730" s="24">
        <f>IF($A730="","",COUNTIFS(NOVEDADES!$D$4:$D$1503,$A730))</f>
        <v/>
      </c>
      <c r="P730" s="28">
        <f>IF($A730="","",IF(COUNTIFS(NOVEDADES!$D$4:$D$1503,$A730,NOVEDADES!$O$4:$O$1503,"SÍ")&gt;0,"No","Sí"))</f>
        <v/>
      </c>
      <c r="Q730" s="28">
        <f>IF(OR($A730="",$L730=""),"",IF(AND($N730="Sí",$P730="Sí"),"OTIF","Falló"))</f>
        <v/>
      </c>
    </row>
    <row r="731" ht="16" customHeight="1">
      <c r="A731" s="48" t="n"/>
      <c r="B731" s="48" t="n"/>
      <c r="C731" s="47" t="n"/>
      <c r="D731" s="50" t="n"/>
      <c r="E731" s="50" t="n"/>
      <c r="F731" s="50" t="n"/>
      <c r="G731" s="50" t="n"/>
      <c r="H731" s="48" t="n"/>
      <c r="I731" s="51" t="n"/>
      <c r="J731" s="52" t="n"/>
      <c r="K731" s="47" t="n"/>
      <c r="L731" s="47" t="n"/>
      <c r="M731" s="24">
        <f>IF(OR($A731="",$C731=""),"",IF($L731&lt;&gt;"",$L731-$C731,TODAY()-$C731))</f>
        <v/>
      </c>
      <c r="N731" s="28">
        <f>IF(OR($A731="",$K731=""),"",IF($L731="",IF(TODAY()&gt;$K731,"Atrasado","En ruta"),IF($L731&lt;=$K731,"Sí","No")))</f>
        <v/>
      </c>
      <c r="O731" s="24">
        <f>IF($A731="","",COUNTIFS(NOVEDADES!$D$4:$D$1503,$A731))</f>
        <v/>
      </c>
      <c r="P731" s="28">
        <f>IF($A731="","",IF(COUNTIFS(NOVEDADES!$D$4:$D$1503,$A731,NOVEDADES!$O$4:$O$1503,"SÍ")&gt;0,"No","Sí"))</f>
        <v/>
      </c>
      <c r="Q731" s="28">
        <f>IF(OR($A731="",$L731=""),"",IF(AND($N731="Sí",$P731="Sí"),"OTIF","Falló"))</f>
        <v/>
      </c>
    </row>
    <row r="732" ht="16" customHeight="1">
      <c r="A732" s="48" t="n"/>
      <c r="B732" s="48" t="n"/>
      <c r="C732" s="47" t="n"/>
      <c r="D732" s="50" t="n"/>
      <c r="E732" s="50" t="n"/>
      <c r="F732" s="50" t="n"/>
      <c r="G732" s="50" t="n"/>
      <c r="H732" s="48" t="n"/>
      <c r="I732" s="51" t="n"/>
      <c r="J732" s="52" t="n"/>
      <c r="K732" s="47" t="n"/>
      <c r="L732" s="47" t="n"/>
      <c r="M732" s="24">
        <f>IF(OR($A732="",$C732=""),"",IF($L732&lt;&gt;"",$L732-$C732,TODAY()-$C732))</f>
        <v/>
      </c>
      <c r="N732" s="28">
        <f>IF(OR($A732="",$K732=""),"",IF($L732="",IF(TODAY()&gt;$K732,"Atrasado","En ruta"),IF($L732&lt;=$K732,"Sí","No")))</f>
        <v/>
      </c>
      <c r="O732" s="24">
        <f>IF($A732="","",COUNTIFS(NOVEDADES!$D$4:$D$1503,$A732))</f>
        <v/>
      </c>
      <c r="P732" s="28">
        <f>IF($A732="","",IF(COUNTIFS(NOVEDADES!$D$4:$D$1503,$A732,NOVEDADES!$O$4:$O$1503,"SÍ")&gt;0,"No","Sí"))</f>
        <v/>
      </c>
      <c r="Q732" s="28">
        <f>IF(OR($A732="",$L732=""),"",IF(AND($N732="Sí",$P732="Sí"),"OTIF","Falló"))</f>
        <v/>
      </c>
    </row>
    <row r="733" ht="16" customHeight="1">
      <c r="A733" s="48" t="n"/>
      <c r="B733" s="48" t="n"/>
      <c r="C733" s="47" t="n"/>
      <c r="D733" s="50" t="n"/>
      <c r="E733" s="50" t="n"/>
      <c r="F733" s="50" t="n"/>
      <c r="G733" s="50" t="n"/>
      <c r="H733" s="48" t="n"/>
      <c r="I733" s="51" t="n"/>
      <c r="J733" s="52" t="n"/>
      <c r="K733" s="47" t="n"/>
      <c r="L733" s="47" t="n"/>
      <c r="M733" s="24">
        <f>IF(OR($A733="",$C733=""),"",IF($L733&lt;&gt;"",$L733-$C733,TODAY()-$C733))</f>
        <v/>
      </c>
      <c r="N733" s="28">
        <f>IF(OR($A733="",$K733=""),"",IF($L733="",IF(TODAY()&gt;$K733,"Atrasado","En ruta"),IF($L733&lt;=$K733,"Sí","No")))</f>
        <v/>
      </c>
      <c r="O733" s="24">
        <f>IF($A733="","",COUNTIFS(NOVEDADES!$D$4:$D$1503,$A733))</f>
        <v/>
      </c>
      <c r="P733" s="28">
        <f>IF($A733="","",IF(COUNTIFS(NOVEDADES!$D$4:$D$1503,$A733,NOVEDADES!$O$4:$O$1503,"SÍ")&gt;0,"No","Sí"))</f>
        <v/>
      </c>
      <c r="Q733" s="28">
        <f>IF(OR($A733="",$L733=""),"",IF(AND($N733="Sí",$P733="Sí"),"OTIF","Falló"))</f>
        <v/>
      </c>
    </row>
    <row r="734" ht="16" customHeight="1">
      <c r="A734" s="48" t="n"/>
      <c r="B734" s="48" t="n"/>
      <c r="C734" s="47" t="n"/>
      <c r="D734" s="50" t="n"/>
      <c r="E734" s="50" t="n"/>
      <c r="F734" s="50" t="n"/>
      <c r="G734" s="50" t="n"/>
      <c r="H734" s="48" t="n"/>
      <c r="I734" s="51" t="n"/>
      <c r="J734" s="52" t="n"/>
      <c r="K734" s="47" t="n"/>
      <c r="L734" s="47" t="n"/>
      <c r="M734" s="24">
        <f>IF(OR($A734="",$C734=""),"",IF($L734&lt;&gt;"",$L734-$C734,TODAY()-$C734))</f>
        <v/>
      </c>
      <c r="N734" s="28">
        <f>IF(OR($A734="",$K734=""),"",IF($L734="",IF(TODAY()&gt;$K734,"Atrasado","En ruta"),IF($L734&lt;=$K734,"Sí","No")))</f>
        <v/>
      </c>
      <c r="O734" s="24">
        <f>IF($A734="","",COUNTIFS(NOVEDADES!$D$4:$D$1503,$A734))</f>
        <v/>
      </c>
      <c r="P734" s="28">
        <f>IF($A734="","",IF(COUNTIFS(NOVEDADES!$D$4:$D$1503,$A734,NOVEDADES!$O$4:$O$1503,"SÍ")&gt;0,"No","Sí"))</f>
        <v/>
      </c>
      <c r="Q734" s="28">
        <f>IF(OR($A734="",$L734=""),"",IF(AND($N734="Sí",$P734="Sí"),"OTIF","Falló"))</f>
        <v/>
      </c>
    </row>
    <row r="735" ht="16" customHeight="1">
      <c r="A735" s="48" t="n"/>
      <c r="B735" s="48" t="n"/>
      <c r="C735" s="47" t="n"/>
      <c r="D735" s="50" t="n"/>
      <c r="E735" s="50" t="n"/>
      <c r="F735" s="50" t="n"/>
      <c r="G735" s="50" t="n"/>
      <c r="H735" s="48" t="n"/>
      <c r="I735" s="51" t="n"/>
      <c r="J735" s="52" t="n"/>
      <c r="K735" s="47" t="n"/>
      <c r="L735" s="47" t="n"/>
      <c r="M735" s="24">
        <f>IF(OR($A735="",$C735=""),"",IF($L735&lt;&gt;"",$L735-$C735,TODAY()-$C735))</f>
        <v/>
      </c>
      <c r="N735" s="28">
        <f>IF(OR($A735="",$K735=""),"",IF($L735="",IF(TODAY()&gt;$K735,"Atrasado","En ruta"),IF($L735&lt;=$K735,"Sí","No")))</f>
        <v/>
      </c>
      <c r="O735" s="24">
        <f>IF($A735="","",COUNTIFS(NOVEDADES!$D$4:$D$1503,$A735))</f>
        <v/>
      </c>
      <c r="P735" s="28">
        <f>IF($A735="","",IF(COUNTIFS(NOVEDADES!$D$4:$D$1503,$A735,NOVEDADES!$O$4:$O$1503,"SÍ")&gt;0,"No","Sí"))</f>
        <v/>
      </c>
      <c r="Q735" s="28">
        <f>IF(OR($A735="",$L735=""),"",IF(AND($N735="Sí",$P735="Sí"),"OTIF","Falló"))</f>
        <v/>
      </c>
    </row>
    <row r="736" ht="16" customHeight="1">
      <c r="A736" s="48" t="n"/>
      <c r="B736" s="48" t="n"/>
      <c r="C736" s="47" t="n"/>
      <c r="D736" s="50" t="n"/>
      <c r="E736" s="50" t="n"/>
      <c r="F736" s="50" t="n"/>
      <c r="G736" s="50" t="n"/>
      <c r="H736" s="48" t="n"/>
      <c r="I736" s="51" t="n"/>
      <c r="J736" s="52" t="n"/>
      <c r="K736" s="47" t="n"/>
      <c r="L736" s="47" t="n"/>
      <c r="M736" s="24">
        <f>IF(OR($A736="",$C736=""),"",IF($L736&lt;&gt;"",$L736-$C736,TODAY()-$C736))</f>
        <v/>
      </c>
      <c r="N736" s="28">
        <f>IF(OR($A736="",$K736=""),"",IF($L736="",IF(TODAY()&gt;$K736,"Atrasado","En ruta"),IF($L736&lt;=$K736,"Sí","No")))</f>
        <v/>
      </c>
      <c r="O736" s="24">
        <f>IF($A736="","",COUNTIFS(NOVEDADES!$D$4:$D$1503,$A736))</f>
        <v/>
      </c>
      <c r="P736" s="28">
        <f>IF($A736="","",IF(COUNTIFS(NOVEDADES!$D$4:$D$1503,$A736,NOVEDADES!$O$4:$O$1503,"SÍ")&gt;0,"No","Sí"))</f>
        <v/>
      </c>
      <c r="Q736" s="28">
        <f>IF(OR($A736="",$L736=""),"",IF(AND($N736="Sí",$P736="Sí"),"OTIF","Falló"))</f>
        <v/>
      </c>
    </row>
    <row r="737" ht="16" customHeight="1">
      <c r="A737" s="48" t="n"/>
      <c r="B737" s="48" t="n"/>
      <c r="C737" s="47" t="n"/>
      <c r="D737" s="50" t="n"/>
      <c r="E737" s="50" t="n"/>
      <c r="F737" s="50" t="n"/>
      <c r="G737" s="50" t="n"/>
      <c r="H737" s="48" t="n"/>
      <c r="I737" s="51" t="n"/>
      <c r="J737" s="52" t="n"/>
      <c r="K737" s="47" t="n"/>
      <c r="L737" s="47" t="n"/>
      <c r="M737" s="24">
        <f>IF(OR($A737="",$C737=""),"",IF($L737&lt;&gt;"",$L737-$C737,TODAY()-$C737))</f>
        <v/>
      </c>
      <c r="N737" s="28">
        <f>IF(OR($A737="",$K737=""),"",IF($L737="",IF(TODAY()&gt;$K737,"Atrasado","En ruta"),IF($L737&lt;=$K737,"Sí","No")))</f>
        <v/>
      </c>
      <c r="O737" s="24">
        <f>IF($A737="","",COUNTIFS(NOVEDADES!$D$4:$D$1503,$A737))</f>
        <v/>
      </c>
      <c r="P737" s="28">
        <f>IF($A737="","",IF(COUNTIFS(NOVEDADES!$D$4:$D$1503,$A737,NOVEDADES!$O$4:$O$1503,"SÍ")&gt;0,"No","Sí"))</f>
        <v/>
      </c>
      <c r="Q737" s="28">
        <f>IF(OR($A737="",$L737=""),"",IF(AND($N737="Sí",$P737="Sí"),"OTIF","Falló"))</f>
        <v/>
      </c>
    </row>
    <row r="738" ht="16" customHeight="1">
      <c r="A738" s="48" t="n"/>
      <c r="B738" s="48" t="n"/>
      <c r="C738" s="47" t="n"/>
      <c r="D738" s="50" t="n"/>
      <c r="E738" s="50" t="n"/>
      <c r="F738" s="50" t="n"/>
      <c r="G738" s="50" t="n"/>
      <c r="H738" s="48" t="n"/>
      <c r="I738" s="51" t="n"/>
      <c r="J738" s="52" t="n"/>
      <c r="K738" s="47" t="n"/>
      <c r="L738" s="47" t="n"/>
      <c r="M738" s="24">
        <f>IF(OR($A738="",$C738=""),"",IF($L738&lt;&gt;"",$L738-$C738,TODAY()-$C738))</f>
        <v/>
      </c>
      <c r="N738" s="28">
        <f>IF(OR($A738="",$K738=""),"",IF($L738="",IF(TODAY()&gt;$K738,"Atrasado","En ruta"),IF($L738&lt;=$K738,"Sí","No")))</f>
        <v/>
      </c>
      <c r="O738" s="24">
        <f>IF($A738="","",COUNTIFS(NOVEDADES!$D$4:$D$1503,$A738))</f>
        <v/>
      </c>
      <c r="P738" s="28">
        <f>IF($A738="","",IF(COUNTIFS(NOVEDADES!$D$4:$D$1503,$A738,NOVEDADES!$O$4:$O$1503,"SÍ")&gt;0,"No","Sí"))</f>
        <v/>
      </c>
      <c r="Q738" s="28">
        <f>IF(OR($A738="",$L738=""),"",IF(AND($N738="Sí",$P738="Sí"),"OTIF","Falló"))</f>
        <v/>
      </c>
    </row>
    <row r="739" ht="16" customHeight="1">
      <c r="A739" s="48" t="n"/>
      <c r="B739" s="48" t="n"/>
      <c r="C739" s="47" t="n"/>
      <c r="D739" s="50" t="n"/>
      <c r="E739" s="50" t="n"/>
      <c r="F739" s="50" t="n"/>
      <c r="G739" s="50" t="n"/>
      <c r="H739" s="48" t="n"/>
      <c r="I739" s="51" t="n"/>
      <c r="J739" s="52" t="n"/>
      <c r="K739" s="47" t="n"/>
      <c r="L739" s="47" t="n"/>
      <c r="M739" s="24">
        <f>IF(OR($A739="",$C739=""),"",IF($L739&lt;&gt;"",$L739-$C739,TODAY()-$C739))</f>
        <v/>
      </c>
      <c r="N739" s="28">
        <f>IF(OR($A739="",$K739=""),"",IF($L739="",IF(TODAY()&gt;$K739,"Atrasado","En ruta"),IF($L739&lt;=$K739,"Sí","No")))</f>
        <v/>
      </c>
      <c r="O739" s="24">
        <f>IF($A739="","",COUNTIFS(NOVEDADES!$D$4:$D$1503,$A739))</f>
        <v/>
      </c>
      <c r="P739" s="28">
        <f>IF($A739="","",IF(COUNTIFS(NOVEDADES!$D$4:$D$1503,$A739,NOVEDADES!$O$4:$O$1503,"SÍ")&gt;0,"No","Sí"))</f>
        <v/>
      </c>
      <c r="Q739" s="28">
        <f>IF(OR($A739="",$L739=""),"",IF(AND($N739="Sí",$P739="Sí"),"OTIF","Falló"))</f>
        <v/>
      </c>
    </row>
    <row r="740" ht="16" customHeight="1">
      <c r="A740" s="48" t="n"/>
      <c r="B740" s="48" t="n"/>
      <c r="C740" s="47" t="n"/>
      <c r="D740" s="50" t="n"/>
      <c r="E740" s="50" t="n"/>
      <c r="F740" s="50" t="n"/>
      <c r="G740" s="50" t="n"/>
      <c r="H740" s="48" t="n"/>
      <c r="I740" s="51" t="n"/>
      <c r="J740" s="52" t="n"/>
      <c r="K740" s="47" t="n"/>
      <c r="L740" s="47" t="n"/>
      <c r="M740" s="24">
        <f>IF(OR($A740="",$C740=""),"",IF($L740&lt;&gt;"",$L740-$C740,TODAY()-$C740))</f>
        <v/>
      </c>
      <c r="N740" s="28">
        <f>IF(OR($A740="",$K740=""),"",IF($L740="",IF(TODAY()&gt;$K740,"Atrasado","En ruta"),IF($L740&lt;=$K740,"Sí","No")))</f>
        <v/>
      </c>
      <c r="O740" s="24">
        <f>IF($A740="","",COUNTIFS(NOVEDADES!$D$4:$D$1503,$A740))</f>
        <v/>
      </c>
      <c r="P740" s="28">
        <f>IF($A740="","",IF(COUNTIFS(NOVEDADES!$D$4:$D$1503,$A740,NOVEDADES!$O$4:$O$1503,"SÍ")&gt;0,"No","Sí"))</f>
        <v/>
      </c>
      <c r="Q740" s="28">
        <f>IF(OR($A740="",$L740=""),"",IF(AND($N740="Sí",$P740="Sí"),"OTIF","Falló"))</f>
        <v/>
      </c>
    </row>
    <row r="741" ht="16" customHeight="1">
      <c r="A741" s="48" t="n"/>
      <c r="B741" s="48" t="n"/>
      <c r="C741" s="47" t="n"/>
      <c r="D741" s="50" t="n"/>
      <c r="E741" s="50" t="n"/>
      <c r="F741" s="50" t="n"/>
      <c r="G741" s="50" t="n"/>
      <c r="H741" s="48" t="n"/>
      <c r="I741" s="51" t="n"/>
      <c r="J741" s="52" t="n"/>
      <c r="K741" s="47" t="n"/>
      <c r="L741" s="47" t="n"/>
      <c r="M741" s="24">
        <f>IF(OR($A741="",$C741=""),"",IF($L741&lt;&gt;"",$L741-$C741,TODAY()-$C741))</f>
        <v/>
      </c>
      <c r="N741" s="28">
        <f>IF(OR($A741="",$K741=""),"",IF($L741="",IF(TODAY()&gt;$K741,"Atrasado","En ruta"),IF($L741&lt;=$K741,"Sí","No")))</f>
        <v/>
      </c>
      <c r="O741" s="24">
        <f>IF($A741="","",COUNTIFS(NOVEDADES!$D$4:$D$1503,$A741))</f>
        <v/>
      </c>
      <c r="P741" s="28">
        <f>IF($A741="","",IF(COUNTIFS(NOVEDADES!$D$4:$D$1503,$A741,NOVEDADES!$O$4:$O$1503,"SÍ")&gt;0,"No","Sí"))</f>
        <v/>
      </c>
      <c r="Q741" s="28">
        <f>IF(OR($A741="",$L741=""),"",IF(AND($N741="Sí",$P741="Sí"),"OTIF","Falló"))</f>
        <v/>
      </c>
    </row>
    <row r="742" ht="16" customHeight="1">
      <c r="A742" s="48" t="n"/>
      <c r="B742" s="48" t="n"/>
      <c r="C742" s="47" t="n"/>
      <c r="D742" s="50" t="n"/>
      <c r="E742" s="50" t="n"/>
      <c r="F742" s="50" t="n"/>
      <c r="G742" s="50" t="n"/>
      <c r="H742" s="48" t="n"/>
      <c r="I742" s="51" t="n"/>
      <c r="J742" s="52" t="n"/>
      <c r="K742" s="47" t="n"/>
      <c r="L742" s="47" t="n"/>
      <c r="M742" s="24">
        <f>IF(OR($A742="",$C742=""),"",IF($L742&lt;&gt;"",$L742-$C742,TODAY()-$C742))</f>
        <v/>
      </c>
      <c r="N742" s="28">
        <f>IF(OR($A742="",$K742=""),"",IF($L742="",IF(TODAY()&gt;$K742,"Atrasado","En ruta"),IF($L742&lt;=$K742,"Sí","No")))</f>
        <v/>
      </c>
      <c r="O742" s="24">
        <f>IF($A742="","",COUNTIFS(NOVEDADES!$D$4:$D$1503,$A742))</f>
        <v/>
      </c>
      <c r="P742" s="28">
        <f>IF($A742="","",IF(COUNTIFS(NOVEDADES!$D$4:$D$1503,$A742,NOVEDADES!$O$4:$O$1503,"SÍ")&gt;0,"No","Sí"))</f>
        <v/>
      </c>
      <c r="Q742" s="28">
        <f>IF(OR($A742="",$L742=""),"",IF(AND($N742="Sí",$P742="Sí"),"OTIF","Falló"))</f>
        <v/>
      </c>
    </row>
    <row r="743" ht="16" customHeight="1">
      <c r="A743" s="48" t="n"/>
      <c r="B743" s="48" t="n"/>
      <c r="C743" s="47" t="n"/>
      <c r="D743" s="50" t="n"/>
      <c r="E743" s="50" t="n"/>
      <c r="F743" s="50" t="n"/>
      <c r="G743" s="50" t="n"/>
      <c r="H743" s="48" t="n"/>
      <c r="I743" s="51" t="n"/>
      <c r="J743" s="52" t="n"/>
      <c r="K743" s="47" t="n"/>
      <c r="L743" s="47" t="n"/>
      <c r="M743" s="24">
        <f>IF(OR($A743="",$C743=""),"",IF($L743&lt;&gt;"",$L743-$C743,TODAY()-$C743))</f>
        <v/>
      </c>
      <c r="N743" s="28">
        <f>IF(OR($A743="",$K743=""),"",IF($L743="",IF(TODAY()&gt;$K743,"Atrasado","En ruta"),IF($L743&lt;=$K743,"Sí","No")))</f>
        <v/>
      </c>
      <c r="O743" s="24">
        <f>IF($A743="","",COUNTIFS(NOVEDADES!$D$4:$D$1503,$A743))</f>
        <v/>
      </c>
      <c r="P743" s="28">
        <f>IF($A743="","",IF(COUNTIFS(NOVEDADES!$D$4:$D$1503,$A743,NOVEDADES!$O$4:$O$1503,"SÍ")&gt;0,"No","Sí"))</f>
        <v/>
      </c>
      <c r="Q743" s="28">
        <f>IF(OR($A743="",$L743=""),"",IF(AND($N743="Sí",$P743="Sí"),"OTIF","Falló"))</f>
        <v/>
      </c>
    </row>
    <row r="744" ht="16" customHeight="1">
      <c r="A744" s="48" t="n"/>
      <c r="B744" s="48" t="n"/>
      <c r="C744" s="47" t="n"/>
      <c r="D744" s="50" t="n"/>
      <c r="E744" s="50" t="n"/>
      <c r="F744" s="50" t="n"/>
      <c r="G744" s="50" t="n"/>
      <c r="H744" s="48" t="n"/>
      <c r="I744" s="51" t="n"/>
      <c r="J744" s="52" t="n"/>
      <c r="K744" s="47" t="n"/>
      <c r="L744" s="47" t="n"/>
      <c r="M744" s="24">
        <f>IF(OR($A744="",$C744=""),"",IF($L744&lt;&gt;"",$L744-$C744,TODAY()-$C744))</f>
        <v/>
      </c>
      <c r="N744" s="28">
        <f>IF(OR($A744="",$K744=""),"",IF($L744="",IF(TODAY()&gt;$K744,"Atrasado","En ruta"),IF($L744&lt;=$K744,"Sí","No")))</f>
        <v/>
      </c>
      <c r="O744" s="24">
        <f>IF($A744="","",COUNTIFS(NOVEDADES!$D$4:$D$1503,$A744))</f>
        <v/>
      </c>
      <c r="P744" s="28">
        <f>IF($A744="","",IF(COUNTIFS(NOVEDADES!$D$4:$D$1503,$A744,NOVEDADES!$O$4:$O$1503,"SÍ")&gt;0,"No","Sí"))</f>
        <v/>
      </c>
      <c r="Q744" s="28">
        <f>IF(OR($A744="",$L744=""),"",IF(AND($N744="Sí",$P744="Sí"),"OTIF","Falló"))</f>
        <v/>
      </c>
    </row>
    <row r="745" ht="16" customHeight="1">
      <c r="A745" s="48" t="n"/>
      <c r="B745" s="48" t="n"/>
      <c r="C745" s="47" t="n"/>
      <c r="D745" s="50" t="n"/>
      <c r="E745" s="50" t="n"/>
      <c r="F745" s="50" t="n"/>
      <c r="G745" s="50" t="n"/>
      <c r="H745" s="48" t="n"/>
      <c r="I745" s="51" t="n"/>
      <c r="J745" s="52" t="n"/>
      <c r="K745" s="47" t="n"/>
      <c r="L745" s="47" t="n"/>
      <c r="M745" s="24">
        <f>IF(OR($A745="",$C745=""),"",IF($L745&lt;&gt;"",$L745-$C745,TODAY()-$C745))</f>
        <v/>
      </c>
      <c r="N745" s="28">
        <f>IF(OR($A745="",$K745=""),"",IF($L745="",IF(TODAY()&gt;$K745,"Atrasado","En ruta"),IF($L745&lt;=$K745,"Sí","No")))</f>
        <v/>
      </c>
      <c r="O745" s="24">
        <f>IF($A745="","",COUNTIFS(NOVEDADES!$D$4:$D$1503,$A745))</f>
        <v/>
      </c>
      <c r="P745" s="28">
        <f>IF($A745="","",IF(COUNTIFS(NOVEDADES!$D$4:$D$1503,$A745,NOVEDADES!$O$4:$O$1503,"SÍ")&gt;0,"No","Sí"))</f>
        <v/>
      </c>
      <c r="Q745" s="28">
        <f>IF(OR($A745="",$L745=""),"",IF(AND($N745="Sí",$P745="Sí"),"OTIF","Falló"))</f>
        <v/>
      </c>
    </row>
    <row r="746" ht="16" customHeight="1">
      <c r="A746" s="48" t="n"/>
      <c r="B746" s="48" t="n"/>
      <c r="C746" s="47" t="n"/>
      <c r="D746" s="50" t="n"/>
      <c r="E746" s="50" t="n"/>
      <c r="F746" s="50" t="n"/>
      <c r="G746" s="50" t="n"/>
      <c r="H746" s="48" t="n"/>
      <c r="I746" s="51" t="n"/>
      <c r="J746" s="52" t="n"/>
      <c r="K746" s="47" t="n"/>
      <c r="L746" s="47" t="n"/>
      <c r="M746" s="24">
        <f>IF(OR($A746="",$C746=""),"",IF($L746&lt;&gt;"",$L746-$C746,TODAY()-$C746))</f>
        <v/>
      </c>
      <c r="N746" s="28">
        <f>IF(OR($A746="",$K746=""),"",IF($L746="",IF(TODAY()&gt;$K746,"Atrasado","En ruta"),IF($L746&lt;=$K746,"Sí","No")))</f>
        <v/>
      </c>
      <c r="O746" s="24">
        <f>IF($A746="","",COUNTIFS(NOVEDADES!$D$4:$D$1503,$A746))</f>
        <v/>
      </c>
      <c r="P746" s="28">
        <f>IF($A746="","",IF(COUNTIFS(NOVEDADES!$D$4:$D$1503,$A746,NOVEDADES!$O$4:$O$1503,"SÍ")&gt;0,"No","Sí"))</f>
        <v/>
      </c>
      <c r="Q746" s="28">
        <f>IF(OR($A746="",$L746=""),"",IF(AND($N746="Sí",$P746="Sí"),"OTIF","Falló"))</f>
        <v/>
      </c>
    </row>
    <row r="747" ht="16" customHeight="1">
      <c r="A747" s="48" t="n"/>
      <c r="B747" s="48" t="n"/>
      <c r="C747" s="47" t="n"/>
      <c r="D747" s="50" t="n"/>
      <c r="E747" s="50" t="n"/>
      <c r="F747" s="50" t="n"/>
      <c r="G747" s="50" t="n"/>
      <c r="H747" s="48" t="n"/>
      <c r="I747" s="51" t="n"/>
      <c r="J747" s="52" t="n"/>
      <c r="K747" s="47" t="n"/>
      <c r="L747" s="47" t="n"/>
      <c r="M747" s="24">
        <f>IF(OR($A747="",$C747=""),"",IF($L747&lt;&gt;"",$L747-$C747,TODAY()-$C747))</f>
        <v/>
      </c>
      <c r="N747" s="28">
        <f>IF(OR($A747="",$K747=""),"",IF($L747="",IF(TODAY()&gt;$K747,"Atrasado","En ruta"),IF($L747&lt;=$K747,"Sí","No")))</f>
        <v/>
      </c>
      <c r="O747" s="24">
        <f>IF($A747="","",COUNTIFS(NOVEDADES!$D$4:$D$1503,$A747))</f>
        <v/>
      </c>
      <c r="P747" s="28">
        <f>IF($A747="","",IF(COUNTIFS(NOVEDADES!$D$4:$D$1503,$A747,NOVEDADES!$O$4:$O$1503,"SÍ")&gt;0,"No","Sí"))</f>
        <v/>
      </c>
      <c r="Q747" s="28">
        <f>IF(OR($A747="",$L747=""),"",IF(AND($N747="Sí",$P747="Sí"),"OTIF","Falló"))</f>
        <v/>
      </c>
    </row>
    <row r="748" ht="16" customHeight="1">
      <c r="A748" s="48" t="n"/>
      <c r="B748" s="48" t="n"/>
      <c r="C748" s="47" t="n"/>
      <c r="D748" s="50" t="n"/>
      <c r="E748" s="50" t="n"/>
      <c r="F748" s="50" t="n"/>
      <c r="G748" s="50" t="n"/>
      <c r="H748" s="48" t="n"/>
      <c r="I748" s="51" t="n"/>
      <c r="J748" s="52" t="n"/>
      <c r="K748" s="47" t="n"/>
      <c r="L748" s="47" t="n"/>
      <c r="M748" s="24">
        <f>IF(OR($A748="",$C748=""),"",IF($L748&lt;&gt;"",$L748-$C748,TODAY()-$C748))</f>
        <v/>
      </c>
      <c r="N748" s="28">
        <f>IF(OR($A748="",$K748=""),"",IF($L748="",IF(TODAY()&gt;$K748,"Atrasado","En ruta"),IF($L748&lt;=$K748,"Sí","No")))</f>
        <v/>
      </c>
      <c r="O748" s="24">
        <f>IF($A748="","",COUNTIFS(NOVEDADES!$D$4:$D$1503,$A748))</f>
        <v/>
      </c>
      <c r="P748" s="28">
        <f>IF($A748="","",IF(COUNTIFS(NOVEDADES!$D$4:$D$1503,$A748,NOVEDADES!$O$4:$O$1503,"SÍ")&gt;0,"No","Sí"))</f>
        <v/>
      </c>
      <c r="Q748" s="28">
        <f>IF(OR($A748="",$L748=""),"",IF(AND($N748="Sí",$P748="Sí"),"OTIF","Falló"))</f>
        <v/>
      </c>
    </row>
    <row r="749" ht="16" customHeight="1">
      <c r="A749" s="48" t="n"/>
      <c r="B749" s="48" t="n"/>
      <c r="C749" s="47" t="n"/>
      <c r="D749" s="50" t="n"/>
      <c r="E749" s="50" t="n"/>
      <c r="F749" s="50" t="n"/>
      <c r="G749" s="50" t="n"/>
      <c r="H749" s="48" t="n"/>
      <c r="I749" s="51" t="n"/>
      <c r="J749" s="52" t="n"/>
      <c r="K749" s="47" t="n"/>
      <c r="L749" s="47" t="n"/>
      <c r="M749" s="24">
        <f>IF(OR($A749="",$C749=""),"",IF($L749&lt;&gt;"",$L749-$C749,TODAY()-$C749))</f>
        <v/>
      </c>
      <c r="N749" s="28">
        <f>IF(OR($A749="",$K749=""),"",IF($L749="",IF(TODAY()&gt;$K749,"Atrasado","En ruta"),IF($L749&lt;=$K749,"Sí","No")))</f>
        <v/>
      </c>
      <c r="O749" s="24">
        <f>IF($A749="","",COUNTIFS(NOVEDADES!$D$4:$D$1503,$A749))</f>
        <v/>
      </c>
      <c r="P749" s="28">
        <f>IF($A749="","",IF(COUNTIFS(NOVEDADES!$D$4:$D$1503,$A749,NOVEDADES!$O$4:$O$1503,"SÍ")&gt;0,"No","Sí"))</f>
        <v/>
      </c>
      <c r="Q749" s="28">
        <f>IF(OR($A749="",$L749=""),"",IF(AND($N749="Sí",$P749="Sí"),"OTIF","Falló"))</f>
        <v/>
      </c>
    </row>
    <row r="750" ht="16" customHeight="1">
      <c r="A750" s="48" t="n"/>
      <c r="B750" s="48" t="n"/>
      <c r="C750" s="47" t="n"/>
      <c r="D750" s="50" t="n"/>
      <c r="E750" s="50" t="n"/>
      <c r="F750" s="50" t="n"/>
      <c r="G750" s="50" t="n"/>
      <c r="H750" s="48" t="n"/>
      <c r="I750" s="51" t="n"/>
      <c r="J750" s="52" t="n"/>
      <c r="K750" s="47" t="n"/>
      <c r="L750" s="47" t="n"/>
      <c r="M750" s="24">
        <f>IF(OR($A750="",$C750=""),"",IF($L750&lt;&gt;"",$L750-$C750,TODAY()-$C750))</f>
        <v/>
      </c>
      <c r="N750" s="28">
        <f>IF(OR($A750="",$K750=""),"",IF($L750="",IF(TODAY()&gt;$K750,"Atrasado","En ruta"),IF($L750&lt;=$K750,"Sí","No")))</f>
        <v/>
      </c>
      <c r="O750" s="24">
        <f>IF($A750="","",COUNTIFS(NOVEDADES!$D$4:$D$1503,$A750))</f>
        <v/>
      </c>
      <c r="P750" s="28">
        <f>IF($A750="","",IF(COUNTIFS(NOVEDADES!$D$4:$D$1503,$A750,NOVEDADES!$O$4:$O$1503,"SÍ")&gt;0,"No","Sí"))</f>
        <v/>
      </c>
      <c r="Q750" s="28">
        <f>IF(OR($A750="",$L750=""),"",IF(AND($N750="Sí",$P750="Sí"),"OTIF","Falló"))</f>
        <v/>
      </c>
    </row>
    <row r="751" ht="16" customHeight="1">
      <c r="A751" s="48" t="n"/>
      <c r="B751" s="48" t="n"/>
      <c r="C751" s="47" t="n"/>
      <c r="D751" s="50" t="n"/>
      <c r="E751" s="50" t="n"/>
      <c r="F751" s="50" t="n"/>
      <c r="G751" s="50" t="n"/>
      <c r="H751" s="48" t="n"/>
      <c r="I751" s="51" t="n"/>
      <c r="J751" s="52" t="n"/>
      <c r="K751" s="47" t="n"/>
      <c r="L751" s="47" t="n"/>
      <c r="M751" s="24">
        <f>IF(OR($A751="",$C751=""),"",IF($L751&lt;&gt;"",$L751-$C751,TODAY()-$C751))</f>
        <v/>
      </c>
      <c r="N751" s="28">
        <f>IF(OR($A751="",$K751=""),"",IF($L751="",IF(TODAY()&gt;$K751,"Atrasado","En ruta"),IF($L751&lt;=$K751,"Sí","No")))</f>
        <v/>
      </c>
      <c r="O751" s="24">
        <f>IF($A751="","",COUNTIFS(NOVEDADES!$D$4:$D$1503,$A751))</f>
        <v/>
      </c>
      <c r="P751" s="28">
        <f>IF($A751="","",IF(COUNTIFS(NOVEDADES!$D$4:$D$1503,$A751,NOVEDADES!$O$4:$O$1503,"SÍ")&gt;0,"No","Sí"))</f>
        <v/>
      </c>
      <c r="Q751" s="28">
        <f>IF(OR($A751="",$L751=""),"",IF(AND($N751="Sí",$P751="Sí"),"OTIF","Falló"))</f>
        <v/>
      </c>
    </row>
    <row r="752" ht="16" customHeight="1">
      <c r="A752" s="48" t="n"/>
      <c r="B752" s="48" t="n"/>
      <c r="C752" s="47" t="n"/>
      <c r="D752" s="50" t="n"/>
      <c r="E752" s="50" t="n"/>
      <c r="F752" s="50" t="n"/>
      <c r="G752" s="50" t="n"/>
      <c r="H752" s="48" t="n"/>
      <c r="I752" s="51" t="n"/>
      <c r="J752" s="52" t="n"/>
      <c r="K752" s="47" t="n"/>
      <c r="L752" s="47" t="n"/>
      <c r="M752" s="24">
        <f>IF(OR($A752="",$C752=""),"",IF($L752&lt;&gt;"",$L752-$C752,TODAY()-$C752))</f>
        <v/>
      </c>
      <c r="N752" s="28">
        <f>IF(OR($A752="",$K752=""),"",IF($L752="",IF(TODAY()&gt;$K752,"Atrasado","En ruta"),IF($L752&lt;=$K752,"Sí","No")))</f>
        <v/>
      </c>
      <c r="O752" s="24">
        <f>IF($A752="","",COUNTIFS(NOVEDADES!$D$4:$D$1503,$A752))</f>
        <v/>
      </c>
      <c r="P752" s="28">
        <f>IF($A752="","",IF(COUNTIFS(NOVEDADES!$D$4:$D$1503,$A752,NOVEDADES!$O$4:$O$1503,"SÍ")&gt;0,"No","Sí"))</f>
        <v/>
      </c>
      <c r="Q752" s="28">
        <f>IF(OR($A752="",$L752=""),"",IF(AND($N752="Sí",$P752="Sí"),"OTIF","Falló"))</f>
        <v/>
      </c>
    </row>
    <row r="753" ht="16" customHeight="1">
      <c r="A753" s="48" t="n"/>
      <c r="B753" s="48" t="n"/>
      <c r="C753" s="47" t="n"/>
      <c r="D753" s="50" t="n"/>
      <c r="E753" s="50" t="n"/>
      <c r="F753" s="50" t="n"/>
      <c r="G753" s="50" t="n"/>
      <c r="H753" s="48" t="n"/>
      <c r="I753" s="51" t="n"/>
      <c r="J753" s="52" t="n"/>
      <c r="K753" s="47" t="n"/>
      <c r="L753" s="47" t="n"/>
      <c r="M753" s="24">
        <f>IF(OR($A753="",$C753=""),"",IF($L753&lt;&gt;"",$L753-$C753,TODAY()-$C753))</f>
        <v/>
      </c>
      <c r="N753" s="28">
        <f>IF(OR($A753="",$K753=""),"",IF($L753="",IF(TODAY()&gt;$K753,"Atrasado","En ruta"),IF($L753&lt;=$K753,"Sí","No")))</f>
        <v/>
      </c>
      <c r="O753" s="24">
        <f>IF($A753="","",COUNTIFS(NOVEDADES!$D$4:$D$1503,$A753))</f>
        <v/>
      </c>
      <c r="P753" s="28">
        <f>IF($A753="","",IF(COUNTIFS(NOVEDADES!$D$4:$D$1503,$A753,NOVEDADES!$O$4:$O$1503,"SÍ")&gt;0,"No","Sí"))</f>
        <v/>
      </c>
      <c r="Q753" s="28">
        <f>IF(OR($A753="",$L753=""),"",IF(AND($N753="Sí",$P753="Sí"),"OTIF","Falló"))</f>
        <v/>
      </c>
    </row>
    <row r="754" ht="16" customHeight="1">
      <c r="A754" s="48" t="n"/>
      <c r="B754" s="48" t="n"/>
      <c r="C754" s="47" t="n"/>
      <c r="D754" s="50" t="n"/>
      <c r="E754" s="50" t="n"/>
      <c r="F754" s="50" t="n"/>
      <c r="G754" s="50" t="n"/>
      <c r="H754" s="48" t="n"/>
      <c r="I754" s="51" t="n"/>
      <c r="J754" s="52" t="n"/>
      <c r="K754" s="47" t="n"/>
      <c r="L754" s="47" t="n"/>
      <c r="M754" s="24">
        <f>IF(OR($A754="",$C754=""),"",IF($L754&lt;&gt;"",$L754-$C754,TODAY()-$C754))</f>
        <v/>
      </c>
      <c r="N754" s="28">
        <f>IF(OR($A754="",$K754=""),"",IF($L754="",IF(TODAY()&gt;$K754,"Atrasado","En ruta"),IF($L754&lt;=$K754,"Sí","No")))</f>
        <v/>
      </c>
      <c r="O754" s="24">
        <f>IF($A754="","",COUNTIFS(NOVEDADES!$D$4:$D$1503,$A754))</f>
        <v/>
      </c>
      <c r="P754" s="28">
        <f>IF($A754="","",IF(COUNTIFS(NOVEDADES!$D$4:$D$1503,$A754,NOVEDADES!$O$4:$O$1503,"SÍ")&gt;0,"No","Sí"))</f>
        <v/>
      </c>
      <c r="Q754" s="28">
        <f>IF(OR($A754="",$L754=""),"",IF(AND($N754="Sí",$P754="Sí"),"OTIF","Falló"))</f>
        <v/>
      </c>
    </row>
    <row r="755" ht="16" customHeight="1">
      <c r="A755" s="48" t="n"/>
      <c r="B755" s="48" t="n"/>
      <c r="C755" s="47" t="n"/>
      <c r="D755" s="50" t="n"/>
      <c r="E755" s="50" t="n"/>
      <c r="F755" s="50" t="n"/>
      <c r="G755" s="50" t="n"/>
      <c r="H755" s="48" t="n"/>
      <c r="I755" s="51" t="n"/>
      <c r="J755" s="52" t="n"/>
      <c r="K755" s="47" t="n"/>
      <c r="L755" s="47" t="n"/>
      <c r="M755" s="24">
        <f>IF(OR($A755="",$C755=""),"",IF($L755&lt;&gt;"",$L755-$C755,TODAY()-$C755))</f>
        <v/>
      </c>
      <c r="N755" s="28">
        <f>IF(OR($A755="",$K755=""),"",IF($L755="",IF(TODAY()&gt;$K755,"Atrasado","En ruta"),IF($L755&lt;=$K755,"Sí","No")))</f>
        <v/>
      </c>
      <c r="O755" s="24">
        <f>IF($A755="","",COUNTIFS(NOVEDADES!$D$4:$D$1503,$A755))</f>
        <v/>
      </c>
      <c r="P755" s="28">
        <f>IF($A755="","",IF(COUNTIFS(NOVEDADES!$D$4:$D$1503,$A755,NOVEDADES!$O$4:$O$1503,"SÍ")&gt;0,"No","Sí"))</f>
        <v/>
      </c>
      <c r="Q755" s="28">
        <f>IF(OR($A755="",$L755=""),"",IF(AND($N755="Sí",$P755="Sí"),"OTIF","Falló"))</f>
        <v/>
      </c>
    </row>
    <row r="756" ht="16" customHeight="1">
      <c r="A756" s="48" t="n"/>
      <c r="B756" s="48" t="n"/>
      <c r="C756" s="47" t="n"/>
      <c r="D756" s="50" t="n"/>
      <c r="E756" s="50" t="n"/>
      <c r="F756" s="50" t="n"/>
      <c r="G756" s="50" t="n"/>
      <c r="H756" s="48" t="n"/>
      <c r="I756" s="51" t="n"/>
      <c r="J756" s="52" t="n"/>
      <c r="K756" s="47" t="n"/>
      <c r="L756" s="47" t="n"/>
      <c r="M756" s="24">
        <f>IF(OR($A756="",$C756=""),"",IF($L756&lt;&gt;"",$L756-$C756,TODAY()-$C756))</f>
        <v/>
      </c>
      <c r="N756" s="28">
        <f>IF(OR($A756="",$K756=""),"",IF($L756="",IF(TODAY()&gt;$K756,"Atrasado","En ruta"),IF($L756&lt;=$K756,"Sí","No")))</f>
        <v/>
      </c>
      <c r="O756" s="24">
        <f>IF($A756="","",COUNTIFS(NOVEDADES!$D$4:$D$1503,$A756))</f>
        <v/>
      </c>
      <c r="P756" s="28">
        <f>IF($A756="","",IF(COUNTIFS(NOVEDADES!$D$4:$D$1503,$A756,NOVEDADES!$O$4:$O$1503,"SÍ")&gt;0,"No","Sí"))</f>
        <v/>
      </c>
      <c r="Q756" s="28">
        <f>IF(OR($A756="",$L756=""),"",IF(AND($N756="Sí",$P756="Sí"),"OTIF","Falló"))</f>
        <v/>
      </c>
    </row>
    <row r="757" ht="16" customHeight="1">
      <c r="A757" s="48" t="n"/>
      <c r="B757" s="48" t="n"/>
      <c r="C757" s="47" t="n"/>
      <c r="D757" s="50" t="n"/>
      <c r="E757" s="50" t="n"/>
      <c r="F757" s="50" t="n"/>
      <c r="G757" s="50" t="n"/>
      <c r="H757" s="48" t="n"/>
      <c r="I757" s="51" t="n"/>
      <c r="J757" s="52" t="n"/>
      <c r="K757" s="47" t="n"/>
      <c r="L757" s="47" t="n"/>
      <c r="M757" s="24">
        <f>IF(OR($A757="",$C757=""),"",IF($L757&lt;&gt;"",$L757-$C757,TODAY()-$C757))</f>
        <v/>
      </c>
      <c r="N757" s="28">
        <f>IF(OR($A757="",$K757=""),"",IF($L757="",IF(TODAY()&gt;$K757,"Atrasado","En ruta"),IF($L757&lt;=$K757,"Sí","No")))</f>
        <v/>
      </c>
      <c r="O757" s="24">
        <f>IF($A757="","",COUNTIFS(NOVEDADES!$D$4:$D$1503,$A757))</f>
        <v/>
      </c>
      <c r="P757" s="28">
        <f>IF($A757="","",IF(COUNTIFS(NOVEDADES!$D$4:$D$1503,$A757,NOVEDADES!$O$4:$O$1503,"SÍ")&gt;0,"No","Sí"))</f>
        <v/>
      </c>
      <c r="Q757" s="28">
        <f>IF(OR($A757="",$L757=""),"",IF(AND($N757="Sí",$P757="Sí"),"OTIF","Falló"))</f>
        <v/>
      </c>
    </row>
    <row r="758" ht="16" customHeight="1">
      <c r="A758" s="48" t="n"/>
      <c r="B758" s="48" t="n"/>
      <c r="C758" s="47" t="n"/>
      <c r="D758" s="50" t="n"/>
      <c r="E758" s="50" t="n"/>
      <c r="F758" s="50" t="n"/>
      <c r="G758" s="50" t="n"/>
      <c r="H758" s="48" t="n"/>
      <c r="I758" s="51" t="n"/>
      <c r="J758" s="52" t="n"/>
      <c r="K758" s="47" t="n"/>
      <c r="L758" s="47" t="n"/>
      <c r="M758" s="24">
        <f>IF(OR($A758="",$C758=""),"",IF($L758&lt;&gt;"",$L758-$C758,TODAY()-$C758))</f>
        <v/>
      </c>
      <c r="N758" s="28">
        <f>IF(OR($A758="",$K758=""),"",IF($L758="",IF(TODAY()&gt;$K758,"Atrasado","En ruta"),IF($L758&lt;=$K758,"Sí","No")))</f>
        <v/>
      </c>
      <c r="O758" s="24">
        <f>IF($A758="","",COUNTIFS(NOVEDADES!$D$4:$D$1503,$A758))</f>
        <v/>
      </c>
      <c r="P758" s="28">
        <f>IF($A758="","",IF(COUNTIFS(NOVEDADES!$D$4:$D$1503,$A758,NOVEDADES!$O$4:$O$1503,"SÍ")&gt;0,"No","Sí"))</f>
        <v/>
      </c>
      <c r="Q758" s="28">
        <f>IF(OR($A758="",$L758=""),"",IF(AND($N758="Sí",$P758="Sí"),"OTIF","Falló"))</f>
        <v/>
      </c>
    </row>
    <row r="759" ht="16" customHeight="1">
      <c r="A759" s="48" t="n"/>
      <c r="B759" s="48" t="n"/>
      <c r="C759" s="47" t="n"/>
      <c r="D759" s="50" t="n"/>
      <c r="E759" s="50" t="n"/>
      <c r="F759" s="50" t="n"/>
      <c r="G759" s="50" t="n"/>
      <c r="H759" s="48" t="n"/>
      <c r="I759" s="51" t="n"/>
      <c r="J759" s="52" t="n"/>
      <c r="K759" s="47" t="n"/>
      <c r="L759" s="47" t="n"/>
      <c r="M759" s="24">
        <f>IF(OR($A759="",$C759=""),"",IF($L759&lt;&gt;"",$L759-$C759,TODAY()-$C759))</f>
        <v/>
      </c>
      <c r="N759" s="28">
        <f>IF(OR($A759="",$K759=""),"",IF($L759="",IF(TODAY()&gt;$K759,"Atrasado","En ruta"),IF($L759&lt;=$K759,"Sí","No")))</f>
        <v/>
      </c>
      <c r="O759" s="24">
        <f>IF($A759="","",COUNTIFS(NOVEDADES!$D$4:$D$1503,$A759))</f>
        <v/>
      </c>
      <c r="P759" s="28">
        <f>IF($A759="","",IF(COUNTIFS(NOVEDADES!$D$4:$D$1503,$A759,NOVEDADES!$O$4:$O$1503,"SÍ")&gt;0,"No","Sí"))</f>
        <v/>
      </c>
      <c r="Q759" s="28">
        <f>IF(OR($A759="",$L759=""),"",IF(AND($N759="Sí",$P759="Sí"),"OTIF","Falló"))</f>
        <v/>
      </c>
    </row>
    <row r="760" ht="16" customHeight="1">
      <c r="A760" s="48" t="n"/>
      <c r="B760" s="48" t="n"/>
      <c r="C760" s="47" t="n"/>
      <c r="D760" s="50" t="n"/>
      <c r="E760" s="50" t="n"/>
      <c r="F760" s="50" t="n"/>
      <c r="G760" s="50" t="n"/>
      <c r="H760" s="48" t="n"/>
      <c r="I760" s="51" t="n"/>
      <c r="J760" s="52" t="n"/>
      <c r="K760" s="47" t="n"/>
      <c r="L760" s="47" t="n"/>
      <c r="M760" s="24">
        <f>IF(OR($A760="",$C760=""),"",IF($L760&lt;&gt;"",$L760-$C760,TODAY()-$C760))</f>
        <v/>
      </c>
      <c r="N760" s="28">
        <f>IF(OR($A760="",$K760=""),"",IF($L760="",IF(TODAY()&gt;$K760,"Atrasado","En ruta"),IF($L760&lt;=$K760,"Sí","No")))</f>
        <v/>
      </c>
      <c r="O760" s="24">
        <f>IF($A760="","",COUNTIFS(NOVEDADES!$D$4:$D$1503,$A760))</f>
        <v/>
      </c>
      <c r="P760" s="28">
        <f>IF($A760="","",IF(COUNTIFS(NOVEDADES!$D$4:$D$1503,$A760,NOVEDADES!$O$4:$O$1503,"SÍ")&gt;0,"No","Sí"))</f>
        <v/>
      </c>
      <c r="Q760" s="28">
        <f>IF(OR($A760="",$L760=""),"",IF(AND($N760="Sí",$P760="Sí"),"OTIF","Falló"))</f>
        <v/>
      </c>
    </row>
    <row r="761" ht="16" customHeight="1">
      <c r="A761" s="48" t="n"/>
      <c r="B761" s="48" t="n"/>
      <c r="C761" s="47" t="n"/>
      <c r="D761" s="50" t="n"/>
      <c r="E761" s="50" t="n"/>
      <c r="F761" s="50" t="n"/>
      <c r="G761" s="50" t="n"/>
      <c r="H761" s="48" t="n"/>
      <c r="I761" s="51" t="n"/>
      <c r="J761" s="52" t="n"/>
      <c r="K761" s="47" t="n"/>
      <c r="L761" s="47" t="n"/>
      <c r="M761" s="24">
        <f>IF(OR($A761="",$C761=""),"",IF($L761&lt;&gt;"",$L761-$C761,TODAY()-$C761))</f>
        <v/>
      </c>
      <c r="N761" s="28">
        <f>IF(OR($A761="",$K761=""),"",IF($L761="",IF(TODAY()&gt;$K761,"Atrasado","En ruta"),IF($L761&lt;=$K761,"Sí","No")))</f>
        <v/>
      </c>
      <c r="O761" s="24">
        <f>IF($A761="","",COUNTIFS(NOVEDADES!$D$4:$D$1503,$A761))</f>
        <v/>
      </c>
      <c r="P761" s="28">
        <f>IF($A761="","",IF(COUNTIFS(NOVEDADES!$D$4:$D$1503,$A761,NOVEDADES!$O$4:$O$1503,"SÍ")&gt;0,"No","Sí"))</f>
        <v/>
      </c>
      <c r="Q761" s="28">
        <f>IF(OR($A761="",$L761=""),"",IF(AND($N761="Sí",$P761="Sí"),"OTIF","Falló"))</f>
        <v/>
      </c>
    </row>
    <row r="762" ht="16" customHeight="1">
      <c r="A762" s="48" t="n"/>
      <c r="B762" s="48" t="n"/>
      <c r="C762" s="47" t="n"/>
      <c r="D762" s="50" t="n"/>
      <c r="E762" s="50" t="n"/>
      <c r="F762" s="50" t="n"/>
      <c r="G762" s="50" t="n"/>
      <c r="H762" s="48" t="n"/>
      <c r="I762" s="51" t="n"/>
      <c r="J762" s="52" t="n"/>
      <c r="K762" s="47" t="n"/>
      <c r="L762" s="47" t="n"/>
      <c r="M762" s="24">
        <f>IF(OR($A762="",$C762=""),"",IF($L762&lt;&gt;"",$L762-$C762,TODAY()-$C762))</f>
        <v/>
      </c>
      <c r="N762" s="28">
        <f>IF(OR($A762="",$K762=""),"",IF($L762="",IF(TODAY()&gt;$K762,"Atrasado","En ruta"),IF($L762&lt;=$K762,"Sí","No")))</f>
        <v/>
      </c>
      <c r="O762" s="24">
        <f>IF($A762="","",COUNTIFS(NOVEDADES!$D$4:$D$1503,$A762))</f>
        <v/>
      </c>
      <c r="P762" s="28">
        <f>IF($A762="","",IF(COUNTIFS(NOVEDADES!$D$4:$D$1503,$A762,NOVEDADES!$O$4:$O$1503,"SÍ")&gt;0,"No","Sí"))</f>
        <v/>
      </c>
      <c r="Q762" s="28">
        <f>IF(OR($A762="",$L762=""),"",IF(AND($N762="Sí",$P762="Sí"),"OTIF","Falló"))</f>
        <v/>
      </c>
    </row>
    <row r="763" ht="16" customHeight="1">
      <c r="A763" s="48" t="n"/>
      <c r="B763" s="48" t="n"/>
      <c r="C763" s="47" t="n"/>
      <c r="D763" s="50" t="n"/>
      <c r="E763" s="50" t="n"/>
      <c r="F763" s="50" t="n"/>
      <c r="G763" s="50" t="n"/>
      <c r="H763" s="48" t="n"/>
      <c r="I763" s="51" t="n"/>
      <c r="J763" s="52" t="n"/>
      <c r="K763" s="47" t="n"/>
      <c r="L763" s="47" t="n"/>
      <c r="M763" s="24">
        <f>IF(OR($A763="",$C763=""),"",IF($L763&lt;&gt;"",$L763-$C763,TODAY()-$C763))</f>
        <v/>
      </c>
      <c r="N763" s="28">
        <f>IF(OR($A763="",$K763=""),"",IF($L763="",IF(TODAY()&gt;$K763,"Atrasado","En ruta"),IF($L763&lt;=$K763,"Sí","No")))</f>
        <v/>
      </c>
      <c r="O763" s="24">
        <f>IF($A763="","",COUNTIFS(NOVEDADES!$D$4:$D$1503,$A763))</f>
        <v/>
      </c>
      <c r="P763" s="28">
        <f>IF($A763="","",IF(COUNTIFS(NOVEDADES!$D$4:$D$1503,$A763,NOVEDADES!$O$4:$O$1503,"SÍ")&gt;0,"No","Sí"))</f>
        <v/>
      </c>
      <c r="Q763" s="28">
        <f>IF(OR($A763="",$L763=""),"",IF(AND($N763="Sí",$P763="Sí"),"OTIF","Falló"))</f>
        <v/>
      </c>
    </row>
    <row r="764" ht="16" customHeight="1">
      <c r="A764" s="48" t="n"/>
      <c r="B764" s="48" t="n"/>
      <c r="C764" s="47" t="n"/>
      <c r="D764" s="50" t="n"/>
      <c r="E764" s="50" t="n"/>
      <c r="F764" s="50" t="n"/>
      <c r="G764" s="50" t="n"/>
      <c r="H764" s="48" t="n"/>
      <c r="I764" s="51" t="n"/>
      <c r="J764" s="52" t="n"/>
      <c r="K764" s="47" t="n"/>
      <c r="L764" s="47" t="n"/>
      <c r="M764" s="24">
        <f>IF(OR($A764="",$C764=""),"",IF($L764&lt;&gt;"",$L764-$C764,TODAY()-$C764))</f>
        <v/>
      </c>
      <c r="N764" s="28">
        <f>IF(OR($A764="",$K764=""),"",IF($L764="",IF(TODAY()&gt;$K764,"Atrasado","En ruta"),IF($L764&lt;=$K764,"Sí","No")))</f>
        <v/>
      </c>
      <c r="O764" s="24">
        <f>IF($A764="","",COUNTIFS(NOVEDADES!$D$4:$D$1503,$A764))</f>
        <v/>
      </c>
      <c r="P764" s="28">
        <f>IF($A764="","",IF(COUNTIFS(NOVEDADES!$D$4:$D$1503,$A764,NOVEDADES!$O$4:$O$1503,"SÍ")&gt;0,"No","Sí"))</f>
        <v/>
      </c>
      <c r="Q764" s="28">
        <f>IF(OR($A764="",$L764=""),"",IF(AND($N764="Sí",$P764="Sí"),"OTIF","Falló"))</f>
        <v/>
      </c>
    </row>
    <row r="765" ht="16" customHeight="1">
      <c r="A765" s="48" t="n"/>
      <c r="B765" s="48" t="n"/>
      <c r="C765" s="47" t="n"/>
      <c r="D765" s="50" t="n"/>
      <c r="E765" s="50" t="n"/>
      <c r="F765" s="50" t="n"/>
      <c r="G765" s="50" t="n"/>
      <c r="H765" s="48" t="n"/>
      <c r="I765" s="51" t="n"/>
      <c r="J765" s="52" t="n"/>
      <c r="K765" s="47" t="n"/>
      <c r="L765" s="47" t="n"/>
      <c r="M765" s="24">
        <f>IF(OR($A765="",$C765=""),"",IF($L765&lt;&gt;"",$L765-$C765,TODAY()-$C765))</f>
        <v/>
      </c>
      <c r="N765" s="28">
        <f>IF(OR($A765="",$K765=""),"",IF($L765="",IF(TODAY()&gt;$K765,"Atrasado","En ruta"),IF($L765&lt;=$K765,"Sí","No")))</f>
        <v/>
      </c>
      <c r="O765" s="24">
        <f>IF($A765="","",COUNTIFS(NOVEDADES!$D$4:$D$1503,$A765))</f>
        <v/>
      </c>
      <c r="P765" s="28">
        <f>IF($A765="","",IF(COUNTIFS(NOVEDADES!$D$4:$D$1503,$A765,NOVEDADES!$O$4:$O$1503,"SÍ")&gt;0,"No","Sí"))</f>
        <v/>
      </c>
      <c r="Q765" s="28">
        <f>IF(OR($A765="",$L765=""),"",IF(AND($N765="Sí",$P765="Sí"),"OTIF","Falló"))</f>
        <v/>
      </c>
    </row>
    <row r="766" ht="16" customHeight="1">
      <c r="A766" s="48" t="n"/>
      <c r="B766" s="48" t="n"/>
      <c r="C766" s="47" t="n"/>
      <c r="D766" s="50" t="n"/>
      <c r="E766" s="50" t="n"/>
      <c r="F766" s="50" t="n"/>
      <c r="G766" s="50" t="n"/>
      <c r="H766" s="48" t="n"/>
      <c r="I766" s="51" t="n"/>
      <c r="J766" s="52" t="n"/>
      <c r="K766" s="47" t="n"/>
      <c r="L766" s="47" t="n"/>
      <c r="M766" s="24">
        <f>IF(OR($A766="",$C766=""),"",IF($L766&lt;&gt;"",$L766-$C766,TODAY()-$C766))</f>
        <v/>
      </c>
      <c r="N766" s="28">
        <f>IF(OR($A766="",$K766=""),"",IF($L766="",IF(TODAY()&gt;$K766,"Atrasado","En ruta"),IF($L766&lt;=$K766,"Sí","No")))</f>
        <v/>
      </c>
      <c r="O766" s="24">
        <f>IF($A766="","",COUNTIFS(NOVEDADES!$D$4:$D$1503,$A766))</f>
        <v/>
      </c>
      <c r="P766" s="28">
        <f>IF($A766="","",IF(COUNTIFS(NOVEDADES!$D$4:$D$1503,$A766,NOVEDADES!$O$4:$O$1503,"SÍ")&gt;0,"No","Sí"))</f>
        <v/>
      </c>
      <c r="Q766" s="28">
        <f>IF(OR($A766="",$L766=""),"",IF(AND($N766="Sí",$P766="Sí"),"OTIF","Falló"))</f>
        <v/>
      </c>
    </row>
    <row r="767" ht="16" customHeight="1">
      <c r="A767" s="48" t="n"/>
      <c r="B767" s="48" t="n"/>
      <c r="C767" s="47" t="n"/>
      <c r="D767" s="50" t="n"/>
      <c r="E767" s="50" t="n"/>
      <c r="F767" s="50" t="n"/>
      <c r="G767" s="50" t="n"/>
      <c r="H767" s="48" t="n"/>
      <c r="I767" s="51" t="n"/>
      <c r="J767" s="52" t="n"/>
      <c r="K767" s="47" t="n"/>
      <c r="L767" s="47" t="n"/>
      <c r="M767" s="24">
        <f>IF(OR($A767="",$C767=""),"",IF($L767&lt;&gt;"",$L767-$C767,TODAY()-$C767))</f>
        <v/>
      </c>
      <c r="N767" s="28">
        <f>IF(OR($A767="",$K767=""),"",IF($L767="",IF(TODAY()&gt;$K767,"Atrasado","En ruta"),IF($L767&lt;=$K767,"Sí","No")))</f>
        <v/>
      </c>
      <c r="O767" s="24">
        <f>IF($A767="","",COUNTIFS(NOVEDADES!$D$4:$D$1503,$A767))</f>
        <v/>
      </c>
      <c r="P767" s="28">
        <f>IF($A767="","",IF(COUNTIFS(NOVEDADES!$D$4:$D$1503,$A767,NOVEDADES!$O$4:$O$1503,"SÍ")&gt;0,"No","Sí"))</f>
        <v/>
      </c>
      <c r="Q767" s="28">
        <f>IF(OR($A767="",$L767=""),"",IF(AND($N767="Sí",$P767="Sí"),"OTIF","Falló"))</f>
        <v/>
      </c>
    </row>
    <row r="768" ht="16" customHeight="1">
      <c r="A768" s="48" t="n"/>
      <c r="B768" s="48" t="n"/>
      <c r="C768" s="47" t="n"/>
      <c r="D768" s="50" t="n"/>
      <c r="E768" s="50" t="n"/>
      <c r="F768" s="50" t="n"/>
      <c r="G768" s="50" t="n"/>
      <c r="H768" s="48" t="n"/>
      <c r="I768" s="51" t="n"/>
      <c r="J768" s="52" t="n"/>
      <c r="K768" s="47" t="n"/>
      <c r="L768" s="47" t="n"/>
      <c r="M768" s="24">
        <f>IF(OR($A768="",$C768=""),"",IF($L768&lt;&gt;"",$L768-$C768,TODAY()-$C768))</f>
        <v/>
      </c>
      <c r="N768" s="28">
        <f>IF(OR($A768="",$K768=""),"",IF($L768="",IF(TODAY()&gt;$K768,"Atrasado","En ruta"),IF($L768&lt;=$K768,"Sí","No")))</f>
        <v/>
      </c>
      <c r="O768" s="24">
        <f>IF($A768="","",COUNTIFS(NOVEDADES!$D$4:$D$1503,$A768))</f>
        <v/>
      </c>
      <c r="P768" s="28">
        <f>IF($A768="","",IF(COUNTIFS(NOVEDADES!$D$4:$D$1503,$A768,NOVEDADES!$O$4:$O$1503,"SÍ")&gt;0,"No","Sí"))</f>
        <v/>
      </c>
      <c r="Q768" s="28">
        <f>IF(OR($A768="",$L768=""),"",IF(AND($N768="Sí",$P768="Sí"),"OTIF","Falló"))</f>
        <v/>
      </c>
    </row>
    <row r="769" ht="16" customHeight="1">
      <c r="A769" s="48" t="n"/>
      <c r="B769" s="48" t="n"/>
      <c r="C769" s="47" t="n"/>
      <c r="D769" s="50" t="n"/>
      <c r="E769" s="50" t="n"/>
      <c r="F769" s="50" t="n"/>
      <c r="G769" s="50" t="n"/>
      <c r="H769" s="48" t="n"/>
      <c r="I769" s="51" t="n"/>
      <c r="J769" s="52" t="n"/>
      <c r="K769" s="47" t="n"/>
      <c r="L769" s="47" t="n"/>
      <c r="M769" s="24">
        <f>IF(OR($A769="",$C769=""),"",IF($L769&lt;&gt;"",$L769-$C769,TODAY()-$C769))</f>
        <v/>
      </c>
      <c r="N769" s="28">
        <f>IF(OR($A769="",$K769=""),"",IF($L769="",IF(TODAY()&gt;$K769,"Atrasado","En ruta"),IF($L769&lt;=$K769,"Sí","No")))</f>
        <v/>
      </c>
      <c r="O769" s="24">
        <f>IF($A769="","",COUNTIFS(NOVEDADES!$D$4:$D$1503,$A769))</f>
        <v/>
      </c>
      <c r="P769" s="28">
        <f>IF($A769="","",IF(COUNTIFS(NOVEDADES!$D$4:$D$1503,$A769,NOVEDADES!$O$4:$O$1503,"SÍ")&gt;0,"No","Sí"))</f>
        <v/>
      </c>
      <c r="Q769" s="28">
        <f>IF(OR($A769="",$L769=""),"",IF(AND($N769="Sí",$P769="Sí"),"OTIF","Falló"))</f>
        <v/>
      </c>
    </row>
    <row r="770" ht="16" customHeight="1">
      <c r="A770" s="48" t="n"/>
      <c r="B770" s="48" t="n"/>
      <c r="C770" s="47" t="n"/>
      <c r="D770" s="50" t="n"/>
      <c r="E770" s="50" t="n"/>
      <c r="F770" s="50" t="n"/>
      <c r="G770" s="50" t="n"/>
      <c r="H770" s="48" t="n"/>
      <c r="I770" s="51" t="n"/>
      <c r="J770" s="52" t="n"/>
      <c r="K770" s="47" t="n"/>
      <c r="L770" s="47" t="n"/>
      <c r="M770" s="24">
        <f>IF(OR($A770="",$C770=""),"",IF($L770&lt;&gt;"",$L770-$C770,TODAY()-$C770))</f>
        <v/>
      </c>
      <c r="N770" s="28">
        <f>IF(OR($A770="",$K770=""),"",IF($L770="",IF(TODAY()&gt;$K770,"Atrasado","En ruta"),IF($L770&lt;=$K770,"Sí","No")))</f>
        <v/>
      </c>
      <c r="O770" s="24">
        <f>IF($A770="","",COUNTIFS(NOVEDADES!$D$4:$D$1503,$A770))</f>
        <v/>
      </c>
      <c r="P770" s="28">
        <f>IF($A770="","",IF(COUNTIFS(NOVEDADES!$D$4:$D$1503,$A770,NOVEDADES!$O$4:$O$1503,"SÍ")&gt;0,"No","Sí"))</f>
        <v/>
      </c>
      <c r="Q770" s="28">
        <f>IF(OR($A770="",$L770=""),"",IF(AND($N770="Sí",$P770="Sí"),"OTIF","Falló"))</f>
        <v/>
      </c>
    </row>
    <row r="771" ht="16" customHeight="1">
      <c r="A771" s="48" t="n"/>
      <c r="B771" s="48" t="n"/>
      <c r="C771" s="47" t="n"/>
      <c r="D771" s="50" t="n"/>
      <c r="E771" s="50" t="n"/>
      <c r="F771" s="50" t="n"/>
      <c r="G771" s="50" t="n"/>
      <c r="H771" s="48" t="n"/>
      <c r="I771" s="51" t="n"/>
      <c r="J771" s="52" t="n"/>
      <c r="K771" s="47" t="n"/>
      <c r="L771" s="47" t="n"/>
      <c r="M771" s="24">
        <f>IF(OR($A771="",$C771=""),"",IF($L771&lt;&gt;"",$L771-$C771,TODAY()-$C771))</f>
        <v/>
      </c>
      <c r="N771" s="28">
        <f>IF(OR($A771="",$K771=""),"",IF($L771="",IF(TODAY()&gt;$K771,"Atrasado","En ruta"),IF($L771&lt;=$K771,"Sí","No")))</f>
        <v/>
      </c>
      <c r="O771" s="24">
        <f>IF($A771="","",COUNTIFS(NOVEDADES!$D$4:$D$1503,$A771))</f>
        <v/>
      </c>
      <c r="P771" s="28">
        <f>IF($A771="","",IF(COUNTIFS(NOVEDADES!$D$4:$D$1503,$A771,NOVEDADES!$O$4:$O$1503,"SÍ")&gt;0,"No","Sí"))</f>
        <v/>
      </c>
      <c r="Q771" s="28">
        <f>IF(OR($A771="",$L771=""),"",IF(AND($N771="Sí",$P771="Sí"),"OTIF","Falló"))</f>
        <v/>
      </c>
    </row>
    <row r="772" ht="16" customHeight="1">
      <c r="A772" s="48" t="n"/>
      <c r="B772" s="48" t="n"/>
      <c r="C772" s="47" t="n"/>
      <c r="D772" s="50" t="n"/>
      <c r="E772" s="50" t="n"/>
      <c r="F772" s="50" t="n"/>
      <c r="G772" s="50" t="n"/>
      <c r="H772" s="48" t="n"/>
      <c r="I772" s="51" t="n"/>
      <c r="J772" s="52" t="n"/>
      <c r="K772" s="47" t="n"/>
      <c r="L772" s="47" t="n"/>
      <c r="M772" s="24">
        <f>IF(OR($A772="",$C772=""),"",IF($L772&lt;&gt;"",$L772-$C772,TODAY()-$C772))</f>
        <v/>
      </c>
      <c r="N772" s="28">
        <f>IF(OR($A772="",$K772=""),"",IF($L772="",IF(TODAY()&gt;$K772,"Atrasado","En ruta"),IF($L772&lt;=$K772,"Sí","No")))</f>
        <v/>
      </c>
      <c r="O772" s="24">
        <f>IF($A772="","",COUNTIFS(NOVEDADES!$D$4:$D$1503,$A772))</f>
        <v/>
      </c>
      <c r="P772" s="28">
        <f>IF($A772="","",IF(COUNTIFS(NOVEDADES!$D$4:$D$1503,$A772,NOVEDADES!$O$4:$O$1503,"SÍ")&gt;0,"No","Sí"))</f>
        <v/>
      </c>
      <c r="Q772" s="28">
        <f>IF(OR($A772="",$L772=""),"",IF(AND($N772="Sí",$P772="Sí"),"OTIF","Falló"))</f>
        <v/>
      </c>
    </row>
    <row r="773" ht="16" customHeight="1">
      <c r="A773" s="48" t="n"/>
      <c r="B773" s="48" t="n"/>
      <c r="C773" s="47" t="n"/>
      <c r="D773" s="50" t="n"/>
      <c r="E773" s="50" t="n"/>
      <c r="F773" s="50" t="n"/>
      <c r="G773" s="50" t="n"/>
      <c r="H773" s="48" t="n"/>
      <c r="I773" s="51" t="n"/>
      <c r="J773" s="52" t="n"/>
      <c r="K773" s="47" t="n"/>
      <c r="L773" s="47" t="n"/>
      <c r="M773" s="24">
        <f>IF(OR($A773="",$C773=""),"",IF($L773&lt;&gt;"",$L773-$C773,TODAY()-$C773))</f>
        <v/>
      </c>
      <c r="N773" s="28">
        <f>IF(OR($A773="",$K773=""),"",IF($L773="",IF(TODAY()&gt;$K773,"Atrasado","En ruta"),IF($L773&lt;=$K773,"Sí","No")))</f>
        <v/>
      </c>
      <c r="O773" s="24">
        <f>IF($A773="","",COUNTIFS(NOVEDADES!$D$4:$D$1503,$A773))</f>
        <v/>
      </c>
      <c r="P773" s="28">
        <f>IF($A773="","",IF(COUNTIFS(NOVEDADES!$D$4:$D$1503,$A773,NOVEDADES!$O$4:$O$1503,"SÍ")&gt;0,"No","Sí"))</f>
        <v/>
      </c>
      <c r="Q773" s="28">
        <f>IF(OR($A773="",$L773=""),"",IF(AND($N773="Sí",$P773="Sí"),"OTIF","Falló"))</f>
        <v/>
      </c>
    </row>
    <row r="774" ht="16" customHeight="1">
      <c r="A774" s="48" t="n"/>
      <c r="B774" s="48" t="n"/>
      <c r="C774" s="47" t="n"/>
      <c r="D774" s="50" t="n"/>
      <c r="E774" s="50" t="n"/>
      <c r="F774" s="50" t="n"/>
      <c r="G774" s="50" t="n"/>
      <c r="H774" s="48" t="n"/>
      <c r="I774" s="51" t="n"/>
      <c r="J774" s="52" t="n"/>
      <c r="K774" s="47" t="n"/>
      <c r="L774" s="47" t="n"/>
      <c r="M774" s="24">
        <f>IF(OR($A774="",$C774=""),"",IF($L774&lt;&gt;"",$L774-$C774,TODAY()-$C774))</f>
        <v/>
      </c>
      <c r="N774" s="28">
        <f>IF(OR($A774="",$K774=""),"",IF($L774="",IF(TODAY()&gt;$K774,"Atrasado","En ruta"),IF($L774&lt;=$K774,"Sí","No")))</f>
        <v/>
      </c>
      <c r="O774" s="24">
        <f>IF($A774="","",COUNTIFS(NOVEDADES!$D$4:$D$1503,$A774))</f>
        <v/>
      </c>
      <c r="P774" s="28">
        <f>IF($A774="","",IF(COUNTIFS(NOVEDADES!$D$4:$D$1503,$A774,NOVEDADES!$O$4:$O$1503,"SÍ")&gt;0,"No","Sí"))</f>
        <v/>
      </c>
      <c r="Q774" s="28">
        <f>IF(OR($A774="",$L774=""),"",IF(AND($N774="Sí",$P774="Sí"),"OTIF","Falló"))</f>
        <v/>
      </c>
    </row>
    <row r="775" ht="16" customHeight="1">
      <c r="A775" s="48" t="n"/>
      <c r="B775" s="48" t="n"/>
      <c r="C775" s="47" t="n"/>
      <c r="D775" s="50" t="n"/>
      <c r="E775" s="50" t="n"/>
      <c r="F775" s="50" t="n"/>
      <c r="G775" s="50" t="n"/>
      <c r="H775" s="48" t="n"/>
      <c r="I775" s="51" t="n"/>
      <c r="J775" s="52" t="n"/>
      <c r="K775" s="47" t="n"/>
      <c r="L775" s="47" t="n"/>
      <c r="M775" s="24">
        <f>IF(OR($A775="",$C775=""),"",IF($L775&lt;&gt;"",$L775-$C775,TODAY()-$C775))</f>
        <v/>
      </c>
      <c r="N775" s="28">
        <f>IF(OR($A775="",$K775=""),"",IF($L775="",IF(TODAY()&gt;$K775,"Atrasado","En ruta"),IF($L775&lt;=$K775,"Sí","No")))</f>
        <v/>
      </c>
      <c r="O775" s="24">
        <f>IF($A775="","",COUNTIFS(NOVEDADES!$D$4:$D$1503,$A775))</f>
        <v/>
      </c>
      <c r="P775" s="28">
        <f>IF($A775="","",IF(COUNTIFS(NOVEDADES!$D$4:$D$1503,$A775,NOVEDADES!$O$4:$O$1503,"SÍ")&gt;0,"No","Sí"))</f>
        <v/>
      </c>
      <c r="Q775" s="28">
        <f>IF(OR($A775="",$L775=""),"",IF(AND($N775="Sí",$P775="Sí"),"OTIF","Falló"))</f>
        <v/>
      </c>
    </row>
    <row r="776" ht="16" customHeight="1">
      <c r="A776" s="48" t="n"/>
      <c r="B776" s="48" t="n"/>
      <c r="C776" s="47" t="n"/>
      <c r="D776" s="50" t="n"/>
      <c r="E776" s="50" t="n"/>
      <c r="F776" s="50" t="n"/>
      <c r="G776" s="50" t="n"/>
      <c r="H776" s="48" t="n"/>
      <c r="I776" s="51" t="n"/>
      <c r="J776" s="52" t="n"/>
      <c r="K776" s="47" t="n"/>
      <c r="L776" s="47" t="n"/>
      <c r="M776" s="24">
        <f>IF(OR($A776="",$C776=""),"",IF($L776&lt;&gt;"",$L776-$C776,TODAY()-$C776))</f>
        <v/>
      </c>
      <c r="N776" s="28">
        <f>IF(OR($A776="",$K776=""),"",IF($L776="",IF(TODAY()&gt;$K776,"Atrasado","En ruta"),IF($L776&lt;=$K776,"Sí","No")))</f>
        <v/>
      </c>
      <c r="O776" s="24">
        <f>IF($A776="","",COUNTIFS(NOVEDADES!$D$4:$D$1503,$A776))</f>
        <v/>
      </c>
      <c r="P776" s="28">
        <f>IF($A776="","",IF(COUNTIFS(NOVEDADES!$D$4:$D$1503,$A776,NOVEDADES!$O$4:$O$1503,"SÍ")&gt;0,"No","Sí"))</f>
        <v/>
      </c>
      <c r="Q776" s="28">
        <f>IF(OR($A776="",$L776=""),"",IF(AND($N776="Sí",$P776="Sí"),"OTIF","Falló"))</f>
        <v/>
      </c>
    </row>
    <row r="777" ht="16" customHeight="1">
      <c r="A777" s="48" t="n"/>
      <c r="B777" s="48" t="n"/>
      <c r="C777" s="47" t="n"/>
      <c r="D777" s="50" t="n"/>
      <c r="E777" s="50" t="n"/>
      <c r="F777" s="50" t="n"/>
      <c r="G777" s="50" t="n"/>
      <c r="H777" s="48" t="n"/>
      <c r="I777" s="51" t="n"/>
      <c r="J777" s="52" t="n"/>
      <c r="K777" s="47" t="n"/>
      <c r="L777" s="47" t="n"/>
      <c r="M777" s="24">
        <f>IF(OR($A777="",$C777=""),"",IF($L777&lt;&gt;"",$L777-$C777,TODAY()-$C777))</f>
        <v/>
      </c>
      <c r="N777" s="28">
        <f>IF(OR($A777="",$K777=""),"",IF($L777="",IF(TODAY()&gt;$K777,"Atrasado","En ruta"),IF($L777&lt;=$K777,"Sí","No")))</f>
        <v/>
      </c>
      <c r="O777" s="24">
        <f>IF($A777="","",COUNTIFS(NOVEDADES!$D$4:$D$1503,$A777))</f>
        <v/>
      </c>
      <c r="P777" s="28">
        <f>IF($A777="","",IF(COUNTIFS(NOVEDADES!$D$4:$D$1503,$A777,NOVEDADES!$O$4:$O$1503,"SÍ")&gt;0,"No","Sí"))</f>
        <v/>
      </c>
      <c r="Q777" s="28">
        <f>IF(OR($A777="",$L777=""),"",IF(AND($N777="Sí",$P777="Sí"),"OTIF","Falló"))</f>
        <v/>
      </c>
    </row>
    <row r="778" ht="16" customHeight="1">
      <c r="A778" s="48" t="n"/>
      <c r="B778" s="48" t="n"/>
      <c r="C778" s="47" t="n"/>
      <c r="D778" s="50" t="n"/>
      <c r="E778" s="50" t="n"/>
      <c r="F778" s="50" t="n"/>
      <c r="G778" s="50" t="n"/>
      <c r="H778" s="48" t="n"/>
      <c r="I778" s="51" t="n"/>
      <c r="J778" s="52" t="n"/>
      <c r="K778" s="47" t="n"/>
      <c r="L778" s="47" t="n"/>
      <c r="M778" s="24">
        <f>IF(OR($A778="",$C778=""),"",IF($L778&lt;&gt;"",$L778-$C778,TODAY()-$C778))</f>
        <v/>
      </c>
      <c r="N778" s="28">
        <f>IF(OR($A778="",$K778=""),"",IF($L778="",IF(TODAY()&gt;$K778,"Atrasado","En ruta"),IF($L778&lt;=$K778,"Sí","No")))</f>
        <v/>
      </c>
      <c r="O778" s="24">
        <f>IF($A778="","",COUNTIFS(NOVEDADES!$D$4:$D$1503,$A778))</f>
        <v/>
      </c>
      <c r="P778" s="28">
        <f>IF($A778="","",IF(COUNTIFS(NOVEDADES!$D$4:$D$1503,$A778,NOVEDADES!$O$4:$O$1503,"SÍ")&gt;0,"No","Sí"))</f>
        <v/>
      </c>
      <c r="Q778" s="28">
        <f>IF(OR($A778="",$L778=""),"",IF(AND($N778="Sí",$P778="Sí"),"OTIF","Falló"))</f>
        <v/>
      </c>
    </row>
    <row r="779" ht="16" customHeight="1">
      <c r="A779" s="48" t="n"/>
      <c r="B779" s="48" t="n"/>
      <c r="C779" s="47" t="n"/>
      <c r="D779" s="50" t="n"/>
      <c r="E779" s="50" t="n"/>
      <c r="F779" s="50" t="n"/>
      <c r="G779" s="50" t="n"/>
      <c r="H779" s="48" t="n"/>
      <c r="I779" s="51" t="n"/>
      <c r="J779" s="52" t="n"/>
      <c r="K779" s="47" t="n"/>
      <c r="L779" s="47" t="n"/>
      <c r="M779" s="24">
        <f>IF(OR($A779="",$C779=""),"",IF($L779&lt;&gt;"",$L779-$C779,TODAY()-$C779))</f>
        <v/>
      </c>
      <c r="N779" s="28">
        <f>IF(OR($A779="",$K779=""),"",IF($L779="",IF(TODAY()&gt;$K779,"Atrasado","En ruta"),IF($L779&lt;=$K779,"Sí","No")))</f>
        <v/>
      </c>
      <c r="O779" s="24">
        <f>IF($A779="","",COUNTIFS(NOVEDADES!$D$4:$D$1503,$A779))</f>
        <v/>
      </c>
      <c r="P779" s="28">
        <f>IF($A779="","",IF(COUNTIFS(NOVEDADES!$D$4:$D$1503,$A779,NOVEDADES!$O$4:$O$1503,"SÍ")&gt;0,"No","Sí"))</f>
        <v/>
      </c>
      <c r="Q779" s="28">
        <f>IF(OR($A779="",$L779=""),"",IF(AND($N779="Sí",$P779="Sí"),"OTIF","Falló"))</f>
        <v/>
      </c>
    </row>
    <row r="780" ht="16" customHeight="1">
      <c r="A780" s="48" t="n"/>
      <c r="B780" s="48" t="n"/>
      <c r="C780" s="47" t="n"/>
      <c r="D780" s="50" t="n"/>
      <c r="E780" s="50" t="n"/>
      <c r="F780" s="50" t="n"/>
      <c r="G780" s="50" t="n"/>
      <c r="H780" s="48" t="n"/>
      <c r="I780" s="51" t="n"/>
      <c r="J780" s="52" t="n"/>
      <c r="K780" s="47" t="n"/>
      <c r="L780" s="47" t="n"/>
      <c r="M780" s="24">
        <f>IF(OR($A780="",$C780=""),"",IF($L780&lt;&gt;"",$L780-$C780,TODAY()-$C780))</f>
        <v/>
      </c>
      <c r="N780" s="28">
        <f>IF(OR($A780="",$K780=""),"",IF($L780="",IF(TODAY()&gt;$K780,"Atrasado","En ruta"),IF($L780&lt;=$K780,"Sí","No")))</f>
        <v/>
      </c>
      <c r="O780" s="24">
        <f>IF($A780="","",COUNTIFS(NOVEDADES!$D$4:$D$1503,$A780))</f>
        <v/>
      </c>
      <c r="P780" s="28">
        <f>IF($A780="","",IF(COUNTIFS(NOVEDADES!$D$4:$D$1503,$A780,NOVEDADES!$O$4:$O$1503,"SÍ")&gt;0,"No","Sí"))</f>
        <v/>
      </c>
      <c r="Q780" s="28">
        <f>IF(OR($A780="",$L780=""),"",IF(AND($N780="Sí",$P780="Sí"),"OTIF","Falló"))</f>
        <v/>
      </c>
    </row>
    <row r="781" ht="16" customHeight="1">
      <c r="A781" s="48" t="n"/>
      <c r="B781" s="48" t="n"/>
      <c r="C781" s="47" t="n"/>
      <c r="D781" s="50" t="n"/>
      <c r="E781" s="50" t="n"/>
      <c r="F781" s="50" t="n"/>
      <c r="G781" s="50" t="n"/>
      <c r="H781" s="48" t="n"/>
      <c r="I781" s="51" t="n"/>
      <c r="J781" s="52" t="n"/>
      <c r="K781" s="47" t="n"/>
      <c r="L781" s="47" t="n"/>
      <c r="M781" s="24">
        <f>IF(OR($A781="",$C781=""),"",IF($L781&lt;&gt;"",$L781-$C781,TODAY()-$C781))</f>
        <v/>
      </c>
      <c r="N781" s="28">
        <f>IF(OR($A781="",$K781=""),"",IF($L781="",IF(TODAY()&gt;$K781,"Atrasado","En ruta"),IF($L781&lt;=$K781,"Sí","No")))</f>
        <v/>
      </c>
      <c r="O781" s="24">
        <f>IF($A781="","",COUNTIFS(NOVEDADES!$D$4:$D$1503,$A781))</f>
        <v/>
      </c>
      <c r="P781" s="28">
        <f>IF($A781="","",IF(COUNTIFS(NOVEDADES!$D$4:$D$1503,$A781,NOVEDADES!$O$4:$O$1503,"SÍ")&gt;0,"No","Sí"))</f>
        <v/>
      </c>
      <c r="Q781" s="28">
        <f>IF(OR($A781="",$L781=""),"",IF(AND($N781="Sí",$P781="Sí"),"OTIF","Falló"))</f>
        <v/>
      </c>
    </row>
    <row r="782" ht="16" customHeight="1">
      <c r="A782" s="48" t="n"/>
      <c r="B782" s="48" t="n"/>
      <c r="C782" s="47" t="n"/>
      <c r="D782" s="50" t="n"/>
      <c r="E782" s="50" t="n"/>
      <c r="F782" s="50" t="n"/>
      <c r="G782" s="50" t="n"/>
      <c r="H782" s="48" t="n"/>
      <c r="I782" s="51" t="n"/>
      <c r="J782" s="52" t="n"/>
      <c r="K782" s="47" t="n"/>
      <c r="L782" s="47" t="n"/>
      <c r="M782" s="24">
        <f>IF(OR($A782="",$C782=""),"",IF($L782&lt;&gt;"",$L782-$C782,TODAY()-$C782))</f>
        <v/>
      </c>
      <c r="N782" s="28">
        <f>IF(OR($A782="",$K782=""),"",IF($L782="",IF(TODAY()&gt;$K782,"Atrasado","En ruta"),IF($L782&lt;=$K782,"Sí","No")))</f>
        <v/>
      </c>
      <c r="O782" s="24">
        <f>IF($A782="","",COUNTIFS(NOVEDADES!$D$4:$D$1503,$A782))</f>
        <v/>
      </c>
      <c r="P782" s="28">
        <f>IF($A782="","",IF(COUNTIFS(NOVEDADES!$D$4:$D$1503,$A782,NOVEDADES!$O$4:$O$1503,"SÍ")&gt;0,"No","Sí"))</f>
        <v/>
      </c>
      <c r="Q782" s="28">
        <f>IF(OR($A782="",$L782=""),"",IF(AND($N782="Sí",$P782="Sí"),"OTIF","Falló"))</f>
        <v/>
      </c>
    </row>
    <row r="783" ht="16" customHeight="1">
      <c r="A783" s="48" t="n"/>
      <c r="B783" s="48" t="n"/>
      <c r="C783" s="47" t="n"/>
      <c r="D783" s="50" t="n"/>
      <c r="E783" s="50" t="n"/>
      <c r="F783" s="50" t="n"/>
      <c r="G783" s="50" t="n"/>
      <c r="H783" s="48" t="n"/>
      <c r="I783" s="51" t="n"/>
      <c r="J783" s="52" t="n"/>
      <c r="K783" s="47" t="n"/>
      <c r="L783" s="47" t="n"/>
      <c r="M783" s="24">
        <f>IF(OR($A783="",$C783=""),"",IF($L783&lt;&gt;"",$L783-$C783,TODAY()-$C783))</f>
        <v/>
      </c>
      <c r="N783" s="28">
        <f>IF(OR($A783="",$K783=""),"",IF($L783="",IF(TODAY()&gt;$K783,"Atrasado","En ruta"),IF($L783&lt;=$K783,"Sí","No")))</f>
        <v/>
      </c>
      <c r="O783" s="24">
        <f>IF($A783="","",COUNTIFS(NOVEDADES!$D$4:$D$1503,$A783))</f>
        <v/>
      </c>
      <c r="P783" s="28">
        <f>IF($A783="","",IF(COUNTIFS(NOVEDADES!$D$4:$D$1503,$A783,NOVEDADES!$O$4:$O$1503,"SÍ")&gt;0,"No","Sí"))</f>
        <v/>
      </c>
      <c r="Q783" s="28">
        <f>IF(OR($A783="",$L783=""),"",IF(AND($N783="Sí",$P783="Sí"),"OTIF","Falló"))</f>
        <v/>
      </c>
    </row>
    <row r="784" ht="16" customHeight="1">
      <c r="A784" s="48" t="n"/>
      <c r="B784" s="48" t="n"/>
      <c r="C784" s="47" t="n"/>
      <c r="D784" s="50" t="n"/>
      <c r="E784" s="50" t="n"/>
      <c r="F784" s="50" t="n"/>
      <c r="G784" s="50" t="n"/>
      <c r="H784" s="48" t="n"/>
      <c r="I784" s="51" t="n"/>
      <c r="J784" s="52" t="n"/>
      <c r="K784" s="47" t="n"/>
      <c r="L784" s="47" t="n"/>
      <c r="M784" s="24">
        <f>IF(OR($A784="",$C784=""),"",IF($L784&lt;&gt;"",$L784-$C784,TODAY()-$C784))</f>
        <v/>
      </c>
      <c r="N784" s="28">
        <f>IF(OR($A784="",$K784=""),"",IF($L784="",IF(TODAY()&gt;$K784,"Atrasado","En ruta"),IF($L784&lt;=$K784,"Sí","No")))</f>
        <v/>
      </c>
      <c r="O784" s="24">
        <f>IF($A784="","",COUNTIFS(NOVEDADES!$D$4:$D$1503,$A784))</f>
        <v/>
      </c>
      <c r="P784" s="28">
        <f>IF($A784="","",IF(COUNTIFS(NOVEDADES!$D$4:$D$1503,$A784,NOVEDADES!$O$4:$O$1503,"SÍ")&gt;0,"No","Sí"))</f>
        <v/>
      </c>
      <c r="Q784" s="28">
        <f>IF(OR($A784="",$L784=""),"",IF(AND($N784="Sí",$P784="Sí"),"OTIF","Falló"))</f>
        <v/>
      </c>
    </row>
    <row r="785" ht="16" customHeight="1">
      <c r="A785" s="48" t="n"/>
      <c r="B785" s="48" t="n"/>
      <c r="C785" s="47" t="n"/>
      <c r="D785" s="50" t="n"/>
      <c r="E785" s="50" t="n"/>
      <c r="F785" s="50" t="n"/>
      <c r="G785" s="50" t="n"/>
      <c r="H785" s="48" t="n"/>
      <c r="I785" s="51" t="n"/>
      <c r="J785" s="52" t="n"/>
      <c r="K785" s="47" t="n"/>
      <c r="L785" s="47" t="n"/>
      <c r="M785" s="24">
        <f>IF(OR($A785="",$C785=""),"",IF($L785&lt;&gt;"",$L785-$C785,TODAY()-$C785))</f>
        <v/>
      </c>
      <c r="N785" s="28">
        <f>IF(OR($A785="",$K785=""),"",IF($L785="",IF(TODAY()&gt;$K785,"Atrasado","En ruta"),IF($L785&lt;=$K785,"Sí","No")))</f>
        <v/>
      </c>
      <c r="O785" s="24">
        <f>IF($A785="","",COUNTIFS(NOVEDADES!$D$4:$D$1503,$A785))</f>
        <v/>
      </c>
      <c r="P785" s="28">
        <f>IF($A785="","",IF(COUNTIFS(NOVEDADES!$D$4:$D$1503,$A785,NOVEDADES!$O$4:$O$1503,"SÍ")&gt;0,"No","Sí"))</f>
        <v/>
      </c>
      <c r="Q785" s="28">
        <f>IF(OR($A785="",$L785=""),"",IF(AND($N785="Sí",$P785="Sí"),"OTIF","Falló"))</f>
        <v/>
      </c>
    </row>
    <row r="786" ht="16" customHeight="1">
      <c r="A786" s="48" t="n"/>
      <c r="B786" s="48" t="n"/>
      <c r="C786" s="47" t="n"/>
      <c r="D786" s="50" t="n"/>
      <c r="E786" s="50" t="n"/>
      <c r="F786" s="50" t="n"/>
      <c r="G786" s="50" t="n"/>
      <c r="H786" s="48" t="n"/>
      <c r="I786" s="51" t="n"/>
      <c r="J786" s="52" t="n"/>
      <c r="K786" s="47" t="n"/>
      <c r="L786" s="47" t="n"/>
      <c r="M786" s="24">
        <f>IF(OR($A786="",$C786=""),"",IF($L786&lt;&gt;"",$L786-$C786,TODAY()-$C786))</f>
        <v/>
      </c>
      <c r="N786" s="28">
        <f>IF(OR($A786="",$K786=""),"",IF($L786="",IF(TODAY()&gt;$K786,"Atrasado","En ruta"),IF($L786&lt;=$K786,"Sí","No")))</f>
        <v/>
      </c>
      <c r="O786" s="24">
        <f>IF($A786="","",COUNTIFS(NOVEDADES!$D$4:$D$1503,$A786))</f>
        <v/>
      </c>
      <c r="P786" s="28">
        <f>IF($A786="","",IF(COUNTIFS(NOVEDADES!$D$4:$D$1503,$A786,NOVEDADES!$O$4:$O$1503,"SÍ")&gt;0,"No","Sí"))</f>
        <v/>
      </c>
      <c r="Q786" s="28">
        <f>IF(OR($A786="",$L786=""),"",IF(AND($N786="Sí",$P786="Sí"),"OTIF","Falló"))</f>
        <v/>
      </c>
    </row>
    <row r="787" ht="16" customHeight="1">
      <c r="A787" s="48" t="n"/>
      <c r="B787" s="48" t="n"/>
      <c r="C787" s="47" t="n"/>
      <c r="D787" s="50" t="n"/>
      <c r="E787" s="50" t="n"/>
      <c r="F787" s="50" t="n"/>
      <c r="G787" s="50" t="n"/>
      <c r="H787" s="48" t="n"/>
      <c r="I787" s="51" t="n"/>
      <c r="J787" s="52" t="n"/>
      <c r="K787" s="47" t="n"/>
      <c r="L787" s="47" t="n"/>
      <c r="M787" s="24">
        <f>IF(OR($A787="",$C787=""),"",IF($L787&lt;&gt;"",$L787-$C787,TODAY()-$C787))</f>
        <v/>
      </c>
      <c r="N787" s="28">
        <f>IF(OR($A787="",$K787=""),"",IF($L787="",IF(TODAY()&gt;$K787,"Atrasado","En ruta"),IF($L787&lt;=$K787,"Sí","No")))</f>
        <v/>
      </c>
      <c r="O787" s="24">
        <f>IF($A787="","",COUNTIFS(NOVEDADES!$D$4:$D$1503,$A787))</f>
        <v/>
      </c>
      <c r="P787" s="28">
        <f>IF($A787="","",IF(COUNTIFS(NOVEDADES!$D$4:$D$1503,$A787,NOVEDADES!$O$4:$O$1503,"SÍ")&gt;0,"No","Sí"))</f>
        <v/>
      </c>
      <c r="Q787" s="28">
        <f>IF(OR($A787="",$L787=""),"",IF(AND($N787="Sí",$P787="Sí"),"OTIF","Falló"))</f>
        <v/>
      </c>
    </row>
    <row r="788" ht="16" customHeight="1">
      <c r="A788" s="48" t="n"/>
      <c r="B788" s="48" t="n"/>
      <c r="C788" s="47" t="n"/>
      <c r="D788" s="50" t="n"/>
      <c r="E788" s="50" t="n"/>
      <c r="F788" s="50" t="n"/>
      <c r="G788" s="50" t="n"/>
      <c r="H788" s="48" t="n"/>
      <c r="I788" s="51" t="n"/>
      <c r="J788" s="52" t="n"/>
      <c r="K788" s="47" t="n"/>
      <c r="L788" s="47" t="n"/>
      <c r="M788" s="24">
        <f>IF(OR($A788="",$C788=""),"",IF($L788&lt;&gt;"",$L788-$C788,TODAY()-$C788))</f>
        <v/>
      </c>
      <c r="N788" s="28">
        <f>IF(OR($A788="",$K788=""),"",IF($L788="",IF(TODAY()&gt;$K788,"Atrasado","En ruta"),IF($L788&lt;=$K788,"Sí","No")))</f>
        <v/>
      </c>
      <c r="O788" s="24">
        <f>IF($A788="","",COUNTIFS(NOVEDADES!$D$4:$D$1503,$A788))</f>
        <v/>
      </c>
      <c r="P788" s="28">
        <f>IF($A788="","",IF(COUNTIFS(NOVEDADES!$D$4:$D$1503,$A788,NOVEDADES!$O$4:$O$1503,"SÍ")&gt;0,"No","Sí"))</f>
        <v/>
      </c>
      <c r="Q788" s="28">
        <f>IF(OR($A788="",$L788=""),"",IF(AND($N788="Sí",$P788="Sí"),"OTIF","Falló"))</f>
        <v/>
      </c>
    </row>
    <row r="789" ht="16" customHeight="1">
      <c r="A789" s="48" t="n"/>
      <c r="B789" s="48" t="n"/>
      <c r="C789" s="47" t="n"/>
      <c r="D789" s="50" t="n"/>
      <c r="E789" s="50" t="n"/>
      <c r="F789" s="50" t="n"/>
      <c r="G789" s="50" t="n"/>
      <c r="H789" s="48" t="n"/>
      <c r="I789" s="51" t="n"/>
      <c r="J789" s="52" t="n"/>
      <c r="K789" s="47" t="n"/>
      <c r="L789" s="47" t="n"/>
      <c r="M789" s="24">
        <f>IF(OR($A789="",$C789=""),"",IF($L789&lt;&gt;"",$L789-$C789,TODAY()-$C789))</f>
        <v/>
      </c>
      <c r="N789" s="28">
        <f>IF(OR($A789="",$K789=""),"",IF($L789="",IF(TODAY()&gt;$K789,"Atrasado","En ruta"),IF($L789&lt;=$K789,"Sí","No")))</f>
        <v/>
      </c>
      <c r="O789" s="24">
        <f>IF($A789="","",COUNTIFS(NOVEDADES!$D$4:$D$1503,$A789))</f>
        <v/>
      </c>
      <c r="P789" s="28">
        <f>IF($A789="","",IF(COUNTIFS(NOVEDADES!$D$4:$D$1503,$A789,NOVEDADES!$O$4:$O$1503,"SÍ")&gt;0,"No","Sí"))</f>
        <v/>
      </c>
      <c r="Q789" s="28">
        <f>IF(OR($A789="",$L789=""),"",IF(AND($N789="Sí",$P789="Sí"),"OTIF","Falló"))</f>
        <v/>
      </c>
    </row>
    <row r="790" ht="16" customHeight="1">
      <c r="A790" s="48" t="n"/>
      <c r="B790" s="48" t="n"/>
      <c r="C790" s="47" t="n"/>
      <c r="D790" s="50" t="n"/>
      <c r="E790" s="50" t="n"/>
      <c r="F790" s="50" t="n"/>
      <c r="G790" s="50" t="n"/>
      <c r="H790" s="48" t="n"/>
      <c r="I790" s="51" t="n"/>
      <c r="J790" s="52" t="n"/>
      <c r="K790" s="47" t="n"/>
      <c r="L790" s="47" t="n"/>
      <c r="M790" s="24">
        <f>IF(OR($A790="",$C790=""),"",IF($L790&lt;&gt;"",$L790-$C790,TODAY()-$C790))</f>
        <v/>
      </c>
      <c r="N790" s="28">
        <f>IF(OR($A790="",$K790=""),"",IF($L790="",IF(TODAY()&gt;$K790,"Atrasado","En ruta"),IF($L790&lt;=$K790,"Sí","No")))</f>
        <v/>
      </c>
      <c r="O790" s="24">
        <f>IF($A790="","",COUNTIFS(NOVEDADES!$D$4:$D$1503,$A790))</f>
        <v/>
      </c>
      <c r="P790" s="28">
        <f>IF($A790="","",IF(COUNTIFS(NOVEDADES!$D$4:$D$1503,$A790,NOVEDADES!$O$4:$O$1503,"SÍ")&gt;0,"No","Sí"))</f>
        <v/>
      </c>
      <c r="Q790" s="28">
        <f>IF(OR($A790="",$L790=""),"",IF(AND($N790="Sí",$P790="Sí"),"OTIF","Falló"))</f>
        <v/>
      </c>
    </row>
    <row r="791" ht="16" customHeight="1">
      <c r="A791" s="48" t="n"/>
      <c r="B791" s="48" t="n"/>
      <c r="C791" s="47" t="n"/>
      <c r="D791" s="50" t="n"/>
      <c r="E791" s="50" t="n"/>
      <c r="F791" s="50" t="n"/>
      <c r="G791" s="50" t="n"/>
      <c r="H791" s="48" t="n"/>
      <c r="I791" s="51" t="n"/>
      <c r="J791" s="52" t="n"/>
      <c r="K791" s="47" t="n"/>
      <c r="L791" s="47" t="n"/>
      <c r="M791" s="24">
        <f>IF(OR($A791="",$C791=""),"",IF($L791&lt;&gt;"",$L791-$C791,TODAY()-$C791))</f>
        <v/>
      </c>
      <c r="N791" s="28">
        <f>IF(OR($A791="",$K791=""),"",IF($L791="",IF(TODAY()&gt;$K791,"Atrasado","En ruta"),IF($L791&lt;=$K791,"Sí","No")))</f>
        <v/>
      </c>
      <c r="O791" s="24">
        <f>IF($A791="","",COUNTIFS(NOVEDADES!$D$4:$D$1503,$A791))</f>
        <v/>
      </c>
      <c r="P791" s="28">
        <f>IF($A791="","",IF(COUNTIFS(NOVEDADES!$D$4:$D$1503,$A791,NOVEDADES!$O$4:$O$1503,"SÍ")&gt;0,"No","Sí"))</f>
        <v/>
      </c>
      <c r="Q791" s="28">
        <f>IF(OR($A791="",$L791=""),"",IF(AND($N791="Sí",$P791="Sí"),"OTIF","Falló"))</f>
        <v/>
      </c>
    </row>
    <row r="792" ht="16" customHeight="1">
      <c r="A792" s="48" t="n"/>
      <c r="B792" s="48" t="n"/>
      <c r="C792" s="47" t="n"/>
      <c r="D792" s="50" t="n"/>
      <c r="E792" s="50" t="n"/>
      <c r="F792" s="50" t="n"/>
      <c r="G792" s="50" t="n"/>
      <c r="H792" s="48" t="n"/>
      <c r="I792" s="51" t="n"/>
      <c r="J792" s="52" t="n"/>
      <c r="K792" s="47" t="n"/>
      <c r="L792" s="47" t="n"/>
      <c r="M792" s="24">
        <f>IF(OR($A792="",$C792=""),"",IF($L792&lt;&gt;"",$L792-$C792,TODAY()-$C792))</f>
        <v/>
      </c>
      <c r="N792" s="28">
        <f>IF(OR($A792="",$K792=""),"",IF($L792="",IF(TODAY()&gt;$K792,"Atrasado","En ruta"),IF($L792&lt;=$K792,"Sí","No")))</f>
        <v/>
      </c>
      <c r="O792" s="24">
        <f>IF($A792="","",COUNTIFS(NOVEDADES!$D$4:$D$1503,$A792))</f>
        <v/>
      </c>
      <c r="P792" s="28">
        <f>IF($A792="","",IF(COUNTIFS(NOVEDADES!$D$4:$D$1503,$A792,NOVEDADES!$O$4:$O$1503,"SÍ")&gt;0,"No","Sí"))</f>
        <v/>
      </c>
      <c r="Q792" s="28">
        <f>IF(OR($A792="",$L792=""),"",IF(AND($N792="Sí",$P792="Sí"),"OTIF","Falló"))</f>
        <v/>
      </c>
    </row>
    <row r="793" ht="16" customHeight="1">
      <c r="A793" s="48" t="n"/>
      <c r="B793" s="48" t="n"/>
      <c r="C793" s="47" t="n"/>
      <c r="D793" s="50" t="n"/>
      <c r="E793" s="50" t="n"/>
      <c r="F793" s="50" t="n"/>
      <c r="G793" s="50" t="n"/>
      <c r="H793" s="48" t="n"/>
      <c r="I793" s="51" t="n"/>
      <c r="J793" s="52" t="n"/>
      <c r="K793" s="47" t="n"/>
      <c r="L793" s="47" t="n"/>
      <c r="M793" s="24">
        <f>IF(OR($A793="",$C793=""),"",IF($L793&lt;&gt;"",$L793-$C793,TODAY()-$C793))</f>
        <v/>
      </c>
      <c r="N793" s="28">
        <f>IF(OR($A793="",$K793=""),"",IF($L793="",IF(TODAY()&gt;$K793,"Atrasado","En ruta"),IF($L793&lt;=$K793,"Sí","No")))</f>
        <v/>
      </c>
      <c r="O793" s="24">
        <f>IF($A793="","",COUNTIFS(NOVEDADES!$D$4:$D$1503,$A793))</f>
        <v/>
      </c>
      <c r="P793" s="28">
        <f>IF($A793="","",IF(COUNTIFS(NOVEDADES!$D$4:$D$1503,$A793,NOVEDADES!$O$4:$O$1503,"SÍ")&gt;0,"No","Sí"))</f>
        <v/>
      </c>
      <c r="Q793" s="28">
        <f>IF(OR($A793="",$L793=""),"",IF(AND($N793="Sí",$P793="Sí"),"OTIF","Falló"))</f>
        <v/>
      </c>
    </row>
    <row r="794" ht="16" customHeight="1">
      <c r="A794" s="48" t="n"/>
      <c r="B794" s="48" t="n"/>
      <c r="C794" s="47" t="n"/>
      <c r="D794" s="50" t="n"/>
      <c r="E794" s="50" t="n"/>
      <c r="F794" s="50" t="n"/>
      <c r="G794" s="50" t="n"/>
      <c r="H794" s="48" t="n"/>
      <c r="I794" s="51" t="n"/>
      <c r="J794" s="52" t="n"/>
      <c r="K794" s="47" t="n"/>
      <c r="L794" s="47" t="n"/>
      <c r="M794" s="24">
        <f>IF(OR($A794="",$C794=""),"",IF($L794&lt;&gt;"",$L794-$C794,TODAY()-$C794))</f>
        <v/>
      </c>
      <c r="N794" s="28">
        <f>IF(OR($A794="",$K794=""),"",IF($L794="",IF(TODAY()&gt;$K794,"Atrasado","En ruta"),IF($L794&lt;=$K794,"Sí","No")))</f>
        <v/>
      </c>
      <c r="O794" s="24">
        <f>IF($A794="","",COUNTIFS(NOVEDADES!$D$4:$D$1503,$A794))</f>
        <v/>
      </c>
      <c r="P794" s="28">
        <f>IF($A794="","",IF(COUNTIFS(NOVEDADES!$D$4:$D$1503,$A794,NOVEDADES!$O$4:$O$1503,"SÍ")&gt;0,"No","Sí"))</f>
        <v/>
      </c>
      <c r="Q794" s="28">
        <f>IF(OR($A794="",$L794=""),"",IF(AND($N794="Sí",$P794="Sí"),"OTIF","Falló"))</f>
        <v/>
      </c>
    </row>
    <row r="795" ht="16" customHeight="1">
      <c r="A795" s="48" t="n"/>
      <c r="B795" s="48" t="n"/>
      <c r="C795" s="47" t="n"/>
      <c r="D795" s="50" t="n"/>
      <c r="E795" s="50" t="n"/>
      <c r="F795" s="50" t="n"/>
      <c r="G795" s="50" t="n"/>
      <c r="H795" s="48" t="n"/>
      <c r="I795" s="51" t="n"/>
      <c r="J795" s="52" t="n"/>
      <c r="K795" s="47" t="n"/>
      <c r="L795" s="47" t="n"/>
      <c r="M795" s="24">
        <f>IF(OR($A795="",$C795=""),"",IF($L795&lt;&gt;"",$L795-$C795,TODAY()-$C795))</f>
        <v/>
      </c>
      <c r="N795" s="28">
        <f>IF(OR($A795="",$K795=""),"",IF($L795="",IF(TODAY()&gt;$K795,"Atrasado","En ruta"),IF($L795&lt;=$K795,"Sí","No")))</f>
        <v/>
      </c>
      <c r="O795" s="24">
        <f>IF($A795="","",COUNTIFS(NOVEDADES!$D$4:$D$1503,$A795))</f>
        <v/>
      </c>
      <c r="P795" s="28">
        <f>IF($A795="","",IF(COUNTIFS(NOVEDADES!$D$4:$D$1503,$A795,NOVEDADES!$O$4:$O$1503,"SÍ")&gt;0,"No","Sí"))</f>
        <v/>
      </c>
      <c r="Q795" s="28">
        <f>IF(OR($A795="",$L795=""),"",IF(AND($N795="Sí",$P795="Sí"),"OTIF","Falló"))</f>
        <v/>
      </c>
    </row>
    <row r="796" ht="16" customHeight="1">
      <c r="A796" s="48" t="n"/>
      <c r="B796" s="48" t="n"/>
      <c r="C796" s="47" t="n"/>
      <c r="D796" s="50" t="n"/>
      <c r="E796" s="50" t="n"/>
      <c r="F796" s="50" t="n"/>
      <c r="G796" s="50" t="n"/>
      <c r="H796" s="48" t="n"/>
      <c r="I796" s="51" t="n"/>
      <c r="J796" s="52" t="n"/>
      <c r="K796" s="47" t="n"/>
      <c r="L796" s="47" t="n"/>
      <c r="M796" s="24">
        <f>IF(OR($A796="",$C796=""),"",IF($L796&lt;&gt;"",$L796-$C796,TODAY()-$C796))</f>
        <v/>
      </c>
      <c r="N796" s="28">
        <f>IF(OR($A796="",$K796=""),"",IF($L796="",IF(TODAY()&gt;$K796,"Atrasado","En ruta"),IF($L796&lt;=$K796,"Sí","No")))</f>
        <v/>
      </c>
      <c r="O796" s="24">
        <f>IF($A796="","",COUNTIFS(NOVEDADES!$D$4:$D$1503,$A796))</f>
        <v/>
      </c>
      <c r="P796" s="28">
        <f>IF($A796="","",IF(COUNTIFS(NOVEDADES!$D$4:$D$1503,$A796,NOVEDADES!$O$4:$O$1503,"SÍ")&gt;0,"No","Sí"))</f>
        <v/>
      </c>
      <c r="Q796" s="28">
        <f>IF(OR($A796="",$L796=""),"",IF(AND($N796="Sí",$P796="Sí"),"OTIF","Falló"))</f>
        <v/>
      </c>
    </row>
    <row r="797" ht="16" customHeight="1">
      <c r="A797" s="48" t="n"/>
      <c r="B797" s="48" t="n"/>
      <c r="C797" s="47" t="n"/>
      <c r="D797" s="50" t="n"/>
      <c r="E797" s="50" t="n"/>
      <c r="F797" s="50" t="n"/>
      <c r="G797" s="50" t="n"/>
      <c r="H797" s="48" t="n"/>
      <c r="I797" s="51" t="n"/>
      <c r="J797" s="52" t="n"/>
      <c r="K797" s="47" t="n"/>
      <c r="L797" s="47" t="n"/>
      <c r="M797" s="24">
        <f>IF(OR($A797="",$C797=""),"",IF($L797&lt;&gt;"",$L797-$C797,TODAY()-$C797))</f>
        <v/>
      </c>
      <c r="N797" s="28">
        <f>IF(OR($A797="",$K797=""),"",IF($L797="",IF(TODAY()&gt;$K797,"Atrasado","En ruta"),IF($L797&lt;=$K797,"Sí","No")))</f>
        <v/>
      </c>
      <c r="O797" s="24">
        <f>IF($A797="","",COUNTIFS(NOVEDADES!$D$4:$D$1503,$A797))</f>
        <v/>
      </c>
      <c r="P797" s="28">
        <f>IF($A797="","",IF(COUNTIFS(NOVEDADES!$D$4:$D$1503,$A797,NOVEDADES!$O$4:$O$1503,"SÍ")&gt;0,"No","Sí"))</f>
        <v/>
      </c>
      <c r="Q797" s="28">
        <f>IF(OR($A797="",$L797=""),"",IF(AND($N797="Sí",$P797="Sí"),"OTIF","Falló"))</f>
        <v/>
      </c>
    </row>
    <row r="798" ht="16" customHeight="1">
      <c r="A798" s="48" t="n"/>
      <c r="B798" s="48" t="n"/>
      <c r="C798" s="47" t="n"/>
      <c r="D798" s="50" t="n"/>
      <c r="E798" s="50" t="n"/>
      <c r="F798" s="50" t="n"/>
      <c r="G798" s="50" t="n"/>
      <c r="H798" s="48" t="n"/>
      <c r="I798" s="51" t="n"/>
      <c r="J798" s="52" t="n"/>
      <c r="K798" s="47" t="n"/>
      <c r="L798" s="47" t="n"/>
      <c r="M798" s="24">
        <f>IF(OR($A798="",$C798=""),"",IF($L798&lt;&gt;"",$L798-$C798,TODAY()-$C798))</f>
        <v/>
      </c>
      <c r="N798" s="28">
        <f>IF(OR($A798="",$K798=""),"",IF($L798="",IF(TODAY()&gt;$K798,"Atrasado","En ruta"),IF($L798&lt;=$K798,"Sí","No")))</f>
        <v/>
      </c>
      <c r="O798" s="24">
        <f>IF($A798="","",COUNTIFS(NOVEDADES!$D$4:$D$1503,$A798))</f>
        <v/>
      </c>
      <c r="P798" s="28">
        <f>IF($A798="","",IF(COUNTIFS(NOVEDADES!$D$4:$D$1503,$A798,NOVEDADES!$O$4:$O$1503,"SÍ")&gt;0,"No","Sí"))</f>
        <v/>
      </c>
      <c r="Q798" s="28">
        <f>IF(OR($A798="",$L798=""),"",IF(AND($N798="Sí",$P798="Sí"),"OTIF","Falló"))</f>
        <v/>
      </c>
    </row>
    <row r="799" ht="16" customHeight="1">
      <c r="A799" s="48" t="n"/>
      <c r="B799" s="48" t="n"/>
      <c r="C799" s="47" t="n"/>
      <c r="D799" s="50" t="n"/>
      <c r="E799" s="50" t="n"/>
      <c r="F799" s="50" t="n"/>
      <c r="G799" s="50" t="n"/>
      <c r="H799" s="48" t="n"/>
      <c r="I799" s="51" t="n"/>
      <c r="J799" s="52" t="n"/>
      <c r="K799" s="47" t="n"/>
      <c r="L799" s="47" t="n"/>
      <c r="M799" s="24">
        <f>IF(OR($A799="",$C799=""),"",IF($L799&lt;&gt;"",$L799-$C799,TODAY()-$C799))</f>
        <v/>
      </c>
      <c r="N799" s="28">
        <f>IF(OR($A799="",$K799=""),"",IF($L799="",IF(TODAY()&gt;$K799,"Atrasado","En ruta"),IF($L799&lt;=$K799,"Sí","No")))</f>
        <v/>
      </c>
      <c r="O799" s="24">
        <f>IF($A799="","",COUNTIFS(NOVEDADES!$D$4:$D$1503,$A799))</f>
        <v/>
      </c>
      <c r="P799" s="28">
        <f>IF($A799="","",IF(COUNTIFS(NOVEDADES!$D$4:$D$1503,$A799,NOVEDADES!$O$4:$O$1503,"SÍ")&gt;0,"No","Sí"))</f>
        <v/>
      </c>
      <c r="Q799" s="28">
        <f>IF(OR($A799="",$L799=""),"",IF(AND($N799="Sí",$P799="Sí"),"OTIF","Falló"))</f>
        <v/>
      </c>
    </row>
    <row r="800" ht="16" customHeight="1">
      <c r="A800" s="48" t="n"/>
      <c r="B800" s="48" t="n"/>
      <c r="C800" s="47" t="n"/>
      <c r="D800" s="50" t="n"/>
      <c r="E800" s="50" t="n"/>
      <c r="F800" s="50" t="n"/>
      <c r="G800" s="50" t="n"/>
      <c r="H800" s="48" t="n"/>
      <c r="I800" s="51" t="n"/>
      <c r="J800" s="52" t="n"/>
      <c r="K800" s="47" t="n"/>
      <c r="L800" s="47" t="n"/>
      <c r="M800" s="24">
        <f>IF(OR($A800="",$C800=""),"",IF($L800&lt;&gt;"",$L800-$C800,TODAY()-$C800))</f>
        <v/>
      </c>
      <c r="N800" s="28">
        <f>IF(OR($A800="",$K800=""),"",IF($L800="",IF(TODAY()&gt;$K800,"Atrasado","En ruta"),IF($L800&lt;=$K800,"Sí","No")))</f>
        <v/>
      </c>
      <c r="O800" s="24">
        <f>IF($A800="","",COUNTIFS(NOVEDADES!$D$4:$D$1503,$A800))</f>
        <v/>
      </c>
      <c r="P800" s="28">
        <f>IF($A800="","",IF(COUNTIFS(NOVEDADES!$D$4:$D$1503,$A800,NOVEDADES!$O$4:$O$1503,"SÍ")&gt;0,"No","Sí"))</f>
        <v/>
      </c>
      <c r="Q800" s="28">
        <f>IF(OR($A800="",$L800=""),"",IF(AND($N800="Sí",$P800="Sí"),"OTIF","Falló"))</f>
        <v/>
      </c>
    </row>
    <row r="801" ht="16" customHeight="1">
      <c r="A801" s="48" t="n"/>
      <c r="B801" s="48" t="n"/>
      <c r="C801" s="47" t="n"/>
      <c r="D801" s="50" t="n"/>
      <c r="E801" s="50" t="n"/>
      <c r="F801" s="50" t="n"/>
      <c r="G801" s="50" t="n"/>
      <c r="H801" s="48" t="n"/>
      <c r="I801" s="51" t="n"/>
      <c r="J801" s="52" t="n"/>
      <c r="K801" s="47" t="n"/>
      <c r="L801" s="47" t="n"/>
      <c r="M801" s="24">
        <f>IF(OR($A801="",$C801=""),"",IF($L801&lt;&gt;"",$L801-$C801,TODAY()-$C801))</f>
        <v/>
      </c>
      <c r="N801" s="28">
        <f>IF(OR($A801="",$K801=""),"",IF($L801="",IF(TODAY()&gt;$K801,"Atrasado","En ruta"),IF($L801&lt;=$K801,"Sí","No")))</f>
        <v/>
      </c>
      <c r="O801" s="24">
        <f>IF($A801="","",COUNTIFS(NOVEDADES!$D$4:$D$1503,$A801))</f>
        <v/>
      </c>
      <c r="P801" s="28">
        <f>IF($A801="","",IF(COUNTIFS(NOVEDADES!$D$4:$D$1503,$A801,NOVEDADES!$O$4:$O$1503,"SÍ")&gt;0,"No","Sí"))</f>
        <v/>
      </c>
      <c r="Q801" s="28">
        <f>IF(OR($A801="",$L801=""),"",IF(AND($N801="Sí",$P801="Sí"),"OTIF","Falló"))</f>
        <v/>
      </c>
    </row>
    <row r="802" ht="16" customHeight="1">
      <c r="A802" s="48" t="n"/>
      <c r="B802" s="48" t="n"/>
      <c r="C802" s="47" t="n"/>
      <c r="D802" s="50" t="n"/>
      <c r="E802" s="50" t="n"/>
      <c r="F802" s="50" t="n"/>
      <c r="G802" s="50" t="n"/>
      <c r="H802" s="48" t="n"/>
      <c r="I802" s="51" t="n"/>
      <c r="J802" s="52" t="n"/>
      <c r="K802" s="47" t="n"/>
      <c r="L802" s="47" t="n"/>
      <c r="M802" s="24">
        <f>IF(OR($A802="",$C802=""),"",IF($L802&lt;&gt;"",$L802-$C802,TODAY()-$C802))</f>
        <v/>
      </c>
      <c r="N802" s="28">
        <f>IF(OR($A802="",$K802=""),"",IF($L802="",IF(TODAY()&gt;$K802,"Atrasado","En ruta"),IF($L802&lt;=$K802,"Sí","No")))</f>
        <v/>
      </c>
      <c r="O802" s="24">
        <f>IF($A802="","",COUNTIFS(NOVEDADES!$D$4:$D$1503,$A802))</f>
        <v/>
      </c>
      <c r="P802" s="28">
        <f>IF($A802="","",IF(COUNTIFS(NOVEDADES!$D$4:$D$1503,$A802,NOVEDADES!$O$4:$O$1503,"SÍ")&gt;0,"No","Sí"))</f>
        <v/>
      </c>
      <c r="Q802" s="28">
        <f>IF(OR($A802="",$L802=""),"",IF(AND($N802="Sí",$P802="Sí"),"OTIF","Falló"))</f>
        <v/>
      </c>
    </row>
    <row r="803" ht="16" customHeight="1">
      <c r="A803" s="48" t="n"/>
      <c r="B803" s="48" t="n"/>
      <c r="C803" s="47" t="n"/>
      <c r="D803" s="50" t="n"/>
      <c r="E803" s="50" t="n"/>
      <c r="F803" s="50" t="n"/>
      <c r="G803" s="50" t="n"/>
      <c r="H803" s="48" t="n"/>
      <c r="I803" s="51" t="n"/>
      <c r="J803" s="52" t="n"/>
      <c r="K803" s="47" t="n"/>
      <c r="L803" s="47" t="n"/>
      <c r="M803" s="24">
        <f>IF(OR($A803="",$C803=""),"",IF($L803&lt;&gt;"",$L803-$C803,TODAY()-$C803))</f>
        <v/>
      </c>
      <c r="N803" s="28">
        <f>IF(OR($A803="",$K803=""),"",IF($L803="",IF(TODAY()&gt;$K803,"Atrasado","En ruta"),IF($L803&lt;=$K803,"Sí","No")))</f>
        <v/>
      </c>
      <c r="O803" s="24">
        <f>IF($A803="","",COUNTIFS(NOVEDADES!$D$4:$D$1503,$A803))</f>
        <v/>
      </c>
      <c r="P803" s="28">
        <f>IF($A803="","",IF(COUNTIFS(NOVEDADES!$D$4:$D$1503,$A803,NOVEDADES!$O$4:$O$1503,"SÍ")&gt;0,"No","Sí"))</f>
        <v/>
      </c>
      <c r="Q803" s="28">
        <f>IF(OR($A803="",$L803=""),"",IF(AND($N803="Sí",$P803="Sí"),"OTIF","Falló"))</f>
        <v/>
      </c>
    </row>
    <row r="804" ht="16" customHeight="1">
      <c r="A804" s="48" t="n"/>
      <c r="B804" s="48" t="n"/>
      <c r="C804" s="47" t="n"/>
      <c r="D804" s="50" t="n"/>
      <c r="E804" s="50" t="n"/>
      <c r="F804" s="50" t="n"/>
      <c r="G804" s="50" t="n"/>
      <c r="H804" s="48" t="n"/>
      <c r="I804" s="51" t="n"/>
      <c r="J804" s="52" t="n"/>
      <c r="K804" s="47" t="n"/>
      <c r="L804" s="47" t="n"/>
      <c r="M804" s="24">
        <f>IF(OR($A804="",$C804=""),"",IF($L804&lt;&gt;"",$L804-$C804,TODAY()-$C804))</f>
        <v/>
      </c>
      <c r="N804" s="28">
        <f>IF(OR($A804="",$K804=""),"",IF($L804="",IF(TODAY()&gt;$K804,"Atrasado","En ruta"),IF($L804&lt;=$K804,"Sí","No")))</f>
        <v/>
      </c>
      <c r="O804" s="24">
        <f>IF($A804="","",COUNTIFS(NOVEDADES!$D$4:$D$1503,$A804))</f>
        <v/>
      </c>
      <c r="P804" s="28">
        <f>IF($A804="","",IF(COUNTIFS(NOVEDADES!$D$4:$D$1503,$A804,NOVEDADES!$O$4:$O$1503,"SÍ")&gt;0,"No","Sí"))</f>
        <v/>
      </c>
      <c r="Q804" s="28">
        <f>IF(OR($A804="",$L804=""),"",IF(AND($N804="Sí",$P804="Sí"),"OTIF","Falló"))</f>
        <v/>
      </c>
    </row>
    <row r="805" ht="16" customHeight="1">
      <c r="A805" s="48" t="n"/>
      <c r="B805" s="48" t="n"/>
      <c r="C805" s="47" t="n"/>
      <c r="D805" s="50" t="n"/>
      <c r="E805" s="50" t="n"/>
      <c r="F805" s="50" t="n"/>
      <c r="G805" s="50" t="n"/>
      <c r="H805" s="48" t="n"/>
      <c r="I805" s="51" t="n"/>
      <c r="J805" s="52" t="n"/>
      <c r="K805" s="47" t="n"/>
      <c r="L805" s="47" t="n"/>
      <c r="M805" s="24">
        <f>IF(OR($A805="",$C805=""),"",IF($L805&lt;&gt;"",$L805-$C805,TODAY()-$C805))</f>
        <v/>
      </c>
      <c r="N805" s="28">
        <f>IF(OR($A805="",$K805=""),"",IF($L805="",IF(TODAY()&gt;$K805,"Atrasado","En ruta"),IF($L805&lt;=$K805,"Sí","No")))</f>
        <v/>
      </c>
      <c r="O805" s="24">
        <f>IF($A805="","",COUNTIFS(NOVEDADES!$D$4:$D$1503,$A805))</f>
        <v/>
      </c>
      <c r="P805" s="28">
        <f>IF($A805="","",IF(COUNTIFS(NOVEDADES!$D$4:$D$1503,$A805,NOVEDADES!$O$4:$O$1503,"SÍ")&gt;0,"No","Sí"))</f>
        <v/>
      </c>
      <c r="Q805" s="28">
        <f>IF(OR($A805="",$L805=""),"",IF(AND($N805="Sí",$P805="Sí"),"OTIF","Falló"))</f>
        <v/>
      </c>
    </row>
    <row r="806" ht="16" customHeight="1">
      <c r="A806" s="48" t="n"/>
      <c r="B806" s="48" t="n"/>
      <c r="C806" s="47" t="n"/>
      <c r="D806" s="50" t="n"/>
      <c r="E806" s="50" t="n"/>
      <c r="F806" s="50" t="n"/>
      <c r="G806" s="50" t="n"/>
      <c r="H806" s="48" t="n"/>
      <c r="I806" s="51" t="n"/>
      <c r="J806" s="52" t="n"/>
      <c r="K806" s="47" t="n"/>
      <c r="L806" s="47" t="n"/>
      <c r="M806" s="24">
        <f>IF(OR($A806="",$C806=""),"",IF($L806&lt;&gt;"",$L806-$C806,TODAY()-$C806))</f>
        <v/>
      </c>
      <c r="N806" s="28">
        <f>IF(OR($A806="",$K806=""),"",IF($L806="",IF(TODAY()&gt;$K806,"Atrasado","En ruta"),IF($L806&lt;=$K806,"Sí","No")))</f>
        <v/>
      </c>
      <c r="O806" s="24">
        <f>IF($A806="","",COUNTIFS(NOVEDADES!$D$4:$D$1503,$A806))</f>
        <v/>
      </c>
      <c r="P806" s="28">
        <f>IF($A806="","",IF(COUNTIFS(NOVEDADES!$D$4:$D$1503,$A806,NOVEDADES!$O$4:$O$1503,"SÍ")&gt;0,"No","Sí"))</f>
        <v/>
      </c>
      <c r="Q806" s="28">
        <f>IF(OR($A806="",$L806=""),"",IF(AND($N806="Sí",$P806="Sí"),"OTIF","Falló"))</f>
        <v/>
      </c>
    </row>
    <row r="807" ht="16" customHeight="1">
      <c r="A807" s="48" t="n"/>
      <c r="B807" s="48" t="n"/>
      <c r="C807" s="47" t="n"/>
      <c r="D807" s="50" t="n"/>
      <c r="E807" s="50" t="n"/>
      <c r="F807" s="50" t="n"/>
      <c r="G807" s="50" t="n"/>
      <c r="H807" s="48" t="n"/>
      <c r="I807" s="51" t="n"/>
      <c r="J807" s="52" t="n"/>
      <c r="K807" s="47" t="n"/>
      <c r="L807" s="47" t="n"/>
      <c r="M807" s="24">
        <f>IF(OR($A807="",$C807=""),"",IF($L807&lt;&gt;"",$L807-$C807,TODAY()-$C807))</f>
        <v/>
      </c>
      <c r="N807" s="28">
        <f>IF(OR($A807="",$K807=""),"",IF($L807="",IF(TODAY()&gt;$K807,"Atrasado","En ruta"),IF($L807&lt;=$K807,"Sí","No")))</f>
        <v/>
      </c>
      <c r="O807" s="24">
        <f>IF($A807="","",COUNTIFS(NOVEDADES!$D$4:$D$1503,$A807))</f>
        <v/>
      </c>
      <c r="P807" s="28">
        <f>IF($A807="","",IF(COUNTIFS(NOVEDADES!$D$4:$D$1503,$A807,NOVEDADES!$O$4:$O$1503,"SÍ")&gt;0,"No","Sí"))</f>
        <v/>
      </c>
      <c r="Q807" s="28">
        <f>IF(OR($A807="",$L807=""),"",IF(AND($N807="Sí",$P807="Sí"),"OTIF","Falló"))</f>
        <v/>
      </c>
    </row>
    <row r="808" ht="16" customHeight="1">
      <c r="A808" s="48" t="n"/>
      <c r="B808" s="48" t="n"/>
      <c r="C808" s="47" t="n"/>
      <c r="D808" s="50" t="n"/>
      <c r="E808" s="50" t="n"/>
      <c r="F808" s="50" t="n"/>
      <c r="G808" s="50" t="n"/>
      <c r="H808" s="48" t="n"/>
      <c r="I808" s="51" t="n"/>
      <c r="J808" s="52" t="n"/>
      <c r="K808" s="47" t="n"/>
      <c r="L808" s="47" t="n"/>
      <c r="M808" s="24">
        <f>IF(OR($A808="",$C808=""),"",IF($L808&lt;&gt;"",$L808-$C808,TODAY()-$C808))</f>
        <v/>
      </c>
      <c r="N808" s="28">
        <f>IF(OR($A808="",$K808=""),"",IF($L808="",IF(TODAY()&gt;$K808,"Atrasado","En ruta"),IF($L808&lt;=$K808,"Sí","No")))</f>
        <v/>
      </c>
      <c r="O808" s="24">
        <f>IF($A808="","",COUNTIFS(NOVEDADES!$D$4:$D$1503,$A808))</f>
        <v/>
      </c>
      <c r="P808" s="28">
        <f>IF($A808="","",IF(COUNTIFS(NOVEDADES!$D$4:$D$1503,$A808,NOVEDADES!$O$4:$O$1503,"SÍ")&gt;0,"No","Sí"))</f>
        <v/>
      </c>
      <c r="Q808" s="28">
        <f>IF(OR($A808="",$L808=""),"",IF(AND($N808="Sí",$P808="Sí"),"OTIF","Falló"))</f>
        <v/>
      </c>
    </row>
    <row r="809" ht="16" customHeight="1">
      <c r="A809" s="48" t="n"/>
      <c r="B809" s="48" t="n"/>
      <c r="C809" s="47" t="n"/>
      <c r="D809" s="50" t="n"/>
      <c r="E809" s="50" t="n"/>
      <c r="F809" s="50" t="n"/>
      <c r="G809" s="50" t="n"/>
      <c r="H809" s="48" t="n"/>
      <c r="I809" s="51" t="n"/>
      <c r="J809" s="52" t="n"/>
      <c r="K809" s="47" t="n"/>
      <c r="L809" s="47" t="n"/>
      <c r="M809" s="24">
        <f>IF(OR($A809="",$C809=""),"",IF($L809&lt;&gt;"",$L809-$C809,TODAY()-$C809))</f>
        <v/>
      </c>
      <c r="N809" s="28">
        <f>IF(OR($A809="",$K809=""),"",IF($L809="",IF(TODAY()&gt;$K809,"Atrasado","En ruta"),IF($L809&lt;=$K809,"Sí","No")))</f>
        <v/>
      </c>
      <c r="O809" s="24">
        <f>IF($A809="","",COUNTIFS(NOVEDADES!$D$4:$D$1503,$A809))</f>
        <v/>
      </c>
      <c r="P809" s="28">
        <f>IF($A809="","",IF(COUNTIFS(NOVEDADES!$D$4:$D$1503,$A809,NOVEDADES!$O$4:$O$1503,"SÍ")&gt;0,"No","Sí"))</f>
        <v/>
      </c>
      <c r="Q809" s="28">
        <f>IF(OR($A809="",$L809=""),"",IF(AND($N809="Sí",$P809="Sí"),"OTIF","Falló"))</f>
        <v/>
      </c>
    </row>
    <row r="810" ht="16" customHeight="1">
      <c r="A810" s="48" t="n"/>
      <c r="B810" s="48" t="n"/>
      <c r="C810" s="47" t="n"/>
      <c r="D810" s="50" t="n"/>
      <c r="E810" s="50" t="n"/>
      <c r="F810" s="50" t="n"/>
      <c r="G810" s="50" t="n"/>
      <c r="H810" s="48" t="n"/>
      <c r="I810" s="51" t="n"/>
      <c r="J810" s="52" t="n"/>
      <c r="K810" s="47" t="n"/>
      <c r="L810" s="47" t="n"/>
      <c r="M810" s="24">
        <f>IF(OR($A810="",$C810=""),"",IF($L810&lt;&gt;"",$L810-$C810,TODAY()-$C810))</f>
        <v/>
      </c>
      <c r="N810" s="28">
        <f>IF(OR($A810="",$K810=""),"",IF($L810="",IF(TODAY()&gt;$K810,"Atrasado","En ruta"),IF($L810&lt;=$K810,"Sí","No")))</f>
        <v/>
      </c>
      <c r="O810" s="24">
        <f>IF($A810="","",COUNTIFS(NOVEDADES!$D$4:$D$1503,$A810))</f>
        <v/>
      </c>
      <c r="P810" s="28">
        <f>IF($A810="","",IF(COUNTIFS(NOVEDADES!$D$4:$D$1503,$A810,NOVEDADES!$O$4:$O$1503,"SÍ")&gt;0,"No","Sí"))</f>
        <v/>
      </c>
      <c r="Q810" s="28">
        <f>IF(OR($A810="",$L810=""),"",IF(AND($N810="Sí",$P810="Sí"),"OTIF","Falló"))</f>
        <v/>
      </c>
    </row>
    <row r="811" ht="16" customHeight="1">
      <c r="A811" s="48" t="n"/>
      <c r="B811" s="48" t="n"/>
      <c r="C811" s="47" t="n"/>
      <c r="D811" s="50" t="n"/>
      <c r="E811" s="50" t="n"/>
      <c r="F811" s="50" t="n"/>
      <c r="G811" s="50" t="n"/>
      <c r="H811" s="48" t="n"/>
      <c r="I811" s="51" t="n"/>
      <c r="J811" s="52" t="n"/>
      <c r="K811" s="47" t="n"/>
      <c r="L811" s="47" t="n"/>
      <c r="M811" s="24">
        <f>IF(OR($A811="",$C811=""),"",IF($L811&lt;&gt;"",$L811-$C811,TODAY()-$C811))</f>
        <v/>
      </c>
      <c r="N811" s="28">
        <f>IF(OR($A811="",$K811=""),"",IF($L811="",IF(TODAY()&gt;$K811,"Atrasado","En ruta"),IF($L811&lt;=$K811,"Sí","No")))</f>
        <v/>
      </c>
      <c r="O811" s="24">
        <f>IF($A811="","",COUNTIFS(NOVEDADES!$D$4:$D$1503,$A811))</f>
        <v/>
      </c>
      <c r="P811" s="28">
        <f>IF($A811="","",IF(COUNTIFS(NOVEDADES!$D$4:$D$1503,$A811,NOVEDADES!$O$4:$O$1503,"SÍ")&gt;0,"No","Sí"))</f>
        <v/>
      </c>
      <c r="Q811" s="28">
        <f>IF(OR($A811="",$L811=""),"",IF(AND($N811="Sí",$P811="Sí"),"OTIF","Falló"))</f>
        <v/>
      </c>
    </row>
    <row r="812" ht="16" customHeight="1">
      <c r="A812" s="48" t="n"/>
      <c r="B812" s="48" t="n"/>
      <c r="C812" s="47" t="n"/>
      <c r="D812" s="50" t="n"/>
      <c r="E812" s="50" t="n"/>
      <c r="F812" s="50" t="n"/>
      <c r="G812" s="50" t="n"/>
      <c r="H812" s="48" t="n"/>
      <c r="I812" s="51" t="n"/>
      <c r="J812" s="52" t="n"/>
      <c r="K812" s="47" t="n"/>
      <c r="L812" s="47" t="n"/>
      <c r="M812" s="24">
        <f>IF(OR($A812="",$C812=""),"",IF($L812&lt;&gt;"",$L812-$C812,TODAY()-$C812))</f>
        <v/>
      </c>
      <c r="N812" s="28">
        <f>IF(OR($A812="",$K812=""),"",IF($L812="",IF(TODAY()&gt;$K812,"Atrasado","En ruta"),IF($L812&lt;=$K812,"Sí","No")))</f>
        <v/>
      </c>
      <c r="O812" s="24">
        <f>IF($A812="","",COUNTIFS(NOVEDADES!$D$4:$D$1503,$A812))</f>
        <v/>
      </c>
      <c r="P812" s="28">
        <f>IF($A812="","",IF(COUNTIFS(NOVEDADES!$D$4:$D$1503,$A812,NOVEDADES!$O$4:$O$1503,"SÍ")&gt;0,"No","Sí"))</f>
        <v/>
      </c>
      <c r="Q812" s="28">
        <f>IF(OR($A812="",$L812=""),"",IF(AND($N812="Sí",$P812="Sí"),"OTIF","Falló"))</f>
        <v/>
      </c>
    </row>
    <row r="813" ht="16" customHeight="1">
      <c r="A813" s="48" t="n"/>
      <c r="B813" s="48" t="n"/>
      <c r="C813" s="47" t="n"/>
      <c r="D813" s="50" t="n"/>
      <c r="E813" s="50" t="n"/>
      <c r="F813" s="50" t="n"/>
      <c r="G813" s="50" t="n"/>
      <c r="H813" s="48" t="n"/>
      <c r="I813" s="51" t="n"/>
      <c r="J813" s="52" t="n"/>
      <c r="K813" s="47" t="n"/>
      <c r="L813" s="47" t="n"/>
      <c r="M813" s="24">
        <f>IF(OR($A813="",$C813=""),"",IF($L813&lt;&gt;"",$L813-$C813,TODAY()-$C813))</f>
        <v/>
      </c>
      <c r="N813" s="28">
        <f>IF(OR($A813="",$K813=""),"",IF($L813="",IF(TODAY()&gt;$K813,"Atrasado","En ruta"),IF($L813&lt;=$K813,"Sí","No")))</f>
        <v/>
      </c>
      <c r="O813" s="24">
        <f>IF($A813="","",COUNTIFS(NOVEDADES!$D$4:$D$1503,$A813))</f>
        <v/>
      </c>
      <c r="P813" s="28">
        <f>IF($A813="","",IF(COUNTIFS(NOVEDADES!$D$4:$D$1503,$A813,NOVEDADES!$O$4:$O$1503,"SÍ")&gt;0,"No","Sí"))</f>
        <v/>
      </c>
      <c r="Q813" s="28">
        <f>IF(OR($A813="",$L813=""),"",IF(AND($N813="Sí",$P813="Sí"),"OTIF","Falló"))</f>
        <v/>
      </c>
    </row>
    <row r="814" ht="16" customHeight="1">
      <c r="A814" s="48" t="n"/>
      <c r="B814" s="48" t="n"/>
      <c r="C814" s="47" t="n"/>
      <c r="D814" s="50" t="n"/>
      <c r="E814" s="50" t="n"/>
      <c r="F814" s="50" t="n"/>
      <c r="G814" s="50" t="n"/>
      <c r="H814" s="48" t="n"/>
      <c r="I814" s="51" t="n"/>
      <c r="J814" s="52" t="n"/>
      <c r="K814" s="47" t="n"/>
      <c r="L814" s="47" t="n"/>
      <c r="M814" s="24">
        <f>IF(OR($A814="",$C814=""),"",IF($L814&lt;&gt;"",$L814-$C814,TODAY()-$C814))</f>
        <v/>
      </c>
      <c r="N814" s="28">
        <f>IF(OR($A814="",$K814=""),"",IF($L814="",IF(TODAY()&gt;$K814,"Atrasado","En ruta"),IF($L814&lt;=$K814,"Sí","No")))</f>
        <v/>
      </c>
      <c r="O814" s="24">
        <f>IF($A814="","",COUNTIFS(NOVEDADES!$D$4:$D$1503,$A814))</f>
        <v/>
      </c>
      <c r="P814" s="28">
        <f>IF($A814="","",IF(COUNTIFS(NOVEDADES!$D$4:$D$1503,$A814,NOVEDADES!$O$4:$O$1503,"SÍ")&gt;0,"No","Sí"))</f>
        <v/>
      </c>
      <c r="Q814" s="28">
        <f>IF(OR($A814="",$L814=""),"",IF(AND($N814="Sí",$P814="Sí"),"OTIF","Falló"))</f>
        <v/>
      </c>
    </row>
    <row r="815" ht="16" customHeight="1">
      <c r="A815" s="48" t="n"/>
      <c r="B815" s="48" t="n"/>
      <c r="C815" s="47" t="n"/>
      <c r="D815" s="50" t="n"/>
      <c r="E815" s="50" t="n"/>
      <c r="F815" s="50" t="n"/>
      <c r="G815" s="50" t="n"/>
      <c r="H815" s="48" t="n"/>
      <c r="I815" s="51" t="n"/>
      <c r="J815" s="52" t="n"/>
      <c r="K815" s="47" t="n"/>
      <c r="L815" s="47" t="n"/>
      <c r="M815" s="24">
        <f>IF(OR($A815="",$C815=""),"",IF($L815&lt;&gt;"",$L815-$C815,TODAY()-$C815))</f>
        <v/>
      </c>
      <c r="N815" s="28">
        <f>IF(OR($A815="",$K815=""),"",IF($L815="",IF(TODAY()&gt;$K815,"Atrasado","En ruta"),IF($L815&lt;=$K815,"Sí","No")))</f>
        <v/>
      </c>
      <c r="O815" s="24">
        <f>IF($A815="","",COUNTIFS(NOVEDADES!$D$4:$D$1503,$A815))</f>
        <v/>
      </c>
      <c r="P815" s="28">
        <f>IF($A815="","",IF(COUNTIFS(NOVEDADES!$D$4:$D$1503,$A815,NOVEDADES!$O$4:$O$1503,"SÍ")&gt;0,"No","Sí"))</f>
        <v/>
      </c>
      <c r="Q815" s="28">
        <f>IF(OR($A815="",$L815=""),"",IF(AND($N815="Sí",$P815="Sí"),"OTIF","Falló"))</f>
        <v/>
      </c>
    </row>
    <row r="816" ht="16" customHeight="1">
      <c r="A816" s="48" t="n"/>
      <c r="B816" s="48" t="n"/>
      <c r="C816" s="47" t="n"/>
      <c r="D816" s="50" t="n"/>
      <c r="E816" s="50" t="n"/>
      <c r="F816" s="50" t="n"/>
      <c r="G816" s="50" t="n"/>
      <c r="H816" s="48" t="n"/>
      <c r="I816" s="51" t="n"/>
      <c r="J816" s="52" t="n"/>
      <c r="K816" s="47" t="n"/>
      <c r="L816" s="47" t="n"/>
      <c r="M816" s="24">
        <f>IF(OR($A816="",$C816=""),"",IF($L816&lt;&gt;"",$L816-$C816,TODAY()-$C816))</f>
        <v/>
      </c>
      <c r="N816" s="28">
        <f>IF(OR($A816="",$K816=""),"",IF($L816="",IF(TODAY()&gt;$K816,"Atrasado","En ruta"),IF($L816&lt;=$K816,"Sí","No")))</f>
        <v/>
      </c>
      <c r="O816" s="24">
        <f>IF($A816="","",COUNTIFS(NOVEDADES!$D$4:$D$1503,$A816))</f>
        <v/>
      </c>
      <c r="P816" s="28">
        <f>IF($A816="","",IF(COUNTIFS(NOVEDADES!$D$4:$D$1503,$A816,NOVEDADES!$O$4:$O$1503,"SÍ")&gt;0,"No","Sí"))</f>
        <v/>
      </c>
      <c r="Q816" s="28">
        <f>IF(OR($A816="",$L816=""),"",IF(AND($N816="Sí",$P816="Sí"),"OTIF","Falló"))</f>
        <v/>
      </c>
    </row>
    <row r="817" ht="16" customHeight="1">
      <c r="A817" s="48" t="n"/>
      <c r="B817" s="48" t="n"/>
      <c r="C817" s="47" t="n"/>
      <c r="D817" s="50" t="n"/>
      <c r="E817" s="50" t="n"/>
      <c r="F817" s="50" t="n"/>
      <c r="G817" s="50" t="n"/>
      <c r="H817" s="48" t="n"/>
      <c r="I817" s="51" t="n"/>
      <c r="J817" s="52" t="n"/>
      <c r="K817" s="47" t="n"/>
      <c r="L817" s="47" t="n"/>
      <c r="M817" s="24">
        <f>IF(OR($A817="",$C817=""),"",IF($L817&lt;&gt;"",$L817-$C817,TODAY()-$C817))</f>
        <v/>
      </c>
      <c r="N817" s="28">
        <f>IF(OR($A817="",$K817=""),"",IF($L817="",IF(TODAY()&gt;$K817,"Atrasado","En ruta"),IF($L817&lt;=$K817,"Sí","No")))</f>
        <v/>
      </c>
      <c r="O817" s="24">
        <f>IF($A817="","",COUNTIFS(NOVEDADES!$D$4:$D$1503,$A817))</f>
        <v/>
      </c>
      <c r="P817" s="28">
        <f>IF($A817="","",IF(COUNTIFS(NOVEDADES!$D$4:$D$1503,$A817,NOVEDADES!$O$4:$O$1503,"SÍ")&gt;0,"No","Sí"))</f>
        <v/>
      </c>
      <c r="Q817" s="28">
        <f>IF(OR($A817="",$L817=""),"",IF(AND($N817="Sí",$P817="Sí"),"OTIF","Falló"))</f>
        <v/>
      </c>
    </row>
    <row r="818" ht="16" customHeight="1">
      <c r="A818" s="48" t="n"/>
      <c r="B818" s="48" t="n"/>
      <c r="C818" s="47" t="n"/>
      <c r="D818" s="50" t="n"/>
      <c r="E818" s="50" t="n"/>
      <c r="F818" s="50" t="n"/>
      <c r="G818" s="50" t="n"/>
      <c r="H818" s="48" t="n"/>
      <c r="I818" s="51" t="n"/>
      <c r="J818" s="52" t="n"/>
      <c r="K818" s="47" t="n"/>
      <c r="L818" s="47" t="n"/>
      <c r="M818" s="24">
        <f>IF(OR($A818="",$C818=""),"",IF($L818&lt;&gt;"",$L818-$C818,TODAY()-$C818))</f>
        <v/>
      </c>
      <c r="N818" s="28">
        <f>IF(OR($A818="",$K818=""),"",IF($L818="",IF(TODAY()&gt;$K818,"Atrasado","En ruta"),IF($L818&lt;=$K818,"Sí","No")))</f>
        <v/>
      </c>
      <c r="O818" s="24">
        <f>IF($A818="","",COUNTIFS(NOVEDADES!$D$4:$D$1503,$A818))</f>
        <v/>
      </c>
      <c r="P818" s="28">
        <f>IF($A818="","",IF(COUNTIFS(NOVEDADES!$D$4:$D$1503,$A818,NOVEDADES!$O$4:$O$1503,"SÍ")&gt;0,"No","Sí"))</f>
        <v/>
      </c>
      <c r="Q818" s="28">
        <f>IF(OR($A818="",$L818=""),"",IF(AND($N818="Sí",$P818="Sí"),"OTIF","Falló"))</f>
        <v/>
      </c>
    </row>
    <row r="819" ht="16" customHeight="1">
      <c r="A819" s="48" t="n"/>
      <c r="B819" s="48" t="n"/>
      <c r="C819" s="47" t="n"/>
      <c r="D819" s="50" t="n"/>
      <c r="E819" s="50" t="n"/>
      <c r="F819" s="50" t="n"/>
      <c r="G819" s="50" t="n"/>
      <c r="H819" s="48" t="n"/>
      <c r="I819" s="51" t="n"/>
      <c r="J819" s="52" t="n"/>
      <c r="K819" s="47" t="n"/>
      <c r="L819" s="47" t="n"/>
      <c r="M819" s="24">
        <f>IF(OR($A819="",$C819=""),"",IF($L819&lt;&gt;"",$L819-$C819,TODAY()-$C819))</f>
        <v/>
      </c>
      <c r="N819" s="28">
        <f>IF(OR($A819="",$K819=""),"",IF($L819="",IF(TODAY()&gt;$K819,"Atrasado","En ruta"),IF($L819&lt;=$K819,"Sí","No")))</f>
        <v/>
      </c>
      <c r="O819" s="24">
        <f>IF($A819="","",COUNTIFS(NOVEDADES!$D$4:$D$1503,$A819))</f>
        <v/>
      </c>
      <c r="P819" s="28">
        <f>IF($A819="","",IF(COUNTIFS(NOVEDADES!$D$4:$D$1503,$A819,NOVEDADES!$O$4:$O$1503,"SÍ")&gt;0,"No","Sí"))</f>
        <v/>
      </c>
      <c r="Q819" s="28">
        <f>IF(OR($A819="",$L819=""),"",IF(AND($N819="Sí",$P819="Sí"),"OTIF","Falló"))</f>
        <v/>
      </c>
    </row>
    <row r="820" ht="16" customHeight="1">
      <c r="A820" s="48" t="n"/>
      <c r="B820" s="48" t="n"/>
      <c r="C820" s="47" t="n"/>
      <c r="D820" s="50" t="n"/>
      <c r="E820" s="50" t="n"/>
      <c r="F820" s="50" t="n"/>
      <c r="G820" s="50" t="n"/>
      <c r="H820" s="48" t="n"/>
      <c r="I820" s="51" t="n"/>
      <c r="J820" s="52" t="n"/>
      <c r="K820" s="47" t="n"/>
      <c r="L820" s="47" t="n"/>
      <c r="M820" s="24">
        <f>IF(OR($A820="",$C820=""),"",IF($L820&lt;&gt;"",$L820-$C820,TODAY()-$C820))</f>
        <v/>
      </c>
      <c r="N820" s="28">
        <f>IF(OR($A820="",$K820=""),"",IF($L820="",IF(TODAY()&gt;$K820,"Atrasado","En ruta"),IF($L820&lt;=$K820,"Sí","No")))</f>
        <v/>
      </c>
      <c r="O820" s="24">
        <f>IF($A820="","",COUNTIFS(NOVEDADES!$D$4:$D$1503,$A820))</f>
        <v/>
      </c>
      <c r="P820" s="28">
        <f>IF($A820="","",IF(COUNTIFS(NOVEDADES!$D$4:$D$1503,$A820,NOVEDADES!$O$4:$O$1503,"SÍ")&gt;0,"No","Sí"))</f>
        <v/>
      </c>
      <c r="Q820" s="28">
        <f>IF(OR($A820="",$L820=""),"",IF(AND($N820="Sí",$P820="Sí"),"OTIF","Falló"))</f>
        <v/>
      </c>
    </row>
    <row r="821" ht="16" customHeight="1">
      <c r="A821" s="48" t="n"/>
      <c r="B821" s="48" t="n"/>
      <c r="C821" s="47" t="n"/>
      <c r="D821" s="50" t="n"/>
      <c r="E821" s="50" t="n"/>
      <c r="F821" s="50" t="n"/>
      <c r="G821" s="50" t="n"/>
      <c r="H821" s="48" t="n"/>
      <c r="I821" s="51" t="n"/>
      <c r="J821" s="52" t="n"/>
      <c r="K821" s="47" t="n"/>
      <c r="L821" s="47" t="n"/>
      <c r="M821" s="24">
        <f>IF(OR($A821="",$C821=""),"",IF($L821&lt;&gt;"",$L821-$C821,TODAY()-$C821))</f>
        <v/>
      </c>
      <c r="N821" s="28">
        <f>IF(OR($A821="",$K821=""),"",IF($L821="",IF(TODAY()&gt;$K821,"Atrasado","En ruta"),IF($L821&lt;=$K821,"Sí","No")))</f>
        <v/>
      </c>
      <c r="O821" s="24">
        <f>IF($A821="","",COUNTIFS(NOVEDADES!$D$4:$D$1503,$A821))</f>
        <v/>
      </c>
      <c r="P821" s="28">
        <f>IF($A821="","",IF(COUNTIFS(NOVEDADES!$D$4:$D$1503,$A821,NOVEDADES!$O$4:$O$1503,"SÍ")&gt;0,"No","Sí"))</f>
        <v/>
      </c>
      <c r="Q821" s="28">
        <f>IF(OR($A821="",$L821=""),"",IF(AND($N821="Sí",$P821="Sí"),"OTIF","Falló"))</f>
        <v/>
      </c>
    </row>
    <row r="822" ht="16" customHeight="1">
      <c r="A822" s="48" t="n"/>
      <c r="B822" s="48" t="n"/>
      <c r="C822" s="47" t="n"/>
      <c r="D822" s="50" t="n"/>
      <c r="E822" s="50" t="n"/>
      <c r="F822" s="50" t="n"/>
      <c r="G822" s="50" t="n"/>
      <c r="H822" s="48" t="n"/>
      <c r="I822" s="51" t="n"/>
      <c r="J822" s="52" t="n"/>
      <c r="K822" s="47" t="n"/>
      <c r="L822" s="47" t="n"/>
      <c r="M822" s="24">
        <f>IF(OR($A822="",$C822=""),"",IF($L822&lt;&gt;"",$L822-$C822,TODAY()-$C822))</f>
        <v/>
      </c>
      <c r="N822" s="28">
        <f>IF(OR($A822="",$K822=""),"",IF($L822="",IF(TODAY()&gt;$K822,"Atrasado","En ruta"),IF($L822&lt;=$K822,"Sí","No")))</f>
        <v/>
      </c>
      <c r="O822" s="24">
        <f>IF($A822="","",COUNTIFS(NOVEDADES!$D$4:$D$1503,$A822))</f>
        <v/>
      </c>
      <c r="P822" s="28">
        <f>IF($A822="","",IF(COUNTIFS(NOVEDADES!$D$4:$D$1503,$A822,NOVEDADES!$O$4:$O$1503,"SÍ")&gt;0,"No","Sí"))</f>
        <v/>
      </c>
      <c r="Q822" s="28">
        <f>IF(OR($A822="",$L822=""),"",IF(AND($N822="Sí",$P822="Sí"),"OTIF","Falló"))</f>
        <v/>
      </c>
    </row>
    <row r="823" ht="16" customHeight="1">
      <c r="A823" s="48" t="n"/>
      <c r="B823" s="48" t="n"/>
      <c r="C823" s="47" t="n"/>
      <c r="D823" s="50" t="n"/>
      <c r="E823" s="50" t="n"/>
      <c r="F823" s="50" t="n"/>
      <c r="G823" s="50" t="n"/>
      <c r="H823" s="48" t="n"/>
      <c r="I823" s="51" t="n"/>
      <c r="J823" s="52" t="n"/>
      <c r="K823" s="47" t="n"/>
      <c r="L823" s="47" t="n"/>
      <c r="M823" s="24">
        <f>IF(OR($A823="",$C823=""),"",IF($L823&lt;&gt;"",$L823-$C823,TODAY()-$C823))</f>
        <v/>
      </c>
      <c r="N823" s="28">
        <f>IF(OR($A823="",$K823=""),"",IF($L823="",IF(TODAY()&gt;$K823,"Atrasado","En ruta"),IF($L823&lt;=$K823,"Sí","No")))</f>
        <v/>
      </c>
      <c r="O823" s="24">
        <f>IF($A823="","",COUNTIFS(NOVEDADES!$D$4:$D$1503,$A823))</f>
        <v/>
      </c>
      <c r="P823" s="28">
        <f>IF($A823="","",IF(COUNTIFS(NOVEDADES!$D$4:$D$1503,$A823,NOVEDADES!$O$4:$O$1503,"SÍ")&gt;0,"No","Sí"))</f>
        <v/>
      </c>
      <c r="Q823" s="28">
        <f>IF(OR($A823="",$L823=""),"",IF(AND($N823="Sí",$P823="Sí"),"OTIF","Falló"))</f>
        <v/>
      </c>
    </row>
    <row r="824" ht="16" customHeight="1">
      <c r="A824" s="48" t="n"/>
      <c r="B824" s="48" t="n"/>
      <c r="C824" s="47" t="n"/>
      <c r="D824" s="50" t="n"/>
      <c r="E824" s="50" t="n"/>
      <c r="F824" s="50" t="n"/>
      <c r="G824" s="50" t="n"/>
      <c r="H824" s="48" t="n"/>
      <c r="I824" s="51" t="n"/>
      <c r="J824" s="52" t="n"/>
      <c r="K824" s="47" t="n"/>
      <c r="L824" s="47" t="n"/>
      <c r="M824" s="24">
        <f>IF(OR($A824="",$C824=""),"",IF($L824&lt;&gt;"",$L824-$C824,TODAY()-$C824))</f>
        <v/>
      </c>
      <c r="N824" s="28">
        <f>IF(OR($A824="",$K824=""),"",IF($L824="",IF(TODAY()&gt;$K824,"Atrasado","En ruta"),IF($L824&lt;=$K824,"Sí","No")))</f>
        <v/>
      </c>
      <c r="O824" s="24">
        <f>IF($A824="","",COUNTIFS(NOVEDADES!$D$4:$D$1503,$A824))</f>
        <v/>
      </c>
      <c r="P824" s="28">
        <f>IF($A824="","",IF(COUNTIFS(NOVEDADES!$D$4:$D$1503,$A824,NOVEDADES!$O$4:$O$1503,"SÍ")&gt;0,"No","Sí"))</f>
        <v/>
      </c>
      <c r="Q824" s="28">
        <f>IF(OR($A824="",$L824=""),"",IF(AND($N824="Sí",$P824="Sí"),"OTIF","Falló"))</f>
        <v/>
      </c>
    </row>
    <row r="825" ht="16" customHeight="1">
      <c r="A825" s="48" t="n"/>
      <c r="B825" s="48" t="n"/>
      <c r="C825" s="47" t="n"/>
      <c r="D825" s="50" t="n"/>
      <c r="E825" s="50" t="n"/>
      <c r="F825" s="50" t="n"/>
      <c r="G825" s="50" t="n"/>
      <c r="H825" s="48" t="n"/>
      <c r="I825" s="51" t="n"/>
      <c r="J825" s="52" t="n"/>
      <c r="K825" s="47" t="n"/>
      <c r="L825" s="47" t="n"/>
      <c r="M825" s="24">
        <f>IF(OR($A825="",$C825=""),"",IF($L825&lt;&gt;"",$L825-$C825,TODAY()-$C825))</f>
        <v/>
      </c>
      <c r="N825" s="28">
        <f>IF(OR($A825="",$K825=""),"",IF($L825="",IF(TODAY()&gt;$K825,"Atrasado","En ruta"),IF($L825&lt;=$K825,"Sí","No")))</f>
        <v/>
      </c>
      <c r="O825" s="24">
        <f>IF($A825="","",COUNTIFS(NOVEDADES!$D$4:$D$1503,$A825))</f>
        <v/>
      </c>
      <c r="P825" s="28">
        <f>IF($A825="","",IF(COUNTIFS(NOVEDADES!$D$4:$D$1503,$A825,NOVEDADES!$O$4:$O$1503,"SÍ")&gt;0,"No","Sí"))</f>
        <v/>
      </c>
      <c r="Q825" s="28">
        <f>IF(OR($A825="",$L825=""),"",IF(AND($N825="Sí",$P825="Sí"),"OTIF","Falló"))</f>
        <v/>
      </c>
    </row>
    <row r="826" ht="16" customHeight="1">
      <c r="A826" s="48" t="n"/>
      <c r="B826" s="48" t="n"/>
      <c r="C826" s="47" t="n"/>
      <c r="D826" s="50" t="n"/>
      <c r="E826" s="50" t="n"/>
      <c r="F826" s="50" t="n"/>
      <c r="G826" s="50" t="n"/>
      <c r="H826" s="48" t="n"/>
      <c r="I826" s="51" t="n"/>
      <c r="J826" s="52" t="n"/>
      <c r="K826" s="47" t="n"/>
      <c r="L826" s="47" t="n"/>
      <c r="M826" s="24">
        <f>IF(OR($A826="",$C826=""),"",IF($L826&lt;&gt;"",$L826-$C826,TODAY()-$C826))</f>
        <v/>
      </c>
      <c r="N826" s="28">
        <f>IF(OR($A826="",$K826=""),"",IF($L826="",IF(TODAY()&gt;$K826,"Atrasado","En ruta"),IF($L826&lt;=$K826,"Sí","No")))</f>
        <v/>
      </c>
      <c r="O826" s="24">
        <f>IF($A826="","",COUNTIFS(NOVEDADES!$D$4:$D$1503,$A826))</f>
        <v/>
      </c>
      <c r="P826" s="28">
        <f>IF($A826="","",IF(COUNTIFS(NOVEDADES!$D$4:$D$1503,$A826,NOVEDADES!$O$4:$O$1503,"SÍ")&gt;0,"No","Sí"))</f>
        <v/>
      </c>
      <c r="Q826" s="28">
        <f>IF(OR($A826="",$L826=""),"",IF(AND($N826="Sí",$P826="Sí"),"OTIF","Falló"))</f>
        <v/>
      </c>
    </row>
    <row r="827" ht="16" customHeight="1">
      <c r="A827" s="48" t="n"/>
      <c r="B827" s="48" t="n"/>
      <c r="C827" s="47" t="n"/>
      <c r="D827" s="50" t="n"/>
      <c r="E827" s="50" t="n"/>
      <c r="F827" s="50" t="n"/>
      <c r="G827" s="50" t="n"/>
      <c r="H827" s="48" t="n"/>
      <c r="I827" s="51" t="n"/>
      <c r="J827" s="52" t="n"/>
      <c r="K827" s="47" t="n"/>
      <c r="L827" s="47" t="n"/>
      <c r="M827" s="24">
        <f>IF(OR($A827="",$C827=""),"",IF($L827&lt;&gt;"",$L827-$C827,TODAY()-$C827))</f>
        <v/>
      </c>
      <c r="N827" s="28">
        <f>IF(OR($A827="",$K827=""),"",IF($L827="",IF(TODAY()&gt;$K827,"Atrasado","En ruta"),IF($L827&lt;=$K827,"Sí","No")))</f>
        <v/>
      </c>
      <c r="O827" s="24">
        <f>IF($A827="","",COUNTIFS(NOVEDADES!$D$4:$D$1503,$A827))</f>
        <v/>
      </c>
      <c r="P827" s="28">
        <f>IF($A827="","",IF(COUNTIFS(NOVEDADES!$D$4:$D$1503,$A827,NOVEDADES!$O$4:$O$1503,"SÍ")&gt;0,"No","Sí"))</f>
        <v/>
      </c>
      <c r="Q827" s="28">
        <f>IF(OR($A827="",$L827=""),"",IF(AND($N827="Sí",$P827="Sí"),"OTIF","Falló"))</f>
        <v/>
      </c>
    </row>
    <row r="828" ht="16" customHeight="1">
      <c r="A828" s="48" t="n"/>
      <c r="B828" s="48" t="n"/>
      <c r="C828" s="47" t="n"/>
      <c r="D828" s="50" t="n"/>
      <c r="E828" s="50" t="n"/>
      <c r="F828" s="50" t="n"/>
      <c r="G828" s="50" t="n"/>
      <c r="H828" s="48" t="n"/>
      <c r="I828" s="51" t="n"/>
      <c r="J828" s="52" t="n"/>
      <c r="K828" s="47" t="n"/>
      <c r="L828" s="47" t="n"/>
      <c r="M828" s="24">
        <f>IF(OR($A828="",$C828=""),"",IF($L828&lt;&gt;"",$L828-$C828,TODAY()-$C828))</f>
        <v/>
      </c>
      <c r="N828" s="28">
        <f>IF(OR($A828="",$K828=""),"",IF($L828="",IF(TODAY()&gt;$K828,"Atrasado","En ruta"),IF($L828&lt;=$K828,"Sí","No")))</f>
        <v/>
      </c>
      <c r="O828" s="24">
        <f>IF($A828="","",COUNTIFS(NOVEDADES!$D$4:$D$1503,$A828))</f>
        <v/>
      </c>
      <c r="P828" s="28">
        <f>IF($A828="","",IF(COUNTIFS(NOVEDADES!$D$4:$D$1503,$A828,NOVEDADES!$O$4:$O$1503,"SÍ")&gt;0,"No","Sí"))</f>
        <v/>
      </c>
      <c r="Q828" s="28">
        <f>IF(OR($A828="",$L828=""),"",IF(AND($N828="Sí",$P828="Sí"),"OTIF","Falló"))</f>
        <v/>
      </c>
    </row>
    <row r="829" ht="16" customHeight="1">
      <c r="A829" s="48" t="n"/>
      <c r="B829" s="48" t="n"/>
      <c r="C829" s="47" t="n"/>
      <c r="D829" s="50" t="n"/>
      <c r="E829" s="50" t="n"/>
      <c r="F829" s="50" t="n"/>
      <c r="G829" s="50" t="n"/>
      <c r="H829" s="48" t="n"/>
      <c r="I829" s="51" t="n"/>
      <c r="J829" s="52" t="n"/>
      <c r="K829" s="47" t="n"/>
      <c r="L829" s="47" t="n"/>
      <c r="M829" s="24">
        <f>IF(OR($A829="",$C829=""),"",IF($L829&lt;&gt;"",$L829-$C829,TODAY()-$C829))</f>
        <v/>
      </c>
      <c r="N829" s="28">
        <f>IF(OR($A829="",$K829=""),"",IF($L829="",IF(TODAY()&gt;$K829,"Atrasado","En ruta"),IF($L829&lt;=$K829,"Sí","No")))</f>
        <v/>
      </c>
      <c r="O829" s="24">
        <f>IF($A829="","",COUNTIFS(NOVEDADES!$D$4:$D$1503,$A829))</f>
        <v/>
      </c>
      <c r="P829" s="28">
        <f>IF($A829="","",IF(COUNTIFS(NOVEDADES!$D$4:$D$1503,$A829,NOVEDADES!$O$4:$O$1503,"SÍ")&gt;0,"No","Sí"))</f>
        <v/>
      </c>
      <c r="Q829" s="28">
        <f>IF(OR($A829="",$L829=""),"",IF(AND($N829="Sí",$P829="Sí"),"OTIF","Falló"))</f>
        <v/>
      </c>
    </row>
    <row r="830" ht="16" customHeight="1">
      <c r="A830" s="48" t="n"/>
      <c r="B830" s="48" t="n"/>
      <c r="C830" s="47" t="n"/>
      <c r="D830" s="50" t="n"/>
      <c r="E830" s="50" t="n"/>
      <c r="F830" s="50" t="n"/>
      <c r="G830" s="50" t="n"/>
      <c r="H830" s="48" t="n"/>
      <c r="I830" s="51" t="n"/>
      <c r="J830" s="52" t="n"/>
      <c r="K830" s="47" t="n"/>
      <c r="L830" s="47" t="n"/>
      <c r="M830" s="24">
        <f>IF(OR($A830="",$C830=""),"",IF($L830&lt;&gt;"",$L830-$C830,TODAY()-$C830))</f>
        <v/>
      </c>
      <c r="N830" s="28">
        <f>IF(OR($A830="",$K830=""),"",IF($L830="",IF(TODAY()&gt;$K830,"Atrasado","En ruta"),IF($L830&lt;=$K830,"Sí","No")))</f>
        <v/>
      </c>
      <c r="O830" s="24">
        <f>IF($A830="","",COUNTIFS(NOVEDADES!$D$4:$D$1503,$A830))</f>
        <v/>
      </c>
      <c r="P830" s="28">
        <f>IF($A830="","",IF(COUNTIFS(NOVEDADES!$D$4:$D$1503,$A830,NOVEDADES!$O$4:$O$1503,"SÍ")&gt;0,"No","Sí"))</f>
        <v/>
      </c>
      <c r="Q830" s="28">
        <f>IF(OR($A830="",$L830=""),"",IF(AND($N830="Sí",$P830="Sí"),"OTIF","Falló"))</f>
        <v/>
      </c>
    </row>
    <row r="831" ht="16" customHeight="1">
      <c r="A831" s="48" t="n"/>
      <c r="B831" s="48" t="n"/>
      <c r="C831" s="47" t="n"/>
      <c r="D831" s="50" t="n"/>
      <c r="E831" s="50" t="n"/>
      <c r="F831" s="50" t="n"/>
      <c r="G831" s="50" t="n"/>
      <c r="H831" s="48" t="n"/>
      <c r="I831" s="51" t="n"/>
      <c r="J831" s="52" t="n"/>
      <c r="K831" s="47" t="n"/>
      <c r="L831" s="47" t="n"/>
      <c r="M831" s="24">
        <f>IF(OR($A831="",$C831=""),"",IF($L831&lt;&gt;"",$L831-$C831,TODAY()-$C831))</f>
        <v/>
      </c>
      <c r="N831" s="28">
        <f>IF(OR($A831="",$K831=""),"",IF($L831="",IF(TODAY()&gt;$K831,"Atrasado","En ruta"),IF($L831&lt;=$K831,"Sí","No")))</f>
        <v/>
      </c>
      <c r="O831" s="24">
        <f>IF($A831="","",COUNTIFS(NOVEDADES!$D$4:$D$1503,$A831))</f>
        <v/>
      </c>
      <c r="P831" s="28">
        <f>IF($A831="","",IF(COUNTIFS(NOVEDADES!$D$4:$D$1503,$A831,NOVEDADES!$O$4:$O$1503,"SÍ")&gt;0,"No","Sí"))</f>
        <v/>
      </c>
      <c r="Q831" s="28">
        <f>IF(OR($A831="",$L831=""),"",IF(AND($N831="Sí",$P831="Sí"),"OTIF","Falló"))</f>
        <v/>
      </c>
    </row>
    <row r="832" ht="16" customHeight="1">
      <c r="A832" s="48" t="n"/>
      <c r="B832" s="48" t="n"/>
      <c r="C832" s="47" t="n"/>
      <c r="D832" s="50" t="n"/>
      <c r="E832" s="50" t="n"/>
      <c r="F832" s="50" t="n"/>
      <c r="G832" s="50" t="n"/>
      <c r="H832" s="48" t="n"/>
      <c r="I832" s="51" t="n"/>
      <c r="J832" s="52" t="n"/>
      <c r="K832" s="47" t="n"/>
      <c r="L832" s="47" t="n"/>
      <c r="M832" s="24">
        <f>IF(OR($A832="",$C832=""),"",IF($L832&lt;&gt;"",$L832-$C832,TODAY()-$C832))</f>
        <v/>
      </c>
      <c r="N832" s="28">
        <f>IF(OR($A832="",$K832=""),"",IF($L832="",IF(TODAY()&gt;$K832,"Atrasado","En ruta"),IF($L832&lt;=$K832,"Sí","No")))</f>
        <v/>
      </c>
      <c r="O832" s="24">
        <f>IF($A832="","",COUNTIFS(NOVEDADES!$D$4:$D$1503,$A832))</f>
        <v/>
      </c>
      <c r="P832" s="28">
        <f>IF($A832="","",IF(COUNTIFS(NOVEDADES!$D$4:$D$1503,$A832,NOVEDADES!$O$4:$O$1503,"SÍ")&gt;0,"No","Sí"))</f>
        <v/>
      </c>
      <c r="Q832" s="28">
        <f>IF(OR($A832="",$L832=""),"",IF(AND($N832="Sí",$P832="Sí"),"OTIF","Falló"))</f>
        <v/>
      </c>
    </row>
    <row r="833" ht="16" customHeight="1">
      <c r="A833" s="48" t="n"/>
      <c r="B833" s="48" t="n"/>
      <c r="C833" s="47" t="n"/>
      <c r="D833" s="50" t="n"/>
      <c r="E833" s="50" t="n"/>
      <c r="F833" s="50" t="n"/>
      <c r="G833" s="50" t="n"/>
      <c r="H833" s="48" t="n"/>
      <c r="I833" s="51" t="n"/>
      <c r="J833" s="52" t="n"/>
      <c r="K833" s="47" t="n"/>
      <c r="L833" s="47" t="n"/>
      <c r="M833" s="24">
        <f>IF(OR($A833="",$C833=""),"",IF($L833&lt;&gt;"",$L833-$C833,TODAY()-$C833))</f>
        <v/>
      </c>
      <c r="N833" s="28">
        <f>IF(OR($A833="",$K833=""),"",IF($L833="",IF(TODAY()&gt;$K833,"Atrasado","En ruta"),IF($L833&lt;=$K833,"Sí","No")))</f>
        <v/>
      </c>
      <c r="O833" s="24">
        <f>IF($A833="","",COUNTIFS(NOVEDADES!$D$4:$D$1503,$A833))</f>
        <v/>
      </c>
      <c r="P833" s="28">
        <f>IF($A833="","",IF(COUNTIFS(NOVEDADES!$D$4:$D$1503,$A833,NOVEDADES!$O$4:$O$1503,"SÍ")&gt;0,"No","Sí"))</f>
        <v/>
      </c>
      <c r="Q833" s="28">
        <f>IF(OR($A833="",$L833=""),"",IF(AND($N833="Sí",$P833="Sí"),"OTIF","Falló"))</f>
        <v/>
      </c>
    </row>
    <row r="834" ht="16" customHeight="1">
      <c r="A834" s="48" t="n"/>
      <c r="B834" s="48" t="n"/>
      <c r="C834" s="47" t="n"/>
      <c r="D834" s="50" t="n"/>
      <c r="E834" s="50" t="n"/>
      <c r="F834" s="50" t="n"/>
      <c r="G834" s="50" t="n"/>
      <c r="H834" s="48" t="n"/>
      <c r="I834" s="51" t="n"/>
      <c r="J834" s="52" t="n"/>
      <c r="K834" s="47" t="n"/>
      <c r="L834" s="47" t="n"/>
      <c r="M834" s="24">
        <f>IF(OR($A834="",$C834=""),"",IF($L834&lt;&gt;"",$L834-$C834,TODAY()-$C834))</f>
        <v/>
      </c>
      <c r="N834" s="28">
        <f>IF(OR($A834="",$K834=""),"",IF($L834="",IF(TODAY()&gt;$K834,"Atrasado","En ruta"),IF($L834&lt;=$K834,"Sí","No")))</f>
        <v/>
      </c>
      <c r="O834" s="24">
        <f>IF($A834="","",COUNTIFS(NOVEDADES!$D$4:$D$1503,$A834))</f>
        <v/>
      </c>
      <c r="P834" s="28">
        <f>IF($A834="","",IF(COUNTIFS(NOVEDADES!$D$4:$D$1503,$A834,NOVEDADES!$O$4:$O$1503,"SÍ")&gt;0,"No","Sí"))</f>
        <v/>
      </c>
      <c r="Q834" s="28">
        <f>IF(OR($A834="",$L834=""),"",IF(AND($N834="Sí",$P834="Sí"),"OTIF","Falló"))</f>
        <v/>
      </c>
    </row>
    <row r="835" ht="16" customHeight="1">
      <c r="A835" s="48" t="n"/>
      <c r="B835" s="48" t="n"/>
      <c r="C835" s="47" t="n"/>
      <c r="D835" s="50" t="n"/>
      <c r="E835" s="50" t="n"/>
      <c r="F835" s="50" t="n"/>
      <c r="G835" s="50" t="n"/>
      <c r="H835" s="48" t="n"/>
      <c r="I835" s="51" t="n"/>
      <c r="J835" s="52" t="n"/>
      <c r="K835" s="47" t="n"/>
      <c r="L835" s="47" t="n"/>
      <c r="M835" s="24">
        <f>IF(OR($A835="",$C835=""),"",IF($L835&lt;&gt;"",$L835-$C835,TODAY()-$C835))</f>
        <v/>
      </c>
      <c r="N835" s="28">
        <f>IF(OR($A835="",$K835=""),"",IF($L835="",IF(TODAY()&gt;$K835,"Atrasado","En ruta"),IF($L835&lt;=$K835,"Sí","No")))</f>
        <v/>
      </c>
      <c r="O835" s="24">
        <f>IF($A835="","",COUNTIFS(NOVEDADES!$D$4:$D$1503,$A835))</f>
        <v/>
      </c>
      <c r="P835" s="28">
        <f>IF($A835="","",IF(COUNTIFS(NOVEDADES!$D$4:$D$1503,$A835,NOVEDADES!$O$4:$O$1503,"SÍ")&gt;0,"No","Sí"))</f>
        <v/>
      </c>
      <c r="Q835" s="28">
        <f>IF(OR($A835="",$L835=""),"",IF(AND($N835="Sí",$P835="Sí"),"OTIF","Falló"))</f>
        <v/>
      </c>
    </row>
    <row r="836" ht="16" customHeight="1">
      <c r="A836" s="48" t="n"/>
      <c r="B836" s="48" t="n"/>
      <c r="C836" s="47" t="n"/>
      <c r="D836" s="50" t="n"/>
      <c r="E836" s="50" t="n"/>
      <c r="F836" s="50" t="n"/>
      <c r="G836" s="50" t="n"/>
      <c r="H836" s="48" t="n"/>
      <c r="I836" s="51" t="n"/>
      <c r="J836" s="52" t="n"/>
      <c r="K836" s="47" t="n"/>
      <c r="L836" s="47" t="n"/>
      <c r="M836" s="24">
        <f>IF(OR($A836="",$C836=""),"",IF($L836&lt;&gt;"",$L836-$C836,TODAY()-$C836))</f>
        <v/>
      </c>
      <c r="N836" s="28">
        <f>IF(OR($A836="",$K836=""),"",IF($L836="",IF(TODAY()&gt;$K836,"Atrasado","En ruta"),IF($L836&lt;=$K836,"Sí","No")))</f>
        <v/>
      </c>
      <c r="O836" s="24">
        <f>IF($A836="","",COUNTIFS(NOVEDADES!$D$4:$D$1503,$A836))</f>
        <v/>
      </c>
      <c r="P836" s="28">
        <f>IF($A836="","",IF(COUNTIFS(NOVEDADES!$D$4:$D$1503,$A836,NOVEDADES!$O$4:$O$1503,"SÍ")&gt;0,"No","Sí"))</f>
        <v/>
      </c>
      <c r="Q836" s="28">
        <f>IF(OR($A836="",$L836=""),"",IF(AND($N836="Sí",$P836="Sí"),"OTIF","Falló"))</f>
        <v/>
      </c>
    </row>
    <row r="837" ht="16" customHeight="1">
      <c r="A837" s="48" t="n"/>
      <c r="B837" s="48" t="n"/>
      <c r="C837" s="47" t="n"/>
      <c r="D837" s="50" t="n"/>
      <c r="E837" s="50" t="n"/>
      <c r="F837" s="50" t="n"/>
      <c r="G837" s="50" t="n"/>
      <c r="H837" s="48" t="n"/>
      <c r="I837" s="51" t="n"/>
      <c r="J837" s="52" t="n"/>
      <c r="K837" s="47" t="n"/>
      <c r="L837" s="47" t="n"/>
      <c r="M837" s="24">
        <f>IF(OR($A837="",$C837=""),"",IF($L837&lt;&gt;"",$L837-$C837,TODAY()-$C837))</f>
        <v/>
      </c>
      <c r="N837" s="28">
        <f>IF(OR($A837="",$K837=""),"",IF($L837="",IF(TODAY()&gt;$K837,"Atrasado","En ruta"),IF($L837&lt;=$K837,"Sí","No")))</f>
        <v/>
      </c>
      <c r="O837" s="24">
        <f>IF($A837="","",COUNTIFS(NOVEDADES!$D$4:$D$1503,$A837))</f>
        <v/>
      </c>
      <c r="P837" s="28">
        <f>IF($A837="","",IF(COUNTIFS(NOVEDADES!$D$4:$D$1503,$A837,NOVEDADES!$O$4:$O$1503,"SÍ")&gt;0,"No","Sí"))</f>
        <v/>
      </c>
      <c r="Q837" s="28">
        <f>IF(OR($A837="",$L837=""),"",IF(AND($N837="Sí",$P837="Sí"),"OTIF","Falló"))</f>
        <v/>
      </c>
    </row>
    <row r="838" ht="16" customHeight="1">
      <c r="A838" s="48" t="n"/>
      <c r="B838" s="48" t="n"/>
      <c r="C838" s="47" t="n"/>
      <c r="D838" s="50" t="n"/>
      <c r="E838" s="50" t="n"/>
      <c r="F838" s="50" t="n"/>
      <c r="G838" s="50" t="n"/>
      <c r="H838" s="48" t="n"/>
      <c r="I838" s="51" t="n"/>
      <c r="J838" s="52" t="n"/>
      <c r="K838" s="47" t="n"/>
      <c r="L838" s="47" t="n"/>
      <c r="M838" s="24">
        <f>IF(OR($A838="",$C838=""),"",IF($L838&lt;&gt;"",$L838-$C838,TODAY()-$C838))</f>
        <v/>
      </c>
      <c r="N838" s="28">
        <f>IF(OR($A838="",$K838=""),"",IF($L838="",IF(TODAY()&gt;$K838,"Atrasado","En ruta"),IF($L838&lt;=$K838,"Sí","No")))</f>
        <v/>
      </c>
      <c r="O838" s="24">
        <f>IF($A838="","",COUNTIFS(NOVEDADES!$D$4:$D$1503,$A838))</f>
        <v/>
      </c>
      <c r="P838" s="28">
        <f>IF($A838="","",IF(COUNTIFS(NOVEDADES!$D$4:$D$1503,$A838,NOVEDADES!$O$4:$O$1503,"SÍ")&gt;0,"No","Sí"))</f>
        <v/>
      </c>
      <c r="Q838" s="28">
        <f>IF(OR($A838="",$L838=""),"",IF(AND($N838="Sí",$P838="Sí"),"OTIF","Falló"))</f>
        <v/>
      </c>
    </row>
    <row r="839" ht="16" customHeight="1">
      <c r="A839" s="48" t="n"/>
      <c r="B839" s="48" t="n"/>
      <c r="C839" s="47" t="n"/>
      <c r="D839" s="50" t="n"/>
      <c r="E839" s="50" t="n"/>
      <c r="F839" s="50" t="n"/>
      <c r="G839" s="50" t="n"/>
      <c r="H839" s="48" t="n"/>
      <c r="I839" s="51" t="n"/>
      <c r="J839" s="52" t="n"/>
      <c r="K839" s="47" t="n"/>
      <c r="L839" s="47" t="n"/>
      <c r="M839" s="24">
        <f>IF(OR($A839="",$C839=""),"",IF($L839&lt;&gt;"",$L839-$C839,TODAY()-$C839))</f>
        <v/>
      </c>
      <c r="N839" s="28">
        <f>IF(OR($A839="",$K839=""),"",IF($L839="",IF(TODAY()&gt;$K839,"Atrasado","En ruta"),IF($L839&lt;=$K839,"Sí","No")))</f>
        <v/>
      </c>
      <c r="O839" s="24">
        <f>IF($A839="","",COUNTIFS(NOVEDADES!$D$4:$D$1503,$A839))</f>
        <v/>
      </c>
      <c r="P839" s="28">
        <f>IF($A839="","",IF(COUNTIFS(NOVEDADES!$D$4:$D$1503,$A839,NOVEDADES!$O$4:$O$1503,"SÍ")&gt;0,"No","Sí"))</f>
        <v/>
      </c>
      <c r="Q839" s="28">
        <f>IF(OR($A839="",$L839=""),"",IF(AND($N839="Sí",$P839="Sí"),"OTIF","Falló"))</f>
        <v/>
      </c>
    </row>
    <row r="840" ht="16" customHeight="1">
      <c r="A840" s="48" t="n"/>
      <c r="B840" s="48" t="n"/>
      <c r="C840" s="47" t="n"/>
      <c r="D840" s="50" t="n"/>
      <c r="E840" s="50" t="n"/>
      <c r="F840" s="50" t="n"/>
      <c r="G840" s="50" t="n"/>
      <c r="H840" s="48" t="n"/>
      <c r="I840" s="51" t="n"/>
      <c r="J840" s="52" t="n"/>
      <c r="K840" s="47" t="n"/>
      <c r="L840" s="47" t="n"/>
      <c r="M840" s="24">
        <f>IF(OR($A840="",$C840=""),"",IF($L840&lt;&gt;"",$L840-$C840,TODAY()-$C840))</f>
        <v/>
      </c>
      <c r="N840" s="28">
        <f>IF(OR($A840="",$K840=""),"",IF($L840="",IF(TODAY()&gt;$K840,"Atrasado","En ruta"),IF($L840&lt;=$K840,"Sí","No")))</f>
        <v/>
      </c>
      <c r="O840" s="24">
        <f>IF($A840="","",COUNTIFS(NOVEDADES!$D$4:$D$1503,$A840))</f>
        <v/>
      </c>
      <c r="P840" s="28">
        <f>IF($A840="","",IF(COUNTIFS(NOVEDADES!$D$4:$D$1503,$A840,NOVEDADES!$O$4:$O$1503,"SÍ")&gt;0,"No","Sí"))</f>
        <v/>
      </c>
      <c r="Q840" s="28">
        <f>IF(OR($A840="",$L840=""),"",IF(AND($N840="Sí",$P840="Sí"),"OTIF","Falló"))</f>
        <v/>
      </c>
    </row>
    <row r="841" ht="16" customHeight="1">
      <c r="A841" s="48" t="n"/>
      <c r="B841" s="48" t="n"/>
      <c r="C841" s="47" t="n"/>
      <c r="D841" s="50" t="n"/>
      <c r="E841" s="50" t="n"/>
      <c r="F841" s="50" t="n"/>
      <c r="G841" s="50" t="n"/>
      <c r="H841" s="48" t="n"/>
      <c r="I841" s="51" t="n"/>
      <c r="J841" s="52" t="n"/>
      <c r="K841" s="47" t="n"/>
      <c r="L841" s="47" t="n"/>
      <c r="M841" s="24">
        <f>IF(OR($A841="",$C841=""),"",IF($L841&lt;&gt;"",$L841-$C841,TODAY()-$C841))</f>
        <v/>
      </c>
      <c r="N841" s="28">
        <f>IF(OR($A841="",$K841=""),"",IF($L841="",IF(TODAY()&gt;$K841,"Atrasado","En ruta"),IF($L841&lt;=$K841,"Sí","No")))</f>
        <v/>
      </c>
      <c r="O841" s="24">
        <f>IF($A841="","",COUNTIFS(NOVEDADES!$D$4:$D$1503,$A841))</f>
        <v/>
      </c>
      <c r="P841" s="28">
        <f>IF($A841="","",IF(COUNTIFS(NOVEDADES!$D$4:$D$1503,$A841,NOVEDADES!$O$4:$O$1503,"SÍ")&gt;0,"No","Sí"))</f>
        <v/>
      </c>
      <c r="Q841" s="28">
        <f>IF(OR($A841="",$L841=""),"",IF(AND($N841="Sí",$P841="Sí"),"OTIF","Falló"))</f>
        <v/>
      </c>
    </row>
    <row r="842" ht="16" customHeight="1">
      <c r="A842" s="48" t="n"/>
      <c r="B842" s="48" t="n"/>
      <c r="C842" s="47" t="n"/>
      <c r="D842" s="50" t="n"/>
      <c r="E842" s="50" t="n"/>
      <c r="F842" s="50" t="n"/>
      <c r="G842" s="50" t="n"/>
      <c r="H842" s="48" t="n"/>
      <c r="I842" s="51" t="n"/>
      <c r="J842" s="52" t="n"/>
      <c r="K842" s="47" t="n"/>
      <c r="L842" s="47" t="n"/>
      <c r="M842" s="24">
        <f>IF(OR($A842="",$C842=""),"",IF($L842&lt;&gt;"",$L842-$C842,TODAY()-$C842))</f>
        <v/>
      </c>
      <c r="N842" s="28">
        <f>IF(OR($A842="",$K842=""),"",IF($L842="",IF(TODAY()&gt;$K842,"Atrasado","En ruta"),IF($L842&lt;=$K842,"Sí","No")))</f>
        <v/>
      </c>
      <c r="O842" s="24">
        <f>IF($A842="","",COUNTIFS(NOVEDADES!$D$4:$D$1503,$A842))</f>
        <v/>
      </c>
      <c r="P842" s="28">
        <f>IF($A842="","",IF(COUNTIFS(NOVEDADES!$D$4:$D$1503,$A842,NOVEDADES!$O$4:$O$1503,"SÍ")&gt;0,"No","Sí"))</f>
        <v/>
      </c>
      <c r="Q842" s="28">
        <f>IF(OR($A842="",$L842=""),"",IF(AND($N842="Sí",$P842="Sí"),"OTIF","Falló"))</f>
        <v/>
      </c>
    </row>
    <row r="843" ht="16" customHeight="1">
      <c r="A843" s="48" t="n"/>
      <c r="B843" s="48" t="n"/>
      <c r="C843" s="47" t="n"/>
      <c r="D843" s="50" t="n"/>
      <c r="E843" s="50" t="n"/>
      <c r="F843" s="50" t="n"/>
      <c r="G843" s="50" t="n"/>
      <c r="H843" s="48" t="n"/>
      <c r="I843" s="51" t="n"/>
      <c r="J843" s="52" t="n"/>
      <c r="K843" s="47" t="n"/>
      <c r="L843" s="47" t="n"/>
      <c r="M843" s="24">
        <f>IF(OR($A843="",$C843=""),"",IF($L843&lt;&gt;"",$L843-$C843,TODAY()-$C843))</f>
        <v/>
      </c>
      <c r="N843" s="28">
        <f>IF(OR($A843="",$K843=""),"",IF($L843="",IF(TODAY()&gt;$K843,"Atrasado","En ruta"),IF($L843&lt;=$K843,"Sí","No")))</f>
        <v/>
      </c>
      <c r="O843" s="24">
        <f>IF($A843="","",COUNTIFS(NOVEDADES!$D$4:$D$1503,$A843))</f>
        <v/>
      </c>
      <c r="P843" s="28">
        <f>IF($A843="","",IF(COUNTIFS(NOVEDADES!$D$4:$D$1503,$A843,NOVEDADES!$O$4:$O$1503,"SÍ")&gt;0,"No","Sí"))</f>
        <v/>
      </c>
      <c r="Q843" s="28">
        <f>IF(OR($A843="",$L843=""),"",IF(AND($N843="Sí",$P843="Sí"),"OTIF","Falló"))</f>
        <v/>
      </c>
    </row>
    <row r="844" ht="16" customHeight="1">
      <c r="A844" s="48" t="n"/>
      <c r="B844" s="48" t="n"/>
      <c r="C844" s="47" t="n"/>
      <c r="D844" s="50" t="n"/>
      <c r="E844" s="50" t="n"/>
      <c r="F844" s="50" t="n"/>
      <c r="G844" s="50" t="n"/>
      <c r="H844" s="48" t="n"/>
      <c r="I844" s="51" t="n"/>
      <c r="J844" s="52" t="n"/>
      <c r="K844" s="47" t="n"/>
      <c r="L844" s="47" t="n"/>
      <c r="M844" s="24">
        <f>IF(OR($A844="",$C844=""),"",IF($L844&lt;&gt;"",$L844-$C844,TODAY()-$C844))</f>
        <v/>
      </c>
      <c r="N844" s="28">
        <f>IF(OR($A844="",$K844=""),"",IF($L844="",IF(TODAY()&gt;$K844,"Atrasado","En ruta"),IF($L844&lt;=$K844,"Sí","No")))</f>
        <v/>
      </c>
      <c r="O844" s="24">
        <f>IF($A844="","",COUNTIFS(NOVEDADES!$D$4:$D$1503,$A844))</f>
        <v/>
      </c>
      <c r="P844" s="28">
        <f>IF($A844="","",IF(COUNTIFS(NOVEDADES!$D$4:$D$1503,$A844,NOVEDADES!$O$4:$O$1503,"SÍ")&gt;0,"No","Sí"))</f>
        <v/>
      </c>
      <c r="Q844" s="28">
        <f>IF(OR($A844="",$L844=""),"",IF(AND($N844="Sí",$P844="Sí"),"OTIF","Falló"))</f>
        <v/>
      </c>
    </row>
    <row r="845" ht="16" customHeight="1">
      <c r="A845" s="48" t="n"/>
      <c r="B845" s="48" t="n"/>
      <c r="C845" s="47" t="n"/>
      <c r="D845" s="50" t="n"/>
      <c r="E845" s="50" t="n"/>
      <c r="F845" s="50" t="n"/>
      <c r="G845" s="50" t="n"/>
      <c r="H845" s="48" t="n"/>
      <c r="I845" s="51" t="n"/>
      <c r="J845" s="52" t="n"/>
      <c r="K845" s="47" t="n"/>
      <c r="L845" s="47" t="n"/>
      <c r="M845" s="24">
        <f>IF(OR($A845="",$C845=""),"",IF($L845&lt;&gt;"",$L845-$C845,TODAY()-$C845))</f>
        <v/>
      </c>
      <c r="N845" s="28">
        <f>IF(OR($A845="",$K845=""),"",IF($L845="",IF(TODAY()&gt;$K845,"Atrasado","En ruta"),IF($L845&lt;=$K845,"Sí","No")))</f>
        <v/>
      </c>
      <c r="O845" s="24">
        <f>IF($A845="","",COUNTIFS(NOVEDADES!$D$4:$D$1503,$A845))</f>
        <v/>
      </c>
      <c r="P845" s="28">
        <f>IF($A845="","",IF(COUNTIFS(NOVEDADES!$D$4:$D$1503,$A845,NOVEDADES!$O$4:$O$1503,"SÍ")&gt;0,"No","Sí"))</f>
        <v/>
      </c>
      <c r="Q845" s="28">
        <f>IF(OR($A845="",$L845=""),"",IF(AND($N845="Sí",$P845="Sí"),"OTIF","Falló"))</f>
        <v/>
      </c>
    </row>
    <row r="846" ht="16" customHeight="1">
      <c r="A846" s="48" t="n"/>
      <c r="B846" s="48" t="n"/>
      <c r="C846" s="47" t="n"/>
      <c r="D846" s="50" t="n"/>
      <c r="E846" s="50" t="n"/>
      <c r="F846" s="50" t="n"/>
      <c r="G846" s="50" t="n"/>
      <c r="H846" s="48" t="n"/>
      <c r="I846" s="51" t="n"/>
      <c r="J846" s="52" t="n"/>
      <c r="K846" s="47" t="n"/>
      <c r="L846" s="47" t="n"/>
      <c r="M846" s="24">
        <f>IF(OR($A846="",$C846=""),"",IF($L846&lt;&gt;"",$L846-$C846,TODAY()-$C846))</f>
        <v/>
      </c>
      <c r="N846" s="28">
        <f>IF(OR($A846="",$K846=""),"",IF($L846="",IF(TODAY()&gt;$K846,"Atrasado","En ruta"),IF($L846&lt;=$K846,"Sí","No")))</f>
        <v/>
      </c>
      <c r="O846" s="24">
        <f>IF($A846="","",COUNTIFS(NOVEDADES!$D$4:$D$1503,$A846))</f>
        <v/>
      </c>
      <c r="P846" s="28">
        <f>IF($A846="","",IF(COUNTIFS(NOVEDADES!$D$4:$D$1503,$A846,NOVEDADES!$O$4:$O$1503,"SÍ")&gt;0,"No","Sí"))</f>
        <v/>
      </c>
      <c r="Q846" s="28">
        <f>IF(OR($A846="",$L846=""),"",IF(AND($N846="Sí",$P846="Sí"),"OTIF","Falló"))</f>
        <v/>
      </c>
    </row>
    <row r="847" ht="16" customHeight="1">
      <c r="A847" s="48" t="n"/>
      <c r="B847" s="48" t="n"/>
      <c r="C847" s="47" t="n"/>
      <c r="D847" s="50" t="n"/>
      <c r="E847" s="50" t="n"/>
      <c r="F847" s="50" t="n"/>
      <c r="G847" s="50" t="n"/>
      <c r="H847" s="48" t="n"/>
      <c r="I847" s="51" t="n"/>
      <c r="J847" s="52" t="n"/>
      <c r="K847" s="47" t="n"/>
      <c r="L847" s="47" t="n"/>
      <c r="M847" s="24">
        <f>IF(OR($A847="",$C847=""),"",IF($L847&lt;&gt;"",$L847-$C847,TODAY()-$C847))</f>
        <v/>
      </c>
      <c r="N847" s="28">
        <f>IF(OR($A847="",$K847=""),"",IF($L847="",IF(TODAY()&gt;$K847,"Atrasado","En ruta"),IF($L847&lt;=$K847,"Sí","No")))</f>
        <v/>
      </c>
      <c r="O847" s="24">
        <f>IF($A847="","",COUNTIFS(NOVEDADES!$D$4:$D$1503,$A847))</f>
        <v/>
      </c>
      <c r="P847" s="28">
        <f>IF($A847="","",IF(COUNTIFS(NOVEDADES!$D$4:$D$1503,$A847,NOVEDADES!$O$4:$O$1503,"SÍ")&gt;0,"No","Sí"))</f>
        <v/>
      </c>
      <c r="Q847" s="28">
        <f>IF(OR($A847="",$L847=""),"",IF(AND($N847="Sí",$P847="Sí"),"OTIF","Falló"))</f>
        <v/>
      </c>
    </row>
    <row r="848" ht="16" customHeight="1">
      <c r="A848" s="48" t="n"/>
      <c r="B848" s="48" t="n"/>
      <c r="C848" s="47" t="n"/>
      <c r="D848" s="50" t="n"/>
      <c r="E848" s="50" t="n"/>
      <c r="F848" s="50" t="n"/>
      <c r="G848" s="50" t="n"/>
      <c r="H848" s="48" t="n"/>
      <c r="I848" s="51" t="n"/>
      <c r="J848" s="52" t="n"/>
      <c r="K848" s="47" t="n"/>
      <c r="L848" s="47" t="n"/>
      <c r="M848" s="24">
        <f>IF(OR($A848="",$C848=""),"",IF($L848&lt;&gt;"",$L848-$C848,TODAY()-$C848))</f>
        <v/>
      </c>
      <c r="N848" s="28">
        <f>IF(OR($A848="",$K848=""),"",IF($L848="",IF(TODAY()&gt;$K848,"Atrasado","En ruta"),IF($L848&lt;=$K848,"Sí","No")))</f>
        <v/>
      </c>
      <c r="O848" s="24">
        <f>IF($A848="","",COUNTIFS(NOVEDADES!$D$4:$D$1503,$A848))</f>
        <v/>
      </c>
      <c r="P848" s="28">
        <f>IF($A848="","",IF(COUNTIFS(NOVEDADES!$D$4:$D$1503,$A848,NOVEDADES!$O$4:$O$1503,"SÍ")&gt;0,"No","Sí"))</f>
        <v/>
      </c>
      <c r="Q848" s="28">
        <f>IF(OR($A848="",$L848=""),"",IF(AND($N848="Sí",$P848="Sí"),"OTIF","Falló"))</f>
        <v/>
      </c>
    </row>
    <row r="849" ht="16" customHeight="1">
      <c r="A849" s="48" t="n"/>
      <c r="B849" s="48" t="n"/>
      <c r="C849" s="47" t="n"/>
      <c r="D849" s="50" t="n"/>
      <c r="E849" s="50" t="n"/>
      <c r="F849" s="50" t="n"/>
      <c r="G849" s="50" t="n"/>
      <c r="H849" s="48" t="n"/>
      <c r="I849" s="51" t="n"/>
      <c r="J849" s="52" t="n"/>
      <c r="K849" s="47" t="n"/>
      <c r="L849" s="47" t="n"/>
      <c r="M849" s="24">
        <f>IF(OR($A849="",$C849=""),"",IF($L849&lt;&gt;"",$L849-$C849,TODAY()-$C849))</f>
        <v/>
      </c>
      <c r="N849" s="28">
        <f>IF(OR($A849="",$K849=""),"",IF($L849="",IF(TODAY()&gt;$K849,"Atrasado","En ruta"),IF($L849&lt;=$K849,"Sí","No")))</f>
        <v/>
      </c>
      <c r="O849" s="24">
        <f>IF($A849="","",COUNTIFS(NOVEDADES!$D$4:$D$1503,$A849))</f>
        <v/>
      </c>
      <c r="P849" s="28">
        <f>IF($A849="","",IF(COUNTIFS(NOVEDADES!$D$4:$D$1503,$A849,NOVEDADES!$O$4:$O$1503,"SÍ")&gt;0,"No","Sí"))</f>
        <v/>
      </c>
      <c r="Q849" s="28">
        <f>IF(OR($A849="",$L849=""),"",IF(AND($N849="Sí",$P849="Sí"),"OTIF","Falló"))</f>
        <v/>
      </c>
    </row>
    <row r="850" ht="16" customHeight="1">
      <c r="A850" s="48" t="n"/>
      <c r="B850" s="48" t="n"/>
      <c r="C850" s="47" t="n"/>
      <c r="D850" s="50" t="n"/>
      <c r="E850" s="50" t="n"/>
      <c r="F850" s="50" t="n"/>
      <c r="G850" s="50" t="n"/>
      <c r="H850" s="48" t="n"/>
      <c r="I850" s="51" t="n"/>
      <c r="J850" s="52" t="n"/>
      <c r="K850" s="47" t="n"/>
      <c r="L850" s="47" t="n"/>
      <c r="M850" s="24">
        <f>IF(OR($A850="",$C850=""),"",IF($L850&lt;&gt;"",$L850-$C850,TODAY()-$C850))</f>
        <v/>
      </c>
      <c r="N850" s="28">
        <f>IF(OR($A850="",$K850=""),"",IF($L850="",IF(TODAY()&gt;$K850,"Atrasado","En ruta"),IF($L850&lt;=$K850,"Sí","No")))</f>
        <v/>
      </c>
      <c r="O850" s="24">
        <f>IF($A850="","",COUNTIFS(NOVEDADES!$D$4:$D$1503,$A850))</f>
        <v/>
      </c>
      <c r="P850" s="28">
        <f>IF($A850="","",IF(COUNTIFS(NOVEDADES!$D$4:$D$1503,$A850,NOVEDADES!$O$4:$O$1503,"SÍ")&gt;0,"No","Sí"))</f>
        <v/>
      </c>
      <c r="Q850" s="28">
        <f>IF(OR($A850="",$L850=""),"",IF(AND($N850="Sí",$P850="Sí"),"OTIF","Falló"))</f>
        <v/>
      </c>
    </row>
    <row r="851" ht="16" customHeight="1">
      <c r="A851" s="48" t="n"/>
      <c r="B851" s="48" t="n"/>
      <c r="C851" s="47" t="n"/>
      <c r="D851" s="50" t="n"/>
      <c r="E851" s="50" t="n"/>
      <c r="F851" s="50" t="n"/>
      <c r="G851" s="50" t="n"/>
      <c r="H851" s="48" t="n"/>
      <c r="I851" s="51" t="n"/>
      <c r="J851" s="52" t="n"/>
      <c r="K851" s="47" t="n"/>
      <c r="L851" s="47" t="n"/>
      <c r="M851" s="24">
        <f>IF(OR($A851="",$C851=""),"",IF($L851&lt;&gt;"",$L851-$C851,TODAY()-$C851))</f>
        <v/>
      </c>
      <c r="N851" s="28">
        <f>IF(OR($A851="",$K851=""),"",IF($L851="",IF(TODAY()&gt;$K851,"Atrasado","En ruta"),IF($L851&lt;=$K851,"Sí","No")))</f>
        <v/>
      </c>
      <c r="O851" s="24">
        <f>IF($A851="","",COUNTIFS(NOVEDADES!$D$4:$D$1503,$A851))</f>
        <v/>
      </c>
      <c r="P851" s="28">
        <f>IF($A851="","",IF(COUNTIFS(NOVEDADES!$D$4:$D$1503,$A851,NOVEDADES!$O$4:$O$1503,"SÍ")&gt;0,"No","Sí"))</f>
        <v/>
      </c>
      <c r="Q851" s="28">
        <f>IF(OR($A851="",$L851=""),"",IF(AND($N851="Sí",$P851="Sí"),"OTIF","Falló"))</f>
        <v/>
      </c>
    </row>
    <row r="852" ht="16" customHeight="1">
      <c r="A852" s="48" t="n"/>
      <c r="B852" s="48" t="n"/>
      <c r="C852" s="47" t="n"/>
      <c r="D852" s="50" t="n"/>
      <c r="E852" s="50" t="n"/>
      <c r="F852" s="50" t="n"/>
      <c r="G852" s="50" t="n"/>
      <c r="H852" s="48" t="n"/>
      <c r="I852" s="51" t="n"/>
      <c r="J852" s="52" t="n"/>
      <c r="K852" s="47" t="n"/>
      <c r="L852" s="47" t="n"/>
      <c r="M852" s="24">
        <f>IF(OR($A852="",$C852=""),"",IF($L852&lt;&gt;"",$L852-$C852,TODAY()-$C852))</f>
        <v/>
      </c>
      <c r="N852" s="28">
        <f>IF(OR($A852="",$K852=""),"",IF($L852="",IF(TODAY()&gt;$K852,"Atrasado","En ruta"),IF($L852&lt;=$K852,"Sí","No")))</f>
        <v/>
      </c>
      <c r="O852" s="24">
        <f>IF($A852="","",COUNTIFS(NOVEDADES!$D$4:$D$1503,$A852))</f>
        <v/>
      </c>
      <c r="P852" s="28">
        <f>IF($A852="","",IF(COUNTIFS(NOVEDADES!$D$4:$D$1503,$A852,NOVEDADES!$O$4:$O$1503,"SÍ")&gt;0,"No","Sí"))</f>
        <v/>
      </c>
      <c r="Q852" s="28">
        <f>IF(OR($A852="",$L852=""),"",IF(AND($N852="Sí",$P852="Sí"),"OTIF","Falló"))</f>
        <v/>
      </c>
    </row>
    <row r="853" ht="16" customHeight="1">
      <c r="A853" s="48" t="n"/>
      <c r="B853" s="48" t="n"/>
      <c r="C853" s="47" t="n"/>
      <c r="D853" s="50" t="n"/>
      <c r="E853" s="50" t="n"/>
      <c r="F853" s="50" t="n"/>
      <c r="G853" s="50" t="n"/>
      <c r="H853" s="48" t="n"/>
      <c r="I853" s="51" t="n"/>
      <c r="J853" s="52" t="n"/>
      <c r="K853" s="47" t="n"/>
      <c r="L853" s="47" t="n"/>
      <c r="M853" s="24">
        <f>IF(OR($A853="",$C853=""),"",IF($L853&lt;&gt;"",$L853-$C853,TODAY()-$C853))</f>
        <v/>
      </c>
      <c r="N853" s="28">
        <f>IF(OR($A853="",$K853=""),"",IF($L853="",IF(TODAY()&gt;$K853,"Atrasado","En ruta"),IF($L853&lt;=$K853,"Sí","No")))</f>
        <v/>
      </c>
      <c r="O853" s="24">
        <f>IF($A853="","",COUNTIFS(NOVEDADES!$D$4:$D$1503,$A853))</f>
        <v/>
      </c>
      <c r="P853" s="28">
        <f>IF($A853="","",IF(COUNTIFS(NOVEDADES!$D$4:$D$1503,$A853,NOVEDADES!$O$4:$O$1503,"SÍ")&gt;0,"No","Sí"))</f>
        <v/>
      </c>
      <c r="Q853" s="28">
        <f>IF(OR($A853="",$L853=""),"",IF(AND($N853="Sí",$P853="Sí"),"OTIF","Falló"))</f>
        <v/>
      </c>
    </row>
    <row r="854" ht="16" customHeight="1">
      <c r="A854" s="48" t="n"/>
      <c r="B854" s="48" t="n"/>
      <c r="C854" s="47" t="n"/>
      <c r="D854" s="50" t="n"/>
      <c r="E854" s="50" t="n"/>
      <c r="F854" s="50" t="n"/>
      <c r="G854" s="50" t="n"/>
      <c r="H854" s="48" t="n"/>
      <c r="I854" s="51" t="n"/>
      <c r="J854" s="52" t="n"/>
      <c r="K854" s="47" t="n"/>
      <c r="L854" s="47" t="n"/>
      <c r="M854" s="24">
        <f>IF(OR($A854="",$C854=""),"",IF($L854&lt;&gt;"",$L854-$C854,TODAY()-$C854))</f>
        <v/>
      </c>
      <c r="N854" s="28">
        <f>IF(OR($A854="",$K854=""),"",IF($L854="",IF(TODAY()&gt;$K854,"Atrasado","En ruta"),IF($L854&lt;=$K854,"Sí","No")))</f>
        <v/>
      </c>
      <c r="O854" s="24">
        <f>IF($A854="","",COUNTIFS(NOVEDADES!$D$4:$D$1503,$A854))</f>
        <v/>
      </c>
      <c r="P854" s="28">
        <f>IF($A854="","",IF(COUNTIFS(NOVEDADES!$D$4:$D$1503,$A854,NOVEDADES!$O$4:$O$1503,"SÍ")&gt;0,"No","Sí"))</f>
        <v/>
      </c>
      <c r="Q854" s="28">
        <f>IF(OR($A854="",$L854=""),"",IF(AND($N854="Sí",$P854="Sí"),"OTIF","Falló"))</f>
        <v/>
      </c>
    </row>
    <row r="855" ht="16" customHeight="1">
      <c r="A855" s="48" t="n"/>
      <c r="B855" s="48" t="n"/>
      <c r="C855" s="47" t="n"/>
      <c r="D855" s="50" t="n"/>
      <c r="E855" s="50" t="n"/>
      <c r="F855" s="50" t="n"/>
      <c r="G855" s="50" t="n"/>
      <c r="H855" s="48" t="n"/>
      <c r="I855" s="51" t="n"/>
      <c r="J855" s="52" t="n"/>
      <c r="K855" s="47" t="n"/>
      <c r="L855" s="47" t="n"/>
      <c r="M855" s="24">
        <f>IF(OR($A855="",$C855=""),"",IF($L855&lt;&gt;"",$L855-$C855,TODAY()-$C855))</f>
        <v/>
      </c>
      <c r="N855" s="28">
        <f>IF(OR($A855="",$K855=""),"",IF($L855="",IF(TODAY()&gt;$K855,"Atrasado","En ruta"),IF($L855&lt;=$K855,"Sí","No")))</f>
        <v/>
      </c>
      <c r="O855" s="24">
        <f>IF($A855="","",COUNTIFS(NOVEDADES!$D$4:$D$1503,$A855))</f>
        <v/>
      </c>
      <c r="P855" s="28">
        <f>IF($A855="","",IF(COUNTIFS(NOVEDADES!$D$4:$D$1503,$A855,NOVEDADES!$O$4:$O$1503,"SÍ")&gt;0,"No","Sí"))</f>
        <v/>
      </c>
      <c r="Q855" s="28">
        <f>IF(OR($A855="",$L855=""),"",IF(AND($N855="Sí",$P855="Sí"),"OTIF","Falló"))</f>
        <v/>
      </c>
    </row>
    <row r="856" ht="16" customHeight="1">
      <c r="A856" s="48" t="n"/>
      <c r="B856" s="48" t="n"/>
      <c r="C856" s="47" t="n"/>
      <c r="D856" s="50" t="n"/>
      <c r="E856" s="50" t="n"/>
      <c r="F856" s="50" t="n"/>
      <c r="G856" s="50" t="n"/>
      <c r="H856" s="48" t="n"/>
      <c r="I856" s="51" t="n"/>
      <c r="J856" s="52" t="n"/>
      <c r="K856" s="47" t="n"/>
      <c r="L856" s="47" t="n"/>
      <c r="M856" s="24">
        <f>IF(OR($A856="",$C856=""),"",IF($L856&lt;&gt;"",$L856-$C856,TODAY()-$C856))</f>
        <v/>
      </c>
      <c r="N856" s="28">
        <f>IF(OR($A856="",$K856=""),"",IF($L856="",IF(TODAY()&gt;$K856,"Atrasado","En ruta"),IF($L856&lt;=$K856,"Sí","No")))</f>
        <v/>
      </c>
      <c r="O856" s="24">
        <f>IF($A856="","",COUNTIFS(NOVEDADES!$D$4:$D$1503,$A856))</f>
        <v/>
      </c>
      <c r="P856" s="28">
        <f>IF($A856="","",IF(COUNTIFS(NOVEDADES!$D$4:$D$1503,$A856,NOVEDADES!$O$4:$O$1503,"SÍ")&gt;0,"No","Sí"))</f>
        <v/>
      </c>
      <c r="Q856" s="28">
        <f>IF(OR($A856="",$L856=""),"",IF(AND($N856="Sí",$P856="Sí"),"OTIF","Falló"))</f>
        <v/>
      </c>
    </row>
    <row r="857" ht="16" customHeight="1">
      <c r="A857" s="48" t="n"/>
      <c r="B857" s="48" t="n"/>
      <c r="C857" s="47" t="n"/>
      <c r="D857" s="50" t="n"/>
      <c r="E857" s="50" t="n"/>
      <c r="F857" s="50" t="n"/>
      <c r="G857" s="50" t="n"/>
      <c r="H857" s="48" t="n"/>
      <c r="I857" s="51" t="n"/>
      <c r="J857" s="52" t="n"/>
      <c r="K857" s="47" t="n"/>
      <c r="L857" s="47" t="n"/>
      <c r="M857" s="24">
        <f>IF(OR($A857="",$C857=""),"",IF($L857&lt;&gt;"",$L857-$C857,TODAY()-$C857))</f>
        <v/>
      </c>
      <c r="N857" s="28">
        <f>IF(OR($A857="",$K857=""),"",IF($L857="",IF(TODAY()&gt;$K857,"Atrasado","En ruta"),IF($L857&lt;=$K857,"Sí","No")))</f>
        <v/>
      </c>
      <c r="O857" s="24">
        <f>IF($A857="","",COUNTIFS(NOVEDADES!$D$4:$D$1503,$A857))</f>
        <v/>
      </c>
      <c r="P857" s="28">
        <f>IF($A857="","",IF(COUNTIFS(NOVEDADES!$D$4:$D$1503,$A857,NOVEDADES!$O$4:$O$1503,"SÍ")&gt;0,"No","Sí"))</f>
        <v/>
      </c>
      <c r="Q857" s="28">
        <f>IF(OR($A857="",$L857=""),"",IF(AND($N857="Sí",$P857="Sí"),"OTIF","Falló"))</f>
        <v/>
      </c>
    </row>
    <row r="858" ht="16" customHeight="1">
      <c r="A858" s="48" t="n"/>
      <c r="B858" s="48" t="n"/>
      <c r="C858" s="47" t="n"/>
      <c r="D858" s="50" t="n"/>
      <c r="E858" s="50" t="n"/>
      <c r="F858" s="50" t="n"/>
      <c r="G858" s="50" t="n"/>
      <c r="H858" s="48" t="n"/>
      <c r="I858" s="51" t="n"/>
      <c r="J858" s="52" t="n"/>
      <c r="K858" s="47" t="n"/>
      <c r="L858" s="47" t="n"/>
      <c r="M858" s="24">
        <f>IF(OR($A858="",$C858=""),"",IF($L858&lt;&gt;"",$L858-$C858,TODAY()-$C858))</f>
        <v/>
      </c>
      <c r="N858" s="28">
        <f>IF(OR($A858="",$K858=""),"",IF($L858="",IF(TODAY()&gt;$K858,"Atrasado","En ruta"),IF($L858&lt;=$K858,"Sí","No")))</f>
        <v/>
      </c>
      <c r="O858" s="24">
        <f>IF($A858="","",COUNTIFS(NOVEDADES!$D$4:$D$1503,$A858))</f>
        <v/>
      </c>
      <c r="P858" s="28">
        <f>IF($A858="","",IF(COUNTIFS(NOVEDADES!$D$4:$D$1503,$A858,NOVEDADES!$O$4:$O$1503,"SÍ")&gt;0,"No","Sí"))</f>
        <v/>
      </c>
      <c r="Q858" s="28">
        <f>IF(OR($A858="",$L858=""),"",IF(AND($N858="Sí",$P858="Sí"),"OTIF","Falló"))</f>
        <v/>
      </c>
    </row>
    <row r="859" ht="16" customHeight="1">
      <c r="A859" s="48" t="n"/>
      <c r="B859" s="48" t="n"/>
      <c r="C859" s="47" t="n"/>
      <c r="D859" s="50" t="n"/>
      <c r="E859" s="50" t="n"/>
      <c r="F859" s="50" t="n"/>
      <c r="G859" s="50" t="n"/>
      <c r="H859" s="48" t="n"/>
      <c r="I859" s="51" t="n"/>
      <c r="J859" s="52" t="n"/>
      <c r="K859" s="47" t="n"/>
      <c r="L859" s="47" t="n"/>
      <c r="M859" s="24">
        <f>IF(OR($A859="",$C859=""),"",IF($L859&lt;&gt;"",$L859-$C859,TODAY()-$C859))</f>
        <v/>
      </c>
      <c r="N859" s="28">
        <f>IF(OR($A859="",$K859=""),"",IF($L859="",IF(TODAY()&gt;$K859,"Atrasado","En ruta"),IF($L859&lt;=$K859,"Sí","No")))</f>
        <v/>
      </c>
      <c r="O859" s="24">
        <f>IF($A859="","",COUNTIFS(NOVEDADES!$D$4:$D$1503,$A859))</f>
        <v/>
      </c>
      <c r="P859" s="28">
        <f>IF($A859="","",IF(COUNTIFS(NOVEDADES!$D$4:$D$1503,$A859,NOVEDADES!$O$4:$O$1503,"SÍ")&gt;0,"No","Sí"))</f>
        <v/>
      </c>
      <c r="Q859" s="28">
        <f>IF(OR($A859="",$L859=""),"",IF(AND($N859="Sí",$P859="Sí"),"OTIF","Falló"))</f>
        <v/>
      </c>
    </row>
    <row r="860" ht="16" customHeight="1">
      <c r="A860" s="48" t="n"/>
      <c r="B860" s="48" t="n"/>
      <c r="C860" s="47" t="n"/>
      <c r="D860" s="50" t="n"/>
      <c r="E860" s="50" t="n"/>
      <c r="F860" s="50" t="n"/>
      <c r="G860" s="50" t="n"/>
      <c r="H860" s="48" t="n"/>
      <c r="I860" s="51" t="n"/>
      <c r="J860" s="52" t="n"/>
      <c r="K860" s="47" t="n"/>
      <c r="L860" s="47" t="n"/>
      <c r="M860" s="24">
        <f>IF(OR($A860="",$C860=""),"",IF($L860&lt;&gt;"",$L860-$C860,TODAY()-$C860))</f>
        <v/>
      </c>
      <c r="N860" s="28">
        <f>IF(OR($A860="",$K860=""),"",IF($L860="",IF(TODAY()&gt;$K860,"Atrasado","En ruta"),IF($L860&lt;=$K860,"Sí","No")))</f>
        <v/>
      </c>
      <c r="O860" s="24">
        <f>IF($A860="","",COUNTIFS(NOVEDADES!$D$4:$D$1503,$A860))</f>
        <v/>
      </c>
      <c r="P860" s="28">
        <f>IF($A860="","",IF(COUNTIFS(NOVEDADES!$D$4:$D$1503,$A860,NOVEDADES!$O$4:$O$1503,"SÍ")&gt;0,"No","Sí"))</f>
        <v/>
      </c>
      <c r="Q860" s="28">
        <f>IF(OR($A860="",$L860=""),"",IF(AND($N860="Sí",$P860="Sí"),"OTIF","Falló"))</f>
        <v/>
      </c>
    </row>
    <row r="861" ht="16" customHeight="1">
      <c r="A861" s="48" t="n"/>
      <c r="B861" s="48" t="n"/>
      <c r="C861" s="47" t="n"/>
      <c r="D861" s="50" t="n"/>
      <c r="E861" s="50" t="n"/>
      <c r="F861" s="50" t="n"/>
      <c r="G861" s="50" t="n"/>
      <c r="H861" s="48" t="n"/>
      <c r="I861" s="51" t="n"/>
      <c r="J861" s="52" t="n"/>
      <c r="K861" s="47" t="n"/>
      <c r="L861" s="47" t="n"/>
      <c r="M861" s="24">
        <f>IF(OR($A861="",$C861=""),"",IF($L861&lt;&gt;"",$L861-$C861,TODAY()-$C861))</f>
        <v/>
      </c>
      <c r="N861" s="28">
        <f>IF(OR($A861="",$K861=""),"",IF($L861="",IF(TODAY()&gt;$K861,"Atrasado","En ruta"),IF($L861&lt;=$K861,"Sí","No")))</f>
        <v/>
      </c>
      <c r="O861" s="24">
        <f>IF($A861="","",COUNTIFS(NOVEDADES!$D$4:$D$1503,$A861))</f>
        <v/>
      </c>
      <c r="P861" s="28">
        <f>IF($A861="","",IF(COUNTIFS(NOVEDADES!$D$4:$D$1503,$A861,NOVEDADES!$O$4:$O$1503,"SÍ")&gt;0,"No","Sí"))</f>
        <v/>
      </c>
      <c r="Q861" s="28">
        <f>IF(OR($A861="",$L861=""),"",IF(AND($N861="Sí",$P861="Sí"),"OTIF","Falló"))</f>
        <v/>
      </c>
    </row>
    <row r="862" ht="16" customHeight="1">
      <c r="A862" s="48" t="n"/>
      <c r="B862" s="48" t="n"/>
      <c r="C862" s="47" t="n"/>
      <c r="D862" s="50" t="n"/>
      <c r="E862" s="50" t="n"/>
      <c r="F862" s="50" t="n"/>
      <c r="G862" s="50" t="n"/>
      <c r="H862" s="48" t="n"/>
      <c r="I862" s="51" t="n"/>
      <c r="J862" s="52" t="n"/>
      <c r="K862" s="47" t="n"/>
      <c r="L862" s="47" t="n"/>
      <c r="M862" s="24">
        <f>IF(OR($A862="",$C862=""),"",IF($L862&lt;&gt;"",$L862-$C862,TODAY()-$C862))</f>
        <v/>
      </c>
      <c r="N862" s="28">
        <f>IF(OR($A862="",$K862=""),"",IF($L862="",IF(TODAY()&gt;$K862,"Atrasado","En ruta"),IF($L862&lt;=$K862,"Sí","No")))</f>
        <v/>
      </c>
      <c r="O862" s="24">
        <f>IF($A862="","",COUNTIFS(NOVEDADES!$D$4:$D$1503,$A862))</f>
        <v/>
      </c>
      <c r="P862" s="28">
        <f>IF($A862="","",IF(COUNTIFS(NOVEDADES!$D$4:$D$1503,$A862,NOVEDADES!$O$4:$O$1503,"SÍ")&gt;0,"No","Sí"))</f>
        <v/>
      </c>
      <c r="Q862" s="28">
        <f>IF(OR($A862="",$L862=""),"",IF(AND($N862="Sí",$P862="Sí"),"OTIF","Falló"))</f>
        <v/>
      </c>
    </row>
    <row r="863" ht="16" customHeight="1">
      <c r="A863" s="48" t="n"/>
      <c r="B863" s="48" t="n"/>
      <c r="C863" s="47" t="n"/>
      <c r="D863" s="50" t="n"/>
      <c r="E863" s="50" t="n"/>
      <c r="F863" s="50" t="n"/>
      <c r="G863" s="50" t="n"/>
      <c r="H863" s="48" t="n"/>
      <c r="I863" s="51" t="n"/>
      <c r="J863" s="52" t="n"/>
      <c r="K863" s="47" t="n"/>
      <c r="L863" s="47" t="n"/>
      <c r="M863" s="24">
        <f>IF(OR($A863="",$C863=""),"",IF($L863&lt;&gt;"",$L863-$C863,TODAY()-$C863))</f>
        <v/>
      </c>
      <c r="N863" s="28">
        <f>IF(OR($A863="",$K863=""),"",IF($L863="",IF(TODAY()&gt;$K863,"Atrasado","En ruta"),IF($L863&lt;=$K863,"Sí","No")))</f>
        <v/>
      </c>
      <c r="O863" s="24">
        <f>IF($A863="","",COUNTIFS(NOVEDADES!$D$4:$D$1503,$A863))</f>
        <v/>
      </c>
      <c r="P863" s="28">
        <f>IF($A863="","",IF(COUNTIFS(NOVEDADES!$D$4:$D$1503,$A863,NOVEDADES!$O$4:$O$1503,"SÍ")&gt;0,"No","Sí"))</f>
        <v/>
      </c>
      <c r="Q863" s="28">
        <f>IF(OR($A863="",$L863=""),"",IF(AND($N863="Sí",$P863="Sí"),"OTIF","Falló"))</f>
        <v/>
      </c>
    </row>
    <row r="864" ht="16" customHeight="1">
      <c r="A864" s="48" t="n"/>
      <c r="B864" s="48" t="n"/>
      <c r="C864" s="47" t="n"/>
      <c r="D864" s="50" t="n"/>
      <c r="E864" s="50" t="n"/>
      <c r="F864" s="50" t="n"/>
      <c r="G864" s="50" t="n"/>
      <c r="H864" s="48" t="n"/>
      <c r="I864" s="51" t="n"/>
      <c r="J864" s="52" t="n"/>
      <c r="K864" s="47" t="n"/>
      <c r="L864" s="47" t="n"/>
      <c r="M864" s="24">
        <f>IF(OR($A864="",$C864=""),"",IF($L864&lt;&gt;"",$L864-$C864,TODAY()-$C864))</f>
        <v/>
      </c>
      <c r="N864" s="28">
        <f>IF(OR($A864="",$K864=""),"",IF($L864="",IF(TODAY()&gt;$K864,"Atrasado","En ruta"),IF($L864&lt;=$K864,"Sí","No")))</f>
        <v/>
      </c>
      <c r="O864" s="24">
        <f>IF($A864="","",COUNTIFS(NOVEDADES!$D$4:$D$1503,$A864))</f>
        <v/>
      </c>
      <c r="P864" s="28">
        <f>IF($A864="","",IF(COUNTIFS(NOVEDADES!$D$4:$D$1503,$A864,NOVEDADES!$O$4:$O$1503,"SÍ")&gt;0,"No","Sí"))</f>
        <v/>
      </c>
      <c r="Q864" s="28">
        <f>IF(OR($A864="",$L864=""),"",IF(AND($N864="Sí",$P864="Sí"),"OTIF","Falló"))</f>
        <v/>
      </c>
    </row>
    <row r="865" ht="16" customHeight="1">
      <c r="A865" s="48" t="n"/>
      <c r="B865" s="48" t="n"/>
      <c r="C865" s="47" t="n"/>
      <c r="D865" s="50" t="n"/>
      <c r="E865" s="50" t="n"/>
      <c r="F865" s="50" t="n"/>
      <c r="G865" s="50" t="n"/>
      <c r="H865" s="48" t="n"/>
      <c r="I865" s="51" t="n"/>
      <c r="J865" s="52" t="n"/>
      <c r="K865" s="47" t="n"/>
      <c r="L865" s="47" t="n"/>
      <c r="M865" s="24">
        <f>IF(OR($A865="",$C865=""),"",IF($L865&lt;&gt;"",$L865-$C865,TODAY()-$C865))</f>
        <v/>
      </c>
      <c r="N865" s="28">
        <f>IF(OR($A865="",$K865=""),"",IF($L865="",IF(TODAY()&gt;$K865,"Atrasado","En ruta"),IF($L865&lt;=$K865,"Sí","No")))</f>
        <v/>
      </c>
      <c r="O865" s="24">
        <f>IF($A865="","",COUNTIFS(NOVEDADES!$D$4:$D$1503,$A865))</f>
        <v/>
      </c>
      <c r="P865" s="28">
        <f>IF($A865="","",IF(COUNTIFS(NOVEDADES!$D$4:$D$1503,$A865,NOVEDADES!$O$4:$O$1503,"SÍ")&gt;0,"No","Sí"))</f>
        <v/>
      </c>
      <c r="Q865" s="28">
        <f>IF(OR($A865="",$L865=""),"",IF(AND($N865="Sí",$P865="Sí"),"OTIF","Falló"))</f>
        <v/>
      </c>
    </row>
    <row r="866" ht="16" customHeight="1">
      <c r="A866" s="48" t="n"/>
      <c r="B866" s="48" t="n"/>
      <c r="C866" s="47" t="n"/>
      <c r="D866" s="50" t="n"/>
      <c r="E866" s="50" t="n"/>
      <c r="F866" s="50" t="n"/>
      <c r="G866" s="50" t="n"/>
      <c r="H866" s="48" t="n"/>
      <c r="I866" s="51" t="n"/>
      <c r="J866" s="52" t="n"/>
      <c r="K866" s="47" t="n"/>
      <c r="L866" s="47" t="n"/>
      <c r="M866" s="24">
        <f>IF(OR($A866="",$C866=""),"",IF($L866&lt;&gt;"",$L866-$C866,TODAY()-$C866))</f>
        <v/>
      </c>
      <c r="N866" s="28">
        <f>IF(OR($A866="",$K866=""),"",IF($L866="",IF(TODAY()&gt;$K866,"Atrasado","En ruta"),IF($L866&lt;=$K866,"Sí","No")))</f>
        <v/>
      </c>
      <c r="O866" s="24">
        <f>IF($A866="","",COUNTIFS(NOVEDADES!$D$4:$D$1503,$A866))</f>
        <v/>
      </c>
      <c r="P866" s="28">
        <f>IF($A866="","",IF(COUNTIFS(NOVEDADES!$D$4:$D$1503,$A866,NOVEDADES!$O$4:$O$1503,"SÍ")&gt;0,"No","Sí"))</f>
        <v/>
      </c>
      <c r="Q866" s="28">
        <f>IF(OR($A866="",$L866=""),"",IF(AND($N866="Sí",$P866="Sí"),"OTIF","Falló"))</f>
        <v/>
      </c>
    </row>
    <row r="867" ht="16" customHeight="1">
      <c r="A867" s="48" t="n"/>
      <c r="B867" s="48" t="n"/>
      <c r="C867" s="47" t="n"/>
      <c r="D867" s="50" t="n"/>
      <c r="E867" s="50" t="n"/>
      <c r="F867" s="50" t="n"/>
      <c r="G867" s="50" t="n"/>
      <c r="H867" s="48" t="n"/>
      <c r="I867" s="51" t="n"/>
      <c r="J867" s="52" t="n"/>
      <c r="K867" s="47" t="n"/>
      <c r="L867" s="47" t="n"/>
      <c r="M867" s="24">
        <f>IF(OR($A867="",$C867=""),"",IF($L867&lt;&gt;"",$L867-$C867,TODAY()-$C867))</f>
        <v/>
      </c>
      <c r="N867" s="28">
        <f>IF(OR($A867="",$K867=""),"",IF($L867="",IF(TODAY()&gt;$K867,"Atrasado","En ruta"),IF($L867&lt;=$K867,"Sí","No")))</f>
        <v/>
      </c>
      <c r="O867" s="24">
        <f>IF($A867="","",COUNTIFS(NOVEDADES!$D$4:$D$1503,$A867))</f>
        <v/>
      </c>
      <c r="P867" s="28">
        <f>IF($A867="","",IF(COUNTIFS(NOVEDADES!$D$4:$D$1503,$A867,NOVEDADES!$O$4:$O$1503,"SÍ")&gt;0,"No","Sí"))</f>
        <v/>
      </c>
      <c r="Q867" s="28">
        <f>IF(OR($A867="",$L867=""),"",IF(AND($N867="Sí",$P867="Sí"),"OTIF","Falló"))</f>
        <v/>
      </c>
    </row>
    <row r="868" ht="16" customHeight="1">
      <c r="A868" s="48" t="n"/>
      <c r="B868" s="48" t="n"/>
      <c r="C868" s="47" t="n"/>
      <c r="D868" s="50" t="n"/>
      <c r="E868" s="50" t="n"/>
      <c r="F868" s="50" t="n"/>
      <c r="G868" s="50" t="n"/>
      <c r="H868" s="48" t="n"/>
      <c r="I868" s="51" t="n"/>
      <c r="J868" s="52" t="n"/>
      <c r="K868" s="47" t="n"/>
      <c r="L868" s="47" t="n"/>
      <c r="M868" s="24">
        <f>IF(OR($A868="",$C868=""),"",IF($L868&lt;&gt;"",$L868-$C868,TODAY()-$C868))</f>
        <v/>
      </c>
      <c r="N868" s="28">
        <f>IF(OR($A868="",$K868=""),"",IF($L868="",IF(TODAY()&gt;$K868,"Atrasado","En ruta"),IF($L868&lt;=$K868,"Sí","No")))</f>
        <v/>
      </c>
      <c r="O868" s="24">
        <f>IF($A868="","",COUNTIFS(NOVEDADES!$D$4:$D$1503,$A868))</f>
        <v/>
      </c>
      <c r="P868" s="28">
        <f>IF($A868="","",IF(COUNTIFS(NOVEDADES!$D$4:$D$1503,$A868,NOVEDADES!$O$4:$O$1503,"SÍ")&gt;0,"No","Sí"))</f>
        <v/>
      </c>
      <c r="Q868" s="28">
        <f>IF(OR($A868="",$L868=""),"",IF(AND($N868="Sí",$P868="Sí"),"OTIF","Falló"))</f>
        <v/>
      </c>
    </row>
    <row r="869" ht="16" customHeight="1">
      <c r="A869" s="48" t="n"/>
      <c r="B869" s="48" t="n"/>
      <c r="C869" s="47" t="n"/>
      <c r="D869" s="50" t="n"/>
      <c r="E869" s="50" t="n"/>
      <c r="F869" s="50" t="n"/>
      <c r="G869" s="50" t="n"/>
      <c r="H869" s="48" t="n"/>
      <c r="I869" s="51" t="n"/>
      <c r="J869" s="52" t="n"/>
      <c r="K869" s="47" t="n"/>
      <c r="L869" s="47" t="n"/>
      <c r="M869" s="24">
        <f>IF(OR($A869="",$C869=""),"",IF($L869&lt;&gt;"",$L869-$C869,TODAY()-$C869))</f>
        <v/>
      </c>
      <c r="N869" s="28">
        <f>IF(OR($A869="",$K869=""),"",IF($L869="",IF(TODAY()&gt;$K869,"Atrasado","En ruta"),IF($L869&lt;=$K869,"Sí","No")))</f>
        <v/>
      </c>
      <c r="O869" s="24">
        <f>IF($A869="","",COUNTIFS(NOVEDADES!$D$4:$D$1503,$A869))</f>
        <v/>
      </c>
      <c r="P869" s="28">
        <f>IF($A869="","",IF(COUNTIFS(NOVEDADES!$D$4:$D$1503,$A869,NOVEDADES!$O$4:$O$1503,"SÍ")&gt;0,"No","Sí"))</f>
        <v/>
      </c>
      <c r="Q869" s="28">
        <f>IF(OR($A869="",$L869=""),"",IF(AND($N869="Sí",$P869="Sí"),"OTIF","Falló"))</f>
        <v/>
      </c>
    </row>
    <row r="870" ht="16" customHeight="1">
      <c r="A870" s="48" t="n"/>
      <c r="B870" s="48" t="n"/>
      <c r="C870" s="47" t="n"/>
      <c r="D870" s="50" t="n"/>
      <c r="E870" s="50" t="n"/>
      <c r="F870" s="50" t="n"/>
      <c r="G870" s="50" t="n"/>
      <c r="H870" s="48" t="n"/>
      <c r="I870" s="51" t="n"/>
      <c r="J870" s="52" t="n"/>
      <c r="K870" s="47" t="n"/>
      <c r="L870" s="47" t="n"/>
      <c r="M870" s="24">
        <f>IF(OR($A870="",$C870=""),"",IF($L870&lt;&gt;"",$L870-$C870,TODAY()-$C870))</f>
        <v/>
      </c>
      <c r="N870" s="28">
        <f>IF(OR($A870="",$K870=""),"",IF($L870="",IF(TODAY()&gt;$K870,"Atrasado","En ruta"),IF($L870&lt;=$K870,"Sí","No")))</f>
        <v/>
      </c>
      <c r="O870" s="24">
        <f>IF($A870="","",COUNTIFS(NOVEDADES!$D$4:$D$1503,$A870))</f>
        <v/>
      </c>
      <c r="P870" s="28">
        <f>IF($A870="","",IF(COUNTIFS(NOVEDADES!$D$4:$D$1503,$A870,NOVEDADES!$O$4:$O$1503,"SÍ")&gt;0,"No","Sí"))</f>
        <v/>
      </c>
      <c r="Q870" s="28">
        <f>IF(OR($A870="",$L870=""),"",IF(AND($N870="Sí",$P870="Sí"),"OTIF","Falló"))</f>
        <v/>
      </c>
    </row>
    <row r="871" ht="16" customHeight="1">
      <c r="A871" s="48" t="n"/>
      <c r="B871" s="48" t="n"/>
      <c r="C871" s="47" t="n"/>
      <c r="D871" s="50" t="n"/>
      <c r="E871" s="50" t="n"/>
      <c r="F871" s="50" t="n"/>
      <c r="G871" s="50" t="n"/>
      <c r="H871" s="48" t="n"/>
      <c r="I871" s="51" t="n"/>
      <c r="J871" s="52" t="n"/>
      <c r="K871" s="47" t="n"/>
      <c r="L871" s="47" t="n"/>
      <c r="M871" s="24">
        <f>IF(OR($A871="",$C871=""),"",IF($L871&lt;&gt;"",$L871-$C871,TODAY()-$C871))</f>
        <v/>
      </c>
      <c r="N871" s="28">
        <f>IF(OR($A871="",$K871=""),"",IF($L871="",IF(TODAY()&gt;$K871,"Atrasado","En ruta"),IF($L871&lt;=$K871,"Sí","No")))</f>
        <v/>
      </c>
      <c r="O871" s="24">
        <f>IF($A871="","",COUNTIFS(NOVEDADES!$D$4:$D$1503,$A871))</f>
        <v/>
      </c>
      <c r="P871" s="28">
        <f>IF($A871="","",IF(COUNTIFS(NOVEDADES!$D$4:$D$1503,$A871,NOVEDADES!$O$4:$O$1503,"SÍ")&gt;0,"No","Sí"))</f>
        <v/>
      </c>
      <c r="Q871" s="28">
        <f>IF(OR($A871="",$L871=""),"",IF(AND($N871="Sí",$P871="Sí"),"OTIF","Falló"))</f>
        <v/>
      </c>
    </row>
    <row r="872" ht="16" customHeight="1">
      <c r="A872" s="48" t="n"/>
      <c r="B872" s="48" t="n"/>
      <c r="C872" s="47" t="n"/>
      <c r="D872" s="50" t="n"/>
      <c r="E872" s="50" t="n"/>
      <c r="F872" s="50" t="n"/>
      <c r="G872" s="50" t="n"/>
      <c r="H872" s="48" t="n"/>
      <c r="I872" s="51" t="n"/>
      <c r="J872" s="52" t="n"/>
      <c r="K872" s="47" t="n"/>
      <c r="L872" s="47" t="n"/>
      <c r="M872" s="24">
        <f>IF(OR($A872="",$C872=""),"",IF($L872&lt;&gt;"",$L872-$C872,TODAY()-$C872))</f>
        <v/>
      </c>
      <c r="N872" s="28">
        <f>IF(OR($A872="",$K872=""),"",IF($L872="",IF(TODAY()&gt;$K872,"Atrasado","En ruta"),IF($L872&lt;=$K872,"Sí","No")))</f>
        <v/>
      </c>
      <c r="O872" s="24">
        <f>IF($A872="","",COUNTIFS(NOVEDADES!$D$4:$D$1503,$A872))</f>
        <v/>
      </c>
      <c r="P872" s="28">
        <f>IF($A872="","",IF(COUNTIFS(NOVEDADES!$D$4:$D$1503,$A872,NOVEDADES!$O$4:$O$1503,"SÍ")&gt;0,"No","Sí"))</f>
        <v/>
      </c>
      <c r="Q872" s="28">
        <f>IF(OR($A872="",$L872=""),"",IF(AND($N872="Sí",$P872="Sí"),"OTIF","Falló"))</f>
        <v/>
      </c>
    </row>
    <row r="873" ht="16" customHeight="1">
      <c r="A873" s="48" t="n"/>
      <c r="B873" s="48" t="n"/>
      <c r="C873" s="47" t="n"/>
      <c r="D873" s="50" t="n"/>
      <c r="E873" s="50" t="n"/>
      <c r="F873" s="50" t="n"/>
      <c r="G873" s="50" t="n"/>
      <c r="H873" s="48" t="n"/>
      <c r="I873" s="51" t="n"/>
      <c r="J873" s="52" t="n"/>
      <c r="K873" s="47" t="n"/>
      <c r="L873" s="47" t="n"/>
      <c r="M873" s="24">
        <f>IF(OR($A873="",$C873=""),"",IF($L873&lt;&gt;"",$L873-$C873,TODAY()-$C873))</f>
        <v/>
      </c>
      <c r="N873" s="28">
        <f>IF(OR($A873="",$K873=""),"",IF($L873="",IF(TODAY()&gt;$K873,"Atrasado","En ruta"),IF($L873&lt;=$K873,"Sí","No")))</f>
        <v/>
      </c>
      <c r="O873" s="24">
        <f>IF($A873="","",COUNTIFS(NOVEDADES!$D$4:$D$1503,$A873))</f>
        <v/>
      </c>
      <c r="P873" s="28">
        <f>IF($A873="","",IF(COUNTIFS(NOVEDADES!$D$4:$D$1503,$A873,NOVEDADES!$O$4:$O$1503,"SÍ")&gt;0,"No","Sí"))</f>
        <v/>
      </c>
      <c r="Q873" s="28">
        <f>IF(OR($A873="",$L873=""),"",IF(AND($N873="Sí",$P873="Sí"),"OTIF","Falló"))</f>
        <v/>
      </c>
    </row>
    <row r="874" ht="16" customHeight="1">
      <c r="A874" s="48" t="n"/>
      <c r="B874" s="48" t="n"/>
      <c r="C874" s="47" t="n"/>
      <c r="D874" s="50" t="n"/>
      <c r="E874" s="50" t="n"/>
      <c r="F874" s="50" t="n"/>
      <c r="G874" s="50" t="n"/>
      <c r="H874" s="48" t="n"/>
      <c r="I874" s="51" t="n"/>
      <c r="J874" s="52" t="n"/>
      <c r="K874" s="47" t="n"/>
      <c r="L874" s="47" t="n"/>
      <c r="M874" s="24">
        <f>IF(OR($A874="",$C874=""),"",IF($L874&lt;&gt;"",$L874-$C874,TODAY()-$C874))</f>
        <v/>
      </c>
      <c r="N874" s="28">
        <f>IF(OR($A874="",$K874=""),"",IF($L874="",IF(TODAY()&gt;$K874,"Atrasado","En ruta"),IF($L874&lt;=$K874,"Sí","No")))</f>
        <v/>
      </c>
      <c r="O874" s="24">
        <f>IF($A874="","",COUNTIFS(NOVEDADES!$D$4:$D$1503,$A874))</f>
        <v/>
      </c>
      <c r="P874" s="28">
        <f>IF($A874="","",IF(COUNTIFS(NOVEDADES!$D$4:$D$1503,$A874,NOVEDADES!$O$4:$O$1503,"SÍ")&gt;0,"No","Sí"))</f>
        <v/>
      </c>
      <c r="Q874" s="28">
        <f>IF(OR($A874="",$L874=""),"",IF(AND($N874="Sí",$P874="Sí"),"OTIF","Falló"))</f>
        <v/>
      </c>
    </row>
    <row r="875" ht="16" customHeight="1">
      <c r="A875" s="48" t="n"/>
      <c r="B875" s="48" t="n"/>
      <c r="C875" s="47" t="n"/>
      <c r="D875" s="50" t="n"/>
      <c r="E875" s="50" t="n"/>
      <c r="F875" s="50" t="n"/>
      <c r="G875" s="50" t="n"/>
      <c r="H875" s="48" t="n"/>
      <c r="I875" s="51" t="n"/>
      <c r="J875" s="52" t="n"/>
      <c r="K875" s="47" t="n"/>
      <c r="L875" s="47" t="n"/>
      <c r="M875" s="24">
        <f>IF(OR($A875="",$C875=""),"",IF($L875&lt;&gt;"",$L875-$C875,TODAY()-$C875))</f>
        <v/>
      </c>
      <c r="N875" s="28">
        <f>IF(OR($A875="",$K875=""),"",IF($L875="",IF(TODAY()&gt;$K875,"Atrasado","En ruta"),IF($L875&lt;=$K875,"Sí","No")))</f>
        <v/>
      </c>
      <c r="O875" s="24">
        <f>IF($A875="","",COUNTIFS(NOVEDADES!$D$4:$D$1503,$A875))</f>
        <v/>
      </c>
      <c r="P875" s="28">
        <f>IF($A875="","",IF(COUNTIFS(NOVEDADES!$D$4:$D$1503,$A875,NOVEDADES!$O$4:$O$1503,"SÍ")&gt;0,"No","Sí"))</f>
        <v/>
      </c>
      <c r="Q875" s="28">
        <f>IF(OR($A875="",$L875=""),"",IF(AND($N875="Sí",$P875="Sí"),"OTIF","Falló"))</f>
        <v/>
      </c>
    </row>
    <row r="876" ht="16" customHeight="1">
      <c r="A876" s="48" t="n"/>
      <c r="B876" s="48" t="n"/>
      <c r="C876" s="47" t="n"/>
      <c r="D876" s="50" t="n"/>
      <c r="E876" s="50" t="n"/>
      <c r="F876" s="50" t="n"/>
      <c r="G876" s="50" t="n"/>
      <c r="H876" s="48" t="n"/>
      <c r="I876" s="51" t="n"/>
      <c r="J876" s="52" t="n"/>
      <c r="K876" s="47" t="n"/>
      <c r="L876" s="47" t="n"/>
      <c r="M876" s="24">
        <f>IF(OR($A876="",$C876=""),"",IF($L876&lt;&gt;"",$L876-$C876,TODAY()-$C876))</f>
        <v/>
      </c>
      <c r="N876" s="28">
        <f>IF(OR($A876="",$K876=""),"",IF($L876="",IF(TODAY()&gt;$K876,"Atrasado","En ruta"),IF($L876&lt;=$K876,"Sí","No")))</f>
        <v/>
      </c>
      <c r="O876" s="24">
        <f>IF($A876="","",COUNTIFS(NOVEDADES!$D$4:$D$1503,$A876))</f>
        <v/>
      </c>
      <c r="P876" s="28">
        <f>IF($A876="","",IF(COUNTIFS(NOVEDADES!$D$4:$D$1503,$A876,NOVEDADES!$O$4:$O$1503,"SÍ")&gt;0,"No","Sí"))</f>
        <v/>
      </c>
      <c r="Q876" s="28">
        <f>IF(OR($A876="",$L876=""),"",IF(AND($N876="Sí",$P876="Sí"),"OTIF","Falló"))</f>
        <v/>
      </c>
    </row>
    <row r="877" ht="16" customHeight="1">
      <c r="A877" s="48" t="n"/>
      <c r="B877" s="48" t="n"/>
      <c r="C877" s="47" t="n"/>
      <c r="D877" s="50" t="n"/>
      <c r="E877" s="50" t="n"/>
      <c r="F877" s="50" t="n"/>
      <c r="G877" s="50" t="n"/>
      <c r="H877" s="48" t="n"/>
      <c r="I877" s="51" t="n"/>
      <c r="J877" s="52" t="n"/>
      <c r="K877" s="47" t="n"/>
      <c r="L877" s="47" t="n"/>
      <c r="M877" s="24">
        <f>IF(OR($A877="",$C877=""),"",IF($L877&lt;&gt;"",$L877-$C877,TODAY()-$C877))</f>
        <v/>
      </c>
      <c r="N877" s="28">
        <f>IF(OR($A877="",$K877=""),"",IF($L877="",IF(TODAY()&gt;$K877,"Atrasado","En ruta"),IF($L877&lt;=$K877,"Sí","No")))</f>
        <v/>
      </c>
      <c r="O877" s="24">
        <f>IF($A877="","",COUNTIFS(NOVEDADES!$D$4:$D$1503,$A877))</f>
        <v/>
      </c>
      <c r="P877" s="28">
        <f>IF($A877="","",IF(COUNTIFS(NOVEDADES!$D$4:$D$1503,$A877,NOVEDADES!$O$4:$O$1503,"SÍ")&gt;0,"No","Sí"))</f>
        <v/>
      </c>
      <c r="Q877" s="28">
        <f>IF(OR($A877="",$L877=""),"",IF(AND($N877="Sí",$P877="Sí"),"OTIF","Falló"))</f>
        <v/>
      </c>
    </row>
    <row r="878" ht="16" customHeight="1">
      <c r="A878" s="48" t="n"/>
      <c r="B878" s="48" t="n"/>
      <c r="C878" s="47" t="n"/>
      <c r="D878" s="50" t="n"/>
      <c r="E878" s="50" t="n"/>
      <c r="F878" s="50" t="n"/>
      <c r="G878" s="50" t="n"/>
      <c r="H878" s="48" t="n"/>
      <c r="I878" s="51" t="n"/>
      <c r="J878" s="52" t="n"/>
      <c r="K878" s="47" t="n"/>
      <c r="L878" s="47" t="n"/>
      <c r="M878" s="24">
        <f>IF(OR($A878="",$C878=""),"",IF($L878&lt;&gt;"",$L878-$C878,TODAY()-$C878))</f>
        <v/>
      </c>
      <c r="N878" s="28">
        <f>IF(OR($A878="",$K878=""),"",IF($L878="",IF(TODAY()&gt;$K878,"Atrasado","En ruta"),IF($L878&lt;=$K878,"Sí","No")))</f>
        <v/>
      </c>
      <c r="O878" s="24">
        <f>IF($A878="","",COUNTIFS(NOVEDADES!$D$4:$D$1503,$A878))</f>
        <v/>
      </c>
      <c r="P878" s="28">
        <f>IF($A878="","",IF(COUNTIFS(NOVEDADES!$D$4:$D$1503,$A878,NOVEDADES!$O$4:$O$1503,"SÍ")&gt;0,"No","Sí"))</f>
        <v/>
      </c>
      <c r="Q878" s="28">
        <f>IF(OR($A878="",$L878=""),"",IF(AND($N878="Sí",$P878="Sí"),"OTIF","Falló"))</f>
        <v/>
      </c>
    </row>
    <row r="879" ht="16" customHeight="1">
      <c r="A879" s="48" t="n"/>
      <c r="B879" s="48" t="n"/>
      <c r="C879" s="47" t="n"/>
      <c r="D879" s="50" t="n"/>
      <c r="E879" s="50" t="n"/>
      <c r="F879" s="50" t="n"/>
      <c r="G879" s="50" t="n"/>
      <c r="H879" s="48" t="n"/>
      <c r="I879" s="51" t="n"/>
      <c r="J879" s="52" t="n"/>
      <c r="K879" s="47" t="n"/>
      <c r="L879" s="47" t="n"/>
      <c r="M879" s="24">
        <f>IF(OR($A879="",$C879=""),"",IF($L879&lt;&gt;"",$L879-$C879,TODAY()-$C879))</f>
        <v/>
      </c>
      <c r="N879" s="28">
        <f>IF(OR($A879="",$K879=""),"",IF($L879="",IF(TODAY()&gt;$K879,"Atrasado","En ruta"),IF($L879&lt;=$K879,"Sí","No")))</f>
        <v/>
      </c>
      <c r="O879" s="24">
        <f>IF($A879="","",COUNTIFS(NOVEDADES!$D$4:$D$1503,$A879))</f>
        <v/>
      </c>
      <c r="P879" s="28">
        <f>IF($A879="","",IF(COUNTIFS(NOVEDADES!$D$4:$D$1503,$A879,NOVEDADES!$O$4:$O$1503,"SÍ")&gt;0,"No","Sí"))</f>
        <v/>
      </c>
      <c r="Q879" s="28">
        <f>IF(OR($A879="",$L879=""),"",IF(AND($N879="Sí",$P879="Sí"),"OTIF","Falló"))</f>
        <v/>
      </c>
    </row>
    <row r="880" ht="16" customHeight="1">
      <c r="A880" s="48" t="n"/>
      <c r="B880" s="48" t="n"/>
      <c r="C880" s="47" t="n"/>
      <c r="D880" s="50" t="n"/>
      <c r="E880" s="50" t="n"/>
      <c r="F880" s="50" t="n"/>
      <c r="G880" s="50" t="n"/>
      <c r="H880" s="48" t="n"/>
      <c r="I880" s="51" t="n"/>
      <c r="J880" s="52" t="n"/>
      <c r="K880" s="47" t="n"/>
      <c r="L880" s="47" t="n"/>
      <c r="M880" s="24">
        <f>IF(OR($A880="",$C880=""),"",IF($L880&lt;&gt;"",$L880-$C880,TODAY()-$C880))</f>
        <v/>
      </c>
      <c r="N880" s="28">
        <f>IF(OR($A880="",$K880=""),"",IF($L880="",IF(TODAY()&gt;$K880,"Atrasado","En ruta"),IF($L880&lt;=$K880,"Sí","No")))</f>
        <v/>
      </c>
      <c r="O880" s="24">
        <f>IF($A880="","",COUNTIFS(NOVEDADES!$D$4:$D$1503,$A880))</f>
        <v/>
      </c>
      <c r="P880" s="28">
        <f>IF($A880="","",IF(COUNTIFS(NOVEDADES!$D$4:$D$1503,$A880,NOVEDADES!$O$4:$O$1503,"SÍ")&gt;0,"No","Sí"))</f>
        <v/>
      </c>
      <c r="Q880" s="28">
        <f>IF(OR($A880="",$L880=""),"",IF(AND($N880="Sí",$P880="Sí"),"OTIF","Falló"))</f>
        <v/>
      </c>
    </row>
    <row r="881" ht="16" customHeight="1">
      <c r="A881" s="48" t="n"/>
      <c r="B881" s="48" t="n"/>
      <c r="C881" s="47" t="n"/>
      <c r="D881" s="50" t="n"/>
      <c r="E881" s="50" t="n"/>
      <c r="F881" s="50" t="n"/>
      <c r="G881" s="50" t="n"/>
      <c r="H881" s="48" t="n"/>
      <c r="I881" s="51" t="n"/>
      <c r="J881" s="52" t="n"/>
      <c r="K881" s="47" t="n"/>
      <c r="L881" s="47" t="n"/>
      <c r="M881" s="24">
        <f>IF(OR($A881="",$C881=""),"",IF($L881&lt;&gt;"",$L881-$C881,TODAY()-$C881))</f>
        <v/>
      </c>
      <c r="N881" s="28">
        <f>IF(OR($A881="",$K881=""),"",IF($L881="",IF(TODAY()&gt;$K881,"Atrasado","En ruta"),IF($L881&lt;=$K881,"Sí","No")))</f>
        <v/>
      </c>
      <c r="O881" s="24">
        <f>IF($A881="","",COUNTIFS(NOVEDADES!$D$4:$D$1503,$A881))</f>
        <v/>
      </c>
      <c r="P881" s="28">
        <f>IF($A881="","",IF(COUNTIFS(NOVEDADES!$D$4:$D$1503,$A881,NOVEDADES!$O$4:$O$1503,"SÍ")&gt;0,"No","Sí"))</f>
        <v/>
      </c>
      <c r="Q881" s="28">
        <f>IF(OR($A881="",$L881=""),"",IF(AND($N881="Sí",$P881="Sí"),"OTIF","Falló"))</f>
        <v/>
      </c>
    </row>
    <row r="882" ht="16" customHeight="1">
      <c r="A882" s="48" t="n"/>
      <c r="B882" s="48" t="n"/>
      <c r="C882" s="47" t="n"/>
      <c r="D882" s="50" t="n"/>
      <c r="E882" s="50" t="n"/>
      <c r="F882" s="50" t="n"/>
      <c r="G882" s="50" t="n"/>
      <c r="H882" s="48" t="n"/>
      <c r="I882" s="51" t="n"/>
      <c r="J882" s="52" t="n"/>
      <c r="K882" s="47" t="n"/>
      <c r="L882" s="47" t="n"/>
      <c r="M882" s="24">
        <f>IF(OR($A882="",$C882=""),"",IF($L882&lt;&gt;"",$L882-$C882,TODAY()-$C882))</f>
        <v/>
      </c>
      <c r="N882" s="28">
        <f>IF(OR($A882="",$K882=""),"",IF($L882="",IF(TODAY()&gt;$K882,"Atrasado","En ruta"),IF($L882&lt;=$K882,"Sí","No")))</f>
        <v/>
      </c>
      <c r="O882" s="24">
        <f>IF($A882="","",COUNTIFS(NOVEDADES!$D$4:$D$1503,$A882))</f>
        <v/>
      </c>
      <c r="P882" s="28">
        <f>IF($A882="","",IF(COUNTIFS(NOVEDADES!$D$4:$D$1503,$A882,NOVEDADES!$O$4:$O$1503,"SÍ")&gt;0,"No","Sí"))</f>
        <v/>
      </c>
      <c r="Q882" s="28">
        <f>IF(OR($A882="",$L882=""),"",IF(AND($N882="Sí",$P882="Sí"),"OTIF","Falló"))</f>
        <v/>
      </c>
    </row>
    <row r="883" ht="16" customHeight="1">
      <c r="A883" s="48" t="n"/>
      <c r="B883" s="48" t="n"/>
      <c r="C883" s="47" t="n"/>
      <c r="D883" s="50" t="n"/>
      <c r="E883" s="50" t="n"/>
      <c r="F883" s="50" t="n"/>
      <c r="G883" s="50" t="n"/>
      <c r="H883" s="48" t="n"/>
      <c r="I883" s="51" t="n"/>
      <c r="J883" s="52" t="n"/>
      <c r="K883" s="47" t="n"/>
      <c r="L883" s="47" t="n"/>
      <c r="M883" s="24">
        <f>IF(OR($A883="",$C883=""),"",IF($L883&lt;&gt;"",$L883-$C883,TODAY()-$C883))</f>
        <v/>
      </c>
      <c r="N883" s="28">
        <f>IF(OR($A883="",$K883=""),"",IF($L883="",IF(TODAY()&gt;$K883,"Atrasado","En ruta"),IF($L883&lt;=$K883,"Sí","No")))</f>
        <v/>
      </c>
      <c r="O883" s="24">
        <f>IF($A883="","",COUNTIFS(NOVEDADES!$D$4:$D$1503,$A883))</f>
        <v/>
      </c>
      <c r="P883" s="28">
        <f>IF($A883="","",IF(COUNTIFS(NOVEDADES!$D$4:$D$1503,$A883,NOVEDADES!$O$4:$O$1503,"SÍ")&gt;0,"No","Sí"))</f>
        <v/>
      </c>
      <c r="Q883" s="28">
        <f>IF(OR($A883="",$L883=""),"",IF(AND($N883="Sí",$P883="Sí"),"OTIF","Falló"))</f>
        <v/>
      </c>
    </row>
    <row r="884" ht="16" customHeight="1">
      <c r="A884" s="48" t="n"/>
      <c r="B884" s="48" t="n"/>
      <c r="C884" s="47" t="n"/>
      <c r="D884" s="50" t="n"/>
      <c r="E884" s="50" t="n"/>
      <c r="F884" s="50" t="n"/>
      <c r="G884" s="50" t="n"/>
      <c r="H884" s="48" t="n"/>
      <c r="I884" s="51" t="n"/>
      <c r="J884" s="52" t="n"/>
      <c r="K884" s="47" t="n"/>
      <c r="L884" s="47" t="n"/>
      <c r="M884" s="24">
        <f>IF(OR($A884="",$C884=""),"",IF($L884&lt;&gt;"",$L884-$C884,TODAY()-$C884))</f>
        <v/>
      </c>
      <c r="N884" s="28">
        <f>IF(OR($A884="",$K884=""),"",IF($L884="",IF(TODAY()&gt;$K884,"Atrasado","En ruta"),IF($L884&lt;=$K884,"Sí","No")))</f>
        <v/>
      </c>
      <c r="O884" s="24">
        <f>IF($A884="","",COUNTIFS(NOVEDADES!$D$4:$D$1503,$A884))</f>
        <v/>
      </c>
      <c r="P884" s="28">
        <f>IF($A884="","",IF(COUNTIFS(NOVEDADES!$D$4:$D$1503,$A884,NOVEDADES!$O$4:$O$1503,"SÍ")&gt;0,"No","Sí"))</f>
        <v/>
      </c>
      <c r="Q884" s="28">
        <f>IF(OR($A884="",$L884=""),"",IF(AND($N884="Sí",$P884="Sí"),"OTIF","Falló"))</f>
        <v/>
      </c>
    </row>
    <row r="885" ht="16" customHeight="1">
      <c r="A885" s="48" t="n"/>
      <c r="B885" s="48" t="n"/>
      <c r="C885" s="47" t="n"/>
      <c r="D885" s="50" t="n"/>
      <c r="E885" s="50" t="n"/>
      <c r="F885" s="50" t="n"/>
      <c r="G885" s="50" t="n"/>
      <c r="H885" s="48" t="n"/>
      <c r="I885" s="51" t="n"/>
      <c r="J885" s="52" t="n"/>
      <c r="K885" s="47" t="n"/>
      <c r="L885" s="47" t="n"/>
      <c r="M885" s="24">
        <f>IF(OR($A885="",$C885=""),"",IF($L885&lt;&gt;"",$L885-$C885,TODAY()-$C885))</f>
        <v/>
      </c>
      <c r="N885" s="28">
        <f>IF(OR($A885="",$K885=""),"",IF($L885="",IF(TODAY()&gt;$K885,"Atrasado","En ruta"),IF($L885&lt;=$K885,"Sí","No")))</f>
        <v/>
      </c>
      <c r="O885" s="24">
        <f>IF($A885="","",COUNTIFS(NOVEDADES!$D$4:$D$1503,$A885))</f>
        <v/>
      </c>
      <c r="P885" s="28">
        <f>IF($A885="","",IF(COUNTIFS(NOVEDADES!$D$4:$D$1503,$A885,NOVEDADES!$O$4:$O$1503,"SÍ")&gt;0,"No","Sí"))</f>
        <v/>
      </c>
      <c r="Q885" s="28">
        <f>IF(OR($A885="",$L885=""),"",IF(AND($N885="Sí",$P885="Sí"),"OTIF","Falló"))</f>
        <v/>
      </c>
    </row>
    <row r="886" ht="16" customHeight="1">
      <c r="A886" s="48" t="n"/>
      <c r="B886" s="48" t="n"/>
      <c r="C886" s="47" t="n"/>
      <c r="D886" s="50" t="n"/>
      <c r="E886" s="50" t="n"/>
      <c r="F886" s="50" t="n"/>
      <c r="G886" s="50" t="n"/>
      <c r="H886" s="48" t="n"/>
      <c r="I886" s="51" t="n"/>
      <c r="J886" s="52" t="n"/>
      <c r="K886" s="47" t="n"/>
      <c r="L886" s="47" t="n"/>
      <c r="M886" s="24">
        <f>IF(OR($A886="",$C886=""),"",IF($L886&lt;&gt;"",$L886-$C886,TODAY()-$C886))</f>
        <v/>
      </c>
      <c r="N886" s="28">
        <f>IF(OR($A886="",$K886=""),"",IF($L886="",IF(TODAY()&gt;$K886,"Atrasado","En ruta"),IF($L886&lt;=$K886,"Sí","No")))</f>
        <v/>
      </c>
      <c r="O886" s="24">
        <f>IF($A886="","",COUNTIFS(NOVEDADES!$D$4:$D$1503,$A886))</f>
        <v/>
      </c>
      <c r="P886" s="28">
        <f>IF($A886="","",IF(COUNTIFS(NOVEDADES!$D$4:$D$1503,$A886,NOVEDADES!$O$4:$O$1503,"SÍ")&gt;0,"No","Sí"))</f>
        <v/>
      </c>
      <c r="Q886" s="28">
        <f>IF(OR($A886="",$L886=""),"",IF(AND($N886="Sí",$P886="Sí"),"OTIF","Falló"))</f>
        <v/>
      </c>
    </row>
    <row r="887" ht="16" customHeight="1">
      <c r="A887" s="48" t="n"/>
      <c r="B887" s="48" t="n"/>
      <c r="C887" s="47" t="n"/>
      <c r="D887" s="50" t="n"/>
      <c r="E887" s="50" t="n"/>
      <c r="F887" s="50" t="n"/>
      <c r="G887" s="50" t="n"/>
      <c r="H887" s="48" t="n"/>
      <c r="I887" s="51" t="n"/>
      <c r="J887" s="52" t="n"/>
      <c r="K887" s="47" t="n"/>
      <c r="L887" s="47" t="n"/>
      <c r="M887" s="24">
        <f>IF(OR($A887="",$C887=""),"",IF($L887&lt;&gt;"",$L887-$C887,TODAY()-$C887))</f>
        <v/>
      </c>
      <c r="N887" s="28">
        <f>IF(OR($A887="",$K887=""),"",IF($L887="",IF(TODAY()&gt;$K887,"Atrasado","En ruta"),IF($L887&lt;=$K887,"Sí","No")))</f>
        <v/>
      </c>
      <c r="O887" s="24">
        <f>IF($A887="","",COUNTIFS(NOVEDADES!$D$4:$D$1503,$A887))</f>
        <v/>
      </c>
      <c r="P887" s="28">
        <f>IF($A887="","",IF(COUNTIFS(NOVEDADES!$D$4:$D$1503,$A887,NOVEDADES!$O$4:$O$1503,"SÍ")&gt;0,"No","Sí"))</f>
        <v/>
      </c>
      <c r="Q887" s="28">
        <f>IF(OR($A887="",$L887=""),"",IF(AND($N887="Sí",$P887="Sí"),"OTIF","Falló"))</f>
        <v/>
      </c>
    </row>
    <row r="888" ht="16" customHeight="1">
      <c r="A888" s="48" t="n"/>
      <c r="B888" s="48" t="n"/>
      <c r="C888" s="47" t="n"/>
      <c r="D888" s="50" t="n"/>
      <c r="E888" s="50" t="n"/>
      <c r="F888" s="50" t="n"/>
      <c r="G888" s="50" t="n"/>
      <c r="H888" s="48" t="n"/>
      <c r="I888" s="51" t="n"/>
      <c r="J888" s="52" t="n"/>
      <c r="K888" s="47" t="n"/>
      <c r="L888" s="47" t="n"/>
      <c r="M888" s="24">
        <f>IF(OR($A888="",$C888=""),"",IF($L888&lt;&gt;"",$L888-$C888,TODAY()-$C888))</f>
        <v/>
      </c>
      <c r="N888" s="28">
        <f>IF(OR($A888="",$K888=""),"",IF($L888="",IF(TODAY()&gt;$K888,"Atrasado","En ruta"),IF($L888&lt;=$K888,"Sí","No")))</f>
        <v/>
      </c>
      <c r="O888" s="24">
        <f>IF($A888="","",COUNTIFS(NOVEDADES!$D$4:$D$1503,$A888))</f>
        <v/>
      </c>
      <c r="P888" s="28">
        <f>IF($A888="","",IF(COUNTIFS(NOVEDADES!$D$4:$D$1503,$A888,NOVEDADES!$O$4:$O$1503,"SÍ")&gt;0,"No","Sí"))</f>
        <v/>
      </c>
      <c r="Q888" s="28">
        <f>IF(OR($A888="",$L888=""),"",IF(AND($N888="Sí",$P888="Sí"),"OTIF","Falló"))</f>
        <v/>
      </c>
    </row>
    <row r="889" ht="16" customHeight="1">
      <c r="A889" s="48" t="n"/>
      <c r="B889" s="48" t="n"/>
      <c r="C889" s="47" t="n"/>
      <c r="D889" s="50" t="n"/>
      <c r="E889" s="50" t="n"/>
      <c r="F889" s="50" t="n"/>
      <c r="G889" s="50" t="n"/>
      <c r="H889" s="48" t="n"/>
      <c r="I889" s="51" t="n"/>
      <c r="J889" s="52" t="n"/>
      <c r="K889" s="47" t="n"/>
      <c r="L889" s="47" t="n"/>
      <c r="M889" s="24">
        <f>IF(OR($A889="",$C889=""),"",IF($L889&lt;&gt;"",$L889-$C889,TODAY()-$C889))</f>
        <v/>
      </c>
      <c r="N889" s="28">
        <f>IF(OR($A889="",$K889=""),"",IF($L889="",IF(TODAY()&gt;$K889,"Atrasado","En ruta"),IF($L889&lt;=$K889,"Sí","No")))</f>
        <v/>
      </c>
      <c r="O889" s="24">
        <f>IF($A889="","",COUNTIFS(NOVEDADES!$D$4:$D$1503,$A889))</f>
        <v/>
      </c>
      <c r="P889" s="28">
        <f>IF($A889="","",IF(COUNTIFS(NOVEDADES!$D$4:$D$1503,$A889,NOVEDADES!$O$4:$O$1503,"SÍ")&gt;0,"No","Sí"))</f>
        <v/>
      </c>
      <c r="Q889" s="28">
        <f>IF(OR($A889="",$L889=""),"",IF(AND($N889="Sí",$P889="Sí"),"OTIF","Falló"))</f>
        <v/>
      </c>
    </row>
    <row r="890" ht="16" customHeight="1">
      <c r="A890" s="48" t="n"/>
      <c r="B890" s="48" t="n"/>
      <c r="C890" s="47" t="n"/>
      <c r="D890" s="50" t="n"/>
      <c r="E890" s="50" t="n"/>
      <c r="F890" s="50" t="n"/>
      <c r="G890" s="50" t="n"/>
      <c r="H890" s="48" t="n"/>
      <c r="I890" s="51" t="n"/>
      <c r="J890" s="52" t="n"/>
      <c r="K890" s="47" t="n"/>
      <c r="L890" s="47" t="n"/>
      <c r="M890" s="24">
        <f>IF(OR($A890="",$C890=""),"",IF($L890&lt;&gt;"",$L890-$C890,TODAY()-$C890))</f>
        <v/>
      </c>
      <c r="N890" s="28">
        <f>IF(OR($A890="",$K890=""),"",IF($L890="",IF(TODAY()&gt;$K890,"Atrasado","En ruta"),IF($L890&lt;=$K890,"Sí","No")))</f>
        <v/>
      </c>
      <c r="O890" s="24">
        <f>IF($A890="","",COUNTIFS(NOVEDADES!$D$4:$D$1503,$A890))</f>
        <v/>
      </c>
      <c r="P890" s="28">
        <f>IF($A890="","",IF(COUNTIFS(NOVEDADES!$D$4:$D$1503,$A890,NOVEDADES!$O$4:$O$1503,"SÍ")&gt;0,"No","Sí"))</f>
        <v/>
      </c>
      <c r="Q890" s="28">
        <f>IF(OR($A890="",$L890=""),"",IF(AND($N890="Sí",$P890="Sí"),"OTIF","Falló"))</f>
        <v/>
      </c>
    </row>
    <row r="891" ht="16" customHeight="1">
      <c r="A891" s="48" t="n"/>
      <c r="B891" s="48" t="n"/>
      <c r="C891" s="47" t="n"/>
      <c r="D891" s="50" t="n"/>
      <c r="E891" s="50" t="n"/>
      <c r="F891" s="50" t="n"/>
      <c r="G891" s="50" t="n"/>
      <c r="H891" s="48" t="n"/>
      <c r="I891" s="51" t="n"/>
      <c r="J891" s="52" t="n"/>
      <c r="K891" s="47" t="n"/>
      <c r="L891" s="47" t="n"/>
      <c r="M891" s="24">
        <f>IF(OR($A891="",$C891=""),"",IF($L891&lt;&gt;"",$L891-$C891,TODAY()-$C891))</f>
        <v/>
      </c>
      <c r="N891" s="28">
        <f>IF(OR($A891="",$K891=""),"",IF($L891="",IF(TODAY()&gt;$K891,"Atrasado","En ruta"),IF($L891&lt;=$K891,"Sí","No")))</f>
        <v/>
      </c>
      <c r="O891" s="24">
        <f>IF($A891="","",COUNTIFS(NOVEDADES!$D$4:$D$1503,$A891))</f>
        <v/>
      </c>
      <c r="P891" s="28">
        <f>IF($A891="","",IF(COUNTIFS(NOVEDADES!$D$4:$D$1503,$A891,NOVEDADES!$O$4:$O$1503,"SÍ")&gt;0,"No","Sí"))</f>
        <v/>
      </c>
      <c r="Q891" s="28">
        <f>IF(OR($A891="",$L891=""),"",IF(AND($N891="Sí",$P891="Sí"),"OTIF","Falló"))</f>
        <v/>
      </c>
    </row>
    <row r="892" ht="16" customHeight="1">
      <c r="A892" s="48" t="n"/>
      <c r="B892" s="48" t="n"/>
      <c r="C892" s="47" t="n"/>
      <c r="D892" s="50" t="n"/>
      <c r="E892" s="50" t="n"/>
      <c r="F892" s="50" t="n"/>
      <c r="G892" s="50" t="n"/>
      <c r="H892" s="48" t="n"/>
      <c r="I892" s="51" t="n"/>
      <c r="J892" s="52" t="n"/>
      <c r="K892" s="47" t="n"/>
      <c r="L892" s="47" t="n"/>
      <c r="M892" s="24">
        <f>IF(OR($A892="",$C892=""),"",IF($L892&lt;&gt;"",$L892-$C892,TODAY()-$C892))</f>
        <v/>
      </c>
      <c r="N892" s="28">
        <f>IF(OR($A892="",$K892=""),"",IF($L892="",IF(TODAY()&gt;$K892,"Atrasado","En ruta"),IF($L892&lt;=$K892,"Sí","No")))</f>
        <v/>
      </c>
      <c r="O892" s="24">
        <f>IF($A892="","",COUNTIFS(NOVEDADES!$D$4:$D$1503,$A892))</f>
        <v/>
      </c>
      <c r="P892" s="28">
        <f>IF($A892="","",IF(COUNTIFS(NOVEDADES!$D$4:$D$1503,$A892,NOVEDADES!$O$4:$O$1503,"SÍ")&gt;0,"No","Sí"))</f>
        <v/>
      </c>
      <c r="Q892" s="28">
        <f>IF(OR($A892="",$L892=""),"",IF(AND($N892="Sí",$P892="Sí"),"OTIF","Falló"))</f>
        <v/>
      </c>
    </row>
    <row r="893" ht="16" customHeight="1">
      <c r="A893" s="48" t="n"/>
      <c r="B893" s="48" t="n"/>
      <c r="C893" s="47" t="n"/>
      <c r="D893" s="50" t="n"/>
      <c r="E893" s="50" t="n"/>
      <c r="F893" s="50" t="n"/>
      <c r="G893" s="50" t="n"/>
      <c r="H893" s="48" t="n"/>
      <c r="I893" s="51" t="n"/>
      <c r="J893" s="52" t="n"/>
      <c r="K893" s="47" t="n"/>
      <c r="L893" s="47" t="n"/>
      <c r="M893" s="24">
        <f>IF(OR($A893="",$C893=""),"",IF($L893&lt;&gt;"",$L893-$C893,TODAY()-$C893))</f>
        <v/>
      </c>
      <c r="N893" s="28">
        <f>IF(OR($A893="",$K893=""),"",IF($L893="",IF(TODAY()&gt;$K893,"Atrasado","En ruta"),IF($L893&lt;=$K893,"Sí","No")))</f>
        <v/>
      </c>
      <c r="O893" s="24">
        <f>IF($A893="","",COUNTIFS(NOVEDADES!$D$4:$D$1503,$A893))</f>
        <v/>
      </c>
      <c r="P893" s="28">
        <f>IF($A893="","",IF(COUNTIFS(NOVEDADES!$D$4:$D$1503,$A893,NOVEDADES!$O$4:$O$1503,"SÍ")&gt;0,"No","Sí"))</f>
        <v/>
      </c>
      <c r="Q893" s="28">
        <f>IF(OR($A893="",$L893=""),"",IF(AND($N893="Sí",$P893="Sí"),"OTIF","Falló"))</f>
        <v/>
      </c>
    </row>
    <row r="894" ht="16" customHeight="1">
      <c r="A894" s="48" t="n"/>
      <c r="B894" s="48" t="n"/>
      <c r="C894" s="47" t="n"/>
      <c r="D894" s="50" t="n"/>
      <c r="E894" s="50" t="n"/>
      <c r="F894" s="50" t="n"/>
      <c r="G894" s="50" t="n"/>
      <c r="H894" s="48" t="n"/>
      <c r="I894" s="51" t="n"/>
      <c r="J894" s="52" t="n"/>
      <c r="K894" s="47" t="n"/>
      <c r="L894" s="47" t="n"/>
      <c r="M894" s="24">
        <f>IF(OR($A894="",$C894=""),"",IF($L894&lt;&gt;"",$L894-$C894,TODAY()-$C894))</f>
        <v/>
      </c>
      <c r="N894" s="28">
        <f>IF(OR($A894="",$K894=""),"",IF($L894="",IF(TODAY()&gt;$K894,"Atrasado","En ruta"),IF($L894&lt;=$K894,"Sí","No")))</f>
        <v/>
      </c>
      <c r="O894" s="24">
        <f>IF($A894="","",COUNTIFS(NOVEDADES!$D$4:$D$1503,$A894))</f>
        <v/>
      </c>
      <c r="P894" s="28">
        <f>IF($A894="","",IF(COUNTIFS(NOVEDADES!$D$4:$D$1503,$A894,NOVEDADES!$O$4:$O$1503,"SÍ")&gt;0,"No","Sí"))</f>
        <v/>
      </c>
      <c r="Q894" s="28">
        <f>IF(OR($A894="",$L894=""),"",IF(AND($N894="Sí",$P894="Sí"),"OTIF","Falló"))</f>
        <v/>
      </c>
    </row>
    <row r="895" ht="16" customHeight="1">
      <c r="A895" s="48" t="n"/>
      <c r="B895" s="48" t="n"/>
      <c r="C895" s="47" t="n"/>
      <c r="D895" s="50" t="n"/>
      <c r="E895" s="50" t="n"/>
      <c r="F895" s="50" t="n"/>
      <c r="G895" s="50" t="n"/>
      <c r="H895" s="48" t="n"/>
      <c r="I895" s="51" t="n"/>
      <c r="J895" s="52" t="n"/>
      <c r="K895" s="47" t="n"/>
      <c r="L895" s="47" t="n"/>
      <c r="M895" s="24">
        <f>IF(OR($A895="",$C895=""),"",IF($L895&lt;&gt;"",$L895-$C895,TODAY()-$C895))</f>
        <v/>
      </c>
      <c r="N895" s="28">
        <f>IF(OR($A895="",$K895=""),"",IF($L895="",IF(TODAY()&gt;$K895,"Atrasado","En ruta"),IF($L895&lt;=$K895,"Sí","No")))</f>
        <v/>
      </c>
      <c r="O895" s="24">
        <f>IF($A895="","",COUNTIFS(NOVEDADES!$D$4:$D$1503,$A895))</f>
        <v/>
      </c>
      <c r="P895" s="28">
        <f>IF($A895="","",IF(COUNTIFS(NOVEDADES!$D$4:$D$1503,$A895,NOVEDADES!$O$4:$O$1503,"SÍ")&gt;0,"No","Sí"))</f>
        <v/>
      </c>
      <c r="Q895" s="28">
        <f>IF(OR($A895="",$L895=""),"",IF(AND($N895="Sí",$P895="Sí"),"OTIF","Falló"))</f>
        <v/>
      </c>
    </row>
    <row r="896" ht="16" customHeight="1">
      <c r="A896" s="48" t="n"/>
      <c r="B896" s="48" t="n"/>
      <c r="C896" s="47" t="n"/>
      <c r="D896" s="50" t="n"/>
      <c r="E896" s="50" t="n"/>
      <c r="F896" s="50" t="n"/>
      <c r="G896" s="50" t="n"/>
      <c r="H896" s="48" t="n"/>
      <c r="I896" s="51" t="n"/>
      <c r="J896" s="52" t="n"/>
      <c r="K896" s="47" t="n"/>
      <c r="L896" s="47" t="n"/>
      <c r="M896" s="24">
        <f>IF(OR($A896="",$C896=""),"",IF($L896&lt;&gt;"",$L896-$C896,TODAY()-$C896))</f>
        <v/>
      </c>
      <c r="N896" s="28">
        <f>IF(OR($A896="",$K896=""),"",IF($L896="",IF(TODAY()&gt;$K896,"Atrasado","En ruta"),IF($L896&lt;=$K896,"Sí","No")))</f>
        <v/>
      </c>
      <c r="O896" s="24">
        <f>IF($A896="","",COUNTIFS(NOVEDADES!$D$4:$D$1503,$A896))</f>
        <v/>
      </c>
      <c r="P896" s="28">
        <f>IF($A896="","",IF(COUNTIFS(NOVEDADES!$D$4:$D$1503,$A896,NOVEDADES!$O$4:$O$1503,"SÍ")&gt;0,"No","Sí"))</f>
        <v/>
      </c>
      <c r="Q896" s="28">
        <f>IF(OR($A896="",$L896=""),"",IF(AND($N896="Sí",$P896="Sí"),"OTIF","Falló"))</f>
        <v/>
      </c>
    </row>
    <row r="897" ht="16" customHeight="1">
      <c r="A897" s="48" t="n"/>
      <c r="B897" s="48" t="n"/>
      <c r="C897" s="47" t="n"/>
      <c r="D897" s="50" t="n"/>
      <c r="E897" s="50" t="n"/>
      <c r="F897" s="50" t="n"/>
      <c r="G897" s="50" t="n"/>
      <c r="H897" s="48" t="n"/>
      <c r="I897" s="51" t="n"/>
      <c r="J897" s="52" t="n"/>
      <c r="K897" s="47" t="n"/>
      <c r="L897" s="47" t="n"/>
      <c r="M897" s="24">
        <f>IF(OR($A897="",$C897=""),"",IF($L897&lt;&gt;"",$L897-$C897,TODAY()-$C897))</f>
        <v/>
      </c>
      <c r="N897" s="28">
        <f>IF(OR($A897="",$K897=""),"",IF($L897="",IF(TODAY()&gt;$K897,"Atrasado","En ruta"),IF($L897&lt;=$K897,"Sí","No")))</f>
        <v/>
      </c>
      <c r="O897" s="24">
        <f>IF($A897="","",COUNTIFS(NOVEDADES!$D$4:$D$1503,$A897))</f>
        <v/>
      </c>
      <c r="P897" s="28">
        <f>IF($A897="","",IF(COUNTIFS(NOVEDADES!$D$4:$D$1503,$A897,NOVEDADES!$O$4:$O$1503,"SÍ")&gt;0,"No","Sí"))</f>
        <v/>
      </c>
      <c r="Q897" s="28">
        <f>IF(OR($A897="",$L897=""),"",IF(AND($N897="Sí",$P897="Sí"),"OTIF","Falló"))</f>
        <v/>
      </c>
    </row>
    <row r="898" ht="16" customHeight="1">
      <c r="A898" s="48" t="n"/>
      <c r="B898" s="48" t="n"/>
      <c r="C898" s="47" t="n"/>
      <c r="D898" s="50" t="n"/>
      <c r="E898" s="50" t="n"/>
      <c r="F898" s="50" t="n"/>
      <c r="G898" s="50" t="n"/>
      <c r="H898" s="48" t="n"/>
      <c r="I898" s="51" t="n"/>
      <c r="J898" s="52" t="n"/>
      <c r="K898" s="47" t="n"/>
      <c r="L898" s="47" t="n"/>
      <c r="M898" s="24">
        <f>IF(OR($A898="",$C898=""),"",IF($L898&lt;&gt;"",$L898-$C898,TODAY()-$C898))</f>
        <v/>
      </c>
      <c r="N898" s="28">
        <f>IF(OR($A898="",$K898=""),"",IF($L898="",IF(TODAY()&gt;$K898,"Atrasado","En ruta"),IF($L898&lt;=$K898,"Sí","No")))</f>
        <v/>
      </c>
      <c r="O898" s="24">
        <f>IF($A898="","",COUNTIFS(NOVEDADES!$D$4:$D$1503,$A898))</f>
        <v/>
      </c>
      <c r="P898" s="28">
        <f>IF($A898="","",IF(COUNTIFS(NOVEDADES!$D$4:$D$1503,$A898,NOVEDADES!$O$4:$O$1503,"SÍ")&gt;0,"No","Sí"))</f>
        <v/>
      </c>
      <c r="Q898" s="28">
        <f>IF(OR($A898="",$L898=""),"",IF(AND($N898="Sí",$P898="Sí"),"OTIF","Falló"))</f>
        <v/>
      </c>
    </row>
    <row r="899" ht="16" customHeight="1">
      <c r="A899" s="48" t="n"/>
      <c r="B899" s="48" t="n"/>
      <c r="C899" s="47" t="n"/>
      <c r="D899" s="50" t="n"/>
      <c r="E899" s="50" t="n"/>
      <c r="F899" s="50" t="n"/>
      <c r="G899" s="50" t="n"/>
      <c r="H899" s="48" t="n"/>
      <c r="I899" s="51" t="n"/>
      <c r="J899" s="52" t="n"/>
      <c r="K899" s="47" t="n"/>
      <c r="L899" s="47" t="n"/>
      <c r="M899" s="24">
        <f>IF(OR($A899="",$C899=""),"",IF($L899&lt;&gt;"",$L899-$C899,TODAY()-$C899))</f>
        <v/>
      </c>
      <c r="N899" s="28">
        <f>IF(OR($A899="",$K899=""),"",IF($L899="",IF(TODAY()&gt;$K899,"Atrasado","En ruta"),IF($L899&lt;=$K899,"Sí","No")))</f>
        <v/>
      </c>
      <c r="O899" s="24">
        <f>IF($A899="","",COUNTIFS(NOVEDADES!$D$4:$D$1503,$A899))</f>
        <v/>
      </c>
      <c r="P899" s="28">
        <f>IF($A899="","",IF(COUNTIFS(NOVEDADES!$D$4:$D$1503,$A899,NOVEDADES!$O$4:$O$1503,"SÍ")&gt;0,"No","Sí"))</f>
        <v/>
      </c>
      <c r="Q899" s="28">
        <f>IF(OR($A899="",$L899=""),"",IF(AND($N899="Sí",$P899="Sí"),"OTIF","Falló"))</f>
        <v/>
      </c>
    </row>
    <row r="900" ht="16" customHeight="1">
      <c r="A900" s="48" t="n"/>
      <c r="B900" s="48" t="n"/>
      <c r="C900" s="47" t="n"/>
      <c r="D900" s="50" t="n"/>
      <c r="E900" s="50" t="n"/>
      <c r="F900" s="50" t="n"/>
      <c r="G900" s="50" t="n"/>
      <c r="H900" s="48" t="n"/>
      <c r="I900" s="51" t="n"/>
      <c r="J900" s="52" t="n"/>
      <c r="K900" s="47" t="n"/>
      <c r="L900" s="47" t="n"/>
      <c r="M900" s="24">
        <f>IF(OR($A900="",$C900=""),"",IF($L900&lt;&gt;"",$L900-$C900,TODAY()-$C900))</f>
        <v/>
      </c>
      <c r="N900" s="28">
        <f>IF(OR($A900="",$K900=""),"",IF($L900="",IF(TODAY()&gt;$K900,"Atrasado","En ruta"),IF($L900&lt;=$K900,"Sí","No")))</f>
        <v/>
      </c>
      <c r="O900" s="24">
        <f>IF($A900="","",COUNTIFS(NOVEDADES!$D$4:$D$1503,$A900))</f>
        <v/>
      </c>
      <c r="P900" s="28">
        <f>IF($A900="","",IF(COUNTIFS(NOVEDADES!$D$4:$D$1503,$A900,NOVEDADES!$O$4:$O$1503,"SÍ")&gt;0,"No","Sí"))</f>
        <v/>
      </c>
      <c r="Q900" s="28">
        <f>IF(OR($A900="",$L900=""),"",IF(AND($N900="Sí",$P900="Sí"),"OTIF","Falló"))</f>
        <v/>
      </c>
    </row>
    <row r="901" ht="16" customHeight="1">
      <c r="A901" s="48" t="n"/>
      <c r="B901" s="48" t="n"/>
      <c r="C901" s="47" t="n"/>
      <c r="D901" s="50" t="n"/>
      <c r="E901" s="50" t="n"/>
      <c r="F901" s="50" t="n"/>
      <c r="G901" s="50" t="n"/>
      <c r="H901" s="48" t="n"/>
      <c r="I901" s="51" t="n"/>
      <c r="J901" s="52" t="n"/>
      <c r="K901" s="47" t="n"/>
      <c r="L901" s="47" t="n"/>
      <c r="M901" s="24">
        <f>IF(OR($A901="",$C901=""),"",IF($L901&lt;&gt;"",$L901-$C901,TODAY()-$C901))</f>
        <v/>
      </c>
      <c r="N901" s="28">
        <f>IF(OR($A901="",$K901=""),"",IF($L901="",IF(TODAY()&gt;$K901,"Atrasado","En ruta"),IF($L901&lt;=$K901,"Sí","No")))</f>
        <v/>
      </c>
      <c r="O901" s="24">
        <f>IF($A901="","",COUNTIFS(NOVEDADES!$D$4:$D$1503,$A901))</f>
        <v/>
      </c>
      <c r="P901" s="28">
        <f>IF($A901="","",IF(COUNTIFS(NOVEDADES!$D$4:$D$1503,$A901,NOVEDADES!$O$4:$O$1503,"SÍ")&gt;0,"No","Sí"))</f>
        <v/>
      </c>
      <c r="Q901" s="28">
        <f>IF(OR($A901="",$L901=""),"",IF(AND($N901="Sí",$P901="Sí"),"OTIF","Falló"))</f>
        <v/>
      </c>
    </row>
    <row r="902" ht="16" customHeight="1">
      <c r="A902" s="48" t="n"/>
      <c r="B902" s="48" t="n"/>
      <c r="C902" s="47" t="n"/>
      <c r="D902" s="50" t="n"/>
      <c r="E902" s="50" t="n"/>
      <c r="F902" s="50" t="n"/>
      <c r="G902" s="50" t="n"/>
      <c r="H902" s="48" t="n"/>
      <c r="I902" s="51" t="n"/>
      <c r="J902" s="52" t="n"/>
      <c r="K902" s="47" t="n"/>
      <c r="L902" s="47" t="n"/>
      <c r="M902" s="24">
        <f>IF(OR($A902="",$C902=""),"",IF($L902&lt;&gt;"",$L902-$C902,TODAY()-$C902))</f>
        <v/>
      </c>
      <c r="N902" s="28">
        <f>IF(OR($A902="",$K902=""),"",IF($L902="",IF(TODAY()&gt;$K902,"Atrasado","En ruta"),IF($L902&lt;=$K902,"Sí","No")))</f>
        <v/>
      </c>
      <c r="O902" s="24">
        <f>IF($A902="","",COUNTIFS(NOVEDADES!$D$4:$D$1503,$A902))</f>
        <v/>
      </c>
      <c r="P902" s="28">
        <f>IF($A902="","",IF(COUNTIFS(NOVEDADES!$D$4:$D$1503,$A902,NOVEDADES!$O$4:$O$1503,"SÍ")&gt;0,"No","Sí"))</f>
        <v/>
      </c>
      <c r="Q902" s="28">
        <f>IF(OR($A902="",$L902=""),"",IF(AND($N902="Sí",$P902="Sí"),"OTIF","Falló"))</f>
        <v/>
      </c>
    </row>
    <row r="903" ht="16" customHeight="1">
      <c r="A903" s="48" t="n"/>
      <c r="B903" s="48" t="n"/>
      <c r="C903" s="47" t="n"/>
      <c r="D903" s="50" t="n"/>
      <c r="E903" s="50" t="n"/>
      <c r="F903" s="50" t="n"/>
      <c r="G903" s="50" t="n"/>
      <c r="H903" s="48" t="n"/>
      <c r="I903" s="51" t="n"/>
      <c r="J903" s="52" t="n"/>
      <c r="K903" s="47" t="n"/>
      <c r="L903" s="47" t="n"/>
      <c r="M903" s="24">
        <f>IF(OR($A903="",$C903=""),"",IF($L903&lt;&gt;"",$L903-$C903,TODAY()-$C903))</f>
        <v/>
      </c>
      <c r="N903" s="28">
        <f>IF(OR($A903="",$K903=""),"",IF($L903="",IF(TODAY()&gt;$K903,"Atrasado","En ruta"),IF($L903&lt;=$K903,"Sí","No")))</f>
        <v/>
      </c>
      <c r="O903" s="24">
        <f>IF($A903="","",COUNTIFS(NOVEDADES!$D$4:$D$1503,$A903))</f>
        <v/>
      </c>
      <c r="P903" s="28">
        <f>IF($A903="","",IF(COUNTIFS(NOVEDADES!$D$4:$D$1503,$A903,NOVEDADES!$O$4:$O$1503,"SÍ")&gt;0,"No","Sí"))</f>
        <v/>
      </c>
      <c r="Q903" s="28">
        <f>IF(OR($A903="",$L903=""),"",IF(AND($N903="Sí",$P903="Sí"),"OTIF","Falló"))</f>
        <v/>
      </c>
    </row>
    <row r="904" ht="16" customHeight="1">
      <c r="A904" s="48" t="n"/>
      <c r="B904" s="48" t="n"/>
      <c r="C904" s="47" t="n"/>
      <c r="D904" s="50" t="n"/>
      <c r="E904" s="50" t="n"/>
      <c r="F904" s="50" t="n"/>
      <c r="G904" s="50" t="n"/>
      <c r="H904" s="48" t="n"/>
      <c r="I904" s="51" t="n"/>
      <c r="J904" s="52" t="n"/>
      <c r="K904" s="47" t="n"/>
      <c r="L904" s="47" t="n"/>
      <c r="M904" s="24">
        <f>IF(OR($A904="",$C904=""),"",IF($L904&lt;&gt;"",$L904-$C904,TODAY()-$C904))</f>
        <v/>
      </c>
      <c r="N904" s="28">
        <f>IF(OR($A904="",$K904=""),"",IF($L904="",IF(TODAY()&gt;$K904,"Atrasado","En ruta"),IF($L904&lt;=$K904,"Sí","No")))</f>
        <v/>
      </c>
      <c r="O904" s="24">
        <f>IF($A904="","",COUNTIFS(NOVEDADES!$D$4:$D$1503,$A904))</f>
        <v/>
      </c>
      <c r="P904" s="28">
        <f>IF($A904="","",IF(COUNTIFS(NOVEDADES!$D$4:$D$1503,$A904,NOVEDADES!$O$4:$O$1503,"SÍ")&gt;0,"No","Sí"))</f>
        <v/>
      </c>
      <c r="Q904" s="28">
        <f>IF(OR($A904="",$L904=""),"",IF(AND($N904="Sí",$P904="Sí"),"OTIF","Falló"))</f>
        <v/>
      </c>
    </row>
    <row r="905" ht="16" customHeight="1">
      <c r="A905" s="48" t="n"/>
      <c r="B905" s="48" t="n"/>
      <c r="C905" s="47" t="n"/>
      <c r="D905" s="50" t="n"/>
      <c r="E905" s="50" t="n"/>
      <c r="F905" s="50" t="n"/>
      <c r="G905" s="50" t="n"/>
      <c r="H905" s="48" t="n"/>
      <c r="I905" s="51" t="n"/>
      <c r="J905" s="52" t="n"/>
      <c r="K905" s="47" t="n"/>
      <c r="L905" s="47" t="n"/>
      <c r="M905" s="24">
        <f>IF(OR($A905="",$C905=""),"",IF($L905&lt;&gt;"",$L905-$C905,TODAY()-$C905))</f>
        <v/>
      </c>
      <c r="N905" s="28">
        <f>IF(OR($A905="",$K905=""),"",IF($L905="",IF(TODAY()&gt;$K905,"Atrasado","En ruta"),IF($L905&lt;=$K905,"Sí","No")))</f>
        <v/>
      </c>
      <c r="O905" s="24">
        <f>IF($A905="","",COUNTIFS(NOVEDADES!$D$4:$D$1503,$A905))</f>
        <v/>
      </c>
      <c r="P905" s="28">
        <f>IF($A905="","",IF(COUNTIFS(NOVEDADES!$D$4:$D$1503,$A905,NOVEDADES!$O$4:$O$1503,"SÍ")&gt;0,"No","Sí"))</f>
        <v/>
      </c>
      <c r="Q905" s="28">
        <f>IF(OR($A905="",$L905=""),"",IF(AND($N905="Sí",$P905="Sí"),"OTIF","Falló"))</f>
        <v/>
      </c>
    </row>
    <row r="906" ht="16" customHeight="1">
      <c r="A906" s="48" t="n"/>
      <c r="B906" s="48" t="n"/>
      <c r="C906" s="47" t="n"/>
      <c r="D906" s="50" t="n"/>
      <c r="E906" s="50" t="n"/>
      <c r="F906" s="50" t="n"/>
      <c r="G906" s="50" t="n"/>
      <c r="H906" s="48" t="n"/>
      <c r="I906" s="51" t="n"/>
      <c r="J906" s="52" t="n"/>
      <c r="K906" s="47" t="n"/>
      <c r="L906" s="47" t="n"/>
      <c r="M906" s="24">
        <f>IF(OR($A906="",$C906=""),"",IF($L906&lt;&gt;"",$L906-$C906,TODAY()-$C906))</f>
        <v/>
      </c>
      <c r="N906" s="28">
        <f>IF(OR($A906="",$K906=""),"",IF($L906="",IF(TODAY()&gt;$K906,"Atrasado","En ruta"),IF($L906&lt;=$K906,"Sí","No")))</f>
        <v/>
      </c>
      <c r="O906" s="24">
        <f>IF($A906="","",COUNTIFS(NOVEDADES!$D$4:$D$1503,$A906))</f>
        <v/>
      </c>
      <c r="P906" s="28">
        <f>IF($A906="","",IF(COUNTIFS(NOVEDADES!$D$4:$D$1503,$A906,NOVEDADES!$O$4:$O$1503,"SÍ")&gt;0,"No","Sí"))</f>
        <v/>
      </c>
      <c r="Q906" s="28">
        <f>IF(OR($A906="",$L906=""),"",IF(AND($N906="Sí",$P906="Sí"),"OTIF","Falló"))</f>
        <v/>
      </c>
    </row>
    <row r="907" ht="16" customHeight="1">
      <c r="A907" s="48" t="n"/>
      <c r="B907" s="48" t="n"/>
      <c r="C907" s="47" t="n"/>
      <c r="D907" s="50" t="n"/>
      <c r="E907" s="50" t="n"/>
      <c r="F907" s="50" t="n"/>
      <c r="G907" s="50" t="n"/>
      <c r="H907" s="48" t="n"/>
      <c r="I907" s="51" t="n"/>
      <c r="J907" s="52" t="n"/>
      <c r="K907" s="47" t="n"/>
      <c r="L907" s="47" t="n"/>
      <c r="M907" s="24">
        <f>IF(OR($A907="",$C907=""),"",IF($L907&lt;&gt;"",$L907-$C907,TODAY()-$C907))</f>
        <v/>
      </c>
      <c r="N907" s="28">
        <f>IF(OR($A907="",$K907=""),"",IF($L907="",IF(TODAY()&gt;$K907,"Atrasado","En ruta"),IF($L907&lt;=$K907,"Sí","No")))</f>
        <v/>
      </c>
      <c r="O907" s="24">
        <f>IF($A907="","",COUNTIFS(NOVEDADES!$D$4:$D$1503,$A907))</f>
        <v/>
      </c>
      <c r="P907" s="28">
        <f>IF($A907="","",IF(COUNTIFS(NOVEDADES!$D$4:$D$1503,$A907,NOVEDADES!$O$4:$O$1503,"SÍ")&gt;0,"No","Sí"))</f>
        <v/>
      </c>
      <c r="Q907" s="28">
        <f>IF(OR($A907="",$L907=""),"",IF(AND($N907="Sí",$P907="Sí"),"OTIF","Falló"))</f>
        <v/>
      </c>
    </row>
    <row r="908" ht="16" customHeight="1">
      <c r="A908" s="48" t="n"/>
      <c r="B908" s="48" t="n"/>
      <c r="C908" s="47" t="n"/>
      <c r="D908" s="50" t="n"/>
      <c r="E908" s="50" t="n"/>
      <c r="F908" s="50" t="n"/>
      <c r="G908" s="50" t="n"/>
      <c r="H908" s="48" t="n"/>
      <c r="I908" s="51" t="n"/>
      <c r="J908" s="52" t="n"/>
      <c r="K908" s="47" t="n"/>
      <c r="L908" s="47" t="n"/>
      <c r="M908" s="24">
        <f>IF(OR($A908="",$C908=""),"",IF($L908&lt;&gt;"",$L908-$C908,TODAY()-$C908))</f>
        <v/>
      </c>
      <c r="N908" s="28">
        <f>IF(OR($A908="",$K908=""),"",IF($L908="",IF(TODAY()&gt;$K908,"Atrasado","En ruta"),IF($L908&lt;=$K908,"Sí","No")))</f>
        <v/>
      </c>
      <c r="O908" s="24">
        <f>IF($A908="","",COUNTIFS(NOVEDADES!$D$4:$D$1503,$A908))</f>
        <v/>
      </c>
      <c r="P908" s="28">
        <f>IF($A908="","",IF(COUNTIFS(NOVEDADES!$D$4:$D$1503,$A908,NOVEDADES!$O$4:$O$1503,"SÍ")&gt;0,"No","Sí"))</f>
        <v/>
      </c>
      <c r="Q908" s="28">
        <f>IF(OR($A908="",$L908=""),"",IF(AND($N908="Sí",$P908="Sí"),"OTIF","Falló"))</f>
        <v/>
      </c>
    </row>
    <row r="909" ht="16" customHeight="1">
      <c r="A909" s="48" t="n"/>
      <c r="B909" s="48" t="n"/>
      <c r="C909" s="47" t="n"/>
      <c r="D909" s="50" t="n"/>
      <c r="E909" s="50" t="n"/>
      <c r="F909" s="50" t="n"/>
      <c r="G909" s="50" t="n"/>
      <c r="H909" s="48" t="n"/>
      <c r="I909" s="51" t="n"/>
      <c r="J909" s="52" t="n"/>
      <c r="K909" s="47" t="n"/>
      <c r="L909" s="47" t="n"/>
      <c r="M909" s="24">
        <f>IF(OR($A909="",$C909=""),"",IF($L909&lt;&gt;"",$L909-$C909,TODAY()-$C909))</f>
        <v/>
      </c>
      <c r="N909" s="28">
        <f>IF(OR($A909="",$K909=""),"",IF($L909="",IF(TODAY()&gt;$K909,"Atrasado","En ruta"),IF($L909&lt;=$K909,"Sí","No")))</f>
        <v/>
      </c>
      <c r="O909" s="24">
        <f>IF($A909="","",COUNTIFS(NOVEDADES!$D$4:$D$1503,$A909))</f>
        <v/>
      </c>
      <c r="P909" s="28">
        <f>IF($A909="","",IF(COUNTIFS(NOVEDADES!$D$4:$D$1503,$A909,NOVEDADES!$O$4:$O$1503,"SÍ")&gt;0,"No","Sí"))</f>
        <v/>
      </c>
      <c r="Q909" s="28">
        <f>IF(OR($A909="",$L909=""),"",IF(AND($N909="Sí",$P909="Sí"),"OTIF","Falló"))</f>
        <v/>
      </c>
    </row>
    <row r="910" ht="16" customHeight="1">
      <c r="A910" s="48" t="n"/>
      <c r="B910" s="48" t="n"/>
      <c r="C910" s="47" t="n"/>
      <c r="D910" s="50" t="n"/>
      <c r="E910" s="50" t="n"/>
      <c r="F910" s="50" t="n"/>
      <c r="G910" s="50" t="n"/>
      <c r="H910" s="48" t="n"/>
      <c r="I910" s="51" t="n"/>
      <c r="J910" s="52" t="n"/>
      <c r="K910" s="47" t="n"/>
      <c r="L910" s="47" t="n"/>
      <c r="M910" s="24">
        <f>IF(OR($A910="",$C910=""),"",IF($L910&lt;&gt;"",$L910-$C910,TODAY()-$C910))</f>
        <v/>
      </c>
      <c r="N910" s="28">
        <f>IF(OR($A910="",$K910=""),"",IF($L910="",IF(TODAY()&gt;$K910,"Atrasado","En ruta"),IF($L910&lt;=$K910,"Sí","No")))</f>
        <v/>
      </c>
      <c r="O910" s="24">
        <f>IF($A910="","",COUNTIFS(NOVEDADES!$D$4:$D$1503,$A910))</f>
        <v/>
      </c>
      <c r="P910" s="28">
        <f>IF($A910="","",IF(COUNTIFS(NOVEDADES!$D$4:$D$1503,$A910,NOVEDADES!$O$4:$O$1503,"SÍ")&gt;0,"No","Sí"))</f>
        <v/>
      </c>
      <c r="Q910" s="28">
        <f>IF(OR($A910="",$L910=""),"",IF(AND($N910="Sí",$P910="Sí"),"OTIF","Falló"))</f>
        <v/>
      </c>
    </row>
    <row r="911" ht="16" customHeight="1">
      <c r="A911" s="48" t="n"/>
      <c r="B911" s="48" t="n"/>
      <c r="C911" s="47" t="n"/>
      <c r="D911" s="50" t="n"/>
      <c r="E911" s="50" t="n"/>
      <c r="F911" s="50" t="n"/>
      <c r="G911" s="50" t="n"/>
      <c r="H911" s="48" t="n"/>
      <c r="I911" s="51" t="n"/>
      <c r="J911" s="52" t="n"/>
      <c r="K911" s="47" t="n"/>
      <c r="L911" s="47" t="n"/>
      <c r="M911" s="24">
        <f>IF(OR($A911="",$C911=""),"",IF($L911&lt;&gt;"",$L911-$C911,TODAY()-$C911))</f>
        <v/>
      </c>
      <c r="N911" s="28">
        <f>IF(OR($A911="",$K911=""),"",IF($L911="",IF(TODAY()&gt;$K911,"Atrasado","En ruta"),IF($L911&lt;=$K911,"Sí","No")))</f>
        <v/>
      </c>
      <c r="O911" s="24">
        <f>IF($A911="","",COUNTIFS(NOVEDADES!$D$4:$D$1503,$A911))</f>
        <v/>
      </c>
      <c r="P911" s="28">
        <f>IF($A911="","",IF(COUNTIFS(NOVEDADES!$D$4:$D$1503,$A911,NOVEDADES!$O$4:$O$1503,"SÍ")&gt;0,"No","Sí"))</f>
        <v/>
      </c>
      <c r="Q911" s="28">
        <f>IF(OR($A911="",$L911=""),"",IF(AND($N911="Sí",$P911="Sí"),"OTIF","Falló"))</f>
        <v/>
      </c>
    </row>
    <row r="912" ht="16" customHeight="1">
      <c r="A912" s="48" t="n"/>
      <c r="B912" s="48" t="n"/>
      <c r="C912" s="47" t="n"/>
      <c r="D912" s="50" t="n"/>
      <c r="E912" s="50" t="n"/>
      <c r="F912" s="50" t="n"/>
      <c r="G912" s="50" t="n"/>
      <c r="H912" s="48" t="n"/>
      <c r="I912" s="51" t="n"/>
      <c r="J912" s="52" t="n"/>
      <c r="K912" s="47" t="n"/>
      <c r="L912" s="47" t="n"/>
      <c r="M912" s="24">
        <f>IF(OR($A912="",$C912=""),"",IF($L912&lt;&gt;"",$L912-$C912,TODAY()-$C912))</f>
        <v/>
      </c>
      <c r="N912" s="28">
        <f>IF(OR($A912="",$K912=""),"",IF($L912="",IF(TODAY()&gt;$K912,"Atrasado","En ruta"),IF($L912&lt;=$K912,"Sí","No")))</f>
        <v/>
      </c>
      <c r="O912" s="24">
        <f>IF($A912="","",COUNTIFS(NOVEDADES!$D$4:$D$1503,$A912))</f>
        <v/>
      </c>
      <c r="P912" s="28">
        <f>IF($A912="","",IF(COUNTIFS(NOVEDADES!$D$4:$D$1503,$A912,NOVEDADES!$O$4:$O$1503,"SÍ")&gt;0,"No","Sí"))</f>
        <v/>
      </c>
      <c r="Q912" s="28">
        <f>IF(OR($A912="",$L912=""),"",IF(AND($N912="Sí",$P912="Sí"),"OTIF","Falló"))</f>
        <v/>
      </c>
    </row>
    <row r="913" ht="16" customHeight="1">
      <c r="A913" s="48" t="n"/>
      <c r="B913" s="48" t="n"/>
      <c r="C913" s="47" t="n"/>
      <c r="D913" s="50" t="n"/>
      <c r="E913" s="50" t="n"/>
      <c r="F913" s="50" t="n"/>
      <c r="G913" s="50" t="n"/>
      <c r="H913" s="48" t="n"/>
      <c r="I913" s="51" t="n"/>
      <c r="J913" s="52" t="n"/>
      <c r="K913" s="47" t="n"/>
      <c r="L913" s="47" t="n"/>
      <c r="M913" s="24">
        <f>IF(OR($A913="",$C913=""),"",IF($L913&lt;&gt;"",$L913-$C913,TODAY()-$C913))</f>
        <v/>
      </c>
      <c r="N913" s="28">
        <f>IF(OR($A913="",$K913=""),"",IF($L913="",IF(TODAY()&gt;$K913,"Atrasado","En ruta"),IF($L913&lt;=$K913,"Sí","No")))</f>
        <v/>
      </c>
      <c r="O913" s="24">
        <f>IF($A913="","",COUNTIFS(NOVEDADES!$D$4:$D$1503,$A913))</f>
        <v/>
      </c>
      <c r="P913" s="28">
        <f>IF($A913="","",IF(COUNTIFS(NOVEDADES!$D$4:$D$1503,$A913,NOVEDADES!$O$4:$O$1503,"SÍ")&gt;0,"No","Sí"))</f>
        <v/>
      </c>
      <c r="Q913" s="28">
        <f>IF(OR($A913="",$L913=""),"",IF(AND($N913="Sí",$P913="Sí"),"OTIF","Falló"))</f>
        <v/>
      </c>
    </row>
    <row r="914" ht="16" customHeight="1">
      <c r="A914" s="48" t="n"/>
      <c r="B914" s="48" t="n"/>
      <c r="C914" s="47" t="n"/>
      <c r="D914" s="50" t="n"/>
      <c r="E914" s="50" t="n"/>
      <c r="F914" s="50" t="n"/>
      <c r="G914" s="50" t="n"/>
      <c r="H914" s="48" t="n"/>
      <c r="I914" s="51" t="n"/>
      <c r="J914" s="52" t="n"/>
      <c r="K914" s="47" t="n"/>
      <c r="L914" s="47" t="n"/>
      <c r="M914" s="24">
        <f>IF(OR($A914="",$C914=""),"",IF($L914&lt;&gt;"",$L914-$C914,TODAY()-$C914))</f>
        <v/>
      </c>
      <c r="N914" s="28">
        <f>IF(OR($A914="",$K914=""),"",IF($L914="",IF(TODAY()&gt;$K914,"Atrasado","En ruta"),IF($L914&lt;=$K914,"Sí","No")))</f>
        <v/>
      </c>
      <c r="O914" s="24">
        <f>IF($A914="","",COUNTIFS(NOVEDADES!$D$4:$D$1503,$A914))</f>
        <v/>
      </c>
      <c r="P914" s="28">
        <f>IF($A914="","",IF(COUNTIFS(NOVEDADES!$D$4:$D$1503,$A914,NOVEDADES!$O$4:$O$1503,"SÍ")&gt;0,"No","Sí"))</f>
        <v/>
      </c>
      <c r="Q914" s="28">
        <f>IF(OR($A914="",$L914=""),"",IF(AND($N914="Sí",$P914="Sí"),"OTIF","Falló"))</f>
        <v/>
      </c>
    </row>
    <row r="915" ht="16" customHeight="1">
      <c r="A915" s="48" t="n"/>
      <c r="B915" s="48" t="n"/>
      <c r="C915" s="47" t="n"/>
      <c r="D915" s="50" t="n"/>
      <c r="E915" s="50" t="n"/>
      <c r="F915" s="50" t="n"/>
      <c r="G915" s="50" t="n"/>
      <c r="H915" s="48" t="n"/>
      <c r="I915" s="51" t="n"/>
      <c r="J915" s="52" t="n"/>
      <c r="K915" s="47" t="n"/>
      <c r="L915" s="47" t="n"/>
      <c r="M915" s="24">
        <f>IF(OR($A915="",$C915=""),"",IF($L915&lt;&gt;"",$L915-$C915,TODAY()-$C915))</f>
        <v/>
      </c>
      <c r="N915" s="28">
        <f>IF(OR($A915="",$K915=""),"",IF($L915="",IF(TODAY()&gt;$K915,"Atrasado","En ruta"),IF($L915&lt;=$K915,"Sí","No")))</f>
        <v/>
      </c>
      <c r="O915" s="24">
        <f>IF($A915="","",COUNTIFS(NOVEDADES!$D$4:$D$1503,$A915))</f>
        <v/>
      </c>
      <c r="P915" s="28">
        <f>IF($A915="","",IF(COUNTIFS(NOVEDADES!$D$4:$D$1503,$A915,NOVEDADES!$O$4:$O$1503,"SÍ")&gt;0,"No","Sí"))</f>
        <v/>
      </c>
      <c r="Q915" s="28">
        <f>IF(OR($A915="",$L915=""),"",IF(AND($N915="Sí",$P915="Sí"),"OTIF","Falló"))</f>
        <v/>
      </c>
    </row>
    <row r="916" ht="16" customHeight="1">
      <c r="A916" s="48" t="n"/>
      <c r="B916" s="48" t="n"/>
      <c r="C916" s="47" t="n"/>
      <c r="D916" s="50" t="n"/>
      <c r="E916" s="50" t="n"/>
      <c r="F916" s="50" t="n"/>
      <c r="G916" s="50" t="n"/>
      <c r="H916" s="48" t="n"/>
      <c r="I916" s="51" t="n"/>
      <c r="J916" s="52" t="n"/>
      <c r="K916" s="47" t="n"/>
      <c r="L916" s="47" t="n"/>
      <c r="M916" s="24">
        <f>IF(OR($A916="",$C916=""),"",IF($L916&lt;&gt;"",$L916-$C916,TODAY()-$C916))</f>
        <v/>
      </c>
      <c r="N916" s="28">
        <f>IF(OR($A916="",$K916=""),"",IF($L916="",IF(TODAY()&gt;$K916,"Atrasado","En ruta"),IF($L916&lt;=$K916,"Sí","No")))</f>
        <v/>
      </c>
      <c r="O916" s="24">
        <f>IF($A916="","",COUNTIFS(NOVEDADES!$D$4:$D$1503,$A916))</f>
        <v/>
      </c>
      <c r="P916" s="28">
        <f>IF($A916="","",IF(COUNTIFS(NOVEDADES!$D$4:$D$1503,$A916,NOVEDADES!$O$4:$O$1503,"SÍ")&gt;0,"No","Sí"))</f>
        <v/>
      </c>
      <c r="Q916" s="28">
        <f>IF(OR($A916="",$L916=""),"",IF(AND($N916="Sí",$P916="Sí"),"OTIF","Falló"))</f>
        <v/>
      </c>
    </row>
    <row r="917" ht="16" customHeight="1">
      <c r="A917" s="48" t="n"/>
      <c r="B917" s="48" t="n"/>
      <c r="C917" s="47" t="n"/>
      <c r="D917" s="50" t="n"/>
      <c r="E917" s="50" t="n"/>
      <c r="F917" s="50" t="n"/>
      <c r="G917" s="50" t="n"/>
      <c r="H917" s="48" t="n"/>
      <c r="I917" s="51" t="n"/>
      <c r="J917" s="52" t="n"/>
      <c r="K917" s="47" t="n"/>
      <c r="L917" s="47" t="n"/>
      <c r="M917" s="24">
        <f>IF(OR($A917="",$C917=""),"",IF($L917&lt;&gt;"",$L917-$C917,TODAY()-$C917))</f>
        <v/>
      </c>
      <c r="N917" s="28">
        <f>IF(OR($A917="",$K917=""),"",IF($L917="",IF(TODAY()&gt;$K917,"Atrasado","En ruta"),IF($L917&lt;=$K917,"Sí","No")))</f>
        <v/>
      </c>
      <c r="O917" s="24">
        <f>IF($A917="","",COUNTIFS(NOVEDADES!$D$4:$D$1503,$A917))</f>
        <v/>
      </c>
      <c r="P917" s="28">
        <f>IF($A917="","",IF(COUNTIFS(NOVEDADES!$D$4:$D$1503,$A917,NOVEDADES!$O$4:$O$1503,"SÍ")&gt;0,"No","Sí"))</f>
        <v/>
      </c>
      <c r="Q917" s="28">
        <f>IF(OR($A917="",$L917=""),"",IF(AND($N917="Sí",$P917="Sí"),"OTIF","Falló"))</f>
        <v/>
      </c>
    </row>
    <row r="918" ht="16" customHeight="1">
      <c r="A918" s="48" t="n"/>
      <c r="B918" s="48" t="n"/>
      <c r="C918" s="47" t="n"/>
      <c r="D918" s="50" t="n"/>
      <c r="E918" s="50" t="n"/>
      <c r="F918" s="50" t="n"/>
      <c r="G918" s="50" t="n"/>
      <c r="H918" s="48" t="n"/>
      <c r="I918" s="51" t="n"/>
      <c r="J918" s="52" t="n"/>
      <c r="K918" s="47" t="n"/>
      <c r="L918" s="47" t="n"/>
      <c r="M918" s="24">
        <f>IF(OR($A918="",$C918=""),"",IF($L918&lt;&gt;"",$L918-$C918,TODAY()-$C918))</f>
        <v/>
      </c>
      <c r="N918" s="28">
        <f>IF(OR($A918="",$K918=""),"",IF($L918="",IF(TODAY()&gt;$K918,"Atrasado","En ruta"),IF($L918&lt;=$K918,"Sí","No")))</f>
        <v/>
      </c>
      <c r="O918" s="24">
        <f>IF($A918="","",COUNTIFS(NOVEDADES!$D$4:$D$1503,$A918))</f>
        <v/>
      </c>
      <c r="P918" s="28">
        <f>IF($A918="","",IF(COUNTIFS(NOVEDADES!$D$4:$D$1503,$A918,NOVEDADES!$O$4:$O$1503,"SÍ")&gt;0,"No","Sí"))</f>
        <v/>
      </c>
      <c r="Q918" s="28">
        <f>IF(OR($A918="",$L918=""),"",IF(AND($N918="Sí",$P918="Sí"),"OTIF","Falló"))</f>
        <v/>
      </c>
    </row>
    <row r="919" ht="16" customHeight="1">
      <c r="A919" s="48" t="n"/>
      <c r="B919" s="48" t="n"/>
      <c r="C919" s="47" t="n"/>
      <c r="D919" s="50" t="n"/>
      <c r="E919" s="50" t="n"/>
      <c r="F919" s="50" t="n"/>
      <c r="G919" s="50" t="n"/>
      <c r="H919" s="48" t="n"/>
      <c r="I919" s="51" t="n"/>
      <c r="J919" s="52" t="n"/>
      <c r="K919" s="47" t="n"/>
      <c r="L919" s="47" t="n"/>
      <c r="M919" s="24">
        <f>IF(OR($A919="",$C919=""),"",IF($L919&lt;&gt;"",$L919-$C919,TODAY()-$C919))</f>
        <v/>
      </c>
      <c r="N919" s="28">
        <f>IF(OR($A919="",$K919=""),"",IF($L919="",IF(TODAY()&gt;$K919,"Atrasado","En ruta"),IF($L919&lt;=$K919,"Sí","No")))</f>
        <v/>
      </c>
      <c r="O919" s="24">
        <f>IF($A919="","",COUNTIFS(NOVEDADES!$D$4:$D$1503,$A919))</f>
        <v/>
      </c>
      <c r="P919" s="28">
        <f>IF($A919="","",IF(COUNTIFS(NOVEDADES!$D$4:$D$1503,$A919,NOVEDADES!$O$4:$O$1503,"SÍ")&gt;0,"No","Sí"))</f>
        <v/>
      </c>
      <c r="Q919" s="28">
        <f>IF(OR($A919="",$L919=""),"",IF(AND($N919="Sí",$P919="Sí"),"OTIF","Falló"))</f>
        <v/>
      </c>
    </row>
    <row r="920" ht="16" customHeight="1">
      <c r="A920" s="48" t="n"/>
      <c r="B920" s="48" t="n"/>
      <c r="C920" s="47" t="n"/>
      <c r="D920" s="50" t="n"/>
      <c r="E920" s="50" t="n"/>
      <c r="F920" s="50" t="n"/>
      <c r="G920" s="50" t="n"/>
      <c r="H920" s="48" t="n"/>
      <c r="I920" s="51" t="n"/>
      <c r="J920" s="52" t="n"/>
      <c r="K920" s="47" t="n"/>
      <c r="L920" s="47" t="n"/>
      <c r="M920" s="24">
        <f>IF(OR($A920="",$C920=""),"",IF($L920&lt;&gt;"",$L920-$C920,TODAY()-$C920))</f>
        <v/>
      </c>
      <c r="N920" s="28">
        <f>IF(OR($A920="",$K920=""),"",IF($L920="",IF(TODAY()&gt;$K920,"Atrasado","En ruta"),IF($L920&lt;=$K920,"Sí","No")))</f>
        <v/>
      </c>
      <c r="O920" s="24">
        <f>IF($A920="","",COUNTIFS(NOVEDADES!$D$4:$D$1503,$A920))</f>
        <v/>
      </c>
      <c r="P920" s="28">
        <f>IF($A920="","",IF(COUNTIFS(NOVEDADES!$D$4:$D$1503,$A920,NOVEDADES!$O$4:$O$1503,"SÍ")&gt;0,"No","Sí"))</f>
        <v/>
      </c>
      <c r="Q920" s="28">
        <f>IF(OR($A920="",$L920=""),"",IF(AND($N920="Sí",$P920="Sí"),"OTIF","Falló"))</f>
        <v/>
      </c>
    </row>
    <row r="921" ht="16" customHeight="1">
      <c r="A921" s="48" t="n"/>
      <c r="B921" s="48" t="n"/>
      <c r="C921" s="47" t="n"/>
      <c r="D921" s="50" t="n"/>
      <c r="E921" s="50" t="n"/>
      <c r="F921" s="50" t="n"/>
      <c r="G921" s="50" t="n"/>
      <c r="H921" s="48" t="n"/>
      <c r="I921" s="51" t="n"/>
      <c r="J921" s="52" t="n"/>
      <c r="K921" s="47" t="n"/>
      <c r="L921" s="47" t="n"/>
      <c r="M921" s="24">
        <f>IF(OR($A921="",$C921=""),"",IF($L921&lt;&gt;"",$L921-$C921,TODAY()-$C921))</f>
        <v/>
      </c>
      <c r="N921" s="28">
        <f>IF(OR($A921="",$K921=""),"",IF($L921="",IF(TODAY()&gt;$K921,"Atrasado","En ruta"),IF($L921&lt;=$K921,"Sí","No")))</f>
        <v/>
      </c>
      <c r="O921" s="24">
        <f>IF($A921="","",COUNTIFS(NOVEDADES!$D$4:$D$1503,$A921))</f>
        <v/>
      </c>
      <c r="P921" s="28">
        <f>IF($A921="","",IF(COUNTIFS(NOVEDADES!$D$4:$D$1503,$A921,NOVEDADES!$O$4:$O$1503,"SÍ")&gt;0,"No","Sí"))</f>
        <v/>
      </c>
      <c r="Q921" s="28">
        <f>IF(OR($A921="",$L921=""),"",IF(AND($N921="Sí",$P921="Sí"),"OTIF","Falló"))</f>
        <v/>
      </c>
    </row>
    <row r="922" ht="16" customHeight="1">
      <c r="A922" s="48" t="n"/>
      <c r="B922" s="48" t="n"/>
      <c r="C922" s="47" t="n"/>
      <c r="D922" s="50" t="n"/>
      <c r="E922" s="50" t="n"/>
      <c r="F922" s="50" t="n"/>
      <c r="G922" s="50" t="n"/>
      <c r="H922" s="48" t="n"/>
      <c r="I922" s="51" t="n"/>
      <c r="J922" s="52" t="n"/>
      <c r="K922" s="47" t="n"/>
      <c r="L922" s="47" t="n"/>
      <c r="M922" s="24">
        <f>IF(OR($A922="",$C922=""),"",IF($L922&lt;&gt;"",$L922-$C922,TODAY()-$C922))</f>
        <v/>
      </c>
      <c r="N922" s="28">
        <f>IF(OR($A922="",$K922=""),"",IF($L922="",IF(TODAY()&gt;$K922,"Atrasado","En ruta"),IF($L922&lt;=$K922,"Sí","No")))</f>
        <v/>
      </c>
      <c r="O922" s="24">
        <f>IF($A922="","",COUNTIFS(NOVEDADES!$D$4:$D$1503,$A922))</f>
        <v/>
      </c>
      <c r="P922" s="28">
        <f>IF($A922="","",IF(COUNTIFS(NOVEDADES!$D$4:$D$1503,$A922,NOVEDADES!$O$4:$O$1503,"SÍ")&gt;0,"No","Sí"))</f>
        <v/>
      </c>
      <c r="Q922" s="28">
        <f>IF(OR($A922="",$L922=""),"",IF(AND($N922="Sí",$P922="Sí"),"OTIF","Falló"))</f>
        <v/>
      </c>
    </row>
    <row r="923" ht="16" customHeight="1">
      <c r="A923" s="48" t="n"/>
      <c r="B923" s="48" t="n"/>
      <c r="C923" s="47" t="n"/>
      <c r="D923" s="50" t="n"/>
      <c r="E923" s="50" t="n"/>
      <c r="F923" s="50" t="n"/>
      <c r="G923" s="50" t="n"/>
      <c r="H923" s="48" t="n"/>
      <c r="I923" s="51" t="n"/>
      <c r="J923" s="52" t="n"/>
      <c r="K923" s="47" t="n"/>
      <c r="L923" s="47" t="n"/>
      <c r="M923" s="24">
        <f>IF(OR($A923="",$C923=""),"",IF($L923&lt;&gt;"",$L923-$C923,TODAY()-$C923))</f>
        <v/>
      </c>
      <c r="N923" s="28">
        <f>IF(OR($A923="",$K923=""),"",IF($L923="",IF(TODAY()&gt;$K923,"Atrasado","En ruta"),IF($L923&lt;=$K923,"Sí","No")))</f>
        <v/>
      </c>
      <c r="O923" s="24">
        <f>IF($A923="","",COUNTIFS(NOVEDADES!$D$4:$D$1503,$A923))</f>
        <v/>
      </c>
      <c r="P923" s="28">
        <f>IF($A923="","",IF(COUNTIFS(NOVEDADES!$D$4:$D$1503,$A923,NOVEDADES!$O$4:$O$1503,"SÍ")&gt;0,"No","Sí"))</f>
        <v/>
      </c>
      <c r="Q923" s="28">
        <f>IF(OR($A923="",$L923=""),"",IF(AND($N923="Sí",$P923="Sí"),"OTIF","Falló"))</f>
        <v/>
      </c>
    </row>
    <row r="924" ht="16" customHeight="1">
      <c r="A924" s="48" t="n"/>
      <c r="B924" s="48" t="n"/>
      <c r="C924" s="47" t="n"/>
      <c r="D924" s="50" t="n"/>
      <c r="E924" s="50" t="n"/>
      <c r="F924" s="50" t="n"/>
      <c r="G924" s="50" t="n"/>
      <c r="H924" s="48" t="n"/>
      <c r="I924" s="51" t="n"/>
      <c r="J924" s="52" t="n"/>
      <c r="K924" s="47" t="n"/>
      <c r="L924" s="47" t="n"/>
      <c r="M924" s="24">
        <f>IF(OR($A924="",$C924=""),"",IF($L924&lt;&gt;"",$L924-$C924,TODAY()-$C924))</f>
        <v/>
      </c>
      <c r="N924" s="28">
        <f>IF(OR($A924="",$K924=""),"",IF($L924="",IF(TODAY()&gt;$K924,"Atrasado","En ruta"),IF($L924&lt;=$K924,"Sí","No")))</f>
        <v/>
      </c>
      <c r="O924" s="24">
        <f>IF($A924="","",COUNTIFS(NOVEDADES!$D$4:$D$1503,$A924))</f>
        <v/>
      </c>
      <c r="P924" s="28">
        <f>IF($A924="","",IF(COUNTIFS(NOVEDADES!$D$4:$D$1503,$A924,NOVEDADES!$O$4:$O$1503,"SÍ")&gt;0,"No","Sí"))</f>
        <v/>
      </c>
      <c r="Q924" s="28">
        <f>IF(OR($A924="",$L924=""),"",IF(AND($N924="Sí",$P924="Sí"),"OTIF","Falló"))</f>
        <v/>
      </c>
    </row>
    <row r="925" ht="16" customHeight="1">
      <c r="A925" s="48" t="n"/>
      <c r="B925" s="48" t="n"/>
      <c r="C925" s="47" t="n"/>
      <c r="D925" s="50" t="n"/>
      <c r="E925" s="50" t="n"/>
      <c r="F925" s="50" t="n"/>
      <c r="G925" s="50" t="n"/>
      <c r="H925" s="48" t="n"/>
      <c r="I925" s="51" t="n"/>
      <c r="J925" s="52" t="n"/>
      <c r="K925" s="47" t="n"/>
      <c r="L925" s="47" t="n"/>
      <c r="M925" s="24">
        <f>IF(OR($A925="",$C925=""),"",IF($L925&lt;&gt;"",$L925-$C925,TODAY()-$C925))</f>
        <v/>
      </c>
      <c r="N925" s="28">
        <f>IF(OR($A925="",$K925=""),"",IF($L925="",IF(TODAY()&gt;$K925,"Atrasado","En ruta"),IF($L925&lt;=$K925,"Sí","No")))</f>
        <v/>
      </c>
      <c r="O925" s="24">
        <f>IF($A925="","",COUNTIFS(NOVEDADES!$D$4:$D$1503,$A925))</f>
        <v/>
      </c>
      <c r="P925" s="28">
        <f>IF($A925="","",IF(COUNTIFS(NOVEDADES!$D$4:$D$1503,$A925,NOVEDADES!$O$4:$O$1503,"SÍ")&gt;0,"No","Sí"))</f>
        <v/>
      </c>
      <c r="Q925" s="28">
        <f>IF(OR($A925="",$L925=""),"",IF(AND($N925="Sí",$P925="Sí"),"OTIF","Falló"))</f>
        <v/>
      </c>
    </row>
    <row r="926" ht="16" customHeight="1">
      <c r="A926" s="48" t="n"/>
      <c r="B926" s="48" t="n"/>
      <c r="C926" s="47" t="n"/>
      <c r="D926" s="50" t="n"/>
      <c r="E926" s="50" t="n"/>
      <c r="F926" s="50" t="n"/>
      <c r="G926" s="50" t="n"/>
      <c r="H926" s="48" t="n"/>
      <c r="I926" s="51" t="n"/>
      <c r="J926" s="52" t="n"/>
      <c r="K926" s="47" t="n"/>
      <c r="L926" s="47" t="n"/>
      <c r="M926" s="24">
        <f>IF(OR($A926="",$C926=""),"",IF($L926&lt;&gt;"",$L926-$C926,TODAY()-$C926))</f>
        <v/>
      </c>
      <c r="N926" s="28">
        <f>IF(OR($A926="",$K926=""),"",IF($L926="",IF(TODAY()&gt;$K926,"Atrasado","En ruta"),IF($L926&lt;=$K926,"Sí","No")))</f>
        <v/>
      </c>
      <c r="O926" s="24">
        <f>IF($A926="","",COUNTIFS(NOVEDADES!$D$4:$D$1503,$A926))</f>
        <v/>
      </c>
      <c r="P926" s="28">
        <f>IF($A926="","",IF(COUNTIFS(NOVEDADES!$D$4:$D$1503,$A926,NOVEDADES!$O$4:$O$1503,"SÍ")&gt;0,"No","Sí"))</f>
        <v/>
      </c>
      <c r="Q926" s="28">
        <f>IF(OR($A926="",$L926=""),"",IF(AND($N926="Sí",$P926="Sí"),"OTIF","Falló"))</f>
        <v/>
      </c>
    </row>
    <row r="927" ht="16" customHeight="1">
      <c r="A927" s="48" t="n"/>
      <c r="B927" s="48" t="n"/>
      <c r="C927" s="47" t="n"/>
      <c r="D927" s="50" t="n"/>
      <c r="E927" s="50" t="n"/>
      <c r="F927" s="50" t="n"/>
      <c r="G927" s="50" t="n"/>
      <c r="H927" s="48" t="n"/>
      <c r="I927" s="51" t="n"/>
      <c r="J927" s="52" t="n"/>
      <c r="K927" s="47" t="n"/>
      <c r="L927" s="47" t="n"/>
      <c r="M927" s="24">
        <f>IF(OR($A927="",$C927=""),"",IF($L927&lt;&gt;"",$L927-$C927,TODAY()-$C927))</f>
        <v/>
      </c>
      <c r="N927" s="28">
        <f>IF(OR($A927="",$K927=""),"",IF($L927="",IF(TODAY()&gt;$K927,"Atrasado","En ruta"),IF($L927&lt;=$K927,"Sí","No")))</f>
        <v/>
      </c>
      <c r="O927" s="24">
        <f>IF($A927="","",COUNTIFS(NOVEDADES!$D$4:$D$1503,$A927))</f>
        <v/>
      </c>
      <c r="P927" s="28">
        <f>IF($A927="","",IF(COUNTIFS(NOVEDADES!$D$4:$D$1503,$A927,NOVEDADES!$O$4:$O$1503,"SÍ")&gt;0,"No","Sí"))</f>
        <v/>
      </c>
      <c r="Q927" s="28">
        <f>IF(OR($A927="",$L927=""),"",IF(AND($N927="Sí",$P927="Sí"),"OTIF","Falló"))</f>
        <v/>
      </c>
    </row>
    <row r="928" ht="16" customHeight="1">
      <c r="A928" s="48" t="n"/>
      <c r="B928" s="48" t="n"/>
      <c r="C928" s="47" t="n"/>
      <c r="D928" s="50" t="n"/>
      <c r="E928" s="50" t="n"/>
      <c r="F928" s="50" t="n"/>
      <c r="G928" s="50" t="n"/>
      <c r="H928" s="48" t="n"/>
      <c r="I928" s="51" t="n"/>
      <c r="J928" s="52" t="n"/>
      <c r="K928" s="47" t="n"/>
      <c r="L928" s="47" t="n"/>
      <c r="M928" s="24">
        <f>IF(OR($A928="",$C928=""),"",IF($L928&lt;&gt;"",$L928-$C928,TODAY()-$C928))</f>
        <v/>
      </c>
      <c r="N928" s="28">
        <f>IF(OR($A928="",$K928=""),"",IF($L928="",IF(TODAY()&gt;$K928,"Atrasado","En ruta"),IF($L928&lt;=$K928,"Sí","No")))</f>
        <v/>
      </c>
      <c r="O928" s="24">
        <f>IF($A928="","",COUNTIFS(NOVEDADES!$D$4:$D$1503,$A928))</f>
        <v/>
      </c>
      <c r="P928" s="28">
        <f>IF($A928="","",IF(COUNTIFS(NOVEDADES!$D$4:$D$1503,$A928,NOVEDADES!$O$4:$O$1503,"SÍ")&gt;0,"No","Sí"))</f>
        <v/>
      </c>
      <c r="Q928" s="28">
        <f>IF(OR($A928="",$L928=""),"",IF(AND($N928="Sí",$P928="Sí"),"OTIF","Falló"))</f>
        <v/>
      </c>
    </row>
    <row r="929" ht="16" customHeight="1">
      <c r="A929" s="48" t="n"/>
      <c r="B929" s="48" t="n"/>
      <c r="C929" s="47" t="n"/>
      <c r="D929" s="50" t="n"/>
      <c r="E929" s="50" t="n"/>
      <c r="F929" s="50" t="n"/>
      <c r="G929" s="50" t="n"/>
      <c r="H929" s="48" t="n"/>
      <c r="I929" s="51" t="n"/>
      <c r="J929" s="52" t="n"/>
      <c r="K929" s="47" t="n"/>
      <c r="L929" s="47" t="n"/>
      <c r="M929" s="24">
        <f>IF(OR($A929="",$C929=""),"",IF($L929&lt;&gt;"",$L929-$C929,TODAY()-$C929))</f>
        <v/>
      </c>
      <c r="N929" s="28">
        <f>IF(OR($A929="",$K929=""),"",IF($L929="",IF(TODAY()&gt;$K929,"Atrasado","En ruta"),IF($L929&lt;=$K929,"Sí","No")))</f>
        <v/>
      </c>
      <c r="O929" s="24">
        <f>IF($A929="","",COUNTIFS(NOVEDADES!$D$4:$D$1503,$A929))</f>
        <v/>
      </c>
      <c r="P929" s="28">
        <f>IF($A929="","",IF(COUNTIFS(NOVEDADES!$D$4:$D$1503,$A929,NOVEDADES!$O$4:$O$1503,"SÍ")&gt;0,"No","Sí"))</f>
        <v/>
      </c>
      <c r="Q929" s="28">
        <f>IF(OR($A929="",$L929=""),"",IF(AND($N929="Sí",$P929="Sí"),"OTIF","Falló"))</f>
        <v/>
      </c>
    </row>
    <row r="930" ht="16" customHeight="1">
      <c r="A930" s="48" t="n"/>
      <c r="B930" s="48" t="n"/>
      <c r="C930" s="47" t="n"/>
      <c r="D930" s="50" t="n"/>
      <c r="E930" s="50" t="n"/>
      <c r="F930" s="50" t="n"/>
      <c r="G930" s="50" t="n"/>
      <c r="H930" s="48" t="n"/>
      <c r="I930" s="51" t="n"/>
      <c r="J930" s="52" t="n"/>
      <c r="K930" s="47" t="n"/>
      <c r="L930" s="47" t="n"/>
      <c r="M930" s="24">
        <f>IF(OR($A930="",$C930=""),"",IF($L930&lt;&gt;"",$L930-$C930,TODAY()-$C930))</f>
        <v/>
      </c>
      <c r="N930" s="28">
        <f>IF(OR($A930="",$K930=""),"",IF($L930="",IF(TODAY()&gt;$K930,"Atrasado","En ruta"),IF($L930&lt;=$K930,"Sí","No")))</f>
        <v/>
      </c>
      <c r="O930" s="24">
        <f>IF($A930="","",COUNTIFS(NOVEDADES!$D$4:$D$1503,$A930))</f>
        <v/>
      </c>
      <c r="P930" s="28">
        <f>IF($A930="","",IF(COUNTIFS(NOVEDADES!$D$4:$D$1503,$A930,NOVEDADES!$O$4:$O$1503,"SÍ")&gt;0,"No","Sí"))</f>
        <v/>
      </c>
      <c r="Q930" s="28">
        <f>IF(OR($A930="",$L930=""),"",IF(AND($N930="Sí",$P930="Sí"),"OTIF","Falló"))</f>
        <v/>
      </c>
    </row>
    <row r="931" ht="16" customHeight="1">
      <c r="A931" s="48" t="n"/>
      <c r="B931" s="48" t="n"/>
      <c r="C931" s="47" t="n"/>
      <c r="D931" s="50" t="n"/>
      <c r="E931" s="50" t="n"/>
      <c r="F931" s="50" t="n"/>
      <c r="G931" s="50" t="n"/>
      <c r="H931" s="48" t="n"/>
      <c r="I931" s="51" t="n"/>
      <c r="J931" s="52" t="n"/>
      <c r="K931" s="47" t="n"/>
      <c r="L931" s="47" t="n"/>
      <c r="M931" s="24">
        <f>IF(OR($A931="",$C931=""),"",IF($L931&lt;&gt;"",$L931-$C931,TODAY()-$C931))</f>
        <v/>
      </c>
      <c r="N931" s="28">
        <f>IF(OR($A931="",$K931=""),"",IF($L931="",IF(TODAY()&gt;$K931,"Atrasado","En ruta"),IF($L931&lt;=$K931,"Sí","No")))</f>
        <v/>
      </c>
      <c r="O931" s="24">
        <f>IF($A931="","",COUNTIFS(NOVEDADES!$D$4:$D$1503,$A931))</f>
        <v/>
      </c>
      <c r="P931" s="28">
        <f>IF($A931="","",IF(COUNTIFS(NOVEDADES!$D$4:$D$1503,$A931,NOVEDADES!$O$4:$O$1503,"SÍ")&gt;0,"No","Sí"))</f>
        <v/>
      </c>
      <c r="Q931" s="28">
        <f>IF(OR($A931="",$L931=""),"",IF(AND($N931="Sí",$P931="Sí"),"OTIF","Falló"))</f>
        <v/>
      </c>
    </row>
    <row r="932" ht="16" customHeight="1">
      <c r="A932" s="48" t="n"/>
      <c r="B932" s="48" t="n"/>
      <c r="C932" s="47" t="n"/>
      <c r="D932" s="50" t="n"/>
      <c r="E932" s="50" t="n"/>
      <c r="F932" s="50" t="n"/>
      <c r="G932" s="50" t="n"/>
      <c r="H932" s="48" t="n"/>
      <c r="I932" s="51" t="n"/>
      <c r="J932" s="52" t="n"/>
      <c r="K932" s="47" t="n"/>
      <c r="L932" s="47" t="n"/>
      <c r="M932" s="24">
        <f>IF(OR($A932="",$C932=""),"",IF($L932&lt;&gt;"",$L932-$C932,TODAY()-$C932))</f>
        <v/>
      </c>
      <c r="N932" s="28">
        <f>IF(OR($A932="",$K932=""),"",IF($L932="",IF(TODAY()&gt;$K932,"Atrasado","En ruta"),IF($L932&lt;=$K932,"Sí","No")))</f>
        <v/>
      </c>
      <c r="O932" s="24">
        <f>IF($A932="","",COUNTIFS(NOVEDADES!$D$4:$D$1503,$A932))</f>
        <v/>
      </c>
      <c r="P932" s="28">
        <f>IF($A932="","",IF(COUNTIFS(NOVEDADES!$D$4:$D$1503,$A932,NOVEDADES!$O$4:$O$1503,"SÍ")&gt;0,"No","Sí"))</f>
        <v/>
      </c>
      <c r="Q932" s="28">
        <f>IF(OR($A932="",$L932=""),"",IF(AND($N932="Sí",$P932="Sí"),"OTIF","Falló"))</f>
        <v/>
      </c>
    </row>
    <row r="933" ht="16" customHeight="1">
      <c r="A933" s="48" t="n"/>
      <c r="B933" s="48" t="n"/>
      <c r="C933" s="47" t="n"/>
      <c r="D933" s="50" t="n"/>
      <c r="E933" s="50" t="n"/>
      <c r="F933" s="50" t="n"/>
      <c r="G933" s="50" t="n"/>
      <c r="H933" s="48" t="n"/>
      <c r="I933" s="51" t="n"/>
      <c r="J933" s="52" t="n"/>
      <c r="K933" s="47" t="n"/>
      <c r="L933" s="47" t="n"/>
      <c r="M933" s="24">
        <f>IF(OR($A933="",$C933=""),"",IF($L933&lt;&gt;"",$L933-$C933,TODAY()-$C933))</f>
        <v/>
      </c>
      <c r="N933" s="28">
        <f>IF(OR($A933="",$K933=""),"",IF($L933="",IF(TODAY()&gt;$K933,"Atrasado","En ruta"),IF($L933&lt;=$K933,"Sí","No")))</f>
        <v/>
      </c>
      <c r="O933" s="24">
        <f>IF($A933="","",COUNTIFS(NOVEDADES!$D$4:$D$1503,$A933))</f>
        <v/>
      </c>
      <c r="P933" s="28">
        <f>IF($A933="","",IF(COUNTIFS(NOVEDADES!$D$4:$D$1503,$A933,NOVEDADES!$O$4:$O$1503,"SÍ")&gt;0,"No","Sí"))</f>
        <v/>
      </c>
      <c r="Q933" s="28">
        <f>IF(OR($A933="",$L933=""),"",IF(AND($N933="Sí",$P933="Sí"),"OTIF","Falló"))</f>
        <v/>
      </c>
    </row>
    <row r="934" ht="16" customHeight="1">
      <c r="A934" s="48" t="n"/>
      <c r="B934" s="48" t="n"/>
      <c r="C934" s="47" t="n"/>
      <c r="D934" s="50" t="n"/>
      <c r="E934" s="50" t="n"/>
      <c r="F934" s="50" t="n"/>
      <c r="G934" s="50" t="n"/>
      <c r="H934" s="48" t="n"/>
      <c r="I934" s="51" t="n"/>
      <c r="J934" s="52" t="n"/>
      <c r="K934" s="47" t="n"/>
      <c r="L934" s="47" t="n"/>
      <c r="M934" s="24">
        <f>IF(OR($A934="",$C934=""),"",IF($L934&lt;&gt;"",$L934-$C934,TODAY()-$C934))</f>
        <v/>
      </c>
      <c r="N934" s="28">
        <f>IF(OR($A934="",$K934=""),"",IF($L934="",IF(TODAY()&gt;$K934,"Atrasado","En ruta"),IF($L934&lt;=$K934,"Sí","No")))</f>
        <v/>
      </c>
      <c r="O934" s="24">
        <f>IF($A934="","",COUNTIFS(NOVEDADES!$D$4:$D$1503,$A934))</f>
        <v/>
      </c>
      <c r="P934" s="28">
        <f>IF($A934="","",IF(COUNTIFS(NOVEDADES!$D$4:$D$1503,$A934,NOVEDADES!$O$4:$O$1503,"SÍ")&gt;0,"No","Sí"))</f>
        <v/>
      </c>
      <c r="Q934" s="28">
        <f>IF(OR($A934="",$L934=""),"",IF(AND($N934="Sí",$P934="Sí"),"OTIF","Falló"))</f>
        <v/>
      </c>
    </row>
    <row r="935" ht="16" customHeight="1">
      <c r="A935" s="48" t="n"/>
      <c r="B935" s="48" t="n"/>
      <c r="C935" s="47" t="n"/>
      <c r="D935" s="50" t="n"/>
      <c r="E935" s="50" t="n"/>
      <c r="F935" s="50" t="n"/>
      <c r="G935" s="50" t="n"/>
      <c r="H935" s="48" t="n"/>
      <c r="I935" s="51" t="n"/>
      <c r="J935" s="52" t="n"/>
      <c r="K935" s="47" t="n"/>
      <c r="L935" s="47" t="n"/>
      <c r="M935" s="24">
        <f>IF(OR($A935="",$C935=""),"",IF($L935&lt;&gt;"",$L935-$C935,TODAY()-$C935))</f>
        <v/>
      </c>
      <c r="N935" s="28">
        <f>IF(OR($A935="",$K935=""),"",IF($L935="",IF(TODAY()&gt;$K935,"Atrasado","En ruta"),IF($L935&lt;=$K935,"Sí","No")))</f>
        <v/>
      </c>
      <c r="O935" s="24">
        <f>IF($A935="","",COUNTIFS(NOVEDADES!$D$4:$D$1503,$A935))</f>
        <v/>
      </c>
      <c r="P935" s="28">
        <f>IF($A935="","",IF(COUNTIFS(NOVEDADES!$D$4:$D$1503,$A935,NOVEDADES!$O$4:$O$1503,"SÍ")&gt;0,"No","Sí"))</f>
        <v/>
      </c>
      <c r="Q935" s="28">
        <f>IF(OR($A935="",$L935=""),"",IF(AND($N935="Sí",$P935="Sí"),"OTIF","Falló"))</f>
        <v/>
      </c>
    </row>
    <row r="936" ht="16" customHeight="1">
      <c r="A936" s="48" t="n"/>
      <c r="B936" s="48" t="n"/>
      <c r="C936" s="47" t="n"/>
      <c r="D936" s="50" t="n"/>
      <c r="E936" s="50" t="n"/>
      <c r="F936" s="50" t="n"/>
      <c r="G936" s="50" t="n"/>
      <c r="H936" s="48" t="n"/>
      <c r="I936" s="51" t="n"/>
      <c r="J936" s="52" t="n"/>
      <c r="K936" s="47" t="n"/>
      <c r="L936" s="47" t="n"/>
      <c r="M936" s="24">
        <f>IF(OR($A936="",$C936=""),"",IF($L936&lt;&gt;"",$L936-$C936,TODAY()-$C936))</f>
        <v/>
      </c>
      <c r="N936" s="28">
        <f>IF(OR($A936="",$K936=""),"",IF($L936="",IF(TODAY()&gt;$K936,"Atrasado","En ruta"),IF($L936&lt;=$K936,"Sí","No")))</f>
        <v/>
      </c>
      <c r="O936" s="24">
        <f>IF($A936="","",COUNTIFS(NOVEDADES!$D$4:$D$1503,$A936))</f>
        <v/>
      </c>
      <c r="P936" s="28">
        <f>IF($A936="","",IF(COUNTIFS(NOVEDADES!$D$4:$D$1503,$A936,NOVEDADES!$O$4:$O$1503,"SÍ")&gt;0,"No","Sí"))</f>
        <v/>
      </c>
      <c r="Q936" s="28">
        <f>IF(OR($A936="",$L936=""),"",IF(AND($N936="Sí",$P936="Sí"),"OTIF","Falló"))</f>
        <v/>
      </c>
    </row>
    <row r="937" ht="16" customHeight="1">
      <c r="A937" s="48" t="n"/>
      <c r="B937" s="48" t="n"/>
      <c r="C937" s="47" t="n"/>
      <c r="D937" s="50" t="n"/>
      <c r="E937" s="50" t="n"/>
      <c r="F937" s="50" t="n"/>
      <c r="G937" s="50" t="n"/>
      <c r="H937" s="48" t="n"/>
      <c r="I937" s="51" t="n"/>
      <c r="J937" s="52" t="n"/>
      <c r="K937" s="47" t="n"/>
      <c r="L937" s="47" t="n"/>
      <c r="M937" s="24">
        <f>IF(OR($A937="",$C937=""),"",IF($L937&lt;&gt;"",$L937-$C937,TODAY()-$C937))</f>
        <v/>
      </c>
      <c r="N937" s="28">
        <f>IF(OR($A937="",$K937=""),"",IF($L937="",IF(TODAY()&gt;$K937,"Atrasado","En ruta"),IF($L937&lt;=$K937,"Sí","No")))</f>
        <v/>
      </c>
      <c r="O937" s="24">
        <f>IF($A937="","",COUNTIFS(NOVEDADES!$D$4:$D$1503,$A937))</f>
        <v/>
      </c>
      <c r="P937" s="28">
        <f>IF($A937="","",IF(COUNTIFS(NOVEDADES!$D$4:$D$1503,$A937,NOVEDADES!$O$4:$O$1503,"SÍ")&gt;0,"No","Sí"))</f>
        <v/>
      </c>
      <c r="Q937" s="28">
        <f>IF(OR($A937="",$L937=""),"",IF(AND($N937="Sí",$P937="Sí"),"OTIF","Falló"))</f>
        <v/>
      </c>
    </row>
    <row r="938" ht="16" customHeight="1">
      <c r="A938" s="48" t="n"/>
      <c r="B938" s="48" t="n"/>
      <c r="C938" s="47" t="n"/>
      <c r="D938" s="50" t="n"/>
      <c r="E938" s="50" t="n"/>
      <c r="F938" s="50" t="n"/>
      <c r="G938" s="50" t="n"/>
      <c r="H938" s="48" t="n"/>
      <c r="I938" s="51" t="n"/>
      <c r="J938" s="52" t="n"/>
      <c r="K938" s="47" t="n"/>
      <c r="L938" s="47" t="n"/>
      <c r="M938" s="24">
        <f>IF(OR($A938="",$C938=""),"",IF($L938&lt;&gt;"",$L938-$C938,TODAY()-$C938))</f>
        <v/>
      </c>
      <c r="N938" s="28">
        <f>IF(OR($A938="",$K938=""),"",IF($L938="",IF(TODAY()&gt;$K938,"Atrasado","En ruta"),IF($L938&lt;=$K938,"Sí","No")))</f>
        <v/>
      </c>
      <c r="O938" s="24">
        <f>IF($A938="","",COUNTIFS(NOVEDADES!$D$4:$D$1503,$A938))</f>
        <v/>
      </c>
      <c r="P938" s="28">
        <f>IF($A938="","",IF(COUNTIFS(NOVEDADES!$D$4:$D$1503,$A938,NOVEDADES!$O$4:$O$1503,"SÍ")&gt;0,"No","Sí"))</f>
        <v/>
      </c>
      <c r="Q938" s="28">
        <f>IF(OR($A938="",$L938=""),"",IF(AND($N938="Sí",$P938="Sí"),"OTIF","Falló"))</f>
        <v/>
      </c>
    </row>
    <row r="939" ht="16" customHeight="1">
      <c r="A939" s="48" t="n"/>
      <c r="B939" s="48" t="n"/>
      <c r="C939" s="47" t="n"/>
      <c r="D939" s="50" t="n"/>
      <c r="E939" s="50" t="n"/>
      <c r="F939" s="50" t="n"/>
      <c r="G939" s="50" t="n"/>
      <c r="H939" s="48" t="n"/>
      <c r="I939" s="51" t="n"/>
      <c r="J939" s="52" t="n"/>
      <c r="K939" s="47" t="n"/>
      <c r="L939" s="47" t="n"/>
      <c r="M939" s="24">
        <f>IF(OR($A939="",$C939=""),"",IF($L939&lt;&gt;"",$L939-$C939,TODAY()-$C939))</f>
        <v/>
      </c>
      <c r="N939" s="28">
        <f>IF(OR($A939="",$K939=""),"",IF($L939="",IF(TODAY()&gt;$K939,"Atrasado","En ruta"),IF($L939&lt;=$K939,"Sí","No")))</f>
        <v/>
      </c>
      <c r="O939" s="24">
        <f>IF($A939="","",COUNTIFS(NOVEDADES!$D$4:$D$1503,$A939))</f>
        <v/>
      </c>
      <c r="P939" s="28">
        <f>IF($A939="","",IF(COUNTIFS(NOVEDADES!$D$4:$D$1503,$A939,NOVEDADES!$O$4:$O$1503,"SÍ")&gt;0,"No","Sí"))</f>
        <v/>
      </c>
      <c r="Q939" s="28">
        <f>IF(OR($A939="",$L939=""),"",IF(AND($N939="Sí",$P939="Sí"),"OTIF","Falló"))</f>
        <v/>
      </c>
    </row>
    <row r="940" ht="16" customHeight="1">
      <c r="A940" s="48" t="n"/>
      <c r="B940" s="48" t="n"/>
      <c r="C940" s="47" t="n"/>
      <c r="D940" s="50" t="n"/>
      <c r="E940" s="50" t="n"/>
      <c r="F940" s="50" t="n"/>
      <c r="G940" s="50" t="n"/>
      <c r="H940" s="48" t="n"/>
      <c r="I940" s="51" t="n"/>
      <c r="J940" s="52" t="n"/>
      <c r="K940" s="47" t="n"/>
      <c r="L940" s="47" t="n"/>
      <c r="M940" s="24">
        <f>IF(OR($A940="",$C940=""),"",IF($L940&lt;&gt;"",$L940-$C940,TODAY()-$C940))</f>
        <v/>
      </c>
      <c r="N940" s="28">
        <f>IF(OR($A940="",$K940=""),"",IF($L940="",IF(TODAY()&gt;$K940,"Atrasado","En ruta"),IF($L940&lt;=$K940,"Sí","No")))</f>
        <v/>
      </c>
      <c r="O940" s="24">
        <f>IF($A940="","",COUNTIFS(NOVEDADES!$D$4:$D$1503,$A940))</f>
        <v/>
      </c>
      <c r="P940" s="28">
        <f>IF($A940="","",IF(COUNTIFS(NOVEDADES!$D$4:$D$1503,$A940,NOVEDADES!$O$4:$O$1503,"SÍ")&gt;0,"No","Sí"))</f>
        <v/>
      </c>
      <c r="Q940" s="28">
        <f>IF(OR($A940="",$L940=""),"",IF(AND($N940="Sí",$P940="Sí"),"OTIF","Falló"))</f>
        <v/>
      </c>
    </row>
    <row r="941" ht="16" customHeight="1">
      <c r="A941" s="48" t="n"/>
      <c r="B941" s="48" t="n"/>
      <c r="C941" s="47" t="n"/>
      <c r="D941" s="50" t="n"/>
      <c r="E941" s="50" t="n"/>
      <c r="F941" s="50" t="n"/>
      <c r="G941" s="50" t="n"/>
      <c r="H941" s="48" t="n"/>
      <c r="I941" s="51" t="n"/>
      <c r="J941" s="52" t="n"/>
      <c r="K941" s="47" t="n"/>
      <c r="L941" s="47" t="n"/>
      <c r="M941" s="24">
        <f>IF(OR($A941="",$C941=""),"",IF($L941&lt;&gt;"",$L941-$C941,TODAY()-$C941))</f>
        <v/>
      </c>
      <c r="N941" s="28">
        <f>IF(OR($A941="",$K941=""),"",IF($L941="",IF(TODAY()&gt;$K941,"Atrasado","En ruta"),IF($L941&lt;=$K941,"Sí","No")))</f>
        <v/>
      </c>
      <c r="O941" s="24">
        <f>IF($A941="","",COUNTIFS(NOVEDADES!$D$4:$D$1503,$A941))</f>
        <v/>
      </c>
      <c r="P941" s="28">
        <f>IF($A941="","",IF(COUNTIFS(NOVEDADES!$D$4:$D$1503,$A941,NOVEDADES!$O$4:$O$1503,"SÍ")&gt;0,"No","Sí"))</f>
        <v/>
      </c>
      <c r="Q941" s="28">
        <f>IF(OR($A941="",$L941=""),"",IF(AND($N941="Sí",$P941="Sí"),"OTIF","Falló"))</f>
        <v/>
      </c>
    </row>
    <row r="942" ht="16" customHeight="1">
      <c r="A942" s="48" t="n"/>
      <c r="B942" s="48" t="n"/>
      <c r="C942" s="47" t="n"/>
      <c r="D942" s="50" t="n"/>
      <c r="E942" s="50" t="n"/>
      <c r="F942" s="50" t="n"/>
      <c r="G942" s="50" t="n"/>
      <c r="H942" s="48" t="n"/>
      <c r="I942" s="51" t="n"/>
      <c r="J942" s="52" t="n"/>
      <c r="K942" s="47" t="n"/>
      <c r="L942" s="47" t="n"/>
      <c r="M942" s="24">
        <f>IF(OR($A942="",$C942=""),"",IF($L942&lt;&gt;"",$L942-$C942,TODAY()-$C942))</f>
        <v/>
      </c>
      <c r="N942" s="28">
        <f>IF(OR($A942="",$K942=""),"",IF($L942="",IF(TODAY()&gt;$K942,"Atrasado","En ruta"),IF($L942&lt;=$K942,"Sí","No")))</f>
        <v/>
      </c>
      <c r="O942" s="24">
        <f>IF($A942="","",COUNTIFS(NOVEDADES!$D$4:$D$1503,$A942))</f>
        <v/>
      </c>
      <c r="P942" s="28">
        <f>IF($A942="","",IF(COUNTIFS(NOVEDADES!$D$4:$D$1503,$A942,NOVEDADES!$O$4:$O$1503,"SÍ")&gt;0,"No","Sí"))</f>
        <v/>
      </c>
      <c r="Q942" s="28">
        <f>IF(OR($A942="",$L942=""),"",IF(AND($N942="Sí",$P942="Sí"),"OTIF","Falló"))</f>
        <v/>
      </c>
    </row>
    <row r="943" ht="16" customHeight="1">
      <c r="A943" s="48" t="n"/>
      <c r="B943" s="48" t="n"/>
      <c r="C943" s="47" t="n"/>
      <c r="D943" s="50" t="n"/>
      <c r="E943" s="50" t="n"/>
      <c r="F943" s="50" t="n"/>
      <c r="G943" s="50" t="n"/>
      <c r="H943" s="48" t="n"/>
      <c r="I943" s="51" t="n"/>
      <c r="J943" s="52" t="n"/>
      <c r="K943" s="47" t="n"/>
      <c r="L943" s="47" t="n"/>
      <c r="M943" s="24">
        <f>IF(OR($A943="",$C943=""),"",IF($L943&lt;&gt;"",$L943-$C943,TODAY()-$C943))</f>
        <v/>
      </c>
      <c r="N943" s="28">
        <f>IF(OR($A943="",$K943=""),"",IF($L943="",IF(TODAY()&gt;$K943,"Atrasado","En ruta"),IF($L943&lt;=$K943,"Sí","No")))</f>
        <v/>
      </c>
      <c r="O943" s="24">
        <f>IF($A943="","",COUNTIFS(NOVEDADES!$D$4:$D$1503,$A943))</f>
        <v/>
      </c>
      <c r="P943" s="28">
        <f>IF($A943="","",IF(COUNTIFS(NOVEDADES!$D$4:$D$1503,$A943,NOVEDADES!$O$4:$O$1503,"SÍ")&gt;0,"No","Sí"))</f>
        <v/>
      </c>
      <c r="Q943" s="28">
        <f>IF(OR($A943="",$L943=""),"",IF(AND($N943="Sí",$P943="Sí"),"OTIF","Falló"))</f>
        <v/>
      </c>
    </row>
    <row r="944" ht="16" customHeight="1">
      <c r="A944" s="48" t="n"/>
      <c r="B944" s="48" t="n"/>
      <c r="C944" s="47" t="n"/>
      <c r="D944" s="50" t="n"/>
      <c r="E944" s="50" t="n"/>
      <c r="F944" s="50" t="n"/>
      <c r="G944" s="50" t="n"/>
      <c r="H944" s="48" t="n"/>
      <c r="I944" s="51" t="n"/>
      <c r="J944" s="52" t="n"/>
      <c r="K944" s="47" t="n"/>
      <c r="L944" s="47" t="n"/>
      <c r="M944" s="24">
        <f>IF(OR($A944="",$C944=""),"",IF($L944&lt;&gt;"",$L944-$C944,TODAY()-$C944))</f>
        <v/>
      </c>
      <c r="N944" s="28">
        <f>IF(OR($A944="",$K944=""),"",IF($L944="",IF(TODAY()&gt;$K944,"Atrasado","En ruta"),IF($L944&lt;=$K944,"Sí","No")))</f>
        <v/>
      </c>
      <c r="O944" s="24">
        <f>IF($A944="","",COUNTIFS(NOVEDADES!$D$4:$D$1503,$A944))</f>
        <v/>
      </c>
      <c r="P944" s="28">
        <f>IF($A944="","",IF(COUNTIFS(NOVEDADES!$D$4:$D$1503,$A944,NOVEDADES!$O$4:$O$1503,"SÍ")&gt;0,"No","Sí"))</f>
        <v/>
      </c>
      <c r="Q944" s="28">
        <f>IF(OR($A944="",$L944=""),"",IF(AND($N944="Sí",$P944="Sí"),"OTIF","Falló"))</f>
        <v/>
      </c>
    </row>
    <row r="945" ht="16" customHeight="1">
      <c r="A945" s="48" t="n"/>
      <c r="B945" s="48" t="n"/>
      <c r="C945" s="47" t="n"/>
      <c r="D945" s="50" t="n"/>
      <c r="E945" s="50" t="n"/>
      <c r="F945" s="50" t="n"/>
      <c r="G945" s="50" t="n"/>
      <c r="H945" s="48" t="n"/>
      <c r="I945" s="51" t="n"/>
      <c r="J945" s="52" t="n"/>
      <c r="K945" s="47" t="n"/>
      <c r="L945" s="47" t="n"/>
      <c r="M945" s="24">
        <f>IF(OR($A945="",$C945=""),"",IF($L945&lt;&gt;"",$L945-$C945,TODAY()-$C945))</f>
        <v/>
      </c>
      <c r="N945" s="28">
        <f>IF(OR($A945="",$K945=""),"",IF($L945="",IF(TODAY()&gt;$K945,"Atrasado","En ruta"),IF($L945&lt;=$K945,"Sí","No")))</f>
        <v/>
      </c>
      <c r="O945" s="24">
        <f>IF($A945="","",COUNTIFS(NOVEDADES!$D$4:$D$1503,$A945))</f>
        <v/>
      </c>
      <c r="P945" s="28">
        <f>IF($A945="","",IF(COUNTIFS(NOVEDADES!$D$4:$D$1503,$A945,NOVEDADES!$O$4:$O$1503,"SÍ")&gt;0,"No","Sí"))</f>
        <v/>
      </c>
      <c r="Q945" s="28">
        <f>IF(OR($A945="",$L945=""),"",IF(AND($N945="Sí",$P945="Sí"),"OTIF","Falló"))</f>
        <v/>
      </c>
    </row>
    <row r="946" ht="16" customHeight="1">
      <c r="A946" s="48" t="n"/>
      <c r="B946" s="48" t="n"/>
      <c r="C946" s="47" t="n"/>
      <c r="D946" s="50" t="n"/>
      <c r="E946" s="50" t="n"/>
      <c r="F946" s="50" t="n"/>
      <c r="G946" s="50" t="n"/>
      <c r="H946" s="48" t="n"/>
      <c r="I946" s="51" t="n"/>
      <c r="J946" s="52" t="n"/>
      <c r="K946" s="47" t="n"/>
      <c r="L946" s="47" t="n"/>
      <c r="M946" s="24">
        <f>IF(OR($A946="",$C946=""),"",IF($L946&lt;&gt;"",$L946-$C946,TODAY()-$C946))</f>
        <v/>
      </c>
      <c r="N946" s="28">
        <f>IF(OR($A946="",$K946=""),"",IF($L946="",IF(TODAY()&gt;$K946,"Atrasado","En ruta"),IF($L946&lt;=$K946,"Sí","No")))</f>
        <v/>
      </c>
      <c r="O946" s="24">
        <f>IF($A946="","",COUNTIFS(NOVEDADES!$D$4:$D$1503,$A946))</f>
        <v/>
      </c>
      <c r="P946" s="28">
        <f>IF($A946="","",IF(COUNTIFS(NOVEDADES!$D$4:$D$1503,$A946,NOVEDADES!$O$4:$O$1503,"SÍ")&gt;0,"No","Sí"))</f>
        <v/>
      </c>
      <c r="Q946" s="28">
        <f>IF(OR($A946="",$L946=""),"",IF(AND($N946="Sí",$P946="Sí"),"OTIF","Falló"))</f>
        <v/>
      </c>
    </row>
    <row r="947" ht="16" customHeight="1">
      <c r="A947" s="48" t="n"/>
      <c r="B947" s="48" t="n"/>
      <c r="C947" s="47" t="n"/>
      <c r="D947" s="50" t="n"/>
      <c r="E947" s="50" t="n"/>
      <c r="F947" s="50" t="n"/>
      <c r="G947" s="50" t="n"/>
      <c r="H947" s="48" t="n"/>
      <c r="I947" s="51" t="n"/>
      <c r="J947" s="52" t="n"/>
      <c r="K947" s="47" t="n"/>
      <c r="L947" s="47" t="n"/>
      <c r="M947" s="24">
        <f>IF(OR($A947="",$C947=""),"",IF($L947&lt;&gt;"",$L947-$C947,TODAY()-$C947))</f>
        <v/>
      </c>
      <c r="N947" s="28">
        <f>IF(OR($A947="",$K947=""),"",IF($L947="",IF(TODAY()&gt;$K947,"Atrasado","En ruta"),IF($L947&lt;=$K947,"Sí","No")))</f>
        <v/>
      </c>
      <c r="O947" s="24">
        <f>IF($A947="","",COUNTIFS(NOVEDADES!$D$4:$D$1503,$A947))</f>
        <v/>
      </c>
      <c r="P947" s="28">
        <f>IF($A947="","",IF(COUNTIFS(NOVEDADES!$D$4:$D$1503,$A947,NOVEDADES!$O$4:$O$1503,"SÍ")&gt;0,"No","Sí"))</f>
        <v/>
      </c>
      <c r="Q947" s="28">
        <f>IF(OR($A947="",$L947=""),"",IF(AND($N947="Sí",$P947="Sí"),"OTIF","Falló"))</f>
        <v/>
      </c>
    </row>
    <row r="948" ht="16" customHeight="1">
      <c r="A948" s="48" t="n"/>
      <c r="B948" s="48" t="n"/>
      <c r="C948" s="47" t="n"/>
      <c r="D948" s="50" t="n"/>
      <c r="E948" s="50" t="n"/>
      <c r="F948" s="50" t="n"/>
      <c r="G948" s="50" t="n"/>
      <c r="H948" s="48" t="n"/>
      <c r="I948" s="51" t="n"/>
      <c r="J948" s="52" t="n"/>
      <c r="K948" s="47" t="n"/>
      <c r="L948" s="47" t="n"/>
      <c r="M948" s="24">
        <f>IF(OR($A948="",$C948=""),"",IF($L948&lt;&gt;"",$L948-$C948,TODAY()-$C948))</f>
        <v/>
      </c>
      <c r="N948" s="28">
        <f>IF(OR($A948="",$K948=""),"",IF($L948="",IF(TODAY()&gt;$K948,"Atrasado","En ruta"),IF($L948&lt;=$K948,"Sí","No")))</f>
        <v/>
      </c>
      <c r="O948" s="24">
        <f>IF($A948="","",COUNTIFS(NOVEDADES!$D$4:$D$1503,$A948))</f>
        <v/>
      </c>
      <c r="P948" s="28">
        <f>IF($A948="","",IF(COUNTIFS(NOVEDADES!$D$4:$D$1503,$A948,NOVEDADES!$O$4:$O$1503,"SÍ")&gt;0,"No","Sí"))</f>
        <v/>
      </c>
      <c r="Q948" s="28">
        <f>IF(OR($A948="",$L948=""),"",IF(AND($N948="Sí",$P948="Sí"),"OTIF","Falló"))</f>
        <v/>
      </c>
    </row>
    <row r="949" ht="16" customHeight="1">
      <c r="A949" s="48" t="n"/>
      <c r="B949" s="48" t="n"/>
      <c r="C949" s="47" t="n"/>
      <c r="D949" s="50" t="n"/>
      <c r="E949" s="50" t="n"/>
      <c r="F949" s="50" t="n"/>
      <c r="G949" s="50" t="n"/>
      <c r="H949" s="48" t="n"/>
      <c r="I949" s="51" t="n"/>
      <c r="J949" s="52" t="n"/>
      <c r="K949" s="47" t="n"/>
      <c r="L949" s="47" t="n"/>
      <c r="M949" s="24">
        <f>IF(OR($A949="",$C949=""),"",IF($L949&lt;&gt;"",$L949-$C949,TODAY()-$C949))</f>
        <v/>
      </c>
      <c r="N949" s="28">
        <f>IF(OR($A949="",$K949=""),"",IF($L949="",IF(TODAY()&gt;$K949,"Atrasado","En ruta"),IF($L949&lt;=$K949,"Sí","No")))</f>
        <v/>
      </c>
      <c r="O949" s="24">
        <f>IF($A949="","",COUNTIFS(NOVEDADES!$D$4:$D$1503,$A949))</f>
        <v/>
      </c>
      <c r="P949" s="28">
        <f>IF($A949="","",IF(COUNTIFS(NOVEDADES!$D$4:$D$1503,$A949,NOVEDADES!$O$4:$O$1503,"SÍ")&gt;0,"No","Sí"))</f>
        <v/>
      </c>
      <c r="Q949" s="28">
        <f>IF(OR($A949="",$L949=""),"",IF(AND($N949="Sí",$P949="Sí"),"OTIF","Falló"))</f>
        <v/>
      </c>
    </row>
    <row r="950" ht="16" customHeight="1">
      <c r="A950" s="48" t="n"/>
      <c r="B950" s="48" t="n"/>
      <c r="C950" s="47" t="n"/>
      <c r="D950" s="50" t="n"/>
      <c r="E950" s="50" t="n"/>
      <c r="F950" s="50" t="n"/>
      <c r="G950" s="50" t="n"/>
      <c r="H950" s="48" t="n"/>
      <c r="I950" s="51" t="n"/>
      <c r="J950" s="52" t="n"/>
      <c r="K950" s="47" t="n"/>
      <c r="L950" s="47" t="n"/>
      <c r="M950" s="24">
        <f>IF(OR($A950="",$C950=""),"",IF($L950&lt;&gt;"",$L950-$C950,TODAY()-$C950))</f>
        <v/>
      </c>
      <c r="N950" s="28">
        <f>IF(OR($A950="",$K950=""),"",IF($L950="",IF(TODAY()&gt;$K950,"Atrasado","En ruta"),IF($L950&lt;=$K950,"Sí","No")))</f>
        <v/>
      </c>
      <c r="O950" s="24">
        <f>IF($A950="","",COUNTIFS(NOVEDADES!$D$4:$D$1503,$A950))</f>
        <v/>
      </c>
      <c r="P950" s="28">
        <f>IF($A950="","",IF(COUNTIFS(NOVEDADES!$D$4:$D$1503,$A950,NOVEDADES!$O$4:$O$1503,"SÍ")&gt;0,"No","Sí"))</f>
        <v/>
      </c>
      <c r="Q950" s="28">
        <f>IF(OR($A950="",$L950=""),"",IF(AND($N950="Sí",$P950="Sí"),"OTIF","Falló"))</f>
        <v/>
      </c>
    </row>
    <row r="951" ht="16" customHeight="1">
      <c r="A951" s="48" t="n"/>
      <c r="B951" s="48" t="n"/>
      <c r="C951" s="47" t="n"/>
      <c r="D951" s="50" t="n"/>
      <c r="E951" s="50" t="n"/>
      <c r="F951" s="50" t="n"/>
      <c r="G951" s="50" t="n"/>
      <c r="H951" s="48" t="n"/>
      <c r="I951" s="51" t="n"/>
      <c r="J951" s="52" t="n"/>
      <c r="K951" s="47" t="n"/>
      <c r="L951" s="47" t="n"/>
      <c r="M951" s="24">
        <f>IF(OR($A951="",$C951=""),"",IF($L951&lt;&gt;"",$L951-$C951,TODAY()-$C951))</f>
        <v/>
      </c>
      <c r="N951" s="28">
        <f>IF(OR($A951="",$K951=""),"",IF($L951="",IF(TODAY()&gt;$K951,"Atrasado","En ruta"),IF($L951&lt;=$K951,"Sí","No")))</f>
        <v/>
      </c>
      <c r="O951" s="24">
        <f>IF($A951="","",COUNTIFS(NOVEDADES!$D$4:$D$1503,$A951))</f>
        <v/>
      </c>
      <c r="P951" s="28">
        <f>IF($A951="","",IF(COUNTIFS(NOVEDADES!$D$4:$D$1503,$A951,NOVEDADES!$O$4:$O$1503,"SÍ")&gt;0,"No","Sí"))</f>
        <v/>
      </c>
      <c r="Q951" s="28">
        <f>IF(OR($A951="",$L951=""),"",IF(AND($N951="Sí",$P951="Sí"),"OTIF","Falló"))</f>
        <v/>
      </c>
    </row>
    <row r="952" ht="16" customHeight="1">
      <c r="A952" s="48" t="n"/>
      <c r="B952" s="48" t="n"/>
      <c r="C952" s="47" t="n"/>
      <c r="D952" s="50" t="n"/>
      <c r="E952" s="50" t="n"/>
      <c r="F952" s="50" t="n"/>
      <c r="G952" s="50" t="n"/>
      <c r="H952" s="48" t="n"/>
      <c r="I952" s="51" t="n"/>
      <c r="J952" s="52" t="n"/>
      <c r="K952" s="47" t="n"/>
      <c r="L952" s="47" t="n"/>
      <c r="M952" s="24">
        <f>IF(OR($A952="",$C952=""),"",IF($L952&lt;&gt;"",$L952-$C952,TODAY()-$C952))</f>
        <v/>
      </c>
      <c r="N952" s="28">
        <f>IF(OR($A952="",$K952=""),"",IF($L952="",IF(TODAY()&gt;$K952,"Atrasado","En ruta"),IF($L952&lt;=$K952,"Sí","No")))</f>
        <v/>
      </c>
      <c r="O952" s="24">
        <f>IF($A952="","",COUNTIFS(NOVEDADES!$D$4:$D$1503,$A952))</f>
        <v/>
      </c>
      <c r="P952" s="28">
        <f>IF($A952="","",IF(COUNTIFS(NOVEDADES!$D$4:$D$1503,$A952,NOVEDADES!$O$4:$O$1503,"SÍ")&gt;0,"No","Sí"))</f>
        <v/>
      </c>
      <c r="Q952" s="28">
        <f>IF(OR($A952="",$L952=""),"",IF(AND($N952="Sí",$P952="Sí"),"OTIF","Falló"))</f>
        <v/>
      </c>
    </row>
    <row r="953" ht="16" customHeight="1">
      <c r="A953" s="48" t="n"/>
      <c r="B953" s="48" t="n"/>
      <c r="C953" s="47" t="n"/>
      <c r="D953" s="50" t="n"/>
      <c r="E953" s="50" t="n"/>
      <c r="F953" s="50" t="n"/>
      <c r="G953" s="50" t="n"/>
      <c r="H953" s="48" t="n"/>
      <c r="I953" s="51" t="n"/>
      <c r="J953" s="52" t="n"/>
      <c r="K953" s="47" t="n"/>
      <c r="L953" s="47" t="n"/>
      <c r="M953" s="24">
        <f>IF(OR($A953="",$C953=""),"",IF($L953&lt;&gt;"",$L953-$C953,TODAY()-$C953))</f>
        <v/>
      </c>
      <c r="N953" s="28">
        <f>IF(OR($A953="",$K953=""),"",IF($L953="",IF(TODAY()&gt;$K953,"Atrasado","En ruta"),IF($L953&lt;=$K953,"Sí","No")))</f>
        <v/>
      </c>
      <c r="O953" s="24">
        <f>IF($A953="","",COUNTIFS(NOVEDADES!$D$4:$D$1503,$A953))</f>
        <v/>
      </c>
      <c r="P953" s="28">
        <f>IF($A953="","",IF(COUNTIFS(NOVEDADES!$D$4:$D$1503,$A953,NOVEDADES!$O$4:$O$1503,"SÍ")&gt;0,"No","Sí"))</f>
        <v/>
      </c>
      <c r="Q953" s="28">
        <f>IF(OR($A953="",$L953=""),"",IF(AND($N953="Sí",$P953="Sí"),"OTIF","Falló"))</f>
        <v/>
      </c>
    </row>
    <row r="954" ht="16" customHeight="1">
      <c r="A954" s="48" t="n"/>
      <c r="B954" s="48" t="n"/>
      <c r="C954" s="47" t="n"/>
      <c r="D954" s="50" t="n"/>
      <c r="E954" s="50" t="n"/>
      <c r="F954" s="50" t="n"/>
      <c r="G954" s="50" t="n"/>
      <c r="H954" s="48" t="n"/>
      <c r="I954" s="51" t="n"/>
      <c r="J954" s="52" t="n"/>
      <c r="K954" s="47" t="n"/>
      <c r="L954" s="47" t="n"/>
      <c r="M954" s="24">
        <f>IF(OR($A954="",$C954=""),"",IF($L954&lt;&gt;"",$L954-$C954,TODAY()-$C954))</f>
        <v/>
      </c>
      <c r="N954" s="28">
        <f>IF(OR($A954="",$K954=""),"",IF($L954="",IF(TODAY()&gt;$K954,"Atrasado","En ruta"),IF($L954&lt;=$K954,"Sí","No")))</f>
        <v/>
      </c>
      <c r="O954" s="24">
        <f>IF($A954="","",COUNTIFS(NOVEDADES!$D$4:$D$1503,$A954))</f>
        <v/>
      </c>
      <c r="P954" s="28">
        <f>IF($A954="","",IF(COUNTIFS(NOVEDADES!$D$4:$D$1503,$A954,NOVEDADES!$O$4:$O$1503,"SÍ")&gt;0,"No","Sí"))</f>
        <v/>
      </c>
      <c r="Q954" s="28">
        <f>IF(OR($A954="",$L954=""),"",IF(AND($N954="Sí",$P954="Sí"),"OTIF","Falló"))</f>
        <v/>
      </c>
    </row>
    <row r="955" ht="16" customHeight="1">
      <c r="A955" s="48" t="n"/>
      <c r="B955" s="48" t="n"/>
      <c r="C955" s="47" t="n"/>
      <c r="D955" s="50" t="n"/>
      <c r="E955" s="50" t="n"/>
      <c r="F955" s="50" t="n"/>
      <c r="G955" s="50" t="n"/>
      <c r="H955" s="48" t="n"/>
      <c r="I955" s="51" t="n"/>
      <c r="J955" s="52" t="n"/>
      <c r="K955" s="47" t="n"/>
      <c r="L955" s="47" t="n"/>
      <c r="M955" s="24">
        <f>IF(OR($A955="",$C955=""),"",IF($L955&lt;&gt;"",$L955-$C955,TODAY()-$C955))</f>
        <v/>
      </c>
      <c r="N955" s="28">
        <f>IF(OR($A955="",$K955=""),"",IF($L955="",IF(TODAY()&gt;$K955,"Atrasado","En ruta"),IF($L955&lt;=$K955,"Sí","No")))</f>
        <v/>
      </c>
      <c r="O955" s="24">
        <f>IF($A955="","",COUNTIFS(NOVEDADES!$D$4:$D$1503,$A955))</f>
        <v/>
      </c>
      <c r="P955" s="28">
        <f>IF($A955="","",IF(COUNTIFS(NOVEDADES!$D$4:$D$1503,$A955,NOVEDADES!$O$4:$O$1503,"SÍ")&gt;0,"No","Sí"))</f>
        <v/>
      </c>
      <c r="Q955" s="28">
        <f>IF(OR($A955="",$L955=""),"",IF(AND($N955="Sí",$P955="Sí"),"OTIF","Falló"))</f>
        <v/>
      </c>
    </row>
    <row r="956" ht="16" customHeight="1">
      <c r="A956" s="48" t="n"/>
      <c r="B956" s="48" t="n"/>
      <c r="C956" s="47" t="n"/>
      <c r="D956" s="50" t="n"/>
      <c r="E956" s="50" t="n"/>
      <c r="F956" s="50" t="n"/>
      <c r="G956" s="50" t="n"/>
      <c r="H956" s="48" t="n"/>
      <c r="I956" s="51" t="n"/>
      <c r="J956" s="52" t="n"/>
      <c r="K956" s="47" t="n"/>
      <c r="L956" s="47" t="n"/>
      <c r="M956" s="24">
        <f>IF(OR($A956="",$C956=""),"",IF($L956&lt;&gt;"",$L956-$C956,TODAY()-$C956))</f>
        <v/>
      </c>
      <c r="N956" s="28">
        <f>IF(OR($A956="",$K956=""),"",IF($L956="",IF(TODAY()&gt;$K956,"Atrasado","En ruta"),IF($L956&lt;=$K956,"Sí","No")))</f>
        <v/>
      </c>
      <c r="O956" s="24">
        <f>IF($A956="","",COUNTIFS(NOVEDADES!$D$4:$D$1503,$A956))</f>
        <v/>
      </c>
      <c r="P956" s="28">
        <f>IF($A956="","",IF(COUNTIFS(NOVEDADES!$D$4:$D$1503,$A956,NOVEDADES!$O$4:$O$1503,"SÍ")&gt;0,"No","Sí"))</f>
        <v/>
      </c>
      <c r="Q956" s="28">
        <f>IF(OR($A956="",$L956=""),"",IF(AND($N956="Sí",$P956="Sí"),"OTIF","Falló"))</f>
        <v/>
      </c>
    </row>
    <row r="957" ht="16" customHeight="1">
      <c r="A957" s="48" t="n"/>
      <c r="B957" s="48" t="n"/>
      <c r="C957" s="47" t="n"/>
      <c r="D957" s="50" t="n"/>
      <c r="E957" s="50" t="n"/>
      <c r="F957" s="50" t="n"/>
      <c r="G957" s="50" t="n"/>
      <c r="H957" s="48" t="n"/>
      <c r="I957" s="51" t="n"/>
      <c r="J957" s="52" t="n"/>
      <c r="K957" s="47" t="n"/>
      <c r="L957" s="47" t="n"/>
      <c r="M957" s="24">
        <f>IF(OR($A957="",$C957=""),"",IF($L957&lt;&gt;"",$L957-$C957,TODAY()-$C957))</f>
        <v/>
      </c>
      <c r="N957" s="28">
        <f>IF(OR($A957="",$K957=""),"",IF($L957="",IF(TODAY()&gt;$K957,"Atrasado","En ruta"),IF($L957&lt;=$K957,"Sí","No")))</f>
        <v/>
      </c>
      <c r="O957" s="24">
        <f>IF($A957="","",COUNTIFS(NOVEDADES!$D$4:$D$1503,$A957))</f>
        <v/>
      </c>
      <c r="P957" s="28">
        <f>IF($A957="","",IF(COUNTIFS(NOVEDADES!$D$4:$D$1503,$A957,NOVEDADES!$O$4:$O$1503,"SÍ")&gt;0,"No","Sí"))</f>
        <v/>
      </c>
      <c r="Q957" s="28">
        <f>IF(OR($A957="",$L957=""),"",IF(AND($N957="Sí",$P957="Sí"),"OTIF","Falló"))</f>
        <v/>
      </c>
    </row>
    <row r="958" ht="16" customHeight="1">
      <c r="A958" s="48" t="n"/>
      <c r="B958" s="48" t="n"/>
      <c r="C958" s="47" t="n"/>
      <c r="D958" s="50" t="n"/>
      <c r="E958" s="50" t="n"/>
      <c r="F958" s="50" t="n"/>
      <c r="G958" s="50" t="n"/>
      <c r="H958" s="48" t="n"/>
      <c r="I958" s="51" t="n"/>
      <c r="J958" s="52" t="n"/>
      <c r="K958" s="47" t="n"/>
      <c r="L958" s="47" t="n"/>
      <c r="M958" s="24">
        <f>IF(OR($A958="",$C958=""),"",IF($L958&lt;&gt;"",$L958-$C958,TODAY()-$C958))</f>
        <v/>
      </c>
      <c r="N958" s="28">
        <f>IF(OR($A958="",$K958=""),"",IF($L958="",IF(TODAY()&gt;$K958,"Atrasado","En ruta"),IF($L958&lt;=$K958,"Sí","No")))</f>
        <v/>
      </c>
      <c r="O958" s="24">
        <f>IF($A958="","",COUNTIFS(NOVEDADES!$D$4:$D$1503,$A958))</f>
        <v/>
      </c>
      <c r="P958" s="28">
        <f>IF($A958="","",IF(COUNTIFS(NOVEDADES!$D$4:$D$1503,$A958,NOVEDADES!$O$4:$O$1503,"SÍ")&gt;0,"No","Sí"))</f>
        <v/>
      </c>
      <c r="Q958" s="28">
        <f>IF(OR($A958="",$L958=""),"",IF(AND($N958="Sí",$P958="Sí"),"OTIF","Falló"))</f>
        <v/>
      </c>
    </row>
    <row r="959" ht="16" customHeight="1">
      <c r="A959" s="48" t="n"/>
      <c r="B959" s="48" t="n"/>
      <c r="C959" s="47" t="n"/>
      <c r="D959" s="50" t="n"/>
      <c r="E959" s="50" t="n"/>
      <c r="F959" s="50" t="n"/>
      <c r="G959" s="50" t="n"/>
      <c r="H959" s="48" t="n"/>
      <c r="I959" s="51" t="n"/>
      <c r="J959" s="52" t="n"/>
      <c r="K959" s="47" t="n"/>
      <c r="L959" s="47" t="n"/>
      <c r="M959" s="24">
        <f>IF(OR($A959="",$C959=""),"",IF($L959&lt;&gt;"",$L959-$C959,TODAY()-$C959))</f>
        <v/>
      </c>
      <c r="N959" s="28">
        <f>IF(OR($A959="",$K959=""),"",IF($L959="",IF(TODAY()&gt;$K959,"Atrasado","En ruta"),IF($L959&lt;=$K959,"Sí","No")))</f>
        <v/>
      </c>
      <c r="O959" s="24">
        <f>IF($A959="","",COUNTIFS(NOVEDADES!$D$4:$D$1503,$A959))</f>
        <v/>
      </c>
      <c r="P959" s="28">
        <f>IF($A959="","",IF(COUNTIFS(NOVEDADES!$D$4:$D$1503,$A959,NOVEDADES!$O$4:$O$1503,"SÍ")&gt;0,"No","Sí"))</f>
        <v/>
      </c>
      <c r="Q959" s="28">
        <f>IF(OR($A959="",$L959=""),"",IF(AND($N959="Sí",$P959="Sí"),"OTIF","Falló"))</f>
        <v/>
      </c>
    </row>
    <row r="960" ht="16" customHeight="1">
      <c r="A960" s="48" t="n"/>
      <c r="B960" s="48" t="n"/>
      <c r="C960" s="47" t="n"/>
      <c r="D960" s="50" t="n"/>
      <c r="E960" s="50" t="n"/>
      <c r="F960" s="50" t="n"/>
      <c r="G960" s="50" t="n"/>
      <c r="H960" s="48" t="n"/>
      <c r="I960" s="51" t="n"/>
      <c r="J960" s="52" t="n"/>
      <c r="K960" s="47" t="n"/>
      <c r="L960" s="47" t="n"/>
      <c r="M960" s="24">
        <f>IF(OR($A960="",$C960=""),"",IF($L960&lt;&gt;"",$L960-$C960,TODAY()-$C960))</f>
        <v/>
      </c>
      <c r="N960" s="28">
        <f>IF(OR($A960="",$K960=""),"",IF($L960="",IF(TODAY()&gt;$K960,"Atrasado","En ruta"),IF($L960&lt;=$K960,"Sí","No")))</f>
        <v/>
      </c>
      <c r="O960" s="24">
        <f>IF($A960="","",COUNTIFS(NOVEDADES!$D$4:$D$1503,$A960))</f>
        <v/>
      </c>
      <c r="P960" s="28">
        <f>IF($A960="","",IF(COUNTIFS(NOVEDADES!$D$4:$D$1503,$A960,NOVEDADES!$O$4:$O$1503,"SÍ")&gt;0,"No","Sí"))</f>
        <v/>
      </c>
      <c r="Q960" s="28">
        <f>IF(OR($A960="",$L960=""),"",IF(AND($N960="Sí",$P960="Sí"),"OTIF","Falló"))</f>
        <v/>
      </c>
    </row>
    <row r="961" ht="16" customHeight="1">
      <c r="A961" s="48" t="n"/>
      <c r="B961" s="48" t="n"/>
      <c r="C961" s="47" t="n"/>
      <c r="D961" s="50" t="n"/>
      <c r="E961" s="50" t="n"/>
      <c r="F961" s="50" t="n"/>
      <c r="G961" s="50" t="n"/>
      <c r="H961" s="48" t="n"/>
      <c r="I961" s="51" t="n"/>
      <c r="J961" s="52" t="n"/>
      <c r="K961" s="47" t="n"/>
      <c r="L961" s="47" t="n"/>
      <c r="M961" s="24">
        <f>IF(OR($A961="",$C961=""),"",IF($L961&lt;&gt;"",$L961-$C961,TODAY()-$C961))</f>
        <v/>
      </c>
      <c r="N961" s="28">
        <f>IF(OR($A961="",$K961=""),"",IF($L961="",IF(TODAY()&gt;$K961,"Atrasado","En ruta"),IF($L961&lt;=$K961,"Sí","No")))</f>
        <v/>
      </c>
      <c r="O961" s="24">
        <f>IF($A961="","",COUNTIFS(NOVEDADES!$D$4:$D$1503,$A961))</f>
        <v/>
      </c>
      <c r="P961" s="28">
        <f>IF($A961="","",IF(COUNTIFS(NOVEDADES!$D$4:$D$1503,$A961,NOVEDADES!$O$4:$O$1503,"SÍ")&gt;0,"No","Sí"))</f>
        <v/>
      </c>
      <c r="Q961" s="28">
        <f>IF(OR($A961="",$L961=""),"",IF(AND($N961="Sí",$P961="Sí"),"OTIF","Falló"))</f>
        <v/>
      </c>
    </row>
    <row r="962" ht="16" customHeight="1">
      <c r="A962" s="48" t="n"/>
      <c r="B962" s="48" t="n"/>
      <c r="C962" s="47" t="n"/>
      <c r="D962" s="50" t="n"/>
      <c r="E962" s="50" t="n"/>
      <c r="F962" s="50" t="n"/>
      <c r="G962" s="50" t="n"/>
      <c r="H962" s="48" t="n"/>
      <c r="I962" s="51" t="n"/>
      <c r="J962" s="52" t="n"/>
      <c r="K962" s="47" t="n"/>
      <c r="L962" s="47" t="n"/>
      <c r="M962" s="24">
        <f>IF(OR($A962="",$C962=""),"",IF($L962&lt;&gt;"",$L962-$C962,TODAY()-$C962))</f>
        <v/>
      </c>
      <c r="N962" s="28">
        <f>IF(OR($A962="",$K962=""),"",IF($L962="",IF(TODAY()&gt;$K962,"Atrasado","En ruta"),IF($L962&lt;=$K962,"Sí","No")))</f>
        <v/>
      </c>
      <c r="O962" s="24">
        <f>IF($A962="","",COUNTIFS(NOVEDADES!$D$4:$D$1503,$A962))</f>
        <v/>
      </c>
      <c r="P962" s="28">
        <f>IF($A962="","",IF(COUNTIFS(NOVEDADES!$D$4:$D$1503,$A962,NOVEDADES!$O$4:$O$1503,"SÍ")&gt;0,"No","Sí"))</f>
        <v/>
      </c>
      <c r="Q962" s="28">
        <f>IF(OR($A962="",$L962=""),"",IF(AND($N962="Sí",$P962="Sí"),"OTIF","Falló"))</f>
        <v/>
      </c>
    </row>
    <row r="963" ht="16" customHeight="1">
      <c r="A963" s="48" t="n"/>
      <c r="B963" s="48" t="n"/>
      <c r="C963" s="47" t="n"/>
      <c r="D963" s="50" t="n"/>
      <c r="E963" s="50" t="n"/>
      <c r="F963" s="50" t="n"/>
      <c r="G963" s="50" t="n"/>
      <c r="H963" s="48" t="n"/>
      <c r="I963" s="51" t="n"/>
      <c r="J963" s="52" t="n"/>
      <c r="K963" s="47" t="n"/>
      <c r="L963" s="47" t="n"/>
      <c r="M963" s="24">
        <f>IF(OR($A963="",$C963=""),"",IF($L963&lt;&gt;"",$L963-$C963,TODAY()-$C963))</f>
        <v/>
      </c>
      <c r="N963" s="28">
        <f>IF(OR($A963="",$K963=""),"",IF($L963="",IF(TODAY()&gt;$K963,"Atrasado","En ruta"),IF($L963&lt;=$K963,"Sí","No")))</f>
        <v/>
      </c>
      <c r="O963" s="24">
        <f>IF($A963="","",COUNTIFS(NOVEDADES!$D$4:$D$1503,$A963))</f>
        <v/>
      </c>
      <c r="P963" s="28">
        <f>IF($A963="","",IF(COUNTIFS(NOVEDADES!$D$4:$D$1503,$A963,NOVEDADES!$O$4:$O$1503,"SÍ")&gt;0,"No","Sí"))</f>
        <v/>
      </c>
      <c r="Q963" s="28">
        <f>IF(OR($A963="",$L963=""),"",IF(AND($N963="Sí",$P963="Sí"),"OTIF","Falló"))</f>
        <v/>
      </c>
    </row>
    <row r="964" ht="16" customHeight="1">
      <c r="A964" s="48" t="n"/>
      <c r="B964" s="48" t="n"/>
      <c r="C964" s="47" t="n"/>
      <c r="D964" s="50" t="n"/>
      <c r="E964" s="50" t="n"/>
      <c r="F964" s="50" t="n"/>
      <c r="G964" s="50" t="n"/>
      <c r="H964" s="48" t="n"/>
      <c r="I964" s="51" t="n"/>
      <c r="J964" s="52" t="n"/>
      <c r="K964" s="47" t="n"/>
      <c r="L964" s="47" t="n"/>
      <c r="M964" s="24">
        <f>IF(OR($A964="",$C964=""),"",IF($L964&lt;&gt;"",$L964-$C964,TODAY()-$C964))</f>
        <v/>
      </c>
      <c r="N964" s="28">
        <f>IF(OR($A964="",$K964=""),"",IF($L964="",IF(TODAY()&gt;$K964,"Atrasado","En ruta"),IF($L964&lt;=$K964,"Sí","No")))</f>
        <v/>
      </c>
      <c r="O964" s="24">
        <f>IF($A964="","",COUNTIFS(NOVEDADES!$D$4:$D$1503,$A964))</f>
        <v/>
      </c>
      <c r="P964" s="28">
        <f>IF($A964="","",IF(COUNTIFS(NOVEDADES!$D$4:$D$1503,$A964,NOVEDADES!$O$4:$O$1503,"SÍ")&gt;0,"No","Sí"))</f>
        <v/>
      </c>
      <c r="Q964" s="28">
        <f>IF(OR($A964="",$L964=""),"",IF(AND($N964="Sí",$P964="Sí"),"OTIF","Falló"))</f>
        <v/>
      </c>
    </row>
    <row r="965" ht="16" customHeight="1">
      <c r="A965" s="48" t="n"/>
      <c r="B965" s="48" t="n"/>
      <c r="C965" s="47" t="n"/>
      <c r="D965" s="50" t="n"/>
      <c r="E965" s="50" t="n"/>
      <c r="F965" s="50" t="n"/>
      <c r="G965" s="50" t="n"/>
      <c r="H965" s="48" t="n"/>
      <c r="I965" s="51" t="n"/>
      <c r="J965" s="52" t="n"/>
      <c r="K965" s="47" t="n"/>
      <c r="L965" s="47" t="n"/>
      <c r="M965" s="24">
        <f>IF(OR($A965="",$C965=""),"",IF($L965&lt;&gt;"",$L965-$C965,TODAY()-$C965))</f>
        <v/>
      </c>
      <c r="N965" s="28">
        <f>IF(OR($A965="",$K965=""),"",IF($L965="",IF(TODAY()&gt;$K965,"Atrasado","En ruta"),IF($L965&lt;=$K965,"Sí","No")))</f>
        <v/>
      </c>
      <c r="O965" s="24">
        <f>IF($A965="","",COUNTIFS(NOVEDADES!$D$4:$D$1503,$A965))</f>
        <v/>
      </c>
      <c r="P965" s="28">
        <f>IF($A965="","",IF(COUNTIFS(NOVEDADES!$D$4:$D$1503,$A965,NOVEDADES!$O$4:$O$1503,"SÍ")&gt;0,"No","Sí"))</f>
        <v/>
      </c>
      <c r="Q965" s="28">
        <f>IF(OR($A965="",$L965=""),"",IF(AND($N965="Sí",$P965="Sí"),"OTIF","Falló"))</f>
        <v/>
      </c>
    </row>
    <row r="966" ht="16" customHeight="1">
      <c r="A966" s="48" t="n"/>
      <c r="B966" s="48" t="n"/>
      <c r="C966" s="47" t="n"/>
      <c r="D966" s="50" t="n"/>
      <c r="E966" s="50" t="n"/>
      <c r="F966" s="50" t="n"/>
      <c r="G966" s="50" t="n"/>
      <c r="H966" s="48" t="n"/>
      <c r="I966" s="51" t="n"/>
      <c r="J966" s="52" t="n"/>
      <c r="K966" s="47" t="n"/>
      <c r="L966" s="47" t="n"/>
      <c r="M966" s="24">
        <f>IF(OR($A966="",$C966=""),"",IF($L966&lt;&gt;"",$L966-$C966,TODAY()-$C966))</f>
        <v/>
      </c>
      <c r="N966" s="28">
        <f>IF(OR($A966="",$K966=""),"",IF($L966="",IF(TODAY()&gt;$K966,"Atrasado","En ruta"),IF($L966&lt;=$K966,"Sí","No")))</f>
        <v/>
      </c>
      <c r="O966" s="24">
        <f>IF($A966="","",COUNTIFS(NOVEDADES!$D$4:$D$1503,$A966))</f>
        <v/>
      </c>
      <c r="P966" s="28">
        <f>IF($A966="","",IF(COUNTIFS(NOVEDADES!$D$4:$D$1503,$A966,NOVEDADES!$O$4:$O$1503,"SÍ")&gt;0,"No","Sí"))</f>
        <v/>
      </c>
      <c r="Q966" s="28">
        <f>IF(OR($A966="",$L966=""),"",IF(AND($N966="Sí",$P966="Sí"),"OTIF","Falló"))</f>
        <v/>
      </c>
    </row>
    <row r="967" ht="16" customHeight="1">
      <c r="A967" s="48" t="n"/>
      <c r="B967" s="48" t="n"/>
      <c r="C967" s="47" t="n"/>
      <c r="D967" s="50" t="n"/>
      <c r="E967" s="50" t="n"/>
      <c r="F967" s="50" t="n"/>
      <c r="G967" s="50" t="n"/>
      <c r="H967" s="48" t="n"/>
      <c r="I967" s="51" t="n"/>
      <c r="J967" s="52" t="n"/>
      <c r="K967" s="47" t="n"/>
      <c r="L967" s="47" t="n"/>
      <c r="M967" s="24">
        <f>IF(OR($A967="",$C967=""),"",IF($L967&lt;&gt;"",$L967-$C967,TODAY()-$C967))</f>
        <v/>
      </c>
      <c r="N967" s="28">
        <f>IF(OR($A967="",$K967=""),"",IF($L967="",IF(TODAY()&gt;$K967,"Atrasado","En ruta"),IF($L967&lt;=$K967,"Sí","No")))</f>
        <v/>
      </c>
      <c r="O967" s="24">
        <f>IF($A967="","",COUNTIFS(NOVEDADES!$D$4:$D$1503,$A967))</f>
        <v/>
      </c>
      <c r="P967" s="28">
        <f>IF($A967="","",IF(COUNTIFS(NOVEDADES!$D$4:$D$1503,$A967,NOVEDADES!$O$4:$O$1503,"SÍ")&gt;0,"No","Sí"))</f>
        <v/>
      </c>
      <c r="Q967" s="28">
        <f>IF(OR($A967="",$L967=""),"",IF(AND($N967="Sí",$P967="Sí"),"OTIF","Falló"))</f>
        <v/>
      </c>
    </row>
    <row r="968" ht="16" customHeight="1">
      <c r="A968" s="48" t="n"/>
      <c r="B968" s="48" t="n"/>
      <c r="C968" s="47" t="n"/>
      <c r="D968" s="50" t="n"/>
      <c r="E968" s="50" t="n"/>
      <c r="F968" s="50" t="n"/>
      <c r="G968" s="50" t="n"/>
      <c r="H968" s="48" t="n"/>
      <c r="I968" s="51" t="n"/>
      <c r="J968" s="52" t="n"/>
      <c r="K968" s="47" t="n"/>
      <c r="L968" s="47" t="n"/>
      <c r="M968" s="24">
        <f>IF(OR($A968="",$C968=""),"",IF($L968&lt;&gt;"",$L968-$C968,TODAY()-$C968))</f>
        <v/>
      </c>
      <c r="N968" s="28">
        <f>IF(OR($A968="",$K968=""),"",IF($L968="",IF(TODAY()&gt;$K968,"Atrasado","En ruta"),IF($L968&lt;=$K968,"Sí","No")))</f>
        <v/>
      </c>
      <c r="O968" s="24">
        <f>IF($A968="","",COUNTIFS(NOVEDADES!$D$4:$D$1503,$A968))</f>
        <v/>
      </c>
      <c r="P968" s="28">
        <f>IF($A968="","",IF(COUNTIFS(NOVEDADES!$D$4:$D$1503,$A968,NOVEDADES!$O$4:$O$1503,"SÍ")&gt;0,"No","Sí"))</f>
        <v/>
      </c>
      <c r="Q968" s="28">
        <f>IF(OR($A968="",$L968=""),"",IF(AND($N968="Sí",$P968="Sí"),"OTIF","Falló"))</f>
        <v/>
      </c>
    </row>
    <row r="969" ht="16" customHeight="1">
      <c r="A969" s="48" t="n"/>
      <c r="B969" s="48" t="n"/>
      <c r="C969" s="47" t="n"/>
      <c r="D969" s="50" t="n"/>
      <c r="E969" s="50" t="n"/>
      <c r="F969" s="50" t="n"/>
      <c r="G969" s="50" t="n"/>
      <c r="H969" s="48" t="n"/>
      <c r="I969" s="51" t="n"/>
      <c r="J969" s="52" t="n"/>
      <c r="K969" s="47" t="n"/>
      <c r="L969" s="47" t="n"/>
      <c r="M969" s="24">
        <f>IF(OR($A969="",$C969=""),"",IF($L969&lt;&gt;"",$L969-$C969,TODAY()-$C969))</f>
        <v/>
      </c>
      <c r="N969" s="28">
        <f>IF(OR($A969="",$K969=""),"",IF($L969="",IF(TODAY()&gt;$K969,"Atrasado","En ruta"),IF($L969&lt;=$K969,"Sí","No")))</f>
        <v/>
      </c>
      <c r="O969" s="24">
        <f>IF($A969="","",COUNTIFS(NOVEDADES!$D$4:$D$1503,$A969))</f>
        <v/>
      </c>
      <c r="P969" s="28">
        <f>IF($A969="","",IF(COUNTIFS(NOVEDADES!$D$4:$D$1503,$A969,NOVEDADES!$O$4:$O$1503,"SÍ")&gt;0,"No","Sí"))</f>
        <v/>
      </c>
      <c r="Q969" s="28">
        <f>IF(OR($A969="",$L969=""),"",IF(AND($N969="Sí",$P969="Sí"),"OTIF","Falló"))</f>
        <v/>
      </c>
    </row>
    <row r="970" ht="16" customHeight="1">
      <c r="A970" s="48" t="n"/>
      <c r="B970" s="48" t="n"/>
      <c r="C970" s="47" t="n"/>
      <c r="D970" s="50" t="n"/>
      <c r="E970" s="50" t="n"/>
      <c r="F970" s="50" t="n"/>
      <c r="G970" s="50" t="n"/>
      <c r="H970" s="48" t="n"/>
      <c r="I970" s="51" t="n"/>
      <c r="J970" s="52" t="n"/>
      <c r="K970" s="47" t="n"/>
      <c r="L970" s="47" t="n"/>
      <c r="M970" s="24">
        <f>IF(OR($A970="",$C970=""),"",IF($L970&lt;&gt;"",$L970-$C970,TODAY()-$C970))</f>
        <v/>
      </c>
      <c r="N970" s="28">
        <f>IF(OR($A970="",$K970=""),"",IF($L970="",IF(TODAY()&gt;$K970,"Atrasado","En ruta"),IF($L970&lt;=$K970,"Sí","No")))</f>
        <v/>
      </c>
      <c r="O970" s="24">
        <f>IF($A970="","",COUNTIFS(NOVEDADES!$D$4:$D$1503,$A970))</f>
        <v/>
      </c>
      <c r="P970" s="28">
        <f>IF($A970="","",IF(COUNTIFS(NOVEDADES!$D$4:$D$1503,$A970,NOVEDADES!$O$4:$O$1503,"SÍ")&gt;0,"No","Sí"))</f>
        <v/>
      </c>
      <c r="Q970" s="28">
        <f>IF(OR($A970="",$L970=""),"",IF(AND($N970="Sí",$P970="Sí"),"OTIF","Falló"))</f>
        <v/>
      </c>
    </row>
    <row r="971" ht="16" customHeight="1">
      <c r="A971" s="48" t="n"/>
      <c r="B971" s="48" t="n"/>
      <c r="C971" s="47" t="n"/>
      <c r="D971" s="50" t="n"/>
      <c r="E971" s="50" t="n"/>
      <c r="F971" s="50" t="n"/>
      <c r="G971" s="50" t="n"/>
      <c r="H971" s="48" t="n"/>
      <c r="I971" s="51" t="n"/>
      <c r="J971" s="52" t="n"/>
      <c r="K971" s="47" t="n"/>
      <c r="L971" s="47" t="n"/>
      <c r="M971" s="24">
        <f>IF(OR($A971="",$C971=""),"",IF($L971&lt;&gt;"",$L971-$C971,TODAY()-$C971))</f>
        <v/>
      </c>
      <c r="N971" s="28">
        <f>IF(OR($A971="",$K971=""),"",IF($L971="",IF(TODAY()&gt;$K971,"Atrasado","En ruta"),IF($L971&lt;=$K971,"Sí","No")))</f>
        <v/>
      </c>
      <c r="O971" s="24">
        <f>IF($A971="","",COUNTIFS(NOVEDADES!$D$4:$D$1503,$A971))</f>
        <v/>
      </c>
      <c r="P971" s="28">
        <f>IF($A971="","",IF(COUNTIFS(NOVEDADES!$D$4:$D$1503,$A971,NOVEDADES!$O$4:$O$1503,"SÍ")&gt;0,"No","Sí"))</f>
        <v/>
      </c>
      <c r="Q971" s="28">
        <f>IF(OR($A971="",$L971=""),"",IF(AND($N971="Sí",$P971="Sí"),"OTIF","Falló"))</f>
        <v/>
      </c>
    </row>
    <row r="972" ht="16" customHeight="1">
      <c r="A972" s="48" t="n"/>
      <c r="B972" s="48" t="n"/>
      <c r="C972" s="47" t="n"/>
      <c r="D972" s="50" t="n"/>
      <c r="E972" s="50" t="n"/>
      <c r="F972" s="50" t="n"/>
      <c r="G972" s="50" t="n"/>
      <c r="H972" s="48" t="n"/>
      <c r="I972" s="51" t="n"/>
      <c r="J972" s="52" t="n"/>
      <c r="K972" s="47" t="n"/>
      <c r="L972" s="47" t="n"/>
      <c r="M972" s="24">
        <f>IF(OR($A972="",$C972=""),"",IF($L972&lt;&gt;"",$L972-$C972,TODAY()-$C972))</f>
        <v/>
      </c>
      <c r="N972" s="28">
        <f>IF(OR($A972="",$K972=""),"",IF($L972="",IF(TODAY()&gt;$K972,"Atrasado","En ruta"),IF($L972&lt;=$K972,"Sí","No")))</f>
        <v/>
      </c>
      <c r="O972" s="24">
        <f>IF($A972="","",COUNTIFS(NOVEDADES!$D$4:$D$1503,$A972))</f>
        <v/>
      </c>
      <c r="P972" s="28">
        <f>IF($A972="","",IF(COUNTIFS(NOVEDADES!$D$4:$D$1503,$A972,NOVEDADES!$O$4:$O$1503,"SÍ")&gt;0,"No","Sí"))</f>
        <v/>
      </c>
      <c r="Q972" s="28">
        <f>IF(OR($A972="",$L972=""),"",IF(AND($N972="Sí",$P972="Sí"),"OTIF","Falló"))</f>
        <v/>
      </c>
    </row>
    <row r="973" ht="16" customHeight="1">
      <c r="A973" s="48" t="n"/>
      <c r="B973" s="48" t="n"/>
      <c r="C973" s="47" t="n"/>
      <c r="D973" s="50" t="n"/>
      <c r="E973" s="50" t="n"/>
      <c r="F973" s="50" t="n"/>
      <c r="G973" s="50" t="n"/>
      <c r="H973" s="48" t="n"/>
      <c r="I973" s="51" t="n"/>
      <c r="J973" s="52" t="n"/>
      <c r="K973" s="47" t="n"/>
      <c r="L973" s="47" t="n"/>
      <c r="M973" s="24">
        <f>IF(OR($A973="",$C973=""),"",IF($L973&lt;&gt;"",$L973-$C973,TODAY()-$C973))</f>
        <v/>
      </c>
      <c r="N973" s="28">
        <f>IF(OR($A973="",$K973=""),"",IF($L973="",IF(TODAY()&gt;$K973,"Atrasado","En ruta"),IF($L973&lt;=$K973,"Sí","No")))</f>
        <v/>
      </c>
      <c r="O973" s="24">
        <f>IF($A973="","",COUNTIFS(NOVEDADES!$D$4:$D$1503,$A973))</f>
        <v/>
      </c>
      <c r="P973" s="28">
        <f>IF($A973="","",IF(COUNTIFS(NOVEDADES!$D$4:$D$1503,$A973,NOVEDADES!$O$4:$O$1503,"SÍ")&gt;0,"No","Sí"))</f>
        <v/>
      </c>
      <c r="Q973" s="28">
        <f>IF(OR($A973="",$L973=""),"",IF(AND($N973="Sí",$P973="Sí"),"OTIF","Falló"))</f>
        <v/>
      </c>
    </row>
    <row r="974" ht="16" customHeight="1">
      <c r="A974" s="48" t="n"/>
      <c r="B974" s="48" t="n"/>
      <c r="C974" s="47" t="n"/>
      <c r="D974" s="50" t="n"/>
      <c r="E974" s="50" t="n"/>
      <c r="F974" s="50" t="n"/>
      <c r="G974" s="50" t="n"/>
      <c r="H974" s="48" t="n"/>
      <c r="I974" s="51" t="n"/>
      <c r="J974" s="52" t="n"/>
      <c r="K974" s="47" t="n"/>
      <c r="L974" s="47" t="n"/>
      <c r="M974" s="24">
        <f>IF(OR($A974="",$C974=""),"",IF($L974&lt;&gt;"",$L974-$C974,TODAY()-$C974))</f>
        <v/>
      </c>
      <c r="N974" s="28">
        <f>IF(OR($A974="",$K974=""),"",IF($L974="",IF(TODAY()&gt;$K974,"Atrasado","En ruta"),IF($L974&lt;=$K974,"Sí","No")))</f>
        <v/>
      </c>
      <c r="O974" s="24">
        <f>IF($A974="","",COUNTIFS(NOVEDADES!$D$4:$D$1503,$A974))</f>
        <v/>
      </c>
      <c r="P974" s="28">
        <f>IF($A974="","",IF(COUNTIFS(NOVEDADES!$D$4:$D$1503,$A974,NOVEDADES!$O$4:$O$1503,"SÍ")&gt;0,"No","Sí"))</f>
        <v/>
      </c>
      <c r="Q974" s="28">
        <f>IF(OR($A974="",$L974=""),"",IF(AND($N974="Sí",$P974="Sí"),"OTIF","Falló"))</f>
        <v/>
      </c>
    </row>
    <row r="975" ht="16" customHeight="1">
      <c r="A975" s="48" t="n"/>
      <c r="B975" s="48" t="n"/>
      <c r="C975" s="47" t="n"/>
      <c r="D975" s="50" t="n"/>
      <c r="E975" s="50" t="n"/>
      <c r="F975" s="50" t="n"/>
      <c r="G975" s="50" t="n"/>
      <c r="H975" s="48" t="n"/>
      <c r="I975" s="51" t="n"/>
      <c r="J975" s="52" t="n"/>
      <c r="K975" s="47" t="n"/>
      <c r="L975" s="47" t="n"/>
      <c r="M975" s="24">
        <f>IF(OR($A975="",$C975=""),"",IF($L975&lt;&gt;"",$L975-$C975,TODAY()-$C975))</f>
        <v/>
      </c>
      <c r="N975" s="28">
        <f>IF(OR($A975="",$K975=""),"",IF($L975="",IF(TODAY()&gt;$K975,"Atrasado","En ruta"),IF($L975&lt;=$K975,"Sí","No")))</f>
        <v/>
      </c>
      <c r="O975" s="24">
        <f>IF($A975="","",COUNTIFS(NOVEDADES!$D$4:$D$1503,$A975))</f>
        <v/>
      </c>
      <c r="P975" s="28">
        <f>IF($A975="","",IF(COUNTIFS(NOVEDADES!$D$4:$D$1503,$A975,NOVEDADES!$O$4:$O$1503,"SÍ")&gt;0,"No","Sí"))</f>
        <v/>
      </c>
      <c r="Q975" s="28">
        <f>IF(OR($A975="",$L975=""),"",IF(AND($N975="Sí",$P975="Sí"),"OTIF","Falló"))</f>
        <v/>
      </c>
    </row>
    <row r="976" ht="16" customHeight="1">
      <c r="A976" s="48" t="n"/>
      <c r="B976" s="48" t="n"/>
      <c r="C976" s="47" t="n"/>
      <c r="D976" s="50" t="n"/>
      <c r="E976" s="50" t="n"/>
      <c r="F976" s="50" t="n"/>
      <c r="G976" s="50" t="n"/>
      <c r="H976" s="48" t="n"/>
      <c r="I976" s="51" t="n"/>
      <c r="J976" s="52" t="n"/>
      <c r="K976" s="47" t="n"/>
      <c r="L976" s="47" t="n"/>
      <c r="M976" s="24">
        <f>IF(OR($A976="",$C976=""),"",IF($L976&lt;&gt;"",$L976-$C976,TODAY()-$C976))</f>
        <v/>
      </c>
      <c r="N976" s="28">
        <f>IF(OR($A976="",$K976=""),"",IF($L976="",IF(TODAY()&gt;$K976,"Atrasado","En ruta"),IF($L976&lt;=$K976,"Sí","No")))</f>
        <v/>
      </c>
      <c r="O976" s="24">
        <f>IF($A976="","",COUNTIFS(NOVEDADES!$D$4:$D$1503,$A976))</f>
        <v/>
      </c>
      <c r="P976" s="28">
        <f>IF($A976="","",IF(COUNTIFS(NOVEDADES!$D$4:$D$1503,$A976,NOVEDADES!$O$4:$O$1503,"SÍ")&gt;0,"No","Sí"))</f>
        <v/>
      </c>
      <c r="Q976" s="28">
        <f>IF(OR($A976="",$L976=""),"",IF(AND($N976="Sí",$P976="Sí"),"OTIF","Falló"))</f>
        <v/>
      </c>
    </row>
    <row r="977" ht="16" customHeight="1">
      <c r="A977" s="48" t="n"/>
      <c r="B977" s="48" t="n"/>
      <c r="C977" s="47" t="n"/>
      <c r="D977" s="50" t="n"/>
      <c r="E977" s="50" t="n"/>
      <c r="F977" s="50" t="n"/>
      <c r="G977" s="50" t="n"/>
      <c r="H977" s="48" t="n"/>
      <c r="I977" s="51" t="n"/>
      <c r="J977" s="52" t="n"/>
      <c r="K977" s="47" t="n"/>
      <c r="L977" s="47" t="n"/>
      <c r="M977" s="24">
        <f>IF(OR($A977="",$C977=""),"",IF($L977&lt;&gt;"",$L977-$C977,TODAY()-$C977))</f>
        <v/>
      </c>
      <c r="N977" s="28">
        <f>IF(OR($A977="",$K977=""),"",IF($L977="",IF(TODAY()&gt;$K977,"Atrasado","En ruta"),IF($L977&lt;=$K977,"Sí","No")))</f>
        <v/>
      </c>
      <c r="O977" s="24">
        <f>IF($A977="","",COUNTIFS(NOVEDADES!$D$4:$D$1503,$A977))</f>
        <v/>
      </c>
      <c r="P977" s="28">
        <f>IF($A977="","",IF(COUNTIFS(NOVEDADES!$D$4:$D$1503,$A977,NOVEDADES!$O$4:$O$1503,"SÍ")&gt;0,"No","Sí"))</f>
        <v/>
      </c>
      <c r="Q977" s="28">
        <f>IF(OR($A977="",$L977=""),"",IF(AND($N977="Sí",$P977="Sí"),"OTIF","Falló"))</f>
        <v/>
      </c>
    </row>
    <row r="978" ht="16" customHeight="1">
      <c r="A978" s="48" t="n"/>
      <c r="B978" s="48" t="n"/>
      <c r="C978" s="47" t="n"/>
      <c r="D978" s="50" t="n"/>
      <c r="E978" s="50" t="n"/>
      <c r="F978" s="50" t="n"/>
      <c r="G978" s="50" t="n"/>
      <c r="H978" s="48" t="n"/>
      <c r="I978" s="51" t="n"/>
      <c r="J978" s="52" t="n"/>
      <c r="K978" s="47" t="n"/>
      <c r="L978" s="47" t="n"/>
      <c r="M978" s="24">
        <f>IF(OR($A978="",$C978=""),"",IF($L978&lt;&gt;"",$L978-$C978,TODAY()-$C978))</f>
        <v/>
      </c>
      <c r="N978" s="28">
        <f>IF(OR($A978="",$K978=""),"",IF($L978="",IF(TODAY()&gt;$K978,"Atrasado","En ruta"),IF($L978&lt;=$K978,"Sí","No")))</f>
        <v/>
      </c>
      <c r="O978" s="24">
        <f>IF($A978="","",COUNTIFS(NOVEDADES!$D$4:$D$1503,$A978))</f>
        <v/>
      </c>
      <c r="P978" s="28">
        <f>IF($A978="","",IF(COUNTIFS(NOVEDADES!$D$4:$D$1503,$A978,NOVEDADES!$O$4:$O$1503,"SÍ")&gt;0,"No","Sí"))</f>
        <v/>
      </c>
      <c r="Q978" s="28">
        <f>IF(OR($A978="",$L978=""),"",IF(AND($N978="Sí",$P978="Sí"),"OTIF","Falló"))</f>
        <v/>
      </c>
    </row>
    <row r="979" ht="16" customHeight="1">
      <c r="A979" s="48" t="n"/>
      <c r="B979" s="48" t="n"/>
      <c r="C979" s="47" t="n"/>
      <c r="D979" s="50" t="n"/>
      <c r="E979" s="50" t="n"/>
      <c r="F979" s="50" t="n"/>
      <c r="G979" s="50" t="n"/>
      <c r="H979" s="48" t="n"/>
      <c r="I979" s="51" t="n"/>
      <c r="J979" s="52" t="n"/>
      <c r="K979" s="47" t="n"/>
      <c r="L979" s="47" t="n"/>
      <c r="M979" s="24">
        <f>IF(OR($A979="",$C979=""),"",IF($L979&lt;&gt;"",$L979-$C979,TODAY()-$C979))</f>
        <v/>
      </c>
      <c r="N979" s="28">
        <f>IF(OR($A979="",$K979=""),"",IF($L979="",IF(TODAY()&gt;$K979,"Atrasado","En ruta"),IF($L979&lt;=$K979,"Sí","No")))</f>
        <v/>
      </c>
      <c r="O979" s="24">
        <f>IF($A979="","",COUNTIFS(NOVEDADES!$D$4:$D$1503,$A979))</f>
        <v/>
      </c>
      <c r="P979" s="28">
        <f>IF($A979="","",IF(COUNTIFS(NOVEDADES!$D$4:$D$1503,$A979,NOVEDADES!$O$4:$O$1503,"SÍ")&gt;0,"No","Sí"))</f>
        <v/>
      </c>
      <c r="Q979" s="28">
        <f>IF(OR($A979="",$L979=""),"",IF(AND($N979="Sí",$P979="Sí"),"OTIF","Falló"))</f>
        <v/>
      </c>
    </row>
    <row r="980" ht="16" customHeight="1">
      <c r="A980" s="48" t="n"/>
      <c r="B980" s="48" t="n"/>
      <c r="C980" s="47" t="n"/>
      <c r="D980" s="50" t="n"/>
      <c r="E980" s="50" t="n"/>
      <c r="F980" s="50" t="n"/>
      <c r="G980" s="50" t="n"/>
      <c r="H980" s="48" t="n"/>
      <c r="I980" s="51" t="n"/>
      <c r="J980" s="52" t="n"/>
      <c r="K980" s="47" t="n"/>
      <c r="L980" s="47" t="n"/>
      <c r="M980" s="24">
        <f>IF(OR($A980="",$C980=""),"",IF($L980&lt;&gt;"",$L980-$C980,TODAY()-$C980))</f>
        <v/>
      </c>
      <c r="N980" s="28">
        <f>IF(OR($A980="",$K980=""),"",IF($L980="",IF(TODAY()&gt;$K980,"Atrasado","En ruta"),IF($L980&lt;=$K980,"Sí","No")))</f>
        <v/>
      </c>
      <c r="O980" s="24">
        <f>IF($A980="","",COUNTIFS(NOVEDADES!$D$4:$D$1503,$A980))</f>
        <v/>
      </c>
      <c r="P980" s="28">
        <f>IF($A980="","",IF(COUNTIFS(NOVEDADES!$D$4:$D$1503,$A980,NOVEDADES!$O$4:$O$1503,"SÍ")&gt;0,"No","Sí"))</f>
        <v/>
      </c>
      <c r="Q980" s="28">
        <f>IF(OR($A980="",$L980=""),"",IF(AND($N980="Sí",$P980="Sí"),"OTIF","Falló"))</f>
        <v/>
      </c>
    </row>
    <row r="981" ht="16" customHeight="1">
      <c r="A981" s="48" t="n"/>
      <c r="B981" s="48" t="n"/>
      <c r="C981" s="47" t="n"/>
      <c r="D981" s="50" t="n"/>
      <c r="E981" s="50" t="n"/>
      <c r="F981" s="50" t="n"/>
      <c r="G981" s="50" t="n"/>
      <c r="H981" s="48" t="n"/>
      <c r="I981" s="51" t="n"/>
      <c r="J981" s="52" t="n"/>
      <c r="K981" s="47" t="n"/>
      <c r="L981" s="47" t="n"/>
      <c r="M981" s="24">
        <f>IF(OR($A981="",$C981=""),"",IF($L981&lt;&gt;"",$L981-$C981,TODAY()-$C981))</f>
        <v/>
      </c>
      <c r="N981" s="28">
        <f>IF(OR($A981="",$K981=""),"",IF($L981="",IF(TODAY()&gt;$K981,"Atrasado","En ruta"),IF($L981&lt;=$K981,"Sí","No")))</f>
        <v/>
      </c>
      <c r="O981" s="24">
        <f>IF($A981="","",COUNTIFS(NOVEDADES!$D$4:$D$1503,$A981))</f>
        <v/>
      </c>
      <c r="P981" s="28">
        <f>IF($A981="","",IF(COUNTIFS(NOVEDADES!$D$4:$D$1503,$A981,NOVEDADES!$O$4:$O$1503,"SÍ")&gt;0,"No","Sí"))</f>
        <v/>
      </c>
      <c r="Q981" s="28">
        <f>IF(OR($A981="",$L981=""),"",IF(AND($N981="Sí",$P981="Sí"),"OTIF","Falló"))</f>
        <v/>
      </c>
    </row>
    <row r="982" ht="16" customHeight="1">
      <c r="A982" s="48" t="n"/>
      <c r="B982" s="48" t="n"/>
      <c r="C982" s="47" t="n"/>
      <c r="D982" s="50" t="n"/>
      <c r="E982" s="50" t="n"/>
      <c r="F982" s="50" t="n"/>
      <c r="G982" s="50" t="n"/>
      <c r="H982" s="48" t="n"/>
      <c r="I982" s="51" t="n"/>
      <c r="J982" s="52" t="n"/>
      <c r="K982" s="47" t="n"/>
      <c r="L982" s="47" t="n"/>
      <c r="M982" s="24">
        <f>IF(OR($A982="",$C982=""),"",IF($L982&lt;&gt;"",$L982-$C982,TODAY()-$C982))</f>
        <v/>
      </c>
      <c r="N982" s="28">
        <f>IF(OR($A982="",$K982=""),"",IF($L982="",IF(TODAY()&gt;$K982,"Atrasado","En ruta"),IF($L982&lt;=$K982,"Sí","No")))</f>
        <v/>
      </c>
      <c r="O982" s="24">
        <f>IF($A982="","",COUNTIFS(NOVEDADES!$D$4:$D$1503,$A982))</f>
        <v/>
      </c>
      <c r="P982" s="28">
        <f>IF($A982="","",IF(COUNTIFS(NOVEDADES!$D$4:$D$1503,$A982,NOVEDADES!$O$4:$O$1503,"SÍ")&gt;0,"No","Sí"))</f>
        <v/>
      </c>
      <c r="Q982" s="28">
        <f>IF(OR($A982="",$L982=""),"",IF(AND($N982="Sí",$P982="Sí"),"OTIF","Falló"))</f>
        <v/>
      </c>
    </row>
    <row r="983" ht="16" customHeight="1">
      <c r="A983" s="48" t="n"/>
      <c r="B983" s="48" t="n"/>
      <c r="C983" s="47" t="n"/>
      <c r="D983" s="50" t="n"/>
      <c r="E983" s="50" t="n"/>
      <c r="F983" s="50" t="n"/>
      <c r="G983" s="50" t="n"/>
      <c r="H983" s="48" t="n"/>
      <c r="I983" s="51" t="n"/>
      <c r="J983" s="52" t="n"/>
      <c r="K983" s="47" t="n"/>
      <c r="L983" s="47" t="n"/>
      <c r="M983" s="24">
        <f>IF(OR($A983="",$C983=""),"",IF($L983&lt;&gt;"",$L983-$C983,TODAY()-$C983))</f>
        <v/>
      </c>
      <c r="N983" s="28">
        <f>IF(OR($A983="",$K983=""),"",IF($L983="",IF(TODAY()&gt;$K983,"Atrasado","En ruta"),IF($L983&lt;=$K983,"Sí","No")))</f>
        <v/>
      </c>
      <c r="O983" s="24">
        <f>IF($A983="","",COUNTIFS(NOVEDADES!$D$4:$D$1503,$A983))</f>
        <v/>
      </c>
      <c r="P983" s="28">
        <f>IF($A983="","",IF(COUNTIFS(NOVEDADES!$D$4:$D$1503,$A983,NOVEDADES!$O$4:$O$1503,"SÍ")&gt;0,"No","Sí"))</f>
        <v/>
      </c>
      <c r="Q983" s="28">
        <f>IF(OR($A983="",$L983=""),"",IF(AND($N983="Sí",$P983="Sí"),"OTIF","Falló"))</f>
        <v/>
      </c>
    </row>
    <row r="984" ht="16" customHeight="1">
      <c r="A984" s="48" t="n"/>
      <c r="B984" s="48" t="n"/>
      <c r="C984" s="47" t="n"/>
      <c r="D984" s="50" t="n"/>
      <c r="E984" s="50" t="n"/>
      <c r="F984" s="50" t="n"/>
      <c r="G984" s="50" t="n"/>
      <c r="H984" s="48" t="n"/>
      <c r="I984" s="51" t="n"/>
      <c r="J984" s="52" t="n"/>
      <c r="K984" s="47" t="n"/>
      <c r="L984" s="47" t="n"/>
      <c r="M984" s="24">
        <f>IF(OR($A984="",$C984=""),"",IF($L984&lt;&gt;"",$L984-$C984,TODAY()-$C984))</f>
        <v/>
      </c>
      <c r="N984" s="28">
        <f>IF(OR($A984="",$K984=""),"",IF($L984="",IF(TODAY()&gt;$K984,"Atrasado","En ruta"),IF($L984&lt;=$K984,"Sí","No")))</f>
        <v/>
      </c>
      <c r="O984" s="24">
        <f>IF($A984="","",COUNTIFS(NOVEDADES!$D$4:$D$1503,$A984))</f>
        <v/>
      </c>
      <c r="P984" s="28">
        <f>IF($A984="","",IF(COUNTIFS(NOVEDADES!$D$4:$D$1503,$A984,NOVEDADES!$O$4:$O$1503,"SÍ")&gt;0,"No","Sí"))</f>
        <v/>
      </c>
      <c r="Q984" s="28">
        <f>IF(OR($A984="",$L984=""),"",IF(AND($N984="Sí",$P984="Sí"),"OTIF","Falló"))</f>
        <v/>
      </c>
    </row>
    <row r="985" ht="16" customHeight="1">
      <c r="A985" s="48" t="n"/>
      <c r="B985" s="48" t="n"/>
      <c r="C985" s="47" t="n"/>
      <c r="D985" s="50" t="n"/>
      <c r="E985" s="50" t="n"/>
      <c r="F985" s="50" t="n"/>
      <c r="G985" s="50" t="n"/>
      <c r="H985" s="48" t="n"/>
      <c r="I985" s="51" t="n"/>
      <c r="J985" s="52" t="n"/>
      <c r="K985" s="47" t="n"/>
      <c r="L985" s="47" t="n"/>
      <c r="M985" s="24">
        <f>IF(OR($A985="",$C985=""),"",IF($L985&lt;&gt;"",$L985-$C985,TODAY()-$C985))</f>
        <v/>
      </c>
      <c r="N985" s="28">
        <f>IF(OR($A985="",$K985=""),"",IF($L985="",IF(TODAY()&gt;$K985,"Atrasado","En ruta"),IF($L985&lt;=$K985,"Sí","No")))</f>
        <v/>
      </c>
      <c r="O985" s="24">
        <f>IF($A985="","",COUNTIFS(NOVEDADES!$D$4:$D$1503,$A985))</f>
        <v/>
      </c>
      <c r="P985" s="28">
        <f>IF($A985="","",IF(COUNTIFS(NOVEDADES!$D$4:$D$1503,$A985,NOVEDADES!$O$4:$O$1503,"SÍ")&gt;0,"No","Sí"))</f>
        <v/>
      </c>
      <c r="Q985" s="28">
        <f>IF(OR($A985="",$L985=""),"",IF(AND($N985="Sí",$P985="Sí"),"OTIF","Falló"))</f>
        <v/>
      </c>
    </row>
    <row r="986" ht="16" customHeight="1">
      <c r="A986" s="48" t="n"/>
      <c r="B986" s="48" t="n"/>
      <c r="C986" s="47" t="n"/>
      <c r="D986" s="50" t="n"/>
      <c r="E986" s="50" t="n"/>
      <c r="F986" s="50" t="n"/>
      <c r="G986" s="50" t="n"/>
      <c r="H986" s="48" t="n"/>
      <c r="I986" s="51" t="n"/>
      <c r="J986" s="52" t="n"/>
      <c r="K986" s="47" t="n"/>
      <c r="L986" s="47" t="n"/>
      <c r="M986" s="24">
        <f>IF(OR($A986="",$C986=""),"",IF($L986&lt;&gt;"",$L986-$C986,TODAY()-$C986))</f>
        <v/>
      </c>
      <c r="N986" s="28">
        <f>IF(OR($A986="",$K986=""),"",IF($L986="",IF(TODAY()&gt;$K986,"Atrasado","En ruta"),IF($L986&lt;=$K986,"Sí","No")))</f>
        <v/>
      </c>
      <c r="O986" s="24">
        <f>IF($A986="","",COUNTIFS(NOVEDADES!$D$4:$D$1503,$A986))</f>
        <v/>
      </c>
      <c r="P986" s="28">
        <f>IF($A986="","",IF(COUNTIFS(NOVEDADES!$D$4:$D$1503,$A986,NOVEDADES!$O$4:$O$1503,"SÍ")&gt;0,"No","Sí"))</f>
        <v/>
      </c>
      <c r="Q986" s="28">
        <f>IF(OR($A986="",$L986=""),"",IF(AND($N986="Sí",$P986="Sí"),"OTIF","Falló"))</f>
        <v/>
      </c>
    </row>
    <row r="987" ht="16" customHeight="1">
      <c r="A987" s="48" t="n"/>
      <c r="B987" s="48" t="n"/>
      <c r="C987" s="47" t="n"/>
      <c r="D987" s="50" t="n"/>
      <c r="E987" s="50" t="n"/>
      <c r="F987" s="50" t="n"/>
      <c r="G987" s="50" t="n"/>
      <c r="H987" s="48" t="n"/>
      <c r="I987" s="51" t="n"/>
      <c r="J987" s="52" t="n"/>
      <c r="K987" s="47" t="n"/>
      <c r="L987" s="47" t="n"/>
      <c r="M987" s="24">
        <f>IF(OR($A987="",$C987=""),"",IF($L987&lt;&gt;"",$L987-$C987,TODAY()-$C987))</f>
        <v/>
      </c>
      <c r="N987" s="28">
        <f>IF(OR($A987="",$K987=""),"",IF($L987="",IF(TODAY()&gt;$K987,"Atrasado","En ruta"),IF($L987&lt;=$K987,"Sí","No")))</f>
        <v/>
      </c>
      <c r="O987" s="24">
        <f>IF($A987="","",COUNTIFS(NOVEDADES!$D$4:$D$1503,$A987))</f>
        <v/>
      </c>
      <c r="P987" s="28">
        <f>IF($A987="","",IF(COUNTIFS(NOVEDADES!$D$4:$D$1503,$A987,NOVEDADES!$O$4:$O$1503,"SÍ")&gt;0,"No","Sí"))</f>
        <v/>
      </c>
      <c r="Q987" s="28">
        <f>IF(OR($A987="",$L987=""),"",IF(AND($N987="Sí",$P987="Sí"),"OTIF","Falló"))</f>
        <v/>
      </c>
    </row>
    <row r="988" ht="16" customHeight="1">
      <c r="A988" s="48" t="n"/>
      <c r="B988" s="48" t="n"/>
      <c r="C988" s="47" t="n"/>
      <c r="D988" s="50" t="n"/>
      <c r="E988" s="50" t="n"/>
      <c r="F988" s="50" t="n"/>
      <c r="G988" s="50" t="n"/>
      <c r="H988" s="48" t="n"/>
      <c r="I988" s="51" t="n"/>
      <c r="J988" s="52" t="n"/>
      <c r="K988" s="47" t="n"/>
      <c r="L988" s="47" t="n"/>
      <c r="M988" s="24">
        <f>IF(OR($A988="",$C988=""),"",IF($L988&lt;&gt;"",$L988-$C988,TODAY()-$C988))</f>
        <v/>
      </c>
      <c r="N988" s="28">
        <f>IF(OR($A988="",$K988=""),"",IF($L988="",IF(TODAY()&gt;$K988,"Atrasado","En ruta"),IF($L988&lt;=$K988,"Sí","No")))</f>
        <v/>
      </c>
      <c r="O988" s="24">
        <f>IF($A988="","",COUNTIFS(NOVEDADES!$D$4:$D$1503,$A988))</f>
        <v/>
      </c>
      <c r="P988" s="28">
        <f>IF($A988="","",IF(COUNTIFS(NOVEDADES!$D$4:$D$1503,$A988,NOVEDADES!$O$4:$O$1503,"SÍ")&gt;0,"No","Sí"))</f>
        <v/>
      </c>
      <c r="Q988" s="28">
        <f>IF(OR($A988="",$L988=""),"",IF(AND($N988="Sí",$P988="Sí"),"OTIF","Falló"))</f>
        <v/>
      </c>
    </row>
    <row r="989" ht="16" customHeight="1">
      <c r="A989" s="48" t="n"/>
      <c r="B989" s="48" t="n"/>
      <c r="C989" s="47" t="n"/>
      <c r="D989" s="50" t="n"/>
      <c r="E989" s="50" t="n"/>
      <c r="F989" s="50" t="n"/>
      <c r="G989" s="50" t="n"/>
      <c r="H989" s="48" t="n"/>
      <c r="I989" s="51" t="n"/>
      <c r="J989" s="52" t="n"/>
      <c r="K989" s="47" t="n"/>
      <c r="L989" s="47" t="n"/>
      <c r="M989" s="24">
        <f>IF(OR($A989="",$C989=""),"",IF($L989&lt;&gt;"",$L989-$C989,TODAY()-$C989))</f>
        <v/>
      </c>
      <c r="N989" s="28">
        <f>IF(OR($A989="",$K989=""),"",IF($L989="",IF(TODAY()&gt;$K989,"Atrasado","En ruta"),IF($L989&lt;=$K989,"Sí","No")))</f>
        <v/>
      </c>
      <c r="O989" s="24">
        <f>IF($A989="","",COUNTIFS(NOVEDADES!$D$4:$D$1503,$A989))</f>
        <v/>
      </c>
      <c r="P989" s="28">
        <f>IF($A989="","",IF(COUNTIFS(NOVEDADES!$D$4:$D$1503,$A989,NOVEDADES!$O$4:$O$1503,"SÍ")&gt;0,"No","Sí"))</f>
        <v/>
      </c>
      <c r="Q989" s="28">
        <f>IF(OR($A989="",$L989=""),"",IF(AND($N989="Sí",$P989="Sí"),"OTIF","Falló"))</f>
        <v/>
      </c>
    </row>
    <row r="990" ht="16" customHeight="1">
      <c r="A990" s="48" t="n"/>
      <c r="B990" s="48" t="n"/>
      <c r="C990" s="47" t="n"/>
      <c r="D990" s="50" t="n"/>
      <c r="E990" s="50" t="n"/>
      <c r="F990" s="50" t="n"/>
      <c r="G990" s="50" t="n"/>
      <c r="H990" s="48" t="n"/>
      <c r="I990" s="51" t="n"/>
      <c r="J990" s="52" t="n"/>
      <c r="K990" s="47" t="n"/>
      <c r="L990" s="47" t="n"/>
      <c r="M990" s="24">
        <f>IF(OR($A990="",$C990=""),"",IF($L990&lt;&gt;"",$L990-$C990,TODAY()-$C990))</f>
        <v/>
      </c>
      <c r="N990" s="28">
        <f>IF(OR($A990="",$K990=""),"",IF($L990="",IF(TODAY()&gt;$K990,"Atrasado","En ruta"),IF($L990&lt;=$K990,"Sí","No")))</f>
        <v/>
      </c>
      <c r="O990" s="24">
        <f>IF($A990="","",COUNTIFS(NOVEDADES!$D$4:$D$1503,$A990))</f>
        <v/>
      </c>
      <c r="P990" s="28">
        <f>IF($A990="","",IF(COUNTIFS(NOVEDADES!$D$4:$D$1503,$A990,NOVEDADES!$O$4:$O$1503,"SÍ")&gt;0,"No","Sí"))</f>
        <v/>
      </c>
      <c r="Q990" s="28">
        <f>IF(OR($A990="",$L990=""),"",IF(AND($N990="Sí",$P990="Sí"),"OTIF","Falló"))</f>
        <v/>
      </c>
    </row>
    <row r="991" ht="16" customHeight="1">
      <c r="A991" s="48" t="n"/>
      <c r="B991" s="48" t="n"/>
      <c r="C991" s="47" t="n"/>
      <c r="D991" s="50" t="n"/>
      <c r="E991" s="50" t="n"/>
      <c r="F991" s="50" t="n"/>
      <c r="G991" s="50" t="n"/>
      <c r="H991" s="48" t="n"/>
      <c r="I991" s="51" t="n"/>
      <c r="J991" s="52" t="n"/>
      <c r="K991" s="47" t="n"/>
      <c r="L991" s="47" t="n"/>
      <c r="M991" s="24">
        <f>IF(OR($A991="",$C991=""),"",IF($L991&lt;&gt;"",$L991-$C991,TODAY()-$C991))</f>
        <v/>
      </c>
      <c r="N991" s="28">
        <f>IF(OR($A991="",$K991=""),"",IF($L991="",IF(TODAY()&gt;$K991,"Atrasado","En ruta"),IF($L991&lt;=$K991,"Sí","No")))</f>
        <v/>
      </c>
      <c r="O991" s="24">
        <f>IF($A991="","",COUNTIFS(NOVEDADES!$D$4:$D$1503,$A991))</f>
        <v/>
      </c>
      <c r="P991" s="28">
        <f>IF($A991="","",IF(COUNTIFS(NOVEDADES!$D$4:$D$1503,$A991,NOVEDADES!$O$4:$O$1503,"SÍ")&gt;0,"No","Sí"))</f>
        <v/>
      </c>
      <c r="Q991" s="28">
        <f>IF(OR($A991="",$L991=""),"",IF(AND($N991="Sí",$P991="Sí"),"OTIF","Falló"))</f>
        <v/>
      </c>
    </row>
    <row r="992" ht="16" customHeight="1">
      <c r="A992" s="48" t="n"/>
      <c r="B992" s="48" t="n"/>
      <c r="C992" s="47" t="n"/>
      <c r="D992" s="50" t="n"/>
      <c r="E992" s="50" t="n"/>
      <c r="F992" s="50" t="n"/>
      <c r="G992" s="50" t="n"/>
      <c r="H992" s="48" t="n"/>
      <c r="I992" s="51" t="n"/>
      <c r="J992" s="52" t="n"/>
      <c r="K992" s="47" t="n"/>
      <c r="L992" s="47" t="n"/>
      <c r="M992" s="24">
        <f>IF(OR($A992="",$C992=""),"",IF($L992&lt;&gt;"",$L992-$C992,TODAY()-$C992))</f>
        <v/>
      </c>
      <c r="N992" s="28">
        <f>IF(OR($A992="",$K992=""),"",IF($L992="",IF(TODAY()&gt;$K992,"Atrasado","En ruta"),IF($L992&lt;=$K992,"Sí","No")))</f>
        <v/>
      </c>
      <c r="O992" s="24">
        <f>IF($A992="","",COUNTIFS(NOVEDADES!$D$4:$D$1503,$A992))</f>
        <v/>
      </c>
      <c r="P992" s="28">
        <f>IF($A992="","",IF(COUNTIFS(NOVEDADES!$D$4:$D$1503,$A992,NOVEDADES!$O$4:$O$1503,"SÍ")&gt;0,"No","Sí"))</f>
        <v/>
      </c>
      <c r="Q992" s="28">
        <f>IF(OR($A992="",$L992=""),"",IF(AND($N992="Sí",$P992="Sí"),"OTIF","Falló"))</f>
        <v/>
      </c>
    </row>
    <row r="993" ht="16" customHeight="1">
      <c r="A993" s="48" t="n"/>
      <c r="B993" s="48" t="n"/>
      <c r="C993" s="47" t="n"/>
      <c r="D993" s="50" t="n"/>
      <c r="E993" s="50" t="n"/>
      <c r="F993" s="50" t="n"/>
      <c r="G993" s="50" t="n"/>
      <c r="H993" s="48" t="n"/>
      <c r="I993" s="51" t="n"/>
      <c r="J993" s="52" t="n"/>
      <c r="K993" s="47" t="n"/>
      <c r="L993" s="47" t="n"/>
      <c r="M993" s="24">
        <f>IF(OR($A993="",$C993=""),"",IF($L993&lt;&gt;"",$L993-$C993,TODAY()-$C993))</f>
        <v/>
      </c>
      <c r="N993" s="28">
        <f>IF(OR($A993="",$K993=""),"",IF($L993="",IF(TODAY()&gt;$K993,"Atrasado","En ruta"),IF($L993&lt;=$K993,"Sí","No")))</f>
        <v/>
      </c>
      <c r="O993" s="24">
        <f>IF($A993="","",COUNTIFS(NOVEDADES!$D$4:$D$1503,$A993))</f>
        <v/>
      </c>
      <c r="P993" s="28">
        <f>IF($A993="","",IF(COUNTIFS(NOVEDADES!$D$4:$D$1503,$A993,NOVEDADES!$O$4:$O$1503,"SÍ")&gt;0,"No","Sí"))</f>
        <v/>
      </c>
      <c r="Q993" s="28">
        <f>IF(OR($A993="",$L993=""),"",IF(AND($N993="Sí",$P993="Sí"),"OTIF","Falló"))</f>
        <v/>
      </c>
    </row>
    <row r="994" ht="16" customHeight="1">
      <c r="A994" s="48" t="n"/>
      <c r="B994" s="48" t="n"/>
      <c r="C994" s="47" t="n"/>
      <c r="D994" s="50" t="n"/>
      <c r="E994" s="50" t="n"/>
      <c r="F994" s="50" t="n"/>
      <c r="G994" s="50" t="n"/>
      <c r="H994" s="48" t="n"/>
      <c r="I994" s="51" t="n"/>
      <c r="J994" s="52" t="n"/>
      <c r="K994" s="47" t="n"/>
      <c r="L994" s="47" t="n"/>
      <c r="M994" s="24">
        <f>IF(OR($A994="",$C994=""),"",IF($L994&lt;&gt;"",$L994-$C994,TODAY()-$C994))</f>
        <v/>
      </c>
      <c r="N994" s="28">
        <f>IF(OR($A994="",$K994=""),"",IF($L994="",IF(TODAY()&gt;$K994,"Atrasado","En ruta"),IF($L994&lt;=$K994,"Sí","No")))</f>
        <v/>
      </c>
      <c r="O994" s="24">
        <f>IF($A994="","",COUNTIFS(NOVEDADES!$D$4:$D$1503,$A994))</f>
        <v/>
      </c>
      <c r="P994" s="28">
        <f>IF($A994="","",IF(COUNTIFS(NOVEDADES!$D$4:$D$1503,$A994,NOVEDADES!$O$4:$O$1503,"SÍ")&gt;0,"No","Sí"))</f>
        <v/>
      </c>
      <c r="Q994" s="28">
        <f>IF(OR($A994="",$L994=""),"",IF(AND($N994="Sí",$P994="Sí"),"OTIF","Falló"))</f>
        <v/>
      </c>
    </row>
    <row r="995" ht="16" customHeight="1">
      <c r="A995" s="48" t="n"/>
      <c r="B995" s="48" t="n"/>
      <c r="C995" s="47" t="n"/>
      <c r="D995" s="50" t="n"/>
      <c r="E995" s="50" t="n"/>
      <c r="F995" s="50" t="n"/>
      <c r="G995" s="50" t="n"/>
      <c r="H995" s="48" t="n"/>
      <c r="I995" s="51" t="n"/>
      <c r="J995" s="52" t="n"/>
      <c r="K995" s="47" t="n"/>
      <c r="L995" s="47" t="n"/>
      <c r="M995" s="24">
        <f>IF(OR($A995="",$C995=""),"",IF($L995&lt;&gt;"",$L995-$C995,TODAY()-$C995))</f>
        <v/>
      </c>
      <c r="N995" s="28">
        <f>IF(OR($A995="",$K995=""),"",IF($L995="",IF(TODAY()&gt;$K995,"Atrasado","En ruta"),IF($L995&lt;=$K995,"Sí","No")))</f>
        <v/>
      </c>
      <c r="O995" s="24">
        <f>IF($A995="","",COUNTIFS(NOVEDADES!$D$4:$D$1503,$A995))</f>
        <v/>
      </c>
      <c r="P995" s="28">
        <f>IF($A995="","",IF(COUNTIFS(NOVEDADES!$D$4:$D$1503,$A995,NOVEDADES!$O$4:$O$1503,"SÍ")&gt;0,"No","Sí"))</f>
        <v/>
      </c>
      <c r="Q995" s="28">
        <f>IF(OR($A995="",$L995=""),"",IF(AND($N995="Sí",$P995="Sí"),"OTIF","Falló"))</f>
        <v/>
      </c>
    </row>
    <row r="996" ht="16" customHeight="1">
      <c r="A996" s="48" t="n"/>
      <c r="B996" s="48" t="n"/>
      <c r="C996" s="47" t="n"/>
      <c r="D996" s="50" t="n"/>
      <c r="E996" s="50" t="n"/>
      <c r="F996" s="50" t="n"/>
      <c r="G996" s="50" t="n"/>
      <c r="H996" s="48" t="n"/>
      <c r="I996" s="51" t="n"/>
      <c r="J996" s="52" t="n"/>
      <c r="K996" s="47" t="n"/>
      <c r="L996" s="47" t="n"/>
      <c r="M996" s="24">
        <f>IF(OR($A996="",$C996=""),"",IF($L996&lt;&gt;"",$L996-$C996,TODAY()-$C996))</f>
        <v/>
      </c>
      <c r="N996" s="28">
        <f>IF(OR($A996="",$K996=""),"",IF($L996="",IF(TODAY()&gt;$K996,"Atrasado","En ruta"),IF($L996&lt;=$K996,"Sí","No")))</f>
        <v/>
      </c>
      <c r="O996" s="24">
        <f>IF($A996="","",COUNTIFS(NOVEDADES!$D$4:$D$1503,$A996))</f>
        <v/>
      </c>
      <c r="P996" s="28">
        <f>IF($A996="","",IF(COUNTIFS(NOVEDADES!$D$4:$D$1503,$A996,NOVEDADES!$O$4:$O$1503,"SÍ")&gt;0,"No","Sí"))</f>
        <v/>
      </c>
      <c r="Q996" s="28">
        <f>IF(OR($A996="",$L996=""),"",IF(AND($N996="Sí",$P996="Sí"),"OTIF","Falló"))</f>
        <v/>
      </c>
    </row>
    <row r="997" ht="16" customHeight="1">
      <c r="A997" s="48" t="n"/>
      <c r="B997" s="48" t="n"/>
      <c r="C997" s="47" t="n"/>
      <c r="D997" s="50" t="n"/>
      <c r="E997" s="50" t="n"/>
      <c r="F997" s="50" t="n"/>
      <c r="G997" s="50" t="n"/>
      <c r="H997" s="48" t="n"/>
      <c r="I997" s="51" t="n"/>
      <c r="J997" s="52" t="n"/>
      <c r="K997" s="47" t="n"/>
      <c r="L997" s="47" t="n"/>
      <c r="M997" s="24">
        <f>IF(OR($A997="",$C997=""),"",IF($L997&lt;&gt;"",$L997-$C997,TODAY()-$C997))</f>
        <v/>
      </c>
      <c r="N997" s="28">
        <f>IF(OR($A997="",$K997=""),"",IF($L997="",IF(TODAY()&gt;$K997,"Atrasado","En ruta"),IF($L997&lt;=$K997,"Sí","No")))</f>
        <v/>
      </c>
      <c r="O997" s="24">
        <f>IF($A997="","",COUNTIFS(NOVEDADES!$D$4:$D$1503,$A997))</f>
        <v/>
      </c>
      <c r="P997" s="28">
        <f>IF($A997="","",IF(COUNTIFS(NOVEDADES!$D$4:$D$1503,$A997,NOVEDADES!$O$4:$O$1503,"SÍ")&gt;0,"No","Sí"))</f>
        <v/>
      </c>
      <c r="Q997" s="28">
        <f>IF(OR($A997="",$L997=""),"",IF(AND($N997="Sí",$P997="Sí"),"OTIF","Falló"))</f>
        <v/>
      </c>
    </row>
    <row r="998" ht="16" customHeight="1">
      <c r="A998" s="48" t="n"/>
      <c r="B998" s="48" t="n"/>
      <c r="C998" s="47" t="n"/>
      <c r="D998" s="50" t="n"/>
      <c r="E998" s="50" t="n"/>
      <c r="F998" s="50" t="n"/>
      <c r="G998" s="50" t="n"/>
      <c r="H998" s="48" t="n"/>
      <c r="I998" s="51" t="n"/>
      <c r="J998" s="52" t="n"/>
      <c r="K998" s="47" t="n"/>
      <c r="L998" s="47" t="n"/>
      <c r="M998" s="24">
        <f>IF(OR($A998="",$C998=""),"",IF($L998&lt;&gt;"",$L998-$C998,TODAY()-$C998))</f>
        <v/>
      </c>
      <c r="N998" s="28">
        <f>IF(OR($A998="",$K998=""),"",IF($L998="",IF(TODAY()&gt;$K998,"Atrasado","En ruta"),IF($L998&lt;=$K998,"Sí","No")))</f>
        <v/>
      </c>
      <c r="O998" s="24">
        <f>IF($A998="","",COUNTIFS(NOVEDADES!$D$4:$D$1503,$A998))</f>
        <v/>
      </c>
      <c r="P998" s="28">
        <f>IF($A998="","",IF(COUNTIFS(NOVEDADES!$D$4:$D$1503,$A998,NOVEDADES!$O$4:$O$1503,"SÍ")&gt;0,"No","Sí"))</f>
        <v/>
      </c>
      <c r="Q998" s="28">
        <f>IF(OR($A998="",$L998=""),"",IF(AND($N998="Sí",$P998="Sí"),"OTIF","Falló"))</f>
        <v/>
      </c>
    </row>
    <row r="999" ht="16" customHeight="1">
      <c r="A999" s="48" t="n"/>
      <c r="B999" s="48" t="n"/>
      <c r="C999" s="47" t="n"/>
      <c r="D999" s="50" t="n"/>
      <c r="E999" s="50" t="n"/>
      <c r="F999" s="50" t="n"/>
      <c r="G999" s="50" t="n"/>
      <c r="H999" s="48" t="n"/>
      <c r="I999" s="51" t="n"/>
      <c r="J999" s="52" t="n"/>
      <c r="K999" s="47" t="n"/>
      <c r="L999" s="47" t="n"/>
      <c r="M999" s="24">
        <f>IF(OR($A999="",$C999=""),"",IF($L999&lt;&gt;"",$L999-$C999,TODAY()-$C999))</f>
        <v/>
      </c>
      <c r="N999" s="28">
        <f>IF(OR($A999="",$K999=""),"",IF($L999="",IF(TODAY()&gt;$K999,"Atrasado","En ruta"),IF($L999&lt;=$K999,"Sí","No")))</f>
        <v/>
      </c>
      <c r="O999" s="24">
        <f>IF($A999="","",COUNTIFS(NOVEDADES!$D$4:$D$1503,$A999))</f>
        <v/>
      </c>
      <c r="P999" s="28">
        <f>IF($A999="","",IF(COUNTIFS(NOVEDADES!$D$4:$D$1503,$A999,NOVEDADES!$O$4:$O$1503,"SÍ")&gt;0,"No","Sí"))</f>
        <v/>
      </c>
      <c r="Q999" s="28">
        <f>IF(OR($A999="",$L999=""),"",IF(AND($N999="Sí",$P999="Sí"),"OTIF","Falló"))</f>
        <v/>
      </c>
    </row>
    <row r="1000" ht="16" customHeight="1">
      <c r="A1000" s="48" t="n"/>
      <c r="B1000" s="48" t="n"/>
      <c r="C1000" s="47" t="n"/>
      <c r="D1000" s="50" t="n"/>
      <c r="E1000" s="50" t="n"/>
      <c r="F1000" s="50" t="n"/>
      <c r="G1000" s="50" t="n"/>
      <c r="H1000" s="48" t="n"/>
      <c r="I1000" s="51" t="n"/>
      <c r="J1000" s="52" t="n"/>
      <c r="K1000" s="47" t="n"/>
      <c r="L1000" s="47" t="n"/>
      <c r="M1000" s="24">
        <f>IF(OR($A1000="",$C1000=""),"",IF($L1000&lt;&gt;"",$L1000-$C1000,TODAY()-$C1000))</f>
        <v/>
      </c>
      <c r="N1000" s="28">
        <f>IF(OR($A1000="",$K1000=""),"",IF($L1000="",IF(TODAY()&gt;$K1000,"Atrasado","En ruta"),IF($L1000&lt;=$K1000,"Sí","No")))</f>
        <v/>
      </c>
      <c r="O1000" s="24">
        <f>IF($A1000="","",COUNTIFS(NOVEDADES!$D$4:$D$1503,$A1000))</f>
        <v/>
      </c>
      <c r="P1000" s="28">
        <f>IF($A1000="","",IF(COUNTIFS(NOVEDADES!$D$4:$D$1503,$A1000,NOVEDADES!$O$4:$O$1503,"SÍ")&gt;0,"No","Sí"))</f>
        <v/>
      </c>
      <c r="Q1000" s="28">
        <f>IF(OR($A1000="",$L1000=""),"",IF(AND($N1000="Sí",$P1000="Sí"),"OTIF","Falló"))</f>
        <v/>
      </c>
    </row>
    <row r="1001" ht="16" customHeight="1">
      <c r="A1001" s="48" t="n"/>
      <c r="B1001" s="48" t="n"/>
      <c r="C1001" s="47" t="n"/>
      <c r="D1001" s="50" t="n"/>
      <c r="E1001" s="50" t="n"/>
      <c r="F1001" s="50" t="n"/>
      <c r="G1001" s="50" t="n"/>
      <c r="H1001" s="48" t="n"/>
      <c r="I1001" s="51" t="n"/>
      <c r="J1001" s="52" t="n"/>
      <c r="K1001" s="47" t="n"/>
      <c r="L1001" s="47" t="n"/>
      <c r="M1001" s="24">
        <f>IF(OR($A1001="",$C1001=""),"",IF($L1001&lt;&gt;"",$L1001-$C1001,TODAY()-$C1001))</f>
        <v/>
      </c>
      <c r="N1001" s="28">
        <f>IF(OR($A1001="",$K1001=""),"",IF($L1001="",IF(TODAY()&gt;$K1001,"Atrasado","En ruta"),IF($L1001&lt;=$K1001,"Sí","No")))</f>
        <v/>
      </c>
      <c r="O1001" s="24">
        <f>IF($A1001="","",COUNTIFS(NOVEDADES!$D$4:$D$1503,$A1001))</f>
        <v/>
      </c>
      <c r="P1001" s="28">
        <f>IF($A1001="","",IF(COUNTIFS(NOVEDADES!$D$4:$D$1503,$A1001,NOVEDADES!$O$4:$O$1503,"SÍ")&gt;0,"No","Sí"))</f>
        <v/>
      </c>
      <c r="Q1001" s="28">
        <f>IF(OR($A1001="",$L1001=""),"",IF(AND($N1001="Sí",$P1001="Sí"),"OTIF","Falló"))</f>
        <v/>
      </c>
    </row>
    <row r="1002" ht="16" customHeight="1">
      <c r="A1002" s="48" t="n"/>
      <c r="B1002" s="48" t="n"/>
      <c r="C1002" s="47" t="n"/>
      <c r="D1002" s="50" t="n"/>
      <c r="E1002" s="50" t="n"/>
      <c r="F1002" s="50" t="n"/>
      <c r="G1002" s="50" t="n"/>
      <c r="H1002" s="48" t="n"/>
      <c r="I1002" s="51" t="n"/>
      <c r="J1002" s="52" t="n"/>
      <c r="K1002" s="47" t="n"/>
      <c r="L1002" s="47" t="n"/>
      <c r="M1002" s="24">
        <f>IF(OR($A1002="",$C1002=""),"",IF($L1002&lt;&gt;"",$L1002-$C1002,TODAY()-$C1002))</f>
        <v/>
      </c>
      <c r="N1002" s="28">
        <f>IF(OR($A1002="",$K1002=""),"",IF($L1002="",IF(TODAY()&gt;$K1002,"Atrasado","En ruta"),IF($L1002&lt;=$K1002,"Sí","No")))</f>
        <v/>
      </c>
      <c r="O1002" s="24">
        <f>IF($A1002="","",COUNTIFS(NOVEDADES!$D$4:$D$1503,$A1002))</f>
        <v/>
      </c>
      <c r="P1002" s="28">
        <f>IF($A1002="","",IF(COUNTIFS(NOVEDADES!$D$4:$D$1503,$A1002,NOVEDADES!$O$4:$O$1503,"SÍ")&gt;0,"No","Sí"))</f>
        <v/>
      </c>
      <c r="Q1002" s="28">
        <f>IF(OR($A1002="",$L1002=""),"",IF(AND($N1002="Sí",$P1002="Sí"),"OTIF","Falló"))</f>
        <v/>
      </c>
    </row>
    <row r="1003" ht="16" customHeight="1">
      <c r="A1003" s="48" t="n"/>
      <c r="B1003" s="48" t="n"/>
      <c r="C1003" s="47" t="n"/>
      <c r="D1003" s="50" t="n"/>
      <c r="E1003" s="50" t="n"/>
      <c r="F1003" s="50" t="n"/>
      <c r="G1003" s="50" t="n"/>
      <c r="H1003" s="48" t="n"/>
      <c r="I1003" s="51" t="n"/>
      <c r="J1003" s="52" t="n"/>
      <c r="K1003" s="47" t="n"/>
      <c r="L1003" s="47" t="n"/>
      <c r="M1003" s="24">
        <f>IF(OR($A1003="",$C1003=""),"",IF($L1003&lt;&gt;"",$L1003-$C1003,TODAY()-$C1003))</f>
        <v/>
      </c>
      <c r="N1003" s="28">
        <f>IF(OR($A1003="",$K1003=""),"",IF($L1003="",IF(TODAY()&gt;$K1003,"Atrasado","En ruta"),IF($L1003&lt;=$K1003,"Sí","No")))</f>
        <v/>
      </c>
      <c r="O1003" s="24">
        <f>IF($A1003="","",COUNTIFS(NOVEDADES!$D$4:$D$1503,$A1003))</f>
        <v/>
      </c>
      <c r="P1003" s="28">
        <f>IF($A1003="","",IF(COUNTIFS(NOVEDADES!$D$4:$D$1503,$A1003,NOVEDADES!$O$4:$O$1503,"SÍ")&gt;0,"No","Sí"))</f>
        <v/>
      </c>
      <c r="Q1003" s="28">
        <f>IF(OR($A1003="",$L1003=""),"",IF(AND($N1003="Sí",$P1003="Sí"),"OTIF","Falló"))</f>
        <v/>
      </c>
    </row>
    <row r="1004" ht="16" customHeight="1">
      <c r="A1004" s="48" t="n"/>
      <c r="B1004" s="48" t="n"/>
      <c r="C1004" s="47" t="n"/>
      <c r="D1004" s="50" t="n"/>
      <c r="E1004" s="50" t="n"/>
      <c r="F1004" s="50" t="n"/>
      <c r="G1004" s="50" t="n"/>
      <c r="H1004" s="48" t="n"/>
      <c r="I1004" s="51" t="n"/>
      <c r="J1004" s="52" t="n"/>
      <c r="K1004" s="47" t="n"/>
      <c r="L1004" s="47" t="n"/>
      <c r="M1004" s="24">
        <f>IF(OR($A1004="",$C1004=""),"",IF($L1004&lt;&gt;"",$L1004-$C1004,TODAY()-$C1004))</f>
        <v/>
      </c>
      <c r="N1004" s="28">
        <f>IF(OR($A1004="",$K1004=""),"",IF($L1004="",IF(TODAY()&gt;$K1004,"Atrasado","En ruta"),IF($L1004&lt;=$K1004,"Sí","No")))</f>
        <v/>
      </c>
      <c r="O1004" s="24">
        <f>IF($A1004="","",COUNTIFS(NOVEDADES!$D$4:$D$1503,$A1004))</f>
        <v/>
      </c>
      <c r="P1004" s="28">
        <f>IF($A1004="","",IF(COUNTIFS(NOVEDADES!$D$4:$D$1503,$A1004,NOVEDADES!$O$4:$O$1503,"SÍ")&gt;0,"No","Sí"))</f>
        <v/>
      </c>
      <c r="Q1004" s="28">
        <f>IF(OR($A1004="",$L1004=""),"",IF(AND($N1004="Sí",$P1004="Sí"),"OTIF","Falló"))</f>
        <v/>
      </c>
    </row>
    <row r="1005" ht="16" customHeight="1">
      <c r="A1005" s="48" t="n"/>
      <c r="B1005" s="48" t="n"/>
      <c r="C1005" s="47" t="n"/>
      <c r="D1005" s="50" t="n"/>
      <c r="E1005" s="50" t="n"/>
      <c r="F1005" s="50" t="n"/>
      <c r="G1005" s="50" t="n"/>
      <c r="H1005" s="48" t="n"/>
      <c r="I1005" s="51" t="n"/>
      <c r="J1005" s="52" t="n"/>
      <c r="K1005" s="47" t="n"/>
      <c r="L1005" s="47" t="n"/>
      <c r="M1005" s="24">
        <f>IF(OR($A1005="",$C1005=""),"",IF($L1005&lt;&gt;"",$L1005-$C1005,TODAY()-$C1005))</f>
        <v/>
      </c>
      <c r="N1005" s="28">
        <f>IF(OR($A1005="",$K1005=""),"",IF($L1005="",IF(TODAY()&gt;$K1005,"Atrasado","En ruta"),IF($L1005&lt;=$K1005,"Sí","No")))</f>
        <v/>
      </c>
      <c r="O1005" s="24">
        <f>IF($A1005="","",COUNTIFS(NOVEDADES!$D$4:$D$1503,$A1005))</f>
        <v/>
      </c>
      <c r="P1005" s="28">
        <f>IF($A1005="","",IF(COUNTIFS(NOVEDADES!$D$4:$D$1503,$A1005,NOVEDADES!$O$4:$O$1503,"SÍ")&gt;0,"No","Sí"))</f>
        <v/>
      </c>
      <c r="Q1005" s="28">
        <f>IF(OR($A1005="",$L1005=""),"",IF(AND($N1005="Sí",$P1005="Sí"),"OTIF","Falló"))</f>
        <v/>
      </c>
    </row>
    <row r="1006" ht="16" customHeight="1">
      <c r="A1006" s="48" t="n"/>
      <c r="B1006" s="48" t="n"/>
      <c r="C1006" s="47" t="n"/>
      <c r="D1006" s="50" t="n"/>
      <c r="E1006" s="50" t="n"/>
      <c r="F1006" s="50" t="n"/>
      <c r="G1006" s="50" t="n"/>
      <c r="H1006" s="48" t="n"/>
      <c r="I1006" s="51" t="n"/>
      <c r="J1006" s="52" t="n"/>
      <c r="K1006" s="47" t="n"/>
      <c r="L1006" s="47" t="n"/>
      <c r="M1006" s="24">
        <f>IF(OR($A1006="",$C1006=""),"",IF($L1006&lt;&gt;"",$L1006-$C1006,TODAY()-$C1006))</f>
        <v/>
      </c>
      <c r="N1006" s="28">
        <f>IF(OR($A1006="",$K1006=""),"",IF($L1006="",IF(TODAY()&gt;$K1006,"Atrasado","En ruta"),IF($L1006&lt;=$K1006,"Sí","No")))</f>
        <v/>
      </c>
      <c r="O1006" s="24">
        <f>IF($A1006="","",COUNTIFS(NOVEDADES!$D$4:$D$1503,$A1006))</f>
        <v/>
      </c>
      <c r="P1006" s="28">
        <f>IF($A1006="","",IF(COUNTIFS(NOVEDADES!$D$4:$D$1503,$A1006,NOVEDADES!$O$4:$O$1503,"SÍ")&gt;0,"No","Sí"))</f>
        <v/>
      </c>
      <c r="Q1006" s="28">
        <f>IF(OR($A1006="",$L1006=""),"",IF(AND($N1006="Sí",$P1006="Sí"),"OTIF","Falló"))</f>
        <v/>
      </c>
    </row>
    <row r="1007" ht="16" customHeight="1">
      <c r="A1007" s="48" t="n"/>
      <c r="B1007" s="48" t="n"/>
      <c r="C1007" s="47" t="n"/>
      <c r="D1007" s="50" t="n"/>
      <c r="E1007" s="50" t="n"/>
      <c r="F1007" s="50" t="n"/>
      <c r="G1007" s="50" t="n"/>
      <c r="H1007" s="48" t="n"/>
      <c r="I1007" s="51" t="n"/>
      <c r="J1007" s="52" t="n"/>
      <c r="K1007" s="47" t="n"/>
      <c r="L1007" s="47" t="n"/>
      <c r="M1007" s="24">
        <f>IF(OR($A1007="",$C1007=""),"",IF($L1007&lt;&gt;"",$L1007-$C1007,TODAY()-$C1007))</f>
        <v/>
      </c>
      <c r="N1007" s="28">
        <f>IF(OR($A1007="",$K1007=""),"",IF($L1007="",IF(TODAY()&gt;$K1007,"Atrasado","En ruta"),IF($L1007&lt;=$K1007,"Sí","No")))</f>
        <v/>
      </c>
      <c r="O1007" s="24">
        <f>IF($A1007="","",COUNTIFS(NOVEDADES!$D$4:$D$1503,$A1007))</f>
        <v/>
      </c>
      <c r="P1007" s="28">
        <f>IF($A1007="","",IF(COUNTIFS(NOVEDADES!$D$4:$D$1503,$A1007,NOVEDADES!$O$4:$O$1503,"SÍ")&gt;0,"No","Sí"))</f>
        <v/>
      </c>
      <c r="Q1007" s="28">
        <f>IF(OR($A1007="",$L1007=""),"",IF(AND($N1007="Sí",$P1007="Sí"),"OTIF","Falló"))</f>
        <v/>
      </c>
    </row>
    <row r="1008" ht="16" customHeight="1">
      <c r="A1008" s="48" t="n"/>
      <c r="B1008" s="48" t="n"/>
      <c r="C1008" s="47" t="n"/>
      <c r="D1008" s="50" t="n"/>
      <c r="E1008" s="50" t="n"/>
      <c r="F1008" s="50" t="n"/>
      <c r="G1008" s="50" t="n"/>
      <c r="H1008" s="48" t="n"/>
      <c r="I1008" s="51" t="n"/>
      <c r="J1008" s="52" t="n"/>
      <c r="K1008" s="47" t="n"/>
      <c r="L1008" s="47" t="n"/>
      <c r="M1008" s="24">
        <f>IF(OR($A1008="",$C1008=""),"",IF($L1008&lt;&gt;"",$L1008-$C1008,TODAY()-$C1008))</f>
        <v/>
      </c>
      <c r="N1008" s="28">
        <f>IF(OR($A1008="",$K1008=""),"",IF($L1008="",IF(TODAY()&gt;$K1008,"Atrasado","En ruta"),IF($L1008&lt;=$K1008,"Sí","No")))</f>
        <v/>
      </c>
      <c r="O1008" s="24">
        <f>IF($A1008="","",COUNTIFS(NOVEDADES!$D$4:$D$1503,$A1008))</f>
        <v/>
      </c>
      <c r="P1008" s="28">
        <f>IF($A1008="","",IF(COUNTIFS(NOVEDADES!$D$4:$D$1503,$A1008,NOVEDADES!$O$4:$O$1503,"SÍ")&gt;0,"No","Sí"))</f>
        <v/>
      </c>
      <c r="Q1008" s="28">
        <f>IF(OR($A1008="",$L1008=""),"",IF(AND($N1008="Sí",$P1008="Sí"),"OTIF","Falló"))</f>
        <v/>
      </c>
    </row>
    <row r="1009" ht="16" customHeight="1">
      <c r="A1009" s="48" t="n"/>
      <c r="B1009" s="48" t="n"/>
      <c r="C1009" s="47" t="n"/>
      <c r="D1009" s="50" t="n"/>
      <c r="E1009" s="50" t="n"/>
      <c r="F1009" s="50" t="n"/>
      <c r="G1009" s="50" t="n"/>
      <c r="H1009" s="48" t="n"/>
      <c r="I1009" s="51" t="n"/>
      <c r="J1009" s="52" t="n"/>
      <c r="K1009" s="47" t="n"/>
      <c r="L1009" s="47" t="n"/>
      <c r="M1009" s="24">
        <f>IF(OR($A1009="",$C1009=""),"",IF($L1009&lt;&gt;"",$L1009-$C1009,TODAY()-$C1009))</f>
        <v/>
      </c>
      <c r="N1009" s="28">
        <f>IF(OR($A1009="",$K1009=""),"",IF($L1009="",IF(TODAY()&gt;$K1009,"Atrasado","En ruta"),IF($L1009&lt;=$K1009,"Sí","No")))</f>
        <v/>
      </c>
      <c r="O1009" s="24">
        <f>IF($A1009="","",COUNTIFS(NOVEDADES!$D$4:$D$1503,$A1009))</f>
        <v/>
      </c>
      <c r="P1009" s="28">
        <f>IF($A1009="","",IF(COUNTIFS(NOVEDADES!$D$4:$D$1503,$A1009,NOVEDADES!$O$4:$O$1503,"SÍ")&gt;0,"No","Sí"))</f>
        <v/>
      </c>
      <c r="Q1009" s="28">
        <f>IF(OR($A1009="",$L1009=""),"",IF(AND($N1009="Sí",$P1009="Sí"),"OTIF","Falló"))</f>
        <v/>
      </c>
    </row>
    <row r="1010" ht="16" customHeight="1">
      <c r="A1010" s="48" t="n"/>
      <c r="B1010" s="48" t="n"/>
      <c r="C1010" s="47" t="n"/>
      <c r="D1010" s="50" t="n"/>
      <c r="E1010" s="50" t="n"/>
      <c r="F1010" s="50" t="n"/>
      <c r="G1010" s="50" t="n"/>
      <c r="H1010" s="48" t="n"/>
      <c r="I1010" s="51" t="n"/>
      <c r="J1010" s="52" t="n"/>
      <c r="K1010" s="47" t="n"/>
      <c r="L1010" s="47" t="n"/>
      <c r="M1010" s="24">
        <f>IF(OR($A1010="",$C1010=""),"",IF($L1010&lt;&gt;"",$L1010-$C1010,TODAY()-$C1010))</f>
        <v/>
      </c>
      <c r="N1010" s="28">
        <f>IF(OR($A1010="",$K1010=""),"",IF($L1010="",IF(TODAY()&gt;$K1010,"Atrasado","En ruta"),IF($L1010&lt;=$K1010,"Sí","No")))</f>
        <v/>
      </c>
      <c r="O1010" s="24">
        <f>IF($A1010="","",COUNTIFS(NOVEDADES!$D$4:$D$1503,$A1010))</f>
        <v/>
      </c>
      <c r="P1010" s="28">
        <f>IF($A1010="","",IF(COUNTIFS(NOVEDADES!$D$4:$D$1503,$A1010,NOVEDADES!$O$4:$O$1503,"SÍ")&gt;0,"No","Sí"))</f>
        <v/>
      </c>
      <c r="Q1010" s="28">
        <f>IF(OR($A1010="",$L1010=""),"",IF(AND($N1010="Sí",$P1010="Sí"),"OTIF","Falló"))</f>
        <v/>
      </c>
    </row>
    <row r="1011" ht="16" customHeight="1">
      <c r="A1011" s="48" t="n"/>
      <c r="B1011" s="48" t="n"/>
      <c r="C1011" s="47" t="n"/>
      <c r="D1011" s="50" t="n"/>
      <c r="E1011" s="50" t="n"/>
      <c r="F1011" s="50" t="n"/>
      <c r="G1011" s="50" t="n"/>
      <c r="H1011" s="48" t="n"/>
      <c r="I1011" s="51" t="n"/>
      <c r="J1011" s="52" t="n"/>
      <c r="K1011" s="47" t="n"/>
      <c r="L1011" s="47" t="n"/>
      <c r="M1011" s="24">
        <f>IF(OR($A1011="",$C1011=""),"",IF($L1011&lt;&gt;"",$L1011-$C1011,TODAY()-$C1011))</f>
        <v/>
      </c>
      <c r="N1011" s="28">
        <f>IF(OR($A1011="",$K1011=""),"",IF($L1011="",IF(TODAY()&gt;$K1011,"Atrasado","En ruta"),IF($L1011&lt;=$K1011,"Sí","No")))</f>
        <v/>
      </c>
      <c r="O1011" s="24">
        <f>IF($A1011="","",COUNTIFS(NOVEDADES!$D$4:$D$1503,$A1011))</f>
        <v/>
      </c>
      <c r="P1011" s="28">
        <f>IF($A1011="","",IF(COUNTIFS(NOVEDADES!$D$4:$D$1503,$A1011,NOVEDADES!$O$4:$O$1503,"SÍ")&gt;0,"No","Sí"))</f>
        <v/>
      </c>
      <c r="Q1011" s="28">
        <f>IF(OR($A1011="",$L1011=""),"",IF(AND($N1011="Sí",$P1011="Sí"),"OTIF","Falló"))</f>
        <v/>
      </c>
    </row>
    <row r="1012" ht="16" customHeight="1">
      <c r="A1012" s="48" t="n"/>
      <c r="B1012" s="48" t="n"/>
      <c r="C1012" s="47" t="n"/>
      <c r="D1012" s="50" t="n"/>
      <c r="E1012" s="50" t="n"/>
      <c r="F1012" s="50" t="n"/>
      <c r="G1012" s="50" t="n"/>
      <c r="H1012" s="48" t="n"/>
      <c r="I1012" s="51" t="n"/>
      <c r="J1012" s="52" t="n"/>
      <c r="K1012" s="47" t="n"/>
      <c r="L1012" s="47" t="n"/>
      <c r="M1012" s="24">
        <f>IF(OR($A1012="",$C1012=""),"",IF($L1012&lt;&gt;"",$L1012-$C1012,TODAY()-$C1012))</f>
        <v/>
      </c>
      <c r="N1012" s="28">
        <f>IF(OR($A1012="",$K1012=""),"",IF($L1012="",IF(TODAY()&gt;$K1012,"Atrasado","En ruta"),IF($L1012&lt;=$K1012,"Sí","No")))</f>
        <v/>
      </c>
      <c r="O1012" s="24">
        <f>IF($A1012="","",COUNTIFS(NOVEDADES!$D$4:$D$1503,$A1012))</f>
        <v/>
      </c>
      <c r="P1012" s="28">
        <f>IF($A1012="","",IF(COUNTIFS(NOVEDADES!$D$4:$D$1503,$A1012,NOVEDADES!$O$4:$O$1503,"SÍ")&gt;0,"No","Sí"))</f>
        <v/>
      </c>
      <c r="Q1012" s="28">
        <f>IF(OR($A1012="",$L1012=""),"",IF(AND($N1012="Sí",$P1012="Sí"),"OTIF","Falló"))</f>
        <v/>
      </c>
    </row>
    <row r="1013" ht="16" customHeight="1">
      <c r="A1013" s="48" t="n"/>
      <c r="B1013" s="48" t="n"/>
      <c r="C1013" s="47" t="n"/>
      <c r="D1013" s="50" t="n"/>
      <c r="E1013" s="50" t="n"/>
      <c r="F1013" s="50" t="n"/>
      <c r="G1013" s="50" t="n"/>
      <c r="H1013" s="48" t="n"/>
      <c r="I1013" s="51" t="n"/>
      <c r="J1013" s="52" t="n"/>
      <c r="K1013" s="47" t="n"/>
      <c r="L1013" s="47" t="n"/>
      <c r="M1013" s="24">
        <f>IF(OR($A1013="",$C1013=""),"",IF($L1013&lt;&gt;"",$L1013-$C1013,TODAY()-$C1013))</f>
        <v/>
      </c>
      <c r="N1013" s="28">
        <f>IF(OR($A1013="",$K1013=""),"",IF($L1013="",IF(TODAY()&gt;$K1013,"Atrasado","En ruta"),IF($L1013&lt;=$K1013,"Sí","No")))</f>
        <v/>
      </c>
      <c r="O1013" s="24">
        <f>IF($A1013="","",COUNTIFS(NOVEDADES!$D$4:$D$1503,$A1013))</f>
        <v/>
      </c>
      <c r="P1013" s="28">
        <f>IF($A1013="","",IF(COUNTIFS(NOVEDADES!$D$4:$D$1503,$A1013,NOVEDADES!$O$4:$O$1503,"SÍ")&gt;0,"No","Sí"))</f>
        <v/>
      </c>
      <c r="Q1013" s="28">
        <f>IF(OR($A1013="",$L1013=""),"",IF(AND($N1013="Sí",$P1013="Sí"),"OTIF","Falló"))</f>
        <v/>
      </c>
    </row>
    <row r="1014" ht="16" customHeight="1">
      <c r="A1014" s="48" t="n"/>
      <c r="B1014" s="48" t="n"/>
      <c r="C1014" s="47" t="n"/>
      <c r="D1014" s="50" t="n"/>
      <c r="E1014" s="50" t="n"/>
      <c r="F1014" s="50" t="n"/>
      <c r="G1014" s="50" t="n"/>
      <c r="H1014" s="48" t="n"/>
      <c r="I1014" s="51" t="n"/>
      <c r="J1014" s="52" t="n"/>
      <c r="K1014" s="47" t="n"/>
      <c r="L1014" s="47" t="n"/>
      <c r="M1014" s="24">
        <f>IF(OR($A1014="",$C1014=""),"",IF($L1014&lt;&gt;"",$L1014-$C1014,TODAY()-$C1014))</f>
        <v/>
      </c>
      <c r="N1014" s="28">
        <f>IF(OR($A1014="",$K1014=""),"",IF($L1014="",IF(TODAY()&gt;$K1014,"Atrasado","En ruta"),IF($L1014&lt;=$K1014,"Sí","No")))</f>
        <v/>
      </c>
      <c r="O1014" s="24">
        <f>IF($A1014="","",COUNTIFS(NOVEDADES!$D$4:$D$1503,$A1014))</f>
        <v/>
      </c>
      <c r="P1014" s="28">
        <f>IF($A1014="","",IF(COUNTIFS(NOVEDADES!$D$4:$D$1503,$A1014,NOVEDADES!$O$4:$O$1503,"SÍ")&gt;0,"No","Sí"))</f>
        <v/>
      </c>
      <c r="Q1014" s="28">
        <f>IF(OR($A1014="",$L1014=""),"",IF(AND($N1014="Sí",$P1014="Sí"),"OTIF","Falló"))</f>
        <v/>
      </c>
    </row>
    <row r="1015" ht="16" customHeight="1">
      <c r="A1015" s="48" t="n"/>
      <c r="B1015" s="48" t="n"/>
      <c r="C1015" s="47" t="n"/>
      <c r="D1015" s="50" t="n"/>
      <c r="E1015" s="50" t="n"/>
      <c r="F1015" s="50" t="n"/>
      <c r="G1015" s="50" t="n"/>
      <c r="H1015" s="48" t="n"/>
      <c r="I1015" s="51" t="n"/>
      <c r="J1015" s="52" t="n"/>
      <c r="K1015" s="47" t="n"/>
      <c r="L1015" s="47" t="n"/>
      <c r="M1015" s="24">
        <f>IF(OR($A1015="",$C1015=""),"",IF($L1015&lt;&gt;"",$L1015-$C1015,TODAY()-$C1015))</f>
        <v/>
      </c>
      <c r="N1015" s="28">
        <f>IF(OR($A1015="",$K1015=""),"",IF($L1015="",IF(TODAY()&gt;$K1015,"Atrasado","En ruta"),IF($L1015&lt;=$K1015,"Sí","No")))</f>
        <v/>
      </c>
      <c r="O1015" s="24">
        <f>IF($A1015="","",COUNTIFS(NOVEDADES!$D$4:$D$1503,$A1015))</f>
        <v/>
      </c>
      <c r="P1015" s="28">
        <f>IF($A1015="","",IF(COUNTIFS(NOVEDADES!$D$4:$D$1503,$A1015,NOVEDADES!$O$4:$O$1503,"SÍ")&gt;0,"No","Sí"))</f>
        <v/>
      </c>
      <c r="Q1015" s="28">
        <f>IF(OR($A1015="",$L1015=""),"",IF(AND($N1015="Sí",$P1015="Sí"),"OTIF","Falló"))</f>
        <v/>
      </c>
    </row>
    <row r="1016" ht="16" customHeight="1">
      <c r="A1016" s="48" t="n"/>
      <c r="B1016" s="48" t="n"/>
      <c r="C1016" s="47" t="n"/>
      <c r="D1016" s="50" t="n"/>
      <c r="E1016" s="50" t="n"/>
      <c r="F1016" s="50" t="n"/>
      <c r="G1016" s="50" t="n"/>
      <c r="H1016" s="48" t="n"/>
      <c r="I1016" s="51" t="n"/>
      <c r="J1016" s="52" t="n"/>
      <c r="K1016" s="47" t="n"/>
      <c r="L1016" s="47" t="n"/>
      <c r="M1016" s="24">
        <f>IF(OR($A1016="",$C1016=""),"",IF($L1016&lt;&gt;"",$L1016-$C1016,TODAY()-$C1016))</f>
        <v/>
      </c>
      <c r="N1016" s="28">
        <f>IF(OR($A1016="",$K1016=""),"",IF($L1016="",IF(TODAY()&gt;$K1016,"Atrasado","En ruta"),IF($L1016&lt;=$K1016,"Sí","No")))</f>
        <v/>
      </c>
      <c r="O1016" s="24">
        <f>IF($A1016="","",COUNTIFS(NOVEDADES!$D$4:$D$1503,$A1016))</f>
        <v/>
      </c>
      <c r="P1016" s="28">
        <f>IF($A1016="","",IF(COUNTIFS(NOVEDADES!$D$4:$D$1503,$A1016,NOVEDADES!$O$4:$O$1503,"SÍ")&gt;0,"No","Sí"))</f>
        <v/>
      </c>
      <c r="Q1016" s="28">
        <f>IF(OR($A1016="",$L1016=""),"",IF(AND($N1016="Sí",$P1016="Sí"),"OTIF","Falló"))</f>
        <v/>
      </c>
    </row>
    <row r="1017" ht="16" customHeight="1">
      <c r="A1017" s="48" t="n"/>
      <c r="B1017" s="48" t="n"/>
      <c r="C1017" s="47" t="n"/>
      <c r="D1017" s="50" t="n"/>
      <c r="E1017" s="50" t="n"/>
      <c r="F1017" s="50" t="n"/>
      <c r="G1017" s="50" t="n"/>
      <c r="H1017" s="48" t="n"/>
      <c r="I1017" s="51" t="n"/>
      <c r="J1017" s="52" t="n"/>
      <c r="K1017" s="47" t="n"/>
      <c r="L1017" s="47" t="n"/>
      <c r="M1017" s="24">
        <f>IF(OR($A1017="",$C1017=""),"",IF($L1017&lt;&gt;"",$L1017-$C1017,TODAY()-$C1017))</f>
        <v/>
      </c>
      <c r="N1017" s="28">
        <f>IF(OR($A1017="",$K1017=""),"",IF($L1017="",IF(TODAY()&gt;$K1017,"Atrasado","En ruta"),IF($L1017&lt;=$K1017,"Sí","No")))</f>
        <v/>
      </c>
      <c r="O1017" s="24">
        <f>IF($A1017="","",COUNTIFS(NOVEDADES!$D$4:$D$1503,$A1017))</f>
        <v/>
      </c>
      <c r="P1017" s="28">
        <f>IF($A1017="","",IF(COUNTIFS(NOVEDADES!$D$4:$D$1503,$A1017,NOVEDADES!$O$4:$O$1503,"SÍ")&gt;0,"No","Sí"))</f>
        <v/>
      </c>
      <c r="Q1017" s="28">
        <f>IF(OR($A1017="",$L1017=""),"",IF(AND($N1017="Sí",$P1017="Sí"),"OTIF","Falló"))</f>
        <v/>
      </c>
    </row>
    <row r="1018" ht="16" customHeight="1">
      <c r="A1018" s="48" t="n"/>
      <c r="B1018" s="48" t="n"/>
      <c r="C1018" s="47" t="n"/>
      <c r="D1018" s="50" t="n"/>
      <c r="E1018" s="50" t="n"/>
      <c r="F1018" s="50" t="n"/>
      <c r="G1018" s="50" t="n"/>
      <c r="H1018" s="48" t="n"/>
      <c r="I1018" s="51" t="n"/>
      <c r="J1018" s="52" t="n"/>
      <c r="K1018" s="47" t="n"/>
      <c r="L1018" s="47" t="n"/>
      <c r="M1018" s="24">
        <f>IF(OR($A1018="",$C1018=""),"",IF($L1018&lt;&gt;"",$L1018-$C1018,TODAY()-$C1018))</f>
        <v/>
      </c>
      <c r="N1018" s="28">
        <f>IF(OR($A1018="",$K1018=""),"",IF($L1018="",IF(TODAY()&gt;$K1018,"Atrasado","En ruta"),IF($L1018&lt;=$K1018,"Sí","No")))</f>
        <v/>
      </c>
      <c r="O1018" s="24">
        <f>IF($A1018="","",COUNTIFS(NOVEDADES!$D$4:$D$1503,$A1018))</f>
        <v/>
      </c>
      <c r="P1018" s="28">
        <f>IF($A1018="","",IF(COUNTIFS(NOVEDADES!$D$4:$D$1503,$A1018,NOVEDADES!$O$4:$O$1503,"SÍ")&gt;0,"No","Sí"))</f>
        <v/>
      </c>
      <c r="Q1018" s="28">
        <f>IF(OR($A1018="",$L1018=""),"",IF(AND($N1018="Sí",$P1018="Sí"),"OTIF","Falló"))</f>
        <v/>
      </c>
    </row>
    <row r="1019" ht="16" customHeight="1">
      <c r="A1019" s="48" t="n"/>
      <c r="B1019" s="48" t="n"/>
      <c r="C1019" s="47" t="n"/>
      <c r="D1019" s="50" t="n"/>
      <c r="E1019" s="50" t="n"/>
      <c r="F1019" s="50" t="n"/>
      <c r="G1019" s="50" t="n"/>
      <c r="H1019" s="48" t="n"/>
      <c r="I1019" s="51" t="n"/>
      <c r="J1019" s="52" t="n"/>
      <c r="K1019" s="47" t="n"/>
      <c r="L1019" s="47" t="n"/>
      <c r="M1019" s="24">
        <f>IF(OR($A1019="",$C1019=""),"",IF($L1019&lt;&gt;"",$L1019-$C1019,TODAY()-$C1019))</f>
        <v/>
      </c>
      <c r="N1019" s="28">
        <f>IF(OR($A1019="",$K1019=""),"",IF($L1019="",IF(TODAY()&gt;$K1019,"Atrasado","En ruta"),IF($L1019&lt;=$K1019,"Sí","No")))</f>
        <v/>
      </c>
      <c r="O1019" s="24">
        <f>IF($A1019="","",COUNTIFS(NOVEDADES!$D$4:$D$1503,$A1019))</f>
        <v/>
      </c>
      <c r="P1019" s="28">
        <f>IF($A1019="","",IF(COUNTIFS(NOVEDADES!$D$4:$D$1503,$A1019,NOVEDADES!$O$4:$O$1503,"SÍ")&gt;0,"No","Sí"))</f>
        <v/>
      </c>
      <c r="Q1019" s="28">
        <f>IF(OR($A1019="",$L1019=""),"",IF(AND($N1019="Sí",$P1019="Sí"),"OTIF","Falló"))</f>
        <v/>
      </c>
    </row>
    <row r="1020" ht="16" customHeight="1">
      <c r="A1020" s="48" t="n"/>
      <c r="B1020" s="48" t="n"/>
      <c r="C1020" s="47" t="n"/>
      <c r="D1020" s="50" t="n"/>
      <c r="E1020" s="50" t="n"/>
      <c r="F1020" s="50" t="n"/>
      <c r="G1020" s="50" t="n"/>
      <c r="H1020" s="48" t="n"/>
      <c r="I1020" s="51" t="n"/>
      <c r="J1020" s="52" t="n"/>
      <c r="K1020" s="47" t="n"/>
      <c r="L1020" s="47" t="n"/>
      <c r="M1020" s="24">
        <f>IF(OR($A1020="",$C1020=""),"",IF($L1020&lt;&gt;"",$L1020-$C1020,TODAY()-$C1020))</f>
        <v/>
      </c>
      <c r="N1020" s="28">
        <f>IF(OR($A1020="",$K1020=""),"",IF($L1020="",IF(TODAY()&gt;$K1020,"Atrasado","En ruta"),IF($L1020&lt;=$K1020,"Sí","No")))</f>
        <v/>
      </c>
      <c r="O1020" s="24">
        <f>IF($A1020="","",COUNTIFS(NOVEDADES!$D$4:$D$1503,$A1020))</f>
        <v/>
      </c>
      <c r="P1020" s="28">
        <f>IF($A1020="","",IF(COUNTIFS(NOVEDADES!$D$4:$D$1503,$A1020,NOVEDADES!$O$4:$O$1503,"SÍ")&gt;0,"No","Sí"))</f>
        <v/>
      </c>
      <c r="Q1020" s="28">
        <f>IF(OR($A1020="",$L1020=""),"",IF(AND($N1020="Sí",$P1020="Sí"),"OTIF","Falló"))</f>
        <v/>
      </c>
    </row>
    <row r="1021" ht="16" customHeight="1">
      <c r="A1021" s="48" t="n"/>
      <c r="B1021" s="48" t="n"/>
      <c r="C1021" s="47" t="n"/>
      <c r="D1021" s="50" t="n"/>
      <c r="E1021" s="50" t="n"/>
      <c r="F1021" s="50" t="n"/>
      <c r="G1021" s="50" t="n"/>
      <c r="H1021" s="48" t="n"/>
      <c r="I1021" s="51" t="n"/>
      <c r="J1021" s="52" t="n"/>
      <c r="K1021" s="47" t="n"/>
      <c r="L1021" s="47" t="n"/>
      <c r="M1021" s="24">
        <f>IF(OR($A1021="",$C1021=""),"",IF($L1021&lt;&gt;"",$L1021-$C1021,TODAY()-$C1021))</f>
        <v/>
      </c>
      <c r="N1021" s="28">
        <f>IF(OR($A1021="",$K1021=""),"",IF($L1021="",IF(TODAY()&gt;$K1021,"Atrasado","En ruta"),IF($L1021&lt;=$K1021,"Sí","No")))</f>
        <v/>
      </c>
      <c r="O1021" s="24">
        <f>IF($A1021="","",COUNTIFS(NOVEDADES!$D$4:$D$1503,$A1021))</f>
        <v/>
      </c>
      <c r="P1021" s="28">
        <f>IF($A1021="","",IF(COUNTIFS(NOVEDADES!$D$4:$D$1503,$A1021,NOVEDADES!$O$4:$O$1503,"SÍ")&gt;0,"No","Sí"))</f>
        <v/>
      </c>
      <c r="Q1021" s="28">
        <f>IF(OR($A1021="",$L1021=""),"",IF(AND($N1021="Sí",$P1021="Sí"),"OTIF","Falló"))</f>
        <v/>
      </c>
    </row>
    <row r="1022" ht="16" customHeight="1">
      <c r="A1022" s="48" t="n"/>
      <c r="B1022" s="48" t="n"/>
      <c r="C1022" s="47" t="n"/>
      <c r="D1022" s="50" t="n"/>
      <c r="E1022" s="50" t="n"/>
      <c r="F1022" s="50" t="n"/>
      <c r="G1022" s="50" t="n"/>
      <c r="H1022" s="48" t="n"/>
      <c r="I1022" s="51" t="n"/>
      <c r="J1022" s="52" t="n"/>
      <c r="K1022" s="47" t="n"/>
      <c r="L1022" s="47" t="n"/>
      <c r="M1022" s="24">
        <f>IF(OR($A1022="",$C1022=""),"",IF($L1022&lt;&gt;"",$L1022-$C1022,TODAY()-$C1022))</f>
        <v/>
      </c>
      <c r="N1022" s="28">
        <f>IF(OR($A1022="",$K1022=""),"",IF($L1022="",IF(TODAY()&gt;$K1022,"Atrasado","En ruta"),IF($L1022&lt;=$K1022,"Sí","No")))</f>
        <v/>
      </c>
      <c r="O1022" s="24">
        <f>IF($A1022="","",COUNTIFS(NOVEDADES!$D$4:$D$1503,$A1022))</f>
        <v/>
      </c>
      <c r="P1022" s="28">
        <f>IF($A1022="","",IF(COUNTIFS(NOVEDADES!$D$4:$D$1503,$A1022,NOVEDADES!$O$4:$O$1503,"SÍ")&gt;0,"No","Sí"))</f>
        <v/>
      </c>
      <c r="Q1022" s="28">
        <f>IF(OR($A1022="",$L1022=""),"",IF(AND($N1022="Sí",$P1022="Sí"),"OTIF","Falló"))</f>
        <v/>
      </c>
    </row>
    <row r="1023" ht="16" customHeight="1">
      <c r="A1023" s="48" t="n"/>
      <c r="B1023" s="48" t="n"/>
      <c r="C1023" s="47" t="n"/>
      <c r="D1023" s="50" t="n"/>
      <c r="E1023" s="50" t="n"/>
      <c r="F1023" s="50" t="n"/>
      <c r="G1023" s="50" t="n"/>
      <c r="H1023" s="48" t="n"/>
      <c r="I1023" s="51" t="n"/>
      <c r="J1023" s="52" t="n"/>
      <c r="K1023" s="47" t="n"/>
      <c r="L1023" s="47" t="n"/>
      <c r="M1023" s="24">
        <f>IF(OR($A1023="",$C1023=""),"",IF($L1023&lt;&gt;"",$L1023-$C1023,TODAY()-$C1023))</f>
        <v/>
      </c>
      <c r="N1023" s="28">
        <f>IF(OR($A1023="",$K1023=""),"",IF($L1023="",IF(TODAY()&gt;$K1023,"Atrasado","En ruta"),IF($L1023&lt;=$K1023,"Sí","No")))</f>
        <v/>
      </c>
      <c r="O1023" s="24">
        <f>IF($A1023="","",COUNTIFS(NOVEDADES!$D$4:$D$1503,$A1023))</f>
        <v/>
      </c>
      <c r="P1023" s="28">
        <f>IF($A1023="","",IF(COUNTIFS(NOVEDADES!$D$4:$D$1503,$A1023,NOVEDADES!$O$4:$O$1503,"SÍ")&gt;0,"No","Sí"))</f>
        <v/>
      </c>
      <c r="Q1023" s="28">
        <f>IF(OR($A1023="",$L1023=""),"",IF(AND($N1023="Sí",$P1023="Sí"),"OTIF","Falló"))</f>
        <v/>
      </c>
    </row>
    <row r="1024" ht="16" customHeight="1">
      <c r="A1024" s="48" t="n"/>
      <c r="B1024" s="48" t="n"/>
      <c r="C1024" s="47" t="n"/>
      <c r="D1024" s="50" t="n"/>
      <c r="E1024" s="50" t="n"/>
      <c r="F1024" s="50" t="n"/>
      <c r="G1024" s="50" t="n"/>
      <c r="H1024" s="48" t="n"/>
      <c r="I1024" s="51" t="n"/>
      <c r="J1024" s="52" t="n"/>
      <c r="K1024" s="47" t="n"/>
      <c r="L1024" s="47" t="n"/>
      <c r="M1024" s="24">
        <f>IF(OR($A1024="",$C1024=""),"",IF($L1024&lt;&gt;"",$L1024-$C1024,TODAY()-$C1024))</f>
        <v/>
      </c>
      <c r="N1024" s="28">
        <f>IF(OR($A1024="",$K1024=""),"",IF($L1024="",IF(TODAY()&gt;$K1024,"Atrasado","En ruta"),IF($L1024&lt;=$K1024,"Sí","No")))</f>
        <v/>
      </c>
      <c r="O1024" s="24">
        <f>IF($A1024="","",COUNTIFS(NOVEDADES!$D$4:$D$1503,$A1024))</f>
        <v/>
      </c>
      <c r="P1024" s="28">
        <f>IF($A1024="","",IF(COUNTIFS(NOVEDADES!$D$4:$D$1503,$A1024,NOVEDADES!$O$4:$O$1503,"SÍ")&gt;0,"No","Sí"))</f>
        <v/>
      </c>
      <c r="Q1024" s="28">
        <f>IF(OR($A1024="",$L1024=""),"",IF(AND($N1024="Sí",$P1024="Sí"),"OTIF","Falló"))</f>
        <v/>
      </c>
    </row>
    <row r="1025" ht="16" customHeight="1">
      <c r="A1025" s="48" t="n"/>
      <c r="B1025" s="48" t="n"/>
      <c r="C1025" s="47" t="n"/>
      <c r="D1025" s="50" t="n"/>
      <c r="E1025" s="50" t="n"/>
      <c r="F1025" s="50" t="n"/>
      <c r="G1025" s="50" t="n"/>
      <c r="H1025" s="48" t="n"/>
      <c r="I1025" s="51" t="n"/>
      <c r="J1025" s="52" t="n"/>
      <c r="K1025" s="47" t="n"/>
      <c r="L1025" s="47" t="n"/>
      <c r="M1025" s="24">
        <f>IF(OR($A1025="",$C1025=""),"",IF($L1025&lt;&gt;"",$L1025-$C1025,TODAY()-$C1025))</f>
        <v/>
      </c>
      <c r="N1025" s="28">
        <f>IF(OR($A1025="",$K1025=""),"",IF($L1025="",IF(TODAY()&gt;$K1025,"Atrasado","En ruta"),IF($L1025&lt;=$K1025,"Sí","No")))</f>
        <v/>
      </c>
      <c r="O1025" s="24">
        <f>IF($A1025="","",COUNTIFS(NOVEDADES!$D$4:$D$1503,$A1025))</f>
        <v/>
      </c>
      <c r="P1025" s="28">
        <f>IF($A1025="","",IF(COUNTIFS(NOVEDADES!$D$4:$D$1503,$A1025,NOVEDADES!$O$4:$O$1503,"SÍ")&gt;0,"No","Sí"))</f>
        <v/>
      </c>
      <c r="Q1025" s="28">
        <f>IF(OR($A1025="",$L1025=""),"",IF(AND($N1025="Sí",$P1025="Sí"),"OTIF","Falló"))</f>
        <v/>
      </c>
    </row>
    <row r="1026" ht="16" customHeight="1">
      <c r="A1026" s="48" t="n"/>
      <c r="B1026" s="48" t="n"/>
      <c r="C1026" s="47" t="n"/>
      <c r="D1026" s="50" t="n"/>
      <c r="E1026" s="50" t="n"/>
      <c r="F1026" s="50" t="n"/>
      <c r="G1026" s="50" t="n"/>
      <c r="H1026" s="48" t="n"/>
      <c r="I1026" s="51" t="n"/>
      <c r="J1026" s="52" t="n"/>
      <c r="K1026" s="47" t="n"/>
      <c r="L1026" s="47" t="n"/>
      <c r="M1026" s="24">
        <f>IF(OR($A1026="",$C1026=""),"",IF($L1026&lt;&gt;"",$L1026-$C1026,TODAY()-$C1026))</f>
        <v/>
      </c>
      <c r="N1026" s="28">
        <f>IF(OR($A1026="",$K1026=""),"",IF($L1026="",IF(TODAY()&gt;$K1026,"Atrasado","En ruta"),IF($L1026&lt;=$K1026,"Sí","No")))</f>
        <v/>
      </c>
      <c r="O1026" s="24">
        <f>IF($A1026="","",COUNTIFS(NOVEDADES!$D$4:$D$1503,$A1026))</f>
        <v/>
      </c>
      <c r="P1026" s="28">
        <f>IF($A1026="","",IF(COUNTIFS(NOVEDADES!$D$4:$D$1503,$A1026,NOVEDADES!$O$4:$O$1503,"SÍ")&gt;0,"No","Sí"))</f>
        <v/>
      </c>
      <c r="Q1026" s="28">
        <f>IF(OR($A1026="",$L1026=""),"",IF(AND($N1026="Sí",$P1026="Sí"),"OTIF","Falló"))</f>
        <v/>
      </c>
    </row>
    <row r="1027" ht="16" customHeight="1">
      <c r="A1027" s="48" t="n"/>
      <c r="B1027" s="48" t="n"/>
      <c r="C1027" s="47" t="n"/>
      <c r="D1027" s="50" t="n"/>
      <c r="E1027" s="50" t="n"/>
      <c r="F1027" s="50" t="n"/>
      <c r="G1027" s="50" t="n"/>
      <c r="H1027" s="48" t="n"/>
      <c r="I1027" s="51" t="n"/>
      <c r="J1027" s="52" t="n"/>
      <c r="K1027" s="47" t="n"/>
      <c r="L1027" s="47" t="n"/>
      <c r="M1027" s="24">
        <f>IF(OR($A1027="",$C1027=""),"",IF($L1027&lt;&gt;"",$L1027-$C1027,TODAY()-$C1027))</f>
        <v/>
      </c>
      <c r="N1027" s="28">
        <f>IF(OR($A1027="",$K1027=""),"",IF($L1027="",IF(TODAY()&gt;$K1027,"Atrasado","En ruta"),IF($L1027&lt;=$K1027,"Sí","No")))</f>
        <v/>
      </c>
      <c r="O1027" s="24">
        <f>IF($A1027="","",COUNTIFS(NOVEDADES!$D$4:$D$1503,$A1027))</f>
        <v/>
      </c>
      <c r="P1027" s="28">
        <f>IF($A1027="","",IF(COUNTIFS(NOVEDADES!$D$4:$D$1503,$A1027,NOVEDADES!$O$4:$O$1503,"SÍ")&gt;0,"No","Sí"))</f>
        <v/>
      </c>
      <c r="Q1027" s="28">
        <f>IF(OR($A1027="",$L1027=""),"",IF(AND($N1027="Sí",$P1027="Sí"),"OTIF","Falló"))</f>
        <v/>
      </c>
    </row>
    <row r="1028" ht="16" customHeight="1">
      <c r="A1028" s="48" t="n"/>
      <c r="B1028" s="48" t="n"/>
      <c r="C1028" s="47" t="n"/>
      <c r="D1028" s="50" t="n"/>
      <c r="E1028" s="50" t="n"/>
      <c r="F1028" s="50" t="n"/>
      <c r="G1028" s="50" t="n"/>
      <c r="H1028" s="48" t="n"/>
      <c r="I1028" s="51" t="n"/>
      <c r="J1028" s="52" t="n"/>
      <c r="K1028" s="47" t="n"/>
      <c r="L1028" s="47" t="n"/>
      <c r="M1028" s="24">
        <f>IF(OR($A1028="",$C1028=""),"",IF($L1028&lt;&gt;"",$L1028-$C1028,TODAY()-$C1028))</f>
        <v/>
      </c>
      <c r="N1028" s="28">
        <f>IF(OR($A1028="",$K1028=""),"",IF($L1028="",IF(TODAY()&gt;$K1028,"Atrasado","En ruta"),IF($L1028&lt;=$K1028,"Sí","No")))</f>
        <v/>
      </c>
      <c r="O1028" s="24">
        <f>IF($A1028="","",COUNTIFS(NOVEDADES!$D$4:$D$1503,$A1028))</f>
        <v/>
      </c>
      <c r="P1028" s="28">
        <f>IF($A1028="","",IF(COUNTIFS(NOVEDADES!$D$4:$D$1503,$A1028,NOVEDADES!$O$4:$O$1503,"SÍ")&gt;0,"No","Sí"))</f>
        <v/>
      </c>
      <c r="Q1028" s="28">
        <f>IF(OR($A1028="",$L1028=""),"",IF(AND($N1028="Sí",$P1028="Sí"),"OTIF","Falló"))</f>
        <v/>
      </c>
    </row>
    <row r="1029" ht="16" customHeight="1">
      <c r="A1029" s="48" t="n"/>
      <c r="B1029" s="48" t="n"/>
      <c r="C1029" s="47" t="n"/>
      <c r="D1029" s="50" t="n"/>
      <c r="E1029" s="50" t="n"/>
      <c r="F1029" s="50" t="n"/>
      <c r="G1029" s="50" t="n"/>
      <c r="H1029" s="48" t="n"/>
      <c r="I1029" s="51" t="n"/>
      <c r="J1029" s="52" t="n"/>
      <c r="K1029" s="47" t="n"/>
      <c r="L1029" s="47" t="n"/>
      <c r="M1029" s="24">
        <f>IF(OR($A1029="",$C1029=""),"",IF($L1029&lt;&gt;"",$L1029-$C1029,TODAY()-$C1029))</f>
        <v/>
      </c>
      <c r="N1029" s="28">
        <f>IF(OR($A1029="",$K1029=""),"",IF($L1029="",IF(TODAY()&gt;$K1029,"Atrasado","En ruta"),IF($L1029&lt;=$K1029,"Sí","No")))</f>
        <v/>
      </c>
      <c r="O1029" s="24">
        <f>IF($A1029="","",COUNTIFS(NOVEDADES!$D$4:$D$1503,$A1029))</f>
        <v/>
      </c>
      <c r="P1029" s="28">
        <f>IF($A1029="","",IF(COUNTIFS(NOVEDADES!$D$4:$D$1503,$A1029,NOVEDADES!$O$4:$O$1503,"SÍ")&gt;0,"No","Sí"))</f>
        <v/>
      </c>
      <c r="Q1029" s="28">
        <f>IF(OR($A1029="",$L1029=""),"",IF(AND($N1029="Sí",$P1029="Sí"),"OTIF","Falló"))</f>
        <v/>
      </c>
    </row>
    <row r="1030" ht="16" customHeight="1">
      <c r="A1030" s="48" t="n"/>
      <c r="B1030" s="48" t="n"/>
      <c r="C1030" s="47" t="n"/>
      <c r="D1030" s="50" t="n"/>
      <c r="E1030" s="50" t="n"/>
      <c r="F1030" s="50" t="n"/>
      <c r="G1030" s="50" t="n"/>
      <c r="H1030" s="48" t="n"/>
      <c r="I1030" s="51" t="n"/>
      <c r="J1030" s="52" t="n"/>
      <c r="K1030" s="47" t="n"/>
      <c r="L1030" s="47" t="n"/>
      <c r="M1030" s="24">
        <f>IF(OR($A1030="",$C1030=""),"",IF($L1030&lt;&gt;"",$L1030-$C1030,TODAY()-$C1030))</f>
        <v/>
      </c>
      <c r="N1030" s="28">
        <f>IF(OR($A1030="",$K1030=""),"",IF($L1030="",IF(TODAY()&gt;$K1030,"Atrasado","En ruta"),IF($L1030&lt;=$K1030,"Sí","No")))</f>
        <v/>
      </c>
      <c r="O1030" s="24">
        <f>IF($A1030="","",COUNTIFS(NOVEDADES!$D$4:$D$1503,$A1030))</f>
        <v/>
      </c>
      <c r="P1030" s="28">
        <f>IF($A1030="","",IF(COUNTIFS(NOVEDADES!$D$4:$D$1503,$A1030,NOVEDADES!$O$4:$O$1503,"SÍ")&gt;0,"No","Sí"))</f>
        <v/>
      </c>
      <c r="Q1030" s="28">
        <f>IF(OR($A1030="",$L1030=""),"",IF(AND($N1030="Sí",$P1030="Sí"),"OTIF","Falló"))</f>
        <v/>
      </c>
    </row>
    <row r="1031" ht="16" customHeight="1">
      <c r="A1031" s="48" t="n"/>
      <c r="B1031" s="48" t="n"/>
      <c r="C1031" s="47" t="n"/>
      <c r="D1031" s="50" t="n"/>
      <c r="E1031" s="50" t="n"/>
      <c r="F1031" s="50" t="n"/>
      <c r="G1031" s="50" t="n"/>
      <c r="H1031" s="48" t="n"/>
      <c r="I1031" s="51" t="n"/>
      <c r="J1031" s="52" t="n"/>
      <c r="K1031" s="47" t="n"/>
      <c r="L1031" s="47" t="n"/>
      <c r="M1031" s="24">
        <f>IF(OR($A1031="",$C1031=""),"",IF($L1031&lt;&gt;"",$L1031-$C1031,TODAY()-$C1031))</f>
        <v/>
      </c>
      <c r="N1031" s="28">
        <f>IF(OR($A1031="",$K1031=""),"",IF($L1031="",IF(TODAY()&gt;$K1031,"Atrasado","En ruta"),IF($L1031&lt;=$K1031,"Sí","No")))</f>
        <v/>
      </c>
      <c r="O1031" s="24">
        <f>IF($A1031="","",COUNTIFS(NOVEDADES!$D$4:$D$1503,$A1031))</f>
        <v/>
      </c>
      <c r="P1031" s="28">
        <f>IF($A1031="","",IF(COUNTIFS(NOVEDADES!$D$4:$D$1503,$A1031,NOVEDADES!$O$4:$O$1503,"SÍ")&gt;0,"No","Sí"))</f>
        <v/>
      </c>
      <c r="Q1031" s="28">
        <f>IF(OR($A1031="",$L1031=""),"",IF(AND($N1031="Sí",$P1031="Sí"),"OTIF","Falló"))</f>
        <v/>
      </c>
    </row>
    <row r="1032" ht="16" customHeight="1">
      <c r="A1032" s="48" t="n"/>
      <c r="B1032" s="48" t="n"/>
      <c r="C1032" s="47" t="n"/>
      <c r="D1032" s="50" t="n"/>
      <c r="E1032" s="50" t="n"/>
      <c r="F1032" s="50" t="n"/>
      <c r="G1032" s="50" t="n"/>
      <c r="H1032" s="48" t="n"/>
      <c r="I1032" s="51" t="n"/>
      <c r="J1032" s="52" t="n"/>
      <c r="K1032" s="47" t="n"/>
      <c r="L1032" s="47" t="n"/>
      <c r="M1032" s="24">
        <f>IF(OR($A1032="",$C1032=""),"",IF($L1032&lt;&gt;"",$L1032-$C1032,TODAY()-$C1032))</f>
        <v/>
      </c>
      <c r="N1032" s="28">
        <f>IF(OR($A1032="",$K1032=""),"",IF($L1032="",IF(TODAY()&gt;$K1032,"Atrasado","En ruta"),IF($L1032&lt;=$K1032,"Sí","No")))</f>
        <v/>
      </c>
      <c r="O1032" s="24">
        <f>IF($A1032="","",COUNTIFS(NOVEDADES!$D$4:$D$1503,$A1032))</f>
        <v/>
      </c>
      <c r="P1032" s="28">
        <f>IF($A1032="","",IF(COUNTIFS(NOVEDADES!$D$4:$D$1503,$A1032,NOVEDADES!$O$4:$O$1503,"SÍ")&gt;0,"No","Sí"))</f>
        <v/>
      </c>
      <c r="Q1032" s="28">
        <f>IF(OR($A1032="",$L1032=""),"",IF(AND($N1032="Sí",$P1032="Sí"),"OTIF","Falló"))</f>
        <v/>
      </c>
    </row>
    <row r="1033" ht="16" customHeight="1">
      <c r="A1033" s="48" t="n"/>
      <c r="B1033" s="48" t="n"/>
      <c r="C1033" s="47" t="n"/>
      <c r="D1033" s="50" t="n"/>
      <c r="E1033" s="50" t="n"/>
      <c r="F1033" s="50" t="n"/>
      <c r="G1033" s="50" t="n"/>
      <c r="H1033" s="48" t="n"/>
      <c r="I1033" s="51" t="n"/>
      <c r="J1033" s="52" t="n"/>
      <c r="K1033" s="47" t="n"/>
      <c r="L1033" s="47" t="n"/>
      <c r="M1033" s="24">
        <f>IF(OR($A1033="",$C1033=""),"",IF($L1033&lt;&gt;"",$L1033-$C1033,TODAY()-$C1033))</f>
        <v/>
      </c>
      <c r="N1033" s="28">
        <f>IF(OR($A1033="",$K1033=""),"",IF($L1033="",IF(TODAY()&gt;$K1033,"Atrasado","En ruta"),IF($L1033&lt;=$K1033,"Sí","No")))</f>
        <v/>
      </c>
      <c r="O1033" s="24">
        <f>IF($A1033="","",COUNTIFS(NOVEDADES!$D$4:$D$1503,$A1033))</f>
        <v/>
      </c>
      <c r="P1033" s="28">
        <f>IF($A1033="","",IF(COUNTIFS(NOVEDADES!$D$4:$D$1503,$A1033,NOVEDADES!$O$4:$O$1503,"SÍ")&gt;0,"No","Sí"))</f>
        <v/>
      </c>
      <c r="Q1033" s="28">
        <f>IF(OR($A1033="",$L1033=""),"",IF(AND($N1033="Sí",$P1033="Sí"),"OTIF","Falló"))</f>
        <v/>
      </c>
    </row>
    <row r="1034" ht="16" customHeight="1">
      <c r="A1034" s="48" t="n"/>
      <c r="B1034" s="48" t="n"/>
      <c r="C1034" s="47" t="n"/>
      <c r="D1034" s="50" t="n"/>
      <c r="E1034" s="50" t="n"/>
      <c r="F1034" s="50" t="n"/>
      <c r="G1034" s="50" t="n"/>
      <c r="H1034" s="48" t="n"/>
      <c r="I1034" s="51" t="n"/>
      <c r="J1034" s="52" t="n"/>
      <c r="K1034" s="47" t="n"/>
      <c r="L1034" s="47" t="n"/>
      <c r="M1034" s="24">
        <f>IF(OR($A1034="",$C1034=""),"",IF($L1034&lt;&gt;"",$L1034-$C1034,TODAY()-$C1034))</f>
        <v/>
      </c>
      <c r="N1034" s="28">
        <f>IF(OR($A1034="",$K1034=""),"",IF($L1034="",IF(TODAY()&gt;$K1034,"Atrasado","En ruta"),IF($L1034&lt;=$K1034,"Sí","No")))</f>
        <v/>
      </c>
      <c r="O1034" s="24">
        <f>IF($A1034="","",COUNTIFS(NOVEDADES!$D$4:$D$1503,$A1034))</f>
        <v/>
      </c>
      <c r="P1034" s="28">
        <f>IF($A1034="","",IF(COUNTIFS(NOVEDADES!$D$4:$D$1503,$A1034,NOVEDADES!$O$4:$O$1503,"SÍ")&gt;0,"No","Sí"))</f>
        <v/>
      </c>
      <c r="Q1034" s="28">
        <f>IF(OR($A1034="",$L1034=""),"",IF(AND($N1034="Sí",$P1034="Sí"),"OTIF","Falló"))</f>
        <v/>
      </c>
    </row>
    <row r="1035" ht="16" customHeight="1">
      <c r="A1035" s="48" t="n"/>
      <c r="B1035" s="48" t="n"/>
      <c r="C1035" s="47" t="n"/>
      <c r="D1035" s="50" t="n"/>
      <c r="E1035" s="50" t="n"/>
      <c r="F1035" s="50" t="n"/>
      <c r="G1035" s="50" t="n"/>
      <c r="H1035" s="48" t="n"/>
      <c r="I1035" s="51" t="n"/>
      <c r="J1035" s="52" t="n"/>
      <c r="K1035" s="47" t="n"/>
      <c r="L1035" s="47" t="n"/>
      <c r="M1035" s="24">
        <f>IF(OR($A1035="",$C1035=""),"",IF($L1035&lt;&gt;"",$L1035-$C1035,TODAY()-$C1035))</f>
        <v/>
      </c>
      <c r="N1035" s="28">
        <f>IF(OR($A1035="",$K1035=""),"",IF($L1035="",IF(TODAY()&gt;$K1035,"Atrasado","En ruta"),IF($L1035&lt;=$K1035,"Sí","No")))</f>
        <v/>
      </c>
      <c r="O1035" s="24">
        <f>IF($A1035="","",COUNTIFS(NOVEDADES!$D$4:$D$1503,$A1035))</f>
        <v/>
      </c>
      <c r="P1035" s="28">
        <f>IF($A1035="","",IF(COUNTIFS(NOVEDADES!$D$4:$D$1503,$A1035,NOVEDADES!$O$4:$O$1503,"SÍ")&gt;0,"No","Sí"))</f>
        <v/>
      </c>
      <c r="Q1035" s="28">
        <f>IF(OR($A1035="",$L1035=""),"",IF(AND($N1035="Sí",$P1035="Sí"),"OTIF","Falló"))</f>
        <v/>
      </c>
    </row>
    <row r="1036" ht="16" customHeight="1">
      <c r="A1036" s="48" t="n"/>
      <c r="B1036" s="48" t="n"/>
      <c r="C1036" s="47" t="n"/>
      <c r="D1036" s="50" t="n"/>
      <c r="E1036" s="50" t="n"/>
      <c r="F1036" s="50" t="n"/>
      <c r="G1036" s="50" t="n"/>
      <c r="H1036" s="48" t="n"/>
      <c r="I1036" s="51" t="n"/>
      <c r="J1036" s="52" t="n"/>
      <c r="K1036" s="47" t="n"/>
      <c r="L1036" s="47" t="n"/>
      <c r="M1036" s="24">
        <f>IF(OR($A1036="",$C1036=""),"",IF($L1036&lt;&gt;"",$L1036-$C1036,TODAY()-$C1036))</f>
        <v/>
      </c>
      <c r="N1036" s="28">
        <f>IF(OR($A1036="",$K1036=""),"",IF($L1036="",IF(TODAY()&gt;$K1036,"Atrasado","En ruta"),IF($L1036&lt;=$K1036,"Sí","No")))</f>
        <v/>
      </c>
      <c r="O1036" s="24">
        <f>IF($A1036="","",COUNTIFS(NOVEDADES!$D$4:$D$1503,$A1036))</f>
        <v/>
      </c>
      <c r="P1036" s="28">
        <f>IF($A1036="","",IF(COUNTIFS(NOVEDADES!$D$4:$D$1503,$A1036,NOVEDADES!$O$4:$O$1503,"SÍ")&gt;0,"No","Sí"))</f>
        <v/>
      </c>
      <c r="Q1036" s="28">
        <f>IF(OR($A1036="",$L1036=""),"",IF(AND($N1036="Sí",$P1036="Sí"),"OTIF","Falló"))</f>
        <v/>
      </c>
    </row>
    <row r="1037" ht="16" customHeight="1">
      <c r="A1037" s="48" t="n"/>
      <c r="B1037" s="48" t="n"/>
      <c r="C1037" s="47" t="n"/>
      <c r="D1037" s="50" t="n"/>
      <c r="E1037" s="50" t="n"/>
      <c r="F1037" s="50" t="n"/>
      <c r="G1037" s="50" t="n"/>
      <c r="H1037" s="48" t="n"/>
      <c r="I1037" s="51" t="n"/>
      <c r="J1037" s="52" t="n"/>
      <c r="K1037" s="47" t="n"/>
      <c r="L1037" s="47" t="n"/>
      <c r="M1037" s="24">
        <f>IF(OR($A1037="",$C1037=""),"",IF($L1037&lt;&gt;"",$L1037-$C1037,TODAY()-$C1037))</f>
        <v/>
      </c>
      <c r="N1037" s="28">
        <f>IF(OR($A1037="",$K1037=""),"",IF($L1037="",IF(TODAY()&gt;$K1037,"Atrasado","En ruta"),IF($L1037&lt;=$K1037,"Sí","No")))</f>
        <v/>
      </c>
      <c r="O1037" s="24">
        <f>IF($A1037="","",COUNTIFS(NOVEDADES!$D$4:$D$1503,$A1037))</f>
        <v/>
      </c>
      <c r="P1037" s="28">
        <f>IF($A1037="","",IF(COUNTIFS(NOVEDADES!$D$4:$D$1503,$A1037,NOVEDADES!$O$4:$O$1503,"SÍ")&gt;0,"No","Sí"))</f>
        <v/>
      </c>
      <c r="Q1037" s="28">
        <f>IF(OR($A1037="",$L1037=""),"",IF(AND($N1037="Sí",$P1037="Sí"),"OTIF","Falló"))</f>
        <v/>
      </c>
    </row>
    <row r="1038" ht="16" customHeight="1">
      <c r="A1038" s="48" t="n"/>
      <c r="B1038" s="48" t="n"/>
      <c r="C1038" s="47" t="n"/>
      <c r="D1038" s="50" t="n"/>
      <c r="E1038" s="50" t="n"/>
      <c r="F1038" s="50" t="n"/>
      <c r="G1038" s="50" t="n"/>
      <c r="H1038" s="48" t="n"/>
      <c r="I1038" s="51" t="n"/>
      <c r="J1038" s="52" t="n"/>
      <c r="K1038" s="47" t="n"/>
      <c r="L1038" s="47" t="n"/>
      <c r="M1038" s="24">
        <f>IF(OR($A1038="",$C1038=""),"",IF($L1038&lt;&gt;"",$L1038-$C1038,TODAY()-$C1038))</f>
        <v/>
      </c>
      <c r="N1038" s="28">
        <f>IF(OR($A1038="",$K1038=""),"",IF($L1038="",IF(TODAY()&gt;$K1038,"Atrasado","En ruta"),IF($L1038&lt;=$K1038,"Sí","No")))</f>
        <v/>
      </c>
      <c r="O1038" s="24">
        <f>IF($A1038="","",COUNTIFS(NOVEDADES!$D$4:$D$1503,$A1038))</f>
        <v/>
      </c>
      <c r="P1038" s="28">
        <f>IF($A1038="","",IF(COUNTIFS(NOVEDADES!$D$4:$D$1503,$A1038,NOVEDADES!$O$4:$O$1503,"SÍ")&gt;0,"No","Sí"))</f>
        <v/>
      </c>
      <c r="Q1038" s="28">
        <f>IF(OR($A1038="",$L1038=""),"",IF(AND($N1038="Sí",$P1038="Sí"),"OTIF","Falló"))</f>
        <v/>
      </c>
    </row>
    <row r="1039" ht="16" customHeight="1">
      <c r="A1039" s="48" t="n"/>
      <c r="B1039" s="48" t="n"/>
      <c r="C1039" s="47" t="n"/>
      <c r="D1039" s="50" t="n"/>
      <c r="E1039" s="50" t="n"/>
      <c r="F1039" s="50" t="n"/>
      <c r="G1039" s="50" t="n"/>
      <c r="H1039" s="48" t="n"/>
      <c r="I1039" s="51" t="n"/>
      <c r="J1039" s="52" t="n"/>
      <c r="K1039" s="47" t="n"/>
      <c r="L1039" s="47" t="n"/>
      <c r="M1039" s="24">
        <f>IF(OR($A1039="",$C1039=""),"",IF($L1039&lt;&gt;"",$L1039-$C1039,TODAY()-$C1039))</f>
        <v/>
      </c>
      <c r="N1039" s="28">
        <f>IF(OR($A1039="",$K1039=""),"",IF($L1039="",IF(TODAY()&gt;$K1039,"Atrasado","En ruta"),IF($L1039&lt;=$K1039,"Sí","No")))</f>
        <v/>
      </c>
      <c r="O1039" s="24">
        <f>IF($A1039="","",COUNTIFS(NOVEDADES!$D$4:$D$1503,$A1039))</f>
        <v/>
      </c>
      <c r="P1039" s="28">
        <f>IF($A1039="","",IF(COUNTIFS(NOVEDADES!$D$4:$D$1503,$A1039,NOVEDADES!$O$4:$O$1503,"SÍ")&gt;0,"No","Sí"))</f>
        <v/>
      </c>
      <c r="Q1039" s="28">
        <f>IF(OR($A1039="",$L1039=""),"",IF(AND($N1039="Sí",$P1039="Sí"),"OTIF","Falló"))</f>
        <v/>
      </c>
    </row>
    <row r="1040" ht="16" customHeight="1">
      <c r="A1040" s="48" t="n"/>
      <c r="B1040" s="48" t="n"/>
      <c r="C1040" s="47" t="n"/>
      <c r="D1040" s="50" t="n"/>
      <c r="E1040" s="50" t="n"/>
      <c r="F1040" s="50" t="n"/>
      <c r="G1040" s="50" t="n"/>
      <c r="H1040" s="48" t="n"/>
      <c r="I1040" s="51" t="n"/>
      <c r="J1040" s="52" t="n"/>
      <c r="K1040" s="47" t="n"/>
      <c r="L1040" s="47" t="n"/>
      <c r="M1040" s="24">
        <f>IF(OR($A1040="",$C1040=""),"",IF($L1040&lt;&gt;"",$L1040-$C1040,TODAY()-$C1040))</f>
        <v/>
      </c>
      <c r="N1040" s="28">
        <f>IF(OR($A1040="",$K1040=""),"",IF($L1040="",IF(TODAY()&gt;$K1040,"Atrasado","En ruta"),IF($L1040&lt;=$K1040,"Sí","No")))</f>
        <v/>
      </c>
      <c r="O1040" s="24">
        <f>IF($A1040="","",COUNTIFS(NOVEDADES!$D$4:$D$1503,$A1040))</f>
        <v/>
      </c>
      <c r="P1040" s="28">
        <f>IF($A1040="","",IF(COUNTIFS(NOVEDADES!$D$4:$D$1503,$A1040,NOVEDADES!$O$4:$O$1503,"SÍ")&gt;0,"No","Sí"))</f>
        <v/>
      </c>
      <c r="Q1040" s="28">
        <f>IF(OR($A1040="",$L1040=""),"",IF(AND($N1040="Sí",$P1040="Sí"),"OTIF","Falló"))</f>
        <v/>
      </c>
    </row>
    <row r="1041" ht="16" customHeight="1">
      <c r="A1041" s="48" t="n"/>
      <c r="B1041" s="48" t="n"/>
      <c r="C1041" s="47" t="n"/>
      <c r="D1041" s="50" t="n"/>
      <c r="E1041" s="50" t="n"/>
      <c r="F1041" s="50" t="n"/>
      <c r="G1041" s="50" t="n"/>
      <c r="H1041" s="48" t="n"/>
      <c r="I1041" s="51" t="n"/>
      <c r="J1041" s="52" t="n"/>
      <c r="K1041" s="47" t="n"/>
      <c r="L1041" s="47" t="n"/>
      <c r="M1041" s="24">
        <f>IF(OR($A1041="",$C1041=""),"",IF($L1041&lt;&gt;"",$L1041-$C1041,TODAY()-$C1041))</f>
        <v/>
      </c>
      <c r="N1041" s="28">
        <f>IF(OR($A1041="",$K1041=""),"",IF($L1041="",IF(TODAY()&gt;$K1041,"Atrasado","En ruta"),IF($L1041&lt;=$K1041,"Sí","No")))</f>
        <v/>
      </c>
      <c r="O1041" s="24">
        <f>IF($A1041="","",COUNTIFS(NOVEDADES!$D$4:$D$1503,$A1041))</f>
        <v/>
      </c>
      <c r="P1041" s="28">
        <f>IF($A1041="","",IF(COUNTIFS(NOVEDADES!$D$4:$D$1503,$A1041,NOVEDADES!$O$4:$O$1503,"SÍ")&gt;0,"No","Sí"))</f>
        <v/>
      </c>
      <c r="Q1041" s="28">
        <f>IF(OR($A1041="",$L1041=""),"",IF(AND($N1041="Sí",$P1041="Sí"),"OTIF","Falló"))</f>
        <v/>
      </c>
    </row>
    <row r="1042" ht="16" customHeight="1">
      <c r="A1042" s="48" t="n"/>
      <c r="B1042" s="48" t="n"/>
      <c r="C1042" s="47" t="n"/>
      <c r="D1042" s="50" t="n"/>
      <c r="E1042" s="50" t="n"/>
      <c r="F1042" s="50" t="n"/>
      <c r="G1042" s="50" t="n"/>
      <c r="H1042" s="48" t="n"/>
      <c r="I1042" s="51" t="n"/>
      <c r="J1042" s="52" t="n"/>
      <c r="K1042" s="47" t="n"/>
      <c r="L1042" s="47" t="n"/>
      <c r="M1042" s="24">
        <f>IF(OR($A1042="",$C1042=""),"",IF($L1042&lt;&gt;"",$L1042-$C1042,TODAY()-$C1042))</f>
        <v/>
      </c>
      <c r="N1042" s="28">
        <f>IF(OR($A1042="",$K1042=""),"",IF($L1042="",IF(TODAY()&gt;$K1042,"Atrasado","En ruta"),IF($L1042&lt;=$K1042,"Sí","No")))</f>
        <v/>
      </c>
      <c r="O1042" s="24">
        <f>IF($A1042="","",COUNTIFS(NOVEDADES!$D$4:$D$1503,$A1042))</f>
        <v/>
      </c>
      <c r="P1042" s="28">
        <f>IF($A1042="","",IF(COUNTIFS(NOVEDADES!$D$4:$D$1503,$A1042,NOVEDADES!$O$4:$O$1503,"SÍ")&gt;0,"No","Sí"))</f>
        <v/>
      </c>
      <c r="Q1042" s="28">
        <f>IF(OR($A1042="",$L1042=""),"",IF(AND($N1042="Sí",$P1042="Sí"),"OTIF","Falló"))</f>
        <v/>
      </c>
    </row>
    <row r="1043" ht="16" customHeight="1">
      <c r="A1043" s="48" t="n"/>
      <c r="B1043" s="48" t="n"/>
      <c r="C1043" s="47" t="n"/>
      <c r="D1043" s="50" t="n"/>
      <c r="E1043" s="50" t="n"/>
      <c r="F1043" s="50" t="n"/>
      <c r="G1043" s="50" t="n"/>
      <c r="H1043" s="48" t="n"/>
      <c r="I1043" s="51" t="n"/>
      <c r="J1043" s="52" t="n"/>
      <c r="K1043" s="47" t="n"/>
      <c r="L1043" s="47" t="n"/>
      <c r="M1043" s="24">
        <f>IF(OR($A1043="",$C1043=""),"",IF($L1043&lt;&gt;"",$L1043-$C1043,TODAY()-$C1043))</f>
        <v/>
      </c>
      <c r="N1043" s="28">
        <f>IF(OR($A1043="",$K1043=""),"",IF($L1043="",IF(TODAY()&gt;$K1043,"Atrasado","En ruta"),IF($L1043&lt;=$K1043,"Sí","No")))</f>
        <v/>
      </c>
      <c r="O1043" s="24">
        <f>IF($A1043="","",COUNTIFS(NOVEDADES!$D$4:$D$1503,$A1043))</f>
        <v/>
      </c>
      <c r="P1043" s="28">
        <f>IF($A1043="","",IF(COUNTIFS(NOVEDADES!$D$4:$D$1503,$A1043,NOVEDADES!$O$4:$O$1503,"SÍ")&gt;0,"No","Sí"))</f>
        <v/>
      </c>
      <c r="Q1043" s="28">
        <f>IF(OR($A1043="",$L1043=""),"",IF(AND($N1043="Sí",$P1043="Sí"),"OTIF","Falló"))</f>
        <v/>
      </c>
    </row>
    <row r="1044" ht="16" customHeight="1">
      <c r="A1044" s="48" t="n"/>
      <c r="B1044" s="48" t="n"/>
      <c r="C1044" s="47" t="n"/>
      <c r="D1044" s="50" t="n"/>
      <c r="E1044" s="50" t="n"/>
      <c r="F1044" s="50" t="n"/>
      <c r="G1044" s="50" t="n"/>
      <c r="H1044" s="48" t="n"/>
      <c r="I1044" s="51" t="n"/>
      <c r="J1044" s="52" t="n"/>
      <c r="K1044" s="47" t="n"/>
      <c r="L1044" s="47" t="n"/>
      <c r="M1044" s="24">
        <f>IF(OR($A1044="",$C1044=""),"",IF($L1044&lt;&gt;"",$L1044-$C1044,TODAY()-$C1044))</f>
        <v/>
      </c>
      <c r="N1044" s="28">
        <f>IF(OR($A1044="",$K1044=""),"",IF($L1044="",IF(TODAY()&gt;$K1044,"Atrasado","En ruta"),IF($L1044&lt;=$K1044,"Sí","No")))</f>
        <v/>
      </c>
      <c r="O1044" s="24">
        <f>IF($A1044="","",COUNTIFS(NOVEDADES!$D$4:$D$1503,$A1044))</f>
        <v/>
      </c>
      <c r="P1044" s="28">
        <f>IF($A1044="","",IF(COUNTIFS(NOVEDADES!$D$4:$D$1503,$A1044,NOVEDADES!$O$4:$O$1503,"SÍ")&gt;0,"No","Sí"))</f>
        <v/>
      </c>
      <c r="Q1044" s="28">
        <f>IF(OR($A1044="",$L1044=""),"",IF(AND($N1044="Sí",$P1044="Sí"),"OTIF","Falló"))</f>
        <v/>
      </c>
    </row>
    <row r="1045" ht="16" customHeight="1">
      <c r="A1045" s="48" t="n"/>
      <c r="B1045" s="48" t="n"/>
      <c r="C1045" s="47" t="n"/>
      <c r="D1045" s="50" t="n"/>
      <c r="E1045" s="50" t="n"/>
      <c r="F1045" s="50" t="n"/>
      <c r="G1045" s="50" t="n"/>
      <c r="H1045" s="48" t="n"/>
      <c r="I1045" s="51" t="n"/>
      <c r="J1045" s="52" t="n"/>
      <c r="K1045" s="47" t="n"/>
      <c r="L1045" s="47" t="n"/>
      <c r="M1045" s="24">
        <f>IF(OR($A1045="",$C1045=""),"",IF($L1045&lt;&gt;"",$L1045-$C1045,TODAY()-$C1045))</f>
        <v/>
      </c>
      <c r="N1045" s="28">
        <f>IF(OR($A1045="",$K1045=""),"",IF($L1045="",IF(TODAY()&gt;$K1045,"Atrasado","En ruta"),IF($L1045&lt;=$K1045,"Sí","No")))</f>
        <v/>
      </c>
      <c r="O1045" s="24">
        <f>IF($A1045="","",COUNTIFS(NOVEDADES!$D$4:$D$1503,$A1045))</f>
        <v/>
      </c>
      <c r="P1045" s="28">
        <f>IF($A1045="","",IF(COUNTIFS(NOVEDADES!$D$4:$D$1503,$A1045,NOVEDADES!$O$4:$O$1503,"SÍ")&gt;0,"No","Sí"))</f>
        <v/>
      </c>
      <c r="Q1045" s="28">
        <f>IF(OR($A1045="",$L1045=""),"",IF(AND($N1045="Sí",$P1045="Sí"),"OTIF","Falló"))</f>
        <v/>
      </c>
    </row>
    <row r="1046" ht="16" customHeight="1">
      <c r="A1046" s="48" t="n"/>
      <c r="B1046" s="48" t="n"/>
      <c r="C1046" s="47" t="n"/>
      <c r="D1046" s="50" t="n"/>
      <c r="E1046" s="50" t="n"/>
      <c r="F1046" s="50" t="n"/>
      <c r="G1046" s="50" t="n"/>
      <c r="H1046" s="48" t="n"/>
      <c r="I1046" s="51" t="n"/>
      <c r="J1046" s="52" t="n"/>
      <c r="K1046" s="47" t="n"/>
      <c r="L1046" s="47" t="n"/>
      <c r="M1046" s="24">
        <f>IF(OR($A1046="",$C1046=""),"",IF($L1046&lt;&gt;"",$L1046-$C1046,TODAY()-$C1046))</f>
        <v/>
      </c>
      <c r="N1046" s="28">
        <f>IF(OR($A1046="",$K1046=""),"",IF($L1046="",IF(TODAY()&gt;$K1046,"Atrasado","En ruta"),IF($L1046&lt;=$K1046,"Sí","No")))</f>
        <v/>
      </c>
      <c r="O1046" s="24">
        <f>IF($A1046="","",COUNTIFS(NOVEDADES!$D$4:$D$1503,$A1046))</f>
        <v/>
      </c>
      <c r="P1046" s="28">
        <f>IF($A1046="","",IF(COUNTIFS(NOVEDADES!$D$4:$D$1503,$A1046,NOVEDADES!$O$4:$O$1503,"SÍ")&gt;0,"No","Sí"))</f>
        <v/>
      </c>
      <c r="Q1046" s="28">
        <f>IF(OR($A1046="",$L1046=""),"",IF(AND($N1046="Sí",$P1046="Sí"),"OTIF","Falló"))</f>
        <v/>
      </c>
    </row>
    <row r="1047" ht="16" customHeight="1">
      <c r="A1047" s="48" t="n"/>
      <c r="B1047" s="48" t="n"/>
      <c r="C1047" s="47" t="n"/>
      <c r="D1047" s="50" t="n"/>
      <c r="E1047" s="50" t="n"/>
      <c r="F1047" s="50" t="n"/>
      <c r="G1047" s="50" t="n"/>
      <c r="H1047" s="48" t="n"/>
      <c r="I1047" s="51" t="n"/>
      <c r="J1047" s="52" t="n"/>
      <c r="K1047" s="47" t="n"/>
      <c r="L1047" s="47" t="n"/>
      <c r="M1047" s="24">
        <f>IF(OR($A1047="",$C1047=""),"",IF($L1047&lt;&gt;"",$L1047-$C1047,TODAY()-$C1047))</f>
        <v/>
      </c>
      <c r="N1047" s="28">
        <f>IF(OR($A1047="",$K1047=""),"",IF($L1047="",IF(TODAY()&gt;$K1047,"Atrasado","En ruta"),IF($L1047&lt;=$K1047,"Sí","No")))</f>
        <v/>
      </c>
      <c r="O1047" s="24">
        <f>IF($A1047="","",COUNTIFS(NOVEDADES!$D$4:$D$1503,$A1047))</f>
        <v/>
      </c>
      <c r="P1047" s="28">
        <f>IF($A1047="","",IF(COUNTIFS(NOVEDADES!$D$4:$D$1503,$A1047,NOVEDADES!$O$4:$O$1503,"SÍ")&gt;0,"No","Sí"))</f>
        <v/>
      </c>
      <c r="Q1047" s="28">
        <f>IF(OR($A1047="",$L1047=""),"",IF(AND($N1047="Sí",$P1047="Sí"),"OTIF","Falló"))</f>
        <v/>
      </c>
    </row>
    <row r="1048" ht="16" customHeight="1">
      <c r="A1048" s="48" t="n"/>
      <c r="B1048" s="48" t="n"/>
      <c r="C1048" s="47" t="n"/>
      <c r="D1048" s="50" t="n"/>
      <c r="E1048" s="50" t="n"/>
      <c r="F1048" s="50" t="n"/>
      <c r="G1048" s="50" t="n"/>
      <c r="H1048" s="48" t="n"/>
      <c r="I1048" s="51" t="n"/>
      <c r="J1048" s="52" t="n"/>
      <c r="K1048" s="47" t="n"/>
      <c r="L1048" s="47" t="n"/>
      <c r="M1048" s="24">
        <f>IF(OR($A1048="",$C1048=""),"",IF($L1048&lt;&gt;"",$L1048-$C1048,TODAY()-$C1048))</f>
        <v/>
      </c>
      <c r="N1048" s="28">
        <f>IF(OR($A1048="",$K1048=""),"",IF($L1048="",IF(TODAY()&gt;$K1048,"Atrasado","En ruta"),IF($L1048&lt;=$K1048,"Sí","No")))</f>
        <v/>
      </c>
      <c r="O1048" s="24">
        <f>IF($A1048="","",COUNTIFS(NOVEDADES!$D$4:$D$1503,$A1048))</f>
        <v/>
      </c>
      <c r="P1048" s="28">
        <f>IF($A1048="","",IF(COUNTIFS(NOVEDADES!$D$4:$D$1503,$A1048,NOVEDADES!$O$4:$O$1503,"SÍ")&gt;0,"No","Sí"))</f>
        <v/>
      </c>
      <c r="Q1048" s="28">
        <f>IF(OR($A1048="",$L1048=""),"",IF(AND($N1048="Sí",$P1048="Sí"),"OTIF","Falló"))</f>
        <v/>
      </c>
    </row>
    <row r="1049" ht="16" customHeight="1">
      <c r="A1049" s="48" t="n"/>
      <c r="B1049" s="48" t="n"/>
      <c r="C1049" s="47" t="n"/>
      <c r="D1049" s="50" t="n"/>
      <c r="E1049" s="50" t="n"/>
      <c r="F1049" s="50" t="n"/>
      <c r="G1049" s="50" t="n"/>
      <c r="H1049" s="48" t="n"/>
      <c r="I1049" s="51" t="n"/>
      <c r="J1049" s="52" t="n"/>
      <c r="K1049" s="47" t="n"/>
      <c r="L1049" s="47" t="n"/>
      <c r="M1049" s="24">
        <f>IF(OR($A1049="",$C1049=""),"",IF($L1049&lt;&gt;"",$L1049-$C1049,TODAY()-$C1049))</f>
        <v/>
      </c>
      <c r="N1049" s="28">
        <f>IF(OR($A1049="",$K1049=""),"",IF($L1049="",IF(TODAY()&gt;$K1049,"Atrasado","En ruta"),IF($L1049&lt;=$K1049,"Sí","No")))</f>
        <v/>
      </c>
      <c r="O1049" s="24">
        <f>IF($A1049="","",COUNTIFS(NOVEDADES!$D$4:$D$1503,$A1049))</f>
        <v/>
      </c>
      <c r="P1049" s="28">
        <f>IF($A1049="","",IF(COUNTIFS(NOVEDADES!$D$4:$D$1503,$A1049,NOVEDADES!$O$4:$O$1503,"SÍ")&gt;0,"No","Sí"))</f>
        <v/>
      </c>
      <c r="Q1049" s="28">
        <f>IF(OR($A1049="",$L1049=""),"",IF(AND($N1049="Sí",$P1049="Sí"),"OTIF","Falló"))</f>
        <v/>
      </c>
    </row>
    <row r="1050" ht="16" customHeight="1">
      <c r="A1050" s="48" t="n"/>
      <c r="B1050" s="48" t="n"/>
      <c r="C1050" s="47" t="n"/>
      <c r="D1050" s="50" t="n"/>
      <c r="E1050" s="50" t="n"/>
      <c r="F1050" s="50" t="n"/>
      <c r="G1050" s="50" t="n"/>
      <c r="H1050" s="48" t="n"/>
      <c r="I1050" s="51" t="n"/>
      <c r="J1050" s="52" t="n"/>
      <c r="K1050" s="47" t="n"/>
      <c r="L1050" s="47" t="n"/>
      <c r="M1050" s="24">
        <f>IF(OR($A1050="",$C1050=""),"",IF($L1050&lt;&gt;"",$L1050-$C1050,TODAY()-$C1050))</f>
        <v/>
      </c>
      <c r="N1050" s="28">
        <f>IF(OR($A1050="",$K1050=""),"",IF($L1050="",IF(TODAY()&gt;$K1050,"Atrasado","En ruta"),IF($L1050&lt;=$K1050,"Sí","No")))</f>
        <v/>
      </c>
      <c r="O1050" s="24">
        <f>IF($A1050="","",COUNTIFS(NOVEDADES!$D$4:$D$1503,$A1050))</f>
        <v/>
      </c>
      <c r="P1050" s="28">
        <f>IF($A1050="","",IF(COUNTIFS(NOVEDADES!$D$4:$D$1503,$A1050,NOVEDADES!$O$4:$O$1503,"SÍ")&gt;0,"No","Sí"))</f>
        <v/>
      </c>
      <c r="Q1050" s="28">
        <f>IF(OR($A1050="",$L1050=""),"",IF(AND($N1050="Sí",$P1050="Sí"),"OTIF","Falló"))</f>
        <v/>
      </c>
    </row>
    <row r="1051" ht="16" customHeight="1">
      <c r="A1051" s="48" t="n"/>
      <c r="B1051" s="48" t="n"/>
      <c r="C1051" s="47" t="n"/>
      <c r="D1051" s="50" t="n"/>
      <c r="E1051" s="50" t="n"/>
      <c r="F1051" s="50" t="n"/>
      <c r="G1051" s="50" t="n"/>
      <c r="H1051" s="48" t="n"/>
      <c r="I1051" s="51" t="n"/>
      <c r="J1051" s="52" t="n"/>
      <c r="K1051" s="47" t="n"/>
      <c r="L1051" s="47" t="n"/>
      <c r="M1051" s="24">
        <f>IF(OR($A1051="",$C1051=""),"",IF($L1051&lt;&gt;"",$L1051-$C1051,TODAY()-$C1051))</f>
        <v/>
      </c>
      <c r="N1051" s="28">
        <f>IF(OR($A1051="",$K1051=""),"",IF($L1051="",IF(TODAY()&gt;$K1051,"Atrasado","En ruta"),IF($L1051&lt;=$K1051,"Sí","No")))</f>
        <v/>
      </c>
      <c r="O1051" s="24">
        <f>IF($A1051="","",COUNTIFS(NOVEDADES!$D$4:$D$1503,$A1051))</f>
        <v/>
      </c>
      <c r="P1051" s="28">
        <f>IF($A1051="","",IF(COUNTIFS(NOVEDADES!$D$4:$D$1503,$A1051,NOVEDADES!$O$4:$O$1503,"SÍ")&gt;0,"No","Sí"))</f>
        <v/>
      </c>
      <c r="Q1051" s="28">
        <f>IF(OR($A1051="",$L1051=""),"",IF(AND($N1051="Sí",$P1051="Sí"),"OTIF","Falló"))</f>
        <v/>
      </c>
    </row>
    <row r="1052" ht="16" customHeight="1">
      <c r="A1052" s="48" t="n"/>
      <c r="B1052" s="48" t="n"/>
      <c r="C1052" s="47" t="n"/>
      <c r="D1052" s="50" t="n"/>
      <c r="E1052" s="50" t="n"/>
      <c r="F1052" s="50" t="n"/>
      <c r="G1052" s="50" t="n"/>
      <c r="H1052" s="48" t="n"/>
      <c r="I1052" s="51" t="n"/>
      <c r="J1052" s="52" t="n"/>
      <c r="K1052" s="47" t="n"/>
      <c r="L1052" s="47" t="n"/>
      <c r="M1052" s="24">
        <f>IF(OR($A1052="",$C1052=""),"",IF($L1052&lt;&gt;"",$L1052-$C1052,TODAY()-$C1052))</f>
        <v/>
      </c>
      <c r="N1052" s="28">
        <f>IF(OR($A1052="",$K1052=""),"",IF($L1052="",IF(TODAY()&gt;$K1052,"Atrasado","En ruta"),IF($L1052&lt;=$K1052,"Sí","No")))</f>
        <v/>
      </c>
      <c r="O1052" s="24">
        <f>IF($A1052="","",COUNTIFS(NOVEDADES!$D$4:$D$1503,$A1052))</f>
        <v/>
      </c>
      <c r="P1052" s="28">
        <f>IF($A1052="","",IF(COUNTIFS(NOVEDADES!$D$4:$D$1503,$A1052,NOVEDADES!$O$4:$O$1503,"SÍ")&gt;0,"No","Sí"))</f>
        <v/>
      </c>
      <c r="Q1052" s="28">
        <f>IF(OR($A1052="",$L1052=""),"",IF(AND($N1052="Sí",$P1052="Sí"),"OTIF","Falló"))</f>
        <v/>
      </c>
    </row>
    <row r="1053" ht="16" customHeight="1">
      <c r="A1053" s="48" t="n"/>
      <c r="B1053" s="48" t="n"/>
      <c r="C1053" s="47" t="n"/>
      <c r="D1053" s="50" t="n"/>
      <c r="E1053" s="50" t="n"/>
      <c r="F1053" s="50" t="n"/>
      <c r="G1053" s="50" t="n"/>
      <c r="H1053" s="48" t="n"/>
      <c r="I1053" s="51" t="n"/>
      <c r="J1053" s="52" t="n"/>
      <c r="K1053" s="47" t="n"/>
      <c r="L1053" s="47" t="n"/>
      <c r="M1053" s="24">
        <f>IF(OR($A1053="",$C1053=""),"",IF($L1053&lt;&gt;"",$L1053-$C1053,TODAY()-$C1053))</f>
        <v/>
      </c>
      <c r="N1053" s="28">
        <f>IF(OR($A1053="",$K1053=""),"",IF($L1053="",IF(TODAY()&gt;$K1053,"Atrasado","En ruta"),IF($L1053&lt;=$K1053,"Sí","No")))</f>
        <v/>
      </c>
      <c r="O1053" s="24">
        <f>IF($A1053="","",COUNTIFS(NOVEDADES!$D$4:$D$1503,$A1053))</f>
        <v/>
      </c>
      <c r="P1053" s="28">
        <f>IF($A1053="","",IF(COUNTIFS(NOVEDADES!$D$4:$D$1503,$A1053,NOVEDADES!$O$4:$O$1503,"SÍ")&gt;0,"No","Sí"))</f>
        <v/>
      </c>
      <c r="Q1053" s="28">
        <f>IF(OR($A1053="",$L1053=""),"",IF(AND($N1053="Sí",$P1053="Sí"),"OTIF","Falló"))</f>
        <v/>
      </c>
    </row>
    <row r="1054" ht="16" customHeight="1">
      <c r="A1054" s="48" t="n"/>
      <c r="B1054" s="48" t="n"/>
      <c r="C1054" s="47" t="n"/>
      <c r="D1054" s="50" t="n"/>
      <c r="E1054" s="50" t="n"/>
      <c r="F1054" s="50" t="n"/>
      <c r="G1054" s="50" t="n"/>
      <c r="H1054" s="48" t="n"/>
      <c r="I1054" s="51" t="n"/>
      <c r="J1054" s="52" t="n"/>
      <c r="K1054" s="47" t="n"/>
      <c r="L1054" s="47" t="n"/>
      <c r="M1054" s="24">
        <f>IF(OR($A1054="",$C1054=""),"",IF($L1054&lt;&gt;"",$L1054-$C1054,TODAY()-$C1054))</f>
        <v/>
      </c>
      <c r="N1054" s="28">
        <f>IF(OR($A1054="",$K1054=""),"",IF($L1054="",IF(TODAY()&gt;$K1054,"Atrasado","En ruta"),IF($L1054&lt;=$K1054,"Sí","No")))</f>
        <v/>
      </c>
      <c r="O1054" s="24">
        <f>IF($A1054="","",COUNTIFS(NOVEDADES!$D$4:$D$1503,$A1054))</f>
        <v/>
      </c>
      <c r="P1054" s="28">
        <f>IF($A1054="","",IF(COUNTIFS(NOVEDADES!$D$4:$D$1503,$A1054,NOVEDADES!$O$4:$O$1503,"SÍ")&gt;0,"No","Sí"))</f>
        <v/>
      </c>
      <c r="Q1054" s="28">
        <f>IF(OR($A1054="",$L1054=""),"",IF(AND($N1054="Sí",$P1054="Sí"),"OTIF","Falló"))</f>
        <v/>
      </c>
    </row>
    <row r="1055" ht="16" customHeight="1">
      <c r="A1055" s="48" t="n"/>
      <c r="B1055" s="48" t="n"/>
      <c r="C1055" s="47" t="n"/>
      <c r="D1055" s="50" t="n"/>
      <c r="E1055" s="50" t="n"/>
      <c r="F1055" s="50" t="n"/>
      <c r="G1055" s="50" t="n"/>
      <c r="H1055" s="48" t="n"/>
      <c r="I1055" s="51" t="n"/>
      <c r="J1055" s="52" t="n"/>
      <c r="K1055" s="47" t="n"/>
      <c r="L1055" s="47" t="n"/>
      <c r="M1055" s="24">
        <f>IF(OR($A1055="",$C1055=""),"",IF($L1055&lt;&gt;"",$L1055-$C1055,TODAY()-$C1055))</f>
        <v/>
      </c>
      <c r="N1055" s="28">
        <f>IF(OR($A1055="",$K1055=""),"",IF($L1055="",IF(TODAY()&gt;$K1055,"Atrasado","En ruta"),IF($L1055&lt;=$K1055,"Sí","No")))</f>
        <v/>
      </c>
      <c r="O1055" s="24">
        <f>IF($A1055="","",COUNTIFS(NOVEDADES!$D$4:$D$1503,$A1055))</f>
        <v/>
      </c>
      <c r="P1055" s="28">
        <f>IF($A1055="","",IF(COUNTIFS(NOVEDADES!$D$4:$D$1503,$A1055,NOVEDADES!$O$4:$O$1503,"SÍ")&gt;0,"No","Sí"))</f>
        <v/>
      </c>
      <c r="Q1055" s="28">
        <f>IF(OR($A1055="",$L1055=""),"",IF(AND($N1055="Sí",$P1055="Sí"),"OTIF","Falló"))</f>
        <v/>
      </c>
    </row>
    <row r="1056" ht="16" customHeight="1">
      <c r="A1056" s="48" t="n"/>
      <c r="B1056" s="48" t="n"/>
      <c r="C1056" s="47" t="n"/>
      <c r="D1056" s="50" t="n"/>
      <c r="E1056" s="50" t="n"/>
      <c r="F1056" s="50" t="n"/>
      <c r="G1056" s="50" t="n"/>
      <c r="H1056" s="48" t="n"/>
      <c r="I1056" s="51" t="n"/>
      <c r="J1056" s="52" t="n"/>
      <c r="K1056" s="47" t="n"/>
      <c r="L1056" s="47" t="n"/>
      <c r="M1056" s="24">
        <f>IF(OR($A1056="",$C1056=""),"",IF($L1056&lt;&gt;"",$L1056-$C1056,TODAY()-$C1056))</f>
        <v/>
      </c>
      <c r="N1056" s="28">
        <f>IF(OR($A1056="",$K1056=""),"",IF($L1056="",IF(TODAY()&gt;$K1056,"Atrasado","En ruta"),IF($L1056&lt;=$K1056,"Sí","No")))</f>
        <v/>
      </c>
      <c r="O1056" s="24">
        <f>IF($A1056="","",COUNTIFS(NOVEDADES!$D$4:$D$1503,$A1056))</f>
        <v/>
      </c>
      <c r="P1056" s="28">
        <f>IF($A1056="","",IF(COUNTIFS(NOVEDADES!$D$4:$D$1503,$A1056,NOVEDADES!$O$4:$O$1503,"SÍ")&gt;0,"No","Sí"))</f>
        <v/>
      </c>
      <c r="Q1056" s="28">
        <f>IF(OR($A1056="",$L1056=""),"",IF(AND($N1056="Sí",$P1056="Sí"),"OTIF","Falló"))</f>
        <v/>
      </c>
    </row>
    <row r="1057" ht="16" customHeight="1">
      <c r="A1057" s="48" t="n"/>
      <c r="B1057" s="48" t="n"/>
      <c r="C1057" s="47" t="n"/>
      <c r="D1057" s="50" t="n"/>
      <c r="E1057" s="50" t="n"/>
      <c r="F1057" s="50" t="n"/>
      <c r="G1057" s="50" t="n"/>
      <c r="H1057" s="48" t="n"/>
      <c r="I1057" s="51" t="n"/>
      <c r="J1057" s="52" t="n"/>
      <c r="K1057" s="47" t="n"/>
      <c r="L1057" s="47" t="n"/>
      <c r="M1057" s="24">
        <f>IF(OR($A1057="",$C1057=""),"",IF($L1057&lt;&gt;"",$L1057-$C1057,TODAY()-$C1057))</f>
        <v/>
      </c>
      <c r="N1057" s="28">
        <f>IF(OR($A1057="",$K1057=""),"",IF($L1057="",IF(TODAY()&gt;$K1057,"Atrasado","En ruta"),IF($L1057&lt;=$K1057,"Sí","No")))</f>
        <v/>
      </c>
      <c r="O1057" s="24">
        <f>IF($A1057="","",COUNTIFS(NOVEDADES!$D$4:$D$1503,$A1057))</f>
        <v/>
      </c>
      <c r="P1057" s="28">
        <f>IF($A1057="","",IF(COUNTIFS(NOVEDADES!$D$4:$D$1503,$A1057,NOVEDADES!$O$4:$O$1503,"SÍ")&gt;0,"No","Sí"))</f>
        <v/>
      </c>
      <c r="Q1057" s="28">
        <f>IF(OR($A1057="",$L1057=""),"",IF(AND($N1057="Sí",$P1057="Sí"),"OTIF","Falló"))</f>
        <v/>
      </c>
    </row>
    <row r="1058" ht="16" customHeight="1">
      <c r="A1058" s="48" t="n"/>
      <c r="B1058" s="48" t="n"/>
      <c r="C1058" s="47" t="n"/>
      <c r="D1058" s="50" t="n"/>
      <c r="E1058" s="50" t="n"/>
      <c r="F1058" s="50" t="n"/>
      <c r="G1058" s="50" t="n"/>
      <c r="H1058" s="48" t="n"/>
      <c r="I1058" s="51" t="n"/>
      <c r="J1058" s="52" t="n"/>
      <c r="K1058" s="47" t="n"/>
      <c r="L1058" s="47" t="n"/>
      <c r="M1058" s="24">
        <f>IF(OR($A1058="",$C1058=""),"",IF($L1058&lt;&gt;"",$L1058-$C1058,TODAY()-$C1058))</f>
        <v/>
      </c>
      <c r="N1058" s="28">
        <f>IF(OR($A1058="",$K1058=""),"",IF($L1058="",IF(TODAY()&gt;$K1058,"Atrasado","En ruta"),IF($L1058&lt;=$K1058,"Sí","No")))</f>
        <v/>
      </c>
      <c r="O1058" s="24">
        <f>IF($A1058="","",COUNTIFS(NOVEDADES!$D$4:$D$1503,$A1058))</f>
        <v/>
      </c>
      <c r="P1058" s="28">
        <f>IF($A1058="","",IF(COUNTIFS(NOVEDADES!$D$4:$D$1503,$A1058,NOVEDADES!$O$4:$O$1503,"SÍ")&gt;0,"No","Sí"))</f>
        <v/>
      </c>
      <c r="Q1058" s="28">
        <f>IF(OR($A1058="",$L1058=""),"",IF(AND($N1058="Sí",$P1058="Sí"),"OTIF","Falló"))</f>
        <v/>
      </c>
    </row>
    <row r="1059" ht="16" customHeight="1">
      <c r="A1059" s="48" t="n"/>
      <c r="B1059" s="48" t="n"/>
      <c r="C1059" s="47" t="n"/>
      <c r="D1059" s="50" t="n"/>
      <c r="E1059" s="50" t="n"/>
      <c r="F1059" s="50" t="n"/>
      <c r="G1059" s="50" t="n"/>
      <c r="H1059" s="48" t="n"/>
      <c r="I1059" s="51" t="n"/>
      <c r="J1059" s="52" t="n"/>
      <c r="K1059" s="47" t="n"/>
      <c r="L1059" s="47" t="n"/>
      <c r="M1059" s="24">
        <f>IF(OR($A1059="",$C1059=""),"",IF($L1059&lt;&gt;"",$L1059-$C1059,TODAY()-$C1059))</f>
        <v/>
      </c>
      <c r="N1059" s="28">
        <f>IF(OR($A1059="",$K1059=""),"",IF($L1059="",IF(TODAY()&gt;$K1059,"Atrasado","En ruta"),IF($L1059&lt;=$K1059,"Sí","No")))</f>
        <v/>
      </c>
      <c r="O1059" s="24">
        <f>IF($A1059="","",COUNTIFS(NOVEDADES!$D$4:$D$1503,$A1059))</f>
        <v/>
      </c>
      <c r="P1059" s="28">
        <f>IF($A1059="","",IF(COUNTIFS(NOVEDADES!$D$4:$D$1503,$A1059,NOVEDADES!$O$4:$O$1503,"SÍ")&gt;0,"No","Sí"))</f>
        <v/>
      </c>
      <c r="Q1059" s="28">
        <f>IF(OR($A1059="",$L1059=""),"",IF(AND($N1059="Sí",$P1059="Sí"),"OTIF","Falló"))</f>
        <v/>
      </c>
    </row>
    <row r="1060" ht="16" customHeight="1">
      <c r="A1060" s="48" t="n"/>
      <c r="B1060" s="48" t="n"/>
      <c r="C1060" s="47" t="n"/>
      <c r="D1060" s="50" t="n"/>
      <c r="E1060" s="50" t="n"/>
      <c r="F1060" s="50" t="n"/>
      <c r="G1060" s="50" t="n"/>
      <c r="H1060" s="48" t="n"/>
      <c r="I1060" s="51" t="n"/>
      <c r="J1060" s="52" t="n"/>
      <c r="K1060" s="47" t="n"/>
      <c r="L1060" s="47" t="n"/>
      <c r="M1060" s="24">
        <f>IF(OR($A1060="",$C1060=""),"",IF($L1060&lt;&gt;"",$L1060-$C1060,TODAY()-$C1060))</f>
        <v/>
      </c>
      <c r="N1060" s="28">
        <f>IF(OR($A1060="",$K1060=""),"",IF($L1060="",IF(TODAY()&gt;$K1060,"Atrasado","En ruta"),IF($L1060&lt;=$K1060,"Sí","No")))</f>
        <v/>
      </c>
      <c r="O1060" s="24">
        <f>IF($A1060="","",COUNTIFS(NOVEDADES!$D$4:$D$1503,$A1060))</f>
        <v/>
      </c>
      <c r="P1060" s="28">
        <f>IF($A1060="","",IF(COUNTIFS(NOVEDADES!$D$4:$D$1503,$A1060,NOVEDADES!$O$4:$O$1503,"SÍ")&gt;0,"No","Sí"))</f>
        <v/>
      </c>
      <c r="Q1060" s="28">
        <f>IF(OR($A1060="",$L1060=""),"",IF(AND($N1060="Sí",$P1060="Sí"),"OTIF","Falló"))</f>
        <v/>
      </c>
    </row>
    <row r="1061" ht="16" customHeight="1">
      <c r="A1061" s="48" t="n"/>
      <c r="B1061" s="48" t="n"/>
      <c r="C1061" s="47" t="n"/>
      <c r="D1061" s="50" t="n"/>
      <c r="E1061" s="50" t="n"/>
      <c r="F1061" s="50" t="n"/>
      <c r="G1061" s="50" t="n"/>
      <c r="H1061" s="48" t="n"/>
      <c r="I1061" s="51" t="n"/>
      <c r="J1061" s="52" t="n"/>
      <c r="K1061" s="47" t="n"/>
      <c r="L1061" s="47" t="n"/>
      <c r="M1061" s="24">
        <f>IF(OR($A1061="",$C1061=""),"",IF($L1061&lt;&gt;"",$L1061-$C1061,TODAY()-$C1061))</f>
        <v/>
      </c>
      <c r="N1061" s="28">
        <f>IF(OR($A1061="",$K1061=""),"",IF($L1061="",IF(TODAY()&gt;$K1061,"Atrasado","En ruta"),IF($L1061&lt;=$K1061,"Sí","No")))</f>
        <v/>
      </c>
      <c r="O1061" s="24">
        <f>IF($A1061="","",COUNTIFS(NOVEDADES!$D$4:$D$1503,$A1061))</f>
        <v/>
      </c>
      <c r="P1061" s="28">
        <f>IF($A1061="","",IF(COUNTIFS(NOVEDADES!$D$4:$D$1503,$A1061,NOVEDADES!$O$4:$O$1503,"SÍ")&gt;0,"No","Sí"))</f>
        <v/>
      </c>
      <c r="Q1061" s="28">
        <f>IF(OR($A1061="",$L1061=""),"",IF(AND($N1061="Sí",$P1061="Sí"),"OTIF","Falló"))</f>
        <v/>
      </c>
    </row>
    <row r="1062" ht="16" customHeight="1">
      <c r="A1062" s="48" t="n"/>
      <c r="B1062" s="48" t="n"/>
      <c r="C1062" s="47" t="n"/>
      <c r="D1062" s="50" t="n"/>
      <c r="E1062" s="50" t="n"/>
      <c r="F1062" s="50" t="n"/>
      <c r="G1062" s="50" t="n"/>
      <c r="H1062" s="48" t="n"/>
      <c r="I1062" s="51" t="n"/>
      <c r="J1062" s="52" t="n"/>
      <c r="K1062" s="47" t="n"/>
      <c r="L1062" s="47" t="n"/>
      <c r="M1062" s="24">
        <f>IF(OR($A1062="",$C1062=""),"",IF($L1062&lt;&gt;"",$L1062-$C1062,TODAY()-$C1062))</f>
        <v/>
      </c>
      <c r="N1062" s="28">
        <f>IF(OR($A1062="",$K1062=""),"",IF($L1062="",IF(TODAY()&gt;$K1062,"Atrasado","En ruta"),IF($L1062&lt;=$K1062,"Sí","No")))</f>
        <v/>
      </c>
      <c r="O1062" s="24">
        <f>IF($A1062="","",COUNTIFS(NOVEDADES!$D$4:$D$1503,$A1062))</f>
        <v/>
      </c>
      <c r="P1062" s="28">
        <f>IF($A1062="","",IF(COUNTIFS(NOVEDADES!$D$4:$D$1503,$A1062,NOVEDADES!$O$4:$O$1503,"SÍ")&gt;0,"No","Sí"))</f>
        <v/>
      </c>
      <c r="Q1062" s="28">
        <f>IF(OR($A1062="",$L1062=""),"",IF(AND($N1062="Sí",$P1062="Sí"),"OTIF","Falló"))</f>
        <v/>
      </c>
    </row>
    <row r="1063" ht="16" customHeight="1">
      <c r="A1063" s="48" t="n"/>
      <c r="B1063" s="48" t="n"/>
      <c r="C1063" s="47" t="n"/>
      <c r="D1063" s="50" t="n"/>
      <c r="E1063" s="50" t="n"/>
      <c r="F1063" s="50" t="n"/>
      <c r="G1063" s="50" t="n"/>
      <c r="H1063" s="48" t="n"/>
      <c r="I1063" s="51" t="n"/>
      <c r="J1063" s="52" t="n"/>
      <c r="K1063" s="47" t="n"/>
      <c r="L1063" s="47" t="n"/>
      <c r="M1063" s="24">
        <f>IF(OR($A1063="",$C1063=""),"",IF($L1063&lt;&gt;"",$L1063-$C1063,TODAY()-$C1063))</f>
        <v/>
      </c>
      <c r="N1063" s="28">
        <f>IF(OR($A1063="",$K1063=""),"",IF($L1063="",IF(TODAY()&gt;$K1063,"Atrasado","En ruta"),IF($L1063&lt;=$K1063,"Sí","No")))</f>
        <v/>
      </c>
      <c r="O1063" s="24">
        <f>IF($A1063="","",COUNTIFS(NOVEDADES!$D$4:$D$1503,$A1063))</f>
        <v/>
      </c>
      <c r="P1063" s="28">
        <f>IF($A1063="","",IF(COUNTIFS(NOVEDADES!$D$4:$D$1503,$A1063,NOVEDADES!$O$4:$O$1503,"SÍ")&gt;0,"No","Sí"))</f>
        <v/>
      </c>
      <c r="Q1063" s="28">
        <f>IF(OR($A1063="",$L1063=""),"",IF(AND($N1063="Sí",$P1063="Sí"),"OTIF","Falló"))</f>
        <v/>
      </c>
    </row>
    <row r="1064" ht="16" customHeight="1">
      <c r="A1064" s="48" t="n"/>
      <c r="B1064" s="48" t="n"/>
      <c r="C1064" s="47" t="n"/>
      <c r="D1064" s="50" t="n"/>
      <c r="E1064" s="50" t="n"/>
      <c r="F1064" s="50" t="n"/>
      <c r="G1064" s="50" t="n"/>
      <c r="H1064" s="48" t="n"/>
      <c r="I1064" s="51" t="n"/>
      <c r="J1064" s="52" t="n"/>
      <c r="K1064" s="47" t="n"/>
      <c r="L1064" s="47" t="n"/>
      <c r="M1064" s="24">
        <f>IF(OR($A1064="",$C1064=""),"",IF($L1064&lt;&gt;"",$L1064-$C1064,TODAY()-$C1064))</f>
        <v/>
      </c>
      <c r="N1064" s="28">
        <f>IF(OR($A1064="",$K1064=""),"",IF($L1064="",IF(TODAY()&gt;$K1064,"Atrasado","En ruta"),IF($L1064&lt;=$K1064,"Sí","No")))</f>
        <v/>
      </c>
      <c r="O1064" s="24">
        <f>IF($A1064="","",COUNTIFS(NOVEDADES!$D$4:$D$1503,$A1064))</f>
        <v/>
      </c>
      <c r="P1064" s="28">
        <f>IF($A1064="","",IF(COUNTIFS(NOVEDADES!$D$4:$D$1503,$A1064,NOVEDADES!$O$4:$O$1503,"SÍ")&gt;0,"No","Sí"))</f>
        <v/>
      </c>
      <c r="Q1064" s="28">
        <f>IF(OR($A1064="",$L1064=""),"",IF(AND($N1064="Sí",$P1064="Sí"),"OTIF","Falló"))</f>
        <v/>
      </c>
    </row>
    <row r="1065" ht="16" customHeight="1">
      <c r="A1065" s="48" t="n"/>
      <c r="B1065" s="48" t="n"/>
      <c r="C1065" s="47" t="n"/>
      <c r="D1065" s="50" t="n"/>
      <c r="E1065" s="50" t="n"/>
      <c r="F1065" s="50" t="n"/>
      <c r="G1065" s="50" t="n"/>
      <c r="H1065" s="48" t="n"/>
      <c r="I1065" s="51" t="n"/>
      <c r="J1065" s="52" t="n"/>
      <c r="K1065" s="47" t="n"/>
      <c r="L1065" s="47" t="n"/>
      <c r="M1065" s="24">
        <f>IF(OR($A1065="",$C1065=""),"",IF($L1065&lt;&gt;"",$L1065-$C1065,TODAY()-$C1065))</f>
        <v/>
      </c>
      <c r="N1065" s="28">
        <f>IF(OR($A1065="",$K1065=""),"",IF($L1065="",IF(TODAY()&gt;$K1065,"Atrasado","En ruta"),IF($L1065&lt;=$K1065,"Sí","No")))</f>
        <v/>
      </c>
      <c r="O1065" s="24">
        <f>IF($A1065="","",COUNTIFS(NOVEDADES!$D$4:$D$1503,$A1065))</f>
        <v/>
      </c>
      <c r="P1065" s="28">
        <f>IF($A1065="","",IF(COUNTIFS(NOVEDADES!$D$4:$D$1503,$A1065,NOVEDADES!$O$4:$O$1503,"SÍ")&gt;0,"No","Sí"))</f>
        <v/>
      </c>
      <c r="Q1065" s="28">
        <f>IF(OR($A1065="",$L1065=""),"",IF(AND($N1065="Sí",$P1065="Sí"),"OTIF","Falló"))</f>
        <v/>
      </c>
    </row>
    <row r="1066" ht="16" customHeight="1">
      <c r="A1066" s="48" t="n"/>
      <c r="B1066" s="48" t="n"/>
      <c r="C1066" s="47" t="n"/>
      <c r="D1066" s="50" t="n"/>
      <c r="E1066" s="50" t="n"/>
      <c r="F1066" s="50" t="n"/>
      <c r="G1066" s="50" t="n"/>
      <c r="H1066" s="48" t="n"/>
      <c r="I1066" s="51" t="n"/>
      <c r="J1066" s="52" t="n"/>
      <c r="K1066" s="47" t="n"/>
      <c r="L1066" s="47" t="n"/>
      <c r="M1066" s="24">
        <f>IF(OR($A1066="",$C1066=""),"",IF($L1066&lt;&gt;"",$L1066-$C1066,TODAY()-$C1066))</f>
        <v/>
      </c>
      <c r="N1066" s="28">
        <f>IF(OR($A1066="",$K1066=""),"",IF($L1066="",IF(TODAY()&gt;$K1066,"Atrasado","En ruta"),IF($L1066&lt;=$K1066,"Sí","No")))</f>
        <v/>
      </c>
      <c r="O1066" s="24">
        <f>IF($A1066="","",COUNTIFS(NOVEDADES!$D$4:$D$1503,$A1066))</f>
        <v/>
      </c>
      <c r="P1066" s="28">
        <f>IF($A1066="","",IF(COUNTIFS(NOVEDADES!$D$4:$D$1503,$A1066,NOVEDADES!$O$4:$O$1503,"SÍ")&gt;0,"No","Sí"))</f>
        <v/>
      </c>
      <c r="Q1066" s="28">
        <f>IF(OR($A1066="",$L1066=""),"",IF(AND($N1066="Sí",$P1066="Sí"),"OTIF","Falló"))</f>
        <v/>
      </c>
    </row>
    <row r="1067" ht="16" customHeight="1">
      <c r="A1067" s="48" t="n"/>
      <c r="B1067" s="48" t="n"/>
      <c r="C1067" s="47" t="n"/>
      <c r="D1067" s="50" t="n"/>
      <c r="E1067" s="50" t="n"/>
      <c r="F1067" s="50" t="n"/>
      <c r="G1067" s="50" t="n"/>
      <c r="H1067" s="48" t="n"/>
      <c r="I1067" s="51" t="n"/>
      <c r="J1067" s="52" t="n"/>
      <c r="K1067" s="47" t="n"/>
      <c r="L1067" s="47" t="n"/>
      <c r="M1067" s="24">
        <f>IF(OR($A1067="",$C1067=""),"",IF($L1067&lt;&gt;"",$L1067-$C1067,TODAY()-$C1067))</f>
        <v/>
      </c>
      <c r="N1067" s="28">
        <f>IF(OR($A1067="",$K1067=""),"",IF($L1067="",IF(TODAY()&gt;$K1067,"Atrasado","En ruta"),IF($L1067&lt;=$K1067,"Sí","No")))</f>
        <v/>
      </c>
      <c r="O1067" s="24">
        <f>IF($A1067="","",COUNTIFS(NOVEDADES!$D$4:$D$1503,$A1067))</f>
        <v/>
      </c>
      <c r="P1067" s="28">
        <f>IF($A1067="","",IF(COUNTIFS(NOVEDADES!$D$4:$D$1503,$A1067,NOVEDADES!$O$4:$O$1503,"SÍ")&gt;0,"No","Sí"))</f>
        <v/>
      </c>
      <c r="Q1067" s="28">
        <f>IF(OR($A1067="",$L1067=""),"",IF(AND($N1067="Sí",$P1067="Sí"),"OTIF","Falló"))</f>
        <v/>
      </c>
    </row>
    <row r="1068" ht="16" customHeight="1">
      <c r="A1068" s="48" t="n"/>
      <c r="B1068" s="48" t="n"/>
      <c r="C1068" s="47" t="n"/>
      <c r="D1068" s="50" t="n"/>
      <c r="E1068" s="50" t="n"/>
      <c r="F1068" s="50" t="n"/>
      <c r="G1068" s="50" t="n"/>
      <c r="H1068" s="48" t="n"/>
      <c r="I1068" s="51" t="n"/>
      <c r="J1068" s="52" t="n"/>
      <c r="K1068" s="47" t="n"/>
      <c r="L1068" s="47" t="n"/>
      <c r="M1068" s="24">
        <f>IF(OR($A1068="",$C1068=""),"",IF($L1068&lt;&gt;"",$L1068-$C1068,TODAY()-$C1068))</f>
        <v/>
      </c>
      <c r="N1068" s="28">
        <f>IF(OR($A1068="",$K1068=""),"",IF($L1068="",IF(TODAY()&gt;$K1068,"Atrasado","En ruta"),IF($L1068&lt;=$K1068,"Sí","No")))</f>
        <v/>
      </c>
      <c r="O1068" s="24">
        <f>IF($A1068="","",COUNTIFS(NOVEDADES!$D$4:$D$1503,$A1068))</f>
        <v/>
      </c>
      <c r="P1068" s="28">
        <f>IF($A1068="","",IF(COUNTIFS(NOVEDADES!$D$4:$D$1503,$A1068,NOVEDADES!$O$4:$O$1503,"SÍ")&gt;0,"No","Sí"))</f>
        <v/>
      </c>
      <c r="Q1068" s="28">
        <f>IF(OR($A1068="",$L1068=""),"",IF(AND($N1068="Sí",$P1068="Sí"),"OTIF","Falló"))</f>
        <v/>
      </c>
    </row>
    <row r="1069" ht="16" customHeight="1">
      <c r="A1069" s="48" t="n"/>
      <c r="B1069" s="48" t="n"/>
      <c r="C1069" s="47" t="n"/>
      <c r="D1069" s="50" t="n"/>
      <c r="E1069" s="50" t="n"/>
      <c r="F1069" s="50" t="n"/>
      <c r="G1069" s="50" t="n"/>
      <c r="H1069" s="48" t="n"/>
      <c r="I1069" s="51" t="n"/>
      <c r="J1069" s="52" t="n"/>
      <c r="K1069" s="47" t="n"/>
      <c r="L1069" s="47" t="n"/>
      <c r="M1069" s="24">
        <f>IF(OR($A1069="",$C1069=""),"",IF($L1069&lt;&gt;"",$L1069-$C1069,TODAY()-$C1069))</f>
        <v/>
      </c>
      <c r="N1069" s="28">
        <f>IF(OR($A1069="",$K1069=""),"",IF($L1069="",IF(TODAY()&gt;$K1069,"Atrasado","En ruta"),IF($L1069&lt;=$K1069,"Sí","No")))</f>
        <v/>
      </c>
      <c r="O1069" s="24">
        <f>IF($A1069="","",COUNTIFS(NOVEDADES!$D$4:$D$1503,$A1069))</f>
        <v/>
      </c>
      <c r="P1069" s="28">
        <f>IF($A1069="","",IF(COUNTIFS(NOVEDADES!$D$4:$D$1503,$A1069,NOVEDADES!$O$4:$O$1503,"SÍ")&gt;0,"No","Sí"))</f>
        <v/>
      </c>
      <c r="Q1069" s="28">
        <f>IF(OR($A1069="",$L1069=""),"",IF(AND($N1069="Sí",$P1069="Sí"),"OTIF","Falló"))</f>
        <v/>
      </c>
    </row>
    <row r="1070" ht="16" customHeight="1">
      <c r="A1070" s="48" t="n"/>
      <c r="B1070" s="48" t="n"/>
      <c r="C1070" s="47" t="n"/>
      <c r="D1070" s="50" t="n"/>
      <c r="E1070" s="50" t="n"/>
      <c r="F1070" s="50" t="n"/>
      <c r="G1070" s="50" t="n"/>
      <c r="H1070" s="48" t="n"/>
      <c r="I1070" s="51" t="n"/>
      <c r="J1070" s="52" t="n"/>
      <c r="K1070" s="47" t="n"/>
      <c r="L1070" s="47" t="n"/>
      <c r="M1070" s="24">
        <f>IF(OR($A1070="",$C1070=""),"",IF($L1070&lt;&gt;"",$L1070-$C1070,TODAY()-$C1070))</f>
        <v/>
      </c>
      <c r="N1070" s="28">
        <f>IF(OR($A1070="",$K1070=""),"",IF($L1070="",IF(TODAY()&gt;$K1070,"Atrasado","En ruta"),IF($L1070&lt;=$K1070,"Sí","No")))</f>
        <v/>
      </c>
      <c r="O1070" s="24">
        <f>IF($A1070="","",COUNTIFS(NOVEDADES!$D$4:$D$1503,$A1070))</f>
        <v/>
      </c>
      <c r="P1070" s="28">
        <f>IF($A1070="","",IF(COUNTIFS(NOVEDADES!$D$4:$D$1503,$A1070,NOVEDADES!$O$4:$O$1503,"SÍ")&gt;0,"No","Sí"))</f>
        <v/>
      </c>
      <c r="Q1070" s="28">
        <f>IF(OR($A1070="",$L1070=""),"",IF(AND($N1070="Sí",$P1070="Sí"),"OTIF","Falló"))</f>
        <v/>
      </c>
    </row>
    <row r="1071" ht="16" customHeight="1">
      <c r="A1071" s="48" t="n"/>
      <c r="B1071" s="48" t="n"/>
      <c r="C1071" s="47" t="n"/>
      <c r="D1071" s="50" t="n"/>
      <c r="E1071" s="50" t="n"/>
      <c r="F1071" s="50" t="n"/>
      <c r="G1071" s="50" t="n"/>
      <c r="H1071" s="48" t="n"/>
      <c r="I1071" s="51" t="n"/>
      <c r="J1071" s="52" t="n"/>
      <c r="K1071" s="47" t="n"/>
      <c r="L1071" s="47" t="n"/>
      <c r="M1071" s="24">
        <f>IF(OR($A1071="",$C1071=""),"",IF($L1071&lt;&gt;"",$L1071-$C1071,TODAY()-$C1071))</f>
        <v/>
      </c>
      <c r="N1071" s="28">
        <f>IF(OR($A1071="",$K1071=""),"",IF($L1071="",IF(TODAY()&gt;$K1071,"Atrasado","En ruta"),IF($L1071&lt;=$K1071,"Sí","No")))</f>
        <v/>
      </c>
      <c r="O1071" s="24">
        <f>IF($A1071="","",COUNTIFS(NOVEDADES!$D$4:$D$1503,$A1071))</f>
        <v/>
      </c>
      <c r="P1071" s="28">
        <f>IF($A1071="","",IF(COUNTIFS(NOVEDADES!$D$4:$D$1503,$A1071,NOVEDADES!$O$4:$O$1503,"SÍ")&gt;0,"No","Sí"))</f>
        <v/>
      </c>
      <c r="Q1071" s="28">
        <f>IF(OR($A1071="",$L1071=""),"",IF(AND($N1071="Sí",$P1071="Sí"),"OTIF","Falló"))</f>
        <v/>
      </c>
    </row>
    <row r="1072" ht="16" customHeight="1">
      <c r="A1072" s="48" t="n"/>
      <c r="B1072" s="48" t="n"/>
      <c r="C1072" s="47" t="n"/>
      <c r="D1072" s="50" t="n"/>
      <c r="E1072" s="50" t="n"/>
      <c r="F1072" s="50" t="n"/>
      <c r="G1072" s="50" t="n"/>
      <c r="H1072" s="48" t="n"/>
      <c r="I1072" s="51" t="n"/>
      <c r="J1072" s="52" t="n"/>
      <c r="K1072" s="47" t="n"/>
      <c r="L1072" s="47" t="n"/>
      <c r="M1072" s="24">
        <f>IF(OR($A1072="",$C1072=""),"",IF($L1072&lt;&gt;"",$L1072-$C1072,TODAY()-$C1072))</f>
        <v/>
      </c>
      <c r="N1072" s="28">
        <f>IF(OR($A1072="",$K1072=""),"",IF($L1072="",IF(TODAY()&gt;$K1072,"Atrasado","En ruta"),IF($L1072&lt;=$K1072,"Sí","No")))</f>
        <v/>
      </c>
      <c r="O1072" s="24">
        <f>IF($A1072="","",COUNTIFS(NOVEDADES!$D$4:$D$1503,$A1072))</f>
        <v/>
      </c>
      <c r="P1072" s="28">
        <f>IF($A1072="","",IF(COUNTIFS(NOVEDADES!$D$4:$D$1503,$A1072,NOVEDADES!$O$4:$O$1503,"SÍ")&gt;0,"No","Sí"))</f>
        <v/>
      </c>
      <c r="Q1072" s="28">
        <f>IF(OR($A1072="",$L1072=""),"",IF(AND($N1072="Sí",$P1072="Sí"),"OTIF","Falló"))</f>
        <v/>
      </c>
    </row>
    <row r="1073" ht="16" customHeight="1">
      <c r="A1073" s="48" t="n"/>
      <c r="B1073" s="48" t="n"/>
      <c r="C1073" s="47" t="n"/>
      <c r="D1073" s="50" t="n"/>
      <c r="E1073" s="50" t="n"/>
      <c r="F1073" s="50" t="n"/>
      <c r="G1073" s="50" t="n"/>
      <c r="H1073" s="48" t="n"/>
      <c r="I1073" s="51" t="n"/>
      <c r="J1073" s="52" t="n"/>
      <c r="K1073" s="47" t="n"/>
      <c r="L1073" s="47" t="n"/>
      <c r="M1073" s="24">
        <f>IF(OR($A1073="",$C1073=""),"",IF($L1073&lt;&gt;"",$L1073-$C1073,TODAY()-$C1073))</f>
        <v/>
      </c>
      <c r="N1073" s="28">
        <f>IF(OR($A1073="",$K1073=""),"",IF($L1073="",IF(TODAY()&gt;$K1073,"Atrasado","En ruta"),IF($L1073&lt;=$K1073,"Sí","No")))</f>
        <v/>
      </c>
      <c r="O1073" s="24">
        <f>IF($A1073="","",COUNTIFS(NOVEDADES!$D$4:$D$1503,$A1073))</f>
        <v/>
      </c>
      <c r="P1073" s="28">
        <f>IF($A1073="","",IF(COUNTIFS(NOVEDADES!$D$4:$D$1503,$A1073,NOVEDADES!$O$4:$O$1503,"SÍ")&gt;0,"No","Sí"))</f>
        <v/>
      </c>
      <c r="Q1073" s="28">
        <f>IF(OR($A1073="",$L1073=""),"",IF(AND($N1073="Sí",$P1073="Sí"),"OTIF","Falló"))</f>
        <v/>
      </c>
    </row>
    <row r="1074" ht="16" customHeight="1">
      <c r="A1074" s="48" t="n"/>
      <c r="B1074" s="48" t="n"/>
      <c r="C1074" s="47" t="n"/>
      <c r="D1074" s="50" t="n"/>
      <c r="E1074" s="50" t="n"/>
      <c r="F1074" s="50" t="n"/>
      <c r="G1074" s="50" t="n"/>
      <c r="H1074" s="48" t="n"/>
      <c r="I1074" s="51" t="n"/>
      <c r="J1074" s="52" t="n"/>
      <c r="K1074" s="47" t="n"/>
      <c r="L1074" s="47" t="n"/>
      <c r="M1074" s="24">
        <f>IF(OR($A1074="",$C1074=""),"",IF($L1074&lt;&gt;"",$L1074-$C1074,TODAY()-$C1074))</f>
        <v/>
      </c>
      <c r="N1074" s="28">
        <f>IF(OR($A1074="",$K1074=""),"",IF($L1074="",IF(TODAY()&gt;$K1074,"Atrasado","En ruta"),IF($L1074&lt;=$K1074,"Sí","No")))</f>
        <v/>
      </c>
      <c r="O1074" s="24">
        <f>IF($A1074="","",COUNTIFS(NOVEDADES!$D$4:$D$1503,$A1074))</f>
        <v/>
      </c>
      <c r="P1074" s="28">
        <f>IF($A1074="","",IF(COUNTIFS(NOVEDADES!$D$4:$D$1503,$A1074,NOVEDADES!$O$4:$O$1503,"SÍ")&gt;0,"No","Sí"))</f>
        <v/>
      </c>
      <c r="Q1074" s="28">
        <f>IF(OR($A1074="",$L1074=""),"",IF(AND($N1074="Sí",$P1074="Sí"),"OTIF","Falló"))</f>
        <v/>
      </c>
    </row>
    <row r="1075" ht="16" customHeight="1">
      <c r="A1075" s="48" t="n"/>
      <c r="B1075" s="48" t="n"/>
      <c r="C1075" s="47" t="n"/>
      <c r="D1075" s="50" t="n"/>
      <c r="E1075" s="50" t="n"/>
      <c r="F1075" s="50" t="n"/>
      <c r="G1075" s="50" t="n"/>
      <c r="H1075" s="48" t="n"/>
      <c r="I1075" s="51" t="n"/>
      <c r="J1075" s="52" t="n"/>
      <c r="K1075" s="47" t="n"/>
      <c r="L1075" s="47" t="n"/>
      <c r="M1075" s="24">
        <f>IF(OR($A1075="",$C1075=""),"",IF($L1075&lt;&gt;"",$L1075-$C1075,TODAY()-$C1075))</f>
        <v/>
      </c>
      <c r="N1075" s="28">
        <f>IF(OR($A1075="",$K1075=""),"",IF($L1075="",IF(TODAY()&gt;$K1075,"Atrasado","En ruta"),IF($L1075&lt;=$K1075,"Sí","No")))</f>
        <v/>
      </c>
      <c r="O1075" s="24">
        <f>IF($A1075="","",COUNTIFS(NOVEDADES!$D$4:$D$1503,$A1075))</f>
        <v/>
      </c>
      <c r="P1075" s="28">
        <f>IF($A1075="","",IF(COUNTIFS(NOVEDADES!$D$4:$D$1503,$A1075,NOVEDADES!$O$4:$O$1503,"SÍ")&gt;0,"No","Sí"))</f>
        <v/>
      </c>
      <c r="Q1075" s="28">
        <f>IF(OR($A1075="",$L1075=""),"",IF(AND($N1075="Sí",$P1075="Sí"),"OTIF","Falló"))</f>
        <v/>
      </c>
    </row>
    <row r="1076" ht="16" customHeight="1">
      <c r="A1076" s="48" t="n"/>
      <c r="B1076" s="48" t="n"/>
      <c r="C1076" s="47" t="n"/>
      <c r="D1076" s="50" t="n"/>
      <c r="E1076" s="50" t="n"/>
      <c r="F1076" s="50" t="n"/>
      <c r="G1076" s="50" t="n"/>
      <c r="H1076" s="48" t="n"/>
      <c r="I1076" s="51" t="n"/>
      <c r="J1076" s="52" t="n"/>
      <c r="K1076" s="47" t="n"/>
      <c r="L1076" s="47" t="n"/>
      <c r="M1076" s="24">
        <f>IF(OR($A1076="",$C1076=""),"",IF($L1076&lt;&gt;"",$L1076-$C1076,TODAY()-$C1076))</f>
        <v/>
      </c>
      <c r="N1076" s="28">
        <f>IF(OR($A1076="",$K1076=""),"",IF($L1076="",IF(TODAY()&gt;$K1076,"Atrasado","En ruta"),IF($L1076&lt;=$K1076,"Sí","No")))</f>
        <v/>
      </c>
      <c r="O1076" s="24">
        <f>IF($A1076="","",COUNTIFS(NOVEDADES!$D$4:$D$1503,$A1076))</f>
        <v/>
      </c>
      <c r="P1076" s="28">
        <f>IF($A1076="","",IF(COUNTIFS(NOVEDADES!$D$4:$D$1503,$A1076,NOVEDADES!$O$4:$O$1503,"SÍ")&gt;0,"No","Sí"))</f>
        <v/>
      </c>
      <c r="Q1076" s="28">
        <f>IF(OR($A1076="",$L1076=""),"",IF(AND($N1076="Sí",$P1076="Sí"),"OTIF","Falló"))</f>
        <v/>
      </c>
    </row>
    <row r="1077" ht="16" customHeight="1">
      <c r="A1077" s="48" t="n"/>
      <c r="B1077" s="48" t="n"/>
      <c r="C1077" s="47" t="n"/>
      <c r="D1077" s="50" t="n"/>
      <c r="E1077" s="50" t="n"/>
      <c r="F1077" s="50" t="n"/>
      <c r="G1077" s="50" t="n"/>
      <c r="H1077" s="48" t="n"/>
      <c r="I1077" s="51" t="n"/>
      <c r="J1077" s="52" t="n"/>
      <c r="K1077" s="47" t="n"/>
      <c r="L1077" s="47" t="n"/>
      <c r="M1077" s="24">
        <f>IF(OR($A1077="",$C1077=""),"",IF($L1077&lt;&gt;"",$L1077-$C1077,TODAY()-$C1077))</f>
        <v/>
      </c>
      <c r="N1077" s="28">
        <f>IF(OR($A1077="",$K1077=""),"",IF($L1077="",IF(TODAY()&gt;$K1077,"Atrasado","En ruta"),IF($L1077&lt;=$K1077,"Sí","No")))</f>
        <v/>
      </c>
      <c r="O1077" s="24">
        <f>IF($A1077="","",COUNTIFS(NOVEDADES!$D$4:$D$1503,$A1077))</f>
        <v/>
      </c>
      <c r="P1077" s="28">
        <f>IF($A1077="","",IF(COUNTIFS(NOVEDADES!$D$4:$D$1503,$A1077,NOVEDADES!$O$4:$O$1503,"SÍ")&gt;0,"No","Sí"))</f>
        <v/>
      </c>
      <c r="Q1077" s="28">
        <f>IF(OR($A1077="",$L1077=""),"",IF(AND($N1077="Sí",$P1077="Sí"),"OTIF","Falló"))</f>
        <v/>
      </c>
    </row>
    <row r="1078" ht="16" customHeight="1">
      <c r="A1078" s="48" t="n"/>
      <c r="B1078" s="48" t="n"/>
      <c r="C1078" s="47" t="n"/>
      <c r="D1078" s="50" t="n"/>
      <c r="E1078" s="50" t="n"/>
      <c r="F1078" s="50" t="n"/>
      <c r="G1078" s="50" t="n"/>
      <c r="H1078" s="48" t="n"/>
      <c r="I1078" s="51" t="n"/>
      <c r="J1078" s="52" t="n"/>
      <c r="K1078" s="47" t="n"/>
      <c r="L1078" s="47" t="n"/>
      <c r="M1078" s="24">
        <f>IF(OR($A1078="",$C1078=""),"",IF($L1078&lt;&gt;"",$L1078-$C1078,TODAY()-$C1078))</f>
        <v/>
      </c>
      <c r="N1078" s="28">
        <f>IF(OR($A1078="",$K1078=""),"",IF($L1078="",IF(TODAY()&gt;$K1078,"Atrasado","En ruta"),IF($L1078&lt;=$K1078,"Sí","No")))</f>
        <v/>
      </c>
      <c r="O1078" s="24">
        <f>IF($A1078="","",COUNTIFS(NOVEDADES!$D$4:$D$1503,$A1078))</f>
        <v/>
      </c>
      <c r="P1078" s="28">
        <f>IF($A1078="","",IF(COUNTIFS(NOVEDADES!$D$4:$D$1503,$A1078,NOVEDADES!$O$4:$O$1503,"SÍ")&gt;0,"No","Sí"))</f>
        <v/>
      </c>
      <c r="Q1078" s="28">
        <f>IF(OR($A1078="",$L1078=""),"",IF(AND($N1078="Sí",$P1078="Sí"),"OTIF","Falló"))</f>
        <v/>
      </c>
    </row>
    <row r="1079" ht="16" customHeight="1">
      <c r="A1079" s="48" t="n"/>
      <c r="B1079" s="48" t="n"/>
      <c r="C1079" s="47" t="n"/>
      <c r="D1079" s="50" t="n"/>
      <c r="E1079" s="50" t="n"/>
      <c r="F1079" s="50" t="n"/>
      <c r="G1079" s="50" t="n"/>
      <c r="H1079" s="48" t="n"/>
      <c r="I1079" s="51" t="n"/>
      <c r="J1079" s="52" t="n"/>
      <c r="K1079" s="47" t="n"/>
      <c r="L1079" s="47" t="n"/>
      <c r="M1079" s="24">
        <f>IF(OR($A1079="",$C1079=""),"",IF($L1079&lt;&gt;"",$L1079-$C1079,TODAY()-$C1079))</f>
        <v/>
      </c>
      <c r="N1079" s="28">
        <f>IF(OR($A1079="",$K1079=""),"",IF($L1079="",IF(TODAY()&gt;$K1079,"Atrasado","En ruta"),IF($L1079&lt;=$K1079,"Sí","No")))</f>
        <v/>
      </c>
      <c r="O1079" s="24">
        <f>IF($A1079="","",COUNTIFS(NOVEDADES!$D$4:$D$1503,$A1079))</f>
        <v/>
      </c>
      <c r="P1079" s="28">
        <f>IF($A1079="","",IF(COUNTIFS(NOVEDADES!$D$4:$D$1503,$A1079,NOVEDADES!$O$4:$O$1503,"SÍ")&gt;0,"No","Sí"))</f>
        <v/>
      </c>
      <c r="Q1079" s="28">
        <f>IF(OR($A1079="",$L1079=""),"",IF(AND($N1079="Sí",$P1079="Sí"),"OTIF","Falló"))</f>
        <v/>
      </c>
    </row>
    <row r="1080" ht="16" customHeight="1">
      <c r="A1080" s="48" t="n"/>
      <c r="B1080" s="48" t="n"/>
      <c r="C1080" s="47" t="n"/>
      <c r="D1080" s="50" t="n"/>
      <c r="E1080" s="50" t="n"/>
      <c r="F1080" s="50" t="n"/>
      <c r="G1080" s="50" t="n"/>
      <c r="H1080" s="48" t="n"/>
      <c r="I1080" s="51" t="n"/>
      <c r="J1080" s="52" t="n"/>
      <c r="K1080" s="47" t="n"/>
      <c r="L1080" s="47" t="n"/>
      <c r="M1080" s="24">
        <f>IF(OR($A1080="",$C1080=""),"",IF($L1080&lt;&gt;"",$L1080-$C1080,TODAY()-$C1080))</f>
        <v/>
      </c>
      <c r="N1080" s="28">
        <f>IF(OR($A1080="",$K1080=""),"",IF($L1080="",IF(TODAY()&gt;$K1080,"Atrasado","En ruta"),IF($L1080&lt;=$K1080,"Sí","No")))</f>
        <v/>
      </c>
      <c r="O1080" s="24">
        <f>IF($A1080="","",COUNTIFS(NOVEDADES!$D$4:$D$1503,$A1080))</f>
        <v/>
      </c>
      <c r="P1080" s="28">
        <f>IF($A1080="","",IF(COUNTIFS(NOVEDADES!$D$4:$D$1503,$A1080,NOVEDADES!$O$4:$O$1503,"SÍ")&gt;0,"No","Sí"))</f>
        <v/>
      </c>
      <c r="Q1080" s="28">
        <f>IF(OR($A1080="",$L1080=""),"",IF(AND($N1080="Sí",$P1080="Sí"),"OTIF","Falló"))</f>
        <v/>
      </c>
    </row>
    <row r="1081" ht="16" customHeight="1">
      <c r="A1081" s="48" t="n"/>
      <c r="B1081" s="48" t="n"/>
      <c r="C1081" s="47" t="n"/>
      <c r="D1081" s="50" t="n"/>
      <c r="E1081" s="50" t="n"/>
      <c r="F1081" s="50" t="n"/>
      <c r="G1081" s="50" t="n"/>
      <c r="H1081" s="48" t="n"/>
      <c r="I1081" s="51" t="n"/>
      <c r="J1081" s="52" t="n"/>
      <c r="K1081" s="47" t="n"/>
      <c r="L1081" s="47" t="n"/>
      <c r="M1081" s="24">
        <f>IF(OR($A1081="",$C1081=""),"",IF($L1081&lt;&gt;"",$L1081-$C1081,TODAY()-$C1081))</f>
        <v/>
      </c>
      <c r="N1081" s="28">
        <f>IF(OR($A1081="",$K1081=""),"",IF($L1081="",IF(TODAY()&gt;$K1081,"Atrasado","En ruta"),IF($L1081&lt;=$K1081,"Sí","No")))</f>
        <v/>
      </c>
      <c r="O1081" s="24">
        <f>IF($A1081="","",COUNTIFS(NOVEDADES!$D$4:$D$1503,$A1081))</f>
        <v/>
      </c>
      <c r="P1081" s="28">
        <f>IF($A1081="","",IF(COUNTIFS(NOVEDADES!$D$4:$D$1503,$A1081,NOVEDADES!$O$4:$O$1503,"SÍ")&gt;0,"No","Sí"))</f>
        <v/>
      </c>
      <c r="Q1081" s="28">
        <f>IF(OR($A1081="",$L1081=""),"",IF(AND($N1081="Sí",$P1081="Sí"),"OTIF","Falló"))</f>
        <v/>
      </c>
    </row>
    <row r="1082" ht="16" customHeight="1">
      <c r="A1082" s="48" t="n"/>
      <c r="B1082" s="48" t="n"/>
      <c r="C1082" s="47" t="n"/>
      <c r="D1082" s="50" t="n"/>
      <c r="E1082" s="50" t="n"/>
      <c r="F1082" s="50" t="n"/>
      <c r="G1082" s="50" t="n"/>
      <c r="H1082" s="48" t="n"/>
      <c r="I1082" s="51" t="n"/>
      <c r="J1082" s="52" t="n"/>
      <c r="K1082" s="47" t="n"/>
      <c r="L1082" s="47" t="n"/>
      <c r="M1082" s="24">
        <f>IF(OR($A1082="",$C1082=""),"",IF($L1082&lt;&gt;"",$L1082-$C1082,TODAY()-$C1082))</f>
        <v/>
      </c>
      <c r="N1082" s="28">
        <f>IF(OR($A1082="",$K1082=""),"",IF($L1082="",IF(TODAY()&gt;$K1082,"Atrasado","En ruta"),IF($L1082&lt;=$K1082,"Sí","No")))</f>
        <v/>
      </c>
      <c r="O1082" s="24">
        <f>IF($A1082="","",COUNTIFS(NOVEDADES!$D$4:$D$1503,$A1082))</f>
        <v/>
      </c>
      <c r="P1082" s="28">
        <f>IF($A1082="","",IF(COUNTIFS(NOVEDADES!$D$4:$D$1503,$A1082,NOVEDADES!$O$4:$O$1503,"SÍ")&gt;0,"No","Sí"))</f>
        <v/>
      </c>
      <c r="Q1082" s="28">
        <f>IF(OR($A1082="",$L1082=""),"",IF(AND($N1082="Sí",$P1082="Sí"),"OTIF","Falló"))</f>
        <v/>
      </c>
    </row>
    <row r="1083" ht="16" customHeight="1">
      <c r="A1083" s="48" t="n"/>
      <c r="B1083" s="48" t="n"/>
      <c r="C1083" s="47" t="n"/>
      <c r="D1083" s="50" t="n"/>
      <c r="E1083" s="50" t="n"/>
      <c r="F1083" s="50" t="n"/>
      <c r="G1083" s="50" t="n"/>
      <c r="H1083" s="48" t="n"/>
      <c r="I1083" s="51" t="n"/>
      <c r="J1083" s="52" t="n"/>
      <c r="K1083" s="47" t="n"/>
      <c r="L1083" s="47" t="n"/>
      <c r="M1083" s="24">
        <f>IF(OR($A1083="",$C1083=""),"",IF($L1083&lt;&gt;"",$L1083-$C1083,TODAY()-$C1083))</f>
        <v/>
      </c>
      <c r="N1083" s="28">
        <f>IF(OR($A1083="",$K1083=""),"",IF($L1083="",IF(TODAY()&gt;$K1083,"Atrasado","En ruta"),IF($L1083&lt;=$K1083,"Sí","No")))</f>
        <v/>
      </c>
      <c r="O1083" s="24">
        <f>IF($A1083="","",COUNTIFS(NOVEDADES!$D$4:$D$1503,$A1083))</f>
        <v/>
      </c>
      <c r="P1083" s="28">
        <f>IF($A1083="","",IF(COUNTIFS(NOVEDADES!$D$4:$D$1503,$A1083,NOVEDADES!$O$4:$O$1503,"SÍ")&gt;0,"No","Sí"))</f>
        <v/>
      </c>
      <c r="Q1083" s="28">
        <f>IF(OR($A1083="",$L1083=""),"",IF(AND($N1083="Sí",$P1083="Sí"),"OTIF","Falló"))</f>
        <v/>
      </c>
    </row>
    <row r="1084" ht="16" customHeight="1">
      <c r="A1084" s="48" t="n"/>
      <c r="B1084" s="48" t="n"/>
      <c r="C1084" s="47" t="n"/>
      <c r="D1084" s="50" t="n"/>
      <c r="E1084" s="50" t="n"/>
      <c r="F1084" s="50" t="n"/>
      <c r="G1084" s="50" t="n"/>
      <c r="H1084" s="48" t="n"/>
      <c r="I1084" s="51" t="n"/>
      <c r="J1084" s="52" t="n"/>
      <c r="K1084" s="47" t="n"/>
      <c r="L1084" s="47" t="n"/>
      <c r="M1084" s="24">
        <f>IF(OR($A1084="",$C1084=""),"",IF($L1084&lt;&gt;"",$L1084-$C1084,TODAY()-$C1084))</f>
        <v/>
      </c>
      <c r="N1084" s="28">
        <f>IF(OR($A1084="",$K1084=""),"",IF($L1084="",IF(TODAY()&gt;$K1084,"Atrasado","En ruta"),IF($L1084&lt;=$K1084,"Sí","No")))</f>
        <v/>
      </c>
      <c r="O1084" s="24">
        <f>IF($A1084="","",COUNTIFS(NOVEDADES!$D$4:$D$1503,$A1084))</f>
        <v/>
      </c>
      <c r="P1084" s="28">
        <f>IF($A1084="","",IF(COUNTIFS(NOVEDADES!$D$4:$D$1503,$A1084,NOVEDADES!$O$4:$O$1503,"SÍ")&gt;0,"No","Sí"))</f>
        <v/>
      </c>
      <c r="Q1084" s="28">
        <f>IF(OR($A1084="",$L1084=""),"",IF(AND($N1084="Sí",$P1084="Sí"),"OTIF","Falló"))</f>
        <v/>
      </c>
    </row>
    <row r="1085" ht="16" customHeight="1">
      <c r="A1085" s="48" t="n"/>
      <c r="B1085" s="48" t="n"/>
      <c r="C1085" s="47" t="n"/>
      <c r="D1085" s="50" t="n"/>
      <c r="E1085" s="50" t="n"/>
      <c r="F1085" s="50" t="n"/>
      <c r="G1085" s="50" t="n"/>
      <c r="H1085" s="48" t="n"/>
      <c r="I1085" s="51" t="n"/>
      <c r="J1085" s="52" t="n"/>
      <c r="K1085" s="47" t="n"/>
      <c r="L1085" s="47" t="n"/>
      <c r="M1085" s="24">
        <f>IF(OR($A1085="",$C1085=""),"",IF($L1085&lt;&gt;"",$L1085-$C1085,TODAY()-$C1085))</f>
        <v/>
      </c>
      <c r="N1085" s="28">
        <f>IF(OR($A1085="",$K1085=""),"",IF($L1085="",IF(TODAY()&gt;$K1085,"Atrasado","En ruta"),IF($L1085&lt;=$K1085,"Sí","No")))</f>
        <v/>
      </c>
      <c r="O1085" s="24">
        <f>IF($A1085="","",COUNTIFS(NOVEDADES!$D$4:$D$1503,$A1085))</f>
        <v/>
      </c>
      <c r="P1085" s="28">
        <f>IF($A1085="","",IF(COUNTIFS(NOVEDADES!$D$4:$D$1503,$A1085,NOVEDADES!$O$4:$O$1503,"SÍ")&gt;0,"No","Sí"))</f>
        <v/>
      </c>
      <c r="Q1085" s="28">
        <f>IF(OR($A1085="",$L1085=""),"",IF(AND($N1085="Sí",$P1085="Sí"),"OTIF","Falló"))</f>
        <v/>
      </c>
    </row>
    <row r="1086" ht="16" customHeight="1">
      <c r="A1086" s="48" t="n"/>
      <c r="B1086" s="48" t="n"/>
      <c r="C1086" s="47" t="n"/>
      <c r="D1086" s="50" t="n"/>
      <c r="E1086" s="50" t="n"/>
      <c r="F1086" s="50" t="n"/>
      <c r="G1086" s="50" t="n"/>
      <c r="H1086" s="48" t="n"/>
      <c r="I1086" s="51" t="n"/>
      <c r="J1086" s="52" t="n"/>
      <c r="K1086" s="47" t="n"/>
      <c r="L1086" s="47" t="n"/>
      <c r="M1086" s="24">
        <f>IF(OR($A1086="",$C1086=""),"",IF($L1086&lt;&gt;"",$L1086-$C1086,TODAY()-$C1086))</f>
        <v/>
      </c>
      <c r="N1086" s="28">
        <f>IF(OR($A1086="",$K1086=""),"",IF($L1086="",IF(TODAY()&gt;$K1086,"Atrasado","En ruta"),IF($L1086&lt;=$K1086,"Sí","No")))</f>
        <v/>
      </c>
      <c r="O1086" s="24">
        <f>IF($A1086="","",COUNTIFS(NOVEDADES!$D$4:$D$1503,$A1086))</f>
        <v/>
      </c>
      <c r="P1086" s="28">
        <f>IF($A1086="","",IF(COUNTIFS(NOVEDADES!$D$4:$D$1503,$A1086,NOVEDADES!$O$4:$O$1503,"SÍ")&gt;0,"No","Sí"))</f>
        <v/>
      </c>
      <c r="Q1086" s="28">
        <f>IF(OR($A1086="",$L1086=""),"",IF(AND($N1086="Sí",$P1086="Sí"),"OTIF","Falló"))</f>
        <v/>
      </c>
    </row>
    <row r="1087" ht="16" customHeight="1">
      <c r="A1087" s="48" t="n"/>
      <c r="B1087" s="48" t="n"/>
      <c r="C1087" s="47" t="n"/>
      <c r="D1087" s="50" t="n"/>
      <c r="E1087" s="50" t="n"/>
      <c r="F1087" s="50" t="n"/>
      <c r="G1087" s="50" t="n"/>
      <c r="H1087" s="48" t="n"/>
      <c r="I1087" s="51" t="n"/>
      <c r="J1087" s="52" t="n"/>
      <c r="K1087" s="47" t="n"/>
      <c r="L1087" s="47" t="n"/>
      <c r="M1087" s="24">
        <f>IF(OR($A1087="",$C1087=""),"",IF($L1087&lt;&gt;"",$L1087-$C1087,TODAY()-$C1087))</f>
        <v/>
      </c>
      <c r="N1087" s="28">
        <f>IF(OR($A1087="",$K1087=""),"",IF($L1087="",IF(TODAY()&gt;$K1087,"Atrasado","En ruta"),IF($L1087&lt;=$K1087,"Sí","No")))</f>
        <v/>
      </c>
      <c r="O1087" s="24">
        <f>IF($A1087="","",COUNTIFS(NOVEDADES!$D$4:$D$1503,$A1087))</f>
        <v/>
      </c>
      <c r="P1087" s="28">
        <f>IF($A1087="","",IF(COUNTIFS(NOVEDADES!$D$4:$D$1503,$A1087,NOVEDADES!$O$4:$O$1503,"SÍ")&gt;0,"No","Sí"))</f>
        <v/>
      </c>
      <c r="Q1087" s="28">
        <f>IF(OR($A1087="",$L1087=""),"",IF(AND($N1087="Sí",$P1087="Sí"),"OTIF","Falló"))</f>
        <v/>
      </c>
    </row>
    <row r="1088" ht="16" customHeight="1">
      <c r="A1088" s="48" t="n"/>
      <c r="B1088" s="48" t="n"/>
      <c r="C1088" s="47" t="n"/>
      <c r="D1088" s="50" t="n"/>
      <c r="E1088" s="50" t="n"/>
      <c r="F1088" s="50" t="n"/>
      <c r="G1088" s="50" t="n"/>
      <c r="H1088" s="48" t="n"/>
      <c r="I1088" s="51" t="n"/>
      <c r="J1088" s="52" t="n"/>
      <c r="K1088" s="47" t="n"/>
      <c r="L1088" s="47" t="n"/>
      <c r="M1088" s="24">
        <f>IF(OR($A1088="",$C1088=""),"",IF($L1088&lt;&gt;"",$L1088-$C1088,TODAY()-$C1088))</f>
        <v/>
      </c>
      <c r="N1088" s="28">
        <f>IF(OR($A1088="",$K1088=""),"",IF($L1088="",IF(TODAY()&gt;$K1088,"Atrasado","En ruta"),IF($L1088&lt;=$K1088,"Sí","No")))</f>
        <v/>
      </c>
      <c r="O1088" s="24">
        <f>IF($A1088="","",COUNTIFS(NOVEDADES!$D$4:$D$1503,$A1088))</f>
        <v/>
      </c>
      <c r="P1088" s="28">
        <f>IF($A1088="","",IF(COUNTIFS(NOVEDADES!$D$4:$D$1503,$A1088,NOVEDADES!$O$4:$O$1503,"SÍ")&gt;0,"No","Sí"))</f>
        <v/>
      </c>
      <c r="Q1088" s="28">
        <f>IF(OR($A1088="",$L1088=""),"",IF(AND($N1088="Sí",$P1088="Sí"),"OTIF","Falló"))</f>
        <v/>
      </c>
    </row>
    <row r="1089" ht="16" customHeight="1">
      <c r="A1089" s="48" t="n"/>
      <c r="B1089" s="48" t="n"/>
      <c r="C1089" s="47" t="n"/>
      <c r="D1089" s="50" t="n"/>
      <c r="E1089" s="50" t="n"/>
      <c r="F1089" s="50" t="n"/>
      <c r="G1089" s="50" t="n"/>
      <c r="H1089" s="48" t="n"/>
      <c r="I1089" s="51" t="n"/>
      <c r="J1089" s="52" t="n"/>
      <c r="K1089" s="47" t="n"/>
      <c r="L1089" s="47" t="n"/>
      <c r="M1089" s="24">
        <f>IF(OR($A1089="",$C1089=""),"",IF($L1089&lt;&gt;"",$L1089-$C1089,TODAY()-$C1089))</f>
        <v/>
      </c>
      <c r="N1089" s="28">
        <f>IF(OR($A1089="",$K1089=""),"",IF($L1089="",IF(TODAY()&gt;$K1089,"Atrasado","En ruta"),IF($L1089&lt;=$K1089,"Sí","No")))</f>
        <v/>
      </c>
      <c r="O1089" s="24">
        <f>IF($A1089="","",COUNTIFS(NOVEDADES!$D$4:$D$1503,$A1089))</f>
        <v/>
      </c>
      <c r="P1089" s="28">
        <f>IF($A1089="","",IF(COUNTIFS(NOVEDADES!$D$4:$D$1503,$A1089,NOVEDADES!$O$4:$O$1503,"SÍ")&gt;0,"No","Sí"))</f>
        <v/>
      </c>
      <c r="Q1089" s="28">
        <f>IF(OR($A1089="",$L1089=""),"",IF(AND($N1089="Sí",$P1089="Sí"),"OTIF","Falló"))</f>
        <v/>
      </c>
    </row>
    <row r="1090" ht="16" customHeight="1">
      <c r="A1090" s="48" t="n"/>
      <c r="B1090" s="48" t="n"/>
      <c r="C1090" s="47" t="n"/>
      <c r="D1090" s="50" t="n"/>
      <c r="E1090" s="50" t="n"/>
      <c r="F1090" s="50" t="n"/>
      <c r="G1090" s="50" t="n"/>
      <c r="H1090" s="48" t="n"/>
      <c r="I1090" s="51" t="n"/>
      <c r="J1090" s="52" t="n"/>
      <c r="K1090" s="47" t="n"/>
      <c r="L1090" s="47" t="n"/>
      <c r="M1090" s="24">
        <f>IF(OR($A1090="",$C1090=""),"",IF($L1090&lt;&gt;"",$L1090-$C1090,TODAY()-$C1090))</f>
        <v/>
      </c>
      <c r="N1090" s="28">
        <f>IF(OR($A1090="",$K1090=""),"",IF($L1090="",IF(TODAY()&gt;$K1090,"Atrasado","En ruta"),IF($L1090&lt;=$K1090,"Sí","No")))</f>
        <v/>
      </c>
      <c r="O1090" s="24">
        <f>IF($A1090="","",COUNTIFS(NOVEDADES!$D$4:$D$1503,$A1090))</f>
        <v/>
      </c>
      <c r="P1090" s="28">
        <f>IF($A1090="","",IF(COUNTIFS(NOVEDADES!$D$4:$D$1503,$A1090,NOVEDADES!$O$4:$O$1503,"SÍ")&gt;0,"No","Sí"))</f>
        <v/>
      </c>
      <c r="Q1090" s="28">
        <f>IF(OR($A1090="",$L1090=""),"",IF(AND($N1090="Sí",$P1090="Sí"),"OTIF","Falló"))</f>
        <v/>
      </c>
    </row>
    <row r="1091" ht="16" customHeight="1">
      <c r="A1091" s="48" t="n"/>
      <c r="B1091" s="48" t="n"/>
      <c r="C1091" s="47" t="n"/>
      <c r="D1091" s="50" t="n"/>
      <c r="E1091" s="50" t="n"/>
      <c r="F1091" s="50" t="n"/>
      <c r="G1091" s="50" t="n"/>
      <c r="H1091" s="48" t="n"/>
      <c r="I1091" s="51" t="n"/>
      <c r="J1091" s="52" t="n"/>
      <c r="K1091" s="47" t="n"/>
      <c r="L1091" s="47" t="n"/>
      <c r="M1091" s="24">
        <f>IF(OR($A1091="",$C1091=""),"",IF($L1091&lt;&gt;"",$L1091-$C1091,TODAY()-$C1091))</f>
        <v/>
      </c>
      <c r="N1091" s="28">
        <f>IF(OR($A1091="",$K1091=""),"",IF($L1091="",IF(TODAY()&gt;$K1091,"Atrasado","En ruta"),IF($L1091&lt;=$K1091,"Sí","No")))</f>
        <v/>
      </c>
      <c r="O1091" s="24">
        <f>IF($A1091="","",COUNTIFS(NOVEDADES!$D$4:$D$1503,$A1091))</f>
        <v/>
      </c>
      <c r="P1091" s="28">
        <f>IF($A1091="","",IF(COUNTIFS(NOVEDADES!$D$4:$D$1503,$A1091,NOVEDADES!$O$4:$O$1503,"SÍ")&gt;0,"No","Sí"))</f>
        <v/>
      </c>
      <c r="Q1091" s="28">
        <f>IF(OR($A1091="",$L1091=""),"",IF(AND($N1091="Sí",$P1091="Sí"),"OTIF","Falló"))</f>
        <v/>
      </c>
    </row>
    <row r="1092" ht="16" customHeight="1">
      <c r="A1092" s="48" t="n"/>
      <c r="B1092" s="48" t="n"/>
      <c r="C1092" s="47" t="n"/>
      <c r="D1092" s="50" t="n"/>
      <c r="E1092" s="50" t="n"/>
      <c r="F1092" s="50" t="n"/>
      <c r="G1092" s="50" t="n"/>
      <c r="H1092" s="48" t="n"/>
      <c r="I1092" s="51" t="n"/>
      <c r="J1092" s="52" t="n"/>
      <c r="K1092" s="47" t="n"/>
      <c r="L1092" s="47" t="n"/>
      <c r="M1092" s="24">
        <f>IF(OR($A1092="",$C1092=""),"",IF($L1092&lt;&gt;"",$L1092-$C1092,TODAY()-$C1092))</f>
        <v/>
      </c>
      <c r="N1092" s="28">
        <f>IF(OR($A1092="",$K1092=""),"",IF($L1092="",IF(TODAY()&gt;$K1092,"Atrasado","En ruta"),IF($L1092&lt;=$K1092,"Sí","No")))</f>
        <v/>
      </c>
      <c r="O1092" s="24">
        <f>IF($A1092="","",COUNTIFS(NOVEDADES!$D$4:$D$1503,$A1092))</f>
        <v/>
      </c>
      <c r="P1092" s="28">
        <f>IF($A1092="","",IF(COUNTIFS(NOVEDADES!$D$4:$D$1503,$A1092,NOVEDADES!$O$4:$O$1503,"SÍ")&gt;0,"No","Sí"))</f>
        <v/>
      </c>
      <c r="Q1092" s="28">
        <f>IF(OR($A1092="",$L1092=""),"",IF(AND($N1092="Sí",$P1092="Sí"),"OTIF","Falló"))</f>
        <v/>
      </c>
    </row>
    <row r="1093" ht="16" customHeight="1">
      <c r="A1093" s="48" t="n"/>
      <c r="B1093" s="48" t="n"/>
      <c r="C1093" s="47" t="n"/>
      <c r="D1093" s="50" t="n"/>
      <c r="E1093" s="50" t="n"/>
      <c r="F1093" s="50" t="n"/>
      <c r="G1093" s="50" t="n"/>
      <c r="H1093" s="48" t="n"/>
      <c r="I1093" s="51" t="n"/>
      <c r="J1093" s="52" t="n"/>
      <c r="K1093" s="47" t="n"/>
      <c r="L1093" s="47" t="n"/>
      <c r="M1093" s="24">
        <f>IF(OR($A1093="",$C1093=""),"",IF($L1093&lt;&gt;"",$L1093-$C1093,TODAY()-$C1093))</f>
        <v/>
      </c>
      <c r="N1093" s="28">
        <f>IF(OR($A1093="",$K1093=""),"",IF($L1093="",IF(TODAY()&gt;$K1093,"Atrasado","En ruta"),IF($L1093&lt;=$K1093,"Sí","No")))</f>
        <v/>
      </c>
      <c r="O1093" s="24">
        <f>IF($A1093="","",COUNTIFS(NOVEDADES!$D$4:$D$1503,$A1093))</f>
        <v/>
      </c>
      <c r="P1093" s="28">
        <f>IF($A1093="","",IF(COUNTIFS(NOVEDADES!$D$4:$D$1503,$A1093,NOVEDADES!$O$4:$O$1503,"SÍ")&gt;0,"No","Sí"))</f>
        <v/>
      </c>
      <c r="Q1093" s="28">
        <f>IF(OR($A1093="",$L1093=""),"",IF(AND($N1093="Sí",$P1093="Sí"),"OTIF","Falló"))</f>
        <v/>
      </c>
    </row>
    <row r="1094" ht="16" customHeight="1">
      <c r="A1094" s="48" t="n"/>
      <c r="B1094" s="48" t="n"/>
      <c r="C1094" s="47" t="n"/>
      <c r="D1094" s="50" t="n"/>
      <c r="E1094" s="50" t="n"/>
      <c r="F1094" s="50" t="n"/>
      <c r="G1094" s="50" t="n"/>
      <c r="H1094" s="48" t="n"/>
      <c r="I1094" s="51" t="n"/>
      <c r="J1094" s="52" t="n"/>
      <c r="K1094" s="47" t="n"/>
      <c r="L1094" s="47" t="n"/>
      <c r="M1094" s="24">
        <f>IF(OR($A1094="",$C1094=""),"",IF($L1094&lt;&gt;"",$L1094-$C1094,TODAY()-$C1094))</f>
        <v/>
      </c>
      <c r="N1094" s="28">
        <f>IF(OR($A1094="",$K1094=""),"",IF($L1094="",IF(TODAY()&gt;$K1094,"Atrasado","En ruta"),IF($L1094&lt;=$K1094,"Sí","No")))</f>
        <v/>
      </c>
      <c r="O1094" s="24">
        <f>IF($A1094="","",COUNTIFS(NOVEDADES!$D$4:$D$1503,$A1094))</f>
        <v/>
      </c>
      <c r="P1094" s="28">
        <f>IF($A1094="","",IF(COUNTIFS(NOVEDADES!$D$4:$D$1503,$A1094,NOVEDADES!$O$4:$O$1503,"SÍ")&gt;0,"No","Sí"))</f>
        <v/>
      </c>
      <c r="Q1094" s="28">
        <f>IF(OR($A1094="",$L1094=""),"",IF(AND($N1094="Sí",$P1094="Sí"),"OTIF","Falló"))</f>
        <v/>
      </c>
    </row>
    <row r="1095" ht="16" customHeight="1">
      <c r="A1095" s="48" t="n"/>
      <c r="B1095" s="48" t="n"/>
      <c r="C1095" s="47" t="n"/>
      <c r="D1095" s="50" t="n"/>
      <c r="E1095" s="50" t="n"/>
      <c r="F1095" s="50" t="n"/>
      <c r="G1095" s="50" t="n"/>
      <c r="H1095" s="48" t="n"/>
      <c r="I1095" s="51" t="n"/>
      <c r="J1095" s="52" t="n"/>
      <c r="K1095" s="47" t="n"/>
      <c r="L1095" s="47" t="n"/>
      <c r="M1095" s="24">
        <f>IF(OR($A1095="",$C1095=""),"",IF($L1095&lt;&gt;"",$L1095-$C1095,TODAY()-$C1095))</f>
        <v/>
      </c>
      <c r="N1095" s="28">
        <f>IF(OR($A1095="",$K1095=""),"",IF($L1095="",IF(TODAY()&gt;$K1095,"Atrasado","En ruta"),IF($L1095&lt;=$K1095,"Sí","No")))</f>
        <v/>
      </c>
      <c r="O1095" s="24">
        <f>IF($A1095="","",COUNTIFS(NOVEDADES!$D$4:$D$1503,$A1095))</f>
        <v/>
      </c>
      <c r="P1095" s="28">
        <f>IF($A1095="","",IF(COUNTIFS(NOVEDADES!$D$4:$D$1503,$A1095,NOVEDADES!$O$4:$O$1503,"SÍ")&gt;0,"No","Sí"))</f>
        <v/>
      </c>
      <c r="Q1095" s="28">
        <f>IF(OR($A1095="",$L1095=""),"",IF(AND($N1095="Sí",$P1095="Sí"),"OTIF","Falló"))</f>
        <v/>
      </c>
    </row>
    <row r="1096" ht="16" customHeight="1">
      <c r="A1096" s="48" t="n"/>
      <c r="B1096" s="48" t="n"/>
      <c r="C1096" s="47" t="n"/>
      <c r="D1096" s="50" t="n"/>
      <c r="E1096" s="50" t="n"/>
      <c r="F1096" s="50" t="n"/>
      <c r="G1096" s="50" t="n"/>
      <c r="H1096" s="48" t="n"/>
      <c r="I1096" s="51" t="n"/>
      <c r="J1096" s="52" t="n"/>
      <c r="K1096" s="47" t="n"/>
      <c r="L1096" s="47" t="n"/>
      <c r="M1096" s="24">
        <f>IF(OR($A1096="",$C1096=""),"",IF($L1096&lt;&gt;"",$L1096-$C1096,TODAY()-$C1096))</f>
        <v/>
      </c>
      <c r="N1096" s="28">
        <f>IF(OR($A1096="",$K1096=""),"",IF($L1096="",IF(TODAY()&gt;$K1096,"Atrasado","En ruta"),IF($L1096&lt;=$K1096,"Sí","No")))</f>
        <v/>
      </c>
      <c r="O1096" s="24">
        <f>IF($A1096="","",COUNTIFS(NOVEDADES!$D$4:$D$1503,$A1096))</f>
        <v/>
      </c>
      <c r="P1096" s="28">
        <f>IF($A1096="","",IF(COUNTIFS(NOVEDADES!$D$4:$D$1503,$A1096,NOVEDADES!$O$4:$O$1503,"SÍ")&gt;0,"No","Sí"))</f>
        <v/>
      </c>
      <c r="Q1096" s="28">
        <f>IF(OR($A1096="",$L1096=""),"",IF(AND($N1096="Sí",$P1096="Sí"),"OTIF","Falló"))</f>
        <v/>
      </c>
    </row>
    <row r="1097" ht="16" customHeight="1">
      <c r="A1097" s="48" t="n"/>
      <c r="B1097" s="48" t="n"/>
      <c r="C1097" s="47" t="n"/>
      <c r="D1097" s="50" t="n"/>
      <c r="E1097" s="50" t="n"/>
      <c r="F1097" s="50" t="n"/>
      <c r="G1097" s="50" t="n"/>
      <c r="H1097" s="48" t="n"/>
      <c r="I1097" s="51" t="n"/>
      <c r="J1097" s="52" t="n"/>
      <c r="K1097" s="47" t="n"/>
      <c r="L1097" s="47" t="n"/>
      <c r="M1097" s="24">
        <f>IF(OR($A1097="",$C1097=""),"",IF($L1097&lt;&gt;"",$L1097-$C1097,TODAY()-$C1097))</f>
        <v/>
      </c>
      <c r="N1097" s="28">
        <f>IF(OR($A1097="",$K1097=""),"",IF($L1097="",IF(TODAY()&gt;$K1097,"Atrasado","En ruta"),IF($L1097&lt;=$K1097,"Sí","No")))</f>
        <v/>
      </c>
      <c r="O1097" s="24">
        <f>IF($A1097="","",COUNTIFS(NOVEDADES!$D$4:$D$1503,$A1097))</f>
        <v/>
      </c>
      <c r="P1097" s="28">
        <f>IF($A1097="","",IF(COUNTIFS(NOVEDADES!$D$4:$D$1503,$A1097,NOVEDADES!$O$4:$O$1503,"SÍ")&gt;0,"No","Sí"))</f>
        <v/>
      </c>
      <c r="Q1097" s="28">
        <f>IF(OR($A1097="",$L1097=""),"",IF(AND($N1097="Sí",$P1097="Sí"),"OTIF","Falló"))</f>
        <v/>
      </c>
    </row>
    <row r="1098" ht="16" customHeight="1">
      <c r="A1098" s="48" t="n"/>
      <c r="B1098" s="48" t="n"/>
      <c r="C1098" s="47" t="n"/>
      <c r="D1098" s="50" t="n"/>
      <c r="E1098" s="50" t="n"/>
      <c r="F1098" s="50" t="n"/>
      <c r="G1098" s="50" t="n"/>
      <c r="H1098" s="48" t="n"/>
      <c r="I1098" s="51" t="n"/>
      <c r="J1098" s="52" t="n"/>
      <c r="K1098" s="47" t="n"/>
      <c r="L1098" s="47" t="n"/>
      <c r="M1098" s="24">
        <f>IF(OR($A1098="",$C1098=""),"",IF($L1098&lt;&gt;"",$L1098-$C1098,TODAY()-$C1098))</f>
        <v/>
      </c>
      <c r="N1098" s="28">
        <f>IF(OR($A1098="",$K1098=""),"",IF($L1098="",IF(TODAY()&gt;$K1098,"Atrasado","En ruta"),IF($L1098&lt;=$K1098,"Sí","No")))</f>
        <v/>
      </c>
      <c r="O1098" s="24">
        <f>IF($A1098="","",COUNTIFS(NOVEDADES!$D$4:$D$1503,$A1098))</f>
        <v/>
      </c>
      <c r="P1098" s="28">
        <f>IF($A1098="","",IF(COUNTIFS(NOVEDADES!$D$4:$D$1503,$A1098,NOVEDADES!$O$4:$O$1503,"SÍ")&gt;0,"No","Sí"))</f>
        <v/>
      </c>
      <c r="Q1098" s="28">
        <f>IF(OR($A1098="",$L1098=""),"",IF(AND($N1098="Sí",$P1098="Sí"),"OTIF","Falló"))</f>
        <v/>
      </c>
    </row>
    <row r="1099" ht="16" customHeight="1">
      <c r="A1099" s="48" t="n"/>
      <c r="B1099" s="48" t="n"/>
      <c r="C1099" s="47" t="n"/>
      <c r="D1099" s="50" t="n"/>
      <c r="E1099" s="50" t="n"/>
      <c r="F1099" s="50" t="n"/>
      <c r="G1099" s="50" t="n"/>
      <c r="H1099" s="48" t="n"/>
      <c r="I1099" s="51" t="n"/>
      <c r="J1099" s="52" t="n"/>
      <c r="K1099" s="47" t="n"/>
      <c r="L1099" s="47" t="n"/>
      <c r="M1099" s="24">
        <f>IF(OR($A1099="",$C1099=""),"",IF($L1099&lt;&gt;"",$L1099-$C1099,TODAY()-$C1099))</f>
        <v/>
      </c>
      <c r="N1099" s="28">
        <f>IF(OR($A1099="",$K1099=""),"",IF($L1099="",IF(TODAY()&gt;$K1099,"Atrasado","En ruta"),IF($L1099&lt;=$K1099,"Sí","No")))</f>
        <v/>
      </c>
      <c r="O1099" s="24">
        <f>IF($A1099="","",COUNTIFS(NOVEDADES!$D$4:$D$1503,$A1099))</f>
        <v/>
      </c>
      <c r="P1099" s="28">
        <f>IF($A1099="","",IF(COUNTIFS(NOVEDADES!$D$4:$D$1503,$A1099,NOVEDADES!$O$4:$O$1503,"SÍ")&gt;0,"No","Sí"))</f>
        <v/>
      </c>
      <c r="Q1099" s="28">
        <f>IF(OR($A1099="",$L1099=""),"",IF(AND($N1099="Sí",$P1099="Sí"),"OTIF","Falló"))</f>
        <v/>
      </c>
    </row>
    <row r="1100" ht="16" customHeight="1">
      <c r="A1100" s="48" t="n"/>
      <c r="B1100" s="48" t="n"/>
      <c r="C1100" s="47" t="n"/>
      <c r="D1100" s="50" t="n"/>
      <c r="E1100" s="50" t="n"/>
      <c r="F1100" s="50" t="n"/>
      <c r="G1100" s="50" t="n"/>
      <c r="H1100" s="48" t="n"/>
      <c r="I1100" s="51" t="n"/>
      <c r="J1100" s="52" t="n"/>
      <c r="K1100" s="47" t="n"/>
      <c r="L1100" s="47" t="n"/>
      <c r="M1100" s="24">
        <f>IF(OR($A1100="",$C1100=""),"",IF($L1100&lt;&gt;"",$L1100-$C1100,TODAY()-$C1100))</f>
        <v/>
      </c>
      <c r="N1100" s="28">
        <f>IF(OR($A1100="",$K1100=""),"",IF($L1100="",IF(TODAY()&gt;$K1100,"Atrasado","En ruta"),IF($L1100&lt;=$K1100,"Sí","No")))</f>
        <v/>
      </c>
      <c r="O1100" s="24">
        <f>IF($A1100="","",COUNTIFS(NOVEDADES!$D$4:$D$1503,$A1100))</f>
        <v/>
      </c>
      <c r="P1100" s="28">
        <f>IF($A1100="","",IF(COUNTIFS(NOVEDADES!$D$4:$D$1503,$A1100,NOVEDADES!$O$4:$O$1503,"SÍ")&gt;0,"No","Sí"))</f>
        <v/>
      </c>
      <c r="Q1100" s="28">
        <f>IF(OR($A1100="",$L1100=""),"",IF(AND($N1100="Sí",$P1100="Sí"),"OTIF","Falló"))</f>
        <v/>
      </c>
    </row>
    <row r="1101" ht="16" customHeight="1">
      <c r="A1101" s="48" t="n"/>
      <c r="B1101" s="48" t="n"/>
      <c r="C1101" s="47" t="n"/>
      <c r="D1101" s="50" t="n"/>
      <c r="E1101" s="50" t="n"/>
      <c r="F1101" s="50" t="n"/>
      <c r="G1101" s="50" t="n"/>
      <c r="H1101" s="48" t="n"/>
      <c r="I1101" s="51" t="n"/>
      <c r="J1101" s="52" t="n"/>
      <c r="K1101" s="47" t="n"/>
      <c r="L1101" s="47" t="n"/>
      <c r="M1101" s="24">
        <f>IF(OR($A1101="",$C1101=""),"",IF($L1101&lt;&gt;"",$L1101-$C1101,TODAY()-$C1101))</f>
        <v/>
      </c>
      <c r="N1101" s="28">
        <f>IF(OR($A1101="",$K1101=""),"",IF($L1101="",IF(TODAY()&gt;$K1101,"Atrasado","En ruta"),IF($L1101&lt;=$K1101,"Sí","No")))</f>
        <v/>
      </c>
      <c r="O1101" s="24">
        <f>IF($A1101="","",COUNTIFS(NOVEDADES!$D$4:$D$1503,$A1101))</f>
        <v/>
      </c>
      <c r="P1101" s="28">
        <f>IF($A1101="","",IF(COUNTIFS(NOVEDADES!$D$4:$D$1503,$A1101,NOVEDADES!$O$4:$O$1503,"SÍ")&gt;0,"No","Sí"))</f>
        <v/>
      </c>
      <c r="Q1101" s="28">
        <f>IF(OR($A1101="",$L1101=""),"",IF(AND($N1101="Sí",$P1101="Sí"),"OTIF","Falló"))</f>
        <v/>
      </c>
    </row>
    <row r="1102" ht="16" customHeight="1">
      <c r="A1102" s="48" t="n"/>
      <c r="B1102" s="48" t="n"/>
      <c r="C1102" s="47" t="n"/>
      <c r="D1102" s="50" t="n"/>
      <c r="E1102" s="50" t="n"/>
      <c r="F1102" s="50" t="n"/>
      <c r="G1102" s="50" t="n"/>
      <c r="H1102" s="48" t="n"/>
      <c r="I1102" s="51" t="n"/>
      <c r="J1102" s="52" t="n"/>
      <c r="K1102" s="47" t="n"/>
      <c r="L1102" s="47" t="n"/>
      <c r="M1102" s="24">
        <f>IF(OR($A1102="",$C1102=""),"",IF($L1102&lt;&gt;"",$L1102-$C1102,TODAY()-$C1102))</f>
        <v/>
      </c>
      <c r="N1102" s="28">
        <f>IF(OR($A1102="",$K1102=""),"",IF($L1102="",IF(TODAY()&gt;$K1102,"Atrasado","En ruta"),IF($L1102&lt;=$K1102,"Sí","No")))</f>
        <v/>
      </c>
      <c r="O1102" s="24">
        <f>IF($A1102="","",COUNTIFS(NOVEDADES!$D$4:$D$1503,$A1102))</f>
        <v/>
      </c>
      <c r="P1102" s="28">
        <f>IF($A1102="","",IF(COUNTIFS(NOVEDADES!$D$4:$D$1503,$A1102,NOVEDADES!$O$4:$O$1503,"SÍ")&gt;0,"No","Sí"))</f>
        <v/>
      </c>
      <c r="Q1102" s="28">
        <f>IF(OR($A1102="",$L1102=""),"",IF(AND($N1102="Sí",$P1102="Sí"),"OTIF","Falló"))</f>
        <v/>
      </c>
    </row>
    <row r="1103" ht="16" customHeight="1">
      <c r="A1103" s="48" t="n"/>
      <c r="B1103" s="48" t="n"/>
      <c r="C1103" s="47" t="n"/>
      <c r="D1103" s="50" t="n"/>
      <c r="E1103" s="50" t="n"/>
      <c r="F1103" s="50" t="n"/>
      <c r="G1103" s="50" t="n"/>
      <c r="H1103" s="48" t="n"/>
      <c r="I1103" s="51" t="n"/>
      <c r="J1103" s="52" t="n"/>
      <c r="K1103" s="47" t="n"/>
      <c r="L1103" s="47" t="n"/>
      <c r="M1103" s="24">
        <f>IF(OR($A1103="",$C1103=""),"",IF($L1103&lt;&gt;"",$L1103-$C1103,TODAY()-$C1103))</f>
        <v/>
      </c>
      <c r="N1103" s="28">
        <f>IF(OR($A1103="",$K1103=""),"",IF($L1103="",IF(TODAY()&gt;$K1103,"Atrasado","En ruta"),IF($L1103&lt;=$K1103,"Sí","No")))</f>
        <v/>
      </c>
      <c r="O1103" s="24">
        <f>IF($A1103="","",COUNTIFS(NOVEDADES!$D$4:$D$1503,$A1103))</f>
        <v/>
      </c>
      <c r="P1103" s="28">
        <f>IF($A1103="","",IF(COUNTIFS(NOVEDADES!$D$4:$D$1503,$A1103,NOVEDADES!$O$4:$O$1503,"SÍ")&gt;0,"No","Sí"))</f>
        <v/>
      </c>
      <c r="Q1103" s="28">
        <f>IF(OR($A1103="",$L1103=""),"",IF(AND($N1103="Sí",$P1103="Sí"),"OTIF","Falló"))</f>
        <v/>
      </c>
    </row>
    <row r="1104" ht="16" customHeight="1">
      <c r="A1104" s="48" t="n"/>
      <c r="B1104" s="48" t="n"/>
      <c r="C1104" s="47" t="n"/>
      <c r="D1104" s="50" t="n"/>
      <c r="E1104" s="50" t="n"/>
      <c r="F1104" s="50" t="n"/>
      <c r="G1104" s="50" t="n"/>
      <c r="H1104" s="48" t="n"/>
      <c r="I1104" s="51" t="n"/>
      <c r="J1104" s="52" t="n"/>
      <c r="K1104" s="47" t="n"/>
      <c r="L1104" s="47" t="n"/>
      <c r="M1104" s="24">
        <f>IF(OR($A1104="",$C1104=""),"",IF($L1104&lt;&gt;"",$L1104-$C1104,TODAY()-$C1104))</f>
        <v/>
      </c>
      <c r="N1104" s="28">
        <f>IF(OR($A1104="",$K1104=""),"",IF($L1104="",IF(TODAY()&gt;$K1104,"Atrasado","En ruta"),IF($L1104&lt;=$K1104,"Sí","No")))</f>
        <v/>
      </c>
      <c r="O1104" s="24">
        <f>IF($A1104="","",COUNTIFS(NOVEDADES!$D$4:$D$1503,$A1104))</f>
        <v/>
      </c>
      <c r="P1104" s="28">
        <f>IF($A1104="","",IF(COUNTIFS(NOVEDADES!$D$4:$D$1503,$A1104,NOVEDADES!$O$4:$O$1503,"SÍ")&gt;0,"No","Sí"))</f>
        <v/>
      </c>
      <c r="Q1104" s="28">
        <f>IF(OR($A1104="",$L1104=""),"",IF(AND($N1104="Sí",$P1104="Sí"),"OTIF","Falló"))</f>
        <v/>
      </c>
    </row>
    <row r="1105" ht="16" customHeight="1">
      <c r="A1105" s="48" t="n"/>
      <c r="B1105" s="48" t="n"/>
      <c r="C1105" s="47" t="n"/>
      <c r="D1105" s="50" t="n"/>
      <c r="E1105" s="50" t="n"/>
      <c r="F1105" s="50" t="n"/>
      <c r="G1105" s="50" t="n"/>
      <c r="H1105" s="48" t="n"/>
      <c r="I1105" s="51" t="n"/>
      <c r="J1105" s="52" t="n"/>
      <c r="K1105" s="47" t="n"/>
      <c r="L1105" s="47" t="n"/>
      <c r="M1105" s="24">
        <f>IF(OR($A1105="",$C1105=""),"",IF($L1105&lt;&gt;"",$L1105-$C1105,TODAY()-$C1105))</f>
        <v/>
      </c>
      <c r="N1105" s="28">
        <f>IF(OR($A1105="",$K1105=""),"",IF($L1105="",IF(TODAY()&gt;$K1105,"Atrasado","En ruta"),IF($L1105&lt;=$K1105,"Sí","No")))</f>
        <v/>
      </c>
      <c r="O1105" s="24">
        <f>IF($A1105="","",COUNTIFS(NOVEDADES!$D$4:$D$1503,$A1105))</f>
        <v/>
      </c>
      <c r="P1105" s="28">
        <f>IF($A1105="","",IF(COUNTIFS(NOVEDADES!$D$4:$D$1503,$A1105,NOVEDADES!$O$4:$O$1503,"SÍ")&gt;0,"No","Sí"))</f>
        <v/>
      </c>
      <c r="Q1105" s="28">
        <f>IF(OR($A1105="",$L1105=""),"",IF(AND($N1105="Sí",$P1105="Sí"),"OTIF","Falló"))</f>
        <v/>
      </c>
    </row>
    <row r="1106" ht="16" customHeight="1">
      <c r="A1106" s="48" t="n"/>
      <c r="B1106" s="48" t="n"/>
      <c r="C1106" s="47" t="n"/>
      <c r="D1106" s="50" t="n"/>
      <c r="E1106" s="50" t="n"/>
      <c r="F1106" s="50" t="n"/>
      <c r="G1106" s="50" t="n"/>
      <c r="H1106" s="48" t="n"/>
      <c r="I1106" s="51" t="n"/>
      <c r="J1106" s="52" t="n"/>
      <c r="K1106" s="47" t="n"/>
      <c r="L1106" s="47" t="n"/>
      <c r="M1106" s="24">
        <f>IF(OR($A1106="",$C1106=""),"",IF($L1106&lt;&gt;"",$L1106-$C1106,TODAY()-$C1106))</f>
        <v/>
      </c>
      <c r="N1106" s="28">
        <f>IF(OR($A1106="",$K1106=""),"",IF($L1106="",IF(TODAY()&gt;$K1106,"Atrasado","En ruta"),IF($L1106&lt;=$K1106,"Sí","No")))</f>
        <v/>
      </c>
      <c r="O1106" s="24">
        <f>IF($A1106="","",COUNTIFS(NOVEDADES!$D$4:$D$1503,$A1106))</f>
        <v/>
      </c>
      <c r="P1106" s="28">
        <f>IF($A1106="","",IF(COUNTIFS(NOVEDADES!$D$4:$D$1503,$A1106,NOVEDADES!$O$4:$O$1503,"SÍ")&gt;0,"No","Sí"))</f>
        <v/>
      </c>
      <c r="Q1106" s="28">
        <f>IF(OR($A1106="",$L1106=""),"",IF(AND($N1106="Sí",$P1106="Sí"),"OTIF","Falló"))</f>
        <v/>
      </c>
    </row>
    <row r="1107" ht="16" customHeight="1">
      <c r="A1107" s="48" t="n"/>
      <c r="B1107" s="48" t="n"/>
      <c r="C1107" s="47" t="n"/>
      <c r="D1107" s="50" t="n"/>
      <c r="E1107" s="50" t="n"/>
      <c r="F1107" s="50" t="n"/>
      <c r="G1107" s="50" t="n"/>
      <c r="H1107" s="48" t="n"/>
      <c r="I1107" s="51" t="n"/>
      <c r="J1107" s="52" t="n"/>
      <c r="K1107" s="47" t="n"/>
      <c r="L1107" s="47" t="n"/>
      <c r="M1107" s="24">
        <f>IF(OR($A1107="",$C1107=""),"",IF($L1107&lt;&gt;"",$L1107-$C1107,TODAY()-$C1107))</f>
        <v/>
      </c>
      <c r="N1107" s="28">
        <f>IF(OR($A1107="",$K1107=""),"",IF($L1107="",IF(TODAY()&gt;$K1107,"Atrasado","En ruta"),IF($L1107&lt;=$K1107,"Sí","No")))</f>
        <v/>
      </c>
      <c r="O1107" s="24">
        <f>IF($A1107="","",COUNTIFS(NOVEDADES!$D$4:$D$1503,$A1107))</f>
        <v/>
      </c>
      <c r="P1107" s="28">
        <f>IF($A1107="","",IF(COUNTIFS(NOVEDADES!$D$4:$D$1503,$A1107,NOVEDADES!$O$4:$O$1503,"SÍ")&gt;0,"No","Sí"))</f>
        <v/>
      </c>
      <c r="Q1107" s="28">
        <f>IF(OR($A1107="",$L1107=""),"",IF(AND($N1107="Sí",$P1107="Sí"),"OTIF","Falló"))</f>
        <v/>
      </c>
    </row>
    <row r="1108" ht="16" customHeight="1">
      <c r="A1108" s="48" t="n"/>
      <c r="B1108" s="48" t="n"/>
      <c r="C1108" s="47" t="n"/>
      <c r="D1108" s="50" t="n"/>
      <c r="E1108" s="50" t="n"/>
      <c r="F1108" s="50" t="n"/>
      <c r="G1108" s="50" t="n"/>
      <c r="H1108" s="48" t="n"/>
      <c r="I1108" s="51" t="n"/>
      <c r="J1108" s="52" t="n"/>
      <c r="K1108" s="47" t="n"/>
      <c r="L1108" s="47" t="n"/>
      <c r="M1108" s="24">
        <f>IF(OR($A1108="",$C1108=""),"",IF($L1108&lt;&gt;"",$L1108-$C1108,TODAY()-$C1108))</f>
        <v/>
      </c>
      <c r="N1108" s="28">
        <f>IF(OR($A1108="",$K1108=""),"",IF($L1108="",IF(TODAY()&gt;$K1108,"Atrasado","En ruta"),IF($L1108&lt;=$K1108,"Sí","No")))</f>
        <v/>
      </c>
      <c r="O1108" s="24">
        <f>IF($A1108="","",COUNTIFS(NOVEDADES!$D$4:$D$1503,$A1108))</f>
        <v/>
      </c>
      <c r="P1108" s="28">
        <f>IF($A1108="","",IF(COUNTIFS(NOVEDADES!$D$4:$D$1503,$A1108,NOVEDADES!$O$4:$O$1503,"SÍ")&gt;0,"No","Sí"))</f>
        <v/>
      </c>
      <c r="Q1108" s="28">
        <f>IF(OR($A1108="",$L1108=""),"",IF(AND($N1108="Sí",$P1108="Sí"),"OTIF","Falló"))</f>
        <v/>
      </c>
    </row>
    <row r="1109" ht="16" customHeight="1">
      <c r="A1109" s="48" t="n"/>
      <c r="B1109" s="48" t="n"/>
      <c r="C1109" s="47" t="n"/>
      <c r="D1109" s="50" t="n"/>
      <c r="E1109" s="50" t="n"/>
      <c r="F1109" s="50" t="n"/>
      <c r="G1109" s="50" t="n"/>
      <c r="H1109" s="48" t="n"/>
      <c r="I1109" s="51" t="n"/>
      <c r="J1109" s="52" t="n"/>
      <c r="K1109" s="47" t="n"/>
      <c r="L1109" s="47" t="n"/>
      <c r="M1109" s="24">
        <f>IF(OR($A1109="",$C1109=""),"",IF($L1109&lt;&gt;"",$L1109-$C1109,TODAY()-$C1109))</f>
        <v/>
      </c>
      <c r="N1109" s="28">
        <f>IF(OR($A1109="",$K1109=""),"",IF($L1109="",IF(TODAY()&gt;$K1109,"Atrasado","En ruta"),IF($L1109&lt;=$K1109,"Sí","No")))</f>
        <v/>
      </c>
      <c r="O1109" s="24">
        <f>IF($A1109="","",COUNTIFS(NOVEDADES!$D$4:$D$1503,$A1109))</f>
        <v/>
      </c>
      <c r="P1109" s="28">
        <f>IF($A1109="","",IF(COUNTIFS(NOVEDADES!$D$4:$D$1503,$A1109,NOVEDADES!$O$4:$O$1503,"SÍ")&gt;0,"No","Sí"))</f>
        <v/>
      </c>
      <c r="Q1109" s="28">
        <f>IF(OR($A1109="",$L1109=""),"",IF(AND($N1109="Sí",$P1109="Sí"),"OTIF","Falló"))</f>
        <v/>
      </c>
    </row>
    <row r="1110" ht="16" customHeight="1">
      <c r="A1110" s="48" t="n"/>
      <c r="B1110" s="48" t="n"/>
      <c r="C1110" s="47" t="n"/>
      <c r="D1110" s="50" t="n"/>
      <c r="E1110" s="50" t="n"/>
      <c r="F1110" s="50" t="n"/>
      <c r="G1110" s="50" t="n"/>
      <c r="H1110" s="48" t="n"/>
      <c r="I1110" s="51" t="n"/>
      <c r="J1110" s="52" t="n"/>
      <c r="K1110" s="47" t="n"/>
      <c r="L1110" s="47" t="n"/>
      <c r="M1110" s="24">
        <f>IF(OR($A1110="",$C1110=""),"",IF($L1110&lt;&gt;"",$L1110-$C1110,TODAY()-$C1110))</f>
        <v/>
      </c>
      <c r="N1110" s="28">
        <f>IF(OR($A1110="",$K1110=""),"",IF($L1110="",IF(TODAY()&gt;$K1110,"Atrasado","En ruta"),IF($L1110&lt;=$K1110,"Sí","No")))</f>
        <v/>
      </c>
      <c r="O1110" s="24">
        <f>IF($A1110="","",COUNTIFS(NOVEDADES!$D$4:$D$1503,$A1110))</f>
        <v/>
      </c>
      <c r="P1110" s="28">
        <f>IF($A1110="","",IF(COUNTIFS(NOVEDADES!$D$4:$D$1503,$A1110,NOVEDADES!$O$4:$O$1503,"SÍ")&gt;0,"No","Sí"))</f>
        <v/>
      </c>
      <c r="Q1110" s="28">
        <f>IF(OR($A1110="",$L1110=""),"",IF(AND($N1110="Sí",$P1110="Sí"),"OTIF","Falló"))</f>
        <v/>
      </c>
    </row>
    <row r="1111" ht="16" customHeight="1">
      <c r="A1111" s="48" t="n"/>
      <c r="B1111" s="48" t="n"/>
      <c r="C1111" s="47" t="n"/>
      <c r="D1111" s="50" t="n"/>
      <c r="E1111" s="50" t="n"/>
      <c r="F1111" s="50" t="n"/>
      <c r="G1111" s="50" t="n"/>
      <c r="H1111" s="48" t="n"/>
      <c r="I1111" s="51" t="n"/>
      <c r="J1111" s="52" t="n"/>
      <c r="K1111" s="47" t="n"/>
      <c r="L1111" s="47" t="n"/>
      <c r="M1111" s="24">
        <f>IF(OR($A1111="",$C1111=""),"",IF($L1111&lt;&gt;"",$L1111-$C1111,TODAY()-$C1111))</f>
        <v/>
      </c>
      <c r="N1111" s="28">
        <f>IF(OR($A1111="",$K1111=""),"",IF($L1111="",IF(TODAY()&gt;$K1111,"Atrasado","En ruta"),IF($L1111&lt;=$K1111,"Sí","No")))</f>
        <v/>
      </c>
      <c r="O1111" s="24">
        <f>IF($A1111="","",COUNTIFS(NOVEDADES!$D$4:$D$1503,$A1111))</f>
        <v/>
      </c>
      <c r="P1111" s="28">
        <f>IF($A1111="","",IF(COUNTIFS(NOVEDADES!$D$4:$D$1503,$A1111,NOVEDADES!$O$4:$O$1503,"SÍ")&gt;0,"No","Sí"))</f>
        <v/>
      </c>
      <c r="Q1111" s="28">
        <f>IF(OR($A1111="",$L1111=""),"",IF(AND($N1111="Sí",$P1111="Sí"),"OTIF","Falló"))</f>
        <v/>
      </c>
    </row>
    <row r="1112" ht="16" customHeight="1">
      <c r="A1112" s="48" t="n"/>
      <c r="B1112" s="48" t="n"/>
      <c r="C1112" s="47" t="n"/>
      <c r="D1112" s="50" t="n"/>
      <c r="E1112" s="50" t="n"/>
      <c r="F1112" s="50" t="n"/>
      <c r="G1112" s="50" t="n"/>
      <c r="H1112" s="48" t="n"/>
      <c r="I1112" s="51" t="n"/>
      <c r="J1112" s="52" t="n"/>
      <c r="K1112" s="47" t="n"/>
      <c r="L1112" s="47" t="n"/>
      <c r="M1112" s="24">
        <f>IF(OR($A1112="",$C1112=""),"",IF($L1112&lt;&gt;"",$L1112-$C1112,TODAY()-$C1112))</f>
        <v/>
      </c>
      <c r="N1112" s="28">
        <f>IF(OR($A1112="",$K1112=""),"",IF($L1112="",IF(TODAY()&gt;$K1112,"Atrasado","En ruta"),IF($L1112&lt;=$K1112,"Sí","No")))</f>
        <v/>
      </c>
      <c r="O1112" s="24">
        <f>IF($A1112="","",COUNTIFS(NOVEDADES!$D$4:$D$1503,$A1112))</f>
        <v/>
      </c>
      <c r="P1112" s="28">
        <f>IF($A1112="","",IF(COUNTIFS(NOVEDADES!$D$4:$D$1503,$A1112,NOVEDADES!$O$4:$O$1503,"SÍ")&gt;0,"No","Sí"))</f>
        <v/>
      </c>
      <c r="Q1112" s="28">
        <f>IF(OR($A1112="",$L1112=""),"",IF(AND($N1112="Sí",$P1112="Sí"),"OTIF","Falló"))</f>
        <v/>
      </c>
    </row>
    <row r="1113" ht="16" customHeight="1">
      <c r="A1113" s="48" t="n"/>
      <c r="B1113" s="48" t="n"/>
      <c r="C1113" s="47" t="n"/>
      <c r="D1113" s="50" t="n"/>
      <c r="E1113" s="50" t="n"/>
      <c r="F1113" s="50" t="n"/>
      <c r="G1113" s="50" t="n"/>
      <c r="H1113" s="48" t="n"/>
      <c r="I1113" s="51" t="n"/>
      <c r="J1113" s="52" t="n"/>
      <c r="K1113" s="47" t="n"/>
      <c r="L1113" s="47" t="n"/>
      <c r="M1113" s="24">
        <f>IF(OR($A1113="",$C1113=""),"",IF($L1113&lt;&gt;"",$L1113-$C1113,TODAY()-$C1113))</f>
        <v/>
      </c>
      <c r="N1113" s="28">
        <f>IF(OR($A1113="",$K1113=""),"",IF($L1113="",IF(TODAY()&gt;$K1113,"Atrasado","En ruta"),IF($L1113&lt;=$K1113,"Sí","No")))</f>
        <v/>
      </c>
      <c r="O1113" s="24">
        <f>IF($A1113="","",COUNTIFS(NOVEDADES!$D$4:$D$1503,$A1113))</f>
        <v/>
      </c>
      <c r="P1113" s="28">
        <f>IF($A1113="","",IF(COUNTIFS(NOVEDADES!$D$4:$D$1503,$A1113,NOVEDADES!$O$4:$O$1503,"SÍ")&gt;0,"No","Sí"))</f>
        <v/>
      </c>
      <c r="Q1113" s="28">
        <f>IF(OR($A1113="",$L1113=""),"",IF(AND($N1113="Sí",$P1113="Sí"),"OTIF","Falló"))</f>
        <v/>
      </c>
    </row>
    <row r="1114" ht="16" customHeight="1">
      <c r="A1114" s="48" t="n"/>
      <c r="B1114" s="48" t="n"/>
      <c r="C1114" s="47" t="n"/>
      <c r="D1114" s="50" t="n"/>
      <c r="E1114" s="50" t="n"/>
      <c r="F1114" s="50" t="n"/>
      <c r="G1114" s="50" t="n"/>
      <c r="H1114" s="48" t="n"/>
      <c r="I1114" s="51" t="n"/>
      <c r="J1114" s="52" t="n"/>
      <c r="K1114" s="47" t="n"/>
      <c r="L1114" s="47" t="n"/>
      <c r="M1114" s="24">
        <f>IF(OR($A1114="",$C1114=""),"",IF($L1114&lt;&gt;"",$L1114-$C1114,TODAY()-$C1114))</f>
        <v/>
      </c>
      <c r="N1114" s="28">
        <f>IF(OR($A1114="",$K1114=""),"",IF($L1114="",IF(TODAY()&gt;$K1114,"Atrasado","En ruta"),IF($L1114&lt;=$K1114,"Sí","No")))</f>
        <v/>
      </c>
      <c r="O1114" s="24">
        <f>IF($A1114="","",COUNTIFS(NOVEDADES!$D$4:$D$1503,$A1114))</f>
        <v/>
      </c>
      <c r="P1114" s="28">
        <f>IF($A1114="","",IF(COUNTIFS(NOVEDADES!$D$4:$D$1503,$A1114,NOVEDADES!$O$4:$O$1503,"SÍ")&gt;0,"No","Sí"))</f>
        <v/>
      </c>
      <c r="Q1114" s="28">
        <f>IF(OR($A1114="",$L1114=""),"",IF(AND($N1114="Sí",$P1114="Sí"),"OTIF","Falló"))</f>
        <v/>
      </c>
    </row>
    <row r="1115" ht="16" customHeight="1">
      <c r="A1115" s="48" t="n"/>
      <c r="B1115" s="48" t="n"/>
      <c r="C1115" s="47" t="n"/>
      <c r="D1115" s="50" t="n"/>
      <c r="E1115" s="50" t="n"/>
      <c r="F1115" s="50" t="n"/>
      <c r="G1115" s="50" t="n"/>
      <c r="H1115" s="48" t="n"/>
      <c r="I1115" s="51" t="n"/>
      <c r="J1115" s="52" t="n"/>
      <c r="K1115" s="47" t="n"/>
      <c r="L1115" s="47" t="n"/>
      <c r="M1115" s="24">
        <f>IF(OR($A1115="",$C1115=""),"",IF($L1115&lt;&gt;"",$L1115-$C1115,TODAY()-$C1115))</f>
        <v/>
      </c>
      <c r="N1115" s="28">
        <f>IF(OR($A1115="",$K1115=""),"",IF($L1115="",IF(TODAY()&gt;$K1115,"Atrasado","En ruta"),IF($L1115&lt;=$K1115,"Sí","No")))</f>
        <v/>
      </c>
      <c r="O1115" s="24">
        <f>IF($A1115="","",COUNTIFS(NOVEDADES!$D$4:$D$1503,$A1115))</f>
        <v/>
      </c>
      <c r="P1115" s="28">
        <f>IF($A1115="","",IF(COUNTIFS(NOVEDADES!$D$4:$D$1503,$A1115,NOVEDADES!$O$4:$O$1503,"SÍ")&gt;0,"No","Sí"))</f>
        <v/>
      </c>
      <c r="Q1115" s="28">
        <f>IF(OR($A1115="",$L1115=""),"",IF(AND($N1115="Sí",$P1115="Sí"),"OTIF","Falló"))</f>
        <v/>
      </c>
    </row>
    <row r="1116" ht="16" customHeight="1">
      <c r="A1116" s="48" t="n"/>
      <c r="B1116" s="48" t="n"/>
      <c r="C1116" s="47" t="n"/>
      <c r="D1116" s="50" t="n"/>
      <c r="E1116" s="50" t="n"/>
      <c r="F1116" s="50" t="n"/>
      <c r="G1116" s="50" t="n"/>
      <c r="H1116" s="48" t="n"/>
      <c r="I1116" s="51" t="n"/>
      <c r="J1116" s="52" t="n"/>
      <c r="K1116" s="47" t="n"/>
      <c r="L1116" s="47" t="n"/>
      <c r="M1116" s="24">
        <f>IF(OR($A1116="",$C1116=""),"",IF($L1116&lt;&gt;"",$L1116-$C1116,TODAY()-$C1116))</f>
        <v/>
      </c>
      <c r="N1116" s="28">
        <f>IF(OR($A1116="",$K1116=""),"",IF($L1116="",IF(TODAY()&gt;$K1116,"Atrasado","En ruta"),IF($L1116&lt;=$K1116,"Sí","No")))</f>
        <v/>
      </c>
      <c r="O1116" s="24">
        <f>IF($A1116="","",COUNTIFS(NOVEDADES!$D$4:$D$1503,$A1116))</f>
        <v/>
      </c>
      <c r="P1116" s="28">
        <f>IF($A1116="","",IF(COUNTIFS(NOVEDADES!$D$4:$D$1503,$A1116,NOVEDADES!$O$4:$O$1503,"SÍ")&gt;0,"No","Sí"))</f>
        <v/>
      </c>
      <c r="Q1116" s="28">
        <f>IF(OR($A1116="",$L1116=""),"",IF(AND($N1116="Sí",$P1116="Sí"),"OTIF","Falló"))</f>
        <v/>
      </c>
    </row>
    <row r="1117" ht="16" customHeight="1">
      <c r="A1117" s="48" t="n"/>
      <c r="B1117" s="48" t="n"/>
      <c r="C1117" s="47" t="n"/>
      <c r="D1117" s="50" t="n"/>
      <c r="E1117" s="50" t="n"/>
      <c r="F1117" s="50" t="n"/>
      <c r="G1117" s="50" t="n"/>
      <c r="H1117" s="48" t="n"/>
      <c r="I1117" s="51" t="n"/>
      <c r="J1117" s="52" t="n"/>
      <c r="K1117" s="47" t="n"/>
      <c r="L1117" s="47" t="n"/>
      <c r="M1117" s="24">
        <f>IF(OR($A1117="",$C1117=""),"",IF($L1117&lt;&gt;"",$L1117-$C1117,TODAY()-$C1117))</f>
        <v/>
      </c>
      <c r="N1117" s="28">
        <f>IF(OR($A1117="",$K1117=""),"",IF($L1117="",IF(TODAY()&gt;$K1117,"Atrasado","En ruta"),IF($L1117&lt;=$K1117,"Sí","No")))</f>
        <v/>
      </c>
      <c r="O1117" s="24">
        <f>IF($A1117="","",COUNTIFS(NOVEDADES!$D$4:$D$1503,$A1117))</f>
        <v/>
      </c>
      <c r="P1117" s="28">
        <f>IF($A1117="","",IF(COUNTIFS(NOVEDADES!$D$4:$D$1503,$A1117,NOVEDADES!$O$4:$O$1503,"SÍ")&gt;0,"No","Sí"))</f>
        <v/>
      </c>
      <c r="Q1117" s="28">
        <f>IF(OR($A1117="",$L1117=""),"",IF(AND($N1117="Sí",$P1117="Sí"),"OTIF","Falló"))</f>
        <v/>
      </c>
    </row>
    <row r="1118" ht="16" customHeight="1">
      <c r="A1118" s="48" t="n"/>
      <c r="B1118" s="48" t="n"/>
      <c r="C1118" s="47" t="n"/>
      <c r="D1118" s="50" t="n"/>
      <c r="E1118" s="50" t="n"/>
      <c r="F1118" s="50" t="n"/>
      <c r="G1118" s="50" t="n"/>
      <c r="H1118" s="48" t="n"/>
      <c r="I1118" s="51" t="n"/>
      <c r="J1118" s="52" t="n"/>
      <c r="K1118" s="47" t="n"/>
      <c r="L1118" s="47" t="n"/>
      <c r="M1118" s="24">
        <f>IF(OR($A1118="",$C1118=""),"",IF($L1118&lt;&gt;"",$L1118-$C1118,TODAY()-$C1118))</f>
        <v/>
      </c>
      <c r="N1118" s="28">
        <f>IF(OR($A1118="",$K1118=""),"",IF($L1118="",IF(TODAY()&gt;$K1118,"Atrasado","En ruta"),IF($L1118&lt;=$K1118,"Sí","No")))</f>
        <v/>
      </c>
      <c r="O1118" s="24">
        <f>IF($A1118="","",COUNTIFS(NOVEDADES!$D$4:$D$1503,$A1118))</f>
        <v/>
      </c>
      <c r="P1118" s="28">
        <f>IF($A1118="","",IF(COUNTIFS(NOVEDADES!$D$4:$D$1503,$A1118,NOVEDADES!$O$4:$O$1503,"SÍ")&gt;0,"No","Sí"))</f>
        <v/>
      </c>
      <c r="Q1118" s="28">
        <f>IF(OR($A1118="",$L1118=""),"",IF(AND($N1118="Sí",$P1118="Sí"),"OTIF","Falló"))</f>
        <v/>
      </c>
    </row>
    <row r="1119" ht="16" customHeight="1">
      <c r="A1119" s="48" t="n"/>
      <c r="B1119" s="48" t="n"/>
      <c r="C1119" s="47" t="n"/>
      <c r="D1119" s="50" t="n"/>
      <c r="E1119" s="50" t="n"/>
      <c r="F1119" s="50" t="n"/>
      <c r="G1119" s="50" t="n"/>
      <c r="H1119" s="48" t="n"/>
      <c r="I1119" s="51" t="n"/>
      <c r="J1119" s="52" t="n"/>
      <c r="K1119" s="47" t="n"/>
      <c r="L1119" s="47" t="n"/>
      <c r="M1119" s="24">
        <f>IF(OR($A1119="",$C1119=""),"",IF($L1119&lt;&gt;"",$L1119-$C1119,TODAY()-$C1119))</f>
        <v/>
      </c>
      <c r="N1119" s="28">
        <f>IF(OR($A1119="",$K1119=""),"",IF($L1119="",IF(TODAY()&gt;$K1119,"Atrasado","En ruta"),IF($L1119&lt;=$K1119,"Sí","No")))</f>
        <v/>
      </c>
      <c r="O1119" s="24">
        <f>IF($A1119="","",COUNTIFS(NOVEDADES!$D$4:$D$1503,$A1119))</f>
        <v/>
      </c>
      <c r="P1119" s="28">
        <f>IF($A1119="","",IF(COUNTIFS(NOVEDADES!$D$4:$D$1503,$A1119,NOVEDADES!$O$4:$O$1503,"SÍ")&gt;0,"No","Sí"))</f>
        <v/>
      </c>
      <c r="Q1119" s="28">
        <f>IF(OR($A1119="",$L1119=""),"",IF(AND($N1119="Sí",$P1119="Sí"),"OTIF","Falló"))</f>
        <v/>
      </c>
    </row>
    <row r="1120" ht="16" customHeight="1">
      <c r="A1120" s="48" t="n"/>
      <c r="B1120" s="48" t="n"/>
      <c r="C1120" s="47" t="n"/>
      <c r="D1120" s="50" t="n"/>
      <c r="E1120" s="50" t="n"/>
      <c r="F1120" s="50" t="n"/>
      <c r="G1120" s="50" t="n"/>
      <c r="H1120" s="48" t="n"/>
      <c r="I1120" s="51" t="n"/>
      <c r="J1120" s="52" t="n"/>
      <c r="K1120" s="47" t="n"/>
      <c r="L1120" s="47" t="n"/>
      <c r="M1120" s="24">
        <f>IF(OR($A1120="",$C1120=""),"",IF($L1120&lt;&gt;"",$L1120-$C1120,TODAY()-$C1120))</f>
        <v/>
      </c>
      <c r="N1120" s="28">
        <f>IF(OR($A1120="",$K1120=""),"",IF($L1120="",IF(TODAY()&gt;$K1120,"Atrasado","En ruta"),IF($L1120&lt;=$K1120,"Sí","No")))</f>
        <v/>
      </c>
      <c r="O1120" s="24">
        <f>IF($A1120="","",COUNTIFS(NOVEDADES!$D$4:$D$1503,$A1120))</f>
        <v/>
      </c>
      <c r="P1120" s="28">
        <f>IF($A1120="","",IF(COUNTIFS(NOVEDADES!$D$4:$D$1503,$A1120,NOVEDADES!$O$4:$O$1503,"SÍ")&gt;0,"No","Sí"))</f>
        <v/>
      </c>
      <c r="Q1120" s="28">
        <f>IF(OR($A1120="",$L1120=""),"",IF(AND($N1120="Sí",$P1120="Sí"),"OTIF","Falló"))</f>
        <v/>
      </c>
    </row>
    <row r="1121" ht="16" customHeight="1">
      <c r="A1121" s="48" t="n"/>
      <c r="B1121" s="48" t="n"/>
      <c r="C1121" s="47" t="n"/>
      <c r="D1121" s="50" t="n"/>
      <c r="E1121" s="50" t="n"/>
      <c r="F1121" s="50" t="n"/>
      <c r="G1121" s="50" t="n"/>
      <c r="H1121" s="48" t="n"/>
      <c r="I1121" s="51" t="n"/>
      <c r="J1121" s="52" t="n"/>
      <c r="K1121" s="47" t="n"/>
      <c r="L1121" s="47" t="n"/>
      <c r="M1121" s="24">
        <f>IF(OR($A1121="",$C1121=""),"",IF($L1121&lt;&gt;"",$L1121-$C1121,TODAY()-$C1121))</f>
        <v/>
      </c>
      <c r="N1121" s="28">
        <f>IF(OR($A1121="",$K1121=""),"",IF($L1121="",IF(TODAY()&gt;$K1121,"Atrasado","En ruta"),IF($L1121&lt;=$K1121,"Sí","No")))</f>
        <v/>
      </c>
      <c r="O1121" s="24">
        <f>IF($A1121="","",COUNTIFS(NOVEDADES!$D$4:$D$1503,$A1121))</f>
        <v/>
      </c>
      <c r="P1121" s="28">
        <f>IF($A1121="","",IF(COUNTIFS(NOVEDADES!$D$4:$D$1503,$A1121,NOVEDADES!$O$4:$O$1503,"SÍ")&gt;0,"No","Sí"))</f>
        <v/>
      </c>
      <c r="Q1121" s="28">
        <f>IF(OR($A1121="",$L1121=""),"",IF(AND($N1121="Sí",$P1121="Sí"),"OTIF","Falló"))</f>
        <v/>
      </c>
    </row>
    <row r="1122" ht="16" customHeight="1">
      <c r="A1122" s="48" t="n"/>
      <c r="B1122" s="48" t="n"/>
      <c r="C1122" s="47" t="n"/>
      <c r="D1122" s="50" t="n"/>
      <c r="E1122" s="50" t="n"/>
      <c r="F1122" s="50" t="n"/>
      <c r="G1122" s="50" t="n"/>
      <c r="H1122" s="48" t="n"/>
      <c r="I1122" s="51" t="n"/>
      <c r="J1122" s="52" t="n"/>
      <c r="K1122" s="47" t="n"/>
      <c r="L1122" s="47" t="n"/>
      <c r="M1122" s="24">
        <f>IF(OR($A1122="",$C1122=""),"",IF($L1122&lt;&gt;"",$L1122-$C1122,TODAY()-$C1122))</f>
        <v/>
      </c>
      <c r="N1122" s="28">
        <f>IF(OR($A1122="",$K1122=""),"",IF($L1122="",IF(TODAY()&gt;$K1122,"Atrasado","En ruta"),IF($L1122&lt;=$K1122,"Sí","No")))</f>
        <v/>
      </c>
      <c r="O1122" s="24">
        <f>IF($A1122="","",COUNTIFS(NOVEDADES!$D$4:$D$1503,$A1122))</f>
        <v/>
      </c>
      <c r="P1122" s="28">
        <f>IF($A1122="","",IF(COUNTIFS(NOVEDADES!$D$4:$D$1503,$A1122,NOVEDADES!$O$4:$O$1503,"SÍ")&gt;0,"No","Sí"))</f>
        <v/>
      </c>
      <c r="Q1122" s="28">
        <f>IF(OR($A1122="",$L1122=""),"",IF(AND($N1122="Sí",$P1122="Sí"),"OTIF","Falló"))</f>
        <v/>
      </c>
    </row>
    <row r="1123" ht="16" customHeight="1">
      <c r="A1123" s="48" t="n"/>
      <c r="B1123" s="48" t="n"/>
      <c r="C1123" s="47" t="n"/>
      <c r="D1123" s="50" t="n"/>
      <c r="E1123" s="50" t="n"/>
      <c r="F1123" s="50" t="n"/>
      <c r="G1123" s="50" t="n"/>
      <c r="H1123" s="48" t="n"/>
      <c r="I1123" s="51" t="n"/>
      <c r="J1123" s="52" t="n"/>
      <c r="K1123" s="47" t="n"/>
      <c r="L1123" s="47" t="n"/>
      <c r="M1123" s="24">
        <f>IF(OR($A1123="",$C1123=""),"",IF($L1123&lt;&gt;"",$L1123-$C1123,TODAY()-$C1123))</f>
        <v/>
      </c>
      <c r="N1123" s="28">
        <f>IF(OR($A1123="",$K1123=""),"",IF($L1123="",IF(TODAY()&gt;$K1123,"Atrasado","En ruta"),IF($L1123&lt;=$K1123,"Sí","No")))</f>
        <v/>
      </c>
      <c r="O1123" s="24">
        <f>IF($A1123="","",COUNTIFS(NOVEDADES!$D$4:$D$1503,$A1123))</f>
        <v/>
      </c>
      <c r="P1123" s="28">
        <f>IF($A1123="","",IF(COUNTIFS(NOVEDADES!$D$4:$D$1503,$A1123,NOVEDADES!$O$4:$O$1503,"SÍ")&gt;0,"No","Sí"))</f>
        <v/>
      </c>
      <c r="Q1123" s="28">
        <f>IF(OR($A1123="",$L1123=""),"",IF(AND($N1123="Sí",$P1123="Sí"),"OTIF","Falló"))</f>
        <v/>
      </c>
    </row>
    <row r="1124" ht="16" customHeight="1">
      <c r="A1124" s="48" t="n"/>
      <c r="B1124" s="48" t="n"/>
      <c r="C1124" s="47" t="n"/>
      <c r="D1124" s="50" t="n"/>
      <c r="E1124" s="50" t="n"/>
      <c r="F1124" s="50" t="n"/>
      <c r="G1124" s="50" t="n"/>
      <c r="H1124" s="48" t="n"/>
      <c r="I1124" s="51" t="n"/>
      <c r="J1124" s="52" t="n"/>
      <c r="K1124" s="47" t="n"/>
      <c r="L1124" s="47" t="n"/>
      <c r="M1124" s="24">
        <f>IF(OR($A1124="",$C1124=""),"",IF($L1124&lt;&gt;"",$L1124-$C1124,TODAY()-$C1124))</f>
        <v/>
      </c>
      <c r="N1124" s="28">
        <f>IF(OR($A1124="",$K1124=""),"",IF($L1124="",IF(TODAY()&gt;$K1124,"Atrasado","En ruta"),IF($L1124&lt;=$K1124,"Sí","No")))</f>
        <v/>
      </c>
      <c r="O1124" s="24">
        <f>IF($A1124="","",COUNTIFS(NOVEDADES!$D$4:$D$1503,$A1124))</f>
        <v/>
      </c>
      <c r="P1124" s="28">
        <f>IF($A1124="","",IF(COUNTIFS(NOVEDADES!$D$4:$D$1503,$A1124,NOVEDADES!$O$4:$O$1503,"SÍ")&gt;0,"No","Sí"))</f>
        <v/>
      </c>
      <c r="Q1124" s="28">
        <f>IF(OR($A1124="",$L1124=""),"",IF(AND($N1124="Sí",$P1124="Sí"),"OTIF","Falló"))</f>
        <v/>
      </c>
    </row>
    <row r="1125" ht="16" customHeight="1">
      <c r="A1125" s="48" t="n"/>
      <c r="B1125" s="48" t="n"/>
      <c r="C1125" s="47" t="n"/>
      <c r="D1125" s="50" t="n"/>
      <c r="E1125" s="50" t="n"/>
      <c r="F1125" s="50" t="n"/>
      <c r="G1125" s="50" t="n"/>
      <c r="H1125" s="48" t="n"/>
      <c r="I1125" s="51" t="n"/>
      <c r="J1125" s="52" t="n"/>
      <c r="K1125" s="47" t="n"/>
      <c r="L1125" s="47" t="n"/>
      <c r="M1125" s="24">
        <f>IF(OR($A1125="",$C1125=""),"",IF($L1125&lt;&gt;"",$L1125-$C1125,TODAY()-$C1125))</f>
        <v/>
      </c>
      <c r="N1125" s="28">
        <f>IF(OR($A1125="",$K1125=""),"",IF($L1125="",IF(TODAY()&gt;$K1125,"Atrasado","En ruta"),IF($L1125&lt;=$K1125,"Sí","No")))</f>
        <v/>
      </c>
      <c r="O1125" s="24">
        <f>IF($A1125="","",COUNTIFS(NOVEDADES!$D$4:$D$1503,$A1125))</f>
        <v/>
      </c>
      <c r="P1125" s="28">
        <f>IF($A1125="","",IF(COUNTIFS(NOVEDADES!$D$4:$D$1503,$A1125,NOVEDADES!$O$4:$O$1503,"SÍ")&gt;0,"No","Sí"))</f>
        <v/>
      </c>
      <c r="Q1125" s="28">
        <f>IF(OR($A1125="",$L1125=""),"",IF(AND($N1125="Sí",$P1125="Sí"),"OTIF","Falló"))</f>
        <v/>
      </c>
    </row>
    <row r="1126" ht="16" customHeight="1">
      <c r="A1126" s="48" t="n"/>
      <c r="B1126" s="48" t="n"/>
      <c r="C1126" s="47" t="n"/>
      <c r="D1126" s="50" t="n"/>
      <c r="E1126" s="50" t="n"/>
      <c r="F1126" s="50" t="n"/>
      <c r="G1126" s="50" t="n"/>
      <c r="H1126" s="48" t="n"/>
      <c r="I1126" s="51" t="n"/>
      <c r="J1126" s="52" t="n"/>
      <c r="K1126" s="47" t="n"/>
      <c r="L1126" s="47" t="n"/>
      <c r="M1126" s="24">
        <f>IF(OR($A1126="",$C1126=""),"",IF($L1126&lt;&gt;"",$L1126-$C1126,TODAY()-$C1126))</f>
        <v/>
      </c>
      <c r="N1126" s="28">
        <f>IF(OR($A1126="",$K1126=""),"",IF($L1126="",IF(TODAY()&gt;$K1126,"Atrasado","En ruta"),IF($L1126&lt;=$K1126,"Sí","No")))</f>
        <v/>
      </c>
      <c r="O1126" s="24">
        <f>IF($A1126="","",COUNTIFS(NOVEDADES!$D$4:$D$1503,$A1126))</f>
        <v/>
      </c>
      <c r="P1126" s="28">
        <f>IF($A1126="","",IF(COUNTIFS(NOVEDADES!$D$4:$D$1503,$A1126,NOVEDADES!$O$4:$O$1503,"SÍ")&gt;0,"No","Sí"))</f>
        <v/>
      </c>
      <c r="Q1126" s="28">
        <f>IF(OR($A1126="",$L1126=""),"",IF(AND($N1126="Sí",$P1126="Sí"),"OTIF","Falló"))</f>
        <v/>
      </c>
    </row>
    <row r="1127" ht="16" customHeight="1">
      <c r="A1127" s="48" t="n"/>
      <c r="B1127" s="48" t="n"/>
      <c r="C1127" s="47" t="n"/>
      <c r="D1127" s="50" t="n"/>
      <c r="E1127" s="50" t="n"/>
      <c r="F1127" s="50" t="n"/>
      <c r="G1127" s="50" t="n"/>
      <c r="H1127" s="48" t="n"/>
      <c r="I1127" s="51" t="n"/>
      <c r="J1127" s="52" t="n"/>
      <c r="K1127" s="47" t="n"/>
      <c r="L1127" s="47" t="n"/>
      <c r="M1127" s="24">
        <f>IF(OR($A1127="",$C1127=""),"",IF($L1127&lt;&gt;"",$L1127-$C1127,TODAY()-$C1127))</f>
        <v/>
      </c>
      <c r="N1127" s="28">
        <f>IF(OR($A1127="",$K1127=""),"",IF($L1127="",IF(TODAY()&gt;$K1127,"Atrasado","En ruta"),IF($L1127&lt;=$K1127,"Sí","No")))</f>
        <v/>
      </c>
      <c r="O1127" s="24">
        <f>IF($A1127="","",COUNTIFS(NOVEDADES!$D$4:$D$1503,$A1127))</f>
        <v/>
      </c>
      <c r="P1127" s="28">
        <f>IF($A1127="","",IF(COUNTIFS(NOVEDADES!$D$4:$D$1503,$A1127,NOVEDADES!$O$4:$O$1503,"SÍ")&gt;0,"No","Sí"))</f>
        <v/>
      </c>
      <c r="Q1127" s="28">
        <f>IF(OR($A1127="",$L1127=""),"",IF(AND($N1127="Sí",$P1127="Sí"),"OTIF","Falló"))</f>
        <v/>
      </c>
    </row>
    <row r="1128" ht="16" customHeight="1">
      <c r="A1128" s="48" t="n"/>
      <c r="B1128" s="48" t="n"/>
      <c r="C1128" s="47" t="n"/>
      <c r="D1128" s="50" t="n"/>
      <c r="E1128" s="50" t="n"/>
      <c r="F1128" s="50" t="n"/>
      <c r="G1128" s="50" t="n"/>
      <c r="H1128" s="48" t="n"/>
      <c r="I1128" s="51" t="n"/>
      <c r="J1128" s="52" t="n"/>
      <c r="K1128" s="47" t="n"/>
      <c r="L1128" s="47" t="n"/>
      <c r="M1128" s="24">
        <f>IF(OR($A1128="",$C1128=""),"",IF($L1128&lt;&gt;"",$L1128-$C1128,TODAY()-$C1128))</f>
        <v/>
      </c>
      <c r="N1128" s="28">
        <f>IF(OR($A1128="",$K1128=""),"",IF($L1128="",IF(TODAY()&gt;$K1128,"Atrasado","En ruta"),IF($L1128&lt;=$K1128,"Sí","No")))</f>
        <v/>
      </c>
      <c r="O1128" s="24">
        <f>IF($A1128="","",COUNTIFS(NOVEDADES!$D$4:$D$1503,$A1128))</f>
        <v/>
      </c>
      <c r="P1128" s="28">
        <f>IF($A1128="","",IF(COUNTIFS(NOVEDADES!$D$4:$D$1503,$A1128,NOVEDADES!$O$4:$O$1503,"SÍ")&gt;0,"No","Sí"))</f>
        <v/>
      </c>
      <c r="Q1128" s="28">
        <f>IF(OR($A1128="",$L1128=""),"",IF(AND($N1128="Sí",$P1128="Sí"),"OTIF","Falló"))</f>
        <v/>
      </c>
    </row>
    <row r="1129" ht="16" customHeight="1">
      <c r="A1129" s="48" t="n"/>
      <c r="B1129" s="48" t="n"/>
      <c r="C1129" s="47" t="n"/>
      <c r="D1129" s="50" t="n"/>
      <c r="E1129" s="50" t="n"/>
      <c r="F1129" s="50" t="n"/>
      <c r="G1129" s="50" t="n"/>
      <c r="H1129" s="48" t="n"/>
      <c r="I1129" s="51" t="n"/>
      <c r="J1129" s="52" t="n"/>
      <c r="K1129" s="47" t="n"/>
      <c r="L1129" s="47" t="n"/>
      <c r="M1129" s="24">
        <f>IF(OR($A1129="",$C1129=""),"",IF($L1129&lt;&gt;"",$L1129-$C1129,TODAY()-$C1129))</f>
        <v/>
      </c>
      <c r="N1129" s="28">
        <f>IF(OR($A1129="",$K1129=""),"",IF($L1129="",IF(TODAY()&gt;$K1129,"Atrasado","En ruta"),IF($L1129&lt;=$K1129,"Sí","No")))</f>
        <v/>
      </c>
      <c r="O1129" s="24">
        <f>IF($A1129="","",COUNTIFS(NOVEDADES!$D$4:$D$1503,$A1129))</f>
        <v/>
      </c>
      <c r="P1129" s="28">
        <f>IF($A1129="","",IF(COUNTIFS(NOVEDADES!$D$4:$D$1503,$A1129,NOVEDADES!$O$4:$O$1503,"SÍ")&gt;0,"No","Sí"))</f>
        <v/>
      </c>
      <c r="Q1129" s="28">
        <f>IF(OR($A1129="",$L1129=""),"",IF(AND($N1129="Sí",$P1129="Sí"),"OTIF","Falló"))</f>
        <v/>
      </c>
    </row>
    <row r="1130" ht="16" customHeight="1">
      <c r="A1130" s="48" t="n"/>
      <c r="B1130" s="48" t="n"/>
      <c r="C1130" s="47" t="n"/>
      <c r="D1130" s="50" t="n"/>
      <c r="E1130" s="50" t="n"/>
      <c r="F1130" s="50" t="n"/>
      <c r="G1130" s="50" t="n"/>
      <c r="H1130" s="48" t="n"/>
      <c r="I1130" s="51" t="n"/>
      <c r="J1130" s="52" t="n"/>
      <c r="K1130" s="47" t="n"/>
      <c r="L1130" s="47" t="n"/>
      <c r="M1130" s="24">
        <f>IF(OR($A1130="",$C1130=""),"",IF($L1130&lt;&gt;"",$L1130-$C1130,TODAY()-$C1130))</f>
        <v/>
      </c>
      <c r="N1130" s="28">
        <f>IF(OR($A1130="",$K1130=""),"",IF($L1130="",IF(TODAY()&gt;$K1130,"Atrasado","En ruta"),IF($L1130&lt;=$K1130,"Sí","No")))</f>
        <v/>
      </c>
      <c r="O1130" s="24">
        <f>IF($A1130="","",COUNTIFS(NOVEDADES!$D$4:$D$1503,$A1130))</f>
        <v/>
      </c>
      <c r="P1130" s="28">
        <f>IF($A1130="","",IF(COUNTIFS(NOVEDADES!$D$4:$D$1503,$A1130,NOVEDADES!$O$4:$O$1503,"SÍ")&gt;0,"No","Sí"))</f>
        <v/>
      </c>
      <c r="Q1130" s="28">
        <f>IF(OR($A1130="",$L1130=""),"",IF(AND($N1130="Sí",$P1130="Sí"),"OTIF","Falló"))</f>
        <v/>
      </c>
    </row>
    <row r="1131" ht="16" customHeight="1">
      <c r="A1131" s="48" t="n"/>
      <c r="B1131" s="48" t="n"/>
      <c r="C1131" s="47" t="n"/>
      <c r="D1131" s="50" t="n"/>
      <c r="E1131" s="50" t="n"/>
      <c r="F1131" s="50" t="n"/>
      <c r="G1131" s="50" t="n"/>
      <c r="H1131" s="48" t="n"/>
      <c r="I1131" s="51" t="n"/>
      <c r="J1131" s="52" t="n"/>
      <c r="K1131" s="47" t="n"/>
      <c r="L1131" s="47" t="n"/>
      <c r="M1131" s="24">
        <f>IF(OR($A1131="",$C1131=""),"",IF($L1131&lt;&gt;"",$L1131-$C1131,TODAY()-$C1131))</f>
        <v/>
      </c>
      <c r="N1131" s="28">
        <f>IF(OR($A1131="",$K1131=""),"",IF($L1131="",IF(TODAY()&gt;$K1131,"Atrasado","En ruta"),IF($L1131&lt;=$K1131,"Sí","No")))</f>
        <v/>
      </c>
      <c r="O1131" s="24">
        <f>IF($A1131="","",COUNTIFS(NOVEDADES!$D$4:$D$1503,$A1131))</f>
        <v/>
      </c>
      <c r="P1131" s="28">
        <f>IF($A1131="","",IF(COUNTIFS(NOVEDADES!$D$4:$D$1503,$A1131,NOVEDADES!$O$4:$O$1503,"SÍ")&gt;0,"No","Sí"))</f>
        <v/>
      </c>
      <c r="Q1131" s="28">
        <f>IF(OR($A1131="",$L1131=""),"",IF(AND($N1131="Sí",$P1131="Sí"),"OTIF","Falló"))</f>
        <v/>
      </c>
    </row>
    <row r="1132" ht="16" customHeight="1">
      <c r="A1132" s="48" t="n"/>
      <c r="B1132" s="48" t="n"/>
      <c r="C1132" s="47" t="n"/>
      <c r="D1132" s="50" t="n"/>
      <c r="E1132" s="50" t="n"/>
      <c r="F1132" s="50" t="n"/>
      <c r="G1132" s="50" t="n"/>
      <c r="H1132" s="48" t="n"/>
      <c r="I1132" s="51" t="n"/>
      <c r="J1132" s="52" t="n"/>
      <c r="K1132" s="47" t="n"/>
      <c r="L1132" s="47" t="n"/>
      <c r="M1132" s="24">
        <f>IF(OR($A1132="",$C1132=""),"",IF($L1132&lt;&gt;"",$L1132-$C1132,TODAY()-$C1132))</f>
        <v/>
      </c>
      <c r="N1132" s="28">
        <f>IF(OR($A1132="",$K1132=""),"",IF($L1132="",IF(TODAY()&gt;$K1132,"Atrasado","En ruta"),IF($L1132&lt;=$K1132,"Sí","No")))</f>
        <v/>
      </c>
      <c r="O1132" s="24">
        <f>IF($A1132="","",COUNTIFS(NOVEDADES!$D$4:$D$1503,$A1132))</f>
        <v/>
      </c>
      <c r="P1132" s="28">
        <f>IF($A1132="","",IF(COUNTIFS(NOVEDADES!$D$4:$D$1503,$A1132,NOVEDADES!$O$4:$O$1503,"SÍ")&gt;0,"No","Sí"))</f>
        <v/>
      </c>
      <c r="Q1132" s="28">
        <f>IF(OR($A1132="",$L1132=""),"",IF(AND($N1132="Sí",$P1132="Sí"),"OTIF","Falló"))</f>
        <v/>
      </c>
    </row>
    <row r="1133" ht="16" customHeight="1">
      <c r="A1133" s="48" t="n"/>
      <c r="B1133" s="48" t="n"/>
      <c r="C1133" s="47" t="n"/>
      <c r="D1133" s="50" t="n"/>
      <c r="E1133" s="50" t="n"/>
      <c r="F1133" s="50" t="n"/>
      <c r="G1133" s="50" t="n"/>
      <c r="H1133" s="48" t="n"/>
      <c r="I1133" s="51" t="n"/>
      <c r="J1133" s="52" t="n"/>
      <c r="K1133" s="47" t="n"/>
      <c r="L1133" s="47" t="n"/>
      <c r="M1133" s="24">
        <f>IF(OR($A1133="",$C1133=""),"",IF($L1133&lt;&gt;"",$L1133-$C1133,TODAY()-$C1133))</f>
        <v/>
      </c>
      <c r="N1133" s="28">
        <f>IF(OR($A1133="",$K1133=""),"",IF($L1133="",IF(TODAY()&gt;$K1133,"Atrasado","En ruta"),IF($L1133&lt;=$K1133,"Sí","No")))</f>
        <v/>
      </c>
      <c r="O1133" s="24">
        <f>IF($A1133="","",COUNTIFS(NOVEDADES!$D$4:$D$1503,$A1133))</f>
        <v/>
      </c>
      <c r="P1133" s="28">
        <f>IF($A1133="","",IF(COUNTIFS(NOVEDADES!$D$4:$D$1503,$A1133,NOVEDADES!$O$4:$O$1503,"SÍ")&gt;0,"No","Sí"))</f>
        <v/>
      </c>
      <c r="Q1133" s="28">
        <f>IF(OR($A1133="",$L1133=""),"",IF(AND($N1133="Sí",$P1133="Sí"),"OTIF","Falló"))</f>
        <v/>
      </c>
    </row>
    <row r="1134" ht="16" customHeight="1">
      <c r="A1134" s="48" t="n"/>
      <c r="B1134" s="48" t="n"/>
      <c r="C1134" s="47" t="n"/>
      <c r="D1134" s="50" t="n"/>
      <c r="E1134" s="50" t="n"/>
      <c r="F1134" s="50" t="n"/>
      <c r="G1134" s="50" t="n"/>
      <c r="H1134" s="48" t="n"/>
      <c r="I1134" s="51" t="n"/>
      <c r="J1134" s="52" t="n"/>
      <c r="K1134" s="47" t="n"/>
      <c r="L1134" s="47" t="n"/>
      <c r="M1134" s="24">
        <f>IF(OR($A1134="",$C1134=""),"",IF($L1134&lt;&gt;"",$L1134-$C1134,TODAY()-$C1134))</f>
        <v/>
      </c>
      <c r="N1134" s="28">
        <f>IF(OR($A1134="",$K1134=""),"",IF($L1134="",IF(TODAY()&gt;$K1134,"Atrasado","En ruta"),IF($L1134&lt;=$K1134,"Sí","No")))</f>
        <v/>
      </c>
      <c r="O1134" s="24">
        <f>IF($A1134="","",COUNTIFS(NOVEDADES!$D$4:$D$1503,$A1134))</f>
        <v/>
      </c>
      <c r="P1134" s="28">
        <f>IF($A1134="","",IF(COUNTIFS(NOVEDADES!$D$4:$D$1503,$A1134,NOVEDADES!$O$4:$O$1503,"SÍ")&gt;0,"No","Sí"))</f>
        <v/>
      </c>
      <c r="Q1134" s="28">
        <f>IF(OR($A1134="",$L1134=""),"",IF(AND($N1134="Sí",$P1134="Sí"),"OTIF","Falló"))</f>
        <v/>
      </c>
    </row>
    <row r="1135" ht="16" customHeight="1">
      <c r="A1135" s="48" t="n"/>
      <c r="B1135" s="48" t="n"/>
      <c r="C1135" s="47" t="n"/>
      <c r="D1135" s="50" t="n"/>
      <c r="E1135" s="50" t="n"/>
      <c r="F1135" s="50" t="n"/>
      <c r="G1135" s="50" t="n"/>
      <c r="H1135" s="48" t="n"/>
      <c r="I1135" s="51" t="n"/>
      <c r="J1135" s="52" t="n"/>
      <c r="K1135" s="47" t="n"/>
      <c r="L1135" s="47" t="n"/>
      <c r="M1135" s="24">
        <f>IF(OR($A1135="",$C1135=""),"",IF($L1135&lt;&gt;"",$L1135-$C1135,TODAY()-$C1135))</f>
        <v/>
      </c>
      <c r="N1135" s="28">
        <f>IF(OR($A1135="",$K1135=""),"",IF($L1135="",IF(TODAY()&gt;$K1135,"Atrasado","En ruta"),IF($L1135&lt;=$K1135,"Sí","No")))</f>
        <v/>
      </c>
      <c r="O1135" s="24">
        <f>IF($A1135="","",COUNTIFS(NOVEDADES!$D$4:$D$1503,$A1135))</f>
        <v/>
      </c>
      <c r="P1135" s="28">
        <f>IF($A1135="","",IF(COUNTIFS(NOVEDADES!$D$4:$D$1503,$A1135,NOVEDADES!$O$4:$O$1503,"SÍ")&gt;0,"No","Sí"))</f>
        <v/>
      </c>
      <c r="Q1135" s="28">
        <f>IF(OR($A1135="",$L1135=""),"",IF(AND($N1135="Sí",$P1135="Sí"),"OTIF","Falló"))</f>
        <v/>
      </c>
    </row>
    <row r="1136" ht="16" customHeight="1">
      <c r="A1136" s="48" t="n"/>
      <c r="B1136" s="48" t="n"/>
      <c r="C1136" s="47" t="n"/>
      <c r="D1136" s="50" t="n"/>
      <c r="E1136" s="50" t="n"/>
      <c r="F1136" s="50" t="n"/>
      <c r="G1136" s="50" t="n"/>
      <c r="H1136" s="48" t="n"/>
      <c r="I1136" s="51" t="n"/>
      <c r="J1136" s="52" t="n"/>
      <c r="K1136" s="47" t="n"/>
      <c r="L1136" s="47" t="n"/>
      <c r="M1136" s="24">
        <f>IF(OR($A1136="",$C1136=""),"",IF($L1136&lt;&gt;"",$L1136-$C1136,TODAY()-$C1136))</f>
        <v/>
      </c>
      <c r="N1136" s="28">
        <f>IF(OR($A1136="",$K1136=""),"",IF($L1136="",IF(TODAY()&gt;$K1136,"Atrasado","En ruta"),IF($L1136&lt;=$K1136,"Sí","No")))</f>
        <v/>
      </c>
      <c r="O1136" s="24">
        <f>IF($A1136="","",COUNTIFS(NOVEDADES!$D$4:$D$1503,$A1136))</f>
        <v/>
      </c>
      <c r="P1136" s="28">
        <f>IF($A1136="","",IF(COUNTIFS(NOVEDADES!$D$4:$D$1503,$A1136,NOVEDADES!$O$4:$O$1503,"SÍ")&gt;0,"No","Sí"))</f>
        <v/>
      </c>
      <c r="Q1136" s="28">
        <f>IF(OR($A1136="",$L1136=""),"",IF(AND($N1136="Sí",$P1136="Sí"),"OTIF","Falló"))</f>
        <v/>
      </c>
    </row>
    <row r="1137" ht="16" customHeight="1">
      <c r="A1137" s="48" t="n"/>
      <c r="B1137" s="48" t="n"/>
      <c r="C1137" s="47" t="n"/>
      <c r="D1137" s="50" t="n"/>
      <c r="E1137" s="50" t="n"/>
      <c r="F1137" s="50" t="n"/>
      <c r="G1137" s="50" t="n"/>
      <c r="H1137" s="48" t="n"/>
      <c r="I1137" s="51" t="n"/>
      <c r="J1137" s="52" t="n"/>
      <c r="K1137" s="47" t="n"/>
      <c r="L1137" s="47" t="n"/>
      <c r="M1137" s="24">
        <f>IF(OR($A1137="",$C1137=""),"",IF($L1137&lt;&gt;"",$L1137-$C1137,TODAY()-$C1137))</f>
        <v/>
      </c>
      <c r="N1137" s="28">
        <f>IF(OR($A1137="",$K1137=""),"",IF($L1137="",IF(TODAY()&gt;$K1137,"Atrasado","En ruta"),IF($L1137&lt;=$K1137,"Sí","No")))</f>
        <v/>
      </c>
      <c r="O1137" s="24">
        <f>IF($A1137="","",COUNTIFS(NOVEDADES!$D$4:$D$1503,$A1137))</f>
        <v/>
      </c>
      <c r="P1137" s="28">
        <f>IF($A1137="","",IF(COUNTIFS(NOVEDADES!$D$4:$D$1503,$A1137,NOVEDADES!$O$4:$O$1503,"SÍ")&gt;0,"No","Sí"))</f>
        <v/>
      </c>
      <c r="Q1137" s="28">
        <f>IF(OR($A1137="",$L1137=""),"",IF(AND($N1137="Sí",$P1137="Sí"),"OTIF","Falló"))</f>
        <v/>
      </c>
    </row>
    <row r="1138" ht="16" customHeight="1">
      <c r="A1138" s="48" t="n"/>
      <c r="B1138" s="48" t="n"/>
      <c r="C1138" s="47" t="n"/>
      <c r="D1138" s="50" t="n"/>
      <c r="E1138" s="50" t="n"/>
      <c r="F1138" s="50" t="n"/>
      <c r="G1138" s="50" t="n"/>
      <c r="H1138" s="48" t="n"/>
      <c r="I1138" s="51" t="n"/>
      <c r="J1138" s="52" t="n"/>
      <c r="K1138" s="47" t="n"/>
      <c r="L1138" s="47" t="n"/>
      <c r="M1138" s="24">
        <f>IF(OR($A1138="",$C1138=""),"",IF($L1138&lt;&gt;"",$L1138-$C1138,TODAY()-$C1138))</f>
        <v/>
      </c>
      <c r="N1138" s="28">
        <f>IF(OR($A1138="",$K1138=""),"",IF($L1138="",IF(TODAY()&gt;$K1138,"Atrasado","En ruta"),IF($L1138&lt;=$K1138,"Sí","No")))</f>
        <v/>
      </c>
      <c r="O1138" s="24">
        <f>IF($A1138="","",COUNTIFS(NOVEDADES!$D$4:$D$1503,$A1138))</f>
        <v/>
      </c>
      <c r="P1138" s="28">
        <f>IF($A1138="","",IF(COUNTIFS(NOVEDADES!$D$4:$D$1503,$A1138,NOVEDADES!$O$4:$O$1503,"SÍ")&gt;0,"No","Sí"))</f>
        <v/>
      </c>
      <c r="Q1138" s="28">
        <f>IF(OR($A1138="",$L1138=""),"",IF(AND($N1138="Sí",$P1138="Sí"),"OTIF","Falló"))</f>
        <v/>
      </c>
    </row>
    <row r="1139" ht="16" customHeight="1">
      <c r="A1139" s="48" t="n"/>
      <c r="B1139" s="48" t="n"/>
      <c r="C1139" s="47" t="n"/>
      <c r="D1139" s="50" t="n"/>
      <c r="E1139" s="50" t="n"/>
      <c r="F1139" s="50" t="n"/>
      <c r="G1139" s="50" t="n"/>
      <c r="H1139" s="48" t="n"/>
      <c r="I1139" s="51" t="n"/>
      <c r="J1139" s="52" t="n"/>
      <c r="K1139" s="47" t="n"/>
      <c r="L1139" s="47" t="n"/>
      <c r="M1139" s="24">
        <f>IF(OR($A1139="",$C1139=""),"",IF($L1139&lt;&gt;"",$L1139-$C1139,TODAY()-$C1139))</f>
        <v/>
      </c>
      <c r="N1139" s="28">
        <f>IF(OR($A1139="",$K1139=""),"",IF($L1139="",IF(TODAY()&gt;$K1139,"Atrasado","En ruta"),IF($L1139&lt;=$K1139,"Sí","No")))</f>
        <v/>
      </c>
      <c r="O1139" s="24">
        <f>IF($A1139="","",COUNTIFS(NOVEDADES!$D$4:$D$1503,$A1139))</f>
        <v/>
      </c>
      <c r="P1139" s="28">
        <f>IF($A1139="","",IF(COUNTIFS(NOVEDADES!$D$4:$D$1503,$A1139,NOVEDADES!$O$4:$O$1503,"SÍ")&gt;0,"No","Sí"))</f>
        <v/>
      </c>
      <c r="Q1139" s="28">
        <f>IF(OR($A1139="",$L1139=""),"",IF(AND($N1139="Sí",$P1139="Sí"),"OTIF","Falló"))</f>
        <v/>
      </c>
    </row>
    <row r="1140" ht="16" customHeight="1">
      <c r="A1140" s="48" t="n"/>
      <c r="B1140" s="48" t="n"/>
      <c r="C1140" s="47" t="n"/>
      <c r="D1140" s="50" t="n"/>
      <c r="E1140" s="50" t="n"/>
      <c r="F1140" s="50" t="n"/>
      <c r="G1140" s="50" t="n"/>
      <c r="H1140" s="48" t="n"/>
      <c r="I1140" s="51" t="n"/>
      <c r="J1140" s="52" t="n"/>
      <c r="K1140" s="47" t="n"/>
      <c r="L1140" s="47" t="n"/>
      <c r="M1140" s="24">
        <f>IF(OR($A1140="",$C1140=""),"",IF($L1140&lt;&gt;"",$L1140-$C1140,TODAY()-$C1140))</f>
        <v/>
      </c>
      <c r="N1140" s="28">
        <f>IF(OR($A1140="",$K1140=""),"",IF($L1140="",IF(TODAY()&gt;$K1140,"Atrasado","En ruta"),IF($L1140&lt;=$K1140,"Sí","No")))</f>
        <v/>
      </c>
      <c r="O1140" s="24">
        <f>IF($A1140="","",COUNTIFS(NOVEDADES!$D$4:$D$1503,$A1140))</f>
        <v/>
      </c>
      <c r="P1140" s="28">
        <f>IF($A1140="","",IF(COUNTIFS(NOVEDADES!$D$4:$D$1503,$A1140,NOVEDADES!$O$4:$O$1503,"SÍ")&gt;0,"No","Sí"))</f>
        <v/>
      </c>
      <c r="Q1140" s="28">
        <f>IF(OR($A1140="",$L1140=""),"",IF(AND($N1140="Sí",$P1140="Sí"),"OTIF","Falló"))</f>
        <v/>
      </c>
    </row>
    <row r="1141" ht="16" customHeight="1">
      <c r="A1141" s="48" t="n"/>
      <c r="B1141" s="48" t="n"/>
      <c r="C1141" s="47" t="n"/>
      <c r="D1141" s="50" t="n"/>
      <c r="E1141" s="50" t="n"/>
      <c r="F1141" s="50" t="n"/>
      <c r="G1141" s="50" t="n"/>
      <c r="H1141" s="48" t="n"/>
      <c r="I1141" s="51" t="n"/>
      <c r="J1141" s="52" t="n"/>
      <c r="K1141" s="47" t="n"/>
      <c r="L1141" s="47" t="n"/>
      <c r="M1141" s="24">
        <f>IF(OR($A1141="",$C1141=""),"",IF($L1141&lt;&gt;"",$L1141-$C1141,TODAY()-$C1141))</f>
        <v/>
      </c>
      <c r="N1141" s="28">
        <f>IF(OR($A1141="",$K1141=""),"",IF($L1141="",IF(TODAY()&gt;$K1141,"Atrasado","En ruta"),IF($L1141&lt;=$K1141,"Sí","No")))</f>
        <v/>
      </c>
      <c r="O1141" s="24">
        <f>IF($A1141="","",COUNTIFS(NOVEDADES!$D$4:$D$1503,$A1141))</f>
        <v/>
      </c>
      <c r="P1141" s="28">
        <f>IF($A1141="","",IF(COUNTIFS(NOVEDADES!$D$4:$D$1503,$A1141,NOVEDADES!$O$4:$O$1503,"SÍ")&gt;0,"No","Sí"))</f>
        <v/>
      </c>
      <c r="Q1141" s="28">
        <f>IF(OR($A1141="",$L1141=""),"",IF(AND($N1141="Sí",$P1141="Sí"),"OTIF","Falló"))</f>
        <v/>
      </c>
    </row>
    <row r="1142" ht="16" customHeight="1">
      <c r="A1142" s="48" t="n"/>
      <c r="B1142" s="48" t="n"/>
      <c r="C1142" s="47" t="n"/>
      <c r="D1142" s="50" t="n"/>
      <c r="E1142" s="50" t="n"/>
      <c r="F1142" s="50" t="n"/>
      <c r="G1142" s="50" t="n"/>
      <c r="H1142" s="48" t="n"/>
      <c r="I1142" s="51" t="n"/>
      <c r="J1142" s="52" t="n"/>
      <c r="K1142" s="47" t="n"/>
      <c r="L1142" s="47" t="n"/>
      <c r="M1142" s="24">
        <f>IF(OR($A1142="",$C1142=""),"",IF($L1142&lt;&gt;"",$L1142-$C1142,TODAY()-$C1142))</f>
        <v/>
      </c>
      <c r="N1142" s="28">
        <f>IF(OR($A1142="",$K1142=""),"",IF($L1142="",IF(TODAY()&gt;$K1142,"Atrasado","En ruta"),IF($L1142&lt;=$K1142,"Sí","No")))</f>
        <v/>
      </c>
      <c r="O1142" s="24">
        <f>IF($A1142="","",COUNTIFS(NOVEDADES!$D$4:$D$1503,$A1142))</f>
        <v/>
      </c>
      <c r="P1142" s="28">
        <f>IF($A1142="","",IF(COUNTIFS(NOVEDADES!$D$4:$D$1503,$A1142,NOVEDADES!$O$4:$O$1503,"SÍ")&gt;0,"No","Sí"))</f>
        <v/>
      </c>
      <c r="Q1142" s="28">
        <f>IF(OR($A1142="",$L1142=""),"",IF(AND($N1142="Sí",$P1142="Sí"),"OTIF","Falló"))</f>
        <v/>
      </c>
    </row>
    <row r="1143" ht="16" customHeight="1">
      <c r="A1143" s="48" t="n"/>
      <c r="B1143" s="48" t="n"/>
      <c r="C1143" s="47" t="n"/>
      <c r="D1143" s="50" t="n"/>
      <c r="E1143" s="50" t="n"/>
      <c r="F1143" s="50" t="n"/>
      <c r="G1143" s="50" t="n"/>
      <c r="H1143" s="48" t="n"/>
      <c r="I1143" s="51" t="n"/>
      <c r="J1143" s="52" t="n"/>
      <c r="K1143" s="47" t="n"/>
      <c r="L1143" s="47" t="n"/>
      <c r="M1143" s="24">
        <f>IF(OR($A1143="",$C1143=""),"",IF($L1143&lt;&gt;"",$L1143-$C1143,TODAY()-$C1143))</f>
        <v/>
      </c>
      <c r="N1143" s="28">
        <f>IF(OR($A1143="",$K1143=""),"",IF($L1143="",IF(TODAY()&gt;$K1143,"Atrasado","En ruta"),IF($L1143&lt;=$K1143,"Sí","No")))</f>
        <v/>
      </c>
      <c r="O1143" s="24">
        <f>IF($A1143="","",COUNTIFS(NOVEDADES!$D$4:$D$1503,$A1143))</f>
        <v/>
      </c>
      <c r="P1143" s="28">
        <f>IF($A1143="","",IF(COUNTIFS(NOVEDADES!$D$4:$D$1503,$A1143,NOVEDADES!$O$4:$O$1503,"SÍ")&gt;0,"No","Sí"))</f>
        <v/>
      </c>
      <c r="Q1143" s="28">
        <f>IF(OR($A1143="",$L1143=""),"",IF(AND($N1143="Sí",$P1143="Sí"),"OTIF","Falló"))</f>
        <v/>
      </c>
    </row>
    <row r="1144" ht="16" customHeight="1">
      <c r="A1144" s="48" t="n"/>
      <c r="B1144" s="48" t="n"/>
      <c r="C1144" s="47" t="n"/>
      <c r="D1144" s="50" t="n"/>
      <c r="E1144" s="50" t="n"/>
      <c r="F1144" s="50" t="n"/>
      <c r="G1144" s="50" t="n"/>
      <c r="H1144" s="48" t="n"/>
      <c r="I1144" s="51" t="n"/>
      <c r="J1144" s="52" t="n"/>
      <c r="K1144" s="47" t="n"/>
      <c r="L1144" s="47" t="n"/>
      <c r="M1144" s="24">
        <f>IF(OR($A1144="",$C1144=""),"",IF($L1144&lt;&gt;"",$L1144-$C1144,TODAY()-$C1144))</f>
        <v/>
      </c>
      <c r="N1144" s="28">
        <f>IF(OR($A1144="",$K1144=""),"",IF($L1144="",IF(TODAY()&gt;$K1144,"Atrasado","En ruta"),IF($L1144&lt;=$K1144,"Sí","No")))</f>
        <v/>
      </c>
      <c r="O1144" s="24">
        <f>IF($A1144="","",COUNTIFS(NOVEDADES!$D$4:$D$1503,$A1144))</f>
        <v/>
      </c>
      <c r="P1144" s="28">
        <f>IF($A1144="","",IF(COUNTIFS(NOVEDADES!$D$4:$D$1503,$A1144,NOVEDADES!$O$4:$O$1503,"SÍ")&gt;0,"No","Sí"))</f>
        <v/>
      </c>
      <c r="Q1144" s="28">
        <f>IF(OR($A1144="",$L1144=""),"",IF(AND($N1144="Sí",$P1144="Sí"),"OTIF","Falló"))</f>
        <v/>
      </c>
    </row>
    <row r="1145" ht="16" customHeight="1">
      <c r="A1145" s="48" t="n"/>
      <c r="B1145" s="48" t="n"/>
      <c r="C1145" s="47" t="n"/>
      <c r="D1145" s="50" t="n"/>
      <c r="E1145" s="50" t="n"/>
      <c r="F1145" s="50" t="n"/>
      <c r="G1145" s="50" t="n"/>
      <c r="H1145" s="48" t="n"/>
      <c r="I1145" s="51" t="n"/>
      <c r="J1145" s="52" t="n"/>
      <c r="K1145" s="47" t="n"/>
      <c r="L1145" s="47" t="n"/>
      <c r="M1145" s="24">
        <f>IF(OR($A1145="",$C1145=""),"",IF($L1145&lt;&gt;"",$L1145-$C1145,TODAY()-$C1145))</f>
        <v/>
      </c>
      <c r="N1145" s="28">
        <f>IF(OR($A1145="",$K1145=""),"",IF($L1145="",IF(TODAY()&gt;$K1145,"Atrasado","En ruta"),IF($L1145&lt;=$K1145,"Sí","No")))</f>
        <v/>
      </c>
      <c r="O1145" s="24">
        <f>IF($A1145="","",COUNTIFS(NOVEDADES!$D$4:$D$1503,$A1145))</f>
        <v/>
      </c>
      <c r="P1145" s="28">
        <f>IF($A1145="","",IF(COUNTIFS(NOVEDADES!$D$4:$D$1503,$A1145,NOVEDADES!$O$4:$O$1503,"SÍ")&gt;0,"No","Sí"))</f>
        <v/>
      </c>
      <c r="Q1145" s="28">
        <f>IF(OR($A1145="",$L1145=""),"",IF(AND($N1145="Sí",$P1145="Sí"),"OTIF","Falló"))</f>
        <v/>
      </c>
    </row>
    <row r="1146" ht="16" customHeight="1">
      <c r="A1146" s="48" t="n"/>
      <c r="B1146" s="48" t="n"/>
      <c r="C1146" s="47" t="n"/>
      <c r="D1146" s="50" t="n"/>
      <c r="E1146" s="50" t="n"/>
      <c r="F1146" s="50" t="n"/>
      <c r="G1146" s="50" t="n"/>
      <c r="H1146" s="48" t="n"/>
      <c r="I1146" s="51" t="n"/>
      <c r="J1146" s="52" t="n"/>
      <c r="K1146" s="47" t="n"/>
      <c r="L1146" s="47" t="n"/>
      <c r="M1146" s="24">
        <f>IF(OR($A1146="",$C1146=""),"",IF($L1146&lt;&gt;"",$L1146-$C1146,TODAY()-$C1146))</f>
        <v/>
      </c>
      <c r="N1146" s="28">
        <f>IF(OR($A1146="",$K1146=""),"",IF($L1146="",IF(TODAY()&gt;$K1146,"Atrasado","En ruta"),IF($L1146&lt;=$K1146,"Sí","No")))</f>
        <v/>
      </c>
      <c r="O1146" s="24">
        <f>IF($A1146="","",COUNTIFS(NOVEDADES!$D$4:$D$1503,$A1146))</f>
        <v/>
      </c>
      <c r="P1146" s="28">
        <f>IF($A1146="","",IF(COUNTIFS(NOVEDADES!$D$4:$D$1503,$A1146,NOVEDADES!$O$4:$O$1503,"SÍ")&gt;0,"No","Sí"))</f>
        <v/>
      </c>
      <c r="Q1146" s="28">
        <f>IF(OR($A1146="",$L1146=""),"",IF(AND($N1146="Sí",$P1146="Sí"),"OTIF","Falló"))</f>
        <v/>
      </c>
    </row>
    <row r="1147" ht="16" customHeight="1">
      <c r="A1147" s="48" t="n"/>
      <c r="B1147" s="48" t="n"/>
      <c r="C1147" s="47" t="n"/>
      <c r="D1147" s="50" t="n"/>
      <c r="E1147" s="50" t="n"/>
      <c r="F1147" s="50" t="n"/>
      <c r="G1147" s="50" t="n"/>
      <c r="H1147" s="48" t="n"/>
      <c r="I1147" s="51" t="n"/>
      <c r="J1147" s="52" t="n"/>
      <c r="K1147" s="47" t="n"/>
      <c r="L1147" s="47" t="n"/>
      <c r="M1147" s="24">
        <f>IF(OR($A1147="",$C1147=""),"",IF($L1147&lt;&gt;"",$L1147-$C1147,TODAY()-$C1147))</f>
        <v/>
      </c>
      <c r="N1147" s="28">
        <f>IF(OR($A1147="",$K1147=""),"",IF($L1147="",IF(TODAY()&gt;$K1147,"Atrasado","En ruta"),IF($L1147&lt;=$K1147,"Sí","No")))</f>
        <v/>
      </c>
      <c r="O1147" s="24">
        <f>IF($A1147="","",COUNTIFS(NOVEDADES!$D$4:$D$1503,$A1147))</f>
        <v/>
      </c>
      <c r="P1147" s="28">
        <f>IF($A1147="","",IF(COUNTIFS(NOVEDADES!$D$4:$D$1503,$A1147,NOVEDADES!$O$4:$O$1503,"SÍ")&gt;0,"No","Sí"))</f>
        <v/>
      </c>
      <c r="Q1147" s="28">
        <f>IF(OR($A1147="",$L1147=""),"",IF(AND($N1147="Sí",$P1147="Sí"),"OTIF","Falló"))</f>
        <v/>
      </c>
    </row>
    <row r="1148" ht="16" customHeight="1">
      <c r="A1148" s="48" t="n"/>
      <c r="B1148" s="48" t="n"/>
      <c r="C1148" s="47" t="n"/>
      <c r="D1148" s="50" t="n"/>
      <c r="E1148" s="50" t="n"/>
      <c r="F1148" s="50" t="n"/>
      <c r="G1148" s="50" t="n"/>
      <c r="H1148" s="48" t="n"/>
      <c r="I1148" s="51" t="n"/>
      <c r="J1148" s="52" t="n"/>
      <c r="K1148" s="47" t="n"/>
      <c r="L1148" s="47" t="n"/>
      <c r="M1148" s="24">
        <f>IF(OR($A1148="",$C1148=""),"",IF($L1148&lt;&gt;"",$L1148-$C1148,TODAY()-$C1148))</f>
        <v/>
      </c>
      <c r="N1148" s="28">
        <f>IF(OR($A1148="",$K1148=""),"",IF($L1148="",IF(TODAY()&gt;$K1148,"Atrasado","En ruta"),IF($L1148&lt;=$K1148,"Sí","No")))</f>
        <v/>
      </c>
      <c r="O1148" s="24">
        <f>IF($A1148="","",COUNTIFS(NOVEDADES!$D$4:$D$1503,$A1148))</f>
        <v/>
      </c>
      <c r="P1148" s="28">
        <f>IF($A1148="","",IF(COUNTIFS(NOVEDADES!$D$4:$D$1503,$A1148,NOVEDADES!$O$4:$O$1503,"SÍ")&gt;0,"No","Sí"))</f>
        <v/>
      </c>
      <c r="Q1148" s="28">
        <f>IF(OR($A1148="",$L1148=""),"",IF(AND($N1148="Sí",$P1148="Sí"),"OTIF","Falló"))</f>
        <v/>
      </c>
    </row>
    <row r="1149" ht="16" customHeight="1">
      <c r="A1149" s="48" t="n"/>
      <c r="B1149" s="48" t="n"/>
      <c r="C1149" s="47" t="n"/>
      <c r="D1149" s="50" t="n"/>
      <c r="E1149" s="50" t="n"/>
      <c r="F1149" s="50" t="n"/>
      <c r="G1149" s="50" t="n"/>
      <c r="H1149" s="48" t="n"/>
      <c r="I1149" s="51" t="n"/>
      <c r="J1149" s="52" t="n"/>
      <c r="K1149" s="47" t="n"/>
      <c r="L1149" s="47" t="n"/>
      <c r="M1149" s="24">
        <f>IF(OR($A1149="",$C1149=""),"",IF($L1149&lt;&gt;"",$L1149-$C1149,TODAY()-$C1149))</f>
        <v/>
      </c>
      <c r="N1149" s="28">
        <f>IF(OR($A1149="",$K1149=""),"",IF($L1149="",IF(TODAY()&gt;$K1149,"Atrasado","En ruta"),IF($L1149&lt;=$K1149,"Sí","No")))</f>
        <v/>
      </c>
      <c r="O1149" s="24">
        <f>IF($A1149="","",COUNTIFS(NOVEDADES!$D$4:$D$1503,$A1149))</f>
        <v/>
      </c>
      <c r="P1149" s="28">
        <f>IF($A1149="","",IF(COUNTIFS(NOVEDADES!$D$4:$D$1503,$A1149,NOVEDADES!$O$4:$O$1503,"SÍ")&gt;0,"No","Sí"))</f>
        <v/>
      </c>
      <c r="Q1149" s="28">
        <f>IF(OR($A1149="",$L1149=""),"",IF(AND($N1149="Sí",$P1149="Sí"),"OTIF","Falló"))</f>
        <v/>
      </c>
    </row>
    <row r="1150" ht="16" customHeight="1">
      <c r="A1150" s="48" t="n"/>
      <c r="B1150" s="48" t="n"/>
      <c r="C1150" s="47" t="n"/>
      <c r="D1150" s="50" t="n"/>
      <c r="E1150" s="50" t="n"/>
      <c r="F1150" s="50" t="n"/>
      <c r="G1150" s="50" t="n"/>
      <c r="H1150" s="48" t="n"/>
      <c r="I1150" s="51" t="n"/>
      <c r="J1150" s="52" t="n"/>
      <c r="K1150" s="47" t="n"/>
      <c r="L1150" s="47" t="n"/>
      <c r="M1150" s="24">
        <f>IF(OR($A1150="",$C1150=""),"",IF($L1150&lt;&gt;"",$L1150-$C1150,TODAY()-$C1150))</f>
        <v/>
      </c>
      <c r="N1150" s="28">
        <f>IF(OR($A1150="",$K1150=""),"",IF($L1150="",IF(TODAY()&gt;$K1150,"Atrasado","En ruta"),IF($L1150&lt;=$K1150,"Sí","No")))</f>
        <v/>
      </c>
      <c r="O1150" s="24">
        <f>IF($A1150="","",COUNTIFS(NOVEDADES!$D$4:$D$1503,$A1150))</f>
        <v/>
      </c>
      <c r="P1150" s="28">
        <f>IF($A1150="","",IF(COUNTIFS(NOVEDADES!$D$4:$D$1503,$A1150,NOVEDADES!$O$4:$O$1503,"SÍ")&gt;0,"No","Sí"))</f>
        <v/>
      </c>
      <c r="Q1150" s="28">
        <f>IF(OR($A1150="",$L1150=""),"",IF(AND($N1150="Sí",$P1150="Sí"),"OTIF","Falló"))</f>
        <v/>
      </c>
    </row>
    <row r="1151" ht="16" customHeight="1">
      <c r="A1151" s="48" t="n"/>
      <c r="B1151" s="48" t="n"/>
      <c r="C1151" s="47" t="n"/>
      <c r="D1151" s="50" t="n"/>
      <c r="E1151" s="50" t="n"/>
      <c r="F1151" s="50" t="n"/>
      <c r="G1151" s="50" t="n"/>
      <c r="H1151" s="48" t="n"/>
      <c r="I1151" s="51" t="n"/>
      <c r="J1151" s="52" t="n"/>
      <c r="K1151" s="47" t="n"/>
      <c r="L1151" s="47" t="n"/>
      <c r="M1151" s="24">
        <f>IF(OR($A1151="",$C1151=""),"",IF($L1151&lt;&gt;"",$L1151-$C1151,TODAY()-$C1151))</f>
        <v/>
      </c>
      <c r="N1151" s="28">
        <f>IF(OR($A1151="",$K1151=""),"",IF($L1151="",IF(TODAY()&gt;$K1151,"Atrasado","En ruta"),IF($L1151&lt;=$K1151,"Sí","No")))</f>
        <v/>
      </c>
      <c r="O1151" s="24">
        <f>IF($A1151="","",COUNTIFS(NOVEDADES!$D$4:$D$1503,$A1151))</f>
        <v/>
      </c>
      <c r="P1151" s="28">
        <f>IF($A1151="","",IF(COUNTIFS(NOVEDADES!$D$4:$D$1503,$A1151,NOVEDADES!$O$4:$O$1503,"SÍ")&gt;0,"No","Sí"))</f>
        <v/>
      </c>
      <c r="Q1151" s="28">
        <f>IF(OR($A1151="",$L1151=""),"",IF(AND($N1151="Sí",$P1151="Sí"),"OTIF","Falló"))</f>
        <v/>
      </c>
    </row>
    <row r="1152" ht="16" customHeight="1">
      <c r="A1152" s="48" t="n"/>
      <c r="B1152" s="48" t="n"/>
      <c r="C1152" s="47" t="n"/>
      <c r="D1152" s="50" t="n"/>
      <c r="E1152" s="50" t="n"/>
      <c r="F1152" s="50" t="n"/>
      <c r="G1152" s="50" t="n"/>
      <c r="H1152" s="48" t="n"/>
      <c r="I1152" s="51" t="n"/>
      <c r="J1152" s="52" t="n"/>
      <c r="K1152" s="47" t="n"/>
      <c r="L1152" s="47" t="n"/>
      <c r="M1152" s="24">
        <f>IF(OR($A1152="",$C1152=""),"",IF($L1152&lt;&gt;"",$L1152-$C1152,TODAY()-$C1152))</f>
        <v/>
      </c>
      <c r="N1152" s="28">
        <f>IF(OR($A1152="",$K1152=""),"",IF($L1152="",IF(TODAY()&gt;$K1152,"Atrasado","En ruta"),IF($L1152&lt;=$K1152,"Sí","No")))</f>
        <v/>
      </c>
      <c r="O1152" s="24">
        <f>IF($A1152="","",COUNTIFS(NOVEDADES!$D$4:$D$1503,$A1152))</f>
        <v/>
      </c>
      <c r="P1152" s="28">
        <f>IF($A1152="","",IF(COUNTIFS(NOVEDADES!$D$4:$D$1503,$A1152,NOVEDADES!$O$4:$O$1503,"SÍ")&gt;0,"No","Sí"))</f>
        <v/>
      </c>
      <c r="Q1152" s="28">
        <f>IF(OR($A1152="",$L1152=""),"",IF(AND($N1152="Sí",$P1152="Sí"),"OTIF","Falló"))</f>
        <v/>
      </c>
    </row>
    <row r="1153" ht="16" customHeight="1">
      <c r="A1153" s="48" t="n"/>
      <c r="B1153" s="48" t="n"/>
      <c r="C1153" s="47" t="n"/>
      <c r="D1153" s="50" t="n"/>
      <c r="E1153" s="50" t="n"/>
      <c r="F1153" s="50" t="n"/>
      <c r="G1153" s="50" t="n"/>
      <c r="H1153" s="48" t="n"/>
      <c r="I1153" s="51" t="n"/>
      <c r="J1153" s="52" t="n"/>
      <c r="K1153" s="47" t="n"/>
      <c r="L1153" s="47" t="n"/>
      <c r="M1153" s="24">
        <f>IF(OR($A1153="",$C1153=""),"",IF($L1153&lt;&gt;"",$L1153-$C1153,TODAY()-$C1153))</f>
        <v/>
      </c>
      <c r="N1153" s="28">
        <f>IF(OR($A1153="",$K1153=""),"",IF($L1153="",IF(TODAY()&gt;$K1153,"Atrasado","En ruta"),IF($L1153&lt;=$K1153,"Sí","No")))</f>
        <v/>
      </c>
      <c r="O1153" s="24">
        <f>IF($A1153="","",COUNTIFS(NOVEDADES!$D$4:$D$1503,$A1153))</f>
        <v/>
      </c>
      <c r="P1153" s="28">
        <f>IF($A1153="","",IF(COUNTIFS(NOVEDADES!$D$4:$D$1503,$A1153,NOVEDADES!$O$4:$O$1503,"SÍ")&gt;0,"No","Sí"))</f>
        <v/>
      </c>
      <c r="Q1153" s="28">
        <f>IF(OR($A1153="",$L1153=""),"",IF(AND($N1153="Sí",$P1153="Sí"),"OTIF","Falló"))</f>
        <v/>
      </c>
    </row>
    <row r="1154" ht="16" customHeight="1">
      <c r="A1154" s="48" t="n"/>
      <c r="B1154" s="48" t="n"/>
      <c r="C1154" s="47" t="n"/>
      <c r="D1154" s="50" t="n"/>
      <c r="E1154" s="50" t="n"/>
      <c r="F1154" s="50" t="n"/>
      <c r="G1154" s="50" t="n"/>
      <c r="H1154" s="48" t="n"/>
      <c r="I1154" s="51" t="n"/>
      <c r="J1154" s="52" t="n"/>
      <c r="K1154" s="47" t="n"/>
      <c r="L1154" s="47" t="n"/>
      <c r="M1154" s="24">
        <f>IF(OR($A1154="",$C1154=""),"",IF($L1154&lt;&gt;"",$L1154-$C1154,TODAY()-$C1154))</f>
        <v/>
      </c>
      <c r="N1154" s="28">
        <f>IF(OR($A1154="",$K1154=""),"",IF($L1154="",IF(TODAY()&gt;$K1154,"Atrasado","En ruta"),IF($L1154&lt;=$K1154,"Sí","No")))</f>
        <v/>
      </c>
      <c r="O1154" s="24">
        <f>IF($A1154="","",COUNTIFS(NOVEDADES!$D$4:$D$1503,$A1154))</f>
        <v/>
      </c>
      <c r="P1154" s="28">
        <f>IF($A1154="","",IF(COUNTIFS(NOVEDADES!$D$4:$D$1503,$A1154,NOVEDADES!$O$4:$O$1503,"SÍ")&gt;0,"No","Sí"))</f>
        <v/>
      </c>
      <c r="Q1154" s="28">
        <f>IF(OR($A1154="",$L1154=""),"",IF(AND($N1154="Sí",$P1154="Sí"),"OTIF","Falló"))</f>
        <v/>
      </c>
    </row>
    <row r="1155" ht="16" customHeight="1">
      <c r="A1155" s="48" t="n"/>
      <c r="B1155" s="48" t="n"/>
      <c r="C1155" s="47" t="n"/>
      <c r="D1155" s="50" t="n"/>
      <c r="E1155" s="50" t="n"/>
      <c r="F1155" s="50" t="n"/>
      <c r="G1155" s="50" t="n"/>
      <c r="H1155" s="48" t="n"/>
      <c r="I1155" s="51" t="n"/>
      <c r="J1155" s="52" t="n"/>
      <c r="K1155" s="47" t="n"/>
      <c r="L1155" s="47" t="n"/>
      <c r="M1155" s="24">
        <f>IF(OR($A1155="",$C1155=""),"",IF($L1155&lt;&gt;"",$L1155-$C1155,TODAY()-$C1155))</f>
        <v/>
      </c>
      <c r="N1155" s="28">
        <f>IF(OR($A1155="",$K1155=""),"",IF($L1155="",IF(TODAY()&gt;$K1155,"Atrasado","En ruta"),IF($L1155&lt;=$K1155,"Sí","No")))</f>
        <v/>
      </c>
      <c r="O1155" s="24">
        <f>IF($A1155="","",COUNTIFS(NOVEDADES!$D$4:$D$1503,$A1155))</f>
        <v/>
      </c>
      <c r="P1155" s="28">
        <f>IF($A1155="","",IF(COUNTIFS(NOVEDADES!$D$4:$D$1503,$A1155,NOVEDADES!$O$4:$O$1503,"SÍ")&gt;0,"No","Sí"))</f>
        <v/>
      </c>
      <c r="Q1155" s="28">
        <f>IF(OR($A1155="",$L1155=""),"",IF(AND($N1155="Sí",$P1155="Sí"),"OTIF","Falló"))</f>
        <v/>
      </c>
    </row>
    <row r="1156" ht="16" customHeight="1">
      <c r="A1156" s="48" t="n"/>
      <c r="B1156" s="48" t="n"/>
      <c r="C1156" s="47" t="n"/>
      <c r="D1156" s="50" t="n"/>
      <c r="E1156" s="50" t="n"/>
      <c r="F1156" s="50" t="n"/>
      <c r="G1156" s="50" t="n"/>
      <c r="H1156" s="48" t="n"/>
      <c r="I1156" s="51" t="n"/>
      <c r="J1156" s="52" t="n"/>
      <c r="K1156" s="47" t="n"/>
      <c r="L1156" s="47" t="n"/>
      <c r="M1156" s="24">
        <f>IF(OR($A1156="",$C1156=""),"",IF($L1156&lt;&gt;"",$L1156-$C1156,TODAY()-$C1156))</f>
        <v/>
      </c>
      <c r="N1156" s="28">
        <f>IF(OR($A1156="",$K1156=""),"",IF($L1156="",IF(TODAY()&gt;$K1156,"Atrasado","En ruta"),IF($L1156&lt;=$K1156,"Sí","No")))</f>
        <v/>
      </c>
      <c r="O1156" s="24">
        <f>IF($A1156="","",COUNTIFS(NOVEDADES!$D$4:$D$1503,$A1156))</f>
        <v/>
      </c>
      <c r="P1156" s="28">
        <f>IF($A1156="","",IF(COUNTIFS(NOVEDADES!$D$4:$D$1503,$A1156,NOVEDADES!$O$4:$O$1503,"SÍ")&gt;0,"No","Sí"))</f>
        <v/>
      </c>
      <c r="Q1156" s="28">
        <f>IF(OR($A1156="",$L1156=""),"",IF(AND($N1156="Sí",$P1156="Sí"),"OTIF","Falló"))</f>
        <v/>
      </c>
    </row>
    <row r="1157" ht="16" customHeight="1">
      <c r="A1157" s="48" t="n"/>
      <c r="B1157" s="48" t="n"/>
      <c r="C1157" s="47" t="n"/>
      <c r="D1157" s="50" t="n"/>
      <c r="E1157" s="50" t="n"/>
      <c r="F1157" s="50" t="n"/>
      <c r="G1157" s="50" t="n"/>
      <c r="H1157" s="48" t="n"/>
      <c r="I1157" s="51" t="n"/>
      <c r="J1157" s="52" t="n"/>
      <c r="K1157" s="47" t="n"/>
      <c r="L1157" s="47" t="n"/>
      <c r="M1157" s="24">
        <f>IF(OR($A1157="",$C1157=""),"",IF($L1157&lt;&gt;"",$L1157-$C1157,TODAY()-$C1157))</f>
        <v/>
      </c>
      <c r="N1157" s="28">
        <f>IF(OR($A1157="",$K1157=""),"",IF($L1157="",IF(TODAY()&gt;$K1157,"Atrasado","En ruta"),IF($L1157&lt;=$K1157,"Sí","No")))</f>
        <v/>
      </c>
      <c r="O1157" s="24">
        <f>IF($A1157="","",COUNTIFS(NOVEDADES!$D$4:$D$1503,$A1157))</f>
        <v/>
      </c>
      <c r="P1157" s="28">
        <f>IF($A1157="","",IF(COUNTIFS(NOVEDADES!$D$4:$D$1503,$A1157,NOVEDADES!$O$4:$O$1503,"SÍ")&gt;0,"No","Sí"))</f>
        <v/>
      </c>
      <c r="Q1157" s="28">
        <f>IF(OR($A1157="",$L1157=""),"",IF(AND($N1157="Sí",$P1157="Sí"),"OTIF","Falló"))</f>
        <v/>
      </c>
    </row>
    <row r="1158" ht="16" customHeight="1">
      <c r="A1158" s="48" t="n"/>
      <c r="B1158" s="48" t="n"/>
      <c r="C1158" s="47" t="n"/>
      <c r="D1158" s="50" t="n"/>
      <c r="E1158" s="50" t="n"/>
      <c r="F1158" s="50" t="n"/>
      <c r="G1158" s="50" t="n"/>
      <c r="H1158" s="48" t="n"/>
      <c r="I1158" s="51" t="n"/>
      <c r="J1158" s="52" t="n"/>
      <c r="K1158" s="47" t="n"/>
      <c r="L1158" s="47" t="n"/>
      <c r="M1158" s="24">
        <f>IF(OR($A1158="",$C1158=""),"",IF($L1158&lt;&gt;"",$L1158-$C1158,TODAY()-$C1158))</f>
        <v/>
      </c>
      <c r="N1158" s="28">
        <f>IF(OR($A1158="",$K1158=""),"",IF($L1158="",IF(TODAY()&gt;$K1158,"Atrasado","En ruta"),IF($L1158&lt;=$K1158,"Sí","No")))</f>
        <v/>
      </c>
      <c r="O1158" s="24">
        <f>IF($A1158="","",COUNTIFS(NOVEDADES!$D$4:$D$1503,$A1158))</f>
        <v/>
      </c>
      <c r="P1158" s="28">
        <f>IF($A1158="","",IF(COUNTIFS(NOVEDADES!$D$4:$D$1503,$A1158,NOVEDADES!$O$4:$O$1503,"SÍ")&gt;0,"No","Sí"))</f>
        <v/>
      </c>
      <c r="Q1158" s="28">
        <f>IF(OR($A1158="",$L1158=""),"",IF(AND($N1158="Sí",$P1158="Sí"),"OTIF","Falló"))</f>
        <v/>
      </c>
    </row>
    <row r="1159" ht="16" customHeight="1">
      <c r="A1159" s="48" t="n"/>
      <c r="B1159" s="48" t="n"/>
      <c r="C1159" s="47" t="n"/>
      <c r="D1159" s="50" t="n"/>
      <c r="E1159" s="50" t="n"/>
      <c r="F1159" s="50" t="n"/>
      <c r="G1159" s="50" t="n"/>
      <c r="H1159" s="48" t="n"/>
      <c r="I1159" s="51" t="n"/>
      <c r="J1159" s="52" t="n"/>
      <c r="K1159" s="47" t="n"/>
      <c r="L1159" s="47" t="n"/>
      <c r="M1159" s="24">
        <f>IF(OR($A1159="",$C1159=""),"",IF($L1159&lt;&gt;"",$L1159-$C1159,TODAY()-$C1159))</f>
        <v/>
      </c>
      <c r="N1159" s="28">
        <f>IF(OR($A1159="",$K1159=""),"",IF($L1159="",IF(TODAY()&gt;$K1159,"Atrasado","En ruta"),IF($L1159&lt;=$K1159,"Sí","No")))</f>
        <v/>
      </c>
      <c r="O1159" s="24">
        <f>IF($A1159="","",COUNTIFS(NOVEDADES!$D$4:$D$1503,$A1159))</f>
        <v/>
      </c>
      <c r="P1159" s="28">
        <f>IF($A1159="","",IF(COUNTIFS(NOVEDADES!$D$4:$D$1503,$A1159,NOVEDADES!$O$4:$O$1503,"SÍ")&gt;0,"No","Sí"))</f>
        <v/>
      </c>
      <c r="Q1159" s="28">
        <f>IF(OR($A1159="",$L1159=""),"",IF(AND($N1159="Sí",$P1159="Sí"),"OTIF","Falló"))</f>
        <v/>
      </c>
    </row>
    <row r="1160" ht="16" customHeight="1">
      <c r="A1160" s="48" t="n"/>
      <c r="B1160" s="48" t="n"/>
      <c r="C1160" s="47" t="n"/>
      <c r="D1160" s="50" t="n"/>
      <c r="E1160" s="50" t="n"/>
      <c r="F1160" s="50" t="n"/>
      <c r="G1160" s="50" t="n"/>
      <c r="H1160" s="48" t="n"/>
      <c r="I1160" s="51" t="n"/>
      <c r="J1160" s="52" t="n"/>
      <c r="K1160" s="47" t="n"/>
      <c r="L1160" s="47" t="n"/>
      <c r="M1160" s="24">
        <f>IF(OR($A1160="",$C1160=""),"",IF($L1160&lt;&gt;"",$L1160-$C1160,TODAY()-$C1160))</f>
        <v/>
      </c>
      <c r="N1160" s="28">
        <f>IF(OR($A1160="",$K1160=""),"",IF($L1160="",IF(TODAY()&gt;$K1160,"Atrasado","En ruta"),IF($L1160&lt;=$K1160,"Sí","No")))</f>
        <v/>
      </c>
      <c r="O1160" s="24">
        <f>IF($A1160="","",COUNTIFS(NOVEDADES!$D$4:$D$1503,$A1160))</f>
        <v/>
      </c>
      <c r="P1160" s="28">
        <f>IF($A1160="","",IF(COUNTIFS(NOVEDADES!$D$4:$D$1503,$A1160,NOVEDADES!$O$4:$O$1503,"SÍ")&gt;0,"No","Sí"))</f>
        <v/>
      </c>
      <c r="Q1160" s="28">
        <f>IF(OR($A1160="",$L1160=""),"",IF(AND($N1160="Sí",$P1160="Sí"),"OTIF","Falló"))</f>
        <v/>
      </c>
    </row>
    <row r="1161" ht="16" customHeight="1">
      <c r="A1161" s="48" t="n"/>
      <c r="B1161" s="48" t="n"/>
      <c r="C1161" s="47" t="n"/>
      <c r="D1161" s="50" t="n"/>
      <c r="E1161" s="50" t="n"/>
      <c r="F1161" s="50" t="n"/>
      <c r="G1161" s="50" t="n"/>
      <c r="H1161" s="48" t="n"/>
      <c r="I1161" s="51" t="n"/>
      <c r="J1161" s="52" t="n"/>
      <c r="K1161" s="47" t="n"/>
      <c r="L1161" s="47" t="n"/>
      <c r="M1161" s="24">
        <f>IF(OR($A1161="",$C1161=""),"",IF($L1161&lt;&gt;"",$L1161-$C1161,TODAY()-$C1161))</f>
        <v/>
      </c>
      <c r="N1161" s="28">
        <f>IF(OR($A1161="",$K1161=""),"",IF($L1161="",IF(TODAY()&gt;$K1161,"Atrasado","En ruta"),IF($L1161&lt;=$K1161,"Sí","No")))</f>
        <v/>
      </c>
      <c r="O1161" s="24">
        <f>IF($A1161="","",COUNTIFS(NOVEDADES!$D$4:$D$1503,$A1161))</f>
        <v/>
      </c>
      <c r="P1161" s="28">
        <f>IF($A1161="","",IF(COUNTIFS(NOVEDADES!$D$4:$D$1503,$A1161,NOVEDADES!$O$4:$O$1503,"SÍ")&gt;0,"No","Sí"))</f>
        <v/>
      </c>
      <c r="Q1161" s="28">
        <f>IF(OR($A1161="",$L1161=""),"",IF(AND($N1161="Sí",$P1161="Sí"),"OTIF","Falló"))</f>
        <v/>
      </c>
    </row>
    <row r="1162" ht="16" customHeight="1">
      <c r="A1162" s="48" t="n"/>
      <c r="B1162" s="48" t="n"/>
      <c r="C1162" s="47" t="n"/>
      <c r="D1162" s="50" t="n"/>
      <c r="E1162" s="50" t="n"/>
      <c r="F1162" s="50" t="n"/>
      <c r="G1162" s="50" t="n"/>
      <c r="H1162" s="48" t="n"/>
      <c r="I1162" s="51" t="n"/>
      <c r="J1162" s="52" t="n"/>
      <c r="K1162" s="47" t="n"/>
      <c r="L1162" s="47" t="n"/>
      <c r="M1162" s="24">
        <f>IF(OR($A1162="",$C1162=""),"",IF($L1162&lt;&gt;"",$L1162-$C1162,TODAY()-$C1162))</f>
        <v/>
      </c>
      <c r="N1162" s="28">
        <f>IF(OR($A1162="",$K1162=""),"",IF($L1162="",IF(TODAY()&gt;$K1162,"Atrasado","En ruta"),IF($L1162&lt;=$K1162,"Sí","No")))</f>
        <v/>
      </c>
      <c r="O1162" s="24">
        <f>IF($A1162="","",COUNTIFS(NOVEDADES!$D$4:$D$1503,$A1162))</f>
        <v/>
      </c>
      <c r="P1162" s="28">
        <f>IF($A1162="","",IF(COUNTIFS(NOVEDADES!$D$4:$D$1503,$A1162,NOVEDADES!$O$4:$O$1503,"SÍ")&gt;0,"No","Sí"))</f>
        <v/>
      </c>
      <c r="Q1162" s="28">
        <f>IF(OR($A1162="",$L1162=""),"",IF(AND($N1162="Sí",$P1162="Sí"),"OTIF","Falló"))</f>
        <v/>
      </c>
    </row>
    <row r="1163" ht="16" customHeight="1">
      <c r="A1163" s="48" t="n"/>
      <c r="B1163" s="48" t="n"/>
      <c r="C1163" s="47" t="n"/>
      <c r="D1163" s="50" t="n"/>
      <c r="E1163" s="50" t="n"/>
      <c r="F1163" s="50" t="n"/>
      <c r="G1163" s="50" t="n"/>
      <c r="H1163" s="48" t="n"/>
      <c r="I1163" s="51" t="n"/>
      <c r="J1163" s="52" t="n"/>
      <c r="K1163" s="47" t="n"/>
      <c r="L1163" s="47" t="n"/>
      <c r="M1163" s="24">
        <f>IF(OR($A1163="",$C1163=""),"",IF($L1163&lt;&gt;"",$L1163-$C1163,TODAY()-$C1163))</f>
        <v/>
      </c>
      <c r="N1163" s="28">
        <f>IF(OR($A1163="",$K1163=""),"",IF($L1163="",IF(TODAY()&gt;$K1163,"Atrasado","En ruta"),IF($L1163&lt;=$K1163,"Sí","No")))</f>
        <v/>
      </c>
      <c r="O1163" s="24">
        <f>IF($A1163="","",COUNTIFS(NOVEDADES!$D$4:$D$1503,$A1163))</f>
        <v/>
      </c>
      <c r="P1163" s="28">
        <f>IF($A1163="","",IF(COUNTIFS(NOVEDADES!$D$4:$D$1503,$A1163,NOVEDADES!$O$4:$O$1503,"SÍ")&gt;0,"No","Sí"))</f>
        <v/>
      </c>
      <c r="Q1163" s="28">
        <f>IF(OR($A1163="",$L1163=""),"",IF(AND($N1163="Sí",$P1163="Sí"),"OTIF","Falló"))</f>
        <v/>
      </c>
    </row>
    <row r="1164" ht="16" customHeight="1">
      <c r="A1164" s="48" t="n"/>
      <c r="B1164" s="48" t="n"/>
      <c r="C1164" s="47" t="n"/>
      <c r="D1164" s="50" t="n"/>
      <c r="E1164" s="50" t="n"/>
      <c r="F1164" s="50" t="n"/>
      <c r="G1164" s="50" t="n"/>
      <c r="H1164" s="48" t="n"/>
      <c r="I1164" s="51" t="n"/>
      <c r="J1164" s="52" t="n"/>
      <c r="K1164" s="47" t="n"/>
      <c r="L1164" s="47" t="n"/>
      <c r="M1164" s="24">
        <f>IF(OR($A1164="",$C1164=""),"",IF($L1164&lt;&gt;"",$L1164-$C1164,TODAY()-$C1164))</f>
        <v/>
      </c>
      <c r="N1164" s="28">
        <f>IF(OR($A1164="",$K1164=""),"",IF($L1164="",IF(TODAY()&gt;$K1164,"Atrasado","En ruta"),IF($L1164&lt;=$K1164,"Sí","No")))</f>
        <v/>
      </c>
      <c r="O1164" s="24">
        <f>IF($A1164="","",COUNTIFS(NOVEDADES!$D$4:$D$1503,$A1164))</f>
        <v/>
      </c>
      <c r="P1164" s="28">
        <f>IF($A1164="","",IF(COUNTIFS(NOVEDADES!$D$4:$D$1503,$A1164,NOVEDADES!$O$4:$O$1503,"SÍ")&gt;0,"No","Sí"))</f>
        <v/>
      </c>
      <c r="Q1164" s="28">
        <f>IF(OR($A1164="",$L1164=""),"",IF(AND($N1164="Sí",$P1164="Sí"),"OTIF","Falló"))</f>
        <v/>
      </c>
    </row>
    <row r="1165" ht="16" customHeight="1">
      <c r="A1165" s="48" t="n"/>
      <c r="B1165" s="48" t="n"/>
      <c r="C1165" s="47" t="n"/>
      <c r="D1165" s="50" t="n"/>
      <c r="E1165" s="50" t="n"/>
      <c r="F1165" s="50" t="n"/>
      <c r="G1165" s="50" t="n"/>
      <c r="H1165" s="48" t="n"/>
      <c r="I1165" s="51" t="n"/>
      <c r="J1165" s="52" t="n"/>
      <c r="K1165" s="47" t="n"/>
      <c r="L1165" s="47" t="n"/>
      <c r="M1165" s="24">
        <f>IF(OR($A1165="",$C1165=""),"",IF($L1165&lt;&gt;"",$L1165-$C1165,TODAY()-$C1165))</f>
        <v/>
      </c>
      <c r="N1165" s="28">
        <f>IF(OR($A1165="",$K1165=""),"",IF($L1165="",IF(TODAY()&gt;$K1165,"Atrasado","En ruta"),IF($L1165&lt;=$K1165,"Sí","No")))</f>
        <v/>
      </c>
      <c r="O1165" s="24">
        <f>IF($A1165="","",COUNTIFS(NOVEDADES!$D$4:$D$1503,$A1165))</f>
        <v/>
      </c>
      <c r="P1165" s="28">
        <f>IF($A1165="","",IF(COUNTIFS(NOVEDADES!$D$4:$D$1503,$A1165,NOVEDADES!$O$4:$O$1503,"SÍ")&gt;0,"No","Sí"))</f>
        <v/>
      </c>
      <c r="Q1165" s="28">
        <f>IF(OR($A1165="",$L1165=""),"",IF(AND($N1165="Sí",$P1165="Sí"),"OTIF","Falló"))</f>
        <v/>
      </c>
    </row>
    <row r="1166" ht="16" customHeight="1">
      <c r="A1166" s="48" t="n"/>
      <c r="B1166" s="48" t="n"/>
      <c r="C1166" s="47" t="n"/>
      <c r="D1166" s="50" t="n"/>
      <c r="E1166" s="50" t="n"/>
      <c r="F1166" s="50" t="n"/>
      <c r="G1166" s="50" t="n"/>
      <c r="H1166" s="48" t="n"/>
      <c r="I1166" s="51" t="n"/>
      <c r="J1166" s="52" t="n"/>
      <c r="K1166" s="47" t="n"/>
      <c r="L1166" s="47" t="n"/>
      <c r="M1166" s="24">
        <f>IF(OR($A1166="",$C1166=""),"",IF($L1166&lt;&gt;"",$L1166-$C1166,TODAY()-$C1166))</f>
        <v/>
      </c>
      <c r="N1166" s="28">
        <f>IF(OR($A1166="",$K1166=""),"",IF($L1166="",IF(TODAY()&gt;$K1166,"Atrasado","En ruta"),IF($L1166&lt;=$K1166,"Sí","No")))</f>
        <v/>
      </c>
      <c r="O1166" s="24">
        <f>IF($A1166="","",COUNTIFS(NOVEDADES!$D$4:$D$1503,$A1166))</f>
        <v/>
      </c>
      <c r="P1166" s="28">
        <f>IF($A1166="","",IF(COUNTIFS(NOVEDADES!$D$4:$D$1503,$A1166,NOVEDADES!$O$4:$O$1503,"SÍ")&gt;0,"No","Sí"))</f>
        <v/>
      </c>
      <c r="Q1166" s="28">
        <f>IF(OR($A1166="",$L1166=""),"",IF(AND($N1166="Sí",$P1166="Sí"),"OTIF","Falló"))</f>
        <v/>
      </c>
    </row>
    <row r="1167" ht="16" customHeight="1">
      <c r="A1167" s="48" t="n"/>
      <c r="B1167" s="48" t="n"/>
      <c r="C1167" s="47" t="n"/>
      <c r="D1167" s="50" t="n"/>
      <c r="E1167" s="50" t="n"/>
      <c r="F1167" s="50" t="n"/>
      <c r="G1167" s="50" t="n"/>
      <c r="H1167" s="48" t="n"/>
      <c r="I1167" s="51" t="n"/>
      <c r="J1167" s="52" t="n"/>
      <c r="K1167" s="47" t="n"/>
      <c r="L1167" s="47" t="n"/>
      <c r="M1167" s="24">
        <f>IF(OR($A1167="",$C1167=""),"",IF($L1167&lt;&gt;"",$L1167-$C1167,TODAY()-$C1167))</f>
        <v/>
      </c>
      <c r="N1167" s="28">
        <f>IF(OR($A1167="",$K1167=""),"",IF($L1167="",IF(TODAY()&gt;$K1167,"Atrasado","En ruta"),IF($L1167&lt;=$K1167,"Sí","No")))</f>
        <v/>
      </c>
      <c r="O1167" s="24">
        <f>IF($A1167="","",COUNTIFS(NOVEDADES!$D$4:$D$1503,$A1167))</f>
        <v/>
      </c>
      <c r="P1167" s="28">
        <f>IF($A1167="","",IF(COUNTIFS(NOVEDADES!$D$4:$D$1503,$A1167,NOVEDADES!$O$4:$O$1503,"SÍ")&gt;0,"No","Sí"))</f>
        <v/>
      </c>
      <c r="Q1167" s="28">
        <f>IF(OR($A1167="",$L1167=""),"",IF(AND($N1167="Sí",$P1167="Sí"),"OTIF","Falló"))</f>
        <v/>
      </c>
    </row>
    <row r="1168" ht="16" customHeight="1">
      <c r="A1168" s="48" t="n"/>
      <c r="B1168" s="48" t="n"/>
      <c r="C1168" s="47" t="n"/>
      <c r="D1168" s="50" t="n"/>
      <c r="E1168" s="50" t="n"/>
      <c r="F1168" s="50" t="n"/>
      <c r="G1168" s="50" t="n"/>
      <c r="H1168" s="48" t="n"/>
      <c r="I1168" s="51" t="n"/>
      <c r="J1168" s="52" t="n"/>
      <c r="K1168" s="47" t="n"/>
      <c r="L1168" s="47" t="n"/>
      <c r="M1168" s="24">
        <f>IF(OR($A1168="",$C1168=""),"",IF($L1168&lt;&gt;"",$L1168-$C1168,TODAY()-$C1168))</f>
        <v/>
      </c>
      <c r="N1168" s="28">
        <f>IF(OR($A1168="",$K1168=""),"",IF($L1168="",IF(TODAY()&gt;$K1168,"Atrasado","En ruta"),IF($L1168&lt;=$K1168,"Sí","No")))</f>
        <v/>
      </c>
      <c r="O1168" s="24">
        <f>IF($A1168="","",COUNTIFS(NOVEDADES!$D$4:$D$1503,$A1168))</f>
        <v/>
      </c>
      <c r="P1168" s="28">
        <f>IF($A1168="","",IF(COUNTIFS(NOVEDADES!$D$4:$D$1503,$A1168,NOVEDADES!$O$4:$O$1503,"SÍ")&gt;0,"No","Sí"))</f>
        <v/>
      </c>
      <c r="Q1168" s="28">
        <f>IF(OR($A1168="",$L1168=""),"",IF(AND($N1168="Sí",$P1168="Sí"),"OTIF","Falló"))</f>
        <v/>
      </c>
    </row>
    <row r="1169" ht="16" customHeight="1">
      <c r="A1169" s="48" t="n"/>
      <c r="B1169" s="48" t="n"/>
      <c r="C1169" s="47" t="n"/>
      <c r="D1169" s="50" t="n"/>
      <c r="E1169" s="50" t="n"/>
      <c r="F1169" s="50" t="n"/>
      <c r="G1169" s="50" t="n"/>
      <c r="H1169" s="48" t="n"/>
      <c r="I1169" s="51" t="n"/>
      <c r="J1169" s="52" t="n"/>
      <c r="K1169" s="47" t="n"/>
      <c r="L1169" s="47" t="n"/>
      <c r="M1169" s="24">
        <f>IF(OR($A1169="",$C1169=""),"",IF($L1169&lt;&gt;"",$L1169-$C1169,TODAY()-$C1169))</f>
        <v/>
      </c>
      <c r="N1169" s="28">
        <f>IF(OR($A1169="",$K1169=""),"",IF($L1169="",IF(TODAY()&gt;$K1169,"Atrasado","En ruta"),IF($L1169&lt;=$K1169,"Sí","No")))</f>
        <v/>
      </c>
      <c r="O1169" s="24">
        <f>IF($A1169="","",COUNTIFS(NOVEDADES!$D$4:$D$1503,$A1169))</f>
        <v/>
      </c>
      <c r="P1169" s="28">
        <f>IF($A1169="","",IF(COUNTIFS(NOVEDADES!$D$4:$D$1503,$A1169,NOVEDADES!$O$4:$O$1503,"SÍ")&gt;0,"No","Sí"))</f>
        <v/>
      </c>
      <c r="Q1169" s="28">
        <f>IF(OR($A1169="",$L1169=""),"",IF(AND($N1169="Sí",$P1169="Sí"),"OTIF","Falló"))</f>
        <v/>
      </c>
    </row>
    <row r="1170" ht="16" customHeight="1">
      <c r="A1170" s="48" t="n"/>
      <c r="B1170" s="48" t="n"/>
      <c r="C1170" s="47" t="n"/>
      <c r="D1170" s="50" t="n"/>
      <c r="E1170" s="50" t="n"/>
      <c r="F1170" s="50" t="n"/>
      <c r="G1170" s="50" t="n"/>
      <c r="H1170" s="48" t="n"/>
      <c r="I1170" s="51" t="n"/>
      <c r="J1170" s="52" t="n"/>
      <c r="K1170" s="47" t="n"/>
      <c r="L1170" s="47" t="n"/>
      <c r="M1170" s="24">
        <f>IF(OR($A1170="",$C1170=""),"",IF($L1170&lt;&gt;"",$L1170-$C1170,TODAY()-$C1170))</f>
        <v/>
      </c>
      <c r="N1170" s="28">
        <f>IF(OR($A1170="",$K1170=""),"",IF($L1170="",IF(TODAY()&gt;$K1170,"Atrasado","En ruta"),IF($L1170&lt;=$K1170,"Sí","No")))</f>
        <v/>
      </c>
      <c r="O1170" s="24">
        <f>IF($A1170="","",COUNTIFS(NOVEDADES!$D$4:$D$1503,$A1170))</f>
        <v/>
      </c>
      <c r="P1170" s="28">
        <f>IF($A1170="","",IF(COUNTIFS(NOVEDADES!$D$4:$D$1503,$A1170,NOVEDADES!$O$4:$O$1503,"SÍ")&gt;0,"No","Sí"))</f>
        <v/>
      </c>
      <c r="Q1170" s="28">
        <f>IF(OR($A1170="",$L1170=""),"",IF(AND($N1170="Sí",$P1170="Sí"),"OTIF","Falló"))</f>
        <v/>
      </c>
    </row>
    <row r="1171" ht="16" customHeight="1">
      <c r="A1171" s="48" t="n"/>
      <c r="B1171" s="48" t="n"/>
      <c r="C1171" s="47" t="n"/>
      <c r="D1171" s="50" t="n"/>
      <c r="E1171" s="50" t="n"/>
      <c r="F1171" s="50" t="n"/>
      <c r="G1171" s="50" t="n"/>
      <c r="H1171" s="48" t="n"/>
      <c r="I1171" s="51" t="n"/>
      <c r="J1171" s="52" t="n"/>
      <c r="K1171" s="47" t="n"/>
      <c r="L1171" s="47" t="n"/>
      <c r="M1171" s="24">
        <f>IF(OR($A1171="",$C1171=""),"",IF($L1171&lt;&gt;"",$L1171-$C1171,TODAY()-$C1171))</f>
        <v/>
      </c>
      <c r="N1171" s="28">
        <f>IF(OR($A1171="",$K1171=""),"",IF($L1171="",IF(TODAY()&gt;$K1171,"Atrasado","En ruta"),IF($L1171&lt;=$K1171,"Sí","No")))</f>
        <v/>
      </c>
      <c r="O1171" s="24">
        <f>IF($A1171="","",COUNTIFS(NOVEDADES!$D$4:$D$1503,$A1171))</f>
        <v/>
      </c>
      <c r="P1171" s="28">
        <f>IF($A1171="","",IF(COUNTIFS(NOVEDADES!$D$4:$D$1503,$A1171,NOVEDADES!$O$4:$O$1503,"SÍ")&gt;0,"No","Sí"))</f>
        <v/>
      </c>
      <c r="Q1171" s="28">
        <f>IF(OR($A1171="",$L1171=""),"",IF(AND($N1171="Sí",$P1171="Sí"),"OTIF","Falló"))</f>
        <v/>
      </c>
    </row>
    <row r="1172" ht="16" customHeight="1">
      <c r="A1172" s="48" t="n"/>
      <c r="B1172" s="48" t="n"/>
      <c r="C1172" s="47" t="n"/>
      <c r="D1172" s="50" t="n"/>
      <c r="E1172" s="50" t="n"/>
      <c r="F1172" s="50" t="n"/>
      <c r="G1172" s="50" t="n"/>
      <c r="H1172" s="48" t="n"/>
      <c r="I1172" s="51" t="n"/>
      <c r="J1172" s="52" t="n"/>
      <c r="K1172" s="47" t="n"/>
      <c r="L1172" s="47" t="n"/>
      <c r="M1172" s="24">
        <f>IF(OR($A1172="",$C1172=""),"",IF($L1172&lt;&gt;"",$L1172-$C1172,TODAY()-$C1172))</f>
        <v/>
      </c>
      <c r="N1172" s="28">
        <f>IF(OR($A1172="",$K1172=""),"",IF($L1172="",IF(TODAY()&gt;$K1172,"Atrasado","En ruta"),IF($L1172&lt;=$K1172,"Sí","No")))</f>
        <v/>
      </c>
      <c r="O1172" s="24">
        <f>IF($A1172="","",COUNTIFS(NOVEDADES!$D$4:$D$1503,$A1172))</f>
        <v/>
      </c>
      <c r="P1172" s="28">
        <f>IF($A1172="","",IF(COUNTIFS(NOVEDADES!$D$4:$D$1503,$A1172,NOVEDADES!$O$4:$O$1503,"SÍ")&gt;0,"No","Sí"))</f>
        <v/>
      </c>
      <c r="Q1172" s="28">
        <f>IF(OR($A1172="",$L1172=""),"",IF(AND($N1172="Sí",$P1172="Sí"),"OTIF","Falló"))</f>
        <v/>
      </c>
    </row>
    <row r="1173" ht="16" customHeight="1">
      <c r="A1173" s="48" t="n"/>
      <c r="B1173" s="48" t="n"/>
      <c r="C1173" s="47" t="n"/>
      <c r="D1173" s="50" t="n"/>
      <c r="E1173" s="50" t="n"/>
      <c r="F1173" s="50" t="n"/>
      <c r="G1173" s="50" t="n"/>
      <c r="H1173" s="48" t="n"/>
      <c r="I1173" s="51" t="n"/>
      <c r="J1173" s="52" t="n"/>
      <c r="K1173" s="47" t="n"/>
      <c r="L1173" s="47" t="n"/>
      <c r="M1173" s="24">
        <f>IF(OR($A1173="",$C1173=""),"",IF($L1173&lt;&gt;"",$L1173-$C1173,TODAY()-$C1173))</f>
        <v/>
      </c>
      <c r="N1173" s="28">
        <f>IF(OR($A1173="",$K1173=""),"",IF($L1173="",IF(TODAY()&gt;$K1173,"Atrasado","En ruta"),IF($L1173&lt;=$K1173,"Sí","No")))</f>
        <v/>
      </c>
      <c r="O1173" s="24">
        <f>IF($A1173="","",COUNTIFS(NOVEDADES!$D$4:$D$1503,$A1173))</f>
        <v/>
      </c>
      <c r="P1173" s="28">
        <f>IF($A1173="","",IF(COUNTIFS(NOVEDADES!$D$4:$D$1503,$A1173,NOVEDADES!$O$4:$O$1503,"SÍ")&gt;0,"No","Sí"))</f>
        <v/>
      </c>
      <c r="Q1173" s="28">
        <f>IF(OR($A1173="",$L1173=""),"",IF(AND($N1173="Sí",$P1173="Sí"),"OTIF","Falló"))</f>
        <v/>
      </c>
    </row>
    <row r="1174" ht="16" customHeight="1">
      <c r="A1174" s="48" t="n"/>
      <c r="B1174" s="48" t="n"/>
      <c r="C1174" s="47" t="n"/>
      <c r="D1174" s="50" t="n"/>
      <c r="E1174" s="50" t="n"/>
      <c r="F1174" s="50" t="n"/>
      <c r="G1174" s="50" t="n"/>
      <c r="H1174" s="48" t="n"/>
      <c r="I1174" s="51" t="n"/>
      <c r="J1174" s="52" t="n"/>
      <c r="K1174" s="47" t="n"/>
      <c r="L1174" s="47" t="n"/>
      <c r="M1174" s="24">
        <f>IF(OR($A1174="",$C1174=""),"",IF($L1174&lt;&gt;"",$L1174-$C1174,TODAY()-$C1174))</f>
        <v/>
      </c>
      <c r="N1174" s="28">
        <f>IF(OR($A1174="",$K1174=""),"",IF($L1174="",IF(TODAY()&gt;$K1174,"Atrasado","En ruta"),IF($L1174&lt;=$K1174,"Sí","No")))</f>
        <v/>
      </c>
      <c r="O1174" s="24">
        <f>IF($A1174="","",COUNTIFS(NOVEDADES!$D$4:$D$1503,$A1174))</f>
        <v/>
      </c>
      <c r="P1174" s="28">
        <f>IF($A1174="","",IF(COUNTIFS(NOVEDADES!$D$4:$D$1503,$A1174,NOVEDADES!$O$4:$O$1503,"SÍ")&gt;0,"No","Sí"))</f>
        <v/>
      </c>
      <c r="Q1174" s="28">
        <f>IF(OR($A1174="",$L1174=""),"",IF(AND($N1174="Sí",$P1174="Sí"),"OTIF","Falló"))</f>
        <v/>
      </c>
    </row>
    <row r="1175" ht="16" customHeight="1">
      <c r="A1175" s="48" t="n"/>
      <c r="B1175" s="48" t="n"/>
      <c r="C1175" s="47" t="n"/>
      <c r="D1175" s="50" t="n"/>
      <c r="E1175" s="50" t="n"/>
      <c r="F1175" s="50" t="n"/>
      <c r="G1175" s="50" t="n"/>
      <c r="H1175" s="48" t="n"/>
      <c r="I1175" s="51" t="n"/>
      <c r="J1175" s="52" t="n"/>
      <c r="K1175" s="47" t="n"/>
      <c r="L1175" s="47" t="n"/>
      <c r="M1175" s="24">
        <f>IF(OR($A1175="",$C1175=""),"",IF($L1175&lt;&gt;"",$L1175-$C1175,TODAY()-$C1175))</f>
        <v/>
      </c>
      <c r="N1175" s="28">
        <f>IF(OR($A1175="",$K1175=""),"",IF($L1175="",IF(TODAY()&gt;$K1175,"Atrasado","En ruta"),IF($L1175&lt;=$K1175,"Sí","No")))</f>
        <v/>
      </c>
      <c r="O1175" s="24">
        <f>IF($A1175="","",COUNTIFS(NOVEDADES!$D$4:$D$1503,$A1175))</f>
        <v/>
      </c>
      <c r="P1175" s="28">
        <f>IF($A1175="","",IF(COUNTIFS(NOVEDADES!$D$4:$D$1503,$A1175,NOVEDADES!$O$4:$O$1503,"SÍ")&gt;0,"No","Sí"))</f>
        <v/>
      </c>
      <c r="Q1175" s="28">
        <f>IF(OR($A1175="",$L1175=""),"",IF(AND($N1175="Sí",$P1175="Sí"),"OTIF","Falló"))</f>
        <v/>
      </c>
    </row>
    <row r="1176" ht="16" customHeight="1">
      <c r="A1176" s="48" t="n"/>
      <c r="B1176" s="48" t="n"/>
      <c r="C1176" s="47" t="n"/>
      <c r="D1176" s="50" t="n"/>
      <c r="E1176" s="50" t="n"/>
      <c r="F1176" s="50" t="n"/>
      <c r="G1176" s="50" t="n"/>
      <c r="H1176" s="48" t="n"/>
      <c r="I1176" s="51" t="n"/>
      <c r="J1176" s="52" t="n"/>
      <c r="K1176" s="47" t="n"/>
      <c r="L1176" s="47" t="n"/>
      <c r="M1176" s="24">
        <f>IF(OR($A1176="",$C1176=""),"",IF($L1176&lt;&gt;"",$L1176-$C1176,TODAY()-$C1176))</f>
        <v/>
      </c>
      <c r="N1176" s="28">
        <f>IF(OR($A1176="",$K1176=""),"",IF($L1176="",IF(TODAY()&gt;$K1176,"Atrasado","En ruta"),IF($L1176&lt;=$K1176,"Sí","No")))</f>
        <v/>
      </c>
      <c r="O1176" s="24">
        <f>IF($A1176="","",COUNTIFS(NOVEDADES!$D$4:$D$1503,$A1176))</f>
        <v/>
      </c>
      <c r="P1176" s="28">
        <f>IF($A1176="","",IF(COUNTIFS(NOVEDADES!$D$4:$D$1503,$A1176,NOVEDADES!$O$4:$O$1503,"SÍ")&gt;0,"No","Sí"))</f>
        <v/>
      </c>
      <c r="Q1176" s="28">
        <f>IF(OR($A1176="",$L1176=""),"",IF(AND($N1176="Sí",$P1176="Sí"),"OTIF","Falló"))</f>
        <v/>
      </c>
    </row>
    <row r="1177" ht="16" customHeight="1">
      <c r="A1177" s="48" t="n"/>
      <c r="B1177" s="48" t="n"/>
      <c r="C1177" s="47" t="n"/>
      <c r="D1177" s="50" t="n"/>
      <c r="E1177" s="50" t="n"/>
      <c r="F1177" s="50" t="n"/>
      <c r="G1177" s="50" t="n"/>
      <c r="H1177" s="48" t="n"/>
      <c r="I1177" s="51" t="n"/>
      <c r="J1177" s="52" t="n"/>
      <c r="K1177" s="47" t="n"/>
      <c r="L1177" s="47" t="n"/>
      <c r="M1177" s="24">
        <f>IF(OR($A1177="",$C1177=""),"",IF($L1177&lt;&gt;"",$L1177-$C1177,TODAY()-$C1177))</f>
        <v/>
      </c>
      <c r="N1177" s="28">
        <f>IF(OR($A1177="",$K1177=""),"",IF($L1177="",IF(TODAY()&gt;$K1177,"Atrasado","En ruta"),IF($L1177&lt;=$K1177,"Sí","No")))</f>
        <v/>
      </c>
      <c r="O1177" s="24">
        <f>IF($A1177="","",COUNTIFS(NOVEDADES!$D$4:$D$1503,$A1177))</f>
        <v/>
      </c>
      <c r="P1177" s="28">
        <f>IF($A1177="","",IF(COUNTIFS(NOVEDADES!$D$4:$D$1503,$A1177,NOVEDADES!$O$4:$O$1503,"SÍ")&gt;0,"No","Sí"))</f>
        <v/>
      </c>
      <c r="Q1177" s="28">
        <f>IF(OR($A1177="",$L1177=""),"",IF(AND($N1177="Sí",$P1177="Sí"),"OTIF","Falló"))</f>
        <v/>
      </c>
    </row>
    <row r="1178" ht="16" customHeight="1">
      <c r="A1178" s="48" t="n"/>
      <c r="B1178" s="48" t="n"/>
      <c r="C1178" s="47" t="n"/>
      <c r="D1178" s="50" t="n"/>
      <c r="E1178" s="50" t="n"/>
      <c r="F1178" s="50" t="n"/>
      <c r="G1178" s="50" t="n"/>
      <c r="H1178" s="48" t="n"/>
      <c r="I1178" s="51" t="n"/>
      <c r="J1178" s="52" t="n"/>
      <c r="K1178" s="47" t="n"/>
      <c r="L1178" s="47" t="n"/>
      <c r="M1178" s="24">
        <f>IF(OR($A1178="",$C1178=""),"",IF($L1178&lt;&gt;"",$L1178-$C1178,TODAY()-$C1178))</f>
        <v/>
      </c>
      <c r="N1178" s="28">
        <f>IF(OR($A1178="",$K1178=""),"",IF($L1178="",IF(TODAY()&gt;$K1178,"Atrasado","En ruta"),IF($L1178&lt;=$K1178,"Sí","No")))</f>
        <v/>
      </c>
      <c r="O1178" s="24">
        <f>IF($A1178="","",COUNTIFS(NOVEDADES!$D$4:$D$1503,$A1178))</f>
        <v/>
      </c>
      <c r="P1178" s="28">
        <f>IF($A1178="","",IF(COUNTIFS(NOVEDADES!$D$4:$D$1503,$A1178,NOVEDADES!$O$4:$O$1503,"SÍ")&gt;0,"No","Sí"))</f>
        <v/>
      </c>
      <c r="Q1178" s="28">
        <f>IF(OR($A1178="",$L1178=""),"",IF(AND($N1178="Sí",$P1178="Sí"),"OTIF","Falló"))</f>
        <v/>
      </c>
    </row>
    <row r="1179" ht="16" customHeight="1">
      <c r="A1179" s="48" t="n"/>
      <c r="B1179" s="48" t="n"/>
      <c r="C1179" s="47" t="n"/>
      <c r="D1179" s="50" t="n"/>
      <c r="E1179" s="50" t="n"/>
      <c r="F1179" s="50" t="n"/>
      <c r="G1179" s="50" t="n"/>
      <c r="H1179" s="48" t="n"/>
      <c r="I1179" s="51" t="n"/>
      <c r="J1179" s="52" t="n"/>
      <c r="K1179" s="47" t="n"/>
      <c r="L1179" s="47" t="n"/>
      <c r="M1179" s="24">
        <f>IF(OR($A1179="",$C1179=""),"",IF($L1179&lt;&gt;"",$L1179-$C1179,TODAY()-$C1179))</f>
        <v/>
      </c>
      <c r="N1179" s="28">
        <f>IF(OR($A1179="",$K1179=""),"",IF($L1179="",IF(TODAY()&gt;$K1179,"Atrasado","En ruta"),IF($L1179&lt;=$K1179,"Sí","No")))</f>
        <v/>
      </c>
      <c r="O1179" s="24">
        <f>IF($A1179="","",COUNTIFS(NOVEDADES!$D$4:$D$1503,$A1179))</f>
        <v/>
      </c>
      <c r="P1179" s="28">
        <f>IF($A1179="","",IF(COUNTIFS(NOVEDADES!$D$4:$D$1503,$A1179,NOVEDADES!$O$4:$O$1503,"SÍ")&gt;0,"No","Sí"))</f>
        <v/>
      </c>
      <c r="Q1179" s="28">
        <f>IF(OR($A1179="",$L1179=""),"",IF(AND($N1179="Sí",$P1179="Sí"),"OTIF","Falló"))</f>
        <v/>
      </c>
    </row>
    <row r="1180" ht="16" customHeight="1">
      <c r="A1180" s="48" t="n"/>
      <c r="B1180" s="48" t="n"/>
      <c r="C1180" s="47" t="n"/>
      <c r="D1180" s="50" t="n"/>
      <c r="E1180" s="50" t="n"/>
      <c r="F1180" s="50" t="n"/>
      <c r="G1180" s="50" t="n"/>
      <c r="H1180" s="48" t="n"/>
      <c r="I1180" s="51" t="n"/>
      <c r="J1180" s="52" t="n"/>
      <c r="K1180" s="47" t="n"/>
      <c r="L1180" s="47" t="n"/>
      <c r="M1180" s="24">
        <f>IF(OR($A1180="",$C1180=""),"",IF($L1180&lt;&gt;"",$L1180-$C1180,TODAY()-$C1180))</f>
        <v/>
      </c>
      <c r="N1180" s="28">
        <f>IF(OR($A1180="",$K1180=""),"",IF($L1180="",IF(TODAY()&gt;$K1180,"Atrasado","En ruta"),IF($L1180&lt;=$K1180,"Sí","No")))</f>
        <v/>
      </c>
      <c r="O1180" s="24">
        <f>IF($A1180="","",COUNTIFS(NOVEDADES!$D$4:$D$1503,$A1180))</f>
        <v/>
      </c>
      <c r="P1180" s="28">
        <f>IF($A1180="","",IF(COUNTIFS(NOVEDADES!$D$4:$D$1503,$A1180,NOVEDADES!$O$4:$O$1503,"SÍ")&gt;0,"No","Sí"))</f>
        <v/>
      </c>
      <c r="Q1180" s="28">
        <f>IF(OR($A1180="",$L1180=""),"",IF(AND($N1180="Sí",$P1180="Sí"),"OTIF","Falló"))</f>
        <v/>
      </c>
    </row>
    <row r="1181" ht="16" customHeight="1">
      <c r="A1181" s="48" t="n"/>
      <c r="B1181" s="48" t="n"/>
      <c r="C1181" s="47" t="n"/>
      <c r="D1181" s="50" t="n"/>
      <c r="E1181" s="50" t="n"/>
      <c r="F1181" s="50" t="n"/>
      <c r="G1181" s="50" t="n"/>
      <c r="H1181" s="48" t="n"/>
      <c r="I1181" s="51" t="n"/>
      <c r="J1181" s="52" t="n"/>
      <c r="K1181" s="47" t="n"/>
      <c r="L1181" s="47" t="n"/>
      <c r="M1181" s="24">
        <f>IF(OR($A1181="",$C1181=""),"",IF($L1181&lt;&gt;"",$L1181-$C1181,TODAY()-$C1181))</f>
        <v/>
      </c>
      <c r="N1181" s="28">
        <f>IF(OR($A1181="",$K1181=""),"",IF($L1181="",IF(TODAY()&gt;$K1181,"Atrasado","En ruta"),IF($L1181&lt;=$K1181,"Sí","No")))</f>
        <v/>
      </c>
      <c r="O1181" s="24">
        <f>IF($A1181="","",COUNTIFS(NOVEDADES!$D$4:$D$1503,$A1181))</f>
        <v/>
      </c>
      <c r="P1181" s="28">
        <f>IF($A1181="","",IF(COUNTIFS(NOVEDADES!$D$4:$D$1503,$A1181,NOVEDADES!$O$4:$O$1503,"SÍ")&gt;0,"No","Sí"))</f>
        <v/>
      </c>
      <c r="Q1181" s="28">
        <f>IF(OR($A1181="",$L1181=""),"",IF(AND($N1181="Sí",$P1181="Sí"),"OTIF","Falló"))</f>
        <v/>
      </c>
    </row>
    <row r="1182" ht="16" customHeight="1">
      <c r="A1182" s="48" t="n"/>
      <c r="B1182" s="48" t="n"/>
      <c r="C1182" s="47" t="n"/>
      <c r="D1182" s="50" t="n"/>
      <c r="E1182" s="50" t="n"/>
      <c r="F1182" s="50" t="n"/>
      <c r="G1182" s="50" t="n"/>
      <c r="H1182" s="48" t="n"/>
      <c r="I1182" s="51" t="n"/>
      <c r="J1182" s="52" t="n"/>
      <c r="K1182" s="47" t="n"/>
      <c r="L1182" s="47" t="n"/>
      <c r="M1182" s="24">
        <f>IF(OR($A1182="",$C1182=""),"",IF($L1182&lt;&gt;"",$L1182-$C1182,TODAY()-$C1182))</f>
        <v/>
      </c>
      <c r="N1182" s="28">
        <f>IF(OR($A1182="",$K1182=""),"",IF($L1182="",IF(TODAY()&gt;$K1182,"Atrasado","En ruta"),IF($L1182&lt;=$K1182,"Sí","No")))</f>
        <v/>
      </c>
      <c r="O1182" s="24">
        <f>IF($A1182="","",COUNTIFS(NOVEDADES!$D$4:$D$1503,$A1182))</f>
        <v/>
      </c>
      <c r="P1182" s="28">
        <f>IF($A1182="","",IF(COUNTIFS(NOVEDADES!$D$4:$D$1503,$A1182,NOVEDADES!$O$4:$O$1503,"SÍ")&gt;0,"No","Sí"))</f>
        <v/>
      </c>
      <c r="Q1182" s="28">
        <f>IF(OR($A1182="",$L1182=""),"",IF(AND($N1182="Sí",$P1182="Sí"),"OTIF","Falló"))</f>
        <v/>
      </c>
    </row>
    <row r="1183" ht="16" customHeight="1">
      <c r="A1183" s="48" t="n"/>
      <c r="B1183" s="48" t="n"/>
      <c r="C1183" s="47" t="n"/>
      <c r="D1183" s="50" t="n"/>
      <c r="E1183" s="50" t="n"/>
      <c r="F1183" s="50" t="n"/>
      <c r="G1183" s="50" t="n"/>
      <c r="H1183" s="48" t="n"/>
      <c r="I1183" s="51" t="n"/>
      <c r="J1183" s="52" t="n"/>
      <c r="K1183" s="47" t="n"/>
      <c r="L1183" s="47" t="n"/>
      <c r="M1183" s="24">
        <f>IF(OR($A1183="",$C1183=""),"",IF($L1183&lt;&gt;"",$L1183-$C1183,TODAY()-$C1183))</f>
        <v/>
      </c>
      <c r="N1183" s="28">
        <f>IF(OR($A1183="",$K1183=""),"",IF($L1183="",IF(TODAY()&gt;$K1183,"Atrasado","En ruta"),IF($L1183&lt;=$K1183,"Sí","No")))</f>
        <v/>
      </c>
      <c r="O1183" s="24">
        <f>IF($A1183="","",COUNTIFS(NOVEDADES!$D$4:$D$1503,$A1183))</f>
        <v/>
      </c>
      <c r="P1183" s="28">
        <f>IF($A1183="","",IF(COUNTIFS(NOVEDADES!$D$4:$D$1503,$A1183,NOVEDADES!$O$4:$O$1503,"SÍ")&gt;0,"No","Sí"))</f>
        <v/>
      </c>
      <c r="Q1183" s="28">
        <f>IF(OR($A1183="",$L1183=""),"",IF(AND($N1183="Sí",$P1183="Sí"),"OTIF","Falló"))</f>
        <v/>
      </c>
    </row>
    <row r="1184" ht="16" customHeight="1">
      <c r="A1184" s="48" t="n"/>
      <c r="B1184" s="48" t="n"/>
      <c r="C1184" s="47" t="n"/>
      <c r="D1184" s="50" t="n"/>
      <c r="E1184" s="50" t="n"/>
      <c r="F1184" s="50" t="n"/>
      <c r="G1184" s="50" t="n"/>
      <c r="H1184" s="48" t="n"/>
      <c r="I1184" s="51" t="n"/>
      <c r="J1184" s="52" t="n"/>
      <c r="K1184" s="47" t="n"/>
      <c r="L1184" s="47" t="n"/>
      <c r="M1184" s="24">
        <f>IF(OR($A1184="",$C1184=""),"",IF($L1184&lt;&gt;"",$L1184-$C1184,TODAY()-$C1184))</f>
        <v/>
      </c>
      <c r="N1184" s="28">
        <f>IF(OR($A1184="",$K1184=""),"",IF($L1184="",IF(TODAY()&gt;$K1184,"Atrasado","En ruta"),IF($L1184&lt;=$K1184,"Sí","No")))</f>
        <v/>
      </c>
      <c r="O1184" s="24">
        <f>IF($A1184="","",COUNTIFS(NOVEDADES!$D$4:$D$1503,$A1184))</f>
        <v/>
      </c>
      <c r="P1184" s="28">
        <f>IF($A1184="","",IF(COUNTIFS(NOVEDADES!$D$4:$D$1503,$A1184,NOVEDADES!$O$4:$O$1503,"SÍ")&gt;0,"No","Sí"))</f>
        <v/>
      </c>
      <c r="Q1184" s="28">
        <f>IF(OR($A1184="",$L1184=""),"",IF(AND($N1184="Sí",$P1184="Sí"),"OTIF","Falló"))</f>
        <v/>
      </c>
    </row>
    <row r="1185" ht="16" customHeight="1">
      <c r="A1185" s="48" t="n"/>
      <c r="B1185" s="48" t="n"/>
      <c r="C1185" s="47" t="n"/>
      <c r="D1185" s="50" t="n"/>
      <c r="E1185" s="50" t="n"/>
      <c r="F1185" s="50" t="n"/>
      <c r="G1185" s="50" t="n"/>
      <c r="H1185" s="48" t="n"/>
      <c r="I1185" s="51" t="n"/>
      <c r="J1185" s="52" t="n"/>
      <c r="K1185" s="47" t="n"/>
      <c r="L1185" s="47" t="n"/>
      <c r="M1185" s="24">
        <f>IF(OR($A1185="",$C1185=""),"",IF($L1185&lt;&gt;"",$L1185-$C1185,TODAY()-$C1185))</f>
        <v/>
      </c>
      <c r="N1185" s="28">
        <f>IF(OR($A1185="",$K1185=""),"",IF($L1185="",IF(TODAY()&gt;$K1185,"Atrasado","En ruta"),IF($L1185&lt;=$K1185,"Sí","No")))</f>
        <v/>
      </c>
      <c r="O1185" s="24">
        <f>IF($A1185="","",COUNTIFS(NOVEDADES!$D$4:$D$1503,$A1185))</f>
        <v/>
      </c>
      <c r="P1185" s="28">
        <f>IF($A1185="","",IF(COUNTIFS(NOVEDADES!$D$4:$D$1503,$A1185,NOVEDADES!$O$4:$O$1503,"SÍ")&gt;0,"No","Sí"))</f>
        <v/>
      </c>
      <c r="Q1185" s="28">
        <f>IF(OR($A1185="",$L1185=""),"",IF(AND($N1185="Sí",$P1185="Sí"),"OTIF","Falló"))</f>
        <v/>
      </c>
    </row>
    <row r="1186" ht="16" customHeight="1">
      <c r="A1186" s="48" t="n"/>
      <c r="B1186" s="48" t="n"/>
      <c r="C1186" s="47" t="n"/>
      <c r="D1186" s="50" t="n"/>
      <c r="E1186" s="50" t="n"/>
      <c r="F1186" s="50" t="n"/>
      <c r="G1186" s="50" t="n"/>
      <c r="H1186" s="48" t="n"/>
      <c r="I1186" s="51" t="n"/>
      <c r="J1186" s="52" t="n"/>
      <c r="K1186" s="47" t="n"/>
      <c r="L1186" s="47" t="n"/>
      <c r="M1186" s="24">
        <f>IF(OR($A1186="",$C1186=""),"",IF($L1186&lt;&gt;"",$L1186-$C1186,TODAY()-$C1186))</f>
        <v/>
      </c>
      <c r="N1186" s="28">
        <f>IF(OR($A1186="",$K1186=""),"",IF($L1186="",IF(TODAY()&gt;$K1186,"Atrasado","En ruta"),IF($L1186&lt;=$K1186,"Sí","No")))</f>
        <v/>
      </c>
      <c r="O1186" s="24">
        <f>IF($A1186="","",COUNTIFS(NOVEDADES!$D$4:$D$1503,$A1186))</f>
        <v/>
      </c>
      <c r="P1186" s="28">
        <f>IF($A1186="","",IF(COUNTIFS(NOVEDADES!$D$4:$D$1503,$A1186,NOVEDADES!$O$4:$O$1503,"SÍ")&gt;0,"No","Sí"))</f>
        <v/>
      </c>
      <c r="Q1186" s="28">
        <f>IF(OR($A1186="",$L1186=""),"",IF(AND($N1186="Sí",$P1186="Sí"),"OTIF","Falló"))</f>
        <v/>
      </c>
    </row>
    <row r="1187" ht="16" customHeight="1">
      <c r="A1187" s="48" t="n"/>
      <c r="B1187" s="48" t="n"/>
      <c r="C1187" s="47" t="n"/>
      <c r="D1187" s="50" t="n"/>
      <c r="E1187" s="50" t="n"/>
      <c r="F1187" s="50" t="n"/>
      <c r="G1187" s="50" t="n"/>
      <c r="H1187" s="48" t="n"/>
      <c r="I1187" s="51" t="n"/>
      <c r="J1187" s="52" t="n"/>
      <c r="K1187" s="47" t="n"/>
      <c r="L1187" s="47" t="n"/>
      <c r="M1187" s="24">
        <f>IF(OR($A1187="",$C1187=""),"",IF($L1187&lt;&gt;"",$L1187-$C1187,TODAY()-$C1187))</f>
        <v/>
      </c>
      <c r="N1187" s="28">
        <f>IF(OR($A1187="",$K1187=""),"",IF($L1187="",IF(TODAY()&gt;$K1187,"Atrasado","En ruta"),IF($L1187&lt;=$K1187,"Sí","No")))</f>
        <v/>
      </c>
      <c r="O1187" s="24">
        <f>IF($A1187="","",COUNTIFS(NOVEDADES!$D$4:$D$1503,$A1187))</f>
        <v/>
      </c>
      <c r="P1187" s="28">
        <f>IF($A1187="","",IF(COUNTIFS(NOVEDADES!$D$4:$D$1503,$A1187,NOVEDADES!$O$4:$O$1503,"SÍ")&gt;0,"No","Sí"))</f>
        <v/>
      </c>
      <c r="Q1187" s="28">
        <f>IF(OR($A1187="",$L1187=""),"",IF(AND($N1187="Sí",$P1187="Sí"),"OTIF","Falló"))</f>
        <v/>
      </c>
    </row>
    <row r="1188" ht="16" customHeight="1">
      <c r="A1188" s="48" t="n"/>
      <c r="B1188" s="48" t="n"/>
      <c r="C1188" s="47" t="n"/>
      <c r="D1188" s="50" t="n"/>
      <c r="E1188" s="50" t="n"/>
      <c r="F1188" s="50" t="n"/>
      <c r="G1188" s="50" t="n"/>
      <c r="H1188" s="48" t="n"/>
      <c r="I1188" s="51" t="n"/>
      <c r="J1188" s="52" t="n"/>
      <c r="K1188" s="47" t="n"/>
      <c r="L1188" s="47" t="n"/>
      <c r="M1188" s="24">
        <f>IF(OR($A1188="",$C1188=""),"",IF($L1188&lt;&gt;"",$L1188-$C1188,TODAY()-$C1188))</f>
        <v/>
      </c>
      <c r="N1188" s="28">
        <f>IF(OR($A1188="",$K1188=""),"",IF($L1188="",IF(TODAY()&gt;$K1188,"Atrasado","En ruta"),IF($L1188&lt;=$K1188,"Sí","No")))</f>
        <v/>
      </c>
      <c r="O1188" s="24">
        <f>IF($A1188="","",COUNTIFS(NOVEDADES!$D$4:$D$1503,$A1188))</f>
        <v/>
      </c>
      <c r="P1188" s="28">
        <f>IF($A1188="","",IF(COUNTIFS(NOVEDADES!$D$4:$D$1503,$A1188,NOVEDADES!$O$4:$O$1503,"SÍ")&gt;0,"No","Sí"))</f>
        <v/>
      </c>
      <c r="Q1188" s="28">
        <f>IF(OR($A1188="",$L1188=""),"",IF(AND($N1188="Sí",$P1188="Sí"),"OTIF","Falló"))</f>
        <v/>
      </c>
    </row>
    <row r="1189" ht="16" customHeight="1">
      <c r="A1189" s="48" t="n"/>
      <c r="B1189" s="48" t="n"/>
      <c r="C1189" s="47" t="n"/>
      <c r="D1189" s="50" t="n"/>
      <c r="E1189" s="50" t="n"/>
      <c r="F1189" s="50" t="n"/>
      <c r="G1189" s="50" t="n"/>
      <c r="H1189" s="48" t="n"/>
      <c r="I1189" s="51" t="n"/>
      <c r="J1189" s="52" t="n"/>
      <c r="K1189" s="47" t="n"/>
      <c r="L1189" s="47" t="n"/>
      <c r="M1189" s="24">
        <f>IF(OR($A1189="",$C1189=""),"",IF($L1189&lt;&gt;"",$L1189-$C1189,TODAY()-$C1189))</f>
        <v/>
      </c>
      <c r="N1189" s="28">
        <f>IF(OR($A1189="",$K1189=""),"",IF($L1189="",IF(TODAY()&gt;$K1189,"Atrasado","En ruta"),IF($L1189&lt;=$K1189,"Sí","No")))</f>
        <v/>
      </c>
      <c r="O1189" s="24">
        <f>IF($A1189="","",COUNTIFS(NOVEDADES!$D$4:$D$1503,$A1189))</f>
        <v/>
      </c>
      <c r="P1189" s="28">
        <f>IF($A1189="","",IF(COUNTIFS(NOVEDADES!$D$4:$D$1503,$A1189,NOVEDADES!$O$4:$O$1503,"SÍ")&gt;0,"No","Sí"))</f>
        <v/>
      </c>
      <c r="Q1189" s="28">
        <f>IF(OR($A1189="",$L1189=""),"",IF(AND($N1189="Sí",$P1189="Sí"),"OTIF","Falló"))</f>
        <v/>
      </c>
    </row>
    <row r="1190" ht="16" customHeight="1">
      <c r="A1190" s="48" t="n"/>
      <c r="B1190" s="48" t="n"/>
      <c r="C1190" s="47" t="n"/>
      <c r="D1190" s="50" t="n"/>
      <c r="E1190" s="50" t="n"/>
      <c r="F1190" s="50" t="n"/>
      <c r="G1190" s="50" t="n"/>
      <c r="H1190" s="48" t="n"/>
      <c r="I1190" s="51" t="n"/>
      <c r="J1190" s="52" t="n"/>
      <c r="K1190" s="47" t="n"/>
      <c r="L1190" s="47" t="n"/>
      <c r="M1190" s="24">
        <f>IF(OR($A1190="",$C1190=""),"",IF($L1190&lt;&gt;"",$L1190-$C1190,TODAY()-$C1190))</f>
        <v/>
      </c>
      <c r="N1190" s="28">
        <f>IF(OR($A1190="",$K1190=""),"",IF($L1190="",IF(TODAY()&gt;$K1190,"Atrasado","En ruta"),IF($L1190&lt;=$K1190,"Sí","No")))</f>
        <v/>
      </c>
      <c r="O1190" s="24">
        <f>IF($A1190="","",COUNTIFS(NOVEDADES!$D$4:$D$1503,$A1190))</f>
        <v/>
      </c>
      <c r="P1190" s="28">
        <f>IF($A1190="","",IF(COUNTIFS(NOVEDADES!$D$4:$D$1503,$A1190,NOVEDADES!$O$4:$O$1503,"SÍ")&gt;0,"No","Sí"))</f>
        <v/>
      </c>
      <c r="Q1190" s="28">
        <f>IF(OR($A1190="",$L1190=""),"",IF(AND($N1190="Sí",$P1190="Sí"),"OTIF","Falló"))</f>
        <v/>
      </c>
    </row>
    <row r="1191" ht="16" customHeight="1">
      <c r="A1191" s="48" t="n"/>
      <c r="B1191" s="48" t="n"/>
      <c r="C1191" s="47" t="n"/>
      <c r="D1191" s="50" t="n"/>
      <c r="E1191" s="50" t="n"/>
      <c r="F1191" s="50" t="n"/>
      <c r="G1191" s="50" t="n"/>
      <c r="H1191" s="48" t="n"/>
      <c r="I1191" s="51" t="n"/>
      <c r="J1191" s="52" t="n"/>
      <c r="K1191" s="47" t="n"/>
      <c r="L1191" s="47" t="n"/>
      <c r="M1191" s="24">
        <f>IF(OR($A1191="",$C1191=""),"",IF($L1191&lt;&gt;"",$L1191-$C1191,TODAY()-$C1191))</f>
        <v/>
      </c>
      <c r="N1191" s="28">
        <f>IF(OR($A1191="",$K1191=""),"",IF($L1191="",IF(TODAY()&gt;$K1191,"Atrasado","En ruta"),IF($L1191&lt;=$K1191,"Sí","No")))</f>
        <v/>
      </c>
      <c r="O1191" s="24">
        <f>IF($A1191="","",COUNTIFS(NOVEDADES!$D$4:$D$1503,$A1191))</f>
        <v/>
      </c>
      <c r="P1191" s="28">
        <f>IF($A1191="","",IF(COUNTIFS(NOVEDADES!$D$4:$D$1503,$A1191,NOVEDADES!$O$4:$O$1503,"SÍ")&gt;0,"No","Sí"))</f>
        <v/>
      </c>
      <c r="Q1191" s="28">
        <f>IF(OR($A1191="",$L1191=""),"",IF(AND($N1191="Sí",$P1191="Sí"),"OTIF","Falló"))</f>
        <v/>
      </c>
    </row>
    <row r="1192" ht="16" customHeight="1">
      <c r="A1192" s="48" t="n"/>
      <c r="B1192" s="48" t="n"/>
      <c r="C1192" s="47" t="n"/>
      <c r="D1192" s="50" t="n"/>
      <c r="E1192" s="50" t="n"/>
      <c r="F1192" s="50" t="n"/>
      <c r="G1192" s="50" t="n"/>
      <c r="H1192" s="48" t="n"/>
      <c r="I1192" s="51" t="n"/>
      <c r="J1192" s="52" t="n"/>
      <c r="K1192" s="47" t="n"/>
      <c r="L1192" s="47" t="n"/>
      <c r="M1192" s="24">
        <f>IF(OR($A1192="",$C1192=""),"",IF($L1192&lt;&gt;"",$L1192-$C1192,TODAY()-$C1192))</f>
        <v/>
      </c>
      <c r="N1192" s="28">
        <f>IF(OR($A1192="",$K1192=""),"",IF($L1192="",IF(TODAY()&gt;$K1192,"Atrasado","En ruta"),IF($L1192&lt;=$K1192,"Sí","No")))</f>
        <v/>
      </c>
      <c r="O1192" s="24">
        <f>IF($A1192="","",COUNTIFS(NOVEDADES!$D$4:$D$1503,$A1192))</f>
        <v/>
      </c>
      <c r="P1192" s="28">
        <f>IF($A1192="","",IF(COUNTIFS(NOVEDADES!$D$4:$D$1503,$A1192,NOVEDADES!$O$4:$O$1503,"SÍ")&gt;0,"No","Sí"))</f>
        <v/>
      </c>
      <c r="Q1192" s="28">
        <f>IF(OR($A1192="",$L1192=""),"",IF(AND($N1192="Sí",$P1192="Sí"),"OTIF","Falló"))</f>
        <v/>
      </c>
    </row>
    <row r="1193" ht="16" customHeight="1">
      <c r="A1193" s="48" t="n"/>
      <c r="B1193" s="48" t="n"/>
      <c r="C1193" s="47" t="n"/>
      <c r="D1193" s="50" t="n"/>
      <c r="E1193" s="50" t="n"/>
      <c r="F1193" s="50" t="n"/>
      <c r="G1193" s="50" t="n"/>
      <c r="H1193" s="48" t="n"/>
      <c r="I1193" s="51" t="n"/>
      <c r="J1193" s="52" t="n"/>
      <c r="K1193" s="47" t="n"/>
      <c r="L1193" s="47" t="n"/>
      <c r="M1193" s="24">
        <f>IF(OR($A1193="",$C1193=""),"",IF($L1193&lt;&gt;"",$L1193-$C1193,TODAY()-$C1193))</f>
        <v/>
      </c>
      <c r="N1193" s="28">
        <f>IF(OR($A1193="",$K1193=""),"",IF($L1193="",IF(TODAY()&gt;$K1193,"Atrasado","En ruta"),IF($L1193&lt;=$K1193,"Sí","No")))</f>
        <v/>
      </c>
      <c r="O1193" s="24">
        <f>IF($A1193="","",COUNTIFS(NOVEDADES!$D$4:$D$1503,$A1193))</f>
        <v/>
      </c>
      <c r="P1193" s="28">
        <f>IF($A1193="","",IF(COUNTIFS(NOVEDADES!$D$4:$D$1503,$A1193,NOVEDADES!$O$4:$O$1503,"SÍ")&gt;0,"No","Sí"))</f>
        <v/>
      </c>
      <c r="Q1193" s="28">
        <f>IF(OR($A1193="",$L1193=""),"",IF(AND($N1193="Sí",$P1193="Sí"),"OTIF","Falló"))</f>
        <v/>
      </c>
    </row>
    <row r="1194" ht="16" customHeight="1">
      <c r="A1194" s="48" t="n"/>
      <c r="B1194" s="48" t="n"/>
      <c r="C1194" s="47" t="n"/>
      <c r="D1194" s="50" t="n"/>
      <c r="E1194" s="50" t="n"/>
      <c r="F1194" s="50" t="n"/>
      <c r="G1194" s="50" t="n"/>
      <c r="H1194" s="48" t="n"/>
      <c r="I1194" s="51" t="n"/>
      <c r="J1194" s="52" t="n"/>
      <c r="K1194" s="47" t="n"/>
      <c r="L1194" s="47" t="n"/>
      <c r="M1194" s="24">
        <f>IF(OR($A1194="",$C1194=""),"",IF($L1194&lt;&gt;"",$L1194-$C1194,TODAY()-$C1194))</f>
        <v/>
      </c>
      <c r="N1194" s="28">
        <f>IF(OR($A1194="",$K1194=""),"",IF($L1194="",IF(TODAY()&gt;$K1194,"Atrasado","En ruta"),IF($L1194&lt;=$K1194,"Sí","No")))</f>
        <v/>
      </c>
      <c r="O1194" s="24">
        <f>IF($A1194="","",COUNTIFS(NOVEDADES!$D$4:$D$1503,$A1194))</f>
        <v/>
      </c>
      <c r="P1194" s="28">
        <f>IF($A1194="","",IF(COUNTIFS(NOVEDADES!$D$4:$D$1503,$A1194,NOVEDADES!$O$4:$O$1503,"SÍ")&gt;0,"No","Sí"))</f>
        <v/>
      </c>
      <c r="Q1194" s="28">
        <f>IF(OR($A1194="",$L1194=""),"",IF(AND($N1194="Sí",$P1194="Sí"),"OTIF","Falló"))</f>
        <v/>
      </c>
    </row>
    <row r="1195" ht="16" customHeight="1">
      <c r="A1195" s="48" t="n"/>
      <c r="B1195" s="48" t="n"/>
      <c r="C1195" s="47" t="n"/>
      <c r="D1195" s="50" t="n"/>
      <c r="E1195" s="50" t="n"/>
      <c r="F1195" s="50" t="n"/>
      <c r="G1195" s="50" t="n"/>
      <c r="H1195" s="48" t="n"/>
      <c r="I1195" s="51" t="n"/>
      <c r="J1195" s="52" t="n"/>
      <c r="K1195" s="47" t="n"/>
      <c r="L1195" s="47" t="n"/>
      <c r="M1195" s="24">
        <f>IF(OR($A1195="",$C1195=""),"",IF($L1195&lt;&gt;"",$L1195-$C1195,TODAY()-$C1195))</f>
        <v/>
      </c>
      <c r="N1195" s="28">
        <f>IF(OR($A1195="",$K1195=""),"",IF($L1195="",IF(TODAY()&gt;$K1195,"Atrasado","En ruta"),IF($L1195&lt;=$K1195,"Sí","No")))</f>
        <v/>
      </c>
      <c r="O1195" s="24">
        <f>IF($A1195="","",COUNTIFS(NOVEDADES!$D$4:$D$1503,$A1195))</f>
        <v/>
      </c>
      <c r="P1195" s="28">
        <f>IF($A1195="","",IF(COUNTIFS(NOVEDADES!$D$4:$D$1503,$A1195,NOVEDADES!$O$4:$O$1503,"SÍ")&gt;0,"No","Sí"))</f>
        <v/>
      </c>
      <c r="Q1195" s="28">
        <f>IF(OR($A1195="",$L1195=""),"",IF(AND($N1195="Sí",$P1195="Sí"),"OTIF","Falló"))</f>
        <v/>
      </c>
    </row>
    <row r="1196" ht="16" customHeight="1">
      <c r="A1196" s="48" t="n"/>
      <c r="B1196" s="48" t="n"/>
      <c r="C1196" s="47" t="n"/>
      <c r="D1196" s="50" t="n"/>
      <c r="E1196" s="50" t="n"/>
      <c r="F1196" s="50" t="n"/>
      <c r="G1196" s="50" t="n"/>
      <c r="H1196" s="48" t="n"/>
      <c r="I1196" s="51" t="n"/>
      <c r="J1196" s="52" t="n"/>
      <c r="K1196" s="47" t="n"/>
      <c r="L1196" s="47" t="n"/>
      <c r="M1196" s="24">
        <f>IF(OR($A1196="",$C1196=""),"",IF($L1196&lt;&gt;"",$L1196-$C1196,TODAY()-$C1196))</f>
        <v/>
      </c>
      <c r="N1196" s="28">
        <f>IF(OR($A1196="",$K1196=""),"",IF($L1196="",IF(TODAY()&gt;$K1196,"Atrasado","En ruta"),IF($L1196&lt;=$K1196,"Sí","No")))</f>
        <v/>
      </c>
      <c r="O1196" s="24">
        <f>IF($A1196="","",COUNTIFS(NOVEDADES!$D$4:$D$1503,$A1196))</f>
        <v/>
      </c>
      <c r="P1196" s="28">
        <f>IF($A1196="","",IF(COUNTIFS(NOVEDADES!$D$4:$D$1503,$A1196,NOVEDADES!$O$4:$O$1503,"SÍ")&gt;0,"No","Sí"))</f>
        <v/>
      </c>
      <c r="Q1196" s="28">
        <f>IF(OR($A1196="",$L1196=""),"",IF(AND($N1196="Sí",$P1196="Sí"),"OTIF","Falló"))</f>
        <v/>
      </c>
    </row>
    <row r="1197" ht="16" customHeight="1">
      <c r="A1197" s="48" t="n"/>
      <c r="B1197" s="48" t="n"/>
      <c r="C1197" s="47" t="n"/>
      <c r="D1197" s="50" t="n"/>
      <c r="E1197" s="50" t="n"/>
      <c r="F1197" s="50" t="n"/>
      <c r="G1197" s="50" t="n"/>
      <c r="H1197" s="48" t="n"/>
      <c r="I1197" s="51" t="n"/>
      <c r="J1197" s="52" t="n"/>
      <c r="K1197" s="47" t="n"/>
      <c r="L1197" s="47" t="n"/>
      <c r="M1197" s="24">
        <f>IF(OR($A1197="",$C1197=""),"",IF($L1197&lt;&gt;"",$L1197-$C1197,TODAY()-$C1197))</f>
        <v/>
      </c>
      <c r="N1197" s="28">
        <f>IF(OR($A1197="",$K1197=""),"",IF($L1197="",IF(TODAY()&gt;$K1197,"Atrasado","En ruta"),IF($L1197&lt;=$K1197,"Sí","No")))</f>
        <v/>
      </c>
      <c r="O1197" s="24">
        <f>IF($A1197="","",COUNTIFS(NOVEDADES!$D$4:$D$1503,$A1197))</f>
        <v/>
      </c>
      <c r="P1197" s="28">
        <f>IF($A1197="","",IF(COUNTIFS(NOVEDADES!$D$4:$D$1503,$A1197,NOVEDADES!$O$4:$O$1503,"SÍ")&gt;0,"No","Sí"))</f>
        <v/>
      </c>
      <c r="Q1197" s="28">
        <f>IF(OR($A1197="",$L1197=""),"",IF(AND($N1197="Sí",$P1197="Sí"),"OTIF","Falló"))</f>
        <v/>
      </c>
    </row>
    <row r="1198" ht="16" customHeight="1">
      <c r="A1198" s="48" t="n"/>
      <c r="B1198" s="48" t="n"/>
      <c r="C1198" s="47" t="n"/>
      <c r="D1198" s="50" t="n"/>
      <c r="E1198" s="50" t="n"/>
      <c r="F1198" s="50" t="n"/>
      <c r="G1198" s="50" t="n"/>
      <c r="H1198" s="48" t="n"/>
      <c r="I1198" s="51" t="n"/>
      <c r="J1198" s="52" t="n"/>
      <c r="K1198" s="47" t="n"/>
      <c r="L1198" s="47" t="n"/>
      <c r="M1198" s="24">
        <f>IF(OR($A1198="",$C1198=""),"",IF($L1198&lt;&gt;"",$L1198-$C1198,TODAY()-$C1198))</f>
        <v/>
      </c>
      <c r="N1198" s="28">
        <f>IF(OR($A1198="",$K1198=""),"",IF($L1198="",IF(TODAY()&gt;$K1198,"Atrasado","En ruta"),IF($L1198&lt;=$K1198,"Sí","No")))</f>
        <v/>
      </c>
      <c r="O1198" s="24">
        <f>IF($A1198="","",COUNTIFS(NOVEDADES!$D$4:$D$1503,$A1198))</f>
        <v/>
      </c>
      <c r="P1198" s="28">
        <f>IF($A1198="","",IF(COUNTIFS(NOVEDADES!$D$4:$D$1503,$A1198,NOVEDADES!$O$4:$O$1503,"SÍ")&gt;0,"No","Sí"))</f>
        <v/>
      </c>
      <c r="Q1198" s="28">
        <f>IF(OR($A1198="",$L1198=""),"",IF(AND($N1198="Sí",$P1198="Sí"),"OTIF","Falló"))</f>
        <v/>
      </c>
    </row>
    <row r="1199" ht="16" customHeight="1">
      <c r="A1199" s="48" t="n"/>
      <c r="B1199" s="48" t="n"/>
      <c r="C1199" s="47" t="n"/>
      <c r="D1199" s="50" t="n"/>
      <c r="E1199" s="50" t="n"/>
      <c r="F1199" s="50" t="n"/>
      <c r="G1199" s="50" t="n"/>
      <c r="H1199" s="48" t="n"/>
      <c r="I1199" s="51" t="n"/>
      <c r="J1199" s="52" t="n"/>
      <c r="K1199" s="47" t="n"/>
      <c r="L1199" s="47" t="n"/>
      <c r="M1199" s="24">
        <f>IF(OR($A1199="",$C1199=""),"",IF($L1199&lt;&gt;"",$L1199-$C1199,TODAY()-$C1199))</f>
        <v/>
      </c>
      <c r="N1199" s="28">
        <f>IF(OR($A1199="",$K1199=""),"",IF($L1199="",IF(TODAY()&gt;$K1199,"Atrasado","En ruta"),IF($L1199&lt;=$K1199,"Sí","No")))</f>
        <v/>
      </c>
      <c r="O1199" s="24">
        <f>IF($A1199="","",COUNTIFS(NOVEDADES!$D$4:$D$1503,$A1199))</f>
        <v/>
      </c>
      <c r="P1199" s="28">
        <f>IF($A1199="","",IF(COUNTIFS(NOVEDADES!$D$4:$D$1503,$A1199,NOVEDADES!$O$4:$O$1503,"SÍ")&gt;0,"No","Sí"))</f>
        <v/>
      </c>
      <c r="Q1199" s="28">
        <f>IF(OR($A1199="",$L1199=""),"",IF(AND($N1199="Sí",$P1199="Sí"),"OTIF","Falló"))</f>
        <v/>
      </c>
    </row>
    <row r="1200" ht="16" customHeight="1">
      <c r="A1200" s="48" t="n"/>
      <c r="B1200" s="48" t="n"/>
      <c r="C1200" s="47" t="n"/>
      <c r="D1200" s="50" t="n"/>
      <c r="E1200" s="50" t="n"/>
      <c r="F1200" s="50" t="n"/>
      <c r="G1200" s="50" t="n"/>
      <c r="H1200" s="48" t="n"/>
      <c r="I1200" s="51" t="n"/>
      <c r="J1200" s="52" t="n"/>
      <c r="K1200" s="47" t="n"/>
      <c r="L1200" s="47" t="n"/>
      <c r="M1200" s="24">
        <f>IF(OR($A1200="",$C1200=""),"",IF($L1200&lt;&gt;"",$L1200-$C1200,TODAY()-$C1200))</f>
        <v/>
      </c>
      <c r="N1200" s="28">
        <f>IF(OR($A1200="",$K1200=""),"",IF($L1200="",IF(TODAY()&gt;$K1200,"Atrasado","En ruta"),IF($L1200&lt;=$K1200,"Sí","No")))</f>
        <v/>
      </c>
      <c r="O1200" s="24">
        <f>IF($A1200="","",COUNTIFS(NOVEDADES!$D$4:$D$1503,$A1200))</f>
        <v/>
      </c>
      <c r="P1200" s="28">
        <f>IF($A1200="","",IF(COUNTIFS(NOVEDADES!$D$4:$D$1503,$A1200,NOVEDADES!$O$4:$O$1503,"SÍ")&gt;0,"No","Sí"))</f>
        <v/>
      </c>
      <c r="Q1200" s="28">
        <f>IF(OR($A1200="",$L1200=""),"",IF(AND($N1200="Sí",$P1200="Sí"),"OTIF","Falló"))</f>
        <v/>
      </c>
    </row>
    <row r="1201" ht="16" customHeight="1">
      <c r="A1201" s="48" t="n"/>
      <c r="B1201" s="48" t="n"/>
      <c r="C1201" s="47" t="n"/>
      <c r="D1201" s="50" t="n"/>
      <c r="E1201" s="50" t="n"/>
      <c r="F1201" s="50" t="n"/>
      <c r="G1201" s="50" t="n"/>
      <c r="H1201" s="48" t="n"/>
      <c r="I1201" s="51" t="n"/>
      <c r="J1201" s="52" t="n"/>
      <c r="K1201" s="47" t="n"/>
      <c r="L1201" s="47" t="n"/>
      <c r="M1201" s="24">
        <f>IF(OR($A1201="",$C1201=""),"",IF($L1201&lt;&gt;"",$L1201-$C1201,TODAY()-$C1201))</f>
        <v/>
      </c>
      <c r="N1201" s="28">
        <f>IF(OR($A1201="",$K1201=""),"",IF($L1201="",IF(TODAY()&gt;$K1201,"Atrasado","En ruta"),IF($L1201&lt;=$K1201,"Sí","No")))</f>
        <v/>
      </c>
      <c r="O1201" s="24">
        <f>IF($A1201="","",COUNTIFS(NOVEDADES!$D$4:$D$1503,$A1201))</f>
        <v/>
      </c>
      <c r="P1201" s="28">
        <f>IF($A1201="","",IF(COUNTIFS(NOVEDADES!$D$4:$D$1503,$A1201,NOVEDADES!$O$4:$O$1503,"SÍ")&gt;0,"No","Sí"))</f>
        <v/>
      </c>
      <c r="Q1201" s="28">
        <f>IF(OR($A1201="",$L1201=""),"",IF(AND($N1201="Sí",$P1201="Sí"),"OTIF","Falló"))</f>
        <v/>
      </c>
    </row>
    <row r="1202" ht="16" customHeight="1">
      <c r="A1202" s="48" t="n"/>
      <c r="B1202" s="48" t="n"/>
      <c r="C1202" s="47" t="n"/>
      <c r="D1202" s="50" t="n"/>
      <c r="E1202" s="50" t="n"/>
      <c r="F1202" s="50" t="n"/>
      <c r="G1202" s="50" t="n"/>
      <c r="H1202" s="48" t="n"/>
      <c r="I1202" s="51" t="n"/>
      <c r="J1202" s="52" t="n"/>
      <c r="K1202" s="47" t="n"/>
      <c r="L1202" s="47" t="n"/>
      <c r="M1202" s="24">
        <f>IF(OR($A1202="",$C1202=""),"",IF($L1202&lt;&gt;"",$L1202-$C1202,TODAY()-$C1202))</f>
        <v/>
      </c>
      <c r="N1202" s="28">
        <f>IF(OR($A1202="",$K1202=""),"",IF($L1202="",IF(TODAY()&gt;$K1202,"Atrasado","En ruta"),IF($L1202&lt;=$K1202,"Sí","No")))</f>
        <v/>
      </c>
      <c r="O1202" s="24">
        <f>IF($A1202="","",COUNTIFS(NOVEDADES!$D$4:$D$1503,$A1202))</f>
        <v/>
      </c>
      <c r="P1202" s="28">
        <f>IF($A1202="","",IF(COUNTIFS(NOVEDADES!$D$4:$D$1503,$A1202,NOVEDADES!$O$4:$O$1503,"SÍ")&gt;0,"No","Sí"))</f>
        <v/>
      </c>
      <c r="Q1202" s="28">
        <f>IF(OR($A1202="",$L1202=""),"",IF(AND($N1202="Sí",$P1202="Sí"),"OTIF","Falló"))</f>
        <v/>
      </c>
    </row>
    <row r="1203" ht="16" customHeight="1">
      <c r="A1203" s="48" t="n"/>
      <c r="B1203" s="48" t="n"/>
      <c r="C1203" s="47" t="n"/>
      <c r="D1203" s="50" t="n"/>
      <c r="E1203" s="50" t="n"/>
      <c r="F1203" s="50" t="n"/>
      <c r="G1203" s="50" t="n"/>
      <c r="H1203" s="48" t="n"/>
      <c r="I1203" s="51" t="n"/>
      <c r="J1203" s="52" t="n"/>
      <c r="K1203" s="47" t="n"/>
      <c r="L1203" s="47" t="n"/>
      <c r="M1203" s="24">
        <f>IF(OR($A1203="",$C1203=""),"",IF($L1203&lt;&gt;"",$L1203-$C1203,TODAY()-$C1203))</f>
        <v/>
      </c>
      <c r="N1203" s="28">
        <f>IF(OR($A1203="",$K1203=""),"",IF($L1203="",IF(TODAY()&gt;$K1203,"Atrasado","En ruta"),IF($L1203&lt;=$K1203,"Sí","No")))</f>
        <v/>
      </c>
      <c r="O1203" s="24">
        <f>IF($A1203="","",COUNTIFS(NOVEDADES!$D$4:$D$1503,$A1203))</f>
        <v/>
      </c>
      <c r="P1203" s="28">
        <f>IF($A1203="","",IF(COUNTIFS(NOVEDADES!$D$4:$D$1503,$A1203,NOVEDADES!$O$4:$O$1503,"SÍ")&gt;0,"No","Sí"))</f>
        <v/>
      </c>
      <c r="Q1203" s="28">
        <f>IF(OR($A1203="",$L1203=""),"",IF(AND($N1203="Sí",$P1203="Sí"),"OTIF","Falló"))</f>
        <v/>
      </c>
    </row>
    <row r="1204" ht="16" customHeight="1">
      <c r="A1204" s="48" t="n"/>
      <c r="B1204" s="48" t="n"/>
      <c r="C1204" s="47" t="n"/>
      <c r="D1204" s="50" t="n"/>
      <c r="E1204" s="50" t="n"/>
      <c r="F1204" s="50" t="n"/>
      <c r="G1204" s="50" t="n"/>
      <c r="H1204" s="48" t="n"/>
      <c r="I1204" s="51" t="n"/>
      <c r="J1204" s="52" t="n"/>
      <c r="K1204" s="47" t="n"/>
      <c r="L1204" s="47" t="n"/>
      <c r="M1204" s="24">
        <f>IF(OR($A1204="",$C1204=""),"",IF($L1204&lt;&gt;"",$L1204-$C1204,TODAY()-$C1204))</f>
        <v/>
      </c>
      <c r="N1204" s="28">
        <f>IF(OR($A1204="",$K1204=""),"",IF($L1204="",IF(TODAY()&gt;$K1204,"Atrasado","En ruta"),IF($L1204&lt;=$K1204,"Sí","No")))</f>
        <v/>
      </c>
      <c r="O1204" s="24">
        <f>IF($A1204="","",COUNTIFS(NOVEDADES!$D$4:$D$1503,$A1204))</f>
        <v/>
      </c>
      <c r="P1204" s="28">
        <f>IF($A1204="","",IF(COUNTIFS(NOVEDADES!$D$4:$D$1503,$A1204,NOVEDADES!$O$4:$O$1503,"SÍ")&gt;0,"No","Sí"))</f>
        <v/>
      </c>
      <c r="Q1204" s="28">
        <f>IF(OR($A1204="",$L1204=""),"",IF(AND($N1204="Sí",$P1204="Sí"),"OTIF","Falló"))</f>
        <v/>
      </c>
    </row>
    <row r="1205" ht="16" customHeight="1">
      <c r="A1205" s="48" t="n"/>
      <c r="B1205" s="48" t="n"/>
      <c r="C1205" s="47" t="n"/>
      <c r="D1205" s="50" t="n"/>
      <c r="E1205" s="50" t="n"/>
      <c r="F1205" s="50" t="n"/>
      <c r="G1205" s="50" t="n"/>
      <c r="H1205" s="48" t="n"/>
      <c r="I1205" s="51" t="n"/>
      <c r="J1205" s="52" t="n"/>
      <c r="K1205" s="47" t="n"/>
      <c r="L1205" s="47" t="n"/>
      <c r="M1205" s="24">
        <f>IF(OR($A1205="",$C1205=""),"",IF($L1205&lt;&gt;"",$L1205-$C1205,TODAY()-$C1205))</f>
        <v/>
      </c>
      <c r="N1205" s="28">
        <f>IF(OR($A1205="",$K1205=""),"",IF($L1205="",IF(TODAY()&gt;$K1205,"Atrasado","En ruta"),IF($L1205&lt;=$K1205,"Sí","No")))</f>
        <v/>
      </c>
      <c r="O1205" s="24">
        <f>IF($A1205="","",COUNTIFS(NOVEDADES!$D$4:$D$1503,$A1205))</f>
        <v/>
      </c>
      <c r="P1205" s="28">
        <f>IF($A1205="","",IF(COUNTIFS(NOVEDADES!$D$4:$D$1503,$A1205,NOVEDADES!$O$4:$O$1503,"SÍ")&gt;0,"No","Sí"))</f>
        <v/>
      </c>
      <c r="Q1205" s="28">
        <f>IF(OR($A1205="",$L1205=""),"",IF(AND($N1205="Sí",$P1205="Sí"),"OTIF","Falló"))</f>
        <v/>
      </c>
    </row>
    <row r="1206" ht="16" customHeight="1">
      <c r="A1206" s="48" t="n"/>
      <c r="B1206" s="48" t="n"/>
      <c r="C1206" s="47" t="n"/>
      <c r="D1206" s="50" t="n"/>
      <c r="E1206" s="50" t="n"/>
      <c r="F1206" s="50" t="n"/>
      <c r="G1206" s="50" t="n"/>
      <c r="H1206" s="48" t="n"/>
      <c r="I1206" s="51" t="n"/>
      <c r="J1206" s="52" t="n"/>
      <c r="K1206" s="47" t="n"/>
      <c r="L1206" s="47" t="n"/>
      <c r="M1206" s="24">
        <f>IF(OR($A1206="",$C1206=""),"",IF($L1206&lt;&gt;"",$L1206-$C1206,TODAY()-$C1206))</f>
        <v/>
      </c>
      <c r="N1206" s="28">
        <f>IF(OR($A1206="",$K1206=""),"",IF($L1206="",IF(TODAY()&gt;$K1206,"Atrasado","En ruta"),IF($L1206&lt;=$K1206,"Sí","No")))</f>
        <v/>
      </c>
      <c r="O1206" s="24">
        <f>IF($A1206="","",COUNTIFS(NOVEDADES!$D$4:$D$1503,$A1206))</f>
        <v/>
      </c>
      <c r="P1206" s="28">
        <f>IF($A1206="","",IF(COUNTIFS(NOVEDADES!$D$4:$D$1503,$A1206,NOVEDADES!$O$4:$O$1503,"SÍ")&gt;0,"No","Sí"))</f>
        <v/>
      </c>
      <c r="Q1206" s="28">
        <f>IF(OR($A1206="",$L1206=""),"",IF(AND($N1206="Sí",$P1206="Sí"),"OTIF","Falló"))</f>
        <v/>
      </c>
    </row>
    <row r="1207" ht="16" customHeight="1">
      <c r="A1207" s="48" t="n"/>
      <c r="B1207" s="48" t="n"/>
      <c r="C1207" s="47" t="n"/>
      <c r="D1207" s="50" t="n"/>
      <c r="E1207" s="50" t="n"/>
      <c r="F1207" s="50" t="n"/>
      <c r="G1207" s="50" t="n"/>
      <c r="H1207" s="48" t="n"/>
      <c r="I1207" s="51" t="n"/>
      <c r="J1207" s="52" t="n"/>
      <c r="K1207" s="47" t="n"/>
      <c r="L1207" s="47" t="n"/>
      <c r="M1207" s="24">
        <f>IF(OR($A1207="",$C1207=""),"",IF($L1207&lt;&gt;"",$L1207-$C1207,TODAY()-$C1207))</f>
        <v/>
      </c>
      <c r="N1207" s="28">
        <f>IF(OR($A1207="",$K1207=""),"",IF($L1207="",IF(TODAY()&gt;$K1207,"Atrasado","En ruta"),IF($L1207&lt;=$K1207,"Sí","No")))</f>
        <v/>
      </c>
      <c r="O1207" s="24">
        <f>IF($A1207="","",COUNTIFS(NOVEDADES!$D$4:$D$1503,$A1207))</f>
        <v/>
      </c>
      <c r="P1207" s="28">
        <f>IF($A1207="","",IF(COUNTIFS(NOVEDADES!$D$4:$D$1503,$A1207,NOVEDADES!$O$4:$O$1503,"SÍ")&gt;0,"No","Sí"))</f>
        <v/>
      </c>
      <c r="Q1207" s="28">
        <f>IF(OR($A1207="",$L1207=""),"",IF(AND($N1207="Sí",$P1207="Sí"),"OTIF","Falló"))</f>
        <v/>
      </c>
    </row>
    <row r="1208" ht="16" customHeight="1">
      <c r="A1208" s="48" t="n"/>
      <c r="B1208" s="48" t="n"/>
      <c r="C1208" s="47" t="n"/>
      <c r="D1208" s="50" t="n"/>
      <c r="E1208" s="50" t="n"/>
      <c r="F1208" s="50" t="n"/>
      <c r="G1208" s="50" t="n"/>
      <c r="H1208" s="48" t="n"/>
      <c r="I1208" s="51" t="n"/>
      <c r="J1208" s="52" t="n"/>
      <c r="K1208" s="47" t="n"/>
      <c r="L1208" s="47" t="n"/>
      <c r="M1208" s="24">
        <f>IF(OR($A1208="",$C1208=""),"",IF($L1208&lt;&gt;"",$L1208-$C1208,TODAY()-$C1208))</f>
        <v/>
      </c>
      <c r="N1208" s="28">
        <f>IF(OR($A1208="",$K1208=""),"",IF($L1208="",IF(TODAY()&gt;$K1208,"Atrasado","En ruta"),IF($L1208&lt;=$K1208,"Sí","No")))</f>
        <v/>
      </c>
      <c r="O1208" s="24">
        <f>IF($A1208="","",COUNTIFS(NOVEDADES!$D$4:$D$1503,$A1208))</f>
        <v/>
      </c>
      <c r="P1208" s="28">
        <f>IF($A1208="","",IF(COUNTIFS(NOVEDADES!$D$4:$D$1503,$A1208,NOVEDADES!$O$4:$O$1503,"SÍ")&gt;0,"No","Sí"))</f>
        <v/>
      </c>
      <c r="Q1208" s="28">
        <f>IF(OR($A1208="",$L1208=""),"",IF(AND($N1208="Sí",$P1208="Sí"),"OTIF","Falló"))</f>
        <v/>
      </c>
    </row>
    <row r="1209" ht="16" customHeight="1">
      <c r="A1209" s="48" t="n"/>
      <c r="B1209" s="48" t="n"/>
      <c r="C1209" s="47" t="n"/>
      <c r="D1209" s="50" t="n"/>
      <c r="E1209" s="50" t="n"/>
      <c r="F1209" s="50" t="n"/>
      <c r="G1209" s="50" t="n"/>
      <c r="H1209" s="48" t="n"/>
      <c r="I1209" s="51" t="n"/>
      <c r="J1209" s="52" t="n"/>
      <c r="K1209" s="47" t="n"/>
      <c r="L1209" s="47" t="n"/>
      <c r="M1209" s="24">
        <f>IF(OR($A1209="",$C1209=""),"",IF($L1209&lt;&gt;"",$L1209-$C1209,TODAY()-$C1209))</f>
        <v/>
      </c>
      <c r="N1209" s="28">
        <f>IF(OR($A1209="",$K1209=""),"",IF($L1209="",IF(TODAY()&gt;$K1209,"Atrasado","En ruta"),IF($L1209&lt;=$K1209,"Sí","No")))</f>
        <v/>
      </c>
      <c r="O1209" s="24">
        <f>IF($A1209="","",COUNTIFS(NOVEDADES!$D$4:$D$1503,$A1209))</f>
        <v/>
      </c>
      <c r="P1209" s="28">
        <f>IF($A1209="","",IF(COUNTIFS(NOVEDADES!$D$4:$D$1503,$A1209,NOVEDADES!$O$4:$O$1503,"SÍ")&gt;0,"No","Sí"))</f>
        <v/>
      </c>
      <c r="Q1209" s="28">
        <f>IF(OR($A1209="",$L1209=""),"",IF(AND($N1209="Sí",$P1209="Sí"),"OTIF","Falló"))</f>
        <v/>
      </c>
    </row>
    <row r="1210" ht="16" customHeight="1">
      <c r="A1210" s="48" t="n"/>
      <c r="B1210" s="48" t="n"/>
      <c r="C1210" s="47" t="n"/>
      <c r="D1210" s="50" t="n"/>
      <c r="E1210" s="50" t="n"/>
      <c r="F1210" s="50" t="n"/>
      <c r="G1210" s="50" t="n"/>
      <c r="H1210" s="48" t="n"/>
      <c r="I1210" s="51" t="n"/>
      <c r="J1210" s="52" t="n"/>
      <c r="K1210" s="47" t="n"/>
      <c r="L1210" s="47" t="n"/>
      <c r="M1210" s="24">
        <f>IF(OR($A1210="",$C1210=""),"",IF($L1210&lt;&gt;"",$L1210-$C1210,TODAY()-$C1210))</f>
        <v/>
      </c>
      <c r="N1210" s="28">
        <f>IF(OR($A1210="",$K1210=""),"",IF($L1210="",IF(TODAY()&gt;$K1210,"Atrasado","En ruta"),IF($L1210&lt;=$K1210,"Sí","No")))</f>
        <v/>
      </c>
      <c r="O1210" s="24">
        <f>IF($A1210="","",COUNTIFS(NOVEDADES!$D$4:$D$1503,$A1210))</f>
        <v/>
      </c>
      <c r="P1210" s="28">
        <f>IF($A1210="","",IF(COUNTIFS(NOVEDADES!$D$4:$D$1503,$A1210,NOVEDADES!$O$4:$O$1503,"SÍ")&gt;0,"No","Sí"))</f>
        <v/>
      </c>
      <c r="Q1210" s="28">
        <f>IF(OR($A1210="",$L1210=""),"",IF(AND($N1210="Sí",$P1210="Sí"),"OTIF","Falló"))</f>
        <v/>
      </c>
    </row>
    <row r="1211" ht="16" customHeight="1">
      <c r="A1211" s="48" t="n"/>
      <c r="B1211" s="48" t="n"/>
      <c r="C1211" s="47" t="n"/>
      <c r="D1211" s="50" t="n"/>
      <c r="E1211" s="50" t="n"/>
      <c r="F1211" s="50" t="n"/>
      <c r="G1211" s="50" t="n"/>
      <c r="H1211" s="48" t="n"/>
      <c r="I1211" s="51" t="n"/>
      <c r="J1211" s="52" t="n"/>
      <c r="K1211" s="47" t="n"/>
      <c r="L1211" s="47" t="n"/>
      <c r="M1211" s="24">
        <f>IF(OR($A1211="",$C1211=""),"",IF($L1211&lt;&gt;"",$L1211-$C1211,TODAY()-$C1211))</f>
        <v/>
      </c>
      <c r="N1211" s="28">
        <f>IF(OR($A1211="",$K1211=""),"",IF($L1211="",IF(TODAY()&gt;$K1211,"Atrasado","En ruta"),IF($L1211&lt;=$K1211,"Sí","No")))</f>
        <v/>
      </c>
      <c r="O1211" s="24">
        <f>IF($A1211="","",COUNTIFS(NOVEDADES!$D$4:$D$1503,$A1211))</f>
        <v/>
      </c>
      <c r="P1211" s="28">
        <f>IF($A1211="","",IF(COUNTIFS(NOVEDADES!$D$4:$D$1503,$A1211,NOVEDADES!$O$4:$O$1503,"SÍ")&gt;0,"No","Sí"))</f>
        <v/>
      </c>
      <c r="Q1211" s="28">
        <f>IF(OR($A1211="",$L1211=""),"",IF(AND($N1211="Sí",$P1211="Sí"),"OTIF","Falló"))</f>
        <v/>
      </c>
    </row>
    <row r="1212" ht="16" customHeight="1">
      <c r="A1212" s="48" t="n"/>
      <c r="B1212" s="48" t="n"/>
      <c r="C1212" s="47" t="n"/>
      <c r="D1212" s="50" t="n"/>
      <c r="E1212" s="50" t="n"/>
      <c r="F1212" s="50" t="n"/>
      <c r="G1212" s="50" t="n"/>
      <c r="H1212" s="48" t="n"/>
      <c r="I1212" s="51" t="n"/>
      <c r="J1212" s="52" t="n"/>
      <c r="K1212" s="47" t="n"/>
      <c r="L1212" s="47" t="n"/>
      <c r="M1212" s="24">
        <f>IF(OR($A1212="",$C1212=""),"",IF($L1212&lt;&gt;"",$L1212-$C1212,TODAY()-$C1212))</f>
        <v/>
      </c>
      <c r="N1212" s="28">
        <f>IF(OR($A1212="",$K1212=""),"",IF($L1212="",IF(TODAY()&gt;$K1212,"Atrasado","En ruta"),IF($L1212&lt;=$K1212,"Sí","No")))</f>
        <v/>
      </c>
      <c r="O1212" s="24">
        <f>IF($A1212="","",COUNTIFS(NOVEDADES!$D$4:$D$1503,$A1212))</f>
        <v/>
      </c>
      <c r="P1212" s="28">
        <f>IF($A1212="","",IF(COUNTIFS(NOVEDADES!$D$4:$D$1503,$A1212,NOVEDADES!$O$4:$O$1503,"SÍ")&gt;0,"No","Sí"))</f>
        <v/>
      </c>
      <c r="Q1212" s="28">
        <f>IF(OR($A1212="",$L1212=""),"",IF(AND($N1212="Sí",$P1212="Sí"),"OTIF","Falló"))</f>
        <v/>
      </c>
    </row>
    <row r="1213" ht="16" customHeight="1">
      <c r="A1213" s="48" t="n"/>
      <c r="B1213" s="48" t="n"/>
      <c r="C1213" s="47" t="n"/>
      <c r="D1213" s="50" t="n"/>
      <c r="E1213" s="50" t="n"/>
      <c r="F1213" s="50" t="n"/>
      <c r="G1213" s="50" t="n"/>
      <c r="H1213" s="48" t="n"/>
      <c r="I1213" s="51" t="n"/>
      <c r="J1213" s="52" t="n"/>
      <c r="K1213" s="47" t="n"/>
      <c r="L1213" s="47" t="n"/>
      <c r="M1213" s="24">
        <f>IF(OR($A1213="",$C1213=""),"",IF($L1213&lt;&gt;"",$L1213-$C1213,TODAY()-$C1213))</f>
        <v/>
      </c>
      <c r="N1213" s="28">
        <f>IF(OR($A1213="",$K1213=""),"",IF($L1213="",IF(TODAY()&gt;$K1213,"Atrasado","En ruta"),IF($L1213&lt;=$K1213,"Sí","No")))</f>
        <v/>
      </c>
      <c r="O1213" s="24">
        <f>IF($A1213="","",COUNTIFS(NOVEDADES!$D$4:$D$1503,$A1213))</f>
        <v/>
      </c>
      <c r="P1213" s="28">
        <f>IF($A1213="","",IF(COUNTIFS(NOVEDADES!$D$4:$D$1503,$A1213,NOVEDADES!$O$4:$O$1503,"SÍ")&gt;0,"No","Sí"))</f>
        <v/>
      </c>
      <c r="Q1213" s="28">
        <f>IF(OR($A1213="",$L1213=""),"",IF(AND($N1213="Sí",$P1213="Sí"),"OTIF","Falló"))</f>
        <v/>
      </c>
    </row>
    <row r="1214" ht="16" customHeight="1">
      <c r="A1214" s="48" t="n"/>
      <c r="B1214" s="48" t="n"/>
      <c r="C1214" s="47" t="n"/>
      <c r="D1214" s="50" t="n"/>
      <c r="E1214" s="50" t="n"/>
      <c r="F1214" s="50" t="n"/>
      <c r="G1214" s="50" t="n"/>
      <c r="H1214" s="48" t="n"/>
      <c r="I1214" s="51" t="n"/>
      <c r="J1214" s="52" t="n"/>
      <c r="K1214" s="47" t="n"/>
      <c r="L1214" s="47" t="n"/>
      <c r="M1214" s="24">
        <f>IF(OR($A1214="",$C1214=""),"",IF($L1214&lt;&gt;"",$L1214-$C1214,TODAY()-$C1214))</f>
        <v/>
      </c>
      <c r="N1214" s="28">
        <f>IF(OR($A1214="",$K1214=""),"",IF($L1214="",IF(TODAY()&gt;$K1214,"Atrasado","En ruta"),IF($L1214&lt;=$K1214,"Sí","No")))</f>
        <v/>
      </c>
      <c r="O1214" s="24">
        <f>IF($A1214="","",COUNTIFS(NOVEDADES!$D$4:$D$1503,$A1214))</f>
        <v/>
      </c>
      <c r="P1214" s="28">
        <f>IF($A1214="","",IF(COUNTIFS(NOVEDADES!$D$4:$D$1503,$A1214,NOVEDADES!$O$4:$O$1503,"SÍ")&gt;0,"No","Sí"))</f>
        <v/>
      </c>
      <c r="Q1214" s="28">
        <f>IF(OR($A1214="",$L1214=""),"",IF(AND($N1214="Sí",$P1214="Sí"),"OTIF","Falló"))</f>
        <v/>
      </c>
    </row>
    <row r="1215" ht="16" customHeight="1">
      <c r="A1215" s="48" t="n"/>
      <c r="B1215" s="48" t="n"/>
      <c r="C1215" s="47" t="n"/>
      <c r="D1215" s="50" t="n"/>
      <c r="E1215" s="50" t="n"/>
      <c r="F1215" s="50" t="n"/>
      <c r="G1215" s="50" t="n"/>
      <c r="H1215" s="48" t="n"/>
      <c r="I1215" s="51" t="n"/>
      <c r="J1215" s="52" t="n"/>
      <c r="K1215" s="47" t="n"/>
      <c r="L1215" s="47" t="n"/>
      <c r="M1215" s="24">
        <f>IF(OR($A1215="",$C1215=""),"",IF($L1215&lt;&gt;"",$L1215-$C1215,TODAY()-$C1215))</f>
        <v/>
      </c>
      <c r="N1215" s="28">
        <f>IF(OR($A1215="",$K1215=""),"",IF($L1215="",IF(TODAY()&gt;$K1215,"Atrasado","En ruta"),IF($L1215&lt;=$K1215,"Sí","No")))</f>
        <v/>
      </c>
      <c r="O1215" s="24">
        <f>IF($A1215="","",COUNTIFS(NOVEDADES!$D$4:$D$1503,$A1215))</f>
        <v/>
      </c>
      <c r="P1215" s="28">
        <f>IF($A1215="","",IF(COUNTIFS(NOVEDADES!$D$4:$D$1503,$A1215,NOVEDADES!$O$4:$O$1503,"SÍ")&gt;0,"No","Sí"))</f>
        <v/>
      </c>
      <c r="Q1215" s="28">
        <f>IF(OR($A1215="",$L1215=""),"",IF(AND($N1215="Sí",$P1215="Sí"),"OTIF","Falló"))</f>
        <v/>
      </c>
    </row>
    <row r="1216" ht="16" customHeight="1">
      <c r="A1216" s="48" t="n"/>
      <c r="B1216" s="48" t="n"/>
      <c r="C1216" s="47" t="n"/>
      <c r="D1216" s="50" t="n"/>
      <c r="E1216" s="50" t="n"/>
      <c r="F1216" s="50" t="n"/>
      <c r="G1216" s="50" t="n"/>
      <c r="H1216" s="48" t="n"/>
      <c r="I1216" s="51" t="n"/>
      <c r="J1216" s="52" t="n"/>
      <c r="K1216" s="47" t="n"/>
      <c r="L1216" s="47" t="n"/>
      <c r="M1216" s="24">
        <f>IF(OR($A1216="",$C1216=""),"",IF($L1216&lt;&gt;"",$L1216-$C1216,TODAY()-$C1216))</f>
        <v/>
      </c>
      <c r="N1216" s="28">
        <f>IF(OR($A1216="",$K1216=""),"",IF($L1216="",IF(TODAY()&gt;$K1216,"Atrasado","En ruta"),IF($L1216&lt;=$K1216,"Sí","No")))</f>
        <v/>
      </c>
      <c r="O1216" s="24">
        <f>IF($A1216="","",COUNTIFS(NOVEDADES!$D$4:$D$1503,$A1216))</f>
        <v/>
      </c>
      <c r="P1216" s="28">
        <f>IF($A1216="","",IF(COUNTIFS(NOVEDADES!$D$4:$D$1503,$A1216,NOVEDADES!$O$4:$O$1503,"SÍ")&gt;0,"No","Sí"))</f>
        <v/>
      </c>
      <c r="Q1216" s="28">
        <f>IF(OR($A1216="",$L1216=""),"",IF(AND($N1216="Sí",$P1216="Sí"),"OTIF","Falló"))</f>
        <v/>
      </c>
    </row>
    <row r="1217" ht="16" customHeight="1">
      <c r="A1217" s="48" t="n"/>
      <c r="B1217" s="48" t="n"/>
      <c r="C1217" s="47" t="n"/>
      <c r="D1217" s="50" t="n"/>
      <c r="E1217" s="50" t="n"/>
      <c r="F1217" s="50" t="n"/>
      <c r="G1217" s="50" t="n"/>
      <c r="H1217" s="48" t="n"/>
      <c r="I1217" s="51" t="n"/>
      <c r="J1217" s="52" t="n"/>
      <c r="K1217" s="47" t="n"/>
      <c r="L1217" s="47" t="n"/>
      <c r="M1217" s="24">
        <f>IF(OR($A1217="",$C1217=""),"",IF($L1217&lt;&gt;"",$L1217-$C1217,TODAY()-$C1217))</f>
        <v/>
      </c>
      <c r="N1217" s="28">
        <f>IF(OR($A1217="",$K1217=""),"",IF($L1217="",IF(TODAY()&gt;$K1217,"Atrasado","En ruta"),IF($L1217&lt;=$K1217,"Sí","No")))</f>
        <v/>
      </c>
      <c r="O1217" s="24">
        <f>IF($A1217="","",COUNTIFS(NOVEDADES!$D$4:$D$1503,$A1217))</f>
        <v/>
      </c>
      <c r="P1217" s="28">
        <f>IF($A1217="","",IF(COUNTIFS(NOVEDADES!$D$4:$D$1503,$A1217,NOVEDADES!$O$4:$O$1503,"SÍ")&gt;0,"No","Sí"))</f>
        <v/>
      </c>
      <c r="Q1217" s="28">
        <f>IF(OR($A1217="",$L1217=""),"",IF(AND($N1217="Sí",$P1217="Sí"),"OTIF","Falló"))</f>
        <v/>
      </c>
    </row>
    <row r="1218" ht="16" customHeight="1">
      <c r="A1218" s="48" t="n"/>
      <c r="B1218" s="48" t="n"/>
      <c r="C1218" s="47" t="n"/>
      <c r="D1218" s="50" t="n"/>
      <c r="E1218" s="50" t="n"/>
      <c r="F1218" s="50" t="n"/>
      <c r="G1218" s="50" t="n"/>
      <c r="H1218" s="48" t="n"/>
      <c r="I1218" s="51" t="n"/>
      <c r="J1218" s="52" t="n"/>
      <c r="K1218" s="47" t="n"/>
      <c r="L1218" s="47" t="n"/>
      <c r="M1218" s="24">
        <f>IF(OR($A1218="",$C1218=""),"",IF($L1218&lt;&gt;"",$L1218-$C1218,TODAY()-$C1218))</f>
        <v/>
      </c>
      <c r="N1218" s="28">
        <f>IF(OR($A1218="",$K1218=""),"",IF($L1218="",IF(TODAY()&gt;$K1218,"Atrasado","En ruta"),IF($L1218&lt;=$K1218,"Sí","No")))</f>
        <v/>
      </c>
      <c r="O1218" s="24">
        <f>IF($A1218="","",COUNTIFS(NOVEDADES!$D$4:$D$1503,$A1218))</f>
        <v/>
      </c>
      <c r="P1218" s="28">
        <f>IF($A1218="","",IF(COUNTIFS(NOVEDADES!$D$4:$D$1503,$A1218,NOVEDADES!$O$4:$O$1503,"SÍ")&gt;0,"No","Sí"))</f>
        <v/>
      </c>
      <c r="Q1218" s="28">
        <f>IF(OR($A1218="",$L1218=""),"",IF(AND($N1218="Sí",$P1218="Sí"),"OTIF","Falló"))</f>
        <v/>
      </c>
    </row>
    <row r="1219" ht="16" customHeight="1">
      <c r="A1219" s="48" t="n"/>
      <c r="B1219" s="48" t="n"/>
      <c r="C1219" s="47" t="n"/>
      <c r="D1219" s="50" t="n"/>
      <c r="E1219" s="50" t="n"/>
      <c r="F1219" s="50" t="n"/>
      <c r="G1219" s="50" t="n"/>
      <c r="H1219" s="48" t="n"/>
      <c r="I1219" s="51" t="n"/>
      <c r="J1219" s="52" t="n"/>
      <c r="K1219" s="47" t="n"/>
      <c r="L1219" s="47" t="n"/>
      <c r="M1219" s="24">
        <f>IF(OR($A1219="",$C1219=""),"",IF($L1219&lt;&gt;"",$L1219-$C1219,TODAY()-$C1219))</f>
        <v/>
      </c>
      <c r="N1219" s="28">
        <f>IF(OR($A1219="",$K1219=""),"",IF($L1219="",IF(TODAY()&gt;$K1219,"Atrasado","En ruta"),IF($L1219&lt;=$K1219,"Sí","No")))</f>
        <v/>
      </c>
      <c r="O1219" s="24">
        <f>IF($A1219="","",COUNTIFS(NOVEDADES!$D$4:$D$1503,$A1219))</f>
        <v/>
      </c>
      <c r="P1219" s="28">
        <f>IF($A1219="","",IF(COUNTIFS(NOVEDADES!$D$4:$D$1503,$A1219,NOVEDADES!$O$4:$O$1503,"SÍ")&gt;0,"No","Sí"))</f>
        <v/>
      </c>
      <c r="Q1219" s="28">
        <f>IF(OR($A1219="",$L1219=""),"",IF(AND($N1219="Sí",$P1219="Sí"),"OTIF","Falló"))</f>
        <v/>
      </c>
    </row>
    <row r="1220" ht="16" customHeight="1">
      <c r="A1220" s="48" t="n"/>
      <c r="B1220" s="48" t="n"/>
      <c r="C1220" s="47" t="n"/>
      <c r="D1220" s="50" t="n"/>
      <c r="E1220" s="50" t="n"/>
      <c r="F1220" s="50" t="n"/>
      <c r="G1220" s="50" t="n"/>
      <c r="H1220" s="48" t="n"/>
      <c r="I1220" s="51" t="n"/>
      <c r="J1220" s="52" t="n"/>
      <c r="K1220" s="47" t="n"/>
      <c r="L1220" s="47" t="n"/>
      <c r="M1220" s="24">
        <f>IF(OR($A1220="",$C1220=""),"",IF($L1220&lt;&gt;"",$L1220-$C1220,TODAY()-$C1220))</f>
        <v/>
      </c>
      <c r="N1220" s="28">
        <f>IF(OR($A1220="",$K1220=""),"",IF($L1220="",IF(TODAY()&gt;$K1220,"Atrasado","En ruta"),IF($L1220&lt;=$K1220,"Sí","No")))</f>
        <v/>
      </c>
      <c r="O1220" s="24">
        <f>IF($A1220="","",COUNTIFS(NOVEDADES!$D$4:$D$1503,$A1220))</f>
        <v/>
      </c>
      <c r="P1220" s="28">
        <f>IF($A1220="","",IF(COUNTIFS(NOVEDADES!$D$4:$D$1503,$A1220,NOVEDADES!$O$4:$O$1503,"SÍ")&gt;0,"No","Sí"))</f>
        <v/>
      </c>
      <c r="Q1220" s="28">
        <f>IF(OR($A1220="",$L1220=""),"",IF(AND($N1220="Sí",$P1220="Sí"),"OTIF","Falló"))</f>
        <v/>
      </c>
    </row>
    <row r="1221" ht="16" customHeight="1">
      <c r="A1221" s="48" t="n"/>
      <c r="B1221" s="48" t="n"/>
      <c r="C1221" s="47" t="n"/>
      <c r="D1221" s="50" t="n"/>
      <c r="E1221" s="50" t="n"/>
      <c r="F1221" s="50" t="n"/>
      <c r="G1221" s="50" t="n"/>
      <c r="H1221" s="48" t="n"/>
      <c r="I1221" s="51" t="n"/>
      <c r="J1221" s="52" t="n"/>
      <c r="K1221" s="47" t="n"/>
      <c r="L1221" s="47" t="n"/>
      <c r="M1221" s="24">
        <f>IF(OR($A1221="",$C1221=""),"",IF($L1221&lt;&gt;"",$L1221-$C1221,TODAY()-$C1221))</f>
        <v/>
      </c>
      <c r="N1221" s="28">
        <f>IF(OR($A1221="",$K1221=""),"",IF($L1221="",IF(TODAY()&gt;$K1221,"Atrasado","En ruta"),IF($L1221&lt;=$K1221,"Sí","No")))</f>
        <v/>
      </c>
      <c r="O1221" s="24">
        <f>IF($A1221="","",COUNTIFS(NOVEDADES!$D$4:$D$1503,$A1221))</f>
        <v/>
      </c>
      <c r="P1221" s="28">
        <f>IF($A1221="","",IF(COUNTIFS(NOVEDADES!$D$4:$D$1503,$A1221,NOVEDADES!$O$4:$O$1503,"SÍ")&gt;0,"No","Sí"))</f>
        <v/>
      </c>
      <c r="Q1221" s="28">
        <f>IF(OR($A1221="",$L1221=""),"",IF(AND($N1221="Sí",$P1221="Sí"),"OTIF","Falló"))</f>
        <v/>
      </c>
    </row>
    <row r="1222" ht="16" customHeight="1">
      <c r="A1222" s="48" t="n"/>
      <c r="B1222" s="48" t="n"/>
      <c r="C1222" s="47" t="n"/>
      <c r="D1222" s="50" t="n"/>
      <c r="E1222" s="50" t="n"/>
      <c r="F1222" s="50" t="n"/>
      <c r="G1222" s="50" t="n"/>
      <c r="H1222" s="48" t="n"/>
      <c r="I1222" s="51" t="n"/>
      <c r="J1222" s="52" t="n"/>
      <c r="K1222" s="47" t="n"/>
      <c r="L1222" s="47" t="n"/>
      <c r="M1222" s="24">
        <f>IF(OR($A1222="",$C1222=""),"",IF($L1222&lt;&gt;"",$L1222-$C1222,TODAY()-$C1222))</f>
        <v/>
      </c>
      <c r="N1222" s="28">
        <f>IF(OR($A1222="",$K1222=""),"",IF($L1222="",IF(TODAY()&gt;$K1222,"Atrasado","En ruta"),IF($L1222&lt;=$K1222,"Sí","No")))</f>
        <v/>
      </c>
      <c r="O1222" s="24">
        <f>IF($A1222="","",COUNTIFS(NOVEDADES!$D$4:$D$1503,$A1222))</f>
        <v/>
      </c>
      <c r="P1222" s="28">
        <f>IF($A1222="","",IF(COUNTIFS(NOVEDADES!$D$4:$D$1503,$A1222,NOVEDADES!$O$4:$O$1503,"SÍ")&gt;0,"No","Sí"))</f>
        <v/>
      </c>
      <c r="Q1222" s="28">
        <f>IF(OR($A1222="",$L1222=""),"",IF(AND($N1222="Sí",$P1222="Sí"),"OTIF","Falló"))</f>
        <v/>
      </c>
    </row>
    <row r="1223" ht="16" customHeight="1">
      <c r="A1223" s="48" t="n"/>
      <c r="B1223" s="48" t="n"/>
      <c r="C1223" s="47" t="n"/>
      <c r="D1223" s="50" t="n"/>
      <c r="E1223" s="50" t="n"/>
      <c r="F1223" s="50" t="n"/>
      <c r="G1223" s="50" t="n"/>
      <c r="H1223" s="48" t="n"/>
      <c r="I1223" s="51" t="n"/>
      <c r="J1223" s="52" t="n"/>
      <c r="K1223" s="47" t="n"/>
      <c r="L1223" s="47" t="n"/>
      <c r="M1223" s="24">
        <f>IF(OR($A1223="",$C1223=""),"",IF($L1223&lt;&gt;"",$L1223-$C1223,TODAY()-$C1223))</f>
        <v/>
      </c>
      <c r="N1223" s="28">
        <f>IF(OR($A1223="",$K1223=""),"",IF($L1223="",IF(TODAY()&gt;$K1223,"Atrasado","En ruta"),IF($L1223&lt;=$K1223,"Sí","No")))</f>
        <v/>
      </c>
      <c r="O1223" s="24">
        <f>IF($A1223="","",COUNTIFS(NOVEDADES!$D$4:$D$1503,$A1223))</f>
        <v/>
      </c>
      <c r="P1223" s="28">
        <f>IF($A1223="","",IF(COUNTIFS(NOVEDADES!$D$4:$D$1503,$A1223,NOVEDADES!$O$4:$O$1503,"SÍ")&gt;0,"No","Sí"))</f>
        <v/>
      </c>
      <c r="Q1223" s="28">
        <f>IF(OR($A1223="",$L1223=""),"",IF(AND($N1223="Sí",$P1223="Sí"),"OTIF","Falló"))</f>
        <v/>
      </c>
    </row>
    <row r="1224" ht="16" customHeight="1">
      <c r="A1224" s="48" t="n"/>
      <c r="B1224" s="48" t="n"/>
      <c r="C1224" s="47" t="n"/>
      <c r="D1224" s="50" t="n"/>
      <c r="E1224" s="50" t="n"/>
      <c r="F1224" s="50" t="n"/>
      <c r="G1224" s="50" t="n"/>
      <c r="H1224" s="48" t="n"/>
      <c r="I1224" s="51" t="n"/>
      <c r="J1224" s="52" t="n"/>
      <c r="K1224" s="47" t="n"/>
      <c r="L1224" s="47" t="n"/>
      <c r="M1224" s="24">
        <f>IF(OR($A1224="",$C1224=""),"",IF($L1224&lt;&gt;"",$L1224-$C1224,TODAY()-$C1224))</f>
        <v/>
      </c>
      <c r="N1224" s="28">
        <f>IF(OR($A1224="",$K1224=""),"",IF($L1224="",IF(TODAY()&gt;$K1224,"Atrasado","En ruta"),IF($L1224&lt;=$K1224,"Sí","No")))</f>
        <v/>
      </c>
      <c r="O1224" s="24">
        <f>IF($A1224="","",COUNTIFS(NOVEDADES!$D$4:$D$1503,$A1224))</f>
        <v/>
      </c>
      <c r="P1224" s="28">
        <f>IF($A1224="","",IF(COUNTIFS(NOVEDADES!$D$4:$D$1503,$A1224,NOVEDADES!$O$4:$O$1503,"SÍ")&gt;0,"No","Sí"))</f>
        <v/>
      </c>
      <c r="Q1224" s="28">
        <f>IF(OR($A1224="",$L1224=""),"",IF(AND($N1224="Sí",$P1224="Sí"),"OTIF","Falló"))</f>
        <v/>
      </c>
    </row>
    <row r="1225" ht="16" customHeight="1">
      <c r="A1225" s="48" t="n"/>
      <c r="B1225" s="48" t="n"/>
      <c r="C1225" s="47" t="n"/>
      <c r="D1225" s="50" t="n"/>
      <c r="E1225" s="50" t="n"/>
      <c r="F1225" s="50" t="n"/>
      <c r="G1225" s="50" t="n"/>
      <c r="H1225" s="48" t="n"/>
      <c r="I1225" s="51" t="n"/>
      <c r="J1225" s="52" t="n"/>
      <c r="K1225" s="47" t="n"/>
      <c r="L1225" s="47" t="n"/>
      <c r="M1225" s="24">
        <f>IF(OR($A1225="",$C1225=""),"",IF($L1225&lt;&gt;"",$L1225-$C1225,TODAY()-$C1225))</f>
        <v/>
      </c>
      <c r="N1225" s="28">
        <f>IF(OR($A1225="",$K1225=""),"",IF($L1225="",IF(TODAY()&gt;$K1225,"Atrasado","En ruta"),IF($L1225&lt;=$K1225,"Sí","No")))</f>
        <v/>
      </c>
      <c r="O1225" s="24">
        <f>IF($A1225="","",COUNTIFS(NOVEDADES!$D$4:$D$1503,$A1225))</f>
        <v/>
      </c>
      <c r="P1225" s="28">
        <f>IF($A1225="","",IF(COUNTIFS(NOVEDADES!$D$4:$D$1503,$A1225,NOVEDADES!$O$4:$O$1503,"SÍ")&gt;0,"No","Sí"))</f>
        <v/>
      </c>
      <c r="Q1225" s="28">
        <f>IF(OR($A1225="",$L1225=""),"",IF(AND($N1225="Sí",$P1225="Sí"),"OTIF","Falló"))</f>
        <v/>
      </c>
    </row>
    <row r="1226" ht="16" customHeight="1">
      <c r="A1226" s="48" t="n"/>
      <c r="B1226" s="48" t="n"/>
      <c r="C1226" s="47" t="n"/>
      <c r="D1226" s="50" t="n"/>
      <c r="E1226" s="50" t="n"/>
      <c r="F1226" s="50" t="n"/>
      <c r="G1226" s="50" t="n"/>
      <c r="H1226" s="48" t="n"/>
      <c r="I1226" s="51" t="n"/>
      <c r="J1226" s="52" t="n"/>
      <c r="K1226" s="47" t="n"/>
      <c r="L1226" s="47" t="n"/>
      <c r="M1226" s="24">
        <f>IF(OR($A1226="",$C1226=""),"",IF($L1226&lt;&gt;"",$L1226-$C1226,TODAY()-$C1226))</f>
        <v/>
      </c>
      <c r="N1226" s="28">
        <f>IF(OR($A1226="",$K1226=""),"",IF($L1226="",IF(TODAY()&gt;$K1226,"Atrasado","En ruta"),IF($L1226&lt;=$K1226,"Sí","No")))</f>
        <v/>
      </c>
      <c r="O1226" s="24">
        <f>IF($A1226="","",COUNTIFS(NOVEDADES!$D$4:$D$1503,$A1226))</f>
        <v/>
      </c>
      <c r="P1226" s="28">
        <f>IF($A1226="","",IF(COUNTIFS(NOVEDADES!$D$4:$D$1503,$A1226,NOVEDADES!$O$4:$O$1503,"SÍ")&gt;0,"No","Sí"))</f>
        <v/>
      </c>
      <c r="Q1226" s="28">
        <f>IF(OR($A1226="",$L1226=""),"",IF(AND($N1226="Sí",$P1226="Sí"),"OTIF","Falló"))</f>
        <v/>
      </c>
    </row>
    <row r="1227" ht="16" customHeight="1">
      <c r="A1227" s="48" t="n"/>
      <c r="B1227" s="48" t="n"/>
      <c r="C1227" s="47" t="n"/>
      <c r="D1227" s="50" t="n"/>
      <c r="E1227" s="50" t="n"/>
      <c r="F1227" s="50" t="n"/>
      <c r="G1227" s="50" t="n"/>
      <c r="H1227" s="48" t="n"/>
      <c r="I1227" s="51" t="n"/>
      <c r="J1227" s="52" t="n"/>
      <c r="K1227" s="47" t="n"/>
      <c r="L1227" s="47" t="n"/>
      <c r="M1227" s="24">
        <f>IF(OR($A1227="",$C1227=""),"",IF($L1227&lt;&gt;"",$L1227-$C1227,TODAY()-$C1227))</f>
        <v/>
      </c>
      <c r="N1227" s="28">
        <f>IF(OR($A1227="",$K1227=""),"",IF($L1227="",IF(TODAY()&gt;$K1227,"Atrasado","En ruta"),IF($L1227&lt;=$K1227,"Sí","No")))</f>
        <v/>
      </c>
      <c r="O1227" s="24">
        <f>IF($A1227="","",COUNTIFS(NOVEDADES!$D$4:$D$1503,$A1227))</f>
        <v/>
      </c>
      <c r="P1227" s="28">
        <f>IF($A1227="","",IF(COUNTIFS(NOVEDADES!$D$4:$D$1503,$A1227,NOVEDADES!$O$4:$O$1503,"SÍ")&gt;0,"No","Sí"))</f>
        <v/>
      </c>
      <c r="Q1227" s="28">
        <f>IF(OR($A1227="",$L1227=""),"",IF(AND($N1227="Sí",$P1227="Sí"),"OTIF","Falló"))</f>
        <v/>
      </c>
    </row>
    <row r="1228" ht="16" customHeight="1">
      <c r="A1228" s="48" t="n"/>
      <c r="B1228" s="48" t="n"/>
      <c r="C1228" s="47" t="n"/>
      <c r="D1228" s="50" t="n"/>
      <c r="E1228" s="50" t="n"/>
      <c r="F1228" s="50" t="n"/>
      <c r="G1228" s="50" t="n"/>
      <c r="H1228" s="48" t="n"/>
      <c r="I1228" s="51" t="n"/>
      <c r="J1228" s="52" t="n"/>
      <c r="K1228" s="47" t="n"/>
      <c r="L1228" s="47" t="n"/>
      <c r="M1228" s="24">
        <f>IF(OR($A1228="",$C1228=""),"",IF($L1228&lt;&gt;"",$L1228-$C1228,TODAY()-$C1228))</f>
        <v/>
      </c>
      <c r="N1228" s="28">
        <f>IF(OR($A1228="",$K1228=""),"",IF($L1228="",IF(TODAY()&gt;$K1228,"Atrasado","En ruta"),IF($L1228&lt;=$K1228,"Sí","No")))</f>
        <v/>
      </c>
      <c r="O1228" s="24">
        <f>IF($A1228="","",COUNTIFS(NOVEDADES!$D$4:$D$1503,$A1228))</f>
        <v/>
      </c>
      <c r="P1228" s="28">
        <f>IF($A1228="","",IF(COUNTIFS(NOVEDADES!$D$4:$D$1503,$A1228,NOVEDADES!$O$4:$O$1503,"SÍ")&gt;0,"No","Sí"))</f>
        <v/>
      </c>
      <c r="Q1228" s="28">
        <f>IF(OR($A1228="",$L1228=""),"",IF(AND($N1228="Sí",$P1228="Sí"),"OTIF","Falló"))</f>
        <v/>
      </c>
    </row>
    <row r="1229" ht="16" customHeight="1">
      <c r="A1229" s="48" t="n"/>
      <c r="B1229" s="48" t="n"/>
      <c r="C1229" s="47" t="n"/>
      <c r="D1229" s="50" t="n"/>
      <c r="E1229" s="50" t="n"/>
      <c r="F1229" s="50" t="n"/>
      <c r="G1229" s="50" t="n"/>
      <c r="H1229" s="48" t="n"/>
      <c r="I1229" s="51" t="n"/>
      <c r="J1229" s="52" t="n"/>
      <c r="K1229" s="47" t="n"/>
      <c r="L1229" s="47" t="n"/>
      <c r="M1229" s="24">
        <f>IF(OR($A1229="",$C1229=""),"",IF($L1229&lt;&gt;"",$L1229-$C1229,TODAY()-$C1229))</f>
        <v/>
      </c>
      <c r="N1229" s="28">
        <f>IF(OR($A1229="",$K1229=""),"",IF($L1229="",IF(TODAY()&gt;$K1229,"Atrasado","En ruta"),IF($L1229&lt;=$K1229,"Sí","No")))</f>
        <v/>
      </c>
      <c r="O1229" s="24">
        <f>IF($A1229="","",COUNTIFS(NOVEDADES!$D$4:$D$1503,$A1229))</f>
        <v/>
      </c>
      <c r="P1229" s="28">
        <f>IF($A1229="","",IF(COUNTIFS(NOVEDADES!$D$4:$D$1503,$A1229,NOVEDADES!$O$4:$O$1503,"SÍ")&gt;0,"No","Sí"))</f>
        <v/>
      </c>
      <c r="Q1229" s="28">
        <f>IF(OR($A1229="",$L1229=""),"",IF(AND($N1229="Sí",$P1229="Sí"),"OTIF","Falló"))</f>
        <v/>
      </c>
    </row>
    <row r="1230" ht="16" customHeight="1">
      <c r="A1230" s="48" t="n"/>
      <c r="B1230" s="48" t="n"/>
      <c r="C1230" s="47" t="n"/>
      <c r="D1230" s="50" t="n"/>
      <c r="E1230" s="50" t="n"/>
      <c r="F1230" s="50" t="n"/>
      <c r="G1230" s="50" t="n"/>
      <c r="H1230" s="48" t="n"/>
      <c r="I1230" s="51" t="n"/>
      <c r="J1230" s="52" t="n"/>
      <c r="K1230" s="47" t="n"/>
      <c r="L1230" s="47" t="n"/>
      <c r="M1230" s="24">
        <f>IF(OR($A1230="",$C1230=""),"",IF($L1230&lt;&gt;"",$L1230-$C1230,TODAY()-$C1230))</f>
        <v/>
      </c>
      <c r="N1230" s="28">
        <f>IF(OR($A1230="",$K1230=""),"",IF($L1230="",IF(TODAY()&gt;$K1230,"Atrasado","En ruta"),IF($L1230&lt;=$K1230,"Sí","No")))</f>
        <v/>
      </c>
      <c r="O1230" s="24">
        <f>IF($A1230="","",COUNTIFS(NOVEDADES!$D$4:$D$1503,$A1230))</f>
        <v/>
      </c>
      <c r="P1230" s="28">
        <f>IF($A1230="","",IF(COUNTIFS(NOVEDADES!$D$4:$D$1503,$A1230,NOVEDADES!$O$4:$O$1503,"SÍ")&gt;0,"No","Sí"))</f>
        <v/>
      </c>
      <c r="Q1230" s="28">
        <f>IF(OR($A1230="",$L1230=""),"",IF(AND($N1230="Sí",$P1230="Sí"),"OTIF","Falló"))</f>
        <v/>
      </c>
    </row>
    <row r="1231" ht="16" customHeight="1">
      <c r="A1231" s="48" t="n"/>
      <c r="B1231" s="48" t="n"/>
      <c r="C1231" s="47" t="n"/>
      <c r="D1231" s="50" t="n"/>
      <c r="E1231" s="50" t="n"/>
      <c r="F1231" s="50" t="n"/>
      <c r="G1231" s="50" t="n"/>
      <c r="H1231" s="48" t="n"/>
      <c r="I1231" s="51" t="n"/>
      <c r="J1231" s="52" t="n"/>
      <c r="K1231" s="47" t="n"/>
      <c r="L1231" s="47" t="n"/>
      <c r="M1231" s="24">
        <f>IF(OR($A1231="",$C1231=""),"",IF($L1231&lt;&gt;"",$L1231-$C1231,TODAY()-$C1231))</f>
        <v/>
      </c>
      <c r="N1231" s="28">
        <f>IF(OR($A1231="",$K1231=""),"",IF($L1231="",IF(TODAY()&gt;$K1231,"Atrasado","En ruta"),IF($L1231&lt;=$K1231,"Sí","No")))</f>
        <v/>
      </c>
      <c r="O1231" s="24">
        <f>IF($A1231="","",COUNTIFS(NOVEDADES!$D$4:$D$1503,$A1231))</f>
        <v/>
      </c>
      <c r="P1231" s="28">
        <f>IF($A1231="","",IF(COUNTIFS(NOVEDADES!$D$4:$D$1503,$A1231,NOVEDADES!$O$4:$O$1503,"SÍ")&gt;0,"No","Sí"))</f>
        <v/>
      </c>
      <c r="Q1231" s="28">
        <f>IF(OR($A1231="",$L1231=""),"",IF(AND($N1231="Sí",$P1231="Sí"),"OTIF","Falló"))</f>
        <v/>
      </c>
    </row>
    <row r="1232" ht="16" customHeight="1">
      <c r="A1232" s="48" t="n"/>
      <c r="B1232" s="48" t="n"/>
      <c r="C1232" s="47" t="n"/>
      <c r="D1232" s="50" t="n"/>
      <c r="E1232" s="50" t="n"/>
      <c r="F1232" s="50" t="n"/>
      <c r="G1232" s="50" t="n"/>
      <c r="H1232" s="48" t="n"/>
      <c r="I1232" s="51" t="n"/>
      <c r="J1232" s="52" t="n"/>
      <c r="K1232" s="47" t="n"/>
      <c r="L1232" s="47" t="n"/>
      <c r="M1232" s="24">
        <f>IF(OR($A1232="",$C1232=""),"",IF($L1232&lt;&gt;"",$L1232-$C1232,TODAY()-$C1232))</f>
        <v/>
      </c>
      <c r="N1232" s="28">
        <f>IF(OR($A1232="",$K1232=""),"",IF($L1232="",IF(TODAY()&gt;$K1232,"Atrasado","En ruta"),IF($L1232&lt;=$K1232,"Sí","No")))</f>
        <v/>
      </c>
      <c r="O1232" s="24">
        <f>IF($A1232="","",COUNTIFS(NOVEDADES!$D$4:$D$1503,$A1232))</f>
        <v/>
      </c>
      <c r="P1232" s="28">
        <f>IF($A1232="","",IF(COUNTIFS(NOVEDADES!$D$4:$D$1503,$A1232,NOVEDADES!$O$4:$O$1503,"SÍ")&gt;0,"No","Sí"))</f>
        <v/>
      </c>
      <c r="Q1232" s="28">
        <f>IF(OR($A1232="",$L1232=""),"",IF(AND($N1232="Sí",$P1232="Sí"),"OTIF","Falló"))</f>
        <v/>
      </c>
    </row>
    <row r="1233" ht="16" customHeight="1">
      <c r="A1233" s="48" t="n"/>
      <c r="B1233" s="48" t="n"/>
      <c r="C1233" s="47" t="n"/>
      <c r="D1233" s="50" t="n"/>
      <c r="E1233" s="50" t="n"/>
      <c r="F1233" s="50" t="n"/>
      <c r="G1233" s="50" t="n"/>
      <c r="H1233" s="48" t="n"/>
      <c r="I1233" s="51" t="n"/>
      <c r="J1233" s="52" t="n"/>
      <c r="K1233" s="47" t="n"/>
      <c r="L1233" s="47" t="n"/>
      <c r="M1233" s="24">
        <f>IF(OR($A1233="",$C1233=""),"",IF($L1233&lt;&gt;"",$L1233-$C1233,TODAY()-$C1233))</f>
        <v/>
      </c>
      <c r="N1233" s="28">
        <f>IF(OR($A1233="",$K1233=""),"",IF($L1233="",IF(TODAY()&gt;$K1233,"Atrasado","En ruta"),IF($L1233&lt;=$K1233,"Sí","No")))</f>
        <v/>
      </c>
      <c r="O1233" s="24">
        <f>IF($A1233="","",COUNTIFS(NOVEDADES!$D$4:$D$1503,$A1233))</f>
        <v/>
      </c>
      <c r="P1233" s="28">
        <f>IF($A1233="","",IF(COUNTIFS(NOVEDADES!$D$4:$D$1503,$A1233,NOVEDADES!$O$4:$O$1503,"SÍ")&gt;0,"No","Sí"))</f>
        <v/>
      </c>
      <c r="Q1233" s="28">
        <f>IF(OR($A1233="",$L1233=""),"",IF(AND($N1233="Sí",$P1233="Sí"),"OTIF","Falló"))</f>
        <v/>
      </c>
    </row>
    <row r="1234" ht="16" customHeight="1">
      <c r="A1234" s="48" t="n"/>
      <c r="B1234" s="48" t="n"/>
      <c r="C1234" s="47" t="n"/>
      <c r="D1234" s="50" t="n"/>
      <c r="E1234" s="50" t="n"/>
      <c r="F1234" s="50" t="n"/>
      <c r="G1234" s="50" t="n"/>
      <c r="H1234" s="48" t="n"/>
      <c r="I1234" s="51" t="n"/>
      <c r="J1234" s="52" t="n"/>
      <c r="K1234" s="47" t="n"/>
      <c r="L1234" s="47" t="n"/>
      <c r="M1234" s="24">
        <f>IF(OR($A1234="",$C1234=""),"",IF($L1234&lt;&gt;"",$L1234-$C1234,TODAY()-$C1234))</f>
        <v/>
      </c>
      <c r="N1234" s="28">
        <f>IF(OR($A1234="",$K1234=""),"",IF($L1234="",IF(TODAY()&gt;$K1234,"Atrasado","En ruta"),IF($L1234&lt;=$K1234,"Sí","No")))</f>
        <v/>
      </c>
      <c r="O1234" s="24">
        <f>IF($A1234="","",COUNTIFS(NOVEDADES!$D$4:$D$1503,$A1234))</f>
        <v/>
      </c>
      <c r="P1234" s="28">
        <f>IF($A1234="","",IF(COUNTIFS(NOVEDADES!$D$4:$D$1503,$A1234,NOVEDADES!$O$4:$O$1503,"SÍ")&gt;0,"No","Sí"))</f>
        <v/>
      </c>
      <c r="Q1234" s="28">
        <f>IF(OR($A1234="",$L1234=""),"",IF(AND($N1234="Sí",$P1234="Sí"),"OTIF","Falló"))</f>
        <v/>
      </c>
    </row>
    <row r="1235" ht="16" customHeight="1">
      <c r="A1235" s="48" t="n"/>
      <c r="B1235" s="48" t="n"/>
      <c r="C1235" s="47" t="n"/>
      <c r="D1235" s="50" t="n"/>
      <c r="E1235" s="50" t="n"/>
      <c r="F1235" s="50" t="n"/>
      <c r="G1235" s="50" t="n"/>
      <c r="H1235" s="48" t="n"/>
      <c r="I1235" s="51" t="n"/>
      <c r="J1235" s="52" t="n"/>
      <c r="K1235" s="47" t="n"/>
      <c r="L1235" s="47" t="n"/>
      <c r="M1235" s="24">
        <f>IF(OR($A1235="",$C1235=""),"",IF($L1235&lt;&gt;"",$L1235-$C1235,TODAY()-$C1235))</f>
        <v/>
      </c>
      <c r="N1235" s="28">
        <f>IF(OR($A1235="",$K1235=""),"",IF($L1235="",IF(TODAY()&gt;$K1235,"Atrasado","En ruta"),IF($L1235&lt;=$K1235,"Sí","No")))</f>
        <v/>
      </c>
      <c r="O1235" s="24">
        <f>IF($A1235="","",COUNTIFS(NOVEDADES!$D$4:$D$1503,$A1235))</f>
        <v/>
      </c>
      <c r="P1235" s="28">
        <f>IF($A1235="","",IF(COUNTIFS(NOVEDADES!$D$4:$D$1503,$A1235,NOVEDADES!$O$4:$O$1503,"SÍ")&gt;0,"No","Sí"))</f>
        <v/>
      </c>
      <c r="Q1235" s="28">
        <f>IF(OR($A1235="",$L1235=""),"",IF(AND($N1235="Sí",$P1235="Sí"),"OTIF","Falló"))</f>
        <v/>
      </c>
    </row>
    <row r="1236" ht="16" customHeight="1">
      <c r="A1236" s="48" t="n"/>
      <c r="B1236" s="48" t="n"/>
      <c r="C1236" s="47" t="n"/>
      <c r="D1236" s="50" t="n"/>
      <c r="E1236" s="50" t="n"/>
      <c r="F1236" s="50" t="n"/>
      <c r="G1236" s="50" t="n"/>
      <c r="H1236" s="48" t="n"/>
      <c r="I1236" s="51" t="n"/>
      <c r="J1236" s="52" t="n"/>
      <c r="K1236" s="47" t="n"/>
      <c r="L1236" s="47" t="n"/>
      <c r="M1236" s="24">
        <f>IF(OR($A1236="",$C1236=""),"",IF($L1236&lt;&gt;"",$L1236-$C1236,TODAY()-$C1236))</f>
        <v/>
      </c>
      <c r="N1236" s="28">
        <f>IF(OR($A1236="",$K1236=""),"",IF($L1236="",IF(TODAY()&gt;$K1236,"Atrasado","En ruta"),IF($L1236&lt;=$K1236,"Sí","No")))</f>
        <v/>
      </c>
      <c r="O1236" s="24">
        <f>IF($A1236="","",COUNTIFS(NOVEDADES!$D$4:$D$1503,$A1236))</f>
        <v/>
      </c>
      <c r="P1236" s="28">
        <f>IF($A1236="","",IF(COUNTIFS(NOVEDADES!$D$4:$D$1503,$A1236,NOVEDADES!$O$4:$O$1503,"SÍ")&gt;0,"No","Sí"))</f>
        <v/>
      </c>
      <c r="Q1236" s="28">
        <f>IF(OR($A1236="",$L1236=""),"",IF(AND($N1236="Sí",$P1236="Sí"),"OTIF","Falló"))</f>
        <v/>
      </c>
    </row>
    <row r="1237" ht="16" customHeight="1">
      <c r="A1237" s="48" t="n"/>
      <c r="B1237" s="48" t="n"/>
      <c r="C1237" s="47" t="n"/>
      <c r="D1237" s="50" t="n"/>
      <c r="E1237" s="50" t="n"/>
      <c r="F1237" s="50" t="n"/>
      <c r="G1237" s="50" t="n"/>
      <c r="H1237" s="48" t="n"/>
      <c r="I1237" s="51" t="n"/>
      <c r="J1237" s="52" t="n"/>
      <c r="K1237" s="47" t="n"/>
      <c r="L1237" s="47" t="n"/>
      <c r="M1237" s="24">
        <f>IF(OR($A1237="",$C1237=""),"",IF($L1237&lt;&gt;"",$L1237-$C1237,TODAY()-$C1237))</f>
        <v/>
      </c>
      <c r="N1237" s="28">
        <f>IF(OR($A1237="",$K1237=""),"",IF($L1237="",IF(TODAY()&gt;$K1237,"Atrasado","En ruta"),IF($L1237&lt;=$K1237,"Sí","No")))</f>
        <v/>
      </c>
      <c r="O1237" s="24">
        <f>IF($A1237="","",COUNTIFS(NOVEDADES!$D$4:$D$1503,$A1237))</f>
        <v/>
      </c>
      <c r="P1237" s="28">
        <f>IF($A1237="","",IF(COUNTIFS(NOVEDADES!$D$4:$D$1503,$A1237,NOVEDADES!$O$4:$O$1503,"SÍ")&gt;0,"No","Sí"))</f>
        <v/>
      </c>
      <c r="Q1237" s="28">
        <f>IF(OR($A1237="",$L1237=""),"",IF(AND($N1237="Sí",$P1237="Sí"),"OTIF","Falló"))</f>
        <v/>
      </c>
    </row>
    <row r="1238" ht="16" customHeight="1">
      <c r="A1238" s="48" t="n"/>
      <c r="B1238" s="48" t="n"/>
      <c r="C1238" s="47" t="n"/>
      <c r="D1238" s="50" t="n"/>
      <c r="E1238" s="50" t="n"/>
      <c r="F1238" s="50" t="n"/>
      <c r="G1238" s="50" t="n"/>
      <c r="H1238" s="48" t="n"/>
      <c r="I1238" s="51" t="n"/>
      <c r="J1238" s="52" t="n"/>
      <c r="K1238" s="47" t="n"/>
      <c r="L1238" s="47" t="n"/>
      <c r="M1238" s="24">
        <f>IF(OR($A1238="",$C1238=""),"",IF($L1238&lt;&gt;"",$L1238-$C1238,TODAY()-$C1238))</f>
        <v/>
      </c>
      <c r="N1238" s="28">
        <f>IF(OR($A1238="",$K1238=""),"",IF($L1238="",IF(TODAY()&gt;$K1238,"Atrasado","En ruta"),IF($L1238&lt;=$K1238,"Sí","No")))</f>
        <v/>
      </c>
      <c r="O1238" s="24">
        <f>IF($A1238="","",COUNTIFS(NOVEDADES!$D$4:$D$1503,$A1238))</f>
        <v/>
      </c>
      <c r="P1238" s="28">
        <f>IF($A1238="","",IF(COUNTIFS(NOVEDADES!$D$4:$D$1503,$A1238,NOVEDADES!$O$4:$O$1503,"SÍ")&gt;0,"No","Sí"))</f>
        <v/>
      </c>
      <c r="Q1238" s="28">
        <f>IF(OR($A1238="",$L1238=""),"",IF(AND($N1238="Sí",$P1238="Sí"),"OTIF","Falló"))</f>
        <v/>
      </c>
    </row>
    <row r="1239" ht="16" customHeight="1">
      <c r="A1239" s="48" t="n"/>
      <c r="B1239" s="48" t="n"/>
      <c r="C1239" s="47" t="n"/>
      <c r="D1239" s="50" t="n"/>
      <c r="E1239" s="50" t="n"/>
      <c r="F1239" s="50" t="n"/>
      <c r="G1239" s="50" t="n"/>
      <c r="H1239" s="48" t="n"/>
      <c r="I1239" s="51" t="n"/>
      <c r="J1239" s="52" t="n"/>
      <c r="K1239" s="47" t="n"/>
      <c r="L1239" s="47" t="n"/>
      <c r="M1239" s="24">
        <f>IF(OR($A1239="",$C1239=""),"",IF($L1239&lt;&gt;"",$L1239-$C1239,TODAY()-$C1239))</f>
        <v/>
      </c>
      <c r="N1239" s="28">
        <f>IF(OR($A1239="",$K1239=""),"",IF($L1239="",IF(TODAY()&gt;$K1239,"Atrasado","En ruta"),IF($L1239&lt;=$K1239,"Sí","No")))</f>
        <v/>
      </c>
      <c r="O1239" s="24">
        <f>IF($A1239="","",COUNTIFS(NOVEDADES!$D$4:$D$1503,$A1239))</f>
        <v/>
      </c>
      <c r="P1239" s="28">
        <f>IF($A1239="","",IF(COUNTIFS(NOVEDADES!$D$4:$D$1503,$A1239,NOVEDADES!$O$4:$O$1503,"SÍ")&gt;0,"No","Sí"))</f>
        <v/>
      </c>
      <c r="Q1239" s="28">
        <f>IF(OR($A1239="",$L1239=""),"",IF(AND($N1239="Sí",$P1239="Sí"),"OTIF","Falló"))</f>
        <v/>
      </c>
    </row>
    <row r="1240" ht="16" customHeight="1">
      <c r="A1240" s="48" t="n"/>
      <c r="B1240" s="48" t="n"/>
      <c r="C1240" s="47" t="n"/>
      <c r="D1240" s="50" t="n"/>
      <c r="E1240" s="50" t="n"/>
      <c r="F1240" s="50" t="n"/>
      <c r="G1240" s="50" t="n"/>
      <c r="H1240" s="48" t="n"/>
      <c r="I1240" s="51" t="n"/>
      <c r="J1240" s="52" t="n"/>
      <c r="K1240" s="47" t="n"/>
      <c r="L1240" s="47" t="n"/>
      <c r="M1240" s="24">
        <f>IF(OR($A1240="",$C1240=""),"",IF($L1240&lt;&gt;"",$L1240-$C1240,TODAY()-$C1240))</f>
        <v/>
      </c>
      <c r="N1240" s="28">
        <f>IF(OR($A1240="",$K1240=""),"",IF($L1240="",IF(TODAY()&gt;$K1240,"Atrasado","En ruta"),IF($L1240&lt;=$K1240,"Sí","No")))</f>
        <v/>
      </c>
      <c r="O1240" s="24">
        <f>IF($A1240="","",COUNTIFS(NOVEDADES!$D$4:$D$1503,$A1240))</f>
        <v/>
      </c>
      <c r="P1240" s="28">
        <f>IF($A1240="","",IF(COUNTIFS(NOVEDADES!$D$4:$D$1503,$A1240,NOVEDADES!$O$4:$O$1503,"SÍ")&gt;0,"No","Sí"))</f>
        <v/>
      </c>
      <c r="Q1240" s="28">
        <f>IF(OR($A1240="",$L1240=""),"",IF(AND($N1240="Sí",$P1240="Sí"),"OTIF","Falló"))</f>
        <v/>
      </c>
    </row>
    <row r="1241" ht="16" customHeight="1">
      <c r="A1241" s="48" t="n"/>
      <c r="B1241" s="48" t="n"/>
      <c r="C1241" s="47" t="n"/>
      <c r="D1241" s="50" t="n"/>
      <c r="E1241" s="50" t="n"/>
      <c r="F1241" s="50" t="n"/>
      <c r="G1241" s="50" t="n"/>
      <c r="H1241" s="48" t="n"/>
      <c r="I1241" s="51" t="n"/>
      <c r="J1241" s="52" t="n"/>
      <c r="K1241" s="47" t="n"/>
      <c r="L1241" s="47" t="n"/>
      <c r="M1241" s="24">
        <f>IF(OR($A1241="",$C1241=""),"",IF($L1241&lt;&gt;"",$L1241-$C1241,TODAY()-$C1241))</f>
        <v/>
      </c>
      <c r="N1241" s="28">
        <f>IF(OR($A1241="",$K1241=""),"",IF($L1241="",IF(TODAY()&gt;$K1241,"Atrasado","En ruta"),IF($L1241&lt;=$K1241,"Sí","No")))</f>
        <v/>
      </c>
      <c r="O1241" s="24">
        <f>IF($A1241="","",COUNTIFS(NOVEDADES!$D$4:$D$1503,$A1241))</f>
        <v/>
      </c>
      <c r="P1241" s="28">
        <f>IF($A1241="","",IF(COUNTIFS(NOVEDADES!$D$4:$D$1503,$A1241,NOVEDADES!$O$4:$O$1503,"SÍ")&gt;0,"No","Sí"))</f>
        <v/>
      </c>
      <c r="Q1241" s="28">
        <f>IF(OR($A1241="",$L1241=""),"",IF(AND($N1241="Sí",$P1241="Sí"),"OTIF","Falló"))</f>
        <v/>
      </c>
    </row>
    <row r="1242" ht="16" customHeight="1">
      <c r="A1242" s="48" t="n"/>
      <c r="B1242" s="48" t="n"/>
      <c r="C1242" s="47" t="n"/>
      <c r="D1242" s="50" t="n"/>
      <c r="E1242" s="50" t="n"/>
      <c r="F1242" s="50" t="n"/>
      <c r="G1242" s="50" t="n"/>
      <c r="H1242" s="48" t="n"/>
      <c r="I1242" s="51" t="n"/>
      <c r="J1242" s="52" t="n"/>
      <c r="K1242" s="47" t="n"/>
      <c r="L1242" s="47" t="n"/>
      <c r="M1242" s="24">
        <f>IF(OR($A1242="",$C1242=""),"",IF($L1242&lt;&gt;"",$L1242-$C1242,TODAY()-$C1242))</f>
        <v/>
      </c>
      <c r="N1242" s="28">
        <f>IF(OR($A1242="",$K1242=""),"",IF($L1242="",IF(TODAY()&gt;$K1242,"Atrasado","En ruta"),IF($L1242&lt;=$K1242,"Sí","No")))</f>
        <v/>
      </c>
      <c r="O1242" s="24">
        <f>IF($A1242="","",COUNTIFS(NOVEDADES!$D$4:$D$1503,$A1242))</f>
        <v/>
      </c>
      <c r="P1242" s="28">
        <f>IF($A1242="","",IF(COUNTIFS(NOVEDADES!$D$4:$D$1503,$A1242,NOVEDADES!$O$4:$O$1503,"SÍ")&gt;0,"No","Sí"))</f>
        <v/>
      </c>
      <c r="Q1242" s="28">
        <f>IF(OR($A1242="",$L1242=""),"",IF(AND($N1242="Sí",$P1242="Sí"),"OTIF","Falló"))</f>
        <v/>
      </c>
    </row>
    <row r="1243" ht="16" customHeight="1">
      <c r="A1243" s="48" t="n"/>
      <c r="B1243" s="48" t="n"/>
      <c r="C1243" s="47" t="n"/>
      <c r="D1243" s="50" t="n"/>
      <c r="E1243" s="50" t="n"/>
      <c r="F1243" s="50" t="n"/>
      <c r="G1243" s="50" t="n"/>
      <c r="H1243" s="48" t="n"/>
      <c r="I1243" s="51" t="n"/>
      <c r="J1243" s="52" t="n"/>
      <c r="K1243" s="47" t="n"/>
      <c r="L1243" s="47" t="n"/>
      <c r="M1243" s="24">
        <f>IF(OR($A1243="",$C1243=""),"",IF($L1243&lt;&gt;"",$L1243-$C1243,TODAY()-$C1243))</f>
        <v/>
      </c>
      <c r="N1243" s="28">
        <f>IF(OR($A1243="",$K1243=""),"",IF($L1243="",IF(TODAY()&gt;$K1243,"Atrasado","En ruta"),IF($L1243&lt;=$K1243,"Sí","No")))</f>
        <v/>
      </c>
      <c r="O1243" s="24">
        <f>IF($A1243="","",COUNTIFS(NOVEDADES!$D$4:$D$1503,$A1243))</f>
        <v/>
      </c>
      <c r="P1243" s="28">
        <f>IF($A1243="","",IF(COUNTIFS(NOVEDADES!$D$4:$D$1503,$A1243,NOVEDADES!$O$4:$O$1503,"SÍ")&gt;0,"No","Sí"))</f>
        <v/>
      </c>
      <c r="Q1243" s="28">
        <f>IF(OR($A1243="",$L1243=""),"",IF(AND($N1243="Sí",$P1243="Sí"),"OTIF","Falló"))</f>
        <v/>
      </c>
    </row>
    <row r="1244" ht="16" customHeight="1">
      <c r="A1244" s="48" t="n"/>
      <c r="B1244" s="48" t="n"/>
      <c r="C1244" s="47" t="n"/>
      <c r="D1244" s="50" t="n"/>
      <c r="E1244" s="50" t="n"/>
      <c r="F1244" s="50" t="n"/>
      <c r="G1244" s="50" t="n"/>
      <c r="H1244" s="48" t="n"/>
      <c r="I1244" s="51" t="n"/>
      <c r="J1244" s="52" t="n"/>
      <c r="K1244" s="47" t="n"/>
      <c r="L1244" s="47" t="n"/>
      <c r="M1244" s="24">
        <f>IF(OR($A1244="",$C1244=""),"",IF($L1244&lt;&gt;"",$L1244-$C1244,TODAY()-$C1244))</f>
        <v/>
      </c>
      <c r="N1244" s="28">
        <f>IF(OR($A1244="",$K1244=""),"",IF($L1244="",IF(TODAY()&gt;$K1244,"Atrasado","En ruta"),IF($L1244&lt;=$K1244,"Sí","No")))</f>
        <v/>
      </c>
      <c r="O1244" s="24">
        <f>IF($A1244="","",COUNTIFS(NOVEDADES!$D$4:$D$1503,$A1244))</f>
        <v/>
      </c>
      <c r="P1244" s="28">
        <f>IF($A1244="","",IF(COUNTIFS(NOVEDADES!$D$4:$D$1503,$A1244,NOVEDADES!$O$4:$O$1503,"SÍ")&gt;0,"No","Sí"))</f>
        <v/>
      </c>
      <c r="Q1244" s="28">
        <f>IF(OR($A1244="",$L1244=""),"",IF(AND($N1244="Sí",$P1244="Sí"),"OTIF","Falló"))</f>
        <v/>
      </c>
    </row>
    <row r="1245" ht="16" customHeight="1">
      <c r="A1245" s="48" t="n"/>
      <c r="B1245" s="48" t="n"/>
      <c r="C1245" s="47" t="n"/>
      <c r="D1245" s="50" t="n"/>
      <c r="E1245" s="50" t="n"/>
      <c r="F1245" s="50" t="n"/>
      <c r="G1245" s="50" t="n"/>
      <c r="H1245" s="48" t="n"/>
      <c r="I1245" s="51" t="n"/>
      <c r="J1245" s="52" t="n"/>
      <c r="K1245" s="47" t="n"/>
      <c r="L1245" s="47" t="n"/>
      <c r="M1245" s="24">
        <f>IF(OR($A1245="",$C1245=""),"",IF($L1245&lt;&gt;"",$L1245-$C1245,TODAY()-$C1245))</f>
        <v/>
      </c>
      <c r="N1245" s="28">
        <f>IF(OR($A1245="",$K1245=""),"",IF($L1245="",IF(TODAY()&gt;$K1245,"Atrasado","En ruta"),IF($L1245&lt;=$K1245,"Sí","No")))</f>
        <v/>
      </c>
      <c r="O1245" s="24">
        <f>IF($A1245="","",COUNTIFS(NOVEDADES!$D$4:$D$1503,$A1245))</f>
        <v/>
      </c>
      <c r="P1245" s="28">
        <f>IF($A1245="","",IF(COUNTIFS(NOVEDADES!$D$4:$D$1503,$A1245,NOVEDADES!$O$4:$O$1503,"SÍ")&gt;0,"No","Sí"))</f>
        <v/>
      </c>
      <c r="Q1245" s="28">
        <f>IF(OR($A1245="",$L1245=""),"",IF(AND($N1245="Sí",$P1245="Sí"),"OTIF","Falló"))</f>
        <v/>
      </c>
    </row>
    <row r="1246" ht="16" customHeight="1">
      <c r="A1246" s="48" t="n"/>
      <c r="B1246" s="48" t="n"/>
      <c r="C1246" s="47" t="n"/>
      <c r="D1246" s="50" t="n"/>
      <c r="E1246" s="50" t="n"/>
      <c r="F1246" s="50" t="n"/>
      <c r="G1246" s="50" t="n"/>
      <c r="H1246" s="48" t="n"/>
      <c r="I1246" s="51" t="n"/>
      <c r="J1246" s="52" t="n"/>
      <c r="K1246" s="47" t="n"/>
      <c r="L1246" s="47" t="n"/>
      <c r="M1246" s="24">
        <f>IF(OR($A1246="",$C1246=""),"",IF($L1246&lt;&gt;"",$L1246-$C1246,TODAY()-$C1246))</f>
        <v/>
      </c>
      <c r="N1246" s="28">
        <f>IF(OR($A1246="",$K1246=""),"",IF($L1246="",IF(TODAY()&gt;$K1246,"Atrasado","En ruta"),IF($L1246&lt;=$K1246,"Sí","No")))</f>
        <v/>
      </c>
      <c r="O1246" s="24">
        <f>IF($A1246="","",COUNTIFS(NOVEDADES!$D$4:$D$1503,$A1246))</f>
        <v/>
      </c>
      <c r="P1246" s="28">
        <f>IF($A1246="","",IF(COUNTIFS(NOVEDADES!$D$4:$D$1503,$A1246,NOVEDADES!$O$4:$O$1503,"SÍ")&gt;0,"No","Sí"))</f>
        <v/>
      </c>
      <c r="Q1246" s="28">
        <f>IF(OR($A1246="",$L1246=""),"",IF(AND($N1246="Sí",$P1246="Sí"),"OTIF","Falló"))</f>
        <v/>
      </c>
    </row>
    <row r="1247" ht="16" customHeight="1">
      <c r="A1247" s="48" t="n"/>
      <c r="B1247" s="48" t="n"/>
      <c r="C1247" s="47" t="n"/>
      <c r="D1247" s="50" t="n"/>
      <c r="E1247" s="50" t="n"/>
      <c r="F1247" s="50" t="n"/>
      <c r="G1247" s="50" t="n"/>
      <c r="H1247" s="48" t="n"/>
      <c r="I1247" s="51" t="n"/>
      <c r="J1247" s="52" t="n"/>
      <c r="K1247" s="47" t="n"/>
      <c r="L1247" s="47" t="n"/>
      <c r="M1247" s="24">
        <f>IF(OR($A1247="",$C1247=""),"",IF($L1247&lt;&gt;"",$L1247-$C1247,TODAY()-$C1247))</f>
        <v/>
      </c>
      <c r="N1247" s="28">
        <f>IF(OR($A1247="",$K1247=""),"",IF($L1247="",IF(TODAY()&gt;$K1247,"Atrasado","En ruta"),IF($L1247&lt;=$K1247,"Sí","No")))</f>
        <v/>
      </c>
      <c r="O1247" s="24">
        <f>IF($A1247="","",COUNTIFS(NOVEDADES!$D$4:$D$1503,$A1247))</f>
        <v/>
      </c>
      <c r="P1247" s="28">
        <f>IF($A1247="","",IF(COUNTIFS(NOVEDADES!$D$4:$D$1503,$A1247,NOVEDADES!$O$4:$O$1503,"SÍ")&gt;0,"No","Sí"))</f>
        <v/>
      </c>
      <c r="Q1247" s="28">
        <f>IF(OR($A1247="",$L1247=""),"",IF(AND($N1247="Sí",$P1247="Sí"),"OTIF","Falló"))</f>
        <v/>
      </c>
    </row>
    <row r="1248" ht="16" customHeight="1">
      <c r="A1248" s="48" t="n"/>
      <c r="B1248" s="48" t="n"/>
      <c r="C1248" s="47" t="n"/>
      <c r="D1248" s="50" t="n"/>
      <c r="E1248" s="50" t="n"/>
      <c r="F1248" s="50" t="n"/>
      <c r="G1248" s="50" t="n"/>
      <c r="H1248" s="48" t="n"/>
      <c r="I1248" s="51" t="n"/>
      <c r="J1248" s="52" t="n"/>
      <c r="K1248" s="47" t="n"/>
      <c r="L1248" s="47" t="n"/>
      <c r="M1248" s="24">
        <f>IF(OR($A1248="",$C1248=""),"",IF($L1248&lt;&gt;"",$L1248-$C1248,TODAY()-$C1248))</f>
        <v/>
      </c>
      <c r="N1248" s="28">
        <f>IF(OR($A1248="",$K1248=""),"",IF($L1248="",IF(TODAY()&gt;$K1248,"Atrasado","En ruta"),IF($L1248&lt;=$K1248,"Sí","No")))</f>
        <v/>
      </c>
      <c r="O1248" s="24">
        <f>IF($A1248="","",COUNTIFS(NOVEDADES!$D$4:$D$1503,$A1248))</f>
        <v/>
      </c>
      <c r="P1248" s="28">
        <f>IF($A1248="","",IF(COUNTIFS(NOVEDADES!$D$4:$D$1503,$A1248,NOVEDADES!$O$4:$O$1503,"SÍ")&gt;0,"No","Sí"))</f>
        <v/>
      </c>
      <c r="Q1248" s="28">
        <f>IF(OR($A1248="",$L1248=""),"",IF(AND($N1248="Sí",$P1248="Sí"),"OTIF","Falló"))</f>
        <v/>
      </c>
    </row>
    <row r="1249" ht="16" customHeight="1">
      <c r="A1249" s="48" t="n"/>
      <c r="B1249" s="48" t="n"/>
      <c r="C1249" s="47" t="n"/>
      <c r="D1249" s="50" t="n"/>
      <c r="E1249" s="50" t="n"/>
      <c r="F1249" s="50" t="n"/>
      <c r="G1249" s="50" t="n"/>
      <c r="H1249" s="48" t="n"/>
      <c r="I1249" s="51" t="n"/>
      <c r="J1249" s="52" t="n"/>
      <c r="K1249" s="47" t="n"/>
      <c r="L1249" s="47" t="n"/>
      <c r="M1249" s="24">
        <f>IF(OR($A1249="",$C1249=""),"",IF($L1249&lt;&gt;"",$L1249-$C1249,TODAY()-$C1249))</f>
        <v/>
      </c>
      <c r="N1249" s="28">
        <f>IF(OR($A1249="",$K1249=""),"",IF($L1249="",IF(TODAY()&gt;$K1249,"Atrasado","En ruta"),IF($L1249&lt;=$K1249,"Sí","No")))</f>
        <v/>
      </c>
      <c r="O1249" s="24">
        <f>IF($A1249="","",COUNTIFS(NOVEDADES!$D$4:$D$1503,$A1249))</f>
        <v/>
      </c>
      <c r="P1249" s="28">
        <f>IF($A1249="","",IF(COUNTIFS(NOVEDADES!$D$4:$D$1503,$A1249,NOVEDADES!$O$4:$O$1503,"SÍ")&gt;0,"No","Sí"))</f>
        <v/>
      </c>
      <c r="Q1249" s="28">
        <f>IF(OR($A1249="",$L1249=""),"",IF(AND($N1249="Sí",$P1249="Sí"),"OTIF","Falló"))</f>
        <v/>
      </c>
    </row>
    <row r="1250" ht="16" customHeight="1">
      <c r="A1250" s="48" t="n"/>
      <c r="B1250" s="48" t="n"/>
      <c r="C1250" s="47" t="n"/>
      <c r="D1250" s="50" t="n"/>
      <c r="E1250" s="50" t="n"/>
      <c r="F1250" s="50" t="n"/>
      <c r="G1250" s="50" t="n"/>
      <c r="H1250" s="48" t="n"/>
      <c r="I1250" s="51" t="n"/>
      <c r="J1250" s="52" t="n"/>
      <c r="K1250" s="47" t="n"/>
      <c r="L1250" s="47" t="n"/>
      <c r="M1250" s="24">
        <f>IF(OR($A1250="",$C1250=""),"",IF($L1250&lt;&gt;"",$L1250-$C1250,TODAY()-$C1250))</f>
        <v/>
      </c>
      <c r="N1250" s="28">
        <f>IF(OR($A1250="",$K1250=""),"",IF($L1250="",IF(TODAY()&gt;$K1250,"Atrasado","En ruta"),IF($L1250&lt;=$K1250,"Sí","No")))</f>
        <v/>
      </c>
      <c r="O1250" s="24">
        <f>IF($A1250="","",COUNTIFS(NOVEDADES!$D$4:$D$1503,$A1250))</f>
        <v/>
      </c>
      <c r="P1250" s="28">
        <f>IF($A1250="","",IF(COUNTIFS(NOVEDADES!$D$4:$D$1503,$A1250,NOVEDADES!$O$4:$O$1503,"SÍ")&gt;0,"No","Sí"))</f>
        <v/>
      </c>
      <c r="Q1250" s="28">
        <f>IF(OR($A1250="",$L1250=""),"",IF(AND($N1250="Sí",$P1250="Sí"),"OTIF","Falló"))</f>
        <v/>
      </c>
    </row>
    <row r="1251" ht="16" customHeight="1">
      <c r="A1251" s="48" t="n"/>
      <c r="B1251" s="48" t="n"/>
      <c r="C1251" s="47" t="n"/>
      <c r="D1251" s="50" t="n"/>
      <c r="E1251" s="50" t="n"/>
      <c r="F1251" s="50" t="n"/>
      <c r="G1251" s="50" t="n"/>
      <c r="H1251" s="48" t="n"/>
      <c r="I1251" s="51" t="n"/>
      <c r="J1251" s="52" t="n"/>
      <c r="K1251" s="47" t="n"/>
      <c r="L1251" s="47" t="n"/>
      <c r="M1251" s="24">
        <f>IF(OR($A1251="",$C1251=""),"",IF($L1251&lt;&gt;"",$L1251-$C1251,TODAY()-$C1251))</f>
        <v/>
      </c>
      <c r="N1251" s="28">
        <f>IF(OR($A1251="",$K1251=""),"",IF($L1251="",IF(TODAY()&gt;$K1251,"Atrasado","En ruta"),IF($L1251&lt;=$K1251,"Sí","No")))</f>
        <v/>
      </c>
      <c r="O1251" s="24">
        <f>IF($A1251="","",COUNTIFS(NOVEDADES!$D$4:$D$1503,$A1251))</f>
        <v/>
      </c>
      <c r="P1251" s="28">
        <f>IF($A1251="","",IF(COUNTIFS(NOVEDADES!$D$4:$D$1503,$A1251,NOVEDADES!$O$4:$O$1503,"SÍ")&gt;0,"No","Sí"))</f>
        <v/>
      </c>
      <c r="Q1251" s="28">
        <f>IF(OR($A1251="",$L1251=""),"",IF(AND($N1251="Sí",$P1251="Sí"),"OTIF","Falló"))</f>
        <v/>
      </c>
    </row>
    <row r="1252" ht="16" customHeight="1">
      <c r="A1252" s="48" t="n"/>
      <c r="B1252" s="48" t="n"/>
      <c r="C1252" s="47" t="n"/>
      <c r="D1252" s="50" t="n"/>
      <c r="E1252" s="50" t="n"/>
      <c r="F1252" s="50" t="n"/>
      <c r="G1252" s="50" t="n"/>
      <c r="H1252" s="48" t="n"/>
      <c r="I1252" s="51" t="n"/>
      <c r="J1252" s="52" t="n"/>
      <c r="K1252" s="47" t="n"/>
      <c r="L1252" s="47" t="n"/>
      <c r="M1252" s="24">
        <f>IF(OR($A1252="",$C1252=""),"",IF($L1252&lt;&gt;"",$L1252-$C1252,TODAY()-$C1252))</f>
        <v/>
      </c>
      <c r="N1252" s="28">
        <f>IF(OR($A1252="",$K1252=""),"",IF($L1252="",IF(TODAY()&gt;$K1252,"Atrasado","En ruta"),IF($L1252&lt;=$K1252,"Sí","No")))</f>
        <v/>
      </c>
      <c r="O1252" s="24">
        <f>IF($A1252="","",COUNTIFS(NOVEDADES!$D$4:$D$1503,$A1252))</f>
        <v/>
      </c>
      <c r="P1252" s="28">
        <f>IF($A1252="","",IF(COUNTIFS(NOVEDADES!$D$4:$D$1503,$A1252,NOVEDADES!$O$4:$O$1503,"SÍ")&gt;0,"No","Sí"))</f>
        <v/>
      </c>
      <c r="Q1252" s="28">
        <f>IF(OR($A1252="",$L1252=""),"",IF(AND($N1252="Sí",$P1252="Sí"),"OTIF","Falló"))</f>
        <v/>
      </c>
    </row>
    <row r="1253" ht="16" customHeight="1">
      <c r="A1253" s="48" t="n"/>
      <c r="B1253" s="48" t="n"/>
      <c r="C1253" s="47" t="n"/>
      <c r="D1253" s="50" t="n"/>
      <c r="E1253" s="50" t="n"/>
      <c r="F1253" s="50" t="n"/>
      <c r="G1253" s="50" t="n"/>
      <c r="H1253" s="48" t="n"/>
      <c r="I1253" s="51" t="n"/>
      <c r="J1253" s="52" t="n"/>
      <c r="K1253" s="47" t="n"/>
      <c r="L1253" s="47" t="n"/>
      <c r="M1253" s="24">
        <f>IF(OR($A1253="",$C1253=""),"",IF($L1253&lt;&gt;"",$L1253-$C1253,TODAY()-$C1253))</f>
        <v/>
      </c>
      <c r="N1253" s="28">
        <f>IF(OR($A1253="",$K1253=""),"",IF($L1253="",IF(TODAY()&gt;$K1253,"Atrasado","En ruta"),IF($L1253&lt;=$K1253,"Sí","No")))</f>
        <v/>
      </c>
      <c r="O1253" s="24">
        <f>IF($A1253="","",COUNTIFS(NOVEDADES!$D$4:$D$1503,$A1253))</f>
        <v/>
      </c>
      <c r="P1253" s="28">
        <f>IF($A1253="","",IF(COUNTIFS(NOVEDADES!$D$4:$D$1503,$A1253,NOVEDADES!$O$4:$O$1503,"SÍ")&gt;0,"No","Sí"))</f>
        <v/>
      </c>
      <c r="Q1253" s="28">
        <f>IF(OR($A1253="",$L1253=""),"",IF(AND($N1253="Sí",$P1253="Sí"),"OTIF","Falló"))</f>
        <v/>
      </c>
    </row>
    <row r="1254" ht="16" customHeight="1">
      <c r="A1254" s="48" t="n"/>
      <c r="B1254" s="48" t="n"/>
      <c r="C1254" s="47" t="n"/>
      <c r="D1254" s="50" t="n"/>
      <c r="E1254" s="50" t="n"/>
      <c r="F1254" s="50" t="n"/>
      <c r="G1254" s="50" t="n"/>
      <c r="H1254" s="48" t="n"/>
      <c r="I1254" s="51" t="n"/>
      <c r="J1254" s="52" t="n"/>
      <c r="K1254" s="47" t="n"/>
      <c r="L1254" s="47" t="n"/>
      <c r="M1254" s="24">
        <f>IF(OR($A1254="",$C1254=""),"",IF($L1254&lt;&gt;"",$L1254-$C1254,TODAY()-$C1254))</f>
        <v/>
      </c>
      <c r="N1254" s="28">
        <f>IF(OR($A1254="",$K1254=""),"",IF($L1254="",IF(TODAY()&gt;$K1254,"Atrasado","En ruta"),IF($L1254&lt;=$K1254,"Sí","No")))</f>
        <v/>
      </c>
      <c r="O1254" s="24">
        <f>IF($A1254="","",COUNTIFS(NOVEDADES!$D$4:$D$1503,$A1254))</f>
        <v/>
      </c>
      <c r="P1254" s="28">
        <f>IF($A1254="","",IF(COUNTIFS(NOVEDADES!$D$4:$D$1503,$A1254,NOVEDADES!$O$4:$O$1503,"SÍ")&gt;0,"No","Sí"))</f>
        <v/>
      </c>
      <c r="Q1254" s="28">
        <f>IF(OR($A1254="",$L1254=""),"",IF(AND($N1254="Sí",$P1254="Sí"),"OTIF","Falló"))</f>
        <v/>
      </c>
    </row>
    <row r="1255" ht="16" customHeight="1">
      <c r="A1255" s="48" t="n"/>
      <c r="B1255" s="48" t="n"/>
      <c r="C1255" s="47" t="n"/>
      <c r="D1255" s="50" t="n"/>
      <c r="E1255" s="50" t="n"/>
      <c r="F1255" s="50" t="n"/>
      <c r="G1255" s="50" t="n"/>
      <c r="H1255" s="48" t="n"/>
      <c r="I1255" s="51" t="n"/>
      <c r="J1255" s="52" t="n"/>
      <c r="K1255" s="47" t="n"/>
      <c r="L1255" s="47" t="n"/>
      <c r="M1255" s="24">
        <f>IF(OR($A1255="",$C1255=""),"",IF($L1255&lt;&gt;"",$L1255-$C1255,TODAY()-$C1255))</f>
        <v/>
      </c>
      <c r="N1255" s="28">
        <f>IF(OR($A1255="",$K1255=""),"",IF($L1255="",IF(TODAY()&gt;$K1255,"Atrasado","En ruta"),IF($L1255&lt;=$K1255,"Sí","No")))</f>
        <v/>
      </c>
      <c r="O1255" s="24">
        <f>IF($A1255="","",COUNTIFS(NOVEDADES!$D$4:$D$1503,$A1255))</f>
        <v/>
      </c>
      <c r="P1255" s="28">
        <f>IF($A1255="","",IF(COUNTIFS(NOVEDADES!$D$4:$D$1503,$A1255,NOVEDADES!$O$4:$O$1503,"SÍ")&gt;0,"No","Sí"))</f>
        <v/>
      </c>
      <c r="Q1255" s="28">
        <f>IF(OR($A1255="",$L1255=""),"",IF(AND($N1255="Sí",$P1255="Sí"),"OTIF","Falló"))</f>
        <v/>
      </c>
    </row>
    <row r="1256" ht="16" customHeight="1">
      <c r="A1256" s="48" t="n"/>
      <c r="B1256" s="48" t="n"/>
      <c r="C1256" s="47" t="n"/>
      <c r="D1256" s="50" t="n"/>
      <c r="E1256" s="50" t="n"/>
      <c r="F1256" s="50" t="n"/>
      <c r="G1256" s="50" t="n"/>
      <c r="H1256" s="48" t="n"/>
      <c r="I1256" s="51" t="n"/>
      <c r="J1256" s="52" t="n"/>
      <c r="K1256" s="47" t="n"/>
      <c r="L1256" s="47" t="n"/>
      <c r="M1256" s="24">
        <f>IF(OR($A1256="",$C1256=""),"",IF($L1256&lt;&gt;"",$L1256-$C1256,TODAY()-$C1256))</f>
        <v/>
      </c>
      <c r="N1256" s="28">
        <f>IF(OR($A1256="",$K1256=""),"",IF($L1256="",IF(TODAY()&gt;$K1256,"Atrasado","En ruta"),IF($L1256&lt;=$K1256,"Sí","No")))</f>
        <v/>
      </c>
      <c r="O1256" s="24">
        <f>IF($A1256="","",COUNTIFS(NOVEDADES!$D$4:$D$1503,$A1256))</f>
        <v/>
      </c>
      <c r="P1256" s="28">
        <f>IF($A1256="","",IF(COUNTIFS(NOVEDADES!$D$4:$D$1503,$A1256,NOVEDADES!$O$4:$O$1503,"SÍ")&gt;0,"No","Sí"))</f>
        <v/>
      </c>
      <c r="Q1256" s="28">
        <f>IF(OR($A1256="",$L1256=""),"",IF(AND($N1256="Sí",$P1256="Sí"),"OTIF","Falló"))</f>
        <v/>
      </c>
    </row>
    <row r="1257" ht="16" customHeight="1">
      <c r="A1257" s="48" t="n"/>
      <c r="B1257" s="48" t="n"/>
      <c r="C1257" s="47" t="n"/>
      <c r="D1257" s="50" t="n"/>
      <c r="E1257" s="50" t="n"/>
      <c r="F1257" s="50" t="n"/>
      <c r="G1257" s="50" t="n"/>
      <c r="H1257" s="48" t="n"/>
      <c r="I1257" s="51" t="n"/>
      <c r="J1257" s="52" t="n"/>
      <c r="K1257" s="47" t="n"/>
      <c r="L1257" s="47" t="n"/>
      <c r="M1257" s="24">
        <f>IF(OR($A1257="",$C1257=""),"",IF($L1257&lt;&gt;"",$L1257-$C1257,TODAY()-$C1257))</f>
        <v/>
      </c>
      <c r="N1257" s="28">
        <f>IF(OR($A1257="",$K1257=""),"",IF($L1257="",IF(TODAY()&gt;$K1257,"Atrasado","En ruta"),IF($L1257&lt;=$K1257,"Sí","No")))</f>
        <v/>
      </c>
      <c r="O1257" s="24">
        <f>IF($A1257="","",COUNTIFS(NOVEDADES!$D$4:$D$1503,$A1257))</f>
        <v/>
      </c>
      <c r="P1257" s="28">
        <f>IF($A1257="","",IF(COUNTIFS(NOVEDADES!$D$4:$D$1503,$A1257,NOVEDADES!$O$4:$O$1503,"SÍ")&gt;0,"No","Sí"))</f>
        <v/>
      </c>
      <c r="Q1257" s="28">
        <f>IF(OR($A1257="",$L1257=""),"",IF(AND($N1257="Sí",$P1257="Sí"),"OTIF","Falló"))</f>
        <v/>
      </c>
    </row>
    <row r="1258" ht="16" customHeight="1">
      <c r="A1258" s="48" t="n"/>
      <c r="B1258" s="48" t="n"/>
      <c r="C1258" s="47" t="n"/>
      <c r="D1258" s="50" t="n"/>
      <c r="E1258" s="50" t="n"/>
      <c r="F1258" s="50" t="n"/>
      <c r="G1258" s="50" t="n"/>
      <c r="H1258" s="48" t="n"/>
      <c r="I1258" s="51" t="n"/>
      <c r="J1258" s="52" t="n"/>
      <c r="K1258" s="47" t="n"/>
      <c r="L1258" s="47" t="n"/>
      <c r="M1258" s="24">
        <f>IF(OR($A1258="",$C1258=""),"",IF($L1258&lt;&gt;"",$L1258-$C1258,TODAY()-$C1258))</f>
        <v/>
      </c>
      <c r="N1258" s="28">
        <f>IF(OR($A1258="",$K1258=""),"",IF($L1258="",IF(TODAY()&gt;$K1258,"Atrasado","En ruta"),IF($L1258&lt;=$K1258,"Sí","No")))</f>
        <v/>
      </c>
      <c r="O1258" s="24">
        <f>IF($A1258="","",COUNTIFS(NOVEDADES!$D$4:$D$1503,$A1258))</f>
        <v/>
      </c>
      <c r="P1258" s="28">
        <f>IF($A1258="","",IF(COUNTIFS(NOVEDADES!$D$4:$D$1503,$A1258,NOVEDADES!$O$4:$O$1503,"SÍ")&gt;0,"No","Sí"))</f>
        <v/>
      </c>
      <c r="Q1258" s="28">
        <f>IF(OR($A1258="",$L1258=""),"",IF(AND($N1258="Sí",$P1258="Sí"),"OTIF","Falló"))</f>
        <v/>
      </c>
    </row>
    <row r="1259" ht="16" customHeight="1">
      <c r="A1259" s="48" t="n"/>
      <c r="B1259" s="48" t="n"/>
      <c r="C1259" s="47" t="n"/>
      <c r="D1259" s="50" t="n"/>
      <c r="E1259" s="50" t="n"/>
      <c r="F1259" s="50" t="n"/>
      <c r="G1259" s="50" t="n"/>
      <c r="H1259" s="48" t="n"/>
      <c r="I1259" s="51" t="n"/>
      <c r="J1259" s="52" t="n"/>
      <c r="K1259" s="47" t="n"/>
      <c r="L1259" s="47" t="n"/>
      <c r="M1259" s="24">
        <f>IF(OR($A1259="",$C1259=""),"",IF($L1259&lt;&gt;"",$L1259-$C1259,TODAY()-$C1259))</f>
        <v/>
      </c>
      <c r="N1259" s="28">
        <f>IF(OR($A1259="",$K1259=""),"",IF($L1259="",IF(TODAY()&gt;$K1259,"Atrasado","En ruta"),IF($L1259&lt;=$K1259,"Sí","No")))</f>
        <v/>
      </c>
      <c r="O1259" s="24">
        <f>IF($A1259="","",COUNTIFS(NOVEDADES!$D$4:$D$1503,$A1259))</f>
        <v/>
      </c>
      <c r="P1259" s="28">
        <f>IF($A1259="","",IF(COUNTIFS(NOVEDADES!$D$4:$D$1503,$A1259,NOVEDADES!$O$4:$O$1503,"SÍ")&gt;0,"No","Sí"))</f>
        <v/>
      </c>
      <c r="Q1259" s="28">
        <f>IF(OR($A1259="",$L1259=""),"",IF(AND($N1259="Sí",$P1259="Sí"),"OTIF","Falló"))</f>
        <v/>
      </c>
    </row>
    <row r="1260" ht="16" customHeight="1">
      <c r="A1260" s="48" t="n"/>
      <c r="B1260" s="48" t="n"/>
      <c r="C1260" s="47" t="n"/>
      <c r="D1260" s="50" t="n"/>
      <c r="E1260" s="50" t="n"/>
      <c r="F1260" s="50" t="n"/>
      <c r="G1260" s="50" t="n"/>
      <c r="H1260" s="48" t="n"/>
      <c r="I1260" s="51" t="n"/>
      <c r="J1260" s="52" t="n"/>
      <c r="K1260" s="47" t="n"/>
      <c r="L1260" s="47" t="n"/>
      <c r="M1260" s="24">
        <f>IF(OR($A1260="",$C1260=""),"",IF($L1260&lt;&gt;"",$L1260-$C1260,TODAY()-$C1260))</f>
        <v/>
      </c>
      <c r="N1260" s="28">
        <f>IF(OR($A1260="",$K1260=""),"",IF($L1260="",IF(TODAY()&gt;$K1260,"Atrasado","En ruta"),IF($L1260&lt;=$K1260,"Sí","No")))</f>
        <v/>
      </c>
      <c r="O1260" s="24">
        <f>IF($A1260="","",COUNTIFS(NOVEDADES!$D$4:$D$1503,$A1260))</f>
        <v/>
      </c>
      <c r="P1260" s="28">
        <f>IF($A1260="","",IF(COUNTIFS(NOVEDADES!$D$4:$D$1503,$A1260,NOVEDADES!$O$4:$O$1503,"SÍ")&gt;0,"No","Sí"))</f>
        <v/>
      </c>
      <c r="Q1260" s="28">
        <f>IF(OR($A1260="",$L1260=""),"",IF(AND($N1260="Sí",$P1260="Sí"),"OTIF","Falló"))</f>
        <v/>
      </c>
    </row>
    <row r="1261" ht="16" customHeight="1">
      <c r="A1261" s="48" t="n"/>
      <c r="B1261" s="48" t="n"/>
      <c r="C1261" s="47" t="n"/>
      <c r="D1261" s="50" t="n"/>
      <c r="E1261" s="50" t="n"/>
      <c r="F1261" s="50" t="n"/>
      <c r="G1261" s="50" t="n"/>
      <c r="H1261" s="48" t="n"/>
      <c r="I1261" s="51" t="n"/>
      <c r="J1261" s="52" t="n"/>
      <c r="K1261" s="47" t="n"/>
      <c r="L1261" s="47" t="n"/>
      <c r="M1261" s="24">
        <f>IF(OR($A1261="",$C1261=""),"",IF($L1261&lt;&gt;"",$L1261-$C1261,TODAY()-$C1261))</f>
        <v/>
      </c>
      <c r="N1261" s="28">
        <f>IF(OR($A1261="",$K1261=""),"",IF($L1261="",IF(TODAY()&gt;$K1261,"Atrasado","En ruta"),IF($L1261&lt;=$K1261,"Sí","No")))</f>
        <v/>
      </c>
      <c r="O1261" s="24">
        <f>IF($A1261="","",COUNTIFS(NOVEDADES!$D$4:$D$1503,$A1261))</f>
        <v/>
      </c>
      <c r="P1261" s="28">
        <f>IF($A1261="","",IF(COUNTIFS(NOVEDADES!$D$4:$D$1503,$A1261,NOVEDADES!$O$4:$O$1503,"SÍ")&gt;0,"No","Sí"))</f>
        <v/>
      </c>
      <c r="Q1261" s="28">
        <f>IF(OR($A1261="",$L1261=""),"",IF(AND($N1261="Sí",$P1261="Sí"),"OTIF","Falló"))</f>
        <v/>
      </c>
    </row>
    <row r="1262" ht="16" customHeight="1">
      <c r="A1262" s="48" t="n"/>
      <c r="B1262" s="48" t="n"/>
      <c r="C1262" s="47" t="n"/>
      <c r="D1262" s="50" t="n"/>
      <c r="E1262" s="50" t="n"/>
      <c r="F1262" s="50" t="n"/>
      <c r="G1262" s="50" t="n"/>
      <c r="H1262" s="48" t="n"/>
      <c r="I1262" s="51" t="n"/>
      <c r="J1262" s="52" t="n"/>
      <c r="K1262" s="47" t="n"/>
      <c r="L1262" s="47" t="n"/>
      <c r="M1262" s="24">
        <f>IF(OR($A1262="",$C1262=""),"",IF($L1262&lt;&gt;"",$L1262-$C1262,TODAY()-$C1262))</f>
        <v/>
      </c>
      <c r="N1262" s="28">
        <f>IF(OR($A1262="",$K1262=""),"",IF($L1262="",IF(TODAY()&gt;$K1262,"Atrasado","En ruta"),IF($L1262&lt;=$K1262,"Sí","No")))</f>
        <v/>
      </c>
      <c r="O1262" s="24">
        <f>IF($A1262="","",COUNTIFS(NOVEDADES!$D$4:$D$1503,$A1262))</f>
        <v/>
      </c>
      <c r="P1262" s="28">
        <f>IF($A1262="","",IF(COUNTIFS(NOVEDADES!$D$4:$D$1503,$A1262,NOVEDADES!$O$4:$O$1503,"SÍ")&gt;0,"No","Sí"))</f>
        <v/>
      </c>
      <c r="Q1262" s="28">
        <f>IF(OR($A1262="",$L1262=""),"",IF(AND($N1262="Sí",$P1262="Sí"),"OTIF","Falló"))</f>
        <v/>
      </c>
    </row>
    <row r="1263" ht="16" customHeight="1">
      <c r="A1263" s="48" t="n"/>
      <c r="B1263" s="48" t="n"/>
      <c r="C1263" s="47" t="n"/>
      <c r="D1263" s="50" t="n"/>
      <c r="E1263" s="50" t="n"/>
      <c r="F1263" s="50" t="n"/>
      <c r="G1263" s="50" t="n"/>
      <c r="H1263" s="48" t="n"/>
      <c r="I1263" s="51" t="n"/>
      <c r="J1263" s="52" t="n"/>
      <c r="K1263" s="47" t="n"/>
      <c r="L1263" s="47" t="n"/>
      <c r="M1263" s="24">
        <f>IF(OR($A1263="",$C1263=""),"",IF($L1263&lt;&gt;"",$L1263-$C1263,TODAY()-$C1263))</f>
        <v/>
      </c>
      <c r="N1263" s="28">
        <f>IF(OR($A1263="",$K1263=""),"",IF($L1263="",IF(TODAY()&gt;$K1263,"Atrasado","En ruta"),IF($L1263&lt;=$K1263,"Sí","No")))</f>
        <v/>
      </c>
      <c r="O1263" s="24">
        <f>IF($A1263="","",COUNTIFS(NOVEDADES!$D$4:$D$1503,$A1263))</f>
        <v/>
      </c>
      <c r="P1263" s="28">
        <f>IF($A1263="","",IF(COUNTIFS(NOVEDADES!$D$4:$D$1503,$A1263,NOVEDADES!$O$4:$O$1503,"SÍ")&gt;0,"No","Sí"))</f>
        <v/>
      </c>
      <c r="Q1263" s="28">
        <f>IF(OR($A1263="",$L1263=""),"",IF(AND($N1263="Sí",$P1263="Sí"),"OTIF","Falló"))</f>
        <v/>
      </c>
    </row>
    <row r="1264" ht="16" customHeight="1">
      <c r="A1264" s="48" t="n"/>
      <c r="B1264" s="48" t="n"/>
      <c r="C1264" s="47" t="n"/>
      <c r="D1264" s="50" t="n"/>
      <c r="E1264" s="50" t="n"/>
      <c r="F1264" s="50" t="n"/>
      <c r="G1264" s="50" t="n"/>
      <c r="H1264" s="48" t="n"/>
      <c r="I1264" s="51" t="n"/>
      <c r="J1264" s="52" t="n"/>
      <c r="K1264" s="47" t="n"/>
      <c r="L1264" s="47" t="n"/>
      <c r="M1264" s="24">
        <f>IF(OR($A1264="",$C1264=""),"",IF($L1264&lt;&gt;"",$L1264-$C1264,TODAY()-$C1264))</f>
        <v/>
      </c>
      <c r="N1264" s="28">
        <f>IF(OR($A1264="",$K1264=""),"",IF($L1264="",IF(TODAY()&gt;$K1264,"Atrasado","En ruta"),IF($L1264&lt;=$K1264,"Sí","No")))</f>
        <v/>
      </c>
      <c r="O1264" s="24">
        <f>IF($A1264="","",COUNTIFS(NOVEDADES!$D$4:$D$1503,$A1264))</f>
        <v/>
      </c>
      <c r="P1264" s="28">
        <f>IF($A1264="","",IF(COUNTIFS(NOVEDADES!$D$4:$D$1503,$A1264,NOVEDADES!$O$4:$O$1503,"SÍ")&gt;0,"No","Sí"))</f>
        <v/>
      </c>
      <c r="Q1264" s="28">
        <f>IF(OR($A1264="",$L1264=""),"",IF(AND($N1264="Sí",$P1264="Sí"),"OTIF","Falló"))</f>
        <v/>
      </c>
    </row>
    <row r="1265" ht="16" customHeight="1">
      <c r="A1265" s="48" t="n"/>
      <c r="B1265" s="48" t="n"/>
      <c r="C1265" s="47" t="n"/>
      <c r="D1265" s="50" t="n"/>
      <c r="E1265" s="50" t="n"/>
      <c r="F1265" s="50" t="n"/>
      <c r="G1265" s="50" t="n"/>
      <c r="H1265" s="48" t="n"/>
      <c r="I1265" s="51" t="n"/>
      <c r="J1265" s="52" t="n"/>
      <c r="K1265" s="47" t="n"/>
      <c r="L1265" s="47" t="n"/>
      <c r="M1265" s="24">
        <f>IF(OR($A1265="",$C1265=""),"",IF($L1265&lt;&gt;"",$L1265-$C1265,TODAY()-$C1265))</f>
        <v/>
      </c>
      <c r="N1265" s="28">
        <f>IF(OR($A1265="",$K1265=""),"",IF($L1265="",IF(TODAY()&gt;$K1265,"Atrasado","En ruta"),IF($L1265&lt;=$K1265,"Sí","No")))</f>
        <v/>
      </c>
      <c r="O1265" s="24">
        <f>IF($A1265="","",COUNTIFS(NOVEDADES!$D$4:$D$1503,$A1265))</f>
        <v/>
      </c>
      <c r="P1265" s="28">
        <f>IF($A1265="","",IF(COUNTIFS(NOVEDADES!$D$4:$D$1503,$A1265,NOVEDADES!$O$4:$O$1503,"SÍ")&gt;0,"No","Sí"))</f>
        <v/>
      </c>
      <c r="Q1265" s="28">
        <f>IF(OR($A1265="",$L1265=""),"",IF(AND($N1265="Sí",$P1265="Sí"),"OTIF","Falló"))</f>
        <v/>
      </c>
    </row>
    <row r="1266" ht="16" customHeight="1">
      <c r="A1266" s="48" t="n"/>
      <c r="B1266" s="48" t="n"/>
      <c r="C1266" s="47" t="n"/>
      <c r="D1266" s="50" t="n"/>
      <c r="E1266" s="50" t="n"/>
      <c r="F1266" s="50" t="n"/>
      <c r="G1266" s="50" t="n"/>
      <c r="H1266" s="48" t="n"/>
      <c r="I1266" s="51" t="n"/>
      <c r="J1266" s="52" t="n"/>
      <c r="K1266" s="47" t="n"/>
      <c r="L1266" s="47" t="n"/>
      <c r="M1266" s="24">
        <f>IF(OR($A1266="",$C1266=""),"",IF($L1266&lt;&gt;"",$L1266-$C1266,TODAY()-$C1266))</f>
        <v/>
      </c>
      <c r="N1266" s="28">
        <f>IF(OR($A1266="",$K1266=""),"",IF($L1266="",IF(TODAY()&gt;$K1266,"Atrasado","En ruta"),IF($L1266&lt;=$K1266,"Sí","No")))</f>
        <v/>
      </c>
      <c r="O1266" s="24">
        <f>IF($A1266="","",COUNTIFS(NOVEDADES!$D$4:$D$1503,$A1266))</f>
        <v/>
      </c>
      <c r="P1266" s="28">
        <f>IF($A1266="","",IF(COUNTIFS(NOVEDADES!$D$4:$D$1503,$A1266,NOVEDADES!$O$4:$O$1503,"SÍ")&gt;0,"No","Sí"))</f>
        <v/>
      </c>
      <c r="Q1266" s="28">
        <f>IF(OR($A1266="",$L1266=""),"",IF(AND($N1266="Sí",$P1266="Sí"),"OTIF","Falló"))</f>
        <v/>
      </c>
    </row>
    <row r="1267" ht="16" customHeight="1">
      <c r="A1267" s="48" t="n"/>
      <c r="B1267" s="48" t="n"/>
      <c r="C1267" s="47" t="n"/>
      <c r="D1267" s="50" t="n"/>
      <c r="E1267" s="50" t="n"/>
      <c r="F1267" s="50" t="n"/>
      <c r="G1267" s="50" t="n"/>
      <c r="H1267" s="48" t="n"/>
      <c r="I1267" s="51" t="n"/>
      <c r="J1267" s="52" t="n"/>
      <c r="K1267" s="47" t="n"/>
      <c r="L1267" s="47" t="n"/>
      <c r="M1267" s="24">
        <f>IF(OR($A1267="",$C1267=""),"",IF($L1267&lt;&gt;"",$L1267-$C1267,TODAY()-$C1267))</f>
        <v/>
      </c>
      <c r="N1267" s="28">
        <f>IF(OR($A1267="",$K1267=""),"",IF($L1267="",IF(TODAY()&gt;$K1267,"Atrasado","En ruta"),IF($L1267&lt;=$K1267,"Sí","No")))</f>
        <v/>
      </c>
      <c r="O1267" s="24">
        <f>IF($A1267="","",COUNTIFS(NOVEDADES!$D$4:$D$1503,$A1267))</f>
        <v/>
      </c>
      <c r="P1267" s="28">
        <f>IF($A1267="","",IF(COUNTIFS(NOVEDADES!$D$4:$D$1503,$A1267,NOVEDADES!$O$4:$O$1503,"SÍ")&gt;0,"No","Sí"))</f>
        <v/>
      </c>
      <c r="Q1267" s="28">
        <f>IF(OR($A1267="",$L1267=""),"",IF(AND($N1267="Sí",$P1267="Sí"),"OTIF","Falló"))</f>
        <v/>
      </c>
    </row>
    <row r="1268" ht="16" customHeight="1">
      <c r="A1268" s="48" t="n"/>
      <c r="B1268" s="48" t="n"/>
      <c r="C1268" s="47" t="n"/>
      <c r="D1268" s="50" t="n"/>
      <c r="E1268" s="50" t="n"/>
      <c r="F1268" s="50" t="n"/>
      <c r="G1268" s="50" t="n"/>
      <c r="H1268" s="48" t="n"/>
      <c r="I1268" s="51" t="n"/>
      <c r="J1268" s="52" t="n"/>
      <c r="K1268" s="47" t="n"/>
      <c r="L1268" s="47" t="n"/>
      <c r="M1268" s="24">
        <f>IF(OR($A1268="",$C1268=""),"",IF($L1268&lt;&gt;"",$L1268-$C1268,TODAY()-$C1268))</f>
        <v/>
      </c>
      <c r="N1268" s="28">
        <f>IF(OR($A1268="",$K1268=""),"",IF($L1268="",IF(TODAY()&gt;$K1268,"Atrasado","En ruta"),IF($L1268&lt;=$K1268,"Sí","No")))</f>
        <v/>
      </c>
      <c r="O1268" s="24">
        <f>IF($A1268="","",COUNTIFS(NOVEDADES!$D$4:$D$1503,$A1268))</f>
        <v/>
      </c>
      <c r="P1268" s="28">
        <f>IF($A1268="","",IF(COUNTIFS(NOVEDADES!$D$4:$D$1503,$A1268,NOVEDADES!$O$4:$O$1503,"SÍ")&gt;0,"No","Sí"))</f>
        <v/>
      </c>
      <c r="Q1268" s="28">
        <f>IF(OR($A1268="",$L1268=""),"",IF(AND($N1268="Sí",$P1268="Sí"),"OTIF","Falló"))</f>
        <v/>
      </c>
    </row>
    <row r="1269" ht="16" customHeight="1">
      <c r="A1269" s="48" t="n"/>
      <c r="B1269" s="48" t="n"/>
      <c r="C1269" s="47" t="n"/>
      <c r="D1269" s="50" t="n"/>
      <c r="E1269" s="50" t="n"/>
      <c r="F1269" s="50" t="n"/>
      <c r="G1269" s="50" t="n"/>
      <c r="H1269" s="48" t="n"/>
      <c r="I1269" s="51" t="n"/>
      <c r="J1269" s="52" t="n"/>
      <c r="K1269" s="47" t="n"/>
      <c r="L1269" s="47" t="n"/>
      <c r="M1269" s="24">
        <f>IF(OR($A1269="",$C1269=""),"",IF($L1269&lt;&gt;"",$L1269-$C1269,TODAY()-$C1269))</f>
        <v/>
      </c>
      <c r="N1269" s="28">
        <f>IF(OR($A1269="",$K1269=""),"",IF($L1269="",IF(TODAY()&gt;$K1269,"Atrasado","En ruta"),IF($L1269&lt;=$K1269,"Sí","No")))</f>
        <v/>
      </c>
      <c r="O1269" s="24">
        <f>IF($A1269="","",COUNTIFS(NOVEDADES!$D$4:$D$1503,$A1269))</f>
        <v/>
      </c>
      <c r="P1269" s="28">
        <f>IF($A1269="","",IF(COUNTIFS(NOVEDADES!$D$4:$D$1503,$A1269,NOVEDADES!$O$4:$O$1503,"SÍ")&gt;0,"No","Sí"))</f>
        <v/>
      </c>
      <c r="Q1269" s="28">
        <f>IF(OR($A1269="",$L1269=""),"",IF(AND($N1269="Sí",$P1269="Sí"),"OTIF","Falló"))</f>
        <v/>
      </c>
    </row>
    <row r="1270" ht="16" customHeight="1">
      <c r="A1270" s="48" t="n"/>
      <c r="B1270" s="48" t="n"/>
      <c r="C1270" s="47" t="n"/>
      <c r="D1270" s="50" t="n"/>
      <c r="E1270" s="50" t="n"/>
      <c r="F1270" s="50" t="n"/>
      <c r="G1270" s="50" t="n"/>
      <c r="H1270" s="48" t="n"/>
      <c r="I1270" s="51" t="n"/>
      <c r="J1270" s="52" t="n"/>
      <c r="K1270" s="47" t="n"/>
      <c r="L1270" s="47" t="n"/>
      <c r="M1270" s="24">
        <f>IF(OR($A1270="",$C1270=""),"",IF($L1270&lt;&gt;"",$L1270-$C1270,TODAY()-$C1270))</f>
        <v/>
      </c>
      <c r="N1270" s="28">
        <f>IF(OR($A1270="",$K1270=""),"",IF($L1270="",IF(TODAY()&gt;$K1270,"Atrasado","En ruta"),IF($L1270&lt;=$K1270,"Sí","No")))</f>
        <v/>
      </c>
      <c r="O1270" s="24">
        <f>IF($A1270="","",COUNTIFS(NOVEDADES!$D$4:$D$1503,$A1270))</f>
        <v/>
      </c>
      <c r="P1270" s="28">
        <f>IF($A1270="","",IF(COUNTIFS(NOVEDADES!$D$4:$D$1503,$A1270,NOVEDADES!$O$4:$O$1503,"SÍ")&gt;0,"No","Sí"))</f>
        <v/>
      </c>
      <c r="Q1270" s="28">
        <f>IF(OR($A1270="",$L1270=""),"",IF(AND($N1270="Sí",$P1270="Sí"),"OTIF","Falló"))</f>
        <v/>
      </c>
    </row>
    <row r="1271" ht="16" customHeight="1">
      <c r="A1271" s="48" t="n"/>
      <c r="B1271" s="48" t="n"/>
      <c r="C1271" s="47" t="n"/>
      <c r="D1271" s="50" t="n"/>
      <c r="E1271" s="50" t="n"/>
      <c r="F1271" s="50" t="n"/>
      <c r="G1271" s="50" t="n"/>
      <c r="H1271" s="48" t="n"/>
      <c r="I1271" s="51" t="n"/>
      <c r="J1271" s="52" t="n"/>
      <c r="K1271" s="47" t="n"/>
      <c r="L1271" s="47" t="n"/>
      <c r="M1271" s="24">
        <f>IF(OR($A1271="",$C1271=""),"",IF($L1271&lt;&gt;"",$L1271-$C1271,TODAY()-$C1271))</f>
        <v/>
      </c>
      <c r="N1271" s="28">
        <f>IF(OR($A1271="",$K1271=""),"",IF($L1271="",IF(TODAY()&gt;$K1271,"Atrasado","En ruta"),IF($L1271&lt;=$K1271,"Sí","No")))</f>
        <v/>
      </c>
      <c r="O1271" s="24">
        <f>IF($A1271="","",COUNTIFS(NOVEDADES!$D$4:$D$1503,$A1271))</f>
        <v/>
      </c>
      <c r="P1271" s="28">
        <f>IF($A1271="","",IF(COUNTIFS(NOVEDADES!$D$4:$D$1503,$A1271,NOVEDADES!$O$4:$O$1503,"SÍ")&gt;0,"No","Sí"))</f>
        <v/>
      </c>
      <c r="Q1271" s="28">
        <f>IF(OR($A1271="",$L1271=""),"",IF(AND($N1271="Sí",$P1271="Sí"),"OTIF","Falló"))</f>
        <v/>
      </c>
    </row>
    <row r="1272" ht="16" customHeight="1">
      <c r="A1272" s="48" t="n"/>
      <c r="B1272" s="48" t="n"/>
      <c r="C1272" s="47" t="n"/>
      <c r="D1272" s="50" t="n"/>
      <c r="E1272" s="50" t="n"/>
      <c r="F1272" s="50" t="n"/>
      <c r="G1272" s="50" t="n"/>
      <c r="H1272" s="48" t="n"/>
      <c r="I1272" s="51" t="n"/>
      <c r="J1272" s="52" t="n"/>
      <c r="K1272" s="47" t="n"/>
      <c r="L1272" s="47" t="n"/>
      <c r="M1272" s="24">
        <f>IF(OR($A1272="",$C1272=""),"",IF($L1272&lt;&gt;"",$L1272-$C1272,TODAY()-$C1272))</f>
        <v/>
      </c>
      <c r="N1272" s="28">
        <f>IF(OR($A1272="",$K1272=""),"",IF($L1272="",IF(TODAY()&gt;$K1272,"Atrasado","En ruta"),IF($L1272&lt;=$K1272,"Sí","No")))</f>
        <v/>
      </c>
      <c r="O1272" s="24">
        <f>IF($A1272="","",COUNTIFS(NOVEDADES!$D$4:$D$1503,$A1272))</f>
        <v/>
      </c>
      <c r="P1272" s="28">
        <f>IF($A1272="","",IF(COUNTIFS(NOVEDADES!$D$4:$D$1503,$A1272,NOVEDADES!$O$4:$O$1503,"SÍ")&gt;0,"No","Sí"))</f>
        <v/>
      </c>
      <c r="Q1272" s="28">
        <f>IF(OR($A1272="",$L1272=""),"",IF(AND($N1272="Sí",$P1272="Sí"),"OTIF","Falló"))</f>
        <v/>
      </c>
    </row>
    <row r="1273" ht="16" customHeight="1">
      <c r="A1273" s="48" t="n"/>
      <c r="B1273" s="48" t="n"/>
      <c r="C1273" s="47" t="n"/>
      <c r="D1273" s="50" t="n"/>
      <c r="E1273" s="50" t="n"/>
      <c r="F1273" s="50" t="n"/>
      <c r="G1273" s="50" t="n"/>
      <c r="H1273" s="48" t="n"/>
      <c r="I1273" s="51" t="n"/>
      <c r="J1273" s="52" t="n"/>
      <c r="K1273" s="47" t="n"/>
      <c r="L1273" s="47" t="n"/>
      <c r="M1273" s="24">
        <f>IF(OR($A1273="",$C1273=""),"",IF($L1273&lt;&gt;"",$L1273-$C1273,TODAY()-$C1273))</f>
        <v/>
      </c>
      <c r="N1273" s="28">
        <f>IF(OR($A1273="",$K1273=""),"",IF($L1273="",IF(TODAY()&gt;$K1273,"Atrasado","En ruta"),IF($L1273&lt;=$K1273,"Sí","No")))</f>
        <v/>
      </c>
      <c r="O1273" s="24">
        <f>IF($A1273="","",COUNTIFS(NOVEDADES!$D$4:$D$1503,$A1273))</f>
        <v/>
      </c>
      <c r="P1273" s="28">
        <f>IF($A1273="","",IF(COUNTIFS(NOVEDADES!$D$4:$D$1503,$A1273,NOVEDADES!$O$4:$O$1503,"SÍ")&gt;0,"No","Sí"))</f>
        <v/>
      </c>
      <c r="Q1273" s="28">
        <f>IF(OR($A1273="",$L1273=""),"",IF(AND($N1273="Sí",$P1273="Sí"),"OTIF","Falló"))</f>
        <v/>
      </c>
    </row>
    <row r="1274" ht="16" customHeight="1">
      <c r="A1274" s="48" t="n"/>
      <c r="B1274" s="48" t="n"/>
      <c r="C1274" s="47" t="n"/>
      <c r="D1274" s="50" t="n"/>
      <c r="E1274" s="50" t="n"/>
      <c r="F1274" s="50" t="n"/>
      <c r="G1274" s="50" t="n"/>
      <c r="H1274" s="48" t="n"/>
      <c r="I1274" s="51" t="n"/>
      <c r="J1274" s="52" t="n"/>
      <c r="K1274" s="47" t="n"/>
      <c r="L1274" s="47" t="n"/>
      <c r="M1274" s="24">
        <f>IF(OR($A1274="",$C1274=""),"",IF($L1274&lt;&gt;"",$L1274-$C1274,TODAY()-$C1274))</f>
        <v/>
      </c>
      <c r="N1274" s="28">
        <f>IF(OR($A1274="",$K1274=""),"",IF($L1274="",IF(TODAY()&gt;$K1274,"Atrasado","En ruta"),IF($L1274&lt;=$K1274,"Sí","No")))</f>
        <v/>
      </c>
      <c r="O1274" s="24">
        <f>IF($A1274="","",COUNTIFS(NOVEDADES!$D$4:$D$1503,$A1274))</f>
        <v/>
      </c>
      <c r="P1274" s="28">
        <f>IF($A1274="","",IF(COUNTIFS(NOVEDADES!$D$4:$D$1503,$A1274,NOVEDADES!$O$4:$O$1503,"SÍ")&gt;0,"No","Sí"))</f>
        <v/>
      </c>
      <c r="Q1274" s="28">
        <f>IF(OR($A1274="",$L1274=""),"",IF(AND($N1274="Sí",$P1274="Sí"),"OTIF","Falló"))</f>
        <v/>
      </c>
    </row>
    <row r="1275" ht="16" customHeight="1">
      <c r="A1275" s="48" t="n"/>
      <c r="B1275" s="48" t="n"/>
      <c r="C1275" s="47" t="n"/>
      <c r="D1275" s="50" t="n"/>
      <c r="E1275" s="50" t="n"/>
      <c r="F1275" s="50" t="n"/>
      <c r="G1275" s="50" t="n"/>
      <c r="H1275" s="48" t="n"/>
      <c r="I1275" s="51" t="n"/>
      <c r="J1275" s="52" t="n"/>
      <c r="K1275" s="47" t="n"/>
      <c r="L1275" s="47" t="n"/>
      <c r="M1275" s="24">
        <f>IF(OR($A1275="",$C1275=""),"",IF($L1275&lt;&gt;"",$L1275-$C1275,TODAY()-$C1275))</f>
        <v/>
      </c>
      <c r="N1275" s="28">
        <f>IF(OR($A1275="",$K1275=""),"",IF($L1275="",IF(TODAY()&gt;$K1275,"Atrasado","En ruta"),IF($L1275&lt;=$K1275,"Sí","No")))</f>
        <v/>
      </c>
      <c r="O1275" s="24">
        <f>IF($A1275="","",COUNTIFS(NOVEDADES!$D$4:$D$1503,$A1275))</f>
        <v/>
      </c>
      <c r="P1275" s="28">
        <f>IF($A1275="","",IF(COUNTIFS(NOVEDADES!$D$4:$D$1503,$A1275,NOVEDADES!$O$4:$O$1503,"SÍ")&gt;0,"No","Sí"))</f>
        <v/>
      </c>
      <c r="Q1275" s="28">
        <f>IF(OR($A1275="",$L1275=""),"",IF(AND($N1275="Sí",$P1275="Sí"),"OTIF","Falló"))</f>
        <v/>
      </c>
    </row>
    <row r="1276" ht="16" customHeight="1">
      <c r="A1276" s="48" t="n"/>
      <c r="B1276" s="48" t="n"/>
      <c r="C1276" s="47" t="n"/>
      <c r="D1276" s="50" t="n"/>
      <c r="E1276" s="50" t="n"/>
      <c r="F1276" s="50" t="n"/>
      <c r="G1276" s="50" t="n"/>
      <c r="H1276" s="48" t="n"/>
      <c r="I1276" s="51" t="n"/>
      <c r="J1276" s="52" t="n"/>
      <c r="K1276" s="47" t="n"/>
      <c r="L1276" s="47" t="n"/>
      <c r="M1276" s="24">
        <f>IF(OR($A1276="",$C1276=""),"",IF($L1276&lt;&gt;"",$L1276-$C1276,TODAY()-$C1276))</f>
        <v/>
      </c>
      <c r="N1276" s="28">
        <f>IF(OR($A1276="",$K1276=""),"",IF($L1276="",IF(TODAY()&gt;$K1276,"Atrasado","En ruta"),IF($L1276&lt;=$K1276,"Sí","No")))</f>
        <v/>
      </c>
      <c r="O1276" s="24">
        <f>IF($A1276="","",COUNTIFS(NOVEDADES!$D$4:$D$1503,$A1276))</f>
        <v/>
      </c>
      <c r="P1276" s="28">
        <f>IF($A1276="","",IF(COUNTIFS(NOVEDADES!$D$4:$D$1503,$A1276,NOVEDADES!$O$4:$O$1503,"SÍ")&gt;0,"No","Sí"))</f>
        <v/>
      </c>
      <c r="Q1276" s="28">
        <f>IF(OR($A1276="",$L1276=""),"",IF(AND($N1276="Sí",$P1276="Sí"),"OTIF","Falló"))</f>
        <v/>
      </c>
    </row>
    <row r="1277" ht="16" customHeight="1">
      <c r="A1277" s="48" t="n"/>
      <c r="B1277" s="48" t="n"/>
      <c r="C1277" s="47" t="n"/>
      <c r="D1277" s="50" t="n"/>
      <c r="E1277" s="50" t="n"/>
      <c r="F1277" s="50" t="n"/>
      <c r="G1277" s="50" t="n"/>
      <c r="H1277" s="48" t="n"/>
      <c r="I1277" s="51" t="n"/>
      <c r="J1277" s="52" t="n"/>
      <c r="K1277" s="47" t="n"/>
      <c r="L1277" s="47" t="n"/>
      <c r="M1277" s="24">
        <f>IF(OR($A1277="",$C1277=""),"",IF($L1277&lt;&gt;"",$L1277-$C1277,TODAY()-$C1277))</f>
        <v/>
      </c>
      <c r="N1277" s="28">
        <f>IF(OR($A1277="",$K1277=""),"",IF($L1277="",IF(TODAY()&gt;$K1277,"Atrasado","En ruta"),IF($L1277&lt;=$K1277,"Sí","No")))</f>
        <v/>
      </c>
      <c r="O1277" s="24">
        <f>IF($A1277="","",COUNTIFS(NOVEDADES!$D$4:$D$1503,$A1277))</f>
        <v/>
      </c>
      <c r="P1277" s="28">
        <f>IF($A1277="","",IF(COUNTIFS(NOVEDADES!$D$4:$D$1503,$A1277,NOVEDADES!$O$4:$O$1503,"SÍ")&gt;0,"No","Sí"))</f>
        <v/>
      </c>
      <c r="Q1277" s="28">
        <f>IF(OR($A1277="",$L1277=""),"",IF(AND($N1277="Sí",$P1277="Sí"),"OTIF","Falló"))</f>
        <v/>
      </c>
    </row>
    <row r="1278" ht="16" customHeight="1">
      <c r="A1278" s="48" t="n"/>
      <c r="B1278" s="48" t="n"/>
      <c r="C1278" s="47" t="n"/>
      <c r="D1278" s="50" t="n"/>
      <c r="E1278" s="50" t="n"/>
      <c r="F1278" s="50" t="n"/>
      <c r="G1278" s="50" t="n"/>
      <c r="H1278" s="48" t="n"/>
      <c r="I1278" s="51" t="n"/>
      <c r="J1278" s="52" t="n"/>
      <c r="K1278" s="47" t="n"/>
      <c r="L1278" s="47" t="n"/>
      <c r="M1278" s="24">
        <f>IF(OR($A1278="",$C1278=""),"",IF($L1278&lt;&gt;"",$L1278-$C1278,TODAY()-$C1278))</f>
        <v/>
      </c>
      <c r="N1278" s="28">
        <f>IF(OR($A1278="",$K1278=""),"",IF($L1278="",IF(TODAY()&gt;$K1278,"Atrasado","En ruta"),IF($L1278&lt;=$K1278,"Sí","No")))</f>
        <v/>
      </c>
      <c r="O1278" s="24">
        <f>IF($A1278="","",COUNTIFS(NOVEDADES!$D$4:$D$1503,$A1278))</f>
        <v/>
      </c>
      <c r="P1278" s="28">
        <f>IF($A1278="","",IF(COUNTIFS(NOVEDADES!$D$4:$D$1503,$A1278,NOVEDADES!$O$4:$O$1503,"SÍ")&gt;0,"No","Sí"))</f>
        <v/>
      </c>
      <c r="Q1278" s="28">
        <f>IF(OR($A1278="",$L1278=""),"",IF(AND($N1278="Sí",$P1278="Sí"),"OTIF","Falló"))</f>
        <v/>
      </c>
    </row>
    <row r="1279" ht="16" customHeight="1">
      <c r="A1279" s="48" t="n"/>
      <c r="B1279" s="48" t="n"/>
      <c r="C1279" s="47" t="n"/>
      <c r="D1279" s="50" t="n"/>
      <c r="E1279" s="50" t="n"/>
      <c r="F1279" s="50" t="n"/>
      <c r="G1279" s="50" t="n"/>
      <c r="H1279" s="48" t="n"/>
      <c r="I1279" s="51" t="n"/>
      <c r="J1279" s="52" t="n"/>
      <c r="K1279" s="47" t="n"/>
      <c r="L1279" s="47" t="n"/>
      <c r="M1279" s="24">
        <f>IF(OR($A1279="",$C1279=""),"",IF($L1279&lt;&gt;"",$L1279-$C1279,TODAY()-$C1279))</f>
        <v/>
      </c>
      <c r="N1279" s="28">
        <f>IF(OR($A1279="",$K1279=""),"",IF($L1279="",IF(TODAY()&gt;$K1279,"Atrasado","En ruta"),IF($L1279&lt;=$K1279,"Sí","No")))</f>
        <v/>
      </c>
      <c r="O1279" s="24">
        <f>IF($A1279="","",COUNTIFS(NOVEDADES!$D$4:$D$1503,$A1279))</f>
        <v/>
      </c>
      <c r="P1279" s="28">
        <f>IF($A1279="","",IF(COUNTIFS(NOVEDADES!$D$4:$D$1503,$A1279,NOVEDADES!$O$4:$O$1503,"SÍ")&gt;0,"No","Sí"))</f>
        <v/>
      </c>
      <c r="Q1279" s="28">
        <f>IF(OR($A1279="",$L1279=""),"",IF(AND($N1279="Sí",$P1279="Sí"),"OTIF","Falló"))</f>
        <v/>
      </c>
    </row>
    <row r="1280" ht="16" customHeight="1">
      <c r="A1280" s="48" t="n"/>
      <c r="B1280" s="48" t="n"/>
      <c r="C1280" s="47" t="n"/>
      <c r="D1280" s="50" t="n"/>
      <c r="E1280" s="50" t="n"/>
      <c r="F1280" s="50" t="n"/>
      <c r="G1280" s="50" t="n"/>
      <c r="H1280" s="48" t="n"/>
      <c r="I1280" s="51" t="n"/>
      <c r="J1280" s="52" t="n"/>
      <c r="K1280" s="47" t="n"/>
      <c r="L1280" s="47" t="n"/>
      <c r="M1280" s="24">
        <f>IF(OR($A1280="",$C1280=""),"",IF($L1280&lt;&gt;"",$L1280-$C1280,TODAY()-$C1280))</f>
        <v/>
      </c>
      <c r="N1280" s="28">
        <f>IF(OR($A1280="",$K1280=""),"",IF($L1280="",IF(TODAY()&gt;$K1280,"Atrasado","En ruta"),IF($L1280&lt;=$K1280,"Sí","No")))</f>
        <v/>
      </c>
      <c r="O1280" s="24">
        <f>IF($A1280="","",COUNTIFS(NOVEDADES!$D$4:$D$1503,$A1280))</f>
        <v/>
      </c>
      <c r="P1280" s="28">
        <f>IF($A1280="","",IF(COUNTIFS(NOVEDADES!$D$4:$D$1503,$A1280,NOVEDADES!$O$4:$O$1503,"SÍ")&gt;0,"No","Sí"))</f>
        <v/>
      </c>
      <c r="Q1280" s="28">
        <f>IF(OR($A1280="",$L1280=""),"",IF(AND($N1280="Sí",$P1280="Sí"),"OTIF","Falló"))</f>
        <v/>
      </c>
    </row>
    <row r="1281" ht="16" customHeight="1">
      <c r="A1281" s="48" t="n"/>
      <c r="B1281" s="48" t="n"/>
      <c r="C1281" s="47" t="n"/>
      <c r="D1281" s="50" t="n"/>
      <c r="E1281" s="50" t="n"/>
      <c r="F1281" s="50" t="n"/>
      <c r="G1281" s="50" t="n"/>
      <c r="H1281" s="48" t="n"/>
      <c r="I1281" s="51" t="n"/>
      <c r="J1281" s="52" t="n"/>
      <c r="K1281" s="47" t="n"/>
      <c r="L1281" s="47" t="n"/>
      <c r="M1281" s="24">
        <f>IF(OR($A1281="",$C1281=""),"",IF($L1281&lt;&gt;"",$L1281-$C1281,TODAY()-$C1281))</f>
        <v/>
      </c>
      <c r="N1281" s="28">
        <f>IF(OR($A1281="",$K1281=""),"",IF($L1281="",IF(TODAY()&gt;$K1281,"Atrasado","En ruta"),IF($L1281&lt;=$K1281,"Sí","No")))</f>
        <v/>
      </c>
      <c r="O1281" s="24">
        <f>IF($A1281="","",COUNTIFS(NOVEDADES!$D$4:$D$1503,$A1281))</f>
        <v/>
      </c>
      <c r="P1281" s="28">
        <f>IF($A1281="","",IF(COUNTIFS(NOVEDADES!$D$4:$D$1503,$A1281,NOVEDADES!$O$4:$O$1503,"SÍ")&gt;0,"No","Sí"))</f>
        <v/>
      </c>
      <c r="Q1281" s="28">
        <f>IF(OR($A1281="",$L1281=""),"",IF(AND($N1281="Sí",$P1281="Sí"),"OTIF","Falló"))</f>
        <v/>
      </c>
    </row>
    <row r="1282" ht="16" customHeight="1">
      <c r="A1282" s="48" t="n"/>
      <c r="B1282" s="48" t="n"/>
      <c r="C1282" s="47" t="n"/>
      <c r="D1282" s="50" t="n"/>
      <c r="E1282" s="50" t="n"/>
      <c r="F1282" s="50" t="n"/>
      <c r="G1282" s="50" t="n"/>
      <c r="H1282" s="48" t="n"/>
      <c r="I1282" s="51" t="n"/>
      <c r="J1282" s="52" t="n"/>
      <c r="K1282" s="47" t="n"/>
      <c r="L1282" s="47" t="n"/>
      <c r="M1282" s="24">
        <f>IF(OR($A1282="",$C1282=""),"",IF($L1282&lt;&gt;"",$L1282-$C1282,TODAY()-$C1282))</f>
        <v/>
      </c>
      <c r="N1282" s="28">
        <f>IF(OR($A1282="",$K1282=""),"",IF($L1282="",IF(TODAY()&gt;$K1282,"Atrasado","En ruta"),IF($L1282&lt;=$K1282,"Sí","No")))</f>
        <v/>
      </c>
      <c r="O1282" s="24">
        <f>IF($A1282="","",COUNTIFS(NOVEDADES!$D$4:$D$1503,$A1282))</f>
        <v/>
      </c>
      <c r="P1282" s="28">
        <f>IF($A1282="","",IF(COUNTIFS(NOVEDADES!$D$4:$D$1503,$A1282,NOVEDADES!$O$4:$O$1503,"SÍ")&gt;0,"No","Sí"))</f>
        <v/>
      </c>
      <c r="Q1282" s="28">
        <f>IF(OR($A1282="",$L1282=""),"",IF(AND($N1282="Sí",$P1282="Sí"),"OTIF","Falló"))</f>
        <v/>
      </c>
    </row>
    <row r="1283" ht="16" customHeight="1">
      <c r="A1283" s="48" t="n"/>
      <c r="B1283" s="48" t="n"/>
      <c r="C1283" s="47" t="n"/>
      <c r="D1283" s="50" t="n"/>
      <c r="E1283" s="50" t="n"/>
      <c r="F1283" s="50" t="n"/>
      <c r="G1283" s="50" t="n"/>
      <c r="H1283" s="48" t="n"/>
      <c r="I1283" s="51" t="n"/>
      <c r="J1283" s="52" t="n"/>
      <c r="K1283" s="47" t="n"/>
      <c r="L1283" s="47" t="n"/>
      <c r="M1283" s="24">
        <f>IF(OR($A1283="",$C1283=""),"",IF($L1283&lt;&gt;"",$L1283-$C1283,TODAY()-$C1283))</f>
        <v/>
      </c>
      <c r="N1283" s="28">
        <f>IF(OR($A1283="",$K1283=""),"",IF($L1283="",IF(TODAY()&gt;$K1283,"Atrasado","En ruta"),IF($L1283&lt;=$K1283,"Sí","No")))</f>
        <v/>
      </c>
      <c r="O1283" s="24">
        <f>IF($A1283="","",COUNTIFS(NOVEDADES!$D$4:$D$1503,$A1283))</f>
        <v/>
      </c>
      <c r="P1283" s="28">
        <f>IF($A1283="","",IF(COUNTIFS(NOVEDADES!$D$4:$D$1503,$A1283,NOVEDADES!$O$4:$O$1503,"SÍ")&gt;0,"No","Sí"))</f>
        <v/>
      </c>
      <c r="Q1283" s="28">
        <f>IF(OR($A1283="",$L1283=""),"",IF(AND($N1283="Sí",$P1283="Sí"),"OTIF","Falló"))</f>
        <v/>
      </c>
    </row>
    <row r="1284" ht="16" customHeight="1">
      <c r="A1284" s="48" t="n"/>
      <c r="B1284" s="48" t="n"/>
      <c r="C1284" s="47" t="n"/>
      <c r="D1284" s="50" t="n"/>
      <c r="E1284" s="50" t="n"/>
      <c r="F1284" s="50" t="n"/>
      <c r="G1284" s="50" t="n"/>
      <c r="H1284" s="48" t="n"/>
      <c r="I1284" s="51" t="n"/>
      <c r="J1284" s="52" t="n"/>
      <c r="K1284" s="47" t="n"/>
      <c r="L1284" s="47" t="n"/>
      <c r="M1284" s="24">
        <f>IF(OR($A1284="",$C1284=""),"",IF($L1284&lt;&gt;"",$L1284-$C1284,TODAY()-$C1284))</f>
        <v/>
      </c>
      <c r="N1284" s="28">
        <f>IF(OR($A1284="",$K1284=""),"",IF($L1284="",IF(TODAY()&gt;$K1284,"Atrasado","En ruta"),IF($L1284&lt;=$K1284,"Sí","No")))</f>
        <v/>
      </c>
      <c r="O1284" s="24">
        <f>IF($A1284="","",COUNTIFS(NOVEDADES!$D$4:$D$1503,$A1284))</f>
        <v/>
      </c>
      <c r="P1284" s="28">
        <f>IF($A1284="","",IF(COUNTIFS(NOVEDADES!$D$4:$D$1503,$A1284,NOVEDADES!$O$4:$O$1503,"SÍ")&gt;0,"No","Sí"))</f>
        <v/>
      </c>
      <c r="Q1284" s="28">
        <f>IF(OR($A1284="",$L1284=""),"",IF(AND($N1284="Sí",$P1284="Sí"),"OTIF","Falló"))</f>
        <v/>
      </c>
    </row>
    <row r="1285" ht="16" customHeight="1">
      <c r="A1285" s="48" t="n"/>
      <c r="B1285" s="48" t="n"/>
      <c r="C1285" s="47" t="n"/>
      <c r="D1285" s="50" t="n"/>
      <c r="E1285" s="50" t="n"/>
      <c r="F1285" s="50" t="n"/>
      <c r="G1285" s="50" t="n"/>
      <c r="H1285" s="48" t="n"/>
      <c r="I1285" s="51" t="n"/>
      <c r="J1285" s="52" t="n"/>
      <c r="K1285" s="47" t="n"/>
      <c r="L1285" s="47" t="n"/>
      <c r="M1285" s="24">
        <f>IF(OR($A1285="",$C1285=""),"",IF($L1285&lt;&gt;"",$L1285-$C1285,TODAY()-$C1285))</f>
        <v/>
      </c>
      <c r="N1285" s="28">
        <f>IF(OR($A1285="",$K1285=""),"",IF($L1285="",IF(TODAY()&gt;$K1285,"Atrasado","En ruta"),IF($L1285&lt;=$K1285,"Sí","No")))</f>
        <v/>
      </c>
      <c r="O1285" s="24">
        <f>IF($A1285="","",COUNTIFS(NOVEDADES!$D$4:$D$1503,$A1285))</f>
        <v/>
      </c>
      <c r="P1285" s="28">
        <f>IF($A1285="","",IF(COUNTIFS(NOVEDADES!$D$4:$D$1503,$A1285,NOVEDADES!$O$4:$O$1503,"SÍ")&gt;0,"No","Sí"))</f>
        <v/>
      </c>
      <c r="Q1285" s="28">
        <f>IF(OR($A1285="",$L1285=""),"",IF(AND($N1285="Sí",$P1285="Sí"),"OTIF","Falló"))</f>
        <v/>
      </c>
    </row>
    <row r="1286" ht="16" customHeight="1">
      <c r="A1286" s="48" t="n"/>
      <c r="B1286" s="48" t="n"/>
      <c r="C1286" s="47" t="n"/>
      <c r="D1286" s="50" t="n"/>
      <c r="E1286" s="50" t="n"/>
      <c r="F1286" s="50" t="n"/>
      <c r="G1286" s="50" t="n"/>
      <c r="H1286" s="48" t="n"/>
      <c r="I1286" s="51" t="n"/>
      <c r="J1286" s="52" t="n"/>
      <c r="K1286" s="47" t="n"/>
      <c r="L1286" s="47" t="n"/>
      <c r="M1286" s="24">
        <f>IF(OR($A1286="",$C1286=""),"",IF($L1286&lt;&gt;"",$L1286-$C1286,TODAY()-$C1286))</f>
        <v/>
      </c>
      <c r="N1286" s="28">
        <f>IF(OR($A1286="",$K1286=""),"",IF($L1286="",IF(TODAY()&gt;$K1286,"Atrasado","En ruta"),IF($L1286&lt;=$K1286,"Sí","No")))</f>
        <v/>
      </c>
      <c r="O1286" s="24">
        <f>IF($A1286="","",COUNTIFS(NOVEDADES!$D$4:$D$1503,$A1286))</f>
        <v/>
      </c>
      <c r="P1286" s="28">
        <f>IF($A1286="","",IF(COUNTIFS(NOVEDADES!$D$4:$D$1503,$A1286,NOVEDADES!$O$4:$O$1503,"SÍ")&gt;0,"No","Sí"))</f>
        <v/>
      </c>
      <c r="Q1286" s="28">
        <f>IF(OR($A1286="",$L1286=""),"",IF(AND($N1286="Sí",$P1286="Sí"),"OTIF","Falló"))</f>
        <v/>
      </c>
    </row>
    <row r="1287" ht="16" customHeight="1">
      <c r="A1287" s="48" t="n"/>
      <c r="B1287" s="48" t="n"/>
      <c r="C1287" s="47" t="n"/>
      <c r="D1287" s="50" t="n"/>
      <c r="E1287" s="50" t="n"/>
      <c r="F1287" s="50" t="n"/>
      <c r="G1287" s="50" t="n"/>
      <c r="H1287" s="48" t="n"/>
      <c r="I1287" s="51" t="n"/>
      <c r="J1287" s="52" t="n"/>
      <c r="K1287" s="47" t="n"/>
      <c r="L1287" s="47" t="n"/>
      <c r="M1287" s="24">
        <f>IF(OR($A1287="",$C1287=""),"",IF($L1287&lt;&gt;"",$L1287-$C1287,TODAY()-$C1287))</f>
        <v/>
      </c>
      <c r="N1287" s="28">
        <f>IF(OR($A1287="",$K1287=""),"",IF($L1287="",IF(TODAY()&gt;$K1287,"Atrasado","En ruta"),IF($L1287&lt;=$K1287,"Sí","No")))</f>
        <v/>
      </c>
      <c r="O1287" s="24">
        <f>IF($A1287="","",COUNTIFS(NOVEDADES!$D$4:$D$1503,$A1287))</f>
        <v/>
      </c>
      <c r="P1287" s="28">
        <f>IF($A1287="","",IF(COUNTIFS(NOVEDADES!$D$4:$D$1503,$A1287,NOVEDADES!$O$4:$O$1503,"SÍ")&gt;0,"No","Sí"))</f>
        <v/>
      </c>
      <c r="Q1287" s="28">
        <f>IF(OR($A1287="",$L1287=""),"",IF(AND($N1287="Sí",$P1287="Sí"),"OTIF","Falló"))</f>
        <v/>
      </c>
    </row>
    <row r="1288" ht="16" customHeight="1">
      <c r="A1288" s="48" t="n"/>
      <c r="B1288" s="48" t="n"/>
      <c r="C1288" s="47" t="n"/>
      <c r="D1288" s="50" t="n"/>
      <c r="E1288" s="50" t="n"/>
      <c r="F1288" s="50" t="n"/>
      <c r="G1288" s="50" t="n"/>
      <c r="H1288" s="48" t="n"/>
      <c r="I1288" s="51" t="n"/>
      <c r="J1288" s="52" t="n"/>
      <c r="K1288" s="47" t="n"/>
      <c r="L1288" s="47" t="n"/>
      <c r="M1288" s="24">
        <f>IF(OR($A1288="",$C1288=""),"",IF($L1288&lt;&gt;"",$L1288-$C1288,TODAY()-$C1288))</f>
        <v/>
      </c>
      <c r="N1288" s="28">
        <f>IF(OR($A1288="",$K1288=""),"",IF($L1288="",IF(TODAY()&gt;$K1288,"Atrasado","En ruta"),IF($L1288&lt;=$K1288,"Sí","No")))</f>
        <v/>
      </c>
      <c r="O1288" s="24">
        <f>IF($A1288="","",COUNTIFS(NOVEDADES!$D$4:$D$1503,$A1288))</f>
        <v/>
      </c>
      <c r="P1288" s="28">
        <f>IF($A1288="","",IF(COUNTIFS(NOVEDADES!$D$4:$D$1503,$A1288,NOVEDADES!$O$4:$O$1503,"SÍ")&gt;0,"No","Sí"))</f>
        <v/>
      </c>
      <c r="Q1288" s="28">
        <f>IF(OR($A1288="",$L1288=""),"",IF(AND($N1288="Sí",$P1288="Sí"),"OTIF","Falló"))</f>
        <v/>
      </c>
    </row>
    <row r="1289" ht="16" customHeight="1">
      <c r="A1289" s="48" t="n"/>
      <c r="B1289" s="48" t="n"/>
      <c r="C1289" s="47" t="n"/>
      <c r="D1289" s="50" t="n"/>
      <c r="E1289" s="50" t="n"/>
      <c r="F1289" s="50" t="n"/>
      <c r="G1289" s="50" t="n"/>
      <c r="H1289" s="48" t="n"/>
      <c r="I1289" s="51" t="n"/>
      <c r="J1289" s="52" t="n"/>
      <c r="K1289" s="47" t="n"/>
      <c r="L1289" s="47" t="n"/>
      <c r="M1289" s="24">
        <f>IF(OR($A1289="",$C1289=""),"",IF($L1289&lt;&gt;"",$L1289-$C1289,TODAY()-$C1289))</f>
        <v/>
      </c>
      <c r="N1289" s="28">
        <f>IF(OR($A1289="",$K1289=""),"",IF($L1289="",IF(TODAY()&gt;$K1289,"Atrasado","En ruta"),IF($L1289&lt;=$K1289,"Sí","No")))</f>
        <v/>
      </c>
      <c r="O1289" s="24">
        <f>IF($A1289="","",COUNTIFS(NOVEDADES!$D$4:$D$1503,$A1289))</f>
        <v/>
      </c>
      <c r="P1289" s="28">
        <f>IF($A1289="","",IF(COUNTIFS(NOVEDADES!$D$4:$D$1503,$A1289,NOVEDADES!$O$4:$O$1503,"SÍ")&gt;0,"No","Sí"))</f>
        <v/>
      </c>
      <c r="Q1289" s="28">
        <f>IF(OR($A1289="",$L1289=""),"",IF(AND($N1289="Sí",$P1289="Sí"),"OTIF","Falló"))</f>
        <v/>
      </c>
    </row>
    <row r="1290" ht="16" customHeight="1">
      <c r="A1290" s="48" t="n"/>
      <c r="B1290" s="48" t="n"/>
      <c r="C1290" s="47" t="n"/>
      <c r="D1290" s="50" t="n"/>
      <c r="E1290" s="50" t="n"/>
      <c r="F1290" s="50" t="n"/>
      <c r="G1290" s="50" t="n"/>
      <c r="H1290" s="48" t="n"/>
      <c r="I1290" s="51" t="n"/>
      <c r="J1290" s="52" t="n"/>
      <c r="K1290" s="47" t="n"/>
      <c r="L1290" s="47" t="n"/>
      <c r="M1290" s="24">
        <f>IF(OR($A1290="",$C1290=""),"",IF($L1290&lt;&gt;"",$L1290-$C1290,TODAY()-$C1290))</f>
        <v/>
      </c>
      <c r="N1290" s="28">
        <f>IF(OR($A1290="",$K1290=""),"",IF($L1290="",IF(TODAY()&gt;$K1290,"Atrasado","En ruta"),IF($L1290&lt;=$K1290,"Sí","No")))</f>
        <v/>
      </c>
      <c r="O1290" s="24">
        <f>IF($A1290="","",COUNTIFS(NOVEDADES!$D$4:$D$1503,$A1290))</f>
        <v/>
      </c>
      <c r="P1290" s="28">
        <f>IF($A1290="","",IF(COUNTIFS(NOVEDADES!$D$4:$D$1503,$A1290,NOVEDADES!$O$4:$O$1503,"SÍ")&gt;0,"No","Sí"))</f>
        <v/>
      </c>
      <c r="Q1290" s="28">
        <f>IF(OR($A1290="",$L1290=""),"",IF(AND($N1290="Sí",$P1290="Sí"),"OTIF","Falló"))</f>
        <v/>
      </c>
    </row>
    <row r="1291" ht="16" customHeight="1">
      <c r="A1291" s="48" t="n"/>
      <c r="B1291" s="48" t="n"/>
      <c r="C1291" s="47" t="n"/>
      <c r="D1291" s="50" t="n"/>
      <c r="E1291" s="50" t="n"/>
      <c r="F1291" s="50" t="n"/>
      <c r="G1291" s="50" t="n"/>
      <c r="H1291" s="48" t="n"/>
      <c r="I1291" s="51" t="n"/>
      <c r="J1291" s="52" t="n"/>
      <c r="K1291" s="47" t="n"/>
      <c r="L1291" s="47" t="n"/>
      <c r="M1291" s="24">
        <f>IF(OR($A1291="",$C1291=""),"",IF($L1291&lt;&gt;"",$L1291-$C1291,TODAY()-$C1291))</f>
        <v/>
      </c>
      <c r="N1291" s="28">
        <f>IF(OR($A1291="",$K1291=""),"",IF($L1291="",IF(TODAY()&gt;$K1291,"Atrasado","En ruta"),IF($L1291&lt;=$K1291,"Sí","No")))</f>
        <v/>
      </c>
      <c r="O1291" s="24">
        <f>IF($A1291="","",COUNTIFS(NOVEDADES!$D$4:$D$1503,$A1291))</f>
        <v/>
      </c>
      <c r="P1291" s="28">
        <f>IF($A1291="","",IF(COUNTIFS(NOVEDADES!$D$4:$D$1503,$A1291,NOVEDADES!$O$4:$O$1503,"SÍ")&gt;0,"No","Sí"))</f>
        <v/>
      </c>
      <c r="Q1291" s="28">
        <f>IF(OR($A1291="",$L1291=""),"",IF(AND($N1291="Sí",$P1291="Sí"),"OTIF","Falló"))</f>
        <v/>
      </c>
    </row>
    <row r="1292" ht="16" customHeight="1">
      <c r="A1292" s="48" t="n"/>
      <c r="B1292" s="48" t="n"/>
      <c r="C1292" s="47" t="n"/>
      <c r="D1292" s="50" t="n"/>
      <c r="E1292" s="50" t="n"/>
      <c r="F1292" s="50" t="n"/>
      <c r="G1292" s="50" t="n"/>
      <c r="H1292" s="48" t="n"/>
      <c r="I1292" s="51" t="n"/>
      <c r="J1292" s="52" t="n"/>
      <c r="K1292" s="47" t="n"/>
      <c r="L1292" s="47" t="n"/>
      <c r="M1292" s="24">
        <f>IF(OR($A1292="",$C1292=""),"",IF($L1292&lt;&gt;"",$L1292-$C1292,TODAY()-$C1292))</f>
        <v/>
      </c>
      <c r="N1292" s="28">
        <f>IF(OR($A1292="",$K1292=""),"",IF($L1292="",IF(TODAY()&gt;$K1292,"Atrasado","En ruta"),IF($L1292&lt;=$K1292,"Sí","No")))</f>
        <v/>
      </c>
      <c r="O1292" s="24">
        <f>IF($A1292="","",COUNTIFS(NOVEDADES!$D$4:$D$1503,$A1292))</f>
        <v/>
      </c>
      <c r="P1292" s="28">
        <f>IF($A1292="","",IF(COUNTIFS(NOVEDADES!$D$4:$D$1503,$A1292,NOVEDADES!$O$4:$O$1503,"SÍ")&gt;0,"No","Sí"))</f>
        <v/>
      </c>
      <c r="Q1292" s="28">
        <f>IF(OR($A1292="",$L1292=""),"",IF(AND($N1292="Sí",$P1292="Sí"),"OTIF","Falló"))</f>
        <v/>
      </c>
    </row>
    <row r="1293" ht="16" customHeight="1">
      <c r="A1293" s="48" t="n"/>
      <c r="B1293" s="48" t="n"/>
      <c r="C1293" s="47" t="n"/>
      <c r="D1293" s="50" t="n"/>
      <c r="E1293" s="50" t="n"/>
      <c r="F1293" s="50" t="n"/>
      <c r="G1293" s="50" t="n"/>
      <c r="H1293" s="48" t="n"/>
      <c r="I1293" s="51" t="n"/>
      <c r="J1293" s="52" t="n"/>
      <c r="K1293" s="47" t="n"/>
      <c r="L1293" s="47" t="n"/>
      <c r="M1293" s="24">
        <f>IF(OR($A1293="",$C1293=""),"",IF($L1293&lt;&gt;"",$L1293-$C1293,TODAY()-$C1293))</f>
        <v/>
      </c>
      <c r="N1293" s="28">
        <f>IF(OR($A1293="",$K1293=""),"",IF($L1293="",IF(TODAY()&gt;$K1293,"Atrasado","En ruta"),IF($L1293&lt;=$K1293,"Sí","No")))</f>
        <v/>
      </c>
      <c r="O1293" s="24">
        <f>IF($A1293="","",COUNTIFS(NOVEDADES!$D$4:$D$1503,$A1293))</f>
        <v/>
      </c>
      <c r="P1293" s="28">
        <f>IF($A1293="","",IF(COUNTIFS(NOVEDADES!$D$4:$D$1503,$A1293,NOVEDADES!$O$4:$O$1503,"SÍ")&gt;0,"No","Sí"))</f>
        <v/>
      </c>
      <c r="Q1293" s="28">
        <f>IF(OR($A1293="",$L1293=""),"",IF(AND($N1293="Sí",$P1293="Sí"),"OTIF","Falló"))</f>
        <v/>
      </c>
    </row>
    <row r="1294" ht="16" customHeight="1">
      <c r="A1294" s="48" t="n"/>
      <c r="B1294" s="48" t="n"/>
      <c r="C1294" s="47" t="n"/>
      <c r="D1294" s="50" t="n"/>
      <c r="E1294" s="50" t="n"/>
      <c r="F1294" s="50" t="n"/>
      <c r="G1294" s="50" t="n"/>
      <c r="H1294" s="48" t="n"/>
      <c r="I1294" s="51" t="n"/>
      <c r="J1294" s="52" t="n"/>
      <c r="K1294" s="47" t="n"/>
      <c r="L1294" s="47" t="n"/>
      <c r="M1294" s="24">
        <f>IF(OR($A1294="",$C1294=""),"",IF($L1294&lt;&gt;"",$L1294-$C1294,TODAY()-$C1294))</f>
        <v/>
      </c>
      <c r="N1294" s="28">
        <f>IF(OR($A1294="",$K1294=""),"",IF($L1294="",IF(TODAY()&gt;$K1294,"Atrasado","En ruta"),IF($L1294&lt;=$K1294,"Sí","No")))</f>
        <v/>
      </c>
      <c r="O1294" s="24">
        <f>IF($A1294="","",COUNTIFS(NOVEDADES!$D$4:$D$1503,$A1294))</f>
        <v/>
      </c>
      <c r="P1294" s="28">
        <f>IF($A1294="","",IF(COUNTIFS(NOVEDADES!$D$4:$D$1503,$A1294,NOVEDADES!$O$4:$O$1503,"SÍ")&gt;0,"No","Sí"))</f>
        <v/>
      </c>
      <c r="Q1294" s="28">
        <f>IF(OR($A1294="",$L1294=""),"",IF(AND($N1294="Sí",$P1294="Sí"),"OTIF","Falló"))</f>
        <v/>
      </c>
    </row>
    <row r="1295" ht="16" customHeight="1">
      <c r="A1295" s="48" t="n"/>
      <c r="B1295" s="48" t="n"/>
      <c r="C1295" s="47" t="n"/>
      <c r="D1295" s="50" t="n"/>
      <c r="E1295" s="50" t="n"/>
      <c r="F1295" s="50" t="n"/>
      <c r="G1295" s="50" t="n"/>
      <c r="H1295" s="48" t="n"/>
      <c r="I1295" s="51" t="n"/>
      <c r="J1295" s="52" t="n"/>
      <c r="K1295" s="47" t="n"/>
      <c r="L1295" s="47" t="n"/>
      <c r="M1295" s="24">
        <f>IF(OR($A1295="",$C1295=""),"",IF($L1295&lt;&gt;"",$L1295-$C1295,TODAY()-$C1295))</f>
        <v/>
      </c>
      <c r="N1295" s="28">
        <f>IF(OR($A1295="",$K1295=""),"",IF($L1295="",IF(TODAY()&gt;$K1295,"Atrasado","En ruta"),IF($L1295&lt;=$K1295,"Sí","No")))</f>
        <v/>
      </c>
      <c r="O1295" s="24">
        <f>IF($A1295="","",COUNTIFS(NOVEDADES!$D$4:$D$1503,$A1295))</f>
        <v/>
      </c>
      <c r="P1295" s="28">
        <f>IF($A1295="","",IF(COUNTIFS(NOVEDADES!$D$4:$D$1503,$A1295,NOVEDADES!$O$4:$O$1503,"SÍ")&gt;0,"No","Sí"))</f>
        <v/>
      </c>
      <c r="Q1295" s="28">
        <f>IF(OR($A1295="",$L1295=""),"",IF(AND($N1295="Sí",$P1295="Sí"),"OTIF","Falló"))</f>
        <v/>
      </c>
    </row>
    <row r="1296" ht="16" customHeight="1">
      <c r="A1296" s="48" t="n"/>
      <c r="B1296" s="48" t="n"/>
      <c r="C1296" s="47" t="n"/>
      <c r="D1296" s="50" t="n"/>
      <c r="E1296" s="50" t="n"/>
      <c r="F1296" s="50" t="n"/>
      <c r="G1296" s="50" t="n"/>
      <c r="H1296" s="48" t="n"/>
      <c r="I1296" s="51" t="n"/>
      <c r="J1296" s="52" t="n"/>
      <c r="K1296" s="47" t="n"/>
      <c r="L1296" s="47" t="n"/>
      <c r="M1296" s="24">
        <f>IF(OR($A1296="",$C1296=""),"",IF($L1296&lt;&gt;"",$L1296-$C1296,TODAY()-$C1296))</f>
        <v/>
      </c>
      <c r="N1296" s="28">
        <f>IF(OR($A1296="",$K1296=""),"",IF($L1296="",IF(TODAY()&gt;$K1296,"Atrasado","En ruta"),IF($L1296&lt;=$K1296,"Sí","No")))</f>
        <v/>
      </c>
      <c r="O1296" s="24">
        <f>IF($A1296="","",COUNTIFS(NOVEDADES!$D$4:$D$1503,$A1296))</f>
        <v/>
      </c>
      <c r="P1296" s="28">
        <f>IF($A1296="","",IF(COUNTIFS(NOVEDADES!$D$4:$D$1503,$A1296,NOVEDADES!$O$4:$O$1503,"SÍ")&gt;0,"No","Sí"))</f>
        <v/>
      </c>
      <c r="Q1296" s="28">
        <f>IF(OR($A1296="",$L1296=""),"",IF(AND($N1296="Sí",$P1296="Sí"),"OTIF","Falló"))</f>
        <v/>
      </c>
    </row>
    <row r="1297" ht="16" customHeight="1">
      <c r="A1297" s="48" t="n"/>
      <c r="B1297" s="48" t="n"/>
      <c r="C1297" s="47" t="n"/>
      <c r="D1297" s="50" t="n"/>
      <c r="E1297" s="50" t="n"/>
      <c r="F1297" s="50" t="n"/>
      <c r="G1297" s="50" t="n"/>
      <c r="H1297" s="48" t="n"/>
      <c r="I1297" s="51" t="n"/>
      <c r="J1297" s="52" t="n"/>
      <c r="K1297" s="47" t="n"/>
      <c r="L1297" s="47" t="n"/>
      <c r="M1297" s="24">
        <f>IF(OR($A1297="",$C1297=""),"",IF($L1297&lt;&gt;"",$L1297-$C1297,TODAY()-$C1297))</f>
        <v/>
      </c>
      <c r="N1297" s="28">
        <f>IF(OR($A1297="",$K1297=""),"",IF($L1297="",IF(TODAY()&gt;$K1297,"Atrasado","En ruta"),IF($L1297&lt;=$K1297,"Sí","No")))</f>
        <v/>
      </c>
      <c r="O1297" s="24">
        <f>IF($A1297="","",COUNTIFS(NOVEDADES!$D$4:$D$1503,$A1297))</f>
        <v/>
      </c>
      <c r="P1297" s="28">
        <f>IF($A1297="","",IF(COUNTIFS(NOVEDADES!$D$4:$D$1503,$A1297,NOVEDADES!$O$4:$O$1503,"SÍ")&gt;0,"No","Sí"))</f>
        <v/>
      </c>
      <c r="Q1297" s="28">
        <f>IF(OR($A1297="",$L1297=""),"",IF(AND($N1297="Sí",$P1297="Sí"),"OTIF","Falló"))</f>
        <v/>
      </c>
    </row>
    <row r="1298" ht="16" customHeight="1">
      <c r="A1298" s="48" t="n"/>
      <c r="B1298" s="48" t="n"/>
      <c r="C1298" s="47" t="n"/>
      <c r="D1298" s="50" t="n"/>
      <c r="E1298" s="50" t="n"/>
      <c r="F1298" s="50" t="n"/>
      <c r="G1298" s="50" t="n"/>
      <c r="H1298" s="48" t="n"/>
      <c r="I1298" s="51" t="n"/>
      <c r="J1298" s="52" t="n"/>
      <c r="K1298" s="47" t="n"/>
      <c r="L1298" s="47" t="n"/>
      <c r="M1298" s="24">
        <f>IF(OR($A1298="",$C1298=""),"",IF($L1298&lt;&gt;"",$L1298-$C1298,TODAY()-$C1298))</f>
        <v/>
      </c>
      <c r="N1298" s="28">
        <f>IF(OR($A1298="",$K1298=""),"",IF($L1298="",IF(TODAY()&gt;$K1298,"Atrasado","En ruta"),IF($L1298&lt;=$K1298,"Sí","No")))</f>
        <v/>
      </c>
      <c r="O1298" s="24">
        <f>IF($A1298="","",COUNTIFS(NOVEDADES!$D$4:$D$1503,$A1298))</f>
        <v/>
      </c>
      <c r="P1298" s="28">
        <f>IF($A1298="","",IF(COUNTIFS(NOVEDADES!$D$4:$D$1503,$A1298,NOVEDADES!$O$4:$O$1503,"SÍ")&gt;0,"No","Sí"))</f>
        <v/>
      </c>
      <c r="Q1298" s="28">
        <f>IF(OR($A1298="",$L1298=""),"",IF(AND($N1298="Sí",$P1298="Sí"),"OTIF","Falló"))</f>
        <v/>
      </c>
    </row>
    <row r="1299" ht="16" customHeight="1">
      <c r="A1299" s="48" t="n"/>
      <c r="B1299" s="48" t="n"/>
      <c r="C1299" s="47" t="n"/>
      <c r="D1299" s="50" t="n"/>
      <c r="E1299" s="50" t="n"/>
      <c r="F1299" s="50" t="n"/>
      <c r="G1299" s="50" t="n"/>
      <c r="H1299" s="48" t="n"/>
      <c r="I1299" s="51" t="n"/>
      <c r="J1299" s="52" t="n"/>
      <c r="K1299" s="47" t="n"/>
      <c r="L1299" s="47" t="n"/>
      <c r="M1299" s="24">
        <f>IF(OR($A1299="",$C1299=""),"",IF($L1299&lt;&gt;"",$L1299-$C1299,TODAY()-$C1299))</f>
        <v/>
      </c>
      <c r="N1299" s="28">
        <f>IF(OR($A1299="",$K1299=""),"",IF($L1299="",IF(TODAY()&gt;$K1299,"Atrasado","En ruta"),IF($L1299&lt;=$K1299,"Sí","No")))</f>
        <v/>
      </c>
      <c r="O1299" s="24">
        <f>IF($A1299="","",COUNTIFS(NOVEDADES!$D$4:$D$1503,$A1299))</f>
        <v/>
      </c>
      <c r="P1299" s="28">
        <f>IF($A1299="","",IF(COUNTIFS(NOVEDADES!$D$4:$D$1503,$A1299,NOVEDADES!$O$4:$O$1503,"SÍ")&gt;0,"No","Sí"))</f>
        <v/>
      </c>
      <c r="Q1299" s="28">
        <f>IF(OR($A1299="",$L1299=""),"",IF(AND($N1299="Sí",$P1299="Sí"),"OTIF","Falló"))</f>
        <v/>
      </c>
    </row>
    <row r="1300" ht="16" customHeight="1">
      <c r="A1300" s="48" t="n"/>
      <c r="B1300" s="48" t="n"/>
      <c r="C1300" s="47" t="n"/>
      <c r="D1300" s="50" t="n"/>
      <c r="E1300" s="50" t="n"/>
      <c r="F1300" s="50" t="n"/>
      <c r="G1300" s="50" t="n"/>
      <c r="H1300" s="48" t="n"/>
      <c r="I1300" s="51" t="n"/>
      <c r="J1300" s="52" t="n"/>
      <c r="K1300" s="47" t="n"/>
      <c r="L1300" s="47" t="n"/>
      <c r="M1300" s="24">
        <f>IF(OR($A1300="",$C1300=""),"",IF($L1300&lt;&gt;"",$L1300-$C1300,TODAY()-$C1300))</f>
        <v/>
      </c>
      <c r="N1300" s="28">
        <f>IF(OR($A1300="",$K1300=""),"",IF($L1300="",IF(TODAY()&gt;$K1300,"Atrasado","En ruta"),IF($L1300&lt;=$K1300,"Sí","No")))</f>
        <v/>
      </c>
      <c r="O1300" s="24">
        <f>IF($A1300="","",COUNTIFS(NOVEDADES!$D$4:$D$1503,$A1300))</f>
        <v/>
      </c>
      <c r="P1300" s="28">
        <f>IF($A1300="","",IF(COUNTIFS(NOVEDADES!$D$4:$D$1503,$A1300,NOVEDADES!$O$4:$O$1503,"SÍ")&gt;0,"No","Sí"))</f>
        <v/>
      </c>
      <c r="Q1300" s="28">
        <f>IF(OR($A1300="",$L1300=""),"",IF(AND($N1300="Sí",$P1300="Sí"),"OTIF","Falló"))</f>
        <v/>
      </c>
    </row>
    <row r="1301" ht="16" customHeight="1">
      <c r="A1301" s="48" t="n"/>
      <c r="B1301" s="48" t="n"/>
      <c r="C1301" s="47" t="n"/>
      <c r="D1301" s="50" t="n"/>
      <c r="E1301" s="50" t="n"/>
      <c r="F1301" s="50" t="n"/>
      <c r="G1301" s="50" t="n"/>
      <c r="H1301" s="48" t="n"/>
      <c r="I1301" s="51" t="n"/>
      <c r="J1301" s="52" t="n"/>
      <c r="K1301" s="47" t="n"/>
      <c r="L1301" s="47" t="n"/>
      <c r="M1301" s="24">
        <f>IF(OR($A1301="",$C1301=""),"",IF($L1301&lt;&gt;"",$L1301-$C1301,TODAY()-$C1301))</f>
        <v/>
      </c>
      <c r="N1301" s="28">
        <f>IF(OR($A1301="",$K1301=""),"",IF($L1301="",IF(TODAY()&gt;$K1301,"Atrasado","En ruta"),IF($L1301&lt;=$K1301,"Sí","No")))</f>
        <v/>
      </c>
      <c r="O1301" s="24">
        <f>IF($A1301="","",COUNTIFS(NOVEDADES!$D$4:$D$1503,$A1301))</f>
        <v/>
      </c>
      <c r="P1301" s="28">
        <f>IF($A1301="","",IF(COUNTIFS(NOVEDADES!$D$4:$D$1503,$A1301,NOVEDADES!$O$4:$O$1503,"SÍ")&gt;0,"No","Sí"))</f>
        <v/>
      </c>
      <c r="Q1301" s="28">
        <f>IF(OR($A1301="",$L1301=""),"",IF(AND($N1301="Sí",$P1301="Sí"),"OTIF","Falló"))</f>
        <v/>
      </c>
    </row>
    <row r="1302" ht="16" customHeight="1">
      <c r="A1302" s="48" t="n"/>
      <c r="B1302" s="48" t="n"/>
      <c r="C1302" s="47" t="n"/>
      <c r="D1302" s="50" t="n"/>
      <c r="E1302" s="50" t="n"/>
      <c r="F1302" s="50" t="n"/>
      <c r="G1302" s="50" t="n"/>
      <c r="H1302" s="48" t="n"/>
      <c r="I1302" s="51" t="n"/>
      <c r="J1302" s="52" t="n"/>
      <c r="K1302" s="47" t="n"/>
      <c r="L1302" s="47" t="n"/>
      <c r="M1302" s="24">
        <f>IF(OR($A1302="",$C1302=""),"",IF($L1302&lt;&gt;"",$L1302-$C1302,TODAY()-$C1302))</f>
        <v/>
      </c>
      <c r="N1302" s="28">
        <f>IF(OR($A1302="",$K1302=""),"",IF($L1302="",IF(TODAY()&gt;$K1302,"Atrasado","En ruta"),IF($L1302&lt;=$K1302,"Sí","No")))</f>
        <v/>
      </c>
      <c r="O1302" s="24">
        <f>IF($A1302="","",COUNTIFS(NOVEDADES!$D$4:$D$1503,$A1302))</f>
        <v/>
      </c>
      <c r="P1302" s="28">
        <f>IF($A1302="","",IF(COUNTIFS(NOVEDADES!$D$4:$D$1503,$A1302,NOVEDADES!$O$4:$O$1503,"SÍ")&gt;0,"No","Sí"))</f>
        <v/>
      </c>
      <c r="Q1302" s="28">
        <f>IF(OR($A1302="",$L1302=""),"",IF(AND($N1302="Sí",$P1302="Sí"),"OTIF","Falló"))</f>
        <v/>
      </c>
    </row>
    <row r="1303" ht="16" customHeight="1">
      <c r="A1303" s="48" t="n"/>
      <c r="B1303" s="48" t="n"/>
      <c r="C1303" s="47" t="n"/>
      <c r="D1303" s="50" t="n"/>
      <c r="E1303" s="50" t="n"/>
      <c r="F1303" s="50" t="n"/>
      <c r="G1303" s="50" t="n"/>
      <c r="H1303" s="48" t="n"/>
      <c r="I1303" s="51" t="n"/>
      <c r="J1303" s="52" t="n"/>
      <c r="K1303" s="47" t="n"/>
      <c r="L1303" s="47" t="n"/>
      <c r="M1303" s="24">
        <f>IF(OR($A1303="",$C1303=""),"",IF($L1303&lt;&gt;"",$L1303-$C1303,TODAY()-$C1303))</f>
        <v/>
      </c>
      <c r="N1303" s="28">
        <f>IF(OR($A1303="",$K1303=""),"",IF($L1303="",IF(TODAY()&gt;$K1303,"Atrasado","En ruta"),IF($L1303&lt;=$K1303,"Sí","No")))</f>
        <v/>
      </c>
      <c r="O1303" s="24">
        <f>IF($A1303="","",COUNTIFS(NOVEDADES!$D$4:$D$1503,$A1303))</f>
        <v/>
      </c>
      <c r="P1303" s="28">
        <f>IF($A1303="","",IF(COUNTIFS(NOVEDADES!$D$4:$D$1503,$A1303,NOVEDADES!$O$4:$O$1503,"SÍ")&gt;0,"No","Sí"))</f>
        <v/>
      </c>
      <c r="Q1303" s="28">
        <f>IF(OR($A1303="",$L1303=""),"",IF(AND($N1303="Sí",$P1303="Sí"),"OTIF","Falló"))</f>
        <v/>
      </c>
    </row>
    <row r="1304" ht="16" customHeight="1">
      <c r="A1304" s="48" t="n"/>
      <c r="B1304" s="48" t="n"/>
      <c r="C1304" s="47" t="n"/>
      <c r="D1304" s="50" t="n"/>
      <c r="E1304" s="50" t="n"/>
      <c r="F1304" s="50" t="n"/>
      <c r="G1304" s="50" t="n"/>
      <c r="H1304" s="48" t="n"/>
      <c r="I1304" s="51" t="n"/>
      <c r="J1304" s="52" t="n"/>
      <c r="K1304" s="47" t="n"/>
      <c r="L1304" s="47" t="n"/>
      <c r="M1304" s="24">
        <f>IF(OR($A1304="",$C1304=""),"",IF($L1304&lt;&gt;"",$L1304-$C1304,TODAY()-$C1304))</f>
        <v/>
      </c>
      <c r="N1304" s="28">
        <f>IF(OR($A1304="",$K1304=""),"",IF($L1304="",IF(TODAY()&gt;$K1304,"Atrasado","En ruta"),IF($L1304&lt;=$K1304,"Sí","No")))</f>
        <v/>
      </c>
      <c r="O1304" s="24">
        <f>IF($A1304="","",COUNTIFS(NOVEDADES!$D$4:$D$1503,$A1304))</f>
        <v/>
      </c>
      <c r="P1304" s="28">
        <f>IF($A1304="","",IF(COUNTIFS(NOVEDADES!$D$4:$D$1503,$A1304,NOVEDADES!$O$4:$O$1503,"SÍ")&gt;0,"No","Sí"))</f>
        <v/>
      </c>
      <c r="Q1304" s="28">
        <f>IF(OR($A1304="",$L1304=""),"",IF(AND($N1304="Sí",$P1304="Sí"),"OTIF","Falló"))</f>
        <v/>
      </c>
    </row>
    <row r="1305" ht="16" customHeight="1">
      <c r="A1305" s="48" t="n"/>
      <c r="B1305" s="48" t="n"/>
      <c r="C1305" s="47" t="n"/>
      <c r="D1305" s="50" t="n"/>
      <c r="E1305" s="50" t="n"/>
      <c r="F1305" s="50" t="n"/>
      <c r="G1305" s="50" t="n"/>
      <c r="H1305" s="48" t="n"/>
      <c r="I1305" s="51" t="n"/>
      <c r="J1305" s="52" t="n"/>
      <c r="K1305" s="47" t="n"/>
      <c r="L1305" s="47" t="n"/>
      <c r="M1305" s="24">
        <f>IF(OR($A1305="",$C1305=""),"",IF($L1305&lt;&gt;"",$L1305-$C1305,TODAY()-$C1305))</f>
        <v/>
      </c>
      <c r="N1305" s="28">
        <f>IF(OR($A1305="",$K1305=""),"",IF($L1305="",IF(TODAY()&gt;$K1305,"Atrasado","En ruta"),IF($L1305&lt;=$K1305,"Sí","No")))</f>
        <v/>
      </c>
      <c r="O1305" s="24">
        <f>IF($A1305="","",COUNTIFS(NOVEDADES!$D$4:$D$1503,$A1305))</f>
        <v/>
      </c>
      <c r="P1305" s="28">
        <f>IF($A1305="","",IF(COUNTIFS(NOVEDADES!$D$4:$D$1503,$A1305,NOVEDADES!$O$4:$O$1503,"SÍ")&gt;0,"No","Sí"))</f>
        <v/>
      </c>
      <c r="Q1305" s="28">
        <f>IF(OR($A1305="",$L1305=""),"",IF(AND($N1305="Sí",$P1305="Sí"),"OTIF","Falló"))</f>
        <v/>
      </c>
    </row>
    <row r="1306" ht="16" customHeight="1">
      <c r="A1306" s="48" t="n"/>
      <c r="B1306" s="48" t="n"/>
      <c r="C1306" s="47" t="n"/>
      <c r="D1306" s="50" t="n"/>
      <c r="E1306" s="50" t="n"/>
      <c r="F1306" s="50" t="n"/>
      <c r="G1306" s="50" t="n"/>
      <c r="H1306" s="48" t="n"/>
      <c r="I1306" s="51" t="n"/>
      <c r="J1306" s="52" t="n"/>
      <c r="K1306" s="47" t="n"/>
      <c r="L1306" s="47" t="n"/>
      <c r="M1306" s="24">
        <f>IF(OR($A1306="",$C1306=""),"",IF($L1306&lt;&gt;"",$L1306-$C1306,TODAY()-$C1306))</f>
        <v/>
      </c>
      <c r="N1306" s="28">
        <f>IF(OR($A1306="",$K1306=""),"",IF($L1306="",IF(TODAY()&gt;$K1306,"Atrasado","En ruta"),IF($L1306&lt;=$K1306,"Sí","No")))</f>
        <v/>
      </c>
      <c r="O1306" s="24">
        <f>IF($A1306="","",COUNTIFS(NOVEDADES!$D$4:$D$1503,$A1306))</f>
        <v/>
      </c>
      <c r="P1306" s="28">
        <f>IF($A1306="","",IF(COUNTIFS(NOVEDADES!$D$4:$D$1503,$A1306,NOVEDADES!$O$4:$O$1503,"SÍ")&gt;0,"No","Sí"))</f>
        <v/>
      </c>
      <c r="Q1306" s="28">
        <f>IF(OR($A1306="",$L1306=""),"",IF(AND($N1306="Sí",$P1306="Sí"),"OTIF","Falló"))</f>
        <v/>
      </c>
    </row>
    <row r="1307" ht="16" customHeight="1">
      <c r="A1307" s="48" t="n"/>
      <c r="B1307" s="48" t="n"/>
      <c r="C1307" s="47" t="n"/>
      <c r="D1307" s="50" t="n"/>
      <c r="E1307" s="50" t="n"/>
      <c r="F1307" s="50" t="n"/>
      <c r="G1307" s="50" t="n"/>
      <c r="H1307" s="48" t="n"/>
      <c r="I1307" s="51" t="n"/>
      <c r="J1307" s="52" t="n"/>
      <c r="K1307" s="47" t="n"/>
      <c r="L1307" s="47" t="n"/>
      <c r="M1307" s="24">
        <f>IF(OR($A1307="",$C1307=""),"",IF($L1307&lt;&gt;"",$L1307-$C1307,TODAY()-$C1307))</f>
        <v/>
      </c>
      <c r="N1307" s="28">
        <f>IF(OR($A1307="",$K1307=""),"",IF($L1307="",IF(TODAY()&gt;$K1307,"Atrasado","En ruta"),IF($L1307&lt;=$K1307,"Sí","No")))</f>
        <v/>
      </c>
      <c r="O1307" s="24">
        <f>IF($A1307="","",COUNTIFS(NOVEDADES!$D$4:$D$1503,$A1307))</f>
        <v/>
      </c>
      <c r="P1307" s="28">
        <f>IF($A1307="","",IF(COUNTIFS(NOVEDADES!$D$4:$D$1503,$A1307,NOVEDADES!$O$4:$O$1503,"SÍ")&gt;0,"No","Sí"))</f>
        <v/>
      </c>
      <c r="Q1307" s="28">
        <f>IF(OR($A1307="",$L1307=""),"",IF(AND($N1307="Sí",$P1307="Sí"),"OTIF","Falló"))</f>
        <v/>
      </c>
    </row>
    <row r="1308" ht="16" customHeight="1">
      <c r="A1308" s="48" t="n"/>
      <c r="B1308" s="48" t="n"/>
      <c r="C1308" s="47" t="n"/>
      <c r="D1308" s="50" t="n"/>
      <c r="E1308" s="50" t="n"/>
      <c r="F1308" s="50" t="n"/>
      <c r="G1308" s="50" t="n"/>
      <c r="H1308" s="48" t="n"/>
      <c r="I1308" s="51" t="n"/>
      <c r="J1308" s="52" t="n"/>
      <c r="K1308" s="47" t="n"/>
      <c r="L1308" s="47" t="n"/>
      <c r="M1308" s="24">
        <f>IF(OR($A1308="",$C1308=""),"",IF($L1308&lt;&gt;"",$L1308-$C1308,TODAY()-$C1308))</f>
        <v/>
      </c>
      <c r="N1308" s="28">
        <f>IF(OR($A1308="",$K1308=""),"",IF($L1308="",IF(TODAY()&gt;$K1308,"Atrasado","En ruta"),IF($L1308&lt;=$K1308,"Sí","No")))</f>
        <v/>
      </c>
      <c r="O1308" s="24">
        <f>IF($A1308="","",COUNTIFS(NOVEDADES!$D$4:$D$1503,$A1308))</f>
        <v/>
      </c>
      <c r="P1308" s="28">
        <f>IF($A1308="","",IF(COUNTIFS(NOVEDADES!$D$4:$D$1503,$A1308,NOVEDADES!$O$4:$O$1503,"SÍ")&gt;0,"No","Sí"))</f>
        <v/>
      </c>
      <c r="Q1308" s="28">
        <f>IF(OR($A1308="",$L1308=""),"",IF(AND($N1308="Sí",$P1308="Sí"),"OTIF","Falló"))</f>
        <v/>
      </c>
    </row>
    <row r="1309" ht="16" customHeight="1">
      <c r="A1309" s="48" t="n"/>
      <c r="B1309" s="48" t="n"/>
      <c r="C1309" s="47" t="n"/>
      <c r="D1309" s="50" t="n"/>
      <c r="E1309" s="50" t="n"/>
      <c r="F1309" s="50" t="n"/>
      <c r="G1309" s="50" t="n"/>
      <c r="H1309" s="48" t="n"/>
      <c r="I1309" s="51" t="n"/>
      <c r="J1309" s="52" t="n"/>
      <c r="K1309" s="47" t="n"/>
      <c r="L1309" s="47" t="n"/>
      <c r="M1309" s="24">
        <f>IF(OR($A1309="",$C1309=""),"",IF($L1309&lt;&gt;"",$L1309-$C1309,TODAY()-$C1309))</f>
        <v/>
      </c>
      <c r="N1309" s="28">
        <f>IF(OR($A1309="",$K1309=""),"",IF($L1309="",IF(TODAY()&gt;$K1309,"Atrasado","En ruta"),IF($L1309&lt;=$K1309,"Sí","No")))</f>
        <v/>
      </c>
      <c r="O1309" s="24">
        <f>IF($A1309="","",COUNTIFS(NOVEDADES!$D$4:$D$1503,$A1309))</f>
        <v/>
      </c>
      <c r="P1309" s="28">
        <f>IF($A1309="","",IF(COUNTIFS(NOVEDADES!$D$4:$D$1503,$A1309,NOVEDADES!$O$4:$O$1503,"SÍ")&gt;0,"No","Sí"))</f>
        <v/>
      </c>
      <c r="Q1309" s="28">
        <f>IF(OR($A1309="",$L1309=""),"",IF(AND($N1309="Sí",$P1309="Sí"),"OTIF","Falló"))</f>
        <v/>
      </c>
    </row>
    <row r="1310" ht="16" customHeight="1">
      <c r="A1310" s="48" t="n"/>
      <c r="B1310" s="48" t="n"/>
      <c r="C1310" s="47" t="n"/>
      <c r="D1310" s="50" t="n"/>
      <c r="E1310" s="50" t="n"/>
      <c r="F1310" s="50" t="n"/>
      <c r="G1310" s="50" t="n"/>
      <c r="H1310" s="48" t="n"/>
      <c r="I1310" s="51" t="n"/>
      <c r="J1310" s="52" t="n"/>
      <c r="K1310" s="47" t="n"/>
      <c r="L1310" s="47" t="n"/>
      <c r="M1310" s="24">
        <f>IF(OR($A1310="",$C1310=""),"",IF($L1310&lt;&gt;"",$L1310-$C1310,TODAY()-$C1310))</f>
        <v/>
      </c>
      <c r="N1310" s="28">
        <f>IF(OR($A1310="",$K1310=""),"",IF($L1310="",IF(TODAY()&gt;$K1310,"Atrasado","En ruta"),IF($L1310&lt;=$K1310,"Sí","No")))</f>
        <v/>
      </c>
      <c r="O1310" s="24">
        <f>IF($A1310="","",COUNTIFS(NOVEDADES!$D$4:$D$1503,$A1310))</f>
        <v/>
      </c>
      <c r="P1310" s="28">
        <f>IF($A1310="","",IF(COUNTIFS(NOVEDADES!$D$4:$D$1503,$A1310,NOVEDADES!$O$4:$O$1503,"SÍ")&gt;0,"No","Sí"))</f>
        <v/>
      </c>
      <c r="Q1310" s="28">
        <f>IF(OR($A1310="",$L1310=""),"",IF(AND($N1310="Sí",$P1310="Sí"),"OTIF","Falló"))</f>
        <v/>
      </c>
    </row>
    <row r="1311" ht="16" customHeight="1">
      <c r="A1311" s="48" t="n"/>
      <c r="B1311" s="48" t="n"/>
      <c r="C1311" s="47" t="n"/>
      <c r="D1311" s="50" t="n"/>
      <c r="E1311" s="50" t="n"/>
      <c r="F1311" s="50" t="n"/>
      <c r="G1311" s="50" t="n"/>
      <c r="H1311" s="48" t="n"/>
      <c r="I1311" s="51" t="n"/>
      <c r="J1311" s="52" t="n"/>
      <c r="K1311" s="47" t="n"/>
      <c r="L1311" s="47" t="n"/>
      <c r="M1311" s="24">
        <f>IF(OR($A1311="",$C1311=""),"",IF($L1311&lt;&gt;"",$L1311-$C1311,TODAY()-$C1311))</f>
        <v/>
      </c>
      <c r="N1311" s="28">
        <f>IF(OR($A1311="",$K1311=""),"",IF($L1311="",IF(TODAY()&gt;$K1311,"Atrasado","En ruta"),IF($L1311&lt;=$K1311,"Sí","No")))</f>
        <v/>
      </c>
      <c r="O1311" s="24">
        <f>IF($A1311="","",COUNTIFS(NOVEDADES!$D$4:$D$1503,$A1311))</f>
        <v/>
      </c>
      <c r="P1311" s="28">
        <f>IF($A1311="","",IF(COUNTIFS(NOVEDADES!$D$4:$D$1503,$A1311,NOVEDADES!$O$4:$O$1503,"SÍ")&gt;0,"No","Sí"))</f>
        <v/>
      </c>
      <c r="Q1311" s="28">
        <f>IF(OR($A1311="",$L1311=""),"",IF(AND($N1311="Sí",$P1311="Sí"),"OTIF","Falló"))</f>
        <v/>
      </c>
    </row>
    <row r="1312" ht="16" customHeight="1">
      <c r="A1312" s="48" t="n"/>
      <c r="B1312" s="48" t="n"/>
      <c r="C1312" s="47" t="n"/>
      <c r="D1312" s="50" t="n"/>
      <c r="E1312" s="50" t="n"/>
      <c r="F1312" s="50" t="n"/>
      <c r="G1312" s="50" t="n"/>
      <c r="H1312" s="48" t="n"/>
      <c r="I1312" s="51" t="n"/>
      <c r="J1312" s="52" t="n"/>
      <c r="K1312" s="47" t="n"/>
      <c r="L1312" s="47" t="n"/>
      <c r="M1312" s="24">
        <f>IF(OR($A1312="",$C1312=""),"",IF($L1312&lt;&gt;"",$L1312-$C1312,TODAY()-$C1312))</f>
        <v/>
      </c>
      <c r="N1312" s="28">
        <f>IF(OR($A1312="",$K1312=""),"",IF($L1312="",IF(TODAY()&gt;$K1312,"Atrasado","En ruta"),IF($L1312&lt;=$K1312,"Sí","No")))</f>
        <v/>
      </c>
      <c r="O1312" s="24">
        <f>IF($A1312="","",COUNTIFS(NOVEDADES!$D$4:$D$1503,$A1312))</f>
        <v/>
      </c>
      <c r="P1312" s="28">
        <f>IF($A1312="","",IF(COUNTIFS(NOVEDADES!$D$4:$D$1503,$A1312,NOVEDADES!$O$4:$O$1503,"SÍ")&gt;0,"No","Sí"))</f>
        <v/>
      </c>
      <c r="Q1312" s="28">
        <f>IF(OR($A1312="",$L1312=""),"",IF(AND($N1312="Sí",$P1312="Sí"),"OTIF","Falló"))</f>
        <v/>
      </c>
    </row>
    <row r="1313" ht="16" customHeight="1">
      <c r="A1313" s="48" t="n"/>
      <c r="B1313" s="48" t="n"/>
      <c r="C1313" s="47" t="n"/>
      <c r="D1313" s="50" t="n"/>
      <c r="E1313" s="50" t="n"/>
      <c r="F1313" s="50" t="n"/>
      <c r="G1313" s="50" t="n"/>
      <c r="H1313" s="48" t="n"/>
      <c r="I1313" s="51" t="n"/>
      <c r="J1313" s="52" t="n"/>
      <c r="K1313" s="47" t="n"/>
      <c r="L1313" s="47" t="n"/>
      <c r="M1313" s="24">
        <f>IF(OR($A1313="",$C1313=""),"",IF($L1313&lt;&gt;"",$L1313-$C1313,TODAY()-$C1313))</f>
        <v/>
      </c>
      <c r="N1313" s="28">
        <f>IF(OR($A1313="",$K1313=""),"",IF($L1313="",IF(TODAY()&gt;$K1313,"Atrasado","En ruta"),IF($L1313&lt;=$K1313,"Sí","No")))</f>
        <v/>
      </c>
      <c r="O1313" s="24">
        <f>IF($A1313="","",COUNTIFS(NOVEDADES!$D$4:$D$1503,$A1313))</f>
        <v/>
      </c>
      <c r="P1313" s="28">
        <f>IF($A1313="","",IF(COUNTIFS(NOVEDADES!$D$4:$D$1503,$A1313,NOVEDADES!$O$4:$O$1503,"SÍ")&gt;0,"No","Sí"))</f>
        <v/>
      </c>
      <c r="Q1313" s="28">
        <f>IF(OR($A1313="",$L1313=""),"",IF(AND($N1313="Sí",$P1313="Sí"),"OTIF","Falló"))</f>
        <v/>
      </c>
    </row>
    <row r="1314" ht="16" customHeight="1">
      <c r="A1314" s="48" t="n"/>
      <c r="B1314" s="48" t="n"/>
      <c r="C1314" s="47" t="n"/>
      <c r="D1314" s="50" t="n"/>
      <c r="E1314" s="50" t="n"/>
      <c r="F1314" s="50" t="n"/>
      <c r="G1314" s="50" t="n"/>
      <c r="H1314" s="48" t="n"/>
      <c r="I1314" s="51" t="n"/>
      <c r="J1314" s="52" t="n"/>
      <c r="K1314" s="47" t="n"/>
      <c r="L1314" s="47" t="n"/>
      <c r="M1314" s="24">
        <f>IF(OR($A1314="",$C1314=""),"",IF($L1314&lt;&gt;"",$L1314-$C1314,TODAY()-$C1314))</f>
        <v/>
      </c>
      <c r="N1314" s="28">
        <f>IF(OR($A1314="",$K1314=""),"",IF($L1314="",IF(TODAY()&gt;$K1314,"Atrasado","En ruta"),IF($L1314&lt;=$K1314,"Sí","No")))</f>
        <v/>
      </c>
      <c r="O1314" s="24">
        <f>IF($A1314="","",COUNTIFS(NOVEDADES!$D$4:$D$1503,$A1314))</f>
        <v/>
      </c>
      <c r="P1314" s="28">
        <f>IF($A1314="","",IF(COUNTIFS(NOVEDADES!$D$4:$D$1503,$A1314,NOVEDADES!$O$4:$O$1503,"SÍ")&gt;0,"No","Sí"))</f>
        <v/>
      </c>
      <c r="Q1314" s="28">
        <f>IF(OR($A1314="",$L1314=""),"",IF(AND($N1314="Sí",$P1314="Sí"),"OTIF","Falló"))</f>
        <v/>
      </c>
    </row>
    <row r="1315" ht="16" customHeight="1">
      <c r="A1315" s="48" t="n"/>
      <c r="B1315" s="48" t="n"/>
      <c r="C1315" s="47" t="n"/>
      <c r="D1315" s="50" t="n"/>
      <c r="E1315" s="50" t="n"/>
      <c r="F1315" s="50" t="n"/>
      <c r="G1315" s="50" t="n"/>
      <c r="H1315" s="48" t="n"/>
      <c r="I1315" s="51" t="n"/>
      <c r="J1315" s="52" t="n"/>
      <c r="K1315" s="47" t="n"/>
      <c r="L1315" s="47" t="n"/>
      <c r="M1315" s="24">
        <f>IF(OR($A1315="",$C1315=""),"",IF($L1315&lt;&gt;"",$L1315-$C1315,TODAY()-$C1315))</f>
        <v/>
      </c>
      <c r="N1315" s="28">
        <f>IF(OR($A1315="",$K1315=""),"",IF($L1315="",IF(TODAY()&gt;$K1315,"Atrasado","En ruta"),IF($L1315&lt;=$K1315,"Sí","No")))</f>
        <v/>
      </c>
      <c r="O1315" s="24">
        <f>IF($A1315="","",COUNTIFS(NOVEDADES!$D$4:$D$1503,$A1315))</f>
        <v/>
      </c>
      <c r="P1315" s="28">
        <f>IF($A1315="","",IF(COUNTIFS(NOVEDADES!$D$4:$D$1503,$A1315,NOVEDADES!$O$4:$O$1503,"SÍ")&gt;0,"No","Sí"))</f>
        <v/>
      </c>
      <c r="Q1315" s="28">
        <f>IF(OR($A1315="",$L1315=""),"",IF(AND($N1315="Sí",$P1315="Sí"),"OTIF","Falló"))</f>
        <v/>
      </c>
    </row>
    <row r="1316" ht="16" customHeight="1">
      <c r="A1316" s="48" t="n"/>
      <c r="B1316" s="48" t="n"/>
      <c r="C1316" s="47" t="n"/>
      <c r="D1316" s="50" t="n"/>
      <c r="E1316" s="50" t="n"/>
      <c r="F1316" s="50" t="n"/>
      <c r="G1316" s="50" t="n"/>
      <c r="H1316" s="48" t="n"/>
      <c r="I1316" s="51" t="n"/>
      <c r="J1316" s="52" t="n"/>
      <c r="K1316" s="47" t="n"/>
      <c r="L1316" s="47" t="n"/>
      <c r="M1316" s="24">
        <f>IF(OR($A1316="",$C1316=""),"",IF($L1316&lt;&gt;"",$L1316-$C1316,TODAY()-$C1316))</f>
        <v/>
      </c>
      <c r="N1316" s="28">
        <f>IF(OR($A1316="",$K1316=""),"",IF($L1316="",IF(TODAY()&gt;$K1316,"Atrasado","En ruta"),IF($L1316&lt;=$K1316,"Sí","No")))</f>
        <v/>
      </c>
      <c r="O1316" s="24">
        <f>IF($A1316="","",COUNTIFS(NOVEDADES!$D$4:$D$1503,$A1316))</f>
        <v/>
      </c>
      <c r="P1316" s="28">
        <f>IF($A1316="","",IF(COUNTIFS(NOVEDADES!$D$4:$D$1503,$A1316,NOVEDADES!$O$4:$O$1503,"SÍ")&gt;0,"No","Sí"))</f>
        <v/>
      </c>
      <c r="Q1316" s="28">
        <f>IF(OR($A1316="",$L1316=""),"",IF(AND($N1316="Sí",$P1316="Sí"),"OTIF","Falló"))</f>
        <v/>
      </c>
    </row>
    <row r="1317" ht="16" customHeight="1">
      <c r="A1317" s="48" t="n"/>
      <c r="B1317" s="48" t="n"/>
      <c r="C1317" s="47" t="n"/>
      <c r="D1317" s="50" t="n"/>
      <c r="E1317" s="50" t="n"/>
      <c r="F1317" s="50" t="n"/>
      <c r="G1317" s="50" t="n"/>
      <c r="H1317" s="48" t="n"/>
      <c r="I1317" s="51" t="n"/>
      <c r="J1317" s="52" t="n"/>
      <c r="K1317" s="47" t="n"/>
      <c r="L1317" s="47" t="n"/>
      <c r="M1317" s="24">
        <f>IF(OR($A1317="",$C1317=""),"",IF($L1317&lt;&gt;"",$L1317-$C1317,TODAY()-$C1317))</f>
        <v/>
      </c>
      <c r="N1317" s="28">
        <f>IF(OR($A1317="",$K1317=""),"",IF($L1317="",IF(TODAY()&gt;$K1317,"Atrasado","En ruta"),IF($L1317&lt;=$K1317,"Sí","No")))</f>
        <v/>
      </c>
      <c r="O1317" s="24">
        <f>IF($A1317="","",COUNTIFS(NOVEDADES!$D$4:$D$1503,$A1317))</f>
        <v/>
      </c>
      <c r="P1317" s="28">
        <f>IF($A1317="","",IF(COUNTIFS(NOVEDADES!$D$4:$D$1503,$A1317,NOVEDADES!$O$4:$O$1503,"SÍ")&gt;0,"No","Sí"))</f>
        <v/>
      </c>
      <c r="Q1317" s="28">
        <f>IF(OR($A1317="",$L1317=""),"",IF(AND($N1317="Sí",$P1317="Sí"),"OTIF","Falló"))</f>
        <v/>
      </c>
    </row>
    <row r="1318" ht="16" customHeight="1">
      <c r="A1318" s="48" t="n"/>
      <c r="B1318" s="48" t="n"/>
      <c r="C1318" s="47" t="n"/>
      <c r="D1318" s="50" t="n"/>
      <c r="E1318" s="50" t="n"/>
      <c r="F1318" s="50" t="n"/>
      <c r="G1318" s="50" t="n"/>
      <c r="H1318" s="48" t="n"/>
      <c r="I1318" s="51" t="n"/>
      <c r="J1318" s="52" t="n"/>
      <c r="K1318" s="47" t="n"/>
      <c r="L1318" s="47" t="n"/>
      <c r="M1318" s="24">
        <f>IF(OR($A1318="",$C1318=""),"",IF($L1318&lt;&gt;"",$L1318-$C1318,TODAY()-$C1318))</f>
        <v/>
      </c>
      <c r="N1318" s="28">
        <f>IF(OR($A1318="",$K1318=""),"",IF($L1318="",IF(TODAY()&gt;$K1318,"Atrasado","En ruta"),IF($L1318&lt;=$K1318,"Sí","No")))</f>
        <v/>
      </c>
      <c r="O1318" s="24">
        <f>IF($A1318="","",COUNTIFS(NOVEDADES!$D$4:$D$1503,$A1318))</f>
        <v/>
      </c>
      <c r="P1318" s="28">
        <f>IF($A1318="","",IF(COUNTIFS(NOVEDADES!$D$4:$D$1503,$A1318,NOVEDADES!$O$4:$O$1503,"SÍ")&gt;0,"No","Sí"))</f>
        <v/>
      </c>
      <c r="Q1318" s="28">
        <f>IF(OR($A1318="",$L1318=""),"",IF(AND($N1318="Sí",$P1318="Sí"),"OTIF","Falló"))</f>
        <v/>
      </c>
    </row>
    <row r="1319" ht="16" customHeight="1">
      <c r="A1319" s="48" t="n"/>
      <c r="B1319" s="48" t="n"/>
      <c r="C1319" s="47" t="n"/>
      <c r="D1319" s="50" t="n"/>
      <c r="E1319" s="50" t="n"/>
      <c r="F1319" s="50" t="n"/>
      <c r="G1319" s="50" t="n"/>
      <c r="H1319" s="48" t="n"/>
      <c r="I1319" s="51" t="n"/>
      <c r="J1319" s="52" t="n"/>
      <c r="K1319" s="47" t="n"/>
      <c r="L1319" s="47" t="n"/>
      <c r="M1319" s="24">
        <f>IF(OR($A1319="",$C1319=""),"",IF($L1319&lt;&gt;"",$L1319-$C1319,TODAY()-$C1319))</f>
        <v/>
      </c>
      <c r="N1319" s="28">
        <f>IF(OR($A1319="",$K1319=""),"",IF($L1319="",IF(TODAY()&gt;$K1319,"Atrasado","En ruta"),IF($L1319&lt;=$K1319,"Sí","No")))</f>
        <v/>
      </c>
      <c r="O1319" s="24">
        <f>IF($A1319="","",COUNTIFS(NOVEDADES!$D$4:$D$1503,$A1319))</f>
        <v/>
      </c>
      <c r="P1319" s="28">
        <f>IF($A1319="","",IF(COUNTIFS(NOVEDADES!$D$4:$D$1503,$A1319,NOVEDADES!$O$4:$O$1503,"SÍ")&gt;0,"No","Sí"))</f>
        <v/>
      </c>
      <c r="Q1319" s="28">
        <f>IF(OR($A1319="",$L1319=""),"",IF(AND($N1319="Sí",$P1319="Sí"),"OTIF","Falló"))</f>
        <v/>
      </c>
    </row>
    <row r="1320" ht="16" customHeight="1">
      <c r="A1320" s="48" t="n"/>
      <c r="B1320" s="48" t="n"/>
      <c r="C1320" s="47" t="n"/>
      <c r="D1320" s="50" t="n"/>
      <c r="E1320" s="50" t="n"/>
      <c r="F1320" s="50" t="n"/>
      <c r="G1320" s="50" t="n"/>
      <c r="H1320" s="48" t="n"/>
      <c r="I1320" s="51" t="n"/>
      <c r="J1320" s="52" t="n"/>
      <c r="K1320" s="47" t="n"/>
      <c r="L1320" s="47" t="n"/>
      <c r="M1320" s="24">
        <f>IF(OR($A1320="",$C1320=""),"",IF($L1320&lt;&gt;"",$L1320-$C1320,TODAY()-$C1320))</f>
        <v/>
      </c>
      <c r="N1320" s="28">
        <f>IF(OR($A1320="",$K1320=""),"",IF($L1320="",IF(TODAY()&gt;$K1320,"Atrasado","En ruta"),IF($L1320&lt;=$K1320,"Sí","No")))</f>
        <v/>
      </c>
      <c r="O1320" s="24">
        <f>IF($A1320="","",COUNTIFS(NOVEDADES!$D$4:$D$1503,$A1320))</f>
        <v/>
      </c>
      <c r="P1320" s="28">
        <f>IF($A1320="","",IF(COUNTIFS(NOVEDADES!$D$4:$D$1503,$A1320,NOVEDADES!$O$4:$O$1503,"SÍ")&gt;0,"No","Sí"))</f>
        <v/>
      </c>
      <c r="Q1320" s="28">
        <f>IF(OR($A1320="",$L1320=""),"",IF(AND($N1320="Sí",$P1320="Sí"),"OTIF","Falló"))</f>
        <v/>
      </c>
    </row>
    <row r="1321" ht="16" customHeight="1">
      <c r="A1321" s="48" t="n"/>
      <c r="B1321" s="48" t="n"/>
      <c r="C1321" s="47" t="n"/>
      <c r="D1321" s="50" t="n"/>
      <c r="E1321" s="50" t="n"/>
      <c r="F1321" s="50" t="n"/>
      <c r="G1321" s="50" t="n"/>
      <c r="H1321" s="48" t="n"/>
      <c r="I1321" s="51" t="n"/>
      <c r="J1321" s="52" t="n"/>
      <c r="K1321" s="47" t="n"/>
      <c r="L1321" s="47" t="n"/>
      <c r="M1321" s="24">
        <f>IF(OR($A1321="",$C1321=""),"",IF($L1321&lt;&gt;"",$L1321-$C1321,TODAY()-$C1321))</f>
        <v/>
      </c>
      <c r="N1321" s="28">
        <f>IF(OR($A1321="",$K1321=""),"",IF($L1321="",IF(TODAY()&gt;$K1321,"Atrasado","En ruta"),IF($L1321&lt;=$K1321,"Sí","No")))</f>
        <v/>
      </c>
      <c r="O1321" s="24">
        <f>IF($A1321="","",COUNTIFS(NOVEDADES!$D$4:$D$1503,$A1321))</f>
        <v/>
      </c>
      <c r="P1321" s="28">
        <f>IF($A1321="","",IF(COUNTIFS(NOVEDADES!$D$4:$D$1503,$A1321,NOVEDADES!$O$4:$O$1503,"SÍ")&gt;0,"No","Sí"))</f>
        <v/>
      </c>
      <c r="Q1321" s="28">
        <f>IF(OR($A1321="",$L1321=""),"",IF(AND($N1321="Sí",$P1321="Sí"),"OTIF","Falló"))</f>
        <v/>
      </c>
    </row>
    <row r="1322" ht="16" customHeight="1">
      <c r="A1322" s="48" t="n"/>
      <c r="B1322" s="48" t="n"/>
      <c r="C1322" s="47" t="n"/>
      <c r="D1322" s="50" t="n"/>
      <c r="E1322" s="50" t="n"/>
      <c r="F1322" s="50" t="n"/>
      <c r="G1322" s="50" t="n"/>
      <c r="H1322" s="48" t="n"/>
      <c r="I1322" s="51" t="n"/>
      <c r="J1322" s="52" t="n"/>
      <c r="K1322" s="47" t="n"/>
      <c r="L1322" s="47" t="n"/>
      <c r="M1322" s="24">
        <f>IF(OR($A1322="",$C1322=""),"",IF($L1322&lt;&gt;"",$L1322-$C1322,TODAY()-$C1322))</f>
        <v/>
      </c>
      <c r="N1322" s="28">
        <f>IF(OR($A1322="",$K1322=""),"",IF($L1322="",IF(TODAY()&gt;$K1322,"Atrasado","En ruta"),IF($L1322&lt;=$K1322,"Sí","No")))</f>
        <v/>
      </c>
      <c r="O1322" s="24">
        <f>IF($A1322="","",COUNTIFS(NOVEDADES!$D$4:$D$1503,$A1322))</f>
        <v/>
      </c>
      <c r="P1322" s="28">
        <f>IF($A1322="","",IF(COUNTIFS(NOVEDADES!$D$4:$D$1503,$A1322,NOVEDADES!$O$4:$O$1503,"SÍ")&gt;0,"No","Sí"))</f>
        <v/>
      </c>
      <c r="Q1322" s="28">
        <f>IF(OR($A1322="",$L1322=""),"",IF(AND($N1322="Sí",$P1322="Sí"),"OTIF","Falló"))</f>
        <v/>
      </c>
    </row>
    <row r="1323" ht="16" customHeight="1">
      <c r="A1323" s="48" t="n"/>
      <c r="B1323" s="48" t="n"/>
      <c r="C1323" s="47" t="n"/>
      <c r="D1323" s="50" t="n"/>
      <c r="E1323" s="50" t="n"/>
      <c r="F1323" s="50" t="n"/>
      <c r="G1323" s="50" t="n"/>
      <c r="H1323" s="48" t="n"/>
      <c r="I1323" s="51" t="n"/>
      <c r="J1323" s="52" t="n"/>
      <c r="K1323" s="47" t="n"/>
      <c r="L1323" s="47" t="n"/>
      <c r="M1323" s="24">
        <f>IF(OR($A1323="",$C1323=""),"",IF($L1323&lt;&gt;"",$L1323-$C1323,TODAY()-$C1323))</f>
        <v/>
      </c>
      <c r="N1323" s="28">
        <f>IF(OR($A1323="",$K1323=""),"",IF($L1323="",IF(TODAY()&gt;$K1323,"Atrasado","En ruta"),IF($L1323&lt;=$K1323,"Sí","No")))</f>
        <v/>
      </c>
      <c r="O1323" s="24">
        <f>IF($A1323="","",COUNTIFS(NOVEDADES!$D$4:$D$1503,$A1323))</f>
        <v/>
      </c>
      <c r="P1323" s="28">
        <f>IF($A1323="","",IF(COUNTIFS(NOVEDADES!$D$4:$D$1503,$A1323,NOVEDADES!$O$4:$O$1503,"SÍ")&gt;0,"No","Sí"))</f>
        <v/>
      </c>
      <c r="Q1323" s="28">
        <f>IF(OR($A1323="",$L1323=""),"",IF(AND($N1323="Sí",$P1323="Sí"),"OTIF","Falló"))</f>
        <v/>
      </c>
    </row>
    <row r="1324" ht="16" customHeight="1">
      <c r="A1324" s="48" t="n"/>
      <c r="B1324" s="48" t="n"/>
      <c r="C1324" s="47" t="n"/>
      <c r="D1324" s="50" t="n"/>
      <c r="E1324" s="50" t="n"/>
      <c r="F1324" s="50" t="n"/>
      <c r="G1324" s="50" t="n"/>
      <c r="H1324" s="48" t="n"/>
      <c r="I1324" s="51" t="n"/>
      <c r="J1324" s="52" t="n"/>
      <c r="K1324" s="47" t="n"/>
      <c r="L1324" s="47" t="n"/>
      <c r="M1324" s="24">
        <f>IF(OR($A1324="",$C1324=""),"",IF($L1324&lt;&gt;"",$L1324-$C1324,TODAY()-$C1324))</f>
        <v/>
      </c>
      <c r="N1324" s="28">
        <f>IF(OR($A1324="",$K1324=""),"",IF($L1324="",IF(TODAY()&gt;$K1324,"Atrasado","En ruta"),IF($L1324&lt;=$K1324,"Sí","No")))</f>
        <v/>
      </c>
      <c r="O1324" s="24">
        <f>IF($A1324="","",COUNTIFS(NOVEDADES!$D$4:$D$1503,$A1324))</f>
        <v/>
      </c>
      <c r="P1324" s="28">
        <f>IF($A1324="","",IF(COUNTIFS(NOVEDADES!$D$4:$D$1503,$A1324,NOVEDADES!$O$4:$O$1503,"SÍ")&gt;0,"No","Sí"))</f>
        <v/>
      </c>
      <c r="Q1324" s="28">
        <f>IF(OR($A1324="",$L1324=""),"",IF(AND($N1324="Sí",$P1324="Sí"),"OTIF","Falló"))</f>
        <v/>
      </c>
    </row>
    <row r="1325" ht="16" customHeight="1">
      <c r="A1325" s="48" t="n"/>
      <c r="B1325" s="48" t="n"/>
      <c r="C1325" s="47" t="n"/>
      <c r="D1325" s="50" t="n"/>
      <c r="E1325" s="50" t="n"/>
      <c r="F1325" s="50" t="n"/>
      <c r="G1325" s="50" t="n"/>
      <c r="H1325" s="48" t="n"/>
      <c r="I1325" s="51" t="n"/>
      <c r="J1325" s="52" t="n"/>
      <c r="K1325" s="47" t="n"/>
      <c r="L1325" s="47" t="n"/>
      <c r="M1325" s="24">
        <f>IF(OR($A1325="",$C1325=""),"",IF($L1325&lt;&gt;"",$L1325-$C1325,TODAY()-$C1325))</f>
        <v/>
      </c>
      <c r="N1325" s="28">
        <f>IF(OR($A1325="",$K1325=""),"",IF($L1325="",IF(TODAY()&gt;$K1325,"Atrasado","En ruta"),IF($L1325&lt;=$K1325,"Sí","No")))</f>
        <v/>
      </c>
      <c r="O1325" s="24">
        <f>IF($A1325="","",COUNTIFS(NOVEDADES!$D$4:$D$1503,$A1325))</f>
        <v/>
      </c>
      <c r="P1325" s="28">
        <f>IF($A1325="","",IF(COUNTIFS(NOVEDADES!$D$4:$D$1503,$A1325,NOVEDADES!$O$4:$O$1503,"SÍ")&gt;0,"No","Sí"))</f>
        <v/>
      </c>
      <c r="Q1325" s="28">
        <f>IF(OR($A1325="",$L1325=""),"",IF(AND($N1325="Sí",$P1325="Sí"),"OTIF","Falló"))</f>
        <v/>
      </c>
    </row>
    <row r="1326" ht="16" customHeight="1">
      <c r="A1326" s="48" t="n"/>
      <c r="B1326" s="48" t="n"/>
      <c r="C1326" s="47" t="n"/>
      <c r="D1326" s="50" t="n"/>
      <c r="E1326" s="50" t="n"/>
      <c r="F1326" s="50" t="n"/>
      <c r="G1326" s="50" t="n"/>
      <c r="H1326" s="48" t="n"/>
      <c r="I1326" s="51" t="n"/>
      <c r="J1326" s="52" t="n"/>
      <c r="K1326" s="47" t="n"/>
      <c r="L1326" s="47" t="n"/>
      <c r="M1326" s="24">
        <f>IF(OR($A1326="",$C1326=""),"",IF($L1326&lt;&gt;"",$L1326-$C1326,TODAY()-$C1326))</f>
        <v/>
      </c>
      <c r="N1326" s="28">
        <f>IF(OR($A1326="",$K1326=""),"",IF($L1326="",IF(TODAY()&gt;$K1326,"Atrasado","En ruta"),IF($L1326&lt;=$K1326,"Sí","No")))</f>
        <v/>
      </c>
      <c r="O1326" s="24">
        <f>IF($A1326="","",COUNTIFS(NOVEDADES!$D$4:$D$1503,$A1326))</f>
        <v/>
      </c>
      <c r="P1326" s="28">
        <f>IF($A1326="","",IF(COUNTIFS(NOVEDADES!$D$4:$D$1503,$A1326,NOVEDADES!$O$4:$O$1503,"SÍ")&gt;0,"No","Sí"))</f>
        <v/>
      </c>
      <c r="Q1326" s="28">
        <f>IF(OR($A1326="",$L1326=""),"",IF(AND($N1326="Sí",$P1326="Sí"),"OTIF","Falló"))</f>
        <v/>
      </c>
    </row>
    <row r="1327" ht="16" customHeight="1">
      <c r="A1327" s="48" t="n"/>
      <c r="B1327" s="48" t="n"/>
      <c r="C1327" s="47" t="n"/>
      <c r="D1327" s="50" t="n"/>
      <c r="E1327" s="50" t="n"/>
      <c r="F1327" s="50" t="n"/>
      <c r="G1327" s="50" t="n"/>
      <c r="H1327" s="48" t="n"/>
      <c r="I1327" s="51" t="n"/>
      <c r="J1327" s="52" t="n"/>
      <c r="K1327" s="47" t="n"/>
      <c r="L1327" s="47" t="n"/>
      <c r="M1327" s="24">
        <f>IF(OR($A1327="",$C1327=""),"",IF($L1327&lt;&gt;"",$L1327-$C1327,TODAY()-$C1327))</f>
        <v/>
      </c>
      <c r="N1327" s="28">
        <f>IF(OR($A1327="",$K1327=""),"",IF($L1327="",IF(TODAY()&gt;$K1327,"Atrasado","En ruta"),IF($L1327&lt;=$K1327,"Sí","No")))</f>
        <v/>
      </c>
      <c r="O1327" s="24">
        <f>IF($A1327="","",COUNTIFS(NOVEDADES!$D$4:$D$1503,$A1327))</f>
        <v/>
      </c>
      <c r="P1327" s="28">
        <f>IF($A1327="","",IF(COUNTIFS(NOVEDADES!$D$4:$D$1503,$A1327,NOVEDADES!$O$4:$O$1503,"SÍ")&gt;0,"No","Sí"))</f>
        <v/>
      </c>
      <c r="Q1327" s="28">
        <f>IF(OR($A1327="",$L1327=""),"",IF(AND($N1327="Sí",$P1327="Sí"),"OTIF","Falló"))</f>
        <v/>
      </c>
    </row>
    <row r="1328" ht="16" customHeight="1">
      <c r="A1328" s="48" t="n"/>
      <c r="B1328" s="48" t="n"/>
      <c r="C1328" s="47" t="n"/>
      <c r="D1328" s="50" t="n"/>
      <c r="E1328" s="50" t="n"/>
      <c r="F1328" s="50" t="n"/>
      <c r="G1328" s="50" t="n"/>
      <c r="H1328" s="48" t="n"/>
      <c r="I1328" s="51" t="n"/>
      <c r="J1328" s="52" t="n"/>
      <c r="K1328" s="47" t="n"/>
      <c r="L1328" s="47" t="n"/>
      <c r="M1328" s="24">
        <f>IF(OR($A1328="",$C1328=""),"",IF($L1328&lt;&gt;"",$L1328-$C1328,TODAY()-$C1328))</f>
        <v/>
      </c>
      <c r="N1328" s="28">
        <f>IF(OR($A1328="",$K1328=""),"",IF($L1328="",IF(TODAY()&gt;$K1328,"Atrasado","En ruta"),IF($L1328&lt;=$K1328,"Sí","No")))</f>
        <v/>
      </c>
      <c r="O1328" s="24">
        <f>IF($A1328="","",COUNTIFS(NOVEDADES!$D$4:$D$1503,$A1328))</f>
        <v/>
      </c>
      <c r="P1328" s="28">
        <f>IF($A1328="","",IF(COUNTIFS(NOVEDADES!$D$4:$D$1503,$A1328,NOVEDADES!$O$4:$O$1503,"SÍ")&gt;0,"No","Sí"))</f>
        <v/>
      </c>
      <c r="Q1328" s="28">
        <f>IF(OR($A1328="",$L1328=""),"",IF(AND($N1328="Sí",$P1328="Sí"),"OTIF","Falló"))</f>
        <v/>
      </c>
    </row>
    <row r="1329" ht="16" customHeight="1">
      <c r="A1329" s="48" t="n"/>
      <c r="B1329" s="48" t="n"/>
      <c r="C1329" s="47" t="n"/>
      <c r="D1329" s="50" t="n"/>
      <c r="E1329" s="50" t="n"/>
      <c r="F1329" s="50" t="n"/>
      <c r="G1329" s="50" t="n"/>
      <c r="H1329" s="48" t="n"/>
      <c r="I1329" s="51" t="n"/>
      <c r="J1329" s="52" t="n"/>
      <c r="K1329" s="47" t="n"/>
      <c r="L1329" s="47" t="n"/>
      <c r="M1329" s="24">
        <f>IF(OR($A1329="",$C1329=""),"",IF($L1329&lt;&gt;"",$L1329-$C1329,TODAY()-$C1329))</f>
        <v/>
      </c>
      <c r="N1329" s="28">
        <f>IF(OR($A1329="",$K1329=""),"",IF($L1329="",IF(TODAY()&gt;$K1329,"Atrasado","En ruta"),IF($L1329&lt;=$K1329,"Sí","No")))</f>
        <v/>
      </c>
      <c r="O1329" s="24">
        <f>IF($A1329="","",COUNTIFS(NOVEDADES!$D$4:$D$1503,$A1329))</f>
        <v/>
      </c>
      <c r="P1329" s="28">
        <f>IF($A1329="","",IF(COUNTIFS(NOVEDADES!$D$4:$D$1503,$A1329,NOVEDADES!$O$4:$O$1503,"SÍ")&gt;0,"No","Sí"))</f>
        <v/>
      </c>
      <c r="Q1329" s="28">
        <f>IF(OR($A1329="",$L1329=""),"",IF(AND($N1329="Sí",$P1329="Sí"),"OTIF","Falló"))</f>
        <v/>
      </c>
    </row>
    <row r="1330" ht="16" customHeight="1">
      <c r="A1330" s="48" t="n"/>
      <c r="B1330" s="48" t="n"/>
      <c r="C1330" s="47" t="n"/>
      <c r="D1330" s="50" t="n"/>
      <c r="E1330" s="50" t="n"/>
      <c r="F1330" s="50" t="n"/>
      <c r="G1330" s="50" t="n"/>
      <c r="H1330" s="48" t="n"/>
      <c r="I1330" s="51" t="n"/>
      <c r="J1330" s="52" t="n"/>
      <c r="K1330" s="47" t="n"/>
      <c r="L1330" s="47" t="n"/>
      <c r="M1330" s="24">
        <f>IF(OR($A1330="",$C1330=""),"",IF($L1330&lt;&gt;"",$L1330-$C1330,TODAY()-$C1330))</f>
        <v/>
      </c>
      <c r="N1330" s="28">
        <f>IF(OR($A1330="",$K1330=""),"",IF($L1330="",IF(TODAY()&gt;$K1330,"Atrasado","En ruta"),IF($L1330&lt;=$K1330,"Sí","No")))</f>
        <v/>
      </c>
      <c r="O1330" s="24">
        <f>IF($A1330="","",COUNTIFS(NOVEDADES!$D$4:$D$1503,$A1330))</f>
        <v/>
      </c>
      <c r="P1330" s="28">
        <f>IF($A1330="","",IF(COUNTIFS(NOVEDADES!$D$4:$D$1503,$A1330,NOVEDADES!$O$4:$O$1503,"SÍ")&gt;0,"No","Sí"))</f>
        <v/>
      </c>
      <c r="Q1330" s="28">
        <f>IF(OR($A1330="",$L1330=""),"",IF(AND($N1330="Sí",$P1330="Sí"),"OTIF","Falló"))</f>
        <v/>
      </c>
    </row>
    <row r="1331" ht="16" customHeight="1">
      <c r="A1331" s="48" t="n"/>
      <c r="B1331" s="48" t="n"/>
      <c r="C1331" s="47" t="n"/>
      <c r="D1331" s="50" t="n"/>
      <c r="E1331" s="50" t="n"/>
      <c r="F1331" s="50" t="n"/>
      <c r="G1331" s="50" t="n"/>
      <c r="H1331" s="48" t="n"/>
      <c r="I1331" s="51" t="n"/>
      <c r="J1331" s="52" t="n"/>
      <c r="K1331" s="47" t="n"/>
      <c r="L1331" s="47" t="n"/>
      <c r="M1331" s="24">
        <f>IF(OR($A1331="",$C1331=""),"",IF($L1331&lt;&gt;"",$L1331-$C1331,TODAY()-$C1331))</f>
        <v/>
      </c>
      <c r="N1331" s="28">
        <f>IF(OR($A1331="",$K1331=""),"",IF($L1331="",IF(TODAY()&gt;$K1331,"Atrasado","En ruta"),IF($L1331&lt;=$K1331,"Sí","No")))</f>
        <v/>
      </c>
      <c r="O1331" s="24">
        <f>IF($A1331="","",COUNTIFS(NOVEDADES!$D$4:$D$1503,$A1331))</f>
        <v/>
      </c>
      <c r="P1331" s="28">
        <f>IF($A1331="","",IF(COUNTIFS(NOVEDADES!$D$4:$D$1503,$A1331,NOVEDADES!$O$4:$O$1503,"SÍ")&gt;0,"No","Sí"))</f>
        <v/>
      </c>
      <c r="Q1331" s="28">
        <f>IF(OR($A1331="",$L1331=""),"",IF(AND($N1331="Sí",$P1331="Sí"),"OTIF","Falló"))</f>
        <v/>
      </c>
    </row>
    <row r="1332" ht="16" customHeight="1">
      <c r="A1332" s="48" t="n"/>
      <c r="B1332" s="48" t="n"/>
      <c r="C1332" s="47" t="n"/>
      <c r="D1332" s="50" t="n"/>
      <c r="E1332" s="50" t="n"/>
      <c r="F1332" s="50" t="n"/>
      <c r="G1332" s="50" t="n"/>
      <c r="H1332" s="48" t="n"/>
      <c r="I1332" s="51" t="n"/>
      <c r="J1332" s="52" t="n"/>
      <c r="K1332" s="47" t="n"/>
      <c r="L1332" s="47" t="n"/>
      <c r="M1332" s="24">
        <f>IF(OR($A1332="",$C1332=""),"",IF($L1332&lt;&gt;"",$L1332-$C1332,TODAY()-$C1332))</f>
        <v/>
      </c>
      <c r="N1332" s="28">
        <f>IF(OR($A1332="",$K1332=""),"",IF($L1332="",IF(TODAY()&gt;$K1332,"Atrasado","En ruta"),IF($L1332&lt;=$K1332,"Sí","No")))</f>
        <v/>
      </c>
      <c r="O1332" s="24">
        <f>IF($A1332="","",COUNTIFS(NOVEDADES!$D$4:$D$1503,$A1332))</f>
        <v/>
      </c>
      <c r="P1332" s="28">
        <f>IF($A1332="","",IF(COUNTIFS(NOVEDADES!$D$4:$D$1503,$A1332,NOVEDADES!$O$4:$O$1503,"SÍ")&gt;0,"No","Sí"))</f>
        <v/>
      </c>
      <c r="Q1332" s="28">
        <f>IF(OR($A1332="",$L1332=""),"",IF(AND($N1332="Sí",$P1332="Sí"),"OTIF","Falló"))</f>
        <v/>
      </c>
    </row>
    <row r="1333" ht="16" customHeight="1">
      <c r="A1333" s="48" t="n"/>
      <c r="B1333" s="48" t="n"/>
      <c r="C1333" s="47" t="n"/>
      <c r="D1333" s="50" t="n"/>
      <c r="E1333" s="50" t="n"/>
      <c r="F1333" s="50" t="n"/>
      <c r="G1333" s="50" t="n"/>
      <c r="H1333" s="48" t="n"/>
      <c r="I1333" s="51" t="n"/>
      <c r="J1333" s="52" t="n"/>
      <c r="K1333" s="47" t="n"/>
      <c r="L1333" s="47" t="n"/>
      <c r="M1333" s="24">
        <f>IF(OR($A1333="",$C1333=""),"",IF($L1333&lt;&gt;"",$L1333-$C1333,TODAY()-$C1333))</f>
        <v/>
      </c>
      <c r="N1333" s="28">
        <f>IF(OR($A1333="",$K1333=""),"",IF($L1333="",IF(TODAY()&gt;$K1333,"Atrasado","En ruta"),IF($L1333&lt;=$K1333,"Sí","No")))</f>
        <v/>
      </c>
      <c r="O1333" s="24">
        <f>IF($A1333="","",COUNTIFS(NOVEDADES!$D$4:$D$1503,$A1333))</f>
        <v/>
      </c>
      <c r="P1333" s="28">
        <f>IF($A1333="","",IF(COUNTIFS(NOVEDADES!$D$4:$D$1503,$A1333,NOVEDADES!$O$4:$O$1503,"SÍ")&gt;0,"No","Sí"))</f>
        <v/>
      </c>
      <c r="Q1333" s="28">
        <f>IF(OR($A1333="",$L1333=""),"",IF(AND($N1333="Sí",$P1333="Sí"),"OTIF","Falló"))</f>
        <v/>
      </c>
    </row>
    <row r="1334" ht="16" customHeight="1">
      <c r="A1334" s="48" t="n"/>
      <c r="B1334" s="48" t="n"/>
      <c r="C1334" s="47" t="n"/>
      <c r="D1334" s="50" t="n"/>
      <c r="E1334" s="50" t="n"/>
      <c r="F1334" s="50" t="n"/>
      <c r="G1334" s="50" t="n"/>
      <c r="H1334" s="48" t="n"/>
      <c r="I1334" s="51" t="n"/>
      <c r="J1334" s="52" t="n"/>
      <c r="K1334" s="47" t="n"/>
      <c r="L1334" s="47" t="n"/>
      <c r="M1334" s="24">
        <f>IF(OR($A1334="",$C1334=""),"",IF($L1334&lt;&gt;"",$L1334-$C1334,TODAY()-$C1334))</f>
        <v/>
      </c>
      <c r="N1334" s="28">
        <f>IF(OR($A1334="",$K1334=""),"",IF($L1334="",IF(TODAY()&gt;$K1334,"Atrasado","En ruta"),IF($L1334&lt;=$K1334,"Sí","No")))</f>
        <v/>
      </c>
      <c r="O1334" s="24">
        <f>IF($A1334="","",COUNTIFS(NOVEDADES!$D$4:$D$1503,$A1334))</f>
        <v/>
      </c>
      <c r="P1334" s="28">
        <f>IF($A1334="","",IF(COUNTIFS(NOVEDADES!$D$4:$D$1503,$A1334,NOVEDADES!$O$4:$O$1503,"SÍ")&gt;0,"No","Sí"))</f>
        <v/>
      </c>
      <c r="Q1334" s="28">
        <f>IF(OR($A1334="",$L1334=""),"",IF(AND($N1334="Sí",$P1334="Sí"),"OTIF","Falló"))</f>
        <v/>
      </c>
    </row>
    <row r="1335" ht="16" customHeight="1">
      <c r="A1335" s="48" t="n"/>
      <c r="B1335" s="48" t="n"/>
      <c r="C1335" s="47" t="n"/>
      <c r="D1335" s="50" t="n"/>
      <c r="E1335" s="50" t="n"/>
      <c r="F1335" s="50" t="n"/>
      <c r="G1335" s="50" t="n"/>
      <c r="H1335" s="48" t="n"/>
      <c r="I1335" s="51" t="n"/>
      <c r="J1335" s="52" t="n"/>
      <c r="K1335" s="47" t="n"/>
      <c r="L1335" s="47" t="n"/>
      <c r="M1335" s="24">
        <f>IF(OR($A1335="",$C1335=""),"",IF($L1335&lt;&gt;"",$L1335-$C1335,TODAY()-$C1335))</f>
        <v/>
      </c>
      <c r="N1335" s="28">
        <f>IF(OR($A1335="",$K1335=""),"",IF($L1335="",IF(TODAY()&gt;$K1335,"Atrasado","En ruta"),IF($L1335&lt;=$K1335,"Sí","No")))</f>
        <v/>
      </c>
      <c r="O1335" s="24">
        <f>IF($A1335="","",COUNTIFS(NOVEDADES!$D$4:$D$1503,$A1335))</f>
        <v/>
      </c>
      <c r="P1335" s="28">
        <f>IF($A1335="","",IF(COUNTIFS(NOVEDADES!$D$4:$D$1503,$A1335,NOVEDADES!$O$4:$O$1503,"SÍ")&gt;0,"No","Sí"))</f>
        <v/>
      </c>
      <c r="Q1335" s="28">
        <f>IF(OR($A1335="",$L1335=""),"",IF(AND($N1335="Sí",$P1335="Sí"),"OTIF","Falló"))</f>
        <v/>
      </c>
    </row>
    <row r="1336" ht="16" customHeight="1">
      <c r="A1336" s="48" t="n"/>
      <c r="B1336" s="48" t="n"/>
      <c r="C1336" s="47" t="n"/>
      <c r="D1336" s="50" t="n"/>
      <c r="E1336" s="50" t="n"/>
      <c r="F1336" s="50" t="n"/>
      <c r="G1336" s="50" t="n"/>
      <c r="H1336" s="48" t="n"/>
      <c r="I1336" s="51" t="n"/>
      <c r="J1336" s="52" t="n"/>
      <c r="K1336" s="47" t="n"/>
      <c r="L1336" s="47" t="n"/>
      <c r="M1336" s="24">
        <f>IF(OR($A1336="",$C1336=""),"",IF($L1336&lt;&gt;"",$L1336-$C1336,TODAY()-$C1336))</f>
        <v/>
      </c>
      <c r="N1336" s="28">
        <f>IF(OR($A1336="",$K1336=""),"",IF($L1336="",IF(TODAY()&gt;$K1336,"Atrasado","En ruta"),IF($L1336&lt;=$K1336,"Sí","No")))</f>
        <v/>
      </c>
      <c r="O1336" s="24">
        <f>IF($A1336="","",COUNTIFS(NOVEDADES!$D$4:$D$1503,$A1336))</f>
        <v/>
      </c>
      <c r="P1336" s="28">
        <f>IF($A1336="","",IF(COUNTIFS(NOVEDADES!$D$4:$D$1503,$A1336,NOVEDADES!$O$4:$O$1503,"SÍ")&gt;0,"No","Sí"))</f>
        <v/>
      </c>
      <c r="Q1336" s="28">
        <f>IF(OR($A1336="",$L1336=""),"",IF(AND($N1336="Sí",$P1336="Sí"),"OTIF","Falló"))</f>
        <v/>
      </c>
    </row>
    <row r="1337" ht="16" customHeight="1">
      <c r="A1337" s="48" t="n"/>
      <c r="B1337" s="48" t="n"/>
      <c r="C1337" s="47" t="n"/>
      <c r="D1337" s="50" t="n"/>
      <c r="E1337" s="50" t="n"/>
      <c r="F1337" s="50" t="n"/>
      <c r="G1337" s="50" t="n"/>
      <c r="H1337" s="48" t="n"/>
      <c r="I1337" s="51" t="n"/>
      <c r="J1337" s="52" t="n"/>
      <c r="K1337" s="47" t="n"/>
      <c r="L1337" s="47" t="n"/>
      <c r="M1337" s="24">
        <f>IF(OR($A1337="",$C1337=""),"",IF($L1337&lt;&gt;"",$L1337-$C1337,TODAY()-$C1337))</f>
        <v/>
      </c>
      <c r="N1337" s="28">
        <f>IF(OR($A1337="",$K1337=""),"",IF($L1337="",IF(TODAY()&gt;$K1337,"Atrasado","En ruta"),IF($L1337&lt;=$K1337,"Sí","No")))</f>
        <v/>
      </c>
      <c r="O1337" s="24">
        <f>IF($A1337="","",COUNTIFS(NOVEDADES!$D$4:$D$1503,$A1337))</f>
        <v/>
      </c>
      <c r="P1337" s="28">
        <f>IF($A1337="","",IF(COUNTIFS(NOVEDADES!$D$4:$D$1503,$A1337,NOVEDADES!$O$4:$O$1503,"SÍ")&gt;0,"No","Sí"))</f>
        <v/>
      </c>
      <c r="Q1337" s="28">
        <f>IF(OR($A1337="",$L1337=""),"",IF(AND($N1337="Sí",$P1337="Sí"),"OTIF","Falló"))</f>
        <v/>
      </c>
    </row>
    <row r="1338" ht="16" customHeight="1">
      <c r="A1338" s="48" t="n"/>
      <c r="B1338" s="48" t="n"/>
      <c r="C1338" s="47" t="n"/>
      <c r="D1338" s="50" t="n"/>
      <c r="E1338" s="50" t="n"/>
      <c r="F1338" s="50" t="n"/>
      <c r="G1338" s="50" t="n"/>
      <c r="H1338" s="48" t="n"/>
      <c r="I1338" s="51" t="n"/>
      <c r="J1338" s="52" t="n"/>
      <c r="K1338" s="47" t="n"/>
      <c r="L1338" s="47" t="n"/>
      <c r="M1338" s="24">
        <f>IF(OR($A1338="",$C1338=""),"",IF($L1338&lt;&gt;"",$L1338-$C1338,TODAY()-$C1338))</f>
        <v/>
      </c>
      <c r="N1338" s="28">
        <f>IF(OR($A1338="",$K1338=""),"",IF($L1338="",IF(TODAY()&gt;$K1338,"Atrasado","En ruta"),IF($L1338&lt;=$K1338,"Sí","No")))</f>
        <v/>
      </c>
      <c r="O1338" s="24">
        <f>IF($A1338="","",COUNTIFS(NOVEDADES!$D$4:$D$1503,$A1338))</f>
        <v/>
      </c>
      <c r="P1338" s="28">
        <f>IF($A1338="","",IF(COUNTIFS(NOVEDADES!$D$4:$D$1503,$A1338,NOVEDADES!$O$4:$O$1503,"SÍ")&gt;0,"No","Sí"))</f>
        <v/>
      </c>
      <c r="Q1338" s="28">
        <f>IF(OR($A1338="",$L1338=""),"",IF(AND($N1338="Sí",$P1338="Sí"),"OTIF","Falló"))</f>
        <v/>
      </c>
    </row>
    <row r="1339" ht="16" customHeight="1">
      <c r="A1339" s="48" t="n"/>
      <c r="B1339" s="48" t="n"/>
      <c r="C1339" s="47" t="n"/>
      <c r="D1339" s="50" t="n"/>
      <c r="E1339" s="50" t="n"/>
      <c r="F1339" s="50" t="n"/>
      <c r="G1339" s="50" t="n"/>
      <c r="H1339" s="48" t="n"/>
      <c r="I1339" s="51" t="n"/>
      <c r="J1339" s="52" t="n"/>
      <c r="K1339" s="47" t="n"/>
      <c r="L1339" s="47" t="n"/>
      <c r="M1339" s="24">
        <f>IF(OR($A1339="",$C1339=""),"",IF($L1339&lt;&gt;"",$L1339-$C1339,TODAY()-$C1339))</f>
        <v/>
      </c>
      <c r="N1339" s="28">
        <f>IF(OR($A1339="",$K1339=""),"",IF($L1339="",IF(TODAY()&gt;$K1339,"Atrasado","En ruta"),IF($L1339&lt;=$K1339,"Sí","No")))</f>
        <v/>
      </c>
      <c r="O1339" s="24">
        <f>IF($A1339="","",COUNTIFS(NOVEDADES!$D$4:$D$1503,$A1339))</f>
        <v/>
      </c>
      <c r="P1339" s="28">
        <f>IF($A1339="","",IF(COUNTIFS(NOVEDADES!$D$4:$D$1503,$A1339,NOVEDADES!$O$4:$O$1503,"SÍ")&gt;0,"No","Sí"))</f>
        <v/>
      </c>
      <c r="Q1339" s="28">
        <f>IF(OR($A1339="",$L1339=""),"",IF(AND($N1339="Sí",$P1339="Sí"),"OTIF","Falló"))</f>
        <v/>
      </c>
    </row>
    <row r="1340" ht="16" customHeight="1">
      <c r="A1340" s="48" t="n"/>
      <c r="B1340" s="48" t="n"/>
      <c r="C1340" s="47" t="n"/>
      <c r="D1340" s="50" t="n"/>
      <c r="E1340" s="50" t="n"/>
      <c r="F1340" s="50" t="n"/>
      <c r="G1340" s="50" t="n"/>
      <c r="H1340" s="48" t="n"/>
      <c r="I1340" s="51" t="n"/>
      <c r="J1340" s="52" t="n"/>
      <c r="K1340" s="47" t="n"/>
      <c r="L1340" s="47" t="n"/>
      <c r="M1340" s="24">
        <f>IF(OR($A1340="",$C1340=""),"",IF($L1340&lt;&gt;"",$L1340-$C1340,TODAY()-$C1340))</f>
        <v/>
      </c>
      <c r="N1340" s="28">
        <f>IF(OR($A1340="",$K1340=""),"",IF($L1340="",IF(TODAY()&gt;$K1340,"Atrasado","En ruta"),IF($L1340&lt;=$K1340,"Sí","No")))</f>
        <v/>
      </c>
      <c r="O1340" s="24">
        <f>IF($A1340="","",COUNTIFS(NOVEDADES!$D$4:$D$1503,$A1340))</f>
        <v/>
      </c>
      <c r="P1340" s="28">
        <f>IF($A1340="","",IF(COUNTIFS(NOVEDADES!$D$4:$D$1503,$A1340,NOVEDADES!$O$4:$O$1503,"SÍ")&gt;0,"No","Sí"))</f>
        <v/>
      </c>
      <c r="Q1340" s="28">
        <f>IF(OR($A1340="",$L1340=""),"",IF(AND($N1340="Sí",$P1340="Sí"),"OTIF","Falló"))</f>
        <v/>
      </c>
    </row>
    <row r="1341" ht="16" customHeight="1">
      <c r="A1341" s="48" t="n"/>
      <c r="B1341" s="48" t="n"/>
      <c r="C1341" s="47" t="n"/>
      <c r="D1341" s="50" t="n"/>
      <c r="E1341" s="50" t="n"/>
      <c r="F1341" s="50" t="n"/>
      <c r="G1341" s="50" t="n"/>
      <c r="H1341" s="48" t="n"/>
      <c r="I1341" s="51" t="n"/>
      <c r="J1341" s="52" t="n"/>
      <c r="K1341" s="47" t="n"/>
      <c r="L1341" s="47" t="n"/>
      <c r="M1341" s="24">
        <f>IF(OR($A1341="",$C1341=""),"",IF($L1341&lt;&gt;"",$L1341-$C1341,TODAY()-$C1341))</f>
        <v/>
      </c>
      <c r="N1341" s="28">
        <f>IF(OR($A1341="",$K1341=""),"",IF($L1341="",IF(TODAY()&gt;$K1341,"Atrasado","En ruta"),IF($L1341&lt;=$K1341,"Sí","No")))</f>
        <v/>
      </c>
      <c r="O1341" s="24">
        <f>IF($A1341="","",COUNTIFS(NOVEDADES!$D$4:$D$1503,$A1341))</f>
        <v/>
      </c>
      <c r="P1341" s="28">
        <f>IF($A1341="","",IF(COUNTIFS(NOVEDADES!$D$4:$D$1503,$A1341,NOVEDADES!$O$4:$O$1503,"SÍ")&gt;0,"No","Sí"))</f>
        <v/>
      </c>
      <c r="Q1341" s="28">
        <f>IF(OR($A1341="",$L1341=""),"",IF(AND($N1341="Sí",$P1341="Sí"),"OTIF","Falló"))</f>
        <v/>
      </c>
    </row>
    <row r="1342" ht="16" customHeight="1">
      <c r="A1342" s="48" t="n"/>
      <c r="B1342" s="48" t="n"/>
      <c r="C1342" s="47" t="n"/>
      <c r="D1342" s="50" t="n"/>
      <c r="E1342" s="50" t="n"/>
      <c r="F1342" s="50" t="n"/>
      <c r="G1342" s="50" t="n"/>
      <c r="H1342" s="48" t="n"/>
      <c r="I1342" s="51" t="n"/>
      <c r="J1342" s="52" t="n"/>
      <c r="K1342" s="47" t="n"/>
      <c r="L1342" s="47" t="n"/>
      <c r="M1342" s="24">
        <f>IF(OR($A1342="",$C1342=""),"",IF($L1342&lt;&gt;"",$L1342-$C1342,TODAY()-$C1342))</f>
        <v/>
      </c>
      <c r="N1342" s="28">
        <f>IF(OR($A1342="",$K1342=""),"",IF($L1342="",IF(TODAY()&gt;$K1342,"Atrasado","En ruta"),IF($L1342&lt;=$K1342,"Sí","No")))</f>
        <v/>
      </c>
      <c r="O1342" s="24">
        <f>IF($A1342="","",COUNTIFS(NOVEDADES!$D$4:$D$1503,$A1342))</f>
        <v/>
      </c>
      <c r="P1342" s="28">
        <f>IF($A1342="","",IF(COUNTIFS(NOVEDADES!$D$4:$D$1503,$A1342,NOVEDADES!$O$4:$O$1503,"SÍ")&gt;0,"No","Sí"))</f>
        <v/>
      </c>
      <c r="Q1342" s="28">
        <f>IF(OR($A1342="",$L1342=""),"",IF(AND($N1342="Sí",$P1342="Sí"),"OTIF","Falló"))</f>
        <v/>
      </c>
    </row>
    <row r="1343" ht="16" customHeight="1">
      <c r="A1343" s="48" t="n"/>
      <c r="B1343" s="48" t="n"/>
      <c r="C1343" s="47" t="n"/>
      <c r="D1343" s="50" t="n"/>
      <c r="E1343" s="50" t="n"/>
      <c r="F1343" s="50" t="n"/>
      <c r="G1343" s="50" t="n"/>
      <c r="H1343" s="48" t="n"/>
      <c r="I1343" s="51" t="n"/>
      <c r="J1343" s="52" t="n"/>
      <c r="K1343" s="47" t="n"/>
      <c r="L1343" s="47" t="n"/>
      <c r="M1343" s="24">
        <f>IF(OR($A1343="",$C1343=""),"",IF($L1343&lt;&gt;"",$L1343-$C1343,TODAY()-$C1343))</f>
        <v/>
      </c>
      <c r="N1343" s="28">
        <f>IF(OR($A1343="",$K1343=""),"",IF($L1343="",IF(TODAY()&gt;$K1343,"Atrasado","En ruta"),IF($L1343&lt;=$K1343,"Sí","No")))</f>
        <v/>
      </c>
      <c r="O1343" s="24">
        <f>IF($A1343="","",COUNTIFS(NOVEDADES!$D$4:$D$1503,$A1343))</f>
        <v/>
      </c>
      <c r="P1343" s="28">
        <f>IF($A1343="","",IF(COUNTIFS(NOVEDADES!$D$4:$D$1503,$A1343,NOVEDADES!$O$4:$O$1503,"SÍ")&gt;0,"No","Sí"))</f>
        <v/>
      </c>
      <c r="Q1343" s="28">
        <f>IF(OR($A1343="",$L1343=""),"",IF(AND($N1343="Sí",$P1343="Sí"),"OTIF","Falló"))</f>
        <v/>
      </c>
    </row>
    <row r="1344" ht="16" customHeight="1">
      <c r="A1344" s="48" t="n"/>
      <c r="B1344" s="48" t="n"/>
      <c r="C1344" s="47" t="n"/>
      <c r="D1344" s="50" t="n"/>
      <c r="E1344" s="50" t="n"/>
      <c r="F1344" s="50" t="n"/>
      <c r="G1344" s="50" t="n"/>
      <c r="H1344" s="48" t="n"/>
      <c r="I1344" s="51" t="n"/>
      <c r="J1344" s="52" t="n"/>
      <c r="K1344" s="47" t="n"/>
      <c r="L1344" s="47" t="n"/>
      <c r="M1344" s="24">
        <f>IF(OR($A1344="",$C1344=""),"",IF($L1344&lt;&gt;"",$L1344-$C1344,TODAY()-$C1344))</f>
        <v/>
      </c>
      <c r="N1344" s="28">
        <f>IF(OR($A1344="",$K1344=""),"",IF($L1344="",IF(TODAY()&gt;$K1344,"Atrasado","En ruta"),IF($L1344&lt;=$K1344,"Sí","No")))</f>
        <v/>
      </c>
      <c r="O1344" s="24">
        <f>IF($A1344="","",COUNTIFS(NOVEDADES!$D$4:$D$1503,$A1344))</f>
        <v/>
      </c>
      <c r="P1344" s="28">
        <f>IF($A1344="","",IF(COUNTIFS(NOVEDADES!$D$4:$D$1503,$A1344,NOVEDADES!$O$4:$O$1503,"SÍ")&gt;0,"No","Sí"))</f>
        <v/>
      </c>
      <c r="Q1344" s="28">
        <f>IF(OR($A1344="",$L1344=""),"",IF(AND($N1344="Sí",$P1344="Sí"),"OTIF","Falló"))</f>
        <v/>
      </c>
    </row>
    <row r="1345" ht="16" customHeight="1">
      <c r="A1345" s="48" t="n"/>
      <c r="B1345" s="48" t="n"/>
      <c r="C1345" s="47" t="n"/>
      <c r="D1345" s="50" t="n"/>
      <c r="E1345" s="50" t="n"/>
      <c r="F1345" s="50" t="n"/>
      <c r="G1345" s="50" t="n"/>
      <c r="H1345" s="48" t="n"/>
      <c r="I1345" s="51" t="n"/>
      <c r="J1345" s="52" t="n"/>
      <c r="K1345" s="47" t="n"/>
      <c r="L1345" s="47" t="n"/>
      <c r="M1345" s="24">
        <f>IF(OR($A1345="",$C1345=""),"",IF($L1345&lt;&gt;"",$L1345-$C1345,TODAY()-$C1345))</f>
        <v/>
      </c>
      <c r="N1345" s="28">
        <f>IF(OR($A1345="",$K1345=""),"",IF($L1345="",IF(TODAY()&gt;$K1345,"Atrasado","En ruta"),IF($L1345&lt;=$K1345,"Sí","No")))</f>
        <v/>
      </c>
      <c r="O1345" s="24">
        <f>IF($A1345="","",COUNTIFS(NOVEDADES!$D$4:$D$1503,$A1345))</f>
        <v/>
      </c>
      <c r="P1345" s="28">
        <f>IF($A1345="","",IF(COUNTIFS(NOVEDADES!$D$4:$D$1503,$A1345,NOVEDADES!$O$4:$O$1503,"SÍ")&gt;0,"No","Sí"))</f>
        <v/>
      </c>
      <c r="Q1345" s="28">
        <f>IF(OR($A1345="",$L1345=""),"",IF(AND($N1345="Sí",$P1345="Sí"),"OTIF","Falló"))</f>
        <v/>
      </c>
    </row>
    <row r="1346" ht="16" customHeight="1">
      <c r="A1346" s="48" t="n"/>
      <c r="B1346" s="48" t="n"/>
      <c r="C1346" s="47" t="n"/>
      <c r="D1346" s="50" t="n"/>
      <c r="E1346" s="50" t="n"/>
      <c r="F1346" s="50" t="n"/>
      <c r="G1346" s="50" t="n"/>
      <c r="H1346" s="48" t="n"/>
      <c r="I1346" s="51" t="n"/>
      <c r="J1346" s="52" t="n"/>
      <c r="K1346" s="47" t="n"/>
      <c r="L1346" s="47" t="n"/>
      <c r="M1346" s="24">
        <f>IF(OR($A1346="",$C1346=""),"",IF($L1346&lt;&gt;"",$L1346-$C1346,TODAY()-$C1346))</f>
        <v/>
      </c>
      <c r="N1346" s="28">
        <f>IF(OR($A1346="",$K1346=""),"",IF($L1346="",IF(TODAY()&gt;$K1346,"Atrasado","En ruta"),IF($L1346&lt;=$K1346,"Sí","No")))</f>
        <v/>
      </c>
      <c r="O1346" s="24">
        <f>IF($A1346="","",COUNTIFS(NOVEDADES!$D$4:$D$1503,$A1346))</f>
        <v/>
      </c>
      <c r="P1346" s="28">
        <f>IF($A1346="","",IF(COUNTIFS(NOVEDADES!$D$4:$D$1503,$A1346,NOVEDADES!$O$4:$O$1503,"SÍ")&gt;0,"No","Sí"))</f>
        <v/>
      </c>
      <c r="Q1346" s="28">
        <f>IF(OR($A1346="",$L1346=""),"",IF(AND($N1346="Sí",$P1346="Sí"),"OTIF","Falló"))</f>
        <v/>
      </c>
    </row>
    <row r="1347" ht="16" customHeight="1">
      <c r="A1347" s="48" t="n"/>
      <c r="B1347" s="48" t="n"/>
      <c r="C1347" s="47" t="n"/>
      <c r="D1347" s="50" t="n"/>
      <c r="E1347" s="50" t="n"/>
      <c r="F1347" s="50" t="n"/>
      <c r="G1347" s="50" t="n"/>
      <c r="H1347" s="48" t="n"/>
      <c r="I1347" s="51" t="n"/>
      <c r="J1347" s="52" t="n"/>
      <c r="K1347" s="47" t="n"/>
      <c r="L1347" s="47" t="n"/>
      <c r="M1347" s="24">
        <f>IF(OR($A1347="",$C1347=""),"",IF($L1347&lt;&gt;"",$L1347-$C1347,TODAY()-$C1347))</f>
        <v/>
      </c>
      <c r="N1347" s="28">
        <f>IF(OR($A1347="",$K1347=""),"",IF($L1347="",IF(TODAY()&gt;$K1347,"Atrasado","En ruta"),IF($L1347&lt;=$K1347,"Sí","No")))</f>
        <v/>
      </c>
      <c r="O1347" s="24">
        <f>IF($A1347="","",COUNTIFS(NOVEDADES!$D$4:$D$1503,$A1347))</f>
        <v/>
      </c>
      <c r="P1347" s="28">
        <f>IF($A1347="","",IF(COUNTIFS(NOVEDADES!$D$4:$D$1503,$A1347,NOVEDADES!$O$4:$O$1503,"SÍ")&gt;0,"No","Sí"))</f>
        <v/>
      </c>
      <c r="Q1347" s="28">
        <f>IF(OR($A1347="",$L1347=""),"",IF(AND($N1347="Sí",$P1347="Sí"),"OTIF","Falló"))</f>
        <v/>
      </c>
    </row>
    <row r="1348" ht="16" customHeight="1">
      <c r="A1348" s="48" t="n"/>
      <c r="B1348" s="48" t="n"/>
      <c r="C1348" s="47" t="n"/>
      <c r="D1348" s="50" t="n"/>
      <c r="E1348" s="50" t="n"/>
      <c r="F1348" s="50" t="n"/>
      <c r="G1348" s="50" t="n"/>
      <c r="H1348" s="48" t="n"/>
      <c r="I1348" s="51" t="n"/>
      <c r="J1348" s="52" t="n"/>
      <c r="K1348" s="47" t="n"/>
      <c r="L1348" s="47" t="n"/>
      <c r="M1348" s="24">
        <f>IF(OR($A1348="",$C1348=""),"",IF($L1348&lt;&gt;"",$L1348-$C1348,TODAY()-$C1348))</f>
        <v/>
      </c>
      <c r="N1348" s="28">
        <f>IF(OR($A1348="",$K1348=""),"",IF($L1348="",IF(TODAY()&gt;$K1348,"Atrasado","En ruta"),IF($L1348&lt;=$K1348,"Sí","No")))</f>
        <v/>
      </c>
      <c r="O1348" s="24">
        <f>IF($A1348="","",COUNTIFS(NOVEDADES!$D$4:$D$1503,$A1348))</f>
        <v/>
      </c>
      <c r="P1348" s="28">
        <f>IF($A1348="","",IF(COUNTIFS(NOVEDADES!$D$4:$D$1503,$A1348,NOVEDADES!$O$4:$O$1503,"SÍ")&gt;0,"No","Sí"))</f>
        <v/>
      </c>
      <c r="Q1348" s="28">
        <f>IF(OR($A1348="",$L1348=""),"",IF(AND($N1348="Sí",$P1348="Sí"),"OTIF","Falló"))</f>
        <v/>
      </c>
    </row>
    <row r="1349" ht="16" customHeight="1">
      <c r="A1349" s="48" t="n"/>
      <c r="B1349" s="48" t="n"/>
      <c r="C1349" s="47" t="n"/>
      <c r="D1349" s="50" t="n"/>
      <c r="E1349" s="50" t="n"/>
      <c r="F1349" s="50" t="n"/>
      <c r="G1349" s="50" t="n"/>
      <c r="H1349" s="48" t="n"/>
      <c r="I1349" s="51" t="n"/>
      <c r="J1349" s="52" t="n"/>
      <c r="K1349" s="47" t="n"/>
      <c r="L1349" s="47" t="n"/>
      <c r="M1349" s="24">
        <f>IF(OR($A1349="",$C1349=""),"",IF($L1349&lt;&gt;"",$L1349-$C1349,TODAY()-$C1349))</f>
        <v/>
      </c>
      <c r="N1349" s="28">
        <f>IF(OR($A1349="",$K1349=""),"",IF($L1349="",IF(TODAY()&gt;$K1349,"Atrasado","En ruta"),IF($L1349&lt;=$K1349,"Sí","No")))</f>
        <v/>
      </c>
      <c r="O1349" s="24">
        <f>IF($A1349="","",COUNTIFS(NOVEDADES!$D$4:$D$1503,$A1349))</f>
        <v/>
      </c>
      <c r="P1349" s="28">
        <f>IF($A1349="","",IF(COUNTIFS(NOVEDADES!$D$4:$D$1503,$A1349,NOVEDADES!$O$4:$O$1503,"SÍ")&gt;0,"No","Sí"))</f>
        <v/>
      </c>
      <c r="Q1349" s="28">
        <f>IF(OR($A1349="",$L1349=""),"",IF(AND($N1349="Sí",$P1349="Sí"),"OTIF","Falló"))</f>
        <v/>
      </c>
    </row>
    <row r="1350" ht="16" customHeight="1">
      <c r="A1350" s="48" t="n"/>
      <c r="B1350" s="48" t="n"/>
      <c r="C1350" s="47" t="n"/>
      <c r="D1350" s="50" t="n"/>
      <c r="E1350" s="50" t="n"/>
      <c r="F1350" s="50" t="n"/>
      <c r="G1350" s="50" t="n"/>
      <c r="H1350" s="48" t="n"/>
      <c r="I1350" s="51" t="n"/>
      <c r="J1350" s="52" t="n"/>
      <c r="K1350" s="47" t="n"/>
      <c r="L1350" s="47" t="n"/>
      <c r="M1350" s="24">
        <f>IF(OR($A1350="",$C1350=""),"",IF($L1350&lt;&gt;"",$L1350-$C1350,TODAY()-$C1350))</f>
        <v/>
      </c>
      <c r="N1350" s="28">
        <f>IF(OR($A1350="",$K1350=""),"",IF($L1350="",IF(TODAY()&gt;$K1350,"Atrasado","En ruta"),IF($L1350&lt;=$K1350,"Sí","No")))</f>
        <v/>
      </c>
      <c r="O1350" s="24">
        <f>IF($A1350="","",COUNTIFS(NOVEDADES!$D$4:$D$1503,$A1350))</f>
        <v/>
      </c>
      <c r="P1350" s="28">
        <f>IF($A1350="","",IF(COUNTIFS(NOVEDADES!$D$4:$D$1503,$A1350,NOVEDADES!$O$4:$O$1503,"SÍ")&gt;0,"No","Sí"))</f>
        <v/>
      </c>
      <c r="Q1350" s="28">
        <f>IF(OR($A1350="",$L1350=""),"",IF(AND($N1350="Sí",$P1350="Sí"),"OTIF","Falló"))</f>
        <v/>
      </c>
    </row>
    <row r="1351" ht="16" customHeight="1">
      <c r="A1351" s="48" t="n"/>
      <c r="B1351" s="48" t="n"/>
      <c r="C1351" s="47" t="n"/>
      <c r="D1351" s="50" t="n"/>
      <c r="E1351" s="50" t="n"/>
      <c r="F1351" s="50" t="n"/>
      <c r="G1351" s="50" t="n"/>
      <c r="H1351" s="48" t="n"/>
      <c r="I1351" s="51" t="n"/>
      <c r="J1351" s="52" t="n"/>
      <c r="K1351" s="47" t="n"/>
      <c r="L1351" s="47" t="n"/>
      <c r="M1351" s="24">
        <f>IF(OR($A1351="",$C1351=""),"",IF($L1351&lt;&gt;"",$L1351-$C1351,TODAY()-$C1351))</f>
        <v/>
      </c>
      <c r="N1351" s="28">
        <f>IF(OR($A1351="",$K1351=""),"",IF($L1351="",IF(TODAY()&gt;$K1351,"Atrasado","En ruta"),IF($L1351&lt;=$K1351,"Sí","No")))</f>
        <v/>
      </c>
      <c r="O1351" s="24">
        <f>IF($A1351="","",COUNTIFS(NOVEDADES!$D$4:$D$1503,$A1351))</f>
        <v/>
      </c>
      <c r="P1351" s="28">
        <f>IF($A1351="","",IF(COUNTIFS(NOVEDADES!$D$4:$D$1503,$A1351,NOVEDADES!$O$4:$O$1503,"SÍ")&gt;0,"No","Sí"))</f>
        <v/>
      </c>
      <c r="Q1351" s="28">
        <f>IF(OR($A1351="",$L1351=""),"",IF(AND($N1351="Sí",$P1351="Sí"),"OTIF","Falló"))</f>
        <v/>
      </c>
    </row>
    <row r="1352" ht="16" customHeight="1">
      <c r="A1352" s="48" t="n"/>
      <c r="B1352" s="48" t="n"/>
      <c r="C1352" s="47" t="n"/>
      <c r="D1352" s="50" t="n"/>
      <c r="E1352" s="50" t="n"/>
      <c r="F1352" s="50" t="n"/>
      <c r="G1352" s="50" t="n"/>
      <c r="H1352" s="48" t="n"/>
      <c r="I1352" s="51" t="n"/>
      <c r="J1352" s="52" t="n"/>
      <c r="K1352" s="47" t="n"/>
      <c r="L1352" s="47" t="n"/>
      <c r="M1352" s="24">
        <f>IF(OR($A1352="",$C1352=""),"",IF($L1352&lt;&gt;"",$L1352-$C1352,TODAY()-$C1352))</f>
        <v/>
      </c>
      <c r="N1352" s="28">
        <f>IF(OR($A1352="",$K1352=""),"",IF($L1352="",IF(TODAY()&gt;$K1352,"Atrasado","En ruta"),IF($L1352&lt;=$K1352,"Sí","No")))</f>
        <v/>
      </c>
      <c r="O1352" s="24">
        <f>IF($A1352="","",COUNTIFS(NOVEDADES!$D$4:$D$1503,$A1352))</f>
        <v/>
      </c>
      <c r="P1352" s="28">
        <f>IF($A1352="","",IF(COUNTIFS(NOVEDADES!$D$4:$D$1503,$A1352,NOVEDADES!$O$4:$O$1503,"SÍ")&gt;0,"No","Sí"))</f>
        <v/>
      </c>
      <c r="Q1352" s="28">
        <f>IF(OR($A1352="",$L1352=""),"",IF(AND($N1352="Sí",$P1352="Sí"),"OTIF","Falló"))</f>
        <v/>
      </c>
    </row>
    <row r="1353" ht="16" customHeight="1">
      <c r="A1353" s="48" t="n"/>
      <c r="B1353" s="48" t="n"/>
      <c r="C1353" s="47" t="n"/>
      <c r="D1353" s="50" t="n"/>
      <c r="E1353" s="50" t="n"/>
      <c r="F1353" s="50" t="n"/>
      <c r="G1353" s="50" t="n"/>
      <c r="H1353" s="48" t="n"/>
      <c r="I1353" s="51" t="n"/>
      <c r="J1353" s="52" t="n"/>
      <c r="K1353" s="47" t="n"/>
      <c r="L1353" s="47" t="n"/>
      <c r="M1353" s="24">
        <f>IF(OR($A1353="",$C1353=""),"",IF($L1353&lt;&gt;"",$L1353-$C1353,TODAY()-$C1353))</f>
        <v/>
      </c>
      <c r="N1353" s="28">
        <f>IF(OR($A1353="",$K1353=""),"",IF($L1353="",IF(TODAY()&gt;$K1353,"Atrasado","En ruta"),IF($L1353&lt;=$K1353,"Sí","No")))</f>
        <v/>
      </c>
      <c r="O1353" s="24">
        <f>IF($A1353="","",COUNTIFS(NOVEDADES!$D$4:$D$1503,$A1353))</f>
        <v/>
      </c>
      <c r="P1353" s="28">
        <f>IF($A1353="","",IF(COUNTIFS(NOVEDADES!$D$4:$D$1503,$A1353,NOVEDADES!$O$4:$O$1503,"SÍ")&gt;0,"No","Sí"))</f>
        <v/>
      </c>
      <c r="Q1353" s="28">
        <f>IF(OR($A1353="",$L1353=""),"",IF(AND($N1353="Sí",$P1353="Sí"),"OTIF","Falló"))</f>
        <v/>
      </c>
    </row>
    <row r="1354" ht="16" customHeight="1">
      <c r="A1354" s="48" t="n"/>
      <c r="B1354" s="48" t="n"/>
      <c r="C1354" s="47" t="n"/>
      <c r="D1354" s="50" t="n"/>
      <c r="E1354" s="50" t="n"/>
      <c r="F1354" s="50" t="n"/>
      <c r="G1354" s="50" t="n"/>
      <c r="H1354" s="48" t="n"/>
      <c r="I1354" s="51" t="n"/>
      <c r="J1354" s="52" t="n"/>
      <c r="K1354" s="47" t="n"/>
      <c r="L1354" s="47" t="n"/>
      <c r="M1354" s="24">
        <f>IF(OR($A1354="",$C1354=""),"",IF($L1354&lt;&gt;"",$L1354-$C1354,TODAY()-$C1354))</f>
        <v/>
      </c>
      <c r="N1354" s="28">
        <f>IF(OR($A1354="",$K1354=""),"",IF($L1354="",IF(TODAY()&gt;$K1354,"Atrasado","En ruta"),IF($L1354&lt;=$K1354,"Sí","No")))</f>
        <v/>
      </c>
      <c r="O1354" s="24">
        <f>IF($A1354="","",COUNTIFS(NOVEDADES!$D$4:$D$1503,$A1354))</f>
        <v/>
      </c>
      <c r="P1354" s="28">
        <f>IF($A1354="","",IF(COUNTIFS(NOVEDADES!$D$4:$D$1503,$A1354,NOVEDADES!$O$4:$O$1503,"SÍ")&gt;0,"No","Sí"))</f>
        <v/>
      </c>
      <c r="Q1354" s="28">
        <f>IF(OR($A1354="",$L1354=""),"",IF(AND($N1354="Sí",$P1354="Sí"),"OTIF","Falló"))</f>
        <v/>
      </c>
    </row>
    <row r="1355" ht="16" customHeight="1">
      <c r="A1355" s="48" t="n"/>
      <c r="B1355" s="48" t="n"/>
      <c r="C1355" s="47" t="n"/>
      <c r="D1355" s="50" t="n"/>
      <c r="E1355" s="50" t="n"/>
      <c r="F1355" s="50" t="n"/>
      <c r="G1355" s="50" t="n"/>
      <c r="H1355" s="48" t="n"/>
      <c r="I1355" s="51" t="n"/>
      <c r="J1355" s="52" t="n"/>
      <c r="K1355" s="47" t="n"/>
      <c r="L1355" s="47" t="n"/>
      <c r="M1355" s="24">
        <f>IF(OR($A1355="",$C1355=""),"",IF($L1355&lt;&gt;"",$L1355-$C1355,TODAY()-$C1355))</f>
        <v/>
      </c>
      <c r="N1355" s="28">
        <f>IF(OR($A1355="",$K1355=""),"",IF($L1355="",IF(TODAY()&gt;$K1355,"Atrasado","En ruta"),IF($L1355&lt;=$K1355,"Sí","No")))</f>
        <v/>
      </c>
      <c r="O1355" s="24">
        <f>IF($A1355="","",COUNTIFS(NOVEDADES!$D$4:$D$1503,$A1355))</f>
        <v/>
      </c>
      <c r="P1355" s="28">
        <f>IF($A1355="","",IF(COUNTIFS(NOVEDADES!$D$4:$D$1503,$A1355,NOVEDADES!$O$4:$O$1503,"SÍ")&gt;0,"No","Sí"))</f>
        <v/>
      </c>
      <c r="Q1355" s="28">
        <f>IF(OR($A1355="",$L1355=""),"",IF(AND($N1355="Sí",$P1355="Sí"),"OTIF","Falló"))</f>
        <v/>
      </c>
    </row>
    <row r="1356" ht="16" customHeight="1">
      <c r="A1356" s="48" t="n"/>
      <c r="B1356" s="48" t="n"/>
      <c r="C1356" s="47" t="n"/>
      <c r="D1356" s="50" t="n"/>
      <c r="E1356" s="50" t="n"/>
      <c r="F1356" s="50" t="n"/>
      <c r="G1356" s="50" t="n"/>
      <c r="H1356" s="48" t="n"/>
      <c r="I1356" s="51" t="n"/>
      <c r="J1356" s="52" t="n"/>
      <c r="K1356" s="47" t="n"/>
      <c r="L1356" s="47" t="n"/>
      <c r="M1356" s="24">
        <f>IF(OR($A1356="",$C1356=""),"",IF($L1356&lt;&gt;"",$L1356-$C1356,TODAY()-$C1356))</f>
        <v/>
      </c>
      <c r="N1356" s="28">
        <f>IF(OR($A1356="",$K1356=""),"",IF($L1356="",IF(TODAY()&gt;$K1356,"Atrasado","En ruta"),IF($L1356&lt;=$K1356,"Sí","No")))</f>
        <v/>
      </c>
      <c r="O1356" s="24">
        <f>IF($A1356="","",COUNTIFS(NOVEDADES!$D$4:$D$1503,$A1356))</f>
        <v/>
      </c>
      <c r="P1356" s="28">
        <f>IF($A1356="","",IF(COUNTIFS(NOVEDADES!$D$4:$D$1503,$A1356,NOVEDADES!$O$4:$O$1503,"SÍ")&gt;0,"No","Sí"))</f>
        <v/>
      </c>
      <c r="Q1356" s="28">
        <f>IF(OR($A1356="",$L1356=""),"",IF(AND($N1356="Sí",$P1356="Sí"),"OTIF","Falló"))</f>
        <v/>
      </c>
    </row>
    <row r="1357" ht="16" customHeight="1">
      <c r="A1357" s="48" t="n"/>
      <c r="B1357" s="48" t="n"/>
      <c r="C1357" s="47" t="n"/>
      <c r="D1357" s="50" t="n"/>
      <c r="E1357" s="50" t="n"/>
      <c r="F1357" s="50" t="n"/>
      <c r="G1357" s="50" t="n"/>
      <c r="H1357" s="48" t="n"/>
      <c r="I1357" s="51" t="n"/>
      <c r="J1357" s="52" t="n"/>
      <c r="K1357" s="47" t="n"/>
      <c r="L1357" s="47" t="n"/>
      <c r="M1357" s="24">
        <f>IF(OR($A1357="",$C1357=""),"",IF($L1357&lt;&gt;"",$L1357-$C1357,TODAY()-$C1357))</f>
        <v/>
      </c>
      <c r="N1357" s="28">
        <f>IF(OR($A1357="",$K1357=""),"",IF($L1357="",IF(TODAY()&gt;$K1357,"Atrasado","En ruta"),IF($L1357&lt;=$K1357,"Sí","No")))</f>
        <v/>
      </c>
      <c r="O1357" s="24">
        <f>IF($A1357="","",COUNTIFS(NOVEDADES!$D$4:$D$1503,$A1357))</f>
        <v/>
      </c>
      <c r="P1357" s="28">
        <f>IF($A1357="","",IF(COUNTIFS(NOVEDADES!$D$4:$D$1503,$A1357,NOVEDADES!$O$4:$O$1503,"SÍ")&gt;0,"No","Sí"))</f>
        <v/>
      </c>
      <c r="Q1357" s="28">
        <f>IF(OR($A1357="",$L1357=""),"",IF(AND($N1357="Sí",$P1357="Sí"),"OTIF","Falló"))</f>
        <v/>
      </c>
    </row>
    <row r="1358" ht="16" customHeight="1">
      <c r="A1358" s="48" t="n"/>
      <c r="B1358" s="48" t="n"/>
      <c r="C1358" s="47" t="n"/>
      <c r="D1358" s="50" t="n"/>
      <c r="E1358" s="50" t="n"/>
      <c r="F1358" s="50" t="n"/>
      <c r="G1358" s="50" t="n"/>
      <c r="H1358" s="48" t="n"/>
      <c r="I1358" s="51" t="n"/>
      <c r="J1358" s="52" t="n"/>
      <c r="K1358" s="47" t="n"/>
      <c r="L1358" s="47" t="n"/>
      <c r="M1358" s="24">
        <f>IF(OR($A1358="",$C1358=""),"",IF($L1358&lt;&gt;"",$L1358-$C1358,TODAY()-$C1358))</f>
        <v/>
      </c>
      <c r="N1358" s="28">
        <f>IF(OR($A1358="",$K1358=""),"",IF($L1358="",IF(TODAY()&gt;$K1358,"Atrasado","En ruta"),IF($L1358&lt;=$K1358,"Sí","No")))</f>
        <v/>
      </c>
      <c r="O1358" s="24">
        <f>IF($A1358="","",COUNTIFS(NOVEDADES!$D$4:$D$1503,$A1358))</f>
        <v/>
      </c>
      <c r="P1358" s="28">
        <f>IF($A1358="","",IF(COUNTIFS(NOVEDADES!$D$4:$D$1503,$A1358,NOVEDADES!$O$4:$O$1503,"SÍ")&gt;0,"No","Sí"))</f>
        <v/>
      </c>
      <c r="Q1358" s="28">
        <f>IF(OR($A1358="",$L1358=""),"",IF(AND($N1358="Sí",$P1358="Sí"),"OTIF","Falló"))</f>
        <v/>
      </c>
    </row>
    <row r="1359" ht="16" customHeight="1">
      <c r="A1359" s="48" t="n"/>
      <c r="B1359" s="48" t="n"/>
      <c r="C1359" s="47" t="n"/>
      <c r="D1359" s="50" t="n"/>
      <c r="E1359" s="50" t="n"/>
      <c r="F1359" s="50" t="n"/>
      <c r="G1359" s="50" t="n"/>
      <c r="H1359" s="48" t="n"/>
      <c r="I1359" s="51" t="n"/>
      <c r="J1359" s="52" t="n"/>
      <c r="K1359" s="47" t="n"/>
      <c r="L1359" s="47" t="n"/>
      <c r="M1359" s="24">
        <f>IF(OR($A1359="",$C1359=""),"",IF($L1359&lt;&gt;"",$L1359-$C1359,TODAY()-$C1359))</f>
        <v/>
      </c>
      <c r="N1359" s="28">
        <f>IF(OR($A1359="",$K1359=""),"",IF($L1359="",IF(TODAY()&gt;$K1359,"Atrasado","En ruta"),IF($L1359&lt;=$K1359,"Sí","No")))</f>
        <v/>
      </c>
      <c r="O1359" s="24">
        <f>IF($A1359="","",COUNTIFS(NOVEDADES!$D$4:$D$1503,$A1359))</f>
        <v/>
      </c>
      <c r="P1359" s="28">
        <f>IF($A1359="","",IF(COUNTIFS(NOVEDADES!$D$4:$D$1503,$A1359,NOVEDADES!$O$4:$O$1503,"SÍ")&gt;0,"No","Sí"))</f>
        <v/>
      </c>
      <c r="Q1359" s="28">
        <f>IF(OR($A1359="",$L1359=""),"",IF(AND($N1359="Sí",$P1359="Sí"),"OTIF","Falló"))</f>
        <v/>
      </c>
    </row>
    <row r="1360" ht="16" customHeight="1">
      <c r="A1360" s="48" t="n"/>
      <c r="B1360" s="48" t="n"/>
      <c r="C1360" s="47" t="n"/>
      <c r="D1360" s="50" t="n"/>
      <c r="E1360" s="50" t="n"/>
      <c r="F1360" s="50" t="n"/>
      <c r="G1360" s="50" t="n"/>
      <c r="H1360" s="48" t="n"/>
      <c r="I1360" s="51" t="n"/>
      <c r="J1360" s="52" t="n"/>
      <c r="K1360" s="47" t="n"/>
      <c r="L1360" s="47" t="n"/>
      <c r="M1360" s="24">
        <f>IF(OR($A1360="",$C1360=""),"",IF($L1360&lt;&gt;"",$L1360-$C1360,TODAY()-$C1360))</f>
        <v/>
      </c>
      <c r="N1360" s="28">
        <f>IF(OR($A1360="",$K1360=""),"",IF($L1360="",IF(TODAY()&gt;$K1360,"Atrasado","En ruta"),IF($L1360&lt;=$K1360,"Sí","No")))</f>
        <v/>
      </c>
      <c r="O1360" s="24">
        <f>IF($A1360="","",COUNTIFS(NOVEDADES!$D$4:$D$1503,$A1360))</f>
        <v/>
      </c>
      <c r="P1360" s="28">
        <f>IF($A1360="","",IF(COUNTIFS(NOVEDADES!$D$4:$D$1503,$A1360,NOVEDADES!$O$4:$O$1503,"SÍ")&gt;0,"No","Sí"))</f>
        <v/>
      </c>
      <c r="Q1360" s="28">
        <f>IF(OR($A1360="",$L1360=""),"",IF(AND($N1360="Sí",$P1360="Sí"),"OTIF","Falló"))</f>
        <v/>
      </c>
    </row>
    <row r="1361" ht="16" customHeight="1">
      <c r="A1361" s="48" t="n"/>
      <c r="B1361" s="48" t="n"/>
      <c r="C1361" s="47" t="n"/>
      <c r="D1361" s="50" t="n"/>
      <c r="E1361" s="50" t="n"/>
      <c r="F1361" s="50" t="n"/>
      <c r="G1361" s="50" t="n"/>
      <c r="H1361" s="48" t="n"/>
      <c r="I1361" s="51" t="n"/>
      <c r="J1361" s="52" t="n"/>
      <c r="K1361" s="47" t="n"/>
      <c r="L1361" s="47" t="n"/>
      <c r="M1361" s="24">
        <f>IF(OR($A1361="",$C1361=""),"",IF($L1361&lt;&gt;"",$L1361-$C1361,TODAY()-$C1361))</f>
        <v/>
      </c>
      <c r="N1361" s="28">
        <f>IF(OR($A1361="",$K1361=""),"",IF($L1361="",IF(TODAY()&gt;$K1361,"Atrasado","En ruta"),IF($L1361&lt;=$K1361,"Sí","No")))</f>
        <v/>
      </c>
      <c r="O1361" s="24">
        <f>IF($A1361="","",COUNTIFS(NOVEDADES!$D$4:$D$1503,$A1361))</f>
        <v/>
      </c>
      <c r="P1361" s="28">
        <f>IF($A1361="","",IF(COUNTIFS(NOVEDADES!$D$4:$D$1503,$A1361,NOVEDADES!$O$4:$O$1503,"SÍ")&gt;0,"No","Sí"))</f>
        <v/>
      </c>
      <c r="Q1361" s="28">
        <f>IF(OR($A1361="",$L1361=""),"",IF(AND($N1361="Sí",$P1361="Sí"),"OTIF","Falló"))</f>
        <v/>
      </c>
    </row>
    <row r="1362" ht="16" customHeight="1">
      <c r="A1362" s="48" t="n"/>
      <c r="B1362" s="48" t="n"/>
      <c r="C1362" s="47" t="n"/>
      <c r="D1362" s="50" t="n"/>
      <c r="E1362" s="50" t="n"/>
      <c r="F1362" s="50" t="n"/>
      <c r="G1362" s="50" t="n"/>
      <c r="H1362" s="48" t="n"/>
      <c r="I1362" s="51" t="n"/>
      <c r="J1362" s="52" t="n"/>
      <c r="K1362" s="47" t="n"/>
      <c r="L1362" s="47" t="n"/>
      <c r="M1362" s="24">
        <f>IF(OR($A1362="",$C1362=""),"",IF($L1362&lt;&gt;"",$L1362-$C1362,TODAY()-$C1362))</f>
        <v/>
      </c>
      <c r="N1362" s="28">
        <f>IF(OR($A1362="",$K1362=""),"",IF($L1362="",IF(TODAY()&gt;$K1362,"Atrasado","En ruta"),IF($L1362&lt;=$K1362,"Sí","No")))</f>
        <v/>
      </c>
      <c r="O1362" s="24">
        <f>IF($A1362="","",COUNTIFS(NOVEDADES!$D$4:$D$1503,$A1362))</f>
        <v/>
      </c>
      <c r="P1362" s="28">
        <f>IF($A1362="","",IF(COUNTIFS(NOVEDADES!$D$4:$D$1503,$A1362,NOVEDADES!$O$4:$O$1503,"SÍ")&gt;0,"No","Sí"))</f>
        <v/>
      </c>
      <c r="Q1362" s="28">
        <f>IF(OR($A1362="",$L1362=""),"",IF(AND($N1362="Sí",$P1362="Sí"),"OTIF","Falló"))</f>
        <v/>
      </c>
    </row>
    <row r="1363" ht="16" customHeight="1">
      <c r="A1363" s="48" t="n"/>
      <c r="B1363" s="48" t="n"/>
      <c r="C1363" s="47" t="n"/>
      <c r="D1363" s="50" t="n"/>
      <c r="E1363" s="50" t="n"/>
      <c r="F1363" s="50" t="n"/>
      <c r="G1363" s="50" t="n"/>
      <c r="H1363" s="48" t="n"/>
      <c r="I1363" s="51" t="n"/>
      <c r="J1363" s="52" t="n"/>
      <c r="K1363" s="47" t="n"/>
      <c r="L1363" s="47" t="n"/>
      <c r="M1363" s="24">
        <f>IF(OR($A1363="",$C1363=""),"",IF($L1363&lt;&gt;"",$L1363-$C1363,TODAY()-$C1363))</f>
        <v/>
      </c>
      <c r="N1363" s="28">
        <f>IF(OR($A1363="",$K1363=""),"",IF($L1363="",IF(TODAY()&gt;$K1363,"Atrasado","En ruta"),IF($L1363&lt;=$K1363,"Sí","No")))</f>
        <v/>
      </c>
      <c r="O1363" s="24">
        <f>IF($A1363="","",COUNTIFS(NOVEDADES!$D$4:$D$1503,$A1363))</f>
        <v/>
      </c>
      <c r="P1363" s="28">
        <f>IF($A1363="","",IF(COUNTIFS(NOVEDADES!$D$4:$D$1503,$A1363,NOVEDADES!$O$4:$O$1503,"SÍ")&gt;0,"No","Sí"))</f>
        <v/>
      </c>
      <c r="Q1363" s="28">
        <f>IF(OR($A1363="",$L1363=""),"",IF(AND($N1363="Sí",$P1363="Sí"),"OTIF","Falló"))</f>
        <v/>
      </c>
    </row>
    <row r="1364" ht="16" customHeight="1">
      <c r="A1364" s="48" t="n"/>
      <c r="B1364" s="48" t="n"/>
      <c r="C1364" s="47" t="n"/>
      <c r="D1364" s="50" t="n"/>
      <c r="E1364" s="50" t="n"/>
      <c r="F1364" s="50" t="n"/>
      <c r="G1364" s="50" t="n"/>
      <c r="H1364" s="48" t="n"/>
      <c r="I1364" s="51" t="n"/>
      <c r="J1364" s="52" t="n"/>
      <c r="K1364" s="47" t="n"/>
      <c r="L1364" s="47" t="n"/>
      <c r="M1364" s="24">
        <f>IF(OR($A1364="",$C1364=""),"",IF($L1364&lt;&gt;"",$L1364-$C1364,TODAY()-$C1364))</f>
        <v/>
      </c>
      <c r="N1364" s="28">
        <f>IF(OR($A1364="",$K1364=""),"",IF($L1364="",IF(TODAY()&gt;$K1364,"Atrasado","En ruta"),IF($L1364&lt;=$K1364,"Sí","No")))</f>
        <v/>
      </c>
      <c r="O1364" s="24">
        <f>IF($A1364="","",COUNTIFS(NOVEDADES!$D$4:$D$1503,$A1364))</f>
        <v/>
      </c>
      <c r="P1364" s="28">
        <f>IF($A1364="","",IF(COUNTIFS(NOVEDADES!$D$4:$D$1503,$A1364,NOVEDADES!$O$4:$O$1503,"SÍ")&gt;0,"No","Sí"))</f>
        <v/>
      </c>
      <c r="Q1364" s="28">
        <f>IF(OR($A1364="",$L1364=""),"",IF(AND($N1364="Sí",$P1364="Sí"),"OTIF","Falló"))</f>
        <v/>
      </c>
    </row>
    <row r="1365" ht="16" customHeight="1">
      <c r="A1365" s="48" t="n"/>
      <c r="B1365" s="48" t="n"/>
      <c r="C1365" s="47" t="n"/>
      <c r="D1365" s="50" t="n"/>
      <c r="E1365" s="50" t="n"/>
      <c r="F1365" s="50" t="n"/>
      <c r="G1365" s="50" t="n"/>
      <c r="H1365" s="48" t="n"/>
      <c r="I1365" s="51" t="n"/>
      <c r="J1365" s="52" t="n"/>
      <c r="K1365" s="47" t="n"/>
      <c r="L1365" s="47" t="n"/>
      <c r="M1365" s="24">
        <f>IF(OR($A1365="",$C1365=""),"",IF($L1365&lt;&gt;"",$L1365-$C1365,TODAY()-$C1365))</f>
        <v/>
      </c>
      <c r="N1365" s="28">
        <f>IF(OR($A1365="",$K1365=""),"",IF($L1365="",IF(TODAY()&gt;$K1365,"Atrasado","En ruta"),IF($L1365&lt;=$K1365,"Sí","No")))</f>
        <v/>
      </c>
      <c r="O1365" s="24">
        <f>IF($A1365="","",COUNTIFS(NOVEDADES!$D$4:$D$1503,$A1365))</f>
        <v/>
      </c>
      <c r="P1365" s="28">
        <f>IF($A1365="","",IF(COUNTIFS(NOVEDADES!$D$4:$D$1503,$A1365,NOVEDADES!$O$4:$O$1503,"SÍ")&gt;0,"No","Sí"))</f>
        <v/>
      </c>
      <c r="Q1365" s="28">
        <f>IF(OR($A1365="",$L1365=""),"",IF(AND($N1365="Sí",$P1365="Sí"),"OTIF","Falló"))</f>
        <v/>
      </c>
    </row>
    <row r="1366" ht="16" customHeight="1">
      <c r="A1366" s="48" t="n"/>
      <c r="B1366" s="48" t="n"/>
      <c r="C1366" s="47" t="n"/>
      <c r="D1366" s="50" t="n"/>
      <c r="E1366" s="50" t="n"/>
      <c r="F1366" s="50" t="n"/>
      <c r="G1366" s="50" t="n"/>
      <c r="H1366" s="48" t="n"/>
      <c r="I1366" s="51" t="n"/>
      <c r="J1366" s="52" t="n"/>
      <c r="K1366" s="47" t="n"/>
      <c r="L1366" s="47" t="n"/>
      <c r="M1366" s="24">
        <f>IF(OR($A1366="",$C1366=""),"",IF($L1366&lt;&gt;"",$L1366-$C1366,TODAY()-$C1366))</f>
        <v/>
      </c>
      <c r="N1366" s="28">
        <f>IF(OR($A1366="",$K1366=""),"",IF($L1366="",IF(TODAY()&gt;$K1366,"Atrasado","En ruta"),IF($L1366&lt;=$K1366,"Sí","No")))</f>
        <v/>
      </c>
      <c r="O1366" s="24">
        <f>IF($A1366="","",COUNTIFS(NOVEDADES!$D$4:$D$1503,$A1366))</f>
        <v/>
      </c>
      <c r="P1366" s="28">
        <f>IF($A1366="","",IF(COUNTIFS(NOVEDADES!$D$4:$D$1503,$A1366,NOVEDADES!$O$4:$O$1503,"SÍ")&gt;0,"No","Sí"))</f>
        <v/>
      </c>
      <c r="Q1366" s="28">
        <f>IF(OR($A1366="",$L1366=""),"",IF(AND($N1366="Sí",$P1366="Sí"),"OTIF","Falló"))</f>
        <v/>
      </c>
    </row>
    <row r="1367" ht="16" customHeight="1">
      <c r="A1367" s="48" t="n"/>
      <c r="B1367" s="48" t="n"/>
      <c r="C1367" s="47" t="n"/>
      <c r="D1367" s="50" t="n"/>
      <c r="E1367" s="50" t="n"/>
      <c r="F1367" s="50" t="n"/>
      <c r="G1367" s="50" t="n"/>
      <c r="H1367" s="48" t="n"/>
      <c r="I1367" s="51" t="n"/>
      <c r="J1367" s="52" t="n"/>
      <c r="K1367" s="47" t="n"/>
      <c r="L1367" s="47" t="n"/>
      <c r="M1367" s="24">
        <f>IF(OR($A1367="",$C1367=""),"",IF($L1367&lt;&gt;"",$L1367-$C1367,TODAY()-$C1367))</f>
        <v/>
      </c>
      <c r="N1367" s="28">
        <f>IF(OR($A1367="",$K1367=""),"",IF($L1367="",IF(TODAY()&gt;$K1367,"Atrasado","En ruta"),IF($L1367&lt;=$K1367,"Sí","No")))</f>
        <v/>
      </c>
      <c r="O1367" s="24">
        <f>IF($A1367="","",COUNTIFS(NOVEDADES!$D$4:$D$1503,$A1367))</f>
        <v/>
      </c>
      <c r="P1367" s="28">
        <f>IF($A1367="","",IF(COUNTIFS(NOVEDADES!$D$4:$D$1503,$A1367,NOVEDADES!$O$4:$O$1503,"SÍ")&gt;0,"No","Sí"))</f>
        <v/>
      </c>
      <c r="Q1367" s="28">
        <f>IF(OR($A1367="",$L1367=""),"",IF(AND($N1367="Sí",$P1367="Sí"),"OTIF","Falló"))</f>
        <v/>
      </c>
    </row>
    <row r="1368" ht="16" customHeight="1">
      <c r="A1368" s="48" t="n"/>
      <c r="B1368" s="48" t="n"/>
      <c r="C1368" s="47" t="n"/>
      <c r="D1368" s="50" t="n"/>
      <c r="E1368" s="50" t="n"/>
      <c r="F1368" s="50" t="n"/>
      <c r="G1368" s="50" t="n"/>
      <c r="H1368" s="48" t="n"/>
      <c r="I1368" s="51" t="n"/>
      <c r="J1368" s="52" t="n"/>
      <c r="K1368" s="47" t="n"/>
      <c r="L1368" s="47" t="n"/>
      <c r="M1368" s="24">
        <f>IF(OR($A1368="",$C1368=""),"",IF($L1368&lt;&gt;"",$L1368-$C1368,TODAY()-$C1368))</f>
        <v/>
      </c>
      <c r="N1368" s="28">
        <f>IF(OR($A1368="",$K1368=""),"",IF($L1368="",IF(TODAY()&gt;$K1368,"Atrasado","En ruta"),IF($L1368&lt;=$K1368,"Sí","No")))</f>
        <v/>
      </c>
      <c r="O1368" s="24">
        <f>IF($A1368="","",COUNTIFS(NOVEDADES!$D$4:$D$1503,$A1368))</f>
        <v/>
      </c>
      <c r="P1368" s="28">
        <f>IF($A1368="","",IF(COUNTIFS(NOVEDADES!$D$4:$D$1503,$A1368,NOVEDADES!$O$4:$O$1503,"SÍ")&gt;0,"No","Sí"))</f>
        <v/>
      </c>
      <c r="Q1368" s="28">
        <f>IF(OR($A1368="",$L1368=""),"",IF(AND($N1368="Sí",$P1368="Sí"),"OTIF","Falló"))</f>
        <v/>
      </c>
    </row>
    <row r="1369" ht="16" customHeight="1">
      <c r="A1369" s="48" t="n"/>
      <c r="B1369" s="48" t="n"/>
      <c r="C1369" s="47" t="n"/>
      <c r="D1369" s="50" t="n"/>
      <c r="E1369" s="50" t="n"/>
      <c r="F1369" s="50" t="n"/>
      <c r="G1369" s="50" t="n"/>
      <c r="H1369" s="48" t="n"/>
      <c r="I1369" s="51" t="n"/>
      <c r="J1369" s="52" t="n"/>
      <c r="K1369" s="47" t="n"/>
      <c r="L1369" s="47" t="n"/>
      <c r="M1369" s="24">
        <f>IF(OR($A1369="",$C1369=""),"",IF($L1369&lt;&gt;"",$L1369-$C1369,TODAY()-$C1369))</f>
        <v/>
      </c>
      <c r="N1369" s="28">
        <f>IF(OR($A1369="",$K1369=""),"",IF($L1369="",IF(TODAY()&gt;$K1369,"Atrasado","En ruta"),IF($L1369&lt;=$K1369,"Sí","No")))</f>
        <v/>
      </c>
      <c r="O1369" s="24">
        <f>IF($A1369="","",COUNTIFS(NOVEDADES!$D$4:$D$1503,$A1369))</f>
        <v/>
      </c>
      <c r="P1369" s="28">
        <f>IF($A1369="","",IF(COUNTIFS(NOVEDADES!$D$4:$D$1503,$A1369,NOVEDADES!$O$4:$O$1503,"SÍ")&gt;0,"No","Sí"))</f>
        <v/>
      </c>
      <c r="Q1369" s="28">
        <f>IF(OR($A1369="",$L1369=""),"",IF(AND($N1369="Sí",$P1369="Sí"),"OTIF","Falló"))</f>
        <v/>
      </c>
    </row>
    <row r="1370" ht="16" customHeight="1">
      <c r="A1370" s="48" t="n"/>
      <c r="B1370" s="48" t="n"/>
      <c r="C1370" s="47" t="n"/>
      <c r="D1370" s="50" t="n"/>
      <c r="E1370" s="50" t="n"/>
      <c r="F1370" s="50" t="n"/>
      <c r="G1370" s="50" t="n"/>
      <c r="H1370" s="48" t="n"/>
      <c r="I1370" s="51" t="n"/>
      <c r="J1370" s="52" t="n"/>
      <c r="K1370" s="47" t="n"/>
      <c r="L1370" s="47" t="n"/>
      <c r="M1370" s="24">
        <f>IF(OR($A1370="",$C1370=""),"",IF($L1370&lt;&gt;"",$L1370-$C1370,TODAY()-$C1370))</f>
        <v/>
      </c>
      <c r="N1370" s="28">
        <f>IF(OR($A1370="",$K1370=""),"",IF($L1370="",IF(TODAY()&gt;$K1370,"Atrasado","En ruta"),IF($L1370&lt;=$K1370,"Sí","No")))</f>
        <v/>
      </c>
      <c r="O1370" s="24">
        <f>IF($A1370="","",COUNTIFS(NOVEDADES!$D$4:$D$1503,$A1370))</f>
        <v/>
      </c>
      <c r="P1370" s="28">
        <f>IF($A1370="","",IF(COUNTIFS(NOVEDADES!$D$4:$D$1503,$A1370,NOVEDADES!$O$4:$O$1503,"SÍ")&gt;0,"No","Sí"))</f>
        <v/>
      </c>
      <c r="Q1370" s="28">
        <f>IF(OR($A1370="",$L1370=""),"",IF(AND($N1370="Sí",$P1370="Sí"),"OTIF","Falló"))</f>
        <v/>
      </c>
    </row>
    <row r="1371" ht="16" customHeight="1">
      <c r="A1371" s="48" t="n"/>
      <c r="B1371" s="48" t="n"/>
      <c r="C1371" s="47" t="n"/>
      <c r="D1371" s="50" t="n"/>
      <c r="E1371" s="50" t="n"/>
      <c r="F1371" s="50" t="n"/>
      <c r="G1371" s="50" t="n"/>
      <c r="H1371" s="48" t="n"/>
      <c r="I1371" s="51" t="n"/>
      <c r="J1371" s="52" t="n"/>
      <c r="K1371" s="47" t="n"/>
      <c r="L1371" s="47" t="n"/>
      <c r="M1371" s="24">
        <f>IF(OR($A1371="",$C1371=""),"",IF($L1371&lt;&gt;"",$L1371-$C1371,TODAY()-$C1371))</f>
        <v/>
      </c>
      <c r="N1371" s="28">
        <f>IF(OR($A1371="",$K1371=""),"",IF($L1371="",IF(TODAY()&gt;$K1371,"Atrasado","En ruta"),IF($L1371&lt;=$K1371,"Sí","No")))</f>
        <v/>
      </c>
      <c r="O1371" s="24">
        <f>IF($A1371="","",COUNTIFS(NOVEDADES!$D$4:$D$1503,$A1371))</f>
        <v/>
      </c>
      <c r="P1371" s="28">
        <f>IF($A1371="","",IF(COUNTIFS(NOVEDADES!$D$4:$D$1503,$A1371,NOVEDADES!$O$4:$O$1503,"SÍ")&gt;0,"No","Sí"))</f>
        <v/>
      </c>
      <c r="Q1371" s="28">
        <f>IF(OR($A1371="",$L1371=""),"",IF(AND($N1371="Sí",$P1371="Sí"),"OTIF","Falló"))</f>
        <v/>
      </c>
    </row>
    <row r="1372" ht="16" customHeight="1">
      <c r="A1372" s="48" t="n"/>
      <c r="B1372" s="48" t="n"/>
      <c r="C1372" s="47" t="n"/>
      <c r="D1372" s="50" t="n"/>
      <c r="E1372" s="50" t="n"/>
      <c r="F1372" s="50" t="n"/>
      <c r="G1372" s="50" t="n"/>
      <c r="H1372" s="48" t="n"/>
      <c r="I1372" s="51" t="n"/>
      <c r="J1372" s="52" t="n"/>
      <c r="K1372" s="47" t="n"/>
      <c r="L1372" s="47" t="n"/>
      <c r="M1372" s="24">
        <f>IF(OR($A1372="",$C1372=""),"",IF($L1372&lt;&gt;"",$L1372-$C1372,TODAY()-$C1372))</f>
        <v/>
      </c>
      <c r="N1372" s="28">
        <f>IF(OR($A1372="",$K1372=""),"",IF($L1372="",IF(TODAY()&gt;$K1372,"Atrasado","En ruta"),IF($L1372&lt;=$K1372,"Sí","No")))</f>
        <v/>
      </c>
      <c r="O1372" s="24">
        <f>IF($A1372="","",COUNTIFS(NOVEDADES!$D$4:$D$1503,$A1372))</f>
        <v/>
      </c>
      <c r="P1372" s="28">
        <f>IF($A1372="","",IF(COUNTIFS(NOVEDADES!$D$4:$D$1503,$A1372,NOVEDADES!$O$4:$O$1503,"SÍ")&gt;0,"No","Sí"))</f>
        <v/>
      </c>
      <c r="Q1372" s="28">
        <f>IF(OR($A1372="",$L1372=""),"",IF(AND($N1372="Sí",$P1372="Sí"),"OTIF","Falló"))</f>
        <v/>
      </c>
    </row>
    <row r="1373" ht="16" customHeight="1">
      <c r="A1373" s="48" t="n"/>
      <c r="B1373" s="48" t="n"/>
      <c r="C1373" s="47" t="n"/>
      <c r="D1373" s="50" t="n"/>
      <c r="E1373" s="50" t="n"/>
      <c r="F1373" s="50" t="n"/>
      <c r="G1373" s="50" t="n"/>
      <c r="H1373" s="48" t="n"/>
      <c r="I1373" s="51" t="n"/>
      <c r="J1373" s="52" t="n"/>
      <c r="K1373" s="47" t="n"/>
      <c r="L1373" s="47" t="n"/>
      <c r="M1373" s="24">
        <f>IF(OR($A1373="",$C1373=""),"",IF($L1373&lt;&gt;"",$L1373-$C1373,TODAY()-$C1373))</f>
        <v/>
      </c>
      <c r="N1373" s="28">
        <f>IF(OR($A1373="",$K1373=""),"",IF($L1373="",IF(TODAY()&gt;$K1373,"Atrasado","En ruta"),IF($L1373&lt;=$K1373,"Sí","No")))</f>
        <v/>
      </c>
      <c r="O1373" s="24">
        <f>IF($A1373="","",COUNTIFS(NOVEDADES!$D$4:$D$1503,$A1373))</f>
        <v/>
      </c>
      <c r="P1373" s="28">
        <f>IF($A1373="","",IF(COUNTIFS(NOVEDADES!$D$4:$D$1503,$A1373,NOVEDADES!$O$4:$O$1503,"SÍ")&gt;0,"No","Sí"))</f>
        <v/>
      </c>
      <c r="Q1373" s="28">
        <f>IF(OR($A1373="",$L1373=""),"",IF(AND($N1373="Sí",$P1373="Sí"),"OTIF","Falló"))</f>
        <v/>
      </c>
    </row>
    <row r="1374" ht="16" customHeight="1">
      <c r="A1374" s="48" t="n"/>
      <c r="B1374" s="48" t="n"/>
      <c r="C1374" s="47" t="n"/>
      <c r="D1374" s="50" t="n"/>
      <c r="E1374" s="50" t="n"/>
      <c r="F1374" s="50" t="n"/>
      <c r="G1374" s="50" t="n"/>
      <c r="H1374" s="48" t="n"/>
      <c r="I1374" s="51" t="n"/>
      <c r="J1374" s="52" t="n"/>
      <c r="K1374" s="47" t="n"/>
      <c r="L1374" s="47" t="n"/>
      <c r="M1374" s="24">
        <f>IF(OR($A1374="",$C1374=""),"",IF($L1374&lt;&gt;"",$L1374-$C1374,TODAY()-$C1374))</f>
        <v/>
      </c>
      <c r="N1374" s="28">
        <f>IF(OR($A1374="",$K1374=""),"",IF($L1374="",IF(TODAY()&gt;$K1374,"Atrasado","En ruta"),IF($L1374&lt;=$K1374,"Sí","No")))</f>
        <v/>
      </c>
      <c r="O1374" s="24">
        <f>IF($A1374="","",COUNTIFS(NOVEDADES!$D$4:$D$1503,$A1374))</f>
        <v/>
      </c>
      <c r="P1374" s="28">
        <f>IF($A1374="","",IF(COUNTIFS(NOVEDADES!$D$4:$D$1503,$A1374,NOVEDADES!$O$4:$O$1503,"SÍ")&gt;0,"No","Sí"))</f>
        <v/>
      </c>
      <c r="Q1374" s="28">
        <f>IF(OR($A1374="",$L1374=""),"",IF(AND($N1374="Sí",$P1374="Sí"),"OTIF","Falló"))</f>
        <v/>
      </c>
    </row>
    <row r="1375" ht="16" customHeight="1">
      <c r="A1375" s="48" t="n"/>
      <c r="B1375" s="48" t="n"/>
      <c r="C1375" s="47" t="n"/>
      <c r="D1375" s="50" t="n"/>
      <c r="E1375" s="50" t="n"/>
      <c r="F1375" s="50" t="n"/>
      <c r="G1375" s="50" t="n"/>
      <c r="H1375" s="48" t="n"/>
      <c r="I1375" s="51" t="n"/>
      <c r="J1375" s="52" t="n"/>
      <c r="K1375" s="47" t="n"/>
      <c r="L1375" s="47" t="n"/>
      <c r="M1375" s="24">
        <f>IF(OR($A1375="",$C1375=""),"",IF($L1375&lt;&gt;"",$L1375-$C1375,TODAY()-$C1375))</f>
        <v/>
      </c>
      <c r="N1375" s="28">
        <f>IF(OR($A1375="",$K1375=""),"",IF($L1375="",IF(TODAY()&gt;$K1375,"Atrasado","En ruta"),IF($L1375&lt;=$K1375,"Sí","No")))</f>
        <v/>
      </c>
      <c r="O1375" s="24">
        <f>IF($A1375="","",COUNTIFS(NOVEDADES!$D$4:$D$1503,$A1375))</f>
        <v/>
      </c>
      <c r="P1375" s="28">
        <f>IF($A1375="","",IF(COUNTIFS(NOVEDADES!$D$4:$D$1503,$A1375,NOVEDADES!$O$4:$O$1503,"SÍ")&gt;0,"No","Sí"))</f>
        <v/>
      </c>
      <c r="Q1375" s="28">
        <f>IF(OR($A1375="",$L1375=""),"",IF(AND($N1375="Sí",$P1375="Sí"),"OTIF","Falló"))</f>
        <v/>
      </c>
    </row>
    <row r="1376" ht="16" customHeight="1">
      <c r="A1376" s="48" t="n"/>
      <c r="B1376" s="48" t="n"/>
      <c r="C1376" s="47" t="n"/>
      <c r="D1376" s="50" t="n"/>
      <c r="E1376" s="50" t="n"/>
      <c r="F1376" s="50" t="n"/>
      <c r="G1376" s="50" t="n"/>
      <c r="H1376" s="48" t="n"/>
      <c r="I1376" s="51" t="n"/>
      <c r="J1376" s="52" t="n"/>
      <c r="K1376" s="47" t="n"/>
      <c r="L1376" s="47" t="n"/>
      <c r="M1376" s="24">
        <f>IF(OR($A1376="",$C1376=""),"",IF($L1376&lt;&gt;"",$L1376-$C1376,TODAY()-$C1376))</f>
        <v/>
      </c>
      <c r="N1376" s="28">
        <f>IF(OR($A1376="",$K1376=""),"",IF($L1376="",IF(TODAY()&gt;$K1376,"Atrasado","En ruta"),IF($L1376&lt;=$K1376,"Sí","No")))</f>
        <v/>
      </c>
      <c r="O1376" s="24">
        <f>IF($A1376="","",COUNTIFS(NOVEDADES!$D$4:$D$1503,$A1376))</f>
        <v/>
      </c>
      <c r="P1376" s="28">
        <f>IF($A1376="","",IF(COUNTIFS(NOVEDADES!$D$4:$D$1503,$A1376,NOVEDADES!$O$4:$O$1503,"SÍ")&gt;0,"No","Sí"))</f>
        <v/>
      </c>
      <c r="Q1376" s="28">
        <f>IF(OR($A1376="",$L1376=""),"",IF(AND($N1376="Sí",$P1376="Sí"),"OTIF","Falló"))</f>
        <v/>
      </c>
    </row>
    <row r="1377" ht="16" customHeight="1">
      <c r="A1377" s="48" t="n"/>
      <c r="B1377" s="48" t="n"/>
      <c r="C1377" s="47" t="n"/>
      <c r="D1377" s="50" t="n"/>
      <c r="E1377" s="50" t="n"/>
      <c r="F1377" s="50" t="n"/>
      <c r="G1377" s="50" t="n"/>
      <c r="H1377" s="48" t="n"/>
      <c r="I1377" s="51" t="n"/>
      <c r="J1377" s="52" t="n"/>
      <c r="K1377" s="47" t="n"/>
      <c r="L1377" s="47" t="n"/>
      <c r="M1377" s="24">
        <f>IF(OR($A1377="",$C1377=""),"",IF($L1377&lt;&gt;"",$L1377-$C1377,TODAY()-$C1377))</f>
        <v/>
      </c>
      <c r="N1377" s="28">
        <f>IF(OR($A1377="",$K1377=""),"",IF($L1377="",IF(TODAY()&gt;$K1377,"Atrasado","En ruta"),IF($L1377&lt;=$K1377,"Sí","No")))</f>
        <v/>
      </c>
      <c r="O1377" s="24">
        <f>IF($A1377="","",COUNTIFS(NOVEDADES!$D$4:$D$1503,$A1377))</f>
        <v/>
      </c>
      <c r="P1377" s="28">
        <f>IF($A1377="","",IF(COUNTIFS(NOVEDADES!$D$4:$D$1503,$A1377,NOVEDADES!$O$4:$O$1503,"SÍ")&gt;0,"No","Sí"))</f>
        <v/>
      </c>
      <c r="Q1377" s="28">
        <f>IF(OR($A1377="",$L1377=""),"",IF(AND($N1377="Sí",$P1377="Sí"),"OTIF","Falló"))</f>
        <v/>
      </c>
    </row>
    <row r="1378" ht="16" customHeight="1">
      <c r="A1378" s="48" t="n"/>
      <c r="B1378" s="48" t="n"/>
      <c r="C1378" s="47" t="n"/>
      <c r="D1378" s="50" t="n"/>
      <c r="E1378" s="50" t="n"/>
      <c r="F1378" s="50" t="n"/>
      <c r="G1378" s="50" t="n"/>
      <c r="H1378" s="48" t="n"/>
      <c r="I1378" s="51" t="n"/>
      <c r="J1378" s="52" t="n"/>
      <c r="K1378" s="47" t="n"/>
      <c r="L1378" s="47" t="n"/>
      <c r="M1378" s="24">
        <f>IF(OR($A1378="",$C1378=""),"",IF($L1378&lt;&gt;"",$L1378-$C1378,TODAY()-$C1378))</f>
        <v/>
      </c>
      <c r="N1378" s="28">
        <f>IF(OR($A1378="",$K1378=""),"",IF($L1378="",IF(TODAY()&gt;$K1378,"Atrasado","En ruta"),IF($L1378&lt;=$K1378,"Sí","No")))</f>
        <v/>
      </c>
      <c r="O1378" s="24">
        <f>IF($A1378="","",COUNTIFS(NOVEDADES!$D$4:$D$1503,$A1378))</f>
        <v/>
      </c>
      <c r="P1378" s="28">
        <f>IF($A1378="","",IF(COUNTIFS(NOVEDADES!$D$4:$D$1503,$A1378,NOVEDADES!$O$4:$O$1503,"SÍ")&gt;0,"No","Sí"))</f>
        <v/>
      </c>
      <c r="Q1378" s="28">
        <f>IF(OR($A1378="",$L1378=""),"",IF(AND($N1378="Sí",$P1378="Sí"),"OTIF","Falló"))</f>
        <v/>
      </c>
    </row>
    <row r="1379" ht="16" customHeight="1">
      <c r="A1379" s="48" t="n"/>
      <c r="B1379" s="48" t="n"/>
      <c r="C1379" s="47" t="n"/>
      <c r="D1379" s="50" t="n"/>
      <c r="E1379" s="50" t="n"/>
      <c r="F1379" s="50" t="n"/>
      <c r="G1379" s="50" t="n"/>
      <c r="H1379" s="48" t="n"/>
      <c r="I1379" s="51" t="n"/>
      <c r="J1379" s="52" t="n"/>
      <c r="K1379" s="47" t="n"/>
      <c r="L1379" s="47" t="n"/>
      <c r="M1379" s="24">
        <f>IF(OR($A1379="",$C1379=""),"",IF($L1379&lt;&gt;"",$L1379-$C1379,TODAY()-$C1379))</f>
        <v/>
      </c>
      <c r="N1379" s="28">
        <f>IF(OR($A1379="",$K1379=""),"",IF($L1379="",IF(TODAY()&gt;$K1379,"Atrasado","En ruta"),IF($L1379&lt;=$K1379,"Sí","No")))</f>
        <v/>
      </c>
      <c r="O1379" s="24">
        <f>IF($A1379="","",COUNTIFS(NOVEDADES!$D$4:$D$1503,$A1379))</f>
        <v/>
      </c>
      <c r="P1379" s="28">
        <f>IF($A1379="","",IF(COUNTIFS(NOVEDADES!$D$4:$D$1503,$A1379,NOVEDADES!$O$4:$O$1503,"SÍ")&gt;0,"No","Sí"))</f>
        <v/>
      </c>
      <c r="Q1379" s="28">
        <f>IF(OR($A1379="",$L1379=""),"",IF(AND($N1379="Sí",$P1379="Sí"),"OTIF","Falló"))</f>
        <v/>
      </c>
    </row>
    <row r="1380" ht="16" customHeight="1">
      <c r="A1380" s="48" t="n"/>
      <c r="B1380" s="48" t="n"/>
      <c r="C1380" s="47" t="n"/>
      <c r="D1380" s="50" t="n"/>
      <c r="E1380" s="50" t="n"/>
      <c r="F1380" s="50" t="n"/>
      <c r="G1380" s="50" t="n"/>
      <c r="H1380" s="48" t="n"/>
      <c r="I1380" s="51" t="n"/>
      <c r="J1380" s="52" t="n"/>
      <c r="K1380" s="47" t="n"/>
      <c r="L1380" s="47" t="n"/>
      <c r="M1380" s="24">
        <f>IF(OR($A1380="",$C1380=""),"",IF($L1380&lt;&gt;"",$L1380-$C1380,TODAY()-$C1380))</f>
        <v/>
      </c>
      <c r="N1380" s="28">
        <f>IF(OR($A1380="",$K1380=""),"",IF($L1380="",IF(TODAY()&gt;$K1380,"Atrasado","En ruta"),IF($L1380&lt;=$K1380,"Sí","No")))</f>
        <v/>
      </c>
      <c r="O1380" s="24">
        <f>IF($A1380="","",COUNTIFS(NOVEDADES!$D$4:$D$1503,$A1380))</f>
        <v/>
      </c>
      <c r="P1380" s="28">
        <f>IF($A1380="","",IF(COUNTIFS(NOVEDADES!$D$4:$D$1503,$A1380,NOVEDADES!$O$4:$O$1503,"SÍ")&gt;0,"No","Sí"))</f>
        <v/>
      </c>
      <c r="Q1380" s="28">
        <f>IF(OR($A1380="",$L1380=""),"",IF(AND($N1380="Sí",$P1380="Sí"),"OTIF","Falló"))</f>
        <v/>
      </c>
    </row>
    <row r="1381" ht="16" customHeight="1">
      <c r="A1381" s="48" t="n"/>
      <c r="B1381" s="48" t="n"/>
      <c r="C1381" s="47" t="n"/>
      <c r="D1381" s="50" t="n"/>
      <c r="E1381" s="50" t="n"/>
      <c r="F1381" s="50" t="n"/>
      <c r="G1381" s="50" t="n"/>
      <c r="H1381" s="48" t="n"/>
      <c r="I1381" s="51" t="n"/>
      <c r="J1381" s="52" t="n"/>
      <c r="K1381" s="47" t="n"/>
      <c r="L1381" s="47" t="n"/>
      <c r="M1381" s="24">
        <f>IF(OR($A1381="",$C1381=""),"",IF($L1381&lt;&gt;"",$L1381-$C1381,TODAY()-$C1381))</f>
        <v/>
      </c>
      <c r="N1381" s="28">
        <f>IF(OR($A1381="",$K1381=""),"",IF($L1381="",IF(TODAY()&gt;$K1381,"Atrasado","En ruta"),IF($L1381&lt;=$K1381,"Sí","No")))</f>
        <v/>
      </c>
      <c r="O1381" s="24">
        <f>IF($A1381="","",COUNTIFS(NOVEDADES!$D$4:$D$1503,$A1381))</f>
        <v/>
      </c>
      <c r="P1381" s="28">
        <f>IF($A1381="","",IF(COUNTIFS(NOVEDADES!$D$4:$D$1503,$A1381,NOVEDADES!$O$4:$O$1503,"SÍ")&gt;0,"No","Sí"))</f>
        <v/>
      </c>
      <c r="Q1381" s="28">
        <f>IF(OR($A1381="",$L1381=""),"",IF(AND($N1381="Sí",$P1381="Sí"),"OTIF","Falló"))</f>
        <v/>
      </c>
    </row>
    <row r="1382" ht="16" customHeight="1">
      <c r="A1382" s="48" t="n"/>
      <c r="B1382" s="48" t="n"/>
      <c r="C1382" s="47" t="n"/>
      <c r="D1382" s="50" t="n"/>
      <c r="E1382" s="50" t="n"/>
      <c r="F1382" s="50" t="n"/>
      <c r="G1382" s="50" t="n"/>
      <c r="H1382" s="48" t="n"/>
      <c r="I1382" s="51" t="n"/>
      <c r="J1382" s="52" t="n"/>
      <c r="K1382" s="47" t="n"/>
      <c r="L1382" s="47" t="n"/>
      <c r="M1382" s="24">
        <f>IF(OR($A1382="",$C1382=""),"",IF($L1382&lt;&gt;"",$L1382-$C1382,TODAY()-$C1382))</f>
        <v/>
      </c>
      <c r="N1382" s="28">
        <f>IF(OR($A1382="",$K1382=""),"",IF($L1382="",IF(TODAY()&gt;$K1382,"Atrasado","En ruta"),IF($L1382&lt;=$K1382,"Sí","No")))</f>
        <v/>
      </c>
      <c r="O1382" s="24">
        <f>IF($A1382="","",COUNTIFS(NOVEDADES!$D$4:$D$1503,$A1382))</f>
        <v/>
      </c>
      <c r="P1382" s="28">
        <f>IF($A1382="","",IF(COUNTIFS(NOVEDADES!$D$4:$D$1503,$A1382,NOVEDADES!$O$4:$O$1503,"SÍ")&gt;0,"No","Sí"))</f>
        <v/>
      </c>
      <c r="Q1382" s="28">
        <f>IF(OR($A1382="",$L1382=""),"",IF(AND($N1382="Sí",$P1382="Sí"),"OTIF","Falló"))</f>
        <v/>
      </c>
    </row>
    <row r="1383" ht="16" customHeight="1">
      <c r="A1383" s="48" t="n"/>
      <c r="B1383" s="48" t="n"/>
      <c r="C1383" s="47" t="n"/>
      <c r="D1383" s="50" t="n"/>
      <c r="E1383" s="50" t="n"/>
      <c r="F1383" s="50" t="n"/>
      <c r="G1383" s="50" t="n"/>
      <c r="H1383" s="48" t="n"/>
      <c r="I1383" s="51" t="n"/>
      <c r="J1383" s="52" t="n"/>
      <c r="K1383" s="47" t="n"/>
      <c r="L1383" s="47" t="n"/>
      <c r="M1383" s="24">
        <f>IF(OR($A1383="",$C1383=""),"",IF($L1383&lt;&gt;"",$L1383-$C1383,TODAY()-$C1383))</f>
        <v/>
      </c>
      <c r="N1383" s="28">
        <f>IF(OR($A1383="",$K1383=""),"",IF($L1383="",IF(TODAY()&gt;$K1383,"Atrasado","En ruta"),IF($L1383&lt;=$K1383,"Sí","No")))</f>
        <v/>
      </c>
      <c r="O1383" s="24">
        <f>IF($A1383="","",COUNTIFS(NOVEDADES!$D$4:$D$1503,$A1383))</f>
        <v/>
      </c>
      <c r="P1383" s="28">
        <f>IF($A1383="","",IF(COUNTIFS(NOVEDADES!$D$4:$D$1503,$A1383,NOVEDADES!$O$4:$O$1503,"SÍ")&gt;0,"No","Sí"))</f>
        <v/>
      </c>
      <c r="Q1383" s="28">
        <f>IF(OR($A1383="",$L1383=""),"",IF(AND($N1383="Sí",$P1383="Sí"),"OTIF","Falló"))</f>
        <v/>
      </c>
    </row>
    <row r="1384" ht="16" customHeight="1">
      <c r="A1384" s="48" t="n"/>
      <c r="B1384" s="48" t="n"/>
      <c r="C1384" s="47" t="n"/>
      <c r="D1384" s="50" t="n"/>
      <c r="E1384" s="50" t="n"/>
      <c r="F1384" s="50" t="n"/>
      <c r="G1384" s="50" t="n"/>
      <c r="H1384" s="48" t="n"/>
      <c r="I1384" s="51" t="n"/>
      <c r="J1384" s="52" t="n"/>
      <c r="K1384" s="47" t="n"/>
      <c r="L1384" s="47" t="n"/>
      <c r="M1384" s="24">
        <f>IF(OR($A1384="",$C1384=""),"",IF($L1384&lt;&gt;"",$L1384-$C1384,TODAY()-$C1384))</f>
        <v/>
      </c>
      <c r="N1384" s="28">
        <f>IF(OR($A1384="",$K1384=""),"",IF($L1384="",IF(TODAY()&gt;$K1384,"Atrasado","En ruta"),IF($L1384&lt;=$K1384,"Sí","No")))</f>
        <v/>
      </c>
      <c r="O1384" s="24">
        <f>IF($A1384="","",COUNTIFS(NOVEDADES!$D$4:$D$1503,$A1384))</f>
        <v/>
      </c>
      <c r="P1384" s="28">
        <f>IF($A1384="","",IF(COUNTIFS(NOVEDADES!$D$4:$D$1503,$A1384,NOVEDADES!$O$4:$O$1503,"SÍ")&gt;0,"No","Sí"))</f>
        <v/>
      </c>
      <c r="Q1384" s="28">
        <f>IF(OR($A1384="",$L1384=""),"",IF(AND($N1384="Sí",$P1384="Sí"),"OTIF","Falló"))</f>
        <v/>
      </c>
    </row>
    <row r="1385" ht="16" customHeight="1">
      <c r="A1385" s="48" t="n"/>
      <c r="B1385" s="48" t="n"/>
      <c r="C1385" s="47" t="n"/>
      <c r="D1385" s="50" t="n"/>
      <c r="E1385" s="50" t="n"/>
      <c r="F1385" s="50" t="n"/>
      <c r="G1385" s="50" t="n"/>
      <c r="H1385" s="48" t="n"/>
      <c r="I1385" s="51" t="n"/>
      <c r="J1385" s="52" t="n"/>
      <c r="K1385" s="47" t="n"/>
      <c r="L1385" s="47" t="n"/>
      <c r="M1385" s="24">
        <f>IF(OR($A1385="",$C1385=""),"",IF($L1385&lt;&gt;"",$L1385-$C1385,TODAY()-$C1385))</f>
        <v/>
      </c>
      <c r="N1385" s="28">
        <f>IF(OR($A1385="",$K1385=""),"",IF($L1385="",IF(TODAY()&gt;$K1385,"Atrasado","En ruta"),IF($L1385&lt;=$K1385,"Sí","No")))</f>
        <v/>
      </c>
      <c r="O1385" s="24">
        <f>IF($A1385="","",COUNTIFS(NOVEDADES!$D$4:$D$1503,$A1385))</f>
        <v/>
      </c>
      <c r="P1385" s="28">
        <f>IF($A1385="","",IF(COUNTIFS(NOVEDADES!$D$4:$D$1503,$A1385,NOVEDADES!$O$4:$O$1503,"SÍ")&gt;0,"No","Sí"))</f>
        <v/>
      </c>
      <c r="Q1385" s="28">
        <f>IF(OR($A1385="",$L1385=""),"",IF(AND($N1385="Sí",$P1385="Sí"),"OTIF","Falló"))</f>
        <v/>
      </c>
    </row>
    <row r="1386" ht="16" customHeight="1">
      <c r="A1386" s="48" t="n"/>
      <c r="B1386" s="48" t="n"/>
      <c r="C1386" s="47" t="n"/>
      <c r="D1386" s="50" t="n"/>
      <c r="E1386" s="50" t="n"/>
      <c r="F1386" s="50" t="n"/>
      <c r="G1386" s="50" t="n"/>
      <c r="H1386" s="48" t="n"/>
      <c r="I1386" s="51" t="n"/>
      <c r="J1386" s="52" t="n"/>
      <c r="K1386" s="47" t="n"/>
      <c r="L1386" s="47" t="n"/>
      <c r="M1386" s="24">
        <f>IF(OR($A1386="",$C1386=""),"",IF($L1386&lt;&gt;"",$L1386-$C1386,TODAY()-$C1386))</f>
        <v/>
      </c>
      <c r="N1386" s="28">
        <f>IF(OR($A1386="",$K1386=""),"",IF($L1386="",IF(TODAY()&gt;$K1386,"Atrasado","En ruta"),IF($L1386&lt;=$K1386,"Sí","No")))</f>
        <v/>
      </c>
      <c r="O1386" s="24">
        <f>IF($A1386="","",COUNTIFS(NOVEDADES!$D$4:$D$1503,$A1386))</f>
        <v/>
      </c>
      <c r="P1386" s="28">
        <f>IF($A1386="","",IF(COUNTIFS(NOVEDADES!$D$4:$D$1503,$A1386,NOVEDADES!$O$4:$O$1503,"SÍ")&gt;0,"No","Sí"))</f>
        <v/>
      </c>
      <c r="Q1386" s="28">
        <f>IF(OR($A1386="",$L1386=""),"",IF(AND($N1386="Sí",$P1386="Sí"),"OTIF","Falló"))</f>
        <v/>
      </c>
    </row>
    <row r="1387" ht="16" customHeight="1">
      <c r="A1387" s="48" t="n"/>
      <c r="B1387" s="48" t="n"/>
      <c r="C1387" s="47" t="n"/>
      <c r="D1387" s="50" t="n"/>
      <c r="E1387" s="50" t="n"/>
      <c r="F1387" s="50" t="n"/>
      <c r="G1387" s="50" t="n"/>
      <c r="H1387" s="48" t="n"/>
      <c r="I1387" s="51" t="n"/>
      <c r="J1387" s="52" t="n"/>
      <c r="K1387" s="47" t="n"/>
      <c r="L1387" s="47" t="n"/>
      <c r="M1387" s="24">
        <f>IF(OR($A1387="",$C1387=""),"",IF($L1387&lt;&gt;"",$L1387-$C1387,TODAY()-$C1387))</f>
        <v/>
      </c>
      <c r="N1387" s="28">
        <f>IF(OR($A1387="",$K1387=""),"",IF($L1387="",IF(TODAY()&gt;$K1387,"Atrasado","En ruta"),IF($L1387&lt;=$K1387,"Sí","No")))</f>
        <v/>
      </c>
      <c r="O1387" s="24">
        <f>IF($A1387="","",COUNTIFS(NOVEDADES!$D$4:$D$1503,$A1387))</f>
        <v/>
      </c>
      <c r="P1387" s="28">
        <f>IF($A1387="","",IF(COUNTIFS(NOVEDADES!$D$4:$D$1503,$A1387,NOVEDADES!$O$4:$O$1503,"SÍ")&gt;0,"No","Sí"))</f>
        <v/>
      </c>
      <c r="Q1387" s="28">
        <f>IF(OR($A1387="",$L1387=""),"",IF(AND($N1387="Sí",$P1387="Sí"),"OTIF","Falló"))</f>
        <v/>
      </c>
    </row>
    <row r="1388" ht="16" customHeight="1">
      <c r="A1388" s="48" t="n"/>
      <c r="B1388" s="48" t="n"/>
      <c r="C1388" s="47" t="n"/>
      <c r="D1388" s="50" t="n"/>
      <c r="E1388" s="50" t="n"/>
      <c r="F1388" s="50" t="n"/>
      <c r="G1388" s="50" t="n"/>
      <c r="H1388" s="48" t="n"/>
      <c r="I1388" s="51" t="n"/>
      <c r="J1388" s="52" t="n"/>
      <c r="K1388" s="47" t="n"/>
      <c r="L1388" s="47" t="n"/>
      <c r="M1388" s="24">
        <f>IF(OR($A1388="",$C1388=""),"",IF($L1388&lt;&gt;"",$L1388-$C1388,TODAY()-$C1388))</f>
        <v/>
      </c>
      <c r="N1388" s="28">
        <f>IF(OR($A1388="",$K1388=""),"",IF($L1388="",IF(TODAY()&gt;$K1388,"Atrasado","En ruta"),IF($L1388&lt;=$K1388,"Sí","No")))</f>
        <v/>
      </c>
      <c r="O1388" s="24">
        <f>IF($A1388="","",COUNTIFS(NOVEDADES!$D$4:$D$1503,$A1388))</f>
        <v/>
      </c>
      <c r="P1388" s="28">
        <f>IF($A1388="","",IF(COUNTIFS(NOVEDADES!$D$4:$D$1503,$A1388,NOVEDADES!$O$4:$O$1503,"SÍ")&gt;0,"No","Sí"))</f>
        <v/>
      </c>
      <c r="Q1388" s="28">
        <f>IF(OR($A1388="",$L1388=""),"",IF(AND($N1388="Sí",$P1388="Sí"),"OTIF","Falló"))</f>
        <v/>
      </c>
    </row>
    <row r="1389" ht="16" customHeight="1">
      <c r="A1389" s="48" t="n"/>
      <c r="B1389" s="48" t="n"/>
      <c r="C1389" s="47" t="n"/>
      <c r="D1389" s="50" t="n"/>
      <c r="E1389" s="50" t="n"/>
      <c r="F1389" s="50" t="n"/>
      <c r="G1389" s="50" t="n"/>
      <c r="H1389" s="48" t="n"/>
      <c r="I1389" s="51" t="n"/>
      <c r="J1389" s="52" t="n"/>
      <c r="K1389" s="47" t="n"/>
      <c r="L1389" s="47" t="n"/>
      <c r="M1389" s="24">
        <f>IF(OR($A1389="",$C1389=""),"",IF($L1389&lt;&gt;"",$L1389-$C1389,TODAY()-$C1389))</f>
        <v/>
      </c>
      <c r="N1389" s="28">
        <f>IF(OR($A1389="",$K1389=""),"",IF($L1389="",IF(TODAY()&gt;$K1389,"Atrasado","En ruta"),IF($L1389&lt;=$K1389,"Sí","No")))</f>
        <v/>
      </c>
      <c r="O1389" s="24">
        <f>IF($A1389="","",COUNTIFS(NOVEDADES!$D$4:$D$1503,$A1389))</f>
        <v/>
      </c>
      <c r="P1389" s="28">
        <f>IF($A1389="","",IF(COUNTIFS(NOVEDADES!$D$4:$D$1503,$A1389,NOVEDADES!$O$4:$O$1503,"SÍ")&gt;0,"No","Sí"))</f>
        <v/>
      </c>
      <c r="Q1389" s="28">
        <f>IF(OR($A1389="",$L1389=""),"",IF(AND($N1389="Sí",$P1389="Sí"),"OTIF","Falló"))</f>
        <v/>
      </c>
    </row>
    <row r="1390" ht="16" customHeight="1">
      <c r="A1390" s="48" t="n"/>
      <c r="B1390" s="48" t="n"/>
      <c r="C1390" s="47" t="n"/>
      <c r="D1390" s="50" t="n"/>
      <c r="E1390" s="50" t="n"/>
      <c r="F1390" s="50" t="n"/>
      <c r="G1390" s="50" t="n"/>
      <c r="H1390" s="48" t="n"/>
      <c r="I1390" s="51" t="n"/>
      <c r="J1390" s="52" t="n"/>
      <c r="K1390" s="47" t="n"/>
      <c r="L1390" s="47" t="n"/>
      <c r="M1390" s="24">
        <f>IF(OR($A1390="",$C1390=""),"",IF($L1390&lt;&gt;"",$L1390-$C1390,TODAY()-$C1390))</f>
        <v/>
      </c>
      <c r="N1390" s="28">
        <f>IF(OR($A1390="",$K1390=""),"",IF($L1390="",IF(TODAY()&gt;$K1390,"Atrasado","En ruta"),IF($L1390&lt;=$K1390,"Sí","No")))</f>
        <v/>
      </c>
      <c r="O1390" s="24">
        <f>IF($A1390="","",COUNTIFS(NOVEDADES!$D$4:$D$1503,$A1390))</f>
        <v/>
      </c>
      <c r="P1390" s="28">
        <f>IF($A1390="","",IF(COUNTIFS(NOVEDADES!$D$4:$D$1503,$A1390,NOVEDADES!$O$4:$O$1503,"SÍ")&gt;0,"No","Sí"))</f>
        <v/>
      </c>
      <c r="Q1390" s="28">
        <f>IF(OR($A1390="",$L1390=""),"",IF(AND($N1390="Sí",$P1390="Sí"),"OTIF","Falló"))</f>
        <v/>
      </c>
    </row>
    <row r="1391" ht="16" customHeight="1">
      <c r="A1391" s="48" t="n"/>
      <c r="B1391" s="48" t="n"/>
      <c r="C1391" s="47" t="n"/>
      <c r="D1391" s="50" t="n"/>
      <c r="E1391" s="50" t="n"/>
      <c r="F1391" s="50" t="n"/>
      <c r="G1391" s="50" t="n"/>
      <c r="H1391" s="48" t="n"/>
      <c r="I1391" s="51" t="n"/>
      <c r="J1391" s="52" t="n"/>
      <c r="K1391" s="47" t="n"/>
      <c r="L1391" s="47" t="n"/>
      <c r="M1391" s="24">
        <f>IF(OR($A1391="",$C1391=""),"",IF($L1391&lt;&gt;"",$L1391-$C1391,TODAY()-$C1391))</f>
        <v/>
      </c>
      <c r="N1391" s="28">
        <f>IF(OR($A1391="",$K1391=""),"",IF($L1391="",IF(TODAY()&gt;$K1391,"Atrasado","En ruta"),IF($L1391&lt;=$K1391,"Sí","No")))</f>
        <v/>
      </c>
      <c r="O1391" s="24">
        <f>IF($A1391="","",COUNTIFS(NOVEDADES!$D$4:$D$1503,$A1391))</f>
        <v/>
      </c>
      <c r="P1391" s="28">
        <f>IF($A1391="","",IF(COUNTIFS(NOVEDADES!$D$4:$D$1503,$A1391,NOVEDADES!$O$4:$O$1503,"SÍ")&gt;0,"No","Sí"))</f>
        <v/>
      </c>
      <c r="Q1391" s="28">
        <f>IF(OR($A1391="",$L1391=""),"",IF(AND($N1391="Sí",$P1391="Sí"),"OTIF","Falló"))</f>
        <v/>
      </c>
    </row>
    <row r="1392" ht="16" customHeight="1">
      <c r="A1392" s="48" t="n"/>
      <c r="B1392" s="48" t="n"/>
      <c r="C1392" s="47" t="n"/>
      <c r="D1392" s="50" t="n"/>
      <c r="E1392" s="50" t="n"/>
      <c r="F1392" s="50" t="n"/>
      <c r="G1392" s="50" t="n"/>
      <c r="H1392" s="48" t="n"/>
      <c r="I1392" s="51" t="n"/>
      <c r="J1392" s="52" t="n"/>
      <c r="K1392" s="47" t="n"/>
      <c r="L1392" s="47" t="n"/>
      <c r="M1392" s="24">
        <f>IF(OR($A1392="",$C1392=""),"",IF($L1392&lt;&gt;"",$L1392-$C1392,TODAY()-$C1392))</f>
        <v/>
      </c>
      <c r="N1392" s="28">
        <f>IF(OR($A1392="",$K1392=""),"",IF($L1392="",IF(TODAY()&gt;$K1392,"Atrasado","En ruta"),IF($L1392&lt;=$K1392,"Sí","No")))</f>
        <v/>
      </c>
      <c r="O1392" s="24">
        <f>IF($A1392="","",COUNTIFS(NOVEDADES!$D$4:$D$1503,$A1392))</f>
        <v/>
      </c>
      <c r="P1392" s="28">
        <f>IF($A1392="","",IF(COUNTIFS(NOVEDADES!$D$4:$D$1503,$A1392,NOVEDADES!$O$4:$O$1503,"SÍ")&gt;0,"No","Sí"))</f>
        <v/>
      </c>
      <c r="Q1392" s="28">
        <f>IF(OR($A1392="",$L1392=""),"",IF(AND($N1392="Sí",$P1392="Sí"),"OTIF","Falló"))</f>
        <v/>
      </c>
    </row>
    <row r="1393" ht="16" customHeight="1">
      <c r="A1393" s="48" t="n"/>
      <c r="B1393" s="48" t="n"/>
      <c r="C1393" s="47" t="n"/>
      <c r="D1393" s="50" t="n"/>
      <c r="E1393" s="50" t="n"/>
      <c r="F1393" s="50" t="n"/>
      <c r="G1393" s="50" t="n"/>
      <c r="H1393" s="48" t="n"/>
      <c r="I1393" s="51" t="n"/>
      <c r="J1393" s="52" t="n"/>
      <c r="K1393" s="47" t="n"/>
      <c r="L1393" s="47" t="n"/>
      <c r="M1393" s="24">
        <f>IF(OR($A1393="",$C1393=""),"",IF($L1393&lt;&gt;"",$L1393-$C1393,TODAY()-$C1393))</f>
        <v/>
      </c>
      <c r="N1393" s="28">
        <f>IF(OR($A1393="",$K1393=""),"",IF($L1393="",IF(TODAY()&gt;$K1393,"Atrasado","En ruta"),IF($L1393&lt;=$K1393,"Sí","No")))</f>
        <v/>
      </c>
      <c r="O1393" s="24">
        <f>IF($A1393="","",COUNTIFS(NOVEDADES!$D$4:$D$1503,$A1393))</f>
        <v/>
      </c>
      <c r="P1393" s="28">
        <f>IF($A1393="","",IF(COUNTIFS(NOVEDADES!$D$4:$D$1503,$A1393,NOVEDADES!$O$4:$O$1503,"SÍ")&gt;0,"No","Sí"))</f>
        <v/>
      </c>
      <c r="Q1393" s="28">
        <f>IF(OR($A1393="",$L1393=""),"",IF(AND($N1393="Sí",$P1393="Sí"),"OTIF","Falló"))</f>
        <v/>
      </c>
    </row>
    <row r="1394" ht="16" customHeight="1">
      <c r="A1394" s="48" t="n"/>
      <c r="B1394" s="48" t="n"/>
      <c r="C1394" s="47" t="n"/>
      <c r="D1394" s="50" t="n"/>
      <c r="E1394" s="50" t="n"/>
      <c r="F1394" s="50" t="n"/>
      <c r="G1394" s="50" t="n"/>
      <c r="H1394" s="48" t="n"/>
      <c r="I1394" s="51" t="n"/>
      <c r="J1394" s="52" t="n"/>
      <c r="K1394" s="47" t="n"/>
      <c r="L1394" s="47" t="n"/>
      <c r="M1394" s="24">
        <f>IF(OR($A1394="",$C1394=""),"",IF($L1394&lt;&gt;"",$L1394-$C1394,TODAY()-$C1394))</f>
        <v/>
      </c>
      <c r="N1394" s="28">
        <f>IF(OR($A1394="",$K1394=""),"",IF($L1394="",IF(TODAY()&gt;$K1394,"Atrasado","En ruta"),IF($L1394&lt;=$K1394,"Sí","No")))</f>
        <v/>
      </c>
      <c r="O1394" s="24">
        <f>IF($A1394="","",COUNTIFS(NOVEDADES!$D$4:$D$1503,$A1394))</f>
        <v/>
      </c>
      <c r="P1394" s="28">
        <f>IF($A1394="","",IF(COUNTIFS(NOVEDADES!$D$4:$D$1503,$A1394,NOVEDADES!$O$4:$O$1503,"SÍ")&gt;0,"No","Sí"))</f>
        <v/>
      </c>
      <c r="Q1394" s="28">
        <f>IF(OR($A1394="",$L1394=""),"",IF(AND($N1394="Sí",$P1394="Sí"),"OTIF","Falló"))</f>
        <v/>
      </c>
    </row>
    <row r="1395" ht="16" customHeight="1">
      <c r="A1395" s="48" t="n"/>
      <c r="B1395" s="48" t="n"/>
      <c r="C1395" s="47" t="n"/>
      <c r="D1395" s="50" t="n"/>
      <c r="E1395" s="50" t="n"/>
      <c r="F1395" s="50" t="n"/>
      <c r="G1395" s="50" t="n"/>
      <c r="H1395" s="48" t="n"/>
      <c r="I1395" s="51" t="n"/>
      <c r="J1395" s="52" t="n"/>
      <c r="K1395" s="47" t="n"/>
      <c r="L1395" s="47" t="n"/>
      <c r="M1395" s="24">
        <f>IF(OR($A1395="",$C1395=""),"",IF($L1395&lt;&gt;"",$L1395-$C1395,TODAY()-$C1395))</f>
        <v/>
      </c>
      <c r="N1395" s="28">
        <f>IF(OR($A1395="",$K1395=""),"",IF($L1395="",IF(TODAY()&gt;$K1395,"Atrasado","En ruta"),IF($L1395&lt;=$K1395,"Sí","No")))</f>
        <v/>
      </c>
      <c r="O1395" s="24">
        <f>IF($A1395="","",COUNTIFS(NOVEDADES!$D$4:$D$1503,$A1395))</f>
        <v/>
      </c>
      <c r="P1395" s="28">
        <f>IF($A1395="","",IF(COUNTIFS(NOVEDADES!$D$4:$D$1503,$A1395,NOVEDADES!$O$4:$O$1503,"SÍ")&gt;0,"No","Sí"))</f>
        <v/>
      </c>
      <c r="Q1395" s="28">
        <f>IF(OR($A1395="",$L1395=""),"",IF(AND($N1395="Sí",$P1395="Sí"),"OTIF","Falló"))</f>
        <v/>
      </c>
    </row>
    <row r="1396" ht="16" customHeight="1">
      <c r="A1396" s="48" t="n"/>
      <c r="B1396" s="48" t="n"/>
      <c r="C1396" s="47" t="n"/>
      <c r="D1396" s="50" t="n"/>
      <c r="E1396" s="50" t="n"/>
      <c r="F1396" s="50" t="n"/>
      <c r="G1396" s="50" t="n"/>
      <c r="H1396" s="48" t="n"/>
      <c r="I1396" s="51" t="n"/>
      <c r="J1396" s="52" t="n"/>
      <c r="K1396" s="47" t="n"/>
      <c r="L1396" s="47" t="n"/>
      <c r="M1396" s="24">
        <f>IF(OR($A1396="",$C1396=""),"",IF($L1396&lt;&gt;"",$L1396-$C1396,TODAY()-$C1396))</f>
        <v/>
      </c>
      <c r="N1396" s="28">
        <f>IF(OR($A1396="",$K1396=""),"",IF($L1396="",IF(TODAY()&gt;$K1396,"Atrasado","En ruta"),IF($L1396&lt;=$K1396,"Sí","No")))</f>
        <v/>
      </c>
      <c r="O1396" s="24">
        <f>IF($A1396="","",COUNTIFS(NOVEDADES!$D$4:$D$1503,$A1396))</f>
        <v/>
      </c>
      <c r="P1396" s="28">
        <f>IF($A1396="","",IF(COUNTIFS(NOVEDADES!$D$4:$D$1503,$A1396,NOVEDADES!$O$4:$O$1503,"SÍ")&gt;0,"No","Sí"))</f>
        <v/>
      </c>
      <c r="Q1396" s="28">
        <f>IF(OR($A1396="",$L1396=""),"",IF(AND($N1396="Sí",$P1396="Sí"),"OTIF","Falló"))</f>
        <v/>
      </c>
    </row>
    <row r="1397" ht="16" customHeight="1">
      <c r="A1397" s="48" t="n"/>
      <c r="B1397" s="48" t="n"/>
      <c r="C1397" s="47" t="n"/>
      <c r="D1397" s="50" t="n"/>
      <c r="E1397" s="50" t="n"/>
      <c r="F1397" s="50" t="n"/>
      <c r="G1397" s="50" t="n"/>
      <c r="H1397" s="48" t="n"/>
      <c r="I1397" s="51" t="n"/>
      <c r="J1397" s="52" t="n"/>
      <c r="K1397" s="47" t="n"/>
      <c r="L1397" s="47" t="n"/>
      <c r="M1397" s="24">
        <f>IF(OR($A1397="",$C1397=""),"",IF($L1397&lt;&gt;"",$L1397-$C1397,TODAY()-$C1397))</f>
        <v/>
      </c>
      <c r="N1397" s="28">
        <f>IF(OR($A1397="",$K1397=""),"",IF($L1397="",IF(TODAY()&gt;$K1397,"Atrasado","En ruta"),IF($L1397&lt;=$K1397,"Sí","No")))</f>
        <v/>
      </c>
      <c r="O1397" s="24">
        <f>IF($A1397="","",COUNTIFS(NOVEDADES!$D$4:$D$1503,$A1397))</f>
        <v/>
      </c>
      <c r="P1397" s="28">
        <f>IF($A1397="","",IF(COUNTIFS(NOVEDADES!$D$4:$D$1503,$A1397,NOVEDADES!$O$4:$O$1503,"SÍ")&gt;0,"No","Sí"))</f>
        <v/>
      </c>
      <c r="Q1397" s="28">
        <f>IF(OR($A1397="",$L1397=""),"",IF(AND($N1397="Sí",$P1397="Sí"),"OTIF","Falló"))</f>
        <v/>
      </c>
    </row>
    <row r="1398" ht="16" customHeight="1">
      <c r="A1398" s="48" t="n"/>
      <c r="B1398" s="48" t="n"/>
      <c r="C1398" s="47" t="n"/>
      <c r="D1398" s="50" t="n"/>
      <c r="E1398" s="50" t="n"/>
      <c r="F1398" s="50" t="n"/>
      <c r="G1398" s="50" t="n"/>
      <c r="H1398" s="48" t="n"/>
      <c r="I1398" s="51" t="n"/>
      <c r="J1398" s="52" t="n"/>
      <c r="K1398" s="47" t="n"/>
      <c r="L1398" s="47" t="n"/>
      <c r="M1398" s="24">
        <f>IF(OR($A1398="",$C1398=""),"",IF($L1398&lt;&gt;"",$L1398-$C1398,TODAY()-$C1398))</f>
        <v/>
      </c>
      <c r="N1398" s="28">
        <f>IF(OR($A1398="",$K1398=""),"",IF($L1398="",IF(TODAY()&gt;$K1398,"Atrasado","En ruta"),IF($L1398&lt;=$K1398,"Sí","No")))</f>
        <v/>
      </c>
      <c r="O1398" s="24">
        <f>IF($A1398="","",COUNTIFS(NOVEDADES!$D$4:$D$1503,$A1398))</f>
        <v/>
      </c>
      <c r="P1398" s="28">
        <f>IF($A1398="","",IF(COUNTIFS(NOVEDADES!$D$4:$D$1503,$A1398,NOVEDADES!$O$4:$O$1503,"SÍ")&gt;0,"No","Sí"))</f>
        <v/>
      </c>
      <c r="Q1398" s="28">
        <f>IF(OR($A1398="",$L1398=""),"",IF(AND($N1398="Sí",$P1398="Sí"),"OTIF","Falló"))</f>
        <v/>
      </c>
    </row>
    <row r="1399" ht="16" customHeight="1">
      <c r="A1399" s="48" t="n"/>
      <c r="B1399" s="48" t="n"/>
      <c r="C1399" s="47" t="n"/>
      <c r="D1399" s="50" t="n"/>
      <c r="E1399" s="50" t="n"/>
      <c r="F1399" s="50" t="n"/>
      <c r="G1399" s="50" t="n"/>
      <c r="H1399" s="48" t="n"/>
      <c r="I1399" s="51" t="n"/>
      <c r="J1399" s="52" t="n"/>
      <c r="K1399" s="47" t="n"/>
      <c r="L1399" s="47" t="n"/>
      <c r="M1399" s="24">
        <f>IF(OR($A1399="",$C1399=""),"",IF($L1399&lt;&gt;"",$L1399-$C1399,TODAY()-$C1399))</f>
        <v/>
      </c>
      <c r="N1399" s="28">
        <f>IF(OR($A1399="",$K1399=""),"",IF($L1399="",IF(TODAY()&gt;$K1399,"Atrasado","En ruta"),IF($L1399&lt;=$K1399,"Sí","No")))</f>
        <v/>
      </c>
      <c r="O1399" s="24">
        <f>IF($A1399="","",COUNTIFS(NOVEDADES!$D$4:$D$1503,$A1399))</f>
        <v/>
      </c>
      <c r="P1399" s="28">
        <f>IF($A1399="","",IF(COUNTIFS(NOVEDADES!$D$4:$D$1503,$A1399,NOVEDADES!$O$4:$O$1503,"SÍ")&gt;0,"No","Sí"))</f>
        <v/>
      </c>
      <c r="Q1399" s="28">
        <f>IF(OR($A1399="",$L1399=""),"",IF(AND($N1399="Sí",$P1399="Sí"),"OTIF","Falló"))</f>
        <v/>
      </c>
    </row>
    <row r="1400" ht="16" customHeight="1">
      <c r="A1400" s="48" t="n"/>
      <c r="B1400" s="48" t="n"/>
      <c r="C1400" s="47" t="n"/>
      <c r="D1400" s="50" t="n"/>
      <c r="E1400" s="50" t="n"/>
      <c r="F1400" s="50" t="n"/>
      <c r="G1400" s="50" t="n"/>
      <c r="H1400" s="48" t="n"/>
      <c r="I1400" s="51" t="n"/>
      <c r="J1400" s="52" t="n"/>
      <c r="K1400" s="47" t="n"/>
      <c r="L1400" s="47" t="n"/>
      <c r="M1400" s="24">
        <f>IF(OR($A1400="",$C1400=""),"",IF($L1400&lt;&gt;"",$L1400-$C1400,TODAY()-$C1400))</f>
        <v/>
      </c>
      <c r="N1400" s="28">
        <f>IF(OR($A1400="",$K1400=""),"",IF($L1400="",IF(TODAY()&gt;$K1400,"Atrasado","En ruta"),IF($L1400&lt;=$K1400,"Sí","No")))</f>
        <v/>
      </c>
      <c r="O1400" s="24">
        <f>IF($A1400="","",COUNTIFS(NOVEDADES!$D$4:$D$1503,$A1400))</f>
        <v/>
      </c>
      <c r="P1400" s="28">
        <f>IF($A1400="","",IF(COUNTIFS(NOVEDADES!$D$4:$D$1503,$A1400,NOVEDADES!$O$4:$O$1503,"SÍ")&gt;0,"No","Sí"))</f>
        <v/>
      </c>
      <c r="Q1400" s="28">
        <f>IF(OR($A1400="",$L1400=""),"",IF(AND($N1400="Sí",$P1400="Sí"),"OTIF","Falló"))</f>
        <v/>
      </c>
    </row>
    <row r="1401" ht="16" customHeight="1">
      <c r="A1401" s="48" t="n"/>
      <c r="B1401" s="48" t="n"/>
      <c r="C1401" s="47" t="n"/>
      <c r="D1401" s="50" t="n"/>
      <c r="E1401" s="50" t="n"/>
      <c r="F1401" s="50" t="n"/>
      <c r="G1401" s="50" t="n"/>
      <c r="H1401" s="48" t="n"/>
      <c r="I1401" s="51" t="n"/>
      <c r="J1401" s="52" t="n"/>
      <c r="K1401" s="47" t="n"/>
      <c r="L1401" s="47" t="n"/>
      <c r="M1401" s="24">
        <f>IF(OR($A1401="",$C1401=""),"",IF($L1401&lt;&gt;"",$L1401-$C1401,TODAY()-$C1401))</f>
        <v/>
      </c>
      <c r="N1401" s="28">
        <f>IF(OR($A1401="",$K1401=""),"",IF($L1401="",IF(TODAY()&gt;$K1401,"Atrasado","En ruta"),IF($L1401&lt;=$K1401,"Sí","No")))</f>
        <v/>
      </c>
      <c r="O1401" s="24">
        <f>IF($A1401="","",COUNTIFS(NOVEDADES!$D$4:$D$1503,$A1401))</f>
        <v/>
      </c>
      <c r="P1401" s="28">
        <f>IF($A1401="","",IF(COUNTIFS(NOVEDADES!$D$4:$D$1503,$A1401,NOVEDADES!$O$4:$O$1503,"SÍ")&gt;0,"No","Sí"))</f>
        <v/>
      </c>
      <c r="Q1401" s="28">
        <f>IF(OR($A1401="",$L1401=""),"",IF(AND($N1401="Sí",$P1401="Sí"),"OTIF","Falló"))</f>
        <v/>
      </c>
    </row>
    <row r="1402" ht="16" customHeight="1">
      <c r="A1402" s="48" t="n"/>
      <c r="B1402" s="48" t="n"/>
      <c r="C1402" s="47" t="n"/>
      <c r="D1402" s="50" t="n"/>
      <c r="E1402" s="50" t="n"/>
      <c r="F1402" s="50" t="n"/>
      <c r="G1402" s="50" t="n"/>
      <c r="H1402" s="48" t="n"/>
      <c r="I1402" s="51" t="n"/>
      <c r="J1402" s="52" t="n"/>
      <c r="K1402" s="47" t="n"/>
      <c r="L1402" s="47" t="n"/>
      <c r="M1402" s="24">
        <f>IF(OR($A1402="",$C1402=""),"",IF($L1402&lt;&gt;"",$L1402-$C1402,TODAY()-$C1402))</f>
        <v/>
      </c>
      <c r="N1402" s="28">
        <f>IF(OR($A1402="",$K1402=""),"",IF($L1402="",IF(TODAY()&gt;$K1402,"Atrasado","En ruta"),IF($L1402&lt;=$K1402,"Sí","No")))</f>
        <v/>
      </c>
      <c r="O1402" s="24">
        <f>IF($A1402="","",COUNTIFS(NOVEDADES!$D$4:$D$1503,$A1402))</f>
        <v/>
      </c>
      <c r="P1402" s="28">
        <f>IF($A1402="","",IF(COUNTIFS(NOVEDADES!$D$4:$D$1503,$A1402,NOVEDADES!$O$4:$O$1503,"SÍ")&gt;0,"No","Sí"))</f>
        <v/>
      </c>
      <c r="Q1402" s="28">
        <f>IF(OR($A1402="",$L1402=""),"",IF(AND($N1402="Sí",$P1402="Sí"),"OTIF","Falló"))</f>
        <v/>
      </c>
    </row>
    <row r="1403" ht="16" customHeight="1">
      <c r="A1403" s="48" t="n"/>
      <c r="B1403" s="48" t="n"/>
      <c r="C1403" s="47" t="n"/>
      <c r="D1403" s="50" t="n"/>
      <c r="E1403" s="50" t="n"/>
      <c r="F1403" s="50" t="n"/>
      <c r="G1403" s="50" t="n"/>
      <c r="H1403" s="48" t="n"/>
      <c r="I1403" s="51" t="n"/>
      <c r="J1403" s="52" t="n"/>
      <c r="K1403" s="47" t="n"/>
      <c r="L1403" s="47" t="n"/>
      <c r="M1403" s="24">
        <f>IF(OR($A1403="",$C1403=""),"",IF($L1403&lt;&gt;"",$L1403-$C1403,TODAY()-$C1403))</f>
        <v/>
      </c>
      <c r="N1403" s="28">
        <f>IF(OR($A1403="",$K1403=""),"",IF($L1403="",IF(TODAY()&gt;$K1403,"Atrasado","En ruta"),IF($L1403&lt;=$K1403,"Sí","No")))</f>
        <v/>
      </c>
      <c r="O1403" s="24">
        <f>IF($A1403="","",COUNTIFS(NOVEDADES!$D$4:$D$1503,$A1403))</f>
        <v/>
      </c>
      <c r="P1403" s="28">
        <f>IF($A1403="","",IF(COUNTIFS(NOVEDADES!$D$4:$D$1503,$A1403,NOVEDADES!$O$4:$O$1503,"SÍ")&gt;0,"No","Sí"))</f>
        <v/>
      </c>
      <c r="Q1403" s="28">
        <f>IF(OR($A1403="",$L1403=""),"",IF(AND($N1403="Sí",$P1403="Sí"),"OTIF","Falló"))</f>
        <v/>
      </c>
    </row>
    <row r="1404" ht="16" customHeight="1">
      <c r="A1404" s="48" t="n"/>
      <c r="B1404" s="48" t="n"/>
      <c r="C1404" s="47" t="n"/>
      <c r="D1404" s="50" t="n"/>
      <c r="E1404" s="50" t="n"/>
      <c r="F1404" s="50" t="n"/>
      <c r="G1404" s="50" t="n"/>
      <c r="H1404" s="48" t="n"/>
      <c r="I1404" s="51" t="n"/>
      <c r="J1404" s="52" t="n"/>
      <c r="K1404" s="47" t="n"/>
      <c r="L1404" s="47" t="n"/>
      <c r="M1404" s="24">
        <f>IF(OR($A1404="",$C1404=""),"",IF($L1404&lt;&gt;"",$L1404-$C1404,TODAY()-$C1404))</f>
        <v/>
      </c>
      <c r="N1404" s="28">
        <f>IF(OR($A1404="",$K1404=""),"",IF($L1404="",IF(TODAY()&gt;$K1404,"Atrasado","En ruta"),IF($L1404&lt;=$K1404,"Sí","No")))</f>
        <v/>
      </c>
      <c r="O1404" s="24">
        <f>IF($A1404="","",COUNTIFS(NOVEDADES!$D$4:$D$1503,$A1404))</f>
        <v/>
      </c>
      <c r="P1404" s="28">
        <f>IF($A1404="","",IF(COUNTIFS(NOVEDADES!$D$4:$D$1503,$A1404,NOVEDADES!$O$4:$O$1503,"SÍ")&gt;0,"No","Sí"))</f>
        <v/>
      </c>
      <c r="Q1404" s="28">
        <f>IF(OR($A1404="",$L1404=""),"",IF(AND($N1404="Sí",$P1404="Sí"),"OTIF","Falló"))</f>
        <v/>
      </c>
    </row>
    <row r="1405" ht="16" customHeight="1">
      <c r="A1405" s="48" t="n"/>
      <c r="B1405" s="48" t="n"/>
      <c r="C1405" s="47" t="n"/>
      <c r="D1405" s="50" t="n"/>
      <c r="E1405" s="50" t="n"/>
      <c r="F1405" s="50" t="n"/>
      <c r="G1405" s="50" t="n"/>
      <c r="H1405" s="48" t="n"/>
      <c r="I1405" s="51" t="n"/>
      <c r="J1405" s="52" t="n"/>
      <c r="K1405" s="47" t="n"/>
      <c r="L1405" s="47" t="n"/>
      <c r="M1405" s="24">
        <f>IF(OR($A1405="",$C1405=""),"",IF($L1405&lt;&gt;"",$L1405-$C1405,TODAY()-$C1405))</f>
        <v/>
      </c>
      <c r="N1405" s="28">
        <f>IF(OR($A1405="",$K1405=""),"",IF($L1405="",IF(TODAY()&gt;$K1405,"Atrasado","En ruta"),IF($L1405&lt;=$K1405,"Sí","No")))</f>
        <v/>
      </c>
      <c r="O1405" s="24">
        <f>IF($A1405="","",COUNTIFS(NOVEDADES!$D$4:$D$1503,$A1405))</f>
        <v/>
      </c>
      <c r="P1405" s="28">
        <f>IF($A1405="","",IF(COUNTIFS(NOVEDADES!$D$4:$D$1503,$A1405,NOVEDADES!$O$4:$O$1503,"SÍ")&gt;0,"No","Sí"))</f>
        <v/>
      </c>
      <c r="Q1405" s="28">
        <f>IF(OR($A1405="",$L1405=""),"",IF(AND($N1405="Sí",$P1405="Sí"),"OTIF","Falló"))</f>
        <v/>
      </c>
    </row>
    <row r="1406" ht="16" customHeight="1">
      <c r="A1406" s="48" t="n"/>
      <c r="B1406" s="48" t="n"/>
      <c r="C1406" s="47" t="n"/>
      <c r="D1406" s="50" t="n"/>
      <c r="E1406" s="50" t="n"/>
      <c r="F1406" s="50" t="n"/>
      <c r="G1406" s="50" t="n"/>
      <c r="H1406" s="48" t="n"/>
      <c r="I1406" s="51" t="n"/>
      <c r="J1406" s="52" t="n"/>
      <c r="K1406" s="47" t="n"/>
      <c r="L1406" s="47" t="n"/>
      <c r="M1406" s="24">
        <f>IF(OR($A1406="",$C1406=""),"",IF($L1406&lt;&gt;"",$L1406-$C1406,TODAY()-$C1406))</f>
        <v/>
      </c>
      <c r="N1406" s="28">
        <f>IF(OR($A1406="",$K1406=""),"",IF($L1406="",IF(TODAY()&gt;$K1406,"Atrasado","En ruta"),IF($L1406&lt;=$K1406,"Sí","No")))</f>
        <v/>
      </c>
      <c r="O1406" s="24">
        <f>IF($A1406="","",COUNTIFS(NOVEDADES!$D$4:$D$1503,$A1406))</f>
        <v/>
      </c>
      <c r="P1406" s="28">
        <f>IF($A1406="","",IF(COUNTIFS(NOVEDADES!$D$4:$D$1503,$A1406,NOVEDADES!$O$4:$O$1503,"SÍ")&gt;0,"No","Sí"))</f>
        <v/>
      </c>
      <c r="Q1406" s="28">
        <f>IF(OR($A1406="",$L1406=""),"",IF(AND($N1406="Sí",$P1406="Sí"),"OTIF","Falló"))</f>
        <v/>
      </c>
    </row>
    <row r="1407" ht="16" customHeight="1">
      <c r="A1407" s="48" t="n"/>
      <c r="B1407" s="48" t="n"/>
      <c r="C1407" s="47" t="n"/>
      <c r="D1407" s="50" t="n"/>
      <c r="E1407" s="50" t="n"/>
      <c r="F1407" s="50" t="n"/>
      <c r="G1407" s="50" t="n"/>
      <c r="H1407" s="48" t="n"/>
      <c r="I1407" s="51" t="n"/>
      <c r="J1407" s="52" t="n"/>
      <c r="K1407" s="47" t="n"/>
      <c r="L1407" s="47" t="n"/>
      <c r="M1407" s="24">
        <f>IF(OR($A1407="",$C1407=""),"",IF($L1407&lt;&gt;"",$L1407-$C1407,TODAY()-$C1407))</f>
        <v/>
      </c>
      <c r="N1407" s="28">
        <f>IF(OR($A1407="",$K1407=""),"",IF($L1407="",IF(TODAY()&gt;$K1407,"Atrasado","En ruta"),IF($L1407&lt;=$K1407,"Sí","No")))</f>
        <v/>
      </c>
      <c r="O1407" s="24">
        <f>IF($A1407="","",COUNTIFS(NOVEDADES!$D$4:$D$1503,$A1407))</f>
        <v/>
      </c>
      <c r="P1407" s="28">
        <f>IF($A1407="","",IF(COUNTIFS(NOVEDADES!$D$4:$D$1503,$A1407,NOVEDADES!$O$4:$O$1503,"SÍ")&gt;0,"No","Sí"))</f>
        <v/>
      </c>
      <c r="Q1407" s="28">
        <f>IF(OR($A1407="",$L1407=""),"",IF(AND($N1407="Sí",$P1407="Sí"),"OTIF","Falló"))</f>
        <v/>
      </c>
    </row>
    <row r="1408" ht="16" customHeight="1">
      <c r="A1408" s="48" t="n"/>
      <c r="B1408" s="48" t="n"/>
      <c r="C1408" s="47" t="n"/>
      <c r="D1408" s="50" t="n"/>
      <c r="E1408" s="50" t="n"/>
      <c r="F1408" s="50" t="n"/>
      <c r="G1408" s="50" t="n"/>
      <c r="H1408" s="48" t="n"/>
      <c r="I1408" s="51" t="n"/>
      <c r="J1408" s="52" t="n"/>
      <c r="K1408" s="47" t="n"/>
      <c r="L1408" s="47" t="n"/>
      <c r="M1408" s="24">
        <f>IF(OR($A1408="",$C1408=""),"",IF($L1408&lt;&gt;"",$L1408-$C1408,TODAY()-$C1408))</f>
        <v/>
      </c>
      <c r="N1408" s="28">
        <f>IF(OR($A1408="",$K1408=""),"",IF($L1408="",IF(TODAY()&gt;$K1408,"Atrasado","En ruta"),IF($L1408&lt;=$K1408,"Sí","No")))</f>
        <v/>
      </c>
      <c r="O1408" s="24">
        <f>IF($A1408="","",COUNTIFS(NOVEDADES!$D$4:$D$1503,$A1408))</f>
        <v/>
      </c>
      <c r="P1408" s="28">
        <f>IF($A1408="","",IF(COUNTIFS(NOVEDADES!$D$4:$D$1503,$A1408,NOVEDADES!$O$4:$O$1503,"SÍ")&gt;0,"No","Sí"))</f>
        <v/>
      </c>
      <c r="Q1408" s="28">
        <f>IF(OR($A1408="",$L1408=""),"",IF(AND($N1408="Sí",$P1408="Sí"),"OTIF","Falló"))</f>
        <v/>
      </c>
    </row>
    <row r="1409" ht="16" customHeight="1">
      <c r="A1409" s="48" t="n"/>
      <c r="B1409" s="48" t="n"/>
      <c r="C1409" s="47" t="n"/>
      <c r="D1409" s="50" t="n"/>
      <c r="E1409" s="50" t="n"/>
      <c r="F1409" s="50" t="n"/>
      <c r="G1409" s="50" t="n"/>
      <c r="H1409" s="48" t="n"/>
      <c r="I1409" s="51" t="n"/>
      <c r="J1409" s="52" t="n"/>
      <c r="K1409" s="47" t="n"/>
      <c r="L1409" s="47" t="n"/>
      <c r="M1409" s="24">
        <f>IF(OR($A1409="",$C1409=""),"",IF($L1409&lt;&gt;"",$L1409-$C1409,TODAY()-$C1409))</f>
        <v/>
      </c>
      <c r="N1409" s="28">
        <f>IF(OR($A1409="",$K1409=""),"",IF($L1409="",IF(TODAY()&gt;$K1409,"Atrasado","En ruta"),IF($L1409&lt;=$K1409,"Sí","No")))</f>
        <v/>
      </c>
      <c r="O1409" s="24">
        <f>IF($A1409="","",COUNTIFS(NOVEDADES!$D$4:$D$1503,$A1409))</f>
        <v/>
      </c>
      <c r="P1409" s="28">
        <f>IF($A1409="","",IF(COUNTIFS(NOVEDADES!$D$4:$D$1503,$A1409,NOVEDADES!$O$4:$O$1503,"SÍ")&gt;0,"No","Sí"))</f>
        <v/>
      </c>
      <c r="Q1409" s="28">
        <f>IF(OR($A1409="",$L1409=""),"",IF(AND($N1409="Sí",$P1409="Sí"),"OTIF","Falló"))</f>
        <v/>
      </c>
    </row>
    <row r="1410" ht="16" customHeight="1">
      <c r="A1410" s="48" t="n"/>
      <c r="B1410" s="48" t="n"/>
      <c r="C1410" s="47" t="n"/>
      <c r="D1410" s="50" t="n"/>
      <c r="E1410" s="50" t="n"/>
      <c r="F1410" s="50" t="n"/>
      <c r="G1410" s="50" t="n"/>
      <c r="H1410" s="48" t="n"/>
      <c r="I1410" s="51" t="n"/>
      <c r="J1410" s="52" t="n"/>
      <c r="K1410" s="47" t="n"/>
      <c r="L1410" s="47" t="n"/>
      <c r="M1410" s="24">
        <f>IF(OR($A1410="",$C1410=""),"",IF($L1410&lt;&gt;"",$L1410-$C1410,TODAY()-$C1410))</f>
        <v/>
      </c>
      <c r="N1410" s="28">
        <f>IF(OR($A1410="",$K1410=""),"",IF($L1410="",IF(TODAY()&gt;$K1410,"Atrasado","En ruta"),IF($L1410&lt;=$K1410,"Sí","No")))</f>
        <v/>
      </c>
      <c r="O1410" s="24">
        <f>IF($A1410="","",COUNTIFS(NOVEDADES!$D$4:$D$1503,$A1410))</f>
        <v/>
      </c>
      <c r="P1410" s="28">
        <f>IF($A1410="","",IF(COUNTIFS(NOVEDADES!$D$4:$D$1503,$A1410,NOVEDADES!$O$4:$O$1503,"SÍ")&gt;0,"No","Sí"))</f>
        <v/>
      </c>
      <c r="Q1410" s="28">
        <f>IF(OR($A1410="",$L1410=""),"",IF(AND($N1410="Sí",$P1410="Sí"),"OTIF","Falló"))</f>
        <v/>
      </c>
    </row>
    <row r="1411" ht="16" customHeight="1">
      <c r="A1411" s="48" t="n"/>
      <c r="B1411" s="48" t="n"/>
      <c r="C1411" s="47" t="n"/>
      <c r="D1411" s="50" t="n"/>
      <c r="E1411" s="50" t="n"/>
      <c r="F1411" s="50" t="n"/>
      <c r="G1411" s="50" t="n"/>
      <c r="H1411" s="48" t="n"/>
      <c r="I1411" s="51" t="n"/>
      <c r="J1411" s="52" t="n"/>
      <c r="K1411" s="47" t="n"/>
      <c r="L1411" s="47" t="n"/>
      <c r="M1411" s="24">
        <f>IF(OR($A1411="",$C1411=""),"",IF($L1411&lt;&gt;"",$L1411-$C1411,TODAY()-$C1411))</f>
        <v/>
      </c>
      <c r="N1411" s="28">
        <f>IF(OR($A1411="",$K1411=""),"",IF($L1411="",IF(TODAY()&gt;$K1411,"Atrasado","En ruta"),IF($L1411&lt;=$K1411,"Sí","No")))</f>
        <v/>
      </c>
      <c r="O1411" s="24">
        <f>IF($A1411="","",COUNTIFS(NOVEDADES!$D$4:$D$1503,$A1411))</f>
        <v/>
      </c>
      <c r="P1411" s="28">
        <f>IF($A1411="","",IF(COUNTIFS(NOVEDADES!$D$4:$D$1503,$A1411,NOVEDADES!$O$4:$O$1503,"SÍ")&gt;0,"No","Sí"))</f>
        <v/>
      </c>
      <c r="Q1411" s="28">
        <f>IF(OR($A1411="",$L1411=""),"",IF(AND($N1411="Sí",$P1411="Sí"),"OTIF","Falló"))</f>
        <v/>
      </c>
    </row>
    <row r="1412" ht="16" customHeight="1">
      <c r="A1412" s="48" t="n"/>
      <c r="B1412" s="48" t="n"/>
      <c r="C1412" s="47" t="n"/>
      <c r="D1412" s="50" t="n"/>
      <c r="E1412" s="50" t="n"/>
      <c r="F1412" s="50" t="n"/>
      <c r="G1412" s="50" t="n"/>
      <c r="H1412" s="48" t="n"/>
      <c r="I1412" s="51" t="n"/>
      <c r="J1412" s="52" t="n"/>
      <c r="K1412" s="47" t="n"/>
      <c r="L1412" s="47" t="n"/>
      <c r="M1412" s="24">
        <f>IF(OR($A1412="",$C1412=""),"",IF($L1412&lt;&gt;"",$L1412-$C1412,TODAY()-$C1412))</f>
        <v/>
      </c>
      <c r="N1412" s="28">
        <f>IF(OR($A1412="",$K1412=""),"",IF($L1412="",IF(TODAY()&gt;$K1412,"Atrasado","En ruta"),IF($L1412&lt;=$K1412,"Sí","No")))</f>
        <v/>
      </c>
      <c r="O1412" s="24">
        <f>IF($A1412="","",COUNTIFS(NOVEDADES!$D$4:$D$1503,$A1412))</f>
        <v/>
      </c>
      <c r="P1412" s="28">
        <f>IF($A1412="","",IF(COUNTIFS(NOVEDADES!$D$4:$D$1503,$A1412,NOVEDADES!$O$4:$O$1503,"SÍ")&gt;0,"No","Sí"))</f>
        <v/>
      </c>
      <c r="Q1412" s="28">
        <f>IF(OR($A1412="",$L1412=""),"",IF(AND($N1412="Sí",$P1412="Sí"),"OTIF","Falló"))</f>
        <v/>
      </c>
    </row>
    <row r="1413" ht="16" customHeight="1">
      <c r="A1413" s="48" t="n"/>
      <c r="B1413" s="48" t="n"/>
      <c r="C1413" s="47" t="n"/>
      <c r="D1413" s="50" t="n"/>
      <c r="E1413" s="50" t="n"/>
      <c r="F1413" s="50" t="n"/>
      <c r="G1413" s="50" t="n"/>
      <c r="H1413" s="48" t="n"/>
      <c r="I1413" s="51" t="n"/>
      <c r="J1413" s="52" t="n"/>
      <c r="K1413" s="47" t="n"/>
      <c r="L1413" s="47" t="n"/>
      <c r="M1413" s="24">
        <f>IF(OR($A1413="",$C1413=""),"",IF($L1413&lt;&gt;"",$L1413-$C1413,TODAY()-$C1413))</f>
        <v/>
      </c>
      <c r="N1413" s="28">
        <f>IF(OR($A1413="",$K1413=""),"",IF($L1413="",IF(TODAY()&gt;$K1413,"Atrasado","En ruta"),IF($L1413&lt;=$K1413,"Sí","No")))</f>
        <v/>
      </c>
      <c r="O1413" s="24">
        <f>IF($A1413="","",COUNTIFS(NOVEDADES!$D$4:$D$1503,$A1413))</f>
        <v/>
      </c>
      <c r="P1413" s="28">
        <f>IF($A1413="","",IF(COUNTIFS(NOVEDADES!$D$4:$D$1503,$A1413,NOVEDADES!$O$4:$O$1503,"SÍ")&gt;0,"No","Sí"))</f>
        <v/>
      </c>
      <c r="Q1413" s="28">
        <f>IF(OR($A1413="",$L1413=""),"",IF(AND($N1413="Sí",$P1413="Sí"),"OTIF","Falló"))</f>
        <v/>
      </c>
    </row>
    <row r="1414" ht="16" customHeight="1">
      <c r="A1414" s="48" t="n"/>
      <c r="B1414" s="48" t="n"/>
      <c r="C1414" s="47" t="n"/>
      <c r="D1414" s="50" t="n"/>
      <c r="E1414" s="50" t="n"/>
      <c r="F1414" s="50" t="n"/>
      <c r="G1414" s="50" t="n"/>
      <c r="H1414" s="48" t="n"/>
      <c r="I1414" s="51" t="n"/>
      <c r="J1414" s="52" t="n"/>
      <c r="K1414" s="47" t="n"/>
      <c r="L1414" s="47" t="n"/>
      <c r="M1414" s="24">
        <f>IF(OR($A1414="",$C1414=""),"",IF($L1414&lt;&gt;"",$L1414-$C1414,TODAY()-$C1414))</f>
        <v/>
      </c>
      <c r="N1414" s="28">
        <f>IF(OR($A1414="",$K1414=""),"",IF($L1414="",IF(TODAY()&gt;$K1414,"Atrasado","En ruta"),IF($L1414&lt;=$K1414,"Sí","No")))</f>
        <v/>
      </c>
      <c r="O1414" s="24">
        <f>IF($A1414="","",COUNTIFS(NOVEDADES!$D$4:$D$1503,$A1414))</f>
        <v/>
      </c>
      <c r="P1414" s="28">
        <f>IF($A1414="","",IF(COUNTIFS(NOVEDADES!$D$4:$D$1503,$A1414,NOVEDADES!$O$4:$O$1503,"SÍ")&gt;0,"No","Sí"))</f>
        <v/>
      </c>
      <c r="Q1414" s="28">
        <f>IF(OR($A1414="",$L1414=""),"",IF(AND($N1414="Sí",$P1414="Sí"),"OTIF","Falló"))</f>
        <v/>
      </c>
    </row>
    <row r="1415" ht="16" customHeight="1">
      <c r="A1415" s="48" t="n"/>
      <c r="B1415" s="48" t="n"/>
      <c r="C1415" s="47" t="n"/>
      <c r="D1415" s="50" t="n"/>
      <c r="E1415" s="50" t="n"/>
      <c r="F1415" s="50" t="n"/>
      <c r="G1415" s="50" t="n"/>
      <c r="H1415" s="48" t="n"/>
      <c r="I1415" s="51" t="n"/>
      <c r="J1415" s="52" t="n"/>
      <c r="K1415" s="47" t="n"/>
      <c r="L1415" s="47" t="n"/>
      <c r="M1415" s="24">
        <f>IF(OR($A1415="",$C1415=""),"",IF($L1415&lt;&gt;"",$L1415-$C1415,TODAY()-$C1415))</f>
        <v/>
      </c>
      <c r="N1415" s="28">
        <f>IF(OR($A1415="",$K1415=""),"",IF($L1415="",IF(TODAY()&gt;$K1415,"Atrasado","En ruta"),IF($L1415&lt;=$K1415,"Sí","No")))</f>
        <v/>
      </c>
      <c r="O1415" s="24">
        <f>IF($A1415="","",COUNTIFS(NOVEDADES!$D$4:$D$1503,$A1415))</f>
        <v/>
      </c>
      <c r="P1415" s="28">
        <f>IF($A1415="","",IF(COUNTIFS(NOVEDADES!$D$4:$D$1503,$A1415,NOVEDADES!$O$4:$O$1503,"SÍ")&gt;0,"No","Sí"))</f>
        <v/>
      </c>
      <c r="Q1415" s="28">
        <f>IF(OR($A1415="",$L1415=""),"",IF(AND($N1415="Sí",$P1415="Sí"),"OTIF","Falló"))</f>
        <v/>
      </c>
    </row>
    <row r="1416" ht="16" customHeight="1">
      <c r="A1416" s="48" t="n"/>
      <c r="B1416" s="48" t="n"/>
      <c r="C1416" s="47" t="n"/>
      <c r="D1416" s="50" t="n"/>
      <c r="E1416" s="50" t="n"/>
      <c r="F1416" s="50" t="n"/>
      <c r="G1416" s="50" t="n"/>
      <c r="H1416" s="48" t="n"/>
      <c r="I1416" s="51" t="n"/>
      <c r="J1416" s="52" t="n"/>
      <c r="K1416" s="47" t="n"/>
      <c r="L1416" s="47" t="n"/>
      <c r="M1416" s="24">
        <f>IF(OR($A1416="",$C1416=""),"",IF($L1416&lt;&gt;"",$L1416-$C1416,TODAY()-$C1416))</f>
        <v/>
      </c>
      <c r="N1416" s="28">
        <f>IF(OR($A1416="",$K1416=""),"",IF($L1416="",IF(TODAY()&gt;$K1416,"Atrasado","En ruta"),IF($L1416&lt;=$K1416,"Sí","No")))</f>
        <v/>
      </c>
      <c r="O1416" s="24">
        <f>IF($A1416="","",COUNTIFS(NOVEDADES!$D$4:$D$1503,$A1416))</f>
        <v/>
      </c>
      <c r="P1416" s="28">
        <f>IF($A1416="","",IF(COUNTIFS(NOVEDADES!$D$4:$D$1503,$A1416,NOVEDADES!$O$4:$O$1503,"SÍ")&gt;0,"No","Sí"))</f>
        <v/>
      </c>
      <c r="Q1416" s="28">
        <f>IF(OR($A1416="",$L1416=""),"",IF(AND($N1416="Sí",$P1416="Sí"),"OTIF","Falló"))</f>
        <v/>
      </c>
    </row>
    <row r="1417" ht="16" customHeight="1">
      <c r="A1417" s="48" t="n"/>
      <c r="B1417" s="48" t="n"/>
      <c r="C1417" s="47" t="n"/>
      <c r="D1417" s="50" t="n"/>
      <c r="E1417" s="50" t="n"/>
      <c r="F1417" s="50" t="n"/>
      <c r="G1417" s="50" t="n"/>
      <c r="H1417" s="48" t="n"/>
      <c r="I1417" s="51" t="n"/>
      <c r="J1417" s="52" t="n"/>
      <c r="K1417" s="47" t="n"/>
      <c r="L1417" s="47" t="n"/>
      <c r="M1417" s="24">
        <f>IF(OR($A1417="",$C1417=""),"",IF($L1417&lt;&gt;"",$L1417-$C1417,TODAY()-$C1417))</f>
        <v/>
      </c>
      <c r="N1417" s="28">
        <f>IF(OR($A1417="",$K1417=""),"",IF($L1417="",IF(TODAY()&gt;$K1417,"Atrasado","En ruta"),IF($L1417&lt;=$K1417,"Sí","No")))</f>
        <v/>
      </c>
      <c r="O1417" s="24">
        <f>IF($A1417="","",COUNTIFS(NOVEDADES!$D$4:$D$1503,$A1417))</f>
        <v/>
      </c>
      <c r="P1417" s="28">
        <f>IF($A1417="","",IF(COUNTIFS(NOVEDADES!$D$4:$D$1503,$A1417,NOVEDADES!$O$4:$O$1503,"SÍ")&gt;0,"No","Sí"))</f>
        <v/>
      </c>
      <c r="Q1417" s="28">
        <f>IF(OR($A1417="",$L1417=""),"",IF(AND($N1417="Sí",$P1417="Sí"),"OTIF","Falló"))</f>
        <v/>
      </c>
    </row>
    <row r="1418" ht="16" customHeight="1">
      <c r="A1418" s="48" t="n"/>
      <c r="B1418" s="48" t="n"/>
      <c r="C1418" s="47" t="n"/>
      <c r="D1418" s="50" t="n"/>
      <c r="E1418" s="50" t="n"/>
      <c r="F1418" s="50" t="n"/>
      <c r="G1418" s="50" t="n"/>
      <c r="H1418" s="48" t="n"/>
      <c r="I1418" s="51" t="n"/>
      <c r="J1418" s="52" t="n"/>
      <c r="K1418" s="47" t="n"/>
      <c r="L1418" s="47" t="n"/>
      <c r="M1418" s="24">
        <f>IF(OR($A1418="",$C1418=""),"",IF($L1418&lt;&gt;"",$L1418-$C1418,TODAY()-$C1418))</f>
        <v/>
      </c>
      <c r="N1418" s="28">
        <f>IF(OR($A1418="",$K1418=""),"",IF($L1418="",IF(TODAY()&gt;$K1418,"Atrasado","En ruta"),IF($L1418&lt;=$K1418,"Sí","No")))</f>
        <v/>
      </c>
      <c r="O1418" s="24">
        <f>IF($A1418="","",COUNTIFS(NOVEDADES!$D$4:$D$1503,$A1418))</f>
        <v/>
      </c>
      <c r="P1418" s="28">
        <f>IF($A1418="","",IF(COUNTIFS(NOVEDADES!$D$4:$D$1503,$A1418,NOVEDADES!$O$4:$O$1503,"SÍ")&gt;0,"No","Sí"))</f>
        <v/>
      </c>
      <c r="Q1418" s="28">
        <f>IF(OR($A1418="",$L1418=""),"",IF(AND($N1418="Sí",$P1418="Sí"),"OTIF","Falló"))</f>
        <v/>
      </c>
    </row>
    <row r="1419" ht="16" customHeight="1">
      <c r="A1419" s="48" t="n"/>
      <c r="B1419" s="48" t="n"/>
      <c r="C1419" s="47" t="n"/>
      <c r="D1419" s="50" t="n"/>
      <c r="E1419" s="50" t="n"/>
      <c r="F1419" s="50" t="n"/>
      <c r="G1419" s="50" t="n"/>
      <c r="H1419" s="48" t="n"/>
      <c r="I1419" s="51" t="n"/>
      <c r="J1419" s="52" t="n"/>
      <c r="K1419" s="47" t="n"/>
      <c r="L1419" s="47" t="n"/>
      <c r="M1419" s="24">
        <f>IF(OR($A1419="",$C1419=""),"",IF($L1419&lt;&gt;"",$L1419-$C1419,TODAY()-$C1419))</f>
        <v/>
      </c>
      <c r="N1419" s="28">
        <f>IF(OR($A1419="",$K1419=""),"",IF($L1419="",IF(TODAY()&gt;$K1419,"Atrasado","En ruta"),IF($L1419&lt;=$K1419,"Sí","No")))</f>
        <v/>
      </c>
      <c r="O1419" s="24">
        <f>IF($A1419="","",COUNTIFS(NOVEDADES!$D$4:$D$1503,$A1419))</f>
        <v/>
      </c>
      <c r="P1419" s="28">
        <f>IF($A1419="","",IF(COUNTIFS(NOVEDADES!$D$4:$D$1503,$A1419,NOVEDADES!$O$4:$O$1503,"SÍ")&gt;0,"No","Sí"))</f>
        <v/>
      </c>
      <c r="Q1419" s="28">
        <f>IF(OR($A1419="",$L1419=""),"",IF(AND($N1419="Sí",$P1419="Sí"),"OTIF","Falló"))</f>
        <v/>
      </c>
    </row>
    <row r="1420" ht="16" customHeight="1">
      <c r="A1420" s="48" t="n"/>
      <c r="B1420" s="48" t="n"/>
      <c r="C1420" s="47" t="n"/>
      <c r="D1420" s="50" t="n"/>
      <c r="E1420" s="50" t="n"/>
      <c r="F1420" s="50" t="n"/>
      <c r="G1420" s="50" t="n"/>
      <c r="H1420" s="48" t="n"/>
      <c r="I1420" s="51" t="n"/>
      <c r="J1420" s="52" t="n"/>
      <c r="K1420" s="47" t="n"/>
      <c r="L1420" s="47" t="n"/>
      <c r="M1420" s="24">
        <f>IF(OR($A1420="",$C1420=""),"",IF($L1420&lt;&gt;"",$L1420-$C1420,TODAY()-$C1420))</f>
        <v/>
      </c>
      <c r="N1420" s="28">
        <f>IF(OR($A1420="",$K1420=""),"",IF($L1420="",IF(TODAY()&gt;$K1420,"Atrasado","En ruta"),IF($L1420&lt;=$K1420,"Sí","No")))</f>
        <v/>
      </c>
      <c r="O1420" s="24">
        <f>IF($A1420="","",COUNTIFS(NOVEDADES!$D$4:$D$1503,$A1420))</f>
        <v/>
      </c>
      <c r="P1420" s="28">
        <f>IF($A1420="","",IF(COUNTIFS(NOVEDADES!$D$4:$D$1503,$A1420,NOVEDADES!$O$4:$O$1503,"SÍ")&gt;0,"No","Sí"))</f>
        <v/>
      </c>
      <c r="Q1420" s="28">
        <f>IF(OR($A1420="",$L1420=""),"",IF(AND($N1420="Sí",$P1420="Sí"),"OTIF","Falló"))</f>
        <v/>
      </c>
    </row>
    <row r="1421" ht="16" customHeight="1">
      <c r="A1421" s="48" t="n"/>
      <c r="B1421" s="48" t="n"/>
      <c r="C1421" s="47" t="n"/>
      <c r="D1421" s="50" t="n"/>
      <c r="E1421" s="50" t="n"/>
      <c r="F1421" s="50" t="n"/>
      <c r="G1421" s="50" t="n"/>
      <c r="H1421" s="48" t="n"/>
      <c r="I1421" s="51" t="n"/>
      <c r="J1421" s="52" t="n"/>
      <c r="K1421" s="47" t="n"/>
      <c r="L1421" s="47" t="n"/>
      <c r="M1421" s="24">
        <f>IF(OR($A1421="",$C1421=""),"",IF($L1421&lt;&gt;"",$L1421-$C1421,TODAY()-$C1421))</f>
        <v/>
      </c>
      <c r="N1421" s="28">
        <f>IF(OR($A1421="",$K1421=""),"",IF($L1421="",IF(TODAY()&gt;$K1421,"Atrasado","En ruta"),IF($L1421&lt;=$K1421,"Sí","No")))</f>
        <v/>
      </c>
      <c r="O1421" s="24">
        <f>IF($A1421="","",COUNTIFS(NOVEDADES!$D$4:$D$1503,$A1421))</f>
        <v/>
      </c>
      <c r="P1421" s="28">
        <f>IF($A1421="","",IF(COUNTIFS(NOVEDADES!$D$4:$D$1503,$A1421,NOVEDADES!$O$4:$O$1503,"SÍ")&gt;0,"No","Sí"))</f>
        <v/>
      </c>
      <c r="Q1421" s="28">
        <f>IF(OR($A1421="",$L1421=""),"",IF(AND($N1421="Sí",$P1421="Sí"),"OTIF","Falló"))</f>
        <v/>
      </c>
    </row>
    <row r="1422" ht="16" customHeight="1">
      <c r="A1422" s="48" t="n"/>
      <c r="B1422" s="48" t="n"/>
      <c r="C1422" s="47" t="n"/>
      <c r="D1422" s="50" t="n"/>
      <c r="E1422" s="50" t="n"/>
      <c r="F1422" s="50" t="n"/>
      <c r="G1422" s="50" t="n"/>
      <c r="H1422" s="48" t="n"/>
      <c r="I1422" s="51" t="n"/>
      <c r="J1422" s="52" t="n"/>
      <c r="K1422" s="47" t="n"/>
      <c r="L1422" s="47" t="n"/>
      <c r="M1422" s="24">
        <f>IF(OR($A1422="",$C1422=""),"",IF($L1422&lt;&gt;"",$L1422-$C1422,TODAY()-$C1422))</f>
        <v/>
      </c>
      <c r="N1422" s="28">
        <f>IF(OR($A1422="",$K1422=""),"",IF($L1422="",IF(TODAY()&gt;$K1422,"Atrasado","En ruta"),IF($L1422&lt;=$K1422,"Sí","No")))</f>
        <v/>
      </c>
      <c r="O1422" s="24">
        <f>IF($A1422="","",COUNTIFS(NOVEDADES!$D$4:$D$1503,$A1422))</f>
        <v/>
      </c>
      <c r="P1422" s="28">
        <f>IF($A1422="","",IF(COUNTIFS(NOVEDADES!$D$4:$D$1503,$A1422,NOVEDADES!$O$4:$O$1503,"SÍ")&gt;0,"No","Sí"))</f>
        <v/>
      </c>
      <c r="Q1422" s="28">
        <f>IF(OR($A1422="",$L1422=""),"",IF(AND($N1422="Sí",$P1422="Sí"),"OTIF","Falló"))</f>
        <v/>
      </c>
    </row>
    <row r="1423" ht="16" customHeight="1">
      <c r="A1423" s="48" t="n"/>
      <c r="B1423" s="48" t="n"/>
      <c r="C1423" s="47" t="n"/>
      <c r="D1423" s="50" t="n"/>
      <c r="E1423" s="50" t="n"/>
      <c r="F1423" s="50" t="n"/>
      <c r="G1423" s="50" t="n"/>
      <c r="H1423" s="48" t="n"/>
      <c r="I1423" s="51" t="n"/>
      <c r="J1423" s="52" t="n"/>
      <c r="K1423" s="47" t="n"/>
      <c r="L1423" s="47" t="n"/>
      <c r="M1423" s="24">
        <f>IF(OR($A1423="",$C1423=""),"",IF($L1423&lt;&gt;"",$L1423-$C1423,TODAY()-$C1423))</f>
        <v/>
      </c>
      <c r="N1423" s="28">
        <f>IF(OR($A1423="",$K1423=""),"",IF($L1423="",IF(TODAY()&gt;$K1423,"Atrasado","En ruta"),IF($L1423&lt;=$K1423,"Sí","No")))</f>
        <v/>
      </c>
      <c r="O1423" s="24">
        <f>IF($A1423="","",COUNTIFS(NOVEDADES!$D$4:$D$1503,$A1423))</f>
        <v/>
      </c>
      <c r="P1423" s="28">
        <f>IF($A1423="","",IF(COUNTIFS(NOVEDADES!$D$4:$D$1503,$A1423,NOVEDADES!$O$4:$O$1503,"SÍ")&gt;0,"No","Sí"))</f>
        <v/>
      </c>
      <c r="Q1423" s="28">
        <f>IF(OR($A1423="",$L1423=""),"",IF(AND($N1423="Sí",$P1423="Sí"),"OTIF","Falló"))</f>
        <v/>
      </c>
    </row>
    <row r="1424" ht="16" customHeight="1">
      <c r="A1424" s="48" t="n"/>
      <c r="B1424" s="48" t="n"/>
      <c r="C1424" s="47" t="n"/>
      <c r="D1424" s="50" t="n"/>
      <c r="E1424" s="50" t="n"/>
      <c r="F1424" s="50" t="n"/>
      <c r="G1424" s="50" t="n"/>
      <c r="H1424" s="48" t="n"/>
      <c r="I1424" s="51" t="n"/>
      <c r="J1424" s="52" t="n"/>
      <c r="K1424" s="47" t="n"/>
      <c r="L1424" s="47" t="n"/>
      <c r="M1424" s="24">
        <f>IF(OR($A1424="",$C1424=""),"",IF($L1424&lt;&gt;"",$L1424-$C1424,TODAY()-$C1424))</f>
        <v/>
      </c>
      <c r="N1424" s="28">
        <f>IF(OR($A1424="",$K1424=""),"",IF($L1424="",IF(TODAY()&gt;$K1424,"Atrasado","En ruta"),IF($L1424&lt;=$K1424,"Sí","No")))</f>
        <v/>
      </c>
      <c r="O1424" s="24">
        <f>IF($A1424="","",COUNTIFS(NOVEDADES!$D$4:$D$1503,$A1424))</f>
        <v/>
      </c>
      <c r="P1424" s="28">
        <f>IF($A1424="","",IF(COUNTIFS(NOVEDADES!$D$4:$D$1503,$A1424,NOVEDADES!$O$4:$O$1503,"SÍ")&gt;0,"No","Sí"))</f>
        <v/>
      </c>
      <c r="Q1424" s="28">
        <f>IF(OR($A1424="",$L1424=""),"",IF(AND($N1424="Sí",$P1424="Sí"),"OTIF","Falló"))</f>
        <v/>
      </c>
    </row>
    <row r="1425" ht="16" customHeight="1">
      <c r="A1425" s="48" t="n"/>
      <c r="B1425" s="48" t="n"/>
      <c r="C1425" s="47" t="n"/>
      <c r="D1425" s="50" t="n"/>
      <c r="E1425" s="50" t="n"/>
      <c r="F1425" s="50" t="n"/>
      <c r="G1425" s="50" t="n"/>
      <c r="H1425" s="48" t="n"/>
      <c r="I1425" s="51" t="n"/>
      <c r="J1425" s="52" t="n"/>
      <c r="K1425" s="47" t="n"/>
      <c r="L1425" s="47" t="n"/>
      <c r="M1425" s="24">
        <f>IF(OR($A1425="",$C1425=""),"",IF($L1425&lt;&gt;"",$L1425-$C1425,TODAY()-$C1425))</f>
        <v/>
      </c>
      <c r="N1425" s="28">
        <f>IF(OR($A1425="",$K1425=""),"",IF($L1425="",IF(TODAY()&gt;$K1425,"Atrasado","En ruta"),IF($L1425&lt;=$K1425,"Sí","No")))</f>
        <v/>
      </c>
      <c r="O1425" s="24">
        <f>IF($A1425="","",COUNTIFS(NOVEDADES!$D$4:$D$1503,$A1425))</f>
        <v/>
      </c>
      <c r="P1425" s="28">
        <f>IF($A1425="","",IF(COUNTIFS(NOVEDADES!$D$4:$D$1503,$A1425,NOVEDADES!$O$4:$O$1503,"SÍ")&gt;0,"No","Sí"))</f>
        <v/>
      </c>
      <c r="Q1425" s="28">
        <f>IF(OR($A1425="",$L1425=""),"",IF(AND($N1425="Sí",$P1425="Sí"),"OTIF","Falló"))</f>
        <v/>
      </c>
    </row>
    <row r="1426" ht="16" customHeight="1">
      <c r="A1426" s="48" t="n"/>
      <c r="B1426" s="48" t="n"/>
      <c r="C1426" s="47" t="n"/>
      <c r="D1426" s="50" t="n"/>
      <c r="E1426" s="50" t="n"/>
      <c r="F1426" s="50" t="n"/>
      <c r="G1426" s="50" t="n"/>
      <c r="H1426" s="48" t="n"/>
      <c r="I1426" s="51" t="n"/>
      <c r="J1426" s="52" t="n"/>
      <c r="K1426" s="47" t="n"/>
      <c r="L1426" s="47" t="n"/>
      <c r="M1426" s="24">
        <f>IF(OR($A1426="",$C1426=""),"",IF($L1426&lt;&gt;"",$L1426-$C1426,TODAY()-$C1426))</f>
        <v/>
      </c>
      <c r="N1426" s="28">
        <f>IF(OR($A1426="",$K1426=""),"",IF($L1426="",IF(TODAY()&gt;$K1426,"Atrasado","En ruta"),IF($L1426&lt;=$K1426,"Sí","No")))</f>
        <v/>
      </c>
      <c r="O1426" s="24">
        <f>IF($A1426="","",COUNTIFS(NOVEDADES!$D$4:$D$1503,$A1426))</f>
        <v/>
      </c>
      <c r="P1426" s="28">
        <f>IF($A1426="","",IF(COUNTIFS(NOVEDADES!$D$4:$D$1503,$A1426,NOVEDADES!$O$4:$O$1503,"SÍ")&gt;0,"No","Sí"))</f>
        <v/>
      </c>
      <c r="Q1426" s="28">
        <f>IF(OR($A1426="",$L1426=""),"",IF(AND($N1426="Sí",$P1426="Sí"),"OTIF","Falló"))</f>
        <v/>
      </c>
    </row>
    <row r="1427" ht="16" customHeight="1">
      <c r="A1427" s="48" t="n"/>
      <c r="B1427" s="48" t="n"/>
      <c r="C1427" s="47" t="n"/>
      <c r="D1427" s="50" t="n"/>
      <c r="E1427" s="50" t="n"/>
      <c r="F1427" s="50" t="n"/>
      <c r="G1427" s="50" t="n"/>
      <c r="H1427" s="48" t="n"/>
      <c r="I1427" s="51" t="n"/>
      <c r="J1427" s="52" t="n"/>
      <c r="K1427" s="47" t="n"/>
      <c r="L1427" s="47" t="n"/>
      <c r="M1427" s="24">
        <f>IF(OR($A1427="",$C1427=""),"",IF($L1427&lt;&gt;"",$L1427-$C1427,TODAY()-$C1427))</f>
        <v/>
      </c>
      <c r="N1427" s="28">
        <f>IF(OR($A1427="",$K1427=""),"",IF($L1427="",IF(TODAY()&gt;$K1427,"Atrasado","En ruta"),IF($L1427&lt;=$K1427,"Sí","No")))</f>
        <v/>
      </c>
      <c r="O1427" s="24">
        <f>IF($A1427="","",COUNTIFS(NOVEDADES!$D$4:$D$1503,$A1427))</f>
        <v/>
      </c>
      <c r="P1427" s="28">
        <f>IF($A1427="","",IF(COUNTIFS(NOVEDADES!$D$4:$D$1503,$A1427,NOVEDADES!$O$4:$O$1503,"SÍ")&gt;0,"No","Sí"))</f>
        <v/>
      </c>
      <c r="Q1427" s="28">
        <f>IF(OR($A1427="",$L1427=""),"",IF(AND($N1427="Sí",$P1427="Sí"),"OTIF","Falló"))</f>
        <v/>
      </c>
    </row>
    <row r="1428" ht="16" customHeight="1">
      <c r="A1428" s="48" t="n"/>
      <c r="B1428" s="48" t="n"/>
      <c r="C1428" s="47" t="n"/>
      <c r="D1428" s="50" t="n"/>
      <c r="E1428" s="50" t="n"/>
      <c r="F1428" s="50" t="n"/>
      <c r="G1428" s="50" t="n"/>
      <c r="H1428" s="48" t="n"/>
      <c r="I1428" s="51" t="n"/>
      <c r="J1428" s="52" t="n"/>
      <c r="K1428" s="47" t="n"/>
      <c r="L1428" s="47" t="n"/>
      <c r="M1428" s="24">
        <f>IF(OR($A1428="",$C1428=""),"",IF($L1428&lt;&gt;"",$L1428-$C1428,TODAY()-$C1428))</f>
        <v/>
      </c>
      <c r="N1428" s="28">
        <f>IF(OR($A1428="",$K1428=""),"",IF($L1428="",IF(TODAY()&gt;$K1428,"Atrasado","En ruta"),IF($L1428&lt;=$K1428,"Sí","No")))</f>
        <v/>
      </c>
      <c r="O1428" s="24">
        <f>IF($A1428="","",COUNTIFS(NOVEDADES!$D$4:$D$1503,$A1428))</f>
        <v/>
      </c>
      <c r="P1428" s="28">
        <f>IF($A1428="","",IF(COUNTIFS(NOVEDADES!$D$4:$D$1503,$A1428,NOVEDADES!$O$4:$O$1503,"SÍ")&gt;0,"No","Sí"))</f>
        <v/>
      </c>
      <c r="Q1428" s="28">
        <f>IF(OR($A1428="",$L1428=""),"",IF(AND($N1428="Sí",$P1428="Sí"),"OTIF","Falló"))</f>
        <v/>
      </c>
    </row>
    <row r="1429" ht="16" customHeight="1">
      <c r="A1429" s="48" t="n"/>
      <c r="B1429" s="48" t="n"/>
      <c r="C1429" s="47" t="n"/>
      <c r="D1429" s="50" t="n"/>
      <c r="E1429" s="50" t="n"/>
      <c r="F1429" s="50" t="n"/>
      <c r="G1429" s="50" t="n"/>
      <c r="H1429" s="48" t="n"/>
      <c r="I1429" s="51" t="n"/>
      <c r="J1429" s="52" t="n"/>
      <c r="K1429" s="47" t="n"/>
      <c r="L1429" s="47" t="n"/>
      <c r="M1429" s="24">
        <f>IF(OR($A1429="",$C1429=""),"",IF($L1429&lt;&gt;"",$L1429-$C1429,TODAY()-$C1429))</f>
        <v/>
      </c>
      <c r="N1429" s="28">
        <f>IF(OR($A1429="",$K1429=""),"",IF($L1429="",IF(TODAY()&gt;$K1429,"Atrasado","En ruta"),IF($L1429&lt;=$K1429,"Sí","No")))</f>
        <v/>
      </c>
      <c r="O1429" s="24">
        <f>IF($A1429="","",COUNTIFS(NOVEDADES!$D$4:$D$1503,$A1429))</f>
        <v/>
      </c>
      <c r="P1429" s="28">
        <f>IF($A1429="","",IF(COUNTIFS(NOVEDADES!$D$4:$D$1503,$A1429,NOVEDADES!$O$4:$O$1503,"SÍ")&gt;0,"No","Sí"))</f>
        <v/>
      </c>
      <c r="Q1429" s="28">
        <f>IF(OR($A1429="",$L1429=""),"",IF(AND($N1429="Sí",$P1429="Sí"),"OTIF","Falló"))</f>
        <v/>
      </c>
    </row>
    <row r="1430" ht="16" customHeight="1">
      <c r="A1430" s="48" t="n"/>
      <c r="B1430" s="48" t="n"/>
      <c r="C1430" s="47" t="n"/>
      <c r="D1430" s="50" t="n"/>
      <c r="E1430" s="50" t="n"/>
      <c r="F1430" s="50" t="n"/>
      <c r="G1430" s="50" t="n"/>
      <c r="H1430" s="48" t="n"/>
      <c r="I1430" s="51" t="n"/>
      <c r="J1430" s="52" t="n"/>
      <c r="K1430" s="47" t="n"/>
      <c r="L1430" s="47" t="n"/>
      <c r="M1430" s="24">
        <f>IF(OR($A1430="",$C1430=""),"",IF($L1430&lt;&gt;"",$L1430-$C1430,TODAY()-$C1430))</f>
        <v/>
      </c>
      <c r="N1430" s="28">
        <f>IF(OR($A1430="",$K1430=""),"",IF($L1430="",IF(TODAY()&gt;$K1430,"Atrasado","En ruta"),IF($L1430&lt;=$K1430,"Sí","No")))</f>
        <v/>
      </c>
      <c r="O1430" s="24">
        <f>IF($A1430="","",COUNTIFS(NOVEDADES!$D$4:$D$1503,$A1430))</f>
        <v/>
      </c>
      <c r="P1430" s="28">
        <f>IF($A1430="","",IF(COUNTIFS(NOVEDADES!$D$4:$D$1503,$A1430,NOVEDADES!$O$4:$O$1503,"SÍ")&gt;0,"No","Sí"))</f>
        <v/>
      </c>
      <c r="Q1430" s="28">
        <f>IF(OR($A1430="",$L1430=""),"",IF(AND($N1430="Sí",$P1430="Sí"),"OTIF","Falló"))</f>
        <v/>
      </c>
    </row>
    <row r="1431" ht="16" customHeight="1">
      <c r="A1431" s="48" t="n"/>
      <c r="B1431" s="48" t="n"/>
      <c r="C1431" s="47" t="n"/>
      <c r="D1431" s="50" t="n"/>
      <c r="E1431" s="50" t="n"/>
      <c r="F1431" s="50" t="n"/>
      <c r="G1431" s="50" t="n"/>
      <c r="H1431" s="48" t="n"/>
      <c r="I1431" s="51" t="n"/>
      <c r="J1431" s="52" t="n"/>
      <c r="K1431" s="47" t="n"/>
      <c r="L1431" s="47" t="n"/>
      <c r="M1431" s="24">
        <f>IF(OR($A1431="",$C1431=""),"",IF($L1431&lt;&gt;"",$L1431-$C1431,TODAY()-$C1431))</f>
        <v/>
      </c>
      <c r="N1431" s="28">
        <f>IF(OR($A1431="",$K1431=""),"",IF($L1431="",IF(TODAY()&gt;$K1431,"Atrasado","En ruta"),IF($L1431&lt;=$K1431,"Sí","No")))</f>
        <v/>
      </c>
      <c r="O1431" s="24">
        <f>IF($A1431="","",COUNTIFS(NOVEDADES!$D$4:$D$1503,$A1431))</f>
        <v/>
      </c>
      <c r="P1431" s="28">
        <f>IF($A1431="","",IF(COUNTIFS(NOVEDADES!$D$4:$D$1503,$A1431,NOVEDADES!$O$4:$O$1503,"SÍ")&gt;0,"No","Sí"))</f>
        <v/>
      </c>
      <c r="Q1431" s="28">
        <f>IF(OR($A1431="",$L1431=""),"",IF(AND($N1431="Sí",$P1431="Sí"),"OTIF","Falló"))</f>
        <v/>
      </c>
    </row>
    <row r="1432" ht="16" customHeight="1">
      <c r="A1432" s="48" t="n"/>
      <c r="B1432" s="48" t="n"/>
      <c r="C1432" s="47" t="n"/>
      <c r="D1432" s="50" t="n"/>
      <c r="E1432" s="50" t="n"/>
      <c r="F1432" s="50" t="n"/>
      <c r="G1432" s="50" t="n"/>
      <c r="H1432" s="48" t="n"/>
      <c r="I1432" s="51" t="n"/>
      <c r="J1432" s="52" t="n"/>
      <c r="K1432" s="47" t="n"/>
      <c r="L1432" s="47" t="n"/>
      <c r="M1432" s="24">
        <f>IF(OR($A1432="",$C1432=""),"",IF($L1432&lt;&gt;"",$L1432-$C1432,TODAY()-$C1432))</f>
        <v/>
      </c>
      <c r="N1432" s="28">
        <f>IF(OR($A1432="",$K1432=""),"",IF($L1432="",IF(TODAY()&gt;$K1432,"Atrasado","En ruta"),IF($L1432&lt;=$K1432,"Sí","No")))</f>
        <v/>
      </c>
      <c r="O1432" s="24">
        <f>IF($A1432="","",COUNTIFS(NOVEDADES!$D$4:$D$1503,$A1432))</f>
        <v/>
      </c>
      <c r="P1432" s="28">
        <f>IF($A1432="","",IF(COUNTIFS(NOVEDADES!$D$4:$D$1503,$A1432,NOVEDADES!$O$4:$O$1503,"SÍ")&gt;0,"No","Sí"))</f>
        <v/>
      </c>
      <c r="Q1432" s="28">
        <f>IF(OR($A1432="",$L1432=""),"",IF(AND($N1432="Sí",$P1432="Sí"),"OTIF","Falló"))</f>
        <v/>
      </c>
    </row>
    <row r="1433" ht="16" customHeight="1">
      <c r="A1433" s="48" t="n"/>
      <c r="B1433" s="48" t="n"/>
      <c r="C1433" s="47" t="n"/>
      <c r="D1433" s="50" t="n"/>
      <c r="E1433" s="50" t="n"/>
      <c r="F1433" s="50" t="n"/>
      <c r="G1433" s="50" t="n"/>
      <c r="H1433" s="48" t="n"/>
      <c r="I1433" s="51" t="n"/>
      <c r="J1433" s="52" t="n"/>
      <c r="K1433" s="47" t="n"/>
      <c r="L1433" s="47" t="n"/>
      <c r="M1433" s="24">
        <f>IF(OR($A1433="",$C1433=""),"",IF($L1433&lt;&gt;"",$L1433-$C1433,TODAY()-$C1433))</f>
        <v/>
      </c>
      <c r="N1433" s="28">
        <f>IF(OR($A1433="",$K1433=""),"",IF($L1433="",IF(TODAY()&gt;$K1433,"Atrasado","En ruta"),IF($L1433&lt;=$K1433,"Sí","No")))</f>
        <v/>
      </c>
      <c r="O1433" s="24">
        <f>IF($A1433="","",COUNTIFS(NOVEDADES!$D$4:$D$1503,$A1433))</f>
        <v/>
      </c>
      <c r="P1433" s="28">
        <f>IF($A1433="","",IF(COUNTIFS(NOVEDADES!$D$4:$D$1503,$A1433,NOVEDADES!$O$4:$O$1503,"SÍ")&gt;0,"No","Sí"))</f>
        <v/>
      </c>
      <c r="Q1433" s="28">
        <f>IF(OR($A1433="",$L1433=""),"",IF(AND($N1433="Sí",$P1433="Sí"),"OTIF","Falló"))</f>
        <v/>
      </c>
    </row>
    <row r="1434" ht="16" customHeight="1">
      <c r="A1434" s="48" t="n"/>
      <c r="B1434" s="48" t="n"/>
      <c r="C1434" s="47" t="n"/>
      <c r="D1434" s="50" t="n"/>
      <c r="E1434" s="50" t="n"/>
      <c r="F1434" s="50" t="n"/>
      <c r="G1434" s="50" t="n"/>
      <c r="H1434" s="48" t="n"/>
      <c r="I1434" s="51" t="n"/>
      <c r="J1434" s="52" t="n"/>
      <c r="K1434" s="47" t="n"/>
      <c r="L1434" s="47" t="n"/>
      <c r="M1434" s="24">
        <f>IF(OR($A1434="",$C1434=""),"",IF($L1434&lt;&gt;"",$L1434-$C1434,TODAY()-$C1434))</f>
        <v/>
      </c>
      <c r="N1434" s="28">
        <f>IF(OR($A1434="",$K1434=""),"",IF($L1434="",IF(TODAY()&gt;$K1434,"Atrasado","En ruta"),IF($L1434&lt;=$K1434,"Sí","No")))</f>
        <v/>
      </c>
      <c r="O1434" s="24">
        <f>IF($A1434="","",COUNTIFS(NOVEDADES!$D$4:$D$1503,$A1434))</f>
        <v/>
      </c>
      <c r="P1434" s="28">
        <f>IF($A1434="","",IF(COUNTIFS(NOVEDADES!$D$4:$D$1503,$A1434,NOVEDADES!$O$4:$O$1503,"SÍ")&gt;0,"No","Sí"))</f>
        <v/>
      </c>
      <c r="Q1434" s="28">
        <f>IF(OR($A1434="",$L1434=""),"",IF(AND($N1434="Sí",$P1434="Sí"),"OTIF","Falló"))</f>
        <v/>
      </c>
    </row>
    <row r="1435" ht="16" customHeight="1">
      <c r="A1435" s="48" t="n"/>
      <c r="B1435" s="48" t="n"/>
      <c r="C1435" s="47" t="n"/>
      <c r="D1435" s="50" t="n"/>
      <c r="E1435" s="50" t="n"/>
      <c r="F1435" s="50" t="n"/>
      <c r="G1435" s="50" t="n"/>
      <c r="H1435" s="48" t="n"/>
      <c r="I1435" s="51" t="n"/>
      <c r="J1435" s="52" t="n"/>
      <c r="K1435" s="47" t="n"/>
      <c r="L1435" s="47" t="n"/>
      <c r="M1435" s="24">
        <f>IF(OR($A1435="",$C1435=""),"",IF($L1435&lt;&gt;"",$L1435-$C1435,TODAY()-$C1435))</f>
        <v/>
      </c>
      <c r="N1435" s="28">
        <f>IF(OR($A1435="",$K1435=""),"",IF($L1435="",IF(TODAY()&gt;$K1435,"Atrasado","En ruta"),IF($L1435&lt;=$K1435,"Sí","No")))</f>
        <v/>
      </c>
      <c r="O1435" s="24">
        <f>IF($A1435="","",COUNTIFS(NOVEDADES!$D$4:$D$1503,$A1435))</f>
        <v/>
      </c>
      <c r="P1435" s="28">
        <f>IF($A1435="","",IF(COUNTIFS(NOVEDADES!$D$4:$D$1503,$A1435,NOVEDADES!$O$4:$O$1503,"SÍ")&gt;0,"No","Sí"))</f>
        <v/>
      </c>
      <c r="Q1435" s="28">
        <f>IF(OR($A1435="",$L1435=""),"",IF(AND($N1435="Sí",$P1435="Sí"),"OTIF","Falló"))</f>
        <v/>
      </c>
    </row>
    <row r="1436" ht="16" customHeight="1">
      <c r="A1436" s="48" t="n"/>
      <c r="B1436" s="48" t="n"/>
      <c r="C1436" s="47" t="n"/>
      <c r="D1436" s="50" t="n"/>
      <c r="E1436" s="50" t="n"/>
      <c r="F1436" s="50" t="n"/>
      <c r="G1436" s="50" t="n"/>
      <c r="H1436" s="48" t="n"/>
      <c r="I1436" s="51" t="n"/>
      <c r="J1436" s="52" t="n"/>
      <c r="K1436" s="47" t="n"/>
      <c r="L1436" s="47" t="n"/>
      <c r="M1436" s="24">
        <f>IF(OR($A1436="",$C1436=""),"",IF($L1436&lt;&gt;"",$L1436-$C1436,TODAY()-$C1436))</f>
        <v/>
      </c>
      <c r="N1436" s="28">
        <f>IF(OR($A1436="",$K1436=""),"",IF($L1436="",IF(TODAY()&gt;$K1436,"Atrasado","En ruta"),IF($L1436&lt;=$K1436,"Sí","No")))</f>
        <v/>
      </c>
      <c r="O1436" s="24">
        <f>IF($A1436="","",COUNTIFS(NOVEDADES!$D$4:$D$1503,$A1436))</f>
        <v/>
      </c>
      <c r="P1436" s="28">
        <f>IF($A1436="","",IF(COUNTIFS(NOVEDADES!$D$4:$D$1503,$A1436,NOVEDADES!$O$4:$O$1503,"SÍ")&gt;0,"No","Sí"))</f>
        <v/>
      </c>
      <c r="Q1436" s="28">
        <f>IF(OR($A1436="",$L1436=""),"",IF(AND($N1436="Sí",$P1436="Sí"),"OTIF","Falló"))</f>
        <v/>
      </c>
    </row>
    <row r="1437" ht="16" customHeight="1">
      <c r="A1437" s="48" t="n"/>
      <c r="B1437" s="48" t="n"/>
      <c r="C1437" s="47" t="n"/>
      <c r="D1437" s="50" t="n"/>
      <c r="E1437" s="50" t="n"/>
      <c r="F1437" s="50" t="n"/>
      <c r="G1437" s="50" t="n"/>
      <c r="H1437" s="48" t="n"/>
      <c r="I1437" s="51" t="n"/>
      <c r="J1437" s="52" t="n"/>
      <c r="K1437" s="47" t="n"/>
      <c r="L1437" s="47" t="n"/>
      <c r="M1437" s="24">
        <f>IF(OR($A1437="",$C1437=""),"",IF($L1437&lt;&gt;"",$L1437-$C1437,TODAY()-$C1437))</f>
        <v/>
      </c>
      <c r="N1437" s="28">
        <f>IF(OR($A1437="",$K1437=""),"",IF($L1437="",IF(TODAY()&gt;$K1437,"Atrasado","En ruta"),IF($L1437&lt;=$K1437,"Sí","No")))</f>
        <v/>
      </c>
      <c r="O1437" s="24">
        <f>IF($A1437="","",COUNTIFS(NOVEDADES!$D$4:$D$1503,$A1437))</f>
        <v/>
      </c>
      <c r="P1437" s="28">
        <f>IF($A1437="","",IF(COUNTIFS(NOVEDADES!$D$4:$D$1503,$A1437,NOVEDADES!$O$4:$O$1503,"SÍ")&gt;0,"No","Sí"))</f>
        <v/>
      </c>
      <c r="Q1437" s="28">
        <f>IF(OR($A1437="",$L1437=""),"",IF(AND($N1437="Sí",$P1437="Sí"),"OTIF","Falló"))</f>
        <v/>
      </c>
    </row>
    <row r="1438" ht="16" customHeight="1">
      <c r="A1438" s="48" t="n"/>
      <c r="B1438" s="48" t="n"/>
      <c r="C1438" s="47" t="n"/>
      <c r="D1438" s="50" t="n"/>
      <c r="E1438" s="50" t="n"/>
      <c r="F1438" s="50" t="n"/>
      <c r="G1438" s="50" t="n"/>
      <c r="H1438" s="48" t="n"/>
      <c r="I1438" s="51" t="n"/>
      <c r="J1438" s="52" t="n"/>
      <c r="K1438" s="47" t="n"/>
      <c r="L1438" s="47" t="n"/>
      <c r="M1438" s="24">
        <f>IF(OR($A1438="",$C1438=""),"",IF($L1438&lt;&gt;"",$L1438-$C1438,TODAY()-$C1438))</f>
        <v/>
      </c>
      <c r="N1438" s="28">
        <f>IF(OR($A1438="",$K1438=""),"",IF($L1438="",IF(TODAY()&gt;$K1438,"Atrasado","En ruta"),IF($L1438&lt;=$K1438,"Sí","No")))</f>
        <v/>
      </c>
      <c r="O1438" s="24">
        <f>IF($A1438="","",COUNTIFS(NOVEDADES!$D$4:$D$1503,$A1438))</f>
        <v/>
      </c>
      <c r="P1438" s="28">
        <f>IF($A1438="","",IF(COUNTIFS(NOVEDADES!$D$4:$D$1503,$A1438,NOVEDADES!$O$4:$O$1503,"SÍ")&gt;0,"No","Sí"))</f>
        <v/>
      </c>
      <c r="Q1438" s="28">
        <f>IF(OR($A1438="",$L1438=""),"",IF(AND($N1438="Sí",$P1438="Sí"),"OTIF","Falló"))</f>
        <v/>
      </c>
    </row>
    <row r="1439" ht="16" customHeight="1">
      <c r="A1439" s="48" t="n"/>
      <c r="B1439" s="48" t="n"/>
      <c r="C1439" s="47" t="n"/>
      <c r="D1439" s="50" t="n"/>
      <c r="E1439" s="50" t="n"/>
      <c r="F1439" s="50" t="n"/>
      <c r="G1439" s="50" t="n"/>
      <c r="H1439" s="48" t="n"/>
      <c r="I1439" s="51" t="n"/>
      <c r="J1439" s="52" t="n"/>
      <c r="K1439" s="47" t="n"/>
      <c r="L1439" s="47" t="n"/>
      <c r="M1439" s="24">
        <f>IF(OR($A1439="",$C1439=""),"",IF($L1439&lt;&gt;"",$L1439-$C1439,TODAY()-$C1439))</f>
        <v/>
      </c>
      <c r="N1439" s="28">
        <f>IF(OR($A1439="",$K1439=""),"",IF($L1439="",IF(TODAY()&gt;$K1439,"Atrasado","En ruta"),IF($L1439&lt;=$K1439,"Sí","No")))</f>
        <v/>
      </c>
      <c r="O1439" s="24">
        <f>IF($A1439="","",COUNTIFS(NOVEDADES!$D$4:$D$1503,$A1439))</f>
        <v/>
      </c>
      <c r="P1439" s="28">
        <f>IF($A1439="","",IF(COUNTIFS(NOVEDADES!$D$4:$D$1503,$A1439,NOVEDADES!$O$4:$O$1503,"SÍ")&gt;0,"No","Sí"))</f>
        <v/>
      </c>
      <c r="Q1439" s="28">
        <f>IF(OR($A1439="",$L1439=""),"",IF(AND($N1439="Sí",$P1439="Sí"),"OTIF","Falló"))</f>
        <v/>
      </c>
    </row>
    <row r="1440" ht="16" customHeight="1">
      <c r="A1440" s="48" t="n"/>
      <c r="B1440" s="48" t="n"/>
      <c r="C1440" s="47" t="n"/>
      <c r="D1440" s="50" t="n"/>
      <c r="E1440" s="50" t="n"/>
      <c r="F1440" s="50" t="n"/>
      <c r="G1440" s="50" t="n"/>
      <c r="H1440" s="48" t="n"/>
      <c r="I1440" s="51" t="n"/>
      <c r="J1440" s="52" t="n"/>
      <c r="K1440" s="47" t="n"/>
      <c r="L1440" s="47" t="n"/>
      <c r="M1440" s="24">
        <f>IF(OR($A1440="",$C1440=""),"",IF($L1440&lt;&gt;"",$L1440-$C1440,TODAY()-$C1440))</f>
        <v/>
      </c>
      <c r="N1440" s="28">
        <f>IF(OR($A1440="",$K1440=""),"",IF($L1440="",IF(TODAY()&gt;$K1440,"Atrasado","En ruta"),IF($L1440&lt;=$K1440,"Sí","No")))</f>
        <v/>
      </c>
      <c r="O1440" s="24">
        <f>IF($A1440="","",COUNTIFS(NOVEDADES!$D$4:$D$1503,$A1440))</f>
        <v/>
      </c>
      <c r="P1440" s="28">
        <f>IF($A1440="","",IF(COUNTIFS(NOVEDADES!$D$4:$D$1503,$A1440,NOVEDADES!$O$4:$O$1503,"SÍ")&gt;0,"No","Sí"))</f>
        <v/>
      </c>
      <c r="Q1440" s="28">
        <f>IF(OR($A1440="",$L1440=""),"",IF(AND($N1440="Sí",$P1440="Sí"),"OTIF","Falló"))</f>
        <v/>
      </c>
    </row>
    <row r="1441" ht="16" customHeight="1">
      <c r="A1441" s="48" t="n"/>
      <c r="B1441" s="48" t="n"/>
      <c r="C1441" s="47" t="n"/>
      <c r="D1441" s="50" t="n"/>
      <c r="E1441" s="50" t="n"/>
      <c r="F1441" s="50" t="n"/>
      <c r="G1441" s="50" t="n"/>
      <c r="H1441" s="48" t="n"/>
      <c r="I1441" s="51" t="n"/>
      <c r="J1441" s="52" t="n"/>
      <c r="K1441" s="47" t="n"/>
      <c r="L1441" s="47" t="n"/>
      <c r="M1441" s="24">
        <f>IF(OR($A1441="",$C1441=""),"",IF($L1441&lt;&gt;"",$L1441-$C1441,TODAY()-$C1441))</f>
        <v/>
      </c>
      <c r="N1441" s="28">
        <f>IF(OR($A1441="",$K1441=""),"",IF($L1441="",IF(TODAY()&gt;$K1441,"Atrasado","En ruta"),IF($L1441&lt;=$K1441,"Sí","No")))</f>
        <v/>
      </c>
      <c r="O1441" s="24">
        <f>IF($A1441="","",COUNTIFS(NOVEDADES!$D$4:$D$1503,$A1441))</f>
        <v/>
      </c>
      <c r="P1441" s="28">
        <f>IF($A1441="","",IF(COUNTIFS(NOVEDADES!$D$4:$D$1503,$A1441,NOVEDADES!$O$4:$O$1503,"SÍ")&gt;0,"No","Sí"))</f>
        <v/>
      </c>
      <c r="Q1441" s="28">
        <f>IF(OR($A1441="",$L1441=""),"",IF(AND($N1441="Sí",$P1441="Sí"),"OTIF","Falló"))</f>
        <v/>
      </c>
    </row>
    <row r="1442" ht="16" customHeight="1">
      <c r="A1442" s="48" t="n"/>
      <c r="B1442" s="48" t="n"/>
      <c r="C1442" s="47" t="n"/>
      <c r="D1442" s="50" t="n"/>
      <c r="E1442" s="50" t="n"/>
      <c r="F1442" s="50" t="n"/>
      <c r="G1442" s="50" t="n"/>
      <c r="H1442" s="48" t="n"/>
      <c r="I1442" s="51" t="n"/>
      <c r="J1442" s="52" t="n"/>
      <c r="K1442" s="47" t="n"/>
      <c r="L1442" s="47" t="n"/>
      <c r="M1442" s="24">
        <f>IF(OR($A1442="",$C1442=""),"",IF($L1442&lt;&gt;"",$L1442-$C1442,TODAY()-$C1442))</f>
        <v/>
      </c>
      <c r="N1442" s="28">
        <f>IF(OR($A1442="",$K1442=""),"",IF($L1442="",IF(TODAY()&gt;$K1442,"Atrasado","En ruta"),IF($L1442&lt;=$K1442,"Sí","No")))</f>
        <v/>
      </c>
      <c r="O1442" s="24">
        <f>IF($A1442="","",COUNTIFS(NOVEDADES!$D$4:$D$1503,$A1442))</f>
        <v/>
      </c>
      <c r="P1442" s="28">
        <f>IF($A1442="","",IF(COUNTIFS(NOVEDADES!$D$4:$D$1503,$A1442,NOVEDADES!$O$4:$O$1503,"SÍ")&gt;0,"No","Sí"))</f>
        <v/>
      </c>
      <c r="Q1442" s="28">
        <f>IF(OR($A1442="",$L1442=""),"",IF(AND($N1442="Sí",$P1442="Sí"),"OTIF","Falló"))</f>
        <v/>
      </c>
    </row>
    <row r="1443" ht="16" customHeight="1">
      <c r="A1443" s="48" t="n"/>
      <c r="B1443" s="48" t="n"/>
      <c r="C1443" s="47" t="n"/>
      <c r="D1443" s="50" t="n"/>
      <c r="E1443" s="50" t="n"/>
      <c r="F1443" s="50" t="n"/>
      <c r="G1443" s="50" t="n"/>
      <c r="H1443" s="48" t="n"/>
      <c r="I1443" s="51" t="n"/>
      <c r="J1443" s="52" t="n"/>
      <c r="K1443" s="47" t="n"/>
      <c r="L1443" s="47" t="n"/>
      <c r="M1443" s="24">
        <f>IF(OR($A1443="",$C1443=""),"",IF($L1443&lt;&gt;"",$L1443-$C1443,TODAY()-$C1443))</f>
        <v/>
      </c>
      <c r="N1443" s="28">
        <f>IF(OR($A1443="",$K1443=""),"",IF($L1443="",IF(TODAY()&gt;$K1443,"Atrasado","En ruta"),IF($L1443&lt;=$K1443,"Sí","No")))</f>
        <v/>
      </c>
      <c r="O1443" s="24">
        <f>IF($A1443="","",COUNTIFS(NOVEDADES!$D$4:$D$1503,$A1443))</f>
        <v/>
      </c>
      <c r="P1443" s="28">
        <f>IF($A1443="","",IF(COUNTIFS(NOVEDADES!$D$4:$D$1503,$A1443,NOVEDADES!$O$4:$O$1503,"SÍ")&gt;0,"No","Sí"))</f>
        <v/>
      </c>
      <c r="Q1443" s="28">
        <f>IF(OR($A1443="",$L1443=""),"",IF(AND($N1443="Sí",$P1443="Sí"),"OTIF","Falló"))</f>
        <v/>
      </c>
    </row>
    <row r="1444" ht="16" customHeight="1">
      <c r="A1444" s="48" t="n"/>
      <c r="B1444" s="48" t="n"/>
      <c r="C1444" s="47" t="n"/>
      <c r="D1444" s="50" t="n"/>
      <c r="E1444" s="50" t="n"/>
      <c r="F1444" s="50" t="n"/>
      <c r="G1444" s="50" t="n"/>
      <c r="H1444" s="48" t="n"/>
      <c r="I1444" s="51" t="n"/>
      <c r="J1444" s="52" t="n"/>
      <c r="K1444" s="47" t="n"/>
      <c r="L1444" s="47" t="n"/>
      <c r="M1444" s="24">
        <f>IF(OR($A1444="",$C1444=""),"",IF($L1444&lt;&gt;"",$L1444-$C1444,TODAY()-$C1444))</f>
        <v/>
      </c>
      <c r="N1444" s="28">
        <f>IF(OR($A1444="",$K1444=""),"",IF($L1444="",IF(TODAY()&gt;$K1444,"Atrasado","En ruta"),IF($L1444&lt;=$K1444,"Sí","No")))</f>
        <v/>
      </c>
      <c r="O1444" s="24">
        <f>IF($A1444="","",COUNTIFS(NOVEDADES!$D$4:$D$1503,$A1444))</f>
        <v/>
      </c>
      <c r="P1444" s="28">
        <f>IF($A1444="","",IF(COUNTIFS(NOVEDADES!$D$4:$D$1503,$A1444,NOVEDADES!$O$4:$O$1503,"SÍ")&gt;0,"No","Sí"))</f>
        <v/>
      </c>
      <c r="Q1444" s="28">
        <f>IF(OR($A1444="",$L1444=""),"",IF(AND($N1444="Sí",$P1444="Sí"),"OTIF","Falló"))</f>
        <v/>
      </c>
    </row>
    <row r="1445" ht="16" customHeight="1">
      <c r="A1445" s="48" t="n"/>
      <c r="B1445" s="48" t="n"/>
      <c r="C1445" s="47" t="n"/>
      <c r="D1445" s="50" t="n"/>
      <c r="E1445" s="50" t="n"/>
      <c r="F1445" s="50" t="n"/>
      <c r="G1445" s="50" t="n"/>
      <c r="H1445" s="48" t="n"/>
      <c r="I1445" s="51" t="n"/>
      <c r="J1445" s="52" t="n"/>
      <c r="K1445" s="47" t="n"/>
      <c r="L1445" s="47" t="n"/>
      <c r="M1445" s="24">
        <f>IF(OR($A1445="",$C1445=""),"",IF($L1445&lt;&gt;"",$L1445-$C1445,TODAY()-$C1445))</f>
        <v/>
      </c>
      <c r="N1445" s="28">
        <f>IF(OR($A1445="",$K1445=""),"",IF($L1445="",IF(TODAY()&gt;$K1445,"Atrasado","En ruta"),IF($L1445&lt;=$K1445,"Sí","No")))</f>
        <v/>
      </c>
      <c r="O1445" s="24">
        <f>IF($A1445="","",COUNTIFS(NOVEDADES!$D$4:$D$1503,$A1445))</f>
        <v/>
      </c>
      <c r="P1445" s="28">
        <f>IF($A1445="","",IF(COUNTIFS(NOVEDADES!$D$4:$D$1503,$A1445,NOVEDADES!$O$4:$O$1503,"SÍ")&gt;0,"No","Sí"))</f>
        <v/>
      </c>
      <c r="Q1445" s="28">
        <f>IF(OR($A1445="",$L1445=""),"",IF(AND($N1445="Sí",$P1445="Sí"),"OTIF","Falló"))</f>
        <v/>
      </c>
    </row>
    <row r="1446" ht="16" customHeight="1">
      <c r="A1446" s="48" t="n"/>
      <c r="B1446" s="48" t="n"/>
      <c r="C1446" s="47" t="n"/>
      <c r="D1446" s="50" t="n"/>
      <c r="E1446" s="50" t="n"/>
      <c r="F1446" s="50" t="n"/>
      <c r="G1446" s="50" t="n"/>
      <c r="H1446" s="48" t="n"/>
      <c r="I1446" s="51" t="n"/>
      <c r="J1446" s="52" t="n"/>
      <c r="K1446" s="47" t="n"/>
      <c r="L1446" s="47" t="n"/>
      <c r="M1446" s="24">
        <f>IF(OR($A1446="",$C1446=""),"",IF($L1446&lt;&gt;"",$L1446-$C1446,TODAY()-$C1446))</f>
        <v/>
      </c>
      <c r="N1446" s="28">
        <f>IF(OR($A1446="",$K1446=""),"",IF($L1446="",IF(TODAY()&gt;$K1446,"Atrasado","En ruta"),IF($L1446&lt;=$K1446,"Sí","No")))</f>
        <v/>
      </c>
      <c r="O1446" s="24">
        <f>IF($A1446="","",COUNTIFS(NOVEDADES!$D$4:$D$1503,$A1446))</f>
        <v/>
      </c>
      <c r="P1446" s="28">
        <f>IF($A1446="","",IF(COUNTIFS(NOVEDADES!$D$4:$D$1503,$A1446,NOVEDADES!$O$4:$O$1503,"SÍ")&gt;0,"No","Sí"))</f>
        <v/>
      </c>
      <c r="Q1446" s="28">
        <f>IF(OR($A1446="",$L1446=""),"",IF(AND($N1446="Sí",$P1446="Sí"),"OTIF","Falló"))</f>
        <v/>
      </c>
    </row>
    <row r="1447" ht="16" customHeight="1">
      <c r="A1447" s="48" t="n"/>
      <c r="B1447" s="48" t="n"/>
      <c r="C1447" s="47" t="n"/>
      <c r="D1447" s="50" t="n"/>
      <c r="E1447" s="50" t="n"/>
      <c r="F1447" s="50" t="n"/>
      <c r="G1447" s="50" t="n"/>
      <c r="H1447" s="48" t="n"/>
      <c r="I1447" s="51" t="n"/>
      <c r="J1447" s="52" t="n"/>
      <c r="K1447" s="47" t="n"/>
      <c r="L1447" s="47" t="n"/>
      <c r="M1447" s="24">
        <f>IF(OR($A1447="",$C1447=""),"",IF($L1447&lt;&gt;"",$L1447-$C1447,TODAY()-$C1447))</f>
        <v/>
      </c>
      <c r="N1447" s="28">
        <f>IF(OR($A1447="",$K1447=""),"",IF($L1447="",IF(TODAY()&gt;$K1447,"Atrasado","En ruta"),IF($L1447&lt;=$K1447,"Sí","No")))</f>
        <v/>
      </c>
      <c r="O1447" s="24">
        <f>IF($A1447="","",COUNTIFS(NOVEDADES!$D$4:$D$1503,$A1447))</f>
        <v/>
      </c>
      <c r="P1447" s="28">
        <f>IF($A1447="","",IF(COUNTIFS(NOVEDADES!$D$4:$D$1503,$A1447,NOVEDADES!$O$4:$O$1503,"SÍ")&gt;0,"No","Sí"))</f>
        <v/>
      </c>
      <c r="Q1447" s="28">
        <f>IF(OR($A1447="",$L1447=""),"",IF(AND($N1447="Sí",$P1447="Sí"),"OTIF","Falló"))</f>
        <v/>
      </c>
    </row>
    <row r="1448" ht="16" customHeight="1">
      <c r="A1448" s="48" t="n"/>
      <c r="B1448" s="48" t="n"/>
      <c r="C1448" s="47" t="n"/>
      <c r="D1448" s="50" t="n"/>
      <c r="E1448" s="50" t="n"/>
      <c r="F1448" s="50" t="n"/>
      <c r="G1448" s="50" t="n"/>
      <c r="H1448" s="48" t="n"/>
      <c r="I1448" s="51" t="n"/>
      <c r="J1448" s="52" t="n"/>
      <c r="K1448" s="47" t="n"/>
      <c r="L1448" s="47" t="n"/>
      <c r="M1448" s="24">
        <f>IF(OR($A1448="",$C1448=""),"",IF($L1448&lt;&gt;"",$L1448-$C1448,TODAY()-$C1448))</f>
        <v/>
      </c>
      <c r="N1448" s="28">
        <f>IF(OR($A1448="",$K1448=""),"",IF($L1448="",IF(TODAY()&gt;$K1448,"Atrasado","En ruta"),IF($L1448&lt;=$K1448,"Sí","No")))</f>
        <v/>
      </c>
      <c r="O1448" s="24">
        <f>IF($A1448="","",COUNTIFS(NOVEDADES!$D$4:$D$1503,$A1448))</f>
        <v/>
      </c>
      <c r="P1448" s="28">
        <f>IF($A1448="","",IF(COUNTIFS(NOVEDADES!$D$4:$D$1503,$A1448,NOVEDADES!$O$4:$O$1503,"SÍ")&gt;0,"No","Sí"))</f>
        <v/>
      </c>
      <c r="Q1448" s="28">
        <f>IF(OR($A1448="",$L1448=""),"",IF(AND($N1448="Sí",$P1448="Sí"),"OTIF","Falló"))</f>
        <v/>
      </c>
    </row>
    <row r="1449" ht="16" customHeight="1">
      <c r="A1449" s="48" t="n"/>
      <c r="B1449" s="48" t="n"/>
      <c r="C1449" s="47" t="n"/>
      <c r="D1449" s="50" t="n"/>
      <c r="E1449" s="50" t="n"/>
      <c r="F1449" s="50" t="n"/>
      <c r="G1449" s="50" t="n"/>
      <c r="H1449" s="48" t="n"/>
      <c r="I1449" s="51" t="n"/>
      <c r="J1449" s="52" t="n"/>
      <c r="K1449" s="47" t="n"/>
      <c r="L1449" s="47" t="n"/>
      <c r="M1449" s="24">
        <f>IF(OR($A1449="",$C1449=""),"",IF($L1449&lt;&gt;"",$L1449-$C1449,TODAY()-$C1449))</f>
        <v/>
      </c>
      <c r="N1449" s="28">
        <f>IF(OR($A1449="",$K1449=""),"",IF($L1449="",IF(TODAY()&gt;$K1449,"Atrasado","En ruta"),IF($L1449&lt;=$K1449,"Sí","No")))</f>
        <v/>
      </c>
      <c r="O1449" s="24">
        <f>IF($A1449="","",COUNTIFS(NOVEDADES!$D$4:$D$1503,$A1449))</f>
        <v/>
      </c>
      <c r="P1449" s="28">
        <f>IF($A1449="","",IF(COUNTIFS(NOVEDADES!$D$4:$D$1503,$A1449,NOVEDADES!$O$4:$O$1503,"SÍ")&gt;0,"No","Sí"))</f>
        <v/>
      </c>
      <c r="Q1449" s="28">
        <f>IF(OR($A1449="",$L1449=""),"",IF(AND($N1449="Sí",$P1449="Sí"),"OTIF","Falló"))</f>
        <v/>
      </c>
    </row>
    <row r="1450" ht="16" customHeight="1">
      <c r="A1450" s="48" t="n"/>
      <c r="B1450" s="48" t="n"/>
      <c r="C1450" s="47" t="n"/>
      <c r="D1450" s="50" t="n"/>
      <c r="E1450" s="50" t="n"/>
      <c r="F1450" s="50" t="n"/>
      <c r="G1450" s="50" t="n"/>
      <c r="H1450" s="48" t="n"/>
      <c r="I1450" s="51" t="n"/>
      <c r="J1450" s="52" t="n"/>
      <c r="K1450" s="47" t="n"/>
      <c r="L1450" s="47" t="n"/>
      <c r="M1450" s="24">
        <f>IF(OR($A1450="",$C1450=""),"",IF($L1450&lt;&gt;"",$L1450-$C1450,TODAY()-$C1450))</f>
        <v/>
      </c>
      <c r="N1450" s="28">
        <f>IF(OR($A1450="",$K1450=""),"",IF($L1450="",IF(TODAY()&gt;$K1450,"Atrasado","En ruta"),IF($L1450&lt;=$K1450,"Sí","No")))</f>
        <v/>
      </c>
      <c r="O1450" s="24">
        <f>IF($A1450="","",COUNTIFS(NOVEDADES!$D$4:$D$1503,$A1450))</f>
        <v/>
      </c>
      <c r="P1450" s="28">
        <f>IF($A1450="","",IF(COUNTIFS(NOVEDADES!$D$4:$D$1503,$A1450,NOVEDADES!$O$4:$O$1503,"SÍ")&gt;0,"No","Sí"))</f>
        <v/>
      </c>
      <c r="Q1450" s="28">
        <f>IF(OR($A1450="",$L1450=""),"",IF(AND($N1450="Sí",$P1450="Sí"),"OTIF","Falló"))</f>
        <v/>
      </c>
    </row>
    <row r="1451" ht="16" customHeight="1">
      <c r="A1451" s="48" t="n"/>
      <c r="B1451" s="48" t="n"/>
      <c r="C1451" s="47" t="n"/>
      <c r="D1451" s="50" t="n"/>
      <c r="E1451" s="50" t="n"/>
      <c r="F1451" s="50" t="n"/>
      <c r="G1451" s="50" t="n"/>
      <c r="H1451" s="48" t="n"/>
      <c r="I1451" s="51" t="n"/>
      <c r="J1451" s="52" t="n"/>
      <c r="K1451" s="47" t="n"/>
      <c r="L1451" s="47" t="n"/>
      <c r="M1451" s="24">
        <f>IF(OR($A1451="",$C1451=""),"",IF($L1451&lt;&gt;"",$L1451-$C1451,TODAY()-$C1451))</f>
        <v/>
      </c>
      <c r="N1451" s="28">
        <f>IF(OR($A1451="",$K1451=""),"",IF($L1451="",IF(TODAY()&gt;$K1451,"Atrasado","En ruta"),IF($L1451&lt;=$K1451,"Sí","No")))</f>
        <v/>
      </c>
      <c r="O1451" s="24">
        <f>IF($A1451="","",COUNTIFS(NOVEDADES!$D$4:$D$1503,$A1451))</f>
        <v/>
      </c>
      <c r="P1451" s="28">
        <f>IF($A1451="","",IF(COUNTIFS(NOVEDADES!$D$4:$D$1503,$A1451,NOVEDADES!$O$4:$O$1503,"SÍ")&gt;0,"No","Sí"))</f>
        <v/>
      </c>
      <c r="Q1451" s="28">
        <f>IF(OR($A1451="",$L1451=""),"",IF(AND($N1451="Sí",$P1451="Sí"),"OTIF","Falló"))</f>
        <v/>
      </c>
    </row>
    <row r="1452" ht="16" customHeight="1">
      <c r="A1452" s="48" t="n"/>
      <c r="B1452" s="48" t="n"/>
      <c r="C1452" s="47" t="n"/>
      <c r="D1452" s="50" t="n"/>
      <c r="E1452" s="50" t="n"/>
      <c r="F1452" s="50" t="n"/>
      <c r="G1452" s="50" t="n"/>
      <c r="H1452" s="48" t="n"/>
      <c r="I1452" s="51" t="n"/>
      <c r="J1452" s="52" t="n"/>
      <c r="K1452" s="47" t="n"/>
      <c r="L1452" s="47" t="n"/>
      <c r="M1452" s="24">
        <f>IF(OR($A1452="",$C1452=""),"",IF($L1452&lt;&gt;"",$L1452-$C1452,TODAY()-$C1452))</f>
        <v/>
      </c>
      <c r="N1452" s="28">
        <f>IF(OR($A1452="",$K1452=""),"",IF($L1452="",IF(TODAY()&gt;$K1452,"Atrasado","En ruta"),IF($L1452&lt;=$K1452,"Sí","No")))</f>
        <v/>
      </c>
      <c r="O1452" s="24">
        <f>IF($A1452="","",COUNTIFS(NOVEDADES!$D$4:$D$1503,$A1452))</f>
        <v/>
      </c>
      <c r="P1452" s="28">
        <f>IF($A1452="","",IF(COUNTIFS(NOVEDADES!$D$4:$D$1503,$A1452,NOVEDADES!$O$4:$O$1503,"SÍ")&gt;0,"No","Sí"))</f>
        <v/>
      </c>
      <c r="Q1452" s="28">
        <f>IF(OR($A1452="",$L1452=""),"",IF(AND($N1452="Sí",$P1452="Sí"),"OTIF","Falló"))</f>
        <v/>
      </c>
    </row>
    <row r="1453" ht="16" customHeight="1">
      <c r="A1453" s="48" t="n"/>
      <c r="B1453" s="48" t="n"/>
      <c r="C1453" s="47" t="n"/>
      <c r="D1453" s="50" t="n"/>
      <c r="E1453" s="50" t="n"/>
      <c r="F1453" s="50" t="n"/>
      <c r="G1453" s="50" t="n"/>
      <c r="H1453" s="48" t="n"/>
      <c r="I1453" s="51" t="n"/>
      <c r="J1453" s="52" t="n"/>
      <c r="K1453" s="47" t="n"/>
      <c r="L1453" s="47" t="n"/>
      <c r="M1453" s="24">
        <f>IF(OR($A1453="",$C1453=""),"",IF($L1453&lt;&gt;"",$L1453-$C1453,TODAY()-$C1453))</f>
        <v/>
      </c>
      <c r="N1453" s="28">
        <f>IF(OR($A1453="",$K1453=""),"",IF($L1453="",IF(TODAY()&gt;$K1453,"Atrasado","En ruta"),IF($L1453&lt;=$K1453,"Sí","No")))</f>
        <v/>
      </c>
      <c r="O1453" s="24">
        <f>IF($A1453="","",COUNTIFS(NOVEDADES!$D$4:$D$1503,$A1453))</f>
        <v/>
      </c>
      <c r="P1453" s="28">
        <f>IF($A1453="","",IF(COUNTIFS(NOVEDADES!$D$4:$D$1503,$A1453,NOVEDADES!$O$4:$O$1503,"SÍ")&gt;0,"No","Sí"))</f>
        <v/>
      </c>
      <c r="Q1453" s="28">
        <f>IF(OR($A1453="",$L1453=""),"",IF(AND($N1453="Sí",$P1453="Sí"),"OTIF","Falló"))</f>
        <v/>
      </c>
    </row>
    <row r="1454" ht="16" customHeight="1">
      <c r="A1454" s="48" t="n"/>
      <c r="B1454" s="48" t="n"/>
      <c r="C1454" s="47" t="n"/>
      <c r="D1454" s="50" t="n"/>
      <c r="E1454" s="50" t="n"/>
      <c r="F1454" s="50" t="n"/>
      <c r="G1454" s="50" t="n"/>
      <c r="H1454" s="48" t="n"/>
      <c r="I1454" s="51" t="n"/>
      <c r="J1454" s="52" t="n"/>
      <c r="K1454" s="47" t="n"/>
      <c r="L1454" s="47" t="n"/>
      <c r="M1454" s="24">
        <f>IF(OR($A1454="",$C1454=""),"",IF($L1454&lt;&gt;"",$L1454-$C1454,TODAY()-$C1454))</f>
        <v/>
      </c>
      <c r="N1454" s="28">
        <f>IF(OR($A1454="",$K1454=""),"",IF($L1454="",IF(TODAY()&gt;$K1454,"Atrasado","En ruta"),IF($L1454&lt;=$K1454,"Sí","No")))</f>
        <v/>
      </c>
      <c r="O1454" s="24">
        <f>IF($A1454="","",COUNTIFS(NOVEDADES!$D$4:$D$1503,$A1454))</f>
        <v/>
      </c>
      <c r="P1454" s="28">
        <f>IF($A1454="","",IF(COUNTIFS(NOVEDADES!$D$4:$D$1503,$A1454,NOVEDADES!$O$4:$O$1503,"SÍ")&gt;0,"No","Sí"))</f>
        <v/>
      </c>
      <c r="Q1454" s="28">
        <f>IF(OR($A1454="",$L1454=""),"",IF(AND($N1454="Sí",$P1454="Sí"),"OTIF","Falló"))</f>
        <v/>
      </c>
    </row>
    <row r="1455" ht="16" customHeight="1">
      <c r="A1455" s="48" t="n"/>
      <c r="B1455" s="48" t="n"/>
      <c r="C1455" s="47" t="n"/>
      <c r="D1455" s="50" t="n"/>
      <c r="E1455" s="50" t="n"/>
      <c r="F1455" s="50" t="n"/>
      <c r="G1455" s="50" t="n"/>
      <c r="H1455" s="48" t="n"/>
      <c r="I1455" s="51" t="n"/>
      <c r="J1455" s="52" t="n"/>
      <c r="K1455" s="47" t="n"/>
      <c r="L1455" s="47" t="n"/>
      <c r="M1455" s="24">
        <f>IF(OR($A1455="",$C1455=""),"",IF($L1455&lt;&gt;"",$L1455-$C1455,TODAY()-$C1455))</f>
        <v/>
      </c>
      <c r="N1455" s="28">
        <f>IF(OR($A1455="",$K1455=""),"",IF($L1455="",IF(TODAY()&gt;$K1455,"Atrasado","En ruta"),IF($L1455&lt;=$K1455,"Sí","No")))</f>
        <v/>
      </c>
      <c r="O1455" s="24">
        <f>IF($A1455="","",COUNTIFS(NOVEDADES!$D$4:$D$1503,$A1455))</f>
        <v/>
      </c>
      <c r="P1455" s="28">
        <f>IF($A1455="","",IF(COUNTIFS(NOVEDADES!$D$4:$D$1503,$A1455,NOVEDADES!$O$4:$O$1503,"SÍ")&gt;0,"No","Sí"))</f>
        <v/>
      </c>
      <c r="Q1455" s="28">
        <f>IF(OR($A1455="",$L1455=""),"",IF(AND($N1455="Sí",$P1455="Sí"),"OTIF","Falló"))</f>
        <v/>
      </c>
    </row>
    <row r="1456" ht="16" customHeight="1">
      <c r="A1456" s="48" t="n"/>
      <c r="B1456" s="48" t="n"/>
      <c r="C1456" s="47" t="n"/>
      <c r="D1456" s="50" t="n"/>
      <c r="E1456" s="50" t="n"/>
      <c r="F1456" s="50" t="n"/>
      <c r="G1456" s="50" t="n"/>
      <c r="H1456" s="48" t="n"/>
      <c r="I1456" s="51" t="n"/>
      <c r="J1456" s="52" t="n"/>
      <c r="K1456" s="47" t="n"/>
      <c r="L1456" s="47" t="n"/>
      <c r="M1456" s="24">
        <f>IF(OR($A1456="",$C1456=""),"",IF($L1456&lt;&gt;"",$L1456-$C1456,TODAY()-$C1456))</f>
        <v/>
      </c>
      <c r="N1456" s="28">
        <f>IF(OR($A1456="",$K1456=""),"",IF($L1456="",IF(TODAY()&gt;$K1456,"Atrasado","En ruta"),IF($L1456&lt;=$K1456,"Sí","No")))</f>
        <v/>
      </c>
      <c r="O1456" s="24">
        <f>IF($A1456="","",COUNTIFS(NOVEDADES!$D$4:$D$1503,$A1456))</f>
        <v/>
      </c>
      <c r="P1456" s="28">
        <f>IF($A1456="","",IF(COUNTIFS(NOVEDADES!$D$4:$D$1503,$A1456,NOVEDADES!$O$4:$O$1503,"SÍ")&gt;0,"No","Sí"))</f>
        <v/>
      </c>
      <c r="Q1456" s="28">
        <f>IF(OR($A1456="",$L1456=""),"",IF(AND($N1456="Sí",$P1456="Sí"),"OTIF","Falló"))</f>
        <v/>
      </c>
    </row>
    <row r="1457" ht="16" customHeight="1">
      <c r="A1457" s="48" t="n"/>
      <c r="B1457" s="48" t="n"/>
      <c r="C1457" s="47" t="n"/>
      <c r="D1457" s="50" t="n"/>
      <c r="E1457" s="50" t="n"/>
      <c r="F1457" s="50" t="n"/>
      <c r="G1457" s="50" t="n"/>
      <c r="H1457" s="48" t="n"/>
      <c r="I1457" s="51" t="n"/>
      <c r="J1457" s="52" t="n"/>
      <c r="K1457" s="47" t="n"/>
      <c r="L1457" s="47" t="n"/>
      <c r="M1457" s="24">
        <f>IF(OR($A1457="",$C1457=""),"",IF($L1457&lt;&gt;"",$L1457-$C1457,TODAY()-$C1457))</f>
        <v/>
      </c>
      <c r="N1457" s="28">
        <f>IF(OR($A1457="",$K1457=""),"",IF($L1457="",IF(TODAY()&gt;$K1457,"Atrasado","En ruta"),IF($L1457&lt;=$K1457,"Sí","No")))</f>
        <v/>
      </c>
      <c r="O1457" s="24">
        <f>IF($A1457="","",COUNTIFS(NOVEDADES!$D$4:$D$1503,$A1457))</f>
        <v/>
      </c>
      <c r="P1457" s="28">
        <f>IF($A1457="","",IF(COUNTIFS(NOVEDADES!$D$4:$D$1503,$A1457,NOVEDADES!$O$4:$O$1503,"SÍ")&gt;0,"No","Sí"))</f>
        <v/>
      </c>
      <c r="Q1457" s="28">
        <f>IF(OR($A1457="",$L1457=""),"",IF(AND($N1457="Sí",$P1457="Sí"),"OTIF","Falló"))</f>
        <v/>
      </c>
    </row>
    <row r="1458" ht="16" customHeight="1">
      <c r="A1458" s="48" t="n"/>
      <c r="B1458" s="48" t="n"/>
      <c r="C1458" s="47" t="n"/>
      <c r="D1458" s="50" t="n"/>
      <c r="E1458" s="50" t="n"/>
      <c r="F1458" s="50" t="n"/>
      <c r="G1458" s="50" t="n"/>
      <c r="H1458" s="48" t="n"/>
      <c r="I1458" s="51" t="n"/>
      <c r="J1458" s="52" t="n"/>
      <c r="K1458" s="47" t="n"/>
      <c r="L1458" s="47" t="n"/>
      <c r="M1458" s="24">
        <f>IF(OR($A1458="",$C1458=""),"",IF($L1458&lt;&gt;"",$L1458-$C1458,TODAY()-$C1458))</f>
        <v/>
      </c>
      <c r="N1458" s="28">
        <f>IF(OR($A1458="",$K1458=""),"",IF($L1458="",IF(TODAY()&gt;$K1458,"Atrasado","En ruta"),IF($L1458&lt;=$K1458,"Sí","No")))</f>
        <v/>
      </c>
      <c r="O1458" s="24">
        <f>IF($A1458="","",COUNTIFS(NOVEDADES!$D$4:$D$1503,$A1458))</f>
        <v/>
      </c>
      <c r="P1458" s="28">
        <f>IF($A1458="","",IF(COUNTIFS(NOVEDADES!$D$4:$D$1503,$A1458,NOVEDADES!$O$4:$O$1503,"SÍ")&gt;0,"No","Sí"))</f>
        <v/>
      </c>
      <c r="Q1458" s="28">
        <f>IF(OR($A1458="",$L1458=""),"",IF(AND($N1458="Sí",$P1458="Sí"),"OTIF","Falló"))</f>
        <v/>
      </c>
    </row>
    <row r="1459" ht="16" customHeight="1">
      <c r="A1459" s="48" t="n"/>
      <c r="B1459" s="48" t="n"/>
      <c r="C1459" s="47" t="n"/>
      <c r="D1459" s="50" t="n"/>
      <c r="E1459" s="50" t="n"/>
      <c r="F1459" s="50" t="n"/>
      <c r="G1459" s="50" t="n"/>
      <c r="H1459" s="48" t="n"/>
      <c r="I1459" s="51" t="n"/>
      <c r="J1459" s="52" t="n"/>
      <c r="K1459" s="47" t="n"/>
      <c r="L1459" s="47" t="n"/>
      <c r="M1459" s="24">
        <f>IF(OR($A1459="",$C1459=""),"",IF($L1459&lt;&gt;"",$L1459-$C1459,TODAY()-$C1459))</f>
        <v/>
      </c>
      <c r="N1459" s="28">
        <f>IF(OR($A1459="",$K1459=""),"",IF($L1459="",IF(TODAY()&gt;$K1459,"Atrasado","En ruta"),IF($L1459&lt;=$K1459,"Sí","No")))</f>
        <v/>
      </c>
      <c r="O1459" s="24">
        <f>IF($A1459="","",COUNTIFS(NOVEDADES!$D$4:$D$1503,$A1459))</f>
        <v/>
      </c>
      <c r="P1459" s="28">
        <f>IF($A1459="","",IF(COUNTIFS(NOVEDADES!$D$4:$D$1503,$A1459,NOVEDADES!$O$4:$O$1503,"SÍ")&gt;0,"No","Sí"))</f>
        <v/>
      </c>
      <c r="Q1459" s="28">
        <f>IF(OR($A1459="",$L1459=""),"",IF(AND($N1459="Sí",$P1459="Sí"),"OTIF","Falló"))</f>
        <v/>
      </c>
    </row>
    <row r="1460" ht="16" customHeight="1">
      <c r="A1460" s="48" t="n"/>
      <c r="B1460" s="48" t="n"/>
      <c r="C1460" s="47" t="n"/>
      <c r="D1460" s="50" t="n"/>
      <c r="E1460" s="50" t="n"/>
      <c r="F1460" s="50" t="n"/>
      <c r="G1460" s="50" t="n"/>
      <c r="H1460" s="48" t="n"/>
      <c r="I1460" s="51" t="n"/>
      <c r="J1460" s="52" t="n"/>
      <c r="K1460" s="47" t="n"/>
      <c r="L1460" s="47" t="n"/>
      <c r="M1460" s="24">
        <f>IF(OR($A1460="",$C1460=""),"",IF($L1460&lt;&gt;"",$L1460-$C1460,TODAY()-$C1460))</f>
        <v/>
      </c>
      <c r="N1460" s="28">
        <f>IF(OR($A1460="",$K1460=""),"",IF($L1460="",IF(TODAY()&gt;$K1460,"Atrasado","En ruta"),IF($L1460&lt;=$K1460,"Sí","No")))</f>
        <v/>
      </c>
      <c r="O1460" s="24">
        <f>IF($A1460="","",COUNTIFS(NOVEDADES!$D$4:$D$1503,$A1460))</f>
        <v/>
      </c>
      <c r="P1460" s="28">
        <f>IF($A1460="","",IF(COUNTIFS(NOVEDADES!$D$4:$D$1503,$A1460,NOVEDADES!$O$4:$O$1503,"SÍ")&gt;0,"No","Sí"))</f>
        <v/>
      </c>
      <c r="Q1460" s="28">
        <f>IF(OR($A1460="",$L1460=""),"",IF(AND($N1460="Sí",$P1460="Sí"),"OTIF","Falló"))</f>
        <v/>
      </c>
    </row>
    <row r="1461" ht="16" customHeight="1">
      <c r="A1461" s="48" t="n"/>
      <c r="B1461" s="48" t="n"/>
      <c r="C1461" s="47" t="n"/>
      <c r="D1461" s="50" t="n"/>
      <c r="E1461" s="50" t="n"/>
      <c r="F1461" s="50" t="n"/>
      <c r="G1461" s="50" t="n"/>
      <c r="H1461" s="48" t="n"/>
      <c r="I1461" s="51" t="n"/>
      <c r="J1461" s="52" t="n"/>
      <c r="K1461" s="47" t="n"/>
      <c r="L1461" s="47" t="n"/>
      <c r="M1461" s="24">
        <f>IF(OR($A1461="",$C1461=""),"",IF($L1461&lt;&gt;"",$L1461-$C1461,TODAY()-$C1461))</f>
        <v/>
      </c>
      <c r="N1461" s="28">
        <f>IF(OR($A1461="",$K1461=""),"",IF($L1461="",IF(TODAY()&gt;$K1461,"Atrasado","En ruta"),IF($L1461&lt;=$K1461,"Sí","No")))</f>
        <v/>
      </c>
      <c r="O1461" s="24">
        <f>IF($A1461="","",COUNTIFS(NOVEDADES!$D$4:$D$1503,$A1461))</f>
        <v/>
      </c>
      <c r="P1461" s="28">
        <f>IF($A1461="","",IF(COUNTIFS(NOVEDADES!$D$4:$D$1503,$A1461,NOVEDADES!$O$4:$O$1503,"SÍ")&gt;0,"No","Sí"))</f>
        <v/>
      </c>
      <c r="Q1461" s="28">
        <f>IF(OR($A1461="",$L1461=""),"",IF(AND($N1461="Sí",$P1461="Sí"),"OTIF","Falló"))</f>
        <v/>
      </c>
    </row>
    <row r="1462" ht="16" customHeight="1">
      <c r="A1462" s="48" t="n"/>
      <c r="B1462" s="48" t="n"/>
      <c r="C1462" s="47" t="n"/>
      <c r="D1462" s="50" t="n"/>
      <c r="E1462" s="50" t="n"/>
      <c r="F1462" s="50" t="n"/>
      <c r="G1462" s="50" t="n"/>
      <c r="H1462" s="48" t="n"/>
      <c r="I1462" s="51" t="n"/>
      <c r="J1462" s="52" t="n"/>
      <c r="K1462" s="47" t="n"/>
      <c r="L1462" s="47" t="n"/>
      <c r="M1462" s="24">
        <f>IF(OR($A1462="",$C1462=""),"",IF($L1462&lt;&gt;"",$L1462-$C1462,TODAY()-$C1462))</f>
        <v/>
      </c>
      <c r="N1462" s="28">
        <f>IF(OR($A1462="",$K1462=""),"",IF($L1462="",IF(TODAY()&gt;$K1462,"Atrasado","En ruta"),IF($L1462&lt;=$K1462,"Sí","No")))</f>
        <v/>
      </c>
      <c r="O1462" s="24">
        <f>IF($A1462="","",COUNTIFS(NOVEDADES!$D$4:$D$1503,$A1462))</f>
        <v/>
      </c>
      <c r="P1462" s="28">
        <f>IF($A1462="","",IF(COUNTIFS(NOVEDADES!$D$4:$D$1503,$A1462,NOVEDADES!$O$4:$O$1503,"SÍ")&gt;0,"No","Sí"))</f>
        <v/>
      </c>
      <c r="Q1462" s="28">
        <f>IF(OR($A1462="",$L1462=""),"",IF(AND($N1462="Sí",$P1462="Sí"),"OTIF","Falló"))</f>
        <v/>
      </c>
    </row>
    <row r="1463" ht="16" customHeight="1">
      <c r="A1463" s="48" t="n"/>
      <c r="B1463" s="48" t="n"/>
      <c r="C1463" s="47" t="n"/>
      <c r="D1463" s="50" t="n"/>
      <c r="E1463" s="50" t="n"/>
      <c r="F1463" s="50" t="n"/>
      <c r="G1463" s="50" t="n"/>
      <c r="H1463" s="48" t="n"/>
      <c r="I1463" s="51" t="n"/>
      <c r="J1463" s="52" t="n"/>
      <c r="K1463" s="47" t="n"/>
      <c r="L1463" s="47" t="n"/>
      <c r="M1463" s="24">
        <f>IF(OR($A1463="",$C1463=""),"",IF($L1463&lt;&gt;"",$L1463-$C1463,TODAY()-$C1463))</f>
        <v/>
      </c>
      <c r="N1463" s="28">
        <f>IF(OR($A1463="",$K1463=""),"",IF($L1463="",IF(TODAY()&gt;$K1463,"Atrasado","En ruta"),IF($L1463&lt;=$K1463,"Sí","No")))</f>
        <v/>
      </c>
      <c r="O1463" s="24">
        <f>IF($A1463="","",COUNTIFS(NOVEDADES!$D$4:$D$1503,$A1463))</f>
        <v/>
      </c>
      <c r="P1463" s="28">
        <f>IF($A1463="","",IF(COUNTIFS(NOVEDADES!$D$4:$D$1503,$A1463,NOVEDADES!$O$4:$O$1503,"SÍ")&gt;0,"No","Sí"))</f>
        <v/>
      </c>
      <c r="Q1463" s="28">
        <f>IF(OR($A1463="",$L1463=""),"",IF(AND($N1463="Sí",$P1463="Sí"),"OTIF","Falló"))</f>
        <v/>
      </c>
    </row>
    <row r="1464" ht="16" customHeight="1">
      <c r="A1464" s="48" t="n"/>
      <c r="B1464" s="48" t="n"/>
      <c r="C1464" s="47" t="n"/>
      <c r="D1464" s="50" t="n"/>
      <c r="E1464" s="50" t="n"/>
      <c r="F1464" s="50" t="n"/>
      <c r="G1464" s="50" t="n"/>
      <c r="H1464" s="48" t="n"/>
      <c r="I1464" s="51" t="n"/>
      <c r="J1464" s="52" t="n"/>
      <c r="K1464" s="47" t="n"/>
      <c r="L1464" s="47" t="n"/>
      <c r="M1464" s="24">
        <f>IF(OR($A1464="",$C1464=""),"",IF($L1464&lt;&gt;"",$L1464-$C1464,TODAY()-$C1464))</f>
        <v/>
      </c>
      <c r="N1464" s="28">
        <f>IF(OR($A1464="",$K1464=""),"",IF($L1464="",IF(TODAY()&gt;$K1464,"Atrasado","En ruta"),IF($L1464&lt;=$K1464,"Sí","No")))</f>
        <v/>
      </c>
      <c r="O1464" s="24">
        <f>IF($A1464="","",COUNTIFS(NOVEDADES!$D$4:$D$1503,$A1464))</f>
        <v/>
      </c>
      <c r="P1464" s="28">
        <f>IF($A1464="","",IF(COUNTIFS(NOVEDADES!$D$4:$D$1503,$A1464,NOVEDADES!$O$4:$O$1503,"SÍ")&gt;0,"No","Sí"))</f>
        <v/>
      </c>
      <c r="Q1464" s="28">
        <f>IF(OR($A1464="",$L1464=""),"",IF(AND($N1464="Sí",$P1464="Sí"),"OTIF","Falló"))</f>
        <v/>
      </c>
    </row>
    <row r="1465" ht="16" customHeight="1">
      <c r="A1465" s="48" t="n"/>
      <c r="B1465" s="48" t="n"/>
      <c r="C1465" s="47" t="n"/>
      <c r="D1465" s="50" t="n"/>
      <c r="E1465" s="50" t="n"/>
      <c r="F1465" s="50" t="n"/>
      <c r="G1465" s="50" t="n"/>
      <c r="H1465" s="48" t="n"/>
      <c r="I1465" s="51" t="n"/>
      <c r="J1465" s="52" t="n"/>
      <c r="K1465" s="47" t="n"/>
      <c r="L1465" s="47" t="n"/>
      <c r="M1465" s="24">
        <f>IF(OR($A1465="",$C1465=""),"",IF($L1465&lt;&gt;"",$L1465-$C1465,TODAY()-$C1465))</f>
        <v/>
      </c>
      <c r="N1465" s="28">
        <f>IF(OR($A1465="",$K1465=""),"",IF($L1465="",IF(TODAY()&gt;$K1465,"Atrasado","En ruta"),IF($L1465&lt;=$K1465,"Sí","No")))</f>
        <v/>
      </c>
      <c r="O1465" s="24">
        <f>IF($A1465="","",COUNTIFS(NOVEDADES!$D$4:$D$1503,$A1465))</f>
        <v/>
      </c>
      <c r="P1465" s="28">
        <f>IF($A1465="","",IF(COUNTIFS(NOVEDADES!$D$4:$D$1503,$A1465,NOVEDADES!$O$4:$O$1503,"SÍ")&gt;0,"No","Sí"))</f>
        <v/>
      </c>
      <c r="Q1465" s="28">
        <f>IF(OR($A1465="",$L1465=""),"",IF(AND($N1465="Sí",$P1465="Sí"),"OTIF","Falló"))</f>
        <v/>
      </c>
    </row>
    <row r="1466" ht="16" customHeight="1">
      <c r="A1466" s="48" t="n"/>
      <c r="B1466" s="48" t="n"/>
      <c r="C1466" s="47" t="n"/>
      <c r="D1466" s="50" t="n"/>
      <c r="E1466" s="50" t="n"/>
      <c r="F1466" s="50" t="n"/>
      <c r="G1466" s="50" t="n"/>
      <c r="H1466" s="48" t="n"/>
      <c r="I1466" s="51" t="n"/>
      <c r="J1466" s="52" t="n"/>
      <c r="K1466" s="47" t="n"/>
      <c r="L1466" s="47" t="n"/>
      <c r="M1466" s="24">
        <f>IF(OR($A1466="",$C1466=""),"",IF($L1466&lt;&gt;"",$L1466-$C1466,TODAY()-$C1466))</f>
        <v/>
      </c>
      <c r="N1466" s="28">
        <f>IF(OR($A1466="",$K1466=""),"",IF($L1466="",IF(TODAY()&gt;$K1466,"Atrasado","En ruta"),IF($L1466&lt;=$K1466,"Sí","No")))</f>
        <v/>
      </c>
      <c r="O1466" s="24">
        <f>IF($A1466="","",COUNTIFS(NOVEDADES!$D$4:$D$1503,$A1466))</f>
        <v/>
      </c>
      <c r="P1466" s="28">
        <f>IF($A1466="","",IF(COUNTIFS(NOVEDADES!$D$4:$D$1503,$A1466,NOVEDADES!$O$4:$O$1503,"SÍ")&gt;0,"No","Sí"))</f>
        <v/>
      </c>
      <c r="Q1466" s="28">
        <f>IF(OR($A1466="",$L1466=""),"",IF(AND($N1466="Sí",$P1466="Sí"),"OTIF","Falló"))</f>
        <v/>
      </c>
    </row>
    <row r="1467" ht="16" customHeight="1">
      <c r="A1467" s="48" t="n"/>
      <c r="B1467" s="48" t="n"/>
      <c r="C1467" s="47" t="n"/>
      <c r="D1467" s="50" t="n"/>
      <c r="E1467" s="50" t="n"/>
      <c r="F1467" s="50" t="n"/>
      <c r="G1467" s="50" t="n"/>
      <c r="H1467" s="48" t="n"/>
      <c r="I1467" s="51" t="n"/>
      <c r="J1467" s="52" t="n"/>
      <c r="K1467" s="47" t="n"/>
      <c r="L1467" s="47" t="n"/>
      <c r="M1467" s="24">
        <f>IF(OR($A1467="",$C1467=""),"",IF($L1467&lt;&gt;"",$L1467-$C1467,TODAY()-$C1467))</f>
        <v/>
      </c>
      <c r="N1467" s="28">
        <f>IF(OR($A1467="",$K1467=""),"",IF($L1467="",IF(TODAY()&gt;$K1467,"Atrasado","En ruta"),IF($L1467&lt;=$K1467,"Sí","No")))</f>
        <v/>
      </c>
      <c r="O1467" s="24">
        <f>IF($A1467="","",COUNTIFS(NOVEDADES!$D$4:$D$1503,$A1467))</f>
        <v/>
      </c>
      <c r="P1467" s="28">
        <f>IF($A1467="","",IF(COUNTIFS(NOVEDADES!$D$4:$D$1503,$A1467,NOVEDADES!$O$4:$O$1503,"SÍ")&gt;0,"No","Sí"))</f>
        <v/>
      </c>
      <c r="Q1467" s="28">
        <f>IF(OR($A1467="",$L1467=""),"",IF(AND($N1467="Sí",$P1467="Sí"),"OTIF","Falló"))</f>
        <v/>
      </c>
    </row>
    <row r="1468" ht="16" customHeight="1">
      <c r="A1468" s="48" t="n"/>
      <c r="B1468" s="48" t="n"/>
      <c r="C1468" s="47" t="n"/>
      <c r="D1468" s="50" t="n"/>
      <c r="E1468" s="50" t="n"/>
      <c r="F1468" s="50" t="n"/>
      <c r="G1468" s="50" t="n"/>
      <c r="H1468" s="48" t="n"/>
      <c r="I1468" s="51" t="n"/>
      <c r="J1468" s="52" t="n"/>
      <c r="K1468" s="47" t="n"/>
      <c r="L1468" s="47" t="n"/>
      <c r="M1468" s="24">
        <f>IF(OR($A1468="",$C1468=""),"",IF($L1468&lt;&gt;"",$L1468-$C1468,TODAY()-$C1468))</f>
        <v/>
      </c>
      <c r="N1468" s="28">
        <f>IF(OR($A1468="",$K1468=""),"",IF($L1468="",IF(TODAY()&gt;$K1468,"Atrasado","En ruta"),IF($L1468&lt;=$K1468,"Sí","No")))</f>
        <v/>
      </c>
      <c r="O1468" s="24">
        <f>IF($A1468="","",COUNTIFS(NOVEDADES!$D$4:$D$1503,$A1468))</f>
        <v/>
      </c>
      <c r="P1468" s="28">
        <f>IF($A1468="","",IF(COUNTIFS(NOVEDADES!$D$4:$D$1503,$A1468,NOVEDADES!$O$4:$O$1503,"SÍ")&gt;0,"No","Sí"))</f>
        <v/>
      </c>
      <c r="Q1468" s="28">
        <f>IF(OR($A1468="",$L1468=""),"",IF(AND($N1468="Sí",$P1468="Sí"),"OTIF","Falló"))</f>
        <v/>
      </c>
    </row>
    <row r="1469" ht="16" customHeight="1">
      <c r="A1469" s="48" t="n"/>
      <c r="B1469" s="48" t="n"/>
      <c r="C1469" s="47" t="n"/>
      <c r="D1469" s="50" t="n"/>
      <c r="E1469" s="50" t="n"/>
      <c r="F1469" s="50" t="n"/>
      <c r="G1469" s="50" t="n"/>
      <c r="H1469" s="48" t="n"/>
      <c r="I1469" s="51" t="n"/>
      <c r="J1469" s="52" t="n"/>
      <c r="K1469" s="47" t="n"/>
      <c r="L1469" s="47" t="n"/>
      <c r="M1469" s="24">
        <f>IF(OR($A1469="",$C1469=""),"",IF($L1469&lt;&gt;"",$L1469-$C1469,TODAY()-$C1469))</f>
        <v/>
      </c>
      <c r="N1469" s="28">
        <f>IF(OR($A1469="",$K1469=""),"",IF($L1469="",IF(TODAY()&gt;$K1469,"Atrasado","En ruta"),IF($L1469&lt;=$K1469,"Sí","No")))</f>
        <v/>
      </c>
      <c r="O1469" s="24">
        <f>IF($A1469="","",COUNTIFS(NOVEDADES!$D$4:$D$1503,$A1469))</f>
        <v/>
      </c>
      <c r="P1469" s="28">
        <f>IF($A1469="","",IF(COUNTIFS(NOVEDADES!$D$4:$D$1503,$A1469,NOVEDADES!$O$4:$O$1503,"SÍ")&gt;0,"No","Sí"))</f>
        <v/>
      </c>
      <c r="Q1469" s="28">
        <f>IF(OR($A1469="",$L1469=""),"",IF(AND($N1469="Sí",$P1469="Sí"),"OTIF","Falló"))</f>
        <v/>
      </c>
    </row>
    <row r="1470" ht="16" customHeight="1">
      <c r="A1470" s="48" t="n"/>
      <c r="B1470" s="48" t="n"/>
      <c r="C1470" s="47" t="n"/>
      <c r="D1470" s="50" t="n"/>
      <c r="E1470" s="50" t="n"/>
      <c r="F1470" s="50" t="n"/>
      <c r="G1470" s="50" t="n"/>
      <c r="H1470" s="48" t="n"/>
      <c r="I1470" s="51" t="n"/>
      <c r="J1470" s="52" t="n"/>
      <c r="K1470" s="47" t="n"/>
      <c r="L1470" s="47" t="n"/>
      <c r="M1470" s="24">
        <f>IF(OR($A1470="",$C1470=""),"",IF($L1470&lt;&gt;"",$L1470-$C1470,TODAY()-$C1470))</f>
        <v/>
      </c>
      <c r="N1470" s="28">
        <f>IF(OR($A1470="",$K1470=""),"",IF($L1470="",IF(TODAY()&gt;$K1470,"Atrasado","En ruta"),IF($L1470&lt;=$K1470,"Sí","No")))</f>
        <v/>
      </c>
      <c r="O1470" s="24">
        <f>IF($A1470="","",COUNTIFS(NOVEDADES!$D$4:$D$1503,$A1470))</f>
        <v/>
      </c>
      <c r="P1470" s="28">
        <f>IF($A1470="","",IF(COUNTIFS(NOVEDADES!$D$4:$D$1503,$A1470,NOVEDADES!$O$4:$O$1503,"SÍ")&gt;0,"No","Sí"))</f>
        <v/>
      </c>
      <c r="Q1470" s="28">
        <f>IF(OR($A1470="",$L1470=""),"",IF(AND($N1470="Sí",$P1470="Sí"),"OTIF","Falló"))</f>
        <v/>
      </c>
    </row>
    <row r="1471" ht="16" customHeight="1">
      <c r="A1471" s="48" t="n"/>
      <c r="B1471" s="48" t="n"/>
      <c r="C1471" s="47" t="n"/>
      <c r="D1471" s="50" t="n"/>
      <c r="E1471" s="50" t="n"/>
      <c r="F1471" s="50" t="n"/>
      <c r="G1471" s="50" t="n"/>
      <c r="H1471" s="48" t="n"/>
      <c r="I1471" s="51" t="n"/>
      <c r="J1471" s="52" t="n"/>
      <c r="K1471" s="47" t="n"/>
      <c r="L1471" s="47" t="n"/>
      <c r="M1471" s="24">
        <f>IF(OR($A1471="",$C1471=""),"",IF($L1471&lt;&gt;"",$L1471-$C1471,TODAY()-$C1471))</f>
        <v/>
      </c>
      <c r="N1471" s="28">
        <f>IF(OR($A1471="",$K1471=""),"",IF($L1471="",IF(TODAY()&gt;$K1471,"Atrasado","En ruta"),IF($L1471&lt;=$K1471,"Sí","No")))</f>
        <v/>
      </c>
      <c r="O1471" s="24">
        <f>IF($A1471="","",COUNTIFS(NOVEDADES!$D$4:$D$1503,$A1471))</f>
        <v/>
      </c>
      <c r="P1471" s="28">
        <f>IF($A1471="","",IF(COUNTIFS(NOVEDADES!$D$4:$D$1503,$A1471,NOVEDADES!$O$4:$O$1503,"SÍ")&gt;0,"No","Sí"))</f>
        <v/>
      </c>
      <c r="Q1471" s="28">
        <f>IF(OR($A1471="",$L1471=""),"",IF(AND($N1471="Sí",$P1471="Sí"),"OTIF","Falló"))</f>
        <v/>
      </c>
    </row>
    <row r="1472" ht="16" customHeight="1">
      <c r="A1472" s="48" t="n"/>
      <c r="B1472" s="48" t="n"/>
      <c r="C1472" s="47" t="n"/>
      <c r="D1472" s="50" t="n"/>
      <c r="E1472" s="50" t="n"/>
      <c r="F1472" s="50" t="n"/>
      <c r="G1472" s="50" t="n"/>
      <c r="H1472" s="48" t="n"/>
      <c r="I1472" s="51" t="n"/>
      <c r="J1472" s="52" t="n"/>
      <c r="K1472" s="47" t="n"/>
      <c r="L1472" s="47" t="n"/>
      <c r="M1472" s="24">
        <f>IF(OR($A1472="",$C1472=""),"",IF($L1472&lt;&gt;"",$L1472-$C1472,TODAY()-$C1472))</f>
        <v/>
      </c>
      <c r="N1472" s="28">
        <f>IF(OR($A1472="",$K1472=""),"",IF($L1472="",IF(TODAY()&gt;$K1472,"Atrasado","En ruta"),IF($L1472&lt;=$K1472,"Sí","No")))</f>
        <v/>
      </c>
      <c r="O1472" s="24">
        <f>IF($A1472="","",COUNTIFS(NOVEDADES!$D$4:$D$1503,$A1472))</f>
        <v/>
      </c>
      <c r="P1472" s="28">
        <f>IF($A1472="","",IF(COUNTIFS(NOVEDADES!$D$4:$D$1503,$A1472,NOVEDADES!$O$4:$O$1503,"SÍ")&gt;0,"No","Sí"))</f>
        <v/>
      </c>
      <c r="Q1472" s="28">
        <f>IF(OR($A1472="",$L1472=""),"",IF(AND($N1472="Sí",$P1472="Sí"),"OTIF","Falló"))</f>
        <v/>
      </c>
    </row>
    <row r="1473" ht="16" customHeight="1">
      <c r="A1473" s="48" t="n"/>
      <c r="B1473" s="48" t="n"/>
      <c r="C1473" s="47" t="n"/>
      <c r="D1473" s="50" t="n"/>
      <c r="E1473" s="50" t="n"/>
      <c r="F1473" s="50" t="n"/>
      <c r="G1473" s="50" t="n"/>
      <c r="H1473" s="48" t="n"/>
      <c r="I1473" s="51" t="n"/>
      <c r="J1473" s="52" t="n"/>
      <c r="K1473" s="47" t="n"/>
      <c r="L1473" s="47" t="n"/>
      <c r="M1473" s="24">
        <f>IF(OR($A1473="",$C1473=""),"",IF($L1473&lt;&gt;"",$L1473-$C1473,TODAY()-$C1473))</f>
        <v/>
      </c>
      <c r="N1473" s="28">
        <f>IF(OR($A1473="",$K1473=""),"",IF($L1473="",IF(TODAY()&gt;$K1473,"Atrasado","En ruta"),IF($L1473&lt;=$K1473,"Sí","No")))</f>
        <v/>
      </c>
      <c r="O1473" s="24">
        <f>IF($A1473="","",COUNTIFS(NOVEDADES!$D$4:$D$1503,$A1473))</f>
        <v/>
      </c>
      <c r="P1473" s="28">
        <f>IF($A1473="","",IF(COUNTIFS(NOVEDADES!$D$4:$D$1503,$A1473,NOVEDADES!$O$4:$O$1503,"SÍ")&gt;0,"No","Sí"))</f>
        <v/>
      </c>
      <c r="Q1473" s="28">
        <f>IF(OR($A1473="",$L1473=""),"",IF(AND($N1473="Sí",$P1473="Sí"),"OTIF","Falló"))</f>
        <v/>
      </c>
    </row>
    <row r="1474" ht="16" customHeight="1">
      <c r="A1474" s="48" t="n"/>
      <c r="B1474" s="48" t="n"/>
      <c r="C1474" s="47" t="n"/>
      <c r="D1474" s="50" t="n"/>
      <c r="E1474" s="50" t="n"/>
      <c r="F1474" s="50" t="n"/>
      <c r="G1474" s="50" t="n"/>
      <c r="H1474" s="48" t="n"/>
      <c r="I1474" s="51" t="n"/>
      <c r="J1474" s="52" t="n"/>
      <c r="K1474" s="47" t="n"/>
      <c r="L1474" s="47" t="n"/>
      <c r="M1474" s="24">
        <f>IF(OR($A1474="",$C1474=""),"",IF($L1474&lt;&gt;"",$L1474-$C1474,TODAY()-$C1474))</f>
        <v/>
      </c>
      <c r="N1474" s="28">
        <f>IF(OR($A1474="",$K1474=""),"",IF($L1474="",IF(TODAY()&gt;$K1474,"Atrasado","En ruta"),IF($L1474&lt;=$K1474,"Sí","No")))</f>
        <v/>
      </c>
      <c r="O1474" s="24">
        <f>IF($A1474="","",COUNTIFS(NOVEDADES!$D$4:$D$1503,$A1474))</f>
        <v/>
      </c>
      <c r="P1474" s="28">
        <f>IF($A1474="","",IF(COUNTIFS(NOVEDADES!$D$4:$D$1503,$A1474,NOVEDADES!$O$4:$O$1503,"SÍ")&gt;0,"No","Sí"))</f>
        <v/>
      </c>
      <c r="Q1474" s="28">
        <f>IF(OR($A1474="",$L1474=""),"",IF(AND($N1474="Sí",$P1474="Sí"),"OTIF","Falló"))</f>
        <v/>
      </c>
    </row>
    <row r="1475" ht="16" customHeight="1">
      <c r="A1475" s="48" t="n"/>
      <c r="B1475" s="48" t="n"/>
      <c r="C1475" s="47" t="n"/>
      <c r="D1475" s="50" t="n"/>
      <c r="E1475" s="50" t="n"/>
      <c r="F1475" s="50" t="n"/>
      <c r="G1475" s="50" t="n"/>
      <c r="H1475" s="48" t="n"/>
      <c r="I1475" s="51" t="n"/>
      <c r="J1475" s="52" t="n"/>
      <c r="K1475" s="47" t="n"/>
      <c r="L1475" s="47" t="n"/>
      <c r="M1475" s="24">
        <f>IF(OR($A1475="",$C1475=""),"",IF($L1475&lt;&gt;"",$L1475-$C1475,TODAY()-$C1475))</f>
        <v/>
      </c>
      <c r="N1475" s="28">
        <f>IF(OR($A1475="",$K1475=""),"",IF($L1475="",IF(TODAY()&gt;$K1475,"Atrasado","En ruta"),IF($L1475&lt;=$K1475,"Sí","No")))</f>
        <v/>
      </c>
      <c r="O1475" s="24">
        <f>IF($A1475="","",COUNTIFS(NOVEDADES!$D$4:$D$1503,$A1475))</f>
        <v/>
      </c>
      <c r="P1475" s="28">
        <f>IF($A1475="","",IF(COUNTIFS(NOVEDADES!$D$4:$D$1503,$A1475,NOVEDADES!$O$4:$O$1503,"SÍ")&gt;0,"No","Sí"))</f>
        <v/>
      </c>
      <c r="Q1475" s="28">
        <f>IF(OR($A1475="",$L1475=""),"",IF(AND($N1475="Sí",$P1475="Sí"),"OTIF","Falló"))</f>
        <v/>
      </c>
    </row>
    <row r="1476" ht="16" customHeight="1">
      <c r="A1476" s="48" t="n"/>
      <c r="B1476" s="48" t="n"/>
      <c r="C1476" s="47" t="n"/>
      <c r="D1476" s="50" t="n"/>
      <c r="E1476" s="50" t="n"/>
      <c r="F1476" s="50" t="n"/>
      <c r="G1476" s="50" t="n"/>
      <c r="H1476" s="48" t="n"/>
      <c r="I1476" s="51" t="n"/>
      <c r="J1476" s="52" t="n"/>
      <c r="K1476" s="47" t="n"/>
      <c r="L1476" s="47" t="n"/>
      <c r="M1476" s="24">
        <f>IF(OR($A1476="",$C1476=""),"",IF($L1476&lt;&gt;"",$L1476-$C1476,TODAY()-$C1476))</f>
        <v/>
      </c>
      <c r="N1476" s="28">
        <f>IF(OR($A1476="",$K1476=""),"",IF($L1476="",IF(TODAY()&gt;$K1476,"Atrasado","En ruta"),IF($L1476&lt;=$K1476,"Sí","No")))</f>
        <v/>
      </c>
      <c r="O1476" s="24">
        <f>IF($A1476="","",COUNTIFS(NOVEDADES!$D$4:$D$1503,$A1476))</f>
        <v/>
      </c>
      <c r="P1476" s="28">
        <f>IF($A1476="","",IF(COUNTIFS(NOVEDADES!$D$4:$D$1503,$A1476,NOVEDADES!$O$4:$O$1503,"SÍ")&gt;0,"No","Sí"))</f>
        <v/>
      </c>
      <c r="Q1476" s="28">
        <f>IF(OR($A1476="",$L1476=""),"",IF(AND($N1476="Sí",$P1476="Sí"),"OTIF","Falló"))</f>
        <v/>
      </c>
    </row>
    <row r="1477" ht="16" customHeight="1">
      <c r="A1477" s="48" t="n"/>
      <c r="B1477" s="48" t="n"/>
      <c r="C1477" s="47" t="n"/>
      <c r="D1477" s="50" t="n"/>
      <c r="E1477" s="50" t="n"/>
      <c r="F1477" s="50" t="n"/>
      <c r="G1477" s="50" t="n"/>
      <c r="H1477" s="48" t="n"/>
      <c r="I1477" s="51" t="n"/>
      <c r="J1477" s="52" t="n"/>
      <c r="K1477" s="47" t="n"/>
      <c r="L1477" s="47" t="n"/>
      <c r="M1477" s="24">
        <f>IF(OR($A1477="",$C1477=""),"",IF($L1477&lt;&gt;"",$L1477-$C1477,TODAY()-$C1477))</f>
        <v/>
      </c>
      <c r="N1477" s="28">
        <f>IF(OR($A1477="",$K1477=""),"",IF($L1477="",IF(TODAY()&gt;$K1477,"Atrasado","En ruta"),IF($L1477&lt;=$K1477,"Sí","No")))</f>
        <v/>
      </c>
      <c r="O1477" s="24">
        <f>IF($A1477="","",COUNTIFS(NOVEDADES!$D$4:$D$1503,$A1477))</f>
        <v/>
      </c>
      <c r="P1477" s="28">
        <f>IF($A1477="","",IF(COUNTIFS(NOVEDADES!$D$4:$D$1503,$A1477,NOVEDADES!$O$4:$O$1503,"SÍ")&gt;0,"No","Sí"))</f>
        <v/>
      </c>
      <c r="Q1477" s="28">
        <f>IF(OR($A1477="",$L1477=""),"",IF(AND($N1477="Sí",$P1477="Sí"),"OTIF","Falló"))</f>
        <v/>
      </c>
    </row>
    <row r="1478" ht="16" customHeight="1">
      <c r="A1478" s="48" t="n"/>
      <c r="B1478" s="48" t="n"/>
      <c r="C1478" s="47" t="n"/>
      <c r="D1478" s="50" t="n"/>
      <c r="E1478" s="50" t="n"/>
      <c r="F1478" s="50" t="n"/>
      <c r="G1478" s="50" t="n"/>
      <c r="H1478" s="48" t="n"/>
      <c r="I1478" s="51" t="n"/>
      <c r="J1478" s="52" t="n"/>
      <c r="K1478" s="47" t="n"/>
      <c r="L1478" s="47" t="n"/>
      <c r="M1478" s="24">
        <f>IF(OR($A1478="",$C1478=""),"",IF($L1478&lt;&gt;"",$L1478-$C1478,TODAY()-$C1478))</f>
        <v/>
      </c>
      <c r="N1478" s="28">
        <f>IF(OR($A1478="",$K1478=""),"",IF($L1478="",IF(TODAY()&gt;$K1478,"Atrasado","En ruta"),IF($L1478&lt;=$K1478,"Sí","No")))</f>
        <v/>
      </c>
      <c r="O1478" s="24">
        <f>IF($A1478="","",COUNTIFS(NOVEDADES!$D$4:$D$1503,$A1478))</f>
        <v/>
      </c>
      <c r="P1478" s="28">
        <f>IF($A1478="","",IF(COUNTIFS(NOVEDADES!$D$4:$D$1503,$A1478,NOVEDADES!$O$4:$O$1503,"SÍ")&gt;0,"No","Sí"))</f>
        <v/>
      </c>
      <c r="Q1478" s="28">
        <f>IF(OR($A1478="",$L1478=""),"",IF(AND($N1478="Sí",$P1478="Sí"),"OTIF","Falló"))</f>
        <v/>
      </c>
    </row>
    <row r="1479" ht="16" customHeight="1">
      <c r="A1479" s="48" t="n"/>
      <c r="B1479" s="48" t="n"/>
      <c r="C1479" s="47" t="n"/>
      <c r="D1479" s="50" t="n"/>
      <c r="E1479" s="50" t="n"/>
      <c r="F1479" s="50" t="n"/>
      <c r="G1479" s="50" t="n"/>
      <c r="H1479" s="48" t="n"/>
      <c r="I1479" s="51" t="n"/>
      <c r="J1479" s="52" t="n"/>
      <c r="K1479" s="47" t="n"/>
      <c r="L1479" s="47" t="n"/>
      <c r="M1479" s="24">
        <f>IF(OR($A1479="",$C1479=""),"",IF($L1479&lt;&gt;"",$L1479-$C1479,TODAY()-$C1479))</f>
        <v/>
      </c>
      <c r="N1479" s="28">
        <f>IF(OR($A1479="",$K1479=""),"",IF($L1479="",IF(TODAY()&gt;$K1479,"Atrasado","En ruta"),IF($L1479&lt;=$K1479,"Sí","No")))</f>
        <v/>
      </c>
      <c r="O1479" s="24">
        <f>IF($A1479="","",COUNTIFS(NOVEDADES!$D$4:$D$1503,$A1479))</f>
        <v/>
      </c>
      <c r="P1479" s="28">
        <f>IF($A1479="","",IF(COUNTIFS(NOVEDADES!$D$4:$D$1503,$A1479,NOVEDADES!$O$4:$O$1503,"SÍ")&gt;0,"No","Sí"))</f>
        <v/>
      </c>
      <c r="Q1479" s="28">
        <f>IF(OR($A1479="",$L1479=""),"",IF(AND($N1479="Sí",$P1479="Sí"),"OTIF","Falló"))</f>
        <v/>
      </c>
    </row>
    <row r="1480" ht="16" customHeight="1">
      <c r="A1480" s="48" t="n"/>
      <c r="B1480" s="48" t="n"/>
      <c r="C1480" s="47" t="n"/>
      <c r="D1480" s="50" t="n"/>
      <c r="E1480" s="50" t="n"/>
      <c r="F1480" s="50" t="n"/>
      <c r="G1480" s="50" t="n"/>
      <c r="H1480" s="48" t="n"/>
      <c r="I1480" s="51" t="n"/>
      <c r="J1480" s="52" t="n"/>
      <c r="K1480" s="47" t="n"/>
      <c r="L1480" s="47" t="n"/>
      <c r="M1480" s="24">
        <f>IF(OR($A1480="",$C1480=""),"",IF($L1480&lt;&gt;"",$L1480-$C1480,TODAY()-$C1480))</f>
        <v/>
      </c>
      <c r="N1480" s="28">
        <f>IF(OR($A1480="",$K1480=""),"",IF($L1480="",IF(TODAY()&gt;$K1480,"Atrasado","En ruta"),IF($L1480&lt;=$K1480,"Sí","No")))</f>
        <v/>
      </c>
      <c r="O1480" s="24">
        <f>IF($A1480="","",COUNTIFS(NOVEDADES!$D$4:$D$1503,$A1480))</f>
        <v/>
      </c>
      <c r="P1480" s="28">
        <f>IF($A1480="","",IF(COUNTIFS(NOVEDADES!$D$4:$D$1503,$A1480,NOVEDADES!$O$4:$O$1503,"SÍ")&gt;0,"No","Sí"))</f>
        <v/>
      </c>
      <c r="Q1480" s="28">
        <f>IF(OR($A1480="",$L1480=""),"",IF(AND($N1480="Sí",$P1480="Sí"),"OTIF","Falló"))</f>
        <v/>
      </c>
    </row>
    <row r="1481" ht="16" customHeight="1">
      <c r="A1481" s="48" t="n"/>
      <c r="B1481" s="48" t="n"/>
      <c r="C1481" s="47" t="n"/>
      <c r="D1481" s="50" t="n"/>
      <c r="E1481" s="50" t="n"/>
      <c r="F1481" s="50" t="n"/>
      <c r="G1481" s="50" t="n"/>
      <c r="H1481" s="48" t="n"/>
      <c r="I1481" s="51" t="n"/>
      <c r="J1481" s="52" t="n"/>
      <c r="K1481" s="47" t="n"/>
      <c r="L1481" s="47" t="n"/>
      <c r="M1481" s="24">
        <f>IF(OR($A1481="",$C1481=""),"",IF($L1481&lt;&gt;"",$L1481-$C1481,TODAY()-$C1481))</f>
        <v/>
      </c>
      <c r="N1481" s="28">
        <f>IF(OR($A1481="",$K1481=""),"",IF($L1481="",IF(TODAY()&gt;$K1481,"Atrasado","En ruta"),IF($L1481&lt;=$K1481,"Sí","No")))</f>
        <v/>
      </c>
      <c r="O1481" s="24">
        <f>IF($A1481="","",COUNTIFS(NOVEDADES!$D$4:$D$1503,$A1481))</f>
        <v/>
      </c>
      <c r="P1481" s="28">
        <f>IF($A1481="","",IF(COUNTIFS(NOVEDADES!$D$4:$D$1503,$A1481,NOVEDADES!$O$4:$O$1503,"SÍ")&gt;0,"No","Sí"))</f>
        <v/>
      </c>
      <c r="Q1481" s="28">
        <f>IF(OR($A1481="",$L1481=""),"",IF(AND($N1481="Sí",$P1481="Sí"),"OTIF","Falló"))</f>
        <v/>
      </c>
    </row>
    <row r="1482" ht="16" customHeight="1">
      <c r="A1482" s="48" t="n"/>
      <c r="B1482" s="48" t="n"/>
      <c r="C1482" s="47" t="n"/>
      <c r="D1482" s="50" t="n"/>
      <c r="E1482" s="50" t="n"/>
      <c r="F1482" s="50" t="n"/>
      <c r="G1482" s="50" t="n"/>
      <c r="H1482" s="48" t="n"/>
      <c r="I1482" s="51" t="n"/>
      <c r="J1482" s="52" t="n"/>
      <c r="K1482" s="47" t="n"/>
      <c r="L1482" s="47" t="n"/>
      <c r="M1482" s="24">
        <f>IF(OR($A1482="",$C1482=""),"",IF($L1482&lt;&gt;"",$L1482-$C1482,TODAY()-$C1482))</f>
        <v/>
      </c>
      <c r="N1482" s="28">
        <f>IF(OR($A1482="",$K1482=""),"",IF($L1482="",IF(TODAY()&gt;$K1482,"Atrasado","En ruta"),IF($L1482&lt;=$K1482,"Sí","No")))</f>
        <v/>
      </c>
      <c r="O1482" s="24">
        <f>IF($A1482="","",COUNTIFS(NOVEDADES!$D$4:$D$1503,$A1482))</f>
        <v/>
      </c>
      <c r="P1482" s="28">
        <f>IF($A1482="","",IF(COUNTIFS(NOVEDADES!$D$4:$D$1503,$A1482,NOVEDADES!$O$4:$O$1503,"SÍ")&gt;0,"No","Sí"))</f>
        <v/>
      </c>
      <c r="Q1482" s="28">
        <f>IF(OR($A1482="",$L1482=""),"",IF(AND($N1482="Sí",$P1482="Sí"),"OTIF","Falló"))</f>
        <v/>
      </c>
    </row>
    <row r="1483" ht="16" customHeight="1">
      <c r="A1483" s="48" t="n"/>
      <c r="B1483" s="48" t="n"/>
      <c r="C1483" s="47" t="n"/>
      <c r="D1483" s="50" t="n"/>
      <c r="E1483" s="50" t="n"/>
      <c r="F1483" s="50" t="n"/>
      <c r="G1483" s="50" t="n"/>
      <c r="H1483" s="48" t="n"/>
      <c r="I1483" s="51" t="n"/>
      <c r="J1483" s="52" t="n"/>
      <c r="K1483" s="47" t="n"/>
      <c r="L1483" s="47" t="n"/>
      <c r="M1483" s="24">
        <f>IF(OR($A1483="",$C1483=""),"",IF($L1483&lt;&gt;"",$L1483-$C1483,TODAY()-$C1483))</f>
        <v/>
      </c>
      <c r="N1483" s="28">
        <f>IF(OR($A1483="",$K1483=""),"",IF($L1483="",IF(TODAY()&gt;$K1483,"Atrasado","En ruta"),IF($L1483&lt;=$K1483,"Sí","No")))</f>
        <v/>
      </c>
      <c r="O1483" s="24">
        <f>IF($A1483="","",COUNTIFS(NOVEDADES!$D$4:$D$1503,$A1483))</f>
        <v/>
      </c>
      <c r="P1483" s="28">
        <f>IF($A1483="","",IF(COUNTIFS(NOVEDADES!$D$4:$D$1503,$A1483,NOVEDADES!$O$4:$O$1503,"SÍ")&gt;0,"No","Sí"))</f>
        <v/>
      </c>
      <c r="Q1483" s="28">
        <f>IF(OR($A1483="",$L1483=""),"",IF(AND($N1483="Sí",$P1483="Sí"),"OTIF","Falló"))</f>
        <v/>
      </c>
    </row>
    <row r="1484" ht="16" customHeight="1">
      <c r="A1484" s="48" t="n"/>
      <c r="B1484" s="48" t="n"/>
      <c r="C1484" s="47" t="n"/>
      <c r="D1484" s="50" t="n"/>
      <c r="E1484" s="50" t="n"/>
      <c r="F1484" s="50" t="n"/>
      <c r="G1484" s="50" t="n"/>
      <c r="H1484" s="48" t="n"/>
      <c r="I1484" s="51" t="n"/>
      <c r="J1484" s="52" t="n"/>
      <c r="K1484" s="47" t="n"/>
      <c r="L1484" s="47" t="n"/>
      <c r="M1484" s="24">
        <f>IF(OR($A1484="",$C1484=""),"",IF($L1484&lt;&gt;"",$L1484-$C1484,TODAY()-$C1484))</f>
        <v/>
      </c>
      <c r="N1484" s="28">
        <f>IF(OR($A1484="",$K1484=""),"",IF($L1484="",IF(TODAY()&gt;$K1484,"Atrasado","En ruta"),IF($L1484&lt;=$K1484,"Sí","No")))</f>
        <v/>
      </c>
      <c r="O1484" s="24">
        <f>IF($A1484="","",COUNTIFS(NOVEDADES!$D$4:$D$1503,$A1484))</f>
        <v/>
      </c>
      <c r="P1484" s="28">
        <f>IF($A1484="","",IF(COUNTIFS(NOVEDADES!$D$4:$D$1503,$A1484,NOVEDADES!$O$4:$O$1503,"SÍ")&gt;0,"No","Sí"))</f>
        <v/>
      </c>
      <c r="Q1484" s="28">
        <f>IF(OR($A1484="",$L1484=""),"",IF(AND($N1484="Sí",$P1484="Sí"),"OTIF","Falló"))</f>
        <v/>
      </c>
    </row>
    <row r="1485" ht="16" customHeight="1">
      <c r="A1485" s="48" t="n"/>
      <c r="B1485" s="48" t="n"/>
      <c r="C1485" s="47" t="n"/>
      <c r="D1485" s="50" t="n"/>
      <c r="E1485" s="50" t="n"/>
      <c r="F1485" s="50" t="n"/>
      <c r="G1485" s="50" t="n"/>
      <c r="H1485" s="48" t="n"/>
      <c r="I1485" s="51" t="n"/>
      <c r="J1485" s="52" t="n"/>
      <c r="K1485" s="47" t="n"/>
      <c r="L1485" s="47" t="n"/>
      <c r="M1485" s="24">
        <f>IF(OR($A1485="",$C1485=""),"",IF($L1485&lt;&gt;"",$L1485-$C1485,TODAY()-$C1485))</f>
        <v/>
      </c>
      <c r="N1485" s="28">
        <f>IF(OR($A1485="",$K1485=""),"",IF($L1485="",IF(TODAY()&gt;$K1485,"Atrasado","En ruta"),IF($L1485&lt;=$K1485,"Sí","No")))</f>
        <v/>
      </c>
      <c r="O1485" s="24">
        <f>IF($A1485="","",COUNTIFS(NOVEDADES!$D$4:$D$1503,$A1485))</f>
        <v/>
      </c>
      <c r="P1485" s="28">
        <f>IF($A1485="","",IF(COUNTIFS(NOVEDADES!$D$4:$D$1503,$A1485,NOVEDADES!$O$4:$O$1503,"SÍ")&gt;0,"No","Sí"))</f>
        <v/>
      </c>
      <c r="Q1485" s="28">
        <f>IF(OR($A1485="",$L1485=""),"",IF(AND($N1485="Sí",$P1485="Sí"),"OTIF","Falló"))</f>
        <v/>
      </c>
    </row>
    <row r="1486" ht="16" customHeight="1">
      <c r="A1486" s="48" t="n"/>
      <c r="B1486" s="48" t="n"/>
      <c r="C1486" s="47" t="n"/>
      <c r="D1486" s="50" t="n"/>
      <c r="E1486" s="50" t="n"/>
      <c r="F1486" s="50" t="n"/>
      <c r="G1486" s="50" t="n"/>
      <c r="H1486" s="48" t="n"/>
      <c r="I1486" s="51" t="n"/>
      <c r="J1486" s="52" t="n"/>
      <c r="K1486" s="47" t="n"/>
      <c r="L1486" s="47" t="n"/>
      <c r="M1486" s="24">
        <f>IF(OR($A1486="",$C1486=""),"",IF($L1486&lt;&gt;"",$L1486-$C1486,TODAY()-$C1486))</f>
        <v/>
      </c>
      <c r="N1486" s="28">
        <f>IF(OR($A1486="",$K1486=""),"",IF($L1486="",IF(TODAY()&gt;$K1486,"Atrasado","En ruta"),IF($L1486&lt;=$K1486,"Sí","No")))</f>
        <v/>
      </c>
      <c r="O1486" s="24">
        <f>IF($A1486="","",COUNTIFS(NOVEDADES!$D$4:$D$1503,$A1486))</f>
        <v/>
      </c>
      <c r="P1486" s="28">
        <f>IF($A1486="","",IF(COUNTIFS(NOVEDADES!$D$4:$D$1503,$A1486,NOVEDADES!$O$4:$O$1503,"SÍ")&gt;0,"No","Sí"))</f>
        <v/>
      </c>
      <c r="Q1486" s="28">
        <f>IF(OR($A1486="",$L1486=""),"",IF(AND($N1486="Sí",$P1486="Sí"),"OTIF","Falló"))</f>
        <v/>
      </c>
    </row>
    <row r="1487" ht="16" customHeight="1">
      <c r="A1487" s="48" t="n"/>
      <c r="B1487" s="48" t="n"/>
      <c r="C1487" s="47" t="n"/>
      <c r="D1487" s="50" t="n"/>
      <c r="E1487" s="50" t="n"/>
      <c r="F1487" s="50" t="n"/>
      <c r="G1487" s="50" t="n"/>
      <c r="H1487" s="48" t="n"/>
      <c r="I1487" s="51" t="n"/>
      <c r="J1487" s="52" t="n"/>
      <c r="K1487" s="47" t="n"/>
      <c r="L1487" s="47" t="n"/>
      <c r="M1487" s="24">
        <f>IF(OR($A1487="",$C1487=""),"",IF($L1487&lt;&gt;"",$L1487-$C1487,TODAY()-$C1487))</f>
        <v/>
      </c>
      <c r="N1487" s="28">
        <f>IF(OR($A1487="",$K1487=""),"",IF($L1487="",IF(TODAY()&gt;$K1487,"Atrasado","En ruta"),IF($L1487&lt;=$K1487,"Sí","No")))</f>
        <v/>
      </c>
      <c r="O1487" s="24">
        <f>IF($A1487="","",COUNTIFS(NOVEDADES!$D$4:$D$1503,$A1487))</f>
        <v/>
      </c>
      <c r="P1487" s="28">
        <f>IF($A1487="","",IF(COUNTIFS(NOVEDADES!$D$4:$D$1503,$A1487,NOVEDADES!$O$4:$O$1503,"SÍ")&gt;0,"No","Sí"))</f>
        <v/>
      </c>
      <c r="Q1487" s="28">
        <f>IF(OR($A1487="",$L1487=""),"",IF(AND($N1487="Sí",$P1487="Sí"),"OTIF","Falló"))</f>
        <v/>
      </c>
    </row>
    <row r="1488" ht="16" customHeight="1">
      <c r="A1488" s="48" t="n"/>
      <c r="B1488" s="48" t="n"/>
      <c r="C1488" s="47" t="n"/>
      <c r="D1488" s="50" t="n"/>
      <c r="E1488" s="50" t="n"/>
      <c r="F1488" s="50" t="n"/>
      <c r="G1488" s="50" t="n"/>
      <c r="H1488" s="48" t="n"/>
      <c r="I1488" s="51" t="n"/>
      <c r="J1488" s="52" t="n"/>
      <c r="K1488" s="47" t="n"/>
      <c r="L1488" s="47" t="n"/>
      <c r="M1488" s="24">
        <f>IF(OR($A1488="",$C1488=""),"",IF($L1488&lt;&gt;"",$L1488-$C1488,TODAY()-$C1488))</f>
        <v/>
      </c>
      <c r="N1488" s="28">
        <f>IF(OR($A1488="",$K1488=""),"",IF($L1488="",IF(TODAY()&gt;$K1488,"Atrasado","En ruta"),IF($L1488&lt;=$K1488,"Sí","No")))</f>
        <v/>
      </c>
      <c r="O1488" s="24">
        <f>IF($A1488="","",COUNTIFS(NOVEDADES!$D$4:$D$1503,$A1488))</f>
        <v/>
      </c>
      <c r="P1488" s="28">
        <f>IF($A1488="","",IF(COUNTIFS(NOVEDADES!$D$4:$D$1503,$A1488,NOVEDADES!$O$4:$O$1503,"SÍ")&gt;0,"No","Sí"))</f>
        <v/>
      </c>
      <c r="Q1488" s="28">
        <f>IF(OR($A1488="",$L1488=""),"",IF(AND($N1488="Sí",$P1488="Sí"),"OTIF","Falló"))</f>
        <v/>
      </c>
    </row>
    <row r="1489" ht="16" customHeight="1">
      <c r="A1489" s="48" t="n"/>
      <c r="B1489" s="48" t="n"/>
      <c r="C1489" s="47" t="n"/>
      <c r="D1489" s="50" t="n"/>
      <c r="E1489" s="50" t="n"/>
      <c r="F1489" s="50" t="n"/>
      <c r="G1489" s="50" t="n"/>
      <c r="H1489" s="48" t="n"/>
      <c r="I1489" s="51" t="n"/>
      <c r="J1489" s="52" t="n"/>
      <c r="K1489" s="47" t="n"/>
      <c r="L1489" s="47" t="n"/>
      <c r="M1489" s="24">
        <f>IF(OR($A1489="",$C1489=""),"",IF($L1489&lt;&gt;"",$L1489-$C1489,TODAY()-$C1489))</f>
        <v/>
      </c>
      <c r="N1489" s="28">
        <f>IF(OR($A1489="",$K1489=""),"",IF($L1489="",IF(TODAY()&gt;$K1489,"Atrasado","En ruta"),IF($L1489&lt;=$K1489,"Sí","No")))</f>
        <v/>
      </c>
      <c r="O1489" s="24">
        <f>IF($A1489="","",COUNTIFS(NOVEDADES!$D$4:$D$1503,$A1489))</f>
        <v/>
      </c>
      <c r="P1489" s="28">
        <f>IF($A1489="","",IF(COUNTIFS(NOVEDADES!$D$4:$D$1503,$A1489,NOVEDADES!$O$4:$O$1503,"SÍ")&gt;0,"No","Sí"))</f>
        <v/>
      </c>
      <c r="Q1489" s="28">
        <f>IF(OR($A1489="",$L1489=""),"",IF(AND($N1489="Sí",$P1489="Sí"),"OTIF","Falló"))</f>
        <v/>
      </c>
    </row>
    <row r="1490" ht="16" customHeight="1">
      <c r="A1490" s="48" t="n"/>
      <c r="B1490" s="48" t="n"/>
      <c r="C1490" s="47" t="n"/>
      <c r="D1490" s="50" t="n"/>
      <c r="E1490" s="50" t="n"/>
      <c r="F1490" s="50" t="n"/>
      <c r="G1490" s="50" t="n"/>
      <c r="H1490" s="48" t="n"/>
      <c r="I1490" s="51" t="n"/>
      <c r="J1490" s="52" t="n"/>
      <c r="K1490" s="47" t="n"/>
      <c r="L1490" s="47" t="n"/>
      <c r="M1490" s="24">
        <f>IF(OR($A1490="",$C1490=""),"",IF($L1490&lt;&gt;"",$L1490-$C1490,TODAY()-$C1490))</f>
        <v/>
      </c>
      <c r="N1490" s="28">
        <f>IF(OR($A1490="",$K1490=""),"",IF($L1490="",IF(TODAY()&gt;$K1490,"Atrasado","En ruta"),IF($L1490&lt;=$K1490,"Sí","No")))</f>
        <v/>
      </c>
      <c r="O1490" s="24">
        <f>IF($A1490="","",COUNTIFS(NOVEDADES!$D$4:$D$1503,$A1490))</f>
        <v/>
      </c>
      <c r="P1490" s="28">
        <f>IF($A1490="","",IF(COUNTIFS(NOVEDADES!$D$4:$D$1503,$A1490,NOVEDADES!$O$4:$O$1503,"SÍ")&gt;0,"No","Sí"))</f>
        <v/>
      </c>
      <c r="Q1490" s="28">
        <f>IF(OR($A1490="",$L1490=""),"",IF(AND($N1490="Sí",$P1490="Sí"),"OTIF","Falló"))</f>
        <v/>
      </c>
    </row>
    <row r="1491" ht="16" customHeight="1">
      <c r="A1491" s="48" t="n"/>
      <c r="B1491" s="48" t="n"/>
      <c r="C1491" s="47" t="n"/>
      <c r="D1491" s="50" t="n"/>
      <c r="E1491" s="50" t="n"/>
      <c r="F1491" s="50" t="n"/>
      <c r="G1491" s="50" t="n"/>
      <c r="H1491" s="48" t="n"/>
      <c r="I1491" s="51" t="n"/>
      <c r="J1491" s="52" t="n"/>
      <c r="K1491" s="47" t="n"/>
      <c r="L1491" s="47" t="n"/>
      <c r="M1491" s="24">
        <f>IF(OR($A1491="",$C1491=""),"",IF($L1491&lt;&gt;"",$L1491-$C1491,TODAY()-$C1491))</f>
        <v/>
      </c>
      <c r="N1491" s="28">
        <f>IF(OR($A1491="",$K1491=""),"",IF($L1491="",IF(TODAY()&gt;$K1491,"Atrasado","En ruta"),IF($L1491&lt;=$K1491,"Sí","No")))</f>
        <v/>
      </c>
      <c r="O1491" s="24">
        <f>IF($A1491="","",COUNTIFS(NOVEDADES!$D$4:$D$1503,$A1491))</f>
        <v/>
      </c>
      <c r="P1491" s="28">
        <f>IF($A1491="","",IF(COUNTIFS(NOVEDADES!$D$4:$D$1503,$A1491,NOVEDADES!$O$4:$O$1503,"SÍ")&gt;0,"No","Sí"))</f>
        <v/>
      </c>
      <c r="Q1491" s="28">
        <f>IF(OR($A1491="",$L1491=""),"",IF(AND($N1491="Sí",$P1491="Sí"),"OTIF","Falló"))</f>
        <v/>
      </c>
    </row>
    <row r="1492" ht="16" customHeight="1">
      <c r="A1492" s="48" t="n"/>
      <c r="B1492" s="48" t="n"/>
      <c r="C1492" s="47" t="n"/>
      <c r="D1492" s="50" t="n"/>
      <c r="E1492" s="50" t="n"/>
      <c r="F1492" s="50" t="n"/>
      <c r="G1492" s="50" t="n"/>
      <c r="H1492" s="48" t="n"/>
      <c r="I1492" s="51" t="n"/>
      <c r="J1492" s="52" t="n"/>
      <c r="K1492" s="47" t="n"/>
      <c r="L1492" s="47" t="n"/>
      <c r="M1492" s="24">
        <f>IF(OR($A1492="",$C1492=""),"",IF($L1492&lt;&gt;"",$L1492-$C1492,TODAY()-$C1492))</f>
        <v/>
      </c>
      <c r="N1492" s="28">
        <f>IF(OR($A1492="",$K1492=""),"",IF($L1492="",IF(TODAY()&gt;$K1492,"Atrasado","En ruta"),IF($L1492&lt;=$K1492,"Sí","No")))</f>
        <v/>
      </c>
      <c r="O1492" s="24">
        <f>IF($A1492="","",COUNTIFS(NOVEDADES!$D$4:$D$1503,$A1492))</f>
        <v/>
      </c>
      <c r="P1492" s="28">
        <f>IF($A1492="","",IF(COUNTIFS(NOVEDADES!$D$4:$D$1503,$A1492,NOVEDADES!$O$4:$O$1503,"SÍ")&gt;0,"No","Sí"))</f>
        <v/>
      </c>
      <c r="Q1492" s="28">
        <f>IF(OR($A1492="",$L1492=""),"",IF(AND($N1492="Sí",$P1492="Sí"),"OTIF","Falló"))</f>
        <v/>
      </c>
    </row>
    <row r="1493" ht="16" customHeight="1">
      <c r="A1493" s="48" t="n"/>
      <c r="B1493" s="48" t="n"/>
      <c r="C1493" s="47" t="n"/>
      <c r="D1493" s="50" t="n"/>
      <c r="E1493" s="50" t="n"/>
      <c r="F1493" s="50" t="n"/>
      <c r="G1493" s="50" t="n"/>
      <c r="H1493" s="48" t="n"/>
      <c r="I1493" s="51" t="n"/>
      <c r="J1493" s="52" t="n"/>
      <c r="K1493" s="47" t="n"/>
      <c r="L1493" s="47" t="n"/>
      <c r="M1493" s="24">
        <f>IF(OR($A1493="",$C1493=""),"",IF($L1493&lt;&gt;"",$L1493-$C1493,TODAY()-$C1493))</f>
        <v/>
      </c>
      <c r="N1493" s="28">
        <f>IF(OR($A1493="",$K1493=""),"",IF($L1493="",IF(TODAY()&gt;$K1493,"Atrasado","En ruta"),IF($L1493&lt;=$K1493,"Sí","No")))</f>
        <v/>
      </c>
      <c r="O1493" s="24">
        <f>IF($A1493="","",COUNTIFS(NOVEDADES!$D$4:$D$1503,$A1493))</f>
        <v/>
      </c>
      <c r="P1493" s="28">
        <f>IF($A1493="","",IF(COUNTIFS(NOVEDADES!$D$4:$D$1503,$A1493,NOVEDADES!$O$4:$O$1503,"SÍ")&gt;0,"No","Sí"))</f>
        <v/>
      </c>
      <c r="Q1493" s="28">
        <f>IF(OR($A1493="",$L1493=""),"",IF(AND($N1493="Sí",$P1493="Sí"),"OTIF","Falló"))</f>
        <v/>
      </c>
    </row>
    <row r="1494" ht="16" customHeight="1">
      <c r="A1494" s="48" t="n"/>
      <c r="B1494" s="48" t="n"/>
      <c r="C1494" s="47" t="n"/>
      <c r="D1494" s="50" t="n"/>
      <c r="E1494" s="50" t="n"/>
      <c r="F1494" s="50" t="n"/>
      <c r="G1494" s="50" t="n"/>
      <c r="H1494" s="48" t="n"/>
      <c r="I1494" s="51" t="n"/>
      <c r="J1494" s="52" t="n"/>
      <c r="K1494" s="47" t="n"/>
      <c r="L1494" s="47" t="n"/>
      <c r="M1494" s="24">
        <f>IF(OR($A1494="",$C1494=""),"",IF($L1494&lt;&gt;"",$L1494-$C1494,TODAY()-$C1494))</f>
        <v/>
      </c>
      <c r="N1494" s="28">
        <f>IF(OR($A1494="",$K1494=""),"",IF($L1494="",IF(TODAY()&gt;$K1494,"Atrasado","En ruta"),IF($L1494&lt;=$K1494,"Sí","No")))</f>
        <v/>
      </c>
      <c r="O1494" s="24">
        <f>IF($A1494="","",COUNTIFS(NOVEDADES!$D$4:$D$1503,$A1494))</f>
        <v/>
      </c>
      <c r="P1494" s="28">
        <f>IF($A1494="","",IF(COUNTIFS(NOVEDADES!$D$4:$D$1503,$A1494,NOVEDADES!$O$4:$O$1503,"SÍ")&gt;0,"No","Sí"))</f>
        <v/>
      </c>
      <c r="Q1494" s="28">
        <f>IF(OR($A1494="",$L1494=""),"",IF(AND($N1494="Sí",$P1494="Sí"),"OTIF","Falló"))</f>
        <v/>
      </c>
    </row>
    <row r="1495" ht="16" customHeight="1">
      <c r="A1495" s="48" t="n"/>
      <c r="B1495" s="48" t="n"/>
      <c r="C1495" s="47" t="n"/>
      <c r="D1495" s="50" t="n"/>
      <c r="E1495" s="50" t="n"/>
      <c r="F1495" s="50" t="n"/>
      <c r="G1495" s="50" t="n"/>
      <c r="H1495" s="48" t="n"/>
      <c r="I1495" s="51" t="n"/>
      <c r="J1495" s="52" t="n"/>
      <c r="K1495" s="47" t="n"/>
      <c r="L1495" s="47" t="n"/>
      <c r="M1495" s="24">
        <f>IF(OR($A1495="",$C1495=""),"",IF($L1495&lt;&gt;"",$L1495-$C1495,TODAY()-$C1495))</f>
        <v/>
      </c>
      <c r="N1495" s="28">
        <f>IF(OR($A1495="",$K1495=""),"",IF($L1495="",IF(TODAY()&gt;$K1495,"Atrasado","En ruta"),IF($L1495&lt;=$K1495,"Sí","No")))</f>
        <v/>
      </c>
      <c r="O1495" s="24">
        <f>IF($A1495="","",COUNTIFS(NOVEDADES!$D$4:$D$1503,$A1495))</f>
        <v/>
      </c>
      <c r="P1495" s="28">
        <f>IF($A1495="","",IF(COUNTIFS(NOVEDADES!$D$4:$D$1503,$A1495,NOVEDADES!$O$4:$O$1503,"SÍ")&gt;0,"No","Sí"))</f>
        <v/>
      </c>
      <c r="Q1495" s="28">
        <f>IF(OR($A1495="",$L1495=""),"",IF(AND($N1495="Sí",$P1495="Sí"),"OTIF","Falló"))</f>
        <v/>
      </c>
    </row>
    <row r="1496" ht="16" customHeight="1">
      <c r="A1496" s="48" t="n"/>
      <c r="B1496" s="48" t="n"/>
      <c r="C1496" s="47" t="n"/>
      <c r="D1496" s="50" t="n"/>
      <c r="E1496" s="50" t="n"/>
      <c r="F1496" s="50" t="n"/>
      <c r="G1496" s="50" t="n"/>
      <c r="H1496" s="48" t="n"/>
      <c r="I1496" s="51" t="n"/>
      <c r="J1496" s="52" t="n"/>
      <c r="K1496" s="47" t="n"/>
      <c r="L1496" s="47" t="n"/>
      <c r="M1496" s="24">
        <f>IF(OR($A1496="",$C1496=""),"",IF($L1496&lt;&gt;"",$L1496-$C1496,TODAY()-$C1496))</f>
        <v/>
      </c>
      <c r="N1496" s="28">
        <f>IF(OR($A1496="",$K1496=""),"",IF($L1496="",IF(TODAY()&gt;$K1496,"Atrasado","En ruta"),IF($L1496&lt;=$K1496,"Sí","No")))</f>
        <v/>
      </c>
      <c r="O1496" s="24">
        <f>IF($A1496="","",COUNTIFS(NOVEDADES!$D$4:$D$1503,$A1496))</f>
        <v/>
      </c>
      <c r="P1496" s="28">
        <f>IF($A1496="","",IF(COUNTIFS(NOVEDADES!$D$4:$D$1503,$A1496,NOVEDADES!$O$4:$O$1503,"SÍ")&gt;0,"No","Sí"))</f>
        <v/>
      </c>
      <c r="Q1496" s="28">
        <f>IF(OR($A1496="",$L1496=""),"",IF(AND($N1496="Sí",$P1496="Sí"),"OTIF","Falló"))</f>
        <v/>
      </c>
    </row>
    <row r="1497" ht="16" customHeight="1">
      <c r="A1497" s="48" t="n"/>
      <c r="B1497" s="48" t="n"/>
      <c r="C1497" s="47" t="n"/>
      <c r="D1497" s="50" t="n"/>
      <c r="E1497" s="50" t="n"/>
      <c r="F1497" s="50" t="n"/>
      <c r="G1497" s="50" t="n"/>
      <c r="H1497" s="48" t="n"/>
      <c r="I1497" s="51" t="n"/>
      <c r="J1497" s="52" t="n"/>
      <c r="K1497" s="47" t="n"/>
      <c r="L1497" s="47" t="n"/>
      <c r="M1497" s="24">
        <f>IF(OR($A1497="",$C1497=""),"",IF($L1497&lt;&gt;"",$L1497-$C1497,TODAY()-$C1497))</f>
        <v/>
      </c>
      <c r="N1497" s="28">
        <f>IF(OR($A1497="",$K1497=""),"",IF($L1497="",IF(TODAY()&gt;$K1497,"Atrasado","En ruta"),IF($L1497&lt;=$K1497,"Sí","No")))</f>
        <v/>
      </c>
      <c r="O1497" s="24">
        <f>IF($A1497="","",COUNTIFS(NOVEDADES!$D$4:$D$1503,$A1497))</f>
        <v/>
      </c>
      <c r="P1497" s="28">
        <f>IF($A1497="","",IF(COUNTIFS(NOVEDADES!$D$4:$D$1503,$A1497,NOVEDADES!$O$4:$O$1503,"SÍ")&gt;0,"No","Sí"))</f>
        <v/>
      </c>
      <c r="Q1497" s="28">
        <f>IF(OR($A1497="",$L1497=""),"",IF(AND($N1497="Sí",$P1497="Sí"),"OTIF","Falló"))</f>
        <v/>
      </c>
    </row>
    <row r="1498" ht="16" customHeight="1">
      <c r="A1498" s="48" t="n"/>
      <c r="B1498" s="48" t="n"/>
      <c r="C1498" s="47" t="n"/>
      <c r="D1498" s="50" t="n"/>
      <c r="E1498" s="50" t="n"/>
      <c r="F1498" s="50" t="n"/>
      <c r="G1498" s="50" t="n"/>
      <c r="H1498" s="48" t="n"/>
      <c r="I1498" s="51" t="n"/>
      <c r="J1498" s="52" t="n"/>
      <c r="K1498" s="47" t="n"/>
      <c r="L1498" s="47" t="n"/>
      <c r="M1498" s="24">
        <f>IF(OR($A1498="",$C1498=""),"",IF($L1498&lt;&gt;"",$L1498-$C1498,TODAY()-$C1498))</f>
        <v/>
      </c>
      <c r="N1498" s="28">
        <f>IF(OR($A1498="",$K1498=""),"",IF($L1498="",IF(TODAY()&gt;$K1498,"Atrasado","En ruta"),IF($L1498&lt;=$K1498,"Sí","No")))</f>
        <v/>
      </c>
      <c r="O1498" s="24">
        <f>IF($A1498="","",COUNTIFS(NOVEDADES!$D$4:$D$1503,$A1498))</f>
        <v/>
      </c>
      <c r="P1498" s="28">
        <f>IF($A1498="","",IF(COUNTIFS(NOVEDADES!$D$4:$D$1503,$A1498,NOVEDADES!$O$4:$O$1503,"SÍ")&gt;0,"No","Sí"))</f>
        <v/>
      </c>
      <c r="Q1498" s="28">
        <f>IF(OR($A1498="",$L1498=""),"",IF(AND($N1498="Sí",$P1498="Sí"),"OTIF","Falló"))</f>
        <v/>
      </c>
    </row>
    <row r="1499" ht="16" customHeight="1">
      <c r="A1499" s="48" t="n"/>
      <c r="B1499" s="48" t="n"/>
      <c r="C1499" s="47" t="n"/>
      <c r="D1499" s="50" t="n"/>
      <c r="E1499" s="50" t="n"/>
      <c r="F1499" s="50" t="n"/>
      <c r="G1499" s="50" t="n"/>
      <c r="H1499" s="48" t="n"/>
      <c r="I1499" s="51" t="n"/>
      <c r="J1499" s="52" t="n"/>
      <c r="K1499" s="47" t="n"/>
      <c r="L1499" s="47" t="n"/>
      <c r="M1499" s="24">
        <f>IF(OR($A1499="",$C1499=""),"",IF($L1499&lt;&gt;"",$L1499-$C1499,TODAY()-$C1499))</f>
        <v/>
      </c>
      <c r="N1499" s="28">
        <f>IF(OR($A1499="",$K1499=""),"",IF($L1499="",IF(TODAY()&gt;$K1499,"Atrasado","En ruta"),IF($L1499&lt;=$K1499,"Sí","No")))</f>
        <v/>
      </c>
      <c r="O1499" s="24">
        <f>IF($A1499="","",COUNTIFS(NOVEDADES!$D$4:$D$1503,$A1499))</f>
        <v/>
      </c>
      <c r="P1499" s="28">
        <f>IF($A1499="","",IF(COUNTIFS(NOVEDADES!$D$4:$D$1503,$A1499,NOVEDADES!$O$4:$O$1503,"SÍ")&gt;0,"No","Sí"))</f>
        <v/>
      </c>
      <c r="Q1499" s="28">
        <f>IF(OR($A1499="",$L1499=""),"",IF(AND($N1499="Sí",$P1499="Sí"),"OTIF","Falló"))</f>
        <v/>
      </c>
    </row>
    <row r="1500" ht="16" customHeight="1">
      <c r="A1500" s="48" t="n"/>
      <c r="B1500" s="48" t="n"/>
      <c r="C1500" s="47" t="n"/>
      <c r="D1500" s="50" t="n"/>
      <c r="E1500" s="50" t="n"/>
      <c r="F1500" s="50" t="n"/>
      <c r="G1500" s="50" t="n"/>
      <c r="H1500" s="48" t="n"/>
      <c r="I1500" s="51" t="n"/>
      <c r="J1500" s="52" t="n"/>
      <c r="K1500" s="47" t="n"/>
      <c r="L1500" s="47" t="n"/>
      <c r="M1500" s="24">
        <f>IF(OR($A1500="",$C1500=""),"",IF($L1500&lt;&gt;"",$L1500-$C1500,TODAY()-$C1500))</f>
        <v/>
      </c>
      <c r="N1500" s="28">
        <f>IF(OR($A1500="",$K1500=""),"",IF($L1500="",IF(TODAY()&gt;$K1500,"Atrasado","En ruta"),IF($L1500&lt;=$K1500,"Sí","No")))</f>
        <v/>
      </c>
      <c r="O1500" s="24">
        <f>IF($A1500="","",COUNTIFS(NOVEDADES!$D$4:$D$1503,$A1500))</f>
        <v/>
      </c>
      <c r="P1500" s="28">
        <f>IF($A1500="","",IF(COUNTIFS(NOVEDADES!$D$4:$D$1503,$A1500,NOVEDADES!$O$4:$O$1503,"SÍ")&gt;0,"No","Sí"))</f>
        <v/>
      </c>
      <c r="Q1500" s="28">
        <f>IF(OR($A1500="",$L1500=""),"",IF(AND($N1500="Sí",$P1500="Sí"),"OTIF","Falló"))</f>
        <v/>
      </c>
    </row>
    <row r="1501" ht="16" customHeight="1">
      <c r="A1501" s="48" t="n"/>
      <c r="B1501" s="48" t="n"/>
      <c r="C1501" s="47" t="n"/>
      <c r="D1501" s="50" t="n"/>
      <c r="E1501" s="50" t="n"/>
      <c r="F1501" s="50" t="n"/>
      <c r="G1501" s="50" t="n"/>
      <c r="H1501" s="48" t="n"/>
      <c r="I1501" s="51" t="n"/>
      <c r="J1501" s="52" t="n"/>
      <c r="K1501" s="47" t="n"/>
      <c r="L1501" s="47" t="n"/>
      <c r="M1501" s="24">
        <f>IF(OR($A1501="",$C1501=""),"",IF($L1501&lt;&gt;"",$L1501-$C1501,TODAY()-$C1501))</f>
        <v/>
      </c>
      <c r="N1501" s="28">
        <f>IF(OR($A1501="",$K1501=""),"",IF($L1501="",IF(TODAY()&gt;$K1501,"Atrasado","En ruta"),IF($L1501&lt;=$K1501,"Sí","No")))</f>
        <v/>
      </c>
      <c r="O1501" s="24">
        <f>IF($A1501="","",COUNTIFS(NOVEDADES!$D$4:$D$1503,$A1501))</f>
        <v/>
      </c>
      <c r="P1501" s="28">
        <f>IF($A1501="","",IF(COUNTIFS(NOVEDADES!$D$4:$D$1503,$A1501,NOVEDADES!$O$4:$O$1503,"SÍ")&gt;0,"No","Sí"))</f>
        <v/>
      </c>
      <c r="Q1501" s="28">
        <f>IF(OR($A1501="",$L1501=""),"",IF(AND($N1501="Sí",$P1501="Sí"),"OTIF","Falló"))</f>
        <v/>
      </c>
    </row>
    <row r="1502" ht="16" customHeight="1">
      <c r="A1502" s="48" t="n"/>
      <c r="B1502" s="48" t="n"/>
      <c r="C1502" s="47" t="n"/>
      <c r="D1502" s="50" t="n"/>
      <c r="E1502" s="50" t="n"/>
      <c r="F1502" s="50" t="n"/>
      <c r="G1502" s="50" t="n"/>
      <c r="H1502" s="48" t="n"/>
      <c r="I1502" s="51" t="n"/>
      <c r="J1502" s="52" t="n"/>
      <c r="K1502" s="47" t="n"/>
      <c r="L1502" s="47" t="n"/>
      <c r="M1502" s="24">
        <f>IF(OR($A1502="",$C1502=""),"",IF($L1502&lt;&gt;"",$L1502-$C1502,TODAY()-$C1502))</f>
        <v/>
      </c>
      <c r="N1502" s="28">
        <f>IF(OR($A1502="",$K1502=""),"",IF($L1502="",IF(TODAY()&gt;$K1502,"Atrasado","En ruta"),IF($L1502&lt;=$K1502,"Sí","No")))</f>
        <v/>
      </c>
      <c r="O1502" s="24">
        <f>IF($A1502="","",COUNTIFS(NOVEDADES!$D$4:$D$1503,$A1502))</f>
        <v/>
      </c>
      <c r="P1502" s="28">
        <f>IF($A1502="","",IF(COUNTIFS(NOVEDADES!$D$4:$D$1503,$A1502,NOVEDADES!$O$4:$O$1503,"SÍ")&gt;0,"No","Sí"))</f>
        <v/>
      </c>
      <c r="Q1502" s="28">
        <f>IF(OR($A1502="",$L1502=""),"",IF(AND($N1502="Sí",$P1502="Sí"),"OTIF","Falló"))</f>
        <v/>
      </c>
    </row>
    <row r="1503" ht="16" customHeight="1">
      <c r="A1503" s="48" t="n"/>
      <c r="B1503" s="48" t="n"/>
      <c r="C1503" s="47" t="n"/>
      <c r="D1503" s="50" t="n"/>
      <c r="E1503" s="50" t="n"/>
      <c r="F1503" s="50" t="n"/>
      <c r="G1503" s="50" t="n"/>
      <c r="H1503" s="48" t="n"/>
      <c r="I1503" s="51" t="n"/>
      <c r="J1503" s="52" t="n"/>
      <c r="K1503" s="47" t="n"/>
      <c r="L1503" s="47" t="n"/>
      <c r="M1503" s="24">
        <f>IF(OR($A1503="",$C1503=""),"",IF($L1503&lt;&gt;"",$L1503-$C1503,TODAY()-$C1503))</f>
        <v/>
      </c>
      <c r="N1503" s="28">
        <f>IF(OR($A1503="",$K1503=""),"",IF($L1503="",IF(TODAY()&gt;$K1503,"Atrasado","En ruta"),IF($L1503&lt;=$K1503,"Sí","No")))</f>
        <v/>
      </c>
      <c r="O1503" s="24">
        <f>IF($A1503="","",COUNTIFS(NOVEDADES!$D$4:$D$1503,$A1503))</f>
        <v/>
      </c>
      <c r="P1503" s="28">
        <f>IF($A1503="","",IF(COUNTIFS(NOVEDADES!$D$4:$D$1503,$A1503,NOVEDADES!$O$4:$O$1503,"SÍ")&gt;0,"No","Sí"))</f>
        <v/>
      </c>
      <c r="Q1503" s="28">
        <f>IF(OR($A1503="",$L1503=""),"",IF(AND($N1503="Sí",$P1503="Sí"),"OTIF","Falló"))</f>
        <v/>
      </c>
    </row>
    <row r="1504" ht="16" customHeight="1">
      <c r="A1504" s="48" t="n"/>
      <c r="B1504" s="48" t="n"/>
      <c r="C1504" s="47" t="n"/>
      <c r="D1504" s="50" t="n"/>
      <c r="E1504" s="50" t="n"/>
      <c r="F1504" s="50" t="n"/>
      <c r="G1504" s="50" t="n"/>
      <c r="H1504" s="48" t="n"/>
      <c r="I1504" s="51" t="n"/>
      <c r="J1504" s="52" t="n"/>
      <c r="K1504" s="47" t="n"/>
      <c r="L1504" s="47" t="n"/>
      <c r="M1504" s="24">
        <f>IF(OR($A1504="",$C1504=""),"",IF($L1504&lt;&gt;"",$L1504-$C1504,TODAY()-$C1504))</f>
        <v/>
      </c>
      <c r="N1504" s="28">
        <f>IF(OR($A1504="",$K1504=""),"",IF($L1504="",IF(TODAY()&gt;$K1504,"Atrasado","En ruta"),IF($L1504&lt;=$K1504,"Sí","No")))</f>
        <v/>
      </c>
      <c r="O1504" s="24">
        <f>IF($A1504="","",COUNTIFS(NOVEDADES!$D$4:$D$1503,$A1504))</f>
        <v/>
      </c>
      <c r="P1504" s="28">
        <f>IF($A1504="","",IF(COUNTIFS(NOVEDADES!$D$4:$D$1503,$A1504,NOVEDADES!$O$4:$O$1503,"SÍ")&gt;0,"No","Sí"))</f>
        <v/>
      </c>
      <c r="Q1504" s="28">
        <f>IF(OR($A1504="",$L1504=""),"",IF(AND($N1504="Sí",$P1504="Sí"),"OTIF","Falló"))</f>
        <v/>
      </c>
    </row>
    <row r="1505" ht="16" customHeight="1">
      <c r="A1505" s="48" t="n"/>
      <c r="B1505" s="48" t="n"/>
      <c r="C1505" s="47" t="n"/>
      <c r="D1505" s="50" t="n"/>
      <c r="E1505" s="50" t="n"/>
      <c r="F1505" s="50" t="n"/>
      <c r="G1505" s="50" t="n"/>
      <c r="H1505" s="48" t="n"/>
      <c r="I1505" s="51" t="n"/>
      <c r="J1505" s="52" t="n"/>
      <c r="K1505" s="47" t="n"/>
      <c r="L1505" s="47" t="n"/>
      <c r="M1505" s="24">
        <f>IF(OR($A1505="",$C1505=""),"",IF($L1505&lt;&gt;"",$L1505-$C1505,TODAY()-$C1505))</f>
        <v/>
      </c>
      <c r="N1505" s="28">
        <f>IF(OR($A1505="",$K1505=""),"",IF($L1505="",IF(TODAY()&gt;$K1505,"Atrasado","En ruta"),IF($L1505&lt;=$K1505,"Sí","No")))</f>
        <v/>
      </c>
      <c r="O1505" s="24">
        <f>IF($A1505="","",COUNTIFS(NOVEDADES!$D$4:$D$1503,$A1505))</f>
        <v/>
      </c>
      <c r="P1505" s="28">
        <f>IF($A1505="","",IF(COUNTIFS(NOVEDADES!$D$4:$D$1503,$A1505,NOVEDADES!$O$4:$O$1503,"SÍ")&gt;0,"No","Sí"))</f>
        <v/>
      </c>
      <c r="Q1505" s="28">
        <f>IF(OR($A1505="",$L1505=""),"",IF(AND($N1505="Sí",$P1505="Sí"),"OTIF","Falló"))</f>
        <v/>
      </c>
    </row>
    <row r="1506" ht="16" customHeight="1">
      <c r="A1506" s="48" t="n"/>
      <c r="B1506" s="48" t="n"/>
      <c r="C1506" s="47" t="n"/>
      <c r="D1506" s="50" t="n"/>
      <c r="E1506" s="50" t="n"/>
      <c r="F1506" s="50" t="n"/>
      <c r="G1506" s="50" t="n"/>
      <c r="H1506" s="48" t="n"/>
      <c r="I1506" s="51" t="n"/>
      <c r="J1506" s="52" t="n"/>
      <c r="K1506" s="47" t="n"/>
      <c r="L1506" s="47" t="n"/>
      <c r="M1506" s="24">
        <f>IF(OR($A1506="",$C1506=""),"",IF($L1506&lt;&gt;"",$L1506-$C1506,TODAY()-$C1506))</f>
        <v/>
      </c>
      <c r="N1506" s="28">
        <f>IF(OR($A1506="",$K1506=""),"",IF($L1506="",IF(TODAY()&gt;$K1506,"Atrasado","En ruta"),IF($L1506&lt;=$K1506,"Sí","No")))</f>
        <v/>
      </c>
      <c r="O1506" s="24">
        <f>IF($A1506="","",COUNTIFS(NOVEDADES!$D$4:$D$1503,$A1506))</f>
        <v/>
      </c>
      <c r="P1506" s="28">
        <f>IF($A1506="","",IF(COUNTIFS(NOVEDADES!$D$4:$D$1503,$A1506,NOVEDADES!$O$4:$O$1503,"SÍ")&gt;0,"No","Sí"))</f>
        <v/>
      </c>
      <c r="Q1506" s="28">
        <f>IF(OR($A1506="",$L1506=""),"",IF(AND($N1506="Sí",$P1506="Sí"),"OTIF","Falló"))</f>
        <v/>
      </c>
    </row>
    <row r="1507" ht="16" customHeight="1">
      <c r="A1507" s="48" t="n"/>
      <c r="B1507" s="48" t="n"/>
      <c r="C1507" s="47" t="n"/>
      <c r="D1507" s="50" t="n"/>
      <c r="E1507" s="50" t="n"/>
      <c r="F1507" s="50" t="n"/>
      <c r="G1507" s="50" t="n"/>
      <c r="H1507" s="48" t="n"/>
      <c r="I1507" s="51" t="n"/>
      <c r="J1507" s="52" t="n"/>
      <c r="K1507" s="47" t="n"/>
      <c r="L1507" s="47" t="n"/>
      <c r="M1507" s="24">
        <f>IF(OR($A1507="",$C1507=""),"",IF($L1507&lt;&gt;"",$L1507-$C1507,TODAY()-$C1507))</f>
        <v/>
      </c>
      <c r="N1507" s="28">
        <f>IF(OR($A1507="",$K1507=""),"",IF($L1507="",IF(TODAY()&gt;$K1507,"Atrasado","En ruta"),IF($L1507&lt;=$K1507,"Sí","No")))</f>
        <v/>
      </c>
      <c r="O1507" s="24">
        <f>IF($A1507="","",COUNTIFS(NOVEDADES!$D$4:$D$1503,$A1507))</f>
        <v/>
      </c>
      <c r="P1507" s="28">
        <f>IF($A1507="","",IF(COUNTIFS(NOVEDADES!$D$4:$D$1503,$A1507,NOVEDADES!$O$4:$O$1503,"SÍ")&gt;0,"No","Sí"))</f>
        <v/>
      </c>
      <c r="Q1507" s="28">
        <f>IF(OR($A1507="",$L1507=""),"",IF(AND($N1507="Sí",$P1507="Sí"),"OTIF","Falló"))</f>
        <v/>
      </c>
    </row>
    <row r="1508" ht="16" customHeight="1">
      <c r="A1508" s="48" t="n"/>
      <c r="B1508" s="48" t="n"/>
      <c r="C1508" s="47" t="n"/>
      <c r="D1508" s="50" t="n"/>
      <c r="E1508" s="50" t="n"/>
      <c r="F1508" s="50" t="n"/>
      <c r="G1508" s="50" t="n"/>
      <c r="H1508" s="48" t="n"/>
      <c r="I1508" s="51" t="n"/>
      <c r="J1508" s="52" t="n"/>
      <c r="K1508" s="47" t="n"/>
      <c r="L1508" s="47" t="n"/>
      <c r="M1508" s="24">
        <f>IF(OR($A1508="",$C1508=""),"",IF($L1508&lt;&gt;"",$L1508-$C1508,TODAY()-$C1508))</f>
        <v/>
      </c>
      <c r="N1508" s="28">
        <f>IF(OR($A1508="",$K1508=""),"",IF($L1508="",IF(TODAY()&gt;$K1508,"Atrasado","En ruta"),IF($L1508&lt;=$K1508,"Sí","No")))</f>
        <v/>
      </c>
      <c r="O1508" s="24">
        <f>IF($A1508="","",COUNTIFS(NOVEDADES!$D$4:$D$1503,$A1508))</f>
        <v/>
      </c>
      <c r="P1508" s="28">
        <f>IF($A1508="","",IF(COUNTIFS(NOVEDADES!$D$4:$D$1503,$A1508,NOVEDADES!$O$4:$O$1503,"SÍ")&gt;0,"No","Sí"))</f>
        <v/>
      </c>
      <c r="Q1508" s="28">
        <f>IF(OR($A1508="",$L1508=""),"",IF(AND($N1508="Sí",$P1508="Sí"),"OTIF","Falló"))</f>
        <v/>
      </c>
    </row>
    <row r="1509" ht="16" customHeight="1">
      <c r="A1509" s="48" t="n"/>
      <c r="B1509" s="48" t="n"/>
      <c r="C1509" s="47" t="n"/>
      <c r="D1509" s="50" t="n"/>
      <c r="E1509" s="50" t="n"/>
      <c r="F1509" s="50" t="n"/>
      <c r="G1509" s="50" t="n"/>
      <c r="H1509" s="48" t="n"/>
      <c r="I1509" s="51" t="n"/>
      <c r="J1509" s="52" t="n"/>
      <c r="K1509" s="47" t="n"/>
      <c r="L1509" s="47" t="n"/>
      <c r="M1509" s="24">
        <f>IF(OR($A1509="",$C1509=""),"",IF($L1509&lt;&gt;"",$L1509-$C1509,TODAY()-$C1509))</f>
        <v/>
      </c>
      <c r="N1509" s="28">
        <f>IF(OR($A1509="",$K1509=""),"",IF($L1509="",IF(TODAY()&gt;$K1509,"Atrasado","En ruta"),IF($L1509&lt;=$K1509,"Sí","No")))</f>
        <v/>
      </c>
      <c r="O1509" s="24">
        <f>IF($A1509="","",COUNTIFS(NOVEDADES!$D$4:$D$1503,$A1509))</f>
        <v/>
      </c>
      <c r="P1509" s="28">
        <f>IF($A1509="","",IF(COUNTIFS(NOVEDADES!$D$4:$D$1503,$A1509,NOVEDADES!$O$4:$O$1503,"SÍ")&gt;0,"No","Sí"))</f>
        <v/>
      </c>
      <c r="Q1509" s="28">
        <f>IF(OR($A1509="",$L1509=""),"",IF(AND($N1509="Sí",$P1509="Sí"),"OTIF","Falló"))</f>
        <v/>
      </c>
    </row>
    <row r="1510" ht="16" customHeight="1">
      <c r="A1510" s="48" t="n"/>
      <c r="B1510" s="48" t="n"/>
      <c r="C1510" s="47" t="n"/>
      <c r="D1510" s="50" t="n"/>
      <c r="E1510" s="50" t="n"/>
      <c r="F1510" s="50" t="n"/>
      <c r="G1510" s="50" t="n"/>
      <c r="H1510" s="48" t="n"/>
      <c r="I1510" s="51" t="n"/>
      <c r="J1510" s="52" t="n"/>
      <c r="K1510" s="47" t="n"/>
      <c r="L1510" s="47" t="n"/>
      <c r="M1510" s="24">
        <f>IF(OR($A1510="",$C1510=""),"",IF($L1510&lt;&gt;"",$L1510-$C1510,TODAY()-$C1510))</f>
        <v/>
      </c>
      <c r="N1510" s="28">
        <f>IF(OR($A1510="",$K1510=""),"",IF($L1510="",IF(TODAY()&gt;$K1510,"Atrasado","En ruta"),IF($L1510&lt;=$K1510,"Sí","No")))</f>
        <v/>
      </c>
      <c r="O1510" s="24">
        <f>IF($A1510="","",COUNTIFS(NOVEDADES!$D$4:$D$1503,$A1510))</f>
        <v/>
      </c>
      <c r="P1510" s="28">
        <f>IF($A1510="","",IF(COUNTIFS(NOVEDADES!$D$4:$D$1503,$A1510,NOVEDADES!$O$4:$O$1503,"SÍ")&gt;0,"No","Sí"))</f>
        <v/>
      </c>
      <c r="Q1510" s="28">
        <f>IF(OR($A1510="",$L1510=""),"",IF(AND($N1510="Sí",$P1510="Sí"),"OTIF","Falló"))</f>
        <v/>
      </c>
    </row>
    <row r="1511" ht="16" customHeight="1">
      <c r="A1511" s="48" t="n"/>
      <c r="B1511" s="48" t="n"/>
      <c r="C1511" s="47" t="n"/>
      <c r="D1511" s="50" t="n"/>
      <c r="E1511" s="50" t="n"/>
      <c r="F1511" s="50" t="n"/>
      <c r="G1511" s="50" t="n"/>
      <c r="H1511" s="48" t="n"/>
      <c r="I1511" s="51" t="n"/>
      <c r="J1511" s="52" t="n"/>
      <c r="K1511" s="47" t="n"/>
      <c r="L1511" s="47" t="n"/>
      <c r="M1511" s="24">
        <f>IF(OR($A1511="",$C1511=""),"",IF($L1511&lt;&gt;"",$L1511-$C1511,TODAY()-$C1511))</f>
        <v/>
      </c>
      <c r="N1511" s="28">
        <f>IF(OR($A1511="",$K1511=""),"",IF($L1511="",IF(TODAY()&gt;$K1511,"Atrasado","En ruta"),IF($L1511&lt;=$K1511,"Sí","No")))</f>
        <v/>
      </c>
      <c r="O1511" s="24">
        <f>IF($A1511="","",COUNTIFS(NOVEDADES!$D$4:$D$1503,$A1511))</f>
        <v/>
      </c>
      <c r="P1511" s="28">
        <f>IF($A1511="","",IF(COUNTIFS(NOVEDADES!$D$4:$D$1503,$A1511,NOVEDADES!$O$4:$O$1503,"SÍ")&gt;0,"No","Sí"))</f>
        <v/>
      </c>
      <c r="Q1511" s="28">
        <f>IF(OR($A1511="",$L1511=""),"",IF(AND($N1511="Sí",$P1511="Sí"),"OTIF","Falló"))</f>
        <v/>
      </c>
    </row>
    <row r="1512" ht="16" customHeight="1">
      <c r="A1512" s="48" t="n"/>
      <c r="B1512" s="48" t="n"/>
      <c r="C1512" s="47" t="n"/>
      <c r="D1512" s="50" t="n"/>
      <c r="E1512" s="50" t="n"/>
      <c r="F1512" s="50" t="n"/>
      <c r="G1512" s="50" t="n"/>
      <c r="H1512" s="48" t="n"/>
      <c r="I1512" s="51" t="n"/>
      <c r="J1512" s="52" t="n"/>
      <c r="K1512" s="47" t="n"/>
      <c r="L1512" s="47" t="n"/>
      <c r="M1512" s="24">
        <f>IF(OR($A1512="",$C1512=""),"",IF($L1512&lt;&gt;"",$L1512-$C1512,TODAY()-$C1512))</f>
        <v/>
      </c>
      <c r="N1512" s="28">
        <f>IF(OR($A1512="",$K1512=""),"",IF($L1512="",IF(TODAY()&gt;$K1512,"Atrasado","En ruta"),IF($L1512&lt;=$K1512,"Sí","No")))</f>
        <v/>
      </c>
      <c r="O1512" s="24">
        <f>IF($A1512="","",COUNTIFS(NOVEDADES!$D$4:$D$1503,$A1512))</f>
        <v/>
      </c>
      <c r="P1512" s="28">
        <f>IF($A1512="","",IF(COUNTIFS(NOVEDADES!$D$4:$D$1503,$A1512,NOVEDADES!$O$4:$O$1503,"SÍ")&gt;0,"No","Sí"))</f>
        <v/>
      </c>
      <c r="Q1512" s="28">
        <f>IF(OR($A1512="",$L1512=""),"",IF(AND($N1512="Sí",$P1512="Sí"),"OTIF","Falló"))</f>
        <v/>
      </c>
    </row>
    <row r="1513" ht="16" customHeight="1">
      <c r="A1513" s="48" t="n"/>
      <c r="B1513" s="48" t="n"/>
      <c r="C1513" s="47" t="n"/>
      <c r="D1513" s="50" t="n"/>
      <c r="E1513" s="50" t="n"/>
      <c r="F1513" s="50" t="n"/>
      <c r="G1513" s="50" t="n"/>
      <c r="H1513" s="48" t="n"/>
      <c r="I1513" s="51" t="n"/>
      <c r="J1513" s="52" t="n"/>
      <c r="K1513" s="47" t="n"/>
      <c r="L1513" s="47" t="n"/>
      <c r="M1513" s="24">
        <f>IF(OR($A1513="",$C1513=""),"",IF($L1513&lt;&gt;"",$L1513-$C1513,TODAY()-$C1513))</f>
        <v/>
      </c>
      <c r="N1513" s="28">
        <f>IF(OR($A1513="",$K1513=""),"",IF($L1513="",IF(TODAY()&gt;$K1513,"Atrasado","En ruta"),IF($L1513&lt;=$K1513,"Sí","No")))</f>
        <v/>
      </c>
      <c r="O1513" s="24">
        <f>IF($A1513="","",COUNTIFS(NOVEDADES!$D$4:$D$1503,$A1513))</f>
        <v/>
      </c>
      <c r="P1513" s="28">
        <f>IF($A1513="","",IF(COUNTIFS(NOVEDADES!$D$4:$D$1503,$A1513,NOVEDADES!$O$4:$O$1503,"SÍ")&gt;0,"No","Sí"))</f>
        <v/>
      </c>
      <c r="Q1513" s="28">
        <f>IF(OR($A1513="",$L1513=""),"",IF(AND($N1513="Sí",$P1513="Sí"),"OTIF","Falló"))</f>
        <v/>
      </c>
    </row>
    <row r="1514" ht="16" customHeight="1">
      <c r="A1514" s="48" t="n"/>
      <c r="B1514" s="48" t="n"/>
      <c r="C1514" s="47" t="n"/>
      <c r="D1514" s="50" t="n"/>
      <c r="E1514" s="50" t="n"/>
      <c r="F1514" s="50" t="n"/>
      <c r="G1514" s="50" t="n"/>
      <c r="H1514" s="48" t="n"/>
      <c r="I1514" s="51" t="n"/>
      <c r="J1514" s="52" t="n"/>
      <c r="K1514" s="47" t="n"/>
      <c r="L1514" s="47" t="n"/>
      <c r="M1514" s="24">
        <f>IF(OR($A1514="",$C1514=""),"",IF($L1514&lt;&gt;"",$L1514-$C1514,TODAY()-$C1514))</f>
        <v/>
      </c>
      <c r="N1514" s="28">
        <f>IF(OR($A1514="",$K1514=""),"",IF($L1514="",IF(TODAY()&gt;$K1514,"Atrasado","En ruta"),IF($L1514&lt;=$K1514,"Sí","No")))</f>
        <v/>
      </c>
      <c r="O1514" s="24">
        <f>IF($A1514="","",COUNTIFS(NOVEDADES!$D$4:$D$1503,$A1514))</f>
        <v/>
      </c>
      <c r="P1514" s="28">
        <f>IF($A1514="","",IF(COUNTIFS(NOVEDADES!$D$4:$D$1503,$A1514,NOVEDADES!$O$4:$O$1503,"SÍ")&gt;0,"No","Sí"))</f>
        <v/>
      </c>
      <c r="Q1514" s="28">
        <f>IF(OR($A1514="",$L1514=""),"",IF(AND($N1514="Sí",$P1514="Sí"),"OTIF","Falló"))</f>
        <v/>
      </c>
    </row>
    <row r="1515" ht="16" customHeight="1">
      <c r="A1515" s="48" t="n"/>
      <c r="B1515" s="48" t="n"/>
      <c r="C1515" s="47" t="n"/>
      <c r="D1515" s="50" t="n"/>
      <c r="E1515" s="50" t="n"/>
      <c r="F1515" s="50" t="n"/>
      <c r="G1515" s="50" t="n"/>
      <c r="H1515" s="48" t="n"/>
      <c r="I1515" s="51" t="n"/>
      <c r="J1515" s="52" t="n"/>
      <c r="K1515" s="47" t="n"/>
      <c r="L1515" s="47" t="n"/>
      <c r="M1515" s="24">
        <f>IF(OR($A1515="",$C1515=""),"",IF($L1515&lt;&gt;"",$L1515-$C1515,TODAY()-$C1515))</f>
        <v/>
      </c>
      <c r="N1515" s="28">
        <f>IF(OR($A1515="",$K1515=""),"",IF($L1515="",IF(TODAY()&gt;$K1515,"Atrasado","En ruta"),IF($L1515&lt;=$K1515,"Sí","No")))</f>
        <v/>
      </c>
      <c r="O1515" s="24">
        <f>IF($A1515="","",COUNTIFS(NOVEDADES!$D$4:$D$1503,$A1515))</f>
        <v/>
      </c>
      <c r="P1515" s="28">
        <f>IF($A1515="","",IF(COUNTIFS(NOVEDADES!$D$4:$D$1503,$A1515,NOVEDADES!$O$4:$O$1503,"SÍ")&gt;0,"No","Sí"))</f>
        <v/>
      </c>
      <c r="Q1515" s="28">
        <f>IF(OR($A1515="",$L1515=""),"",IF(AND($N1515="Sí",$P1515="Sí"),"OTIF","Falló"))</f>
        <v/>
      </c>
    </row>
    <row r="1516" ht="16" customHeight="1">
      <c r="A1516" s="48" t="n"/>
      <c r="B1516" s="48" t="n"/>
      <c r="C1516" s="47" t="n"/>
      <c r="D1516" s="50" t="n"/>
      <c r="E1516" s="50" t="n"/>
      <c r="F1516" s="50" t="n"/>
      <c r="G1516" s="50" t="n"/>
      <c r="H1516" s="48" t="n"/>
      <c r="I1516" s="51" t="n"/>
      <c r="J1516" s="52" t="n"/>
      <c r="K1516" s="47" t="n"/>
      <c r="L1516" s="47" t="n"/>
      <c r="M1516" s="24">
        <f>IF(OR($A1516="",$C1516=""),"",IF($L1516&lt;&gt;"",$L1516-$C1516,TODAY()-$C1516))</f>
        <v/>
      </c>
      <c r="N1516" s="28">
        <f>IF(OR($A1516="",$K1516=""),"",IF($L1516="",IF(TODAY()&gt;$K1516,"Atrasado","En ruta"),IF($L1516&lt;=$K1516,"Sí","No")))</f>
        <v/>
      </c>
      <c r="O1516" s="24">
        <f>IF($A1516="","",COUNTIFS(NOVEDADES!$D$4:$D$1503,$A1516))</f>
        <v/>
      </c>
      <c r="P1516" s="28">
        <f>IF($A1516="","",IF(COUNTIFS(NOVEDADES!$D$4:$D$1503,$A1516,NOVEDADES!$O$4:$O$1503,"SÍ")&gt;0,"No","Sí"))</f>
        <v/>
      </c>
      <c r="Q1516" s="28">
        <f>IF(OR($A1516="",$L1516=""),"",IF(AND($N1516="Sí",$P1516="Sí"),"OTIF","Falló"))</f>
        <v/>
      </c>
    </row>
    <row r="1517" ht="16" customHeight="1">
      <c r="A1517" s="48" t="n"/>
      <c r="B1517" s="48" t="n"/>
      <c r="C1517" s="47" t="n"/>
      <c r="D1517" s="50" t="n"/>
      <c r="E1517" s="50" t="n"/>
      <c r="F1517" s="50" t="n"/>
      <c r="G1517" s="50" t="n"/>
      <c r="H1517" s="48" t="n"/>
      <c r="I1517" s="51" t="n"/>
      <c r="J1517" s="52" t="n"/>
      <c r="K1517" s="47" t="n"/>
      <c r="L1517" s="47" t="n"/>
      <c r="M1517" s="24">
        <f>IF(OR($A1517="",$C1517=""),"",IF($L1517&lt;&gt;"",$L1517-$C1517,TODAY()-$C1517))</f>
        <v/>
      </c>
      <c r="N1517" s="28">
        <f>IF(OR($A1517="",$K1517=""),"",IF($L1517="",IF(TODAY()&gt;$K1517,"Atrasado","En ruta"),IF($L1517&lt;=$K1517,"Sí","No")))</f>
        <v/>
      </c>
      <c r="O1517" s="24">
        <f>IF($A1517="","",COUNTIFS(NOVEDADES!$D$4:$D$1503,$A1517))</f>
        <v/>
      </c>
      <c r="P1517" s="28">
        <f>IF($A1517="","",IF(COUNTIFS(NOVEDADES!$D$4:$D$1503,$A1517,NOVEDADES!$O$4:$O$1503,"SÍ")&gt;0,"No","Sí"))</f>
        <v/>
      </c>
      <c r="Q1517" s="28">
        <f>IF(OR($A1517="",$L1517=""),"",IF(AND($N1517="Sí",$P1517="Sí"),"OTIF","Falló"))</f>
        <v/>
      </c>
    </row>
    <row r="1518" ht="16" customHeight="1">
      <c r="A1518" s="48" t="n"/>
      <c r="B1518" s="48" t="n"/>
      <c r="C1518" s="47" t="n"/>
      <c r="D1518" s="50" t="n"/>
      <c r="E1518" s="50" t="n"/>
      <c r="F1518" s="50" t="n"/>
      <c r="G1518" s="50" t="n"/>
      <c r="H1518" s="48" t="n"/>
      <c r="I1518" s="51" t="n"/>
      <c r="J1518" s="52" t="n"/>
      <c r="K1518" s="47" t="n"/>
      <c r="L1518" s="47" t="n"/>
      <c r="M1518" s="24">
        <f>IF(OR($A1518="",$C1518=""),"",IF($L1518&lt;&gt;"",$L1518-$C1518,TODAY()-$C1518))</f>
        <v/>
      </c>
      <c r="N1518" s="28">
        <f>IF(OR($A1518="",$K1518=""),"",IF($L1518="",IF(TODAY()&gt;$K1518,"Atrasado","En ruta"),IF($L1518&lt;=$K1518,"Sí","No")))</f>
        <v/>
      </c>
      <c r="O1518" s="24">
        <f>IF($A1518="","",COUNTIFS(NOVEDADES!$D$4:$D$1503,$A1518))</f>
        <v/>
      </c>
      <c r="P1518" s="28">
        <f>IF($A1518="","",IF(COUNTIFS(NOVEDADES!$D$4:$D$1503,$A1518,NOVEDADES!$O$4:$O$1503,"SÍ")&gt;0,"No","Sí"))</f>
        <v/>
      </c>
      <c r="Q1518" s="28">
        <f>IF(OR($A1518="",$L1518=""),"",IF(AND($N1518="Sí",$P1518="Sí"),"OTIF","Falló"))</f>
        <v/>
      </c>
    </row>
    <row r="1519" ht="16" customHeight="1">
      <c r="A1519" s="48" t="n"/>
      <c r="B1519" s="48" t="n"/>
      <c r="C1519" s="47" t="n"/>
      <c r="D1519" s="50" t="n"/>
      <c r="E1519" s="50" t="n"/>
      <c r="F1519" s="50" t="n"/>
      <c r="G1519" s="50" t="n"/>
      <c r="H1519" s="48" t="n"/>
      <c r="I1519" s="51" t="n"/>
      <c r="J1519" s="52" t="n"/>
      <c r="K1519" s="47" t="n"/>
      <c r="L1519" s="47" t="n"/>
      <c r="M1519" s="24">
        <f>IF(OR($A1519="",$C1519=""),"",IF($L1519&lt;&gt;"",$L1519-$C1519,TODAY()-$C1519))</f>
        <v/>
      </c>
      <c r="N1519" s="28">
        <f>IF(OR($A1519="",$K1519=""),"",IF($L1519="",IF(TODAY()&gt;$K1519,"Atrasado","En ruta"),IF($L1519&lt;=$K1519,"Sí","No")))</f>
        <v/>
      </c>
      <c r="O1519" s="24">
        <f>IF($A1519="","",COUNTIFS(NOVEDADES!$D$4:$D$1503,$A1519))</f>
        <v/>
      </c>
      <c r="P1519" s="28">
        <f>IF($A1519="","",IF(COUNTIFS(NOVEDADES!$D$4:$D$1503,$A1519,NOVEDADES!$O$4:$O$1503,"SÍ")&gt;0,"No","Sí"))</f>
        <v/>
      </c>
      <c r="Q1519" s="28">
        <f>IF(OR($A1519="",$L1519=""),"",IF(AND($N1519="Sí",$P1519="Sí"),"OTIF","Falló"))</f>
        <v/>
      </c>
    </row>
    <row r="1520" ht="16" customHeight="1">
      <c r="A1520" s="48" t="n"/>
      <c r="B1520" s="48" t="n"/>
      <c r="C1520" s="47" t="n"/>
      <c r="D1520" s="50" t="n"/>
      <c r="E1520" s="50" t="n"/>
      <c r="F1520" s="50" t="n"/>
      <c r="G1520" s="50" t="n"/>
      <c r="H1520" s="48" t="n"/>
      <c r="I1520" s="51" t="n"/>
      <c r="J1520" s="52" t="n"/>
      <c r="K1520" s="47" t="n"/>
      <c r="L1520" s="47" t="n"/>
      <c r="M1520" s="24">
        <f>IF(OR($A1520="",$C1520=""),"",IF($L1520&lt;&gt;"",$L1520-$C1520,TODAY()-$C1520))</f>
        <v/>
      </c>
      <c r="N1520" s="28">
        <f>IF(OR($A1520="",$K1520=""),"",IF($L1520="",IF(TODAY()&gt;$K1520,"Atrasado","En ruta"),IF($L1520&lt;=$K1520,"Sí","No")))</f>
        <v/>
      </c>
      <c r="O1520" s="24">
        <f>IF($A1520="","",COUNTIFS(NOVEDADES!$D$4:$D$1503,$A1520))</f>
        <v/>
      </c>
      <c r="P1520" s="28">
        <f>IF($A1520="","",IF(COUNTIFS(NOVEDADES!$D$4:$D$1503,$A1520,NOVEDADES!$O$4:$O$1503,"SÍ")&gt;0,"No","Sí"))</f>
        <v/>
      </c>
      <c r="Q1520" s="28">
        <f>IF(OR($A1520="",$L1520=""),"",IF(AND($N1520="Sí",$P1520="Sí"),"OTIF","Falló"))</f>
        <v/>
      </c>
    </row>
    <row r="1521" ht="16" customHeight="1">
      <c r="A1521" s="48" t="n"/>
      <c r="B1521" s="48" t="n"/>
      <c r="C1521" s="47" t="n"/>
      <c r="D1521" s="50" t="n"/>
      <c r="E1521" s="50" t="n"/>
      <c r="F1521" s="50" t="n"/>
      <c r="G1521" s="50" t="n"/>
      <c r="H1521" s="48" t="n"/>
      <c r="I1521" s="51" t="n"/>
      <c r="J1521" s="52" t="n"/>
      <c r="K1521" s="47" t="n"/>
      <c r="L1521" s="47" t="n"/>
      <c r="M1521" s="24">
        <f>IF(OR($A1521="",$C1521=""),"",IF($L1521&lt;&gt;"",$L1521-$C1521,TODAY()-$C1521))</f>
        <v/>
      </c>
      <c r="N1521" s="28">
        <f>IF(OR($A1521="",$K1521=""),"",IF($L1521="",IF(TODAY()&gt;$K1521,"Atrasado","En ruta"),IF($L1521&lt;=$K1521,"Sí","No")))</f>
        <v/>
      </c>
      <c r="O1521" s="24">
        <f>IF($A1521="","",COUNTIFS(NOVEDADES!$D$4:$D$1503,$A1521))</f>
        <v/>
      </c>
      <c r="P1521" s="28">
        <f>IF($A1521="","",IF(COUNTIFS(NOVEDADES!$D$4:$D$1503,$A1521,NOVEDADES!$O$4:$O$1503,"SÍ")&gt;0,"No","Sí"))</f>
        <v/>
      </c>
      <c r="Q1521" s="28">
        <f>IF(OR($A1521="",$L1521=""),"",IF(AND($N1521="Sí",$P1521="Sí"),"OTIF","Falló"))</f>
        <v/>
      </c>
    </row>
    <row r="1522" ht="16" customHeight="1">
      <c r="A1522" s="48" t="n"/>
      <c r="B1522" s="48" t="n"/>
      <c r="C1522" s="47" t="n"/>
      <c r="D1522" s="50" t="n"/>
      <c r="E1522" s="50" t="n"/>
      <c r="F1522" s="50" t="n"/>
      <c r="G1522" s="50" t="n"/>
      <c r="H1522" s="48" t="n"/>
      <c r="I1522" s="51" t="n"/>
      <c r="J1522" s="52" t="n"/>
      <c r="K1522" s="47" t="n"/>
      <c r="L1522" s="47" t="n"/>
      <c r="M1522" s="24">
        <f>IF(OR($A1522="",$C1522=""),"",IF($L1522&lt;&gt;"",$L1522-$C1522,TODAY()-$C1522))</f>
        <v/>
      </c>
      <c r="N1522" s="28">
        <f>IF(OR($A1522="",$K1522=""),"",IF($L1522="",IF(TODAY()&gt;$K1522,"Atrasado","En ruta"),IF($L1522&lt;=$K1522,"Sí","No")))</f>
        <v/>
      </c>
      <c r="O1522" s="24">
        <f>IF($A1522="","",COUNTIFS(NOVEDADES!$D$4:$D$1503,$A1522))</f>
        <v/>
      </c>
      <c r="P1522" s="28">
        <f>IF($A1522="","",IF(COUNTIFS(NOVEDADES!$D$4:$D$1503,$A1522,NOVEDADES!$O$4:$O$1503,"SÍ")&gt;0,"No","Sí"))</f>
        <v/>
      </c>
      <c r="Q1522" s="28">
        <f>IF(OR($A1522="",$L1522=""),"",IF(AND($N1522="Sí",$P1522="Sí"),"OTIF","Falló"))</f>
        <v/>
      </c>
    </row>
    <row r="1523" ht="16" customHeight="1">
      <c r="A1523" s="48" t="n"/>
      <c r="B1523" s="48" t="n"/>
      <c r="C1523" s="47" t="n"/>
      <c r="D1523" s="50" t="n"/>
      <c r="E1523" s="50" t="n"/>
      <c r="F1523" s="50" t="n"/>
      <c r="G1523" s="50" t="n"/>
      <c r="H1523" s="48" t="n"/>
      <c r="I1523" s="51" t="n"/>
      <c r="J1523" s="52" t="n"/>
      <c r="K1523" s="47" t="n"/>
      <c r="L1523" s="47" t="n"/>
      <c r="M1523" s="24">
        <f>IF(OR($A1523="",$C1523=""),"",IF($L1523&lt;&gt;"",$L1523-$C1523,TODAY()-$C1523))</f>
        <v/>
      </c>
      <c r="N1523" s="28">
        <f>IF(OR($A1523="",$K1523=""),"",IF($L1523="",IF(TODAY()&gt;$K1523,"Atrasado","En ruta"),IF($L1523&lt;=$K1523,"Sí","No")))</f>
        <v/>
      </c>
      <c r="O1523" s="24">
        <f>IF($A1523="","",COUNTIFS(NOVEDADES!$D$4:$D$1503,$A1523))</f>
        <v/>
      </c>
      <c r="P1523" s="28">
        <f>IF($A1523="","",IF(COUNTIFS(NOVEDADES!$D$4:$D$1503,$A1523,NOVEDADES!$O$4:$O$1503,"SÍ")&gt;0,"No","Sí"))</f>
        <v/>
      </c>
      <c r="Q1523" s="28">
        <f>IF(OR($A1523="",$L1523=""),"",IF(AND($N1523="Sí",$P1523="Sí"),"OTIF","Falló"))</f>
        <v/>
      </c>
    </row>
    <row r="1524" ht="16" customHeight="1">
      <c r="A1524" s="48" t="n"/>
      <c r="B1524" s="48" t="n"/>
      <c r="C1524" s="47" t="n"/>
      <c r="D1524" s="50" t="n"/>
      <c r="E1524" s="50" t="n"/>
      <c r="F1524" s="50" t="n"/>
      <c r="G1524" s="50" t="n"/>
      <c r="H1524" s="48" t="n"/>
      <c r="I1524" s="51" t="n"/>
      <c r="J1524" s="52" t="n"/>
      <c r="K1524" s="47" t="n"/>
      <c r="L1524" s="47" t="n"/>
      <c r="M1524" s="24">
        <f>IF(OR($A1524="",$C1524=""),"",IF($L1524&lt;&gt;"",$L1524-$C1524,TODAY()-$C1524))</f>
        <v/>
      </c>
      <c r="N1524" s="28">
        <f>IF(OR($A1524="",$K1524=""),"",IF($L1524="",IF(TODAY()&gt;$K1524,"Atrasado","En ruta"),IF($L1524&lt;=$K1524,"Sí","No")))</f>
        <v/>
      </c>
      <c r="O1524" s="24">
        <f>IF($A1524="","",COUNTIFS(NOVEDADES!$D$4:$D$1503,$A1524))</f>
        <v/>
      </c>
      <c r="P1524" s="28">
        <f>IF($A1524="","",IF(COUNTIFS(NOVEDADES!$D$4:$D$1503,$A1524,NOVEDADES!$O$4:$O$1503,"SÍ")&gt;0,"No","Sí"))</f>
        <v/>
      </c>
      <c r="Q1524" s="28">
        <f>IF(OR($A1524="",$L1524=""),"",IF(AND($N1524="Sí",$P1524="Sí"),"OTIF","Falló"))</f>
        <v/>
      </c>
    </row>
    <row r="1525" ht="16" customHeight="1">
      <c r="A1525" s="48" t="n"/>
      <c r="B1525" s="48" t="n"/>
      <c r="C1525" s="47" t="n"/>
      <c r="D1525" s="50" t="n"/>
      <c r="E1525" s="50" t="n"/>
      <c r="F1525" s="50" t="n"/>
      <c r="G1525" s="50" t="n"/>
      <c r="H1525" s="48" t="n"/>
      <c r="I1525" s="51" t="n"/>
      <c r="J1525" s="52" t="n"/>
      <c r="K1525" s="47" t="n"/>
      <c r="L1525" s="47" t="n"/>
      <c r="M1525" s="24">
        <f>IF(OR($A1525="",$C1525=""),"",IF($L1525&lt;&gt;"",$L1525-$C1525,TODAY()-$C1525))</f>
        <v/>
      </c>
      <c r="N1525" s="28">
        <f>IF(OR($A1525="",$K1525=""),"",IF($L1525="",IF(TODAY()&gt;$K1525,"Atrasado","En ruta"),IF($L1525&lt;=$K1525,"Sí","No")))</f>
        <v/>
      </c>
      <c r="O1525" s="24">
        <f>IF($A1525="","",COUNTIFS(NOVEDADES!$D$4:$D$1503,$A1525))</f>
        <v/>
      </c>
      <c r="P1525" s="28">
        <f>IF($A1525="","",IF(COUNTIFS(NOVEDADES!$D$4:$D$1503,$A1525,NOVEDADES!$O$4:$O$1503,"SÍ")&gt;0,"No","Sí"))</f>
        <v/>
      </c>
      <c r="Q1525" s="28">
        <f>IF(OR($A1525="",$L1525=""),"",IF(AND($N1525="Sí",$P1525="Sí"),"OTIF","Falló"))</f>
        <v/>
      </c>
    </row>
    <row r="1526" ht="16" customHeight="1">
      <c r="A1526" s="48" t="n"/>
      <c r="B1526" s="48" t="n"/>
      <c r="C1526" s="47" t="n"/>
      <c r="D1526" s="50" t="n"/>
      <c r="E1526" s="50" t="n"/>
      <c r="F1526" s="50" t="n"/>
      <c r="G1526" s="50" t="n"/>
      <c r="H1526" s="48" t="n"/>
      <c r="I1526" s="51" t="n"/>
      <c r="J1526" s="52" t="n"/>
      <c r="K1526" s="47" t="n"/>
      <c r="L1526" s="47" t="n"/>
      <c r="M1526" s="24">
        <f>IF(OR($A1526="",$C1526=""),"",IF($L1526&lt;&gt;"",$L1526-$C1526,TODAY()-$C1526))</f>
        <v/>
      </c>
      <c r="N1526" s="28">
        <f>IF(OR($A1526="",$K1526=""),"",IF($L1526="",IF(TODAY()&gt;$K1526,"Atrasado","En ruta"),IF($L1526&lt;=$K1526,"Sí","No")))</f>
        <v/>
      </c>
      <c r="O1526" s="24">
        <f>IF($A1526="","",COUNTIFS(NOVEDADES!$D$4:$D$1503,$A1526))</f>
        <v/>
      </c>
      <c r="P1526" s="28">
        <f>IF($A1526="","",IF(COUNTIFS(NOVEDADES!$D$4:$D$1503,$A1526,NOVEDADES!$O$4:$O$1503,"SÍ")&gt;0,"No","Sí"))</f>
        <v/>
      </c>
      <c r="Q1526" s="28">
        <f>IF(OR($A1526="",$L1526=""),"",IF(AND($N1526="Sí",$P1526="Sí"),"OTIF","Falló"))</f>
        <v/>
      </c>
    </row>
    <row r="1527" ht="16" customHeight="1">
      <c r="A1527" s="48" t="n"/>
      <c r="B1527" s="48" t="n"/>
      <c r="C1527" s="47" t="n"/>
      <c r="D1527" s="50" t="n"/>
      <c r="E1527" s="50" t="n"/>
      <c r="F1527" s="50" t="n"/>
      <c r="G1527" s="50" t="n"/>
      <c r="H1527" s="48" t="n"/>
      <c r="I1527" s="51" t="n"/>
      <c r="J1527" s="52" t="n"/>
      <c r="K1527" s="47" t="n"/>
      <c r="L1527" s="47" t="n"/>
      <c r="M1527" s="24">
        <f>IF(OR($A1527="",$C1527=""),"",IF($L1527&lt;&gt;"",$L1527-$C1527,TODAY()-$C1527))</f>
        <v/>
      </c>
      <c r="N1527" s="28">
        <f>IF(OR($A1527="",$K1527=""),"",IF($L1527="",IF(TODAY()&gt;$K1527,"Atrasado","En ruta"),IF($L1527&lt;=$K1527,"Sí","No")))</f>
        <v/>
      </c>
      <c r="O1527" s="24">
        <f>IF($A1527="","",COUNTIFS(NOVEDADES!$D$4:$D$1503,$A1527))</f>
        <v/>
      </c>
      <c r="P1527" s="28">
        <f>IF($A1527="","",IF(COUNTIFS(NOVEDADES!$D$4:$D$1503,$A1527,NOVEDADES!$O$4:$O$1503,"SÍ")&gt;0,"No","Sí"))</f>
        <v/>
      </c>
      <c r="Q1527" s="28">
        <f>IF(OR($A1527="",$L1527=""),"",IF(AND($N1527="Sí",$P1527="Sí"),"OTIF","Falló"))</f>
        <v/>
      </c>
    </row>
    <row r="1528" ht="16" customHeight="1">
      <c r="A1528" s="48" t="n"/>
      <c r="B1528" s="48" t="n"/>
      <c r="C1528" s="47" t="n"/>
      <c r="D1528" s="50" t="n"/>
      <c r="E1528" s="50" t="n"/>
      <c r="F1528" s="50" t="n"/>
      <c r="G1528" s="50" t="n"/>
      <c r="H1528" s="48" t="n"/>
      <c r="I1528" s="51" t="n"/>
      <c r="J1528" s="52" t="n"/>
      <c r="K1528" s="47" t="n"/>
      <c r="L1528" s="47" t="n"/>
      <c r="M1528" s="24">
        <f>IF(OR($A1528="",$C1528=""),"",IF($L1528&lt;&gt;"",$L1528-$C1528,TODAY()-$C1528))</f>
        <v/>
      </c>
      <c r="N1528" s="28">
        <f>IF(OR($A1528="",$K1528=""),"",IF($L1528="",IF(TODAY()&gt;$K1528,"Atrasado","En ruta"),IF($L1528&lt;=$K1528,"Sí","No")))</f>
        <v/>
      </c>
      <c r="O1528" s="24">
        <f>IF($A1528="","",COUNTIFS(NOVEDADES!$D$4:$D$1503,$A1528))</f>
        <v/>
      </c>
      <c r="P1528" s="28">
        <f>IF($A1528="","",IF(COUNTIFS(NOVEDADES!$D$4:$D$1503,$A1528,NOVEDADES!$O$4:$O$1503,"SÍ")&gt;0,"No","Sí"))</f>
        <v/>
      </c>
      <c r="Q1528" s="28">
        <f>IF(OR($A1528="",$L1528=""),"",IF(AND($N1528="Sí",$P1528="Sí"),"OTIF","Falló"))</f>
        <v/>
      </c>
    </row>
    <row r="1529" ht="16" customHeight="1">
      <c r="A1529" s="48" t="n"/>
      <c r="B1529" s="48" t="n"/>
      <c r="C1529" s="47" t="n"/>
      <c r="D1529" s="50" t="n"/>
      <c r="E1529" s="50" t="n"/>
      <c r="F1529" s="50" t="n"/>
      <c r="G1529" s="50" t="n"/>
      <c r="H1529" s="48" t="n"/>
      <c r="I1529" s="51" t="n"/>
      <c r="J1529" s="52" t="n"/>
      <c r="K1529" s="47" t="n"/>
      <c r="L1529" s="47" t="n"/>
      <c r="M1529" s="24">
        <f>IF(OR($A1529="",$C1529=""),"",IF($L1529&lt;&gt;"",$L1529-$C1529,TODAY()-$C1529))</f>
        <v/>
      </c>
      <c r="N1529" s="28">
        <f>IF(OR($A1529="",$K1529=""),"",IF($L1529="",IF(TODAY()&gt;$K1529,"Atrasado","En ruta"),IF($L1529&lt;=$K1529,"Sí","No")))</f>
        <v/>
      </c>
      <c r="O1529" s="24">
        <f>IF($A1529="","",COUNTIFS(NOVEDADES!$D$4:$D$1503,$A1529))</f>
        <v/>
      </c>
      <c r="P1529" s="28">
        <f>IF($A1529="","",IF(COUNTIFS(NOVEDADES!$D$4:$D$1503,$A1529,NOVEDADES!$O$4:$O$1503,"SÍ")&gt;0,"No","Sí"))</f>
        <v/>
      </c>
      <c r="Q1529" s="28">
        <f>IF(OR($A1529="",$L1529=""),"",IF(AND($N1529="Sí",$P1529="Sí"),"OTIF","Falló"))</f>
        <v/>
      </c>
    </row>
    <row r="1530" ht="16" customHeight="1">
      <c r="A1530" s="48" t="n"/>
      <c r="B1530" s="48" t="n"/>
      <c r="C1530" s="47" t="n"/>
      <c r="D1530" s="50" t="n"/>
      <c r="E1530" s="50" t="n"/>
      <c r="F1530" s="50" t="n"/>
      <c r="G1530" s="50" t="n"/>
      <c r="H1530" s="48" t="n"/>
      <c r="I1530" s="51" t="n"/>
      <c r="J1530" s="52" t="n"/>
      <c r="K1530" s="47" t="n"/>
      <c r="L1530" s="47" t="n"/>
      <c r="M1530" s="24">
        <f>IF(OR($A1530="",$C1530=""),"",IF($L1530&lt;&gt;"",$L1530-$C1530,TODAY()-$C1530))</f>
        <v/>
      </c>
      <c r="N1530" s="28">
        <f>IF(OR($A1530="",$K1530=""),"",IF($L1530="",IF(TODAY()&gt;$K1530,"Atrasado","En ruta"),IF($L1530&lt;=$K1530,"Sí","No")))</f>
        <v/>
      </c>
      <c r="O1530" s="24">
        <f>IF($A1530="","",COUNTIFS(NOVEDADES!$D$4:$D$1503,$A1530))</f>
        <v/>
      </c>
      <c r="P1530" s="28">
        <f>IF($A1530="","",IF(COUNTIFS(NOVEDADES!$D$4:$D$1503,$A1530,NOVEDADES!$O$4:$O$1503,"SÍ")&gt;0,"No","Sí"))</f>
        <v/>
      </c>
      <c r="Q1530" s="28">
        <f>IF(OR($A1530="",$L1530=""),"",IF(AND($N1530="Sí",$P1530="Sí"),"OTIF","Falló"))</f>
        <v/>
      </c>
    </row>
    <row r="1531" ht="16" customHeight="1">
      <c r="A1531" s="48" t="n"/>
      <c r="B1531" s="48" t="n"/>
      <c r="C1531" s="47" t="n"/>
      <c r="D1531" s="50" t="n"/>
      <c r="E1531" s="50" t="n"/>
      <c r="F1531" s="50" t="n"/>
      <c r="G1531" s="50" t="n"/>
      <c r="H1531" s="48" t="n"/>
      <c r="I1531" s="51" t="n"/>
      <c r="J1531" s="52" t="n"/>
      <c r="K1531" s="47" t="n"/>
      <c r="L1531" s="47" t="n"/>
      <c r="M1531" s="24">
        <f>IF(OR($A1531="",$C1531=""),"",IF($L1531&lt;&gt;"",$L1531-$C1531,TODAY()-$C1531))</f>
        <v/>
      </c>
      <c r="N1531" s="28">
        <f>IF(OR($A1531="",$K1531=""),"",IF($L1531="",IF(TODAY()&gt;$K1531,"Atrasado","En ruta"),IF($L1531&lt;=$K1531,"Sí","No")))</f>
        <v/>
      </c>
      <c r="O1531" s="24">
        <f>IF($A1531="","",COUNTIFS(NOVEDADES!$D$4:$D$1503,$A1531))</f>
        <v/>
      </c>
      <c r="P1531" s="28">
        <f>IF($A1531="","",IF(COUNTIFS(NOVEDADES!$D$4:$D$1503,$A1531,NOVEDADES!$O$4:$O$1503,"SÍ")&gt;0,"No","Sí"))</f>
        <v/>
      </c>
      <c r="Q1531" s="28">
        <f>IF(OR($A1531="",$L1531=""),"",IF(AND($N1531="Sí",$P1531="Sí"),"OTIF","Falló"))</f>
        <v/>
      </c>
    </row>
    <row r="1532" ht="16" customHeight="1">
      <c r="A1532" s="48" t="n"/>
      <c r="B1532" s="48" t="n"/>
      <c r="C1532" s="47" t="n"/>
      <c r="D1532" s="50" t="n"/>
      <c r="E1532" s="50" t="n"/>
      <c r="F1532" s="50" t="n"/>
      <c r="G1532" s="50" t="n"/>
      <c r="H1532" s="48" t="n"/>
      <c r="I1532" s="51" t="n"/>
      <c r="J1532" s="52" t="n"/>
      <c r="K1532" s="47" t="n"/>
      <c r="L1532" s="47" t="n"/>
      <c r="M1532" s="24">
        <f>IF(OR($A1532="",$C1532=""),"",IF($L1532&lt;&gt;"",$L1532-$C1532,TODAY()-$C1532))</f>
        <v/>
      </c>
      <c r="N1532" s="28">
        <f>IF(OR($A1532="",$K1532=""),"",IF($L1532="",IF(TODAY()&gt;$K1532,"Atrasado","En ruta"),IF($L1532&lt;=$K1532,"Sí","No")))</f>
        <v/>
      </c>
      <c r="O1532" s="24">
        <f>IF($A1532="","",COUNTIFS(NOVEDADES!$D$4:$D$1503,$A1532))</f>
        <v/>
      </c>
      <c r="P1532" s="28">
        <f>IF($A1532="","",IF(COUNTIFS(NOVEDADES!$D$4:$D$1503,$A1532,NOVEDADES!$O$4:$O$1503,"SÍ")&gt;0,"No","Sí"))</f>
        <v/>
      </c>
      <c r="Q1532" s="28">
        <f>IF(OR($A1532="",$L1532=""),"",IF(AND($N1532="Sí",$P1532="Sí"),"OTIF","Falló"))</f>
        <v/>
      </c>
    </row>
    <row r="1533" ht="16" customHeight="1">
      <c r="A1533" s="48" t="n"/>
      <c r="B1533" s="48" t="n"/>
      <c r="C1533" s="47" t="n"/>
      <c r="D1533" s="50" t="n"/>
      <c r="E1533" s="50" t="n"/>
      <c r="F1533" s="50" t="n"/>
      <c r="G1533" s="50" t="n"/>
      <c r="H1533" s="48" t="n"/>
      <c r="I1533" s="51" t="n"/>
      <c r="J1533" s="52" t="n"/>
      <c r="K1533" s="47" t="n"/>
      <c r="L1533" s="47" t="n"/>
      <c r="M1533" s="24">
        <f>IF(OR($A1533="",$C1533=""),"",IF($L1533&lt;&gt;"",$L1533-$C1533,TODAY()-$C1533))</f>
        <v/>
      </c>
      <c r="N1533" s="28">
        <f>IF(OR($A1533="",$K1533=""),"",IF($L1533="",IF(TODAY()&gt;$K1533,"Atrasado","En ruta"),IF($L1533&lt;=$K1533,"Sí","No")))</f>
        <v/>
      </c>
      <c r="O1533" s="24">
        <f>IF($A1533="","",COUNTIFS(NOVEDADES!$D$4:$D$1503,$A1533))</f>
        <v/>
      </c>
      <c r="P1533" s="28">
        <f>IF($A1533="","",IF(COUNTIFS(NOVEDADES!$D$4:$D$1503,$A1533,NOVEDADES!$O$4:$O$1503,"SÍ")&gt;0,"No","Sí"))</f>
        <v/>
      </c>
      <c r="Q1533" s="28">
        <f>IF(OR($A1533="",$L1533=""),"",IF(AND($N1533="Sí",$P1533="Sí"),"OTIF","Falló"))</f>
        <v/>
      </c>
    </row>
    <row r="1534" ht="16" customHeight="1">
      <c r="A1534" s="48" t="n"/>
      <c r="B1534" s="48" t="n"/>
      <c r="C1534" s="47" t="n"/>
      <c r="D1534" s="50" t="n"/>
      <c r="E1534" s="50" t="n"/>
      <c r="F1534" s="50" t="n"/>
      <c r="G1534" s="50" t="n"/>
      <c r="H1534" s="48" t="n"/>
      <c r="I1534" s="51" t="n"/>
      <c r="J1534" s="52" t="n"/>
      <c r="K1534" s="47" t="n"/>
      <c r="L1534" s="47" t="n"/>
      <c r="M1534" s="24">
        <f>IF(OR($A1534="",$C1534=""),"",IF($L1534&lt;&gt;"",$L1534-$C1534,TODAY()-$C1534))</f>
        <v/>
      </c>
      <c r="N1534" s="28">
        <f>IF(OR($A1534="",$K1534=""),"",IF($L1534="",IF(TODAY()&gt;$K1534,"Atrasado","En ruta"),IF($L1534&lt;=$K1534,"Sí","No")))</f>
        <v/>
      </c>
      <c r="O1534" s="24">
        <f>IF($A1534="","",COUNTIFS(NOVEDADES!$D$4:$D$1503,$A1534))</f>
        <v/>
      </c>
      <c r="P1534" s="28">
        <f>IF($A1534="","",IF(COUNTIFS(NOVEDADES!$D$4:$D$1503,$A1534,NOVEDADES!$O$4:$O$1503,"SÍ")&gt;0,"No","Sí"))</f>
        <v/>
      </c>
      <c r="Q1534" s="28">
        <f>IF(OR($A1534="",$L1534=""),"",IF(AND($N1534="Sí",$P1534="Sí"),"OTIF","Falló"))</f>
        <v/>
      </c>
    </row>
    <row r="1535" ht="16" customHeight="1">
      <c r="A1535" s="48" t="n"/>
      <c r="B1535" s="48" t="n"/>
      <c r="C1535" s="47" t="n"/>
      <c r="D1535" s="50" t="n"/>
      <c r="E1535" s="50" t="n"/>
      <c r="F1535" s="50" t="n"/>
      <c r="G1535" s="50" t="n"/>
      <c r="H1535" s="48" t="n"/>
      <c r="I1535" s="51" t="n"/>
      <c r="J1535" s="52" t="n"/>
      <c r="K1535" s="47" t="n"/>
      <c r="L1535" s="47" t="n"/>
      <c r="M1535" s="24">
        <f>IF(OR($A1535="",$C1535=""),"",IF($L1535&lt;&gt;"",$L1535-$C1535,TODAY()-$C1535))</f>
        <v/>
      </c>
      <c r="N1535" s="28">
        <f>IF(OR($A1535="",$K1535=""),"",IF($L1535="",IF(TODAY()&gt;$K1535,"Atrasado","En ruta"),IF($L1535&lt;=$K1535,"Sí","No")))</f>
        <v/>
      </c>
      <c r="O1535" s="24">
        <f>IF($A1535="","",COUNTIFS(NOVEDADES!$D$4:$D$1503,$A1535))</f>
        <v/>
      </c>
      <c r="P1535" s="28">
        <f>IF($A1535="","",IF(COUNTIFS(NOVEDADES!$D$4:$D$1503,$A1535,NOVEDADES!$O$4:$O$1503,"SÍ")&gt;0,"No","Sí"))</f>
        <v/>
      </c>
      <c r="Q1535" s="28">
        <f>IF(OR($A1535="",$L1535=""),"",IF(AND($N1535="Sí",$P1535="Sí"),"OTIF","Falló"))</f>
        <v/>
      </c>
    </row>
    <row r="1536" ht="16" customHeight="1">
      <c r="A1536" s="48" t="n"/>
      <c r="B1536" s="48" t="n"/>
      <c r="C1536" s="47" t="n"/>
      <c r="D1536" s="50" t="n"/>
      <c r="E1536" s="50" t="n"/>
      <c r="F1536" s="50" t="n"/>
      <c r="G1536" s="50" t="n"/>
      <c r="H1536" s="48" t="n"/>
      <c r="I1536" s="51" t="n"/>
      <c r="J1536" s="52" t="n"/>
      <c r="K1536" s="47" t="n"/>
      <c r="L1536" s="47" t="n"/>
      <c r="M1536" s="24">
        <f>IF(OR($A1536="",$C1536=""),"",IF($L1536&lt;&gt;"",$L1536-$C1536,TODAY()-$C1536))</f>
        <v/>
      </c>
      <c r="N1536" s="28">
        <f>IF(OR($A1536="",$K1536=""),"",IF($L1536="",IF(TODAY()&gt;$K1536,"Atrasado","En ruta"),IF($L1536&lt;=$K1536,"Sí","No")))</f>
        <v/>
      </c>
      <c r="O1536" s="24">
        <f>IF($A1536="","",COUNTIFS(NOVEDADES!$D$4:$D$1503,$A1536))</f>
        <v/>
      </c>
      <c r="P1536" s="28">
        <f>IF($A1536="","",IF(COUNTIFS(NOVEDADES!$D$4:$D$1503,$A1536,NOVEDADES!$O$4:$O$1503,"SÍ")&gt;0,"No","Sí"))</f>
        <v/>
      </c>
      <c r="Q1536" s="28">
        <f>IF(OR($A1536="",$L1536=""),"",IF(AND($N1536="Sí",$P1536="Sí"),"OTIF","Falló"))</f>
        <v/>
      </c>
    </row>
    <row r="1537" ht="16" customHeight="1">
      <c r="A1537" s="48" t="n"/>
      <c r="B1537" s="48" t="n"/>
      <c r="C1537" s="47" t="n"/>
      <c r="D1537" s="50" t="n"/>
      <c r="E1537" s="50" t="n"/>
      <c r="F1537" s="50" t="n"/>
      <c r="G1537" s="50" t="n"/>
      <c r="H1537" s="48" t="n"/>
      <c r="I1537" s="51" t="n"/>
      <c r="J1537" s="52" t="n"/>
      <c r="K1537" s="47" t="n"/>
      <c r="L1537" s="47" t="n"/>
      <c r="M1537" s="24">
        <f>IF(OR($A1537="",$C1537=""),"",IF($L1537&lt;&gt;"",$L1537-$C1537,TODAY()-$C1537))</f>
        <v/>
      </c>
      <c r="N1537" s="28">
        <f>IF(OR($A1537="",$K1537=""),"",IF($L1537="",IF(TODAY()&gt;$K1537,"Atrasado","En ruta"),IF($L1537&lt;=$K1537,"Sí","No")))</f>
        <v/>
      </c>
      <c r="O1537" s="24">
        <f>IF($A1537="","",COUNTIFS(NOVEDADES!$D$4:$D$1503,$A1537))</f>
        <v/>
      </c>
      <c r="P1537" s="28">
        <f>IF($A1537="","",IF(COUNTIFS(NOVEDADES!$D$4:$D$1503,$A1537,NOVEDADES!$O$4:$O$1503,"SÍ")&gt;0,"No","Sí"))</f>
        <v/>
      </c>
      <c r="Q1537" s="28">
        <f>IF(OR($A1537="",$L1537=""),"",IF(AND($N1537="Sí",$P1537="Sí"),"OTIF","Falló"))</f>
        <v/>
      </c>
    </row>
    <row r="1538" ht="16" customHeight="1">
      <c r="A1538" s="48" t="n"/>
      <c r="B1538" s="48" t="n"/>
      <c r="C1538" s="47" t="n"/>
      <c r="D1538" s="50" t="n"/>
      <c r="E1538" s="50" t="n"/>
      <c r="F1538" s="50" t="n"/>
      <c r="G1538" s="50" t="n"/>
      <c r="H1538" s="48" t="n"/>
      <c r="I1538" s="51" t="n"/>
      <c r="J1538" s="52" t="n"/>
      <c r="K1538" s="47" t="n"/>
      <c r="L1538" s="47" t="n"/>
      <c r="M1538" s="24">
        <f>IF(OR($A1538="",$C1538=""),"",IF($L1538&lt;&gt;"",$L1538-$C1538,TODAY()-$C1538))</f>
        <v/>
      </c>
      <c r="N1538" s="28">
        <f>IF(OR($A1538="",$K1538=""),"",IF($L1538="",IF(TODAY()&gt;$K1538,"Atrasado","En ruta"),IF($L1538&lt;=$K1538,"Sí","No")))</f>
        <v/>
      </c>
      <c r="O1538" s="24">
        <f>IF($A1538="","",COUNTIFS(NOVEDADES!$D$4:$D$1503,$A1538))</f>
        <v/>
      </c>
      <c r="P1538" s="28">
        <f>IF($A1538="","",IF(COUNTIFS(NOVEDADES!$D$4:$D$1503,$A1538,NOVEDADES!$O$4:$O$1503,"SÍ")&gt;0,"No","Sí"))</f>
        <v/>
      </c>
      <c r="Q1538" s="28">
        <f>IF(OR($A1538="",$L1538=""),"",IF(AND($N1538="Sí",$P1538="Sí"),"OTIF","Falló"))</f>
        <v/>
      </c>
    </row>
    <row r="1539" ht="16" customHeight="1">
      <c r="A1539" s="48" t="n"/>
      <c r="B1539" s="48" t="n"/>
      <c r="C1539" s="47" t="n"/>
      <c r="D1539" s="50" t="n"/>
      <c r="E1539" s="50" t="n"/>
      <c r="F1539" s="50" t="n"/>
      <c r="G1539" s="50" t="n"/>
      <c r="H1539" s="48" t="n"/>
      <c r="I1539" s="51" t="n"/>
      <c r="J1539" s="52" t="n"/>
      <c r="K1539" s="47" t="n"/>
      <c r="L1539" s="47" t="n"/>
      <c r="M1539" s="24">
        <f>IF(OR($A1539="",$C1539=""),"",IF($L1539&lt;&gt;"",$L1539-$C1539,TODAY()-$C1539))</f>
        <v/>
      </c>
      <c r="N1539" s="28">
        <f>IF(OR($A1539="",$K1539=""),"",IF($L1539="",IF(TODAY()&gt;$K1539,"Atrasado","En ruta"),IF($L1539&lt;=$K1539,"Sí","No")))</f>
        <v/>
      </c>
      <c r="O1539" s="24">
        <f>IF($A1539="","",COUNTIFS(NOVEDADES!$D$4:$D$1503,$A1539))</f>
        <v/>
      </c>
      <c r="P1539" s="28">
        <f>IF($A1539="","",IF(COUNTIFS(NOVEDADES!$D$4:$D$1503,$A1539,NOVEDADES!$O$4:$O$1503,"SÍ")&gt;0,"No","Sí"))</f>
        <v/>
      </c>
      <c r="Q1539" s="28">
        <f>IF(OR($A1539="",$L1539=""),"",IF(AND($N1539="Sí",$P1539="Sí"),"OTIF","Falló"))</f>
        <v/>
      </c>
    </row>
    <row r="1540" ht="16" customHeight="1">
      <c r="A1540" s="48" t="n"/>
      <c r="B1540" s="48" t="n"/>
      <c r="C1540" s="47" t="n"/>
      <c r="D1540" s="50" t="n"/>
      <c r="E1540" s="50" t="n"/>
      <c r="F1540" s="50" t="n"/>
      <c r="G1540" s="50" t="n"/>
      <c r="H1540" s="48" t="n"/>
      <c r="I1540" s="51" t="n"/>
      <c r="J1540" s="52" t="n"/>
      <c r="K1540" s="47" t="n"/>
      <c r="L1540" s="47" t="n"/>
      <c r="M1540" s="24">
        <f>IF(OR($A1540="",$C1540=""),"",IF($L1540&lt;&gt;"",$L1540-$C1540,TODAY()-$C1540))</f>
        <v/>
      </c>
      <c r="N1540" s="28">
        <f>IF(OR($A1540="",$K1540=""),"",IF($L1540="",IF(TODAY()&gt;$K1540,"Atrasado","En ruta"),IF($L1540&lt;=$K1540,"Sí","No")))</f>
        <v/>
      </c>
      <c r="O1540" s="24">
        <f>IF($A1540="","",COUNTIFS(NOVEDADES!$D$4:$D$1503,$A1540))</f>
        <v/>
      </c>
      <c r="P1540" s="28">
        <f>IF($A1540="","",IF(COUNTIFS(NOVEDADES!$D$4:$D$1503,$A1540,NOVEDADES!$O$4:$O$1503,"SÍ")&gt;0,"No","Sí"))</f>
        <v/>
      </c>
      <c r="Q1540" s="28">
        <f>IF(OR($A1540="",$L1540=""),"",IF(AND($N1540="Sí",$P1540="Sí"),"OTIF","Falló"))</f>
        <v/>
      </c>
    </row>
    <row r="1541" ht="16" customHeight="1">
      <c r="A1541" s="48" t="n"/>
      <c r="B1541" s="48" t="n"/>
      <c r="C1541" s="47" t="n"/>
      <c r="D1541" s="50" t="n"/>
      <c r="E1541" s="50" t="n"/>
      <c r="F1541" s="50" t="n"/>
      <c r="G1541" s="50" t="n"/>
      <c r="H1541" s="48" t="n"/>
      <c r="I1541" s="51" t="n"/>
      <c r="J1541" s="52" t="n"/>
      <c r="K1541" s="47" t="n"/>
      <c r="L1541" s="47" t="n"/>
      <c r="M1541" s="24">
        <f>IF(OR($A1541="",$C1541=""),"",IF($L1541&lt;&gt;"",$L1541-$C1541,TODAY()-$C1541))</f>
        <v/>
      </c>
      <c r="N1541" s="28">
        <f>IF(OR($A1541="",$K1541=""),"",IF($L1541="",IF(TODAY()&gt;$K1541,"Atrasado","En ruta"),IF($L1541&lt;=$K1541,"Sí","No")))</f>
        <v/>
      </c>
      <c r="O1541" s="24">
        <f>IF($A1541="","",COUNTIFS(NOVEDADES!$D$4:$D$1503,$A1541))</f>
        <v/>
      </c>
      <c r="P1541" s="28">
        <f>IF($A1541="","",IF(COUNTIFS(NOVEDADES!$D$4:$D$1503,$A1541,NOVEDADES!$O$4:$O$1503,"SÍ")&gt;0,"No","Sí"))</f>
        <v/>
      </c>
      <c r="Q1541" s="28">
        <f>IF(OR($A1541="",$L1541=""),"",IF(AND($N1541="Sí",$P1541="Sí"),"OTIF","Falló"))</f>
        <v/>
      </c>
    </row>
    <row r="1542" ht="16" customHeight="1">
      <c r="A1542" s="48" t="n"/>
      <c r="B1542" s="48" t="n"/>
      <c r="C1542" s="47" t="n"/>
      <c r="D1542" s="50" t="n"/>
      <c r="E1542" s="50" t="n"/>
      <c r="F1542" s="50" t="n"/>
      <c r="G1542" s="50" t="n"/>
      <c r="H1542" s="48" t="n"/>
      <c r="I1542" s="51" t="n"/>
      <c r="J1542" s="52" t="n"/>
      <c r="K1542" s="47" t="n"/>
      <c r="L1542" s="47" t="n"/>
      <c r="M1542" s="24">
        <f>IF(OR($A1542="",$C1542=""),"",IF($L1542&lt;&gt;"",$L1542-$C1542,TODAY()-$C1542))</f>
        <v/>
      </c>
      <c r="N1542" s="28">
        <f>IF(OR($A1542="",$K1542=""),"",IF($L1542="",IF(TODAY()&gt;$K1542,"Atrasado","En ruta"),IF($L1542&lt;=$K1542,"Sí","No")))</f>
        <v/>
      </c>
      <c r="O1542" s="24">
        <f>IF($A1542="","",COUNTIFS(NOVEDADES!$D$4:$D$1503,$A1542))</f>
        <v/>
      </c>
      <c r="P1542" s="28">
        <f>IF($A1542="","",IF(COUNTIFS(NOVEDADES!$D$4:$D$1503,$A1542,NOVEDADES!$O$4:$O$1503,"SÍ")&gt;0,"No","Sí"))</f>
        <v/>
      </c>
      <c r="Q1542" s="28">
        <f>IF(OR($A1542="",$L1542=""),"",IF(AND($N1542="Sí",$P1542="Sí"),"OTIF","Falló"))</f>
        <v/>
      </c>
    </row>
    <row r="1543" ht="16" customHeight="1">
      <c r="A1543" s="48" t="n"/>
      <c r="B1543" s="48" t="n"/>
      <c r="C1543" s="47" t="n"/>
      <c r="D1543" s="50" t="n"/>
      <c r="E1543" s="50" t="n"/>
      <c r="F1543" s="50" t="n"/>
      <c r="G1543" s="50" t="n"/>
      <c r="H1543" s="48" t="n"/>
      <c r="I1543" s="51" t="n"/>
      <c r="J1543" s="52" t="n"/>
      <c r="K1543" s="47" t="n"/>
      <c r="L1543" s="47" t="n"/>
      <c r="M1543" s="24">
        <f>IF(OR($A1543="",$C1543=""),"",IF($L1543&lt;&gt;"",$L1543-$C1543,TODAY()-$C1543))</f>
        <v/>
      </c>
      <c r="N1543" s="28">
        <f>IF(OR($A1543="",$K1543=""),"",IF($L1543="",IF(TODAY()&gt;$K1543,"Atrasado","En ruta"),IF($L1543&lt;=$K1543,"Sí","No")))</f>
        <v/>
      </c>
      <c r="O1543" s="24">
        <f>IF($A1543="","",COUNTIFS(NOVEDADES!$D$4:$D$1503,$A1543))</f>
        <v/>
      </c>
      <c r="P1543" s="28">
        <f>IF($A1543="","",IF(COUNTIFS(NOVEDADES!$D$4:$D$1503,$A1543,NOVEDADES!$O$4:$O$1503,"SÍ")&gt;0,"No","Sí"))</f>
        <v/>
      </c>
      <c r="Q1543" s="28">
        <f>IF(OR($A1543="",$L1543=""),"",IF(AND($N1543="Sí",$P1543="Sí"),"OTIF","Falló"))</f>
        <v/>
      </c>
    </row>
    <row r="1544" ht="16" customHeight="1">
      <c r="A1544" s="48" t="n"/>
      <c r="B1544" s="48" t="n"/>
      <c r="C1544" s="47" t="n"/>
      <c r="D1544" s="50" t="n"/>
      <c r="E1544" s="50" t="n"/>
      <c r="F1544" s="50" t="n"/>
      <c r="G1544" s="50" t="n"/>
      <c r="H1544" s="48" t="n"/>
      <c r="I1544" s="51" t="n"/>
      <c r="J1544" s="52" t="n"/>
      <c r="K1544" s="47" t="n"/>
      <c r="L1544" s="47" t="n"/>
      <c r="M1544" s="24">
        <f>IF(OR($A1544="",$C1544=""),"",IF($L1544&lt;&gt;"",$L1544-$C1544,TODAY()-$C1544))</f>
        <v/>
      </c>
      <c r="N1544" s="28">
        <f>IF(OR($A1544="",$K1544=""),"",IF($L1544="",IF(TODAY()&gt;$K1544,"Atrasado","En ruta"),IF($L1544&lt;=$K1544,"Sí","No")))</f>
        <v/>
      </c>
      <c r="O1544" s="24">
        <f>IF($A1544="","",COUNTIFS(NOVEDADES!$D$4:$D$1503,$A1544))</f>
        <v/>
      </c>
      <c r="P1544" s="28">
        <f>IF($A1544="","",IF(COUNTIFS(NOVEDADES!$D$4:$D$1503,$A1544,NOVEDADES!$O$4:$O$1503,"SÍ")&gt;0,"No","Sí"))</f>
        <v/>
      </c>
      <c r="Q1544" s="28">
        <f>IF(OR($A1544="",$L1544=""),"",IF(AND($N1544="Sí",$P1544="Sí"),"OTIF","Falló"))</f>
        <v/>
      </c>
    </row>
    <row r="1545" ht="16" customHeight="1">
      <c r="A1545" s="48" t="n"/>
      <c r="B1545" s="48" t="n"/>
      <c r="C1545" s="47" t="n"/>
      <c r="D1545" s="50" t="n"/>
      <c r="E1545" s="50" t="n"/>
      <c r="F1545" s="50" t="n"/>
      <c r="G1545" s="50" t="n"/>
      <c r="H1545" s="48" t="n"/>
      <c r="I1545" s="51" t="n"/>
      <c r="J1545" s="52" t="n"/>
      <c r="K1545" s="47" t="n"/>
      <c r="L1545" s="47" t="n"/>
      <c r="M1545" s="24">
        <f>IF(OR($A1545="",$C1545=""),"",IF($L1545&lt;&gt;"",$L1545-$C1545,TODAY()-$C1545))</f>
        <v/>
      </c>
      <c r="N1545" s="28">
        <f>IF(OR($A1545="",$K1545=""),"",IF($L1545="",IF(TODAY()&gt;$K1545,"Atrasado","En ruta"),IF($L1545&lt;=$K1545,"Sí","No")))</f>
        <v/>
      </c>
      <c r="O1545" s="24">
        <f>IF($A1545="","",COUNTIFS(NOVEDADES!$D$4:$D$1503,$A1545))</f>
        <v/>
      </c>
      <c r="P1545" s="28">
        <f>IF($A1545="","",IF(COUNTIFS(NOVEDADES!$D$4:$D$1503,$A1545,NOVEDADES!$O$4:$O$1503,"SÍ")&gt;0,"No","Sí"))</f>
        <v/>
      </c>
      <c r="Q1545" s="28">
        <f>IF(OR($A1545="",$L1545=""),"",IF(AND($N1545="Sí",$P1545="Sí"),"OTIF","Falló"))</f>
        <v/>
      </c>
    </row>
    <row r="1546" ht="16" customHeight="1">
      <c r="A1546" s="48" t="n"/>
      <c r="B1546" s="48" t="n"/>
      <c r="C1546" s="47" t="n"/>
      <c r="D1546" s="50" t="n"/>
      <c r="E1546" s="50" t="n"/>
      <c r="F1546" s="50" t="n"/>
      <c r="G1546" s="50" t="n"/>
      <c r="H1546" s="48" t="n"/>
      <c r="I1546" s="51" t="n"/>
      <c r="J1546" s="52" t="n"/>
      <c r="K1546" s="47" t="n"/>
      <c r="L1546" s="47" t="n"/>
      <c r="M1546" s="24">
        <f>IF(OR($A1546="",$C1546=""),"",IF($L1546&lt;&gt;"",$L1546-$C1546,TODAY()-$C1546))</f>
        <v/>
      </c>
      <c r="N1546" s="28">
        <f>IF(OR($A1546="",$K1546=""),"",IF($L1546="",IF(TODAY()&gt;$K1546,"Atrasado","En ruta"),IF($L1546&lt;=$K1546,"Sí","No")))</f>
        <v/>
      </c>
      <c r="O1546" s="24">
        <f>IF($A1546="","",COUNTIFS(NOVEDADES!$D$4:$D$1503,$A1546))</f>
        <v/>
      </c>
      <c r="P1546" s="28">
        <f>IF($A1546="","",IF(COUNTIFS(NOVEDADES!$D$4:$D$1503,$A1546,NOVEDADES!$O$4:$O$1503,"SÍ")&gt;0,"No","Sí"))</f>
        <v/>
      </c>
      <c r="Q1546" s="28">
        <f>IF(OR($A1546="",$L1546=""),"",IF(AND($N1546="Sí",$P1546="Sí"),"OTIF","Falló"))</f>
        <v/>
      </c>
    </row>
    <row r="1547" ht="16" customHeight="1">
      <c r="A1547" s="48" t="n"/>
      <c r="B1547" s="48" t="n"/>
      <c r="C1547" s="47" t="n"/>
      <c r="D1547" s="50" t="n"/>
      <c r="E1547" s="50" t="n"/>
      <c r="F1547" s="50" t="n"/>
      <c r="G1547" s="50" t="n"/>
      <c r="H1547" s="48" t="n"/>
      <c r="I1547" s="51" t="n"/>
      <c r="J1547" s="52" t="n"/>
      <c r="K1547" s="47" t="n"/>
      <c r="L1547" s="47" t="n"/>
      <c r="M1547" s="24">
        <f>IF(OR($A1547="",$C1547=""),"",IF($L1547&lt;&gt;"",$L1547-$C1547,TODAY()-$C1547))</f>
        <v/>
      </c>
      <c r="N1547" s="28">
        <f>IF(OR($A1547="",$K1547=""),"",IF($L1547="",IF(TODAY()&gt;$K1547,"Atrasado","En ruta"),IF($L1547&lt;=$K1547,"Sí","No")))</f>
        <v/>
      </c>
      <c r="O1547" s="24">
        <f>IF($A1547="","",COUNTIFS(NOVEDADES!$D$4:$D$1503,$A1547))</f>
        <v/>
      </c>
      <c r="P1547" s="28">
        <f>IF($A1547="","",IF(COUNTIFS(NOVEDADES!$D$4:$D$1503,$A1547,NOVEDADES!$O$4:$O$1503,"SÍ")&gt;0,"No","Sí"))</f>
        <v/>
      </c>
      <c r="Q1547" s="28">
        <f>IF(OR($A1547="",$L1547=""),"",IF(AND($N1547="Sí",$P1547="Sí"),"OTIF","Falló"))</f>
        <v/>
      </c>
    </row>
    <row r="1548" ht="16" customHeight="1">
      <c r="A1548" s="48" t="n"/>
      <c r="B1548" s="48" t="n"/>
      <c r="C1548" s="47" t="n"/>
      <c r="D1548" s="50" t="n"/>
      <c r="E1548" s="50" t="n"/>
      <c r="F1548" s="50" t="n"/>
      <c r="G1548" s="50" t="n"/>
      <c r="H1548" s="48" t="n"/>
      <c r="I1548" s="51" t="n"/>
      <c r="J1548" s="52" t="n"/>
      <c r="K1548" s="47" t="n"/>
      <c r="L1548" s="47" t="n"/>
      <c r="M1548" s="24">
        <f>IF(OR($A1548="",$C1548=""),"",IF($L1548&lt;&gt;"",$L1548-$C1548,TODAY()-$C1548))</f>
        <v/>
      </c>
      <c r="N1548" s="28">
        <f>IF(OR($A1548="",$K1548=""),"",IF($L1548="",IF(TODAY()&gt;$K1548,"Atrasado","En ruta"),IF($L1548&lt;=$K1548,"Sí","No")))</f>
        <v/>
      </c>
      <c r="O1548" s="24">
        <f>IF($A1548="","",COUNTIFS(NOVEDADES!$D$4:$D$1503,$A1548))</f>
        <v/>
      </c>
      <c r="P1548" s="28">
        <f>IF($A1548="","",IF(COUNTIFS(NOVEDADES!$D$4:$D$1503,$A1548,NOVEDADES!$O$4:$O$1503,"SÍ")&gt;0,"No","Sí"))</f>
        <v/>
      </c>
      <c r="Q1548" s="28">
        <f>IF(OR($A1548="",$L1548=""),"",IF(AND($N1548="Sí",$P1548="Sí"),"OTIF","Falló"))</f>
        <v/>
      </c>
    </row>
    <row r="1549" ht="16" customHeight="1">
      <c r="A1549" s="48" t="n"/>
      <c r="B1549" s="48" t="n"/>
      <c r="C1549" s="47" t="n"/>
      <c r="D1549" s="50" t="n"/>
      <c r="E1549" s="50" t="n"/>
      <c r="F1549" s="50" t="n"/>
      <c r="G1549" s="50" t="n"/>
      <c r="H1549" s="48" t="n"/>
      <c r="I1549" s="51" t="n"/>
      <c r="J1549" s="52" t="n"/>
      <c r="K1549" s="47" t="n"/>
      <c r="L1549" s="47" t="n"/>
      <c r="M1549" s="24">
        <f>IF(OR($A1549="",$C1549=""),"",IF($L1549&lt;&gt;"",$L1549-$C1549,TODAY()-$C1549))</f>
        <v/>
      </c>
      <c r="N1549" s="28">
        <f>IF(OR($A1549="",$K1549=""),"",IF($L1549="",IF(TODAY()&gt;$K1549,"Atrasado","En ruta"),IF($L1549&lt;=$K1549,"Sí","No")))</f>
        <v/>
      </c>
      <c r="O1549" s="24">
        <f>IF($A1549="","",COUNTIFS(NOVEDADES!$D$4:$D$1503,$A1549))</f>
        <v/>
      </c>
      <c r="P1549" s="28">
        <f>IF($A1549="","",IF(COUNTIFS(NOVEDADES!$D$4:$D$1503,$A1549,NOVEDADES!$O$4:$O$1503,"SÍ")&gt;0,"No","Sí"))</f>
        <v/>
      </c>
      <c r="Q1549" s="28">
        <f>IF(OR($A1549="",$L1549=""),"",IF(AND($N1549="Sí",$P1549="Sí"),"OTIF","Falló"))</f>
        <v/>
      </c>
    </row>
    <row r="1550" ht="16" customHeight="1">
      <c r="A1550" s="48" t="n"/>
      <c r="B1550" s="48" t="n"/>
      <c r="C1550" s="47" t="n"/>
      <c r="D1550" s="50" t="n"/>
      <c r="E1550" s="50" t="n"/>
      <c r="F1550" s="50" t="n"/>
      <c r="G1550" s="50" t="n"/>
      <c r="H1550" s="48" t="n"/>
      <c r="I1550" s="51" t="n"/>
      <c r="J1550" s="52" t="n"/>
      <c r="K1550" s="47" t="n"/>
      <c r="L1550" s="47" t="n"/>
      <c r="M1550" s="24">
        <f>IF(OR($A1550="",$C1550=""),"",IF($L1550&lt;&gt;"",$L1550-$C1550,TODAY()-$C1550))</f>
        <v/>
      </c>
      <c r="N1550" s="28">
        <f>IF(OR($A1550="",$K1550=""),"",IF($L1550="",IF(TODAY()&gt;$K1550,"Atrasado","En ruta"),IF($L1550&lt;=$K1550,"Sí","No")))</f>
        <v/>
      </c>
      <c r="O1550" s="24">
        <f>IF($A1550="","",COUNTIFS(NOVEDADES!$D$4:$D$1503,$A1550))</f>
        <v/>
      </c>
      <c r="P1550" s="28">
        <f>IF($A1550="","",IF(COUNTIFS(NOVEDADES!$D$4:$D$1503,$A1550,NOVEDADES!$O$4:$O$1503,"SÍ")&gt;0,"No","Sí"))</f>
        <v/>
      </c>
      <c r="Q1550" s="28">
        <f>IF(OR($A1550="",$L1550=""),"",IF(AND($N1550="Sí",$P1550="Sí"),"OTIF","Falló"))</f>
        <v/>
      </c>
    </row>
    <row r="1551" ht="16" customHeight="1">
      <c r="A1551" s="48" t="n"/>
      <c r="B1551" s="48" t="n"/>
      <c r="C1551" s="47" t="n"/>
      <c r="D1551" s="50" t="n"/>
      <c r="E1551" s="50" t="n"/>
      <c r="F1551" s="50" t="n"/>
      <c r="G1551" s="50" t="n"/>
      <c r="H1551" s="48" t="n"/>
      <c r="I1551" s="51" t="n"/>
      <c r="J1551" s="52" t="n"/>
      <c r="K1551" s="47" t="n"/>
      <c r="L1551" s="47" t="n"/>
      <c r="M1551" s="24">
        <f>IF(OR($A1551="",$C1551=""),"",IF($L1551&lt;&gt;"",$L1551-$C1551,TODAY()-$C1551))</f>
        <v/>
      </c>
      <c r="N1551" s="28">
        <f>IF(OR($A1551="",$K1551=""),"",IF($L1551="",IF(TODAY()&gt;$K1551,"Atrasado","En ruta"),IF($L1551&lt;=$K1551,"Sí","No")))</f>
        <v/>
      </c>
      <c r="O1551" s="24">
        <f>IF($A1551="","",COUNTIFS(NOVEDADES!$D$4:$D$1503,$A1551))</f>
        <v/>
      </c>
      <c r="P1551" s="28">
        <f>IF($A1551="","",IF(COUNTIFS(NOVEDADES!$D$4:$D$1503,$A1551,NOVEDADES!$O$4:$O$1503,"SÍ")&gt;0,"No","Sí"))</f>
        <v/>
      </c>
      <c r="Q1551" s="28">
        <f>IF(OR($A1551="",$L1551=""),"",IF(AND($N1551="Sí",$P1551="Sí"),"OTIF","Falló"))</f>
        <v/>
      </c>
    </row>
    <row r="1552" ht="16" customHeight="1">
      <c r="A1552" s="48" t="n"/>
      <c r="B1552" s="48" t="n"/>
      <c r="C1552" s="47" t="n"/>
      <c r="D1552" s="50" t="n"/>
      <c r="E1552" s="50" t="n"/>
      <c r="F1552" s="50" t="n"/>
      <c r="G1552" s="50" t="n"/>
      <c r="H1552" s="48" t="n"/>
      <c r="I1552" s="51" t="n"/>
      <c r="J1552" s="52" t="n"/>
      <c r="K1552" s="47" t="n"/>
      <c r="L1552" s="47" t="n"/>
      <c r="M1552" s="24">
        <f>IF(OR($A1552="",$C1552=""),"",IF($L1552&lt;&gt;"",$L1552-$C1552,TODAY()-$C1552))</f>
        <v/>
      </c>
      <c r="N1552" s="28">
        <f>IF(OR($A1552="",$K1552=""),"",IF($L1552="",IF(TODAY()&gt;$K1552,"Atrasado","En ruta"),IF($L1552&lt;=$K1552,"Sí","No")))</f>
        <v/>
      </c>
      <c r="O1552" s="24">
        <f>IF($A1552="","",COUNTIFS(NOVEDADES!$D$4:$D$1503,$A1552))</f>
        <v/>
      </c>
      <c r="P1552" s="28">
        <f>IF($A1552="","",IF(COUNTIFS(NOVEDADES!$D$4:$D$1503,$A1552,NOVEDADES!$O$4:$O$1503,"SÍ")&gt;0,"No","Sí"))</f>
        <v/>
      </c>
      <c r="Q1552" s="28">
        <f>IF(OR($A1552="",$L1552=""),"",IF(AND($N1552="Sí",$P1552="Sí"),"OTIF","Falló"))</f>
        <v/>
      </c>
    </row>
    <row r="1553" ht="16" customHeight="1">
      <c r="A1553" s="48" t="n"/>
      <c r="B1553" s="48" t="n"/>
      <c r="C1553" s="47" t="n"/>
      <c r="D1553" s="50" t="n"/>
      <c r="E1553" s="50" t="n"/>
      <c r="F1553" s="50" t="n"/>
      <c r="G1553" s="50" t="n"/>
      <c r="H1553" s="48" t="n"/>
      <c r="I1553" s="51" t="n"/>
      <c r="J1553" s="52" t="n"/>
      <c r="K1553" s="47" t="n"/>
      <c r="L1553" s="47" t="n"/>
      <c r="M1553" s="24">
        <f>IF(OR($A1553="",$C1553=""),"",IF($L1553&lt;&gt;"",$L1553-$C1553,TODAY()-$C1553))</f>
        <v/>
      </c>
      <c r="N1553" s="28">
        <f>IF(OR($A1553="",$K1553=""),"",IF($L1553="",IF(TODAY()&gt;$K1553,"Atrasado","En ruta"),IF($L1553&lt;=$K1553,"Sí","No")))</f>
        <v/>
      </c>
      <c r="O1553" s="24">
        <f>IF($A1553="","",COUNTIFS(NOVEDADES!$D$4:$D$1503,$A1553))</f>
        <v/>
      </c>
      <c r="P1553" s="28">
        <f>IF($A1553="","",IF(COUNTIFS(NOVEDADES!$D$4:$D$1503,$A1553,NOVEDADES!$O$4:$O$1503,"SÍ")&gt;0,"No","Sí"))</f>
        <v/>
      </c>
      <c r="Q1553" s="28">
        <f>IF(OR($A1553="",$L1553=""),"",IF(AND($N1553="Sí",$P1553="Sí"),"OTIF","Falló"))</f>
        <v/>
      </c>
    </row>
    <row r="1554" ht="16" customHeight="1">
      <c r="A1554" s="48" t="n"/>
      <c r="B1554" s="48" t="n"/>
      <c r="C1554" s="47" t="n"/>
      <c r="D1554" s="50" t="n"/>
      <c r="E1554" s="50" t="n"/>
      <c r="F1554" s="50" t="n"/>
      <c r="G1554" s="50" t="n"/>
      <c r="H1554" s="48" t="n"/>
      <c r="I1554" s="51" t="n"/>
      <c r="J1554" s="52" t="n"/>
      <c r="K1554" s="47" t="n"/>
      <c r="L1554" s="47" t="n"/>
      <c r="M1554" s="24">
        <f>IF(OR($A1554="",$C1554=""),"",IF($L1554&lt;&gt;"",$L1554-$C1554,TODAY()-$C1554))</f>
        <v/>
      </c>
      <c r="N1554" s="28">
        <f>IF(OR($A1554="",$K1554=""),"",IF($L1554="",IF(TODAY()&gt;$K1554,"Atrasado","En ruta"),IF($L1554&lt;=$K1554,"Sí","No")))</f>
        <v/>
      </c>
      <c r="O1554" s="24">
        <f>IF($A1554="","",COUNTIFS(NOVEDADES!$D$4:$D$1503,$A1554))</f>
        <v/>
      </c>
      <c r="P1554" s="28">
        <f>IF($A1554="","",IF(COUNTIFS(NOVEDADES!$D$4:$D$1503,$A1554,NOVEDADES!$O$4:$O$1503,"SÍ")&gt;0,"No","Sí"))</f>
        <v/>
      </c>
      <c r="Q1554" s="28">
        <f>IF(OR($A1554="",$L1554=""),"",IF(AND($N1554="Sí",$P1554="Sí"),"OTIF","Falló"))</f>
        <v/>
      </c>
    </row>
    <row r="1555" ht="16" customHeight="1">
      <c r="A1555" s="48" t="n"/>
      <c r="B1555" s="48" t="n"/>
      <c r="C1555" s="47" t="n"/>
      <c r="D1555" s="50" t="n"/>
      <c r="E1555" s="50" t="n"/>
      <c r="F1555" s="50" t="n"/>
      <c r="G1555" s="50" t="n"/>
      <c r="H1555" s="48" t="n"/>
      <c r="I1555" s="51" t="n"/>
      <c r="J1555" s="52" t="n"/>
      <c r="K1555" s="47" t="n"/>
      <c r="L1555" s="47" t="n"/>
      <c r="M1555" s="24">
        <f>IF(OR($A1555="",$C1555=""),"",IF($L1555&lt;&gt;"",$L1555-$C1555,TODAY()-$C1555))</f>
        <v/>
      </c>
      <c r="N1555" s="28">
        <f>IF(OR($A1555="",$K1555=""),"",IF($L1555="",IF(TODAY()&gt;$K1555,"Atrasado","En ruta"),IF($L1555&lt;=$K1555,"Sí","No")))</f>
        <v/>
      </c>
      <c r="O1555" s="24">
        <f>IF($A1555="","",COUNTIFS(NOVEDADES!$D$4:$D$1503,$A1555))</f>
        <v/>
      </c>
      <c r="P1555" s="28">
        <f>IF($A1555="","",IF(COUNTIFS(NOVEDADES!$D$4:$D$1503,$A1555,NOVEDADES!$O$4:$O$1503,"SÍ")&gt;0,"No","Sí"))</f>
        <v/>
      </c>
      <c r="Q1555" s="28">
        <f>IF(OR($A1555="",$L1555=""),"",IF(AND($N1555="Sí",$P1555="Sí"),"OTIF","Falló"))</f>
        <v/>
      </c>
    </row>
    <row r="1556" ht="16" customHeight="1">
      <c r="A1556" s="48" t="n"/>
      <c r="B1556" s="48" t="n"/>
      <c r="C1556" s="47" t="n"/>
      <c r="D1556" s="50" t="n"/>
      <c r="E1556" s="50" t="n"/>
      <c r="F1556" s="50" t="n"/>
      <c r="G1556" s="50" t="n"/>
      <c r="H1556" s="48" t="n"/>
      <c r="I1556" s="51" t="n"/>
      <c r="J1556" s="52" t="n"/>
      <c r="K1556" s="47" t="n"/>
      <c r="L1556" s="47" t="n"/>
      <c r="M1556" s="24">
        <f>IF(OR($A1556="",$C1556=""),"",IF($L1556&lt;&gt;"",$L1556-$C1556,TODAY()-$C1556))</f>
        <v/>
      </c>
      <c r="N1556" s="28">
        <f>IF(OR($A1556="",$K1556=""),"",IF($L1556="",IF(TODAY()&gt;$K1556,"Atrasado","En ruta"),IF($L1556&lt;=$K1556,"Sí","No")))</f>
        <v/>
      </c>
      <c r="O1556" s="24">
        <f>IF($A1556="","",COUNTIFS(NOVEDADES!$D$4:$D$1503,$A1556))</f>
        <v/>
      </c>
      <c r="P1556" s="28">
        <f>IF($A1556="","",IF(COUNTIFS(NOVEDADES!$D$4:$D$1503,$A1556,NOVEDADES!$O$4:$O$1503,"SÍ")&gt;0,"No","Sí"))</f>
        <v/>
      </c>
      <c r="Q1556" s="28">
        <f>IF(OR($A1556="",$L1556=""),"",IF(AND($N1556="Sí",$P1556="Sí"),"OTIF","Falló"))</f>
        <v/>
      </c>
    </row>
    <row r="1557" ht="16" customHeight="1">
      <c r="A1557" s="48" t="n"/>
      <c r="B1557" s="48" t="n"/>
      <c r="C1557" s="47" t="n"/>
      <c r="D1557" s="50" t="n"/>
      <c r="E1557" s="50" t="n"/>
      <c r="F1557" s="50" t="n"/>
      <c r="G1557" s="50" t="n"/>
      <c r="H1557" s="48" t="n"/>
      <c r="I1557" s="51" t="n"/>
      <c r="J1557" s="52" t="n"/>
      <c r="K1557" s="47" t="n"/>
      <c r="L1557" s="47" t="n"/>
      <c r="M1557" s="24">
        <f>IF(OR($A1557="",$C1557=""),"",IF($L1557&lt;&gt;"",$L1557-$C1557,TODAY()-$C1557))</f>
        <v/>
      </c>
      <c r="N1557" s="28">
        <f>IF(OR($A1557="",$K1557=""),"",IF($L1557="",IF(TODAY()&gt;$K1557,"Atrasado","En ruta"),IF($L1557&lt;=$K1557,"Sí","No")))</f>
        <v/>
      </c>
      <c r="O1557" s="24">
        <f>IF($A1557="","",COUNTIFS(NOVEDADES!$D$4:$D$1503,$A1557))</f>
        <v/>
      </c>
      <c r="P1557" s="28">
        <f>IF($A1557="","",IF(COUNTIFS(NOVEDADES!$D$4:$D$1503,$A1557,NOVEDADES!$O$4:$O$1503,"SÍ")&gt;0,"No","Sí"))</f>
        <v/>
      </c>
      <c r="Q1557" s="28">
        <f>IF(OR($A1557="",$L1557=""),"",IF(AND($N1557="Sí",$P1557="Sí"),"OTIF","Falló"))</f>
        <v/>
      </c>
    </row>
    <row r="1558" ht="16" customHeight="1">
      <c r="A1558" s="48" t="n"/>
      <c r="B1558" s="48" t="n"/>
      <c r="C1558" s="47" t="n"/>
      <c r="D1558" s="50" t="n"/>
      <c r="E1558" s="50" t="n"/>
      <c r="F1558" s="50" t="n"/>
      <c r="G1558" s="50" t="n"/>
      <c r="H1558" s="48" t="n"/>
      <c r="I1558" s="51" t="n"/>
      <c r="J1558" s="52" t="n"/>
      <c r="K1558" s="47" t="n"/>
      <c r="L1558" s="47" t="n"/>
      <c r="M1558" s="24">
        <f>IF(OR($A1558="",$C1558=""),"",IF($L1558&lt;&gt;"",$L1558-$C1558,TODAY()-$C1558))</f>
        <v/>
      </c>
      <c r="N1558" s="28">
        <f>IF(OR($A1558="",$K1558=""),"",IF($L1558="",IF(TODAY()&gt;$K1558,"Atrasado","En ruta"),IF($L1558&lt;=$K1558,"Sí","No")))</f>
        <v/>
      </c>
      <c r="O1558" s="24">
        <f>IF($A1558="","",COUNTIFS(NOVEDADES!$D$4:$D$1503,$A1558))</f>
        <v/>
      </c>
      <c r="P1558" s="28">
        <f>IF($A1558="","",IF(COUNTIFS(NOVEDADES!$D$4:$D$1503,$A1558,NOVEDADES!$O$4:$O$1503,"SÍ")&gt;0,"No","Sí"))</f>
        <v/>
      </c>
      <c r="Q1558" s="28">
        <f>IF(OR($A1558="",$L1558=""),"",IF(AND($N1558="Sí",$P1558="Sí"),"OTIF","Falló"))</f>
        <v/>
      </c>
    </row>
    <row r="1559" ht="16" customHeight="1">
      <c r="A1559" s="48" t="n"/>
      <c r="B1559" s="48" t="n"/>
      <c r="C1559" s="47" t="n"/>
      <c r="D1559" s="50" t="n"/>
      <c r="E1559" s="50" t="n"/>
      <c r="F1559" s="50" t="n"/>
      <c r="G1559" s="50" t="n"/>
      <c r="H1559" s="48" t="n"/>
      <c r="I1559" s="51" t="n"/>
      <c r="J1559" s="52" t="n"/>
      <c r="K1559" s="47" t="n"/>
      <c r="L1559" s="47" t="n"/>
      <c r="M1559" s="24">
        <f>IF(OR($A1559="",$C1559=""),"",IF($L1559&lt;&gt;"",$L1559-$C1559,TODAY()-$C1559))</f>
        <v/>
      </c>
      <c r="N1559" s="28">
        <f>IF(OR($A1559="",$K1559=""),"",IF($L1559="",IF(TODAY()&gt;$K1559,"Atrasado","En ruta"),IF($L1559&lt;=$K1559,"Sí","No")))</f>
        <v/>
      </c>
      <c r="O1559" s="24">
        <f>IF($A1559="","",COUNTIFS(NOVEDADES!$D$4:$D$1503,$A1559))</f>
        <v/>
      </c>
      <c r="P1559" s="28">
        <f>IF($A1559="","",IF(COUNTIFS(NOVEDADES!$D$4:$D$1503,$A1559,NOVEDADES!$O$4:$O$1503,"SÍ")&gt;0,"No","Sí"))</f>
        <v/>
      </c>
      <c r="Q1559" s="28">
        <f>IF(OR($A1559="",$L1559=""),"",IF(AND($N1559="Sí",$P1559="Sí"),"OTIF","Falló"))</f>
        <v/>
      </c>
    </row>
    <row r="1560" ht="16" customHeight="1">
      <c r="A1560" s="48" t="n"/>
      <c r="B1560" s="48" t="n"/>
      <c r="C1560" s="47" t="n"/>
      <c r="D1560" s="50" t="n"/>
      <c r="E1560" s="50" t="n"/>
      <c r="F1560" s="50" t="n"/>
      <c r="G1560" s="50" t="n"/>
      <c r="H1560" s="48" t="n"/>
      <c r="I1560" s="51" t="n"/>
      <c r="J1560" s="52" t="n"/>
      <c r="K1560" s="47" t="n"/>
      <c r="L1560" s="47" t="n"/>
      <c r="M1560" s="24">
        <f>IF(OR($A1560="",$C1560=""),"",IF($L1560&lt;&gt;"",$L1560-$C1560,TODAY()-$C1560))</f>
        <v/>
      </c>
      <c r="N1560" s="28">
        <f>IF(OR($A1560="",$K1560=""),"",IF($L1560="",IF(TODAY()&gt;$K1560,"Atrasado","En ruta"),IF($L1560&lt;=$K1560,"Sí","No")))</f>
        <v/>
      </c>
      <c r="O1560" s="24">
        <f>IF($A1560="","",COUNTIFS(NOVEDADES!$D$4:$D$1503,$A1560))</f>
        <v/>
      </c>
      <c r="P1560" s="28">
        <f>IF($A1560="","",IF(COUNTIFS(NOVEDADES!$D$4:$D$1503,$A1560,NOVEDADES!$O$4:$O$1503,"SÍ")&gt;0,"No","Sí"))</f>
        <v/>
      </c>
      <c r="Q1560" s="28">
        <f>IF(OR($A1560="",$L1560=""),"",IF(AND($N1560="Sí",$P1560="Sí"),"OTIF","Falló"))</f>
        <v/>
      </c>
    </row>
    <row r="1561" ht="16" customHeight="1">
      <c r="A1561" s="48" t="n"/>
      <c r="B1561" s="48" t="n"/>
      <c r="C1561" s="47" t="n"/>
      <c r="D1561" s="50" t="n"/>
      <c r="E1561" s="50" t="n"/>
      <c r="F1561" s="50" t="n"/>
      <c r="G1561" s="50" t="n"/>
      <c r="H1561" s="48" t="n"/>
      <c r="I1561" s="51" t="n"/>
      <c r="J1561" s="52" t="n"/>
      <c r="K1561" s="47" t="n"/>
      <c r="L1561" s="47" t="n"/>
      <c r="M1561" s="24">
        <f>IF(OR($A1561="",$C1561=""),"",IF($L1561&lt;&gt;"",$L1561-$C1561,TODAY()-$C1561))</f>
        <v/>
      </c>
      <c r="N1561" s="28">
        <f>IF(OR($A1561="",$K1561=""),"",IF($L1561="",IF(TODAY()&gt;$K1561,"Atrasado","En ruta"),IF($L1561&lt;=$K1561,"Sí","No")))</f>
        <v/>
      </c>
      <c r="O1561" s="24">
        <f>IF($A1561="","",COUNTIFS(NOVEDADES!$D$4:$D$1503,$A1561))</f>
        <v/>
      </c>
      <c r="P1561" s="28">
        <f>IF($A1561="","",IF(COUNTIFS(NOVEDADES!$D$4:$D$1503,$A1561,NOVEDADES!$O$4:$O$1503,"SÍ")&gt;0,"No","Sí"))</f>
        <v/>
      </c>
      <c r="Q1561" s="28">
        <f>IF(OR($A1561="",$L1561=""),"",IF(AND($N1561="Sí",$P1561="Sí"),"OTIF","Falló"))</f>
        <v/>
      </c>
    </row>
    <row r="1562" ht="16" customHeight="1">
      <c r="A1562" s="48" t="n"/>
      <c r="B1562" s="48" t="n"/>
      <c r="C1562" s="47" t="n"/>
      <c r="D1562" s="50" t="n"/>
      <c r="E1562" s="50" t="n"/>
      <c r="F1562" s="50" t="n"/>
      <c r="G1562" s="50" t="n"/>
      <c r="H1562" s="48" t="n"/>
      <c r="I1562" s="51" t="n"/>
      <c r="J1562" s="52" t="n"/>
      <c r="K1562" s="47" t="n"/>
      <c r="L1562" s="47" t="n"/>
      <c r="M1562" s="24">
        <f>IF(OR($A1562="",$C1562=""),"",IF($L1562&lt;&gt;"",$L1562-$C1562,TODAY()-$C1562))</f>
        <v/>
      </c>
      <c r="N1562" s="28">
        <f>IF(OR($A1562="",$K1562=""),"",IF($L1562="",IF(TODAY()&gt;$K1562,"Atrasado","En ruta"),IF($L1562&lt;=$K1562,"Sí","No")))</f>
        <v/>
      </c>
      <c r="O1562" s="24">
        <f>IF($A1562="","",COUNTIFS(NOVEDADES!$D$4:$D$1503,$A1562))</f>
        <v/>
      </c>
      <c r="P1562" s="28">
        <f>IF($A1562="","",IF(COUNTIFS(NOVEDADES!$D$4:$D$1503,$A1562,NOVEDADES!$O$4:$O$1503,"SÍ")&gt;0,"No","Sí"))</f>
        <v/>
      </c>
      <c r="Q1562" s="28">
        <f>IF(OR($A1562="",$L1562=""),"",IF(AND($N1562="Sí",$P1562="Sí"),"OTIF","Falló"))</f>
        <v/>
      </c>
    </row>
    <row r="1563" ht="16" customHeight="1">
      <c r="A1563" s="48" t="n"/>
      <c r="B1563" s="48" t="n"/>
      <c r="C1563" s="47" t="n"/>
      <c r="D1563" s="50" t="n"/>
      <c r="E1563" s="50" t="n"/>
      <c r="F1563" s="50" t="n"/>
      <c r="G1563" s="50" t="n"/>
      <c r="H1563" s="48" t="n"/>
      <c r="I1563" s="51" t="n"/>
      <c r="J1563" s="52" t="n"/>
      <c r="K1563" s="47" t="n"/>
      <c r="L1563" s="47" t="n"/>
      <c r="M1563" s="24">
        <f>IF(OR($A1563="",$C1563=""),"",IF($L1563&lt;&gt;"",$L1563-$C1563,TODAY()-$C1563))</f>
        <v/>
      </c>
      <c r="N1563" s="28">
        <f>IF(OR($A1563="",$K1563=""),"",IF($L1563="",IF(TODAY()&gt;$K1563,"Atrasado","En ruta"),IF($L1563&lt;=$K1563,"Sí","No")))</f>
        <v/>
      </c>
      <c r="O1563" s="24">
        <f>IF($A1563="","",COUNTIFS(NOVEDADES!$D$4:$D$1503,$A1563))</f>
        <v/>
      </c>
      <c r="P1563" s="28">
        <f>IF($A1563="","",IF(COUNTIFS(NOVEDADES!$D$4:$D$1503,$A1563,NOVEDADES!$O$4:$O$1503,"SÍ")&gt;0,"No","Sí"))</f>
        <v/>
      </c>
      <c r="Q1563" s="28">
        <f>IF(OR($A1563="",$L1563=""),"",IF(AND($N1563="Sí",$P1563="Sí"),"OTIF","Falló"))</f>
        <v/>
      </c>
    </row>
    <row r="1564" ht="16" customHeight="1">
      <c r="A1564" s="48" t="n"/>
      <c r="B1564" s="48" t="n"/>
      <c r="C1564" s="47" t="n"/>
      <c r="D1564" s="50" t="n"/>
      <c r="E1564" s="50" t="n"/>
      <c r="F1564" s="50" t="n"/>
      <c r="G1564" s="50" t="n"/>
      <c r="H1564" s="48" t="n"/>
      <c r="I1564" s="51" t="n"/>
      <c r="J1564" s="52" t="n"/>
      <c r="K1564" s="47" t="n"/>
      <c r="L1564" s="47" t="n"/>
      <c r="M1564" s="24">
        <f>IF(OR($A1564="",$C1564=""),"",IF($L1564&lt;&gt;"",$L1564-$C1564,TODAY()-$C1564))</f>
        <v/>
      </c>
      <c r="N1564" s="28">
        <f>IF(OR($A1564="",$K1564=""),"",IF($L1564="",IF(TODAY()&gt;$K1564,"Atrasado","En ruta"),IF($L1564&lt;=$K1564,"Sí","No")))</f>
        <v/>
      </c>
      <c r="O1564" s="24">
        <f>IF($A1564="","",COUNTIFS(NOVEDADES!$D$4:$D$1503,$A1564))</f>
        <v/>
      </c>
      <c r="P1564" s="28">
        <f>IF($A1564="","",IF(COUNTIFS(NOVEDADES!$D$4:$D$1503,$A1564,NOVEDADES!$O$4:$O$1503,"SÍ")&gt;0,"No","Sí"))</f>
        <v/>
      </c>
      <c r="Q1564" s="28">
        <f>IF(OR($A1564="",$L1564=""),"",IF(AND($N1564="Sí",$P1564="Sí"),"OTIF","Falló"))</f>
        <v/>
      </c>
    </row>
    <row r="1565" ht="16" customHeight="1">
      <c r="A1565" s="48" t="n"/>
      <c r="B1565" s="48" t="n"/>
      <c r="C1565" s="47" t="n"/>
      <c r="D1565" s="50" t="n"/>
      <c r="E1565" s="50" t="n"/>
      <c r="F1565" s="50" t="n"/>
      <c r="G1565" s="50" t="n"/>
      <c r="H1565" s="48" t="n"/>
      <c r="I1565" s="51" t="n"/>
      <c r="J1565" s="52" t="n"/>
      <c r="K1565" s="47" t="n"/>
      <c r="L1565" s="47" t="n"/>
      <c r="M1565" s="24">
        <f>IF(OR($A1565="",$C1565=""),"",IF($L1565&lt;&gt;"",$L1565-$C1565,TODAY()-$C1565))</f>
        <v/>
      </c>
      <c r="N1565" s="28">
        <f>IF(OR($A1565="",$K1565=""),"",IF($L1565="",IF(TODAY()&gt;$K1565,"Atrasado","En ruta"),IF($L1565&lt;=$K1565,"Sí","No")))</f>
        <v/>
      </c>
      <c r="O1565" s="24">
        <f>IF($A1565="","",COUNTIFS(NOVEDADES!$D$4:$D$1503,$A1565))</f>
        <v/>
      </c>
      <c r="P1565" s="28">
        <f>IF($A1565="","",IF(COUNTIFS(NOVEDADES!$D$4:$D$1503,$A1565,NOVEDADES!$O$4:$O$1503,"SÍ")&gt;0,"No","Sí"))</f>
        <v/>
      </c>
      <c r="Q1565" s="28">
        <f>IF(OR($A1565="",$L1565=""),"",IF(AND($N1565="Sí",$P1565="Sí"),"OTIF","Falló"))</f>
        <v/>
      </c>
    </row>
    <row r="1566" ht="16" customHeight="1">
      <c r="A1566" s="48" t="n"/>
      <c r="B1566" s="48" t="n"/>
      <c r="C1566" s="47" t="n"/>
      <c r="D1566" s="50" t="n"/>
      <c r="E1566" s="50" t="n"/>
      <c r="F1566" s="50" t="n"/>
      <c r="G1566" s="50" t="n"/>
      <c r="H1566" s="48" t="n"/>
      <c r="I1566" s="51" t="n"/>
      <c r="J1566" s="52" t="n"/>
      <c r="K1566" s="47" t="n"/>
      <c r="L1566" s="47" t="n"/>
      <c r="M1566" s="24">
        <f>IF(OR($A1566="",$C1566=""),"",IF($L1566&lt;&gt;"",$L1566-$C1566,TODAY()-$C1566))</f>
        <v/>
      </c>
      <c r="N1566" s="28">
        <f>IF(OR($A1566="",$K1566=""),"",IF($L1566="",IF(TODAY()&gt;$K1566,"Atrasado","En ruta"),IF($L1566&lt;=$K1566,"Sí","No")))</f>
        <v/>
      </c>
      <c r="O1566" s="24">
        <f>IF($A1566="","",COUNTIFS(NOVEDADES!$D$4:$D$1503,$A1566))</f>
        <v/>
      </c>
      <c r="P1566" s="28">
        <f>IF($A1566="","",IF(COUNTIFS(NOVEDADES!$D$4:$D$1503,$A1566,NOVEDADES!$O$4:$O$1503,"SÍ")&gt;0,"No","Sí"))</f>
        <v/>
      </c>
      <c r="Q1566" s="28">
        <f>IF(OR($A1566="",$L1566=""),"",IF(AND($N1566="Sí",$P1566="Sí"),"OTIF","Falló"))</f>
        <v/>
      </c>
    </row>
    <row r="1567" ht="16" customHeight="1">
      <c r="A1567" s="48" t="n"/>
      <c r="B1567" s="48" t="n"/>
      <c r="C1567" s="47" t="n"/>
      <c r="D1567" s="50" t="n"/>
      <c r="E1567" s="50" t="n"/>
      <c r="F1567" s="50" t="n"/>
      <c r="G1567" s="50" t="n"/>
      <c r="H1567" s="48" t="n"/>
      <c r="I1567" s="51" t="n"/>
      <c r="J1567" s="52" t="n"/>
      <c r="K1567" s="47" t="n"/>
      <c r="L1567" s="47" t="n"/>
      <c r="M1567" s="24">
        <f>IF(OR($A1567="",$C1567=""),"",IF($L1567&lt;&gt;"",$L1567-$C1567,TODAY()-$C1567))</f>
        <v/>
      </c>
      <c r="N1567" s="28">
        <f>IF(OR($A1567="",$K1567=""),"",IF($L1567="",IF(TODAY()&gt;$K1567,"Atrasado","En ruta"),IF($L1567&lt;=$K1567,"Sí","No")))</f>
        <v/>
      </c>
      <c r="O1567" s="24">
        <f>IF($A1567="","",COUNTIFS(NOVEDADES!$D$4:$D$1503,$A1567))</f>
        <v/>
      </c>
      <c r="P1567" s="28">
        <f>IF($A1567="","",IF(COUNTIFS(NOVEDADES!$D$4:$D$1503,$A1567,NOVEDADES!$O$4:$O$1503,"SÍ")&gt;0,"No","Sí"))</f>
        <v/>
      </c>
      <c r="Q1567" s="28">
        <f>IF(OR($A1567="",$L1567=""),"",IF(AND($N1567="Sí",$P1567="Sí"),"OTIF","Falló"))</f>
        <v/>
      </c>
    </row>
    <row r="1568" ht="16" customHeight="1">
      <c r="A1568" s="48" t="n"/>
      <c r="B1568" s="48" t="n"/>
      <c r="C1568" s="47" t="n"/>
      <c r="D1568" s="50" t="n"/>
      <c r="E1568" s="50" t="n"/>
      <c r="F1568" s="50" t="n"/>
      <c r="G1568" s="50" t="n"/>
      <c r="H1568" s="48" t="n"/>
      <c r="I1568" s="51" t="n"/>
      <c r="J1568" s="52" t="n"/>
      <c r="K1568" s="47" t="n"/>
      <c r="L1568" s="47" t="n"/>
      <c r="M1568" s="24">
        <f>IF(OR($A1568="",$C1568=""),"",IF($L1568&lt;&gt;"",$L1568-$C1568,TODAY()-$C1568))</f>
        <v/>
      </c>
      <c r="N1568" s="28">
        <f>IF(OR($A1568="",$K1568=""),"",IF($L1568="",IF(TODAY()&gt;$K1568,"Atrasado","En ruta"),IF($L1568&lt;=$K1568,"Sí","No")))</f>
        <v/>
      </c>
      <c r="O1568" s="24">
        <f>IF($A1568="","",COUNTIFS(NOVEDADES!$D$4:$D$1503,$A1568))</f>
        <v/>
      </c>
      <c r="P1568" s="28">
        <f>IF($A1568="","",IF(COUNTIFS(NOVEDADES!$D$4:$D$1503,$A1568,NOVEDADES!$O$4:$O$1503,"SÍ")&gt;0,"No","Sí"))</f>
        <v/>
      </c>
      <c r="Q1568" s="28">
        <f>IF(OR($A1568="",$L1568=""),"",IF(AND($N1568="Sí",$P1568="Sí"),"OTIF","Falló"))</f>
        <v/>
      </c>
    </row>
    <row r="1569" ht="16" customHeight="1">
      <c r="A1569" s="48" t="n"/>
      <c r="B1569" s="48" t="n"/>
      <c r="C1569" s="47" t="n"/>
      <c r="D1569" s="50" t="n"/>
      <c r="E1569" s="50" t="n"/>
      <c r="F1569" s="50" t="n"/>
      <c r="G1569" s="50" t="n"/>
      <c r="H1569" s="48" t="n"/>
      <c r="I1569" s="51" t="n"/>
      <c r="J1569" s="52" t="n"/>
      <c r="K1569" s="47" t="n"/>
      <c r="L1569" s="47" t="n"/>
      <c r="M1569" s="24">
        <f>IF(OR($A1569="",$C1569=""),"",IF($L1569&lt;&gt;"",$L1569-$C1569,TODAY()-$C1569))</f>
        <v/>
      </c>
      <c r="N1569" s="28">
        <f>IF(OR($A1569="",$K1569=""),"",IF($L1569="",IF(TODAY()&gt;$K1569,"Atrasado","En ruta"),IF($L1569&lt;=$K1569,"Sí","No")))</f>
        <v/>
      </c>
      <c r="O1569" s="24">
        <f>IF($A1569="","",COUNTIFS(NOVEDADES!$D$4:$D$1503,$A1569))</f>
        <v/>
      </c>
      <c r="P1569" s="28">
        <f>IF($A1569="","",IF(COUNTIFS(NOVEDADES!$D$4:$D$1503,$A1569,NOVEDADES!$O$4:$O$1503,"SÍ")&gt;0,"No","Sí"))</f>
        <v/>
      </c>
      <c r="Q1569" s="28">
        <f>IF(OR($A1569="",$L1569=""),"",IF(AND($N1569="Sí",$P1569="Sí"),"OTIF","Falló"))</f>
        <v/>
      </c>
    </row>
    <row r="1570" ht="16" customHeight="1">
      <c r="A1570" s="48" t="n"/>
      <c r="B1570" s="48" t="n"/>
      <c r="C1570" s="47" t="n"/>
      <c r="D1570" s="50" t="n"/>
      <c r="E1570" s="50" t="n"/>
      <c r="F1570" s="50" t="n"/>
      <c r="G1570" s="50" t="n"/>
      <c r="H1570" s="48" t="n"/>
      <c r="I1570" s="51" t="n"/>
      <c r="J1570" s="52" t="n"/>
      <c r="K1570" s="47" t="n"/>
      <c r="L1570" s="47" t="n"/>
      <c r="M1570" s="24">
        <f>IF(OR($A1570="",$C1570=""),"",IF($L1570&lt;&gt;"",$L1570-$C1570,TODAY()-$C1570))</f>
        <v/>
      </c>
      <c r="N1570" s="28">
        <f>IF(OR($A1570="",$K1570=""),"",IF($L1570="",IF(TODAY()&gt;$K1570,"Atrasado","En ruta"),IF($L1570&lt;=$K1570,"Sí","No")))</f>
        <v/>
      </c>
      <c r="O1570" s="24">
        <f>IF($A1570="","",COUNTIFS(NOVEDADES!$D$4:$D$1503,$A1570))</f>
        <v/>
      </c>
      <c r="P1570" s="28">
        <f>IF($A1570="","",IF(COUNTIFS(NOVEDADES!$D$4:$D$1503,$A1570,NOVEDADES!$O$4:$O$1503,"SÍ")&gt;0,"No","Sí"))</f>
        <v/>
      </c>
      <c r="Q1570" s="28">
        <f>IF(OR($A1570="",$L1570=""),"",IF(AND($N1570="Sí",$P1570="Sí"),"OTIF","Falló"))</f>
        <v/>
      </c>
    </row>
    <row r="1571" ht="16" customHeight="1">
      <c r="A1571" s="48" t="n"/>
      <c r="B1571" s="48" t="n"/>
      <c r="C1571" s="47" t="n"/>
      <c r="D1571" s="50" t="n"/>
      <c r="E1571" s="50" t="n"/>
      <c r="F1571" s="50" t="n"/>
      <c r="G1571" s="50" t="n"/>
      <c r="H1571" s="48" t="n"/>
      <c r="I1571" s="51" t="n"/>
      <c r="J1571" s="52" t="n"/>
      <c r="K1571" s="47" t="n"/>
      <c r="L1571" s="47" t="n"/>
      <c r="M1571" s="24">
        <f>IF(OR($A1571="",$C1571=""),"",IF($L1571&lt;&gt;"",$L1571-$C1571,TODAY()-$C1571))</f>
        <v/>
      </c>
      <c r="N1571" s="28">
        <f>IF(OR($A1571="",$K1571=""),"",IF($L1571="",IF(TODAY()&gt;$K1571,"Atrasado","En ruta"),IF($L1571&lt;=$K1571,"Sí","No")))</f>
        <v/>
      </c>
      <c r="O1571" s="24">
        <f>IF($A1571="","",COUNTIFS(NOVEDADES!$D$4:$D$1503,$A1571))</f>
        <v/>
      </c>
      <c r="P1571" s="28">
        <f>IF($A1571="","",IF(COUNTIFS(NOVEDADES!$D$4:$D$1503,$A1571,NOVEDADES!$O$4:$O$1503,"SÍ")&gt;0,"No","Sí"))</f>
        <v/>
      </c>
      <c r="Q1571" s="28">
        <f>IF(OR($A1571="",$L1571=""),"",IF(AND($N1571="Sí",$P1571="Sí"),"OTIF","Falló"))</f>
        <v/>
      </c>
    </row>
    <row r="1572" ht="16" customHeight="1">
      <c r="A1572" s="48" t="n"/>
      <c r="B1572" s="48" t="n"/>
      <c r="C1572" s="47" t="n"/>
      <c r="D1572" s="50" t="n"/>
      <c r="E1572" s="50" t="n"/>
      <c r="F1572" s="50" t="n"/>
      <c r="G1572" s="50" t="n"/>
      <c r="H1572" s="48" t="n"/>
      <c r="I1572" s="51" t="n"/>
      <c r="J1572" s="52" t="n"/>
      <c r="K1572" s="47" t="n"/>
      <c r="L1572" s="47" t="n"/>
      <c r="M1572" s="24">
        <f>IF(OR($A1572="",$C1572=""),"",IF($L1572&lt;&gt;"",$L1572-$C1572,TODAY()-$C1572))</f>
        <v/>
      </c>
      <c r="N1572" s="28">
        <f>IF(OR($A1572="",$K1572=""),"",IF($L1572="",IF(TODAY()&gt;$K1572,"Atrasado","En ruta"),IF($L1572&lt;=$K1572,"Sí","No")))</f>
        <v/>
      </c>
      <c r="O1572" s="24">
        <f>IF($A1572="","",COUNTIFS(NOVEDADES!$D$4:$D$1503,$A1572))</f>
        <v/>
      </c>
      <c r="P1572" s="28">
        <f>IF($A1572="","",IF(COUNTIFS(NOVEDADES!$D$4:$D$1503,$A1572,NOVEDADES!$O$4:$O$1503,"SÍ")&gt;0,"No","Sí"))</f>
        <v/>
      </c>
      <c r="Q1572" s="28">
        <f>IF(OR($A1572="",$L1572=""),"",IF(AND($N1572="Sí",$P1572="Sí"),"OTIF","Falló"))</f>
        <v/>
      </c>
    </row>
    <row r="1573" ht="16" customHeight="1">
      <c r="A1573" s="48" t="n"/>
      <c r="B1573" s="48" t="n"/>
      <c r="C1573" s="47" t="n"/>
      <c r="D1573" s="50" t="n"/>
      <c r="E1573" s="50" t="n"/>
      <c r="F1573" s="50" t="n"/>
      <c r="G1573" s="50" t="n"/>
      <c r="H1573" s="48" t="n"/>
      <c r="I1573" s="51" t="n"/>
      <c r="J1573" s="52" t="n"/>
      <c r="K1573" s="47" t="n"/>
      <c r="L1573" s="47" t="n"/>
      <c r="M1573" s="24">
        <f>IF(OR($A1573="",$C1573=""),"",IF($L1573&lt;&gt;"",$L1573-$C1573,TODAY()-$C1573))</f>
        <v/>
      </c>
      <c r="N1573" s="28">
        <f>IF(OR($A1573="",$K1573=""),"",IF($L1573="",IF(TODAY()&gt;$K1573,"Atrasado","En ruta"),IF($L1573&lt;=$K1573,"Sí","No")))</f>
        <v/>
      </c>
      <c r="O1573" s="24">
        <f>IF($A1573="","",COUNTIFS(NOVEDADES!$D$4:$D$1503,$A1573))</f>
        <v/>
      </c>
      <c r="P1573" s="28">
        <f>IF($A1573="","",IF(COUNTIFS(NOVEDADES!$D$4:$D$1503,$A1573,NOVEDADES!$O$4:$O$1503,"SÍ")&gt;0,"No","Sí"))</f>
        <v/>
      </c>
      <c r="Q1573" s="28">
        <f>IF(OR($A1573="",$L1573=""),"",IF(AND($N1573="Sí",$P1573="Sí"),"OTIF","Falló"))</f>
        <v/>
      </c>
    </row>
    <row r="1574" ht="16" customHeight="1">
      <c r="A1574" s="48" t="n"/>
      <c r="B1574" s="48" t="n"/>
      <c r="C1574" s="47" t="n"/>
      <c r="D1574" s="50" t="n"/>
      <c r="E1574" s="50" t="n"/>
      <c r="F1574" s="50" t="n"/>
      <c r="G1574" s="50" t="n"/>
      <c r="H1574" s="48" t="n"/>
      <c r="I1574" s="51" t="n"/>
      <c r="J1574" s="52" t="n"/>
      <c r="K1574" s="47" t="n"/>
      <c r="L1574" s="47" t="n"/>
      <c r="M1574" s="24">
        <f>IF(OR($A1574="",$C1574=""),"",IF($L1574&lt;&gt;"",$L1574-$C1574,TODAY()-$C1574))</f>
        <v/>
      </c>
      <c r="N1574" s="28">
        <f>IF(OR($A1574="",$K1574=""),"",IF($L1574="",IF(TODAY()&gt;$K1574,"Atrasado","En ruta"),IF($L1574&lt;=$K1574,"Sí","No")))</f>
        <v/>
      </c>
      <c r="O1574" s="24">
        <f>IF($A1574="","",COUNTIFS(NOVEDADES!$D$4:$D$1503,$A1574))</f>
        <v/>
      </c>
      <c r="P1574" s="28">
        <f>IF($A1574="","",IF(COUNTIFS(NOVEDADES!$D$4:$D$1503,$A1574,NOVEDADES!$O$4:$O$1503,"SÍ")&gt;0,"No","Sí"))</f>
        <v/>
      </c>
      <c r="Q1574" s="28">
        <f>IF(OR($A1574="",$L1574=""),"",IF(AND($N1574="Sí",$P1574="Sí"),"OTIF","Falló"))</f>
        <v/>
      </c>
    </row>
    <row r="1575" ht="16" customHeight="1">
      <c r="A1575" s="48" t="n"/>
      <c r="B1575" s="48" t="n"/>
      <c r="C1575" s="47" t="n"/>
      <c r="D1575" s="50" t="n"/>
      <c r="E1575" s="50" t="n"/>
      <c r="F1575" s="50" t="n"/>
      <c r="G1575" s="50" t="n"/>
      <c r="H1575" s="48" t="n"/>
      <c r="I1575" s="51" t="n"/>
      <c r="J1575" s="52" t="n"/>
      <c r="K1575" s="47" t="n"/>
      <c r="L1575" s="47" t="n"/>
      <c r="M1575" s="24">
        <f>IF(OR($A1575="",$C1575=""),"",IF($L1575&lt;&gt;"",$L1575-$C1575,TODAY()-$C1575))</f>
        <v/>
      </c>
      <c r="N1575" s="28">
        <f>IF(OR($A1575="",$K1575=""),"",IF($L1575="",IF(TODAY()&gt;$K1575,"Atrasado","En ruta"),IF($L1575&lt;=$K1575,"Sí","No")))</f>
        <v/>
      </c>
      <c r="O1575" s="24">
        <f>IF($A1575="","",COUNTIFS(NOVEDADES!$D$4:$D$1503,$A1575))</f>
        <v/>
      </c>
      <c r="P1575" s="28">
        <f>IF($A1575="","",IF(COUNTIFS(NOVEDADES!$D$4:$D$1503,$A1575,NOVEDADES!$O$4:$O$1503,"SÍ")&gt;0,"No","Sí"))</f>
        <v/>
      </c>
      <c r="Q1575" s="28">
        <f>IF(OR($A1575="",$L1575=""),"",IF(AND($N1575="Sí",$P1575="Sí"),"OTIF","Falló"))</f>
        <v/>
      </c>
    </row>
    <row r="1576" ht="16" customHeight="1">
      <c r="A1576" s="48" t="n"/>
      <c r="B1576" s="48" t="n"/>
      <c r="C1576" s="47" t="n"/>
      <c r="D1576" s="50" t="n"/>
      <c r="E1576" s="50" t="n"/>
      <c r="F1576" s="50" t="n"/>
      <c r="G1576" s="50" t="n"/>
      <c r="H1576" s="48" t="n"/>
      <c r="I1576" s="51" t="n"/>
      <c r="J1576" s="52" t="n"/>
      <c r="K1576" s="47" t="n"/>
      <c r="L1576" s="47" t="n"/>
      <c r="M1576" s="24">
        <f>IF(OR($A1576="",$C1576=""),"",IF($L1576&lt;&gt;"",$L1576-$C1576,TODAY()-$C1576))</f>
        <v/>
      </c>
      <c r="N1576" s="28">
        <f>IF(OR($A1576="",$K1576=""),"",IF($L1576="",IF(TODAY()&gt;$K1576,"Atrasado","En ruta"),IF($L1576&lt;=$K1576,"Sí","No")))</f>
        <v/>
      </c>
      <c r="O1576" s="24">
        <f>IF($A1576="","",COUNTIFS(NOVEDADES!$D$4:$D$1503,$A1576))</f>
        <v/>
      </c>
      <c r="P1576" s="28">
        <f>IF($A1576="","",IF(COUNTIFS(NOVEDADES!$D$4:$D$1503,$A1576,NOVEDADES!$O$4:$O$1503,"SÍ")&gt;0,"No","Sí"))</f>
        <v/>
      </c>
      <c r="Q1576" s="28">
        <f>IF(OR($A1576="",$L1576=""),"",IF(AND($N1576="Sí",$P1576="Sí"),"OTIF","Falló"))</f>
        <v/>
      </c>
    </row>
    <row r="1577" ht="16" customHeight="1">
      <c r="A1577" s="48" t="n"/>
      <c r="B1577" s="48" t="n"/>
      <c r="C1577" s="47" t="n"/>
      <c r="D1577" s="50" t="n"/>
      <c r="E1577" s="50" t="n"/>
      <c r="F1577" s="50" t="n"/>
      <c r="G1577" s="50" t="n"/>
      <c r="H1577" s="48" t="n"/>
      <c r="I1577" s="51" t="n"/>
      <c r="J1577" s="52" t="n"/>
      <c r="K1577" s="47" t="n"/>
      <c r="L1577" s="47" t="n"/>
      <c r="M1577" s="24">
        <f>IF(OR($A1577="",$C1577=""),"",IF($L1577&lt;&gt;"",$L1577-$C1577,TODAY()-$C1577))</f>
        <v/>
      </c>
      <c r="N1577" s="28">
        <f>IF(OR($A1577="",$K1577=""),"",IF($L1577="",IF(TODAY()&gt;$K1577,"Atrasado","En ruta"),IF($L1577&lt;=$K1577,"Sí","No")))</f>
        <v/>
      </c>
      <c r="O1577" s="24">
        <f>IF($A1577="","",COUNTIFS(NOVEDADES!$D$4:$D$1503,$A1577))</f>
        <v/>
      </c>
      <c r="P1577" s="28">
        <f>IF($A1577="","",IF(COUNTIFS(NOVEDADES!$D$4:$D$1503,$A1577,NOVEDADES!$O$4:$O$1503,"SÍ")&gt;0,"No","Sí"))</f>
        <v/>
      </c>
      <c r="Q1577" s="28">
        <f>IF(OR($A1577="",$L1577=""),"",IF(AND($N1577="Sí",$P1577="Sí"),"OTIF","Falló"))</f>
        <v/>
      </c>
    </row>
    <row r="1578" ht="16" customHeight="1">
      <c r="A1578" s="48" t="n"/>
      <c r="B1578" s="48" t="n"/>
      <c r="C1578" s="47" t="n"/>
      <c r="D1578" s="50" t="n"/>
      <c r="E1578" s="50" t="n"/>
      <c r="F1578" s="50" t="n"/>
      <c r="G1578" s="50" t="n"/>
      <c r="H1578" s="48" t="n"/>
      <c r="I1578" s="51" t="n"/>
      <c r="J1578" s="52" t="n"/>
      <c r="K1578" s="47" t="n"/>
      <c r="L1578" s="47" t="n"/>
      <c r="M1578" s="24">
        <f>IF(OR($A1578="",$C1578=""),"",IF($L1578&lt;&gt;"",$L1578-$C1578,TODAY()-$C1578))</f>
        <v/>
      </c>
      <c r="N1578" s="28">
        <f>IF(OR($A1578="",$K1578=""),"",IF($L1578="",IF(TODAY()&gt;$K1578,"Atrasado","En ruta"),IF($L1578&lt;=$K1578,"Sí","No")))</f>
        <v/>
      </c>
      <c r="O1578" s="24">
        <f>IF($A1578="","",COUNTIFS(NOVEDADES!$D$4:$D$1503,$A1578))</f>
        <v/>
      </c>
      <c r="P1578" s="28">
        <f>IF($A1578="","",IF(COUNTIFS(NOVEDADES!$D$4:$D$1503,$A1578,NOVEDADES!$O$4:$O$1503,"SÍ")&gt;0,"No","Sí"))</f>
        <v/>
      </c>
      <c r="Q1578" s="28">
        <f>IF(OR($A1578="",$L1578=""),"",IF(AND($N1578="Sí",$P1578="Sí"),"OTIF","Falló"))</f>
        <v/>
      </c>
    </row>
    <row r="1579" ht="16" customHeight="1">
      <c r="A1579" s="48" t="n"/>
      <c r="B1579" s="48" t="n"/>
      <c r="C1579" s="47" t="n"/>
      <c r="D1579" s="50" t="n"/>
      <c r="E1579" s="50" t="n"/>
      <c r="F1579" s="50" t="n"/>
      <c r="G1579" s="50" t="n"/>
      <c r="H1579" s="48" t="n"/>
      <c r="I1579" s="51" t="n"/>
      <c r="J1579" s="52" t="n"/>
      <c r="K1579" s="47" t="n"/>
      <c r="L1579" s="47" t="n"/>
      <c r="M1579" s="24">
        <f>IF(OR($A1579="",$C1579=""),"",IF($L1579&lt;&gt;"",$L1579-$C1579,TODAY()-$C1579))</f>
        <v/>
      </c>
      <c r="N1579" s="28">
        <f>IF(OR($A1579="",$K1579=""),"",IF($L1579="",IF(TODAY()&gt;$K1579,"Atrasado","En ruta"),IF($L1579&lt;=$K1579,"Sí","No")))</f>
        <v/>
      </c>
      <c r="O1579" s="24">
        <f>IF($A1579="","",COUNTIFS(NOVEDADES!$D$4:$D$1503,$A1579))</f>
        <v/>
      </c>
      <c r="P1579" s="28">
        <f>IF($A1579="","",IF(COUNTIFS(NOVEDADES!$D$4:$D$1503,$A1579,NOVEDADES!$O$4:$O$1503,"SÍ")&gt;0,"No","Sí"))</f>
        <v/>
      </c>
      <c r="Q1579" s="28">
        <f>IF(OR($A1579="",$L1579=""),"",IF(AND($N1579="Sí",$P1579="Sí"),"OTIF","Falló"))</f>
        <v/>
      </c>
    </row>
    <row r="1580" ht="16" customHeight="1">
      <c r="A1580" s="48" t="n"/>
      <c r="B1580" s="48" t="n"/>
      <c r="C1580" s="47" t="n"/>
      <c r="D1580" s="50" t="n"/>
      <c r="E1580" s="50" t="n"/>
      <c r="F1580" s="50" t="n"/>
      <c r="G1580" s="50" t="n"/>
      <c r="H1580" s="48" t="n"/>
      <c r="I1580" s="51" t="n"/>
      <c r="J1580" s="52" t="n"/>
      <c r="K1580" s="47" t="n"/>
      <c r="L1580" s="47" t="n"/>
      <c r="M1580" s="24">
        <f>IF(OR($A1580="",$C1580=""),"",IF($L1580&lt;&gt;"",$L1580-$C1580,TODAY()-$C1580))</f>
        <v/>
      </c>
      <c r="N1580" s="28">
        <f>IF(OR($A1580="",$K1580=""),"",IF($L1580="",IF(TODAY()&gt;$K1580,"Atrasado","En ruta"),IF($L1580&lt;=$K1580,"Sí","No")))</f>
        <v/>
      </c>
      <c r="O1580" s="24">
        <f>IF($A1580="","",COUNTIFS(NOVEDADES!$D$4:$D$1503,$A1580))</f>
        <v/>
      </c>
      <c r="P1580" s="28">
        <f>IF($A1580="","",IF(COUNTIFS(NOVEDADES!$D$4:$D$1503,$A1580,NOVEDADES!$O$4:$O$1503,"SÍ")&gt;0,"No","Sí"))</f>
        <v/>
      </c>
      <c r="Q1580" s="28">
        <f>IF(OR($A1580="",$L1580=""),"",IF(AND($N1580="Sí",$P1580="Sí"),"OTIF","Falló"))</f>
        <v/>
      </c>
    </row>
    <row r="1581" ht="16" customHeight="1">
      <c r="A1581" s="48" t="n"/>
      <c r="B1581" s="48" t="n"/>
      <c r="C1581" s="47" t="n"/>
      <c r="D1581" s="50" t="n"/>
      <c r="E1581" s="50" t="n"/>
      <c r="F1581" s="50" t="n"/>
      <c r="G1581" s="50" t="n"/>
      <c r="H1581" s="48" t="n"/>
      <c r="I1581" s="51" t="n"/>
      <c r="J1581" s="52" t="n"/>
      <c r="K1581" s="47" t="n"/>
      <c r="L1581" s="47" t="n"/>
      <c r="M1581" s="24">
        <f>IF(OR($A1581="",$C1581=""),"",IF($L1581&lt;&gt;"",$L1581-$C1581,TODAY()-$C1581))</f>
        <v/>
      </c>
      <c r="N1581" s="28">
        <f>IF(OR($A1581="",$K1581=""),"",IF($L1581="",IF(TODAY()&gt;$K1581,"Atrasado","En ruta"),IF($L1581&lt;=$K1581,"Sí","No")))</f>
        <v/>
      </c>
      <c r="O1581" s="24">
        <f>IF($A1581="","",COUNTIFS(NOVEDADES!$D$4:$D$1503,$A1581))</f>
        <v/>
      </c>
      <c r="P1581" s="28">
        <f>IF($A1581="","",IF(COUNTIFS(NOVEDADES!$D$4:$D$1503,$A1581,NOVEDADES!$O$4:$O$1503,"SÍ")&gt;0,"No","Sí"))</f>
        <v/>
      </c>
      <c r="Q1581" s="28">
        <f>IF(OR($A1581="",$L1581=""),"",IF(AND($N1581="Sí",$P1581="Sí"),"OTIF","Falló"))</f>
        <v/>
      </c>
    </row>
    <row r="1582" ht="16" customHeight="1">
      <c r="A1582" s="48" t="n"/>
      <c r="B1582" s="48" t="n"/>
      <c r="C1582" s="47" t="n"/>
      <c r="D1582" s="50" t="n"/>
      <c r="E1582" s="50" t="n"/>
      <c r="F1582" s="50" t="n"/>
      <c r="G1582" s="50" t="n"/>
      <c r="H1582" s="48" t="n"/>
      <c r="I1582" s="51" t="n"/>
      <c r="J1582" s="52" t="n"/>
      <c r="K1582" s="47" t="n"/>
      <c r="L1582" s="47" t="n"/>
      <c r="M1582" s="24">
        <f>IF(OR($A1582="",$C1582=""),"",IF($L1582&lt;&gt;"",$L1582-$C1582,TODAY()-$C1582))</f>
        <v/>
      </c>
      <c r="N1582" s="28">
        <f>IF(OR($A1582="",$K1582=""),"",IF($L1582="",IF(TODAY()&gt;$K1582,"Atrasado","En ruta"),IF($L1582&lt;=$K1582,"Sí","No")))</f>
        <v/>
      </c>
      <c r="O1582" s="24">
        <f>IF($A1582="","",COUNTIFS(NOVEDADES!$D$4:$D$1503,$A1582))</f>
        <v/>
      </c>
      <c r="P1582" s="28">
        <f>IF($A1582="","",IF(COUNTIFS(NOVEDADES!$D$4:$D$1503,$A1582,NOVEDADES!$O$4:$O$1503,"SÍ")&gt;0,"No","Sí"))</f>
        <v/>
      </c>
      <c r="Q1582" s="28">
        <f>IF(OR($A1582="",$L1582=""),"",IF(AND($N1582="Sí",$P1582="Sí"),"OTIF","Falló"))</f>
        <v/>
      </c>
    </row>
    <row r="1583" ht="16" customHeight="1">
      <c r="A1583" s="48" t="n"/>
      <c r="B1583" s="48" t="n"/>
      <c r="C1583" s="47" t="n"/>
      <c r="D1583" s="50" t="n"/>
      <c r="E1583" s="50" t="n"/>
      <c r="F1583" s="50" t="n"/>
      <c r="G1583" s="50" t="n"/>
      <c r="H1583" s="48" t="n"/>
      <c r="I1583" s="51" t="n"/>
      <c r="J1583" s="52" t="n"/>
      <c r="K1583" s="47" t="n"/>
      <c r="L1583" s="47" t="n"/>
      <c r="M1583" s="24">
        <f>IF(OR($A1583="",$C1583=""),"",IF($L1583&lt;&gt;"",$L1583-$C1583,TODAY()-$C1583))</f>
        <v/>
      </c>
      <c r="N1583" s="28">
        <f>IF(OR($A1583="",$K1583=""),"",IF($L1583="",IF(TODAY()&gt;$K1583,"Atrasado","En ruta"),IF($L1583&lt;=$K1583,"Sí","No")))</f>
        <v/>
      </c>
      <c r="O1583" s="24">
        <f>IF($A1583="","",COUNTIFS(NOVEDADES!$D$4:$D$1503,$A1583))</f>
        <v/>
      </c>
      <c r="P1583" s="28">
        <f>IF($A1583="","",IF(COUNTIFS(NOVEDADES!$D$4:$D$1503,$A1583,NOVEDADES!$O$4:$O$1503,"SÍ")&gt;0,"No","Sí"))</f>
        <v/>
      </c>
      <c r="Q1583" s="28">
        <f>IF(OR($A1583="",$L1583=""),"",IF(AND($N1583="Sí",$P1583="Sí"),"OTIF","Falló"))</f>
        <v/>
      </c>
    </row>
    <row r="1584" ht="16" customHeight="1">
      <c r="A1584" s="48" t="n"/>
      <c r="B1584" s="48" t="n"/>
      <c r="C1584" s="47" t="n"/>
      <c r="D1584" s="50" t="n"/>
      <c r="E1584" s="50" t="n"/>
      <c r="F1584" s="50" t="n"/>
      <c r="G1584" s="50" t="n"/>
      <c r="H1584" s="48" t="n"/>
      <c r="I1584" s="51" t="n"/>
      <c r="J1584" s="52" t="n"/>
      <c r="K1584" s="47" t="n"/>
      <c r="L1584" s="47" t="n"/>
      <c r="M1584" s="24">
        <f>IF(OR($A1584="",$C1584=""),"",IF($L1584&lt;&gt;"",$L1584-$C1584,TODAY()-$C1584))</f>
        <v/>
      </c>
      <c r="N1584" s="28">
        <f>IF(OR($A1584="",$K1584=""),"",IF($L1584="",IF(TODAY()&gt;$K1584,"Atrasado","En ruta"),IF($L1584&lt;=$K1584,"Sí","No")))</f>
        <v/>
      </c>
      <c r="O1584" s="24">
        <f>IF($A1584="","",COUNTIFS(NOVEDADES!$D$4:$D$1503,$A1584))</f>
        <v/>
      </c>
      <c r="P1584" s="28">
        <f>IF($A1584="","",IF(COUNTIFS(NOVEDADES!$D$4:$D$1503,$A1584,NOVEDADES!$O$4:$O$1503,"SÍ")&gt;0,"No","Sí"))</f>
        <v/>
      </c>
      <c r="Q1584" s="28">
        <f>IF(OR($A1584="",$L1584=""),"",IF(AND($N1584="Sí",$P1584="Sí"),"OTIF","Falló"))</f>
        <v/>
      </c>
    </row>
    <row r="1585" ht="16" customHeight="1">
      <c r="A1585" s="48" t="n"/>
      <c r="B1585" s="48" t="n"/>
      <c r="C1585" s="47" t="n"/>
      <c r="D1585" s="50" t="n"/>
      <c r="E1585" s="50" t="n"/>
      <c r="F1585" s="50" t="n"/>
      <c r="G1585" s="50" t="n"/>
      <c r="H1585" s="48" t="n"/>
      <c r="I1585" s="51" t="n"/>
      <c r="J1585" s="52" t="n"/>
      <c r="K1585" s="47" t="n"/>
      <c r="L1585" s="47" t="n"/>
      <c r="M1585" s="24">
        <f>IF(OR($A1585="",$C1585=""),"",IF($L1585&lt;&gt;"",$L1585-$C1585,TODAY()-$C1585))</f>
        <v/>
      </c>
      <c r="N1585" s="28">
        <f>IF(OR($A1585="",$K1585=""),"",IF($L1585="",IF(TODAY()&gt;$K1585,"Atrasado","En ruta"),IF($L1585&lt;=$K1585,"Sí","No")))</f>
        <v/>
      </c>
      <c r="O1585" s="24">
        <f>IF($A1585="","",COUNTIFS(NOVEDADES!$D$4:$D$1503,$A1585))</f>
        <v/>
      </c>
      <c r="P1585" s="28">
        <f>IF($A1585="","",IF(COUNTIFS(NOVEDADES!$D$4:$D$1503,$A1585,NOVEDADES!$O$4:$O$1503,"SÍ")&gt;0,"No","Sí"))</f>
        <v/>
      </c>
      <c r="Q1585" s="28">
        <f>IF(OR($A1585="",$L1585=""),"",IF(AND($N1585="Sí",$P1585="Sí"),"OTIF","Falló"))</f>
        <v/>
      </c>
    </row>
    <row r="1586" ht="16" customHeight="1">
      <c r="A1586" s="48" t="n"/>
      <c r="B1586" s="48" t="n"/>
      <c r="C1586" s="47" t="n"/>
      <c r="D1586" s="50" t="n"/>
      <c r="E1586" s="50" t="n"/>
      <c r="F1586" s="50" t="n"/>
      <c r="G1586" s="50" t="n"/>
      <c r="H1586" s="48" t="n"/>
      <c r="I1586" s="51" t="n"/>
      <c r="J1586" s="52" t="n"/>
      <c r="K1586" s="47" t="n"/>
      <c r="L1586" s="47" t="n"/>
      <c r="M1586" s="24">
        <f>IF(OR($A1586="",$C1586=""),"",IF($L1586&lt;&gt;"",$L1586-$C1586,TODAY()-$C1586))</f>
        <v/>
      </c>
      <c r="N1586" s="28">
        <f>IF(OR($A1586="",$K1586=""),"",IF($L1586="",IF(TODAY()&gt;$K1586,"Atrasado","En ruta"),IF($L1586&lt;=$K1586,"Sí","No")))</f>
        <v/>
      </c>
      <c r="O1586" s="24">
        <f>IF($A1586="","",COUNTIFS(NOVEDADES!$D$4:$D$1503,$A1586))</f>
        <v/>
      </c>
      <c r="P1586" s="28">
        <f>IF($A1586="","",IF(COUNTIFS(NOVEDADES!$D$4:$D$1503,$A1586,NOVEDADES!$O$4:$O$1503,"SÍ")&gt;0,"No","Sí"))</f>
        <v/>
      </c>
      <c r="Q1586" s="28">
        <f>IF(OR($A1586="",$L1586=""),"",IF(AND($N1586="Sí",$P1586="Sí"),"OTIF","Falló"))</f>
        <v/>
      </c>
    </row>
    <row r="1587" ht="16" customHeight="1">
      <c r="A1587" s="48" t="n"/>
      <c r="B1587" s="48" t="n"/>
      <c r="C1587" s="47" t="n"/>
      <c r="D1587" s="50" t="n"/>
      <c r="E1587" s="50" t="n"/>
      <c r="F1587" s="50" t="n"/>
      <c r="G1587" s="50" t="n"/>
      <c r="H1587" s="48" t="n"/>
      <c r="I1587" s="51" t="n"/>
      <c r="J1587" s="52" t="n"/>
      <c r="K1587" s="47" t="n"/>
      <c r="L1587" s="47" t="n"/>
      <c r="M1587" s="24">
        <f>IF(OR($A1587="",$C1587=""),"",IF($L1587&lt;&gt;"",$L1587-$C1587,TODAY()-$C1587))</f>
        <v/>
      </c>
      <c r="N1587" s="28">
        <f>IF(OR($A1587="",$K1587=""),"",IF($L1587="",IF(TODAY()&gt;$K1587,"Atrasado","En ruta"),IF($L1587&lt;=$K1587,"Sí","No")))</f>
        <v/>
      </c>
      <c r="O1587" s="24">
        <f>IF($A1587="","",COUNTIFS(NOVEDADES!$D$4:$D$1503,$A1587))</f>
        <v/>
      </c>
      <c r="P1587" s="28">
        <f>IF($A1587="","",IF(COUNTIFS(NOVEDADES!$D$4:$D$1503,$A1587,NOVEDADES!$O$4:$O$1503,"SÍ")&gt;0,"No","Sí"))</f>
        <v/>
      </c>
      <c r="Q1587" s="28">
        <f>IF(OR($A1587="",$L1587=""),"",IF(AND($N1587="Sí",$P1587="Sí"),"OTIF","Falló"))</f>
        <v/>
      </c>
    </row>
    <row r="1588" ht="16" customHeight="1">
      <c r="A1588" s="48" t="n"/>
      <c r="B1588" s="48" t="n"/>
      <c r="C1588" s="47" t="n"/>
      <c r="D1588" s="50" t="n"/>
      <c r="E1588" s="50" t="n"/>
      <c r="F1588" s="50" t="n"/>
      <c r="G1588" s="50" t="n"/>
      <c r="H1588" s="48" t="n"/>
      <c r="I1588" s="51" t="n"/>
      <c r="J1588" s="52" t="n"/>
      <c r="K1588" s="47" t="n"/>
      <c r="L1588" s="47" t="n"/>
      <c r="M1588" s="24">
        <f>IF(OR($A1588="",$C1588=""),"",IF($L1588&lt;&gt;"",$L1588-$C1588,TODAY()-$C1588))</f>
        <v/>
      </c>
      <c r="N1588" s="28">
        <f>IF(OR($A1588="",$K1588=""),"",IF($L1588="",IF(TODAY()&gt;$K1588,"Atrasado","En ruta"),IF($L1588&lt;=$K1588,"Sí","No")))</f>
        <v/>
      </c>
      <c r="O1588" s="24">
        <f>IF($A1588="","",COUNTIFS(NOVEDADES!$D$4:$D$1503,$A1588))</f>
        <v/>
      </c>
      <c r="P1588" s="28">
        <f>IF($A1588="","",IF(COUNTIFS(NOVEDADES!$D$4:$D$1503,$A1588,NOVEDADES!$O$4:$O$1503,"SÍ")&gt;0,"No","Sí"))</f>
        <v/>
      </c>
      <c r="Q1588" s="28">
        <f>IF(OR($A1588="",$L1588=""),"",IF(AND($N1588="Sí",$P1588="Sí"),"OTIF","Falló"))</f>
        <v/>
      </c>
    </row>
    <row r="1589" ht="16" customHeight="1">
      <c r="A1589" s="48" t="n"/>
      <c r="B1589" s="48" t="n"/>
      <c r="C1589" s="47" t="n"/>
      <c r="D1589" s="50" t="n"/>
      <c r="E1589" s="50" t="n"/>
      <c r="F1589" s="50" t="n"/>
      <c r="G1589" s="50" t="n"/>
      <c r="H1589" s="48" t="n"/>
      <c r="I1589" s="51" t="n"/>
      <c r="J1589" s="52" t="n"/>
      <c r="K1589" s="47" t="n"/>
      <c r="L1589" s="47" t="n"/>
      <c r="M1589" s="24">
        <f>IF(OR($A1589="",$C1589=""),"",IF($L1589&lt;&gt;"",$L1589-$C1589,TODAY()-$C1589))</f>
        <v/>
      </c>
      <c r="N1589" s="28">
        <f>IF(OR($A1589="",$K1589=""),"",IF($L1589="",IF(TODAY()&gt;$K1589,"Atrasado","En ruta"),IF($L1589&lt;=$K1589,"Sí","No")))</f>
        <v/>
      </c>
      <c r="O1589" s="24">
        <f>IF($A1589="","",COUNTIFS(NOVEDADES!$D$4:$D$1503,$A1589))</f>
        <v/>
      </c>
      <c r="P1589" s="28">
        <f>IF($A1589="","",IF(COUNTIFS(NOVEDADES!$D$4:$D$1503,$A1589,NOVEDADES!$O$4:$O$1503,"SÍ")&gt;0,"No","Sí"))</f>
        <v/>
      </c>
      <c r="Q1589" s="28">
        <f>IF(OR($A1589="",$L1589=""),"",IF(AND($N1589="Sí",$P1589="Sí"),"OTIF","Falló"))</f>
        <v/>
      </c>
    </row>
    <row r="1590" ht="16" customHeight="1">
      <c r="A1590" s="48" t="n"/>
      <c r="B1590" s="48" t="n"/>
      <c r="C1590" s="47" t="n"/>
      <c r="D1590" s="50" t="n"/>
      <c r="E1590" s="50" t="n"/>
      <c r="F1590" s="50" t="n"/>
      <c r="G1590" s="50" t="n"/>
      <c r="H1590" s="48" t="n"/>
      <c r="I1590" s="51" t="n"/>
      <c r="J1590" s="52" t="n"/>
      <c r="K1590" s="47" t="n"/>
      <c r="L1590" s="47" t="n"/>
      <c r="M1590" s="24">
        <f>IF(OR($A1590="",$C1590=""),"",IF($L1590&lt;&gt;"",$L1590-$C1590,TODAY()-$C1590))</f>
        <v/>
      </c>
      <c r="N1590" s="28">
        <f>IF(OR($A1590="",$K1590=""),"",IF($L1590="",IF(TODAY()&gt;$K1590,"Atrasado","En ruta"),IF($L1590&lt;=$K1590,"Sí","No")))</f>
        <v/>
      </c>
      <c r="O1590" s="24">
        <f>IF($A1590="","",COUNTIFS(NOVEDADES!$D$4:$D$1503,$A1590))</f>
        <v/>
      </c>
      <c r="P1590" s="28">
        <f>IF($A1590="","",IF(COUNTIFS(NOVEDADES!$D$4:$D$1503,$A1590,NOVEDADES!$O$4:$O$1503,"SÍ")&gt;0,"No","Sí"))</f>
        <v/>
      </c>
      <c r="Q1590" s="28">
        <f>IF(OR($A1590="",$L1590=""),"",IF(AND($N1590="Sí",$P1590="Sí"),"OTIF","Falló"))</f>
        <v/>
      </c>
    </row>
    <row r="1591" ht="16" customHeight="1">
      <c r="A1591" s="48" t="n"/>
      <c r="B1591" s="48" t="n"/>
      <c r="C1591" s="47" t="n"/>
      <c r="D1591" s="50" t="n"/>
      <c r="E1591" s="50" t="n"/>
      <c r="F1591" s="50" t="n"/>
      <c r="G1591" s="50" t="n"/>
      <c r="H1591" s="48" t="n"/>
      <c r="I1591" s="51" t="n"/>
      <c r="J1591" s="52" t="n"/>
      <c r="K1591" s="47" t="n"/>
      <c r="L1591" s="47" t="n"/>
      <c r="M1591" s="24">
        <f>IF(OR($A1591="",$C1591=""),"",IF($L1591&lt;&gt;"",$L1591-$C1591,TODAY()-$C1591))</f>
        <v/>
      </c>
      <c r="N1591" s="28">
        <f>IF(OR($A1591="",$K1591=""),"",IF($L1591="",IF(TODAY()&gt;$K1591,"Atrasado","En ruta"),IF($L1591&lt;=$K1591,"Sí","No")))</f>
        <v/>
      </c>
      <c r="O1591" s="24">
        <f>IF($A1591="","",COUNTIFS(NOVEDADES!$D$4:$D$1503,$A1591))</f>
        <v/>
      </c>
      <c r="P1591" s="28">
        <f>IF($A1591="","",IF(COUNTIFS(NOVEDADES!$D$4:$D$1503,$A1591,NOVEDADES!$O$4:$O$1503,"SÍ")&gt;0,"No","Sí"))</f>
        <v/>
      </c>
      <c r="Q1591" s="28">
        <f>IF(OR($A1591="",$L1591=""),"",IF(AND($N1591="Sí",$P1591="Sí"),"OTIF","Falló"))</f>
        <v/>
      </c>
    </row>
    <row r="1592" ht="16" customHeight="1">
      <c r="A1592" s="48" t="n"/>
      <c r="B1592" s="48" t="n"/>
      <c r="C1592" s="47" t="n"/>
      <c r="D1592" s="50" t="n"/>
      <c r="E1592" s="50" t="n"/>
      <c r="F1592" s="50" t="n"/>
      <c r="G1592" s="50" t="n"/>
      <c r="H1592" s="48" t="n"/>
      <c r="I1592" s="51" t="n"/>
      <c r="J1592" s="52" t="n"/>
      <c r="K1592" s="47" t="n"/>
      <c r="L1592" s="47" t="n"/>
      <c r="M1592" s="24">
        <f>IF(OR($A1592="",$C1592=""),"",IF($L1592&lt;&gt;"",$L1592-$C1592,TODAY()-$C1592))</f>
        <v/>
      </c>
      <c r="N1592" s="28">
        <f>IF(OR($A1592="",$K1592=""),"",IF($L1592="",IF(TODAY()&gt;$K1592,"Atrasado","En ruta"),IF($L1592&lt;=$K1592,"Sí","No")))</f>
        <v/>
      </c>
      <c r="O1592" s="24">
        <f>IF($A1592="","",COUNTIFS(NOVEDADES!$D$4:$D$1503,$A1592))</f>
        <v/>
      </c>
      <c r="P1592" s="28">
        <f>IF($A1592="","",IF(COUNTIFS(NOVEDADES!$D$4:$D$1503,$A1592,NOVEDADES!$O$4:$O$1503,"SÍ")&gt;0,"No","Sí"))</f>
        <v/>
      </c>
      <c r="Q1592" s="28">
        <f>IF(OR($A1592="",$L1592=""),"",IF(AND($N1592="Sí",$P1592="Sí"),"OTIF","Falló"))</f>
        <v/>
      </c>
    </row>
    <row r="1593" ht="16" customHeight="1">
      <c r="A1593" s="48" t="n"/>
      <c r="B1593" s="48" t="n"/>
      <c r="C1593" s="47" t="n"/>
      <c r="D1593" s="50" t="n"/>
      <c r="E1593" s="50" t="n"/>
      <c r="F1593" s="50" t="n"/>
      <c r="G1593" s="50" t="n"/>
      <c r="H1593" s="48" t="n"/>
      <c r="I1593" s="51" t="n"/>
      <c r="J1593" s="52" t="n"/>
      <c r="K1593" s="47" t="n"/>
      <c r="L1593" s="47" t="n"/>
      <c r="M1593" s="24">
        <f>IF(OR($A1593="",$C1593=""),"",IF($L1593&lt;&gt;"",$L1593-$C1593,TODAY()-$C1593))</f>
        <v/>
      </c>
      <c r="N1593" s="28">
        <f>IF(OR($A1593="",$K1593=""),"",IF($L1593="",IF(TODAY()&gt;$K1593,"Atrasado","En ruta"),IF($L1593&lt;=$K1593,"Sí","No")))</f>
        <v/>
      </c>
      <c r="O1593" s="24">
        <f>IF($A1593="","",COUNTIFS(NOVEDADES!$D$4:$D$1503,$A1593))</f>
        <v/>
      </c>
      <c r="P1593" s="28">
        <f>IF($A1593="","",IF(COUNTIFS(NOVEDADES!$D$4:$D$1503,$A1593,NOVEDADES!$O$4:$O$1503,"SÍ")&gt;0,"No","Sí"))</f>
        <v/>
      </c>
      <c r="Q1593" s="28">
        <f>IF(OR($A1593="",$L1593=""),"",IF(AND($N1593="Sí",$P1593="Sí"),"OTIF","Falló"))</f>
        <v/>
      </c>
    </row>
    <row r="1594" ht="16" customHeight="1">
      <c r="A1594" s="48" t="n"/>
      <c r="B1594" s="48" t="n"/>
      <c r="C1594" s="47" t="n"/>
      <c r="D1594" s="50" t="n"/>
      <c r="E1594" s="50" t="n"/>
      <c r="F1594" s="50" t="n"/>
      <c r="G1594" s="50" t="n"/>
      <c r="H1594" s="48" t="n"/>
      <c r="I1594" s="51" t="n"/>
      <c r="J1594" s="52" t="n"/>
      <c r="K1594" s="47" t="n"/>
      <c r="L1594" s="47" t="n"/>
      <c r="M1594" s="24">
        <f>IF(OR($A1594="",$C1594=""),"",IF($L1594&lt;&gt;"",$L1594-$C1594,TODAY()-$C1594))</f>
        <v/>
      </c>
      <c r="N1594" s="28">
        <f>IF(OR($A1594="",$K1594=""),"",IF($L1594="",IF(TODAY()&gt;$K1594,"Atrasado","En ruta"),IF($L1594&lt;=$K1594,"Sí","No")))</f>
        <v/>
      </c>
      <c r="O1594" s="24">
        <f>IF($A1594="","",COUNTIFS(NOVEDADES!$D$4:$D$1503,$A1594))</f>
        <v/>
      </c>
      <c r="P1594" s="28">
        <f>IF($A1594="","",IF(COUNTIFS(NOVEDADES!$D$4:$D$1503,$A1594,NOVEDADES!$O$4:$O$1503,"SÍ")&gt;0,"No","Sí"))</f>
        <v/>
      </c>
      <c r="Q1594" s="28">
        <f>IF(OR($A1594="",$L1594=""),"",IF(AND($N1594="Sí",$P1594="Sí"),"OTIF","Falló"))</f>
        <v/>
      </c>
    </row>
    <row r="1595" ht="16" customHeight="1">
      <c r="A1595" s="48" t="n"/>
      <c r="B1595" s="48" t="n"/>
      <c r="C1595" s="47" t="n"/>
      <c r="D1595" s="50" t="n"/>
      <c r="E1595" s="50" t="n"/>
      <c r="F1595" s="50" t="n"/>
      <c r="G1595" s="50" t="n"/>
      <c r="H1595" s="48" t="n"/>
      <c r="I1595" s="51" t="n"/>
      <c r="J1595" s="52" t="n"/>
      <c r="K1595" s="47" t="n"/>
      <c r="L1595" s="47" t="n"/>
      <c r="M1595" s="24">
        <f>IF(OR($A1595="",$C1595=""),"",IF($L1595&lt;&gt;"",$L1595-$C1595,TODAY()-$C1595))</f>
        <v/>
      </c>
      <c r="N1595" s="28">
        <f>IF(OR($A1595="",$K1595=""),"",IF($L1595="",IF(TODAY()&gt;$K1595,"Atrasado","En ruta"),IF($L1595&lt;=$K1595,"Sí","No")))</f>
        <v/>
      </c>
      <c r="O1595" s="24">
        <f>IF($A1595="","",COUNTIFS(NOVEDADES!$D$4:$D$1503,$A1595))</f>
        <v/>
      </c>
      <c r="P1595" s="28">
        <f>IF($A1595="","",IF(COUNTIFS(NOVEDADES!$D$4:$D$1503,$A1595,NOVEDADES!$O$4:$O$1503,"SÍ")&gt;0,"No","Sí"))</f>
        <v/>
      </c>
      <c r="Q1595" s="28">
        <f>IF(OR($A1595="",$L1595=""),"",IF(AND($N1595="Sí",$P1595="Sí"),"OTIF","Falló"))</f>
        <v/>
      </c>
    </row>
    <row r="1596" ht="16" customHeight="1">
      <c r="A1596" s="48" t="n"/>
      <c r="B1596" s="48" t="n"/>
      <c r="C1596" s="47" t="n"/>
      <c r="D1596" s="50" t="n"/>
      <c r="E1596" s="50" t="n"/>
      <c r="F1596" s="50" t="n"/>
      <c r="G1596" s="50" t="n"/>
      <c r="H1596" s="48" t="n"/>
      <c r="I1596" s="51" t="n"/>
      <c r="J1596" s="52" t="n"/>
      <c r="K1596" s="47" t="n"/>
      <c r="L1596" s="47" t="n"/>
      <c r="M1596" s="24">
        <f>IF(OR($A1596="",$C1596=""),"",IF($L1596&lt;&gt;"",$L1596-$C1596,TODAY()-$C1596))</f>
        <v/>
      </c>
      <c r="N1596" s="28">
        <f>IF(OR($A1596="",$K1596=""),"",IF($L1596="",IF(TODAY()&gt;$K1596,"Atrasado","En ruta"),IF($L1596&lt;=$K1596,"Sí","No")))</f>
        <v/>
      </c>
      <c r="O1596" s="24">
        <f>IF($A1596="","",COUNTIFS(NOVEDADES!$D$4:$D$1503,$A1596))</f>
        <v/>
      </c>
      <c r="P1596" s="28">
        <f>IF($A1596="","",IF(COUNTIFS(NOVEDADES!$D$4:$D$1503,$A1596,NOVEDADES!$O$4:$O$1503,"SÍ")&gt;0,"No","Sí"))</f>
        <v/>
      </c>
      <c r="Q1596" s="28">
        <f>IF(OR($A1596="",$L1596=""),"",IF(AND($N1596="Sí",$P1596="Sí"),"OTIF","Falló"))</f>
        <v/>
      </c>
    </row>
    <row r="1597" ht="16" customHeight="1">
      <c r="A1597" s="48" t="n"/>
      <c r="B1597" s="48" t="n"/>
      <c r="C1597" s="47" t="n"/>
      <c r="D1597" s="50" t="n"/>
      <c r="E1597" s="50" t="n"/>
      <c r="F1597" s="50" t="n"/>
      <c r="G1597" s="50" t="n"/>
      <c r="H1597" s="48" t="n"/>
      <c r="I1597" s="51" t="n"/>
      <c r="J1597" s="52" t="n"/>
      <c r="K1597" s="47" t="n"/>
      <c r="L1597" s="47" t="n"/>
      <c r="M1597" s="24">
        <f>IF(OR($A1597="",$C1597=""),"",IF($L1597&lt;&gt;"",$L1597-$C1597,TODAY()-$C1597))</f>
        <v/>
      </c>
      <c r="N1597" s="28">
        <f>IF(OR($A1597="",$K1597=""),"",IF($L1597="",IF(TODAY()&gt;$K1597,"Atrasado","En ruta"),IF($L1597&lt;=$K1597,"Sí","No")))</f>
        <v/>
      </c>
      <c r="O1597" s="24">
        <f>IF($A1597="","",COUNTIFS(NOVEDADES!$D$4:$D$1503,$A1597))</f>
        <v/>
      </c>
      <c r="P1597" s="28">
        <f>IF($A1597="","",IF(COUNTIFS(NOVEDADES!$D$4:$D$1503,$A1597,NOVEDADES!$O$4:$O$1503,"SÍ")&gt;0,"No","Sí"))</f>
        <v/>
      </c>
      <c r="Q1597" s="28">
        <f>IF(OR($A1597="",$L1597=""),"",IF(AND($N1597="Sí",$P1597="Sí"),"OTIF","Falló"))</f>
        <v/>
      </c>
    </row>
    <row r="1598" ht="16" customHeight="1">
      <c r="A1598" s="48" t="n"/>
      <c r="B1598" s="48" t="n"/>
      <c r="C1598" s="47" t="n"/>
      <c r="D1598" s="50" t="n"/>
      <c r="E1598" s="50" t="n"/>
      <c r="F1598" s="50" t="n"/>
      <c r="G1598" s="50" t="n"/>
      <c r="H1598" s="48" t="n"/>
      <c r="I1598" s="51" t="n"/>
      <c r="J1598" s="52" t="n"/>
      <c r="K1598" s="47" t="n"/>
      <c r="L1598" s="47" t="n"/>
      <c r="M1598" s="24">
        <f>IF(OR($A1598="",$C1598=""),"",IF($L1598&lt;&gt;"",$L1598-$C1598,TODAY()-$C1598))</f>
        <v/>
      </c>
      <c r="N1598" s="28">
        <f>IF(OR($A1598="",$K1598=""),"",IF($L1598="",IF(TODAY()&gt;$K1598,"Atrasado","En ruta"),IF($L1598&lt;=$K1598,"Sí","No")))</f>
        <v/>
      </c>
      <c r="O1598" s="24">
        <f>IF($A1598="","",COUNTIFS(NOVEDADES!$D$4:$D$1503,$A1598))</f>
        <v/>
      </c>
      <c r="P1598" s="28">
        <f>IF($A1598="","",IF(COUNTIFS(NOVEDADES!$D$4:$D$1503,$A1598,NOVEDADES!$O$4:$O$1503,"SÍ")&gt;0,"No","Sí"))</f>
        <v/>
      </c>
      <c r="Q1598" s="28">
        <f>IF(OR($A1598="",$L1598=""),"",IF(AND($N1598="Sí",$P1598="Sí"),"OTIF","Falló"))</f>
        <v/>
      </c>
    </row>
    <row r="1599" ht="16" customHeight="1">
      <c r="A1599" s="48" t="n"/>
      <c r="B1599" s="48" t="n"/>
      <c r="C1599" s="47" t="n"/>
      <c r="D1599" s="50" t="n"/>
      <c r="E1599" s="50" t="n"/>
      <c r="F1599" s="50" t="n"/>
      <c r="G1599" s="50" t="n"/>
      <c r="H1599" s="48" t="n"/>
      <c r="I1599" s="51" t="n"/>
      <c r="J1599" s="52" t="n"/>
      <c r="K1599" s="47" t="n"/>
      <c r="L1599" s="47" t="n"/>
      <c r="M1599" s="24">
        <f>IF(OR($A1599="",$C1599=""),"",IF($L1599&lt;&gt;"",$L1599-$C1599,TODAY()-$C1599))</f>
        <v/>
      </c>
      <c r="N1599" s="28">
        <f>IF(OR($A1599="",$K1599=""),"",IF($L1599="",IF(TODAY()&gt;$K1599,"Atrasado","En ruta"),IF($L1599&lt;=$K1599,"Sí","No")))</f>
        <v/>
      </c>
      <c r="O1599" s="24">
        <f>IF($A1599="","",COUNTIFS(NOVEDADES!$D$4:$D$1503,$A1599))</f>
        <v/>
      </c>
      <c r="P1599" s="28">
        <f>IF($A1599="","",IF(COUNTIFS(NOVEDADES!$D$4:$D$1503,$A1599,NOVEDADES!$O$4:$O$1503,"SÍ")&gt;0,"No","Sí"))</f>
        <v/>
      </c>
      <c r="Q1599" s="28">
        <f>IF(OR($A1599="",$L1599=""),"",IF(AND($N1599="Sí",$P1599="Sí"),"OTIF","Falló"))</f>
        <v/>
      </c>
    </row>
    <row r="1600" ht="16" customHeight="1">
      <c r="A1600" s="48" t="n"/>
      <c r="B1600" s="48" t="n"/>
      <c r="C1600" s="47" t="n"/>
      <c r="D1600" s="50" t="n"/>
      <c r="E1600" s="50" t="n"/>
      <c r="F1600" s="50" t="n"/>
      <c r="G1600" s="50" t="n"/>
      <c r="H1600" s="48" t="n"/>
      <c r="I1600" s="51" t="n"/>
      <c r="J1600" s="52" t="n"/>
      <c r="K1600" s="47" t="n"/>
      <c r="L1600" s="47" t="n"/>
      <c r="M1600" s="24">
        <f>IF(OR($A1600="",$C1600=""),"",IF($L1600&lt;&gt;"",$L1600-$C1600,TODAY()-$C1600))</f>
        <v/>
      </c>
      <c r="N1600" s="28">
        <f>IF(OR($A1600="",$K1600=""),"",IF($L1600="",IF(TODAY()&gt;$K1600,"Atrasado","En ruta"),IF($L1600&lt;=$K1600,"Sí","No")))</f>
        <v/>
      </c>
      <c r="O1600" s="24">
        <f>IF($A1600="","",COUNTIFS(NOVEDADES!$D$4:$D$1503,$A1600))</f>
        <v/>
      </c>
      <c r="P1600" s="28">
        <f>IF($A1600="","",IF(COUNTIFS(NOVEDADES!$D$4:$D$1503,$A1600,NOVEDADES!$O$4:$O$1503,"SÍ")&gt;0,"No","Sí"))</f>
        <v/>
      </c>
      <c r="Q1600" s="28">
        <f>IF(OR($A1600="",$L1600=""),"",IF(AND($N1600="Sí",$P1600="Sí"),"OTIF","Falló"))</f>
        <v/>
      </c>
    </row>
    <row r="1601" ht="16" customHeight="1">
      <c r="A1601" s="48" t="n"/>
      <c r="B1601" s="48" t="n"/>
      <c r="C1601" s="47" t="n"/>
      <c r="D1601" s="50" t="n"/>
      <c r="E1601" s="50" t="n"/>
      <c r="F1601" s="50" t="n"/>
      <c r="G1601" s="50" t="n"/>
      <c r="H1601" s="48" t="n"/>
      <c r="I1601" s="51" t="n"/>
      <c r="J1601" s="52" t="n"/>
      <c r="K1601" s="47" t="n"/>
      <c r="L1601" s="47" t="n"/>
      <c r="M1601" s="24">
        <f>IF(OR($A1601="",$C1601=""),"",IF($L1601&lt;&gt;"",$L1601-$C1601,TODAY()-$C1601))</f>
        <v/>
      </c>
      <c r="N1601" s="28">
        <f>IF(OR($A1601="",$K1601=""),"",IF($L1601="",IF(TODAY()&gt;$K1601,"Atrasado","En ruta"),IF($L1601&lt;=$K1601,"Sí","No")))</f>
        <v/>
      </c>
      <c r="O1601" s="24">
        <f>IF($A1601="","",COUNTIFS(NOVEDADES!$D$4:$D$1503,$A1601))</f>
        <v/>
      </c>
      <c r="P1601" s="28">
        <f>IF($A1601="","",IF(COUNTIFS(NOVEDADES!$D$4:$D$1503,$A1601,NOVEDADES!$O$4:$O$1503,"SÍ")&gt;0,"No","Sí"))</f>
        <v/>
      </c>
      <c r="Q1601" s="28">
        <f>IF(OR($A1601="",$L1601=""),"",IF(AND($N1601="Sí",$P1601="Sí"),"OTIF","Falló"))</f>
        <v/>
      </c>
    </row>
    <row r="1602" ht="16" customHeight="1">
      <c r="A1602" s="48" t="n"/>
      <c r="B1602" s="48" t="n"/>
      <c r="C1602" s="47" t="n"/>
      <c r="D1602" s="50" t="n"/>
      <c r="E1602" s="50" t="n"/>
      <c r="F1602" s="50" t="n"/>
      <c r="G1602" s="50" t="n"/>
      <c r="H1602" s="48" t="n"/>
      <c r="I1602" s="51" t="n"/>
      <c r="J1602" s="52" t="n"/>
      <c r="K1602" s="47" t="n"/>
      <c r="L1602" s="47" t="n"/>
      <c r="M1602" s="24">
        <f>IF(OR($A1602="",$C1602=""),"",IF($L1602&lt;&gt;"",$L1602-$C1602,TODAY()-$C1602))</f>
        <v/>
      </c>
      <c r="N1602" s="28">
        <f>IF(OR($A1602="",$K1602=""),"",IF($L1602="",IF(TODAY()&gt;$K1602,"Atrasado","En ruta"),IF($L1602&lt;=$K1602,"Sí","No")))</f>
        <v/>
      </c>
      <c r="O1602" s="24">
        <f>IF($A1602="","",COUNTIFS(NOVEDADES!$D$4:$D$1503,$A1602))</f>
        <v/>
      </c>
      <c r="P1602" s="28">
        <f>IF($A1602="","",IF(COUNTIFS(NOVEDADES!$D$4:$D$1503,$A1602,NOVEDADES!$O$4:$O$1503,"SÍ")&gt;0,"No","Sí"))</f>
        <v/>
      </c>
      <c r="Q1602" s="28">
        <f>IF(OR($A1602="",$L1602=""),"",IF(AND($N1602="Sí",$P1602="Sí"),"OTIF","Falló"))</f>
        <v/>
      </c>
    </row>
    <row r="1603" ht="16" customHeight="1">
      <c r="A1603" s="48" t="n"/>
      <c r="B1603" s="48" t="n"/>
      <c r="C1603" s="47" t="n"/>
      <c r="D1603" s="50" t="n"/>
      <c r="E1603" s="50" t="n"/>
      <c r="F1603" s="50" t="n"/>
      <c r="G1603" s="50" t="n"/>
      <c r="H1603" s="48" t="n"/>
      <c r="I1603" s="51" t="n"/>
      <c r="J1603" s="52" t="n"/>
      <c r="K1603" s="47" t="n"/>
      <c r="L1603" s="47" t="n"/>
      <c r="M1603" s="24">
        <f>IF(OR($A1603="",$C1603=""),"",IF($L1603&lt;&gt;"",$L1603-$C1603,TODAY()-$C1603))</f>
        <v/>
      </c>
      <c r="N1603" s="28">
        <f>IF(OR($A1603="",$K1603=""),"",IF($L1603="",IF(TODAY()&gt;$K1603,"Atrasado","En ruta"),IF($L1603&lt;=$K1603,"Sí","No")))</f>
        <v/>
      </c>
      <c r="O1603" s="24">
        <f>IF($A1603="","",COUNTIFS(NOVEDADES!$D$4:$D$1503,$A1603))</f>
        <v/>
      </c>
      <c r="P1603" s="28">
        <f>IF($A1603="","",IF(COUNTIFS(NOVEDADES!$D$4:$D$1503,$A1603,NOVEDADES!$O$4:$O$1503,"SÍ")&gt;0,"No","Sí"))</f>
        <v/>
      </c>
      <c r="Q1603" s="28">
        <f>IF(OR($A1603="",$L1603=""),"",IF(AND($N1603="Sí",$P1603="Sí"),"OTIF","Falló"))</f>
        <v/>
      </c>
    </row>
    <row r="1604" ht="16" customHeight="1">
      <c r="A1604" s="48" t="n"/>
      <c r="B1604" s="48" t="n"/>
      <c r="C1604" s="47" t="n"/>
      <c r="D1604" s="50" t="n"/>
      <c r="E1604" s="50" t="n"/>
      <c r="F1604" s="50" t="n"/>
      <c r="G1604" s="50" t="n"/>
      <c r="H1604" s="48" t="n"/>
      <c r="I1604" s="51" t="n"/>
      <c r="J1604" s="52" t="n"/>
      <c r="K1604" s="47" t="n"/>
      <c r="L1604" s="47" t="n"/>
      <c r="M1604" s="24">
        <f>IF(OR($A1604="",$C1604=""),"",IF($L1604&lt;&gt;"",$L1604-$C1604,TODAY()-$C1604))</f>
        <v/>
      </c>
      <c r="N1604" s="28">
        <f>IF(OR($A1604="",$K1604=""),"",IF($L1604="",IF(TODAY()&gt;$K1604,"Atrasado","En ruta"),IF($L1604&lt;=$K1604,"Sí","No")))</f>
        <v/>
      </c>
      <c r="O1604" s="24">
        <f>IF($A1604="","",COUNTIFS(NOVEDADES!$D$4:$D$1503,$A1604))</f>
        <v/>
      </c>
      <c r="P1604" s="28">
        <f>IF($A1604="","",IF(COUNTIFS(NOVEDADES!$D$4:$D$1503,$A1604,NOVEDADES!$O$4:$O$1503,"SÍ")&gt;0,"No","Sí"))</f>
        <v/>
      </c>
      <c r="Q1604" s="28">
        <f>IF(OR($A1604="",$L1604=""),"",IF(AND($N1604="Sí",$P1604="Sí"),"OTIF","Falló"))</f>
        <v/>
      </c>
    </row>
    <row r="1605" ht="16" customHeight="1">
      <c r="A1605" s="48" t="n"/>
      <c r="B1605" s="48" t="n"/>
      <c r="C1605" s="47" t="n"/>
      <c r="D1605" s="50" t="n"/>
      <c r="E1605" s="50" t="n"/>
      <c r="F1605" s="50" t="n"/>
      <c r="G1605" s="50" t="n"/>
      <c r="H1605" s="48" t="n"/>
      <c r="I1605" s="51" t="n"/>
      <c r="J1605" s="52" t="n"/>
      <c r="K1605" s="47" t="n"/>
      <c r="L1605" s="47" t="n"/>
      <c r="M1605" s="24">
        <f>IF(OR($A1605="",$C1605=""),"",IF($L1605&lt;&gt;"",$L1605-$C1605,TODAY()-$C1605))</f>
        <v/>
      </c>
      <c r="N1605" s="28">
        <f>IF(OR($A1605="",$K1605=""),"",IF($L1605="",IF(TODAY()&gt;$K1605,"Atrasado","En ruta"),IF($L1605&lt;=$K1605,"Sí","No")))</f>
        <v/>
      </c>
      <c r="O1605" s="24">
        <f>IF($A1605="","",COUNTIFS(NOVEDADES!$D$4:$D$1503,$A1605))</f>
        <v/>
      </c>
      <c r="P1605" s="28">
        <f>IF($A1605="","",IF(COUNTIFS(NOVEDADES!$D$4:$D$1503,$A1605,NOVEDADES!$O$4:$O$1503,"SÍ")&gt;0,"No","Sí"))</f>
        <v/>
      </c>
      <c r="Q1605" s="28">
        <f>IF(OR($A1605="",$L1605=""),"",IF(AND($N1605="Sí",$P1605="Sí"),"OTIF","Falló"))</f>
        <v/>
      </c>
    </row>
    <row r="1606" ht="16" customHeight="1">
      <c r="A1606" s="48" t="n"/>
      <c r="B1606" s="48" t="n"/>
      <c r="C1606" s="47" t="n"/>
      <c r="D1606" s="50" t="n"/>
      <c r="E1606" s="50" t="n"/>
      <c r="F1606" s="50" t="n"/>
      <c r="G1606" s="50" t="n"/>
      <c r="H1606" s="48" t="n"/>
      <c r="I1606" s="51" t="n"/>
      <c r="J1606" s="52" t="n"/>
      <c r="K1606" s="47" t="n"/>
      <c r="L1606" s="47" t="n"/>
      <c r="M1606" s="24">
        <f>IF(OR($A1606="",$C1606=""),"",IF($L1606&lt;&gt;"",$L1606-$C1606,TODAY()-$C1606))</f>
        <v/>
      </c>
      <c r="N1606" s="28">
        <f>IF(OR($A1606="",$K1606=""),"",IF($L1606="",IF(TODAY()&gt;$K1606,"Atrasado","En ruta"),IF($L1606&lt;=$K1606,"Sí","No")))</f>
        <v/>
      </c>
      <c r="O1606" s="24">
        <f>IF($A1606="","",COUNTIFS(NOVEDADES!$D$4:$D$1503,$A1606))</f>
        <v/>
      </c>
      <c r="P1606" s="28">
        <f>IF($A1606="","",IF(COUNTIFS(NOVEDADES!$D$4:$D$1503,$A1606,NOVEDADES!$O$4:$O$1503,"SÍ")&gt;0,"No","Sí"))</f>
        <v/>
      </c>
      <c r="Q1606" s="28">
        <f>IF(OR($A1606="",$L1606=""),"",IF(AND($N1606="Sí",$P1606="Sí"),"OTIF","Falló"))</f>
        <v/>
      </c>
    </row>
    <row r="1607" ht="16" customHeight="1">
      <c r="A1607" s="48" t="n"/>
      <c r="B1607" s="48" t="n"/>
      <c r="C1607" s="47" t="n"/>
      <c r="D1607" s="50" t="n"/>
      <c r="E1607" s="50" t="n"/>
      <c r="F1607" s="50" t="n"/>
      <c r="G1607" s="50" t="n"/>
      <c r="H1607" s="48" t="n"/>
      <c r="I1607" s="51" t="n"/>
      <c r="J1607" s="52" t="n"/>
      <c r="K1607" s="47" t="n"/>
      <c r="L1607" s="47" t="n"/>
      <c r="M1607" s="24">
        <f>IF(OR($A1607="",$C1607=""),"",IF($L1607&lt;&gt;"",$L1607-$C1607,TODAY()-$C1607))</f>
        <v/>
      </c>
      <c r="N1607" s="28">
        <f>IF(OR($A1607="",$K1607=""),"",IF($L1607="",IF(TODAY()&gt;$K1607,"Atrasado","En ruta"),IF($L1607&lt;=$K1607,"Sí","No")))</f>
        <v/>
      </c>
      <c r="O1607" s="24">
        <f>IF($A1607="","",COUNTIFS(NOVEDADES!$D$4:$D$1503,$A1607))</f>
        <v/>
      </c>
      <c r="P1607" s="28">
        <f>IF($A1607="","",IF(COUNTIFS(NOVEDADES!$D$4:$D$1503,$A1607,NOVEDADES!$O$4:$O$1503,"SÍ")&gt;0,"No","Sí"))</f>
        <v/>
      </c>
      <c r="Q1607" s="28">
        <f>IF(OR($A1607="",$L1607=""),"",IF(AND($N1607="Sí",$P1607="Sí"),"OTIF","Falló"))</f>
        <v/>
      </c>
    </row>
    <row r="1608" ht="16" customHeight="1">
      <c r="A1608" s="48" t="n"/>
      <c r="B1608" s="48" t="n"/>
      <c r="C1608" s="47" t="n"/>
      <c r="D1608" s="50" t="n"/>
      <c r="E1608" s="50" t="n"/>
      <c r="F1608" s="50" t="n"/>
      <c r="G1608" s="50" t="n"/>
      <c r="H1608" s="48" t="n"/>
      <c r="I1608" s="51" t="n"/>
      <c r="J1608" s="52" t="n"/>
      <c r="K1608" s="47" t="n"/>
      <c r="L1608" s="47" t="n"/>
      <c r="M1608" s="24">
        <f>IF(OR($A1608="",$C1608=""),"",IF($L1608&lt;&gt;"",$L1608-$C1608,TODAY()-$C1608))</f>
        <v/>
      </c>
      <c r="N1608" s="28">
        <f>IF(OR($A1608="",$K1608=""),"",IF($L1608="",IF(TODAY()&gt;$K1608,"Atrasado","En ruta"),IF($L1608&lt;=$K1608,"Sí","No")))</f>
        <v/>
      </c>
      <c r="O1608" s="24">
        <f>IF($A1608="","",COUNTIFS(NOVEDADES!$D$4:$D$1503,$A1608))</f>
        <v/>
      </c>
      <c r="P1608" s="28">
        <f>IF($A1608="","",IF(COUNTIFS(NOVEDADES!$D$4:$D$1503,$A1608,NOVEDADES!$O$4:$O$1503,"SÍ")&gt;0,"No","Sí"))</f>
        <v/>
      </c>
      <c r="Q1608" s="28">
        <f>IF(OR($A1608="",$L1608=""),"",IF(AND($N1608="Sí",$P1608="Sí"),"OTIF","Falló"))</f>
        <v/>
      </c>
    </row>
    <row r="1609" ht="16" customHeight="1">
      <c r="A1609" s="48" t="n"/>
      <c r="B1609" s="48" t="n"/>
      <c r="C1609" s="47" t="n"/>
      <c r="D1609" s="50" t="n"/>
      <c r="E1609" s="50" t="n"/>
      <c r="F1609" s="50" t="n"/>
      <c r="G1609" s="50" t="n"/>
      <c r="H1609" s="48" t="n"/>
      <c r="I1609" s="51" t="n"/>
      <c r="J1609" s="52" t="n"/>
      <c r="K1609" s="47" t="n"/>
      <c r="L1609" s="47" t="n"/>
      <c r="M1609" s="24">
        <f>IF(OR($A1609="",$C1609=""),"",IF($L1609&lt;&gt;"",$L1609-$C1609,TODAY()-$C1609))</f>
        <v/>
      </c>
      <c r="N1609" s="28">
        <f>IF(OR($A1609="",$K1609=""),"",IF($L1609="",IF(TODAY()&gt;$K1609,"Atrasado","En ruta"),IF($L1609&lt;=$K1609,"Sí","No")))</f>
        <v/>
      </c>
      <c r="O1609" s="24">
        <f>IF($A1609="","",COUNTIFS(NOVEDADES!$D$4:$D$1503,$A1609))</f>
        <v/>
      </c>
      <c r="P1609" s="28">
        <f>IF($A1609="","",IF(COUNTIFS(NOVEDADES!$D$4:$D$1503,$A1609,NOVEDADES!$O$4:$O$1503,"SÍ")&gt;0,"No","Sí"))</f>
        <v/>
      </c>
      <c r="Q1609" s="28">
        <f>IF(OR($A1609="",$L1609=""),"",IF(AND($N1609="Sí",$P1609="Sí"),"OTIF","Falló"))</f>
        <v/>
      </c>
    </row>
    <row r="1610" ht="16" customHeight="1">
      <c r="A1610" s="48" t="n"/>
      <c r="B1610" s="48" t="n"/>
      <c r="C1610" s="47" t="n"/>
      <c r="D1610" s="50" t="n"/>
      <c r="E1610" s="50" t="n"/>
      <c r="F1610" s="50" t="n"/>
      <c r="G1610" s="50" t="n"/>
      <c r="H1610" s="48" t="n"/>
      <c r="I1610" s="51" t="n"/>
      <c r="J1610" s="52" t="n"/>
      <c r="K1610" s="47" t="n"/>
      <c r="L1610" s="47" t="n"/>
      <c r="M1610" s="24">
        <f>IF(OR($A1610="",$C1610=""),"",IF($L1610&lt;&gt;"",$L1610-$C1610,TODAY()-$C1610))</f>
        <v/>
      </c>
      <c r="N1610" s="28">
        <f>IF(OR($A1610="",$K1610=""),"",IF($L1610="",IF(TODAY()&gt;$K1610,"Atrasado","En ruta"),IF($L1610&lt;=$K1610,"Sí","No")))</f>
        <v/>
      </c>
      <c r="O1610" s="24">
        <f>IF($A1610="","",COUNTIFS(NOVEDADES!$D$4:$D$1503,$A1610))</f>
        <v/>
      </c>
      <c r="P1610" s="28">
        <f>IF($A1610="","",IF(COUNTIFS(NOVEDADES!$D$4:$D$1503,$A1610,NOVEDADES!$O$4:$O$1503,"SÍ")&gt;0,"No","Sí"))</f>
        <v/>
      </c>
      <c r="Q1610" s="28">
        <f>IF(OR($A1610="",$L1610=""),"",IF(AND($N1610="Sí",$P1610="Sí"),"OTIF","Falló"))</f>
        <v/>
      </c>
    </row>
    <row r="1611" ht="16" customHeight="1">
      <c r="A1611" s="48" t="n"/>
      <c r="B1611" s="48" t="n"/>
      <c r="C1611" s="47" t="n"/>
      <c r="D1611" s="50" t="n"/>
      <c r="E1611" s="50" t="n"/>
      <c r="F1611" s="50" t="n"/>
      <c r="G1611" s="50" t="n"/>
      <c r="H1611" s="48" t="n"/>
      <c r="I1611" s="51" t="n"/>
      <c r="J1611" s="52" t="n"/>
      <c r="K1611" s="47" t="n"/>
      <c r="L1611" s="47" t="n"/>
      <c r="M1611" s="24">
        <f>IF(OR($A1611="",$C1611=""),"",IF($L1611&lt;&gt;"",$L1611-$C1611,TODAY()-$C1611))</f>
        <v/>
      </c>
      <c r="N1611" s="28">
        <f>IF(OR($A1611="",$K1611=""),"",IF($L1611="",IF(TODAY()&gt;$K1611,"Atrasado","En ruta"),IF($L1611&lt;=$K1611,"Sí","No")))</f>
        <v/>
      </c>
      <c r="O1611" s="24">
        <f>IF($A1611="","",COUNTIFS(NOVEDADES!$D$4:$D$1503,$A1611))</f>
        <v/>
      </c>
      <c r="P1611" s="28">
        <f>IF($A1611="","",IF(COUNTIFS(NOVEDADES!$D$4:$D$1503,$A1611,NOVEDADES!$O$4:$O$1503,"SÍ")&gt;0,"No","Sí"))</f>
        <v/>
      </c>
      <c r="Q1611" s="28">
        <f>IF(OR($A1611="",$L1611=""),"",IF(AND($N1611="Sí",$P1611="Sí"),"OTIF","Falló"))</f>
        <v/>
      </c>
    </row>
    <row r="1612" ht="16" customHeight="1">
      <c r="A1612" s="48" t="n"/>
      <c r="B1612" s="48" t="n"/>
      <c r="C1612" s="47" t="n"/>
      <c r="D1612" s="50" t="n"/>
      <c r="E1612" s="50" t="n"/>
      <c r="F1612" s="50" t="n"/>
      <c r="G1612" s="50" t="n"/>
      <c r="H1612" s="48" t="n"/>
      <c r="I1612" s="51" t="n"/>
      <c r="J1612" s="52" t="n"/>
      <c r="K1612" s="47" t="n"/>
      <c r="L1612" s="47" t="n"/>
      <c r="M1612" s="24">
        <f>IF(OR($A1612="",$C1612=""),"",IF($L1612&lt;&gt;"",$L1612-$C1612,TODAY()-$C1612))</f>
        <v/>
      </c>
      <c r="N1612" s="28">
        <f>IF(OR($A1612="",$K1612=""),"",IF($L1612="",IF(TODAY()&gt;$K1612,"Atrasado","En ruta"),IF($L1612&lt;=$K1612,"Sí","No")))</f>
        <v/>
      </c>
      <c r="O1612" s="24">
        <f>IF($A1612="","",COUNTIFS(NOVEDADES!$D$4:$D$1503,$A1612))</f>
        <v/>
      </c>
      <c r="P1612" s="28">
        <f>IF($A1612="","",IF(COUNTIFS(NOVEDADES!$D$4:$D$1503,$A1612,NOVEDADES!$O$4:$O$1503,"SÍ")&gt;0,"No","Sí"))</f>
        <v/>
      </c>
      <c r="Q1612" s="28">
        <f>IF(OR($A1612="",$L1612=""),"",IF(AND($N1612="Sí",$P1612="Sí"),"OTIF","Falló"))</f>
        <v/>
      </c>
    </row>
    <row r="1613" ht="16" customHeight="1">
      <c r="A1613" s="48" t="n"/>
      <c r="B1613" s="48" t="n"/>
      <c r="C1613" s="47" t="n"/>
      <c r="D1613" s="50" t="n"/>
      <c r="E1613" s="50" t="n"/>
      <c r="F1613" s="50" t="n"/>
      <c r="G1613" s="50" t="n"/>
      <c r="H1613" s="48" t="n"/>
      <c r="I1613" s="51" t="n"/>
      <c r="J1613" s="52" t="n"/>
      <c r="K1613" s="47" t="n"/>
      <c r="L1613" s="47" t="n"/>
      <c r="M1613" s="24">
        <f>IF(OR($A1613="",$C1613=""),"",IF($L1613&lt;&gt;"",$L1613-$C1613,TODAY()-$C1613))</f>
        <v/>
      </c>
      <c r="N1613" s="28">
        <f>IF(OR($A1613="",$K1613=""),"",IF($L1613="",IF(TODAY()&gt;$K1613,"Atrasado","En ruta"),IF($L1613&lt;=$K1613,"Sí","No")))</f>
        <v/>
      </c>
      <c r="O1613" s="24">
        <f>IF($A1613="","",COUNTIFS(NOVEDADES!$D$4:$D$1503,$A1613))</f>
        <v/>
      </c>
      <c r="P1613" s="28">
        <f>IF($A1613="","",IF(COUNTIFS(NOVEDADES!$D$4:$D$1503,$A1613,NOVEDADES!$O$4:$O$1503,"SÍ")&gt;0,"No","Sí"))</f>
        <v/>
      </c>
      <c r="Q1613" s="28">
        <f>IF(OR($A1613="",$L1613=""),"",IF(AND($N1613="Sí",$P1613="Sí"),"OTIF","Falló"))</f>
        <v/>
      </c>
    </row>
    <row r="1614" ht="16" customHeight="1">
      <c r="A1614" s="48" t="n"/>
      <c r="B1614" s="48" t="n"/>
      <c r="C1614" s="47" t="n"/>
      <c r="D1614" s="50" t="n"/>
      <c r="E1614" s="50" t="n"/>
      <c r="F1614" s="50" t="n"/>
      <c r="G1614" s="50" t="n"/>
      <c r="H1614" s="48" t="n"/>
      <c r="I1614" s="51" t="n"/>
      <c r="J1614" s="52" t="n"/>
      <c r="K1614" s="47" t="n"/>
      <c r="L1614" s="47" t="n"/>
      <c r="M1614" s="24">
        <f>IF(OR($A1614="",$C1614=""),"",IF($L1614&lt;&gt;"",$L1614-$C1614,TODAY()-$C1614))</f>
        <v/>
      </c>
      <c r="N1614" s="28">
        <f>IF(OR($A1614="",$K1614=""),"",IF($L1614="",IF(TODAY()&gt;$K1614,"Atrasado","En ruta"),IF($L1614&lt;=$K1614,"Sí","No")))</f>
        <v/>
      </c>
      <c r="O1614" s="24">
        <f>IF($A1614="","",COUNTIFS(NOVEDADES!$D$4:$D$1503,$A1614))</f>
        <v/>
      </c>
      <c r="P1614" s="28">
        <f>IF($A1614="","",IF(COUNTIFS(NOVEDADES!$D$4:$D$1503,$A1614,NOVEDADES!$O$4:$O$1503,"SÍ")&gt;0,"No","Sí"))</f>
        <v/>
      </c>
      <c r="Q1614" s="28">
        <f>IF(OR($A1614="",$L1614=""),"",IF(AND($N1614="Sí",$P1614="Sí"),"OTIF","Falló"))</f>
        <v/>
      </c>
    </row>
    <row r="1615" ht="16" customHeight="1">
      <c r="A1615" s="48" t="n"/>
      <c r="B1615" s="48" t="n"/>
      <c r="C1615" s="47" t="n"/>
      <c r="D1615" s="50" t="n"/>
      <c r="E1615" s="50" t="n"/>
      <c r="F1615" s="50" t="n"/>
      <c r="G1615" s="50" t="n"/>
      <c r="H1615" s="48" t="n"/>
      <c r="I1615" s="51" t="n"/>
      <c r="J1615" s="52" t="n"/>
      <c r="K1615" s="47" t="n"/>
      <c r="L1615" s="47" t="n"/>
      <c r="M1615" s="24">
        <f>IF(OR($A1615="",$C1615=""),"",IF($L1615&lt;&gt;"",$L1615-$C1615,TODAY()-$C1615))</f>
        <v/>
      </c>
      <c r="N1615" s="28">
        <f>IF(OR($A1615="",$K1615=""),"",IF($L1615="",IF(TODAY()&gt;$K1615,"Atrasado","En ruta"),IF($L1615&lt;=$K1615,"Sí","No")))</f>
        <v/>
      </c>
      <c r="O1615" s="24">
        <f>IF($A1615="","",COUNTIFS(NOVEDADES!$D$4:$D$1503,$A1615))</f>
        <v/>
      </c>
      <c r="P1615" s="28">
        <f>IF($A1615="","",IF(COUNTIFS(NOVEDADES!$D$4:$D$1503,$A1615,NOVEDADES!$O$4:$O$1503,"SÍ")&gt;0,"No","Sí"))</f>
        <v/>
      </c>
      <c r="Q1615" s="28">
        <f>IF(OR($A1615="",$L1615=""),"",IF(AND($N1615="Sí",$P1615="Sí"),"OTIF","Falló"))</f>
        <v/>
      </c>
    </row>
    <row r="1616" ht="16" customHeight="1">
      <c r="A1616" s="48" t="n"/>
      <c r="B1616" s="48" t="n"/>
      <c r="C1616" s="47" t="n"/>
      <c r="D1616" s="50" t="n"/>
      <c r="E1616" s="50" t="n"/>
      <c r="F1616" s="50" t="n"/>
      <c r="G1616" s="50" t="n"/>
      <c r="H1616" s="48" t="n"/>
      <c r="I1616" s="51" t="n"/>
      <c r="J1616" s="52" t="n"/>
      <c r="K1616" s="47" t="n"/>
      <c r="L1616" s="47" t="n"/>
      <c r="M1616" s="24">
        <f>IF(OR($A1616="",$C1616=""),"",IF($L1616&lt;&gt;"",$L1616-$C1616,TODAY()-$C1616))</f>
        <v/>
      </c>
      <c r="N1616" s="28">
        <f>IF(OR($A1616="",$K1616=""),"",IF($L1616="",IF(TODAY()&gt;$K1616,"Atrasado","En ruta"),IF($L1616&lt;=$K1616,"Sí","No")))</f>
        <v/>
      </c>
      <c r="O1616" s="24">
        <f>IF($A1616="","",COUNTIFS(NOVEDADES!$D$4:$D$1503,$A1616))</f>
        <v/>
      </c>
      <c r="P1616" s="28">
        <f>IF($A1616="","",IF(COUNTIFS(NOVEDADES!$D$4:$D$1503,$A1616,NOVEDADES!$O$4:$O$1503,"SÍ")&gt;0,"No","Sí"))</f>
        <v/>
      </c>
      <c r="Q1616" s="28">
        <f>IF(OR($A1616="",$L1616=""),"",IF(AND($N1616="Sí",$P1616="Sí"),"OTIF","Falló"))</f>
        <v/>
      </c>
    </row>
    <row r="1617" ht="16" customHeight="1">
      <c r="A1617" s="48" t="n"/>
      <c r="B1617" s="48" t="n"/>
      <c r="C1617" s="47" t="n"/>
      <c r="D1617" s="50" t="n"/>
      <c r="E1617" s="50" t="n"/>
      <c r="F1617" s="50" t="n"/>
      <c r="G1617" s="50" t="n"/>
      <c r="H1617" s="48" t="n"/>
      <c r="I1617" s="51" t="n"/>
      <c r="J1617" s="52" t="n"/>
      <c r="K1617" s="47" t="n"/>
      <c r="L1617" s="47" t="n"/>
      <c r="M1617" s="24">
        <f>IF(OR($A1617="",$C1617=""),"",IF($L1617&lt;&gt;"",$L1617-$C1617,TODAY()-$C1617))</f>
        <v/>
      </c>
      <c r="N1617" s="28">
        <f>IF(OR($A1617="",$K1617=""),"",IF($L1617="",IF(TODAY()&gt;$K1617,"Atrasado","En ruta"),IF($L1617&lt;=$K1617,"Sí","No")))</f>
        <v/>
      </c>
      <c r="O1617" s="24">
        <f>IF($A1617="","",COUNTIFS(NOVEDADES!$D$4:$D$1503,$A1617))</f>
        <v/>
      </c>
      <c r="P1617" s="28">
        <f>IF($A1617="","",IF(COUNTIFS(NOVEDADES!$D$4:$D$1503,$A1617,NOVEDADES!$O$4:$O$1503,"SÍ")&gt;0,"No","Sí"))</f>
        <v/>
      </c>
      <c r="Q1617" s="28">
        <f>IF(OR($A1617="",$L1617=""),"",IF(AND($N1617="Sí",$P1617="Sí"),"OTIF","Falló"))</f>
        <v/>
      </c>
    </row>
    <row r="1618" ht="16" customHeight="1">
      <c r="A1618" s="48" t="n"/>
      <c r="B1618" s="48" t="n"/>
      <c r="C1618" s="47" t="n"/>
      <c r="D1618" s="50" t="n"/>
      <c r="E1618" s="50" t="n"/>
      <c r="F1618" s="50" t="n"/>
      <c r="G1618" s="50" t="n"/>
      <c r="H1618" s="48" t="n"/>
      <c r="I1618" s="51" t="n"/>
      <c r="J1618" s="52" t="n"/>
      <c r="K1618" s="47" t="n"/>
      <c r="L1618" s="47" t="n"/>
      <c r="M1618" s="24">
        <f>IF(OR($A1618="",$C1618=""),"",IF($L1618&lt;&gt;"",$L1618-$C1618,TODAY()-$C1618))</f>
        <v/>
      </c>
      <c r="N1618" s="28">
        <f>IF(OR($A1618="",$K1618=""),"",IF($L1618="",IF(TODAY()&gt;$K1618,"Atrasado","En ruta"),IF($L1618&lt;=$K1618,"Sí","No")))</f>
        <v/>
      </c>
      <c r="O1618" s="24">
        <f>IF($A1618="","",COUNTIFS(NOVEDADES!$D$4:$D$1503,$A1618))</f>
        <v/>
      </c>
      <c r="P1618" s="28">
        <f>IF($A1618="","",IF(COUNTIFS(NOVEDADES!$D$4:$D$1503,$A1618,NOVEDADES!$O$4:$O$1503,"SÍ")&gt;0,"No","Sí"))</f>
        <v/>
      </c>
      <c r="Q1618" s="28">
        <f>IF(OR($A1618="",$L1618=""),"",IF(AND($N1618="Sí",$P1618="Sí"),"OTIF","Falló"))</f>
        <v/>
      </c>
    </row>
    <row r="1619" ht="16" customHeight="1">
      <c r="A1619" s="48" t="n"/>
      <c r="B1619" s="48" t="n"/>
      <c r="C1619" s="47" t="n"/>
      <c r="D1619" s="50" t="n"/>
      <c r="E1619" s="50" t="n"/>
      <c r="F1619" s="50" t="n"/>
      <c r="G1619" s="50" t="n"/>
      <c r="H1619" s="48" t="n"/>
      <c r="I1619" s="51" t="n"/>
      <c r="J1619" s="52" t="n"/>
      <c r="K1619" s="47" t="n"/>
      <c r="L1619" s="47" t="n"/>
      <c r="M1619" s="24">
        <f>IF(OR($A1619="",$C1619=""),"",IF($L1619&lt;&gt;"",$L1619-$C1619,TODAY()-$C1619))</f>
        <v/>
      </c>
      <c r="N1619" s="28">
        <f>IF(OR($A1619="",$K1619=""),"",IF($L1619="",IF(TODAY()&gt;$K1619,"Atrasado","En ruta"),IF($L1619&lt;=$K1619,"Sí","No")))</f>
        <v/>
      </c>
      <c r="O1619" s="24">
        <f>IF($A1619="","",COUNTIFS(NOVEDADES!$D$4:$D$1503,$A1619))</f>
        <v/>
      </c>
      <c r="P1619" s="28">
        <f>IF($A1619="","",IF(COUNTIFS(NOVEDADES!$D$4:$D$1503,$A1619,NOVEDADES!$O$4:$O$1503,"SÍ")&gt;0,"No","Sí"))</f>
        <v/>
      </c>
      <c r="Q1619" s="28">
        <f>IF(OR($A1619="",$L1619=""),"",IF(AND($N1619="Sí",$P1619="Sí"),"OTIF","Falló"))</f>
        <v/>
      </c>
    </row>
    <row r="1620" ht="16" customHeight="1">
      <c r="A1620" s="48" t="n"/>
      <c r="B1620" s="48" t="n"/>
      <c r="C1620" s="47" t="n"/>
      <c r="D1620" s="50" t="n"/>
      <c r="E1620" s="50" t="n"/>
      <c r="F1620" s="50" t="n"/>
      <c r="G1620" s="50" t="n"/>
      <c r="H1620" s="48" t="n"/>
      <c r="I1620" s="51" t="n"/>
      <c r="J1620" s="52" t="n"/>
      <c r="K1620" s="47" t="n"/>
      <c r="L1620" s="47" t="n"/>
      <c r="M1620" s="24">
        <f>IF(OR($A1620="",$C1620=""),"",IF($L1620&lt;&gt;"",$L1620-$C1620,TODAY()-$C1620))</f>
        <v/>
      </c>
      <c r="N1620" s="28">
        <f>IF(OR($A1620="",$K1620=""),"",IF($L1620="",IF(TODAY()&gt;$K1620,"Atrasado","En ruta"),IF($L1620&lt;=$K1620,"Sí","No")))</f>
        <v/>
      </c>
      <c r="O1620" s="24">
        <f>IF($A1620="","",COUNTIFS(NOVEDADES!$D$4:$D$1503,$A1620))</f>
        <v/>
      </c>
      <c r="P1620" s="28">
        <f>IF($A1620="","",IF(COUNTIFS(NOVEDADES!$D$4:$D$1503,$A1620,NOVEDADES!$O$4:$O$1503,"SÍ")&gt;0,"No","Sí"))</f>
        <v/>
      </c>
      <c r="Q1620" s="28">
        <f>IF(OR($A1620="",$L1620=""),"",IF(AND($N1620="Sí",$P1620="Sí"),"OTIF","Falló"))</f>
        <v/>
      </c>
    </row>
    <row r="1621" ht="16" customHeight="1">
      <c r="A1621" s="48" t="n"/>
      <c r="B1621" s="48" t="n"/>
      <c r="C1621" s="47" t="n"/>
      <c r="D1621" s="50" t="n"/>
      <c r="E1621" s="50" t="n"/>
      <c r="F1621" s="50" t="n"/>
      <c r="G1621" s="50" t="n"/>
      <c r="H1621" s="48" t="n"/>
      <c r="I1621" s="51" t="n"/>
      <c r="J1621" s="52" t="n"/>
      <c r="K1621" s="47" t="n"/>
      <c r="L1621" s="47" t="n"/>
      <c r="M1621" s="24">
        <f>IF(OR($A1621="",$C1621=""),"",IF($L1621&lt;&gt;"",$L1621-$C1621,TODAY()-$C1621))</f>
        <v/>
      </c>
      <c r="N1621" s="28">
        <f>IF(OR($A1621="",$K1621=""),"",IF($L1621="",IF(TODAY()&gt;$K1621,"Atrasado","En ruta"),IF($L1621&lt;=$K1621,"Sí","No")))</f>
        <v/>
      </c>
      <c r="O1621" s="24">
        <f>IF($A1621="","",COUNTIFS(NOVEDADES!$D$4:$D$1503,$A1621))</f>
        <v/>
      </c>
      <c r="P1621" s="28">
        <f>IF($A1621="","",IF(COUNTIFS(NOVEDADES!$D$4:$D$1503,$A1621,NOVEDADES!$O$4:$O$1503,"SÍ")&gt;0,"No","Sí"))</f>
        <v/>
      </c>
      <c r="Q1621" s="28">
        <f>IF(OR($A1621="",$L1621=""),"",IF(AND($N1621="Sí",$P1621="Sí"),"OTIF","Falló"))</f>
        <v/>
      </c>
    </row>
    <row r="1622" ht="16" customHeight="1">
      <c r="A1622" s="48" t="n"/>
      <c r="B1622" s="48" t="n"/>
      <c r="C1622" s="47" t="n"/>
      <c r="D1622" s="50" t="n"/>
      <c r="E1622" s="50" t="n"/>
      <c r="F1622" s="50" t="n"/>
      <c r="G1622" s="50" t="n"/>
      <c r="H1622" s="48" t="n"/>
      <c r="I1622" s="51" t="n"/>
      <c r="J1622" s="52" t="n"/>
      <c r="K1622" s="47" t="n"/>
      <c r="L1622" s="47" t="n"/>
      <c r="M1622" s="24">
        <f>IF(OR($A1622="",$C1622=""),"",IF($L1622&lt;&gt;"",$L1622-$C1622,TODAY()-$C1622))</f>
        <v/>
      </c>
      <c r="N1622" s="28">
        <f>IF(OR($A1622="",$K1622=""),"",IF($L1622="",IF(TODAY()&gt;$K1622,"Atrasado","En ruta"),IF($L1622&lt;=$K1622,"Sí","No")))</f>
        <v/>
      </c>
      <c r="O1622" s="24">
        <f>IF($A1622="","",COUNTIFS(NOVEDADES!$D$4:$D$1503,$A1622))</f>
        <v/>
      </c>
      <c r="P1622" s="28">
        <f>IF($A1622="","",IF(COUNTIFS(NOVEDADES!$D$4:$D$1503,$A1622,NOVEDADES!$O$4:$O$1503,"SÍ")&gt;0,"No","Sí"))</f>
        <v/>
      </c>
      <c r="Q1622" s="28">
        <f>IF(OR($A1622="",$L1622=""),"",IF(AND($N1622="Sí",$P1622="Sí"),"OTIF","Falló"))</f>
        <v/>
      </c>
    </row>
    <row r="1623" ht="16" customHeight="1">
      <c r="A1623" s="48" t="n"/>
      <c r="B1623" s="48" t="n"/>
      <c r="C1623" s="47" t="n"/>
      <c r="D1623" s="50" t="n"/>
      <c r="E1623" s="50" t="n"/>
      <c r="F1623" s="50" t="n"/>
      <c r="G1623" s="50" t="n"/>
      <c r="H1623" s="48" t="n"/>
      <c r="I1623" s="51" t="n"/>
      <c r="J1623" s="52" t="n"/>
      <c r="K1623" s="47" t="n"/>
      <c r="L1623" s="47" t="n"/>
      <c r="M1623" s="24">
        <f>IF(OR($A1623="",$C1623=""),"",IF($L1623&lt;&gt;"",$L1623-$C1623,TODAY()-$C1623))</f>
        <v/>
      </c>
      <c r="N1623" s="28">
        <f>IF(OR($A1623="",$K1623=""),"",IF($L1623="",IF(TODAY()&gt;$K1623,"Atrasado","En ruta"),IF($L1623&lt;=$K1623,"Sí","No")))</f>
        <v/>
      </c>
      <c r="O1623" s="24">
        <f>IF($A1623="","",COUNTIFS(NOVEDADES!$D$4:$D$1503,$A1623))</f>
        <v/>
      </c>
      <c r="P1623" s="28">
        <f>IF($A1623="","",IF(COUNTIFS(NOVEDADES!$D$4:$D$1503,$A1623,NOVEDADES!$O$4:$O$1503,"SÍ")&gt;0,"No","Sí"))</f>
        <v/>
      </c>
      <c r="Q1623" s="28">
        <f>IF(OR($A1623="",$L1623=""),"",IF(AND($N1623="Sí",$P1623="Sí"),"OTIF","Falló"))</f>
        <v/>
      </c>
    </row>
    <row r="1624" ht="16" customHeight="1">
      <c r="A1624" s="48" t="n"/>
      <c r="B1624" s="48" t="n"/>
      <c r="C1624" s="47" t="n"/>
      <c r="D1624" s="50" t="n"/>
      <c r="E1624" s="50" t="n"/>
      <c r="F1624" s="50" t="n"/>
      <c r="G1624" s="50" t="n"/>
      <c r="H1624" s="48" t="n"/>
      <c r="I1624" s="51" t="n"/>
      <c r="J1624" s="52" t="n"/>
      <c r="K1624" s="47" t="n"/>
      <c r="L1624" s="47" t="n"/>
      <c r="M1624" s="24">
        <f>IF(OR($A1624="",$C1624=""),"",IF($L1624&lt;&gt;"",$L1624-$C1624,TODAY()-$C1624))</f>
        <v/>
      </c>
      <c r="N1624" s="28">
        <f>IF(OR($A1624="",$K1624=""),"",IF($L1624="",IF(TODAY()&gt;$K1624,"Atrasado","En ruta"),IF($L1624&lt;=$K1624,"Sí","No")))</f>
        <v/>
      </c>
      <c r="O1624" s="24">
        <f>IF($A1624="","",COUNTIFS(NOVEDADES!$D$4:$D$1503,$A1624))</f>
        <v/>
      </c>
      <c r="P1624" s="28">
        <f>IF($A1624="","",IF(COUNTIFS(NOVEDADES!$D$4:$D$1503,$A1624,NOVEDADES!$O$4:$O$1503,"SÍ")&gt;0,"No","Sí"))</f>
        <v/>
      </c>
      <c r="Q1624" s="28">
        <f>IF(OR($A1624="",$L1624=""),"",IF(AND($N1624="Sí",$P1624="Sí"),"OTIF","Falló"))</f>
        <v/>
      </c>
    </row>
    <row r="1625" ht="16" customHeight="1">
      <c r="A1625" s="48" t="n"/>
      <c r="B1625" s="48" t="n"/>
      <c r="C1625" s="47" t="n"/>
      <c r="D1625" s="50" t="n"/>
      <c r="E1625" s="50" t="n"/>
      <c r="F1625" s="50" t="n"/>
      <c r="G1625" s="50" t="n"/>
      <c r="H1625" s="48" t="n"/>
      <c r="I1625" s="51" t="n"/>
      <c r="J1625" s="52" t="n"/>
      <c r="K1625" s="47" t="n"/>
      <c r="L1625" s="47" t="n"/>
      <c r="M1625" s="24">
        <f>IF(OR($A1625="",$C1625=""),"",IF($L1625&lt;&gt;"",$L1625-$C1625,TODAY()-$C1625))</f>
        <v/>
      </c>
      <c r="N1625" s="28">
        <f>IF(OR($A1625="",$K1625=""),"",IF($L1625="",IF(TODAY()&gt;$K1625,"Atrasado","En ruta"),IF($L1625&lt;=$K1625,"Sí","No")))</f>
        <v/>
      </c>
      <c r="O1625" s="24">
        <f>IF($A1625="","",COUNTIFS(NOVEDADES!$D$4:$D$1503,$A1625))</f>
        <v/>
      </c>
      <c r="P1625" s="28">
        <f>IF($A1625="","",IF(COUNTIFS(NOVEDADES!$D$4:$D$1503,$A1625,NOVEDADES!$O$4:$O$1503,"SÍ")&gt;0,"No","Sí"))</f>
        <v/>
      </c>
      <c r="Q1625" s="28">
        <f>IF(OR($A1625="",$L1625=""),"",IF(AND($N1625="Sí",$P1625="Sí"),"OTIF","Falló"))</f>
        <v/>
      </c>
    </row>
    <row r="1626" ht="16" customHeight="1">
      <c r="A1626" s="48" t="n"/>
      <c r="B1626" s="48" t="n"/>
      <c r="C1626" s="47" t="n"/>
      <c r="D1626" s="50" t="n"/>
      <c r="E1626" s="50" t="n"/>
      <c r="F1626" s="50" t="n"/>
      <c r="G1626" s="50" t="n"/>
      <c r="H1626" s="48" t="n"/>
      <c r="I1626" s="51" t="n"/>
      <c r="J1626" s="52" t="n"/>
      <c r="K1626" s="47" t="n"/>
      <c r="L1626" s="47" t="n"/>
      <c r="M1626" s="24">
        <f>IF(OR($A1626="",$C1626=""),"",IF($L1626&lt;&gt;"",$L1626-$C1626,TODAY()-$C1626))</f>
        <v/>
      </c>
      <c r="N1626" s="28">
        <f>IF(OR($A1626="",$K1626=""),"",IF($L1626="",IF(TODAY()&gt;$K1626,"Atrasado","En ruta"),IF($L1626&lt;=$K1626,"Sí","No")))</f>
        <v/>
      </c>
      <c r="O1626" s="24">
        <f>IF($A1626="","",COUNTIFS(NOVEDADES!$D$4:$D$1503,$A1626))</f>
        <v/>
      </c>
      <c r="P1626" s="28">
        <f>IF($A1626="","",IF(COUNTIFS(NOVEDADES!$D$4:$D$1503,$A1626,NOVEDADES!$O$4:$O$1503,"SÍ")&gt;0,"No","Sí"))</f>
        <v/>
      </c>
      <c r="Q1626" s="28">
        <f>IF(OR($A1626="",$L1626=""),"",IF(AND($N1626="Sí",$P1626="Sí"),"OTIF","Falló"))</f>
        <v/>
      </c>
    </row>
    <row r="1627" ht="16" customHeight="1">
      <c r="A1627" s="48" t="n"/>
      <c r="B1627" s="48" t="n"/>
      <c r="C1627" s="47" t="n"/>
      <c r="D1627" s="50" t="n"/>
      <c r="E1627" s="50" t="n"/>
      <c r="F1627" s="50" t="n"/>
      <c r="G1627" s="50" t="n"/>
      <c r="H1627" s="48" t="n"/>
      <c r="I1627" s="51" t="n"/>
      <c r="J1627" s="52" t="n"/>
      <c r="K1627" s="47" t="n"/>
      <c r="L1627" s="47" t="n"/>
      <c r="M1627" s="24">
        <f>IF(OR($A1627="",$C1627=""),"",IF($L1627&lt;&gt;"",$L1627-$C1627,TODAY()-$C1627))</f>
        <v/>
      </c>
      <c r="N1627" s="28">
        <f>IF(OR($A1627="",$K1627=""),"",IF($L1627="",IF(TODAY()&gt;$K1627,"Atrasado","En ruta"),IF($L1627&lt;=$K1627,"Sí","No")))</f>
        <v/>
      </c>
      <c r="O1627" s="24">
        <f>IF($A1627="","",COUNTIFS(NOVEDADES!$D$4:$D$1503,$A1627))</f>
        <v/>
      </c>
      <c r="P1627" s="28">
        <f>IF($A1627="","",IF(COUNTIFS(NOVEDADES!$D$4:$D$1503,$A1627,NOVEDADES!$O$4:$O$1503,"SÍ")&gt;0,"No","Sí"))</f>
        <v/>
      </c>
      <c r="Q1627" s="28">
        <f>IF(OR($A1627="",$L1627=""),"",IF(AND($N1627="Sí",$P1627="Sí"),"OTIF","Falló"))</f>
        <v/>
      </c>
    </row>
    <row r="1628" ht="16" customHeight="1">
      <c r="A1628" s="48" t="n"/>
      <c r="B1628" s="48" t="n"/>
      <c r="C1628" s="47" t="n"/>
      <c r="D1628" s="50" t="n"/>
      <c r="E1628" s="50" t="n"/>
      <c r="F1628" s="50" t="n"/>
      <c r="G1628" s="50" t="n"/>
      <c r="H1628" s="48" t="n"/>
      <c r="I1628" s="51" t="n"/>
      <c r="J1628" s="52" t="n"/>
      <c r="K1628" s="47" t="n"/>
      <c r="L1628" s="47" t="n"/>
      <c r="M1628" s="24">
        <f>IF(OR($A1628="",$C1628=""),"",IF($L1628&lt;&gt;"",$L1628-$C1628,TODAY()-$C1628))</f>
        <v/>
      </c>
      <c r="N1628" s="28">
        <f>IF(OR($A1628="",$K1628=""),"",IF($L1628="",IF(TODAY()&gt;$K1628,"Atrasado","En ruta"),IF($L1628&lt;=$K1628,"Sí","No")))</f>
        <v/>
      </c>
      <c r="O1628" s="24">
        <f>IF($A1628="","",COUNTIFS(NOVEDADES!$D$4:$D$1503,$A1628))</f>
        <v/>
      </c>
      <c r="P1628" s="28">
        <f>IF($A1628="","",IF(COUNTIFS(NOVEDADES!$D$4:$D$1503,$A1628,NOVEDADES!$O$4:$O$1503,"SÍ")&gt;0,"No","Sí"))</f>
        <v/>
      </c>
      <c r="Q1628" s="28">
        <f>IF(OR($A1628="",$L1628=""),"",IF(AND($N1628="Sí",$P1628="Sí"),"OTIF","Falló"))</f>
        <v/>
      </c>
    </row>
    <row r="1629" ht="16" customHeight="1">
      <c r="A1629" s="48" t="n"/>
      <c r="B1629" s="48" t="n"/>
      <c r="C1629" s="47" t="n"/>
      <c r="D1629" s="50" t="n"/>
      <c r="E1629" s="50" t="n"/>
      <c r="F1629" s="50" t="n"/>
      <c r="G1629" s="50" t="n"/>
      <c r="H1629" s="48" t="n"/>
      <c r="I1629" s="51" t="n"/>
      <c r="J1629" s="52" t="n"/>
      <c r="K1629" s="47" t="n"/>
      <c r="L1629" s="47" t="n"/>
      <c r="M1629" s="24">
        <f>IF(OR($A1629="",$C1629=""),"",IF($L1629&lt;&gt;"",$L1629-$C1629,TODAY()-$C1629))</f>
        <v/>
      </c>
      <c r="N1629" s="28">
        <f>IF(OR($A1629="",$K1629=""),"",IF($L1629="",IF(TODAY()&gt;$K1629,"Atrasado","En ruta"),IF($L1629&lt;=$K1629,"Sí","No")))</f>
        <v/>
      </c>
      <c r="O1629" s="24">
        <f>IF($A1629="","",COUNTIFS(NOVEDADES!$D$4:$D$1503,$A1629))</f>
        <v/>
      </c>
      <c r="P1629" s="28">
        <f>IF($A1629="","",IF(COUNTIFS(NOVEDADES!$D$4:$D$1503,$A1629,NOVEDADES!$O$4:$O$1503,"SÍ")&gt;0,"No","Sí"))</f>
        <v/>
      </c>
      <c r="Q1629" s="28">
        <f>IF(OR($A1629="",$L1629=""),"",IF(AND($N1629="Sí",$P1629="Sí"),"OTIF","Falló"))</f>
        <v/>
      </c>
    </row>
    <row r="1630" ht="16" customHeight="1">
      <c r="A1630" s="48" t="n"/>
      <c r="B1630" s="48" t="n"/>
      <c r="C1630" s="47" t="n"/>
      <c r="D1630" s="50" t="n"/>
      <c r="E1630" s="50" t="n"/>
      <c r="F1630" s="50" t="n"/>
      <c r="G1630" s="50" t="n"/>
      <c r="H1630" s="48" t="n"/>
      <c r="I1630" s="51" t="n"/>
      <c r="J1630" s="52" t="n"/>
      <c r="K1630" s="47" t="n"/>
      <c r="L1630" s="47" t="n"/>
      <c r="M1630" s="24">
        <f>IF(OR($A1630="",$C1630=""),"",IF($L1630&lt;&gt;"",$L1630-$C1630,TODAY()-$C1630))</f>
        <v/>
      </c>
      <c r="N1630" s="28">
        <f>IF(OR($A1630="",$K1630=""),"",IF($L1630="",IF(TODAY()&gt;$K1630,"Atrasado","En ruta"),IF($L1630&lt;=$K1630,"Sí","No")))</f>
        <v/>
      </c>
      <c r="O1630" s="24">
        <f>IF($A1630="","",COUNTIFS(NOVEDADES!$D$4:$D$1503,$A1630))</f>
        <v/>
      </c>
      <c r="P1630" s="28">
        <f>IF($A1630="","",IF(COUNTIFS(NOVEDADES!$D$4:$D$1503,$A1630,NOVEDADES!$O$4:$O$1503,"SÍ")&gt;0,"No","Sí"))</f>
        <v/>
      </c>
      <c r="Q1630" s="28">
        <f>IF(OR($A1630="",$L1630=""),"",IF(AND($N1630="Sí",$P1630="Sí"),"OTIF","Falló"))</f>
        <v/>
      </c>
    </row>
    <row r="1631" ht="16" customHeight="1">
      <c r="A1631" s="48" t="n"/>
      <c r="B1631" s="48" t="n"/>
      <c r="C1631" s="47" t="n"/>
      <c r="D1631" s="50" t="n"/>
      <c r="E1631" s="50" t="n"/>
      <c r="F1631" s="50" t="n"/>
      <c r="G1631" s="50" t="n"/>
      <c r="H1631" s="48" t="n"/>
      <c r="I1631" s="51" t="n"/>
      <c r="J1631" s="52" t="n"/>
      <c r="K1631" s="47" t="n"/>
      <c r="L1631" s="47" t="n"/>
      <c r="M1631" s="24">
        <f>IF(OR($A1631="",$C1631=""),"",IF($L1631&lt;&gt;"",$L1631-$C1631,TODAY()-$C1631))</f>
        <v/>
      </c>
      <c r="N1631" s="28">
        <f>IF(OR($A1631="",$K1631=""),"",IF($L1631="",IF(TODAY()&gt;$K1631,"Atrasado","En ruta"),IF($L1631&lt;=$K1631,"Sí","No")))</f>
        <v/>
      </c>
      <c r="O1631" s="24">
        <f>IF($A1631="","",COUNTIFS(NOVEDADES!$D$4:$D$1503,$A1631))</f>
        <v/>
      </c>
      <c r="P1631" s="28">
        <f>IF($A1631="","",IF(COUNTIFS(NOVEDADES!$D$4:$D$1503,$A1631,NOVEDADES!$O$4:$O$1503,"SÍ")&gt;0,"No","Sí"))</f>
        <v/>
      </c>
      <c r="Q1631" s="28">
        <f>IF(OR($A1631="",$L1631=""),"",IF(AND($N1631="Sí",$P1631="Sí"),"OTIF","Falló"))</f>
        <v/>
      </c>
    </row>
    <row r="1632" ht="16" customHeight="1">
      <c r="A1632" s="48" t="n"/>
      <c r="B1632" s="48" t="n"/>
      <c r="C1632" s="47" t="n"/>
      <c r="D1632" s="50" t="n"/>
      <c r="E1632" s="50" t="n"/>
      <c r="F1632" s="50" t="n"/>
      <c r="G1632" s="50" t="n"/>
      <c r="H1632" s="48" t="n"/>
      <c r="I1632" s="51" t="n"/>
      <c r="J1632" s="52" t="n"/>
      <c r="K1632" s="47" t="n"/>
      <c r="L1632" s="47" t="n"/>
      <c r="M1632" s="24">
        <f>IF(OR($A1632="",$C1632=""),"",IF($L1632&lt;&gt;"",$L1632-$C1632,TODAY()-$C1632))</f>
        <v/>
      </c>
      <c r="N1632" s="28">
        <f>IF(OR($A1632="",$K1632=""),"",IF($L1632="",IF(TODAY()&gt;$K1632,"Atrasado","En ruta"),IF($L1632&lt;=$K1632,"Sí","No")))</f>
        <v/>
      </c>
      <c r="O1632" s="24">
        <f>IF($A1632="","",COUNTIFS(NOVEDADES!$D$4:$D$1503,$A1632))</f>
        <v/>
      </c>
      <c r="P1632" s="28">
        <f>IF($A1632="","",IF(COUNTIFS(NOVEDADES!$D$4:$D$1503,$A1632,NOVEDADES!$O$4:$O$1503,"SÍ")&gt;0,"No","Sí"))</f>
        <v/>
      </c>
      <c r="Q1632" s="28">
        <f>IF(OR($A1632="",$L1632=""),"",IF(AND($N1632="Sí",$P1632="Sí"),"OTIF","Falló"))</f>
        <v/>
      </c>
    </row>
    <row r="1633" ht="16" customHeight="1">
      <c r="A1633" s="48" t="n"/>
      <c r="B1633" s="48" t="n"/>
      <c r="C1633" s="47" t="n"/>
      <c r="D1633" s="50" t="n"/>
      <c r="E1633" s="50" t="n"/>
      <c r="F1633" s="50" t="n"/>
      <c r="G1633" s="50" t="n"/>
      <c r="H1633" s="48" t="n"/>
      <c r="I1633" s="51" t="n"/>
      <c r="J1633" s="52" t="n"/>
      <c r="K1633" s="47" t="n"/>
      <c r="L1633" s="47" t="n"/>
      <c r="M1633" s="24">
        <f>IF(OR($A1633="",$C1633=""),"",IF($L1633&lt;&gt;"",$L1633-$C1633,TODAY()-$C1633))</f>
        <v/>
      </c>
      <c r="N1633" s="28">
        <f>IF(OR($A1633="",$K1633=""),"",IF($L1633="",IF(TODAY()&gt;$K1633,"Atrasado","En ruta"),IF($L1633&lt;=$K1633,"Sí","No")))</f>
        <v/>
      </c>
      <c r="O1633" s="24">
        <f>IF($A1633="","",COUNTIFS(NOVEDADES!$D$4:$D$1503,$A1633))</f>
        <v/>
      </c>
      <c r="P1633" s="28">
        <f>IF($A1633="","",IF(COUNTIFS(NOVEDADES!$D$4:$D$1503,$A1633,NOVEDADES!$O$4:$O$1503,"SÍ")&gt;0,"No","Sí"))</f>
        <v/>
      </c>
      <c r="Q1633" s="28">
        <f>IF(OR($A1633="",$L1633=""),"",IF(AND($N1633="Sí",$P1633="Sí"),"OTIF","Falló"))</f>
        <v/>
      </c>
    </row>
    <row r="1634" ht="16" customHeight="1">
      <c r="A1634" s="48" t="n"/>
      <c r="B1634" s="48" t="n"/>
      <c r="C1634" s="47" t="n"/>
      <c r="D1634" s="50" t="n"/>
      <c r="E1634" s="50" t="n"/>
      <c r="F1634" s="50" t="n"/>
      <c r="G1634" s="50" t="n"/>
      <c r="H1634" s="48" t="n"/>
      <c r="I1634" s="51" t="n"/>
      <c r="J1634" s="52" t="n"/>
      <c r="K1634" s="47" t="n"/>
      <c r="L1634" s="47" t="n"/>
      <c r="M1634" s="24">
        <f>IF(OR($A1634="",$C1634=""),"",IF($L1634&lt;&gt;"",$L1634-$C1634,TODAY()-$C1634))</f>
        <v/>
      </c>
      <c r="N1634" s="28">
        <f>IF(OR($A1634="",$K1634=""),"",IF($L1634="",IF(TODAY()&gt;$K1634,"Atrasado","En ruta"),IF($L1634&lt;=$K1634,"Sí","No")))</f>
        <v/>
      </c>
      <c r="O1634" s="24">
        <f>IF($A1634="","",COUNTIFS(NOVEDADES!$D$4:$D$1503,$A1634))</f>
        <v/>
      </c>
      <c r="P1634" s="28">
        <f>IF($A1634="","",IF(COUNTIFS(NOVEDADES!$D$4:$D$1503,$A1634,NOVEDADES!$O$4:$O$1503,"SÍ")&gt;0,"No","Sí"))</f>
        <v/>
      </c>
      <c r="Q1634" s="28">
        <f>IF(OR($A1634="",$L1634=""),"",IF(AND($N1634="Sí",$P1634="Sí"),"OTIF","Falló"))</f>
        <v/>
      </c>
    </row>
    <row r="1635" ht="16" customHeight="1">
      <c r="A1635" s="48" t="n"/>
      <c r="B1635" s="48" t="n"/>
      <c r="C1635" s="47" t="n"/>
      <c r="D1635" s="50" t="n"/>
      <c r="E1635" s="50" t="n"/>
      <c r="F1635" s="50" t="n"/>
      <c r="G1635" s="50" t="n"/>
      <c r="H1635" s="48" t="n"/>
      <c r="I1635" s="51" t="n"/>
      <c r="J1635" s="52" t="n"/>
      <c r="K1635" s="47" t="n"/>
      <c r="L1635" s="47" t="n"/>
      <c r="M1635" s="24">
        <f>IF(OR($A1635="",$C1635=""),"",IF($L1635&lt;&gt;"",$L1635-$C1635,TODAY()-$C1635))</f>
        <v/>
      </c>
      <c r="N1635" s="28">
        <f>IF(OR($A1635="",$K1635=""),"",IF($L1635="",IF(TODAY()&gt;$K1635,"Atrasado","En ruta"),IF($L1635&lt;=$K1635,"Sí","No")))</f>
        <v/>
      </c>
      <c r="O1635" s="24">
        <f>IF($A1635="","",COUNTIFS(NOVEDADES!$D$4:$D$1503,$A1635))</f>
        <v/>
      </c>
      <c r="P1635" s="28">
        <f>IF($A1635="","",IF(COUNTIFS(NOVEDADES!$D$4:$D$1503,$A1635,NOVEDADES!$O$4:$O$1503,"SÍ")&gt;0,"No","Sí"))</f>
        <v/>
      </c>
      <c r="Q1635" s="28">
        <f>IF(OR($A1635="",$L1635=""),"",IF(AND($N1635="Sí",$P1635="Sí"),"OTIF","Falló"))</f>
        <v/>
      </c>
    </row>
    <row r="1636" ht="16" customHeight="1">
      <c r="A1636" s="48" t="n"/>
      <c r="B1636" s="48" t="n"/>
      <c r="C1636" s="47" t="n"/>
      <c r="D1636" s="50" t="n"/>
      <c r="E1636" s="50" t="n"/>
      <c r="F1636" s="50" t="n"/>
      <c r="G1636" s="50" t="n"/>
      <c r="H1636" s="48" t="n"/>
      <c r="I1636" s="51" t="n"/>
      <c r="J1636" s="52" t="n"/>
      <c r="K1636" s="47" t="n"/>
      <c r="L1636" s="47" t="n"/>
      <c r="M1636" s="24">
        <f>IF(OR($A1636="",$C1636=""),"",IF($L1636&lt;&gt;"",$L1636-$C1636,TODAY()-$C1636))</f>
        <v/>
      </c>
      <c r="N1636" s="28">
        <f>IF(OR($A1636="",$K1636=""),"",IF($L1636="",IF(TODAY()&gt;$K1636,"Atrasado","En ruta"),IF($L1636&lt;=$K1636,"Sí","No")))</f>
        <v/>
      </c>
      <c r="O1636" s="24">
        <f>IF($A1636="","",COUNTIFS(NOVEDADES!$D$4:$D$1503,$A1636))</f>
        <v/>
      </c>
      <c r="P1636" s="28">
        <f>IF($A1636="","",IF(COUNTIFS(NOVEDADES!$D$4:$D$1503,$A1636,NOVEDADES!$O$4:$O$1503,"SÍ")&gt;0,"No","Sí"))</f>
        <v/>
      </c>
      <c r="Q1636" s="28">
        <f>IF(OR($A1636="",$L1636=""),"",IF(AND($N1636="Sí",$P1636="Sí"),"OTIF","Falló"))</f>
        <v/>
      </c>
    </row>
    <row r="1637" ht="16" customHeight="1">
      <c r="A1637" s="48" t="n"/>
      <c r="B1637" s="48" t="n"/>
      <c r="C1637" s="47" t="n"/>
      <c r="D1637" s="50" t="n"/>
      <c r="E1637" s="50" t="n"/>
      <c r="F1637" s="50" t="n"/>
      <c r="G1637" s="50" t="n"/>
      <c r="H1637" s="48" t="n"/>
      <c r="I1637" s="51" t="n"/>
      <c r="J1637" s="52" t="n"/>
      <c r="K1637" s="47" t="n"/>
      <c r="L1637" s="47" t="n"/>
      <c r="M1637" s="24">
        <f>IF(OR($A1637="",$C1637=""),"",IF($L1637&lt;&gt;"",$L1637-$C1637,TODAY()-$C1637))</f>
        <v/>
      </c>
      <c r="N1637" s="28">
        <f>IF(OR($A1637="",$K1637=""),"",IF($L1637="",IF(TODAY()&gt;$K1637,"Atrasado","En ruta"),IF($L1637&lt;=$K1637,"Sí","No")))</f>
        <v/>
      </c>
      <c r="O1637" s="24">
        <f>IF($A1637="","",COUNTIFS(NOVEDADES!$D$4:$D$1503,$A1637))</f>
        <v/>
      </c>
      <c r="P1637" s="28">
        <f>IF($A1637="","",IF(COUNTIFS(NOVEDADES!$D$4:$D$1503,$A1637,NOVEDADES!$O$4:$O$1503,"SÍ")&gt;0,"No","Sí"))</f>
        <v/>
      </c>
      <c r="Q1637" s="28">
        <f>IF(OR($A1637="",$L1637=""),"",IF(AND($N1637="Sí",$P1637="Sí"),"OTIF","Falló"))</f>
        <v/>
      </c>
    </row>
    <row r="1638" ht="16" customHeight="1">
      <c r="A1638" s="48" t="n"/>
      <c r="B1638" s="48" t="n"/>
      <c r="C1638" s="47" t="n"/>
      <c r="D1638" s="50" t="n"/>
      <c r="E1638" s="50" t="n"/>
      <c r="F1638" s="50" t="n"/>
      <c r="G1638" s="50" t="n"/>
      <c r="H1638" s="48" t="n"/>
      <c r="I1638" s="51" t="n"/>
      <c r="J1638" s="52" t="n"/>
      <c r="K1638" s="47" t="n"/>
      <c r="L1638" s="47" t="n"/>
      <c r="M1638" s="24">
        <f>IF(OR($A1638="",$C1638=""),"",IF($L1638&lt;&gt;"",$L1638-$C1638,TODAY()-$C1638))</f>
        <v/>
      </c>
      <c r="N1638" s="28">
        <f>IF(OR($A1638="",$K1638=""),"",IF($L1638="",IF(TODAY()&gt;$K1638,"Atrasado","En ruta"),IF($L1638&lt;=$K1638,"Sí","No")))</f>
        <v/>
      </c>
      <c r="O1638" s="24">
        <f>IF($A1638="","",COUNTIFS(NOVEDADES!$D$4:$D$1503,$A1638))</f>
        <v/>
      </c>
      <c r="P1638" s="28">
        <f>IF($A1638="","",IF(COUNTIFS(NOVEDADES!$D$4:$D$1503,$A1638,NOVEDADES!$O$4:$O$1503,"SÍ")&gt;0,"No","Sí"))</f>
        <v/>
      </c>
      <c r="Q1638" s="28">
        <f>IF(OR($A1638="",$L1638=""),"",IF(AND($N1638="Sí",$P1638="Sí"),"OTIF","Falló"))</f>
        <v/>
      </c>
    </row>
    <row r="1639" ht="16" customHeight="1">
      <c r="A1639" s="48" t="n"/>
      <c r="B1639" s="48" t="n"/>
      <c r="C1639" s="47" t="n"/>
      <c r="D1639" s="50" t="n"/>
      <c r="E1639" s="50" t="n"/>
      <c r="F1639" s="50" t="n"/>
      <c r="G1639" s="50" t="n"/>
      <c r="H1639" s="48" t="n"/>
      <c r="I1639" s="51" t="n"/>
      <c r="J1639" s="52" t="n"/>
      <c r="K1639" s="47" t="n"/>
      <c r="L1639" s="47" t="n"/>
      <c r="M1639" s="24">
        <f>IF(OR($A1639="",$C1639=""),"",IF($L1639&lt;&gt;"",$L1639-$C1639,TODAY()-$C1639))</f>
        <v/>
      </c>
      <c r="N1639" s="28">
        <f>IF(OR($A1639="",$K1639=""),"",IF($L1639="",IF(TODAY()&gt;$K1639,"Atrasado","En ruta"),IF($L1639&lt;=$K1639,"Sí","No")))</f>
        <v/>
      </c>
      <c r="O1639" s="24">
        <f>IF($A1639="","",COUNTIFS(NOVEDADES!$D$4:$D$1503,$A1639))</f>
        <v/>
      </c>
      <c r="P1639" s="28">
        <f>IF($A1639="","",IF(COUNTIFS(NOVEDADES!$D$4:$D$1503,$A1639,NOVEDADES!$O$4:$O$1503,"SÍ")&gt;0,"No","Sí"))</f>
        <v/>
      </c>
      <c r="Q1639" s="28">
        <f>IF(OR($A1639="",$L1639=""),"",IF(AND($N1639="Sí",$P1639="Sí"),"OTIF","Falló"))</f>
        <v/>
      </c>
    </row>
    <row r="1640" ht="16" customHeight="1">
      <c r="A1640" s="48" t="n"/>
      <c r="B1640" s="48" t="n"/>
      <c r="C1640" s="47" t="n"/>
      <c r="D1640" s="50" t="n"/>
      <c r="E1640" s="50" t="n"/>
      <c r="F1640" s="50" t="n"/>
      <c r="G1640" s="50" t="n"/>
      <c r="H1640" s="48" t="n"/>
      <c r="I1640" s="51" t="n"/>
      <c r="J1640" s="52" t="n"/>
      <c r="K1640" s="47" t="n"/>
      <c r="L1640" s="47" t="n"/>
      <c r="M1640" s="24">
        <f>IF(OR($A1640="",$C1640=""),"",IF($L1640&lt;&gt;"",$L1640-$C1640,TODAY()-$C1640))</f>
        <v/>
      </c>
      <c r="N1640" s="28">
        <f>IF(OR($A1640="",$K1640=""),"",IF($L1640="",IF(TODAY()&gt;$K1640,"Atrasado","En ruta"),IF($L1640&lt;=$K1640,"Sí","No")))</f>
        <v/>
      </c>
      <c r="O1640" s="24">
        <f>IF($A1640="","",COUNTIFS(NOVEDADES!$D$4:$D$1503,$A1640))</f>
        <v/>
      </c>
      <c r="P1640" s="28">
        <f>IF($A1640="","",IF(COUNTIFS(NOVEDADES!$D$4:$D$1503,$A1640,NOVEDADES!$O$4:$O$1503,"SÍ")&gt;0,"No","Sí"))</f>
        <v/>
      </c>
      <c r="Q1640" s="28">
        <f>IF(OR($A1640="",$L1640=""),"",IF(AND($N1640="Sí",$P1640="Sí"),"OTIF","Falló"))</f>
        <v/>
      </c>
    </row>
    <row r="1641" ht="16" customHeight="1">
      <c r="A1641" s="48" t="n"/>
      <c r="B1641" s="48" t="n"/>
      <c r="C1641" s="47" t="n"/>
      <c r="D1641" s="50" t="n"/>
      <c r="E1641" s="50" t="n"/>
      <c r="F1641" s="50" t="n"/>
      <c r="G1641" s="50" t="n"/>
      <c r="H1641" s="48" t="n"/>
      <c r="I1641" s="51" t="n"/>
      <c r="J1641" s="52" t="n"/>
      <c r="K1641" s="47" t="n"/>
      <c r="L1641" s="47" t="n"/>
      <c r="M1641" s="24">
        <f>IF(OR($A1641="",$C1641=""),"",IF($L1641&lt;&gt;"",$L1641-$C1641,TODAY()-$C1641))</f>
        <v/>
      </c>
      <c r="N1641" s="28">
        <f>IF(OR($A1641="",$K1641=""),"",IF($L1641="",IF(TODAY()&gt;$K1641,"Atrasado","En ruta"),IF($L1641&lt;=$K1641,"Sí","No")))</f>
        <v/>
      </c>
      <c r="O1641" s="24">
        <f>IF($A1641="","",COUNTIFS(NOVEDADES!$D$4:$D$1503,$A1641))</f>
        <v/>
      </c>
      <c r="P1641" s="28">
        <f>IF($A1641="","",IF(COUNTIFS(NOVEDADES!$D$4:$D$1503,$A1641,NOVEDADES!$O$4:$O$1503,"SÍ")&gt;0,"No","Sí"))</f>
        <v/>
      </c>
      <c r="Q1641" s="28">
        <f>IF(OR($A1641="",$L1641=""),"",IF(AND($N1641="Sí",$P1641="Sí"),"OTIF","Falló"))</f>
        <v/>
      </c>
    </row>
    <row r="1642" ht="16" customHeight="1">
      <c r="A1642" s="48" t="n"/>
      <c r="B1642" s="48" t="n"/>
      <c r="C1642" s="47" t="n"/>
      <c r="D1642" s="50" t="n"/>
      <c r="E1642" s="50" t="n"/>
      <c r="F1642" s="50" t="n"/>
      <c r="G1642" s="50" t="n"/>
      <c r="H1642" s="48" t="n"/>
      <c r="I1642" s="51" t="n"/>
      <c r="J1642" s="52" t="n"/>
      <c r="K1642" s="47" t="n"/>
      <c r="L1642" s="47" t="n"/>
      <c r="M1642" s="24">
        <f>IF(OR($A1642="",$C1642=""),"",IF($L1642&lt;&gt;"",$L1642-$C1642,TODAY()-$C1642))</f>
        <v/>
      </c>
      <c r="N1642" s="28">
        <f>IF(OR($A1642="",$K1642=""),"",IF($L1642="",IF(TODAY()&gt;$K1642,"Atrasado","En ruta"),IF($L1642&lt;=$K1642,"Sí","No")))</f>
        <v/>
      </c>
      <c r="O1642" s="24">
        <f>IF($A1642="","",COUNTIFS(NOVEDADES!$D$4:$D$1503,$A1642))</f>
        <v/>
      </c>
      <c r="P1642" s="28">
        <f>IF($A1642="","",IF(COUNTIFS(NOVEDADES!$D$4:$D$1503,$A1642,NOVEDADES!$O$4:$O$1503,"SÍ")&gt;0,"No","Sí"))</f>
        <v/>
      </c>
      <c r="Q1642" s="28">
        <f>IF(OR($A1642="",$L1642=""),"",IF(AND($N1642="Sí",$P1642="Sí"),"OTIF","Falló"))</f>
        <v/>
      </c>
    </row>
    <row r="1643" ht="16" customHeight="1">
      <c r="A1643" s="48" t="n"/>
      <c r="B1643" s="48" t="n"/>
      <c r="C1643" s="47" t="n"/>
      <c r="D1643" s="50" t="n"/>
      <c r="E1643" s="50" t="n"/>
      <c r="F1643" s="50" t="n"/>
      <c r="G1643" s="50" t="n"/>
      <c r="H1643" s="48" t="n"/>
      <c r="I1643" s="51" t="n"/>
      <c r="J1643" s="52" t="n"/>
      <c r="K1643" s="47" t="n"/>
      <c r="L1643" s="47" t="n"/>
      <c r="M1643" s="24">
        <f>IF(OR($A1643="",$C1643=""),"",IF($L1643&lt;&gt;"",$L1643-$C1643,TODAY()-$C1643))</f>
        <v/>
      </c>
      <c r="N1643" s="28">
        <f>IF(OR($A1643="",$K1643=""),"",IF($L1643="",IF(TODAY()&gt;$K1643,"Atrasado","En ruta"),IF($L1643&lt;=$K1643,"Sí","No")))</f>
        <v/>
      </c>
      <c r="O1643" s="24">
        <f>IF($A1643="","",COUNTIFS(NOVEDADES!$D$4:$D$1503,$A1643))</f>
        <v/>
      </c>
      <c r="P1643" s="28">
        <f>IF($A1643="","",IF(COUNTIFS(NOVEDADES!$D$4:$D$1503,$A1643,NOVEDADES!$O$4:$O$1503,"SÍ")&gt;0,"No","Sí"))</f>
        <v/>
      </c>
      <c r="Q1643" s="28">
        <f>IF(OR($A1643="",$L1643=""),"",IF(AND($N1643="Sí",$P1643="Sí"),"OTIF","Falló"))</f>
        <v/>
      </c>
    </row>
    <row r="1644" ht="16" customHeight="1">
      <c r="A1644" s="48" t="n"/>
      <c r="B1644" s="48" t="n"/>
      <c r="C1644" s="47" t="n"/>
      <c r="D1644" s="50" t="n"/>
      <c r="E1644" s="50" t="n"/>
      <c r="F1644" s="50" t="n"/>
      <c r="G1644" s="50" t="n"/>
      <c r="H1644" s="48" t="n"/>
      <c r="I1644" s="51" t="n"/>
      <c r="J1644" s="52" t="n"/>
      <c r="K1644" s="47" t="n"/>
      <c r="L1644" s="47" t="n"/>
      <c r="M1644" s="24">
        <f>IF(OR($A1644="",$C1644=""),"",IF($L1644&lt;&gt;"",$L1644-$C1644,TODAY()-$C1644))</f>
        <v/>
      </c>
      <c r="N1644" s="28">
        <f>IF(OR($A1644="",$K1644=""),"",IF($L1644="",IF(TODAY()&gt;$K1644,"Atrasado","En ruta"),IF($L1644&lt;=$K1644,"Sí","No")))</f>
        <v/>
      </c>
      <c r="O1644" s="24">
        <f>IF($A1644="","",COUNTIFS(NOVEDADES!$D$4:$D$1503,$A1644))</f>
        <v/>
      </c>
      <c r="P1644" s="28">
        <f>IF($A1644="","",IF(COUNTIFS(NOVEDADES!$D$4:$D$1503,$A1644,NOVEDADES!$O$4:$O$1503,"SÍ")&gt;0,"No","Sí"))</f>
        <v/>
      </c>
      <c r="Q1644" s="28">
        <f>IF(OR($A1644="",$L1644=""),"",IF(AND($N1644="Sí",$P1644="Sí"),"OTIF","Falló"))</f>
        <v/>
      </c>
    </row>
    <row r="1645" ht="16" customHeight="1">
      <c r="A1645" s="48" t="n"/>
      <c r="B1645" s="48" t="n"/>
      <c r="C1645" s="47" t="n"/>
      <c r="D1645" s="50" t="n"/>
      <c r="E1645" s="50" t="n"/>
      <c r="F1645" s="50" t="n"/>
      <c r="G1645" s="50" t="n"/>
      <c r="H1645" s="48" t="n"/>
      <c r="I1645" s="51" t="n"/>
      <c r="J1645" s="52" t="n"/>
      <c r="K1645" s="47" t="n"/>
      <c r="L1645" s="47" t="n"/>
      <c r="M1645" s="24">
        <f>IF(OR($A1645="",$C1645=""),"",IF($L1645&lt;&gt;"",$L1645-$C1645,TODAY()-$C1645))</f>
        <v/>
      </c>
      <c r="N1645" s="28">
        <f>IF(OR($A1645="",$K1645=""),"",IF($L1645="",IF(TODAY()&gt;$K1645,"Atrasado","En ruta"),IF($L1645&lt;=$K1645,"Sí","No")))</f>
        <v/>
      </c>
      <c r="O1645" s="24">
        <f>IF($A1645="","",COUNTIFS(NOVEDADES!$D$4:$D$1503,$A1645))</f>
        <v/>
      </c>
      <c r="P1645" s="28">
        <f>IF($A1645="","",IF(COUNTIFS(NOVEDADES!$D$4:$D$1503,$A1645,NOVEDADES!$O$4:$O$1503,"SÍ")&gt;0,"No","Sí"))</f>
        <v/>
      </c>
      <c r="Q1645" s="28">
        <f>IF(OR($A1645="",$L1645=""),"",IF(AND($N1645="Sí",$P1645="Sí"),"OTIF","Falló"))</f>
        <v/>
      </c>
    </row>
    <row r="1646" ht="16" customHeight="1">
      <c r="A1646" s="48" t="n"/>
      <c r="B1646" s="48" t="n"/>
      <c r="C1646" s="47" t="n"/>
      <c r="D1646" s="50" t="n"/>
      <c r="E1646" s="50" t="n"/>
      <c r="F1646" s="50" t="n"/>
      <c r="G1646" s="50" t="n"/>
      <c r="H1646" s="48" t="n"/>
      <c r="I1646" s="51" t="n"/>
      <c r="J1646" s="52" t="n"/>
      <c r="K1646" s="47" t="n"/>
      <c r="L1646" s="47" t="n"/>
      <c r="M1646" s="24">
        <f>IF(OR($A1646="",$C1646=""),"",IF($L1646&lt;&gt;"",$L1646-$C1646,TODAY()-$C1646))</f>
        <v/>
      </c>
      <c r="N1646" s="28">
        <f>IF(OR($A1646="",$K1646=""),"",IF($L1646="",IF(TODAY()&gt;$K1646,"Atrasado","En ruta"),IF($L1646&lt;=$K1646,"Sí","No")))</f>
        <v/>
      </c>
      <c r="O1646" s="24">
        <f>IF($A1646="","",COUNTIFS(NOVEDADES!$D$4:$D$1503,$A1646))</f>
        <v/>
      </c>
      <c r="P1646" s="28">
        <f>IF($A1646="","",IF(COUNTIFS(NOVEDADES!$D$4:$D$1503,$A1646,NOVEDADES!$O$4:$O$1503,"SÍ")&gt;0,"No","Sí"))</f>
        <v/>
      </c>
      <c r="Q1646" s="28">
        <f>IF(OR($A1646="",$L1646=""),"",IF(AND($N1646="Sí",$P1646="Sí"),"OTIF","Falló"))</f>
        <v/>
      </c>
    </row>
    <row r="1647" ht="16" customHeight="1">
      <c r="A1647" s="48" t="n"/>
      <c r="B1647" s="48" t="n"/>
      <c r="C1647" s="47" t="n"/>
      <c r="D1647" s="50" t="n"/>
      <c r="E1647" s="50" t="n"/>
      <c r="F1647" s="50" t="n"/>
      <c r="G1647" s="50" t="n"/>
      <c r="H1647" s="48" t="n"/>
      <c r="I1647" s="51" t="n"/>
      <c r="J1647" s="52" t="n"/>
      <c r="K1647" s="47" t="n"/>
      <c r="L1647" s="47" t="n"/>
      <c r="M1647" s="24">
        <f>IF(OR($A1647="",$C1647=""),"",IF($L1647&lt;&gt;"",$L1647-$C1647,TODAY()-$C1647))</f>
        <v/>
      </c>
      <c r="N1647" s="28">
        <f>IF(OR($A1647="",$K1647=""),"",IF($L1647="",IF(TODAY()&gt;$K1647,"Atrasado","En ruta"),IF($L1647&lt;=$K1647,"Sí","No")))</f>
        <v/>
      </c>
      <c r="O1647" s="24">
        <f>IF($A1647="","",COUNTIFS(NOVEDADES!$D$4:$D$1503,$A1647))</f>
        <v/>
      </c>
      <c r="P1647" s="28">
        <f>IF($A1647="","",IF(COUNTIFS(NOVEDADES!$D$4:$D$1503,$A1647,NOVEDADES!$O$4:$O$1503,"SÍ")&gt;0,"No","Sí"))</f>
        <v/>
      </c>
      <c r="Q1647" s="28">
        <f>IF(OR($A1647="",$L1647=""),"",IF(AND($N1647="Sí",$P1647="Sí"),"OTIF","Falló"))</f>
        <v/>
      </c>
    </row>
    <row r="1648" ht="16" customHeight="1">
      <c r="A1648" s="48" t="n"/>
      <c r="B1648" s="48" t="n"/>
      <c r="C1648" s="47" t="n"/>
      <c r="D1648" s="50" t="n"/>
      <c r="E1648" s="50" t="n"/>
      <c r="F1648" s="50" t="n"/>
      <c r="G1648" s="50" t="n"/>
      <c r="H1648" s="48" t="n"/>
      <c r="I1648" s="51" t="n"/>
      <c r="J1648" s="52" t="n"/>
      <c r="K1648" s="47" t="n"/>
      <c r="L1648" s="47" t="n"/>
      <c r="M1648" s="24">
        <f>IF(OR($A1648="",$C1648=""),"",IF($L1648&lt;&gt;"",$L1648-$C1648,TODAY()-$C1648))</f>
        <v/>
      </c>
      <c r="N1648" s="28">
        <f>IF(OR($A1648="",$K1648=""),"",IF($L1648="",IF(TODAY()&gt;$K1648,"Atrasado","En ruta"),IF($L1648&lt;=$K1648,"Sí","No")))</f>
        <v/>
      </c>
      <c r="O1648" s="24">
        <f>IF($A1648="","",COUNTIFS(NOVEDADES!$D$4:$D$1503,$A1648))</f>
        <v/>
      </c>
      <c r="P1648" s="28">
        <f>IF($A1648="","",IF(COUNTIFS(NOVEDADES!$D$4:$D$1503,$A1648,NOVEDADES!$O$4:$O$1503,"SÍ")&gt;0,"No","Sí"))</f>
        <v/>
      </c>
      <c r="Q1648" s="28">
        <f>IF(OR($A1648="",$L1648=""),"",IF(AND($N1648="Sí",$P1648="Sí"),"OTIF","Falló"))</f>
        <v/>
      </c>
    </row>
    <row r="1649" ht="16" customHeight="1">
      <c r="A1649" s="48" t="n"/>
      <c r="B1649" s="48" t="n"/>
      <c r="C1649" s="47" t="n"/>
      <c r="D1649" s="50" t="n"/>
      <c r="E1649" s="50" t="n"/>
      <c r="F1649" s="50" t="n"/>
      <c r="G1649" s="50" t="n"/>
      <c r="H1649" s="48" t="n"/>
      <c r="I1649" s="51" t="n"/>
      <c r="J1649" s="52" t="n"/>
      <c r="K1649" s="47" t="n"/>
      <c r="L1649" s="47" t="n"/>
      <c r="M1649" s="24">
        <f>IF(OR($A1649="",$C1649=""),"",IF($L1649&lt;&gt;"",$L1649-$C1649,TODAY()-$C1649))</f>
        <v/>
      </c>
      <c r="N1649" s="28">
        <f>IF(OR($A1649="",$K1649=""),"",IF($L1649="",IF(TODAY()&gt;$K1649,"Atrasado","En ruta"),IF($L1649&lt;=$K1649,"Sí","No")))</f>
        <v/>
      </c>
      <c r="O1649" s="24">
        <f>IF($A1649="","",COUNTIFS(NOVEDADES!$D$4:$D$1503,$A1649))</f>
        <v/>
      </c>
      <c r="P1649" s="28">
        <f>IF($A1649="","",IF(COUNTIFS(NOVEDADES!$D$4:$D$1503,$A1649,NOVEDADES!$O$4:$O$1503,"SÍ")&gt;0,"No","Sí"))</f>
        <v/>
      </c>
      <c r="Q1649" s="28">
        <f>IF(OR($A1649="",$L1649=""),"",IF(AND($N1649="Sí",$P1649="Sí"),"OTIF","Falló"))</f>
        <v/>
      </c>
    </row>
    <row r="1650" ht="16" customHeight="1">
      <c r="A1650" s="48" t="n"/>
      <c r="B1650" s="48" t="n"/>
      <c r="C1650" s="47" t="n"/>
      <c r="D1650" s="50" t="n"/>
      <c r="E1650" s="50" t="n"/>
      <c r="F1650" s="50" t="n"/>
      <c r="G1650" s="50" t="n"/>
      <c r="H1650" s="48" t="n"/>
      <c r="I1650" s="51" t="n"/>
      <c r="J1650" s="52" t="n"/>
      <c r="K1650" s="47" t="n"/>
      <c r="L1650" s="47" t="n"/>
      <c r="M1650" s="24">
        <f>IF(OR($A1650="",$C1650=""),"",IF($L1650&lt;&gt;"",$L1650-$C1650,TODAY()-$C1650))</f>
        <v/>
      </c>
      <c r="N1650" s="28">
        <f>IF(OR($A1650="",$K1650=""),"",IF($L1650="",IF(TODAY()&gt;$K1650,"Atrasado","En ruta"),IF($L1650&lt;=$K1650,"Sí","No")))</f>
        <v/>
      </c>
      <c r="O1650" s="24">
        <f>IF($A1650="","",COUNTIFS(NOVEDADES!$D$4:$D$1503,$A1650))</f>
        <v/>
      </c>
      <c r="P1650" s="28">
        <f>IF($A1650="","",IF(COUNTIFS(NOVEDADES!$D$4:$D$1503,$A1650,NOVEDADES!$O$4:$O$1503,"SÍ")&gt;0,"No","Sí"))</f>
        <v/>
      </c>
      <c r="Q1650" s="28">
        <f>IF(OR($A1650="",$L1650=""),"",IF(AND($N1650="Sí",$P1650="Sí"),"OTIF","Falló"))</f>
        <v/>
      </c>
    </row>
    <row r="1651" ht="16" customHeight="1">
      <c r="A1651" s="48" t="n"/>
      <c r="B1651" s="48" t="n"/>
      <c r="C1651" s="47" t="n"/>
      <c r="D1651" s="50" t="n"/>
      <c r="E1651" s="50" t="n"/>
      <c r="F1651" s="50" t="n"/>
      <c r="G1651" s="50" t="n"/>
      <c r="H1651" s="48" t="n"/>
      <c r="I1651" s="51" t="n"/>
      <c r="J1651" s="52" t="n"/>
      <c r="K1651" s="47" t="n"/>
      <c r="L1651" s="47" t="n"/>
      <c r="M1651" s="24">
        <f>IF(OR($A1651="",$C1651=""),"",IF($L1651&lt;&gt;"",$L1651-$C1651,TODAY()-$C1651))</f>
        <v/>
      </c>
      <c r="N1651" s="28">
        <f>IF(OR($A1651="",$K1651=""),"",IF($L1651="",IF(TODAY()&gt;$K1651,"Atrasado","En ruta"),IF($L1651&lt;=$K1651,"Sí","No")))</f>
        <v/>
      </c>
      <c r="O1651" s="24">
        <f>IF($A1651="","",COUNTIFS(NOVEDADES!$D$4:$D$1503,$A1651))</f>
        <v/>
      </c>
      <c r="P1651" s="28">
        <f>IF($A1651="","",IF(COUNTIFS(NOVEDADES!$D$4:$D$1503,$A1651,NOVEDADES!$O$4:$O$1503,"SÍ")&gt;0,"No","Sí"))</f>
        <v/>
      </c>
      <c r="Q1651" s="28">
        <f>IF(OR($A1651="",$L1651=""),"",IF(AND($N1651="Sí",$P1651="Sí"),"OTIF","Falló"))</f>
        <v/>
      </c>
    </row>
    <row r="1652" ht="16" customHeight="1">
      <c r="A1652" s="48" t="n"/>
      <c r="B1652" s="48" t="n"/>
      <c r="C1652" s="47" t="n"/>
      <c r="D1652" s="50" t="n"/>
      <c r="E1652" s="50" t="n"/>
      <c r="F1652" s="50" t="n"/>
      <c r="G1652" s="50" t="n"/>
      <c r="H1652" s="48" t="n"/>
      <c r="I1652" s="51" t="n"/>
      <c r="J1652" s="52" t="n"/>
      <c r="K1652" s="47" t="n"/>
      <c r="L1652" s="47" t="n"/>
      <c r="M1652" s="24">
        <f>IF(OR($A1652="",$C1652=""),"",IF($L1652&lt;&gt;"",$L1652-$C1652,TODAY()-$C1652))</f>
        <v/>
      </c>
      <c r="N1652" s="28">
        <f>IF(OR($A1652="",$K1652=""),"",IF($L1652="",IF(TODAY()&gt;$K1652,"Atrasado","En ruta"),IF($L1652&lt;=$K1652,"Sí","No")))</f>
        <v/>
      </c>
      <c r="O1652" s="24">
        <f>IF($A1652="","",COUNTIFS(NOVEDADES!$D$4:$D$1503,$A1652))</f>
        <v/>
      </c>
      <c r="P1652" s="28">
        <f>IF($A1652="","",IF(COUNTIFS(NOVEDADES!$D$4:$D$1503,$A1652,NOVEDADES!$O$4:$O$1503,"SÍ")&gt;0,"No","Sí"))</f>
        <v/>
      </c>
      <c r="Q1652" s="28">
        <f>IF(OR($A1652="",$L1652=""),"",IF(AND($N1652="Sí",$P1652="Sí"),"OTIF","Falló"))</f>
        <v/>
      </c>
    </row>
    <row r="1653" ht="16" customHeight="1">
      <c r="A1653" s="48" t="n"/>
      <c r="B1653" s="48" t="n"/>
      <c r="C1653" s="47" t="n"/>
      <c r="D1653" s="50" t="n"/>
      <c r="E1653" s="50" t="n"/>
      <c r="F1653" s="50" t="n"/>
      <c r="G1653" s="50" t="n"/>
      <c r="H1653" s="48" t="n"/>
      <c r="I1653" s="51" t="n"/>
      <c r="J1653" s="52" t="n"/>
      <c r="K1653" s="47" t="n"/>
      <c r="L1653" s="47" t="n"/>
      <c r="M1653" s="24">
        <f>IF(OR($A1653="",$C1653=""),"",IF($L1653&lt;&gt;"",$L1653-$C1653,TODAY()-$C1653))</f>
        <v/>
      </c>
      <c r="N1653" s="28">
        <f>IF(OR($A1653="",$K1653=""),"",IF($L1653="",IF(TODAY()&gt;$K1653,"Atrasado","En ruta"),IF($L1653&lt;=$K1653,"Sí","No")))</f>
        <v/>
      </c>
      <c r="O1653" s="24">
        <f>IF($A1653="","",COUNTIFS(NOVEDADES!$D$4:$D$1503,$A1653))</f>
        <v/>
      </c>
      <c r="P1653" s="28">
        <f>IF($A1653="","",IF(COUNTIFS(NOVEDADES!$D$4:$D$1503,$A1653,NOVEDADES!$O$4:$O$1503,"SÍ")&gt;0,"No","Sí"))</f>
        <v/>
      </c>
      <c r="Q1653" s="28">
        <f>IF(OR($A1653="",$L1653=""),"",IF(AND($N1653="Sí",$P1653="Sí"),"OTIF","Falló"))</f>
        <v/>
      </c>
    </row>
    <row r="1654" ht="16" customHeight="1">
      <c r="A1654" s="48" t="n"/>
      <c r="B1654" s="48" t="n"/>
      <c r="C1654" s="47" t="n"/>
      <c r="D1654" s="50" t="n"/>
      <c r="E1654" s="50" t="n"/>
      <c r="F1654" s="50" t="n"/>
      <c r="G1654" s="50" t="n"/>
      <c r="H1654" s="48" t="n"/>
      <c r="I1654" s="51" t="n"/>
      <c r="J1654" s="52" t="n"/>
      <c r="K1654" s="47" t="n"/>
      <c r="L1654" s="47" t="n"/>
      <c r="M1654" s="24">
        <f>IF(OR($A1654="",$C1654=""),"",IF($L1654&lt;&gt;"",$L1654-$C1654,TODAY()-$C1654))</f>
        <v/>
      </c>
      <c r="N1654" s="28">
        <f>IF(OR($A1654="",$K1654=""),"",IF($L1654="",IF(TODAY()&gt;$K1654,"Atrasado","En ruta"),IF($L1654&lt;=$K1654,"Sí","No")))</f>
        <v/>
      </c>
      <c r="O1654" s="24">
        <f>IF($A1654="","",COUNTIFS(NOVEDADES!$D$4:$D$1503,$A1654))</f>
        <v/>
      </c>
      <c r="P1654" s="28">
        <f>IF($A1654="","",IF(COUNTIFS(NOVEDADES!$D$4:$D$1503,$A1654,NOVEDADES!$O$4:$O$1503,"SÍ")&gt;0,"No","Sí"))</f>
        <v/>
      </c>
      <c r="Q1654" s="28">
        <f>IF(OR($A1654="",$L1654=""),"",IF(AND($N1654="Sí",$P1654="Sí"),"OTIF","Falló"))</f>
        <v/>
      </c>
    </row>
    <row r="1655" ht="16" customHeight="1">
      <c r="A1655" s="48" t="n"/>
      <c r="B1655" s="48" t="n"/>
      <c r="C1655" s="47" t="n"/>
      <c r="D1655" s="50" t="n"/>
      <c r="E1655" s="50" t="n"/>
      <c r="F1655" s="50" t="n"/>
      <c r="G1655" s="50" t="n"/>
      <c r="H1655" s="48" t="n"/>
      <c r="I1655" s="51" t="n"/>
      <c r="J1655" s="52" t="n"/>
      <c r="K1655" s="47" t="n"/>
      <c r="L1655" s="47" t="n"/>
      <c r="M1655" s="24">
        <f>IF(OR($A1655="",$C1655=""),"",IF($L1655&lt;&gt;"",$L1655-$C1655,TODAY()-$C1655))</f>
        <v/>
      </c>
      <c r="N1655" s="28">
        <f>IF(OR($A1655="",$K1655=""),"",IF($L1655="",IF(TODAY()&gt;$K1655,"Atrasado","En ruta"),IF($L1655&lt;=$K1655,"Sí","No")))</f>
        <v/>
      </c>
      <c r="O1655" s="24">
        <f>IF($A1655="","",COUNTIFS(NOVEDADES!$D$4:$D$1503,$A1655))</f>
        <v/>
      </c>
      <c r="P1655" s="28">
        <f>IF($A1655="","",IF(COUNTIFS(NOVEDADES!$D$4:$D$1503,$A1655,NOVEDADES!$O$4:$O$1503,"SÍ")&gt;0,"No","Sí"))</f>
        <v/>
      </c>
      <c r="Q1655" s="28">
        <f>IF(OR($A1655="",$L1655=""),"",IF(AND($N1655="Sí",$P1655="Sí"),"OTIF","Falló"))</f>
        <v/>
      </c>
    </row>
    <row r="1656" ht="16" customHeight="1">
      <c r="A1656" s="48" t="n"/>
      <c r="B1656" s="48" t="n"/>
      <c r="C1656" s="47" t="n"/>
      <c r="D1656" s="50" t="n"/>
      <c r="E1656" s="50" t="n"/>
      <c r="F1656" s="50" t="n"/>
      <c r="G1656" s="50" t="n"/>
      <c r="H1656" s="48" t="n"/>
      <c r="I1656" s="51" t="n"/>
      <c r="J1656" s="52" t="n"/>
      <c r="K1656" s="47" t="n"/>
      <c r="L1656" s="47" t="n"/>
      <c r="M1656" s="24">
        <f>IF(OR($A1656="",$C1656=""),"",IF($L1656&lt;&gt;"",$L1656-$C1656,TODAY()-$C1656))</f>
        <v/>
      </c>
      <c r="N1656" s="28">
        <f>IF(OR($A1656="",$K1656=""),"",IF($L1656="",IF(TODAY()&gt;$K1656,"Atrasado","En ruta"),IF($L1656&lt;=$K1656,"Sí","No")))</f>
        <v/>
      </c>
      <c r="O1656" s="24">
        <f>IF($A1656="","",COUNTIFS(NOVEDADES!$D$4:$D$1503,$A1656))</f>
        <v/>
      </c>
      <c r="P1656" s="28">
        <f>IF($A1656="","",IF(COUNTIFS(NOVEDADES!$D$4:$D$1503,$A1656,NOVEDADES!$O$4:$O$1503,"SÍ")&gt;0,"No","Sí"))</f>
        <v/>
      </c>
      <c r="Q1656" s="28">
        <f>IF(OR($A1656="",$L1656=""),"",IF(AND($N1656="Sí",$P1656="Sí"),"OTIF","Falló"))</f>
        <v/>
      </c>
    </row>
    <row r="1657" ht="16" customHeight="1">
      <c r="A1657" s="48" t="n"/>
      <c r="B1657" s="48" t="n"/>
      <c r="C1657" s="47" t="n"/>
      <c r="D1657" s="50" t="n"/>
      <c r="E1657" s="50" t="n"/>
      <c r="F1657" s="50" t="n"/>
      <c r="G1657" s="50" t="n"/>
      <c r="H1657" s="48" t="n"/>
      <c r="I1657" s="51" t="n"/>
      <c r="J1657" s="52" t="n"/>
      <c r="K1657" s="47" t="n"/>
      <c r="L1657" s="47" t="n"/>
      <c r="M1657" s="24">
        <f>IF(OR($A1657="",$C1657=""),"",IF($L1657&lt;&gt;"",$L1657-$C1657,TODAY()-$C1657))</f>
        <v/>
      </c>
      <c r="N1657" s="28">
        <f>IF(OR($A1657="",$K1657=""),"",IF($L1657="",IF(TODAY()&gt;$K1657,"Atrasado","En ruta"),IF($L1657&lt;=$K1657,"Sí","No")))</f>
        <v/>
      </c>
      <c r="O1657" s="24">
        <f>IF($A1657="","",COUNTIFS(NOVEDADES!$D$4:$D$1503,$A1657))</f>
        <v/>
      </c>
      <c r="P1657" s="28">
        <f>IF($A1657="","",IF(COUNTIFS(NOVEDADES!$D$4:$D$1503,$A1657,NOVEDADES!$O$4:$O$1503,"SÍ")&gt;0,"No","Sí"))</f>
        <v/>
      </c>
      <c r="Q1657" s="28">
        <f>IF(OR($A1657="",$L1657=""),"",IF(AND($N1657="Sí",$P1657="Sí"),"OTIF","Falló"))</f>
        <v/>
      </c>
    </row>
    <row r="1658" ht="16" customHeight="1">
      <c r="A1658" s="48" t="n"/>
      <c r="B1658" s="48" t="n"/>
      <c r="C1658" s="47" t="n"/>
      <c r="D1658" s="50" t="n"/>
      <c r="E1658" s="50" t="n"/>
      <c r="F1658" s="50" t="n"/>
      <c r="G1658" s="50" t="n"/>
      <c r="H1658" s="48" t="n"/>
      <c r="I1658" s="51" t="n"/>
      <c r="J1658" s="52" t="n"/>
      <c r="K1658" s="47" t="n"/>
      <c r="L1658" s="47" t="n"/>
      <c r="M1658" s="24">
        <f>IF(OR($A1658="",$C1658=""),"",IF($L1658&lt;&gt;"",$L1658-$C1658,TODAY()-$C1658))</f>
        <v/>
      </c>
      <c r="N1658" s="28">
        <f>IF(OR($A1658="",$K1658=""),"",IF($L1658="",IF(TODAY()&gt;$K1658,"Atrasado","En ruta"),IF($L1658&lt;=$K1658,"Sí","No")))</f>
        <v/>
      </c>
      <c r="O1658" s="24">
        <f>IF($A1658="","",COUNTIFS(NOVEDADES!$D$4:$D$1503,$A1658))</f>
        <v/>
      </c>
      <c r="P1658" s="28">
        <f>IF($A1658="","",IF(COUNTIFS(NOVEDADES!$D$4:$D$1503,$A1658,NOVEDADES!$O$4:$O$1503,"SÍ")&gt;0,"No","Sí"))</f>
        <v/>
      </c>
      <c r="Q1658" s="28">
        <f>IF(OR($A1658="",$L1658=""),"",IF(AND($N1658="Sí",$P1658="Sí"),"OTIF","Falló"))</f>
        <v/>
      </c>
    </row>
    <row r="1659" ht="16" customHeight="1">
      <c r="A1659" s="48" t="n"/>
      <c r="B1659" s="48" t="n"/>
      <c r="C1659" s="47" t="n"/>
      <c r="D1659" s="50" t="n"/>
      <c r="E1659" s="50" t="n"/>
      <c r="F1659" s="50" t="n"/>
      <c r="G1659" s="50" t="n"/>
      <c r="H1659" s="48" t="n"/>
      <c r="I1659" s="51" t="n"/>
      <c r="J1659" s="52" t="n"/>
      <c r="K1659" s="47" t="n"/>
      <c r="L1659" s="47" t="n"/>
      <c r="M1659" s="24">
        <f>IF(OR($A1659="",$C1659=""),"",IF($L1659&lt;&gt;"",$L1659-$C1659,TODAY()-$C1659))</f>
        <v/>
      </c>
      <c r="N1659" s="28">
        <f>IF(OR($A1659="",$K1659=""),"",IF($L1659="",IF(TODAY()&gt;$K1659,"Atrasado","En ruta"),IF($L1659&lt;=$K1659,"Sí","No")))</f>
        <v/>
      </c>
      <c r="O1659" s="24">
        <f>IF($A1659="","",COUNTIFS(NOVEDADES!$D$4:$D$1503,$A1659))</f>
        <v/>
      </c>
      <c r="P1659" s="28">
        <f>IF($A1659="","",IF(COUNTIFS(NOVEDADES!$D$4:$D$1503,$A1659,NOVEDADES!$O$4:$O$1503,"SÍ")&gt;0,"No","Sí"))</f>
        <v/>
      </c>
      <c r="Q1659" s="28">
        <f>IF(OR($A1659="",$L1659=""),"",IF(AND($N1659="Sí",$P1659="Sí"),"OTIF","Falló"))</f>
        <v/>
      </c>
    </row>
    <row r="1660" ht="16" customHeight="1">
      <c r="A1660" s="48" t="n"/>
      <c r="B1660" s="48" t="n"/>
      <c r="C1660" s="47" t="n"/>
      <c r="D1660" s="50" t="n"/>
      <c r="E1660" s="50" t="n"/>
      <c r="F1660" s="50" t="n"/>
      <c r="G1660" s="50" t="n"/>
      <c r="H1660" s="48" t="n"/>
      <c r="I1660" s="51" t="n"/>
      <c r="J1660" s="52" t="n"/>
      <c r="K1660" s="47" t="n"/>
      <c r="L1660" s="47" t="n"/>
      <c r="M1660" s="24">
        <f>IF(OR($A1660="",$C1660=""),"",IF($L1660&lt;&gt;"",$L1660-$C1660,TODAY()-$C1660))</f>
        <v/>
      </c>
      <c r="N1660" s="28">
        <f>IF(OR($A1660="",$K1660=""),"",IF($L1660="",IF(TODAY()&gt;$K1660,"Atrasado","En ruta"),IF($L1660&lt;=$K1660,"Sí","No")))</f>
        <v/>
      </c>
      <c r="O1660" s="24">
        <f>IF($A1660="","",COUNTIFS(NOVEDADES!$D$4:$D$1503,$A1660))</f>
        <v/>
      </c>
      <c r="P1660" s="28">
        <f>IF($A1660="","",IF(COUNTIFS(NOVEDADES!$D$4:$D$1503,$A1660,NOVEDADES!$O$4:$O$1503,"SÍ")&gt;0,"No","Sí"))</f>
        <v/>
      </c>
      <c r="Q1660" s="28">
        <f>IF(OR($A1660="",$L1660=""),"",IF(AND($N1660="Sí",$P1660="Sí"),"OTIF","Falló"))</f>
        <v/>
      </c>
    </row>
    <row r="1661" ht="16" customHeight="1">
      <c r="A1661" s="48" t="n"/>
      <c r="B1661" s="48" t="n"/>
      <c r="C1661" s="47" t="n"/>
      <c r="D1661" s="50" t="n"/>
      <c r="E1661" s="50" t="n"/>
      <c r="F1661" s="50" t="n"/>
      <c r="G1661" s="50" t="n"/>
      <c r="H1661" s="48" t="n"/>
      <c r="I1661" s="51" t="n"/>
      <c r="J1661" s="52" t="n"/>
      <c r="K1661" s="47" t="n"/>
      <c r="L1661" s="47" t="n"/>
      <c r="M1661" s="24">
        <f>IF(OR($A1661="",$C1661=""),"",IF($L1661&lt;&gt;"",$L1661-$C1661,TODAY()-$C1661))</f>
        <v/>
      </c>
      <c r="N1661" s="28">
        <f>IF(OR($A1661="",$K1661=""),"",IF($L1661="",IF(TODAY()&gt;$K1661,"Atrasado","En ruta"),IF($L1661&lt;=$K1661,"Sí","No")))</f>
        <v/>
      </c>
      <c r="O1661" s="24">
        <f>IF($A1661="","",COUNTIFS(NOVEDADES!$D$4:$D$1503,$A1661))</f>
        <v/>
      </c>
      <c r="P1661" s="28">
        <f>IF($A1661="","",IF(COUNTIFS(NOVEDADES!$D$4:$D$1503,$A1661,NOVEDADES!$O$4:$O$1503,"SÍ")&gt;0,"No","Sí"))</f>
        <v/>
      </c>
      <c r="Q1661" s="28">
        <f>IF(OR($A1661="",$L1661=""),"",IF(AND($N1661="Sí",$P1661="Sí"),"OTIF","Falló"))</f>
        <v/>
      </c>
    </row>
    <row r="1662" ht="16" customHeight="1">
      <c r="A1662" s="48" t="n"/>
      <c r="B1662" s="48" t="n"/>
      <c r="C1662" s="47" t="n"/>
      <c r="D1662" s="50" t="n"/>
      <c r="E1662" s="50" t="n"/>
      <c r="F1662" s="50" t="n"/>
      <c r="G1662" s="50" t="n"/>
      <c r="H1662" s="48" t="n"/>
      <c r="I1662" s="51" t="n"/>
      <c r="J1662" s="52" t="n"/>
      <c r="K1662" s="47" t="n"/>
      <c r="L1662" s="47" t="n"/>
      <c r="M1662" s="24">
        <f>IF(OR($A1662="",$C1662=""),"",IF($L1662&lt;&gt;"",$L1662-$C1662,TODAY()-$C1662))</f>
        <v/>
      </c>
      <c r="N1662" s="28">
        <f>IF(OR($A1662="",$K1662=""),"",IF($L1662="",IF(TODAY()&gt;$K1662,"Atrasado","En ruta"),IF($L1662&lt;=$K1662,"Sí","No")))</f>
        <v/>
      </c>
      <c r="O1662" s="24">
        <f>IF($A1662="","",COUNTIFS(NOVEDADES!$D$4:$D$1503,$A1662))</f>
        <v/>
      </c>
      <c r="P1662" s="28">
        <f>IF($A1662="","",IF(COUNTIFS(NOVEDADES!$D$4:$D$1503,$A1662,NOVEDADES!$O$4:$O$1503,"SÍ")&gt;0,"No","Sí"))</f>
        <v/>
      </c>
      <c r="Q1662" s="28">
        <f>IF(OR($A1662="",$L1662=""),"",IF(AND($N1662="Sí",$P1662="Sí"),"OTIF","Falló"))</f>
        <v/>
      </c>
    </row>
    <row r="1663" ht="16" customHeight="1">
      <c r="A1663" s="48" t="n"/>
      <c r="B1663" s="48" t="n"/>
      <c r="C1663" s="47" t="n"/>
      <c r="D1663" s="50" t="n"/>
      <c r="E1663" s="50" t="n"/>
      <c r="F1663" s="50" t="n"/>
      <c r="G1663" s="50" t="n"/>
      <c r="H1663" s="48" t="n"/>
      <c r="I1663" s="51" t="n"/>
      <c r="J1663" s="52" t="n"/>
      <c r="K1663" s="47" t="n"/>
      <c r="L1663" s="47" t="n"/>
      <c r="M1663" s="24">
        <f>IF(OR($A1663="",$C1663=""),"",IF($L1663&lt;&gt;"",$L1663-$C1663,TODAY()-$C1663))</f>
        <v/>
      </c>
      <c r="N1663" s="28">
        <f>IF(OR($A1663="",$K1663=""),"",IF($L1663="",IF(TODAY()&gt;$K1663,"Atrasado","En ruta"),IF($L1663&lt;=$K1663,"Sí","No")))</f>
        <v/>
      </c>
      <c r="O1663" s="24">
        <f>IF($A1663="","",COUNTIFS(NOVEDADES!$D$4:$D$1503,$A1663))</f>
        <v/>
      </c>
      <c r="P1663" s="28">
        <f>IF($A1663="","",IF(COUNTIFS(NOVEDADES!$D$4:$D$1503,$A1663,NOVEDADES!$O$4:$O$1503,"SÍ")&gt;0,"No","Sí"))</f>
        <v/>
      </c>
      <c r="Q1663" s="28">
        <f>IF(OR($A1663="",$L1663=""),"",IF(AND($N1663="Sí",$P1663="Sí"),"OTIF","Falló"))</f>
        <v/>
      </c>
    </row>
    <row r="1664" ht="16" customHeight="1">
      <c r="A1664" s="48" t="n"/>
      <c r="B1664" s="48" t="n"/>
      <c r="C1664" s="47" t="n"/>
      <c r="D1664" s="50" t="n"/>
      <c r="E1664" s="50" t="n"/>
      <c r="F1664" s="50" t="n"/>
      <c r="G1664" s="50" t="n"/>
      <c r="H1664" s="48" t="n"/>
      <c r="I1664" s="51" t="n"/>
      <c r="J1664" s="52" t="n"/>
      <c r="K1664" s="47" t="n"/>
      <c r="L1664" s="47" t="n"/>
      <c r="M1664" s="24">
        <f>IF(OR($A1664="",$C1664=""),"",IF($L1664&lt;&gt;"",$L1664-$C1664,TODAY()-$C1664))</f>
        <v/>
      </c>
      <c r="N1664" s="28">
        <f>IF(OR($A1664="",$K1664=""),"",IF($L1664="",IF(TODAY()&gt;$K1664,"Atrasado","En ruta"),IF($L1664&lt;=$K1664,"Sí","No")))</f>
        <v/>
      </c>
      <c r="O1664" s="24">
        <f>IF($A1664="","",COUNTIFS(NOVEDADES!$D$4:$D$1503,$A1664))</f>
        <v/>
      </c>
      <c r="P1664" s="28">
        <f>IF($A1664="","",IF(COUNTIFS(NOVEDADES!$D$4:$D$1503,$A1664,NOVEDADES!$O$4:$O$1503,"SÍ")&gt;0,"No","Sí"))</f>
        <v/>
      </c>
      <c r="Q1664" s="28">
        <f>IF(OR($A1664="",$L1664=""),"",IF(AND($N1664="Sí",$P1664="Sí"),"OTIF","Falló"))</f>
        <v/>
      </c>
    </row>
    <row r="1665" ht="16" customHeight="1">
      <c r="A1665" s="48" t="n"/>
      <c r="B1665" s="48" t="n"/>
      <c r="C1665" s="47" t="n"/>
      <c r="D1665" s="50" t="n"/>
      <c r="E1665" s="50" t="n"/>
      <c r="F1665" s="50" t="n"/>
      <c r="G1665" s="50" t="n"/>
      <c r="H1665" s="48" t="n"/>
      <c r="I1665" s="51" t="n"/>
      <c r="J1665" s="52" t="n"/>
      <c r="K1665" s="47" t="n"/>
      <c r="L1665" s="47" t="n"/>
      <c r="M1665" s="24">
        <f>IF(OR($A1665="",$C1665=""),"",IF($L1665&lt;&gt;"",$L1665-$C1665,TODAY()-$C1665))</f>
        <v/>
      </c>
      <c r="N1665" s="28">
        <f>IF(OR($A1665="",$K1665=""),"",IF($L1665="",IF(TODAY()&gt;$K1665,"Atrasado","En ruta"),IF($L1665&lt;=$K1665,"Sí","No")))</f>
        <v/>
      </c>
      <c r="O1665" s="24">
        <f>IF($A1665="","",COUNTIFS(NOVEDADES!$D$4:$D$1503,$A1665))</f>
        <v/>
      </c>
      <c r="P1665" s="28">
        <f>IF($A1665="","",IF(COUNTIFS(NOVEDADES!$D$4:$D$1503,$A1665,NOVEDADES!$O$4:$O$1503,"SÍ")&gt;0,"No","Sí"))</f>
        <v/>
      </c>
      <c r="Q1665" s="28">
        <f>IF(OR($A1665="",$L1665=""),"",IF(AND($N1665="Sí",$P1665="Sí"),"OTIF","Falló"))</f>
        <v/>
      </c>
    </row>
    <row r="1666" ht="16" customHeight="1">
      <c r="A1666" s="48" t="n"/>
      <c r="B1666" s="48" t="n"/>
      <c r="C1666" s="47" t="n"/>
      <c r="D1666" s="50" t="n"/>
      <c r="E1666" s="50" t="n"/>
      <c r="F1666" s="50" t="n"/>
      <c r="G1666" s="50" t="n"/>
      <c r="H1666" s="48" t="n"/>
      <c r="I1666" s="51" t="n"/>
      <c r="J1666" s="52" t="n"/>
      <c r="K1666" s="47" t="n"/>
      <c r="L1666" s="47" t="n"/>
      <c r="M1666" s="24">
        <f>IF(OR($A1666="",$C1666=""),"",IF($L1666&lt;&gt;"",$L1666-$C1666,TODAY()-$C1666))</f>
        <v/>
      </c>
      <c r="N1666" s="28">
        <f>IF(OR($A1666="",$K1666=""),"",IF($L1666="",IF(TODAY()&gt;$K1666,"Atrasado","En ruta"),IF($L1666&lt;=$K1666,"Sí","No")))</f>
        <v/>
      </c>
      <c r="O1666" s="24">
        <f>IF($A1666="","",COUNTIFS(NOVEDADES!$D$4:$D$1503,$A1666))</f>
        <v/>
      </c>
      <c r="P1666" s="28">
        <f>IF($A1666="","",IF(COUNTIFS(NOVEDADES!$D$4:$D$1503,$A1666,NOVEDADES!$O$4:$O$1503,"SÍ")&gt;0,"No","Sí"))</f>
        <v/>
      </c>
      <c r="Q1666" s="28">
        <f>IF(OR($A1666="",$L1666=""),"",IF(AND($N1666="Sí",$P1666="Sí"),"OTIF","Falló"))</f>
        <v/>
      </c>
    </row>
    <row r="1667" ht="16" customHeight="1">
      <c r="A1667" s="48" t="n"/>
      <c r="B1667" s="48" t="n"/>
      <c r="C1667" s="47" t="n"/>
      <c r="D1667" s="50" t="n"/>
      <c r="E1667" s="50" t="n"/>
      <c r="F1667" s="50" t="n"/>
      <c r="G1667" s="50" t="n"/>
      <c r="H1667" s="48" t="n"/>
      <c r="I1667" s="51" t="n"/>
      <c r="J1667" s="52" t="n"/>
      <c r="K1667" s="47" t="n"/>
      <c r="L1667" s="47" t="n"/>
      <c r="M1667" s="24">
        <f>IF(OR($A1667="",$C1667=""),"",IF($L1667&lt;&gt;"",$L1667-$C1667,TODAY()-$C1667))</f>
        <v/>
      </c>
      <c r="N1667" s="28">
        <f>IF(OR($A1667="",$K1667=""),"",IF($L1667="",IF(TODAY()&gt;$K1667,"Atrasado","En ruta"),IF($L1667&lt;=$K1667,"Sí","No")))</f>
        <v/>
      </c>
      <c r="O1667" s="24">
        <f>IF($A1667="","",COUNTIFS(NOVEDADES!$D$4:$D$1503,$A1667))</f>
        <v/>
      </c>
      <c r="P1667" s="28">
        <f>IF($A1667="","",IF(COUNTIFS(NOVEDADES!$D$4:$D$1503,$A1667,NOVEDADES!$O$4:$O$1503,"SÍ")&gt;0,"No","Sí"))</f>
        <v/>
      </c>
      <c r="Q1667" s="28">
        <f>IF(OR($A1667="",$L1667=""),"",IF(AND($N1667="Sí",$P1667="Sí"),"OTIF","Falló"))</f>
        <v/>
      </c>
    </row>
    <row r="1668" ht="16" customHeight="1">
      <c r="A1668" s="48" t="n"/>
      <c r="B1668" s="48" t="n"/>
      <c r="C1668" s="47" t="n"/>
      <c r="D1668" s="50" t="n"/>
      <c r="E1668" s="50" t="n"/>
      <c r="F1668" s="50" t="n"/>
      <c r="G1668" s="50" t="n"/>
      <c r="H1668" s="48" t="n"/>
      <c r="I1668" s="51" t="n"/>
      <c r="J1668" s="52" t="n"/>
      <c r="K1668" s="47" t="n"/>
      <c r="L1668" s="47" t="n"/>
      <c r="M1668" s="24">
        <f>IF(OR($A1668="",$C1668=""),"",IF($L1668&lt;&gt;"",$L1668-$C1668,TODAY()-$C1668))</f>
        <v/>
      </c>
      <c r="N1668" s="28">
        <f>IF(OR($A1668="",$K1668=""),"",IF($L1668="",IF(TODAY()&gt;$K1668,"Atrasado","En ruta"),IF($L1668&lt;=$K1668,"Sí","No")))</f>
        <v/>
      </c>
      <c r="O1668" s="24">
        <f>IF($A1668="","",COUNTIFS(NOVEDADES!$D$4:$D$1503,$A1668))</f>
        <v/>
      </c>
      <c r="P1668" s="28">
        <f>IF($A1668="","",IF(COUNTIFS(NOVEDADES!$D$4:$D$1503,$A1668,NOVEDADES!$O$4:$O$1503,"SÍ")&gt;0,"No","Sí"))</f>
        <v/>
      </c>
      <c r="Q1668" s="28">
        <f>IF(OR($A1668="",$L1668=""),"",IF(AND($N1668="Sí",$P1668="Sí"),"OTIF","Falló"))</f>
        <v/>
      </c>
    </row>
    <row r="1669" ht="16" customHeight="1">
      <c r="A1669" s="48" t="n"/>
      <c r="B1669" s="48" t="n"/>
      <c r="C1669" s="47" t="n"/>
      <c r="D1669" s="50" t="n"/>
      <c r="E1669" s="50" t="n"/>
      <c r="F1669" s="50" t="n"/>
      <c r="G1669" s="50" t="n"/>
      <c r="H1669" s="48" t="n"/>
      <c r="I1669" s="51" t="n"/>
      <c r="J1669" s="52" t="n"/>
      <c r="K1669" s="47" t="n"/>
      <c r="L1669" s="47" t="n"/>
      <c r="M1669" s="24">
        <f>IF(OR($A1669="",$C1669=""),"",IF($L1669&lt;&gt;"",$L1669-$C1669,TODAY()-$C1669))</f>
        <v/>
      </c>
      <c r="N1669" s="28">
        <f>IF(OR($A1669="",$K1669=""),"",IF($L1669="",IF(TODAY()&gt;$K1669,"Atrasado","En ruta"),IF($L1669&lt;=$K1669,"Sí","No")))</f>
        <v/>
      </c>
      <c r="O1669" s="24">
        <f>IF($A1669="","",COUNTIFS(NOVEDADES!$D$4:$D$1503,$A1669))</f>
        <v/>
      </c>
      <c r="P1669" s="28">
        <f>IF($A1669="","",IF(COUNTIFS(NOVEDADES!$D$4:$D$1503,$A1669,NOVEDADES!$O$4:$O$1503,"SÍ")&gt;0,"No","Sí"))</f>
        <v/>
      </c>
      <c r="Q1669" s="28">
        <f>IF(OR($A1669="",$L1669=""),"",IF(AND($N1669="Sí",$P1669="Sí"),"OTIF","Falló"))</f>
        <v/>
      </c>
    </row>
    <row r="1670" ht="16" customHeight="1">
      <c r="A1670" s="48" t="n"/>
      <c r="B1670" s="48" t="n"/>
      <c r="C1670" s="47" t="n"/>
      <c r="D1670" s="50" t="n"/>
      <c r="E1670" s="50" t="n"/>
      <c r="F1670" s="50" t="n"/>
      <c r="G1670" s="50" t="n"/>
      <c r="H1670" s="48" t="n"/>
      <c r="I1670" s="51" t="n"/>
      <c r="J1670" s="52" t="n"/>
      <c r="K1670" s="47" t="n"/>
      <c r="L1670" s="47" t="n"/>
      <c r="M1670" s="24">
        <f>IF(OR($A1670="",$C1670=""),"",IF($L1670&lt;&gt;"",$L1670-$C1670,TODAY()-$C1670))</f>
        <v/>
      </c>
      <c r="N1670" s="28">
        <f>IF(OR($A1670="",$K1670=""),"",IF($L1670="",IF(TODAY()&gt;$K1670,"Atrasado","En ruta"),IF($L1670&lt;=$K1670,"Sí","No")))</f>
        <v/>
      </c>
      <c r="O1670" s="24">
        <f>IF($A1670="","",COUNTIFS(NOVEDADES!$D$4:$D$1503,$A1670))</f>
        <v/>
      </c>
      <c r="P1670" s="28">
        <f>IF($A1670="","",IF(COUNTIFS(NOVEDADES!$D$4:$D$1503,$A1670,NOVEDADES!$O$4:$O$1503,"SÍ")&gt;0,"No","Sí"))</f>
        <v/>
      </c>
      <c r="Q1670" s="28">
        <f>IF(OR($A1670="",$L1670=""),"",IF(AND($N1670="Sí",$P1670="Sí"),"OTIF","Falló"))</f>
        <v/>
      </c>
    </row>
    <row r="1671" ht="16" customHeight="1">
      <c r="A1671" s="48" t="n"/>
      <c r="B1671" s="48" t="n"/>
      <c r="C1671" s="47" t="n"/>
      <c r="D1671" s="50" t="n"/>
      <c r="E1671" s="50" t="n"/>
      <c r="F1671" s="50" t="n"/>
      <c r="G1671" s="50" t="n"/>
      <c r="H1671" s="48" t="n"/>
      <c r="I1671" s="51" t="n"/>
      <c r="J1671" s="52" t="n"/>
      <c r="K1671" s="47" t="n"/>
      <c r="L1671" s="47" t="n"/>
      <c r="M1671" s="24">
        <f>IF(OR($A1671="",$C1671=""),"",IF($L1671&lt;&gt;"",$L1671-$C1671,TODAY()-$C1671))</f>
        <v/>
      </c>
      <c r="N1671" s="28">
        <f>IF(OR($A1671="",$K1671=""),"",IF($L1671="",IF(TODAY()&gt;$K1671,"Atrasado","En ruta"),IF($L1671&lt;=$K1671,"Sí","No")))</f>
        <v/>
      </c>
      <c r="O1671" s="24">
        <f>IF($A1671="","",COUNTIFS(NOVEDADES!$D$4:$D$1503,$A1671))</f>
        <v/>
      </c>
      <c r="P1671" s="28">
        <f>IF($A1671="","",IF(COUNTIFS(NOVEDADES!$D$4:$D$1503,$A1671,NOVEDADES!$O$4:$O$1503,"SÍ")&gt;0,"No","Sí"))</f>
        <v/>
      </c>
      <c r="Q1671" s="28">
        <f>IF(OR($A1671="",$L1671=""),"",IF(AND($N1671="Sí",$P1671="Sí"),"OTIF","Falló"))</f>
        <v/>
      </c>
    </row>
    <row r="1672" ht="16" customHeight="1">
      <c r="A1672" s="48" t="n"/>
      <c r="B1672" s="48" t="n"/>
      <c r="C1672" s="47" t="n"/>
      <c r="D1672" s="50" t="n"/>
      <c r="E1672" s="50" t="n"/>
      <c r="F1672" s="50" t="n"/>
      <c r="G1672" s="50" t="n"/>
      <c r="H1672" s="48" t="n"/>
      <c r="I1672" s="51" t="n"/>
      <c r="J1672" s="52" t="n"/>
      <c r="K1672" s="47" t="n"/>
      <c r="L1672" s="47" t="n"/>
      <c r="M1672" s="24">
        <f>IF(OR($A1672="",$C1672=""),"",IF($L1672&lt;&gt;"",$L1672-$C1672,TODAY()-$C1672))</f>
        <v/>
      </c>
      <c r="N1672" s="28">
        <f>IF(OR($A1672="",$K1672=""),"",IF($L1672="",IF(TODAY()&gt;$K1672,"Atrasado","En ruta"),IF($L1672&lt;=$K1672,"Sí","No")))</f>
        <v/>
      </c>
      <c r="O1672" s="24">
        <f>IF($A1672="","",COUNTIFS(NOVEDADES!$D$4:$D$1503,$A1672))</f>
        <v/>
      </c>
      <c r="P1672" s="28">
        <f>IF($A1672="","",IF(COUNTIFS(NOVEDADES!$D$4:$D$1503,$A1672,NOVEDADES!$O$4:$O$1503,"SÍ")&gt;0,"No","Sí"))</f>
        <v/>
      </c>
      <c r="Q1672" s="28">
        <f>IF(OR($A1672="",$L1672=""),"",IF(AND($N1672="Sí",$P1672="Sí"),"OTIF","Falló"))</f>
        <v/>
      </c>
    </row>
    <row r="1673" ht="16" customHeight="1">
      <c r="A1673" s="48" t="n"/>
      <c r="B1673" s="48" t="n"/>
      <c r="C1673" s="47" t="n"/>
      <c r="D1673" s="50" t="n"/>
      <c r="E1673" s="50" t="n"/>
      <c r="F1673" s="50" t="n"/>
      <c r="G1673" s="50" t="n"/>
      <c r="H1673" s="48" t="n"/>
      <c r="I1673" s="51" t="n"/>
      <c r="J1673" s="52" t="n"/>
      <c r="K1673" s="47" t="n"/>
      <c r="L1673" s="47" t="n"/>
      <c r="M1673" s="24">
        <f>IF(OR($A1673="",$C1673=""),"",IF($L1673&lt;&gt;"",$L1673-$C1673,TODAY()-$C1673))</f>
        <v/>
      </c>
      <c r="N1673" s="28">
        <f>IF(OR($A1673="",$K1673=""),"",IF($L1673="",IF(TODAY()&gt;$K1673,"Atrasado","En ruta"),IF($L1673&lt;=$K1673,"Sí","No")))</f>
        <v/>
      </c>
      <c r="O1673" s="24">
        <f>IF($A1673="","",COUNTIFS(NOVEDADES!$D$4:$D$1503,$A1673))</f>
        <v/>
      </c>
      <c r="P1673" s="28">
        <f>IF($A1673="","",IF(COUNTIFS(NOVEDADES!$D$4:$D$1503,$A1673,NOVEDADES!$O$4:$O$1503,"SÍ")&gt;0,"No","Sí"))</f>
        <v/>
      </c>
      <c r="Q1673" s="28">
        <f>IF(OR($A1673="",$L1673=""),"",IF(AND($N1673="Sí",$P1673="Sí"),"OTIF","Falló"))</f>
        <v/>
      </c>
    </row>
    <row r="1674" ht="16" customHeight="1">
      <c r="A1674" s="48" t="n"/>
      <c r="B1674" s="48" t="n"/>
      <c r="C1674" s="47" t="n"/>
      <c r="D1674" s="50" t="n"/>
      <c r="E1674" s="50" t="n"/>
      <c r="F1674" s="50" t="n"/>
      <c r="G1674" s="50" t="n"/>
      <c r="H1674" s="48" t="n"/>
      <c r="I1674" s="51" t="n"/>
      <c r="J1674" s="52" t="n"/>
      <c r="K1674" s="47" t="n"/>
      <c r="L1674" s="47" t="n"/>
      <c r="M1674" s="24">
        <f>IF(OR($A1674="",$C1674=""),"",IF($L1674&lt;&gt;"",$L1674-$C1674,TODAY()-$C1674))</f>
        <v/>
      </c>
      <c r="N1674" s="28">
        <f>IF(OR($A1674="",$K1674=""),"",IF($L1674="",IF(TODAY()&gt;$K1674,"Atrasado","En ruta"),IF($L1674&lt;=$K1674,"Sí","No")))</f>
        <v/>
      </c>
      <c r="O1674" s="24">
        <f>IF($A1674="","",COUNTIFS(NOVEDADES!$D$4:$D$1503,$A1674))</f>
        <v/>
      </c>
      <c r="P1674" s="28">
        <f>IF($A1674="","",IF(COUNTIFS(NOVEDADES!$D$4:$D$1503,$A1674,NOVEDADES!$O$4:$O$1503,"SÍ")&gt;0,"No","Sí"))</f>
        <v/>
      </c>
      <c r="Q1674" s="28">
        <f>IF(OR($A1674="",$L1674=""),"",IF(AND($N1674="Sí",$P1674="Sí"),"OTIF","Falló"))</f>
        <v/>
      </c>
    </row>
    <row r="1675" ht="16" customHeight="1">
      <c r="A1675" s="48" t="n"/>
      <c r="B1675" s="48" t="n"/>
      <c r="C1675" s="47" t="n"/>
      <c r="D1675" s="50" t="n"/>
      <c r="E1675" s="50" t="n"/>
      <c r="F1675" s="50" t="n"/>
      <c r="G1675" s="50" t="n"/>
      <c r="H1675" s="48" t="n"/>
      <c r="I1675" s="51" t="n"/>
      <c r="J1675" s="52" t="n"/>
      <c r="K1675" s="47" t="n"/>
      <c r="L1675" s="47" t="n"/>
      <c r="M1675" s="24">
        <f>IF(OR($A1675="",$C1675=""),"",IF($L1675&lt;&gt;"",$L1675-$C1675,TODAY()-$C1675))</f>
        <v/>
      </c>
      <c r="N1675" s="28">
        <f>IF(OR($A1675="",$K1675=""),"",IF($L1675="",IF(TODAY()&gt;$K1675,"Atrasado","En ruta"),IF($L1675&lt;=$K1675,"Sí","No")))</f>
        <v/>
      </c>
      <c r="O1675" s="24">
        <f>IF($A1675="","",COUNTIFS(NOVEDADES!$D$4:$D$1503,$A1675))</f>
        <v/>
      </c>
      <c r="P1675" s="28">
        <f>IF($A1675="","",IF(COUNTIFS(NOVEDADES!$D$4:$D$1503,$A1675,NOVEDADES!$O$4:$O$1503,"SÍ")&gt;0,"No","Sí"))</f>
        <v/>
      </c>
      <c r="Q1675" s="28">
        <f>IF(OR($A1675="",$L1675=""),"",IF(AND($N1675="Sí",$P1675="Sí"),"OTIF","Falló"))</f>
        <v/>
      </c>
    </row>
    <row r="1676" ht="16" customHeight="1">
      <c r="A1676" s="48" t="n"/>
      <c r="B1676" s="48" t="n"/>
      <c r="C1676" s="47" t="n"/>
      <c r="D1676" s="50" t="n"/>
      <c r="E1676" s="50" t="n"/>
      <c r="F1676" s="50" t="n"/>
      <c r="G1676" s="50" t="n"/>
      <c r="H1676" s="48" t="n"/>
      <c r="I1676" s="51" t="n"/>
      <c r="J1676" s="52" t="n"/>
      <c r="K1676" s="47" t="n"/>
      <c r="L1676" s="47" t="n"/>
      <c r="M1676" s="24">
        <f>IF(OR($A1676="",$C1676=""),"",IF($L1676&lt;&gt;"",$L1676-$C1676,TODAY()-$C1676))</f>
        <v/>
      </c>
      <c r="N1676" s="28">
        <f>IF(OR($A1676="",$K1676=""),"",IF($L1676="",IF(TODAY()&gt;$K1676,"Atrasado","En ruta"),IF($L1676&lt;=$K1676,"Sí","No")))</f>
        <v/>
      </c>
      <c r="O1676" s="24">
        <f>IF($A1676="","",COUNTIFS(NOVEDADES!$D$4:$D$1503,$A1676))</f>
        <v/>
      </c>
      <c r="P1676" s="28">
        <f>IF($A1676="","",IF(COUNTIFS(NOVEDADES!$D$4:$D$1503,$A1676,NOVEDADES!$O$4:$O$1503,"SÍ")&gt;0,"No","Sí"))</f>
        <v/>
      </c>
      <c r="Q1676" s="28">
        <f>IF(OR($A1676="",$L1676=""),"",IF(AND($N1676="Sí",$P1676="Sí"),"OTIF","Falló"))</f>
        <v/>
      </c>
    </row>
    <row r="1677" ht="16" customHeight="1">
      <c r="A1677" s="48" t="n"/>
      <c r="B1677" s="48" t="n"/>
      <c r="C1677" s="47" t="n"/>
      <c r="D1677" s="50" t="n"/>
      <c r="E1677" s="50" t="n"/>
      <c r="F1677" s="50" t="n"/>
      <c r="G1677" s="50" t="n"/>
      <c r="H1677" s="48" t="n"/>
      <c r="I1677" s="51" t="n"/>
      <c r="J1677" s="52" t="n"/>
      <c r="K1677" s="47" t="n"/>
      <c r="L1677" s="47" t="n"/>
      <c r="M1677" s="24">
        <f>IF(OR($A1677="",$C1677=""),"",IF($L1677&lt;&gt;"",$L1677-$C1677,TODAY()-$C1677))</f>
        <v/>
      </c>
      <c r="N1677" s="28">
        <f>IF(OR($A1677="",$K1677=""),"",IF($L1677="",IF(TODAY()&gt;$K1677,"Atrasado","En ruta"),IF($L1677&lt;=$K1677,"Sí","No")))</f>
        <v/>
      </c>
      <c r="O1677" s="24">
        <f>IF($A1677="","",COUNTIFS(NOVEDADES!$D$4:$D$1503,$A1677))</f>
        <v/>
      </c>
      <c r="P1677" s="28">
        <f>IF($A1677="","",IF(COUNTIFS(NOVEDADES!$D$4:$D$1503,$A1677,NOVEDADES!$O$4:$O$1503,"SÍ")&gt;0,"No","Sí"))</f>
        <v/>
      </c>
      <c r="Q1677" s="28">
        <f>IF(OR($A1677="",$L1677=""),"",IF(AND($N1677="Sí",$P1677="Sí"),"OTIF","Falló"))</f>
        <v/>
      </c>
    </row>
    <row r="1678" ht="16" customHeight="1">
      <c r="A1678" s="48" t="n"/>
      <c r="B1678" s="48" t="n"/>
      <c r="C1678" s="47" t="n"/>
      <c r="D1678" s="50" t="n"/>
      <c r="E1678" s="50" t="n"/>
      <c r="F1678" s="50" t="n"/>
      <c r="G1678" s="50" t="n"/>
      <c r="H1678" s="48" t="n"/>
      <c r="I1678" s="51" t="n"/>
      <c r="J1678" s="52" t="n"/>
      <c r="K1678" s="47" t="n"/>
      <c r="L1678" s="47" t="n"/>
      <c r="M1678" s="24">
        <f>IF(OR($A1678="",$C1678=""),"",IF($L1678&lt;&gt;"",$L1678-$C1678,TODAY()-$C1678))</f>
        <v/>
      </c>
      <c r="N1678" s="28">
        <f>IF(OR($A1678="",$K1678=""),"",IF($L1678="",IF(TODAY()&gt;$K1678,"Atrasado","En ruta"),IF($L1678&lt;=$K1678,"Sí","No")))</f>
        <v/>
      </c>
      <c r="O1678" s="24">
        <f>IF($A1678="","",COUNTIFS(NOVEDADES!$D$4:$D$1503,$A1678))</f>
        <v/>
      </c>
      <c r="P1678" s="28">
        <f>IF($A1678="","",IF(COUNTIFS(NOVEDADES!$D$4:$D$1503,$A1678,NOVEDADES!$O$4:$O$1503,"SÍ")&gt;0,"No","Sí"))</f>
        <v/>
      </c>
      <c r="Q1678" s="28">
        <f>IF(OR($A1678="",$L1678=""),"",IF(AND($N1678="Sí",$P1678="Sí"),"OTIF","Falló"))</f>
        <v/>
      </c>
    </row>
    <row r="1679" ht="16" customHeight="1">
      <c r="A1679" s="48" t="n"/>
      <c r="B1679" s="48" t="n"/>
      <c r="C1679" s="47" t="n"/>
      <c r="D1679" s="50" t="n"/>
      <c r="E1679" s="50" t="n"/>
      <c r="F1679" s="50" t="n"/>
      <c r="G1679" s="50" t="n"/>
      <c r="H1679" s="48" t="n"/>
      <c r="I1679" s="51" t="n"/>
      <c r="J1679" s="52" t="n"/>
      <c r="K1679" s="47" t="n"/>
      <c r="L1679" s="47" t="n"/>
      <c r="M1679" s="24">
        <f>IF(OR($A1679="",$C1679=""),"",IF($L1679&lt;&gt;"",$L1679-$C1679,TODAY()-$C1679))</f>
        <v/>
      </c>
      <c r="N1679" s="28">
        <f>IF(OR($A1679="",$K1679=""),"",IF($L1679="",IF(TODAY()&gt;$K1679,"Atrasado","En ruta"),IF($L1679&lt;=$K1679,"Sí","No")))</f>
        <v/>
      </c>
      <c r="O1679" s="24">
        <f>IF($A1679="","",COUNTIFS(NOVEDADES!$D$4:$D$1503,$A1679))</f>
        <v/>
      </c>
      <c r="P1679" s="28">
        <f>IF($A1679="","",IF(COUNTIFS(NOVEDADES!$D$4:$D$1503,$A1679,NOVEDADES!$O$4:$O$1503,"SÍ")&gt;0,"No","Sí"))</f>
        <v/>
      </c>
      <c r="Q1679" s="28">
        <f>IF(OR($A1679="",$L1679=""),"",IF(AND($N1679="Sí",$P1679="Sí"),"OTIF","Falló"))</f>
        <v/>
      </c>
    </row>
    <row r="1680" ht="16" customHeight="1">
      <c r="A1680" s="48" t="n"/>
      <c r="B1680" s="48" t="n"/>
      <c r="C1680" s="47" t="n"/>
      <c r="D1680" s="50" t="n"/>
      <c r="E1680" s="50" t="n"/>
      <c r="F1680" s="50" t="n"/>
      <c r="G1680" s="50" t="n"/>
      <c r="H1680" s="48" t="n"/>
      <c r="I1680" s="51" t="n"/>
      <c r="J1680" s="52" t="n"/>
      <c r="K1680" s="47" t="n"/>
      <c r="L1680" s="47" t="n"/>
      <c r="M1680" s="24">
        <f>IF(OR($A1680="",$C1680=""),"",IF($L1680&lt;&gt;"",$L1680-$C1680,TODAY()-$C1680))</f>
        <v/>
      </c>
      <c r="N1680" s="28">
        <f>IF(OR($A1680="",$K1680=""),"",IF($L1680="",IF(TODAY()&gt;$K1680,"Atrasado","En ruta"),IF($L1680&lt;=$K1680,"Sí","No")))</f>
        <v/>
      </c>
      <c r="O1680" s="24">
        <f>IF($A1680="","",COUNTIFS(NOVEDADES!$D$4:$D$1503,$A1680))</f>
        <v/>
      </c>
      <c r="P1680" s="28">
        <f>IF($A1680="","",IF(COUNTIFS(NOVEDADES!$D$4:$D$1503,$A1680,NOVEDADES!$O$4:$O$1503,"SÍ")&gt;0,"No","Sí"))</f>
        <v/>
      </c>
      <c r="Q1680" s="28">
        <f>IF(OR($A1680="",$L1680=""),"",IF(AND($N1680="Sí",$P1680="Sí"),"OTIF","Falló"))</f>
        <v/>
      </c>
    </row>
    <row r="1681" ht="16" customHeight="1">
      <c r="A1681" s="48" t="n"/>
      <c r="B1681" s="48" t="n"/>
      <c r="C1681" s="47" t="n"/>
      <c r="D1681" s="50" t="n"/>
      <c r="E1681" s="50" t="n"/>
      <c r="F1681" s="50" t="n"/>
      <c r="G1681" s="50" t="n"/>
      <c r="H1681" s="48" t="n"/>
      <c r="I1681" s="51" t="n"/>
      <c r="J1681" s="52" t="n"/>
      <c r="K1681" s="47" t="n"/>
      <c r="L1681" s="47" t="n"/>
      <c r="M1681" s="24">
        <f>IF(OR($A1681="",$C1681=""),"",IF($L1681&lt;&gt;"",$L1681-$C1681,TODAY()-$C1681))</f>
        <v/>
      </c>
      <c r="N1681" s="28">
        <f>IF(OR($A1681="",$K1681=""),"",IF($L1681="",IF(TODAY()&gt;$K1681,"Atrasado","En ruta"),IF($L1681&lt;=$K1681,"Sí","No")))</f>
        <v/>
      </c>
      <c r="O1681" s="24">
        <f>IF($A1681="","",COUNTIFS(NOVEDADES!$D$4:$D$1503,$A1681))</f>
        <v/>
      </c>
      <c r="P1681" s="28">
        <f>IF($A1681="","",IF(COUNTIFS(NOVEDADES!$D$4:$D$1503,$A1681,NOVEDADES!$O$4:$O$1503,"SÍ")&gt;0,"No","Sí"))</f>
        <v/>
      </c>
      <c r="Q1681" s="28">
        <f>IF(OR($A1681="",$L1681=""),"",IF(AND($N1681="Sí",$P1681="Sí"),"OTIF","Falló"))</f>
        <v/>
      </c>
    </row>
    <row r="1682" ht="16" customHeight="1">
      <c r="A1682" s="48" t="n"/>
      <c r="B1682" s="48" t="n"/>
      <c r="C1682" s="47" t="n"/>
      <c r="D1682" s="50" t="n"/>
      <c r="E1682" s="50" t="n"/>
      <c r="F1682" s="50" t="n"/>
      <c r="G1682" s="50" t="n"/>
      <c r="H1682" s="48" t="n"/>
      <c r="I1682" s="51" t="n"/>
      <c r="J1682" s="52" t="n"/>
      <c r="K1682" s="47" t="n"/>
      <c r="L1682" s="47" t="n"/>
      <c r="M1682" s="24">
        <f>IF(OR($A1682="",$C1682=""),"",IF($L1682&lt;&gt;"",$L1682-$C1682,TODAY()-$C1682))</f>
        <v/>
      </c>
      <c r="N1682" s="28">
        <f>IF(OR($A1682="",$K1682=""),"",IF($L1682="",IF(TODAY()&gt;$K1682,"Atrasado","En ruta"),IF($L1682&lt;=$K1682,"Sí","No")))</f>
        <v/>
      </c>
      <c r="O1682" s="24">
        <f>IF($A1682="","",COUNTIFS(NOVEDADES!$D$4:$D$1503,$A1682))</f>
        <v/>
      </c>
      <c r="P1682" s="28">
        <f>IF($A1682="","",IF(COUNTIFS(NOVEDADES!$D$4:$D$1503,$A1682,NOVEDADES!$O$4:$O$1503,"SÍ")&gt;0,"No","Sí"))</f>
        <v/>
      </c>
      <c r="Q1682" s="28">
        <f>IF(OR($A1682="",$L1682=""),"",IF(AND($N1682="Sí",$P1682="Sí"),"OTIF","Falló"))</f>
        <v/>
      </c>
    </row>
    <row r="1683" ht="16" customHeight="1">
      <c r="A1683" s="48" t="n"/>
      <c r="B1683" s="48" t="n"/>
      <c r="C1683" s="47" t="n"/>
      <c r="D1683" s="50" t="n"/>
      <c r="E1683" s="50" t="n"/>
      <c r="F1683" s="50" t="n"/>
      <c r="G1683" s="50" t="n"/>
      <c r="H1683" s="48" t="n"/>
      <c r="I1683" s="51" t="n"/>
      <c r="J1683" s="52" t="n"/>
      <c r="K1683" s="47" t="n"/>
      <c r="L1683" s="47" t="n"/>
      <c r="M1683" s="24">
        <f>IF(OR($A1683="",$C1683=""),"",IF($L1683&lt;&gt;"",$L1683-$C1683,TODAY()-$C1683))</f>
        <v/>
      </c>
      <c r="N1683" s="28">
        <f>IF(OR($A1683="",$K1683=""),"",IF($L1683="",IF(TODAY()&gt;$K1683,"Atrasado","En ruta"),IF($L1683&lt;=$K1683,"Sí","No")))</f>
        <v/>
      </c>
      <c r="O1683" s="24">
        <f>IF($A1683="","",COUNTIFS(NOVEDADES!$D$4:$D$1503,$A1683))</f>
        <v/>
      </c>
      <c r="P1683" s="28">
        <f>IF($A1683="","",IF(COUNTIFS(NOVEDADES!$D$4:$D$1503,$A1683,NOVEDADES!$O$4:$O$1503,"SÍ")&gt;0,"No","Sí"))</f>
        <v/>
      </c>
      <c r="Q1683" s="28">
        <f>IF(OR($A1683="",$L1683=""),"",IF(AND($N1683="Sí",$P1683="Sí"),"OTIF","Falló"))</f>
        <v/>
      </c>
    </row>
    <row r="1684" ht="16" customHeight="1">
      <c r="A1684" s="48" t="n"/>
      <c r="B1684" s="48" t="n"/>
      <c r="C1684" s="47" t="n"/>
      <c r="D1684" s="50" t="n"/>
      <c r="E1684" s="50" t="n"/>
      <c r="F1684" s="50" t="n"/>
      <c r="G1684" s="50" t="n"/>
      <c r="H1684" s="48" t="n"/>
      <c r="I1684" s="51" t="n"/>
      <c r="J1684" s="52" t="n"/>
      <c r="K1684" s="47" t="n"/>
      <c r="L1684" s="47" t="n"/>
      <c r="M1684" s="24">
        <f>IF(OR($A1684="",$C1684=""),"",IF($L1684&lt;&gt;"",$L1684-$C1684,TODAY()-$C1684))</f>
        <v/>
      </c>
      <c r="N1684" s="28">
        <f>IF(OR($A1684="",$K1684=""),"",IF($L1684="",IF(TODAY()&gt;$K1684,"Atrasado","En ruta"),IF($L1684&lt;=$K1684,"Sí","No")))</f>
        <v/>
      </c>
      <c r="O1684" s="24">
        <f>IF($A1684="","",COUNTIFS(NOVEDADES!$D$4:$D$1503,$A1684))</f>
        <v/>
      </c>
      <c r="P1684" s="28">
        <f>IF($A1684="","",IF(COUNTIFS(NOVEDADES!$D$4:$D$1503,$A1684,NOVEDADES!$O$4:$O$1503,"SÍ")&gt;0,"No","Sí"))</f>
        <v/>
      </c>
      <c r="Q1684" s="28">
        <f>IF(OR($A1684="",$L1684=""),"",IF(AND($N1684="Sí",$P1684="Sí"),"OTIF","Falló"))</f>
        <v/>
      </c>
    </row>
    <row r="1685" ht="16" customHeight="1">
      <c r="A1685" s="48" t="n"/>
      <c r="B1685" s="48" t="n"/>
      <c r="C1685" s="47" t="n"/>
      <c r="D1685" s="50" t="n"/>
      <c r="E1685" s="50" t="n"/>
      <c r="F1685" s="50" t="n"/>
      <c r="G1685" s="50" t="n"/>
      <c r="H1685" s="48" t="n"/>
      <c r="I1685" s="51" t="n"/>
      <c r="J1685" s="52" t="n"/>
      <c r="K1685" s="47" t="n"/>
      <c r="L1685" s="47" t="n"/>
      <c r="M1685" s="24">
        <f>IF(OR($A1685="",$C1685=""),"",IF($L1685&lt;&gt;"",$L1685-$C1685,TODAY()-$C1685))</f>
        <v/>
      </c>
      <c r="N1685" s="28">
        <f>IF(OR($A1685="",$K1685=""),"",IF($L1685="",IF(TODAY()&gt;$K1685,"Atrasado","En ruta"),IF($L1685&lt;=$K1685,"Sí","No")))</f>
        <v/>
      </c>
      <c r="O1685" s="24">
        <f>IF($A1685="","",COUNTIFS(NOVEDADES!$D$4:$D$1503,$A1685))</f>
        <v/>
      </c>
      <c r="P1685" s="28">
        <f>IF($A1685="","",IF(COUNTIFS(NOVEDADES!$D$4:$D$1503,$A1685,NOVEDADES!$O$4:$O$1503,"SÍ")&gt;0,"No","Sí"))</f>
        <v/>
      </c>
      <c r="Q1685" s="28">
        <f>IF(OR($A1685="",$L1685=""),"",IF(AND($N1685="Sí",$P1685="Sí"),"OTIF","Falló"))</f>
        <v/>
      </c>
    </row>
    <row r="1686" ht="16" customHeight="1">
      <c r="A1686" s="48" t="n"/>
      <c r="B1686" s="48" t="n"/>
      <c r="C1686" s="47" t="n"/>
      <c r="D1686" s="50" t="n"/>
      <c r="E1686" s="50" t="n"/>
      <c r="F1686" s="50" t="n"/>
      <c r="G1686" s="50" t="n"/>
      <c r="H1686" s="48" t="n"/>
      <c r="I1686" s="51" t="n"/>
      <c r="J1686" s="52" t="n"/>
      <c r="K1686" s="47" t="n"/>
      <c r="L1686" s="47" t="n"/>
      <c r="M1686" s="24">
        <f>IF(OR($A1686="",$C1686=""),"",IF($L1686&lt;&gt;"",$L1686-$C1686,TODAY()-$C1686))</f>
        <v/>
      </c>
      <c r="N1686" s="28">
        <f>IF(OR($A1686="",$K1686=""),"",IF($L1686="",IF(TODAY()&gt;$K1686,"Atrasado","En ruta"),IF($L1686&lt;=$K1686,"Sí","No")))</f>
        <v/>
      </c>
      <c r="O1686" s="24">
        <f>IF($A1686="","",COUNTIFS(NOVEDADES!$D$4:$D$1503,$A1686))</f>
        <v/>
      </c>
      <c r="P1686" s="28">
        <f>IF($A1686="","",IF(COUNTIFS(NOVEDADES!$D$4:$D$1503,$A1686,NOVEDADES!$O$4:$O$1503,"SÍ")&gt;0,"No","Sí"))</f>
        <v/>
      </c>
      <c r="Q1686" s="28">
        <f>IF(OR($A1686="",$L1686=""),"",IF(AND($N1686="Sí",$P1686="Sí"),"OTIF","Falló"))</f>
        <v/>
      </c>
    </row>
    <row r="1687" ht="16" customHeight="1">
      <c r="A1687" s="48" t="n"/>
      <c r="B1687" s="48" t="n"/>
      <c r="C1687" s="47" t="n"/>
      <c r="D1687" s="50" t="n"/>
      <c r="E1687" s="50" t="n"/>
      <c r="F1687" s="50" t="n"/>
      <c r="G1687" s="50" t="n"/>
      <c r="H1687" s="48" t="n"/>
      <c r="I1687" s="51" t="n"/>
      <c r="J1687" s="52" t="n"/>
      <c r="K1687" s="47" t="n"/>
      <c r="L1687" s="47" t="n"/>
      <c r="M1687" s="24">
        <f>IF(OR($A1687="",$C1687=""),"",IF($L1687&lt;&gt;"",$L1687-$C1687,TODAY()-$C1687))</f>
        <v/>
      </c>
      <c r="N1687" s="28">
        <f>IF(OR($A1687="",$K1687=""),"",IF($L1687="",IF(TODAY()&gt;$K1687,"Atrasado","En ruta"),IF($L1687&lt;=$K1687,"Sí","No")))</f>
        <v/>
      </c>
      <c r="O1687" s="24">
        <f>IF($A1687="","",COUNTIFS(NOVEDADES!$D$4:$D$1503,$A1687))</f>
        <v/>
      </c>
      <c r="P1687" s="28">
        <f>IF($A1687="","",IF(COUNTIFS(NOVEDADES!$D$4:$D$1503,$A1687,NOVEDADES!$O$4:$O$1503,"SÍ")&gt;0,"No","Sí"))</f>
        <v/>
      </c>
      <c r="Q1687" s="28">
        <f>IF(OR($A1687="",$L1687=""),"",IF(AND($N1687="Sí",$P1687="Sí"),"OTIF","Falló"))</f>
        <v/>
      </c>
    </row>
    <row r="1688" ht="16" customHeight="1">
      <c r="A1688" s="48" t="n"/>
      <c r="B1688" s="48" t="n"/>
      <c r="C1688" s="47" t="n"/>
      <c r="D1688" s="50" t="n"/>
      <c r="E1688" s="50" t="n"/>
      <c r="F1688" s="50" t="n"/>
      <c r="G1688" s="50" t="n"/>
      <c r="H1688" s="48" t="n"/>
      <c r="I1688" s="51" t="n"/>
      <c r="J1688" s="52" t="n"/>
      <c r="K1688" s="47" t="n"/>
      <c r="L1688" s="47" t="n"/>
      <c r="M1688" s="24">
        <f>IF(OR($A1688="",$C1688=""),"",IF($L1688&lt;&gt;"",$L1688-$C1688,TODAY()-$C1688))</f>
        <v/>
      </c>
      <c r="N1688" s="28">
        <f>IF(OR($A1688="",$K1688=""),"",IF($L1688="",IF(TODAY()&gt;$K1688,"Atrasado","En ruta"),IF($L1688&lt;=$K1688,"Sí","No")))</f>
        <v/>
      </c>
      <c r="O1688" s="24">
        <f>IF($A1688="","",COUNTIFS(NOVEDADES!$D$4:$D$1503,$A1688))</f>
        <v/>
      </c>
      <c r="P1688" s="28">
        <f>IF($A1688="","",IF(COUNTIFS(NOVEDADES!$D$4:$D$1503,$A1688,NOVEDADES!$O$4:$O$1503,"SÍ")&gt;0,"No","Sí"))</f>
        <v/>
      </c>
      <c r="Q1688" s="28">
        <f>IF(OR($A1688="",$L1688=""),"",IF(AND($N1688="Sí",$P1688="Sí"),"OTIF","Falló"))</f>
        <v/>
      </c>
    </row>
    <row r="1689" ht="16" customHeight="1">
      <c r="A1689" s="48" t="n"/>
      <c r="B1689" s="48" t="n"/>
      <c r="C1689" s="47" t="n"/>
      <c r="D1689" s="50" t="n"/>
      <c r="E1689" s="50" t="n"/>
      <c r="F1689" s="50" t="n"/>
      <c r="G1689" s="50" t="n"/>
      <c r="H1689" s="48" t="n"/>
      <c r="I1689" s="51" t="n"/>
      <c r="J1689" s="52" t="n"/>
      <c r="K1689" s="47" t="n"/>
      <c r="L1689" s="47" t="n"/>
      <c r="M1689" s="24">
        <f>IF(OR($A1689="",$C1689=""),"",IF($L1689&lt;&gt;"",$L1689-$C1689,TODAY()-$C1689))</f>
        <v/>
      </c>
      <c r="N1689" s="28">
        <f>IF(OR($A1689="",$K1689=""),"",IF($L1689="",IF(TODAY()&gt;$K1689,"Atrasado","En ruta"),IF($L1689&lt;=$K1689,"Sí","No")))</f>
        <v/>
      </c>
      <c r="O1689" s="24">
        <f>IF($A1689="","",COUNTIFS(NOVEDADES!$D$4:$D$1503,$A1689))</f>
        <v/>
      </c>
      <c r="P1689" s="28">
        <f>IF($A1689="","",IF(COUNTIFS(NOVEDADES!$D$4:$D$1503,$A1689,NOVEDADES!$O$4:$O$1503,"SÍ")&gt;0,"No","Sí"))</f>
        <v/>
      </c>
      <c r="Q1689" s="28">
        <f>IF(OR($A1689="",$L1689=""),"",IF(AND($N1689="Sí",$P1689="Sí"),"OTIF","Falló"))</f>
        <v/>
      </c>
    </row>
    <row r="1690" ht="16" customHeight="1">
      <c r="A1690" s="48" t="n"/>
      <c r="B1690" s="48" t="n"/>
      <c r="C1690" s="47" t="n"/>
      <c r="D1690" s="50" t="n"/>
      <c r="E1690" s="50" t="n"/>
      <c r="F1690" s="50" t="n"/>
      <c r="G1690" s="50" t="n"/>
      <c r="H1690" s="48" t="n"/>
      <c r="I1690" s="51" t="n"/>
      <c r="J1690" s="52" t="n"/>
      <c r="K1690" s="47" t="n"/>
      <c r="L1690" s="47" t="n"/>
      <c r="M1690" s="24">
        <f>IF(OR($A1690="",$C1690=""),"",IF($L1690&lt;&gt;"",$L1690-$C1690,TODAY()-$C1690))</f>
        <v/>
      </c>
      <c r="N1690" s="28">
        <f>IF(OR($A1690="",$K1690=""),"",IF($L1690="",IF(TODAY()&gt;$K1690,"Atrasado","En ruta"),IF($L1690&lt;=$K1690,"Sí","No")))</f>
        <v/>
      </c>
      <c r="O1690" s="24">
        <f>IF($A1690="","",COUNTIFS(NOVEDADES!$D$4:$D$1503,$A1690))</f>
        <v/>
      </c>
      <c r="P1690" s="28">
        <f>IF($A1690="","",IF(COUNTIFS(NOVEDADES!$D$4:$D$1503,$A1690,NOVEDADES!$O$4:$O$1503,"SÍ")&gt;0,"No","Sí"))</f>
        <v/>
      </c>
      <c r="Q1690" s="28">
        <f>IF(OR($A1690="",$L1690=""),"",IF(AND($N1690="Sí",$P1690="Sí"),"OTIF","Falló"))</f>
        <v/>
      </c>
    </row>
    <row r="1691" ht="16" customHeight="1">
      <c r="A1691" s="48" t="n"/>
      <c r="B1691" s="48" t="n"/>
      <c r="C1691" s="47" t="n"/>
      <c r="D1691" s="50" t="n"/>
      <c r="E1691" s="50" t="n"/>
      <c r="F1691" s="50" t="n"/>
      <c r="G1691" s="50" t="n"/>
      <c r="H1691" s="48" t="n"/>
      <c r="I1691" s="51" t="n"/>
      <c r="J1691" s="52" t="n"/>
      <c r="K1691" s="47" t="n"/>
      <c r="L1691" s="47" t="n"/>
      <c r="M1691" s="24">
        <f>IF(OR($A1691="",$C1691=""),"",IF($L1691&lt;&gt;"",$L1691-$C1691,TODAY()-$C1691))</f>
        <v/>
      </c>
      <c r="N1691" s="28">
        <f>IF(OR($A1691="",$K1691=""),"",IF($L1691="",IF(TODAY()&gt;$K1691,"Atrasado","En ruta"),IF($L1691&lt;=$K1691,"Sí","No")))</f>
        <v/>
      </c>
      <c r="O1691" s="24">
        <f>IF($A1691="","",COUNTIFS(NOVEDADES!$D$4:$D$1503,$A1691))</f>
        <v/>
      </c>
      <c r="P1691" s="28">
        <f>IF($A1691="","",IF(COUNTIFS(NOVEDADES!$D$4:$D$1503,$A1691,NOVEDADES!$O$4:$O$1503,"SÍ")&gt;0,"No","Sí"))</f>
        <v/>
      </c>
      <c r="Q1691" s="28">
        <f>IF(OR($A1691="",$L1691=""),"",IF(AND($N1691="Sí",$P1691="Sí"),"OTIF","Falló"))</f>
        <v/>
      </c>
    </row>
    <row r="1692" ht="16" customHeight="1">
      <c r="A1692" s="48" t="n"/>
      <c r="B1692" s="48" t="n"/>
      <c r="C1692" s="47" t="n"/>
      <c r="D1692" s="50" t="n"/>
      <c r="E1692" s="50" t="n"/>
      <c r="F1692" s="50" t="n"/>
      <c r="G1692" s="50" t="n"/>
      <c r="H1692" s="48" t="n"/>
      <c r="I1692" s="51" t="n"/>
      <c r="J1692" s="52" t="n"/>
      <c r="K1692" s="47" t="n"/>
      <c r="L1692" s="47" t="n"/>
      <c r="M1692" s="24">
        <f>IF(OR($A1692="",$C1692=""),"",IF($L1692&lt;&gt;"",$L1692-$C1692,TODAY()-$C1692))</f>
        <v/>
      </c>
      <c r="N1692" s="28">
        <f>IF(OR($A1692="",$K1692=""),"",IF($L1692="",IF(TODAY()&gt;$K1692,"Atrasado","En ruta"),IF($L1692&lt;=$K1692,"Sí","No")))</f>
        <v/>
      </c>
      <c r="O1692" s="24">
        <f>IF($A1692="","",COUNTIFS(NOVEDADES!$D$4:$D$1503,$A1692))</f>
        <v/>
      </c>
      <c r="P1692" s="28">
        <f>IF($A1692="","",IF(COUNTIFS(NOVEDADES!$D$4:$D$1503,$A1692,NOVEDADES!$O$4:$O$1503,"SÍ")&gt;0,"No","Sí"))</f>
        <v/>
      </c>
      <c r="Q1692" s="28">
        <f>IF(OR($A1692="",$L1692=""),"",IF(AND($N1692="Sí",$P1692="Sí"),"OTIF","Falló"))</f>
        <v/>
      </c>
    </row>
    <row r="1693" ht="16" customHeight="1">
      <c r="A1693" s="48" t="n"/>
      <c r="B1693" s="48" t="n"/>
      <c r="C1693" s="47" t="n"/>
      <c r="D1693" s="50" t="n"/>
      <c r="E1693" s="50" t="n"/>
      <c r="F1693" s="50" t="n"/>
      <c r="G1693" s="50" t="n"/>
      <c r="H1693" s="48" t="n"/>
      <c r="I1693" s="51" t="n"/>
      <c r="J1693" s="52" t="n"/>
      <c r="K1693" s="47" t="n"/>
      <c r="L1693" s="47" t="n"/>
      <c r="M1693" s="24">
        <f>IF(OR($A1693="",$C1693=""),"",IF($L1693&lt;&gt;"",$L1693-$C1693,TODAY()-$C1693))</f>
        <v/>
      </c>
      <c r="N1693" s="28">
        <f>IF(OR($A1693="",$K1693=""),"",IF($L1693="",IF(TODAY()&gt;$K1693,"Atrasado","En ruta"),IF($L1693&lt;=$K1693,"Sí","No")))</f>
        <v/>
      </c>
      <c r="O1693" s="24">
        <f>IF($A1693="","",COUNTIFS(NOVEDADES!$D$4:$D$1503,$A1693))</f>
        <v/>
      </c>
      <c r="P1693" s="28">
        <f>IF($A1693="","",IF(COUNTIFS(NOVEDADES!$D$4:$D$1503,$A1693,NOVEDADES!$O$4:$O$1503,"SÍ")&gt;0,"No","Sí"))</f>
        <v/>
      </c>
      <c r="Q1693" s="28">
        <f>IF(OR($A1693="",$L1693=""),"",IF(AND($N1693="Sí",$P1693="Sí"),"OTIF","Falló"))</f>
        <v/>
      </c>
    </row>
    <row r="1694" ht="16" customHeight="1">
      <c r="A1694" s="48" t="n"/>
      <c r="B1694" s="48" t="n"/>
      <c r="C1694" s="47" t="n"/>
      <c r="D1694" s="50" t="n"/>
      <c r="E1694" s="50" t="n"/>
      <c r="F1694" s="50" t="n"/>
      <c r="G1694" s="50" t="n"/>
      <c r="H1694" s="48" t="n"/>
      <c r="I1694" s="51" t="n"/>
      <c r="J1694" s="52" t="n"/>
      <c r="K1694" s="47" t="n"/>
      <c r="L1694" s="47" t="n"/>
      <c r="M1694" s="24">
        <f>IF(OR($A1694="",$C1694=""),"",IF($L1694&lt;&gt;"",$L1694-$C1694,TODAY()-$C1694))</f>
        <v/>
      </c>
      <c r="N1694" s="28">
        <f>IF(OR($A1694="",$K1694=""),"",IF($L1694="",IF(TODAY()&gt;$K1694,"Atrasado","En ruta"),IF($L1694&lt;=$K1694,"Sí","No")))</f>
        <v/>
      </c>
      <c r="O1694" s="24">
        <f>IF($A1694="","",COUNTIFS(NOVEDADES!$D$4:$D$1503,$A1694))</f>
        <v/>
      </c>
      <c r="P1694" s="28">
        <f>IF($A1694="","",IF(COUNTIFS(NOVEDADES!$D$4:$D$1503,$A1694,NOVEDADES!$O$4:$O$1503,"SÍ")&gt;0,"No","Sí"))</f>
        <v/>
      </c>
      <c r="Q1694" s="28">
        <f>IF(OR($A1694="",$L1694=""),"",IF(AND($N1694="Sí",$P1694="Sí"),"OTIF","Falló"))</f>
        <v/>
      </c>
    </row>
    <row r="1695" ht="16" customHeight="1">
      <c r="A1695" s="48" t="n"/>
      <c r="B1695" s="48" t="n"/>
      <c r="C1695" s="47" t="n"/>
      <c r="D1695" s="50" t="n"/>
      <c r="E1695" s="50" t="n"/>
      <c r="F1695" s="50" t="n"/>
      <c r="G1695" s="50" t="n"/>
      <c r="H1695" s="48" t="n"/>
      <c r="I1695" s="51" t="n"/>
      <c r="J1695" s="52" t="n"/>
      <c r="K1695" s="47" t="n"/>
      <c r="L1695" s="47" t="n"/>
      <c r="M1695" s="24">
        <f>IF(OR($A1695="",$C1695=""),"",IF($L1695&lt;&gt;"",$L1695-$C1695,TODAY()-$C1695))</f>
        <v/>
      </c>
      <c r="N1695" s="28">
        <f>IF(OR($A1695="",$K1695=""),"",IF($L1695="",IF(TODAY()&gt;$K1695,"Atrasado","En ruta"),IF($L1695&lt;=$K1695,"Sí","No")))</f>
        <v/>
      </c>
      <c r="O1695" s="24">
        <f>IF($A1695="","",COUNTIFS(NOVEDADES!$D$4:$D$1503,$A1695))</f>
        <v/>
      </c>
      <c r="P1695" s="28">
        <f>IF($A1695="","",IF(COUNTIFS(NOVEDADES!$D$4:$D$1503,$A1695,NOVEDADES!$O$4:$O$1503,"SÍ")&gt;0,"No","Sí"))</f>
        <v/>
      </c>
      <c r="Q1695" s="28">
        <f>IF(OR($A1695="",$L1695=""),"",IF(AND($N1695="Sí",$P1695="Sí"),"OTIF","Falló"))</f>
        <v/>
      </c>
    </row>
    <row r="1696" ht="16" customHeight="1">
      <c r="A1696" s="48" t="n"/>
      <c r="B1696" s="48" t="n"/>
      <c r="C1696" s="47" t="n"/>
      <c r="D1696" s="50" t="n"/>
      <c r="E1696" s="50" t="n"/>
      <c r="F1696" s="50" t="n"/>
      <c r="G1696" s="50" t="n"/>
      <c r="H1696" s="48" t="n"/>
      <c r="I1696" s="51" t="n"/>
      <c r="J1696" s="52" t="n"/>
      <c r="K1696" s="47" t="n"/>
      <c r="L1696" s="47" t="n"/>
      <c r="M1696" s="24">
        <f>IF(OR($A1696="",$C1696=""),"",IF($L1696&lt;&gt;"",$L1696-$C1696,TODAY()-$C1696))</f>
        <v/>
      </c>
      <c r="N1696" s="28">
        <f>IF(OR($A1696="",$K1696=""),"",IF($L1696="",IF(TODAY()&gt;$K1696,"Atrasado","En ruta"),IF($L1696&lt;=$K1696,"Sí","No")))</f>
        <v/>
      </c>
      <c r="O1696" s="24">
        <f>IF($A1696="","",COUNTIFS(NOVEDADES!$D$4:$D$1503,$A1696))</f>
        <v/>
      </c>
      <c r="P1696" s="28">
        <f>IF($A1696="","",IF(COUNTIFS(NOVEDADES!$D$4:$D$1503,$A1696,NOVEDADES!$O$4:$O$1503,"SÍ")&gt;0,"No","Sí"))</f>
        <v/>
      </c>
      <c r="Q1696" s="28">
        <f>IF(OR($A1696="",$L1696=""),"",IF(AND($N1696="Sí",$P1696="Sí"),"OTIF","Falló"))</f>
        <v/>
      </c>
    </row>
    <row r="1697" ht="16" customHeight="1">
      <c r="A1697" s="48" t="n"/>
      <c r="B1697" s="48" t="n"/>
      <c r="C1697" s="47" t="n"/>
      <c r="D1697" s="50" t="n"/>
      <c r="E1697" s="50" t="n"/>
      <c r="F1697" s="50" t="n"/>
      <c r="G1697" s="50" t="n"/>
      <c r="H1697" s="48" t="n"/>
      <c r="I1697" s="51" t="n"/>
      <c r="J1697" s="52" t="n"/>
      <c r="K1697" s="47" t="n"/>
      <c r="L1697" s="47" t="n"/>
      <c r="M1697" s="24">
        <f>IF(OR($A1697="",$C1697=""),"",IF($L1697&lt;&gt;"",$L1697-$C1697,TODAY()-$C1697))</f>
        <v/>
      </c>
      <c r="N1697" s="28">
        <f>IF(OR($A1697="",$K1697=""),"",IF($L1697="",IF(TODAY()&gt;$K1697,"Atrasado","En ruta"),IF($L1697&lt;=$K1697,"Sí","No")))</f>
        <v/>
      </c>
      <c r="O1697" s="24">
        <f>IF($A1697="","",COUNTIFS(NOVEDADES!$D$4:$D$1503,$A1697))</f>
        <v/>
      </c>
      <c r="P1697" s="28">
        <f>IF($A1697="","",IF(COUNTIFS(NOVEDADES!$D$4:$D$1503,$A1697,NOVEDADES!$O$4:$O$1503,"SÍ")&gt;0,"No","Sí"))</f>
        <v/>
      </c>
      <c r="Q1697" s="28">
        <f>IF(OR($A1697="",$L1697=""),"",IF(AND($N1697="Sí",$P1697="Sí"),"OTIF","Falló"))</f>
        <v/>
      </c>
    </row>
    <row r="1698" ht="16" customHeight="1">
      <c r="A1698" s="48" t="n"/>
      <c r="B1698" s="48" t="n"/>
      <c r="C1698" s="47" t="n"/>
      <c r="D1698" s="50" t="n"/>
      <c r="E1698" s="50" t="n"/>
      <c r="F1698" s="50" t="n"/>
      <c r="G1698" s="50" t="n"/>
      <c r="H1698" s="48" t="n"/>
      <c r="I1698" s="51" t="n"/>
      <c r="J1698" s="52" t="n"/>
      <c r="K1698" s="47" t="n"/>
      <c r="L1698" s="47" t="n"/>
      <c r="M1698" s="24">
        <f>IF(OR($A1698="",$C1698=""),"",IF($L1698&lt;&gt;"",$L1698-$C1698,TODAY()-$C1698))</f>
        <v/>
      </c>
      <c r="N1698" s="28">
        <f>IF(OR($A1698="",$K1698=""),"",IF($L1698="",IF(TODAY()&gt;$K1698,"Atrasado","En ruta"),IF($L1698&lt;=$K1698,"Sí","No")))</f>
        <v/>
      </c>
      <c r="O1698" s="24">
        <f>IF($A1698="","",COUNTIFS(NOVEDADES!$D$4:$D$1503,$A1698))</f>
        <v/>
      </c>
      <c r="P1698" s="28">
        <f>IF($A1698="","",IF(COUNTIFS(NOVEDADES!$D$4:$D$1503,$A1698,NOVEDADES!$O$4:$O$1503,"SÍ")&gt;0,"No","Sí"))</f>
        <v/>
      </c>
      <c r="Q1698" s="28">
        <f>IF(OR($A1698="",$L1698=""),"",IF(AND($N1698="Sí",$P1698="Sí"),"OTIF","Falló"))</f>
        <v/>
      </c>
    </row>
    <row r="1699" ht="16" customHeight="1">
      <c r="A1699" s="48" t="n"/>
      <c r="B1699" s="48" t="n"/>
      <c r="C1699" s="47" t="n"/>
      <c r="D1699" s="50" t="n"/>
      <c r="E1699" s="50" t="n"/>
      <c r="F1699" s="50" t="n"/>
      <c r="G1699" s="50" t="n"/>
      <c r="H1699" s="48" t="n"/>
      <c r="I1699" s="51" t="n"/>
      <c r="J1699" s="52" t="n"/>
      <c r="K1699" s="47" t="n"/>
      <c r="L1699" s="47" t="n"/>
      <c r="M1699" s="24">
        <f>IF(OR($A1699="",$C1699=""),"",IF($L1699&lt;&gt;"",$L1699-$C1699,TODAY()-$C1699))</f>
        <v/>
      </c>
      <c r="N1699" s="28">
        <f>IF(OR($A1699="",$K1699=""),"",IF($L1699="",IF(TODAY()&gt;$K1699,"Atrasado","En ruta"),IF($L1699&lt;=$K1699,"Sí","No")))</f>
        <v/>
      </c>
      <c r="O1699" s="24">
        <f>IF($A1699="","",COUNTIFS(NOVEDADES!$D$4:$D$1503,$A1699))</f>
        <v/>
      </c>
      <c r="P1699" s="28">
        <f>IF($A1699="","",IF(COUNTIFS(NOVEDADES!$D$4:$D$1503,$A1699,NOVEDADES!$O$4:$O$1503,"SÍ")&gt;0,"No","Sí"))</f>
        <v/>
      </c>
      <c r="Q1699" s="28">
        <f>IF(OR($A1699="",$L1699=""),"",IF(AND($N1699="Sí",$P1699="Sí"),"OTIF","Falló"))</f>
        <v/>
      </c>
    </row>
    <row r="1700" ht="16" customHeight="1">
      <c r="A1700" s="48" t="n"/>
      <c r="B1700" s="48" t="n"/>
      <c r="C1700" s="47" t="n"/>
      <c r="D1700" s="50" t="n"/>
      <c r="E1700" s="50" t="n"/>
      <c r="F1700" s="50" t="n"/>
      <c r="G1700" s="50" t="n"/>
      <c r="H1700" s="48" t="n"/>
      <c r="I1700" s="51" t="n"/>
      <c r="J1700" s="52" t="n"/>
      <c r="K1700" s="47" t="n"/>
      <c r="L1700" s="47" t="n"/>
      <c r="M1700" s="24">
        <f>IF(OR($A1700="",$C1700=""),"",IF($L1700&lt;&gt;"",$L1700-$C1700,TODAY()-$C1700))</f>
        <v/>
      </c>
      <c r="N1700" s="28">
        <f>IF(OR($A1700="",$K1700=""),"",IF($L1700="",IF(TODAY()&gt;$K1700,"Atrasado","En ruta"),IF($L1700&lt;=$K1700,"Sí","No")))</f>
        <v/>
      </c>
      <c r="O1700" s="24">
        <f>IF($A1700="","",COUNTIFS(NOVEDADES!$D$4:$D$1503,$A1700))</f>
        <v/>
      </c>
      <c r="P1700" s="28">
        <f>IF($A1700="","",IF(COUNTIFS(NOVEDADES!$D$4:$D$1503,$A1700,NOVEDADES!$O$4:$O$1503,"SÍ")&gt;0,"No","Sí"))</f>
        <v/>
      </c>
      <c r="Q1700" s="28">
        <f>IF(OR($A1700="",$L1700=""),"",IF(AND($N1700="Sí",$P1700="Sí"),"OTIF","Falló"))</f>
        <v/>
      </c>
    </row>
    <row r="1701" ht="16" customHeight="1">
      <c r="A1701" s="48" t="n"/>
      <c r="B1701" s="48" t="n"/>
      <c r="C1701" s="47" t="n"/>
      <c r="D1701" s="50" t="n"/>
      <c r="E1701" s="50" t="n"/>
      <c r="F1701" s="50" t="n"/>
      <c r="G1701" s="50" t="n"/>
      <c r="H1701" s="48" t="n"/>
      <c r="I1701" s="51" t="n"/>
      <c r="J1701" s="52" t="n"/>
      <c r="K1701" s="47" t="n"/>
      <c r="L1701" s="47" t="n"/>
      <c r="M1701" s="24">
        <f>IF(OR($A1701="",$C1701=""),"",IF($L1701&lt;&gt;"",$L1701-$C1701,TODAY()-$C1701))</f>
        <v/>
      </c>
      <c r="N1701" s="28">
        <f>IF(OR($A1701="",$K1701=""),"",IF($L1701="",IF(TODAY()&gt;$K1701,"Atrasado","En ruta"),IF($L1701&lt;=$K1701,"Sí","No")))</f>
        <v/>
      </c>
      <c r="O1701" s="24">
        <f>IF($A1701="","",COUNTIFS(NOVEDADES!$D$4:$D$1503,$A1701))</f>
        <v/>
      </c>
      <c r="P1701" s="28">
        <f>IF($A1701="","",IF(COUNTIFS(NOVEDADES!$D$4:$D$1503,$A1701,NOVEDADES!$O$4:$O$1503,"SÍ")&gt;0,"No","Sí"))</f>
        <v/>
      </c>
      <c r="Q1701" s="28">
        <f>IF(OR($A1701="",$L1701=""),"",IF(AND($N1701="Sí",$P1701="Sí"),"OTIF","Falló"))</f>
        <v/>
      </c>
    </row>
    <row r="1702" ht="16" customHeight="1">
      <c r="A1702" s="48" t="n"/>
      <c r="B1702" s="48" t="n"/>
      <c r="C1702" s="47" t="n"/>
      <c r="D1702" s="50" t="n"/>
      <c r="E1702" s="50" t="n"/>
      <c r="F1702" s="50" t="n"/>
      <c r="G1702" s="50" t="n"/>
      <c r="H1702" s="48" t="n"/>
      <c r="I1702" s="51" t="n"/>
      <c r="J1702" s="52" t="n"/>
      <c r="K1702" s="47" t="n"/>
      <c r="L1702" s="47" t="n"/>
      <c r="M1702" s="24">
        <f>IF(OR($A1702="",$C1702=""),"",IF($L1702&lt;&gt;"",$L1702-$C1702,TODAY()-$C1702))</f>
        <v/>
      </c>
      <c r="N1702" s="28">
        <f>IF(OR($A1702="",$K1702=""),"",IF($L1702="",IF(TODAY()&gt;$K1702,"Atrasado","En ruta"),IF($L1702&lt;=$K1702,"Sí","No")))</f>
        <v/>
      </c>
      <c r="O1702" s="24">
        <f>IF($A1702="","",COUNTIFS(NOVEDADES!$D$4:$D$1503,$A1702))</f>
        <v/>
      </c>
      <c r="P1702" s="28">
        <f>IF($A1702="","",IF(COUNTIFS(NOVEDADES!$D$4:$D$1503,$A1702,NOVEDADES!$O$4:$O$1503,"SÍ")&gt;0,"No","Sí"))</f>
        <v/>
      </c>
      <c r="Q1702" s="28">
        <f>IF(OR($A1702="",$L1702=""),"",IF(AND($N1702="Sí",$P1702="Sí"),"OTIF","Falló"))</f>
        <v/>
      </c>
    </row>
    <row r="1703" ht="16" customHeight="1">
      <c r="A1703" s="48" t="n"/>
      <c r="B1703" s="48" t="n"/>
      <c r="C1703" s="47" t="n"/>
      <c r="D1703" s="50" t="n"/>
      <c r="E1703" s="50" t="n"/>
      <c r="F1703" s="50" t="n"/>
      <c r="G1703" s="50" t="n"/>
      <c r="H1703" s="48" t="n"/>
      <c r="I1703" s="51" t="n"/>
      <c r="J1703" s="52" t="n"/>
      <c r="K1703" s="47" t="n"/>
      <c r="L1703" s="47" t="n"/>
      <c r="M1703" s="24">
        <f>IF(OR($A1703="",$C1703=""),"",IF($L1703&lt;&gt;"",$L1703-$C1703,TODAY()-$C1703))</f>
        <v/>
      </c>
      <c r="N1703" s="28">
        <f>IF(OR($A1703="",$K1703=""),"",IF($L1703="",IF(TODAY()&gt;$K1703,"Atrasado","En ruta"),IF($L1703&lt;=$K1703,"Sí","No")))</f>
        <v/>
      </c>
      <c r="O1703" s="24">
        <f>IF($A1703="","",COUNTIFS(NOVEDADES!$D$4:$D$1503,$A1703))</f>
        <v/>
      </c>
      <c r="P1703" s="28">
        <f>IF($A1703="","",IF(COUNTIFS(NOVEDADES!$D$4:$D$1503,$A1703,NOVEDADES!$O$4:$O$1503,"SÍ")&gt;0,"No","Sí"))</f>
        <v/>
      </c>
      <c r="Q1703" s="28">
        <f>IF(OR($A1703="",$L1703=""),"",IF(AND($N1703="Sí",$P1703="Sí"),"OTIF","Falló"))</f>
        <v/>
      </c>
    </row>
    <row r="1704" ht="16" customHeight="1">
      <c r="A1704" s="48" t="n"/>
      <c r="B1704" s="48" t="n"/>
      <c r="C1704" s="47" t="n"/>
      <c r="D1704" s="50" t="n"/>
      <c r="E1704" s="50" t="n"/>
      <c r="F1704" s="50" t="n"/>
      <c r="G1704" s="50" t="n"/>
      <c r="H1704" s="48" t="n"/>
      <c r="I1704" s="51" t="n"/>
      <c r="J1704" s="52" t="n"/>
      <c r="K1704" s="47" t="n"/>
      <c r="L1704" s="47" t="n"/>
      <c r="M1704" s="24">
        <f>IF(OR($A1704="",$C1704=""),"",IF($L1704&lt;&gt;"",$L1704-$C1704,TODAY()-$C1704))</f>
        <v/>
      </c>
      <c r="N1704" s="28">
        <f>IF(OR($A1704="",$K1704=""),"",IF($L1704="",IF(TODAY()&gt;$K1704,"Atrasado","En ruta"),IF($L1704&lt;=$K1704,"Sí","No")))</f>
        <v/>
      </c>
      <c r="O1704" s="24">
        <f>IF($A1704="","",COUNTIFS(NOVEDADES!$D$4:$D$1503,$A1704))</f>
        <v/>
      </c>
      <c r="P1704" s="28">
        <f>IF($A1704="","",IF(COUNTIFS(NOVEDADES!$D$4:$D$1503,$A1704,NOVEDADES!$O$4:$O$1503,"SÍ")&gt;0,"No","Sí"))</f>
        <v/>
      </c>
      <c r="Q1704" s="28">
        <f>IF(OR($A1704="",$L1704=""),"",IF(AND($N1704="Sí",$P1704="Sí"),"OTIF","Falló"))</f>
        <v/>
      </c>
    </row>
    <row r="1705" ht="16" customHeight="1">
      <c r="A1705" s="48" t="n"/>
      <c r="B1705" s="48" t="n"/>
      <c r="C1705" s="47" t="n"/>
      <c r="D1705" s="50" t="n"/>
      <c r="E1705" s="50" t="n"/>
      <c r="F1705" s="50" t="n"/>
      <c r="G1705" s="50" t="n"/>
      <c r="H1705" s="48" t="n"/>
      <c r="I1705" s="51" t="n"/>
      <c r="J1705" s="52" t="n"/>
      <c r="K1705" s="47" t="n"/>
      <c r="L1705" s="47" t="n"/>
      <c r="M1705" s="24">
        <f>IF(OR($A1705="",$C1705=""),"",IF($L1705&lt;&gt;"",$L1705-$C1705,TODAY()-$C1705))</f>
        <v/>
      </c>
      <c r="N1705" s="28">
        <f>IF(OR($A1705="",$K1705=""),"",IF($L1705="",IF(TODAY()&gt;$K1705,"Atrasado","En ruta"),IF($L1705&lt;=$K1705,"Sí","No")))</f>
        <v/>
      </c>
      <c r="O1705" s="24">
        <f>IF($A1705="","",COUNTIFS(NOVEDADES!$D$4:$D$1503,$A1705))</f>
        <v/>
      </c>
      <c r="P1705" s="28">
        <f>IF($A1705="","",IF(COUNTIFS(NOVEDADES!$D$4:$D$1503,$A1705,NOVEDADES!$O$4:$O$1503,"SÍ")&gt;0,"No","Sí"))</f>
        <v/>
      </c>
      <c r="Q1705" s="28">
        <f>IF(OR($A1705="",$L1705=""),"",IF(AND($N1705="Sí",$P1705="Sí"),"OTIF","Falló"))</f>
        <v/>
      </c>
    </row>
    <row r="1706" ht="16" customHeight="1">
      <c r="A1706" s="48" t="n"/>
      <c r="B1706" s="48" t="n"/>
      <c r="C1706" s="47" t="n"/>
      <c r="D1706" s="50" t="n"/>
      <c r="E1706" s="50" t="n"/>
      <c r="F1706" s="50" t="n"/>
      <c r="G1706" s="50" t="n"/>
      <c r="H1706" s="48" t="n"/>
      <c r="I1706" s="51" t="n"/>
      <c r="J1706" s="52" t="n"/>
      <c r="K1706" s="47" t="n"/>
      <c r="L1706" s="47" t="n"/>
      <c r="M1706" s="24">
        <f>IF(OR($A1706="",$C1706=""),"",IF($L1706&lt;&gt;"",$L1706-$C1706,TODAY()-$C1706))</f>
        <v/>
      </c>
      <c r="N1706" s="28">
        <f>IF(OR($A1706="",$K1706=""),"",IF($L1706="",IF(TODAY()&gt;$K1706,"Atrasado","En ruta"),IF($L1706&lt;=$K1706,"Sí","No")))</f>
        <v/>
      </c>
      <c r="O1706" s="24">
        <f>IF($A1706="","",COUNTIFS(NOVEDADES!$D$4:$D$1503,$A1706))</f>
        <v/>
      </c>
      <c r="P1706" s="28">
        <f>IF($A1706="","",IF(COUNTIFS(NOVEDADES!$D$4:$D$1503,$A1706,NOVEDADES!$O$4:$O$1503,"SÍ")&gt;0,"No","Sí"))</f>
        <v/>
      </c>
      <c r="Q1706" s="28">
        <f>IF(OR($A1706="",$L1706=""),"",IF(AND($N1706="Sí",$P1706="Sí"),"OTIF","Falló"))</f>
        <v/>
      </c>
    </row>
    <row r="1707" ht="16" customHeight="1">
      <c r="A1707" s="48" t="n"/>
      <c r="B1707" s="48" t="n"/>
      <c r="C1707" s="47" t="n"/>
      <c r="D1707" s="50" t="n"/>
      <c r="E1707" s="50" t="n"/>
      <c r="F1707" s="50" t="n"/>
      <c r="G1707" s="50" t="n"/>
      <c r="H1707" s="48" t="n"/>
      <c r="I1707" s="51" t="n"/>
      <c r="J1707" s="52" t="n"/>
      <c r="K1707" s="47" t="n"/>
      <c r="L1707" s="47" t="n"/>
      <c r="M1707" s="24">
        <f>IF(OR($A1707="",$C1707=""),"",IF($L1707&lt;&gt;"",$L1707-$C1707,TODAY()-$C1707))</f>
        <v/>
      </c>
      <c r="N1707" s="28">
        <f>IF(OR($A1707="",$K1707=""),"",IF($L1707="",IF(TODAY()&gt;$K1707,"Atrasado","En ruta"),IF($L1707&lt;=$K1707,"Sí","No")))</f>
        <v/>
      </c>
      <c r="O1707" s="24">
        <f>IF($A1707="","",COUNTIFS(NOVEDADES!$D$4:$D$1503,$A1707))</f>
        <v/>
      </c>
      <c r="P1707" s="28">
        <f>IF($A1707="","",IF(COUNTIFS(NOVEDADES!$D$4:$D$1503,$A1707,NOVEDADES!$O$4:$O$1503,"SÍ")&gt;0,"No","Sí"))</f>
        <v/>
      </c>
      <c r="Q1707" s="28">
        <f>IF(OR($A1707="",$L1707=""),"",IF(AND($N1707="Sí",$P1707="Sí"),"OTIF","Falló"))</f>
        <v/>
      </c>
    </row>
    <row r="1708" ht="16" customHeight="1">
      <c r="A1708" s="48" t="n"/>
      <c r="B1708" s="48" t="n"/>
      <c r="C1708" s="47" t="n"/>
      <c r="D1708" s="50" t="n"/>
      <c r="E1708" s="50" t="n"/>
      <c r="F1708" s="50" t="n"/>
      <c r="G1708" s="50" t="n"/>
      <c r="H1708" s="48" t="n"/>
      <c r="I1708" s="51" t="n"/>
      <c r="J1708" s="52" t="n"/>
      <c r="K1708" s="47" t="n"/>
      <c r="L1708" s="47" t="n"/>
      <c r="M1708" s="24">
        <f>IF(OR($A1708="",$C1708=""),"",IF($L1708&lt;&gt;"",$L1708-$C1708,TODAY()-$C1708))</f>
        <v/>
      </c>
      <c r="N1708" s="28">
        <f>IF(OR($A1708="",$K1708=""),"",IF($L1708="",IF(TODAY()&gt;$K1708,"Atrasado","En ruta"),IF($L1708&lt;=$K1708,"Sí","No")))</f>
        <v/>
      </c>
      <c r="O1708" s="24">
        <f>IF($A1708="","",COUNTIFS(NOVEDADES!$D$4:$D$1503,$A1708))</f>
        <v/>
      </c>
      <c r="P1708" s="28">
        <f>IF($A1708="","",IF(COUNTIFS(NOVEDADES!$D$4:$D$1503,$A1708,NOVEDADES!$O$4:$O$1503,"SÍ")&gt;0,"No","Sí"))</f>
        <v/>
      </c>
      <c r="Q1708" s="28">
        <f>IF(OR($A1708="",$L1708=""),"",IF(AND($N1708="Sí",$P1708="Sí"),"OTIF","Falló"))</f>
        <v/>
      </c>
    </row>
    <row r="1709" ht="16" customHeight="1">
      <c r="A1709" s="48" t="n"/>
      <c r="B1709" s="48" t="n"/>
      <c r="C1709" s="47" t="n"/>
      <c r="D1709" s="50" t="n"/>
      <c r="E1709" s="50" t="n"/>
      <c r="F1709" s="50" t="n"/>
      <c r="G1709" s="50" t="n"/>
      <c r="H1709" s="48" t="n"/>
      <c r="I1709" s="51" t="n"/>
      <c r="J1709" s="52" t="n"/>
      <c r="K1709" s="47" t="n"/>
      <c r="L1709" s="47" t="n"/>
      <c r="M1709" s="24">
        <f>IF(OR($A1709="",$C1709=""),"",IF($L1709&lt;&gt;"",$L1709-$C1709,TODAY()-$C1709))</f>
        <v/>
      </c>
      <c r="N1709" s="28">
        <f>IF(OR($A1709="",$K1709=""),"",IF($L1709="",IF(TODAY()&gt;$K1709,"Atrasado","En ruta"),IF($L1709&lt;=$K1709,"Sí","No")))</f>
        <v/>
      </c>
      <c r="O1709" s="24">
        <f>IF($A1709="","",COUNTIFS(NOVEDADES!$D$4:$D$1503,$A1709))</f>
        <v/>
      </c>
      <c r="P1709" s="28">
        <f>IF($A1709="","",IF(COUNTIFS(NOVEDADES!$D$4:$D$1503,$A1709,NOVEDADES!$O$4:$O$1503,"SÍ")&gt;0,"No","Sí"))</f>
        <v/>
      </c>
      <c r="Q1709" s="28">
        <f>IF(OR($A1709="",$L1709=""),"",IF(AND($N1709="Sí",$P1709="Sí"),"OTIF","Falló"))</f>
        <v/>
      </c>
    </row>
    <row r="1710" ht="16" customHeight="1">
      <c r="A1710" s="48" t="n"/>
      <c r="B1710" s="48" t="n"/>
      <c r="C1710" s="47" t="n"/>
      <c r="D1710" s="50" t="n"/>
      <c r="E1710" s="50" t="n"/>
      <c r="F1710" s="50" t="n"/>
      <c r="G1710" s="50" t="n"/>
      <c r="H1710" s="48" t="n"/>
      <c r="I1710" s="51" t="n"/>
      <c r="J1710" s="52" t="n"/>
      <c r="K1710" s="47" t="n"/>
      <c r="L1710" s="47" t="n"/>
      <c r="M1710" s="24">
        <f>IF(OR($A1710="",$C1710=""),"",IF($L1710&lt;&gt;"",$L1710-$C1710,TODAY()-$C1710))</f>
        <v/>
      </c>
      <c r="N1710" s="28">
        <f>IF(OR($A1710="",$K1710=""),"",IF($L1710="",IF(TODAY()&gt;$K1710,"Atrasado","En ruta"),IF($L1710&lt;=$K1710,"Sí","No")))</f>
        <v/>
      </c>
      <c r="O1710" s="24">
        <f>IF($A1710="","",COUNTIFS(NOVEDADES!$D$4:$D$1503,$A1710))</f>
        <v/>
      </c>
      <c r="P1710" s="28">
        <f>IF($A1710="","",IF(COUNTIFS(NOVEDADES!$D$4:$D$1503,$A1710,NOVEDADES!$O$4:$O$1503,"SÍ")&gt;0,"No","Sí"))</f>
        <v/>
      </c>
      <c r="Q1710" s="28">
        <f>IF(OR($A1710="",$L1710=""),"",IF(AND($N1710="Sí",$P1710="Sí"),"OTIF","Falló"))</f>
        <v/>
      </c>
    </row>
    <row r="1711" ht="16" customHeight="1">
      <c r="A1711" s="48" t="n"/>
      <c r="B1711" s="48" t="n"/>
      <c r="C1711" s="47" t="n"/>
      <c r="D1711" s="50" t="n"/>
      <c r="E1711" s="50" t="n"/>
      <c r="F1711" s="50" t="n"/>
      <c r="G1711" s="50" t="n"/>
      <c r="H1711" s="48" t="n"/>
      <c r="I1711" s="51" t="n"/>
      <c r="J1711" s="52" t="n"/>
      <c r="K1711" s="47" t="n"/>
      <c r="L1711" s="47" t="n"/>
      <c r="M1711" s="24">
        <f>IF(OR($A1711="",$C1711=""),"",IF($L1711&lt;&gt;"",$L1711-$C1711,TODAY()-$C1711))</f>
        <v/>
      </c>
      <c r="N1711" s="28">
        <f>IF(OR($A1711="",$K1711=""),"",IF($L1711="",IF(TODAY()&gt;$K1711,"Atrasado","En ruta"),IF($L1711&lt;=$K1711,"Sí","No")))</f>
        <v/>
      </c>
      <c r="O1711" s="24">
        <f>IF($A1711="","",COUNTIFS(NOVEDADES!$D$4:$D$1503,$A1711))</f>
        <v/>
      </c>
      <c r="P1711" s="28">
        <f>IF($A1711="","",IF(COUNTIFS(NOVEDADES!$D$4:$D$1503,$A1711,NOVEDADES!$O$4:$O$1503,"SÍ")&gt;0,"No","Sí"))</f>
        <v/>
      </c>
      <c r="Q1711" s="28">
        <f>IF(OR($A1711="",$L1711=""),"",IF(AND($N1711="Sí",$P1711="Sí"),"OTIF","Falló"))</f>
        <v/>
      </c>
    </row>
    <row r="1712" ht="16" customHeight="1">
      <c r="A1712" s="48" t="n"/>
      <c r="B1712" s="48" t="n"/>
      <c r="C1712" s="47" t="n"/>
      <c r="D1712" s="50" t="n"/>
      <c r="E1712" s="50" t="n"/>
      <c r="F1712" s="50" t="n"/>
      <c r="G1712" s="50" t="n"/>
      <c r="H1712" s="48" t="n"/>
      <c r="I1712" s="51" t="n"/>
      <c r="J1712" s="52" t="n"/>
      <c r="K1712" s="47" t="n"/>
      <c r="L1712" s="47" t="n"/>
      <c r="M1712" s="24">
        <f>IF(OR($A1712="",$C1712=""),"",IF($L1712&lt;&gt;"",$L1712-$C1712,TODAY()-$C1712))</f>
        <v/>
      </c>
      <c r="N1712" s="28">
        <f>IF(OR($A1712="",$K1712=""),"",IF($L1712="",IF(TODAY()&gt;$K1712,"Atrasado","En ruta"),IF($L1712&lt;=$K1712,"Sí","No")))</f>
        <v/>
      </c>
      <c r="O1712" s="24">
        <f>IF($A1712="","",COUNTIFS(NOVEDADES!$D$4:$D$1503,$A1712))</f>
        <v/>
      </c>
      <c r="P1712" s="28">
        <f>IF($A1712="","",IF(COUNTIFS(NOVEDADES!$D$4:$D$1503,$A1712,NOVEDADES!$O$4:$O$1503,"SÍ")&gt;0,"No","Sí"))</f>
        <v/>
      </c>
      <c r="Q1712" s="28">
        <f>IF(OR($A1712="",$L1712=""),"",IF(AND($N1712="Sí",$P1712="Sí"),"OTIF","Falló"))</f>
        <v/>
      </c>
    </row>
    <row r="1713" ht="16" customHeight="1">
      <c r="A1713" s="48" t="n"/>
      <c r="B1713" s="48" t="n"/>
      <c r="C1713" s="47" t="n"/>
      <c r="D1713" s="50" t="n"/>
      <c r="E1713" s="50" t="n"/>
      <c r="F1713" s="50" t="n"/>
      <c r="G1713" s="50" t="n"/>
      <c r="H1713" s="48" t="n"/>
      <c r="I1713" s="51" t="n"/>
      <c r="J1713" s="52" t="n"/>
      <c r="K1713" s="47" t="n"/>
      <c r="L1713" s="47" t="n"/>
      <c r="M1713" s="24">
        <f>IF(OR($A1713="",$C1713=""),"",IF($L1713&lt;&gt;"",$L1713-$C1713,TODAY()-$C1713))</f>
        <v/>
      </c>
      <c r="N1713" s="28">
        <f>IF(OR($A1713="",$K1713=""),"",IF($L1713="",IF(TODAY()&gt;$K1713,"Atrasado","En ruta"),IF($L1713&lt;=$K1713,"Sí","No")))</f>
        <v/>
      </c>
      <c r="O1713" s="24">
        <f>IF($A1713="","",COUNTIFS(NOVEDADES!$D$4:$D$1503,$A1713))</f>
        <v/>
      </c>
      <c r="P1713" s="28">
        <f>IF($A1713="","",IF(COUNTIFS(NOVEDADES!$D$4:$D$1503,$A1713,NOVEDADES!$O$4:$O$1503,"SÍ")&gt;0,"No","Sí"))</f>
        <v/>
      </c>
      <c r="Q1713" s="28">
        <f>IF(OR($A1713="",$L1713=""),"",IF(AND($N1713="Sí",$P1713="Sí"),"OTIF","Falló"))</f>
        <v/>
      </c>
    </row>
    <row r="1714" ht="16" customHeight="1">
      <c r="A1714" s="48" t="n"/>
      <c r="B1714" s="48" t="n"/>
      <c r="C1714" s="47" t="n"/>
      <c r="D1714" s="50" t="n"/>
      <c r="E1714" s="50" t="n"/>
      <c r="F1714" s="50" t="n"/>
      <c r="G1714" s="50" t="n"/>
      <c r="H1714" s="48" t="n"/>
      <c r="I1714" s="51" t="n"/>
      <c r="J1714" s="52" t="n"/>
      <c r="K1714" s="47" t="n"/>
      <c r="L1714" s="47" t="n"/>
      <c r="M1714" s="24">
        <f>IF(OR($A1714="",$C1714=""),"",IF($L1714&lt;&gt;"",$L1714-$C1714,TODAY()-$C1714))</f>
        <v/>
      </c>
      <c r="N1714" s="28">
        <f>IF(OR($A1714="",$K1714=""),"",IF($L1714="",IF(TODAY()&gt;$K1714,"Atrasado","En ruta"),IF($L1714&lt;=$K1714,"Sí","No")))</f>
        <v/>
      </c>
      <c r="O1714" s="24">
        <f>IF($A1714="","",COUNTIFS(NOVEDADES!$D$4:$D$1503,$A1714))</f>
        <v/>
      </c>
      <c r="P1714" s="28">
        <f>IF($A1714="","",IF(COUNTIFS(NOVEDADES!$D$4:$D$1503,$A1714,NOVEDADES!$O$4:$O$1503,"SÍ")&gt;0,"No","Sí"))</f>
        <v/>
      </c>
      <c r="Q1714" s="28">
        <f>IF(OR($A1714="",$L1714=""),"",IF(AND($N1714="Sí",$P1714="Sí"),"OTIF","Falló"))</f>
        <v/>
      </c>
    </row>
    <row r="1715" ht="16" customHeight="1">
      <c r="A1715" s="48" t="n"/>
      <c r="B1715" s="48" t="n"/>
      <c r="C1715" s="47" t="n"/>
      <c r="D1715" s="50" t="n"/>
      <c r="E1715" s="50" t="n"/>
      <c r="F1715" s="50" t="n"/>
      <c r="G1715" s="50" t="n"/>
      <c r="H1715" s="48" t="n"/>
      <c r="I1715" s="51" t="n"/>
      <c r="J1715" s="52" t="n"/>
      <c r="K1715" s="47" t="n"/>
      <c r="L1715" s="47" t="n"/>
      <c r="M1715" s="24">
        <f>IF(OR($A1715="",$C1715=""),"",IF($L1715&lt;&gt;"",$L1715-$C1715,TODAY()-$C1715))</f>
        <v/>
      </c>
      <c r="N1715" s="28">
        <f>IF(OR($A1715="",$K1715=""),"",IF($L1715="",IF(TODAY()&gt;$K1715,"Atrasado","En ruta"),IF($L1715&lt;=$K1715,"Sí","No")))</f>
        <v/>
      </c>
      <c r="O1715" s="24">
        <f>IF($A1715="","",COUNTIFS(NOVEDADES!$D$4:$D$1503,$A1715))</f>
        <v/>
      </c>
      <c r="P1715" s="28">
        <f>IF($A1715="","",IF(COUNTIFS(NOVEDADES!$D$4:$D$1503,$A1715,NOVEDADES!$O$4:$O$1503,"SÍ")&gt;0,"No","Sí"))</f>
        <v/>
      </c>
      <c r="Q1715" s="28">
        <f>IF(OR($A1715="",$L1715=""),"",IF(AND($N1715="Sí",$P1715="Sí"),"OTIF","Falló"))</f>
        <v/>
      </c>
    </row>
    <row r="1716" ht="16" customHeight="1">
      <c r="A1716" s="48" t="n"/>
      <c r="B1716" s="48" t="n"/>
      <c r="C1716" s="47" t="n"/>
      <c r="D1716" s="50" t="n"/>
      <c r="E1716" s="50" t="n"/>
      <c r="F1716" s="50" t="n"/>
      <c r="G1716" s="50" t="n"/>
      <c r="H1716" s="48" t="n"/>
      <c r="I1716" s="51" t="n"/>
      <c r="J1716" s="52" t="n"/>
      <c r="K1716" s="47" t="n"/>
      <c r="L1716" s="47" t="n"/>
      <c r="M1716" s="24">
        <f>IF(OR($A1716="",$C1716=""),"",IF($L1716&lt;&gt;"",$L1716-$C1716,TODAY()-$C1716))</f>
        <v/>
      </c>
      <c r="N1716" s="28">
        <f>IF(OR($A1716="",$K1716=""),"",IF($L1716="",IF(TODAY()&gt;$K1716,"Atrasado","En ruta"),IF($L1716&lt;=$K1716,"Sí","No")))</f>
        <v/>
      </c>
      <c r="O1716" s="24">
        <f>IF($A1716="","",COUNTIFS(NOVEDADES!$D$4:$D$1503,$A1716))</f>
        <v/>
      </c>
      <c r="P1716" s="28">
        <f>IF($A1716="","",IF(COUNTIFS(NOVEDADES!$D$4:$D$1503,$A1716,NOVEDADES!$O$4:$O$1503,"SÍ")&gt;0,"No","Sí"))</f>
        <v/>
      </c>
      <c r="Q1716" s="28">
        <f>IF(OR($A1716="",$L1716=""),"",IF(AND($N1716="Sí",$P1716="Sí"),"OTIF","Falló"))</f>
        <v/>
      </c>
    </row>
    <row r="1717" ht="16" customHeight="1">
      <c r="A1717" s="48" t="n"/>
      <c r="B1717" s="48" t="n"/>
      <c r="C1717" s="47" t="n"/>
      <c r="D1717" s="50" t="n"/>
      <c r="E1717" s="50" t="n"/>
      <c r="F1717" s="50" t="n"/>
      <c r="G1717" s="50" t="n"/>
      <c r="H1717" s="48" t="n"/>
      <c r="I1717" s="51" t="n"/>
      <c r="J1717" s="52" t="n"/>
      <c r="K1717" s="47" t="n"/>
      <c r="L1717" s="47" t="n"/>
      <c r="M1717" s="24">
        <f>IF(OR($A1717="",$C1717=""),"",IF($L1717&lt;&gt;"",$L1717-$C1717,TODAY()-$C1717))</f>
        <v/>
      </c>
      <c r="N1717" s="28">
        <f>IF(OR($A1717="",$K1717=""),"",IF($L1717="",IF(TODAY()&gt;$K1717,"Atrasado","En ruta"),IF($L1717&lt;=$K1717,"Sí","No")))</f>
        <v/>
      </c>
      <c r="O1717" s="24">
        <f>IF($A1717="","",COUNTIFS(NOVEDADES!$D$4:$D$1503,$A1717))</f>
        <v/>
      </c>
      <c r="P1717" s="28">
        <f>IF($A1717="","",IF(COUNTIFS(NOVEDADES!$D$4:$D$1503,$A1717,NOVEDADES!$O$4:$O$1503,"SÍ")&gt;0,"No","Sí"))</f>
        <v/>
      </c>
      <c r="Q1717" s="28">
        <f>IF(OR($A1717="",$L1717=""),"",IF(AND($N1717="Sí",$P1717="Sí"),"OTIF","Falló"))</f>
        <v/>
      </c>
    </row>
    <row r="1718" ht="16" customHeight="1">
      <c r="A1718" s="48" t="n"/>
      <c r="B1718" s="48" t="n"/>
      <c r="C1718" s="47" t="n"/>
      <c r="D1718" s="50" t="n"/>
      <c r="E1718" s="50" t="n"/>
      <c r="F1718" s="50" t="n"/>
      <c r="G1718" s="50" t="n"/>
      <c r="H1718" s="48" t="n"/>
      <c r="I1718" s="51" t="n"/>
      <c r="J1718" s="52" t="n"/>
      <c r="K1718" s="47" t="n"/>
      <c r="L1718" s="47" t="n"/>
      <c r="M1718" s="24">
        <f>IF(OR($A1718="",$C1718=""),"",IF($L1718&lt;&gt;"",$L1718-$C1718,TODAY()-$C1718))</f>
        <v/>
      </c>
      <c r="N1718" s="28">
        <f>IF(OR($A1718="",$K1718=""),"",IF($L1718="",IF(TODAY()&gt;$K1718,"Atrasado","En ruta"),IF($L1718&lt;=$K1718,"Sí","No")))</f>
        <v/>
      </c>
      <c r="O1718" s="24">
        <f>IF($A1718="","",COUNTIFS(NOVEDADES!$D$4:$D$1503,$A1718))</f>
        <v/>
      </c>
      <c r="P1718" s="28">
        <f>IF($A1718="","",IF(COUNTIFS(NOVEDADES!$D$4:$D$1503,$A1718,NOVEDADES!$O$4:$O$1503,"SÍ")&gt;0,"No","Sí"))</f>
        <v/>
      </c>
      <c r="Q1718" s="28">
        <f>IF(OR($A1718="",$L1718=""),"",IF(AND($N1718="Sí",$P1718="Sí"),"OTIF","Falló"))</f>
        <v/>
      </c>
    </row>
    <row r="1719" ht="16" customHeight="1">
      <c r="A1719" s="48" t="n"/>
      <c r="B1719" s="48" t="n"/>
      <c r="C1719" s="47" t="n"/>
      <c r="D1719" s="50" t="n"/>
      <c r="E1719" s="50" t="n"/>
      <c r="F1719" s="50" t="n"/>
      <c r="G1719" s="50" t="n"/>
      <c r="H1719" s="48" t="n"/>
      <c r="I1719" s="51" t="n"/>
      <c r="J1719" s="52" t="n"/>
      <c r="K1719" s="47" t="n"/>
      <c r="L1719" s="47" t="n"/>
      <c r="M1719" s="24">
        <f>IF(OR($A1719="",$C1719=""),"",IF($L1719&lt;&gt;"",$L1719-$C1719,TODAY()-$C1719))</f>
        <v/>
      </c>
      <c r="N1719" s="28">
        <f>IF(OR($A1719="",$K1719=""),"",IF($L1719="",IF(TODAY()&gt;$K1719,"Atrasado","En ruta"),IF($L1719&lt;=$K1719,"Sí","No")))</f>
        <v/>
      </c>
      <c r="O1719" s="24">
        <f>IF($A1719="","",COUNTIFS(NOVEDADES!$D$4:$D$1503,$A1719))</f>
        <v/>
      </c>
      <c r="P1719" s="28">
        <f>IF($A1719="","",IF(COUNTIFS(NOVEDADES!$D$4:$D$1503,$A1719,NOVEDADES!$O$4:$O$1503,"SÍ")&gt;0,"No","Sí"))</f>
        <v/>
      </c>
      <c r="Q1719" s="28">
        <f>IF(OR($A1719="",$L1719=""),"",IF(AND($N1719="Sí",$P1719="Sí"),"OTIF","Falló"))</f>
        <v/>
      </c>
    </row>
    <row r="1720" ht="16" customHeight="1">
      <c r="A1720" s="48" t="n"/>
      <c r="B1720" s="48" t="n"/>
      <c r="C1720" s="47" t="n"/>
      <c r="D1720" s="50" t="n"/>
      <c r="E1720" s="50" t="n"/>
      <c r="F1720" s="50" t="n"/>
      <c r="G1720" s="50" t="n"/>
      <c r="H1720" s="48" t="n"/>
      <c r="I1720" s="51" t="n"/>
      <c r="J1720" s="52" t="n"/>
      <c r="K1720" s="47" t="n"/>
      <c r="L1720" s="47" t="n"/>
      <c r="M1720" s="24">
        <f>IF(OR($A1720="",$C1720=""),"",IF($L1720&lt;&gt;"",$L1720-$C1720,TODAY()-$C1720))</f>
        <v/>
      </c>
      <c r="N1720" s="28">
        <f>IF(OR($A1720="",$K1720=""),"",IF($L1720="",IF(TODAY()&gt;$K1720,"Atrasado","En ruta"),IF($L1720&lt;=$K1720,"Sí","No")))</f>
        <v/>
      </c>
      <c r="O1720" s="24">
        <f>IF($A1720="","",COUNTIFS(NOVEDADES!$D$4:$D$1503,$A1720))</f>
        <v/>
      </c>
      <c r="P1720" s="28">
        <f>IF($A1720="","",IF(COUNTIFS(NOVEDADES!$D$4:$D$1503,$A1720,NOVEDADES!$O$4:$O$1503,"SÍ")&gt;0,"No","Sí"))</f>
        <v/>
      </c>
      <c r="Q1720" s="28">
        <f>IF(OR($A1720="",$L1720=""),"",IF(AND($N1720="Sí",$P1720="Sí"),"OTIF","Falló"))</f>
        <v/>
      </c>
    </row>
    <row r="1721" ht="16" customHeight="1">
      <c r="A1721" s="48" t="n"/>
      <c r="B1721" s="48" t="n"/>
      <c r="C1721" s="47" t="n"/>
      <c r="D1721" s="50" t="n"/>
      <c r="E1721" s="50" t="n"/>
      <c r="F1721" s="50" t="n"/>
      <c r="G1721" s="50" t="n"/>
      <c r="H1721" s="48" t="n"/>
      <c r="I1721" s="51" t="n"/>
      <c r="J1721" s="52" t="n"/>
      <c r="K1721" s="47" t="n"/>
      <c r="L1721" s="47" t="n"/>
      <c r="M1721" s="24">
        <f>IF(OR($A1721="",$C1721=""),"",IF($L1721&lt;&gt;"",$L1721-$C1721,TODAY()-$C1721))</f>
        <v/>
      </c>
      <c r="N1721" s="28">
        <f>IF(OR($A1721="",$K1721=""),"",IF($L1721="",IF(TODAY()&gt;$K1721,"Atrasado","En ruta"),IF($L1721&lt;=$K1721,"Sí","No")))</f>
        <v/>
      </c>
      <c r="O1721" s="24">
        <f>IF($A1721="","",COUNTIFS(NOVEDADES!$D$4:$D$1503,$A1721))</f>
        <v/>
      </c>
      <c r="P1721" s="28">
        <f>IF($A1721="","",IF(COUNTIFS(NOVEDADES!$D$4:$D$1503,$A1721,NOVEDADES!$O$4:$O$1503,"SÍ")&gt;0,"No","Sí"))</f>
        <v/>
      </c>
      <c r="Q1721" s="28">
        <f>IF(OR($A1721="",$L1721=""),"",IF(AND($N1721="Sí",$P1721="Sí"),"OTIF","Falló"))</f>
        <v/>
      </c>
    </row>
    <row r="1722" ht="16" customHeight="1">
      <c r="A1722" s="48" t="n"/>
      <c r="B1722" s="48" t="n"/>
      <c r="C1722" s="47" t="n"/>
      <c r="D1722" s="50" t="n"/>
      <c r="E1722" s="50" t="n"/>
      <c r="F1722" s="50" t="n"/>
      <c r="G1722" s="50" t="n"/>
      <c r="H1722" s="48" t="n"/>
      <c r="I1722" s="51" t="n"/>
      <c r="J1722" s="52" t="n"/>
      <c r="K1722" s="47" t="n"/>
      <c r="L1722" s="47" t="n"/>
      <c r="M1722" s="24">
        <f>IF(OR($A1722="",$C1722=""),"",IF($L1722&lt;&gt;"",$L1722-$C1722,TODAY()-$C1722))</f>
        <v/>
      </c>
      <c r="N1722" s="28">
        <f>IF(OR($A1722="",$K1722=""),"",IF($L1722="",IF(TODAY()&gt;$K1722,"Atrasado","En ruta"),IF($L1722&lt;=$K1722,"Sí","No")))</f>
        <v/>
      </c>
      <c r="O1722" s="24">
        <f>IF($A1722="","",COUNTIFS(NOVEDADES!$D$4:$D$1503,$A1722))</f>
        <v/>
      </c>
      <c r="P1722" s="28">
        <f>IF($A1722="","",IF(COUNTIFS(NOVEDADES!$D$4:$D$1503,$A1722,NOVEDADES!$O$4:$O$1503,"SÍ")&gt;0,"No","Sí"))</f>
        <v/>
      </c>
      <c r="Q1722" s="28">
        <f>IF(OR($A1722="",$L1722=""),"",IF(AND($N1722="Sí",$P1722="Sí"),"OTIF","Falló"))</f>
        <v/>
      </c>
    </row>
    <row r="1723" ht="16" customHeight="1">
      <c r="A1723" s="48" t="n"/>
      <c r="B1723" s="48" t="n"/>
      <c r="C1723" s="47" t="n"/>
      <c r="D1723" s="50" t="n"/>
      <c r="E1723" s="50" t="n"/>
      <c r="F1723" s="50" t="n"/>
      <c r="G1723" s="50" t="n"/>
      <c r="H1723" s="48" t="n"/>
      <c r="I1723" s="51" t="n"/>
      <c r="J1723" s="52" t="n"/>
      <c r="K1723" s="47" t="n"/>
      <c r="L1723" s="47" t="n"/>
      <c r="M1723" s="24">
        <f>IF(OR($A1723="",$C1723=""),"",IF($L1723&lt;&gt;"",$L1723-$C1723,TODAY()-$C1723))</f>
        <v/>
      </c>
      <c r="N1723" s="28">
        <f>IF(OR($A1723="",$K1723=""),"",IF($L1723="",IF(TODAY()&gt;$K1723,"Atrasado","En ruta"),IF($L1723&lt;=$K1723,"Sí","No")))</f>
        <v/>
      </c>
      <c r="O1723" s="24">
        <f>IF($A1723="","",COUNTIFS(NOVEDADES!$D$4:$D$1503,$A1723))</f>
        <v/>
      </c>
      <c r="P1723" s="28">
        <f>IF($A1723="","",IF(COUNTIFS(NOVEDADES!$D$4:$D$1503,$A1723,NOVEDADES!$O$4:$O$1503,"SÍ")&gt;0,"No","Sí"))</f>
        <v/>
      </c>
      <c r="Q1723" s="28">
        <f>IF(OR($A1723="",$L1723=""),"",IF(AND($N1723="Sí",$P1723="Sí"),"OTIF","Falló"))</f>
        <v/>
      </c>
    </row>
    <row r="1724" ht="16" customHeight="1">
      <c r="A1724" s="48" t="n"/>
      <c r="B1724" s="48" t="n"/>
      <c r="C1724" s="47" t="n"/>
      <c r="D1724" s="50" t="n"/>
      <c r="E1724" s="50" t="n"/>
      <c r="F1724" s="50" t="n"/>
      <c r="G1724" s="50" t="n"/>
      <c r="H1724" s="48" t="n"/>
      <c r="I1724" s="51" t="n"/>
      <c r="J1724" s="52" t="n"/>
      <c r="K1724" s="47" t="n"/>
      <c r="L1724" s="47" t="n"/>
      <c r="M1724" s="24">
        <f>IF(OR($A1724="",$C1724=""),"",IF($L1724&lt;&gt;"",$L1724-$C1724,TODAY()-$C1724))</f>
        <v/>
      </c>
      <c r="N1724" s="28">
        <f>IF(OR($A1724="",$K1724=""),"",IF($L1724="",IF(TODAY()&gt;$K1724,"Atrasado","En ruta"),IF($L1724&lt;=$K1724,"Sí","No")))</f>
        <v/>
      </c>
      <c r="O1724" s="24">
        <f>IF($A1724="","",COUNTIFS(NOVEDADES!$D$4:$D$1503,$A1724))</f>
        <v/>
      </c>
      <c r="P1724" s="28">
        <f>IF($A1724="","",IF(COUNTIFS(NOVEDADES!$D$4:$D$1503,$A1724,NOVEDADES!$O$4:$O$1503,"SÍ")&gt;0,"No","Sí"))</f>
        <v/>
      </c>
      <c r="Q1724" s="28">
        <f>IF(OR($A1724="",$L1724=""),"",IF(AND($N1724="Sí",$P1724="Sí"),"OTIF","Falló"))</f>
        <v/>
      </c>
    </row>
    <row r="1725" ht="16" customHeight="1">
      <c r="A1725" s="48" t="n"/>
      <c r="B1725" s="48" t="n"/>
      <c r="C1725" s="47" t="n"/>
      <c r="D1725" s="50" t="n"/>
      <c r="E1725" s="50" t="n"/>
      <c r="F1725" s="50" t="n"/>
      <c r="G1725" s="50" t="n"/>
      <c r="H1725" s="48" t="n"/>
      <c r="I1725" s="51" t="n"/>
      <c r="J1725" s="52" t="n"/>
      <c r="K1725" s="47" t="n"/>
      <c r="L1725" s="47" t="n"/>
      <c r="M1725" s="24">
        <f>IF(OR($A1725="",$C1725=""),"",IF($L1725&lt;&gt;"",$L1725-$C1725,TODAY()-$C1725))</f>
        <v/>
      </c>
      <c r="N1725" s="28">
        <f>IF(OR($A1725="",$K1725=""),"",IF($L1725="",IF(TODAY()&gt;$K1725,"Atrasado","En ruta"),IF($L1725&lt;=$K1725,"Sí","No")))</f>
        <v/>
      </c>
      <c r="O1725" s="24">
        <f>IF($A1725="","",COUNTIFS(NOVEDADES!$D$4:$D$1503,$A1725))</f>
        <v/>
      </c>
      <c r="P1725" s="28">
        <f>IF($A1725="","",IF(COUNTIFS(NOVEDADES!$D$4:$D$1503,$A1725,NOVEDADES!$O$4:$O$1503,"SÍ")&gt;0,"No","Sí"))</f>
        <v/>
      </c>
      <c r="Q1725" s="28">
        <f>IF(OR($A1725="",$L1725=""),"",IF(AND($N1725="Sí",$P1725="Sí"),"OTIF","Falló"))</f>
        <v/>
      </c>
    </row>
    <row r="1726" ht="16" customHeight="1">
      <c r="A1726" s="48" t="n"/>
      <c r="B1726" s="48" t="n"/>
      <c r="C1726" s="47" t="n"/>
      <c r="D1726" s="50" t="n"/>
      <c r="E1726" s="50" t="n"/>
      <c r="F1726" s="50" t="n"/>
      <c r="G1726" s="50" t="n"/>
      <c r="H1726" s="48" t="n"/>
      <c r="I1726" s="51" t="n"/>
      <c r="J1726" s="52" t="n"/>
      <c r="K1726" s="47" t="n"/>
      <c r="L1726" s="47" t="n"/>
      <c r="M1726" s="24">
        <f>IF(OR($A1726="",$C1726=""),"",IF($L1726&lt;&gt;"",$L1726-$C1726,TODAY()-$C1726))</f>
        <v/>
      </c>
      <c r="N1726" s="28">
        <f>IF(OR($A1726="",$K1726=""),"",IF($L1726="",IF(TODAY()&gt;$K1726,"Atrasado","En ruta"),IF($L1726&lt;=$K1726,"Sí","No")))</f>
        <v/>
      </c>
      <c r="O1726" s="24">
        <f>IF($A1726="","",COUNTIFS(NOVEDADES!$D$4:$D$1503,$A1726))</f>
        <v/>
      </c>
      <c r="P1726" s="28">
        <f>IF($A1726="","",IF(COUNTIFS(NOVEDADES!$D$4:$D$1503,$A1726,NOVEDADES!$O$4:$O$1503,"SÍ")&gt;0,"No","Sí"))</f>
        <v/>
      </c>
      <c r="Q1726" s="28">
        <f>IF(OR($A1726="",$L1726=""),"",IF(AND($N1726="Sí",$P1726="Sí"),"OTIF","Falló"))</f>
        <v/>
      </c>
    </row>
    <row r="1727" ht="16" customHeight="1">
      <c r="A1727" s="48" t="n"/>
      <c r="B1727" s="48" t="n"/>
      <c r="C1727" s="47" t="n"/>
      <c r="D1727" s="50" t="n"/>
      <c r="E1727" s="50" t="n"/>
      <c r="F1727" s="50" t="n"/>
      <c r="G1727" s="50" t="n"/>
      <c r="H1727" s="48" t="n"/>
      <c r="I1727" s="51" t="n"/>
      <c r="J1727" s="52" t="n"/>
      <c r="K1727" s="47" t="n"/>
      <c r="L1727" s="47" t="n"/>
      <c r="M1727" s="24">
        <f>IF(OR($A1727="",$C1727=""),"",IF($L1727&lt;&gt;"",$L1727-$C1727,TODAY()-$C1727))</f>
        <v/>
      </c>
      <c r="N1727" s="28">
        <f>IF(OR($A1727="",$K1727=""),"",IF($L1727="",IF(TODAY()&gt;$K1727,"Atrasado","En ruta"),IF($L1727&lt;=$K1727,"Sí","No")))</f>
        <v/>
      </c>
      <c r="O1727" s="24">
        <f>IF($A1727="","",COUNTIFS(NOVEDADES!$D$4:$D$1503,$A1727))</f>
        <v/>
      </c>
      <c r="P1727" s="28">
        <f>IF($A1727="","",IF(COUNTIFS(NOVEDADES!$D$4:$D$1503,$A1727,NOVEDADES!$O$4:$O$1503,"SÍ")&gt;0,"No","Sí"))</f>
        <v/>
      </c>
      <c r="Q1727" s="28">
        <f>IF(OR($A1727="",$L1727=""),"",IF(AND($N1727="Sí",$P1727="Sí"),"OTIF","Falló"))</f>
        <v/>
      </c>
    </row>
    <row r="1728" ht="16" customHeight="1">
      <c r="A1728" s="48" t="n"/>
      <c r="B1728" s="48" t="n"/>
      <c r="C1728" s="47" t="n"/>
      <c r="D1728" s="50" t="n"/>
      <c r="E1728" s="50" t="n"/>
      <c r="F1728" s="50" t="n"/>
      <c r="G1728" s="50" t="n"/>
      <c r="H1728" s="48" t="n"/>
      <c r="I1728" s="51" t="n"/>
      <c r="J1728" s="52" t="n"/>
      <c r="K1728" s="47" t="n"/>
      <c r="L1728" s="47" t="n"/>
      <c r="M1728" s="24">
        <f>IF(OR($A1728="",$C1728=""),"",IF($L1728&lt;&gt;"",$L1728-$C1728,TODAY()-$C1728))</f>
        <v/>
      </c>
      <c r="N1728" s="28">
        <f>IF(OR($A1728="",$K1728=""),"",IF($L1728="",IF(TODAY()&gt;$K1728,"Atrasado","En ruta"),IF($L1728&lt;=$K1728,"Sí","No")))</f>
        <v/>
      </c>
      <c r="O1728" s="24">
        <f>IF($A1728="","",COUNTIFS(NOVEDADES!$D$4:$D$1503,$A1728))</f>
        <v/>
      </c>
      <c r="P1728" s="28">
        <f>IF($A1728="","",IF(COUNTIFS(NOVEDADES!$D$4:$D$1503,$A1728,NOVEDADES!$O$4:$O$1503,"SÍ")&gt;0,"No","Sí"))</f>
        <v/>
      </c>
      <c r="Q1728" s="28">
        <f>IF(OR($A1728="",$L1728=""),"",IF(AND($N1728="Sí",$P1728="Sí"),"OTIF","Falló"))</f>
        <v/>
      </c>
    </row>
    <row r="1729" ht="16" customHeight="1">
      <c r="A1729" s="48" t="n"/>
      <c r="B1729" s="48" t="n"/>
      <c r="C1729" s="47" t="n"/>
      <c r="D1729" s="50" t="n"/>
      <c r="E1729" s="50" t="n"/>
      <c r="F1729" s="50" t="n"/>
      <c r="G1729" s="50" t="n"/>
      <c r="H1729" s="48" t="n"/>
      <c r="I1729" s="51" t="n"/>
      <c r="J1729" s="52" t="n"/>
      <c r="K1729" s="47" t="n"/>
      <c r="L1729" s="47" t="n"/>
      <c r="M1729" s="24">
        <f>IF(OR($A1729="",$C1729=""),"",IF($L1729&lt;&gt;"",$L1729-$C1729,TODAY()-$C1729))</f>
        <v/>
      </c>
      <c r="N1729" s="28">
        <f>IF(OR($A1729="",$K1729=""),"",IF($L1729="",IF(TODAY()&gt;$K1729,"Atrasado","En ruta"),IF($L1729&lt;=$K1729,"Sí","No")))</f>
        <v/>
      </c>
      <c r="O1729" s="24">
        <f>IF($A1729="","",COUNTIFS(NOVEDADES!$D$4:$D$1503,$A1729))</f>
        <v/>
      </c>
      <c r="P1729" s="28">
        <f>IF($A1729="","",IF(COUNTIFS(NOVEDADES!$D$4:$D$1503,$A1729,NOVEDADES!$O$4:$O$1503,"SÍ")&gt;0,"No","Sí"))</f>
        <v/>
      </c>
      <c r="Q1729" s="28">
        <f>IF(OR($A1729="",$L1729=""),"",IF(AND($N1729="Sí",$P1729="Sí"),"OTIF","Falló"))</f>
        <v/>
      </c>
    </row>
    <row r="1730" ht="16" customHeight="1">
      <c r="A1730" s="48" t="n"/>
      <c r="B1730" s="48" t="n"/>
      <c r="C1730" s="47" t="n"/>
      <c r="D1730" s="50" t="n"/>
      <c r="E1730" s="50" t="n"/>
      <c r="F1730" s="50" t="n"/>
      <c r="G1730" s="50" t="n"/>
      <c r="H1730" s="48" t="n"/>
      <c r="I1730" s="51" t="n"/>
      <c r="J1730" s="52" t="n"/>
      <c r="K1730" s="47" t="n"/>
      <c r="L1730" s="47" t="n"/>
      <c r="M1730" s="24">
        <f>IF(OR($A1730="",$C1730=""),"",IF($L1730&lt;&gt;"",$L1730-$C1730,TODAY()-$C1730))</f>
        <v/>
      </c>
      <c r="N1730" s="28">
        <f>IF(OR($A1730="",$K1730=""),"",IF($L1730="",IF(TODAY()&gt;$K1730,"Atrasado","En ruta"),IF($L1730&lt;=$K1730,"Sí","No")))</f>
        <v/>
      </c>
      <c r="O1730" s="24">
        <f>IF($A1730="","",COUNTIFS(NOVEDADES!$D$4:$D$1503,$A1730))</f>
        <v/>
      </c>
      <c r="P1730" s="28">
        <f>IF($A1730="","",IF(COUNTIFS(NOVEDADES!$D$4:$D$1503,$A1730,NOVEDADES!$O$4:$O$1503,"SÍ")&gt;0,"No","Sí"))</f>
        <v/>
      </c>
      <c r="Q1730" s="28">
        <f>IF(OR($A1730="",$L1730=""),"",IF(AND($N1730="Sí",$P1730="Sí"),"OTIF","Falló"))</f>
        <v/>
      </c>
    </row>
    <row r="1731" ht="16" customHeight="1">
      <c r="A1731" s="48" t="n"/>
      <c r="B1731" s="48" t="n"/>
      <c r="C1731" s="47" t="n"/>
      <c r="D1731" s="50" t="n"/>
      <c r="E1731" s="50" t="n"/>
      <c r="F1731" s="50" t="n"/>
      <c r="G1731" s="50" t="n"/>
      <c r="H1731" s="48" t="n"/>
      <c r="I1731" s="51" t="n"/>
      <c r="J1731" s="52" t="n"/>
      <c r="K1731" s="47" t="n"/>
      <c r="L1731" s="47" t="n"/>
      <c r="M1731" s="24">
        <f>IF(OR($A1731="",$C1731=""),"",IF($L1731&lt;&gt;"",$L1731-$C1731,TODAY()-$C1731))</f>
        <v/>
      </c>
      <c r="N1731" s="28">
        <f>IF(OR($A1731="",$K1731=""),"",IF($L1731="",IF(TODAY()&gt;$K1731,"Atrasado","En ruta"),IF($L1731&lt;=$K1731,"Sí","No")))</f>
        <v/>
      </c>
      <c r="O1731" s="24">
        <f>IF($A1731="","",COUNTIFS(NOVEDADES!$D$4:$D$1503,$A1731))</f>
        <v/>
      </c>
      <c r="P1731" s="28">
        <f>IF($A1731="","",IF(COUNTIFS(NOVEDADES!$D$4:$D$1503,$A1731,NOVEDADES!$O$4:$O$1503,"SÍ")&gt;0,"No","Sí"))</f>
        <v/>
      </c>
      <c r="Q1731" s="28">
        <f>IF(OR($A1731="",$L1731=""),"",IF(AND($N1731="Sí",$P1731="Sí"),"OTIF","Falló"))</f>
        <v/>
      </c>
    </row>
    <row r="1732" ht="16" customHeight="1">
      <c r="A1732" s="48" t="n"/>
      <c r="B1732" s="48" t="n"/>
      <c r="C1732" s="47" t="n"/>
      <c r="D1732" s="50" t="n"/>
      <c r="E1732" s="50" t="n"/>
      <c r="F1732" s="50" t="n"/>
      <c r="G1732" s="50" t="n"/>
      <c r="H1732" s="48" t="n"/>
      <c r="I1732" s="51" t="n"/>
      <c r="J1732" s="52" t="n"/>
      <c r="K1732" s="47" t="n"/>
      <c r="L1732" s="47" t="n"/>
      <c r="M1732" s="24">
        <f>IF(OR($A1732="",$C1732=""),"",IF($L1732&lt;&gt;"",$L1732-$C1732,TODAY()-$C1732))</f>
        <v/>
      </c>
      <c r="N1732" s="28">
        <f>IF(OR($A1732="",$K1732=""),"",IF($L1732="",IF(TODAY()&gt;$K1732,"Atrasado","En ruta"),IF($L1732&lt;=$K1732,"Sí","No")))</f>
        <v/>
      </c>
      <c r="O1732" s="24">
        <f>IF($A1732="","",COUNTIFS(NOVEDADES!$D$4:$D$1503,$A1732))</f>
        <v/>
      </c>
      <c r="P1732" s="28">
        <f>IF($A1732="","",IF(COUNTIFS(NOVEDADES!$D$4:$D$1503,$A1732,NOVEDADES!$O$4:$O$1503,"SÍ")&gt;0,"No","Sí"))</f>
        <v/>
      </c>
      <c r="Q1732" s="28">
        <f>IF(OR($A1732="",$L1732=""),"",IF(AND($N1732="Sí",$P1732="Sí"),"OTIF","Falló"))</f>
        <v/>
      </c>
    </row>
    <row r="1733" ht="16" customHeight="1">
      <c r="A1733" s="48" t="n"/>
      <c r="B1733" s="48" t="n"/>
      <c r="C1733" s="47" t="n"/>
      <c r="D1733" s="50" t="n"/>
      <c r="E1733" s="50" t="n"/>
      <c r="F1733" s="50" t="n"/>
      <c r="G1733" s="50" t="n"/>
      <c r="H1733" s="48" t="n"/>
      <c r="I1733" s="51" t="n"/>
      <c r="J1733" s="52" t="n"/>
      <c r="K1733" s="47" t="n"/>
      <c r="L1733" s="47" t="n"/>
      <c r="M1733" s="24">
        <f>IF(OR($A1733="",$C1733=""),"",IF($L1733&lt;&gt;"",$L1733-$C1733,TODAY()-$C1733))</f>
        <v/>
      </c>
      <c r="N1733" s="28">
        <f>IF(OR($A1733="",$K1733=""),"",IF($L1733="",IF(TODAY()&gt;$K1733,"Atrasado","En ruta"),IF($L1733&lt;=$K1733,"Sí","No")))</f>
        <v/>
      </c>
      <c r="O1733" s="24">
        <f>IF($A1733="","",COUNTIFS(NOVEDADES!$D$4:$D$1503,$A1733))</f>
        <v/>
      </c>
      <c r="P1733" s="28">
        <f>IF($A1733="","",IF(COUNTIFS(NOVEDADES!$D$4:$D$1503,$A1733,NOVEDADES!$O$4:$O$1503,"SÍ")&gt;0,"No","Sí"))</f>
        <v/>
      </c>
      <c r="Q1733" s="28">
        <f>IF(OR($A1733="",$L1733=""),"",IF(AND($N1733="Sí",$P1733="Sí"),"OTIF","Falló"))</f>
        <v/>
      </c>
    </row>
    <row r="1734" ht="16" customHeight="1">
      <c r="A1734" s="48" t="n"/>
      <c r="B1734" s="48" t="n"/>
      <c r="C1734" s="47" t="n"/>
      <c r="D1734" s="50" t="n"/>
      <c r="E1734" s="50" t="n"/>
      <c r="F1734" s="50" t="n"/>
      <c r="G1734" s="50" t="n"/>
      <c r="H1734" s="48" t="n"/>
      <c r="I1734" s="51" t="n"/>
      <c r="J1734" s="52" t="n"/>
      <c r="K1734" s="47" t="n"/>
      <c r="L1734" s="47" t="n"/>
      <c r="M1734" s="24">
        <f>IF(OR($A1734="",$C1734=""),"",IF($L1734&lt;&gt;"",$L1734-$C1734,TODAY()-$C1734))</f>
        <v/>
      </c>
      <c r="N1734" s="28">
        <f>IF(OR($A1734="",$K1734=""),"",IF($L1734="",IF(TODAY()&gt;$K1734,"Atrasado","En ruta"),IF($L1734&lt;=$K1734,"Sí","No")))</f>
        <v/>
      </c>
      <c r="O1734" s="24">
        <f>IF($A1734="","",COUNTIFS(NOVEDADES!$D$4:$D$1503,$A1734))</f>
        <v/>
      </c>
      <c r="P1734" s="28">
        <f>IF($A1734="","",IF(COUNTIFS(NOVEDADES!$D$4:$D$1503,$A1734,NOVEDADES!$O$4:$O$1503,"SÍ")&gt;0,"No","Sí"))</f>
        <v/>
      </c>
      <c r="Q1734" s="28">
        <f>IF(OR($A1734="",$L1734=""),"",IF(AND($N1734="Sí",$P1734="Sí"),"OTIF","Falló"))</f>
        <v/>
      </c>
    </row>
    <row r="1735" ht="16" customHeight="1">
      <c r="A1735" s="48" t="n"/>
      <c r="B1735" s="48" t="n"/>
      <c r="C1735" s="47" t="n"/>
      <c r="D1735" s="50" t="n"/>
      <c r="E1735" s="50" t="n"/>
      <c r="F1735" s="50" t="n"/>
      <c r="G1735" s="50" t="n"/>
      <c r="H1735" s="48" t="n"/>
      <c r="I1735" s="51" t="n"/>
      <c r="J1735" s="52" t="n"/>
      <c r="K1735" s="47" t="n"/>
      <c r="L1735" s="47" t="n"/>
      <c r="M1735" s="24">
        <f>IF(OR($A1735="",$C1735=""),"",IF($L1735&lt;&gt;"",$L1735-$C1735,TODAY()-$C1735))</f>
        <v/>
      </c>
      <c r="N1735" s="28">
        <f>IF(OR($A1735="",$K1735=""),"",IF($L1735="",IF(TODAY()&gt;$K1735,"Atrasado","En ruta"),IF($L1735&lt;=$K1735,"Sí","No")))</f>
        <v/>
      </c>
      <c r="O1735" s="24">
        <f>IF($A1735="","",COUNTIFS(NOVEDADES!$D$4:$D$1503,$A1735))</f>
        <v/>
      </c>
      <c r="P1735" s="28">
        <f>IF($A1735="","",IF(COUNTIFS(NOVEDADES!$D$4:$D$1503,$A1735,NOVEDADES!$O$4:$O$1503,"SÍ")&gt;0,"No","Sí"))</f>
        <v/>
      </c>
      <c r="Q1735" s="28">
        <f>IF(OR($A1735="",$L1735=""),"",IF(AND($N1735="Sí",$P1735="Sí"),"OTIF","Falló"))</f>
        <v/>
      </c>
    </row>
    <row r="1736" ht="16" customHeight="1">
      <c r="A1736" s="48" t="n"/>
      <c r="B1736" s="48" t="n"/>
      <c r="C1736" s="47" t="n"/>
      <c r="D1736" s="50" t="n"/>
      <c r="E1736" s="50" t="n"/>
      <c r="F1736" s="50" t="n"/>
      <c r="G1736" s="50" t="n"/>
      <c r="H1736" s="48" t="n"/>
      <c r="I1736" s="51" t="n"/>
      <c r="J1736" s="52" t="n"/>
      <c r="K1736" s="47" t="n"/>
      <c r="L1736" s="47" t="n"/>
      <c r="M1736" s="24">
        <f>IF(OR($A1736="",$C1736=""),"",IF($L1736&lt;&gt;"",$L1736-$C1736,TODAY()-$C1736))</f>
        <v/>
      </c>
      <c r="N1736" s="28">
        <f>IF(OR($A1736="",$K1736=""),"",IF($L1736="",IF(TODAY()&gt;$K1736,"Atrasado","En ruta"),IF($L1736&lt;=$K1736,"Sí","No")))</f>
        <v/>
      </c>
      <c r="O1736" s="24">
        <f>IF($A1736="","",COUNTIFS(NOVEDADES!$D$4:$D$1503,$A1736))</f>
        <v/>
      </c>
      <c r="P1736" s="28">
        <f>IF($A1736="","",IF(COUNTIFS(NOVEDADES!$D$4:$D$1503,$A1736,NOVEDADES!$O$4:$O$1503,"SÍ")&gt;0,"No","Sí"))</f>
        <v/>
      </c>
      <c r="Q1736" s="28">
        <f>IF(OR($A1736="",$L1736=""),"",IF(AND($N1736="Sí",$P1736="Sí"),"OTIF","Falló"))</f>
        <v/>
      </c>
    </row>
    <row r="1737" ht="16" customHeight="1">
      <c r="A1737" s="48" t="n"/>
      <c r="B1737" s="48" t="n"/>
      <c r="C1737" s="47" t="n"/>
      <c r="D1737" s="50" t="n"/>
      <c r="E1737" s="50" t="n"/>
      <c r="F1737" s="50" t="n"/>
      <c r="G1737" s="50" t="n"/>
      <c r="H1737" s="48" t="n"/>
      <c r="I1737" s="51" t="n"/>
      <c r="J1737" s="52" t="n"/>
      <c r="K1737" s="47" t="n"/>
      <c r="L1737" s="47" t="n"/>
      <c r="M1737" s="24">
        <f>IF(OR($A1737="",$C1737=""),"",IF($L1737&lt;&gt;"",$L1737-$C1737,TODAY()-$C1737))</f>
        <v/>
      </c>
      <c r="N1737" s="28">
        <f>IF(OR($A1737="",$K1737=""),"",IF($L1737="",IF(TODAY()&gt;$K1737,"Atrasado","En ruta"),IF($L1737&lt;=$K1737,"Sí","No")))</f>
        <v/>
      </c>
      <c r="O1737" s="24">
        <f>IF($A1737="","",COUNTIFS(NOVEDADES!$D$4:$D$1503,$A1737))</f>
        <v/>
      </c>
      <c r="P1737" s="28">
        <f>IF($A1737="","",IF(COUNTIFS(NOVEDADES!$D$4:$D$1503,$A1737,NOVEDADES!$O$4:$O$1503,"SÍ")&gt;0,"No","Sí"))</f>
        <v/>
      </c>
      <c r="Q1737" s="28">
        <f>IF(OR($A1737="",$L1737=""),"",IF(AND($N1737="Sí",$P1737="Sí"),"OTIF","Falló"))</f>
        <v/>
      </c>
    </row>
    <row r="1738" ht="16" customHeight="1">
      <c r="A1738" s="48" t="n"/>
      <c r="B1738" s="48" t="n"/>
      <c r="C1738" s="47" t="n"/>
      <c r="D1738" s="50" t="n"/>
      <c r="E1738" s="50" t="n"/>
      <c r="F1738" s="50" t="n"/>
      <c r="G1738" s="50" t="n"/>
      <c r="H1738" s="48" t="n"/>
      <c r="I1738" s="51" t="n"/>
      <c r="J1738" s="52" t="n"/>
      <c r="K1738" s="47" t="n"/>
      <c r="L1738" s="47" t="n"/>
      <c r="M1738" s="24">
        <f>IF(OR($A1738="",$C1738=""),"",IF($L1738&lt;&gt;"",$L1738-$C1738,TODAY()-$C1738))</f>
        <v/>
      </c>
      <c r="N1738" s="28">
        <f>IF(OR($A1738="",$K1738=""),"",IF($L1738="",IF(TODAY()&gt;$K1738,"Atrasado","En ruta"),IF($L1738&lt;=$K1738,"Sí","No")))</f>
        <v/>
      </c>
      <c r="O1738" s="24">
        <f>IF($A1738="","",COUNTIFS(NOVEDADES!$D$4:$D$1503,$A1738))</f>
        <v/>
      </c>
      <c r="P1738" s="28">
        <f>IF($A1738="","",IF(COUNTIFS(NOVEDADES!$D$4:$D$1503,$A1738,NOVEDADES!$O$4:$O$1503,"SÍ")&gt;0,"No","Sí"))</f>
        <v/>
      </c>
      <c r="Q1738" s="28">
        <f>IF(OR($A1738="",$L1738=""),"",IF(AND($N1738="Sí",$P1738="Sí"),"OTIF","Falló"))</f>
        <v/>
      </c>
    </row>
    <row r="1739" ht="16" customHeight="1">
      <c r="A1739" s="48" t="n"/>
      <c r="B1739" s="48" t="n"/>
      <c r="C1739" s="47" t="n"/>
      <c r="D1739" s="50" t="n"/>
      <c r="E1739" s="50" t="n"/>
      <c r="F1739" s="50" t="n"/>
      <c r="G1739" s="50" t="n"/>
      <c r="H1739" s="48" t="n"/>
      <c r="I1739" s="51" t="n"/>
      <c r="J1739" s="52" t="n"/>
      <c r="K1739" s="47" t="n"/>
      <c r="L1739" s="47" t="n"/>
      <c r="M1739" s="24">
        <f>IF(OR($A1739="",$C1739=""),"",IF($L1739&lt;&gt;"",$L1739-$C1739,TODAY()-$C1739))</f>
        <v/>
      </c>
      <c r="N1739" s="28">
        <f>IF(OR($A1739="",$K1739=""),"",IF($L1739="",IF(TODAY()&gt;$K1739,"Atrasado","En ruta"),IF($L1739&lt;=$K1739,"Sí","No")))</f>
        <v/>
      </c>
      <c r="O1739" s="24">
        <f>IF($A1739="","",COUNTIFS(NOVEDADES!$D$4:$D$1503,$A1739))</f>
        <v/>
      </c>
      <c r="P1739" s="28">
        <f>IF($A1739="","",IF(COUNTIFS(NOVEDADES!$D$4:$D$1503,$A1739,NOVEDADES!$O$4:$O$1503,"SÍ")&gt;0,"No","Sí"))</f>
        <v/>
      </c>
      <c r="Q1739" s="28">
        <f>IF(OR($A1739="",$L1739=""),"",IF(AND($N1739="Sí",$P1739="Sí"),"OTIF","Falló"))</f>
        <v/>
      </c>
    </row>
    <row r="1740" ht="16" customHeight="1">
      <c r="A1740" s="48" t="n"/>
      <c r="B1740" s="48" t="n"/>
      <c r="C1740" s="47" t="n"/>
      <c r="D1740" s="50" t="n"/>
      <c r="E1740" s="50" t="n"/>
      <c r="F1740" s="50" t="n"/>
      <c r="G1740" s="50" t="n"/>
      <c r="H1740" s="48" t="n"/>
      <c r="I1740" s="51" t="n"/>
      <c r="J1740" s="52" t="n"/>
      <c r="K1740" s="47" t="n"/>
      <c r="L1740" s="47" t="n"/>
      <c r="M1740" s="24">
        <f>IF(OR($A1740="",$C1740=""),"",IF($L1740&lt;&gt;"",$L1740-$C1740,TODAY()-$C1740))</f>
        <v/>
      </c>
      <c r="N1740" s="28">
        <f>IF(OR($A1740="",$K1740=""),"",IF($L1740="",IF(TODAY()&gt;$K1740,"Atrasado","En ruta"),IF($L1740&lt;=$K1740,"Sí","No")))</f>
        <v/>
      </c>
      <c r="O1740" s="24">
        <f>IF($A1740="","",COUNTIFS(NOVEDADES!$D$4:$D$1503,$A1740))</f>
        <v/>
      </c>
      <c r="P1740" s="28">
        <f>IF($A1740="","",IF(COUNTIFS(NOVEDADES!$D$4:$D$1503,$A1740,NOVEDADES!$O$4:$O$1503,"SÍ")&gt;0,"No","Sí"))</f>
        <v/>
      </c>
      <c r="Q1740" s="28">
        <f>IF(OR($A1740="",$L1740=""),"",IF(AND($N1740="Sí",$P1740="Sí"),"OTIF","Falló"))</f>
        <v/>
      </c>
    </row>
    <row r="1741" ht="16" customHeight="1">
      <c r="A1741" s="48" t="n"/>
      <c r="B1741" s="48" t="n"/>
      <c r="C1741" s="47" t="n"/>
      <c r="D1741" s="50" t="n"/>
      <c r="E1741" s="50" t="n"/>
      <c r="F1741" s="50" t="n"/>
      <c r="G1741" s="50" t="n"/>
      <c r="H1741" s="48" t="n"/>
      <c r="I1741" s="51" t="n"/>
      <c r="J1741" s="52" t="n"/>
      <c r="K1741" s="47" t="n"/>
      <c r="L1741" s="47" t="n"/>
      <c r="M1741" s="24">
        <f>IF(OR($A1741="",$C1741=""),"",IF($L1741&lt;&gt;"",$L1741-$C1741,TODAY()-$C1741))</f>
        <v/>
      </c>
      <c r="N1741" s="28">
        <f>IF(OR($A1741="",$K1741=""),"",IF($L1741="",IF(TODAY()&gt;$K1741,"Atrasado","En ruta"),IF($L1741&lt;=$K1741,"Sí","No")))</f>
        <v/>
      </c>
      <c r="O1741" s="24">
        <f>IF($A1741="","",COUNTIFS(NOVEDADES!$D$4:$D$1503,$A1741))</f>
        <v/>
      </c>
      <c r="P1741" s="28">
        <f>IF($A1741="","",IF(COUNTIFS(NOVEDADES!$D$4:$D$1503,$A1741,NOVEDADES!$O$4:$O$1503,"SÍ")&gt;0,"No","Sí"))</f>
        <v/>
      </c>
      <c r="Q1741" s="28">
        <f>IF(OR($A1741="",$L1741=""),"",IF(AND($N1741="Sí",$P1741="Sí"),"OTIF","Falló"))</f>
        <v/>
      </c>
    </row>
    <row r="1742" ht="16" customHeight="1">
      <c r="A1742" s="48" t="n"/>
      <c r="B1742" s="48" t="n"/>
      <c r="C1742" s="47" t="n"/>
      <c r="D1742" s="50" t="n"/>
      <c r="E1742" s="50" t="n"/>
      <c r="F1742" s="50" t="n"/>
      <c r="G1742" s="50" t="n"/>
      <c r="H1742" s="48" t="n"/>
      <c r="I1742" s="51" t="n"/>
      <c r="J1742" s="52" t="n"/>
      <c r="K1742" s="47" t="n"/>
      <c r="L1742" s="47" t="n"/>
      <c r="M1742" s="24">
        <f>IF(OR($A1742="",$C1742=""),"",IF($L1742&lt;&gt;"",$L1742-$C1742,TODAY()-$C1742))</f>
        <v/>
      </c>
      <c r="N1742" s="28">
        <f>IF(OR($A1742="",$K1742=""),"",IF($L1742="",IF(TODAY()&gt;$K1742,"Atrasado","En ruta"),IF($L1742&lt;=$K1742,"Sí","No")))</f>
        <v/>
      </c>
      <c r="O1742" s="24">
        <f>IF($A1742="","",COUNTIFS(NOVEDADES!$D$4:$D$1503,$A1742))</f>
        <v/>
      </c>
      <c r="P1742" s="28">
        <f>IF($A1742="","",IF(COUNTIFS(NOVEDADES!$D$4:$D$1503,$A1742,NOVEDADES!$O$4:$O$1503,"SÍ")&gt;0,"No","Sí"))</f>
        <v/>
      </c>
      <c r="Q1742" s="28">
        <f>IF(OR($A1742="",$L1742=""),"",IF(AND($N1742="Sí",$P1742="Sí"),"OTIF","Falló"))</f>
        <v/>
      </c>
    </row>
    <row r="1743" ht="16" customHeight="1">
      <c r="A1743" s="48" t="n"/>
      <c r="B1743" s="48" t="n"/>
      <c r="C1743" s="47" t="n"/>
      <c r="D1743" s="50" t="n"/>
      <c r="E1743" s="50" t="n"/>
      <c r="F1743" s="50" t="n"/>
      <c r="G1743" s="50" t="n"/>
      <c r="H1743" s="48" t="n"/>
      <c r="I1743" s="51" t="n"/>
      <c r="J1743" s="52" t="n"/>
      <c r="K1743" s="47" t="n"/>
      <c r="L1743" s="47" t="n"/>
      <c r="M1743" s="24">
        <f>IF(OR($A1743="",$C1743=""),"",IF($L1743&lt;&gt;"",$L1743-$C1743,TODAY()-$C1743))</f>
        <v/>
      </c>
      <c r="N1743" s="28">
        <f>IF(OR($A1743="",$K1743=""),"",IF($L1743="",IF(TODAY()&gt;$K1743,"Atrasado","En ruta"),IF($L1743&lt;=$K1743,"Sí","No")))</f>
        <v/>
      </c>
      <c r="O1743" s="24">
        <f>IF($A1743="","",COUNTIFS(NOVEDADES!$D$4:$D$1503,$A1743))</f>
        <v/>
      </c>
      <c r="P1743" s="28">
        <f>IF($A1743="","",IF(COUNTIFS(NOVEDADES!$D$4:$D$1503,$A1743,NOVEDADES!$O$4:$O$1503,"SÍ")&gt;0,"No","Sí"))</f>
        <v/>
      </c>
      <c r="Q1743" s="28">
        <f>IF(OR($A1743="",$L1743=""),"",IF(AND($N1743="Sí",$P1743="Sí"),"OTIF","Falló"))</f>
        <v/>
      </c>
    </row>
    <row r="1744" ht="16" customHeight="1">
      <c r="A1744" s="48" t="n"/>
      <c r="B1744" s="48" t="n"/>
      <c r="C1744" s="47" t="n"/>
      <c r="D1744" s="50" t="n"/>
      <c r="E1744" s="50" t="n"/>
      <c r="F1744" s="50" t="n"/>
      <c r="G1744" s="50" t="n"/>
      <c r="H1744" s="48" t="n"/>
      <c r="I1744" s="51" t="n"/>
      <c r="J1744" s="52" t="n"/>
      <c r="K1744" s="47" t="n"/>
      <c r="L1744" s="47" t="n"/>
      <c r="M1744" s="24">
        <f>IF(OR($A1744="",$C1744=""),"",IF($L1744&lt;&gt;"",$L1744-$C1744,TODAY()-$C1744))</f>
        <v/>
      </c>
      <c r="N1744" s="28">
        <f>IF(OR($A1744="",$K1744=""),"",IF($L1744="",IF(TODAY()&gt;$K1744,"Atrasado","En ruta"),IF($L1744&lt;=$K1744,"Sí","No")))</f>
        <v/>
      </c>
      <c r="O1744" s="24">
        <f>IF($A1744="","",COUNTIFS(NOVEDADES!$D$4:$D$1503,$A1744))</f>
        <v/>
      </c>
      <c r="P1744" s="28">
        <f>IF($A1744="","",IF(COUNTIFS(NOVEDADES!$D$4:$D$1503,$A1744,NOVEDADES!$O$4:$O$1503,"SÍ")&gt;0,"No","Sí"))</f>
        <v/>
      </c>
      <c r="Q1744" s="28">
        <f>IF(OR($A1744="",$L1744=""),"",IF(AND($N1744="Sí",$P1744="Sí"),"OTIF","Falló"))</f>
        <v/>
      </c>
    </row>
    <row r="1745" ht="16" customHeight="1">
      <c r="A1745" s="48" t="n"/>
      <c r="B1745" s="48" t="n"/>
      <c r="C1745" s="47" t="n"/>
      <c r="D1745" s="50" t="n"/>
      <c r="E1745" s="50" t="n"/>
      <c r="F1745" s="50" t="n"/>
      <c r="G1745" s="50" t="n"/>
      <c r="H1745" s="48" t="n"/>
      <c r="I1745" s="51" t="n"/>
      <c r="J1745" s="52" t="n"/>
      <c r="K1745" s="47" t="n"/>
      <c r="L1745" s="47" t="n"/>
      <c r="M1745" s="24">
        <f>IF(OR($A1745="",$C1745=""),"",IF($L1745&lt;&gt;"",$L1745-$C1745,TODAY()-$C1745))</f>
        <v/>
      </c>
      <c r="N1745" s="28">
        <f>IF(OR($A1745="",$K1745=""),"",IF($L1745="",IF(TODAY()&gt;$K1745,"Atrasado","En ruta"),IF($L1745&lt;=$K1745,"Sí","No")))</f>
        <v/>
      </c>
      <c r="O1745" s="24">
        <f>IF($A1745="","",COUNTIFS(NOVEDADES!$D$4:$D$1503,$A1745))</f>
        <v/>
      </c>
      <c r="P1745" s="28">
        <f>IF($A1745="","",IF(COUNTIFS(NOVEDADES!$D$4:$D$1503,$A1745,NOVEDADES!$O$4:$O$1503,"SÍ")&gt;0,"No","Sí"))</f>
        <v/>
      </c>
      <c r="Q1745" s="28">
        <f>IF(OR($A1745="",$L1745=""),"",IF(AND($N1745="Sí",$P1745="Sí"),"OTIF","Falló"))</f>
        <v/>
      </c>
    </row>
    <row r="1746" ht="16" customHeight="1">
      <c r="A1746" s="48" t="n"/>
      <c r="B1746" s="48" t="n"/>
      <c r="C1746" s="47" t="n"/>
      <c r="D1746" s="50" t="n"/>
      <c r="E1746" s="50" t="n"/>
      <c r="F1746" s="50" t="n"/>
      <c r="G1746" s="50" t="n"/>
      <c r="H1746" s="48" t="n"/>
      <c r="I1746" s="51" t="n"/>
      <c r="J1746" s="52" t="n"/>
      <c r="K1746" s="47" t="n"/>
      <c r="L1746" s="47" t="n"/>
      <c r="M1746" s="24">
        <f>IF(OR($A1746="",$C1746=""),"",IF($L1746&lt;&gt;"",$L1746-$C1746,TODAY()-$C1746))</f>
        <v/>
      </c>
      <c r="N1746" s="28">
        <f>IF(OR($A1746="",$K1746=""),"",IF($L1746="",IF(TODAY()&gt;$K1746,"Atrasado","En ruta"),IF($L1746&lt;=$K1746,"Sí","No")))</f>
        <v/>
      </c>
      <c r="O1746" s="24">
        <f>IF($A1746="","",COUNTIFS(NOVEDADES!$D$4:$D$1503,$A1746))</f>
        <v/>
      </c>
      <c r="P1746" s="28">
        <f>IF($A1746="","",IF(COUNTIFS(NOVEDADES!$D$4:$D$1503,$A1746,NOVEDADES!$O$4:$O$1503,"SÍ")&gt;0,"No","Sí"))</f>
        <v/>
      </c>
      <c r="Q1746" s="28">
        <f>IF(OR($A1746="",$L1746=""),"",IF(AND($N1746="Sí",$P1746="Sí"),"OTIF","Falló"))</f>
        <v/>
      </c>
    </row>
    <row r="1747" ht="16" customHeight="1">
      <c r="A1747" s="48" t="n"/>
      <c r="B1747" s="48" t="n"/>
      <c r="C1747" s="47" t="n"/>
      <c r="D1747" s="50" t="n"/>
      <c r="E1747" s="50" t="n"/>
      <c r="F1747" s="50" t="n"/>
      <c r="G1747" s="50" t="n"/>
      <c r="H1747" s="48" t="n"/>
      <c r="I1747" s="51" t="n"/>
      <c r="J1747" s="52" t="n"/>
      <c r="K1747" s="47" t="n"/>
      <c r="L1747" s="47" t="n"/>
      <c r="M1747" s="24">
        <f>IF(OR($A1747="",$C1747=""),"",IF($L1747&lt;&gt;"",$L1747-$C1747,TODAY()-$C1747))</f>
        <v/>
      </c>
      <c r="N1747" s="28">
        <f>IF(OR($A1747="",$K1747=""),"",IF($L1747="",IF(TODAY()&gt;$K1747,"Atrasado","En ruta"),IF($L1747&lt;=$K1747,"Sí","No")))</f>
        <v/>
      </c>
      <c r="O1747" s="24">
        <f>IF($A1747="","",COUNTIFS(NOVEDADES!$D$4:$D$1503,$A1747))</f>
        <v/>
      </c>
      <c r="P1747" s="28">
        <f>IF($A1747="","",IF(COUNTIFS(NOVEDADES!$D$4:$D$1503,$A1747,NOVEDADES!$O$4:$O$1503,"SÍ")&gt;0,"No","Sí"))</f>
        <v/>
      </c>
      <c r="Q1747" s="28">
        <f>IF(OR($A1747="",$L1747=""),"",IF(AND($N1747="Sí",$P1747="Sí"),"OTIF","Falló"))</f>
        <v/>
      </c>
    </row>
    <row r="1748" ht="16" customHeight="1">
      <c r="A1748" s="48" t="n"/>
      <c r="B1748" s="48" t="n"/>
      <c r="C1748" s="47" t="n"/>
      <c r="D1748" s="50" t="n"/>
      <c r="E1748" s="50" t="n"/>
      <c r="F1748" s="50" t="n"/>
      <c r="G1748" s="50" t="n"/>
      <c r="H1748" s="48" t="n"/>
      <c r="I1748" s="51" t="n"/>
      <c r="J1748" s="52" t="n"/>
      <c r="K1748" s="47" t="n"/>
      <c r="L1748" s="47" t="n"/>
      <c r="M1748" s="24">
        <f>IF(OR($A1748="",$C1748=""),"",IF($L1748&lt;&gt;"",$L1748-$C1748,TODAY()-$C1748))</f>
        <v/>
      </c>
      <c r="N1748" s="28">
        <f>IF(OR($A1748="",$K1748=""),"",IF($L1748="",IF(TODAY()&gt;$K1748,"Atrasado","En ruta"),IF($L1748&lt;=$K1748,"Sí","No")))</f>
        <v/>
      </c>
      <c r="O1748" s="24">
        <f>IF($A1748="","",COUNTIFS(NOVEDADES!$D$4:$D$1503,$A1748))</f>
        <v/>
      </c>
      <c r="P1748" s="28">
        <f>IF($A1748="","",IF(COUNTIFS(NOVEDADES!$D$4:$D$1503,$A1748,NOVEDADES!$O$4:$O$1503,"SÍ")&gt;0,"No","Sí"))</f>
        <v/>
      </c>
      <c r="Q1748" s="28">
        <f>IF(OR($A1748="",$L1748=""),"",IF(AND($N1748="Sí",$P1748="Sí"),"OTIF","Falló"))</f>
        <v/>
      </c>
    </row>
    <row r="1749" ht="16" customHeight="1">
      <c r="A1749" s="48" t="n"/>
      <c r="B1749" s="48" t="n"/>
      <c r="C1749" s="47" t="n"/>
      <c r="D1749" s="50" t="n"/>
      <c r="E1749" s="50" t="n"/>
      <c r="F1749" s="50" t="n"/>
      <c r="G1749" s="50" t="n"/>
      <c r="H1749" s="48" t="n"/>
      <c r="I1749" s="51" t="n"/>
      <c r="J1749" s="52" t="n"/>
      <c r="K1749" s="47" t="n"/>
      <c r="L1749" s="47" t="n"/>
      <c r="M1749" s="24">
        <f>IF(OR($A1749="",$C1749=""),"",IF($L1749&lt;&gt;"",$L1749-$C1749,TODAY()-$C1749))</f>
        <v/>
      </c>
      <c r="N1749" s="28">
        <f>IF(OR($A1749="",$K1749=""),"",IF($L1749="",IF(TODAY()&gt;$K1749,"Atrasado","En ruta"),IF($L1749&lt;=$K1749,"Sí","No")))</f>
        <v/>
      </c>
      <c r="O1749" s="24">
        <f>IF($A1749="","",COUNTIFS(NOVEDADES!$D$4:$D$1503,$A1749))</f>
        <v/>
      </c>
      <c r="P1749" s="28">
        <f>IF($A1749="","",IF(COUNTIFS(NOVEDADES!$D$4:$D$1503,$A1749,NOVEDADES!$O$4:$O$1503,"SÍ")&gt;0,"No","Sí"))</f>
        <v/>
      </c>
      <c r="Q1749" s="28">
        <f>IF(OR($A1749="",$L1749=""),"",IF(AND($N1749="Sí",$P1749="Sí"),"OTIF","Falló"))</f>
        <v/>
      </c>
    </row>
    <row r="1750" ht="16" customHeight="1">
      <c r="A1750" s="48" t="n"/>
      <c r="B1750" s="48" t="n"/>
      <c r="C1750" s="47" t="n"/>
      <c r="D1750" s="50" t="n"/>
      <c r="E1750" s="50" t="n"/>
      <c r="F1750" s="50" t="n"/>
      <c r="G1750" s="50" t="n"/>
      <c r="H1750" s="48" t="n"/>
      <c r="I1750" s="51" t="n"/>
      <c r="J1750" s="52" t="n"/>
      <c r="K1750" s="47" t="n"/>
      <c r="L1750" s="47" t="n"/>
      <c r="M1750" s="24">
        <f>IF(OR($A1750="",$C1750=""),"",IF($L1750&lt;&gt;"",$L1750-$C1750,TODAY()-$C1750))</f>
        <v/>
      </c>
      <c r="N1750" s="28">
        <f>IF(OR($A1750="",$K1750=""),"",IF($L1750="",IF(TODAY()&gt;$K1750,"Atrasado","En ruta"),IF($L1750&lt;=$K1750,"Sí","No")))</f>
        <v/>
      </c>
      <c r="O1750" s="24">
        <f>IF($A1750="","",COUNTIFS(NOVEDADES!$D$4:$D$1503,$A1750))</f>
        <v/>
      </c>
      <c r="P1750" s="28">
        <f>IF($A1750="","",IF(COUNTIFS(NOVEDADES!$D$4:$D$1503,$A1750,NOVEDADES!$O$4:$O$1503,"SÍ")&gt;0,"No","Sí"))</f>
        <v/>
      </c>
      <c r="Q1750" s="28">
        <f>IF(OR($A1750="",$L1750=""),"",IF(AND($N1750="Sí",$P1750="Sí"),"OTIF","Falló"))</f>
        <v/>
      </c>
    </row>
    <row r="1751" ht="16" customHeight="1">
      <c r="A1751" s="48" t="n"/>
      <c r="B1751" s="48" t="n"/>
      <c r="C1751" s="47" t="n"/>
      <c r="D1751" s="50" t="n"/>
      <c r="E1751" s="50" t="n"/>
      <c r="F1751" s="50" t="n"/>
      <c r="G1751" s="50" t="n"/>
      <c r="H1751" s="48" t="n"/>
      <c r="I1751" s="51" t="n"/>
      <c r="J1751" s="52" t="n"/>
      <c r="K1751" s="47" t="n"/>
      <c r="L1751" s="47" t="n"/>
      <c r="M1751" s="24">
        <f>IF(OR($A1751="",$C1751=""),"",IF($L1751&lt;&gt;"",$L1751-$C1751,TODAY()-$C1751))</f>
        <v/>
      </c>
      <c r="N1751" s="28">
        <f>IF(OR($A1751="",$K1751=""),"",IF($L1751="",IF(TODAY()&gt;$K1751,"Atrasado","En ruta"),IF($L1751&lt;=$K1751,"Sí","No")))</f>
        <v/>
      </c>
      <c r="O1751" s="24">
        <f>IF($A1751="","",COUNTIFS(NOVEDADES!$D$4:$D$1503,$A1751))</f>
        <v/>
      </c>
      <c r="P1751" s="28">
        <f>IF($A1751="","",IF(COUNTIFS(NOVEDADES!$D$4:$D$1503,$A1751,NOVEDADES!$O$4:$O$1503,"SÍ")&gt;0,"No","Sí"))</f>
        <v/>
      </c>
      <c r="Q1751" s="28">
        <f>IF(OR($A1751="",$L1751=""),"",IF(AND($N1751="Sí",$P1751="Sí"),"OTIF","Falló"))</f>
        <v/>
      </c>
    </row>
    <row r="1752" ht="16" customHeight="1">
      <c r="A1752" s="48" t="n"/>
      <c r="B1752" s="48" t="n"/>
      <c r="C1752" s="47" t="n"/>
      <c r="D1752" s="50" t="n"/>
      <c r="E1752" s="50" t="n"/>
      <c r="F1752" s="50" t="n"/>
      <c r="G1752" s="50" t="n"/>
      <c r="H1752" s="48" t="n"/>
      <c r="I1752" s="51" t="n"/>
      <c r="J1752" s="52" t="n"/>
      <c r="K1752" s="47" t="n"/>
      <c r="L1752" s="47" t="n"/>
      <c r="M1752" s="24">
        <f>IF(OR($A1752="",$C1752=""),"",IF($L1752&lt;&gt;"",$L1752-$C1752,TODAY()-$C1752))</f>
        <v/>
      </c>
      <c r="N1752" s="28">
        <f>IF(OR($A1752="",$K1752=""),"",IF($L1752="",IF(TODAY()&gt;$K1752,"Atrasado","En ruta"),IF($L1752&lt;=$K1752,"Sí","No")))</f>
        <v/>
      </c>
      <c r="O1752" s="24">
        <f>IF($A1752="","",COUNTIFS(NOVEDADES!$D$4:$D$1503,$A1752))</f>
        <v/>
      </c>
      <c r="P1752" s="28">
        <f>IF($A1752="","",IF(COUNTIFS(NOVEDADES!$D$4:$D$1503,$A1752,NOVEDADES!$O$4:$O$1503,"SÍ")&gt;0,"No","Sí"))</f>
        <v/>
      </c>
      <c r="Q1752" s="28">
        <f>IF(OR($A1752="",$L1752=""),"",IF(AND($N1752="Sí",$P1752="Sí"),"OTIF","Falló"))</f>
        <v/>
      </c>
    </row>
    <row r="1753" ht="16" customHeight="1">
      <c r="A1753" s="48" t="n"/>
      <c r="B1753" s="48" t="n"/>
      <c r="C1753" s="47" t="n"/>
      <c r="D1753" s="50" t="n"/>
      <c r="E1753" s="50" t="n"/>
      <c r="F1753" s="50" t="n"/>
      <c r="G1753" s="50" t="n"/>
      <c r="H1753" s="48" t="n"/>
      <c r="I1753" s="51" t="n"/>
      <c r="J1753" s="52" t="n"/>
      <c r="K1753" s="47" t="n"/>
      <c r="L1753" s="47" t="n"/>
      <c r="M1753" s="24">
        <f>IF(OR($A1753="",$C1753=""),"",IF($L1753&lt;&gt;"",$L1753-$C1753,TODAY()-$C1753))</f>
        <v/>
      </c>
      <c r="N1753" s="28">
        <f>IF(OR($A1753="",$K1753=""),"",IF($L1753="",IF(TODAY()&gt;$K1753,"Atrasado","En ruta"),IF($L1753&lt;=$K1753,"Sí","No")))</f>
        <v/>
      </c>
      <c r="O1753" s="24">
        <f>IF($A1753="","",COUNTIFS(NOVEDADES!$D$4:$D$1503,$A1753))</f>
        <v/>
      </c>
      <c r="P1753" s="28">
        <f>IF($A1753="","",IF(COUNTIFS(NOVEDADES!$D$4:$D$1503,$A1753,NOVEDADES!$O$4:$O$1503,"SÍ")&gt;0,"No","Sí"))</f>
        <v/>
      </c>
      <c r="Q1753" s="28">
        <f>IF(OR($A1753="",$L1753=""),"",IF(AND($N1753="Sí",$P1753="Sí"),"OTIF","Falló"))</f>
        <v/>
      </c>
    </row>
    <row r="1754" ht="16" customHeight="1">
      <c r="A1754" s="48" t="n"/>
      <c r="B1754" s="48" t="n"/>
      <c r="C1754" s="47" t="n"/>
      <c r="D1754" s="50" t="n"/>
      <c r="E1754" s="50" t="n"/>
      <c r="F1754" s="50" t="n"/>
      <c r="G1754" s="50" t="n"/>
      <c r="H1754" s="48" t="n"/>
      <c r="I1754" s="51" t="n"/>
      <c r="J1754" s="52" t="n"/>
      <c r="K1754" s="47" t="n"/>
      <c r="L1754" s="47" t="n"/>
      <c r="M1754" s="24">
        <f>IF(OR($A1754="",$C1754=""),"",IF($L1754&lt;&gt;"",$L1754-$C1754,TODAY()-$C1754))</f>
        <v/>
      </c>
      <c r="N1754" s="28">
        <f>IF(OR($A1754="",$K1754=""),"",IF($L1754="",IF(TODAY()&gt;$K1754,"Atrasado","En ruta"),IF($L1754&lt;=$K1754,"Sí","No")))</f>
        <v/>
      </c>
      <c r="O1754" s="24">
        <f>IF($A1754="","",COUNTIFS(NOVEDADES!$D$4:$D$1503,$A1754))</f>
        <v/>
      </c>
      <c r="P1754" s="28">
        <f>IF($A1754="","",IF(COUNTIFS(NOVEDADES!$D$4:$D$1503,$A1754,NOVEDADES!$O$4:$O$1503,"SÍ")&gt;0,"No","Sí"))</f>
        <v/>
      </c>
      <c r="Q1754" s="28">
        <f>IF(OR($A1754="",$L1754=""),"",IF(AND($N1754="Sí",$P1754="Sí"),"OTIF","Falló"))</f>
        <v/>
      </c>
    </row>
    <row r="1755" ht="16" customHeight="1">
      <c r="A1755" s="48" t="n"/>
      <c r="B1755" s="48" t="n"/>
      <c r="C1755" s="47" t="n"/>
      <c r="D1755" s="50" t="n"/>
      <c r="E1755" s="50" t="n"/>
      <c r="F1755" s="50" t="n"/>
      <c r="G1755" s="50" t="n"/>
      <c r="H1755" s="48" t="n"/>
      <c r="I1755" s="51" t="n"/>
      <c r="J1755" s="52" t="n"/>
      <c r="K1755" s="47" t="n"/>
      <c r="L1755" s="47" t="n"/>
      <c r="M1755" s="24">
        <f>IF(OR($A1755="",$C1755=""),"",IF($L1755&lt;&gt;"",$L1755-$C1755,TODAY()-$C1755))</f>
        <v/>
      </c>
      <c r="N1755" s="28">
        <f>IF(OR($A1755="",$K1755=""),"",IF($L1755="",IF(TODAY()&gt;$K1755,"Atrasado","En ruta"),IF($L1755&lt;=$K1755,"Sí","No")))</f>
        <v/>
      </c>
      <c r="O1755" s="24">
        <f>IF($A1755="","",COUNTIFS(NOVEDADES!$D$4:$D$1503,$A1755))</f>
        <v/>
      </c>
      <c r="P1755" s="28">
        <f>IF($A1755="","",IF(COUNTIFS(NOVEDADES!$D$4:$D$1503,$A1755,NOVEDADES!$O$4:$O$1503,"SÍ")&gt;0,"No","Sí"))</f>
        <v/>
      </c>
      <c r="Q1755" s="28">
        <f>IF(OR($A1755="",$L1755=""),"",IF(AND($N1755="Sí",$P1755="Sí"),"OTIF","Falló"))</f>
        <v/>
      </c>
    </row>
    <row r="1756" ht="16" customHeight="1">
      <c r="A1756" s="48" t="n"/>
      <c r="B1756" s="48" t="n"/>
      <c r="C1756" s="47" t="n"/>
      <c r="D1756" s="50" t="n"/>
      <c r="E1756" s="50" t="n"/>
      <c r="F1756" s="50" t="n"/>
      <c r="G1756" s="50" t="n"/>
      <c r="H1756" s="48" t="n"/>
      <c r="I1756" s="51" t="n"/>
      <c r="J1756" s="52" t="n"/>
      <c r="K1756" s="47" t="n"/>
      <c r="L1756" s="47" t="n"/>
      <c r="M1756" s="24">
        <f>IF(OR($A1756="",$C1756=""),"",IF($L1756&lt;&gt;"",$L1756-$C1756,TODAY()-$C1756))</f>
        <v/>
      </c>
      <c r="N1756" s="28">
        <f>IF(OR($A1756="",$K1756=""),"",IF($L1756="",IF(TODAY()&gt;$K1756,"Atrasado","En ruta"),IF($L1756&lt;=$K1756,"Sí","No")))</f>
        <v/>
      </c>
      <c r="O1756" s="24">
        <f>IF($A1756="","",COUNTIFS(NOVEDADES!$D$4:$D$1503,$A1756))</f>
        <v/>
      </c>
      <c r="P1756" s="28">
        <f>IF($A1756="","",IF(COUNTIFS(NOVEDADES!$D$4:$D$1503,$A1756,NOVEDADES!$O$4:$O$1503,"SÍ")&gt;0,"No","Sí"))</f>
        <v/>
      </c>
      <c r="Q1756" s="28">
        <f>IF(OR($A1756="",$L1756=""),"",IF(AND($N1756="Sí",$P1756="Sí"),"OTIF","Falló"))</f>
        <v/>
      </c>
    </row>
    <row r="1757" ht="16" customHeight="1">
      <c r="A1757" s="48" t="n"/>
      <c r="B1757" s="48" t="n"/>
      <c r="C1757" s="47" t="n"/>
      <c r="D1757" s="50" t="n"/>
      <c r="E1757" s="50" t="n"/>
      <c r="F1757" s="50" t="n"/>
      <c r="G1757" s="50" t="n"/>
      <c r="H1757" s="48" t="n"/>
      <c r="I1757" s="51" t="n"/>
      <c r="J1757" s="52" t="n"/>
      <c r="K1757" s="47" t="n"/>
      <c r="L1757" s="47" t="n"/>
      <c r="M1757" s="24">
        <f>IF(OR($A1757="",$C1757=""),"",IF($L1757&lt;&gt;"",$L1757-$C1757,TODAY()-$C1757))</f>
        <v/>
      </c>
      <c r="N1757" s="28">
        <f>IF(OR($A1757="",$K1757=""),"",IF($L1757="",IF(TODAY()&gt;$K1757,"Atrasado","En ruta"),IF($L1757&lt;=$K1757,"Sí","No")))</f>
        <v/>
      </c>
      <c r="O1757" s="24">
        <f>IF($A1757="","",COUNTIFS(NOVEDADES!$D$4:$D$1503,$A1757))</f>
        <v/>
      </c>
      <c r="P1757" s="28">
        <f>IF($A1757="","",IF(COUNTIFS(NOVEDADES!$D$4:$D$1503,$A1757,NOVEDADES!$O$4:$O$1503,"SÍ")&gt;0,"No","Sí"))</f>
        <v/>
      </c>
      <c r="Q1757" s="28">
        <f>IF(OR($A1757="",$L1757=""),"",IF(AND($N1757="Sí",$P1757="Sí"),"OTIF","Falló"))</f>
        <v/>
      </c>
    </row>
    <row r="1758" ht="16" customHeight="1">
      <c r="A1758" s="48" t="n"/>
      <c r="B1758" s="48" t="n"/>
      <c r="C1758" s="47" t="n"/>
      <c r="D1758" s="50" t="n"/>
      <c r="E1758" s="50" t="n"/>
      <c r="F1758" s="50" t="n"/>
      <c r="G1758" s="50" t="n"/>
      <c r="H1758" s="48" t="n"/>
      <c r="I1758" s="51" t="n"/>
      <c r="J1758" s="52" t="n"/>
      <c r="K1758" s="47" t="n"/>
      <c r="L1758" s="47" t="n"/>
      <c r="M1758" s="24">
        <f>IF(OR($A1758="",$C1758=""),"",IF($L1758&lt;&gt;"",$L1758-$C1758,TODAY()-$C1758))</f>
        <v/>
      </c>
      <c r="N1758" s="28">
        <f>IF(OR($A1758="",$K1758=""),"",IF($L1758="",IF(TODAY()&gt;$K1758,"Atrasado","En ruta"),IF($L1758&lt;=$K1758,"Sí","No")))</f>
        <v/>
      </c>
      <c r="O1758" s="24">
        <f>IF($A1758="","",COUNTIFS(NOVEDADES!$D$4:$D$1503,$A1758))</f>
        <v/>
      </c>
      <c r="P1758" s="28">
        <f>IF($A1758="","",IF(COUNTIFS(NOVEDADES!$D$4:$D$1503,$A1758,NOVEDADES!$O$4:$O$1503,"SÍ")&gt;0,"No","Sí"))</f>
        <v/>
      </c>
      <c r="Q1758" s="28">
        <f>IF(OR($A1758="",$L1758=""),"",IF(AND($N1758="Sí",$P1758="Sí"),"OTIF","Falló"))</f>
        <v/>
      </c>
    </row>
    <row r="1759" ht="16" customHeight="1">
      <c r="A1759" s="48" t="n"/>
      <c r="B1759" s="48" t="n"/>
      <c r="C1759" s="47" t="n"/>
      <c r="D1759" s="50" t="n"/>
      <c r="E1759" s="50" t="n"/>
      <c r="F1759" s="50" t="n"/>
      <c r="G1759" s="50" t="n"/>
      <c r="H1759" s="48" t="n"/>
      <c r="I1759" s="51" t="n"/>
      <c r="J1759" s="52" t="n"/>
      <c r="K1759" s="47" t="n"/>
      <c r="L1759" s="47" t="n"/>
      <c r="M1759" s="24">
        <f>IF(OR($A1759="",$C1759=""),"",IF($L1759&lt;&gt;"",$L1759-$C1759,TODAY()-$C1759))</f>
        <v/>
      </c>
      <c r="N1759" s="28">
        <f>IF(OR($A1759="",$K1759=""),"",IF($L1759="",IF(TODAY()&gt;$K1759,"Atrasado","En ruta"),IF($L1759&lt;=$K1759,"Sí","No")))</f>
        <v/>
      </c>
      <c r="O1759" s="24">
        <f>IF($A1759="","",COUNTIFS(NOVEDADES!$D$4:$D$1503,$A1759))</f>
        <v/>
      </c>
      <c r="P1759" s="28">
        <f>IF($A1759="","",IF(COUNTIFS(NOVEDADES!$D$4:$D$1503,$A1759,NOVEDADES!$O$4:$O$1503,"SÍ")&gt;0,"No","Sí"))</f>
        <v/>
      </c>
      <c r="Q1759" s="28">
        <f>IF(OR($A1759="",$L1759=""),"",IF(AND($N1759="Sí",$P1759="Sí"),"OTIF","Falló"))</f>
        <v/>
      </c>
    </row>
    <row r="1760" ht="16" customHeight="1">
      <c r="A1760" s="48" t="n"/>
      <c r="B1760" s="48" t="n"/>
      <c r="C1760" s="47" t="n"/>
      <c r="D1760" s="50" t="n"/>
      <c r="E1760" s="50" t="n"/>
      <c r="F1760" s="50" t="n"/>
      <c r="G1760" s="50" t="n"/>
      <c r="H1760" s="48" t="n"/>
      <c r="I1760" s="51" t="n"/>
      <c r="J1760" s="52" t="n"/>
      <c r="K1760" s="47" t="n"/>
      <c r="L1760" s="47" t="n"/>
      <c r="M1760" s="24">
        <f>IF(OR($A1760="",$C1760=""),"",IF($L1760&lt;&gt;"",$L1760-$C1760,TODAY()-$C1760))</f>
        <v/>
      </c>
      <c r="N1760" s="28">
        <f>IF(OR($A1760="",$K1760=""),"",IF($L1760="",IF(TODAY()&gt;$K1760,"Atrasado","En ruta"),IF($L1760&lt;=$K1760,"Sí","No")))</f>
        <v/>
      </c>
      <c r="O1760" s="24">
        <f>IF($A1760="","",COUNTIFS(NOVEDADES!$D$4:$D$1503,$A1760))</f>
        <v/>
      </c>
      <c r="P1760" s="28">
        <f>IF($A1760="","",IF(COUNTIFS(NOVEDADES!$D$4:$D$1503,$A1760,NOVEDADES!$O$4:$O$1503,"SÍ")&gt;0,"No","Sí"))</f>
        <v/>
      </c>
      <c r="Q1760" s="28">
        <f>IF(OR($A1760="",$L1760=""),"",IF(AND($N1760="Sí",$P1760="Sí"),"OTIF","Falló"))</f>
        <v/>
      </c>
    </row>
    <row r="1761" ht="16" customHeight="1">
      <c r="A1761" s="48" t="n"/>
      <c r="B1761" s="48" t="n"/>
      <c r="C1761" s="47" t="n"/>
      <c r="D1761" s="50" t="n"/>
      <c r="E1761" s="50" t="n"/>
      <c r="F1761" s="50" t="n"/>
      <c r="G1761" s="50" t="n"/>
      <c r="H1761" s="48" t="n"/>
      <c r="I1761" s="51" t="n"/>
      <c r="J1761" s="52" t="n"/>
      <c r="K1761" s="47" t="n"/>
      <c r="L1761" s="47" t="n"/>
      <c r="M1761" s="24">
        <f>IF(OR($A1761="",$C1761=""),"",IF($L1761&lt;&gt;"",$L1761-$C1761,TODAY()-$C1761))</f>
        <v/>
      </c>
      <c r="N1761" s="28">
        <f>IF(OR($A1761="",$K1761=""),"",IF($L1761="",IF(TODAY()&gt;$K1761,"Atrasado","En ruta"),IF($L1761&lt;=$K1761,"Sí","No")))</f>
        <v/>
      </c>
      <c r="O1761" s="24">
        <f>IF($A1761="","",COUNTIFS(NOVEDADES!$D$4:$D$1503,$A1761))</f>
        <v/>
      </c>
      <c r="P1761" s="28">
        <f>IF($A1761="","",IF(COUNTIFS(NOVEDADES!$D$4:$D$1503,$A1761,NOVEDADES!$O$4:$O$1503,"SÍ")&gt;0,"No","Sí"))</f>
        <v/>
      </c>
      <c r="Q1761" s="28">
        <f>IF(OR($A1761="",$L1761=""),"",IF(AND($N1761="Sí",$P1761="Sí"),"OTIF","Falló"))</f>
        <v/>
      </c>
    </row>
    <row r="1762" ht="16" customHeight="1">
      <c r="A1762" s="48" t="n"/>
      <c r="B1762" s="48" t="n"/>
      <c r="C1762" s="47" t="n"/>
      <c r="D1762" s="50" t="n"/>
      <c r="E1762" s="50" t="n"/>
      <c r="F1762" s="50" t="n"/>
      <c r="G1762" s="50" t="n"/>
      <c r="H1762" s="48" t="n"/>
      <c r="I1762" s="51" t="n"/>
      <c r="J1762" s="52" t="n"/>
      <c r="K1762" s="47" t="n"/>
      <c r="L1762" s="47" t="n"/>
      <c r="M1762" s="24">
        <f>IF(OR($A1762="",$C1762=""),"",IF($L1762&lt;&gt;"",$L1762-$C1762,TODAY()-$C1762))</f>
        <v/>
      </c>
      <c r="N1762" s="28">
        <f>IF(OR($A1762="",$K1762=""),"",IF($L1762="",IF(TODAY()&gt;$K1762,"Atrasado","En ruta"),IF($L1762&lt;=$K1762,"Sí","No")))</f>
        <v/>
      </c>
      <c r="O1762" s="24">
        <f>IF($A1762="","",COUNTIFS(NOVEDADES!$D$4:$D$1503,$A1762))</f>
        <v/>
      </c>
      <c r="P1762" s="28">
        <f>IF($A1762="","",IF(COUNTIFS(NOVEDADES!$D$4:$D$1503,$A1762,NOVEDADES!$O$4:$O$1503,"SÍ")&gt;0,"No","Sí"))</f>
        <v/>
      </c>
      <c r="Q1762" s="28">
        <f>IF(OR($A1762="",$L1762=""),"",IF(AND($N1762="Sí",$P1762="Sí"),"OTIF","Falló"))</f>
        <v/>
      </c>
    </row>
    <row r="1763" ht="16" customHeight="1">
      <c r="A1763" s="48" t="n"/>
      <c r="B1763" s="48" t="n"/>
      <c r="C1763" s="47" t="n"/>
      <c r="D1763" s="50" t="n"/>
      <c r="E1763" s="50" t="n"/>
      <c r="F1763" s="50" t="n"/>
      <c r="G1763" s="50" t="n"/>
      <c r="H1763" s="48" t="n"/>
      <c r="I1763" s="51" t="n"/>
      <c r="J1763" s="52" t="n"/>
      <c r="K1763" s="47" t="n"/>
      <c r="L1763" s="47" t="n"/>
      <c r="M1763" s="24">
        <f>IF(OR($A1763="",$C1763=""),"",IF($L1763&lt;&gt;"",$L1763-$C1763,TODAY()-$C1763))</f>
        <v/>
      </c>
      <c r="N1763" s="28">
        <f>IF(OR($A1763="",$K1763=""),"",IF($L1763="",IF(TODAY()&gt;$K1763,"Atrasado","En ruta"),IF($L1763&lt;=$K1763,"Sí","No")))</f>
        <v/>
      </c>
      <c r="O1763" s="24">
        <f>IF($A1763="","",COUNTIFS(NOVEDADES!$D$4:$D$1503,$A1763))</f>
        <v/>
      </c>
      <c r="P1763" s="28">
        <f>IF($A1763="","",IF(COUNTIFS(NOVEDADES!$D$4:$D$1503,$A1763,NOVEDADES!$O$4:$O$1503,"SÍ")&gt;0,"No","Sí"))</f>
        <v/>
      </c>
      <c r="Q1763" s="28">
        <f>IF(OR($A1763="",$L1763=""),"",IF(AND($N1763="Sí",$P1763="Sí"),"OTIF","Falló"))</f>
        <v/>
      </c>
    </row>
    <row r="1764" ht="16" customHeight="1">
      <c r="A1764" s="48" t="n"/>
      <c r="B1764" s="48" t="n"/>
      <c r="C1764" s="47" t="n"/>
      <c r="D1764" s="50" t="n"/>
      <c r="E1764" s="50" t="n"/>
      <c r="F1764" s="50" t="n"/>
      <c r="G1764" s="50" t="n"/>
      <c r="H1764" s="48" t="n"/>
      <c r="I1764" s="51" t="n"/>
      <c r="J1764" s="52" t="n"/>
      <c r="K1764" s="47" t="n"/>
      <c r="L1764" s="47" t="n"/>
      <c r="M1764" s="24">
        <f>IF(OR($A1764="",$C1764=""),"",IF($L1764&lt;&gt;"",$L1764-$C1764,TODAY()-$C1764))</f>
        <v/>
      </c>
      <c r="N1764" s="28">
        <f>IF(OR($A1764="",$K1764=""),"",IF($L1764="",IF(TODAY()&gt;$K1764,"Atrasado","En ruta"),IF($L1764&lt;=$K1764,"Sí","No")))</f>
        <v/>
      </c>
      <c r="O1764" s="24">
        <f>IF($A1764="","",COUNTIFS(NOVEDADES!$D$4:$D$1503,$A1764))</f>
        <v/>
      </c>
      <c r="P1764" s="28">
        <f>IF($A1764="","",IF(COUNTIFS(NOVEDADES!$D$4:$D$1503,$A1764,NOVEDADES!$O$4:$O$1503,"SÍ")&gt;0,"No","Sí"))</f>
        <v/>
      </c>
      <c r="Q1764" s="28">
        <f>IF(OR($A1764="",$L1764=""),"",IF(AND($N1764="Sí",$P1764="Sí"),"OTIF","Falló"))</f>
        <v/>
      </c>
    </row>
    <row r="1765" ht="16" customHeight="1">
      <c r="A1765" s="48" t="n"/>
      <c r="B1765" s="48" t="n"/>
      <c r="C1765" s="47" t="n"/>
      <c r="D1765" s="50" t="n"/>
      <c r="E1765" s="50" t="n"/>
      <c r="F1765" s="50" t="n"/>
      <c r="G1765" s="50" t="n"/>
      <c r="H1765" s="48" t="n"/>
      <c r="I1765" s="51" t="n"/>
      <c r="J1765" s="52" t="n"/>
      <c r="K1765" s="47" t="n"/>
      <c r="L1765" s="47" t="n"/>
      <c r="M1765" s="24">
        <f>IF(OR($A1765="",$C1765=""),"",IF($L1765&lt;&gt;"",$L1765-$C1765,TODAY()-$C1765))</f>
        <v/>
      </c>
      <c r="N1765" s="28">
        <f>IF(OR($A1765="",$K1765=""),"",IF($L1765="",IF(TODAY()&gt;$K1765,"Atrasado","En ruta"),IF($L1765&lt;=$K1765,"Sí","No")))</f>
        <v/>
      </c>
      <c r="O1765" s="24">
        <f>IF($A1765="","",COUNTIFS(NOVEDADES!$D$4:$D$1503,$A1765))</f>
        <v/>
      </c>
      <c r="P1765" s="28">
        <f>IF($A1765="","",IF(COUNTIFS(NOVEDADES!$D$4:$D$1503,$A1765,NOVEDADES!$O$4:$O$1503,"SÍ")&gt;0,"No","Sí"))</f>
        <v/>
      </c>
      <c r="Q1765" s="28">
        <f>IF(OR($A1765="",$L1765=""),"",IF(AND($N1765="Sí",$P1765="Sí"),"OTIF","Falló"))</f>
        <v/>
      </c>
    </row>
    <row r="1766" ht="16" customHeight="1">
      <c r="A1766" s="48" t="n"/>
      <c r="B1766" s="48" t="n"/>
      <c r="C1766" s="47" t="n"/>
      <c r="D1766" s="50" t="n"/>
      <c r="E1766" s="50" t="n"/>
      <c r="F1766" s="50" t="n"/>
      <c r="G1766" s="50" t="n"/>
      <c r="H1766" s="48" t="n"/>
      <c r="I1766" s="51" t="n"/>
      <c r="J1766" s="52" t="n"/>
      <c r="K1766" s="47" t="n"/>
      <c r="L1766" s="47" t="n"/>
      <c r="M1766" s="24">
        <f>IF(OR($A1766="",$C1766=""),"",IF($L1766&lt;&gt;"",$L1766-$C1766,TODAY()-$C1766))</f>
        <v/>
      </c>
      <c r="N1766" s="28">
        <f>IF(OR($A1766="",$K1766=""),"",IF($L1766="",IF(TODAY()&gt;$K1766,"Atrasado","En ruta"),IF($L1766&lt;=$K1766,"Sí","No")))</f>
        <v/>
      </c>
      <c r="O1766" s="24">
        <f>IF($A1766="","",COUNTIFS(NOVEDADES!$D$4:$D$1503,$A1766))</f>
        <v/>
      </c>
      <c r="P1766" s="28">
        <f>IF($A1766="","",IF(COUNTIFS(NOVEDADES!$D$4:$D$1503,$A1766,NOVEDADES!$O$4:$O$1503,"SÍ")&gt;0,"No","Sí"))</f>
        <v/>
      </c>
      <c r="Q1766" s="28">
        <f>IF(OR($A1766="",$L1766=""),"",IF(AND($N1766="Sí",$P1766="Sí"),"OTIF","Falló"))</f>
        <v/>
      </c>
    </row>
    <row r="1767" ht="16" customHeight="1">
      <c r="A1767" s="48" t="n"/>
      <c r="B1767" s="48" t="n"/>
      <c r="C1767" s="47" t="n"/>
      <c r="D1767" s="50" t="n"/>
      <c r="E1767" s="50" t="n"/>
      <c r="F1767" s="50" t="n"/>
      <c r="G1767" s="50" t="n"/>
      <c r="H1767" s="48" t="n"/>
      <c r="I1767" s="51" t="n"/>
      <c r="J1767" s="52" t="n"/>
      <c r="K1767" s="47" t="n"/>
      <c r="L1767" s="47" t="n"/>
      <c r="M1767" s="24">
        <f>IF(OR($A1767="",$C1767=""),"",IF($L1767&lt;&gt;"",$L1767-$C1767,TODAY()-$C1767))</f>
        <v/>
      </c>
      <c r="N1767" s="28">
        <f>IF(OR($A1767="",$K1767=""),"",IF($L1767="",IF(TODAY()&gt;$K1767,"Atrasado","En ruta"),IF($L1767&lt;=$K1767,"Sí","No")))</f>
        <v/>
      </c>
      <c r="O1767" s="24">
        <f>IF($A1767="","",COUNTIFS(NOVEDADES!$D$4:$D$1503,$A1767))</f>
        <v/>
      </c>
      <c r="P1767" s="28">
        <f>IF($A1767="","",IF(COUNTIFS(NOVEDADES!$D$4:$D$1503,$A1767,NOVEDADES!$O$4:$O$1503,"SÍ")&gt;0,"No","Sí"))</f>
        <v/>
      </c>
      <c r="Q1767" s="28">
        <f>IF(OR($A1767="",$L1767=""),"",IF(AND($N1767="Sí",$P1767="Sí"),"OTIF","Falló"))</f>
        <v/>
      </c>
    </row>
    <row r="1768" ht="16" customHeight="1">
      <c r="A1768" s="48" t="n"/>
      <c r="B1768" s="48" t="n"/>
      <c r="C1768" s="47" t="n"/>
      <c r="D1768" s="50" t="n"/>
      <c r="E1768" s="50" t="n"/>
      <c r="F1768" s="50" t="n"/>
      <c r="G1768" s="50" t="n"/>
      <c r="H1768" s="48" t="n"/>
      <c r="I1768" s="51" t="n"/>
      <c r="J1768" s="52" t="n"/>
      <c r="K1768" s="47" t="n"/>
      <c r="L1768" s="47" t="n"/>
      <c r="M1768" s="24">
        <f>IF(OR($A1768="",$C1768=""),"",IF($L1768&lt;&gt;"",$L1768-$C1768,TODAY()-$C1768))</f>
        <v/>
      </c>
      <c r="N1768" s="28">
        <f>IF(OR($A1768="",$K1768=""),"",IF($L1768="",IF(TODAY()&gt;$K1768,"Atrasado","En ruta"),IF($L1768&lt;=$K1768,"Sí","No")))</f>
        <v/>
      </c>
      <c r="O1768" s="24">
        <f>IF($A1768="","",COUNTIFS(NOVEDADES!$D$4:$D$1503,$A1768))</f>
        <v/>
      </c>
      <c r="P1768" s="28">
        <f>IF($A1768="","",IF(COUNTIFS(NOVEDADES!$D$4:$D$1503,$A1768,NOVEDADES!$O$4:$O$1503,"SÍ")&gt;0,"No","Sí"))</f>
        <v/>
      </c>
      <c r="Q1768" s="28">
        <f>IF(OR($A1768="",$L1768=""),"",IF(AND($N1768="Sí",$P1768="Sí"),"OTIF","Falló"))</f>
        <v/>
      </c>
    </row>
    <row r="1769" ht="16" customHeight="1">
      <c r="A1769" s="48" t="n"/>
      <c r="B1769" s="48" t="n"/>
      <c r="C1769" s="47" t="n"/>
      <c r="D1769" s="50" t="n"/>
      <c r="E1769" s="50" t="n"/>
      <c r="F1769" s="50" t="n"/>
      <c r="G1769" s="50" t="n"/>
      <c r="H1769" s="48" t="n"/>
      <c r="I1769" s="51" t="n"/>
      <c r="J1769" s="52" t="n"/>
      <c r="K1769" s="47" t="n"/>
      <c r="L1769" s="47" t="n"/>
      <c r="M1769" s="24">
        <f>IF(OR($A1769="",$C1769=""),"",IF($L1769&lt;&gt;"",$L1769-$C1769,TODAY()-$C1769))</f>
        <v/>
      </c>
      <c r="N1769" s="28">
        <f>IF(OR($A1769="",$K1769=""),"",IF($L1769="",IF(TODAY()&gt;$K1769,"Atrasado","En ruta"),IF($L1769&lt;=$K1769,"Sí","No")))</f>
        <v/>
      </c>
      <c r="O1769" s="24">
        <f>IF($A1769="","",COUNTIFS(NOVEDADES!$D$4:$D$1503,$A1769))</f>
        <v/>
      </c>
      <c r="P1769" s="28">
        <f>IF($A1769="","",IF(COUNTIFS(NOVEDADES!$D$4:$D$1503,$A1769,NOVEDADES!$O$4:$O$1503,"SÍ")&gt;0,"No","Sí"))</f>
        <v/>
      </c>
      <c r="Q1769" s="28">
        <f>IF(OR($A1769="",$L1769=""),"",IF(AND($N1769="Sí",$P1769="Sí"),"OTIF","Falló"))</f>
        <v/>
      </c>
    </row>
    <row r="1770" ht="16" customHeight="1">
      <c r="A1770" s="48" t="n"/>
      <c r="B1770" s="48" t="n"/>
      <c r="C1770" s="47" t="n"/>
      <c r="D1770" s="50" t="n"/>
      <c r="E1770" s="50" t="n"/>
      <c r="F1770" s="50" t="n"/>
      <c r="G1770" s="50" t="n"/>
      <c r="H1770" s="48" t="n"/>
      <c r="I1770" s="51" t="n"/>
      <c r="J1770" s="52" t="n"/>
      <c r="K1770" s="47" t="n"/>
      <c r="L1770" s="47" t="n"/>
      <c r="M1770" s="24">
        <f>IF(OR($A1770="",$C1770=""),"",IF($L1770&lt;&gt;"",$L1770-$C1770,TODAY()-$C1770))</f>
        <v/>
      </c>
      <c r="N1770" s="28">
        <f>IF(OR($A1770="",$K1770=""),"",IF($L1770="",IF(TODAY()&gt;$K1770,"Atrasado","En ruta"),IF($L1770&lt;=$K1770,"Sí","No")))</f>
        <v/>
      </c>
      <c r="O1770" s="24">
        <f>IF($A1770="","",COUNTIFS(NOVEDADES!$D$4:$D$1503,$A1770))</f>
        <v/>
      </c>
      <c r="P1770" s="28">
        <f>IF($A1770="","",IF(COUNTIFS(NOVEDADES!$D$4:$D$1503,$A1770,NOVEDADES!$O$4:$O$1503,"SÍ")&gt;0,"No","Sí"))</f>
        <v/>
      </c>
      <c r="Q1770" s="28">
        <f>IF(OR($A1770="",$L1770=""),"",IF(AND($N1770="Sí",$P1770="Sí"),"OTIF","Falló"))</f>
        <v/>
      </c>
    </row>
    <row r="1771" ht="16" customHeight="1">
      <c r="A1771" s="48" t="n"/>
      <c r="B1771" s="48" t="n"/>
      <c r="C1771" s="47" t="n"/>
      <c r="D1771" s="50" t="n"/>
      <c r="E1771" s="50" t="n"/>
      <c r="F1771" s="50" t="n"/>
      <c r="G1771" s="50" t="n"/>
      <c r="H1771" s="48" t="n"/>
      <c r="I1771" s="51" t="n"/>
      <c r="J1771" s="52" t="n"/>
      <c r="K1771" s="47" t="n"/>
      <c r="L1771" s="47" t="n"/>
      <c r="M1771" s="24">
        <f>IF(OR($A1771="",$C1771=""),"",IF($L1771&lt;&gt;"",$L1771-$C1771,TODAY()-$C1771))</f>
        <v/>
      </c>
      <c r="N1771" s="28">
        <f>IF(OR($A1771="",$K1771=""),"",IF($L1771="",IF(TODAY()&gt;$K1771,"Atrasado","En ruta"),IF($L1771&lt;=$K1771,"Sí","No")))</f>
        <v/>
      </c>
      <c r="O1771" s="24">
        <f>IF($A1771="","",COUNTIFS(NOVEDADES!$D$4:$D$1503,$A1771))</f>
        <v/>
      </c>
      <c r="P1771" s="28">
        <f>IF($A1771="","",IF(COUNTIFS(NOVEDADES!$D$4:$D$1503,$A1771,NOVEDADES!$O$4:$O$1503,"SÍ")&gt;0,"No","Sí"))</f>
        <v/>
      </c>
      <c r="Q1771" s="28">
        <f>IF(OR($A1771="",$L1771=""),"",IF(AND($N1771="Sí",$P1771="Sí"),"OTIF","Falló"))</f>
        <v/>
      </c>
    </row>
    <row r="1772" ht="16" customHeight="1">
      <c r="A1772" s="48" t="n"/>
      <c r="B1772" s="48" t="n"/>
      <c r="C1772" s="47" t="n"/>
      <c r="D1772" s="50" t="n"/>
      <c r="E1772" s="50" t="n"/>
      <c r="F1772" s="50" t="n"/>
      <c r="G1772" s="50" t="n"/>
      <c r="H1772" s="48" t="n"/>
      <c r="I1772" s="51" t="n"/>
      <c r="J1772" s="52" t="n"/>
      <c r="K1772" s="47" t="n"/>
      <c r="L1772" s="47" t="n"/>
      <c r="M1772" s="24">
        <f>IF(OR($A1772="",$C1772=""),"",IF($L1772&lt;&gt;"",$L1772-$C1772,TODAY()-$C1772))</f>
        <v/>
      </c>
      <c r="N1772" s="28">
        <f>IF(OR($A1772="",$K1772=""),"",IF($L1772="",IF(TODAY()&gt;$K1772,"Atrasado","En ruta"),IF($L1772&lt;=$K1772,"Sí","No")))</f>
        <v/>
      </c>
      <c r="O1772" s="24">
        <f>IF($A1772="","",COUNTIFS(NOVEDADES!$D$4:$D$1503,$A1772))</f>
        <v/>
      </c>
      <c r="P1772" s="28">
        <f>IF($A1772="","",IF(COUNTIFS(NOVEDADES!$D$4:$D$1503,$A1772,NOVEDADES!$O$4:$O$1503,"SÍ")&gt;0,"No","Sí"))</f>
        <v/>
      </c>
      <c r="Q1772" s="28">
        <f>IF(OR($A1772="",$L1772=""),"",IF(AND($N1772="Sí",$P1772="Sí"),"OTIF","Falló"))</f>
        <v/>
      </c>
    </row>
    <row r="1773" ht="16" customHeight="1">
      <c r="A1773" s="48" t="n"/>
      <c r="B1773" s="48" t="n"/>
      <c r="C1773" s="47" t="n"/>
      <c r="D1773" s="50" t="n"/>
      <c r="E1773" s="50" t="n"/>
      <c r="F1773" s="50" t="n"/>
      <c r="G1773" s="50" t="n"/>
      <c r="H1773" s="48" t="n"/>
      <c r="I1773" s="51" t="n"/>
      <c r="J1773" s="52" t="n"/>
      <c r="K1773" s="47" t="n"/>
      <c r="L1773" s="47" t="n"/>
      <c r="M1773" s="24">
        <f>IF(OR($A1773="",$C1773=""),"",IF($L1773&lt;&gt;"",$L1773-$C1773,TODAY()-$C1773))</f>
        <v/>
      </c>
      <c r="N1773" s="28">
        <f>IF(OR($A1773="",$K1773=""),"",IF($L1773="",IF(TODAY()&gt;$K1773,"Atrasado","En ruta"),IF($L1773&lt;=$K1773,"Sí","No")))</f>
        <v/>
      </c>
      <c r="O1773" s="24">
        <f>IF($A1773="","",COUNTIFS(NOVEDADES!$D$4:$D$1503,$A1773))</f>
        <v/>
      </c>
      <c r="P1773" s="28">
        <f>IF($A1773="","",IF(COUNTIFS(NOVEDADES!$D$4:$D$1503,$A1773,NOVEDADES!$O$4:$O$1503,"SÍ")&gt;0,"No","Sí"))</f>
        <v/>
      </c>
      <c r="Q1773" s="28">
        <f>IF(OR($A1773="",$L1773=""),"",IF(AND($N1773="Sí",$P1773="Sí"),"OTIF","Falló"))</f>
        <v/>
      </c>
    </row>
    <row r="1774" ht="16" customHeight="1">
      <c r="A1774" s="48" t="n"/>
      <c r="B1774" s="48" t="n"/>
      <c r="C1774" s="47" t="n"/>
      <c r="D1774" s="50" t="n"/>
      <c r="E1774" s="50" t="n"/>
      <c r="F1774" s="50" t="n"/>
      <c r="G1774" s="50" t="n"/>
      <c r="H1774" s="48" t="n"/>
      <c r="I1774" s="51" t="n"/>
      <c r="J1774" s="52" t="n"/>
      <c r="K1774" s="47" t="n"/>
      <c r="L1774" s="47" t="n"/>
      <c r="M1774" s="24">
        <f>IF(OR($A1774="",$C1774=""),"",IF($L1774&lt;&gt;"",$L1774-$C1774,TODAY()-$C1774))</f>
        <v/>
      </c>
      <c r="N1774" s="28">
        <f>IF(OR($A1774="",$K1774=""),"",IF($L1774="",IF(TODAY()&gt;$K1774,"Atrasado","En ruta"),IF($L1774&lt;=$K1774,"Sí","No")))</f>
        <v/>
      </c>
      <c r="O1774" s="24">
        <f>IF($A1774="","",COUNTIFS(NOVEDADES!$D$4:$D$1503,$A1774))</f>
        <v/>
      </c>
      <c r="P1774" s="28">
        <f>IF($A1774="","",IF(COUNTIFS(NOVEDADES!$D$4:$D$1503,$A1774,NOVEDADES!$O$4:$O$1503,"SÍ")&gt;0,"No","Sí"))</f>
        <v/>
      </c>
      <c r="Q1774" s="28">
        <f>IF(OR($A1774="",$L1774=""),"",IF(AND($N1774="Sí",$P1774="Sí"),"OTIF","Falló"))</f>
        <v/>
      </c>
    </row>
    <row r="1775" ht="16" customHeight="1">
      <c r="A1775" s="48" t="n"/>
      <c r="B1775" s="48" t="n"/>
      <c r="C1775" s="47" t="n"/>
      <c r="D1775" s="50" t="n"/>
      <c r="E1775" s="50" t="n"/>
      <c r="F1775" s="50" t="n"/>
      <c r="G1775" s="50" t="n"/>
      <c r="H1775" s="48" t="n"/>
      <c r="I1775" s="51" t="n"/>
      <c r="J1775" s="52" t="n"/>
      <c r="K1775" s="47" t="n"/>
      <c r="L1775" s="47" t="n"/>
      <c r="M1775" s="24">
        <f>IF(OR($A1775="",$C1775=""),"",IF($L1775&lt;&gt;"",$L1775-$C1775,TODAY()-$C1775))</f>
        <v/>
      </c>
      <c r="N1775" s="28">
        <f>IF(OR($A1775="",$K1775=""),"",IF($L1775="",IF(TODAY()&gt;$K1775,"Atrasado","En ruta"),IF($L1775&lt;=$K1775,"Sí","No")))</f>
        <v/>
      </c>
      <c r="O1775" s="24">
        <f>IF($A1775="","",COUNTIFS(NOVEDADES!$D$4:$D$1503,$A1775))</f>
        <v/>
      </c>
      <c r="P1775" s="28">
        <f>IF($A1775="","",IF(COUNTIFS(NOVEDADES!$D$4:$D$1503,$A1775,NOVEDADES!$O$4:$O$1503,"SÍ")&gt;0,"No","Sí"))</f>
        <v/>
      </c>
      <c r="Q1775" s="28">
        <f>IF(OR($A1775="",$L1775=""),"",IF(AND($N1775="Sí",$P1775="Sí"),"OTIF","Falló"))</f>
        <v/>
      </c>
    </row>
    <row r="1776" ht="16" customHeight="1">
      <c r="A1776" s="48" t="n"/>
      <c r="B1776" s="48" t="n"/>
      <c r="C1776" s="47" t="n"/>
      <c r="D1776" s="50" t="n"/>
      <c r="E1776" s="50" t="n"/>
      <c r="F1776" s="50" t="n"/>
      <c r="G1776" s="50" t="n"/>
      <c r="H1776" s="48" t="n"/>
      <c r="I1776" s="51" t="n"/>
      <c r="J1776" s="52" t="n"/>
      <c r="K1776" s="47" t="n"/>
      <c r="L1776" s="47" t="n"/>
      <c r="M1776" s="24">
        <f>IF(OR($A1776="",$C1776=""),"",IF($L1776&lt;&gt;"",$L1776-$C1776,TODAY()-$C1776))</f>
        <v/>
      </c>
      <c r="N1776" s="28">
        <f>IF(OR($A1776="",$K1776=""),"",IF($L1776="",IF(TODAY()&gt;$K1776,"Atrasado","En ruta"),IF($L1776&lt;=$K1776,"Sí","No")))</f>
        <v/>
      </c>
      <c r="O1776" s="24">
        <f>IF($A1776="","",COUNTIFS(NOVEDADES!$D$4:$D$1503,$A1776))</f>
        <v/>
      </c>
      <c r="P1776" s="28">
        <f>IF($A1776="","",IF(COUNTIFS(NOVEDADES!$D$4:$D$1503,$A1776,NOVEDADES!$O$4:$O$1503,"SÍ")&gt;0,"No","Sí"))</f>
        <v/>
      </c>
      <c r="Q1776" s="28">
        <f>IF(OR($A1776="",$L1776=""),"",IF(AND($N1776="Sí",$P1776="Sí"),"OTIF","Falló"))</f>
        <v/>
      </c>
    </row>
    <row r="1777" ht="16" customHeight="1">
      <c r="A1777" s="48" t="n"/>
      <c r="B1777" s="48" t="n"/>
      <c r="C1777" s="47" t="n"/>
      <c r="D1777" s="50" t="n"/>
      <c r="E1777" s="50" t="n"/>
      <c r="F1777" s="50" t="n"/>
      <c r="G1777" s="50" t="n"/>
      <c r="H1777" s="48" t="n"/>
      <c r="I1777" s="51" t="n"/>
      <c r="J1777" s="52" t="n"/>
      <c r="K1777" s="47" t="n"/>
      <c r="L1777" s="47" t="n"/>
      <c r="M1777" s="24">
        <f>IF(OR($A1777="",$C1777=""),"",IF($L1777&lt;&gt;"",$L1777-$C1777,TODAY()-$C1777))</f>
        <v/>
      </c>
      <c r="N1777" s="28">
        <f>IF(OR($A1777="",$K1777=""),"",IF($L1777="",IF(TODAY()&gt;$K1777,"Atrasado","En ruta"),IF($L1777&lt;=$K1777,"Sí","No")))</f>
        <v/>
      </c>
      <c r="O1777" s="24">
        <f>IF($A1777="","",COUNTIFS(NOVEDADES!$D$4:$D$1503,$A1777))</f>
        <v/>
      </c>
      <c r="P1777" s="28">
        <f>IF($A1777="","",IF(COUNTIFS(NOVEDADES!$D$4:$D$1503,$A1777,NOVEDADES!$O$4:$O$1503,"SÍ")&gt;0,"No","Sí"))</f>
        <v/>
      </c>
      <c r="Q1777" s="28">
        <f>IF(OR($A1777="",$L1777=""),"",IF(AND($N1777="Sí",$P1777="Sí"),"OTIF","Falló"))</f>
        <v/>
      </c>
    </row>
    <row r="1778" ht="16" customHeight="1">
      <c r="A1778" s="48" t="n"/>
      <c r="B1778" s="48" t="n"/>
      <c r="C1778" s="47" t="n"/>
      <c r="D1778" s="50" t="n"/>
      <c r="E1778" s="50" t="n"/>
      <c r="F1778" s="50" t="n"/>
      <c r="G1778" s="50" t="n"/>
      <c r="H1778" s="48" t="n"/>
      <c r="I1778" s="51" t="n"/>
      <c r="J1778" s="52" t="n"/>
      <c r="K1778" s="47" t="n"/>
      <c r="L1778" s="47" t="n"/>
      <c r="M1778" s="24">
        <f>IF(OR($A1778="",$C1778=""),"",IF($L1778&lt;&gt;"",$L1778-$C1778,TODAY()-$C1778))</f>
        <v/>
      </c>
      <c r="N1778" s="28">
        <f>IF(OR($A1778="",$K1778=""),"",IF($L1778="",IF(TODAY()&gt;$K1778,"Atrasado","En ruta"),IF($L1778&lt;=$K1778,"Sí","No")))</f>
        <v/>
      </c>
      <c r="O1778" s="24">
        <f>IF($A1778="","",COUNTIFS(NOVEDADES!$D$4:$D$1503,$A1778))</f>
        <v/>
      </c>
      <c r="P1778" s="28">
        <f>IF($A1778="","",IF(COUNTIFS(NOVEDADES!$D$4:$D$1503,$A1778,NOVEDADES!$O$4:$O$1503,"SÍ")&gt;0,"No","Sí"))</f>
        <v/>
      </c>
      <c r="Q1778" s="28">
        <f>IF(OR($A1778="",$L1778=""),"",IF(AND($N1778="Sí",$P1778="Sí"),"OTIF","Falló"))</f>
        <v/>
      </c>
    </row>
    <row r="1779" ht="16" customHeight="1">
      <c r="A1779" s="48" t="n"/>
      <c r="B1779" s="48" t="n"/>
      <c r="C1779" s="47" t="n"/>
      <c r="D1779" s="50" t="n"/>
      <c r="E1779" s="50" t="n"/>
      <c r="F1779" s="50" t="n"/>
      <c r="G1779" s="50" t="n"/>
      <c r="H1779" s="48" t="n"/>
      <c r="I1779" s="51" t="n"/>
      <c r="J1779" s="52" t="n"/>
      <c r="K1779" s="47" t="n"/>
      <c r="L1779" s="47" t="n"/>
      <c r="M1779" s="24">
        <f>IF(OR($A1779="",$C1779=""),"",IF($L1779&lt;&gt;"",$L1779-$C1779,TODAY()-$C1779))</f>
        <v/>
      </c>
      <c r="N1779" s="28">
        <f>IF(OR($A1779="",$K1779=""),"",IF($L1779="",IF(TODAY()&gt;$K1779,"Atrasado","En ruta"),IF($L1779&lt;=$K1779,"Sí","No")))</f>
        <v/>
      </c>
      <c r="O1779" s="24">
        <f>IF($A1779="","",COUNTIFS(NOVEDADES!$D$4:$D$1503,$A1779))</f>
        <v/>
      </c>
      <c r="P1779" s="28">
        <f>IF($A1779="","",IF(COUNTIFS(NOVEDADES!$D$4:$D$1503,$A1779,NOVEDADES!$O$4:$O$1503,"SÍ")&gt;0,"No","Sí"))</f>
        <v/>
      </c>
      <c r="Q1779" s="28">
        <f>IF(OR($A1779="",$L1779=""),"",IF(AND($N1779="Sí",$P1779="Sí"),"OTIF","Falló"))</f>
        <v/>
      </c>
    </row>
    <row r="1780" ht="16" customHeight="1">
      <c r="A1780" s="48" t="n"/>
      <c r="B1780" s="48" t="n"/>
      <c r="C1780" s="47" t="n"/>
      <c r="D1780" s="50" t="n"/>
      <c r="E1780" s="50" t="n"/>
      <c r="F1780" s="50" t="n"/>
      <c r="G1780" s="50" t="n"/>
      <c r="H1780" s="48" t="n"/>
      <c r="I1780" s="51" t="n"/>
      <c r="J1780" s="52" t="n"/>
      <c r="K1780" s="47" t="n"/>
      <c r="L1780" s="47" t="n"/>
      <c r="M1780" s="24">
        <f>IF(OR($A1780="",$C1780=""),"",IF($L1780&lt;&gt;"",$L1780-$C1780,TODAY()-$C1780))</f>
        <v/>
      </c>
      <c r="N1780" s="28">
        <f>IF(OR($A1780="",$K1780=""),"",IF($L1780="",IF(TODAY()&gt;$K1780,"Atrasado","En ruta"),IF($L1780&lt;=$K1780,"Sí","No")))</f>
        <v/>
      </c>
      <c r="O1780" s="24">
        <f>IF($A1780="","",COUNTIFS(NOVEDADES!$D$4:$D$1503,$A1780))</f>
        <v/>
      </c>
      <c r="P1780" s="28">
        <f>IF($A1780="","",IF(COUNTIFS(NOVEDADES!$D$4:$D$1503,$A1780,NOVEDADES!$O$4:$O$1503,"SÍ")&gt;0,"No","Sí"))</f>
        <v/>
      </c>
      <c r="Q1780" s="28">
        <f>IF(OR($A1780="",$L1780=""),"",IF(AND($N1780="Sí",$P1780="Sí"),"OTIF","Falló"))</f>
        <v/>
      </c>
    </row>
    <row r="1781" ht="16" customHeight="1">
      <c r="A1781" s="48" t="n"/>
      <c r="B1781" s="48" t="n"/>
      <c r="C1781" s="47" t="n"/>
      <c r="D1781" s="50" t="n"/>
      <c r="E1781" s="50" t="n"/>
      <c r="F1781" s="50" t="n"/>
      <c r="G1781" s="50" t="n"/>
      <c r="H1781" s="48" t="n"/>
      <c r="I1781" s="51" t="n"/>
      <c r="J1781" s="52" t="n"/>
      <c r="K1781" s="47" t="n"/>
      <c r="L1781" s="47" t="n"/>
      <c r="M1781" s="24">
        <f>IF(OR($A1781="",$C1781=""),"",IF($L1781&lt;&gt;"",$L1781-$C1781,TODAY()-$C1781))</f>
        <v/>
      </c>
      <c r="N1781" s="28">
        <f>IF(OR($A1781="",$K1781=""),"",IF($L1781="",IF(TODAY()&gt;$K1781,"Atrasado","En ruta"),IF($L1781&lt;=$K1781,"Sí","No")))</f>
        <v/>
      </c>
      <c r="O1781" s="24">
        <f>IF($A1781="","",COUNTIFS(NOVEDADES!$D$4:$D$1503,$A1781))</f>
        <v/>
      </c>
      <c r="P1781" s="28">
        <f>IF($A1781="","",IF(COUNTIFS(NOVEDADES!$D$4:$D$1503,$A1781,NOVEDADES!$O$4:$O$1503,"SÍ")&gt;0,"No","Sí"))</f>
        <v/>
      </c>
      <c r="Q1781" s="28">
        <f>IF(OR($A1781="",$L1781=""),"",IF(AND($N1781="Sí",$P1781="Sí"),"OTIF","Falló"))</f>
        <v/>
      </c>
    </row>
    <row r="1782" ht="16" customHeight="1">
      <c r="A1782" s="48" t="n"/>
      <c r="B1782" s="48" t="n"/>
      <c r="C1782" s="47" t="n"/>
      <c r="D1782" s="50" t="n"/>
      <c r="E1782" s="50" t="n"/>
      <c r="F1782" s="50" t="n"/>
      <c r="G1782" s="50" t="n"/>
      <c r="H1782" s="48" t="n"/>
      <c r="I1782" s="51" t="n"/>
      <c r="J1782" s="52" t="n"/>
      <c r="K1782" s="47" t="n"/>
      <c r="L1782" s="47" t="n"/>
      <c r="M1782" s="24">
        <f>IF(OR($A1782="",$C1782=""),"",IF($L1782&lt;&gt;"",$L1782-$C1782,TODAY()-$C1782))</f>
        <v/>
      </c>
      <c r="N1782" s="28">
        <f>IF(OR($A1782="",$K1782=""),"",IF($L1782="",IF(TODAY()&gt;$K1782,"Atrasado","En ruta"),IF($L1782&lt;=$K1782,"Sí","No")))</f>
        <v/>
      </c>
      <c r="O1782" s="24">
        <f>IF($A1782="","",COUNTIFS(NOVEDADES!$D$4:$D$1503,$A1782))</f>
        <v/>
      </c>
      <c r="P1782" s="28">
        <f>IF($A1782="","",IF(COUNTIFS(NOVEDADES!$D$4:$D$1503,$A1782,NOVEDADES!$O$4:$O$1503,"SÍ")&gt;0,"No","Sí"))</f>
        <v/>
      </c>
      <c r="Q1782" s="28">
        <f>IF(OR($A1782="",$L1782=""),"",IF(AND($N1782="Sí",$P1782="Sí"),"OTIF","Falló"))</f>
        <v/>
      </c>
    </row>
    <row r="1783" ht="16" customHeight="1">
      <c r="A1783" s="48" t="n"/>
      <c r="B1783" s="48" t="n"/>
      <c r="C1783" s="47" t="n"/>
      <c r="D1783" s="50" t="n"/>
      <c r="E1783" s="50" t="n"/>
      <c r="F1783" s="50" t="n"/>
      <c r="G1783" s="50" t="n"/>
      <c r="H1783" s="48" t="n"/>
      <c r="I1783" s="51" t="n"/>
      <c r="J1783" s="52" t="n"/>
      <c r="K1783" s="47" t="n"/>
      <c r="L1783" s="47" t="n"/>
      <c r="M1783" s="24">
        <f>IF(OR($A1783="",$C1783=""),"",IF($L1783&lt;&gt;"",$L1783-$C1783,TODAY()-$C1783))</f>
        <v/>
      </c>
      <c r="N1783" s="28">
        <f>IF(OR($A1783="",$K1783=""),"",IF($L1783="",IF(TODAY()&gt;$K1783,"Atrasado","En ruta"),IF($L1783&lt;=$K1783,"Sí","No")))</f>
        <v/>
      </c>
      <c r="O1783" s="24">
        <f>IF($A1783="","",COUNTIFS(NOVEDADES!$D$4:$D$1503,$A1783))</f>
        <v/>
      </c>
      <c r="P1783" s="28">
        <f>IF($A1783="","",IF(COUNTIFS(NOVEDADES!$D$4:$D$1503,$A1783,NOVEDADES!$O$4:$O$1503,"SÍ")&gt;0,"No","Sí"))</f>
        <v/>
      </c>
      <c r="Q1783" s="28">
        <f>IF(OR($A1783="",$L1783=""),"",IF(AND($N1783="Sí",$P1783="Sí"),"OTIF","Falló"))</f>
        <v/>
      </c>
    </row>
    <row r="1784" ht="16" customHeight="1">
      <c r="A1784" s="48" t="n"/>
      <c r="B1784" s="48" t="n"/>
      <c r="C1784" s="47" t="n"/>
      <c r="D1784" s="50" t="n"/>
      <c r="E1784" s="50" t="n"/>
      <c r="F1784" s="50" t="n"/>
      <c r="G1784" s="50" t="n"/>
      <c r="H1784" s="48" t="n"/>
      <c r="I1784" s="51" t="n"/>
      <c r="J1784" s="52" t="n"/>
      <c r="K1784" s="47" t="n"/>
      <c r="L1784" s="47" t="n"/>
      <c r="M1784" s="24">
        <f>IF(OR($A1784="",$C1784=""),"",IF($L1784&lt;&gt;"",$L1784-$C1784,TODAY()-$C1784))</f>
        <v/>
      </c>
      <c r="N1784" s="28">
        <f>IF(OR($A1784="",$K1784=""),"",IF($L1784="",IF(TODAY()&gt;$K1784,"Atrasado","En ruta"),IF($L1784&lt;=$K1784,"Sí","No")))</f>
        <v/>
      </c>
      <c r="O1784" s="24">
        <f>IF($A1784="","",COUNTIFS(NOVEDADES!$D$4:$D$1503,$A1784))</f>
        <v/>
      </c>
      <c r="P1784" s="28">
        <f>IF($A1784="","",IF(COUNTIFS(NOVEDADES!$D$4:$D$1503,$A1784,NOVEDADES!$O$4:$O$1503,"SÍ")&gt;0,"No","Sí"))</f>
        <v/>
      </c>
      <c r="Q1784" s="28">
        <f>IF(OR($A1784="",$L1784=""),"",IF(AND($N1784="Sí",$P1784="Sí"),"OTIF","Falló"))</f>
        <v/>
      </c>
    </row>
    <row r="1785" ht="16" customHeight="1">
      <c r="A1785" s="48" t="n"/>
      <c r="B1785" s="48" t="n"/>
      <c r="C1785" s="47" t="n"/>
      <c r="D1785" s="50" t="n"/>
      <c r="E1785" s="50" t="n"/>
      <c r="F1785" s="50" t="n"/>
      <c r="G1785" s="50" t="n"/>
      <c r="H1785" s="48" t="n"/>
      <c r="I1785" s="51" t="n"/>
      <c r="J1785" s="52" t="n"/>
      <c r="K1785" s="47" t="n"/>
      <c r="L1785" s="47" t="n"/>
      <c r="M1785" s="24">
        <f>IF(OR($A1785="",$C1785=""),"",IF($L1785&lt;&gt;"",$L1785-$C1785,TODAY()-$C1785))</f>
        <v/>
      </c>
      <c r="N1785" s="28">
        <f>IF(OR($A1785="",$K1785=""),"",IF($L1785="",IF(TODAY()&gt;$K1785,"Atrasado","En ruta"),IF($L1785&lt;=$K1785,"Sí","No")))</f>
        <v/>
      </c>
      <c r="O1785" s="24">
        <f>IF($A1785="","",COUNTIFS(NOVEDADES!$D$4:$D$1503,$A1785))</f>
        <v/>
      </c>
      <c r="P1785" s="28">
        <f>IF($A1785="","",IF(COUNTIFS(NOVEDADES!$D$4:$D$1503,$A1785,NOVEDADES!$O$4:$O$1503,"SÍ")&gt;0,"No","Sí"))</f>
        <v/>
      </c>
      <c r="Q1785" s="28">
        <f>IF(OR($A1785="",$L1785=""),"",IF(AND($N1785="Sí",$P1785="Sí"),"OTIF","Falló"))</f>
        <v/>
      </c>
    </row>
    <row r="1786" ht="16" customHeight="1">
      <c r="A1786" s="48" t="n"/>
      <c r="B1786" s="48" t="n"/>
      <c r="C1786" s="47" t="n"/>
      <c r="D1786" s="50" t="n"/>
      <c r="E1786" s="50" t="n"/>
      <c r="F1786" s="50" t="n"/>
      <c r="G1786" s="50" t="n"/>
      <c r="H1786" s="48" t="n"/>
      <c r="I1786" s="51" t="n"/>
      <c r="J1786" s="52" t="n"/>
      <c r="K1786" s="47" t="n"/>
      <c r="L1786" s="47" t="n"/>
      <c r="M1786" s="24">
        <f>IF(OR($A1786="",$C1786=""),"",IF($L1786&lt;&gt;"",$L1786-$C1786,TODAY()-$C1786))</f>
        <v/>
      </c>
      <c r="N1786" s="28">
        <f>IF(OR($A1786="",$K1786=""),"",IF($L1786="",IF(TODAY()&gt;$K1786,"Atrasado","En ruta"),IF($L1786&lt;=$K1786,"Sí","No")))</f>
        <v/>
      </c>
      <c r="O1786" s="24">
        <f>IF($A1786="","",COUNTIFS(NOVEDADES!$D$4:$D$1503,$A1786))</f>
        <v/>
      </c>
      <c r="P1786" s="28">
        <f>IF($A1786="","",IF(COUNTIFS(NOVEDADES!$D$4:$D$1503,$A1786,NOVEDADES!$O$4:$O$1503,"SÍ")&gt;0,"No","Sí"))</f>
        <v/>
      </c>
      <c r="Q1786" s="28">
        <f>IF(OR($A1786="",$L1786=""),"",IF(AND($N1786="Sí",$P1786="Sí"),"OTIF","Falló"))</f>
        <v/>
      </c>
    </row>
    <row r="1787" ht="16" customHeight="1">
      <c r="A1787" s="48" t="n"/>
      <c r="B1787" s="48" t="n"/>
      <c r="C1787" s="47" t="n"/>
      <c r="D1787" s="50" t="n"/>
      <c r="E1787" s="50" t="n"/>
      <c r="F1787" s="50" t="n"/>
      <c r="G1787" s="50" t="n"/>
      <c r="H1787" s="48" t="n"/>
      <c r="I1787" s="51" t="n"/>
      <c r="J1787" s="52" t="n"/>
      <c r="K1787" s="47" t="n"/>
      <c r="L1787" s="47" t="n"/>
      <c r="M1787" s="24">
        <f>IF(OR($A1787="",$C1787=""),"",IF($L1787&lt;&gt;"",$L1787-$C1787,TODAY()-$C1787))</f>
        <v/>
      </c>
      <c r="N1787" s="28">
        <f>IF(OR($A1787="",$K1787=""),"",IF($L1787="",IF(TODAY()&gt;$K1787,"Atrasado","En ruta"),IF($L1787&lt;=$K1787,"Sí","No")))</f>
        <v/>
      </c>
      <c r="O1787" s="24">
        <f>IF($A1787="","",COUNTIFS(NOVEDADES!$D$4:$D$1503,$A1787))</f>
        <v/>
      </c>
      <c r="P1787" s="28">
        <f>IF($A1787="","",IF(COUNTIFS(NOVEDADES!$D$4:$D$1503,$A1787,NOVEDADES!$O$4:$O$1503,"SÍ")&gt;0,"No","Sí"))</f>
        <v/>
      </c>
      <c r="Q1787" s="28">
        <f>IF(OR($A1787="",$L1787=""),"",IF(AND($N1787="Sí",$P1787="Sí"),"OTIF","Falló"))</f>
        <v/>
      </c>
    </row>
    <row r="1788" ht="16" customHeight="1">
      <c r="A1788" s="48" t="n"/>
      <c r="B1788" s="48" t="n"/>
      <c r="C1788" s="47" t="n"/>
      <c r="D1788" s="50" t="n"/>
      <c r="E1788" s="50" t="n"/>
      <c r="F1788" s="50" t="n"/>
      <c r="G1788" s="50" t="n"/>
      <c r="H1788" s="48" t="n"/>
      <c r="I1788" s="51" t="n"/>
      <c r="J1788" s="52" t="n"/>
      <c r="K1788" s="47" t="n"/>
      <c r="L1788" s="47" t="n"/>
      <c r="M1788" s="24">
        <f>IF(OR($A1788="",$C1788=""),"",IF($L1788&lt;&gt;"",$L1788-$C1788,TODAY()-$C1788))</f>
        <v/>
      </c>
      <c r="N1788" s="28">
        <f>IF(OR($A1788="",$K1788=""),"",IF($L1788="",IF(TODAY()&gt;$K1788,"Atrasado","En ruta"),IF($L1788&lt;=$K1788,"Sí","No")))</f>
        <v/>
      </c>
      <c r="O1788" s="24">
        <f>IF($A1788="","",COUNTIFS(NOVEDADES!$D$4:$D$1503,$A1788))</f>
        <v/>
      </c>
      <c r="P1788" s="28">
        <f>IF($A1788="","",IF(COUNTIFS(NOVEDADES!$D$4:$D$1503,$A1788,NOVEDADES!$O$4:$O$1503,"SÍ")&gt;0,"No","Sí"))</f>
        <v/>
      </c>
      <c r="Q1788" s="28">
        <f>IF(OR($A1788="",$L1788=""),"",IF(AND($N1788="Sí",$P1788="Sí"),"OTIF","Falló"))</f>
        <v/>
      </c>
    </row>
    <row r="1789" ht="16" customHeight="1">
      <c r="A1789" s="48" t="n"/>
      <c r="B1789" s="48" t="n"/>
      <c r="C1789" s="47" t="n"/>
      <c r="D1789" s="50" t="n"/>
      <c r="E1789" s="50" t="n"/>
      <c r="F1789" s="50" t="n"/>
      <c r="G1789" s="50" t="n"/>
      <c r="H1789" s="48" t="n"/>
      <c r="I1789" s="51" t="n"/>
      <c r="J1789" s="52" t="n"/>
      <c r="K1789" s="47" t="n"/>
      <c r="L1789" s="47" t="n"/>
      <c r="M1789" s="24">
        <f>IF(OR($A1789="",$C1789=""),"",IF($L1789&lt;&gt;"",$L1789-$C1789,TODAY()-$C1789))</f>
        <v/>
      </c>
      <c r="N1789" s="28">
        <f>IF(OR($A1789="",$K1789=""),"",IF($L1789="",IF(TODAY()&gt;$K1789,"Atrasado","En ruta"),IF($L1789&lt;=$K1789,"Sí","No")))</f>
        <v/>
      </c>
      <c r="O1789" s="24">
        <f>IF($A1789="","",COUNTIFS(NOVEDADES!$D$4:$D$1503,$A1789))</f>
        <v/>
      </c>
      <c r="P1789" s="28">
        <f>IF($A1789="","",IF(COUNTIFS(NOVEDADES!$D$4:$D$1503,$A1789,NOVEDADES!$O$4:$O$1503,"SÍ")&gt;0,"No","Sí"))</f>
        <v/>
      </c>
      <c r="Q1789" s="28">
        <f>IF(OR($A1789="",$L1789=""),"",IF(AND($N1789="Sí",$P1789="Sí"),"OTIF","Falló"))</f>
        <v/>
      </c>
    </row>
    <row r="1790" ht="16" customHeight="1">
      <c r="A1790" s="48" t="n"/>
      <c r="B1790" s="48" t="n"/>
      <c r="C1790" s="47" t="n"/>
      <c r="D1790" s="50" t="n"/>
      <c r="E1790" s="50" t="n"/>
      <c r="F1790" s="50" t="n"/>
      <c r="G1790" s="50" t="n"/>
      <c r="H1790" s="48" t="n"/>
      <c r="I1790" s="51" t="n"/>
      <c r="J1790" s="52" t="n"/>
      <c r="K1790" s="47" t="n"/>
      <c r="L1790" s="47" t="n"/>
      <c r="M1790" s="24">
        <f>IF(OR($A1790="",$C1790=""),"",IF($L1790&lt;&gt;"",$L1790-$C1790,TODAY()-$C1790))</f>
        <v/>
      </c>
      <c r="N1790" s="28">
        <f>IF(OR($A1790="",$K1790=""),"",IF($L1790="",IF(TODAY()&gt;$K1790,"Atrasado","En ruta"),IF($L1790&lt;=$K1790,"Sí","No")))</f>
        <v/>
      </c>
      <c r="O1790" s="24">
        <f>IF($A1790="","",COUNTIFS(NOVEDADES!$D$4:$D$1503,$A1790))</f>
        <v/>
      </c>
      <c r="P1790" s="28">
        <f>IF($A1790="","",IF(COUNTIFS(NOVEDADES!$D$4:$D$1503,$A1790,NOVEDADES!$O$4:$O$1503,"SÍ")&gt;0,"No","Sí"))</f>
        <v/>
      </c>
      <c r="Q1790" s="28">
        <f>IF(OR($A1790="",$L1790=""),"",IF(AND($N1790="Sí",$P1790="Sí"),"OTIF","Falló"))</f>
        <v/>
      </c>
    </row>
    <row r="1791" ht="16" customHeight="1">
      <c r="A1791" s="48" t="n"/>
      <c r="B1791" s="48" t="n"/>
      <c r="C1791" s="47" t="n"/>
      <c r="D1791" s="50" t="n"/>
      <c r="E1791" s="50" t="n"/>
      <c r="F1791" s="50" t="n"/>
      <c r="G1791" s="50" t="n"/>
      <c r="H1791" s="48" t="n"/>
      <c r="I1791" s="51" t="n"/>
      <c r="J1791" s="52" t="n"/>
      <c r="K1791" s="47" t="n"/>
      <c r="L1791" s="47" t="n"/>
      <c r="M1791" s="24">
        <f>IF(OR($A1791="",$C1791=""),"",IF($L1791&lt;&gt;"",$L1791-$C1791,TODAY()-$C1791))</f>
        <v/>
      </c>
      <c r="N1791" s="28">
        <f>IF(OR($A1791="",$K1791=""),"",IF($L1791="",IF(TODAY()&gt;$K1791,"Atrasado","En ruta"),IF($L1791&lt;=$K1791,"Sí","No")))</f>
        <v/>
      </c>
      <c r="O1791" s="24">
        <f>IF($A1791="","",COUNTIFS(NOVEDADES!$D$4:$D$1503,$A1791))</f>
        <v/>
      </c>
      <c r="P1791" s="28">
        <f>IF($A1791="","",IF(COUNTIFS(NOVEDADES!$D$4:$D$1503,$A1791,NOVEDADES!$O$4:$O$1503,"SÍ")&gt;0,"No","Sí"))</f>
        <v/>
      </c>
      <c r="Q1791" s="28">
        <f>IF(OR($A1791="",$L1791=""),"",IF(AND($N1791="Sí",$P1791="Sí"),"OTIF","Falló"))</f>
        <v/>
      </c>
    </row>
    <row r="1792" ht="16" customHeight="1">
      <c r="A1792" s="48" t="n"/>
      <c r="B1792" s="48" t="n"/>
      <c r="C1792" s="47" t="n"/>
      <c r="D1792" s="50" t="n"/>
      <c r="E1792" s="50" t="n"/>
      <c r="F1792" s="50" t="n"/>
      <c r="G1792" s="50" t="n"/>
      <c r="H1792" s="48" t="n"/>
      <c r="I1792" s="51" t="n"/>
      <c r="J1792" s="52" t="n"/>
      <c r="K1792" s="47" t="n"/>
      <c r="L1792" s="47" t="n"/>
      <c r="M1792" s="24">
        <f>IF(OR($A1792="",$C1792=""),"",IF($L1792&lt;&gt;"",$L1792-$C1792,TODAY()-$C1792))</f>
        <v/>
      </c>
      <c r="N1792" s="28">
        <f>IF(OR($A1792="",$K1792=""),"",IF($L1792="",IF(TODAY()&gt;$K1792,"Atrasado","En ruta"),IF($L1792&lt;=$K1792,"Sí","No")))</f>
        <v/>
      </c>
      <c r="O1792" s="24">
        <f>IF($A1792="","",COUNTIFS(NOVEDADES!$D$4:$D$1503,$A1792))</f>
        <v/>
      </c>
      <c r="P1792" s="28">
        <f>IF($A1792="","",IF(COUNTIFS(NOVEDADES!$D$4:$D$1503,$A1792,NOVEDADES!$O$4:$O$1503,"SÍ")&gt;0,"No","Sí"))</f>
        <v/>
      </c>
      <c r="Q1792" s="28">
        <f>IF(OR($A1792="",$L1792=""),"",IF(AND($N1792="Sí",$P1792="Sí"),"OTIF","Falló"))</f>
        <v/>
      </c>
    </row>
    <row r="1793" ht="16" customHeight="1">
      <c r="A1793" s="48" t="n"/>
      <c r="B1793" s="48" t="n"/>
      <c r="C1793" s="47" t="n"/>
      <c r="D1793" s="50" t="n"/>
      <c r="E1793" s="50" t="n"/>
      <c r="F1793" s="50" t="n"/>
      <c r="G1793" s="50" t="n"/>
      <c r="H1793" s="48" t="n"/>
      <c r="I1793" s="51" t="n"/>
      <c r="J1793" s="52" t="n"/>
      <c r="K1793" s="47" t="n"/>
      <c r="L1793" s="47" t="n"/>
      <c r="M1793" s="24">
        <f>IF(OR($A1793="",$C1793=""),"",IF($L1793&lt;&gt;"",$L1793-$C1793,TODAY()-$C1793))</f>
        <v/>
      </c>
      <c r="N1793" s="28">
        <f>IF(OR($A1793="",$K1793=""),"",IF($L1793="",IF(TODAY()&gt;$K1793,"Atrasado","En ruta"),IF($L1793&lt;=$K1793,"Sí","No")))</f>
        <v/>
      </c>
      <c r="O1793" s="24">
        <f>IF($A1793="","",COUNTIFS(NOVEDADES!$D$4:$D$1503,$A1793))</f>
        <v/>
      </c>
      <c r="P1793" s="28">
        <f>IF($A1793="","",IF(COUNTIFS(NOVEDADES!$D$4:$D$1503,$A1793,NOVEDADES!$O$4:$O$1503,"SÍ")&gt;0,"No","Sí"))</f>
        <v/>
      </c>
      <c r="Q1793" s="28">
        <f>IF(OR($A1793="",$L1793=""),"",IF(AND($N1793="Sí",$P1793="Sí"),"OTIF","Falló"))</f>
        <v/>
      </c>
    </row>
    <row r="1794" ht="16" customHeight="1">
      <c r="A1794" s="48" t="n"/>
      <c r="B1794" s="48" t="n"/>
      <c r="C1794" s="47" t="n"/>
      <c r="D1794" s="50" t="n"/>
      <c r="E1794" s="50" t="n"/>
      <c r="F1794" s="50" t="n"/>
      <c r="G1794" s="50" t="n"/>
      <c r="H1794" s="48" t="n"/>
      <c r="I1794" s="51" t="n"/>
      <c r="J1794" s="52" t="n"/>
      <c r="K1794" s="47" t="n"/>
      <c r="L1794" s="47" t="n"/>
      <c r="M1794" s="24">
        <f>IF(OR($A1794="",$C1794=""),"",IF($L1794&lt;&gt;"",$L1794-$C1794,TODAY()-$C1794))</f>
        <v/>
      </c>
      <c r="N1794" s="28">
        <f>IF(OR($A1794="",$K1794=""),"",IF($L1794="",IF(TODAY()&gt;$K1794,"Atrasado","En ruta"),IF($L1794&lt;=$K1794,"Sí","No")))</f>
        <v/>
      </c>
      <c r="O1794" s="24">
        <f>IF($A1794="","",COUNTIFS(NOVEDADES!$D$4:$D$1503,$A1794))</f>
        <v/>
      </c>
      <c r="P1794" s="28">
        <f>IF($A1794="","",IF(COUNTIFS(NOVEDADES!$D$4:$D$1503,$A1794,NOVEDADES!$O$4:$O$1503,"SÍ")&gt;0,"No","Sí"))</f>
        <v/>
      </c>
      <c r="Q1794" s="28">
        <f>IF(OR($A1794="",$L1794=""),"",IF(AND($N1794="Sí",$P1794="Sí"),"OTIF","Falló"))</f>
        <v/>
      </c>
    </row>
    <row r="1795" ht="16" customHeight="1">
      <c r="A1795" s="48" t="n"/>
      <c r="B1795" s="48" t="n"/>
      <c r="C1795" s="47" t="n"/>
      <c r="D1795" s="50" t="n"/>
      <c r="E1795" s="50" t="n"/>
      <c r="F1795" s="50" t="n"/>
      <c r="G1795" s="50" t="n"/>
      <c r="H1795" s="48" t="n"/>
      <c r="I1795" s="51" t="n"/>
      <c r="J1795" s="52" t="n"/>
      <c r="K1795" s="47" t="n"/>
      <c r="L1795" s="47" t="n"/>
      <c r="M1795" s="24">
        <f>IF(OR($A1795="",$C1795=""),"",IF($L1795&lt;&gt;"",$L1795-$C1795,TODAY()-$C1795))</f>
        <v/>
      </c>
      <c r="N1795" s="28">
        <f>IF(OR($A1795="",$K1795=""),"",IF($L1795="",IF(TODAY()&gt;$K1795,"Atrasado","En ruta"),IF($L1795&lt;=$K1795,"Sí","No")))</f>
        <v/>
      </c>
      <c r="O1795" s="24">
        <f>IF($A1795="","",COUNTIFS(NOVEDADES!$D$4:$D$1503,$A1795))</f>
        <v/>
      </c>
      <c r="P1795" s="28">
        <f>IF($A1795="","",IF(COUNTIFS(NOVEDADES!$D$4:$D$1503,$A1795,NOVEDADES!$O$4:$O$1503,"SÍ")&gt;0,"No","Sí"))</f>
        <v/>
      </c>
      <c r="Q1795" s="28">
        <f>IF(OR($A1795="",$L1795=""),"",IF(AND($N1795="Sí",$P1795="Sí"),"OTIF","Falló"))</f>
        <v/>
      </c>
    </row>
    <row r="1796" ht="16" customHeight="1">
      <c r="A1796" s="48" t="n"/>
      <c r="B1796" s="48" t="n"/>
      <c r="C1796" s="47" t="n"/>
      <c r="D1796" s="50" t="n"/>
      <c r="E1796" s="50" t="n"/>
      <c r="F1796" s="50" t="n"/>
      <c r="G1796" s="50" t="n"/>
      <c r="H1796" s="48" t="n"/>
      <c r="I1796" s="51" t="n"/>
      <c r="J1796" s="52" t="n"/>
      <c r="K1796" s="47" t="n"/>
      <c r="L1796" s="47" t="n"/>
      <c r="M1796" s="24">
        <f>IF(OR($A1796="",$C1796=""),"",IF($L1796&lt;&gt;"",$L1796-$C1796,TODAY()-$C1796))</f>
        <v/>
      </c>
      <c r="N1796" s="28">
        <f>IF(OR($A1796="",$K1796=""),"",IF($L1796="",IF(TODAY()&gt;$K1796,"Atrasado","En ruta"),IF($L1796&lt;=$K1796,"Sí","No")))</f>
        <v/>
      </c>
      <c r="O1796" s="24">
        <f>IF($A1796="","",COUNTIFS(NOVEDADES!$D$4:$D$1503,$A1796))</f>
        <v/>
      </c>
      <c r="P1796" s="28">
        <f>IF($A1796="","",IF(COUNTIFS(NOVEDADES!$D$4:$D$1503,$A1796,NOVEDADES!$O$4:$O$1503,"SÍ")&gt;0,"No","Sí"))</f>
        <v/>
      </c>
      <c r="Q1796" s="28">
        <f>IF(OR($A1796="",$L1796=""),"",IF(AND($N1796="Sí",$P1796="Sí"),"OTIF","Falló"))</f>
        <v/>
      </c>
    </row>
    <row r="1797" ht="16" customHeight="1">
      <c r="A1797" s="48" t="n"/>
      <c r="B1797" s="48" t="n"/>
      <c r="C1797" s="47" t="n"/>
      <c r="D1797" s="50" t="n"/>
      <c r="E1797" s="50" t="n"/>
      <c r="F1797" s="50" t="n"/>
      <c r="G1797" s="50" t="n"/>
      <c r="H1797" s="48" t="n"/>
      <c r="I1797" s="51" t="n"/>
      <c r="J1797" s="52" t="n"/>
      <c r="K1797" s="47" t="n"/>
      <c r="L1797" s="47" t="n"/>
      <c r="M1797" s="24">
        <f>IF(OR($A1797="",$C1797=""),"",IF($L1797&lt;&gt;"",$L1797-$C1797,TODAY()-$C1797))</f>
        <v/>
      </c>
      <c r="N1797" s="28">
        <f>IF(OR($A1797="",$K1797=""),"",IF($L1797="",IF(TODAY()&gt;$K1797,"Atrasado","En ruta"),IF($L1797&lt;=$K1797,"Sí","No")))</f>
        <v/>
      </c>
      <c r="O1797" s="24">
        <f>IF($A1797="","",COUNTIFS(NOVEDADES!$D$4:$D$1503,$A1797))</f>
        <v/>
      </c>
      <c r="P1797" s="28">
        <f>IF($A1797="","",IF(COUNTIFS(NOVEDADES!$D$4:$D$1503,$A1797,NOVEDADES!$O$4:$O$1503,"SÍ")&gt;0,"No","Sí"))</f>
        <v/>
      </c>
      <c r="Q1797" s="28">
        <f>IF(OR($A1797="",$L1797=""),"",IF(AND($N1797="Sí",$P1797="Sí"),"OTIF","Falló"))</f>
        <v/>
      </c>
    </row>
    <row r="1798" ht="16" customHeight="1">
      <c r="A1798" s="48" t="n"/>
      <c r="B1798" s="48" t="n"/>
      <c r="C1798" s="47" t="n"/>
      <c r="D1798" s="50" t="n"/>
      <c r="E1798" s="50" t="n"/>
      <c r="F1798" s="50" t="n"/>
      <c r="G1798" s="50" t="n"/>
      <c r="H1798" s="48" t="n"/>
      <c r="I1798" s="51" t="n"/>
      <c r="J1798" s="52" t="n"/>
      <c r="K1798" s="47" t="n"/>
      <c r="L1798" s="47" t="n"/>
      <c r="M1798" s="24">
        <f>IF(OR($A1798="",$C1798=""),"",IF($L1798&lt;&gt;"",$L1798-$C1798,TODAY()-$C1798))</f>
        <v/>
      </c>
      <c r="N1798" s="28">
        <f>IF(OR($A1798="",$K1798=""),"",IF($L1798="",IF(TODAY()&gt;$K1798,"Atrasado","En ruta"),IF($L1798&lt;=$K1798,"Sí","No")))</f>
        <v/>
      </c>
      <c r="O1798" s="24">
        <f>IF($A1798="","",COUNTIFS(NOVEDADES!$D$4:$D$1503,$A1798))</f>
        <v/>
      </c>
      <c r="P1798" s="28">
        <f>IF($A1798="","",IF(COUNTIFS(NOVEDADES!$D$4:$D$1503,$A1798,NOVEDADES!$O$4:$O$1503,"SÍ")&gt;0,"No","Sí"))</f>
        <v/>
      </c>
      <c r="Q1798" s="28">
        <f>IF(OR($A1798="",$L1798=""),"",IF(AND($N1798="Sí",$P1798="Sí"),"OTIF","Falló"))</f>
        <v/>
      </c>
    </row>
    <row r="1799" ht="16" customHeight="1">
      <c r="A1799" s="48" t="n"/>
      <c r="B1799" s="48" t="n"/>
      <c r="C1799" s="47" t="n"/>
      <c r="D1799" s="50" t="n"/>
      <c r="E1799" s="50" t="n"/>
      <c r="F1799" s="50" t="n"/>
      <c r="G1799" s="50" t="n"/>
      <c r="H1799" s="48" t="n"/>
      <c r="I1799" s="51" t="n"/>
      <c r="J1799" s="52" t="n"/>
      <c r="K1799" s="47" t="n"/>
      <c r="L1799" s="47" t="n"/>
      <c r="M1799" s="24">
        <f>IF(OR($A1799="",$C1799=""),"",IF($L1799&lt;&gt;"",$L1799-$C1799,TODAY()-$C1799))</f>
        <v/>
      </c>
      <c r="N1799" s="28">
        <f>IF(OR($A1799="",$K1799=""),"",IF($L1799="",IF(TODAY()&gt;$K1799,"Atrasado","En ruta"),IF($L1799&lt;=$K1799,"Sí","No")))</f>
        <v/>
      </c>
      <c r="O1799" s="24">
        <f>IF($A1799="","",COUNTIFS(NOVEDADES!$D$4:$D$1503,$A1799))</f>
        <v/>
      </c>
      <c r="P1799" s="28">
        <f>IF($A1799="","",IF(COUNTIFS(NOVEDADES!$D$4:$D$1503,$A1799,NOVEDADES!$O$4:$O$1503,"SÍ")&gt;0,"No","Sí"))</f>
        <v/>
      </c>
      <c r="Q1799" s="28">
        <f>IF(OR($A1799="",$L1799=""),"",IF(AND($N1799="Sí",$P1799="Sí"),"OTIF","Falló"))</f>
        <v/>
      </c>
    </row>
    <row r="1800" ht="16" customHeight="1">
      <c r="A1800" s="48" t="n"/>
      <c r="B1800" s="48" t="n"/>
      <c r="C1800" s="47" t="n"/>
      <c r="D1800" s="50" t="n"/>
      <c r="E1800" s="50" t="n"/>
      <c r="F1800" s="50" t="n"/>
      <c r="G1800" s="50" t="n"/>
      <c r="H1800" s="48" t="n"/>
      <c r="I1800" s="51" t="n"/>
      <c r="J1800" s="52" t="n"/>
      <c r="K1800" s="47" t="n"/>
      <c r="L1800" s="47" t="n"/>
      <c r="M1800" s="24">
        <f>IF(OR($A1800="",$C1800=""),"",IF($L1800&lt;&gt;"",$L1800-$C1800,TODAY()-$C1800))</f>
        <v/>
      </c>
      <c r="N1800" s="28">
        <f>IF(OR($A1800="",$K1800=""),"",IF($L1800="",IF(TODAY()&gt;$K1800,"Atrasado","En ruta"),IF($L1800&lt;=$K1800,"Sí","No")))</f>
        <v/>
      </c>
      <c r="O1800" s="24">
        <f>IF($A1800="","",COUNTIFS(NOVEDADES!$D$4:$D$1503,$A1800))</f>
        <v/>
      </c>
      <c r="P1800" s="28">
        <f>IF($A1800="","",IF(COUNTIFS(NOVEDADES!$D$4:$D$1503,$A1800,NOVEDADES!$O$4:$O$1503,"SÍ")&gt;0,"No","Sí"))</f>
        <v/>
      </c>
      <c r="Q1800" s="28">
        <f>IF(OR($A1800="",$L1800=""),"",IF(AND($N1800="Sí",$P1800="Sí"),"OTIF","Falló"))</f>
        <v/>
      </c>
    </row>
    <row r="1801" ht="16" customHeight="1">
      <c r="A1801" s="48" t="n"/>
      <c r="B1801" s="48" t="n"/>
      <c r="C1801" s="47" t="n"/>
      <c r="D1801" s="50" t="n"/>
      <c r="E1801" s="50" t="n"/>
      <c r="F1801" s="50" t="n"/>
      <c r="G1801" s="50" t="n"/>
      <c r="H1801" s="48" t="n"/>
      <c r="I1801" s="51" t="n"/>
      <c r="J1801" s="52" t="n"/>
      <c r="K1801" s="47" t="n"/>
      <c r="L1801" s="47" t="n"/>
      <c r="M1801" s="24">
        <f>IF(OR($A1801="",$C1801=""),"",IF($L1801&lt;&gt;"",$L1801-$C1801,TODAY()-$C1801))</f>
        <v/>
      </c>
      <c r="N1801" s="28">
        <f>IF(OR($A1801="",$K1801=""),"",IF($L1801="",IF(TODAY()&gt;$K1801,"Atrasado","En ruta"),IF($L1801&lt;=$K1801,"Sí","No")))</f>
        <v/>
      </c>
      <c r="O1801" s="24">
        <f>IF($A1801="","",COUNTIFS(NOVEDADES!$D$4:$D$1503,$A1801))</f>
        <v/>
      </c>
      <c r="P1801" s="28">
        <f>IF($A1801="","",IF(COUNTIFS(NOVEDADES!$D$4:$D$1503,$A1801,NOVEDADES!$O$4:$O$1503,"SÍ")&gt;0,"No","Sí"))</f>
        <v/>
      </c>
      <c r="Q1801" s="28">
        <f>IF(OR($A1801="",$L1801=""),"",IF(AND($N1801="Sí",$P1801="Sí"),"OTIF","Falló"))</f>
        <v/>
      </c>
    </row>
    <row r="1802" ht="16" customHeight="1">
      <c r="A1802" s="48" t="n"/>
      <c r="B1802" s="48" t="n"/>
      <c r="C1802" s="47" t="n"/>
      <c r="D1802" s="50" t="n"/>
      <c r="E1802" s="50" t="n"/>
      <c r="F1802" s="50" t="n"/>
      <c r="G1802" s="50" t="n"/>
      <c r="H1802" s="48" t="n"/>
      <c r="I1802" s="51" t="n"/>
      <c r="J1802" s="52" t="n"/>
      <c r="K1802" s="47" t="n"/>
      <c r="L1802" s="47" t="n"/>
      <c r="M1802" s="24">
        <f>IF(OR($A1802="",$C1802=""),"",IF($L1802&lt;&gt;"",$L1802-$C1802,TODAY()-$C1802))</f>
        <v/>
      </c>
      <c r="N1802" s="28">
        <f>IF(OR($A1802="",$K1802=""),"",IF($L1802="",IF(TODAY()&gt;$K1802,"Atrasado","En ruta"),IF($L1802&lt;=$K1802,"Sí","No")))</f>
        <v/>
      </c>
      <c r="O1802" s="24">
        <f>IF($A1802="","",COUNTIFS(NOVEDADES!$D$4:$D$1503,$A1802))</f>
        <v/>
      </c>
      <c r="P1802" s="28">
        <f>IF($A1802="","",IF(COUNTIFS(NOVEDADES!$D$4:$D$1503,$A1802,NOVEDADES!$O$4:$O$1503,"SÍ")&gt;0,"No","Sí"))</f>
        <v/>
      </c>
      <c r="Q1802" s="28">
        <f>IF(OR($A1802="",$L1802=""),"",IF(AND($N1802="Sí",$P1802="Sí"),"OTIF","Falló"))</f>
        <v/>
      </c>
    </row>
    <row r="1803" ht="16" customHeight="1">
      <c r="A1803" s="48" t="n"/>
      <c r="B1803" s="48" t="n"/>
      <c r="C1803" s="47" t="n"/>
      <c r="D1803" s="50" t="n"/>
      <c r="E1803" s="50" t="n"/>
      <c r="F1803" s="50" t="n"/>
      <c r="G1803" s="50" t="n"/>
      <c r="H1803" s="48" t="n"/>
      <c r="I1803" s="51" t="n"/>
      <c r="J1803" s="52" t="n"/>
      <c r="K1803" s="47" t="n"/>
      <c r="L1803" s="47" t="n"/>
      <c r="M1803" s="24">
        <f>IF(OR($A1803="",$C1803=""),"",IF($L1803&lt;&gt;"",$L1803-$C1803,TODAY()-$C1803))</f>
        <v/>
      </c>
      <c r="N1803" s="28">
        <f>IF(OR($A1803="",$K1803=""),"",IF($L1803="",IF(TODAY()&gt;$K1803,"Atrasado","En ruta"),IF($L1803&lt;=$K1803,"Sí","No")))</f>
        <v/>
      </c>
      <c r="O1803" s="24">
        <f>IF($A1803="","",COUNTIFS(NOVEDADES!$D$4:$D$1503,$A1803))</f>
        <v/>
      </c>
      <c r="P1803" s="28">
        <f>IF($A1803="","",IF(COUNTIFS(NOVEDADES!$D$4:$D$1503,$A1803,NOVEDADES!$O$4:$O$1503,"SÍ")&gt;0,"No","Sí"))</f>
        <v/>
      </c>
      <c r="Q1803" s="28">
        <f>IF(OR($A1803="",$L1803=""),"",IF(AND($N1803="Sí",$P1803="Sí"),"OTIF","Falló"))</f>
        <v/>
      </c>
    </row>
    <row r="1804" ht="16" customHeight="1">
      <c r="A1804" s="48" t="n"/>
      <c r="B1804" s="48" t="n"/>
      <c r="C1804" s="47" t="n"/>
      <c r="D1804" s="50" t="n"/>
      <c r="E1804" s="50" t="n"/>
      <c r="F1804" s="50" t="n"/>
      <c r="G1804" s="50" t="n"/>
      <c r="H1804" s="48" t="n"/>
      <c r="I1804" s="51" t="n"/>
      <c r="J1804" s="52" t="n"/>
      <c r="K1804" s="47" t="n"/>
      <c r="L1804" s="47" t="n"/>
      <c r="M1804" s="24">
        <f>IF(OR($A1804="",$C1804=""),"",IF($L1804&lt;&gt;"",$L1804-$C1804,TODAY()-$C1804))</f>
        <v/>
      </c>
      <c r="N1804" s="28">
        <f>IF(OR($A1804="",$K1804=""),"",IF($L1804="",IF(TODAY()&gt;$K1804,"Atrasado","En ruta"),IF($L1804&lt;=$K1804,"Sí","No")))</f>
        <v/>
      </c>
      <c r="O1804" s="24">
        <f>IF($A1804="","",COUNTIFS(NOVEDADES!$D$4:$D$1503,$A1804))</f>
        <v/>
      </c>
      <c r="P1804" s="28">
        <f>IF($A1804="","",IF(COUNTIFS(NOVEDADES!$D$4:$D$1503,$A1804,NOVEDADES!$O$4:$O$1503,"SÍ")&gt;0,"No","Sí"))</f>
        <v/>
      </c>
      <c r="Q1804" s="28">
        <f>IF(OR($A1804="",$L1804=""),"",IF(AND($N1804="Sí",$P1804="Sí"),"OTIF","Falló"))</f>
        <v/>
      </c>
    </row>
    <row r="1805" ht="16" customHeight="1">
      <c r="A1805" s="48" t="n"/>
      <c r="B1805" s="48" t="n"/>
      <c r="C1805" s="47" t="n"/>
      <c r="D1805" s="50" t="n"/>
      <c r="E1805" s="50" t="n"/>
      <c r="F1805" s="50" t="n"/>
      <c r="G1805" s="50" t="n"/>
      <c r="H1805" s="48" t="n"/>
      <c r="I1805" s="51" t="n"/>
      <c r="J1805" s="52" t="n"/>
      <c r="K1805" s="47" t="n"/>
      <c r="L1805" s="47" t="n"/>
      <c r="M1805" s="24">
        <f>IF(OR($A1805="",$C1805=""),"",IF($L1805&lt;&gt;"",$L1805-$C1805,TODAY()-$C1805))</f>
        <v/>
      </c>
      <c r="N1805" s="28">
        <f>IF(OR($A1805="",$K1805=""),"",IF($L1805="",IF(TODAY()&gt;$K1805,"Atrasado","En ruta"),IF($L1805&lt;=$K1805,"Sí","No")))</f>
        <v/>
      </c>
      <c r="O1805" s="24">
        <f>IF($A1805="","",COUNTIFS(NOVEDADES!$D$4:$D$1503,$A1805))</f>
        <v/>
      </c>
      <c r="P1805" s="28">
        <f>IF($A1805="","",IF(COUNTIFS(NOVEDADES!$D$4:$D$1503,$A1805,NOVEDADES!$O$4:$O$1503,"SÍ")&gt;0,"No","Sí"))</f>
        <v/>
      </c>
      <c r="Q1805" s="28">
        <f>IF(OR($A1805="",$L1805=""),"",IF(AND($N1805="Sí",$P1805="Sí"),"OTIF","Falló"))</f>
        <v/>
      </c>
    </row>
    <row r="1806" ht="16" customHeight="1">
      <c r="A1806" s="48" t="n"/>
      <c r="B1806" s="48" t="n"/>
      <c r="C1806" s="47" t="n"/>
      <c r="D1806" s="50" t="n"/>
      <c r="E1806" s="50" t="n"/>
      <c r="F1806" s="50" t="n"/>
      <c r="G1806" s="50" t="n"/>
      <c r="H1806" s="48" t="n"/>
      <c r="I1806" s="51" t="n"/>
      <c r="J1806" s="52" t="n"/>
      <c r="K1806" s="47" t="n"/>
      <c r="L1806" s="47" t="n"/>
      <c r="M1806" s="24">
        <f>IF(OR($A1806="",$C1806=""),"",IF($L1806&lt;&gt;"",$L1806-$C1806,TODAY()-$C1806))</f>
        <v/>
      </c>
      <c r="N1806" s="28">
        <f>IF(OR($A1806="",$K1806=""),"",IF($L1806="",IF(TODAY()&gt;$K1806,"Atrasado","En ruta"),IF($L1806&lt;=$K1806,"Sí","No")))</f>
        <v/>
      </c>
      <c r="O1806" s="24">
        <f>IF($A1806="","",COUNTIFS(NOVEDADES!$D$4:$D$1503,$A1806))</f>
        <v/>
      </c>
      <c r="P1806" s="28">
        <f>IF($A1806="","",IF(COUNTIFS(NOVEDADES!$D$4:$D$1503,$A1806,NOVEDADES!$O$4:$O$1503,"SÍ")&gt;0,"No","Sí"))</f>
        <v/>
      </c>
      <c r="Q1806" s="28">
        <f>IF(OR($A1806="",$L1806=""),"",IF(AND($N1806="Sí",$P1806="Sí"),"OTIF","Falló"))</f>
        <v/>
      </c>
    </row>
    <row r="1807" ht="16" customHeight="1">
      <c r="A1807" s="48" t="n"/>
      <c r="B1807" s="48" t="n"/>
      <c r="C1807" s="47" t="n"/>
      <c r="D1807" s="50" t="n"/>
      <c r="E1807" s="50" t="n"/>
      <c r="F1807" s="50" t="n"/>
      <c r="G1807" s="50" t="n"/>
      <c r="H1807" s="48" t="n"/>
      <c r="I1807" s="51" t="n"/>
      <c r="J1807" s="52" t="n"/>
      <c r="K1807" s="47" t="n"/>
      <c r="L1807" s="47" t="n"/>
      <c r="M1807" s="24">
        <f>IF(OR($A1807="",$C1807=""),"",IF($L1807&lt;&gt;"",$L1807-$C1807,TODAY()-$C1807))</f>
        <v/>
      </c>
      <c r="N1807" s="28">
        <f>IF(OR($A1807="",$K1807=""),"",IF($L1807="",IF(TODAY()&gt;$K1807,"Atrasado","En ruta"),IF($L1807&lt;=$K1807,"Sí","No")))</f>
        <v/>
      </c>
      <c r="O1807" s="24">
        <f>IF($A1807="","",COUNTIFS(NOVEDADES!$D$4:$D$1503,$A1807))</f>
        <v/>
      </c>
      <c r="P1807" s="28">
        <f>IF($A1807="","",IF(COUNTIFS(NOVEDADES!$D$4:$D$1503,$A1807,NOVEDADES!$O$4:$O$1503,"SÍ")&gt;0,"No","Sí"))</f>
        <v/>
      </c>
      <c r="Q1807" s="28">
        <f>IF(OR($A1807="",$L1807=""),"",IF(AND($N1807="Sí",$P1807="Sí"),"OTIF","Falló"))</f>
        <v/>
      </c>
    </row>
    <row r="1808" ht="16" customHeight="1">
      <c r="A1808" s="48" t="n"/>
      <c r="B1808" s="48" t="n"/>
      <c r="C1808" s="47" t="n"/>
      <c r="D1808" s="50" t="n"/>
      <c r="E1808" s="50" t="n"/>
      <c r="F1808" s="50" t="n"/>
      <c r="G1808" s="50" t="n"/>
      <c r="H1808" s="48" t="n"/>
      <c r="I1808" s="51" t="n"/>
      <c r="J1808" s="52" t="n"/>
      <c r="K1808" s="47" t="n"/>
      <c r="L1808" s="47" t="n"/>
      <c r="M1808" s="24">
        <f>IF(OR($A1808="",$C1808=""),"",IF($L1808&lt;&gt;"",$L1808-$C1808,TODAY()-$C1808))</f>
        <v/>
      </c>
      <c r="N1808" s="28">
        <f>IF(OR($A1808="",$K1808=""),"",IF($L1808="",IF(TODAY()&gt;$K1808,"Atrasado","En ruta"),IF($L1808&lt;=$K1808,"Sí","No")))</f>
        <v/>
      </c>
      <c r="O1808" s="24">
        <f>IF($A1808="","",COUNTIFS(NOVEDADES!$D$4:$D$1503,$A1808))</f>
        <v/>
      </c>
      <c r="P1808" s="28">
        <f>IF($A1808="","",IF(COUNTIFS(NOVEDADES!$D$4:$D$1503,$A1808,NOVEDADES!$O$4:$O$1503,"SÍ")&gt;0,"No","Sí"))</f>
        <v/>
      </c>
      <c r="Q1808" s="28">
        <f>IF(OR($A1808="",$L1808=""),"",IF(AND($N1808="Sí",$P1808="Sí"),"OTIF","Falló"))</f>
        <v/>
      </c>
    </row>
    <row r="1809" ht="16" customHeight="1">
      <c r="A1809" s="48" t="n"/>
      <c r="B1809" s="48" t="n"/>
      <c r="C1809" s="47" t="n"/>
      <c r="D1809" s="50" t="n"/>
      <c r="E1809" s="50" t="n"/>
      <c r="F1809" s="50" t="n"/>
      <c r="G1809" s="50" t="n"/>
      <c r="H1809" s="48" t="n"/>
      <c r="I1809" s="51" t="n"/>
      <c r="J1809" s="52" t="n"/>
      <c r="K1809" s="47" t="n"/>
      <c r="L1809" s="47" t="n"/>
      <c r="M1809" s="24">
        <f>IF(OR($A1809="",$C1809=""),"",IF($L1809&lt;&gt;"",$L1809-$C1809,TODAY()-$C1809))</f>
        <v/>
      </c>
      <c r="N1809" s="28">
        <f>IF(OR($A1809="",$K1809=""),"",IF($L1809="",IF(TODAY()&gt;$K1809,"Atrasado","En ruta"),IF($L1809&lt;=$K1809,"Sí","No")))</f>
        <v/>
      </c>
      <c r="O1809" s="24">
        <f>IF($A1809="","",COUNTIFS(NOVEDADES!$D$4:$D$1503,$A1809))</f>
        <v/>
      </c>
      <c r="P1809" s="28">
        <f>IF($A1809="","",IF(COUNTIFS(NOVEDADES!$D$4:$D$1503,$A1809,NOVEDADES!$O$4:$O$1503,"SÍ")&gt;0,"No","Sí"))</f>
        <v/>
      </c>
      <c r="Q1809" s="28">
        <f>IF(OR($A1809="",$L1809=""),"",IF(AND($N1809="Sí",$P1809="Sí"),"OTIF","Falló"))</f>
        <v/>
      </c>
    </row>
    <row r="1810" ht="16" customHeight="1">
      <c r="A1810" s="48" t="n"/>
      <c r="B1810" s="48" t="n"/>
      <c r="C1810" s="47" t="n"/>
      <c r="D1810" s="50" t="n"/>
      <c r="E1810" s="50" t="n"/>
      <c r="F1810" s="50" t="n"/>
      <c r="G1810" s="50" t="n"/>
      <c r="H1810" s="48" t="n"/>
      <c r="I1810" s="51" t="n"/>
      <c r="J1810" s="52" t="n"/>
      <c r="K1810" s="47" t="n"/>
      <c r="L1810" s="47" t="n"/>
      <c r="M1810" s="24">
        <f>IF(OR($A1810="",$C1810=""),"",IF($L1810&lt;&gt;"",$L1810-$C1810,TODAY()-$C1810))</f>
        <v/>
      </c>
      <c r="N1810" s="28">
        <f>IF(OR($A1810="",$K1810=""),"",IF($L1810="",IF(TODAY()&gt;$K1810,"Atrasado","En ruta"),IF($L1810&lt;=$K1810,"Sí","No")))</f>
        <v/>
      </c>
      <c r="O1810" s="24">
        <f>IF($A1810="","",COUNTIFS(NOVEDADES!$D$4:$D$1503,$A1810))</f>
        <v/>
      </c>
      <c r="P1810" s="28">
        <f>IF($A1810="","",IF(COUNTIFS(NOVEDADES!$D$4:$D$1503,$A1810,NOVEDADES!$O$4:$O$1503,"SÍ")&gt;0,"No","Sí"))</f>
        <v/>
      </c>
      <c r="Q1810" s="28">
        <f>IF(OR($A1810="",$L1810=""),"",IF(AND($N1810="Sí",$P1810="Sí"),"OTIF","Falló"))</f>
        <v/>
      </c>
    </row>
    <row r="1811" ht="16" customHeight="1">
      <c r="A1811" s="48" t="n"/>
      <c r="B1811" s="48" t="n"/>
      <c r="C1811" s="47" t="n"/>
      <c r="D1811" s="50" t="n"/>
      <c r="E1811" s="50" t="n"/>
      <c r="F1811" s="50" t="n"/>
      <c r="G1811" s="50" t="n"/>
      <c r="H1811" s="48" t="n"/>
      <c r="I1811" s="51" t="n"/>
      <c r="J1811" s="52" t="n"/>
      <c r="K1811" s="47" t="n"/>
      <c r="L1811" s="47" t="n"/>
      <c r="M1811" s="24">
        <f>IF(OR($A1811="",$C1811=""),"",IF($L1811&lt;&gt;"",$L1811-$C1811,TODAY()-$C1811))</f>
        <v/>
      </c>
      <c r="N1811" s="28">
        <f>IF(OR($A1811="",$K1811=""),"",IF($L1811="",IF(TODAY()&gt;$K1811,"Atrasado","En ruta"),IF($L1811&lt;=$K1811,"Sí","No")))</f>
        <v/>
      </c>
      <c r="O1811" s="24">
        <f>IF($A1811="","",COUNTIFS(NOVEDADES!$D$4:$D$1503,$A1811))</f>
        <v/>
      </c>
      <c r="P1811" s="28">
        <f>IF($A1811="","",IF(COUNTIFS(NOVEDADES!$D$4:$D$1503,$A1811,NOVEDADES!$O$4:$O$1503,"SÍ")&gt;0,"No","Sí"))</f>
        <v/>
      </c>
      <c r="Q1811" s="28">
        <f>IF(OR($A1811="",$L1811=""),"",IF(AND($N1811="Sí",$P1811="Sí"),"OTIF","Falló"))</f>
        <v/>
      </c>
    </row>
    <row r="1812" ht="16" customHeight="1">
      <c r="A1812" s="48" t="n"/>
      <c r="B1812" s="48" t="n"/>
      <c r="C1812" s="47" t="n"/>
      <c r="D1812" s="50" t="n"/>
      <c r="E1812" s="50" t="n"/>
      <c r="F1812" s="50" t="n"/>
      <c r="G1812" s="50" t="n"/>
      <c r="H1812" s="48" t="n"/>
      <c r="I1812" s="51" t="n"/>
      <c r="J1812" s="52" t="n"/>
      <c r="K1812" s="47" t="n"/>
      <c r="L1812" s="47" t="n"/>
      <c r="M1812" s="24">
        <f>IF(OR($A1812="",$C1812=""),"",IF($L1812&lt;&gt;"",$L1812-$C1812,TODAY()-$C1812))</f>
        <v/>
      </c>
      <c r="N1812" s="28">
        <f>IF(OR($A1812="",$K1812=""),"",IF($L1812="",IF(TODAY()&gt;$K1812,"Atrasado","En ruta"),IF($L1812&lt;=$K1812,"Sí","No")))</f>
        <v/>
      </c>
      <c r="O1812" s="24">
        <f>IF($A1812="","",COUNTIFS(NOVEDADES!$D$4:$D$1503,$A1812))</f>
        <v/>
      </c>
      <c r="P1812" s="28">
        <f>IF($A1812="","",IF(COUNTIFS(NOVEDADES!$D$4:$D$1503,$A1812,NOVEDADES!$O$4:$O$1503,"SÍ")&gt;0,"No","Sí"))</f>
        <v/>
      </c>
      <c r="Q1812" s="28">
        <f>IF(OR($A1812="",$L1812=""),"",IF(AND($N1812="Sí",$P1812="Sí"),"OTIF","Falló"))</f>
        <v/>
      </c>
    </row>
    <row r="1813" ht="16" customHeight="1">
      <c r="A1813" s="48" t="n"/>
      <c r="B1813" s="48" t="n"/>
      <c r="C1813" s="47" t="n"/>
      <c r="D1813" s="50" t="n"/>
      <c r="E1813" s="50" t="n"/>
      <c r="F1813" s="50" t="n"/>
      <c r="G1813" s="50" t="n"/>
      <c r="H1813" s="48" t="n"/>
      <c r="I1813" s="51" t="n"/>
      <c r="J1813" s="52" t="n"/>
      <c r="K1813" s="47" t="n"/>
      <c r="L1813" s="47" t="n"/>
      <c r="M1813" s="24">
        <f>IF(OR($A1813="",$C1813=""),"",IF($L1813&lt;&gt;"",$L1813-$C1813,TODAY()-$C1813))</f>
        <v/>
      </c>
      <c r="N1813" s="28">
        <f>IF(OR($A1813="",$K1813=""),"",IF($L1813="",IF(TODAY()&gt;$K1813,"Atrasado","En ruta"),IF($L1813&lt;=$K1813,"Sí","No")))</f>
        <v/>
      </c>
      <c r="O1813" s="24">
        <f>IF($A1813="","",COUNTIFS(NOVEDADES!$D$4:$D$1503,$A1813))</f>
        <v/>
      </c>
      <c r="P1813" s="28">
        <f>IF($A1813="","",IF(COUNTIFS(NOVEDADES!$D$4:$D$1503,$A1813,NOVEDADES!$O$4:$O$1503,"SÍ")&gt;0,"No","Sí"))</f>
        <v/>
      </c>
      <c r="Q1813" s="28">
        <f>IF(OR($A1813="",$L1813=""),"",IF(AND($N1813="Sí",$P1813="Sí"),"OTIF","Falló"))</f>
        <v/>
      </c>
    </row>
    <row r="1814" ht="16" customHeight="1">
      <c r="A1814" s="48" t="n"/>
      <c r="B1814" s="48" t="n"/>
      <c r="C1814" s="47" t="n"/>
      <c r="D1814" s="50" t="n"/>
      <c r="E1814" s="50" t="n"/>
      <c r="F1814" s="50" t="n"/>
      <c r="G1814" s="50" t="n"/>
      <c r="H1814" s="48" t="n"/>
      <c r="I1814" s="51" t="n"/>
      <c r="J1814" s="52" t="n"/>
      <c r="K1814" s="47" t="n"/>
      <c r="L1814" s="47" t="n"/>
      <c r="M1814" s="24">
        <f>IF(OR($A1814="",$C1814=""),"",IF($L1814&lt;&gt;"",$L1814-$C1814,TODAY()-$C1814))</f>
        <v/>
      </c>
      <c r="N1814" s="28">
        <f>IF(OR($A1814="",$K1814=""),"",IF($L1814="",IF(TODAY()&gt;$K1814,"Atrasado","En ruta"),IF($L1814&lt;=$K1814,"Sí","No")))</f>
        <v/>
      </c>
      <c r="O1814" s="24">
        <f>IF($A1814="","",COUNTIFS(NOVEDADES!$D$4:$D$1503,$A1814))</f>
        <v/>
      </c>
      <c r="P1814" s="28">
        <f>IF($A1814="","",IF(COUNTIFS(NOVEDADES!$D$4:$D$1503,$A1814,NOVEDADES!$O$4:$O$1503,"SÍ")&gt;0,"No","Sí"))</f>
        <v/>
      </c>
      <c r="Q1814" s="28">
        <f>IF(OR($A1814="",$L1814=""),"",IF(AND($N1814="Sí",$P1814="Sí"),"OTIF","Falló"))</f>
        <v/>
      </c>
    </row>
    <row r="1815" ht="16" customHeight="1">
      <c r="A1815" s="48" t="n"/>
      <c r="B1815" s="48" t="n"/>
      <c r="C1815" s="47" t="n"/>
      <c r="D1815" s="50" t="n"/>
      <c r="E1815" s="50" t="n"/>
      <c r="F1815" s="50" t="n"/>
      <c r="G1815" s="50" t="n"/>
      <c r="H1815" s="48" t="n"/>
      <c r="I1815" s="51" t="n"/>
      <c r="J1815" s="52" t="n"/>
      <c r="K1815" s="47" t="n"/>
      <c r="L1815" s="47" t="n"/>
      <c r="M1815" s="24">
        <f>IF(OR($A1815="",$C1815=""),"",IF($L1815&lt;&gt;"",$L1815-$C1815,TODAY()-$C1815))</f>
        <v/>
      </c>
      <c r="N1815" s="28">
        <f>IF(OR($A1815="",$K1815=""),"",IF($L1815="",IF(TODAY()&gt;$K1815,"Atrasado","En ruta"),IF($L1815&lt;=$K1815,"Sí","No")))</f>
        <v/>
      </c>
      <c r="O1815" s="24">
        <f>IF($A1815="","",COUNTIFS(NOVEDADES!$D$4:$D$1503,$A1815))</f>
        <v/>
      </c>
      <c r="P1815" s="28">
        <f>IF($A1815="","",IF(COUNTIFS(NOVEDADES!$D$4:$D$1503,$A1815,NOVEDADES!$O$4:$O$1503,"SÍ")&gt;0,"No","Sí"))</f>
        <v/>
      </c>
      <c r="Q1815" s="28">
        <f>IF(OR($A1815="",$L1815=""),"",IF(AND($N1815="Sí",$P1815="Sí"),"OTIF","Falló"))</f>
        <v/>
      </c>
    </row>
    <row r="1816" ht="16" customHeight="1">
      <c r="A1816" s="48" t="n"/>
      <c r="B1816" s="48" t="n"/>
      <c r="C1816" s="47" t="n"/>
      <c r="D1816" s="50" t="n"/>
      <c r="E1816" s="50" t="n"/>
      <c r="F1816" s="50" t="n"/>
      <c r="G1816" s="50" t="n"/>
      <c r="H1816" s="48" t="n"/>
      <c r="I1816" s="51" t="n"/>
      <c r="J1816" s="52" t="n"/>
      <c r="K1816" s="47" t="n"/>
      <c r="L1816" s="47" t="n"/>
      <c r="M1816" s="24">
        <f>IF(OR($A1816="",$C1816=""),"",IF($L1816&lt;&gt;"",$L1816-$C1816,TODAY()-$C1816))</f>
        <v/>
      </c>
      <c r="N1816" s="28">
        <f>IF(OR($A1816="",$K1816=""),"",IF($L1816="",IF(TODAY()&gt;$K1816,"Atrasado","En ruta"),IF($L1816&lt;=$K1816,"Sí","No")))</f>
        <v/>
      </c>
      <c r="O1816" s="24">
        <f>IF($A1816="","",COUNTIFS(NOVEDADES!$D$4:$D$1503,$A1816))</f>
        <v/>
      </c>
      <c r="P1816" s="28">
        <f>IF($A1816="","",IF(COUNTIFS(NOVEDADES!$D$4:$D$1503,$A1816,NOVEDADES!$O$4:$O$1503,"SÍ")&gt;0,"No","Sí"))</f>
        <v/>
      </c>
      <c r="Q1816" s="28">
        <f>IF(OR($A1816="",$L1816=""),"",IF(AND($N1816="Sí",$P1816="Sí"),"OTIF","Falló"))</f>
        <v/>
      </c>
    </row>
    <row r="1817" ht="16" customHeight="1">
      <c r="A1817" s="48" t="n"/>
      <c r="B1817" s="48" t="n"/>
      <c r="C1817" s="47" t="n"/>
      <c r="D1817" s="50" t="n"/>
      <c r="E1817" s="50" t="n"/>
      <c r="F1817" s="50" t="n"/>
      <c r="G1817" s="50" t="n"/>
      <c r="H1817" s="48" t="n"/>
      <c r="I1817" s="51" t="n"/>
      <c r="J1817" s="52" t="n"/>
      <c r="K1817" s="47" t="n"/>
      <c r="L1817" s="47" t="n"/>
      <c r="M1817" s="24">
        <f>IF(OR($A1817="",$C1817=""),"",IF($L1817&lt;&gt;"",$L1817-$C1817,TODAY()-$C1817))</f>
        <v/>
      </c>
      <c r="N1817" s="28">
        <f>IF(OR($A1817="",$K1817=""),"",IF($L1817="",IF(TODAY()&gt;$K1817,"Atrasado","En ruta"),IF($L1817&lt;=$K1817,"Sí","No")))</f>
        <v/>
      </c>
      <c r="O1817" s="24">
        <f>IF($A1817="","",COUNTIFS(NOVEDADES!$D$4:$D$1503,$A1817))</f>
        <v/>
      </c>
      <c r="P1817" s="28">
        <f>IF($A1817="","",IF(COUNTIFS(NOVEDADES!$D$4:$D$1503,$A1817,NOVEDADES!$O$4:$O$1503,"SÍ")&gt;0,"No","Sí"))</f>
        <v/>
      </c>
      <c r="Q1817" s="28">
        <f>IF(OR($A1817="",$L1817=""),"",IF(AND($N1817="Sí",$P1817="Sí"),"OTIF","Falló"))</f>
        <v/>
      </c>
    </row>
    <row r="1818" ht="16" customHeight="1">
      <c r="A1818" s="48" t="n"/>
      <c r="B1818" s="48" t="n"/>
      <c r="C1818" s="47" t="n"/>
      <c r="D1818" s="50" t="n"/>
      <c r="E1818" s="50" t="n"/>
      <c r="F1818" s="50" t="n"/>
      <c r="G1818" s="50" t="n"/>
      <c r="H1818" s="48" t="n"/>
      <c r="I1818" s="51" t="n"/>
      <c r="J1818" s="52" t="n"/>
      <c r="K1818" s="47" t="n"/>
      <c r="L1818" s="47" t="n"/>
      <c r="M1818" s="24">
        <f>IF(OR($A1818="",$C1818=""),"",IF($L1818&lt;&gt;"",$L1818-$C1818,TODAY()-$C1818))</f>
        <v/>
      </c>
      <c r="N1818" s="28">
        <f>IF(OR($A1818="",$K1818=""),"",IF($L1818="",IF(TODAY()&gt;$K1818,"Atrasado","En ruta"),IF($L1818&lt;=$K1818,"Sí","No")))</f>
        <v/>
      </c>
      <c r="O1818" s="24">
        <f>IF($A1818="","",COUNTIFS(NOVEDADES!$D$4:$D$1503,$A1818))</f>
        <v/>
      </c>
      <c r="P1818" s="28">
        <f>IF($A1818="","",IF(COUNTIFS(NOVEDADES!$D$4:$D$1503,$A1818,NOVEDADES!$O$4:$O$1503,"SÍ")&gt;0,"No","Sí"))</f>
        <v/>
      </c>
      <c r="Q1818" s="28">
        <f>IF(OR($A1818="",$L1818=""),"",IF(AND($N1818="Sí",$P1818="Sí"),"OTIF","Falló"))</f>
        <v/>
      </c>
    </row>
    <row r="1819" ht="16" customHeight="1">
      <c r="A1819" s="48" t="n"/>
      <c r="B1819" s="48" t="n"/>
      <c r="C1819" s="47" t="n"/>
      <c r="D1819" s="50" t="n"/>
      <c r="E1819" s="50" t="n"/>
      <c r="F1819" s="50" t="n"/>
      <c r="G1819" s="50" t="n"/>
      <c r="H1819" s="48" t="n"/>
      <c r="I1819" s="51" t="n"/>
      <c r="J1819" s="52" t="n"/>
      <c r="K1819" s="47" t="n"/>
      <c r="L1819" s="47" t="n"/>
      <c r="M1819" s="24">
        <f>IF(OR($A1819="",$C1819=""),"",IF($L1819&lt;&gt;"",$L1819-$C1819,TODAY()-$C1819))</f>
        <v/>
      </c>
      <c r="N1819" s="28">
        <f>IF(OR($A1819="",$K1819=""),"",IF($L1819="",IF(TODAY()&gt;$K1819,"Atrasado","En ruta"),IF($L1819&lt;=$K1819,"Sí","No")))</f>
        <v/>
      </c>
      <c r="O1819" s="24">
        <f>IF($A1819="","",COUNTIFS(NOVEDADES!$D$4:$D$1503,$A1819))</f>
        <v/>
      </c>
      <c r="P1819" s="28">
        <f>IF($A1819="","",IF(COUNTIFS(NOVEDADES!$D$4:$D$1503,$A1819,NOVEDADES!$O$4:$O$1503,"SÍ")&gt;0,"No","Sí"))</f>
        <v/>
      </c>
      <c r="Q1819" s="28">
        <f>IF(OR($A1819="",$L1819=""),"",IF(AND($N1819="Sí",$P1819="Sí"),"OTIF","Falló"))</f>
        <v/>
      </c>
    </row>
    <row r="1820" ht="16" customHeight="1">
      <c r="A1820" s="48" t="n"/>
      <c r="B1820" s="48" t="n"/>
      <c r="C1820" s="47" t="n"/>
      <c r="D1820" s="50" t="n"/>
      <c r="E1820" s="50" t="n"/>
      <c r="F1820" s="50" t="n"/>
      <c r="G1820" s="50" t="n"/>
      <c r="H1820" s="48" t="n"/>
      <c r="I1820" s="51" t="n"/>
      <c r="J1820" s="52" t="n"/>
      <c r="K1820" s="47" t="n"/>
      <c r="L1820" s="47" t="n"/>
      <c r="M1820" s="24">
        <f>IF(OR($A1820="",$C1820=""),"",IF($L1820&lt;&gt;"",$L1820-$C1820,TODAY()-$C1820))</f>
        <v/>
      </c>
      <c r="N1820" s="28">
        <f>IF(OR($A1820="",$K1820=""),"",IF($L1820="",IF(TODAY()&gt;$K1820,"Atrasado","En ruta"),IF($L1820&lt;=$K1820,"Sí","No")))</f>
        <v/>
      </c>
      <c r="O1820" s="24">
        <f>IF($A1820="","",COUNTIFS(NOVEDADES!$D$4:$D$1503,$A1820))</f>
        <v/>
      </c>
      <c r="P1820" s="28">
        <f>IF($A1820="","",IF(COUNTIFS(NOVEDADES!$D$4:$D$1503,$A1820,NOVEDADES!$O$4:$O$1503,"SÍ")&gt;0,"No","Sí"))</f>
        <v/>
      </c>
      <c r="Q1820" s="28">
        <f>IF(OR($A1820="",$L1820=""),"",IF(AND($N1820="Sí",$P1820="Sí"),"OTIF","Falló"))</f>
        <v/>
      </c>
    </row>
    <row r="1821" ht="16" customHeight="1">
      <c r="A1821" s="48" t="n"/>
      <c r="B1821" s="48" t="n"/>
      <c r="C1821" s="47" t="n"/>
      <c r="D1821" s="50" t="n"/>
      <c r="E1821" s="50" t="n"/>
      <c r="F1821" s="50" t="n"/>
      <c r="G1821" s="50" t="n"/>
      <c r="H1821" s="48" t="n"/>
      <c r="I1821" s="51" t="n"/>
      <c r="J1821" s="52" t="n"/>
      <c r="K1821" s="47" t="n"/>
      <c r="L1821" s="47" t="n"/>
      <c r="M1821" s="24">
        <f>IF(OR($A1821="",$C1821=""),"",IF($L1821&lt;&gt;"",$L1821-$C1821,TODAY()-$C1821))</f>
        <v/>
      </c>
      <c r="N1821" s="28">
        <f>IF(OR($A1821="",$K1821=""),"",IF($L1821="",IF(TODAY()&gt;$K1821,"Atrasado","En ruta"),IF($L1821&lt;=$K1821,"Sí","No")))</f>
        <v/>
      </c>
      <c r="O1821" s="24">
        <f>IF($A1821="","",COUNTIFS(NOVEDADES!$D$4:$D$1503,$A1821))</f>
        <v/>
      </c>
      <c r="P1821" s="28">
        <f>IF($A1821="","",IF(COUNTIFS(NOVEDADES!$D$4:$D$1503,$A1821,NOVEDADES!$O$4:$O$1503,"SÍ")&gt;0,"No","Sí"))</f>
        <v/>
      </c>
      <c r="Q1821" s="28">
        <f>IF(OR($A1821="",$L1821=""),"",IF(AND($N1821="Sí",$P1821="Sí"),"OTIF","Falló"))</f>
        <v/>
      </c>
    </row>
    <row r="1822" ht="16" customHeight="1">
      <c r="A1822" s="48" t="n"/>
      <c r="B1822" s="48" t="n"/>
      <c r="C1822" s="47" t="n"/>
      <c r="D1822" s="50" t="n"/>
      <c r="E1822" s="50" t="n"/>
      <c r="F1822" s="50" t="n"/>
      <c r="G1822" s="50" t="n"/>
      <c r="H1822" s="48" t="n"/>
      <c r="I1822" s="51" t="n"/>
      <c r="J1822" s="52" t="n"/>
      <c r="K1822" s="47" t="n"/>
      <c r="L1822" s="47" t="n"/>
      <c r="M1822" s="24">
        <f>IF(OR($A1822="",$C1822=""),"",IF($L1822&lt;&gt;"",$L1822-$C1822,TODAY()-$C1822))</f>
        <v/>
      </c>
      <c r="N1822" s="28">
        <f>IF(OR($A1822="",$K1822=""),"",IF($L1822="",IF(TODAY()&gt;$K1822,"Atrasado","En ruta"),IF($L1822&lt;=$K1822,"Sí","No")))</f>
        <v/>
      </c>
      <c r="O1822" s="24">
        <f>IF($A1822="","",COUNTIFS(NOVEDADES!$D$4:$D$1503,$A1822))</f>
        <v/>
      </c>
      <c r="P1822" s="28">
        <f>IF($A1822="","",IF(COUNTIFS(NOVEDADES!$D$4:$D$1503,$A1822,NOVEDADES!$O$4:$O$1503,"SÍ")&gt;0,"No","Sí"))</f>
        <v/>
      </c>
      <c r="Q1822" s="28">
        <f>IF(OR($A1822="",$L1822=""),"",IF(AND($N1822="Sí",$P1822="Sí"),"OTIF","Falló"))</f>
        <v/>
      </c>
    </row>
    <row r="1823" ht="16" customHeight="1">
      <c r="A1823" s="48" t="n"/>
      <c r="B1823" s="48" t="n"/>
      <c r="C1823" s="47" t="n"/>
      <c r="D1823" s="50" t="n"/>
      <c r="E1823" s="50" t="n"/>
      <c r="F1823" s="50" t="n"/>
      <c r="G1823" s="50" t="n"/>
      <c r="H1823" s="48" t="n"/>
      <c r="I1823" s="51" t="n"/>
      <c r="J1823" s="52" t="n"/>
      <c r="K1823" s="47" t="n"/>
      <c r="L1823" s="47" t="n"/>
      <c r="M1823" s="24">
        <f>IF(OR($A1823="",$C1823=""),"",IF($L1823&lt;&gt;"",$L1823-$C1823,TODAY()-$C1823))</f>
        <v/>
      </c>
      <c r="N1823" s="28">
        <f>IF(OR($A1823="",$K1823=""),"",IF($L1823="",IF(TODAY()&gt;$K1823,"Atrasado","En ruta"),IF($L1823&lt;=$K1823,"Sí","No")))</f>
        <v/>
      </c>
      <c r="O1823" s="24">
        <f>IF($A1823="","",COUNTIFS(NOVEDADES!$D$4:$D$1503,$A1823))</f>
        <v/>
      </c>
      <c r="P1823" s="28">
        <f>IF($A1823="","",IF(COUNTIFS(NOVEDADES!$D$4:$D$1503,$A1823,NOVEDADES!$O$4:$O$1503,"SÍ")&gt;0,"No","Sí"))</f>
        <v/>
      </c>
      <c r="Q1823" s="28">
        <f>IF(OR($A1823="",$L1823=""),"",IF(AND($N1823="Sí",$P1823="Sí"),"OTIF","Falló"))</f>
        <v/>
      </c>
    </row>
    <row r="1824" ht="16" customHeight="1">
      <c r="A1824" s="48" t="n"/>
      <c r="B1824" s="48" t="n"/>
      <c r="C1824" s="47" t="n"/>
      <c r="D1824" s="50" t="n"/>
      <c r="E1824" s="50" t="n"/>
      <c r="F1824" s="50" t="n"/>
      <c r="G1824" s="50" t="n"/>
      <c r="H1824" s="48" t="n"/>
      <c r="I1824" s="51" t="n"/>
      <c r="J1824" s="52" t="n"/>
      <c r="K1824" s="47" t="n"/>
      <c r="L1824" s="47" t="n"/>
      <c r="M1824" s="24">
        <f>IF(OR($A1824="",$C1824=""),"",IF($L1824&lt;&gt;"",$L1824-$C1824,TODAY()-$C1824))</f>
        <v/>
      </c>
      <c r="N1824" s="28">
        <f>IF(OR($A1824="",$K1824=""),"",IF($L1824="",IF(TODAY()&gt;$K1824,"Atrasado","En ruta"),IF($L1824&lt;=$K1824,"Sí","No")))</f>
        <v/>
      </c>
      <c r="O1824" s="24">
        <f>IF($A1824="","",COUNTIFS(NOVEDADES!$D$4:$D$1503,$A1824))</f>
        <v/>
      </c>
      <c r="P1824" s="28">
        <f>IF($A1824="","",IF(COUNTIFS(NOVEDADES!$D$4:$D$1503,$A1824,NOVEDADES!$O$4:$O$1503,"SÍ")&gt;0,"No","Sí"))</f>
        <v/>
      </c>
      <c r="Q1824" s="28">
        <f>IF(OR($A1824="",$L1824=""),"",IF(AND($N1824="Sí",$P1824="Sí"),"OTIF","Falló"))</f>
        <v/>
      </c>
    </row>
    <row r="1825" ht="16" customHeight="1">
      <c r="A1825" s="48" t="n"/>
      <c r="B1825" s="48" t="n"/>
      <c r="C1825" s="47" t="n"/>
      <c r="D1825" s="50" t="n"/>
      <c r="E1825" s="50" t="n"/>
      <c r="F1825" s="50" t="n"/>
      <c r="G1825" s="50" t="n"/>
      <c r="H1825" s="48" t="n"/>
      <c r="I1825" s="51" t="n"/>
      <c r="J1825" s="52" t="n"/>
      <c r="K1825" s="47" t="n"/>
      <c r="L1825" s="47" t="n"/>
      <c r="M1825" s="24">
        <f>IF(OR($A1825="",$C1825=""),"",IF($L1825&lt;&gt;"",$L1825-$C1825,TODAY()-$C1825))</f>
        <v/>
      </c>
      <c r="N1825" s="28">
        <f>IF(OR($A1825="",$K1825=""),"",IF($L1825="",IF(TODAY()&gt;$K1825,"Atrasado","En ruta"),IF($L1825&lt;=$K1825,"Sí","No")))</f>
        <v/>
      </c>
      <c r="O1825" s="24">
        <f>IF($A1825="","",COUNTIFS(NOVEDADES!$D$4:$D$1503,$A1825))</f>
        <v/>
      </c>
      <c r="P1825" s="28">
        <f>IF($A1825="","",IF(COUNTIFS(NOVEDADES!$D$4:$D$1503,$A1825,NOVEDADES!$O$4:$O$1503,"SÍ")&gt;0,"No","Sí"))</f>
        <v/>
      </c>
      <c r="Q1825" s="28">
        <f>IF(OR($A1825="",$L1825=""),"",IF(AND($N1825="Sí",$P1825="Sí"),"OTIF","Falló"))</f>
        <v/>
      </c>
    </row>
    <row r="1826" ht="16" customHeight="1">
      <c r="A1826" s="48" t="n"/>
      <c r="B1826" s="48" t="n"/>
      <c r="C1826" s="47" t="n"/>
      <c r="D1826" s="50" t="n"/>
      <c r="E1826" s="50" t="n"/>
      <c r="F1826" s="50" t="n"/>
      <c r="G1826" s="50" t="n"/>
      <c r="H1826" s="48" t="n"/>
      <c r="I1826" s="51" t="n"/>
      <c r="J1826" s="52" t="n"/>
      <c r="K1826" s="47" t="n"/>
      <c r="L1826" s="47" t="n"/>
      <c r="M1826" s="24">
        <f>IF(OR($A1826="",$C1826=""),"",IF($L1826&lt;&gt;"",$L1826-$C1826,TODAY()-$C1826))</f>
        <v/>
      </c>
      <c r="N1826" s="28">
        <f>IF(OR($A1826="",$K1826=""),"",IF($L1826="",IF(TODAY()&gt;$K1826,"Atrasado","En ruta"),IF($L1826&lt;=$K1826,"Sí","No")))</f>
        <v/>
      </c>
      <c r="O1826" s="24">
        <f>IF($A1826="","",COUNTIFS(NOVEDADES!$D$4:$D$1503,$A1826))</f>
        <v/>
      </c>
      <c r="P1826" s="28">
        <f>IF($A1826="","",IF(COUNTIFS(NOVEDADES!$D$4:$D$1503,$A1826,NOVEDADES!$O$4:$O$1503,"SÍ")&gt;0,"No","Sí"))</f>
        <v/>
      </c>
      <c r="Q1826" s="28">
        <f>IF(OR($A1826="",$L1826=""),"",IF(AND($N1826="Sí",$P1826="Sí"),"OTIF","Falló"))</f>
        <v/>
      </c>
    </row>
    <row r="1827" ht="16" customHeight="1">
      <c r="A1827" s="48" t="n"/>
      <c r="B1827" s="48" t="n"/>
      <c r="C1827" s="47" t="n"/>
      <c r="D1827" s="50" t="n"/>
      <c r="E1827" s="50" t="n"/>
      <c r="F1827" s="50" t="n"/>
      <c r="G1827" s="50" t="n"/>
      <c r="H1827" s="48" t="n"/>
      <c r="I1827" s="51" t="n"/>
      <c r="J1827" s="52" t="n"/>
      <c r="K1827" s="47" t="n"/>
      <c r="L1827" s="47" t="n"/>
      <c r="M1827" s="24">
        <f>IF(OR($A1827="",$C1827=""),"",IF($L1827&lt;&gt;"",$L1827-$C1827,TODAY()-$C1827))</f>
        <v/>
      </c>
      <c r="N1827" s="28">
        <f>IF(OR($A1827="",$K1827=""),"",IF($L1827="",IF(TODAY()&gt;$K1827,"Atrasado","En ruta"),IF($L1827&lt;=$K1827,"Sí","No")))</f>
        <v/>
      </c>
      <c r="O1827" s="24">
        <f>IF($A1827="","",COUNTIFS(NOVEDADES!$D$4:$D$1503,$A1827))</f>
        <v/>
      </c>
      <c r="P1827" s="28">
        <f>IF($A1827="","",IF(COUNTIFS(NOVEDADES!$D$4:$D$1503,$A1827,NOVEDADES!$O$4:$O$1503,"SÍ")&gt;0,"No","Sí"))</f>
        <v/>
      </c>
      <c r="Q1827" s="28">
        <f>IF(OR($A1827="",$L1827=""),"",IF(AND($N1827="Sí",$P1827="Sí"),"OTIF","Falló"))</f>
        <v/>
      </c>
    </row>
    <row r="1828" ht="16" customHeight="1">
      <c r="A1828" s="48" t="n"/>
      <c r="B1828" s="48" t="n"/>
      <c r="C1828" s="47" t="n"/>
      <c r="D1828" s="50" t="n"/>
      <c r="E1828" s="50" t="n"/>
      <c r="F1828" s="50" t="n"/>
      <c r="G1828" s="50" t="n"/>
      <c r="H1828" s="48" t="n"/>
      <c r="I1828" s="51" t="n"/>
      <c r="J1828" s="52" t="n"/>
      <c r="K1828" s="47" t="n"/>
      <c r="L1828" s="47" t="n"/>
      <c r="M1828" s="24">
        <f>IF(OR($A1828="",$C1828=""),"",IF($L1828&lt;&gt;"",$L1828-$C1828,TODAY()-$C1828))</f>
        <v/>
      </c>
      <c r="N1828" s="28">
        <f>IF(OR($A1828="",$K1828=""),"",IF($L1828="",IF(TODAY()&gt;$K1828,"Atrasado","En ruta"),IF($L1828&lt;=$K1828,"Sí","No")))</f>
        <v/>
      </c>
      <c r="O1828" s="24">
        <f>IF($A1828="","",COUNTIFS(NOVEDADES!$D$4:$D$1503,$A1828))</f>
        <v/>
      </c>
      <c r="P1828" s="28">
        <f>IF($A1828="","",IF(COUNTIFS(NOVEDADES!$D$4:$D$1503,$A1828,NOVEDADES!$O$4:$O$1503,"SÍ")&gt;0,"No","Sí"))</f>
        <v/>
      </c>
      <c r="Q1828" s="28">
        <f>IF(OR($A1828="",$L1828=""),"",IF(AND($N1828="Sí",$P1828="Sí"),"OTIF","Falló"))</f>
        <v/>
      </c>
    </row>
    <row r="1829" ht="16" customHeight="1">
      <c r="A1829" s="48" t="n"/>
      <c r="B1829" s="48" t="n"/>
      <c r="C1829" s="47" t="n"/>
      <c r="D1829" s="50" t="n"/>
      <c r="E1829" s="50" t="n"/>
      <c r="F1829" s="50" t="n"/>
      <c r="G1829" s="50" t="n"/>
      <c r="H1829" s="48" t="n"/>
      <c r="I1829" s="51" t="n"/>
      <c r="J1829" s="52" t="n"/>
      <c r="K1829" s="47" t="n"/>
      <c r="L1829" s="47" t="n"/>
      <c r="M1829" s="24">
        <f>IF(OR($A1829="",$C1829=""),"",IF($L1829&lt;&gt;"",$L1829-$C1829,TODAY()-$C1829))</f>
        <v/>
      </c>
      <c r="N1829" s="28">
        <f>IF(OR($A1829="",$K1829=""),"",IF($L1829="",IF(TODAY()&gt;$K1829,"Atrasado","En ruta"),IF($L1829&lt;=$K1829,"Sí","No")))</f>
        <v/>
      </c>
      <c r="O1829" s="24">
        <f>IF($A1829="","",COUNTIFS(NOVEDADES!$D$4:$D$1503,$A1829))</f>
        <v/>
      </c>
      <c r="P1829" s="28">
        <f>IF($A1829="","",IF(COUNTIFS(NOVEDADES!$D$4:$D$1503,$A1829,NOVEDADES!$O$4:$O$1503,"SÍ")&gt;0,"No","Sí"))</f>
        <v/>
      </c>
      <c r="Q1829" s="28">
        <f>IF(OR($A1829="",$L1829=""),"",IF(AND($N1829="Sí",$P1829="Sí"),"OTIF","Falló"))</f>
        <v/>
      </c>
    </row>
    <row r="1830" ht="16" customHeight="1">
      <c r="A1830" s="48" t="n"/>
      <c r="B1830" s="48" t="n"/>
      <c r="C1830" s="47" t="n"/>
      <c r="D1830" s="50" t="n"/>
      <c r="E1830" s="50" t="n"/>
      <c r="F1830" s="50" t="n"/>
      <c r="G1830" s="50" t="n"/>
      <c r="H1830" s="48" t="n"/>
      <c r="I1830" s="51" t="n"/>
      <c r="J1830" s="52" t="n"/>
      <c r="K1830" s="47" t="n"/>
      <c r="L1830" s="47" t="n"/>
      <c r="M1830" s="24">
        <f>IF(OR($A1830="",$C1830=""),"",IF($L1830&lt;&gt;"",$L1830-$C1830,TODAY()-$C1830))</f>
        <v/>
      </c>
      <c r="N1830" s="28">
        <f>IF(OR($A1830="",$K1830=""),"",IF($L1830="",IF(TODAY()&gt;$K1830,"Atrasado","En ruta"),IF($L1830&lt;=$K1830,"Sí","No")))</f>
        <v/>
      </c>
      <c r="O1830" s="24">
        <f>IF($A1830="","",COUNTIFS(NOVEDADES!$D$4:$D$1503,$A1830))</f>
        <v/>
      </c>
      <c r="P1830" s="28">
        <f>IF($A1830="","",IF(COUNTIFS(NOVEDADES!$D$4:$D$1503,$A1830,NOVEDADES!$O$4:$O$1503,"SÍ")&gt;0,"No","Sí"))</f>
        <v/>
      </c>
      <c r="Q1830" s="28">
        <f>IF(OR($A1830="",$L1830=""),"",IF(AND($N1830="Sí",$P1830="Sí"),"OTIF","Falló"))</f>
        <v/>
      </c>
    </row>
    <row r="1831" ht="16" customHeight="1">
      <c r="A1831" s="48" t="n"/>
      <c r="B1831" s="48" t="n"/>
      <c r="C1831" s="47" t="n"/>
      <c r="D1831" s="50" t="n"/>
      <c r="E1831" s="50" t="n"/>
      <c r="F1831" s="50" t="n"/>
      <c r="G1831" s="50" t="n"/>
      <c r="H1831" s="48" t="n"/>
      <c r="I1831" s="51" t="n"/>
      <c r="J1831" s="52" t="n"/>
      <c r="K1831" s="47" t="n"/>
      <c r="L1831" s="47" t="n"/>
      <c r="M1831" s="24">
        <f>IF(OR($A1831="",$C1831=""),"",IF($L1831&lt;&gt;"",$L1831-$C1831,TODAY()-$C1831))</f>
        <v/>
      </c>
      <c r="N1831" s="28">
        <f>IF(OR($A1831="",$K1831=""),"",IF($L1831="",IF(TODAY()&gt;$K1831,"Atrasado","En ruta"),IF($L1831&lt;=$K1831,"Sí","No")))</f>
        <v/>
      </c>
      <c r="O1831" s="24">
        <f>IF($A1831="","",COUNTIFS(NOVEDADES!$D$4:$D$1503,$A1831))</f>
        <v/>
      </c>
      <c r="P1831" s="28">
        <f>IF($A1831="","",IF(COUNTIFS(NOVEDADES!$D$4:$D$1503,$A1831,NOVEDADES!$O$4:$O$1503,"SÍ")&gt;0,"No","Sí"))</f>
        <v/>
      </c>
      <c r="Q1831" s="28">
        <f>IF(OR($A1831="",$L1831=""),"",IF(AND($N1831="Sí",$P1831="Sí"),"OTIF","Falló"))</f>
        <v/>
      </c>
    </row>
    <row r="1832" ht="16" customHeight="1">
      <c r="A1832" s="48" t="n"/>
      <c r="B1832" s="48" t="n"/>
      <c r="C1832" s="47" t="n"/>
      <c r="D1832" s="50" t="n"/>
      <c r="E1832" s="50" t="n"/>
      <c r="F1832" s="50" t="n"/>
      <c r="G1832" s="50" t="n"/>
      <c r="H1832" s="48" t="n"/>
      <c r="I1832" s="51" t="n"/>
      <c r="J1832" s="52" t="n"/>
      <c r="K1832" s="47" t="n"/>
      <c r="L1832" s="47" t="n"/>
      <c r="M1832" s="24">
        <f>IF(OR($A1832="",$C1832=""),"",IF($L1832&lt;&gt;"",$L1832-$C1832,TODAY()-$C1832))</f>
        <v/>
      </c>
      <c r="N1832" s="28">
        <f>IF(OR($A1832="",$K1832=""),"",IF($L1832="",IF(TODAY()&gt;$K1832,"Atrasado","En ruta"),IF($L1832&lt;=$K1832,"Sí","No")))</f>
        <v/>
      </c>
      <c r="O1832" s="24">
        <f>IF($A1832="","",COUNTIFS(NOVEDADES!$D$4:$D$1503,$A1832))</f>
        <v/>
      </c>
      <c r="P1832" s="28">
        <f>IF($A1832="","",IF(COUNTIFS(NOVEDADES!$D$4:$D$1503,$A1832,NOVEDADES!$O$4:$O$1503,"SÍ")&gt;0,"No","Sí"))</f>
        <v/>
      </c>
      <c r="Q1832" s="28">
        <f>IF(OR($A1832="",$L1832=""),"",IF(AND($N1832="Sí",$P1832="Sí"),"OTIF","Falló"))</f>
        <v/>
      </c>
    </row>
    <row r="1833" ht="16" customHeight="1">
      <c r="A1833" s="48" t="n"/>
      <c r="B1833" s="48" t="n"/>
      <c r="C1833" s="47" t="n"/>
      <c r="D1833" s="50" t="n"/>
      <c r="E1833" s="50" t="n"/>
      <c r="F1833" s="50" t="n"/>
      <c r="G1833" s="50" t="n"/>
      <c r="H1833" s="48" t="n"/>
      <c r="I1833" s="51" t="n"/>
      <c r="J1833" s="52" t="n"/>
      <c r="K1833" s="47" t="n"/>
      <c r="L1833" s="47" t="n"/>
      <c r="M1833" s="24">
        <f>IF(OR($A1833="",$C1833=""),"",IF($L1833&lt;&gt;"",$L1833-$C1833,TODAY()-$C1833))</f>
        <v/>
      </c>
      <c r="N1833" s="28">
        <f>IF(OR($A1833="",$K1833=""),"",IF($L1833="",IF(TODAY()&gt;$K1833,"Atrasado","En ruta"),IF($L1833&lt;=$K1833,"Sí","No")))</f>
        <v/>
      </c>
      <c r="O1833" s="24">
        <f>IF($A1833="","",COUNTIFS(NOVEDADES!$D$4:$D$1503,$A1833))</f>
        <v/>
      </c>
      <c r="P1833" s="28">
        <f>IF($A1833="","",IF(COUNTIFS(NOVEDADES!$D$4:$D$1503,$A1833,NOVEDADES!$O$4:$O$1503,"SÍ")&gt;0,"No","Sí"))</f>
        <v/>
      </c>
      <c r="Q1833" s="28">
        <f>IF(OR($A1833="",$L1833=""),"",IF(AND($N1833="Sí",$P1833="Sí"),"OTIF","Falló"))</f>
        <v/>
      </c>
    </row>
    <row r="1834" ht="16" customHeight="1">
      <c r="A1834" s="48" t="n"/>
      <c r="B1834" s="48" t="n"/>
      <c r="C1834" s="47" t="n"/>
      <c r="D1834" s="50" t="n"/>
      <c r="E1834" s="50" t="n"/>
      <c r="F1834" s="50" t="n"/>
      <c r="G1834" s="50" t="n"/>
      <c r="H1834" s="48" t="n"/>
      <c r="I1834" s="51" t="n"/>
      <c r="J1834" s="52" t="n"/>
      <c r="K1834" s="47" t="n"/>
      <c r="L1834" s="47" t="n"/>
      <c r="M1834" s="24">
        <f>IF(OR($A1834="",$C1834=""),"",IF($L1834&lt;&gt;"",$L1834-$C1834,TODAY()-$C1834))</f>
        <v/>
      </c>
      <c r="N1834" s="28">
        <f>IF(OR($A1834="",$K1834=""),"",IF($L1834="",IF(TODAY()&gt;$K1834,"Atrasado","En ruta"),IF($L1834&lt;=$K1834,"Sí","No")))</f>
        <v/>
      </c>
      <c r="O1834" s="24">
        <f>IF($A1834="","",COUNTIFS(NOVEDADES!$D$4:$D$1503,$A1834))</f>
        <v/>
      </c>
      <c r="P1834" s="28">
        <f>IF($A1834="","",IF(COUNTIFS(NOVEDADES!$D$4:$D$1503,$A1834,NOVEDADES!$O$4:$O$1503,"SÍ")&gt;0,"No","Sí"))</f>
        <v/>
      </c>
      <c r="Q1834" s="28">
        <f>IF(OR($A1834="",$L1834=""),"",IF(AND($N1834="Sí",$P1834="Sí"),"OTIF","Falló"))</f>
        <v/>
      </c>
    </row>
    <row r="1835" ht="16" customHeight="1">
      <c r="A1835" s="48" t="n"/>
      <c r="B1835" s="48" t="n"/>
      <c r="C1835" s="47" t="n"/>
      <c r="D1835" s="50" t="n"/>
      <c r="E1835" s="50" t="n"/>
      <c r="F1835" s="50" t="n"/>
      <c r="G1835" s="50" t="n"/>
      <c r="H1835" s="48" t="n"/>
      <c r="I1835" s="51" t="n"/>
      <c r="J1835" s="52" t="n"/>
      <c r="K1835" s="47" t="n"/>
      <c r="L1835" s="47" t="n"/>
      <c r="M1835" s="24">
        <f>IF(OR($A1835="",$C1835=""),"",IF($L1835&lt;&gt;"",$L1835-$C1835,TODAY()-$C1835))</f>
        <v/>
      </c>
      <c r="N1835" s="28">
        <f>IF(OR($A1835="",$K1835=""),"",IF($L1835="",IF(TODAY()&gt;$K1835,"Atrasado","En ruta"),IF($L1835&lt;=$K1835,"Sí","No")))</f>
        <v/>
      </c>
      <c r="O1835" s="24">
        <f>IF($A1835="","",COUNTIFS(NOVEDADES!$D$4:$D$1503,$A1835))</f>
        <v/>
      </c>
      <c r="P1835" s="28">
        <f>IF($A1835="","",IF(COUNTIFS(NOVEDADES!$D$4:$D$1503,$A1835,NOVEDADES!$O$4:$O$1503,"SÍ")&gt;0,"No","Sí"))</f>
        <v/>
      </c>
      <c r="Q1835" s="28">
        <f>IF(OR($A1835="",$L1835=""),"",IF(AND($N1835="Sí",$P1835="Sí"),"OTIF","Falló"))</f>
        <v/>
      </c>
    </row>
    <row r="1836" ht="16" customHeight="1">
      <c r="A1836" s="48" t="n"/>
      <c r="B1836" s="48" t="n"/>
      <c r="C1836" s="47" t="n"/>
      <c r="D1836" s="50" t="n"/>
      <c r="E1836" s="50" t="n"/>
      <c r="F1836" s="50" t="n"/>
      <c r="G1836" s="50" t="n"/>
      <c r="H1836" s="48" t="n"/>
      <c r="I1836" s="51" t="n"/>
      <c r="J1836" s="52" t="n"/>
      <c r="K1836" s="47" t="n"/>
      <c r="L1836" s="47" t="n"/>
      <c r="M1836" s="24">
        <f>IF(OR($A1836="",$C1836=""),"",IF($L1836&lt;&gt;"",$L1836-$C1836,TODAY()-$C1836))</f>
        <v/>
      </c>
      <c r="N1836" s="28">
        <f>IF(OR($A1836="",$K1836=""),"",IF($L1836="",IF(TODAY()&gt;$K1836,"Atrasado","En ruta"),IF($L1836&lt;=$K1836,"Sí","No")))</f>
        <v/>
      </c>
      <c r="O1836" s="24">
        <f>IF($A1836="","",COUNTIFS(NOVEDADES!$D$4:$D$1503,$A1836))</f>
        <v/>
      </c>
      <c r="P1836" s="28">
        <f>IF($A1836="","",IF(COUNTIFS(NOVEDADES!$D$4:$D$1503,$A1836,NOVEDADES!$O$4:$O$1503,"SÍ")&gt;0,"No","Sí"))</f>
        <v/>
      </c>
      <c r="Q1836" s="28">
        <f>IF(OR($A1836="",$L1836=""),"",IF(AND($N1836="Sí",$P1836="Sí"),"OTIF","Falló"))</f>
        <v/>
      </c>
    </row>
    <row r="1837" ht="16" customHeight="1">
      <c r="A1837" s="48" t="n"/>
      <c r="B1837" s="48" t="n"/>
      <c r="C1837" s="47" t="n"/>
      <c r="D1837" s="50" t="n"/>
      <c r="E1837" s="50" t="n"/>
      <c r="F1837" s="50" t="n"/>
      <c r="G1837" s="50" t="n"/>
      <c r="H1837" s="48" t="n"/>
      <c r="I1837" s="51" t="n"/>
      <c r="J1837" s="52" t="n"/>
      <c r="K1837" s="47" t="n"/>
      <c r="L1837" s="47" t="n"/>
      <c r="M1837" s="24">
        <f>IF(OR($A1837="",$C1837=""),"",IF($L1837&lt;&gt;"",$L1837-$C1837,TODAY()-$C1837))</f>
        <v/>
      </c>
      <c r="N1837" s="28">
        <f>IF(OR($A1837="",$K1837=""),"",IF($L1837="",IF(TODAY()&gt;$K1837,"Atrasado","En ruta"),IF($L1837&lt;=$K1837,"Sí","No")))</f>
        <v/>
      </c>
      <c r="O1837" s="24">
        <f>IF($A1837="","",COUNTIFS(NOVEDADES!$D$4:$D$1503,$A1837))</f>
        <v/>
      </c>
      <c r="P1837" s="28">
        <f>IF($A1837="","",IF(COUNTIFS(NOVEDADES!$D$4:$D$1503,$A1837,NOVEDADES!$O$4:$O$1503,"SÍ")&gt;0,"No","Sí"))</f>
        <v/>
      </c>
      <c r="Q1837" s="28">
        <f>IF(OR($A1837="",$L1837=""),"",IF(AND($N1837="Sí",$P1837="Sí"),"OTIF","Falló"))</f>
        <v/>
      </c>
    </row>
    <row r="1838" ht="16" customHeight="1">
      <c r="A1838" s="48" t="n"/>
      <c r="B1838" s="48" t="n"/>
      <c r="C1838" s="47" t="n"/>
      <c r="D1838" s="50" t="n"/>
      <c r="E1838" s="50" t="n"/>
      <c r="F1838" s="50" t="n"/>
      <c r="G1838" s="50" t="n"/>
      <c r="H1838" s="48" t="n"/>
      <c r="I1838" s="51" t="n"/>
      <c r="J1838" s="52" t="n"/>
      <c r="K1838" s="47" t="n"/>
      <c r="L1838" s="47" t="n"/>
      <c r="M1838" s="24">
        <f>IF(OR($A1838="",$C1838=""),"",IF($L1838&lt;&gt;"",$L1838-$C1838,TODAY()-$C1838))</f>
        <v/>
      </c>
      <c r="N1838" s="28">
        <f>IF(OR($A1838="",$K1838=""),"",IF($L1838="",IF(TODAY()&gt;$K1838,"Atrasado","En ruta"),IF($L1838&lt;=$K1838,"Sí","No")))</f>
        <v/>
      </c>
      <c r="O1838" s="24">
        <f>IF($A1838="","",COUNTIFS(NOVEDADES!$D$4:$D$1503,$A1838))</f>
        <v/>
      </c>
      <c r="P1838" s="28">
        <f>IF($A1838="","",IF(COUNTIFS(NOVEDADES!$D$4:$D$1503,$A1838,NOVEDADES!$O$4:$O$1503,"SÍ")&gt;0,"No","Sí"))</f>
        <v/>
      </c>
      <c r="Q1838" s="28">
        <f>IF(OR($A1838="",$L1838=""),"",IF(AND($N1838="Sí",$P1838="Sí"),"OTIF","Falló"))</f>
        <v/>
      </c>
    </row>
    <row r="1839" ht="16" customHeight="1">
      <c r="A1839" s="48" t="n"/>
      <c r="B1839" s="48" t="n"/>
      <c r="C1839" s="47" t="n"/>
      <c r="D1839" s="50" t="n"/>
      <c r="E1839" s="50" t="n"/>
      <c r="F1839" s="50" t="n"/>
      <c r="G1839" s="50" t="n"/>
      <c r="H1839" s="48" t="n"/>
      <c r="I1839" s="51" t="n"/>
      <c r="J1839" s="52" t="n"/>
      <c r="K1839" s="47" t="n"/>
      <c r="L1839" s="47" t="n"/>
      <c r="M1839" s="24">
        <f>IF(OR($A1839="",$C1839=""),"",IF($L1839&lt;&gt;"",$L1839-$C1839,TODAY()-$C1839))</f>
        <v/>
      </c>
      <c r="N1839" s="28">
        <f>IF(OR($A1839="",$K1839=""),"",IF($L1839="",IF(TODAY()&gt;$K1839,"Atrasado","En ruta"),IF($L1839&lt;=$K1839,"Sí","No")))</f>
        <v/>
      </c>
      <c r="O1839" s="24">
        <f>IF($A1839="","",COUNTIFS(NOVEDADES!$D$4:$D$1503,$A1839))</f>
        <v/>
      </c>
      <c r="P1839" s="28">
        <f>IF($A1839="","",IF(COUNTIFS(NOVEDADES!$D$4:$D$1503,$A1839,NOVEDADES!$O$4:$O$1503,"SÍ")&gt;0,"No","Sí"))</f>
        <v/>
      </c>
      <c r="Q1839" s="28">
        <f>IF(OR($A1839="",$L1839=""),"",IF(AND($N1839="Sí",$P1839="Sí"),"OTIF","Falló"))</f>
        <v/>
      </c>
    </row>
    <row r="1840" ht="16" customHeight="1">
      <c r="A1840" s="48" t="n"/>
      <c r="B1840" s="48" t="n"/>
      <c r="C1840" s="47" t="n"/>
      <c r="D1840" s="50" t="n"/>
      <c r="E1840" s="50" t="n"/>
      <c r="F1840" s="50" t="n"/>
      <c r="G1840" s="50" t="n"/>
      <c r="H1840" s="48" t="n"/>
      <c r="I1840" s="51" t="n"/>
      <c r="J1840" s="52" t="n"/>
      <c r="K1840" s="47" t="n"/>
      <c r="L1840" s="47" t="n"/>
      <c r="M1840" s="24">
        <f>IF(OR($A1840="",$C1840=""),"",IF($L1840&lt;&gt;"",$L1840-$C1840,TODAY()-$C1840))</f>
        <v/>
      </c>
      <c r="N1840" s="28">
        <f>IF(OR($A1840="",$K1840=""),"",IF($L1840="",IF(TODAY()&gt;$K1840,"Atrasado","En ruta"),IF($L1840&lt;=$K1840,"Sí","No")))</f>
        <v/>
      </c>
      <c r="O1840" s="24">
        <f>IF($A1840="","",COUNTIFS(NOVEDADES!$D$4:$D$1503,$A1840))</f>
        <v/>
      </c>
      <c r="P1840" s="28">
        <f>IF($A1840="","",IF(COUNTIFS(NOVEDADES!$D$4:$D$1503,$A1840,NOVEDADES!$O$4:$O$1503,"SÍ")&gt;0,"No","Sí"))</f>
        <v/>
      </c>
      <c r="Q1840" s="28">
        <f>IF(OR($A1840="",$L1840=""),"",IF(AND($N1840="Sí",$P1840="Sí"),"OTIF","Falló"))</f>
        <v/>
      </c>
    </row>
    <row r="1841" ht="16" customHeight="1">
      <c r="A1841" s="48" t="n"/>
      <c r="B1841" s="48" t="n"/>
      <c r="C1841" s="47" t="n"/>
      <c r="D1841" s="50" t="n"/>
      <c r="E1841" s="50" t="n"/>
      <c r="F1841" s="50" t="n"/>
      <c r="G1841" s="50" t="n"/>
      <c r="H1841" s="48" t="n"/>
      <c r="I1841" s="51" t="n"/>
      <c r="J1841" s="52" t="n"/>
      <c r="K1841" s="47" t="n"/>
      <c r="L1841" s="47" t="n"/>
      <c r="M1841" s="24">
        <f>IF(OR($A1841="",$C1841=""),"",IF($L1841&lt;&gt;"",$L1841-$C1841,TODAY()-$C1841))</f>
        <v/>
      </c>
      <c r="N1841" s="28">
        <f>IF(OR($A1841="",$K1841=""),"",IF($L1841="",IF(TODAY()&gt;$K1841,"Atrasado","En ruta"),IF($L1841&lt;=$K1841,"Sí","No")))</f>
        <v/>
      </c>
      <c r="O1841" s="24">
        <f>IF($A1841="","",COUNTIFS(NOVEDADES!$D$4:$D$1503,$A1841))</f>
        <v/>
      </c>
      <c r="P1841" s="28">
        <f>IF($A1841="","",IF(COUNTIFS(NOVEDADES!$D$4:$D$1503,$A1841,NOVEDADES!$O$4:$O$1503,"SÍ")&gt;0,"No","Sí"))</f>
        <v/>
      </c>
      <c r="Q1841" s="28">
        <f>IF(OR($A1841="",$L1841=""),"",IF(AND($N1841="Sí",$P1841="Sí"),"OTIF","Falló"))</f>
        <v/>
      </c>
    </row>
    <row r="1842" ht="16" customHeight="1">
      <c r="A1842" s="48" t="n"/>
      <c r="B1842" s="48" t="n"/>
      <c r="C1842" s="47" t="n"/>
      <c r="D1842" s="50" t="n"/>
      <c r="E1842" s="50" t="n"/>
      <c r="F1842" s="50" t="n"/>
      <c r="G1842" s="50" t="n"/>
      <c r="H1842" s="48" t="n"/>
      <c r="I1842" s="51" t="n"/>
      <c r="J1842" s="52" t="n"/>
      <c r="K1842" s="47" t="n"/>
      <c r="L1842" s="47" t="n"/>
      <c r="M1842" s="24">
        <f>IF(OR($A1842="",$C1842=""),"",IF($L1842&lt;&gt;"",$L1842-$C1842,TODAY()-$C1842))</f>
        <v/>
      </c>
      <c r="N1842" s="28">
        <f>IF(OR($A1842="",$K1842=""),"",IF($L1842="",IF(TODAY()&gt;$K1842,"Atrasado","En ruta"),IF($L1842&lt;=$K1842,"Sí","No")))</f>
        <v/>
      </c>
      <c r="O1842" s="24">
        <f>IF($A1842="","",COUNTIFS(NOVEDADES!$D$4:$D$1503,$A1842))</f>
        <v/>
      </c>
      <c r="P1842" s="28">
        <f>IF($A1842="","",IF(COUNTIFS(NOVEDADES!$D$4:$D$1503,$A1842,NOVEDADES!$O$4:$O$1503,"SÍ")&gt;0,"No","Sí"))</f>
        <v/>
      </c>
      <c r="Q1842" s="28">
        <f>IF(OR($A1842="",$L1842=""),"",IF(AND($N1842="Sí",$P1842="Sí"),"OTIF","Falló"))</f>
        <v/>
      </c>
    </row>
    <row r="1843" ht="16" customHeight="1">
      <c r="A1843" s="48" t="n"/>
      <c r="B1843" s="48" t="n"/>
      <c r="C1843" s="47" t="n"/>
      <c r="D1843" s="50" t="n"/>
      <c r="E1843" s="50" t="n"/>
      <c r="F1843" s="50" t="n"/>
      <c r="G1843" s="50" t="n"/>
      <c r="H1843" s="48" t="n"/>
      <c r="I1843" s="51" t="n"/>
      <c r="J1843" s="52" t="n"/>
      <c r="K1843" s="47" t="n"/>
      <c r="L1843" s="47" t="n"/>
      <c r="M1843" s="24">
        <f>IF(OR($A1843="",$C1843=""),"",IF($L1843&lt;&gt;"",$L1843-$C1843,TODAY()-$C1843))</f>
        <v/>
      </c>
      <c r="N1843" s="28">
        <f>IF(OR($A1843="",$K1843=""),"",IF($L1843="",IF(TODAY()&gt;$K1843,"Atrasado","En ruta"),IF($L1843&lt;=$K1843,"Sí","No")))</f>
        <v/>
      </c>
      <c r="O1843" s="24">
        <f>IF($A1843="","",COUNTIFS(NOVEDADES!$D$4:$D$1503,$A1843))</f>
        <v/>
      </c>
      <c r="P1843" s="28">
        <f>IF($A1843="","",IF(COUNTIFS(NOVEDADES!$D$4:$D$1503,$A1843,NOVEDADES!$O$4:$O$1503,"SÍ")&gt;0,"No","Sí"))</f>
        <v/>
      </c>
      <c r="Q1843" s="28">
        <f>IF(OR($A1843="",$L1843=""),"",IF(AND($N1843="Sí",$P1843="Sí"),"OTIF","Falló"))</f>
        <v/>
      </c>
    </row>
    <row r="1844" ht="16" customHeight="1">
      <c r="A1844" s="48" t="n"/>
      <c r="B1844" s="48" t="n"/>
      <c r="C1844" s="47" t="n"/>
      <c r="D1844" s="50" t="n"/>
      <c r="E1844" s="50" t="n"/>
      <c r="F1844" s="50" t="n"/>
      <c r="G1844" s="50" t="n"/>
      <c r="H1844" s="48" t="n"/>
      <c r="I1844" s="51" t="n"/>
      <c r="J1844" s="52" t="n"/>
      <c r="K1844" s="47" t="n"/>
      <c r="L1844" s="47" t="n"/>
      <c r="M1844" s="24">
        <f>IF(OR($A1844="",$C1844=""),"",IF($L1844&lt;&gt;"",$L1844-$C1844,TODAY()-$C1844))</f>
        <v/>
      </c>
      <c r="N1844" s="28">
        <f>IF(OR($A1844="",$K1844=""),"",IF($L1844="",IF(TODAY()&gt;$K1844,"Atrasado","En ruta"),IF($L1844&lt;=$K1844,"Sí","No")))</f>
        <v/>
      </c>
      <c r="O1844" s="24">
        <f>IF($A1844="","",COUNTIFS(NOVEDADES!$D$4:$D$1503,$A1844))</f>
        <v/>
      </c>
      <c r="P1844" s="28">
        <f>IF($A1844="","",IF(COUNTIFS(NOVEDADES!$D$4:$D$1503,$A1844,NOVEDADES!$O$4:$O$1503,"SÍ")&gt;0,"No","Sí"))</f>
        <v/>
      </c>
      <c r="Q1844" s="28">
        <f>IF(OR($A1844="",$L1844=""),"",IF(AND($N1844="Sí",$P1844="Sí"),"OTIF","Falló"))</f>
        <v/>
      </c>
    </row>
    <row r="1845" ht="16" customHeight="1">
      <c r="A1845" s="48" t="n"/>
      <c r="B1845" s="48" t="n"/>
      <c r="C1845" s="47" t="n"/>
      <c r="D1845" s="50" t="n"/>
      <c r="E1845" s="50" t="n"/>
      <c r="F1845" s="50" t="n"/>
      <c r="G1845" s="50" t="n"/>
      <c r="H1845" s="48" t="n"/>
      <c r="I1845" s="51" t="n"/>
      <c r="J1845" s="52" t="n"/>
      <c r="K1845" s="47" t="n"/>
      <c r="L1845" s="47" t="n"/>
      <c r="M1845" s="24">
        <f>IF(OR($A1845="",$C1845=""),"",IF($L1845&lt;&gt;"",$L1845-$C1845,TODAY()-$C1845))</f>
        <v/>
      </c>
      <c r="N1845" s="28">
        <f>IF(OR($A1845="",$K1845=""),"",IF($L1845="",IF(TODAY()&gt;$K1845,"Atrasado","En ruta"),IF($L1845&lt;=$K1845,"Sí","No")))</f>
        <v/>
      </c>
      <c r="O1845" s="24">
        <f>IF($A1845="","",COUNTIFS(NOVEDADES!$D$4:$D$1503,$A1845))</f>
        <v/>
      </c>
      <c r="P1845" s="28">
        <f>IF($A1845="","",IF(COUNTIFS(NOVEDADES!$D$4:$D$1503,$A1845,NOVEDADES!$O$4:$O$1503,"SÍ")&gt;0,"No","Sí"))</f>
        <v/>
      </c>
      <c r="Q1845" s="28">
        <f>IF(OR($A1845="",$L1845=""),"",IF(AND($N1845="Sí",$P1845="Sí"),"OTIF","Falló"))</f>
        <v/>
      </c>
    </row>
    <row r="1846" ht="16" customHeight="1">
      <c r="A1846" s="48" t="n"/>
      <c r="B1846" s="48" t="n"/>
      <c r="C1846" s="47" t="n"/>
      <c r="D1846" s="50" t="n"/>
      <c r="E1846" s="50" t="n"/>
      <c r="F1846" s="50" t="n"/>
      <c r="G1846" s="50" t="n"/>
      <c r="H1846" s="48" t="n"/>
      <c r="I1846" s="51" t="n"/>
      <c r="J1846" s="52" t="n"/>
      <c r="K1846" s="47" t="n"/>
      <c r="L1846" s="47" t="n"/>
      <c r="M1846" s="24">
        <f>IF(OR($A1846="",$C1846=""),"",IF($L1846&lt;&gt;"",$L1846-$C1846,TODAY()-$C1846))</f>
        <v/>
      </c>
      <c r="N1846" s="28">
        <f>IF(OR($A1846="",$K1846=""),"",IF($L1846="",IF(TODAY()&gt;$K1846,"Atrasado","En ruta"),IF($L1846&lt;=$K1846,"Sí","No")))</f>
        <v/>
      </c>
      <c r="O1846" s="24">
        <f>IF($A1846="","",COUNTIFS(NOVEDADES!$D$4:$D$1503,$A1846))</f>
        <v/>
      </c>
      <c r="P1846" s="28">
        <f>IF($A1846="","",IF(COUNTIFS(NOVEDADES!$D$4:$D$1503,$A1846,NOVEDADES!$O$4:$O$1503,"SÍ")&gt;0,"No","Sí"))</f>
        <v/>
      </c>
      <c r="Q1846" s="28">
        <f>IF(OR($A1846="",$L1846=""),"",IF(AND($N1846="Sí",$P1846="Sí"),"OTIF","Falló"))</f>
        <v/>
      </c>
    </row>
    <row r="1847" ht="16" customHeight="1">
      <c r="A1847" s="48" t="n"/>
      <c r="B1847" s="48" t="n"/>
      <c r="C1847" s="47" t="n"/>
      <c r="D1847" s="50" t="n"/>
      <c r="E1847" s="50" t="n"/>
      <c r="F1847" s="50" t="n"/>
      <c r="G1847" s="50" t="n"/>
      <c r="H1847" s="48" t="n"/>
      <c r="I1847" s="51" t="n"/>
      <c r="J1847" s="52" t="n"/>
      <c r="K1847" s="47" t="n"/>
      <c r="L1847" s="47" t="n"/>
      <c r="M1847" s="24">
        <f>IF(OR($A1847="",$C1847=""),"",IF($L1847&lt;&gt;"",$L1847-$C1847,TODAY()-$C1847))</f>
        <v/>
      </c>
      <c r="N1847" s="28">
        <f>IF(OR($A1847="",$K1847=""),"",IF($L1847="",IF(TODAY()&gt;$K1847,"Atrasado","En ruta"),IF($L1847&lt;=$K1847,"Sí","No")))</f>
        <v/>
      </c>
      <c r="O1847" s="24">
        <f>IF($A1847="","",COUNTIFS(NOVEDADES!$D$4:$D$1503,$A1847))</f>
        <v/>
      </c>
      <c r="P1847" s="28">
        <f>IF($A1847="","",IF(COUNTIFS(NOVEDADES!$D$4:$D$1503,$A1847,NOVEDADES!$O$4:$O$1503,"SÍ")&gt;0,"No","Sí"))</f>
        <v/>
      </c>
      <c r="Q1847" s="28">
        <f>IF(OR($A1847="",$L1847=""),"",IF(AND($N1847="Sí",$P1847="Sí"),"OTIF","Falló"))</f>
        <v/>
      </c>
    </row>
    <row r="1848" ht="16" customHeight="1">
      <c r="A1848" s="48" t="n"/>
      <c r="B1848" s="48" t="n"/>
      <c r="C1848" s="47" t="n"/>
      <c r="D1848" s="50" t="n"/>
      <c r="E1848" s="50" t="n"/>
      <c r="F1848" s="50" t="n"/>
      <c r="G1848" s="50" t="n"/>
      <c r="H1848" s="48" t="n"/>
      <c r="I1848" s="51" t="n"/>
      <c r="J1848" s="52" t="n"/>
      <c r="K1848" s="47" t="n"/>
      <c r="L1848" s="47" t="n"/>
      <c r="M1848" s="24">
        <f>IF(OR($A1848="",$C1848=""),"",IF($L1848&lt;&gt;"",$L1848-$C1848,TODAY()-$C1848))</f>
        <v/>
      </c>
      <c r="N1848" s="28">
        <f>IF(OR($A1848="",$K1848=""),"",IF($L1848="",IF(TODAY()&gt;$K1848,"Atrasado","En ruta"),IF($L1848&lt;=$K1848,"Sí","No")))</f>
        <v/>
      </c>
      <c r="O1848" s="24">
        <f>IF($A1848="","",COUNTIFS(NOVEDADES!$D$4:$D$1503,$A1848))</f>
        <v/>
      </c>
      <c r="P1848" s="28">
        <f>IF($A1848="","",IF(COUNTIFS(NOVEDADES!$D$4:$D$1503,$A1848,NOVEDADES!$O$4:$O$1503,"SÍ")&gt;0,"No","Sí"))</f>
        <v/>
      </c>
      <c r="Q1848" s="28">
        <f>IF(OR($A1848="",$L1848=""),"",IF(AND($N1848="Sí",$P1848="Sí"),"OTIF","Falló"))</f>
        <v/>
      </c>
    </row>
    <row r="1849" ht="16" customHeight="1">
      <c r="A1849" s="48" t="n"/>
      <c r="B1849" s="48" t="n"/>
      <c r="C1849" s="47" t="n"/>
      <c r="D1849" s="50" t="n"/>
      <c r="E1849" s="50" t="n"/>
      <c r="F1849" s="50" t="n"/>
      <c r="G1849" s="50" t="n"/>
      <c r="H1849" s="48" t="n"/>
      <c r="I1849" s="51" t="n"/>
      <c r="J1849" s="52" t="n"/>
      <c r="K1849" s="47" t="n"/>
      <c r="L1849" s="47" t="n"/>
      <c r="M1849" s="24">
        <f>IF(OR($A1849="",$C1849=""),"",IF($L1849&lt;&gt;"",$L1849-$C1849,TODAY()-$C1849))</f>
        <v/>
      </c>
      <c r="N1849" s="28">
        <f>IF(OR($A1849="",$K1849=""),"",IF($L1849="",IF(TODAY()&gt;$K1849,"Atrasado","En ruta"),IF($L1849&lt;=$K1849,"Sí","No")))</f>
        <v/>
      </c>
      <c r="O1849" s="24">
        <f>IF($A1849="","",COUNTIFS(NOVEDADES!$D$4:$D$1503,$A1849))</f>
        <v/>
      </c>
      <c r="P1849" s="28">
        <f>IF($A1849="","",IF(COUNTIFS(NOVEDADES!$D$4:$D$1503,$A1849,NOVEDADES!$O$4:$O$1503,"SÍ")&gt;0,"No","Sí"))</f>
        <v/>
      </c>
      <c r="Q1849" s="28">
        <f>IF(OR($A1849="",$L1849=""),"",IF(AND($N1849="Sí",$P1849="Sí"),"OTIF","Falló"))</f>
        <v/>
      </c>
    </row>
    <row r="1850" ht="16" customHeight="1">
      <c r="A1850" s="48" t="n"/>
      <c r="B1850" s="48" t="n"/>
      <c r="C1850" s="47" t="n"/>
      <c r="D1850" s="50" t="n"/>
      <c r="E1850" s="50" t="n"/>
      <c r="F1850" s="50" t="n"/>
      <c r="G1850" s="50" t="n"/>
      <c r="H1850" s="48" t="n"/>
      <c r="I1850" s="51" t="n"/>
      <c r="J1850" s="52" t="n"/>
      <c r="K1850" s="47" t="n"/>
      <c r="L1850" s="47" t="n"/>
      <c r="M1850" s="24">
        <f>IF(OR($A1850="",$C1850=""),"",IF($L1850&lt;&gt;"",$L1850-$C1850,TODAY()-$C1850))</f>
        <v/>
      </c>
      <c r="N1850" s="28">
        <f>IF(OR($A1850="",$K1850=""),"",IF($L1850="",IF(TODAY()&gt;$K1850,"Atrasado","En ruta"),IF($L1850&lt;=$K1850,"Sí","No")))</f>
        <v/>
      </c>
      <c r="O1850" s="24">
        <f>IF($A1850="","",COUNTIFS(NOVEDADES!$D$4:$D$1503,$A1850))</f>
        <v/>
      </c>
      <c r="P1850" s="28">
        <f>IF($A1850="","",IF(COUNTIFS(NOVEDADES!$D$4:$D$1503,$A1850,NOVEDADES!$O$4:$O$1503,"SÍ")&gt;0,"No","Sí"))</f>
        <v/>
      </c>
      <c r="Q1850" s="28">
        <f>IF(OR($A1850="",$L1850=""),"",IF(AND($N1850="Sí",$P1850="Sí"),"OTIF","Falló"))</f>
        <v/>
      </c>
    </row>
    <row r="1851" ht="16" customHeight="1">
      <c r="A1851" s="48" t="n"/>
      <c r="B1851" s="48" t="n"/>
      <c r="C1851" s="47" t="n"/>
      <c r="D1851" s="50" t="n"/>
      <c r="E1851" s="50" t="n"/>
      <c r="F1851" s="50" t="n"/>
      <c r="G1851" s="50" t="n"/>
      <c r="H1851" s="48" t="n"/>
      <c r="I1851" s="51" t="n"/>
      <c r="J1851" s="52" t="n"/>
      <c r="K1851" s="47" t="n"/>
      <c r="L1851" s="47" t="n"/>
      <c r="M1851" s="24">
        <f>IF(OR($A1851="",$C1851=""),"",IF($L1851&lt;&gt;"",$L1851-$C1851,TODAY()-$C1851))</f>
        <v/>
      </c>
      <c r="N1851" s="28">
        <f>IF(OR($A1851="",$K1851=""),"",IF($L1851="",IF(TODAY()&gt;$K1851,"Atrasado","En ruta"),IF($L1851&lt;=$K1851,"Sí","No")))</f>
        <v/>
      </c>
      <c r="O1851" s="24">
        <f>IF($A1851="","",COUNTIFS(NOVEDADES!$D$4:$D$1503,$A1851))</f>
        <v/>
      </c>
      <c r="P1851" s="28">
        <f>IF($A1851="","",IF(COUNTIFS(NOVEDADES!$D$4:$D$1503,$A1851,NOVEDADES!$O$4:$O$1503,"SÍ")&gt;0,"No","Sí"))</f>
        <v/>
      </c>
      <c r="Q1851" s="28">
        <f>IF(OR($A1851="",$L1851=""),"",IF(AND($N1851="Sí",$P1851="Sí"),"OTIF","Falló"))</f>
        <v/>
      </c>
    </row>
    <row r="1852" ht="16" customHeight="1">
      <c r="A1852" s="48" t="n"/>
      <c r="B1852" s="48" t="n"/>
      <c r="C1852" s="47" t="n"/>
      <c r="D1852" s="50" t="n"/>
      <c r="E1852" s="50" t="n"/>
      <c r="F1852" s="50" t="n"/>
      <c r="G1852" s="50" t="n"/>
      <c r="H1852" s="48" t="n"/>
      <c r="I1852" s="51" t="n"/>
      <c r="J1852" s="52" t="n"/>
      <c r="K1852" s="47" t="n"/>
      <c r="L1852" s="47" t="n"/>
      <c r="M1852" s="24">
        <f>IF(OR($A1852="",$C1852=""),"",IF($L1852&lt;&gt;"",$L1852-$C1852,TODAY()-$C1852))</f>
        <v/>
      </c>
      <c r="N1852" s="28">
        <f>IF(OR($A1852="",$K1852=""),"",IF($L1852="",IF(TODAY()&gt;$K1852,"Atrasado","En ruta"),IF($L1852&lt;=$K1852,"Sí","No")))</f>
        <v/>
      </c>
      <c r="O1852" s="24">
        <f>IF($A1852="","",COUNTIFS(NOVEDADES!$D$4:$D$1503,$A1852))</f>
        <v/>
      </c>
      <c r="P1852" s="28">
        <f>IF($A1852="","",IF(COUNTIFS(NOVEDADES!$D$4:$D$1503,$A1852,NOVEDADES!$O$4:$O$1503,"SÍ")&gt;0,"No","Sí"))</f>
        <v/>
      </c>
      <c r="Q1852" s="28">
        <f>IF(OR($A1852="",$L1852=""),"",IF(AND($N1852="Sí",$P1852="Sí"),"OTIF","Falló"))</f>
        <v/>
      </c>
    </row>
    <row r="1853" ht="16" customHeight="1">
      <c r="A1853" s="48" t="n"/>
      <c r="B1853" s="48" t="n"/>
      <c r="C1853" s="47" t="n"/>
      <c r="D1853" s="50" t="n"/>
      <c r="E1853" s="50" t="n"/>
      <c r="F1853" s="50" t="n"/>
      <c r="G1853" s="50" t="n"/>
      <c r="H1853" s="48" t="n"/>
      <c r="I1853" s="51" t="n"/>
      <c r="J1853" s="52" t="n"/>
      <c r="K1853" s="47" t="n"/>
      <c r="L1853" s="47" t="n"/>
      <c r="M1853" s="24">
        <f>IF(OR($A1853="",$C1853=""),"",IF($L1853&lt;&gt;"",$L1853-$C1853,TODAY()-$C1853))</f>
        <v/>
      </c>
      <c r="N1853" s="28">
        <f>IF(OR($A1853="",$K1853=""),"",IF($L1853="",IF(TODAY()&gt;$K1853,"Atrasado","En ruta"),IF($L1853&lt;=$K1853,"Sí","No")))</f>
        <v/>
      </c>
      <c r="O1853" s="24">
        <f>IF($A1853="","",COUNTIFS(NOVEDADES!$D$4:$D$1503,$A1853))</f>
        <v/>
      </c>
      <c r="P1853" s="28">
        <f>IF($A1853="","",IF(COUNTIFS(NOVEDADES!$D$4:$D$1503,$A1853,NOVEDADES!$O$4:$O$1503,"SÍ")&gt;0,"No","Sí"))</f>
        <v/>
      </c>
      <c r="Q1853" s="28">
        <f>IF(OR($A1853="",$L1853=""),"",IF(AND($N1853="Sí",$P1853="Sí"),"OTIF","Falló"))</f>
        <v/>
      </c>
    </row>
    <row r="1854" ht="16" customHeight="1">
      <c r="A1854" s="48" t="n"/>
      <c r="B1854" s="48" t="n"/>
      <c r="C1854" s="47" t="n"/>
      <c r="D1854" s="50" t="n"/>
      <c r="E1854" s="50" t="n"/>
      <c r="F1854" s="50" t="n"/>
      <c r="G1854" s="50" t="n"/>
      <c r="H1854" s="48" t="n"/>
      <c r="I1854" s="51" t="n"/>
      <c r="J1854" s="52" t="n"/>
      <c r="K1854" s="47" t="n"/>
      <c r="L1854" s="47" t="n"/>
      <c r="M1854" s="24">
        <f>IF(OR($A1854="",$C1854=""),"",IF($L1854&lt;&gt;"",$L1854-$C1854,TODAY()-$C1854))</f>
        <v/>
      </c>
      <c r="N1854" s="28">
        <f>IF(OR($A1854="",$K1854=""),"",IF($L1854="",IF(TODAY()&gt;$K1854,"Atrasado","En ruta"),IF($L1854&lt;=$K1854,"Sí","No")))</f>
        <v/>
      </c>
      <c r="O1854" s="24">
        <f>IF($A1854="","",COUNTIFS(NOVEDADES!$D$4:$D$1503,$A1854))</f>
        <v/>
      </c>
      <c r="P1854" s="28">
        <f>IF($A1854="","",IF(COUNTIFS(NOVEDADES!$D$4:$D$1503,$A1854,NOVEDADES!$O$4:$O$1503,"SÍ")&gt;0,"No","Sí"))</f>
        <v/>
      </c>
      <c r="Q1854" s="28">
        <f>IF(OR($A1854="",$L1854=""),"",IF(AND($N1854="Sí",$P1854="Sí"),"OTIF","Falló"))</f>
        <v/>
      </c>
    </row>
    <row r="1855" ht="16" customHeight="1">
      <c r="A1855" s="48" t="n"/>
      <c r="B1855" s="48" t="n"/>
      <c r="C1855" s="47" t="n"/>
      <c r="D1855" s="50" t="n"/>
      <c r="E1855" s="50" t="n"/>
      <c r="F1855" s="50" t="n"/>
      <c r="G1855" s="50" t="n"/>
      <c r="H1855" s="48" t="n"/>
      <c r="I1855" s="51" t="n"/>
      <c r="J1855" s="52" t="n"/>
      <c r="K1855" s="47" t="n"/>
      <c r="L1855" s="47" t="n"/>
      <c r="M1855" s="24">
        <f>IF(OR($A1855="",$C1855=""),"",IF($L1855&lt;&gt;"",$L1855-$C1855,TODAY()-$C1855))</f>
        <v/>
      </c>
      <c r="N1855" s="28">
        <f>IF(OR($A1855="",$K1855=""),"",IF($L1855="",IF(TODAY()&gt;$K1855,"Atrasado","En ruta"),IF($L1855&lt;=$K1855,"Sí","No")))</f>
        <v/>
      </c>
      <c r="O1855" s="24">
        <f>IF($A1855="","",COUNTIFS(NOVEDADES!$D$4:$D$1503,$A1855))</f>
        <v/>
      </c>
      <c r="P1855" s="28">
        <f>IF($A1855="","",IF(COUNTIFS(NOVEDADES!$D$4:$D$1503,$A1855,NOVEDADES!$O$4:$O$1503,"SÍ")&gt;0,"No","Sí"))</f>
        <v/>
      </c>
      <c r="Q1855" s="28">
        <f>IF(OR($A1855="",$L1855=""),"",IF(AND($N1855="Sí",$P1855="Sí"),"OTIF","Falló"))</f>
        <v/>
      </c>
    </row>
    <row r="1856" ht="16" customHeight="1">
      <c r="A1856" s="48" t="n"/>
      <c r="B1856" s="48" t="n"/>
      <c r="C1856" s="47" t="n"/>
      <c r="D1856" s="50" t="n"/>
      <c r="E1856" s="50" t="n"/>
      <c r="F1856" s="50" t="n"/>
      <c r="G1856" s="50" t="n"/>
      <c r="H1856" s="48" t="n"/>
      <c r="I1856" s="51" t="n"/>
      <c r="J1856" s="52" t="n"/>
      <c r="K1856" s="47" t="n"/>
      <c r="L1856" s="47" t="n"/>
      <c r="M1856" s="24">
        <f>IF(OR($A1856="",$C1856=""),"",IF($L1856&lt;&gt;"",$L1856-$C1856,TODAY()-$C1856))</f>
        <v/>
      </c>
      <c r="N1856" s="28">
        <f>IF(OR($A1856="",$K1856=""),"",IF($L1856="",IF(TODAY()&gt;$K1856,"Atrasado","En ruta"),IF($L1856&lt;=$K1856,"Sí","No")))</f>
        <v/>
      </c>
      <c r="O1856" s="24">
        <f>IF($A1856="","",COUNTIFS(NOVEDADES!$D$4:$D$1503,$A1856))</f>
        <v/>
      </c>
      <c r="P1856" s="28">
        <f>IF($A1856="","",IF(COUNTIFS(NOVEDADES!$D$4:$D$1503,$A1856,NOVEDADES!$O$4:$O$1503,"SÍ")&gt;0,"No","Sí"))</f>
        <v/>
      </c>
      <c r="Q1856" s="28">
        <f>IF(OR($A1856="",$L1856=""),"",IF(AND($N1856="Sí",$P1856="Sí"),"OTIF","Falló"))</f>
        <v/>
      </c>
    </row>
    <row r="1857" ht="16" customHeight="1">
      <c r="A1857" s="48" t="n"/>
      <c r="B1857" s="48" t="n"/>
      <c r="C1857" s="47" t="n"/>
      <c r="D1857" s="50" t="n"/>
      <c r="E1857" s="50" t="n"/>
      <c r="F1857" s="50" t="n"/>
      <c r="G1857" s="50" t="n"/>
      <c r="H1857" s="48" t="n"/>
      <c r="I1857" s="51" t="n"/>
      <c r="J1857" s="52" t="n"/>
      <c r="K1857" s="47" t="n"/>
      <c r="L1857" s="47" t="n"/>
      <c r="M1857" s="24">
        <f>IF(OR($A1857="",$C1857=""),"",IF($L1857&lt;&gt;"",$L1857-$C1857,TODAY()-$C1857))</f>
        <v/>
      </c>
      <c r="N1857" s="28">
        <f>IF(OR($A1857="",$K1857=""),"",IF($L1857="",IF(TODAY()&gt;$K1857,"Atrasado","En ruta"),IF($L1857&lt;=$K1857,"Sí","No")))</f>
        <v/>
      </c>
      <c r="O1857" s="24">
        <f>IF($A1857="","",COUNTIFS(NOVEDADES!$D$4:$D$1503,$A1857))</f>
        <v/>
      </c>
      <c r="P1857" s="28">
        <f>IF($A1857="","",IF(COUNTIFS(NOVEDADES!$D$4:$D$1503,$A1857,NOVEDADES!$O$4:$O$1503,"SÍ")&gt;0,"No","Sí"))</f>
        <v/>
      </c>
      <c r="Q1857" s="28">
        <f>IF(OR($A1857="",$L1857=""),"",IF(AND($N1857="Sí",$P1857="Sí"),"OTIF","Falló"))</f>
        <v/>
      </c>
    </row>
    <row r="1858" ht="16" customHeight="1">
      <c r="A1858" s="48" t="n"/>
      <c r="B1858" s="48" t="n"/>
      <c r="C1858" s="47" t="n"/>
      <c r="D1858" s="50" t="n"/>
      <c r="E1858" s="50" t="n"/>
      <c r="F1858" s="50" t="n"/>
      <c r="G1858" s="50" t="n"/>
      <c r="H1858" s="48" t="n"/>
      <c r="I1858" s="51" t="n"/>
      <c r="J1858" s="52" t="n"/>
      <c r="K1858" s="47" t="n"/>
      <c r="L1858" s="47" t="n"/>
      <c r="M1858" s="24">
        <f>IF(OR($A1858="",$C1858=""),"",IF($L1858&lt;&gt;"",$L1858-$C1858,TODAY()-$C1858))</f>
        <v/>
      </c>
      <c r="N1858" s="28">
        <f>IF(OR($A1858="",$K1858=""),"",IF($L1858="",IF(TODAY()&gt;$K1858,"Atrasado","En ruta"),IF($L1858&lt;=$K1858,"Sí","No")))</f>
        <v/>
      </c>
      <c r="O1858" s="24">
        <f>IF($A1858="","",COUNTIFS(NOVEDADES!$D$4:$D$1503,$A1858))</f>
        <v/>
      </c>
      <c r="P1858" s="28">
        <f>IF($A1858="","",IF(COUNTIFS(NOVEDADES!$D$4:$D$1503,$A1858,NOVEDADES!$O$4:$O$1503,"SÍ")&gt;0,"No","Sí"))</f>
        <v/>
      </c>
      <c r="Q1858" s="28">
        <f>IF(OR($A1858="",$L1858=""),"",IF(AND($N1858="Sí",$P1858="Sí"),"OTIF","Falló"))</f>
        <v/>
      </c>
    </row>
    <row r="1859" ht="16" customHeight="1">
      <c r="A1859" s="48" t="n"/>
      <c r="B1859" s="48" t="n"/>
      <c r="C1859" s="47" t="n"/>
      <c r="D1859" s="50" t="n"/>
      <c r="E1859" s="50" t="n"/>
      <c r="F1859" s="50" t="n"/>
      <c r="G1859" s="50" t="n"/>
      <c r="H1859" s="48" t="n"/>
      <c r="I1859" s="51" t="n"/>
      <c r="J1859" s="52" t="n"/>
      <c r="K1859" s="47" t="n"/>
      <c r="L1859" s="47" t="n"/>
      <c r="M1859" s="24">
        <f>IF(OR($A1859="",$C1859=""),"",IF($L1859&lt;&gt;"",$L1859-$C1859,TODAY()-$C1859))</f>
        <v/>
      </c>
      <c r="N1859" s="28">
        <f>IF(OR($A1859="",$K1859=""),"",IF($L1859="",IF(TODAY()&gt;$K1859,"Atrasado","En ruta"),IF($L1859&lt;=$K1859,"Sí","No")))</f>
        <v/>
      </c>
      <c r="O1859" s="24">
        <f>IF($A1859="","",COUNTIFS(NOVEDADES!$D$4:$D$1503,$A1859))</f>
        <v/>
      </c>
      <c r="P1859" s="28">
        <f>IF($A1859="","",IF(COUNTIFS(NOVEDADES!$D$4:$D$1503,$A1859,NOVEDADES!$O$4:$O$1503,"SÍ")&gt;0,"No","Sí"))</f>
        <v/>
      </c>
      <c r="Q1859" s="28">
        <f>IF(OR($A1859="",$L1859=""),"",IF(AND($N1859="Sí",$P1859="Sí"),"OTIF","Falló"))</f>
        <v/>
      </c>
    </row>
    <row r="1860" ht="16" customHeight="1">
      <c r="A1860" s="48" t="n"/>
      <c r="B1860" s="48" t="n"/>
      <c r="C1860" s="47" t="n"/>
      <c r="D1860" s="50" t="n"/>
      <c r="E1860" s="50" t="n"/>
      <c r="F1860" s="50" t="n"/>
      <c r="G1860" s="50" t="n"/>
      <c r="H1860" s="48" t="n"/>
      <c r="I1860" s="51" t="n"/>
      <c r="J1860" s="52" t="n"/>
      <c r="K1860" s="47" t="n"/>
      <c r="L1860" s="47" t="n"/>
      <c r="M1860" s="24">
        <f>IF(OR($A1860="",$C1860=""),"",IF($L1860&lt;&gt;"",$L1860-$C1860,TODAY()-$C1860))</f>
        <v/>
      </c>
      <c r="N1860" s="28">
        <f>IF(OR($A1860="",$K1860=""),"",IF($L1860="",IF(TODAY()&gt;$K1860,"Atrasado","En ruta"),IF($L1860&lt;=$K1860,"Sí","No")))</f>
        <v/>
      </c>
      <c r="O1860" s="24">
        <f>IF($A1860="","",COUNTIFS(NOVEDADES!$D$4:$D$1503,$A1860))</f>
        <v/>
      </c>
      <c r="P1860" s="28">
        <f>IF($A1860="","",IF(COUNTIFS(NOVEDADES!$D$4:$D$1503,$A1860,NOVEDADES!$O$4:$O$1503,"SÍ")&gt;0,"No","Sí"))</f>
        <v/>
      </c>
      <c r="Q1860" s="28">
        <f>IF(OR($A1860="",$L1860=""),"",IF(AND($N1860="Sí",$P1860="Sí"),"OTIF","Falló"))</f>
        <v/>
      </c>
    </row>
    <row r="1861" ht="16" customHeight="1">
      <c r="A1861" s="48" t="n"/>
      <c r="B1861" s="48" t="n"/>
      <c r="C1861" s="47" t="n"/>
      <c r="D1861" s="50" t="n"/>
      <c r="E1861" s="50" t="n"/>
      <c r="F1861" s="50" t="n"/>
      <c r="G1861" s="50" t="n"/>
      <c r="H1861" s="48" t="n"/>
      <c r="I1861" s="51" t="n"/>
      <c r="J1861" s="52" t="n"/>
      <c r="K1861" s="47" t="n"/>
      <c r="L1861" s="47" t="n"/>
      <c r="M1861" s="24">
        <f>IF(OR($A1861="",$C1861=""),"",IF($L1861&lt;&gt;"",$L1861-$C1861,TODAY()-$C1861))</f>
        <v/>
      </c>
      <c r="N1861" s="28">
        <f>IF(OR($A1861="",$K1861=""),"",IF($L1861="",IF(TODAY()&gt;$K1861,"Atrasado","En ruta"),IF($L1861&lt;=$K1861,"Sí","No")))</f>
        <v/>
      </c>
      <c r="O1861" s="24">
        <f>IF($A1861="","",COUNTIFS(NOVEDADES!$D$4:$D$1503,$A1861))</f>
        <v/>
      </c>
      <c r="P1861" s="28">
        <f>IF($A1861="","",IF(COUNTIFS(NOVEDADES!$D$4:$D$1503,$A1861,NOVEDADES!$O$4:$O$1503,"SÍ")&gt;0,"No","Sí"))</f>
        <v/>
      </c>
      <c r="Q1861" s="28">
        <f>IF(OR($A1861="",$L1861=""),"",IF(AND($N1861="Sí",$P1861="Sí"),"OTIF","Falló"))</f>
        <v/>
      </c>
    </row>
    <row r="1862" ht="16" customHeight="1">
      <c r="A1862" s="48" t="n"/>
      <c r="B1862" s="48" t="n"/>
      <c r="C1862" s="47" t="n"/>
      <c r="D1862" s="50" t="n"/>
      <c r="E1862" s="50" t="n"/>
      <c r="F1862" s="50" t="n"/>
      <c r="G1862" s="50" t="n"/>
      <c r="H1862" s="48" t="n"/>
      <c r="I1862" s="51" t="n"/>
      <c r="J1862" s="52" t="n"/>
      <c r="K1862" s="47" t="n"/>
      <c r="L1862" s="47" t="n"/>
      <c r="M1862" s="24">
        <f>IF(OR($A1862="",$C1862=""),"",IF($L1862&lt;&gt;"",$L1862-$C1862,TODAY()-$C1862))</f>
        <v/>
      </c>
      <c r="N1862" s="28">
        <f>IF(OR($A1862="",$K1862=""),"",IF($L1862="",IF(TODAY()&gt;$K1862,"Atrasado","En ruta"),IF($L1862&lt;=$K1862,"Sí","No")))</f>
        <v/>
      </c>
      <c r="O1862" s="24">
        <f>IF($A1862="","",COUNTIFS(NOVEDADES!$D$4:$D$1503,$A1862))</f>
        <v/>
      </c>
      <c r="P1862" s="28">
        <f>IF($A1862="","",IF(COUNTIFS(NOVEDADES!$D$4:$D$1503,$A1862,NOVEDADES!$O$4:$O$1503,"SÍ")&gt;0,"No","Sí"))</f>
        <v/>
      </c>
      <c r="Q1862" s="28">
        <f>IF(OR($A1862="",$L1862=""),"",IF(AND($N1862="Sí",$P1862="Sí"),"OTIF","Falló"))</f>
        <v/>
      </c>
    </row>
    <row r="1863" ht="16" customHeight="1">
      <c r="A1863" s="48" t="n"/>
      <c r="B1863" s="48" t="n"/>
      <c r="C1863" s="47" t="n"/>
      <c r="D1863" s="50" t="n"/>
      <c r="E1863" s="50" t="n"/>
      <c r="F1863" s="50" t="n"/>
      <c r="G1863" s="50" t="n"/>
      <c r="H1863" s="48" t="n"/>
      <c r="I1863" s="51" t="n"/>
      <c r="J1863" s="52" t="n"/>
      <c r="K1863" s="47" t="n"/>
      <c r="L1863" s="47" t="n"/>
      <c r="M1863" s="24">
        <f>IF(OR($A1863="",$C1863=""),"",IF($L1863&lt;&gt;"",$L1863-$C1863,TODAY()-$C1863))</f>
        <v/>
      </c>
      <c r="N1863" s="28">
        <f>IF(OR($A1863="",$K1863=""),"",IF($L1863="",IF(TODAY()&gt;$K1863,"Atrasado","En ruta"),IF($L1863&lt;=$K1863,"Sí","No")))</f>
        <v/>
      </c>
      <c r="O1863" s="24">
        <f>IF($A1863="","",COUNTIFS(NOVEDADES!$D$4:$D$1503,$A1863))</f>
        <v/>
      </c>
      <c r="P1863" s="28">
        <f>IF($A1863="","",IF(COUNTIFS(NOVEDADES!$D$4:$D$1503,$A1863,NOVEDADES!$O$4:$O$1503,"SÍ")&gt;0,"No","Sí"))</f>
        <v/>
      </c>
      <c r="Q1863" s="28">
        <f>IF(OR($A1863="",$L1863=""),"",IF(AND($N1863="Sí",$P1863="Sí"),"OTIF","Falló"))</f>
        <v/>
      </c>
    </row>
    <row r="1864" ht="16" customHeight="1">
      <c r="A1864" s="48" t="n"/>
      <c r="B1864" s="48" t="n"/>
      <c r="C1864" s="47" t="n"/>
      <c r="D1864" s="50" t="n"/>
      <c r="E1864" s="50" t="n"/>
      <c r="F1864" s="50" t="n"/>
      <c r="G1864" s="50" t="n"/>
      <c r="H1864" s="48" t="n"/>
      <c r="I1864" s="51" t="n"/>
      <c r="J1864" s="52" t="n"/>
      <c r="K1864" s="47" t="n"/>
      <c r="L1864" s="47" t="n"/>
      <c r="M1864" s="24">
        <f>IF(OR($A1864="",$C1864=""),"",IF($L1864&lt;&gt;"",$L1864-$C1864,TODAY()-$C1864))</f>
        <v/>
      </c>
      <c r="N1864" s="28">
        <f>IF(OR($A1864="",$K1864=""),"",IF($L1864="",IF(TODAY()&gt;$K1864,"Atrasado","En ruta"),IF($L1864&lt;=$K1864,"Sí","No")))</f>
        <v/>
      </c>
      <c r="O1864" s="24">
        <f>IF($A1864="","",COUNTIFS(NOVEDADES!$D$4:$D$1503,$A1864))</f>
        <v/>
      </c>
      <c r="P1864" s="28">
        <f>IF($A1864="","",IF(COUNTIFS(NOVEDADES!$D$4:$D$1503,$A1864,NOVEDADES!$O$4:$O$1503,"SÍ")&gt;0,"No","Sí"))</f>
        <v/>
      </c>
      <c r="Q1864" s="28">
        <f>IF(OR($A1864="",$L1864=""),"",IF(AND($N1864="Sí",$P1864="Sí"),"OTIF","Falló"))</f>
        <v/>
      </c>
    </row>
    <row r="1865" ht="16" customHeight="1">
      <c r="A1865" s="48" t="n"/>
      <c r="B1865" s="48" t="n"/>
      <c r="C1865" s="47" t="n"/>
      <c r="D1865" s="50" t="n"/>
      <c r="E1865" s="50" t="n"/>
      <c r="F1865" s="50" t="n"/>
      <c r="G1865" s="50" t="n"/>
      <c r="H1865" s="48" t="n"/>
      <c r="I1865" s="51" t="n"/>
      <c r="J1865" s="52" t="n"/>
      <c r="K1865" s="47" t="n"/>
      <c r="L1865" s="47" t="n"/>
      <c r="M1865" s="24">
        <f>IF(OR($A1865="",$C1865=""),"",IF($L1865&lt;&gt;"",$L1865-$C1865,TODAY()-$C1865))</f>
        <v/>
      </c>
      <c r="N1865" s="28">
        <f>IF(OR($A1865="",$K1865=""),"",IF($L1865="",IF(TODAY()&gt;$K1865,"Atrasado","En ruta"),IF($L1865&lt;=$K1865,"Sí","No")))</f>
        <v/>
      </c>
      <c r="O1865" s="24">
        <f>IF($A1865="","",COUNTIFS(NOVEDADES!$D$4:$D$1503,$A1865))</f>
        <v/>
      </c>
      <c r="P1865" s="28">
        <f>IF($A1865="","",IF(COUNTIFS(NOVEDADES!$D$4:$D$1503,$A1865,NOVEDADES!$O$4:$O$1503,"SÍ")&gt;0,"No","Sí"))</f>
        <v/>
      </c>
      <c r="Q1865" s="28">
        <f>IF(OR($A1865="",$L1865=""),"",IF(AND($N1865="Sí",$P1865="Sí"),"OTIF","Falló"))</f>
        <v/>
      </c>
    </row>
    <row r="1866" ht="16" customHeight="1">
      <c r="A1866" s="48" t="n"/>
      <c r="B1866" s="48" t="n"/>
      <c r="C1866" s="47" t="n"/>
      <c r="D1866" s="50" t="n"/>
      <c r="E1866" s="50" t="n"/>
      <c r="F1866" s="50" t="n"/>
      <c r="G1866" s="50" t="n"/>
      <c r="H1866" s="48" t="n"/>
      <c r="I1866" s="51" t="n"/>
      <c r="J1866" s="52" t="n"/>
      <c r="K1866" s="47" t="n"/>
      <c r="L1866" s="47" t="n"/>
      <c r="M1866" s="24">
        <f>IF(OR($A1866="",$C1866=""),"",IF($L1866&lt;&gt;"",$L1866-$C1866,TODAY()-$C1866))</f>
        <v/>
      </c>
      <c r="N1866" s="28">
        <f>IF(OR($A1866="",$K1866=""),"",IF($L1866="",IF(TODAY()&gt;$K1866,"Atrasado","En ruta"),IF($L1866&lt;=$K1866,"Sí","No")))</f>
        <v/>
      </c>
      <c r="O1866" s="24">
        <f>IF($A1866="","",COUNTIFS(NOVEDADES!$D$4:$D$1503,$A1866))</f>
        <v/>
      </c>
      <c r="P1866" s="28">
        <f>IF($A1866="","",IF(COUNTIFS(NOVEDADES!$D$4:$D$1503,$A1866,NOVEDADES!$O$4:$O$1503,"SÍ")&gt;0,"No","Sí"))</f>
        <v/>
      </c>
      <c r="Q1866" s="28">
        <f>IF(OR($A1866="",$L1866=""),"",IF(AND($N1866="Sí",$P1866="Sí"),"OTIF","Falló"))</f>
        <v/>
      </c>
    </row>
    <row r="1867" ht="16" customHeight="1">
      <c r="A1867" s="48" t="n"/>
      <c r="B1867" s="48" t="n"/>
      <c r="C1867" s="47" t="n"/>
      <c r="D1867" s="50" t="n"/>
      <c r="E1867" s="50" t="n"/>
      <c r="F1867" s="50" t="n"/>
      <c r="G1867" s="50" t="n"/>
      <c r="H1867" s="48" t="n"/>
      <c r="I1867" s="51" t="n"/>
      <c r="J1867" s="52" t="n"/>
      <c r="K1867" s="47" t="n"/>
      <c r="L1867" s="47" t="n"/>
      <c r="M1867" s="24">
        <f>IF(OR($A1867="",$C1867=""),"",IF($L1867&lt;&gt;"",$L1867-$C1867,TODAY()-$C1867))</f>
        <v/>
      </c>
      <c r="N1867" s="28">
        <f>IF(OR($A1867="",$K1867=""),"",IF($L1867="",IF(TODAY()&gt;$K1867,"Atrasado","En ruta"),IF($L1867&lt;=$K1867,"Sí","No")))</f>
        <v/>
      </c>
      <c r="O1867" s="24">
        <f>IF($A1867="","",COUNTIFS(NOVEDADES!$D$4:$D$1503,$A1867))</f>
        <v/>
      </c>
      <c r="P1867" s="28">
        <f>IF($A1867="","",IF(COUNTIFS(NOVEDADES!$D$4:$D$1503,$A1867,NOVEDADES!$O$4:$O$1503,"SÍ")&gt;0,"No","Sí"))</f>
        <v/>
      </c>
      <c r="Q1867" s="28">
        <f>IF(OR($A1867="",$L1867=""),"",IF(AND($N1867="Sí",$P1867="Sí"),"OTIF","Falló"))</f>
        <v/>
      </c>
    </row>
    <row r="1868" ht="16" customHeight="1">
      <c r="A1868" s="48" t="n"/>
      <c r="B1868" s="48" t="n"/>
      <c r="C1868" s="47" t="n"/>
      <c r="D1868" s="50" t="n"/>
      <c r="E1868" s="50" t="n"/>
      <c r="F1868" s="50" t="n"/>
      <c r="G1868" s="50" t="n"/>
      <c r="H1868" s="48" t="n"/>
      <c r="I1868" s="51" t="n"/>
      <c r="J1868" s="52" t="n"/>
      <c r="K1868" s="47" t="n"/>
      <c r="L1868" s="47" t="n"/>
      <c r="M1868" s="24">
        <f>IF(OR($A1868="",$C1868=""),"",IF($L1868&lt;&gt;"",$L1868-$C1868,TODAY()-$C1868))</f>
        <v/>
      </c>
      <c r="N1868" s="28">
        <f>IF(OR($A1868="",$K1868=""),"",IF($L1868="",IF(TODAY()&gt;$K1868,"Atrasado","En ruta"),IF($L1868&lt;=$K1868,"Sí","No")))</f>
        <v/>
      </c>
      <c r="O1868" s="24">
        <f>IF($A1868="","",COUNTIFS(NOVEDADES!$D$4:$D$1503,$A1868))</f>
        <v/>
      </c>
      <c r="P1868" s="28">
        <f>IF($A1868="","",IF(COUNTIFS(NOVEDADES!$D$4:$D$1503,$A1868,NOVEDADES!$O$4:$O$1503,"SÍ")&gt;0,"No","Sí"))</f>
        <v/>
      </c>
      <c r="Q1868" s="28">
        <f>IF(OR($A1868="",$L1868=""),"",IF(AND($N1868="Sí",$P1868="Sí"),"OTIF","Falló"))</f>
        <v/>
      </c>
    </row>
    <row r="1869" ht="16" customHeight="1">
      <c r="A1869" s="48" t="n"/>
      <c r="B1869" s="48" t="n"/>
      <c r="C1869" s="47" t="n"/>
      <c r="D1869" s="50" t="n"/>
      <c r="E1869" s="50" t="n"/>
      <c r="F1869" s="50" t="n"/>
      <c r="G1869" s="50" t="n"/>
      <c r="H1869" s="48" t="n"/>
      <c r="I1869" s="51" t="n"/>
      <c r="J1869" s="52" t="n"/>
      <c r="K1869" s="47" t="n"/>
      <c r="L1869" s="47" t="n"/>
      <c r="M1869" s="24">
        <f>IF(OR($A1869="",$C1869=""),"",IF($L1869&lt;&gt;"",$L1869-$C1869,TODAY()-$C1869))</f>
        <v/>
      </c>
      <c r="N1869" s="28">
        <f>IF(OR($A1869="",$K1869=""),"",IF($L1869="",IF(TODAY()&gt;$K1869,"Atrasado","En ruta"),IF($L1869&lt;=$K1869,"Sí","No")))</f>
        <v/>
      </c>
      <c r="O1869" s="24">
        <f>IF($A1869="","",COUNTIFS(NOVEDADES!$D$4:$D$1503,$A1869))</f>
        <v/>
      </c>
      <c r="P1869" s="28">
        <f>IF($A1869="","",IF(COUNTIFS(NOVEDADES!$D$4:$D$1503,$A1869,NOVEDADES!$O$4:$O$1503,"SÍ")&gt;0,"No","Sí"))</f>
        <v/>
      </c>
      <c r="Q1869" s="28">
        <f>IF(OR($A1869="",$L1869=""),"",IF(AND($N1869="Sí",$P1869="Sí"),"OTIF","Falló"))</f>
        <v/>
      </c>
    </row>
    <row r="1870" ht="16" customHeight="1">
      <c r="A1870" s="48" t="n"/>
      <c r="B1870" s="48" t="n"/>
      <c r="C1870" s="47" t="n"/>
      <c r="D1870" s="50" t="n"/>
      <c r="E1870" s="50" t="n"/>
      <c r="F1870" s="50" t="n"/>
      <c r="G1870" s="50" t="n"/>
      <c r="H1870" s="48" t="n"/>
      <c r="I1870" s="51" t="n"/>
      <c r="J1870" s="52" t="n"/>
      <c r="K1870" s="47" t="n"/>
      <c r="L1870" s="47" t="n"/>
      <c r="M1870" s="24">
        <f>IF(OR($A1870="",$C1870=""),"",IF($L1870&lt;&gt;"",$L1870-$C1870,TODAY()-$C1870))</f>
        <v/>
      </c>
      <c r="N1870" s="28">
        <f>IF(OR($A1870="",$K1870=""),"",IF($L1870="",IF(TODAY()&gt;$K1870,"Atrasado","En ruta"),IF($L1870&lt;=$K1870,"Sí","No")))</f>
        <v/>
      </c>
      <c r="O1870" s="24">
        <f>IF($A1870="","",COUNTIFS(NOVEDADES!$D$4:$D$1503,$A1870))</f>
        <v/>
      </c>
      <c r="P1870" s="28">
        <f>IF($A1870="","",IF(COUNTIFS(NOVEDADES!$D$4:$D$1503,$A1870,NOVEDADES!$O$4:$O$1503,"SÍ")&gt;0,"No","Sí"))</f>
        <v/>
      </c>
      <c r="Q1870" s="28">
        <f>IF(OR($A1870="",$L1870=""),"",IF(AND($N1870="Sí",$P1870="Sí"),"OTIF","Falló"))</f>
        <v/>
      </c>
    </row>
    <row r="1871" ht="16" customHeight="1">
      <c r="A1871" s="48" t="n"/>
      <c r="B1871" s="48" t="n"/>
      <c r="C1871" s="47" t="n"/>
      <c r="D1871" s="50" t="n"/>
      <c r="E1871" s="50" t="n"/>
      <c r="F1871" s="50" t="n"/>
      <c r="G1871" s="50" t="n"/>
      <c r="H1871" s="48" t="n"/>
      <c r="I1871" s="51" t="n"/>
      <c r="J1871" s="52" t="n"/>
      <c r="K1871" s="47" t="n"/>
      <c r="L1871" s="47" t="n"/>
      <c r="M1871" s="24">
        <f>IF(OR($A1871="",$C1871=""),"",IF($L1871&lt;&gt;"",$L1871-$C1871,TODAY()-$C1871))</f>
        <v/>
      </c>
      <c r="N1871" s="28">
        <f>IF(OR($A1871="",$K1871=""),"",IF($L1871="",IF(TODAY()&gt;$K1871,"Atrasado","En ruta"),IF($L1871&lt;=$K1871,"Sí","No")))</f>
        <v/>
      </c>
      <c r="O1871" s="24">
        <f>IF($A1871="","",COUNTIFS(NOVEDADES!$D$4:$D$1503,$A1871))</f>
        <v/>
      </c>
      <c r="P1871" s="28">
        <f>IF($A1871="","",IF(COUNTIFS(NOVEDADES!$D$4:$D$1503,$A1871,NOVEDADES!$O$4:$O$1503,"SÍ")&gt;0,"No","Sí"))</f>
        <v/>
      </c>
      <c r="Q1871" s="28">
        <f>IF(OR($A1871="",$L1871=""),"",IF(AND($N1871="Sí",$P1871="Sí"),"OTIF","Falló"))</f>
        <v/>
      </c>
    </row>
    <row r="1872" ht="16" customHeight="1">
      <c r="A1872" s="48" t="n"/>
      <c r="B1872" s="48" t="n"/>
      <c r="C1872" s="47" t="n"/>
      <c r="D1872" s="50" t="n"/>
      <c r="E1872" s="50" t="n"/>
      <c r="F1872" s="50" t="n"/>
      <c r="G1872" s="50" t="n"/>
      <c r="H1872" s="48" t="n"/>
      <c r="I1872" s="51" t="n"/>
      <c r="J1872" s="52" t="n"/>
      <c r="K1872" s="47" t="n"/>
      <c r="L1872" s="47" t="n"/>
      <c r="M1872" s="24">
        <f>IF(OR($A1872="",$C1872=""),"",IF($L1872&lt;&gt;"",$L1872-$C1872,TODAY()-$C1872))</f>
        <v/>
      </c>
      <c r="N1872" s="28">
        <f>IF(OR($A1872="",$K1872=""),"",IF($L1872="",IF(TODAY()&gt;$K1872,"Atrasado","En ruta"),IF($L1872&lt;=$K1872,"Sí","No")))</f>
        <v/>
      </c>
      <c r="O1872" s="24">
        <f>IF($A1872="","",COUNTIFS(NOVEDADES!$D$4:$D$1503,$A1872))</f>
        <v/>
      </c>
      <c r="P1872" s="28">
        <f>IF($A1872="","",IF(COUNTIFS(NOVEDADES!$D$4:$D$1503,$A1872,NOVEDADES!$O$4:$O$1503,"SÍ")&gt;0,"No","Sí"))</f>
        <v/>
      </c>
      <c r="Q1872" s="28">
        <f>IF(OR($A1872="",$L1872=""),"",IF(AND($N1872="Sí",$P1872="Sí"),"OTIF","Falló"))</f>
        <v/>
      </c>
    </row>
    <row r="1873" ht="16" customHeight="1">
      <c r="A1873" s="48" t="n"/>
      <c r="B1873" s="48" t="n"/>
      <c r="C1873" s="47" t="n"/>
      <c r="D1873" s="50" t="n"/>
      <c r="E1873" s="50" t="n"/>
      <c r="F1873" s="50" t="n"/>
      <c r="G1873" s="50" t="n"/>
      <c r="H1873" s="48" t="n"/>
      <c r="I1873" s="51" t="n"/>
      <c r="J1873" s="52" t="n"/>
      <c r="K1873" s="47" t="n"/>
      <c r="L1873" s="47" t="n"/>
      <c r="M1873" s="24">
        <f>IF(OR($A1873="",$C1873=""),"",IF($L1873&lt;&gt;"",$L1873-$C1873,TODAY()-$C1873))</f>
        <v/>
      </c>
      <c r="N1873" s="28">
        <f>IF(OR($A1873="",$K1873=""),"",IF($L1873="",IF(TODAY()&gt;$K1873,"Atrasado","En ruta"),IF($L1873&lt;=$K1873,"Sí","No")))</f>
        <v/>
      </c>
      <c r="O1873" s="24">
        <f>IF($A1873="","",COUNTIFS(NOVEDADES!$D$4:$D$1503,$A1873))</f>
        <v/>
      </c>
      <c r="P1873" s="28">
        <f>IF($A1873="","",IF(COUNTIFS(NOVEDADES!$D$4:$D$1503,$A1873,NOVEDADES!$O$4:$O$1503,"SÍ")&gt;0,"No","Sí"))</f>
        <v/>
      </c>
      <c r="Q1873" s="28">
        <f>IF(OR($A1873="",$L1873=""),"",IF(AND($N1873="Sí",$P1873="Sí"),"OTIF","Falló"))</f>
        <v/>
      </c>
    </row>
    <row r="1874" ht="16" customHeight="1">
      <c r="A1874" s="48" t="n"/>
      <c r="B1874" s="48" t="n"/>
      <c r="C1874" s="47" t="n"/>
      <c r="D1874" s="50" t="n"/>
      <c r="E1874" s="50" t="n"/>
      <c r="F1874" s="50" t="n"/>
      <c r="G1874" s="50" t="n"/>
      <c r="H1874" s="48" t="n"/>
      <c r="I1874" s="51" t="n"/>
      <c r="J1874" s="52" t="n"/>
      <c r="K1874" s="47" t="n"/>
      <c r="L1874" s="47" t="n"/>
      <c r="M1874" s="24">
        <f>IF(OR($A1874="",$C1874=""),"",IF($L1874&lt;&gt;"",$L1874-$C1874,TODAY()-$C1874))</f>
        <v/>
      </c>
      <c r="N1874" s="28">
        <f>IF(OR($A1874="",$K1874=""),"",IF($L1874="",IF(TODAY()&gt;$K1874,"Atrasado","En ruta"),IF($L1874&lt;=$K1874,"Sí","No")))</f>
        <v/>
      </c>
      <c r="O1874" s="24">
        <f>IF($A1874="","",COUNTIFS(NOVEDADES!$D$4:$D$1503,$A1874))</f>
        <v/>
      </c>
      <c r="P1874" s="28">
        <f>IF($A1874="","",IF(COUNTIFS(NOVEDADES!$D$4:$D$1503,$A1874,NOVEDADES!$O$4:$O$1503,"SÍ")&gt;0,"No","Sí"))</f>
        <v/>
      </c>
      <c r="Q1874" s="28">
        <f>IF(OR($A1874="",$L1874=""),"",IF(AND($N1874="Sí",$P1874="Sí"),"OTIF","Falló"))</f>
        <v/>
      </c>
    </row>
    <row r="1875" ht="16" customHeight="1">
      <c r="A1875" s="48" t="n"/>
      <c r="B1875" s="48" t="n"/>
      <c r="C1875" s="47" t="n"/>
      <c r="D1875" s="50" t="n"/>
      <c r="E1875" s="50" t="n"/>
      <c r="F1875" s="50" t="n"/>
      <c r="G1875" s="50" t="n"/>
      <c r="H1875" s="48" t="n"/>
      <c r="I1875" s="51" t="n"/>
      <c r="J1875" s="52" t="n"/>
      <c r="K1875" s="47" t="n"/>
      <c r="L1875" s="47" t="n"/>
      <c r="M1875" s="24">
        <f>IF(OR($A1875="",$C1875=""),"",IF($L1875&lt;&gt;"",$L1875-$C1875,TODAY()-$C1875))</f>
        <v/>
      </c>
      <c r="N1875" s="28">
        <f>IF(OR($A1875="",$K1875=""),"",IF($L1875="",IF(TODAY()&gt;$K1875,"Atrasado","En ruta"),IF($L1875&lt;=$K1875,"Sí","No")))</f>
        <v/>
      </c>
      <c r="O1875" s="24">
        <f>IF($A1875="","",COUNTIFS(NOVEDADES!$D$4:$D$1503,$A1875))</f>
        <v/>
      </c>
      <c r="P1875" s="28">
        <f>IF($A1875="","",IF(COUNTIFS(NOVEDADES!$D$4:$D$1503,$A1875,NOVEDADES!$O$4:$O$1503,"SÍ")&gt;0,"No","Sí"))</f>
        <v/>
      </c>
      <c r="Q1875" s="28">
        <f>IF(OR($A1875="",$L1875=""),"",IF(AND($N1875="Sí",$P1875="Sí"),"OTIF","Falló"))</f>
        <v/>
      </c>
    </row>
    <row r="1876" ht="16" customHeight="1">
      <c r="A1876" s="48" t="n"/>
      <c r="B1876" s="48" t="n"/>
      <c r="C1876" s="47" t="n"/>
      <c r="D1876" s="50" t="n"/>
      <c r="E1876" s="50" t="n"/>
      <c r="F1876" s="50" t="n"/>
      <c r="G1876" s="50" t="n"/>
      <c r="H1876" s="48" t="n"/>
      <c r="I1876" s="51" t="n"/>
      <c r="J1876" s="52" t="n"/>
      <c r="K1876" s="47" t="n"/>
      <c r="L1876" s="47" t="n"/>
      <c r="M1876" s="24">
        <f>IF(OR($A1876="",$C1876=""),"",IF($L1876&lt;&gt;"",$L1876-$C1876,TODAY()-$C1876))</f>
        <v/>
      </c>
      <c r="N1876" s="28">
        <f>IF(OR($A1876="",$K1876=""),"",IF($L1876="",IF(TODAY()&gt;$K1876,"Atrasado","En ruta"),IF($L1876&lt;=$K1876,"Sí","No")))</f>
        <v/>
      </c>
      <c r="O1876" s="24">
        <f>IF($A1876="","",COUNTIFS(NOVEDADES!$D$4:$D$1503,$A1876))</f>
        <v/>
      </c>
      <c r="P1876" s="28">
        <f>IF($A1876="","",IF(COUNTIFS(NOVEDADES!$D$4:$D$1503,$A1876,NOVEDADES!$O$4:$O$1503,"SÍ")&gt;0,"No","Sí"))</f>
        <v/>
      </c>
      <c r="Q1876" s="28">
        <f>IF(OR($A1876="",$L1876=""),"",IF(AND($N1876="Sí",$P1876="Sí"),"OTIF","Falló"))</f>
        <v/>
      </c>
    </row>
    <row r="1877" ht="16" customHeight="1">
      <c r="A1877" s="48" t="n"/>
      <c r="B1877" s="48" t="n"/>
      <c r="C1877" s="47" t="n"/>
      <c r="D1877" s="50" t="n"/>
      <c r="E1877" s="50" t="n"/>
      <c r="F1877" s="50" t="n"/>
      <c r="G1877" s="50" t="n"/>
      <c r="H1877" s="48" t="n"/>
      <c r="I1877" s="51" t="n"/>
      <c r="J1877" s="52" t="n"/>
      <c r="K1877" s="47" t="n"/>
      <c r="L1877" s="47" t="n"/>
      <c r="M1877" s="24">
        <f>IF(OR($A1877="",$C1877=""),"",IF($L1877&lt;&gt;"",$L1877-$C1877,TODAY()-$C1877))</f>
        <v/>
      </c>
      <c r="N1877" s="28">
        <f>IF(OR($A1877="",$K1877=""),"",IF($L1877="",IF(TODAY()&gt;$K1877,"Atrasado","En ruta"),IF($L1877&lt;=$K1877,"Sí","No")))</f>
        <v/>
      </c>
      <c r="O1877" s="24">
        <f>IF($A1877="","",COUNTIFS(NOVEDADES!$D$4:$D$1503,$A1877))</f>
        <v/>
      </c>
      <c r="P1877" s="28">
        <f>IF($A1877="","",IF(COUNTIFS(NOVEDADES!$D$4:$D$1503,$A1877,NOVEDADES!$O$4:$O$1503,"SÍ")&gt;0,"No","Sí"))</f>
        <v/>
      </c>
      <c r="Q1877" s="28">
        <f>IF(OR($A1877="",$L1877=""),"",IF(AND($N1877="Sí",$P1877="Sí"),"OTIF","Falló"))</f>
        <v/>
      </c>
    </row>
    <row r="1878" ht="16" customHeight="1">
      <c r="A1878" s="48" t="n"/>
      <c r="B1878" s="48" t="n"/>
      <c r="C1878" s="47" t="n"/>
      <c r="D1878" s="50" t="n"/>
      <c r="E1878" s="50" t="n"/>
      <c r="F1878" s="50" t="n"/>
      <c r="G1878" s="50" t="n"/>
      <c r="H1878" s="48" t="n"/>
      <c r="I1878" s="51" t="n"/>
      <c r="J1878" s="52" t="n"/>
      <c r="K1878" s="47" t="n"/>
      <c r="L1878" s="47" t="n"/>
      <c r="M1878" s="24">
        <f>IF(OR($A1878="",$C1878=""),"",IF($L1878&lt;&gt;"",$L1878-$C1878,TODAY()-$C1878))</f>
        <v/>
      </c>
      <c r="N1878" s="28">
        <f>IF(OR($A1878="",$K1878=""),"",IF($L1878="",IF(TODAY()&gt;$K1878,"Atrasado","En ruta"),IF($L1878&lt;=$K1878,"Sí","No")))</f>
        <v/>
      </c>
      <c r="O1878" s="24">
        <f>IF($A1878="","",COUNTIFS(NOVEDADES!$D$4:$D$1503,$A1878))</f>
        <v/>
      </c>
      <c r="P1878" s="28">
        <f>IF($A1878="","",IF(COUNTIFS(NOVEDADES!$D$4:$D$1503,$A1878,NOVEDADES!$O$4:$O$1503,"SÍ")&gt;0,"No","Sí"))</f>
        <v/>
      </c>
      <c r="Q1878" s="28">
        <f>IF(OR($A1878="",$L1878=""),"",IF(AND($N1878="Sí",$P1878="Sí"),"OTIF","Falló"))</f>
        <v/>
      </c>
    </row>
    <row r="1879" ht="16" customHeight="1">
      <c r="A1879" s="48" t="n"/>
      <c r="B1879" s="48" t="n"/>
      <c r="C1879" s="47" t="n"/>
      <c r="D1879" s="50" t="n"/>
      <c r="E1879" s="50" t="n"/>
      <c r="F1879" s="50" t="n"/>
      <c r="G1879" s="50" t="n"/>
      <c r="H1879" s="48" t="n"/>
      <c r="I1879" s="51" t="n"/>
      <c r="J1879" s="52" t="n"/>
      <c r="K1879" s="47" t="n"/>
      <c r="L1879" s="47" t="n"/>
      <c r="M1879" s="24">
        <f>IF(OR($A1879="",$C1879=""),"",IF($L1879&lt;&gt;"",$L1879-$C1879,TODAY()-$C1879))</f>
        <v/>
      </c>
      <c r="N1879" s="28">
        <f>IF(OR($A1879="",$K1879=""),"",IF($L1879="",IF(TODAY()&gt;$K1879,"Atrasado","En ruta"),IF($L1879&lt;=$K1879,"Sí","No")))</f>
        <v/>
      </c>
      <c r="O1879" s="24">
        <f>IF($A1879="","",COUNTIFS(NOVEDADES!$D$4:$D$1503,$A1879))</f>
        <v/>
      </c>
      <c r="P1879" s="28">
        <f>IF($A1879="","",IF(COUNTIFS(NOVEDADES!$D$4:$D$1503,$A1879,NOVEDADES!$O$4:$O$1503,"SÍ")&gt;0,"No","Sí"))</f>
        <v/>
      </c>
      <c r="Q1879" s="28">
        <f>IF(OR($A1879="",$L1879=""),"",IF(AND($N1879="Sí",$P1879="Sí"),"OTIF","Falló"))</f>
        <v/>
      </c>
    </row>
    <row r="1880" ht="16" customHeight="1">
      <c r="A1880" s="48" t="n"/>
      <c r="B1880" s="48" t="n"/>
      <c r="C1880" s="47" t="n"/>
      <c r="D1880" s="50" t="n"/>
      <c r="E1880" s="50" t="n"/>
      <c r="F1880" s="50" t="n"/>
      <c r="G1880" s="50" t="n"/>
      <c r="H1880" s="48" t="n"/>
      <c r="I1880" s="51" t="n"/>
      <c r="J1880" s="52" t="n"/>
      <c r="K1880" s="47" t="n"/>
      <c r="L1880" s="47" t="n"/>
      <c r="M1880" s="24">
        <f>IF(OR($A1880="",$C1880=""),"",IF($L1880&lt;&gt;"",$L1880-$C1880,TODAY()-$C1880))</f>
        <v/>
      </c>
      <c r="N1880" s="28">
        <f>IF(OR($A1880="",$K1880=""),"",IF($L1880="",IF(TODAY()&gt;$K1880,"Atrasado","En ruta"),IF($L1880&lt;=$K1880,"Sí","No")))</f>
        <v/>
      </c>
      <c r="O1880" s="24">
        <f>IF($A1880="","",COUNTIFS(NOVEDADES!$D$4:$D$1503,$A1880))</f>
        <v/>
      </c>
      <c r="P1880" s="28">
        <f>IF($A1880="","",IF(COUNTIFS(NOVEDADES!$D$4:$D$1503,$A1880,NOVEDADES!$O$4:$O$1503,"SÍ")&gt;0,"No","Sí"))</f>
        <v/>
      </c>
      <c r="Q1880" s="28">
        <f>IF(OR($A1880="",$L1880=""),"",IF(AND($N1880="Sí",$P1880="Sí"),"OTIF","Falló"))</f>
        <v/>
      </c>
    </row>
    <row r="1881" ht="16" customHeight="1">
      <c r="A1881" s="48" t="n"/>
      <c r="B1881" s="48" t="n"/>
      <c r="C1881" s="47" t="n"/>
      <c r="D1881" s="50" t="n"/>
      <c r="E1881" s="50" t="n"/>
      <c r="F1881" s="50" t="n"/>
      <c r="G1881" s="50" t="n"/>
      <c r="H1881" s="48" t="n"/>
      <c r="I1881" s="51" t="n"/>
      <c r="J1881" s="52" t="n"/>
      <c r="K1881" s="47" t="n"/>
      <c r="L1881" s="47" t="n"/>
      <c r="M1881" s="24">
        <f>IF(OR($A1881="",$C1881=""),"",IF($L1881&lt;&gt;"",$L1881-$C1881,TODAY()-$C1881))</f>
        <v/>
      </c>
      <c r="N1881" s="28">
        <f>IF(OR($A1881="",$K1881=""),"",IF($L1881="",IF(TODAY()&gt;$K1881,"Atrasado","En ruta"),IF($L1881&lt;=$K1881,"Sí","No")))</f>
        <v/>
      </c>
      <c r="O1881" s="24">
        <f>IF($A1881="","",COUNTIFS(NOVEDADES!$D$4:$D$1503,$A1881))</f>
        <v/>
      </c>
      <c r="P1881" s="28">
        <f>IF($A1881="","",IF(COUNTIFS(NOVEDADES!$D$4:$D$1503,$A1881,NOVEDADES!$O$4:$O$1503,"SÍ")&gt;0,"No","Sí"))</f>
        <v/>
      </c>
      <c r="Q1881" s="28">
        <f>IF(OR($A1881="",$L1881=""),"",IF(AND($N1881="Sí",$P1881="Sí"),"OTIF","Falló"))</f>
        <v/>
      </c>
    </row>
    <row r="1882" ht="16" customHeight="1">
      <c r="A1882" s="48" t="n"/>
      <c r="B1882" s="48" t="n"/>
      <c r="C1882" s="47" t="n"/>
      <c r="D1882" s="50" t="n"/>
      <c r="E1882" s="50" t="n"/>
      <c r="F1882" s="50" t="n"/>
      <c r="G1882" s="50" t="n"/>
      <c r="H1882" s="48" t="n"/>
      <c r="I1882" s="51" t="n"/>
      <c r="J1882" s="52" t="n"/>
      <c r="K1882" s="47" t="n"/>
      <c r="L1882" s="47" t="n"/>
      <c r="M1882" s="24">
        <f>IF(OR($A1882="",$C1882=""),"",IF($L1882&lt;&gt;"",$L1882-$C1882,TODAY()-$C1882))</f>
        <v/>
      </c>
      <c r="N1882" s="28">
        <f>IF(OR($A1882="",$K1882=""),"",IF($L1882="",IF(TODAY()&gt;$K1882,"Atrasado","En ruta"),IF($L1882&lt;=$K1882,"Sí","No")))</f>
        <v/>
      </c>
      <c r="O1882" s="24">
        <f>IF($A1882="","",COUNTIFS(NOVEDADES!$D$4:$D$1503,$A1882))</f>
        <v/>
      </c>
      <c r="P1882" s="28">
        <f>IF($A1882="","",IF(COUNTIFS(NOVEDADES!$D$4:$D$1503,$A1882,NOVEDADES!$O$4:$O$1503,"SÍ")&gt;0,"No","Sí"))</f>
        <v/>
      </c>
      <c r="Q1882" s="28">
        <f>IF(OR($A1882="",$L1882=""),"",IF(AND($N1882="Sí",$P1882="Sí"),"OTIF","Falló"))</f>
        <v/>
      </c>
    </row>
    <row r="1883" ht="16" customHeight="1">
      <c r="A1883" s="48" t="n"/>
      <c r="B1883" s="48" t="n"/>
      <c r="C1883" s="47" t="n"/>
      <c r="D1883" s="50" t="n"/>
      <c r="E1883" s="50" t="n"/>
      <c r="F1883" s="50" t="n"/>
      <c r="G1883" s="50" t="n"/>
      <c r="H1883" s="48" t="n"/>
      <c r="I1883" s="51" t="n"/>
      <c r="J1883" s="52" t="n"/>
      <c r="K1883" s="47" t="n"/>
      <c r="L1883" s="47" t="n"/>
      <c r="M1883" s="24">
        <f>IF(OR($A1883="",$C1883=""),"",IF($L1883&lt;&gt;"",$L1883-$C1883,TODAY()-$C1883))</f>
        <v/>
      </c>
      <c r="N1883" s="28">
        <f>IF(OR($A1883="",$K1883=""),"",IF($L1883="",IF(TODAY()&gt;$K1883,"Atrasado","En ruta"),IF($L1883&lt;=$K1883,"Sí","No")))</f>
        <v/>
      </c>
      <c r="O1883" s="24">
        <f>IF($A1883="","",COUNTIFS(NOVEDADES!$D$4:$D$1503,$A1883))</f>
        <v/>
      </c>
      <c r="P1883" s="28">
        <f>IF($A1883="","",IF(COUNTIFS(NOVEDADES!$D$4:$D$1503,$A1883,NOVEDADES!$O$4:$O$1503,"SÍ")&gt;0,"No","Sí"))</f>
        <v/>
      </c>
      <c r="Q1883" s="28">
        <f>IF(OR($A1883="",$L1883=""),"",IF(AND($N1883="Sí",$P1883="Sí"),"OTIF","Falló"))</f>
        <v/>
      </c>
    </row>
    <row r="1884" ht="16" customHeight="1">
      <c r="A1884" s="48" t="n"/>
      <c r="B1884" s="48" t="n"/>
      <c r="C1884" s="47" t="n"/>
      <c r="D1884" s="50" t="n"/>
      <c r="E1884" s="50" t="n"/>
      <c r="F1884" s="50" t="n"/>
      <c r="G1884" s="50" t="n"/>
      <c r="H1884" s="48" t="n"/>
      <c r="I1884" s="51" t="n"/>
      <c r="J1884" s="52" t="n"/>
      <c r="K1884" s="47" t="n"/>
      <c r="L1884" s="47" t="n"/>
      <c r="M1884" s="24">
        <f>IF(OR($A1884="",$C1884=""),"",IF($L1884&lt;&gt;"",$L1884-$C1884,TODAY()-$C1884))</f>
        <v/>
      </c>
      <c r="N1884" s="28">
        <f>IF(OR($A1884="",$K1884=""),"",IF($L1884="",IF(TODAY()&gt;$K1884,"Atrasado","En ruta"),IF($L1884&lt;=$K1884,"Sí","No")))</f>
        <v/>
      </c>
      <c r="O1884" s="24">
        <f>IF($A1884="","",COUNTIFS(NOVEDADES!$D$4:$D$1503,$A1884))</f>
        <v/>
      </c>
      <c r="P1884" s="28">
        <f>IF($A1884="","",IF(COUNTIFS(NOVEDADES!$D$4:$D$1503,$A1884,NOVEDADES!$O$4:$O$1503,"SÍ")&gt;0,"No","Sí"))</f>
        <v/>
      </c>
      <c r="Q1884" s="28">
        <f>IF(OR($A1884="",$L1884=""),"",IF(AND($N1884="Sí",$P1884="Sí"),"OTIF","Falló"))</f>
        <v/>
      </c>
    </row>
    <row r="1885" ht="16" customHeight="1">
      <c r="A1885" s="48" t="n"/>
      <c r="B1885" s="48" t="n"/>
      <c r="C1885" s="47" t="n"/>
      <c r="D1885" s="50" t="n"/>
      <c r="E1885" s="50" t="n"/>
      <c r="F1885" s="50" t="n"/>
      <c r="G1885" s="50" t="n"/>
      <c r="H1885" s="48" t="n"/>
      <c r="I1885" s="51" t="n"/>
      <c r="J1885" s="52" t="n"/>
      <c r="K1885" s="47" t="n"/>
      <c r="L1885" s="47" t="n"/>
      <c r="M1885" s="24">
        <f>IF(OR($A1885="",$C1885=""),"",IF($L1885&lt;&gt;"",$L1885-$C1885,TODAY()-$C1885))</f>
        <v/>
      </c>
      <c r="N1885" s="28">
        <f>IF(OR($A1885="",$K1885=""),"",IF($L1885="",IF(TODAY()&gt;$K1885,"Atrasado","En ruta"),IF($L1885&lt;=$K1885,"Sí","No")))</f>
        <v/>
      </c>
      <c r="O1885" s="24">
        <f>IF($A1885="","",COUNTIFS(NOVEDADES!$D$4:$D$1503,$A1885))</f>
        <v/>
      </c>
      <c r="P1885" s="28">
        <f>IF($A1885="","",IF(COUNTIFS(NOVEDADES!$D$4:$D$1503,$A1885,NOVEDADES!$O$4:$O$1503,"SÍ")&gt;0,"No","Sí"))</f>
        <v/>
      </c>
      <c r="Q1885" s="28">
        <f>IF(OR($A1885="",$L1885=""),"",IF(AND($N1885="Sí",$P1885="Sí"),"OTIF","Falló"))</f>
        <v/>
      </c>
    </row>
    <row r="1886" ht="16" customHeight="1">
      <c r="A1886" s="48" t="n"/>
      <c r="B1886" s="48" t="n"/>
      <c r="C1886" s="47" t="n"/>
      <c r="D1886" s="50" t="n"/>
      <c r="E1886" s="50" t="n"/>
      <c r="F1886" s="50" t="n"/>
      <c r="G1886" s="50" t="n"/>
      <c r="H1886" s="48" t="n"/>
      <c r="I1886" s="51" t="n"/>
      <c r="J1886" s="52" t="n"/>
      <c r="K1886" s="47" t="n"/>
      <c r="L1886" s="47" t="n"/>
      <c r="M1886" s="24">
        <f>IF(OR($A1886="",$C1886=""),"",IF($L1886&lt;&gt;"",$L1886-$C1886,TODAY()-$C1886))</f>
        <v/>
      </c>
      <c r="N1886" s="28">
        <f>IF(OR($A1886="",$K1886=""),"",IF($L1886="",IF(TODAY()&gt;$K1886,"Atrasado","En ruta"),IF($L1886&lt;=$K1886,"Sí","No")))</f>
        <v/>
      </c>
      <c r="O1886" s="24">
        <f>IF($A1886="","",COUNTIFS(NOVEDADES!$D$4:$D$1503,$A1886))</f>
        <v/>
      </c>
      <c r="P1886" s="28">
        <f>IF($A1886="","",IF(COUNTIFS(NOVEDADES!$D$4:$D$1503,$A1886,NOVEDADES!$O$4:$O$1503,"SÍ")&gt;0,"No","Sí"))</f>
        <v/>
      </c>
      <c r="Q1886" s="28">
        <f>IF(OR($A1886="",$L1886=""),"",IF(AND($N1886="Sí",$P1886="Sí"),"OTIF","Falló"))</f>
        <v/>
      </c>
    </row>
    <row r="1887" ht="16" customHeight="1">
      <c r="A1887" s="48" t="n"/>
      <c r="B1887" s="48" t="n"/>
      <c r="C1887" s="47" t="n"/>
      <c r="D1887" s="50" t="n"/>
      <c r="E1887" s="50" t="n"/>
      <c r="F1887" s="50" t="n"/>
      <c r="G1887" s="50" t="n"/>
      <c r="H1887" s="48" t="n"/>
      <c r="I1887" s="51" t="n"/>
      <c r="J1887" s="52" t="n"/>
      <c r="K1887" s="47" t="n"/>
      <c r="L1887" s="47" t="n"/>
      <c r="M1887" s="24">
        <f>IF(OR($A1887="",$C1887=""),"",IF($L1887&lt;&gt;"",$L1887-$C1887,TODAY()-$C1887))</f>
        <v/>
      </c>
      <c r="N1887" s="28">
        <f>IF(OR($A1887="",$K1887=""),"",IF($L1887="",IF(TODAY()&gt;$K1887,"Atrasado","En ruta"),IF($L1887&lt;=$K1887,"Sí","No")))</f>
        <v/>
      </c>
      <c r="O1887" s="24">
        <f>IF($A1887="","",COUNTIFS(NOVEDADES!$D$4:$D$1503,$A1887))</f>
        <v/>
      </c>
      <c r="P1887" s="28">
        <f>IF($A1887="","",IF(COUNTIFS(NOVEDADES!$D$4:$D$1503,$A1887,NOVEDADES!$O$4:$O$1503,"SÍ")&gt;0,"No","Sí"))</f>
        <v/>
      </c>
      <c r="Q1887" s="28">
        <f>IF(OR($A1887="",$L1887=""),"",IF(AND($N1887="Sí",$P1887="Sí"),"OTIF","Falló"))</f>
        <v/>
      </c>
    </row>
    <row r="1888" ht="16" customHeight="1">
      <c r="A1888" s="48" t="n"/>
      <c r="B1888" s="48" t="n"/>
      <c r="C1888" s="47" t="n"/>
      <c r="D1888" s="50" t="n"/>
      <c r="E1888" s="50" t="n"/>
      <c r="F1888" s="50" t="n"/>
      <c r="G1888" s="50" t="n"/>
      <c r="H1888" s="48" t="n"/>
      <c r="I1888" s="51" t="n"/>
      <c r="J1888" s="52" t="n"/>
      <c r="K1888" s="47" t="n"/>
      <c r="L1888" s="47" t="n"/>
      <c r="M1888" s="24">
        <f>IF(OR($A1888="",$C1888=""),"",IF($L1888&lt;&gt;"",$L1888-$C1888,TODAY()-$C1888))</f>
        <v/>
      </c>
      <c r="N1888" s="28">
        <f>IF(OR($A1888="",$K1888=""),"",IF($L1888="",IF(TODAY()&gt;$K1888,"Atrasado","En ruta"),IF($L1888&lt;=$K1888,"Sí","No")))</f>
        <v/>
      </c>
      <c r="O1888" s="24">
        <f>IF($A1888="","",COUNTIFS(NOVEDADES!$D$4:$D$1503,$A1888))</f>
        <v/>
      </c>
      <c r="P1888" s="28">
        <f>IF($A1888="","",IF(COUNTIFS(NOVEDADES!$D$4:$D$1503,$A1888,NOVEDADES!$O$4:$O$1503,"SÍ")&gt;0,"No","Sí"))</f>
        <v/>
      </c>
      <c r="Q1888" s="28">
        <f>IF(OR($A1888="",$L1888=""),"",IF(AND($N1888="Sí",$P1888="Sí"),"OTIF","Falló"))</f>
        <v/>
      </c>
    </row>
    <row r="1889" ht="16" customHeight="1">
      <c r="A1889" s="48" t="n"/>
      <c r="B1889" s="48" t="n"/>
      <c r="C1889" s="47" t="n"/>
      <c r="D1889" s="50" t="n"/>
      <c r="E1889" s="50" t="n"/>
      <c r="F1889" s="50" t="n"/>
      <c r="G1889" s="50" t="n"/>
      <c r="H1889" s="48" t="n"/>
      <c r="I1889" s="51" t="n"/>
      <c r="J1889" s="52" t="n"/>
      <c r="K1889" s="47" t="n"/>
      <c r="L1889" s="47" t="n"/>
      <c r="M1889" s="24">
        <f>IF(OR($A1889="",$C1889=""),"",IF($L1889&lt;&gt;"",$L1889-$C1889,TODAY()-$C1889))</f>
        <v/>
      </c>
      <c r="N1889" s="28">
        <f>IF(OR($A1889="",$K1889=""),"",IF($L1889="",IF(TODAY()&gt;$K1889,"Atrasado","En ruta"),IF($L1889&lt;=$K1889,"Sí","No")))</f>
        <v/>
      </c>
      <c r="O1889" s="24">
        <f>IF($A1889="","",COUNTIFS(NOVEDADES!$D$4:$D$1503,$A1889))</f>
        <v/>
      </c>
      <c r="P1889" s="28">
        <f>IF($A1889="","",IF(COUNTIFS(NOVEDADES!$D$4:$D$1503,$A1889,NOVEDADES!$O$4:$O$1503,"SÍ")&gt;0,"No","Sí"))</f>
        <v/>
      </c>
      <c r="Q1889" s="28">
        <f>IF(OR($A1889="",$L1889=""),"",IF(AND($N1889="Sí",$P1889="Sí"),"OTIF","Falló"))</f>
        <v/>
      </c>
    </row>
    <row r="1890" ht="16" customHeight="1">
      <c r="A1890" s="48" t="n"/>
      <c r="B1890" s="48" t="n"/>
      <c r="C1890" s="47" t="n"/>
      <c r="D1890" s="50" t="n"/>
      <c r="E1890" s="50" t="n"/>
      <c r="F1890" s="50" t="n"/>
      <c r="G1890" s="50" t="n"/>
      <c r="H1890" s="48" t="n"/>
      <c r="I1890" s="51" t="n"/>
      <c r="J1890" s="52" t="n"/>
      <c r="K1890" s="47" t="n"/>
      <c r="L1890" s="47" t="n"/>
      <c r="M1890" s="24">
        <f>IF(OR($A1890="",$C1890=""),"",IF($L1890&lt;&gt;"",$L1890-$C1890,TODAY()-$C1890))</f>
        <v/>
      </c>
      <c r="N1890" s="28">
        <f>IF(OR($A1890="",$K1890=""),"",IF($L1890="",IF(TODAY()&gt;$K1890,"Atrasado","En ruta"),IF($L1890&lt;=$K1890,"Sí","No")))</f>
        <v/>
      </c>
      <c r="O1890" s="24">
        <f>IF($A1890="","",COUNTIFS(NOVEDADES!$D$4:$D$1503,$A1890))</f>
        <v/>
      </c>
      <c r="P1890" s="28">
        <f>IF($A1890="","",IF(COUNTIFS(NOVEDADES!$D$4:$D$1503,$A1890,NOVEDADES!$O$4:$O$1503,"SÍ")&gt;0,"No","Sí"))</f>
        <v/>
      </c>
      <c r="Q1890" s="28">
        <f>IF(OR($A1890="",$L1890=""),"",IF(AND($N1890="Sí",$P1890="Sí"),"OTIF","Falló"))</f>
        <v/>
      </c>
    </row>
    <row r="1891" ht="16" customHeight="1">
      <c r="A1891" s="48" t="n"/>
      <c r="B1891" s="48" t="n"/>
      <c r="C1891" s="47" t="n"/>
      <c r="D1891" s="50" t="n"/>
      <c r="E1891" s="50" t="n"/>
      <c r="F1891" s="50" t="n"/>
      <c r="G1891" s="50" t="n"/>
      <c r="H1891" s="48" t="n"/>
      <c r="I1891" s="51" t="n"/>
      <c r="J1891" s="52" t="n"/>
      <c r="K1891" s="47" t="n"/>
      <c r="L1891" s="47" t="n"/>
      <c r="M1891" s="24">
        <f>IF(OR($A1891="",$C1891=""),"",IF($L1891&lt;&gt;"",$L1891-$C1891,TODAY()-$C1891))</f>
        <v/>
      </c>
      <c r="N1891" s="28">
        <f>IF(OR($A1891="",$K1891=""),"",IF($L1891="",IF(TODAY()&gt;$K1891,"Atrasado","En ruta"),IF($L1891&lt;=$K1891,"Sí","No")))</f>
        <v/>
      </c>
      <c r="O1891" s="24">
        <f>IF($A1891="","",COUNTIFS(NOVEDADES!$D$4:$D$1503,$A1891))</f>
        <v/>
      </c>
      <c r="P1891" s="28">
        <f>IF($A1891="","",IF(COUNTIFS(NOVEDADES!$D$4:$D$1503,$A1891,NOVEDADES!$O$4:$O$1503,"SÍ")&gt;0,"No","Sí"))</f>
        <v/>
      </c>
      <c r="Q1891" s="28">
        <f>IF(OR($A1891="",$L1891=""),"",IF(AND($N1891="Sí",$P1891="Sí"),"OTIF","Falló"))</f>
        <v/>
      </c>
    </row>
    <row r="1892" ht="16" customHeight="1">
      <c r="A1892" s="48" t="n"/>
      <c r="B1892" s="48" t="n"/>
      <c r="C1892" s="47" t="n"/>
      <c r="D1892" s="50" t="n"/>
      <c r="E1892" s="50" t="n"/>
      <c r="F1892" s="50" t="n"/>
      <c r="G1892" s="50" t="n"/>
      <c r="H1892" s="48" t="n"/>
      <c r="I1892" s="51" t="n"/>
      <c r="J1892" s="52" t="n"/>
      <c r="K1892" s="47" t="n"/>
      <c r="L1892" s="47" t="n"/>
      <c r="M1892" s="24">
        <f>IF(OR($A1892="",$C1892=""),"",IF($L1892&lt;&gt;"",$L1892-$C1892,TODAY()-$C1892))</f>
        <v/>
      </c>
      <c r="N1892" s="28">
        <f>IF(OR($A1892="",$K1892=""),"",IF($L1892="",IF(TODAY()&gt;$K1892,"Atrasado","En ruta"),IF($L1892&lt;=$K1892,"Sí","No")))</f>
        <v/>
      </c>
      <c r="O1892" s="24">
        <f>IF($A1892="","",COUNTIFS(NOVEDADES!$D$4:$D$1503,$A1892))</f>
        <v/>
      </c>
      <c r="P1892" s="28">
        <f>IF($A1892="","",IF(COUNTIFS(NOVEDADES!$D$4:$D$1503,$A1892,NOVEDADES!$O$4:$O$1503,"SÍ")&gt;0,"No","Sí"))</f>
        <v/>
      </c>
      <c r="Q1892" s="28">
        <f>IF(OR($A1892="",$L1892=""),"",IF(AND($N1892="Sí",$P1892="Sí"),"OTIF","Falló"))</f>
        <v/>
      </c>
    </row>
    <row r="1893" ht="16" customHeight="1">
      <c r="A1893" s="48" t="n"/>
      <c r="B1893" s="48" t="n"/>
      <c r="C1893" s="47" t="n"/>
      <c r="D1893" s="50" t="n"/>
      <c r="E1893" s="50" t="n"/>
      <c r="F1893" s="50" t="n"/>
      <c r="G1893" s="50" t="n"/>
      <c r="H1893" s="48" t="n"/>
      <c r="I1893" s="51" t="n"/>
      <c r="J1893" s="52" t="n"/>
      <c r="K1893" s="47" t="n"/>
      <c r="L1893" s="47" t="n"/>
      <c r="M1893" s="24">
        <f>IF(OR($A1893="",$C1893=""),"",IF($L1893&lt;&gt;"",$L1893-$C1893,TODAY()-$C1893))</f>
        <v/>
      </c>
      <c r="N1893" s="28">
        <f>IF(OR($A1893="",$K1893=""),"",IF($L1893="",IF(TODAY()&gt;$K1893,"Atrasado","En ruta"),IF($L1893&lt;=$K1893,"Sí","No")))</f>
        <v/>
      </c>
      <c r="O1893" s="24">
        <f>IF($A1893="","",COUNTIFS(NOVEDADES!$D$4:$D$1503,$A1893))</f>
        <v/>
      </c>
      <c r="P1893" s="28">
        <f>IF($A1893="","",IF(COUNTIFS(NOVEDADES!$D$4:$D$1503,$A1893,NOVEDADES!$O$4:$O$1503,"SÍ")&gt;0,"No","Sí"))</f>
        <v/>
      </c>
      <c r="Q1893" s="28">
        <f>IF(OR($A1893="",$L1893=""),"",IF(AND($N1893="Sí",$P1893="Sí"),"OTIF","Falló"))</f>
        <v/>
      </c>
    </row>
    <row r="1894" ht="16" customHeight="1">
      <c r="A1894" s="48" t="n"/>
      <c r="B1894" s="48" t="n"/>
      <c r="C1894" s="47" t="n"/>
      <c r="D1894" s="50" t="n"/>
      <c r="E1894" s="50" t="n"/>
      <c r="F1894" s="50" t="n"/>
      <c r="G1894" s="50" t="n"/>
      <c r="H1894" s="48" t="n"/>
      <c r="I1894" s="51" t="n"/>
      <c r="J1894" s="52" t="n"/>
      <c r="K1894" s="47" t="n"/>
      <c r="L1894" s="47" t="n"/>
      <c r="M1894" s="24">
        <f>IF(OR($A1894="",$C1894=""),"",IF($L1894&lt;&gt;"",$L1894-$C1894,TODAY()-$C1894))</f>
        <v/>
      </c>
      <c r="N1894" s="28">
        <f>IF(OR($A1894="",$K1894=""),"",IF($L1894="",IF(TODAY()&gt;$K1894,"Atrasado","En ruta"),IF($L1894&lt;=$K1894,"Sí","No")))</f>
        <v/>
      </c>
      <c r="O1894" s="24">
        <f>IF($A1894="","",COUNTIFS(NOVEDADES!$D$4:$D$1503,$A1894))</f>
        <v/>
      </c>
      <c r="P1894" s="28">
        <f>IF($A1894="","",IF(COUNTIFS(NOVEDADES!$D$4:$D$1503,$A1894,NOVEDADES!$O$4:$O$1503,"SÍ")&gt;0,"No","Sí"))</f>
        <v/>
      </c>
      <c r="Q1894" s="28">
        <f>IF(OR($A1894="",$L1894=""),"",IF(AND($N1894="Sí",$P1894="Sí"),"OTIF","Falló"))</f>
        <v/>
      </c>
    </row>
    <row r="1895" ht="16" customHeight="1">
      <c r="A1895" s="48" t="n"/>
      <c r="B1895" s="48" t="n"/>
      <c r="C1895" s="47" t="n"/>
      <c r="D1895" s="50" t="n"/>
      <c r="E1895" s="50" t="n"/>
      <c r="F1895" s="50" t="n"/>
      <c r="G1895" s="50" t="n"/>
      <c r="H1895" s="48" t="n"/>
      <c r="I1895" s="51" t="n"/>
      <c r="J1895" s="52" t="n"/>
      <c r="K1895" s="47" t="n"/>
      <c r="L1895" s="47" t="n"/>
      <c r="M1895" s="24">
        <f>IF(OR($A1895="",$C1895=""),"",IF($L1895&lt;&gt;"",$L1895-$C1895,TODAY()-$C1895))</f>
        <v/>
      </c>
      <c r="N1895" s="28">
        <f>IF(OR($A1895="",$K1895=""),"",IF($L1895="",IF(TODAY()&gt;$K1895,"Atrasado","En ruta"),IF($L1895&lt;=$K1895,"Sí","No")))</f>
        <v/>
      </c>
      <c r="O1895" s="24">
        <f>IF($A1895="","",COUNTIFS(NOVEDADES!$D$4:$D$1503,$A1895))</f>
        <v/>
      </c>
      <c r="P1895" s="28">
        <f>IF($A1895="","",IF(COUNTIFS(NOVEDADES!$D$4:$D$1503,$A1895,NOVEDADES!$O$4:$O$1503,"SÍ")&gt;0,"No","Sí"))</f>
        <v/>
      </c>
      <c r="Q1895" s="28">
        <f>IF(OR($A1895="",$L1895=""),"",IF(AND($N1895="Sí",$P1895="Sí"),"OTIF","Falló"))</f>
        <v/>
      </c>
    </row>
    <row r="1896" ht="16" customHeight="1">
      <c r="A1896" s="48" t="n"/>
      <c r="B1896" s="48" t="n"/>
      <c r="C1896" s="47" t="n"/>
      <c r="D1896" s="50" t="n"/>
      <c r="E1896" s="50" t="n"/>
      <c r="F1896" s="50" t="n"/>
      <c r="G1896" s="50" t="n"/>
      <c r="H1896" s="48" t="n"/>
      <c r="I1896" s="51" t="n"/>
      <c r="J1896" s="52" t="n"/>
      <c r="K1896" s="47" t="n"/>
      <c r="L1896" s="47" t="n"/>
      <c r="M1896" s="24">
        <f>IF(OR($A1896="",$C1896=""),"",IF($L1896&lt;&gt;"",$L1896-$C1896,TODAY()-$C1896))</f>
        <v/>
      </c>
      <c r="N1896" s="28">
        <f>IF(OR($A1896="",$K1896=""),"",IF($L1896="",IF(TODAY()&gt;$K1896,"Atrasado","En ruta"),IF($L1896&lt;=$K1896,"Sí","No")))</f>
        <v/>
      </c>
      <c r="O1896" s="24">
        <f>IF($A1896="","",COUNTIFS(NOVEDADES!$D$4:$D$1503,$A1896))</f>
        <v/>
      </c>
      <c r="P1896" s="28">
        <f>IF($A1896="","",IF(COUNTIFS(NOVEDADES!$D$4:$D$1503,$A1896,NOVEDADES!$O$4:$O$1503,"SÍ")&gt;0,"No","Sí"))</f>
        <v/>
      </c>
      <c r="Q1896" s="28">
        <f>IF(OR($A1896="",$L1896=""),"",IF(AND($N1896="Sí",$P1896="Sí"),"OTIF","Falló"))</f>
        <v/>
      </c>
    </row>
    <row r="1897" ht="16" customHeight="1">
      <c r="A1897" s="48" t="n"/>
      <c r="B1897" s="48" t="n"/>
      <c r="C1897" s="47" t="n"/>
      <c r="D1897" s="50" t="n"/>
      <c r="E1897" s="50" t="n"/>
      <c r="F1897" s="50" t="n"/>
      <c r="G1897" s="50" t="n"/>
      <c r="H1897" s="48" t="n"/>
      <c r="I1897" s="51" t="n"/>
      <c r="J1897" s="52" t="n"/>
      <c r="K1897" s="47" t="n"/>
      <c r="L1897" s="47" t="n"/>
      <c r="M1897" s="24">
        <f>IF(OR($A1897="",$C1897=""),"",IF($L1897&lt;&gt;"",$L1897-$C1897,TODAY()-$C1897))</f>
        <v/>
      </c>
      <c r="N1897" s="28">
        <f>IF(OR($A1897="",$K1897=""),"",IF($L1897="",IF(TODAY()&gt;$K1897,"Atrasado","En ruta"),IF($L1897&lt;=$K1897,"Sí","No")))</f>
        <v/>
      </c>
      <c r="O1897" s="24">
        <f>IF($A1897="","",COUNTIFS(NOVEDADES!$D$4:$D$1503,$A1897))</f>
        <v/>
      </c>
      <c r="P1897" s="28">
        <f>IF($A1897="","",IF(COUNTIFS(NOVEDADES!$D$4:$D$1503,$A1897,NOVEDADES!$O$4:$O$1503,"SÍ")&gt;0,"No","Sí"))</f>
        <v/>
      </c>
      <c r="Q1897" s="28">
        <f>IF(OR($A1897="",$L1897=""),"",IF(AND($N1897="Sí",$P1897="Sí"),"OTIF","Falló"))</f>
        <v/>
      </c>
    </row>
    <row r="1898" ht="16" customHeight="1">
      <c r="A1898" s="48" t="n"/>
      <c r="B1898" s="48" t="n"/>
      <c r="C1898" s="47" t="n"/>
      <c r="D1898" s="50" t="n"/>
      <c r="E1898" s="50" t="n"/>
      <c r="F1898" s="50" t="n"/>
      <c r="G1898" s="50" t="n"/>
      <c r="H1898" s="48" t="n"/>
      <c r="I1898" s="51" t="n"/>
      <c r="J1898" s="52" t="n"/>
      <c r="K1898" s="47" t="n"/>
      <c r="L1898" s="47" t="n"/>
      <c r="M1898" s="24">
        <f>IF(OR($A1898="",$C1898=""),"",IF($L1898&lt;&gt;"",$L1898-$C1898,TODAY()-$C1898))</f>
        <v/>
      </c>
      <c r="N1898" s="28">
        <f>IF(OR($A1898="",$K1898=""),"",IF($L1898="",IF(TODAY()&gt;$K1898,"Atrasado","En ruta"),IF($L1898&lt;=$K1898,"Sí","No")))</f>
        <v/>
      </c>
      <c r="O1898" s="24">
        <f>IF($A1898="","",COUNTIFS(NOVEDADES!$D$4:$D$1503,$A1898))</f>
        <v/>
      </c>
      <c r="P1898" s="28">
        <f>IF($A1898="","",IF(COUNTIFS(NOVEDADES!$D$4:$D$1503,$A1898,NOVEDADES!$O$4:$O$1503,"SÍ")&gt;0,"No","Sí"))</f>
        <v/>
      </c>
      <c r="Q1898" s="28">
        <f>IF(OR($A1898="",$L1898=""),"",IF(AND($N1898="Sí",$P1898="Sí"),"OTIF","Falló"))</f>
        <v/>
      </c>
    </row>
    <row r="1899" ht="16" customHeight="1">
      <c r="A1899" s="48" t="n"/>
      <c r="B1899" s="48" t="n"/>
      <c r="C1899" s="47" t="n"/>
      <c r="D1899" s="50" t="n"/>
      <c r="E1899" s="50" t="n"/>
      <c r="F1899" s="50" t="n"/>
      <c r="G1899" s="50" t="n"/>
      <c r="H1899" s="48" t="n"/>
      <c r="I1899" s="51" t="n"/>
      <c r="J1899" s="52" t="n"/>
      <c r="K1899" s="47" t="n"/>
      <c r="L1899" s="47" t="n"/>
      <c r="M1899" s="24">
        <f>IF(OR($A1899="",$C1899=""),"",IF($L1899&lt;&gt;"",$L1899-$C1899,TODAY()-$C1899))</f>
        <v/>
      </c>
      <c r="N1899" s="28">
        <f>IF(OR($A1899="",$K1899=""),"",IF($L1899="",IF(TODAY()&gt;$K1899,"Atrasado","En ruta"),IF($L1899&lt;=$K1899,"Sí","No")))</f>
        <v/>
      </c>
      <c r="O1899" s="24">
        <f>IF($A1899="","",COUNTIFS(NOVEDADES!$D$4:$D$1503,$A1899))</f>
        <v/>
      </c>
      <c r="P1899" s="28">
        <f>IF($A1899="","",IF(COUNTIFS(NOVEDADES!$D$4:$D$1503,$A1899,NOVEDADES!$O$4:$O$1503,"SÍ")&gt;0,"No","Sí"))</f>
        <v/>
      </c>
      <c r="Q1899" s="28">
        <f>IF(OR($A1899="",$L1899=""),"",IF(AND($N1899="Sí",$P1899="Sí"),"OTIF","Falló"))</f>
        <v/>
      </c>
    </row>
    <row r="1900" ht="16" customHeight="1">
      <c r="A1900" s="48" t="n"/>
      <c r="B1900" s="48" t="n"/>
      <c r="C1900" s="47" t="n"/>
      <c r="D1900" s="50" t="n"/>
      <c r="E1900" s="50" t="n"/>
      <c r="F1900" s="50" t="n"/>
      <c r="G1900" s="50" t="n"/>
      <c r="H1900" s="48" t="n"/>
      <c r="I1900" s="51" t="n"/>
      <c r="J1900" s="52" t="n"/>
      <c r="K1900" s="47" t="n"/>
      <c r="L1900" s="47" t="n"/>
      <c r="M1900" s="24">
        <f>IF(OR($A1900="",$C1900=""),"",IF($L1900&lt;&gt;"",$L1900-$C1900,TODAY()-$C1900))</f>
        <v/>
      </c>
      <c r="N1900" s="28">
        <f>IF(OR($A1900="",$K1900=""),"",IF($L1900="",IF(TODAY()&gt;$K1900,"Atrasado","En ruta"),IF($L1900&lt;=$K1900,"Sí","No")))</f>
        <v/>
      </c>
      <c r="O1900" s="24">
        <f>IF($A1900="","",COUNTIFS(NOVEDADES!$D$4:$D$1503,$A1900))</f>
        <v/>
      </c>
      <c r="P1900" s="28">
        <f>IF($A1900="","",IF(COUNTIFS(NOVEDADES!$D$4:$D$1503,$A1900,NOVEDADES!$O$4:$O$1503,"SÍ")&gt;0,"No","Sí"))</f>
        <v/>
      </c>
      <c r="Q1900" s="28">
        <f>IF(OR($A1900="",$L1900=""),"",IF(AND($N1900="Sí",$P1900="Sí"),"OTIF","Falló"))</f>
        <v/>
      </c>
    </row>
    <row r="1901" ht="16" customHeight="1">
      <c r="A1901" s="48" t="n"/>
      <c r="B1901" s="48" t="n"/>
      <c r="C1901" s="47" t="n"/>
      <c r="D1901" s="50" t="n"/>
      <c r="E1901" s="50" t="n"/>
      <c r="F1901" s="50" t="n"/>
      <c r="G1901" s="50" t="n"/>
      <c r="H1901" s="48" t="n"/>
      <c r="I1901" s="51" t="n"/>
      <c r="J1901" s="52" t="n"/>
      <c r="K1901" s="47" t="n"/>
      <c r="L1901" s="47" t="n"/>
      <c r="M1901" s="24">
        <f>IF(OR($A1901="",$C1901=""),"",IF($L1901&lt;&gt;"",$L1901-$C1901,TODAY()-$C1901))</f>
        <v/>
      </c>
      <c r="N1901" s="28">
        <f>IF(OR($A1901="",$K1901=""),"",IF($L1901="",IF(TODAY()&gt;$K1901,"Atrasado","En ruta"),IF($L1901&lt;=$K1901,"Sí","No")))</f>
        <v/>
      </c>
      <c r="O1901" s="24">
        <f>IF($A1901="","",COUNTIFS(NOVEDADES!$D$4:$D$1503,$A1901))</f>
        <v/>
      </c>
      <c r="P1901" s="28">
        <f>IF($A1901="","",IF(COUNTIFS(NOVEDADES!$D$4:$D$1503,$A1901,NOVEDADES!$O$4:$O$1503,"SÍ")&gt;0,"No","Sí"))</f>
        <v/>
      </c>
      <c r="Q1901" s="28">
        <f>IF(OR($A1901="",$L1901=""),"",IF(AND($N1901="Sí",$P1901="Sí"),"OTIF","Falló"))</f>
        <v/>
      </c>
    </row>
    <row r="1902" ht="16" customHeight="1">
      <c r="A1902" s="48" t="n"/>
      <c r="B1902" s="48" t="n"/>
      <c r="C1902" s="47" t="n"/>
      <c r="D1902" s="50" t="n"/>
      <c r="E1902" s="50" t="n"/>
      <c r="F1902" s="50" t="n"/>
      <c r="G1902" s="50" t="n"/>
      <c r="H1902" s="48" t="n"/>
      <c r="I1902" s="51" t="n"/>
      <c r="J1902" s="52" t="n"/>
      <c r="K1902" s="47" t="n"/>
      <c r="L1902" s="47" t="n"/>
      <c r="M1902" s="24">
        <f>IF(OR($A1902="",$C1902=""),"",IF($L1902&lt;&gt;"",$L1902-$C1902,TODAY()-$C1902))</f>
        <v/>
      </c>
      <c r="N1902" s="28">
        <f>IF(OR($A1902="",$K1902=""),"",IF($L1902="",IF(TODAY()&gt;$K1902,"Atrasado","En ruta"),IF($L1902&lt;=$K1902,"Sí","No")))</f>
        <v/>
      </c>
      <c r="O1902" s="24">
        <f>IF($A1902="","",COUNTIFS(NOVEDADES!$D$4:$D$1503,$A1902))</f>
        <v/>
      </c>
      <c r="P1902" s="28">
        <f>IF($A1902="","",IF(COUNTIFS(NOVEDADES!$D$4:$D$1503,$A1902,NOVEDADES!$O$4:$O$1503,"SÍ")&gt;0,"No","Sí"))</f>
        <v/>
      </c>
      <c r="Q1902" s="28">
        <f>IF(OR($A1902="",$L1902=""),"",IF(AND($N1902="Sí",$P1902="Sí"),"OTIF","Falló"))</f>
        <v/>
      </c>
    </row>
    <row r="1903" ht="16" customHeight="1">
      <c r="A1903" s="48" t="n"/>
      <c r="B1903" s="48" t="n"/>
      <c r="C1903" s="47" t="n"/>
      <c r="D1903" s="50" t="n"/>
      <c r="E1903" s="50" t="n"/>
      <c r="F1903" s="50" t="n"/>
      <c r="G1903" s="50" t="n"/>
      <c r="H1903" s="48" t="n"/>
      <c r="I1903" s="51" t="n"/>
      <c r="J1903" s="52" t="n"/>
      <c r="K1903" s="47" t="n"/>
      <c r="L1903" s="47" t="n"/>
      <c r="M1903" s="24">
        <f>IF(OR($A1903="",$C1903=""),"",IF($L1903&lt;&gt;"",$L1903-$C1903,TODAY()-$C1903))</f>
        <v/>
      </c>
      <c r="N1903" s="28">
        <f>IF(OR($A1903="",$K1903=""),"",IF($L1903="",IF(TODAY()&gt;$K1903,"Atrasado","En ruta"),IF($L1903&lt;=$K1903,"Sí","No")))</f>
        <v/>
      </c>
      <c r="O1903" s="24">
        <f>IF($A1903="","",COUNTIFS(NOVEDADES!$D$4:$D$1503,$A1903))</f>
        <v/>
      </c>
      <c r="P1903" s="28">
        <f>IF($A1903="","",IF(COUNTIFS(NOVEDADES!$D$4:$D$1503,$A1903,NOVEDADES!$O$4:$O$1503,"SÍ")&gt;0,"No","Sí"))</f>
        <v/>
      </c>
      <c r="Q1903" s="28">
        <f>IF(OR($A1903="",$L1903=""),"",IF(AND($N1903="Sí",$P1903="Sí"),"OTIF","Falló"))</f>
        <v/>
      </c>
    </row>
    <row r="1904" ht="16" customHeight="1">
      <c r="A1904" s="48" t="n"/>
      <c r="B1904" s="48" t="n"/>
      <c r="C1904" s="47" t="n"/>
      <c r="D1904" s="50" t="n"/>
      <c r="E1904" s="50" t="n"/>
      <c r="F1904" s="50" t="n"/>
      <c r="G1904" s="50" t="n"/>
      <c r="H1904" s="48" t="n"/>
      <c r="I1904" s="51" t="n"/>
      <c r="J1904" s="52" t="n"/>
      <c r="K1904" s="47" t="n"/>
      <c r="L1904" s="47" t="n"/>
      <c r="M1904" s="24">
        <f>IF(OR($A1904="",$C1904=""),"",IF($L1904&lt;&gt;"",$L1904-$C1904,TODAY()-$C1904))</f>
        <v/>
      </c>
      <c r="N1904" s="28">
        <f>IF(OR($A1904="",$K1904=""),"",IF($L1904="",IF(TODAY()&gt;$K1904,"Atrasado","En ruta"),IF($L1904&lt;=$K1904,"Sí","No")))</f>
        <v/>
      </c>
      <c r="O1904" s="24">
        <f>IF($A1904="","",COUNTIFS(NOVEDADES!$D$4:$D$1503,$A1904))</f>
        <v/>
      </c>
      <c r="P1904" s="28">
        <f>IF($A1904="","",IF(COUNTIFS(NOVEDADES!$D$4:$D$1503,$A1904,NOVEDADES!$O$4:$O$1503,"SÍ")&gt;0,"No","Sí"))</f>
        <v/>
      </c>
      <c r="Q1904" s="28">
        <f>IF(OR($A1904="",$L1904=""),"",IF(AND($N1904="Sí",$P1904="Sí"),"OTIF","Falló"))</f>
        <v/>
      </c>
    </row>
    <row r="1905" ht="16" customHeight="1">
      <c r="A1905" s="48" t="n"/>
      <c r="B1905" s="48" t="n"/>
      <c r="C1905" s="47" t="n"/>
      <c r="D1905" s="50" t="n"/>
      <c r="E1905" s="50" t="n"/>
      <c r="F1905" s="50" t="n"/>
      <c r="G1905" s="50" t="n"/>
      <c r="H1905" s="48" t="n"/>
      <c r="I1905" s="51" t="n"/>
      <c r="J1905" s="52" t="n"/>
      <c r="K1905" s="47" t="n"/>
      <c r="L1905" s="47" t="n"/>
      <c r="M1905" s="24">
        <f>IF(OR($A1905="",$C1905=""),"",IF($L1905&lt;&gt;"",$L1905-$C1905,TODAY()-$C1905))</f>
        <v/>
      </c>
      <c r="N1905" s="28">
        <f>IF(OR($A1905="",$K1905=""),"",IF($L1905="",IF(TODAY()&gt;$K1905,"Atrasado","En ruta"),IF($L1905&lt;=$K1905,"Sí","No")))</f>
        <v/>
      </c>
      <c r="O1905" s="24">
        <f>IF($A1905="","",COUNTIFS(NOVEDADES!$D$4:$D$1503,$A1905))</f>
        <v/>
      </c>
      <c r="P1905" s="28">
        <f>IF($A1905="","",IF(COUNTIFS(NOVEDADES!$D$4:$D$1503,$A1905,NOVEDADES!$O$4:$O$1503,"SÍ")&gt;0,"No","Sí"))</f>
        <v/>
      </c>
      <c r="Q1905" s="28">
        <f>IF(OR($A1905="",$L1905=""),"",IF(AND($N1905="Sí",$P1905="Sí"),"OTIF","Falló"))</f>
        <v/>
      </c>
    </row>
    <row r="1906" ht="16" customHeight="1">
      <c r="A1906" s="48" t="n"/>
      <c r="B1906" s="48" t="n"/>
      <c r="C1906" s="47" t="n"/>
      <c r="D1906" s="50" t="n"/>
      <c r="E1906" s="50" t="n"/>
      <c r="F1906" s="50" t="n"/>
      <c r="G1906" s="50" t="n"/>
      <c r="H1906" s="48" t="n"/>
      <c r="I1906" s="51" t="n"/>
      <c r="J1906" s="52" t="n"/>
      <c r="K1906" s="47" t="n"/>
      <c r="L1906" s="47" t="n"/>
      <c r="M1906" s="24">
        <f>IF(OR($A1906="",$C1906=""),"",IF($L1906&lt;&gt;"",$L1906-$C1906,TODAY()-$C1906))</f>
        <v/>
      </c>
      <c r="N1906" s="28">
        <f>IF(OR($A1906="",$K1906=""),"",IF($L1906="",IF(TODAY()&gt;$K1906,"Atrasado","En ruta"),IF($L1906&lt;=$K1906,"Sí","No")))</f>
        <v/>
      </c>
      <c r="O1906" s="24">
        <f>IF($A1906="","",COUNTIFS(NOVEDADES!$D$4:$D$1503,$A1906))</f>
        <v/>
      </c>
      <c r="P1906" s="28">
        <f>IF($A1906="","",IF(COUNTIFS(NOVEDADES!$D$4:$D$1503,$A1906,NOVEDADES!$O$4:$O$1503,"SÍ")&gt;0,"No","Sí"))</f>
        <v/>
      </c>
      <c r="Q1906" s="28">
        <f>IF(OR($A1906="",$L1906=""),"",IF(AND($N1906="Sí",$P1906="Sí"),"OTIF","Falló"))</f>
        <v/>
      </c>
    </row>
    <row r="1907" ht="16" customHeight="1">
      <c r="A1907" s="48" t="n"/>
      <c r="B1907" s="48" t="n"/>
      <c r="C1907" s="47" t="n"/>
      <c r="D1907" s="50" t="n"/>
      <c r="E1907" s="50" t="n"/>
      <c r="F1907" s="50" t="n"/>
      <c r="G1907" s="50" t="n"/>
      <c r="H1907" s="48" t="n"/>
      <c r="I1907" s="51" t="n"/>
      <c r="J1907" s="52" t="n"/>
      <c r="K1907" s="47" t="n"/>
      <c r="L1907" s="47" t="n"/>
      <c r="M1907" s="24">
        <f>IF(OR($A1907="",$C1907=""),"",IF($L1907&lt;&gt;"",$L1907-$C1907,TODAY()-$C1907))</f>
        <v/>
      </c>
      <c r="N1907" s="28">
        <f>IF(OR($A1907="",$K1907=""),"",IF($L1907="",IF(TODAY()&gt;$K1907,"Atrasado","En ruta"),IF($L1907&lt;=$K1907,"Sí","No")))</f>
        <v/>
      </c>
      <c r="O1907" s="24">
        <f>IF($A1907="","",COUNTIFS(NOVEDADES!$D$4:$D$1503,$A1907))</f>
        <v/>
      </c>
      <c r="P1907" s="28">
        <f>IF($A1907="","",IF(COUNTIFS(NOVEDADES!$D$4:$D$1503,$A1907,NOVEDADES!$O$4:$O$1503,"SÍ")&gt;0,"No","Sí"))</f>
        <v/>
      </c>
      <c r="Q1907" s="28">
        <f>IF(OR($A1907="",$L1907=""),"",IF(AND($N1907="Sí",$P1907="Sí"),"OTIF","Falló"))</f>
        <v/>
      </c>
    </row>
    <row r="1908" ht="16" customHeight="1">
      <c r="A1908" s="48" t="n"/>
      <c r="B1908" s="48" t="n"/>
      <c r="C1908" s="47" t="n"/>
      <c r="D1908" s="50" t="n"/>
      <c r="E1908" s="50" t="n"/>
      <c r="F1908" s="50" t="n"/>
      <c r="G1908" s="50" t="n"/>
      <c r="H1908" s="48" t="n"/>
      <c r="I1908" s="51" t="n"/>
      <c r="J1908" s="52" t="n"/>
      <c r="K1908" s="47" t="n"/>
      <c r="L1908" s="47" t="n"/>
      <c r="M1908" s="24">
        <f>IF(OR($A1908="",$C1908=""),"",IF($L1908&lt;&gt;"",$L1908-$C1908,TODAY()-$C1908))</f>
        <v/>
      </c>
      <c r="N1908" s="28">
        <f>IF(OR($A1908="",$K1908=""),"",IF($L1908="",IF(TODAY()&gt;$K1908,"Atrasado","En ruta"),IF($L1908&lt;=$K1908,"Sí","No")))</f>
        <v/>
      </c>
      <c r="O1908" s="24">
        <f>IF($A1908="","",COUNTIFS(NOVEDADES!$D$4:$D$1503,$A1908))</f>
        <v/>
      </c>
      <c r="P1908" s="28">
        <f>IF($A1908="","",IF(COUNTIFS(NOVEDADES!$D$4:$D$1503,$A1908,NOVEDADES!$O$4:$O$1503,"SÍ")&gt;0,"No","Sí"))</f>
        <v/>
      </c>
      <c r="Q1908" s="28">
        <f>IF(OR($A1908="",$L1908=""),"",IF(AND($N1908="Sí",$P1908="Sí"),"OTIF","Falló"))</f>
        <v/>
      </c>
    </row>
    <row r="1909" ht="16" customHeight="1">
      <c r="A1909" s="48" t="n"/>
      <c r="B1909" s="48" t="n"/>
      <c r="C1909" s="47" t="n"/>
      <c r="D1909" s="50" t="n"/>
      <c r="E1909" s="50" t="n"/>
      <c r="F1909" s="50" t="n"/>
      <c r="G1909" s="50" t="n"/>
      <c r="H1909" s="48" t="n"/>
      <c r="I1909" s="51" t="n"/>
      <c r="J1909" s="52" t="n"/>
      <c r="K1909" s="47" t="n"/>
      <c r="L1909" s="47" t="n"/>
      <c r="M1909" s="24">
        <f>IF(OR($A1909="",$C1909=""),"",IF($L1909&lt;&gt;"",$L1909-$C1909,TODAY()-$C1909))</f>
        <v/>
      </c>
      <c r="N1909" s="28">
        <f>IF(OR($A1909="",$K1909=""),"",IF($L1909="",IF(TODAY()&gt;$K1909,"Atrasado","En ruta"),IF($L1909&lt;=$K1909,"Sí","No")))</f>
        <v/>
      </c>
      <c r="O1909" s="24">
        <f>IF($A1909="","",COUNTIFS(NOVEDADES!$D$4:$D$1503,$A1909))</f>
        <v/>
      </c>
      <c r="P1909" s="28">
        <f>IF($A1909="","",IF(COUNTIFS(NOVEDADES!$D$4:$D$1503,$A1909,NOVEDADES!$O$4:$O$1503,"SÍ")&gt;0,"No","Sí"))</f>
        <v/>
      </c>
      <c r="Q1909" s="28">
        <f>IF(OR($A1909="",$L1909=""),"",IF(AND($N1909="Sí",$P1909="Sí"),"OTIF","Falló"))</f>
        <v/>
      </c>
    </row>
    <row r="1910" ht="16" customHeight="1">
      <c r="A1910" s="48" t="n"/>
      <c r="B1910" s="48" t="n"/>
      <c r="C1910" s="47" t="n"/>
      <c r="D1910" s="50" t="n"/>
      <c r="E1910" s="50" t="n"/>
      <c r="F1910" s="50" t="n"/>
      <c r="G1910" s="50" t="n"/>
      <c r="H1910" s="48" t="n"/>
      <c r="I1910" s="51" t="n"/>
      <c r="J1910" s="52" t="n"/>
      <c r="K1910" s="47" t="n"/>
      <c r="L1910" s="47" t="n"/>
      <c r="M1910" s="24">
        <f>IF(OR($A1910="",$C1910=""),"",IF($L1910&lt;&gt;"",$L1910-$C1910,TODAY()-$C1910))</f>
        <v/>
      </c>
      <c r="N1910" s="28">
        <f>IF(OR($A1910="",$K1910=""),"",IF($L1910="",IF(TODAY()&gt;$K1910,"Atrasado","En ruta"),IF($L1910&lt;=$K1910,"Sí","No")))</f>
        <v/>
      </c>
      <c r="O1910" s="24">
        <f>IF($A1910="","",COUNTIFS(NOVEDADES!$D$4:$D$1503,$A1910))</f>
        <v/>
      </c>
      <c r="P1910" s="28">
        <f>IF($A1910="","",IF(COUNTIFS(NOVEDADES!$D$4:$D$1503,$A1910,NOVEDADES!$O$4:$O$1503,"SÍ")&gt;0,"No","Sí"))</f>
        <v/>
      </c>
      <c r="Q1910" s="28">
        <f>IF(OR($A1910="",$L1910=""),"",IF(AND($N1910="Sí",$P1910="Sí"),"OTIF","Falló"))</f>
        <v/>
      </c>
    </row>
    <row r="1911" ht="16" customHeight="1">
      <c r="A1911" s="48" t="n"/>
      <c r="B1911" s="48" t="n"/>
      <c r="C1911" s="47" t="n"/>
      <c r="D1911" s="50" t="n"/>
      <c r="E1911" s="50" t="n"/>
      <c r="F1911" s="50" t="n"/>
      <c r="G1911" s="50" t="n"/>
      <c r="H1911" s="48" t="n"/>
      <c r="I1911" s="51" t="n"/>
      <c r="J1911" s="52" t="n"/>
      <c r="K1911" s="47" t="n"/>
      <c r="L1911" s="47" t="n"/>
      <c r="M1911" s="24">
        <f>IF(OR($A1911="",$C1911=""),"",IF($L1911&lt;&gt;"",$L1911-$C1911,TODAY()-$C1911))</f>
        <v/>
      </c>
      <c r="N1911" s="28">
        <f>IF(OR($A1911="",$K1911=""),"",IF($L1911="",IF(TODAY()&gt;$K1911,"Atrasado","En ruta"),IF($L1911&lt;=$K1911,"Sí","No")))</f>
        <v/>
      </c>
      <c r="O1911" s="24">
        <f>IF($A1911="","",COUNTIFS(NOVEDADES!$D$4:$D$1503,$A1911))</f>
        <v/>
      </c>
      <c r="P1911" s="28">
        <f>IF($A1911="","",IF(COUNTIFS(NOVEDADES!$D$4:$D$1503,$A1911,NOVEDADES!$O$4:$O$1503,"SÍ")&gt;0,"No","Sí"))</f>
        <v/>
      </c>
      <c r="Q1911" s="28">
        <f>IF(OR($A1911="",$L1911=""),"",IF(AND($N1911="Sí",$P1911="Sí"),"OTIF","Falló"))</f>
        <v/>
      </c>
    </row>
    <row r="1912" ht="16" customHeight="1">
      <c r="A1912" s="48" t="n"/>
      <c r="B1912" s="48" t="n"/>
      <c r="C1912" s="47" t="n"/>
      <c r="D1912" s="50" t="n"/>
      <c r="E1912" s="50" t="n"/>
      <c r="F1912" s="50" t="n"/>
      <c r="G1912" s="50" t="n"/>
      <c r="H1912" s="48" t="n"/>
      <c r="I1912" s="51" t="n"/>
      <c r="J1912" s="52" t="n"/>
      <c r="K1912" s="47" t="n"/>
      <c r="L1912" s="47" t="n"/>
      <c r="M1912" s="24">
        <f>IF(OR($A1912="",$C1912=""),"",IF($L1912&lt;&gt;"",$L1912-$C1912,TODAY()-$C1912))</f>
        <v/>
      </c>
      <c r="N1912" s="28">
        <f>IF(OR($A1912="",$K1912=""),"",IF($L1912="",IF(TODAY()&gt;$K1912,"Atrasado","En ruta"),IF($L1912&lt;=$K1912,"Sí","No")))</f>
        <v/>
      </c>
      <c r="O1912" s="24">
        <f>IF($A1912="","",COUNTIFS(NOVEDADES!$D$4:$D$1503,$A1912))</f>
        <v/>
      </c>
      <c r="P1912" s="28">
        <f>IF($A1912="","",IF(COUNTIFS(NOVEDADES!$D$4:$D$1503,$A1912,NOVEDADES!$O$4:$O$1503,"SÍ")&gt;0,"No","Sí"))</f>
        <v/>
      </c>
      <c r="Q1912" s="28">
        <f>IF(OR($A1912="",$L1912=""),"",IF(AND($N1912="Sí",$P1912="Sí"),"OTIF","Falló"))</f>
        <v/>
      </c>
    </row>
    <row r="1913" ht="16" customHeight="1">
      <c r="A1913" s="48" t="n"/>
      <c r="B1913" s="48" t="n"/>
      <c r="C1913" s="47" t="n"/>
      <c r="D1913" s="50" t="n"/>
      <c r="E1913" s="50" t="n"/>
      <c r="F1913" s="50" t="n"/>
      <c r="G1913" s="50" t="n"/>
      <c r="H1913" s="48" t="n"/>
      <c r="I1913" s="51" t="n"/>
      <c r="J1913" s="52" t="n"/>
      <c r="K1913" s="47" t="n"/>
      <c r="L1913" s="47" t="n"/>
      <c r="M1913" s="24">
        <f>IF(OR($A1913="",$C1913=""),"",IF($L1913&lt;&gt;"",$L1913-$C1913,TODAY()-$C1913))</f>
        <v/>
      </c>
      <c r="N1913" s="28">
        <f>IF(OR($A1913="",$K1913=""),"",IF($L1913="",IF(TODAY()&gt;$K1913,"Atrasado","En ruta"),IF($L1913&lt;=$K1913,"Sí","No")))</f>
        <v/>
      </c>
      <c r="O1913" s="24">
        <f>IF($A1913="","",COUNTIFS(NOVEDADES!$D$4:$D$1503,$A1913))</f>
        <v/>
      </c>
      <c r="P1913" s="28">
        <f>IF($A1913="","",IF(COUNTIFS(NOVEDADES!$D$4:$D$1503,$A1913,NOVEDADES!$O$4:$O$1503,"SÍ")&gt;0,"No","Sí"))</f>
        <v/>
      </c>
      <c r="Q1913" s="28">
        <f>IF(OR($A1913="",$L1913=""),"",IF(AND($N1913="Sí",$P1913="Sí"),"OTIF","Falló"))</f>
        <v/>
      </c>
    </row>
    <row r="1914" ht="16" customHeight="1">
      <c r="A1914" s="48" t="n"/>
      <c r="B1914" s="48" t="n"/>
      <c r="C1914" s="47" t="n"/>
      <c r="D1914" s="50" t="n"/>
      <c r="E1914" s="50" t="n"/>
      <c r="F1914" s="50" t="n"/>
      <c r="G1914" s="50" t="n"/>
      <c r="H1914" s="48" t="n"/>
      <c r="I1914" s="51" t="n"/>
      <c r="J1914" s="52" t="n"/>
      <c r="K1914" s="47" t="n"/>
      <c r="L1914" s="47" t="n"/>
      <c r="M1914" s="24">
        <f>IF(OR($A1914="",$C1914=""),"",IF($L1914&lt;&gt;"",$L1914-$C1914,TODAY()-$C1914))</f>
        <v/>
      </c>
      <c r="N1914" s="28">
        <f>IF(OR($A1914="",$K1914=""),"",IF($L1914="",IF(TODAY()&gt;$K1914,"Atrasado","En ruta"),IF($L1914&lt;=$K1914,"Sí","No")))</f>
        <v/>
      </c>
      <c r="O1914" s="24">
        <f>IF($A1914="","",COUNTIFS(NOVEDADES!$D$4:$D$1503,$A1914))</f>
        <v/>
      </c>
      <c r="P1914" s="28">
        <f>IF($A1914="","",IF(COUNTIFS(NOVEDADES!$D$4:$D$1503,$A1914,NOVEDADES!$O$4:$O$1503,"SÍ")&gt;0,"No","Sí"))</f>
        <v/>
      </c>
      <c r="Q1914" s="28">
        <f>IF(OR($A1914="",$L1914=""),"",IF(AND($N1914="Sí",$P1914="Sí"),"OTIF","Falló"))</f>
        <v/>
      </c>
    </row>
    <row r="1915" ht="16" customHeight="1">
      <c r="A1915" s="48" t="n"/>
      <c r="B1915" s="48" t="n"/>
      <c r="C1915" s="47" t="n"/>
      <c r="D1915" s="50" t="n"/>
      <c r="E1915" s="50" t="n"/>
      <c r="F1915" s="50" t="n"/>
      <c r="G1915" s="50" t="n"/>
      <c r="H1915" s="48" t="n"/>
      <c r="I1915" s="51" t="n"/>
      <c r="J1915" s="52" t="n"/>
      <c r="K1915" s="47" t="n"/>
      <c r="L1915" s="47" t="n"/>
      <c r="M1915" s="24">
        <f>IF(OR($A1915="",$C1915=""),"",IF($L1915&lt;&gt;"",$L1915-$C1915,TODAY()-$C1915))</f>
        <v/>
      </c>
      <c r="N1915" s="28">
        <f>IF(OR($A1915="",$K1915=""),"",IF($L1915="",IF(TODAY()&gt;$K1915,"Atrasado","En ruta"),IF($L1915&lt;=$K1915,"Sí","No")))</f>
        <v/>
      </c>
      <c r="O1915" s="24">
        <f>IF($A1915="","",COUNTIFS(NOVEDADES!$D$4:$D$1503,$A1915))</f>
        <v/>
      </c>
      <c r="P1915" s="28">
        <f>IF($A1915="","",IF(COUNTIFS(NOVEDADES!$D$4:$D$1503,$A1915,NOVEDADES!$O$4:$O$1503,"SÍ")&gt;0,"No","Sí"))</f>
        <v/>
      </c>
      <c r="Q1915" s="28">
        <f>IF(OR($A1915="",$L1915=""),"",IF(AND($N1915="Sí",$P1915="Sí"),"OTIF","Falló"))</f>
        <v/>
      </c>
    </row>
    <row r="1916" ht="16" customHeight="1">
      <c r="A1916" s="48" t="n"/>
      <c r="B1916" s="48" t="n"/>
      <c r="C1916" s="47" t="n"/>
      <c r="D1916" s="50" t="n"/>
      <c r="E1916" s="50" t="n"/>
      <c r="F1916" s="50" t="n"/>
      <c r="G1916" s="50" t="n"/>
      <c r="H1916" s="48" t="n"/>
      <c r="I1916" s="51" t="n"/>
      <c r="J1916" s="52" t="n"/>
      <c r="K1916" s="47" t="n"/>
      <c r="L1916" s="47" t="n"/>
      <c r="M1916" s="24">
        <f>IF(OR($A1916="",$C1916=""),"",IF($L1916&lt;&gt;"",$L1916-$C1916,TODAY()-$C1916))</f>
        <v/>
      </c>
      <c r="N1916" s="28">
        <f>IF(OR($A1916="",$K1916=""),"",IF($L1916="",IF(TODAY()&gt;$K1916,"Atrasado","En ruta"),IF($L1916&lt;=$K1916,"Sí","No")))</f>
        <v/>
      </c>
      <c r="O1916" s="24">
        <f>IF($A1916="","",COUNTIFS(NOVEDADES!$D$4:$D$1503,$A1916))</f>
        <v/>
      </c>
      <c r="P1916" s="28">
        <f>IF($A1916="","",IF(COUNTIFS(NOVEDADES!$D$4:$D$1503,$A1916,NOVEDADES!$O$4:$O$1503,"SÍ")&gt;0,"No","Sí"))</f>
        <v/>
      </c>
      <c r="Q1916" s="28">
        <f>IF(OR($A1916="",$L1916=""),"",IF(AND($N1916="Sí",$P1916="Sí"),"OTIF","Falló"))</f>
        <v/>
      </c>
    </row>
    <row r="1917" ht="16" customHeight="1">
      <c r="A1917" s="48" t="n"/>
      <c r="B1917" s="48" t="n"/>
      <c r="C1917" s="47" t="n"/>
      <c r="D1917" s="50" t="n"/>
      <c r="E1917" s="50" t="n"/>
      <c r="F1917" s="50" t="n"/>
      <c r="G1917" s="50" t="n"/>
      <c r="H1917" s="48" t="n"/>
      <c r="I1917" s="51" t="n"/>
      <c r="J1917" s="52" t="n"/>
      <c r="K1917" s="47" t="n"/>
      <c r="L1917" s="47" t="n"/>
      <c r="M1917" s="24">
        <f>IF(OR($A1917="",$C1917=""),"",IF($L1917&lt;&gt;"",$L1917-$C1917,TODAY()-$C1917))</f>
        <v/>
      </c>
      <c r="N1917" s="28">
        <f>IF(OR($A1917="",$K1917=""),"",IF($L1917="",IF(TODAY()&gt;$K1917,"Atrasado","En ruta"),IF($L1917&lt;=$K1917,"Sí","No")))</f>
        <v/>
      </c>
      <c r="O1917" s="24">
        <f>IF($A1917="","",COUNTIFS(NOVEDADES!$D$4:$D$1503,$A1917))</f>
        <v/>
      </c>
      <c r="P1917" s="28">
        <f>IF($A1917="","",IF(COUNTIFS(NOVEDADES!$D$4:$D$1503,$A1917,NOVEDADES!$O$4:$O$1503,"SÍ")&gt;0,"No","Sí"))</f>
        <v/>
      </c>
      <c r="Q1917" s="28">
        <f>IF(OR($A1917="",$L1917=""),"",IF(AND($N1917="Sí",$P1917="Sí"),"OTIF","Falló"))</f>
        <v/>
      </c>
    </row>
    <row r="1918" ht="16" customHeight="1">
      <c r="A1918" s="48" t="n"/>
      <c r="B1918" s="48" t="n"/>
      <c r="C1918" s="47" t="n"/>
      <c r="D1918" s="50" t="n"/>
      <c r="E1918" s="50" t="n"/>
      <c r="F1918" s="50" t="n"/>
      <c r="G1918" s="50" t="n"/>
      <c r="H1918" s="48" t="n"/>
      <c r="I1918" s="51" t="n"/>
      <c r="J1918" s="52" t="n"/>
      <c r="K1918" s="47" t="n"/>
      <c r="L1918" s="47" t="n"/>
      <c r="M1918" s="24">
        <f>IF(OR($A1918="",$C1918=""),"",IF($L1918&lt;&gt;"",$L1918-$C1918,TODAY()-$C1918))</f>
        <v/>
      </c>
      <c r="N1918" s="28">
        <f>IF(OR($A1918="",$K1918=""),"",IF($L1918="",IF(TODAY()&gt;$K1918,"Atrasado","En ruta"),IF($L1918&lt;=$K1918,"Sí","No")))</f>
        <v/>
      </c>
      <c r="O1918" s="24">
        <f>IF($A1918="","",COUNTIFS(NOVEDADES!$D$4:$D$1503,$A1918))</f>
        <v/>
      </c>
      <c r="P1918" s="28">
        <f>IF($A1918="","",IF(COUNTIFS(NOVEDADES!$D$4:$D$1503,$A1918,NOVEDADES!$O$4:$O$1503,"SÍ")&gt;0,"No","Sí"))</f>
        <v/>
      </c>
      <c r="Q1918" s="28">
        <f>IF(OR($A1918="",$L1918=""),"",IF(AND($N1918="Sí",$P1918="Sí"),"OTIF","Falló"))</f>
        <v/>
      </c>
    </row>
    <row r="1919" ht="16" customHeight="1">
      <c r="A1919" s="48" t="n"/>
      <c r="B1919" s="48" t="n"/>
      <c r="C1919" s="47" t="n"/>
      <c r="D1919" s="50" t="n"/>
      <c r="E1919" s="50" t="n"/>
      <c r="F1919" s="50" t="n"/>
      <c r="G1919" s="50" t="n"/>
      <c r="H1919" s="48" t="n"/>
      <c r="I1919" s="51" t="n"/>
      <c r="J1919" s="52" t="n"/>
      <c r="K1919" s="47" t="n"/>
      <c r="L1919" s="47" t="n"/>
      <c r="M1919" s="24">
        <f>IF(OR($A1919="",$C1919=""),"",IF($L1919&lt;&gt;"",$L1919-$C1919,TODAY()-$C1919))</f>
        <v/>
      </c>
      <c r="N1919" s="28">
        <f>IF(OR($A1919="",$K1919=""),"",IF($L1919="",IF(TODAY()&gt;$K1919,"Atrasado","En ruta"),IF($L1919&lt;=$K1919,"Sí","No")))</f>
        <v/>
      </c>
      <c r="O1919" s="24">
        <f>IF($A1919="","",COUNTIFS(NOVEDADES!$D$4:$D$1503,$A1919))</f>
        <v/>
      </c>
      <c r="P1919" s="28">
        <f>IF($A1919="","",IF(COUNTIFS(NOVEDADES!$D$4:$D$1503,$A1919,NOVEDADES!$O$4:$O$1503,"SÍ")&gt;0,"No","Sí"))</f>
        <v/>
      </c>
      <c r="Q1919" s="28">
        <f>IF(OR($A1919="",$L1919=""),"",IF(AND($N1919="Sí",$P1919="Sí"),"OTIF","Falló"))</f>
        <v/>
      </c>
    </row>
    <row r="1920" ht="16" customHeight="1">
      <c r="A1920" s="48" t="n"/>
      <c r="B1920" s="48" t="n"/>
      <c r="C1920" s="47" t="n"/>
      <c r="D1920" s="50" t="n"/>
      <c r="E1920" s="50" t="n"/>
      <c r="F1920" s="50" t="n"/>
      <c r="G1920" s="50" t="n"/>
      <c r="H1920" s="48" t="n"/>
      <c r="I1920" s="51" t="n"/>
      <c r="J1920" s="52" t="n"/>
      <c r="K1920" s="47" t="n"/>
      <c r="L1920" s="47" t="n"/>
      <c r="M1920" s="24">
        <f>IF(OR($A1920="",$C1920=""),"",IF($L1920&lt;&gt;"",$L1920-$C1920,TODAY()-$C1920))</f>
        <v/>
      </c>
      <c r="N1920" s="28">
        <f>IF(OR($A1920="",$K1920=""),"",IF($L1920="",IF(TODAY()&gt;$K1920,"Atrasado","En ruta"),IF($L1920&lt;=$K1920,"Sí","No")))</f>
        <v/>
      </c>
      <c r="O1920" s="24">
        <f>IF($A1920="","",COUNTIFS(NOVEDADES!$D$4:$D$1503,$A1920))</f>
        <v/>
      </c>
      <c r="P1920" s="28">
        <f>IF($A1920="","",IF(COUNTIFS(NOVEDADES!$D$4:$D$1503,$A1920,NOVEDADES!$O$4:$O$1503,"SÍ")&gt;0,"No","Sí"))</f>
        <v/>
      </c>
      <c r="Q1920" s="28">
        <f>IF(OR($A1920="",$L1920=""),"",IF(AND($N1920="Sí",$P1920="Sí"),"OTIF","Falló"))</f>
        <v/>
      </c>
    </row>
    <row r="1921" ht="16" customHeight="1">
      <c r="A1921" s="48" t="n"/>
      <c r="B1921" s="48" t="n"/>
      <c r="C1921" s="47" t="n"/>
      <c r="D1921" s="50" t="n"/>
      <c r="E1921" s="50" t="n"/>
      <c r="F1921" s="50" t="n"/>
      <c r="G1921" s="50" t="n"/>
      <c r="H1921" s="48" t="n"/>
      <c r="I1921" s="51" t="n"/>
      <c r="J1921" s="52" t="n"/>
      <c r="K1921" s="47" t="n"/>
      <c r="L1921" s="47" t="n"/>
      <c r="M1921" s="24">
        <f>IF(OR($A1921="",$C1921=""),"",IF($L1921&lt;&gt;"",$L1921-$C1921,TODAY()-$C1921))</f>
        <v/>
      </c>
      <c r="N1921" s="28">
        <f>IF(OR($A1921="",$K1921=""),"",IF($L1921="",IF(TODAY()&gt;$K1921,"Atrasado","En ruta"),IF($L1921&lt;=$K1921,"Sí","No")))</f>
        <v/>
      </c>
      <c r="O1921" s="24">
        <f>IF($A1921="","",COUNTIFS(NOVEDADES!$D$4:$D$1503,$A1921))</f>
        <v/>
      </c>
      <c r="P1921" s="28">
        <f>IF($A1921="","",IF(COUNTIFS(NOVEDADES!$D$4:$D$1503,$A1921,NOVEDADES!$O$4:$O$1503,"SÍ")&gt;0,"No","Sí"))</f>
        <v/>
      </c>
      <c r="Q1921" s="28">
        <f>IF(OR($A1921="",$L1921=""),"",IF(AND($N1921="Sí",$P1921="Sí"),"OTIF","Falló"))</f>
        <v/>
      </c>
    </row>
    <row r="1922" ht="16" customHeight="1">
      <c r="A1922" s="48" t="n"/>
      <c r="B1922" s="48" t="n"/>
      <c r="C1922" s="47" t="n"/>
      <c r="D1922" s="50" t="n"/>
      <c r="E1922" s="50" t="n"/>
      <c r="F1922" s="50" t="n"/>
      <c r="G1922" s="50" t="n"/>
      <c r="H1922" s="48" t="n"/>
      <c r="I1922" s="51" t="n"/>
      <c r="J1922" s="52" t="n"/>
      <c r="K1922" s="47" t="n"/>
      <c r="L1922" s="47" t="n"/>
      <c r="M1922" s="24">
        <f>IF(OR($A1922="",$C1922=""),"",IF($L1922&lt;&gt;"",$L1922-$C1922,TODAY()-$C1922))</f>
        <v/>
      </c>
      <c r="N1922" s="28">
        <f>IF(OR($A1922="",$K1922=""),"",IF($L1922="",IF(TODAY()&gt;$K1922,"Atrasado","En ruta"),IF($L1922&lt;=$K1922,"Sí","No")))</f>
        <v/>
      </c>
      <c r="O1922" s="24">
        <f>IF($A1922="","",COUNTIFS(NOVEDADES!$D$4:$D$1503,$A1922))</f>
        <v/>
      </c>
      <c r="P1922" s="28">
        <f>IF($A1922="","",IF(COUNTIFS(NOVEDADES!$D$4:$D$1503,$A1922,NOVEDADES!$O$4:$O$1503,"SÍ")&gt;0,"No","Sí"))</f>
        <v/>
      </c>
      <c r="Q1922" s="28">
        <f>IF(OR($A1922="",$L1922=""),"",IF(AND($N1922="Sí",$P1922="Sí"),"OTIF","Falló"))</f>
        <v/>
      </c>
    </row>
    <row r="1923" ht="16" customHeight="1">
      <c r="A1923" s="48" t="n"/>
      <c r="B1923" s="48" t="n"/>
      <c r="C1923" s="47" t="n"/>
      <c r="D1923" s="50" t="n"/>
      <c r="E1923" s="50" t="n"/>
      <c r="F1923" s="50" t="n"/>
      <c r="G1923" s="50" t="n"/>
      <c r="H1923" s="48" t="n"/>
      <c r="I1923" s="51" t="n"/>
      <c r="J1923" s="52" t="n"/>
      <c r="K1923" s="47" t="n"/>
      <c r="L1923" s="47" t="n"/>
      <c r="M1923" s="24">
        <f>IF(OR($A1923="",$C1923=""),"",IF($L1923&lt;&gt;"",$L1923-$C1923,TODAY()-$C1923))</f>
        <v/>
      </c>
      <c r="N1923" s="28">
        <f>IF(OR($A1923="",$K1923=""),"",IF($L1923="",IF(TODAY()&gt;$K1923,"Atrasado","En ruta"),IF($L1923&lt;=$K1923,"Sí","No")))</f>
        <v/>
      </c>
      <c r="O1923" s="24">
        <f>IF($A1923="","",COUNTIFS(NOVEDADES!$D$4:$D$1503,$A1923))</f>
        <v/>
      </c>
      <c r="P1923" s="28">
        <f>IF($A1923="","",IF(COUNTIFS(NOVEDADES!$D$4:$D$1503,$A1923,NOVEDADES!$O$4:$O$1503,"SÍ")&gt;0,"No","Sí"))</f>
        <v/>
      </c>
      <c r="Q1923" s="28">
        <f>IF(OR($A1923="",$L1923=""),"",IF(AND($N1923="Sí",$P1923="Sí"),"OTIF","Falló"))</f>
        <v/>
      </c>
    </row>
    <row r="1924" ht="16" customHeight="1">
      <c r="A1924" s="48" t="n"/>
      <c r="B1924" s="48" t="n"/>
      <c r="C1924" s="47" t="n"/>
      <c r="D1924" s="50" t="n"/>
      <c r="E1924" s="50" t="n"/>
      <c r="F1924" s="50" t="n"/>
      <c r="G1924" s="50" t="n"/>
      <c r="H1924" s="48" t="n"/>
      <c r="I1924" s="51" t="n"/>
      <c r="J1924" s="52" t="n"/>
      <c r="K1924" s="47" t="n"/>
      <c r="L1924" s="47" t="n"/>
      <c r="M1924" s="24">
        <f>IF(OR($A1924="",$C1924=""),"",IF($L1924&lt;&gt;"",$L1924-$C1924,TODAY()-$C1924))</f>
        <v/>
      </c>
      <c r="N1924" s="28">
        <f>IF(OR($A1924="",$K1924=""),"",IF($L1924="",IF(TODAY()&gt;$K1924,"Atrasado","En ruta"),IF($L1924&lt;=$K1924,"Sí","No")))</f>
        <v/>
      </c>
      <c r="O1924" s="24">
        <f>IF($A1924="","",COUNTIFS(NOVEDADES!$D$4:$D$1503,$A1924))</f>
        <v/>
      </c>
      <c r="P1924" s="28">
        <f>IF($A1924="","",IF(COUNTIFS(NOVEDADES!$D$4:$D$1503,$A1924,NOVEDADES!$O$4:$O$1503,"SÍ")&gt;0,"No","Sí"))</f>
        <v/>
      </c>
      <c r="Q1924" s="28">
        <f>IF(OR($A1924="",$L1924=""),"",IF(AND($N1924="Sí",$P1924="Sí"),"OTIF","Falló"))</f>
        <v/>
      </c>
    </row>
    <row r="1925" ht="16" customHeight="1">
      <c r="A1925" s="48" t="n"/>
      <c r="B1925" s="48" t="n"/>
      <c r="C1925" s="47" t="n"/>
      <c r="D1925" s="50" t="n"/>
      <c r="E1925" s="50" t="n"/>
      <c r="F1925" s="50" t="n"/>
      <c r="G1925" s="50" t="n"/>
      <c r="H1925" s="48" t="n"/>
      <c r="I1925" s="51" t="n"/>
      <c r="J1925" s="52" t="n"/>
      <c r="K1925" s="47" t="n"/>
      <c r="L1925" s="47" t="n"/>
      <c r="M1925" s="24">
        <f>IF(OR($A1925="",$C1925=""),"",IF($L1925&lt;&gt;"",$L1925-$C1925,TODAY()-$C1925))</f>
        <v/>
      </c>
      <c r="N1925" s="28">
        <f>IF(OR($A1925="",$K1925=""),"",IF($L1925="",IF(TODAY()&gt;$K1925,"Atrasado","En ruta"),IF($L1925&lt;=$K1925,"Sí","No")))</f>
        <v/>
      </c>
      <c r="O1925" s="24">
        <f>IF($A1925="","",COUNTIFS(NOVEDADES!$D$4:$D$1503,$A1925))</f>
        <v/>
      </c>
      <c r="P1925" s="28">
        <f>IF($A1925="","",IF(COUNTIFS(NOVEDADES!$D$4:$D$1503,$A1925,NOVEDADES!$O$4:$O$1503,"SÍ")&gt;0,"No","Sí"))</f>
        <v/>
      </c>
      <c r="Q1925" s="28">
        <f>IF(OR($A1925="",$L1925=""),"",IF(AND($N1925="Sí",$P1925="Sí"),"OTIF","Falló"))</f>
        <v/>
      </c>
    </row>
    <row r="1926" ht="16" customHeight="1">
      <c r="A1926" s="48" t="n"/>
      <c r="B1926" s="48" t="n"/>
      <c r="C1926" s="47" t="n"/>
      <c r="D1926" s="50" t="n"/>
      <c r="E1926" s="50" t="n"/>
      <c r="F1926" s="50" t="n"/>
      <c r="G1926" s="50" t="n"/>
      <c r="H1926" s="48" t="n"/>
      <c r="I1926" s="51" t="n"/>
      <c r="J1926" s="52" t="n"/>
      <c r="K1926" s="47" t="n"/>
      <c r="L1926" s="47" t="n"/>
      <c r="M1926" s="24">
        <f>IF(OR($A1926="",$C1926=""),"",IF($L1926&lt;&gt;"",$L1926-$C1926,TODAY()-$C1926))</f>
        <v/>
      </c>
      <c r="N1926" s="28">
        <f>IF(OR($A1926="",$K1926=""),"",IF($L1926="",IF(TODAY()&gt;$K1926,"Atrasado","En ruta"),IF($L1926&lt;=$K1926,"Sí","No")))</f>
        <v/>
      </c>
      <c r="O1926" s="24">
        <f>IF($A1926="","",COUNTIFS(NOVEDADES!$D$4:$D$1503,$A1926))</f>
        <v/>
      </c>
      <c r="P1926" s="28">
        <f>IF($A1926="","",IF(COUNTIFS(NOVEDADES!$D$4:$D$1503,$A1926,NOVEDADES!$O$4:$O$1503,"SÍ")&gt;0,"No","Sí"))</f>
        <v/>
      </c>
      <c r="Q1926" s="28">
        <f>IF(OR($A1926="",$L1926=""),"",IF(AND($N1926="Sí",$P1926="Sí"),"OTIF","Falló"))</f>
        <v/>
      </c>
    </row>
    <row r="1927" ht="16" customHeight="1">
      <c r="A1927" s="48" t="n"/>
      <c r="B1927" s="48" t="n"/>
      <c r="C1927" s="47" t="n"/>
      <c r="D1927" s="50" t="n"/>
      <c r="E1927" s="50" t="n"/>
      <c r="F1927" s="50" t="n"/>
      <c r="G1927" s="50" t="n"/>
      <c r="H1927" s="48" t="n"/>
      <c r="I1927" s="51" t="n"/>
      <c r="J1927" s="52" t="n"/>
      <c r="K1927" s="47" t="n"/>
      <c r="L1927" s="47" t="n"/>
      <c r="M1927" s="24">
        <f>IF(OR($A1927="",$C1927=""),"",IF($L1927&lt;&gt;"",$L1927-$C1927,TODAY()-$C1927))</f>
        <v/>
      </c>
      <c r="N1927" s="28">
        <f>IF(OR($A1927="",$K1927=""),"",IF($L1927="",IF(TODAY()&gt;$K1927,"Atrasado","En ruta"),IF($L1927&lt;=$K1927,"Sí","No")))</f>
        <v/>
      </c>
      <c r="O1927" s="24">
        <f>IF($A1927="","",COUNTIFS(NOVEDADES!$D$4:$D$1503,$A1927))</f>
        <v/>
      </c>
      <c r="P1927" s="28">
        <f>IF($A1927="","",IF(COUNTIFS(NOVEDADES!$D$4:$D$1503,$A1927,NOVEDADES!$O$4:$O$1503,"SÍ")&gt;0,"No","Sí"))</f>
        <v/>
      </c>
      <c r="Q1927" s="28">
        <f>IF(OR($A1927="",$L1927=""),"",IF(AND($N1927="Sí",$P1927="Sí"),"OTIF","Falló"))</f>
        <v/>
      </c>
    </row>
    <row r="1928" ht="16" customHeight="1">
      <c r="A1928" s="48" t="n"/>
      <c r="B1928" s="48" t="n"/>
      <c r="C1928" s="47" t="n"/>
      <c r="D1928" s="50" t="n"/>
      <c r="E1928" s="50" t="n"/>
      <c r="F1928" s="50" t="n"/>
      <c r="G1928" s="50" t="n"/>
      <c r="H1928" s="48" t="n"/>
      <c r="I1928" s="51" t="n"/>
      <c r="J1928" s="52" t="n"/>
      <c r="K1928" s="47" t="n"/>
      <c r="L1928" s="47" t="n"/>
      <c r="M1928" s="24">
        <f>IF(OR($A1928="",$C1928=""),"",IF($L1928&lt;&gt;"",$L1928-$C1928,TODAY()-$C1928))</f>
        <v/>
      </c>
      <c r="N1928" s="28">
        <f>IF(OR($A1928="",$K1928=""),"",IF($L1928="",IF(TODAY()&gt;$K1928,"Atrasado","En ruta"),IF($L1928&lt;=$K1928,"Sí","No")))</f>
        <v/>
      </c>
      <c r="O1928" s="24">
        <f>IF($A1928="","",COUNTIFS(NOVEDADES!$D$4:$D$1503,$A1928))</f>
        <v/>
      </c>
      <c r="P1928" s="28">
        <f>IF($A1928="","",IF(COUNTIFS(NOVEDADES!$D$4:$D$1503,$A1928,NOVEDADES!$O$4:$O$1503,"SÍ")&gt;0,"No","Sí"))</f>
        <v/>
      </c>
      <c r="Q1928" s="28">
        <f>IF(OR($A1928="",$L1928=""),"",IF(AND($N1928="Sí",$P1928="Sí"),"OTIF","Falló"))</f>
        <v/>
      </c>
    </row>
    <row r="1929" ht="16" customHeight="1">
      <c r="A1929" s="48" t="n"/>
      <c r="B1929" s="48" t="n"/>
      <c r="C1929" s="47" t="n"/>
      <c r="D1929" s="50" t="n"/>
      <c r="E1929" s="50" t="n"/>
      <c r="F1929" s="50" t="n"/>
      <c r="G1929" s="50" t="n"/>
      <c r="H1929" s="48" t="n"/>
      <c r="I1929" s="51" t="n"/>
      <c r="J1929" s="52" t="n"/>
      <c r="K1929" s="47" t="n"/>
      <c r="L1929" s="47" t="n"/>
      <c r="M1929" s="24">
        <f>IF(OR($A1929="",$C1929=""),"",IF($L1929&lt;&gt;"",$L1929-$C1929,TODAY()-$C1929))</f>
        <v/>
      </c>
      <c r="N1929" s="28">
        <f>IF(OR($A1929="",$K1929=""),"",IF($L1929="",IF(TODAY()&gt;$K1929,"Atrasado","En ruta"),IF($L1929&lt;=$K1929,"Sí","No")))</f>
        <v/>
      </c>
      <c r="O1929" s="24">
        <f>IF($A1929="","",COUNTIFS(NOVEDADES!$D$4:$D$1503,$A1929))</f>
        <v/>
      </c>
      <c r="P1929" s="28">
        <f>IF($A1929="","",IF(COUNTIFS(NOVEDADES!$D$4:$D$1503,$A1929,NOVEDADES!$O$4:$O$1503,"SÍ")&gt;0,"No","Sí"))</f>
        <v/>
      </c>
      <c r="Q1929" s="28">
        <f>IF(OR($A1929="",$L1929=""),"",IF(AND($N1929="Sí",$P1929="Sí"),"OTIF","Falló"))</f>
        <v/>
      </c>
    </row>
    <row r="1930" ht="16" customHeight="1">
      <c r="A1930" s="48" t="n"/>
      <c r="B1930" s="48" t="n"/>
      <c r="C1930" s="47" t="n"/>
      <c r="D1930" s="50" t="n"/>
      <c r="E1930" s="50" t="n"/>
      <c r="F1930" s="50" t="n"/>
      <c r="G1930" s="50" t="n"/>
      <c r="H1930" s="48" t="n"/>
      <c r="I1930" s="51" t="n"/>
      <c r="J1930" s="52" t="n"/>
      <c r="K1930" s="47" t="n"/>
      <c r="L1930" s="47" t="n"/>
      <c r="M1930" s="24">
        <f>IF(OR($A1930="",$C1930=""),"",IF($L1930&lt;&gt;"",$L1930-$C1930,TODAY()-$C1930))</f>
        <v/>
      </c>
      <c r="N1930" s="28">
        <f>IF(OR($A1930="",$K1930=""),"",IF($L1930="",IF(TODAY()&gt;$K1930,"Atrasado","En ruta"),IF($L1930&lt;=$K1930,"Sí","No")))</f>
        <v/>
      </c>
      <c r="O1930" s="24">
        <f>IF($A1930="","",COUNTIFS(NOVEDADES!$D$4:$D$1503,$A1930))</f>
        <v/>
      </c>
      <c r="P1930" s="28">
        <f>IF($A1930="","",IF(COUNTIFS(NOVEDADES!$D$4:$D$1503,$A1930,NOVEDADES!$O$4:$O$1503,"SÍ")&gt;0,"No","Sí"))</f>
        <v/>
      </c>
      <c r="Q1930" s="28">
        <f>IF(OR($A1930="",$L1930=""),"",IF(AND($N1930="Sí",$P1930="Sí"),"OTIF","Falló"))</f>
        <v/>
      </c>
    </row>
    <row r="1931" ht="16" customHeight="1">
      <c r="A1931" s="48" t="n"/>
      <c r="B1931" s="48" t="n"/>
      <c r="C1931" s="47" t="n"/>
      <c r="D1931" s="50" t="n"/>
      <c r="E1931" s="50" t="n"/>
      <c r="F1931" s="50" t="n"/>
      <c r="G1931" s="50" t="n"/>
      <c r="H1931" s="48" t="n"/>
      <c r="I1931" s="51" t="n"/>
      <c r="J1931" s="52" t="n"/>
      <c r="K1931" s="47" t="n"/>
      <c r="L1931" s="47" t="n"/>
      <c r="M1931" s="24">
        <f>IF(OR($A1931="",$C1931=""),"",IF($L1931&lt;&gt;"",$L1931-$C1931,TODAY()-$C1931))</f>
        <v/>
      </c>
      <c r="N1931" s="28">
        <f>IF(OR($A1931="",$K1931=""),"",IF($L1931="",IF(TODAY()&gt;$K1931,"Atrasado","En ruta"),IF($L1931&lt;=$K1931,"Sí","No")))</f>
        <v/>
      </c>
      <c r="O1931" s="24">
        <f>IF($A1931="","",COUNTIFS(NOVEDADES!$D$4:$D$1503,$A1931))</f>
        <v/>
      </c>
      <c r="P1931" s="28">
        <f>IF($A1931="","",IF(COUNTIFS(NOVEDADES!$D$4:$D$1503,$A1931,NOVEDADES!$O$4:$O$1503,"SÍ")&gt;0,"No","Sí"))</f>
        <v/>
      </c>
      <c r="Q1931" s="28">
        <f>IF(OR($A1931="",$L1931=""),"",IF(AND($N1931="Sí",$P1931="Sí"),"OTIF","Falló"))</f>
        <v/>
      </c>
    </row>
    <row r="1932" ht="16" customHeight="1">
      <c r="A1932" s="48" t="n"/>
      <c r="B1932" s="48" t="n"/>
      <c r="C1932" s="47" t="n"/>
      <c r="D1932" s="50" t="n"/>
      <c r="E1932" s="50" t="n"/>
      <c r="F1932" s="50" t="n"/>
      <c r="G1932" s="50" t="n"/>
      <c r="H1932" s="48" t="n"/>
      <c r="I1932" s="51" t="n"/>
      <c r="J1932" s="52" t="n"/>
      <c r="K1932" s="47" t="n"/>
      <c r="L1932" s="47" t="n"/>
      <c r="M1932" s="24">
        <f>IF(OR($A1932="",$C1932=""),"",IF($L1932&lt;&gt;"",$L1932-$C1932,TODAY()-$C1932))</f>
        <v/>
      </c>
      <c r="N1932" s="28">
        <f>IF(OR($A1932="",$K1932=""),"",IF($L1932="",IF(TODAY()&gt;$K1932,"Atrasado","En ruta"),IF($L1932&lt;=$K1932,"Sí","No")))</f>
        <v/>
      </c>
      <c r="O1932" s="24">
        <f>IF($A1932="","",COUNTIFS(NOVEDADES!$D$4:$D$1503,$A1932))</f>
        <v/>
      </c>
      <c r="P1932" s="28">
        <f>IF($A1932="","",IF(COUNTIFS(NOVEDADES!$D$4:$D$1503,$A1932,NOVEDADES!$O$4:$O$1503,"SÍ")&gt;0,"No","Sí"))</f>
        <v/>
      </c>
      <c r="Q1932" s="28">
        <f>IF(OR($A1932="",$L1932=""),"",IF(AND($N1932="Sí",$P1932="Sí"),"OTIF","Falló"))</f>
        <v/>
      </c>
    </row>
    <row r="1933" ht="16" customHeight="1">
      <c r="A1933" s="48" t="n"/>
      <c r="B1933" s="48" t="n"/>
      <c r="C1933" s="47" t="n"/>
      <c r="D1933" s="50" t="n"/>
      <c r="E1933" s="50" t="n"/>
      <c r="F1933" s="50" t="n"/>
      <c r="G1933" s="50" t="n"/>
      <c r="H1933" s="48" t="n"/>
      <c r="I1933" s="51" t="n"/>
      <c r="J1933" s="52" t="n"/>
      <c r="K1933" s="47" t="n"/>
      <c r="L1933" s="47" t="n"/>
      <c r="M1933" s="24">
        <f>IF(OR($A1933="",$C1933=""),"",IF($L1933&lt;&gt;"",$L1933-$C1933,TODAY()-$C1933))</f>
        <v/>
      </c>
      <c r="N1933" s="28">
        <f>IF(OR($A1933="",$K1933=""),"",IF($L1933="",IF(TODAY()&gt;$K1933,"Atrasado","En ruta"),IF($L1933&lt;=$K1933,"Sí","No")))</f>
        <v/>
      </c>
      <c r="O1933" s="24">
        <f>IF($A1933="","",COUNTIFS(NOVEDADES!$D$4:$D$1503,$A1933))</f>
        <v/>
      </c>
      <c r="P1933" s="28">
        <f>IF($A1933="","",IF(COUNTIFS(NOVEDADES!$D$4:$D$1503,$A1933,NOVEDADES!$O$4:$O$1503,"SÍ")&gt;0,"No","Sí"))</f>
        <v/>
      </c>
      <c r="Q1933" s="28">
        <f>IF(OR($A1933="",$L1933=""),"",IF(AND($N1933="Sí",$P1933="Sí"),"OTIF","Falló"))</f>
        <v/>
      </c>
    </row>
    <row r="1934" ht="16" customHeight="1">
      <c r="A1934" s="48" t="n"/>
      <c r="B1934" s="48" t="n"/>
      <c r="C1934" s="47" t="n"/>
      <c r="D1934" s="50" t="n"/>
      <c r="E1934" s="50" t="n"/>
      <c r="F1934" s="50" t="n"/>
      <c r="G1934" s="50" t="n"/>
      <c r="H1934" s="48" t="n"/>
      <c r="I1934" s="51" t="n"/>
      <c r="J1934" s="52" t="n"/>
      <c r="K1934" s="47" t="n"/>
      <c r="L1934" s="47" t="n"/>
      <c r="M1934" s="24">
        <f>IF(OR($A1934="",$C1934=""),"",IF($L1934&lt;&gt;"",$L1934-$C1934,TODAY()-$C1934))</f>
        <v/>
      </c>
      <c r="N1934" s="28">
        <f>IF(OR($A1934="",$K1934=""),"",IF($L1934="",IF(TODAY()&gt;$K1934,"Atrasado","En ruta"),IF($L1934&lt;=$K1934,"Sí","No")))</f>
        <v/>
      </c>
      <c r="O1934" s="24">
        <f>IF($A1934="","",COUNTIFS(NOVEDADES!$D$4:$D$1503,$A1934))</f>
        <v/>
      </c>
      <c r="P1934" s="28">
        <f>IF($A1934="","",IF(COUNTIFS(NOVEDADES!$D$4:$D$1503,$A1934,NOVEDADES!$O$4:$O$1503,"SÍ")&gt;0,"No","Sí"))</f>
        <v/>
      </c>
      <c r="Q1934" s="28">
        <f>IF(OR($A1934="",$L1934=""),"",IF(AND($N1934="Sí",$P1934="Sí"),"OTIF","Falló"))</f>
        <v/>
      </c>
    </row>
    <row r="1935" ht="16" customHeight="1">
      <c r="A1935" s="48" t="n"/>
      <c r="B1935" s="48" t="n"/>
      <c r="C1935" s="47" t="n"/>
      <c r="D1935" s="50" t="n"/>
      <c r="E1935" s="50" t="n"/>
      <c r="F1935" s="50" t="n"/>
      <c r="G1935" s="50" t="n"/>
      <c r="H1935" s="48" t="n"/>
      <c r="I1935" s="51" t="n"/>
      <c r="J1935" s="52" t="n"/>
      <c r="K1935" s="47" t="n"/>
      <c r="L1935" s="47" t="n"/>
      <c r="M1935" s="24">
        <f>IF(OR($A1935="",$C1935=""),"",IF($L1935&lt;&gt;"",$L1935-$C1935,TODAY()-$C1935))</f>
        <v/>
      </c>
      <c r="N1935" s="28">
        <f>IF(OR($A1935="",$K1935=""),"",IF($L1935="",IF(TODAY()&gt;$K1935,"Atrasado","En ruta"),IF($L1935&lt;=$K1935,"Sí","No")))</f>
        <v/>
      </c>
      <c r="O1935" s="24">
        <f>IF($A1935="","",COUNTIFS(NOVEDADES!$D$4:$D$1503,$A1935))</f>
        <v/>
      </c>
      <c r="P1935" s="28">
        <f>IF($A1935="","",IF(COUNTIFS(NOVEDADES!$D$4:$D$1503,$A1935,NOVEDADES!$O$4:$O$1503,"SÍ")&gt;0,"No","Sí"))</f>
        <v/>
      </c>
      <c r="Q1935" s="28">
        <f>IF(OR($A1935="",$L1935=""),"",IF(AND($N1935="Sí",$P1935="Sí"),"OTIF","Falló"))</f>
        <v/>
      </c>
    </row>
    <row r="1936" ht="16" customHeight="1">
      <c r="A1936" s="48" t="n"/>
      <c r="B1936" s="48" t="n"/>
      <c r="C1936" s="47" t="n"/>
      <c r="D1936" s="50" t="n"/>
      <c r="E1936" s="50" t="n"/>
      <c r="F1936" s="50" t="n"/>
      <c r="G1936" s="50" t="n"/>
      <c r="H1936" s="48" t="n"/>
      <c r="I1936" s="51" t="n"/>
      <c r="J1936" s="52" t="n"/>
      <c r="K1936" s="47" t="n"/>
      <c r="L1936" s="47" t="n"/>
      <c r="M1936" s="24">
        <f>IF(OR($A1936="",$C1936=""),"",IF($L1936&lt;&gt;"",$L1936-$C1936,TODAY()-$C1936))</f>
        <v/>
      </c>
      <c r="N1936" s="28">
        <f>IF(OR($A1936="",$K1936=""),"",IF($L1936="",IF(TODAY()&gt;$K1936,"Atrasado","En ruta"),IF($L1936&lt;=$K1936,"Sí","No")))</f>
        <v/>
      </c>
      <c r="O1936" s="24">
        <f>IF($A1936="","",COUNTIFS(NOVEDADES!$D$4:$D$1503,$A1936))</f>
        <v/>
      </c>
      <c r="P1936" s="28">
        <f>IF($A1936="","",IF(COUNTIFS(NOVEDADES!$D$4:$D$1503,$A1936,NOVEDADES!$O$4:$O$1503,"SÍ")&gt;0,"No","Sí"))</f>
        <v/>
      </c>
      <c r="Q1936" s="28">
        <f>IF(OR($A1936="",$L1936=""),"",IF(AND($N1936="Sí",$P1936="Sí"),"OTIF","Falló"))</f>
        <v/>
      </c>
    </row>
    <row r="1937" ht="16" customHeight="1">
      <c r="A1937" s="48" t="n"/>
      <c r="B1937" s="48" t="n"/>
      <c r="C1937" s="47" t="n"/>
      <c r="D1937" s="50" t="n"/>
      <c r="E1937" s="50" t="n"/>
      <c r="F1937" s="50" t="n"/>
      <c r="G1937" s="50" t="n"/>
      <c r="H1937" s="48" t="n"/>
      <c r="I1937" s="51" t="n"/>
      <c r="J1937" s="52" t="n"/>
      <c r="K1937" s="47" t="n"/>
      <c r="L1937" s="47" t="n"/>
      <c r="M1937" s="24">
        <f>IF(OR($A1937="",$C1937=""),"",IF($L1937&lt;&gt;"",$L1937-$C1937,TODAY()-$C1937))</f>
        <v/>
      </c>
      <c r="N1937" s="28">
        <f>IF(OR($A1937="",$K1937=""),"",IF($L1937="",IF(TODAY()&gt;$K1937,"Atrasado","En ruta"),IF($L1937&lt;=$K1937,"Sí","No")))</f>
        <v/>
      </c>
      <c r="O1937" s="24">
        <f>IF($A1937="","",COUNTIFS(NOVEDADES!$D$4:$D$1503,$A1937))</f>
        <v/>
      </c>
      <c r="P1937" s="28">
        <f>IF($A1937="","",IF(COUNTIFS(NOVEDADES!$D$4:$D$1503,$A1937,NOVEDADES!$O$4:$O$1503,"SÍ")&gt;0,"No","Sí"))</f>
        <v/>
      </c>
      <c r="Q1937" s="28">
        <f>IF(OR($A1937="",$L1937=""),"",IF(AND($N1937="Sí",$P1937="Sí"),"OTIF","Falló"))</f>
        <v/>
      </c>
    </row>
    <row r="1938" ht="16" customHeight="1">
      <c r="A1938" s="48" t="n"/>
      <c r="B1938" s="48" t="n"/>
      <c r="C1938" s="47" t="n"/>
      <c r="D1938" s="50" t="n"/>
      <c r="E1938" s="50" t="n"/>
      <c r="F1938" s="50" t="n"/>
      <c r="G1938" s="50" t="n"/>
      <c r="H1938" s="48" t="n"/>
      <c r="I1938" s="51" t="n"/>
      <c r="J1938" s="52" t="n"/>
      <c r="K1938" s="47" t="n"/>
      <c r="L1938" s="47" t="n"/>
      <c r="M1938" s="24">
        <f>IF(OR($A1938="",$C1938=""),"",IF($L1938&lt;&gt;"",$L1938-$C1938,TODAY()-$C1938))</f>
        <v/>
      </c>
      <c r="N1938" s="28">
        <f>IF(OR($A1938="",$K1938=""),"",IF($L1938="",IF(TODAY()&gt;$K1938,"Atrasado","En ruta"),IF($L1938&lt;=$K1938,"Sí","No")))</f>
        <v/>
      </c>
      <c r="O1938" s="24">
        <f>IF($A1938="","",COUNTIFS(NOVEDADES!$D$4:$D$1503,$A1938))</f>
        <v/>
      </c>
      <c r="P1938" s="28">
        <f>IF($A1938="","",IF(COUNTIFS(NOVEDADES!$D$4:$D$1503,$A1938,NOVEDADES!$O$4:$O$1503,"SÍ")&gt;0,"No","Sí"))</f>
        <v/>
      </c>
      <c r="Q1938" s="28">
        <f>IF(OR($A1938="",$L1938=""),"",IF(AND($N1938="Sí",$P1938="Sí"),"OTIF","Falló"))</f>
        <v/>
      </c>
    </row>
    <row r="1939" ht="16" customHeight="1">
      <c r="A1939" s="48" t="n"/>
      <c r="B1939" s="48" t="n"/>
      <c r="C1939" s="47" t="n"/>
      <c r="D1939" s="50" t="n"/>
      <c r="E1939" s="50" t="n"/>
      <c r="F1939" s="50" t="n"/>
      <c r="G1939" s="50" t="n"/>
      <c r="H1939" s="48" t="n"/>
      <c r="I1939" s="51" t="n"/>
      <c r="J1939" s="52" t="n"/>
      <c r="K1939" s="47" t="n"/>
      <c r="L1939" s="47" t="n"/>
      <c r="M1939" s="24">
        <f>IF(OR($A1939="",$C1939=""),"",IF($L1939&lt;&gt;"",$L1939-$C1939,TODAY()-$C1939))</f>
        <v/>
      </c>
      <c r="N1939" s="28">
        <f>IF(OR($A1939="",$K1939=""),"",IF($L1939="",IF(TODAY()&gt;$K1939,"Atrasado","En ruta"),IF($L1939&lt;=$K1939,"Sí","No")))</f>
        <v/>
      </c>
      <c r="O1939" s="24">
        <f>IF($A1939="","",COUNTIFS(NOVEDADES!$D$4:$D$1503,$A1939))</f>
        <v/>
      </c>
      <c r="P1939" s="28">
        <f>IF($A1939="","",IF(COUNTIFS(NOVEDADES!$D$4:$D$1503,$A1939,NOVEDADES!$O$4:$O$1503,"SÍ")&gt;0,"No","Sí"))</f>
        <v/>
      </c>
      <c r="Q1939" s="28">
        <f>IF(OR($A1939="",$L1939=""),"",IF(AND($N1939="Sí",$P1939="Sí"),"OTIF","Falló"))</f>
        <v/>
      </c>
    </row>
    <row r="1940" ht="16" customHeight="1">
      <c r="A1940" s="48" t="n"/>
      <c r="B1940" s="48" t="n"/>
      <c r="C1940" s="47" t="n"/>
      <c r="D1940" s="50" t="n"/>
      <c r="E1940" s="50" t="n"/>
      <c r="F1940" s="50" t="n"/>
      <c r="G1940" s="50" t="n"/>
      <c r="H1940" s="48" t="n"/>
      <c r="I1940" s="51" t="n"/>
      <c r="J1940" s="52" t="n"/>
      <c r="K1940" s="47" t="n"/>
      <c r="L1940" s="47" t="n"/>
      <c r="M1940" s="24">
        <f>IF(OR($A1940="",$C1940=""),"",IF($L1940&lt;&gt;"",$L1940-$C1940,TODAY()-$C1940))</f>
        <v/>
      </c>
      <c r="N1940" s="28">
        <f>IF(OR($A1940="",$K1940=""),"",IF($L1940="",IF(TODAY()&gt;$K1940,"Atrasado","En ruta"),IF($L1940&lt;=$K1940,"Sí","No")))</f>
        <v/>
      </c>
      <c r="O1940" s="24">
        <f>IF($A1940="","",COUNTIFS(NOVEDADES!$D$4:$D$1503,$A1940))</f>
        <v/>
      </c>
      <c r="P1940" s="28">
        <f>IF($A1940="","",IF(COUNTIFS(NOVEDADES!$D$4:$D$1503,$A1940,NOVEDADES!$O$4:$O$1503,"SÍ")&gt;0,"No","Sí"))</f>
        <v/>
      </c>
      <c r="Q1940" s="28">
        <f>IF(OR($A1940="",$L1940=""),"",IF(AND($N1940="Sí",$P1940="Sí"),"OTIF","Falló"))</f>
        <v/>
      </c>
    </row>
    <row r="1941" ht="16" customHeight="1">
      <c r="A1941" s="48" t="n"/>
      <c r="B1941" s="48" t="n"/>
      <c r="C1941" s="47" t="n"/>
      <c r="D1941" s="50" t="n"/>
      <c r="E1941" s="50" t="n"/>
      <c r="F1941" s="50" t="n"/>
      <c r="G1941" s="50" t="n"/>
      <c r="H1941" s="48" t="n"/>
      <c r="I1941" s="51" t="n"/>
      <c r="J1941" s="52" t="n"/>
      <c r="K1941" s="47" t="n"/>
      <c r="L1941" s="47" t="n"/>
      <c r="M1941" s="24">
        <f>IF(OR($A1941="",$C1941=""),"",IF($L1941&lt;&gt;"",$L1941-$C1941,TODAY()-$C1941))</f>
        <v/>
      </c>
      <c r="N1941" s="28">
        <f>IF(OR($A1941="",$K1941=""),"",IF($L1941="",IF(TODAY()&gt;$K1941,"Atrasado","En ruta"),IF($L1941&lt;=$K1941,"Sí","No")))</f>
        <v/>
      </c>
      <c r="O1941" s="24">
        <f>IF($A1941="","",COUNTIFS(NOVEDADES!$D$4:$D$1503,$A1941))</f>
        <v/>
      </c>
      <c r="P1941" s="28">
        <f>IF($A1941="","",IF(COUNTIFS(NOVEDADES!$D$4:$D$1503,$A1941,NOVEDADES!$O$4:$O$1503,"SÍ")&gt;0,"No","Sí"))</f>
        <v/>
      </c>
      <c r="Q1941" s="28">
        <f>IF(OR($A1941="",$L1941=""),"",IF(AND($N1941="Sí",$P1941="Sí"),"OTIF","Falló"))</f>
        <v/>
      </c>
    </row>
    <row r="1942" ht="16" customHeight="1">
      <c r="A1942" s="48" t="n"/>
      <c r="B1942" s="48" t="n"/>
      <c r="C1942" s="47" t="n"/>
      <c r="D1942" s="50" t="n"/>
      <c r="E1942" s="50" t="n"/>
      <c r="F1942" s="50" t="n"/>
      <c r="G1942" s="50" t="n"/>
      <c r="H1942" s="48" t="n"/>
      <c r="I1942" s="51" t="n"/>
      <c r="J1942" s="52" t="n"/>
      <c r="K1942" s="47" t="n"/>
      <c r="L1942" s="47" t="n"/>
      <c r="M1942" s="24">
        <f>IF(OR($A1942="",$C1942=""),"",IF($L1942&lt;&gt;"",$L1942-$C1942,TODAY()-$C1942))</f>
        <v/>
      </c>
      <c r="N1942" s="28">
        <f>IF(OR($A1942="",$K1942=""),"",IF($L1942="",IF(TODAY()&gt;$K1942,"Atrasado","En ruta"),IF($L1942&lt;=$K1942,"Sí","No")))</f>
        <v/>
      </c>
      <c r="O1942" s="24">
        <f>IF($A1942="","",COUNTIFS(NOVEDADES!$D$4:$D$1503,$A1942))</f>
        <v/>
      </c>
      <c r="P1942" s="28">
        <f>IF($A1942="","",IF(COUNTIFS(NOVEDADES!$D$4:$D$1503,$A1942,NOVEDADES!$O$4:$O$1503,"SÍ")&gt;0,"No","Sí"))</f>
        <v/>
      </c>
      <c r="Q1942" s="28">
        <f>IF(OR($A1942="",$L1942=""),"",IF(AND($N1942="Sí",$P1942="Sí"),"OTIF","Falló"))</f>
        <v/>
      </c>
    </row>
    <row r="1943" ht="16" customHeight="1">
      <c r="A1943" s="48" t="n"/>
      <c r="B1943" s="48" t="n"/>
      <c r="C1943" s="47" t="n"/>
      <c r="D1943" s="50" t="n"/>
      <c r="E1943" s="50" t="n"/>
      <c r="F1943" s="50" t="n"/>
      <c r="G1943" s="50" t="n"/>
      <c r="H1943" s="48" t="n"/>
      <c r="I1943" s="51" t="n"/>
      <c r="J1943" s="52" t="n"/>
      <c r="K1943" s="47" t="n"/>
      <c r="L1943" s="47" t="n"/>
      <c r="M1943" s="24">
        <f>IF(OR($A1943="",$C1943=""),"",IF($L1943&lt;&gt;"",$L1943-$C1943,TODAY()-$C1943))</f>
        <v/>
      </c>
      <c r="N1943" s="28">
        <f>IF(OR($A1943="",$K1943=""),"",IF($L1943="",IF(TODAY()&gt;$K1943,"Atrasado","En ruta"),IF($L1943&lt;=$K1943,"Sí","No")))</f>
        <v/>
      </c>
      <c r="O1943" s="24">
        <f>IF($A1943="","",COUNTIFS(NOVEDADES!$D$4:$D$1503,$A1943))</f>
        <v/>
      </c>
      <c r="P1943" s="28">
        <f>IF($A1943="","",IF(COUNTIFS(NOVEDADES!$D$4:$D$1503,$A1943,NOVEDADES!$O$4:$O$1503,"SÍ")&gt;0,"No","Sí"))</f>
        <v/>
      </c>
      <c r="Q1943" s="28">
        <f>IF(OR($A1943="",$L1943=""),"",IF(AND($N1943="Sí",$P1943="Sí"),"OTIF","Falló"))</f>
        <v/>
      </c>
    </row>
    <row r="1944" ht="16" customHeight="1">
      <c r="A1944" s="48" t="n"/>
      <c r="B1944" s="48" t="n"/>
      <c r="C1944" s="47" t="n"/>
      <c r="D1944" s="50" t="n"/>
      <c r="E1944" s="50" t="n"/>
      <c r="F1944" s="50" t="n"/>
      <c r="G1944" s="50" t="n"/>
      <c r="H1944" s="48" t="n"/>
      <c r="I1944" s="51" t="n"/>
      <c r="J1944" s="52" t="n"/>
      <c r="K1944" s="47" t="n"/>
      <c r="L1944" s="47" t="n"/>
      <c r="M1944" s="24">
        <f>IF(OR($A1944="",$C1944=""),"",IF($L1944&lt;&gt;"",$L1944-$C1944,TODAY()-$C1944))</f>
        <v/>
      </c>
      <c r="N1944" s="28">
        <f>IF(OR($A1944="",$K1944=""),"",IF($L1944="",IF(TODAY()&gt;$K1944,"Atrasado","En ruta"),IF($L1944&lt;=$K1944,"Sí","No")))</f>
        <v/>
      </c>
      <c r="O1944" s="24">
        <f>IF($A1944="","",COUNTIFS(NOVEDADES!$D$4:$D$1503,$A1944))</f>
        <v/>
      </c>
      <c r="P1944" s="28">
        <f>IF($A1944="","",IF(COUNTIFS(NOVEDADES!$D$4:$D$1503,$A1944,NOVEDADES!$O$4:$O$1503,"SÍ")&gt;0,"No","Sí"))</f>
        <v/>
      </c>
      <c r="Q1944" s="28">
        <f>IF(OR($A1944="",$L1944=""),"",IF(AND($N1944="Sí",$P1944="Sí"),"OTIF","Falló"))</f>
        <v/>
      </c>
    </row>
    <row r="1945" ht="16" customHeight="1">
      <c r="A1945" s="48" t="n"/>
      <c r="B1945" s="48" t="n"/>
      <c r="C1945" s="47" t="n"/>
      <c r="D1945" s="50" t="n"/>
      <c r="E1945" s="50" t="n"/>
      <c r="F1945" s="50" t="n"/>
      <c r="G1945" s="50" t="n"/>
      <c r="H1945" s="48" t="n"/>
      <c r="I1945" s="51" t="n"/>
      <c r="J1945" s="52" t="n"/>
      <c r="K1945" s="47" t="n"/>
      <c r="L1945" s="47" t="n"/>
      <c r="M1945" s="24">
        <f>IF(OR($A1945="",$C1945=""),"",IF($L1945&lt;&gt;"",$L1945-$C1945,TODAY()-$C1945))</f>
        <v/>
      </c>
      <c r="N1945" s="28">
        <f>IF(OR($A1945="",$K1945=""),"",IF($L1945="",IF(TODAY()&gt;$K1945,"Atrasado","En ruta"),IF($L1945&lt;=$K1945,"Sí","No")))</f>
        <v/>
      </c>
      <c r="O1945" s="24">
        <f>IF($A1945="","",COUNTIFS(NOVEDADES!$D$4:$D$1503,$A1945))</f>
        <v/>
      </c>
      <c r="P1945" s="28">
        <f>IF($A1945="","",IF(COUNTIFS(NOVEDADES!$D$4:$D$1503,$A1945,NOVEDADES!$O$4:$O$1503,"SÍ")&gt;0,"No","Sí"))</f>
        <v/>
      </c>
      <c r="Q1945" s="28">
        <f>IF(OR($A1945="",$L1945=""),"",IF(AND($N1945="Sí",$P1945="Sí"),"OTIF","Falló"))</f>
        <v/>
      </c>
    </row>
    <row r="1946" ht="16" customHeight="1">
      <c r="A1946" s="48" t="n"/>
      <c r="B1946" s="48" t="n"/>
      <c r="C1946" s="47" t="n"/>
      <c r="D1946" s="50" t="n"/>
      <c r="E1946" s="50" t="n"/>
      <c r="F1946" s="50" t="n"/>
      <c r="G1946" s="50" t="n"/>
      <c r="H1946" s="48" t="n"/>
      <c r="I1946" s="51" t="n"/>
      <c r="J1946" s="52" t="n"/>
      <c r="K1946" s="47" t="n"/>
      <c r="L1946" s="47" t="n"/>
      <c r="M1946" s="24">
        <f>IF(OR($A1946="",$C1946=""),"",IF($L1946&lt;&gt;"",$L1946-$C1946,TODAY()-$C1946))</f>
        <v/>
      </c>
      <c r="N1946" s="28">
        <f>IF(OR($A1946="",$K1946=""),"",IF($L1946="",IF(TODAY()&gt;$K1946,"Atrasado","En ruta"),IF($L1946&lt;=$K1946,"Sí","No")))</f>
        <v/>
      </c>
      <c r="O1946" s="24">
        <f>IF($A1946="","",COUNTIFS(NOVEDADES!$D$4:$D$1503,$A1946))</f>
        <v/>
      </c>
      <c r="P1946" s="28">
        <f>IF($A1946="","",IF(COUNTIFS(NOVEDADES!$D$4:$D$1503,$A1946,NOVEDADES!$O$4:$O$1503,"SÍ")&gt;0,"No","Sí"))</f>
        <v/>
      </c>
      <c r="Q1946" s="28">
        <f>IF(OR($A1946="",$L1946=""),"",IF(AND($N1946="Sí",$P1946="Sí"),"OTIF","Falló"))</f>
        <v/>
      </c>
    </row>
    <row r="1947" ht="16" customHeight="1">
      <c r="A1947" s="48" t="n"/>
      <c r="B1947" s="48" t="n"/>
      <c r="C1947" s="47" t="n"/>
      <c r="D1947" s="50" t="n"/>
      <c r="E1947" s="50" t="n"/>
      <c r="F1947" s="50" t="n"/>
      <c r="G1947" s="50" t="n"/>
      <c r="H1947" s="48" t="n"/>
      <c r="I1947" s="51" t="n"/>
      <c r="J1947" s="52" t="n"/>
      <c r="K1947" s="47" t="n"/>
      <c r="L1947" s="47" t="n"/>
      <c r="M1947" s="24">
        <f>IF(OR($A1947="",$C1947=""),"",IF($L1947&lt;&gt;"",$L1947-$C1947,TODAY()-$C1947))</f>
        <v/>
      </c>
      <c r="N1947" s="28">
        <f>IF(OR($A1947="",$K1947=""),"",IF($L1947="",IF(TODAY()&gt;$K1947,"Atrasado","En ruta"),IF($L1947&lt;=$K1947,"Sí","No")))</f>
        <v/>
      </c>
      <c r="O1947" s="24">
        <f>IF($A1947="","",COUNTIFS(NOVEDADES!$D$4:$D$1503,$A1947))</f>
        <v/>
      </c>
      <c r="P1947" s="28">
        <f>IF($A1947="","",IF(COUNTIFS(NOVEDADES!$D$4:$D$1503,$A1947,NOVEDADES!$O$4:$O$1503,"SÍ")&gt;0,"No","Sí"))</f>
        <v/>
      </c>
      <c r="Q1947" s="28">
        <f>IF(OR($A1947="",$L1947=""),"",IF(AND($N1947="Sí",$P1947="Sí"),"OTIF","Falló"))</f>
        <v/>
      </c>
    </row>
    <row r="1948" ht="16" customHeight="1">
      <c r="A1948" s="48" t="n"/>
      <c r="B1948" s="48" t="n"/>
      <c r="C1948" s="47" t="n"/>
      <c r="D1948" s="50" t="n"/>
      <c r="E1948" s="50" t="n"/>
      <c r="F1948" s="50" t="n"/>
      <c r="G1948" s="50" t="n"/>
      <c r="H1948" s="48" t="n"/>
      <c r="I1948" s="51" t="n"/>
      <c r="J1948" s="52" t="n"/>
      <c r="K1948" s="47" t="n"/>
      <c r="L1948" s="47" t="n"/>
      <c r="M1948" s="24">
        <f>IF(OR($A1948="",$C1948=""),"",IF($L1948&lt;&gt;"",$L1948-$C1948,TODAY()-$C1948))</f>
        <v/>
      </c>
      <c r="N1948" s="28">
        <f>IF(OR($A1948="",$K1948=""),"",IF($L1948="",IF(TODAY()&gt;$K1948,"Atrasado","En ruta"),IF($L1948&lt;=$K1948,"Sí","No")))</f>
        <v/>
      </c>
      <c r="O1948" s="24">
        <f>IF($A1948="","",COUNTIFS(NOVEDADES!$D$4:$D$1503,$A1948))</f>
        <v/>
      </c>
      <c r="P1948" s="28">
        <f>IF($A1948="","",IF(COUNTIFS(NOVEDADES!$D$4:$D$1503,$A1948,NOVEDADES!$O$4:$O$1503,"SÍ")&gt;0,"No","Sí"))</f>
        <v/>
      </c>
      <c r="Q1948" s="28">
        <f>IF(OR($A1948="",$L1948=""),"",IF(AND($N1948="Sí",$P1948="Sí"),"OTIF","Falló"))</f>
        <v/>
      </c>
    </row>
    <row r="1949" ht="16" customHeight="1">
      <c r="A1949" s="48" t="n"/>
      <c r="B1949" s="48" t="n"/>
      <c r="C1949" s="47" t="n"/>
      <c r="D1949" s="50" t="n"/>
      <c r="E1949" s="50" t="n"/>
      <c r="F1949" s="50" t="n"/>
      <c r="G1949" s="50" t="n"/>
      <c r="H1949" s="48" t="n"/>
      <c r="I1949" s="51" t="n"/>
      <c r="J1949" s="52" t="n"/>
      <c r="K1949" s="47" t="n"/>
      <c r="L1949" s="47" t="n"/>
      <c r="M1949" s="24">
        <f>IF(OR($A1949="",$C1949=""),"",IF($L1949&lt;&gt;"",$L1949-$C1949,TODAY()-$C1949))</f>
        <v/>
      </c>
      <c r="N1949" s="28">
        <f>IF(OR($A1949="",$K1949=""),"",IF($L1949="",IF(TODAY()&gt;$K1949,"Atrasado","En ruta"),IF($L1949&lt;=$K1949,"Sí","No")))</f>
        <v/>
      </c>
      <c r="O1949" s="24">
        <f>IF($A1949="","",COUNTIFS(NOVEDADES!$D$4:$D$1503,$A1949))</f>
        <v/>
      </c>
      <c r="P1949" s="28">
        <f>IF($A1949="","",IF(COUNTIFS(NOVEDADES!$D$4:$D$1503,$A1949,NOVEDADES!$O$4:$O$1503,"SÍ")&gt;0,"No","Sí"))</f>
        <v/>
      </c>
      <c r="Q1949" s="28">
        <f>IF(OR($A1949="",$L1949=""),"",IF(AND($N1949="Sí",$P1949="Sí"),"OTIF","Falló"))</f>
        <v/>
      </c>
    </row>
    <row r="1950" ht="16" customHeight="1">
      <c r="A1950" s="48" t="n"/>
      <c r="B1950" s="48" t="n"/>
      <c r="C1950" s="47" t="n"/>
      <c r="D1950" s="50" t="n"/>
      <c r="E1950" s="50" t="n"/>
      <c r="F1950" s="50" t="n"/>
      <c r="G1950" s="50" t="n"/>
      <c r="H1950" s="48" t="n"/>
      <c r="I1950" s="51" t="n"/>
      <c r="J1950" s="52" t="n"/>
      <c r="K1950" s="47" t="n"/>
      <c r="L1950" s="47" t="n"/>
      <c r="M1950" s="24">
        <f>IF(OR($A1950="",$C1950=""),"",IF($L1950&lt;&gt;"",$L1950-$C1950,TODAY()-$C1950))</f>
        <v/>
      </c>
      <c r="N1950" s="28">
        <f>IF(OR($A1950="",$K1950=""),"",IF($L1950="",IF(TODAY()&gt;$K1950,"Atrasado","En ruta"),IF($L1950&lt;=$K1950,"Sí","No")))</f>
        <v/>
      </c>
      <c r="O1950" s="24">
        <f>IF($A1950="","",COUNTIFS(NOVEDADES!$D$4:$D$1503,$A1950))</f>
        <v/>
      </c>
      <c r="P1950" s="28">
        <f>IF($A1950="","",IF(COUNTIFS(NOVEDADES!$D$4:$D$1503,$A1950,NOVEDADES!$O$4:$O$1503,"SÍ")&gt;0,"No","Sí"))</f>
        <v/>
      </c>
      <c r="Q1950" s="28">
        <f>IF(OR($A1950="",$L1950=""),"",IF(AND($N1950="Sí",$P1950="Sí"),"OTIF","Falló"))</f>
        <v/>
      </c>
    </row>
    <row r="1951" ht="16" customHeight="1">
      <c r="A1951" s="48" t="n"/>
      <c r="B1951" s="48" t="n"/>
      <c r="C1951" s="47" t="n"/>
      <c r="D1951" s="50" t="n"/>
      <c r="E1951" s="50" t="n"/>
      <c r="F1951" s="50" t="n"/>
      <c r="G1951" s="50" t="n"/>
      <c r="H1951" s="48" t="n"/>
      <c r="I1951" s="51" t="n"/>
      <c r="J1951" s="52" t="n"/>
      <c r="K1951" s="47" t="n"/>
      <c r="L1951" s="47" t="n"/>
      <c r="M1951" s="24">
        <f>IF(OR($A1951="",$C1951=""),"",IF($L1951&lt;&gt;"",$L1951-$C1951,TODAY()-$C1951))</f>
        <v/>
      </c>
      <c r="N1951" s="28">
        <f>IF(OR($A1951="",$K1951=""),"",IF($L1951="",IF(TODAY()&gt;$K1951,"Atrasado","En ruta"),IF($L1951&lt;=$K1951,"Sí","No")))</f>
        <v/>
      </c>
      <c r="O1951" s="24">
        <f>IF($A1951="","",COUNTIFS(NOVEDADES!$D$4:$D$1503,$A1951))</f>
        <v/>
      </c>
      <c r="P1951" s="28">
        <f>IF($A1951="","",IF(COUNTIFS(NOVEDADES!$D$4:$D$1503,$A1951,NOVEDADES!$O$4:$O$1503,"SÍ")&gt;0,"No","Sí"))</f>
        <v/>
      </c>
      <c r="Q1951" s="28">
        <f>IF(OR($A1951="",$L1951=""),"",IF(AND($N1951="Sí",$P1951="Sí"),"OTIF","Falló"))</f>
        <v/>
      </c>
    </row>
    <row r="1952" ht="16" customHeight="1">
      <c r="A1952" s="48" t="n"/>
      <c r="B1952" s="48" t="n"/>
      <c r="C1952" s="47" t="n"/>
      <c r="D1952" s="50" t="n"/>
      <c r="E1952" s="50" t="n"/>
      <c r="F1952" s="50" t="n"/>
      <c r="G1952" s="50" t="n"/>
      <c r="H1952" s="48" t="n"/>
      <c r="I1952" s="51" t="n"/>
      <c r="J1952" s="52" t="n"/>
      <c r="K1952" s="47" t="n"/>
      <c r="L1952" s="47" t="n"/>
      <c r="M1952" s="24">
        <f>IF(OR($A1952="",$C1952=""),"",IF($L1952&lt;&gt;"",$L1952-$C1952,TODAY()-$C1952))</f>
        <v/>
      </c>
      <c r="N1952" s="28">
        <f>IF(OR($A1952="",$K1952=""),"",IF($L1952="",IF(TODAY()&gt;$K1952,"Atrasado","En ruta"),IF($L1952&lt;=$K1952,"Sí","No")))</f>
        <v/>
      </c>
      <c r="O1952" s="24">
        <f>IF($A1952="","",COUNTIFS(NOVEDADES!$D$4:$D$1503,$A1952))</f>
        <v/>
      </c>
      <c r="P1952" s="28">
        <f>IF($A1952="","",IF(COUNTIFS(NOVEDADES!$D$4:$D$1503,$A1952,NOVEDADES!$O$4:$O$1503,"SÍ")&gt;0,"No","Sí"))</f>
        <v/>
      </c>
      <c r="Q1952" s="28">
        <f>IF(OR($A1952="",$L1952=""),"",IF(AND($N1952="Sí",$P1952="Sí"),"OTIF","Falló"))</f>
        <v/>
      </c>
    </row>
    <row r="1953" ht="16" customHeight="1">
      <c r="A1953" s="48" t="n"/>
      <c r="B1953" s="48" t="n"/>
      <c r="C1953" s="47" t="n"/>
      <c r="D1953" s="50" t="n"/>
      <c r="E1953" s="50" t="n"/>
      <c r="F1953" s="50" t="n"/>
      <c r="G1953" s="50" t="n"/>
      <c r="H1953" s="48" t="n"/>
      <c r="I1953" s="51" t="n"/>
      <c r="J1953" s="52" t="n"/>
      <c r="K1953" s="47" t="n"/>
      <c r="L1953" s="47" t="n"/>
      <c r="M1953" s="24">
        <f>IF(OR($A1953="",$C1953=""),"",IF($L1953&lt;&gt;"",$L1953-$C1953,TODAY()-$C1953))</f>
        <v/>
      </c>
      <c r="N1953" s="28">
        <f>IF(OR($A1953="",$K1953=""),"",IF($L1953="",IF(TODAY()&gt;$K1953,"Atrasado","En ruta"),IF($L1953&lt;=$K1953,"Sí","No")))</f>
        <v/>
      </c>
      <c r="O1953" s="24">
        <f>IF($A1953="","",COUNTIFS(NOVEDADES!$D$4:$D$1503,$A1953))</f>
        <v/>
      </c>
      <c r="P1953" s="28">
        <f>IF($A1953="","",IF(COUNTIFS(NOVEDADES!$D$4:$D$1503,$A1953,NOVEDADES!$O$4:$O$1503,"SÍ")&gt;0,"No","Sí"))</f>
        <v/>
      </c>
      <c r="Q1953" s="28">
        <f>IF(OR($A1953="",$L1953=""),"",IF(AND($N1953="Sí",$P1953="Sí"),"OTIF","Falló"))</f>
        <v/>
      </c>
    </row>
    <row r="1954" ht="16" customHeight="1">
      <c r="A1954" s="48" t="n"/>
      <c r="B1954" s="48" t="n"/>
      <c r="C1954" s="47" t="n"/>
      <c r="D1954" s="50" t="n"/>
      <c r="E1954" s="50" t="n"/>
      <c r="F1954" s="50" t="n"/>
      <c r="G1954" s="50" t="n"/>
      <c r="H1954" s="48" t="n"/>
      <c r="I1954" s="51" t="n"/>
      <c r="J1954" s="52" t="n"/>
      <c r="K1954" s="47" t="n"/>
      <c r="L1954" s="47" t="n"/>
      <c r="M1954" s="24">
        <f>IF(OR($A1954="",$C1954=""),"",IF($L1954&lt;&gt;"",$L1954-$C1954,TODAY()-$C1954))</f>
        <v/>
      </c>
      <c r="N1954" s="28">
        <f>IF(OR($A1954="",$K1954=""),"",IF($L1954="",IF(TODAY()&gt;$K1954,"Atrasado","En ruta"),IF($L1954&lt;=$K1954,"Sí","No")))</f>
        <v/>
      </c>
      <c r="O1954" s="24">
        <f>IF($A1954="","",COUNTIFS(NOVEDADES!$D$4:$D$1503,$A1954))</f>
        <v/>
      </c>
      <c r="P1954" s="28">
        <f>IF($A1954="","",IF(COUNTIFS(NOVEDADES!$D$4:$D$1503,$A1954,NOVEDADES!$O$4:$O$1503,"SÍ")&gt;0,"No","Sí"))</f>
        <v/>
      </c>
      <c r="Q1954" s="28">
        <f>IF(OR($A1954="",$L1954=""),"",IF(AND($N1954="Sí",$P1954="Sí"),"OTIF","Falló"))</f>
        <v/>
      </c>
    </row>
    <row r="1955" ht="16" customHeight="1">
      <c r="A1955" s="48" t="n"/>
      <c r="B1955" s="48" t="n"/>
      <c r="C1955" s="47" t="n"/>
      <c r="D1955" s="50" t="n"/>
      <c r="E1955" s="50" t="n"/>
      <c r="F1955" s="50" t="n"/>
      <c r="G1955" s="50" t="n"/>
      <c r="H1955" s="48" t="n"/>
      <c r="I1955" s="51" t="n"/>
      <c r="J1955" s="52" t="n"/>
      <c r="K1955" s="47" t="n"/>
      <c r="L1955" s="47" t="n"/>
      <c r="M1955" s="24">
        <f>IF(OR($A1955="",$C1955=""),"",IF($L1955&lt;&gt;"",$L1955-$C1955,TODAY()-$C1955))</f>
        <v/>
      </c>
      <c r="N1955" s="28">
        <f>IF(OR($A1955="",$K1955=""),"",IF($L1955="",IF(TODAY()&gt;$K1955,"Atrasado","En ruta"),IF($L1955&lt;=$K1955,"Sí","No")))</f>
        <v/>
      </c>
      <c r="O1955" s="24">
        <f>IF($A1955="","",COUNTIFS(NOVEDADES!$D$4:$D$1503,$A1955))</f>
        <v/>
      </c>
      <c r="P1955" s="28">
        <f>IF($A1955="","",IF(COUNTIFS(NOVEDADES!$D$4:$D$1503,$A1955,NOVEDADES!$O$4:$O$1503,"SÍ")&gt;0,"No","Sí"))</f>
        <v/>
      </c>
      <c r="Q1955" s="28">
        <f>IF(OR($A1955="",$L1955=""),"",IF(AND($N1955="Sí",$P1955="Sí"),"OTIF","Falló"))</f>
        <v/>
      </c>
    </row>
    <row r="1956" ht="16" customHeight="1">
      <c r="A1956" s="48" t="n"/>
      <c r="B1956" s="48" t="n"/>
      <c r="C1956" s="47" t="n"/>
      <c r="D1956" s="50" t="n"/>
      <c r="E1956" s="50" t="n"/>
      <c r="F1956" s="50" t="n"/>
      <c r="G1956" s="50" t="n"/>
      <c r="H1956" s="48" t="n"/>
      <c r="I1956" s="51" t="n"/>
      <c r="J1956" s="52" t="n"/>
      <c r="K1956" s="47" t="n"/>
      <c r="L1956" s="47" t="n"/>
      <c r="M1956" s="24">
        <f>IF(OR($A1956="",$C1956=""),"",IF($L1956&lt;&gt;"",$L1956-$C1956,TODAY()-$C1956))</f>
        <v/>
      </c>
      <c r="N1956" s="28">
        <f>IF(OR($A1956="",$K1956=""),"",IF($L1956="",IF(TODAY()&gt;$K1956,"Atrasado","En ruta"),IF($L1956&lt;=$K1956,"Sí","No")))</f>
        <v/>
      </c>
      <c r="O1956" s="24">
        <f>IF($A1956="","",COUNTIFS(NOVEDADES!$D$4:$D$1503,$A1956))</f>
        <v/>
      </c>
      <c r="P1956" s="28">
        <f>IF($A1956="","",IF(COUNTIFS(NOVEDADES!$D$4:$D$1503,$A1956,NOVEDADES!$O$4:$O$1503,"SÍ")&gt;0,"No","Sí"))</f>
        <v/>
      </c>
      <c r="Q1956" s="28">
        <f>IF(OR($A1956="",$L1956=""),"",IF(AND($N1956="Sí",$P1956="Sí"),"OTIF","Falló"))</f>
        <v/>
      </c>
    </row>
    <row r="1957" ht="16" customHeight="1">
      <c r="A1957" s="48" t="n"/>
      <c r="B1957" s="48" t="n"/>
      <c r="C1957" s="47" t="n"/>
      <c r="D1957" s="50" t="n"/>
      <c r="E1957" s="50" t="n"/>
      <c r="F1957" s="50" t="n"/>
      <c r="G1957" s="50" t="n"/>
      <c r="H1957" s="48" t="n"/>
      <c r="I1957" s="51" t="n"/>
      <c r="J1957" s="52" t="n"/>
      <c r="K1957" s="47" t="n"/>
      <c r="L1957" s="47" t="n"/>
      <c r="M1957" s="24">
        <f>IF(OR($A1957="",$C1957=""),"",IF($L1957&lt;&gt;"",$L1957-$C1957,TODAY()-$C1957))</f>
        <v/>
      </c>
      <c r="N1957" s="28">
        <f>IF(OR($A1957="",$K1957=""),"",IF($L1957="",IF(TODAY()&gt;$K1957,"Atrasado","En ruta"),IF($L1957&lt;=$K1957,"Sí","No")))</f>
        <v/>
      </c>
      <c r="O1957" s="24">
        <f>IF($A1957="","",COUNTIFS(NOVEDADES!$D$4:$D$1503,$A1957))</f>
        <v/>
      </c>
      <c r="P1957" s="28">
        <f>IF($A1957="","",IF(COUNTIFS(NOVEDADES!$D$4:$D$1503,$A1957,NOVEDADES!$O$4:$O$1503,"SÍ")&gt;0,"No","Sí"))</f>
        <v/>
      </c>
      <c r="Q1957" s="28">
        <f>IF(OR($A1957="",$L1957=""),"",IF(AND($N1957="Sí",$P1957="Sí"),"OTIF","Falló"))</f>
        <v/>
      </c>
    </row>
    <row r="1958" ht="16" customHeight="1">
      <c r="A1958" s="48" t="n"/>
      <c r="B1958" s="48" t="n"/>
      <c r="C1958" s="47" t="n"/>
      <c r="D1958" s="50" t="n"/>
      <c r="E1958" s="50" t="n"/>
      <c r="F1958" s="50" t="n"/>
      <c r="G1958" s="50" t="n"/>
      <c r="H1958" s="48" t="n"/>
      <c r="I1958" s="51" t="n"/>
      <c r="J1958" s="52" t="n"/>
      <c r="K1958" s="47" t="n"/>
      <c r="L1958" s="47" t="n"/>
      <c r="M1958" s="24">
        <f>IF(OR($A1958="",$C1958=""),"",IF($L1958&lt;&gt;"",$L1958-$C1958,TODAY()-$C1958))</f>
        <v/>
      </c>
      <c r="N1958" s="28">
        <f>IF(OR($A1958="",$K1958=""),"",IF($L1958="",IF(TODAY()&gt;$K1958,"Atrasado","En ruta"),IF($L1958&lt;=$K1958,"Sí","No")))</f>
        <v/>
      </c>
      <c r="O1958" s="24">
        <f>IF($A1958="","",COUNTIFS(NOVEDADES!$D$4:$D$1503,$A1958))</f>
        <v/>
      </c>
      <c r="P1958" s="28">
        <f>IF($A1958="","",IF(COUNTIFS(NOVEDADES!$D$4:$D$1503,$A1958,NOVEDADES!$O$4:$O$1503,"SÍ")&gt;0,"No","Sí"))</f>
        <v/>
      </c>
      <c r="Q1958" s="28">
        <f>IF(OR($A1958="",$L1958=""),"",IF(AND($N1958="Sí",$P1958="Sí"),"OTIF","Falló"))</f>
        <v/>
      </c>
    </row>
    <row r="1959" ht="16" customHeight="1">
      <c r="A1959" s="48" t="n"/>
      <c r="B1959" s="48" t="n"/>
      <c r="C1959" s="47" t="n"/>
      <c r="D1959" s="50" t="n"/>
      <c r="E1959" s="50" t="n"/>
      <c r="F1959" s="50" t="n"/>
      <c r="G1959" s="50" t="n"/>
      <c r="H1959" s="48" t="n"/>
      <c r="I1959" s="51" t="n"/>
      <c r="J1959" s="52" t="n"/>
      <c r="K1959" s="47" t="n"/>
      <c r="L1959" s="47" t="n"/>
      <c r="M1959" s="24">
        <f>IF(OR($A1959="",$C1959=""),"",IF($L1959&lt;&gt;"",$L1959-$C1959,TODAY()-$C1959))</f>
        <v/>
      </c>
      <c r="N1959" s="28">
        <f>IF(OR($A1959="",$K1959=""),"",IF($L1959="",IF(TODAY()&gt;$K1959,"Atrasado","En ruta"),IF($L1959&lt;=$K1959,"Sí","No")))</f>
        <v/>
      </c>
      <c r="O1959" s="24">
        <f>IF($A1959="","",COUNTIFS(NOVEDADES!$D$4:$D$1503,$A1959))</f>
        <v/>
      </c>
      <c r="P1959" s="28">
        <f>IF($A1959="","",IF(COUNTIFS(NOVEDADES!$D$4:$D$1503,$A1959,NOVEDADES!$O$4:$O$1503,"SÍ")&gt;0,"No","Sí"))</f>
        <v/>
      </c>
      <c r="Q1959" s="28">
        <f>IF(OR($A1959="",$L1959=""),"",IF(AND($N1959="Sí",$P1959="Sí"),"OTIF","Falló"))</f>
        <v/>
      </c>
    </row>
    <row r="1960" ht="16" customHeight="1">
      <c r="A1960" s="48" t="n"/>
      <c r="B1960" s="48" t="n"/>
      <c r="C1960" s="47" t="n"/>
      <c r="D1960" s="50" t="n"/>
      <c r="E1960" s="50" t="n"/>
      <c r="F1960" s="50" t="n"/>
      <c r="G1960" s="50" t="n"/>
      <c r="H1960" s="48" t="n"/>
      <c r="I1960" s="51" t="n"/>
      <c r="J1960" s="52" t="n"/>
      <c r="K1960" s="47" t="n"/>
      <c r="L1960" s="47" t="n"/>
      <c r="M1960" s="24">
        <f>IF(OR($A1960="",$C1960=""),"",IF($L1960&lt;&gt;"",$L1960-$C1960,TODAY()-$C1960))</f>
        <v/>
      </c>
      <c r="N1960" s="28">
        <f>IF(OR($A1960="",$K1960=""),"",IF($L1960="",IF(TODAY()&gt;$K1960,"Atrasado","En ruta"),IF($L1960&lt;=$K1960,"Sí","No")))</f>
        <v/>
      </c>
      <c r="O1960" s="24">
        <f>IF($A1960="","",COUNTIFS(NOVEDADES!$D$4:$D$1503,$A1960))</f>
        <v/>
      </c>
      <c r="P1960" s="28">
        <f>IF($A1960="","",IF(COUNTIFS(NOVEDADES!$D$4:$D$1503,$A1960,NOVEDADES!$O$4:$O$1503,"SÍ")&gt;0,"No","Sí"))</f>
        <v/>
      </c>
      <c r="Q1960" s="28">
        <f>IF(OR($A1960="",$L1960=""),"",IF(AND($N1960="Sí",$P1960="Sí"),"OTIF","Falló"))</f>
        <v/>
      </c>
    </row>
    <row r="1961" ht="16" customHeight="1">
      <c r="A1961" s="48" t="n"/>
      <c r="B1961" s="48" t="n"/>
      <c r="C1961" s="47" t="n"/>
      <c r="D1961" s="50" t="n"/>
      <c r="E1961" s="50" t="n"/>
      <c r="F1961" s="50" t="n"/>
      <c r="G1961" s="50" t="n"/>
      <c r="H1961" s="48" t="n"/>
      <c r="I1961" s="51" t="n"/>
      <c r="J1961" s="52" t="n"/>
      <c r="K1961" s="47" t="n"/>
      <c r="L1961" s="47" t="n"/>
      <c r="M1961" s="24">
        <f>IF(OR($A1961="",$C1961=""),"",IF($L1961&lt;&gt;"",$L1961-$C1961,TODAY()-$C1961))</f>
        <v/>
      </c>
      <c r="N1961" s="28">
        <f>IF(OR($A1961="",$K1961=""),"",IF($L1961="",IF(TODAY()&gt;$K1961,"Atrasado","En ruta"),IF($L1961&lt;=$K1961,"Sí","No")))</f>
        <v/>
      </c>
      <c r="O1961" s="24">
        <f>IF($A1961="","",COUNTIFS(NOVEDADES!$D$4:$D$1503,$A1961))</f>
        <v/>
      </c>
      <c r="P1961" s="28">
        <f>IF($A1961="","",IF(COUNTIFS(NOVEDADES!$D$4:$D$1503,$A1961,NOVEDADES!$O$4:$O$1503,"SÍ")&gt;0,"No","Sí"))</f>
        <v/>
      </c>
      <c r="Q1961" s="28">
        <f>IF(OR($A1961="",$L1961=""),"",IF(AND($N1961="Sí",$P1961="Sí"),"OTIF","Falló"))</f>
        <v/>
      </c>
    </row>
    <row r="1962" ht="16" customHeight="1">
      <c r="A1962" s="48" t="n"/>
      <c r="B1962" s="48" t="n"/>
      <c r="C1962" s="47" t="n"/>
      <c r="D1962" s="50" t="n"/>
      <c r="E1962" s="50" t="n"/>
      <c r="F1962" s="50" t="n"/>
      <c r="G1962" s="50" t="n"/>
      <c r="H1962" s="48" t="n"/>
      <c r="I1962" s="51" t="n"/>
      <c r="J1962" s="52" t="n"/>
      <c r="K1962" s="47" t="n"/>
      <c r="L1962" s="47" t="n"/>
      <c r="M1962" s="24">
        <f>IF(OR($A1962="",$C1962=""),"",IF($L1962&lt;&gt;"",$L1962-$C1962,TODAY()-$C1962))</f>
        <v/>
      </c>
      <c r="N1962" s="28">
        <f>IF(OR($A1962="",$K1962=""),"",IF($L1962="",IF(TODAY()&gt;$K1962,"Atrasado","En ruta"),IF($L1962&lt;=$K1962,"Sí","No")))</f>
        <v/>
      </c>
      <c r="O1962" s="24">
        <f>IF($A1962="","",COUNTIFS(NOVEDADES!$D$4:$D$1503,$A1962))</f>
        <v/>
      </c>
      <c r="P1962" s="28">
        <f>IF($A1962="","",IF(COUNTIFS(NOVEDADES!$D$4:$D$1503,$A1962,NOVEDADES!$O$4:$O$1503,"SÍ")&gt;0,"No","Sí"))</f>
        <v/>
      </c>
      <c r="Q1962" s="28">
        <f>IF(OR($A1962="",$L1962=""),"",IF(AND($N1962="Sí",$P1962="Sí"),"OTIF","Falló"))</f>
        <v/>
      </c>
    </row>
    <row r="1963" ht="16" customHeight="1">
      <c r="A1963" s="48" t="n"/>
      <c r="B1963" s="48" t="n"/>
      <c r="C1963" s="47" t="n"/>
      <c r="D1963" s="50" t="n"/>
      <c r="E1963" s="50" t="n"/>
      <c r="F1963" s="50" t="n"/>
      <c r="G1963" s="50" t="n"/>
      <c r="H1963" s="48" t="n"/>
      <c r="I1963" s="51" t="n"/>
      <c r="J1963" s="52" t="n"/>
      <c r="K1963" s="47" t="n"/>
      <c r="L1963" s="47" t="n"/>
      <c r="M1963" s="24">
        <f>IF(OR($A1963="",$C1963=""),"",IF($L1963&lt;&gt;"",$L1963-$C1963,TODAY()-$C1963))</f>
        <v/>
      </c>
      <c r="N1963" s="28">
        <f>IF(OR($A1963="",$K1963=""),"",IF($L1963="",IF(TODAY()&gt;$K1963,"Atrasado","En ruta"),IF($L1963&lt;=$K1963,"Sí","No")))</f>
        <v/>
      </c>
      <c r="O1963" s="24">
        <f>IF($A1963="","",COUNTIFS(NOVEDADES!$D$4:$D$1503,$A1963))</f>
        <v/>
      </c>
      <c r="P1963" s="28">
        <f>IF($A1963="","",IF(COUNTIFS(NOVEDADES!$D$4:$D$1503,$A1963,NOVEDADES!$O$4:$O$1503,"SÍ")&gt;0,"No","Sí"))</f>
        <v/>
      </c>
      <c r="Q1963" s="28">
        <f>IF(OR($A1963="",$L1963=""),"",IF(AND($N1963="Sí",$P1963="Sí"),"OTIF","Falló"))</f>
        <v/>
      </c>
    </row>
    <row r="1964" ht="16" customHeight="1">
      <c r="A1964" s="48" t="n"/>
      <c r="B1964" s="48" t="n"/>
      <c r="C1964" s="47" t="n"/>
      <c r="D1964" s="50" t="n"/>
      <c r="E1964" s="50" t="n"/>
      <c r="F1964" s="50" t="n"/>
      <c r="G1964" s="50" t="n"/>
      <c r="H1964" s="48" t="n"/>
      <c r="I1964" s="51" t="n"/>
      <c r="J1964" s="52" t="n"/>
      <c r="K1964" s="47" t="n"/>
      <c r="L1964" s="47" t="n"/>
      <c r="M1964" s="24">
        <f>IF(OR($A1964="",$C1964=""),"",IF($L1964&lt;&gt;"",$L1964-$C1964,TODAY()-$C1964))</f>
        <v/>
      </c>
      <c r="N1964" s="28">
        <f>IF(OR($A1964="",$K1964=""),"",IF($L1964="",IF(TODAY()&gt;$K1964,"Atrasado","En ruta"),IF($L1964&lt;=$K1964,"Sí","No")))</f>
        <v/>
      </c>
      <c r="O1964" s="24">
        <f>IF($A1964="","",COUNTIFS(NOVEDADES!$D$4:$D$1503,$A1964))</f>
        <v/>
      </c>
      <c r="P1964" s="28">
        <f>IF($A1964="","",IF(COUNTIFS(NOVEDADES!$D$4:$D$1503,$A1964,NOVEDADES!$O$4:$O$1503,"SÍ")&gt;0,"No","Sí"))</f>
        <v/>
      </c>
      <c r="Q1964" s="28">
        <f>IF(OR($A1964="",$L1964=""),"",IF(AND($N1964="Sí",$P1964="Sí"),"OTIF","Falló"))</f>
        <v/>
      </c>
    </row>
    <row r="1965" ht="16" customHeight="1">
      <c r="A1965" s="48" t="n"/>
      <c r="B1965" s="48" t="n"/>
      <c r="C1965" s="47" t="n"/>
      <c r="D1965" s="50" t="n"/>
      <c r="E1965" s="50" t="n"/>
      <c r="F1965" s="50" t="n"/>
      <c r="G1965" s="50" t="n"/>
      <c r="H1965" s="48" t="n"/>
      <c r="I1965" s="51" t="n"/>
      <c r="J1965" s="52" t="n"/>
      <c r="K1965" s="47" t="n"/>
      <c r="L1965" s="47" t="n"/>
      <c r="M1965" s="24">
        <f>IF(OR($A1965="",$C1965=""),"",IF($L1965&lt;&gt;"",$L1965-$C1965,TODAY()-$C1965))</f>
        <v/>
      </c>
      <c r="N1965" s="28">
        <f>IF(OR($A1965="",$K1965=""),"",IF($L1965="",IF(TODAY()&gt;$K1965,"Atrasado","En ruta"),IF($L1965&lt;=$K1965,"Sí","No")))</f>
        <v/>
      </c>
      <c r="O1965" s="24">
        <f>IF($A1965="","",COUNTIFS(NOVEDADES!$D$4:$D$1503,$A1965))</f>
        <v/>
      </c>
      <c r="P1965" s="28">
        <f>IF($A1965="","",IF(COUNTIFS(NOVEDADES!$D$4:$D$1503,$A1965,NOVEDADES!$O$4:$O$1503,"SÍ")&gt;0,"No","Sí"))</f>
        <v/>
      </c>
      <c r="Q1965" s="28">
        <f>IF(OR($A1965="",$L1965=""),"",IF(AND($N1965="Sí",$P1965="Sí"),"OTIF","Falló"))</f>
        <v/>
      </c>
    </row>
    <row r="1966" ht="16" customHeight="1">
      <c r="A1966" s="48" t="n"/>
      <c r="B1966" s="48" t="n"/>
      <c r="C1966" s="47" t="n"/>
      <c r="D1966" s="50" t="n"/>
      <c r="E1966" s="50" t="n"/>
      <c r="F1966" s="50" t="n"/>
      <c r="G1966" s="50" t="n"/>
      <c r="H1966" s="48" t="n"/>
      <c r="I1966" s="51" t="n"/>
      <c r="J1966" s="52" t="n"/>
      <c r="K1966" s="47" t="n"/>
      <c r="L1966" s="47" t="n"/>
      <c r="M1966" s="24">
        <f>IF(OR($A1966="",$C1966=""),"",IF($L1966&lt;&gt;"",$L1966-$C1966,TODAY()-$C1966))</f>
        <v/>
      </c>
      <c r="N1966" s="28">
        <f>IF(OR($A1966="",$K1966=""),"",IF($L1966="",IF(TODAY()&gt;$K1966,"Atrasado","En ruta"),IF($L1966&lt;=$K1966,"Sí","No")))</f>
        <v/>
      </c>
      <c r="O1966" s="24">
        <f>IF($A1966="","",COUNTIFS(NOVEDADES!$D$4:$D$1503,$A1966))</f>
        <v/>
      </c>
      <c r="P1966" s="28">
        <f>IF($A1966="","",IF(COUNTIFS(NOVEDADES!$D$4:$D$1503,$A1966,NOVEDADES!$O$4:$O$1503,"SÍ")&gt;0,"No","Sí"))</f>
        <v/>
      </c>
      <c r="Q1966" s="28">
        <f>IF(OR($A1966="",$L1966=""),"",IF(AND($N1966="Sí",$P1966="Sí"),"OTIF","Falló"))</f>
        <v/>
      </c>
    </row>
    <row r="1967" ht="16" customHeight="1">
      <c r="A1967" s="48" t="n"/>
      <c r="B1967" s="48" t="n"/>
      <c r="C1967" s="47" t="n"/>
      <c r="D1967" s="50" t="n"/>
      <c r="E1967" s="50" t="n"/>
      <c r="F1967" s="50" t="n"/>
      <c r="G1967" s="50" t="n"/>
      <c r="H1967" s="48" t="n"/>
      <c r="I1967" s="51" t="n"/>
      <c r="J1967" s="52" t="n"/>
      <c r="K1967" s="47" t="n"/>
      <c r="L1967" s="47" t="n"/>
      <c r="M1967" s="24">
        <f>IF(OR($A1967="",$C1967=""),"",IF($L1967&lt;&gt;"",$L1967-$C1967,TODAY()-$C1967))</f>
        <v/>
      </c>
      <c r="N1967" s="28">
        <f>IF(OR($A1967="",$K1967=""),"",IF($L1967="",IF(TODAY()&gt;$K1967,"Atrasado","En ruta"),IF($L1967&lt;=$K1967,"Sí","No")))</f>
        <v/>
      </c>
      <c r="O1967" s="24">
        <f>IF($A1967="","",COUNTIFS(NOVEDADES!$D$4:$D$1503,$A1967))</f>
        <v/>
      </c>
      <c r="P1967" s="28">
        <f>IF($A1967="","",IF(COUNTIFS(NOVEDADES!$D$4:$D$1503,$A1967,NOVEDADES!$O$4:$O$1503,"SÍ")&gt;0,"No","Sí"))</f>
        <v/>
      </c>
      <c r="Q1967" s="28">
        <f>IF(OR($A1967="",$L1967=""),"",IF(AND($N1967="Sí",$P1967="Sí"),"OTIF","Falló"))</f>
        <v/>
      </c>
    </row>
    <row r="1968" ht="16" customHeight="1">
      <c r="A1968" s="48" t="n"/>
      <c r="B1968" s="48" t="n"/>
      <c r="C1968" s="47" t="n"/>
      <c r="D1968" s="50" t="n"/>
      <c r="E1968" s="50" t="n"/>
      <c r="F1968" s="50" t="n"/>
      <c r="G1968" s="50" t="n"/>
      <c r="H1968" s="48" t="n"/>
      <c r="I1968" s="51" t="n"/>
      <c r="J1968" s="52" t="n"/>
      <c r="K1968" s="47" t="n"/>
      <c r="L1968" s="47" t="n"/>
      <c r="M1968" s="24">
        <f>IF(OR($A1968="",$C1968=""),"",IF($L1968&lt;&gt;"",$L1968-$C1968,TODAY()-$C1968))</f>
        <v/>
      </c>
      <c r="N1968" s="28">
        <f>IF(OR($A1968="",$K1968=""),"",IF($L1968="",IF(TODAY()&gt;$K1968,"Atrasado","En ruta"),IF($L1968&lt;=$K1968,"Sí","No")))</f>
        <v/>
      </c>
      <c r="O1968" s="24">
        <f>IF($A1968="","",COUNTIFS(NOVEDADES!$D$4:$D$1503,$A1968))</f>
        <v/>
      </c>
      <c r="P1968" s="28">
        <f>IF($A1968="","",IF(COUNTIFS(NOVEDADES!$D$4:$D$1503,$A1968,NOVEDADES!$O$4:$O$1503,"SÍ")&gt;0,"No","Sí"))</f>
        <v/>
      </c>
      <c r="Q1968" s="28">
        <f>IF(OR($A1968="",$L1968=""),"",IF(AND($N1968="Sí",$P1968="Sí"),"OTIF","Falló"))</f>
        <v/>
      </c>
    </row>
    <row r="1969" ht="16" customHeight="1">
      <c r="A1969" s="48" t="n"/>
      <c r="B1969" s="48" t="n"/>
      <c r="C1969" s="47" t="n"/>
      <c r="D1969" s="50" t="n"/>
      <c r="E1969" s="50" t="n"/>
      <c r="F1969" s="50" t="n"/>
      <c r="G1969" s="50" t="n"/>
      <c r="H1969" s="48" t="n"/>
      <c r="I1969" s="51" t="n"/>
      <c r="J1969" s="52" t="n"/>
      <c r="K1969" s="47" t="n"/>
      <c r="L1969" s="47" t="n"/>
      <c r="M1969" s="24">
        <f>IF(OR($A1969="",$C1969=""),"",IF($L1969&lt;&gt;"",$L1969-$C1969,TODAY()-$C1969))</f>
        <v/>
      </c>
      <c r="N1969" s="28">
        <f>IF(OR($A1969="",$K1969=""),"",IF($L1969="",IF(TODAY()&gt;$K1969,"Atrasado","En ruta"),IF($L1969&lt;=$K1969,"Sí","No")))</f>
        <v/>
      </c>
      <c r="O1969" s="24">
        <f>IF($A1969="","",COUNTIFS(NOVEDADES!$D$4:$D$1503,$A1969))</f>
        <v/>
      </c>
      <c r="P1969" s="28">
        <f>IF($A1969="","",IF(COUNTIFS(NOVEDADES!$D$4:$D$1503,$A1969,NOVEDADES!$O$4:$O$1503,"SÍ")&gt;0,"No","Sí"))</f>
        <v/>
      </c>
      <c r="Q1969" s="28">
        <f>IF(OR($A1969="",$L1969=""),"",IF(AND($N1969="Sí",$P1969="Sí"),"OTIF","Falló"))</f>
        <v/>
      </c>
    </row>
    <row r="1970" ht="16" customHeight="1">
      <c r="A1970" s="48" t="n"/>
      <c r="B1970" s="48" t="n"/>
      <c r="C1970" s="47" t="n"/>
      <c r="D1970" s="50" t="n"/>
      <c r="E1970" s="50" t="n"/>
      <c r="F1970" s="50" t="n"/>
      <c r="G1970" s="50" t="n"/>
      <c r="H1970" s="48" t="n"/>
      <c r="I1970" s="51" t="n"/>
      <c r="J1970" s="52" t="n"/>
      <c r="K1970" s="47" t="n"/>
      <c r="L1970" s="47" t="n"/>
      <c r="M1970" s="24">
        <f>IF(OR($A1970="",$C1970=""),"",IF($L1970&lt;&gt;"",$L1970-$C1970,TODAY()-$C1970))</f>
        <v/>
      </c>
      <c r="N1970" s="28">
        <f>IF(OR($A1970="",$K1970=""),"",IF($L1970="",IF(TODAY()&gt;$K1970,"Atrasado","En ruta"),IF($L1970&lt;=$K1970,"Sí","No")))</f>
        <v/>
      </c>
      <c r="O1970" s="24">
        <f>IF($A1970="","",COUNTIFS(NOVEDADES!$D$4:$D$1503,$A1970))</f>
        <v/>
      </c>
      <c r="P1970" s="28">
        <f>IF($A1970="","",IF(COUNTIFS(NOVEDADES!$D$4:$D$1503,$A1970,NOVEDADES!$O$4:$O$1503,"SÍ")&gt;0,"No","Sí"))</f>
        <v/>
      </c>
      <c r="Q1970" s="28">
        <f>IF(OR($A1970="",$L1970=""),"",IF(AND($N1970="Sí",$P1970="Sí"),"OTIF","Falló"))</f>
        <v/>
      </c>
    </row>
    <row r="1971" ht="16" customHeight="1">
      <c r="A1971" s="48" t="n"/>
      <c r="B1971" s="48" t="n"/>
      <c r="C1971" s="47" t="n"/>
      <c r="D1971" s="50" t="n"/>
      <c r="E1971" s="50" t="n"/>
      <c r="F1971" s="50" t="n"/>
      <c r="G1971" s="50" t="n"/>
      <c r="H1971" s="48" t="n"/>
      <c r="I1971" s="51" t="n"/>
      <c r="J1971" s="52" t="n"/>
      <c r="K1971" s="47" t="n"/>
      <c r="L1971" s="47" t="n"/>
      <c r="M1971" s="24">
        <f>IF(OR($A1971="",$C1971=""),"",IF($L1971&lt;&gt;"",$L1971-$C1971,TODAY()-$C1971))</f>
        <v/>
      </c>
      <c r="N1971" s="28">
        <f>IF(OR($A1971="",$K1971=""),"",IF($L1971="",IF(TODAY()&gt;$K1971,"Atrasado","En ruta"),IF($L1971&lt;=$K1971,"Sí","No")))</f>
        <v/>
      </c>
      <c r="O1971" s="24">
        <f>IF($A1971="","",COUNTIFS(NOVEDADES!$D$4:$D$1503,$A1971))</f>
        <v/>
      </c>
      <c r="P1971" s="28">
        <f>IF($A1971="","",IF(COUNTIFS(NOVEDADES!$D$4:$D$1503,$A1971,NOVEDADES!$O$4:$O$1503,"SÍ")&gt;0,"No","Sí"))</f>
        <v/>
      </c>
      <c r="Q1971" s="28">
        <f>IF(OR($A1971="",$L1971=""),"",IF(AND($N1971="Sí",$P1971="Sí"),"OTIF","Falló"))</f>
        <v/>
      </c>
    </row>
    <row r="1972" ht="16" customHeight="1">
      <c r="A1972" s="48" t="n"/>
      <c r="B1972" s="48" t="n"/>
      <c r="C1972" s="47" t="n"/>
      <c r="D1972" s="50" t="n"/>
      <c r="E1972" s="50" t="n"/>
      <c r="F1972" s="50" t="n"/>
      <c r="G1972" s="50" t="n"/>
      <c r="H1972" s="48" t="n"/>
      <c r="I1972" s="51" t="n"/>
      <c r="J1972" s="52" t="n"/>
      <c r="K1972" s="47" t="n"/>
      <c r="L1972" s="47" t="n"/>
      <c r="M1972" s="24">
        <f>IF(OR($A1972="",$C1972=""),"",IF($L1972&lt;&gt;"",$L1972-$C1972,TODAY()-$C1972))</f>
        <v/>
      </c>
      <c r="N1972" s="28">
        <f>IF(OR($A1972="",$K1972=""),"",IF($L1972="",IF(TODAY()&gt;$K1972,"Atrasado","En ruta"),IF($L1972&lt;=$K1972,"Sí","No")))</f>
        <v/>
      </c>
      <c r="O1972" s="24">
        <f>IF($A1972="","",COUNTIFS(NOVEDADES!$D$4:$D$1503,$A1972))</f>
        <v/>
      </c>
      <c r="P1972" s="28">
        <f>IF($A1972="","",IF(COUNTIFS(NOVEDADES!$D$4:$D$1503,$A1972,NOVEDADES!$O$4:$O$1503,"SÍ")&gt;0,"No","Sí"))</f>
        <v/>
      </c>
      <c r="Q1972" s="28">
        <f>IF(OR($A1972="",$L1972=""),"",IF(AND($N1972="Sí",$P1972="Sí"),"OTIF","Falló"))</f>
        <v/>
      </c>
    </row>
    <row r="1973" ht="16" customHeight="1">
      <c r="A1973" s="48" t="n"/>
      <c r="B1973" s="48" t="n"/>
      <c r="C1973" s="47" t="n"/>
      <c r="D1973" s="50" t="n"/>
      <c r="E1973" s="50" t="n"/>
      <c r="F1973" s="50" t="n"/>
      <c r="G1973" s="50" t="n"/>
      <c r="H1973" s="48" t="n"/>
      <c r="I1973" s="51" t="n"/>
      <c r="J1973" s="52" t="n"/>
      <c r="K1973" s="47" t="n"/>
      <c r="L1973" s="47" t="n"/>
      <c r="M1973" s="24">
        <f>IF(OR($A1973="",$C1973=""),"",IF($L1973&lt;&gt;"",$L1973-$C1973,TODAY()-$C1973))</f>
        <v/>
      </c>
      <c r="N1973" s="28">
        <f>IF(OR($A1973="",$K1973=""),"",IF($L1973="",IF(TODAY()&gt;$K1973,"Atrasado","En ruta"),IF($L1973&lt;=$K1973,"Sí","No")))</f>
        <v/>
      </c>
      <c r="O1973" s="24">
        <f>IF($A1973="","",COUNTIFS(NOVEDADES!$D$4:$D$1503,$A1973))</f>
        <v/>
      </c>
      <c r="P1973" s="28">
        <f>IF($A1973="","",IF(COUNTIFS(NOVEDADES!$D$4:$D$1503,$A1973,NOVEDADES!$O$4:$O$1503,"SÍ")&gt;0,"No","Sí"))</f>
        <v/>
      </c>
      <c r="Q1973" s="28">
        <f>IF(OR($A1973="",$L1973=""),"",IF(AND($N1973="Sí",$P1973="Sí"),"OTIF","Falló"))</f>
        <v/>
      </c>
    </row>
    <row r="1974" ht="16" customHeight="1">
      <c r="A1974" s="48" t="n"/>
      <c r="B1974" s="48" t="n"/>
      <c r="C1974" s="47" t="n"/>
      <c r="D1974" s="50" t="n"/>
      <c r="E1974" s="50" t="n"/>
      <c r="F1974" s="50" t="n"/>
      <c r="G1974" s="50" t="n"/>
      <c r="H1974" s="48" t="n"/>
      <c r="I1974" s="51" t="n"/>
      <c r="J1974" s="52" t="n"/>
      <c r="K1974" s="47" t="n"/>
      <c r="L1974" s="47" t="n"/>
      <c r="M1974" s="24">
        <f>IF(OR($A1974="",$C1974=""),"",IF($L1974&lt;&gt;"",$L1974-$C1974,TODAY()-$C1974))</f>
        <v/>
      </c>
      <c r="N1974" s="28">
        <f>IF(OR($A1974="",$K1974=""),"",IF($L1974="",IF(TODAY()&gt;$K1974,"Atrasado","En ruta"),IF($L1974&lt;=$K1974,"Sí","No")))</f>
        <v/>
      </c>
      <c r="O1974" s="24">
        <f>IF($A1974="","",COUNTIFS(NOVEDADES!$D$4:$D$1503,$A1974))</f>
        <v/>
      </c>
      <c r="P1974" s="28">
        <f>IF($A1974="","",IF(COUNTIFS(NOVEDADES!$D$4:$D$1503,$A1974,NOVEDADES!$O$4:$O$1503,"SÍ")&gt;0,"No","Sí"))</f>
        <v/>
      </c>
      <c r="Q1974" s="28">
        <f>IF(OR($A1974="",$L1974=""),"",IF(AND($N1974="Sí",$P1974="Sí"),"OTIF","Falló"))</f>
        <v/>
      </c>
    </row>
    <row r="1975" ht="16" customHeight="1">
      <c r="A1975" s="48" t="n"/>
      <c r="B1975" s="48" t="n"/>
      <c r="C1975" s="47" t="n"/>
      <c r="D1975" s="50" t="n"/>
      <c r="E1975" s="50" t="n"/>
      <c r="F1975" s="50" t="n"/>
      <c r="G1975" s="50" t="n"/>
      <c r="H1975" s="48" t="n"/>
      <c r="I1975" s="51" t="n"/>
      <c r="J1975" s="52" t="n"/>
      <c r="K1975" s="47" t="n"/>
      <c r="L1975" s="47" t="n"/>
      <c r="M1975" s="24">
        <f>IF(OR($A1975="",$C1975=""),"",IF($L1975&lt;&gt;"",$L1975-$C1975,TODAY()-$C1975))</f>
        <v/>
      </c>
      <c r="N1975" s="28">
        <f>IF(OR($A1975="",$K1975=""),"",IF($L1975="",IF(TODAY()&gt;$K1975,"Atrasado","En ruta"),IF($L1975&lt;=$K1975,"Sí","No")))</f>
        <v/>
      </c>
      <c r="O1975" s="24">
        <f>IF($A1975="","",COUNTIFS(NOVEDADES!$D$4:$D$1503,$A1975))</f>
        <v/>
      </c>
      <c r="P1975" s="28">
        <f>IF($A1975="","",IF(COUNTIFS(NOVEDADES!$D$4:$D$1503,$A1975,NOVEDADES!$O$4:$O$1503,"SÍ")&gt;0,"No","Sí"))</f>
        <v/>
      </c>
      <c r="Q1975" s="28">
        <f>IF(OR($A1975="",$L1975=""),"",IF(AND($N1975="Sí",$P1975="Sí"),"OTIF","Falló"))</f>
        <v/>
      </c>
    </row>
    <row r="1976" ht="16" customHeight="1">
      <c r="A1976" s="48" t="n"/>
      <c r="B1976" s="48" t="n"/>
      <c r="C1976" s="47" t="n"/>
      <c r="D1976" s="50" t="n"/>
      <c r="E1976" s="50" t="n"/>
      <c r="F1976" s="50" t="n"/>
      <c r="G1976" s="50" t="n"/>
      <c r="H1976" s="48" t="n"/>
      <c r="I1976" s="51" t="n"/>
      <c r="J1976" s="52" t="n"/>
      <c r="K1976" s="47" t="n"/>
      <c r="L1976" s="47" t="n"/>
      <c r="M1976" s="24">
        <f>IF(OR($A1976="",$C1976=""),"",IF($L1976&lt;&gt;"",$L1976-$C1976,TODAY()-$C1976))</f>
        <v/>
      </c>
      <c r="N1976" s="28">
        <f>IF(OR($A1976="",$K1976=""),"",IF($L1976="",IF(TODAY()&gt;$K1976,"Atrasado","En ruta"),IF($L1976&lt;=$K1976,"Sí","No")))</f>
        <v/>
      </c>
      <c r="O1976" s="24">
        <f>IF($A1976="","",COUNTIFS(NOVEDADES!$D$4:$D$1503,$A1976))</f>
        <v/>
      </c>
      <c r="P1976" s="28">
        <f>IF($A1976="","",IF(COUNTIFS(NOVEDADES!$D$4:$D$1503,$A1976,NOVEDADES!$O$4:$O$1503,"SÍ")&gt;0,"No","Sí"))</f>
        <v/>
      </c>
      <c r="Q1976" s="28">
        <f>IF(OR($A1976="",$L1976=""),"",IF(AND($N1976="Sí",$P1976="Sí"),"OTIF","Falló"))</f>
        <v/>
      </c>
    </row>
    <row r="1977" ht="16" customHeight="1">
      <c r="A1977" s="48" t="n"/>
      <c r="B1977" s="48" t="n"/>
      <c r="C1977" s="47" t="n"/>
      <c r="D1977" s="50" t="n"/>
      <c r="E1977" s="50" t="n"/>
      <c r="F1977" s="50" t="n"/>
      <c r="G1977" s="50" t="n"/>
      <c r="H1977" s="48" t="n"/>
      <c r="I1977" s="51" t="n"/>
      <c r="J1977" s="52" t="n"/>
      <c r="K1977" s="47" t="n"/>
      <c r="L1977" s="47" t="n"/>
      <c r="M1977" s="24">
        <f>IF(OR($A1977="",$C1977=""),"",IF($L1977&lt;&gt;"",$L1977-$C1977,TODAY()-$C1977))</f>
        <v/>
      </c>
      <c r="N1977" s="28">
        <f>IF(OR($A1977="",$K1977=""),"",IF($L1977="",IF(TODAY()&gt;$K1977,"Atrasado","En ruta"),IF($L1977&lt;=$K1977,"Sí","No")))</f>
        <v/>
      </c>
      <c r="O1977" s="24">
        <f>IF($A1977="","",COUNTIFS(NOVEDADES!$D$4:$D$1503,$A1977))</f>
        <v/>
      </c>
      <c r="P1977" s="28">
        <f>IF($A1977="","",IF(COUNTIFS(NOVEDADES!$D$4:$D$1503,$A1977,NOVEDADES!$O$4:$O$1503,"SÍ")&gt;0,"No","Sí"))</f>
        <v/>
      </c>
      <c r="Q1977" s="28">
        <f>IF(OR($A1977="",$L1977=""),"",IF(AND($N1977="Sí",$P1977="Sí"),"OTIF","Falló"))</f>
        <v/>
      </c>
    </row>
    <row r="1978" ht="16" customHeight="1">
      <c r="A1978" s="48" t="n"/>
      <c r="B1978" s="48" t="n"/>
      <c r="C1978" s="47" t="n"/>
      <c r="D1978" s="50" t="n"/>
      <c r="E1978" s="50" t="n"/>
      <c r="F1978" s="50" t="n"/>
      <c r="G1978" s="50" t="n"/>
      <c r="H1978" s="48" t="n"/>
      <c r="I1978" s="51" t="n"/>
      <c r="J1978" s="52" t="n"/>
      <c r="K1978" s="47" t="n"/>
      <c r="L1978" s="47" t="n"/>
      <c r="M1978" s="24">
        <f>IF(OR($A1978="",$C1978=""),"",IF($L1978&lt;&gt;"",$L1978-$C1978,TODAY()-$C1978))</f>
        <v/>
      </c>
      <c r="N1978" s="28">
        <f>IF(OR($A1978="",$K1978=""),"",IF($L1978="",IF(TODAY()&gt;$K1978,"Atrasado","En ruta"),IF($L1978&lt;=$K1978,"Sí","No")))</f>
        <v/>
      </c>
      <c r="O1978" s="24">
        <f>IF($A1978="","",COUNTIFS(NOVEDADES!$D$4:$D$1503,$A1978))</f>
        <v/>
      </c>
      <c r="P1978" s="28">
        <f>IF($A1978="","",IF(COUNTIFS(NOVEDADES!$D$4:$D$1503,$A1978,NOVEDADES!$O$4:$O$1503,"SÍ")&gt;0,"No","Sí"))</f>
        <v/>
      </c>
      <c r="Q1978" s="28">
        <f>IF(OR($A1978="",$L1978=""),"",IF(AND($N1978="Sí",$P1978="Sí"),"OTIF","Falló"))</f>
        <v/>
      </c>
    </row>
    <row r="1979" ht="16" customHeight="1">
      <c r="A1979" s="48" t="n"/>
      <c r="B1979" s="48" t="n"/>
      <c r="C1979" s="47" t="n"/>
      <c r="D1979" s="50" t="n"/>
      <c r="E1979" s="50" t="n"/>
      <c r="F1979" s="50" t="n"/>
      <c r="G1979" s="50" t="n"/>
      <c r="H1979" s="48" t="n"/>
      <c r="I1979" s="51" t="n"/>
      <c r="J1979" s="52" t="n"/>
      <c r="K1979" s="47" t="n"/>
      <c r="L1979" s="47" t="n"/>
      <c r="M1979" s="24">
        <f>IF(OR($A1979="",$C1979=""),"",IF($L1979&lt;&gt;"",$L1979-$C1979,TODAY()-$C1979))</f>
        <v/>
      </c>
      <c r="N1979" s="28">
        <f>IF(OR($A1979="",$K1979=""),"",IF($L1979="",IF(TODAY()&gt;$K1979,"Atrasado","En ruta"),IF($L1979&lt;=$K1979,"Sí","No")))</f>
        <v/>
      </c>
      <c r="O1979" s="24">
        <f>IF($A1979="","",COUNTIFS(NOVEDADES!$D$4:$D$1503,$A1979))</f>
        <v/>
      </c>
      <c r="P1979" s="28">
        <f>IF($A1979="","",IF(COUNTIFS(NOVEDADES!$D$4:$D$1503,$A1979,NOVEDADES!$O$4:$O$1503,"SÍ")&gt;0,"No","Sí"))</f>
        <v/>
      </c>
      <c r="Q1979" s="28">
        <f>IF(OR($A1979="",$L1979=""),"",IF(AND($N1979="Sí",$P1979="Sí"),"OTIF","Falló"))</f>
        <v/>
      </c>
    </row>
    <row r="1980" ht="16" customHeight="1">
      <c r="A1980" s="48" t="n"/>
      <c r="B1980" s="48" t="n"/>
      <c r="C1980" s="47" t="n"/>
      <c r="D1980" s="50" t="n"/>
      <c r="E1980" s="50" t="n"/>
      <c r="F1980" s="50" t="n"/>
      <c r="G1980" s="50" t="n"/>
      <c r="H1980" s="48" t="n"/>
      <c r="I1980" s="51" t="n"/>
      <c r="J1980" s="52" t="n"/>
      <c r="K1980" s="47" t="n"/>
      <c r="L1980" s="47" t="n"/>
      <c r="M1980" s="24">
        <f>IF(OR($A1980="",$C1980=""),"",IF($L1980&lt;&gt;"",$L1980-$C1980,TODAY()-$C1980))</f>
        <v/>
      </c>
      <c r="N1980" s="28">
        <f>IF(OR($A1980="",$K1980=""),"",IF($L1980="",IF(TODAY()&gt;$K1980,"Atrasado","En ruta"),IF($L1980&lt;=$K1980,"Sí","No")))</f>
        <v/>
      </c>
      <c r="O1980" s="24">
        <f>IF($A1980="","",COUNTIFS(NOVEDADES!$D$4:$D$1503,$A1980))</f>
        <v/>
      </c>
      <c r="P1980" s="28">
        <f>IF($A1980="","",IF(COUNTIFS(NOVEDADES!$D$4:$D$1503,$A1980,NOVEDADES!$O$4:$O$1503,"SÍ")&gt;0,"No","Sí"))</f>
        <v/>
      </c>
      <c r="Q1980" s="28">
        <f>IF(OR($A1980="",$L1980=""),"",IF(AND($N1980="Sí",$P1980="Sí"),"OTIF","Falló"))</f>
        <v/>
      </c>
    </row>
    <row r="1981" ht="16" customHeight="1">
      <c r="A1981" s="48" t="n"/>
      <c r="B1981" s="48" t="n"/>
      <c r="C1981" s="47" t="n"/>
      <c r="D1981" s="50" t="n"/>
      <c r="E1981" s="50" t="n"/>
      <c r="F1981" s="50" t="n"/>
      <c r="G1981" s="50" t="n"/>
      <c r="H1981" s="48" t="n"/>
      <c r="I1981" s="51" t="n"/>
      <c r="J1981" s="52" t="n"/>
      <c r="K1981" s="47" t="n"/>
      <c r="L1981" s="47" t="n"/>
      <c r="M1981" s="24">
        <f>IF(OR($A1981="",$C1981=""),"",IF($L1981&lt;&gt;"",$L1981-$C1981,TODAY()-$C1981))</f>
        <v/>
      </c>
      <c r="N1981" s="28">
        <f>IF(OR($A1981="",$K1981=""),"",IF($L1981="",IF(TODAY()&gt;$K1981,"Atrasado","En ruta"),IF($L1981&lt;=$K1981,"Sí","No")))</f>
        <v/>
      </c>
      <c r="O1981" s="24">
        <f>IF($A1981="","",COUNTIFS(NOVEDADES!$D$4:$D$1503,$A1981))</f>
        <v/>
      </c>
      <c r="P1981" s="28">
        <f>IF($A1981="","",IF(COUNTIFS(NOVEDADES!$D$4:$D$1503,$A1981,NOVEDADES!$O$4:$O$1503,"SÍ")&gt;0,"No","Sí"))</f>
        <v/>
      </c>
      <c r="Q1981" s="28">
        <f>IF(OR($A1981="",$L1981=""),"",IF(AND($N1981="Sí",$P1981="Sí"),"OTIF","Falló"))</f>
        <v/>
      </c>
    </row>
    <row r="1982" ht="16" customHeight="1">
      <c r="A1982" s="48" t="n"/>
      <c r="B1982" s="48" t="n"/>
      <c r="C1982" s="47" t="n"/>
      <c r="D1982" s="50" t="n"/>
      <c r="E1982" s="50" t="n"/>
      <c r="F1982" s="50" t="n"/>
      <c r="G1982" s="50" t="n"/>
      <c r="H1982" s="48" t="n"/>
      <c r="I1982" s="51" t="n"/>
      <c r="J1982" s="52" t="n"/>
      <c r="K1982" s="47" t="n"/>
      <c r="L1982" s="47" t="n"/>
      <c r="M1982" s="24">
        <f>IF(OR($A1982="",$C1982=""),"",IF($L1982&lt;&gt;"",$L1982-$C1982,TODAY()-$C1982))</f>
        <v/>
      </c>
      <c r="N1982" s="28">
        <f>IF(OR($A1982="",$K1982=""),"",IF($L1982="",IF(TODAY()&gt;$K1982,"Atrasado","En ruta"),IF($L1982&lt;=$K1982,"Sí","No")))</f>
        <v/>
      </c>
      <c r="O1982" s="24">
        <f>IF($A1982="","",COUNTIFS(NOVEDADES!$D$4:$D$1503,$A1982))</f>
        <v/>
      </c>
      <c r="P1982" s="28">
        <f>IF($A1982="","",IF(COUNTIFS(NOVEDADES!$D$4:$D$1503,$A1982,NOVEDADES!$O$4:$O$1503,"SÍ")&gt;0,"No","Sí"))</f>
        <v/>
      </c>
      <c r="Q1982" s="28">
        <f>IF(OR($A1982="",$L1982=""),"",IF(AND($N1982="Sí",$P1982="Sí"),"OTIF","Falló"))</f>
        <v/>
      </c>
    </row>
    <row r="1983" ht="16" customHeight="1">
      <c r="A1983" s="48" t="n"/>
      <c r="B1983" s="48" t="n"/>
      <c r="C1983" s="47" t="n"/>
      <c r="D1983" s="50" t="n"/>
      <c r="E1983" s="50" t="n"/>
      <c r="F1983" s="50" t="n"/>
      <c r="G1983" s="50" t="n"/>
      <c r="H1983" s="48" t="n"/>
      <c r="I1983" s="51" t="n"/>
      <c r="J1983" s="52" t="n"/>
      <c r="K1983" s="47" t="n"/>
      <c r="L1983" s="47" t="n"/>
      <c r="M1983" s="24">
        <f>IF(OR($A1983="",$C1983=""),"",IF($L1983&lt;&gt;"",$L1983-$C1983,TODAY()-$C1983))</f>
        <v/>
      </c>
      <c r="N1983" s="28">
        <f>IF(OR($A1983="",$K1983=""),"",IF($L1983="",IF(TODAY()&gt;$K1983,"Atrasado","En ruta"),IF($L1983&lt;=$K1983,"Sí","No")))</f>
        <v/>
      </c>
      <c r="O1983" s="24">
        <f>IF($A1983="","",COUNTIFS(NOVEDADES!$D$4:$D$1503,$A1983))</f>
        <v/>
      </c>
      <c r="P1983" s="28">
        <f>IF($A1983="","",IF(COUNTIFS(NOVEDADES!$D$4:$D$1503,$A1983,NOVEDADES!$O$4:$O$1503,"SÍ")&gt;0,"No","Sí"))</f>
        <v/>
      </c>
      <c r="Q1983" s="28">
        <f>IF(OR($A1983="",$L1983=""),"",IF(AND($N1983="Sí",$P1983="Sí"),"OTIF","Falló"))</f>
        <v/>
      </c>
    </row>
    <row r="1984" ht="16" customHeight="1">
      <c r="A1984" s="48" t="n"/>
      <c r="B1984" s="48" t="n"/>
      <c r="C1984" s="47" t="n"/>
      <c r="D1984" s="50" t="n"/>
      <c r="E1984" s="50" t="n"/>
      <c r="F1984" s="50" t="n"/>
      <c r="G1984" s="50" t="n"/>
      <c r="H1984" s="48" t="n"/>
      <c r="I1984" s="51" t="n"/>
      <c r="J1984" s="52" t="n"/>
      <c r="K1984" s="47" t="n"/>
      <c r="L1984" s="47" t="n"/>
      <c r="M1984" s="24">
        <f>IF(OR($A1984="",$C1984=""),"",IF($L1984&lt;&gt;"",$L1984-$C1984,TODAY()-$C1984))</f>
        <v/>
      </c>
      <c r="N1984" s="28">
        <f>IF(OR($A1984="",$K1984=""),"",IF($L1984="",IF(TODAY()&gt;$K1984,"Atrasado","En ruta"),IF($L1984&lt;=$K1984,"Sí","No")))</f>
        <v/>
      </c>
      <c r="O1984" s="24">
        <f>IF($A1984="","",COUNTIFS(NOVEDADES!$D$4:$D$1503,$A1984))</f>
        <v/>
      </c>
      <c r="P1984" s="28">
        <f>IF($A1984="","",IF(COUNTIFS(NOVEDADES!$D$4:$D$1503,$A1984,NOVEDADES!$O$4:$O$1503,"SÍ")&gt;0,"No","Sí"))</f>
        <v/>
      </c>
      <c r="Q1984" s="28">
        <f>IF(OR($A1984="",$L1984=""),"",IF(AND($N1984="Sí",$P1984="Sí"),"OTIF","Falló"))</f>
        <v/>
      </c>
    </row>
    <row r="1985" ht="16" customHeight="1">
      <c r="A1985" s="48" t="n"/>
      <c r="B1985" s="48" t="n"/>
      <c r="C1985" s="47" t="n"/>
      <c r="D1985" s="50" t="n"/>
      <c r="E1985" s="50" t="n"/>
      <c r="F1985" s="50" t="n"/>
      <c r="G1985" s="50" t="n"/>
      <c r="H1985" s="48" t="n"/>
      <c r="I1985" s="51" t="n"/>
      <c r="J1985" s="52" t="n"/>
      <c r="K1985" s="47" t="n"/>
      <c r="L1985" s="47" t="n"/>
      <c r="M1985" s="24">
        <f>IF(OR($A1985="",$C1985=""),"",IF($L1985&lt;&gt;"",$L1985-$C1985,TODAY()-$C1985))</f>
        <v/>
      </c>
      <c r="N1985" s="28">
        <f>IF(OR($A1985="",$K1985=""),"",IF($L1985="",IF(TODAY()&gt;$K1985,"Atrasado","En ruta"),IF($L1985&lt;=$K1985,"Sí","No")))</f>
        <v/>
      </c>
      <c r="O1985" s="24">
        <f>IF($A1985="","",COUNTIFS(NOVEDADES!$D$4:$D$1503,$A1985))</f>
        <v/>
      </c>
      <c r="P1985" s="28">
        <f>IF($A1985="","",IF(COUNTIFS(NOVEDADES!$D$4:$D$1503,$A1985,NOVEDADES!$O$4:$O$1503,"SÍ")&gt;0,"No","Sí"))</f>
        <v/>
      </c>
      <c r="Q1985" s="28">
        <f>IF(OR($A1985="",$L1985=""),"",IF(AND($N1985="Sí",$P1985="Sí"),"OTIF","Falló"))</f>
        <v/>
      </c>
    </row>
    <row r="1986" ht="16" customHeight="1">
      <c r="A1986" s="48" t="n"/>
      <c r="B1986" s="48" t="n"/>
      <c r="C1986" s="47" t="n"/>
      <c r="D1986" s="50" t="n"/>
      <c r="E1986" s="50" t="n"/>
      <c r="F1986" s="50" t="n"/>
      <c r="G1986" s="50" t="n"/>
      <c r="H1986" s="48" t="n"/>
      <c r="I1986" s="51" t="n"/>
      <c r="J1986" s="52" t="n"/>
      <c r="K1986" s="47" t="n"/>
      <c r="L1986" s="47" t="n"/>
      <c r="M1986" s="24">
        <f>IF(OR($A1986="",$C1986=""),"",IF($L1986&lt;&gt;"",$L1986-$C1986,TODAY()-$C1986))</f>
        <v/>
      </c>
      <c r="N1986" s="28">
        <f>IF(OR($A1986="",$K1986=""),"",IF($L1986="",IF(TODAY()&gt;$K1986,"Atrasado","En ruta"),IF($L1986&lt;=$K1986,"Sí","No")))</f>
        <v/>
      </c>
      <c r="O1986" s="24">
        <f>IF($A1986="","",COUNTIFS(NOVEDADES!$D$4:$D$1503,$A1986))</f>
        <v/>
      </c>
      <c r="P1986" s="28">
        <f>IF($A1986="","",IF(COUNTIFS(NOVEDADES!$D$4:$D$1503,$A1986,NOVEDADES!$O$4:$O$1503,"SÍ")&gt;0,"No","Sí"))</f>
        <v/>
      </c>
      <c r="Q1986" s="28">
        <f>IF(OR($A1986="",$L1986=""),"",IF(AND($N1986="Sí",$P1986="Sí"),"OTIF","Falló"))</f>
        <v/>
      </c>
    </row>
    <row r="1987" ht="16" customHeight="1">
      <c r="A1987" s="48" t="n"/>
      <c r="B1987" s="48" t="n"/>
      <c r="C1987" s="47" t="n"/>
      <c r="D1987" s="50" t="n"/>
      <c r="E1987" s="50" t="n"/>
      <c r="F1987" s="50" t="n"/>
      <c r="G1987" s="50" t="n"/>
      <c r="H1987" s="48" t="n"/>
      <c r="I1987" s="51" t="n"/>
      <c r="J1987" s="52" t="n"/>
      <c r="K1987" s="47" t="n"/>
      <c r="L1987" s="47" t="n"/>
      <c r="M1987" s="24">
        <f>IF(OR($A1987="",$C1987=""),"",IF($L1987&lt;&gt;"",$L1987-$C1987,TODAY()-$C1987))</f>
        <v/>
      </c>
      <c r="N1987" s="28">
        <f>IF(OR($A1987="",$K1987=""),"",IF($L1987="",IF(TODAY()&gt;$K1987,"Atrasado","En ruta"),IF($L1987&lt;=$K1987,"Sí","No")))</f>
        <v/>
      </c>
      <c r="O1987" s="24">
        <f>IF($A1987="","",COUNTIFS(NOVEDADES!$D$4:$D$1503,$A1987))</f>
        <v/>
      </c>
      <c r="P1987" s="28">
        <f>IF($A1987="","",IF(COUNTIFS(NOVEDADES!$D$4:$D$1503,$A1987,NOVEDADES!$O$4:$O$1503,"SÍ")&gt;0,"No","Sí"))</f>
        <v/>
      </c>
      <c r="Q1987" s="28">
        <f>IF(OR($A1987="",$L1987=""),"",IF(AND($N1987="Sí",$P1987="Sí"),"OTIF","Falló"))</f>
        <v/>
      </c>
    </row>
    <row r="1988" ht="16" customHeight="1">
      <c r="A1988" s="48" t="n"/>
      <c r="B1988" s="48" t="n"/>
      <c r="C1988" s="47" t="n"/>
      <c r="D1988" s="50" t="n"/>
      <c r="E1988" s="50" t="n"/>
      <c r="F1988" s="50" t="n"/>
      <c r="G1988" s="50" t="n"/>
      <c r="H1988" s="48" t="n"/>
      <c r="I1988" s="51" t="n"/>
      <c r="J1988" s="52" t="n"/>
      <c r="K1988" s="47" t="n"/>
      <c r="L1988" s="47" t="n"/>
      <c r="M1988" s="24">
        <f>IF(OR($A1988="",$C1988=""),"",IF($L1988&lt;&gt;"",$L1988-$C1988,TODAY()-$C1988))</f>
        <v/>
      </c>
      <c r="N1988" s="28">
        <f>IF(OR($A1988="",$K1988=""),"",IF($L1988="",IF(TODAY()&gt;$K1988,"Atrasado","En ruta"),IF($L1988&lt;=$K1988,"Sí","No")))</f>
        <v/>
      </c>
      <c r="O1988" s="24">
        <f>IF($A1988="","",COUNTIFS(NOVEDADES!$D$4:$D$1503,$A1988))</f>
        <v/>
      </c>
      <c r="P1988" s="28">
        <f>IF($A1988="","",IF(COUNTIFS(NOVEDADES!$D$4:$D$1503,$A1988,NOVEDADES!$O$4:$O$1503,"SÍ")&gt;0,"No","Sí"))</f>
        <v/>
      </c>
      <c r="Q1988" s="28">
        <f>IF(OR($A1988="",$L1988=""),"",IF(AND($N1988="Sí",$P1988="Sí"),"OTIF","Falló"))</f>
        <v/>
      </c>
    </row>
    <row r="1989" ht="16" customHeight="1">
      <c r="A1989" s="48" t="n"/>
      <c r="B1989" s="48" t="n"/>
      <c r="C1989" s="47" t="n"/>
      <c r="D1989" s="50" t="n"/>
      <c r="E1989" s="50" t="n"/>
      <c r="F1989" s="50" t="n"/>
      <c r="G1989" s="50" t="n"/>
      <c r="H1989" s="48" t="n"/>
      <c r="I1989" s="51" t="n"/>
      <c r="J1989" s="52" t="n"/>
      <c r="K1989" s="47" t="n"/>
      <c r="L1989" s="47" t="n"/>
      <c r="M1989" s="24">
        <f>IF(OR($A1989="",$C1989=""),"",IF($L1989&lt;&gt;"",$L1989-$C1989,TODAY()-$C1989))</f>
        <v/>
      </c>
      <c r="N1989" s="28">
        <f>IF(OR($A1989="",$K1989=""),"",IF($L1989="",IF(TODAY()&gt;$K1989,"Atrasado","En ruta"),IF($L1989&lt;=$K1989,"Sí","No")))</f>
        <v/>
      </c>
      <c r="O1989" s="24">
        <f>IF($A1989="","",COUNTIFS(NOVEDADES!$D$4:$D$1503,$A1989))</f>
        <v/>
      </c>
      <c r="P1989" s="28">
        <f>IF($A1989="","",IF(COUNTIFS(NOVEDADES!$D$4:$D$1503,$A1989,NOVEDADES!$O$4:$O$1503,"SÍ")&gt;0,"No","Sí"))</f>
        <v/>
      </c>
      <c r="Q1989" s="28">
        <f>IF(OR($A1989="",$L1989=""),"",IF(AND($N1989="Sí",$P1989="Sí"),"OTIF","Falló"))</f>
        <v/>
      </c>
    </row>
    <row r="1990" ht="16" customHeight="1">
      <c r="A1990" s="48" t="n"/>
      <c r="B1990" s="48" t="n"/>
      <c r="C1990" s="47" t="n"/>
      <c r="D1990" s="50" t="n"/>
      <c r="E1990" s="50" t="n"/>
      <c r="F1990" s="50" t="n"/>
      <c r="G1990" s="50" t="n"/>
      <c r="H1990" s="48" t="n"/>
      <c r="I1990" s="51" t="n"/>
      <c r="J1990" s="52" t="n"/>
      <c r="K1990" s="47" t="n"/>
      <c r="L1990" s="47" t="n"/>
      <c r="M1990" s="24">
        <f>IF(OR($A1990="",$C1990=""),"",IF($L1990&lt;&gt;"",$L1990-$C1990,TODAY()-$C1990))</f>
        <v/>
      </c>
      <c r="N1990" s="28">
        <f>IF(OR($A1990="",$K1990=""),"",IF($L1990="",IF(TODAY()&gt;$K1990,"Atrasado","En ruta"),IF($L1990&lt;=$K1990,"Sí","No")))</f>
        <v/>
      </c>
      <c r="O1990" s="24">
        <f>IF($A1990="","",COUNTIFS(NOVEDADES!$D$4:$D$1503,$A1990))</f>
        <v/>
      </c>
      <c r="P1990" s="28">
        <f>IF($A1990="","",IF(COUNTIFS(NOVEDADES!$D$4:$D$1503,$A1990,NOVEDADES!$O$4:$O$1503,"SÍ")&gt;0,"No","Sí"))</f>
        <v/>
      </c>
      <c r="Q1990" s="28">
        <f>IF(OR($A1990="",$L1990=""),"",IF(AND($N1990="Sí",$P1990="Sí"),"OTIF","Falló"))</f>
        <v/>
      </c>
    </row>
    <row r="1991" ht="16" customHeight="1">
      <c r="A1991" s="48" t="n"/>
      <c r="B1991" s="48" t="n"/>
      <c r="C1991" s="47" t="n"/>
      <c r="D1991" s="50" t="n"/>
      <c r="E1991" s="50" t="n"/>
      <c r="F1991" s="50" t="n"/>
      <c r="G1991" s="50" t="n"/>
      <c r="H1991" s="48" t="n"/>
      <c r="I1991" s="51" t="n"/>
      <c r="J1991" s="52" t="n"/>
      <c r="K1991" s="47" t="n"/>
      <c r="L1991" s="47" t="n"/>
      <c r="M1991" s="24">
        <f>IF(OR($A1991="",$C1991=""),"",IF($L1991&lt;&gt;"",$L1991-$C1991,TODAY()-$C1991))</f>
        <v/>
      </c>
      <c r="N1991" s="28">
        <f>IF(OR($A1991="",$K1991=""),"",IF($L1991="",IF(TODAY()&gt;$K1991,"Atrasado","En ruta"),IF($L1991&lt;=$K1991,"Sí","No")))</f>
        <v/>
      </c>
      <c r="O1991" s="24">
        <f>IF($A1991="","",COUNTIFS(NOVEDADES!$D$4:$D$1503,$A1991))</f>
        <v/>
      </c>
      <c r="P1991" s="28">
        <f>IF($A1991="","",IF(COUNTIFS(NOVEDADES!$D$4:$D$1503,$A1991,NOVEDADES!$O$4:$O$1503,"SÍ")&gt;0,"No","Sí"))</f>
        <v/>
      </c>
      <c r="Q1991" s="28">
        <f>IF(OR($A1991="",$L1991=""),"",IF(AND($N1991="Sí",$P1991="Sí"),"OTIF","Falló"))</f>
        <v/>
      </c>
    </row>
    <row r="1992" ht="16" customHeight="1">
      <c r="A1992" s="48" t="n"/>
      <c r="B1992" s="48" t="n"/>
      <c r="C1992" s="47" t="n"/>
      <c r="D1992" s="50" t="n"/>
      <c r="E1992" s="50" t="n"/>
      <c r="F1992" s="50" t="n"/>
      <c r="G1992" s="50" t="n"/>
      <c r="H1992" s="48" t="n"/>
      <c r="I1992" s="51" t="n"/>
      <c r="J1992" s="52" t="n"/>
      <c r="K1992" s="47" t="n"/>
      <c r="L1992" s="47" t="n"/>
      <c r="M1992" s="24">
        <f>IF(OR($A1992="",$C1992=""),"",IF($L1992&lt;&gt;"",$L1992-$C1992,TODAY()-$C1992))</f>
        <v/>
      </c>
      <c r="N1992" s="28">
        <f>IF(OR($A1992="",$K1992=""),"",IF($L1992="",IF(TODAY()&gt;$K1992,"Atrasado","En ruta"),IF($L1992&lt;=$K1992,"Sí","No")))</f>
        <v/>
      </c>
      <c r="O1992" s="24">
        <f>IF($A1992="","",COUNTIFS(NOVEDADES!$D$4:$D$1503,$A1992))</f>
        <v/>
      </c>
      <c r="P1992" s="28">
        <f>IF($A1992="","",IF(COUNTIFS(NOVEDADES!$D$4:$D$1503,$A1992,NOVEDADES!$O$4:$O$1503,"SÍ")&gt;0,"No","Sí"))</f>
        <v/>
      </c>
      <c r="Q1992" s="28">
        <f>IF(OR($A1992="",$L1992=""),"",IF(AND($N1992="Sí",$P1992="Sí"),"OTIF","Falló"))</f>
        <v/>
      </c>
    </row>
    <row r="1993" ht="16" customHeight="1">
      <c r="A1993" s="48" t="n"/>
      <c r="B1993" s="48" t="n"/>
      <c r="C1993" s="47" t="n"/>
      <c r="D1993" s="50" t="n"/>
      <c r="E1993" s="50" t="n"/>
      <c r="F1993" s="50" t="n"/>
      <c r="G1993" s="50" t="n"/>
      <c r="H1993" s="48" t="n"/>
      <c r="I1993" s="51" t="n"/>
      <c r="J1993" s="52" t="n"/>
      <c r="K1993" s="47" t="n"/>
      <c r="L1993" s="47" t="n"/>
      <c r="M1993" s="24">
        <f>IF(OR($A1993="",$C1993=""),"",IF($L1993&lt;&gt;"",$L1993-$C1993,TODAY()-$C1993))</f>
        <v/>
      </c>
      <c r="N1993" s="28">
        <f>IF(OR($A1993="",$K1993=""),"",IF($L1993="",IF(TODAY()&gt;$K1993,"Atrasado","En ruta"),IF($L1993&lt;=$K1993,"Sí","No")))</f>
        <v/>
      </c>
      <c r="O1993" s="24">
        <f>IF($A1993="","",COUNTIFS(NOVEDADES!$D$4:$D$1503,$A1993))</f>
        <v/>
      </c>
      <c r="P1993" s="28">
        <f>IF($A1993="","",IF(COUNTIFS(NOVEDADES!$D$4:$D$1503,$A1993,NOVEDADES!$O$4:$O$1503,"SÍ")&gt;0,"No","Sí"))</f>
        <v/>
      </c>
      <c r="Q1993" s="28">
        <f>IF(OR($A1993="",$L1993=""),"",IF(AND($N1993="Sí",$P1993="Sí"),"OTIF","Falló"))</f>
        <v/>
      </c>
    </row>
    <row r="1994" ht="16" customHeight="1">
      <c r="A1994" s="48" t="n"/>
      <c r="B1994" s="48" t="n"/>
      <c r="C1994" s="47" t="n"/>
      <c r="D1994" s="50" t="n"/>
      <c r="E1994" s="50" t="n"/>
      <c r="F1994" s="50" t="n"/>
      <c r="G1994" s="50" t="n"/>
      <c r="H1994" s="48" t="n"/>
      <c r="I1994" s="51" t="n"/>
      <c r="J1994" s="52" t="n"/>
      <c r="K1994" s="47" t="n"/>
      <c r="L1994" s="47" t="n"/>
      <c r="M1994" s="24">
        <f>IF(OR($A1994="",$C1994=""),"",IF($L1994&lt;&gt;"",$L1994-$C1994,TODAY()-$C1994))</f>
        <v/>
      </c>
      <c r="N1994" s="28">
        <f>IF(OR($A1994="",$K1994=""),"",IF($L1994="",IF(TODAY()&gt;$K1994,"Atrasado","En ruta"),IF($L1994&lt;=$K1994,"Sí","No")))</f>
        <v/>
      </c>
      <c r="O1994" s="24">
        <f>IF($A1994="","",COUNTIFS(NOVEDADES!$D$4:$D$1503,$A1994))</f>
        <v/>
      </c>
      <c r="P1994" s="28">
        <f>IF($A1994="","",IF(COUNTIFS(NOVEDADES!$D$4:$D$1503,$A1994,NOVEDADES!$O$4:$O$1503,"SÍ")&gt;0,"No","Sí"))</f>
        <v/>
      </c>
      <c r="Q1994" s="28">
        <f>IF(OR($A1994="",$L1994=""),"",IF(AND($N1994="Sí",$P1994="Sí"),"OTIF","Falló"))</f>
        <v/>
      </c>
    </row>
    <row r="1995" ht="16" customHeight="1">
      <c r="A1995" s="48" t="n"/>
      <c r="B1995" s="48" t="n"/>
      <c r="C1995" s="47" t="n"/>
      <c r="D1995" s="50" t="n"/>
      <c r="E1995" s="50" t="n"/>
      <c r="F1995" s="50" t="n"/>
      <c r="G1995" s="50" t="n"/>
      <c r="H1995" s="48" t="n"/>
      <c r="I1995" s="51" t="n"/>
      <c r="J1995" s="52" t="n"/>
      <c r="K1995" s="47" t="n"/>
      <c r="L1995" s="47" t="n"/>
      <c r="M1995" s="24">
        <f>IF(OR($A1995="",$C1995=""),"",IF($L1995&lt;&gt;"",$L1995-$C1995,TODAY()-$C1995))</f>
        <v/>
      </c>
      <c r="N1995" s="28">
        <f>IF(OR($A1995="",$K1995=""),"",IF($L1995="",IF(TODAY()&gt;$K1995,"Atrasado","En ruta"),IF($L1995&lt;=$K1995,"Sí","No")))</f>
        <v/>
      </c>
      <c r="O1995" s="24">
        <f>IF($A1995="","",COUNTIFS(NOVEDADES!$D$4:$D$1503,$A1995))</f>
        <v/>
      </c>
      <c r="P1995" s="28">
        <f>IF($A1995="","",IF(COUNTIFS(NOVEDADES!$D$4:$D$1503,$A1995,NOVEDADES!$O$4:$O$1503,"SÍ")&gt;0,"No","Sí"))</f>
        <v/>
      </c>
      <c r="Q1995" s="28">
        <f>IF(OR($A1995="",$L1995=""),"",IF(AND($N1995="Sí",$P1995="Sí"),"OTIF","Falló"))</f>
        <v/>
      </c>
    </row>
    <row r="1996" ht="16" customHeight="1">
      <c r="A1996" s="48" t="n"/>
      <c r="B1996" s="48" t="n"/>
      <c r="C1996" s="47" t="n"/>
      <c r="D1996" s="50" t="n"/>
      <c r="E1996" s="50" t="n"/>
      <c r="F1996" s="50" t="n"/>
      <c r="G1996" s="50" t="n"/>
      <c r="H1996" s="48" t="n"/>
      <c r="I1996" s="51" t="n"/>
      <c r="J1996" s="52" t="n"/>
      <c r="K1996" s="47" t="n"/>
      <c r="L1996" s="47" t="n"/>
      <c r="M1996" s="24">
        <f>IF(OR($A1996="",$C1996=""),"",IF($L1996&lt;&gt;"",$L1996-$C1996,TODAY()-$C1996))</f>
        <v/>
      </c>
      <c r="N1996" s="28">
        <f>IF(OR($A1996="",$K1996=""),"",IF($L1996="",IF(TODAY()&gt;$K1996,"Atrasado","En ruta"),IF($L1996&lt;=$K1996,"Sí","No")))</f>
        <v/>
      </c>
      <c r="O1996" s="24">
        <f>IF($A1996="","",COUNTIFS(NOVEDADES!$D$4:$D$1503,$A1996))</f>
        <v/>
      </c>
      <c r="P1996" s="28">
        <f>IF($A1996="","",IF(COUNTIFS(NOVEDADES!$D$4:$D$1503,$A1996,NOVEDADES!$O$4:$O$1503,"SÍ")&gt;0,"No","Sí"))</f>
        <v/>
      </c>
      <c r="Q1996" s="28">
        <f>IF(OR($A1996="",$L1996=""),"",IF(AND($N1996="Sí",$P1996="Sí"),"OTIF","Falló"))</f>
        <v/>
      </c>
    </row>
    <row r="1997" ht="16" customHeight="1">
      <c r="A1997" s="48" t="n"/>
      <c r="B1997" s="48" t="n"/>
      <c r="C1997" s="47" t="n"/>
      <c r="D1997" s="50" t="n"/>
      <c r="E1997" s="50" t="n"/>
      <c r="F1997" s="50" t="n"/>
      <c r="G1997" s="50" t="n"/>
      <c r="H1997" s="48" t="n"/>
      <c r="I1997" s="51" t="n"/>
      <c r="J1997" s="52" t="n"/>
      <c r="K1997" s="47" t="n"/>
      <c r="L1997" s="47" t="n"/>
      <c r="M1997" s="24">
        <f>IF(OR($A1997="",$C1997=""),"",IF($L1997&lt;&gt;"",$L1997-$C1997,TODAY()-$C1997))</f>
        <v/>
      </c>
      <c r="N1997" s="28">
        <f>IF(OR($A1997="",$K1997=""),"",IF($L1997="",IF(TODAY()&gt;$K1997,"Atrasado","En ruta"),IF($L1997&lt;=$K1997,"Sí","No")))</f>
        <v/>
      </c>
      <c r="O1997" s="24">
        <f>IF($A1997="","",COUNTIFS(NOVEDADES!$D$4:$D$1503,$A1997))</f>
        <v/>
      </c>
      <c r="P1997" s="28">
        <f>IF($A1997="","",IF(COUNTIFS(NOVEDADES!$D$4:$D$1503,$A1997,NOVEDADES!$O$4:$O$1503,"SÍ")&gt;0,"No","Sí"))</f>
        <v/>
      </c>
      <c r="Q1997" s="28">
        <f>IF(OR($A1997="",$L1997=""),"",IF(AND($N1997="Sí",$P1997="Sí"),"OTIF","Falló"))</f>
        <v/>
      </c>
    </row>
    <row r="1998" ht="16" customHeight="1">
      <c r="A1998" s="48" t="n"/>
      <c r="B1998" s="48" t="n"/>
      <c r="C1998" s="47" t="n"/>
      <c r="D1998" s="50" t="n"/>
      <c r="E1998" s="50" t="n"/>
      <c r="F1998" s="50" t="n"/>
      <c r="G1998" s="50" t="n"/>
      <c r="H1998" s="48" t="n"/>
      <c r="I1998" s="51" t="n"/>
      <c r="J1998" s="52" t="n"/>
      <c r="K1998" s="47" t="n"/>
      <c r="L1998" s="47" t="n"/>
      <c r="M1998" s="24">
        <f>IF(OR($A1998="",$C1998=""),"",IF($L1998&lt;&gt;"",$L1998-$C1998,TODAY()-$C1998))</f>
        <v/>
      </c>
      <c r="N1998" s="28">
        <f>IF(OR($A1998="",$K1998=""),"",IF($L1998="",IF(TODAY()&gt;$K1998,"Atrasado","En ruta"),IF($L1998&lt;=$K1998,"Sí","No")))</f>
        <v/>
      </c>
      <c r="O1998" s="24">
        <f>IF($A1998="","",COUNTIFS(NOVEDADES!$D$4:$D$1503,$A1998))</f>
        <v/>
      </c>
      <c r="P1998" s="28">
        <f>IF($A1998="","",IF(COUNTIFS(NOVEDADES!$D$4:$D$1503,$A1998,NOVEDADES!$O$4:$O$1503,"SÍ")&gt;0,"No","Sí"))</f>
        <v/>
      </c>
      <c r="Q1998" s="28">
        <f>IF(OR($A1998="",$L1998=""),"",IF(AND($N1998="Sí",$P1998="Sí"),"OTIF","Falló"))</f>
        <v/>
      </c>
    </row>
    <row r="1999" ht="16" customHeight="1">
      <c r="A1999" s="48" t="n"/>
      <c r="B1999" s="48" t="n"/>
      <c r="C1999" s="47" t="n"/>
      <c r="D1999" s="50" t="n"/>
      <c r="E1999" s="50" t="n"/>
      <c r="F1999" s="50" t="n"/>
      <c r="G1999" s="50" t="n"/>
      <c r="H1999" s="48" t="n"/>
      <c r="I1999" s="51" t="n"/>
      <c r="J1999" s="52" t="n"/>
      <c r="K1999" s="47" t="n"/>
      <c r="L1999" s="47" t="n"/>
      <c r="M1999" s="24">
        <f>IF(OR($A1999="",$C1999=""),"",IF($L1999&lt;&gt;"",$L1999-$C1999,TODAY()-$C1999))</f>
        <v/>
      </c>
      <c r="N1999" s="28">
        <f>IF(OR($A1999="",$K1999=""),"",IF($L1999="",IF(TODAY()&gt;$K1999,"Atrasado","En ruta"),IF($L1999&lt;=$K1999,"Sí","No")))</f>
        <v/>
      </c>
      <c r="O1999" s="24">
        <f>IF($A1999="","",COUNTIFS(NOVEDADES!$D$4:$D$1503,$A1999))</f>
        <v/>
      </c>
      <c r="P1999" s="28">
        <f>IF($A1999="","",IF(COUNTIFS(NOVEDADES!$D$4:$D$1503,$A1999,NOVEDADES!$O$4:$O$1503,"SÍ")&gt;0,"No","Sí"))</f>
        <v/>
      </c>
      <c r="Q1999" s="28">
        <f>IF(OR($A1999="",$L1999=""),"",IF(AND($N1999="Sí",$P1999="Sí"),"OTIF","Falló"))</f>
        <v/>
      </c>
    </row>
    <row r="2000" ht="16" customHeight="1">
      <c r="A2000" s="48" t="n"/>
      <c r="B2000" s="48" t="n"/>
      <c r="C2000" s="47" t="n"/>
      <c r="D2000" s="50" t="n"/>
      <c r="E2000" s="50" t="n"/>
      <c r="F2000" s="50" t="n"/>
      <c r="G2000" s="50" t="n"/>
      <c r="H2000" s="48" t="n"/>
      <c r="I2000" s="51" t="n"/>
      <c r="J2000" s="52" t="n"/>
      <c r="K2000" s="47" t="n"/>
      <c r="L2000" s="47" t="n"/>
      <c r="M2000" s="24">
        <f>IF(OR($A2000="",$C2000=""),"",IF($L2000&lt;&gt;"",$L2000-$C2000,TODAY()-$C2000))</f>
        <v/>
      </c>
      <c r="N2000" s="28">
        <f>IF(OR($A2000="",$K2000=""),"",IF($L2000="",IF(TODAY()&gt;$K2000,"Atrasado","En ruta"),IF($L2000&lt;=$K2000,"Sí","No")))</f>
        <v/>
      </c>
      <c r="O2000" s="24">
        <f>IF($A2000="","",COUNTIFS(NOVEDADES!$D$4:$D$1503,$A2000))</f>
        <v/>
      </c>
      <c r="P2000" s="28">
        <f>IF($A2000="","",IF(COUNTIFS(NOVEDADES!$D$4:$D$1503,$A2000,NOVEDADES!$O$4:$O$1503,"SÍ")&gt;0,"No","Sí"))</f>
        <v/>
      </c>
      <c r="Q2000" s="28">
        <f>IF(OR($A2000="",$L2000=""),"",IF(AND($N2000="Sí",$P2000="Sí"),"OTIF","Falló"))</f>
        <v/>
      </c>
    </row>
    <row r="2001" ht="16" customHeight="1">
      <c r="A2001" s="48" t="n"/>
      <c r="B2001" s="48" t="n"/>
      <c r="C2001" s="47" t="n"/>
      <c r="D2001" s="50" t="n"/>
      <c r="E2001" s="50" t="n"/>
      <c r="F2001" s="50" t="n"/>
      <c r="G2001" s="50" t="n"/>
      <c r="H2001" s="48" t="n"/>
      <c r="I2001" s="51" t="n"/>
      <c r="J2001" s="52" t="n"/>
      <c r="K2001" s="47" t="n"/>
      <c r="L2001" s="47" t="n"/>
      <c r="M2001" s="24">
        <f>IF(OR($A2001="",$C2001=""),"",IF($L2001&lt;&gt;"",$L2001-$C2001,TODAY()-$C2001))</f>
        <v/>
      </c>
      <c r="N2001" s="28">
        <f>IF(OR($A2001="",$K2001=""),"",IF($L2001="",IF(TODAY()&gt;$K2001,"Atrasado","En ruta"),IF($L2001&lt;=$K2001,"Sí","No")))</f>
        <v/>
      </c>
      <c r="O2001" s="24">
        <f>IF($A2001="","",COUNTIFS(NOVEDADES!$D$4:$D$1503,$A2001))</f>
        <v/>
      </c>
      <c r="P2001" s="28">
        <f>IF($A2001="","",IF(COUNTIFS(NOVEDADES!$D$4:$D$1503,$A2001,NOVEDADES!$O$4:$O$1503,"SÍ")&gt;0,"No","Sí"))</f>
        <v/>
      </c>
      <c r="Q2001" s="28">
        <f>IF(OR($A2001="",$L2001=""),"",IF(AND($N2001="Sí",$P2001="Sí"),"OTIF","Falló"))</f>
        <v/>
      </c>
    </row>
    <row r="2002" ht="16" customHeight="1">
      <c r="A2002" s="48" t="n"/>
      <c r="B2002" s="48" t="n"/>
      <c r="C2002" s="47" t="n"/>
      <c r="D2002" s="50" t="n"/>
      <c r="E2002" s="50" t="n"/>
      <c r="F2002" s="50" t="n"/>
      <c r="G2002" s="50" t="n"/>
      <c r="H2002" s="48" t="n"/>
      <c r="I2002" s="51" t="n"/>
      <c r="J2002" s="52" t="n"/>
      <c r="K2002" s="47" t="n"/>
      <c r="L2002" s="47" t="n"/>
      <c r="M2002" s="24">
        <f>IF(OR($A2002="",$C2002=""),"",IF($L2002&lt;&gt;"",$L2002-$C2002,TODAY()-$C2002))</f>
        <v/>
      </c>
      <c r="N2002" s="28">
        <f>IF(OR($A2002="",$K2002=""),"",IF($L2002="",IF(TODAY()&gt;$K2002,"Atrasado","En ruta"),IF($L2002&lt;=$K2002,"Sí","No")))</f>
        <v/>
      </c>
      <c r="O2002" s="24">
        <f>IF($A2002="","",COUNTIFS(NOVEDADES!$D$4:$D$1503,$A2002))</f>
        <v/>
      </c>
      <c r="P2002" s="28">
        <f>IF($A2002="","",IF(COUNTIFS(NOVEDADES!$D$4:$D$1503,$A2002,NOVEDADES!$O$4:$O$1503,"SÍ")&gt;0,"No","Sí"))</f>
        <v/>
      </c>
      <c r="Q2002" s="28">
        <f>IF(OR($A2002="",$L2002=""),"",IF(AND($N2002="Sí",$P2002="Sí"),"OTIF","Falló"))</f>
        <v/>
      </c>
    </row>
    <row r="2003" ht="16" customHeight="1">
      <c r="A2003" s="48" t="n"/>
      <c r="B2003" s="48" t="n"/>
      <c r="C2003" s="47" t="n"/>
      <c r="D2003" s="50" t="n"/>
      <c r="E2003" s="50" t="n"/>
      <c r="F2003" s="50" t="n"/>
      <c r="G2003" s="50" t="n"/>
      <c r="H2003" s="48" t="n"/>
      <c r="I2003" s="51" t="n"/>
      <c r="J2003" s="52" t="n"/>
      <c r="K2003" s="47" t="n"/>
      <c r="L2003" s="47" t="n"/>
      <c r="M2003" s="24">
        <f>IF(OR($A2003="",$C2003=""),"",IF($L2003&lt;&gt;"",$L2003-$C2003,TODAY()-$C2003))</f>
        <v/>
      </c>
      <c r="N2003" s="28">
        <f>IF(OR($A2003="",$K2003=""),"",IF($L2003="",IF(TODAY()&gt;$K2003,"Atrasado","En ruta"),IF($L2003&lt;=$K2003,"Sí","No")))</f>
        <v/>
      </c>
      <c r="O2003" s="24">
        <f>IF($A2003="","",COUNTIFS(NOVEDADES!$D$4:$D$1503,$A2003))</f>
        <v/>
      </c>
      <c r="P2003" s="28">
        <f>IF($A2003="","",IF(COUNTIFS(NOVEDADES!$D$4:$D$1503,$A2003,NOVEDADES!$O$4:$O$1503,"SÍ")&gt;0,"No","Sí"))</f>
        <v/>
      </c>
      <c r="Q2003" s="28">
        <f>IF(OR($A2003="",$L2003=""),"",IF(AND($N2003="Sí",$P2003="Sí"),"OTIF","Falló"))</f>
        <v/>
      </c>
    </row>
    <row r="2004" ht="16" customHeight="1">
      <c r="A2004" s="48" t="n"/>
      <c r="B2004" s="48" t="n"/>
      <c r="C2004" s="47" t="n"/>
      <c r="D2004" s="50" t="n"/>
      <c r="E2004" s="50" t="n"/>
      <c r="F2004" s="50" t="n"/>
      <c r="G2004" s="50" t="n"/>
      <c r="H2004" s="48" t="n"/>
      <c r="I2004" s="51" t="n"/>
      <c r="J2004" s="52" t="n"/>
      <c r="K2004" s="47" t="n"/>
      <c r="L2004" s="47" t="n"/>
      <c r="M2004" s="24">
        <f>IF(OR($A2004="",$C2004=""),"",IF($L2004&lt;&gt;"",$L2004-$C2004,TODAY()-$C2004))</f>
        <v/>
      </c>
      <c r="N2004" s="28">
        <f>IF(OR($A2004="",$K2004=""),"",IF($L2004="",IF(TODAY()&gt;$K2004,"Atrasado","En ruta"),IF($L2004&lt;=$K2004,"Sí","No")))</f>
        <v/>
      </c>
      <c r="O2004" s="24">
        <f>IF($A2004="","",COUNTIFS(NOVEDADES!$D$4:$D$1503,$A2004))</f>
        <v/>
      </c>
      <c r="P2004" s="28">
        <f>IF($A2004="","",IF(COUNTIFS(NOVEDADES!$D$4:$D$1503,$A2004,NOVEDADES!$O$4:$O$1503,"SÍ")&gt;0,"No","Sí"))</f>
        <v/>
      </c>
      <c r="Q2004" s="28">
        <f>IF(OR($A2004="",$L2004=""),"",IF(AND($N2004="Sí",$P2004="Sí"),"OTIF","Falló"))</f>
        <v/>
      </c>
    </row>
    <row r="2005" ht="16" customHeight="1">
      <c r="A2005" s="48" t="n"/>
      <c r="B2005" s="48" t="n"/>
      <c r="C2005" s="47" t="n"/>
      <c r="D2005" s="50" t="n"/>
      <c r="E2005" s="50" t="n"/>
      <c r="F2005" s="50" t="n"/>
      <c r="G2005" s="50" t="n"/>
      <c r="H2005" s="48" t="n"/>
      <c r="I2005" s="51" t="n"/>
      <c r="J2005" s="52" t="n"/>
      <c r="K2005" s="47" t="n"/>
      <c r="L2005" s="47" t="n"/>
      <c r="M2005" s="24">
        <f>IF(OR($A2005="",$C2005=""),"",IF($L2005&lt;&gt;"",$L2005-$C2005,TODAY()-$C2005))</f>
        <v/>
      </c>
      <c r="N2005" s="28">
        <f>IF(OR($A2005="",$K2005=""),"",IF($L2005="",IF(TODAY()&gt;$K2005,"Atrasado","En ruta"),IF($L2005&lt;=$K2005,"Sí","No")))</f>
        <v/>
      </c>
      <c r="O2005" s="24">
        <f>IF($A2005="","",COUNTIFS(NOVEDADES!$D$4:$D$1503,$A2005))</f>
        <v/>
      </c>
      <c r="P2005" s="28">
        <f>IF($A2005="","",IF(COUNTIFS(NOVEDADES!$D$4:$D$1503,$A2005,NOVEDADES!$O$4:$O$1503,"SÍ")&gt;0,"No","Sí"))</f>
        <v/>
      </c>
      <c r="Q2005" s="28">
        <f>IF(OR($A2005="",$L2005=""),"",IF(AND($N2005="Sí",$P2005="Sí"),"OTIF","Falló"))</f>
        <v/>
      </c>
    </row>
    <row r="2006" ht="16" customHeight="1">
      <c r="A2006" s="48" t="n"/>
      <c r="B2006" s="48" t="n"/>
      <c r="C2006" s="47" t="n"/>
      <c r="D2006" s="50" t="n"/>
      <c r="E2006" s="50" t="n"/>
      <c r="F2006" s="50" t="n"/>
      <c r="G2006" s="50" t="n"/>
      <c r="H2006" s="48" t="n"/>
      <c r="I2006" s="51" t="n"/>
      <c r="J2006" s="52" t="n"/>
      <c r="K2006" s="47" t="n"/>
      <c r="L2006" s="47" t="n"/>
      <c r="M2006" s="24">
        <f>IF(OR($A2006="",$C2006=""),"",IF($L2006&lt;&gt;"",$L2006-$C2006,TODAY()-$C2006))</f>
        <v/>
      </c>
      <c r="N2006" s="28">
        <f>IF(OR($A2006="",$K2006=""),"",IF($L2006="",IF(TODAY()&gt;$K2006,"Atrasado","En ruta"),IF($L2006&lt;=$K2006,"Sí","No")))</f>
        <v/>
      </c>
      <c r="O2006" s="24">
        <f>IF($A2006="","",COUNTIFS(NOVEDADES!$D$4:$D$1503,$A2006))</f>
        <v/>
      </c>
      <c r="P2006" s="28">
        <f>IF($A2006="","",IF(COUNTIFS(NOVEDADES!$D$4:$D$1503,$A2006,NOVEDADES!$O$4:$O$1503,"SÍ")&gt;0,"No","Sí"))</f>
        <v/>
      </c>
      <c r="Q2006" s="28">
        <f>IF(OR($A2006="",$L2006=""),"",IF(AND($N2006="Sí",$P2006="Sí"),"OTIF","Falló"))</f>
        <v/>
      </c>
    </row>
    <row r="2007" ht="16" customHeight="1">
      <c r="A2007" s="48" t="n"/>
      <c r="B2007" s="48" t="n"/>
      <c r="C2007" s="47" t="n"/>
      <c r="D2007" s="50" t="n"/>
      <c r="E2007" s="50" t="n"/>
      <c r="F2007" s="50" t="n"/>
      <c r="G2007" s="50" t="n"/>
      <c r="H2007" s="48" t="n"/>
      <c r="I2007" s="51" t="n"/>
      <c r="J2007" s="52" t="n"/>
      <c r="K2007" s="47" t="n"/>
      <c r="L2007" s="47" t="n"/>
      <c r="M2007" s="24">
        <f>IF(OR($A2007="",$C2007=""),"",IF($L2007&lt;&gt;"",$L2007-$C2007,TODAY()-$C2007))</f>
        <v/>
      </c>
      <c r="N2007" s="28">
        <f>IF(OR($A2007="",$K2007=""),"",IF($L2007="",IF(TODAY()&gt;$K2007,"Atrasado","En ruta"),IF($L2007&lt;=$K2007,"Sí","No")))</f>
        <v/>
      </c>
      <c r="O2007" s="24">
        <f>IF($A2007="","",COUNTIFS(NOVEDADES!$D$4:$D$1503,$A2007))</f>
        <v/>
      </c>
      <c r="P2007" s="28">
        <f>IF($A2007="","",IF(COUNTIFS(NOVEDADES!$D$4:$D$1503,$A2007,NOVEDADES!$O$4:$O$1503,"SÍ")&gt;0,"No","Sí"))</f>
        <v/>
      </c>
      <c r="Q2007" s="28">
        <f>IF(OR($A2007="",$L2007=""),"",IF(AND($N2007="Sí",$P2007="Sí"),"OTIF","Falló"))</f>
        <v/>
      </c>
    </row>
    <row r="2008" ht="16" customHeight="1">
      <c r="A2008" s="48" t="n"/>
      <c r="B2008" s="48" t="n"/>
      <c r="C2008" s="47" t="n"/>
      <c r="D2008" s="50" t="n"/>
      <c r="E2008" s="50" t="n"/>
      <c r="F2008" s="50" t="n"/>
      <c r="G2008" s="50" t="n"/>
      <c r="H2008" s="48" t="n"/>
      <c r="I2008" s="51" t="n"/>
      <c r="J2008" s="52" t="n"/>
      <c r="K2008" s="47" t="n"/>
      <c r="L2008" s="47" t="n"/>
      <c r="M2008" s="24">
        <f>IF(OR($A2008="",$C2008=""),"",IF($L2008&lt;&gt;"",$L2008-$C2008,TODAY()-$C2008))</f>
        <v/>
      </c>
      <c r="N2008" s="28">
        <f>IF(OR($A2008="",$K2008=""),"",IF($L2008="",IF(TODAY()&gt;$K2008,"Atrasado","En ruta"),IF($L2008&lt;=$K2008,"Sí","No")))</f>
        <v/>
      </c>
      <c r="O2008" s="24">
        <f>IF($A2008="","",COUNTIFS(NOVEDADES!$D$4:$D$1503,$A2008))</f>
        <v/>
      </c>
      <c r="P2008" s="28">
        <f>IF($A2008="","",IF(COUNTIFS(NOVEDADES!$D$4:$D$1503,$A2008,NOVEDADES!$O$4:$O$1503,"SÍ")&gt;0,"No","Sí"))</f>
        <v/>
      </c>
      <c r="Q2008" s="28">
        <f>IF(OR($A2008="",$L2008=""),"",IF(AND($N2008="Sí",$P2008="Sí"),"OTIF","Falló"))</f>
        <v/>
      </c>
    </row>
    <row r="2009" ht="16" customHeight="1">
      <c r="A2009" s="48" t="n"/>
      <c r="B2009" s="48" t="n"/>
      <c r="C2009" s="47" t="n"/>
      <c r="D2009" s="50" t="n"/>
      <c r="E2009" s="50" t="n"/>
      <c r="F2009" s="50" t="n"/>
      <c r="G2009" s="50" t="n"/>
      <c r="H2009" s="48" t="n"/>
      <c r="I2009" s="51" t="n"/>
      <c r="J2009" s="52" t="n"/>
      <c r="K2009" s="47" t="n"/>
      <c r="L2009" s="47" t="n"/>
      <c r="M2009" s="24">
        <f>IF(OR($A2009="",$C2009=""),"",IF($L2009&lt;&gt;"",$L2009-$C2009,TODAY()-$C2009))</f>
        <v/>
      </c>
      <c r="N2009" s="28">
        <f>IF(OR($A2009="",$K2009=""),"",IF($L2009="",IF(TODAY()&gt;$K2009,"Atrasado","En ruta"),IF($L2009&lt;=$K2009,"Sí","No")))</f>
        <v/>
      </c>
      <c r="O2009" s="24">
        <f>IF($A2009="","",COUNTIFS(NOVEDADES!$D$4:$D$1503,$A2009))</f>
        <v/>
      </c>
      <c r="P2009" s="28">
        <f>IF($A2009="","",IF(COUNTIFS(NOVEDADES!$D$4:$D$1503,$A2009,NOVEDADES!$O$4:$O$1503,"SÍ")&gt;0,"No","Sí"))</f>
        <v/>
      </c>
      <c r="Q2009" s="28">
        <f>IF(OR($A2009="",$L2009=""),"",IF(AND($N2009="Sí",$P2009="Sí"),"OTIF","Falló"))</f>
        <v/>
      </c>
    </row>
    <row r="2010" ht="16" customHeight="1">
      <c r="A2010" s="48" t="n"/>
      <c r="B2010" s="48" t="n"/>
      <c r="C2010" s="47" t="n"/>
      <c r="D2010" s="50" t="n"/>
      <c r="E2010" s="50" t="n"/>
      <c r="F2010" s="50" t="n"/>
      <c r="G2010" s="50" t="n"/>
      <c r="H2010" s="48" t="n"/>
      <c r="I2010" s="51" t="n"/>
      <c r="J2010" s="52" t="n"/>
      <c r="K2010" s="47" t="n"/>
      <c r="L2010" s="47" t="n"/>
      <c r="M2010" s="24">
        <f>IF(OR($A2010="",$C2010=""),"",IF($L2010&lt;&gt;"",$L2010-$C2010,TODAY()-$C2010))</f>
        <v/>
      </c>
      <c r="N2010" s="28">
        <f>IF(OR($A2010="",$K2010=""),"",IF($L2010="",IF(TODAY()&gt;$K2010,"Atrasado","En ruta"),IF($L2010&lt;=$K2010,"Sí","No")))</f>
        <v/>
      </c>
      <c r="O2010" s="24">
        <f>IF($A2010="","",COUNTIFS(NOVEDADES!$D$4:$D$1503,$A2010))</f>
        <v/>
      </c>
      <c r="P2010" s="28">
        <f>IF($A2010="","",IF(COUNTIFS(NOVEDADES!$D$4:$D$1503,$A2010,NOVEDADES!$O$4:$O$1503,"SÍ")&gt;0,"No","Sí"))</f>
        <v/>
      </c>
      <c r="Q2010" s="28">
        <f>IF(OR($A2010="",$L2010=""),"",IF(AND($N2010="Sí",$P2010="Sí"),"OTIF","Falló"))</f>
        <v/>
      </c>
    </row>
    <row r="2011" ht="16" customHeight="1">
      <c r="A2011" s="48" t="n"/>
      <c r="B2011" s="48" t="n"/>
      <c r="C2011" s="47" t="n"/>
      <c r="D2011" s="50" t="n"/>
      <c r="E2011" s="50" t="n"/>
      <c r="F2011" s="50" t="n"/>
      <c r="G2011" s="50" t="n"/>
      <c r="H2011" s="48" t="n"/>
      <c r="I2011" s="51" t="n"/>
      <c r="J2011" s="52" t="n"/>
      <c r="K2011" s="47" t="n"/>
      <c r="L2011" s="47" t="n"/>
      <c r="M2011" s="24">
        <f>IF(OR($A2011="",$C2011=""),"",IF($L2011&lt;&gt;"",$L2011-$C2011,TODAY()-$C2011))</f>
        <v/>
      </c>
      <c r="N2011" s="28">
        <f>IF(OR($A2011="",$K2011=""),"",IF($L2011="",IF(TODAY()&gt;$K2011,"Atrasado","En ruta"),IF($L2011&lt;=$K2011,"Sí","No")))</f>
        <v/>
      </c>
      <c r="O2011" s="24">
        <f>IF($A2011="","",COUNTIFS(NOVEDADES!$D$4:$D$1503,$A2011))</f>
        <v/>
      </c>
      <c r="P2011" s="28">
        <f>IF($A2011="","",IF(COUNTIFS(NOVEDADES!$D$4:$D$1503,$A2011,NOVEDADES!$O$4:$O$1503,"SÍ")&gt;0,"No","Sí"))</f>
        <v/>
      </c>
      <c r="Q2011" s="28">
        <f>IF(OR($A2011="",$L2011=""),"",IF(AND($N2011="Sí",$P2011="Sí"),"OTIF","Falló"))</f>
        <v/>
      </c>
    </row>
    <row r="2012" ht="16" customHeight="1">
      <c r="A2012" s="48" t="n"/>
      <c r="B2012" s="48" t="n"/>
      <c r="C2012" s="47" t="n"/>
      <c r="D2012" s="50" t="n"/>
      <c r="E2012" s="50" t="n"/>
      <c r="F2012" s="50" t="n"/>
      <c r="G2012" s="50" t="n"/>
      <c r="H2012" s="48" t="n"/>
      <c r="I2012" s="51" t="n"/>
      <c r="J2012" s="52" t="n"/>
      <c r="K2012" s="47" t="n"/>
      <c r="L2012" s="47" t="n"/>
      <c r="M2012" s="24">
        <f>IF(OR($A2012="",$C2012=""),"",IF($L2012&lt;&gt;"",$L2012-$C2012,TODAY()-$C2012))</f>
        <v/>
      </c>
      <c r="N2012" s="28">
        <f>IF(OR($A2012="",$K2012=""),"",IF($L2012="",IF(TODAY()&gt;$K2012,"Atrasado","En ruta"),IF($L2012&lt;=$K2012,"Sí","No")))</f>
        <v/>
      </c>
      <c r="O2012" s="24">
        <f>IF($A2012="","",COUNTIFS(NOVEDADES!$D$4:$D$1503,$A2012))</f>
        <v/>
      </c>
      <c r="P2012" s="28">
        <f>IF($A2012="","",IF(COUNTIFS(NOVEDADES!$D$4:$D$1503,$A2012,NOVEDADES!$O$4:$O$1503,"SÍ")&gt;0,"No","Sí"))</f>
        <v/>
      </c>
      <c r="Q2012" s="28">
        <f>IF(OR($A2012="",$L2012=""),"",IF(AND($N2012="Sí",$P2012="Sí"),"OTIF","Falló"))</f>
        <v/>
      </c>
    </row>
    <row r="2013" ht="16" customHeight="1">
      <c r="A2013" s="48" t="n"/>
      <c r="B2013" s="48" t="n"/>
      <c r="C2013" s="47" t="n"/>
      <c r="D2013" s="50" t="n"/>
      <c r="E2013" s="50" t="n"/>
      <c r="F2013" s="50" t="n"/>
      <c r="G2013" s="50" t="n"/>
      <c r="H2013" s="48" t="n"/>
      <c r="I2013" s="51" t="n"/>
      <c r="J2013" s="52" t="n"/>
      <c r="K2013" s="47" t="n"/>
      <c r="L2013" s="47" t="n"/>
      <c r="M2013" s="24">
        <f>IF(OR($A2013="",$C2013=""),"",IF($L2013&lt;&gt;"",$L2013-$C2013,TODAY()-$C2013))</f>
        <v/>
      </c>
      <c r="N2013" s="28">
        <f>IF(OR($A2013="",$K2013=""),"",IF($L2013="",IF(TODAY()&gt;$K2013,"Atrasado","En ruta"),IF($L2013&lt;=$K2013,"Sí","No")))</f>
        <v/>
      </c>
      <c r="O2013" s="24">
        <f>IF($A2013="","",COUNTIFS(NOVEDADES!$D$4:$D$1503,$A2013))</f>
        <v/>
      </c>
      <c r="P2013" s="28">
        <f>IF($A2013="","",IF(COUNTIFS(NOVEDADES!$D$4:$D$1503,$A2013,NOVEDADES!$O$4:$O$1503,"SÍ")&gt;0,"No","Sí"))</f>
        <v/>
      </c>
      <c r="Q2013" s="28">
        <f>IF(OR($A2013="",$L2013=""),"",IF(AND($N2013="Sí",$P2013="Sí"),"OTIF","Falló"))</f>
        <v/>
      </c>
    </row>
    <row r="2014" ht="16" customHeight="1">
      <c r="A2014" s="48" t="n"/>
      <c r="B2014" s="48" t="n"/>
      <c r="C2014" s="47" t="n"/>
      <c r="D2014" s="50" t="n"/>
      <c r="E2014" s="50" t="n"/>
      <c r="F2014" s="50" t="n"/>
      <c r="G2014" s="50" t="n"/>
      <c r="H2014" s="48" t="n"/>
      <c r="I2014" s="51" t="n"/>
      <c r="J2014" s="52" t="n"/>
      <c r="K2014" s="47" t="n"/>
      <c r="L2014" s="47" t="n"/>
      <c r="M2014" s="24">
        <f>IF(OR($A2014="",$C2014=""),"",IF($L2014&lt;&gt;"",$L2014-$C2014,TODAY()-$C2014))</f>
        <v/>
      </c>
      <c r="N2014" s="28">
        <f>IF(OR($A2014="",$K2014=""),"",IF($L2014="",IF(TODAY()&gt;$K2014,"Atrasado","En ruta"),IF($L2014&lt;=$K2014,"Sí","No")))</f>
        <v/>
      </c>
      <c r="O2014" s="24">
        <f>IF($A2014="","",COUNTIFS(NOVEDADES!$D$4:$D$1503,$A2014))</f>
        <v/>
      </c>
      <c r="P2014" s="28">
        <f>IF($A2014="","",IF(COUNTIFS(NOVEDADES!$D$4:$D$1503,$A2014,NOVEDADES!$O$4:$O$1503,"SÍ")&gt;0,"No","Sí"))</f>
        <v/>
      </c>
      <c r="Q2014" s="28">
        <f>IF(OR($A2014="",$L2014=""),"",IF(AND($N2014="Sí",$P2014="Sí"),"OTIF","Falló"))</f>
        <v/>
      </c>
    </row>
    <row r="2015" ht="16" customHeight="1">
      <c r="A2015" s="48" t="n"/>
      <c r="B2015" s="48" t="n"/>
      <c r="C2015" s="47" t="n"/>
      <c r="D2015" s="50" t="n"/>
      <c r="E2015" s="50" t="n"/>
      <c r="F2015" s="50" t="n"/>
      <c r="G2015" s="50" t="n"/>
      <c r="H2015" s="48" t="n"/>
      <c r="I2015" s="51" t="n"/>
      <c r="J2015" s="52" t="n"/>
      <c r="K2015" s="47" t="n"/>
      <c r="L2015" s="47" t="n"/>
      <c r="M2015" s="24">
        <f>IF(OR($A2015="",$C2015=""),"",IF($L2015&lt;&gt;"",$L2015-$C2015,TODAY()-$C2015))</f>
        <v/>
      </c>
      <c r="N2015" s="28">
        <f>IF(OR($A2015="",$K2015=""),"",IF($L2015="",IF(TODAY()&gt;$K2015,"Atrasado","En ruta"),IF($L2015&lt;=$K2015,"Sí","No")))</f>
        <v/>
      </c>
      <c r="O2015" s="24">
        <f>IF($A2015="","",COUNTIFS(NOVEDADES!$D$4:$D$1503,$A2015))</f>
        <v/>
      </c>
      <c r="P2015" s="28">
        <f>IF($A2015="","",IF(COUNTIFS(NOVEDADES!$D$4:$D$1503,$A2015,NOVEDADES!$O$4:$O$1503,"SÍ")&gt;0,"No","Sí"))</f>
        <v/>
      </c>
      <c r="Q2015" s="28">
        <f>IF(OR($A2015="",$L2015=""),"",IF(AND($N2015="Sí",$P2015="Sí"),"OTIF","Falló"))</f>
        <v/>
      </c>
    </row>
    <row r="2016" ht="16" customHeight="1">
      <c r="A2016" s="48" t="n"/>
      <c r="B2016" s="48" t="n"/>
      <c r="C2016" s="47" t="n"/>
      <c r="D2016" s="50" t="n"/>
      <c r="E2016" s="50" t="n"/>
      <c r="F2016" s="50" t="n"/>
      <c r="G2016" s="50" t="n"/>
      <c r="H2016" s="48" t="n"/>
      <c r="I2016" s="51" t="n"/>
      <c r="J2016" s="52" t="n"/>
      <c r="K2016" s="47" t="n"/>
      <c r="L2016" s="47" t="n"/>
      <c r="M2016" s="24">
        <f>IF(OR($A2016="",$C2016=""),"",IF($L2016&lt;&gt;"",$L2016-$C2016,TODAY()-$C2016))</f>
        <v/>
      </c>
      <c r="N2016" s="28">
        <f>IF(OR($A2016="",$K2016=""),"",IF($L2016="",IF(TODAY()&gt;$K2016,"Atrasado","En ruta"),IF($L2016&lt;=$K2016,"Sí","No")))</f>
        <v/>
      </c>
      <c r="O2016" s="24">
        <f>IF($A2016="","",COUNTIFS(NOVEDADES!$D$4:$D$1503,$A2016))</f>
        <v/>
      </c>
      <c r="P2016" s="28">
        <f>IF($A2016="","",IF(COUNTIFS(NOVEDADES!$D$4:$D$1503,$A2016,NOVEDADES!$O$4:$O$1503,"SÍ")&gt;0,"No","Sí"))</f>
        <v/>
      </c>
      <c r="Q2016" s="28">
        <f>IF(OR($A2016="",$L2016=""),"",IF(AND($N2016="Sí",$P2016="Sí"),"OTIF","Falló"))</f>
        <v/>
      </c>
    </row>
    <row r="2017" ht="16" customHeight="1">
      <c r="A2017" s="48" t="n"/>
      <c r="B2017" s="48" t="n"/>
      <c r="C2017" s="47" t="n"/>
      <c r="D2017" s="50" t="n"/>
      <c r="E2017" s="50" t="n"/>
      <c r="F2017" s="50" t="n"/>
      <c r="G2017" s="50" t="n"/>
      <c r="H2017" s="48" t="n"/>
      <c r="I2017" s="51" t="n"/>
      <c r="J2017" s="52" t="n"/>
      <c r="K2017" s="47" t="n"/>
      <c r="L2017" s="47" t="n"/>
      <c r="M2017" s="24">
        <f>IF(OR($A2017="",$C2017=""),"",IF($L2017&lt;&gt;"",$L2017-$C2017,TODAY()-$C2017))</f>
        <v/>
      </c>
      <c r="N2017" s="28">
        <f>IF(OR($A2017="",$K2017=""),"",IF($L2017="",IF(TODAY()&gt;$K2017,"Atrasado","En ruta"),IF($L2017&lt;=$K2017,"Sí","No")))</f>
        <v/>
      </c>
      <c r="O2017" s="24">
        <f>IF($A2017="","",COUNTIFS(NOVEDADES!$D$4:$D$1503,$A2017))</f>
        <v/>
      </c>
      <c r="P2017" s="28">
        <f>IF($A2017="","",IF(COUNTIFS(NOVEDADES!$D$4:$D$1503,$A2017,NOVEDADES!$O$4:$O$1503,"SÍ")&gt;0,"No","Sí"))</f>
        <v/>
      </c>
      <c r="Q2017" s="28">
        <f>IF(OR($A2017="",$L2017=""),"",IF(AND($N2017="Sí",$P2017="Sí"),"OTIF","Falló"))</f>
        <v/>
      </c>
    </row>
    <row r="2018" ht="16" customHeight="1">
      <c r="A2018" s="48" t="n"/>
      <c r="B2018" s="48" t="n"/>
      <c r="C2018" s="47" t="n"/>
      <c r="D2018" s="50" t="n"/>
      <c r="E2018" s="50" t="n"/>
      <c r="F2018" s="50" t="n"/>
      <c r="G2018" s="50" t="n"/>
      <c r="H2018" s="48" t="n"/>
      <c r="I2018" s="51" t="n"/>
      <c r="J2018" s="52" t="n"/>
      <c r="K2018" s="47" t="n"/>
      <c r="L2018" s="47" t="n"/>
      <c r="M2018" s="24">
        <f>IF(OR($A2018="",$C2018=""),"",IF($L2018&lt;&gt;"",$L2018-$C2018,TODAY()-$C2018))</f>
        <v/>
      </c>
      <c r="N2018" s="28">
        <f>IF(OR($A2018="",$K2018=""),"",IF($L2018="",IF(TODAY()&gt;$K2018,"Atrasado","En ruta"),IF($L2018&lt;=$K2018,"Sí","No")))</f>
        <v/>
      </c>
      <c r="O2018" s="24">
        <f>IF($A2018="","",COUNTIFS(NOVEDADES!$D$4:$D$1503,$A2018))</f>
        <v/>
      </c>
      <c r="P2018" s="28">
        <f>IF($A2018="","",IF(COUNTIFS(NOVEDADES!$D$4:$D$1503,$A2018,NOVEDADES!$O$4:$O$1503,"SÍ")&gt;0,"No","Sí"))</f>
        <v/>
      </c>
      <c r="Q2018" s="28">
        <f>IF(OR($A2018="",$L2018=""),"",IF(AND($N2018="Sí",$P2018="Sí"),"OTIF","Falló"))</f>
        <v/>
      </c>
    </row>
    <row r="2019" ht="16" customHeight="1">
      <c r="A2019" s="48" t="n"/>
      <c r="B2019" s="48" t="n"/>
      <c r="C2019" s="47" t="n"/>
      <c r="D2019" s="50" t="n"/>
      <c r="E2019" s="50" t="n"/>
      <c r="F2019" s="50" t="n"/>
      <c r="G2019" s="50" t="n"/>
      <c r="H2019" s="48" t="n"/>
      <c r="I2019" s="51" t="n"/>
      <c r="J2019" s="52" t="n"/>
      <c r="K2019" s="47" t="n"/>
      <c r="L2019" s="47" t="n"/>
      <c r="M2019" s="24">
        <f>IF(OR($A2019="",$C2019=""),"",IF($L2019&lt;&gt;"",$L2019-$C2019,TODAY()-$C2019))</f>
        <v/>
      </c>
      <c r="N2019" s="28">
        <f>IF(OR($A2019="",$K2019=""),"",IF($L2019="",IF(TODAY()&gt;$K2019,"Atrasado","En ruta"),IF($L2019&lt;=$K2019,"Sí","No")))</f>
        <v/>
      </c>
      <c r="O2019" s="24">
        <f>IF($A2019="","",COUNTIFS(NOVEDADES!$D$4:$D$1503,$A2019))</f>
        <v/>
      </c>
      <c r="P2019" s="28">
        <f>IF($A2019="","",IF(COUNTIFS(NOVEDADES!$D$4:$D$1503,$A2019,NOVEDADES!$O$4:$O$1503,"SÍ")&gt;0,"No","Sí"))</f>
        <v/>
      </c>
      <c r="Q2019" s="28">
        <f>IF(OR($A2019="",$L2019=""),"",IF(AND($N2019="Sí",$P2019="Sí"),"OTIF","Falló"))</f>
        <v/>
      </c>
    </row>
    <row r="2020" ht="16" customHeight="1">
      <c r="A2020" s="48" t="n"/>
      <c r="B2020" s="48" t="n"/>
      <c r="C2020" s="47" t="n"/>
      <c r="D2020" s="50" t="n"/>
      <c r="E2020" s="50" t="n"/>
      <c r="F2020" s="50" t="n"/>
      <c r="G2020" s="50" t="n"/>
      <c r="H2020" s="48" t="n"/>
      <c r="I2020" s="51" t="n"/>
      <c r="J2020" s="52" t="n"/>
      <c r="K2020" s="47" t="n"/>
      <c r="L2020" s="47" t="n"/>
      <c r="M2020" s="24">
        <f>IF(OR($A2020="",$C2020=""),"",IF($L2020&lt;&gt;"",$L2020-$C2020,TODAY()-$C2020))</f>
        <v/>
      </c>
      <c r="N2020" s="28">
        <f>IF(OR($A2020="",$K2020=""),"",IF($L2020="",IF(TODAY()&gt;$K2020,"Atrasado","En ruta"),IF($L2020&lt;=$K2020,"Sí","No")))</f>
        <v/>
      </c>
      <c r="O2020" s="24">
        <f>IF($A2020="","",COUNTIFS(NOVEDADES!$D$4:$D$1503,$A2020))</f>
        <v/>
      </c>
      <c r="P2020" s="28">
        <f>IF($A2020="","",IF(COUNTIFS(NOVEDADES!$D$4:$D$1503,$A2020,NOVEDADES!$O$4:$O$1503,"SÍ")&gt;0,"No","Sí"))</f>
        <v/>
      </c>
      <c r="Q2020" s="28">
        <f>IF(OR($A2020="",$L2020=""),"",IF(AND($N2020="Sí",$P2020="Sí"),"OTIF","Falló"))</f>
        <v/>
      </c>
    </row>
    <row r="2021" ht="16" customHeight="1">
      <c r="A2021" s="48" t="n"/>
      <c r="B2021" s="48" t="n"/>
      <c r="C2021" s="47" t="n"/>
      <c r="D2021" s="50" t="n"/>
      <c r="E2021" s="50" t="n"/>
      <c r="F2021" s="50" t="n"/>
      <c r="G2021" s="50" t="n"/>
      <c r="H2021" s="48" t="n"/>
      <c r="I2021" s="51" t="n"/>
      <c r="J2021" s="52" t="n"/>
      <c r="K2021" s="47" t="n"/>
      <c r="L2021" s="47" t="n"/>
      <c r="M2021" s="24">
        <f>IF(OR($A2021="",$C2021=""),"",IF($L2021&lt;&gt;"",$L2021-$C2021,TODAY()-$C2021))</f>
        <v/>
      </c>
      <c r="N2021" s="28">
        <f>IF(OR($A2021="",$K2021=""),"",IF($L2021="",IF(TODAY()&gt;$K2021,"Atrasado","En ruta"),IF($L2021&lt;=$K2021,"Sí","No")))</f>
        <v/>
      </c>
      <c r="O2021" s="24">
        <f>IF($A2021="","",COUNTIFS(NOVEDADES!$D$4:$D$1503,$A2021))</f>
        <v/>
      </c>
      <c r="P2021" s="28">
        <f>IF($A2021="","",IF(COUNTIFS(NOVEDADES!$D$4:$D$1503,$A2021,NOVEDADES!$O$4:$O$1503,"SÍ")&gt;0,"No","Sí"))</f>
        <v/>
      </c>
      <c r="Q2021" s="28">
        <f>IF(OR($A2021="",$L2021=""),"",IF(AND($N2021="Sí",$P2021="Sí"),"OTIF","Falló"))</f>
        <v/>
      </c>
    </row>
    <row r="2022" ht="16" customHeight="1">
      <c r="A2022" s="48" t="n"/>
      <c r="B2022" s="48" t="n"/>
      <c r="C2022" s="47" t="n"/>
      <c r="D2022" s="50" t="n"/>
      <c r="E2022" s="50" t="n"/>
      <c r="F2022" s="50" t="n"/>
      <c r="G2022" s="50" t="n"/>
      <c r="H2022" s="48" t="n"/>
      <c r="I2022" s="51" t="n"/>
      <c r="J2022" s="52" t="n"/>
      <c r="K2022" s="47" t="n"/>
      <c r="L2022" s="47" t="n"/>
      <c r="M2022" s="24">
        <f>IF(OR($A2022="",$C2022=""),"",IF($L2022&lt;&gt;"",$L2022-$C2022,TODAY()-$C2022))</f>
        <v/>
      </c>
      <c r="N2022" s="28">
        <f>IF(OR($A2022="",$K2022=""),"",IF($L2022="",IF(TODAY()&gt;$K2022,"Atrasado","En ruta"),IF($L2022&lt;=$K2022,"Sí","No")))</f>
        <v/>
      </c>
      <c r="O2022" s="24">
        <f>IF($A2022="","",COUNTIFS(NOVEDADES!$D$4:$D$1503,$A2022))</f>
        <v/>
      </c>
      <c r="P2022" s="28">
        <f>IF($A2022="","",IF(COUNTIFS(NOVEDADES!$D$4:$D$1503,$A2022,NOVEDADES!$O$4:$O$1503,"SÍ")&gt;0,"No","Sí"))</f>
        <v/>
      </c>
      <c r="Q2022" s="28">
        <f>IF(OR($A2022="",$L2022=""),"",IF(AND($N2022="Sí",$P2022="Sí"),"OTIF","Falló"))</f>
        <v/>
      </c>
    </row>
    <row r="2023" ht="16" customHeight="1">
      <c r="A2023" s="48" t="n"/>
      <c r="B2023" s="48" t="n"/>
      <c r="C2023" s="47" t="n"/>
      <c r="D2023" s="50" t="n"/>
      <c r="E2023" s="50" t="n"/>
      <c r="F2023" s="50" t="n"/>
      <c r="G2023" s="50" t="n"/>
      <c r="H2023" s="48" t="n"/>
      <c r="I2023" s="51" t="n"/>
      <c r="J2023" s="52" t="n"/>
      <c r="K2023" s="47" t="n"/>
      <c r="L2023" s="47" t="n"/>
      <c r="M2023" s="24">
        <f>IF(OR($A2023="",$C2023=""),"",IF($L2023&lt;&gt;"",$L2023-$C2023,TODAY()-$C2023))</f>
        <v/>
      </c>
      <c r="N2023" s="28">
        <f>IF(OR($A2023="",$K2023=""),"",IF($L2023="",IF(TODAY()&gt;$K2023,"Atrasado","En ruta"),IF($L2023&lt;=$K2023,"Sí","No")))</f>
        <v/>
      </c>
      <c r="O2023" s="24">
        <f>IF($A2023="","",COUNTIFS(NOVEDADES!$D$4:$D$1503,$A2023))</f>
        <v/>
      </c>
      <c r="P2023" s="28">
        <f>IF($A2023="","",IF(COUNTIFS(NOVEDADES!$D$4:$D$1503,$A2023,NOVEDADES!$O$4:$O$1503,"SÍ")&gt;0,"No","Sí"))</f>
        <v/>
      </c>
      <c r="Q2023" s="28">
        <f>IF(OR($A2023="",$L2023=""),"",IF(AND($N2023="Sí",$P2023="Sí"),"OTIF","Falló"))</f>
        <v/>
      </c>
    </row>
    <row r="2024" ht="16" customHeight="1">
      <c r="A2024" s="48" t="n"/>
      <c r="B2024" s="48" t="n"/>
      <c r="C2024" s="47" t="n"/>
      <c r="D2024" s="50" t="n"/>
      <c r="E2024" s="50" t="n"/>
      <c r="F2024" s="50" t="n"/>
      <c r="G2024" s="50" t="n"/>
      <c r="H2024" s="48" t="n"/>
      <c r="I2024" s="51" t="n"/>
      <c r="J2024" s="52" t="n"/>
      <c r="K2024" s="47" t="n"/>
      <c r="L2024" s="47" t="n"/>
      <c r="M2024" s="24">
        <f>IF(OR($A2024="",$C2024=""),"",IF($L2024&lt;&gt;"",$L2024-$C2024,TODAY()-$C2024))</f>
        <v/>
      </c>
      <c r="N2024" s="28">
        <f>IF(OR($A2024="",$K2024=""),"",IF($L2024="",IF(TODAY()&gt;$K2024,"Atrasado","En ruta"),IF($L2024&lt;=$K2024,"Sí","No")))</f>
        <v/>
      </c>
      <c r="O2024" s="24">
        <f>IF($A2024="","",COUNTIFS(NOVEDADES!$D$4:$D$1503,$A2024))</f>
        <v/>
      </c>
      <c r="P2024" s="28">
        <f>IF($A2024="","",IF(COUNTIFS(NOVEDADES!$D$4:$D$1503,$A2024,NOVEDADES!$O$4:$O$1503,"SÍ")&gt;0,"No","Sí"))</f>
        <v/>
      </c>
      <c r="Q2024" s="28">
        <f>IF(OR($A2024="",$L2024=""),"",IF(AND($N2024="Sí",$P2024="Sí"),"OTIF","Falló"))</f>
        <v/>
      </c>
    </row>
    <row r="2025" ht="16" customHeight="1">
      <c r="A2025" s="48" t="n"/>
      <c r="B2025" s="48" t="n"/>
      <c r="C2025" s="47" t="n"/>
      <c r="D2025" s="50" t="n"/>
      <c r="E2025" s="50" t="n"/>
      <c r="F2025" s="50" t="n"/>
      <c r="G2025" s="50" t="n"/>
      <c r="H2025" s="48" t="n"/>
      <c r="I2025" s="51" t="n"/>
      <c r="J2025" s="52" t="n"/>
      <c r="K2025" s="47" t="n"/>
      <c r="L2025" s="47" t="n"/>
      <c r="M2025" s="24">
        <f>IF(OR($A2025="",$C2025=""),"",IF($L2025&lt;&gt;"",$L2025-$C2025,TODAY()-$C2025))</f>
        <v/>
      </c>
      <c r="N2025" s="28">
        <f>IF(OR($A2025="",$K2025=""),"",IF($L2025="",IF(TODAY()&gt;$K2025,"Atrasado","En ruta"),IF($L2025&lt;=$K2025,"Sí","No")))</f>
        <v/>
      </c>
      <c r="O2025" s="24">
        <f>IF($A2025="","",COUNTIFS(NOVEDADES!$D$4:$D$1503,$A2025))</f>
        <v/>
      </c>
      <c r="P2025" s="28">
        <f>IF($A2025="","",IF(COUNTIFS(NOVEDADES!$D$4:$D$1503,$A2025,NOVEDADES!$O$4:$O$1503,"SÍ")&gt;0,"No","Sí"))</f>
        <v/>
      </c>
      <c r="Q2025" s="28">
        <f>IF(OR($A2025="",$L2025=""),"",IF(AND($N2025="Sí",$P2025="Sí"),"OTIF","Falló"))</f>
        <v/>
      </c>
    </row>
    <row r="2026" ht="16" customHeight="1">
      <c r="A2026" s="48" t="n"/>
      <c r="B2026" s="48" t="n"/>
      <c r="C2026" s="47" t="n"/>
      <c r="D2026" s="50" t="n"/>
      <c r="E2026" s="50" t="n"/>
      <c r="F2026" s="50" t="n"/>
      <c r="G2026" s="50" t="n"/>
      <c r="H2026" s="48" t="n"/>
      <c r="I2026" s="51" t="n"/>
      <c r="J2026" s="52" t="n"/>
      <c r="K2026" s="47" t="n"/>
      <c r="L2026" s="47" t="n"/>
      <c r="M2026" s="24">
        <f>IF(OR($A2026="",$C2026=""),"",IF($L2026&lt;&gt;"",$L2026-$C2026,TODAY()-$C2026))</f>
        <v/>
      </c>
      <c r="N2026" s="28">
        <f>IF(OR($A2026="",$K2026=""),"",IF($L2026="",IF(TODAY()&gt;$K2026,"Atrasado","En ruta"),IF($L2026&lt;=$K2026,"Sí","No")))</f>
        <v/>
      </c>
      <c r="O2026" s="24">
        <f>IF($A2026="","",COUNTIFS(NOVEDADES!$D$4:$D$1503,$A2026))</f>
        <v/>
      </c>
      <c r="P2026" s="28">
        <f>IF($A2026="","",IF(COUNTIFS(NOVEDADES!$D$4:$D$1503,$A2026,NOVEDADES!$O$4:$O$1503,"SÍ")&gt;0,"No","Sí"))</f>
        <v/>
      </c>
      <c r="Q2026" s="28">
        <f>IF(OR($A2026="",$L2026=""),"",IF(AND($N2026="Sí",$P2026="Sí"),"OTIF","Falló"))</f>
        <v/>
      </c>
    </row>
    <row r="2027" ht="16" customHeight="1">
      <c r="A2027" s="48" t="n"/>
      <c r="B2027" s="48" t="n"/>
      <c r="C2027" s="47" t="n"/>
      <c r="D2027" s="50" t="n"/>
      <c r="E2027" s="50" t="n"/>
      <c r="F2027" s="50" t="n"/>
      <c r="G2027" s="50" t="n"/>
      <c r="H2027" s="48" t="n"/>
      <c r="I2027" s="51" t="n"/>
      <c r="J2027" s="52" t="n"/>
      <c r="K2027" s="47" t="n"/>
      <c r="L2027" s="47" t="n"/>
      <c r="M2027" s="24">
        <f>IF(OR($A2027="",$C2027=""),"",IF($L2027&lt;&gt;"",$L2027-$C2027,TODAY()-$C2027))</f>
        <v/>
      </c>
      <c r="N2027" s="28">
        <f>IF(OR($A2027="",$K2027=""),"",IF($L2027="",IF(TODAY()&gt;$K2027,"Atrasado","En ruta"),IF($L2027&lt;=$K2027,"Sí","No")))</f>
        <v/>
      </c>
      <c r="O2027" s="24">
        <f>IF($A2027="","",COUNTIFS(NOVEDADES!$D$4:$D$1503,$A2027))</f>
        <v/>
      </c>
      <c r="P2027" s="28">
        <f>IF($A2027="","",IF(COUNTIFS(NOVEDADES!$D$4:$D$1503,$A2027,NOVEDADES!$O$4:$O$1503,"SÍ")&gt;0,"No","Sí"))</f>
        <v/>
      </c>
      <c r="Q2027" s="28">
        <f>IF(OR($A2027="",$L2027=""),"",IF(AND($N2027="Sí",$P2027="Sí"),"OTIF","Falló"))</f>
        <v/>
      </c>
    </row>
    <row r="2028" ht="16" customHeight="1">
      <c r="A2028" s="48" t="n"/>
      <c r="B2028" s="48" t="n"/>
      <c r="C2028" s="47" t="n"/>
      <c r="D2028" s="50" t="n"/>
      <c r="E2028" s="50" t="n"/>
      <c r="F2028" s="50" t="n"/>
      <c r="G2028" s="50" t="n"/>
      <c r="H2028" s="48" t="n"/>
      <c r="I2028" s="51" t="n"/>
      <c r="J2028" s="52" t="n"/>
      <c r="K2028" s="47" t="n"/>
      <c r="L2028" s="47" t="n"/>
      <c r="M2028" s="24">
        <f>IF(OR($A2028="",$C2028=""),"",IF($L2028&lt;&gt;"",$L2028-$C2028,TODAY()-$C2028))</f>
        <v/>
      </c>
      <c r="N2028" s="28">
        <f>IF(OR($A2028="",$K2028=""),"",IF($L2028="",IF(TODAY()&gt;$K2028,"Atrasado","En ruta"),IF($L2028&lt;=$K2028,"Sí","No")))</f>
        <v/>
      </c>
      <c r="O2028" s="24">
        <f>IF($A2028="","",COUNTIFS(NOVEDADES!$D$4:$D$1503,$A2028))</f>
        <v/>
      </c>
      <c r="P2028" s="28">
        <f>IF($A2028="","",IF(COUNTIFS(NOVEDADES!$D$4:$D$1503,$A2028,NOVEDADES!$O$4:$O$1503,"SÍ")&gt;0,"No","Sí"))</f>
        <v/>
      </c>
      <c r="Q2028" s="28">
        <f>IF(OR($A2028="",$L2028=""),"",IF(AND($N2028="Sí",$P2028="Sí"),"OTIF","Falló"))</f>
        <v/>
      </c>
    </row>
    <row r="2029" ht="16" customHeight="1">
      <c r="A2029" s="48" t="n"/>
      <c r="B2029" s="48" t="n"/>
      <c r="C2029" s="47" t="n"/>
      <c r="D2029" s="50" t="n"/>
      <c r="E2029" s="50" t="n"/>
      <c r="F2029" s="50" t="n"/>
      <c r="G2029" s="50" t="n"/>
      <c r="H2029" s="48" t="n"/>
      <c r="I2029" s="51" t="n"/>
      <c r="J2029" s="52" t="n"/>
      <c r="K2029" s="47" t="n"/>
      <c r="L2029" s="47" t="n"/>
      <c r="M2029" s="24">
        <f>IF(OR($A2029="",$C2029=""),"",IF($L2029&lt;&gt;"",$L2029-$C2029,TODAY()-$C2029))</f>
        <v/>
      </c>
      <c r="N2029" s="28">
        <f>IF(OR($A2029="",$K2029=""),"",IF($L2029="",IF(TODAY()&gt;$K2029,"Atrasado","En ruta"),IF($L2029&lt;=$K2029,"Sí","No")))</f>
        <v/>
      </c>
      <c r="O2029" s="24">
        <f>IF($A2029="","",COUNTIFS(NOVEDADES!$D$4:$D$1503,$A2029))</f>
        <v/>
      </c>
      <c r="P2029" s="28">
        <f>IF($A2029="","",IF(COUNTIFS(NOVEDADES!$D$4:$D$1503,$A2029,NOVEDADES!$O$4:$O$1503,"SÍ")&gt;0,"No","Sí"))</f>
        <v/>
      </c>
      <c r="Q2029" s="28">
        <f>IF(OR($A2029="",$L2029=""),"",IF(AND($N2029="Sí",$P2029="Sí"),"OTIF","Falló"))</f>
        <v/>
      </c>
    </row>
    <row r="2030" ht="16" customHeight="1">
      <c r="A2030" s="48" t="n"/>
      <c r="B2030" s="48" t="n"/>
      <c r="C2030" s="47" t="n"/>
      <c r="D2030" s="50" t="n"/>
      <c r="E2030" s="50" t="n"/>
      <c r="F2030" s="50" t="n"/>
      <c r="G2030" s="50" t="n"/>
      <c r="H2030" s="48" t="n"/>
      <c r="I2030" s="51" t="n"/>
      <c r="J2030" s="52" t="n"/>
      <c r="K2030" s="47" t="n"/>
      <c r="L2030" s="47" t="n"/>
      <c r="M2030" s="24">
        <f>IF(OR($A2030="",$C2030=""),"",IF($L2030&lt;&gt;"",$L2030-$C2030,TODAY()-$C2030))</f>
        <v/>
      </c>
      <c r="N2030" s="28">
        <f>IF(OR($A2030="",$K2030=""),"",IF($L2030="",IF(TODAY()&gt;$K2030,"Atrasado","En ruta"),IF($L2030&lt;=$K2030,"Sí","No")))</f>
        <v/>
      </c>
      <c r="O2030" s="24">
        <f>IF($A2030="","",COUNTIFS(NOVEDADES!$D$4:$D$1503,$A2030))</f>
        <v/>
      </c>
      <c r="P2030" s="28">
        <f>IF($A2030="","",IF(COUNTIFS(NOVEDADES!$D$4:$D$1503,$A2030,NOVEDADES!$O$4:$O$1503,"SÍ")&gt;0,"No","Sí"))</f>
        <v/>
      </c>
      <c r="Q2030" s="28">
        <f>IF(OR($A2030="",$L2030=""),"",IF(AND($N2030="Sí",$P2030="Sí"),"OTIF","Falló"))</f>
        <v/>
      </c>
    </row>
    <row r="2031" ht="16" customHeight="1">
      <c r="A2031" s="48" t="n"/>
      <c r="B2031" s="48" t="n"/>
      <c r="C2031" s="47" t="n"/>
      <c r="D2031" s="50" t="n"/>
      <c r="E2031" s="50" t="n"/>
      <c r="F2031" s="50" t="n"/>
      <c r="G2031" s="50" t="n"/>
      <c r="H2031" s="48" t="n"/>
      <c r="I2031" s="51" t="n"/>
      <c r="J2031" s="52" t="n"/>
      <c r="K2031" s="47" t="n"/>
      <c r="L2031" s="47" t="n"/>
      <c r="M2031" s="24">
        <f>IF(OR($A2031="",$C2031=""),"",IF($L2031&lt;&gt;"",$L2031-$C2031,TODAY()-$C2031))</f>
        <v/>
      </c>
      <c r="N2031" s="28">
        <f>IF(OR($A2031="",$K2031=""),"",IF($L2031="",IF(TODAY()&gt;$K2031,"Atrasado","En ruta"),IF($L2031&lt;=$K2031,"Sí","No")))</f>
        <v/>
      </c>
      <c r="O2031" s="24">
        <f>IF($A2031="","",COUNTIFS(NOVEDADES!$D$4:$D$1503,$A2031))</f>
        <v/>
      </c>
      <c r="P2031" s="28">
        <f>IF($A2031="","",IF(COUNTIFS(NOVEDADES!$D$4:$D$1503,$A2031,NOVEDADES!$O$4:$O$1503,"SÍ")&gt;0,"No","Sí"))</f>
        <v/>
      </c>
      <c r="Q2031" s="28">
        <f>IF(OR($A2031="",$L2031=""),"",IF(AND($N2031="Sí",$P2031="Sí"),"OTIF","Falló"))</f>
        <v/>
      </c>
    </row>
    <row r="2032" ht="16" customHeight="1">
      <c r="A2032" s="48" t="n"/>
      <c r="B2032" s="48" t="n"/>
      <c r="C2032" s="47" t="n"/>
      <c r="D2032" s="50" t="n"/>
      <c r="E2032" s="50" t="n"/>
      <c r="F2032" s="50" t="n"/>
      <c r="G2032" s="50" t="n"/>
      <c r="H2032" s="48" t="n"/>
      <c r="I2032" s="51" t="n"/>
      <c r="J2032" s="52" t="n"/>
      <c r="K2032" s="47" t="n"/>
      <c r="L2032" s="47" t="n"/>
      <c r="M2032" s="24">
        <f>IF(OR($A2032="",$C2032=""),"",IF($L2032&lt;&gt;"",$L2032-$C2032,TODAY()-$C2032))</f>
        <v/>
      </c>
      <c r="N2032" s="28">
        <f>IF(OR($A2032="",$K2032=""),"",IF($L2032="",IF(TODAY()&gt;$K2032,"Atrasado","En ruta"),IF($L2032&lt;=$K2032,"Sí","No")))</f>
        <v/>
      </c>
      <c r="O2032" s="24">
        <f>IF($A2032="","",COUNTIFS(NOVEDADES!$D$4:$D$1503,$A2032))</f>
        <v/>
      </c>
      <c r="P2032" s="28">
        <f>IF($A2032="","",IF(COUNTIFS(NOVEDADES!$D$4:$D$1503,$A2032,NOVEDADES!$O$4:$O$1503,"SÍ")&gt;0,"No","Sí"))</f>
        <v/>
      </c>
      <c r="Q2032" s="28">
        <f>IF(OR($A2032="",$L2032=""),"",IF(AND($N2032="Sí",$P2032="Sí"),"OTIF","Falló"))</f>
        <v/>
      </c>
    </row>
    <row r="2033" ht="16" customHeight="1">
      <c r="A2033" s="48" t="n"/>
      <c r="B2033" s="48" t="n"/>
      <c r="C2033" s="47" t="n"/>
      <c r="D2033" s="50" t="n"/>
      <c r="E2033" s="50" t="n"/>
      <c r="F2033" s="50" t="n"/>
      <c r="G2033" s="50" t="n"/>
      <c r="H2033" s="48" t="n"/>
      <c r="I2033" s="51" t="n"/>
      <c r="J2033" s="52" t="n"/>
      <c r="K2033" s="47" t="n"/>
      <c r="L2033" s="47" t="n"/>
      <c r="M2033" s="24">
        <f>IF(OR($A2033="",$C2033=""),"",IF($L2033&lt;&gt;"",$L2033-$C2033,TODAY()-$C2033))</f>
        <v/>
      </c>
      <c r="N2033" s="28">
        <f>IF(OR($A2033="",$K2033=""),"",IF($L2033="",IF(TODAY()&gt;$K2033,"Atrasado","En ruta"),IF($L2033&lt;=$K2033,"Sí","No")))</f>
        <v/>
      </c>
      <c r="O2033" s="24">
        <f>IF($A2033="","",COUNTIFS(NOVEDADES!$D$4:$D$1503,$A2033))</f>
        <v/>
      </c>
      <c r="P2033" s="28">
        <f>IF($A2033="","",IF(COUNTIFS(NOVEDADES!$D$4:$D$1503,$A2033,NOVEDADES!$O$4:$O$1503,"SÍ")&gt;0,"No","Sí"))</f>
        <v/>
      </c>
      <c r="Q2033" s="28">
        <f>IF(OR($A2033="",$L2033=""),"",IF(AND($N2033="Sí",$P2033="Sí"),"OTIF","Falló"))</f>
        <v/>
      </c>
    </row>
    <row r="2034" ht="16" customHeight="1">
      <c r="A2034" s="48" t="n"/>
      <c r="B2034" s="48" t="n"/>
      <c r="C2034" s="47" t="n"/>
      <c r="D2034" s="50" t="n"/>
      <c r="E2034" s="50" t="n"/>
      <c r="F2034" s="50" t="n"/>
      <c r="G2034" s="50" t="n"/>
      <c r="H2034" s="48" t="n"/>
      <c r="I2034" s="51" t="n"/>
      <c r="J2034" s="52" t="n"/>
      <c r="K2034" s="47" t="n"/>
      <c r="L2034" s="47" t="n"/>
      <c r="M2034" s="24">
        <f>IF(OR($A2034="",$C2034=""),"",IF($L2034&lt;&gt;"",$L2034-$C2034,TODAY()-$C2034))</f>
        <v/>
      </c>
      <c r="N2034" s="28">
        <f>IF(OR($A2034="",$K2034=""),"",IF($L2034="",IF(TODAY()&gt;$K2034,"Atrasado","En ruta"),IF($L2034&lt;=$K2034,"Sí","No")))</f>
        <v/>
      </c>
      <c r="O2034" s="24">
        <f>IF($A2034="","",COUNTIFS(NOVEDADES!$D$4:$D$1503,$A2034))</f>
        <v/>
      </c>
      <c r="P2034" s="28">
        <f>IF($A2034="","",IF(COUNTIFS(NOVEDADES!$D$4:$D$1503,$A2034,NOVEDADES!$O$4:$O$1503,"SÍ")&gt;0,"No","Sí"))</f>
        <v/>
      </c>
      <c r="Q2034" s="28">
        <f>IF(OR($A2034="",$L2034=""),"",IF(AND($N2034="Sí",$P2034="Sí"),"OTIF","Falló"))</f>
        <v/>
      </c>
    </row>
    <row r="2035" ht="16" customHeight="1">
      <c r="A2035" s="48" t="n"/>
      <c r="B2035" s="48" t="n"/>
      <c r="C2035" s="47" t="n"/>
      <c r="D2035" s="50" t="n"/>
      <c r="E2035" s="50" t="n"/>
      <c r="F2035" s="50" t="n"/>
      <c r="G2035" s="50" t="n"/>
      <c r="H2035" s="48" t="n"/>
      <c r="I2035" s="51" t="n"/>
      <c r="J2035" s="52" t="n"/>
      <c r="K2035" s="47" t="n"/>
      <c r="L2035" s="47" t="n"/>
      <c r="M2035" s="24">
        <f>IF(OR($A2035="",$C2035=""),"",IF($L2035&lt;&gt;"",$L2035-$C2035,TODAY()-$C2035))</f>
        <v/>
      </c>
      <c r="N2035" s="28">
        <f>IF(OR($A2035="",$K2035=""),"",IF($L2035="",IF(TODAY()&gt;$K2035,"Atrasado","En ruta"),IF($L2035&lt;=$K2035,"Sí","No")))</f>
        <v/>
      </c>
      <c r="O2035" s="24">
        <f>IF($A2035="","",COUNTIFS(NOVEDADES!$D$4:$D$1503,$A2035))</f>
        <v/>
      </c>
      <c r="P2035" s="28">
        <f>IF($A2035="","",IF(COUNTIFS(NOVEDADES!$D$4:$D$1503,$A2035,NOVEDADES!$O$4:$O$1503,"SÍ")&gt;0,"No","Sí"))</f>
        <v/>
      </c>
      <c r="Q2035" s="28">
        <f>IF(OR($A2035="",$L2035=""),"",IF(AND($N2035="Sí",$P2035="Sí"),"OTIF","Falló"))</f>
        <v/>
      </c>
    </row>
    <row r="2036" ht="16" customHeight="1">
      <c r="A2036" s="48" t="n"/>
      <c r="B2036" s="48" t="n"/>
      <c r="C2036" s="47" t="n"/>
      <c r="D2036" s="50" t="n"/>
      <c r="E2036" s="50" t="n"/>
      <c r="F2036" s="50" t="n"/>
      <c r="G2036" s="50" t="n"/>
      <c r="H2036" s="48" t="n"/>
      <c r="I2036" s="51" t="n"/>
      <c r="J2036" s="52" t="n"/>
      <c r="K2036" s="47" t="n"/>
      <c r="L2036" s="47" t="n"/>
      <c r="M2036" s="24">
        <f>IF(OR($A2036="",$C2036=""),"",IF($L2036&lt;&gt;"",$L2036-$C2036,TODAY()-$C2036))</f>
        <v/>
      </c>
      <c r="N2036" s="28">
        <f>IF(OR($A2036="",$K2036=""),"",IF($L2036="",IF(TODAY()&gt;$K2036,"Atrasado","En ruta"),IF($L2036&lt;=$K2036,"Sí","No")))</f>
        <v/>
      </c>
      <c r="O2036" s="24">
        <f>IF($A2036="","",COUNTIFS(NOVEDADES!$D$4:$D$1503,$A2036))</f>
        <v/>
      </c>
      <c r="P2036" s="28">
        <f>IF($A2036="","",IF(COUNTIFS(NOVEDADES!$D$4:$D$1503,$A2036,NOVEDADES!$O$4:$O$1503,"SÍ")&gt;0,"No","Sí"))</f>
        <v/>
      </c>
      <c r="Q2036" s="28">
        <f>IF(OR($A2036="",$L2036=""),"",IF(AND($N2036="Sí",$P2036="Sí"),"OTIF","Falló"))</f>
        <v/>
      </c>
    </row>
    <row r="2037" ht="16" customHeight="1">
      <c r="A2037" s="48" t="n"/>
      <c r="B2037" s="48" t="n"/>
      <c r="C2037" s="47" t="n"/>
      <c r="D2037" s="50" t="n"/>
      <c r="E2037" s="50" t="n"/>
      <c r="F2037" s="50" t="n"/>
      <c r="G2037" s="50" t="n"/>
      <c r="H2037" s="48" t="n"/>
      <c r="I2037" s="51" t="n"/>
      <c r="J2037" s="52" t="n"/>
      <c r="K2037" s="47" t="n"/>
      <c r="L2037" s="47" t="n"/>
      <c r="M2037" s="24">
        <f>IF(OR($A2037="",$C2037=""),"",IF($L2037&lt;&gt;"",$L2037-$C2037,TODAY()-$C2037))</f>
        <v/>
      </c>
      <c r="N2037" s="28">
        <f>IF(OR($A2037="",$K2037=""),"",IF($L2037="",IF(TODAY()&gt;$K2037,"Atrasado","En ruta"),IF($L2037&lt;=$K2037,"Sí","No")))</f>
        <v/>
      </c>
      <c r="O2037" s="24">
        <f>IF($A2037="","",COUNTIFS(NOVEDADES!$D$4:$D$1503,$A2037))</f>
        <v/>
      </c>
      <c r="P2037" s="28">
        <f>IF($A2037="","",IF(COUNTIFS(NOVEDADES!$D$4:$D$1503,$A2037,NOVEDADES!$O$4:$O$1503,"SÍ")&gt;0,"No","Sí"))</f>
        <v/>
      </c>
      <c r="Q2037" s="28">
        <f>IF(OR($A2037="",$L2037=""),"",IF(AND($N2037="Sí",$P2037="Sí"),"OTIF","Falló"))</f>
        <v/>
      </c>
    </row>
    <row r="2038" ht="16" customHeight="1">
      <c r="A2038" s="48" t="n"/>
      <c r="B2038" s="48" t="n"/>
      <c r="C2038" s="47" t="n"/>
      <c r="D2038" s="50" t="n"/>
      <c r="E2038" s="50" t="n"/>
      <c r="F2038" s="50" t="n"/>
      <c r="G2038" s="50" t="n"/>
      <c r="H2038" s="48" t="n"/>
      <c r="I2038" s="51" t="n"/>
      <c r="J2038" s="52" t="n"/>
      <c r="K2038" s="47" t="n"/>
      <c r="L2038" s="47" t="n"/>
      <c r="M2038" s="24">
        <f>IF(OR($A2038="",$C2038=""),"",IF($L2038&lt;&gt;"",$L2038-$C2038,TODAY()-$C2038))</f>
        <v/>
      </c>
      <c r="N2038" s="28">
        <f>IF(OR($A2038="",$K2038=""),"",IF($L2038="",IF(TODAY()&gt;$K2038,"Atrasado","En ruta"),IF($L2038&lt;=$K2038,"Sí","No")))</f>
        <v/>
      </c>
      <c r="O2038" s="24">
        <f>IF($A2038="","",COUNTIFS(NOVEDADES!$D$4:$D$1503,$A2038))</f>
        <v/>
      </c>
      <c r="P2038" s="28">
        <f>IF($A2038="","",IF(COUNTIFS(NOVEDADES!$D$4:$D$1503,$A2038,NOVEDADES!$O$4:$O$1503,"SÍ")&gt;0,"No","Sí"))</f>
        <v/>
      </c>
      <c r="Q2038" s="28">
        <f>IF(OR($A2038="",$L2038=""),"",IF(AND($N2038="Sí",$P2038="Sí"),"OTIF","Falló"))</f>
        <v/>
      </c>
    </row>
    <row r="2039" ht="16" customHeight="1">
      <c r="A2039" s="48" t="n"/>
      <c r="B2039" s="48" t="n"/>
      <c r="C2039" s="47" t="n"/>
      <c r="D2039" s="50" t="n"/>
      <c r="E2039" s="50" t="n"/>
      <c r="F2039" s="50" t="n"/>
      <c r="G2039" s="50" t="n"/>
      <c r="H2039" s="48" t="n"/>
      <c r="I2039" s="51" t="n"/>
      <c r="J2039" s="52" t="n"/>
      <c r="K2039" s="47" t="n"/>
      <c r="L2039" s="47" t="n"/>
      <c r="M2039" s="24">
        <f>IF(OR($A2039="",$C2039=""),"",IF($L2039&lt;&gt;"",$L2039-$C2039,TODAY()-$C2039))</f>
        <v/>
      </c>
      <c r="N2039" s="28">
        <f>IF(OR($A2039="",$K2039=""),"",IF($L2039="",IF(TODAY()&gt;$K2039,"Atrasado","En ruta"),IF($L2039&lt;=$K2039,"Sí","No")))</f>
        <v/>
      </c>
      <c r="O2039" s="24">
        <f>IF($A2039="","",COUNTIFS(NOVEDADES!$D$4:$D$1503,$A2039))</f>
        <v/>
      </c>
      <c r="P2039" s="28">
        <f>IF($A2039="","",IF(COUNTIFS(NOVEDADES!$D$4:$D$1503,$A2039,NOVEDADES!$O$4:$O$1503,"SÍ")&gt;0,"No","Sí"))</f>
        <v/>
      </c>
      <c r="Q2039" s="28">
        <f>IF(OR($A2039="",$L2039=""),"",IF(AND($N2039="Sí",$P2039="Sí"),"OTIF","Falló"))</f>
        <v/>
      </c>
    </row>
    <row r="2040" ht="16" customHeight="1">
      <c r="A2040" s="48" t="n"/>
      <c r="B2040" s="48" t="n"/>
      <c r="C2040" s="47" t="n"/>
      <c r="D2040" s="50" t="n"/>
      <c r="E2040" s="50" t="n"/>
      <c r="F2040" s="50" t="n"/>
      <c r="G2040" s="50" t="n"/>
      <c r="H2040" s="48" t="n"/>
      <c r="I2040" s="51" t="n"/>
      <c r="J2040" s="52" t="n"/>
      <c r="K2040" s="47" t="n"/>
      <c r="L2040" s="47" t="n"/>
      <c r="M2040" s="24">
        <f>IF(OR($A2040="",$C2040=""),"",IF($L2040&lt;&gt;"",$L2040-$C2040,TODAY()-$C2040))</f>
        <v/>
      </c>
      <c r="N2040" s="28">
        <f>IF(OR($A2040="",$K2040=""),"",IF($L2040="",IF(TODAY()&gt;$K2040,"Atrasado","En ruta"),IF($L2040&lt;=$K2040,"Sí","No")))</f>
        <v/>
      </c>
      <c r="O2040" s="24">
        <f>IF($A2040="","",COUNTIFS(NOVEDADES!$D$4:$D$1503,$A2040))</f>
        <v/>
      </c>
      <c r="P2040" s="28">
        <f>IF($A2040="","",IF(COUNTIFS(NOVEDADES!$D$4:$D$1503,$A2040,NOVEDADES!$O$4:$O$1503,"SÍ")&gt;0,"No","Sí"))</f>
        <v/>
      </c>
      <c r="Q2040" s="28">
        <f>IF(OR($A2040="",$L2040=""),"",IF(AND($N2040="Sí",$P2040="Sí"),"OTIF","Falló"))</f>
        <v/>
      </c>
    </row>
    <row r="2041" ht="16" customHeight="1">
      <c r="A2041" s="48" t="n"/>
      <c r="B2041" s="48" t="n"/>
      <c r="C2041" s="47" t="n"/>
      <c r="D2041" s="50" t="n"/>
      <c r="E2041" s="50" t="n"/>
      <c r="F2041" s="50" t="n"/>
      <c r="G2041" s="50" t="n"/>
      <c r="H2041" s="48" t="n"/>
      <c r="I2041" s="51" t="n"/>
      <c r="J2041" s="52" t="n"/>
      <c r="K2041" s="47" t="n"/>
      <c r="L2041" s="47" t="n"/>
      <c r="M2041" s="24">
        <f>IF(OR($A2041="",$C2041=""),"",IF($L2041&lt;&gt;"",$L2041-$C2041,TODAY()-$C2041))</f>
        <v/>
      </c>
      <c r="N2041" s="28">
        <f>IF(OR($A2041="",$K2041=""),"",IF($L2041="",IF(TODAY()&gt;$K2041,"Atrasado","En ruta"),IF($L2041&lt;=$K2041,"Sí","No")))</f>
        <v/>
      </c>
      <c r="O2041" s="24">
        <f>IF($A2041="","",COUNTIFS(NOVEDADES!$D$4:$D$1503,$A2041))</f>
        <v/>
      </c>
      <c r="P2041" s="28">
        <f>IF($A2041="","",IF(COUNTIFS(NOVEDADES!$D$4:$D$1503,$A2041,NOVEDADES!$O$4:$O$1503,"SÍ")&gt;0,"No","Sí"))</f>
        <v/>
      </c>
      <c r="Q2041" s="28">
        <f>IF(OR($A2041="",$L2041=""),"",IF(AND($N2041="Sí",$P2041="Sí"),"OTIF","Falló"))</f>
        <v/>
      </c>
    </row>
    <row r="2042" ht="16" customHeight="1">
      <c r="A2042" s="48" t="n"/>
      <c r="B2042" s="48" t="n"/>
      <c r="C2042" s="47" t="n"/>
      <c r="D2042" s="50" t="n"/>
      <c r="E2042" s="50" t="n"/>
      <c r="F2042" s="50" t="n"/>
      <c r="G2042" s="50" t="n"/>
      <c r="H2042" s="48" t="n"/>
      <c r="I2042" s="51" t="n"/>
      <c r="J2042" s="52" t="n"/>
      <c r="K2042" s="47" t="n"/>
      <c r="L2042" s="47" t="n"/>
      <c r="M2042" s="24">
        <f>IF(OR($A2042="",$C2042=""),"",IF($L2042&lt;&gt;"",$L2042-$C2042,TODAY()-$C2042))</f>
        <v/>
      </c>
      <c r="N2042" s="28">
        <f>IF(OR($A2042="",$K2042=""),"",IF($L2042="",IF(TODAY()&gt;$K2042,"Atrasado","En ruta"),IF($L2042&lt;=$K2042,"Sí","No")))</f>
        <v/>
      </c>
      <c r="O2042" s="24">
        <f>IF($A2042="","",COUNTIFS(NOVEDADES!$D$4:$D$1503,$A2042))</f>
        <v/>
      </c>
      <c r="P2042" s="28">
        <f>IF($A2042="","",IF(COUNTIFS(NOVEDADES!$D$4:$D$1503,$A2042,NOVEDADES!$O$4:$O$1503,"SÍ")&gt;0,"No","Sí"))</f>
        <v/>
      </c>
      <c r="Q2042" s="28">
        <f>IF(OR($A2042="",$L2042=""),"",IF(AND($N2042="Sí",$P2042="Sí"),"OTIF","Falló"))</f>
        <v/>
      </c>
    </row>
    <row r="2043" ht="16" customHeight="1">
      <c r="A2043" s="48" t="n"/>
      <c r="B2043" s="48" t="n"/>
      <c r="C2043" s="47" t="n"/>
      <c r="D2043" s="50" t="n"/>
      <c r="E2043" s="50" t="n"/>
      <c r="F2043" s="50" t="n"/>
      <c r="G2043" s="50" t="n"/>
      <c r="H2043" s="48" t="n"/>
      <c r="I2043" s="51" t="n"/>
      <c r="J2043" s="52" t="n"/>
      <c r="K2043" s="47" t="n"/>
      <c r="L2043" s="47" t="n"/>
      <c r="M2043" s="24">
        <f>IF(OR($A2043="",$C2043=""),"",IF($L2043&lt;&gt;"",$L2043-$C2043,TODAY()-$C2043))</f>
        <v/>
      </c>
      <c r="N2043" s="28">
        <f>IF(OR($A2043="",$K2043=""),"",IF($L2043="",IF(TODAY()&gt;$K2043,"Atrasado","En ruta"),IF($L2043&lt;=$K2043,"Sí","No")))</f>
        <v/>
      </c>
      <c r="O2043" s="24">
        <f>IF($A2043="","",COUNTIFS(NOVEDADES!$D$4:$D$1503,$A2043))</f>
        <v/>
      </c>
      <c r="P2043" s="28">
        <f>IF($A2043="","",IF(COUNTIFS(NOVEDADES!$D$4:$D$1503,$A2043,NOVEDADES!$O$4:$O$1503,"SÍ")&gt;0,"No","Sí"))</f>
        <v/>
      </c>
      <c r="Q2043" s="28">
        <f>IF(OR($A2043="",$L2043=""),"",IF(AND($N2043="Sí",$P2043="Sí"),"OTIF","Falló"))</f>
        <v/>
      </c>
    </row>
    <row r="2044" ht="16" customHeight="1">
      <c r="A2044" s="48" t="n"/>
      <c r="B2044" s="48" t="n"/>
      <c r="C2044" s="47" t="n"/>
      <c r="D2044" s="50" t="n"/>
      <c r="E2044" s="50" t="n"/>
      <c r="F2044" s="50" t="n"/>
      <c r="G2044" s="50" t="n"/>
      <c r="H2044" s="48" t="n"/>
      <c r="I2044" s="51" t="n"/>
      <c r="J2044" s="52" t="n"/>
      <c r="K2044" s="47" t="n"/>
      <c r="L2044" s="47" t="n"/>
      <c r="M2044" s="24">
        <f>IF(OR($A2044="",$C2044=""),"",IF($L2044&lt;&gt;"",$L2044-$C2044,TODAY()-$C2044))</f>
        <v/>
      </c>
      <c r="N2044" s="28">
        <f>IF(OR($A2044="",$K2044=""),"",IF($L2044="",IF(TODAY()&gt;$K2044,"Atrasado","En ruta"),IF($L2044&lt;=$K2044,"Sí","No")))</f>
        <v/>
      </c>
      <c r="O2044" s="24">
        <f>IF($A2044="","",COUNTIFS(NOVEDADES!$D$4:$D$1503,$A2044))</f>
        <v/>
      </c>
      <c r="P2044" s="28">
        <f>IF($A2044="","",IF(COUNTIFS(NOVEDADES!$D$4:$D$1503,$A2044,NOVEDADES!$O$4:$O$1503,"SÍ")&gt;0,"No","Sí"))</f>
        <v/>
      </c>
      <c r="Q2044" s="28">
        <f>IF(OR($A2044="",$L2044=""),"",IF(AND($N2044="Sí",$P2044="Sí"),"OTIF","Falló"))</f>
        <v/>
      </c>
    </row>
    <row r="2045" ht="16" customHeight="1">
      <c r="A2045" s="48" t="n"/>
      <c r="B2045" s="48" t="n"/>
      <c r="C2045" s="47" t="n"/>
      <c r="D2045" s="50" t="n"/>
      <c r="E2045" s="50" t="n"/>
      <c r="F2045" s="50" t="n"/>
      <c r="G2045" s="50" t="n"/>
      <c r="H2045" s="48" t="n"/>
      <c r="I2045" s="51" t="n"/>
      <c r="J2045" s="52" t="n"/>
      <c r="K2045" s="47" t="n"/>
      <c r="L2045" s="47" t="n"/>
      <c r="M2045" s="24">
        <f>IF(OR($A2045="",$C2045=""),"",IF($L2045&lt;&gt;"",$L2045-$C2045,TODAY()-$C2045))</f>
        <v/>
      </c>
      <c r="N2045" s="28">
        <f>IF(OR($A2045="",$K2045=""),"",IF($L2045="",IF(TODAY()&gt;$K2045,"Atrasado","En ruta"),IF($L2045&lt;=$K2045,"Sí","No")))</f>
        <v/>
      </c>
      <c r="O2045" s="24">
        <f>IF($A2045="","",COUNTIFS(NOVEDADES!$D$4:$D$1503,$A2045))</f>
        <v/>
      </c>
      <c r="P2045" s="28">
        <f>IF($A2045="","",IF(COUNTIFS(NOVEDADES!$D$4:$D$1503,$A2045,NOVEDADES!$O$4:$O$1503,"SÍ")&gt;0,"No","Sí"))</f>
        <v/>
      </c>
      <c r="Q2045" s="28">
        <f>IF(OR($A2045="",$L2045=""),"",IF(AND($N2045="Sí",$P2045="Sí"),"OTIF","Falló"))</f>
        <v/>
      </c>
    </row>
    <row r="2046" ht="16" customHeight="1">
      <c r="A2046" s="48" t="n"/>
      <c r="B2046" s="48" t="n"/>
      <c r="C2046" s="47" t="n"/>
      <c r="D2046" s="50" t="n"/>
      <c r="E2046" s="50" t="n"/>
      <c r="F2046" s="50" t="n"/>
      <c r="G2046" s="50" t="n"/>
      <c r="H2046" s="48" t="n"/>
      <c r="I2046" s="51" t="n"/>
      <c r="J2046" s="52" t="n"/>
      <c r="K2046" s="47" t="n"/>
      <c r="L2046" s="47" t="n"/>
      <c r="M2046" s="24">
        <f>IF(OR($A2046="",$C2046=""),"",IF($L2046&lt;&gt;"",$L2046-$C2046,TODAY()-$C2046))</f>
        <v/>
      </c>
      <c r="N2046" s="28">
        <f>IF(OR($A2046="",$K2046=""),"",IF($L2046="",IF(TODAY()&gt;$K2046,"Atrasado","En ruta"),IF($L2046&lt;=$K2046,"Sí","No")))</f>
        <v/>
      </c>
      <c r="O2046" s="24">
        <f>IF($A2046="","",COUNTIFS(NOVEDADES!$D$4:$D$1503,$A2046))</f>
        <v/>
      </c>
      <c r="P2046" s="28">
        <f>IF($A2046="","",IF(COUNTIFS(NOVEDADES!$D$4:$D$1503,$A2046,NOVEDADES!$O$4:$O$1503,"SÍ")&gt;0,"No","Sí"))</f>
        <v/>
      </c>
      <c r="Q2046" s="28">
        <f>IF(OR($A2046="",$L2046=""),"",IF(AND($N2046="Sí",$P2046="Sí"),"OTIF","Falló"))</f>
        <v/>
      </c>
    </row>
    <row r="2047" ht="16" customHeight="1">
      <c r="A2047" s="48" t="n"/>
      <c r="B2047" s="48" t="n"/>
      <c r="C2047" s="47" t="n"/>
      <c r="D2047" s="50" t="n"/>
      <c r="E2047" s="50" t="n"/>
      <c r="F2047" s="50" t="n"/>
      <c r="G2047" s="50" t="n"/>
      <c r="H2047" s="48" t="n"/>
      <c r="I2047" s="51" t="n"/>
      <c r="J2047" s="52" t="n"/>
      <c r="K2047" s="47" t="n"/>
      <c r="L2047" s="47" t="n"/>
      <c r="M2047" s="24">
        <f>IF(OR($A2047="",$C2047=""),"",IF($L2047&lt;&gt;"",$L2047-$C2047,TODAY()-$C2047))</f>
        <v/>
      </c>
      <c r="N2047" s="28">
        <f>IF(OR($A2047="",$K2047=""),"",IF($L2047="",IF(TODAY()&gt;$K2047,"Atrasado","En ruta"),IF($L2047&lt;=$K2047,"Sí","No")))</f>
        <v/>
      </c>
      <c r="O2047" s="24">
        <f>IF($A2047="","",COUNTIFS(NOVEDADES!$D$4:$D$1503,$A2047))</f>
        <v/>
      </c>
      <c r="P2047" s="28">
        <f>IF($A2047="","",IF(COUNTIFS(NOVEDADES!$D$4:$D$1503,$A2047,NOVEDADES!$O$4:$O$1503,"SÍ")&gt;0,"No","Sí"))</f>
        <v/>
      </c>
      <c r="Q2047" s="28">
        <f>IF(OR($A2047="",$L2047=""),"",IF(AND($N2047="Sí",$P2047="Sí"),"OTIF","Falló"))</f>
        <v/>
      </c>
    </row>
    <row r="2048" ht="16" customHeight="1">
      <c r="A2048" s="48" t="n"/>
      <c r="B2048" s="48" t="n"/>
      <c r="C2048" s="47" t="n"/>
      <c r="D2048" s="50" t="n"/>
      <c r="E2048" s="50" t="n"/>
      <c r="F2048" s="50" t="n"/>
      <c r="G2048" s="50" t="n"/>
      <c r="H2048" s="48" t="n"/>
      <c r="I2048" s="51" t="n"/>
      <c r="J2048" s="52" t="n"/>
      <c r="K2048" s="47" t="n"/>
      <c r="L2048" s="47" t="n"/>
      <c r="M2048" s="24">
        <f>IF(OR($A2048="",$C2048=""),"",IF($L2048&lt;&gt;"",$L2048-$C2048,TODAY()-$C2048))</f>
        <v/>
      </c>
      <c r="N2048" s="28">
        <f>IF(OR($A2048="",$K2048=""),"",IF($L2048="",IF(TODAY()&gt;$K2048,"Atrasado","En ruta"),IF($L2048&lt;=$K2048,"Sí","No")))</f>
        <v/>
      </c>
      <c r="O2048" s="24">
        <f>IF($A2048="","",COUNTIFS(NOVEDADES!$D$4:$D$1503,$A2048))</f>
        <v/>
      </c>
      <c r="P2048" s="28">
        <f>IF($A2048="","",IF(COUNTIFS(NOVEDADES!$D$4:$D$1503,$A2048,NOVEDADES!$O$4:$O$1503,"SÍ")&gt;0,"No","Sí"))</f>
        <v/>
      </c>
      <c r="Q2048" s="28">
        <f>IF(OR($A2048="",$L2048=""),"",IF(AND($N2048="Sí",$P2048="Sí"),"OTIF","Falló"))</f>
        <v/>
      </c>
    </row>
    <row r="2049" ht="16" customHeight="1">
      <c r="A2049" s="48" t="n"/>
      <c r="B2049" s="48" t="n"/>
      <c r="C2049" s="47" t="n"/>
      <c r="D2049" s="50" t="n"/>
      <c r="E2049" s="50" t="n"/>
      <c r="F2049" s="50" t="n"/>
      <c r="G2049" s="50" t="n"/>
      <c r="H2049" s="48" t="n"/>
      <c r="I2049" s="51" t="n"/>
      <c r="J2049" s="52" t="n"/>
      <c r="K2049" s="47" t="n"/>
      <c r="L2049" s="47" t="n"/>
      <c r="M2049" s="24">
        <f>IF(OR($A2049="",$C2049=""),"",IF($L2049&lt;&gt;"",$L2049-$C2049,TODAY()-$C2049))</f>
        <v/>
      </c>
      <c r="N2049" s="28">
        <f>IF(OR($A2049="",$K2049=""),"",IF($L2049="",IF(TODAY()&gt;$K2049,"Atrasado","En ruta"),IF($L2049&lt;=$K2049,"Sí","No")))</f>
        <v/>
      </c>
      <c r="O2049" s="24">
        <f>IF($A2049="","",COUNTIFS(NOVEDADES!$D$4:$D$1503,$A2049))</f>
        <v/>
      </c>
      <c r="P2049" s="28">
        <f>IF($A2049="","",IF(COUNTIFS(NOVEDADES!$D$4:$D$1503,$A2049,NOVEDADES!$O$4:$O$1503,"SÍ")&gt;0,"No","Sí"))</f>
        <v/>
      </c>
      <c r="Q2049" s="28">
        <f>IF(OR($A2049="",$L2049=""),"",IF(AND($N2049="Sí",$P2049="Sí"),"OTIF","Falló"))</f>
        <v/>
      </c>
    </row>
    <row r="2050" ht="16" customHeight="1">
      <c r="A2050" s="48" t="n"/>
      <c r="B2050" s="48" t="n"/>
      <c r="C2050" s="47" t="n"/>
      <c r="D2050" s="50" t="n"/>
      <c r="E2050" s="50" t="n"/>
      <c r="F2050" s="50" t="n"/>
      <c r="G2050" s="50" t="n"/>
      <c r="H2050" s="48" t="n"/>
      <c r="I2050" s="51" t="n"/>
      <c r="J2050" s="52" t="n"/>
      <c r="K2050" s="47" t="n"/>
      <c r="L2050" s="47" t="n"/>
      <c r="M2050" s="24">
        <f>IF(OR($A2050="",$C2050=""),"",IF($L2050&lt;&gt;"",$L2050-$C2050,TODAY()-$C2050))</f>
        <v/>
      </c>
      <c r="N2050" s="28">
        <f>IF(OR($A2050="",$K2050=""),"",IF($L2050="",IF(TODAY()&gt;$K2050,"Atrasado","En ruta"),IF($L2050&lt;=$K2050,"Sí","No")))</f>
        <v/>
      </c>
      <c r="O2050" s="24">
        <f>IF($A2050="","",COUNTIFS(NOVEDADES!$D$4:$D$1503,$A2050))</f>
        <v/>
      </c>
      <c r="P2050" s="28">
        <f>IF($A2050="","",IF(COUNTIFS(NOVEDADES!$D$4:$D$1503,$A2050,NOVEDADES!$O$4:$O$1503,"SÍ")&gt;0,"No","Sí"))</f>
        <v/>
      </c>
      <c r="Q2050" s="28">
        <f>IF(OR($A2050="",$L2050=""),"",IF(AND($N2050="Sí",$P2050="Sí"),"OTIF","Falló"))</f>
        <v/>
      </c>
    </row>
    <row r="2051" ht="16" customHeight="1">
      <c r="A2051" s="48" t="n"/>
      <c r="B2051" s="48" t="n"/>
      <c r="C2051" s="47" t="n"/>
      <c r="D2051" s="50" t="n"/>
      <c r="E2051" s="50" t="n"/>
      <c r="F2051" s="50" t="n"/>
      <c r="G2051" s="50" t="n"/>
      <c r="H2051" s="48" t="n"/>
      <c r="I2051" s="51" t="n"/>
      <c r="J2051" s="52" t="n"/>
      <c r="K2051" s="47" t="n"/>
      <c r="L2051" s="47" t="n"/>
      <c r="M2051" s="24">
        <f>IF(OR($A2051="",$C2051=""),"",IF($L2051&lt;&gt;"",$L2051-$C2051,TODAY()-$C2051))</f>
        <v/>
      </c>
      <c r="N2051" s="28">
        <f>IF(OR($A2051="",$K2051=""),"",IF($L2051="",IF(TODAY()&gt;$K2051,"Atrasado","En ruta"),IF($L2051&lt;=$K2051,"Sí","No")))</f>
        <v/>
      </c>
      <c r="O2051" s="24">
        <f>IF($A2051="","",COUNTIFS(NOVEDADES!$D$4:$D$1503,$A2051))</f>
        <v/>
      </c>
      <c r="P2051" s="28">
        <f>IF($A2051="","",IF(COUNTIFS(NOVEDADES!$D$4:$D$1503,$A2051,NOVEDADES!$O$4:$O$1503,"SÍ")&gt;0,"No","Sí"))</f>
        <v/>
      </c>
      <c r="Q2051" s="28">
        <f>IF(OR($A2051="",$L2051=""),"",IF(AND($N2051="Sí",$P2051="Sí"),"OTIF","Falló"))</f>
        <v/>
      </c>
    </row>
    <row r="2052" ht="16" customHeight="1">
      <c r="A2052" s="48" t="n"/>
      <c r="B2052" s="48" t="n"/>
      <c r="C2052" s="47" t="n"/>
      <c r="D2052" s="50" t="n"/>
      <c r="E2052" s="50" t="n"/>
      <c r="F2052" s="50" t="n"/>
      <c r="G2052" s="50" t="n"/>
      <c r="H2052" s="48" t="n"/>
      <c r="I2052" s="51" t="n"/>
      <c r="J2052" s="52" t="n"/>
      <c r="K2052" s="47" t="n"/>
      <c r="L2052" s="47" t="n"/>
      <c r="M2052" s="24">
        <f>IF(OR($A2052="",$C2052=""),"",IF($L2052&lt;&gt;"",$L2052-$C2052,TODAY()-$C2052))</f>
        <v/>
      </c>
      <c r="N2052" s="28">
        <f>IF(OR($A2052="",$K2052=""),"",IF($L2052="",IF(TODAY()&gt;$K2052,"Atrasado","En ruta"),IF($L2052&lt;=$K2052,"Sí","No")))</f>
        <v/>
      </c>
      <c r="O2052" s="24">
        <f>IF($A2052="","",COUNTIFS(NOVEDADES!$D$4:$D$1503,$A2052))</f>
        <v/>
      </c>
      <c r="P2052" s="28">
        <f>IF($A2052="","",IF(COUNTIFS(NOVEDADES!$D$4:$D$1503,$A2052,NOVEDADES!$O$4:$O$1503,"SÍ")&gt;0,"No","Sí"))</f>
        <v/>
      </c>
      <c r="Q2052" s="28">
        <f>IF(OR($A2052="",$L2052=""),"",IF(AND($N2052="Sí",$P2052="Sí"),"OTIF","Falló"))</f>
        <v/>
      </c>
    </row>
    <row r="2053" ht="16" customHeight="1">
      <c r="A2053" s="48" t="n"/>
      <c r="B2053" s="48" t="n"/>
      <c r="C2053" s="47" t="n"/>
      <c r="D2053" s="50" t="n"/>
      <c r="E2053" s="50" t="n"/>
      <c r="F2053" s="50" t="n"/>
      <c r="G2053" s="50" t="n"/>
      <c r="H2053" s="48" t="n"/>
      <c r="I2053" s="51" t="n"/>
      <c r="J2053" s="52" t="n"/>
      <c r="K2053" s="47" t="n"/>
      <c r="L2053" s="47" t="n"/>
      <c r="M2053" s="24">
        <f>IF(OR($A2053="",$C2053=""),"",IF($L2053&lt;&gt;"",$L2053-$C2053,TODAY()-$C2053))</f>
        <v/>
      </c>
      <c r="N2053" s="28">
        <f>IF(OR($A2053="",$K2053=""),"",IF($L2053="",IF(TODAY()&gt;$K2053,"Atrasado","En ruta"),IF($L2053&lt;=$K2053,"Sí","No")))</f>
        <v/>
      </c>
      <c r="O2053" s="24">
        <f>IF($A2053="","",COUNTIFS(NOVEDADES!$D$4:$D$1503,$A2053))</f>
        <v/>
      </c>
      <c r="P2053" s="28">
        <f>IF($A2053="","",IF(COUNTIFS(NOVEDADES!$D$4:$D$1503,$A2053,NOVEDADES!$O$4:$O$1503,"SÍ")&gt;0,"No","Sí"))</f>
        <v/>
      </c>
      <c r="Q2053" s="28">
        <f>IF(OR($A2053="",$L2053=""),"",IF(AND($N2053="Sí",$P2053="Sí"),"OTIF","Falló"))</f>
        <v/>
      </c>
    </row>
    <row r="2054" ht="16" customHeight="1">
      <c r="A2054" s="48" t="n"/>
      <c r="B2054" s="48" t="n"/>
      <c r="C2054" s="47" t="n"/>
      <c r="D2054" s="50" t="n"/>
      <c r="E2054" s="50" t="n"/>
      <c r="F2054" s="50" t="n"/>
      <c r="G2054" s="50" t="n"/>
      <c r="H2054" s="48" t="n"/>
      <c r="I2054" s="51" t="n"/>
      <c r="J2054" s="52" t="n"/>
      <c r="K2054" s="47" t="n"/>
      <c r="L2054" s="47" t="n"/>
      <c r="M2054" s="24">
        <f>IF(OR($A2054="",$C2054=""),"",IF($L2054&lt;&gt;"",$L2054-$C2054,TODAY()-$C2054))</f>
        <v/>
      </c>
      <c r="N2054" s="28">
        <f>IF(OR($A2054="",$K2054=""),"",IF($L2054="",IF(TODAY()&gt;$K2054,"Atrasado","En ruta"),IF($L2054&lt;=$K2054,"Sí","No")))</f>
        <v/>
      </c>
      <c r="O2054" s="24">
        <f>IF($A2054="","",COUNTIFS(NOVEDADES!$D$4:$D$1503,$A2054))</f>
        <v/>
      </c>
      <c r="P2054" s="28">
        <f>IF($A2054="","",IF(COUNTIFS(NOVEDADES!$D$4:$D$1503,$A2054,NOVEDADES!$O$4:$O$1503,"SÍ")&gt;0,"No","Sí"))</f>
        <v/>
      </c>
      <c r="Q2054" s="28">
        <f>IF(OR($A2054="",$L2054=""),"",IF(AND($N2054="Sí",$P2054="Sí"),"OTIF","Falló"))</f>
        <v/>
      </c>
    </row>
    <row r="2055" ht="16" customHeight="1">
      <c r="A2055" s="48" t="n"/>
      <c r="B2055" s="48" t="n"/>
      <c r="C2055" s="47" t="n"/>
      <c r="D2055" s="50" t="n"/>
      <c r="E2055" s="50" t="n"/>
      <c r="F2055" s="50" t="n"/>
      <c r="G2055" s="50" t="n"/>
      <c r="H2055" s="48" t="n"/>
      <c r="I2055" s="51" t="n"/>
      <c r="J2055" s="52" t="n"/>
      <c r="K2055" s="47" t="n"/>
      <c r="L2055" s="47" t="n"/>
      <c r="M2055" s="24">
        <f>IF(OR($A2055="",$C2055=""),"",IF($L2055&lt;&gt;"",$L2055-$C2055,TODAY()-$C2055))</f>
        <v/>
      </c>
      <c r="N2055" s="28">
        <f>IF(OR($A2055="",$K2055=""),"",IF($L2055="",IF(TODAY()&gt;$K2055,"Atrasado","En ruta"),IF($L2055&lt;=$K2055,"Sí","No")))</f>
        <v/>
      </c>
      <c r="O2055" s="24">
        <f>IF($A2055="","",COUNTIFS(NOVEDADES!$D$4:$D$1503,$A2055))</f>
        <v/>
      </c>
      <c r="P2055" s="28">
        <f>IF($A2055="","",IF(COUNTIFS(NOVEDADES!$D$4:$D$1503,$A2055,NOVEDADES!$O$4:$O$1503,"SÍ")&gt;0,"No","Sí"))</f>
        <v/>
      </c>
      <c r="Q2055" s="28">
        <f>IF(OR($A2055="",$L2055=""),"",IF(AND($N2055="Sí",$P2055="Sí"),"OTIF","Falló"))</f>
        <v/>
      </c>
    </row>
    <row r="2056" ht="16" customHeight="1">
      <c r="A2056" s="48" t="n"/>
      <c r="B2056" s="48" t="n"/>
      <c r="C2056" s="47" t="n"/>
      <c r="D2056" s="50" t="n"/>
      <c r="E2056" s="50" t="n"/>
      <c r="F2056" s="50" t="n"/>
      <c r="G2056" s="50" t="n"/>
      <c r="H2056" s="48" t="n"/>
      <c r="I2056" s="51" t="n"/>
      <c r="J2056" s="52" t="n"/>
      <c r="K2056" s="47" t="n"/>
      <c r="L2056" s="47" t="n"/>
      <c r="M2056" s="24">
        <f>IF(OR($A2056="",$C2056=""),"",IF($L2056&lt;&gt;"",$L2056-$C2056,TODAY()-$C2056))</f>
        <v/>
      </c>
      <c r="N2056" s="28">
        <f>IF(OR($A2056="",$K2056=""),"",IF($L2056="",IF(TODAY()&gt;$K2056,"Atrasado","En ruta"),IF($L2056&lt;=$K2056,"Sí","No")))</f>
        <v/>
      </c>
      <c r="O2056" s="24">
        <f>IF($A2056="","",COUNTIFS(NOVEDADES!$D$4:$D$1503,$A2056))</f>
        <v/>
      </c>
      <c r="P2056" s="28">
        <f>IF($A2056="","",IF(COUNTIFS(NOVEDADES!$D$4:$D$1503,$A2056,NOVEDADES!$O$4:$O$1503,"SÍ")&gt;0,"No","Sí"))</f>
        <v/>
      </c>
      <c r="Q2056" s="28">
        <f>IF(OR($A2056="",$L2056=""),"",IF(AND($N2056="Sí",$P2056="Sí"),"OTIF","Falló"))</f>
        <v/>
      </c>
    </row>
    <row r="2057" ht="16" customHeight="1">
      <c r="A2057" s="48" t="n"/>
      <c r="B2057" s="48" t="n"/>
      <c r="C2057" s="47" t="n"/>
      <c r="D2057" s="50" t="n"/>
      <c r="E2057" s="50" t="n"/>
      <c r="F2057" s="50" t="n"/>
      <c r="G2057" s="50" t="n"/>
      <c r="H2057" s="48" t="n"/>
      <c r="I2057" s="51" t="n"/>
      <c r="J2057" s="52" t="n"/>
      <c r="K2057" s="47" t="n"/>
      <c r="L2057" s="47" t="n"/>
      <c r="M2057" s="24">
        <f>IF(OR($A2057="",$C2057=""),"",IF($L2057&lt;&gt;"",$L2057-$C2057,TODAY()-$C2057))</f>
        <v/>
      </c>
      <c r="N2057" s="28">
        <f>IF(OR($A2057="",$K2057=""),"",IF($L2057="",IF(TODAY()&gt;$K2057,"Atrasado","En ruta"),IF($L2057&lt;=$K2057,"Sí","No")))</f>
        <v/>
      </c>
      <c r="O2057" s="24">
        <f>IF($A2057="","",COUNTIFS(NOVEDADES!$D$4:$D$1503,$A2057))</f>
        <v/>
      </c>
      <c r="P2057" s="28">
        <f>IF($A2057="","",IF(COUNTIFS(NOVEDADES!$D$4:$D$1503,$A2057,NOVEDADES!$O$4:$O$1503,"SÍ")&gt;0,"No","Sí"))</f>
        <v/>
      </c>
      <c r="Q2057" s="28">
        <f>IF(OR($A2057="",$L2057=""),"",IF(AND($N2057="Sí",$P2057="Sí"),"OTIF","Falló"))</f>
        <v/>
      </c>
    </row>
    <row r="2058" ht="16" customHeight="1">
      <c r="A2058" s="48" t="n"/>
      <c r="B2058" s="48" t="n"/>
      <c r="C2058" s="47" t="n"/>
      <c r="D2058" s="50" t="n"/>
      <c r="E2058" s="50" t="n"/>
      <c r="F2058" s="50" t="n"/>
      <c r="G2058" s="50" t="n"/>
      <c r="H2058" s="48" t="n"/>
      <c r="I2058" s="51" t="n"/>
      <c r="J2058" s="52" t="n"/>
      <c r="K2058" s="47" t="n"/>
      <c r="L2058" s="47" t="n"/>
      <c r="M2058" s="24">
        <f>IF(OR($A2058="",$C2058=""),"",IF($L2058&lt;&gt;"",$L2058-$C2058,TODAY()-$C2058))</f>
        <v/>
      </c>
      <c r="N2058" s="28">
        <f>IF(OR($A2058="",$K2058=""),"",IF($L2058="",IF(TODAY()&gt;$K2058,"Atrasado","En ruta"),IF($L2058&lt;=$K2058,"Sí","No")))</f>
        <v/>
      </c>
      <c r="O2058" s="24">
        <f>IF($A2058="","",COUNTIFS(NOVEDADES!$D$4:$D$1503,$A2058))</f>
        <v/>
      </c>
      <c r="P2058" s="28">
        <f>IF($A2058="","",IF(COUNTIFS(NOVEDADES!$D$4:$D$1503,$A2058,NOVEDADES!$O$4:$O$1503,"SÍ")&gt;0,"No","Sí"))</f>
        <v/>
      </c>
      <c r="Q2058" s="28">
        <f>IF(OR($A2058="",$L2058=""),"",IF(AND($N2058="Sí",$P2058="Sí"),"OTIF","Falló"))</f>
        <v/>
      </c>
    </row>
    <row r="2059" ht="16" customHeight="1">
      <c r="A2059" s="48" t="n"/>
      <c r="B2059" s="48" t="n"/>
      <c r="C2059" s="47" t="n"/>
      <c r="D2059" s="50" t="n"/>
      <c r="E2059" s="50" t="n"/>
      <c r="F2059" s="50" t="n"/>
      <c r="G2059" s="50" t="n"/>
      <c r="H2059" s="48" t="n"/>
      <c r="I2059" s="51" t="n"/>
      <c r="J2059" s="52" t="n"/>
      <c r="K2059" s="47" t="n"/>
      <c r="L2059" s="47" t="n"/>
      <c r="M2059" s="24">
        <f>IF(OR($A2059="",$C2059=""),"",IF($L2059&lt;&gt;"",$L2059-$C2059,TODAY()-$C2059))</f>
        <v/>
      </c>
      <c r="N2059" s="28">
        <f>IF(OR($A2059="",$K2059=""),"",IF($L2059="",IF(TODAY()&gt;$K2059,"Atrasado","En ruta"),IF($L2059&lt;=$K2059,"Sí","No")))</f>
        <v/>
      </c>
      <c r="O2059" s="24">
        <f>IF($A2059="","",COUNTIFS(NOVEDADES!$D$4:$D$1503,$A2059))</f>
        <v/>
      </c>
      <c r="P2059" s="28">
        <f>IF($A2059="","",IF(COUNTIFS(NOVEDADES!$D$4:$D$1503,$A2059,NOVEDADES!$O$4:$O$1503,"SÍ")&gt;0,"No","Sí"))</f>
        <v/>
      </c>
      <c r="Q2059" s="28">
        <f>IF(OR($A2059="",$L2059=""),"",IF(AND($N2059="Sí",$P2059="Sí"),"OTIF","Falló"))</f>
        <v/>
      </c>
    </row>
    <row r="2060" ht="16" customHeight="1">
      <c r="A2060" s="48" t="n"/>
      <c r="B2060" s="48" t="n"/>
      <c r="C2060" s="47" t="n"/>
      <c r="D2060" s="50" t="n"/>
      <c r="E2060" s="50" t="n"/>
      <c r="F2060" s="50" t="n"/>
      <c r="G2060" s="50" t="n"/>
      <c r="H2060" s="48" t="n"/>
      <c r="I2060" s="51" t="n"/>
      <c r="J2060" s="52" t="n"/>
      <c r="K2060" s="47" t="n"/>
      <c r="L2060" s="47" t="n"/>
      <c r="M2060" s="24">
        <f>IF(OR($A2060="",$C2060=""),"",IF($L2060&lt;&gt;"",$L2060-$C2060,TODAY()-$C2060))</f>
        <v/>
      </c>
      <c r="N2060" s="28">
        <f>IF(OR($A2060="",$K2060=""),"",IF($L2060="",IF(TODAY()&gt;$K2060,"Atrasado","En ruta"),IF($L2060&lt;=$K2060,"Sí","No")))</f>
        <v/>
      </c>
      <c r="O2060" s="24">
        <f>IF($A2060="","",COUNTIFS(NOVEDADES!$D$4:$D$1503,$A2060))</f>
        <v/>
      </c>
      <c r="P2060" s="28">
        <f>IF($A2060="","",IF(COUNTIFS(NOVEDADES!$D$4:$D$1503,$A2060,NOVEDADES!$O$4:$O$1503,"SÍ")&gt;0,"No","Sí"))</f>
        <v/>
      </c>
      <c r="Q2060" s="28">
        <f>IF(OR($A2060="",$L2060=""),"",IF(AND($N2060="Sí",$P2060="Sí"),"OTIF","Falló"))</f>
        <v/>
      </c>
    </row>
    <row r="2061" ht="16" customHeight="1">
      <c r="A2061" s="48" t="n"/>
      <c r="B2061" s="48" t="n"/>
      <c r="C2061" s="47" t="n"/>
      <c r="D2061" s="50" t="n"/>
      <c r="E2061" s="50" t="n"/>
      <c r="F2061" s="50" t="n"/>
      <c r="G2061" s="50" t="n"/>
      <c r="H2061" s="48" t="n"/>
      <c r="I2061" s="51" t="n"/>
      <c r="J2061" s="52" t="n"/>
      <c r="K2061" s="47" t="n"/>
      <c r="L2061" s="47" t="n"/>
      <c r="M2061" s="24">
        <f>IF(OR($A2061="",$C2061=""),"",IF($L2061&lt;&gt;"",$L2061-$C2061,TODAY()-$C2061))</f>
        <v/>
      </c>
      <c r="N2061" s="28">
        <f>IF(OR($A2061="",$K2061=""),"",IF($L2061="",IF(TODAY()&gt;$K2061,"Atrasado","En ruta"),IF($L2061&lt;=$K2061,"Sí","No")))</f>
        <v/>
      </c>
      <c r="O2061" s="24">
        <f>IF($A2061="","",COUNTIFS(NOVEDADES!$D$4:$D$1503,$A2061))</f>
        <v/>
      </c>
      <c r="P2061" s="28">
        <f>IF($A2061="","",IF(COUNTIFS(NOVEDADES!$D$4:$D$1503,$A2061,NOVEDADES!$O$4:$O$1503,"SÍ")&gt;0,"No","Sí"))</f>
        <v/>
      </c>
      <c r="Q2061" s="28">
        <f>IF(OR($A2061="",$L2061=""),"",IF(AND($N2061="Sí",$P2061="Sí"),"OTIF","Falló"))</f>
        <v/>
      </c>
    </row>
    <row r="2062" ht="16" customHeight="1">
      <c r="A2062" s="48" t="n"/>
      <c r="B2062" s="48" t="n"/>
      <c r="C2062" s="47" t="n"/>
      <c r="D2062" s="50" t="n"/>
      <c r="E2062" s="50" t="n"/>
      <c r="F2062" s="50" t="n"/>
      <c r="G2062" s="50" t="n"/>
      <c r="H2062" s="48" t="n"/>
      <c r="I2062" s="51" t="n"/>
      <c r="J2062" s="52" t="n"/>
      <c r="K2062" s="47" t="n"/>
      <c r="L2062" s="47" t="n"/>
      <c r="M2062" s="24">
        <f>IF(OR($A2062="",$C2062=""),"",IF($L2062&lt;&gt;"",$L2062-$C2062,TODAY()-$C2062))</f>
        <v/>
      </c>
      <c r="N2062" s="28">
        <f>IF(OR($A2062="",$K2062=""),"",IF($L2062="",IF(TODAY()&gt;$K2062,"Atrasado","En ruta"),IF($L2062&lt;=$K2062,"Sí","No")))</f>
        <v/>
      </c>
      <c r="O2062" s="24">
        <f>IF($A2062="","",COUNTIFS(NOVEDADES!$D$4:$D$1503,$A2062))</f>
        <v/>
      </c>
      <c r="P2062" s="28">
        <f>IF($A2062="","",IF(COUNTIFS(NOVEDADES!$D$4:$D$1503,$A2062,NOVEDADES!$O$4:$O$1503,"SÍ")&gt;0,"No","Sí"))</f>
        <v/>
      </c>
      <c r="Q2062" s="28">
        <f>IF(OR($A2062="",$L2062=""),"",IF(AND($N2062="Sí",$P2062="Sí"),"OTIF","Falló"))</f>
        <v/>
      </c>
    </row>
    <row r="2063" ht="16" customHeight="1">
      <c r="A2063" s="48" t="n"/>
      <c r="B2063" s="48" t="n"/>
      <c r="C2063" s="47" t="n"/>
      <c r="D2063" s="50" t="n"/>
      <c r="E2063" s="50" t="n"/>
      <c r="F2063" s="50" t="n"/>
      <c r="G2063" s="50" t="n"/>
      <c r="H2063" s="48" t="n"/>
      <c r="I2063" s="51" t="n"/>
      <c r="J2063" s="52" t="n"/>
      <c r="K2063" s="47" t="n"/>
      <c r="L2063" s="47" t="n"/>
      <c r="M2063" s="24">
        <f>IF(OR($A2063="",$C2063=""),"",IF($L2063&lt;&gt;"",$L2063-$C2063,TODAY()-$C2063))</f>
        <v/>
      </c>
      <c r="N2063" s="28">
        <f>IF(OR($A2063="",$K2063=""),"",IF($L2063="",IF(TODAY()&gt;$K2063,"Atrasado","En ruta"),IF($L2063&lt;=$K2063,"Sí","No")))</f>
        <v/>
      </c>
      <c r="O2063" s="24">
        <f>IF($A2063="","",COUNTIFS(NOVEDADES!$D$4:$D$1503,$A2063))</f>
        <v/>
      </c>
      <c r="P2063" s="28">
        <f>IF($A2063="","",IF(COUNTIFS(NOVEDADES!$D$4:$D$1503,$A2063,NOVEDADES!$O$4:$O$1503,"SÍ")&gt;0,"No","Sí"))</f>
        <v/>
      </c>
      <c r="Q2063" s="28">
        <f>IF(OR($A2063="",$L2063=""),"",IF(AND($N2063="Sí",$P2063="Sí"),"OTIF","Falló"))</f>
        <v/>
      </c>
    </row>
    <row r="2064" ht="16" customHeight="1">
      <c r="A2064" s="48" t="n"/>
      <c r="B2064" s="48" t="n"/>
      <c r="C2064" s="47" t="n"/>
      <c r="D2064" s="50" t="n"/>
      <c r="E2064" s="50" t="n"/>
      <c r="F2064" s="50" t="n"/>
      <c r="G2064" s="50" t="n"/>
      <c r="H2064" s="48" t="n"/>
      <c r="I2064" s="51" t="n"/>
      <c r="J2064" s="52" t="n"/>
      <c r="K2064" s="47" t="n"/>
      <c r="L2064" s="47" t="n"/>
      <c r="M2064" s="24">
        <f>IF(OR($A2064="",$C2064=""),"",IF($L2064&lt;&gt;"",$L2064-$C2064,TODAY()-$C2064))</f>
        <v/>
      </c>
      <c r="N2064" s="28">
        <f>IF(OR($A2064="",$K2064=""),"",IF($L2064="",IF(TODAY()&gt;$K2064,"Atrasado","En ruta"),IF($L2064&lt;=$K2064,"Sí","No")))</f>
        <v/>
      </c>
      <c r="O2064" s="24">
        <f>IF($A2064="","",COUNTIFS(NOVEDADES!$D$4:$D$1503,$A2064))</f>
        <v/>
      </c>
      <c r="P2064" s="28">
        <f>IF($A2064="","",IF(COUNTIFS(NOVEDADES!$D$4:$D$1503,$A2064,NOVEDADES!$O$4:$O$1503,"SÍ")&gt;0,"No","Sí"))</f>
        <v/>
      </c>
      <c r="Q2064" s="28">
        <f>IF(OR($A2064="",$L2064=""),"",IF(AND($N2064="Sí",$P2064="Sí"),"OTIF","Falló"))</f>
        <v/>
      </c>
    </row>
    <row r="2065" ht="16" customHeight="1">
      <c r="A2065" s="48" t="n"/>
      <c r="B2065" s="48" t="n"/>
      <c r="C2065" s="47" t="n"/>
      <c r="D2065" s="50" t="n"/>
      <c r="E2065" s="50" t="n"/>
      <c r="F2065" s="50" t="n"/>
      <c r="G2065" s="50" t="n"/>
      <c r="H2065" s="48" t="n"/>
      <c r="I2065" s="51" t="n"/>
      <c r="J2065" s="52" t="n"/>
      <c r="K2065" s="47" t="n"/>
      <c r="L2065" s="47" t="n"/>
      <c r="M2065" s="24">
        <f>IF(OR($A2065="",$C2065=""),"",IF($L2065&lt;&gt;"",$L2065-$C2065,TODAY()-$C2065))</f>
        <v/>
      </c>
      <c r="N2065" s="28">
        <f>IF(OR($A2065="",$K2065=""),"",IF($L2065="",IF(TODAY()&gt;$K2065,"Atrasado","En ruta"),IF($L2065&lt;=$K2065,"Sí","No")))</f>
        <v/>
      </c>
      <c r="O2065" s="24">
        <f>IF($A2065="","",COUNTIFS(NOVEDADES!$D$4:$D$1503,$A2065))</f>
        <v/>
      </c>
      <c r="P2065" s="28">
        <f>IF($A2065="","",IF(COUNTIFS(NOVEDADES!$D$4:$D$1503,$A2065,NOVEDADES!$O$4:$O$1503,"SÍ")&gt;0,"No","Sí"))</f>
        <v/>
      </c>
      <c r="Q2065" s="28">
        <f>IF(OR($A2065="",$L2065=""),"",IF(AND($N2065="Sí",$P2065="Sí"),"OTIF","Falló"))</f>
        <v/>
      </c>
    </row>
    <row r="2066" ht="16" customHeight="1">
      <c r="A2066" s="48" t="n"/>
      <c r="B2066" s="48" t="n"/>
      <c r="C2066" s="47" t="n"/>
      <c r="D2066" s="50" t="n"/>
      <c r="E2066" s="50" t="n"/>
      <c r="F2066" s="50" t="n"/>
      <c r="G2066" s="50" t="n"/>
      <c r="H2066" s="48" t="n"/>
      <c r="I2066" s="51" t="n"/>
      <c r="J2066" s="52" t="n"/>
      <c r="K2066" s="47" t="n"/>
      <c r="L2066" s="47" t="n"/>
      <c r="M2066" s="24">
        <f>IF(OR($A2066="",$C2066=""),"",IF($L2066&lt;&gt;"",$L2066-$C2066,TODAY()-$C2066))</f>
        <v/>
      </c>
      <c r="N2066" s="28">
        <f>IF(OR($A2066="",$K2066=""),"",IF($L2066="",IF(TODAY()&gt;$K2066,"Atrasado","En ruta"),IF($L2066&lt;=$K2066,"Sí","No")))</f>
        <v/>
      </c>
      <c r="O2066" s="24">
        <f>IF($A2066="","",COUNTIFS(NOVEDADES!$D$4:$D$1503,$A2066))</f>
        <v/>
      </c>
      <c r="P2066" s="28">
        <f>IF($A2066="","",IF(COUNTIFS(NOVEDADES!$D$4:$D$1503,$A2066,NOVEDADES!$O$4:$O$1503,"SÍ")&gt;0,"No","Sí"))</f>
        <v/>
      </c>
      <c r="Q2066" s="28">
        <f>IF(OR($A2066="",$L2066=""),"",IF(AND($N2066="Sí",$P2066="Sí"),"OTIF","Falló"))</f>
        <v/>
      </c>
    </row>
    <row r="2067" ht="16" customHeight="1">
      <c r="A2067" s="48" t="n"/>
      <c r="B2067" s="48" t="n"/>
      <c r="C2067" s="47" t="n"/>
      <c r="D2067" s="50" t="n"/>
      <c r="E2067" s="50" t="n"/>
      <c r="F2067" s="50" t="n"/>
      <c r="G2067" s="50" t="n"/>
      <c r="H2067" s="48" t="n"/>
      <c r="I2067" s="51" t="n"/>
      <c r="J2067" s="52" t="n"/>
      <c r="K2067" s="47" t="n"/>
      <c r="L2067" s="47" t="n"/>
      <c r="M2067" s="24">
        <f>IF(OR($A2067="",$C2067=""),"",IF($L2067&lt;&gt;"",$L2067-$C2067,TODAY()-$C2067))</f>
        <v/>
      </c>
      <c r="N2067" s="28">
        <f>IF(OR($A2067="",$K2067=""),"",IF($L2067="",IF(TODAY()&gt;$K2067,"Atrasado","En ruta"),IF($L2067&lt;=$K2067,"Sí","No")))</f>
        <v/>
      </c>
      <c r="O2067" s="24">
        <f>IF($A2067="","",COUNTIFS(NOVEDADES!$D$4:$D$1503,$A2067))</f>
        <v/>
      </c>
      <c r="P2067" s="28">
        <f>IF($A2067="","",IF(COUNTIFS(NOVEDADES!$D$4:$D$1503,$A2067,NOVEDADES!$O$4:$O$1503,"SÍ")&gt;0,"No","Sí"))</f>
        <v/>
      </c>
      <c r="Q2067" s="28">
        <f>IF(OR($A2067="",$L2067=""),"",IF(AND($N2067="Sí",$P2067="Sí"),"OTIF","Falló"))</f>
        <v/>
      </c>
    </row>
    <row r="2068" ht="16" customHeight="1">
      <c r="A2068" s="48" t="n"/>
      <c r="B2068" s="48" t="n"/>
      <c r="C2068" s="47" t="n"/>
      <c r="D2068" s="50" t="n"/>
      <c r="E2068" s="50" t="n"/>
      <c r="F2068" s="50" t="n"/>
      <c r="G2068" s="50" t="n"/>
      <c r="H2068" s="48" t="n"/>
      <c r="I2068" s="51" t="n"/>
      <c r="J2068" s="52" t="n"/>
      <c r="K2068" s="47" t="n"/>
      <c r="L2068" s="47" t="n"/>
      <c r="M2068" s="24">
        <f>IF(OR($A2068="",$C2068=""),"",IF($L2068&lt;&gt;"",$L2068-$C2068,TODAY()-$C2068))</f>
        <v/>
      </c>
      <c r="N2068" s="28">
        <f>IF(OR($A2068="",$K2068=""),"",IF($L2068="",IF(TODAY()&gt;$K2068,"Atrasado","En ruta"),IF($L2068&lt;=$K2068,"Sí","No")))</f>
        <v/>
      </c>
      <c r="O2068" s="24">
        <f>IF($A2068="","",COUNTIFS(NOVEDADES!$D$4:$D$1503,$A2068))</f>
        <v/>
      </c>
      <c r="P2068" s="28">
        <f>IF($A2068="","",IF(COUNTIFS(NOVEDADES!$D$4:$D$1503,$A2068,NOVEDADES!$O$4:$O$1503,"SÍ")&gt;0,"No","Sí"))</f>
        <v/>
      </c>
      <c r="Q2068" s="28">
        <f>IF(OR($A2068="",$L2068=""),"",IF(AND($N2068="Sí",$P2068="Sí"),"OTIF","Falló"))</f>
        <v/>
      </c>
    </row>
    <row r="2069" ht="16" customHeight="1">
      <c r="A2069" s="48" t="n"/>
      <c r="B2069" s="48" t="n"/>
      <c r="C2069" s="47" t="n"/>
      <c r="D2069" s="50" t="n"/>
      <c r="E2069" s="50" t="n"/>
      <c r="F2069" s="50" t="n"/>
      <c r="G2069" s="50" t="n"/>
      <c r="H2069" s="48" t="n"/>
      <c r="I2069" s="51" t="n"/>
      <c r="J2069" s="52" t="n"/>
      <c r="K2069" s="47" t="n"/>
      <c r="L2069" s="47" t="n"/>
      <c r="M2069" s="24">
        <f>IF(OR($A2069="",$C2069=""),"",IF($L2069&lt;&gt;"",$L2069-$C2069,TODAY()-$C2069))</f>
        <v/>
      </c>
      <c r="N2069" s="28">
        <f>IF(OR($A2069="",$K2069=""),"",IF($L2069="",IF(TODAY()&gt;$K2069,"Atrasado","En ruta"),IF($L2069&lt;=$K2069,"Sí","No")))</f>
        <v/>
      </c>
      <c r="O2069" s="24">
        <f>IF($A2069="","",COUNTIFS(NOVEDADES!$D$4:$D$1503,$A2069))</f>
        <v/>
      </c>
      <c r="P2069" s="28">
        <f>IF($A2069="","",IF(COUNTIFS(NOVEDADES!$D$4:$D$1503,$A2069,NOVEDADES!$O$4:$O$1503,"SÍ")&gt;0,"No","Sí"))</f>
        <v/>
      </c>
      <c r="Q2069" s="28">
        <f>IF(OR($A2069="",$L2069=""),"",IF(AND($N2069="Sí",$P2069="Sí"),"OTIF","Falló"))</f>
        <v/>
      </c>
    </row>
    <row r="2070" ht="16" customHeight="1">
      <c r="A2070" s="48" t="n"/>
      <c r="B2070" s="48" t="n"/>
      <c r="C2070" s="47" t="n"/>
      <c r="D2070" s="50" t="n"/>
      <c r="E2070" s="50" t="n"/>
      <c r="F2070" s="50" t="n"/>
      <c r="G2070" s="50" t="n"/>
      <c r="H2070" s="48" t="n"/>
      <c r="I2070" s="51" t="n"/>
      <c r="J2070" s="52" t="n"/>
      <c r="K2070" s="47" t="n"/>
      <c r="L2070" s="47" t="n"/>
      <c r="M2070" s="24">
        <f>IF(OR($A2070="",$C2070=""),"",IF($L2070&lt;&gt;"",$L2070-$C2070,TODAY()-$C2070))</f>
        <v/>
      </c>
      <c r="N2070" s="28">
        <f>IF(OR($A2070="",$K2070=""),"",IF($L2070="",IF(TODAY()&gt;$K2070,"Atrasado","En ruta"),IF($L2070&lt;=$K2070,"Sí","No")))</f>
        <v/>
      </c>
      <c r="O2070" s="24">
        <f>IF($A2070="","",COUNTIFS(NOVEDADES!$D$4:$D$1503,$A2070))</f>
        <v/>
      </c>
      <c r="P2070" s="28">
        <f>IF($A2070="","",IF(COUNTIFS(NOVEDADES!$D$4:$D$1503,$A2070,NOVEDADES!$O$4:$O$1503,"SÍ")&gt;0,"No","Sí"))</f>
        <v/>
      </c>
      <c r="Q2070" s="28">
        <f>IF(OR($A2070="",$L2070=""),"",IF(AND($N2070="Sí",$P2070="Sí"),"OTIF","Falló"))</f>
        <v/>
      </c>
    </row>
    <row r="2071" ht="16" customHeight="1">
      <c r="A2071" s="48" t="n"/>
      <c r="B2071" s="48" t="n"/>
      <c r="C2071" s="47" t="n"/>
      <c r="D2071" s="50" t="n"/>
      <c r="E2071" s="50" t="n"/>
      <c r="F2071" s="50" t="n"/>
      <c r="G2071" s="50" t="n"/>
      <c r="H2071" s="48" t="n"/>
      <c r="I2071" s="51" t="n"/>
      <c r="J2071" s="52" t="n"/>
      <c r="K2071" s="47" t="n"/>
      <c r="L2071" s="47" t="n"/>
      <c r="M2071" s="24">
        <f>IF(OR($A2071="",$C2071=""),"",IF($L2071&lt;&gt;"",$L2071-$C2071,TODAY()-$C2071))</f>
        <v/>
      </c>
      <c r="N2071" s="28">
        <f>IF(OR($A2071="",$K2071=""),"",IF($L2071="",IF(TODAY()&gt;$K2071,"Atrasado","En ruta"),IF($L2071&lt;=$K2071,"Sí","No")))</f>
        <v/>
      </c>
      <c r="O2071" s="24">
        <f>IF($A2071="","",COUNTIFS(NOVEDADES!$D$4:$D$1503,$A2071))</f>
        <v/>
      </c>
      <c r="P2071" s="28">
        <f>IF($A2071="","",IF(COUNTIFS(NOVEDADES!$D$4:$D$1503,$A2071,NOVEDADES!$O$4:$O$1503,"SÍ")&gt;0,"No","Sí"))</f>
        <v/>
      </c>
      <c r="Q2071" s="28">
        <f>IF(OR($A2071="",$L2071=""),"",IF(AND($N2071="Sí",$P2071="Sí"),"OTIF","Falló"))</f>
        <v/>
      </c>
    </row>
    <row r="2072" ht="16" customHeight="1">
      <c r="A2072" s="48" t="n"/>
      <c r="B2072" s="48" t="n"/>
      <c r="C2072" s="47" t="n"/>
      <c r="D2072" s="50" t="n"/>
      <c r="E2072" s="50" t="n"/>
      <c r="F2072" s="50" t="n"/>
      <c r="G2072" s="50" t="n"/>
      <c r="H2072" s="48" t="n"/>
      <c r="I2072" s="51" t="n"/>
      <c r="J2072" s="52" t="n"/>
      <c r="K2072" s="47" t="n"/>
      <c r="L2072" s="47" t="n"/>
      <c r="M2072" s="24">
        <f>IF(OR($A2072="",$C2072=""),"",IF($L2072&lt;&gt;"",$L2072-$C2072,TODAY()-$C2072))</f>
        <v/>
      </c>
      <c r="N2072" s="28">
        <f>IF(OR($A2072="",$K2072=""),"",IF($L2072="",IF(TODAY()&gt;$K2072,"Atrasado","En ruta"),IF($L2072&lt;=$K2072,"Sí","No")))</f>
        <v/>
      </c>
      <c r="O2072" s="24">
        <f>IF($A2072="","",COUNTIFS(NOVEDADES!$D$4:$D$1503,$A2072))</f>
        <v/>
      </c>
      <c r="P2072" s="28">
        <f>IF($A2072="","",IF(COUNTIFS(NOVEDADES!$D$4:$D$1503,$A2072,NOVEDADES!$O$4:$O$1503,"SÍ")&gt;0,"No","Sí"))</f>
        <v/>
      </c>
      <c r="Q2072" s="28">
        <f>IF(OR($A2072="",$L2072=""),"",IF(AND($N2072="Sí",$P2072="Sí"),"OTIF","Falló"))</f>
        <v/>
      </c>
    </row>
    <row r="2073" ht="16" customHeight="1">
      <c r="A2073" s="48" t="n"/>
      <c r="B2073" s="48" t="n"/>
      <c r="C2073" s="47" t="n"/>
      <c r="D2073" s="50" t="n"/>
      <c r="E2073" s="50" t="n"/>
      <c r="F2073" s="50" t="n"/>
      <c r="G2073" s="50" t="n"/>
      <c r="H2073" s="48" t="n"/>
      <c r="I2073" s="51" t="n"/>
      <c r="J2073" s="52" t="n"/>
      <c r="K2073" s="47" t="n"/>
      <c r="L2073" s="47" t="n"/>
      <c r="M2073" s="24">
        <f>IF(OR($A2073="",$C2073=""),"",IF($L2073&lt;&gt;"",$L2073-$C2073,TODAY()-$C2073))</f>
        <v/>
      </c>
      <c r="N2073" s="28">
        <f>IF(OR($A2073="",$K2073=""),"",IF($L2073="",IF(TODAY()&gt;$K2073,"Atrasado","En ruta"),IF($L2073&lt;=$K2073,"Sí","No")))</f>
        <v/>
      </c>
      <c r="O2073" s="24">
        <f>IF($A2073="","",COUNTIFS(NOVEDADES!$D$4:$D$1503,$A2073))</f>
        <v/>
      </c>
      <c r="P2073" s="28">
        <f>IF($A2073="","",IF(COUNTIFS(NOVEDADES!$D$4:$D$1503,$A2073,NOVEDADES!$O$4:$O$1503,"SÍ")&gt;0,"No","Sí"))</f>
        <v/>
      </c>
      <c r="Q2073" s="28">
        <f>IF(OR($A2073="",$L2073=""),"",IF(AND($N2073="Sí",$P2073="Sí"),"OTIF","Falló"))</f>
        <v/>
      </c>
    </row>
    <row r="2074" ht="16" customHeight="1">
      <c r="A2074" s="48" t="n"/>
      <c r="B2074" s="48" t="n"/>
      <c r="C2074" s="47" t="n"/>
      <c r="D2074" s="50" t="n"/>
      <c r="E2074" s="50" t="n"/>
      <c r="F2074" s="50" t="n"/>
      <c r="G2074" s="50" t="n"/>
      <c r="H2074" s="48" t="n"/>
      <c r="I2074" s="51" t="n"/>
      <c r="J2074" s="52" t="n"/>
      <c r="K2074" s="47" t="n"/>
      <c r="L2074" s="47" t="n"/>
      <c r="M2074" s="24">
        <f>IF(OR($A2074="",$C2074=""),"",IF($L2074&lt;&gt;"",$L2074-$C2074,TODAY()-$C2074))</f>
        <v/>
      </c>
      <c r="N2074" s="28">
        <f>IF(OR($A2074="",$K2074=""),"",IF($L2074="",IF(TODAY()&gt;$K2074,"Atrasado","En ruta"),IF($L2074&lt;=$K2074,"Sí","No")))</f>
        <v/>
      </c>
      <c r="O2074" s="24">
        <f>IF($A2074="","",COUNTIFS(NOVEDADES!$D$4:$D$1503,$A2074))</f>
        <v/>
      </c>
      <c r="P2074" s="28">
        <f>IF($A2074="","",IF(COUNTIFS(NOVEDADES!$D$4:$D$1503,$A2074,NOVEDADES!$O$4:$O$1503,"SÍ")&gt;0,"No","Sí"))</f>
        <v/>
      </c>
      <c r="Q2074" s="28">
        <f>IF(OR($A2074="",$L2074=""),"",IF(AND($N2074="Sí",$P2074="Sí"),"OTIF","Falló"))</f>
        <v/>
      </c>
    </row>
    <row r="2075" ht="16" customHeight="1">
      <c r="A2075" s="48" t="n"/>
      <c r="B2075" s="48" t="n"/>
      <c r="C2075" s="47" t="n"/>
      <c r="D2075" s="50" t="n"/>
      <c r="E2075" s="50" t="n"/>
      <c r="F2075" s="50" t="n"/>
      <c r="G2075" s="50" t="n"/>
      <c r="H2075" s="48" t="n"/>
      <c r="I2075" s="51" t="n"/>
      <c r="J2075" s="52" t="n"/>
      <c r="K2075" s="47" t="n"/>
      <c r="L2075" s="47" t="n"/>
      <c r="M2075" s="24">
        <f>IF(OR($A2075="",$C2075=""),"",IF($L2075&lt;&gt;"",$L2075-$C2075,TODAY()-$C2075))</f>
        <v/>
      </c>
      <c r="N2075" s="28">
        <f>IF(OR($A2075="",$K2075=""),"",IF($L2075="",IF(TODAY()&gt;$K2075,"Atrasado","En ruta"),IF($L2075&lt;=$K2075,"Sí","No")))</f>
        <v/>
      </c>
      <c r="O2075" s="24">
        <f>IF($A2075="","",COUNTIFS(NOVEDADES!$D$4:$D$1503,$A2075))</f>
        <v/>
      </c>
      <c r="P2075" s="28">
        <f>IF($A2075="","",IF(COUNTIFS(NOVEDADES!$D$4:$D$1503,$A2075,NOVEDADES!$O$4:$O$1503,"SÍ")&gt;0,"No","Sí"))</f>
        <v/>
      </c>
      <c r="Q2075" s="28">
        <f>IF(OR($A2075="",$L2075=""),"",IF(AND($N2075="Sí",$P2075="Sí"),"OTIF","Falló"))</f>
        <v/>
      </c>
    </row>
    <row r="2076" ht="16" customHeight="1">
      <c r="A2076" s="48" t="n"/>
      <c r="B2076" s="48" t="n"/>
      <c r="C2076" s="47" t="n"/>
      <c r="D2076" s="50" t="n"/>
      <c r="E2076" s="50" t="n"/>
      <c r="F2076" s="50" t="n"/>
      <c r="G2076" s="50" t="n"/>
      <c r="H2076" s="48" t="n"/>
      <c r="I2076" s="51" t="n"/>
      <c r="J2076" s="52" t="n"/>
      <c r="K2076" s="47" t="n"/>
      <c r="L2076" s="47" t="n"/>
      <c r="M2076" s="24">
        <f>IF(OR($A2076="",$C2076=""),"",IF($L2076&lt;&gt;"",$L2076-$C2076,TODAY()-$C2076))</f>
        <v/>
      </c>
      <c r="N2076" s="28">
        <f>IF(OR($A2076="",$K2076=""),"",IF($L2076="",IF(TODAY()&gt;$K2076,"Atrasado","En ruta"),IF($L2076&lt;=$K2076,"Sí","No")))</f>
        <v/>
      </c>
      <c r="O2076" s="24">
        <f>IF($A2076="","",COUNTIFS(NOVEDADES!$D$4:$D$1503,$A2076))</f>
        <v/>
      </c>
      <c r="P2076" s="28">
        <f>IF($A2076="","",IF(COUNTIFS(NOVEDADES!$D$4:$D$1503,$A2076,NOVEDADES!$O$4:$O$1503,"SÍ")&gt;0,"No","Sí"))</f>
        <v/>
      </c>
      <c r="Q2076" s="28">
        <f>IF(OR($A2076="",$L2076=""),"",IF(AND($N2076="Sí",$P2076="Sí"),"OTIF","Falló"))</f>
        <v/>
      </c>
    </row>
    <row r="2077" ht="16" customHeight="1">
      <c r="A2077" s="48" t="n"/>
      <c r="B2077" s="48" t="n"/>
      <c r="C2077" s="47" t="n"/>
      <c r="D2077" s="50" t="n"/>
      <c r="E2077" s="50" t="n"/>
      <c r="F2077" s="50" t="n"/>
      <c r="G2077" s="50" t="n"/>
      <c r="H2077" s="48" t="n"/>
      <c r="I2077" s="51" t="n"/>
      <c r="J2077" s="52" t="n"/>
      <c r="K2077" s="47" t="n"/>
      <c r="L2077" s="47" t="n"/>
      <c r="M2077" s="24">
        <f>IF(OR($A2077="",$C2077=""),"",IF($L2077&lt;&gt;"",$L2077-$C2077,TODAY()-$C2077))</f>
        <v/>
      </c>
      <c r="N2077" s="28">
        <f>IF(OR($A2077="",$K2077=""),"",IF($L2077="",IF(TODAY()&gt;$K2077,"Atrasado","En ruta"),IF($L2077&lt;=$K2077,"Sí","No")))</f>
        <v/>
      </c>
      <c r="O2077" s="24">
        <f>IF($A2077="","",COUNTIFS(NOVEDADES!$D$4:$D$1503,$A2077))</f>
        <v/>
      </c>
      <c r="P2077" s="28">
        <f>IF($A2077="","",IF(COUNTIFS(NOVEDADES!$D$4:$D$1503,$A2077,NOVEDADES!$O$4:$O$1503,"SÍ")&gt;0,"No","Sí"))</f>
        <v/>
      </c>
      <c r="Q2077" s="28">
        <f>IF(OR($A2077="",$L2077=""),"",IF(AND($N2077="Sí",$P2077="Sí"),"OTIF","Falló"))</f>
        <v/>
      </c>
    </row>
    <row r="2078" ht="16" customHeight="1">
      <c r="A2078" s="48" t="n"/>
      <c r="B2078" s="48" t="n"/>
      <c r="C2078" s="47" t="n"/>
      <c r="D2078" s="50" t="n"/>
      <c r="E2078" s="50" t="n"/>
      <c r="F2078" s="50" t="n"/>
      <c r="G2078" s="50" t="n"/>
      <c r="H2078" s="48" t="n"/>
      <c r="I2078" s="51" t="n"/>
      <c r="J2078" s="52" t="n"/>
      <c r="K2078" s="47" t="n"/>
      <c r="L2078" s="47" t="n"/>
      <c r="M2078" s="24">
        <f>IF(OR($A2078="",$C2078=""),"",IF($L2078&lt;&gt;"",$L2078-$C2078,TODAY()-$C2078))</f>
        <v/>
      </c>
      <c r="N2078" s="28">
        <f>IF(OR($A2078="",$K2078=""),"",IF($L2078="",IF(TODAY()&gt;$K2078,"Atrasado","En ruta"),IF($L2078&lt;=$K2078,"Sí","No")))</f>
        <v/>
      </c>
      <c r="O2078" s="24">
        <f>IF($A2078="","",COUNTIFS(NOVEDADES!$D$4:$D$1503,$A2078))</f>
        <v/>
      </c>
      <c r="P2078" s="28">
        <f>IF($A2078="","",IF(COUNTIFS(NOVEDADES!$D$4:$D$1503,$A2078,NOVEDADES!$O$4:$O$1503,"SÍ")&gt;0,"No","Sí"))</f>
        <v/>
      </c>
      <c r="Q2078" s="28">
        <f>IF(OR($A2078="",$L2078=""),"",IF(AND($N2078="Sí",$P2078="Sí"),"OTIF","Falló"))</f>
        <v/>
      </c>
    </row>
    <row r="2079" ht="16" customHeight="1">
      <c r="A2079" s="48" t="n"/>
      <c r="B2079" s="48" t="n"/>
      <c r="C2079" s="47" t="n"/>
      <c r="D2079" s="50" t="n"/>
      <c r="E2079" s="50" t="n"/>
      <c r="F2079" s="50" t="n"/>
      <c r="G2079" s="50" t="n"/>
      <c r="H2079" s="48" t="n"/>
      <c r="I2079" s="51" t="n"/>
      <c r="J2079" s="52" t="n"/>
      <c r="K2079" s="47" t="n"/>
      <c r="L2079" s="47" t="n"/>
      <c r="M2079" s="24">
        <f>IF(OR($A2079="",$C2079=""),"",IF($L2079&lt;&gt;"",$L2079-$C2079,TODAY()-$C2079))</f>
        <v/>
      </c>
      <c r="N2079" s="28">
        <f>IF(OR($A2079="",$K2079=""),"",IF($L2079="",IF(TODAY()&gt;$K2079,"Atrasado","En ruta"),IF($L2079&lt;=$K2079,"Sí","No")))</f>
        <v/>
      </c>
      <c r="O2079" s="24">
        <f>IF($A2079="","",COUNTIFS(NOVEDADES!$D$4:$D$1503,$A2079))</f>
        <v/>
      </c>
      <c r="P2079" s="28">
        <f>IF($A2079="","",IF(COUNTIFS(NOVEDADES!$D$4:$D$1503,$A2079,NOVEDADES!$O$4:$O$1503,"SÍ")&gt;0,"No","Sí"))</f>
        <v/>
      </c>
      <c r="Q2079" s="28">
        <f>IF(OR($A2079="",$L2079=""),"",IF(AND($N2079="Sí",$P2079="Sí"),"OTIF","Falló"))</f>
        <v/>
      </c>
    </row>
    <row r="2080" ht="16" customHeight="1">
      <c r="A2080" s="48" t="n"/>
      <c r="B2080" s="48" t="n"/>
      <c r="C2080" s="47" t="n"/>
      <c r="D2080" s="50" t="n"/>
      <c r="E2080" s="50" t="n"/>
      <c r="F2080" s="50" t="n"/>
      <c r="G2080" s="50" t="n"/>
      <c r="H2080" s="48" t="n"/>
      <c r="I2080" s="51" t="n"/>
      <c r="J2080" s="52" t="n"/>
      <c r="K2080" s="47" t="n"/>
      <c r="L2080" s="47" t="n"/>
      <c r="M2080" s="24">
        <f>IF(OR($A2080="",$C2080=""),"",IF($L2080&lt;&gt;"",$L2080-$C2080,TODAY()-$C2080))</f>
        <v/>
      </c>
      <c r="N2080" s="28">
        <f>IF(OR($A2080="",$K2080=""),"",IF($L2080="",IF(TODAY()&gt;$K2080,"Atrasado","En ruta"),IF($L2080&lt;=$K2080,"Sí","No")))</f>
        <v/>
      </c>
      <c r="O2080" s="24">
        <f>IF($A2080="","",COUNTIFS(NOVEDADES!$D$4:$D$1503,$A2080))</f>
        <v/>
      </c>
      <c r="P2080" s="28">
        <f>IF($A2080="","",IF(COUNTIFS(NOVEDADES!$D$4:$D$1503,$A2080,NOVEDADES!$O$4:$O$1503,"SÍ")&gt;0,"No","Sí"))</f>
        <v/>
      </c>
      <c r="Q2080" s="28">
        <f>IF(OR($A2080="",$L2080=""),"",IF(AND($N2080="Sí",$P2080="Sí"),"OTIF","Falló"))</f>
        <v/>
      </c>
    </row>
    <row r="2081" ht="16" customHeight="1">
      <c r="A2081" s="48" t="n"/>
      <c r="B2081" s="48" t="n"/>
      <c r="C2081" s="47" t="n"/>
      <c r="D2081" s="50" t="n"/>
      <c r="E2081" s="50" t="n"/>
      <c r="F2081" s="50" t="n"/>
      <c r="G2081" s="50" t="n"/>
      <c r="H2081" s="48" t="n"/>
      <c r="I2081" s="51" t="n"/>
      <c r="J2081" s="52" t="n"/>
      <c r="K2081" s="47" t="n"/>
      <c r="L2081" s="47" t="n"/>
      <c r="M2081" s="24">
        <f>IF(OR($A2081="",$C2081=""),"",IF($L2081&lt;&gt;"",$L2081-$C2081,TODAY()-$C2081))</f>
        <v/>
      </c>
      <c r="N2081" s="28">
        <f>IF(OR($A2081="",$K2081=""),"",IF($L2081="",IF(TODAY()&gt;$K2081,"Atrasado","En ruta"),IF($L2081&lt;=$K2081,"Sí","No")))</f>
        <v/>
      </c>
      <c r="O2081" s="24">
        <f>IF($A2081="","",COUNTIFS(NOVEDADES!$D$4:$D$1503,$A2081))</f>
        <v/>
      </c>
      <c r="P2081" s="28">
        <f>IF($A2081="","",IF(COUNTIFS(NOVEDADES!$D$4:$D$1503,$A2081,NOVEDADES!$O$4:$O$1503,"SÍ")&gt;0,"No","Sí"))</f>
        <v/>
      </c>
      <c r="Q2081" s="28">
        <f>IF(OR($A2081="",$L2081=""),"",IF(AND($N2081="Sí",$P2081="Sí"),"OTIF","Falló"))</f>
        <v/>
      </c>
    </row>
    <row r="2082" ht="16" customHeight="1">
      <c r="A2082" s="48" t="n"/>
      <c r="B2082" s="48" t="n"/>
      <c r="C2082" s="47" t="n"/>
      <c r="D2082" s="50" t="n"/>
      <c r="E2082" s="50" t="n"/>
      <c r="F2082" s="50" t="n"/>
      <c r="G2082" s="50" t="n"/>
      <c r="H2082" s="48" t="n"/>
      <c r="I2082" s="51" t="n"/>
      <c r="J2082" s="52" t="n"/>
      <c r="K2082" s="47" t="n"/>
      <c r="L2082" s="47" t="n"/>
      <c r="M2082" s="24">
        <f>IF(OR($A2082="",$C2082=""),"",IF($L2082&lt;&gt;"",$L2082-$C2082,TODAY()-$C2082))</f>
        <v/>
      </c>
      <c r="N2082" s="28">
        <f>IF(OR($A2082="",$K2082=""),"",IF($L2082="",IF(TODAY()&gt;$K2082,"Atrasado","En ruta"),IF($L2082&lt;=$K2082,"Sí","No")))</f>
        <v/>
      </c>
      <c r="O2082" s="24">
        <f>IF($A2082="","",COUNTIFS(NOVEDADES!$D$4:$D$1503,$A2082))</f>
        <v/>
      </c>
      <c r="P2082" s="28">
        <f>IF($A2082="","",IF(COUNTIFS(NOVEDADES!$D$4:$D$1503,$A2082,NOVEDADES!$O$4:$O$1503,"SÍ")&gt;0,"No","Sí"))</f>
        <v/>
      </c>
      <c r="Q2082" s="28">
        <f>IF(OR($A2082="",$L2082=""),"",IF(AND($N2082="Sí",$P2082="Sí"),"OTIF","Falló"))</f>
        <v/>
      </c>
    </row>
    <row r="2083" ht="16" customHeight="1">
      <c r="A2083" s="48" t="n"/>
      <c r="B2083" s="48" t="n"/>
      <c r="C2083" s="47" t="n"/>
      <c r="D2083" s="50" t="n"/>
      <c r="E2083" s="50" t="n"/>
      <c r="F2083" s="50" t="n"/>
      <c r="G2083" s="50" t="n"/>
      <c r="H2083" s="48" t="n"/>
      <c r="I2083" s="51" t="n"/>
      <c r="J2083" s="52" t="n"/>
      <c r="K2083" s="47" t="n"/>
      <c r="L2083" s="47" t="n"/>
      <c r="M2083" s="24">
        <f>IF(OR($A2083="",$C2083=""),"",IF($L2083&lt;&gt;"",$L2083-$C2083,TODAY()-$C2083))</f>
        <v/>
      </c>
      <c r="N2083" s="28">
        <f>IF(OR($A2083="",$K2083=""),"",IF($L2083="",IF(TODAY()&gt;$K2083,"Atrasado","En ruta"),IF($L2083&lt;=$K2083,"Sí","No")))</f>
        <v/>
      </c>
      <c r="O2083" s="24">
        <f>IF($A2083="","",COUNTIFS(NOVEDADES!$D$4:$D$1503,$A2083))</f>
        <v/>
      </c>
      <c r="P2083" s="28">
        <f>IF($A2083="","",IF(COUNTIFS(NOVEDADES!$D$4:$D$1503,$A2083,NOVEDADES!$O$4:$O$1503,"SÍ")&gt;0,"No","Sí"))</f>
        <v/>
      </c>
      <c r="Q2083" s="28">
        <f>IF(OR($A2083="",$L2083=""),"",IF(AND($N2083="Sí",$P2083="Sí"),"OTIF","Falló"))</f>
        <v/>
      </c>
    </row>
    <row r="2084" ht="16" customHeight="1">
      <c r="A2084" s="48" t="n"/>
      <c r="B2084" s="48" t="n"/>
      <c r="C2084" s="47" t="n"/>
      <c r="D2084" s="50" t="n"/>
      <c r="E2084" s="50" t="n"/>
      <c r="F2084" s="50" t="n"/>
      <c r="G2084" s="50" t="n"/>
      <c r="H2084" s="48" t="n"/>
      <c r="I2084" s="51" t="n"/>
      <c r="J2084" s="52" t="n"/>
      <c r="K2084" s="47" t="n"/>
      <c r="L2084" s="47" t="n"/>
      <c r="M2084" s="24">
        <f>IF(OR($A2084="",$C2084=""),"",IF($L2084&lt;&gt;"",$L2084-$C2084,TODAY()-$C2084))</f>
        <v/>
      </c>
      <c r="N2084" s="28">
        <f>IF(OR($A2084="",$K2084=""),"",IF($L2084="",IF(TODAY()&gt;$K2084,"Atrasado","En ruta"),IF($L2084&lt;=$K2084,"Sí","No")))</f>
        <v/>
      </c>
      <c r="O2084" s="24">
        <f>IF($A2084="","",COUNTIFS(NOVEDADES!$D$4:$D$1503,$A2084))</f>
        <v/>
      </c>
      <c r="P2084" s="28">
        <f>IF($A2084="","",IF(COUNTIFS(NOVEDADES!$D$4:$D$1503,$A2084,NOVEDADES!$O$4:$O$1503,"SÍ")&gt;0,"No","Sí"))</f>
        <v/>
      </c>
      <c r="Q2084" s="28">
        <f>IF(OR($A2084="",$L2084=""),"",IF(AND($N2084="Sí",$P2084="Sí"),"OTIF","Falló"))</f>
        <v/>
      </c>
    </row>
    <row r="2085" ht="16" customHeight="1">
      <c r="A2085" s="48" t="n"/>
      <c r="B2085" s="48" t="n"/>
      <c r="C2085" s="47" t="n"/>
      <c r="D2085" s="50" t="n"/>
      <c r="E2085" s="50" t="n"/>
      <c r="F2085" s="50" t="n"/>
      <c r="G2085" s="50" t="n"/>
      <c r="H2085" s="48" t="n"/>
      <c r="I2085" s="51" t="n"/>
      <c r="J2085" s="52" t="n"/>
      <c r="K2085" s="47" t="n"/>
      <c r="L2085" s="47" t="n"/>
      <c r="M2085" s="24">
        <f>IF(OR($A2085="",$C2085=""),"",IF($L2085&lt;&gt;"",$L2085-$C2085,TODAY()-$C2085))</f>
        <v/>
      </c>
      <c r="N2085" s="28">
        <f>IF(OR($A2085="",$K2085=""),"",IF($L2085="",IF(TODAY()&gt;$K2085,"Atrasado","En ruta"),IF($L2085&lt;=$K2085,"Sí","No")))</f>
        <v/>
      </c>
      <c r="O2085" s="24">
        <f>IF($A2085="","",COUNTIFS(NOVEDADES!$D$4:$D$1503,$A2085))</f>
        <v/>
      </c>
      <c r="P2085" s="28">
        <f>IF($A2085="","",IF(COUNTIFS(NOVEDADES!$D$4:$D$1503,$A2085,NOVEDADES!$O$4:$O$1503,"SÍ")&gt;0,"No","Sí"))</f>
        <v/>
      </c>
      <c r="Q2085" s="28">
        <f>IF(OR($A2085="",$L2085=""),"",IF(AND($N2085="Sí",$P2085="Sí"),"OTIF","Falló"))</f>
        <v/>
      </c>
    </row>
    <row r="2086" ht="16" customHeight="1">
      <c r="A2086" s="48" t="n"/>
      <c r="B2086" s="48" t="n"/>
      <c r="C2086" s="47" t="n"/>
      <c r="D2086" s="50" t="n"/>
      <c r="E2086" s="50" t="n"/>
      <c r="F2086" s="50" t="n"/>
      <c r="G2086" s="50" t="n"/>
      <c r="H2086" s="48" t="n"/>
      <c r="I2086" s="51" t="n"/>
      <c r="J2086" s="52" t="n"/>
      <c r="K2086" s="47" t="n"/>
      <c r="L2086" s="47" t="n"/>
      <c r="M2086" s="24">
        <f>IF(OR($A2086="",$C2086=""),"",IF($L2086&lt;&gt;"",$L2086-$C2086,TODAY()-$C2086))</f>
        <v/>
      </c>
      <c r="N2086" s="28">
        <f>IF(OR($A2086="",$K2086=""),"",IF($L2086="",IF(TODAY()&gt;$K2086,"Atrasado","En ruta"),IF($L2086&lt;=$K2086,"Sí","No")))</f>
        <v/>
      </c>
      <c r="O2086" s="24">
        <f>IF($A2086="","",COUNTIFS(NOVEDADES!$D$4:$D$1503,$A2086))</f>
        <v/>
      </c>
      <c r="P2086" s="28">
        <f>IF($A2086="","",IF(COUNTIFS(NOVEDADES!$D$4:$D$1503,$A2086,NOVEDADES!$O$4:$O$1503,"SÍ")&gt;0,"No","Sí"))</f>
        <v/>
      </c>
      <c r="Q2086" s="28">
        <f>IF(OR($A2086="",$L2086=""),"",IF(AND($N2086="Sí",$P2086="Sí"),"OTIF","Falló"))</f>
        <v/>
      </c>
    </row>
    <row r="2087" ht="16" customHeight="1">
      <c r="A2087" s="48" t="n"/>
      <c r="B2087" s="48" t="n"/>
      <c r="C2087" s="47" t="n"/>
      <c r="D2087" s="50" t="n"/>
      <c r="E2087" s="50" t="n"/>
      <c r="F2087" s="50" t="n"/>
      <c r="G2087" s="50" t="n"/>
      <c r="H2087" s="48" t="n"/>
      <c r="I2087" s="51" t="n"/>
      <c r="J2087" s="52" t="n"/>
      <c r="K2087" s="47" t="n"/>
      <c r="L2087" s="47" t="n"/>
      <c r="M2087" s="24">
        <f>IF(OR($A2087="",$C2087=""),"",IF($L2087&lt;&gt;"",$L2087-$C2087,TODAY()-$C2087))</f>
        <v/>
      </c>
      <c r="N2087" s="28">
        <f>IF(OR($A2087="",$K2087=""),"",IF($L2087="",IF(TODAY()&gt;$K2087,"Atrasado","En ruta"),IF($L2087&lt;=$K2087,"Sí","No")))</f>
        <v/>
      </c>
      <c r="O2087" s="24">
        <f>IF($A2087="","",COUNTIFS(NOVEDADES!$D$4:$D$1503,$A2087))</f>
        <v/>
      </c>
      <c r="P2087" s="28">
        <f>IF($A2087="","",IF(COUNTIFS(NOVEDADES!$D$4:$D$1503,$A2087,NOVEDADES!$O$4:$O$1503,"SÍ")&gt;0,"No","Sí"))</f>
        <v/>
      </c>
      <c r="Q2087" s="28">
        <f>IF(OR($A2087="",$L2087=""),"",IF(AND($N2087="Sí",$P2087="Sí"),"OTIF","Falló"))</f>
        <v/>
      </c>
    </row>
    <row r="2088" ht="16" customHeight="1">
      <c r="A2088" s="48" t="n"/>
      <c r="B2088" s="48" t="n"/>
      <c r="C2088" s="47" t="n"/>
      <c r="D2088" s="50" t="n"/>
      <c r="E2088" s="50" t="n"/>
      <c r="F2088" s="50" t="n"/>
      <c r="G2088" s="50" t="n"/>
      <c r="H2088" s="48" t="n"/>
      <c r="I2088" s="51" t="n"/>
      <c r="J2088" s="52" t="n"/>
      <c r="K2088" s="47" t="n"/>
      <c r="L2088" s="47" t="n"/>
      <c r="M2088" s="24">
        <f>IF(OR($A2088="",$C2088=""),"",IF($L2088&lt;&gt;"",$L2088-$C2088,TODAY()-$C2088))</f>
        <v/>
      </c>
      <c r="N2088" s="28">
        <f>IF(OR($A2088="",$K2088=""),"",IF($L2088="",IF(TODAY()&gt;$K2088,"Atrasado","En ruta"),IF($L2088&lt;=$K2088,"Sí","No")))</f>
        <v/>
      </c>
      <c r="O2088" s="24">
        <f>IF($A2088="","",COUNTIFS(NOVEDADES!$D$4:$D$1503,$A2088))</f>
        <v/>
      </c>
      <c r="P2088" s="28">
        <f>IF($A2088="","",IF(COUNTIFS(NOVEDADES!$D$4:$D$1503,$A2088,NOVEDADES!$O$4:$O$1503,"SÍ")&gt;0,"No","Sí"))</f>
        <v/>
      </c>
      <c r="Q2088" s="28">
        <f>IF(OR($A2088="",$L2088=""),"",IF(AND($N2088="Sí",$P2088="Sí"),"OTIF","Falló"))</f>
        <v/>
      </c>
    </row>
    <row r="2089" ht="16" customHeight="1">
      <c r="A2089" s="48" t="n"/>
      <c r="B2089" s="48" t="n"/>
      <c r="C2089" s="47" t="n"/>
      <c r="D2089" s="50" t="n"/>
      <c r="E2089" s="50" t="n"/>
      <c r="F2089" s="50" t="n"/>
      <c r="G2089" s="50" t="n"/>
      <c r="H2089" s="48" t="n"/>
      <c r="I2089" s="51" t="n"/>
      <c r="J2089" s="52" t="n"/>
      <c r="K2089" s="47" t="n"/>
      <c r="L2089" s="47" t="n"/>
      <c r="M2089" s="24">
        <f>IF(OR($A2089="",$C2089=""),"",IF($L2089&lt;&gt;"",$L2089-$C2089,TODAY()-$C2089))</f>
        <v/>
      </c>
      <c r="N2089" s="28">
        <f>IF(OR($A2089="",$K2089=""),"",IF($L2089="",IF(TODAY()&gt;$K2089,"Atrasado","En ruta"),IF($L2089&lt;=$K2089,"Sí","No")))</f>
        <v/>
      </c>
      <c r="O2089" s="24">
        <f>IF($A2089="","",COUNTIFS(NOVEDADES!$D$4:$D$1503,$A2089))</f>
        <v/>
      </c>
      <c r="P2089" s="28">
        <f>IF($A2089="","",IF(COUNTIFS(NOVEDADES!$D$4:$D$1503,$A2089,NOVEDADES!$O$4:$O$1503,"SÍ")&gt;0,"No","Sí"))</f>
        <v/>
      </c>
      <c r="Q2089" s="28">
        <f>IF(OR($A2089="",$L2089=""),"",IF(AND($N2089="Sí",$P2089="Sí"),"OTIF","Falló"))</f>
        <v/>
      </c>
    </row>
    <row r="2090" ht="16" customHeight="1">
      <c r="A2090" s="48" t="n"/>
      <c r="B2090" s="48" t="n"/>
      <c r="C2090" s="47" t="n"/>
      <c r="D2090" s="50" t="n"/>
      <c r="E2090" s="50" t="n"/>
      <c r="F2090" s="50" t="n"/>
      <c r="G2090" s="50" t="n"/>
      <c r="H2090" s="48" t="n"/>
      <c r="I2090" s="51" t="n"/>
      <c r="J2090" s="52" t="n"/>
      <c r="K2090" s="47" t="n"/>
      <c r="L2090" s="47" t="n"/>
      <c r="M2090" s="24">
        <f>IF(OR($A2090="",$C2090=""),"",IF($L2090&lt;&gt;"",$L2090-$C2090,TODAY()-$C2090))</f>
        <v/>
      </c>
      <c r="N2090" s="28">
        <f>IF(OR($A2090="",$K2090=""),"",IF($L2090="",IF(TODAY()&gt;$K2090,"Atrasado","En ruta"),IF($L2090&lt;=$K2090,"Sí","No")))</f>
        <v/>
      </c>
      <c r="O2090" s="24">
        <f>IF($A2090="","",COUNTIFS(NOVEDADES!$D$4:$D$1503,$A2090))</f>
        <v/>
      </c>
      <c r="P2090" s="28">
        <f>IF($A2090="","",IF(COUNTIFS(NOVEDADES!$D$4:$D$1503,$A2090,NOVEDADES!$O$4:$O$1503,"SÍ")&gt;0,"No","Sí"))</f>
        <v/>
      </c>
      <c r="Q2090" s="28">
        <f>IF(OR($A2090="",$L2090=""),"",IF(AND($N2090="Sí",$P2090="Sí"),"OTIF","Falló"))</f>
        <v/>
      </c>
    </row>
    <row r="2091" ht="16" customHeight="1">
      <c r="A2091" s="48" t="n"/>
      <c r="B2091" s="48" t="n"/>
      <c r="C2091" s="47" t="n"/>
      <c r="D2091" s="50" t="n"/>
      <c r="E2091" s="50" t="n"/>
      <c r="F2091" s="50" t="n"/>
      <c r="G2091" s="50" t="n"/>
      <c r="H2091" s="48" t="n"/>
      <c r="I2091" s="51" t="n"/>
      <c r="J2091" s="52" t="n"/>
      <c r="K2091" s="47" t="n"/>
      <c r="L2091" s="47" t="n"/>
      <c r="M2091" s="24">
        <f>IF(OR($A2091="",$C2091=""),"",IF($L2091&lt;&gt;"",$L2091-$C2091,TODAY()-$C2091))</f>
        <v/>
      </c>
      <c r="N2091" s="28">
        <f>IF(OR($A2091="",$K2091=""),"",IF($L2091="",IF(TODAY()&gt;$K2091,"Atrasado","En ruta"),IF($L2091&lt;=$K2091,"Sí","No")))</f>
        <v/>
      </c>
      <c r="O2091" s="24">
        <f>IF($A2091="","",COUNTIFS(NOVEDADES!$D$4:$D$1503,$A2091))</f>
        <v/>
      </c>
      <c r="P2091" s="28">
        <f>IF($A2091="","",IF(COUNTIFS(NOVEDADES!$D$4:$D$1503,$A2091,NOVEDADES!$O$4:$O$1503,"SÍ")&gt;0,"No","Sí"))</f>
        <v/>
      </c>
      <c r="Q2091" s="28">
        <f>IF(OR($A2091="",$L2091=""),"",IF(AND($N2091="Sí",$P2091="Sí"),"OTIF","Falló"))</f>
        <v/>
      </c>
    </row>
    <row r="2092" ht="16" customHeight="1">
      <c r="A2092" s="48" t="n"/>
      <c r="B2092" s="48" t="n"/>
      <c r="C2092" s="47" t="n"/>
      <c r="D2092" s="50" t="n"/>
      <c r="E2092" s="50" t="n"/>
      <c r="F2092" s="50" t="n"/>
      <c r="G2092" s="50" t="n"/>
      <c r="H2092" s="48" t="n"/>
      <c r="I2092" s="51" t="n"/>
      <c r="J2092" s="52" t="n"/>
      <c r="K2092" s="47" t="n"/>
      <c r="L2092" s="47" t="n"/>
      <c r="M2092" s="24">
        <f>IF(OR($A2092="",$C2092=""),"",IF($L2092&lt;&gt;"",$L2092-$C2092,TODAY()-$C2092))</f>
        <v/>
      </c>
      <c r="N2092" s="28">
        <f>IF(OR($A2092="",$K2092=""),"",IF($L2092="",IF(TODAY()&gt;$K2092,"Atrasado","En ruta"),IF($L2092&lt;=$K2092,"Sí","No")))</f>
        <v/>
      </c>
      <c r="O2092" s="24">
        <f>IF($A2092="","",COUNTIFS(NOVEDADES!$D$4:$D$1503,$A2092))</f>
        <v/>
      </c>
      <c r="P2092" s="28">
        <f>IF($A2092="","",IF(COUNTIFS(NOVEDADES!$D$4:$D$1503,$A2092,NOVEDADES!$O$4:$O$1503,"SÍ")&gt;0,"No","Sí"))</f>
        <v/>
      </c>
      <c r="Q2092" s="28">
        <f>IF(OR($A2092="",$L2092=""),"",IF(AND($N2092="Sí",$P2092="Sí"),"OTIF","Falló"))</f>
        <v/>
      </c>
    </row>
    <row r="2093" ht="16" customHeight="1">
      <c r="A2093" s="48" t="n"/>
      <c r="B2093" s="48" t="n"/>
      <c r="C2093" s="47" t="n"/>
      <c r="D2093" s="50" t="n"/>
      <c r="E2093" s="50" t="n"/>
      <c r="F2093" s="50" t="n"/>
      <c r="G2093" s="50" t="n"/>
      <c r="H2093" s="48" t="n"/>
      <c r="I2093" s="51" t="n"/>
      <c r="J2093" s="52" t="n"/>
      <c r="K2093" s="47" t="n"/>
      <c r="L2093" s="47" t="n"/>
      <c r="M2093" s="24">
        <f>IF(OR($A2093="",$C2093=""),"",IF($L2093&lt;&gt;"",$L2093-$C2093,TODAY()-$C2093))</f>
        <v/>
      </c>
      <c r="N2093" s="28">
        <f>IF(OR($A2093="",$K2093=""),"",IF($L2093="",IF(TODAY()&gt;$K2093,"Atrasado","En ruta"),IF($L2093&lt;=$K2093,"Sí","No")))</f>
        <v/>
      </c>
      <c r="O2093" s="24">
        <f>IF($A2093="","",COUNTIFS(NOVEDADES!$D$4:$D$1503,$A2093))</f>
        <v/>
      </c>
      <c r="P2093" s="28">
        <f>IF($A2093="","",IF(COUNTIFS(NOVEDADES!$D$4:$D$1503,$A2093,NOVEDADES!$O$4:$O$1503,"SÍ")&gt;0,"No","Sí"))</f>
        <v/>
      </c>
      <c r="Q2093" s="28">
        <f>IF(OR($A2093="",$L2093=""),"",IF(AND($N2093="Sí",$P2093="Sí"),"OTIF","Falló"))</f>
        <v/>
      </c>
    </row>
    <row r="2094" ht="16" customHeight="1">
      <c r="A2094" s="48" t="n"/>
      <c r="B2094" s="48" t="n"/>
      <c r="C2094" s="47" t="n"/>
      <c r="D2094" s="50" t="n"/>
      <c r="E2094" s="50" t="n"/>
      <c r="F2094" s="50" t="n"/>
      <c r="G2094" s="50" t="n"/>
      <c r="H2094" s="48" t="n"/>
      <c r="I2094" s="51" t="n"/>
      <c r="J2094" s="52" t="n"/>
      <c r="K2094" s="47" t="n"/>
      <c r="L2094" s="47" t="n"/>
      <c r="M2094" s="24">
        <f>IF(OR($A2094="",$C2094=""),"",IF($L2094&lt;&gt;"",$L2094-$C2094,TODAY()-$C2094))</f>
        <v/>
      </c>
      <c r="N2094" s="28">
        <f>IF(OR($A2094="",$K2094=""),"",IF($L2094="",IF(TODAY()&gt;$K2094,"Atrasado","En ruta"),IF($L2094&lt;=$K2094,"Sí","No")))</f>
        <v/>
      </c>
      <c r="O2094" s="24">
        <f>IF($A2094="","",COUNTIFS(NOVEDADES!$D$4:$D$1503,$A2094))</f>
        <v/>
      </c>
      <c r="P2094" s="28">
        <f>IF($A2094="","",IF(COUNTIFS(NOVEDADES!$D$4:$D$1503,$A2094,NOVEDADES!$O$4:$O$1503,"SÍ")&gt;0,"No","Sí"))</f>
        <v/>
      </c>
      <c r="Q2094" s="28">
        <f>IF(OR($A2094="",$L2094=""),"",IF(AND($N2094="Sí",$P2094="Sí"),"OTIF","Falló"))</f>
        <v/>
      </c>
    </row>
    <row r="2095" ht="16" customHeight="1">
      <c r="A2095" s="48" t="n"/>
      <c r="B2095" s="48" t="n"/>
      <c r="C2095" s="47" t="n"/>
      <c r="D2095" s="50" t="n"/>
      <c r="E2095" s="50" t="n"/>
      <c r="F2095" s="50" t="n"/>
      <c r="G2095" s="50" t="n"/>
      <c r="H2095" s="48" t="n"/>
      <c r="I2095" s="51" t="n"/>
      <c r="J2095" s="52" t="n"/>
      <c r="K2095" s="47" t="n"/>
      <c r="L2095" s="47" t="n"/>
      <c r="M2095" s="24">
        <f>IF(OR($A2095="",$C2095=""),"",IF($L2095&lt;&gt;"",$L2095-$C2095,TODAY()-$C2095))</f>
        <v/>
      </c>
      <c r="N2095" s="28">
        <f>IF(OR($A2095="",$K2095=""),"",IF($L2095="",IF(TODAY()&gt;$K2095,"Atrasado","En ruta"),IF($L2095&lt;=$K2095,"Sí","No")))</f>
        <v/>
      </c>
      <c r="O2095" s="24">
        <f>IF($A2095="","",COUNTIFS(NOVEDADES!$D$4:$D$1503,$A2095))</f>
        <v/>
      </c>
      <c r="P2095" s="28">
        <f>IF($A2095="","",IF(COUNTIFS(NOVEDADES!$D$4:$D$1503,$A2095,NOVEDADES!$O$4:$O$1503,"SÍ")&gt;0,"No","Sí"))</f>
        <v/>
      </c>
      <c r="Q2095" s="28">
        <f>IF(OR($A2095="",$L2095=""),"",IF(AND($N2095="Sí",$P2095="Sí"),"OTIF","Falló"))</f>
        <v/>
      </c>
    </row>
    <row r="2096" ht="16" customHeight="1">
      <c r="A2096" s="48" t="n"/>
      <c r="B2096" s="48" t="n"/>
      <c r="C2096" s="47" t="n"/>
      <c r="D2096" s="50" t="n"/>
      <c r="E2096" s="50" t="n"/>
      <c r="F2096" s="50" t="n"/>
      <c r="G2096" s="50" t="n"/>
      <c r="H2096" s="48" t="n"/>
      <c r="I2096" s="51" t="n"/>
      <c r="J2096" s="52" t="n"/>
      <c r="K2096" s="47" t="n"/>
      <c r="L2096" s="47" t="n"/>
      <c r="M2096" s="24">
        <f>IF(OR($A2096="",$C2096=""),"",IF($L2096&lt;&gt;"",$L2096-$C2096,TODAY()-$C2096))</f>
        <v/>
      </c>
      <c r="N2096" s="28">
        <f>IF(OR($A2096="",$K2096=""),"",IF($L2096="",IF(TODAY()&gt;$K2096,"Atrasado","En ruta"),IF($L2096&lt;=$K2096,"Sí","No")))</f>
        <v/>
      </c>
      <c r="O2096" s="24">
        <f>IF($A2096="","",COUNTIFS(NOVEDADES!$D$4:$D$1503,$A2096))</f>
        <v/>
      </c>
      <c r="P2096" s="28">
        <f>IF($A2096="","",IF(COUNTIFS(NOVEDADES!$D$4:$D$1503,$A2096,NOVEDADES!$O$4:$O$1503,"SÍ")&gt;0,"No","Sí"))</f>
        <v/>
      </c>
      <c r="Q2096" s="28">
        <f>IF(OR($A2096="",$L2096=""),"",IF(AND($N2096="Sí",$P2096="Sí"),"OTIF","Falló"))</f>
        <v/>
      </c>
    </row>
    <row r="2097" ht="16" customHeight="1">
      <c r="A2097" s="48" t="n"/>
      <c r="B2097" s="48" t="n"/>
      <c r="C2097" s="47" t="n"/>
      <c r="D2097" s="50" t="n"/>
      <c r="E2097" s="50" t="n"/>
      <c r="F2097" s="50" t="n"/>
      <c r="G2097" s="50" t="n"/>
      <c r="H2097" s="48" t="n"/>
      <c r="I2097" s="51" t="n"/>
      <c r="J2097" s="52" t="n"/>
      <c r="K2097" s="47" t="n"/>
      <c r="L2097" s="47" t="n"/>
      <c r="M2097" s="24">
        <f>IF(OR($A2097="",$C2097=""),"",IF($L2097&lt;&gt;"",$L2097-$C2097,TODAY()-$C2097))</f>
        <v/>
      </c>
      <c r="N2097" s="28">
        <f>IF(OR($A2097="",$K2097=""),"",IF($L2097="",IF(TODAY()&gt;$K2097,"Atrasado","En ruta"),IF($L2097&lt;=$K2097,"Sí","No")))</f>
        <v/>
      </c>
      <c r="O2097" s="24">
        <f>IF($A2097="","",COUNTIFS(NOVEDADES!$D$4:$D$1503,$A2097))</f>
        <v/>
      </c>
      <c r="P2097" s="28">
        <f>IF($A2097="","",IF(COUNTIFS(NOVEDADES!$D$4:$D$1503,$A2097,NOVEDADES!$O$4:$O$1503,"SÍ")&gt;0,"No","Sí"))</f>
        <v/>
      </c>
      <c r="Q2097" s="28">
        <f>IF(OR($A2097="",$L2097=""),"",IF(AND($N2097="Sí",$P2097="Sí"),"OTIF","Falló"))</f>
        <v/>
      </c>
    </row>
    <row r="2098" ht="16" customHeight="1">
      <c r="A2098" s="48" t="n"/>
      <c r="B2098" s="48" t="n"/>
      <c r="C2098" s="47" t="n"/>
      <c r="D2098" s="50" t="n"/>
      <c r="E2098" s="50" t="n"/>
      <c r="F2098" s="50" t="n"/>
      <c r="G2098" s="50" t="n"/>
      <c r="H2098" s="48" t="n"/>
      <c r="I2098" s="51" t="n"/>
      <c r="J2098" s="52" t="n"/>
      <c r="K2098" s="47" t="n"/>
      <c r="L2098" s="47" t="n"/>
      <c r="M2098" s="24">
        <f>IF(OR($A2098="",$C2098=""),"",IF($L2098&lt;&gt;"",$L2098-$C2098,TODAY()-$C2098))</f>
        <v/>
      </c>
      <c r="N2098" s="28">
        <f>IF(OR($A2098="",$K2098=""),"",IF($L2098="",IF(TODAY()&gt;$K2098,"Atrasado","En ruta"),IF($L2098&lt;=$K2098,"Sí","No")))</f>
        <v/>
      </c>
      <c r="O2098" s="24">
        <f>IF($A2098="","",COUNTIFS(NOVEDADES!$D$4:$D$1503,$A2098))</f>
        <v/>
      </c>
      <c r="P2098" s="28">
        <f>IF($A2098="","",IF(COUNTIFS(NOVEDADES!$D$4:$D$1503,$A2098,NOVEDADES!$O$4:$O$1503,"SÍ")&gt;0,"No","Sí"))</f>
        <v/>
      </c>
      <c r="Q2098" s="28">
        <f>IF(OR($A2098="",$L2098=""),"",IF(AND($N2098="Sí",$P2098="Sí"),"OTIF","Falló"))</f>
        <v/>
      </c>
    </row>
    <row r="2099" ht="16" customHeight="1">
      <c r="A2099" s="48" t="n"/>
      <c r="B2099" s="48" t="n"/>
      <c r="C2099" s="47" t="n"/>
      <c r="D2099" s="50" t="n"/>
      <c r="E2099" s="50" t="n"/>
      <c r="F2099" s="50" t="n"/>
      <c r="G2099" s="50" t="n"/>
      <c r="H2099" s="48" t="n"/>
      <c r="I2099" s="51" t="n"/>
      <c r="J2099" s="52" t="n"/>
      <c r="K2099" s="47" t="n"/>
      <c r="L2099" s="47" t="n"/>
      <c r="M2099" s="24">
        <f>IF(OR($A2099="",$C2099=""),"",IF($L2099&lt;&gt;"",$L2099-$C2099,TODAY()-$C2099))</f>
        <v/>
      </c>
      <c r="N2099" s="28">
        <f>IF(OR($A2099="",$K2099=""),"",IF($L2099="",IF(TODAY()&gt;$K2099,"Atrasado","En ruta"),IF($L2099&lt;=$K2099,"Sí","No")))</f>
        <v/>
      </c>
      <c r="O2099" s="24">
        <f>IF($A2099="","",COUNTIFS(NOVEDADES!$D$4:$D$1503,$A2099))</f>
        <v/>
      </c>
      <c r="P2099" s="28">
        <f>IF($A2099="","",IF(COUNTIFS(NOVEDADES!$D$4:$D$1503,$A2099,NOVEDADES!$O$4:$O$1503,"SÍ")&gt;0,"No","Sí"))</f>
        <v/>
      </c>
      <c r="Q2099" s="28">
        <f>IF(OR($A2099="",$L2099=""),"",IF(AND($N2099="Sí",$P2099="Sí"),"OTIF","Falló"))</f>
        <v/>
      </c>
    </row>
    <row r="2100" ht="16" customHeight="1">
      <c r="A2100" s="48" t="n"/>
      <c r="B2100" s="48" t="n"/>
      <c r="C2100" s="47" t="n"/>
      <c r="D2100" s="50" t="n"/>
      <c r="E2100" s="50" t="n"/>
      <c r="F2100" s="50" t="n"/>
      <c r="G2100" s="50" t="n"/>
      <c r="H2100" s="48" t="n"/>
      <c r="I2100" s="51" t="n"/>
      <c r="J2100" s="52" t="n"/>
      <c r="K2100" s="47" t="n"/>
      <c r="L2100" s="47" t="n"/>
      <c r="M2100" s="24">
        <f>IF(OR($A2100="",$C2100=""),"",IF($L2100&lt;&gt;"",$L2100-$C2100,TODAY()-$C2100))</f>
        <v/>
      </c>
      <c r="N2100" s="28">
        <f>IF(OR($A2100="",$K2100=""),"",IF($L2100="",IF(TODAY()&gt;$K2100,"Atrasado","En ruta"),IF($L2100&lt;=$K2100,"Sí","No")))</f>
        <v/>
      </c>
      <c r="O2100" s="24">
        <f>IF($A2100="","",COUNTIFS(NOVEDADES!$D$4:$D$1503,$A2100))</f>
        <v/>
      </c>
      <c r="P2100" s="28">
        <f>IF($A2100="","",IF(COUNTIFS(NOVEDADES!$D$4:$D$1503,$A2100,NOVEDADES!$O$4:$O$1503,"SÍ")&gt;0,"No","Sí"))</f>
        <v/>
      </c>
      <c r="Q2100" s="28">
        <f>IF(OR($A2100="",$L2100=""),"",IF(AND($N2100="Sí",$P2100="Sí"),"OTIF","Falló"))</f>
        <v/>
      </c>
    </row>
    <row r="2101" ht="16" customHeight="1">
      <c r="A2101" s="48" t="n"/>
      <c r="B2101" s="48" t="n"/>
      <c r="C2101" s="47" t="n"/>
      <c r="D2101" s="50" t="n"/>
      <c r="E2101" s="50" t="n"/>
      <c r="F2101" s="50" t="n"/>
      <c r="G2101" s="50" t="n"/>
      <c r="H2101" s="48" t="n"/>
      <c r="I2101" s="51" t="n"/>
      <c r="J2101" s="52" t="n"/>
      <c r="K2101" s="47" t="n"/>
      <c r="L2101" s="47" t="n"/>
      <c r="M2101" s="24">
        <f>IF(OR($A2101="",$C2101=""),"",IF($L2101&lt;&gt;"",$L2101-$C2101,TODAY()-$C2101))</f>
        <v/>
      </c>
      <c r="N2101" s="28">
        <f>IF(OR($A2101="",$K2101=""),"",IF($L2101="",IF(TODAY()&gt;$K2101,"Atrasado","En ruta"),IF($L2101&lt;=$K2101,"Sí","No")))</f>
        <v/>
      </c>
      <c r="O2101" s="24">
        <f>IF($A2101="","",COUNTIFS(NOVEDADES!$D$4:$D$1503,$A2101))</f>
        <v/>
      </c>
      <c r="P2101" s="28">
        <f>IF($A2101="","",IF(COUNTIFS(NOVEDADES!$D$4:$D$1503,$A2101,NOVEDADES!$O$4:$O$1503,"SÍ")&gt;0,"No","Sí"))</f>
        <v/>
      </c>
      <c r="Q2101" s="28">
        <f>IF(OR($A2101="",$L2101=""),"",IF(AND($N2101="Sí",$P2101="Sí"),"OTIF","Falló"))</f>
        <v/>
      </c>
    </row>
    <row r="2102" ht="16" customHeight="1">
      <c r="A2102" s="48" t="n"/>
      <c r="B2102" s="48" t="n"/>
      <c r="C2102" s="47" t="n"/>
      <c r="D2102" s="50" t="n"/>
      <c r="E2102" s="50" t="n"/>
      <c r="F2102" s="50" t="n"/>
      <c r="G2102" s="50" t="n"/>
      <c r="H2102" s="48" t="n"/>
      <c r="I2102" s="51" t="n"/>
      <c r="J2102" s="52" t="n"/>
      <c r="K2102" s="47" t="n"/>
      <c r="L2102" s="47" t="n"/>
      <c r="M2102" s="24">
        <f>IF(OR($A2102="",$C2102=""),"",IF($L2102&lt;&gt;"",$L2102-$C2102,TODAY()-$C2102))</f>
        <v/>
      </c>
      <c r="N2102" s="28">
        <f>IF(OR($A2102="",$K2102=""),"",IF($L2102="",IF(TODAY()&gt;$K2102,"Atrasado","En ruta"),IF($L2102&lt;=$K2102,"Sí","No")))</f>
        <v/>
      </c>
      <c r="O2102" s="24">
        <f>IF($A2102="","",COUNTIFS(NOVEDADES!$D$4:$D$1503,$A2102))</f>
        <v/>
      </c>
      <c r="P2102" s="28">
        <f>IF($A2102="","",IF(COUNTIFS(NOVEDADES!$D$4:$D$1503,$A2102,NOVEDADES!$O$4:$O$1503,"SÍ")&gt;0,"No","Sí"))</f>
        <v/>
      </c>
      <c r="Q2102" s="28">
        <f>IF(OR($A2102="",$L2102=""),"",IF(AND($N2102="Sí",$P2102="Sí"),"OTIF","Falló"))</f>
        <v/>
      </c>
    </row>
    <row r="2103" ht="16" customHeight="1">
      <c r="A2103" s="48" t="n"/>
      <c r="B2103" s="48" t="n"/>
      <c r="C2103" s="47" t="n"/>
      <c r="D2103" s="50" t="n"/>
      <c r="E2103" s="50" t="n"/>
      <c r="F2103" s="50" t="n"/>
      <c r="G2103" s="50" t="n"/>
      <c r="H2103" s="48" t="n"/>
      <c r="I2103" s="51" t="n"/>
      <c r="J2103" s="52" t="n"/>
      <c r="K2103" s="47" t="n"/>
      <c r="L2103" s="47" t="n"/>
      <c r="M2103" s="24">
        <f>IF(OR($A2103="",$C2103=""),"",IF($L2103&lt;&gt;"",$L2103-$C2103,TODAY()-$C2103))</f>
        <v/>
      </c>
      <c r="N2103" s="28">
        <f>IF(OR($A2103="",$K2103=""),"",IF($L2103="",IF(TODAY()&gt;$K2103,"Atrasado","En ruta"),IF($L2103&lt;=$K2103,"Sí","No")))</f>
        <v/>
      </c>
      <c r="O2103" s="24">
        <f>IF($A2103="","",COUNTIFS(NOVEDADES!$D$4:$D$1503,$A2103))</f>
        <v/>
      </c>
      <c r="P2103" s="28">
        <f>IF($A2103="","",IF(COUNTIFS(NOVEDADES!$D$4:$D$1503,$A2103,NOVEDADES!$O$4:$O$1503,"SÍ")&gt;0,"No","Sí"))</f>
        <v/>
      </c>
      <c r="Q2103" s="28">
        <f>IF(OR($A2103="",$L2103=""),"",IF(AND($N2103="Sí",$P2103="Sí"),"OTIF","Falló"))</f>
        <v/>
      </c>
    </row>
    <row r="2104" ht="16" customHeight="1">
      <c r="A2104" s="48" t="n"/>
      <c r="B2104" s="48" t="n"/>
      <c r="C2104" s="47" t="n"/>
      <c r="D2104" s="50" t="n"/>
      <c r="E2104" s="50" t="n"/>
      <c r="F2104" s="50" t="n"/>
      <c r="G2104" s="50" t="n"/>
      <c r="H2104" s="48" t="n"/>
      <c r="I2104" s="51" t="n"/>
      <c r="J2104" s="52" t="n"/>
      <c r="K2104" s="47" t="n"/>
      <c r="L2104" s="47" t="n"/>
      <c r="M2104" s="24">
        <f>IF(OR($A2104="",$C2104=""),"",IF($L2104&lt;&gt;"",$L2104-$C2104,TODAY()-$C2104))</f>
        <v/>
      </c>
      <c r="N2104" s="28">
        <f>IF(OR($A2104="",$K2104=""),"",IF($L2104="",IF(TODAY()&gt;$K2104,"Atrasado","En ruta"),IF($L2104&lt;=$K2104,"Sí","No")))</f>
        <v/>
      </c>
      <c r="O2104" s="24">
        <f>IF($A2104="","",COUNTIFS(NOVEDADES!$D$4:$D$1503,$A2104))</f>
        <v/>
      </c>
      <c r="P2104" s="28">
        <f>IF($A2104="","",IF(COUNTIFS(NOVEDADES!$D$4:$D$1503,$A2104,NOVEDADES!$O$4:$O$1503,"SÍ")&gt;0,"No","Sí"))</f>
        <v/>
      </c>
      <c r="Q2104" s="28">
        <f>IF(OR($A2104="",$L2104=""),"",IF(AND($N2104="Sí",$P2104="Sí"),"OTIF","Falló"))</f>
        <v/>
      </c>
    </row>
    <row r="2105" ht="16" customHeight="1">
      <c r="A2105" s="48" t="n"/>
      <c r="B2105" s="48" t="n"/>
      <c r="C2105" s="47" t="n"/>
      <c r="D2105" s="50" t="n"/>
      <c r="E2105" s="50" t="n"/>
      <c r="F2105" s="50" t="n"/>
      <c r="G2105" s="50" t="n"/>
      <c r="H2105" s="48" t="n"/>
      <c r="I2105" s="51" t="n"/>
      <c r="J2105" s="52" t="n"/>
      <c r="K2105" s="47" t="n"/>
      <c r="L2105" s="47" t="n"/>
      <c r="M2105" s="24">
        <f>IF(OR($A2105="",$C2105=""),"",IF($L2105&lt;&gt;"",$L2105-$C2105,TODAY()-$C2105))</f>
        <v/>
      </c>
      <c r="N2105" s="28">
        <f>IF(OR($A2105="",$K2105=""),"",IF($L2105="",IF(TODAY()&gt;$K2105,"Atrasado","En ruta"),IF($L2105&lt;=$K2105,"Sí","No")))</f>
        <v/>
      </c>
      <c r="O2105" s="24">
        <f>IF($A2105="","",COUNTIFS(NOVEDADES!$D$4:$D$1503,$A2105))</f>
        <v/>
      </c>
      <c r="P2105" s="28">
        <f>IF($A2105="","",IF(COUNTIFS(NOVEDADES!$D$4:$D$1503,$A2105,NOVEDADES!$O$4:$O$1503,"SÍ")&gt;0,"No","Sí"))</f>
        <v/>
      </c>
      <c r="Q2105" s="28">
        <f>IF(OR($A2105="",$L2105=""),"",IF(AND($N2105="Sí",$P2105="Sí"),"OTIF","Falló"))</f>
        <v/>
      </c>
    </row>
    <row r="2106" ht="16" customHeight="1">
      <c r="A2106" s="48" t="n"/>
      <c r="B2106" s="48" t="n"/>
      <c r="C2106" s="47" t="n"/>
      <c r="D2106" s="50" t="n"/>
      <c r="E2106" s="50" t="n"/>
      <c r="F2106" s="50" t="n"/>
      <c r="G2106" s="50" t="n"/>
      <c r="H2106" s="48" t="n"/>
      <c r="I2106" s="51" t="n"/>
      <c r="J2106" s="52" t="n"/>
      <c r="K2106" s="47" t="n"/>
      <c r="L2106" s="47" t="n"/>
      <c r="M2106" s="24">
        <f>IF(OR($A2106="",$C2106=""),"",IF($L2106&lt;&gt;"",$L2106-$C2106,TODAY()-$C2106))</f>
        <v/>
      </c>
      <c r="N2106" s="28">
        <f>IF(OR($A2106="",$K2106=""),"",IF($L2106="",IF(TODAY()&gt;$K2106,"Atrasado","En ruta"),IF($L2106&lt;=$K2106,"Sí","No")))</f>
        <v/>
      </c>
      <c r="O2106" s="24">
        <f>IF($A2106="","",COUNTIFS(NOVEDADES!$D$4:$D$1503,$A2106))</f>
        <v/>
      </c>
      <c r="P2106" s="28">
        <f>IF($A2106="","",IF(COUNTIFS(NOVEDADES!$D$4:$D$1503,$A2106,NOVEDADES!$O$4:$O$1503,"SÍ")&gt;0,"No","Sí"))</f>
        <v/>
      </c>
      <c r="Q2106" s="28">
        <f>IF(OR($A2106="",$L2106=""),"",IF(AND($N2106="Sí",$P2106="Sí"),"OTIF","Falló"))</f>
        <v/>
      </c>
    </row>
    <row r="2107" ht="16" customHeight="1">
      <c r="A2107" s="48" t="n"/>
      <c r="B2107" s="48" t="n"/>
      <c r="C2107" s="47" t="n"/>
      <c r="D2107" s="50" t="n"/>
      <c r="E2107" s="50" t="n"/>
      <c r="F2107" s="50" t="n"/>
      <c r="G2107" s="50" t="n"/>
      <c r="H2107" s="48" t="n"/>
      <c r="I2107" s="51" t="n"/>
      <c r="J2107" s="52" t="n"/>
      <c r="K2107" s="47" t="n"/>
      <c r="L2107" s="47" t="n"/>
      <c r="M2107" s="24">
        <f>IF(OR($A2107="",$C2107=""),"",IF($L2107&lt;&gt;"",$L2107-$C2107,TODAY()-$C2107))</f>
        <v/>
      </c>
      <c r="N2107" s="28">
        <f>IF(OR($A2107="",$K2107=""),"",IF($L2107="",IF(TODAY()&gt;$K2107,"Atrasado","En ruta"),IF($L2107&lt;=$K2107,"Sí","No")))</f>
        <v/>
      </c>
      <c r="O2107" s="24">
        <f>IF($A2107="","",COUNTIFS(NOVEDADES!$D$4:$D$1503,$A2107))</f>
        <v/>
      </c>
      <c r="P2107" s="28">
        <f>IF($A2107="","",IF(COUNTIFS(NOVEDADES!$D$4:$D$1503,$A2107,NOVEDADES!$O$4:$O$1503,"SÍ")&gt;0,"No","Sí"))</f>
        <v/>
      </c>
      <c r="Q2107" s="28">
        <f>IF(OR($A2107="",$L2107=""),"",IF(AND($N2107="Sí",$P2107="Sí"),"OTIF","Falló"))</f>
        <v/>
      </c>
    </row>
    <row r="2108" ht="16" customHeight="1">
      <c r="A2108" s="48" t="n"/>
      <c r="B2108" s="48" t="n"/>
      <c r="C2108" s="47" t="n"/>
      <c r="D2108" s="50" t="n"/>
      <c r="E2108" s="50" t="n"/>
      <c r="F2108" s="50" t="n"/>
      <c r="G2108" s="50" t="n"/>
      <c r="H2108" s="48" t="n"/>
      <c r="I2108" s="51" t="n"/>
      <c r="J2108" s="52" t="n"/>
      <c r="K2108" s="47" t="n"/>
      <c r="L2108" s="47" t="n"/>
      <c r="M2108" s="24">
        <f>IF(OR($A2108="",$C2108=""),"",IF($L2108&lt;&gt;"",$L2108-$C2108,TODAY()-$C2108))</f>
        <v/>
      </c>
      <c r="N2108" s="28">
        <f>IF(OR($A2108="",$K2108=""),"",IF($L2108="",IF(TODAY()&gt;$K2108,"Atrasado","En ruta"),IF($L2108&lt;=$K2108,"Sí","No")))</f>
        <v/>
      </c>
      <c r="O2108" s="24">
        <f>IF($A2108="","",COUNTIFS(NOVEDADES!$D$4:$D$1503,$A2108))</f>
        <v/>
      </c>
      <c r="P2108" s="28">
        <f>IF($A2108="","",IF(COUNTIFS(NOVEDADES!$D$4:$D$1503,$A2108,NOVEDADES!$O$4:$O$1503,"SÍ")&gt;0,"No","Sí"))</f>
        <v/>
      </c>
      <c r="Q2108" s="28">
        <f>IF(OR($A2108="",$L2108=""),"",IF(AND($N2108="Sí",$P2108="Sí"),"OTIF","Falló"))</f>
        <v/>
      </c>
    </row>
    <row r="2109" ht="16" customHeight="1">
      <c r="A2109" s="48" t="n"/>
      <c r="B2109" s="48" t="n"/>
      <c r="C2109" s="47" t="n"/>
      <c r="D2109" s="50" t="n"/>
      <c r="E2109" s="50" t="n"/>
      <c r="F2109" s="50" t="n"/>
      <c r="G2109" s="50" t="n"/>
      <c r="H2109" s="48" t="n"/>
      <c r="I2109" s="51" t="n"/>
      <c r="J2109" s="52" t="n"/>
      <c r="K2109" s="47" t="n"/>
      <c r="L2109" s="47" t="n"/>
      <c r="M2109" s="24">
        <f>IF(OR($A2109="",$C2109=""),"",IF($L2109&lt;&gt;"",$L2109-$C2109,TODAY()-$C2109))</f>
        <v/>
      </c>
      <c r="N2109" s="28">
        <f>IF(OR($A2109="",$K2109=""),"",IF($L2109="",IF(TODAY()&gt;$K2109,"Atrasado","En ruta"),IF($L2109&lt;=$K2109,"Sí","No")))</f>
        <v/>
      </c>
      <c r="O2109" s="24">
        <f>IF($A2109="","",COUNTIFS(NOVEDADES!$D$4:$D$1503,$A2109))</f>
        <v/>
      </c>
      <c r="P2109" s="28">
        <f>IF($A2109="","",IF(COUNTIFS(NOVEDADES!$D$4:$D$1503,$A2109,NOVEDADES!$O$4:$O$1503,"SÍ")&gt;0,"No","Sí"))</f>
        <v/>
      </c>
      <c r="Q2109" s="28">
        <f>IF(OR($A2109="",$L2109=""),"",IF(AND($N2109="Sí",$P2109="Sí"),"OTIF","Falló"))</f>
        <v/>
      </c>
    </row>
    <row r="2110" ht="16" customHeight="1">
      <c r="A2110" s="48" t="n"/>
      <c r="B2110" s="48" t="n"/>
      <c r="C2110" s="47" t="n"/>
      <c r="D2110" s="50" t="n"/>
      <c r="E2110" s="50" t="n"/>
      <c r="F2110" s="50" t="n"/>
      <c r="G2110" s="50" t="n"/>
      <c r="H2110" s="48" t="n"/>
      <c r="I2110" s="51" t="n"/>
      <c r="J2110" s="52" t="n"/>
      <c r="K2110" s="47" t="n"/>
      <c r="L2110" s="47" t="n"/>
      <c r="M2110" s="24">
        <f>IF(OR($A2110="",$C2110=""),"",IF($L2110&lt;&gt;"",$L2110-$C2110,TODAY()-$C2110))</f>
        <v/>
      </c>
      <c r="N2110" s="28">
        <f>IF(OR($A2110="",$K2110=""),"",IF($L2110="",IF(TODAY()&gt;$K2110,"Atrasado","En ruta"),IF($L2110&lt;=$K2110,"Sí","No")))</f>
        <v/>
      </c>
      <c r="O2110" s="24">
        <f>IF($A2110="","",COUNTIFS(NOVEDADES!$D$4:$D$1503,$A2110))</f>
        <v/>
      </c>
      <c r="P2110" s="28">
        <f>IF($A2110="","",IF(COUNTIFS(NOVEDADES!$D$4:$D$1503,$A2110,NOVEDADES!$O$4:$O$1503,"SÍ")&gt;0,"No","Sí"))</f>
        <v/>
      </c>
      <c r="Q2110" s="28">
        <f>IF(OR($A2110="",$L2110=""),"",IF(AND($N2110="Sí",$P2110="Sí"),"OTIF","Falló"))</f>
        <v/>
      </c>
    </row>
    <row r="2111" ht="16" customHeight="1">
      <c r="A2111" s="48" t="n"/>
      <c r="B2111" s="48" t="n"/>
      <c r="C2111" s="47" t="n"/>
      <c r="D2111" s="50" t="n"/>
      <c r="E2111" s="50" t="n"/>
      <c r="F2111" s="50" t="n"/>
      <c r="G2111" s="50" t="n"/>
      <c r="H2111" s="48" t="n"/>
      <c r="I2111" s="51" t="n"/>
      <c r="J2111" s="52" t="n"/>
      <c r="K2111" s="47" t="n"/>
      <c r="L2111" s="47" t="n"/>
      <c r="M2111" s="24">
        <f>IF(OR($A2111="",$C2111=""),"",IF($L2111&lt;&gt;"",$L2111-$C2111,TODAY()-$C2111))</f>
        <v/>
      </c>
      <c r="N2111" s="28">
        <f>IF(OR($A2111="",$K2111=""),"",IF($L2111="",IF(TODAY()&gt;$K2111,"Atrasado","En ruta"),IF($L2111&lt;=$K2111,"Sí","No")))</f>
        <v/>
      </c>
      <c r="O2111" s="24">
        <f>IF($A2111="","",COUNTIFS(NOVEDADES!$D$4:$D$1503,$A2111))</f>
        <v/>
      </c>
      <c r="P2111" s="28">
        <f>IF($A2111="","",IF(COUNTIFS(NOVEDADES!$D$4:$D$1503,$A2111,NOVEDADES!$O$4:$O$1503,"SÍ")&gt;0,"No","Sí"))</f>
        <v/>
      </c>
      <c r="Q2111" s="28">
        <f>IF(OR($A2111="",$L2111=""),"",IF(AND($N2111="Sí",$P2111="Sí"),"OTIF","Falló"))</f>
        <v/>
      </c>
    </row>
    <row r="2112" ht="16" customHeight="1">
      <c r="A2112" s="48" t="n"/>
      <c r="B2112" s="48" t="n"/>
      <c r="C2112" s="47" t="n"/>
      <c r="D2112" s="50" t="n"/>
      <c r="E2112" s="50" t="n"/>
      <c r="F2112" s="50" t="n"/>
      <c r="G2112" s="50" t="n"/>
      <c r="H2112" s="48" t="n"/>
      <c r="I2112" s="51" t="n"/>
      <c r="J2112" s="52" t="n"/>
      <c r="K2112" s="47" t="n"/>
      <c r="L2112" s="47" t="n"/>
      <c r="M2112" s="24">
        <f>IF(OR($A2112="",$C2112=""),"",IF($L2112&lt;&gt;"",$L2112-$C2112,TODAY()-$C2112))</f>
        <v/>
      </c>
      <c r="N2112" s="28">
        <f>IF(OR($A2112="",$K2112=""),"",IF($L2112="",IF(TODAY()&gt;$K2112,"Atrasado","En ruta"),IF($L2112&lt;=$K2112,"Sí","No")))</f>
        <v/>
      </c>
      <c r="O2112" s="24">
        <f>IF($A2112="","",COUNTIFS(NOVEDADES!$D$4:$D$1503,$A2112))</f>
        <v/>
      </c>
      <c r="P2112" s="28">
        <f>IF($A2112="","",IF(COUNTIFS(NOVEDADES!$D$4:$D$1503,$A2112,NOVEDADES!$O$4:$O$1503,"SÍ")&gt;0,"No","Sí"))</f>
        <v/>
      </c>
      <c r="Q2112" s="28">
        <f>IF(OR($A2112="",$L2112=""),"",IF(AND($N2112="Sí",$P2112="Sí"),"OTIF","Falló"))</f>
        <v/>
      </c>
    </row>
    <row r="2113" ht="16" customHeight="1">
      <c r="A2113" s="48" t="n"/>
      <c r="B2113" s="48" t="n"/>
      <c r="C2113" s="47" t="n"/>
      <c r="D2113" s="50" t="n"/>
      <c r="E2113" s="50" t="n"/>
      <c r="F2113" s="50" t="n"/>
      <c r="G2113" s="50" t="n"/>
      <c r="H2113" s="48" t="n"/>
      <c r="I2113" s="51" t="n"/>
      <c r="J2113" s="52" t="n"/>
      <c r="K2113" s="47" t="n"/>
      <c r="L2113" s="47" t="n"/>
      <c r="M2113" s="24">
        <f>IF(OR($A2113="",$C2113=""),"",IF($L2113&lt;&gt;"",$L2113-$C2113,TODAY()-$C2113))</f>
        <v/>
      </c>
      <c r="N2113" s="28">
        <f>IF(OR($A2113="",$K2113=""),"",IF($L2113="",IF(TODAY()&gt;$K2113,"Atrasado","En ruta"),IF($L2113&lt;=$K2113,"Sí","No")))</f>
        <v/>
      </c>
      <c r="O2113" s="24">
        <f>IF($A2113="","",COUNTIFS(NOVEDADES!$D$4:$D$1503,$A2113))</f>
        <v/>
      </c>
      <c r="P2113" s="28">
        <f>IF($A2113="","",IF(COUNTIFS(NOVEDADES!$D$4:$D$1503,$A2113,NOVEDADES!$O$4:$O$1503,"SÍ")&gt;0,"No","Sí"))</f>
        <v/>
      </c>
      <c r="Q2113" s="28">
        <f>IF(OR($A2113="",$L2113=""),"",IF(AND($N2113="Sí",$P2113="Sí"),"OTIF","Falló"))</f>
        <v/>
      </c>
    </row>
    <row r="2114" ht="16" customHeight="1">
      <c r="A2114" s="48" t="n"/>
      <c r="B2114" s="48" t="n"/>
      <c r="C2114" s="47" t="n"/>
      <c r="D2114" s="50" t="n"/>
      <c r="E2114" s="50" t="n"/>
      <c r="F2114" s="50" t="n"/>
      <c r="G2114" s="50" t="n"/>
      <c r="H2114" s="48" t="n"/>
      <c r="I2114" s="51" t="n"/>
      <c r="J2114" s="52" t="n"/>
      <c r="K2114" s="47" t="n"/>
      <c r="L2114" s="47" t="n"/>
      <c r="M2114" s="24">
        <f>IF(OR($A2114="",$C2114=""),"",IF($L2114&lt;&gt;"",$L2114-$C2114,TODAY()-$C2114))</f>
        <v/>
      </c>
      <c r="N2114" s="28">
        <f>IF(OR($A2114="",$K2114=""),"",IF($L2114="",IF(TODAY()&gt;$K2114,"Atrasado","En ruta"),IF($L2114&lt;=$K2114,"Sí","No")))</f>
        <v/>
      </c>
      <c r="O2114" s="24">
        <f>IF($A2114="","",COUNTIFS(NOVEDADES!$D$4:$D$1503,$A2114))</f>
        <v/>
      </c>
      <c r="P2114" s="28">
        <f>IF($A2114="","",IF(COUNTIFS(NOVEDADES!$D$4:$D$1503,$A2114,NOVEDADES!$O$4:$O$1503,"SÍ")&gt;0,"No","Sí"))</f>
        <v/>
      </c>
      <c r="Q2114" s="28">
        <f>IF(OR($A2114="",$L2114=""),"",IF(AND($N2114="Sí",$P2114="Sí"),"OTIF","Falló"))</f>
        <v/>
      </c>
    </row>
    <row r="2115" ht="16" customHeight="1">
      <c r="A2115" s="48" t="n"/>
      <c r="B2115" s="48" t="n"/>
      <c r="C2115" s="47" t="n"/>
      <c r="D2115" s="50" t="n"/>
      <c r="E2115" s="50" t="n"/>
      <c r="F2115" s="50" t="n"/>
      <c r="G2115" s="50" t="n"/>
      <c r="H2115" s="48" t="n"/>
      <c r="I2115" s="51" t="n"/>
      <c r="J2115" s="52" t="n"/>
      <c r="K2115" s="47" t="n"/>
      <c r="L2115" s="47" t="n"/>
      <c r="M2115" s="24">
        <f>IF(OR($A2115="",$C2115=""),"",IF($L2115&lt;&gt;"",$L2115-$C2115,TODAY()-$C2115))</f>
        <v/>
      </c>
      <c r="N2115" s="28">
        <f>IF(OR($A2115="",$K2115=""),"",IF($L2115="",IF(TODAY()&gt;$K2115,"Atrasado","En ruta"),IF($L2115&lt;=$K2115,"Sí","No")))</f>
        <v/>
      </c>
      <c r="O2115" s="24">
        <f>IF($A2115="","",COUNTIFS(NOVEDADES!$D$4:$D$1503,$A2115))</f>
        <v/>
      </c>
      <c r="P2115" s="28">
        <f>IF($A2115="","",IF(COUNTIFS(NOVEDADES!$D$4:$D$1503,$A2115,NOVEDADES!$O$4:$O$1503,"SÍ")&gt;0,"No","Sí"))</f>
        <v/>
      </c>
      <c r="Q2115" s="28">
        <f>IF(OR($A2115="",$L2115=""),"",IF(AND($N2115="Sí",$P2115="Sí"),"OTIF","Falló"))</f>
        <v/>
      </c>
    </row>
    <row r="2116" ht="16" customHeight="1">
      <c r="A2116" s="48" t="n"/>
      <c r="B2116" s="48" t="n"/>
      <c r="C2116" s="47" t="n"/>
      <c r="D2116" s="50" t="n"/>
      <c r="E2116" s="50" t="n"/>
      <c r="F2116" s="50" t="n"/>
      <c r="G2116" s="50" t="n"/>
      <c r="H2116" s="48" t="n"/>
      <c r="I2116" s="51" t="n"/>
      <c r="J2116" s="52" t="n"/>
      <c r="K2116" s="47" t="n"/>
      <c r="L2116" s="47" t="n"/>
      <c r="M2116" s="24">
        <f>IF(OR($A2116="",$C2116=""),"",IF($L2116&lt;&gt;"",$L2116-$C2116,TODAY()-$C2116))</f>
        <v/>
      </c>
      <c r="N2116" s="28">
        <f>IF(OR($A2116="",$K2116=""),"",IF($L2116="",IF(TODAY()&gt;$K2116,"Atrasado","En ruta"),IF($L2116&lt;=$K2116,"Sí","No")))</f>
        <v/>
      </c>
      <c r="O2116" s="24">
        <f>IF($A2116="","",COUNTIFS(NOVEDADES!$D$4:$D$1503,$A2116))</f>
        <v/>
      </c>
      <c r="P2116" s="28">
        <f>IF($A2116="","",IF(COUNTIFS(NOVEDADES!$D$4:$D$1503,$A2116,NOVEDADES!$O$4:$O$1503,"SÍ")&gt;0,"No","Sí"))</f>
        <v/>
      </c>
      <c r="Q2116" s="28">
        <f>IF(OR($A2116="",$L2116=""),"",IF(AND($N2116="Sí",$P2116="Sí"),"OTIF","Falló"))</f>
        <v/>
      </c>
    </row>
    <row r="2117" ht="16" customHeight="1">
      <c r="A2117" s="48" t="n"/>
      <c r="B2117" s="48" t="n"/>
      <c r="C2117" s="47" t="n"/>
      <c r="D2117" s="50" t="n"/>
      <c r="E2117" s="50" t="n"/>
      <c r="F2117" s="50" t="n"/>
      <c r="G2117" s="50" t="n"/>
      <c r="H2117" s="48" t="n"/>
      <c r="I2117" s="51" t="n"/>
      <c r="J2117" s="52" t="n"/>
      <c r="K2117" s="47" t="n"/>
      <c r="L2117" s="47" t="n"/>
      <c r="M2117" s="24">
        <f>IF(OR($A2117="",$C2117=""),"",IF($L2117&lt;&gt;"",$L2117-$C2117,TODAY()-$C2117))</f>
        <v/>
      </c>
      <c r="N2117" s="28">
        <f>IF(OR($A2117="",$K2117=""),"",IF($L2117="",IF(TODAY()&gt;$K2117,"Atrasado","En ruta"),IF($L2117&lt;=$K2117,"Sí","No")))</f>
        <v/>
      </c>
      <c r="O2117" s="24">
        <f>IF($A2117="","",COUNTIFS(NOVEDADES!$D$4:$D$1503,$A2117))</f>
        <v/>
      </c>
      <c r="P2117" s="28">
        <f>IF($A2117="","",IF(COUNTIFS(NOVEDADES!$D$4:$D$1503,$A2117,NOVEDADES!$O$4:$O$1503,"SÍ")&gt;0,"No","Sí"))</f>
        <v/>
      </c>
      <c r="Q2117" s="28">
        <f>IF(OR($A2117="",$L2117=""),"",IF(AND($N2117="Sí",$P2117="Sí"),"OTIF","Falló"))</f>
        <v/>
      </c>
    </row>
    <row r="2118" ht="16" customHeight="1">
      <c r="A2118" s="48" t="n"/>
      <c r="B2118" s="48" t="n"/>
      <c r="C2118" s="47" t="n"/>
      <c r="D2118" s="50" t="n"/>
      <c r="E2118" s="50" t="n"/>
      <c r="F2118" s="50" t="n"/>
      <c r="G2118" s="50" t="n"/>
      <c r="H2118" s="48" t="n"/>
      <c r="I2118" s="51" t="n"/>
      <c r="J2118" s="52" t="n"/>
      <c r="K2118" s="47" t="n"/>
      <c r="L2118" s="47" t="n"/>
      <c r="M2118" s="24">
        <f>IF(OR($A2118="",$C2118=""),"",IF($L2118&lt;&gt;"",$L2118-$C2118,TODAY()-$C2118))</f>
        <v/>
      </c>
      <c r="N2118" s="28">
        <f>IF(OR($A2118="",$K2118=""),"",IF($L2118="",IF(TODAY()&gt;$K2118,"Atrasado","En ruta"),IF($L2118&lt;=$K2118,"Sí","No")))</f>
        <v/>
      </c>
      <c r="O2118" s="24">
        <f>IF($A2118="","",COUNTIFS(NOVEDADES!$D$4:$D$1503,$A2118))</f>
        <v/>
      </c>
      <c r="P2118" s="28">
        <f>IF($A2118="","",IF(COUNTIFS(NOVEDADES!$D$4:$D$1503,$A2118,NOVEDADES!$O$4:$O$1503,"SÍ")&gt;0,"No","Sí"))</f>
        <v/>
      </c>
      <c r="Q2118" s="28">
        <f>IF(OR($A2118="",$L2118=""),"",IF(AND($N2118="Sí",$P2118="Sí"),"OTIF","Falló"))</f>
        <v/>
      </c>
    </row>
    <row r="2119" ht="16" customHeight="1">
      <c r="A2119" s="48" t="n"/>
      <c r="B2119" s="48" t="n"/>
      <c r="C2119" s="47" t="n"/>
      <c r="D2119" s="50" t="n"/>
      <c r="E2119" s="50" t="n"/>
      <c r="F2119" s="50" t="n"/>
      <c r="G2119" s="50" t="n"/>
      <c r="H2119" s="48" t="n"/>
      <c r="I2119" s="51" t="n"/>
      <c r="J2119" s="52" t="n"/>
      <c r="K2119" s="47" t="n"/>
      <c r="L2119" s="47" t="n"/>
      <c r="M2119" s="24">
        <f>IF(OR($A2119="",$C2119=""),"",IF($L2119&lt;&gt;"",$L2119-$C2119,TODAY()-$C2119))</f>
        <v/>
      </c>
      <c r="N2119" s="28">
        <f>IF(OR($A2119="",$K2119=""),"",IF($L2119="",IF(TODAY()&gt;$K2119,"Atrasado","En ruta"),IF($L2119&lt;=$K2119,"Sí","No")))</f>
        <v/>
      </c>
      <c r="O2119" s="24">
        <f>IF($A2119="","",COUNTIFS(NOVEDADES!$D$4:$D$1503,$A2119))</f>
        <v/>
      </c>
      <c r="P2119" s="28">
        <f>IF($A2119="","",IF(COUNTIFS(NOVEDADES!$D$4:$D$1503,$A2119,NOVEDADES!$O$4:$O$1503,"SÍ")&gt;0,"No","Sí"))</f>
        <v/>
      </c>
      <c r="Q2119" s="28">
        <f>IF(OR($A2119="",$L2119=""),"",IF(AND($N2119="Sí",$P2119="Sí"),"OTIF","Falló"))</f>
        <v/>
      </c>
    </row>
    <row r="2120" ht="16" customHeight="1">
      <c r="A2120" s="48" t="n"/>
      <c r="B2120" s="48" t="n"/>
      <c r="C2120" s="47" t="n"/>
      <c r="D2120" s="50" t="n"/>
      <c r="E2120" s="50" t="n"/>
      <c r="F2120" s="50" t="n"/>
      <c r="G2120" s="50" t="n"/>
      <c r="H2120" s="48" t="n"/>
      <c r="I2120" s="51" t="n"/>
      <c r="J2120" s="52" t="n"/>
      <c r="K2120" s="47" t="n"/>
      <c r="L2120" s="47" t="n"/>
      <c r="M2120" s="24">
        <f>IF(OR($A2120="",$C2120=""),"",IF($L2120&lt;&gt;"",$L2120-$C2120,TODAY()-$C2120))</f>
        <v/>
      </c>
      <c r="N2120" s="28">
        <f>IF(OR($A2120="",$K2120=""),"",IF($L2120="",IF(TODAY()&gt;$K2120,"Atrasado","En ruta"),IF($L2120&lt;=$K2120,"Sí","No")))</f>
        <v/>
      </c>
      <c r="O2120" s="24">
        <f>IF($A2120="","",COUNTIFS(NOVEDADES!$D$4:$D$1503,$A2120))</f>
        <v/>
      </c>
      <c r="P2120" s="28">
        <f>IF($A2120="","",IF(COUNTIFS(NOVEDADES!$D$4:$D$1503,$A2120,NOVEDADES!$O$4:$O$1503,"SÍ")&gt;0,"No","Sí"))</f>
        <v/>
      </c>
      <c r="Q2120" s="28">
        <f>IF(OR($A2120="",$L2120=""),"",IF(AND($N2120="Sí",$P2120="Sí"),"OTIF","Falló"))</f>
        <v/>
      </c>
    </row>
    <row r="2121" ht="16" customHeight="1">
      <c r="A2121" s="48" t="n"/>
      <c r="B2121" s="48" t="n"/>
      <c r="C2121" s="47" t="n"/>
      <c r="D2121" s="50" t="n"/>
      <c r="E2121" s="50" t="n"/>
      <c r="F2121" s="50" t="n"/>
      <c r="G2121" s="50" t="n"/>
      <c r="H2121" s="48" t="n"/>
      <c r="I2121" s="51" t="n"/>
      <c r="J2121" s="52" t="n"/>
      <c r="K2121" s="47" t="n"/>
      <c r="L2121" s="47" t="n"/>
      <c r="M2121" s="24">
        <f>IF(OR($A2121="",$C2121=""),"",IF($L2121&lt;&gt;"",$L2121-$C2121,TODAY()-$C2121))</f>
        <v/>
      </c>
      <c r="N2121" s="28">
        <f>IF(OR($A2121="",$K2121=""),"",IF($L2121="",IF(TODAY()&gt;$K2121,"Atrasado","En ruta"),IF($L2121&lt;=$K2121,"Sí","No")))</f>
        <v/>
      </c>
      <c r="O2121" s="24">
        <f>IF($A2121="","",COUNTIFS(NOVEDADES!$D$4:$D$1503,$A2121))</f>
        <v/>
      </c>
      <c r="P2121" s="28">
        <f>IF($A2121="","",IF(COUNTIFS(NOVEDADES!$D$4:$D$1503,$A2121,NOVEDADES!$O$4:$O$1503,"SÍ")&gt;0,"No","Sí"))</f>
        <v/>
      </c>
      <c r="Q2121" s="28">
        <f>IF(OR($A2121="",$L2121=""),"",IF(AND($N2121="Sí",$P2121="Sí"),"OTIF","Falló"))</f>
        <v/>
      </c>
    </row>
    <row r="2122" ht="16" customHeight="1">
      <c r="A2122" s="48" t="n"/>
      <c r="B2122" s="48" t="n"/>
      <c r="C2122" s="47" t="n"/>
      <c r="D2122" s="50" t="n"/>
      <c r="E2122" s="50" t="n"/>
      <c r="F2122" s="50" t="n"/>
      <c r="G2122" s="50" t="n"/>
      <c r="H2122" s="48" t="n"/>
      <c r="I2122" s="51" t="n"/>
      <c r="J2122" s="52" t="n"/>
      <c r="K2122" s="47" t="n"/>
      <c r="L2122" s="47" t="n"/>
      <c r="M2122" s="24">
        <f>IF(OR($A2122="",$C2122=""),"",IF($L2122&lt;&gt;"",$L2122-$C2122,TODAY()-$C2122))</f>
        <v/>
      </c>
      <c r="N2122" s="28">
        <f>IF(OR($A2122="",$K2122=""),"",IF($L2122="",IF(TODAY()&gt;$K2122,"Atrasado","En ruta"),IF($L2122&lt;=$K2122,"Sí","No")))</f>
        <v/>
      </c>
      <c r="O2122" s="24">
        <f>IF($A2122="","",COUNTIFS(NOVEDADES!$D$4:$D$1503,$A2122))</f>
        <v/>
      </c>
      <c r="P2122" s="28">
        <f>IF($A2122="","",IF(COUNTIFS(NOVEDADES!$D$4:$D$1503,$A2122,NOVEDADES!$O$4:$O$1503,"SÍ")&gt;0,"No","Sí"))</f>
        <v/>
      </c>
      <c r="Q2122" s="28">
        <f>IF(OR($A2122="",$L2122=""),"",IF(AND($N2122="Sí",$P2122="Sí"),"OTIF","Falló"))</f>
        <v/>
      </c>
    </row>
    <row r="2123" ht="16" customHeight="1">
      <c r="A2123" s="48" t="n"/>
      <c r="B2123" s="48" t="n"/>
      <c r="C2123" s="47" t="n"/>
      <c r="D2123" s="50" t="n"/>
      <c r="E2123" s="50" t="n"/>
      <c r="F2123" s="50" t="n"/>
      <c r="G2123" s="50" t="n"/>
      <c r="H2123" s="48" t="n"/>
      <c r="I2123" s="51" t="n"/>
      <c r="J2123" s="52" t="n"/>
      <c r="K2123" s="47" t="n"/>
      <c r="L2123" s="47" t="n"/>
      <c r="M2123" s="24">
        <f>IF(OR($A2123="",$C2123=""),"",IF($L2123&lt;&gt;"",$L2123-$C2123,TODAY()-$C2123))</f>
        <v/>
      </c>
      <c r="N2123" s="28">
        <f>IF(OR($A2123="",$K2123=""),"",IF($L2123="",IF(TODAY()&gt;$K2123,"Atrasado","En ruta"),IF($L2123&lt;=$K2123,"Sí","No")))</f>
        <v/>
      </c>
      <c r="O2123" s="24">
        <f>IF($A2123="","",COUNTIFS(NOVEDADES!$D$4:$D$1503,$A2123))</f>
        <v/>
      </c>
      <c r="P2123" s="28">
        <f>IF($A2123="","",IF(COUNTIFS(NOVEDADES!$D$4:$D$1503,$A2123,NOVEDADES!$O$4:$O$1503,"SÍ")&gt;0,"No","Sí"))</f>
        <v/>
      </c>
      <c r="Q2123" s="28">
        <f>IF(OR($A2123="",$L2123=""),"",IF(AND($N2123="Sí",$P2123="Sí"),"OTIF","Falló"))</f>
        <v/>
      </c>
    </row>
    <row r="2124" ht="16" customHeight="1">
      <c r="A2124" s="48" t="n"/>
      <c r="B2124" s="48" t="n"/>
      <c r="C2124" s="47" t="n"/>
      <c r="D2124" s="50" t="n"/>
      <c r="E2124" s="50" t="n"/>
      <c r="F2124" s="50" t="n"/>
      <c r="G2124" s="50" t="n"/>
      <c r="H2124" s="48" t="n"/>
      <c r="I2124" s="51" t="n"/>
      <c r="J2124" s="52" t="n"/>
      <c r="K2124" s="47" t="n"/>
      <c r="L2124" s="47" t="n"/>
      <c r="M2124" s="24">
        <f>IF(OR($A2124="",$C2124=""),"",IF($L2124&lt;&gt;"",$L2124-$C2124,TODAY()-$C2124))</f>
        <v/>
      </c>
      <c r="N2124" s="28">
        <f>IF(OR($A2124="",$K2124=""),"",IF($L2124="",IF(TODAY()&gt;$K2124,"Atrasado","En ruta"),IF($L2124&lt;=$K2124,"Sí","No")))</f>
        <v/>
      </c>
      <c r="O2124" s="24">
        <f>IF($A2124="","",COUNTIFS(NOVEDADES!$D$4:$D$1503,$A2124))</f>
        <v/>
      </c>
      <c r="P2124" s="28">
        <f>IF($A2124="","",IF(COUNTIFS(NOVEDADES!$D$4:$D$1503,$A2124,NOVEDADES!$O$4:$O$1503,"SÍ")&gt;0,"No","Sí"))</f>
        <v/>
      </c>
      <c r="Q2124" s="28">
        <f>IF(OR($A2124="",$L2124=""),"",IF(AND($N2124="Sí",$P2124="Sí"),"OTIF","Falló"))</f>
        <v/>
      </c>
    </row>
    <row r="2125" ht="16" customHeight="1">
      <c r="A2125" s="48" t="n"/>
      <c r="B2125" s="48" t="n"/>
      <c r="C2125" s="47" t="n"/>
      <c r="D2125" s="50" t="n"/>
      <c r="E2125" s="50" t="n"/>
      <c r="F2125" s="50" t="n"/>
      <c r="G2125" s="50" t="n"/>
      <c r="H2125" s="48" t="n"/>
      <c r="I2125" s="51" t="n"/>
      <c r="J2125" s="52" t="n"/>
      <c r="K2125" s="47" t="n"/>
      <c r="L2125" s="47" t="n"/>
      <c r="M2125" s="24">
        <f>IF(OR($A2125="",$C2125=""),"",IF($L2125&lt;&gt;"",$L2125-$C2125,TODAY()-$C2125))</f>
        <v/>
      </c>
      <c r="N2125" s="28">
        <f>IF(OR($A2125="",$K2125=""),"",IF($L2125="",IF(TODAY()&gt;$K2125,"Atrasado","En ruta"),IF($L2125&lt;=$K2125,"Sí","No")))</f>
        <v/>
      </c>
      <c r="O2125" s="24">
        <f>IF($A2125="","",COUNTIFS(NOVEDADES!$D$4:$D$1503,$A2125))</f>
        <v/>
      </c>
      <c r="P2125" s="28">
        <f>IF($A2125="","",IF(COUNTIFS(NOVEDADES!$D$4:$D$1503,$A2125,NOVEDADES!$O$4:$O$1503,"SÍ")&gt;0,"No","Sí"))</f>
        <v/>
      </c>
      <c r="Q2125" s="28">
        <f>IF(OR($A2125="",$L2125=""),"",IF(AND($N2125="Sí",$P2125="Sí"),"OTIF","Falló"))</f>
        <v/>
      </c>
    </row>
    <row r="2126" ht="16" customHeight="1">
      <c r="A2126" s="48" t="n"/>
      <c r="B2126" s="48" t="n"/>
      <c r="C2126" s="47" t="n"/>
      <c r="D2126" s="50" t="n"/>
      <c r="E2126" s="50" t="n"/>
      <c r="F2126" s="50" t="n"/>
      <c r="G2126" s="50" t="n"/>
      <c r="H2126" s="48" t="n"/>
      <c r="I2126" s="51" t="n"/>
      <c r="J2126" s="52" t="n"/>
      <c r="K2126" s="47" t="n"/>
      <c r="L2126" s="47" t="n"/>
      <c r="M2126" s="24">
        <f>IF(OR($A2126="",$C2126=""),"",IF($L2126&lt;&gt;"",$L2126-$C2126,TODAY()-$C2126))</f>
        <v/>
      </c>
      <c r="N2126" s="28">
        <f>IF(OR($A2126="",$K2126=""),"",IF($L2126="",IF(TODAY()&gt;$K2126,"Atrasado","En ruta"),IF($L2126&lt;=$K2126,"Sí","No")))</f>
        <v/>
      </c>
      <c r="O2126" s="24">
        <f>IF($A2126="","",COUNTIFS(NOVEDADES!$D$4:$D$1503,$A2126))</f>
        <v/>
      </c>
      <c r="P2126" s="28">
        <f>IF($A2126="","",IF(COUNTIFS(NOVEDADES!$D$4:$D$1503,$A2126,NOVEDADES!$O$4:$O$1503,"SÍ")&gt;0,"No","Sí"))</f>
        <v/>
      </c>
      <c r="Q2126" s="28">
        <f>IF(OR($A2126="",$L2126=""),"",IF(AND($N2126="Sí",$P2126="Sí"),"OTIF","Falló"))</f>
        <v/>
      </c>
    </row>
    <row r="2127" ht="16" customHeight="1">
      <c r="A2127" s="48" t="n"/>
      <c r="B2127" s="48" t="n"/>
      <c r="C2127" s="47" t="n"/>
      <c r="D2127" s="50" t="n"/>
      <c r="E2127" s="50" t="n"/>
      <c r="F2127" s="50" t="n"/>
      <c r="G2127" s="50" t="n"/>
      <c r="H2127" s="48" t="n"/>
      <c r="I2127" s="51" t="n"/>
      <c r="J2127" s="52" t="n"/>
      <c r="K2127" s="47" t="n"/>
      <c r="L2127" s="47" t="n"/>
      <c r="M2127" s="24">
        <f>IF(OR($A2127="",$C2127=""),"",IF($L2127&lt;&gt;"",$L2127-$C2127,TODAY()-$C2127))</f>
        <v/>
      </c>
      <c r="N2127" s="28">
        <f>IF(OR($A2127="",$K2127=""),"",IF($L2127="",IF(TODAY()&gt;$K2127,"Atrasado","En ruta"),IF($L2127&lt;=$K2127,"Sí","No")))</f>
        <v/>
      </c>
      <c r="O2127" s="24">
        <f>IF($A2127="","",COUNTIFS(NOVEDADES!$D$4:$D$1503,$A2127))</f>
        <v/>
      </c>
      <c r="P2127" s="28">
        <f>IF($A2127="","",IF(COUNTIFS(NOVEDADES!$D$4:$D$1503,$A2127,NOVEDADES!$O$4:$O$1503,"SÍ")&gt;0,"No","Sí"))</f>
        <v/>
      </c>
      <c r="Q2127" s="28">
        <f>IF(OR($A2127="",$L2127=""),"",IF(AND($N2127="Sí",$P2127="Sí"),"OTIF","Falló"))</f>
        <v/>
      </c>
    </row>
    <row r="2128" ht="16" customHeight="1">
      <c r="A2128" s="48" t="n"/>
      <c r="B2128" s="48" t="n"/>
      <c r="C2128" s="47" t="n"/>
      <c r="D2128" s="50" t="n"/>
      <c r="E2128" s="50" t="n"/>
      <c r="F2128" s="50" t="n"/>
      <c r="G2128" s="50" t="n"/>
      <c r="H2128" s="48" t="n"/>
      <c r="I2128" s="51" t="n"/>
      <c r="J2128" s="52" t="n"/>
      <c r="K2128" s="47" t="n"/>
      <c r="L2128" s="47" t="n"/>
      <c r="M2128" s="24">
        <f>IF(OR($A2128="",$C2128=""),"",IF($L2128&lt;&gt;"",$L2128-$C2128,TODAY()-$C2128))</f>
        <v/>
      </c>
      <c r="N2128" s="28">
        <f>IF(OR($A2128="",$K2128=""),"",IF($L2128="",IF(TODAY()&gt;$K2128,"Atrasado","En ruta"),IF($L2128&lt;=$K2128,"Sí","No")))</f>
        <v/>
      </c>
      <c r="O2128" s="24">
        <f>IF($A2128="","",COUNTIFS(NOVEDADES!$D$4:$D$1503,$A2128))</f>
        <v/>
      </c>
      <c r="P2128" s="28">
        <f>IF($A2128="","",IF(COUNTIFS(NOVEDADES!$D$4:$D$1503,$A2128,NOVEDADES!$O$4:$O$1503,"SÍ")&gt;0,"No","Sí"))</f>
        <v/>
      </c>
      <c r="Q2128" s="28">
        <f>IF(OR($A2128="",$L2128=""),"",IF(AND($N2128="Sí",$P2128="Sí"),"OTIF","Falló"))</f>
        <v/>
      </c>
    </row>
    <row r="2129" ht="16" customHeight="1">
      <c r="A2129" s="48" t="n"/>
      <c r="B2129" s="48" t="n"/>
      <c r="C2129" s="47" t="n"/>
      <c r="D2129" s="50" t="n"/>
      <c r="E2129" s="50" t="n"/>
      <c r="F2129" s="50" t="n"/>
      <c r="G2129" s="50" t="n"/>
      <c r="H2129" s="48" t="n"/>
      <c r="I2129" s="51" t="n"/>
      <c r="J2129" s="52" t="n"/>
      <c r="K2129" s="47" t="n"/>
      <c r="L2129" s="47" t="n"/>
      <c r="M2129" s="24">
        <f>IF(OR($A2129="",$C2129=""),"",IF($L2129&lt;&gt;"",$L2129-$C2129,TODAY()-$C2129))</f>
        <v/>
      </c>
      <c r="N2129" s="28">
        <f>IF(OR($A2129="",$K2129=""),"",IF($L2129="",IF(TODAY()&gt;$K2129,"Atrasado","En ruta"),IF($L2129&lt;=$K2129,"Sí","No")))</f>
        <v/>
      </c>
      <c r="O2129" s="24">
        <f>IF($A2129="","",COUNTIFS(NOVEDADES!$D$4:$D$1503,$A2129))</f>
        <v/>
      </c>
      <c r="P2129" s="28">
        <f>IF($A2129="","",IF(COUNTIFS(NOVEDADES!$D$4:$D$1503,$A2129,NOVEDADES!$O$4:$O$1503,"SÍ")&gt;0,"No","Sí"))</f>
        <v/>
      </c>
      <c r="Q2129" s="28">
        <f>IF(OR($A2129="",$L2129=""),"",IF(AND($N2129="Sí",$P2129="Sí"),"OTIF","Falló"))</f>
        <v/>
      </c>
    </row>
    <row r="2130" ht="16" customHeight="1">
      <c r="A2130" s="48" t="n"/>
      <c r="B2130" s="48" t="n"/>
      <c r="C2130" s="47" t="n"/>
      <c r="D2130" s="50" t="n"/>
      <c r="E2130" s="50" t="n"/>
      <c r="F2130" s="50" t="n"/>
      <c r="G2130" s="50" t="n"/>
      <c r="H2130" s="48" t="n"/>
      <c r="I2130" s="51" t="n"/>
      <c r="J2130" s="52" t="n"/>
      <c r="K2130" s="47" t="n"/>
      <c r="L2130" s="47" t="n"/>
      <c r="M2130" s="24">
        <f>IF(OR($A2130="",$C2130=""),"",IF($L2130&lt;&gt;"",$L2130-$C2130,TODAY()-$C2130))</f>
        <v/>
      </c>
      <c r="N2130" s="28">
        <f>IF(OR($A2130="",$K2130=""),"",IF($L2130="",IF(TODAY()&gt;$K2130,"Atrasado","En ruta"),IF($L2130&lt;=$K2130,"Sí","No")))</f>
        <v/>
      </c>
      <c r="O2130" s="24">
        <f>IF($A2130="","",COUNTIFS(NOVEDADES!$D$4:$D$1503,$A2130))</f>
        <v/>
      </c>
      <c r="P2130" s="28">
        <f>IF($A2130="","",IF(COUNTIFS(NOVEDADES!$D$4:$D$1503,$A2130,NOVEDADES!$O$4:$O$1503,"SÍ")&gt;0,"No","Sí"))</f>
        <v/>
      </c>
      <c r="Q2130" s="28">
        <f>IF(OR($A2130="",$L2130=""),"",IF(AND($N2130="Sí",$P2130="Sí"),"OTIF","Falló"))</f>
        <v/>
      </c>
    </row>
    <row r="2131" ht="16" customHeight="1">
      <c r="A2131" s="48" t="n"/>
      <c r="B2131" s="48" t="n"/>
      <c r="C2131" s="47" t="n"/>
      <c r="D2131" s="50" t="n"/>
      <c r="E2131" s="50" t="n"/>
      <c r="F2131" s="50" t="n"/>
      <c r="G2131" s="50" t="n"/>
      <c r="H2131" s="48" t="n"/>
      <c r="I2131" s="51" t="n"/>
      <c r="J2131" s="52" t="n"/>
      <c r="K2131" s="47" t="n"/>
      <c r="L2131" s="47" t="n"/>
      <c r="M2131" s="24">
        <f>IF(OR($A2131="",$C2131=""),"",IF($L2131&lt;&gt;"",$L2131-$C2131,TODAY()-$C2131))</f>
        <v/>
      </c>
      <c r="N2131" s="28">
        <f>IF(OR($A2131="",$K2131=""),"",IF($L2131="",IF(TODAY()&gt;$K2131,"Atrasado","En ruta"),IF($L2131&lt;=$K2131,"Sí","No")))</f>
        <v/>
      </c>
      <c r="O2131" s="24">
        <f>IF($A2131="","",COUNTIFS(NOVEDADES!$D$4:$D$1503,$A2131))</f>
        <v/>
      </c>
      <c r="P2131" s="28">
        <f>IF($A2131="","",IF(COUNTIFS(NOVEDADES!$D$4:$D$1503,$A2131,NOVEDADES!$O$4:$O$1503,"SÍ")&gt;0,"No","Sí"))</f>
        <v/>
      </c>
      <c r="Q2131" s="28">
        <f>IF(OR($A2131="",$L2131=""),"",IF(AND($N2131="Sí",$P2131="Sí"),"OTIF","Falló"))</f>
        <v/>
      </c>
    </row>
    <row r="2132" ht="16" customHeight="1">
      <c r="A2132" s="48" t="n"/>
      <c r="B2132" s="48" t="n"/>
      <c r="C2132" s="47" t="n"/>
      <c r="D2132" s="50" t="n"/>
      <c r="E2132" s="50" t="n"/>
      <c r="F2132" s="50" t="n"/>
      <c r="G2132" s="50" t="n"/>
      <c r="H2132" s="48" t="n"/>
      <c r="I2132" s="51" t="n"/>
      <c r="J2132" s="52" t="n"/>
      <c r="K2132" s="47" t="n"/>
      <c r="L2132" s="47" t="n"/>
      <c r="M2132" s="24">
        <f>IF(OR($A2132="",$C2132=""),"",IF($L2132&lt;&gt;"",$L2132-$C2132,TODAY()-$C2132))</f>
        <v/>
      </c>
      <c r="N2132" s="28">
        <f>IF(OR($A2132="",$K2132=""),"",IF($L2132="",IF(TODAY()&gt;$K2132,"Atrasado","En ruta"),IF($L2132&lt;=$K2132,"Sí","No")))</f>
        <v/>
      </c>
      <c r="O2132" s="24">
        <f>IF($A2132="","",COUNTIFS(NOVEDADES!$D$4:$D$1503,$A2132))</f>
        <v/>
      </c>
      <c r="P2132" s="28">
        <f>IF($A2132="","",IF(COUNTIFS(NOVEDADES!$D$4:$D$1503,$A2132,NOVEDADES!$O$4:$O$1503,"SÍ")&gt;0,"No","Sí"))</f>
        <v/>
      </c>
      <c r="Q2132" s="28">
        <f>IF(OR($A2132="",$L2132=""),"",IF(AND($N2132="Sí",$P2132="Sí"),"OTIF","Falló"))</f>
        <v/>
      </c>
    </row>
    <row r="2133" ht="16" customHeight="1">
      <c r="A2133" s="48" t="n"/>
      <c r="B2133" s="48" t="n"/>
      <c r="C2133" s="47" t="n"/>
      <c r="D2133" s="50" t="n"/>
      <c r="E2133" s="50" t="n"/>
      <c r="F2133" s="50" t="n"/>
      <c r="G2133" s="50" t="n"/>
      <c r="H2133" s="48" t="n"/>
      <c r="I2133" s="51" t="n"/>
      <c r="J2133" s="52" t="n"/>
      <c r="K2133" s="47" t="n"/>
      <c r="L2133" s="47" t="n"/>
      <c r="M2133" s="24">
        <f>IF(OR($A2133="",$C2133=""),"",IF($L2133&lt;&gt;"",$L2133-$C2133,TODAY()-$C2133))</f>
        <v/>
      </c>
      <c r="N2133" s="28">
        <f>IF(OR($A2133="",$K2133=""),"",IF($L2133="",IF(TODAY()&gt;$K2133,"Atrasado","En ruta"),IF($L2133&lt;=$K2133,"Sí","No")))</f>
        <v/>
      </c>
      <c r="O2133" s="24">
        <f>IF($A2133="","",COUNTIFS(NOVEDADES!$D$4:$D$1503,$A2133))</f>
        <v/>
      </c>
      <c r="P2133" s="28">
        <f>IF($A2133="","",IF(COUNTIFS(NOVEDADES!$D$4:$D$1503,$A2133,NOVEDADES!$O$4:$O$1503,"SÍ")&gt;0,"No","Sí"))</f>
        <v/>
      </c>
      <c r="Q2133" s="28">
        <f>IF(OR($A2133="",$L2133=""),"",IF(AND($N2133="Sí",$P2133="Sí"),"OTIF","Falló"))</f>
        <v/>
      </c>
    </row>
    <row r="2134" ht="16" customHeight="1">
      <c r="A2134" s="48" t="n"/>
      <c r="B2134" s="48" t="n"/>
      <c r="C2134" s="47" t="n"/>
      <c r="D2134" s="50" t="n"/>
      <c r="E2134" s="50" t="n"/>
      <c r="F2134" s="50" t="n"/>
      <c r="G2134" s="50" t="n"/>
      <c r="H2134" s="48" t="n"/>
      <c r="I2134" s="51" t="n"/>
      <c r="J2134" s="52" t="n"/>
      <c r="K2134" s="47" t="n"/>
      <c r="L2134" s="47" t="n"/>
      <c r="M2134" s="24">
        <f>IF(OR($A2134="",$C2134=""),"",IF($L2134&lt;&gt;"",$L2134-$C2134,TODAY()-$C2134))</f>
        <v/>
      </c>
      <c r="N2134" s="28">
        <f>IF(OR($A2134="",$K2134=""),"",IF($L2134="",IF(TODAY()&gt;$K2134,"Atrasado","En ruta"),IF($L2134&lt;=$K2134,"Sí","No")))</f>
        <v/>
      </c>
      <c r="O2134" s="24">
        <f>IF($A2134="","",COUNTIFS(NOVEDADES!$D$4:$D$1503,$A2134))</f>
        <v/>
      </c>
      <c r="P2134" s="28">
        <f>IF($A2134="","",IF(COUNTIFS(NOVEDADES!$D$4:$D$1503,$A2134,NOVEDADES!$O$4:$O$1503,"SÍ")&gt;0,"No","Sí"))</f>
        <v/>
      </c>
      <c r="Q2134" s="28">
        <f>IF(OR($A2134="",$L2134=""),"",IF(AND($N2134="Sí",$P2134="Sí"),"OTIF","Falló"))</f>
        <v/>
      </c>
    </row>
    <row r="2135" ht="16" customHeight="1">
      <c r="A2135" s="48" t="n"/>
      <c r="B2135" s="48" t="n"/>
      <c r="C2135" s="47" t="n"/>
      <c r="D2135" s="50" t="n"/>
      <c r="E2135" s="50" t="n"/>
      <c r="F2135" s="50" t="n"/>
      <c r="G2135" s="50" t="n"/>
      <c r="H2135" s="48" t="n"/>
      <c r="I2135" s="51" t="n"/>
      <c r="J2135" s="52" t="n"/>
      <c r="K2135" s="47" t="n"/>
      <c r="L2135" s="47" t="n"/>
      <c r="M2135" s="24">
        <f>IF(OR($A2135="",$C2135=""),"",IF($L2135&lt;&gt;"",$L2135-$C2135,TODAY()-$C2135))</f>
        <v/>
      </c>
      <c r="N2135" s="28">
        <f>IF(OR($A2135="",$K2135=""),"",IF($L2135="",IF(TODAY()&gt;$K2135,"Atrasado","En ruta"),IF($L2135&lt;=$K2135,"Sí","No")))</f>
        <v/>
      </c>
      <c r="O2135" s="24">
        <f>IF($A2135="","",COUNTIFS(NOVEDADES!$D$4:$D$1503,$A2135))</f>
        <v/>
      </c>
      <c r="P2135" s="28">
        <f>IF($A2135="","",IF(COUNTIFS(NOVEDADES!$D$4:$D$1503,$A2135,NOVEDADES!$O$4:$O$1503,"SÍ")&gt;0,"No","Sí"))</f>
        <v/>
      </c>
      <c r="Q2135" s="28">
        <f>IF(OR($A2135="",$L2135=""),"",IF(AND($N2135="Sí",$P2135="Sí"),"OTIF","Falló"))</f>
        <v/>
      </c>
    </row>
    <row r="2136" ht="16" customHeight="1">
      <c r="A2136" s="48" t="n"/>
      <c r="B2136" s="48" t="n"/>
      <c r="C2136" s="47" t="n"/>
      <c r="D2136" s="50" t="n"/>
      <c r="E2136" s="50" t="n"/>
      <c r="F2136" s="50" t="n"/>
      <c r="G2136" s="50" t="n"/>
      <c r="H2136" s="48" t="n"/>
      <c r="I2136" s="51" t="n"/>
      <c r="J2136" s="52" t="n"/>
      <c r="K2136" s="47" t="n"/>
      <c r="L2136" s="47" t="n"/>
      <c r="M2136" s="24">
        <f>IF(OR($A2136="",$C2136=""),"",IF($L2136&lt;&gt;"",$L2136-$C2136,TODAY()-$C2136))</f>
        <v/>
      </c>
      <c r="N2136" s="28">
        <f>IF(OR($A2136="",$K2136=""),"",IF($L2136="",IF(TODAY()&gt;$K2136,"Atrasado","En ruta"),IF($L2136&lt;=$K2136,"Sí","No")))</f>
        <v/>
      </c>
      <c r="O2136" s="24">
        <f>IF($A2136="","",COUNTIFS(NOVEDADES!$D$4:$D$1503,$A2136))</f>
        <v/>
      </c>
      <c r="P2136" s="28">
        <f>IF($A2136="","",IF(COUNTIFS(NOVEDADES!$D$4:$D$1503,$A2136,NOVEDADES!$O$4:$O$1503,"SÍ")&gt;0,"No","Sí"))</f>
        <v/>
      </c>
      <c r="Q2136" s="28">
        <f>IF(OR($A2136="",$L2136=""),"",IF(AND($N2136="Sí",$P2136="Sí"),"OTIF","Falló"))</f>
        <v/>
      </c>
    </row>
    <row r="2137" ht="16" customHeight="1">
      <c r="A2137" s="48" t="n"/>
      <c r="B2137" s="48" t="n"/>
      <c r="C2137" s="47" t="n"/>
      <c r="D2137" s="50" t="n"/>
      <c r="E2137" s="50" t="n"/>
      <c r="F2137" s="50" t="n"/>
      <c r="G2137" s="50" t="n"/>
      <c r="H2137" s="48" t="n"/>
      <c r="I2137" s="51" t="n"/>
      <c r="J2137" s="52" t="n"/>
      <c r="K2137" s="47" t="n"/>
      <c r="L2137" s="47" t="n"/>
      <c r="M2137" s="24">
        <f>IF(OR($A2137="",$C2137=""),"",IF($L2137&lt;&gt;"",$L2137-$C2137,TODAY()-$C2137))</f>
        <v/>
      </c>
      <c r="N2137" s="28">
        <f>IF(OR($A2137="",$K2137=""),"",IF($L2137="",IF(TODAY()&gt;$K2137,"Atrasado","En ruta"),IF($L2137&lt;=$K2137,"Sí","No")))</f>
        <v/>
      </c>
      <c r="O2137" s="24">
        <f>IF($A2137="","",COUNTIFS(NOVEDADES!$D$4:$D$1503,$A2137))</f>
        <v/>
      </c>
      <c r="P2137" s="28">
        <f>IF($A2137="","",IF(COUNTIFS(NOVEDADES!$D$4:$D$1503,$A2137,NOVEDADES!$O$4:$O$1503,"SÍ")&gt;0,"No","Sí"))</f>
        <v/>
      </c>
      <c r="Q2137" s="28">
        <f>IF(OR($A2137="",$L2137=""),"",IF(AND($N2137="Sí",$P2137="Sí"),"OTIF","Falló"))</f>
        <v/>
      </c>
    </row>
    <row r="2138" ht="16" customHeight="1">
      <c r="A2138" s="48" t="n"/>
      <c r="B2138" s="48" t="n"/>
      <c r="C2138" s="47" t="n"/>
      <c r="D2138" s="50" t="n"/>
      <c r="E2138" s="50" t="n"/>
      <c r="F2138" s="50" t="n"/>
      <c r="G2138" s="50" t="n"/>
      <c r="H2138" s="48" t="n"/>
      <c r="I2138" s="51" t="n"/>
      <c r="J2138" s="52" t="n"/>
      <c r="K2138" s="47" t="n"/>
      <c r="L2138" s="47" t="n"/>
      <c r="M2138" s="24">
        <f>IF(OR($A2138="",$C2138=""),"",IF($L2138&lt;&gt;"",$L2138-$C2138,TODAY()-$C2138))</f>
        <v/>
      </c>
      <c r="N2138" s="28">
        <f>IF(OR($A2138="",$K2138=""),"",IF($L2138="",IF(TODAY()&gt;$K2138,"Atrasado","En ruta"),IF($L2138&lt;=$K2138,"Sí","No")))</f>
        <v/>
      </c>
      <c r="O2138" s="24">
        <f>IF($A2138="","",COUNTIFS(NOVEDADES!$D$4:$D$1503,$A2138))</f>
        <v/>
      </c>
      <c r="P2138" s="28">
        <f>IF($A2138="","",IF(COUNTIFS(NOVEDADES!$D$4:$D$1503,$A2138,NOVEDADES!$O$4:$O$1503,"SÍ")&gt;0,"No","Sí"))</f>
        <v/>
      </c>
      <c r="Q2138" s="28">
        <f>IF(OR($A2138="",$L2138=""),"",IF(AND($N2138="Sí",$P2138="Sí"),"OTIF","Falló"))</f>
        <v/>
      </c>
    </row>
    <row r="2139" ht="16" customHeight="1">
      <c r="A2139" s="48" t="n"/>
      <c r="B2139" s="48" t="n"/>
      <c r="C2139" s="47" t="n"/>
      <c r="D2139" s="50" t="n"/>
      <c r="E2139" s="50" t="n"/>
      <c r="F2139" s="50" t="n"/>
      <c r="G2139" s="50" t="n"/>
      <c r="H2139" s="48" t="n"/>
      <c r="I2139" s="51" t="n"/>
      <c r="J2139" s="52" t="n"/>
      <c r="K2139" s="47" t="n"/>
      <c r="L2139" s="47" t="n"/>
      <c r="M2139" s="24">
        <f>IF(OR($A2139="",$C2139=""),"",IF($L2139&lt;&gt;"",$L2139-$C2139,TODAY()-$C2139))</f>
        <v/>
      </c>
      <c r="N2139" s="28">
        <f>IF(OR($A2139="",$K2139=""),"",IF($L2139="",IF(TODAY()&gt;$K2139,"Atrasado","En ruta"),IF($L2139&lt;=$K2139,"Sí","No")))</f>
        <v/>
      </c>
      <c r="O2139" s="24">
        <f>IF($A2139="","",COUNTIFS(NOVEDADES!$D$4:$D$1503,$A2139))</f>
        <v/>
      </c>
      <c r="P2139" s="28">
        <f>IF($A2139="","",IF(COUNTIFS(NOVEDADES!$D$4:$D$1503,$A2139,NOVEDADES!$O$4:$O$1503,"SÍ")&gt;0,"No","Sí"))</f>
        <v/>
      </c>
      <c r="Q2139" s="28">
        <f>IF(OR($A2139="",$L2139=""),"",IF(AND($N2139="Sí",$P2139="Sí"),"OTIF","Falló"))</f>
        <v/>
      </c>
    </row>
    <row r="2140" ht="16" customHeight="1">
      <c r="A2140" s="48" t="n"/>
      <c r="B2140" s="48" t="n"/>
      <c r="C2140" s="47" t="n"/>
      <c r="D2140" s="50" t="n"/>
      <c r="E2140" s="50" t="n"/>
      <c r="F2140" s="50" t="n"/>
      <c r="G2140" s="50" t="n"/>
      <c r="H2140" s="48" t="n"/>
      <c r="I2140" s="51" t="n"/>
      <c r="J2140" s="52" t="n"/>
      <c r="K2140" s="47" t="n"/>
      <c r="L2140" s="47" t="n"/>
      <c r="M2140" s="24">
        <f>IF(OR($A2140="",$C2140=""),"",IF($L2140&lt;&gt;"",$L2140-$C2140,TODAY()-$C2140))</f>
        <v/>
      </c>
      <c r="N2140" s="28">
        <f>IF(OR($A2140="",$K2140=""),"",IF($L2140="",IF(TODAY()&gt;$K2140,"Atrasado","En ruta"),IF($L2140&lt;=$K2140,"Sí","No")))</f>
        <v/>
      </c>
      <c r="O2140" s="24">
        <f>IF($A2140="","",COUNTIFS(NOVEDADES!$D$4:$D$1503,$A2140))</f>
        <v/>
      </c>
      <c r="P2140" s="28">
        <f>IF($A2140="","",IF(COUNTIFS(NOVEDADES!$D$4:$D$1503,$A2140,NOVEDADES!$O$4:$O$1503,"SÍ")&gt;0,"No","Sí"))</f>
        <v/>
      </c>
      <c r="Q2140" s="28">
        <f>IF(OR($A2140="",$L2140=""),"",IF(AND($N2140="Sí",$P2140="Sí"),"OTIF","Falló"))</f>
        <v/>
      </c>
    </row>
    <row r="2141" ht="16" customHeight="1">
      <c r="A2141" s="48" t="n"/>
      <c r="B2141" s="48" t="n"/>
      <c r="C2141" s="47" t="n"/>
      <c r="D2141" s="50" t="n"/>
      <c r="E2141" s="50" t="n"/>
      <c r="F2141" s="50" t="n"/>
      <c r="G2141" s="50" t="n"/>
      <c r="H2141" s="48" t="n"/>
      <c r="I2141" s="51" t="n"/>
      <c r="J2141" s="52" t="n"/>
      <c r="K2141" s="47" t="n"/>
      <c r="L2141" s="47" t="n"/>
      <c r="M2141" s="24">
        <f>IF(OR($A2141="",$C2141=""),"",IF($L2141&lt;&gt;"",$L2141-$C2141,TODAY()-$C2141))</f>
        <v/>
      </c>
      <c r="N2141" s="28">
        <f>IF(OR($A2141="",$K2141=""),"",IF($L2141="",IF(TODAY()&gt;$K2141,"Atrasado","En ruta"),IF($L2141&lt;=$K2141,"Sí","No")))</f>
        <v/>
      </c>
      <c r="O2141" s="24">
        <f>IF($A2141="","",COUNTIFS(NOVEDADES!$D$4:$D$1503,$A2141))</f>
        <v/>
      </c>
      <c r="P2141" s="28">
        <f>IF($A2141="","",IF(COUNTIFS(NOVEDADES!$D$4:$D$1503,$A2141,NOVEDADES!$O$4:$O$1503,"SÍ")&gt;0,"No","Sí"))</f>
        <v/>
      </c>
      <c r="Q2141" s="28">
        <f>IF(OR($A2141="",$L2141=""),"",IF(AND($N2141="Sí",$P2141="Sí"),"OTIF","Falló"))</f>
        <v/>
      </c>
    </row>
    <row r="2142" ht="16" customHeight="1">
      <c r="A2142" s="48" t="n"/>
      <c r="B2142" s="48" t="n"/>
      <c r="C2142" s="47" t="n"/>
      <c r="D2142" s="50" t="n"/>
      <c r="E2142" s="50" t="n"/>
      <c r="F2142" s="50" t="n"/>
      <c r="G2142" s="50" t="n"/>
      <c r="H2142" s="48" t="n"/>
      <c r="I2142" s="51" t="n"/>
      <c r="J2142" s="52" t="n"/>
      <c r="K2142" s="47" t="n"/>
      <c r="L2142" s="47" t="n"/>
      <c r="M2142" s="24">
        <f>IF(OR($A2142="",$C2142=""),"",IF($L2142&lt;&gt;"",$L2142-$C2142,TODAY()-$C2142))</f>
        <v/>
      </c>
      <c r="N2142" s="28">
        <f>IF(OR($A2142="",$K2142=""),"",IF($L2142="",IF(TODAY()&gt;$K2142,"Atrasado","En ruta"),IF($L2142&lt;=$K2142,"Sí","No")))</f>
        <v/>
      </c>
      <c r="O2142" s="24">
        <f>IF($A2142="","",COUNTIFS(NOVEDADES!$D$4:$D$1503,$A2142))</f>
        <v/>
      </c>
      <c r="P2142" s="28">
        <f>IF($A2142="","",IF(COUNTIFS(NOVEDADES!$D$4:$D$1503,$A2142,NOVEDADES!$O$4:$O$1503,"SÍ")&gt;0,"No","Sí"))</f>
        <v/>
      </c>
      <c r="Q2142" s="28">
        <f>IF(OR($A2142="",$L2142=""),"",IF(AND($N2142="Sí",$P2142="Sí"),"OTIF","Falló"))</f>
        <v/>
      </c>
    </row>
    <row r="2143" ht="16" customHeight="1">
      <c r="A2143" s="48" t="n"/>
      <c r="B2143" s="48" t="n"/>
      <c r="C2143" s="47" t="n"/>
      <c r="D2143" s="50" t="n"/>
      <c r="E2143" s="50" t="n"/>
      <c r="F2143" s="50" t="n"/>
      <c r="G2143" s="50" t="n"/>
      <c r="H2143" s="48" t="n"/>
      <c r="I2143" s="51" t="n"/>
      <c r="J2143" s="52" t="n"/>
      <c r="K2143" s="47" t="n"/>
      <c r="L2143" s="47" t="n"/>
      <c r="M2143" s="24">
        <f>IF(OR($A2143="",$C2143=""),"",IF($L2143&lt;&gt;"",$L2143-$C2143,TODAY()-$C2143))</f>
        <v/>
      </c>
      <c r="N2143" s="28">
        <f>IF(OR($A2143="",$K2143=""),"",IF($L2143="",IF(TODAY()&gt;$K2143,"Atrasado","En ruta"),IF($L2143&lt;=$K2143,"Sí","No")))</f>
        <v/>
      </c>
      <c r="O2143" s="24">
        <f>IF($A2143="","",COUNTIFS(NOVEDADES!$D$4:$D$1503,$A2143))</f>
        <v/>
      </c>
      <c r="P2143" s="28">
        <f>IF($A2143="","",IF(COUNTIFS(NOVEDADES!$D$4:$D$1503,$A2143,NOVEDADES!$O$4:$O$1503,"SÍ")&gt;0,"No","Sí"))</f>
        <v/>
      </c>
      <c r="Q2143" s="28">
        <f>IF(OR($A2143="",$L2143=""),"",IF(AND($N2143="Sí",$P2143="Sí"),"OTIF","Falló"))</f>
        <v/>
      </c>
    </row>
    <row r="2144" ht="16" customHeight="1">
      <c r="A2144" s="48" t="n"/>
      <c r="B2144" s="48" t="n"/>
      <c r="C2144" s="47" t="n"/>
      <c r="D2144" s="50" t="n"/>
      <c r="E2144" s="50" t="n"/>
      <c r="F2144" s="50" t="n"/>
      <c r="G2144" s="50" t="n"/>
      <c r="H2144" s="48" t="n"/>
      <c r="I2144" s="51" t="n"/>
      <c r="J2144" s="52" t="n"/>
      <c r="K2144" s="47" t="n"/>
      <c r="L2144" s="47" t="n"/>
      <c r="M2144" s="24">
        <f>IF(OR($A2144="",$C2144=""),"",IF($L2144&lt;&gt;"",$L2144-$C2144,TODAY()-$C2144))</f>
        <v/>
      </c>
      <c r="N2144" s="28">
        <f>IF(OR($A2144="",$K2144=""),"",IF($L2144="",IF(TODAY()&gt;$K2144,"Atrasado","En ruta"),IF($L2144&lt;=$K2144,"Sí","No")))</f>
        <v/>
      </c>
      <c r="O2144" s="24">
        <f>IF($A2144="","",COUNTIFS(NOVEDADES!$D$4:$D$1503,$A2144))</f>
        <v/>
      </c>
      <c r="P2144" s="28">
        <f>IF($A2144="","",IF(COUNTIFS(NOVEDADES!$D$4:$D$1503,$A2144,NOVEDADES!$O$4:$O$1503,"SÍ")&gt;0,"No","Sí"))</f>
        <v/>
      </c>
      <c r="Q2144" s="28">
        <f>IF(OR($A2144="",$L2144=""),"",IF(AND($N2144="Sí",$P2144="Sí"),"OTIF","Falló"))</f>
        <v/>
      </c>
    </row>
    <row r="2145" ht="16" customHeight="1">
      <c r="A2145" s="48" t="n"/>
      <c r="B2145" s="48" t="n"/>
      <c r="C2145" s="47" t="n"/>
      <c r="D2145" s="50" t="n"/>
      <c r="E2145" s="50" t="n"/>
      <c r="F2145" s="50" t="n"/>
      <c r="G2145" s="50" t="n"/>
      <c r="H2145" s="48" t="n"/>
      <c r="I2145" s="51" t="n"/>
      <c r="J2145" s="52" t="n"/>
      <c r="K2145" s="47" t="n"/>
      <c r="L2145" s="47" t="n"/>
      <c r="M2145" s="24">
        <f>IF(OR($A2145="",$C2145=""),"",IF($L2145&lt;&gt;"",$L2145-$C2145,TODAY()-$C2145))</f>
        <v/>
      </c>
      <c r="N2145" s="28">
        <f>IF(OR($A2145="",$K2145=""),"",IF($L2145="",IF(TODAY()&gt;$K2145,"Atrasado","En ruta"),IF($L2145&lt;=$K2145,"Sí","No")))</f>
        <v/>
      </c>
      <c r="O2145" s="24">
        <f>IF($A2145="","",COUNTIFS(NOVEDADES!$D$4:$D$1503,$A2145))</f>
        <v/>
      </c>
      <c r="P2145" s="28">
        <f>IF($A2145="","",IF(COUNTIFS(NOVEDADES!$D$4:$D$1503,$A2145,NOVEDADES!$O$4:$O$1503,"SÍ")&gt;0,"No","Sí"))</f>
        <v/>
      </c>
      <c r="Q2145" s="28">
        <f>IF(OR($A2145="",$L2145=""),"",IF(AND($N2145="Sí",$P2145="Sí"),"OTIF","Falló"))</f>
        <v/>
      </c>
    </row>
    <row r="2146" ht="16" customHeight="1">
      <c r="A2146" s="48" t="n"/>
      <c r="B2146" s="48" t="n"/>
      <c r="C2146" s="47" t="n"/>
      <c r="D2146" s="50" t="n"/>
      <c r="E2146" s="50" t="n"/>
      <c r="F2146" s="50" t="n"/>
      <c r="G2146" s="50" t="n"/>
      <c r="H2146" s="48" t="n"/>
      <c r="I2146" s="51" t="n"/>
      <c r="J2146" s="52" t="n"/>
      <c r="K2146" s="47" t="n"/>
      <c r="L2146" s="47" t="n"/>
      <c r="M2146" s="24">
        <f>IF(OR($A2146="",$C2146=""),"",IF($L2146&lt;&gt;"",$L2146-$C2146,TODAY()-$C2146))</f>
        <v/>
      </c>
      <c r="N2146" s="28">
        <f>IF(OR($A2146="",$K2146=""),"",IF($L2146="",IF(TODAY()&gt;$K2146,"Atrasado","En ruta"),IF($L2146&lt;=$K2146,"Sí","No")))</f>
        <v/>
      </c>
      <c r="O2146" s="24">
        <f>IF($A2146="","",COUNTIFS(NOVEDADES!$D$4:$D$1503,$A2146))</f>
        <v/>
      </c>
      <c r="P2146" s="28">
        <f>IF($A2146="","",IF(COUNTIFS(NOVEDADES!$D$4:$D$1503,$A2146,NOVEDADES!$O$4:$O$1503,"SÍ")&gt;0,"No","Sí"))</f>
        <v/>
      </c>
      <c r="Q2146" s="28">
        <f>IF(OR($A2146="",$L2146=""),"",IF(AND($N2146="Sí",$P2146="Sí"),"OTIF","Falló"))</f>
        <v/>
      </c>
    </row>
    <row r="2147" ht="16" customHeight="1">
      <c r="A2147" s="48" t="n"/>
      <c r="B2147" s="48" t="n"/>
      <c r="C2147" s="47" t="n"/>
      <c r="D2147" s="50" t="n"/>
      <c r="E2147" s="50" t="n"/>
      <c r="F2147" s="50" t="n"/>
      <c r="G2147" s="50" t="n"/>
      <c r="H2147" s="48" t="n"/>
      <c r="I2147" s="51" t="n"/>
      <c r="J2147" s="52" t="n"/>
      <c r="K2147" s="47" t="n"/>
      <c r="L2147" s="47" t="n"/>
      <c r="M2147" s="24">
        <f>IF(OR($A2147="",$C2147=""),"",IF($L2147&lt;&gt;"",$L2147-$C2147,TODAY()-$C2147))</f>
        <v/>
      </c>
      <c r="N2147" s="28">
        <f>IF(OR($A2147="",$K2147=""),"",IF($L2147="",IF(TODAY()&gt;$K2147,"Atrasado","En ruta"),IF($L2147&lt;=$K2147,"Sí","No")))</f>
        <v/>
      </c>
      <c r="O2147" s="24">
        <f>IF($A2147="","",COUNTIFS(NOVEDADES!$D$4:$D$1503,$A2147))</f>
        <v/>
      </c>
      <c r="P2147" s="28">
        <f>IF($A2147="","",IF(COUNTIFS(NOVEDADES!$D$4:$D$1503,$A2147,NOVEDADES!$O$4:$O$1503,"SÍ")&gt;0,"No","Sí"))</f>
        <v/>
      </c>
      <c r="Q2147" s="28">
        <f>IF(OR($A2147="",$L2147=""),"",IF(AND($N2147="Sí",$P2147="Sí"),"OTIF","Falló"))</f>
        <v/>
      </c>
    </row>
    <row r="2148" ht="16" customHeight="1">
      <c r="A2148" s="48" t="n"/>
      <c r="B2148" s="48" t="n"/>
      <c r="C2148" s="47" t="n"/>
      <c r="D2148" s="50" t="n"/>
      <c r="E2148" s="50" t="n"/>
      <c r="F2148" s="50" t="n"/>
      <c r="G2148" s="50" t="n"/>
      <c r="H2148" s="48" t="n"/>
      <c r="I2148" s="51" t="n"/>
      <c r="J2148" s="52" t="n"/>
      <c r="K2148" s="47" t="n"/>
      <c r="L2148" s="47" t="n"/>
      <c r="M2148" s="24">
        <f>IF(OR($A2148="",$C2148=""),"",IF($L2148&lt;&gt;"",$L2148-$C2148,TODAY()-$C2148))</f>
        <v/>
      </c>
      <c r="N2148" s="28">
        <f>IF(OR($A2148="",$K2148=""),"",IF($L2148="",IF(TODAY()&gt;$K2148,"Atrasado","En ruta"),IF($L2148&lt;=$K2148,"Sí","No")))</f>
        <v/>
      </c>
      <c r="O2148" s="24">
        <f>IF($A2148="","",COUNTIFS(NOVEDADES!$D$4:$D$1503,$A2148))</f>
        <v/>
      </c>
      <c r="P2148" s="28">
        <f>IF($A2148="","",IF(COUNTIFS(NOVEDADES!$D$4:$D$1503,$A2148,NOVEDADES!$O$4:$O$1503,"SÍ")&gt;0,"No","Sí"))</f>
        <v/>
      </c>
      <c r="Q2148" s="28">
        <f>IF(OR($A2148="",$L2148=""),"",IF(AND($N2148="Sí",$P2148="Sí"),"OTIF","Falló"))</f>
        <v/>
      </c>
    </row>
    <row r="2149" ht="16" customHeight="1">
      <c r="A2149" s="48" t="n"/>
      <c r="B2149" s="48" t="n"/>
      <c r="C2149" s="47" t="n"/>
      <c r="D2149" s="50" t="n"/>
      <c r="E2149" s="50" t="n"/>
      <c r="F2149" s="50" t="n"/>
      <c r="G2149" s="50" t="n"/>
      <c r="H2149" s="48" t="n"/>
      <c r="I2149" s="51" t="n"/>
      <c r="J2149" s="52" t="n"/>
      <c r="K2149" s="47" t="n"/>
      <c r="L2149" s="47" t="n"/>
      <c r="M2149" s="24">
        <f>IF(OR($A2149="",$C2149=""),"",IF($L2149&lt;&gt;"",$L2149-$C2149,TODAY()-$C2149))</f>
        <v/>
      </c>
      <c r="N2149" s="28">
        <f>IF(OR($A2149="",$K2149=""),"",IF($L2149="",IF(TODAY()&gt;$K2149,"Atrasado","En ruta"),IF($L2149&lt;=$K2149,"Sí","No")))</f>
        <v/>
      </c>
      <c r="O2149" s="24">
        <f>IF($A2149="","",COUNTIFS(NOVEDADES!$D$4:$D$1503,$A2149))</f>
        <v/>
      </c>
      <c r="P2149" s="28">
        <f>IF($A2149="","",IF(COUNTIFS(NOVEDADES!$D$4:$D$1503,$A2149,NOVEDADES!$O$4:$O$1503,"SÍ")&gt;0,"No","Sí"))</f>
        <v/>
      </c>
      <c r="Q2149" s="28">
        <f>IF(OR($A2149="",$L2149=""),"",IF(AND($N2149="Sí",$P2149="Sí"),"OTIF","Falló"))</f>
        <v/>
      </c>
    </row>
    <row r="2150" ht="16" customHeight="1">
      <c r="A2150" s="48" t="n"/>
      <c r="B2150" s="48" t="n"/>
      <c r="C2150" s="47" t="n"/>
      <c r="D2150" s="50" t="n"/>
      <c r="E2150" s="50" t="n"/>
      <c r="F2150" s="50" t="n"/>
      <c r="G2150" s="50" t="n"/>
      <c r="H2150" s="48" t="n"/>
      <c r="I2150" s="51" t="n"/>
      <c r="J2150" s="52" t="n"/>
      <c r="K2150" s="47" t="n"/>
      <c r="L2150" s="47" t="n"/>
      <c r="M2150" s="24">
        <f>IF(OR($A2150="",$C2150=""),"",IF($L2150&lt;&gt;"",$L2150-$C2150,TODAY()-$C2150))</f>
        <v/>
      </c>
      <c r="N2150" s="28">
        <f>IF(OR($A2150="",$K2150=""),"",IF($L2150="",IF(TODAY()&gt;$K2150,"Atrasado","En ruta"),IF($L2150&lt;=$K2150,"Sí","No")))</f>
        <v/>
      </c>
      <c r="O2150" s="24">
        <f>IF($A2150="","",COUNTIFS(NOVEDADES!$D$4:$D$1503,$A2150))</f>
        <v/>
      </c>
      <c r="P2150" s="28">
        <f>IF($A2150="","",IF(COUNTIFS(NOVEDADES!$D$4:$D$1503,$A2150,NOVEDADES!$O$4:$O$1503,"SÍ")&gt;0,"No","Sí"))</f>
        <v/>
      </c>
      <c r="Q2150" s="28">
        <f>IF(OR($A2150="",$L2150=""),"",IF(AND($N2150="Sí",$P2150="Sí"),"OTIF","Falló"))</f>
        <v/>
      </c>
    </row>
    <row r="2151" ht="16" customHeight="1">
      <c r="A2151" s="48" t="n"/>
      <c r="B2151" s="48" t="n"/>
      <c r="C2151" s="47" t="n"/>
      <c r="D2151" s="50" t="n"/>
      <c r="E2151" s="50" t="n"/>
      <c r="F2151" s="50" t="n"/>
      <c r="G2151" s="50" t="n"/>
      <c r="H2151" s="48" t="n"/>
      <c r="I2151" s="51" t="n"/>
      <c r="J2151" s="52" t="n"/>
      <c r="K2151" s="47" t="n"/>
      <c r="L2151" s="47" t="n"/>
      <c r="M2151" s="24">
        <f>IF(OR($A2151="",$C2151=""),"",IF($L2151&lt;&gt;"",$L2151-$C2151,TODAY()-$C2151))</f>
        <v/>
      </c>
      <c r="N2151" s="28">
        <f>IF(OR($A2151="",$K2151=""),"",IF($L2151="",IF(TODAY()&gt;$K2151,"Atrasado","En ruta"),IF($L2151&lt;=$K2151,"Sí","No")))</f>
        <v/>
      </c>
      <c r="O2151" s="24">
        <f>IF($A2151="","",COUNTIFS(NOVEDADES!$D$4:$D$1503,$A2151))</f>
        <v/>
      </c>
      <c r="P2151" s="28">
        <f>IF($A2151="","",IF(COUNTIFS(NOVEDADES!$D$4:$D$1503,$A2151,NOVEDADES!$O$4:$O$1503,"SÍ")&gt;0,"No","Sí"))</f>
        <v/>
      </c>
      <c r="Q2151" s="28">
        <f>IF(OR($A2151="",$L2151=""),"",IF(AND($N2151="Sí",$P2151="Sí"),"OTIF","Falló"))</f>
        <v/>
      </c>
    </row>
    <row r="2152" ht="16" customHeight="1">
      <c r="A2152" s="48" t="n"/>
      <c r="B2152" s="48" t="n"/>
      <c r="C2152" s="47" t="n"/>
      <c r="D2152" s="50" t="n"/>
      <c r="E2152" s="50" t="n"/>
      <c r="F2152" s="50" t="n"/>
      <c r="G2152" s="50" t="n"/>
      <c r="H2152" s="48" t="n"/>
      <c r="I2152" s="51" t="n"/>
      <c r="J2152" s="52" t="n"/>
      <c r="K2152" s="47" t="n"/>
      <c r="L2152" s="47" t="n"/>
      <c r="M2152" s="24">
        <f>IF(OR($A2152="",$C2152=""),"",IF($L2152&lt;&gt;"",$L2152-$C2152,TODAY()-$C2152))</f>
        <v/>
      </c>
      <c r="N2152" s="28">
        <f>IF(OR($A2152="",$K2152=""),"",IF($L2152="",IF(TODAY()&gt;$K2152,"Atrasado","En ruta"),IF($L2152&lt;=$K2152,"Sí","No")))</f>
        <v/>
      </c>
      <c r="O2152" s="24">
        <f>IF($A2152="","",COUNTIFS(NOVEDADES!$D$4:$D$1503,$A2152))</f>
        <v/>
      </c>
      <c r="P2152" s="28">
        <f>IF($A2152="","",IF(COUNTIFS(NOVEDADES!$D$4:$D$1503,$A2152,NOVEDADES!$O$4:$O$1503,"SÍ")&gt;0,"No","Sí"))</f>
        <v/>
      </c>
      <c r="Q2152" s="28">
        <f>IF(OR($A2152="",$L2152=""),"",IF(AND($N2152="Sí",$P2152="Sí"),"OTIF","Falló"))</f>
        <v/>
      </c>
    </row>
    <row r="2153" ht="16" customHeight="1">
      <c r="A2153" s="48" t="n"/>
      <c r="B2153" s="48" t="n"/>
      <c r="C2153" s="47" t="n"/>
      <c r="D2153" s="50" t="n"/>
      <c r="E2153" s="50" t="n"/>
      <c r="F2153" s="50" t="n"/>
      <c r="G2153" s="50" t="n"/>
      <c r="H2153" s="48" t="n"/>
      <c r="I2153" s="51" t="n"/>
      <c r="J2153" s="52" t="n"/>
      <c r="K2153" s="47" t="n"/>
      <c r="L2153" s="47" t="n"/>
      <c r="M2153" s="24">
        <f>IF(OR($A2153="",$C2153=""),"",IF($L2153&lt;&gt;"",$L2153-$C2153,TODAY()-$C2153))</f>
        <v/>
      </c>
      <c r="N2153" s="28">
        <f>IF(OR($A2153="",$K2153=""),"",IF($L2153="",IF(TODAY()&gt;$K2153,"Atrasado","En ruta"),IF($L2153&lt;=$K2153,"Sí","No")))</f>
        <v/>
      </c>
      <c r="O2153" s="24">
        <f>IF($A2153="","",COUNTIFS(NOVEDADES!$D$4:$D$1503,$A2153))</f>
        <v/>
      </c>
      <c r="P2153" s="28">
        <f>IF($A2153="","",IF(COUNTIFS(NOVEDADES!$D$4:$D$1503,$A2153,NOVEDADES!$O$4:$O$1503,"SÍ")&gt;0,"No","Sí"))</f>
        <v/>
      </c>
      <c r="Q2153" s="28">
        <f>IF(OR($A2153="",$L2153=""),"",IF(AND($N2153="Sí",$P2153="Sí"),"OTIF","Falló"))</f>
        <v/>
      </c>
    </row>
    <row r="2154" ht="16" customHeight="1">
      <c r="A2154" s="48" t="n"/>
      <c r="B2154" s="48" t="n"/>
      <c r="C2154" s="47" t="n"/>
      <c r="D2154" s="50" t="n"/>
      <c r="E2154" s="50" t="n"/>
      <c r="F2154" s="50" t="n"/>
      <c r="G2154" s="50" t="n"/>
      <c r="H2154" s="48" t="n"/>
      <c r="I2154" s="51" t="n"/>
      <c r="J2154" s="52" t="n"/>
      <c r="K2154" s="47" t="n"/>
      <c r="L2154" s="47" t="n"/>
      <c r="M2154" s="24">
        <f>IF(OR($A2154="",$C2154=""),"",IF($L2154&lt;&gt;"",$L2154-$C2154,TODAY()-$C2154))</f>
        <v/>
      </c>
      <c r="N2154" s="28">
        <f>IF(OR($A2154="",$K2154=""),"",IF($L2154="",IF(TODAY()&gt;$K2154,"Atrasado","En ruta"),IF($L2154&lt;=$K2154,"Sí","No")))</f>
        <v/>
      </c>
      <c r="O2154" s="24">
        <f>IF($A2154="","",COUNTIFS(NOVEDADES!$D$4:$D$1503,$A2154))</f>
        <v/>
      </c>
      <c r="P2154" s="28">
        <f>IF($A2154="","",IF(COUNTIFS(NOVEDADES!$D$4:$D$1503,$A2154,NOVEDADES!$O$4:$O$1503,"SÍ")&gt;0,"No","Sí"))</f>
        <v/>
      </c>
      <c r="Q2154" s="28">
        <f>IF(OR($A2154="",$L2154=""),"",IF(AND($N2154="Sí",$P2154="Sí"),"OTIF","Falló"))</f>
        <v/>
      </c>
    </row>
    <row r="2155" ht="16" customHeight="1">
      <c r="A2155" s="48" t="n"/>
      <c r="B2155" s="48" t="n"/>
      <c r="C2155" s="47" t="n"/>
      <c r="D2155" s="50" t="n"/>
      <c r="E2155" s="50" t="n"/>
      <c r="F2155" s="50" t="n"/>
      <c r="G2155" s="50" t="n"/>
      <c r="H2155" s="48" t="n"/>
      <c r="I2155" s="51" t="n"/>
      <c r="J2155" s="52" t="n"/>
      <c r="K2155" s="47" t="n"/>
      <c r="L2155" s="47" t="n"/>
      <c r="M2155" s="24">
        <f>IF(OR($A2155="",$C2155=""),"",IF($L2155&lt;&gt;"",$L2155-$C2155,TODAY()-$C2155))</f>
        <v/>
      </c>
      <c r="N2155" s="28">
        <f>IF(OR($A2155="",$K2155=""),"",IF($L2155="",IF(TODAY()&gt;$K2155,"Atrasado","En ruta"),IF($L2155&lt;=$K2155,"Sí","No")))</f>
        <v/>
      </c>
      <c r="O2155" s="24">
        <f>IF($A2155="","",COUNTIFS(NOVEDADES!$D$4:$D$1503,$A2155))</f>
        <v/>
      </c>
      <c r="P2155" s="28">
        <f>IF($A2155="","",IF(COUNTIFS(NOVEDADES!$D$4:$D$1503,$A2155,NOVEDADES!$O$4:$O$1503,"SÍ")&gt;0,"No","Sí"))</f>
        <v/>
      </c>
      <c r="Q2155" s="28">
        <f>IF(OR($A2155="",$L2155=""),"",IF(AND($N2155="Sí",$P2155="Sí"),"OTIF","Falló"))</f>
        <v/>
      </c>
    </row>
    <row r="2156" ht="16" customHeight="1">
      <c r="A2156" s="48" t="n"/>
      <c r="B2156" s="48" t="n"/>
      <c r="C2156" s="47" t="n"/>
      <c r="D2156" s="50" t="n"/>
      <c r="E2156" s="50" t="n"/>
      <c r="F2156" s="50" t="n"/>
      <c r="G2156" s="50" t="n"/>
      <c r="H2156" s="48" t="n"/>
      <c r="I2156" s="51" t="n"/>
      <c r="J2156" s="52" t="n"/>
      <c r="K2156" s="47" t="n"/>
      <c r="L2156" s="47" t="n"/>
      <c r="M2156" s="24">
        <f>IF(OR($A2156="",$C2156=""),"",IF($L2156&lt;&gt;"",$L2156-$C2156,TODAY()-$C2156))</f>
        <v/>
      </c>
      <c r="N2156" s="28">
        <f>IF(OR($A2156="",$K2156=""),"",IF($L2156="",IF(TODAY()&gt;$K2156,"Atrasado","En ruta"),IF($L2156&lt;=$K2156,"Sí","No")))</f>
        <v/>
      </c>
      <c r="O2156" s="24">
        <f>IF($A2156="","",COUNTIFS(NOVEDADES!$D$4:$D$1503,$A2156))</f>
        <v/>
      </c>
      <c r="P2156" s="28">
        <f>IF($A2156="","",IF(COUNTIFS(NOVEDADES!$D$4:$D$1503,$A2156,NOVEDADES!$O$4:$O$1503,"SÍ")&gt;0,"No","Sí"))</f>
        <v/>
      </c>
      <c r="Q2156" s="28">
        <f>IF(OR($A2156="",$L2156=""),"",IF(AND($N2156="Sí",$P2156="Sí"),"OTIF","Falló"))</f>
        <v/>
      </c>
    </row>
    <row r="2157" ht="16" customHeight="1">
      <c r="A2157" s="48" t="n"/>
      <c r="B2157" s="48" t="n"/>
      <c r="C2157" s="47" t="n"/>
      <c r="D2157" s="50" t="n"/>
      <c r="E2157" s="50" t="n"/>
      <c r="F2157" s="50" t="n"/>
      <c r="G2157" s="50" t="n"/>
      <c r="H2157" s="48" t="n"/>
      <c r="I2157" s="51" t="n"/>
      <c r="J2157" s="52" t="n"/>
      <c r="K2157" s="47" t="n"/>
      <c r="L2157" s="47" t="n"/>
      <c r="M2157" s="24">
        <f>IF(OR($A2157="",$C2157=""),"",IF($L2157&lt;&gt;"",$L2157-$C2157,TODAY()-$C2157))</f>
        <v/>
      </c>
      <c r="N2157" s="28">
        <f>IF(OR($A2157="",$K2157=""),"",IF($L2157="",IF(TODAY()&gt;$K2157,"Atrasado","En ruta"),IF($L2157&lt;=$K2157,"Sí","No")))</f>
        <v/>
      </c>
      <c r="O2157" s="24">
        <f>IF($A2157="","",COUNTIFS(NOVEDADES!$D$4:$D$1503,$A2157))</f>
        <v/>
      </c>
      <c r="P2157" s="28">
        <f>IF($A2157="","",IF(COUNTIFS(NOVEDADES!$D$4:$D$1503,$A2157,NOVEDADES!$O$4:$O$1503,"SÍ")&gt;0,"No","Sí"))</f>
        <v/>
      </c>
      <c r="Q2157" s="28">
        <f>IF(OR($A2157="",$L2157=""),"",IF(AND($N2157="Sí",$P2157="Sí"),"OTIF","Falló"))</f>
        <v/>
      </c>
    </row>
    <row r="2158" ht="16" customHeight="1">
      <c r="A2158" s="48" t="n"/>
      <c r="B2158" s="48" t="n"/>
      <c r="C2158" s="47" t="n"/>
      <c r="D2158" s="50" t="n"/>
      <c r="E2158" s="50" t="n"/>
      <c r="F2158" s="50" t="n"/>
      <c r="G2158" s="50" t="n"/>
      <c r="H2158" s="48" t="n"/>
      <c r="I2158" s="51" t="n"/>
      <c r="J2158" s="52" t="n"/>
      <c r="K2158" s="47" t="n"/>
      <c r="L2158" s="47" t="n"/>
      <c r="M2158" s="24">
        <f>IF(OR($A2158="",$C2158=""),"",IF($L2158&lt;&gt;"",$L2158-$C2158,TODAY()-$C2158))</f>
        <v/>
      </c>
      <c r="N2158" s="28">
        <f>IF(OR($A2158="",$K2158=""),"",IF($L2158="",IF(TODAY()&gt;$K2158,"Atrasado","En ruta"),IF($L2158&lt;=$K2158,"Sí","No")))</f>
        <v/>
      </c>
      <c r="O2158" s="24">
        <f>IF($A2158="","",COUNTIFS(NOVEDADES!$D$4:$D$1503,$A2158))</f>
        <v/>
      </c>
      <c r="P2158" s="28">
        <f>IF($A2158="","",IF(COUNTIFS(NOVEDADES!$D$4:$D$1503,$A2158,NOVEDADES!$O$4:$O$1503,"SÍ")&gt;0,"No","Sí"))</f>
        <v/>
      </c>
      <c r="Q2158" s="28">
        <f>IF(OR($A2158="",$L2158=""),"",IF(AND($N2158="Sí",$P2158="Sí"),"OTIF","Falló"))</f>
        <v/>
      </c>
    </row>
    <row r="2159" ht="16" customHeight="1">
      <c r="A2159" s="48" t="n"/>
      <c r="B2159" s="48" t="n"/>
      <c r="C2159" s="47" t="n"/>
      <c r="D2159" s="50" t="n"/>
      <c r="E2159" s="50" t="n"/>
      <c r="F2159" s="50" t="n"/>
      <c r="G2159" s="50" t="n"/>
      <c r="H2159" s="48" t="n"/>
      <c r="I2159" s="51" t="n"/>
      <c r="J2159" s="52" t="n"/>
      <c r="K2159" s="47" t="n"/>
      <c r="L2159" s="47" t="n"/>
      <c r="M2159" s="24">
        <f>IF(OR($A2159="",$C2159=""),"",IF($L2159&lt;&gt;"",$L2159-$C2159,TODAY()-$C2159))</f>
        <v/>
      </c>
      <c r="N2159" s="28">
        <f>IF(OR($A2159="",$K2159=""),"",IF($L2159="",IF(TODAY()&gt;$K2159,"Atrasado","En ruta"),IF($L2159&lt;=$K2159,"Sí","No")))</f>
        <v/>
      </c>
      <c r="O2159" s="24">
        <f>IF($A2159="","",COUNTIFS(NOVEDADES!$D$4:$D$1503,$A2159))</f>
        <v/>
      </c>
      <c r="P2159" s="28">
        <f>IF($A2159="","",IF(COUNTIFS(NOVEDADES!$D$4:$D$1503,$A2159,NOVEDADES!$O$4:$O$1503,"SÍ")&gt;0,"No","Sí"))</f>
        <v/>
      </c>
      <c r="Q2159" s="28">
        <f>IF(OR($A2159="",$L2159=""),"",IF(AND($N2159="Sí",$P2159="Sí"),"OTIF","Falló"))</f>
        <v/>
      </c>
    </row>
    <row r="2160" ht="16" customHeight="1">
      <c r="A2160" s="48" t="n"/>
      <c r="B2160" s="48" t="n"/>
      <c r="C2160" s="47" t="n"/>
      <c r="D2160" s="50" t="n"/>
      <c r="E2160" s="50" t="n"/>
      <c r="F2160" s="50" t="n"/>
      <c r="G2160" s="50" t="n"/>
      <c r="H2160" s="48" t="n"/>
      <c r="I2160" s="51" t="n"/>
      <c r="J2160" s="52" t="n"/>
      <c r="K2160" s="47" t="n"/>
      <c r="L2160" s="47" t="n"/>
      <c r="M2160" s="24">
        <f>IF(OR($A2160="",$C2160=""),"",IF($L2160&lt;&gt;"",$L2160-$C2160,TODAY()-$C2160))</f>
        <v/>
      </c>
      <c r="N2160" s="28">
        <f>IF(OR($A2160="",$K2160=""),"",IF($L2160="",IF(TODAY()&gt;$K2160,"Atrasado","En ruta"),IF($L2160&lt;=$K2160,"Sí","No")))</f>
        <v/>
      </c>
      <c r="O2160" s="24">
        <f>IF($A2160="","",COUNTIFS(NOVEDADES!$D$4:$D$1503,$A2160))</f>
        <v/>
      </c>
      <c r="P2160" s="28">
        <f>IF($A2160="","",IF(COUNTIFS(NOVEDADES!$D$4:$D$1503,$A2160,NOVEDADES!$O$4:$O$1503,"SÍ")&gt;0,"No","Sí"))</f>
        <v/>
      </c>
      <c r="Q2160" s="28">
        <f>IF(OR($A2160="",$L2160=""),"",IF(AND($N2160="Sí",$P2160="Sí"),"OTIF","Falló"))</f>
        <v/>
      </c>
    </row>
    <row r="2161" ht="16" customHeight="1">
      <c r="A2161" s="48" t="n"/>
      <c r="B2161" s="48" t="n"/>
      <c r="C2161" s="47" t="n"/>
      <c r="D2161" s="50" t="n"/>
      <c r="E2161" s="50" t="n"/>
      <c r="F2161" s="50" t="n"/>
      <c r="G2161" s="50" t="n"/>
      <c r="H2161" s="48" t="n"/>
      <c r="I2161" s="51" t="n"/>
      <c r="J2161" s="52" t="n"/>
      <c r="K2161" s="47" t="n"/>
      <c r="L2161" s="47" t="n"/>
      <c r="M2161" s="24">
        <f>IF(OR($A2161="",$C2161=""),"",IF($L2161&lt;&gt;"",$L2161-$C2161,TODAY()-$C2161))</f>
        <v/>
      </c>
      <c r="N2161" s="28">
        <f>IF(OR($A2161="",$K2161=""),"",IF($L2161="",IF(TODAY()&gt;$K2161,"Atrasado","En ruta"),IF($L2161&lt;=$K2161,"Sí","No")))</f>
        <v/>
      </c>
      <c r="O2161" s="24">
        <f>IF($A2161="","",COUNTIFS(NOVEDADES!$D$4:$D$1503,$A2161))</f>
        <v/>
      </c>
      <c r="P2161" s="28">
        <f>IF($A2161="","",IF(COUNTIFS(NOVEDADES!$D$4:$D$1503,$A2161,NOVEDADES!$O$4:$O$1503,"SÍ")&gt;0,"No","Sí"))</f>
        <v/>
      </c>
      <c r="Q2161" s="28">
        <f>IF(OR($A2161="",$L2161=""),"",IF(AND($N2161="Sí",$P2161="Sí"),"OTIF","Falló"))</f>
        <v/>
      </c>
    </row>
    <row r="2162" ht="16" customHeight="1">
      <c r="A2162" s="48" t="n"/>
      <c r="B2162" s="48" t="n"/>
      <c r="C2162" s="47" t="n"/>
      <c r="D2162" s="50" t="n"/>
      <c r="E2162" s="50" t="n"/>
      <c r="F2162" s="50" t="n"/>
      <c r="G2162" s="50" t="n"/>
      <c r="H2162" s="48" t="n"/>
      <c r="I2162" s="51" t="n"/>
      <c r="J2162" s="52" t="n"/>
      <c r="K2162" s="47" t="n"/>
      <c r="L2162" s="47" t="n"/>
      <c r="M2162" s="24">
        <f>IF(OR($A2162="",$C2162=""),"",IF($L2162&lt;&gt;"",$L2162-$C2162,TODAY()-$C2162))</f>
        <v/>
      </c>
      <c r="N2162" s="28">
        <f>IF(OR($A2162="",$K2162=""),"",IF($L2162="",IF(TODAY()&gt;$K2162,"Atrasado","En ruta"),IF($L2162&lt;=$K2162,"Sí","No")))</f>
        <v/>
      </c>
      <c r="O2162" s="24">
        <f>IF($A2162="","",COUNTIFS(NOVEDADES!$D$4:$D$1503,$A2162))</f>
        <v/>
      </c>
      <c r="P2162" s="28">
        <f>IF($A2162="","",IF(COUNTIFS(NOVEDADES!$D$4:$D$1503,$A2162,NOVEDADES!$O$4:$O$1503,"SÍ")&gt;0,"No","Sí"))</f>
        <v/>
      </c>
      <c r="Q2162" s="28">
        <f>IF(OR($A2162="",$L2162=""),"",IF(AND($N2162="Sí",$P2162="Sí"),"OTIF","Falló"))</f>
        <v/>
      </c>
    </row>
    <row r="2163" ht="16" customHeight="1">
      <c r="A2163" s="48" t="n"/>
      <c r="B2163" s="48" t="n"/>
      <c r="C2163" s="47" t="n"/>
      <c r="D2163" s="50" t="n"/>
      <c r="E2163" s="50" t="n"/>
      <c r="F2163" s="50" t="n"/>
      <c r="G2163" s="50" t="n"/>
      <c r="H2163" s="48" t="n"/>
      <c r="I2163" s="51" t="n"/>
      <c r="J2163" s="52" t="n"/>
      <c r="K2163" s="47" t="n"/>
      <c r="L2163" s="47" t="n"/>
      <c r="M2163" s="24">
        <f>IF(OR($A2163="",$C2163=""),"",IF($L2163&lt;&gt;"",$L2163-$C2163,TODAY()-$C2163))</f>
        <v/>
      </c>
      <c r="N2163" s="28">
        <f>IF(OR($A2163="",$K2163=""),"",IF($L2163="",IF(TODAY()&gt;$K2163,"Atrasado","En ruta"),IF($L2163&lt;=$K2163,"Sí","No")))</f>
        <v/>
      </c>
      <c r="O2163" s="24">
        <f>IF($A2163="","",COUNTIFS(NOVEDADES!$D$4:$D$1503,$A2163))</f>
        <v/>
      </c>
      <c r="P2163" s="28">
        <f>IF($A2163="","",IF(COUNTIFS(NOVEDADES!$D$4:$D$1503,$A2163,NOVEDADES!$O$4:$O$1503,"SÍ")&gt;0,"No","Sí"))</f>
        <v/>
      </c>
      <c r="Q2163" s="28">
        <f>IF(OR($A2163="",$L2163=""),"",IF(AND($N2163="Sí",$P2163="Sí"),"OTIF","Falló"))</f>
        <v/>
      </c>
    </row>
    <row r="2164" ht="16" customHeight="1">
      <c r="A2164" s="48" t="n"/>
      <c r="B2164" s="48" t="n"/>
      <c r="C2164" s="47" t="n"/>
      <c r="D2164" s="50" t="n"/>
      <c r="E2164" s="50" t="n"/>
      <c r="F2164" s="50" t="n"/>
      <c r="G2164" s="50" t="n"/>
      <c r="H2164" s="48" t="n"/>
      <c r="I2164" s="51" t="n"/>
      <c r="J2164" s="52" t="n"/>
      <c r="K2164" s="47" t="n"/>
      <c r="L2164" s="47" t="n"/>
      <c r="M2164" s="24">
        <f>IF(OR($A2164="",$C2164=""),"",IF($L2164&lt;&gt;"",$L2164-$C2164,TODAY()-$C2164))</f>
        <v/>
      </c>
      <c r="N2164" s="28">
        <f>IF(OR($A2164="",$K2164=""),"",IF($L2164="",IF(TODAY()&gt;$K2164,"Atrasado","En ruta"),IF($L2164&lt;=$K2164,"Sí","No")))</f>
        <v/>
      </c>
      <c r="O2164" s="24">
        <f>IF($A2164="","",COUNTIFS(NOVEDADES!$D$4:$D$1503,$A2164))</f>
        <v/>
      </c>
      <c r="P2164" s="28">
        <f>IF($A2164="","",IF(COUNTIFS(NOVEDADES!$D$4:$D$1503,$A2164,NOVEDADES!$O$4:$O$1503,"SÍ")&gt;0,"No","Sí"))</f>
        <v/>
      </c>
      <c r="Q2164" s="28">
        <f>IF(OR($A2164="",$L2164=""),"",IF(AND($N2164="Sí",$P2164="Sí"),"OTIF","Falló"))</f>
        <v/>
      </c>
    </row>
    <row r="2165" ht="16" customHeight="1">
      <c r="A2165" s="48" t="n"/>
      <c r="B2165" s="48" t="n"/>
      <c r="C2165" s="47" t="n"/>
      <c r="D2165" s="50" t="n"/>
      <c r="E2165" s="50" t="n"/>
      <c r="F2165" s="50" t="n"/>
      <c r="G2165" s="50" t="n"/>
      <c r="H2165" s="48" t="n"/>
      <c r="I2165" s="51" t="n"/>
      <c r="J2165" s="52" t="n"/>
      <c r="K2165" s="47" t="n"/>
      <c r="L2165" s="47" t="n"/>
      <c r="M2165" s="24">
        <f>IF(OR($A2165="",$C2165=""),"",IF($L2165&lt;&gt;"",$L2165-$C2165,TODAY()-$C2165))</f>
        <v/>
      </c>
      <c r="N2165" s="28">
        <f>IF(OR($A2165="",$K2165=""),"",IF($L2165="",IF(TODAY()&gt;$K2165,"Atrasado","En ruta"),IF($L2165&lt;=$K2165,"Sí","No")))</f>
        <v/>
      </c>
      <c r="O2165" s="24">
        <f>IF($A2165="","",COUNTIFS(NOVEDADES!$D$4:$D$1503,$A2165))</f>
        <v/>
      </c>
      <c r="P2165" s="28">
        <f>IF($A2165="","",IF(COUNTIFS(NOVEDADES!$D$4:$D$1503,$A2165,NOVEDADES!$O$4:$O$1503,"SÍ")&gt;0,"No","Sí"))</f>
        <v/>
      </c>
      <c r="Q2165" s="28">
        <f>IF(OR($A2165="",$L2165=""),"",IF(AND($N2165="Sí",$P2165="Sí"),"OTIF","Falló"))</f>
        <v/>
      </c>
    </row>
    <row r="2166" ht="16" customHeight="1">
      <c r="A2166" s="48" t="n"/>
      <c r="B2166" s="48" t="n"/>
      <c r="C2166" s="47" t="n"/>
      <c r="D2166" s="50" t="n"/>
      <c r="E2166" s="50" t="n"/>
      <c r="F2166" s="50" t="n"/>
      <c r="G2166" s="50" t="n"/>
      <c r="H2166" s="48" t="n"/>
      <c r="I2166" s="51" t="n"/>
      <c r="J2166" s="52" t="n"/>
      <c r="K2166" s="47" t="n"/>
      <c r="L2166" s="47" t="n"/>
      <c r="M2166" s="24">
        <f>IF(OR($A2166="",$C2166=""),"",IF($L2166&lt;&gt;"",$L2166-$C2166,TODAY()-$C2166))</f>
        <v/>
      </c>
      <c r="N2166" s="28">
        <f>IF(OR($A2166="",$K2166=""),"",IF($L2166="",IF(TODAY()&gt;$K2166,"Atrasado","En ruta"),IF($L2166&lt;=$K2166,"Sí","No")))</f>
        <v/>
      </c>
      <c r="O2166" s="24">
        <f>IF($A2166="","",COUNTIFS(NOVEDADES!$D$4:$D$1503,$A2166))</f>
        <v/>
      </c>
      <c r="P2166" s="28">
        <f>IF($A2166="","",IF(COUNTIFS(NOVEDADES!$D$4:$D$1503,$A2166,NOVEDADES!$O$4:$O$1503,"SÍ")&gt;0,"No","Sí"))</f>
        <v/>
      </c>
      <c r="Q2166" s="28">
        <f>IF(OR($A2166="",$L2166=""),"",IF(AND($N2166="Sí",$P2166="Sí"),"OTIF","Falló"))</f>
        <v/>
      </c>
    </row>
    <row r="2167" ht="16" customHeight="1">
      <c r="A2167" s="48" t="n"/>
      <c r="B2167" s="48" t="n"/>
      <c r="C2167" s="47" t="n"/>
      <c r="D2167" s="50" t="n"/>
      <c r="E2167" s="50" t="n"/>
      <c r="F2167" s="50" t="n"/>
      <c r="G2167" s="50" t="n"/>
      <c r="H2167" s="48" t="n"/>
      <c r="I2167" s="51" t="n"/>
      <c r="J2167" s="52" t="n"/>
      <c r="K2167" s="47" t="n"/>
      <c r="L2167" s="47" t="n"/>
      <c r="M2167" s="24">
        <f>IF(OR($A2167="",$C2167=""),"",IF($L2167&lt;&gt;"",$L2167-$C2167,TODAY()-$C2167))</f>
        <v/>
      </c>
      <c r="N2167" s="28">
        <f>IF(OR($A2167="",$K2167=""),"",IF($L2167="",IF(TODAY()&gt;$K2167,"Atrasado","En ruta"),IF($L2167&lt;=$K2167,"Sí","No")))</f>
        <v/>
      </c>
      <c r="O2167" s="24">
        <f>IF($A2167="","",COUNTIFS(NOVEDADES!$D$4:$D$1503,$A2167))</f>
        <v/>
      </c>
      <c r="P2167" s="28">
        <f>IF($A2167="","",IF(COUNTIFS(NOVEDADES!$D$4:$D$1503,$A2167,NOVEDADES!$O$4:$O$1503,"SÍ")&gt;0,"No","Sí"))</f>
        <v/>
      </c>
      <c r="Q2167" s="28">
        <f>IF(OR($A2167="",$L2167=""),"",IF(AND($N2167="Sí",$P2167="Sí"),"OTIF","Falló"))</f>
        <v/>
      </c>
    </row>
    <row r="2168" ht="16" customHeight="1">
      <c r="A2168" s="48" t="n"/>
      <c r="B2168" s="48" t="n"/>
      <c r="C2168" s="47" t="n"/>
      <c r="D2168" s="50" t="n"/>
      <c r="E2168" s="50" t="n"/>
      <c r="F2168" s="50" t="n"/>
      <c r="G2168" s="50" t="n"/>
      <c r="H2168" s="48" t="n"/>
      <c r="I2168" s="51" t="n"/>
      <c r="J2168" s="52" t="n"/>
      <c r="K2168" s="47" t="n"/>
      <c r="L2168" s="47" t="n"/>
      <c r="M2168" s="24">
        <f>IF(OR($A2168="",$C2168=""),"",IF($L2168&lt;&gt;"",$L2168-$C2168,TODAY()-$C2168))</f>
        <v/>
      </c>
      <c r="N2168" s="28">
        <f>IF(OR($A2168="",$K2168=""),"",IF($L2168="",IF(TODAY()&gt;$K2168,"Atrasado","En ruta"),IF($L2168&lt;=$K2168,"Sí","No")))</f>
        <v/>
      </c>
      <c r="O2168" s="24">
        <f>IF($A2168="","",COUNTIFS(NOVEDADES!$D$4:$D$1503,$A2168))</f>
        <v/>
      </c>
      <c r="P2168" s="28">
        <f>IF($A2168="","",IF(COUNTIFS(NOVEDADES!$D$4:$D$1503,$A2168,NOVEDADES!$O$4:$O$1503,"SÍ")&gt;0,"No","Sí"))</f>
        <v/>
      </c>
      <c r="Q2168" s="28">
        <f>IF(OR($A2168="",$L2168=""),"",IF(AND($N2168="Sí",$P2168="Sí"),"OTIF","Falló"))</f>
        <v/>
      </c>
    </row>
    <row r="2169" ht="16" customHeight="1">
      <c r="A2169" s="48" t="n"/>
      <c r="B2169" s="48" t="n"/>
      <c r="C2169" s="47" t="n"/>
      <c r="D2169" s="50" t="n"/>
      <c r="E2169" s="50" t="n"/>
      <c r="F2169" s="50" t="n"/>
      <c r="G2169" s="50" t="n"/>
      <c r="H2169" s="48" t="n"/>
      <c r="I2169" s="51" t="n"/>
      <c r="J2169" s="52" t="n"/>
      <c r="K2169" s="47" t="n"/>
      <c r="L2169" s="47" t="n"/>
      <c r="M2169" s="24">
        <f>IF(OR($A2169="",$C2169=""),"",IF($L2169&lt;&gt;"",$L2169-$C2169,TODAY()-$C2169))</f>
        <v/>
      </c>
      <c r="N2169" s="28">
        <f>IF(OR($A2169="",$K2169=""),"",IF($L2169="",IF(TODAY()&gt;$K2169,"Atrasado","En ruta"),IF($L2169&lt;=$K2169,"Sí","No")))</f>
        <v/>
      </c>
      <c r="O2169" s="24">
        <f>IF($A2169="","",COUNTIFS(NOVEDADES!$D$4:$D$1503,$A2169))</f>
        <v/>
      </c>
      <c r="P2169" s="28">
        <f>IF($A2169="","",IF(COUNTIFS(NOVEDADES!$D$4:$D$1503,$A2169,NOVEDADES!$O$4:$O$1503,"SÍ")&gt;0,"No","Sí"))</f>
        <v/>
      </c>
      <c r="Q2169" s="28">
        <f>IF(OR($A2169="",$L2169=""),"",IF(AND($N2169="Sí",$P2169="Sí"),"OTIF","Falló"))</f>
        <v/>
      </c>
    </row>
    <row r="2170" ht="16" customHeight="1">
      <c r="A2170" s="48" t="n"/>
      <c r="B2170" s="48" t="n"/>
      <c r="C2170" s="47" t="n"/>
      <c r="D2170" s="50" t="n"/>
      <c r="E2170" s="50" t="n"/>
      <c r="F2170" s="50" t="n"/>
      <c r="G2170" s="50" t="n"/>
      <c r="H2170" s="48" t="n"/>
      <c r="I2170" s="51" t="n"/>
      <c r="J2170" s="52" t="n"/>
      <c r="K2170" s="47" t="n"/>
      <c r="L2170" s="47" t="n"/>
      <c r="M2170" s="24">
        <f>IF(OR($A2170="",$C2170=""),"",IF($L2170&lt;&gt;"",$L2170-$C2170,TODAY()-$C2170))</f>
        <v/>
      </c>
      <c r="N2170" s="28">
        <f>IF(OR($A2170="",$K2170=""),"",IF($L2170="",IF(TODAY()&gt;$K2170,"Atrasado","En ruta"),IF($L2170&lt;=$K2170,"Sí","No")))</f>
        <v/>
      </c>
      <c r="O2170" s="24">
        <f>IF($A2170="","",COUNTIFS(NOVEDADES!$D$4:$D$1503,$A2170))</f>
        <v/>
      </c>
      <c r="P2170" s="28">
        <f>IF($A2170="","",IF(COUNTIFS(NOVEDADES!$D$4:$D$1503,$A2170,NOVEDADES!$O$4:$O$1503,"SÍ")&gt;0,"No","Sí"))</f>
        <v/>
      </c>
      <c r="Q2170" s="28">
        <f>IF(OR($A2170="",$L2170=""),"",IF(AND($N2170="Sí",$P2170="Sí"),"OTIF","Falló"))</f>
        <v/>
      </c>
    </row>
    <row r="2171" ht="16" customHeight="1">
      <c r="A2171" s="48" t="n"/>
      <c r="B2171" s="48" t="n"/>
      <c r="C2171" s="47" t="n"/>
      <c r="D2171" s="50" t="n"/>
      <c r="E2171" s="50" t="n"/>
      <c r="F2171" s="50" t="n"/>
      <c r="G2171" s="50" t="n"/>
      <c r="H2171" s="48" t="n"/>
      <c r="I2171" s="51" t="n"/>
      <c r="J2171" s="52" t="n"/>
      <c r="K2171" s="47" t="n"/>
      <c r="L2171" s="47" t="n"/>
      <c r="M2171" s="24">
        <f>IF(OR($A2171="",$C2171=""),"",IF($L2171&lt;&gt;"",$L2171-$C2171,TODAY()-$C2171))</f>
        <v/>
      </c>
      <c r="N2171" s="28">
        <f>IF(OR($A2171="",$K2171=""),"",IF($L2171="",IF(TODAY()&gt;$K2171,"Atrasado","En ruta"),IF($L2171&lt;=$K2171,"Sí","No")))</f>
        <v/>
      </c>
      <c r="O2171" s="24">
        <f>IF($A2171="","",COUNTIFS(NOVEDADES!$D$4:$D$1503,$A2171))</f>
        <v/>
      </c>
      <c r="P2171" s="28">
        <f>IF($A2171="","",IF(COUNTIFS(NOVEDADES!$D$4:$D$1503,$A2171,NOVEDADES!$O$4:$O$1503,"SÍ")&gt;0,"No","Sí"))</f>
        <v/>
      </c>
      <c r="Q2171" s="28">
        <f>IF(OR($A2171="",$L2171=""),"",IF(AND($N2171="Sí",$P2171="Sí"),"OTIF","Falló"))</f>
        <v/>
      </c>
    </row>
    <row r="2172" ht="16" customHeight="1">
      <c r="A2172" s="48" t="n"/>
      <c r="B2172" s="48" t="n"/>
      <c r="C2172" s="47" t="n"/>
      <c r="D2172" s="50" t="n"/>
      <c r="E2172" s="50" t="n"/>
      <c r="F2172" s="50" t="n"/>
      <c r="G2172" s="50" t="n"/>
      <c r="H2172" s="48" t="n"/>
      <c r="I2172" s="51" t="n"/>
      <c r="J2172" s="52" t="n"/>
      <c r="K2172" s="47" t="n"/>
      <c r="L2172" s="47" t="n"/>
      <c r="M2172" s="24">
        <f>IF(OR($A2172="",$C2172=""),"",IF($L2172&lt;&gt;"",$L2172-$C2172,TODAY()-$C2172))</f>
        <v/>
      </c>
      <c r="N2172" s="28">
        <f>IF(OR($A2172="",$K2172=""),"",IF($L2172="",IF(TODAY()&gt;$K2172,"Atrasado","En ruta"),IF($L2172&lt;=$K2172,"Sí","No")))</f>
        <v/>
      </c>
      <c r="O2172" s="24">
        <f>IF($A2172="","",COUNTIFS(NOVEDADES!$D$4:$D$1503,$A2172))</f>
        <v/>
      </c>
      <c r="P2172" s="28">
        <f>IF($A2172="","",IF(COUNTIFS(NOVEDADES!$D$4:$D$1503,$A2172,NOVEDADES!$O$4:$O$1503,"SÍ")&gt;0,"No","Sí"))</f>
        <v/>
      </c>
      <c r="Q2172" s="28">
        <f>IF(OR($A2172="",$L2172=""),"",IF(AND($N2172="Sí",$P2172="Sí"),"OTIF","Falló"))</f>
        <v/>
      </c>
    </row>
    <row r="2173" ht="16" customHeight="1">
      <c r="A2173" s="48" t="n"/>
      <c r="B2173" s="48" t="n"/>
      <c r="C2173" s="47" t="n"/>
      <c r="D2173" s="50" t="n"/>
      <c r="E2173" s="50" t="n"/>
      <c r="F2173" s="50" t="n"/>
      <c r="G2173" s="50" t="n"/>
      <c r="H2173" s="48" t="n"/>
      <c r="I2173" s="51" t="n"/>
      <c r="J2173" s="52" t="n"/>
      <c r="K2173" s="47" t="n"/>
      <c r="L2173" s="47" t="n"/>
      <c r="M2173" s="24">
        <f>IF(OR($A2173="",$C2173=""),"",IF($L2173&lt;&gt;"",$L2173-$C2173,TODAY()-$C2173))</f>
        <v/>
      </c>
      <c r="N2173" s="28">
        <f>IF(OR($A2173="",$K2173=""),"",IF($L2173="",IF(TODAY()&gt;$K2173,"Atrasado","En ruta"),IF($L2173&lt;=$K2173,"Sí","No")))</f>
        <v/>
      </c>
      <c r="O2173" s="24">
        <f>IF($A2173="","",COUNTIFS(NOVEDADES!$D$4:$D$1503,$A2173))</f>
        <v/>
      </c>
      <c r="P2173" s="28">
        <f>IF($A2173="","",IF(COUNTIFS(NOVEDADES!$D$4:$D$1503,$A2173,NOVEDADES!$O$4:$O$1503,"SÍ")&gt;0,"No","Sí"))</f>
        <v/>
      </c>
      <c r="Q2173" s="28">
        <f>IF(OR($A2173="",$L2173=""),"",IF(AND($N2173="Sí",$P2173="Sí"),"OTIF","Falló"))</f>
        <v/>
      </c>
    </row>
    <row r="2174" ht="16" customHeight="1">
      <c r="A2174" s="48" t="n"/>
      <c r="B2174" s="48" t="n"/>
      <c r="C2174" s="47" t="n"/>
      <c r="D2174" s="50" t="n"/>
      <c r="E2174" s="50" t="n"/>
      <c r="F2174" s="50" t="n"/>
      <c r="G2174" s="50" t="n"/>
      <c r="H2174" s="48" t="n"/>
      <c r="I2174" s="51" t="n"/>
      <c r="J2174" s="52" t="n"/>
      <c r="K2174" s="47" t="n"/>
      <c r="L2174" s="47" t="n"/>
      <c r="M2174" s="24">
        <f>IF(OR($A2174="",$C2174=""),"",IF($L2174&lt;&gt;"",$L2174-$C2174,TODAY()-$C2174))</f>
        <v/>
      </c>
      <c r="N2174" s="28">
        <f>IF(OR($A2174="",$K2174=""),"",IF($L2174="",IF(TODAY()&gt;$K2174,"Atrasado","En ruta"),IF($L2174&lt;=$K2174,"Sí","No")))</f>
        <v/>
      </c>
      <c r="O2174" s="24">
        <f>IF($A2174="","",COUNTIFS(NOVEDADES!$D$4:$D$1503,$A2174))</f>
        <v/>
      </c>
      <c r="P2174" s="28">
        <f>IF($A2174="","",IF(COUNTIFS(NOVEDADES!$D$4:$D$1503,$A2174,NOVEDADES!$O$4:$O$1503,"SÍ")&gt;0,"No","Sí"))</f>
        <v/>
      </c>
      <c r="Q2174" s="28">
        <f>IF(OR($A2174="",$L2174=""),"",IF(AND($N2174="Sí",$P2174="Sí"),"OTIF","Falló"))</f>
        <v/>
      </c>
    </row>
    <row r="2175" ht="16" customHeight="1">
      <c r="A2175" s="48" t="n"/>
      <c r="B2175" s="48" t="n"/>
      <c r="C2175" s="47" t="n"/>
      <c r="D2175" s="50" t="n"/>
      <c r="E2175" s="50" t="n"/>
      <c r="F2175" s="50" t="n"/>
      <c r="G2175" s="50" t="n"/>
      <c r="H2175" s="48" t="n"/>
      <c r="I2175" s="51" t="n"/>
      <c r="J2175" s="52" t="n"/>
      <c r="K2175" s="47" t="n"/>
      <c r="L2175" s="47" t="n"/>
      <c r="M2175" s="24">
        <f>IF(OR($A2175="",$C2175=""),"",IF($L2175&lt;&gt;"",$L2175-$C2175,TODAY()-$C2175))</f>
        <v/>
      </c>
      <c r="N2175" s="28">
        <f>IF(OR($A2175="",$K2175=""),"",IF($L2175="",IF(TODAY()&gt;$K2175,"Atrasado","En ruta"),IF($L2175&lt;=$K2175,"Sí","No")))</f>
        <v/>
      </c>
      <c r="O2175" s="24">
        <f>IF($A2175="","",COUNTIFS(NOVEDADES!$D$4:$D$1503,$A2175))</f>
        <v/>
      </c>
      <c r="P2175" s="28">
        <f>IF($A2175="","",IF(COUNTIFS(NOVEDADES!$D$4:$D$1503,$A2175,NOVEDADES!$O$4:$O$1503,"SÍ")&gt;0,"No","Sí"))</f>
        <v/>
      </c>
      <c r="Q2175" s="28">
        <f>IF(OR($A2175="",$L2175=""),"",IF(AND($N2175="Sí",$P2175="Sí"),"OTIF","Falló"))</f>
        <v/>
      </c>
    </row>
    <row r="2176" ht="16" customHeight="1">
      <c r="A2176" s="48" t="n"/>
      <c r="B2176" s="48" t="n"/>
      <c r="C2176" s="47" t="n"/>
      <c r="D2176" s="50" t="n"/>
      <c r="E2176" s="50" t="n"/>
      <c r="F2176" s="50" t="n"/>
      <c r="G2176" s="50" t="n"/>
      <c r="H2176" s="48" t="n"/>
      <c r="I2176" s="51" t="n"/>
      <c r="J2176" s="52" t="n"/>
      <c r="K2176" s="47" t="n"/>
      <c r="L2176" s="47" t="n"/>
      <c r="M2176" s="24">
        <f>IF(OR($A2176="",$C2176=""),"",IF($L2176&lt;&gt;"",$L2176-$C2176,TODAY()-$C2176))</f>
        <v/>
      </c>
      <c r="N2176" s="28">
        <f>IF(OR($A2176="",$K2176=""),"",IF($L2176="",IF(TODAY()&gt;$K2176,"Atrasado","En ruta"),IF($L2176&lt;=$K2176,"Sí","No")))</f>
        <v/>
      </c>
      <c r="O2176" s="24">
        <f>IF($A2176="","",COUNTIFS(NOVEDADES!$D$4:$D$1503,$A2176))</f>
        <v/>
      </c>
      <c r="P2176" s="28">
        <f>IF($A2176="","",IF(COUNTIFS(NOVEDADES!$D$4:$D$1503,$A2176,NOVEDADES!$O$4:$O$1503,"SÍ")&gt;0,"No","Sí"))</f>
        <v/>
      </c>
      <c r="Q2176" s="28">
        <f>IF(OR($A2176="",$L2176=""),"",IF(AND($N2176="Sí",$P2176="Sí"),"OTIF","Falló"))</f>
        <v/>
      </c>
    </row>
    <row r="2177" ht="16" customHeight="1">
      <c r="A2177" s="48" t="n"/>
      <c r="B2177" s="48" t="n"/>
      <c r="C2177" s="47" t="n"/>
      <c r="D2177" s="50" t="n"/>
      <c r="E2177" s="50" t="n"/>
      <c r="F2177" s="50" t="n"/>
      <c r="G2177" s="50" t="n"/>
      <c r="H2177" s="48" t="n"/>
      <c r="I2177" s="51" t="n"/>
      <c r="J2177" s="52" t="n"/>
      <c r="K2177" s="47" t="n"/>
      <c r="L2177" s="47" t="n"/>
      <c r="M2177" s="24">
        <f>IF(OR($A2177="",$C2177=""),"",IF($L2177&lt;&gt;"",$L2177-$C2177,TODAY()-$C2177))</f>
        <v/>
      </c>
      <c r="N2177" s="28">
        <f>IF(OR($A2177="",$K2177=""),"",IF($L2177="",IF(TODAY()&gt;$K2177,"Atrasado","En ruta"),IF($L2177&lt;=$K2177,"Sí","No")))</f>
        <v/>
      </c>
      <c r="O2177" s="24">
        <f>IF($A2177="","",COUNTIFS(NOVEDADES!$D$4:$D$1503,$A2177))</f>
        <v/>
      </c>
      <c r="P2177" s="28">
        <f>IF($A2177="","",IF(COUNTIFS(NOVEDADES!$D$4:$D$1503,$A2177,NOVEDADES!$O$4:$O$1503,"SÍ")&gt;0,"No","Sí"))</f>
        <v/>
      </c>
      <c r="Q2177" s="28">
        <f>IF(OR($A2177="",$L2177=""),"",IF(AND($N2177="Sí",$P2177="Sí"),"OTIF","Falló"))</f>
        <v/>
      </c>
    </row>
    <row r="2178" ht="16" customHeight="1">
      <c r="A2178" s="48" t="n"/>
      <c r="B2178" s="48" t="n"/>
      <c r="C2178" s="47" t="n"/>
      <c r="D2178" s="50" t="n"/>
      <c r="E2178" s="50" t="n"/>
      <c r="F2178" s="50" t="n"/>
      <c r="G2178" s="50" t="n"/>
      <c r="H2178" s="48" t="n"/>
      <c r="I2178" s="51" t="n"/>
      <c r="J2178" s="52" t="n"/>
      <c r="K2178" s="47" t="n"/>
      <c r="L2178" s="47" t="n"/>
      <c r="M2178" s="24">
        <f>IF(OR($A2178="",$C2178=""),"",IF($L2178&lt;&gt;"",$L2178-$C2178,TODAY()-$C2178))</f>
        <v/>
      </c>
      <c r="N2178" s="28">
        <f>IF(OR($A2178="",$K2178=""),"",IF($L2178="",IF(TODAY()&gt;$K2178,"Atrasado","En ruta"),IF($L2178&lt;=$K2178,"Sí","No")))</f>
        <v/>
      </c>
      <c r="O2178" s="24">
        <f>IF($A2178="","",COUNTIFS(NOVEDADES!$D$4:$D$1503,$A2178))</f>
        <v/>
      </c>
      <c r="P2178" s="28">
        <f>IF($A2178="","",IF(COUNTIFS(NOVEDADES!$D$4:$D$1503,$A2178,NOVEDADES!$O$4:$O$1503,"SÍ")&gt;0,"No","Sí"))</f>
        <v/>
      </c>
      <c r="Q2178" s="28">
        <f>IF(OR($A2178="",$L2178=""),"",IF(AND($N2178="Sí",$P2178="Sí"),"OTIF","Falló"))</f>
        <v/>
      </c>
    </row>
    <row r="2179" ht="16" customHeight="1">
      <c r="A2179" s="48" t="n"/>
      <c r="B2179" s="48" t="n"/>
      <c r="C2179" s="47" t="n"/>
      <c r="D2179" s="50" t="n"/>
      <c r="E2179" s="50" t="n"/>
      <c r="F2179" s="50" t="n"/>
      <c r="G2179" s="50" t="n"/>
      <c r="H2179" s="48" t="n"/>
      <c r="I2179" s="51" t="n"/>
      <c r="J2179" s="52" t="n"/>
      <c r="K2179" s="47" t="n"/>
      <c r="L2179" s="47" t="n"/>
      <c r="M2179" s="24">
        <f>IF(OR($A2179="",$C2179=""),"",IF($L2179&lt;&gt;"",$L2179-$C2179,TODAY()-$C2179))</f>
        <v/>
      </c>
      <c r="N2179" s="28">
        <f>IF(OR($A2179="",$K2179=""),"",IF($L2179="",IF(TODAY()&gt;$K2179,"Atrasado","En ruta"),IF($L2179&lt;=$K2179,"Sí","No")))</f>
        <v/>
      </c>
      <c r="O2179" s="24">
        <f>IF($A2179="","",COUNTIFS(NOVEDADES!$D$4:$D$1503,$A2179))</f>
        <v/>
      </c>
      <c r="P2179" s="28">
        <f>IF($A2179="","",IF(COUNTIFS(NOVEDADES!$D$4:$D$1503,$A2179,NOVEDADES!$O$4:$O$1503,"SÍ")&gt;0,"No","Sí"))</f>
        <v/>
      </c>
      <c r="Q2179" s="28">
        <f>IF(OR($A2179="",$L2179=""),"",IF(AND($N2179="Sí",$P2179="Sí"),"OTIF","Falló"))</f>
        <v/>
      </c>
    </row>
    <row r="2180" ht="16" customHeight="1">
      <c r="A2180" s="48" t="n"/>
      <c r="B2180" s="48" t="n"/>
      <c r="C2180" s="47" t="n"/>
      <c r="D2180" s="50" t="n"/>
      <c r="E2180" s="50" t="n"/>
      <c r="F2180" s="50" t="n"/>
      <c r="G2180" s="50" t="n"/>
      <c r="H2180" s="48" t="n"/>
      <c r="I2180" s="51" t="n"/>
      <c r="J2180" s="52" t="n"/>
      <c r="K2180" s="47" t="n"/>
      <c r="L2180" s="47" t="n"/>
      <c r="M2180" s="24">
        <f>IF(OR($A2180="",$C2180=""),"",IF($L2180&lt;&gt;"",$L2180-$C2180,TODAY()-$C2180))</f>
        <v/>
      </c>
      <c r="N2180" s="28">
        <f>IF(OR($A2180="",$K2180=""),"",IF($L2180="",IF(TODAY()&gt;$K2180,"Atrasado","En ruta"),IF($L2180&lt;=$K2180,"Sí","No")))</f>
        <v/>
      </c>
      <c r="O2180" s="24">
        <f>IF($A2180="","",COUNTIFS(NOVEDADES!$D$4:$D$1503,$A2180))</f>
        <v/>
      </c>
      <c r="P2180" s="28">
        <f>IF($A2180="","",IF(COUNTIFS(NOVEDADES!$D$4:$D$1503,$A2180,NOVEDADES!$O$4:$O$1503,"SÍ")&gt;0,"No","Sí"))</f>
        <v/>
      </c>
      <c r="Q2180" s="28">
        <f>IF(OR($A2180="",$L2180=""),"",IF(AND($N2180="Sí",$P2180="Sí"),"OTIF","Falló"))</f>
        <v/>
      </c>
    </row>
    <row r="2181" ht="16" customHeight="1">
      <c r="A2181" s="48" t="n"/>
      <c r="B2181" s="48" t="n"/>
      <c r="C2181" s="47" t="n"/>
      <c r="D2181" s="50" t="n"/>
      <c r="E2181" s="50" t="n"/>
      <c r="F2181" s="50" t="n"/>
      <c r="G2181" s="50" t="n"/>
      <c r="H2181" s="48" t="n"/>
      <c r="I2181" s="51" t="n"/>
      <c r="J2181" s="52" t="n"/>
      <c r="K2181" s="47" t="n"/>
      <c r="L2181" s="47" t="n"/>
      <c r="M2181" s="24">
        <f>IF(OR($A2181="",$C2181=""),"",IF($L2181&lt;&gt;"",$L2181-$C2181,TODAY()-$C2181))</f>
        <v/>
      </c>
      <c r="N2181" s="28">
        <f>IF(OR($A2181="",$K2181=""),"",IF($L2181="",IF(TODAY()&gt;$K2181,"Atrasado","En ruta"),IF($L2181&lt;=$K2181,"Sí","No")))</f>
        <v/>
      </c>
      <c r="O2181" s="24">
        <f>IF($A2181="","",COUNTIFS(NOVEDADES!$D$4:$D$1503,$A2181))</f>
        <v/>
      </c>
      <c r="P2181" s="28">
        <f>IF($A2181="","",IF(COUNTIFS(NOVEDADES!$D$4:$D$1503,$A2181,NOVEDADES!$O$4:$O$1503,"SÍ")&gt;0,"No","Sí"))</f>
        <v/>
      </c>
      <c r="Q2181" s="28">
        <f>IF(OR($A2181="",$L2181=""),"",IF(AND($N2181="Sí",$P2181="Sí"),"OTIF","Falló"))</f>
        <v/>
      </c>
    </row>
    <row r="2182" ht="16" customHeight="1">
      <c r="A2182" s="48" t="n"/>
      <c r="B2182" s="48" t="n"/>
      <c r="C2182" s="47" t="n"/>
      <c r="D2182" s="50" t="n"/>
      <c r="E2182" s="50" t="n"/>
      <c r="F2182" s="50" t="n"/>
      <c r="G2182" s="50" t="n"/>
      <c r="H2182" s="48" t="n"/>
      <c r="I2182" s="51" t="n"/>
      <c r="J2182" s="52" t="n"/>
      <c r="K2182" s="47" t="n"/>
      <c r="L2182" s="47" t="n"/>
      <c r="M2182" s="24">
        <f>IF(OR($A2182="",$C2182=""),"",IF($L2182&lt;&gt;"",$L2182-$C2182,TODAY()-$C2182))</f>
        <v/>
      </c>
      <c r="N2182" s="28">
        <f>IF(OR($A2182="",$K2182=""),"",IF($L2182="",IF(TODAY()&gt;$K2182,"Atrasado","En ruta"),IF($L2182&lt;=$K2182,"Sí","No")))</f>
        <v/>
      </c>
      <c r="O2182" s="24">
        <f>IF($A2182="","",COUNTIFS(NOVEDADES!$D$4:$D$1503,$A2182))</f>
        <v/>
      </c>
      <c r="P2182" s="28">
        <f>IF($A2182="","",IF(COUNTIFS(NOVEDADES!$D$4:$D$1503,$A2182,NOVEDADES!$O$4:$O$1503,"SÍ")&gt;0,"No","Sí"))</f>
        <v/>
      </c>
      <c r="Q2182" s="28">
        <f>IF(OR($A2182="",$L2182=""),"",IF(AND($N2182="Sí",$P2182="Sí"),"OTIF","Falló"))</f>
        <v/>
      </c>
    </row>
    <row r="2183" ht="16" customHeight="1">
      <c r="A2183" s="48" t="n"/>
      <c r="B2183" s="48" t="n"/>
      <c r="C2183" s="47" t="n"/>
      <c r="D2183" s="50" t="n"/>
      <c r="E2183" s="50" t="n"/>
      <c r="F2183" s="50" t="n"/>
      <c r="G2183" s="50" t="n"/>
      <c r="H2183" s="48" t="n"/>
      <c r="I2183" s="51" t="n"/>
      <c r="J2183" s="52" t="n"/>
      <c r="K2183" s="47" t="n"/>
      <c r="L2183" s="47" t="n"/>
      <c r="M2183" s="24">
        <f>IF(OR($A2183="",$C2183=""),"",IF($L2183&lt;&gt;"",$L2183-$C2183,TODAY()-$C2183))</f>
        <v/>
      </c>
      <c r="N2183" s="28">
        <f>IF(OR($A2183="",$K2183=""),"",IF($L2183="",IF(TODAY()&gt;$K2183,"Atrasado","En ruta"),IF($L2183&lt;=$K2183,"Sí","No")))</f>
        <v/>
      </c>
      <c r="O2183" s="24">
        <f>IF($A2183="","",COUNTIFS(NOVEDADES!$D$4:$D$1503,$A2183))</f>
        <v/>
      </c>
      <c r="P2183" s="28">
        <f>IF($A2183="","",IF(COUNTIFS(NOVEDADES!$D$4:$D$1503,$A2183,NOVEDADES!$O$4:$O$1503,"SÍ")&gt;0,"No","Sí"))</f>
        <v/>
      </c>
      <c r="Q2183" s="28">
        <f>IF(OR($A2183="",$L2183=""),"",IF(AND($N2183="Sí",$P2183="Sí"),"OTIF","Falló"))</f>
        <v/>
      </c>
    </row>
    <row r="2184" ht="16" customHeight="1">
      <c r="A2184" s="48" t="n"/>
      <c r="B2184" s="48" t="n"/>
      <c r="C2184" s="47" t="n"/>
      <c r="D2184" s="50" t="n"/>
      <c r="E2184" s="50" t="n"/>
      <c r="F2184" s="50" t="n"/>
      <c r="G2184" s="50" t="n"/>
      <c r="H2184" s="48" t="n"/>
      <c r="I2184" s="51" t="n"/>
      <c r="J2184" s="52" t="n"/>
      <c r="K2184" s="47" t="n"/>
      <c r="L2184" s="47" t="n"/>
      <c r="M2184" s="24">
        <f>IF(OR($A2184="",$C2184=""),"",IF($L2184&lt;&gt;"",$L2184-$C2184,TODAY()-$C2184))</f>
        <v/>
      </c>
      <c r="N2184" s="28">
        <f>IF(OR($A2184="",$K2184=""),"",IF($L2184="",IF(TODAY()&gt;$K2184,"Atrasado","En ruta"),IF($L2184&lt;=$K2184,"Sí","No")))</f>
        <v/>
      </c>
      <c r="O2184" s="24">
        <f>IF($A2184="","",COUNTIFS(NOVEDADES!$D$4:$D$1503,$A2184))</f>
        <v/>
      </c>
      <c r="P2184" s="28">
        <f>IF($A2184="","",IF(COUNTIFS(NOVEDADES!$D$4:$D$1503,$A2184,NOVEDADES!$O$4:$O$1503,"SÍ")&gt;0,"No","Sí"))</f>
        <v/>
      </c>
      <c r="Q2184" s="28">
        <f>IF(OR($A2184="",$L2184=""),"",IF(AND($N2184="Sí",$P2184="Sí"),"OTIF","Falló"))</f>
        <v/>
      </c>
    </row>
    <row r="2185" ht="16" customHeight="1">
      <c r="A2185" s="48" t="n"/>
      <c r="B2185" s="48" t="n"/>
      <c r="C2185" s="47" t="n"/>
      <c r="D2185" s="50" t="n"/>
      <c r="E2185" s="50" t="n"/>
      <c r="F2185" s="50" t="n"/>
      <c r="G2185" s="50" t="n"/>
      <c r="H2185" s="48" t="n"/>
      <c r="I2185" s="51" t="n"/>
      <c r="J2185" s="52" t="n"/>
      <c r="K2185" s="47" t="n"/>
      <c r="L2185" s="47" t="n"/>
      <c r="M2185" s="24">
        <f>IF(OR($A2185="",$C2185=""),"",IF($L2185&lt;&gt;"",$L2185-$C2185,TODAY()-$C2185))</f>
        <v/>
      </c>
      <c r="N2185" s="28">
        <f>IF(OR($A2185="",$K2185=""),"",IF($L2185="",IF(TODAY()&gt;$K2185,"Atrasado","En ruta"),IF($L2185&lt;=$K2185,"Sí","No")))</f>
        <v/>
      </c>
      <c r="O2185" s="24">
        <f>IF($A2185="","",COUNTIFS(NOVEDADES!$D$4:$D$1503,$A2185))</f>
        <v/>
      </c>
      <c r="P2185" s="28">
        <f>IF($A2185="","",IF(COUNTIFS(NOVEDADES!$D$4:$D$1503,$A2185,NOVEDADES!$O$4:$O$1503,"SÍ")&gt;0,"No","Sí"))</f>
        <v/>
      </c>
      <c r="Q2185" s="28">
        <f>IF(OR($A2185="",$L2185=""),"",IF(AND($N2185="Sí",$P2185="Sí"),"OTIF","Falló"))</f>
        <v/>
      </c>
    </row>
    <row r="2186" ht="16" customHeight="1">
      <c r="A2186" s="48" t="n"/>
      <c r="B2186" s="48" t="n"/>
      <c r="C2186" s="47" t="n"/>
      <c r="D2186" s="50" t="n"/>
      <c r="E2186" s="50" t="n"/>
      <c r="F2186" s="50" t="n"/>
      <c r="G2186" s="50" t="n"/>
      <c r="H2186" s="48" t="n"/>
      <c r="I2186" s="51" t="n"/>
      <c r="J2186" s="52" t="n"/>
      <c r="K2186" s="47" t="n"/>
      <c r="L2186" s="47" t="n"/>
      <c r="M2186" s="24">
        <f>IF(OR($A2186="",$C2186=""),"",IF($L2186&lt;&gt;"",$L2186-$C2186,TODAY()-$C2186))</f>
        <v/>
      </c>
      <c r="N2186" s="28">
        <f>IF(OR($A2186="",$K2186=""),"",IF($L2186="",IF(TODAY()&gt;$K2186,"Atrasado","En ruta"),IF($L2186&lt;=$K2186,"Sí","No")))</f>
        <v/>
      </c>
      <c r="O2186" s="24">
        <f>IF($A2186="","",COUNTIFS(NOVEDADES!$D$4:$D$1503,$A2186))</f>
        <v/>
      </c>
      <c r="P2186" s="28">
        <f>IF($A2186="","",IF(COUNTIFS(NOVEDADES!$D$4:$D$1503,$A2186,NOVEDADES!$O$4:$O$1503,"SÍ")&gt;0,"No","Sí"))</f>
        <v/>
      </c>
      <c r="Q2186" s="28">
        <f>IF(OR($A2186="",$L2186=""),"",IF(AND($N2186="Sí",$P2186="Sí"),"OTIF","Falló"))</f>
        <v/>
      </c>
    </row>
    <row r="2187" ht="16" customHeight="1">
      <c r="A2187" s="48" t="n"/>
      <c r="B2187" s="48" t="n"/>
      <c r="C2187" s="47" t="n"/>
      <c r="D2187" s="50" t="n"/>
      <c r="E2187" s="50" t="n"/>
      <c r="F2187" s="50" t="n"/>
      <c r="G2187" s="50" t="n"/>
      <c r="H2187" s="48" t="n"/>
      <c r="I2187" s="51" t="n"/>
      <c r="J2187" s="52" t="n"/>
      <c r="K2187" s="47" t="n"/>
      <c r="L2187" s="47" t="n"/>
      <c r="M2187" s="24">
        <f>IF(OR($A2187="",$C2187=""),"",IF($L2187&lt;&gt;"",$L2187-$C2187,TODAY()-$C2187))</f>
        <v/>
      </c>
      <c r="N2187" s="28">
        <f>IF(OR($A2187="",$K2187=""),"",IF($L2187="",IF(TODAY()&gt;$K2187,"Atrasado","En ruta"),IF($L2187&lt;=$K2187,"Sí","No")))</f>
        <v/>
      </c>
      <c r="O2187" s="24">
        <f>IF($A2187="","",COUNTIFS(NOVEDADES!$D$4:$D$1503,$A2187))</f>
        <v/>
      </c>
      <c r="P2187" s="28">
        <f>IF($A2187="","",IF(COUNTIFS(NOVEDADES!$D$4:$D$1503,$A2187,NOVEDADES!$O$4:$O$1503,"SÍ")&gt;0,"No","Sí"))</f>
        <v/>
      </c>
      <c r="Q2187" s="28">
        <f>IF(OR($A2187="",$L2187=""),"",IF(AND($N2187="Sí",$P2187="Sí"),"OTIF","Falló"))</f>
        <v/>
      </c>
    </row>
    <row r="2188" ht="16" customHeight="1">
      <c r="A2188" s="48" t="n"/>
      <c r="B2188" s="48" t="n"/>
      <c r="C2188" s="47" t="n"/>
      <c r="D2188" s="50" t="n"/>
      <c r="E2188" s="50" t="n"/>
      <c r="F2188" s="50" t="n"/>
      <c r="G2188" s="50" t="n"/>
      <c r="H2188" s="48" t="n"/>
      <c r="I2188" s="51" t="n"/>
      <c r="J2188" s="52" t="n"/>
      <c r="K2188" s="47" t="n"/>
      <c r="L2188" s="47" t="n"/>
      <c r="M2188" s="24">
        <f>IF(OR($A2188="",$C2188=""),"",IF($L2188&lt;&gt;"",$L2188-$C2188,TODAY()-$C2188))</f>
        <v/>
      </c>
      <c r="N2188" s="28">
        <f>IF(OR($A2188="",$K2188=""),"",IF($L2188="",IF(TODAY()&gt;$K2188,"Atrasado","En ruta"),IF($L2188&lt;=$K2188,"Sí","No")))</f>
        <v/>
      </c>
      <c r="O2188" s="24">
        <f>IF($A2188="","",COUNTIFS(NOVEDADES!$D$4:$D$1503,$A2188))</f>
        <v/>
      </c>
      <c r="P2188" s="28">
        <f>IF($A2188="","",IF(COUNTIFS(NOVEDADES!$D$4:$D$1503,$A2188,NOVEDADES!$O$4:$O$1503,"SÍ")&gt;0,"No","Sí"))</f>
        <v/>
      </c>
      <c r="Q2188" s="28">
        <f>IF(OR($A2188="",$L2188=""),"",IF(AND($N2188="Sí",$P2188="Sí"),"OTIF","Falló"))</f>
        <v/>
      </c>
    </row>
    <row r="2189" ht="16" customHeight="1">
      <c r="A2189" s="48" t="n"/>
      <c r="B2189" s="48" t="n"/>
      <c r="C2189" s="47" t="n"/>
      <c r="D2189" s="50" t="n"/>
      <c r="E2189" s="50" t="n"/>
      <c r="F2189" s="50" t="n"/>
      <c r="G2189" s="50" t="n"/>
      <c r="H2189" s="48" t="n"/>
      <c r="I2189" s="51" t="n"/>
      <c r="J2189" s="52" t="n"/>
      <c r="K2189" s="47" t="n"/>
      <c r="L2189" s="47" t="n"/>
      <c r="M2189" s="24">
        <f>IF(OR($A2189="",$C2189=""),"",IF($L2189&lt;&gt;"",$L2189-$C2189,TODAY()-$C2189))</f>
        <v/>
      </c>
      <c r="N2189" s="28">
        <f>IF(OR($A2189="",$K2189=""),"",IF($L2189="",IF(TODAY()&gt;$K2189,"Atrasado","En ruta"),IF($L2189&lt;=$K2189,"Sí","No")))</f>
        <v/>
      </c>
      <c r="O2189" s="24">
        <f>IF($A2189="","",COUNTIFS(NOVEDADES!$D$4:$D$1503,$A2189))</f>
        <v/>
      </c>
      <c r="P2189" s="28">
        <f>IF($A2189="","",IF(COUNTIFS(NOVEDADES!$D$4:$D$1503,$A2189,NOVEDADES!$O$4:$O$1503,"SÍ")&gt;0,"No","Sí"))</f>
        <v/>
      </c>
      <c r="Q2189" s="28">
        <f>IF(OR($A2189="",$L2189=""),"",IF(AND($N2189="Sí",$P2189="Sí"),"OTIF","Falló"))</f>
        <v/>
      </c>
    </row>
    <row r="2190" ht="16" customHeight="1">
      <c r="A2190" s="48" t="n"/>
      <c r="B2190" s="48" t="n"/>
      <c r="C2190" s="47" t="n"/>
      <c r="D2190" s="50" t="n"/>
      <c r="E2190" s="50" t="n"/>
      <c r="F2190" s="50" t="n"/>
      <c r="G2190" s="50" t="n"/>
      <c r="H2190" s="48" t="n"/>
      <c r="I2190" s="51" t="n"/>
      <c r="J2190" s="52" t="n"/>
      <c r="K2190" s="47" t="n"/>
      <c r="L2190" s="47" t="n"/>
      <c r="M2190" s="24">
        <f>IF(OR($A2190="",$C2190=""),"",IF($L2190&lt;&gt;"",$L2190-$C2190,TODAY()-$C2190))</f>
        <v/>
      </c>
      <c r="N2190" s="28">
        <f>IF(OR($A2190="",$K2190=""),"",IF($L2190="",IF(TODAY()&gt;$K2190,"Atrasado","En ruta"),IF($L2190&lt;=$K2190,"Sí","No")))</f>
        <v/>
      </c>
      <c r="O2190" s="24">
        <f>IF($A2190="","",COUNTIFS(NOVEDADES!$D$4:$D$1503,$A2190))</f>
        <v/>
      </c>
      <c r="P2190" s="28">
        <f>IF($A2190="","",IF(COUNTIFS(NOVEDADES!$D$4:$D$1503,$A2190,NOVEDADES!$O$4:$O$1503,"SÍ")&gt;0,"No","Sí"))</f>
        <v/>
      </c>
      <c r="Q2190" s="28">
        <f>IF(OR($A2190="",$L2190=""),"",IF(AND($N2190="Sí",$P2190="Sí"),"OTIF","Falló"))</f>
        <v/>
      </c>
    </row>
    <row r="2191" ht="16" customHeight="1">
      <c r="A2191" s="48" t="n"/>
      <c r="B2191" s="48" t="n"/>
      <c r="C2191" s="47" t="n"/>
      <c r="D2191" s="50" t="n"/>
      <c r="E2191" s="50" t="n"/>
      <c r="F2191" s="50" t="n"/>
      <c r="G2191" s="50" t="n"/>
      <c r="H2191" s="48" t="n"/>
      <c r="I2191" s="51" t="n"/>
      <c r="J2191" s="52" t="n"/>
      <c r="K2191" s="47" t="n"/>
      <c r="L2191" s="47" t="n"/>
      <c r="M2191" s="24">
        <f>IF(OR($A2191="",$C2191=""),"",IF($L2191&lt;&gt;"",$L2191-$C2191,TODAY()-$C2191))</f>
        <v/>
      </c>
      <c r="N2191" s="28">
        <f>IF(OR($A2191="",$K2191=""),"",IF($L2191="",IF(TODAY()&gt;$K2191,"Atrasado","En ruta"),IF($L2191&lt;=$K2191,"Sí","No")))</f>
        <v/>
      </c>
      <c r="O2191" s="24">
        <f>IF($A2191="","",COUNTIFS(NOVEDADES!$D$4:$D$1503,$A2191))</f>
        <v/>
      </c>
      <c r="P2191" s="28">
        <f>IF($A2191="","",IF(COUNTIFS(NOVEDADES!$D$4:$D$1503,$A2191,NOVEDADES!$O$4:$O$1503,"SÍ")&gt;0,"No","Sí"))</f>
        <v/>
      </c>
      <c r="Q2191" s="28">
        <f>IF(OR($A2191="",$L2191=""),"",IF(AND($N2191="Sí",$P2191="Sí"),"OTIF","Falló"))</f>
        <v/>
      </c>
    </row>
    <row r="2192" ht="16" customHeight="1">
      <c r="A2192" s="48" t="n"/>
      <c r="B2192" s="48" t="n"/>
      <c r="C2192" s="47" t="n"/>
      <c r="D2192" s="50" t="n"/>
      <c r="E2192" s="50" t="n"/>
      <c r="F2192" s="50" t="n"/>
      <c r="G2192" s="50" t="n"/>
      <c r="H2192" s="48" t="n"/>
      <c r="I2192" s="51" t="n"/>
      <c r="J2192" s="52" t="n"/>
      <c r="K2192" s="47" t="n"/>
      <c r="L2192" s="47" t="n"/>
      <c r="M2192" s="24">
        <f>IF(OR($A2192="",$C2192=""),"",IF($L2192&lt;&gt;"",$L2192-$C2192,TODAY()-$C2192))</f>
        <v/>
      </c>
      <c r="N2192" s="28">
        <f>IF(OR($A2192="",$K2192=""),"",IF($L2192="",IF(TODAY()&gt;$K2192,"Atrasado","En ruta"),IF($L2192&lt;=$K2192,"Sí","No")))</f>
        <v/>
      </c>
      <c r="O2192" s="24">
        <f>IF($A2192="","",COUNTIFS(NOVEDADES!$D$4:$D$1503,$A2192))</f>
        <v/>
      </c>
      <c r="P2192" s="28">
        <f>IF($A2192="","",IF(COUNTIFS(NOVEDADES!$D$4:$D$1503,$A2192,NOVEDADES!$O$4:$O$1503,"SÍ")&gt;0,"No","Sí"))</f>
        <v/>
      </c>
      <c r="Q2192" s="28">
        <f>IF(OR($A2192="",$L2192=""),"",IF(AND($N2192="Sí",$P2192="Sí"),"OTIF","Falló"))</f>
        <v/>
      </c>
    </row>
    <row r="2193" ht="16" customHeight="1">
      <c r="A2193" s="48" t="n"/>
      <c r="B2193" s="48" t="n"/>
      <c r="C2193" s="47" t="n"/>
      <c r="D2193" s="50" t="n"/>
      <c r="E2193" s="50" t="n"/>
      <c r="F2193" s="50" t="n"/>
      <c r="G2193" s="50" t="n"/>
      <c r="H2193" s="48" t="n"/>
      <c r="I2193" s="51" t="n"/>
      <c r="J2193" s="52" t="n"/>
      <c r="K2193" s="47" t="n"/>
      <c r="L2193" s="47" t="n"/>
      <c r="M2193" s="24">
        <f>IF(OR($A2193="",$C2193=""),"",IF($L2193&lt;&gt;"",$L2193-$C2193,TODAY()-$C2193))</f>
        <v/>
      </c>
      <c r="N2193" s="28">
        <f>IF(OR($A2193="",$K2193=""),"",IF($L2193="",IF(TODAY()&gt;$K2193,"Atrasado","En ruta"),IF($L2193&lt;=$K2193,"Sí","No")))</f>
        <v/>
      </c>
      <c r="O2193" s="24">
        <f>IF($A2193="","",COUNTIFS(NOVEDADES!$D$4:$D$1503,$A2193))</f>
        <v/>
      </c>
      <c r="P2193" s="28">
        <f>IF($A2193="","",IF(COUNTIFS(NOVEDADES!$D$4:$D$1503,$A2193,NOVEDADES!$O$4:$O$1503,"SÍ")&gt;0,"No","Sí"))</f>
        <v/>
      </c>
      <c r="Q2193" s="28">
        <f>IF(OR($A2193="",$L2193=""),"",IF(AND($N2193="Sí",$P2193="Sí"),"OTIF","Falló"))</f>
        <v/>
      </c>
    </row>
    <row r="2194" ht="16" customHeight="1">
      <c r="A2194" s="48" t="n"/>
      <c r="B2194" s="48" t="n"/>
      <c r="C2194" s="47" t="n"/>
      <c r="D2194" s="50" t="n"/>
      <c r="E2194" s="50" t="n"/>
      <c r="F2194" s="50" t="n"/>
      <c r="G2194" s="50" t="n"/>
      <c r="H2194" s="48" t="n"/>
      <c r="I2194" s="51" t="n"/>
      <c r="J2194" s="52" t="n"/>
      <c r="K2194" s="47" t="n"/>
      <c r="L2194" s="47" t="n"/>
      <c r="M2194" s="24">
        <f>IF(OR($A2194="",$C2194=""),"",IF($L2194&lt;&gt;"",$L2194-$C2194,TODAY()-$C2194))</f>
        <v/>
      </c>
      <c r="N2194" s="28">
        <f>IF(OR($A2194="",$K2194=""),"",IF($L2194="",IF(TODAY()&gt;$K2194,"Atrasado","En ruta"),IF($L2194&lt;=$K2194,"Sí","No")))</f>
        <v/>
      </c>
      <c r="O2194" s="24">
        <f>IF($A2194="","",COUNTIFS(NOVEDADES!$D$4:$D$1503,$A2194))</f>
        <v/>
      </c>
      <c r="P2194" s="28">
        <f>IF($A2194="","",IF(COUNTIFS(NOVEDADES!$D$4:$D$1503,$A2194,NOVEDADES!$O$4:$O$1503,"SÍ")&gt;0,"No","Sí"))</f>
        <v/>
      </c>
      <c r="Q2194" s="28">
        <f>IF(OR($A2194="",$L2194=""),"",IF(AND($N2194="Sí",$P2194="Sí"),"OTIF","Falló"))</f>
        <v/>
      </c>
    </row>
    <row r="2195" ht="16" customHeight="1">
      <c r="A2195" s="48" t="n"/>
      <c r="B2195" s="48" t="n"/>
      <c r="C2195" s="47" t="n"/>
      <c r="D2195" s="50" t="n"/>
      <c r="E2195" s="50" t="n"/>
      <c r="F2195" s="50" t="n"/>
      <c r="G2195" s="50" t="n"/>
      <c r="H2195" s="48" t="n"/>
      <c r="I2195" s="51" t="n"/>
      <c r="J2195" s="52" t="n"/>
      <c r="K2195" s="47" t="n"/>
      <c r="L2195" s="47" t="n"/>
      <c r="M2195" s="24">
        <f>IF(OR($A2195="",$C2195=""),"",IF($L2195&lt;&gt;"",$L2195-$C2195,TODAY()-$C2195))</f>
        <v/>
      </c>
      <c r="N2195" s="28">
        <f>IF(OR($A2195="",$K2195=""),"",IF($L2195="",IF(TODAY()&gt;$K2195,"Atrasado","En ruta"),IF($L2195&lt;=$K2195,"Sí","No")))</f>
        <v/>
      </c>
      <c r="O2195" s="24">
        <f>IF($A2195="","",COUNTIFS(NOVEDADES!$D$4:$D$1503,$A2195))</f>
        <v/>
      </c>
      <c r="P2195" s="28">
        <f>IF($A2195="","",IF(COUNTIFS(NOVEDADES!$D$4:$D$1503,$A2195,NOVEDADES!$O$4:$O$1503,"SÍ")&gt;0,"No","Sí"))</f>
        <v/>
      </c>
      <c r="Q2195" s="28">
        <f>IF(OR($A2195="",$L2195=""),"",IF(AND($N2195="Sí",$P2195="Sí"),"OTIF","Falló"))</f>
        <v/>
      </c>
    </row>
    <row r="2196" ht="16" customHeight="1">
      <c r="A2196" s="48" t="n"/>
      <c r="B2196" s="48" t="n"/>
      <c r="C2196" s="47" t="n"/>
      <c r="D2196" s="50" t="n"/>
      <c r="E2196" s="50" t="n"/>
      <c r="F2196" s="50" t="n"/>
      <c r="G2196" s="50" t="n"/>
      <c r="H2196" s="48" t="n"/>
      <c r="I2196" s="51" t="n"/>
      <c r="J2196" s="52" t="n"/>
      <c r="K2196" s="47" t="n"/>
      <c r="L2196" s="47" t="n"/>
      <c r="M2196" s="24">
        <f>IF(OR($A2196="",$C2196=""),"",IF($L2196&lt;&gt;"",$L2196-$C2196,TODAY()-$C2196))</f>
        <v/>
      </c>
      <c r="N2196" s="28">
        <f>IF(OR($A2196="",$K2196=""),"",IF($L2196="",IF(TODAY()&gt;$K2196,"Atrasado","En ruta"),IF($L2196&lt;=$K2196,"Sí","No")))</f>
        <v/>
      </c>
      <c r="O2196" s="24">
        <f>IF($A2196="","",COUNTIFS(NOVEDADES!$D$4:$D$1503,$A2196))</f>
        <v/>
      </c>
      <c r="P2196" s="28">
        <f>IF($A2196="","",IF(COUNTIFS(NOVEDADES!$D$4:$D$1503,$A2196,NOVEDADES!$O$4:$O$1503,"SÍ")&gt;0,"No","Sí"))</f>
        <v/>
      </c>
      <c r="Q2196" s="28">
        <f>IF(OR($A2196="",$L2196=""),"",IF(AND($N2196="Sí",$P2196="Sí"),"OTIF","Falló"))</f>
        <v/>
      </c>
    </row>
    <row r="2197" ht="16" customHeight="1">
      <c r="A2197" s="48" t="n"/>
      <c r="B2197" s="48" t="n"/>
      <c r="C2197" s="47" t="n"/>
      <c r="D2197" s="50" t="n"/>
      <c r="E2197" s="50" t="n"/>
      <c r="F2197" s="50" t="n"/>
      <c r="G2197" s="50" t="n"/>
      <c r="H2197" s="48" t="n"/>
      <c r="I2197" s="51" t="n"/>
      <c r="J2197" s="52" t="n"/>
      <c r="K2197" s="47" t="n"/>
      <c r="L2197" s="47" t="n"/>
      <c r="M2197" s="24">
        <f>IF(OR($A2197="",$C2197=""),"",IF($L2197&lt;&gt;"",$L2197-$C2197,TODAY()-$C2197))</f>
        <v/>
      </c>
      <c r="N2197" s="28">
        <f>IF(OR($A2197="",$K2197=""),"",IF($L2197="",IF(TODAY()&gt;$K2197,"Atrasado","En ruta"),IF($L2197&lt;=$K2197,"Sí","No")))</f>
        <v/>
      </c>
      <c r="O2197" s="24">
        <f>IF($A2197="","",COUNTIFS(NOVEDADES!$D$4:$D$1503,$A2197))</f>
        <v/>
      </c>
      <c r="P2197" s="28">
        <f>IF($A2197="","",IF(COUNTIFS(NOVEDADES!$D$4:$D$1503,$A2197,NOVEDADES!$O$4:$O$1503,"SÍ")&gt;0,"No","Sí"))</f>
        <v/>
      </c>
      <c r="Q2197" s="28">
        <f>IF(OR($A2197="",$L2197=""),"",IF(AND($N2197="Sí",$P2197="Sí"),"OTIF","Falló"))</f>
        <v/>
      </c>
    </row>
    <row r="2198" ht="16" customHeight="1">
      <c r="A2198" s="48" t="n"/>
      <c r="B2198" s="48" t="n"/>
      <c r="C2198" s="47" t="n"/>
      <c r="D2198" s="50" t="n"/>
      <c r="E2198" s="50" t="n"/>
      <c r="F2198" s="50" t="n"/>
      <c r="G2198" s="50" t="n"/>
      <c r="H2198" s="48" t="n"/>
      <c r="I2198" s="51" t="n"/>
      <c r="J2198" s="52" t="n"/>
      <c r="K2198" s="47" t="n"/>
      <c r="L2198" s="47" t="n"/>
      <c r="M2198" s="24">
        <f>IF(OR($A2198="",$C2198=""),"",IF($L2198&lt;&gt;"",$L2198-$C2198,TODAY()-$C2198))</f>
        <v/>
      </c>
      <c r="N2198" s="28">
        <f>IF(OR($A2198="",$K2198=""),"",IF($L2198="",IF(TODAY()&gt;$K2198,"Atrasado","En ruta"),IF($L2198&lt;=$K2198,"Sí","No")))</f>
        <v/>
      </c>
      <c r="O2198" s="24">
        <f>IF($A2198="","",COUNTIFS(NOVEDADES!$D$4:$D$1503,$A2198))</f>
        <v/>
      </c>
      <c r="P2198" s="28">
        <f>IF($A2198="","",IF(COUNTIFS(NOVEDADES!$D$4:$D$1503,$A2198,NOVEDADES!$O$4:$O$1503,"SÍ")&gt;0,"No","Sí"))</f>
        <v/>
      </c>
      <c r="Q2198" s="28">
        <f>IF(OR($A2198="",$L2198=""),"",IF(AND($N2198="Sí",$P2198="Sí"),"OTIF","Falló"))</f>
        <v/>
      </c>
    </row>
    <row r="2199" ht="16" customHeight="1">
      <c r="A2199" s="48" t="n"/>
      <c r="B2199" s="48" t="n"/>
      <c r="C2199" s="47" t="n"/>
      <c r="D2199" s="50" t="n"/>
      <c r="E2199" s="50" t="n"/>
      <c r="F2199" s="50" t="n"/>
      <c r="G2199" s="50" t="n"/>
      <c r="H2199" s="48" t="n"/>
      <c r="I2199" s="51" t="n"/>
      <c r="J2199" s="52" t="n"/>
      <c r="K2199" s="47" t="n"/>
      <c r="L2199" s="47" t="n"/>
      <c r="M2199" s="24">
        <f>IF(OR($A2199="",$C2199=""),"",IF($L2199&lt;&gt;"",$L2199-$C2199,TODAY()-$C2199))</f>
        <v/>
      </c>
      <c r="N2199" s="28">
        <f>IF(OR($A2199="",$K2199=""),"",IF($L2199="",IF(TODAY()&gt;$K2199,"Atrasado","En ruta"),IF($L2199&lt;=$K2199,"Sí","No")))</f>
        <v/>
      </c>
      <c r="O2199" s="24">
        <f>IF($A2199="","",COUNTIFS(NOVEDADES!$D$4:$D$1503,$A2199))</f>
        <v/>
      </c>
      <c r="P2199" s="28">
        <f>IF($A2199="","",IF(COUNTIFS(NOVEDADES!$D$4:$D$1503,$A2199,NOVEDADES!$O$4:$O$1503,"SÍ")&gt;0,"No","Sí"))</f>
        <v/>
      </c>
      <c r="Q2199" s="28">
        <f>IF(OR($A2199="",$L2199=""),"",IF(AND($N2199="Sí",$P2199="Sí"),"OTIF","Falló"))</f>
        <v/>
      </c>
    </row>
    <row r="2200" ht="16" customHeight="1">
      <c r="A2200" s="48" t="n"/>
      <c r="B2200" s="48" t="n"/>
      <c r="C2200" s="47" t="n"/>
      <c r="D2200" s="50" t="n"/>
      <c r="E2200" s="50" t="n"/>
      <c r="F2200" s="50" t="n"/>
      <c r="G2200" s="50" t="n"/>
      <c r="H2200" s="48" t="n"/>
      <c r="I2200" s="51" t="n"/>
      <c r="J2200" s="52" t="n"/>
      <c r="K2200" s="47" t="n"/>
      <c r="L2200" s="47" t="n"/>
      <c r="M2200" s="24">
        <f>IF(OR($A2200="",$C2200=""),"",IF($L2200&lt;&gt;"",$L2200-$C2200,TODAY()-$C2200))</f>
        <v/>
      </c>
      <c r="N2200" s="28">
        <f>IF(OR($A2200="",$K2200=""),"",IF($L2200="",IF(TODAY()&gt;$K2200,"Atrasado","En ruta"),IF($L2200&lt;=$K2200,"Sí","No")))</f>
        <v/>
      </c>
      <c r="O2200" s="24">
        <f>IF($A2200="","",COUNTIFS(NOVEDADES!$D$4:$D$1503,$A2200))</f>
        <v/>
      </c>
      <c r="P2200" s="28">
        <f>IF($A2200="","",IF(COUNTIFS(NOVEDADES!$D$4:$D$1503,$A2200,NOVEDADES!$O$4:$O$1503,"SÍ")&gt;0,"No","Sí"))</f>
        <v/>
      </c>
      <c r="Q2200" s="28">
        <f>IF(OR($A2200="",$L2200=""),"",IF(AND($N2200="Sí",$P2200="Sí"),"OTIF","Falló"))</f>
        <v/>
      </c>
    </row>
    <row r="2201" ht="16" customHeight="1">
      <c r="A2201" s="48" t="n"/>
      <c r="B2201" s="48" t="n"/>
      <c r="C2201" s="47" t="n"/>
      <c r="D2201" s="50" t="n"/>
      <c r="E2201" s="50" t="n"/>
      <c r="F2201" s="50" t="n"/>
      <c r="G2201" s="50" t="n"/>
      <c r="H2201" s="48" t="n"/>
      <c r="I2201" s="51" t="n"/>
      <c r="J2201" s="52" t="n"/>
      <c r="K2201" s="47" t="n"/>
      <c r="L2201" s="47" t="n"/>
      <c r="M2201" s="24">
        <f>IF(OR($A2201="",$C2201=""),"",IF($L2201&lt;&gt;"",$L2201-$C2201,TODAY()-$C2201))</f>
        <v/>
      </c>
      <c r="N2201" s="28">
        <f>IF(OR($A2201="",$K2201=""),"",IF($L2201="",IF(TODAY()&gt;$K2201,"Atrasado","En ruta"),IF($L2201&lt;=$K2201,"Sí","No")))</f>
        <v/>
      </c>
      <c r="O2201" s="24">
        <f>IF($A2201="","",COUNTIFS(NOVEDADES!$D$4:$D$1503,$A2201))</f>
        <v/>
      </c>
      <c r="P2201" s="28">
        <f>IF($A2201="","",IF(COUNTIFS(NOVEDADES!$D$4:$D$1503,$A2201,NOVEDADES!$O$4:$O$1503,"SÍ")&gt;0,"No","Sí"))</f>
        <v/>
      </c>
      <c r="Q2201" s="28">
        <f>IF(OR($A2201="",$L2201=""),"",IF(AND($N2201="Sí",$P2201="Sí"),"OTIF","Falló"))</f>
        <v/>
      </c>
    </row>
    <row r="2202" ht="16" customHeight="1">
      <c r="A2202" s="48" t="n"/>
      <c r="B2202" s="48" t="n"/>
      <c r="C2202" s="47" t="n"/>
      <c r="D2202" s="50" t="n"/>
      <c r="E2202" s="50" t="n"/>
      <c r="F2202" s="50" t="n"/>
      <c r="G2202" s="50" t="n"/>
      <c r="H2202" s="48" t="n"/>
      <c r="I2202" s="51" t="n"/>
      <c r="J2202" s="52" t="n"/>
      <c r="K2202" s="47" t="n"/>
      <c r="L2202" s="47" t="n"/>
      <c r="M2202" s="24">
        <f>IF(OR($A2202="",$C2202=""),"",IF($L2202&lt;&gt;"",$L2202-$C2202,TODAY()-$C2202))</f>
        <v/>
      </c>
      <c r="N2202" s="28">
        <f>IF(OR($A2202="",$K2202=""),"",IF($L2202="",IF(TODAY()&gt;$K2202,"Atrasado","En ruta"),IF($L2202&lt;=$K2202,"Sí","No")))</f>
        <v/>
      </c>
      <c r="O2202" s="24">
        <f>IF($A2202="","",COUNTIFS(NOVEDADES!$D$4:$D$1503,$A2202))</f>
        <v/>
      </c>
      <c r="P2202" s="28">
        <f>IF($A2202="","",IF(COUNTIFS(NOVEDADES!$D$4:$D$1503,$A2202,NOVEDADES!$O$4:$O$1503,"SÍ")&gt;0,"No","Sí"))</f>
        <v/>
      </c>
      <c r="Q2202" s="28">
        <f>IF(OR($A2202="",$L2202=""),"",IF(AND($N2202="Sí",$P2202="Sí"),"OTIF","Falló"))</f>
        <v/>
      </c>
    </row>
    <row r="2203" ht="16" customHeight="1">
      <c r="A2203" s="48" t="n"/>
      <c r="B2203" s="48" t="n"/>
      <c r="C2203" s="47" t="n"/>
      <c r="D2203" s="50" t="n"/>
      <c r="E2203" s="50" t="n"/>
      <c r="F2203" s="50" t="n"/>
      <c r="G2203" s="50" t="n"/>
      <c r="H2203" s="48" t="n"/>
      <c r="I2203" s="51" t="n"/>
      <c r="J2203" s="52" t="n"/>
      <c r="K2203" s="47" t="n"/>
      <c r="L2203" s="47" t="n"/>
      <c r="M2203" s="24">
        <f>IF(OR($A2203="",$C2203=""),"",IF($L2203&lt;&gt;"",$L2203-$C2203,TODAY()-$C2203))</f>
        <v/>
      </c>
      <c r="N2203" s="28">
        <f>IF(OR($A2203="",$K2203=""),"",IF($L2203="",IF(TODAY()&gt;$K2203,"Atrasado","En ruta"),IF($L2203&lt;=$K2203,"Sí","No")))</f>
        <v/>
      </c>
      <c r="O2203" s="24">
        <f>IF($A2203="","",COUNTIFS(NOVEDADES!$D$4:$D$1503,$A2203))</f>
        <v/>
      </c>
      <c r="P2203" s="28">
        <f>IF($A2203="","",IF(COUNTIFS(NOVEDADES!$D$4:$D$1503,$A2203,NOVEDADES!$O$4:$O$1503,"SÍ")&gt;0,"No","Sí"))</f>
        <v/>
      </c>
      <c r="Q2203" s="28">
        <f>IF(OR($A2203="",$L2203=""),"",IF(AND($N2203="Sí",$P2203="Sí"),"OTIF","Falló"))</f>
        <v/>
      </c>
    </row>
    <row r="2204" ht="16" customHeight="1">
      <c r="A2204" s="48" t="n"/>
      <c r="B2204" s="48" t="n"/>
      <c r="C2204" s="47" t="n"/>
      <c r="D2204" s="50" t="n"/>
      <c r="E2204" s="50" t="n"/>
      <c r="F2204" s="50" t="n"/>
      <c r="G2204" s="50" t="n"/>
      <c r="H2204" s="48" t="n"/>
      <c r="I2204" s="51" t="n"/>
      <c r="J2204" s="52" t="n"/>
      <c r="K2204" s="47" t="n"/>
      <c r="L2204" s="47" t="n"/>
      <c r="M2204" s="24">
        <f>IF(OR($A2204="",$C2204=""),"",IF($L2204&lt;&gt;"",$L2204-$C2204,TODAY()-$C2204))</f>
        <v/>
      </c>
      <c r="N2204" s="28">
        <f>IF(OR($A2204="",$K2204=""),"",IF($L2204="",IF(TODAY()&gt;$K2204,"Atrasado","En ruta"),IF($L2204&lt;=$K2204,"Sí","No")))</f>
        <v/>
      </c>
      <c r="O2204" s="24">
        <f>IF($A2204="","",COUNTIFS(NOVEDADES!$D$4:$D$1503,$A2204))</f>
        <v/>
      </c>
      <c r="P2204" s="28">
        <f>IF($A2204="","",IF(COUNTIFS(NOVEDADES!$D$4:$D$1503,$A2204,NOVEDADES!$O$4:$O$1503,"SÍ")&gt;0,"No","Sí"))</f>
        <v/>
      </c>
      <c r="Q2204" s="28">
        <f>IF(OR($A2204="",$L2204=""),"",IF(AND($N2204="Sí",$P2204="Sí"),"OTIF","Falló"))</f>
        <v/>
      </c>
    </row>
    <row r="2205" ht="16" customHeight="1">
      <c r="A2205" s="48" t="n"/>
      <c r="B2205" s="48" t="n"/>
      <c r="C2205" s="47" t="n"/>
      <c r="D2205" s="50" t="n"/>
      <c r="E2205" s="50" t="n"/>
      <c r="F2205" s="50" t="n"/>
      <c r="G2205" s="50" t="n"/>
      <c r="H2205" s="48" t="n"/>
      <c r="I2205" s="51" t="n"/>
      <c r="J2205" s="52" t="n"/>
      <c r="K2205" s="47" t="n"/>
      <c r="L2205" s="47" t="n"/>
      <c r="M2205" s="24">
        <f>IF(OR($A2205="",$C2205=""),"",IF($L2205&lt;&gt;"",$L2205-$C2205,TODAY()-$C2205))</f>
        <v/>
      </c>
      <c r="N2205" s="28">
        <f>IF(OR($A2205="",$K2205=""),"",IF($L2205="",IF(TODAY()&gt;$K2205,"Atrasado","En ruta"),IF($L2205&lt;=$K2205,"Sí","No")))</f>
        <v/>
      </c>
      <c r="O2205" s="24">
        <f>IF($A2205="","",COUNTIFS(NOVEDADES!$D$4:$D$1503,$A2205))</f>
        <v/>
      </c>
      <c r="P2205" s="28">
        <f>IF($A2205="","",IF(COUNTIFS(NOVEDADES!$D$4:$D$1503,$A2205,NOVEDADES!$O$4:$O$1503,"SÍ")&gt;0,"No","Sí"))</f>
        <v/>
      </c>
      <c r="Q2205" s="28">
        <f>IF(OR($A2205="",$L2205=""),"",IF(AND($N2205="Sí",$P2205="Sí"),"OTIF","Falló"))</f>
        <v/>
      </c>
    </row>
    <row r="2206" ht="16" customHeight="1">
      <c r="A2206" s="48" t="n"/>
      <c r="B2206" s="48" t="n"/>
      <c r="C2206" s="47" t="n"/>
      <c r="D2206" s="50" t="n"/>
      <c r="E2206" s="50" t="n"/>
      <c r="F2206" s="50" t="n"/>
      <c r="G2206" s="50" t="n"/>
      <c r="H2206" s="48" t="n"/>
      <c r="I2206" s="51" t="n"/>
      <c r="J2206" s="52" t="n"/>
      <c r="K2206" s="47" t="n"/>
      <c r="L2206" s="47" t="n"/>
      <c r="M2206" s="24">
        <f>IF(OR($A2206="",$C2206=""),"",IF($L2206&lt;&gt;"",$L2206-$C2206,TODAY()-$C2206))</f>
        <v/>
      </c>
      <c r="N2206" s="28">
        <f>IF(OR($A2206="",$K2206=""),"",IF($L2206="",IF(TODAY()&gt;$K2206,"Atrasado","En ruta"),IF($L2206&lt;=$K2206,"Sí","No")))</f>
        <v/>
      </c>
      <c r="O2206" s="24">
        <f>IF($A2206="","",COUNTIFS(NOVEDADES!$D$4:$D$1503,$A2206))</f>
        <v/>
      </c>
      <c r="P2206" s="28">
        <f>IF($A2206="","",IF(COUNTIFS(NOVEDADES!$D$4:$D$1503,$A2206,NOVEDADES!$O$4:$O$1503,"SÍ")&gt;0,"No","Sí"))</f>
        <v/>
      </c>
      <c r="Q2206" s="28">
        <f>IF(OR($A2206="",$L2206=""),"",IF(AND($N2206="Sí",$P2206="Sí"),"OTIF","Falló"))</f>
        <v/>
      </c>
    </row>
    <row r="2207" ht="16" customHeight="1">
      <c r="A2207" s="48" t="n"/>
      <c r="B2207" s="48" t="n"/>
      <c r="C2207" s="47" t="n"/>
      <c r="D2207" s="50" t="n"/>
      <c r="E2207" s="50" t="n"/>
      <c r="F2207" s="50" t="n"/>
      <c r="G2207" s="50" t="n"/>
      <c r="H2207" s="48" t="n"/>
      <c r="I2207" s="51" t="n"/>
      <c r="J2207" s="52" t="n"/>
      <c r="K2207" s="47" t="n"/>
      <c r="L2207" s="47" t="n"/>
      <c r="M2207" s="24">
        <f>IF(OR($A2207="",$C2207=""),"",IF($L2207&lt;&gt;"",$L2207-$C2207,TODAY()-$C2207))</f>
        <v/>
      </c>
      <c r="N2207" s="28">
        <f>IF(OR($A2207="",$K2207=""),"",IF($L2207="",IF(TODAY()&gt;$K2207,"Atrasado","En ruta"),IF($L2207&lt;=$K2207,"Sí","No")))</f>
        <v/>
      </c>
      <c r="O2207" s="24">
        <f>IF($A2207="","",COUNTIFS(NOVEDADES!$D$4:$D$1503,$A2207))</f>
        <v/>
      </c>
      <c r="P2207" s="28">
        <f>IF($A2207="","",IF(COUNTIFS(NOVEDADES!$D$4:$D$1503,$A2207,NOVEDADES!$O$4:$O$1503,"SÍ")&gt;0,"No","Sí"))</f>
        <v/>
      </c>
      <c r="Q2207" s="28">
        <f>IF(OR($A2207="",$L2207=""),"",IF(AND($N2207="Sí",$P2207="Sí"),"OTIF","Falló"))</f>
        <v/>
      </c>
    </row>
    <row r="2208" ht="16" customHeight="1">
      <c r="A2208" s="48" t="n"/>
      <c r="B2208" s="48" t="n"/>
      <c r="C2208" s="47" t="n"/>
      <c r="D2208" s="50" t="n"/>
      <c r="E2208" s="50" t="n"/>
      <c r="F2208" s="50" t="n"/>
      <c r="G2208" s="50" t="n"/>
      <c r="H2208" s="48" t="n"/>
      <c r="I2208" s="51" t="n"/>
      <c r="J2208" s="52" t="n"/>
      <c r="K2208" s="47" t="n"/>
      <c r="L2208" s="47" t="n"/>
      <c r="M2208" s="24">
        <f>IF(OR($A2208="",$C2208=""),"",IF($L2208&lt;&gt;"",$L2208-$C2208,TODAY()-$C2208))</f>
        <v/>
      </c>
      <c r="N2208" s="28">
        <f>IF(OR($A2208="",$K2208=""),"",IF($L2208="",IF(TODAY()&gt;$K2208,"Atrasado","En ruta"),IF($L2208&lt;=$K2208,"Sí","No")))</f>
        <v/>
      </c>
      <c r="O2208" s="24">
        <f>IF($A2208="","",COUNTIFS(NOVEDADES!$D$4:$D$1503,$A2208))</f>
        <v/>
      </c>
      <c r="P2208" s="28">
        <f>IF($A2208="","",IF(COUNTIFS(NOVEDADES!$D$4:$D$1503,$A2208,NOVEDADES!$O$4:$O$1503,"SÍ")&gt;0,"No","Sí"))</f>
        <v/>
      </c>
      <c r="Q2208" s="28">
        <f>IF(OR($A2208="",$L2208=""),"",IF(AND($N2208="Sí",$P2208="Sí"),"OTIF","Falló"))</f>
        <v/>
      </c>
    </row>
    <row r="2209" ht="16" customHeight="1">
      <c r="A2209" s="48" t="n"/>
      <c r="B2209" s="48" t="n"/>
      <c r="C2209" s="47" t="n"/>
      <c r="D2209" s="50" t="n"/>
      <c r="E2209" s="50" t="n"/>
      <c r="F2209" s="50" t="n"/>
      <c r="G2209" s="50" t="n"/>
      <c r="H2209" s="48" t="n"/>
      <c r="I2209" s="51" t="n"/>
      <c r="J2209" s="52" t="n"/>
      <c r="K2209" s="47" t="n"/>
      <c r="L2209" s="47" t="n"/>
      <c r="M2209" s="24">
        <f>IF(OR($A2209="",$C2209=""),"",IF($L2209&lt;&gt;"",$L2209-$C2209,TODAY()-$C2209))</f>
        <v/>
      </c>
      <c r="N2209" s="28">
        <f>IF(OR($A2209="",$K2209=""),"",IF($L2209="",IF(TODAY()&gt;$K2209,"Atrasado","En ruta"),IF($L2209&lt;=$K2209,"Sí","No")))</f>
        <v/>
      </c>
      <c r="O2209" s="24">
        <f>IF($A2209="","",COUNTIFS(NOVEDADES!$D$4:$D$1503,$A2209))</f>
        <v/>
      </c>
      <c r="P2209" s="28">
        <f>IF($A2209="","",IF(COUNTIFS(NOVEDADES!$D$4:$D$1503,$A2209,NOVEDADES!$O$4:$O$1503,"SÍ")&gt;0,"No","Sí"))</f>
        <v/>
      </c>
      <c r="Q2209" s="28">
        <f>IF(OR($A2209="",$L2209=""),"",IF(AND($N2209="Sí",$P2209="Sí"),"OTIF","Falló"))</f>
        <v/>
      </c>
    </row>
    <row r="2210" ht="16" customHeight="1">
      <c r="A2210" s="48" t="n"/>
      <c r="B2210" s="48" t="n"/>
      <c r="C2210" s="47" t="n"/>
      <c r="D2210" s="50" t="n"/>
      <c r="E2210" s="50" t="n"/>
      <c r="F2210" s="50" t="n"/>
      <c r="G2210" s="50" t="n"/>
      <c r="H2210" s="48" t="n"/>
      <c r="I2210" s="51" t="n"/>
      <c r="J2210" s="52" t="n"/>
      <c r="K2210" s="47" t="n"/>
      <c r="L2210" s="47" t="n"/>
      <c r="M2210" s="24">
        <f>IF(OR($A2210="",$C2210=""),"",IF($L2210&lt;&gt;"",$L2210-$C2210,TODAY()-$C2210))</f>
        <v/>
      </c>
      <c r="N2210" s="28">
        <f>IF(OR($A2210="",$K2210=""),"",IF($L2210="",IF(TODAY()&gt;$K2210,"Atrasado","En ruta"),IF($L2210&lt;=$K2210,"Sí","No")))</f>
        <v/>
      </c>
      <c r="O2210" s="24">
        <f>IF($A2210="","",COUNTIFS(NOVEDADES!$D$4:$D$1503,$A2210))</f>
        <v/>
      </c>
      <c r="P2210" s="28">
        <f>IF($A2210="","",IF(COUNTIFS(NOVEDADES!$D$4:$D$1503,$A2210,NOVEDADES!$O$4:$O$1503,"SÍ")&gt;0,"No","Sí"))</f>
        <v/>
      </c>
      <c r="Q2210" s="28">
        <f>IF(OR($A2210="",$L2210=""),"",IF(AND($N2210="Sí",$P2210="Sí"),"OTIF","Falló"))</f>
        <v/>
      </c>
    </row>
    <row r="2211" ht="16" customHeight="1">
      <c r="A2211" s="48" t="n"/>
      <c r="B2211" s="48" t="n"/>
      <c r="C2211" s="47" t="n"/>
      <c r="D2211" s="50" t="n"/>
      <c r="E2211" s="50" t="n"/>
      <c r="F2211" s="50" t="n"/>
      <c r="G2211" s="50" t="n"/>
      <c r="H2211" s="48" t="n"/>
      <c r="I2211" s="51" t="n"/>
      <c r="J2211" s="52" t="n"/>
      <c r="K2211" s="47" t="n"/>
      <c r="L2211" s="47" t="n"/>
      <c r="M2211" s="24">
        <f>IF(OR($A2211="",$C2211=""),"",IF($L2211&lt;&gt;"",$L2211-$C2211,TODAY()-$C2211))</f>
        <v/>
      </c>
      <c r="N2211" s="28">
        <f>IF(OR($A2211="",$K2211=""),"",IF($L2211="",IF(TODAY()&gt;$K2211,"Atrasado","En ruta"),IF($L2211&lt;=$K2211,"Sí","No")))</f>
        <v/>
      </c>
      <c r="O2211" s="24">
        <f>IF($A2211="","",COUNTIFS(NOVEDADES!$D$4:$D$1503,$A2211))</f>
        <v/>
      </c>
      <c r="P2211" s="28">
        <f>IF($A2211="","",IF(COUNTIFS(NOVEDADES!$D$4:$D$1503,$A2211,NOVEDADES!$O$4:$O$1503,"SÍ")&gt;0,"No","Sí"))</f>
        <v/>
      </c>
      <c r="Q2211" s="28">
        <f>IF(OR($A2211="",$L2211=""),"",IF(AND($N2211="Sí",$P2211="Sí"),"OTIF","Falló"))</f>
        <v/>
      </c>
    </row>
    <row r="2212" ht="16" customHeight="1">
      <c r="A2212" s="48" t="n"/>
      <c r="B2212" s="48" t="n"/>
      <c r="C2212" s="47" t="n"/>
      <c r="D2212" s="50" t="n"/>
      <c r="E2212" s="50" t="n"/>
      <c r="F2212" s="50" t="n"/>
      <c r="G2212" s="50" t="n"/>
      <c r="H2212" s="48" t="n"/>
      <c r="I2212" s="51" t="n"/>
      <c r="J2212" s="52" t="n"/>
      <c r="K2212" s="47" t="n"/>
      <c r="L2212" s="47" t="n"/>
      <c r="M2212" s="24">
        <f>IF(OR($A2212="",$C2212=""),"",IF($L2212&lt;&gt;"",$L2212-$C2212,TODAY()-$C2212))</f>
        <v/>
      </c>
      <c r="N2212" s="28">
        <f>IF(OR($A2212="",$K2212=""),"",IF($L2212="",IF(TODAY()&gt;$K2212,"Atrasado","En ruta"),IF($L2212&lt;=$K2212,"Sí","No")))</f>
        <v/>
      </c>
      <c r="O2212" s="24">
        <f>IF($A2212="","",COUNTIFS(NOVEDADES!$D$4:$D$1503,$A2212))</f>
        <v/>
      </c>
      <c r="P2212" s="28">
        <f>IF($A2212="","",IF(COUNTIFS(NOVEDADES!$D$4:$D$1503,$A2212,NOVEDADES!$O$4:$O$1503,"SÍ")&gt;0,"No","Sí"))</f>
        <v/>
      </c>
      <c r="Q2212" s="28">
        <f>IF(OR($A2212="",$L2212=""),"",IF(AND($N2212="Sí",$P2212="Sí"),"OTIF","Falló"))</f>
        <v/>
      </c>
    </row>
    <row r="2213" ht="16" customHeight="1">
      <c r="A2213" s="48" t="n"/>
      <c r="B2213" s="48" t="n"/>
      <c r="C2213" s="47" t="n"/>
      <c r="D2213" s="50" t="n"/>
      <c r="E2213" s="50" t="n"/>
      <c r="F2213" s="50" t="n"/>
      <c r="G2213" s="50" t="n"/>
      <c r="H2213" s="48" t="n"/>
      <c r="I2213" s="51" t="n"/>
      <c r="J2213" s="52" t="n"/>
      <c r="K2213" s="47" t="n"/>
      <c r="L2213" s="47" t="n"/>
      <c r="M2213" s="24">
        <f>IF(OR($A2213="",$C2213=""),"",IF($L2213&lt;&gt;"",$L2213-$C2213,TODAY()-$C2213))</f>
        <v/>
      </c>
      <c r="N2213" s="28">
        <f>IF(OR($A2213="",$K2213=""),"",IF($L2213="",IF(TODAY()&gt;$K2213,"Atrasado","En ruta"),IF($L2213&lt;=$K2213,"Sí","No")))</f>
        <v/>
      </c>
      <c r="O2213" s="24">
        <f>IF($A2213="","",COUNTIFS(NOVEDADES!$D$4:$D$1503,$A2213))</f>
        <v/>
      </c>
      <c r="P2213" s="28">
        <f>IF($A2213="","",IF(COUNTIFS(NOVEDADES!$D$4:$D$1503,$A2213,NOVEDADES!$O$4:$O$1503,"SÍ")&gt;0,"No","Sí"))</f>
        <v/>
      </c>
      <c r="Q2213" s="28">
        <f>IF(OR($A2213="",$L2213=""),"",IF(AND($N2213="Sí",$P2213="Sí"),"OTIF","Falló"))</f>
        <v/>
      </c>
    </row>
    <row r="2214" ht="16" customHeight="1">
      <c r="A2214" s="48" t="n"/>
      <c r="B2214" s="48" t="n"/>
      <c r="C2214" s="47" t="n"/>
      <c r="D2214" s="50" t="n"/>
      <c r="E2214" s="50" t="n"/>
      <c r="F2214" s="50" t="n"/>
      <c r="G2214" s="50" t="n"/>
      <c r="H2214" s="48" t="n"/>
      <c r="I2214" s="51" t="n"/>
      <c r="J2214" s="52" t="n"/>
      <c r="K2214" s="47" t="n"/>
      <c r="L2214" s="47" t="n"/>
      <c r="M2214" s="24">
        <f>IF(OR($A2214="",$C2214=""),"",IF($L2214&lt;&gt;"",$L2214-$C2214,TODAY()-$C2214))</f>
        <v/>
      </c>
      <c r="N2214" s="28">
        <f>IF(OR($A2214="",$K2214=""),"",IF($L2214="",IF(TODAY()&gt;$K2214,"Atrasado","En ruta"),IF($L2214&lt;=$K2214,"Sí","No")))</f>
        <v/>
      </c>
      <c r="O2214" s="24">
        <f>IF($A2214="","",COUNTIFS(NOVEDADES!$D$4:$D$1503,$A2214))</f>
        <v/>
      </c>
      <c r="P2214" s="28">
        <f>IF($A2214="","",IF(COUNTIFS(NOVEDADES!$D$4:$D$1503,$A2214,NOVEDADES!$O$4:$O$1503,"SÍ")&gt;0,"No","Sí"))</f>
        <v/>
      </c>
      <c r="Q2214" s="28">
        <f>IF(OR($A2214="",$L2214=""),"",IF(AND($N2214="Sí",$P2214="Sí"),"OTIF","Falló"))</f>
        <v/>
      </c>
    </row>
    <row r="2215" ht="16" customHeight="1">
      <c r="A2215" s="48" t="n"/>
      <c r="B2215" s="48" t="n"/>
      <c r="C2215" s="47" t="n"/>
      <c r="D2215" s="50" t="n"/>
      <c r="E2215" s="50" t="n"/>
      <c r="F2215" s="50" t="n"/>
      <c r="G2215" s="50" t="n"/>
      <c r="H2215" s="48" t="n"/>
      <c r="I2215" s="51" t="n"/>
      <c r="J2215" s="52" t="n"/>
      <c r="K2215" s="47" t="n"/>
      <c r="L2215" s="47" t="n"/>
      <c r="M2215" s="24">
        <f>IF(OR($A2215="",$C2215=""),"",IF($L2215&lt;&gt;"",$L2215-$C2215,TODAY()-$C2215))</f>
        <v/>
      </c>
      <c r="N2215" s="28">
        <f>IF(OR($A2215="",$K2215=""),"",IF($L2215="",IF(TODAY()&gt;$K2215,"Atrasado","En ruta"),IF($L2215&lt;=$K2215,"Sí","No")))</f>
        <v/>
      </c>
      <c r="O2215" s="24">
        <f>IF($A2215="","",COUNTIFS(NOVEDADES!$D$4:$D$1503,$A2215))</f>
        <v/>
      </c>
      <c r="P2215" s="28">
        <f>IF($A2215="","",IF(COUNTIFS(NOVEDADES!$D$4:$D$1503,$A2215,NOVEDADES!$O$4:$O$1503,"SÍ")&gt;0,"No","Sí"))</f>
        <v/>
      </c>
      <c r="Q2215" s="28">
        <f>IF(OR($A2215="",$L2215=""),"",IF(AND($N2215="Sí",$P2215="Sí"),"OTIF","Falló"))</f>
        <v/>
      </c>
    </row>
    <row r="2216" ht="16" customHeight="1">
      <c r="A2216" s="48" t="n"/>
      <c r="B2216" s="48" t="n"/>
      <c r="C2216" s="47" t="n"/>
      <c r="D2216" s="50" t="n"/>
      <c r="E2216" s="50" t="n"/>
      <c r="F2216" s="50" t="n"/>
      <c r="G2216" s="50" t="n"/>
      <c r="H2216" s="48" t="n"/>
      <c r="I2216" s="51" t="n"/>
      <c r="J2216" s="52" t="n"/>
      <c r="K2216" s="47" t="n"/>
      <c r="L2216" s="47" t="n"/>
      <c r="M2216" s="24">
        <f>IF(OR($A2216="",$C2216=""),"",IF($L2216&lt;&gt;"",$L2216-$C2216,TODAY()-$C2216))</f>
        <v/>
      </c>
      <c r="N2216" s="28">
        <f>IF(OR($A2216="",$K2216=""),"",IF($L2216="",IF(TODAY()&gt;$K2216,"Atrasado","En ruta"),IF($L2216&lt;=$K2216,"Sí","No")))</f>
        <v/>
      </c>
      <c r="O2216" s="24">
        <f>IF($A2216="","",COUNTIFS(NOVEDADES!$D$4:$D$1503,$A2216))</f>
        <v/>
      </c>
      <c r="P2216" s="28">
        <f>IF($A2216="","",IF(COUNTIFS(NOVEDADES!$D$4:$D$1503,$A2216,NOVEDADES!$O$4:$O$1503,"SÍ")&gt;0,"No","Sí"))</f>
        <v/>
      </c>
      <c r="Q2216" s="28">
        <f>IF(OR($A2216="",$L2216=""),"",IF(AND($N2216="Sí",$P2216="Sí"),"OTIF","Falló"))</f>
        <v/>
      </c>
    </row>
    <row r="2217" ht="16" customHeight="1">
      <c r="A2217" s="48" t="n"/>
      <c r="B2217" s="48" t="n"/>
      <c r="C2217" s="47" t="n"/>
      <c r="D2217" s="50" t="n"/>
      <c r="E2217" s="50" t="n"/>
      <c r="F2217" s="50" t="n"/>
      <c r="G2217" s="50" t="n"/>
      <c r="H2217" s="48" t="n"/>
      <c r="I2217" s="51" t="n"/>
      <c r="J2217" s="52" t="n"/>
      <c r="K2217" s="47" t="n"/>
      <c r="L2217" s="47" t="n"/>
      <c r="M2217" s="24">
        <f>IF(OR($A2217="",$C2217=""),"",IF($L2217&lt;&gt;"",$L2217-$C2217,TODAY()-$C2217))</f>
        <v/>
      </c>
      <c r="N2217" s="28">
        <f>IF(OR($A2217="",$K2217=""),"",IF($L2217="",IF(TODAY()&gt;$K2217,"Atrasado","En ruta"),IF($L2217&lt;=$K2217,"Sí","No")))</f>
        <v/>
      </c>
      <c r="O2217" s="24">
        <f>IF($A2217="","",COUNTIFS(NOVEDADES!$D$4:$D$1503,$A2217))</f>
        <v/>
      </c>
      <c r="P2217" s="28">
        <f>IF($A2217="","",IF(COUNTIFS(NOVEDADES!$D$4:$D$1503,$A2217,NOVEDADES!$O$4:$O$1503,"SÍ")&gt;0,"No","Sí"))</f>
        <v/>
      </c>
      <c r="Q2217" s="28">
        <f>IF(OR($A2217="",$L2217=""),"",IF(AND($N2217="Sí",$P2217="Sí"),"OTIF","Falló"))</f>
        <v/>
      </c>
    </row>
    <row r="2218" ht="16" customHeight="1">
      <c r="A2218" s="48" t="n"/>
      <c r="B2218" s="48" t="n"/>
      <c r="C2218" s="47" t="n"/>
      <c r="D2218" s="50" t="n"/>
      <c r="E2218" s="50" t="n"/>
      <c r="F2218" s="50" t="n"/>
      <c r="G2218" s="50" t="n"/>
      <c r="H2218" s="48" t="n"/>
      <c r="I2218" s="51" t="n"/>
      <c r="J2218" s="52" t="n"/>
      <c r="K2218" s="47" t="n"/>
      <c r="L2218" s="47" t="n"/>
      <c r="M2218" s="24">
        <f>IF(OR($A2218="",$C2218=""),"",IF($L2218&lt;&gt;"",$L2218-$C2218,TODAY()-$C2218))</f>
        <v/>
      </c>
      <c r="N2218" s="28">
        <f>IF(OR($A2218="",$K2218=""),"",IF($L2218="",IF(TODAY()&gt;$K2218,"Atrasado","En ruta"),IF($L2218&lt;=$K2218,"Sí","No")))</f>
        <v/>
      </c>
      <c r="O2218" s="24">
        <f>IF($A2218="","",COUNTIFS(NOVEDADES!$D$4:$D$1503,$A2218))</f>
        <v/>
      </c>
      <c r="P2218" s="28">
        <f>IF($A2218="","",IF(COUNTIFS(NOVEDADES!$D$4:$D$1503,$A2218,NOVEDADES!$O$4:$O$1503,"SÍ")&gt;0,"No","Sí"))</f>
        <v/>
      </c>
      <c r="Q2218" s="28">
        <f>IF(OR($A2218="",$L2218=""),"",IF(AND($N2218="Sí",$P2218="Sí"),"OTIF","Falló"))</f>
        <v/>
      </c>
    </row>
    <row r="2219" ht="16" customHeight="1">
      <c r="A2219" s="48" t="n"/>
      <c r="B2219" s="48" t="n"/>
      <c r="C2219" s="47" t="n"/>
      <c r="D2219" s="50" t="n"/>
      <c r="E2219" s="50" t="n"/>
      <c r="F2219" s="50" t="n"/>
      <c r="G2219" s="50" t="n"/>
      <c r="H2219" s="48" t="n"/>
      <c r="I2219" s="51" t="n"/>
      <c r="J2219" s="52" t="n"/>
      <c r="K2219" s="47" t="n"/>
      <c r="L2219" s="47" t="n"/>
      <c r="M2219" s="24">
        <f>IF(OR($A2219="",$C2219=""),"",IF($L2219&lt;&gt;"",$L2219-$C2219,TODAY()-$C2219))</f>
        <v/>
      </c>
      <c r="N2219" s="28">
        <f>IF(OR($A2219="",$K2219=""),"",IF($L2219="",IF(TODAY()&gt;$K2219,"Atrasado","En ruta"),IF($L2219&lt;=$K2219,"Sí","No")))</f>
        <v/>
      </c>
      <c r="O2219" s="24">
        <f>IF($A2219="","",COUNTIFS(NOVEDADES!$D$4:$D$1503,$A2219))</f>
        <v/>
      </c>
      <c r="P2219" s="28">
        <f>IF($A2219="","",IF(COUNTIFS(NOVEDADES!$D$4:$D$1503,$A2219,NOVEDADES!$O$4:$O$1503,"SÍ")&gt;0,"No","Sí"))</f>
        <v/>
      </c>
      <c r="Q2219" s="28">
        <f>IF(OR($A2219="",$L2219=""),"",IF(AND($N2219="Sí",$P2219="Sí"),"OTIF","Falló"))</f>
        <v/>
      </c>
    </row>
    <row r="2220" ht="16" customHeight="1">
      <c r="A2220" s="48" t="n"/>
      <c r="B2220" s="48" t="n"/>
      <c r="C2220" s="47" t="n"/>
      <c r="D2220" s="50" t="n"/>
      <c r="E2220" s="50" t="n"/>
      <c r="F2220" s="50" t="n"/>
      <c r="G2220" s="50" t="n"/>
      <c r="H2220" s="48" t="n"/>
      <c r="I2220" s="51" t="n"/>
      <c r="J2220" s="52" t="n"/>
      <c r="K2220" s="47" t="n"/>
      <c r="L2220" s="47" t="n"/>
      <c r="M2220" s="24">
        <f>IF(OR($A2220="",$C2220=""),"",IF($L2220&lt;&gt;"",$L2220-$C2220,TODAY()-$C2220))</f>
        <v/>
      </c>
      <c r="N2220" s="28">
        <f>IF(OR($A2220="",$K2220=""),"",IF($L2220="",IF(TODAY()&gt;$K2220,"Atrasado","En ruta"),IF($L2220&lt;=$K2220,"Sí","No")))</f>
        <v/>
      </c>
      <c r="O2220" s="24">
        <f>IF($A2220="","",COUNTIFS(NOVEDADES!$D$4:$D$1503,$A2220))</f>
        <v/>
      </c>
      <c r="P2220" s="28">
        <f>IF($A2220="","",IF(COUNTIFS(NOVEDADES!$D$4:$D$1503,$A2220,NOVEDADES!$O$4:$O$1503,"SÍ")&gt;0,"No","Sí"))</f>
        <v/>
      </c>
      <c r="Q2220" s="28">
        <f>IF(OR($A2220="",$L2220=""),"",IF(AND($N2220="Sí",$P2220="Sí"),"OTIF","Falló"))</f>
        <v/>
      </c>
    </row>
    <row r="2221" ht="16" customHeight="1">
      <c r="A2221" s="48" t="n"/>
      <c r="B2221" s="48" t="n"/>
      <c r="C2221" s="47" t="n"/>
      <c r="D2221" s="50" t="n"/>
      <c r="E2221" s="50" t="n"/>
      <c r="F2221" s="50" t="n"/>
      <c r="G2221" s="50" t="n"/>
      <c r="H2221" s="48" t="n"/>
      <c r="I2221" s="51" t="n"/>
      <c r="J2221" s="52" t="n"/>
      <c r="K2221" s="47" t="n"/>
      <c r="L2221" s="47" t="n"/>
      <c r="M2221" s="24">
        <f>IF(OR($A2221="",$C2221=""),"",IF($L2221&lt;&gt;"",$L2221-$C2221,TODAY()-$C2221))</f>
        <v/>
      </c>
      <c r="N2221" s="28">
        <f>IF(OR($A2221="",$K2221=""),"",IF($L2221="",IF(TODAY()&gt;$K2221,"Atrasado","En ruta"),IF($L2221&lt;=$K2221,"Sí","No")))</f>
        <v/>
      </c>
      <c r="O2221" s="24">
        <f>IF($A2221="","",COUNTIFS(NOVEDADES!$D$4:$D$1503,$A2221))</f>
        <v/>
      </c>
      <c r="P2221" s="28">
        <f>IF($A2221="","",IF(COUNTIFS(NOVEDADES!$D$4:$D$1503,$A2221,NOVEDADES!$O$4:$O$1503,"SÍ")&gt;0,"No","Sí"))</f>
        <v/>
      </c>
      <c r="Q2221" s="28">
        <f>IF(OR($A2221="",$L2221=""),"",IF(AND($N2221="Sí",$P2221="Sí"),"OTIF","Falló"))</f>
        <v/>
      </c>
    </row>
    <row r="2222" ht="16" customHeight="1">
      <c r="A2222" s="48" t="n"/>
      <c r="B2222" s="48" t="n"/>
      <c r="C2222" s="47" t="n"/>
      <c r="D2222" s="50" t="n"/>
      <c r="E2222" s="50" t="n"/>
      <c r="F2222" s="50" t="n"/>
      <c r="G2222" s="50" t="n"/>
      <c r="H2222" s="48" t="n"/>
      <c r="I2222" s="51" t="n"/>
      <c r="J2222" s="52" t="n"/>
      <c r="K2222" s="47" t="n"/>
      <c r="L2222" s="47" t="n"/>
      <c r="M2222" s="24">
        <f>IF(OR($A2222="",$C2222=""),"",IF($L2222&lt;&gt;"",$L2222-$C2222,TODAY()-$C2222))</f>
        <v/>
      </c>
      <c r="N2222" s="28">
        <f>IF(OR($A2222="",$K2222=""),"",IF($L2222="",IF(TODAY()&gt;$K2222,"Atrasado","En ruta"),IF($L2222&lt;=$K2222,"Sí","No")))</f>
        <v/>
      </c>
      <c r="O2222" s="24">
        <f>IF($A2222="","",COUNTIFS(NOVEDADES!$D$4:$D$1503,$A2222))</f>
        <v/>
      </c>
      <c r="P2222" s="28">
        <f>IF($A2222="","",IF(COUNTIFS(NOVEDADES!$D$4:$D$1503,$A2222,NOVEDADES!$O$4:$O$1503,"SÍ")&gt;0,"No","Sí"))</f>
        <v/>
      </c>
      <c r="Q2222" s="28">
        <f>IF(OR($A2222="",$L2222=""),"",IF(AND($N2222="Sí",$P2222="Sí"),"OTIF","Falló"))</f>
        <v/>
      </c>
    </row>
    <row r="2223" ht="16" customHeight="1">
      <c r="A2223" s="48" t="n"/>
      <c r="B2223" s="48" t="n"/>
      <c r="C2223" s="47" t="n"/>
      <c r="D2223" s="50" t="n"/>
      <c r="E2223" s="50" t="n"/>
      <c r="F2223" s="50" t="n"/>
      <c r="G2223" s="50" t="n"/>
      <c r="H2223" s="48" t="n"/>
      <c r="I2223" s="51" t="n"/>
      <c r="J2223" s="52" t="n"/>
      <c r="K2223" s="47" t="n"/>
      <c r="L2223" s="47" t="n"/>
      <c r="M2223" s="24">
        <f>IF(OR($A2223="",$C2223=""),"",IF($L2223&lt;&gt;"",$L2223-$C2223,TODAY()-$C2223))</f>
        <v/>
      </c>
      <c r="N2223" s="28">
        <f>IF(OR($A2223="",$K2223=""),"",IF($L2223="",IF(TODAY()&gt;$K2223,"Atrasado","En ruta"),IF($L2223&lt;=$K2223,"Sí","No")))</f>
        <v/>
      </c>
      <c r="O2223" s="24">
        <f>IF($A2223="","",COUNTIFS(NOVEDADES!$D$4:$D$1503,$A2223))</f>
        <v/>
      </c>
      <c r="P2223" s="28">
        <f>IF($A2223="","",IF(COUNTIFS(NOVEDADES!$D$4:$D$1503,$A2223,NOVEDADES!$O$4:$O$1503,"SÍ")&gt;0,"No","Sí"))</f>
        <v/>
      </c>
      <c r="Q2223" s="28">
        <f>IF(OR($A2223="",$L2223=""),"",IF(AND($N2223="Sí",$P2223="Sí"),"OTIF","Falló"))</f>
        <v/>
      </c>
    </row>
    <row r="2224" ht="16" customHeight="1">
      <c r="A2224" s="48" t="n"/>
      <c r="B2224" s="48" t="n"/>
      <c r="C2224" s="47" t="n"/>
      <c r="D2224" s="50" t="n"/>
      <c r="E2224" s="50" t="n"/>
      <c r="F2224" s="50" t="n"/>
      <c r="G2224" s="50" t="n"/>
      <c r="H2224" s="48" t="n"/>
      <c r="I2224" s="51" t="n"/>
      <c r="J2224" s="52" t="n"/>
      <c r="K2224" s="47" t="n"/>
      <c r="L2224" s="47" t="n"/>
      <c r="M2224" s="24">
        <f>IF(OR($A2224="",$C2224=""),"",IF($L2224&lt;&gt;"",$L2224-$C2224,TODAY()-$C2224))</f>
        <v/>
      </c>
      <c r="N2224" s="28">
        <f>IF(OR($A2224="",$K2224=""),"",IF($L2224="",IF(TODAY()&gt;$K2224,"Atrasado","En ruta"),IF($L2224&lt;=$K2224,"Sí","No")))</f>
        <v/>
      </c>
      <c r="O2224" s="24">
        <f>IF($A2224="","",COUNTIFS(NOVEDADES!$D$4:$D$1503,$A2224))</f>
        <v/>
      </c>
      <c r="P2224" s="28">
        <f>IF($A2224="","",IF(COUNTIFS(NOVEDADES!$D$4:$D$1503,$A2224,NOVEDADES!$O$4:$O$1503,"SÍ")&gt;0,"No","Sí"))</f>
        <v/>
      </c>
      <c r="Q2224" s="28">
        <f>IF(OR($A2224="",$L2224=""),"",IF(AND($N2224="Sí",$P2224="Sí"),"OTIF","Falló"))</f>
        <v/>
      </c>
    </row>
    <row r="2225" ht="16" customHeight="1">
      <c r="A2225" s="48" t="n"/>
      <c r="B2225" s="48" t="n"/>
      <c r="C2225" s="47" t="n"/>
      <c r="D2225" s="50" t="n"/>
      <c r="E2225" s="50" t="n"/>
      <c r="F2225" s="50" t="n"/>
      <c r="G2225" s="50" t="n"/>
      <c r="H2225" s="48" t="n"/>
      <c r="I2225" s="51" t="n"/>
      <c r="J2225" s="52" t="n"/>
      <c r="K2225" s="47" t="n"/>
      <c r="L2225" s="47" t="n"/>
      <c r="M2225" s="24">
        <f>IF(OR($A2225="",$C2225=""),"",IF($L2225&lt;&gt;"",$L2225-$C2225,TODAY()-$C2225))</f>
        <v/>
      </c>
      <c r="N2225" s="28">
        <f>IF(OR($A2225="",$K2225=""),"",IF($L2225="",IF(TODAY()&gt;$K2225,"Atrasado","En ruta"),IF($L2225&lt;=$K2225,"Sí","No")))</f>
        <v/>
      </c>
      <c r="O2225" s="24">
        <f>IF($A2225="","",COUNTIFS(NOVEDADES!$D$4:$D$1503,$A2225))</f>
        <v/>
      </c>
      <c r="P2225" s="28">
        <f>IF($A2225="","",IF(COUNTIFS(NOVEDADES!$D$4:$D$1503,$A2225,NOVEDADES!$O$4:$O$1503,"SÍ")&gt;0,"No","Sí"))</f>
        <v/>
      </c>
      <c r="Q2225" s="28">
        <f>IF(OR($A2225="",$L2225=""),"",IF(AND($N2225="Sí",$P2225="Sí"),"OTIF","Falló"))</f>
        <v/>
      </c>
    </row>
    <row r="2226" ht="16" customHeight="1">
      <c r="A2226" s="48" t="n"/>
      <c r="B2226" s="48" t="n"/>
      <c r="C2226" s="47" t="n"/>
      <c r="D2226" s="50" t="n"/>
      <c r="E2226" s="50" t="n"/>
      <c r="F2226" s="50" t="n"/>
      <c r="G2226" s="50" t="n"/>
      <c r="H2226" s="48" t="n"/>
      <c r="I2226" s="51" t="n"/>
      <c r="J2226" s="52" t="n"/>
      <c r="K2226" s="47" t="n"/>
      <c r="L2226" s="47" t="n"/>
      <c r="M2226" s="24">
        <f>IF(OR($A2226="",$C2226=""),"",IF($L2226&lt;&gt;"",$L2226-$C2226,TODAY()-$C2226))</f>
        <v/>
      </c>
      <c r="N2226" s="28">
        <f>IF(OR($A2226="",$K2226=""),"",IF($L2226="",IF(TODAY()&gt;$K2226,"Atrasado","En ruta"),IF($L2226&lt;=$K2226,"Sí","No")))</f>
        <v/>
      </c>
      <c r="O2226" s="24">
        <f>IF($A2226="","",COUNTIFS(NOVEDADES!$D$4:$D$1503,$A2226))</f>
        <v/>
      </c>
      <c r="P2226" s="28">
        <f>IF($A2226="","",IF(COUNTIFS(NOVEDADES!$D$4:$D$1503,$A2226,NOVEDADES!$O$4:$O$1503,"SÍ")&gt;0,"No","Sí"))</f>
        <v/>
      </c>
      <c r="Q2226" s="28">
        <f>IF(OR($A2226="",$L2226=""),"",IF(AND($N2226="Sí",$P2226="Sí"),"OTIF","Falló"))</f>
        <v/>
      </c>
    </row>
    <row r="2227" ht="16" customHeight="1">
      <c r="A2227" s="48" t="n"/>
      <c r="B2227" s="48" t="n"/>
      <c r="C2227" s="47" t="n"/>
      <c r="D2227" s="50" t="n"/>
      <c r="E2227" s="50" t="n"/>
      <c r="F2227" s="50" t="n"/>
      <c r="G2227" s="50" t="n"/>
      <c r="H2227" s="48" t="n"/>
      <c r="I2227" s="51" t="n"/>
      <c r="J2227" s="52" t="n"/>
      <c r="K2227" s="47" t="n"/>
      <c r="L2227" s="47" t="n"/>
      <c r="M2227" s="24">
        <f>IF(OR($A2227="",$C2227=""),"",IF($L2227&lt;&gt;"",$L2227-$C2227,TODAY()-$C2227))</f>
        <v/>
      </c>
      <c r="N2227" s="28">
        <f>IF(OR($A2227="",$K2227=""),"",IF($L2227="",IF(TODAY()&gt;$K2227,"Atrasado","En ruta"),IF($L2227&lt;=$K2227,"Sí","No")))</f>
        <v/>
      </c>
      <c r="O2227" s="24">
        <f>IF($A2227="","",COUNTIFS(NOVEDADES!$D$4:$D$1503,$A2227))</f>
        <v/>
      </c>
      <c r="P2227" s="28">
        <f>IF($A2227="","",IF(COUNTIFS(NOVEDADES!$D$4:$D$1503,$A2227,NOVEDADES!$O$4:$O$1503,"SÍ")&gt;0,"No","Sí"))</f>
        <v/>
      </c>
      <c r="Q2227" s="28">
        <f>IF(OR($A2227="",$L2227=""),"",IF(AND($N2227="Sí",$P2227="Sí"),"OTIF","Falló"))</f>
        <v/>
      </c>
    </row>
    <row r="2228" ht="16" customHeight="1">
      <c r="A2228" s="48" t="n"/>
      <c r="B2228" s="48" t="n"/>
      <c r="C2228" s="47" t="n"/>
      <c r="D2228" s="50" t="n"/>
      <c r="E2228" s="50" t="n"/>
      <c r="F2228" s="50" t="n"/>
      <c r="G2228" s="50" t="n"/>
      <c r="H2228" s="48" t="n"/>
      <c r="I2228" s="51" t="n"/>
      <c r="J2228" s="52" t="n"/>
      <c r="K2228" s="47" t="n"/>
      <c r="L2228" s="47" t="n"/>
      <c r="M2228" s="24">
        <f>IF(OR($A2228="",$C2228=""),"",IF($L2228&lt;&gt;"",$L2228-$C2228,TODAY()-$C2228))</f>
        <v/>
      </c>
      <c r="N2228" s="28">
        <f>IF(OR($A2228="",$K2228=""),"",IF($L2228="",IF(TODAY()&gt;$K2228,"Atrasado","En ruta"),IF($L2228&lt;=$K2228,"Sí","No")))</f>
        <v/>
      </c>
      <c r="O2228" s="24">
        <f>IF($A2228="","",COUNTIFS(NOVEDADES!$D$4:$D$1503,$A2228))</f>
        <v/>
      </c>
      <c r="P2228" s="28">
        <f>IF($A2228="","",IF(COUNTIFS(NOVEDADES!$D$4:$D$1503,$A2228,NOVEDADES!$O$4:$O$1503,"SÍ")&gt;0,"No","Sí"))</f>
        <v/>
      </c>
      <c r="Q2228" s="28">
        <f>IF(OR($A2228="",$L2228=""),"",IF(AND($N2228="Sí",$P2228="Sí"),"OTIF","Falló"))</f>
        <v/>
      </c>
    </row>
    <row r="2229" ht="16" customHeight="1">
      <c r="A2229" s="48" t="n"/>
      <c r="B2229" s="48" t="n"/>
      <c r="C2229" s="47" t="n"/>
      <c r="D2229" s="50" t="n"/>
      <c r="E2229" s="50" t="n"/>
      <c r="F2229" s="50" t="n"/>
      <c r="G2229" s="50" t="n"/>
      <c r="H2229" s="48" t="n"/>
      <c r="I2229" s="51" t="n"/>
      <c r="J2229" s="52" t="n"/>
      <c r="K2229" s="47" t="n"/>
      <c r="L2229" s="47" t="n"/>
      <c r="M2229" s="24">
        <f>IF(OR($A2229="",$C2229=""),"",IF($L2229&lt;&gt;"",$L2229-$C2229,TODAY()-$C2229))</f>
        <v/>
      </c>
      <c r="N2229" s="28">
        <f>IF(OR($A2229="",$K2229=""),"",IF($L2229="",IF(TODAY()&gt;$K2229,"Atrasado","En ruta"),IF($L2229&lt;=$K2229,"Sí","No")))</f>
        <v/>
      </c>
      <c r="O2229" s="24">
        <f>IF($A2229="","",COUNTIFS(NOVEDADES!$D$4:$D$1503,$A2229))</f>
        <v/>
      </c>
      <c r="P2229" s="28">
        <f>IF($A2229="","",IF(COUNTIFS(NOVEDADES!$D$4:$D$1503,$A2229,NOVEDADES!$O$4:$O$1503,"SÍ")&gt;0,"No","Sí"))</f>
        <v/>
      </c>
      <c r="Q2229" s="28">
        <f>IF(OR($A2229="",$L2229=""),"",IF(AND($N2229="Sí",$P2229="Sí"),"OTIF","Falló"))</f>
        <v/>
      </c>
    </row>
    <row r="2230" ht="16" customHeight="1">
      <c r="A2230" s="48" t="n"/>
      <c r="B2230" s="48" t="n"/>
      <c r="C2230" s="47" t="n"/>
      <c r="D2230" s="50" t="n"/>
      <c r="E2230" s="50" t="n"/>
      <c r="F2230" s="50" t="n"/>
      <c r="G2230" s="50" t="n"/>
      <c r="H2230" s="48" t="n"/>
      <c r="I2230" s="51" t="n"/>
      <c r="J2230" s="52" t="n"/>
      <c r="K2230" s="47" t="n"/>
      <c r="L2230" s="47" t="n"/>
      <c r="M2230" s="24">
        <f>IF(OR($A2230="",$C2230=""),"",IF($L2230&lt;&gt;"",$L2230-$C2230,TODAY()-$C2230))</f>
        <v/>
      </c>
      <c r="N2230" s="28">
        <f>IF(OR($A2230="",$K2230=""),"",IF($L2230="",IF(TODAY()&gt;$K2230,"Atrasado","En ruta"),IF($L2230&lt;=$K2230,"Sí","No")))</f>
        <v/>
      </c>
      <c r="O2230" s="24">
        <f>IF($A2230="","",COUNTIFS(NOVEDADES!$D$4:$D$1503,$A2230))</f>
        <v/>
      </c>
      <c r="P2230" s="28">
        <f>IF($A2230="","",IF(COUNTIFS(NOVEDADES!$D$4:$D$1503,$A2230,NOVEDADES!$O$4:$O$1503,"SÍ")&gt;0,"No","Sí"))</f>
        <v/>
      </c>
      <c r="Q2230" s="28">
        <f>IF(OR($A2230="",$L2230=""),"",IF(AND($N2230="Sí",$P2230="Sí"),"OTIF","Falló"))</f>
        <v/>
      </c>
    </row>
    <row r="2231" ht="16" customHeight="1">
      <c r="A2231" s="48" t="n"/>
      <c r="B2231" s="48" t="n"/>
      <c r="C2231" s="47" t="n"/>
      <c r="D2231" s="50" t="n"/>
      <c r="E2231" s="50" t="n"/>
      <c r="F2231" s="50" t="n"/>
      <c r="G2231" s="50" t="n"/>
      <c r="H2231" s="48" t="n"/>
      <c r="I2231" s="51" t="n"/>
      <c r="J2231" s="52" t="n"/>
      <c r="K2231" s="47" t="n"/>
      <c r="L2231" s="47" t="n"/>
      <c r="M2231" s="24">
        <f>IF(OR($A2231="",$C2231=""),"",IF($L2231&lt;&gt;"",$L2231-$C2231,TODAY()-$C2231))</f>
        <v/>
      </c>
      <c r="N2231" s="28">
        <f>IF(OR($A2231="",$K2231=""),"",IF($L2231="",IF(TODAY()&gt;$K2231,"Atrasado","En ruta"),IF($L2231&lt;=$K2231,"Sí","No")))</f>
        <v/>
      </c>
      <c r="O2231" s="24">
        <f>IF($A2231="","",COUNTIFS(NOVEDADES!$D$4:$D$1503,$A2231))</f>
        <v/>
      </c>
      <c r="P2231" s="28">
        <f>IF($A2231="","",IF(COUNTIFS(NOVEDADES!$D$4:$D$1503,$A2231,NOVEDADES!$O$4:$O$1503,"SÍ")&gt;0,"No","Sí"))</f>
        <v/>
      </c>
      <c r="Q2231" s="28">
        <f>IF(OR($A2231="",$L2231=""),"",IF(AND($N2231="Sí",$P2231="Sí"),"OTIF","Falló"))</f>
        <v/>
      </c>
    </row>
    <row r="2232" ht="16" customHeight="1">
      <c r="A2232" s="48" t="n"/>
      <c r="B2232" s="48" t="n"/>
      <c r="C2232" s="47" t="n"/>
      <c r="D2232" s="50" t="n"/>
      <c r="E2232" s="50" t="n"/>
      <c r="F2232" s="50" t="n"/>
      <c r="G2232" s="50" t="n"/>
      <c r="H2232" s="48" t="n"/>
      <c r="I2232" s="51" t="n"/>
      <c r="J2232" s="52" t="n"/>
      <c r="K2232" s="47" t="n"/>
      <c r="L2232" s="47" t="n"/>
      <c r="M2232" s="24">
        <f>IF(OR($A2232="",$C2232=""),"",IF($L2232&lt;&gt;"",$L2232-$C2232,TODAY()-$C2232))</f>
        <v/>
      </c>
      <c r="N2232" s="28">
        <f>IF(OR($A2232="",$K2232=""),"",IF($L2232="",IF(TODAY()&gt;$K2232,"Atrasado","En ruta"),IF($L2232&lt;=$K2232,"Sí","No")))</f>
        <v/>
      </c>
      <c r="O2232" s="24">
        <f>IF($A2232="","",COUNTIFS(NOVEDADES!$D$4:$D$1503,$A2232))</f>
        <v/>
      </c>
      <c r="P2232" s="28">
        <f>IF($A2232="","",IF(COUNTIFS(NOVEDADES!$D$4:$D$1503,$A2232,NOVEDADES!$O$4:$O$1503,"SÍ")&gt;0,"No","Sí"))</f>
        <v/>
      </c>
      <c r="Q2232" s="28">
        <f>IF(OR($A2232="",$L2232=""),"",IF(AND($N2232="Sí",$P2232="Sí"),"OTIF","Falló"))</f>
        <v/>
      </c>
    </row>
    <row r="2233" ht="16" customHeight="1">
      <c r="A2233" s="48" t="n"/>
      <c r="B2233" s="48" t="n"/>
      <c r="C2233" s="47" t="n"/>
      <c r="D2233" s="50" t="n"/>
      <c r="E2233" s="50" t="n"/>
      <c r="F2233" s="50" t="n"/>
      <c r="G2233" s="50" t="n"/>
      <c r="H2233" s="48" t="n"/>
      <c r="I2233" s="51" t="n"/>
      <c r="J2233" s="52" t="n"/>
      <c r="K2233" s="47" t="n"/>
      <c r="L2233" s="47" t="n"/>
      <c r="M2233" s="24">
        <f>IF(OR($A2233="",$C2233=""),"",IF($L2233&lt;&gt;"",$L2233-$C2233,TODAY()-$C2233))</f>
        <v/>
      </c>
      <c r="N2233" s="28">
        <f>IF(OR($A2233="",$K2233=""),"",IF($L2233="",IF(TODAY()&gt;$K2233,"Atrasado","En ruta"),IF($L2233&lt;=$K2233,"Sí","No")))</f>
        <v/>
      </c>
      <c r="O2233" s="24">
        <f>IF($A2233="","",COUNTIFS(NOVEDADES!$D$4:$D$1503,$A2233))</f>
        <v/>
      </c>
      <c r="P2233" s="28">
        <f>IF($A2233="","",IF(COUNTIFS(NOVEDADES!$D$4:$D$1503,$A2233,NOVEDADES!$O$4:$O$1503,"SÍ")&gt;0,"No","Sí"))</f>
        <v/>
      </c>
      <c r="Q2233" s="28">
        <f>IF(OR($A2233="",$L2233=""),"",IF(AND($N2233="Sí",$P2233="Sí"),"OTIF","Falló"))</f>
        <v/>
      </c>
    </row>
    <row r="2234" ht="16" customHeight="1">
      <c r="A2234" s="48" t="n"/>
      <c r="B2234" s="48" t="n"/>
      <c r="C2234" s="47" t="n"/>
      <c r="D2234" s="50" t="n"/>
      <c r="E2234" s="50" t="n"/>
      <c r="F2234" s="50" t="n"/>
      <c r="G2234" s="50" t="n"/>
      <c r="H2234" s="48" t="n"/>
      <c r="I2234" s="51" t="n"/>
      <c r="J2234" s="52" t="n"/>
      <c r="K2234" s="47" t="n"/>
      <c r="L2234" s="47" t="n"/>
      <c r="M2234" s="24">
        <f>IF(OR($A2234="",$C2234=""),"",IF($L2234&lt;&gt;"",$L2234-$C2234,TODAY()-$C2234))</f>
        <v/>
      </c>
      <c r="N2234" s="28">
        <f>IF(OR($A2234="",$K2234=""),"",IF($L2234="",IF(TODAY()&gt;$K2234,"Atrasado","En ruta"),IF($L2234&lt;=$K2234,"Sí","No")))</f>
        <v/>
      </c>
      <c r="O2234" s="24">
        <f>IF($A2234="","",COUNTIFS(NOVEDADES!$D$4:$D$1503,$A2234))</f>
        <v/>
      </c>
      <c r="P2234" s="28">
        <f>IF($A2234="","",IF(COUNTIFS(NOVEDADES!$D$4:$D$1503,$A2234,NOVEDADES!$O$4:$O$1503,"SÍ")&gt;0,"No","Sí"))</f>
        <v/>
      </c>
      <c r="Q2234" s="28">
        <f>IF(OR($A2234="",$L2234=""),"",IF(AND($N2234="Sí",$P2234="Sí"),"OTIF","Falló"))</f>
        <v/>
      </c>
    </row>
    <row r="2235" ht="16" customHeight="1">
      <c r="A2235" s="48" t="n"/>
      <c r="B2235" s="48" t="n"/>
      <c r="C2235" s="47" t="n"/>
      <c r="D2235" s="50" t="n"/>
      <c r="E2235" s="50" t="n"/>
      <c r="F2235" s="50" t="n"/>
      <c r="G2235" s="50" t="n"/>
      <c r="H2235" s="48" t="n"/>
      <c r="I2235" s="51" t="n"/>
      <c r="J2235" s="52" t="n"/>
      <c r="K2235" s="47" t="n"/>
      <c r="L2235" s="47" t="n"/>
      <c r="M2235" s="24">
        <f>IF(OR($A2235="",$C2235=""),"",IF($L2235&lt;&gt;"",$L2235-$C2235,TODAY()-$C2235))</f>
        <v/>
      </c>
      <c r="N2235" s="28">
        <f>IF(OR($A2235="",$K2235=""),"",IF($L2235="",IF(TODAY()&gt;$K2235,"Atrasado","En ruta"),IF($L2235&lt;=$K2235,"Sí","No")))</f>
        <v/>
      </c>
      <c r="O2235" s="24">
        <f>IF($A2235="","",COUNTIFS(NOVEDADES!$D$4:$D$1503,$A2235))</f>
        <v/>
      </c>
      <c r="P2235" s="28">
        <f>IF($A2235="","",IF(COUNTIFS(NOVEDADES!$D$4:$D$1503,$A2235,NOVEDADES!$O$4:$O$1503,"SÍ")&gt;0,"No","Sí"))</f>
        <v/>
      </c>
      <c r="Q2235" s="28">
        <f>IF(OR($A2235="",$L2235=""),"",IF(AND($N2235="Sí",$P2235="Sí"),"OTIF","Falló"))</f>
        <v/>
      </c>
    </row>
    <row r="2236" ht="16" customHeight="1">
      <c r="A2236" s="48" t="n"/>
      <c r="B2236" s="48" t="n"/>
      <c r="C2236" s="47" t="n"/>
      <c r="D2236" s="50" t="n"/>
      <c r="E2236" s="50" t="n"/>
      <c r="F2236" s="50" t="n"/>
      <c r="G2236" s="50" t="n"/>
      <c r="H2236" s="48" t="n"/>
      <c r="I2236" s="51" t="n"/>
      <c r="J2236" s="52" t="n"/>
      <c r="K2236" s="47" t="n"/>
      <c r="L2236" s="47" t="n"/>
      <c r="M2236" s="24">
        <f>IF(OR($A2236="",$C2236=""),"",IF($L2236&lt;&gt;"",$L2236-$C2236,TODAY()-$C2236))</f>
        <v/>
      </c>
      <c r="N2236" s="28">
        <f>IF(OR($A2236="",$K2236=""),"",IF($L2236="",IF(TODAY()&gt;$K2236,"Atrasado","En ruta"),IF($L2236&lt;=$K2236,"Sí","No")))</f>
        <v/>
      </c>
      <c r="O2236" s="24">
        <f>IF($A2236="","",COUNTIFS(NOVEDADES!$D$4:$D$1503,$A2236))</f>
        <v/>
      </c>
      <c r="P2236" s="28">
        <f>IF($A2236="","",IF(COUNTIFS(NOVEDADES!$D$4:$D$1503,$A2236,NOVEDADES!$O$4:$O$1503,"SÍ")&gt;0,"No","Sí"))</f>
        <v/>
      </c>
      <c r="Q2236" s="28">
        <f>IF(OR($A2236="",$L2236=""),"",IF(AND($N2236="Sí",$P2236="Sí"),"OTIF","Falló"))</f>
        <v/>
      </c>
    </row>
    <row r="2237" ht="16" customHeight="1">
      <c r="A2237" s="48" t="n"/>
      <c r="B2237" s="48" t="n"/>
      <c r="C2237" s="47" t="n"/>
      <c r="D2237" s="50" t="n"/>
      <c r="E2237" s="50" t="n"/>
      <c r="F2237" s="50" t="n"/>
      <c r="G2237" s="50" t="n"/>
      <c r="H2237" s="48" t="n"/>
      <c r="I2237" s="51" t="n"/>
      <c r="J2237" s="52" t="n"/>
      <c r="K2237" s="47" t="n"/>
      <c r="L2237" s="47" t="n"/>
      <c r="M2237" s="24">
        <f>IF(OR($A2237="",$C2237=""),"",IF($L2237&lt;&gt;"",$L2237-$C2237,TODAY()-$C2237))</f>
        <v/>
      </c>
      <c r="N2237" s="28">
        <f>IF(OR($A2237="",$K2237=""),"",IF($L2237="",IF(TODAY()&gt;$K2237,"Atrasado","En ruta"),IF($L2237&lt;=$K2237,"Sí","No")))</f>
        <v/>
      </c>
      <c r="O2237" s="24">
        <f>IF($A2237="","",COUNTIFS(NOVEDADES!$D$4:$D$1503,$A2237))</f>
        <v/>
      </c>
      <c r="P2237" s="28">
        <f>IF($A2237="","",IF(COUNTIFS(NOVEDADES!$D$4:$D$1503,$A2237,NOVEDADES!$O$4:$O$1503,"SÍ")&gt;0,"No","Sí"))</f>
        <v/>
      </c>
      <c r="Q2237" s="28">
        <f>IF(OR($A2237="",$L2237=""),"",IF(AND($N2237="Sí",$P2237="Sí"),"OTIF","Falló"))</f>
        <v/>
      </c>
    </row>
    <row r="2238" ht="16" customHeight="1">
      <c r="A2238" s="48" t="n"/>
      <c r="B2238" s="48" t="n"/>
      <c r="C2238" s="47" t="n"/>
      <c r="D2238" s="50" t="n"/>
      <c r="E2238" s="50" t="n"/>
      <c r="F2238" s="50" t="n"/>
      <c r="G2238" s="50" t="n"/>
      <c r="H2238" s="48" t="n"/>
      <c r="I2238" s="51" t="n"/>
      <c r="J2238" s="52" t="n"/>
      <c r="K2238" s="47" t="n"/>
      <c r="L2238" s="47" t="n"/>
      <c r="M2238" s="24">
        <f>IF(OR($A2238="",$C2238=""),"",IF($L2238&lt;&gt;"",$L2238-$C2238,TODAY()-$C2238))</f>
        <v/>
      </c>
      <c r="N2238" s="28">
        <f>IF(OR($A2238="",$K2238=""),"",IF($L2238="",IF(TODAY()&gt;$K2238,"Atrasado","En ruta"),IF($L2238&lt;=$K2238,"Sí","No")))</f>
        <v/>
      </c>
      <c r="O2238" s="24">
        <f>IF($A2238="","",COUNTIFS(NOVEDADES!$D$4:$D$1503,$A2238))</f>
        <v/>
      </c>
      <c r="P2238" s="28">
        <f>IF($A2238="","",IF(COUNTIFS(NOVEDADES!$D$4:$D$1503,$A2238,NOVEDADES!$O$4:$O$1503,"SÍ")&gt;0,"No","Sí"))</f>
        <v/>
      </c>
      <c r="Q2238" s="28">
        <f>IF(OR($A2238="",$L2238=""),"",IF(AND($N2238="Sí",$P2238="Sí"),"OTIF","Falló"))</f>
        <v/>
      </c>
    </row>
    <row r="2239" ht="16" customHeight="1">
      <c r="A2239" s="48" t="n"/>
      <c r="B2239" s="48" t="n"/>
      <c r="C2239" s="47" t="n"/>
      <c r="D2239" s="50" t="n"/>
      <c r="E2239" s="50" t="n"/>
      <c r="F2239" s="50" t="n"/>
      <c r="G2239" s="50" t="n"/>
      <c r="H2239" s="48" t="n"/>
      <c r="I2239" s="51" t="n"/>
      <c r="J2239" s="52" t="n"/>
      <c r="K2239" s="47" t="n"/>
      <c r="L2239" s="47" t="n"/>
      <c r="M2239" s="24">
        <f>IF(OR($A2239="",$C2239=""),"",IF($L2239&lt;&gt;"",$L2239-$C2239,TODAY()-$C2239))</f>
        <v/>
      </c>
      <c r="N2239" s="28">
        <f>IF(OR($A2239="",$K2239=""),"",IF($L2239="",IF(TODAY()&gt;$K2239,"Atrasado","En ruta"),IF($L2239&lt;=$K2239,"Sí","No")))</f>
        <v/>
      </c>
      <c r="O2239" s="24">
        <f>IF($A2239="","",COUNTIFS(NOVEDADES!$D$4:$D$1503,$A2239))</f>
        <v/>
      </c>
      <c r="P2239" s="28">
        <f>IF($A2239="","",IF(COUNTIFS(NOVEDADES!$D$4:$D$1503,$A2239,NOVEDADES!$O$4:$O$1503,"SÍ")&gt;0,"No","Sí"))</f>
        <v/>
      </c>
      <c r="Q2239" s="28">
        <f>IF(OR($A2239="",$L2239=""),"",IF(AND($N2239="Sí",$P2239="Sí"),"OTIF","Falló"))</f>
        <v/>
      </c>
    </row>
    <row r="2240" ht="16" customHeight="1">
      <c r="A2240" s="48" t="n"/>
      <c r="B2240" s="48" t="n"/>
      <c r="C2240" s="47" t="n"/>
      <c r="D2240" s="50" t="n"/>
      <c r="E2240" s="50" t="n"/>
      <c r="F2240" s="50" t="n"/>
      <c r="G2240" s="50" t="n"/>
      <c r="H2240" s="48" t="n"/>
      <c r="I2240" s="51" t="n"/>
      <c r="J2240" s="52" t="n"/>
      <c r="K2240" s="47" t="n"/>
      <c r="L2240" s="47" t="n"/>
      <c r="M2240" s="24">
        <f>IF(OR($A2240="",$C2240=""),"",IF($L2240&lt;&gt;"",$L2240-$C2240,TODAY()-$C2240))</f>
        <v/>
      </c>
      <c r="N2240" s="28">
        <f>IF(OR($A2240="",$K2240=""),"",IF($L2240="",IF(TODAY()&gt;$K2240,"Atrasado","En ruta"),IF($L2240&lt;=$K2240,"Sí","No")))</f>
        <v/>
      </c>
      <c r="O2240" s="24">
        <f>IF($A2240="","",COUNTIFS(NOVEDADES!$D$4:$D$1503,$A2240))</f>
        <v/>
      </c>
      <c r="P2240" s="28">
        <f>IF($A2240="","",IF(COUNTIFS(NOVEDADES!$D$4:$D$1503,$A2240,NOVEDADES!$O$4:$O$1503,"SÍ")&gt;0,"No","Sí"))</f>
        <v/>
      </c>
      <c r="Q2240" s="28">
        <f>IF(OR($A2240="",$L2240=""),"",IF(AND($N2240="Sí",$P2240="Sí"),"OTIF","Falló"))</f>
        <v/>
      </c>
    </row>
    <row r="2241" ht="16" customHeight="1">
      <c r="A2241" s="48" t="n"/>
      <c r="B2241" s="48" t="n"/>
      <c r="C2241" s="47" t="n"/>
      <c r="D2241" s="50" t="n"/>
      <c r="E2241" s="50" t="n"/>
      <c r="F2241" s="50" t="n"/>
      <c r="G2241" s="50" t="n"/>
      <c r="H2241" s="48" t="n"/>
      <c r="I2241" s="51" t="n"/>
      <c r="J2241" s="52" t="n"/>
      <c r="K2241" s="47" t="n"/>
      <c r="L2241" s="47" t="n"/>
      <c r="M2241" s="24">
        <f>IF(OR($A2241="",$C2241=""),"",IF($L2241&lt;&gt;"",$L2241-$C2241,TODAY()-$C2241))</f>
        <v/>
      </c>
      <c r="N2241" s="28">
        <f>IF(OR($A2241="",$K2241=""),"",IF($L2241="",IF(TODAY()&gt;$K2241,"Atrasado","En ruta"),IF($L2241&lt;=$K2241,"Sí","No")))</f>
        <v/>
      </c>
      <c r="O2241" s="24">
        <f>IF($A2241="","",COUNTIFS(NOVEDADES!$D$4:$D$1503,$A2241))</f>
        <v/>
      </c>
      <c r="P2241" s="28">
        <f>IF($A2241="","",IF(COUNTIFS(NOVEDADES!$D$4:$D$1503,$A2241,NOVEDADES!$O$4:$O$1503,"SÍ")&gt;0,"No","Sí"))</f>
        <v/>
      </c>
      <c r="Q2241" s="28">
        <f>IF(OR($A2241="",$L2241=""),"",IF(AND($N2241="Sí",$P2241="Sí"),"OTIF","Falló"))</f>
        <v/>
      </c>
    </row>
    <row r="2242" ht="16" customHeight="1">
      <c r="A2242" s="48" t="n"/>
      <c r="B2242" s="48" t="n"/>
      <c r="C2242" s="47" t="n"/>
      <c r="D2242" s="50" t="n"/>
      <c r="E2242" s="50" t="n"/>
      <c r="F2242" s="50" t="n"/>
      <c r="G2242" s="50" t="n"/>
      <c r="H2242" s="48" t="n"/>
      <c r="I2242" s="51" t="n"/>
      <c r="J2242" s="52" t="n"/>
      <c r="K2242" s="47" t="n"/>
      <c r="L2242" s="47" t="n"/>
      <c r="M2242" s="24">
        <f>IF(OR($A2242="",$C2242=""),"",IF($L2242&lt;&gt;"",$L2242-$C2242,TODAY()-$C2242))</f>
        <v/>
      </c>
      <c r="N2242" s="28">
        <f>IF(OR($A2242="",$K2242=""),"",IF($L2242="",IF(TODAY()&gt;$K2242,"Atrasado","En ruta"),IF($L2242&lt;=$K2242,"Sí","No")))</f>
        <v/>
      </c>
      <c r="O2242" s="24">
        <f>IF($A2242="","",COUNTIFS(NOVEDADES!$D$4:$D$1503,$A2242))</f>
        <v/>
      </c>
      <c r="P2242" s="28">
        <f>IF($A2242="","",IF(COUNTIFS(NOVEDADES!$D$4:$D$1503,$A2242,NOVEDADES!$O$4:$O$1503,"SÍ")&gt;0,"No","Sí"))</f>
        <v/>
      </c>
      <c r="Q2242" s="28">
        <f>IF(OR($A2242="",$L2242=""),"",IF(AND($N2242="Sí",$P2242="Sí"),"OTIF","Falló"))</f>
        <v/>
      </c>
    </row>
    <row r="2243" ht="16" customHeight="1">
      <c r="A2243" s="48" t="n"/>
      <c r="B2243" s="48" t="n"/>
      <c r="C2243" s="47" t="n"/>
      <c r="D2243" s="50" t="n"/>
      <c r="E2243" s="50" t="n"/>
      <c r="F2243" s="50" t="n"/>
      <c r="G2243" s="50" t="n"/>
      <c r="H2243" s="48" t="n"/>
      <c r="I2243" s="51" t="n"/>
      <c r="J2243" s="52" t="n"/>
      <c r="K2243" s="47" t="n"/>
      <c r="L2243" s="47" t="n"/>
      <c r="M2243" s="24">
        <f>IF(OR($A2243="",$C2243=""),"",IF($L2243&lt;&gt;"",$L2243-$C2243,TODAY()-$C2243))</f>
        <v/>
      </c>
      <c r="N2243" s="28">
        <f>IF(OR($A2243="",$K2243=""),"",IF($L2243="",IF(TODAY()&gt;$K2243,"Atrasado","En ruta"),IF($L2243&lt;=$K2243,"Sí","No")))</f>
        <v/>
      </c>
      <c r="O2243" s="24">
        <f>IF($A2243="","",COUNTIFS(NOVEDADES!$D$4:$D$1503,$A2243))</f>
        <v/>
      </c>
      <c r="P2243" s="28">
        <f>IF($A2243="","",IF(COUNTIFS(NOVEDADES!$D$4:$D$1503,$A2243,NOVEDADES!$O$4:$O$1503,"SÍ")&gt;0,"No","Sí"))</f>
        <v/>
      </c>
      <c r="Q2243" s="28">
        <f>IF(OR($A2243="",$L2243=""),"",IF(AND($N2243="Sí",$P2243="Sí"),"OTIF","Falló"))</f>
        <v/>
      </c>
    </row>
    <row r="2244" ht="16" customHeight="1">
      <c r="A2244" s="48" t="n"/>
      <c r="B2244" s="48" t="n"/>
      <c r="C2244" s="47" t="n"/>
      <c r="D2244" s="50" t="n"/>
      <c r="E2244" s="50" t="n"/>
      <c r="F2244" s="50" t="n"/>
      <c r="G2244" s="50" t="n"/>
      <c r="H2244" s="48" t="n"/>
      <c r="I2244" s="51" t="n"/>
      <c r="J2244" s="52" t="n"/>
      <c r="K2244" s="47" t="n"/>
      <c r="L2244" s="47" t="n"/>
      <c r="M2244" s="24">
        <f>IF(OR($A2244="",$C2244=""),"",IF($L2244&lt;&gt;"",$L2244-$C2244,TODAY()-$C2244))</f>
        <v/>
      </c>
      <c r="N2244" s="28">
        <f>IF(OR($A2244="",$K2244=""),"",IF($L2244="",IF(TODAY()&gt;$K2244,"Atrasado","En ruta"),IF($L2244&lt;=$K2244,"Sí","No")))</f>
        <v/>
      </c>
      <c r="O2244" s="24">
        <f>IF($A2244="","",COUNTIFS(NOVEDADES!$D$4:$D$1503,$A2244))</f>
        <v/>
      </c>
      <c r="P2244" s="28">
        <f>IF($A2244="","",IF(COUNTIFS(NOVEDADES!$D$4:$D$1503,$A2244,NOVEDADES!$O$4:$O$1503,"SÍ")&gt;0,"No","Sí"))</f>
        <v/>
      </c>
      <c r="Q2244" s="28">
        <f>IF(OR($A2244="",$L2244=""),"",IF(AND($N2244="Sí",$P2244="Sí"),"OTIF","Falló"))</f>
        <v/>
      </c>
    </row>
    <row r="2245" ht="16" customHeight="1">
      <c r="A2245" s="48" t="n"/>
      <c r="B2245" s="48" t="n"/>
      <c r="C2245" s="47" t="n"/>
      <c r="D2245" s="50" t="n"/>
      <c r="E2245" s="50" t="n"/>
      <c r="F2245" s="50" t="n"/>
      <c r="G2245" s="50" t="n"/>
      <c r="H2245" s="48" t="n"/>
      <c r="I2245" s="51" t="n"/>
      <c r="J2245" s="52" t="n"/>
      <c r="K2245" s="47" t="n"/>
      <c r="L2245" s="47" t="n"/>
      <c r="M2245" s="24">
        <f>IF(OR($A2245="",$C2245=""),"",IF($L2245&lt;&gt;"",$L2245-$C2245,TODAY()-$C2245))</f>
        <v/>
      </c>
      <c r="N2245" s="28">
        <f>IF(OR($A2245="",$K2245=""),"",IF($L2245="",IF(TODAY()&gt;$K2245,"Atrasado","En ruta"),IF($L2245&lt;=$K2245,"Sí","No")))</f>
        <v/>
      </c>
      <c r="O2245" s="24">
        <f>IF($A2245="","",COUNTIFS(NOVEDADES!$D$4:$D$1503,$A2245))</f>
        <v/>
      </c>
      <c r="P2245" s="28">
        <f>IF($A2245="","",IF(COUNTIFS(NOVEDADES!$D$4:$D$1503,$A2245,NOVEDADES!$O$4:$O$1503,"SÍ")&gt;0,"No","Sí"))</f>
        <v/>
      </c>
      <c r="Q2245" s="28">
        <f>IF(OR($A2245="",$L2245=""),"",IF(AND($N2245="Sí",$P2245="Sí"),"OTIF","Falló"))</f>
        <v/>
      </c>
    </row>
    <row r="2246" ht="16" customHeight="1">
      <c r="A2246" s="48" t="n"/>
      <c r="B2246" s="48" t="n"/>
      <c r="C2246" s="47" t="n"/>
      <c r="D2246" s="50" t="n"/>
      <c r="E2246" s="50" t="n"/>
      <c r="F2246" s="50" t="n"/>
      <c r="G2246" s="50" t="n"/>
      <c r="H2246" s="48" t="n"/>
      <c r="I2246" s="51" t="n"/>
      <c r="J2246" s="52" t="n"/>
      <c r="K2246" s="47" t="n"/>
      <c r="L2246" s="47" t="n"/>
      <c r="M2246" s="24">
        <f>IF(OR($A2246="",$C2246=""),"",IF($L2246&lt;&gt;"",$L2246-$C2246,TODAY()-$C2246))</f>
        <v/>
      </c>
      <c r="N2246" s="28">
        <f>IF(OR($A2246="",$K2246=""),"",IF($L2246="",IF(TODAY()&gt;$K2246,"Atrasado","En ruta"),IF($L2246&lt;=$K2246,"Sí","No")))</f>
        <v/>
      </c>
      <c r="O2246" s="24">
        <f>IF($A2246="","",COUNTIFS(NOVEDADES!$D$4:$D$1503,$A2246))</f>
        <v/>
      </c>
      <c r="P2246" s="28">
        <f>IF($A2246="","",IF(COUNTIFS(NOVEDADES!$D$4:$D$1503,$A2246,NOVEDADES!$O$4:$O$1503,"SÍ")&gt;0,"No","Sí"))</f>
        <v/>
      </c>
      <c r="Q2246" s="28">
        <f>IF(OR($A2246="",$L2246=""),"",IF(AND($N2246="Sí",$P2246="Sí"),"OTIF","Falló"))</f>
        <v/>
      </c>
    </row>
    <row r="2247" ht="16" customHeight="1">
      <c r="A2247" s="48" t="n"/>
      <c r="B2247" s="48" t="n"/>
      <c r="C2247" s="47" t="n"/>
      <c r="D2247" s="50" t="n"/>
      <c r="E2247" s="50" t="n"/>
      <c r="F2247" s="50" t="n"/>
      <c r="G2247" s="50" t="n"/>
      <c r="H2247" s="48" t="n"/>
      <c r="I2247" s="51" t="n"/>
      <c r="J2247" s="52" t="n"/>
      <c r="K2247" s="47" t="n"/>
      <c r="L2247" s="47" t="n"/>
      <c r="M2247" s="24">
        <f>IF(OR($A2247="",$C2247=""),"",IF($L2247&lt;&gt;"",$L2247-$C2247,TODAY()-$C2247))</f>
        <v/>
      </c>
      <c r="N2247" s="28">
        <f>IF(OR($A2247="",$K2247=""),"",IF($L2247="",IF(TODAY()&gt;$K2247,"Atrasado","En ruta"),IF($L2247&lt;=$K2247,"Sí","No")))</f>
        <v/>
      </c>
      <c r="O2247" s="24">
        <f>IF($A2247="","",COUNTIFS(NOVEDADES!$D$4:$D$1503,$A2247))</f>
        <v/>
      </c>
      <c r="P2247" s="28">
        <f>IF($A2247="","",IF(COUNTIFS(NOVEDADES!$D$4:$D$1503,$A2247,NOVEDADES!$O$4:$O$1503,"SÍ")&gt;0,"No","Sí"))</f>
        <v/>
      </c>
      <c r="Q2247" s="28">
        <f>IF(OR($A2247="",$L2247=""),"",IF(AND($N2247="Sí",$P2247="Sí"),"OTIF","Falló"))</f>
        <v/>
      </c>
    </row>
    <row r="2248" ht="16" customHeight="1">
      <c r="A2248" s="48" t="n"/>
      <c r="B2248" s="48" t="n"/>
      <c r="C2248" s="47" t="n"/>
      <c r="D2248" s="50" t="n"/>
      <c r="E2248" s="50" t="n"/>
      <c r="F2248" s="50" t="n"/>
      <c r="G2248" s="50" t="n"/>
      <c r="H2248" s="48" t="n"/>
      <c r="I2248" s="51" t="n"/>
      <c r="J2248" s="52" t="n"/>
      <c r="K2248" s="47" t="n"/>
      <c r="L2248" s="47" t="n"/>
      <c r="M2248" s="24">
        <f>IF(OR($A2248="",$C2248=""),"",IF($L2248&lt;&gt;"",$L2248-$C2248,TODAY()-$C2248))</f>
        <v/>
      </c>
      <c r="N2248" s="28">
        <f>IF(OR($A2248="",$K2248=""),"",IF($L2248="",IF(TODAY()&gt;$K2248,"Atrasado","En ruta"),IF($L2248&lt;=$K2248,"Sí","No")))</f>
        <v/>
      </c>
      <c r="O2248" s="24">
        <f>IF($A2248="","",COUNTIFS(NOVEDADES!$D$4:$D$1503,$A2248))</f>
        <v/>
      </c>
      <c r="P2248" s="28">
        <f>IF($A2248="","",IF(COUNTIFS(NOVEDADES!$D$4:$D$1503,$A2248,NOVEDADES!$O$4:$O$1503,"SÍ")&gt;0,"No","Sí"))</f>
        <v/>
      </c>
      <c r="Q2248" s="28">
        <f>IF(OR($A2248="",$L2248=""),"",IF(AND($N2248="Sí",$P2248="Sí"),"OTIF","Falló"))</f>
        <v/>
      </c>
    </row>
    <row r="2249" ht="16" customHeight="1">
      <c r="A2249" s="48" t="n"/>
      <c r="B2249" s="48" t="n"/>
      <c r="C2249" s="47" t="n"/>
      <c r="D2249" s="50" t="n"/>
      <c r="E2249" s="50" t="n"/>
      <c r="F2249" s="50" t="n"/>
      <c r="G2249" s="50" t="n"/>
      <c r="H2249" s="48" t="n"/>
      <c r="I2249" s="51" t="n"/>
      <c r="J2249" s="52" t="n"/>
      <c r="K2249" s="47" t="n"/>
      <c r="L2249" s="47" t="n"/>
      <c r="M2249" s="24">
        <f>IF(OR($A2249="",$C2249=""),"",IF($L2249&lt;&gt;"",$L2249-$C2249,TODAY()-$C2249))</f>
        <v/>
      </c>
      <c r="N2249" s="28">
        <f>IF(OR($A2249="",$K2249=""),"",IF($L2249="",IF(TODAY()&gt;$K2249,"Atrasado","En ruta"),IF($L2249&lt;=$K2249,"Sí","No")))</f>
        <v/>
      </c>
      <c r="O2249" s="24">
        <f>IF($A2249="","",COUNTIFS(NOVEDADES!$D$4:$D$1503,$A2249))</f>
        <v/>
      </c>
      <c r="P2249" s="28">
        <f>IF($A2249="","",IF(COUNTIFS(NOVEDADES!$D$4:$D$1503,$A2249,NOVEDADES!$O$4:$O$1503,"SÍ")&gt;0,"No","Sí"))</f>
        <v/>
      </c>
      <c r="Q2249" s="28">
        <f>IF(OR($A2249="",$L2249=""),"",IF(AND($N2249="Sí",$P2249="Sí"),"OTIF","Falló"))</f>
        <v/>
      </c>
    </row>
    <row r="2250" ht="16" customHeight="1">
      <c r="A2250" s="48" t="n"/>
      <c r="B2250" s="48" t="n"/>
      <c r="C2250" s="47" t="n"/>
      <c r="D2250" s="50" t="n"/>
      <c r="E2250" s="50" t="n"/>
      <c r="F2250" s="50" t="n"/>
      <c r="G2250" s="50" t="n"/>
      <c r="H2250" s="48" t="n"/>
      <c r="I2250" s="51" t="n"/>
      <c r="J2250" s="52" t="n"/>
      <c r="K2250" s="47" t="n"/>
      <c r="L2250" s="47" t="n"/>
      <c r="M2250" s="24">
        <f>IF(OR($A2250="",$C2250=""),"",IF($L2250&lt;&gt;"",$L2250-$C2250,TODAY()-$C2250))</f>
        <v/>
      </c>
      <c r="N2250" s="28">
        <f>IF(OR($A2250="",$K2250=""),"",IF($L2250="",IF(TODAY()&gt;$K2250,"Atrasado","En ruta"),IF($L2250&lt;=$K2250,"Sí","No")))</f>
        <v/>
      </c>
      <c r="O2250" s="24">
        <f>IF($A2250="","",COUNTIFS(NOVEDADES!$D$4:$D$1503,$A2250))</f>
        <v/>
      </c>
      <c r="P2250" s="28">
        <f>IF($A2250="","",IF(COUNTIFS(NOVEDADES!$D$4:$D$1503,$A2250,NOVEDADES!$O$4:$O$1503,"SÍ")&gt;0,"No","Sí"))</f>
        <v/>
      </c>
      <c r="Q2250" s="28">
        <f>IF(OR($A2250="",$L2250=""),"",IF(AND($N2250="Sí",$P2250="Sí"),"OTIF","Falló"))</f>
        <v/>
      </c>
    </row>
    <row r="2251" ht="16" customHeight="1">
      <c r="A2251" s="48" t="n"/>
      <c r="B2251" s="48" t="n"/>
      <c r="C2251" s="47" t="n"/>
      <c r="D2251" s="50" t="n"/>
      <c r="E2251" s="50" t="n"/>
      <c r="F2251" s="50" t="n"/>
      <c r="G2251" s="50" t="n"/>
      <c r="H2251" s="48" t="n"/>
      <c r="I2251" s="51" t="n"/>
      <c r="J2251" s="52" t="n"/>
      <c r="K2251" s="47" t="n"/>
      <c r="L2251" s="47" t="n"/>
      <c r="M2251" s="24">
        <f>IF(OR($A2251="",$C2251=""),"",IF($L2251&lt;&gt;"",$L2251-$C2251,TODAY()-$C2251))</f>
        <v/>
      </c>
      <c r="N2251" s="28">
        <f>IF(OR($A2251="",$K2251=""),"",IF($L2251="",IF(TODAY()&gt;$K2251,"Atrasado","En ruta"),IF($L2251&lt;=$K2251,"Sí","No")))</f>
        <v/>
      </c>
      <c r="O2251" s="24">
        <f>IF($A2251="","",COUNTIFS(NOVEDADES!$D$4:$D$1503,$A2251))</f>
        <v/>
      </c>
      <c r="P2251" s="28">
        <f>IF($A2251="","",IF(COUNTIFS(NOVEDADES!$D$4:$D$1503,$A2251,NOVEDADES!$O$4:$O$1503,"SÍ")&gt;0,"No","Sí"))</f>
        <v/>
      </c>
      <c r="Q2251" s="28">
        <f>IF(OR($A2251="",$L2251=""),"",IF(AND($N2251="Sí",$P2251="Sí"),"OTIF","Falló"))</f>
        <v/>
      </c>
    </row>
    <row r="2252" ht="16" customHeight="1">
      <c r="A2252" s="48" t="n"/>
      <c r="B2252" s="48" t="n"/>
      <c r="C2252" s="47" t="n"/>
      <c r="D2252" s="50" t="n"/>
      <c r="E2252" s="50" t="n"/>
      <c r="F2252" s="50" t="n"/>
      <c r="G2252" s="50" t="n"/>
      <c r="H2252" s="48" t="n"/>
      <c r="I2252" s="51" t="n"/>
      <c r="J2252" s="52" t="n"/>
      <c r="K2252" s="47" t="n"/>
      <c r="L2252" s="47" t="n"/>
      <c r="M2252" s="24">
        <f>IF(OR($A2252="",$C2252=""),"",IF($L2252&lt;&gt;"",$L2252-$C2252,TODAY()-$C2252))</f>
        <v/>
      </c>
      <c r="N2252" s="28">
        <f>IF(OR($A2252="",$K2252=""),"",IF($L2252="",IF(TODAY()&gt;$K2252,"Atrasado","En ruta"),IF($L2252&lt;=$K2252,"Sí","No")))</f>
        <v/>
      </c>
      <c r="O2252" s="24">
        <f>IF($A2252="","",COUNTIFS(NOVEDADES!$D$4:$D$1503,$A2252))</f>
        <v/>
      </c>
      <c r="P2252" s="28">
        <f>IF($A2252="","",IF(COUNTIFS(NOVEDADES!$D$4:$D$1503,$A2252,NOVEDADES!$O$4:$O$1503,"SÍ")&gt;0,"No","Sí"))</f>
        <v/>
      </c>
      <c r="Q2252" s="28">
        <f>IF(OR($A2252="",$L2252=""),"",IF(AND($N2252="Sí",$P2252="Sí"),"OTIF","Falló"))</f>
        <v/>
      </c>
    </row>
    <row r="2253" ht="16" customHeight="1">
      <c r="A2253" s="48" t="n"/>
      <c r="B2253" s="48" t="n"/>
      <c r="C2253" s="47" t="n"/>
      <c r="D2253" s="50" t="n"/>
      <c r="E2253" s="50" t="n"/>
      <c r="F2253" s="50" t="n"/>
      <c r="G2253" s="50" t="n"/>
      <c r="H2253" s="48" t="n"/>
      <c r="I2253" s="51" t="n"/>
      <c r="J2253" s="52" t="n"/>
      <c r="K2253" s="47" t="n"/>
      <c r="L2253" s="47" t="n"/>
      <c r="M2253" s="24">
        <f>IF(OR($A2253="",$C2253=""),"",IF($L2253&lt;&gt;"",$L2253-$C2253,TODAY()-$C2253))</f>
        <v/>
      </c>
      <c r="N2253" s="28">
        <f>IF(OR($A2253="",$K2253=""),"",IF($L2253="",IF(TODAY()&gt;$K2253,"Atrasado","En ruta"),IF($L2253&lt;=$K2253,"Sí","No")))</f>
        <v/>
      </c>
      <c r="O2253" s="24">
        <f>IF($A2253="","",COUNTIFS(NOVEDADES!$D$4:$D$1503,$A2253))</f>
        <v/>
      </c>
      <c r="P2253" s="28">
        <f>IF($A2253="","",IF(COUNTIFS(NOVEDADES!$D$4:$D$1503,$A2253,NOVEDADES!$O$4:$O$1503,"SÍ")&gt;0,"No","Sí"))</f>
        <v/>
      </c>
      <c r="Q2253" s="28">
        <f>IF(OR($A2253="",$L2253=""),"",IF(AND($N2253="Sí",$P2253="Sí"),"OTIF","Falló"))</f>
        <v/>
      </c>
    </row>
    <row r="2254" ht="16" customHeight="1">
      <c r="A2254" s="48" t="n"/>
      <c r="B2254" s="48" t="n"/>
      <c r="C2254" s="47" t="n"/>
      <c r="D2254" s="50" t="n"/>
      <c r="E2254" s="50" t="n"/>
      <c r="F2254" s="50" t="n"/>
      <c r="G2254" s="50" t="n"/>
      <c r="H2254" s="48" t="n"/>
      <c r="I2254" s="51" t="n"/>
      <c r="J2254" s="52" t="n"/>
      <c r="K2254" s="47" t="n"/>
      <c r="L2254" s="47" t="n"/>
      <c r="M2254" s="24">
        <f>IF(OR($A2254="",$C2254=""),"",IF($L2254&lt;&gt;"",$L2254-$C2254,TODAY()-$C2254))</f>
        <v/>
      </c>
      <c r="N2254" s="28">
        <f>IF(OR($A2254="",$K2254=""),"",IF($L2254="",IF(TODAY()&gt;$K2254,"Atrasado","En ruta"),IF($L2254&lt;=$K2254,"Sí","No")))</f>
        <v/>
      </c>
      <c r="O2254" s="24">
        <f>IF($A2254="","",COUNTIFS(NOVEDADES!$D$4:$D$1503,$A2254))</f>
        <v/>
      </c>
      <c r="P2254" s="28">
        <f>IF($A2254="","",IF(COUNTIFS(NOVEDADES!$D$4:$D$1503,$A2254,NOVEDADES!$O$4:$O$1503,"SÍ")&gt;0,"No","Sí"))</f>
        <v/>
      </c>
      <c r="Q2254" s="28">
        <f>IF(OR($A2254="",$L2254=""),"",IF(AND($N2254="Sí",$P2254="Sí"),"OTIF","Falló"))</f>
        <v/>
      </c>
    </row>
    <row r="2255" ht="16" customHeight="1">
      <c r="A2255" s="48" t="n"/>
      <c r="B2255" s="48" t="n"/>
      <c r="C2255" s="47" t="n"/>
      <c r="D2255" s="50" t="n"/>
      <c r="E2255" s="50" t="n"/>
      <c r="F2255" s="50" t="n"/>
      <c r="G2255" s="50" t="n"/>
      <c r="H2255" s="48" t="n"/>
      <c r="I2255" s="51" t="n"/>
      <c r="J2255" s="52" t="n"/>
      <c r="K2255" s="47" t="n"/>
      <c r="L2255" s="47" t="n"/>
      <c r="M2255" s="24">
        <f>IF(OR($A2255="",$C2255=""),"",IF($L2255&lt;&gt;"",$L2255-$C2255,TODAY()-$C2255))</f>
        <v/>
      </c>
      <c r="N2255" s="28">
        <f>IF(OR($A2255="",$K2255=""),"",IF($L2255="",IF(TODAY()&gt;$K2255,"Atrasado","En ruta"),IF($L2255&lt;=$K2255,"Sí","No")))</f>
        <v/>
      </c>
      <c r="O2255" s="24">
        <f>IF($A2255="","",COUNTIFS(NOVEDADES!$D$4:$D$1503,$A2255))</f>
        <v/>
      </c>
      <c r="P2255" s="28">
        <f>IF($A2255="","",IF(COUNTIFS(NOVEDADES!$D$4:$D$1503,$A2255,NOVEDADES!$O$4:$O$1503,"SÍ")&gt;0,"No","Sí"))</f>
        <v/>
      </c>
      <c r="Q2255" s="28">
        <f>IF(OR($A2255="",$L2255=""),"",IF(AND($N2255="Sí",$P2255="Sí"),"OTIF","Falló"))</f>
        <v/>
      </c>
    </row>
    <row r="2256" ht="16" customHeight="1">
      <c r="A2256" s="48" t="n"/>
      <c r="B2256" s="48" t="n"/>
      <c r="C2256" s="47" t="n"/>
      <c r="D2256" s="50" t="n"/>
      <c r="E2256" s="50" t="n"/>
      <c r="F2256" s="50" t="n"/>
      <c r="G2256" s="50" t="n"/>
      <c r="H2256" s="48" t="n"/>
      <c r="I2256" s="51" t="n"/>
      <c r="J2256" s="52" t="n"/>
      <c r="K2256" s="47" t="n"/>
      <c r="L2256" s="47" t="n"/>
      <c r="M2256" s="24">
        <f>IF(OR($A2256="",$C2256=""),"",IF($L2256&lt;&gt;"",$L2256-$C2256,TODAY()-$C2256))</f>
        <v/>
      </c>
      <c r="N2256" s="28">
        <f>IF(OR($A2256="",$K2256=""),"",IF($L2256="",IF(TODAY()&gt;$K2256,"Atrasado","En ruta"),IF($L2256&lt;=$K2256,"Sí","No")))</f>
        <v/>
      </c>
      <c r="O2256" s="24">
        <f>IF($A2256="","",COUNTIFS(NOVEDADES!$D$4:$D$1503,$A2256))</f>
        <v/>
      </c>
      <c r="P2256" s="28">
        <f>IF($A2256="","",IF(COUNTIFS(NOVEDADES!$D$4:$D$1503,$A2256,NOVEDADES!$O$4:$O$1503,"SÍ")&gt;0,"No","Sí"))</f>
        <v/>
      </c>
      <c r="Q2256" s="28">
        <f>IF(OR($A2256="",$L2256=""),"",IF(AND($N2256="Sí",$P2256="Sí"),"OTIF","Falló"))</f>
        <v/>
      </c>
    </row>
    <row r="2257" ht="16" customHeight="1">
      <c r="A2257" s="48" t="n"/>
      <c r="B2257" s="48" t="n"/>
      <c r="C2257" s="47" t="n"/>
      <c r="D2257" s="50" t="n"/>
      <c r="E2257" s="50" t="n"/>
      <c r="F2257" s="50" t="n"/>
      <c r="G2257" s="50" t="n"/>
      <c r="H2257" s="48" t="n"/>
      <c r="I2257" s="51" t="n"/>
      <c r="J2257" s="52" t="n"/>
      <c r="K2257" s="47" t="n"/>
      <c r="L2257" s="47" t="n"/>
      <c r="M2257" s="24">
        <f>IF(OR($A2257="",$C2257=""),"",IF($L2257&lt;&gt;"",$L2257-$C2257,TODAY()-$C2257))</f>
        <v/>
      </c>
      <c r="N2257" s="28">
        <f>IF(OR($A2257="",$K2257=""),"",IF($L2257="",IF(TODAY()&gt;$K2257,"Atrasado","En ruta"),IF($L2257&lt;=$K2257,"Sí","No")))</f>
        <v/>
      </c>
      <c r="O2257" s="24">
        <f>IF($A2257="","",COUNTIFS(NOVEDADES!$D$4:$D$1503,$A2257))</f>
        <v/>
      </c>
      <c r="P2257" s="28">
        <f>IF($A2257="","",IF(COUNTIFS(NOVEDADES!$D$4:$D$1503,$A2257,NOVEDADES!$O$4:$O$1503,"SÍ")&gt;0,"No","Sí"))</f>
        <v/>
      </c>
      <c r="Q2257" s="28">
        <f>IF(OR($A2257="",$L2257=""),"",IF(AND($N2257="Sí",$P2257="Sí"),"OTIF","Falló"))</f>
        <v/>
      </c>
    </row>
    <row r="2258" ht="16" customHeight="1">
      <c r="A2258" s="48" t="n"/>
      <c r="B2258" s="48" t="n"/>
      <c r="C2258" s="47" t="n"/>
      <c r="D2258" s="50" t="n"/>
      <c r="E2258" s="50" t="n"/>
      <c r="F2258" s="50" t="n"/>
      <c r="G2258" s="50" t="n"/>
      <c r="H2258" s="48" t="n"/>
      <c r="I2258" s="51" t="n"/>
      <c r="J2258" s="52" t="n"/>
      <c r="K2258" s="47" t="n"/>
      <c r="L2258" s="47" t="n"/>
      <c r="M2258" s="24">
        <f>IF(OR($A2258="",$C2258=""),"",IF($L2258&lt;&gt;"",$L2258-$C2258,TODAY()-$C2258))</f>
        <v/>
      </c>
      <c r="N2258" s="28">
        <f>IF(OR($A2258="",$K2258=""),"",IF($L2258="",IF(TODAY()&gt;$K2258,"Atrasado","En ruta"),IF($L2258&lt;=$K2258,"Sí","No")))</f>
        <v/>
      </c>
      <c r="O2258" s="24">
        <f>IF($A2258="","",COUNTIFS(NOVEDADES!$D$4:$D$1503,$A2258))</f>
        <v/>
      </c>
      <c r="P2258" s="28">
        <f>IF($A2258="","",IF(COUNTIFS(NOVEDADES!$D$4:$D$1503,$A2258,NOVEDADES!$O$4:$O$1503,"SÍ")&gt;0,"No","Sí"))</f>
        <v/>
      </c>
      <c r="Q2258" s="28">
        <f>IF(OR($A2258="",$L2258=""),"",IF(AND($N2258="Sí",$P2258="Sí"),"OTIF","Falló"))</f>
        <v/>
      </c>
    </row>
    <row r="2259" ht="16" customHeight="1">
      <c r="A2259" s="48" t="n"/>
      <c r="B2259" s="48" t="n"/>
      <c r="C2259" s="47" t="n"/>
      <c r="D2259" s="50" t="n"/>
      <c r="E2259" s="50" t="n"/>
      <c r="F2259" s="50" t="n"/>
      <c r="G2259" s="50" t="n"/>
      <c r="H2259" s="48" t="n"/>
      <c r="I2259" s="51" t="n"/>
      <c r="J2259" s="52" t="n"/>
      <c r="K2259" s="47" t="n"/>
      <c r="L2259" s="47" t="n"/>
      <c r="M2259" s="24">
        <f>IF(OR($A2259="",$C2259=""),"",IF($L2259&lt;&gt;"",$L2259-$C2259,TODAY()-$C2259))</f>
        <v/>
      </c>
      <c r="N2259" s="28">
        <f>IF(OR($A2259="",$K2259=""),"",IF($L2259="",IF(TODAY()&gt;$K2259,"Atrasado","En ruta"),IF($L2259&lt;=$K2259,"Sí","No")))</f>
        <v/>
      </c>
      <c r="O2259" s="24">
        <f>IF($A2259="","",COUNTIFS(NOVEDADES!$D$4:$D$1503,$A2259))</f>
        <v/>
      </c>
      <c r="P2259" s="28">
        <f>IF($A2259="","",IF(COUNTIFS(NOVEDADES!$D$4:$D$1503,$A2259,NOVEDADES!$O$4:$O$1503,"SÍ")&gt;0,"No","Sí"))</f>
        <v/>
      </c>
      <c r="Q2259" s="28">
        <f>IF(OR($A2259="",$L2259=""),"",IF(AND($N2259="Sí",$P2259="Sí"),"OTIF","Falló"))</f>
        <v/>
      </c>
    </row>
    <row r="2260" ht="16" customHeight="1">
      <c r="A2260" s="48" t="n"/>
      <c r="B2260" s="48" t="n"/>
      <c r="C2260" s="47" t="n"/>
      <c r="D2260" s="50" t="n"/>
      <c r="E2260" s="50" t="n"/>
      <c r="F2260" s="50" t="n"/>
      <c r="G2260" s="50" t="n"/>
      <c r="H2260" s="48" t="n"/>
      <c r="I2260" s="51" t="n"/>
      <c r="J2260" s="52" t="n"/>
      <c r="K2260" s="47" t="n"/>
      <c r="L2260" s="47" t="n"/>
      <c r="M2260" s="24">
        <f>IF(OR($A2260="",$C2260=""),"",IF($L2260&lt;&gt;"",$L2260-$C2260,TODAY()-$C2260))</f>
        <v/>
      </c>
      <c r="N2260" s="28">
        <f>IF(OR($A2260="",$K2260=""),"",IF($L2260="",IF(TODAY()&gt;$K2260,"Atrasado","En ruta"),IF($L2260&lt;=$K2260,"Sí","No")))</f>
        <v/>
      </c>
      <c r="O2260" s="24">
        <f>IF($A2260="","",COUNTIFS(NOVEDADES!$D$4:$D$1503,$A2260))</f>
        <v/>
      </c>
      <c r="P2260" s="28">
        <f>IF($A2260="","",IF(COUNTIFS(NOVEDADES!$D$4:$D$1503,$A2260,NOVEDADES!$O$4:$O$1503,"SÍ")&gt;0,"No","Sí"))</f>
        <v/>
      </c>
      <c r="Q2260" s="28">
        <f>IF(OR($A2260="",$L2260=""),"",IF(AND($N2260="Sí",$P2260="Sí"),"OTIF","Falló"))</f>
        <v/>
      </c>
    </row>
    <row r="2261" ht="16" customHeight="1">
      <c r="A2261" s="48" t="n"/>
      <c r="B2261" s="48" t="n"/>
      <c r="C2261" s="47" t="n"/>
      <c r="D2261" s="50" t="n"/>
      <c r="E2261" s="50" t="n"/>
      <c r="F2261" s="50" t="n"/>
      <c r="G2261" s="50" t="n"/>
      <c r="H2261" s="48" t="n"/>
      <c r="I2261" s="51" t="n"/>
      <c r="J2261" s="52" t="n"/>
      <c r="K2261" s="47" t="n"/>
      <c r="L2261" s="47" t="n"/>
      <c r="M2261" s="24">
        <f>IF(OR($A2261="",$C2261=""),"",IF($L2261&lt;&gt;"",$L2261-$C2261,TODAY()-$C2261))</f>
        <v/>
      </c>
      <c r="N2261" s="28">
        <f>IF(OR($A2261="",$K2261=""),"",IF($L2261="",IF(TODAY()&gt;$K2261,"Atrasado","En ruta"),IF($L2261&lt;=$K2261,"Sí","No")))</f>
        <v/>
      </c>
      <c r="O2261" s="24">
        <f>IF($A2261="","",COUNTIFS(NOVEDADES!$D$4:$D$1503,$A2261))</f>
        <v/>
      </c>
      <c r="P2261" s="28">
        <f>IF($A2261="","",IF(COUNTIFS(NOVEDADES!$D$4:$D$1503,$A2261,NOVEDADES!$O$4:$O$1503,"SÍ")&gt;0,"No","Sí"))</f>
        <v/>
      </c>
      <c r="Q2261" s="28">
        <f>IF(OR($A2261="",$L2261=""),"",IF(AND($N2261="Sí",$P2261="Sí"),"OTIF","Falló"))</f>
        <v/>
      </c>
    </row>
    <row r="2262" ht="16" customHeight="1">
      <c r="A2262" s="48" t="n"/>
      <c r="B2262" s="48" t="n"/>
      <c r="C2262" s="47" t="n"/>
      <c r="D2262" s="50" t="n"/>
      <c r="E2262" s="50" t="n"/>
      <c r="F2262" s="50" t="n"/>
      <c r="G2262" s="50" t="n"/>
      <c r="H2262" s="48" t="n"/>
      <c r="I2262" s="51" t="n"/>
      <c r="J2262" s="52" t="n"/>
      <c r="K2262" s="47" t="n"/>
      <c r="L2262" s="47" t="n"/>
      <c r="M2262" s="24">
        <f>IF(OR($A2262="",$C2262=""),"",IF($L2262&lt;&gt;"",$L2262-$C2262,TODAY()-$C2262))</f>
        <v/>
      </c>
      <c r="N2262" s="28">
        <f>IF(OR($A2262="",$K2262=""),"",IF($L2262="",IF(TODAY()&gt;$K2262,"Atrasado","En ruta"),IF($L2262&lt;=$K2262,"Sí","No")))</f>
        <v/>
      </c>
      <c r="O2262" s="24">
        <f>IF($A2262="","",COUNTIFS(NOVEDADES!$D$4:$D$1503,$A2262))</f>
        <v/>
      </c>
      <c r="P2262" s="28">
        <f>IF($A2262="","",IF(COUNTIFS(NOVEDADES!$D$4:$D$1503,$A2262,NOVEDADES!$O$4:$O$1503,"SÍ")&gt;0,"No","Sí"))</f>
        <v/>
      </c>
      <c r="Q2262" s="28">
        <f>IF(OR($A2262="",$L2262=""),"",IF(AND($N2262="Sí",$P2262="Sí"),"OTIF","Falló"))</f>
        <v/>
      </c>
    </row>
    <row r="2263" ht="16" customHeight="1">
      <c r="A2263" s="48" t="n"/>
      <c r="B2263" s="48" t="n"/>
      <c r="C2263" s="47" t="n"/>
      <c r="D2263" s="50" t="n"/>
      <c r="E2263" s="50" t="n"/>
      <c r="F2263" s="50" t="n"/>
      <c r="G2263" s="50" t="n"/>
      <c r="H2263" s="48" t="n"/>
      <c r="I2263" s="51" t="n"/>
      <c r="J2263" s="52" t="n"/>
      <c r="K2263" s="47" t="n"/>
      <c r="L2263" s="47" t="n"/>
      <c r="M2263" s="24">
        <f>IF(OR($A2263="",$C2263=""),"",IF($L2263&lt;&gt;"",$L2263-$C2263,TODAY()-$C2263))</f>
        <v/>
      </c>
      <c r="N2263" s="28">
        <f>IF(OR($A2263="",$K2263=""),"",IF($L2263="",IF(TODAY()&gt;$K2263,"Atrasado","En ruta"),IF($L2263&lt;=$K2263,"Sí","No")))</f>
        <v/>
      </c>
      <c r="O2263" s="24">
        <f>IF($A2263="","",COUNTIFS(NOVEDADES!$D$4:$D$1503,$A2263))</f>
        <v/>
      </c>
      <c r="P2263" s="28">
        <f>IF($A2263="","",IF(COUNTIFS(NOVEDADES!$D$4:$D$1503,$A2263,NOVEDADES!$O$4:$O$1503,"SÍ")&gt;0,"No","Sí"))</f>
        <v/>
      </c>
      <c r="Q2263" s="28">
        <f>IF(OR($A2263="",$L2263=""),"",IF(AND($N2263="Sí",$P2263="Sí"),"OTIF","Falló"))</f>
        <v/>
      </c>
    </row>
    <row r="2264" ht="16" customHeight="1">
      <c r="A2264" s="48" t="n"/>
      <c r="B2264" s="48" t="n"/>
      <c r="C2264" s="47" t="n"/>
      <c r="D2264" s="50" t="n"/>
      <c r="E2264" s="50" t="n"/>
      <c r="F2264" s="50" t="n"/>
      <c r="G2264" s="50" t="n"/>
      <c r="H2264" s="48" t="n"/>
      <c r="I2264" s="51" t="n"/>
      <c r="J2264" s="52" t="n"/>
      <c r="K2264" s="47" t="n"/>
      <c r="L2264" s="47" t="n"/>
      <c r="M2264" s="24">
        <f>IF(OR($A2264="",$C2264=""),"",IF($L2264&lt;&gt;"",$L2264-$C2264,TODAY()-$C2264))</f>
        <v/>
      </c>
      <c r="N2264" s="28">
        <f>IF(OR($A2264="",$K2264=""),"",IF($L2264="",IF(TODAY()&gt;$K2264,"Atrasado","En ruta"),IF($L2264&lt;=$K2264,"Sí","No")))</f>
        <v/>
      </c>
      <c r="O2264" s="24">
        <f>IF($A2264="","",COUNTIFS(NOVEDADES!$D$4:$D$1503,$A2264))</f>
        <v/>
      </c>
      <c r="P2264" s="28">
        <f>IF($A2264="","",IF(COUNTIFS(NOVEDADES!$D$4:$D$1503,$A2264,NOVEDADES!$O$4:$O$1503,"SÍ")&gt;0,"No","Sí"))</f>
        <v/>
      </c>
      <c r="Q2264" s="28">
        <f>IF(OR($A2264="",$L2264=""),"",IF(AND($N2264="Sí",$P2264="Sí"),"OTIF","Falló"))</f>
        <v/>
      </c>
    </row>
    <row r="2265" ht="16" customHeight="1">
      <c r="A2265" s="48" t="n"/>
      <c r="B2265" s="48" t="n"/>
      <c r="C2265" s="47" t="n"/>
      <c r="D2265" s="50" t="n"/>
      <c r="E2265" s="50" t="n"/>
      <c r="F2265" s="50" t="n"/>
      <c r="G2265" s="50" t="n"/>
      <c r="H2265" s="48" t="n"/>
      <c r="I2265" s="51" t="n"/>
      <c r="J2265" s="52" t="n"/>
      <c r="K2265" s="47" t="n"/>
      <c r="L2265" s="47" t="n"/>
      <c r="M2265" s="24">
        <f>IF(OR($A2265="",$C2265=""),"",IF($L2265&lt;&gt;"",$L2265-$C2265,TODAY()-$C2265))</f>
        <v/>
      </c>
      <c r="N2265" s="28">
        <f>IF(OR($A2265="",$K2265=""),"",IF($L2265="",IF(TODAY()&gt;$K2265,"Atrasado","En ruta"),IF($L2265&lt;=$K2265,"Sí","No")))</f>
        <v/>
      </c>
      <c r="O2265" s="24">
        <f>IF($A2265="","",COUNTIFS(NOVEDADES!$D$4:$D$1503,$A2265))</f>
        <v/>
      </c>
      <c r="P2265" s="28">
        <f>IF($A2265="","",IF(COUNTIFS(NOVEDADES!$D$4:$D$1503,$A2265,NOVEDADES!$O$4:$O$1503,"SÍ")&gt;0,"No","Sí"))</f>
        <v/>
      </c>
      <c r="Q2265" s="28">
        <f>IF(OR($A2265="",$L2265=""),"",IF(AND($N2265="Sí",$P2265="Sí"),"OTIF","Falló"))</f>
        <v/>
      </c>
    </row>
    <row r="2266" ht="16" customHeight="1">
      <c r="A2266" s="48" t="n"/>
      <c r="B2266" s="48" t="n"/>
      <c r="C2266" s="47" t="n"/>
      <c r="D2266" s="50" t="n"/>
      <c r="E2266" s="50" t="n"/>
      <c r="F2266" s="50" t="n"/>
      <c r="G2266" s="50" t="n"/>
      <c r="H2266" s="48" t="n"/>
      <c r="I2266" s="51" t="n"/>
      <c r="J2266" s="52" t="n"/>
      <c r="K2266" s="47" t="n"/>
      <c r="L2266" s="47" t="n"/>
      <c r="M2266" s="24">
        <f>IF(OR($A2266="",$C2266=""),"",IF($L2266&lt;&gt;"",$L2266-$C2266,TODAY()-$C2266))</f>
        <v/>
      </c>
      <c r="N2266" s="28">
        <f>IF(OR($A2266="",$K2266=""),"",IF($L2266="",IF(TODAY()&gt;$K2266,"Atrasado","En ruta"),IF($L2266&lt;=$K2266,"Sí","No")))</f>
        <v/>
      </c>
      <c r="O2266" s="24">
        <f>IF($A2266="","",COUNTIFS(NOVEDADES!$D$4:$D$1503,$A2266))</f>
        <v/>
      </c>
      <c r="P2266" s="28">
        <f>IF($A2266="","",IF(COUNTIFS(NOVEDADES!$D$4:$D$1503,$A2266,NOVEDADES!$O$4:$O$1503,"SÍ")&gt;0,"No","Sí"))</f>
        <v/>
      </c>
      <c r="Q2266" s="28">
        <f>IF(OR($A2266="",$L2266=""),"",IF(AND($N2266="Sí",$P2266="Sí"),"OTIF","Falló"))</f>
        <v/>
      </c>
    </row>
    <row r="2267" ht="16" customHeight="1">
      <c r="A2267" s="48" t="n"/>
      <c r="B2267" s="48" t="n"/>
      <c r="C2267" s="47" t="n"/>
      <c r="D2267" s="50" t="n"/>
      <c r="E2267" s="50" t="n"/>
      <c r="F2267" s="50" t="n"/>
      <c r="G2267" s="50" t="n"/>
      <c r="H2267" s="48" t="n"/>
      <c r="I2267" s="51" t="n"/>
      <c r="J2267" s="52" t="n"/>
      <c r="K2267" s="47" t="n"/>
      <c r="L2267" s="47" t="n"/>
      <c r="M2267" s="24">
        <f>IF(OR($A2267="",$C2267=""),"",IF($L2267&lt;&gt;"",$L2267-$C2267,TODAY()-$C2267))</f>
        <v/>
      </c>
      <c r="N2267" s="28">
        <f>IF(OR($A2267="",$K2267=""),"",IF($L2267="",IF(TODAY()&gt;$K2267,"Atrasado","En ruta"),IF($L2267&lt;=$K2267,"Sí","No")))</f>
        <v/>
      </c>
      <c r="O2267" s="24">
        <f>IF($A2267="","",COUNTIFS(NOVEDADES!$D$4:$D$1503,$A2267))</f>
        <v/>
      </c>
      <c r="P2267" s="28">
        <f>IF($A2267="","",IF(COUNTIFS(NOVEDADES!$D$4:$D$1503,$A2267,NOVEDADES!$O$4:$O$1503,"SÍ")&gt;0,"No","Sí"))</f>
        <v/>
      </c>
      <c r="Q2267" s="28">
        <f>IF(OR($A2267="",$L2267=""),"",IF(AND($N2267="Sí",$P2267="Sí"),"OTIF","Falló"))</f>
        <v/>
      </c>
    </row>
    <row r="2268" ht="16" customHeight="1">
      <c r="A2268" s="48" t="n"/>
      <c r="B2268" s="48" t="n"/>
      <c r="C2268" s="47" t="n"/>
      <c r="D2268" s="50" t="n"/>
      <c r="E2268" s="50" t="n"/>
      <c r="F2268" s="50" t="n"/>
      <c r="G2268" s="50" t="n"/>
      <c r="H2268" s="48" t="n"/>
      <c r="I2268" s="51" t="n"/>
      <c r="J2268" s="52" t="n"/>
      <c r="K2268" s="47" t="n"/>
      <c r="L2268" s="47" t="n"/>
      <c r="M2268" s="24">
        <f>IF(OR($A2268="",$C2268=""),"",IF($L2268&lt;&gt;"",$L2268-$C2268,TODAY()-$C2268))</f>
        <v/>
      </c>
      <c r="N2268" s="28">
        <f>IF(OR($A2268="",$K2268=""),"",IF($L2268="",IF(TODAY()&gt;$K2268,"Atrasado","En ruta"),IF($L2268&lt;=$K2268,"Sí","No")))</f>
        <v/>
      </c>
      <c r="O2268" s="24">
        <f>IF($A2268="","",COUNTIFS(NOVEDADES!$D$4:$D$1503,$A2268))</f>
        <v/>
      </c>
      <c r="P2268" s="28">
        <f>IF($A2268="","",IF(COUNTIFS(NOVEDADES!$D$4:$D$1503,$A2268,NOVEDADES!$O$4:$O$1503,"SÍ")&gt;0,"No","Sí"))</f>
        <v/>
      </c>
      <c r="Q2268" s="28">
        <f>IF(OR($A2268="",$L2268=""),"",IF(AND($N2268="Sí",$P2268="Sí"),"OTIF","Falló"))</f>
        <v/>
      </c>
    </row>
    <row r="2269" ht="16" customHeight="1">
      <c r="A2269" s="48" t="n"/>
      <c r="B2269" s="48" t="n"/>
      <c r="C2269" s="47" t="n"/>
      <c r="D2269" s="50" t="n"/>
      <c r="E2269" s="50" t="n"/>
      <c r="F2269" s="50" t="n"/>
      <c r="G2269" s="50" t="n"/>
      <c r="H2269" s="48" t="n"/>
      <c r="I2269" s="51" t="n"/>
      <c r="J2269" s="52" t="n"/>
      <c r="K2269" s="47" t="n"/>
      <c r="L2269" s="47" t="n"/>
      <c r="M2269" s="24">
        <f>IF(OR($A2269="",$C2269=""),"",IF($L2269&lt;&gt;"",$L2269-$C2269,TODAY()-$C2269))</f>
        <v/>
      </c>
      <c r="N2269" s="28">
        <f>IF(OR($A2269="",$K2269=""),"",IF($L2269="",IF(TODAY()&gt;$K2269,"Atrasado","En ruta"),IF($L2269&lt;=$K2269,"Sí","No")))</f>
        <v/>
      </c>
      <c r="O2269" s="24">
        <f>IF($A2269="","",COUNTIFS(NOVEDADES!$D$4:$D$1503,$A2269))</f>
        <v/>
      </c>
      <c r="P2269" s="28">
        <f>IF($A2269="","",IF(COUNTIFS(NOVEDADES!$D$4:$D$1503,$A2269,NOVEDADES!$O$4:$O$1503,"SÍ")&gt;0,"No","Sí"))</f>
        <v/>
      </c>
      <c r="Q2269" s="28">
        <f>IF(OR($A2269="",$L2269=""),"",IF(AND($N2269="Sí",$P2269="Sí"),"OTIF","Falló"))</f>
        <v/>
      </c>
    </row>
    <row r="2270" ht="16" customHeight="1">
      <c r="A2270" s="48" t="n"/>
      <c r="B2270" s="48" t="n"/>
      <c r="C2270" s="47" t="n"/>
      <c r="D2270" s="50" t="n"/>
      <c r="E2270" s="50" t="n"/>
      <c r="F2270" s="50" t="n"/>
      <c r="G2270" s="50" t="n"/>
      <c r="H2270" s="48" t="n"/>
      <c r="I2270" s="51" t="n"/>
      <c r="J2270" s="52" t="n"/>
      <c r="K2270" s="47" t="n"/>
      <c r="L2270" s="47" t="n"/>
      <c r="M2270" s="24">
        <f>IF(OR($A2270="",$C2270=""),"",IF($L2270&lt;&gt;"",$L2270-$C2270,TODAY()-$C2270))</f>
        <v/>
      </c>
      <c r="N2270" s="28">
        <f>IF(OR($A2270="",$K2270=""),"",IF($L2270="",IF(TODAY()&gt;$K2270,"Atrasado","En ruta"),IF($L2270&lt;=$K2270,"Sí","No")))</f>
        <v/>
      </c>
      <c r="O2270" s="24">
        <f>IF($A2270="","",COUNTIFS(NOVEDADES!$D$4:$D$1503,$A2270))</f>
        <v/>
      </c>
      <c r="P2270" s="28">
        <f>IF($A2270="","",IF(COUNTIFS(NOVEDADES!$D$4:$D$1503,$A2270,NOVEDADES!$O$4:$O$1503,"SÍ")&gt;0,"No","Sí"))</f>
        <v/>
      </c>
      <c r="Q2270" s="28">
        <f>IF(OR($A2270="",$L2270=""),"",IF(AND($N2270="Sí",$P2270="Sí"),"OTIF","Falló"))</f>
        <v/>
      </c>
    </row>
    <row r="2271" ht="16" customHeight="1">
      <c r="A2271" s="48" t="n"/>
      <c r="B2271" s="48" t="n"/>
      <c r="C2271" s="47" t="n"/>
      <c r="D2271" s="50" t="n"/>
      <c r="E2271" s="50" t="n"/>
      <c r="F2271" s="50" t="n"/>
      <c r="G2271" s="50" t="n"/>
      <c r="H2271" s="48" t="n"/>
      <c r="I2271" s="51" t="n"/>
      <c r="J2271" s="52" t="n"/>
      <c r="K2271" s="47" t="n"/>
      <c r="L2271" s="47" t="n"/>
      <c r="M2271" s="24">
        <f>IF(OR($A2271="",$C2271=""),"",IF($L2271&lt;&gt;"",$L2271-$C2271,TODAY()-$C2271))</f>
        <v/>
      </c>
      <c r="N2271" s="28">
        <f>IF(OR($A2271="",$K2271=""),"",IF($L2271="",IF(TODAY()&gt;$K2271,"Atrasado","En ruta"),IF($L2271&lt;=$K2271,"Sí","No")))</f>
        <v/>
      </c>
      <c r="O2271" s="24">
        <f>IF($A2271="","",COUNTIFS(NOVEDADES!$D$4:$D$1503,$A2271))</f>
        <v/>
      </c>
      <c r="P2271" s="28">
        <f>IF($A2271="","",IF(COUNTIFS(NOVEDADES!$D$4:$D$1503,$A2271,NOVEDADES!$O$4:$O$1503,"SÍ")&gt;0,"No","Sí"))</f>
        <v/>
      </c>
      <c r="Q2271" s="28">
        <f>IF(OR($A2271="",$L2271=""),"",IF(AND($N2271="Sí",$P2271="Sí"),"OTIF","Falló"))</f>
        <v/>
      </c>
    </row>
    <row r="2272" ht="16" customHeight="1">
      <c r="A2272" s="48" t="n"/>
      <c r="B2272" s="48" t="n"/>
      <c r="C2272" s="47" t="n"/>
      <c r="D2272" s="50" t="n"/>
      <c r="E2272" s="50" t="n"/>
      <c r="F2272" s="50" t="n"/>
      <c r="G2272" s="50" t="n"/>
      <c r="H2272" s="48" t="n"/>
      <c r="I2272" s="51" t="n"/>
      <c r="J2272" s="52" t="n"/>
      <c r="K2272" s="47" t="n"/>
      <c r="L2272" s="47" t="n"/>
      <c r="M2272" s="24">
        <f>IF(OR($A2272="",$C2272=""),"",IF($L2272&lt;&gt;"",$L2272-$C2272,TODAY()-$C2272))</f>
        <v/>
      </c>
      <c r="N2272" s="28">
        <f>IF(OR($A2272="",$K2272=""),"",IF($L2272="",IF(TODAY()&gt;$K2272,"Atrasado","En ruta"),IF($L2272&lt;=$K2272,"Sí","No")))</f>
        <v/>
      </c>
      <c r="O2272" s="24">
        <f>IF($A2272="","",COUNTIFS(NOVEDADES!$D$4:$D$1503,$A2272))</f>
        <v/>
      </c>
      <c r="P2272" s="28">
        <f>IF($A2272="","",IF(COUNTIFS(NOVEDADES!$D$4:$D$1503,$A2272,NOVEDADES!$O$4:$O$1503,"SÍ")&gt;0,"No","Sí"))</f>
        <v/>
      </c>
      <c r="Q2272" s="28">
        <f>IF(OR($A2272="",$L2272=""),"",IF(AND($N2272="Sí",$P2272="Sí"),"OTIF","Falló"))</f>
        <v/>
      </c>
    </row>
    <row r="2273" ht="16" customHeight="1">
      <c r="A2273" s="48" t="n"/>
      <c r="B2273" s="48" t="n"/>
      <c r="C2273" s="47" t="n"/>
      <c r="D2273" s="50" t="n"/>
      <c r="E2273" s="50" t="n"/>
      <c r="F2273" s="50" t="n"/>
      <c r="G2273" s="50" t="n"/>
      <c r="H2273" s="48" t="n"/>
      <c r="I2273" s="51" t="n"/>
      <c r="J2273" s="52" t="n"/>
      <c r="K2273" s="47" t="n"/>
      <c r="L2273" s="47" t="n"/>
      <c r="M2273" s="24">
        <f>IF(OR($A2273="",$C2273=""),"",IF($L2273&lt;&gt;"",$L2273-$C2273,TODAY()-$C2273))</f>
        <v/>
      </c>
      <c r="N2273" s="28">
        <f>IF(OR($A2273="",$K2273=""),"",IF($L2273="",IF(TODAY()&gt;$K2273,"Atrasado","En ruta"),IF($L2273&lt;=$K2273,"Sí","No")))</f>
        <v/>
      </c>
      <c r="O2273" s="24">
        <f>IF($A2273="","",COUNTIFS(NOVEDADES!$D$4:$D$1503,$A2273))</f>
        <v/>
      </c>
      <c r="P2273" s="28">
        <f>IF($A2273="","",IF(COUNTIFS(NOVEDADES!$D$4:$D$1503,$A2273,NOVEDADES!$O$4:$O$1503,"SÍ")&gt;0,"No","Sí"))</f>
        <v/>
      </c>
      <c r="Q2273" s="28">
        <f>IF(OR($A2273="",$L2273=""),"",IF(AND($N2273="Sí",$P2273="Sí"),"OTIF","Falló"))</f>
        <v/>
      </c>
    </row>
    <row r="2274" ht="16" customHeight="1">
      <c r="A2274" s="48" t="n"/>
      <c r="B2274" s="48" t="n"/>
      <c r="C2274" s="47" t="n"/>
      <c r="D2274" s="50" t="n"/>
      <c r="E2274" s="50" t="n"/>
      <c r="F2274" s="50" t="n"/>
      <c r="G2274" s="50" t="n"/>
      <c r="H2274" s="48" t="n"/>
      <c r="I2274" s="51" t="n"/>
      <c r="J2274" s="52" t="n"/>
      <c r="K2274" s="47" t="n"/>
      <c r="L2274" s="47" t="n"/>
      <c r="M2274" s="24">
        <f>IF(OR($A2274="",$C2274=""),"",IF($L2274&lt;&gt;"",$L2274-$C2274,TODAY()-$C2274))</f>
        <v/>
      </c>
      <c r="N2274" s="28">
        <f>IF(OR($A2274="",$K2274=""),"",IF($L2274="",IF(TODAY()&gt;$K2274,"Atrasado","En ruta"),IF($L2274&lt;=$K2274,"Sí","No")))</f>
        <v/>
      </c>
      <c r="O2274" s="24">
        <f>IF($A2274="","",COUNTIFS(NOVEDADES!$D$4:$D$1503,$A2274))</f>
        <v/>
      </c>
      <c r="P2274" s="28">
        <f>IF($A2274="","",IF(COUNTIFS(NOVEDADES!$D$4:$D$1503,$A2274,NOVEDADES!$O$4:$O$1503,"SÍ")&gt;0,"No","Sí"))</f>
        <v/>
      </c>
      <c r="Q2274" s="28">
        <f>IF(OR($A2274="",$L2274=""),"",IF(AND($N2274="Sí",$P2274="Sí"),"OTIF","Falló"))</f>
        <v/>
      </c>
    </row>
    <row r="2275" ht="16" customHeight="1">
      <c r="A2275" s="48" t="n"/>
      <c r="B2275" s="48" t="n"/>
      <c r="C2275" s="47" t="n"/>
      <c r="D2275" s="50" t="n"/>
      <c r="E2275" s="50" t="n"/>
      <c r="F2275" s="50" t="n"/>
      <c r="G2275" s="50" t="n"/>
      <c r="H2275" s="48" t="n"/>
      <c r="I2275" s="51" t="n"/>
      <c r="J2275" s="52" t="n"/>
      <c r="K2275" s="47" t="n"/>
      <c r="L2275" s="47" t="n"/>
      <c r="M2275" s="24">
        <f>IF(OR($A2275="",$C2275=""),"",IF($L2275&lt;&gt;"",$L2275-$C2275,TODAY()-$C2275))</f>
        <v/>
      </c>
      <c r="N2275" s="28">
        <f>IF(OR($A2275="",$K2275=""),"",IF($L2275="",IF(TODAY()&gt;$K2275,"Atrasado","En ruta"),IF($L2275&lt;=$K2275,"Sí","No")))</f>
        <v/>
      </c>
      <c r="O2275" s="24">
        <f>IF($A2275="","",COUNTIFS(NOVEDADES!$D$4:$D$1503,$A2275))</f>
        <v/>
      </c>
      <c r="P2275" s="28">
        <f>IF($A2275="","",IF(COUNTIFS(NOVEDADES!$D$4:$D$1503,$A2275,NOVEDADES!$O$4:$O$1503,"SÍ")&gt;0,"No","Sí"))</f>
        <v/>
      </c>
      <c r="Q2275" s="28">
        <f>IF(OR($A2275="",$L2275=""),"",IF(AND($N2275="Sí",$P2275="Sí"),"OTIF","Falló"))</f>
        <v/>
      </c>
    </row>
    <row r="2276" ht="16" customHeight="1">
      <c r="A2276" s="48" t="n"/>
      <c r="B2276" s="48" t="n"/>
      <c r="C2276" s="47" t="n"/>
      <c r="D2276" s="50" t="n"/>
      <c r="E2276" s="50" t="n"/>
      <c r="F2276" s="50" t="n"/>
      <c r="G2276" s="50" t="n"/>
      <c r="H2276" s="48" t="n"/>
      <c r="I2276" s="51" t="n"/>
      <c r="J2276" s="52" t="n"/>
      <c r="K2276" s="47" t="n"/>
      <c r="L2276" s="47" t="n"/>
      <c r="M2276" s="24">
        <f>IF(OR($A2276="",$C2276=""),"",IF($L2276&lt;&gt;"",$L2276-$C2276,TODAY()-$C2276))</f>
        <v/>
      </c>
      <c r="N2276" s="28">
        <f>IF(OR($A2276="",$K2276=""),"",IF($L2276="",IF(TODAY()&gt;$K2276,"Atrasado","En ruta"),IF($L2276&lt;=$K2276,"Sí","No")))</f>
        <v/>
      </c>
      <c r="O2276" s="24">
        <f>IF($A2276="","",COUNTIFS(NOVEDADES!$D$4:$D$1503,$A2276))</f>
        <v/>
      </c>
      <c r="P2276" s="28">
        <f>IF($A2276="","",IF(COUNTIFS(NOVEDADES!$D$4:$D$1503,$A2276,NOVEDADES!$O$4:$O$1503,"SÍ")&gt;0,"No","Sí"))</f>
        <v/>
      </c>
      <c r="Q2276" s="28">
        <f>IF(OR($A2276="",$L2276=""),"",IF(AND($N2276="Sí",$P2276="Sí"),"OTIF","Falló"))</f>
        <v/>
      </c>
    </row>
    <row r="2277" ht="16" customHeight="1">
      <c r="A2277" s="48" t="n"/>
      <c r="B2277" s="48" t="n"/>
      <c r="C2277" s="47" t="n"/>
      <c r="D2277" s="50" t="n"/>
      <c r="E2277" s="50" t="n"/>
      <c r="F2277" s="50" t="n"/>
      <c r="G2277" s="50" t="n"/>
      <c r="H2277" s="48" t="n"/>
      <c r="I2277" s="51" t="n"/>
      <c r="J2277" s="52" t="n"/>
      <c r="K2277" s="47" t="n"/>
      <c r="L2277" s="47" t="n"/>
      <c r="M2277" s="24">
        <f>IF(OR($A2277="",$C2277=""),"",IF($L2277&lt;&gt;"",$L2277-$C2277,TODAY()-$C2277))</f>
        <v/>
      </c>
      <c r="N2277" s="28">
        <f>IF(OR($A2277="",$K2277=""),"",IF($L2277="",IF(TODAY()&gt;$K2277,"Atrasado","En ruta"),IF($L2277&lt;=$K2277,"Sí","No")))</f>
        <v/>
      </c>
      <c r="O2277" s="24">
        <f>IF($A2277="","",COUNTIFS(NOVEDADES!$D$4:$D$1503,$A2277))</f>
        <v/>
      </c>
      <c r="P2277" s="28">
        <f>IF($A2277="","",IF(COUNTIFS(NOVEDADES!$D$4:$D$1503,$A2277,NOVEDADES!$O$4:$O$1503,"SÍ")&gt;0,"No","Sí"))</f>
        <v/>
      </c>
      <c r="Q2277" s="28">
        <f>IF(OR($A2277="",$L2277=""),"",IF(AND($N2277="Sí",$P2277="Sí"),"OTIF","Falló"))</f>
        <v/>
      </c>
    </row>
    <row r="2278" ht="16" customHeight="1">
      <c r="A2278" s="48" t="n"/>
      <c r="B2278" s="48" t="n"/>
      <c r="C2278" s="47" t="n"/>
      <c r="D2278" s="50" t="n"/>
      <c r="E2278" s="50" t="n"/>
      <c r="F2278" s="50" t="n"/>
      <c r="G2278" s="50" t="n"/>
      <c r="H2278" s="48" t="n"/>
      <c r="I2278" s="51" t="n"/>
      <c r="J2278" s="52" t="n"/>
      <c r="K2278" s="47" t="n"/>
      <c r="L2278" s="47" t="n"/>
      <c r="M2278" s="24">
        <f>IF(OR($A2278="",$C2278=""),"",IF($L2278&lt;&gt;"",$L2278-$C2278,TODAY()-$C2278))</f>
        <v/>
      </c>
      <c r="N2278" s="28">
        <f>IF(OR($A2278="",$K2278=""),"",IF($L2278="",IF(TODAY()&gt;$K2278,"Atrasado","En ruta"),IF($L2278&lt;=$K2278,"Sí","No")))</f>
        <v/>
      </c>
      <c r="O2278" s="24">
        <f>IF($A2278="","",COUNTIFS(NOVEDADES!$D$4:$D$1503,$A2278))</f>
        <v/>
      </c>
      <c r="P2278" s="28">
        <f>IF($A2278="","",IF(COUNTIFS(NOVEDADES!$D$4:$D$1503,$A2278,NOVEDADES!$O$4:$O$1503,"SÍ")&gt;0,"No","Sí"))</f>
        <v/>
      </c>
      <c r="Q2278" s="28">
        <f>IF(OR($A2278="",$L2278=""),"",IF(AND($N2278="Sí",$P2278="Sí"),"OTIF","Falló"))</f>
        <v/>
      </c>
    </row>
    <row r="2279" ht="16" customHeight="1">
      <c r="A2279" s="48" t="n"/>
      <c r="B2279" s="48" t="n"/>
      <c r="C2279" s="47" t="n"/>
      <c r="D2279" s="50" t="n"/>
      <c r="E2279" s="50" t="n"/>
      <c r="F2279" s="50" t="n"/>
      <c r="G2279" s="50" t="n"/>
      <c r="H2279" s="48" t="n"/>
      <c r="I2279" s="51" t="n"/>
      <c r="J2279" s="52" t="n"/>
      <c r="K2279" s="47" t="n"/>
      <c r="L2279" s="47" t="n"/>
      <c r="M2279" s="24">
        <f>IF(OR($A2279="",$C2279=""),"",IF($L2279&lt;&gt;"",$L2279-$C2279,TODAY()-$C2279))</f>
        <v/>
      </c>
      <c r="N2279" s="28">
        <f>IF(OR($A2279="",$K2279=""),"",IF($L2279="",IF(TODAY()&gt;$K2279,"Atrasado","En ruta"),IF($L2279&lt;=$K2279,"Sí","No")))</f>
        <v/>
      </c>
      <c r="O2279" s="24">
        <f>IF($A2279="","",COUNTIFS(NOVEDADES!$D$4:$D$1503,$A2279))</f>
        <v/>
      </c>
      <c r="P2279" s="28">
        <f>IF($A2279="","",IF(COUNTIFS(NOVEDADES!$D$4:$D$1503,$A2279,NOVEDADES!$O$4:$O$1503,"SÍ")&gt;0,"No","Sí"))</f>
        <v/>
      </c>
      <c r="Q2279" s="28">
        <f>IF(OR($A2279="",$L2279=""),"",IF(AND($N2279="Sí",$P2279="Sí"),"OTIF","Falló"))</f>
        <v/>
      </c>
    </row>
    <row r="2280" ht="16" customHeight="1">
      <c r="A2280" s="48" t="n"/>
      <c r="B2280" s="48" t="n"/>
      <c r="C2280" s="47" t="n"/>
      <c r="D2280" s="50" t="n"/>
      <c r="E2280" s="50" t="n"/>
      <c r="F2280" s="50" t="n"/>
      <c r="G2280" s="50" t="n"/>
      <c r="H2280" s="48" t="n"/>
      <c r="I2280" s="51" t="n"/>
      <c r="J2280" s="52" t="n"/>
      <c r="K2280" s="47" t="n"/>
      <c r="L2280" s="47" t="n"/>
      <c r="M2280" s="24">
        <f>IF(OR($A2280="",$C2280=""),"",IF($L2280&lt;&gt;"",$L2280-$C2280,TODAY()-$C2280))</f>
        <v/>
      </c>
      <c r="N2280" s="28">
        <f>IF(OR($A2280="",$K2280=""),"",IF($L2280="",IF(TODAY()&gt;$K2280,"Atrasado","En ruta"),IF($L2280&lt;=$K2280,"Sí","No")))</f>
        <v/>
      </c>
      <c r="O2280" s="24">
        <f>IF($A2280="","",COUNTIFS(NOVEDADES!$D$4:$D$1503,$A2280))</f>
        <v/>
      </c>
      <c r="P2280" s="28">
        <f>IF($A2280="","",IF(COUNTIFS(NOVEDADES!$D$4:$D$1503,$A2280,NOVEDADES!$O$4:$O$1503,"SÍ")&gt;0,"No","Sí"))</f>
        <v/>
      </c>
      <c r="Q2280" s="28">
        <f>IF(OR($A2280="",$L2280=""),"",IF(AND($N2280="Sí",$P2280="Sí"),"OTIF","Falló"))</f>
        <v/>
      </c>
    </row>
    <row r="2281" ht="16" customHeight="1">
      <c r="A2281" s="48" t="n"/>
      <c r="B2281" s="48" t="n"/>
      <c r="C2281" s="47" t="n"/>
      <c r="D2281" s="50" t="n"/>
      <c r="E2281" s="50" t="n"/>
      <c r="F2281" s="50" t="n"/>
      <c r="G2281" s="50" t="n"/>
      <c r="H2281" s="48" t="n"/>
      <c r="I2281" s="51" t="n"/>
      <c r="J2281" s="52" t="n"/>
      <c r="K2281" s="47" t="n"/>
      <c r="L2281" s="47" t="n"/>
      <c r="M2281" s="24">
        <f>IF(OR($A2281="",$C2281=""),"",IF($L2281&lt;&gt;"",$L2281-$C2281,TODAY()-$C2281))</f>
        <v/>
      </c>
      <c r="N2281" s="28">
        <f>IF(OR($A2281="",$K2281=""),"",IF($L2281="",IF(TODAY()&gt;$K2281,"Atrasado","En ruta"),IF($L2281&lt;=$K2281,"Sí","No")))</f>
        <v/>
      </c>
      <c r="O2281" s="24">
        <f>IF($A2281="","",COUNTIFS(NOVEDADES!$D$4:$D$1503,$A2281))</f>
        <v/>
      </c>
      <c r="P2281" s="28">
        <f>IF($A2281="","",IF(COUNTIFS(NOVEDADES!$D$4:$D$1503,$A2281,NOVEDADES!$O$4:$O$1503,"SÍ")&gt;0,"No","Sí"))</f>
        <v/>
      </c>
      <c r="Q2281" s="28">
        <f>IF(OR($A2281="",$L2281=""),"",IF(AND($N2281="Sí",$P2281="Sí"),"OTIF","Falló"))</f>
        <v/>
      </c>
    </row>
    <row r="2282" ht="16" customHeight="1">
      <c r="A2282" s="48" t="n"/>
      <c r="B2282" s="48" t="n"/>
      <c r="C2282" s="47" t="n"/>
      <c r="D2282" s="50" t="n"/>
      <c r="E2282" s="50" t="n"/>
      <c r="F2282" s="50" t="n"/>
      <c r="G2282" s="50" t="n"/>
      <c r="H2282" s="48" t="n"/>
      <c r="I2282" s="51" t="n"/>
      <c r="J2282" s="52" t="n"/>
      <c r="K2282" s="47" t="n"/>
      <c r="L2282" s="47" t="n"/>
      <c r="M2282" s="24">
        <f>IF(OR($A2282="",$C2282=""),"",IF($L2282&lt;&gt;"",$L2282-$C2282,TODAY()-$C2282))</f>
        <v/>
      </c>
      <c r="N2282" s="28">
        <f>IF(OR($A2282="",$K2282=""),"",IF($L2282="",IF(TODAY()&gt;$K2282,"Atrasado","En ruta"),IF($L2282&lt;=$K2282,"Sí","No")))</f>
        <v/>
      </c>
      <c r="O2282" s="24">
        <f>IF($A2282="","",COUNTIFS(NOVEDADES!$D$4:$D$1503,$A2282))</f>
        <v/>
      </c>
      <c r="P2282" s="28">
        <f>IF($A2282="","",IF(COUNTIFS(NOVEDADES!$D$4:$D$1503,$A2282,NOVEDADES!$O$4:$O$1503,"SÍ")&gt;0,"No","Sí"))</f>
        <v/>
      </c>
      <c r="Q2282" s="28">
        <f>IF(OR($A2282="",$L2282=""),"",IF(AND($N2282="Sí",$P2282="Sí"),"OTIF","Falló"))</f>
        <v/>
      </c>
    </row>
    <row r="2283" ht="16" customHeight="1">
      <c r="A2283" s="48" t="n"/>
      <c r="B2283" s="48" t="n"/>
      <c r="C2283" s="47" t="n"/>
      <c r="D2283" s="50" t="n"/>
      <c r="E2283" s="50" t="n"/>
      <c r="F2283" s="50" t="n"/>
      <c r="G2283" s="50" t="n"/>
      <c r="H2283" s="48" t="n"/>
      <c r="I2283" s="51" t="n"/>
      <c r="J2283" s="52" t="n"/>
      <c r="K2283" s="47" t="n"/>
      <c r="L2283" s="47" t="n"/>
      <c r="M2283" s="24">
        <f>IF(OR($A2283="",$C2283=""),"",IF($L2283&lt;&gt;"",$L2283-$C2283,TODAY()-$C2283))</f>
        <v/>
      </c>
      <c r="N2283" s="28">
        <f>IF(OR($A2283="",$K2283=""),"",IF($L2283="",IF(TODAY()&gt;$K2283,"Atrasado","En ruta"),IF($L2283&lt;=$K2283,"Sí","No")))</f>
        <v/>
      </c>
      <c r="O2283" s="24">
        <f>IF($A2283="","",COUNTIFS(NOVEDADES!$D$4:$D$1503,$A2283))</f>
        <v/>
      </c>
      <c r="P2283" s="28">
        <f>IF($A2283="","",IF(COUNTIFS(NOVEDADES!$D$4:$D$1503,$A2283,NOVEDADES!$O$4:$O$1503,"SÍ")&gt;0,"No","Sí"))</f>
        <v/>
      </c>
      <c r="Q2283" s="28">
        <f>IF(OR($A2283="",$L2283=""),"",IF(AND($N2283="Sí",$P2283="Sí"),"OTIF","Falló"))</f>
        <v/>
      </c>
    </row>
    <row r="2284" ht="16" customHeight="1">
      <c r="A2284" s="48" t="n"/>
      <c r="B2284" s="48" t="n"/>
      <c r="C2284" s="47" t="n"/>
      <c r="D2284" s="50" t="n"/>
      <c r="E2284" s="50" t="n"/>
      <c r="F2284" s="50" t="n"/>
      <c r="G2284" s="50" t="n"/>
      <c r="H2284" s="48" t="n"/>
      <c r="I2284" s="51" t="n"/>
      <c r="J2284" s="52" t="n"/>
      <c r="K2284" s="47" t="n"/>
      <c r="L2284" s="47" t="n"/>
      <c r="M2284" s="24">
        <f>IF(OR($A2284="",$C2284=""),"",IF($L2284&lt;&gt;"",$L2284-$C2284,TODAY()-$C2284))</f>
        <v/>
      </c>
      <c r="N2284" s="28">
        <f>IF(OR($A2284="",$K2284=""),"",IF($L2284="",IF(TODAY()&gt;$K2284,"Atrasado","En ruta"),IF($L2284&lt;=$K2284,"Sí","No")))</f>
        <v/>
      </c>
      <c r="O2284" s="24">
        <f>IF($A2284="","",COUNTIFS(NOVEDADES!$D$4:$D$1503,$A2284))</f>
        <v/>
      </c>
      <c r="P2284" s="28">
        <f>IF($A2284="","",IF(COUNTIFS(NOVEDADES!$D$4:$D$1503,$A2284,NOVEDADES!$O$4:$O$1503,"SÍ")&gt;0,"No","Sí"))</f>
        <v/>
      </c>
      <c r="Q2284" s="28">
        <f>IF(OR($A2284="",$L2284=""),"",IF(AND($N2284="Sí",$P2284="Sí"),"OTIF","Falló"))</f>
        <v/>
      </c>
    </row>
    <row r="2285" ht="16" customHeight="1">
      <c r="A2285" s="48" t="n"/>
      <c r="B2285" s="48" t="n"/>
      <c r="C2285" s="47" t="n"/>
      <c r="D2285" s="50" t="n"/>
      <c r="E2285" s="50" t="n"/>
      <c r="F2285" s="50" t="n"/>
      <c r="G2285" s="50" t="n"/>
      <c r="H2285" s="48" t="n"/>
      <c r="I2285" s="51" t="n"/>
      <c r="J2285" s="52" t="n"/>
      <c r="K2285" s="47" t="n"/>
      <c r="L2285" s="47" t="n"/>
      <c r="M2285" s="24">
        <f>IF(OR($A2285="",$C2285=""),"",IF($L2285&lt;&gt;"",$L2285-$C2285,TODAY()-$C2285))</f>
        <v/>
      </c>
      <c r="N2285" s="28">
        <f>IF(OR($A2285="",$K2285=""),"",IF($L2285="",IF(TODAY()&gt;$K2285,"Atrasado","En ruta"),IF($L2285&lt;=$K2285,"Sí","No")))</f>
        <v/>
      </c>
      <c r="O2285" s="24">
        <f>IF($A2285="","",COUNTIFS(NOVEDADES!$D$4:$D$1503,$A2285))</f>
        <v/>
      </c>
      <c r="P2285" s="28">
        <f>IF($A2285="","",IF(COUNTIFS(NOVEDADES!$D$4:$D$1503,$A2285,NOVEDADES!$O$4:$O$1503,"SÍ")&gt;0,"No","Sí"))</f>
        <v/>
      </c>
      <c r="Q2285" s="28">
        <f>IF(OR($A2285="",$L2285=""),"",IF(AND($N2285="Sí",$P2285="Sí"),"OTIF","Falló"))</f>
        <v/>
      </c>
    </row>
    <row r="2286" ht="16" customHeight="1">
      <c r="A2286" s="48" t="n"/>
      <c r="B2286" s="48" t="n"/>
      <c r="C2286" s="47" t="n"/>
      <c r="D2286" s="50" t="n"/>
      <c r="E2286" s="50" t="n"/>
      <c r="F2286" s="50" t="n"/>
      <c r="G2286" s="50" t="n"/>
      <c r="H2286" s="48" t="n"/>
      <c r="I2286" s="51" t="n"/>
      <c r="J2286" s="52" t="n"/>
      <c r="K2286" s="47" t="n"/>
      <c r="L2286" s="47" t="n"/>
      <c r="M2286" s="24">
        <f>IF(OR($A2286="",$C2286=""),"",IF($L2286&lt;&gt;"",$L2286-$C2286,TODAY()-$C2286))</f>
        <v/>
      </c>
      <c r="N2286" s="28">
        <f>IF(OR($A2286="",$K2286=""),"",IF($L2286="",IF(TODAY()&gt;$K2286,"Atrasado","En ruta"),IF($L2286&lt;=$K2286,"Sí","No")))</f>
        <v/>
      </c>
      <c r="O2286" s="24">
        <f>IF($A2286="","",COUNTIFS(NOVEDADES!$D$4:$D$1503,$A2286))</f>
        <v/>
      </c>
      <c r="P2286" s="28">
        <f>IF($A2286="","",IF(COUNTIFS(NOVEDADES!$D$4:$D$1503,$A2286,NOVEDADES!$O$4:$O$1503,"SÍ")&gt;0,"No","Sí"))</f>
        <v/>
      </c>
      <c r="Q2286" s="28">
        <f>IF(OR($A2286="",$L2286=""),"",IF(AND($N2286="Sí",$P2286="Sí"),"OTIF","Falló"))</f>
        <v/>
      </c>
    </row>
    <row r="2287" ht="16" customHeight="1">
      <c r="A2287" s="48" t="n"/>
      <c r="B2287" s="48" t="n"/>
      <c r="C2287" s="47" t="n"/>
      <c r="D2287" s="50" t="n"/>
      <c r="E2287" s="50" t="n"/>
      <c r="F2287" s="50" t="n"/>
      <c r="G2287" s="50" t="n"/>
      <c r="H2287" s="48" t="n"/>
      <c r="I2287" s="51" t="n"/>
      <c r="J2287" s="52" t="n"/>
      <c r="K2287" s="47" t="n"/>
      <c r="L2287" s="47" t="n"/>
      <c r="M2287" s="24">
        <f>IF(OR($A2287="",$C2287=""),"",IF($L2287&lt;&gt;"",$L2287-$C2287,TODAY()-$C2287))</f>
        <v/>
      </c>
      <c r="N2287" s="28">
        <f>IF(OR($A2287="",$K2287=""),"",IF($L2287="",IF(TODAY()&gt;$K2287,"Atrasado","En ruta"),IF($L2287&lt;=$K2287,"Sí","No")))</f>
        <v/>
      </c>
      <c r="O2287" s="24">
        <f>IF($A2287="","",COUNTIFS(NOVEDADES!$D$4:$D$1503,$A2287))</f>
        <v/>
      </c>
      <c r="P2287" s="28">
        <f>IF($A2287="","",IF(COUNTIFS(NOVEDADES!$D$4:$D$1503,$A2287,NOVEDADES!$O$4:$O$1503,"SÍ")&gt;0,"No","Sí"))</f>
        <v/>
      </c>
      <c r="Q2287" s="28">
        <f>IF(OR($A2287="",$L2287=""),"",IF(AND($N2287="Sí",$P2287="Sí"),"OTIF","Falló"))</f>
        <v/>
      </c>
    </row>
    <row r="2288" ht="16" customHeight="1">
      <c r="A2288" s="48" t="n"/>
      <c r="B2288" s="48" t="n"/>
      <c r="C2288" s="47" t="n"/>
      <c r="D2288" s="50" t="n"/>
      <c r="E2288" s="50" t="n"/>
      <c r="F2288" s="50" t="n"/>
      <c r="G2288" s="50" t="n"/>
      <c r="H2288" s="48" t="n"/>
      <c r="I2288" s="51" t="n"/>
      <c r="J2288" s="52" t="n"/>
      <c r="K2288" s="47" t="n"/>
      <c r="L2288" s="47" t="n"/>
      <c r="M2288" s="24">
        <f>IF(OR($A2288="",$C2288=""),"",IF($L2288&lt;&gt;"",$L2288-$C2288,TODAY()-$C2288))</f>
        <v/>
      </c>
      <c r="N2288" s="28">
        <f>IF(OR($A2288="",$K2288=""),"",IF($L2288="",IF(TODAY()&gt;$K2288,"Atrasado","En ruta"),IF($L2288&lt;=$K2288,"Sí","No")))</f>
        <v/>
      </c>
      <c r="O2288" s="24">
        <f>IF($A2288="","",COUNTIFS(NOVEDADES!$D$4:$D$1503,$A2288))</f>
        <v/>
      </c>
      <c r="P2288" s="28">
        <f>IF($A2288="","",IF(COUNTIFS(NOVEDADES!$D$4:$D$1503,$A2288,NOVEDADES!$O$4:$O$1503,"SÍ")&gt;0,"No","Sí"))</f>
        <v/>
      </c>
      <c r="Q2288" s="28">
        <f>IF(OR($A2288="",$L2288=""),"",IF(AND($N2288="Sí",$P2288="Sí"),"OTIF","Falló"))</f>
        <v/>
      </c>
    </row>
    <row r="2289" ht="16" customHeight="1">
      <c r="A2289" s="48" t="n"/>
      <c r="B2289" s="48" t="n"/>
      <c r="C2289" s="47" t="n"/>
      <c r="D2289" s="50" t="n"/>
      <c r="E2289" s="50" t="n"/>
      <c r="F2289" s="50" t="n"/>
      <c r="G2289" s="50" t="n"/>
      <c r="H2289" s="48" t="n"/>
      <c r="I2289" s="51" t="n"/>
      <c r="J2289" s="52" t="n"/>
      <c r="K2289" s="47" t="n"/>
      <c r="L2289" s="47" t="n"/>
      <c r="M2289" s="24">
        <f>IF(OR($A2289="",$C2289=""),"",IF($L2289&lt;&gt;"",$L2289-$C2289,TODAY()-$C2289))</f>
        <v/>
      </c>
      <c r="N2289" s="28">
        <f>IF(OR($A2289="",$K2289=""),"",IF($L2289="",IF(TODAY()&gt;$K2289,"Atrasado","En ruta"),IF($L2289&lt;=$K2289,"Sí","No")))</f>
        <v/>
      </c>
      <c r="O2289" s="24">
        <f>IF($A2289="","",COUNTIFS(NOVEDADES!$D$4:$D$1503,$A2289))</f>
        <v/>
      </c>
      <c r="P2289" s="28">
        <f>IF($A2289="","",IF(COUNTIFS(NOVEDADES!$D$4:$D$1503,$A2289,NOVEDADES!$O$4:$O$1503,"SÍ")&gt;0,"No","Sí"))</f>
        <v/>
      </c>
      <c r="Q2289" s="28">
        <f>IF(OR($A2289="",$L2289=""),"",IF(AND($N2289="Sí",$P2289="Sí"),"OTIF","Falló"))</f>
        <v/>
      </c>
    </row>
    <row r="2290" ht="16" customHeight="1">
      <c r="A2290" s="48" t="n"/>
      <c r="B2290" s="48" t="n"/>
      <c r="C2290" s="47" t="n"/>
      <c r="D2290" s="50" t="n"/>
      <c r="E2290" s="50" t="n"/>
      <c r="F2290" s="50" t="n"/>
      <c r="G2290" s="50" t="n"/>
      <c r="H2290" s="48" t="n"/>
      <c r="I2290" s="51" t="n"/>
      <c r="J2290" s="52" t="n"/>
      <c r="K2290" s="47" t="n"/>
      <c r="L2290" s="47" t="n"/>
      <c r="M2290" s="24">
        <f>IF(OR($A2290="",$C2290=""),"",IF($L2290&lt;&gt;"",$L2290-$C2290,TODAY()-$C2290))</f>
        <v/>
      </c>
      <c r="N2290" s="28">
        <f>IF(OR($A2290="",$K2290=""),"",IF($L2290="",IF(TODAY()&gt;$K2290,"Atrasado","En ruta"),IF($L2290&lt;=$K2290,"Sí","No")))</f>
        <v/>
      </c>
      <c r="O2290" s="24">
        <f>IF($A2290="","",COUNTIFS(NOVEDADES!$D$4:$D$1503,$A2290))</f>
        <v/>
      </c>
      <c r="P2290" s="28">
        <f>IF($A2290="","",IF(COUNTIFS(NOVEDADES!$D$4:$D$1503,$A2290,NOVEDADES!$O$4:$O$1503,"SÍ")&gt;0,"No","Sí"))</f>
        <v/>
      </c>
      <c r="Q2290" s="28">
        <f>IF(OR($A2290="",$L2290=""),"",IF(AND($N2290="Sí",$P2290="Sí"),"OTIF","Falló"))</f>
        <v/>
      </c>
    </row>
    <row r="2291" ht="16" customHeight="1">
      <c r="A2291" s="48" t="n"/>
      <c r="B2291" s="48" t="n"/>
      <c r="C2291" s="47" t="n"/>
      <c r="D2291" s="50" t="n"/>
      <c r="E2291" s="50" t="n"/>
      <c r="F2291" s="50" t="n"/>
      <c r="G2291" s="50" t="n"/>
      <c r="H2291" s="48" t="n"/>
      <c r="I2291" s="51" t="n"/>
      <c r="J2291" s="52" t="n"/>
      <c r="K2291" s="47" t="n"/>
      <c r="L2291" s="47" t="n"/>
      <c r="M2291" s="24">
        <f>IF(OR($A2291="",$C2291=""),"",IF($L2291&lt;&gt;"",$L2291-$C2291,TODAY()-$C2291))</f>
        <v/>
      </c>
      <c r="N2291" s="28">
        <f>IF(OR($A2291="",$K2291=""),"",IF($L2291="",IF(TODAY()&gt;$K2291,"Atrasado","En ruta"),IF($L2291&lt;=$K2291,"Sí","No")))</f>
        <v/>
      </c>
      <c r="O2291" s="24">
        <f>IF($A2291="","",COUNTIFS(NOVEDADES!$D$4:$D$1503,$A2291))</f>
        <v/>
      </c>
      <c r="P2291" s="28">
        <f>IF($A2291="","",IF(COUNTIFS(NOVEDADES!$D$4:$D$1503,$A2291,NOVEDADES!$O$4:$O$1503,"SÍ")&gt;0,"No","Sí"))</f>
        <v/>
      </c>
      <c r="Q2291" s="28">
        <f>IF(OR($A2291="",$L2291=""),"",IF(AND($N2291="Sí",$P2291="Sí"),"OTIF","Falló"))</f>
        <v/>
      </c>
    </row>
    <row r="2292" ht="16" customHeight="1">
      <c r="A2292" s="48" t="n"/>
      <c r="B2292" s="48" t="n"/>
      <c r="C2292" s="47" t="n"/>
      <c r="D2292" s="50" t="n"/>
      <c r="E2292" s="50" t="n"/>
      <c r="F2292" s="50" t="n"/>
      <c r="G2292" s="50" t="n"/>
      <c r="H2292" s="48" t="n"/>
      <c r="I2292" s="51" t="n"/>
      <c r="J2292" s="52" t="n"/>
      <c r="K2292" s="47" t="n"/>
      <c r="L2292" s="47" t="n"/>
      <c r="M2292" s="24">
        <f>IF(OR($A2292="",$C2292=""),"",IF($L2292&lt;&gt;"",$L2292-$C2292,TODAY()-$C2292))</f>
        <v/>
      </c>
      <c r="N2292" s="28">
        <f>IF(OR($A2292="",$K2292=""),"",IF($L2292="",IF(TODAY()&gt;$K2292,"Atrasado","En ruta"),IF($L2292&lt;=$K2292,"Sí","No")))</f>
        <v/>
      </c>
      <c r="O2292" s="24">
        <f>IF($A2292="","",COUNTIFS(NOVEDADES!$D$4:$D$1503,$A2292))</f>
        <v/>
      </c>
      <c r="P2292" s="28">
        <f>IF($A2292="","",IF(COUNTIFS(NOVEDADES!$D$4:$D$1503,$A2292,NOVEDADES!$O$4:$O$1503,"SÍ")&gt;0,"No","Sí"))</f>
        <v/>
      </c>
      <c r="Q2292" s="28">
        <f>IF(OR($A2292="",$L2292=""),"",IF(AND($N2292="Sí",$P2292="Sí"),"OTIF","Falló"))</f>
        <v/>
      </c>
    </row>
    <row r="2293" ht="16" customHeight="1">
      <c r="A2293" s="48" t="n"/>
      <c r="B2293" s="48" t="n"/>
      <c r="C2293" s="47" t="n"/>
      <c r="D2293" s="50" t="n"/>
      <c r="E2293" s="50" t="n"/>
      <c r="F2293" s="50" t="n"/>
      <c r="G2293" s="50" t="n"/>
      <c r="H2293" s="48" t="n"/>
      <c r="I2293" s="51" t="n"/>
      <c r="J2293" s="52" t="n"/>
      <c r="K2293" s="47" t="n"/>
      <c r="L2293" s="47" t="n"/>
      <c r="M2293" s="24">
        <f>IF(OR($A2293="",$C2293=""),"",IF($L2293&lt;&gt;"",$L2293-$C2293,TODAY()-$C2293))</f>
        <v/>
      </c>
      <c r="N2293" s="28">
        <f>IF(OR($A2293="",$K2293=""),"",IF($L2293="",IF(TODAY()&gt;$K2293,"Atrasado","En ruta"),IF($L2293&lt;=$K2293,"Sí","No")))</f>
        <v/>
      </c>
      <c r="O2293" s="24">
        <f>IF($A2293="","",COUNTIFS(NOVEDADES!$D$4:$D$1503,$A2293))</f>
        <v/>
      </c>
      <c r="P2293" s="28">
        <f>IF($A2293="","",IF(COUNTIFS(NOVEDADES!$D$4:$D$1503,$A2293,NOVEDADES!$O$4:$O$1503,"SÍ")&gt;0,"No","Sí"))</f>
        <v/>
      </c>
      <c r="Q2293" s="28">
        <f>IF(OR($A2293="",$L2293=""),"",IF(AND($N2293="Sí",$P2293="Sí"),"OTIF","Falló"))</f>
        <v/>
      </c>
    </row>
    <row r="2294" ht="16" customHeight="1">
      <c r="A2294" s="48" t="n"/>
      <c r="B2294" s="48" t="n"/>
      <c r="C2294" s="47" t="n"/>
      <c r="D2294" s="50" t="n"/>
      <c r="E2294" s="50" t="n"/>
      <c r="F2294" s="50" t="n"/>
      <c r="G2294" s="50" t="n"/>
      <c r="H2294" s="48" t="n"/>
      <c r="I2294" s="51" t="n"/>
      <c r="J2294" s="52" t="n"/>
      <c r="K2294" s="47" t="n"/>
      <c r="L2294" s="47" t="n"/>
      <c r="M2294" s="24">
        <f>IF(OR($A2294="",$C2294=""),"",IF($L2294&lt;&gt;"",$L2294-$C2294,TODAY()-$C2294))</f>
        <v/>
      </c>
      <c r="N2294" s="28">
        <f>IF(OR($A2294="",$K2294=""),"",IF($L2294="",IF(TODAY()&gt;$K2294,"Atrasado","En ruta"),IF($L2294&lt;=$K2294,"Sí","No")))</f>
        <v/>
      </c>
      <c r="O2294" s="24">
        <f>IF($A2294="","",COUNTIFS(NOVEDADES!$D$4:$D$1503,$A2294))</f>
        <v/>
      </c>
      <c r="P2294" s="28">
        <f>IF($A2294="","",IF(COUNTIFS(NOVEDADES!$D$4:$D$1503,$A2294,NOVEDADES!$O$4:$O$1503,"SÍ")&gt;0,"No","Sí"))</f>
        <v/>
      </c>
      <c r="Q2294" s="28">
        <f>IF(OR($A2294="",$L2294=""),"",IF(AND($N2294="Sí",$P2294="Sí"),"OTIF","Falló"))</f>
        <v/>
      </c>
    </row>
    <row r="2295" ht="16" customHeight="1">
      <c r="A2295" s="48" t="n"/>
      <c r="B2295" s="48" t="n"/>
      <c r="C2295" s="47" t="n"/>
      <c r="D2295" s="50" t="n"/>
      <c r="E2295" s="50" t="n"/>
      <c r="F2295" s="50" t="n"/>
      <c r="G2295" s="50" t="n"/>
      <c r="H2295" s="48" t="n"/>
      <c r="I2295" s="51" t="n"/>
      <c r="J2295" s="52" t="n"/>
      <c r="K2295" s="47" t="n"/>
      <c r="L2295" s="47" t="n"/>
      <c r="M2295" s="24">
        <f>IF(OR($A2295="",$C2295=""),"",IF($L2295&lt;&gt;"",$L2295-$C2295,TODAY()-$C2295))</f>
        <v/>
      </c>
      <c r="N2295" s="28">
        <f>IF(OR($A2295="",$K2295=""),"",IF($L2295="",IF(TODAY()&gt;$K2295,"Atrasado","En ruta"),IF($L2295&lt;=$K2295,"Sí","No")))</f>
        <v/>
      </c>
      <c r="O2295" s="24">
        <f>IF($A2295="","",COUNTIFS(NOVEDADES!$D$4:$D$1503,$A2295))</f>
        <v/>
      </c>
      <c r="P2295" s="28">
        <f>IF($A2295="","",IF(COUNTIFS(NOVEDADES!$D$4:$D$1503,$A2295,NOVEDADES!$O$4:$O$1503,"SÍ")&gt;0,"No","Sí"))</f>
        <v/>
      </c>
      <c r="Q2295" s="28">
        <f>IF(OR($A2295="",$L2295=""),"",IF(AND($N2295="Sí",$P2295="Sí"),"OTIF","Falló"))</f>
        <v/>
      </c>
    </row>
    <row r="2296" ht="16" customHeight="1">
      <c r="A2296" s="48" t="n"/>
      <c r="B2296" s="48" t="n"/>
      <c r="C2296" s="47" t="n"/>
      <c r="D2296" s="50" t="n"/>
      <c r="E2296" s="50" t="n"/>
      <c r="F2296" s="50" t="n"/>
      <c r="G2296" s="50" t="n"/>
      <c r="H2296" s="48" t="n"/>
      <c r="I2296" s="51" t="n"/>
      <c r="J2296" s="52" t="n"/>
      <c r="K2296" s="47" t="n"/>
      <c r="L2296" s="47" t="n"/>
      <c r="M2296" s="24">
        <f>IF(OR($A2296="",$C2296=""),"",IF($L2296&lt;&gt;"",$L2296-$C2296,TODAY()-$C2296))</f>
        <v/>
      </c>
      <c r="N2296" s="28">
        <f>IF(OR($A2296="",$K2296=""),"",IF($L2296="",IF(TODAY()&gt;$K2296,"Atrasado","En ruta"),IF($L2296&lt;=$K2296,"Sí","No")))</f>
        <v/>
      </c>
      <c r="O2296" s="24">
        <f>IF($A2296="","",COUNTIFS(NOVEDADES!$D$4:$D$1503,$A2296))</f>
        <v/>
      </c>
      <c r="P2296" s="28">
        <f>IF($A2296="","",IF(COUNTIFS(NOVEDADES!$D$4:$D$1503,$A2296,NOVEDADES!$O$4:$O$1503,"SÍ")&gt;0,"No","Sí"))</f>
        <v/>
      </c>
      <c r="Q2296" s="28">
        <f>IF(OR($A2296="",$L2296=""),"",IF(AND($N2296="Sí",$P2296="Sí"),"OTIF","Falló"))</f>
        <v/>
      </c>
    </row>
    <row r="2297" ht="16" customHeight="1">
      <c r="A2297" s="48" t="n"/>
      <c r="B2297" s="48" t="n"/>
      <c r="C2297" s="47" t="n"/>
      <c r="D2297" s="50" t="n"/>
      <c r="E2297" s="50" t="n"/>
      <c r="F2297" s="50" t="n"/>
      <c r="G2297" s="50" t="n"/>
      <c r="H2297" s="48" t="n"/>
      <c r="I2297" s="51" t="n"/>
      <c r="J2297" s="52" t="n"/>
      <c r="K2297" s="47" t="n"/>
      <c r="L2297" s="47" t="n"/>
      <c r="M2297" s="24">
        <f>IF(OR($A2297="",$C2297=""),"",IF($L2297&lt;&gt;"",$L2297-$C2297,TODAY()-$C2297))</f>
        <v/>
      </c>
      <c r="N2297" s="28">
        <f>IF(OR($A2297="",$K2297=""),"",IF($L2297="",IF(TODAY()&gt;$K2297,"Atrasado","En ruta"),IF($L2297&lt;=$K2297,"Sí","No")))</f>
        <v/>
      </c>
      <c r="O2297" s="24">
        <f>IF($A2297="","",COUNTIFS(NOVEDADES!$D$4:$D$1503,$A2297))</f>
        <v/>
      </c>
      <c r="P2297" s="28">
        <f>IF($A2297="","",IF(COUNTIFS(NOVEDADES!$D$4:$D$1503,$A2297,NOVEDADES!$O$4:$O$1503,"SÍ")&gt;0,"No","Sí"))</f>
        <v/>
      </c>
      <c r="Q2297" s="28">
        <f>IF(OR($A2297="",$L2297=""),"",IF(AND($N2297="Sí",$P2297="Sí"),"OTIF","Falló"))</f>
        <v/>
      </c>
    </row>
    <row r="2298" ht="16" customHeight="1">
      <c r="A2298" s="48" t="n"/>
      <c r="B2298" s="48" t="n"/>
      <c r="C2298" s="47" t="n"/>
      <c r="D2298" s="50" t="n"/>
      <c r="E2298" s="50" t="n"/>
      <c r="F2298" s="50" t="n"/>
      <c r="G2298" s="50" t="n"/>
      <c r="H2298" s="48" t="n"/>
      <c r="I2298" s="51" t="n"/>
      <c r="J2298" s="52" t="n"/>
      <c r="K2298" s="47" t="n"/>
      <c r="L2298" s="47" t="n"/>
      <c r="M2298" s="24">
        <f>IF(OR($A2298="",$C2298=""),"",IF($L2298&lt;&gt;"",$L2298-$C2298,TODAY()-$C2298))</f>
        <v/>
      </c>
      <c r="N2298" s="28">
        <f>IF(OR($A2298="",$K2298=""),"",IF($L2298="",IF(TODAY()&gt;$K2298,"Atrasado","En ruta"),IF($L2298&lt;=$K2298,"Sí","No")))</f>
        <v/>
      </c>
      <c r="O2298" s="24">
        <f>IF($A2298="","",COUNTIFS(NOVEDADES!$D$4:$D$1503,$A2298))</f>
        <v/>
      </c>
      <c r="P2298" s="28">
        <f>IF($A2298="","",IF(COUNTIFS(NOVEDADES!$D$4:$D$1503,$A2298,NOVEDADES!$O$4:$O$1503,"SÍ")&gt;0,"No","Sí"))</f>
        <v/>
      </c>
      <c r="Q2298" s="28">
        <f>IF(OR($A2298="",$L2298=""),"",IF(AND($N2298="Sí",$P2298="Sí"),"OTIF","Falló"))</f>
        <v/>
      </c>
    </row>
    <row r="2299" ht="16" customHeight="1">
      <c r="A2299" s="48" t="n"/>
      <c r="B2299" s="48" t="n"/>
      <c r="C2299" s="47" t="n"/>
      <c r="D2299" s="50" t="n"/>
      <c r="E2299" s="50" t="n"/>
      <c r="F2299" s="50" t="n"/>
      <c r="G2299" s="50" t="n"/>
      <c r="H2299" s="48" t="n"/>
      <c r="I2299" s="51" t="n"/>
      <c r="J2299" s="52" t="n"/>
      <c r="K2299" s="47" t="n"/>
      <c r="L2299" s="47" t="n"/>
      <c r="M2299" s="24">
        <f>IF(OR($A2299="",$C2299=""),"",IF($L2299&lt;&gt;"",$L2299-$C2299,TODAY()-$C2299))</f>
        <v/>
      </c>
      <c r="N2299" s="28">
        <f>IF(OR($A2299="",$K2299=""),"",IF($L2299="",IF(TODAY()&gt;$K2299,"Atrasado","En ruta"),IF($L2299&lt;=$K2299,"Sí","No")))</f>
        <v/>
      </c>
      <c r="O2299" s="24">
        <f>IF($A2299="","",COUNTIFS(NOVEDADES!$D$4:$D$1503,$A2299))</f>
        <v/>
      </c>
      <c r="P2299" s="28">
        <f>IF($A2299="","",IF(COUNTIFS(NOVEDADES!$D$4:$D$1503,$A2299,NOVEDADES!$O$4:$O$1503,"SÍ")&gt;0,"No","Sí"))</f>
        <v/>
      </c>
      <c r="Q2299" s="28">
        <f>IF(OR($A2299="",$L2299=""),"",IF(AND($N2299="Sí",$P2299="Sí"),"OTIF","Falló"))</f>
        <v/>
      </c>
    </row>
    <row r="2300" ht="16" customHeight="1">
      <c r="A2300" s="48" t="n"/>
      <c r="B2300" s="48" t="n"/>
      <c r="C2300" s="47" t="n"/>
      <c r="D2300" s="50" t="n"/>
      <c r="E2300" s="50" t="n"/>
      <c r="F2300" s="50" t="n"/>
      <c r="G2300" s="50" t="n"/>
      <c r="H2300" s="48" t="n"/>
      <c r="I2300" s="51" t="n"/>
      <c r="J2300" s="52" t="n"/>
      <c r="K2300" s="47" t="n"/>
      <c r="L2300" s="47" t="n"/>
      <c r="M2300" s="24">
        <f>IF(OR($A2300="",$C2300=""),"",IF($L2300&lt;&gt;"",$L2300-$C2300,TODAY()-$C2300))</f>
        <v/>
      </c>
      <c r="N2300" s="28">
        <f>IF(OR($A2300="",$K2300=""),"",IF($L2300="",IF(TODAY()&gt;$K2300,"Atrasado","En ruta"),IF($L2300&lt;=$K2300,"Sí","No")))</f>
        <v/>
      </c>
      <c r="O2300" s="24">
        <f>IF($A2300="","",COUNTIFS(NOVEDADES!$D$4:$D$1503,$A2300))</f>
        <v/>
      </c>
      <c r="P2300" s="28">
        <f>IF($A2300="","",IF(COUNTIFS(NOVEDADES!$D$4:$D$1503,$A2300,NOVEDADES!$O$4:$O$1503,"SÍ")&gt;0,"No","Sí"))</f>
        <v/>
      </c>
      <c r="Q2300" s="28">
        <f>IF(OR($A2300="",$L2300=""),"",IF(AND($N2300="Sí",$P2300="Sí"),"OTIF","Falló"))</f>
        <v/>
      </c>
    </row>
    <row r="2301" ht="16" customHeight="1">
      <c r="A2301" s="48" t="n"/>
      <c r="B2301" s="48" t="n"/>
      <c r="C2301" s="47" t="n"/>
      <c r="D2301" s="50" t="n"/>
      <c r="E2301" s="50" t="n"/>
      <c r="F2301" s="50" t="n"/>
      <c r="G2301" s="50" t="n"/>
      <c r="H2301" s="48" t="n"/>
      <c r="I2301" s="51" t="n"/>
      <c r="J2301" s="52" t="n"/>
      <c r="K2301" s="47" t="n"/>
      <c r="L2301" s="47" t="n"/>
      <c r="M2301" s="24">
        <f>IF(OR($A2301="",$C2301=""),"",IF($L2301&lt;&gt;"",$L2301-$C2301,TODAY()-$C2301))</f>
        <v/>
      </c>
      <c r="N2301" s="28">
        <f>IF(OR($A2301="",$K2301=""),"",IF($L2301="",IF(TODAY()&gt;$K2301,"Atrasado","En ruta"),IF($L2301&lt;=$K2301,"Sí","No")))</f>
        <v/>
      </c>
      <c r="O2301" s="24">
        <f>IF($A2301="","",COUNTIFS(NOVEDADES!$D$4:$D$1503,$A2301))</f>
        <v/>
      </c>
      <c r="P2301" s="28">
        <f>IF($A2301="","",IF(COUNTIFS(NOVEDADES!$D$4:$D$1503,$A2301,NOVEDADES!$O$4:$O$1503,"SÍ")&gt;0,"No","Sí"))</f>
        <v/>
      </c>
      <c r="Q2301" s="28">
        <f>IF(OR($A2301="",$L2301=""),"",IF(AND($N2301="Sí",$P2301="Sí"),"OTIF","Falló"))</f>
        <v/>
      </c>
    </row>
    <row r="2302" ht="16" customHeight="1">
      <c r="A2302" s="48" t="n"/>
      <c r="B2302" s="48" t="n"/>
      <c r="C2302" s="47" t="n"/>
      <c r="D2302" s="50" t="n"/>
      <c r="E2302" s="50" t="n"/>
      <c r="F2302" s="50" t="n"/>
      <c r="G2302" s="50" t="n"/>
      <c r="H2302" s="48" t="n"/>
      <c r="I2302" s="51" t="n"/>
      <c r="J2302" s="52" t="n"/>
      <c r="K2302" s="47" t="n"/>
      <c r="L2302" s="47" t="n"/>
      <c r="M2302" s="24">
        <f>IF(OR($A2302="",$C2302=""),"",IF($L2302&lt;&gt;"",$L2302-$C2302,TODAY()-$C2302))</f>
        <v/>
      </c>
      <c r="N2302" s="28">
        <f>IF(OR($A2302="",$K2302=""),"",IF($L2302="",IF(TODAY()&gt;$K2302,"Atrasado","En ruta"),IF($L2302&lt;=$K2302,"Sí","No")))</f>
        <v/>
      </c>
      <c r="O2302" s="24">
        <f>IF($A2302="","",COUNTIFS(NOVEDADES!$D$4:$D$1503,$A2302))</f>
        <v/>
      </c>
      <c r="P2302" s="28">
        <f>IF($A2302="","",IF(COUNTIFS(NOVEDADES!$D$4:$D$1503,$A2302,NOVEDADES!$O$4:$O$1503,"SÍ")&gt;0,"No","Sí"))</f>
        <v/>
      </c>
      <c r="Q2302" s="28">
        <f>IF(OR($A2302="",$L2302=""),"",IF(AND($N2302="Sí",$P2302="Sí"),"OTIF","Falló"))</f>
        <v/>
      </c>
    </row>
    <row r="2303" ht="16" customHeight="1">
      <c r="A2303" s="48" t="n"/>
      <c r="B2303" s="48" t="n"/>
      <c r="C2303" s="47" t="n"/>
      <c r="D2303" s="50" t="n"/>
      <c r="E2303" s="50" t="n"/>
      <c r="F2303" s="50" t="n"/>
      <c r="G2303" s="50" t="n"/>
      <c r="H2303" s="48" t="n"/>
      <c r="I2303" s="51" t="n"/>
      <c r="J2303" s="52" t="n"/>
      <c r="K2303" s="47" t="n"/>
      <c r="L2303" s="47" t="n"/>
      <c r="M2303" s="24">
        <f>IF(OR($A2303="",$C2303=""),"",IF($L2303&lt;&gt;"",$L2303-$C2303,TODAY()-$C2303))</f>
        <v/>
      </c>
      <c r="N2303" s="28">
        <f>IF(OR($A2303="",$K2303=""),"",IF($L2303="",IF(TODAY()&gt;$K2303,"Atrasado","En ruta"),IF($L2303&lt;=$K2303,"Sí","No")))</f>
        <v/>
      </c>
      <c r="O2303" s="24">
        <f>IF($A2303="","",COUNTIFS(NOVEDADES!$D$4:$D$1503,$A2303))</f>
        <v/>
      </c>
      <c r="P2303" s="28">
        <f>IF($A2303="","",IF(COUNTIFS(NOVEDADES!$D$4:$D$1503,$A2303,NOVEDADES!$O$4:$O$1503,"SÍ")&gt;0,"No","Sí"))</f>
        <v/>
      </c>
      <c r="Q2303" s="28">
        <f>IF(OR($A2303="",$L2303=""),"",IF(AND($N2303="Sí",$P2303="Sí"),"OTIF","Falló"))</f>
        <v/>
      </c>
    </row>
    <row r="2304" ht="16" customHeight="1">
      <c r="A2304" s="48" t="n"/>
      <c r="B2304" s="48" t="n"/>
      <c r="C2304" s="47" t="n"/>
      <c r="D2304" s="50" t="n"/>
      <c r="E2304" s="50" t="n"/>
      <c r="F2304" s="50" t="n"/>
      <c r="G2304" s="50" t="n"/>
      <c r="H2304" s="48" t="n"/>
      <c r="I2304" s="51" t="n"/>
      <c r="J2304" s="52" t="n"/>
      <c r="K2304" s="47" t="n"/>
      <c r="L2304" s="47" t="n"/>
      <c r="M2304" s="24">
        <f>IF(OR($A2304="",$C2304=""),"",IF($L2304&lt;&gt;"",$L2304-$C2304,TODAY()-$C2304))</f>
        <v/>
      </c>
      <c r="N2304" s="28">
        <f>IF(OR($A2304="",$K2304=""),"",IF($L2304="",IF(TODAY()&gt;$K2304,"Atrasado","En ruta"),IF($L2304&lt;=$K2304,"Sí","No")))</f>
        <v/>
      </c>
      <c r="O2304" s="24">
        <f>IF($A2304="","",COUNTIFS(NOVEDADES!$D$4:$D$1503,$A2304))</f>
        <v/>
      </c>
      <c r="P2304" s="28">
        <f>IF($A2304="","",IF(COUNTIFS(NOVEDADES!$D$4:$D$1503,$A2304,NOVEDADES!$O$4:$O$1503,"SÍ")&gt;0,"No","Sí"))</f>
        <v/>
      </c>
      <c r="Q2304" s="28">
        <f>IF(OR($A2304="",$L2304=""),"",IF(AND($N2304="Sí",$P2304="Sí"),"OTIF","Falló"))</f>
        <v/>
      </c>
    </row>
    <row r="2305" ht="16" customHeight="1">
      <c r="A2305" s="48" t="n"/>
      <c r="B2305" s="48" t="n"/>
      <c r="C2305" s="47" t="n"/>
      <c r="D2305" s="50" t="n"/>
      <c r="E2305" s="50" t="n"/>
      <c r="F2305" s="50" t="n"/>
      <c r="G2305" s="50" t="n"/>
      <c r="H2305" s="48" t="n"/>
      <c r="I2305" s="51" t="n"/>
      <c r="J2305" s="52" t="n"/>
      <c r="K2305" s="47" t="n"/>
      <c r="L2305" s="47" t="n"/>
      <c r="M2305" s="24">
        <f>IF(OR($A2305="",$C2305=""),"",IF($L2305&lt;&gt;"",$L2305-$C2305,TODAY()-$C2305))</f>
        <v/>
      </c>
      <c r="N2305" s="28">
        <f>IF(OR($A2305="",$K2305=""),"",IF($L2305="",IF(TODAY()&gt;$K2305,"Atrasado","En ruta"),IF($L2305&lt;=$K2305,"Sí","No")))</f>
        <v/>
      </c>
      <c r="O2305" s="24">
        <f>IF($A2305="","",COUNTIFS(NOVEDADES!$D$4:$D$1503,$A2305))</f>
        <v/>
      </c>
      <c r="P2305" s="28">
        <f>IF($A2305="","",IF(COUNTIFS(NOVEDADES!$D$4:$D$1503,$A2305,NOVEDADES!$O$4:$O$1503,"SÍ")&gt;0,"No","Sí"))</f>
        <v/>
      </c>
      <c r="Q2305" s="28">
        <f>IF(OR($A2305="",$L2305=""),"",IF(AND($N2305="Sí",$P2305="Sí"),"OTIF","Falló"))</f>
        <v/>
      </c>
    </row>
    <row r="2306" ht="16" customHeight="1">
      <c r="A2306" s="48" t="n"/>
      <c r="B2306" s="48" t="n"/>
      <c r="C2306" s="47" t="n"/>
      <c r="D2306" s="50" t="n"/>
      <c r="E2306" s="50" t="n"/>
      <c r="F2306" s="50" t="n"/>
      <c r="G2306" s="50" t="n"/>
      <c r="H2306" s="48" t="n"/>
      <c r="I2306" s="51" t="n"/>
      <c r="J2306" s="52" t="n"/>
      <c r="K2306" s="47" t="n"/>
      <c r="L2306" s="47" t="n"/>
      <c r="M2306" s="24">
        <f>IF(OR($A2306="",$C2306=""),"",IF($L2306&lt;&gt;"",$L2306-$C2306,TODAY()-$C2306))</f>
        <v/>
      </c>
      <c r="N2306" s="28">
        <f>IF(OR($A2306="",$K2306=""),"",IF($L2306="",IF(TODAY()&gt;$K2306,"Atrasado","En ruta"),IF($L2306&lt;=$K2306,"Sí","No")))</f>
        <v/>
      </c>
      <c r="O2306" s="24">
        <f>IF($A2306="","",COUNTIFS(NOVEDADES!$D$4:$D$1503,$A2306))</f>
        <v/>
      </c>
      <c r="P2306" s="28">
        <f>IF($A2306="","",IF(COUNTIFS(NOVEDADES!$D$4:$D$1503,$A2306,NOVEDADES!$O$4:$O$1503,"SÍ")&gt;0,"No","Sí"))</f>
        <v/>
      </c>
      <c r="Q2306" s="28">
        <f>IF(OR($A2306="",$L2306=""),"",IF(AND($N2306="Sí",$P2306="Sí"),"OTIF","Falló"))</f>
        <v/>
      </c>
    </row>
    <row r="2307" ht="16" customHeight="1">
      <c r="A2307" s="48" t="n"/>
      <c r="B2307" s="48" t="n"/>
      <c r="C2307" s="47" t="n"/>
      <c r="D2307" s="50" t="n"/>
      <c r="E2307" s="50" t="n"/>
      <c r="F2307" s="50" t="n"/>
      <c r="G2307" s="50" t="n"/>
      <c r="H2307" s="48" t="n"/>
      <c r="I2307" s="51" t="n"/>
      <c r="J2307" s="52" t="n"/>
      <c r="K2307" s="47" t="n"/>
      <c r="L2307" s="47" t="n"/>
      <c r="M2307" s="24">
        <f>IF(OR($A2307="",$C2307=""),"",IF($L2307&lt;&gt;"",$L2307-$C2307,TODAY()-$C2307))</f>
        <v/>
      </c>
      <c r="N2307" s="28">
        <f>IF(OR($A2307="",$K2307=""),"",IF($L2307="",IF(TODAY()&gt;$K2307,"Atrasado","En ruta"),IF($L2307&lt;=$K2307,"Sí","No")))</f>
        <v/>
      </c>
      <c r="O2307" s="24">
        <f>IF($A2307="","",COUNTIFS(NOVEDADES!$D$4:$D$1503,$A2307))</f>
        <v/>
      </c>
      <c r="P2307" s="28">
        <f>IF($A2307="","",IF(COUNTIFS(NOVEDADES!$D$4:$D$1503,$A2307,NOVEDADES!$O$4:$O$1503,"SÍ")&gt;0,"No","Sí"))</f>
        <v/>
      </c>
      <c r="Q2307" s="28">
        <f>IF(OR($A2307="",$L2307=""),"",IF(AND($N2307="Sí",$P2307="Sí"),"OTIF","Falló"))</f>
        <v/>
      </c>
    </row>
    <row r="2308" ht="16" customHeight="1">
      <c r="A2308" s="48" t="n"/>
      <c r="B2308" s="48" t="n"/>
      <c r="C2308" s="47" t="n"/>
      <c r="D2308" s="50" t="n"/>
      <c r="E2308" s="50" t="n"/>
      <c r="F2308" s="50" t="n"/>
      <c r="G2308" s="50" t="n"/>
      <c r="H2308" s="48" t="n"/>
      <c r="I2308" s="51" t="n"/>
      <c r="J2308" s="52" t="n"/>
      <c r="K2308" s="47" t="n"/>
      <c r="L2308" s="47" t="n"/>
      <c r="M2308" s="24">
        <f>IF(OR($A2308="",$C2308=""),"",IF($L2308&lt;&gt;"",$L2308-$C2308,TODAY()-$C2308))</f>
        <v/>
      </c>
      <c r="N2308" s="28">
        <f>IF(OR($A2308="",$K2308=""),"",IF($L2308="",IF(TODAY()&gt;$K2308,"Atrasado","En ruta"),IF($L2308&lt;=$K2308,"Sí","No")))</f>
        <v/>
      </c>
      <c r="O2308" s="24">
        <f>IF($A2308="","",COUNTIFS(NOVEDADES!$D$4:$D$1503,$A2308))</f>
        <v/>
      </c>
      <c r="P2308" s="28">
        <f>IF($A2308="","",IF(COUNTIFS(NOVEDADES!$D$4:$D$1503,$A2308,NOVEDADES!$O$4:$O$1503,"SÍ")&gt;0,"No","Sí"))</f>
        <v/>
      </c>
      <c r="Q2308" s="28">
        <f>IF(OR($A2308="",$L2308=""),"",IF(AND($N2308="Sí",$P2308="Sí"),"OTIF","Falló"))</f>
        <v/>
      </c>
    </row>
    <row r="2309" ht="16" customHeight="1">
      <c r="A2309" s="48" t="n"/>
      <c r="B2309" s="48" t="n"/>
      <c r="C2309" s="47" t="n"/>
      <c r="D2309" s="50" t="n"/>
      <c r="E2309" s="50" t="n"/>
      <c r="F2309" s="50" t="n"/>
      <c r="G2309" s="50" t="n"/>
      <c r="H2309" s="48" t="n"/>
      <c r="I2309" s="51" t="n"/>
      <c r="J2309" s="52" t="n"/>
      <c r="K2309" s="47" t="n"/>
      <c r="L2309" s="47" t="n"/>
      <c r="M2309" s="24">
        <f>IF(OR($A2309="",$C2309=""),"",IF($L2309&lt;&gt;"",$L2309-$C2309,TODAY()-$C2309))</f>
        <v/>
      </c>
      <c r="N2309" s="28">
        <f>IF(OR($A2309="",$K2309=""),"",IF($L2309="",IF(TODAY()&gt;$K2309,"Atrasado","En ruta"),IF($L2309&lt;=$K2309,"Sí","No")))</f>
        <v/>
      </c>
      <c r="O2309" s="24">
        <f>IF($A2309="","",COUNTIFS(NOVEDADES!$D$4:$D$1503,$A2309))</f>
        <v/>
      </c>
      <c r="P2309" s="28">
        <f>IF($A2309="","",IF(COUNTIFS(NOVEDADES!$D$4:$D$1503,$A2309,NOVEDADES!$O$4:$O$1503,"SÍ")&gt;0,"No","Sí"))</f>
        <v/>
      </c>
      <c r="Q2309" s="28">
        <f>IF(OR($A2309="",$L2309=""),"",IF(AND($N2309="Sí",$P2309="Sí"),"OTIF","Falló"))</f>
        <v/>
      </c>
    </row>
    <row r="2310" ht="16" customHeight="1">
      <c r="A2310" s="48" t="n"/>
      <c r="B2310" s="48" t="n"/>
      <c r="C2310" s="47" t="n"/>
      <c r="D2310" s="50" t="n"/>
      <c r="E2310" s="50" t="n"/>
      <c r="F2310" s="50" t="n"/>
      <c r="G2310" s="50" t="n"/>
      <c r="H2310" s="48" t="n"/>
      <c r="I2310" s="51" t="n"/>
      <c r="J2310" s="52" t="n"/>
      <c r="K2310" s="47" t="n"/>
      <c r="L2310" s="47" t="n"/>
      <c r="M2310" s="24">
        <f>IF(OR($A2310="",$C2310=""),"",IF($L2310&lt;&gt;"",$L2310-$C2310,TODAY()-$C2310))</f>
        <v/>
      </c>
      <c r="N2310" s="28">
        <f>IF(OR($A2310="",$K2310=""),"",IF($L2310="",IF(TODAY()&gt;$K2310,"Atrasado","En ruta"),IF($L2310&lt;=$K2310,"Sí","No")))</f>
        <v/>
      </c>
      <c r="O2310" s="24">
        <f>IF($A2310="","",COUNTIFS(NOVEDADES!$D$4:$D$1503,$A2310))</f>
        <v/>
      </c>
      <c r="P2310" s="28">
        <f>IF($A2310="","",IF(COUNTIFS(NOVEDADES!$D$4:$D$1503,$A2310,NOVEDADES!$O$4:$O$1503,"SÍ")&gt;0,"No","Sí"))</f>
        <v/>
      </c>
      <c r="Q2310" s="28">
        <f>IF(OR($A2310="",$L2310=""),"",IF(AND($N2310="Sí",$P2310="Sí"),"OTIF","Falló"))</f>
        <v/>
      </c>
    </row>
    <row r="2311" ht="16" customHeight="1">
      <c r="A2311" s="48" t="n"/>
      <c r="B2311" s="48" t="n"/>
      <c r="C2311" s="47" t="n"/>
      <c r="D2311" s="50" t="n"/>
      <c r="E2311" s="50" t="n"/>
      <c r="F2311" s="50" t="n"/>
      <c r="G2311" s="50" t="n"/>
      <c r="H2311" s="48" t="n"/>
      <c r="I2311" s="51" t="n"/>
      <c r="J2311" s="52" t="n"/>
      <c r="K2311" s="47" t="n"/>
      <c r="L2311" s="47" t="n"/>
      <c r="M2311" s="24">
        <f>IF(OR($A2311="",$C2311=""),"",IF($L2311&lt;&gt;"",$L2311-$C2311,TODAY()-$C2311))</f>
        <v/>
      </c>
      <c r="N2311" s="28">
        <f>IF(OR($A2311="",$K2311=""),"",IF($L2311="",IF(TODAY()&gt;$K2311,"Atrasado","En ruta"),IF($L2311&lt;=$K2311,"Sí","No")))</f>
        <v/>
      </c>
      <c r="O2311" s="24">
        <f>IF($A2311="","",COUNTIFS(NOVEDADES!$D$4:$D$1503,$A2311))</f>
        <v/>
      </c>
      <c r="P2311" s="28">
        <f>IF($A2311="","",IF(COUNTIFS(NOVEDADES!$D$4:$D$1503,$A2311,NOVEDADES!$O$4:$O$1503,"SÍ")&gt;0,"No","Sí"))</f>
        <v/>
      </c>
      <c r="Q2311" s="28">
        <f>IF(OR($A2311="",$L2311=""),"",IF(AND($N2311="Sí",$P2311="Sí"),"OTIF","Falló"))</f>
        <v/>
      </c>
    </row>
    <row r="2312" ht="16" customHeight="1">
      <c r="A2312" s="48" t="n"/>
      <c r="B2312" s="48" t="n"/>
      <c r="C2312" s="47" t="n"/>
      <c r="D2312" s="50" t="n"/>
      <c r="E2312" s="50" t="n"/>
      <c r="F2312" s="50" t="n"/>
      <c r="G2312" s="50" t="n"/>
      <c r="H2312" s="48" t="n"/>
      <c r="I2312" s="51" t="n"/>
      <c r="J2312" s="52" t="n"/>
      <c r="K2312" s="47" t="n"/>
      <c r="L2312" s="47" t="n"/>
      <c r="M2312" s="24">
        <f>IF(OR($A2312="",$C2312=""),"",IF($L2312&lt;&gt;"",$L2312-$C2312,TODAY()-$C2312))</f>
        <v/>
      </c>
      <c r="N2312" s="28">
        <f>IF(OR($A2312="",$K2312=""),"",IF($L2312="",IF(TODAY()&gt;$K2312,"Atrasado","En ruta"),IF($L2312&lt;=$K2312,"Sí","No")))</f>
        <v/>
      </c>
      <c r="O2312" s="24">
        <f>IF($A2312="","",COUNTIFS(NOVEDADES!$D$4:$D$1503,$A2312))</f>
        <v/>
      </c>
      <c r="P2312" s="28">
        <f>IF($A2312="","",IF(COUNTIFS(NOVEDADES!$D$4:$D$1503,$A2312,NOVEDADES!$O$4:$O$1503,"SÍ")&gt;0,"No","Sí"))</f>
        <v/>
      </c>
      <c r="Q2312" s="28">
        <f>IF(OR($A2312="",$L2312=""),"",IF(AND($N2312="Sí",$P2312="Sí"),"OTIF","Falló"))</f>
        <v/>
      </c>
    </row>
    <row r="2313" ht="16" customHeight="1">
      <c r="A2313" s="48" t="n"/>
      <c r="B2313" s="48" t="n"/>
      <c r="C2313" s="47" t="n"/>
      <c r="D2313" s="50" t="n"/>
      <c r="E2313" s="50" t="n"/>
      <c r="F2313" s="50" t="n"/>
      <c r="G2313" s="50" t="n"/>
      <c r="H2313" s="48" t="n"/>
      <c r="I2313" s="51" t="n"/>
      <c r="J2313" s="52" t="n"/>
      <c r="K2313" s="47" t="n"/>
      <c r="L2313" s="47" t="n"/>
      <c r="M2313" s="24">
        <f>IF(OR($A2313="",$C2313=""),"",IF($L2313&lt;&gt;"",$L2313-$C2313,TODAY()-$C2313))</f>
        <v/>
      </c>
      <c r="N2313" s="28">
        <f>IF(OR($A2313="",$K2313=""),"",IF($L2313="",IF(TODAY()&gt;$K2313,"Atrasado","En ruta"),IF($L2313&lt;=$K2313,"Sí","No")))</f>
        <v/>
      </c>
      <c r="O2313" s="24">
        <f>IF($A2313="","",COUNTIFS(NOVEDADES!$D$4:$D$1503,$A2313))</f>
        <v/>
      </c>
      <c r="P2313" s="28">
        <f>IF($A2313="","",IF(COUNTIFS(NOVEDADES!$D$4:$D$1503,$A2313,NOVEDADES!$O$4:$O$1503,"SÍ")&gt;0,"No","Sí"))</f>
        <v/>
      </c>
      <c r="Q2313" s="28">
        <f>IF(OR($A2313="",$L2313=""),"",IF(AND($N2313="Sí",$P2313="Sí"),"OTIF","Falló"))</f>
        <v/>
      </c>
    </row>
    <row r="2314" ht="16" customHeight="1">
      <c r="A2314" s="48" t="n"/>
      <c r="B2314" s="48" t="n"/>
      <c r="C2314" s="47" t="n"/>
      <c r="D2314" s="50" t="n"/>
      <c r="E2314" s="50" t="n"/>
      <c r="F2314" s="50" t="n"/>
      <c r="G2314" s="50" t="n"/>
      <c r="H2314" s="48" t="n"/>
      <c r="I2314" s="51" t="n"/>
      <c r="J2314" s="52" t="n"/>
      <c r="K2314" s="47" t="n"/>
      <c r="L2314" s="47" t="n"/>
      <c r="M2314" s="24">
        <f>IF(OR($A2314="",$C2314=""),"",IF($L2314&lt;&gt;"",$L2314-$C2314,TODAY()-$C2314))</f>
        <v/>
      </c>
      <c r="N2314" s="28">
        <f>IF(OR($A2314="",$K2314=""),"",IF($L2314="",IF(TODAY()&gt;$K2314,"Atrasado","En ruta"),IF($L2314&lt;=$K2314,"Sí","No")))</f>
        <v/>
      </c>
      <c r="O2314" s="24">
        <f>IF($A2314="","",COUNTIFS(NOVEDADES!$D$4:$D$1503,$A2314))</f>
        <v/>
      </c>
      <c r="P2314" s="28">
        <f>IF($A2314="","",IF(COUNTIFS(NOVEDADES!$D$4:$D$1503,$A2314,NOVEDADES!$O$4:$O$1503,"SÍ")&gt;0,"No","Sí"))</f>
        <v/>
      </c>
      <c r="Q2314" s="28">
        <f>IF(OR($A2314="",$L2314=""),"",IF(AND($N2314="Sí",$P2314="Sí"),"OTIF","Falló"))</f>
        <v/>
      </c>
    </row>
    <row r="2315" ht="16" customHeight="1">
      <c r="A2315" s="48" t="n"/>
      <c r="B2315" s="48" t="n"/>
      <c r="C2315" s="47" t="n"/>
      <c r="D2315" s="50" t="n"/>
      <c r="E2315" s="50" t="n"/>
      <c r="F2315" s="50" t="n"/>
      <c r="G2315" s="50" t="n"/>
      <c r="H2315" s="48" t="n"/>
      <c r="I2315" s="51" t="n"/>
      <c r="J2315" s="52" t="n"/>
      <c r="K2315" s="47" t="n"/>
      <c r="L2315" s="47" t="n"/>
      <c r="M2315" s="24">
        <f>IF(OR($A2315="",$C2315=""),"",IF($L2315&lt;&gt;"",$L2315-$C2315,TODAY()-$C2315))</f>
        <v/>
      </c>
      <c r="N2315" s="28">
        <f>IF(OR($A2315="",$K2315=""),"",IF($L2315="",IF(TODAY()&gt;$K2315,"Atrasado","En ruta"),IF($L2315&lt;=$K2315,"Sí","No")))</f>
        <v/>
      </c>
      <c r="O2315" s="24">
        <f>IF($A2315="","",COUNTIFS(NOVEDADES!$D$4:$D$1503,$A2315))</f>
        <v/>
      </c>
      <c r="P2315" s="28">
        <f>IF($A2315="","",IF(COUNTIFS(NOVEDADES!$D$4:$D$1503,$A2315,NOVEDADES!$O$4:$O$1503,"SÍ")&gt;0,"No","Sí"))</f>
        <v/>
      </c>
      <c r="Q2315" s="28">
        <f>IF(OR($A2315="",$L2315=""),"",IF(AND($N2315="Sí",$P2315="Sí"),"OTIF","Falló"))</f>
        <v/>
      </c>
    </row>
    <row r="2316" ht="16" customHeight="1">
      <c r="A2316" s="48" t="n"/>
      <c r="B2316" s="48" t="n"/>
      <c r="C2316" s="47" t="n"/>
      <c r="D2316" s="50" t="n"/>
      <c r="E2316" s="50" t="n"/>
      <c r="F2316" s="50" t="n"/>
      <c r="G2316" s="50" t="n"/>
      <c r="H2316" s="48" t="n"/>
      <c r="I2316" s="51" t="n"/>
      <c r="J2316" s="52" t="n"/>
      <c r="K2316" s="47" t="n"/>
      <c r="L2316" s="47" t="n"/>
      <c r="M2316" s="24">
        <f>IF(OR($A2316="",$C2316=""),"",IF($L2316&lt;&gt;"",$L2316-$C2316,TODAY()-$C2316))</f>
        <v/>
      </c>
      <c r="N2316" s="28">
        <f>IF(OR($A2316="",$K2316=""),"",IF($L2316="",IF(TODAY()&gt;$K2316,"Atrasado","En ruta"),IF($L2316&lt;=$K2316,"Sí","No")))</f>
        <v/>
      </c>
      <c r="O2316" s="24">
        <f>IF($A2316="","",COUNTIFS(NOVEDADES!$D$4:$D$1503,$A2316))</f>
        <v/>
      </c>
      <c r="P2316" s="28">
        <f>IF($A2316="","",IF(COUNTIFS(NOVEDADES!$D$4:$D$1503,$A2316,NOVEDADES!$O$4:$O$1503,"SÍ")&gt;0,"No","Sí"))</f>
        <v/>
      </c>
      <c r="Q2316" s="28">
        <f>IF(OR($A2316="",$L2316=""),"",IF(AND($N2316="Sí",$P2316="Sí"),"OTIF","Falló"))</f>
        <v/>
      </c>
    </row>
    <row r="2317" ht="16" customHeight="1">
      <c r="A2317" s="48" t="n"/>
      <c r="B2317" s="48" t="n"/>
      <c r="C2317" s="47" t="n"/>
      <c r="D2317" s="50" t="n"/>
      <c r="E2317" s="50" t="n"/>
      <c r="F2317" s="50" t="n"/>
      <c r="G2317" s="50" t="n"/>
      <c r="H2317" s="48" t="n"/>
      <c r="I2317" s="51" t="n"/>
      <c r="J2317" s="52" t="n"/>
      <c r="K2317" s="47" t="n"/>
      <c r="L2317" s="47" t="n"/>
      <c r="M2317" s="24">
        <f>IF(OR($A2317="",$C2317=""),"",IF($L2317&lt;&gt;"",$L2317-$C2317,TODAY()-$C2317))</f>
        <v/>
      </c>
      <c r="N2317" s="28">
        <f>IF(OR($A2317="",$K2317=""),"",IF($L2317="",IF(TODAY()&gt;$K2317,"Atrasado","En ruta"),IF($L2317&lt;=$K2317,"Sí","No")))</f>
        <v/>
      </c>
      <c r="O2317" s="24">
        <f>IF($A2317="","",COUNTIFS(NOVEDADES!$D$4:$D$1503,$A2317))</f>
        <v/>
      </c>
      <c r="P2317" s="28">
        <f>IF($A2317="","",IF(COUNTIFS(NOVEDADES!$D$4:$D$1503,$A2317,NOVEDADES!$O$4:$O$1503,"SÍ")&gt;0,"No","Sí"))</f>
        <v/>
      </c>
      <c r="Q2317" s="28">
        <f>IF(OR($A2317="",$L2317=""),"",IF(AND($N2317="Sí",$P2317="Sí"),"OTIF","Falló"))</f>
        <v/>
      </c>
    </row>
    <row r="2318" ht="16" customHeight="1">
      <c r="A2318" s="48" t="n"/>
      <c r="B2318" s="48" t="n"/>
      <c r="C2318" s="47" t="n"/>
      <c r="D2318" s="50" t="n"/>
      <c r="E2318" s="50" t="n"/>
      <c r="F2318" s="50" t="n"/>
      <c r="G2318" s="50" t="n"/>
      <c r="H2318" s="48" t="n"/>
      <c r="I2318" s="51" t="n"/>
      <c r="J2318" s="52" t="n"/>
      <c r="K2318" s="47" t="n"/>
      <c r="L2318" s="47" t="n"/>
      <c r="M2318" s="24">
        <f>IF(OR($A2318="",$C2318=""),"",IF($L2318&lt;&gt;"",$L2318-$C2318,TODAY()-$C2318))</f>
        <v/>
      </c>
      <c r="N2318" s="28">
        <f>IF(OR($A2318="",$K2318=""),"",IF($L2318="",IF(TODAY()&gt;$K2318,"Atrasado","En ruta"),IF($L2318&lt;=$K2318,"Sí","No")))</f>
        <v/>
      </c>
      <c r="O2318" s="24">
        <f>IF($A2318="","",COUNTIFS(NOVEDADES!$D$4:$D$1503,$A2318))</f>
        <v/>
      </c>
      <c r="P2318" s="28">
        <f>IF($A2318="","",IF(COUNTIFS(NOVEDADES!$D$4:$D$1503,$A2318,NOVEDADES!$O$4:$O$1503,"SÍ")&gt;0,"No","Sí"))</f>
        <v/>
      </c>
      <c r="Q2318" s="28">
        <f>IF(OR($A2318="",$L2318=""),"",IF(AND($N2318="Sí",$P2318="Sí"),"OTIF","Falló"))</f>
        <v/>
      </c>
    </row>
    <row r="2319" ht="16" customHeight="1">
      <c r="A2319" s="48" t="n"/>
      <c r="B2319" s="48" t="n"/>
      <c r="C2319" s="47" t="n"/>
      <c r="D2319" s="50" t="n"/>
      <c r="E2319" s="50" t="n"/>
      <c r="F2319" s="50" t="n"/>
      <c r="G2319" s="50" t="n"/>
      <c r="H2319" s="48" t="n"/>
      <c r="I2319" s="51" t="n"/>
      <c r="J2319" s="52" t="n"/>
      <c r="K2319" s="47" t="n"/>
      <c r="L2319" s="47" t="n"/>
      <c r="M2319" s="24">
        <f>IF(OR($A2319="",$C2319=""),"",IF($L2319&lt;&gt;"",$L2319-$C2319,TODAY()-$C2319))</f>
        <v/>
      </c>
      <c r="N2319" s="28">
        <f>IF(OR($A2319="",$K2319=""),"",IF($L2319="",IF(TODAY()&gt;$K2319,"Atrasado","En ruta"),IF($L2319&lt;=$K2319,"Sí","No")))</f>
        <v/>
      </c>
      <c r="O2319" s="24">
        <f>IF($A2319="","",COUNTIFS(NOVEDADES!$D$4:$D$1503,$A2319))</f>
        <v/>
      </c>
      <c r="P2319" s="28">
        <f>IF($A2319="","",IF(COUNTIFS(NOVEDADES!$D$4:$D$1503,$A2319,NOVEDADES!$O$4:$O$1503,"SÍ")&gt;0,"No","Sí"))</f>
        <v/>
      </c>
      <c r="Q2319" s="28">
        <f>IF(OR($A2319="",$L2319=""),"",IF(AND($N2319="Sí",$P2319="Sí"),"OTIF","Falló"))</f>
        <v/>
      </c>
    </row>
    <row r="2320" ht="16" customHeight="1">
      <c r="A2320" s="48" t="n"/>
      <c r="B2320" s="48" t="n"/>
      <c r="C2320" s="47" t="n"/>
      <c r="D2320" s="50" t="n"/>
      <c r="E2320" s="50" t="n"/>
      <c r="F2320" s="50" t="n"/>
      <c r="G2320" s="50" t="n"/>
      <c r="H2320" s="48" t="n"/>
      <c r="I2320" s="51" t="n"/>
      <c r="J2320" s="52" t="n"/>
      <c r="K2320" s="47" t="n"/>
      <c r="L2320" s="47" t="n"/>
      <c r="M2320" s="24">
        <f>IF(OR($A2320="",$C2320=""),"",IF($L2320&lt;&gt;"",$L2320-$C2320,TODAY()-$C2320))</f>
        <v/>
      </c>
      <c r="N2320" s="28">
        <f>IF(OR($A2320="",$K2320=""),"",IF($L2320="",IF(TODAY()&gt;$K2320,"Atrasado","En ruta"),IF($L2320&lt;=$K2320,"Sí","No")))</f>
        <v/>
      </c>
      <c r="O2320" s="24">
        <f>IF($A2320="","",COUNTIFS(NOVEDADES!$D$4:$D$1503,$A2320))</f>
        <v/>
      </c>
      <c r="P2320" s="28">
        <f>IF($A2320="","",IF(COUNTIFS(NOVEDADES!$D$4:$D$1503,$A2320,NOVEDADES!$O$4:$O$1503,"SÍ")&gt;0,"No","Sí"))</f>
        <v/>
      </c>
      <c r="Q2320" s="28">
        <f>IF(OR($A2320="",$L2320=""),"",IF(AND($N2320="Sí",$P2320="Sí"),"OTIF","Falló"))</f>
        <v/>
      </c>
    </row>
    <row r="2321" ht="16" customHeight="1">
      <c r="A2321" s="48" t="n"/>
      <c r="B2321" s="48" t="n"/>
      <c r="C2321" s="47" t="n"/>
      <c r="D2321" s="50" t="n"/>
      <c r="E2321" s="50" t="n"/>
      <c r="F2321" s="50" t="n"/>
      <c r="G2321" s="50" t="n"/>
      <c r="H2321" s="48" t="n"/>
      <c r="I2321" s="51" t="n"/>
      <c r="J2321" s="52" t="n"/>
      <c r="K2321" s="47" t="n"/>
      <c r="L2321" s="47" t="n"/>
      <c r="M2321" s="24">
        <f>IF(OR($A2321="",$C2321=""),"",IF($L2321&lt;&gt;"",$L2321-$C2321,TODAY()-$C2321))</f>
        <v/>
      </c>
      <c r="N2321" s="28">
        <f>IF(OR($A2321="",$K2321=""),"",IF($L2321="",IF(TODAY()&gt;$K2321,"Atrasado","En ruta"),IF($L2321&lt;=$K2321,"Sí","No")))</f>
        <v/>
      </c>
      <c r="O2321" s="24">
        <f>IF($A2321="","",COUNTIFS(NOVEDADES!$D$4:$D$1503,$A2321))</f>
        <v/>
      </c>
      <c r="P2321" s="28">
        <f>IF($A2321="","",IF(COUNTIFS(NOVEDADES!$D$4:$D$1503,$A2321,NOVEDADES!$O$4:$O$1503,"SÍ")&gt;0,"No","Sí"))</f>
        <v/>
      </c>
      <c r="Q2321" s="28">
        <f>IF(OR($A2321="",$L2321=""),"",IF(AND($N2321="Sí",$P2321="Sí"),"OTIF","Falló"))</f>
        <v/>
      </c>
    </row>
    <row r="2322" ht="16" customHeight="1">
      <c r="A2322" s="48" t="n"/>
      <c r="B2322" s="48" t="n"/>
      <c r="C2322" s="47" t="n"/>
      <c r="D2322" s="50" t="n"/>
      <c r="E2322" s="50" t="n"/>
      <c r="F2322" s="50" t="n"/>
      <c r="G2322" s="50" t="n"/>
      <c r="H2322" s="48" t="n"/>
      <c r="I2322" s="51" t="n"/>
      <c r="J2322" s="52" t="n"/>
      <c r="K2322" s="47" t="n"/>
      <c r="L2322" s="47" t="n"/>
      <c r="M2322" s="24">
        <f>IF(OR($A2322="",$C2322=""),"",IF($L2322&lt;&gt;"",$L2322-$C2322,TODAY()-$C2322))</f>
        <v/>
      </c>
      <c r="N2322" s="28">
        <f>IF(OR($A2322="",$K2322=""),"",IF($L2322="",IF(TODAY()&gt;$K2322,"Atrasado","En ruta"),IF($L2322&lt;=$K2322,"Sí","No")))</f>
        <v/>
      </c>
      <c r="O2322" s="24">
        <f>IF($A2322="","",COUNTIFS(NOVEDADES!$D$4:$D$1503,$A2322))</f>
        <v/>
      </c>
      <c r="P2322" s="28">
        <f>IF($A2322="","",IF(COUNTIFS(NOVEDADES!$D$4:$D$1503,$A2322,NOVEDADES!$O$4:$O$1503,"SÍ")&gt;0,"No","Sí"))</f>
        <v/>
      </c>
      <c r="Q2322" s="28">
        <f>IF(OR($A2322="",$L2322=""),"",IF(AND($N2322="Sí",$P2322="Sí"),"OTIF","Falló"))</f>
        <v/>
      </c>
    </row>
    <row r="2323" ht="16" customHeight="1">
      <c r="A2323" s="48" t="n"/>
      <c r="B2323" s="48" t="n"/>
      <c r="C2323" s="47" t="n"/>
      <c r="D2323" s="50" t="n"/>
      <c r="E2323" s="50" t="n"/>
      <c r="F2323" s="50" t="n"/>
      <c r="G2323" s="50" t="n"/>
      <c r="H2323" s="48" t="n"/>
      <c r="I2323" s="51" t="n"/>
      <c r="J2323" s="52" t="n"/>
      <c r="K2323" s="47" t="n"/>
      <c r="L2323" s="47" t="n"/>
      <c r="M2323" s="24">
        <f>IF(OR($A2323="",$C2323=""),"",IF($L2323&lt;&gt;"",$L2323-$C2323,TODAY()-$C2323))</f>
        <v/>
      </c>
      <c r="N2323" s="28">
        <f>IF(OR($A2323="",$K2323=""),"",IF($L2323="",IF(TODAY()&gt;$K2323,"Atrasado","En ruta"),IF($L2323&lt;=$K2323,"Sí","No")))</f>
        <v/>
      </c>
      <c r="O2323" s="24">
        <f>IF($A2323="","",COUNTIFS(NOVEDADES!$D$4:$D$1503,$A2323))</f>
        <v/>
      </c>
      <c r="P2323" s="28">
        <f>IF($A2323="","",IF(COUNTIFS(NOVEDADES!$D$4:$D$1503,$A2323,NOVEDADES!$O$4:$O$1503,"SÍ")&gt;0,"No","Sí"))</f>
        <v/>
      </c>
      <c r="Q2323" s="28">
        <f>IF(OR($A2323="",$L2323=""),"",IF(AND($N2323="Sí",$P2323="Sí"),"OTIF","Falló"))</f>
        <v/>
      </c>
    </row>
    <row r="2324" ht="16" customHeight="1">
      <c r="A2324" s="48" t="n"/>
      <c r="B2324" s="48" t="n"/>
      <c r="C2324" s="47" t="n"/>
      <c r="D2324" s="50" t="n"/>
      <c r="E2324" s="50" t="n"/>
      <c r="F2324" s="50" t="n"/>
      <c r="G2324" s="50" t="n"/>
      <c r="H2324" s="48" t="n"/>
      <c r="I2324" s="51" t="n"/>
      <c r="J2324" s="52" t="n"/>
      <c r="K2324" s="47" t="n"/>
      <c r="L2324" s="47" t="n"/>
      <c r="M2324" s="24">
        <f>IF(OR($A2324="",$C2324=""),"",IF($L2324&lt;&gt;"",$L2324-$C2324,TODAY()-$C2324))</f>
        <v/>
      </c>
      <c r="N2324" s="28">
        <f>IF(OR($A2324="",$K2324=""),"",IF($L2324="",IF(TODAY()&gt;$K2324,"Atrasado","En ruta"),IF($L2324&lt;=$K2324,"Sí","No")))</f>
        <v/>
      </c>
      <c r="O2324" s="24">
        <f>IF($A2324="","",COUNTIFS(NOVEDADES!$D$4:$D$1503,$A2324))</f>
        <v/>
      </c>
      <c r="P2324" s="28">
        <f>IF($A2324="","",IF(COUNTIFS(NOVEDADES!$D$4:$D$1503,$A2324,NOVEDADES!$O$4:$O$1503,"SÍ")&gt;0,"No","Sí"))</f>
        <v/>
      </c>
      <c r="Q2324" s="28">
        <f>IF(OR($A2324="",$L2324=""),"",IF(AND($N2324="Sí",$P2324="Sí"),"OTIF","Falló"))</f>
        <v/>
      </c>
    </row>
    <row r="2325" ht="16" customHeight="1">
      <c r="A2325" s="48" t="n"/>
      <c r="B2325" s="48" t="n"/>
      <c r="C2325" s="47" t="n"/>
      <c r="D2325" s="50" t="n"/>
      <c r="E2325" s="50" t="n"/>
      <c r="F2325" s="50" t="n"/>
      <c r="G2325" s="50" t="n"/>
      <c r="H2325" s="48" t="n"/>
      <c r="I2325" s="51" t="n"/>
      <c r="J2325" s="52" t="n"/>
      <c r="K2325" s="47" t="n"/>
      <c r="L2325" s="47" t="n"/>
      <c r="M2325" s="24">
        <f>IF(OR($A2325="",$C2325=""),"",IF($L2325&lt;&gt;"",$L2325-$C2325,TODAY()-$C2325))</f>
        <v/>
      </c>
      <c r="N2325" s="28">
        <f>IF(OR($A2325="",$K2325=""),"",IF($L2325="",IF(TODAY()&gt;$K2325,"Atrasado","En ruta"),IF($L2325&lt;=$K2325,"Sí","No")))</f>
        <v/>
      </c>
      <c r="O2325" s="24">
        <f>IF($A2325="","",COUNTIFS(NOVEDADES!$D$4:$D$1503,$A2325))</f>
        <v/>
      </c>
      <c r="P2325" s="28">
        <f>IF($A2325="","",IF(COUNTIFS(NOVEDADES!$D$4:$D$1503,$A2325,NOVEDADES!$O$4:$O$1503,"SÍ")&gt;0,"No","Sí"))</f>
        <v/>
      </c>
      <c r="Q2325" s="28">
        <f>IF(OR($A2325="",$L2325=""),"",IF(AND($N2325="Sí",$P2325="Sí"),"OTIF","Falló"))</f>
        <v/>
      </c>
    </row>
    <row r="2326" ht="16" customHeight="1">
      <c r="A2326" s="48" t="n"/>
      <c r="B2326" s="48" t="n"/>
      <c r="C2326" s="47" t="n"/>
      <c r="D2326" s="50" t="n"/>
      <c r="E2326" s="50" t="n"/>
      <c r="F2326" s="50" t="n"/>
      <c r="G2326" s="50" t="n"/>
      <c r="H2326" s="48" t="n"/>
      <c r="I2326" s="51" t="n"/>
      <c r="J2326" s="52" t="n"/>
      <c r="K2326" s="47" t="n"/>
      <c r="L2326" s="47" t="n"/>
      <c r="M2326" s="24">
        <f>IF(OR($A2326="",$C2326=""),"",IF($L2326&lt;&gt;"",$L2326-$C2326,TODAY()-$C2326))</f>
        <v/>
      </c>
      <c r="N2326" s="28">
        <f>IF(OR($A2326="",$K2326=""),"",IF($L2326="",IF(TODAY()&gt;$K2326,"Atrasado","En ruta"),IF($L2326&lt;=$K2326,"Sí","No")))</f>
        <v/>
      </c>
      <c r="O2326" s="24">
        <f>IF($A2326="","",COUNTIFS(NOVEDADES!$D$4:$D$1503,$A2326))</f>
        <v/>
      </c>
      <c r="P2326" s="28">
        <f>IF($A2326="","",IF(COUNTIFS(NOVEDADES!$D$4:$D$1503,$A2326,NOVEDADES!$O$4:$O$1503,"SÍ")&gt;0,"No","Sí"))</f>
        <v/>
      </c>
      <c r="Q2326" s="28">
        <f>IF(OR($A2326="",$L2326=""),"",IF(AND($N2326="Sí",$P2326="Sí"),"OTIF","Falló"))</f>
        <v/>
      </c>
    </row>
    <row r="2327" ht="16" customHeight="1">
      <c r="A2327" s="48" t="n"/>
      <c r="B2327" s="48" t="n"/>
      <c r="C2327" s="47" t="n"/>
      <c r="D2327" s="50" t="n"/>
      <c r="E2327" s="50" t="n"/>
      <c r="F2327" s="50" t="n"/>
      <c r="G2327" s="50" t="n"/>
      <c r="H2327" s="48" t="n"/>
      <c r="I2327" s="51" t="n"/>
      <c r="J2327" s="52" t="n"/>
      <c r="K2327" s="47" t="n"/>
      <c r="L2327" s="47" t="n"/>
      <c r="M2327" s="24">
        <f>IF(OR($A2327="",$C2327=""),"",IF($L2327&lt;&gt;"",$L2327-$C2327,TODAY()-$C2327))</f>
        <v/>
      </c>
      <c r="N2327" s="28">
        <f>IF(OR($A2327="",$K2327=""),"",IF($L2327="",IF(TODAY()&gt;$K2327,"Atrasado","En ruta"),IF($L2327&lt;=$K2327,"Sí","No")))</f>
        <v/>
      </c>
      <c r="O2327" s="24">
        <f>IF($A2327="","",COUNTIFS(NOVEDADES!$D$4:$D$1503,$A2327))</f>
        <v/>
      </c>
      <c r="P2327" s="28">
        <f>IF($A2327="","",IF(COUNTIFS(NOVEDADES!$D$4:$D$1503,$A2327,NOVEDADES!$O$4:$O$1503,"SÍ")&gt;0,"No","Sí"))</f>
        <v/>
      </c>
      <c r="Q2327" s="28">
        <f>IF(OR($A2327="",$L2327=""),"",IF(AND($N2327="Sí",$P2327="Sí"),"OTIF","Falló"))</f>
        <v/>
      </c>
    </row>
    <row r="2328" ht="16" customHeight="1">
      <c r="A2328" s="48" t="n"/>
      <c r="B2328" s="48" t="n"/>
      <c r="C2328" s="47" t="n"/>
      <c r="D2328" s="50" t="n"/>
      <c r="E2328" s="50" t="n"/>
      <c r="F2328" s="50" t="n"/>
      <c r="G2328" s="50" t="n"/>
      <c r="H2328" s="48" t="n"/>
      <c r="I2328" s="51" t="n"/>
      <c r="J2328" s="52" t="n"/>
      <c r="K2328" s="47" t="n"/>
      <c r="L2328" s="47" t="n"/>
      <c r="M2328" s="24">
        <f>IF(OR($A2328="",$C2328=""),"",IF($L2328&lt;&gt;"",$L2328-$C2328,TODAY()-$C2328))</f>
        <v/>
      </c>
      <c r="N2328" s="28">
        <f>IF(OR($A2328="",$K2328=""),"",IF($L2328="",IF(TODAY()&gt;$K2328,"Atrasado","En ruta"),IF($L2328&lt;=$K2328,"Sí","No")))</f>
        <v/>
      </c>
      <c r="O2328" s="24">
        <f>IF($A2328="","",COUNTIFS(NOVEDADES!$D$4:$D$1503,$A2328))</f>
        <v/>
      </c>
      <c r="P2328" s="28">
        <f>IF($A2328="","",IF(COUNTIFS(NOVEDADES!$D$4:$D$1503,$A2328,NOVEDADES!$O$4:$O$1503,"SÍ")&gt;0,"No","Sí"))</f>
        <v/>
      </c>
      <c r="Q2328" s="28">
        <f>IF(OR($A2328="",$L2328=""),"",IF(AND($N2328="Sí",$P2328="Sí"),"OTIF","Falló"))</f>
        <v/>
      </c>
    </row>
    <row r="2329" ht="16" customHeight="1">
      <c r="A2329" s="48" t="n"/>
      <c r="B2329" s="48" t="n"/>
      <c r="C2329" s="47" t="n"/>
      <c r="D2329" s="50" t="n"/>
      <c r="E2329" s="50" t="n"/>
      <c r="F2329" s="50" t="n"/>
      <c r="G2329" s="50" t="n"/>
      <c r="H2329" s="48" t="n"/>
      <c r="I2329" s="51" t="n"/>
      <c r="J2329" s="52" t="n"/>
      <c r="K2329" s="47" t="n"/>
      <c r="L2329" s="47" t="n"/>
      <c r="M2329" s="24">
        <f>IF(OR($A2329="",$C2329=""),"",IF($L2329&lt;&gt;"",$L2329-$C2329,TODAY()-$C2329))</f>
        <v/>
      </c>
      <c r="N2329" s="28">
        <f>IF(OR($A2329="",$K2329=""),"",IF($L2329="",IF(TODAY()&gt;$K2329,"Atrasado","En ruta"),IF($L2329&lt;=$K2329,"Sí","No")))</f>
        <v/>
      </c>
      <c r="O2329" s="24">
        <f>IF($A2329="","",COUNTIFS(NOVEDADES!$D$4:$D$1503,$A2329))</f>
        <v/>
      </c>
      <c r="P2329" s="28">
        <f>IF($A2329="","",IF(COUNTIFS(NOVEDADES!$D$4:$D$1503,$A2329,NOVEDADES!$O$4:$O$1503,"SÍ")&gt;0,"No","Sí"))</f>
        <v/>
      </c>
      <c r="Q2329" s="28">
        <f>IF(OR($A2329="",$L2329=""),"",IF(AND($N2329="Sí",$P2329="Sí"),"OTIF","Falló"))</f>
        <v/>
      </c>
    </row>
    <row r="2330" ht="16" customHeight="1">
      <c r="A2330" s="48" t="n"/>
      <c r="B2330" s="48" t="n"/>
      <c r="C2330" s="47" t="n"/>
      <c r="D2330" s="50" t="n"/>
      <c r="E2330" s="50" t="n"/>
      <c r="F2330" s="50" t="n"/>
      <c r="G2330" s="50" t="n"/>
      <c r="H2330" s="48" t="n"/>
      <c r="I2330" s="51" t="n"/>
      <c r="J2330" s="52" t="n"/>
      <c r="K2330" s="47" t="n"/>
      <c r="L2330" s="47" t="n"/>
      <c r="M2330" s="24">
        <f>IF(OR($A2330="",$C2330=""),"",IF($L2330&lt;&gt;"",$L2330-$C2330,TODAY()-$C2330))</f>
        <v/>
      </c>
      <c r="N2330" s="28">
        <f>IF(OR($A2330="",$K2330=""),"",IF($L2330="",IF(TODAY()&gt;$K2330,"Atrasado","En ruta"),IF($L2330&lt;=$K2330,"Sí","No")))</f>
        <v/>
      </c>
      <c r="O2330" s="24">
        <f>IF($A2330="","",COUNTIFS(NOVEDADES!$D$4:$D$1503,$A2330))</f>
        <v/>
      </c>
      <c r="P2330" s="28">
        <f>IF($A2330="","",IF(COUNTIFS(NOVEDADES!$D$4:$D$1503,$A2330,NOVEDADES!$O$4:$O$1503,"SÍ")&gt;0,"No","Sí"))</f>
        <v/>
      </c>
      <c r="Q2330" s="28">
        <f>IF(OR($A2330="",$L2330=""),"",IF(AND($N2330="Sí",$P2330="Sí"),"OTIF","Falló"))</f>
        <v/>
      </c>
    </row>
    <row r="2331" ht="16" customHeight="1">
      <c r="A2331" s="48" t="n"/>
      <c r="B2331" s="48" t="n"/>
      <c r="C2331" s="47" t="n"/>
      <c r="D2331" s="50" t="n"/>
      <c r="E2331" s="50" t="n"/>
      <c r="F2331" s="50" t="n"/>
      <c r="G2331" s="50" t="n"/>
      <c r="H2331" s="48" t="n"/>
      <c r="I2331" s="51" t="n"/>
      <c r="J2331" s="52" t="n"/>
      <c r="K2331" s="47" t="n"/>
      <c r="L2331" s="47" t="n"/>
      <c r="M2331" s="24">
        <f>IF(OR($A2331="",$C2331=""),"",IF($L2331&lt;&gt;"",$L2331-$C2331,TODAY()-$C2331))</f>
        <v/>
      </c>
      <c r="N2331" s="28">
        <f>IF(OR($A2331="",$K2331=""),"",IF($L2331="",IF(TODAY()&gt;$K2331,"Atrasado","En ruta"),IF($L2331&lt;=$K2331,"Sí","No")))</f>
        <v/>
      </c>
      <c r="O2331" s="24">
        <f>IF($A2331="","",COUNTIFS(NOVEDADES!$D$4:$D$1503,$A2331))</f>
        <v/>
      </c>
      <c r="P2331" s="28">
        <f>IF($A2331="","",IF(COUNTIFS(NOVEDADES!$D$4:$D$1503,$A2331,NOVEDADES!$O$4:$O$1503,"SÍ")&gt;0,"No","Sí"))</f>
        <v/>
      </c>
      <c r="Q2331" s="28">
        <f>IF(OR($A2331="",$L2331=""),"",IF(AND($N2331="Sí",$P2331="Sí"),"OTIF","Falló"))</f>
        <v/>
      </c>
    </row>
    <row r="2332" ht="16" customHeight="1">
      <c r="A2332" s="48" t="n"/>
      <c r="B2332" s="48" t="n"/>
      <c r="C2332" s="47" t="n"/>
      <c r="D2332" s="50" t="n"/>
      <c r="E2332" s="50" t="n"/>
      <c r="F2332" s="50" t="n"/>
      <c r="G2332" s="50" t="n"/>
      <c r="H2332" s="48" t="n"/>
      <c r="I2332" s="51" t="n"/>
      <c r="J2332" s="52" t="n"/>
      <c r="K2332" s="47" t="n"/>
      <c r="L2332" s="47" t="n"/>
      <c r="M2332" s="24">
        <f>IF(OR($A2332="",$C2332=""),"",IF($L2332&lt;&gt;"",$L2332-$C2332,TODAY()-$C2332))</f>
        <v/>
      </c>
      <c r="N2332" s="28">
        <f>IF(OR($A2332="",$K2332=""),"",IF($L2332="",IF(TODAY()&gt;$K2332,"Atrasado","En ruta"),IF($L2332&lt;=$K2332,"Sí","No")))</f>
        <v/>
      </c>
      <c r="O2332" s="24">
        <f>IF($A2332="","",COUNTIFS(NOVEDADES!$D$4:$D$1503,$A2332))</f>
        <v/>
      </c>
      <c r="P2332" s="28">
        <f>IF($A2332="","",IF(COUNTIFS(NOVEDADES!$D$4:$D$1503,$A2332,NOVEDADES!$O$4:$O$1503,"SÍ")&gt;0,"No","Sí"))</f>
        <v/>
      </c>
      <c r="Q2332" s="28">
        <f>IF(OR($A2332="",$L2332=""),"",IF(AND($N2332="Sí",$P2332="Sí"),"OTIF","Falló"))</f>
        <v/>
      </c>
    </row>
    <row r="2333" ht="16" customHeight="1">
      <c r="A2333" s="48" t="n"/>
      <c r="B2333" s="48" t="n"/>
      <c r="C2333" s="47" t="n"/>
      <c r="D2333" s="50" t="n"/>
      <c r="E2333" s="50" t="n"/>
      <c r="F2333" s="50" t="n"/>
      <c r="G2333" s="50" t="n"/>
      <c r="H2333" s="48" t="n"/>
      <c r="I2333" s="51" t="n"/>
      <c r="J2333" s="52" t="n"/>
      <c r="K2333" s="47" t="n"/>
      <c r="L2333" s="47" t="n"/>
      <c r="M2333" s="24">
        <f>IF(OR($A2333="",$C2333=""),"",IF($L2333&lt;&gt;"",$L2333-$C2333,TODAY()-$C2333))</f>
        <v/>
      </c>
      <c r="N2333" s="28">
        <f>IF(OR($A2333="",$K2333=""),"",IF($L2333="",IF(TODAY()&gt;$K2333,"Atrasado","En ruta"),IF($L2333&lt;=$K2333,"Sí","No")))</f>
        <v/>
      </c>
      <c r="O2333" s="24">
        <f>IF($A2333="","",COUNTIFS(NOVEDADES!$D$4:$D$1503,$A2333))</f>
        <v/>
      </c>
      <c r="P2333" s="28">
        <f>IF($A2333="","",IF(COUNTIFS(NOVEDADES!$D$4:$D$1503,$A2333,NOVEDADES!$O$4:$O$1503,"SÍ")&gt;0,"No","Sí"))</f>
        <v/>
      </c>
      <c r="Q2333" s="28">
        <f>IF(OR($A2333="",$L2333=""),"",IF(AND($N2333="Sí",$P2333="Sí"),"OTIF","Falló"))</f>
        <v/>
      </c>
    </row>
    <row r="2334" ht="16" customHeight="1">
      <c r="A2334" s="48" t="n"/>
      <c r="B2334" s="48" t="n"/>
      <c r="C2334" s="47" t="n"/>
      <c r="D2334" s="50" t="n"/>
      <c r="E2334" s="50" t="n"/>
      <c r="F2334" s="50" t="n"/>
      <c r="G2334" s="50" t="n"/>
      <c r="H2334" s="48" t="n"/>
      <c r="I2334" s="51" t="n"/>
      <c r="J2334" s="52" t="n"/>
      <c r="K2334" s="47" t="n"/>
      <c r="L2334" s="47" t="n"/>
      <c r="M2334" s="24">
        <f>IF(OR($A2334="",$C2334=""),"",IF($L2334&lt;&gt;"",$L2334-$C2334,TODAY()-$C2334))</f>
        <v/>
      </c>
      <c r="N2334" s="28">
        <f>IF(OR($A2334="",$K2334=""),"",IF($L2334="",IF(TODAY()&gt;$K2334,"Atrasado","En ruta"),IF($L2334&lt;=$K2334,"Sí","No")))</f>
        <v/>
      </c>
      <c r="O2334" s="24">
        <f>IF($A2334="","",COUNTIFS(NOVEDADES!$D$4:$D$1503,$A2334))</f>
        <v/>
      </c>
      <c r="P2334" s="28">
        <f>IF($A2334="","",IF(COUNTIFS(NOVEDADES!$D$4:$D$1503,$A2334,NOVEDADES!$O$4:$O$1503,"SÍ")&gt;0,"No","Sí"))</f>
        <v/>
      </c>
      <c r="Q2334" s="28">
        <f>IF(OR($A2334="",$L2334=""),"",IF(AND($N2334="Sí",$P2334="Sí"),"OTIF","Falló"))</f>
        <v/>
      </c>
    </row>
    <row r="2335" ht="16" customHeight="1">
      <c r="A2335" s="48" t="n"/>
      <c r="B2335" s="48" t="n"/>
      <c r="C2335" s="47" t="n"/>
      <c r="D2335" s="50" t="n"/>
      <c r="E2335" s="50" t="n"/>
      <c r="F2335" s="50" t="n"/>
      <c r="G2335" s="50" t="n"/>
      <c r="H2335" s="48" t="n"/>
      <c r="I2335" s="51" t="n"/>
      <c r="J2335" s="52" t="n"/>
      <c r="K2335" s="47" t="n"/>
      <c r="L2335" s="47" t="n"/>
      <c r="M2335" s="24">
        <f>IF(OR($A2335="",$C2335=""),"",IF($L2335&lt;&gt;"",$L2335-$C2335,TODAY()-$C2335))</f>
        <v/>
      </c>
      <c r="N2335" s="28">
        <f>IF(OR($A2335="",$K2335=""),"",IF($L2335="",IF(TODAY()&gt;$K2335,"Atrasado","En ruta"),IF($L2335&lt;=$K2335,"Sí","No")))</f>
        <v/>
      </c>
      <c r="O2335" s="24">
        <f>IF($A2335="","",COUNTIFS(NOVEDADES!$D$4:$D$1503,$A2335))</f>
        <v/>
      </c>
      <c r="P2335" s="28">
        <f>IF($A2335="","",IF(COUNTIFS(NOVEDADES!$D$4:$D$1503,$A2335,NOVEDADES!$O$4:$O$1503,"SÍ")&gt;0,"No","Sí"))</f>
        <v/>
      </c>
      <c r="Q2335" s="28">
        <f>IF(OR($A2335="",$L2335=""),"",IF(AND($N2335="Sí",$P2335="Sí"),"OTIF","Falló"))</f>
        <v/>
      </c>
    </row>
    <row r="2336" ht="16" customHeight="1">
      <c r="A2336" s="48" t="n"/>
      <c r="B2336" s="48" t="n"/>
      <c r="C2336" s="47" t="n"/>
      <c r="D2336" s="50" t="n"/>
      <c r="E2336" s="50" t="n"/>
      <c r="F2336" s="50" t="n"/>
      <c r="G2336" s="50" t="n"/>
      <c r="H2336" s="48" t="n"/>
      <c r="I2336" s="51" t="n"/>
      <c r="J2336" s="52" t="n"/>
      <c r="K2336" s="47" t="n"/>
      <c r="L2336" s="47" t="n"/>
      <c r="M2336" s="24">
        <f>IF(OR($A2336="",$C2336=""),"",IF($L2336&lt;&gt;"",$L2336-$C2336,TODAY()-$C2336))</f>
        <v/>
      </c>
      <c r="N2336" s="28">
        <f>IF(OR($A2336="",$K2336=""),"",IF($L2336="",IF(TODAY()&gt;$K2336,"Atrasado","En ruta"),IF($L2336&lt;=$K2336,"Sí","No")))</f>
        <v/>
      </c>
      <c r="O2336" s="24">
        <f>IF($A2336="","",COUNTIFS(NOVEDADES!$D$4:$D$1503,$A2336))</f>
        <v/>
      </c>
      <c r="P2336" s="28">
        <f>IF($A2336="","",IF(COUNTIFS(NOVEDADES!$D$4:$D$1503,$A2336,NOVEDADES!$O$4:$O$1503,"SÍ")&gt;0,"No","Sí"))</f>
        <v/>
      </c>
      <c r="Q2336" s="28">
        <f>IF(OR($A2336="",$L2336=""),"",IF(AND($N2336="Sí",$P2336="Sí"),"OTIF","Falló"))</f>
        <v/>
      </c>
    </row>
    <row r="2337" ht="16" customHeight="1">
      <c r="A2337" s="48" t="n"/>
      <c r="B2337" s="48" t="n"/>
      <c r="C2337" s="47" t="n"/>
      <c r="D2337" s="50" t="n"/>
      <c r="E2337" s="50" t="n"/>
      <c r="F2337" s="50" t="n"/>
      <c r="G2337" s="50" t="n"/>
      <c r="H2337" s="48" t="n"/>
      <c r="I2337" s="51" t="n"/>
      <c r="J2337" s="52" t="n"/>
      <c r="K2337" s="47" t="n"/>
      <c r="L2337" s="47" t="n"/>
      <c r="M2337" s="24">
        <f>IF(OR($A2337="",$C2337=""),"",IF($L2337&lt;&gt;"",$L2337-$C2337,TODAY()-$C2337))</f>
        <v/>
      </c>
      <c r="N2337" s="28">
        <f>IF(OR($A2337="",$K2337=""),"",IF($L2337="",IF(TODAY()&gt;$K2337,"Atrasado","En ruta"),IF($L2337&lt;=$K2337,"Sí","No")))</f>
        <v/>
      </c>
      <c r="O2337" s="24">
        <f>IF($A2337="","",COUNTIFS(NOVEDADES!$D$4:$D$1503,$A2337))</f>
        <v/>
      </c>
      <c r="P2337" s="28">
        <f>IF($A2337="","",IF(COUNTIFS(NOVEDADES!$D$4:$D$1503,$A2337,NOVEDADES!$O$4:$O$1503,"SÍ")&gt;0,"No","Sí"))</f>
        <v/>
      </c>
      <c r="Q2337" s="28">
        <f>IF(OR($A2337="",$L2337=""),"",IF(AND($N2337="Sí",$P2337="Sí"),"OTIF","Falló"))</f>
        <v/>
      </c>
    </row>
    <row r="2338" ht="16" customHeight="1">
      <c r="A2338" s="48" t="n"/>
      <c r="B2338" s="48" t="n"/>
      <c r="C2338" s="47" t="n"/>
      <c r="D2338" s="50" t="n"/>
      <c r="E2338" s="50" t="n"/>
      <c r="F2338" s="50" t="n"/>
      <c r="G2338" s="50" t="n"/>
      <c r="H2338" s="48" t="n"/>
      <c r="I2338" s="51" t="n"/>
      <c r="J2338" s="52" t="n"/>
      <c r="K2338" s="47" t="n"/>
      <c r="L2338" s="47" t="n"/>
      <c r="M2338" s="24">
        <f>IF(OR($A2338="",$C2338=""),"",IF($L2338&lt;&gt;"",$L2338-$C2338,TODAY()-$C2338))</f>
        <v/>
      </c>
      <c r="N2338" s="28">
        <f>IF(OR($A2338="",$K2338=""),"",IF($L2338="",IF(TODAY()&gt;$K2338,"Atrasado","En ruta"),IF($L2338&lt;=$K2338,"Sí","No")))</f>
        <v/>
      </c>
      <c r="O2338" s="24">
        <f>IF($A2338="","",COUNTIFS(NOVEDADES!$D$4:$D$1503,$A2338))</f>
        <v/>
      </c>
      <c r="P2338" s="28">
        <f>IF($A2338="","",IF(COUNTIFS(NOVEDADES!$D$4:$D$1503,$A2338,NOVEDADES!$O$4:$O$1503,"SÍ")&gt;0,"No","Sí"))</f>
        <v/>
      </c>
      <c r="Q2338" s="28">
        <f>IF(OR($A2338="",$L2338=""),"",IF(AND($N2338="Sí",$P2338="Sí"),"OTIF","Falló"))</f>
        <v/>
      </c>
    </row>
    <row r="2339" ht="16" customHeight="1">
      <c r="A2339" s="48" t="n"/>
      <c r="B2339" s="48" t="n"/>
      <c r="C2339" s="47" t="n"/>
      <c r="D2339" s="50" t="n"/>
      <c r="E2339" s="50" t="n"/>
      <c r="F2339" s="50" t="n"/>
      <c r="G2339" s="50" t="n"/>
      <c r="H2339" s="48" t="n"/>
      <c r="I2339" s="51" t="n"/>
      <c r="J2339" s="52" t="n"/>
      <c r="K2339" s="47" t="n"/>
      <c r="L2339" s="47" t="n"/>
      <c r="M2339" s="24">
        <f>IF(OR($A2339="",$C2339=""),"",IF($L2339&lt;&gt;"",$L2339-$C2339,TODAY()-$C2339))</f>
        <v/>
      </c>
      <c r="N2339" s="28">
        <f>IF(OR($A2339="",$K2339=""),"",IF($L2339="",IF(TODAY()&gt;$K2339,"Atrasado","En ruta"),IF($L2339&lt;=$K2339,"Sí","No")))</f>
        <v/>
      </c>
      <c r="O2339" s="24">
        <f>IF($A2339="","",COUNTIFS(NOVEDADES!$D$4:$D$1503,$A2339))</f>
        <v/>
      </c>
      <c r="P2339" s="28">
        <f>IF($A2339="","",IF(COUNTIFS(NOVEDADES!$D$4:$D$1503,$A2339,NOVEDADES!$O$4:$O$1503,"SÍ")&gt;0,"No","Sí"))</f>
        <v/>
      </c>
      <c r="Q2339" s="28">
        <f>IF(OR($A2339="",$L2339=""),"",IF(AND($N2339="Sí",$P2339="Sí"),"OTIF","Falló"))</f>
        <v/>
      </c>
    </row>
    <row r="2340" ht="16" customHeight="1">
      <c r="A2340" s="48" t="n"/>
      <c r="B2340" s="48" t="n"/>
      <c r="C2340" s="47" t="n"/>
      <c r="D2340" s="50" t="n"/>
      <c r="E2340" s="50" t="n"/>
      <c r="F2340" s="50" t="n"/>
      <c r="G2340" s="50" t="n"/>
      <c r="H2340" s="48" t="n"/>
      <c r="I2340" s="51" t="n"/>
      <c r="J2340" s="52" t="n"/>
      <c r="K2340" s="47" t="n"/>
      <c r="L2340" s="47" t="n"/>
      <c r="M2340" s="24">
        <f>IF(OR($A2340="",$C2340=""),"",IF($L2340&lt;&gt;"",$L2340-$C2340,TODAY()-$C2340))</f>
        <v/>
      </c>
      <c r="N2340" s="28">
        <f>IF(OR($A2340="",$K2340=""),"",IF($L2340="",IF(TODAY()&gt;$K2340,"Atrasado","En ruta"),IF($L2340&lt;=$K2340,"Sí","No")))</f>
        <v/>
      </c>
      <c r="O2340" s="24">
        <f>IF($A2340="","",COUNTIFS(NOVEDADES!$D$4:$D$1503,$A2340))</f>
        <v/>
      </c>
      <c r="P2340" s="28">
        <f>IF($A2340="","",IF(COUNTIFS(NOVEDADES!$D$4:$D$1503,$A2340,NOVEDADES!$O$4:$O$1503,"SÍ")&gt;0,"No","Sí"))</f>
        <v/>
      </c>
      <c r="Q2340" s="28">
        <f>IF(OR($A2340="",$L2340=""),"",IF(AND($N2340="Sí",$P2340="Sí"),"OTIF","Falló"))</f>
        <v/>
      </c>
    </row>
    <row r="2341" ht="16" customHeight="1">
      <c r="A2341" s="48" t="n"/>
      <c r="B2341" s="48" t="n"/>
      <c r="C2341" s="47" t="n"/>
      <c r="D2341" s="50" t="n"/>
      <c r="E2341" s="50" t="n"/>
      <c r="F2341" s="50" t="n"/>
      <c r="G2341" s="50" t="n"/>
      <c r="H2341" s="48" t="n"/>
      <c r="I2341" s="51" t="n"/>
      <c r="J2341" s="52" t="n"/>
      <c r="K2341" s="47" t="n"/>
      <c r="L2341" s="47" t="n"/>
      <c r="M2341" s="24">
        <f>IF(OR($A2341="",$C2341=""),"",IF($L2341&lt;&gt;"",$L2341-$C2341,TODAY()-$C2341))</f>
        <v/>
      </c>
      <c r="N2341" s="28">
        <f>IF(OR($A2341="",$K2341=""),"",IF($L2341="",IF(TODAY()&gt;$K2341,"Atrasado","En ruta"),IF($L2341&lt;=$K2341,"Sí","No")))</f>
        <v/>
      </c>
      <c r="O2341" s="24">
        <f>IF($A2341="","",COUNTIFS(NOVEDADES!$D$4:$D$1503,$A2341))</f>
        <v/>
      </c>
      <c r="P2341" s="28">
        <f>IF($A2341="","",IF(COUNTIFS(NOVEDADES!$D$4:$D$1503,$A2341,NOVEDADES!$O$4:$O$1503,"SÍ")&gt;0,"No","Sí"))</f>
        <v/>
      </c>
      <c r="Q2341" s="28">
        <f>IF(OR($A2341="",$L2341=""),"",IF(AND($N2341="Sí",$P2341="Sí"),"OTIF","Falló"))</f>
        <v/>
      </c>
    </row>
    <row r="2342" ht="16" customHeight="1">
      <c r="A2342" s="48" t="n"/>
      <c r="B2342" s="48" t="n"/>
      <c r="C2342" s="47" t="n"/>
      <c r="D2342" s="50" t="n"/>
      <c r="E2342" s="50" t="n"/>
      <c r="F2342" s="50" t="n"/>
      <c r="G2342" s="50" t="n"/>
      <c r="H2342" s="48" t="n"/>
      <c r="I2342" s="51" t="n"/>
      <c r="J2342" s="52" t="n"/>
      <c r="K2342" s="47" t="n"/>
      <c r="L2342" s="47" t="n"/>
      <c r="M2342" s="24">
        <f>IF(OR($A2342="",$C2342=""),"",IF($L2342&lt;&gt;"",$L2342-$C2342,TODAY()-$C2342))</f>
        <v/>
      </c>
      <c r="N2342" s="28">
        <f>IF(OR($A2342="",$K2342=""),"",IF($L2342="",IF(TODAY()&gt;$K2342,"Atrasado","En ruta"),IF($L2342&lt;=$K2342,"Sí","No")))</f>
        <v/>
      </c>
      <c r="O2342" s="24">
        <f>IF($A2342="","",COUNTIFS(NOVEDADES!$D$4:$D$1503,$A2342))</f>
        <v/>
      </c>
      <c r="P2342" s="28">
        <f>IF($A2342="","",IF(COUNTIFS(NOVEDADES!$D$4:$D$1503,$A2342,NOVEDADES!$O$4:$O$1503,"SÍ")&gt;0,"No","Sí"))</f>
        <v/>
      </c>
      <c r="Q2342" s="28">
        <f>IF(OR($A2342="",$L2342=""),"",IF(AND($N2342="Sí",$P2342="Sí"),"OTIF","Falló"))</f>
        <v/>
      </c>
    </row>
    <row r="2343" ht="16" customHeight="1">
      <c r="A2343" s="48" t="n"/>
      <c r="B2343" s="48" t="n"/>
      <c r="C2343" s="47" t="n"/>
      <c r="D2343" s="50" t="n"/>
      <c r="E2343" s="50" t="n"/>
      <c r="F2343" s="50" t="n"/>
      <c r="G2343" s="50" t="n"/>
      <c r="H2343" s="48" t="n"/>
      <c r="I2343" s="51" t="n"/>
      <c r="J2343" s="52" t="n"/>
      <c r="K2343" s="47" t="n"/>
      <c r="L2343" s="47" t="n"/>
      <c r="M2343" s="24">
        <f>IF(OR($A2343="",$C2343=""),"",IF($L2343&lt;&gt;"",$L2343-$C2343,TODAY()-$C2343))</f>
        <v/>
      </c>
      <c r="N2343" s="28">
        <f>IF(OR($A2343="",$K2343=""),"",IF($L2343="",IF(TODAY()&gt;$K2343,"Atrasado","En ruta"),IF($L2343&lt;=$K2343,"Sí","No")))</f>
        <v/>
      </c>
      <c r="O2343" s="24">
        <f>IF($A2343="","",COUNTIFS(NOVEDADES!$D$4:$D$1503,$A2343))</f>
        <v/>
      </c>
      <c r="P2343" s="28">
        <f>IF($A2343="","",IF(COUNTIFS(NOVEDADES!$D$4:$D$1503,$A2343,NOVEDADES!$O$4:$O$1503,"SÍ")&gt;0,"No","Sí"))</f>
        <v/>
      </c>
      <c r="Q2343" s="28">
        <f>IF(OR($A2343="",$L2343=""),"",IF(AND($N2343="Sí",$P2343="Sí"),"OTIF","Falló"))</f>
        <v/>
      </c>
    </row>
    <row r="2344" ht="16" customHeight="1">
      <c r="A2344" s="48" t="n"/>
      <c r="B2344" s="48" t="n"/>
      <c r="C2344" s="47" t="n"/>
      <c r="D2344" s="50" t="n"/>
      <c r="E2344" s="50" t="n"/>
      <c r="F2344" s="50" t="n"/>
      <c r="G2344" s="50" t="n"/>
      <c r="H2344" s="48" t="n"/>
      <c r="I2344" s="51" t="n"/>
      <c r="J2344" s="52" t="n"/>
      <c r="K2344" s="47" t="n"/>
      <c r="L2344" s="47" t="n"/>
      <c r="M2344" s="24">
        <f>IF(OR($A2344="",$C2344=""),"",IF($L2344&lt;&gt;"",$L2344-$C2344,TODAY()-$C2344))</f>
        <v/>
      </c>
      <c r="N2344" s="28">
        <f>IF(OR($A2344="",$K2344=""),"",IF($L2344="",IF(TODAY()&gt;$K2344,"Atrasado","En ruta"),IF($L2344&lt;=$K2344,"Sí","No")))</f>
        <v/>
      </c>
      <c r="O2344" s="24">
        <f>IF($A2344="","",COUNTIFS(NOVEDADES!$D$4:$D$1503,$A2344))</f>
        <v/>
      </c>
      <c r="P2344" s="28">
        <f>IF($A2344="","",IF(COUNTIFS(NOVEDADES!$D$4:$D$1503,$A2344,NOVEDADES!$O$4:$O$1503,"SÍ")&gt;0,"No","Sí"))</f>
        <v/>
      </c>
      <c r="Q2344" s="28">
        <f>IF(OR($A2344="",$L2344=""),"",IF(AND($N2344="Sí",$P2344="Sí"),"OTIF","Falló"))</f>
        <v/>
      </c>
    </row>
    <row r="2345" ht="16" customHeight="1">
      <c r="A2345" s="48" t="n"/>
      <c r="B2345" s="48" t="n"/>
      <c r="C2345" s="47" t="n"/>
      <c r="D2345" s="50" t="n"/>
      <c r="E2345" s="50" t="n"/>
      <c r="F2345" s="50" t="n"/>
      <c r="G2345" s="50" t="n"/>
      <c r="H2345" s="48" t="n"/>
      <c r="I2345" s="51" t="n"/>
      <c r="J2345" s="52" t="n"/>
      <c r="K2345" s="47" t="n"/>
      <c r="L2345" s="47" t="n"/>
      <c r="M2345" s="24">
        <f>IF(OR($A2345="",$C2345=""),"",IF($L2345&lt;&gt;"",$L2345-$C2345,TODAY()-$C2345))</f>
        <v/>
      </c>
      <c r="N2345" s="28">
        <f>IF(OR($A2345="",$K2345=""),"",IF($L2345="",IF(TODAY()&gt;$K2345,"Atrasado","En ruta"),IF($L2345&lt;=$K2345,"Sí","No")))</f>
        <v/>
      </c>
      <c r="O2345" s="24">
        <f>IF($A2345="","",COUNTIFS(NOVEDADES!$D$4:$D$1503,$A2345))</f>
        <v/>
      </c>
      <c r="P2345" s="28">
        <f>IF($A2345="","",IF(COUNTIFS(NOVEDADES!$D$4:$D$1503,$A2345,NOVEDADES!$O$4:$O$1503,"SÍ")&gt;0,"No","Sí"))</f>
        <v/>
      </c>
      <c r="Q2345" s="28">
        <f>IF(OR($A2345="",$L2345=""),"",IF(AND($N2345="Sí",$P2345="Sí"),"OTIF","Falló"))</f>
        <v/>
      </c>
    </row>
    <row r="2346" ht="16" customHeight="1">
      <c r="A2346" s="48" t="n"/>
      <c r="B2346" s="48" t="n"/>
      <c r="C2346" s="47" t="n"/>
      <c r="D2346" s="50" t="n"/>
      <c r="E2346" s="50" t="n"/>
      <c r="F2346" s="50" t="n"/>
      <c r="G2346" s="50" t="n"/>
      <c r="H2346" s="48" t="n"/>
      <c r="I2346" s="51" t="n"/>
      <c r="J2346" s="52" t="n"/>
      <c r="K2346" s="47" t="n"/>
      <c r="L2346" s="47" t="n"/>
      <c r="M2346" s="24">
        <f>IF(OR($A2346="",$C2346=""),"",IF($L2346&lt;&gt;"",$L2346-$C2346,TODAY()-$C2346))</f>
        <v/>
      </c>
      <c r="N2346" s="28">
        <f>IF(OR($A2346="",$K2346=""),"",IF($L2346="",IF(TODAY()&gt;$K2346,"Atrasado","En ruta"),IF($L2346&lt;=$K2346,"Sí","No")))</f>
        <v/>
      </c>
      <c r="O2346" s="24">
        <f>IF($A2346="","",COUNTIFS(NOVEDADES!$D$4:$D$1503,$A2346))</f>
        <v/>
      </c>
      <c r="P2346" s="28">
        <f>IF($A2346="","",IF(COUNTIFS(NOVEDADES!$D$4:$D$1503,$A2346,NOVEDADES!$O$4:$O$1503,"SÍ")&gt;0,"No","Sí"))</f>
        <v/>
      </c>
      <c r="Q2346" s="28">
        <f>IF(OR($A2346="",$L2346=""),"",IF(AND($N2346="Sí",$P2346="Sí"),"OTIF","Falló"))</f>
        <v/>
      </c>
    </row>
    <row r="2347" ht="16" customHeight="1">
      <c r="A2347" s="48" t="n"/>
      <c r="B2347" s="48" t="n"/>
      <c r="C2347" s="47" t="n"/>
      <c r="D2347" s="50" t="n"/>
      <c r="E2347" s="50" t="n"/>
      <c r="F2347" s="50" t="n"/>
      <c r="G2347" s="50" t="n"/>
      <c r="H2347" s="48" t="n"/>
      <c r="I2347" s="51" t="n"/>
      <c r="J2347" s="52" t="n"/>
      <c r="K2347" s="47" t="n"/>
      <c r="L2347" s="47" t="n"/>
      <c r="M2347" s="24">
        <f>IF(OR($A2347="",$C2347=""),"",IF($L2347&lt;&gt;"",$L2347-$C2347,TODAY()-$C2347))</f>
        <v/>
      </c>
      <c r="N2347" s="28">
        <f>IF(OR($A2347="",$K2347=""),"",IF($L2347="",IF(TODAY()&gt;$K2347,"Atrasado","En ruta"),IF($L2347&lt;=$K2347,"Sí","No")))</f>
        <v/>
      </c>
      <c r="O2347" s="24">
        <f>IF($A2347="","",COUNTIFS(NOVEDADES!$D$4:$D$1503,$A2347))</f>
        <v/>
      </c>
      <c r="P2347" s="28">
        <f>IF($A2347="","",IF(COUNTIFS(NOVEDADES!$D$4:$D$1503,$A2347,NOVEDADES!$O$4:$O$1503,"SÍ")&gt;0,"No","Sí"))</f>
        <v/>
      </c>
      <c r="Q2347" s="28">
        <f>IF(OR($A2347="",$L2347=""),"",IF(AND($N2347="Sí",$P2347="Sí"),"OTIF","Falló"))</f>
        <v/>
      </c>
    </row>
    <row r="2348" ht="16" customHeight="1">
      <c r="A2348" s="48" t="n"/>
      <c r="B2348" s="48" t="n"/>
      <c r="C2348" s="47" t="n"/>
      <c r="D2348" s="50" t="n"/>
      <c r="E2348" s="50" t="n"/>
      <c r="F2348" s="50" t="n"/>
      <c r="G2348" s="50" t="n"/>
      <c r="H2348" s="48" t="n"/>
      <c r="I2348" s="51" t="n"/>
      <c r="J2348" s="52" t="n"/>
      <c r="K2348" s="47" t="n"/>
      <c r="L2348" s="47" t="n"/>
      <c r="M2348" s="24">
        <f>IF(OR($A2348="",$C2348=""),"",IF($L2348&lt;&gt;"",$L2348-$C2348,TODAY()-$C2348))</f>
        <v/>
      </c>
      <c r="N2348" s="28">
        <f>IF(OR($A2348="",$K2348=""),"",IF($L2348="",IF(TODAY()&gt;$K2348,"Atrasado","En ruta"),IF($L2348&lt;=$K2348,"Sí","No")))</f>
        <v/>
      </c>
      <c r="O2348" s="24">
        <f>IF($A2348="","",COUNTIFS(NOVEDADES!$D$4:$D$1503,$A2348))</f>
        <v/>
      </c>
      <c r="P2348" s="28">
        <f>IF($A2348="","",IF(COUNTIFS(NOVEDADES!$D$4:$D$1503,$A2348,NOVEDADES!$O$4:$O$1503,"SÍ")&gt;0,"No","Sí"))</f>
        <v/>
      </c>
      <c r="Q2348" s="28">
        <f>IF(OR($A2348="",$L2348=""),"",IF(AND($N2348="Sí",$P2348="Sí"),"OTIF","Falló"))</f>
        <v/>
      </c>
    </row>
    <row r="2349" ht="16" customHeight="1">
      <c r="A2349" s="48" t="n"/>
      <c r="B2349" s="48" t="n"/>
      <c r="C2349" s="47" t="n"/>
      <c r="D2349" s="50" t="n"/>
      <c r="E2349" s="50" t="n"/>
      <c r="F2349" s="50" t="n"/>
      <c r="G2349" s="50" t="n"/>
      <c r="H2349" s="48" t="n"/>
      <c r="I2349" s="51" t="n"/>
      <c r="J2349" s="52" t="n"/>
      <c r="K2349" s="47" t="n"/>
      <c r="L2349" s="47" t="n"/>
      <c r="M2349" s="24">
        <f>IF(OR($A2349="",$C2349=""),"",IF($L2349&lt;&gt;"",$L2349-$C2349,TODAY()-$C2349))</f>
        <v/>
      </c>
      <c r="N2349" s="28">
        <f>IF(OR($A2349="",$K2349=""),"",IF($L2349="",IF(TODAY()&gt;$K2349,"Atrasado","En ruta"),IF($L2349&lt;=$K2349,"Sí","No")))</f>
        <v/>
      </c>
      <c r="O2349" s="24">
        <f>IF($A2349="","",COUNTIFS(NOVEDADES!$D$4:$D$1503,$A2349))</f>
        <v/>
      </c>
      <c r="P2349" s="28">
        <f>IF($A2349="","",IF(COUNTIFS(NOVEDADES!$D$4:$D$1503,$A2349,NOVEDADES!$O$4:$O$1503,"SÍ")&gt;0,"No","Sí"))</f>
        <v/>
      </c>
      <c r="Q2349" s="28">
        <f>IF(OR($A2349="",$L2349=""),"",IF(AND($N2349="Sí",$P2349="Sí"),"OTIF","Falló"))</f>
        <v/>
      </c>
    </row>
    <row r="2350" ht="16" customHeight="1">
      <c r="A2350" s="48" t="n"/>
      <c r="B2350" s="48" t="n"/>
      <c r="C2350" s="47" t="n"/>
      <c r="D2350" s="50" t="n"/>
      <c r="E2350" s="50" t="n"/>
      <c r="F2350" s="50" t="n"/>
      <c r="G2350" s="50" t="n"/>
      <c r="H2350" s="48" t="n"/>
      <c r="I2350" s="51" t="n"/>
      <c r="J2350" s="52" t="n"/>
      <c r="K2350" s="47" t="n"/>
      <c r="L2350" s="47" t="n"/>
      <c r="M2350" s="24">
        <f>IF(OR($A2350="",$C2350=""),"",IF($L2350&lt;&gt;"",$L2350-$C2350,TODAY()-$C2350))</f>
        <v/>
      </c>
      <c r="N2350" s="28">
        <f>IF(OR($A2350="",$K2350=""),"",IF($L2350="",IF(TODAY()&gt;$K2350,"Atrasado","En ruta"),IF($L2350&lt;=$K2350,"Sí","No")))</f>
        <v/>
      </c>
      <c r="O2350" s="24">
        <f>IF($A2350="","",COUNTIFS(NOVEDADES!$D$4:$D$1503,$A2350))</f>
        <v/>
      </c>
      <c r="P2350" s="28">
        <f>IF($A2350="","",IF(COUNTIFS(NOVEDADES!$D$4:$D$1503,$A2350,NOVEDADES!$O$4:$O$1503,"SÍ")&gt;0,"No","Sí"))</f>
        <v/>
      </c>
      <c r="Q2350" s="28">
        <f>IF(OR($A2350="",$L2350=""),"",IF(AND($N2350="Sí",$P2350="Sí"),"OTIF","Falló"))</f>
        <v/>
      </c>
    </row>
    <row r="2351" ht="16" customHeight="1">
      <c r="A2351" s="48" t="n"/>
      <c r="B2351" s="48" t="n"/>
      <c r="C2351" s="47" t="n"/>
      <c r="D2351" s="50" t="n"/>
      <c r="E2351" s="50" t="n"/>
      <c r="F2351" s="50" t="n"/>
      <c r="G2351" s="50" t="n"/>
      <c r="H2351" s="48" t="n"/>
      <c r="I2351" s="51" t="n"/>
      <c r="J2351" s="52" t="n"/>
      <c r="K2351" s="47" t="n"/>
      <c r="L2351" s="47" t="n"/>
      <c r="M2351" s="24">
        <f>IF(OR($A2351="",$C2351=""),"",IF($L2351&lt;&gt;"",$L2351-$C2351,TODAY()-$C2351))</f>
        <v/>
      </c>
      <c r="N2351" s="28">
        <f>IF(OR($A2351="",$K2351=""),"",IF($L2351="",IF(TODAY()&gt;$K2351,"Atrasado","En ruta"),IF($L2351&lt;=$K2351,"Sí","No")))</f>
        <v/>
      </c>
      <c r="O2351" s="24">
        <f>IF($A2351="","",COUNTIFS(NOVEDADES!$D$4:$D$1503,$A2351))</f>
        <v/>
      </c>
      <c r="P2351" s="28">
        <f>IF($A2351="","",IF(COUNTIFS(NOVEDADES!$D$4:$D$1503,$A2351,NOVEDADES!$O$4:$O$1503,"SÍ")&gt;0,"No","Sí"))</f>
        <v/>
      </c>
      <c r="Q2351" s="28">
        <f>IF(OR($A2351="",$L2351=""),"",IF(AND($N2351="Sí",$P2351="Sí"),"OTIF","Falló"))</f>
        <v/>
      </c>
    </row>
    <row r="2352" ht="16" customHeight="1">
      <c r="A2352" s="48" t="n"/>
      <c r="B2352" s="48" t="n"/>
      <c r="C2352" s="47" t="n"/>
      <c r="D2352" s="50" t="n"/>
      <c r="E2352" s="50" t="n"/>
      <c r="F2352" s="50" t="n"/>
      <c r="G2352" s="50" t="n"/>
      <c r="H2352" s="48" t="n"/>
      <c r="I2352" s="51" t="n"/>
      <c r="J2352" s="52" t="n"/>
      <c r="K2352" s="47" t="n"/>
      <c r="L2352" s="47" t="n"/>
      <c r="M2352" s="24">
        <f>IF(OR($A2352="",$C2352=""),"",IF($L2352&lt;&gt;"",$L2352-$C2352,TODAY()-$C2352))</f>
        <v/>
      </c>
      <c r="N2352" s="28">
        <f>IF(OR($A2352="",$K2352=""),"",IF($L2352="",IF(TODAY()&gt;$K2352,"Atrasado","En ruta"),IF($L2352&lt;=$K2352,"Sí","No")))</f>
        <v/>
      </c>
      <c r="O2352" s="24">
        <f>IF($A2352="","",COUNTIFS(NOVEDADES!$D$4:$D$1503,$A2352))</f>
        <v/>
      </c>
      <c r="P2352" s="28">
        <f>IF($A2352="","",IF(COUNTIFS(NOVEDADES!$D$4:$D$1503,$A2352,NOVEDADES!$O$4:$O$1503,"SÍ")&gt;0,"No","Sí"))</f>
        <v/>
      </c>
      <c r="Q2352" s="28">
        <f>IF(OR($A2352="",$L2352=""),"",IF(AND($N2352="Sí",$P2352="Sí"),"OTIF","Falló"))</f>
        <v/>
      </c>
    </row>
    <row r="2353" ht="16" customHeight="1">
      <c r="A2353" s="48" t="n"/>
      <c r="B2353" s="48" t="n"/>
      <c r="C2353" s="47" t="n"/>
      <c r="D2353" s="50" t="n"/>
      <c r="E2353" s="50" t="n"/>
      <c r="F2353" s="50" t="n"/>
      <c r="G2353" s="50" t="n"/>
      <c r="H2353" s="48" t="n"/>
      <c r="I2353" s="51" t="n"/>
      <c r="J2353" s="52" t="n"/>
      <c r="K2353" s="47" t="n"/>
      <c r="L2353" s="47" t="n"/>
      <c r="M2353" s="24">
        <f>IF(OR($A2353="",$C2353=""),"",IF($L2353&lt;&gt;"",$L2353-$C2353,TODAY()-$C2353))</f>
        <v/>
      </c>
      <c r="N2353" s="28">
        <f>IF(OR($A2353="",$K2353=""),"",IF($L2353="",IF(TODAY()&gt;$K2353,"Atrasado","En ruta"),IF($L2353&lt;=$K2353,"Sí","No")))</f>
        <v/>
      </c>
      <c r="O2353" s="24">
        <f>IF($A2353="","",COUNTIFS(NOVEDADES!$D$4:$D$1503,$A2353))</f>
        <v/>
      </c>
      <c r="P2353" s="28">
        <f>IF($A2353="","",IF(COUNTIFS(NOVEDADES!$D$4:$D$1503,$A2353,NOVEDADES!$O$4:$O$1503,"SÍ")&gt;0,"No","Sí"))</f>
        <v/>
      </c>
      <c r="Q2353" s="28">
        <f>IF(OR($A2353="",$L2353=""),"",IF(AND($N2353="Sí",$P2353="Sí"),"OTIF","Falló"))</f>
        <v/>
      </c>
    </row>
    <row r="2354" ht="16" customHeight="1">
      <c r="A2354" s="48" t="n"/>
      <c r="B2354" s="48" t="n"/>
      <c r="C2354" s="47" t="n"/>
      <c r="D2354" s="50" t="n"/>
      <c r="E2354" s="50" t="n"/>
      <c r="F2354" s="50" t="n"/>
      <c r="G2354" s="50" t="n"/>
      <c r="H2354" s="48" t="n"/>
      <c r="I2354" s="51" t="n"/>
      <c r="J2354" s="52" t="n"/>
      <c r="K2354" s="47" t="n"/>
      <c r="L2354" s="47" t="n"/>
      <c r="M2354" s="24">
        <f>IF(OR($A2354="",$C2354=""),"",IF($L2354&lt;&gt;"",$L2354-$C2354,TODAY()-$C2354))</f>
        <v/>
      </c>
      <c r="N2354" s="28">
        <f>IF(OR($A2354="",$K2354=""),"",IF($L2354="",IF(TODAY()&gt;$K2354,"Atrasado","En ruta"),IF($L2354&lt;=$K2354,"Sí","No")))</f>
        <v/>
      </c>
      <c r="O2354" s="24">
        <f>IF($A2354="","",COUNTIFS(NOVEDADES!$D$4:$D$1503,$A2354))</f>
        <v/>
      </c>
      <c r="P2354" s="28">
        <f>IF($A2354="","",IF(COUNTIFS(NOVEDADES!$D$4:$D$1503,$A2354,NOVEDADES!$O$4:$O$1503,"SÍ")&gt;0,"No","Sí"))</f>
        <v/>
      </c>
      <c r="Q2354" s="28">
        <f>IF(OR($A2354="",$L2354=""),"",IF(AND($N2354="Sí",$P2354="Sí"),"OTIF","Falló"))</f>
        <v/>
      </c>
    </row>
    <row r="2355" ht="16" customHeight="1">
      <c r="A2355" s="48" t="n"/>
      <c r="B2355" s="48" t="n"/>
      <c r="C2355" s="47" t="n"/>
      <c r="D2355" s="50" t="n"/>
      <c r="E2355" s="50" t="n"/>
      <c r="F2355" s="50" t="n"/>
      <c r="G2355" s="50" t="n"/>
      <c r="H2355" s="48" t="n"/>
      <c r="I2355" s="51" t="n"/>
      <c r="J2355" s="52" t="n"/>
      <c r="K2355" s="47" t="n"/>
      <c r="L2355" s="47" t="n"/>
      <c r="M2355" s="24">
        <f>IF(OR($A2355="",$C2355=""),"",IF($L2355&lt;&gt;"",$L2355-$C2355,TODAY()-$C2355))</f>
        <v/>
      </c>
      <c r="N2355" s="28">
        <f>IF(OR($A2355="",$K2355=""),"",IF($L2355="",IF(TODAY()&gt;$K2355,"Atrasado","En ruta"),IF($L2355&lt;=$K2355,"Sí","No")))</f>
        <v/>
      </c>
      <c r="O2355" s="24">
        <f>IF($A2355="","",COUNTIFS(NOVEDADES!$D$4:$D$1503,$A2355))</f>
        <v/>
      </c>
      <c r="P2355" s="28">
        <f>IF($A2355="","",IF(COUNTIFS(NOVEDADES!$D$4:$D$1503,$A2355,NOVEDADES!$O$4:$O$1503,"SÍ")&gt;0,"No","Sí"))</f>
        <v/>
      </c>
      <c r="Q2355" s="28">
        <f>IF(OR($A2355="",$L2355=""),"",IF(AND($N2355="Sí",$P2355="Sí"),"OTIF","Falló"))</f>
        <v/>
      </c>
    </row>
    <row r="2356" ht="16" customHeight="1">
      <c r="A2356" s="48" t="n"/>
      <c r="B2356" s="48" t="n"/>
      <c r="C2356" s="47" t="n"/>
      <c r="D2356" s="50" t="n"/>
      <c r="E2356" s="50" t="n"/>
      <c r="F2356" s="50" t="n"/>
      <c r="G2356" s="50" t="n"/>
      <c r="H2356" s="48" t="n"/>
      <c r="I2356" s="51" t="n"/>
      <c r="J2356" s="52" t="n"/>
      <c r="K2356" s="47" t="n"/>
      <c r="L2356" s="47" t="n"/>
      <c r="M2356" s="24">
        <f>IF(OR($A2356="",$C2356=""),"",IF($L2356&lt;&gt;"",$L2356-$C2356,TODAY()-$C2356))</f>
        <v/>
      </c>
      <c r="N2356" s="28">
        <f>IF(OR($A2356="",$K2356=""),"",IF($L2356="",IF(TODAY()&gt;$K2356,"Atrasado","En ruta"),IF($L2356&lt;=$K2356,"Sí","No")))</f>
        <v/>
      </c>
      <c r="O2356" s="24">
        <f>IF($A2356="","",COUNTIFS(NOVEDADES!$D$4:$D$1503,$A2356))</f>
        <v/>
      </c>
      <c r="P2356" s="28">
        <f>IF($A2356="","",IF(COUNTIFS(NOVEDADES!$D$4:$D$1503,$A2356,NOVEDADES!$O$4:$O$1503,"SÍ")&gt;0,"No","Sí"))</f>
        <v/>
      </c>
      <c r="Q2356" s="28">
        <f>IF(OR($A2356="",$L2356=""),"",IF(AND($N2356="Sí",$P2356="Sí"),"OTIF","Falló"))</f>
        <v/>
      </c>
    </row>
    <row r="2357" ht="16" customHeight="1">
      <c r="A2357" s="48" t="n"/>
      <c r="B2357" s="48" t="n"/>
      <c r="C2357" s="47" t="n"/>
      <c r="D2357" s="50" t="n"/>
      <c r="E2357" s="50" t="n"/>
      <c r="F2357" s="50" t="n"/>
      <c r="G2357" s="50" t="n"/>
      <c r="H2357" s="48" t="n"/>
      <c r="I2357" s="51" t="n"/>
      <c r="J2357" s="52" t="n"/>
      <c r="K2357" s="47" t="n"/>
      <c r="L2357" s="47" t="n"/>
      <c r="M2357" s="24">
        <f>IF(OR($A2357="",$C2357=""),"",IF($L2357&lt;&gt;"",$L2357-$C2357,TODAY()-$C2357))</f>
        <v/>
      </c>
      <c r="N2357" s="28">
        <f>IF(OR($A2357="",$K2357=""),"",IF($L2357="",IF(TODAY()&gt;$K2357,"Atrasado","En ruta"),IF($L2357&lt;=$K2357,"Sí","No")))</f>
        <v/>
      </c>
      <c r="O2357" s="24">
        <f>IF($A2357="","",COUNTIFS(NOVEDADES!$D$4:$D$1503,$A2357))</f>
        <v/>
      </c>
      <c r="P2357" s="28">
        <f>IF($A2357="","",IF(COUNTIFS(NOVEDADES!$D$4:$D$1503,$A2357,NOVEDADES!$O$4:$O$1503,"SÍ")&gt;0,"No","Sí"))</f>
        <v/>
      </c>
      <c r="Q2357" s="28">
        <f>IF(OR($A2357="",$L2357=""),"",IF(AND($N2357="Sí",$P2357="Sí"),"OTIF","Falló"))</f>
        <v/>
      </c>
    </row>
    <row r="2358" ht="16" customHeight="1">
      <c r="A2358" s="48" t="n"/>
      <c r="B2358" s="48" t="n"/>
      <c r="C2358" s="47" t="n"/>
      <c r="D2358" s="50" t="n"/>
      <c r="E2358" s="50" t="n"/>
      <c r="F2358" s="50" t="n"/>
      <c r="G2358" s="50" t="n"/>
      <c r="H2358" s="48" t="n"/>
      <c r="I2358" s="51" t="n"/>
      <c r="J2358" s="52" t="n"/>
      <c r="K2358" s="47" t="n"/>
      <c r="L2358" s="47" t="n"/>
      <c r="M2358" s="24">
        <f>IF(OR($A2358="",$C2358=""),"",IF($L2358&lt;&gt;"",$L2358-$C2358,TODAY()-$C2358))</f>
        <v/>
      </c>
      <c r="N2358" s="28">
        <f>IF(OR($A2358="",$K2358=""),"",IF($L2358="",IF(TODAY()&gt;$K2358,"Atrasado","En ruta"),IF($L2358&lt;=$K2358,"Sí","No")))</f>
        <v/>
      </c>
      <c r="O2358" s="24">
        <f>IF($A2358="","",COUNTIFS(NOVEDADES!$D$4:$D$1503,$A2358))</f>
        <v/>
      </c>
      <c r="P2358" s="28">
        <f>IF($A2358="","",IF(COUNTIFS(NOVEDADES!$D$4:$D$1503,$A2358,NOVEDADES!$O$4:$O$1503,"SÍ")&gt;0,"No","Sí"))</f>
        <v/>
      </c>
      <c r="Q2358" s="28">
        <f>IF(OR($A2358="",$L2358=""),"",IF(AND($N2358="Sí",$P2358="Sí"),"OTIF","Falló"))</f>
        <v/>
      </c>
    </row>
    <row r="2359" ht="16" customHeight="1">
      <c r="A2359" s="48" t="n"/>
      <c r="B2359" s="48" t="n"/>
      <c r="C2359" s="47" t="n"/>
      <c r="D2359" s="50" t="n"/>
      <c r="E2359" s="50" t="n"/>
      <c r="F2359" s="50" t="n"/>
      <c r="G2359" s="50" t="n"/>
      <c r="H2359" s="48" t="n"/>
      <c r="I2359" s="51" t="n"/>
      <c r="J2359" s="52" t="n"/>
      <c r="K2359" s="47" t="n"/>
      <c r="L2359" s="47" t="n"/>
      <c r="M2359" s="24">
        <f>IF(OR($A2359="",$C2359=""),"",IF($L2359&lt;&gt;"",$L2359-$C2359,TODAY()-$C2359))</f>
        <v/>
      </c>
      <c r="N2359" s="28">
        <f>IF(OR($A2359="",$K2359=""),"",IF($L2359="",IF(TODAY()&gt;$K2359,"Atrasado","En ruta"),IF($L2359&lt;=$K2359,"Sí","No")))</f>
        <v/>
      </c>
      <c r="O2359" s="24">
        <f>IF($A2359="","",COUNTIFS(NOVEDADES!$D$4:$D$1503,$A2359))</f>
        <v/>
      </c>
      <c r="P2359" s="28">
        <f>IF($A2359="","",IF(COUNTIFS(NOVEDADES!$D$4:$D$1503,$A2359,NOVEDADES!$O$4:$O$1503,"SÍ")&gt;0,"No","Sí"))</f>
        <v/>
      </c>
      <c r="Q2359" s="28">
        <f>IF(OR($A2359="",$L2359=""),"",IF(AND($N2359="Sí",$P2359="Sí"),"OTIF","Falló"))</f>
        <v/>
      </c>
    </row>
    <row r="2360" ht="16" customHeight="1">
      <c r="A2360" s="48" t="n"/>
      <c r="B2360" s="48" t="n"/>
      <c r="C2360" s="47" t="n"/>
      <c r="D2360" s="50" t="n"/>
      <c r="E2360" s="50" t="n"/>
      <c r="F2360" s="50" t="n"/>
      <c r="G2360" s="50" t="n"/>
      <c r="H2360" s="48" t="n"/>
      <c r="I2360" s="51" t="n"/>
      <c r="J2360" s="52" t="n"/>
      <c r="K2360" s="47" t="n"/>
      <c r="L2360" s="47" t="n"/>
      <c r="M2360" s="24">
        <f>IF(OR($A2360="",$C2360=""),"",IF($L2360&lt;&gt;"",$L2360-$C2360,TODAY()-$C2360))</f>
        <v/>
      </c>
      <c r="N2360" s="28">
        <f>IF(OR($A2360="",$K2360=""),"",IF($L2360="",IF(TODAY()&gt;$K2360,"Atrasado","En ruta"),IF($L2360&lt;=$K2360,"Sí","No")))</f>
        <v/>
      </c>
      <c r="O2360" s="24">
        <f>IF($A2360="","",COUNTIFS(NOVEDADES!$D$4:$D$1503,$A2360))</f>
        <v/>
      </c>
      <c r="P2360" s="28">
        <f>IF($A2360="","",IF(COUNTIFS(NOVEDADES!$D$4:$D$1503,$A2360,NOVEDADES!$O$4:$O$1503,"SÍ")&gt;0,"No","Sí"))</f>
        <v/>
      </c>
      <c r="Q2360" s="28">
        <f>IF(OR($A2360="",$L2360=""),"",IF(AND($N2360="Sí",$P2360="Sí"),"OTIF","Falló"))</f>
        <v/>
      </c>
    </row>
    <row r="2361" ht="16" customHeight="1">
      <c r="A2361" s="48" t="n"/>
      <c r="B2361" s="48" t="n"/>
      <c r="C2361" s="47" t="n"/>
      <c r="D2361" s="50" t="n"/>
      <c r="E2361" s="50" t="n"/>
      <c r="F2361" s="50" t="n"/>
      <c r="G2361" s="50" t="n"/>
      <c r="H2361" s="48" t="n"/>
      <c r="I2361" s="51" t="n"/>
      <c r="J2361" s="52" t="n"/>
      <c r="K2361" s="47" t="n"/>
      <c r="L2361" s="47" t="n"/>
      <c r="M2361" s="24">
        <f>IF(OR($A2361="",$C2361=""),"",IF($L2361&lt;&gt;"",$L2361-$C2361,TODAY()-$C2361))</f>
        <v/>
      </c>
      <c r="N2361" s="28">
        <f>IF(OR($A2361="",$K2361=""),"",IF($L2361="",IF(TODAY()&gt;$K2361,"Atrasado","En ruta"),IF($L2361&lt;=$K2361,"Sí","No")))</f>
        <v/>
      </c>
      <c r="O2361" s="24">
        <f>IF($A2361="","",COUNTIFS(NOVEDADES!$D$4:$D$1503,$A2361))</f>
        <v/>
      </c>
      <c r="P2361" s="28">
        <f>IF($A2361="","",IF(COUNTIFS(NOVEDADES!$D$4:$D$1503,$A2361,NOVEDADES!$O$4:$O$1503,"SÍ")&gt;0,"No","Sí"))</f>
        <v/>
      </c>
      <c r="Q2361" s="28">
        <f>IF(OR($A2361="",$L2361=""),"",IF(AND($N2361="Sí",$P2361="Sí"),"OTIF","Falló"))</f>
        <v/>
      </c>
    </row>
    <row r="2362" ht="16" customHeight="1">
      <c r="A2362" s="48" t="n"/>
      <c r="B2362" s="48" t="n"/>
      <c r="C2362" s="47" t="n"/>
      <c r="D2362" s="50" t="n"/>
      <c r="E2362" s="50" t="n"/>
      <c r="F2362" s="50" t="n"/>
      <c r="G2362" s="50" t="n"/>
      <c r="H2362" s="48" t="n"/>
      <c r="I2362" s="51" t="n"/>
      <c r="J2362" s="52" t="n"/>
      <c r="K2362" s="47" t="n"/>
      <c r="L2362" s="47" t="n"/>
      <c r="M2362" s="24">
        <f>IF(OR($A2362="",$C2362=""),"",IF($L2362&lt;&gt;"",$L2362-$C2362,TODAY()-$C2362))</f>
        <v/>
      </c>
      <c r="N2362" s="28">
        <f>IF(OR($A2362="",$K2362=""),"",IF($L2362="",IF(TODAY()&gt;$K2362,"Atrasado","En ruta"),IF($L2362&lt;=$K2362,"Sí","No")))</f>
        <v/>
      </c>
      <c r="O2362" s="24">
        <f>IF($A2362="","",COUNTIFS(NOVEDADES!$D$4:$D$1503,$A2362))</f>
        <v/>
      </c>
      <c r="P2362" s="28">
        <f>IF($A2362="","",IF(COUNTIFS(NOVEDADES!$D$4:$D$1503,$A2362,NOVEDADES!$O$4:$O$1503,"SÍ")&gt;0,"No","Sí"))</f>
        <v/>
      </c>
      <c r="Q2362" s="28">
        <f>IF(OR($A2362="",$L2362=""),"",IF(AND($N2362="Sí",$P2362="Sí"),"OTIF","Falló"))</f>
        <v/>
      </c>
    </row>
    <row r="2363" ht="16" customHeight="1">
      <c r="A2363" s="48" t="n"/>
      <c r="B2363" s="48" t="n"/>
      <c r="C2363" s="47" t="n"/>
      <c r="D2363" s="50" t="n"/>
      <c r="E2363" s="50" t="n"/>
      <c r="F2363" s="50" t="n"/>
      <c r="G2363" s="50" t="n"/>
      <c r="H2363" s="48" t="n"/>
      <c r="I2363" s="51" t="n"/>
      <c r="J2363" s="52" t="n"/>
      <c r="K2363" s="47" t="n"/>
      <c r="L2363" s="47" t="n"/>
      <c r="M2363" s="24">
        <f>IF(OR($A2363="",$C2363=""),"",IF($L2363&lt;&gt;"",$L2363-$C2363,TODAY()-$C2363))</f>
        <v/>
      </c>
      <c r="N2363" s="28">
        <f>IF(OR($A2363="",$K2363=""),"",IF($L2363="",IF(TODAY()&gt;$K2363,"Atrasado","En ruta"),IF($L2363&lt;=$K2363,"Sí","No")))</f>
        <v/>
      </c>
      <c r="O2363" s="24">
        <f>IF($A2363="","",COUNTIFS(NOVEDADES!$D$4:$D$1503,$A2363))</f>
        <v/>
      </c>
      <c r="P2363" s="28">
        <f>IF($A2363="","",IF(COUNTIFS(NOVEDADES!$D$4:$D$1503,$A2363,NOVEDADES!$O$4:$O$1503,"SÍ")&gt;0,"No","Sí"))</f>
        <v/>
      </c>
      <c r="Q2363" s="28">
        <f>IF(OR($A2363="",$L2363=""),"",IF(AND($N2363="Sí",$P2363="Sí"),"OTIF","Falló"))</f>
        <v/>
      </c>
    </row>
    <row r="2364" ht="16" customHeight="1">
      <c r="A2364" s="48" t="n"/>
      <c r="B2364" s="48" t="n"/>
      <c r="C2364" s="47" t="n"/>
      <c r="D2364" s="50" t="n"/>
      <c r="E2364" s="50" t="n"/>
      <c r="F2364" s="50" t="n"/>
      <c r="G2364" s="50" t="n"/>
      <c r="H2364" s="48" t="n"/>
      <c r="I2364" s="51" t="n"/>
      <c r="J2364" s="52" t="n"/>
      <c r="K2364" s="47" t="n"/>
      <c r="L2364" s="47" t="n"/>
      <c r="M2364" s="24">
        <f>IF(OR($A2364="",$C2364=""),"",IF($L2364&lt;&gt;"",$L2364-$C2364,TODAY()-$C2364))</f>
        <v/>
      </c>
      <c r="N2364" s="28">
        <f>IF(OR($A2364="",$K2364=""),"",IF($L2364="",IF(TODAY()&gt;$K2364,"Atrasado","En ruta"),IF($L2364&lt;=$K2364,"Sí","No")))</f>
        <v/>
      </c>
      <c r="O2364" s="24">
        <f>IF($A2364="","",COUNTIFS(NOVEDADES!$D$4:$D$1503,$A2364))</f>
        <v/>
      </c>
      <c r="P2364" s="28">
        <f>IF($A2364="","",IF(COUNTIFS(NOVEDADES!$D$4:$D$1503,$A2364,NOVEDADES!$O$4:$O$1503,"SÍ")&gt;0,"No","Sí"))</f>
        <v/>
      </c>
      <c r="Q2364" s="28">
        <f>IF(OR($A2364="",$L2364=""),"",IF(AND($N2364="Sí",$P2364="Sí"),"OTIF","Falló"))</f>
        <v/>
      </c>
    </row>
    <row r="2365" ht="16" customHeight="1">
      <c r="A2365" s="48" t="n"/>
      <c r="B2365" s="48" t="n"/>
      <c r="C2365" s="47" t="n"/>
      <c r="D2365" s="50" t="n"/>
      <c r="E2365" s="50" t="n"/>
      <c r="F2365" s="50" t="n"/>
      <c r="G2365" s="50" t="n"/>
      <c r="H2365" s="48" t="n"/>
      <c r="I2365" s="51" t="n"/>
      <c r="J2365" s="52" t="n"/>
      <c r="K2365" s="47" t="n"/>
      <c r="L2365" s="47" t="n"/>
      <c r="M2365" s="24">
        <f>IF(OR($A2365="",$C2365=""),"",IF($L2365&lt;&gt;"",$L2365-$C2365,TODAY()-$C2365))</f>
        <v/>
      </c>
      <c r="N2365" s="28">
        <f>IF(OR($A2365="",$K2365=""),"",IF($L2365="",IF(TODAY()&gt;$K2365,"Atrasado","En ruta"),IF($L2365&lt;=$K2365,"Sí","No")))</f>
        <v/>
      </c>
      <c r="O2365" s="24">
        <f>IF($A2365="","",COUNTIFS(NOVEDADES!$D$4:$D$1503,$A2365))</f>
        <v/>
      </c>
      <c r="P2365" s="28">
        <f>IF($A2365="","",IF(COUNTIFS(NOVEDADES!$D$4:$D$1503,$A2365,NOVEDADES!$O$4:$O$1503,"SÍ")&gt;0,"No","Sí"))</f>
        <v/>
      </c>
      <c r="Q2365" s="28">
        <f>IF(OR($A2365="",$L2365=""),"",IF(AND($N2365="Sí",$P2365="Sí"),"OTIF","Falló"))</f>
        <v/>
      </c>
    </row>
    <row r="2366" ht="16" customHeight="1">
      <c r="A2366" s="48" t="n"/>
      <c r="B2366" s="48" t="n"/>
      <c r="C2366" s="47" t="n"/>
      <c r="D2366" s="50" t="n"/>
      <c r="E2366" s="50" t="n"/>
      <c r="F2366" s="50" t="n"/>
      <c r="G2366" s="50" t="n"/>
      <c r="H2366" s="48" t="n"/>
      <c r="I2366" s="51" t="n"/>
      <c r="J2366" s="52" t="n"/>
      <c r="K2366" s="47" t="n"/>
      <c r="L2366" s="47" t="n"/>
      <c r="M2366" s="24">
        <f>IF(OR($A2366="",$C2366=""),"",IF($L2366&lt;&gt;"",$L2366-$C2366,TODAY()-$C2366))</f>
        <v/>
      </c>
      <c r="N2366" s="28">
        <f>IF(OR($A2366="",$K2366=""),"",IF($L2366="",IF(TODAY()&gt;$K2366,"Atrasado","En ruta"),IF($L2366&lt;=$K2366,"Sí","No")))</f>
        <v/>
      </c>
      <c r="O2366" s="24">
        <f>IF($A2366="","",COUNTIFS(NOVEDADES!$D$4:$D$1503,$A2366))</f>
        <v/>
      </c>
      <c r="P2366" s="28">
        <f>IF($A2366="","",IF(COUNTIFS(NOVEDADES!$D$4:$D$1503,$A2366,NOVEDADES!$O$4:$O$1503,"SÍ")&gt;0,"No","Sí"))</f>
        <v/>
      </c>
      <c r="Q2366" s="28">
        <f>IF(OR($A2366="",$L2366=""),"",IF(AND($N2366="Sí",$P2366="Sí"),"OTIF","Falló"))</f>
        <v/>
      </c>
    </row>
    <row r="2367" ht="16" customHeight="1">
      <c r="A2367" s="48" t="n"/>
      <c r="B2367" s="48" t="n"/>
      <c r="C2367" s="47" t="n"/>
      <c r="D2367" s="50" t="n"/>
      <c r="E2367" s="50" t="n"/>
      <c r="F2367" s="50" t="n"/>
      <c r="G2367" s="50" t="n"/>
      <c r="H2367" s="48" t="n"/>
      <c r="I2367" s="51" t="n"/>
      <c r="J2367" s="52" t="n"/>
      <c r="K2367" s="47" t="n"/>
      <c r="L2367" s="47" t="n"/>
      <c r="M2367" s="24">
        <f>IF(OR($A2367="",$C2367=""),"",IF($L2367&lt;&gt;"",$L2367-$C2367,TODAY()-$C2367))</f>
        <v/>
      </c>
      <c r="N2367" s="28">
        <f>IF(OR($A2367="",$K2367=""),"",IF($L2367="",IF(TODAY()&gt;$K2367,"Atrasado","En ruta"),IF($L2367&lt;=$K2367,"Sí","No")))</f>
        <v/>
      </c>
      <c r="O2367" s="24">
        <f>IF($A2367="","",COUNTIFS(NOVEDADES!$D$4:$D$1503,$A2367))</f>
        <v/>
      </c>
      <c r="P2367" s="28">
        <f>IF($A2367="","",IF(COUNTIFS(NOVEDADES!$D$4:$D$1503,$A2367,NOVEDADES!$O$4:$O$1503,"SÍ")&gt;0,"No","Sí"))</f>
        <v/>
      </c>
      <c r="Q2367" s="28">
        <f>IF(OR($A2367="",$L2367=""),"",IF(AND($N2367="Sí",$P2367="Sí"),"OTIF","Falló"))</f>
        <v/>
      </c>
    </row>
    <row r="2368" ht="16" customHeight="1">
      <c r="A2368" s="48" t="n"/>
      <c r="B2368" s="48" t="n"/>
      <c r="C2368" s="47" t="n"/>
      <c r="D2368" s="50" t="n"/>
      <c r="E2368" s="50" t="n"/>
      <c r="F2368" s="50" t="n"/>
      <c r="G2368" s="50" t="n"/>
      <c r="H2368" s="48" t="n"/>
      <c r="I2368" s="51" t="n"/>
      <c r="J2368" s="52" t="n"/>
      <c r="K2368" s="47" t="n"/>
      <c r="L2368" s="47" t="n"/>
      <c r="M2368" s="24">
        <f>IF(OR($A2368="",$C2368=""),"",IF($L2368&lt;&gt;"",$L2368-$C2368,TODAY()-$C2368))</f>
        <v/>
      </c>
      <c r="N2368" s="28">
        <f>IF(OR($A2368="",$K2368=""),"",IF($L2368="",IF(TODAY()&gt;$K2368,"Atrasado","En ruta"),IF($L2368&lt;=$K2368,"Sí","No")))</f>
        <v/>
      </c>
      <c r="O2368" s="24">
        <f>IF($A2368="","",COUNTIFS(NOVEDADES!$D$4:$D$1503,$A2368))</f>
        <v/>
      </c>
      <c r="P2368" s="28">
        <f>IF($A2368="","",IF(COUNTIFS(NOVEDADES!$D$4:$D$1503,$A2368,NOVEDADES!$O$4:$O$1503,"SÍ")&gt;0,"No","Sí"))</f>
        <v/>
      </c>
      <c r="Q2368" s="28">
        <f>IF(OR($A2368="",$L2368=""),"",IF(AND($N2368="Sí",$P2368="Sí"),"OTIF","Falló"))</f>
        <v/>
      </c>
    </row>
    <row r="2369" ht="16" customHeight="1">
      <c r="A2369" s="48" t="n"/>
      <c r="B2369" s="48" t="n"/>
      <c r="C2369" s="47" t="n"/>
      <c r="D2369" s="50" t="n"/>
      <c r="E2369" s="50" t="n"/>
      <c r="F2369" s="50" t="n"/>
      <c r="G2369" s="50" t="n"/>
      <c r="H2369" s="48" t="n"/>
      <c r="I2369" s="51" t="n"/>
      <c r="J2369" s="52" t="n"/>
      <c r="K2369" s="47" t="n"/>
      <c r="L2369" s="47" t="n"/>
      <c r="M2369" s="24">
        <f>IF(OR($A2369="",$C2369=""),"",IF($L2369&lt;&gt;"",$L2369-$C2369,TODAY()-$C2369))</f>
        <v/>
      </c>
      <c r="N2369" s="28">
        <f>IF(OR($A2369="",$K2369=""),"",IF($L2369="",IF(TODAY()&gt;$K2369,"Atrasado","En ruta"),IF($L2369&lt;=$K2369,"Sí","No")))</f>
        <v/>
      </c>
      <c r="O2369" s="24">
        <f>IF($A2369="","",COUNTIFS(NOVEDADES!$D$4:$D$1503,$A2369))</f>
        <v/>
      </c>
      <c r="P2369" s="28">
        <f>IF($A2369="","",IF(COUNTIFS(NOVEDADES!$D$4:$D$1503,$A2369,NOVEDADES!$O$4:$O$1503,"SÍ")&gt;0,"No","Sí"))</f>
        <v/>
      </c>
      <c r="Q2369" s="28">
        <f>IF(OR($A2369="",$L2369=""),"",IF(AND($N2369="Sí",$P2369="Sí"),"OTIF","Falló"))</f>
        <v/>
      </c>
    </row>
    <row r="2370" ht="16" customHeight="1">
      <c r="A2370" s="48" t="n"/>
      <c r="B2370" s="48" t="n"/>
      <c r="C2370" s="47" t="n"/>
      <c r="D2370" s="50" t="n"/>
      <c r="E2370" s="50" t="n"/>
      <c r="F2370" s="50" t="n"/>
      <c r="G2370" s="50" t="n"/>
      <c r="H2370" s="48" t="n"/>
      <c r="I2370" s="51" t="n"/>
      <c r="J2370" s="52" t="n"/>
      <c r="K2370" s="47" t="n"/>
      <c r="L2370" s="47" t="n"/>
      <c r="M2370" s="24">
        <f>IF(OR($A2370="",$C2370=""),"",IF($L2370&lt;&gt;"",$L2370-$C2370,TODAY()-$C2370))</f>
        <v/>
      </c>
      <c r="N2370" s="28">
        <f>IF(OR($A2370="",$K2370=""),"",IF($L2370="",IF(TODAY()&gt;$K2370,"Atrasado","En ruta"),IF($L2370&lt;=$K2370,"Sí","No")))</f>
        <v/>
      </c>
      <c r="O2370" s="24">
        <f>IF($A2370="","",COUNTIFS(NOVEDADES!$D$4:$D$1503,$A2370))</f>
        <v/>
      </c>
      <c r="P2370" s="28">
        <f>IF($A2370="","",IF(COUNTIFS(NOVEDADES!$D$4:$D$1503,$A2370,NOVEDADES!$O$4:$O$1503,"SÍ")&gt;0,"No","Sí"))</f>
        <v/>
      </c>
      <c r="Q2370" s="28">
        <f>IF(OR($A2370="",$L2370=""),"",IF(AND($N2370="Sí",$P2370="Sí"),"OTIF","Falló"))</f>
        <v/>
      </c>
    </row>
    <row r="2371" ht="16" customHeight="1">
      <c r="A2371" s="48" t="n"/>
      <c r="B2371" s="48" t="n"/>
      <c r="C2371" s="47" t="n"/>
      <c r="D2371" s="50" t="n"/>
      <c r="E2371" s="50" t="n"/>
      <c r="F2371" s="50" t="n"/>
      <c r="G2371" s="50" t="n"/>
      <c r="H2371" s="48" t="n"/>
      <c r="I2371" s="51" t="n"/>
      <c r="J2371" s="52" t="n"/>
      <c r="K2371" s="47" t="n"/>
      <c r="L2371" s="47" t="n"/>
      <c r="M2371" s="24">
        <f>IF(OR($A2371="",$C2371=""),"",IF($L2371&lt;&gt;"",$L2371-$C2371,TODAY()-$C2371))</f>
        <v/>
      </c>
      <c r="N2371" s="28">
        <f>IF(OR($A2371="",$K2371=""),"",IF($L2371="",IF(TODAY()&gt;$K2371,"Atrasado","En ruta"),IF($L2371&lt;=$K2371,"Sí","No")))</f>
        <v/>
      </c>
      <c r="O2371" s="24">
        <f>IF($A2371="","",COUNTIFS(NOVEDADES!$D$4:$D$1503,$A2371))</f>
        <v/>
      </c>
      <c r="P2371" s="28">
        <f>IF($A2371="","",IF(COUNTIFS(NOVEDADES!$D$4:$D$1503,$A2371,NOVEDADES!$O$4:$O$1503,"SÍ")&gt;0,"No","Sí"))</f>
        <v/>
      </c>
      <c r="Q2371" s="28">
        <f>IF(OR($A2371="",$L2371=""),"",IF(AND($N2371="Sí",$P2371="Sí"),"OTIF","Falló"))</f>
        <v/>
      </c>
    </row>
    <row r="2372" ht="16" customHeight="1">
      <c r="A2372" s="48" t="n"/>
      <c r="B2372" s="48" t="n"/>
      <c r="C2372" s="47" t="n"/>
      <c r="D2372" s="50" t="n"/>
      <c r="E2372" s="50" t="n"/>
      <c r="F2372" s="50" t="n"/>
      <c r="G2372" s="50" t="n"/>
      <c r="H2372" s="48" t="n"/>
      <c r="I2372" s="51" t="n"/>
      <c r="J2372" s="52" t="n"/>
      <c r="K2372" s="47" t="n"/>
      <c r="L2372" s="47" t="n"/>
      <c r="M2372" s="24">
        <f>IF(OR($A2372="",$C2372=""),"",IF($L2372&lt;&gt;"",$L2372-$C2372,TODAY()-$C2372))</f>
        <v/>
      </c>
      <c r="N2372" s="28">
        <f>IF(OR($A2372="",$K2372=""),"",IF($L2372="",IF(TODAY()&gt;$K2372,"Atrasado","En ruta"),IF($L2372&lt;=$K2372,"Sí","No")))</f>
        <v/>
      </c>
      <c r="O2372" s="24">
        <f>IF($A2372="","",COUNTIFS(NOVEDADES!$D$4:$D$1503,$A2372))</f>
        <v/>
      </c>
      <c r="P2372" s="28">
        <f>IF($A2372="","",IF(COUNTIFS(NOVEDADES!$D$4:$D$1503,$A2372,NOVEDADES!$O$4:$O$1503,"SÍ")&gt;0,"No","Sí"))</f>
        <v/>
      </c>
      <c r="Q2372" s="28">
        <f>IF(OR($A2372="",$L2372=""),"",IF(AND($N2372="Sí",$P2372="Sí"),"OTIF","Falló"))</f>
        <v/>
      </c>
    </row>
    <row r="2373" ht="16" customHeight="1">
      <c r="A2373" s="48" t="n"/>
      <c r="B2373" s="48" t="n"/>
      <c r="C2373" s="47" t="n"/>
      <c r="D2373" s="50" t="n"/>
      <c r="E2373" s="50" t="n"/>
      <c r="F2373" s="50" t="n"/>
      <c r="G2373" s="50" t="n"/>
      <c r="H2373" s="48" t="n"/>
      <c r="I2373" s="51" t="n"/>
      <c r="J2373" s="52" t="n"/>
      <c r="K2373" s="47" t="n"/>
      <c r="L2373" s="47" t="n"/>
      <c r="M2373" s="24">
        <f>IF(OR($A2373="",$C2373=""),"",IF($L2373&lt;&gt;"",$L2373-$C2373,TODAY()-$C2373))</f>
        <v/>
      </c>
      <c r="N2373" s="28">
        <f>IF(OR($A2373="",$K2373=""),"",IF($L2373="",IF(TODAY()&gt;$K2373,"Atrasado","En ruta"),IF($L2373&lt;=$K2373,"Sí","No")))</f>
        <v/>
      </c>
      <c r="O2373" s="24">
        <f>IF($A2373="","",COUNTIFS(NOVEDADES!$D$4:$D$1503,$A2373))</f>
        <v/>
      </c>
      <c r="P2373" s="28">
        <f>IF($A2373="","",IF(COUNTIFS(NOVEDADES!$D$4:$D$1503,$A2373,NOVEDADES!$O$4:$O$1503,"SÍ")&gt;0,"No","Sí"))</f>
        <v/>
      </c>
      <c r="Q2373" s="28">
        <f>IF(OR($A2373="",$L2373=""),"",IF(AND($N2373="Sí",$P2373="Sí"),"OTIF","Falló"))</f>
        <v/>
      </c>
    </row>
    <row r="2374" ht="16" customHeight="1">
      <c r="A2374" s="48" t="n"/>
      <c r="B2374" s="48" t="n"/>
      <c r="C2374" s="47" t="n"/>
      <c r="D2374" s="50" t="n"/>
      <c r="E2374" s="50" t="n"/>
      <c r="F2374" s="50" t="n"/>
      <c r="G2374" s="50" t="n"/>
      <c r="H2374" s="48" t="n"/>
      <c r="I2374" s="51" t="n"/>
      <c r="J2374" s="52" t="n"/>
      <c r="K2374" s="47" t="n"/>
      <c r="L2374" s="47" t="n"/>
      <c r="M2374" s="24">
        <f>IF(OR($A2374="",$C2374=""),"",IF($L2374&lt;&gt;"",$L2374-$C2374,TODAY()-$C2374))</f>
        <v/>
      </c>
      <c r="N2374" s="28">
        <f>IF(OR($A2374="",$K2374=""),"",IF($L2374="",IF(TODAY()&gt;$K2374,"Atrasado","En ruta"),IF($L2374&lt;=$K2374,"Sí","No")))</f>
        <v/>
      </c>
      <c r="O2374" s="24">
        <f>IF($A2374="","",COUNTIFS(NOVEDADES!$D$4:$D$1503,$A2374))</f>
        <v/>
      </c>
      <c r="P2374" s="28">
        <f>IF($A2374="","",IF(COUNTIFS(NOVEDADES!$D$4:$D$1503,$A2374,NOVEDADES!$O$4:$O$1503,"SÍ")&gt;0,"No","Sí"))</f>
        <v/>
      </c>
      <c r="Q2374" s="28">
        <f>IF(OR($A2374="",$L2374=""),"",IF(AND($N2374="Sí",$P2374="Sí"),"OTIF","Falló"))</f>
        <v/>
      </c>
    </row>
    <row r="2375" ht="16" customHeight="1">
      <c r="A2375" s="48" t="n"/>
      <c r="B2375" s="48" t="n"/>
      <c r="C2375" s="47" t="n"/>
      <c r="D2375" s="50" t="n"/>
      <c r="E2375" s="50" t="n"/>
      <c r="F2375" s="50" t="n"/>
      <c r="G2375" s="50" t="n"/>
      <c r="H2375" s="48" t="n"/>
      <c r="I2375" s="51" t="n"/>
      <c r="J2375" s="52" t="n"/>
      <c r="K2375" s="47" t="n"/>
      <c r="L2375" s="47" t="n"/>
      <c r="M2375" s="24">
        <f>IF(OR($A2375="",$C2375=""),"",IF($L2375&lt;&gt;"",$L2375-$C2375,TODAY()-$C2375))</f>
        <v/>
      </c>
      <c r="N2375" s="28">
        <f>IF(OR($A2375="",$K2375=""),"",IF($L2375="",IF(TODAY()&gt;$K2375,"Atrasado","En ruta"),IF($L2375&lt;=$K2375,"Sí","No")))</f>
        <v/>
      </c>
      <c r="O2375" s="24">
        <f>IF($A2375="","",COUNTIFS(NOVEDADES!$D$4:$D$1503,$A2375))</f>
        <v/>
      </c>
      <c r="P2375" s="28">
        <f>IF($A2375="","",IF(COUNTIFS(NOVEDADES!$D$4:$D$1503,$A2375,NOVEDADES!$O$4:$O$1503,"SÍ")&gt;0,"No","Sí"))</f>
        <v/>
      </c>
      <c r="Q2375" s="28">
        <f>IF(OR($A2375="",$L2375=""),"",IF(AND($N2375="Sí",$P2375="Sí"),"OTIF","Falló"))</f>
        <v/>
      </c>
    </row>
    <row r="2376" ht="16" customHeight="1">
      <c r="A2376" s="48" t="n"/>
      <c r="B2376" s="48" t="n"/>
      <c r="C2376" s="47" t="n"/>
      <c r="D2376" s="50" t="n"/>
      <c r="E2376" s="50" t="n"/>
      <c r="F2376" s="50" t="n"/>
      <c r="G2376" s="50" t="n"/>
      <c r="H2376" s="48" t="n"/>
      <c r="I2376" s="51" t="n"/>
      <c r="J2376" s="52" t="n"/>
      <c r="K2376" s="47" t="n"/>
      <c r="L2376" s="47" t="n"/>
      <c r="M2376" s="24">
        <f>IF(OR($A2376="",$C2376=""),"",IF($L2376&lt;&gt;"",$L2376-$C2376,TODAY()-$C2376))</f>
        <v/>
      </c>
      <c r="N2376" s="28">
        <f>IF(OR($A2376="",$K2376=""),"",IF($L2376="",IF(TODAY()&gt;$K2376,"Atrasado","En ruta"),IF($L2376&lt;=$K2376,"Sí","No")))</f>
        <v/>
      </c>
      <c r="O2376" s="24">
        <f>IF($A2376="","",COUNTIFS(NOVEDADES!$D$4:$D$1503,$A2376))</f>
        <v/>
      </c>
      <c r="P2376" s="28">
        <f>IF($A2376="","",IF(COUNTIFS(NOVEDADES!$D$4:$D$1503,$A2376,NOVEDADES!$O$4:$O$1503,"SÍ")&gt;0,"No","Sí"))</f>
        <v/>
      </c>
      <c r="Q2376" s="28">
        <f>IF(OR($A2376="",$L2376=""),"",IF(AND($N2376="Sí",$P2376="Sí"),"OTIF","Falló"))</f>
        <v/>
      </c>
    </row>
    <row r="2377" ht="16" customHeight="1">
      <c r="A2377" s="48" t="n"/>
      <c r="B2377" s="48" t="n"/>
      <c r="C2377" s="47" t="n"/>
      <c r="D2377" s="50" t="n"/>
      <c r="E2377" s="50" t="n"/>
      <c r="F2377" s="50" t="n"/>
      <c r="G2377" s="50" t="n"/>
      <c r="H2377" s="48" t="n"/>
      <c r="I2377" s="51" t="n"/>
      <c r="J2377" s="52" t="n"/>
      <c r="K2377" s="47" t="n"/>
      <c r="L2377" s="47" t="n"/>
      <c r="M2377" s="24">
        <f>IF(OR($A2377="",$C2377=""),"",IF($L2377&lt;&gt;"",$L2377-$C2377,TODAY()-$C2377))</f>
        <v/>
      </c>
      <c r="N2377" s="28">
        <f>IF(OR($A2377="",$K2377=""),"",IF($L2377="",IF(TODAY()&gt;$K2377,"Atrasado","En ruta"),IF($L2377&lt;=$K2377,"Sí","No")))</f>
        <v/>
      </c>
      <c r="O2377" s="24">
        <f>IF($A2377="","",COUNTIFS(NOVEDADES!$D$4:$D$1503,$A2377))</f>
        <v/>
      </c>
      <c r="P2377" s="28">
        <f>IF($A2377="","",IF(COUNTIFS(NOVEDADES!$D$4:$D$1503,$A2377,NOVEDADES!$O$4:$O$1503,"SÍ")&gt;0,"No","Sí"))</f>
        <v/>
      </c>
      <c r="Q2377" s="28">
        <f>IF(OR($A2377="",$L2377=""),"",IF(AND($N2377="Sí",$P2377="Sí"),"OTIF","Falló"))</f>
        <v/>
      </c>
    </row>
    <row r="2378" ht="16" customHeight="1">
      <c r="A2378" s="48" t="n"/>
      <c r="B2378" s="48" t="n"/>
      <c r="C2378" s="47" t="n"/>
      <c r="D2378" s="50" t="n"/>
      <c r="E2378" s="50" t="n"/>
      <c r="F2378" s="50" t="n"/>
      <c r="G2378" s="50" t="n"/>
      <c r="H2378" s="48" t="n"/>
      <c r="I2378" s="51" t="n"/>
      <c r="J2378" s="52" t="n"/>
      <c r="K2378" s="47" t="n"/>
      <c r="L2378" s="47" t="n"/>
      <c r="M2378" s="24">
        <f>IF(OR($A2378="",$C2378=""),"",IF($L2378&lt;&gt;"",$L2378-$C2378,TODAY()-$C2378))</f>
        <v/>
      </c>
      <c r="N2378" s="28">
        <f>IF(OR($A2378="",$K2378=""),"",IF($L2378="",IF(TODAY()&gt;$K2378,"Atrasado","En ruta"),IF($L2378&lt;=$K2378,"Sí","No")))</f>
        <v/>
      </c>
      <c r="O2378" s="24">
        <f>IF($A2378="","",COUNTIFS(NOVEDADES!$D$4:$D$1503,$A2378))</f>
        <v/>
      </c>
      <c r="P2378" s="28">
        <f>IF($A2378="","",IF(COUNTIFS(NOVEDADES!$D$4:$D$1503,$A2378,NOVEDADES!$O$4:$O$1503,"SÍ")&gt;0,"No","Sí"))</f>
        <v/>
      </c>
      <c r="Q2378" s="28">
        <f>IF(OR($A2378="",$L2378=""),"",IF(AND($N2378="Sí",$P2378="Sí"),"OTIF","Falló"))</f>
        <v/>
      </c>
    </row>
    <row r="2379" ht="16" customHeight="1">
      <c r="A2379" s="48" t="n"/>
      <c r="B2379" s="48" t="n"/>
      <c r="C2379" s="47" t="n"/>
      <c r="D2379" s="50" t="n"/>
      <c r="E2379" s="50" t="n"/>
      <c r="F2379" s="50" t="n"/>
      <c r="G2379" s="50" t="n"/>
      <c r="H2379" s="48" t="n"/>
      <c r="I2379" s="51" t="n"/>
      <c r="J2379" s="52" t="n"/>
      <c r="K2379" s="47" t="n"/>
      <c r="L2379" s="47" t="n"/>
      <c r="M2379" s="24">
        <f>IF(OR($A2379="",$C2379=""),"",IF($L2379&lt;&gt;"",$L2379-$C2379,TODAY()-$C2379))</f>
        <v/>
      </c>
      <c r="N2379" s="28">
        <f>IF(OR($A2379="",$K2379=""),"",IF($L2379="",IF(TODAY()&gt;$K2379,"Atrasado","En ruta"),IF($L2379&lt;=$K2379,"Sí","No")))</f>
        <v/>
      </c>
      <c r="O2379" s="24">
        <f>IF($A2379="","",COUNTIFS(NOVEDADES!$D$4:$D$1503,$A2379))</f>
        <v/>
      </c>
      <c r="P2379" s="28">
        <f>IF($A2379="","",IF(COUNTIFS(NOVEDADES!$D$4:$D$1503,$A2379,NOVEDADES!$O$4:$O$1503,"SÍ")&gt;0,"No","Sí"))</f>
        <v/>
      </c>
      <c r="Q2379" s="28">
        <f>IF(OR($A2379="",$L2379=""),"",IF(AND($N2379="Sí",$P2379="Sí"),"OTIF","Falló"))</f>
        <v/>
      </c>
    </row>
    <row r="2380" ht="16" customHeight="1">
      <c r="A2380" s="48" t="n"/>
      <c r="B2380" s="48" t="n"/>
      <c r="C2380" s="47" t="n"/>
      <c r="D2380" s="50" t="n"/>
      <c r="E2380" s="50" t="n"/>
      <c r="F2380" s="50" t="n"/>
      <c r="G2380" s="50" t="n"/>
      <c r="H2380" s="48" t="n"/>
      <c r="I2380" s="51" t="n"/>
      <c r="J2380" s="52" t="n"/>
      <c r="K2380" s="47" t="n"/>
      <c r="L2380" s="47" t="n"/>
      <c r="M2380" s="24">
        <f>IF(OR($A2380="",$C2380=""),"",IF($L2380&lt;&gt;"",$L2380-$C2380,TODAY()-$C2380))</f>
        <v/>
      </c>
      <c r="N2380" s="28">
        <f>IF(OR($A2380="",$K2380=""),"",IF($L2380="",IF(TODAY()&gt;$K2380,"Atrasado","En ruta"),IF($L2380&lt;=$K2380,"Sí","No")))</f>
        <v/>
      </c>
      <c r="O2380" s="24">
        <f>IF($A2380="","",COUNTIFS(NOVEDADES!$D$4:$D$1503,$A2380))</f>
        <v/>
      </c>
      <c r="P2380" s="28">
        <f>IF($A2380="","",IF(COUNTIFS(NOVEDADES!$D$4:$D$1503,$A2380,NOVEDADES!$O$4:$O$1503,"SÍ")&gt;0,"No","Sí"))</f>
        <v/>
      </c>
      <c r="Q2380" s="28">
        <f>IF(OR($A2380="",$L2380=""),"",IF(AND($N2380="Sí",$P2380="Sí"),"OTIF","Falló"))</f>
        <v/>
      </c>
    </row>
    <row r="2381" ht="16" customHeight="1">
      <c r="A2381" s="48" t="n"/>
      <c r="B2381" s="48" t="n"/>
      <c r="C2381" s="47" t="n"/>
      <c r="D2381" s="50" t="n"/>
      <c r="E2381" s="50" t="n"/>
      <c r="F2381" s="50" t="n"/>
      <c r="G2381" s="50" t="n"/>
      <c r="H2381" s="48" t="n"/>
      <c r="I2381" s="51" t="n"/>
      <c r="J2381" s="52" t="n"/>
      <c r="K2381" s="47" t="n"/>
      <c r="L2381" s="47" t="n"/>
      <c r="M2381" s="24">
        <f>IF(OR($A2381="",$C2381=""),"",IF($L2381&lt;&gt;"",$L2381-$C2381,TODAY()-$C2381))</f>
        <v/>
      </c>
      <c r="N2381" s="28">
        <f>IF(OR($A2381="",$K2381=""),"",IF($L2381="",IF(TODAY()&gt;$K2381,"Atrasado","En ruta"),IF($L2381&lt;=$K2381,"Sí","No")))</f>
        <v/>
      </c>
      <c r="O2381" s="24">
        <f>IF($A2381="","",COUNTIFS(NOVEDADES!$D$4:$D$1503,$A2381))</f>
        <v/>
      </c>
      <c r="P2381" s="28">
        <f>IF($A2381="","",IF(COUNTIFS(NOVEDADES!$D$4:$D$1503,$A2381,NOVEDADES!$O$4:$O$1503,"SÍ")&gt;0,"No","Sí"))</f>
        <v/>
      </c>
      <c r="Q2381" s="28">
        <f>IF(OR($A2381="",$L2381=""),"",IF(AND($N2381="Sí",$P2381="Sí"),"OTIF","Falló"))</f>
        <v/>
      </c>
    </row>
    <row r="2382" ht="16" customHeight="1">
      <c r="A2382" s="48" t="n"/>
      <c r="B2382" s="48" t="n"/>
      <c r="C2382" s="47" t="n"/>
      <c r="D2382" s="50" t="n"/>
      <c r="E2382" s="50" t="n"/>
      <c r="F2382" s="50" t="n"/>
      <c r="G2382" s="50" t="n"/>
      <c r="H2382" s="48" t="n"/>
      <c r="I2382" s="51" t="n"/>
      <c r="J2382" s="52" t="n"/>
      <c r="K2382" s="47" t="n"/>
      <c r="L2382" s="47" t="n"/>
      <c r="M2382" s="24">
        <f>IF(OR($A2382="",$C2382=""),"",IF($L2382&lt;&gt;"",$L2382-$C2382,TODAY()-$C2382))</f>
        <v/>
      </c>
      <c r="N2382" s="28">
        <f>IF(OR($A2382="",$K2382=""),"",IF($L2382="",IF(TODAY()&gt;$K2382,"Atrasado","En ruta"),IF($L2382&lt;=$K2382,"Sí","No")))</f>
        <v/>
      </c>
      <c r="O2382" s="24">
        <f>IF($A2382="","",COUNTIFS(NOVEDADES!$D$4:$D$1503,$A2382))</f>
        <v/>
      </c>
      <c r="P2382" s="28">
        <f>IF($A2382="","",IF(COUNTIFS(NOVEDADES!$D$4:$D$1503,$A2382,NOVEDADES!$O$4:$O$1503,"SÍ")&gt;0,"No","Sí"))</f>
        <v/>
      </c>
      <c r="Q2382" s="28">
        <f>IF(OR($A2382="",$L2382=""),"",IF(AND($N2382="Sí",$P2382="Sí"),"OTIF","Falló"))</f>
        <v/>
      </c>
    </row>
    <row r="2383" ht="16" customHeight="1">
      <c r="A2383" s="48" t="n"/>
      <c r="B2383" s="48" t="n"/>
      <c r="C2383" s="47" t="n"/>
      <c r="D2383" s="50" t="n"/>
      <c r="E2383" s="50" t="n"/>
      <c r="F2383" s="50" t="n"/>
      <c r="G2383" s="50" t="n"/>
      <c r="H2383" s="48" t="n"/>
      <c r="I2383" s="51" t="n"/>
      <c r="J2383" s="52" t="n"/>
      <c r="K2383" s="47" t="n"/>
      <c r="L2383" s="47" t="n"/>
      <c r="M2383" s="24">
        <f>IF(OR($A2383="",$C2383=""),"",IF($L2383&lt;&gt;"",$L2383-$C2383,TODAY()-$C2383))</f>
        <v/>
      </c>
      <c r="N2383" s="28">
        <f>IF(OR($A2383="",$K2383=""),"",IF($L2383="",IF(TODAY()&gt;$K2383,"Atrasado","En ruta"),IF($L2383&lt;=$K2383,"Sí","No")))</f>
        <v/>
      </c>
      <c r="O2383" s="24">
        <f>IF($A2383="","",COUNTIFS(NOVEDADES!$D$4:$D$1503,$A2383))</f>
        <v/>
      </c>
      <c r="P2383" s="28">
        <f>IF($A2383="","",IF(COUNTIFS(NOVEDADES!$D$4:$D$1503,$A2383,NOVEDADES!$O$4:$O$1503,"SÍ")&gt;0,"No","Sí"))</f>
        <v/>
      </c>
      <c r="Q2383" s="28">
        <f>IF(OR($A2383="",$L2383=""),"",IF(AND($N2383="Sí",$P2383="Sí"),"OTIF","Falló"))</f>
        <v/>
      </c>
    </row>
    <row r="2384" ht="16" customHeight="1">
      <c r="A2384" s="48" t="n"/>
      <c r="B2384" s="48" t="n"/>
      <c r="C2384" s="47" t="n"/>
      <c r="D2384" s="50" t="n"/>
      <c r="E2384" s="50" t="n"/>
      <c r="F2384" s="50" t="n"/>
      <c r="G2384" s="50" t="n"/>
      <c r="H2384" s="48" t="n"/>
      <c r="I2384" s="51" t="n"/>
      <c r="J2384" s="52" t="n"/>
      <c r="K2384" s="47" t="n"/>
      <c r="L2384" s="47" t="n"/>
      <c r="M2384" s="24">
        <f>IF(OR($A2384="",$C2384=""),"",IF($L2384&lt;&gt;"",$L2384-$C2384,TODAY()-$C2384))</f>
        <v/>
      </c>
      <c r="N2384" s="28">
        <f>IF(OR($A2384="",$K2384=""),"",IF($L2384="",IF(TODAY()&gt;$K2384,"Atrasado","En ruta"),IF($L2384&lt;=$K2384,"Sí","No")))</f>
        <v/>
      </c>
      <c r="O2384" s="24">
        <f>IF($A2384="","",COUNTIFS(NOVEDADES!$D$4:$D$1503,$A2384))</f>
        <v/>
      </c>
      <c r="P2384" s="28">
        <f>IF($A2384="","",IF(COUNTIFS(NOVEDADES!$D$4:$D$1503,$A2384,NOVEDADES!$O$4:$O$1503,"SÍ")&gt;0,"No","Sí"))</f>
        <v/>
      </c>
      <c r="Q2384" s="28">
        <f>IF(OR($A2384="",$L2384=""),"",IF(AND($N2384="Sí",$P2384="Sí"),"OTIF","Falló"))</f>
        <v/>
      </c>
    </row>
    <row r="2385" ht="16" customHeight="1">
      <c r="A2385" s="48" t="n"/>
      <c r="B2385" s="48" t="n"/>
      <c r="C2385" s="47" t="n"/>
      <c r="D2385" s="50" t="n"/>
      <c r="E2385" s="50" t="n"/>
      <c r="F2385" s="50" t="n"/>
      <c r="G2385" s="50" t="n"/>
      <c r="H2385" s="48" t="n"/>
      <c r="I2385" s="51" t="n"/>
      <c r="J2385" s="52" t="n"/>
      <c r="K2385" s="47" t="n"/>
      <c r="L2385" s="47" t="n"/>
      <c r="M2385" s="24">
        <f>IF(OR($A2385="",$C2385=""),"",IF($L2385&lt;&gt;"",$L2385-$C2385,TODAY()-$C2385))</f>
        <v/>
      </c>
      <c r="N2385" s="28">
        <f>IF(OR($A2385="",$K2385=""),"",IF($L2385="",IF(TODAY()&gt;$K2385,"Atrasado","En ruta"),IF($L2385&lt;=$K2385,"Sí","No")))</f>
        <v/>
      </c>
      <c r="O2385" s="24">
        <f>IF($A2385="","",COUNTIFS(NOVEDADES!$D$4:$D$1503,$A2385))</f>
        <v/>
      </c>
      <c r="P2385" s="28">
        <f>IF($A2385="","",IF(COUNTIFS(NOVEDADES!$D$4:$D$1503,$A2385,NOVEDADES!$O$4:$O$1503,"SÍ")&gt;0,"No","Sí"))</f>
        <v/>
      </c>
      <c r="Q2385" s="28">
        <f>IF(OR($A2385="",$L2385=""),"",IF(AND($N2385="Sí",$P2385="Sí"),"OTIF","Falló"))</f>
        <v/>
      </c>
    </row>
    <row r="2386" ht="16" customHeight="1">
      <c r="A2386" s="48" t="n"/>
      <c r="B2386" s="48" t="n"/>
      <c r="C2386" s="47" t="n"/>
      <c r="D2386" s="50" t="n"/>
      <c r="E2386" s="50" t="n"/>
      <c r="F2386" s="50" t="n"/>
      <c r="G2386" s="50" t="n"/>
      <c r="H2386" s="48" t="n"/>
      <c r="I2386" s="51" t="n"/>
      <c r="J2386" s="52" t="n"/>
      <c r="K2386" s="47" t="n"/>
      <c r="L2386" s="47" t="n"/>
      <c r="M2386" s="24">
        <f>IF(OR($A2386="",$C2386=""),"",IF($L2386&lt;&gt;"",$L2386-$C2386,TODAY()-$C2386))</f>
        <v/>
      </c>
      <c r="N2386" s="28">
        <f>IF(OR($A2386="",$K2386=""),"",IF($L2386="",IF(TODAY()&gt;$K2386,"Atrasado","En ruta"),IF($L2386&lt;=$K2386,"Sí","No")))</f>
        <v/>
      </c>
      <c r="O2386" s="24">
        <f>IF($A2386="","",COUNTIFS(NOVEDADES!$D$4:$D$1503,$A2386))</f>
        <v/>
      </c>
      <c r="P2386" s="28">
        <f>IF($A2386="","",IF(COUNTIFS(NOVEDADES!$D$4:$D$1503,$A2386,NOVEDADES!$O$4:$O$1503,"SÍ")&gt;0,"No","Sí"))</f>
        <v/>
      </c>
      <c r="Q2386" s="28">
        <f>IF(OR($A2386="",$L2386=""),"",IF(AND($N2386="Sí",$P2386="Sí"),"OTIF","Falló"))</f>
        <v/>
      </c>
    </row>
    <row r="2387" ht="16" customHeight="1">
      <c r="A2387" s="48" t="n"/>
      <c r="B2387" s="48" t="n"/>
      <c r="C2387" s="47" t="n"/>
      <c r="D2387" s="50" t="n"/>
      <c r="E2387" s="50" t="n"/>
      <c r="F2387" s="50" t="n"/>
      <c r="G2387" s="50" t="n"/>
      <c r="H2387" s="48" t="n"/>
      <c r="I2387" s="51" t="n"/>
      <c r="J2387" s="52" t="n"/>
      <c r="K2387" s="47" t="n"/>
      <c r="L2387" s="47" t="n"/>
      <c r="M2387" s="24">
        <f>IF(OR($A2387="",$C2387=""),"",IF($L2387&lt;&gt;"",$L2387-$C2387,TODAY()-$C2387))</f>
        <v/>
      </c>
      <c r="N2387" s="28">
        <f>IF(OR($A2387="",$K2387=""),"",IF($L2387="",IF(TODAY()&gt;$K2387,"Atrasado","En ruta"),IF($L2387&lt;=$K2387,"Sí","No")))</f>
        <v/>
      </c>
      <c r="O2387" s="24">
        <f>IF($A2387="","",COUNTIFS(NOVEDADES!$D$4:$D$1503,$A2387))</f>
        <v/>
      </c>
      <c r="P2387" s="28">
        <f>IF($A2387="","",IF(COUNTIFS(NOVEDADES!$D$4:$D$1503,$A2387,NOVEDADES!$O$4:$O$1503,"SÍ")&gt;0,"No","Sí"))</f>
        <v/>
      </c>
      <c r="Q2387" s="28">
        <f>IF(OR($A2387="",$L2387=""),"",IF(AND($N2387="Sí",$P2387="Sí"),"OTIF","Falló"))</f>
        <v/>
      </c>
    </row>
    <row r="2388" ht="16" customHeight="1">
      <c r="A2388" s="48" t="n"/>
      <c r="B2388" s="48" t="n"/>
      <c r="C2388" s="47" t="n"/>
      <c r="D2388" s="50" t="n"/>
      <c r="E2388" s="50" t="n"/>
      <c r="F2388" s="50" t="n"/>
      <c r="G2388" s="50" t="n"/>
      <c r="H2388" s="48" t="n"/>
      <c r="I2388" s="51" t="n"/>
      <c r="J2388" s="52" t="n"/>
      <c r="K2388" s="47" t="n"/>
      <c r="L2388" s="47" t="n"/>
      <c r="M2388" s="24">
        <f>IF(OR($A2388="",$C2388=""),"",IF($L2388&lt;&gt;"",$L2388-$C2388,TODAY()-$C2388))</f>
        <v/>
      </c>
      <c r="N2388" s="28">
        <f>IF(OR($A2388="",$K2388=""),"",IF($L2388="",IF(TODAY()&gt;$K2388,"Atrasado","En ruta"),IF($L2388&lt;=$K2388,"Sí","No")))</f>
        <v/>
      </c>
      <c r="O2388" s="24">
        <f>IF($A2388="","",COUNTIFS(NOVEDADES!$D$4:$D$1503,$A2388))</f>
        <v/>
      </c>
      <c r="P2388" s="28">
        <f>IF($A2388="","",IF(COUNTIFS(NOVEDADES!$D$4:$D$1503,$A2388,NOVEDADES!$O$4:$O$1503,"SÍ")&gt;0,"No","Sí"))</f>
        <v/>
      </c>
      <c r="Q2388" s="28">
        <f>IF(OR($A2388="",$L2388=""),"",IF(AND($N2388="Sí",$P2388="Sí"),"OTIF","Falló"))</f>
        <v/>
      </c>
    </row>
    <row r="2389" ht="16" customHeight="1">
      <c r="A2389" s="48" t="n"/>
      <c r="B2389" s="48" t="n"/>
      <c r="C2389" s="47" t="n"/>
      <c r="D2389" s="50" t="n"/>
      <c r="E2389" s="50" t="n"/>
      <c r="F2389" s="50" t="n"/>
      <c r="G2389" s="50" t="n"/>
      <c r="H2389" s="48" t="n"/>
      <c r="I2389" s="51" t="n"/>
      <c r="J2389" s="52" t="n"/>
      <c r="K2389" s="47" t="n"/>
      <c r="L2389" s="47" t="n"/>
      <c r="M2389" s="24">
        <f>IF(OR($A2389="",$C2389=""),"",IF($L2389&lt;&gt;"",$L2389-$C2389,TODAY()-$C2389))</f>
        <v/>
      </c>
      <c r="N2389" s="28">
        <f>IF(OR($A2389="",$K2389=""),"",IF($L2389="",IF(TODAY()&gt;$K2389,"Atrasado","En ruta"),IF($L2389&lt;=$K2389,"Sí","No")))</f>
        <v/>
      </c>
      <c r="O2389" s="24">
        <f>IF($A2389="","",COUNTIFS(NOVEDADES!$D$4:$D$1503,$A2389))</f>
        <v/>
      </c>
      <c r="P2389" s="28">
        <f>IF($A2389="","",IF(COUNTIFS(NOVEDADES!$D$4:$D$1503,$A2389,NOVEDADES!$O$4:$O$1503,"SÍ")&gt;0,"No","Sí"))</f>
        <v/>
      </c>
      <c r="Q2389" s="28">
        <f>IF(OR($A2389="",$L2389=""),"",IF(AND($N2389="Sí",$P2389="Sí"),"OTIF","Falló"))</f>
        <v/>
      </c>
    </row>
    <row r="2390" ht="16" customHeight="1">
      <c r="A2390" s="48" t="n"/>
      <c r="B2390" s="48" t="n"/>
      <c r="C2390" s="47" t="n"/>
      <c r="D2390" s="50" t="n"/>
      <c r="E2390" s="50" t="n"/>
      <c r="F2390" s="50" t="n"/>
      <c r="G2390" s="50" t="n"/>
      <c r="H2390" s="48" t="n"/>
      <c r="I2390" s="51" t="n"/>
      <c r="J2390" s="52" t="n"/>
      <c r="K2390" s="47" t="n"/>
      <c r="L2390" s="47" t="n"/>
      <c r="M2390" s="24">
        <f>IF(OR($A2390="",$C2390=""),"",IF($L2390&lt;&gt;"",$L2390-$C2390,TODAY()-$C2390))</f>
        <v/>
      </c>
      <c r="N2390" s="28">
        <f>IF(OR($A2390="",$K2390=""),"",IF($L2390="",IF(TODAY()&gt;$K2390,"Atrasado","En ruta"),IF($L2390&lt;=$K2390,"Sí","No")))</f>
        <v/>
      </c>
      <c r="O2390" s="24">
        <f>IF($A2390="","",COUNTIFS(NOVEDADES!$D$4:$D$1503,$A2390))</f>
        <v/>
      </c>
      <c r="P2390" s="28">
        <f>IF($A2390="","",IF(COUNTIFS(NOVEDADES!$D$4:$D$1503,$A2390,NOVEDADES!$O$4:$O$1503,"SÍ")&gt;0,"No","Sí"))</f>
        <v/>
      </c>
      <c r="Q2390" s="28">
        <f>IF(OR($A2390="",$L2390=""),"",IF(AND($N2390="Sí",$P2390="Sí"),"OTIF","Falló"))</f>
        <v/>
      </c>
    </row>
    <row r="2391" ht="16" customHeight="1">
      <c r="A2391" s="48" t="n"/>
      <c r="B2391" s="48" t="n"/>
      <c r="C2391" s="47" t="n"/>
      <c r="D2391" s="50" t="n"/>
      <c r="E2391" s="50" t="n"/>
      <c r="F2391" s="50" t="n"/>
      <c r="G2391" s="50" t="n"/>
      <c r="H2391" s="48" t="n"/>
      <c r="I2391" s="51" t="n"/>
      <c r="J2391" s="52" t="n"/>
      <c r="K2391" s="47" t="n"/>
      <c r="L2391" s="47" t="n"/>
      <c r="M2391" s="24">
        <f>IF(OR($A2391="",$C2391=""),"",IF($L2391&lt;&gt;"",$L2391-$C2391,TODAY()-$C2391))</f>
        <v/>
      </c>
      <c r="N2391" s="28">
        <f>IF(OR($A2391="",$K2391=""),"",IF($L2391="",IF(TODAY()&gt;$K2391,"Atrasado","En ruta"),IF($L2391&lt;=$K2391,"Sí","No")))</f>
        <v/>
      </c>
      <c r="O2391" s="24">
        <f>IF($A2391="","",COUNTIFS(NOVEDADES!$D$4:$D$1503,$A2391))</f>
        <v/>
      </c>
      <c r="P2391" s="28">
        <f>IF($A2391="","",IF(COUNTIFS(NOVEDADES!$D$4:$D$1503,$A2391,NOVEDADES!$O$4:$O$1503,"SÍ")&gt;0,"No","Sí"))</f>
        <v/>
      </c>
      <c r="Q2391" s="28">
        <f>IF(OR($A2391="",$L2391=""),"",IF(AND($N2391="Sí",$P2391="Sí"),"OTIF","Falló"))</f>
        <v/>
      </c>
    </row>
    <row r="2392" ht="16" customHeight="1">
      <c r="A2392" s="48" t="n"/>
      <c r="B2392" s="48" t="n"/>
      <c r="C2392" s="47" t="n"/>
      <c r="D2392" s="50" t="n"/>
      <c r="E2392" s="50" t="n"/>
      <c r="F2392" s="50" t="n"/>
      <c r="G2392" s="50" t="n"/>
      <c r="H2392" s="48" t="n"/>
      <c r="I2392" s="51" t="n"/>
      <c r="J2392" s="52" t="n"/>
      <c r="K2392" s="47" t="n"/>
      <c r="L2392" s="47" t="n"/>
      <c r="M2392" s="24">
        <f>IF(OR($A2392="",$C2392=""),"",IF($L2392&lt;&gt;"",$L2392-$C2392,TODAY()-$C2392))</f>
        <v/>
      </c>
      <c r="N2392" s="28">
        <f>IF(OR($A2392="",$K2392=""),"",IF($L2392="",IF(TODAY()&gt;$K2392,"Atrasado","En ruta"),IF($L2392&lt;=$K2392,"Sí","No")))</f>
        <v/>
      </c>
      <c r="O2392" s="24">
        <f>IF($A2392="","",COUNTIFS(NOVEDADES!$D$4:$D$1503,$A2392))</f>
        <v/>
      </c>
      <c r="P2392" s="28">
        <f>IF($A2392="","",IF(COUNTIFS(NOVEDADES!$D$4:$D$1503,$A2392,NOVEDADES!$O$4:$O$1503,"SÍ")&gt;0,"No","Sí"))</f>
        <v/>
      </c>
      <c r="Q2392" s="28">
        <f>IF(OR($A2392="",$L2392=""),"",IF(AND($N2392="Sí",$P2392="Sí"),"OTIF","Falló"))</f>
        <v/>
      </c>
    </row>
    <row r="2393" ht="16" customHeight="1">
      <c r="A2393" s="48" t="n"/>
      <c r="B2393" s="48" t="n"/>
      <c r="C2393" s="47" t="n"/>
      <c r="D2393" s="50" t="n"/>
      <c r="E2393" s="50" t="n"/>
      <c r="F2393" s="50" t="n"/>
      <c r="G2393" s="50" t="n"/>
      <c r="H2393" s="48" t="n"/>
      <c r="I2393" s="51" t="n"/>
      <c r="J2393" s="52" t="n"/>
      <c r="K2393" s="47" t="n"/>
      <c r="L2393" s="47" t="n"/>
      <c r="M2393" s="24">
        <f>IF(OR($A2393="",$C2393=""),"",IF($L2393&lt;&gt;"",$L2393-$C2393,TODAY()-$C2393))</f>
        <v/>
      </c>
      <c r="N2393" s="28">
        <f>IF(OR($A2393="",$K2393=""),"",IF($L2393="",IF(TODAY()&gt;$K2393,"Atrasado","En ruta"),IF($L2393&lt;=$K2393,"Sí","No")))</f>
        <v/>
      </c>
      <c r="O2393" s="24">
        <f>IF($A2393="","",COUNTIFS(NOVEDADES!$D$4:$D$1503,$A2393))</f>
        <v/>
      </c>
      <c r="P2393" s="28">
        <f>IF($A2393="","",IF(COUNTIFS(NOVEDADES!$D$4:$D$1503,$A2393,NOVEDADES!$O$4:$O$1503,"SÍ")&gt;0,"No","Sí"))</f>
        <v/>
      </c>
      <c r="Q2393" s="28">
        <f>IF(OR($A2393="",$L2393=""),"",IF(AND($N2393="Sí",$P2393="Sí"),"OTIF","Falló"))</f>
        <v/>
      </c>
    </row>
    <row r="2394" ht="16" customHeight="1">
      <c r="A2394" s="48" t="n"/>
      <c r="B2394" s="48" t="n"/>
      <c r="C2394" s="47" t="n"/>
      <c r="D2394" s="50" t="n"/>
      <c r="E2394" s="50" t="n"/>
      <c r="F2394" s="50" t="n"/>
      <c r="G2394" s="50" t="n"/>
      <c r="H2394" s="48" t="n"/>
      <c r="I2394" s="51" t="n"/>
      <c r="J2394" s="52" t="n"/>
      <c r="K2394" s="47" t="n"/>
      <c r="L2394" s="47" t="n"/>
      <c r="M2394" s="24">
        <f>IF(OR($A2394="",$C2394=""),"",IF($L2394&lt;&gt;"",$L2394-$C2394,TODAY()-$C2394))</f>
        <v/>
      </c>
      <c r="N2394" s="28">
        <f>IF(OR($A2394="",$K2394=""),"",IF($L2394="",IF(TODAY()&gt;$K2394,"Atrasado","En ruta"),IF($L2394&lt;=$K2394,"Sí","No")))</f>
        <v/>
      </c>
      <c r="O2394" s="24">
        <f>IF($A2394="","",COUNTIFS(NOVEDADES!$D$4:$D$1503,$A2394))</f>
        <v/>
      </c>
      <c r="P2394" s="28">
        <f>IF($A2394="","",IF(COUNTIFS(NOVEDADES!$D$4:$D$1503,$A2394,NOVEDADES!$O$4:$O$1503,"SÍ")&gt;0,"No","Sí"))</f>
        <v/>
      </c>
      <c r="Q2394" s="28">
        <f>IF(OR($A2394="",$L2394=""),"",IF(AND($N2394="Sí",$P2394="Sí"),"OTIF","Falló"))</f>
        <v/>
      </c>
    </row>
    <row r="2395" ht="16" customHeight="1">
      <c r="A2395" s="48" t="n"/>
      <c r="B2395" s="48" t="n"/>
      <c r="C2395" s="47" t="n"/>
      <c r="D2395" s="50" t="n"/>
      <c r="E2395" s="50" t="n"/>
      <c r="F2395" s="50" t="n"/>
      <c r="G2395" s="50" t="n"/>
      <c r="H2395" s="48" t="n"/>
      <c r="I2395" s="51" t="n"/>
      <c r="J2395" s="52" t="n"/>
      <c r="K2395" s="47" t="n"/>
      <c r="L2395" s="47" t="n"/>
      <c r="M2395" s="24">
        <f>IF(OR($A2395="",$C2395=""),"",IF($L2395&lt;&gt;"",$L2395-$C2395,TODAY()-$C2395))</f>
        <v/>
      </c>
      <c r="N2395" s="28">
        <f>IF(OR($A2395="",$K2395=""),"",IF($L2395="",IF(TODAY()&gt;$K2395,"Atrasado","En ruta"),IF($L2395&lt;=$K2395,"Sí","No")))</f>
        <v/>
      </c>
      <c r="O2395" s="24">
        <f>IF($A2395="","",COUNTIFS(NOVEDADES!$D$4:$D$1503,$A2395))</f>
        <v/>
      </c>
      <c r="P2395" s="28">
        <f>IF($A2395="","",IF(COUNTIFS(NOVEDADES!$D$4:$D$1503,$A2395,NOVEDADES!$O$4:$O$1503,"SÍ")&gt;0,"No","Sí"))</f>
        <v/>
      </c>
      <c r="Q2395" s="28">
        <f>IF(OR($A2395="",$L2395=""),"",IF(AND($N2395="Sí",$P2395="Sí"),"OTIF","Falló"))</f>
        <v/>
      </c>
    </row>
    <row r="2396" ht="16" customHeight="1">
      <c r="A2396" s="48" t="n"/>
      <c r="B2396" s="48" t="n"/>
      <c r="C2396" s="47" t="n"/>
      <c r="D2396" s="50" t="n"/>
      <c r="E2396" s="50" t="n"/>
      <c r="F2396" s="50" t="n"/>
      <c r="G2396" s="50" t="n"/>
      <c r="H2396" s="48" t="n"/>
      <c r="I2396" s="51" t="n"/>
      <c r="J2396" s="52" t="n"/>
      <c r="K2396" s="47" t="n"/>
      <c r="L2396" s="47" t="n"/>
      <c r="M2396" s="24">
        <f>IF(OR($A2396="",$C2396=""),"",IF($L2396&lt;&gt;"",$L2396-$C2396,TODAY()-$C2396))</f>
        <v/>
      </c>
      <c r="N2396" s="28">
        <f>IF(OR($A2396="",$K2396=""),"",IF($L2396="",IF(TODAY()&gt;$K2396,"Atrasado","En ruta"),IF($L2396&lt;=$K2396,"Sí","No")))</f>
        <v/>
      </c>
      <c r="O2396" s="24">
        <f>IF($A2396="","",COUNTIFS(NOVEDADES!$D$4:$D$1503,$A2396))</f>
        <v/>
      </c>
      <c r="P2396" s="28">
        <f>IF($A2396="","",IF(COUNTIFS(NOVEDADES!$D$4:$D$1503,$A2396,NOVEDADES!$O$4:$O$1503,"SÍ")&gt;0,"No","Sí"))</f>
        <v/>
      </c>
      <c r="Q2396" s="28">
        <f>IF(OR($A2396="",$L2396=""),"",IF(AND($N2396="Sí",$P2396="Sí"),"OTIF","Falló"))</f>
        <v/>
      </c>
    </row>
    <row r="2397" ht="16" customHeight="1">
      <c r="A2397" s="48" t="n"/>
      <c r="B2397" s="48" t="n"/>
      <c r="C2397" s="47" t="n"/>
      <c r="D2397" s="50" t="n"/>
      <c r="E2397" s="50" t="n"/>
      <c r="F2397" s="50" t="n"/>
      <c r="G2397" s="50" t="n"/>
      <c r="H2397" s="48" t="n"/>
      <c r="I2397" s="51" t="n"/>
      <c r="J2397" s="52" t="n"/>
      <c r="K2397" s="47" t="n"/>
      <c r="L2397" s="47" t="n"/>
      <c r="M2397" s="24">
        <f>IF(OR($A2397="",$C2397=""),"",IF($L2397&lt;&gt;"",$L2397-$C2397,TODAY()-$C2397))</f>
        <v/>
      </c>
      <c r="N2397" s="28">
        <f>IF(OR($A2397="",$K2397=""),"",IF($L2397="",IF(TODAY()&gt;$K2397,"Atrasado","En ruta"),IF($L2397&lt;=$K2397,"Sí","No")))</f>
        <v/>
      </c>
      <c r="O2397" s="24">
        <f>IF($A2397="","",COUNTIFS(NOVEDADES!$D$4:$D$1503,$A2397))</f>
        <v/>
      </c>
      <c r="P2397" s="28">
        <f>IF($A2397="","",IF(COUNTIFS(NOVEDADES!$D$4:$D$1503,$A2397,NOVEDADES!$O$4:$O$1503,"SÍ")&gt;0,"No","Sí"))</f>
        <v/>
      </c>
      <c r="Q2397" s="28">
        <f>IF(OR($A2397="",$L2397=""),"",IF(AND($N2397="Sí",$P2397="Sí"),"OTIF","Falló"))</f>
        <v/>
      </c>
    </row>
    <row r="2398" ht="16" customHeight="1">
      <c r="A2398" s="48" t="n"/>
      <c r="B2398" s="48" t="n"/>
      <c r="C2398" s="47" t="n"/>
      <c r="D2398" s="50" t="n"/>
      <c r="E2398" s="50" t="n"/>
      <c r="F2398" s="50" t="n"/>
      <c r="G2398" s="50" t="n"/>
      <c r="H2398" s="48" t="n"/>
      <c r="I2398" s="51" t="n"/>
      <c r="J2398" s="52" t="n"/>
      <c r="K2398" s="47" t="n"/>
      <c r="L2398" s="47" t="n"/>
      <c r="M2398" s="24">
        <f>IF(OR($A2398="",$C2398=""),"",IF($L2398&lt;&gt;"",$L2398-$C2398,TODAY()-$C2398))</f>
        <v/>
      </c>
      <c r="N2398" s="28">
        <f>IF(OR($A2398="",$K2398=""),"",IF($L2398="",IF(TODAY()&gt;$K2398,"Atrasado","En ruta"),IF($L2398&lt;=$K2398,"Sí","No")))</f>
        <v/>
      </c>
      <c r="O2398" s="24">
        <f>IF($A2398="","",COUNTIFS(NOVEDADES!$D$4:$D$1503,$A2398))</f>
        <v/>
      </c>
      <c r="P2398" s="28">
        <f>IF($A2398="","",IF(COUNTIFS(NOVEDADES!$D$4:$D$1503,$A2398,NOVEDADES!$O$4:$O$1503,"SÍ")&gt;0,"No","Sí"))</f>
        <v/>
      </c>
      <c r="Q2398" s="28">
        <f>IF(OR($A2398="",$L2398=""),"",IF(AND($N2398="Sí",$P2398="Sí"),"OTIF","Falló"))</f>
        <v/>
      </c>
    </row>
    <row r="2399" ht="16" customHeight="1">
      <c r="A2399" s="48" t="n"/>
      <c r="B2399" s="48" t="n"/>
      <c r="C2399" s="47" t="n"/>
      <c r="D2399" s="50" t="n"/>
      <c r="E2399" s="50" t="n"/>
      <c r="F2399" s="50" t="n"/>
      <c r="G2399" s="50" t="n"/>
      <c r="H2399" s="48" t="n"/>
      <c r="I2399" s="51" t="n"/>
      <c r="J2399" s="52" t="n"/>
      <c r="K2399" s="47" t="n"/>
      <c r="L2399" s="47" t="n"/>
      <c r="M2399" s="24">
        <f>IF(OR($A2399="",$C2399=""),"",IF($L2399&lt;&gt;"",$L2399-$C2399,TODAY()-$C2399))</f>
        <v/>
      </c>
      <c r="N2399" s="28">
        <f>IF(OR($A2399="",$K2399=""),"",IF($L2399="",IF(TODAY()&gt;$K2399,"Atrasado","En ruta"),IF($L2399&lt;=$K2399,"Sí","No")))</f>
        <v/>
      </c>
      <c r="O2399" s="24">
        <f>IF($A2399="","",COUNTIFS(NOVEDADES!$D$4:$D$1503,$A2399))</f>
        <v/>
      </c>
      <c r="P2399" s="28">
        <f>IF($A2399="","",IF(COUNTIFS(NOVEDADES!$D$4:$D$1503,$A2399,NOVEDADES!$O$4:$O$1503,"SÍ")&gt;0,"No","Sí"))</f>
        <v/>
      </c>
      <c r="Q2399" s="28">
        <f>IF(OR($A2399="",$L2399=""),"",IF(AND($N2399="Sí",$P2399="Sí"),"OTIF","Falló"))</f>
        <v/>
      </c>
    </row>
    <row r="2400" ht="16" customHeight="1">
      <c r="A2400" s="48" t="n"/>
      <c r="B2400" s="48" t="n"/>
      <c r="C2400" s="47" t="n"/>
      <c r="D2400" s="50" t="n"/>
      <c r="E2400" s="50" t="n"/>
      <c r="F2400" s="50" t="n"/>
      <c r="G2400" s="50" t="n"/>
      <c r="H2400" s="48" t="n"/>
      <c r="I2400" s="51" t="n"/>
      <c r="J2400" s="52" t="n"/>
      <c r="K2400" s="47" t="n"/>
      <c r="L2400" s="47" t="n"/>
      <c r="M2400" s="24">
        <f>IF(OR($A2400="",$C2400=""),"",IF($L2400&lt;&gt;"",$L2400-$C2400,TODAY()-$C2400))</f>
        <v/>
      </c>
      <c r="N2400" s="28">
        <f>IF(OR($A2400="",$K2400=""),"",IF($L2400="",IF(TODAY()&gt;$K2400,"Atrasado","En ruta"),IF($L2400&lt;=$K2400,"Sí","No")))</f>
        <v/>
      </c>
      <c r="O2400" s="24">
        <f>IF($A2400="","",COUNTIFS(NOVEDADES!$D$4:$D$1503,$A2400))</f>
        <v/>
      </c>
      <c r="P2400" s="28">
        <f>IF($A2400="","",IF(COUNTIFS(NOVEDADES!$D$4:$D$1503,$A2400,NOVEDADES!$O$4:$O$1503,"SÍ")&gt;0,"No","Sí"))</f>
        <v/>
      </c>
      <c r="Q2400" s="28">
        <f>IF(OR($A2400="",$L2400=""),"",IF(AND($N2400="Sí",$P2400="Sí"),"OTIF","Falló"))</f>
        <v/>
      </c>
    </row>
    <row r="2401" ht="16" customHeight="1">
      <c r="A2401" s="48" t="n"/>
      <c r="B2401" s="48" t="n"/>
      <c r="C2401" s="47" t="n"/>
      <c r="D2401" s="50" t="n"/>
      <c r="E2401" s="50" t="n"/>
      <c r="F2401" s="50" t="n"/>
      <c r="G2401" s="50" t="n"/>
      <c r="H2401" s="48" t="n"/>
      <c r="I2401" s="51" t="n"/>
      <c r="J2401" s="52" t="n"/>
      <c r="K2401" s="47" t="n"/>
      <c r="L2401" s="47" t="n"/>
      <c r="M2401" s="24">
        <f>IF(OR($A2401="",$C2401=""),"",IF($L2401&lt;&gt;"",$L2401-$C2401,TODAY()-$C2401))</f>
        <v/>
      </c>
      <c r="N2401" s="28">
        <f>IF(OR($A2401="",$K2401=""),"",IF($L2401="",IF(TODAY()&gt;$K2401,"Atrasado","En ruta"),IF($L2401&lt;=$K2401,"Sí","No")))</f>
        <v/>
      </c>
      <c r="O2401" s="24">
        <f>IF($A2401="","",COUNTIFS(NOVEDADES!$D$4:$D$1503,$A2401))</f>
        <v/>
      </c>
      <c r="P2401" s="28">
        <f>IF($A2401="","",IF(COUNTIFS(NOVEDADES!$D$4:$D$1503,$A2401,NOVEDADES!$O$4:$O$1503,"SÍ")&gt;0,"No","Sí"))</f>
        <v/>
      </c>
      <c r="Q2401" s="28">
        <f>IF(OR($A2401="",$L2401=""),"",IF(AND($N2401="Sí",$P2401="Sí"),"OTIF","Falló"))</f>
        <v/>
      </c>
    </row>
    <row r="2402" ht="16" customHeight="1">
      <c r="A2402" s="48" t="n"/>
      <c r="B2402" s="48" t="n"/>
      <c r="C2402" s="47" t="n"/>
      <c r="D2402" s="50" t="n"/>
      <c r="E2402" s="50" t="n"/>
      <c r="F2402" s="50" t="n"/>
      <c r="G2402" s="50" t="n"/>
      <c r="H2402" s="48" t="n"/>
      <c r="I2402" s="51" t="n"/>
      <c r="J2402" s="52" t="n"/>
      <c r="K2402" s="47" t="n"/>
      <c r="L2402" s="47" t="n"/>
      <c r="M2402" s="24">
        <f>IF(OR($A2402="",$C2402=""),"",IF($L2402&lt;&gt;"",$L2402-$C2402,TODAY()-$C2402))</f>
        <v/>
      </c>
      <c r="N2402" s="28">
        <f>IF(OR($A2402="",$K2402=""),"",IF($L2402="",IF(TODAY()&gt;$K2402,"Atrasado","En ruta"),IF($L2402&lt;=$K2402,"Sí","No")))</f>
        <v/>
      </c>
      <c r="O2402" s="24">
        <f>IF($A2402="","",COUNTIFS(NOVEDADES!$D$4:$D$1503,$A2402))</f>
        <v/>
      </c>
      <c r="P2402" s="28">
        <f>IF($A2402="","",IF(COUNTIFS(NOVEDADES!$D$4:$D$1503,$A2402,NOVEDADES!$O$4:$O$1503,"SÍ")&gt;0,"No","Sí"))</f>
        <v/>
      </c>
      <c r="Q2402" s="28">
        <f>IF(OR($A2402="",$L2402=""),"",IF(AND($N2402="Sí",$P2402="Sí"),"OTIF","Falló"))</f>
        <v/>
      </c>
    </row>
    <row r="2403" ht="16" customHeight="1">
      <c r="A2403" s="48" t="n"/>
      <c r="B2403" s="48" t="n"/>
      <c r="C2403" s="47" t="n"/>
      <c r="D2403" s="50" t="n"/>
      <c r="E2403" s="50" t="n"/>
      <c r="F2403" s="50" t="n"/>
      <c r="G2403" s="50" t="n"/>
      <c r="H2403" s="48" t="n"/>
      <c r="I2403" s="51" t="n"/>
      <c r="J2403" s="52" t="n"/>
      <c r="K2403" s="47" t="n"/>
      <c r="L2403" s="47" t="n"/>
      <c r="M2403" s="24">
        <f>IF(OR($A2403="",$C2403=""),"",IF($L2403&lt;&gt;"",$L2403-$C2403,TODAY()-$C2403))</f>
        <v/>
      </c>
      <c r="N2403" s="28">
        <f>IF(OR($A2403="",$K2403=""),"",IF($L2403="",IF(TODAY()&gt;$K2403,"Atrasado","En ruta"),IF($L2403&lt;=$K2403,"Sí","No")))</f>
        <v/>
      </c>
      <c r="O2403" s="24">
        <f>IF($A2403="","",COUNTIFS(NOVEDADES!$D$4:$D$1503,$A2403))</f>
        <v/>
      </c>
      <c r="P2403" s="28">
        <f>IF($A2403="","",IF(COUNTIFS(NOVEDADES!$D$4:$D$1503,$A2403,NOVEDADES!$O$4:$O$1503,"SÍ")&gt;0,"No","Sí"))</f>
        <v/>
      </c>
      <c r="Q2403" s="28">
        <f>IF(OR($A2403="",$L2403=""),"",IF(AND($N2403="Sí",$P2403="Sí"),"OTIF","Falló"))</f>
        <v/>
      </c>
    </row>
    <row r="2404" ht="16" customHeight="1">
      <c r="A2404" s="48" t="n"/>
      <c r="B2404" s="48" t="n"/>
      <c r="C2404" s="47" t="n"/>
      <c r="D2404" s="50" t="n"/>
      <c r="E2404" s="50" t="n"/>
      <c r="F2404" s="50" t="n"/>
      <c r="G2404" s="50" t="n"/>
      <c r="H2404" s="48" t="n"/>
      <c r="I2404" s="51" t="n"/>
      <c r="J2404" s="52" t="n"/>
      <c r="K2404" s="47" t="n"/>
      <c r="L2404" s="47" t="n"/>
      <c r="M2404" s="24">
        <f>IF(OR($A2404="",$C2404=""),"",IF($L2404&lt;&gt;"",$L2404-$C2404,TODAY()-$C2404))</f>
        <v/>
      </c>
      <c r="N2404" s="28">
        <f>IF(OR($A2404="",$K2404=""),"",IF($L2404="",IF(TODAY()&gt;$K2404,"Atrasado","En ruta"),IF($L2404&lt;=$K2404,"Sí","No")))</f>
        <v/>
      </c>
      <c r="O2404" s="24">
        <f>IF($A2404="","",COUNTIFS(NOVEDADES!$D$4:$D$1503,$A2404))</f>
        <v/>
      </c>
      <c r="P2404" s="28">
        <f>IF($A2404="","",IF(COUNTIFS(NOVEDADES!$D$4:$D$1503,$A2404,NOVEDADES!$O$4:$O$1503,"SÍ")&gt;0,"No","Sí"))</f>
        <v/>
      </c>
      <c r="Q2404" s="28">
        <f>IF(OR($A2404="",$L2404=""),"",IF(AND($N2404="Sí",$P2404="Sí"),"OTIF","Falló"))</f>
        <v/>
      </c>
    </row>
    <row r="2405" ht="16" customHeight="1">
      <c r="A2405" s="48" t="n"/>
      <c r="B2405" s="48" t="n"/>
      <c r="C2405" s="47" t="n"/>
      <c r="D2405" s="50" t="n"/>
      <c r="E2405" s="50" t="n"/>
      <c r="F2405" s="50" t="n"/>
      <c r="G2405" s="50" t="n"/>
      <c r="H2405" s="48" t="n"/>
      <c r="I2405" s="51" t="n"/>
      <c r="J2405" s="52" t="n"/>
      <c r="K2405" s="47" t="n"/>
      <c r="L2405" s="47" t="n"/>
      <c r="M2405" s="24">
        <f>IF(OR($A2405="",$C2405=""),"",IF($L2405&lt;&gt;"",$L2405-$C2405,TODAY()-$C2405))</f>
        <v/>
      </c>
      <c r="N2405" s="28">
        <f>IF(OR($A2405="",$K2405=""),"",IF($L2405="",IF(TODAY()&gt;$K2405,"Atrasado","En ruta"),IF($L2405&lt;=$K2405,"Sí","No")))</f>
        <v/>
      </c>
      <c r="O2405" s="24">
        <f>IF($A2405="","",COUNTIFS(NOVEDADES!$D$4:$D$1503,$A2405))</f>
        <v/>
      </c>
      <c r="P2405" s="28">
        <f>IF($A2405="","",IF(COUNTIFS(NOVEDADES!$D$4:$D$1503,$A2405,NOVEDADES!$O$4:$O$1503,"SÍ")&gt;0,"No","Sí"))</f>
        <v/>
      </c>
      <c r="Q2405" s="28">
        <f>IF(OR($A2405="",$L2405=""),"",IF(AND($N2405="Sí",$P2405="Sí"),"OTIF","Falló"))</f>
        <v/>
      </c>
    </row>
    <row r="2406" ht="16" customHeight="1">
      <c r="A2406" s="48" t="n"/>
      <c r="B2406" s="48" t="n"/>
      <c r="C2406" s="47" t="n"/>
      <c r="D2406" s="50" t="n"/>
      <c r="E2406" s="50" t="n"/>
      <c r="F2406" s="50" t="n"/>
      <c r="G2406" s="50" t="n"/>
      <c r="H2406" s="48" t="n"/>
      <c r="I2406" s="51" t="n"/>
      <c r="J2406" s="52" t="n"/>
      <c r="K2406" s="47" t="n"/>
      <c r="L2406" s="47" t="n"/>
      <c r="M2406" s="24">
        <f>IF(OR($A2406="",$C2406=""),"",IF($L2406&lt;&gt;"",$L2406-$C2406,TODAY()-$C2406))</f>
        <v/>
      </c>
      <c r="N2406" s="28">
        <f>IF(OR($A2406="",$K2406=""),"",IF($L2406="",IF(TODAY()&gt;$K2406,"Atrasado","En ruta"),IF($L2406&lt;=$K2406,"Sí","No")))</f>
        <v/>
      </c>
      <c r="O2406" s="24">
        <f>IF($A2406="","",COUNTIFS(NOVEDADES!$D$4:$D$1503,$A2406))</f>
        <v/>
      </c>
      <c r="P2406" s="28">
        <f>IF($A2406="","",IF(COUNTIFS(NOVEDADES!$D$4:$D$1503,$A2406,NOVEDADES!$O$4:$O$1503,"SÍ")&gt;0,"No","Sí"))</f>
        <v/>
      </c>
      <c r="Q2406" s="28">
        <f>IF(OR($A2406="",$L2406=""),"",IF(AND($N2406="Sí",$P2406="Sí"),"OTIF","Falló"))</f>
        <v/>
      </c>
    </row>
    <row r="2407" ht="16" customHeight="1">
      <c r="A2407" s="48" t="n"/>
      <c r="B2407" s="48" t="n"/>
      <c r="C2407" s="47" t="n"/>
      <c r="D2407" s="50" t="n"/>
      <c r="E2407" s="50" t="n"/>
      <c r="F2407" s="50" t="n"/>
      <c r="G2407" s="50" t="n"/>
      <c r="H2407" s="48" t="n"/>
      <c r="I2407" s="51" t="n"/>
      <c r="J2407" s="52" t="n"/>
      <c r="K2407" s="47" t="n"/>
      <c r="L2407" s="47" t="n"/>
      <c r="M2407" s="24">
        <f>IF(OR($A2407="",$C2407=""),"",IF($L2407&lt;&gt;"",$L2407-$C2407,TODAY()-$C2407))</f>
        <v/>
      </c>
      <c r="N2407" s="28">
        <f>IF(OR($A2407="",$K2407=""),"",IF($L2407="",IF(TODAY()&gt;$K2407,"Atrasado","En ruta"),IF($L2407&lt;=$K2407,"Sí","No")))</f>
        <v/>
      </c>
      <c r="O2407" s="24">
        <f>IF($A2407="","",COUNTIFS(NOVEDADES!$D$4:$D$1503,$A2407))</f>
        <v/>
      </c>
      <c r="P2407" s="28">
        <f>IF($A2407="","",IF(COUNTIFS(NOVEDADES!$D$4:$D$1503,$A2407,NOVEDADES!$O$4:$O$1503,"SÍ")&gt;0,"No","Sí"))</f>
        <v/>
      </c>
      <c r="Q2407" s="28">
        <f>IF(OR($A2407="",$L2407=""),"",IF(AND($N2407="Sí",$P2407="Sí"),"OTIF","Falló"))</f>
        <v/>
      </c>
    </row>
    <row r="2408" ht="16" customHeight="1">
      <c r="A2408" s="48" t="n"/>
      <c r="B2408" s="48" t="n"/>
      <c r="C2408" s="47" t="n"/>
      <c r="D2408" s="50" t="n"/>
      <c r="E2408" s="50" t="n"/>
      <c r="F2408" s="50" t="n"/>
      <c r="G2408" s="50" t="n"/>
      <c r="H2408" s="48" t="n"/>
      <c r="I2408" s="51" t="n"/>
      <c r="J2408" s="52" t="n"/>
      <c r="K2408" s="47" t="n"/>
      <c r="L2408" s="47" t="n"/>
      <c r="M2408" s="24">
        <f>IF(OR($A2408="",$C2408=""),"",IF($L2408&lt;&gt;"",$L2408-$C2408,TODAY()-$C2408))</f>
        <v/>
      </c>
      <c r="N2408" s="28">
        <f>IF(OR($A2408="",$K2408=""),"",IF($L2408="",IF(TODAY()&gt;$K2408,"Atrasado","En ruta"),IF($L2408&lt;=$K2408,"Sí","No")))</f>
        <v/>
      </c>
      <c r="O2408" s="24">
        <f>IF($A2408="","",COUNTIFS(NOVEDADES!$D$4:$D$1503,$A2408))</f>
        <v/>
      </c>
      <c r="P2408" s="28">
        <f>IF($A2408="","",IF(COUNTIFS(NOVEDADES!$D$4:$D$1503,$A2408,NOVEDADES!$O$4:$O$1503,"SÍ")&gt;0,"No","Sí"))</f>
        <v/>
      </c>
      <c r="Q2408" s="28">
        <f>IF(OR($A2408="",$L2408=""),"",IF(AND($N2408="Sí",$P2408="Sí"),"OTIF","Falló"))</f>
        <v/>
      </c>
    </row>
    <row r="2409" ht="16" customHeight="1">
      <c r="A2409" s="48" t="n"/>
      <c r="B2409" s="48" t="n"/>
      <c r="C2409" s="47" t="n"/>
      <c r="D2409" s="50" t="n"/>
      <c r="E2409" s="50" t="n"/>
      <c r="F2409" s="50" t="n"/>
      <c r="G2409" s="50" t="n"/>
      <c r="H2409" s="48" t="n"/>
      <c r="I2409" s="51" t="n"/>
      <c r="J2409" s="52" t="n"/>
      <c r="K2409" s="47" t="n"/>
      <c r="L2409" s="47" t="n"/>
      <c r="M2409" s="24">
        <f>IF(OR($A2409="",$C2409=""),"",IF($L2409&lt;&gt;"",$L2409-$C2409,TODAY()-$C2409))</f>
        <v/>
      </c>
      <c r="N2409" s="28">
        <f>IF(OR($A2409="",$K2409=""),"",IF($L2409="",IF(TODAY()&gt;$K2409,"Atrasado","En ruta"),IF($L2409&lt;=$K2409,"Sí","No")))</f>
        <v/>
      </c>
      <c r="O2409" s="24">
        <f>IF($A2409="","",COUNTIFS(NOVEDADES!$D$4:$D$1503,$A2409))</f>
        <v/>
      </c>
      <c r="P2409" s="28">
        <f>IF($A2409="","",IF(COUNTIFS(NOVEDADES!$D$4:$D$1503,$A2409,NOVEDADES!$O$4:$O$1503,"SÍ")&gt;0,"No","Sí"))</f>
        <v/>
      </c>
      <c r="Q2409" s="28">
        <f>IF(OR($A2409="",$L2409=""),"",IF(AND($N2409="Sí",$P2409="Sí"),"OTIF","Falló"))</f>
        <v/>
      </c>
    </row>
    <row r="2410" ht="16" customHeight="1">
      <c r="A2410" s="48" t="n"/>
      <c r="B2410" s="48" t="n"/>
      <c r="C2410" s="47" t="n"/>
      <c r="D2410" s="50" t="n"/>
      <c r="E2410" s="50" t="n"/>
      <c r="F2410" s="50" t="n"/>
      <c r="G2410" s="50" t="n"/>
      <c r="H2410" s="48" t="n"/>
      <c r="I2410" s="51" t="n"/>
      <c r="J2410" s="52" t="n"/>
      <c r="K2410" s="47" t="n"/>
      <c r="L2410" s="47" t="n"/>
      <c r="M2410" s="24">
        <f>IF(OR($A2410="",$C2410=""),"",IF($L2410&lt;&gt;"",$L2410-$C2410,TODAY()-$C2410))</f>
        <v/>
      </c>
      <c r="N2410" s="28">
        <f>IF(OR($A2410="",$K2410=""),"",IF($L2410="",IF(TODAY()&gt;$K2410,"Atrasado","En ruta"),IF($L2410&lt;=$K2410,"Sí","No")))</f>
        <v/>
      </c>
      <c r="O2410" s="24">
        <f>IF($A2410="","",COUNTIFS(NOVEDADES!$D$4:$D$1503,$A2410))</f>
        <v/>
      </c>
      <c r="P2410" s="28">
        <f>IF($A2410="","",IF(COUNTIFS(NOVEDADES!$D$4:$D$1503,$A2410,NOVEDADES!$O$4:$O$1503,"SÍ")&gt;0,"No","Sí"))</f>
        <v/>
      </c>
      <c r="Q2410" s="28">
        <f>IF(OR($A2410="",$L2410=""),"",IF(AND($N2410="Sí",$P2410="Sí"),"OTIF","Falló"))</f>
        <v/>
      </c>
    </row>
    <row r="2411" ht="16" customHeight="1">
      <c r="A2411" s="48" t="n"/>
      <c r="B2411" s="48" t="n"/>
      <c r="C2411" s="47" t="n"/>
      <c r="D2411" s="50" t="n"/>
      <c r="E2411" s="50" t="n"/>
      <c r="F2411" s="50" t="n"/>
      <c r="G2411" s="50" t="n"/>
      <c r="H2411" s="48" t="n"/>
      <c r="I2411" s="51" t="n"/>
      <c r="J2411" s="52" t="n"/>
      <c r="K2411" s="47" t="n"/>
      <c r="L2411" s="47" t="n"/>
      <c r="M2411" s="24">
        <f>IF(OR($A2411="",$C2411=""),"",IF($L2411&lt;&gt;"",$L2411-$C2411,TODAY()-$C2411))</f>
        <v/>
      </c>
      <c r="N2411" s="28">
        <f>IF(OR($A2411="",$K2411=""),"",IF($L2411="",IF(TODAY()&gt;$K2411,"Atrasado","En ruta"),IF($L2411&lt;=$K2411,"Sí","No")))</f>
        <v/>
      </c>
      <c r="O2411" s="24">
        <f>IF($A2411="","",COUNTIFS(NOVEDADES!$D$4:$D$1503,$A2411))</f>
        <v/>
      </c>
      <c r="P2411" s="28">
        <f>IF($A2411="","",IF(COUNTIFS(NOVEDADES!$D$4:$D$1503,$A2411,NOVEDADES!$O$4:$O$1503,"SÍ")&gt;0,"No","Sí"))</f>
        <v/>
      </c>
      <c r="Q2411" s="28">
        <f>IF(OR($A2411="",$L2411=""),"",IF(AND($N2411="Sí",$P2411="Sí"),"OTIF","Falló"))</f>
        <v/>
      </c>
    </row>
    <row r="2412" ht="16" customHeight="1">
      <c r="A2412" s="48" t="n"/>
      <c r="B2412" s="48" t="n"/>
      <c r="C2412" s="47" t="n"/>
      <c r="D2412" s="50" t="n"/>
      <c r="E2412" s="50" t="n"/>
      <c r="F2412" s="50" t="n"/>
      <c r="G2412" s="50" t="n"/>
      <c r="H2412" s="48" t="n"/>
      <c r="I2412" s="51" t="n"/>
      <c r="J2412" s="52" t="n"/>
      <c r="K2412" s="47" t="n"/>
      <c r="L2412" s="47" t="n"/>
      <c r="M2412" s="24">
        <f>IF(OR($A2412="",$C2412=""),"",IF($L2412&lt;&gt;"",$L2412-$C2412,TODAY()-$C2412))</f>
        <v/>
      </c>
      <c r="N2412" s="28">
        <f>IF(OR($A2412="",$K2412=""),"",IF($L2412="",IF(TODAY()&gt;$K2412,"Atrasado","En ruta"),IF($L2412&lt;=$K2412,"Sí","No")))</f>
        <v/>
      </c>
      <c r="O2412" s="24">
        <f>IF($A2412="","",COUNTIFS(NOVEDADES!$D$4:$D$1503,$A2412))</f>
        <v/>
      </c>
      <c r="P2412" s="28">
        <f>IF($A2412="","",IF(COUNTIFS(NOVEDADES!$D$4:$D$1503,$A2412,NOVEDADES!$O$4:$O$1503,"SÍ")&gt;0,"No","Sí"))</f>
        <v/>
      </c>
      <c r="Q2412" s="28">
        <f>IF(OR($A2412="",$L2412=""),"",IF(AND($N2412="Sí",$P2412="Sí"),"OTIF","Falló"))</f>
        <v/>
      </c>
    </row>
    <row r="2413" ht="16" customHeight="1">
      <c r="A2413" s="48" t="n"/>
      <c r="B2413" s="48" t="n"/>
      <c r="C2413" s="47" t="n"/>
      <c r="D2413" s="50" t="n"/>
      <c r="E2413" s="50" t="n"/>
      <c r="F2413" s="50" t="n"/>
      <c r="G2413" s="50" t="n"/>
      <c r="H2413" s="48" t="n"/>
      <c r="I2413" s="51" t="n"/>
      <c r="J2413" s="52" t="n"/>
      <c r="K2413" s="47" t="n"/>
      <c r="L2413" s="47" t="n"/>
      <c r="M2413" s="24">
        <f>IF(OR($A2413="",$C2413=""),"",IF($L2413&lt;&gt;"",$L2413-$C2413,TODAY()-$C2413))</f>
        <v/>
      </c>
      <c r="N2413" s="28">
        <f>IF(OR($A2413="",$K2413=""),"",IF($L2413="",IF(TODAY()&gt;$K2413,"Atrasado","En ruta"),IF($L2413&lt;=$K2413,"Sí","No")))</f>
        <v/>
      </c>
      <c r="O2413" s="24">
        <f>IF($A2413="","",COUNTIFS(NOVEDADES!$D$4:$D$1503,$A2413))</f>
        <v/>
      </c>
      <c r="P2413" s="28">
        <f>IF($A2413="","",IF(COUNTIFS(NOVEDADES!$D$4:$D$1503,$A2413,NOVEDADES!$O$4:$O$1503,"SÍ")&gt;0,"No","Sí"))</f>
        <v/>
      </c>
      <c r="Q2413" s="28">
        <f>IF(OR($A2413="",$L2413=""),"",IF(AND($N2413="Sí",$P2413="Sí"),"OTIF","Falló"))</f>
        <v/>
      </c>
    </row>
    <row r="2414" ht="16" customHeight="1">
      <c r="A2414" s="48" t="n"/>
      <c r="B2414" s="48" t="n"/>
      <c r="C2414" s="47" t="n"/>
      <c r="D2414" s="50" t="n"/>
      <c r="E2414" s="50" t="n"/>
      <c r="F2414" s="50" t="n"/>
      <c r="G2414" s="50" t="n"/>
      <c r="H2414" s="48" t="n"/>
      <c r="I2414" s="51" t="n"/>
      <c r="J2414" s="52" t="n"/>
      <c r="K2414" s="47" t="n"/>
      <c r="L2414" s="47" t="n"/>
      <c r="M2414" s="24">
        <f>IF(OR($A2414="",$C2414=""),"",IF($L2414&lt;&gt;"",$L2414-$C2414,TODAY()-$C2414))</f>
        <v/>
      </c>
      <c r="N2414" s="28">
        <f>IF(OR($A2414="",$K2414=""),"",IF($L2414="",IF(TODAY()&gt;$K2414,"Atrasado","En ruta"),IF($L2414&lt;=$K2414,"Sí","No")))</f>
        <v/>
      </c>
      <c r="O2414" s="24">
        <f>IF($A2414="","",COUNTIFS(NOVEDADES!$D$4:$D$1503,$A2414))</f>
        <v/>
      </c>
      <c r="P2414" s="28">
        <f>IF($A2414="","",IF(COUNTIFS(NOVEDADES!$D$4:$D$1503,$A2414,NOVEDADES!$O$4:$O$1503,"SÍ")&gt;0,"No","Sí"))</f>
        <v/>
      </c>
      <c r="Q2414" s="28">
        <f>IF(OR($A2414="",$L2414=""),"",IF(AND($N2414="Sí",$P2414="Sí"),"OTIF","Falló"))</f>
        <v/>
      </c>
    </row>
    <row r="2415" ht="16" customHeight="1">
      <c r="A2415" s="48" t="n"/>
      <c r="B2415" s="48" t="n"/>
      <c r="C2415" s="47" t="n"/>
      <c r="D2415" s="50" t="n"/>
      <c r="E2415" s="50" t="n"/>
      <c r="F2415" s="50" t="n"/>
      <c r="G2415" s="50" t="n"/>
      <c r="H2415" s="48" t="n"/>
      <c r="I2415" s="51" t="n"/>
      <c r="J2415" s="52" t="n"/>
      <c r="K2415" s="47" t="n"/>
      <c r="L2415" s="47" t="n"/>
      <c r="M2415" s="24">
        <f>IF(OR($A2415="",$C2415=""),"",IF($L2415&lt;&gt;"",$L2415-$C2415,TODAY()-$C2415))</f>
        <v/>
      </c>
      <c r="N2415" s="28">
        <f>IF(OR($A2415="",$K2415=""),"",IF($L2415="",IF(TODAY()&gt;$K2415,"Atrasado","En ruta"),IF($L2415&lt;=$K2415,"Sí","No")))</f>
        <v/>
      </c>
      <c r="O2415" s="24">
        <f>IF($A2415="","",COUNTIFS(NOVEDADES!$D$4:$D$1503,$A2415))</f>
        <v/>
      </c>
      <c r="P2415" s="28">
        <f>IF($A2415="","",IF(COUNTIFS(NOVEDADES!$D$4:$D$1503,$A2415,NOVEDADES!$O$4:$O$1503,"SÍ")&gt;0,"No","Sí"))</f>
        <v/>
      </c>
      <c r="Q2415" s="28">
        <f>IF(OR($A2415="",$L2415=""),"",IF(AND($N2415="Sí",$P2415="Sí"),"OTIF","Falló"))</f>
        <v/>
      </c>
    </row>
    <row r="2416" ht="16" customHeight="1">
      <c r="A2416" s="48" t="n"/>
      <c r="B2416" s="48" t="n"/>
      <c r="C2416" s="47" t="n"/>
      <c r="D2416" s="50" t="n"/>
      <c r="E2416" s="50" t="n"/>
      <c r="F2416" s="50" t="n"/>
      <c r="G2416" s="50" t="n"/>
      <c r="H2416" s="48" t="n"/>
      <c r="I2416" s="51" t="n"/>
      <c r="J2416" s="52" t="n"/>
      <c r="K2416" s="47" t="n"/>
      <c r="L2416" s="47" t="n"/>
      <c r="M2416" s="24">
        <f>IF(OR($A2416="",$C2416=""),"",IF($L2416&lt;&gt;"",$L2416-$C2416,TODAY()-$C2416))</f>
        <v/>
      </c>
      <c r="N2416" s="28">
        <f>IF(OR($A2416="",$K2416=""),"",IF($L2416="",IF(TODAY()&gt;$K2416,"Atrasado","En ruta"),IF($L2416&lt;=$K2416,"Sí","No")))</f>
        <v/>
      </c>
      <c r="O2416" s="24">
        <f>IF($A2416="","",COUNTIFS(NOVEDADES!$D$4:$D$1503,$A2416))</f>
        <v/>
      </c>
      <c r="P2416" s="28">
        <f>IF($A2416="","",IF(COUNTIFS(NOVEDADES!$D$4:$D$1503,$A2416,NOVEDADES!$O$4:$O$1503,"SÍ")&gt;0,"No","Sí"))</f>
        <v/>
      </c>
      <c r="Q2416" s="28">
        <f>IF(OR($A2416="",$L2416=""),"",IF(AND($N2416="Sí",$P2416="Sí"),"OTIF","Falló"))</f>
        <v/>
      </c>
    </row>
    <row r="2417" ht="16" customHeight="1">
      <c r="A2417" s="48" t="n"/>
      <c r="B2417" s="48" t="n"/>
      <c r="C2417" s="47" t="n"/>
      <c r="D2417" s="50" t="n"/>
      <c r="E2417" s="50" t="n"/>
      <c r="F2417" s="50" t="n"/>
      <c r="G2417" s="50" t="n"/>
      <c r="H2417" s="48" t="n"/>
      <c r="I2417" s="51" t="n"/>
      <c r="J2417" s="52" t="n"/>
      <c r="K2417" s="47" t="n"/>
      <c r="L2417" s="47" t="n"/>
      <c r="M2417" s="24">
        <f>IF(OR($A2417="",$C2417=""),"",IF($L2417&lt;&gt;"",$L2417-$C2417,TODAY()-$C2417))</f>
        <v/>
      </c>
      <c r="N2417" s="28">
        <f>IF(OR($A2417="",$K2417=""),"",IF($L2417="",IF(TODAY()&gt;$K2417,"Atrasado","En ruta"),IF($L2417&lt;=$K2417,"Sí","No")))</f>
        <v/>
      </c>
      <c r="O2417" s="24">
        <f>IF($A2417="","",COUNTIFS(NOVEDADES!$D$4:$D$1503,$A2417))</f>
        <v/>
      </c>
      <c r="P2417" s="28">
        <f>IF($A2417="","",IF(COUNTIFS(NOVEDADES!$D$4:$D$1503,$A2417,NOVEDADES!$O$4:$O$1503,"SÍ")&gt;0,"No","Sí"))</f>
        <v/>
      </c>
      <c r="Q2417" s="28">
        <f>IF(OR($A2417="",$L2417=""),"",IF(AND($N2417="Sí",$P2417="Sí"),"OTIF","Falló"))</f>
        <v/>
      </c>
    </row>
    <row r="2418" ht="16" customHeight="1">
      <c r="A2418" s="48" t="n"/>
      <c r="B2418" s="48" t="n"/>
      <c r="C2418" s="47" t="n"/>
      <c r="D2418" s="50" t="n"/>
      <c r="E2418" s="50" t="n"/>
      <c r="F2418" s="50" t="n"/>
      <c r="G2418" s="50" t="n"/>
      <c r="H2418" s="48" t="n"/>
      <c r="I2418" s="51" t="n"/>
      <c r="J2418" s="52" t="n"/>
      <c r="K2418" s="47" t="n"/>
      <c r="L2418" s="47" t="n"/>
      <c r="M2418" s="24">
        <f>IF(OR($A2418="",$C2418=""),"",IF($L2418&lt;&gt;"",$L2418-$C2418,TODAY()-$C2418))</f>
        <v/>
      </c>
      <c r="N2418" s="28">
        <f>IF(OR($A2418="",$K2418=""),"",IF($L2418="",IF(TODAY()&gt;$K2418,"Atrasado","En ruta"),IF($L2418&lt;=$K2418,"Sí","No")))</f>
        <v/>
      </c>
      <c r="O2418" s="24">
        <f>IF($A2418="","",COUNTIFS(NOVEDADES!$D$4:$D$1503,$A2418))</f>
        <v/>
      </c>
      <c r="P2418" s="28">
        <f>IF($A2418="","",IF(COUNTIFS(NOVEDADES!$D$4:$D$1503,$A2418,NOVEDADES!$O$4:$O$1503,"SÍ")&gt;0,"No","Sí"))</f>
        <v/>
      </c>
      <c r="Q2418" s="28">
        <f>IF(OR($A2418="",$L2418=""),"",IF(AND($N2418="Sí",$P2418="Sí"),"OTIF","Falló"))</f>
        <v/>
      </c>
    </row>
    <row r="2419" ht="16" customHeight="1">
      <c r="A2419" s="48" t="n"/>
      <c r="B2419" s="48" t="n"/>
      <c r="C2419" s="47" t="n"/>
      <c r="D2419" s="50" t="n"/>
      <c r="E2419" s="50" t="n"/>
      <c r="F2419" s="50" t="n"/>
      <c r="G2419" s="50" t="n"/>
      <c r="H2419" s="48" t="n"/>
      <c r="I2419" s="51" t="n"/>
      <c r="J2419" s="52" t="n"/>
      <c r="K2419" s="47" t="n"/>
      <c r="L2419" s="47" t="n"/>
      <c r="M2419" s="24">
        <f>IF(OR($A2419="",$C2419=""),"",IF($L2419&lt;&gt;"",$L2419-$C2419,TODAY()-$C2419))</f>
        <v/>
      </c>
      <c r="N2419" s="28">
        <f>IF(OR($A2419="",$K2419=""),"",IF($L2419="",IF(TODAY()&gt;$K2419,"Atrasado","En ruta"),IF($L2419&lt;=$K2419,"Sí","No")))</f>
        <v/>
      </c>
      <c r="O2419" s="24">
        <f>IF($A2419="","",COUNTIFS(NOVEDADES!$D$4:$D$1503,$A2419))</f>
        <v/>
      </c>
      <c r="P2419" s="28">
        <f>IF($A2419="","",IF(COUNTIFS(NOVEDADES!$D$4:$D$1503,$A2419,NOVEDADES!$O$4:$O$1503,"SÍ")&gt;0,"No","Sí"))</f>
        <v/>
      </c>
      <c r="Q2419" s="28">
        <f>IF(OR($A2419="",$L2419=""),"",IF(AND($N2419="Sí",$P2419="Sí"),"OTIF","Falló"))</f>
        <v/>
      </c>
    </row>
    <row r="2420" ht="16" customHeight="1">
      <c r="A2420" s="48" t="n"/>
      <c r="B2420" s="48" t="n"/>
      <c r="C2420" s="47" t="n"/>
      <c r="D2420" s="50" t="n"/>
      <c r="E2420" s="50" t="n"/>
      <c r="F2420" s="50" t="n"/>
      <c r="G2420" s="50" t="n"/>
      <c r="H2420" s="48" t="n"/>
      <c r="I2420" s="51" t="n"/>
      <c r="J2420" s="52" t="n"/>
      <c r="K2420" s="47" t="n"/>
      <c r="L2420" s="47" t="n"/>
      <c r="M2420" s="24">
        <f>IF(OR($A2420="",$C2420=""),"",IF($L2420&lt;&gt;"",$L2420-$C2420,TODAY()-$C2420))</f>
        <v/>
      </c>
      <c r="N2420" s="28">
        <f>IF(OR($A2420="",$K2420=""),"",IF($L2420="",IF(TODAY()&gt;$K2420,"Atrasado","En ruta"),IF($L2420&lt;=$K2420,"Sí","No")))</f>
        <v/>
      </c>
      <c r="O2420" s="24">
        <f>IF($A2420="","",COUNTIFS(NOVEDADES!$D$4:$D$1503,$A2420))</f>
        <v/>
      </c>
      <c r="P2420" s="28">
        <f>IF($A2420="","",IF(COUNTIFS(NOVEDADES!$D$4:$D$1503,$A2420,NOVEDADES!$O$4:$O$1503,"SÍ")&gt;0,"No","Sí"))</f>
        <v/>
      </c>
      <c r="Q2420" s="28">
        <f>IF(OR($A2420="",$L2420=""),"",IF(AND($N2420="Sí",$P2420="Sí"),"OTIF","Falló"))</f>
        <v/>
      </c>
    </row>
    <row r="2421" ht="16" customHeight="1">
      <c r="A2421" s="48" t="n"/>
      <c r="B2421" s="48" t="n"/>
      <c r="C2421" s="47" t="n"/>
      <c r="D2421" s="50" t="n"/>
      <c r="E2421" s="50" t="n"/>
      <c r="F2421" s="50" t="n"/>
      <c r="G2421" s="50" t="n"/>
      <c r="H2421" s="48" t="n"/>
      <c r="I2421" s="51" t="n"/>
      <c r="J2421" s="52" t="n"/>
      <c r="K2421" s="47" t="n"/>
      <c r="L2421" s="47" t="n"/>
      <c r="M2421" s="24">
        <f>IF(OR($A2421="",$C2421=""),"",IF($L2421&lt;&gt;"",$L2421-$C2421,TODAY()-$C2421))</f>
        <v/>
      </c>
      <c r="N2421" s="28">
        <f>IF(OR($A2421="",$K2421=""),"",IF($L2421="",IF(TODAY()&gt;$K2421,"Atrasado","En ruta"),IF($L2421&lt;=$K2421,"Sí","No")))</f>
        <v/>
      </c>
      <c r="O2421" s="24">
        <f>IF($A2421="","",COUNTIFS(NOVEDADES!$D$4:$D$1503,$A2421))</f>
        <v/>
      </c>
      <c r="P2421" s="28">
        <f>IF($A2421="","",IF(COUNTIFS(NOVEDADES!$D$4:$D$1503,$A2421,NOVEDADES!$O$4:$O$1503,"SÍ")&gt;0,"No","Sí"))</f>
        <v/>
      </c>
      <c r="Q2421" s="28">
        <f>IF(OR($A2421="",$L2421=""),"",IF(AND($N2421="Sí",$P2421="Sí"),"OTIF","Falló"))</f>
        <v/>
      </c>
    </row>
    <row r="2422" ht="16" customHeight="1">
      <c r="A2422" s="48" t="n"/>
      <c r="B2422" s="48" t="n"/>
      <c r="C2422" s="47" t="n"/>
      <c r="D2422" s="50" t="n"/>
      <c r="E2422" s="50" t="n"/>
      <c r="F2422" s="50" t="n"/>
      <c r="G2422" s="50" t="n"/>
      <c r="H2422" s="48" t="n"/>
      <c r="I2422" s="51" t="n"/>
      <c r="J2422" s="52" t="n"/>
      <c r="K2422" s="47" t="n"/>
      <c r="L2422" s="47" t="n"/>
      <c r="M2422" s="24">
        <f>IF(OR($A2422="",$C2422=""),"",IF($L2422&lt;&gt;"",$L2422-$C2422,TODAY()-$C2422))</f>
        <v/>
      </c>
      <c r="N2422" s="28">
        <f>IF(OR($A2422="",$K2422=""),"",IF($L2422="",IF(TODAY()&gt;$K2422,"Atrasado","En ruta"),IF($L2422&lt;=$K2422,"Sí","No")))</f>
        <v/>
      </c>
      <c r="O2422" s="24">
        <f>IF($A2422="","",COUNTIFS(NOVEDADES!$D$4:$D$1503,$A2422))</f>
        <v/>
      </c>
      <c r="P2422" s="28">
        <f>IF($A2422="","",IF(COUNTIFS(NOVEDADES!$D$4:$D$1503,$A2422,NOVEDADES!$O$4:$O$1503,"SÍ")&gt;0,"No","Sí"))</f>
        <v/>
      </c>
      <c r="Q2422" s="28">
        <f>IF(OR($A2422="",$L2422=""),"",IF(AND($N2422="Sí",$P2422="Sí"),"OTIF","Falló"))</f>
        <v/>
      </c>
    </row>
    <row r="2423" ht="16" customHeight="1">
      <c r="A2423" s="48" t="n"/>
      <c r="B2423" s="48" t="n"/>
      <c r="C2423" s="47" t="n"/>
      <c r="D2423" s="50" t="n"/>
      <c r="E2423" s="50" t="n"/>
      <c r="F2423" s="50" t="n"/>
      <c r="G2423" s="50" t="n"/>
      <c r="H2423" s="48" t="n"/>
      <c r="I2423" s="51" t="n"/>
      <c r="J2423" s="52" t="n"/>
      <c r="K2423" s="47" t="n"/>
      <c r="L2423" s="47" t="n"/>
      <c r="M2423" s="24">
        <f>IF(OR($A2423="",$C2423=""),"",IF($L2423&lt;&gt;"",$L2423-$C2423,TODAY()-$C2423))</f>
        <v/>
      </c>
      <c r="N2423" s="28">
        <f>IF(OR($A2423="",$K2423=""),"",IF($L2423="",IF(TODAY()&gt;$K2423,"Atrasado","En ruta"),IF($L2423&lt;=$K2423,"Sí","No")))</f>
        <v/>
      </c>
      <c r="O2423" s="24">
        <f>IF($A2423="","",COUNTIFS(NOVEDADES!$D$4:$D$1503,$A2423))</f>
        <v/>
      </c>
      <c r="P2423" s="28">
        <f>IF($A2423="","",IF(COUNTIFS(NOVEDADES!$D$4:$D$1503,$A2423,NOVEDADES!$O$4:$O$1503,"SÍ")&gt;0,"No","Sí"))</f>
        <v/>
      </c>
      <c r="Q2423" s="28">
        <f>IF(OR($A2423="",$L2423=""),"",IF(AND($N2423="Sí",$P2423="Sí"),"OTIF","Falló"))</f>
        <v/>
      </c>
    </row>
    <row r="2424" ht="16" customHeight="1">
      <c r="A2424" s="48" t="n"/>
      <c r="B2424" s="48" t="n"/>
      <c r="C2424" s="47" t="n"/>
      <c r="D2424" s="50" t="n"/>
      <c r="E2424" s="50" t="n"/>
      <c r="F2424" s="50" t="n"/>
      <c r="G2424" s="50" t="n"/>
      <c r="H2424" s="48" t="n"/>
      <c r="I2424" s="51" t="n"/>
      <c r="J2424" s="52" t="n"/>
      <c r="K2424" s="47" t="n"/>
      <c r="L2424" s="47" t="n"/>
      <c r="M2424" s="24">
        <f>IF(OR($A2424="",$C2424=""),"",IF($L2424&lt;&gt;"",$L2424-$C2424,TODAY()-$C2424))</f>
        <v/>
      </c>
      <c r="N2424" s="28">
        <f>IF(OR($A2424="",$K2424=""),"",IF($L2424="",IF(TODAY()&gt;$K2424,"Atrasado","En ruta"),IF($L2424&lt;=$K2424,"Sí","No")))</f>
        <v/>
      </c>
      <c r="O2424" s="24">
        <f>IF($A2424="","",COUNTIFS(NOVEDADES!$D$4:$D$1503,$A2424))</f>
        <v/>
      </c>
      <c r="P2424" s="28">
        <f>IF($A2424="","",IF(COUNTIFS(NOVEDADES!$D$4:$D$1503,$A2424,NOVEDADES!$O$4:$O$1503,"SÍ")&gt;0,"No","Sí"))</f>
        <v/>
      </c>
      <c r="Q2424" s="28">
        <f>IF(OR($A2424="",$L2424=""),"",IF(AND($N2424="Sí",$P2424="Sí"),"OTIF","Falló"))</f>
        <v/>
      </c>
    </row>
    <row r="2425" ht="16" customHeight="1">
      <c r="A2425" s="48" t="n"/>
      <c r="B2425" s="48" t="n"/>
      <c r="C2425" s="47" t="n"/>
      <c r="D2425" s="50" t="n"/>
      <c r="E2425" s="50" t="n"/>
      <c r="F2425" s="50" t="n"/>
      <c r="G2425" s="50" t="n"/>
      <c r="H2425" s="48" t="n"/>
      <c r="I2425" s="51" t="n"/>
      <c r="J2425" s="52" t="n"/>
      <c r="K2425" s="47" t="n"/>
      <c r="L2425" s="47" t="n"/>
      <c r="M2425" s="24">
        <f>IF(OR($A2425="",$C2425=""),"",IF($L2425&lt;&gt;"",$L2425-$C2425,TODAY()-$C2425))</f>
        <v/>
      </c>
      <c r="N2425" s="28">
        <f>IF(OR($A2425="",$K2425=""),"",IF($L2425="",IF(TODAY()&gt;$K2425,"Atrasado","En ruta"),IF($L2425&lt;=$K2425,"Sí","No")))</f>
        <v/>
      </c>
      <c r="O2425" s="24">
        <f>IF($A2425="","",COUNTIFS(NOVEDADES!$D$4:$D$1503,$A2425))</f>
        <v/>
      </c>
      <c r="P2425" s="28">
        <f>IF($A2425="","",IF(COUNTIFS(NOVEDADES!$D$4:$D$1503,$A2425,NOVEDADES!$O$4:$O$1503,"SÍ")&gt;0,"No","Sí"))</f>
        <v/>
      </c>
      <c r="Q2425" s="28">
        <f>IF(OR($A2425="",$L2425=""),"",IF(AND($N2425="Sí",$P2425="Sí"),"OTIF","Falló"))</f>
        <v/>
      </c>
    </row>
    <row r="2426" ht="16" customHeight="1">
      <c r="A2426" s="48" t="n"/>
      <c r="B2426" s="48" t="n"/>
      <c r="C2426" s="47" t="n"/>
      <c r="D2426" s="50" t="n"/>
      <c r="E2426" s="50" t="n"/>
      <c r="F2426" s="50" t="n"/>
      <c r="G2426" s="50" t="n"/>
      <c r="H2426" s="48" t="n"/>
      <c r="I2426" s="51" t="n"/>
      <c r="J2426" s="52" t="n"/>
      <c r="K2426" s="47" t="n"/>
      <c r="L2426" s="47" t="n"/>
      <c r="M2426" s="24">
        <f>IF(OR($A2426="",$C2426=""),"",IF($L2426&lt;&gt;"",$L2426-$C2426,TODAY()-$C2426))</f>
        <v/>
      </c>
      <c r="N2426" s="28">
        <f>IF(OR($A2426="",$K2426=""),"",IF($L2426="",IF(TODAY()&gt;$K2426,"Atrasado","En ruta"),IF($L2426&lt;=$K2426,"Sí","No")))</f>
        <v/>
      </c>
      <c r="O2426" s="24">
        <f>IF($A2426="","",COUNTIFS(NOVEDADES!$D$4:$D$1503,$A2426))</f>
        <v/>
      </c>
      <c r="P2426" s="28">
        <f>IF($A2426="","",IF(COUNTIFS(NOVEDADES!$D$4:$D$1503,$A2426,NOVEDADES!$O$4:$O$1503,"SÍ")&gt;0,"No","Sí"))</f>
        <v/>
      </c>
      <c r="Q2426" s="28">
        <f>IF(OR($A2426="",$L2426=""),"",IF(AND($N2426="Sí",$P2426="Sí"),"OTIF","Falló"))</f>
        <v/>
      </c>
    </row>
    <row r="2427" ht="16" customHeight="1">
      <c r="A2427" s="48" t="n"/>
      <c r="B2427" s="48" t="n"/>
      <c r="C2427" s="47" t="n"/>
      <c r="D2427" s="50" t="n"/>
      <c r="E2427" s="50" t="n"/>
      <c r="F2427" s="50" t="n"/>
      <c r="G2427" s="50" t="n"/>
      <c r="H2427" s="48" t="n"/>
      <c r="I2427" s="51" t="n"/>
      <c r="J2427" s="52" t="n"/>
      <c r="K2427" s="47" t="n"/>
      <c r="L2427" s="47" t="n"/>
      <c r="M2427" s="24">
        <f>IF(OR($A2427="",$C2427=""),"",IF($L2427&lt;&gt;"",$L2427-$C2427,TODAY()-$C2427))</f>
        <v/>
      </c>
      <c r="N2427" s="28">
        <f>IF(OR($A2427="",$K2427=""),"",IF($L2427="",IF(TODAY()&gt;$K2427,"Atrasado","En ruta"),IF($L2427&lt;=$K2427,"Sí","No")))</f>
        <v/>
      </c>
      <c r="O2427" s="24">
        <f>IF($A2427="","",COUNTIFS(NOVEDADES!$D$4:$D$1503,$A2427))</f>
        <v/>
      </c>
      <c r="P2427" s="28">
        <f>IF($A2427="","",IF(COUNTIFS(NOVEDADES!$D$4:$D$1503,$A2427,NOVEDADES!$O$4:$O$1503,"SÍ")&gt;0,"No","Sí"))</f>
        <v/>
      </c>
      <c r="Q2427" s="28">
        <f>IF(OR($A2427="",$L2427=""),"",IF(AND($N2427="Sí",$P2427="Sí"),"OTIF","Falló"))</f>
        <v/>
      </c>
    </row>
    <row r="2428" ht="16" customHeight="1">
      <c r="A2428" s="48" t="n"/>
      <c r="B2428" s="48" t="n"/>
      <c r="C2428" s="47" t="n"/>
      <c r="D2428" s="50" t="n"/>
      <c r="E2428" s="50" t="n"/>
      <c r="F2428" s="50" t="n"/>
      <c r="G2428" s="50" t="n"/>
      <c r="H2428" s="48" t="n"/>
      <c r="I2428" s="51" t="n"/>
      <c r="J2428" s="52" t="n"/>
      <c r="K2428" s="47" t="n"/>
      <c r="L2428" s="47" t="n"/>
      <c r="M2428" s="24">
        <f>IF(OR($A2428="",$C2428=""),"",IF($L2428&lt;&gt;"",$L2428-$C2428,TODAY()-$C2428))</f>
        <v/>
      </c>
      <c r="N2428" s="28">
        <f>IF(OR($A2428="",$K2428=""),"",IF($L2428="",IF(TODAY()&gt;$K2428,"Atrasado","En ruta"),IF($L2428&lt;=$K2428,"Sí","No")))</f>
        <v/>
      </c>
      <c r="O2428" s="24">
        <f>IF($A2428="","",COUNTIFS(NOVEDADES!$D$4:$D$1503,$A2428))</f>
        <v/>
      </c>
      <c r="P2428" s="28">
        <f>IF($A2428="","",IF(COUNTIFS(NOVEDADES!$D$4:$D$1503,$A2428,NOVEDADES!$O$4:$O$1503,"SÍ")&gt;0,"No","Sí"))</f>
        <v/>
      </c>
      <c r="Q2428" s="28">
        <f>IF(OR($A2428="",$L2428=""),"",IF(AND($N2428="Sí",$P2428="Sí"),"OTIF","Falló"))</f>
        <v/>
      </c>
    </row>
    <row r="2429" ht="16" customHeight="1">
      <c r="A2429" s="48" t="n"/>
      <c r="B2429" s="48" t="n"/>
      <c r="C2429" s="47" t="n"/>
      <c r="D2429" s="50" t="n"/>
      <c r="E2429" s="50" t="n"/>
      <c r="F2429" s="50" t="n"/>
      <c r="G2429" s="50" t="n"/>
      <c r="H2429" s="48" t="n"/>
      <c r="I2429" s="51" t="n"/>
      <c r="J2429" s="52" t="n"/>
      <c r="K2429" s="47" t="n"/>
      <c r="L2429" s="47" t="n"/>
      <c r="M2429" s="24">
        <f>IF(OR($A2429="",$C2429=""),"",IF($L2429&lt;&gt;"",$L2429-$C2429,TODAY()-$C2429))</f>
        <v/>
      </c>
      <c r="N2429" s="28">
        <f>IF(OR($A2429="",$K2429=""),"",IF($L2429="",IF(TODAY()&gt;$K2429,"Atrasado","En ruta"),IF($L2429&lt;=$K2429,"Sí","No")))</f>
        <v/>
      </c>
      <c r="O2429" s="24">
        <f>IF($A2429="","",COUNTIFS(NOVEDADES!$D$4:$D$1503,$A2429))</f>
        <v/>
      </c>
      <c r="P2429" s="28">
        <f>IF($A2429="","",IF(COUNTIFS(NOVEDADES!$D$4:$D$1503,$A2429,NOVEDADES!$O$4:$O$1503,"SÍ")&gt;0,"No","Sí"))</f>
        <v/>
      </c>
      <c r="Q2429" s="28">
        <f>IF(OR($A2429="",$L2429=""),"",IF(AND($N2429="Sí",$P2429="Sí"),"OTIF","Falló"))</f>
        <v/>
      </c>
    </row>
    <row r="2430" ht="16" customHeight="1">
      <c r="A2430" s="48" t="n"/>
      <c r="B2430" s="48" t="n"/>
      <c r="C2430" s="47" t="n"/>
      <c r="D2430" s="50" t="n"/>
      <c r="E2430" s="50" t="n"/>
      <c r="F2430" s="50" t="n"/>
      <c r="G2430" s="50" t="n"/>
      <c r="H2430" s="48" t="n"/>
      <c r="I2430" s="51" t="n"/>
      <c r="J2430" s="52" t="n"/>
      <c r="K2430" s="47" t="n"/>
      <c r="L2430" s="47" t="n"/>
      <c r="M2430" s="24">
        <f>IF(OR($A2430="",$C2430=""),"",IF($L2430&lt;&gt;"",$L2430-$C2430,TODAY()-$C2430))</f>
        <v/>
      </c>
      <c r="N2430" s="28">
        <f>IF(OR($A2430="",$K2430=""),"",IF($L2430="",IF(TODAY()&gt;$K2430,"Atrasado","En ruta"),IF($L2430&lt;=$K2430,"Sí","No")))</f>
        <v/>
      </c>
      <c r="O2430" s="24">
        <f>IF($A2430="","",COUNTIFS(NOVEDADES!$D$4:$D$1503,$A2430))</f>
        <v/>
      </c>
      <c r="P2430" s="28">
        <f>IF($A2430="","",IF(COUNTIFS(NOVEDADES!$D$4:$D$1503,$A2430,NOVEDADES!$O$4:$O$1503,"SÍ")&gt;0,"No","Sí"))</f>
        <v/>
      </c>
      <c r="Q2430" s="28">
        <f>IF(OR($A2430="",$L2430=""),"",IF(AND($N2430="Sí",$P2430="Sí"),"OTIF","Falló"))</f>
        <v/>
      </c>
    </row>
    <row r="2431" ht="16" customHeight="1">
      <c r="A2431" s="48" t="n"/>
      <c r="B2431" s="48" t="n"/>
      <c r="C2431" s="47" t="n"/>
      <c r="D2431" s="50" t="n"/>
      <c r="E2431" s="50" t="n"/>
      <c r="F2431" s="50" t="n"/>
      <c r="G2431" s="50" t="n"/>
      <c r="H2431" s="48" t="n"/>
      <c r="I2431" s="51" t="n"/>
      <c r="J2431" s="52" t="n"/>
      <c r="K2431" s="47" t="n"/>
      <c r="L2431" s="47" t="n"/>
      <c r="M2431" s="24">
        <f>IF(OR($A2431="",$C2431=""),"",IF($L2431&lt;&gt;"",$L2431-$C2431,TODAY()-$C2431))</f>
        <v/>
      </c>
      <c r="N2431" s="28">
        <f>IF(OR($A2431="",$K2431=""),"",IF($L2431="",IF(TODAY()&gt;$K2431,"Atrasado","En ruta"),IF($L2431&lt;=$K2431,"Sí","No")))</f>
        <v/>
      </c>
      <c r="O2431" s="24">
        <f>IF($A2431="","",COUNTIFS(NOVEDADES!$D$4:$D$1503,$A2431))</f>
        <v/>
      </c>
      <c r="P2431" s="28">
        <f>IF($A2431="","",IF(COUNTIFS(NOVEDADES!$D$4:$D$1503,$A2431,NOVEDADES!$O$4:$O$1503,"SÍ")&gt;0,"No","Sí"))</f>
        <v/>
      </c>
      <c r="Q2431" s="28">
        <f>IF(OR($A2431="",$L2431=""),"",IF(AND($N2431="Sí",$P2431="Sí"),"OTIF","Falló"))</f>
        <v/>
      </c>
    </row>
    <row r="2432" ht="16" customHeight="1">
      <c r="A2432" s="48" t="n"/>
      <c r="B2432" s="48" t="n"/>
      <c r="C2432" s="47" t="n"/>
      <c r="D2432" s="50" t="n"/>
      <c r="E2432" s="50" t="n"/>
      <c r="F2432" s="50" t="n"/>
      <c r="G2432" s="50" t="n"/>
      <c r="H2432" s="48" t="n"/>
      <c r="I2432" s="51" t="n"/>
      <c r="J2432" s="52" t="n"/>
      <c r="K2432" s="47" t="n"/>
      <c r="L2432" s="47" t="n"/>
      <c r="M2432" s="24">
        <f>IF(OR($A2432="",$C2432=""),"",IF($L2432&lt;&gt;"",$L2432-$C2432,TODAY()-$C2432))</f>
        <v/>
      </c>
      <c r="N2432" s="28">
        <f>IF(OR($A2432="",$K2432=""),"",IF($L2432="",IF(TODAY()&gt;$K2432,"Atrasado","En ruta"),IF($L2432&lt;=$K2432,"Sí","No")))</f>
        <v/>
      </c>
      <c r="O2432" s="24">
        <f>IF($A2432="","",COUNTIFS(NOVEDADES!$D$4:$D$1503,$A2432))</f>
        <v/>
      </c>
      <c r="P2432" s="28">
        <f>IF($A2432="","",IF(COUNTIFS(NOVEDADES!$D$4:$D$1503,$A2432,NOVEDADES!$O$4:$O$1503,"SÍ")&gt;0,"No","Sí"))</f>
        <v/>
      </c>
      <c r="Q2432" s="28">
        <f>IF(OR($A2432="",$L2432=""),"",IF(AND($N2432="Sí",$P2432="Sí"),"OTIF","Falló"))</f>
        <v/>
      </c>
    </row>
    <row r="2433" ht="16" customHeight="1">
      <c r="A2433" s="48" t="n"/>
      <c r="B2433" s="48" t="n"/>
      <c r="C2433" s="47" t="n"/>
      <c r="D2433" s="50" t="n"/>
      <c r="E2433" s="50" t="n"/>
      <c r="F2433" s="50" t="n"/>
      <c r="G2433" s="50" t="n"/>
      <c r="H2433" s="48" t="n"/>
      <c r="I2433" s="51" t="n"/>
      <c r="J2433" s="52" t="n"/>
      <c r="K2433" s="47" t="n"/>
      <c r="L2433" s="47" t="n"/>
      <c r="M2433" s="24">
        <f>IF(OR($A2433="",$C2433=""),"",IF($L2433&lt;&gt;"",$L2433-$C2433,TODAY()-$C2433))</f>
        <v/>
      </c>
      <c r="N2433" s="28">
        <f>IF(OR($A2433="",$K2433=""),"",IF($L2433="",IF(TODAY()&gt;$K2433,"Atrasado","En ruta"),IF($L2433&lt;=$K2433,"Sí","No")))</f>
        <v/>
      </c>
      <c r="O2433" s="24">
        <f>IF($A2433="","",COUNTIFS(NOVEDADES!$D$4:$D$1503,$A2433))</f>
        <v/>
      </c>
      <c r="P2433" s="28">
        <f>IF($A2433="","",IF(COUNTIFS(NOVEDADES!$D$4:$D$1503,$A2433,NOVEDADES!$O$4:$O$1503,"SÍ")&gt;0,"No","Sí"))</f>
        <v/>
      </c>
      <c r="Q2433" s="28">
        <f>IF(OR($A2433="",$L2433=""),"",IF(AND($N2433="Sí",$P2433="Sí"),"OTIF","Falló"))</f>
        <v/>
      </c>
    </row>
    <row r="2434" ht="16" customHeight="1">
      <c r="A2434" s="48" t="n"/>
      <c r="B2434" s="48" t="n"/>
      <c r="C2434" s="47" t="n"/>
      <c r="D2434" s="50" t="n"/>
      <c r="E2434" s="50" t="n"/>
      <c r="F2434" s="50" t="n"/>
      <c r="G2434" s="50" t="n"/>
      <c r="H2434" s="48" t="n"/>
      <c r="I2434" s="51" t="n"/>
      <c r="J2434" s="52" t="n"/>
      <c r="K2434" s="47" t="n"/>
      <c r="L2434" s="47" t="n"/>
      <c r="M2434" s="24">
        <f>IF(OR($A2434="",$C2434=""),"",IF($L2434&lt;&gt;"",$L2434-$C2434,TODAY()-$C2434))</f>
        <v/>
      </c>
      <c r="N2434" s="28">
        <f>IF(OR($A2434="",$K2434=""),"",IF($L2434="",IF(TODAY()&gt;$K2434,"Atrasado","En ruta"),IF($L2434&lt;=$K2434,"Sí","No")))</f>
        <v/>
      </c>
      <c r="O2434" s="24">
        <f>IF($A2434="","",COUNTIFS(NOVEDADES!$D$4:$D$1503,$A2434))</f>
        <v/>
      </c>
      <c r="P2434" s="28">
        <f>IF($A2434="","",IF(COUNTIFS(NOVEDADES!$D$4:$D$1503,$A2434,NOVEDADES!$O$4:$O$1503,"SÍ")&gt;0,"No","Sí"))</f>
        <v/>
      </c>
      <c r="Q2434" s="28">
        <f>IF(OR($A2434="",$L2434=""),"",IF(AND($N2434="Sí",$P2434="Sí"),"OTIF","Falló"))</f>
        <v/>
      </c>
    </row>
    <row r="2435" ht="16" customHeight="1">
      <c r="A2435" s="48" t="n"/>
      <c r="B2435" s="48" t="n"/>
      <c r="C2435" s="47" t="n"/>
      <c r="D2435" s="50" t="n"/>
      <c r="E2435" s="50" t="n"/>
      <c r="F2435" s="50" t="n"/>
      <c r="G2435" s="50" t="n"/>
      <c r="H2435" s="48" t="n"/>
      <c r="I2435" s="51" t="n"/>
      <c r="J2435" s="52" t="n"/>
      <c r="K2435" s="47" t="n"/>
      <c r="L2435" s="47" t="n"/>
      <c r="M2435" s="24">
        <f>IF(OR($A2435="",$C2435=""),"",IF($L2435&lt;&gt;"",$L2435-$C2435,TODAY()-$C2435))</f>
        <v/>
      </c>
      <c r="N2435" s="28">
        <f>IF(OR($A2435="",$K2435=""),"",IF($L2435="",IF(TODAY()&gt;$K2435,"Atrasado","En ruta"),IF($L2435&lt;=$K2435,"Sí","No")))</f>
        <v/>
      </c>
      <c r="O2435" s="24">
        <f>IF($A2435="","",COUNTIFS(NOVEDADES!$D$4:$D$1503,$A2435))</f>
        <v/>
      </c>
      <c r="P2435" s="28">
        <f>IF($A2435="","",IF(COUNTIFS(NOVEDADES!$D$4:$D$1503,$A2435,NOVEDADES!$O$4:$O$1503,"SÍ")&gt;0,"No","Sí"))</f>
        <v/>
      </c>
      <c r="Q2435" s="28">
        <f>IF(OR($A2435="",$L2435=""),"",IF(AND($N2435="Sí",$P2435="Sí"),"OTIF","Falló"))</f>
        <v/>
      </c>
    </row>
    <row r="2436" ht="16" customHeight="1">
      <c r="A2436" s="48" t="n"/>
      <c r="B2436" s="48" t="n"/>
      <c r="C2436" s="47" t="n"/>
      <c r="D2436" s="50" t="n"/>
      <c r="E2436" s="50" t="n"/>
      <c r="F2436" s="50" t="n"/>
      <c r="G2436" s="50" t="n"/>
      <c r="H2436" s="48" t="n"/>
      <c r="I2436" s="51" t="n"/>
      <c r="J2436" s="52" t="n"/>
      <c r="K2436" s="47" t="n"/>
      <c r="L2436" s="47" t="n"/>
      <c r="M2436" s="24">
        <f>IF(OR($A2436="",$C2436=""),"",IF($L2436&lt;&gt;"",$L2436-$C2436,TODAY()-$C2436))</f>
        <v/>
      </c>
      <c r="N2436" s="28">
        <f>IF(OR($A2436="",$K2436=""),"",IF($L2436="",IF(TODAY()&gt;$K2436,"Atrasado","En ruta"),IF($L2436&lt;=$K2436,"Sí","No")))</f>
        <v/>
      </c>
      <c r="O2436" s="24">
        <f>IF($A2436="","",COUNTIFS(NOVEDADES!$D$4:$D$1503,$A2436))</f>
        <v/>
      </c>
      <c r="P2436" s="28">
        <f>IF($A2436="","",IF(COUNTIFS(NOVEDADES!$D$4:$D$1503,$A2436,NOVEDADES!$O$4:$O$1503,"SÍ")&gt;0,"No","Sí"))</f>
        <v/>
      </c>
      <c r="Q2436" s="28">
        <f>IF(OR($A2436="",$L2436=""),"",IF(AND($N2436="Sí",$P2436="Sí"),"OTIF","Falló"))</f>
        <v/>
      </c>
    </row>
    <row r="2437" ht="16" customHeight="1">
      <c r="A2437" s="48" t="n"/>
      <c r="B2437" s="48" t="n"/>
      <c r="C2437" s="47" t="n"/>
      <c r="D2437" s="50" t="n"/>
      <c r="E2437" s="50" t="n"/>
      <c r="F2437" s="50" t="n"/>
      <c r="G2437" s="50" t="n"/>
      <c r="H2437" s="48" t="n"/>
      <c r="I2437" s="51" t="n"/>
      <c r="J2437" s="52" t="n"/>
      <c r="K2437" s="47" t="n"/>
      <c r="L2437" s="47" t="n"/>
      <c r="M2437" s="24">
        <f>IF(OR($A2437="",$C2437=""),"",IF($L2437&lt;&gt;"",$L2437-$C2437,TODAY()-$C2437))</f>
        <v/>
      </c>
      <c r="N2437" s="28">
        <f>IF(OR($A2437="",$K2437=""),"",IF($L2437="",IF(TODAY()&gt;$K2437,"Atrasado","En ruta"),IF($L2437&lt;=$K2437,"Sí","No")))</f>
        <v/>
      </c>
      <c r="O2437" s="24">
        <f>IF($A2437="","",COUNTIFS(NOVEDADES!$D$4:$D$1503,$A2437))</f>
        <v/>
      </c>
      <c r="P2437" s="28">
        <f>IF($A2437="","",IF(COUNTIFS(NOVEDADES!$D$4:$D$1503,$A2437,NOVEDADES!$O$4:$O$1503,"SÍ")&gt;0,"No","Sí"))</f>
        <v/>
      </c>
      <c r="Q2437" s="28">
        <f>IF(OR($A2437="",$L2437=""),"",IF(AND($N2437="Sí",$P2437="Sí"),"OTIF","Falló"))</f>
        <v/>
      </c>
    </row>
    <row r="2438" ht="16" customHeight="1">
      <c r="A2438" s="48" t="n"/>
      <c r="B2438" s="48" t="n"/>
      <c r="C2438" s="47" t="n"/>
      <c r="D2438" s="50" t="n"/>
      <c r="E2438" s="50" t="n"/>
      <c r="F2438" s="50" t="n"/>
      <c r="G2438" s="50" t="n"/>
      <c r="H2438" s="48" t="n"/>
      <c r="I2438" s="51" t="n"/>
      <c r="J2438" s="52" t="n"/>
      <c r="K2438" s="47" t="n"/>
      <c r="L2438" s="47" t="n"/>
      <c r="M2438" s="24">
        <f>IF(OR($A2438="",$C2438=""),"",IF($L2438&lt;&gt;"",$L2438-$C2438,TODAY()-$C2438))</f>
        <v/>
      </c>
      <c r="N2438" s="28">
        <f>IF(OR($A2438="",$K2438=""),"",IF($L2438="",IF(TODAY()&gt;$K2438,"Atrasado","En ruta"),IF($L2438&lt;=$K2438,"Sí","No")))</f>
        <v/>
      </c>
      <c r="O2438" s="24">
        <f>IF($A2438="","",COUNTIFS(NOVEDADES!$D$4:$D$1503,$A2438))</f>
        <v/>
      </c>
      <c r="P2438" s="28">
        <f>IF($A2438="","",IF(COUNTIFS(NOVEDADES!$D$4:$D$1503,$A2438,NOVEDADES!$O$4:$O$1503,"SÍ")&gt;0,"No","Sí"))</f>
        <v/>
      </c>
      <c r="Q2438" s="28">
        <f>IF(OR($A2438="",$L2438=""),"",IF(AND($N2438="Sí",$P2438="Sí"),"OTIF","Falló"))</f>
        <v/>
      </c>
    </row>
    <row r="2439" ht="16" customHeight="1">
      <c r="A2439" s="48" t="n"/>
      <c r="B2439" s="48" t="n"/>
      <c r="C2439" s="47" t="n"/>
      <c r="D2439" s="50" t="n"/>
      <c r="E2439" s="50" t="n"/>
      <c r="F2439" s="50" t="n"/>
      <c r="G2439" s="50" t="n"/>
      <c r="H2439" s="48" t="n"/>
      <c r="I2439" s="51" t="n"/>
      <c r="J2439" s="52" t="n"/>
      <c r="K2439" s="47" t="n"/>
      <c r="L2439" s="47" t="n"/>
      <c r="M2439" s="24">
        <f>IF(OR($A2439="",$C2439=""),"",IF($L2439&lt;&gt;"",$L2439-$C2439,TODAY()-$C2439))</f>
        <v/>
      </c>
      <c r="N2439" s="28">
        <f>IF(OR($A2439="",$K2439=""),"",IF($L2439="",IF(TODAY()&gt;$K2439,"Atrasado","En ruta"),IF($L2439&lt;=$K2439,"Sí","No")))</f>
        <v/>
      </c>
      <c r="O2439" s="24">
        <f>IF($A2439="","",COUNTIFS(NOVEDADES!$D$4:$D$1503,$A2439))</f>
        <v/>
      </c>
      <c r="P2439" s="28">
        <f>IF($A2439="","",IF(COUNTIFS(NOVEDADES!$D$4:$D$1503,$A2439,NOVEDADES!$O$4:$O$1503,"SÍ")&gt;0,"No","Sí"))</f>
        <v/>
      </c>
      <c r="Q2439" s="28">
        <f>IF(OR($A2439="",$L2439=""),"",IF(AND($N2439="Sí",$P2439="Sí"),"OTIF","Falló"))</f>
        <v/>
      </c>
    </row>
    <row r="2440" ht="16" customHeight="1">
      <c r="A2440" s="48" t="n"/>
      <c r="B2440" s="48" t="n"/>
      <c r="C2440" s="47" t="n"/>
      <c r="D2440" s="50" t="n"/>
      <c r="E2440" s="50" t="n"/>
      <c r="F2440" s="50" t="n"/>
      <c r="G2440" s="50" t="n"/>
      <c r="H2440" s="48" t="n"/>
      <c r="I2440" s="51" t="n"/>
      <c r="J2440" s="52" t="n"/>
      <c r="K2440" s="47" t="n"/>
      <c r="L2440" s="47" t="n"/>
      <c r="M2440" s="24">
        <f>IF(OR($A2440="",$C2440=""),"",IF($L2440&lt;&gt;"",$L2440-$C2440,TODAY()-$C2440))</f>
        <v/>
      </c>
      <c r="N2440" s="28">
        <f>IF(OR($A2440="",$K2440=""),"",IF($L2440="",IF(TODAY()&gt;$K2440,"Atrasado","En ruta"),IF($L2440&lt;=$K2440,"Sí","No")))</f>
        <v/>
      </c>
      <c r="O2440" s="24">
        <f>IF($A2440="","",COUNTIFS(NOVEDADES!$D$4:$D$1503,$A2440))</f>
        <v/>
      </c>
      <c r="P2440" s="28">
        <f>IF($A2440="","",IF(COUNTIFS(NOVEDADES!$D$4:$D$1503,$A2440,NOVEDADES!$O$4:$O$1503,"SÍ")&gt;0,"No","Sí"))</f>
        <v/>
      </c>
      <c r="Q2440" s="28">
        <f>IF(OR($A2440="",$L2440=""),"",IF(AND($N2440="Sí",$P2440="Sí"),"OTIF","Falló"))</f>
        <v/>
      </c>
    </row>
    <row r="2441" ht="16" customHeight="1">
      <c r="A2441" s="48" t="n"/>
      <c r="B2441" s="48" t="n"/>
      <c r="C2441" s="47" t="n"/>
      <c r="D2441" s="50" t="n"/>
      <c r="E2441" s="50" t="n"/>
      <c r="F2441" s="50" t="n"/>
      <c r="G2441" s="50" t="n"/>
      <c r="H2441" s="48" t="n"/>
      <c r="I2441" s="51" t="n"/>
      <c r="J2441" s="52" t="n"/>
      <c r="K2441" s="47" t="n"/>
      <c r="L2441" s="47" t="n"/>
      <c r="M2441" s="24">
        <f>IF(OR($A2441="",$C2441=""),"",IF($L2441&lt;&gt;"",$L2441-$C2441,TODAY()-$C2441))</f>
        <v/>
      </c>
      <c r="N2441" s="28">
        <f>IF(OR($A2441="",$K2441=""),"",IF($L2441="",IF(TODAY()&gt;$K2441,"Atrasado","En ruta"),IF($L2441&lt;=$K2441,"Sí","No")))</f>
        <v/>
      </c>
      <c r="O2441" s="24">
        <f>IF($A2441="","",COUNTIFS(NOVEDADES!$D$4:$D$1503,$A2441))</f>
        <v/>
      </c>
      <c r="P2441" s="28">
        <f>IF($A2441="","",IF(COUNTIFS(NOVEDADES!$D$4:$D$1503,$A2441,NOVEDADES!$O$4:$O$1503,"SÍ")&gt;0,"No","Sí"))</f>
        <v/>
      </c>
      <c r="Q2441" s="28">
        <f>IF(OR($A2441="",$L2441=""),"",IF(AND($N2441="Sí",$P2441="Sí"),"OTIF","Falló"))</f>
        <v/>
      </c>
    </row>
    <row r="2442" ht="16" customHeight="1">
      <c r="A2442" s="48" t="n"/>
      <c r="B2442" s="48" t="n"/>
      <c r="C2442" s="47" t="n"/>
      <c r="D2442" s="50" t="n"/>
      <c r="E2442" s="50" t="n"/>
      <c r="F2442" s="50" t="n"/>
      <c r="G2442" s="50" t="n"/>
      <c r="H2442" s="48" t="n"/>
      <c r="I2442" s="51" t="n"/>
      <c r="J2442" s="52" t="n"/>
      <c r="K2442" s="47" t="n"/>
      <c r="L2442" s="47" t="n"/>
      <c r="M2442" s="24">
        <f>IF(OR($A2442="",$C2442=""),"",IF($L2442&lt;&gt;"",$L2442-$C2442,TODAY()-$C2442))</f>
        <v/>
      </c>
      <c r="N2442" s="28">
        <f>IF(OR($A2442="",$K2442=""),"",IF($L2442="",IF(TODAY()&gt;$K2442,"Atrasado","En ruta"),IF($L2442&lt;=$K2442,"Sí","No")))</f>
        <v/>
      </c>
      <c r="O2442" s="24">
        <f>IF($A2442="","",COUNTIFS(NOVEDADES!$D$4:$D$1503,$A2442))</f>
        <v/>
      </c>
      <c r="P2442" s="28">
        <f>IF($A2442="","",IF(COUNTIFS(NOVEDADES!$D$4:$D$1503,$A2442,NOVEDADES!$O$4:$O$1503,"SÍ")&gt;0,"No","Sí"))</f>
        <v/>
      </c>
      <c r="Q2442" s="28">
        <f>IF(OR($A2442="",$L2442=""),"",IF(AND($N2442="Sí",$P2442="Sí"),"OTIF","Falló"))</f>
        <v/>
      </c>
    </row>
    <row r="2443" ht="16" customHeight="1">
      <c r="A2443" s="48" t="n"/>
      <c r="B2443" s="48" t="n"/>
      <c r="C2443" s="47" t="n"/>
      <c r="D2443" s="50" t="n"/>
      <c r="E2443" s="50" t="n"/>
      <c r="F2443" s="50" t="n"/>
      <c r="G2443" s="50" t="n"/>
      <c r="H2443" s="48" t="n"/>
      <c r="I2443" s="51" t="n"/>
      <c r="J2443" s="52" t="n"/>
      <c r="K2443" s="47" t="n"/>
      <c r="L2443" s="47" t="n"/>
      <c r="M2443" s="24">
        <f>IF(OR($A2443="",$C2443=""),"",IF($L2443&lt;&gt;"",$L2443-$C2443,TODAY()-$C2443))</f>
        <v/>
      </c>
      <c r="N2443" s="28">
        <f>IF(OR($A2443="",$K2443=""),"",IF($L2443="",IF(TODAY()&gt;$K2443,"Atrasado","En ruta"),IF($L2443&lt;=$K2443,"Sí","No")))</f>
        <v/>
      </c>
      <c r="O2443" s="24">
        <f>IF($A2443="","",COUNTIFS(NOVEDADES!$D$4:$D$1503,$A2443))</f>
        <v/>
      </c>
      <c r="P2443" s="28">
        <f>IF($A2443="","",IF(COUNTIFS(NOVEDADES!$D$4:$D$1503,$A2443,NOVEDADES!$O$4:$O$1503,"SÍ")&gt;0,"No","Sí"))</f>
        <v/>
      </c>
      <c r="Q2443" s="28">
        <f>IF(OR($A2443="",$L2443=""),"",IF(AND($N2443="Sí",$P2443="Sí"),"OTIF","Falló"))</f>
        <v/>
      </c>
    </row>
    <row r="2444" ht="16" customHeight="1">
      <c r="A2444" s="48" t="n"/>
      <c r="B2444" s="48" t="n"/>
      <c r="C2444" s="47" t="n"/>
      <c r="D2444" s="50" t="n"/>
      <c r="E2444" s="50" t="n"/>
      <c r="F2444" s="50" t="n"/>
      <c r="G2444" s="50" t="n"/>
      <c r="H2444" s="48" t="n"/>
      <c r="I2444" s="51" t="n"/>
      <c r="J2444" s="52" t="n"/>
      <c r="K2444" s="47" t="n"/>
      <c r="L2444" s="47" t="n"/>
      <c r="M2444" s="24">
        <f>IF(OR($A2444="",$C2444=""),"",IF($L2444&lt;&gt;"",$L2444-$C2444,TODAY()-$C2444))</f>
        <v/>
      </c>
      <c r="N2444" s="28">
        <f>IF(OR($A2444="",$K2444=""),"",IF($L2444="",IF(TODAY()&gt;$K2444,"Atrasado","En ruta"),IF($L2444&lt;=$K2444,"Sí","No")))</f>
        <v/>
      </c>
      <c r="O2444" s="24">
        <f>IF($A2444="","",COUNTIFS(NOVEDADES!$D$4:$D$1503,$A2444))</f>
        <v/>
      </c>
      <c r="P2444" s="28">
        <f>IF($A2444="","",IF(COUNTIFS(NOVEDADES!$D$4:$D$1503,$A2444,NOVEDADES!$O$4:$O$1503,"SÍ")&gt;0,"No","Sí"))</f>
        <v/>
      </c>
      <c r="Q2444" s="28">
        <f>IF(OR($A2444="",$L2444=""),"",IF(AND($N2444="Sí",$P2444="Sí"),"OTIF","Falló"))</f>
        <v/>
      </c>
    </row>
    <row r="2445" ht="16" customHeight="1">
      <c r="A2445" s="48" t="n"/>
      <c r="B2445" s="48" t="n"/>
      <c r="C2445" s="47" t="n"/>
      <c r="D2445" s="50" t="n"/>
      <c r="E2445" s="50" t="n"/>
      <c r="F2445" s="50" t="n"/>
      <c r="G2445" s="50" t="n"/>
      <c r="H2445" s="48" t="n"/>
      <c r="I2445" s="51" t="n"/>
      <c r="J2445" s="52" t="n"/>
      <c r="K2445" s="47" t="n"/>
      <c r="L2445" s="47" t="n"/>
      <c r="M2445" s="24">
        <f>IF(OR($A2445="",$C2445=""),"",IF($L2445&lt;&gt;"",$L2445-$C2445,TODAY()-$C2445))</f>
        <v/>
      </c>
      <c r="N2445" s="28">
        <f>IF(OR($A2445="",$K2445=""),"",IF($L2445="",IF(TODAY()&gt;$K2445,"Atrasado","En ruta"),IF($L2445&lt;=$K2445,"Sí","No")))</f>
        <v/>
      </c>
      <c r="O2445" s="24">
        <f>IF($A2445="","",COUNTIFS(NOVEDADES!$D$4:$D$1503,$A2445))</f>
        <v/>
      </c>
      <c r="P2445" s="28">
        <f>IF($A2445="","",IF(COUNTIFS(NOVEDADES!$D$4:$D$1503,$A2445,NOVEDADES!$O$4:$O$1503,"SÍ")&gt;0,"No","Sí"))</f>
        <v/>
      </c>
      <c r="Q2445" s="28">
        <f>IF(OR($A2445="",$L2445=""),"",IF(AND($N2445="Sí",$P2445="Sí"),"OTIF","Falló"))</f>
        <v/>
      </c>
    </row>
    <row r="2446" ht="16" customHeight="1">
      <c r="A2446" s="48" t="n"/>
      <c r="B2446" s="48" t="n"/>
      <c r="C2446" s="47" t="n"/>
      <c r="D2446" s="50" t="n"/>
      <c r="E2446" s="50" t="n"/>
      <c r="F2446" s="50" t="n"/>
      <c r="G2446" s="50" t="n"/>
      <c r="H2446" s="48" t="n"/>
      <c r="I2446" s="51" t="n"/>
      <c r="J2446" s="52" t="n"/>
      <c r="K2446" s="47" t="n"/>
      <c r="L2446" s="47" t="n"/>
      <c r="M2446" s="24">
        <f>IF(OR($A2446="",$C2446=""),"",IF($L2446&lt;&gt;"",$L2446-$C2446,TODAY()-$C2446))</f>
        <v/>
      </c>
      <c r="N2446" s="28">
        <f>IF(OR($A2446="",$K2446=""),"",IF($L2446="",IF(TODAY()&gt;$K2446,"Atrasado","En ruta"),IF($L2446&lt;=$K2446,"Sí","No")))</f>
        <v/>
      </c>
      <c r="O2446" s="24">
        <f>IF($A2446="","",COUNTIFS(NOVEDADES!$D$4:$D$1503,$A2446))</f>
        <v/>
      </c>
      <c r="P2446" s="28">
        <f>IF($A2446="","",IF(COUNTIFS(NOVEDADES!$D$4:$D$1503,$A2446,NOVEDADES!$O$4:$O$1503,"SÍ")&gt;0,"No","Sí"))</f>
        <v/>
      </c>
      <c r="Q2446" s="28">
        <f>IF(OR($A2446="",$L2446=""),"",IF(AND($N2446="Sí",$P2446="Sí"),"OTIF","Falló"))</f>
        <v/>
      </c>
    </row>
    <row r="2447" ht="16" customHeight="1">
      <c r="A2447" s="48" t="n"/>
      <c r="B2447" s="48" t="n"/>
      <c r="C2447" s="47" t="n"/>
      <c r="D2447" s="50" t="n"/>
      <c r="E2447" s="50" t="n"/>
      <c r="F2447" s="50" t="n"/>
      <c r="G2447" s="50" t="n"/>
      <c r="H2447" s="48" t="n"/>
      <c r="I2447" s="51" t="n"/>
      <c r="J2447" s="52" t="n"/>
      <c r="K2447" s="47" t="n"/>
      <c r="L2447" s="47" t="n"/>
      <c r="M2447" s="24">
        <f>IF(OR($A2447="",$C2447=""),"",IF($L2447&lt;&gt;"",$L2447-$C2447,TODAY()-$C2447))</f>
        <v/>
      </c>
      <c r="N2447" s="28">
        <f>IF(OR($A2447="",$K2447=""),"",IF($L2447="",IF(TODAY()&gt;$K2447,"Atrasado","En ruta"),IF($L2447&lt;=$K2447,"Sí","No")))</f>
        <v/>
      </c>
      <c r="O2447" s="24">
        <f>IF($A2447="","",COUNTIFS(NOVEDADES!$D$4:$D$1503,$A2447))</f>
        <v/>
      </c>
      <c r="P2447" s="28">
        <f>IF($A2447="","",IF(COUNTIFS(NOVEDADES!$D$4:$D$1503,$A2447,NOVEDADES!$O$4:$O$1503,"SÍ")&gt;0,"No","Sí"))</f>
        <v/>
      </c>
      <c r="Q2447" s="28">
        <f>IF(OR($A2447="",$L2447=""),"",IF(AND($N2447="Sí",$P2447="Sí"),"OTIF","Falló"))</f>
        <v/>
      </c>
    </row>
    <row r="2448" ht="16" customHeight="1">
      <c r="A2448" s="48" t="n"/>
      <c r="B2448" s="48" t="n"/>
      <c r="C2448" s="47" t="n"/>
      <c r="D2448" s="50" t="n"/>
      <c r="E2448" s="50" t="n"/>
      <c r="F2448" s="50" t="n"/>
      <c r="G2448" s="50" t="n"/>
      <c r="H2448" s="48" t="n"/>
      <c r="I2448" s="51" t="n"/>
      <c r="J2448" s="52" t="n"/>
      <c r="K2448" s="47" t="n"/>
      <c r="L2448" s="47" t="n"/>
      <c r="M2448" s="24">
        <f>IF(OR($A2448="",$C2448=""),"",IF($L2448&lt;&gt;"",$L2448-$C2448,TODAY()-$C2448))</f>
        <v/>
      </c>
      <c r="N2448" s="28">
        <f>IF(OR($A2448="",$K2448=""),"",IF($L2448="",IF(TODAY()&gt;$K2448,"Atrasado","En ruta"),IF($L2448&lt;=$K2448,"Sí","No")))</f>
        <v/>
      </c>
      <c r="O2448" s="24">
        <f>IF($A2448="","",COUNTIFS(NOVEDADES!$D$4:$D$1503,$A2448))</f>
        <v/>
      </c>
      <c r="P2448" s="28">
        <f>IF($A2448="","",IF(COUNTIFS(NOVEDADES!$D$4:$D$1503,$A2448,NOVEDADES!$O$4:$O$1503,"SÍ")&gt;0,"No","Sí"))</f>
        <v/>
      </c>
      <c r="Q2448" s="28">
        <f>IF(OR($A2448="",$L2448=""),"",IF(AND($N2448="Sí",$P2448="Sí"),"OTIF","Falló"))</f>
        <v/>
      </c>
    </row>
    <row r="2449" ht="16" customHeight="1">
      <c r="A2449" s="48" t="n"/>
      <c r="B2449" s="48" t="n"/>
      <c r="C2449" s="47" t="n"/>
      <c r="D2449" s="50" t="n"/>
      <c r="E2449" s="50" t="n"/>
      <c r="F2449" s="50" t="n"/>
      <c r="G2449" s="50" t="n"/>
      <c r="H2449" s="48" t="n"/>
      <c r="I2449" s="51" t="n"/>
      <c r="J2449" s="52" t="n"/>
      <c r="K2449" s="47" t="n"/>
      <c r="L2449" s="47" t="n"/>
      <c r="M2449" s="24">
        <f>IF(OR($A2449="",$C2449=""),"",IF($L2449&lt;&gt;"",$L2449-$C2449,TODAY()-$C2449))</f>
        <v/>
      </c>
      <c r="N2449" s="28">
        <f>IF(OR($A2449="",$K2449=""),"",IF($L2449="",IF(TODAY()&gt;$K2449,"Atrasado","En ruta"),IF($L2449&lt;=$K2449,"Sí","No")))</f>
        <v/>
      </c>
      <c r="O2449" s="24">
        <f>IF($A2449="","",COUNTIFS(NOVEDADES!$D$4:$D$1503,$A2449))</f>
        <v/>
      </c>
      <c r="P2449" s="28">
        <f>IF($A2449="","",IF(COUNTIFS(NOVEDADES!$D$4:$D$1503,$A2449,NOVEDADES!$O$4:$O$1503,"SÍ")&gt;0,"No","Sí"))</f>
        <v/>
      </c>
      <c r="Q2449" s="28">
        <f>IF(OR($A2449="",$L2449=""),"",IF(AND($N2449="Sí",$P2449="Sí"),"OTIF","Falló"))</f>
        <v/>
      </c>
    </row>
    <row r="2450" ht="16" customHeight="1">
      <c r="A2450" s="48" t="n"/>
      <c r="B2450" s="48" t="n"/>
      <c r="C2450" s="47" t="n"/>
      <c r="D2450" s="50" t="n"/>
      <c r="E2450" s="50" t="n"/>
      <c r="F2450" s="50" t="n"/>
      <c r="G2450" s="50" t="n"/>
      <c r="H2450" s="48" t="n"/>
      <c r="I2450" s="51" t="n"/>
      <c r="J2450" s="52" t="n"/>
      <c r="K2450" s="47" t="n"/>
      <c r="L2450" s="47" t="n"/>
      <c r="M2450" s="24">
        <f>IF(OR($A2450="",$C2450=""),"",IF($L2450&lt;&gt;"",$L2450-$C2450,TODAY()-$C2450))</f>
        <v/>
      </c>
      <c r="N2450" s="28">
        <f>IF(OR($A2450="",$K2450=""),"",IF($L2450="",IF(TODAY()&gt;$K2450,"Atrasado","En ruta"),IF($L2450&lt;=$K2450,"Sí","No")))</f>
        <v/>
      </c>
      <c r="O2450" s="24">
        <f>IF($A2450="","",COUNTIFS(NOVEDADES!$D$4:$D$1503,$A2450))</f>
        <v/>
      </c>
      <c r="P2450" s="28">
        <f>IF($A2450="","",IF(COUNTIFS(NOVEDADES!$D$4:$D$1503,$A2450,NOVEDADES!$O$4:$O$1503,"SÍ")&gt;0,"No","Sí"))</f>
        <v/>
      </c>
      <c r="Q2450" s="28">
        <f>IF(OR($A2450="",$L2450=""),"",IF(AND($N2450="Sí",$P2450="Sí"),"OTIF","Falló"))</f>
        <v/>
      </c>
    </row>
    <row r="2451" ht="16" customHeight="1">
      <c r="A2451" s="48" t="n"/>
      <c r="B2451" s="48" t="n"/>
      <c r="C2451" s="47" t="n"/>
      <c r="D2451" s="50" t="n"/>
      <c r="E2451" s="50" t="n"/>
      <c r="F2451" s="50" t="n"/>
      <c r="G2451" s="50" t="n"/>
      <c r="H2451" s="48" t="n"/>
      <c r="I2451" s="51" t="n"/>
      <c r="J2451" s="52" t="n"/>
      <c r="K2451" s="47" t="n"/>
      <c r="L2451" s="47" t="n"/>
      <c r="M2451" s="24">
        <f>IF(OR($A2451="",$C2451=""),"",IF($L2451&lt;&gt;"",$L2451-$C2451,TODAY()-$C2451))</f>
        <v/>
      </c>
      <c r="N2451" s="28">
        <f>IF(OR($A2451="",$K2451=""),"",IF($L2451="",IF(TODAY()&gt;$K2451,"Atrasado","En ruta"),IF($L2451&lt;=$K2451,"Sí","No")))</f>
        <v/>
      </c>
      <c r="O2451" s="24">
        <f>IF($A2451="","",COUNTIFS(NOVEDADES!$D$4:$D$1503,$A2451))</f>
        <v/>
      </c>
      <c r="P2451" s="28">
        <f>IF($A2451="","",IF(COUNTIFS(NOVEDADES!$D$4:$D$1503,$A2451,NOVEDADES!$O$4:$O$1503,"SÍ")&gt;0,"No","Sí"))</f>
        <v/>
      </c>
      <c r="Q2451" s="28">
        <f>IF(OR($A2451="",$L2451=""),"",IF(AND($N2451="Sí",$P2451="Sí"),"OTIF","Falló"))</f>
        <v/>
      </c>
    </row>
    <row r="2452" ht="16" customHeight="1">
      <c r="A2452" s="48" t="n"/>
      <c r="B2452" s="48" t="n"/>
      <c r="C2452" s="47" t="n"/>
      <c r="D2452" s="50" t="n"/>
      <c r="E2452" s="50" t="n"/>
      <c r="F2452" s="50" t="n"/>
      <c r="G2452" s="50" t="n"/>
      <c r="H2452" s="48" t="n"/>
      <c r="I2452" s="51" t="n"/>
      <c r="J2452" s="52" t="n"/>
      <c r="K2452" s="47" t="n"/>
      <c r="L2452" s="47" t="n"/>
      <c r="M2452" s="24">
        <f>IF(OR($A2452="",$C2452=""),"",IF($L2452&lt;&gt;"",$L2452-$C2452,TODAY()-$C2452))</f>
        <v/>
      </c>
      <c r="N2452" s="28">
        <f>IF(OR($A2452="",$K2452=""),"",IF($L2452="",IF(TODAY()&gt;$K2452,"Atrasado","En ruta"),IF($L2452&lt;=$K2452,"Sí","No")))</f>
        <v/>
      </c>
      <c r="O2452" s="24">
        <f>IF($A2452="","",COUNTIFS(NOVEDADES!$D$4:$D$1503,$A2452))</f>
        <v/>
      </c>
      <c r="P2452" s="28">
        <f>IF($A2452="","",IF(COUNTIFS(NOVEDADES!$D$4:$D$1503,$A2452,NOVEDADES!$O$4:$O$1503,"SÍ")&gt;0,"No","Sí"))</f>
        <v/>
      </c>
      <c r="Q2452" s="28">
        <f>IF(OR($A2452="",$L2452=""),"",IF(AND($N2452="Sí",$P2452="Sí"),"OTIF","Falló"))</f>
        <v/>
      </c>
    </row>
    <row r="2453" ht="16" customHeight="1">
      <c r="A2453" s="48" t="n"/>
      <c r="B2453" s="48" t="n"/>
      <c r="C2453" s="47" t="n"/>
      <c r="D2453" s="50" t="n"/>
      <c r="E2453" s="50" t="n"/>
      <c r="F2453" s="50" t="n"/>
      <c r="G2453" s="50" t="n"/>
      <c r="H2453" s="48" t="n"/>
      <c r="I2453" s="51" t="n"/>
      <c r="J2453" s="52" t="n"/>
      <c r="K2453" s="47" t="n"/>
      <c r="L2453" s="47" t="n"/>
      <c r="M2453" s="24">
        <f>IF(OR($A2453="",$C2453=""),"",IF($L2453&lt;&gt;"",$L2453-$C2453,TODAY()-$C2453))</f>
        <v/>
      </c>
      <c r="N2453" s="28">
        <f>IF(OR($A2453="",$K2453=""),"",IF($L2453="",IF(TODAY()&gt;$K2453,"Atrasado","En ruta"),IF($L2453&lt;=$K2453,"Sí","No")))</f>
        <v/>
      </c>
      <c r="O2453" s="24">
        <f>IF($A2453="","",COUNTIFS(NOVEDADES!$D$4:$D$1503,$A2453))</f>
        <v/>
      </c>
      <c r="P2453" s="28">
        <f>IF($A2453="","",IF(COUNTIFS(NOVEDADES!$D$4:$D$1503,$A2453,NOVEDADES!$O$4:$O$1503,"SÍ")&gt;0,"No","Sí"))</f>
        <v/>
      </c>
      <c r="Q2453" s="28">
        <f>IF(OR($A2453="",$L2453=""),"",IF(AND($N2453="Sí",$P2453="Sí"),"OTIF","Falló"))</f>
        <v/>
      </c>
    </row>
    <row r="2454" ht="16" customHeight="1">
      <c r="A2454" s="48" t="n"/>
      <c r="B2454" s="48" t="n"/>
      <c r="C2454" s="47" t="n"/>
      <c r="D2454" s="50" t="n"/>
      <c r="E2454" s="50" t="n"/>
      <c r="F2454" s="50" t="n"/>
      <c r="G2454" s="50" t="n"/>
      <c r="H2454" s="48" t="n"/>
      <c r="I2454" s="51" t="n"/>
      <c r="J2454" s="52" t="n"/>
      <c r="K2454" s="47" t="n"/>
      <c r="L2454" s="47" t="n"/>
      <c r="M2454" s="24">
        <f>IF(OR($A2454="",$C2454=""),"",IF($L2454&lt;&gt;"",$L2454-$C2454,TODAY()-$C2454))</f>
        <v/>
      </c>
      <c r="N2454" s="28">
        <f>IF(OR($A2454="",$K2454=""),"",IF($L2454="",IF(TODAY()&gt;$K2454,"Atrasado","En ruta"),IF($L2454&lt;=$K2454,"Sí","No")))</f>
        <v/>
      </c>
      <c r="O2454" s="24">
        <f>IF($A2454="","",COUNTIFS(NOVEDADES!$D$4:$D$1503,$A2454))</f>
        <v/>
      </c>
      <c r="P2454" s="28">
        <f>IF($A2454="","",IF(COUNTIFS(NOVEDADES!$D$4:$D$1503,$A2454,NOVEDADES!$O$4:$O$1503,"SÍ")&gt;0,"No","Sí"))</f>
        <v/>
      </c>
      <c r="Q2454" s="28">
        <f>IF(OR($A2454="",$L2454=""),"",IF(AND($N2454="Sí",$P2454="Sí"),"OTIF","Falló"))</f>
        <v/>
      </c>
    </row>
    <row r="2455" ht="16" customHeight="1">
      <c r="A2455" s="48" t="n"/>
      <c r="B2455" s="48" t="n"/>
      <c r="C2455" s="47" t="n"/>
      <c r="D2455" s="50" t="n"/>
      <c r="E2455" s="50" t="n"/>
      <c r="F2455" s="50" t="n"/>
      <c r="G2455" s="50" t="n"/>
      <c r="H2455" s="48" t="n"/>
      <c r="I2455" s="51" t="n"/>
      <c r="J2455" s="52" t="n"/>
      <c r="K2455" s="47" t="n"/>
      <c r="L2455" s="47" t="n"/>
      <c r="M2455" s="24">
        <f>IF(OR($A2455="",$C2455=""),"",IF($L2455&lt;&gt;"",$L2455-$C2455,TODAY()-$C2455))</f>
        <v/>
      </c>
      <c r="N2455" s="28">
        <f>IF(OR($A2455="",$K2455=""),"",IF($L2455="",IF(TODAY()&gt;$K2455,"Atrasado","En ruta"),IF($L2455&lt;=$K2455,"Sí","No")))</f>
        <v/>
      </c>
      <c r="O2455" s="24">
        <f>IF($A2455="","",COUNTIFS(NOVEDADES!$D$4:$D$1503,$A2455))</f>
        <v/>
      </c>
      <c r="P2455" s="28">
        <f>IF($A2455="","",IF(COUNTIFS(NOVEDADES!$D$4:$D$1503,$A2455,NOVEDADES!$O$4:$O$1503,"SÍ")&gt;0,"No","Sí"))</f>
        <v/>
      </c>
      <c r="Q2455" s="28">
        <f>IF(OR($A2455="",$L2455=""),"",IF(AND($N2455="Sí",$P2455="Sí"),"OTIF","Falló"))</f>
        <v/>
      </c>
    </row>
    <row r="2456" ht="16" customHeight="1">
      <c r="A2456" s="48" t="n"/>
      <c r="B2456" s="48" t="n"/>
      <c r="C2456" s="47" t="n"/>
      <c r="D2456" s="50" t="n"/>
      <c r="E2456" s="50" t="n"/>
      <c r="F2456" s="50" t="n"/>
      <c r="G2456" s="50" t="n"/>
      <c r="H2456" s="48" t="n"/>
      <c r="I2456" s="51" t="n"/>
      <c r="J2456" s="52" t="n"/>
      <c r="K2456" s="47" t="n"/>
      <c r="L2456" s="47" t="n"/>
      <c r="M2456" s="24">
        <f>IF(OR($A2456="",$C2456=""),"",IF($L2456&lt;&gt;"",$L2456-$C2456,TODAY()-$C2456))</f>
        <v/>
      </c>
      <c r="N2456" s="28">
        <f>IF(OR($A2456="",$K2456=""),"",IF($L2456="",IF(TODAY()&gt;$K2456,"Atrasado","En ruta"),IF($L2456&lt;=$K2456,"Sí","No")))</f>
        <v/>
      </c>
      <c r="O2456" s="24">
        <f>IF($A2456="","",COUNTIFS(NOVEDADES!$D$4:$D$1503,$A2456))</f>
        <v/>
      </c>
      <c r="P2456" s="28">
        <f>IF($A2456="","",IF(COUNTIFS(NOVEDADES!$D$4:$D$1503,$A2456,NOVEDADES!$O$4:$O$1503,"SÍ")&gt;0,"No","Sí"))</f>
        <v/>
      </c>
      <c r="Q2456" s="28">
        <f>IF(OR($A2456="",$L2456=""),"",IF(AND($N2456="Sí",$P2456="Sí"),"OTIF","Falló"))</f>
        <v/>
      </c>
    </row>
    <row r="2457" ht="16" customHeight="1">
      <c r="A2457" s="48" t="n"/>
      <c r="B2457" s="48" t="n"/>
      <c r="C2457" s="47" t="n"/>
      <c r="D2457" s="50" t="n"/>
      <c r="E2457" s="50" t="n"/>
      <c r="F2457" s="50" t="n"/>
      <c r="G2457" s="50" t="n"/>
      <c r="H2457" s="48" t="n"/>
      <c r="I2457" s="51" t="n"/>
      <c r="J2457" s="52" t="n"/>
      <c r="K2457" s="47" t="n"/>
      <c r="L2457" s="47" t="n"/>
      <c r="M2457" s="24">
        <f>IF(OR($A2457="",$C2457=""),"",IF($L2457&lt;&gt;"",$L2457-$C2457,TODAY()-$C2457))</f>
        <v/>
      </c>
      <c r="N2457" s="28">
        <f>IF(OR($A2457="",$K2457=""),"",IF($L2457="",IF(TODAY()&gt;$K2457,"Atrasado","En ruta"),IF($L2457&lt;=$K2457,"Sí","No")))</f>
        <v/>
      </c>
      <c r="O2457" s="24">
        <f>IF($A2457="","",COUNTIFS(NOVEDADES!$D$4:$D$1503,$A2457))</f>
        <v/>
      </c>
      <c r="P2457" s="28">
        <f>IF($A2457="","",IF(COUNTIFS(NOVEDADES!$D$4:$D$1503,$A2457,NOVEDADES!$O$4:$O$1503,"SÍ")&gt;0,"No","Sí"))</f>
        <v/>
      </c>
      <c r="Q2457" s="28">
        <f>IF(OR($A2457="",$L2457=""),"",IF(AND($N2457="Sí",$P2457="Sí"),"OTIF","Falló"))</f>
        <v/>
      </c>
    </row>
    <row r="2458" ht="16" customHeight="1">
      <c r="A2458" s="48" t="n"/>
      <c r="B2458" s="48" t="n"/>
      <c r="C2458" s="47" t="n"/>
      <c r="D2458" s="50" t="n"/>
      <c r="E2458" s="50" t="n"/>
      <c r="F2458" s="50" t="n"/>
      <c r="G2458" s="50" t="n"/>
      <c r="H2458" s="48" t="n"/>
      <c r="I2458" s="51" t="n"/>
      <c r="J2458" s="52" t="n"/>
      <c r="K2458" s="47" t="n"/>
      <c r="L2458" s="47" t="n"/>
      <c r="M2458" s="24">
        <f>IF(OR($A2458="",$C2458=""),"",IF($L2458&lt;&gt;"",$L2458-$C2458,TODAY()-$C2458))</f>
        <v/>
      </c>
      <c r="N2458" s="28">
        <f>IF(OR($A2458="",$K2458=""),"",IF($L2458="",IF(TODAY()&gt;$K2458,"Atrasado","En ruta"),IF($L2458&lt;=$K2458,"Sí","No")))</f>
        <v/>
      </c>
      <c r="O2458" s="24">
        <f>IF($A2458="","",COUNTIFS(NOVEDADES!$D$4:$D$1503,$A2458))</f>
        <v/>
      </c>
      <c r="P2458" s="28">
        <f>IF($A2458="","",IF(COUNTIFS(NOVEDADES!$D$4:$D$1503,$A2458,NOVEDADES!$O$4:$O$1503,"SÍ")&gt;0,"No","Sí"))</f>
        <v/>
      </c>
      <c r="Q2458" s="28">
        <f>IF(OR($A2458="",$L2458=""),"",IF(AND($N2458="Sí",$P2458="Sí"),"OTIF","Falló"))</f>
        <v/>
      </c>
    </row>
    <row r="2459" ht="16" customHeight="1">
      <c r="A2459" s="48" t="n"/>
      <c r="B2459" s="48" t="n"/>
      <c r="C2459" s="47" t="n"/>
      <c r="D2459" s="50" t="n"/>
      <c r="E2459" s="50" t="n"/>
      <c r="F2459" s="50" t="n"/>
      <c r="G2459" s="50" t="n"/>
      <c r="H2459" s="48" t="n"/>
      <c r="I2459" s="51" t="n"/>
      <c r="J2459" s="52" t="n"/>
      <c r="K2459" s="47" t="n"/>
      <c r="L2459" s="47" t="n"/>
      <c r="M2459" s="24">
        <f>IF(OR($A2459="",$C2459=""),"",IF($L2459&lt;&gt;"",$L2459-$C2459,TODAY()-$C2459))</f>
        <v/>
      </c>
      <c r="N2459" s="28">
        <f>IF(OR($A2459="",$K2459=""),"",IF($L2459="",IF(TODAY()&gt;$K2459,"Atrasado","En ruta"),IF($L2459&lt;=$K2459,"Sí","No")))</f>
        <v/>
      </c>
      <c r="O2459" s="24">
        <f>IF($A2459="","",COUNTIFS(NOVEDADES!$D$4:$D$1503,$A2459))</f>
        <v/>
      </c>
      <c r="P2459" s="28">
        <f>IF($A2459="","",IF(COUNTIFS(NOVEDADES!$D$4:$D$1503,$A2459,NOVEDADES!$O$4:$O$1503,"SÍ")&gt;0,"No","Sí"))</f>
        <v/>
      </c>
      <c r="Q2459" s="28">
        <f>IF(OR($A2459="",$L2459=""),"",IF(AND($N2459="Sí",$P2459="Sí"),"OTIF","Falló"))</f>
        <v/>
      </c>
    </row>
    <row r="2460" ht="16" customHeight="1">
      <c r="A2460" s="48" t="n"/>
      <c r="B2460" s="48" t="n"/>
      <c r="C2460" s="47" t="n"/>
      <c r="D2460" s="50" t="n"/>
      <c r="E2460" s="50" t="n"/>
      <c r="F2460" s="50" t="n"/>
      <c r="G2460" s="50" t="n"/>
      <c r="H2460" s="48" t="n"/>
      <c r="I2460" s="51" t="n"/>
      <c r="J2460" s="52" t="n"/>
      <c r="K2460" s="47" t="n"/>
      <c r="L2460" s="47" t="n"/>
      <c r="M2460" s="24">
        <f>IF(OR($A2460="",$C2460=""),"",IF($L2460&lt;&gt;"",$L2460-$C2460,TODAY()-$C2460))</f>
        <v/>
      </c>
      <c r="N2460" s="28">
        <f>IF(OR($A2460="",$K2460=""),"",IF($L2460="",IF(TODAY()&gt;$K2460,"Atrasado","En ruta"),IF($L2460&lt;=$K2460,"Sí","No")))</f>
        <v/>
      </c>
      <c r="O2460" s="24">
        <f>IF($A2460="","",COUNTIFS(NOVEDADES!$D$4:$D$1503,$A2460))</f>
        <v/>
      </c>
      <c r="P2460" s="28">
        <f>IF($A2460="","",IF(COUNTIFS(NOVEDADES!$D$4:$D$1503,$A2460,NOVEDADES!$O$4:$O$1503,"SÍ")&gt;0,"No","Sí"))</f>
        <v/>
      </c>
      <c r="Q2460" s="28">
        <f>IF(OR($A2460="",$L2460=""),"",IF(AND($N2460="Sí",$P2460="Sí"),"OTIF","Falló"))</f>
        <v/>
      </c>
    </row>
    <row r="2461" ht="16" customHeight="1">
      <c r="A2461" s="48" t="n"/>
      <c r="B2461" s="48" t="n"/>
      <c r="C2461" s="47" t="n"/>
      <c r="D2461" s="50" t="n"/>
      <c r="E2461" s="50" t="n"/>
      <c r="F2461" s="50" t="n"/>
      <c r="G2461" s="50" t="n"/>
      <c r="H2461" s="48" t="n"/>
      <c r="I2461" s="51" t="n"/>
      <c r="J2461" s="52" t="n"/>
      <c r="K2461" s="47" t="n"/>
      <c r="L2461" s="47" t="n"/>
      <c r="M2461" s="24">
        <f>IF(OR($A2461="",$C2461=""),"",IF($L2461&lt;&gt;"",$L2461-$C2461,TODAY()-$C2461))</f>
        <v/>
      </c>
      <c r="N2461" s="28">
        <f>IF(OR($A2461="",$K2461=""),"",IF($L2461="",IF(TODAY()&gt;$K2461,"Atrasado","En ruta"),IF($L2461&lt;=$K2461,"Sí","No")))</f>
        <v/>
      </c>
      <c r="O2461" s="24">
        <f>IF($A2461="","",COUNTIFS(NOVEDADES!$D$4:$D$1503,$A2461))</f>
        <v/>
      </c>
      <c r="P2461" s="28">
        <f>IF($A2461="","",IF(COUNTIFS(NOVEDADES!$D$4:$D$1503,$A2461,NOVEDADES!$O$4:$O$1503,"SÍ")&gt;0,"No","Sí"))</f>
        <v/>
      </c>
      <c r="Q2461" s="28">
        <f>IF(OR($A2461="",$L2461=""),"",IF(AND($N2461="Sí",$P2461="Sí"),"OTIF","Falló"))</f>
        <v/>
      </c>
    </row>
    <row r="2462" ht="16" customHeight="1">
      <c r="A2462" s="48" t="n"/>
      <c r="B2462" s="48" t="n"/>
      <c r="C2462" s="47" t="n"/>
      <c r="D2462" s="50" t="n"/>
      <c r="E2462" s="50" t="n"/>
      <c r="F2462" s="50" t="n"/>
      <c r="G2462" s="50" t="n"/>
      <c r="H2462" s="48" t="n"/>
      <c r="I2462" s="51" t="n"/>
      <c r="J2462" s="52" t="n"/>
      <c r="K2462" s="47" t="n"/>
      <c r="L2462" s="47" t="n"/>
      <c r="M2462" s="24">
        <f>IF(OR($A2462="",$C2462=""),"",IF($L2462&lt;&gt;"",$L2462-$C2462,TODAY()-$C2462))</f>
        <v/>
      </c>
      <c r="N2462" s="28">
        <f>IF(OR($A2462="",$K2462=""),"",IF($L2462="",IF(TODAY()&gt;$K2462,"Atrasado","En ruta"),IF($L2462&lt;=$K2462,"Sí","No")))</f>
        <v/>
      </c>
      <c r="O2462" s="24">
        <f>IF($A2462="","",COUNTIFS(NOVEDADES!$D$4:$D$1503,$A2462))</f>
        <v/>
      </c>
      <c r="P2462" s="28">
        <f>IF($A2462="","",IF(COUNTIFS(NOVEDADES!$D$4:$D$1503,$A2462,NOVEDADES!$O$4:$O$1503,"SÍ")&gt;0,"No","Sí"))</f>
        <v/>
      </c>
      <c r="Q2462" s="28">
        <f>IF(OR($A2462="",$L2462=""),"",IF(AND($N2462="Sí",$P2462="Sí"),"OTIF","Falló"))</f>
        <v/>
      </c>
    </row>
    <row r="2463" ht="16" customHeight="1">
      <c r="A2463" s="48" t="n"/>
      <c r="B2463" s="48" t="n"/>
      <c r="C2463" s="47" t="n"/>
      <c r="D2463" s="50" t="n"/>
      <c r="E2463" s="50" t="n"/>
      <c r="F2463" s="50" t="n"/>
      <c r="G2463" s="50" t="n"/>
      <c r="H2463" s="48" t="n"/>
      <c r="I2463" s="51" t="n"/>
      <c r="J2463" s="52" t="n"/>
      <c r="K2463" s="47" t="n"/>
      <c r="L2463" s="47" t="n"/>
      <c r="M2463" s="24">
        <f>IF(OR($A2463="",$C2463=""),"",IF($L2463&lt;&gt;"",$L2463-$C2463,TODAY()-$C2463))</f>
        <v/>
      </c>
      <c r="N2463" s="28">
        <f>IF(OR($A2463="",$K2463=""),"",IF($L2463="",IF(TODAY()&gt;$K2463,"Atrasado","En ruta"),IF($L2463&lt;=$K2463,"Sí","No")))</f>
        <v/>
      </c>
      <c r="O2463" s="24">
        <f>IF($A2463="","",COUNTIFS(NOVEDADES!$D$4:$D$1503,$A2463))</f>
        <v/>
      </c>
      <c r="P2463" s="28">
        <f>IF($A2463="","",IF(COUNTIFS(NOVEDADES!$D$4:$D$1503,$A2463,NOVEDADES!$O$4:$O$1503,"SÍ")&gt;0,"No","Sí"))</f>
        <v/>
      </c>
      <c r="Q2463" s="28">
        <f>IF(OR($A2463="",$L2463=""),"",IF(AND($N2463="Sí",$P2463="Sí"),"OTIF","Falló"))</f>
        <v/>
      </c>
    </row>
    <row r="2464" ht="16" customHeight="1">
      <c r="A2464" s="48" t="n"/>
      <c r="B2464" s="48" t="n"/>
      <c r="C2464" s="47" t="n"/>
      <c r="D2464" s="50" t="n"/>
      <c r="E2464" s="50" t="n"/>
      <c r="F2464" s="50" t="n"/>
      <c r="G2464" s="50" t="n"/>
      <c r="H2464" s="48" t="n"/>
      <c r="I2464" s="51" t="n"/>
      <c r="J2464" s="52" t="n"/>
      <c r="K2464" s="47" t="n"/>
      <c r="L2464" s="47" t="n"/>
      <c r="M2464" s="24">
        <f>IF(OR($A2464="",$C2464=""),"",IF($L2464&lt;&gt;"",$L2464-$C2464,TODAY()-$C2464))</f>
        <v/>
      </c>
      <c r="N2464" s="28">
        <f>IF(OR($A2464="",$K2464=""),"",IF($L2464="",IF(TODAY()&gt;$K2464,"Atrasado","En ruta"),IF($L2464&lt;=$K2464,"Sí","No")))</f>
        <v/>
      </c>
      <c r="O2464" s="24">
        <f>IF($A2464="","",COUNTIFS(NOVEDADES!$D$4:$D$1503,$A2464))</f>
        <v/>
      </c>
      <c r="P2464" s="28">
        <f>IF($A2464="","",IF(COUNTIFS(NOVEDADES!$D$4:$D$1503,$A2464,NOVEDADES!$O$4:$O$1503,"SÍ")&gt;0,"No","Sí"))</f>
        <v/>
      </c>
      <c r="Q2464" s="28">
        <f>IF(OR($A2464="",$L2464=""),"",IF(AND($N2464="Sí",$P2464="Sí"),"OTIF","Falló"))</f>
        <v/>
      </c>
    </row>
    <row r="2465" ht="16" customHeight="1">
      <c r="A2465" s="48" t="n"/>
      <c r="B2465" s="48" t="n"/>
      <c r="C2465" s="47" t="n"/>
      <c r="D2465" s="50" t="n"/>
      <c r="E2465" s="50" t="n"/>
      <c r="F2465" s="50" t="n"/>
      <c r="G2465" s="50" t="n"/>
      <c r="H2465" s="48" t="n"/>
      <c r="I2465" s="51" t="n"/>
      <c r="J2465" s="52" t="n"/>
      <c r="K2465" s="47" t="n"/>
      <c r="L2465" s="47" t="n"/>
      <c r="M2465" s="24">
        <f>IF(OR($A2465="",$C2465=""),"",IF($L2465&lt;&gt;"",$L2465-$C2465,TODAY()-$C2465))</f>
        <v/>
      </c>
      <c r="N2465" s="28">
        <f>IF(OR($A2465="",$K2465=""),"",IF($L2465="",IF(TODAY()&gt;$K2465,"Atrasado","En ruta"),IF($L2465&lt;=$K2465,"Sí","No")))</f>
        <v/>
      </c>
      <c r="O2465" s="24">
        <f>IF($A2465="","",COUNTIFS(NOVEDADES!$D$4:$D$1503,$A2465))</f>
        <v/>
      </c>
      <c r="P2465" s="28">
        <f>IF($A2465="","",IF(COUNTIFS(NOVEDADES!$D$4:$D$1503,$A2465,NOVEDADES!$O$4:$O$1503,"SÍ")&gt;0,"No","Sí"))</f>
        <v/>
      </c>
      <c r="Q2465" s="28">
        <f>IF(OR($A2465="",$L2465=""),"",IF(AND($N2465="Sí",$P2465="Sí"),"OTIF","Falló"))</f>
        <v/>
      </c>
    </row>
    <row r="2466" ht="16" customHeight="1">
      <c r="A2466" s="48" t="n"/>
      <c r="B2466" s="48" t="n"/>
      <c r="C2466" s="47" t="n"/>
      <c r="D2466" s="50" t="n"/>
      <c r="E2466" s="50" t="n"/>
      <c r="F2466" s="50" t="n"/>
      <c r="G2466" s="50" t="n"/>
      <c r="H2466" s="48" t="n"/>
      <c r="I2466" s="51" t="n"/>
      <c r="J2466" s="52" t="n"/>
      <c r="K2466" s="47" t="n"/>
      <c r="L2466" s="47" t="n"/>
      <c r="M2466" s="24">
        <f>IF(OR($A2466="",$C2466=""),"",IF($L2466&lt;&gt;"",$L2466-$C2466,TODAY()-$C2466))</f>
        <v/>
      </c>
      <c r="N2466" s="28">
        <f>IF(OR($A2466="",$K2466=""),"",IF($L2466="",IF(TODAY()&gt;$K2466,"Atrasado","En ruta"),IF($L2466&lt;=$K2466,"Sí","No")))</f>
        <v/>
      </c>
      <c r="O2466" s="24">
        <f>IF($A2466="","",COUNTIFS(NOVEDADES!$D$4:$D$1503,$A2466))</f>
        <v/>
      </c>
      <c r="P2466" s="28">
        <f>IF($A2466="","",IF(COUNTIFS(NOVEDADES!$D$4:$D$1503,$A2466,NOVEDADES!$O$4:$O$1503,"SÍ")&gt;0,"No","Sí"))</f>
        <v/>
      </c>
      <c r="Q2466" s="28">
        <f>IF(OR($A2466="",$L2466=""),"",IF(AND($N2466="Sí",$P2466="Sí"),"OTIF","Falló"))</f>
        <v/>
      </c>
    </row>
    <row r="2467" ht="16" customHeight="1">
      <c r="A2467" s="48" t="n"/>
      <c r="B2467" s="48" t="n"/>
      <c r="C2467" s="47" t="n"/>
      <c r="D2467" s="50" t="n"/>
      <c r="E2467" s="50" t="n"/>
      <c r="F2467" s="50" t="n"/>
      <c r="G2467" s="50" t="n"/>
      <c r="H2467" s="48" t="n"/>
      <c r="I2467" s="51" t="n"/>
      <c r="J2467" s="52" t="n"/>
      <c r="K2467" s="47" t="n"/>
      <c r="L2467" s="47" t="n"/>
      <c r="M2467" s="24">
        <f>IF(OR($A2467="",$C2467=""),"",IF($L2467&lt;&gt;"",$L2467-$C2467,TODAY()-$C2467))</f>
        <v/>
      </c>
      <c r="N2467" s="28">
        <f>IF(OR($A2467="",$K2467=""),"",IF($L2467="",IF(TODAY()&gt;$K2467,"Atrasado","En ruta"),IF($L2467&lt;=$K2467,"Sí","No")))</f>
        <v/>
      </c>
      <c r="O2467" s="24">
        <f>IF($A2467="","",COUNTIFS(NOVEDADES!$D$4:$D$1503,$A2467))</f>
        <v/>
      </c>
      <c r="P2467" s="28">
        <f>IF($A2467="","",IF(COUNTIFS(NOVEDADES!$D$4:$D$1503,$A2467,NOVEDADES!$O$4:$O$1503,"SÍ")&gt;0,"No","Sí"))</f>
        <v/>
      </c>
      <c r="Q2467" s="28">
        <f>IF(OR($A2467="",$L2467=""),"",IF(AND($N2467="Sí",$P2467="Sí"),"OTIF","Falló"))</f>
        <v/>
      </c>
    </row>
    <row r="2468" ht="16" customHeight="1">
      <c r="A2468" s="48" t="n"/>
      <c r="B2468" s="48" t="n"/>
      <c r="C2468" s="47" t="n"/>
      <c r="D2468" s="50" t="n"/>
      <c r="E2468" s="50" t="n"/>
      <c r="F2468" s="50" t="n"/>
      <c r="G2468" s="50" t="n"/>
      <c r="H2468" s="48" t="n"/>
      <c r="I2468" s="51" t="n"/>
      <c r="J2468" s="52" t="n"/>
      <c r="K2468" s="47" t="n"/>
      <c r="L2468" s="47" t="n"/>
      <c r="M2468" s="24">
        <f>IF(OR($A2468="",$C2468=""),"",IF($L2468&lt;&gt;"",$L2468-$C2468,TODAY()-$C2468))</f>
        <v/>
      </c>
      <c r="N2468" s="28">
        <f>IF(OR($A2468="",$K2468=""),"",IF($L2468="",IF(TODAY()&gt;$K2468,"Atrasado","En ruta"),IF($L2468&lt;=$K2468,"Sí","No")))</f>
        <v/>
      </c>
      <c r="O2468" s="24">
        <f>IF($A2468="","",COUNTIFS(NOVEDADES!$D$4:$D$1503,$A2468))</f>
        <v/>
      </c>
      <c r="P2468" s="28">
        <f>IF($A2468="","",IF(COUNTIFS(NOVEDADES!$D$4:$D$1503,$A2468,NOVEDADES!$O$4:$O$1503,"SÍ")&gt;0,"No","Sí"))</f>
        <v/>
      </c>
      <c r="Q2468" s="28">
        <f>IF(OR($A2468="",$L2468=""),"",IF(AND($N2468="Sí",$P2468="Sí"),"OTIF","Falló"))</f>
        <v/>
      </c>
    </row>
    <row r="2469" ht="16" customHeight="1">
      <c r="A2469" s="48" t="n"/>
      <c r="B2469" s="48" t="n"/>
      <c r="C2469" s="47" t="n"/>
      <c r="D2469" s="50" t="n"/>
      <c r="E2469" s="50" t="n"/>
      <c r="F2469" s="50" t="n"/>
      <c r="G2469" s="50" t="n"/>
      <c r="H2469" s="48" t="n"/>
      <c r="I2469" s="51" t="n"/>
      <c r="J2469" s="52" t="n"/>
      <c r="K2469" s="47" t="n"/>
      <c r="L2469" s="47" t="n"/>
      <c r="M2469" s="24">
        <f>IF(OR($A2469="",$C2469=""),"",IF($L2469&lt;&gt;"",$L2469-$C2469,TODAY()-$C2469))</f>
        <v/>
      </c>
      <c r="N2469" s="28">
        <f>IF(OR($A2469="",$K2469=""),"",IF($L2469="",IF(TODAY()&gt;$K2469,"Atrasado","En ruta"),IF($L2469&lt;=$K2469,"Sí","No")))</f>
        <v/>
      </c>
      <c r="O2469" s="24">
        <f>IF($A2469="","",COUNTIFS(NOVEDADES!$D$4:$D$1503,$A2469))</f>
        <v/>
      </c>
      <c r="P2469" s="28">
        <f>IF($A2469="","",IF(COUNTIFS(NOVEDADES!$D$4:$D$1503,$A2469,NOVEDADES!$O$4:$O$1503,"SÍ")&gt;0,"No","Sí"))</f>
        <v/>
      </c>
      <c r="Q2469" s="28">
        <f>IF(OR($A2469="",$L2469=""),"",IF(AND($N2469="Sí",$P2469="Sí"),"OTIF","Falló"))</f>
        <v/>
      </c>
    </row>
    <row r="2470" ht="16" customHeight="1">
      <c r="A2470" s="48" t="n"/>
      <c r="B2470" s="48" t="n"/>
      <c r="C2470" s="47" t="n"/>
      <c r="D2470" s="50" t="n"/>
      <c r="E2470" s="50" t="n"/>
      <c r="F2470" s="50" t="n"/>
      <c r="G2470" s="50" t="n"/>
      <c r="H2470" s="48" t="n"/>
      <c r="I2470" s="51" t="n"/>
      <c r="J2470" s="52" t="n"/>
      <c r="K2470" s="47" t="n"/>
      <c r="L2470" s="47" t="n"/>
      <c r="M2470" s="24">
        <f>IF(OR($A2470="",$C2470=""),"",IF($L2470&lt;&gt;"",$L2470-$C2470,TODAY()-$C2470))</f>
        <v/>
      </c>
      <c r="N2470" s="28">
        <f>IF(OR($A2470="",$K2470=""),"",IF($L2470="",IF(TODAY()&gt;$K2470,"Atrasado","En ruta"),IF($L2470&lt;=$K2470,"Sí","No")))</f>
        <v/>
      </c>
      <c r="O2470" s="24">
        <f>IF($A2470="","",COUNTIFS(NOVEDADES!$D$4:$D$1503,$A2470))</f>
        <v/>
      </c>
      <c r="P2470" s="28">
        <f>IF($A2470="","",IF(COUNTIFS(NOVEDADES!$D$4:$D$1503,$A2470,NOVEDADES!$O$4:$O$1503,"SÍ")&gt;0,"No","Sí"))</f>
        <v/>
      </c>
      <c r="Q2470" s="28">
        <f>IF(OR($A2470="",$L2470=""),"",IF(AND($N2470="Sí",$P2470="Sí"),"OTIF","Falló"))</f>
        <v/>
      </c>
    </row>
    <row r="2471" ht="16" customHeight="1">
      <c r="A2471" s="48" t="n"/>
      <c r="B2471" s="48" t="n"/>
      <c r="C2471" s="47" t="n"/>
      <c r="D2471" s="50" t="n"/>
      <c r="E2471" s="50" t="n"/>
      <c r="F2471" s="50" t="n"/>
      <c r="G2471" s="50" t="n"/>
      <c r="H2471" s="48" t="n"/>
      <c r="I2471" s="51" t="n"/>
      <c r="J2471" s="52" t="n"/>
      <c r="K2471" s="47" t="n"/>
      <c r="L2471" s="47" t="n"/>
      <c r="M2471" s="24">
        <f>IF(OR($A2471="",$C2471=""),"",IF($L2471&lt;&gt;"",$L2471-$C2471,TODAY()-$C2471))</f>
        <v/>
      </c>
      <c r="N2471" s="28">
        <f>IF(OR($A2471="",$K2471=""),"",IF($L2471="",IF(TODAY()&gt;$K2471,"Atrasado","En ruta"),IF($L2471&lt;=$K2471,"Sí","No")))</f>
        <v/>
      </c>
      <c r="O2471" s="24">
        <f>IF($A2471="","",COUNTIFS(NOVEDADES!$D$4:$D$1503,$A2471))</f>
        <v/>
      </c>
      <c r="P2471" s="28">
        <f>IF($A2471="","",IF(COUNTIFS(NOVEDADES!$D$4:$D$1503,$A2471,NOVEDADES!$O$4:$O$1503,"SÍ")&gt;0,"No","Sí"))</f>
        <v/>
      </c>
      <c r="Q2471" s="28">
        <f>IF(OR($A2471="",$L2471=""),"",IF(AND($N2471="Sí",$P2471="Sí"),"OTIF","Falló"))</f>
        <v/>
      </c>
    </row>
    <row r="2472" ht="16" customHeight="1">
      <c r="A2472" s="48" t="n"/>
      <c r="B2472" s="48" t="n"/>
      <c r="C2472" s="47" t="n"/>
      <c r="D2472" s="50" t="n"/>
      <c r="E2472" s="50" t="n"/>
      <c r="F2472" s="50" t="n"/>
      <c r="G2472" s="50" t="n"/>
      <c r="H2472" s="48" t="n"/>
      <c r="I2472" s="51" t="n"/>
      <c r="J2472" s="52" t="n"/>
      <c r="K2472" s="47" t="n"/>
      <c r="L2472" s="47" t="n"/>
      <c r="M2472" s="24">
        <f>IF(OR($A2472="",$C2472=""),"",IF($L2472&lt;&gt;"",$L2472-$C2472,TODAY()-$C2472))</f>
        <v/>
      </c>
      <c r="N2472" s="28">
        <f>IF(OR($A2472="",$K2472=""),"",IF($L2472="",IF(TODAY()&gt;$K2472,"Atrasado","En ruta"),IF($L2472&lt;=$K2472,"Sí","No")))</f>
        <v/>
      </c>
      <c r="O2472" s="24">
        <f>IF($A2472="","",COUNTIFS(NOVEDADES!$D$4:$D$1503,$A2472))</f>
        <v/>
      </c>
      <c r="P2472" s="28">
        <f>IF($A2472="","",IF(COUNTIFS(NOVEDADES!$D$4:$D$1503,$A2472,NOVEDADES!$O$4:$O$1503,"SÍ")&gt;0,"No","Sí"))</f>
        <v/>
      </c>
      <c r="Q2472" s="28">
        <f>IF(OR($A2472="",$L2472=""),"",IF(AND($N2472="Sí",$P2472="Sí"),"OTIF","Falló"))</f>
        <v/>
      </c>
    </row>
    <row r="2473" ht="16" customHeight="1">
      <c r="A2473" s="48" t="n"/>
      <c r="B2473" s="48" t="n"/>
      <c r="C2473" s="47" t="n"/>
      <c r="D2473" s="50" t="n"/>
      <c r="E2473" s="50" t="n"/>
      <c r="F2473" s="50" t="n"/>
      <c r="G2473" s="50" t="n"/>
      <c r="H2473" s="48" t="n"/>
      <c r="I2473" s="51" t="n"/>
      <c r="J2473" s="52" t="n"/>
      <c r="K2473" s="47" t="n"/>
      <c r="L2473" s="47" t="n"/>
      <c r="M2473" s="24">
        <f>IF(OR($A2473="",$C2473=""),"",IF($L2473&lt;&gt;"",$L2473-$C2473,TODAY()-$C2473))</f>
        <v/>
      </c>
      <c r="N2473" s="28">
        <f>IF(OR($A2473="",$K2473=""),"",IF($L2473="",IF(TODAY()&gt;$K2473,"Atrasado","En ruta"),IF($L2473&lt;=$K2473,"Sí","No")))</f>
        <v/>
      </c>
      <c r="O2473" s="24">
        <f>IF($A2473="","",COUNTIFS(NOVEDADES!$D$4:$D$1503,$A2473))</f>
        <v/>
      </c>
      <c r="P2473" s="28">
        <f>IF($A2473="","",IF(COUNTIFS(NOVEDADES!$D$4:$D$1503,$A2473,NOVEDADES!$O$4:$O$1503,"SÍ")&gt;0,"No","Sí"))</f>
        <v/>
      </c>
      <c r="Q2473" s="28">
        <f>IF(OR($A2473="",$L2473=""),"",IF(AND($N2473="Sí",$P2473="Sí"),"OTIF","Falló"))</f>
        <v/>
      </c>
    </row>
    <row r="2474" ht="16" customHeight="1">
      <c r="A2474" s="48" t="n"/>
      <c r="B2474" s="48" t="n"/>
      <c r="C2474" s="47" t="n"/>
      <c r="D2474" s="50" t="n"/>
      <c r="E2474" s="50" t="n"/>
      <c r="F2474" s="50" t="n"/>
      <c r="G2474" s="50" t="n"/>
      <c r="H2474" s="48" t="n"/>
      <c r="I2474" s="51" t="n"/>
      <c r="J2474" s="52" t="n"/>
      <c r="K2474" s="47" t="n"/>
      <c r="L2474" s="47" t="n"/>
      <c r="M2474" s="24">
        <f>IF(OR($A2474="",$C2474=""),"",IF($L2474&lt;&gt;"",$L2474-$C2474,TODAY()-$C2474))</f>
        <v/>
      </c>
      <c r="N2474" s="28">
        <f>IF(OR($A2474="",$K2474=""),"",IF($L2474="",IF(TODAY()&gt;$K2474,"Atrasado","En ruta"),IF($L2474&lt;=$K2474,"Sí","No")))</f>
        <v/>
      </c>
      <c r="O2474" s="24">
        <f>IF($A2474="","",COUNTIFS(NOVEDADES!$D$4:$D$1503,$A2474))</f>
        <v/>
      </c>
      <c r="P2474" s="28">
        <f>IF($A2474="","",IF(COUNTIFS(NOVEDADES!$D$4:$D$1503,$A2474,NOVEDADES!$O$4:$O$1503,"SÍ")&gt;0,"No","Sí"))</f>
        <v/>
      </c>
      <c r="Q2474" s="28">
        <f>IF(OR($A2474="",$L2474=""),"",IF(AND($N2474="Sí",$P2474="Sí"),"OTIF","Falló"))</f>
        <v/>
      </c>
    </row>
    <row r="2475" ht="16" customHeight="1">
      <c r="A2475" s="48" t="n"/>
      <c r="B2475" s="48" t="n"/>
      <c r="C2475" s="47" t="n"/>
      <c r="D2475" s="50" t="n"/>
      <c r="E2475" s="50" t="n"/>
      <c r="F2475" s="50" t="n"/>
      <c r="G2475" s="50" t="n"/>
      <c r="H2475" s="48" t="n"/>
      <c r="I2475" s="51" t="n"/>
      <c r="J2475" s="52" t="n"/>
      <c r="K2475" s="47" t="n"/>
      <c r="L2475" s="47" t="n"/>
      <c r="M2475" s="24">
        <f>IF(OR($A2475="",$C2475=""),"",IF($L2475&lt;&gt;"",$L2475-$C2475,TODAY()-$C2475))</f>
        <v/>
      </c>
      <c r="N2475" s="28">
        <f>IF(OR($A2475="",$K2475=""),"",IF($L2475="",IF(TODAY()&gt;$K2475,"Atrasado","En ruta"),IF($L2475&lt;=$K2475,"Sí","No")))</f>
        <v/>
      </c>
      <c r="O2475" s="24">
        <f>IF($A2475="","",COUNTIFS(NOVEDADES!$D$4:$D$1503,$A2475))</f>
        <v/>
      </c>
      <c r="P2475" s="28">
        <f>IF($A2475="","",IF(COUNTIFS(NOVEDADES!$D$4:$D$1503,$A2475,NOVEDADES!$O$4:$O$1503,"SÍ")&gt;0,"No","Sí"))</f>
        <v/>
      </c>
      <c r="Q2475" s="28">
        <f>IF(OR($A2475="",$L2475=""),"",IF(AND($N2475="Sí",$P2475="Sí"),"OTIF","Falló"))</f>
        <v/>
      </c>
    </row>
    <row r="2476" ht="16" customHeight="1">
      <c r="A2476" s="48" t="n"/>
      <c r="B2476" s="48" t="n"/>
      <c r="C2476" s="47" t="n"/>
      <c r="D2476" s="50" t="n"/>
      <c r="E2476" s="50" t="n"/>
      <c r="F2476" s="50" t="n"/>
      <c r="G2476" s="50" t="n"/>
      <c r="H2476" s="48" t="n"/>
      <c r="I2476" s="51" t="n"/>
      <c r="J2476" s="52" t="n"/>
      <c r="K2476" s="47" t="n"/>
      <c r="L2476" s="47" t="n"/>
      <c r="M2476" s="24">
        <f>IF(OR($A2476="",$C2476=""),"",IF($L2476&lt;&gt;"",$L2476-$C2476,TODAY()-$C2476))</f>
        <v/>
      </c>
      <c r="N2476" s="28">
        <f>IF(OR($A2476="",$K2476=""),"",IF($L2476="",IF(TODAY()&gt;$K2476,"Atrasado","En ruta"),IF($L2476&lt;=$K2476,"Sí","No")))</f>
        <v/>
      </c>
      <c r="O2476" s="24">
        <f>IF($A2476="","",COUNTIFS(NOVEDADES!$D$4:$D$1503,$A2476))</f>
        <v/>
      </c>
      <c r="P2476" s="28">
        <f>IF($A2476="","",IF(COUNTIFS(NOVEDADES!$D$4:$D$1503,$A2476,NOVEDADES!$O$4:$O$1503,"SÍ")&gt;0,"No","Sí"))</f>
        <v/>
      </c>
      <c r="Q2476" s="28">
        <f>IF(OR($A2476="",$L2476=""),"",IF(AND($N2476="Sí",$P2476="Sí"),"OTIF","Falló"))</f>
        <v/>
      </c>
    </row>
    <row r="2477" ht="16" customHeight="1">
      <c r="A2477" s="48" t="n"/>
      <c r="B2477" s="48" t="n"/>
      <c r="C2477" s="47" t="n"/>
      <c r="D2477" s="50" t="n"/>
      <c r="E2477" s="50" t="n"/>
      <c r="F2477" s="50" t="n"/>
      <c r="G2477" s="50" t="n"/>
      <c r="H2477" s="48" t="n"/>
      <c r="I2477" s="51" t="n"/>
      <c r="J2477" s="52" t="n"/>
      <c r="K2477" s="47" t="n"/>
      <c r="L2477" s="47" t="n"/>
      <c r="M2477" s="24">
        <f>IF(OR($A2477="",$C2477=""),"",IF($L2477&lt;&gt;"",$L2477-$C2477,TODAY()-$C2477))</f>
        <v/>
      </c>
      <c r="N2477" s="28">
        <f>IF(OR($A2477="",$K2477=""),"",IF($L2477="",IF(TODAY()&gt;$K2477,"Atrasado","En ruta"),IF($L2477&lt;=$K2477,"Sí","No")))</f>
        <v/>
      </c>
      <c r="O2477" s="24">
        <f>IF($A2477="","",COUNTIFS(NOVEDADES!$D$4:$D$1503,$A2477))</f>
        <v/>
      </c>
      <c r="P2477" s="28">
        <f>IF($A2477="","",IF(COUNTIFS(NOVEDADES!$D$4:$D$1503,$A2477,NOVEDADES!$O$4:$O$1503,"SÍ")&gt;0,"No","Sí"))</f>
        <v/>
      </c>
      <c r="Q2477" s="28">
        <f>IF(OR($A2477="",$L2477=""),"",IF(AND($N2477="Sí",$P2477="Sí"),"OTIF","Falló"))</f>
        <v/>
      </c>
    </row>
    <row r="2478" ht="16" customHeight="1">
      <c r="A2478" s="48" t="n"/>
      <c r="B2478" s="48" t="n"/>
      <c r="C2478" s="47" t="n"/>
      <c r="D2478" s="50" t="n"/>
      <c r="E2478" s="50" t="n"/>
      <c r="F2478" s="50" t="n"/>
      <c r="G2478" s="50" t="n"/>
      <c r="H2478" s="48" t="n"/>
      <c r="I2478" s="51" t="n"/>
      <c r="J2478" s="52" t="n"/>
      <c r="K2478" s="47" t="n"/>
      <c r="L2478" s="47" t="n"/>
      <c r="M2478" s="24">
        <f>IF(OR($A2478="",$C2478=""),"",IF($L2478&lt;&gt;"",$L2478-$C2478,TODAY()-$C2478))</f>
        <v/>
      </c>
      <c r="N2478" s="28">
        <f>IF(OR($A2478="",$K2478=""),"",IF($L2478="",IF(TODAY()&gt;$K2478,"Atrasado","En ruta"),IF($L2478&lt;=$K2478,"Sí","No")))</f>
        <v/>
      </c>
      <c r="O2478" s="24">
        <f>IF($A2478="","",COUNTIFS(NOVEDADES!$D$4:$D$1503,$A2478))</f>
        <v/>
      </c>
      <c r="P2478" s="28">
        <f>IF($A2478="","",IF(COUNTIFS(NOVEDADES!$D$4:$D$1503,$A2478,NOVEDADES!$O$4:$O$1503,"SÍ")&gt;0,"No","Sí"))</f>
        <v/>
      </c>
      <c r="Q2478" s="28">
        <f>IF(OR($A2478="",$L2478=""),"",IF(AND($N2478="Sí",$P2478="Sí"),"OTIF","Falló"))</f>
        <v/>
      </c>
    </row>
    <row r="2479" ht="16" customHeight="1">
      <c r="A2479" s="48" t="n"/>
      <c r="B2479" s="48" t="n"/>
      <c r="C2479" s="47" t="n"/>
      <c r="D2479" s="50" t="n"/>
      <c r="E2479" s="50" t="n"/>
      <c r="F2479" s="50" t="n"/>
      <c r="G2479" s="50" t="n"/>
      <c r="H2479" s="48" t="n"/>
      <c r="I2479" s="51" t="n"/>
      <c r="J2479" s="52" t="n"/>
      <c r="K2479" s="47" t="n"/>
      <c r="L2479" s="47" t="n"/>
      <c r="M2479" s="24">
        <f>IF(OR($A2479="",$C2479=""),"",IF($L2479&lt;&gt;"",$L2479-$C2479,TODAY()-$C2479))</f>
        <v/>
      </c>
      <c r="N2479" s="28">
        <f>IF(OR($A2479="",$K2479=""),"",IF($L2479="",IF(TODAY()&gt;$K2479,"Atrasado","En ruta"),IF($L2479&lt;=$K2479,"Sí","No")))</f>
        <v/>
      </c>
      <c r="O2479" s="24">
        <f>IF($A2479="","",COUNTIFS(NOVEDADES!$D$4:$D$1503,$A2479))</f>
        <v/>
      </c>
      <c r="P2479" s="28">
        <f>IF($A2479="","",IF(COUNTIFS(NOVEDADES!$D$4:$D$1503,$A2479,NOVEDADES!$O$4:$O$1503,"SÍ")&gt;0,"No","Sí"))</f>
        <v/>
      </c>
      <c r="Q2479" s="28">
        <f>IF(OR($A2479="",$L2479=""),"",IF(AND($N2479="Sí",$P2479="Sí"),"OTIF","Falló"))</f>
        <v/>
      </c>
    </row>
    <row r="2480" ht="16" customHeight="1">
      <c r="A2480" s="48" t="n"/>
      <c r="B2480" s="48" t="n"/>
      <c r="C2480" s="47" t="n"/>
      <c r="D2480" s="50" t="n"/>
      <c r="E2480" s="50" t="n"/>
      <c r="F2480" s="50" t="n"/>
      <c r="G2480" s="50" t="n"/>
      <c r="H2480" s="48" t="n"/>
      <c r="I2480" s="51" t="n"/>
      <c r="J2480" s="52" t="n"/>
      <c r="K2480" s="47" t="n"/>
      <c r="L2480" s="47" t="n"/>
      <c r="M2480" s="24">
        <f>IF(OR($A2480="",$C2480=""),"",IF($L2480&lt;&gt;"",$L2480-$C2480,TODAY()-$C2480))</f>
        <v/>
      </c>
      <c r="N2480" s="28">
        <f>IF(OR($A2480="",$K2480=""),"",IF($L2480="",IF(TODAY()&gt;$K2480,"Atrasado","En ruta"),IF($L2480&lt;=$K2480,"Sí","No")))</f>
        <v/>
      </c>
      <c r="O2480" s="24">
        <f>IF($A2480="","",COUNTIFS(NOVEDADES!$D$4:$D$1503,$A2480))</f>
        <v/>
      </c>
      <c r="P2480" s="28">
        <f>IF($A2480="","",IF(COUNTIFS(NOVEDADES!$D$4:$D$1503,$A2480,NOVEDADES!$O$4:$O$1503,"SÍ")&gt;0,"No","Sí"))</f>
        <v/>
      </c>
      <c r="Q2480" s="28">
        <f>IF(OR($A2480="",$L2480=""),"",IF(AND($N2480="Sí",$P2480="Sí"),"OTIF","Falló"))</f>
        <v/>
      </c>
    </row>
    <row r="2481" ht="16" customHeight="1">
      <c r="A2481" s="48" t="n"/>
      <c r="B2481" s="48" t="n"/>
      <c r="C2481" s="47" t="n"/>
      <c r="D2481" s="50" t="n"/>
      <c r="E2481" s="50" t="n"/>
      <c r="F2481" s="50" t="n"/>
      <c r="G2481" s="50" t="n"/>
      <c r="H2481" s="48" t="n"/>
      <c r="I2481" s="51" t="n"/>
      <c r="J2481" s="52" t="n"/>
      <c r="K2481" s="47" t="n"/>
      <c r="L2481" s="47" t="n"/>
      <c r="M2481" s="24">
        <f>IF(OR($A2481="",$C2481=""),"",IF($L2481&lt;&gt;"",$L2481-$C2481,TODAY()-$C2481))</f>
        <v/>
      </c>
      <c r="N2481" s="28">
        <f>IF(OR($A2481="",$K2481=""),"",IF($L2481="",IF(TODAY()&gt;$K2481,"Atrasado","En ruta"),IF($L2481&lt;=$K2481,"Sí","No")))</f>
        <v/>
      </c>
      <c r="O2481" s="24">
        <f>IF($A2481="","",COUNTIFS(NOVEDADES!$D$4:$D$1503,$A2481))</f>
        <v/>
      </c>
      <c r="P2481" s="28">
        <f>IF($A2481="","",IF(COUNTIFS(NOVEDADES!$D$4:$D$1503,$A2481,NOVEDADES!$O$4:$O$1503,"SÍ")&gt;0,"No","Sí"))</f>
        <v/>
      </c>
      <c r="Q2481" s="28">
        <f>IF(OR($A2481="",$L2481=""),"",IF(AND($N2481="Sí",$P2481="Sí"),"OTIF","Falló"))</f>
        <v/>
      </c>
    </row>
    <row r="2482" ht="16" customHeight="1">
      <c r="A2482" s="48" t="n"/>
      <c r="B2482" s="48" t="n"/>
      <c r="C2482" s="47" t="n"/>
      <c r="D2482" s="50" t="n"/>
      <c r="E2482" s="50" t="n"/>
      <c r="F2482" s="50" t="n"/>
      <c r="G2482" s="50" t="n"/>
      <c r="H2482" s="48" t="n"/>
      <c r="I2482" s="51" t="n"/>
      <c r="J2482" s="52" t="n"/>
      <c r="K2482" s="47" t="n"/>
      <c r="L2482" s="47" t="n"/>
      <c r="M2482" s="24">
        <f>IF(OR($A2482="",$C2482=""),"",IF($L2482&lt;&gt;"",$L2482-$C2482,TODAY()-$C2482))</f>
        <v/>
      </c>
      <c r="N2482" s="28">
        <f>IF(OR($A2482="",$K2482=""),"",IF($L2482="",IF(TODAY()&gt;$K2482,"Atrasado","En ruta"),IF($L2482&lt;=$K2482,"Sí","No")))</f>
        <v/>
      </c>
      <c r="O2482" s="24">
        <f>IF($A2482="","",COUNTIFS(NOVEDADES!$D$4:$D$1503,$A2482))</f>
        <v/>
      </c>
      <c r="P2482" s="28">
        <f>IF($A2482="","",IF(COUNTIFS(NOVEDADES!$D$4:$D$1503,$A2482,NOVEDADES!$O$4:$O$1503,"SÍ")&gt;0,"No","Sí"))</f>
        <v/>
      </c>
      <c r="Q2482" s="28">
        <f>IF(OR($A2482="",$L2482=""),"",IF(AND($N2482="Sí",$P2482="Sí"),"OTIF","Falló"))</f>
        <v/>
      </c>
    </row>
    <row r="2483" ht="16" customHeight="1">
      <c r="A2483" s="48" t="n"/>
      <c r="B2483" s="48" t="n"/>
      <c r="C2483" s="47" t="n"/>
      <c r="D2483" s="50" t="n"/>
      <c r="E2483" s="50" t="n"/>
      <c r="F2483" s="50" t="n"/>
      <c r="G2483" s="50" t="n"/>
      <c r="H2483" s="48" t="n"/>
      <c r="I2483" s="51" t="n"/>
      <c r="J2483" s="52" t="n"/>
      <c r="K2483" s="47" t="n"/>
      <c r="L2483" s="47" t="n"/>
      <c r="M2483" s="24">
        <f>IF(OR($A2483="",$C2483=""),"",IF($L2483&lt;&gt;"",$L2483-$C2483,TODAY()-$C2483))</f>
        <v/>
      </c>
      <c r="N2483" s="28">
        <f>IF(OR($A2483="",$K2483=""),"",IF($L2483="",IF(TODAY()&gt;$K2483,"Atrasado","En ruta"),IF($L2483&lt;=$K2483,"Sí","No")))</f>
        <v/>
      </c>
      <c r="O2483" s="24">
        <f>IF($A2483="","",COUNTIFS(NOVEDADES!$D$4:$D$1503,$A2483))</f>
        <v/>
      </c>
      <c r="P2483" s="28">
        <f>IF($A2483="","",IF(COUNTIFS(NOVEDADES!$D$4:$D$1503,$A2483,NOVEDADES!$O$4:$O$1503,"SÍ")&gt;0,"No","Sí"))</f>
        <v/>
      </c>
      <c r="Q2483" s="28">
        <f>IF(OR($A2483="",$L2483=""),"",IF(AND($N2483="Sí",$P2483="Sí"),"OTIF","Falló"))</f>
        <v/>
      </c>
    </row>
    <row r="2484" ht="16" customHeight="1">
      <c r="A2484" s="48" t="n"/>
      <c r="B2484" s="48" t="n"/>
      <c r="C2484" s="47" t="n"/>
      <c r="D2484" s="50" t="n"/>
      <c r="E2484" s="50" t="n"/>
      <c r="F2484" s="50" t="n"/>
      <c r="G2484" s="50" t="n"/>
      <c r="H2484" s="48" t="n"/>
      <c r="I2484" s="51" t="n"/>
      <c r="J2484" s="52" t="n"/>
      <c r="K2484" s="47" t="n"/>
      <c r="L2484" s="47" t="n"/>
      <c r="M2484" s="24">
        <f>IF(OR($A2484="",$C2484=""),"",IF($L2484&lt;&gt;"",$L2484-$C2484,TODAY()-$C2484))</f>
        <v/>
      </c>
      <c r="N2484" s="28">
        <f>IF(OR($A2484="",$K2484=""),"",IF($L2484="",IF(TODAY()&gt;$K2484,"Atrasado","En ruta"),IF($L2484&lt;=$K2484,"Sí","No")))</f>
        <v/>
      </c>
      <c r="O2484" s="24">
        <f>IF($A2484="","",COUNTIFS(NOVEDADES!$D$4:$D$1503,$A2484))</f>
        <v/>
      </c>
      <c r="P2484" s="28">
        <f>IF($A2484="","",IF(COUNTIFS(NOVEDADES!$D$4:$D$1503,$A2484,NOVEDADES!$O$4:$O$1503,"SÍ")&gt;0,"No","Sí"))</f>
        <v/>
      </c>
      <c r="Q2484" s="28">
        <f>IF(OR($A2484="",$L2484=""),"",IF(AND($N2484="Sí",$P2484="Sí"),"OTIF","Falló"))</f>
        <v/>
      </c>
    </row>
    <row r="2485" ht="16" customHeight="1">
      <c r="A2485" s="48" t="n"/>
      <c r="B2485" s="48" t="n"/>
      <c r="C2485" s="47" t="n"/>
      <c r="D2485" s="50" t="n"/>
      <c r="E2485" s="50" t="n"/>
      <c r="F2485" s="50" t="n"/>
      <c r="G2485" s="50" t="n"/>
      <c r="H2485" s="48" t="n"/>
      <c r="I2485" s="51" t="n"/>
      <c r="J2485" s="52" t="n"/>
      <c r="K2485" s="47" t="n"/>
      <c r="L2485" s="47" t="n"/>
      <c r="M2485" s="24">
        <f>IF(OR($A2485="",$C2485=""),"",IF($L2485&lt;&gt;"",$L2485-$C2485,TODAY()-$C2485))</f>
        <v/>
      </c>
      <c r="N2485" s="28">
        <f>IF(OR($A2485="",$K2485=""),"",IF($L2485="",IF(TODAY()&gt;$K2485,"Atrasado","En ruta"),IF($L2485&lt;=$K2485,"Sí","No")))</f>
        <v/>
      </c>
      <c r="O2485" s="24">
        <f>IF($A2485="","",COUNTIFS(NOVEDADES!$D$4:$D$1503,$A2485))</f>
        <v/>
      </c>
      <c r="P2485" s="28">
        <f>IF($A2485="","",IF(COUNTIFS(NOVEDADES!$D$4:$D$1503,$A2485,NOVEDADES!$O$4:$O$1503,"SÍ")&gt;0,"No","Sí"))</f>
        <v/>
      </c>
      <c r="Q2485" s="28">
        <f>IF(OR($A2485="",$L2485=""),"",IF(AND($N2485="Sí",$P2485="Sí"),"OTIF","Falló"))</f>
        <v/>
      </c>
    </row>
    <row r="2486" ht="16" customHeight="1">
      <c r="A2486" s="48" t="n"/>
      <c r="B2486" s="48" t="n"/>
      <c r="C2486" s="47" t="n"/>
      <c r="D2486" s="50" t="n"/>
      <c r="E2486" s="50" t="n"/>
      <c r="F2486" s="50" t="n"/>
      <c r="G2486" s="50" t="n"/>
      <c r="H2486" s="48" t="n"/>
      <c r="I2486" s="51" t="n"/>
      <c r="J2486" s="52" t="n"/>
      <c r="K2486" s="47" t="n"/>
      <c r="L2486" s="47" t="n"/>
      <c r="M2486" s="24">
        <f>IF(OR($A2486="",$C2486=""),"",IF($L2486&lt;&gt;"",$L2486-$C2486,TODAY()-$C2486))</f>
        <v/>
      </c>
      <c r="N2486" s="28">
        <f>IF(OR($A2486="",$K2486=""),"",IF($L2486="",IF(TODAY()&gt;$K2486,"Atrasado","En ruta"),IF($L2486&lt;=$K2486,"Sí","No")))</f>
        <v/>
      </c>
      <c r="O2486" s="24">
        <f>IF($A2486="","",COUNTIFS(NOVEDADES!$D$4:$D$1503,$A2486))</f>
        <v/>
      </c>
      <c r="P2486" s="28">
        <f>IF($A2486="","",IF(COUNTIFS(NOVEDADES!$D$4:$D$1503,$A2486,NOVEDADES!$O$4:$O$1503,"SÍ")&gt;0,"No","Sí"))</f>
        <v/>
      </c>
      <c r="Q2486" s="28">
        <f>IF(OR($A2486="",$L2486=""),"",IF(AND($N2486="Sí",$P2486="Sí"),"OTIF","Falló"))</f>
        <v/>
      </c>
    </row>
    <row r="2487" ht="16" customHeight="1">
      <c r="A2487" s="48" t="n"/>
      <c r="B2487" s="48" t="n"/>
      <c r="C2487" s="47" t="n"/>
      <c r="D2487" s="50" t="n"/>
      <c r="E2487" s="50" t="n"/>
      <c r="F2487" s="50" t="n"/>
      <c r="G2487" s="50" t="n"/>
      <c r="H2487" s="48" t="n"/>
      <c r="I2487" s="51" t="n"/>
      <c r="J2487" s="52" t="n"/>
      <c r="K2487" s="47" t="n"/>
      <c r="L2487" s="47" t="n"/>
      <c r="M2487" s="24">
        <f>IF(OR($A2487="",$C2487=""),"",IF($L2487&lt;&gt;"",$L2487-$C2487,TODAY()-$C2487))</f>
        <v/>
      </c>
      <c r="N2487" s="28">
        <f>IF(OR($A2487="",$K2487=""),"",IF($L2487="",IF(TODAY()&gt;$K2487,"Atrasado","En ruta"),IF($L2487&lt;=$K2487,"Sí","No")))</f>
        <v/>
      </c>
      <c r="O2487" s="24">
        <f>IF($A2487="","",COUNTIFS(NOVEDADES!$D$4:$D$1503,$A2487))</f>
        <v/>
      </c>
      <c r="P2487" s="28">
        <f>IF($A2487="","",IF(COUNTIFS(NOVEDADES!$D$4:$D$1503,$A2487,NOVEDADES!$O$4:$O$1503,"SÍ")&gt;0,"No","Sí"))</f>
        <v/>
      </c>
      <c r="Q2487" s="28">
        <f>IF(OR($A2487="",$L2487=""),"",IF(AND($N2487="Sí",$P2487="Sí"),"OTIF","Falló"))</f>
        <v/>
      </c>
    </row>
    <row r="2488" ht="16" customHeight="1">
      <c r="A2488" s="48" t="n"/>
      <c r="B2488" s="48" t="n"/>
      <c r="C2488" s="47" t="n"/>
      <c r="D2488" s="50" t="n"/>
      <c r="E2488" s="50" t="n"/>
      <c r="F2488" s="50" t="n"/>
      <c r="G2488" s="50" t="n"/>
      <c r="H2488" s="48" t="n"/>
      <c r="I2488" s="51" t="n"/>
      <c r="J2488" s="52" t="n"/>
      <c r="K2488" s="47" t="n"/>
      <c r="L2488" s="47" t="n"/>
      <c r="M2488" s="24">
        <f>IF(OR($A2488="",$C2488=""),"",IF($L2488&lt;&gt;"",$L2488-$C2488,TODAY()-$C2488))</f>
        <v/>
      </c>
      <c r="N2488" s="28">
        <f>IF(OR($A2488="",$K2488=""),"",IF($L2488="",IF(TODAY()&gt;$K2488,"Atrasado","En ruta"),IF($L2488&lt;=$K2488,"Sí","No")))</f>
        <v/>
      </c>
      <c r="O2488" s="24">
        <f>IF($A2488="","",COUNTIFS(NOVEDADES!$D$4:$D$1503,$A2488))</f>
        <v/>
      </c>
      <c r="P2488" s="28">
        <f>IF($A2488="","",IF(COUNTIFS(NOVEDADES!$D$4:$D$1503,$A2488,NOVEDADES!$O$4:$O$1503,"SÍ")&gt;0,"No","Sí"))</f>
        <v/>
      </c>
      <c r="Q2488" s="28">
        <f>IF(OR($A2488="",$L2488=""),"",IF(AND($N2488="Sí",$P2488="Sí"),"OTIF","Falló"))</f>
        <v/>
      </c>
    </row>
    <row r="2489" ht="16" customHeight="1">
      <c r="A2489" s="48" t="n"/>
      <c r="B2489" s="48" t="n"/>
      <c r="C2489" s="47" t="n"/>
      <c r="D2489" s="50" t="n"/>
      <c r="E2489" s="50" t="n"/>
      <c r="F2489" s="50" t="n"/>
      <c r="G2489" s="50" t="n"/>
      <c r="H2489" s="48" t="n"/>
      <c r="I2489" s="51" t="n"/>
      <c r="J2489" s="52" t="n"/>
      <c r="K2489" s="47" t="n"/>
      <c r="L2489" s="47" t="n"/>
      <c r="M2489" s="24">
        <f>IF(OR($A2489="",$C2489=""),"",IF($L2489&lt;&gt;"",$L2489-$C2489,TODAY()-$C2489))</f>
        <v/>
      </c>
      <c r="N2489" s="28">
        <f>IF(OR($A2489="",$K2489=""),"",IF($L2489="",IF(TODAY()&gt;$K2489,"Atrasado","En ruta"),IF($L2489&lt;=$K2489,"Sí","No")))</f>
        <v/>
      </c>
      <c r="O2489" s="24">
        <f>IF($A2489="","",COUNTIFS(NOVEDADES!$D$4:$D$1503,$A2489))</f>
        <v/>
      </c>
      <c r="P2489" s="28">
        <f>IF($A2489="","",IF(COUNTIFS(NOVEDADES!$D$4:$D$1503,$A2489,NOVEDADES!$O$4:$O$1503,"SÍ")&gt;0,"No","Sí"))</f>
        <v/>
      </c>
      <c r="Q2489" s="28">
        <f>IF(OR($A2489="",$L2489=""),"",IF(AND($N2489="Sí",$P2489="Sí"),"OTIF","Falló"))</f>
        <v/>
      </c>
    </row>
    <row r="2490" ht="16" customHeight="1">
      <c r="A2490" s="48" t="n"/>
      <c r="B2490" s="48" t="n"/>
      <c r="C2490" s="47" t="n"/>
      <c r="D2490" s="50" t="n"/>
      <c r="E2490" s="50" t="n"/>
      <c r="F2490" s="50" t="n"/>
      <c r="G2490" s="50" t="n"/>
      <c r="H2490" s="48" t="n"/>
      <c r="I2490" s="51" t="n"/>
      <c r="J2490" s="52" t="n"/>
      <c r="K2490" s="47" t="n"/>
      <c r="L2490" s="47" t="n"/>
      <c r="M2490" s="24">
        <f>IF(OR($A2490="",$C2490=""),"",IF($L2490&lt;&gt;"",$L2490-$C2490,TODAY()-$C2490))</f>
        <v/>
      </c>
      <c r="N2490" s="28">
        <f>IF(OR($A2490="",$K2490=""),"",IF($L2490="",IF(TODAY()&gt;$K2490,"Atrasado","En ruta"),IF($L2490&lt;=$K2490,"Sí","No")))</f>
        <v/>
      </c>
      <c r="O2490" s="24">
        <f>IF($A2490="","",COUNTIFS(NOVEDADES!$D$4:$D$1503,$A2490))</f>
        <v/>
      </c>
      <c r="P2490" s="28">
        <f>IF($A2490="","",IF(COUNTIFS(NOVEDADES!$D$4:$D$1503,$A2490,NOVEDADES!$O$4:$O$1503,"SÍ")&gt;0,"No","Sí"))</f>
        <v/>
      </c>
      <c r="Q2490" s="28">
        <f>IF(OR($A2490="",$L2490=""),"",IF(AND($N2490="Sí",$P2490="Sí"),"OTIF","Falló"))</f>
        <v/>
      </c>
    </row>
    <row r="2491" ht="16" customHeight="1">
      <c r="A2491" s="48" t="n"/>
      <c r="B2491" s="48" t="n"/>
      <c r="C2491" s="47" t="n"/>
      <c r="D2491" s="50" t="n"/>
      <c r="E2491" s="50" t="n"/>
      <c r="F2491" s="50" t="n"/>
      <c r="G2491" s="50" t="n"/>
      <c r="H2491" s="48" t="n"/>
      <c r="I2491" s="51" t="n"/>
      <c r="J2491" s="52" t="n"/>
      <c r="K2491" s="47" t="n"/>
      <c r="L2491" s="47" t="n"/>
      <c r="M2491" s="24">
        <f>IF(OR($A2491="",$C2491=""),"",IF($L2491&lt;&gt;"",$L2491-$C2491,TODAY()-$C2491))</f>
        <v/>
      </c>
      <c r="N2491" s="28">
        <f>IF(OR($A2491="",$K2491=""),"",IF($L2491="",IF(TODAY()&gt;$K2491,"Atrasado","En ruta"),IF($L2491&lt;=$K2491,"Sí","No")))</f>
        <v/>
      </c>
      <c r="O2491" s="24">
        <f>IF($A2491="","",COUNTIFS(NOVEDADES!$D$4:$D$1503,$A2491))</f>
        <v/>
      </c>
      <c r="P2491" s="28">
        <f>IF($A2491="","",IF(COUNTIFS(NOVEDADES!$D$4:$D$1503,$A2491,NOVEDADES!$O$4:$O$1503,"SÍ")&gt;0,"No","Sí"))</f>
        <v/>
      </c>
      <c r="Q2491" s="28">
        <f>IF(OR($A2491="",$L2491=""),"",IF(AND($N2491="Sí",$P2491="Sí"),"OTIF","Falló"))</f>
        <v/>
      </c>
    </row>
    <row r="2492" ht="16" customHeight="1">
      <c r="A2492" s="48" t="n"/>
      <c r="B2492" s="48" t="n"/>
      <c r="C2492" s="47" t="n"/>
      <c r="D2492" s="50" t="n"/>
      <c r="E2492" s="50" t="n"/>
      <c r="F2492" s="50" t="n"/>
      <c r="G2492" s="50" t="n"/>
      <c r="H2492" s="48" t="n"/>
      <c r="I2492" s="51" t="n"/>
      <c r="J2492" s="52" t="n"/>
      <c r="K2492" s="47" t="n"/>
      <c r="L2492" s="47" t="n"/>
      <c r="M2492" s="24">
        <f>IF(OR($A2492="",$C2492=""),"",IF($L2492&lt;&gt;"",$L2492-$C2492,TODAY()-$C2492))</f>
        <v/>
      </c>
      <c r="N2492" s="28">
        <f>IF(OR($A2492="",$K2492=""),"",IF($L2492="",IF(TODAY()&gt;$K2492,"Atrasado","En ruta"),IF($L2492&lt;=$K2492,"Sí","No")))</f>
        <v/>
      </c>
      <c r="O2492" s="24">
        <f>IF($A2492="","",COUNTIFS(NOVEDADES!$D$4:$D$1503,$A2492))</f>
        <v/>
      </c>
      <c r="P2492" s="28">
        <f>IF($A2492="","",IF(COUNTIFS(NOVEDADES!$D$4:$D$1503,$A2492,NOVEDADES!$O$4:$O$1503,"SÍ")&gt;0,"No","Sí"))</f>
        <v/>
      </c>
      <c r="Q2492" s="28">
        <f>IF(OR($A2492="",$L2492=""),"",IF(AND($N2492="Sí",$P2492="Sí"),"OTIF","Falló"))</f>
        <v/>
      </c>
    </row>
    <row r="2493" ht="16" customHeight="1">
      <c r="A2493" s="48" t="n"/>
      <c r="B2493" s="48" t="n"/>
      <c r="C2493" s="47" t="n"/>
      <c r="D2493" s="50" t="n"/>
      <c r="E2493" s="50" t="n"/>
      <c r="F2493" s="50" t="n"/>
      <c r="G2493" s="50" t="n"/>
      <c r="H2493" s="48" t="n"/>
      <c r="I2493" s="51" t="n"/>
      <c r="J2493" s="52" t="n"/>
      <c r="K2493" s="47" t="n"/>
      <c r="L2493" s="47" t="n"/>
      <c r="M2493" s="24">
        <f>IF(OR($A2493="",$C2493=""),"",IF($L2493&lt;&gt;"",$L2493-$C2493,TODAY()-$C2493))</f>
        <v/>
      </c>
      <c r="N2493" s="28">
        <f>IF(OR($A2493="",$K2493=""),"",IF($L2493="",IF(TODAY()&gt;$K2493,"Atrasado","En ruta"),IF($L2493&lt;=$K2493,"Sí","No")))</f>
        <v/>
      </c>
      <c r="O2493" s="24">
        <f>IF($A2493="","",COUNTIFS(NOVEDADES!$D$4:$D$1503,$A2493))</f>
        <v/>
      </c>
      <c r="P2493" s="28">
        <f>IF($A2493="","",IF(COUNTIFS(NOVEDADES!$D$4:$D$1503,$A2493,NOVEDADES!$O$4:$O$1503,"SÍ")&gt;0,"No","Sí"))</f>
        <v/>
      </c>
      <c r="Q2493" s="28">
        <f>IF(OR($A2493="",$L2493=""),"",IF(AND($N2493="Sí",$P2493="Sí"),"OTIF","Falló"))</f>
        <v/>
      </c>
    </row>
    <row r="2494" ht="16" customHeight="1">
      <c r="A2494" s="48" t="n"/>
      <c r="B2494" s="48" t="n"/>
      <c r="C2494" s="47" t="n"/>
      <c r="D2494" s="50" t="n"/>
      <c r="E2494" s="50" t="n"/>
      <c r="F2494" s="50" t="n"/>
      <c r="G2494" s="50" t="n"/>
      <c r="H2494" s="48" t="n"/>
      <c r="I2494" s="51" t="n"/>
      <c r="J2494" s="52" t="n"/>
      <c r="K2494" s="47" t="n"/>
      <c r="L2494" s="47" t="n"/>
      <c r="M2494" s="24">
        <f>IF(OR($A2494="",$C2494=""),"",IF($L2494&lt;&gt;"",$L2494-$C2494,TODAY()-$C2494))</f>
        <v/>
      </c>
      <c r="N2494" s="28">
        <f>IF(OR($A2494="",$K2494=""),"",IF($L2494="",IF(TODAY()&gt;$K2494,"Atrasado","En ruta"),IF($L2494&lt;=$K2494,"Sí","No")))</f>
        <v/>
      </c>
      <c r="O2494" s="24">
        <f>IF($A2494="","",COUNTIFS(NOVEDADES!$D$4:$D$1503,$A2494))</f>
        <v/>
      </c>
      <c r="P2494" s="28">
        <f>IF($A2494="","",IF(COUNTIFS(NOVEDADES!$D$4:$D$1503,$A2494,NOVEDADES!$O$4:$O$1503,"SÍ")&gt;0,"No","Sí"))</f>
        <v/>
      </c>
      <c r="Q2494" s="28">
        <f>IF(OR($A2494="",$L2494=""),"",IF(AND($N2494="Sí",$P2494="Sí"),"OTIF","Falló"))</f>
        <v/>
      </c>
    </row>
    <row r="2495" ht="16" customHeight="1">
      <c r="A2495" s="48" t="n"/>
      <c r="B2495" s="48" t="n"/>
      <c r="C2495" s="47" t="n"/>
      <c r="D2495" s="50" t="n"/>
      <c r="E2495" s="50" t="n"/>
      <c r="F2495" s="50" t="n"/>
      <c r="G2495" s="50" t="n"/>
      <c r="H2495" s="48" t="n"/>
      <c r="I2495" s="51" t="n"/>
      <c r="J2495" s="52" t="n"/>
      <c r="K2495" s="47" t="n"/>
      <c r="L2495" s="47" t="n"/>
      <c r="M2495" s="24">
        <f>IF(OR($A2495="",$C2495=""),"",IF($L2495&lt;&gt;"",$L2495-$C2495,TODAY()-$C2495))</f>
        <v/>
      </c>
      <c r="N2495" s="28">
        <f>IF(OR($A2495="",$K2495=""),"",IF($L2495="",IF(TODAY()&gt;$K2495,"Atrasado","En ruta"),IF($L2495&lt;=$K2495,"Sí","No")))</f>
        <v/>
      </c>
      <c r="O2495" s="24">
        <f>IF($A2495="","",COUNTIFS(NOVEDADES!$D$4:$D$1503,$A2495))</f>
        <v/>
      </c>
      <c r="P2495" s="28">
        <f>IF($A2495="","",IF(COUNTIFS(NOVEDADES!$D$4:$D$1503,$A2495,NOVEDADES!$O$4:$O$1503,"SÍ")&gt;0,"No","Sí"))</f>
        <v/>
      </c>
      <c r="Q2495" s="28">
        <f>IF(OR($A2495="",$L2495=""),"",IF(AND($N2495="Sí",$P2495="Sí"),"OTIF","Falló"))</f>
        <v/>
      </c>
    </row>
    <row r="2496" ht="16" customHeight="1">
      <c r="A2496" s="48" t="n"/>
      <c r="B2496" s="48" t="n"/>
      <c r="C2496" s="47" t="n"/>
      <c r="D2496" s="50" t="n"/>
      <c r="E2496" s="50" t="n"/>
      <c r="F2496" s="50" t="n"/>
      <c r="G2496" s="50" t="n"/>
      <c r="H2496" s="48" t="n"/>
      <c r="I2496" s="51" t="n"/>
      <c r="J2496" s="52" t="n"/>
      <c r="K2496" s="47" t="n"/>
      <c r="L2496" s="47" t="n"/>
      <c r="M2496" s="24">
        <f>IF(OR($A2496="",$C2496=""),"",IF($L2496&lt;&gt;"",$L2496-$C2496,TODAY()-$C2496))</f>
        <v/>
      </c>
      <c r="N2496" s="28">
        <f>IF(OR($A2496="",$K2496=""),"",IF($L2496="",IF(TODAY()&gt;$K2496,"Atrasado","En ruta"),IF($L2496&lt;=$K2496,"Sí","No")))</f>
        <v/>
      </c>
      <c r="O2496" s="24">
        <f>IF($A2496="","",COUNTIFS(NOVEDADES!$D$4:$D$1503,$A2496))</f>
        <v/>
      </c>
      <c r="P2496" s="28">
        <f>IF($A2496="","",IF(COUNTIFS(NOVEDADES!$D$4:$D$1503,$A2496,NOVEDADES!$O$4:$O$1503,"SÍ")&gt;0,"No","Sí"))</f>
        <v/>
      </c>
      <c r="Q2496" s="28">
        <f>IF(OR($A2496="",$L2496=""),"",IF(AND($N2496="Sí",$P2496="Sí"),"OTIF","Falló"))</f>
        <v/>
      </c>
    </row>
    <row r="2497" ht="16" customHeight="1">
      <c r="A2497" s="48" t="n"/>
      <c r="B2497" s="48" t="n"/>
      <c r="C2497" s="47" t="n"/>
      <c r="D2497" s="50" t="n"/>
      <c r="E2497" s="50" t="n"/>
      <c r="F2497" s="50" t="n"/>
      <c r="G2497" s="50" t="n"/>
      <c r="H2497" s="48" t="n"/>
      <c r="I2497" s="51" t="n"/>
      <c r="J2497" s="52" t="n"/>
      <c r="K2497" s="47" t="n"/>
      <c r="L2497" s="47" t="n"/>
      <c r="M2497" s="24">
        <f>IF(OR($A2497="",$C2497=""),"",IF($L2497&lt;&gt;"",$L2497-$C2497,TODAY()-$C2497))</f>
        <v/>
      </c>
      <c r="N2497" s="28">
        <f>IF(OR($A2497="",$K2497=""),"",IF($L2497="",IF(TODAY()&gt;$K2497,"Atrasado","En ruta"),IF($L2497&lt;=$K2497,"Sí","No")))</f>
        <v/>
      </c>
      <c r="O2497" s="24">
        <f>IF($A2497="","",COUNTIFS(NOVEDADES!$D$4:$D$1503,$A2497))</f>
        <v/>
      </c>
      <c r="P2497" s="28">
        <f>IF($A2497="","",IF(COUNTIFS(NOVEDADES!$D$4:$D$1503,$A2497,NOVEDADES!$O$4:$O$1503,"SÍ")&gt;0,"No","Sí"))</f>
        <v/>
      </c>
      <c r="Q2497" s="28">
        <f>IF(OR($A2497="",$L2497=""),"",IF(AND($N2497="Sí",$P2497="Sí"),"OTIF","Falló"))</f>
        <v/>
      </c>
    </row>
    <row r="2498" ht="16" customHeight="1">
      <c r="A2498" s="48" t="n"/>
      <c r="B2498" s="48" t="n"/>
      <c r="C2498" s="47" t="n"/>
      <c r="D2498" s="50" t="n"/>
      <c r="E2498" s="50" t="n"/>
      <c r="F2498" s="50" t="n"/>
      <c r="G2498" s="50" t="n"/>
      <c r="H2498" s="48" t="n"/>
      <c r="I2498" s="51" t="n"/>
      <c r="J2498" s="52" t="n"/>
      <c r="K2498" s="47" t="n"/>
      <c r="L2498" s="47" t="n"/>
      <c r="M2498" s="24">
        <f>IF(OR($A2498="",$C2498=""),"",IF($L2498&lt;&gt;"",$L2498-$C2498,TODAY()-$C2498))</f>
        <v/>
      </c>
      <c r="N2498" s="28">
        <f>IF(OR($A2498="",$K2498=""),"",IF($L2498="",IF(TODAY()&gt;$K2498,"Atrasado","En ruta"),IF($L2498&lt;=$K2498,"Sí","No")))</f>
        <v/>
      </c>
      <c r="O2498" s="24">
        <f>IF($A2498="","",COUNTIFS(NOVEDADES!$D$4:$D$1503,$A2498))</f>
        <v/>
      </c>
      <c r="P2498" s="28">
        <f>IF($A2498="","",IF(COUNTIFS(NOVEDADES!$D$4:$D$1503,$A2498,NOVEDADES!$O$4:$O$1503,"SÍ")&gt;0,"No","Sí"))</f>
        <v/>
      </c>
      <c r="Q2498" s="28">
        <f>IF(OR($A2498="",$L2498=""),"",IF(AND($N2498="Sí",$P2498="Sí"),"OTIF","Falló"))</f>
        <v/>
      </c>
    </row>
    <row r="2499" ht="16" customHeight="1">
      <c r="A2499" s="48" t="n"/>
      <c r="B2499" s="48" t="n"/>
      <c r="C2499" s="47" t="n"/>
      <c r="D2499" s="50" t="n"/>
      <c r="E2499" s="50" t="n"/>
      <c r="F2499" s="50" t="n"/>
      <c r="G2499" s="50" t="n"/>
      <c r="H2499" s="48" t="n"/>
      <c r="I2499" s="51" t="n"/>
      <c r="J2499" s="52" t="n"/>
      <c r="K2499" s="47" t="n"/>
      <c r="L2499" s="47" t="n"/>
      <c r="M2499" s="24">
        <f>IF(OR($A2499="",$C2499=""),"",IF($L2499&lt;&gt;"",$L2499-$C2499,TODAY()-$C2499))</f>
        <v/>
      </c>
      <c r="N2499" s="28">
        <f>IF(OR($A2499="",$K2499=""),"",IF($L2499="",IF(TODAY()&gt;$K2499,"Atrasado","En ruta"),IF($L2499&lt;=$K2499,"Sí","No")))</f>
        <v/>
      </c>
      <c r="O2499" s="24">
        <f>IF($A2499="","",COUNTIFS(NOVEDADES!$D$4:$D$1503,$A2499))</f>
        <v/>
      </c>
      <c r="P2499" s="28">
        <f>IF($A2499="","",IF(COUNTIFS(NOVEDADES!$D$4:$D$1503,$A2499,NOVEDADES!$O$4:$O$1503,"SÍ")&gt;0,"No","Sí"))</f>
        <v/>
      </c>
      <c r="Q2499" s="28">
        <f>IF(OR($A2499="",$L2499=""),"",IF(AND($N2499="Sí",$P2499="Sí"),"OTIF","Falló"))</f>
        <v/>
      </c>
    </row>
    <row r="2500" ht="16" customHeight="1">
      <c r="A2500" s="48" t="n"/>
      <c r="B2500" s="48" t="n"/>
      <c r="C2500" s="47" t="n"/>
      <c r="D2500" s="50" t="n"/>
      <c r="E2500" s="50" t="n"/>
      <c r="F2500" s="50" t="n"/>
      <c r="G2500" s="50" t="n"/>
      <c r="H2500" s="48" t="n"/>
      <c r="I2500" s="51" t="n"/>
      <c r="J2500" s="52" t="n"/>
      <c r="K2500" s="47" t="n"/>
      <c r="L2500" s="47" t="n"/>
      <c r="M2500" s="24">
        <f>IF(OR($A2500="",$C2500=""),"",IF($L2500&lt;&gt;"",$L2500-$C2500,TODAY()-$C2500))</f>
        <v/>
      </c>
      <c r="N2500" s="28">
        <f>IF(OR($A2500="",$K2500=""),"",IF($L2500="",IF(TODAY()&gt;$K2500,"Atrasado","En ruta"),IF($L2500&lt;=$K2500,"Sí","No")))</f>
        <v/>
      </c>
      <c r="O2500" s="24">
        <f>IF($A2500="","",COUNTIFS(NOVEDADES!$D$4:$D$1503,$A2500))</f>
        <v/>
      </c>
      <c r="P2500" s="28">
        <f>IF($A2500="","",IF(COUNTIFS(NOVEDADES!$D$4:$D$1503,$A2500,NOVEDADES!$O$4:$O$1503,"SÍ")&gt;0,"No","Sí"))</f>
        <v/>
      </c>
      <c r="Q2500" s="28">
        <f>IF(OR($A2500="",$L2500=""),"",IF(AND($N2500="Sí",$P2500="Sí"),"OTIF","Falló"))</f>
        <v/>
      </c>
    </row>
    <row r="2501" ht="16" customHeight="1">
      <c r="A2501" s="48" t="n"/>
      <c r="B2501" s="48" t="n"/>
      <c r="C2501" s="47" t="n"/>
      <c r="D2501" s="50" t="n"/>
      <c r="E2501" s="50" t="n"/>
      <c r="F2501" s="50" t="n"/>
      <c r="G2501" s="50" t="n"/>
      <c r="H2501" s="48" t="n"/>
      <c r="I2501" s="51" t="n"/>
      <c r="J2501" s="52" t="n"/>
      <c r="K2501" s="47" t="n"/>
      <c r="L2501" s="47" t="n"/>
      <c r="M2501" s="24">
        <f>IF(OR($A2501="",$C2501=""),"",IF($L2501&lt;&gt;"",$L2501-$C2501,TODAY()-$C2501))</f>
        <v/>
      </c>
      <c r="N2501" s="28">
        <f>IF(OR($A2501="",$K2501=""),"",IF($L2501="",IF(TODAY()&gt;$K2501,"Atrasado","En ruta"),IF($L2501&lt;=$K2501,"Sí","No")))</f>
        <v/>
      </c>
      <c r="O2501" s="24">
        <f>IF($A2501="","",COUNTIFS(NOVEDADES!$D$4:$D$1503,$A2501))</f>
        <v/>
      </c>
      <c r="P2501" s="28">
        <f>IF($A2501="","",IF(COUNTIFS(NOVEDADES!$D$4:$D$1503,$A2501,NOVEDADES!$O$4:$O$1503,"SÍ")&gt;0,"No","Sí"))</f>
        <v/>
      </c>
      <c r="Q2501" s="28">
        <f>IF(OR($A2501="",$L2501=""),"",IF(AND($N2501="Sí",$P2501="Sí"),"OTIF","Falló"))</f>
        <v/>
      </c>
    </row>
    <row r="2502" ht="16" customHeight="1">
      <c r="A2502" s="48" t="n"/>
      <c r="B2502" s="48" t="n"/>
      <c r="C2502" s="47" t="n"/>
      <c r="D2502" s="50" t="n"/>
      <c r="E2502" s="50" t="n"/>
      <c r="F2502" s="50" t="n"/>
      <c r="G2502" s="50" t="n"/>
      <c r="H2502" s="48" t="n"/>
      <c r="I2502" s="51" t="n"/>
      <c r="J2502" s="52" t="n"/>
      <c r="K2502" s="47" t="n"/>
      <c r="L2502" s="47" t="n"/>
      <c r="M2502" s="24">
        <f>IF(OR($A2502="",$C2502=""),"",IF($L2502&lt;&gt;"",$L2502-$C2502,TODAY()-$C2502))</f>
        <v/>
      </c>
      <c r="N2502" s="28">
        <f>IF(OR($A2502="",$K2502=""),"",IF($L2502="",IF(TODAY()&gt;$K2502,"Atrasado","En ruta"),IF($L2502&lt;=$K2502,"Sí","No")))</f>
        <v/>
      </c>
      <c r="O2502" s="24">
        <f>IF($A2502="","",COUNTIFS(NOVEDADES!$D$4:$D$1503,$A2502))</f>
        <v/>
      </c>
      <c r="P2502" s="28">
        <f>IF($A2502="","",IF(COUNTIFS(NOVEDADES!$D$4:$D$1503,$A2502,NOVEDADES!$O$4:$O$1503,"SÍ")&gt;0,"No","Sí"))</f>
        <v/>
      </c>
      <c r="Q2502" s="28">
        <f>IF(OR($A2502="",$L2502=""),"",IF(AND($N2502="Sí",$P2502="Sí"),"OTIF","Falló"))</f>
        <v/>
      </c>
    </row>
    <row r="2503" ht="16" customHeight="1">
      <c r="A2503" s="48" t="n"/>
      <c r="B2503" s="48" t="n"/>
      <c r="C2503" s="47" t="n"/>
      <c r="D2503" s="50" t="n"/>
      <c r="E2503" s="50" t="n"/>
      <c r="F2503" s="50" t="n"/>
      <c r="G2503" s="50" t="n"/>
      <c r="H2503" s="48" t="n"/>
      <c r="I2503" s="51" t="n"/>
      <c r="J2503" s="52" t="n"/>
      <c r="K2503" s="47" t="n"/>
      <c r="L2503" s="47" t="n"/>
      <c r="M2503" s="24">
        <f>IF(OR($A2503="",$C2503=""),"",IF($L2503&lt;&gt;"",$L2503-$C2503,TODAY()-$C2503))</f>
        <v/>
      </c>
      <c r="N2503" s="28">
        <f>IF(OR($A2503="",$K2503=""),"",IF($L2503="",IF(TODAY()&gt;$K2503,"Atrasado","En ruta"),IF($L2503&lt;=$K2503,"Sí","No")))</f>
        <v/>
      </c>
      <c r="O2503" s="24">
        <f>IF($A2503="","",COUNTIFS(NOVEDADES!$D$4:$D$1503,$A2503))</f>
        <v/>
      </c>
      <c r="P2503" s="28">
        <f>IF($A2503="","",IF(COUNTIFS(NOVEDADES!$D$4:$D$1503,$A2503,NOVEDADES!$O$4:$O$1503,"SÍ")&gt;0,"No","Sí"))</f>
        <v/>
      </c>
      <c r="Q2503" s="28">
        <f>IF(OR($A2503="",$L2503=""),"",IF(AND($N2503="Sí",$P2503="Sí"),"OTIF","Falló"))</f>
        <v/>
      </c>
    </row>
    <row r="2504" ht="16" customHeight="1">
      <c r="A2504" s="48" t="n"/>
      <c r="B2504" s="48" t="n"/>
      <c r="C2504" s="47" t="n"/>
      <c r="D2504" s="50" t="n"/>
      <c r="E2504" s="50" t="n"/>
      <c r="F2504" s="50" t="n"/>
      <c r="G2504" s="50" t="n"/>
      <c r="H2504" s="48" t="n"/>
      <c r="I2504" s="51" t="n"/>
      <c r="J2504" s="52" t="n"/>
      <c r="K2504" s="47" t="n"/>
      <c r="L2504" s="47" t="n"/>
      <c r="M2504" s="24">
        <f>IF(OR($A2504="",$C2504=""),"",IF($L2504&lt;&gt;"",$L2504-$C2504,TODAY()-$C2504))</f>
        <v/>
      </c>
      <c r="N2504" s="28">
        <f>IF(OR($A2504="",$K2504=""),"",IF($L2504="",IF(TODAY()&gt;$K2504,"Atrasado","En ruta"),IF($L2504&lt;=$K2504,"Sí","No")))</f>
        <v/>
      </c>
      <c r="O2504" s="24">
        <f>IF($A2504="","",COUNTIFS(NOVEDADES!$D$4:$D$1503,$A2504))</f>
        <v/>
      </c>
      <c r="P2504" s="28">
        <f>IF($A2504="","",IF(COUNTIFS(NOVEDADES!$D$4:$D$1503,$A2504,NOVEDADES!$O$4:$O$1503,"SÍ")&gt;0,"No","Sí"))</f>
        <v/>
      </c>
      <c r="Q2504" s="28">
        <f>IF(OR($A2504="",$L2504=""),"",IF(AND($N2504="Sí",$P2504="Sí"),"OTIF","Falló"))</f>
        <v/>
      </c>
    </row>
    <row r="2505" ht="16" customHeight="1">
      <c r="A2505" s="48" t="n"/>
      <c r="B2505" s="48" t="n"/>
      <c r="C2505" s="47" t="n"/>
      <c r="D2505" s="50" t="n"/>
      <c r="E2505" s="50" t="n"/>
      <c r="F2505" s="50" t="n"/>
      <c r="G2505" s="50" t="n"/>
      <c r="H2505" s="48" t="n"/>
      <c r="I2505" s="51" t="n"/>
      <c r="J2505" s="52" t="n"/>
      <c r="K2505" s="47" t="n"/>
      <c r="L2505" s="47" t="n"/>
      <c r="M2505" s="24">
        <f>IF(OR($A2505="",$C2505=""),"",IF($L2505&lt;&gt;"",$L2505-$C2505,TODAY()-$C2505))</f>
        <v/>
      </c>
      <c r="N2505" s="28">
        <f>IF(OR($A2505="",$K2505=""),"",IF($L2505="",IF(TODAY()&gt;$K2505,"Atrasado","En ruta"),IF($L2505&lt;=$K2505,"Sí","No")))</f>
        <v/>
      </c>
      <c r="O2505" s="24">
        <f>IF($A2505="","",COUNTIFS(NOVEDADES!$D$4:$D$1503,$A2505))</f>
        <v/>
      </c>
      <c r="P2505" s="28">
        <f>IF($A2505="","",IF(COUNTIFS(NOVEDADES!$D$4:$D$1503,$A2505,NOVEDADES!$O$4:$O$1503,"SÍ")&gt;0,"No","Sí"))</f>
        <v/>
      </c>
      <c r="Q2505" s="28">
        <f>IF(OR($A2505="",$L2505=""),"",IF(AND($N2505="Sí",$P2505="Sí"),"OTIF","Falló"))</f>
        <v/>
      </c>
    </row>
    <row r="2506" ht="16" customHeight="1">
      <c r="A2506" s="48" t="n"/>
      <c r="B2506" s="48" t="n"/>
      <c r="C2506" s="47" t="n"/>
      <c r="D2506" s="50" t="n"/>
      <c r="E2506" s="50" t="n"/>
      <c r="F2506" s="50" t="n"/>
      <c r="G2506" s="50" t="n"/>
      <c r="H2506" s="48" t="n"/>
      <c r="I2506" s="51" t="n"/>
      <c r="J2506" s="52" t="n"/>
      <c r="K2506" s="47" t="n"/>
      <c r="L2506" s="47" t="n"/>
      <c r="M2506" s="24">
        <f>IF(OR($A2506="",$C2506=""),"",IF($L2506&lt;&gt;"",$L2506-$C2506,TODAY()-$C2506))</f>
        <v/>
      </c>
      <c r="N2506" s="28">
        <f>IF(OR($A2506="",$K2506=""),"",IF($L2506="",IF(TODAY()&gt;$K2506,"Atrasado","En ruta"),IF($L2506&lt;=$K2506,"Sí","No")))</f>
        <v/>
      </c>
      <c r="O2506" s="24">
        <f>IF($A2506="","",COUNTIFS(NOVEDADES!$D$4:$D$1503,$A2506))</f>
        <v/>
      </c>
      <c r="P2506" s="28">
        <f>IF($A2506="","",IF(COUNTIFS(NOVEDADES!$D$4:$D$1503,$A2506,NOVEDADES!$O$4:$O$1503,"SÍ")&gt;0,"No","Sí"))</f>
        <v/>
      </c>
      <c r="Q2506" s="28">
        <f>IF(OR($A2506="",$L2506=""),"",IF(AND($N2506="Sí",$P2506="Sí"),"OTIF","Falló"))</f>
        <v/>
      </c>
    </row>
    <row r="2507" ht="16" customHeight="1">
      <c r="A2507" s="48" t="n"/>
      <c r="B2507" s="48" t="n"/>
      <c r="C2507" s="47" t="n"/>
      <c r="D2507" s="50" t="n"/>
      <c r="E2507" s="50" t="n"/>
      <c r="F2507" s="50" t="n"/>
      <c r="G2507" s="50" t="n"/>
      <c r="H2507" s="48" t="n"/>
      <c r="I2507" s="51" t="n"/>
      <c r="J2507" s="52" t="n"/>
      <c r="K2507" s="47" t="n"/>
      <c r="L2507" s="47" t="n"/>
      <c r="M2507" s="24">
        <f>IF(OR($A2507="",$C2507=""),"",IF($L2507&lt;&gt;"",$L2507-$C2507,TODAY()-$C2507))</f>
        <v/>
      </c>
      <c r="N2507" s="28">
        <f>IF(OR($A2507="",$K2507=""),"",IF($L2507="",IF(TODAY()&gt;$K2507,"Atrasado","En ruta"),IF($L2507&lt;=$K2507,"Sí","No")))</f>
        <v/>
      </c>
      <c r="O2507" s="24">
        <f>IF($A2507="","",COUNTIFS(NOVEDADES!$D$4:$D$1503,$A2507))</f>
        <v/>
      </c>
      <c r="P2507" s="28">
        <f>IF($A2507="","",IF(COUNTIFS(NOVEDADES!$D$4:$D$1503,$A2507,NOVEDADES!$O$4:$O$1503,"SÍ")&gt;0,"No","Sí"))</f>
        <v/>
      </c>
      <c r="Q2507" s="28">
        <f>IF(OR($A2507="",$L2507=""),"",IF(AND($N2507="Sí",$P2507="Sí"),"OTIF","Falló"))</f>
        <v/>
      </c>
    </row>
    <row r="2508" ht="16" customHeight="1">
      <c r="A2508" s="48" t="n"/>
      <c r="B2508" s="48" t="n"/>
      <c r="C2508" s="47" t="n"/>
      <c r="D2508" s="50" t="n"/>
      <c r="E2508" s="50" t="n"/>
      <c r="F2508" s="50" t="n"/>
      <c r="G2508" s="50" t="n"/>
      <c r="H2508" s="48" t="n"/>
      <c r="I2508" s="51" t="n"/>
      <c r="J2508" s="52" t="n"/>
      <c r="K2508" s="47" t="n"/>
      <c r="L2508" s="47" t="n"/>
      <c r="M2508" s="24">
        <f>IF(OR($A2508="",$C2508=""),"",IF($L2508&lt;&gt;"",$L2508-$C2508,TODAY()-$C2508))</f>
        <v/>
      </c>
      <c r="N2508" s="28">
        <f>IF(OR($A2508="",$K2508=""),"",IF($L2508="",IF(TODAY()&gt;$K2508,"Atrasado","En ruta"),IF($L2508&lt;=$K2508,"Sí","No")))</f>
        <v/>
      </c>
      <c r="O2508" s="24">
        <f>IF($A2508="","",COUNTIFS(NOVEDADES!$D$4:$D$1503,$A2508))</f>
        <v/>
      </c>
      <c r="P2508" s="28">
        <f>IF($A2508="","",IF(COUNTIFS(NOVEDADES!$D$4:$D$1503,$A2508,NOVEDADES!$O$4:$O$1503,"SÍ")&gt;0,"No","Sí"))</f>
        <v/>
      </c>
      <c r="Q2508" s="28">
        <f>IF(OR($A2508="",$L2508=""),"",IF(AND($N2508="Sí",$P2508="Sí"),"OTIF","Falló"))</f>
        <v/>
      </c>
    </row>
    <row r="2509" ht="16" customHeight="1">
      <c r="A2509" s="48" t="n"/>
      <c r="B2509" s="48" t="n"/>
      <c r="C2509" s="47" t="n"/>
      <c r="D2509" s="50" t="n"/>
      <c r="E2509" s="50" t="n"/>
      <c r="F2509" s="50" t="n"/>
      <c r="G2509" s="50" t="n"/>
      <c r="H2509" s="48" t="n"/>
      <c r="I2509" s="51" t="n"/>
      <c r="J2509" s="52" t="n"/>
      <c r="K2509" s="47" t="n"/>
      <c r="L2509" s="47" t="n"/>
      <c r="M2509" s="24">
        <f>IF(OR($A2509="",$C2509=""),"",IF($L2509&lt;&gt;"",$L2509-$C2509,TODAY()-$C2509))</f>
        <v/>
      </c>
      <c r="N2509" s="28">
        <f>IF(OR($A2509="",$K2509=""),"",IF($L2509="",IF(TODAY()&gt;$K2509,"Atrasado","En ruta"),IF($L2509&lt;=$K2509,"Sí","No")))</f>
        <v/>
      </c>
      <c r="O2509" s="24">
        <f>IF($A2509="","",COUNTIFS(NOVEDADES!$D$4:$D$1503,$A2509))</f>
        <v/>
      </c>
      <c r="P2509" s="28">
        <f>IF($A2509="","",IF(COUNTIFS(NOVEDADES!$D$4:$D$1503,$A2509,NOVEDADES!$O$4:$O$1503,"SÍ")&gt;0,"No","Sí"))</f>
        <v/>
      </c>
      <c r="Q2509" s="28">
        <f>IF(OR($A2509="",$L2509=""),"",IF(AND($N2509="Sí",$P2509="Sí"),"OTIF","Falló"))</f>
        <v/>
      </c>
    </row>
    <row r="2510" ht="16" customHeight="1">
      <c r="A2510" s="48" t="n"/>
      <c r="B2510" s="48" t="n"/>
      <c r="C2510" s="47" t="n"/>
      <c r="D2510" s="50" t="n"/>
      <c r="E2510" s="50" t="n"/>
      <c r="F2510" s="50" t="n"/>
      <c r="G2510" s="50" t="n"/>
      <c r="H2510" s="48" t="n"/>
      <c r="I2510" s="51" t="n"/>
      <c r="J2510" s="52" t="n"/>
      <c r="K2510" s="47" t="n"/>
      <c r="L2510" s="47" t="n"/>
      <c r="M2510" s="24">
        <f>IF(OR($A2510="",$C2510=""),"",IF($L2510&lt;&gt;"",$L2510-$C2510,TODAY()-$C2510))</f>
        <v/>
      </c>
      <c r="N2510" s="28">
        <f>IF(OR($A2510="",$K2510=""),"",IF($L2510="",IF(TODAY()&gt;$K2510,"Atrasado","En ruta"),IF($L2510&lt;=$K2510,"Sí","No")))</f>
        <v/>
      </c>
      <c r="O2510" s="24">
        <f>IF($A2510="","",COUNTIFS(NOVEDADES!$D$4:$D$1503,$A2510))</f>
        <v/>
      </c>
      <c r="P2510" s="28">
        <f>IF($A2510="","",IF(COUNTIFS(NOVEDADES!$D$4:$D$1503,$A2510,NOVEDADES!$O$4:$O$1503,"SÍ")&gt;0,"No","Sí"))</f>
        <v/>
      </c>
      <c r="Q2510" s="28">
        <f>IF(OR($A2510="",$L2510=""),"",IF(AND($N2510="Sí",$P2510="Sí"),"OTIF","Falló"))</f>
        <v/>
      </c>
    </row>
    <row r="2511" ht="16" customHeight="1">
      <c r="A2511" s="48" t="n"/>
      <c r="B2511" s="48" t="n"/>
      <c r="C2511" s="47" t="n"/>
      <c r="D2511" s="50" t="n"/>
      <c r="E2511" s="50" t="n"/>
      <c r="F2511" s="50" t="n"/>
      <c r="G2511" s="50" t="n"/>
      <c r="H2511" s="48" t="n"/>
      <c r="I2511" s="51" t="n"/>
      <c r="J2511" s="52" t="n"/>
      <c r="K2511" s="47" t="n"/>
      <c r="L2511" s="47" t="n"/>
      <c r="M2511" s="24">
        <f>IF(OR($A2511="",$C2511=""),"",IF($L2511&lt;&gt;"",$L2511-$C2511,TODAY()-$C2511))</f>
        <v/>
      </c>
      <c r="N2511" s="28">
        <f>IF(OR($A2511="",$K2511=""),"",IF($L2511="",IF(TODAY()&gt;$K2511,"Atrasado","En ruta"),IF($L2511&lt;=$K2511,"Sí","No")))</f>
        <v/>
      </c>
      <c r="O2511" s="24">
        <f>IF($A2511="","",COUNTIFS(NOVEDADES!$D$4:$D$1503,$A2511))</f>
        <v/>
      </c>
      <c r="P2511" s="28">
        <f>IF($A2511="","",IF(COUNTIFS(NOVEDADES!$D$4:$D$1503,$A2511,NOVEDADES!$O$4:$O$1503,"SÍ")&gt;0,"No","Sí"))</f>
        <v/>
      </c>
      <c r="Q2511" s="28">
        <f>IF(OR($A2511="",$L2511=""),"",IF(AND($N2511="Sí",$P2511="Sí"),"OTIF","Falló"))</f>
        <v/>
      </c>
    </row>
    <row r="2512" ht="16" customHeight="1">
      <c r="A2512" s="48" t="n"/>
      <c r="B2512" s="48" t="n"/>
      <c r="C2512" s="47" t="n"/>
      <c r="D2512" s="50" t="n"/>
      <c r="E2512" s="50" t="n"/>
      <c r="F2512" s="50" t="n"/>
      <c r="G2512" s="50" t="n"/>
      <c r="H2512" s="48" t="n"/>
      <c r="I2512" s="51" t="n"/>
      <c r="J2512" s="52" t="n"/>
      <c r="K2512" s="47" t="n"/>
      <c r="L2512" s="47" t="n"/>
      <c r="M2512" s="24">
        <f>IF(OR($A2512="",$C2512=""),"",IF($L2512&lt;&gt;"",$L2512-$C2512,TODAY()-$C2512))</f>
        <v/>
      </c>
      <c r="N2512" s="28">
        <f>IF(OR($A2512="",$K2512=""),"",IF($L2512="",IF(TODAY()&gt;$K2512,"Atrasado","En ruta"),IF($L2512&lt;=$K2512,"Sí","No")))</f>
        <v/>
      </c>
      <c r="O2512" s="24">
        <f>IF($A2512="","",COUNTIFS(NOVEDADES!$D$4:$D$1503,$A2512))</f>
        <v/>
      </c>
      <c r="P2512" s="28">
        <f>IF($A2512="","",IF(COUNTIFS(NOVEDADES!$D$4:$D$1503,$A2512,NOVEDADES!$O$4:$O$1503,"SÍ")&gt;0,"No","Sí"))</f>
        <v/>
      </c>
      <c r="Q2512" s="28">
        <f>IF(OR($A2512="",$L2512=""),"",IF(AND($N2512="Sí",$P2512="Sí"),"OTIF","Falló"))</f>
        <v/>
      </c>
    </row>
    <row r="2513" ht="16" customHeight="1">
      <c r="A2513" s="48" t="n"/>
      <c r="B2513" s="48" t="n"/>
      <c r="C2513" s="47" t="n"/>
      <c r="D2513" s="50" t="n"/>
      <c r="E2513" s="50" t="n"/>
      <c r="F2513" s="50" t="n"/>
      <c r="G2513" s="50" t="n"/>
      <c r="H2513" s="48" t="n"/>
      <c r="I2513" s="51" t="n"/>
      <c r="J2513" s="52" t="n"/>
      <c r="K2513" s="47" t="n"/>
      <c r="L2513" s="47" t="n"/>
      <c r="M2513" s="24">
        <f>IF(OR($A2513="",$C2513=""),"",IF($L2513&lt;&gt;"",$L2513-$C2513,TODAY()-$C2513))</f>
        <v/>
      </c>
      <c r="N2513" s="28">
        <f>IF(OR($A2513="",$K2513=""),"",IF($L2513="",IF(TODAY()&gt;$K2513,"Atrasado","En ruta"),IF($L2513&lt;=$K2513,"Sí","No")))</f>
        <v/>
      </c>
      <c r="O2513" s="24">
        <f>IF($A2513="","",COUNTIFS(NOVEDADES!$D$4:$D$1503,$A2513))</f>
        <v/>
      </c>
      <c r="P2513" s="28">
        <f>IF($A2513="","",IF(COUNTIFS(NOVEDADES!$D$4:$D$1503,$A2513,NOVEDADES!$O$4:$O$1503,"SÍ")&gt;0,"No","Sí"))</f>
        <v/>
      </c>
      <c r="Q2513" s="28">
        <f>IF(OR($A2513="",$L2513=""),"",IF(AND($N2513="Sí",$P2513="Sí"),"OTIF","Falló"))</f>
        <v/>
      </c>
    </row>
    <row r="2514" ht="16" customHeight="1">
      <c r="A2514" s="48" t="n"/>
      <c r="B2514" s="48" t="n"/>
      <c r="C2514" s="47" t="n"/>
      <c r="D2514" s="50" t="n"/>
      <c r="E2514" s="50" t="n"/>
      <c r="F2514" s="50" t="n"/>
      <c r="G2514" s="50" t="n"/>
      <c r="H2514" s="48" t="n"/>
      <c r="I2514" s="51" t="n"/>
      <c r="J2514" s="52" t="n"/>
      <c r="K2514" s="47" t="n"/>
      <c r="L2514" s="47" t="n"/>
      <c r="M2514" s="24">
        <f>IF(OR($A2514="",$C2514=""),"",IF($L2514&lt;&gt;"",$L2514-$C2514,TODAY()-$C2514))</f>
        <v/>
      </c>
      <c r="N2514" s="28">
        <f>IF(OR($A2514="",$K2514=""),"",IF($L2514="",IF(TODAY()&gt;$K2514,"Atrasado","En ruta"),IF($L2514&lt;=$K2514,"Sí","No")))</f>
        <v/>
      </c>
      <c r="O2514" s="24">
        <f>IF($A2514="","",COUNTIFS(NOVEDADES!$D$4:$D$1503,$A2514))</f>
        <v/>
      </c>
      <c r="P2514" s="28">
        <f>IF($A2514="","",IF(COUNTIFS(NOVEDADES!$D$4:$D$1503,$A2514,NOVEDADES!$O$4:$O$1503,"SÍ")&gt;0,"No","Sí"))</f>
        <v/>
      </c>
      <c r="Q2514" s="28">
        <f>IF(OR($A2514="",$L2514=""),"",IF(AND($N2514="Sí",$P2514="Sí"),"OTIF","Falló"))</f>
        <v/>
      </c>
    </row>
    <row r="2515" ht="16" customHeight="1">
      <c r="A2515" s="48" t="n"/>
      <c r="B2515" s="48" t="n"/>
      <c r="C2515" s="47" t="n"/>
      <c r="D2515" s="50" t="n"/>
      <c r="E2515" s="50" t="n"/>
      <c r="F2515" s="50" t="n"/>
      <c r="G2515" s="50" t="n"/>
      <c r="H2515" s="48" t="n"/>
      <c r="I2515" s="51" t="n"/>
      <c r="J2515" s="52" t="n"/>
      <c r="K2515" s="47" t="n"/>
      <c r="L2515" s="47" t="n"/>
      <c r="M2515" s="24">
        <f>IF(OR($A2515="",$C2515=""),"",IF($L2515&lt;&gt;"",$L2515-$C2515,TODAY()-$C2515))</f>
        <v/>
      </c>
      <c r="N2515" s="28">
        <f>IF(OR($A2515="",$K2515=""),"",IF($L2515="",IF(TODAY()&gt;$K2515,"Atrasado","En ruta"),IF($L2515&lt;=$K2515,"Sí","No")))</f>
        <v/>
      </c>
      <c r="O2515" s="24">
        <f>IF($A2515="","",COUNTIFS(NOVEDADES!$D$4:$D$1503,$A2515))</f>
        <v/>
      </c>
      <c r="P2515" s="28">
        <f>IF($A2515="","",IF(COUNTIFS(NOVEDADES!$D$4:$D$1503,$A2515,NOVEDADES!$O$4:$O$1503,"SÍ")&gt;0,"No","Sí"))</f>
        <v/>
      </c>
      <c r="Q2515" s="28">
        <f>IF(OR($A2515="",$L2515=""),"",IF(AND($N2515="Sí",$P2515="Sí"),"OTIF","Falló"))</f>
        <v/>
      </c>
    </row>
    <row r="2516" ht="16" customHeight="1">
      <c r="A2516" s="48" t="n"/>
      <c r="B2516" s="48" t="n"/>
      <c r="C2516" s="47" t="n"/>
      <c r="D2516" s="50" t="n"/>
      <c r="E2516" s="50" t="n"/>
      <c r="F2516" s="50" t="n"/>
      <c r="G2516" s="50" t="n"/>
      <c r="H2516" s="48" t="n"/>
      <c r="I2516" s="51" t="n"/>
      <c r="J2516" s="52" t="n"/>
      <c r="K2516" s="47" t="n"/>
      <c r="L2516" s="47" t="n"/>
      <c r="M2516" s="24">
        <f>IF(OR($A2516="",$C2516=""),"",IF($L2516&lt;&gt;"",$L2516-$C2516,TODAY()-$C2516))</f>
        <v/>
      </c>
      <c r="N2516" s="28">
        <f>IF(OR($A2516="",$K2516=""),"",IF($L2516="",IF(TODAY()&gt;$K2516,"Atrasado","En ruta"),IF($L2516&lt;=$K2516,"Sí","No")))</f>
        <v/>
      </c>
      <c r="O2516" s="24">
        <f>IF($A2516="","",COUNTIFS(NOVEDADES!$D$4:$D$1503,$A2516))</f>
        <v/>
      </c>
      <c r="P2516" s="28">
        <f>IF($A2516="","",IF(COUNTIFS(NOVEDADES!$D$4:$D$1503,$A2516,NOVEDADES!$O$4:$O$1503,"SÍ")&gt;0,"No","Sí"))</f>
        <v/>
      </c>
      <c r="Q2516" s="28">
        <f>IF(OR($A2516="",$L2516=""),"",IF(AND($N2516="Sí",$P2516="Sí"),"OTIF","Falló"))</f>
        <v/>
      </c>
    </row>
    <row r="2517" ht="16" customHeight="1">
      <c r="A2517" s="48" t="n"/>
      <c r="B2517" s="48" t="n"/>
      <c r="C2517" s="47" t="n"/>
      <c r="D2517" s="50" t="n"/>
      <c r="E2517" s="50" t="n"/>
      <c r="F2517" s="50" t="n"/>
      <c r="G2517" s="50" t="n"/>
      <c r="H2517" s="48" t="n"/>
      <c r="I2517" s="51" t="n"/>
      <c r="J2517" s="52" t="n"/>
      <c r="K2517" s="47" t="n"/>
      <c r="L2517" s="47" t="n"/>
      <c r="M2517" s="24">
        <f>IF(OR($A2517="",$C2517=""),"",IF($L2517&lt;&gt;"",$L2517-$C2517,TODAY()-$C2517))</f>
        <v/>
      </c>
      <c r="N2517" s="28">
        <f>IF(OR($A2517="",$K2517=""),"",IF($L2517="",IF(TODAY()&gt;$K2517,"Atrasado","En ruta"),IF($L2517&lt;=$K2517,"Sí","No")))</f>
        <v/>
      </c>
      <c r="O2517" s="24">
        <f>IF($A2517="","",COUNTIFS(NOVEDADES!$D$4:$D$1503,$A2517))</f>
        <v/>
      </c>
      <c r="P2517" s="28">
        <f>IF($A2517="","",IF(COUNTIFS(NOVEDADES!$D$4:$D$1503,$A2517,NOVEDADES!$O$4:$O$1503,"SÍ")&gt;0,"No","Sí"))</f>
        <v/>
      </c>
      <c r="Q2517" s="28">
        <f>IF(OR($A2517="",$L2517=""),"",IF(AND($N2517="Sí",$P2517="Sí"),"OTIF","Falló"))</f>
        <v/>
      </c>
    </row>
    <row r="2518" ht="16" customHeight="1">
      <c r="A2518" s="48" t="n"/>
      <c r="B2518" s="48" t="n"/>
      <c r="C2518" s="47" t="n"/>
      <c r="D2518" s="50" t="n"/>
      <c r="E2518" s="50" t="n"/>
      <c r="F2518" s="50" t="n"/>
      <c r="G2518" s="50" t="n"/>
      <c r="H2518" s="48" t="n"/>
      <c r="I2518" s="51" t="n"/>
      <c r="J2518" s="52" t="n"/>
      <c r="K2518" s="47" t="n"/>
      <c r="L2518" s="47" t="n"/>
      <c r="M2518" s="24">
        <f>IF(OR($A2518="",$C2518=""),"",IF($L2518&lt;&gt;"",$L2518-$C2518,TODAY()-$C2518))</f>
        <v/>
      </c>
      <c r="N2518" s="28">
        <f>IF(OR($A2518="",$K2518=""),"",IF($L2518="",IF(TODAY()&gt;$K2518,"Atrasado","En ruta"),IF($L2518&lt;=$K2518,"Sí","No")))</f>
        <v/>
      </c>
      <c r="O2518" s="24">
        <f>IF($A2518="","",COUNTIFS(NOVEDADES!$D$4:$D$1503,$A2518))</f>
        <v/>
      </c>
      <c r="P2518" s="28">
        <f>IF($A2518="","",IF(COUNTIFS(NOVEDADES!$D$4:$D$1503,$A2518,NOVEDADES!$O$4:$O$1503,"SÍ")&gt;0,"No","Sí"))</f>
        <v/>
      </c>
      <c r="Q2518" s="28">
        <f>IF(OR($A2518="",$L2518=""),"",IF(AND($N2518="Sí",$P2518="Sí"),"OTIF","Falló"))</f>
        <v/>
      </c>
    </row>
    <row r="2519" ht="16" customHeight="1">
      <c r="A2519" s="48" t="n"/>
      <c r="B2519" s="48" t="n"/>
      <c r="C2519" s="47" t="n"/>
      <c r="D2519" s="50" t="n"/>
      <c r="E2519" s="50" t="n"/>
      <c r="F2519" s="50" t="n"/>
      <c r="G2519" s="50" t="n"/>
      <c r="H2519" s="48" t="n"/>
      <c r="I2519" s="51" t="n"/>
      <c r="J2519" s="52" t="n"/>
      <c r="K2519" s="47" t="n"/>
      <c r="L2519" s="47" t="n"/>
      <c r="M2519" s="24">
        <f>IF(OR($A2519="",$C2519=""),"",IF($L2519&lt;&gt;"",$L2519-$C2519,TODAY()-$C2519))</f>
        <v/>
      </c>
      <c r="N2519" s="28">
        <f>IF(OR($A2519="",$K2519=""),"",IF($L2519="",IF(TODAY()&gt;$K2519,"Atrasado","En ruta"),IF($L2519&lt;=$K2519,"Sí","No")))</f>
        <v/>
      </c>
      <c r="O2519" s="24">
        <f>IF($A2519="","",COUNTIFS(NOVEDADES!$D$4:$D$1503,$A2519))</f>
        <v/>
      </c>
      <c r="P2519" s="28">
        <f>IF($A2519="","",IF(COUNTIFS(NOVEDADES!$D$4:$D$1503,$A2519,NOVEDADES!$O$4:$O$1503,"SÍ")&gt;0,"No","Sí"))</f>
        <v/>
      </c>
      <c r="Q2519" s="28">
        <f>IF(OR($A2519="",$L2519=""),"",IF(AND($N2519="Sí",$P2519="Sí"),"OTIF","Falló"))</f>
        <v/>
      </c>
    </row>
    <row r="2520" ht="16" customHeight="1">
      <c r="A2520" s="48" t="n"/>
      <c r="B2520" s="48" t="n"/>
      <c r="C2520" s="47" t="n"/>
      <c r="D2520" s="50" t="n"/>
      <c r="E2520" s="50" t="n"/>
      <c r="F2520" s="50" t="n"/>
      <c r="G2520" s="50" t="n"/>
      <c r="H2520" s="48" t="n"/>
      <c r="I2520" s="51" t="n"/>
      <c r="J2520" s="52" t="n"/>
      <c r="K2520" s="47" t="n"/>
      <c r="L2520" s="47" t="n"/>
      <c r="M2520" s="24">
        <f>IF(OR($A2520="",$C2520=""),"",IF($L2520&lt;&gt;"",$L2520-$C2520,TODAY()-$C2520))</f>
        <v/>
      </c>
      <c r="N2520" s="28">
        <f>IF(OR($A2520="",$K2520=""),"",IF($L2520="",IF(TODAY()&gt;$K2520,"Atrasado","En ruta"),IF($L2520&lt;=$K2520,"Sí","No")))</f>
        <v/>
      </c>
      <c r="O2520" s="24">
        <f>IF($A2520="","",COUNTIFS(NOVEDADES!$D$4:$D$1503,$A2520))</f>
        <v/>
      </c>
      <c r="P2520" s="28">
        <f>IF($A2520="","",IF(COUNTIFS(NOVEDADES!$D$4:$D$1503,$A2520,NOVEDADES!$O$4:$O$1503,"SÍ")&gt;0,"No","Sí"))</f>
        <v/>
      </c>
      <c r="Q2520" s="28">
        <f>IF(OR($A2520="",$L2520=""),"",IF(AND($N2520="Sí",$P2520="Sí"),"OTIF","Falló"))</f>
        <v/>
      </c>
    </row>
    <row r="2521" ht="16" customHeight="1">
      <c r="A2521" s="48" t="n"/>
      <c r="B2521" s="48" t="n"/>
      <c r="C2521" s="47" t="n"/>
      <c r="D2521" s="50" t="n"/>
      <c r="E2521" s="50" t="n"/>
      <c r="F2521" s="50" t="n"/>
      <c r="G2521" s="50" t="n"/>
      <c r="H2521" s="48" t="n"/>
      <c r="I2521" s="51" t="n"/>
      <c r="J2521" s="52" t="n"/>
      <c r="K2521" s="47" t="n"/>
      <c r="L2521" s="47" t="n"/>
      <c r="M2521" s="24">
        <f>IF(OR($A2521="",$C2521=""),"",IF($L2521&lt;&gt;"",$L2521-$C2521,TODAY()-$C2521))</f>
        <v/>
      </c>
      <c r="N2521" s="28">
        <f>IF(OR($A2521="",$K2521=""),"",IF($L2521="",IF(TODAY()&gt;$K2521,"Atrasado","En ruta"),IF($L2521&lt;=$K2521,"Sí","No")))</f>
        <v/>
      </c>
      <c r="O2521" s="24">
        <f>IF($A2521="","",COUNTIFS(NOVEDADES!$D$4:$D$1503,$A2521))</f>
        <v/>
      </c>
      <c r="P2521" s="28">
        <f>IF($A2521="","",IF(COUNTIFS(NOVEDADES!$D$4:$D$1503,$A2521,NOVEDADES!$O$4:$O$1503,"SÍ")&gt;0,"No","Sí"))</f>
        <v/>
      </c>
      <c r="Q2521" s="28">
        <f>IF(OR($A2521="",$L2521=""),"",IF(AND($N2521="Sí",$P2521="Sí"),"OTIF","Falló"))</f>
        <v/>
      </c>
    </row>
    <row r="2522" ht="16" customHeight="1">
      <c r="A2522" s="48" t="n"/>
      <c r="B2522" s="48" t="n"/>
      <c r="C2522" s="47" t="n"/>
      <c r="D2522" s="50" t="n"/>
      <c r="E2522" s="50" t="n"/>
      <c r="F2522" s="50" t="n"/>
      <c r="G2522" s="50" t="n"/>
      <c r="H2522" s="48" t="n"/>
      <c r="I2522" s="51" t="n"/>
      <c r="J2522" s="52" t="n"/>
      <c r="K2522" s="47" t="n"/>
      <c r="L2522" s="47" t="n"/>
      <c r="M2522" s="24">
        <f>IF(OR($A2522="",$C2522=""),"",IF($L2522&lt;&gt;"",$L2522-$C2522,TODAY()-$C2522))</f>
        <v/>
      </c>
      <c r="N2522" s="28">
        <f>IF(OR($A2522="",$K2522=""),"",IF($L2522="",IF(TODAY()&gt;$K2522,"Atrasado","En ruta"),IF($L2522&lt;=$K2522,"Sí","No")))</f>
        <v/>
      </c>
      <c r="O2522" s="24">
        <f>IF($A2522="","",COUNTIFS(NOVEDADES!$D$4:$D$1503,$A2522))</f>
        <v/>
      </c>
      <c r="P2522" s="28">
        <f>IF($A2522="","",IF(COUNTIFS(NOVEDADES!$D$4:$D$1503,$A2522,NOVEDADES!$O$4:$O$1503,"SÍ")&gt;0,"No","Sí"))</f>
        <v/>
      </c>
      <c r="Q2522" s="28">
        <f>IF(OR($A2522="",$L2522=""),"",IF(AND($N2522="Sí",$P2522="Sí"),"OTIF","Falló"))</f>
        <v/>
      </c>
    </row>
    <row r="2523" ht="16" customHeight="1">
      <c r="A2523" s="48" t="n"/>
      <c r="B2523" s="48" t="n"/>
      <c r="C2523" s="47" t="n"/>
      <c r="D2523" s="50" t="n"/>
      <c r="E2523" s="50" t="n"/>
      <c r="F2523" s="50" t="n"/>
      <c r="G2523" s="50" t="n"/>
      <c r="H2523" s="48" t="n"/>
      <c r="I2523" s="51" t="n"/>
      <c r="J2523" s="52" t="n"/>
      <c r="K2523" s="47" t="n"/>
      <c r="L2523" s="47" t="n"/>
      <c r="M2523" s="24">
        <f>IF(OR($A2523="",$C2523=""),"",IF($L2523&lt;&gt;"",$L2523-$C2523,TODAY()-$C2523))</f>
        <v/>
      </c>
      <c r="N2523" s="28">
        <f>IF(OR($A2523="",$K2523=""),"",IF($L2523="",IF(TODAY()&gt;$K2523,"Atrasado","En ruta"),IF($L2523&lt;=$K2523,"Sí","No")))</f>
        <v/>
      </c>
      <c r="O2523" s="24">
        <f>IF($A2523="","",COUNTIFS(NOVEDADES!$D$4:$D$1503,$A2523))</f>
        <v/>
      </c>
      <c r="P2523" s="28">
        <f>IF($A2523="","",IF(COUNTIFS(NOVEDADES!$D$4:$D$1503,$A2523,NOVEDADES!$O$4:$O$1503,"SÍ")&gt;0,"No","Sí"))</f>
        <v/>
      </c>
      <c r="Q2523" s="28">
        <f>IF(OR($A2523="",$L2523=""),"",IF(AND($N2523="Sí",$P2523="Sí"),"OTIF","Falló"))</f>
        <v/>
      </c>
    </row>
    <row r="2524" ht="16" customHeight="1">
      <c r="A2524" s="48" t="n"/>
      <c r="B2524" s="48" t="n"/>
      <c r="C2524" s="47" t="n"/>
      <c r="D2524" s="50" t="n"/>
      <c r="E2524" s="50" t="n"/>
      <c r="F2524" s="50" t="n"/>
      <c r="G2524" s="50" t="n"/>
      <c r="H2524" s="48" t="n"/>
      <c r="I2524" s="51" t="n"/>
      <c r="J2524" s="52" t="n"/>
      <c r="K2524" s="47" t="n"/>
      <c r="L2524" s="47" t="n"/>
      <c r="M2524" s="24">
        <f>IF(OR($A2524="",$C2524=""),"",IF($L2524&lt;&gt;"",$L2524-$C2524,TODAY()-$C2524))</f>
        <v/>
      </c>
      <c r="N2524" s="28">
        <f>IF(OR($A2524="",$K2524=""),"",IF($L2524="",IF(TODAY()&gt;$K2524,"Atrasado","En ruta"),IF($L2524&lt;=$K2524,"Sí","No")))</f>
        <v/>
      </c>
      <c r="O2524" s="24">
        <f>IF($A2524="","",COUNTIFS(NOVEDADES!$D$4:$D$1503,$A2524))</f>
        <v/>
      </c>
      <c r="P2524" s="28">
        <f>IF($A2524="","",IF(COUNTIFS(NOVEDADES!$D$4:$D$1503,$A2524,NOVEDADES!$O$4:$O$1503,"SÍ")&gt;0,"No","Sí"))</f>
        <v/>
      </c>
      <c r="Q2524" s="28">
        <f>IF(OR($A2524="",$L2524=""),"",IF(AND($N2524="Sí",$P2524="Sí"),"OTIF","Falló"))</f>
        <v/>
      </c>
    </row>
    <row r="2525" ht="16" customHeight="1">
      <c r="A2525" s="48" t="n"/>
      <c r="B2525" s="48" t="n"/>
      <c r="C2525" s="47" t="n"/>
      <c r="D2525" s="50" t="n"/>
      <c r="E2525" s="50" t="n"/>
      <c r="F2525" s="50" t="n"/>
      <c r="G2525" s="50" t="n"/>
      <c r="H2525" s="48" t="n"/>
      <c r="I2525" s="51" t="n"/>
      <c r="J2525" s="52" t="n"/>
      <c r="K2525" s="47" t="n"/>
      <c r="L2525" s="47" t="n"/>
      <c r="M2525" s="24">
        <f>IF(OR($A2525="",$C2525=""),"",IF($L2525&lt;&gt;"",$L2525-$C2525,TODAY()-$C2525))</f>
        <v/>
      </c>
      <c r="N2525" s="28">
        <f>IF(OR($A2525="",$K2525=""),"",IF($L2525="",IF(TODAY()&gt;$K2525,"Atrasado","En ruta"),IF($L2525&lt;=$K2525,"Sí","No")))</f>
        <v/>
      </c>
      <c r="O2525" s="24">
        <f>IF($A2525="","",COUNTIFS(NOVEDADES!$D$4:$D$1503,$A2525))</f>
        <v/>
      </c>
      <c r="P2525" s="28">
        <f>IF($A2525="","",IF(COUNTIFS(NOVEDADES!$D$4:$D$1503,$A2525,NOVEDADES!$O$4:$O$1503,"SÍ")&gt;0,"No","Sí"))</f>
        <v/>
      </c>
      <c r="Q2525" s="28">
        <f>IF(OR($A2525="",$L2525=""),"",IF(AND($N2525="Sí",$P2525="Sí"),"OTIF","Falló"))</f>
        <v/>
      </c>
    </row>
    <row r="2526" ht="16" customHeight="1">
      <c r="A2526" s="48" t="n"/>
      <c r="B2526" s="48" t="n"/>
      <c r="C2526" s="47" t="n"/>
      <c r="D2526" s="50" t="n"/>
      <c r="E2526" s="50" t="n"/>
      <c r="F2526" s="50" t="n"/>
      <c r="G2526" s="50" t="n"/>
      <c r="H2526" s="48" t="n"/>
      <c r="I2526" s="51" t="n"/>
      <c r="J2526" s="52" t="n"/>
      <c r="K2526" s="47" t="n"/>
      <c r="L2526" s="47" t="n"/>
      <c r="M2526" s="24">
        <f>IF(OR($A2526="",$C2526=""),"",IF($L2526&lt;&gt;"",$L2526-$C2526,TODAY()-$C2526))</f>
        <v/>
      </c>
      <c r="N2526" s="28">
        <f>IF(OR($A2526="",$K2526=""),"",IF($L2526="",IF(TODAY()&gt;$K2526,"Atrasado","En ruta"),IF($L2526&lt;=$K2526,"Sí","No")))</f>
        <v/>
      </c>
      <c r="O2526" s="24">
        <f>IF($A2526="","",COUNTIFS(NOVEDADES!$D$4:$D$1503,$A2526))</f>
        <v/>
      </c>
      <c r="P2526" s="28">
        <f>IF($A2526="","",IF(COUNTIFS(NOVEDADES!$D$4:$D$1503,$A2526,NOVEDADES!$O$4:$O$1503,"SÍ")&gt;0,"No","Sí"))</f>
        <v/>
      </c>
      <c r="Q2526" s="28">
        <f>IF(OR($A2526="",$L2526=""),"",IF(AND($N2526="Sí",$P2526="Sí"),"OTIF","Falló"))</f>
        <v/>
      </c>
    </row>
    <row r="2527" ht="16" customHeight="1">
      <c r="A2527" s="48" t="n"/>
      <c r="B2527" s="48" t="n"/>
      <c r="C2527" s="47" t="n"/>
      <c r="D2527" s="50" t="n"/>
      <c r="E2527" s="50" t="n"/>
      <c r="F2527" s="50" t="n"/>
      <c r="G2527" s="50" t="n"/>
      <c r="H2527" s="48" t="n"/>
      <c r="I2527" s="51" t="n"/>
      <c r="J2527" s="52" t="n"/>
      <c r="K2527" s="47" t="n"/>
      <c r="L2527" s="47" t="n"/>
      <c r="M2527" s="24">
        <f>IF(OR($A2527="",$C2527=""),"",IF($L2527&lt;&gt;"",$L2527-$C2527,TODAY()-$C2527))</f>
        <v/>
      </c>
      <c r="N2527" s="28">
        <f>IF(OR($A2527="",$K2527=""),"",IF($L2527="",IF(TODAY()&gt;$K2527,"Atrasado","En ruta"),IF($L2527&lt;=$K2527,"Sí","No")))</f>
        <v/>
      </c>
      <c r="O2527" s="24">
        <f>IF($A2527="","",COUNTIFS(NOVEDADES!$D$4:$D$1503,$A2527))</f>
        <v/>
      </c>
      <c r="P2527" s="28">
        <f>IF($A2527="","",IF(COUNTIFS(NOVEDADES!$D$4:$D$1503,$A2527,NOVEDADES!$O$4:$O$1503,"SÍ")&gt;0,"No","Sí"))</f>
        <v/>
      </c>
      <c r="Q2527" s="28">
        <f>IF(OR($A2527="",$L2527=""),"",IF(AND($N2527="Sí",$P2527="Sí"),"OTIF","Falló"))</f>
        <v/>
      </c>
    </row>
    <row r="2528" ht="16" customHeight="1">
      <c r="A2528" s="48" t="n"/>
      <c r="B2528" s="48" t="n"/>
      <c r="C2528" s="47" t="n"/>
      <c r="D2528" s="50" t="n"/>
      <c r="E2528" s="50" t="n"/>
      <c r="F2528" s="50" t="n"/>
      <c r="G2528" s="50" t="n"/>
      <c r="H2528" s="48" t="n"/>
      <c r="I2528" s="51" t="n"/>
      <c r="J2528" s="52" t="n"/>
      <c r="K2528" s="47" t="n"/>
      <c r="L2528" s="47" t="n"/>
      <c r="M2528" s="24">
        <f>IF(OR($A2528="",$C2528=""),"",IF($L2528&lt;&gt;"",$L2528-$C2528,TODAY()-$C2528))</f>
        <v/>
      </c>
      <c r="N2528" s="28">
        <f>IF(OR($A2528="",$K2528=""),"",IF($L2528="",IF(TODAY()&gt;$K2528,"Atrasado","En ruta"),IF($L2528&lt;=$K2528,"Sí","No")))</f>
        <v/>
      </c>
      <c r="O2528" s="24">
        <f>IF($A2528="","",COUNTIFS(NOVEDADES!$D$4:$D$1503,$A2528))</f>
        <v/>
      </c>
      <c r="P2528" s="28">
        <f>IF($A2528="","",IF(COUNTIFS(NOVEDADES!$D$4:$D$1503,$A2528,NOVEDADES!$O$4:$O$1503,"SÍ")&gt;0,"No","Sí"))</f>
        <v/>
      </c>
      <c r="Q2528" s="28">
        <f>IF(OR($A2528="",$L2528=""),"",IF(AND($N2528="Sí",$P2528="Sí"),"OTIF","Falló"))</f>
        <v/>
      </c>
    </row>
    <row r="2529" ht="16" customHeight="1">
      <c r="A2529" s="48" t="n"/>
      <c r="B2529" s="48" t="n"/>
      <c r="C2529" s="47" t="n"/>
      <c r="D2529" s="50" t="n"/>
      <c r="E2529" s="50" t="n"/>
      <c r="F2529" s="50" t="n"/>
      <c r="G2529" s="50" t="n"/>
      <c r="H2529" s="48" t="n"/>
      <c r="I2529" s="51" t="n"/>
      <c r="J2529" s="52" t="n"/>
      <c r="K2529" s="47" t="n"/>
      <c r="L2529" s="47" t="n"/>
      <c r="M2529" s="24">
        <f>IF(OR($A2529="",$C2529=""),"",IF($L2529&lt;&gt;"",$L2529-$C2529,TODAY()-$C2529))</f>
        <v/>
      </c>
      <c r="N2529" s="28">
        <f>IF(OR($A2529="",$K2529=""),"",IF($L2529="",IF(TODAY()&gt;$K2529,"Atrasado","En ruta"),IF($L2529&lt;=$K2529,"Sí","No")))</f>
        <v/>
      </c>
      <c r="O2529" s="24">
        <f>IF($A2529="","",COUNTIFS(NOVEDADES!$D$4:$D$1503,$A2529))</f>
        <v/>
      </c>
      <c r="P2529" s="28">
        <f>IF($A2529="","",IF(COUNTIFS(NOVEDADES!$D$4:$D$1503,$A2529,NOVEDADES!$O$4:$O$1503,"SÍ")&gt;0,"No","Sí"))</f>
        <v/>
      </c>
      <c r="Q2529" s="28">
        <f>IF(OR($A2529="",$L2529=""),"",IF(AND($N2529="Sí",$P2529="Sí"),"OTIF","Falló"))</f>
        <v/>
      </c>
    </row>
    <row r="2530" ht="16" customHeight="1">
      <c r="A2530" s="48" t="n"/>
      <c r="B2530" s="48" t="n"/>
      <c r="C2530" s="47" t="n"/>
      <c r="D2530" s="50" t="n"/>
      <c r="E2530" s="50" t="n"/>
      <c r="F2530" s="50" t="n"/>
      <c r="G2530" s="50" t="n"/>
      <c r="H2530" s="48" t="n"/>
      <c r="I2530" s="51" t="n"/>
      <c r="J2530" s="52" t="n"/>
      <c r="K2530" s="47" t="n"/>
      <c r="L2530" s="47" t="n"/>
      <c r="M2530" s="24">
        <f>IF(OR($A2530="",$C2530=""),"",IF($L2530&lt;&gt;"",$L2530-$C2530,TODAY()-$C2530))</f>
        <v/>
      </c>
      <c r="N2530" s="28">
        <f>IF(OR($A2530="",$K2530=""),"",IF($L2530="",IF(TODAY()&gt;$K2530,"Atrasado","En ruta"),IF($L2530&lt;=$K2530,"Sí","No")))</f>
        <v/>
      </c>
      <c r="O2530" s="24">
        <f>IF($A2530="","",COUNTIFS(NOVEDADES!$D$4:$D$1503,$A2530))</f>
        <v/>
      </c>
      <c r="P2530" s="28">
        <f>IF($A2530="","",IF(COUNTIFS(NOVEDADES!$D$4:$D$1503,$A2530,NOVEDADES!$O$4:$O$1503,"SÍ")&gt;0,"No","Sí"))</f>
        <v/>
      </c>
      <c r="Q2530" s="28">
        <f>IF(OR($A2530="",$L2530=""),"",IF(AND($N2530="Sí",$P2530="Sí"),"OTIF","Falló"))</f>
        <v/>
      </c>
    </row>
    <row r="2531" ht="16" customHeight="1">
      <c r="A2531" s="48" t="n"/>
      <c r="B2531" s="48" t="n"/>
      <c r="C2531" s="47" t="n"/>
      <c r="D2531" s="50" t="n"/>
      <c r="E2531" s="50" t="n"/>
      <c r="F2531" s="50" t="n"/>
      <c r="G2531" s="50" t="n"/>
      <c r="H2531" s="48" t="n"/>
      <c r="I2531" s="51" t="n"/>
      <c r="J2531" s="52" t="n"/>
      <c r="K2531" s="47" t="n"/>
      <c r="L2531" s="47" t="n"/>
      <c r="M2531" s="24">
        <f>IF(OR($A2531="",$C2531=""),"",IF($L2531&lt;&gt;"",$L2531-$C2531,TODAY()-$C2531))</f>
        <v/>
      </c>
      <c r="N2531" s="28">
        <f>IF(OR($A2531="",$K2531=""),"",IF($L2531="",IF(TODAY()&gt;$K2531,"Atrasado","En ruta"),IF($L2531&lt;=$K2531,"Sí","No")))</f>
        <v/>
      </c>
      <c r="O2531" s="24">
        <f>IF($A2531="","",COUNTIFS(NOVEDADES!$D$4:$D$1503,$A2531))</f>
        <v/>
      </c>
      <c r="P2531" s="28">
        <f>IF($A2531="","",IF(COUNTIFS(NOVEDADES!$D$4:$D$1503,$A2531,NOVEDADES!$O$4:$O$1503,"SÍ")&gt;0,"No","Sí"))</f>
        <v/>
      </c>
      <c r="Q2531" s="28">
        <f>IF(OR($A2531="",$L2531=""),"",IF(AND($N2531="Sí",$P2531="Sí"),"OTIF","Falló"))</f>
        <v/>
      </c>
    </row>
    <row r="2532" ht="16" customHeight="1">
      <c r="A2532" s="48" t="n"/>
      <c r="B2532" s="48" t="n"/>
      <c r="C2532" s="47" t="n"/>
      <c r="D2532" s="50" t="n"/>
      <c r="E2532" s="50" t="n"/>
      <c r="F2532" s="50" t="n"/>
      <c r="G2532" s="50" t="n"/>
      <c r="H2532" s="48" t="n"/>
      <c r="I2532" s="51" t="n"/>
      <c r="J2532" s="52" t="n"/>
      <c r="K2532" s="47" t="n"/>
      <c r="L2532" s="47" t="n"/>
      <c r="M2532" s="24">
        <f>IF(OR($A2532="",$C2532=""),"",IF($L2532&lt;&gt;"",$L2532-$C2532,TODAY()-$C2532))</f>
        <v/>
      </c>
      <c r="N2532" s="28">
        <f>IF(OR($A2532="",$K2532=""),"",IF($L2532="",IF(TODAY()&gt;$K2532,"Atrasado","En ruta"),IF($L2532&lt;=$K2532,"Sí","No")))</f>
        <v/>
      </c>
      <c r="O2532" s="24">
        <f>IF($A2532="","",COUNTIFS(NOVEDADES!$D$4:$D$1503,$A2532))</f>
        <v/>
      </c>
      <c r="P2532" s="28">
        <f>IF($A2532="","",IF(COUNTIFS(NOVEDADES!$D$4:$D$1503,$A2532,NOVEDADES!$O$4:$O$1503,"SÍ")&gt;0,"No","Sí"))</f>
        <v/>
      </c>
      <c r="Q2532" s="28">
        <f>IF(OR($A2532="",$L2532=""),"",IF(AND($N2532="Sí",$P2532="Sí"),"OTIF","Falló"))</f>
        <v/>
      </c>
    </row>
    <row r="2533" ht="16" customHeight="1">
      <c r="A2533" s="48" t="n"/>
      <c r="B2533" s="48" t="n"/>
      <c r="C2533" s="47" t="n"/>
      <c r="D2533" s="50" t="n"/>
      <c r="E2533" s="50" t="n"/>
      <c r="F2533" s="50" t="n"/>
      <c r="G2533" s="50" t="n"/>
      <c r="H2533" s="48" t="n"/>
      <c r="I2533" s="51" t="n"/>
      <c r="J2533" s="52" t="n"/>
      <c r="K2533" s="47" t="n"/>
      <c r="L2533" s="47" t="n"/>
      <c r="M2533" s="24">
        <f>IF(OR($A2533="",$C2533=""),"",IF($L2533&lt;&gt;"",$L2533-$C2533,TODAY()-$C2533))</f>
        <v/>
      </c>
      <c r="N2533" s="28">
        <f>IF(OR($A2533="",$K2533=""),"",IF($L2533="",IF(TODAY()&gt;$K2533,"Atrasado","En ruta"),IF($L2533&lt;=$K2533,"Sí","No")))</f>
        <v/>
      </c>
      <c r="O2533" s="24">
        <f>IF($A2533="","",COUNTIFS(NOVEDADES!$D$4:$D$1503,$A2533))</f>
        <v/>
      </c>
      <c r="P2533" s="28">
        <f>IF($A2533="","",IF(COUNTIFS(NOVEDADES!$D$4:$D$1503,$A2533,NOVEDADES!$O$4:$O$1503,"SÍ")&gt;0,"No","Sí"))</f>
        <v/>
      </c>
      <c r="Q2533" s="28">
        <f>IF(OR($A2533="",$L2533=""),"",IF(AND($N2533="Sí",$P2533="Sí"),"OTIF","Falló"))</f>
        <v/>
      </c>
    </row>
    <row r="2534" ht="16" customHeight="1">
      <c r="A2534" s="48" t="n"/>
      <c r="B2534" s="48" t="n"/>
      <c r="C2534" s="47" t="n"/>
      <c r="D2534" s="50" t="n"/>
      <c r="E2534" s="50" t="n"/>
      <c r="F2534" s="50" t="n"/>
      <c r="G2534" s="50" t="n"/>
      <c r="H2534" s="48" t="n"/>
      <c r="I2534" s="51" t="n"/>
      <c r="J2534" s="52" t="n"/>
      <c r="K2534" s="47" t="n"/>
      <c r="L2534" s="47" t="n"/>
      <c r="M2534" s="24">
        <f>IF(OR($A2534="",$C2534=""),"",IF($L2534&lt;&gt;"",$L2534-$C2534,TODAY()-$C2534))</f>
        <v/>
      </c>
      <c r="N2534" s="28">
        <f>IF(OR($A2534="",$K2534=""),"",IF($L2534="",IF(TODAY()&gt;$K2534,"Atrasado","En ruta"),IF($L2534&lt;=$K2534,"Sí","No")))</f>
        <v/>
      </c>
      <c r="O2534" s="24">
        <f>IF($A2534="","",COUNTIFS(NOVEDADES!$D$4:$D$1503,$A2534))</f>
        <v/>
      </c>
      <c r="P2534" s="28">
        <f>IF($A2534="","",IF(COUNTIFS(NOVEDADES!$D$4:$D$1503,$A2534,NOVEDADES!$O$4:$O$1503,"SÍ")&gt;0,"No","Sí"))</f>
        <v/>
      </c>
      <c r="Q2534" s="28">
        <f>IF(OR($A2534="",$L2534=""),"",IF(AND($N2534="Sí",$P2534="Sí"),"OTIF","Falló"))</f>
        <v/>
      </c>
    </row>
    <row r="2535" ht="16" customHeight="1">
      <c r="A2535" s="48" t="n"/>
      <c r="B2535" s="48" t="n"/>
      <c r="C2535" s="47" t="n"/>
      <c r="D2535" s="50" t="n"/>
      <c r="E2535" s="50" t="n"/>
      <c r="F2535" s="50" t="n"/>
      <c r="G2535" s="50" t="n"/>
      <c r="H2535" s="48" t="n"/>
      <c r="I2535" s="51" t="n"/>
      <c r="J2535" s="52" t="n"/>
      <c r="K2535" s="47" t="n"/>
      <c r="L2535" s="47" t="n"/>
      <c r="M2535" s="24">
        <f>IF(OR($A2535="",$C2535=""),"",IF($L2535&lt;&gt;"",$L2535-$C2535,TODAY()-$C2535))</f>
        <v/>
      </c>
      <c r="N2535" s="28">
        <f>IF(OR($A2535="",$K2535=""),"",IF($L2535="",IF(TODAY()&gt;$K2535,"Atrasado","En ruta"),IF($L2535&lt;=$K2535,"Sí","No")))</f>
        <v/>
      </c>
      <c r="O2535" s="24">
        <f>IF($A2535="","",COUNTIFS(NOVEDADES!$D$4:$D$1503,$A2535))</f>
        <v/>
      </c>
      <c r="P2535" s="28">
        <f>IF($A2535="","",IF(COUNTIFS(NOVEDADES!$D$4:$D$1503,$A2535,NOVEDADES!$O$4:$O$1503,"SÍ")&gt;0,"No","Sí"))</f>
        <v/>
      </c>
      <c r="Q2535" s="28">
        <f>IF(OR($A2535="",$L2535=""),"",IF(AND($N2535="Sí",$P2535="Sí"),"OTIF","Falló"))</f>
        <v/>
      </c>
    </row>
    <row r="2536" ht="16" customHeight="1">
      <c r="A2536" s="48" t="n"/>
      <c r="B2536" s="48" t="n"/>
      <c r="C2536" s="47" t="n"/>
      <c r="D2536" s="50" t="n"/>
      <c r="E2536" s="50" t="n"/>
      <c r="F2536" s="50" t="n"/>
      <c r="G2536" s="50" t="n"/>
      <c r="H2536" s="48" t="n"/>
      <c r="I2536" s="51" t="n"/>
      <c r="J2536" s="52" t="n"/>
      <c r="K2536" s="47" t="n"/>
      <c r="L2536" s="47" t="n"/>
      <c r="M2536" s="24">
        <f>IF(OR($A2536="",$C2536=""),"",IF($L2536&lt;&gt;"",$L2536-$C2536,TODAY()-$C2536))</f>
        <v/>
      </c>
      <c r="N2536" s="28">
        <f>IF(OR($A2536="",$K2536=""),"",IF($L2536="",IF(TODAY()&gt;$K2536,"Atrasado","En ruta"),IF($L2536&lt;=$K2536,"Sí","No")))</f>
        <v/>
      </c>
      <c r="O2536" s="24">
        <f>IF($A2536="","",COUNTIFS(NOVEDADES!$D$4:$D$1503,$A2536))</f>
        <v/>
      </c>
      <c r="P2536" s="28">
        <f>IF($A2536="","",IF(COUNTIFS(NOVEDADES!$D$4:$D$1503,$A2536,NOVEDADES!$O$4:$O$1503,"SÍ")&gt;0,"No","Sí"))</f>
        <v/>
      </c>
      <c r="Q2536" s="28">
        <f>IF(OR($A2536="",$L2536=""),"",IF(AND($N2536="Sí",$P2536="Sí"),"OTIF","Falló"))</f>
        <v/>
      </c>
    </row>
    <row r="2537" ht="16" customHeight="1">
      <c r="A2537" s="48" t="n"/>
      <c r="B2537" s="48" t="n"/>
      <c r="C2537" s="47" t="n"/>
      <c r="D2537" s="50" t="n"/>
      <c r="E2537" s="50" t="n"/>
      <c r="F2537" s="50" t="n"/>
      <c r="G2537" s="50" t="n"/>
      <c r="H2537" s="48" t="n"/>
      <c r="I2537" s="51" t="n"/>
      <c r="J2537" s="52" t="n"/>
      <c r="K2537" s="47" t="n"/>
      <c r="L2537" s="47" t="n"/>
      <c r="M2537" s="24">
        <f>IF(OR($A2537="",$C2537=""),"",IF($L2537&lt;&gt;"",$L2537-$C2537,TODAY()-$C2537))</f>
        <v/>
      </c>
      <c r="N2537" s="28">
        <f>IF(OR($A2537="",$K2537=""),"",IF($L2537="",IF(TODAY()&gt;$K2537,"Atrasado","En ruta"),IF($L2537&lt;=$K2537,"Sí","No")))</f>
        <v/>
      </c>
      <c r="O2537" s="24">
        <f>IF($A2537="","",COUNTIFS(NOVEDADES!$D$4:$D$1503,$A2537))</f>
        <v/>
      </c>
      <c r="P2537" s="28">
        <f>IF($A2537="","",IF(COUNTIFS(NOVEDADES!$D$4:$D$1503,$A2537,NOVEDADES!$O$4:$O$1503,"SÍ")&gt;0,"No","Sí"))</f>
        <v/>
      </c>
      <c r="Q2537" s="28">
        <f>IF(OR($A2537="",$L2537=""),"",IF(AND($N2537="Sí",$P2537="Sí"),"OTIF","Falló"))</f>
        <v/>
      </c>
    </row>
    <row r="2538" ht="16" customHeight="1">
      <c r="A2538" s="48" t="n"/>
      <c r="B2538" s="48" t="n"/>
      <c r="C2538" s="47" t="n"/>
      <c r="D2538" s="50" t="n"/>
      <c r="E2538" s="50" t="n"/>
      <c r="F2538" s="50" t="n"/>
      <c r="G2538" s="50" t="n"/>
      <c r="H2538" s="48" t="n"/>
      <c r="I2538" s="51" t="n"/>
      <c r="J2538" s="52" t="n"/>
      <c r="K2538" s="47" t="n"/>
      <c r="L2538" s="47" t="n"/>
      <c r="M2538" s="24">
        <f>IF(OR($A2538="",$C2538=""),"",IF($L2538&lt;&gt;"",$L2538-$C2538,TODAY()-$C2538))</f>
        <v/>
      </c>
      <c r="N2538" s="28">
        <f>IF(OR($A2538="",$K2538=""),"",IF($L2538="",IF(TODAY()&gt;$K2538,"Atrasado","En ruta"),IF($L2538&lt;=$K2538,"Sí","No")))</f>
        <v/>
      </c>
      <c r="O2538" s="24">
        <f>IF($A2538="","",COUNTIFS(NOVEDADES!$D$4:$D$1503,$A2538))</f>
        <v/>
      </c>
      <c r="P2538" s="28">
        <f>IF($A2538="","",IF(COUNTIFS(NOVEDADES!$D$4:$D$1503,$A2538,NOVEDADES!$O$4:$O$1503,"SÍ")&gt;0,"No","Sí"))</f>
        <v/>
      </c>
      <c r="Q2538" s="28">
        <f>IF(OR($A2538="",$L2538=""),"",IF(AND($N2538="Sí",$P2538="Sí"),"OTIF","Falló"))</f>
        <v/>
      </c>
    </row>
    <row r="2539" ht="16" customHeight="1">
      <c r="A2539" s="48" t="n"/>
      <c r="B2539" s="48" t="n"/>
      <c r="C2539" s="47" t="n"/>
      <c r="D2539" s="50" t="n"/>
      <c r="E2539" s="50" t="n"/>
      <c r="F2539" s="50" t="n"/>
      <c r="G2539" s="50" t="n"/>
      <c r="H2539" s="48" t="n"/>
      <c r="I2539" s="51" t="n"/>
      <c r="J2539" s="52" t="n"/>
      <c r="K2539" s="47" t="n"/>
      <c r="L2539" s="47" t="n"/>
      <c r="M2539" s="24">
        <f>IF(OR($A2539="",$C2539=""),"",IF($L2539&lt;&gt;"",$L2539-$C2539,TODAY()-$C2539))</f>
        <v/>
      </c>
      <c r="N2539" s="28">
        <f>IF(OR($A2539="",$K2539=""),"",IF($L2539="",IF(TODAY()&gt;$K2539,"Atrasado","En ruta"),IF($L2539&lt;=$K2539,"Sí","No")))</f>
        <v/>
      </c>
      <c r="O2539" s="24">
        <f>IF($A2539="","",COUNTIFS(NOVEDADES!$D$4:$D$1503,$A2539))</f>
        <v/>
      </c>
      <c r="P2539" s="28">
        <f>IF($A2539="","",IF(COUNTIFS(NOVEDADES!$D$4:$D$1503,$A2539,NOVEDADES!$O$4:$O$1503,"SÍ")&gt;0,"No","Sí"))</f>
        <v/>
      </c>
      <c r="Q2539" s="28">
        <f>IF(OR($A2539="",$L2539=""),"",IF(AND($N2539="Sí",$P2539="Sí"),"OTIF","Falló"))</f>
        <v/>
      </c>
    </row>
    <row r="2540" ht="16" customHeight="1">
      <c r="A2540" s="48" t="n"/>
      <c r="B2540" s="48" t="n"/>
      <c r="C2540" s="47" t="n"/>
      <c r="D2540" s="50" t="n"/>
      <c r="E2540" s="50" t="n"/>
      <c r="F2540" s="50" t="n"/>
      <c r="G2540" s="50" t="n"/>
      <c r="H2540" s="48" t="n"/>
      <c r="I2540" s="51" t="n"/>
      <c r="J2540" s="52" t="n"/>
      <c r="K2540" s="47" t="n"/>
      <c r="L2540" s="47" t="n"/>
      <c r="M2540" s="24">
        <f>IF(OR($A2540="",$C2540=""),"",IF($L2540&lt;&gt;"",$L2540-$C2540,TODAY()-$C2540))</f>
        <v/>
      </c>
      <c r="N2540" s="28">
        <f>IF(OR($A2540="",$K2540=""),"",IF($L2540="",IF(TODAY()&gt;$K2540,"Atrasado","En ruta"),IF($L2540&lt;=$K2540,"Sí","No")))</f>
        <v/>
      </c>
      <c r="O2540" s="24">
        <f>IF($A2540="","",COUNTIFS(NOVEDADES!$D$4:$D$1503,$A2540))</f>
        <v/>
      </c>
      <c r="P2540" s="28">
        <f>IF($A2540="","",IF(COUNTIFS(NOVEDADES!$D$4:$D$1503,$A2540,NOVEDADES!$O$4:$O$1503,"SÍ")&gt;0,"No","Sí"))</f>
        <v/>
      </c>
      <c r="Q2540" s="28">
        <f>IF(OR($A2540="",$L2540=""),"",IF(AND($N2540="Sí",$P2540="Sí"),"OTIF","Falló"))</f>
        <v/>
      </c>
    </row>
    <row r="2541" ht="16" customHeight="1">
      <c r="A2541" s="48" t="n"/>
      <c r="B2541" s="48" t="n"/>
      <c r="C2541" s="47" t="n"/>
      <c r="D2541" s="50" t="n"/>
      <c r="E2541" s="50" t="n"/>
      <c r="F2541" s="50" t="n"/>
      <c r="G2541" s="50" t="n"/>
      <c r="H2541" s="48" t="n"/>
      <c r="I2541" s="51" t="n"/>
      <c r="J2541" s="52" t="n"/>
      <c r="K2541" s="47" t="n"/>
      <c r="L2541" s="47" t="n"/>
      <c r="M2541" s="24">
        <f>IF(OR($A2541="",$C2541=""),"",IF($L2541&lt;&gt;"",$L2541-$C2541,TODAY()-$C2541))</f>
        <v/>
      </c>
      <c r="N2541" s="28">
        <f>IF(OR($A2541="",$K2541=""),"",IF($L2541="",IF(TODAY()&gt;$K2541,"Atrasado","En ruta"),IF($L2541&lt;=$K2541,"Sí","No")))</f>
        <v/>
      </c>
      <c r="O2541" s="24">
        <f>IF($A2541="","",COUNTIFS(NOVEDADES!$D$4:$D$1503,$A2541))</f>
        <v/>
      </c>
      <c r="P2541" s="28">
        <f>IF($A2541="","",IF(COUNTIFS(NOVEDADES!$D$4:$D$1503,$A2541,NOVEDADES!$O$4:$O$1503,"SÍ")&gt;0,"No","Sí"))</f>
        <v/>
      </c>
      <c r="Q2541" s="28">
        <f>IF(OR($A2541="",$L2541=""),"",IF(AND($N2541="Sí",$P2541="Sí"),"OTIF","Falló"))</f>
        <v/>
      </c>
    </row>
    <row r="2542" ht="16" customHeight="1">
      <c r="A2542" s="48" t="n"/>
      <c r="B2542" s="48" t="n"/>
      <c r="C2542" s="47" t="n"/>
      <c r="D2542" s="50" t="n"/>
      <c r="E2542" s="50" t="n"/>
      <c r="F2542" s="50" t="n"/>
      <c r="G2542" s="50" t="n"/>
      <c r="H2542" s="48" t="n"/>
      <c r="I2542" s="51" t="n"/>
      <c r="J2542" s="52" t="n"/>
      <c r="K2542" s="47" t="n"/>
      <c r="L2542" s="47" t="n"/>
      <c r="M2542" s="24">
        <f>IF(OR($A2542="",$C2542=""),"",IF($L2542&lt;&gt;"",$L2542-$C2542,TODAY()-$C2542))</f>
        <v/>
      </c>
      <c r="N2542" s="28">
        <f>IF(OR($A2542="",$K2542=""),"",IF($L2542="",IF(TODAY()&gt;$K2542,"Atrasado","En ruta"),IF($L2542&lt;=$K2542,"Sí","No")))</f>
        <v/>
      </c>
      <c r="O2542" s="24">
        <f>IF($A2542="","",COUNTIFS(NOVEDADES!$D$4:$D$1503,$A2542))</f>
        <v/>
      </c>
      <c r="P2542" s="28">
        <f>IF($A2542="","",IF(COUNTIFS(NOVEDADES!$D$4:$D$1503,$A2542,NOVEDADES!$O$4:$O$1503,"SÍ")&gt;0,"No","Sí"))</f>
        <v/>
      </c>
      <c r="Q2542" s="28">
        <f>IF(OR($A2542="",$L2542=""),"",IF(AND($N2542="Sí",$P2542="Sí"),"OTIF","Falló"))</f>
        <v/>
      </c>
    </row>
    <row r="2543" ht="16" customHeight="1">
      <c r="A2543" s="48" t="n"/>
      <c r="B2543" s="48" t="n"/>
      <c r="C2543" s="47" t="n"/>
      <c r="D2543" s="50" t="n"/>
      <c r="E2543" s="50" t="n"/>
      <c r="F2543" s="50" t="n"/>
      <c r="G2543" s="50" t="n"/>
      <c r="H2543" s="48" t="n"/>
      <c r="I2543" s="51" t="n"/>
      <c r="J2543" s="52" t="n"/>
      <c r="K2543" s="47" t="n"/>
      <c r="L2543" s="47" t="n"/>
      <c r="M2543" s="24">
        <f>IF(OR($A2543="",$C2543=""),"",IF($L2543&lt;&gt;"",$L2543-$C2543,TODAY()-$C2543))</f>
        <v/>
      </c>
      <c r="N2543" s="28">
        <f>IF(OR($A2543="",$K2543=""),"",IF($L2543="",IF(TODAY()&gt;$K2543,"Atrasado","En ruta"),IF($L2543&lt;=$K2543,"Sí","No")))</f>
        <v/>
      </c>
      <c r="O2543" s="24">
        <f>IF($A2543="","",COUNTIFS(NOVEDADES!$D$4:$D$1503,$A2543))</f>
        <v/>
      </c>
      <c r="P2543" s="28">
        <f>IF($A2543="","",IF(COUNTIFS(NOVEDADES!$D$4:$D$1503,$A2543,NOVEDADES!$O$4:$O$1503,"SÍ")&gt;0,"No","Sí"))</f>
        <v/>
      </c>
      <c r="Q2543" s="28">
        <f>IF(OR($A2543="",$L2543=""),"",IF(AND($N2543="Sí",$P2543="Sí"),"OTIF","Falló"))</f>
        <v/>
      </c>
    </row>
    <row r="2544" ht="16" customHeight="1">
      <c r="A2544" s="48" t="n"/>
      <c r="B2544" s="48" t="n"/>
      <c r="C2544" s="47" t="n"/>
      <c r="D2544" s="50" t="n"/>
      <c r="E2544" s="50" t="n"/>
      <c r="F2544" s="50" t="n"/>
      <c r="G2544" s="50" t="n"/>
      <c r="H2544" s="48" t="n"/>
      <c r="I2544" s="51" t="n"/>
      <c r="J2544" s="52" t="n"/>
      <c r="K2544" s="47" t="n"/>
      <c r="L2544" s="47" t="n"/>
      <c r="M2544" s="24">
        <f>IF(OR($A2544="",$C2544=""),"",IF($L2544&lt;&gt;"",$L2544-$C2544,TODAY()-$C2544))</f>
        <v/>
      </c>
      <c r="N2544" s="28">
        <f>IF(OR($A2544="",$K2544=""),"",IF($L2544="",IF(TODAY()&gt;$K2544,"Atrasado","En ruta"),IF($L2544&lt;=$K2544,"Sí","No")))</f>
        <v/>
      </c>
      <c r="O2544" s="24">
        <f>IF($A2544="","",COUNTIFS(NOVEDADES!$D$4:$D$1503,$A2544))</f>
        <v/>
      </c>
      <c r="P2544" s="28">
        <f>IF($A2544="","",IF(COUNTIFS(NOVEDADES!$D$4:$D$1503,$A2544,NOVEDADES!$O$4:$O$1503,"SÍ")&gt;0,"No","Sí"))</f>
        <v/>
      </c>
      <c r="Q2544" s="28">
        <f>IF(OR($A2544="",$L2544=""),"",IF(AND($N2544="Sí",$P2544="Sí"),"OTIF","Falló"))</f>
        <v/>
      </c>
    </row>
    <row r="2545" ht="16" customHeight="1">
      <c r="A2545" s="48" t="n"/>
      <c r="B2545" s="48" t="n"/>
      <c r="C2545" s="47" t="n"/>
      <c r="D2545" s="50" t="n"/>
      <c r="E2545" s="50" t="n"/>
      <c r="F2545" s="50" t="n"/>
      <c r="G2545" s="50" t="n"/>
      <c r="H2545" s="48" t="n"/>
      <c r="I2545" s="51" t="n"/>
      <c r="J2545" s="52" t="n"/>
      <c r="K2545" s="47" t="n"/>
      <c r="L2545" s="47" t="n"/>
      <c r="M2545" s="24">
        <f>IF(OR($A2545="",$C2545=""),"",IF($L2545&lt;&gt;"",$L2545-$C2545,TODAY()-$C2545))</f>
        <v/>
      </c>
      <c r="N2545" s="28">
        <f>IF(OR($A2545="",$K2545=""),"",IF($L2545="",IF(TODAY()&gt;$K2545,"Atrasado","En ruta"),IF($L2545&lt;=$K2545,"Sí","No")))</f>
        <v/>
      </c>
      <c r="O2545" s="24">
        <f>IF($A2545="","",COUNTIFS(NOVEDADES!$D$4:$D$1503,$A2545))</f>
        <v/>
      </c>
      <c r="P2545" s="28">
        <f>IF($A2545="","",IF(COUNTIFS(NOVEDADES!$D$4:$D$1503,$A2545,NOVEDADES!$O$4:$O$1503,"SÍ")&gt;0,"No","Sí"))</f>
        <v/>
      </c>
      <c r="Q2545" s="28">
        <f>IF(OR($A2545="",$L2545=""),"",IF(AND($N2545="Sí",$P2545="Sí"),"OTIF","Falló"))</f>
        <v/>
      </c>
    </row>
    <row r="2546" ht="16" customHeight="1">
      <c r="A2546" s="48" t="n"/>
      <c r="B2546" s="48" t="n"/>
      <c r="C2546" s="47" t="n"/>
      <c r="D2546" s="50" t="n"/>
      <c r="E2546" s="50" t="n"/>
      <c r="F2546" s="50" t="n"/>
      <c r="G2546" s="50" t="n"/>
      <c r="H2546" s="48" t="n"/>
      <c r="I2546" s="51" t="n"/>
      <c r="J2546" s="52" t="n"/>
      <c r="K2546" s="47" t="n"/>
      <c r="L2546" s="47" t="n"/>
      <c r="M2546" s="24">
        <f>IF(OR($A2546="",$C2546=""),"",IF($L2546&lt;&gt;"",$L2546-$C2546,TODAY()-$C2546))</f>
        <v/>
      </c>
      <c r="N2546" s="28">
        <f>IF(OR($A2546="",$K2546=""),"",IF($L2546="",IF(TODAY()&gt;$K2546,"Atrasado","En ruta"),IF($L2546&lt;=$K2546,"Sí","No")))</f>
        <v/>
      </c>
      <c r="O2546" s="24">
        <f>IF($A2546="","",COUNTIFS(NOVEDADES!$D$4:$D$1503,$A2546))</f>
        <v/>
      </c>
      <c r="P2546" s="28">
        <f>IF($A2546="","",IF(COUNTIFS(NOVEDADES!$D$4:$D$1503,$A2546,NOVEDADES!$O$4:$O$1503,"SÍ")&gt;0,"No","Sí"))</f>
        <v/>
      </c>
      <c r="Q2546" s="28">
        <f>IF(OR($A2546="",$L2546=""),"",IF(AND($N2546="Sí",$P2546="Sí"),"OTIF","Falló"))</f>
        <v/>
      </c>
    </row>
    <row r="2547" ht="16" customHeight="1">
      <c r="A2547" s="48" t="n"/>
      <c r="B2547" s="48" t="n"/>
      <c r="C2547" s="47" t="n"/>
      <c r="D2547" s="50" t="n"/>
      <c r="E2547" s="50" t="n"/>
      <c r="F2547" s="50" t="n"/>
      <c r="G2547" s="50" t="n"/>
      <c r="H2547" s="48" t="n"/>
      <c r="I2547" s="51" t="n"/>
      <c r="J2547" s="52" t="n"/>
      <c r="K2547" s="47" t="n"/>
      <c r="L2547" s="47" t="n"/>
      <c r="M2547" s="24">
        <f>IF(OR($A2547="",$C2547=""),"",IF($L2547&lt;&gt;"",$L2547-$C2547,TODAY()-$C2547))</f>
        <v/>
      </c>
      <c r="N2547" s="28">
        <f>IF(OR($A2547="",$K2547=""),"",IF($L2547="",IF(TODAY()&gt;$K2547,"Atrasado","En ruta"),IF($L2547&lt;=$K2547,"Sí","No")))</f>
        <v/>
      </c>
      <c r="O2547" s="24">
        <f>IF($A2547="","",COUNTIFS(NOVEDADES!$D$4:$D$1503,$A2547))</f>
        <v/>
      </c>
      <c r="P2547" s="28">
        <f>IF($A2547="","",IF(COUNTIFS(NOVEDADES!$D$4:$D$1503,$A2547,NOVEDADES!$O$4:$O$1503,"SÍ")&gt;0,"No","Sí"))</f>
        <v/>
      </c>
      <c r="Q2547" s="28">
        <f>IF(OR($A2547="",$L2547=""),"",IF(AND($N2547="Sí",$P2547="Sí"),"OTIF","Falló"))</f>
        <v/>
      </c>
    </row>
    <row r="2548" ht="16" customHeight="1">
      <c r="A2548" s="48" t="n"/>
      <c r="B2548" s="48" t="n"/>
      <c r="C2548" s="47" t="n"/>
      <c r="D2548" s="50" t="n"/>
      <c r="E2548" s="50" t="n"/>
      <c r="F2548" s="50" t="n"/>
      <c r="G2548" s="50" t="n"/>
      <c r="H2548" s="48" t="n"/>
      <c r="I2548" s="51" t="n"/>
      <c r="J2548" s="52" t="n"/>
      <c r="K2548" s="47" t="n"/>
      <c r="L2548" s="47" t="n"/>
      <c r="M2548" s="24">
        <f>IF(OR($A2548="",$C2548=""),"",IF($L2548&lt;&gt;"",$L2548-$C2548,TODAY()-$C2548))</f>
        <v/>
      </c>
      <c r="N2548" s="28">
        <f>IF(OR($A2548="",$K2548=""),"",IF($L2548="",IF(TODAY()&gt;$K2548,"Atrasado","En ruta"),IF($L2548&lt;=$K2548,"Sí","No")))</f>
        <v/>
      </c>
      <c r="O2548" s="24">
        <f>IF($A2548="","",COUNTIFS(NOVEDADES!$D$4:$D$1503,$A2548))</f>
        <v/>
      </c>
      <c r="P2548" s="28">
        <f>IF($A2548="","",IF(COUNTIFS(NOVEDADES!$D$4:$D$1503,$A2548,NOVEDADES!$O$4:$O$1503,"SÍ")&gt;0,"No","Sí"))</f>
        <v/>
      </c>
      <c r="Q2548" s="28">
        <f>IF(OR($A2548="",$L2548=""),"",IF(AND($N2548="Sí",$P2548="Sí"),"OTIF","Falló"))</f>
        <v/>
      </c>
    </row>
    <row r="2549" ht="16" customHeight="1">
      <c r="A2549" s="48" t="n"/>
      <c r="B2549" s="48" t="n"/>
      <c r="C2549" s="47" t="n"/>
      <c r="D2549" s="50" t="n"/>
      <c r="E2549" s="50" t="n"/>
      <c r="F2549" s="50" t="n"/>
      <c r="G2549" s="50" t="n"/>
      <c r="H2549" s="48" t="n"/>
      <c r="I2549" s="51" t="n"/>
      <c r="J2549" s="52" t="n"/>
      <c r="K2549" s="47" t="n"/>
      <c r="L2549" s="47" t="n"/>
      <c r="M2549" s="24">
        <f>IF(OR($A2549="",$C2549=""),"",IF($L2549&lt;&gt;"",$L2549-$C2549,TODAY()-$C2549))</f>
        <v/>
      </c>
      <c r="N2549" s="28">
        <f>IF(OR($A2549="",$K2549=""),"",IF($L2549="",IF(TODAY()&gt;$K2549,"Atrasado","En ruta"),IF($L2549&lt;=$K2549,"Sí","No")))</f>
        <v/>
      </c>
      <c r="O2549" s="24">
        <f>IF($A2549="","",COUNTIFS(NOVEDADES!$D$4:$D$1503,$A2549))</f>
        <v/>
      </c>
      <c r="P2549" s="28">
        <f>IF($A2549="","",IF(COUNTIFS(NOVEDADES!$D$4:$D$1503,$A2549,NOVEDADES!$O$4:$O$1503,"SÍ")&gt;0,"No","Sí"))</f>
        <v/>
      </c>
      <c r="Q2549" s="28">
        <f>IF(OR($A2549="",$L2549=""),"",IF(AND($N2549="Sí",$P2549="Sí"),"OTIF","Falló"))</f>
        <v/>
      </c>
    </row>
    <row r="2550" ht="16" customHeight="1">
      <c r="A2550" s="48" t="n"/>
      <c r="B2550" s="48" t="n"/>
      <c r="C2550" s="47" t="n"/>
      <c r="D2550" s="50" t="n"/>
      <c r="E2550" s="50" t="n"/>
      <c r="F2550" s="50" t="n"/>
      <c r="G2550" s="50" t="n"/>
      <c r="H2550" s="48" t="n"/>
      <c r="I2550" s="51" t="n"/>
      <c r="J2550" s="52" t="n"/>
      <c r="K2550" s="47" t="n"/>
      <c r="L2550" s="47" t="n"/>
      <c r="M2550" s="24">
        <f>IF(OR($A2550="",$C2550=""),"",IF($L2550&lt;&gt;"",$L2550-$C2550,TODAY()-$C2550))</f>
        <v/>
      </c>
      <c r="N2550" s="28">
        <f>IF(OR($A2550="",$K2550=""),"",IF($L2550="",IF(TODAY()&gt;$K2550,"Atrasado","En ruta"),IF($L2550&lt;=$K2550,"Sí","No")))</f>
        <v/>
      </c>
      <c r="O2550" s="24">
        <f>IF($A2550="","",COUNTIFS(NOVEDADES!$D$4:$D$1503,$A2550))</f>
        <v/>
      </c>
      <c r="P2550" s="28">
        <f>IF($A2550="","",IF(COUNTIFS(NOVEDADES!$D$4:$D$1503,$A2550,NOVEDADES!$O$4:$O$1503,"SÍ")&gt;0,"No","Sí"))</f>
        <v/>
      </c>
      <c r="Q2550" s="28">
        <f>IF(OR($A2550="",$L2550=""),"",IF(AND($N2550="Sí",$P2550="Sí"),"OTIF","Falló"))</f>
        <v/>
      </c>
    </row>
    <row r="2551" ht="16" customHeight="1">
      <c r="A2551" s="48" t="n"/>
      <c r="B2551" s="48" t="n"/>
      <c r="C2551" s="47" t="n"/>
      <c r="D2551" s="50" t="n"/>
      <c r="E2551" s="50" t="n"/>
      <c r="F2551" s="50" t="n"/>
      <c r="G2551" s="50" t="n"/>
      <c r="H2551" s="48" t="n"/>
      <c r="I2551" s="51" t="n"/>
      <c r="J2551" s="52" t="n"/>
      <c r="K2551" s="47" t="n"/>
      <c r="L2551" s="47" t="n"/>
      <c r="M2551" s="24">
        <f>IF(OR($A2551="",$C2551=""),"",IF($L2551&lt;&gt;"",$L2551-$C2551,TODAY()-$C2551))</f>
        <v/>
      </c>
      <c r="N2551" s="28">
        <f>IF(OR($A2551="",$K2551=""),"",IF($L2551="",IF(TODAY()&gt;$K2551,"Atrasado","En ruta"),IF($L2551&lt;=$K2551,"Sí","No")))</f>
        <v/>
      </c>
      <c r="O2551" s="24">
        <f>IF($A2551="","",COUNTIFS(NOVEDADES!$D$4:$D$1503,$A2551))</f>
        <v/>
      </c>
      <c r="P2551" s="28">
        <f>IF($A2551="","",IF(COUNTIFS(NOVEDADES!$D$4:$D$1503,$A2551,NOVEDADES!$O$4:$O$1503,"SÍ")&gt;0,"No","Sí"))</f>
        <v/>
      </c>
      <c r="Q2551" s="28">
        <f>IF(OR($A2551="",$L2551=""),"",IF(AND($N2551="Sí",$P2551="Sí"),"OTIF","Falló"))</f>
        <v/>
      </c>
    </row>
    <row r="2552" ht="16" customHeight="1">
      <c r="A2552" s="48" t="n"/>
      <c r="B2552" s="48" t="n"/>
      <c r="C2552" s="47" t="n"/>
      <c r="D2552" s="50" t="n"/>
      <c r="E2552" s="50" t="n"/>
      <c r="F2552" s="50" t="n"/>
      <c r="G2552" s="50" t="n"/>
      <c r="H2552" s="48" t="n"/>
      <c r="I2552" s="51" t="n"/>
      <c r="J2552" s="52" t="n"/>
      <c r="K2552" s="47" t="n"/>
      <c r="L2552" s="47" t="n"/>
      <c r="M2552" s="24">
        <f>IF(OR($A2552="",$C2552=""),"",IF($L2552&lt;&gt;"",$L2552-$C2552,TODAY()-$C2552))</f>
        <v/>
      </c>
      <c r="N2552" s="28">
        <f>IF(OR($A2552="",$K2552=""),"",IF($L2552="",IF(TODAY()&gt;$K2552,"Atrasado","En ruta"),IF($L2552&lt;=$K2552,"Sí","No")))</f>
        <v/>
      </c>
      <c r="O2552" s="24">
        <f>IF($A2552="","",COUNTIFS(NOVEDADES!$D$4:$D$1503,$A2552))</f>
        <v/>
      </c>
      <c r="P2552" s="28">
        <f>IF($A2552="","",IF(COUNTIFS(NOVEDADES!$D$4:$D$1503,$A2552,NOVEDADES!$O$4:$O$1503,"SÍ")&gt;0,"No","Sí"))</f>
        <v/>
      </c>
      <c r="Q2552" s="28">
        <f>IF(OR($A2552="",$L2552=""),"",IF(AND($N2552="Sí",$P2552="Sí"),"OTIF","Falló"))</f>
        <v/>
      </c>
    </row>
    <row r="2553" ht="16" customHeight="1">
      <c r="A2553" s="48" t="n"/>
      <c r="B2553" s="48" t="n"/>
      <c r="C2553" s="47" t="n"/>
      <c r="D2553" s="50" t="n"/>
      <c r="E2553" s="50" t="n"/>
      <c r="F2553" s="50" t="n"/>
      <c r="G2553" s="50" t="n"/>
      <c r="H2553" s="48" t="n"/>
      <c r="I2553" s="51" t="n"/>
      <c r="J2553" s="52" t="n"/>
      <c r="K2553" s="47" t="n"/>
      <c r="L2553" s="47" t="n"/>
      <c r="M2553" s="24">
        <f>IF(OR($A2553="",$C2553=""),"",IF($L2553&lt;&gt;"",$L2553-$C2553,TODAY()-$C2553))</f>
        <v/>
      </c>
      <c r="N2553" s="28">
        <f>IF(OR($A2553="",$K2553=""),"",IF($L2553="",IF(TODAY()&gt;$K2553,"Atrasado","En ruta"),IF($L2553&lt;=$K2553,"Sí","No")))</f>
        <v/>
      </c>
      <c r="O2553" s="24">
        <f>IF($A2553="","",COUNTIFS(NOVEDADES!$D$4:$D$1503,$A2553))</f>
        <v/>
      </c>
      <c r="P2553" s="28">
        <f>IF($A2553="","",IF(COUNTIFS(NOVEDADES!$D$4:$D$1503,$A2553,NOVEDADES!$O$4:$O$1503,"SÍ")&gt;0,"No","Sí"))</f>
        <v/>
      </c>
      <c r="Q2553" s="28">
        <f>IF(OR($A2553="",$L2553=""),"",IF(AND($N2553="Sí",$P2553="Sí"),"OTIF","Falló"))</f>
        <v/>
      </c>
    </row>
    <row r="2554" ht="16" customHeight="1">
      <c r="A2554" s="48" t="n"/>
      <c r="B2554" s="48" t="n"/>
      <c r="C2554" s="47" t="n"/>
      <c r="D2554" s="50" t="n"/>
      <c r="E2554" s="50" t="n"/>
      <c r="F2554" s="50" t="n"/>
      <c r="G2554" s="50" t="n"/>
      <c r="H2554" s="48" t="n"/>
      <c r="I2554" s="51" t="n"/>
      <c r="J2554" s="52" t="n"/>
      <c r="K2554" s="47" t="n"/>
      <c r="L2554" s="47" t="n"/>
      <c r="M2554" s="24">
        <f>IF(OR($A2554="",$C2554=""),"",IF($L2554&lt;&gt;"",$L2554-$C2554,TODAY()-$C2554))</f>
        <v/>
      </c>
      <c r="N2554" s="28">
        <f>IF(OR($A2554="",$K2554=""),"",IF($L2554="",IF(TODAY()&gt;$K2554,"Atrasado","En ruta"),IF($L2554&lt;=$K2554,"Sí","No")))</f>
        <v/>
      </c>
      <c r="O2554" s="24">
        <f>IF($A2554="","",COUNTIFS(NOVEDADES!$D$4:$D$1503,$A2554))</f>
        <v/>
      </c>
      <c r="P2554" s="28">
        <f>IF($A2554="","",IF(COUNTIFS(NOVEDADES!$D$4:$D$1503,$A2554,NOVEDADES!$O$4:$O$1503,"SÍ")&gt;0,"No","Sí"))</f>
        <v/>
      </c>
      <c r="Q2554" s="28">
        <f>IF(OR($A2554="",$L2554=""),"",IF(AND($N2554="Sí",$P2554="Sí"),"OTIF","Falló"))</f>
        <v/>
      </c>
    </row>
    <row r="2555" ht="16" customHeight="1">
      <c r="A2555" s="48" t="n"/>
      <c r="B2555" s="48" t="n"/>
      <c r="C2555" s="47" t="n"/>
      <c r="D2555" s="50" t="n"/>
      <c r="E2555" s="50" t="n"/>
      <c r="F2555" s="50" t="n"/>
      <c r="G2555" s="50" t="n"/>
      <c r="H2555" s="48" t="n"/>
      <c r="I2555" s="51" t="n"/>
      <c r="J2555" s="52" t="n"/>
      <c r="K2555" s="47" t="n"/>
      <c r="L2555" s="47" t="n"/>
      <c r="M2555" s="24">
        <f>IF(OR($A2555="",$C2555=""),"",IF($L2555&lt;&gt;"",$L2555-$C2555,TODAY()-$C2555))</f>
        <v/>
      </c>
      <c r="N2555" s="28">
        <f>IF(OR($A2555="",$K2555=""),"",IF($L2555="",IF(TODAY()&gt;$K2555,"Atrasado","En ruta"),IF($L2555&lt;=$K2555,"Sí","No")))</f>
        <v/>
      </c>
      <c r="O2555" s="24">
        <f>IF($A2555="","",COUNTIFS(NOVEDADES!$D$4:$D$1503,$A2555))</f>
        <v/>
      </c>
      <c r="P2555" s="28">
        <f>IF($A2555="","",IF(COUNTIFS(NOVEDADES!$D$4:$D$1503,$A2555,NOVEDADES!$O$4:$O$1503,"SÍ")&gt;0,"No","Sí"))</f>
        <v/>
      </c>
      <c r="Q2555" s="28">
        <f>IF(OR($A2555="",$L2555=""),"",IF(AND($N2555="Sí",$P2555="Sí"),"OTIF","Falló"))</f>
        <v/>
      </c>
    </row>
    <row r="2556" ht="16" customHeight="1">
      <c r="A2556" s="48" t="n"/>
      <c r="B2556" s="48" t="n"/>
      <c r="C2556" s="47" t="n"/>
      <c r="D2556" s="50" t="n"/>
      <c r="E2556" s="50" t="n"/>
      <c r="F2556" s="50" t="n"/>
      <c r="G2556" s="50" t="n"/>
      <c r="H2556" s="48" t="n"/>
      <c r="I2556" s="51" t="n"/>
      <c r="J2556" s="52" t="n"/>
      <c r="K2556" s="47" t="n"/>
      <c r="L2556" s="47" t="n"/>
      <c r="M2556" s="24">
        <f>IF(OR($A2556="",$C2556=""),"",IF($L2556&lt;&gt;"",$L2556-$C2556,TODAY()-$C2556))</f>
        <v/>
      </c>
      <c r="N2556" s="28">
        <f>IF(OR($A2556="",$K2556=""),"",IF($L2556="",IF(TODAY()&gt;$K2556,"Atrasado","En ruta"),IF($L2556&lt;=$K2556,"Sí","No")))</f>
        <v/>
      </c>
      <c r="O2556" s="24">
        <f>IF($A2556="","",COUNTIFS(NOVEDADES!$D$4:$D$1503,$A2556))</f>
        <v/>
      </c>
      <c r="P2556" s="28">
        <f>IF($A2556="","",IF(COUNTIFS(NOVEDADES!$D$4:$D$1503,$A2556,NOVEDADES!$O$4:$O$1503,"SÍ")&gt;0,"No","Sí"))</f>
        <v/>
      </c>
      <c r="Q2556" s="28">
        <f>IF(OR($A2556="",$L2556=""),"",IF(AND($N2556="Sí",$P2556="Sí"),"OTIF","Falló"))</f>
        <v/>
      </c>
    </row>
    <row r="2557" ht="16" customHeight="1">
      <c r="A2557" s="48" t="n"/>
      <c r="B2557" s="48" t="n"/>
      <c r="C2557" s="47" t="n"/>
      <c r="D2557" s="50" t="n"/>
      <c r="E2557" s="50" t="n"/>
      <c r="F2557" s="50" t="n"/>
      <c r="G2557" s="50" t="n"/>
      <c r="H2557" s="48" t="n"/>
      <c r="I2557" s="51" t="n"/>
      <c r="J2557" s="52" t="n"/>
      <c r="K2557" s="47" t="n"/>
      <c r="L2557" s="47" t="n"/>
      <c r="M2557" s="24">
        <f>IF(OR($A2557="",$C2557=""),"",IF($L2557&lt;&gt;"",$L2557-$C2557,TODAY()-$C2557))</f>
        <v/>
      </c>
      <c r="N2557" s="28">
        <f>IF(OR($A2557="",$K2557=""),"",IF($L2557="",IF(TODAY()&gt;$K2557,"Atrasado","En ruta"),IF($L2557&lt;=$K2557,"Sí","No")))</f>
        <v/>
      </c>
      <c r="O2557" s="24">
        <f>IF($A2557="","",COUNTIFS(NOVEDADES!$D$4:$D$1503,$A2557))</f>
        <v/>
      </c>
      <c r="P2557" s="28">
        <f>IF($A2557="","",IF(COUNTIFS(NOVEDADES!$D$4:$D$1503,$A2557,NOVEDADES!$O$4:$O$1503,"SÍ")&gt;0,"No","Sí"))</f>
        <v/>
      </c>
      <c r="Q2557" s="28">
        <f>IF(OR($A2557="",$L2557=""),"",IF(AND($N2557="Sí",$P2557="Sí"),"OTIF","Falló"))</f>
        <v/>
      </c>
    </row>
    <row r="2558" ht="16" customHeight="1">
      <c r="A2558" s="48" t="n"/>
      <c r="B2558" s="48" t="n"/>
      <c r="C2558" s="47" t="n"/>
      <c r="D2558" s="50" t="n"/>
      <c r="E2558" s="50" t="n"/>
      <c r="F2558" s="50" t="n"/>
      <c r="G2558" s="50" t="n"/>
      <c r="H2558" s="48" t="n"/>
      <c r="I2558" s="51" t="n"/>
      <c r="J2558" s="52" t="n"/>
      <c r="K2558" s="47" t="n"/>
      <c r="L2558" s="47" t="n"/>
      <c r="M2558" s="24">
        <f>IF(OR($A2558="",$C2558=""),"",IF($L2558&lt;&gt;"",$L2558-$C2558,TODAY()-$C2558))</f>
        <v/>
      </c>
      <c r="N2558" s="28">
        <f>IF(OR($A2558="",$K2558=""),"",IF($L2558="",IF(TODAY()&gt;$K2558,"Atrasado","En ruta"),IF($L2558&lt;=$K2558,"Sí","No")))</f>
        <v/>
      </c>
      <c r="O2558" s="24">
        <f>IF($A2558="","",COUNTIFS(NOVEDADES!$D$4:$D$1503,$A2558))</f>
        <v/>
      </c>
      <c r="P2558" s="28">
        <f>IF($A2558="","",IF(COUNTIFS(NOVEDADES!$D$4:$D$1503,$A2558,NOVEDADES!$O$4:$O$1503,"SÍ")&gt;0,"No","Sí"))</f>
        <v/>
      </c>
      <c r="Q2558" s="28">
        <f>IF(OR($A2558="",$L2558=""),"",IF(AND($N2558="Sí",$P2558="Sí"),"OTIF","Falló"))</f>
        <v/>
      </c>
    </row>
    <row r="2559" ht="16" customHeight="1">
      <c r="A2559" s="48" t="n"/>
      <c r="B2559" s="48" t="n"/>
      <c r="C2559" s="47" t="n"/>
      <c r="D2559" s="50" t="n"/>
      <c r="E2559" s="50" t="n"/>
      <c r="F2559" s="50" t="n"/>
      <c r="G2559" s="50" t="n"/>
      <c r="H2559" s="48" t="n"/>
      <c r="I2559" s="51" t="n"/>
      <c r="J2559" s="52" t="n"/>
      <c r="K2559" s="47" t="n"/>
      <c r="L2559" s="47" t="n"/>
      <c r="M2559" s="24">
        <f>IF(OR($A2559="",$C2559=""),"",IF($L2559&lt;&gt;"",$L2559-$C2559,TODAY()-$C2559))</f>
        <v/>
      </c>
      <c r="N2559" s="28">
        <f>IF(OR($A2559="",$K2559=""),"",IF($L2559="",IF(TODAY()&gt;$K2559,"Atrasado","En ruta"),IF($L2559&lt;=$K2559,"Sí","No")))</f>
        <v/>
      </c>
      <c r="O2559" s="24">
        <f>IF($A2559="","",COUNTIFS(NOVEDADES!$D$4:$D$1503,$A2559))</f>
        <v/>
      </c>
      <c r="P2559" s="28">
        <f>IF($A2559="","",IF(COUNTIFS(NOVEDADES!$D$4:$D$1503,$A2559,NOVEDADES!$O$4:$O$1503,"SÍ")&gt;0,"No","Sí"))</f>
        <v/>
      </c>
      <c r="Q2559" s="28">
        <f>IF(OR($A2559="",$L2559=""),"",IF(AND($N2559="Sí",$P2559="Sí"),"OTIF","Falló"))</f>
        <v/>
      </c>
    </row>
    <row r="2560" ht="16" customHeight="1">
      <c r="A2560" s="48" t="n"/>
      <c r="B2560" s="48" t="n"/>
      <c r="C2560" s="47" t="n"/>
      <c r="D2560" s="50" t="n"/>
      <c r="E2560" s="50" t="n"/>
      <c r="F2560" s="50" t="n"/>
      <c r="G2560" s="50" t="n"/>
      <c r="H2560" s="48" t="n"/>
      <c r="I2560" s="51" t="n"/>
      <c r="J2560" s="52" t="n"/>
      <c r="K2560" s="47" t="n"/>
      <c r="L2560" s="47" t="n"/>
      <c r="M2560" s="24">
        <f>IF(OR($A2560="",$C2560=""),"",IF($L2560&lt;&gt;"",$L2560-$C2560,TODAY()-$C2560))</f>
        <v/>
      </c>
      <c r="N2560" s="28">
        <f>IF(OR($A2560="",$K2560=""),"",IF($L2560="",IF(TODAY()&gt;$K2560,"Atrasado","En ruta"),IF($L2560&lt;=$K2560,"Sí","No")))</f>
        <v/>
      </c>
      <c r="O2560" s="24">
        <f>IF($A2560="","",COUNTIFS(NOVEDADES!$D$4:$D$1503,$A2560))</f>
        <v/>
      </c>
      <c r="P2560" s="28">
        <f>IF($A2560="","",IF(COUNTIFS(NOVEDADES!$D$4:$D$1503,$A2560,NOVEDADES!$O$4:$O$1503,"SÍ")&gt;0,"No","Sí"))</f>
        <v/>
      </c>
      <c r="Q2560" s="28">
        <f>IF(OR($A2560="",$L2560=""),"",IF(AND($N2560="Sí",$P2560="Sí"),"OTIF","Falló"))</f>
        <v/>
      </c>
    </row>
    <row r="2561" ht="16" customHeight="1">
      <c r="A2561" s="48" t="n"/>
      <c r="B2561" s="48" t="n"/>
      <c r="C2561" s="47" t="n"/>
      <c r="D2561" s="50" t="n"/>
      <c r="E2561" s="50" t="n"/>
      <c r="F2561" s="50" t="n"/>
      <c r="G2561" s="50" t="n"/>
      <c r="H2561" s="48" t="n"/>
      <c r="I2561" s="51" t="n"/>
      <c r="J2561" s="52" t="n"/>
      <c r="K2561" s="47" t="n"/>
      <c r="L2561" s="47" t="n"/>
      <c r="M2561" s="24">
        <f>IF(OR($A2561="",$C2561=""),"",IF($L2561&lt;&gt;"",$L2561-$C2561,TODAY()-$C2561))</f>
        <v/>
      </c>
      <c r="N2561" s="28">
        <f>IF(OR($A2561="",$K2561=""),"",IF($L2561="",IF(TODAY()&gt;$K2561,"Atrasado","En ruta"),IF($L2561&lt;=$K2561,"Sí","No")))</f>
        <v/>
      </c>
      <c r="O2561" s="24">
        <f>IF($A2561="","",COUNTIFS(NOVEDADES!$D$4:$D$1503,$A2561))</f>
        <v/>
      </c>
      <c r="P2561" s="28">
        <f>IF($A2561="","",IF(COUNTIFS(NOVEDADES!$D$4:$D$1503,$A2561,NOVEDADES!$O$4:$O$1503,"SÍ")&gt;0,"No","Sí"))</f>
        <v/>
      </c>
      <c r="Q2561" s="28">
        <f>IF(OR($A2561="",$L2561=""),"",IF(AND($N2561="Sí",$P2561="Sí"),"OTIF","Falló"))</f>
        <v/>
      </c>
    </row>
    <row r="2562" ht="16" customHeight="1">
      <c r="A2562" s="48" t="n"/>
      <c r="B2562" s="48" t="n"/>
      <c r="C2562" s="47" t="n"/>
      <c r="D2562" s="50" t="n"/>
      <c r="E2562" s="50" t="n"/>
      <c r="F2562" s="50" t="n"/>
      <c r="G2562" s="50" t="n"/>
      <c r="H2562" s="48" t="n"/>
      <c r="I2562" s="51" t="n"/>
      <c r="J2562" s="52" t="n"/>
      <c r="K2562" s="47" t="n"/>
      <c r="L2562" s="47" t="n"/>
      <c r="M2562" s="24">
        <f>IF(OR($A2562="",$C2562=""),"",IF($L2562&lt;&gt;"",$L2562-$C2562,TODAY()-$C2562))</f>
        <v/>
      </c>
      <c r="N2562" s="28">
        <f>IF(OR($A2562="",$K2562=""),"",IF($L2562="",IF(TODAY()&gt;$K2562,"Atrasado","En ruta"),IF($L2562&lt;=$K2562,"Sí","No")))</f>
        <v/>
      </c>
      <c r="O2562" s="24">
        <f>IF($A2562="","",COUNTIFS(NOVEDADES!$D$4:$D$1503,$A2562))</f>
        <v/>
      </c>
      <c r="P2562" s="28">
        <f>IF($A2562="","",IF(COUNTIFS(NOVEDADES!$D$4:$D$1503,$A2562,NOVEDADES!$O$4:$O$1503,"SÍ")&gt;0,"No","Sí"))</f>
        <v/>
      </c>
      <c r="Q2562" s="28">
        <f>IF(OR($A2562="",$L2562=""),"",IF(AND($N2562="Sí",$P2562="Sí"),"OTIF","Falló"))</f>
        <v/>
      </c>
    </row>
    <row r="2563" ht="16" customHeight="1">
      <c r="A2563" s="48" t="n"/>
      <c r="B2563" s="48" t="n"/>
      <c r="C2563" s="47" t="n"/>
      <c r="D2563" s="50" t="n"/>
      <c r="E2563" s="50" t="n"/>
      <c r="F2563" s="50" t="n"/>
      <c r="G2563" s="50" t="n"/>
      <c r="H2563" s="48" t="n"/>
      <c r="I2563" s="51" t="n"/>
      <c r="J2563" s="52" t="n"/>
      <c r="K2563" s="47" t="n"/>
      <c r="L2563" s="47" t="n"/>
      <c r="M2563" s="24">
        <f>IF(OR($A2563="",$C2563=""),"",IF($L2563&lt;&gt;"",$L2563-$C2563,TODAY()-$C2563))</f>
        <v/>
      </c>
      <c r="N2563" s="28">
        <f>IF(OR($A2563="",$K2563=""),"",IF($L2563="",IF(TODAY()&gt;$K2563,"Atrasado","En ruta"),IF($L2563&lt;=$K2563,"Sí","No")))</f>
        <v/>
      </c>
      <c r="O2563" s="24">
        <f>IF($A2563="","",COUNTIFS(NOVEDADES!$D$4:$D$1503,$A2563))</f>
        <v/>
      </c>
      <c r="P2563" s="28">
        <f>IF($A2563="","",IF(COUNTIFS(NOVEDADES!$D$4:$D$1503,$A2563,NOVEDADES!$O$4:$O$1503,"SÍ")&gt;0,"No","Sí"))</f>
        <v/>
      </c>
      <c r="Q2563" s="28">
        <f>IF(OR($A2563="",$L2563=""),"",IF(AND($N2563="Sí",$P2563="Sí"),"OTIF","Falló"))</f>
        <v/>
      </c>
    </row>
    <row r="2564" ht="16" customHeight="1">
      <c r="A2564" s="48" t="n"/>
      <c r="B2564" s="48" t="n"/>
      <c r="C2564" s="47" t="n"/>
      <c r="D2564" s="50" t="n"/>
      <c r="E2564" s="50" t="n"/>
      <c r="F2564" s="50" t="n"/>
      <c r="G2564" s="50" t="n"/>
      <c r="H2564" s="48" t="n"/>
      <c r="I2564" s="51" t="n"/>
      <c r="J2564" s="52" t="n"/>
      <c r="K2564" s="47" t="n"/>
      <c r="L2564" s="47" t="n"/>
      <c r="M2564" s="24">
        <f>IF(OR($A2564="",$C2564=""),"",IF($L2564&lt;&gt;"",$L2564-$C2564,TODAY()-$C2564))</f>
        <v/>
      </c>
      <c r="N2564" s="28">
        <f>IF(OR($A2564="",$K2564=""),"",IF($L2564="",IF(TODAY()&gt;$K2564,"Atrasado","En ruta"),IF($L2564&lt;=$K2564,"Sí","No")))</f>
        <v/>
      </c>
      <c r="O2564" s="24">
        <f>IF($A2564="","",COUNTIFS(NOVEDADES!$D$4:$D$1503,$A2564))</f>
        <v/>
      </c>
      <c r="P2564" s="28">
        <f>IF($A2564="","",IF(COUNTIFS(NOVEDADES!$D$4:$D$1503,$A2564,NOVEDADES!$O$4:$O$1503,"SÍ")&gt;0,"No","Sí"))</f>
        <v/>
      </c>
      <c r="Q2564" s="28">
        <f>IF(OR($A2564="",$L2564=""),"",IF(AND($N2564="Sí",$P2564="Sí"),"OTIF","Falló"))</f>
        <v/>
      </c>
    </row>
    <row r="2565" ht="16" customHeight="1">
      <c r="A2565" s="48" t="n"/>
      <c r="B2565" s="48" t="n"/>
      <c r="C2565" s="47" t="n"/>
      <c r="D2565" s="50" t="n"/>
      <c r="E2565" s="50" t="n"/>
      <c r="F2565" s="50" t="n"/>
      <c r="G2565" s="50" t="n"/>
      <c r="H2565" s="48" t="n"/>
      <c r="I2565" s="51" t="n"/>
      <c r="J2565" s="52" t="n"/>
      <c r="K2565" s="47" t="n"/>
      <c r="L2565" s="47" t="n"/>
      <c r="M2565" s="24">
        <f>IF(OR($A2565="",$C2565=""),"",IF($L2565&lt;&gt;"",$L2565-$C2565,TODAY()-$C2565))</f>
        <v/>
      </c>
      <c r="N2565" s="28">
        <f>IF(OR($A2565="",$K2565=""),"",IF($L2565="",IF(TODAY()&gt;$K2565,"Atrasado","En ruta"),IF($L2565&lt;=$K2565,"Sí","No")))</f>
        <v/>
      </c>
      <c r="O2565" s="24">
        <f>IF($A2565="","",COUNTIFS(NOVEDADES!$D$4:$D$1503,$A2565))</f>
        <v/>
      </c>
      <c r="P2565" s="28">
        <f>IF($A2565="","",IF(COUNTIFS(NOVEDADES!$D$4:$D$1503,$A2565,NOVEDADES!$O$4:$O$1503,"SÍ")&gt;0,"No","Sí"))</f>
        <v/>
      </c>
      <c r="Q2565" s="28">
        <f>IF(OR($A2565="",$L2565=""),"",IF(AND($N2565="Sí",$P2565="Sí"),"OTIF","Falló"))</f>
        <v/>
      </c>
    </row>
    <row r="2566" ht="16" customHeight="1">
      <c r="A2566" s="48" t="n"/>
      <c r="B2566" s="48" t="n"/>
      <c r="C2566" s="47" t="n"/>
      <c r="D2566" s="50" t="n"/>
      <c r="E2566" s="50" t="n"/>
      <c r="F2566" s="50" t="n"/>
      <c r="G2566" s="50" t="n"/>
      <c r="H2566" s="48" t="n"/>
      <c r="I2566" s="51" t="n"/>
      <c r="J2566" s="52" t="n"/>
      <c r="K2566" s="47" t="n"/>
      <c r="L2566" s="47" t="n"/>
      <c r="M2566" s="24">
        <f>IF(OR($A2566="",$C2566=""),"",IF($L2566&lt;&gt;"",$L2566-$C2566,TODAY()-$C2566))</f>
        <v/>
      </c>
      <c r="N2566" s="28">
        <f>IF(OR($A2566="",$K2566=""),"",IF($L2566="",IF(TODAY()&gt;$K2566,"Atrasado","En ruta"),IF($L2566&lt;=$K2566,"Sí","No")))</f>
        <v/>
      </c>
      <c r="O2566" s="24">
        <f>IF($A2566="","",COUNTIFS(NOVEDADES!$D$4:$D$1503,$A2566))</f>
        <v/>
      </c>
      <c r="P2566" s="28">
        <f>IF($A2566="","",IF(COUNTIFS(NOVEDADES!$D$4:$D$1503,$A2566,NOVEDADES!$O$4:$O$1503,"SÍ")&gt;0,"No","Sí"))</f>
        <v/>
      </c>
      <c r="Q2566" s="28">
        <f>IF(OR($A2566="",$L2566=""),"",IF(AND($N2566="Sí",$P2566="Sí"),"OTIF","Falló"))</f>
        <v/>
      </c>
    </row>
    <row r="2567" ht="16" customHeight="1">
      <c r="A2567" s="48" t="n"/>
      <c r="B2567" s="48" t="n"/>
      <c r="C2567" s="47" t="n"/>
      <c r="D2567" s="50" t="n"/>
      <c r="E2567" s="50" t="n"/>
      <c r="F2567" s="50" t="n"/>
      <c r="G2567" s="50" t="n"/>
      <c r="H2567" s="48" t="n"/>
      <c r="I2567" s="51" t="n"/>
      <c r="J2567" s="52" t="n"/>
      <c r="K2567" s="47" t="n"/>
      <c r="L2567" s="47" t="n"/>
      <c r="M2567" s="24">
        <f>IF(OR($A2567="",$C2567=""),"",IF($L2567&lt;&gt;"",$L2567-$C2567,TODAY()-$C2567))</f>
        <v/>
      </c>
      <c r="N2567" s="28">
        <f>IF(OR($A2567="",$K2567=""),"",IF($L2567="",IF(TODAY()&gt;$K2567,"Atrasado","En ruta"),IF($L2567&lt;=$K2567,"Sí","No")))</f>
        <v/>
      </c>
      <c r="O2567" s="24">
        <f>IF($A2567="","",COUNTIFS(NOVEDADES!$D$4:$D$1503,$A2567))</f>
        <v/>
      </c>
      <c r="P2567" s="28">
        <f>IF($A2567="","",IF(COUNTIFS(NOVEDADES!$D$4:$D$1503,$A2567,NOVEDADES!$O$4:$O$1503,"SÍ")&gt;0,"No","Sí"))</f>
        <v/>
      </c>
      <c r="Q2567" s="28">
        <f>IF(OR($A2567="",$L2567=""),"",IF(AND($N2567="Sí",$P2567="Sí"),"OTIF","Falló"))</f>
        <v/>
      </c>
    </row>
    <row r="2568" ht="16" customHeight="1">
      <c r="A2568" s="48" t="n"/>
      <c r="B2568" s="48" t="n"/>
      <c r="C2568" s="47" t="n"/>
      <c r="D2568" s="50" t="n"/>
      <c r="E2568" s="50" t="n"/>
      <c r="F2568" s="50" t="n"/>
      <c r="G2568" s="50" t="n"/>
      <c r="H2568" s="48" t="n"/>
      <c r="I2568" s="51" t="n"/>
      <c r="J2568" s="52" t="n"/>
      <c r="K2568" s="47" t="n"/>
      <c r="L2568" s="47" t="n"/>
      <c r="M2568" s="24">
        <f>IF(OR($A2568="",$C2568=""),"",IF($L2568&lt;&gt;"",$L2568-$C2568,TODAY()-$C2568))</f>
        <v/>
      </c>
      <c r="N2568" s="28">
        <f>IF(OR($A2568="",$K2568=""),"",IF($L2568="",IF(TODAY()&gt;$K2568,"Atrasado","En ruta"),IF($L2568&lt;=$K2568,"Sí","No")))</f>
        <v/>
      </c>
      <c r="O2568" s="24">
        <f>IF($A2568="","",COUNTIFS(NOVEDADES!$D$4:$D$1503,$A2568))</f>
        <v/>
      </c>
      <c r="P2568" s="28">
        <f>IF($A2568="","",IF(COUNTIFS(NOVEDADES!$D$4:$D$1503,$A2568,NOVEDADES!$O$4:$O$1503,"SÍ")&gt;0,"No","Sí"))</f>
        <v/>
      </c>
      <c r="Q2568" s="28">
        <f>IF(OR($A2568="",$L2568=""),"",IF(AND($N2568="Sí",$P2568="Sí"),"OTIF","Falló"))</f>
        <v/>
      </c>
    </row>
    <row r="2569" ht="16" customHeight="1">
      <c r="A2569" s="48" t="n"/>
      <c r="B2569" s="48" t="n"/>
      <c r="C2569" s="47" t="n"/>
      <c r="D2569" s="50" t="n"/>
      <c r="E2569" s="50" t="n"/>
      <c r="F2569" s="50" t="n"/>
      <c r="G2569" s="50" t="n"/>
      <c r="H2569" s="48" t="n"/>
      <c r="I2569" s="51" t="n"/>
      <c r="J2569" s="52" t="n"/>
      <c r="K2569" s="47" t="n"/>
      <c r="L2569" s="47" t="n"/>
      <c r="M2569" s="24">
        <f>IF(OR($A2569="",$C2569=""),"",IF($L2569&lt;&gt;"",$L2569-$C2569,TODAY()-$C2569))</f>
        <v/>
      </c>
      <c r="N2569" s="28">
        <f>IF(OR($A2569="",$K2569=""),"",IF($L2569="",IF(TODAY()&gt;$K2569,"Atrasado","En ruta"),IF($L2569&lt;=$K2569,"Sí","No")))</f>
        <v/>
      </c>
      <c r="O2569" s="24">
        <f>IF($A2569="","",COUNTIFS(NOVEDADES!$D$4:$D$1503,$A2569))</f>
        <v/>
      </c>
      <c r="P2569" s="28">
        <f>IF($A2569="","",IF(COUNTIFS(NOVEDADES!$D$4:$D$1503,$A2569,NOVEDADES!$O$4:$O$1503,"SÍ")&gt;0,"No","Sí"))</f>
        <v/>
      </c>
      <c r="Q2569" s="28">
        <f>IF(OR($A2569="",$L2569=""),"",IF(AND($N2569="Sí",$P2569="Sí"),"OTIF","Falló"))</f>
        <v/>
      </c>
    </row>
    <row r="2570" ht="16" customHeight="1">
      <c r="A2570" s="48" t="n"/>
      <c r="B2570" s="48" t="n"/>
      <c r="C2570" s="47" t="n"/>
      <c r="D2570" s="50" t="n"/>
      <c r="E2570" s="50" t="n"/>
      <c r="F2570" s="50" t="n"/>
      <c r="G2570" s="50" t="n"/>
      <c r="H2570" s="48" t="n"/>
      <c r="I2570" s="51" t="n"/>
      <c r="J2570" s="52" t="n"/>
      <c r="K2570" s="47" t="n"/>
      <c r="L2570" s="47" t="n"/>
      <c r="M2570" s="24">
        <f>IF(OR($A2570="",$C2570=""),"",IF($L2570&lt;&gt;"",$L2570-$C2570,TODAY()-$C2570))</f>
        <v/>
      </c>
      <c r="N2570" s="28">
        <f>IF(OR($A2570="",$K2570=""),"",IF($L2570="",IF(TODAY()&gt;$K2570,"Atrasado","En ruta"),IF($L2570&lt;=$K2570,"Sí","No")))</f>
        <v/>
      </c>
      <c r="O2570" s="24">
        <f>IF($A2570="","",COUNTIFS(NOVEDADES!$D$4:$D$1503,$A2570))</f>
        <v/>
      </c>
      <c r="P2570" s="28">
        <f>IF($A2570="","",IF(COUNTIFS(NOVEDADES!$D$4:$D$1503,$A2570,NOVEDADES!$O$4:$O$1503,"SÍ")&gt;0,"No","Sí"))</f>
        <v/>
      </c>
      <c r="Q2570" s="28">
        <f>IF(OR($A2570="",$L2570=""),"",IF(AND($N2570="Sí",$P2570="Sí"),"OTIF","Falló"))</f>
        <v/>
      </c>
    </row>
    <row r="2571" ht="16" customHeight="1">
      <c r="A2571" s="48" t="n"/>
      <c r="B2571" s="48" t="n"/>
      <c r="C2571" s="47" t="n"/>
      <c r="D2571" s="50" t="n"/>
      <c r="E2571" s="50" t="n"/>
      <c r="F2571" s="50" t="n"/>
      <c r="G2571" s="50" t="n"/>
      <c r="H2571" s="48" t="n"/>
      <c r="I2571" s="51" t="n"/>
      <c r="J2571" s="52" t="n"/>
      <c r="K2571" s="47" t="n"/>
      <c r="L2571" s="47" t="n"/>
      <c r="M2571" s="24">
        <f>IF(OR($A2571="",$C2571=""),"",IF($L2571&lt;&gt;"",$L2571-$C2571,TODAY()-$C2571))</f>
        <v/>
      </c>
      <c r="N2571" s="28">
        <f>IF(OR($A2571="",$K2571=""),"",IF($L2571="",IF(TODAY()&gt;$K2571,"Atrasado","En ruta"),IF($L2571&lt;=$K2571,"Sí","No")))</f>
        <v/>
      </c>
      <c r="O2571" s="24">
        <f>IF($A2571="","",COUNTIFS(NOVEDADES!$D$4:$D$1503,$A2571))</f>
        <v/>
      </c>
      <c r="P2571" s="28">
        <f>IF($A2571="","",IF(COUNTIFS(NOVEDADES!$D$4:$D$1503,$A2571,NOVEDADES!$O$4:$O$1503,"SÍ")&gt;0,"No","Sí"))</f>
        <v/>
      </c>
      <c r="Q2571" s="28">
        <f>IF(OR($A2571="",$L2571=""),"",IF(AND($N2571="Sí",$P2571="Sí"),"OTIF","Falló"))</f>
        <v/>
      </c>
    </row>
    <row r="2572" ht="16" customHeight="1">
      <c r="A2572" s="48" t="n"/>
      <c r="B2572" s="48" t="n"/>
      <c r="C2572" s="47" t="n"/>
      <c r="D2572" s="50" t="n"/>
      <c r="E2572" s="50" t="n"/>
      <c r="F2572" s="50" t="n"/>
      <c r="G2572" s="50" t="n"/>
      <c r="H2572" s="48" t="n"/>
      <c r="I2572" s="51" t="n"/>
      <c r="J2572" s="52" t="n"/>
      <c r="K2572" s="47" t="n"/>
      <c r="L2572" s="47" t="n"/>
      <c r="M2572" s="24">
        <f>IF(OR($A2572="",$C2572=""),"",IF($L2572&lt;&gt;"",$L2572-$C2572,TODAY()-$C2572))</f>
        <v/>
      </c>
      <c r="N2572" s="28">
        <f>IF(OR($A2572="",$K2572=""),"",IF($L2572="",IF(TODAY()&gt;$K2572,"Atrasado","En ruta"),IF($L2572&lt;=$K2572,"Sí","No")))</f>
        <v/>
      </c>
      <c r="O2572" s="24">
        <f>IF($A2572="","",COUNTIFS(NOVEDADES!$D$4:$D$1503,$A2572))</f>
        <v/>
      </c>
      <c r="P2572" s="28">
        <f>IF($A2572="","",IF(COUNTIFS(NOVEDADES!$D$4:$D$1503,$A2572,NOVEDADES!$O$4:$O$1503,"SÍ")&gt;0,"No","Sí"))</f>
        <v/>
      </c>
      <c r="Q2572" s="28">
        <f>IF(OR($A2572="",$L2572=""),"",IF(AND($N2572="Sí",$P2572="Sí"),"OTIF","Falló"))</f>
        <v/>
      </c>
    </row>
    <row r="2573" ht="16" customHeight="1">
      <c r="A2573" s="48" t="n"/>
      <c r="B2573" s="48" t="n"/>
      <c r="C2573" s="47" t="n"/>
      <c r="D2573" s="50" t="n"/>
      <c r="E2573" s="50" t="n"/>
      <c r="F2573" s="50" t="n"/>
      <c r="G2573" s="50" t="n"/>
      <c r="H2573" s="48" t="n"/>
      <c r="I2573" s="51" t="n"/>
      <c r="J2573" s="52" t="n"/>
      <c r="K2573" s="47" t="n"/>
      <c r="L2573" s="47" t="n"/>
      <c r="M2573" s="24">
        <f>IF(OR($A2573="",$C2573=""),"",IF($L2573&lt;&gt;"",$L2573-$C2573,TODAY()-$C2573))</f>
        <v/>
      </c>
      <c r="N2573" s="28">
        <f>IF(OR($A2573="",$K2573=""),"",IF($L2573="",IF(TODAY()&gt;$K2573,"Atrasado","En ruta"),IF($L2573&lt;=$K2573,"Sí","No")))</f>
        <v/>
      </c>
      <c r="O2573" s="24">
        <f>IF($A2573="","",COUNTIFS(NOVEDADES!$D$4:$D$1503,$A2573))</f>
        <v/>
      </c>
      <c r="P2573" s="28">
        <f>IF($A2573="","",IF(COUNTIFS(NOVEDADES!$D$4:$D$1503,$A2573,NOVEDADES!$O$4:$O$1503,"SÍ")&gt;0,"No","Sí"))</f>
        <v/>
      </c>
      <c r="Q2573" s="28">
        <f>IF(OR($A2573="",$L2573=""),"",IF(AND($N2573="Sí",$P2573="Sí"),"OTIF","Falló"))</f>
        <v/>
      </c>
    </row>
    <row r="2574" ht="16" customHeight="1">
      <c r="A2574" s="48" t="n"/>
      <c r="B2574" s="48" t="n"/>
      <c r="C2574" s="47" t="n"/>
      <c r="D2574" s="50" t="n"/>
      <c r="E2574" s="50" t="n"/>
      <c r="F2574" s="50" t="n"/>
      <c r="G2574" s="50" t="n"/>
      <c r="H2574" s="48" t="n"/>
      <c r="I2574" s="51" t="n"/>
      <c r="J2574" s="52" t="n"/>
      <c r="K2574" s="47" t="n"/>
      <c r="L2574" s="47" t="n"/>
      <c r="M2574" s="24">
        <f>IF(OR($A2574="",$C2574=""),"",IF($L2574&lt;&gt;"",$L2574-$C2574,TODAY()-$C2574))</f>
        <v/>
      </c>
      <c r="N2574" s="28">
        <f>IF(OR($A2574="",$K2574=""),"",IF($L2574="",IF(TODAY()&gt;$K2574,"Atrasado","En ruta"),IF($L2574&lt;=$K2574,"Sí","No")))</f>
        <v/>
      </c>
      <c r="O2574" s="24">
        <f>IF($A2574="","",COUNTIFS(NOVEDADES!$D$4:$D$1503,$A2574))</f>
        <v/>
      </c>
      <c r="P2574" s="28">
        <f>IF($A2574="","",IF(COUNTIFS(NOVEDADES!$D$4:$D$1503,$A2574,NOVEDADES!$O$4:$O$1503,"SÍ")&gt;0,"No","Sí"))</f>
        <v/>
      </c>
      <c r="Q2574" s="28">
        <f>IF(OR($A2574="",$L2574=""),"",IF(AND($N2574="Sí",$P2574="Sí"),"OTIF","Falló"))</f>
        <v/>
      </c>
    </row>
    <row r="2575" ht="16" customHeight="1">
      <c r="A2575" s="48" t="n"/>
      <c r="B2575" s="48" t="n"/>
      <c r="C2575" s="47" t="n"/>
      <c r="D2575" s="50" t="n"/>
      <c r="E2575" s="50" t="n"/>
      <c r="F2575" s="50" t="n"/>
      <c r="G2575" s="50" t="n"/>
      <c r="H2575" s="48" t="n"/>
      <c r="I2575" s="51" t="n"/>
      <c r="J2575" s="52" t="n"/>
      <c r="K2575" s="47" t="n"/>
      <c r="L2575" s="47" t="n"/>
      <c r="M2575" s="24">
        <f>IF(OR($A2575="",$C2575=""),"",IF($L2575&lt;&gt;"",$L2575-$C2575,TODAY()-$C2575))</f>
        <v/>
      </c>
      <c r="N2575" s="28">
        <f>IF(OR($A2575="",$K2575=""),"",IF($L2575="",IF(TODAY()&gt;$K2575,"Atrasado","En ruta"),IF($L2575&lt;=$K2575,"Sí","No")))</f>
        <v/>
      </c>
      <c r="O2575" s="24">
        <f>IF($A2575="","",COUNTIFS(NOVEDADES!$D$4:$D$1503,$A2575))</f>
        <v/>
      </c>
      <c r="P2575" s="28">
        <f>IF($A2575="","",IF(COUNTIFS(NOVEDADES!$D$4:$D$1503,$A2575,NOVEDADES!$O$4:$O$1503,"SÍ")&gt;0,"No","Sí"))</f>
        <v/>
      </c>
      <c r="Q2575" s="28">
        <f>IF(OR($A2575="",$L2575=""),"",IF(AND($N2575="Sí",$P2575="Sí"),"OTIF","Falló"))</f>
        <v/>
      </c>
    </row>
    <row r="2576" ht="16" customHeight="1">
      <c r="A2576" s="48" t="n"/>
      <c r="B2576" s="48" t="n"/>
      <c r="C2576" s="47" t="n"/>
      <c r="D2576" s="50" t="n"/>
      <c r="E2576" s="50" t="n"/>
      <c r="F2576" s="50" t="n"/>
      <c r="G2576" s="50" t="n"/>
      <c r="H2576" s="48" t="n"/>
      <c r="I2576" s="51" t="n"/>
      <c r="J2576" s="52" t="n"/>
      <c r="K2576" s="47" t="n"/>
      <c r="L2576" s="47" t="n"/>
      <c r="M2576" s="24">
        <f>IF(OR($A2576="",$C2576=""),"",IF($L2576&lt;&gt;"",$L2576-$C2576,TODAY()-$C2576))</f>
        <v/>
      </c>
      <c r="N2576" s="28">
        <f>IF(OR($A2576="",$K2576=""),"",IF($L2576="",IF(TODAY()&gt;$K2576,"Atrasado","En ruta"),IF($L2576&lt;=$K2576,"Sí","No")))</f>
        <v/>
      </c>
      <c r="O2576" s="24">
        <f>IF($A2576="","",COUNTIFS(NOVEDADES!$D$4:$D$1503,$A2576))</f>
        <v/>
      </c>
      <c r="P2576" s="28">
        <f>IF($A2576="","",IF(COUNTIFS(NOVEDADES!$D$4:$D$1503,$A2576,NOVEDADES!$O$4:$O$1503,"SÍ")&gt;0,"No","Sí"))</f>
        <v/>
      </c>
      <c r="Q2576" s="28">
        <f>IF(OR($A2576="",$L2576=""),"",IF(AND($N2576="Sí",$P2576="Sí"),"OTIF","Falló"))</f>
        <v/>
      </c>
    </row>
    <row r="2577" ht="16" customHeight="1">
      <c r="A2577" s="48" t="n"/>
      <c r="B2577" s="48" t="n"/>
      <c r="C2577" s="47" t="n"/>
      <c r="D2577" s="50" t="n"/>
      <c r="E2577" s="50" t="n"/>
      <c r="F2577" s="50" t="n"/>
      <c r="G2577" s="50" t="n"/>
      <c r="H2577" s="48" t="n"/>
      <c r="I2577" s="51" t="n"/>
      <c r="J2577" s="52" t="n"/>
      <c r="K2577" s="47" t="n"/>
      <c r="L2577" s="47" t="n"/>
      <c r="M2577" s="24">
        <f>IF(OR($A2577="",$C2577=""),"",IF($L2577&lt;&gt;"",$L2577-$C2577,TODAY()-$C2577))</f>
        <v/>
      </c>
      <c r="N2577" s="28">
        <f>IF(OR($A2577="",$K2577=""),"",IF($L2577="",IF(TODAY()&gt;$K2577,"Atrasado","En ruta"),IF($L2577&lt;=$K2577,"Sí","No")))</f>
        <v/>
      </c>
      <c r="O2577" s="24">
        <f>IF($A2577="","",COUNTIFS(NOVEDADES!$D$4:$D$1503,$A2577))</f>
        <v/>
      </c>
      <c r="P2577" s="28">
        <f>IF($A2577="","",IF(COUNTIFS(NOVEDADES!$D$4:$D$1503,$A2577,NOVEDADES!$O$4:$O$1503,"SÍ")&gt;0,"No","Sí"))</f>
        <v/>
      </c>
      <c r="Q2577" s="28">
        <f>IF(OR($A2577="",$L2577=""),"",IF(AND($N2577="Sí",$P2577="Sí"),"OTIF","Falló"))</f>
        <v/>
      </c>
    </row>
    <row r="2578" ht="16" customHeight="1">
      <c r="A2578" s="48" t="n"/>
      <c r="B2578" s="48" t="n"/>
      <c r="C2578" s="47" t="n"/>
      <c r="D2578" s="50" t="n"/>
      <c r="E2578" s="50" t="n"/>
      <c r="F2578" s="50" t="n"/>
      <c r="G2578" s="50" t="n"/>
      <c r="H2578" s="48" t="n"/>
      <c r="I2578" s="51" t="n"/>
      <c r="J2578" s="52" t="n"/>
      <c r="K2578" s="47" t="n"/>
      <c r="L2578" s="47" t="n"/>
      <c r="M2578" s="24">
        <f>IF(OR($A2578="",$C2578=""),"",IF($L2578&lt;&gt;"",$L2578-$C2578,TODAY()-$C2578))</f>
        <v/>
      </c>
      <c r="N2578" s="28">
        <f>IF(OR($A2578="",$K2578=""),"",IF($L2578="",IF(TODAY()&gt;$K2578,"Atrasado","En ruta"),IF($L2578&lt;=$K2578,"Sí","No")))</f>
        <v/>
      </c>
      <c r="O2578" s="24">
        <f>IF($A2578="","",COUNTIFS(NOVEDADES!$D$4:$D$1503,$A2578))</f>
        <v/>
      </c>
      <c r="P2578" s="28">
        <f>IF($A2578="","",IF(COUNTIFS(NOVEDADES!$D$4:$D$1503,$A2578,NOVEDADES!$O$4:$O$1503,"SÍ")&gt;0,"No","Sí"))</f>
        <v/>
      </c>
      <c r="Q2578" s="28">
        <f>IF(OR($A2578="",$L2578=""),"",IF(AND($N2578="Sí",$P2578="Sí"),"OTIF","Falló"))</f>
        <v/>
      </c>
    </row>
    <row r="2579" ht="16" customHeight="1">
      <c r="A2579" s="48" t="n"/>
      <c r="B2579" s="48" t="n"/>
      <c r="C2579" s="47" t="n"/>
      <c r="D2579" s="50" t="n"/>
      <c r="E2579" s="50" t="n"/>
      <c r="F2579" s="50" t="n"/>
      <c r="G2579" s="50" t="n"/>
      <c r="H2579" s="48" t="n"/>
      <c r="I2579" s="51" t="n"/>
      <c r="J2579" s="52" t="n"/>
      <c r="K2579" s="47" t="n"/>
      <c r="L2579" s="47" t="n"/>
      <c r="M2579" s="24">
        <f>IF(OR($A2579="",$C2579=""),"",IF($L2579&lt;&gt;"",$L2579-$C2579,TODAY()-$C2579))</f>
        <v/>
      </c>
      <c r="N2579" s="28">
        <f>IF(OR($A2579="",$K2579=""),"",IF($L2579="",IF(TODAY()&gt;$K2579,"Atrasado","En ruta"),IF($L2579&lt;=$K2579,"Sí","No")))</f>
        <v/>
      </c>
      <c r="O2579" s="24">
        <f>IF($A2579="","",COUNTIFS(NOVEDADES!$D$4:$D$1503,$A2579))</f>
        <v/>
      </c>
      <c r="P2579" s="28">
        <f>IF($A2579="","",IF(COUNTIFS(NOVEDADES!$D$4:$D$1503,$A2579,NOVEDADES!$O$4:$O$1503,"SÍ")&gt;0,"No","Sí"))</f>
        <v/>
      </c>
      <c r="Q2579" s="28">
        <f>IF(OR($A2579="",$L2579=""),"",IF(AND($N2579="Sí",$P2579="Sí"),"OTIF","Falló"))</f>
        <v/>
      </c>
    </row>
    <row r="2580" ht="16" customHeight="1">
      <c r="A2580" s="48" t="n"/>
      <c r="B2580" s="48" t="n"/>
      <c r="C2580" s="47" t="n"/>
      <c r="D2580" s="50" t="n"/>
      <c r="E2580" s="50" t="n"/>
      <c r="F2580" s="50" t="n"/>
      <c r="G2580" s="50" t="n"/>
      <c r="H2580" s="48" t="n"/>
      <c r="I2580" s="51" t="n"/>
      <c r="J2580" s="52" t="n"/>
      <c r="K2580" s="47" t="n"/>
      <c r="L2580" s="47" t="n"/>
      <c r="M2580" s="24">
        <f>IF(OR($A2580="",$C2580=""),"",IF($L2580&lt;&gt;"",$L2580-$C2580,TODAY()-$C2580))</f>
        <v/>
      </c>
      <c r="N2580" s="28">
        <f>IF(OR($A2580="",$K2580=""),"",IF($L2580="",IF(TODAY()&gt;$K2580,"Atrasado","En ruta"),IF($L2580&lt;=$K2580,"Sí","No")))</f>
        <v/>
      </c>
      <c r="O2580" s="24">
        <f>IF($A2580="","",COUNTIFS(NOVEDADES!$D$4:$D$1503,$A2580))</f>
        <v/>
      </c>
      <c r="P2580" s="28">
        <f>IF($A2580="","",IF(COUNTIFS(NOVEDADES!$D$4:$D$1503,$A2580,NOVEDADES!$O$4:$O$1503,"SÍ")&gt;0,"No","Sí"))</f>
        <v/>
      </c>
      <c r="Q2580" s="28">
        <f>IF(OR($A2580="",$L2580=""),"",IF(AND($N2580="Sí",$P2580="Sí"),"OTIF","Falló"))</f>
        <v/>
      </c>
    </row>
    <row r="2581" ht="16" customHeight="1">
      <c r="A2581" s="48" t="n"/>
      <c r="B2581" s="48" t="n"/>
      <c r="C2581" s="47" t="n"/>
      <c r="D2581" s="50" t="n"/>
      <c r="E2581" s="50" t="n"/>
      <c r="F2581" s="50" t="n"/>
      <c r="G2581" s="50" t="n"/>
      <c r="H2581" s="48" t="n"/>
      <c r="I2581" s="51" t="n"/>
      <c r="J2581" s="52" t="n"/>
      <c r="K2581" s="47" t="n"/>
      <c r="L2581" s="47" t="n"/>
      <c r="M2581" s="24">
        <f>IF(OR($A2581="",$C2581=""),"",IF($L2581&lt;&gt;"",$L2581-$C2581,TODAY()-$C2581))</f>
        <v/>
      </c>
      <c r="N2581" s="28">
        <f>IF(OR($A2581="",$K2581=""),"",IF($L2581="",IF(TODAY()&gt;$K2581,"Atrasado","En ruta"),IF($L2581&lt;=$K2581,"Sí","No")))</f>
        <v/>
      </c>
      <c r="O2581" s="24">
        <f>IF($A2581="","",COUNTIFS(NOVEDADES!$D$4:$D$1503,$A2581))</f>
        <v/>
      </c>
      <c r="P2581" s="28">
        <f>IF($A2581="","",IF(COUNTIFS(NOVEDADES!$D$4:$D$1503,$A2581,NOVEDADES!$O$4:$O$1503,"SÍ")&gt;0,"No","Sí"))</f>
        <v/>
      </c>
      <c r="Q2581" s="28">
        <f>IF(OR($A2581="",$L2581=""),"",IF(AND($N2581="Sí",$P2581="Sí"),"OTIF","Falló"))</f>
        <v/>
      </c>
    </row>
    <row r="2582" ht="16" customHeight="1">
      <c r="A2582" s="48" t="n"/>
      <c r="B2582" s="48" t="n"/>
      <c r="C2582" s="47" t="n"/>
      <c r="D2582" s="50" t="n"/>
      <c r="E2582" s="50" t="n"/>
      <c r="F2582" s="50" t="n"/>
      <c r="G2582" s="50" t="n"/>
      <c r="H2582" s="48" t="n"/>
      <c r="I2582" s="51" t="n"/>
      <c r="J2582" s="52" t="n"/>
      <c r="K2582" s="47" t="n"/>
      <c r="L2582" s="47" t="n"/>
      <c r="M2582" s="24">
        <f>IF(OR($A2582="",$C2582=""),"",IF($L2582&lt;&gt;"",$L2582-$C2582,TODAY()-$C2582))</f>
        <v/>
      </c>
      <c r="N2582" s="28">
        <f>IF(OR($A2582="",$K2582=""),"",IF($L2582="",IF(TODAY()&gt;$K2582,"Atrasado","En ruta"),IF($L2582&lt;=$K2582,"Sí","No")))</f>
        <v/>
      </c>
      <c r="O2582" s="24">
        <f>IF($A2582="","",COUNTIFS(NOVEDADES!$D$4:$D$1503,$A2582))</f>
        <v/>
      </c>
      <c r="P2582" s="28">
        <f>IF($A2582="","",IF(COUNTIFS(NOVEDADES!$D$4:$D$1503,$A2582,NOVEDADES!$O$4:$O$1503,"SÍ")&gt;0,"No","Sí"))</f>
        <v/>
      </c>
      <c r="Q2582" s="28">
        <f>IF(OR($A2582="",$L2582=""),"",IF(AND($N2582="Sí",$P2582="Sí"),"OTIF","Falló"))</f>
        <v/>
      </c>
    </row>
    <row r="2583" ht="16" customHeight="1">
      <c r="A2583" s="48" t="n"/>
      <c r="B2583" s="48" t="n"/>
      <c r="C2583" s="47" t="n"/>
      <c r="D2583" s="50" t="n"/>
      <c r="E2583" s="50" t="n"/>
      <c r="F2583" s="50" t="n"/>
      <c r="G2583" s="50" t="n"/>
      <c r="H2583" s="48" t="n"/>
      <c r="I2583" s="51" t="n"/>
      <c r="J2583" s="52" t="n"/>
      <c r="K2583" s="47" t="n"/>
      <c r="L2583" s="47" t="n"/>
      <c r="M2583" s="24">
        <f>IF(OR($A2583="",$C2583=""),"",IF($L2583&lt;&gt;"",$L2583-$C2583,TODAY()-$C2583))</f>
        <v/>
      </c>
      <c r="N2583" s="28">
        <f>IF(OR($A2583="",$K2583=""),"",IF($L2583="",IF(TODAY()&gt;$K2583,"Atrasado","En ruta"),IF($L2583&lt;=$K2583,"Sí","No")))</f>
        <v/>
      </c>
      <c r="O2583" s="24">
        <f>IF($A2583="","",COUNTIFS(NOVEDADES!$D$4:$D$1503,$A2583))</f>
        <v/>
      </c>
      <c r="P2583" s="28">
        <f>IF($A2583="","",IF(COUNTIFS(NOVEDADES!$D$4:$D$1503,$A2583,NOVEDADES!$O$4:$O$1503,"SÍ")&gt;0,"No","Sí"))</f>
        <v/>
      </c>
      <c r="Q2583" s="28">
        <f>IF(OR($A2583="",$L2583=""),"",IF(AND($N2583="Sí",$P2583="Sí"),"OTIF","Falló"))</f>
        <v/>
      </c>
    </row>
    <row r="2584" ht="16" customHeight="1">
      <c r="A2584" s="48" t="n"/>
      <c r="B2584" s="48" t="n"/>
      <c r="C2584" s="47" t="n"/>
      <c r="D2584" s="50" t="n"/>
      <c r="E2584" s="50" t="n"/>
      <c r="F2584" s="50" t="n"/>
      <c r="G2584" s="50" t="n"/>
      <c r="H2584" s="48" t="n"/>
      <c r="I2584" s="51" t="n"/>
      <c r="J2584" s="52" t="n"/>
      <c r="K2584" s="47" t="n"/>
      <c r="L2584" s="47" t="n"/>
      <c r="M2584" s="24">
        <f>IF(OR($A2584="",$C2584=""),"",IF($L2584&lt;&gt;"",$L2584-$C2584,TODAY()-$C2584))</f>
        <v/>
      </c>
      <c r="N2584" s="28">
        <f>IF(OR($A2584="",$K2584=""),"",IF($L2584="",IF(TODAY()&gt;$K2584,"Atrasado","En ruta"),IF($L2584&lt;=$K2584,"Sí","No")))</f>
        <v/>
      </c>
      <c r="O2584" s="24">
        <f>IF($A2584="","",COUNTIFS(NOVEDADES!$D$4:$D$1503,$A2584))</f>
        <v/>
      </c>
      <c r="P2584" s="28">
        <f>IF($A2584="","",IF(COUNTIFS(NOVEDADES!$D$4:$D$1503,$A2584,NOVEDADES!$O$4:$O$1503,"SÍ")&gt;0,"No","Sí"))</f>
        <v/>
      </c>
      <c r="Q2584" s="28">
        <f>IF(OR($A2584="",$L2584=""),"",IF(AND($N2584="Sí",$P2584="Sí"),"OTIF","Falló"))</f>
        <v/>
      </c>
    </row>
    <row r="2585" ht="16" customHeight="1">
      <c r="A2585" s="48" t="n"/>
      <c r="B2585" s="48" t="n"/>
      <c r="C2585" s="47" t="n"/>
      <c r="D2585" s="50" t="n"/>
      <c r="E2585" s="50" t="n"/>
      <c r="F2585" s="50" t="n"/>
      <c r="G2585" s="50" t="n"/>
      <c r="H2585" s="48" t="n"/>
      <c r="I2585" s="51" t="n"/>
      <c r="J2585" s="52" t="n"/>
      <c r="K2585" s="47" t="n"/>
      <c r="L2585" s="47" t="n"/>
      <c r="M2585" s="24">
        <f>IF(OR($A2585="",$C2585=""),"",IF($L2585&lt;&gt;"",$L2585-$C2585,TODAY()-$C2585))</f>
        <v/>
      </c>
      <c r="N2585" s="28">
        <f>IF(OR($A2585="",$K2585=""),"",IF($L2585="",IF(TODAY()&gt;$K2585,"Atrasado","En ruta"),IF($L2585&lt;=$K2585,"Sí","No")))</f>
        <v/>
      </c>
      <c r="O2585" s="24">
        <f>IF($A2585="","",COUNTIFS(NOVEDADES!$D$4:$D$1503,$A2585))</f>
        <v/>
      </c>
      <c r="P2585" s="28">
        <f>IF($A2585="","",IF(COUNTIFS(NOVEDADES!$D$4:$D$1503,$A2585,NOVEDADES!$O$4:$O$1503,"SÍ")&gt;0,"No","Sí"))</f>
        <v/>
      </c>
      <c r="Q2585" s="28">
        <f>IF(OR($A2585="",$L2585=""),"",IF(AND($N2585="Sí",$P2585="Sí"),"OTIF","Falló"))</f>
        <v/>
      </c>
    </row>
    <row r="2586" ht="16" customHeight="1">
      <c r="A2586" s="48" t="n"/>
      <c r="B2586" s="48" t="n"/>
      <c r="C2586" s="47" t="n"/>
      <c r="D2586" s="50" t="n"/>
      <c r="E2586" s="50" t="n"/>
      <c r="F2586" s="50" t="n"/>
      <c r="G2586" s="50" t="n"/>
      <c r="H2586" s="48" t="n"/>
      <c r="I2586" s="51" t="n"/>
      <c r="J2586" s="52" t="n"/>
      <c r="K2586" s="47" t="n"/>
      <c r="L2586" s="47" t="n"/>
      <c r="M2586" s="24">
        <f>IF(OR($A2586="",$C2586=""),"",IF($L2586&lt;&gt;"",$L2586-$C2586,TODAY()-$C2586))</f>
        <v/>
      </c>
      <c r="N2586" s="28">
        <f>IF(OR($A2586="",$K2586=""),"",IF($L2586="",IF(TODAY()&gt;$K2586,"Atrasado","En ruta"),IF($L2586&lt;=$K2586,"Sí","No")))</f>
        <v/>
      </c>
      <c r="O2586" s="24">
        <f>IF($A2586="","",COUNTIFS(NOVEDADES!$D$4:$D$1503,$A2586))</f>
        <v/>
      </c>
      <c r="P2586" s="28">
        <f>IF($A2586="","",IF(COUNTIFS(NOVEDADES!$D$4:$D$1503,$A2586,NOVEDADES!$O$4:$O$1503,"SÍ")&gt;0,"No","Sí"))</f>
        <v/>
      </c>
      <c r="Q2586" s="28">
        <f>IF(OR($A2586="",$L2586=""),"",IF(AND($N2586="Sí",$P2586="Sí"),"OTIF","Falló"))</f>
        <v/>
      </c>
    </row>
    <row r="2587" ht="16" customHeight="1">
      <c r="A2587" s="48" t="n"/>
      <c r="B2587" s="48" t="n"/>
      <c r="C2587" s="47" t="n"/>
      <c r="D2587" s="50" t="n"/>
      <c r="E2587" s="50" t="n"/>
      <c r="F2587" s="50" t="n"/>
      <c r="G2587" s="50" t="n"/>
      <c r="H2587" s="48" t="n"/>
      <c r="I2587" s="51" t="n"/>
      <c r="J2587" s="52" t="n"/>
      <c r="K2587" s="47" t="n"/>
      <c r="L2587" s="47" t="n"/>
      <c r="M2587" s="24">
        <f>IF(OR($A2587="",$C2587=""),"",IF($L2587&lt;&gt;"",$L2587-$C2587,TODAY()-$C2587))</f>
        <v/>
      </c>
      <c r="N2587" s="28">
        <f>IF(OR($A2587="",$K2587=""),"",IF($L2587="",IF(TODAY()&gt;$K2587,"Atrasado","En ruta"),IF($L2587&lt;=$K2587,"Sí","No")))</f>
        <v/>
      </c>
      <c r="O2587" s="24">
        <f>IF($A2587="","",COUNTIFS(NOVEDADES!$D$4:$D$1503,$A2587))</f>
        <v/>
      </c>
      <c r="P2587" s="28">
        <f>IF($A2587="","",IF(COUNTIFS(NOVEDADES!$D$4:$D$1503,$A2587,NOVEDADES!$O$4:$O$1503,"SÍ")&gt;0,"No","Sí"))</f>
        <v/>
      </c>
      <c r="Q2587" s="28">
        <f>IF(OR($A2587="",$L2587=""),"",IF(AND($N2587="Sí",$P2587="Sí"),"OTIF","Falló"))</f>
        <v/>
      </c>
    </row>
    <row r="2588" ht="16" customHeight="1">
      <c r="A2588" s="48" t="n"/>
      <c r="B2588" s="48" t="n"/>
      <c r="C2588" s="47" t="n"/>
      <c r="D2588" s="50" t="n"/>
      <c r="E2588" s="50" t="n"/>
      <c r="F2588" s="50" t="n"/>
      <c r="G2588" s="50" t="n"/>
      <c r="H2588" s="48" t="n"/>
      <c r="I2588" s="51" t="n"/>
      <c r="J2588" s="52" t="n"/>
      <c r="K2588" s="47" t="n"/>
      <c r="L2588" s="47" t="n"/>
      <c r="M2588" s="24">
        <f>IF(OR($A2588="",$C2588=""),"",IF($L2588&lt;&gt;"",$L2588-$C2588,TODAY()-$C2588))</f>
        <v/>
      </c>
      <c r="N2588" s="28">
        <f>IF(OR($A2588="",$K2588=""),"",IF($L2588="",IF(TODAY()&gt;$K2588,"Atrasado","En ruta"),IF($L2588&lt;=$K2588,"Sí","No")))</f>
        <v/>
      </c>
      <c r="O2588" s="24">
        <f>IF($A2588="","",COUNTIFS(NOVEDADES!$D$4:$D$1503,$A2588))</f>
        <v/>
      </c>
      <c r="P2588" s="28">
        <f>IF($A2588="","",IF(COUNTIFS(NOVEDADES!$D$4:$D$1503,$A2588,NOVEDADES!$O$4:$O$1503,"SÍ")&gt;0,"No","Sí"))</f>
        <v/>
      </c>
      <c r="Q2588" s="28">
        <f>IF(OR($A2588="",$L2588=""),"",IF(AND($N2588="Sí",$P2588="Sí"),"OTIF","Falló"))</f>
        <v/>
      </c>
    </row>
    <row r="2589" ht="16" customHeight="1">
      <c r="A2589" s="48" t="n"/>
      <c r="B2589" s="48" t="n"/>
      <c r="C2589" s="47" t="n"/>
      <c r="D2589" s="50" t="n"/>
      <c r="E2589" s="50" t="n"/>
      <c r="F2589" s="50" t="n"/>
      <c r="G2589" s="50" t="n"/>
      <c r="H2589" s="48" t="n"/>
      <c r="I2589" s="51" t="n"/>
      <c r="J2589" s="52" t="n"/>
      <c r="K2589" s="47" t="n"/>
      <c r="L2589" s="47" t="n"/>
      <c r="M2589" s="24">
        <f>IF(OR($A2589="",$C2589=""),"",IF($L2589&lt;&gt;"",$L2589-$C2589,TODAY()-$C2589))</f>
        <v/>
      </c>
      <c r="N2589" s="28">
        <f>IF(OR($A2589="",$K2589=""),"",IF($L2589="",IF(TODAY()&gt;$K2589,"Atrasado","En ruta"),IF($L2589&lt;=$K2589,"Sí","No")))</f>
        <v/>
      </c>
      <c r="O2589" s="24">
        <f>IF($A2589="","",COUNTIFS(NOVEDADES!$D$4:$D$1503,$A2589))</f>
        <v/>
      </c>
      <c r="P2589" s="28">
        <f>IF($A2589="","",IF(COUNTIFS(NOVEDADES!$D$4:$D$1503,$A2589,NOVEDADES!$O$4:$O$1503,"SÍ")&gt;0,"No","Sí"))</f>
        <v/>
      </c>
      <c r="Q2589" s="28">
        <f>IF(OR($A2589="",$L2589=""),"",IF(AND($N2589="Sí",$P2589="Sí"),"OTIF","Falló"))</f>
        <v/>
      </c>
    </row>
    <row r="2590" ht="16" customHeight="1">
      <c r="A2590" s="48" t="n"/>
      <c r="B2590" s="48" t="n"/>
      <c r="C2590" s="47" t="n"/>
      <c r="D2590" s="50" t="n"/>
      <c r="E2590" s="50" t="n"/>
      <c r="F2590" s="50" t="n"/>
      <c r="G2590" s="50" t="n"/>
      <c r="H2590" s="48" t="n"/>
      <c r="I2590" s="51" t="n"/>
      <c r="J2590" s="52" t="n"/>
      <c r="K2590" s="47" t="n"/>
      <c r="L2590" s="47" t="n"/>
      <c r="M2590" s="24">
        <f>IF(OR($A2590="",$C2590=""),"",IF($L2590&lt;&gt;"",$L2590-$C2590,TODAY()-$C2590))</f>
        <v/>
      </c>
      <c r="N2590" s="28">
        <f>IF(OR($A2590="",$K2590=""),"",IF($L2590="",IF(TODAY()&gt;$K2590,"Atrasado","En ruta"),IF($L2590&lt;=$K2590,"Sí","No")))</f>
        <v/>
      </c>
      <c r="O2590" s="24">
        <f>IF($A2590="","",COUNTIFS(NOVEDADES!$D$4:$D$1503,$A2590))</f>
        <v/>
      </c>
      <c r="P2590" s="28">
        <f>IF($A2590="","",IF(COUNTIFS(NOVEDADES!$D$4:$D$1503,$A2590,NOVEDADES!$O$4:$O$1503,"SÍ")&gt;0,"No","Sí"))</f>
        <v/>
      </c>
      <c r="Q2590" s="28">
        <f>IF(OR($A2590="",$L2590=""),"",IF(AND($N2590="Sí",$P2590="Sí"),"OTIF","Falló"))</f>
        <v/>
      </c>
    </row>
    <row r="2591" ht="16" customHeight="1">
      <c r="A2591" s="48" t="n"/>
      <c r="B2591" s="48" t="n"/>
      <c r="C2591" s="47" t="n"/>
      <c r="D2591" s="50" t="n"/>
      <c r="E2591" s="50" t="n"/>
      <c r="F2591" s="50" t="n"/>
      <c r="G2591" s="50" t="n"/>
      <c r="H2591" s="48" t="n"/>
      <c r="I2591" s="51" t="n"/>
      <c r="J2591" s="52" t="n"/>
      <c r="K2591" s="47" t="n"/>
      <c r="L2591" s="47" t="n"/>
      <c r="M2591" s="24">
        <f>IF(OR($A2591="",$C2591=""),"",IF($L2591&lt;&gt;"",$L2591-$C2591,TODAY()-$C2591))</f>
        <v/>
      </c>
      <c r="N2591" s="28">
        <f>IF(OR($A2591="",$K2591=""),"",IF($L2591="",IF(TODAY()&gt;$K2591,"Atrasado","En ruta"),IF($L2591&lt;=$K2591,"Sí","No")))</f>
        <v/>
      </c>
      <c r="O2591" s="24">
        <f>IF($A2591="","",COUNTIFS(NOVEDADES!$D$4:$D$1503,$A2591))</f>
        <v/>
      </c>
      <c r="P2591" s="28">
        <f>IF($A2591="","",IF(COUNTIFS(NOVEDADES!$D$4:$D$1503,$A2591,NOVEDADES!$O$4:$O$1503,"SÍ")&gt;0,"No","Sí"))</f>
        <v/>
      </c>
      <c r="Q2591" s="28">
        <f>IF(OR($A2591="",$L2591=""),"",IF(AND($N2591="Sí",$P2591="Sí"),"OTIF","Falló"))</f>
        <v/>
      </c>
    </row>
    <row r="2592" ht="16" customHeight="1">
      <c r="A2592" s="48" t="n"/>
      <c r="B2592" s="48" t="n"/>
      <c r="C2592" s="47" t="n"/>
      <c r="D2592" s="50" t="n"/>
      <c r="E2592" s="50" t="n"/>
      <c r="F2592" s="50" t="n"/>
      <c r="G2592" s="50" t="n"/>
      <c r="H2592" s="48" t="n"/>
      <c r="I2592" s="51" t="n"/>
      <c r="J2592" s="52" t="n"/>
      <c r="K2592" s="47" t="n"/>
      <c r="L2592" s="47" t="n"/>
      <c r="M2592" s="24">
        <f>IF(OR($A2592="",$C2592=""),"",IF($L2592&lt;&gt;"",$L2592-$C2592,TODAY()-$C2592))</f>
        <v/>
      </c>
      <c r="N2592" s="28">
        <f>IF(OR($A2592="",$K2592=""),"",IF($L2592="",IF(TODAY()&gt;$K2592,"Atrasado","En ruta"),IF($L2592&lt;=$K2592,"Sí","No")))</f>
        <v/>
      </c>
      <c r="O2592" s="24">
        <f>IF($A2592="","",COUNTIFS(NOVEDADES!$D$4:$D$1503,$A2592))</f>
        <v/>
      </c>
      <c r="P2592" s="28">
        <f>IF($A2592="","",IF(COUNTIFS(NOVEDADES!$D$4:$D$1503,$A2592,NOVEDADES!$O$4:$O$1503,"SÍ")&gt;0,"No","Sí"))</f>
        <v/>
      </c>
      <c r="Q2592" s="28">
        <f>IF(OR($A2592="",$L2592=""),"",IF(AND($N2592="Sí",$P2592="Sí"),"OTIF","Falló"))</f>
        <v/>
      </c>
    </row>
    <row r="2593" ht="16" customHeight="1">
      <c r="A2593" s="48" t="n"/>
      <c r="B2593" s="48" t="n"/>
      <c r="C2593" s="47" t="n"/>
      <c r="D2593" s="50" t="n"/>
      <c r="E2593" s="50" t="n"/>
      <c r="F2593" s="50" t="n"/>
      <c r="G2593" s="50" t="n"/>
      <c r="H2593" s="48" t="n"/>
      <c r="I2593" s="51" t="n"/>
      <c r="J2593" s="52" t="n"/>
      <c r="K2593" s="47" t="n"/>
      <c r="L2593" s="47" t="n"/>
      <c r="M2593" s="24">
        <f>IF(OR($A2593="",$C2593=""),"",IF($L2593&lt;&gt;"",$L2593-$C2593,TODAY()-$C2593))</f>
        <v/>
      </c>
      <c r="N2593" s="28">
        <f>IF(OR($A2593="",$K2593=""),"",IF($L2593="",IF(TODAY()&gt;$K2593,"Atrasado","En ruta"),IF($L2593&lt;=$K2593,"Sí","No")))</f>
        <v/>
      </c>
      <c r="O2593" s="24">
        <f>IF($A2593="","",COUNTIFS(NOVEDADES!$D$4:$D$1503,$A2593))</f>
        <v/>
      </c>
      <c r="P2593" s="28">
        <f>IF($A2593="","",IF(COUNTIFS(NOVEDADES!$D$4:$D$1503,$A2593,NOVEDADES!$O$4:$O$1503,"SÍ")&gt;0,"No","Sí"))</f>
        <v/>
      </c>
      <c r="Q2593" s="28">
        <f>IF(OR($A2593="",$L2593=""),"",IF(AND($N2593="Sí",$P2593="Sí"),"OTIF","Falló"))</f>
        <v/>
      </c>
    </row>
    <row r="2594" ht="16" customHeight="1">
      <c r="A2594" s="48" t="n"/>
      <c r="B2594" s="48" t="n"/>
      <c r="C2594" s="47" t="n"/>
      <c r="D2594" s="50" t="n"/>
      <c r="E2594" s="50" t="n"/>
      <c r="F2594" s="50" t="n"/>
      <c r="G2594" s="50" t="n"/>
      <c r="H2594" s="48" t="n"/>
      <c r="I2594" s="51" t="n"/>
      <c r="J2594" s="52" t="n"/>
      <c r="K2594" s="47" t="n"/>
      <c r="L2594" s="47" t="n"/>
      <c r="M2594" s="24">
        <f>IF(OR($A2594="",$C2594=""),"",IF($L2594&lt;&gt;"",$L2594-$C2594,TODAY()-$C2594))</f>
        <v/>
      </c>
      <c r="N2594" s="28">
        <f>IF(OR($A2594="",$K2594=""),"",IF($L2594="",IF(TODAY()&gt;$K2594,"Atrasado","En ruta"),IF($L2594&lt;=$K2594,"Sí","No")))</f>
        <v/>
      </c>
      <c r="O2594" s="24">
        <f>IF($A2594="","",COUNTIFS(NOVEDADES!$D$4:$D$1503,$A2594))</f>
        <v/>
      </c>
      <c r="P2594" s="28">
        <f>IF($A2594="","",IF(COUNTIFS(NOVEDADES!$D$4:$D$1503,$A2594,NOVEDADES!$O$4:$O$1503,"SÍ")&gt;0,"No","Sí"))</f>
        <v/>
      </c>
      <c r="Q2594" s="28">
        <f>IF(OR($A2594="",$L2594=""),"",IF(AND($N2594="Sí",$P2594="Sí"),"OTIF","Falló"))</f>
        <v/>
      </c>
    </row>
    <row r="2595" ht="16" customHeight="1">
      <c r="A2595" s="48" t="n"/>
      <c r="B2595" s="48" t="n"/>
      <c r="C2595" s="47" t="n"/>
      <c r="D2595" s="50" t="n"/>
      <c r="E2595" s="50" t="n"/>
      <c r="F2595" s="50" t="n"/>
      <c r="G2595" s="50" t="n"/>
      <c r="H2595" s="48" t="n"/>
      <c r="I2595" s="51" t="n"/>
      <c r="J2595" s="52" t="n"/>
      <c r="K2595" s="47" t="n"/>
      <c r="L2595" s="47" t="n"/>
      <c r="M2595" s="24">
        <f>IF(OR($A2595="",$C2595=""),"",IF($L2595&lt;&gt;"",$L2595-$C2595,TODAY()-$C2595))</f>
        <v/>
      </c>
      <c r="N2595" s="28">
        <f>IF(OR($A2595="",$K2595=""),"",IF($L2595="",IF(TODAY()&gt;$K2595,"Atrasado","En ruta"),IF($L2595&lt;=$K2595,"Sí","No")))</f>
        <v/>
      </c>
      <c r="O2595" s="24">
        <f>IF($A2595="","",COUNTIFS(NOVEDADES!$D$4:$D$1503,$A2595))</f>
        <v/>
      </c>
      <c r="P2595" s="28">
        <f>IF($A2595="","",IF(COUNTIFS(NOVEDADES!$D$4:$D$1503,$A2595,NOVEDADES!$O$4:$O$1503,"SÍ")&gt;0,"No","Sí"))</f>
        <v/>
      </c>
      <c r="Q2595" s="28">
        <f>IF(OR($A2595="",$L2595=""),"",IF(AND($N2595="Sí",$P2595="Sí"),"OTIF","Falló"))</f>
        <v/>
      </c>
    </row>
    <row r="2596" ht="16" customHeight="1">
      <c r="A2596" s="48" t="n"/>
      <c r="B2596" s="48" t="n"/>
      <c r="C2596" s="47" t="n"/>
      <c r="D2596" s="50" t="n"/>
      <c r="E2596" s="50" t="n"/>
      <c r="F2596" s="50" t="n"/>
      <c r="G2596" s="50" t="n"/>
      <c r="H2596" s="48" t="n"/>
      <c r="I2596" s="51" t="n"/>
      <c r="J2596" s="52" t="n"/>
      <c r="K2596" s="47" t="n"/>
      <c r="L2596" s="47" t="n"/>
      <c r="M2596" s="24">
        <f>IF(OR($A2596="",$C2596=""),"",IF($L2596&lt;&gt;"",$L2596-$C2596,TODAY()-$C2596))</f>
        <v/>
      </c>
      <c r="N2596" s="28">
        <f>IF(OR($A2596="",$K2596=""),"",IF($L2596="",IF(TODAY()&gt;$K2596,"Atrasado","En ruta"),IF($L2596&lt;=$K2596,"Sí","No")))</f>
        <v/>
      </c>
      <c r="O2596" s="24">
        <f>IF($A2596="","",COUNTIFS(NOVEDADES!$D$4:$D$1503,$A2596))</f>
        <v/>
      </c>
      <c r="P2596" s="28">
        <f>IF($A2596="","",IF(COUNTIFS(NOVEDADES!$D$4:$D$1503,$A2596,NOVEDADES!$O$4:$O$1503,"SÍ")&gt;0,"No","Sí"))</f>
        <v/>
      </c>
      <c r="Q2596" s="28">
        <f>IF(OR($A2596="",$L2596=""),"",IF(AND($N2596="Sí",$P2596="Sí"),"OTIF","Falló"))</f>
        <v/>
      </c>
    </row>
    <row r="2597" ht="16" customHeight="1">
      <c r="A2597" s="48" t="n"/>
      <c r="B2597" s="48" t="n"/>
      <c r="C2597" s="47" t="n"/>
      <c r="D2597" s="50" t="n"/>
      <c r="E2597" s="50" t="n"/>
      <c r="F2597" s="50" t="n"/>
      <c r="G2597" s="50" t="n"/>
      <c r="H2597" s="48" t="n"/>
      <c r="I2597" s="51" t="n"/>
      <c r="J2597" s="52" t="n"/>
      <c r="K2597" s="47" t="n"/>
      <c r="L2597" s="47" t="n"/>
      <c r="M2597" s="24">
        <f>IF(OR($A2597="",$C2597=""),"",IF($L2597&lt;&gt;"",$L2597-$C2597,TODAY()-$C2597))</f>
        <v/>
      </c>
      <c r="N2597" s="28">
        <f>IF(OR($A2597="",$K2597=""),"",IF($L2597="",IF(TODAY()&gt;$K2597,"Atrasado","En ruta"),IF($L2597&lt;=$K2597,"Sí","No")))</f>
        <v/>
      </c>
      <c r="O2597" s="24">
        <f>IF($A2597="","",COUNTIFS(NOVEDADES!$D$4:$D$1503,$A2597))</f>
        <v/>
      </c>
      <c r="P2597" s="28">
        <f>IF($A2597="","",IF(COUNTIFS(NOVEDADES!$D$4:$D$1503,$A2597,NOVEDADES!$O$4:$O$1503,"SÍ")&gt;0,"No","Sí"))</f>
        <v/>
      </c>
      <c r="Q2597" s="28">
        <f>IF(OR($A2597="",$L2597=""),"",IF(AND($N2597="Sí",$P2597="Sí"),"OTIF","Falló"))</f>
        <v/>
      </c>
    </row>
    <row r="2598" ht="16" customHeight="1">
      <c r="A2598" s="48" t="n"/>
      <c r="B2598" s="48" t="n"/>
      <c r="C2598" s="47" t="n"/>
      <c r="D2598" s="50" t="n"/>
      <c r="E2598" s="50" t="n"/>
      <c r="F2598" s="50" t="n"/>
      <c r="G2598" s="50" t="n"/>
      <c r="H2598" s="48" t="n"/>
      <c r="I2598" s="51" t="n"/>
      <c r="J2598" s="52" t="n"/>
      <c r="K2598" s="47" t="n"/>
      <c r="L2598" s="47" t="n"/>
      <c r="M2598" s="24">
        <f>IF(OR($A2598="",$C2598=""),"",IF($L2598&lt;&gt;"",$L2598-$C2598,TODAY()-$C2598))</f>
        <v/>
      </c>
      <c r="N2598" s="28">
        <f>IF(OR($A2598="",$K2598=""),"",IF($L2598="",IF(TODAY()&gt;$K2598,"Atrasado","En ruta"),IF($L2598&lt;=$K2598,"Sí","No")))</f>
        <v/>
      </c>
      <c r="O2598" s="24">
        <f>IF($A2598="","",COUNTIFS(NOVEDADES!$D$4:$D$1503,$A2598))</f>
        <v/>
      </c>
      <c r="P2598" s="28">
        <f>IF($A2598="","",IF(COUNTIFS(NOVEDADES!$D$4:$D$1503,$A2598,NOVEDADES!$O$4:$O$1503,"SÍ")&gt;0,"No","Sí"))</f>
        <v/>
      </c>
      <c r="Q2598" s="28">
        <f>IF(OR($A2598="",$L2598=""),"",IF(AND($N2598="Sí",$P2598="Sí"),"OTIF","Falló"))</f>
        <v/>
      </c>
    </row>
    <row r="2599" ht="16" customHeight="1">
      <c r="A2599" s="48" t="n"/>
      <c r="B2599" s="48" t="n"/>
      <c r="C2599" s="47" t="n"/>
      <c r="D2599" s="50" t="n"/>
      <c r="E2599" s="50" t="n"/>
      <c r="F2599" s="50" t="n"/>
      <c r="G2599" s="50" t="n"/>
      <c r="H2599" s="48" t="n"/>
      <c r="I2599" s="51" t="n"/>
      <c r="J2599" s="52" t="n"/>
      <c r="K2599" s="47" t="n"/>
      <c r="L2599" s="47" t="n"/>
      <c r="M2599" s="24">
        <f>IF(OR($A2599="",$C2599=""),"",IF($L2599&lt;&gt;"",$L2599-$C2599,TODAY()-$C2599))</f>
        <v/>
      </c>
      <c r="N2599" s="28">
        <f>IF(OR($A2599="",$K2599=""),"",IF($L2599="",IF(TODAY()&gt;$K2599,"Atrasado","En ruta"),IF($L2599&lt;=$K2599,"Sí","No")))</f>
        <v/>
      </c>
      <c r="O2599" s="24">
        <f>IF($A2599="","",COUNTIFS(NOVEDADES!$D$4:$D$1503,$A2599))</f>
        <v/>
      </c>
      <c r="P2599" s="28">
        <f>IF($A2599="","",IF(COUNTIFS(NOVEDADES!$D$4:$D$1503,$A2599,NOVEDADES!$O$4:$O$1503,"SÍ")&gt;0,"No","Sí"))</f>
        <v/>
      </c>
      <c r="Q2599" s="28">
        <f>IF(OR($A2599="",$L2599=""),"",IF(AND($N2599="Sí",$P2599="Sí"),"OTIF","Falló"))</f>
        <v/>
      </c>
    </row>
    <row r="2600" ht="16" customHeight="1">
      <c r="A2600" s="48" t="n"/>
      <c r="B2600" s="48" t="n"/>
      <c r="C2600" s="47" t="n"/>
      <c r="D2600" s="50" t="n"/>
      <c r="E2600" s="50" t="n"/>
      <c r="F2600" s="50" t="n"/>
      <c r="G2600" s="50" t="n"/>
      <c r="H2600" s="48" t="n"/>
      <c r="I2600" s="51" t="n"/>
      <c r="J2600" s="52" t="n"/>
      <c r="K2600" s="47" t="n"/>
      <c r="L2600" s="47" t="n"/>
      <c r="M2600" s="24">
        <f>IF(OR($A2600="",$C2600=""),"",IF($L2600&lt;&gt;"",$L2600-$C2600,TODAY()-$C2600))</f>
        <v/>
      </c>
      <c r="N2600" s="28">
        <f>IF(OR($A2600="",$K2600=""),"",IF($L2600="",IF(TODAY()&gt;$K2600,"Atrasado","En ruta"),IF($L2600&lt;=$K2600,"Sí","No")))</f>
        <v/>
      </c>
      <c r="O2600" s="24">
        <f>IF($A2600="","",COUNTIFS(NOVEDADES!$D$4:$D$1503,$A2600))</f>
        <v/>
      </c>
      <c r="P2600" s="28">
        <f>IF($A2600="","",IF(COUNTIFS(NOVEDADES!$D$4:$D$1503,$A2600,NOVEDADES!$O$4:$O$1503,"SÍ")&gt;0,"No","Sí"))</f>
        <v/>
      </c>
      <c r="Q2600" s="28">
        <f>IF(OR($A2600="",$L2600=""),"",IF(AND($N2600="Sí",$P2600="Sí"),"OTIF","Falló"))</f>
        <v/>
      </c>
    </row>
    <row r="2601" ht="16" customHeight="1">
      <c r="A2601" s="48" t="n"/>
      <c r="B2601" s="48" t="n"/>
      <c r="C2601" s="47" t="n"/>
      <c r="D2601" s="50" t="n"/>
      <c r="E2601" s="50" t="n"/>
      <c r="F2601" s="50" t="n"/>
      <c r="G2601" s="50" t="n"/>
      <c r="H2601" s="48" t="n"/>
      <c r="I2601" s="51" t="n"/>
      <c r="J2601" s="52" t="n"/>
      <c r="K2601" s="47" t="n"/>
      <c r="L2601" s="47" t="n"/>
      <c r="M2601" s="24">
        <f>IF(OR($A2601="",$C2601=""),"",IF($L2601&lt;&gt;"",$L2601-$C2601,TODAY()-$C2601))</f>
        <v/>
      </c>
      <c r="N2601" s="28">
        <f>IF(OR($A2601="",$K2601=""),"",IF($L2601="",IF(TODAY()&gt;$K2601,"Atrasado","En ruta"),IF($L2601&lt;=$K2601,"Sí","No")))</f>
        <v/>
      </c>
      <c r="O2601" s="24">
        <f>IF($A2601="","",COUNTIFS(NOVEDADES!$D$4:$D$1503,$A2601))</f>
        <v/>
      </c>
      <c r="P2601" s="28">
        <f>IF($A2601="","",IF(COUNTIFS(NOVEDADES!$D$4:$D$1503,$A2601,NOVEDADES!$O$4:$O$1503,"SÍ")&gt;0,"No","Sí"))</f>
        <v/>
      </c>
      <c r="Q2601" s="28">
        <f>IF(OR($A2601="",$L2601=""),"",IF(AND($N2601="Sí",$P2601="Sí"),"OTIF","Falló"))</f>
        <v/>
      </c>
    </row>
    <row r="2602" ht="16" customHeight="1">
      <c r="A2602" s="48" t="n"/>
      <c r="B2602" s="48" t="n"/>
      <c r="C2602" s="47" t="n"/>
      <c r="D2602" s="50" t="n"/>
      <c r="E2602" s="50" t="n"/>
      <c r="F2602" s="50" t="n"/>
      <c r="G2602" s="50" t="n"/>
      <c r="H2602" s="48" t="n"/>
      <c r="I2602" s="51" t="n"/>
      <c r="J2602" s="52" t="n"/>
      <c r="K2602" s="47" t="n"/>
      <c r="L2602" s="47" t="n"/>
      <c r="M2602" s="24">
        <f>IF(OR($A2602="",$C2602=""),"",IF($L2602&lt;&gt;"",$L2602-$C2602,TODAY()-$C2602))</f>
        <v/>
      </c>
      <c r="N2602" s="28">
        <f>IF(OR($A2602="",$K2602=""),"",IF($L2602="",IF(TODAY()&gt;$K2602,"Atrasado","En ruta"),IF($L2602&lt;=$K2602,"Sí","No")))</f>
        <v/>
      </c>
      <c r="O2602" s="24">
        <f>IF($A2602="","",COUNTIFS(NOVEDADES!$D$4:$D$1503,$A2602))</f>
        <v/>
      </c>
      <c r="P2602" s="28">
        <f>IF($A2602="","",IF(COUNTIFS(NOVEDADES!$D$4:$D$1503,$A2602,NOVEDADES!$O$4:$O$1503,"SÍ")&gt;0,"No","Sí"))</f>
        <v/>
      </c>
      <c r="Q2602" s="28">
        <f>IF(OR($A2602="",$L2602=""),"",IF(AND($N2602="Sí",$P2602="Sí"),"OTIF","Falló"))</f>
        <v/>
      </c>
    </row>
    <row r="2603" ht="16" customHeight="1">
      <c r="A2603" s="48" t="n"/>
      <c r="B2603" s="48" t="n"/>
      <c r="C2603" s="47" t="n"/>
      <c r="D2603" s="50" t="n"/>
      <c r="E2603" s="50" t="n"/>
      <c r="F2603" s="50" t="n"/>
      <c r="G2603" s="50" t="n"/>
      <c r="H2603" s="48" t="n"/>
      <c r="I2603" s="51" t="n"/>
      <c r="J2603" s="52" t="n"/>
      <c r="K2603" s="47" t="n"/>
      <c r="L2603" s="47" t="n"/>
      <c r="M2603" s="24">
        <f>IF(OR($A2603="",$C2603=""),"",IF($L2603&lt;&gt;"",$L2603-$C2603,TODAY()-$C2603))</f>
        <v/>
      </c>
      <c r="N2603" s="28">
        <f>IF(OR($A2603="",$K2603=""),"",IF($L2603="",IF(TODAY()&gt;$K2603,"Atrasado","En ruta"),IF($L2603&lt;=$K2603,"Sí","No")))</f>
        <v/>
      </c>
      <c r="O2603" s="24">
        <f>IF($A2603="","",COUNTIFS(NOVEDADES!$D$4:$D$1503,$A2603))</f>
        <v/>
      </c>
      <c r="P2603" s="28">
        <f>IF($A2603="","",IF(COUNTIFS(NOVEDADES!$D$4:$D$1503,$A2603,NOVEDADES!$O$4:$O$1503,"SÍ")&gt;0,"No","Sí"))</f>
        <v/>
      </c>
      <c r="Q2603" s="28">
        <f>IF(OR($A2603="",$L2603=""),"",IF(AND($N2603="Sí",$P2603="Sí"),"OTIF","Falló"))</f>
        <v/>
      </c>
    </row>
    <row r="2604" ht="16" customHeight="1">
      <c r="A2604" s="48" t="n"/>
      <c r="B2604" s="48" t="n"/>
      <c r="C2604" s="47" t="n"/>
      <c r="D2604" s="50" t="n"/>
      <c r="E2604" s="50" t="n"/>
      <c r="F2604" s="50" t="n"/>
      <c r="G2604" s="50" t="n"/>
      <c r="H2604" s="48" t="n"/>
      <c r="I2604" s="51" t="n"/>
      <c r="J2604" s="52" t="n"/>
      <c r="K2604" s="47" t="n"/>
      <c r="L2604" s="47" t="n"/>
      <c r="M2604" s="24">
        <f>IF(OR($A2604="",$C2604=""),"",IF($L2604&lt;&gt;"",$L2604-$C2604,TODAY()-$C2604))</f>
        <v/>
      </c>
      <c r="N2604" s="28">
        <f>IF(OR($A2604="",$K2604=""),"",IF($L2604="",IF(TODAY()&gt;$K2604,"Atrasado","En ruta"),IF($L2604&lt;=$K2604,"Sí","No")))</f>
        <v/>
      </c>
      <c r="O2604" s="24">
        <f>IF($A2604="","",COUNTIFS(NOVEDADES!$D$4:$D$1503,$A2604))</f>
        <v/>
      </c>
      <c r="P2604" s="28">
        <f>IF($A2604="","",IF(COUNTIFS(NOVEDADES!$D$4:$D$1503,$A2604,NOVEDADES!$O$4:$O$1503,"SÍ")&gt;0,"No","Sí"))</f>
        <v/>
      </c>
      <c r="Q2604" s="28">
        <f>IF(OR($A2604="",$L2604=""),"",IF(AND($N2604="Sí",$P2604="Sí"),"OTIF","Falló"))</f>
        <v/>
      </c>
    </row>
    <row r="2605" ht="16" customHeight="1">
      <c r="A2605" s="48" t="n"/>
      <c r="B2605" s="48" t="n"/>
      <c r="C2605" s="47" t="n"/>
      <c r="D2605" s="50" t="n"/>
      <c r="E2605" s="50" t="n"/>
      <c r="F2605" s="50" t="n"/>
      <c r="G2605" s="50" t="n"/>
      <c r="H2605" s="48" t="n"/>
      <c r="I2605" s="51" t="n"/>
      <c r="J2605" s="52" t="n"/>
      <c r="K2605" s="47" t="n"/>
      <c r="L2605" s="47" t="n"/>
      <c r="M2605" s="24">
        <f>IF(OR($A2605="",$C2605=""),"",IF($L2605&lt;&gt;"",$L2605-$C2605,TODAY()-$C2605))</f>
        <v/>
      </c>
      <c r="N2605" s="28">
        <f>IF(OR($A2605="",$K2605=""),"",IF($L2605="",IF(TODAY()&gt;$K2605,"Atrasado","En ruta"),IF($L2605&lt;=$K2605,"Sí","No")))</f>
        <v/>
      </c>
      <c r="O2605" s="24">
        <f>IF($A2605="","",COUNTIFS(NOVEDADES!$D$4:$D$1503,$A2605))</f>
        <v/>
      </c>
      <c r="P2605" s="28">
        <f>IF($A2605="","",IF(COUNTIFS(NOVEDADES!$D$4:$D$1503,$A2605,NOVEDADES!$O$4:$O$1503,"SÍ")&gt;0,"No","Sí"))</f>
        <v/>
      </c>
      <c r="Q2605" s="28">
        <f>IF(OR($A2605="",$L2605=""),"",IF(AND($N2605="Sí",$P2605="Sí"),"OTIF","Falló"))</f>
        <v/>
      </c>
    </row>
    <row r="2606" ht="16" customHeight="1">
      <c r="A2606" s="48" t="n"/>
      <c r="B2606" s="48" t="n"/>
      <c r="C2606" s="47" t="n"/>
      <c r="D2606" s="50" t="n"/>
      <c r="E2606" s="50" t="n"/>
      <c r="F2606" s="50" t="n"/>
      <c r="G2606" s="50" t="n"/>
      <c r="H2606" s="48" t="n"/>
      <c r="I2606" s="51" t="n"/>
      <c r="J2606" s="52" t="n"/>
      <c r="K2606" s="47" t="n"/>
      <c r="L2606" s="47" t="n"/>
      <c r="M2606" s="24">
        <f>IF(OR($A2606="",$C2606=""),"",IF($L2606&lt;&gt;"",$L2606-$C2606,TODAY()-$C2606))</f>
        <v/>
      </c>
      <c r="N2606" s="28">
        <f>IF(OR($A2606="",$K2606=""),"",IF($L2606="",IF(TODAY()&gt;$K2606,"Atrasado","En ruta"),IF($L2606&lt;=$K2606,"Sí","No")))</f>
        <v/>
      </c>
      <c r="O2606" s="24">
        <f>IF($A2606="","",COUNTIFS(NOVEDADES!$D$4:$D$1503,$A2606))</f>
        <v/>
      </c>
      <c r="P2606" s="28">
        <f>IF($A2606="","",IF(COUNTIFS(NOVEDADES!$D$4:$D$1503,$A2606,NOVEDADES!$O$4:$O$1503,"SÍ")&gt;0,"No","Sí"))</f>
        <v/>
      </c>
      <c r="Q2606" s="28">
        <f>IF(OR($A2606="",$L2606=""),"",IF(AND($N2606="Sí",$P2606="Sí"),"OTIF","Falló"))</f>
        <v/>
      </c>
    </row>
    <row r="2607" ht="16" customHeight="1">
      <c r="A2607" s="48" t="n"/>
      <c r="B2607" s="48" t="n"/>
      <c r="C2607" s="47" t="n"/>
      <c r="D2607" s="50" t="n"/>
      <c r="E2607" s="50" t="n"/>
      <c r="F2607" s="50" t="n"/>
      <c r="G2607" s="50" t="n"/>
      <c r="H2607" s="48" t="n"/>
      <c r="I2607" s="51" t="n"/>
      <c r="J2607" s="52" t="n"/>
      <c r="K2607" s="47" t="n"/>
      <c r="L2607" s="47" t="n"/>
      <c r="M2607" s="24">
        <f>IF(OR($A2607="",$C2607=""),"",IF($L2607&lt;&gt;"",$L2607-$C2607,TODAY()-$C2607))</f>
        <v/>
      </c>
      <c r="N2607" s="28">
        <f>IF(OR($A2607="",$K2607=""),"",IF($L2607="",IF(TODAY()&gt;$K2607,"Atrasado","En ruta"),IF($L2607&lt;=$K2607,"Sí","No")))</f>
        <v/>
      </c>
      <c r="O2607" s="24">
        <f>IF($A2607="","",COUNTIFS(NOVEDADES!$D$4:$D$1503,$A2607))</f>
        <v/>
      </c>
      <c r="P2607" s="28">
        <f>IF($A2607="","",IF(COUNTIFS(NOVEDADES!$D$4:$D$1503,$A2607,NOVEDADES!$O$4:$O$1503,"SÍ")&gt;0,"No","Sí"))</f>
        <v/>
      </c>
      <c r="Q2607" s="28">
        <f>IF(OR($A2607="",$L2607=""),"",IF(AND($N2607="Sí",$P2607="Sí"),"OTIF","Falló"))</f>
        <v/>
      </c>
    </row>
    <row r="2608" ht="16" customHeight="1">
      <c r="A2608" s="48" t="n"/>
      <c r="B2608" s="48" t="n"/>
      <c r="C2608" s="47" t="n"/>
      <c r="D2608" s="50" t="n"/>
      <c r="E2608" s="50" t="n"/>
      <c r="F2608" s="50" t="n"/>
      <c r="G2608" s="50" t="n"/>
      <c r="H2608" s="48" t="n"/>
      <c r="I2608" s="51" t="n"/>
      <c r="J2608" s="52" t="n"/>
      <c r="K2608" s="47" t="n"/>
      <c r="L2608" s="47" t="n"/>
      <c r="M2608" s="24">
        <f>IF(OR($A2608="",$C2608=""),"",IF($L2608&lt;&gt;"",$L2608-$C2608,TODAY()-$C2608))</f>
        <v/>
      </c>
      <c r="N2608" s="28">
        <f>IF(OR($A2608="",$K2608=""),"",IF($L2608="",IF(TODAY()&gt;$K2608,"Atrasado","En ruta"),IF($L2608&lt;=$K2608,"Sí","No")))</f>
        <v/>
      </c>
      <c r="O2608" s="24">
        <f>IF($A2608="","",COUNTIFS(NOVEDADES!$D$4:$D$1503,$A2608))</f>
        <v/>
      </c>
      <c r="P2608" s="28">
        <f>IF($A2608="","",IF(COUNTIFS(NOVEDADES!$D$4:$D$1503,$A2608,NOVEDADES!$O$4:$O$1503,"SÍ")&gt;0,"No","Sí"))</f>
        <v/>
      </c>
      <c r="Q2608" s="28">
        <f>IF(OR($A2608="",$L2608=""),"",IF(AND($N2608="Sí",$P2608="Sí"),"OTIF","Falló"))</f>
        <v/>
      </c>
    </row>
    <row r="2609" ht="16" customHeight="1">
      <c r="A2609" s="48" t="n"/>
      <c r="B2609" s="48" t="n"/>
      <c r="C2609" s="47" t="n"/>
      <c r="D2609" s="50" t="n"/>
      <c r="E2609" s="50" t="n"/>
      <c r="F2609" s="50" t="n"/>
      <c r="G2609" s="50" t="n"/>
      <c r="H2609" s="48" t="n"/>
      <c r="I2609" s="51" t="n"/>
      <c r="J2609" s="52" t="n"/>
      <c r="K2609" s="47" t="n"/>
      <c r="L2609" s="47" t="n"/>
      <c r="M2609" s="24">
        <f>IF(OR($A2609="",$C2609=""),"",IF($L2609&lt;&gt;"",$L2609-$C2609,TODAY()-$C2609))</f>
        <v/>
      </c>
      <c r="N2609" s="28">
        <f>IF(OR($A2609="",$K2609=""),"",IF($L2609="",IF(TODAY()&gt;$K2609,"Atrasado","En ruta"),IF($L2609&lt;=$K2609,"Sí","No")))</f>
        <v/>
      </c>
      <c r="O2609" s="24">
        <f>IF($A2609="","",COUNTIFS(NOVEDADES!$D$4:$D$1503,$A2609))</f>
        <v/>
      </c>
      <c r="P2609" s="28">
        <f>IF($A2609="","",IF(COUNTIFS(NOVEDADES!$D$4:$D$1503,$A2609,NOVEDADES!$O$4:$O$1503,"SÍ")&gt;0,"No","Sí"))</f>
        <v/>
      </c>
      <c r="Q2609" s="28">
        <f>IF(OR($A2609="",$L2609=""),"",IF(AND($N2609="Sí",$P2609="Sí"),"OTIF","Falló"))</f>
        <v/>
      </c>
    </row>
    <row r="2610" ht="16" customHeight="1">
      <c r="A2610" s="48" t="n"/>
      <c r="B2610" s="48" t="n"/>
      <c r="C2610" s="47" t="n"/>
      <c r="D2610" s="50" t="n"/>
      <c r="E2610" s="50" t="n"/>
      <c r="F2610" s="50" t="n"/>
      <c r="G2610" s="50" t="n"/>
      <c r="H2610" s="48" t="n"/>
      <c r="I2610" s="51" t="n"/>
      <c r="J2610" s="52" t="n"/>
      <c r="K2610" s="47" t="n"/>
      <c r="L2610" s="47" t="n"/>
      <c r="M2610" s="24">
        <f>IF(OR($A2610="",$C2610=""),"",IF($L2610&lt;&gt;"",$L2610-$C2610,TODAY()-$C2610))</f>
        <v/>
      </c>
      <c r="N2610" s="28">
        <f>IF(OR($A2610="",$K2610=""),"",IF($L2610="",IF(TODAY()&gt;$K2610,"Atrasado","En ruta"),IF($L2610&lt;=$K2610,"Sí","No")))</f>
        <v/>
      </c>
      <c r="O2610" s="24">
        <f>IF($A2610="","",COUNTIFS(NOVEDADES!$D$4:$D$1503,$A2610))</f>
        <v/>
      </c>
      <c r="P2610" s="28">
        <f>IF($A2610="","",IF(COUNTIFS(NOVEDADES!$D$4:$D$1503,$A2610,NOVEDADES!$O$4:$O$1503,"SÍ")&gt;0,"No","Sí"))</f>
        <v/>
      </c>
      <c r="Q2610" s="28">
        <f>IF(OR($A2610="",$L2610=""),"",IF(AND($N2610="Sí",$P2610="Sí"),"OTIF","Falló"))</f>
        <v/>
      </c>
    </row>
    <row r="2611" ht="16" customHeight="1">
      <c r="A2611" s="48" t="n"/>
      <c r="B2611" s="48" t="n"/>
      <c r="C2611" s="47" t="n"/>
      <c r="D2611" s="50" t="n"/>
      <c r="E2611" s="50" t="n"/>
      <c r="F2611" s="50" t="n"/>
      <c r="G2611" s="50" t="n"/>
      <c r="H2611" s="48" t="n"/>
      <c r="I2611" s="51" t="n"/>
      <c r="J2611" s="52" t="n"/>
      <c r="K2611" s="47" t="n"/>
      <c r="L2611" s="47" t="n"/>
      <c r="M2611" s="24">
        <f>IF(OR($A2611="",$C2611=""),"",IF($L2611&lt;&gt;"",$L2611-$C2611,TODAY()-$C2611))</f>
        <v/>
      </c>
      <c r="N2611" s="28">
        <f>IF(OR($A2611="",$K2611=""),"",IF($L2611="",IF(TODAY()&gt;$K2611,"Atrasado","En ruta"),IF($L2611&lt;=$K2611,"Sí","No")))</f>
        <v/>
      </c>
      <c r="O2611" s="24">
        <f>IF($A2611="","",COUNTIFS(NOVEDADES!$D$4:$D$1503,$A2611))</f>
        <v/>
      </c>
      <c r="P2611" s="28">
        <f>IF($A2611="","",IF(COUNTIFS(NOVEDADES!$D$4:$D$1503,$A2611,NOVEDADES!$O$4:$O$1503,"SÍ")&gt;0,"No","Sí"))</f>
        <v/>
      </c>
      <c r="Q2611" s="28">
        <f>IF(OR($A2611="",$L2611=""),"",IF(AND($N2611="Sí",$P2611="Sí"),"OTIF","Falló"))</f>
        <v/>
      </c>
    </row>
    <row r="2612" ht="16" customHeight="1">
      <c r="A2612" s="48" t="n"/>
      <c r="B2612" s="48" t="n"/>
      <c r="C2612" s="47" t="n"/>
      <c r="D2612" s="50" t="n"/>
      <c r="E2612" s="50" t="n"/>
      <c r="F2612" s="50" t="n"/>
      <c r="G2612" s="50" t="n"/>
      <c r="H2612" s="48" t="n"/>
      <c r="I2612" s="51" t="n"/>
      <c r="J2612" s="52" t="n"/>
      <c r="K2612" s="47" t="n"/>
      <c r="L2612" s="47" t="n"/>
      <c r="M2612" s="24">
        <f>IF(OR($A2612="",$C2612=""),"",IF($L2612&lt;&gt;"",$L2612-$C2612,TODAY()-$C2612))</f>
        <v/>
      </c>
      <c r="N2612" s="28">
        <f>IF(OR($A2612="",$K2612=""),"",IF($L2612="",IF(TODAY()&gt;$K2612,"Atrasado","En ruta"),IF($L2612&lt;=$K2612,"Sí","No")))</f>
        <v/>
      </c>
      <c r="O2612" s="24">
        <f>IF($A2612="","",COUNTIFS(NOVEDADES!$D$4:$D$1503,$A2612))</f>
        <v/>
      </c>
      <c r="P2612" s="28">
        <f>IF($A2612="","",IF(COUNTIFS(NOVEDADES!$D$4:$D$1503,$A2612,NOVEDADES!$O$4:$O$1503,"SÍ")&gt;0,"No","Sí"))</f>
        <v/>
      </c>
      <c r="Q2612" s="28">
        <f>IF(OR($A2612="",$L2612=""),"",IF(AND($N2612="Sí",$P2612="Sí"),"OTIF","Falló"))</f>
        <v/>
      </c>
    </row>
    <row r="2613" ht="16" customHeight="1">
      <c r="A2613" s="48" t="n"/>
      <c r="B2613" s="48" t="n"/>
      <c r="C2613" s="47" t="n"/>
      <c r="D2613" s="50" t="n"/>
      <c r="E2613" s="50" t="n"/>
      <c r="F2613" s="50" t="n"/>
      <c r="G2613" s="50" t="n"/>
      <c r="H2613" s="48" t="n"/>
      <c r="I2613" s="51" t="n"/>
      <c r="J2613" s="52" t="n"/>
      <c r="K2613" s="47" t="n"/>
      <c r="L2613" s="47" t="n"/>
      <c r="M2613" s="24">
        <f>IF(OR($A2613="",$C2613=""),"",IF($L2613&lt;&gt;"",$L2613-$C2613,TODAY()-$C2613))</f>
        <v/>
      </c>
      <c r="N2613" s="28">
        <f>IF(OR($A2613="",$K2613=""),"",IF($L2613="",IF(TODAY()&gt;$K2613,"Atrasado","En ruta"),IF($L2613&lt;=$K2613,"Sí","No")))</f>
        <v/>
      </c>
      <c r="O2613" s="24">
        <f>IF($A2613="","",COUNTIFS(NOVEDADES!$D$4:$D$1503,$A2613))</f>
        <v/>
      </c>
      <c r="P2613" s="28">
        <f>IF($A2613="","",IF(COUNTIFS(NOVEDADES!$D$4:$D$1503,$A2613,NOVEDADES!$O$4:$O$1503,"SÍ")&gt;0,"No","Sí"))</f>
        <v/>
      </c>
      <c r="Q2613" s="28">
        <f>IF(OR($A2613="",$L2613=""),"",IF(AND($N2613="Sí",$P2613="Sí"),"OTIF","Falló"))</f>
        <v/>
      </c>
    </row>
    <row r="2614" ht="16" customHeight="1">
      <c r="A2614" s="48" t="n"/>
      <c r="B2614" s="48" t="n"/>
      <c r="C2614" s="47" t="n"/>
      <c r="D2614" s="50" t="n"/>
      <c r="E2614" s="50" t="n"/>
      <c r="F2614" s="50" t="n"/>
      <c r="G2614" s="50" t="n"/>
      <c r="H2614" s="48" t="n"/>
      <c r="I2614" s="51" t="n"/>
      <c r="J2614" s="52" t="n"/>
      <c r="K2614" s="47" t="n"/>
      <c r="L2614" s="47" t="n"/>
      <c r="M2614" s="24">
        <f>IF(OR($A2614="",$C2614=""),"",IF($L2614&lt;&gt;"",$L2614-$C2614,TODAY()-$C2614))</f>
        <v/>
      </c>
      <c r="N2614" s="28">
        <f>IF(OR($A2614="",$K2614=""),"",IF($L2614="",IF(TODAY()&gt;$K2614,"Atrasado","En ruta"),IF($L2614&lt;=$K2614,"Sí","No")))</f>
        <v/>
      </c>
      <c r="O2614" s="24">
        <f>IF($A2614="","",COUNTIFS(NOVEDADES!$D$4:$D$1503,$A2614))</f>
        <v/>
      </c>
      <c r="P2614" s="28">
        <f>IF($A2614="","",IF(COUNTIFS(NOVEDADES!$D$4:$D$1503,$A2614,NOVEDADES!$O$4:$O$1503,"SÍ")&gt;0,"No","Sí"))</f>
        <v/>
      </c>
      <c r="Q2614" s="28">
        <f>IF(OR($A2614="",$L2614=""),"",IF(AND($N2614="Sí",$P2614="Sí"),"OTIF","Falló"))</f>
        <v/>
      </c>
    </row>
    <row r="2615" ht="16" customHeight="1">
      <c r="A2615" s="48" t="n"/>
      <c r="B2615" s="48" t="n"/>
      <c r="C2615" s="47" t="n"/>
      <c r="D2615" s="50" t="n"/>
      <c r="E2615" s="50" t="n"/>
      <c r="F2615" s="50" t="n"/>
      <c r="G2615" s="50" t="n"/>
      <c r="H2615" s="48" t="n"/>
      <c r="I2615" s="51" t="n"/>
      <c r="J2615" s="52" t="n"/>
      <c r="K2615" s="47" t="n"/>
      <c r="L2615" s="47" t="n"/>
      <c r="M2615" s="24">
        <f>IF(OR($A2615="",$C2615=""),"",IF($L2615&lt;&gt;"",$L2615-$C2615,TODAY()-$C2615))</f>
        <v/>
      </c>
      <c r="N2615" s="28">
        <f>IF(OR($A2615="",$K2615=""),"",IF($L2615="",IF(TODAY()&gt;$K2615,"Atrasado","En ruta"),IF($L2615&lt;=$K2615,"Sí","No")))</f>
        <v/>
      </c>
      <c r="O2615" s="24">
        <f>IF($A2615="","",COUNTIFS(NOVEDADES!$D$4:$D$1503,$A2615))</f>
        <v/>
      </c>
      <c r="P2615" s="28">
        <f>IF($A2615="","",IF(COUNTIFS(NOVEDADES!$D$4:$D$1503,$A2615,NOVEDADES!$O$4:$O$1503,"SÍ")&gt;0,"No","Sí"))</f>
        <v/>
      </c>
      <c r="Q2615" s="28">
        <f>IF(OR($A2615="",$L2615=""),"",IF(AND($N2615="Sí",$P2615="Sí"),"OTIF","Falló"))</f>
        <v/>
      </c>
    </row>
    <row r="2616" ht="16" customHeight="1">
      <c r="A2616" s="48" t="n"/>
      <c r="B2616" s="48" t="n"/>
      <c r="C2616" s="47" t="n"/>
      <c r="D2616" s="50" t="n"/>
      <c r="E2616" s="50" t="n"/>
      <c r="F2616" s="50" t="n"/>
      <c r="G2616" s="50" t="n"/>
      <c r="H2616" s="48" t="n"/>
      <c r="I2616" s="51" t="n"/>
      <c r="J2616" s="52" t="n"/>
      <c r="K2616" s="47" t="n"/>
      <c r="L2616" s="47" t="n"/>
      <c r="M2616" s="24">
        <f>IF(OR($A2616="",$C2616=""),"",IF($L2616&lt;&gt;"",$L2616-$C2616,TODAY()-$C2616))</f>
        <v/>
      </c>
      <c r="N2616" s="28">
        <f>IF(OR($A2616="",$K2616=""),"",IF($L2616="",IF(TODAY()&gt;$K2616,"Atrasado","En ruta"),IF($L2616&lt;=$K2616,"Sí","No")))</f>
        <v/>
      </c>
      <c r="O2616" s="24">
        <f>IF($A2616="","",COUNTIFS(NOVEDADES!$D$4:$D$1503,$A2616))</f>
        <v/>
      </c>
      <c r="P2616" s="28">
        <f>IF($A2616="","",IF(COUNTIFS(NOVEDADES!$D$4:$D$1503,$A2616,NOVEDADES!$O$4:$O$1503,"SÍ")&gt;0,"No","Sí"))</f>
        <v/>
      </c>
      <c r="Q2616" s="28">
        <f>IF(OR($A2616="",$L2616=""),"",IF(AND($N2616="Sí",$P2616="Sí"),"OTIF","Falló"))</f>
        <v/>
      </c>
    </row>
    <row r="2617" ht="16" customHeight="1">
      <c r="A2617" s="48" t="n"/>
      <c r="B2617" s="48" t="n"/>
      <c r="C2617" s="47" t="n"/>
      <c r="D2617" s="50" t="n"/>
      <c r="E2617" s="50" t="n"/>
      <c r="F2617" s="50" t="n"/>
      <c r="G2617" s="50" t="n"/>
      <c r="H2617" s="48" t="n"/>
      <c r="I2617" s="51" t="n"/>
      <c r="J2617" s="52" t="n"/>
      <c r="K2617" s="47" t="n"/>
      <c r="L2617" s="47" t="n"/>
      <c r="M2617" s="24">
        <f>IF(OR($A2617="",$C2617=""),"",IF($L2617&lt;&gt;"",$L2617-$C2617,TODAY()-$C2617))</f>
        <v/>
      </c>
      <c r="N2617" s="28">
        <f>IF(OR($A2617="",$K2617=""),"",IF($L2617="",IF(TODAY()&gt;$K2617,"Atrasado","En ruta"),IF($L2617&lt;=$K2617,"Sí","No")))</f>
        <v/>
      </c>
      <c r="O2617" s="24">
        <f>IF($A2617="","",COUNTIFS(NOVEDADES!$D$4:$D$1503,$A2617))</f>
        <v/>
      </c>
      <c r="P2617" s="28">
        <f>IF($A2617="","",IF(COUNTIFS(NOVEDADES!$D$4:$D$1503,$A2617,NOVEDADES!$O$4:$O$1503,"SÍ")&gt;0,"No","Sí"))</f>
        <v/>
      </c>
      <c r="Q2617" s="28">
        <f>IF(OR($A2617="",$L2617=""),"",IF(AND($N2617="Sí",$P2617="Sí"),"OTIF","Falló"))</f>
        <v/>
      </c>
    </row>
    <row r="2618" ht="16" customHeight="1">
      <c r="A2618" s="48" t="n"/>
      <c r="B2618" s="48" t="n"/>
      <c r="C2618" s="47" t="n"/>
      <c r="D2618" s="50" t="n"/>
      <c r="E2618" s="50" t="n"/>
      <c r="F2618" s="50" t="n"/>
      <c r="G2618" s="50" t="n"/>
      <c r="H2618" s="48" t="n"/>
      <c r="I2618" s="51" t="n"/>
      <c r="J2618" s="52" t="n"/>
      <c r="K2618" s="47" t="n"/>
      <c r="L2618" s="47" t="n"/>
      <c r="M2618" s="24">
        <f>IF(OR($A2618="",$C2618=""),"",IF($L2618&lt;&gt;"",$L2618-$C2618,TODAY()-$C2618))</f>
        <v/>
      </c>
      <c r="N2618" s="28">
        <f>IF(OR($A2618="",$K2618=""),"",IF($L2618="",IF(TODAY()&gt;$K2618,"Atrasado","En ruta"),IF($L2618&lt;=$K2618,"Sí","No")))</f>
        <v/>
      </c>
      <c r="O2618" s="24">
        <f>IF($A2618="","",COUNTIFS(NOVEDADES!$D$4:$D$1503,$A2618))</f>
        <v/>
      </c>
      <c r="P2618" s="28">
        <f>IF($A2618="","",IF(COUNTIFS(NOVEDADES!$D$4:$D$1503,$A2618,NOVEDADES!$O$4:$O$1503,"SÍ")&gt;0,"No","Sí"))</f>
        <v/>
      </c>
      <c r="Q2618" s="28">
        <f>IF(OR($A2618="",$L2618=""),"",IF(AND($N2618="Sí",$P2618="Sí"),"OTIF","Falló"))</f>
        <v/>
      </c>
    </row>
    <row r="2619" ht="16" customHeight="1">
      <c r="A2619" s="48" t="n"/>
      <c r="B2619" s="48" t="n"/>
      <c r="C2619" s="47" t="n"/>
      <c r="D2619" s="50" t="n"/>
      <c r="E2619" s="50" t="n"/>
      <c r="F2619" s="50" t="n"/>
      <c r="G2619" s="50" t="n"/>
      <c r="H2619" s="48" t="n"/>
      <c r="I2619" s="51" t="n"/>
      <c r="J2619" s="52" t="n"/>
      <c r="K2619" s="47" t="n"/>
      <c r="L2619" s="47" t="n"/>
      <c r="M2619" s="24">
        <f>IF(OR($A2619="",$C2619=""),"",IF($L2619&lt;&gt;"",$L2619-$C2619,TODAY()-$C2619))</f>
        <v/>
      </c>
      <c r="N2619" s="28">
        <f>IF(OR($A2619="",$K2619=""),"",IF($L2619="",IF(TODAY()&gt;$K2619,"Atrasado","En ruta"),IF($L2619&lt;=$K2619,"Sí","No")))</f>
        <v/>
      </c>
      <c r="O2619" s="24">
        <f>IF($A2619="","",COUNTIFS(NOVEDADES!$D$4:$D$1503,$A2619))</f>
        <v/>
      </c>
      <c r="P2619" s="28">
        <f>IF($A2619="","",IF(COUNTIFS(NOVEDADES!$D$4:$D$1503,$A2619,NOVEDADES!$O$4:$O$1503,"SÍ")&gt;0,"No","Sí"))</f>
        <v/>
      </c>
      <c r="Q2619" s="28">
        <f>IF(OR($A2619="",$L2619=""),"",IF(AND($N2619="Sí",$P2619="Sí"),"OTIF","Falló"))</f>
        <v/>
      </c>
    </row>
    <row r="2620" ht="16" customHeight="1">
      <c r="A2620" s="48" t="n"/>
      <c r="B2620" s="48" t="n"/>
      <c r="C2620" s="47" t="n"/>
      <c r="D2620" s="50" t="n"/>
      <c r="E2620" s="50" t="n"/>
      <c r="F2620" s="50" t="n"/>
      <c r="G2620" s="50" t="n"/>
      <c r="H2620" s="48" t="n"/>
      <c r="I2620" s="51" t="n"/>
      <c r="J2620" s="52" t="n"/>
      <c r="K2620" s="47" t="n"/>
      <c r="L2620" s="47" t="n"/>
      <c r="M2620" s="24">
        <f>IF(OR($A2620="",$C2620=""),"",IF($L2620&lt;&gt;"",$L2620-$C2620,TODAY()-$C2620))</f>
        <v/>
      </c>
      <c r="N2620" s="28">
        <f>IF(OR($A2620="",$K2620=""),"",IF($L2620="",IF(TODAY()&gt;$K2620,"Atrasado","En ruta"),IF($L2620&lt;=$K2620,"Sí","No")))</f>
        <v/>
      </c>
      <c r="O2620" s="24">
        <f>IF($A2620="","",COUNTIFS(NOVEDADES!$D$4:$D$1503,$A2620))</f>
        <v/>
      </c>
      <c r="P2620" s="28">
        <f>IF($A2620="","",IF(COUNTIFS(NOVEDADES!$D$4:$D$1503,$A2620,NOVEDADES!$O$4:$O$1503,"SÍ")&gt;0,"No","Sí"))</f>
        <v/>
      </c>
      <c r="Q2620" s="28">
        <f>IF(OR($A2620="",$L2620=""),"",IF(AND($N2620="Sí",$P2620="Sí"),"OTIF","Falló"))</f>
        <v/>
      </c>
    </row>
    <row r="2621" ht="16" customHeight="1">
      <c r="A2621" s="48" t="n"/>
      <c r="B2621" s="48" t="n"/>
      <c r="C2621" s="47" t="n"/>
      <c r="D2621" s="50" t="n"/>
      <c r="E2621" s="50" t="n"/>
      <c r="F2621" s="50" t="n"/>
      <c r="G2621" s="50" t="n"/>
      <c r="H2621" s="48" t="n"/>
      <c r="I2621" s="51" t="n"/>
      <c r="J2621" s="52" t="n"/>
      <c r="K2621" s="47" t="n"/>
      <c r="L2621" s="47" t="n"/>
      <c r="M2621" s="24">
        <f>IF(OR($A2621="",$C2621=""),"",IF($L2621&lt;&gt;"",$L2621-$C2621,TODAY()-$C2621))</f>
        <v/>
      </c>
      <c r="N2621" s="28">
        <f>IF(OR($A2621="",$K2621=""),"",IF($L2621="",IF(TODAY()&gt;$K2621,"Atrasado","En ruta"),IF($L2621&lt;=$K2621,"Sí","No")))</f>
        <v/>
      </c>
      <c r="O2621" s="24">
        <f>IF($A2621="","",COUNTIFS(NOVEDADES!$D$4:$D$1503,$A2621))</f>
        <v/>
      </c>
      <c r="P2621" s="28">
        <f>IF($A2621="","",IF(COUNTIFS(NOVEDADES!$D$4:$D$1503,$A2621,NOVEDADES!$O$4:$O$1503,"SÍ")&gt;0,"No","Sí"))</f>
        <v/>
      </c>
      <c r="Q2621" s="28">
        <f>IF(OR($A2621="",$L2621=""),"",IF(AND($N2621="Sí",$P2621="Sí"),"OTIF","Falló"))</f>
        <v/>
      </c>
    </row>
    <row r="2622" ht="16" customHeight="1">
      <c r="A2622" s="48" t="n"/>
      <c r="B2622" s="48" t="n"/>
      <c r="C2622" s="47" t="n"/>
      <c r="D2622" s="50" t="n"/>
      <c r="E2622" s="50" t="n"/>
      <c r="F2622" s="50" t="n"/>
      <c r="G2622" s="50" t="n"/>
      <c r="H2622" s="48" t="n"/>
      <c r="I2622" s="51" t="n"/>
      <c r="J2622" s="52" t="n"/>
      <c r="K2622" s="47" t="n"/>
      <c r="L2622" s="47" t="n"/>
      <c r="M2622" s="24">
        <f>IF(OR($A2622="",$C2622=""),"",IF($L2622&lt;&gt;"",$L2622-$C2622,TODAY()-$C2622))</f>
        <v/>
      </c>
      <c r="N2622" s="28">
        <f>IF(OR($A2622="",$K2622=""),"",IF($L2622="",IF(TODAY()&gt;$K2622,"Atrasado","En ruta"),IF($L2622&lt;=$K2622,"Sí","No")))</f>
        <v/>
      </c>
      <c r="O2622" s="24">
        <f>IF($A2622="","",COUNTIFS(NOVEDADES!$D$4:$D$1503,$A2622))</f>
        <v/>
      </c>
      <c r="P2622" s="28">
        <f>IF($A2622="","",IF(COUNTIFS(NOVEDADES!$D$4:$D$1503,$A2622,NOVEDADES!$O$4:$O$1503,"SÍ")&gt;0,"No","Sí"))</f>
        <v/>
      </c>
      <c r="Q2622" s="28">
        <f>IF(OR($A2622="",$L2622=""),"",IF(AND($N2622="Sí",$P2622="Sí"),"OTIF","Falló"))</f>
        <v/>
      </c>
    </row>
    <row r="2623" ht="16" customHeight="1">
      <c r="A2623" s="48" t="n"/>
      <c r="B2623" s="48" t="n"/>
      <c r="C2623" s="47" t="n"/>
      <c r="D2623" s="50" t="n"/>
      <c r="E2623" s="50" t="n"/>
      <c r="F2623" s="50" t="n"/>
      <c r="G2623" s="50" t="n"/>
      <c r="H2623" s="48" t="n"/>
      <c r="I2623" s="51" t="n"/>
      <c r="J2623" s="52" t="n"/>
      <c r="K2623" s="47" t="n"/>
      <c r="L2623" s="47" t="n"/>
      <c r="M2623" s="24">
        <f>IF(OR($A2623="",$C2623=""),"",IF($L2623&lt;&gt;"",$L2623-$C2623,TODAY()-$C2623))</f>
        <v/>
      </c>
      <c r="N2623" s="28">
        <f>IF(OR($A2623="",$K2623=""),"",IF($L2623="",IF(TODAY()&gt;$K2623,"Atrasado","En ruta"),IF($L2623&lt;=$K2623,"Sí","No")))</f>
        <v/>
      </c>
      <c r="O2623" s="24">
        <f>IF($A2623="","",COUNTIFS(NOVEDADES!$D$4:$D$1503,$A2623))</f>
        <v/>
      </c>
      <c r="P2623" s="28">
        <f>IF($A2623="","",IF(COUNTIFS(NOVEDADES!$D$4:$D$1503,$A2623,NOVEDADES!$O$4:$O$1503,"SÍ")&gt;0,"No","Sí"))</f>
        <v/>
      </c>
      <c r="Q2623" s="28">
        <f>IF(OR($A2623="",$L2623=""),"",IF(AND($N2623="Sí",$P2623="Sí"),"OTIF","Falló"))</f>
        <v/>
      </c>
    </row>
    <row r="2624" ht="16" customHeight="1">
      <c r="A2624" s="48" t="n"/>
      <c r="B2624" s="48" t="n"/>
      <c r="C2624" s="47" t="n"/>
      <c r="D2624" s="50" t="n"/>
      <c r="E2624" s="50" t="n"/>
      <c r="F2624" s="50" t="n"/>
      <c r="G2624" s="50" t="n"/>
      <c r="H2624" s="48" t="n"/>
      <c r="I2624" s="51" t="n"/>
      <c r="J2624" s="52" t="n"/>
      <c r="K2624" s="47" t="n"/>
      <c r="L2624" s="47" t="n"/>
      <c r="M2624" s="24">
        <f>IF(OR($A2624="",$C2624=""),"",IF($L2624&lt;&gt;"",$L2624-$C2624,TODAY()-$C2624))</f>
        <v/>
      </c>
      <c r="N2624" s="28">
        <f>IF(OR($A2624="",$K2624=""),"",IF($L2624="",IF(TODAY()&gt;$K2624,"Atrasado","En ruta"),IF($L2624&lt;=$K2624,"Sí","No")))</f>
        <v/>
      </c>
      <c r="O2624" s="24">
        <f>IF($A2624="","",COUNTIFS(NOVEDADES!$D$4:$D$1503,$A2624))</f>
        <v/>
      </c>
      <c r="P2624" s="28">
        <f>IF($A2624="","",IF(COUNTIFS(NOVEDADES!$D$4:$D$1503,$A2624,NOVEDADES!$O$4:$O$1503,"SÍ")&gt;0,"No","Sí"))</f>
        <v/>
      </c>
      <c r="Q2624" s="28">
        <f>IF(OR($A2624="",$L2624=""),"",IF(AND($N2624="Sí",$P2624="Sí"),"OTIF","Falló"))</f>
        <v/>
      </c>
    </row>
    <row r="2625" ht="16" customHeight="1">
      <c r="A2625" s="48" t="n"/>
      <c r="B2625" s="48" t="n"/>
      <c r="C2625" s="47" t="n"/>
      <c r="D2625" s="50" t="n"/>
      <c r="E2625" s="50" t="n"/>
      <c r="F2625" s="50" t="n"/>
      <c r="G2625" s="50" t="n"/>
      <c r="H2625" s="48" t="n"/>
      <c r="I2625" s="51" t="n"/>
      <c r="J2625" s="52" t="n"/>
      <c r="K2625" s="47" t="n"/>
      <c r="L2625" s="47" t="n"/>
      <c r="M2625" s="24">
        <f>IF(OR($A2625="",$C2625=""),"",IF($L2625&lt;&gt;"",$L2625-$C2625,TODAY()-$C2625))</f>
        <v/>
      </c>
      <c r="N2625" s="28">
        <f>IF(OR($A2625="",$K2625=""),"",IF($L2625="",IF(TODAY()&gt;$K2625,"Atrasado","En ruta"),IF($L2625&lt;=$K2625,"Sí","No")))</f>
        <v/>
      </c>
      <c r="O2625" s="24">
        <f>IF($A2625="","",COUNTIFS(NOVEDADES!$D$4:$D$1503,$A2625))</f>
        <v/>
      </c>
      <c r="P2625" s="28">
        <f>IF($A2625="","",IF(COUNTIFS(NOVEDADES!$D$4:$D$1503,$A2625,NOVEDADES!$O$4:$O$1503,"SÍ")&gt;0,"No","Sí"))</f>
        <v/>
      </c>
      <c r="Q2625" s="28">
        <f>IF(OR($A2625="",$L2625=""),"",IF(AND($N2625="Sí",$P2625="Sí"),"OTIF","Falló"))</f>
        <v/>
      </c>
    </row>
    <row r="2626" ht="16" customHeight="1">
      <c r="A2626" s="48" t="n"/>
      <c r="B2626" s="48" t="n"/>
      <c r="C2626" s="47" t="n"/>
      <c r="D2626" s="50" t="n"/>
      <c r="E2626" s="50" t="n"/>
      <c r="F2626" s="50" t="n"/>
      <c r="G2626" s="50" t="n"/>
      <c r="H2626" s="48" t="n"/>
      <c r="I2626" s="51" t="n"/>
      <c r="J2626" s="52" t="n"/>
      <c r="K2626" s="47" t="n"/>
      <c r="L2626" s="47" t="n"/>
      <c r="M2626" s="24">
        <f>IF(OR($A2626="",$C2626=""),"",IF($L2626&lt;&gt;"",$L2626-$C2626,TODAY()-$C2626))</f>
        <v/>
      </c>
      <c r="N2626" s="28">
        <f>IF(OR($A2626="",$K2626=""),"",IF($L2626="",IF(TODAY()&gt;$K2626,"Atrasado","En ruta"),IF($L2626&lt;=$K2626,"Sí","No")))</f>
        <v/>
      </c>
      <c r="O2626" s="24">
        <f>IF($A2626="","",COUNTIFS(NOVEDADES!$D$4:$D$1503,$A2626))</f>
        <v/>
      </c>
      <c r="P2626" s="28">
        <f>IF($A2626="","",IF(COUNTIFS(NOVEDADES!$D$4:$D$1503,$A2626,NOVEDADES!$O$4:$O$1503,"SÍ")&gt;0,"No","Sí"))</f>
        <v/>
      </c>
      <c r="Q2626" s="28">
        <f>IF(OR($A2626="",$L2626=""),"",IF(AND($N2626="Sí",$P2626="Sí"),"OTIF","Falló"))</f>
        <v/>
      </c>
    </row>
    <row r="2627" ht="16" customHeight="1">
      <c r="A2627" s="48" t="n"/>
      <c r="B2627" s="48" t="n"/>
      <c r="C2627" s="47" t="n"/>
      <c r="D2627" s="50" t="n"/>
      <c r="E2627" s="50" t="n"/>
      <c r="F2627" s="50" t="n"/>
      <c r="G2627" s="50" t="n"/>
      <c r="H2627" s="48" t="n"/>
      <c r="I2627" s="51" t="n"/>
      <c r="J2627" s="52" t="n"/>
      <c r="K2627" s="47" t="n"/>
      <c r="L2627" s="47" t="n"/>
      <c r="M2627" s="24">
        <f>IF(OR($A2627="",$C2627=""),"",IF($L2627&lt;&gt;"",$L2627-$C2627,TODAY()-$C2627))</f>
        <v/>
      </c>
      <c r="N2627" s="28">
        <f>IF(OR($A2627="",$K2627=""),"",IF($L2627="",IF(TODAY()&gt;$K2627,"Atrasado","En ruta"),IF($L2627&lt;=$K2627,"Sí","No")))</f>
        <v/>
      </c>
      <c r="O2627" s="24">
        <f>IF($A2627="","",COUNTIFS(NOVEDADES!$D$4:$D$1503,$A2627))</f>
        <v/>
      </c>
      <c r="P2627" s="28">
        <f>IF($A2627="","",IF(COUNTIFS(NOVEDADES!$D$4:$D$1503,$A2627,NOVEDADES!$O$4:$O$1503,"SÍ")&gt;0,"No","Sí"))</f>
        <v/>
      </c>
      <c r="Q2627" s="28">
        <f>IF(OR($A2627="",$L2627=""),"",IF(AND($N2627="Sí",$P2627="Sí"),"OTIF","Falló"))</f>
        <v/>
      </c>
    </row>
    <row r="2628" ht="16" customHeight="1">
      <c r="A2628" s="48" t="n"/>
      <c r="B2628" s="48" t="n"/>
      <c r="C2628" s="47" t="n"/>
      <c r="D2628" s="50" t="n"/>
      <c r="E2628" s="50" t="n"/>
      <c r="F2628" s="50" t="n"/>
      <c r="G2628" s="50" t="n"/>
      <c r="H2628" s="48" t="n"/>
      <c r="I2628" s="51" t="n"/>
      <c r="J2628" s="52" t="n"/>
      <c r="K2628" s="47" t="n"/>
      <c r="L2628" s="47" t="n"/>
      <c r="M2628" s="24">
        <f>IF(OR($A2628="",$C2628=""),"",IF($L2628&lt;&gt;"",$L2628-$C2628,TODAY()-$C2628))</f>
        <v/>
      </c>
      <c r="N2628" s="28">
        <f>IF(OR($A2628="",$K2628=""),"",IF($L2628="",IF(TODAY()&gt;$K2628,"Atrasado","En ruta"),IF($L2628&lt;=$K2628,"Sí","No")))</f>
        <v/>
      </c>
      <c r="O2628" s="24">
        <f>IF($A2628="","",COUNTIFS(NOVEDADES!$D$4:$D$1503,$A2628))</f>
        <v/>
      </c>
      <c r="P2628" s="28">
        <f>IF($A2628="","",IF(COUNTIFS(NOVEDADES!$D$4:$D$1503,$A2628,NOVEDADES!$O$4:$O$1503,"SÍ")&gt;0,"No","Sí"))</f>
        <v/>
      </c>
      <c r="Q2628" s="28">
        <f>IF(OR($A2628="",$L2628=""),"",IF(AND($N2628="Sí",$P2628="Sí"),"OTIF","Falló"))</f>
        <v/>
      </c>
    </row>
    <row r="2629" ht="16" customHeight="1">
      <c r="A2629" s="48" t="n"/>
      <c r="B2629" s="48" t="n"/>
      <c r="C2629" s="47" t="n"/>
      <c r="D2629" s="50" t="n"/>
      <c r="E2629" s="50" t="n"/>
      <c r="F2629" s="50" t="n"/>
      <c r="G2629" s="50" t="n"/>
      <c r="H2629" s="48" t="n"/>
      <c r="I2629" s="51" t="n"/>
      <c r="J2629" s="52" t="n"/>
      <c r="K2629" s="47" t="n"/>
      <c r="L2629" s="47" t="n"/>
      <c r="M2629" s="24">
        <f>IF(OR($A2629="",$C2629=""),"",IF($L2629&lt;&gt;"",$L2629-$C2629,TODAY()-$C2629))</f>
        <v/>
      </c>
      <c r="N2629" s="28">
        <f>IF(OR($A2629="",$K2629=""),"",IF($L2629="",IF(TODAY()&gt;$K2629,"Atrasado","En ruta"),IF($L2629&lt;=$K2629,"Sí","No")))</f>
        <v/>
      </c>
      <c r="O2629" s="24">
        <f>IF($A2629="","",COUNTIFS(NOVEDADES!$D$4:$D$1503,$A2629))</f>
        <v/>
      </c>
      <c r="P2629" s="28">
        <f>IF($A2629="","",IF(COUNTIFS(NOVEDADES!$D$4:$D$1503,$A2629,NOVEDADES!$O$4:$O$1503,"SÍ")&gt;0,"No","Sí"))</f>
        <v/>
      </c>
      <c r="Q2629" s="28">
        <f>IF(OR($A2629="",$L2629=""),"",IF(AND($N2629="Sí",$P2629="Sí"),"OTIF","Falló"))</f>
        <v/>
      </c>
    </row>
    <row r="2630" ht="16" customHeight="1">
      <c r="A2630" s="48" t="n"/>
      <c r="B2630" s="48" t="n"/>
      <c r="C2630" s="47" t="n"/>
      <c r="D2630" s="50" t="n"/>
      <c r="E2630" s="50" t="n"/>
      <c r="F2630" s="50" t="n"/>
      <c r="G2630" s="50" t="n"/>
      <c r="H2630" s="48" t="n"/>
      <c r="I2630" s="51" t="n"/>
      <c r="J2630" s="52" t="n"/>
      <c r="K2630" s="47" t="n"/>
      <c r="L2630" s="47" t="n"/>
      <c r="M2630" s="24">
        <f>IF(OR($A2630="",$C2630=""),"",IF($L2630&lt;&gt;"",$L2630-$C2630,TODAY()-$C2630))</f>
        <v/>
      </c>
      <c r="N2630" s="28">
        <f>IF(OR($A2630="",$K2630=""),"",IF($L2630="",IF(TODAY()&gt;$K2630,"Atrasado","En ruta"),IF($L2630&lt;=$K2630,"Sí","No")))</f>
        <v/>
      </c>
      <c r="O2630" s="24">
        <f>IF($A2630="","",COUNTIFS(NOVEDADES!$D$4:$D$1503,$A2630))</f>
        <v/>
      </c>
      <c r="P2630" s="28">
        <f>IF($A2630="","",IF(COUNTIFS(NOVEDADES!$D$4:$D$1503,$A2630,NOVEDADES!$O$4:$O$1503,"SÍ")&gt;0,"No","Sí"))</f>
        <v/>
      </c>
      <c r="Q2630" s="28">
        <f>IF(OR($A2630="",$L2630=""),"",IF(AND($N2630="Sí",$P2630="Sí"),"OTIF","Falló"))</f>
        <v/>
      </c>
    </row>
    <row r="2631" ht="16" customHeight="1">
      <c r="A2631" s="48" t="n"/>
      <c r="B2631" s="48" t="n"/>
      <c r="C2631" s="47" t="n"/>
      <c r="D2631" s="50" t="n"/>
      <c r="E2631" s="50" t="n"/>
      <c r="F2631" s="50" t="n"/>
      <c r="G2631" s="50" t="n"/>
      <c r="H2631" s="48" t="n"/>
      <c r="I2631" s="51" t="n"/>
      <c r="J2631" s="52" t="n"/>
      <c r="K2631" s="47" t="n"/>
      <c r="L2631" s="47" t="n"/>
      <c r="M2631" s="24">
        <f>IF(OR($A2631="",$C2631=""),"",IF($L2631&lt;&gt;"",$L2631-$C2631,TODAY()-$C2631))</f>
        <v/>
      </c>
      <c r="N2631" s="28">
        <f>IF(OR($A2631="",$K2631=""),"",IF($L2631="",IF(TODAY()&gt;$K2631,"Atrasado","En ruta"),IF($L2631&lt;=$K2631,"Sí","No")))</f>
        <v/>
      </c>
      <c r="O2631" s="24">
        <f>IF($A2631="","",COUNTIFS(NOVEDADES!$D$4:$D$1503,$A2631))</f>
        <v/>
      </c>
      <c r="P2631" s="28">
        <f>IF($A2631="","",IF(COUNTIFS(NOVEDADES!$D$4:$D$1503,$A2631,NOVEDADES!$O$4:$O$1503,"SÍ")&gt;0,"No","Sí"))</f>
        <v/>
      </c>
      <c r="Q2631" s="28">
        <f>IF(OR($A2631="",$L2631=""),"",IF(AND($N2631="Sí",$P2631="Sí"),"OTIF","Falló"))</f>
        <v/>
      </c>
    </row>
    <row r="2632" ht="16" customHeight="1">
      <c r="A2632" s="48" t="n"/>
      <c r="B2632" s="48" t="n"/>
      <c r="C2632" s="47" t="n"/>
      <c r="D2632" s="50" t="n"/>
      <c r="E2632" s="50" t="n"/>
      <c r="F2632" s="50" t="n"/>
      <c r="G2632" s="50" t="n"/>
      <c r="H2632" s="48" t="n"/>
      <c r="I2632" s="51" t="n"/>
      <c r="J2632" s="52" t="n"/>
      <c r="K2632" s="47" t="n"/>
      <c r="L2632" s="47" t="n"/>
      <c r="M2632" s="24">
        <f>IF(OR($A2632="",$C2632=""),"",IF($L2632&lt;&gt;"",$L2632-$C2632,TODAY()-$C2632))</f>
        <v/>
      </c>
      <c r="N2632" s="28">
        <f>IF(OR($A2632="",$K2632=""),"",IF($L2632="",IF(TODAY()&gt;$K2632,"Atrasado","En ruta"),IF($L2632&lt;=$K2632,"Sí","No")))</f>
        <v/>
      </c>
      <c r="O2632" s="24">
        <f>IF($A2632="","",COUNTIFS(NOVEDADES!$D$4:$D$1503,$A2632))</f>
        <v/>
      </c>
      <c r="P2632" s="28">
        <f>IF($A2632="","",IF(COUNTIFS(NOVEDADES!$D$4:$D$1503,$A2632,NOVEDADES!$O$4:$O$1503,"SÍ")&gt;0,"No","Sí"))</f>
        <v/>
      </c>
      <c r="Q2632" s="28">
        <f>IF(OR($A2632="",$L2632=""),"",IF(AND($N2632="Sí",$P2632="Sí"),"OTIF","Falló"))</f>
        <v/>
      </c>
    </row>
    <row r="2633" ht="16" customHeight="1">
      <c r="A2633" s="48" t="n"/>
      <c r="B2633" s="48" t="n"/>
      <c r="C2633" s="47" t="n"/>
      <c r="D2633" s="50" t="n"/>
      <c r="E2633" s="50" t="n"/>
      <c r="F2633" s="50" t="n"/>
      <c r="G2633" s="50" t="n"/>
      <c r="H2633" s="48" t="n"/>
      <c r="I2633" s="51" t="n"/>
      <c r="J2633" s="52" t="n"/>
      <c r="K2633" s="47" t="n"/>
      <c r="L2633" s="47" t="n"/>
      <c r="M2633" s="24">
        <f>IF(OR($A2633="",$C2633=""),"",IF($L2633&lt;&gt;"",$L2633-$C2633,TODAY()-$C2633))</f>
        <v/>
      </c>
      <c r="N2633" s="28">
        <f>IF(OR($A2633="",$K2633=""),"",IF($L2633="",IF(TODAY()&gt;$K2633,"Atrasado","En ruta"),IF($L2633&lt;=$K2633,"Sí","No")))</f>
        <v/>
      </c>
      <c r="O2633" s="24">
        <f>IF($A2633="","",COUNTIFS(NOVEDADES!$D$4:$D$1503,$A2633))</f>
        <v/>
      </c>
      <c r="P2633" s="28">
        <f>IF($A2633="","",IF(COUNTIFS(NOVEDADES!$D$4:$D$1503,$A2633,NOVEDADES!$O$4:$O$1503,"SÍ")&gt;0,"No","Sí"))</f>
        <v/>
      </c>
      <c r="Q2633" s="28">
        <f>IF(OR($A2633="",$L2633=""),"",IF(AND($N2633="Sí",$P2633="Sí"),"OTIF","Falló"))</f>
        <v/>
      </c>
    </row>
    <row r="2634" ht="16" customHeight="1">
      <c r="A2634" s="48" t="n"/>
      <c r="B2634" s="48" t="n"/>
      <c r="C2634" s="47" t="n"/>
      <c r="D2634" s="50" t="n"/>
      <c r="E2634" s="50" t="n"/>
      <c r="F2634" s="50" t="n"/>
      <c r="G2634" s="50" t="n"/>
      <c r="H2634" s="48" t="n"/>
      <c r="I2634" s="51" t="n"/>
      <c r="J2634" s="52" t="n"/>
      <c r="K2634" s="47" t="n"/>
      <c r="L2634" s="47" t="n"/>
      <c r="M2634" s="24">
        <f>IF(OR($A2634="",$C2634=""),"",IF($L2634&lt;&gt;"",$L2634-$C2634,TODAY()-$C2634))</f>
        <v/>
      </c>
      <c r="N2634" s="28">
        <f>IF(OR($A2634="",$K2634=""),"",IF($L2634="",IF(TODAY()&gt;$K2634,"Atrasado","En ruta"),IF($L2634&lt;=$K2634,"Sí","No")))</f>
        <v/>
      </c>
      <c r="O2634" s="24">
        <f>IF($A2634="","",COUNTIFS(NOVEDADES!$D$4:$D$1503,$A2634))</f>
        <v/>
      </c>
      <c r="P2634" s="28">
        <f>IF($A2634="","",IF(COUNTIFS(NOVEDADES!$D$4:$D$1503,$A2634,NOVEDADES!$O$4:$O$1503,"SÍ")&gt;0,"No","Sí"))</f>
        <v/>
      </c>
      <c r="Q2634" s="28">
        <f>IF(OR($A2634="",$L2634=""),"",IF(AND($N2634="Sí",$P2634="Sí"),"OTIF","Falló"))</f>
        <v/>
      </c>
    </row>
    <row r="2635" ht="16" customHeight="1">
      <c r="A2635" s="48" t="n"/>
      <c r="B2635" s="48" t="n"/>
      <c r="C2635" s="47" t="n"/>
      <c r="D2635" s="50" t="n"/>
      <c r="E2635" s="50" t="n"/>
      <c r="F2635" s="50" t="n"/>
      <c r="G2635" s="50" t="n"/>
      <c r="H2635" s="48" t="n"/>
      <c r="I2635" s="51" t="n"/>
      <c r="J2635" s="52" t="n"/>
      <c r="K2635" s="47" t="n"/>
      <c r="L2635" s="47" t="n"/>
      <c r="M2635" s="24">
        <f>IF(OR($A2635="",$C2635=""),"",IF($L2635&lt;&gt;"",$L2635-$C2635,TODAY()-$C2635))</f>
        <v/>
      </c>
      <c r="N2635" s="28">
        <f>IF(OR($A2635="",$K2635=""),"",IF($L2635="",IF(TODAY()&gt;$K2635,"Atrasado","En ruta"),IF($L2635&lt;=$K2635,"Sí","No")))</f>
        <v/>
      </c>
      <c r="O2635" s="24">
        <f>IF($A2635="","",COUNTIFS(NOVEDADES!$D$4:$D$1503,$A2635))</f>
        <v/>
      </c>
      <c r="P2635" s="28">
        <f>IF($A2635="","",IF(COUNTIFS(NOVEDADES!$D$4:$D$1503,$A2635,NOVEDADES!$O$4:$O$1503,"SÍ")&gt;0,"No","Sí"))</f>
        <v/>
      </c>
      <c r="Q2635" s="28">
        <f>IF(OR($A2635="",$L2635=""),"",IF(AND($N2635="Sí",$P2635="Sí"),"OTIF","Falló"))</f>
        <v/>
      </c>
    </row>
    <row r="2636" ht="16" customHeight="1">
      <c r="A2636" s="48" t="n"/>
      <c r="B2636" s="48" t="n"/>
      <c r="C2636" s="47" t="n"/>
      <c r="D2636" s="50" t="n"/>
      <c r="E2636" s="50" t="n"/>
      <c r="F2636" s="50" t="n"/>
      <c r="G2636" s="50" t="n"/>
      <c r="H2636" s="48" t="n"/>
      <c r="I2636" s="51" t="n"/>
      <c r="J2636" s="52" t="n"/>
      <c r="K2636" s="47" t="n"/>
      <c r="L2636" s="47" t="n"/>
      <c r="M2636" s="24">
        <f>IF(OR($A2636="",$C2636=""),"",IF($L2636&lt;&gt;"",$L2636-$C2636,TODAY()-$C2636))</f>
        <v/>
      </c>
      <c r="N2636" s="28">
        <f>IF(OR($A2636="",$K2636=""),"",IF($L2636="",IF(TODAY()&gt;$K2636,"Atrasado","En ruta"),IF($L2636&lt;=$K2636,"Sí","No")))</f>
        <v/>
      </c>
      <c r="O2636" s="24">
        <f>IF($A2636="","",COUNTIFS(NOVEDADES!$D$4:$D$1503,$A2636))</f>
        <v/>
      </c>
      <c r="P2636" s="28">
        <f>IF($A2636="","",IF(COUNTIFS(NOVEDADES!$D$4:$D$1503,$A2636,NOVEDADES!$O$4:$O$1503,"SÍ")&gt;0,"No","Sí"))</f>
        <v/>
      </c>
      <c r="Q2636" s="28">
        <f>IF(OR($A2636="",$L2636=""),"",IF(AND($N2636="Sí",$P2636="Sí"),"OTIF","Falló"))</f>
        <v/>
      </c>
    </row>
    <row r="2637" ht="16" customHeight="1">
      <c r="A2637" s="48" t="n"/>
      <c r="B2637" s="48" t="n"/>
      <c r="C2637" s="47" t="n"/>
      <c r="D2637" s="50" t="n"/>
      <c r="E2637" s="50" t="n"/>
      <c r="F2637" s="50" t="n"/>
      <c r="G2637" s="50" t="n"/>
      <c r="H2637" s="48" t="n"/>
      <c r="I2637" s="51" t="n"/>
      <c r="J2637" s="52" t="n"/>
      <c r="K2637" s="47" t="n"/>
      <c r="L2637" s="47" t="n"/>
      <c r="M2637" s="24">
        <f>IF(OR($A2637="",$C2637=""),"",IF($L2637&lt;&gt;"",$L2637-$C2637,TODAY()-$C2637))</f>
        <v/>
      </c>
      <c r="N2637" s="28">
        <f>IF(OR($A2637="",$K2637=""),"",IF($L2637="",IF(TODAY()&gt;$K2637,"Atrasado","En ruta"),IF($L2637&lt;=$K2637,"Sí","No")))</f>
        <v/>
      </c>
      <c r="O2637" s="24">
        <f>IF($A2637="","",COUNTIFS(NOVEDADES!$D$4:$D$1503,$A2637))</f>
        <v/>
      </c>
      <c r="P2637" s="28">
        <f>IF($A2637="","",IF(COUNTIFS(NOVEDADES!$D$4:$D$1503,$A2637,NOVEDADES!$O$4:$O$1503,"SÍ")&gt;0,"No","Sí"))</f>
        <v/>
      </c>
      <c r="Q2637" s="28">
        <f>IF(OR($A2637="",$L2637=""),"",IF(AND($N2637="Sí",$P2637="Sí"),"OTIF","Falló"))</f>
        <v/>
      </c>
    </row>
    <row r="2638" ht="16" customHeight="1">
      <c r="A2638" s="48" t="n"/>
      <c r="B2638" s="48" t="n"/>
      <c r="C2638" s="47" t="n"/>
      <c r="D2638" s="50" t="n"/>
      <c r="E2638" s="50" t="n"/>
      <c r="F2638" s="50" t="n"/>
      <c r="G2638" s="50" t="n"/>
      <c r="H2638" s="48" t="n"/>
      <c r="I2638" s="51" t="n"/>
      <c r="J2638" s="52" t="n"/>
      <c r="K2638" s="47" t="n"/>
      <c r="L2638" s="47" t="n"/>
      <c r="M2638" s="24">
        <f>IF(OR($A2638="",$C2638=""),"",IF($L2638&lt;&gt;"",$L2638-$C2638,TODAY()-$C2638))</f>
        <v/>
      </c>
      <c r="N2638" s="28">
        <f>IF(OR($A2638="",$K2638=""),"",IF($L2638="",IF(TODAY()&gt;$K2638,"Atrasado","En ruta"),IF($L2638&lt;=$K2638,"Sí","No")))</f>
        <v/>
      </c>
      <c r="O2638" s="24">
        <f>IF($A2638="","",COUNTIFS(NOVEDADES!$D$4:$D$1503,$A2638))</f>
        <v/>
      </c>
      <c r="P2638" s="28">
        <f>IF($A2638="","",IF(COUNTIFS(NOVEDADES!$D$4:$D$1503,$A2638,NOVEDADES!$O$4:$O$1503,"SÍ")&gt;0,"No","Sí"))</f>
        <v/>
      </c>
      <c r="Q2638" s="28">
        <f>IF(OR($A2638="",$L2638=""),"",IF(AND($N2638="Sí",$P2638="Sí"),"OTIF","Falló"))</f>
        <v/>
      </c>
    </row>
    <row r="2639" ht="16" customHeight="1">
      <c r="A2639" s="48" t="n"/>
      <c r="B2639" s="48" t="n"/>
      <c r="C2639" s="47" t="n"/>
      <c r="D2639" s="50" t="n"/>
      <c r="E2639" s="50" t="n"/>
      <c r="F2639" s="50" t="n"/>
      <c r="G2639" s="50" t="n"/>
      <c r="H2639" s="48" t="n"/>
      <c r="I2639" s="51" t="n"/>
      <c r="J2639" s="52" t="n"/>
      <c r="K2639" s="47" t="n"/>
      <c r="L2639" s="47" t="n"/>
      <c r="M2639" s="24">
        <f>IF(OR($A2639="",$C2639=""),"",IF($L2639&lt;&gt;"",$L2639-$C2639,TODAY()-$C2639))</f>
        <v/>
      </c>
      <c r="N2639" s="28">
        <f>IF(OR($A2639="",$K2639=""),"",IF($L2639="",IF(TODAY()&gt;$K2639,"Atrasado","En ruta"),IF($L2639&lt;=$K2639,"Sí","No")))</f>
        <v/>
      </c>
      <c r="O2639" s="24">
        <f>IF($A2639="","",COUNTIFS(NOVEDADES!$D$4:$D$1503,$A2639))</f>
        <v/>
      </c>
      <c r="P2639" s="28">
        <f>IF($A2639="","",IF(COUNTIFS(NOVEDADES!$D$4:$D$1503,$A2639,NOVEDADES!$O$4:$O$1503,"SÍ")&gt;0,"No","Sí"))</f>
        <v/>
      </c>
      <c r="Q2639" s="28">
        <f>IF(OR($A2639="",$L2639=""),"",IF(AND($N2639="Sí",$P2639="Sí"),"OTIF","Falló"))</f>
        <v/>
      </c>
    </row>
    <row r="2640" ht="16" customHeight="1">
      <c r="A2640" s="48" t="n"/>
      <c r="B2640" s="48" t="n"/>
      <c r="C2640" s="47" t="n"/>
      <c r="D2640" s="50" t="n"/>
      <c r="E2640" s="50" t="n"/>
      <c r="F2640" s="50" t="n"/>
      <c r="G2640" s="50" t="n"/>
      <c r="H2640" s="48" t="n"/>
      <c r="I2640" s="51" t="n"/>
      <c r="J2640" s="52" t="n"/>
      <c r="K2640" s="47" t="n"/>
      <c r="L2640" s="47" t="n"/>
      <c r="M2640" s="24">
        <f>IF(OR($A2640="",$C2640=""),"",IF($L2640&lt;&gt;"",$L2640-$C2640,TODAY()-$C2640))</f>
        <v/>
      </c>
      <c r="N2640" s="28">
        <f>IF(OR($A2640="",$K2640=""),"",IF($L2640="",IF(TODAY()&gt;$K2640,"Atrasado","En ruta"),IF($L2640&lt;=$K2640,"Sí","No")))</f>
        <v/>
      </c>
      <c r="O2640" s="24">
        <f>IF($A2640="","",COUNTIFS(NOVEDADES!$D$4:$D$1503,$A2640))</f>
        <v/>
      </c>
      <c r="P2640" s="28">
        <f>IF($A2640="","",IF(COUNTIFS(NOVEDADES!$D$4:$D$1503,$A2640,NOVEDADES!$O$4:$O$1503,"SÍ")&gt;0,"No","Sí"))</f>
        <v/>
      </c>
      <c r="Q2640" s="28">
        <f>IF(OR($A2640="",$L2640=""),"",IF(AND($N2640="Sí",$P2640="Sí"),"OTIF","Falló"))</f>
        <v/>
      </c>
    </row>
    <row r="2641" ht="16" customHeight="1">
      <c r="A2641" s="48" t="n"/>
      <c r="B2641" s="48" t="n"/>
      <c r="C2641" s="47" t="n"/>
      <c r="D2641" s="50" t="n"/>
      <c r="E2641" s="50" t="n"/>
      <c r="F2641" s="50" t="n"/>
      <c r="G2641" s="50" t="n"/>
      <c r="H2641" s="48" t="n"/>
      <c r="I2641" s="51" t="n"/>
      <c r="J2641" s="52" t="n"/>
      <c r="K2641" s="47" t="n"/>
      <c r="L2641" s="47" t="n"/>
      <c r="M2641" s="24">
        <f>IF(OR($A2641="",$C2641=""),"",IF($L2641&lt;&gt;"",$L2641-$C2641,TODAY()-$C2641))</f>
        <v/>
      </c>
      <c r="N2641" s="28">
        <f>IF(OR($A2641="",$K2641=""),"",IF($L2641="",IF(TODAY()&gt;$K2641,"Atrasado","En ruta"),IF($L2641&lt;=$K2641,"Sí","No")))</f>
        <v/>
      </c>
      <c r="O2641" s="24">
        <f>IF($A2641="","",COUNTIFS(NOVEDADES!$D$4:$D$1503,$A2641))</f>
        <v/>
      </c>
      <c r="P2641" s="28">
        <f>IF($A2641="","",IF(COUNTIFS(NOVEDADES!$D$4:$D$1503,$A2641,NOVEDADES!$O$4:$O$1503,"SÍ")&gt;0,"No","Sí"))</f>
        <v/>
      </c>
      <c r="Q2641" s="28">
        <f>IF(OR($A2641="",$L2641=""),"",IF(AND($N2641="Sí",$P2641="Sí"),"OTIF","Falló"))</f>
        <v/>
      </c>
    </row>
    <row r="2642" ht="16" customHeight="1">
      <c r="A2642" s="48" t="n"/>
      <c r="B2642" s="48" t="n"/>
      <c r="C2642" s="47" t="n"/>
      <c r="D2642" s="50" t="n"/>
      <c r="E2642" s="50" t="n"/>
      <c r="F2642" s="50" t="n"/>
      <c r="G2642" s="50" t="n"/>
      <c r="H2642" s="48" t="n"/>
      <c r="I2642" s="51" t="n"/>
      <c r="J2642" s="52" t="n"/>
      <c r="K2642" s="47" t="n"/>
      <c r="L2642" s="47" t="n"/>
      <c r="M2642" s="24">
        <f>IF(OR($A2642="",$C2642=""),"",IF($L2642&lt;&gt;"",$L2642-$C2642,TODAY()-$C2642))</f>
        <v/>
      </c>
      <c r="N2642" s="28">
        <f>IF(OR($A2642="",$K2642=""),"",IF($L2642="",IF(TODAY()&gt;$K2642,"Atrasado","En ruta"),IF($L2642&lt;=$K2642,"Sí","No")))</f>
        <v/>
      </c>
      <c r="O2642" s="24">
        <f>IF($A2642="","",COUNTIFS(NOVEDADES!$D$4:$D$1503,$A2642))</f>
        <v/>
      </c>
      <c r="P2642" s="28">
        <f>IF($A2642="","",IF(COUNTIFS(NOVEDADES!$D$4:$D$1503,$A2642,NOVEDADES!$O$4:$O$1503,"SÍ")&gt;0,"No","Sí"))</f>
        <v/>
      </c>
      <c r="Q2642" s="28">
        <f>IF(OR($A2642="",$L2642=""),"",IF(AND($N2642="Sí",$P2642="Sí"),"OTIF","Falló"))</f>
        <v/>
      </c>
    </row>
    <row r="2643" ht="16" customHeight="1">
      <c r="A2643" s="48" t="n"/>
      <c r="B2643" s="48" t="n"/>
      <c r="C2643" s="47" t="n"/>
      <c r="D2643" s="50" t="n"/>
      <c r="E2643" s="50" t="n"/>
      <c r="F2643" s="50" t="n"/>
      <c r="G2643" s="50" t="n"/>
      <c r="H2643" s="48" t="n"/>
      <c r="I2643" s="51" t="n"/>
      <c r="J2643" s="52" t="n"/>
      <c r="K2643" s="47" t="n"/>
      <c r="L2643" s="47" t="n"/>
      <c r="M2643" s="24">
        <f>IF(OR($A2643="",$C2643=""),"",IF($L2643&lt;&gt;"",$L2643-$C2643,TODAY()-$C2643))</f>
        <v/>
      </c>
      <c r="N2643" s="28">
        <f>IF(OR($A2643="",$K2643=""),"",IF($L2643="",IF(TODAY()&gt;$K2643,"Atrasado","En ruta"),IF($L2643&lt;=$K2643,"Sí","No")))</f>
        <v/>
      </c>
      <c r="O2643" s="24">
        <f>IF($A2643="","",COUNTIFS(NOVEDADES!$D$4:$D$1503,$A2643))</f>
        <v/>
      </c>
      <c r="P2643" s="28">
        <f>IF($A2643="","",IF(COUNTIFS(NOVEDADES!$D$4:$D$1503,$A2643,NOVEDADES!$O$4:$O$1503,"SÍ")&gt;0,"No","Sí"))</f>
        <v/>
      </c>
      <c r="Q2643" s="28">
        <f>IF(OR($A2643="",$L2643=""),"",IF(AND($N2643="Sí",$P2643="Sí"),"OTIF","Falló"))</f>
        <v/>
      </c>
    </row>
    <row r="2644" ht="16" customHeight="1">
      <c r="A2644" s="48" t="n"/>
      <c r="B2644" s="48" t="n"/>
      <c r="C2644" s="47" t="n"/>
      <c r="D2644" s="50" t="n"/>
      <c r="E2644" s="50" t="n"/>
      <c r="F2644" s="50" t="n"/>
      <c r="G2644" s="50" t="n"/>
      <c r="H2644" s="48" t="n"/>
      <c r="I2644" s="51" t="n"/>
      <c r="J2644" s="52" t="n"/>
      <c r="K2644" s="47" t="n"/>
      <c r="L2644" s="47" t="n"/>
      <c r="M2644" s="24">
        <f>IF(OR($A2644="",$C2644=""),"",IF($L2644&lt;&gt;"",$L2644-$C2644,TODAY()-$C2644))</f>
        <v/>
      </c>
      <c r="N2644" s="28">
        <f>IF(OR($A2644="",$K2644=""),"",IF($L2644="",IF(TODAY()&gt;$K2644,"Atrasado","En ruta"),IF($L2644&lt;=$K2644,"Sí","No")))</f>
        <v/>
      </c>
      <c r="O2644" s="24">
        <f>IF($A2644="","",COUNTIFS(NOVEDADES!$D$4:$D$1503,$A2644))</f>
        <v/>
      </c>
      <c r="P2644" s="28">
        <f>IF($A2644="","",IF(COUNTIFS(NOVEDADES!$D$4:$D$1503,$A2644,NOVEDADES!$O$4:$O$1503,"SÍ")&gt;0,"No","Sí"))</f>
        <v/>
      </c>
      <c r="Q2644" s="28">
        <f>IF(OR($A2644="",$L2644=""),"",IF(AND($N2644="Sí",$P2644="Sí"),"OTIF","Falló"))</f>
        <v/>
      </c>
    </row>
    <row r="2645" ht="16" customHeight="1">
      <c r="A2645" s="48" t="n"/>
      <c r="B2645" s="48" t="n"/>
      <c r="C2645" s="47" t="n"/>
      <c r="D2645" s="50" t="n"/>
      <c r="E2645" s="50" t="n"/>
      <c r="F2645" s="50" t="n"/>
      <c r="G2645" s="50" t="n"/>
      <c r="H2645" s="48" t="n"/>
      <c r="I2645" s="51" t="n"/>
      <c r="J2645" s="52" t="n"/>
      <c r="K2645" s="47" t="n"/>
      <c r="L2645" s="47" t="n"/>
      <c r="M2645" s="24">
        <f>IF(OR($A2645="",$C2645=""),"",IF($L2645&lt;&gt;"",$L2645-$C2645,TODAY()-$C2645))</f>
        <v/>
      </c>
      <c r="N2645" s="28">
        <f>IF(OR($A2645="",$K2645=""),"",IF($L2645="",IF(TODAY()&gt;$K2645,"Atrasado","En ruta"),IF($L2645&lt;=$K2645,"Sí","No")))</f>
        <v/>
      </c>
      <c r="O2645" s="24">
        <f>IF($A2645="","",COUNTIFS(NOVEDADES!$D$4:$D$1503,$A2645))</f>
        <v/>
      </c>
      <c r="P2645" s="28">
        <f>IF($A2645="","",IF(COUNTIFS(NOVEDADES!$D$4:$D$1503,$A2645,NOVEDADES!$O$4:$O$1503,"SÍ")&gt;0,"No","Sí"))</f>
        <v/>
      </c>
      <c r="Q2645" s="28">
        <f>IF(OR($A2645="",$L2645=""),"",IF(AND($N2645="Sí",$P2645="Sí"),"OTIF","Falló"))</f>
        <v/>
      </c>
    </row>
    <row r="2646" ht="16" customHeight="1">
      <c r="A2646" s="48" t="n"/>
      <c r="B2646" s="48" t="n"/>
      <c r="C2646" s="47" t="n"/>
      <c r="D2646" s="50" t="n"/>
      <c r="E2646" s="50" t="n"/>
      <c r="F2646" s="50" t="n"/>
      <c r="G2646" s="50" t="n"/>
      <c r="H2646" s="48" t="n"/>
      <c r="I2646" s="51" t="n"/>
      <c r="J2646" s="52" t="n"/>
      <c r="K2646" s="47" t="n"/>
      <c r="L2646" s="47" t="n"/>
      <c r="M2646" s="24">
        <f>IF(OR($A2646="",$C2646=""),"",IF($L2646&lt;&gt;"",$L2646-$C2646,TODAY()-$C2646))</f>
        <v/>
      </c>
      <c r="N2646" s="28">
        <f>IF(OR($A2646="",$K2646=""),"",IF($L2646="",IF(TODAY()&gt;$K2646,"Atrasado","En ruta"),IF($L2646&lt;=$K2646,"Sí","No")))</f>
        <v/>
      </c>
      <c r="O2646" s="24">
        <f>IF($A2646="","",COUNTIFS(NOVEDADES!$D$4:$D$1503,$A2646))</f>
        <v/>
      </c>
      <c r="P2646" s="28">
        <f>IF($A2646="","",IF(COUNTIFS(NOVEDADES!$D$4:$D$1503,$A2646,NOVEDADES!$O$4:$O$1503,"SÍ")&gt;0,"No","Sí"))</f>
        <v/>
      </c>
      <c r="Q2646" s="28">
        <f>IF(OR($A2646="",$L2646=""),"",IF(AND($N2646="Sí",$P2646="Sí"),"OTIF","Falló"))</f>
        <v/>
      </c>
    </row>
    <row r="2647" ht="16" customHeight="1">
      <c r="A2647" s="48" t="n"/>
      <c r="B2647" s="48" t="n"/>
      <c r="C2647" s="47" t="n"/>
      <c r="D2647" s="50" t="n"/>
      <c r="E2647" s="50" t="n"/>
      <c r="F2647" s="50" t="n"/>
      <c r="G2647" s="50" t="n"/>
      <c r="H2647" s="48" t="n"/>
      <c r="I2647" s="51" t="n"/>
      <c r="J2647" s="52" t="n"/>
      <c r="K2647" s="47" t="n"/>
      <c r="L2647" s="47" t="n"/>
      <c r="M2647" s="24">
        <f>IF(OR($A2647="",$C2647=""),"",IF($L2647&lt;&gt;"",$L2647-$C2647,TODAY()-$C2647))</f>
        <v/>
      </c>
      <c r="N2647" s="28">
        <f>IF(OR($A2647="",$K2647=""),"",IF($L2647="",IF(TODAY()&gt;$K2647,"Atrasado","En ruta"),IF($L2647&lt;=$K2647,"Sí","No")))</f>
        <v/>
      </c>
      <c r="O2647" s="24">
        <f>IF($A2647="","",COUNTIFS(NOVEDADES!$D$4:$D$1503,$A2647))</f>
        <v/>
      </c>
      <c r="P2647" s="28">
        <f>IF($A2647="","",IF(COUNTIFS(NOVEDADES!$D$4:$D$1503,$A2647,NOVEDADES!$O$4:$O$1503,"SÍ")&gt;0,"No","Sí"))</f>
        <v/>
      </c>
      <c r="Q2647" s="28">
        <f>IF(OR($A2647="",$L2647=""),"",IF(AND($N2647="Sí",$P2647="Sí"),"OTIF","Falló"))</f>
        <v/>
      </c>
    </row>
    <row r="2648" ht="16" customHeight="1">
      <c r="A2648" s="48" t="n"/>
      <c r="B2648" s="48" t="n"/>
      <c r="C2648" s="47" t="n"/>
      <c r="D2648" s="50" t="n"/>
      <c r="E2648" s="50" t="n"/>
      <c r="F2648" s="50" t="n"/>
      <c r="G2648" s="50" t="n"/>
      <c r="H2648" s="48" t="n"/>
      <c r="I2648" s="51" t="n"/>
      <c r="J2648" s="52" t="n"/>
      <c r="K2648" s="47" t="n"/>
      <c r="L2648" s="47" t="n"/>
      <c r="M2648" s="24">
        <f>IF(OR($A2648="",$C2648=""),"",IF($L2648&lt;&gt;"",$L2648-$C2648,TODAY()-$C2648))</f>
        <v/>
      </c>
      <c r="N2648" s="28">
        <f>IF(OR($A2648="",$K2648=""),"",IF($L2648="",IF(TODAY()&gt;$K2648,"Atrasado","En ruta"),IF($L2648&lt;=$K2648,"Sí","No")))</f>
        <v/>
      </c>
      <c r="O2648" s="24">
        <f>IF($A2648="","",COUNTIFS(NOVEDADES!$D$4:$D$1503,$A2648))</f>
        <v/>
      </c>
      <c r="P2648" s="28">
        <f>IF($A2648="","",IF(COUNTIFS(NOVEDADES!$D$4:$D$1503,$A2648,NOVEDADES!$O$4:$O$1503,"SÍ")&gt;0,"No","Sí"))</f>
        <v/>
      </c>
      <c r="Q2648" s="28">
        <f>IF(OR($A2648="",$L2648=""),"",IF(AND($N2648="Sí",$P2648="Sí"),"OTIF","Falló"))</f>
        <v/>
      </c>
    </row>
    <row r="2649" ht="16" customHeight="1">
      <c r="A2649" s="48" t="n"/>
      <c r="B2649" s="48" t="n"/>
      <c r="C2649" s="47" t="n"/>
      <c r="D2649" s="50" t="n"/>
      <c r="E2649" s="50" t="n"/>
      <c r="F2649" s="50" t="n"/>
      <c r="G2649" s="50" t="n"/>
      <c r="H2649" s="48" t="n"/>
      <c r="I2649" s="51" t="n"/>
      <c r="J2649" s="52" t="n"/>
      <c r="K2649" s="47" t="n"/>
      <c r="L2649" s="47" t="n"/>
      <c r="M2649" s="24">
        <f>IF(OR($A2649="",$C2649=""),"",IF($L2649&lt;&gt;"",$L2649-$C2649,TODAY()-$C2649))</f>
        <v/>
      </c>
      <c r="N2649" s="28">
        <f>IF(OR($A2649="",$K2649=""),"",IF($L2649="",IF(TODAY()&gt;$K2649,"Atrasado","En ruta"),IF($L2649&lt;=$K2649,"Sí","No")))</f>
        <v/>
      </c>
      <c r="O2649" s="24">
        <f>IF($A2649="","",COUNTIFS(NOVEDADES!$D$4:$D$1503,$A2649))</f>
        <v/>
      </c>
      <c r="P2649" s="28">
        <f>IF($A2649="","",IF(COUNTIFS(NOVEDADES!$D$4:$D$1503,$A2649,NOVEDADES!$O$4:$O$1503,"SÍ")&gt;0,"No","Sí"))</f>
        <v/>
      </c>
      <c r="Q2649" s="28">
        <f>IF(OR($A2649="",$L2649=""),"",IF(AND($N2649="Sí",$P2649="Sí"),"OTIF","Falló"))</f>
        <v/>
      </c>
    </row>
    <row r="2650" ht="16" customHeight="1">
      <c r="A2650" s="48" t="n"/>
      <c r="B2650" s="48" t="n"/>
      <c r="C2650" s="47" t="n"/>
      <c r="D2650" s="50" t="n"/>
      <c r="E2650" s="50" t="n"/>
      <c r="F2650" s="50" t="n"/>
      <c r="G2650" s="50" t="n"/>
      <c r="H2650" s="48" t="n"/>
      <c r="I2650" s="51" t="n"/>
      <c r="J2650" s="52" t="n"/>
      <c r="K2650" s="47" t="n"/>
      <c r="L2650" s="47" t="n"/>
      <c r="M2650" s="24">
        <f>IF(OR($A2650="",$C2650=""),"",IF($L2650&lt;&gt;"",$L2650-$C2650,TODAY()-$C2650))</f>
        <v/>
      </c>
      <c r="N2650" s="28">
        <f>IF(OR($A2650="",$K2650=""),"",IF($L2650="",IF(TODAY()&gt;$K2650,"Atrasado","En ruta"),IF($L2650&lt;=$K2650,"Sí","No")))</f>
        <v/>
      </c>
      <c r="O2650" s="24">
        <f>IF($A2650="","",COUNTIFS(NOVEDADES!$D$4:$D$1503,$A2650))</f>
        <v/>
      </c>
      <c r="P2650" s="28">
        <f>IF($A2650="","",IF(COUNTIFS(NOVEDADES!$D$4:$D$1503,$A2650,NOVEDADES!$O$4:$O$1503,"SÍ")&gt;0,"No","Sí"))</f>
        <v/>
      </c>
      <c r="Q2650" s="28">
        <f>IF(OR($A2650="",$L2650=""),"",IF(AND($N2650="Sí",$P2650="Sí"),"OTIF","Falló"))</f>
        <v/>
      </c>
    </row>
    <row r="2651" ht="16" customHeight="1">
      <c r="A2651" s="48" t="n"/>
      <c r="B2651" s="48" t="n"/>
      <c r="C2651" s="47" t="n"/>
      <c r="D2651" s="50" t="n"/>
      <c r="E2651" s="50" t="n"/>
      <c r="F2651" s="50" t="n"/>
      <c r="G2651" s="50" t="n"/>
      <c r="H2651" s="48" t="n"/>
      <c r="I2651" s="51" t="n"/>
      <c r="J2651" s="52" t="n"/>
      <c r="K2651" s="47" t="n"/>
      <c r="L2651" s="47" t="n"/>
      <c r="M2651" s="24">
        <f>IF(OR($A2651="",$C2651=""),"",IF($L2651&lt;&gt;"",$L2651-$C2651,TODAY()-$C2651))</f>
        <v/>
      </c>
      <c r="N2651" s="28">
        <f>IF(OR($A2651="",$K2651=""),"",IF($L2651="",IF(TODAY()&gt;$K2651,"Atrasado","En ruta"),IF($L2651&lt;=$K2651,"Sí","No")))</f>
        <v/>
      </c>
      <c r="O2651" s="24">
        <f>IF($A2651="","",COUNTIFS(NOVEDADES!$D$4:$D$1503,$A2651))</f>
        <v/>
      </c>
      <c r="P2651" s="28">
        <f>IF($A2651="","",IF(COUNTIFS(NOVEDADES!$D$4:$D$1503,$A2651,NOVEDADES!$O$4:$O$1503,"SÍ")&gt;0,"No","Sí"))</f>
        <v/>
      </c>
      <c r="Q2651" s="28">
        <f>IF(OR($A2651="",$L2651=""),"",IF(AND($N2651="Sí",$P2651="Sí"),"OTIF","Falló"))</f>
        <v/>
      </c>
    </row>
    <row r="2652" ht="16" customHeight="1">
      <c r="A2652" s="48" t="n"/>
      <c r="B2652" s="48" t="n"/>
      <c r="C2652" s="47" t="n"/>
      <c r="D2652" s="50" t="n"/>
      <c r="E2652" s="50" t="n"/>
      <c r="F2652" s="50" t="n"/>
      <c r="G2652" s="50" t="n"/>
      <c r="H2652" s="48" t="n"/>
      <c r="I2652" s="51" t="n"/>
      <c r="J2652" s="52" t="n"/>
      <c r="K2652" s="47" t="n"/>
      <c r="L2652" s="47" t="n"/>
      <c r="M2652" s="24">
        <f>IF(OR($A2652="",$C2652=""),"",IF($L2652&lt;&gt;"",$L2652-$C2652,TODAY()-$C2652))</f>
        <v/>
      </c>
      <c r="N2652" s="28">
        <f>IF(OR($A2652="",$K2652=""),"",IF($L2652="",IF(TODAY()&gt;$K2652,"Atrasado","En ruta"),IF($L2652&lt;=$K2652,"Sí","No")))</f>
        <v/>
      </c>
      <c r="O2652" s="24">
        <f>IF($A2652="","",COUNTIFS(NOVEDADES!$D$4:$D$1503,$A2652))</f>
        <v/>
      </c>
      <c r="P2652" s="28">
        <f>IF($A2652="","",IF(COUNTIFS(NOVEDADES!$D$4:$D$1503,$A2652,NOVEDADES!$O$4:$O$1503,"SÍ")&gt;0,"No","Sí"))</f>
        <v/>
      </c>
      <c r="Q2652" s="28">
        <f>IF(OR($A2652="",$L2652=""),"",IF(AND($N2652="Sí",$P2652="Sí"),"OTIF","Falló"))</f>
        <v/>
      </c>
    </row>
    <row r="2653" ht="16" customHeight="1">
      <c r="A2653" s="48" t="n"/>
      <c r="B2653" s="48" t="n"/>
      <c r="C2653" s="47" t="n"/>
      <c r="D2653" s="50" t="n"/>
      <c r="E2653" s="50" t="n"/>
      <c r="F2653" s="50" t="n"/>
      <c r="G2653" s="50" t="n"/>
      <c r="H2653" s="48" t="n"/>
      <c r="I2653" s="51" t="n"/>
      <c r="J2653" s="52" t="n"/>
      <c r="K2653" s="47" t="n"/>
      <c r="L2653" s="47" t="n"/>
      <c r="M2653" s="24">
        <f>IF(OR($A2653="",$C2653=""),"",IF($L2653&lt;&gt;"",$L2653-$C2653,TODAY()-$C2653))</f>
        <v/>
      </c>
      <c r="N2653" s="28">
        <f>IF(OR($A2653="",$K2653=""),"",IF($L2653="",IF(TODAY()&gt;$K2653,"Atrasado","En ruta"),IF($L2653&lt;=$K2653,"Sí","No")))</f>
        <v/>
      </c>
      <c r="O2653" s="24">
        <f>IF($A2653="","",COUNTIFS(NOVEDADES!$D$4:$D$1503,$A2653))</f>
        <v/>
      </c>
      <c r="P2653" s="28">
        <f>IF($A2653="","",IF(COUNTIFS(NOVEDADES!$D$4:$D$1503,$A2653,NOVEDADES!$O$4:$O$1503,"SÍ")&gt;0,"No","Sí"))</f>
        <v/>
      </c>
      <c r="Q2653" s="28">
        <f>IF(OR($A2653="",$L2653=""),"",IF(AND($N2653="Sí",$P2653="Sí"),"OTIF","Falló"))</f>
        <v/>
      </c>
    </row>
    <row r="2654" ht="16" customHeight="1">
      <c r="A2654" s="48" t="n"/>
      <c r="B2654" s="48" t="n"/>
      <c r="C2654" s="47" t="n"/>
      <c r="D2654" s="50" t="n"/>
      <c r="E2654" s="50" t="n"/>
      <c r="F2654" s="50" t="n"/>
      <c r="G2654" s="50" t="n"/>
      <c r="H2654" s="48" t="n"/>
      <c r="I2654" s="51" t="n"/>
      <c r="J2654" s="52" t="n"/>
      <c r="K2654" s="47" t="n"/>
      <c r="L2654" s="47" t="n"/>
      <c r="M2654" s="24">
        <f>IF(OR($A2654="",$C2654=""),"",IF($L2654&lt;&gt;"",$L2654-$C2654,TODAY()-$C2654))</f>
        <v/>
      </c>
      <c r="N2654" s="28">
        <f>IF(OR($A2654="",$K2654=""),"",IF($L2654="",IF(TODAY()&gt;$K2654,"Atrasado","En ruta"),IF($L2654&lt;=$K2654,"Sí","No")))</f>
        <v/>
      </c>
      <c r="O2654" s="24">
        <f>IF($A2654="","",COUNTIFS(NOVEDADES!$D$4:$D$1503,$A2654))</f>
        <v/>
      </c>
      <c r="P2654" s="28">
        <f>IF($A2654="","",IF(COUNTIFS(NOVEDADES!$D$4:$D$1503,$A2654,NOVEDADES!$O$4:$O$1503,"SÍ")&gt;0,"No","Sí"))</f>
        <v/>
      </c>
      <c r="Q2654" s="28">
        <f>IF(OR($A2654="",$L2654=""),"",IF(AND($N2654="Sí",$P2654="Sí"),"OTIF","Falló"))</f>
        <v/>
      </c>
    </row>
    <row r="2655" ht="16" customHeight="1">
      <c r="A2655" s="48" t="n"/>
      <c r="B2655" s="48" t="n"/>
      <c r="C2655" s="47" t="n"/>
      <c r="D2655" s="50" t="n"/>
      <c r="E2655" s="50" t="n"/>
      <c r="F2655" s="50" t="n"/>
      <c r="G2655" s="50" t="n"/>
      <c r="H2655" s="48" t="n"/>
      <c r="I2655" s="51" t="n"/>
      <c r="J2655" s="52" t="n"/>
      <c r="K2655" s="47" t="n"/>
      <c r="L2655" s="47" t="n"/>
      <c r="M2655" s="24">
        <f>IF(OR($A2655="",$C2655=""),"",IF($L2655&lt;&gt;"",$L2655-$C2655,TODAY()-$C2655))</f>
        <v/>
      </c>
      <c r="N2655" s="28">
        <f>IF(OR($A2655="",$K2655=""),"",IF($L2655="",IF(TODAY()&gt;$K2655,"Atrasado","En ruta"),IF($L2655&lt;=$K2655,"Sí","No")))</f>
        <v/>
      </c>
      <c r="O2655" s="24">
        <f>IF($A2655="","",COUNTIFS(NOVEDADES!$D$4:$D$1503,$A2655))</f>
        <v/>
      </c>
      <c r="P2655" s="28">
        <f>IF($A2655="","",IF(COUNTIFS(NOVEDADES!$D$4:$D$1503,$A2655,NOVEDADES!$O$4:$O$1503,"SÍ")&gt;0,"No","Sí"))</f>
        <v/>
      </c>
      <c r="Q2655" s="28">
        <f>IF(OR($A2655="",$L2655=""),"",IF(AND($N2655="Sí",$P2655="Sí"),"OTIF","Falló"))</f>
        <v/>
      </c>
    </row>
    <row r="2656" ht="16" customHeight="1">
      <c r="A2656" s="48" t="n"/>
      <c r="B2656" s="48" t="n"/>
      <c r="C2656" s="47" t="n"/>
      <c r="D2656" s="50" t="n"/>
      <c r="E2656" s="50" t="n"/>
      <c r="F2656" s="50" t="n"/>
      <c r="G2656" s="50" t="n"/>
      <c r="H2656" s="48" t="n"/>
      <c r="I2656" s="51" t="n"/>
      <c r="J2656" s="52" t="n"/>
      <c r="K2656" s="47" t="n"/>
      <c r="L2656" s="47" t="n"/>
      <c r="M2656" s="24">
        <f>IF(OR($A2656="",$C2656=""),"",IF($L2656&lt;&gt;"",$L2656-$C2656,TODAY()-$C2656))</f>
        <v/>
      </c>
      <c r="N2656" s="28">
        <f>IF(OR($A2656="",$K2656=""),"",IF($L2656="",IF(TODAY()&gt;$K2656,"Atrasado","En ruta"),IF($L2656&lt;=$K2656,"Sí","No")))</f>
        <v/>
      </c>
      <c r="O2656" s="24">
        <f>IF($A2656="","",COUNTIFS(NOVEDADES!$D$4:$D$1503,$A2656))</f>
        <v/>
      </c>
      <c r="P2656" s="28">
        <f>IF($A2656="","",IF(COUNTIFS(NOVEDADES!$D$4:$D$1503,$A2656,NOVEDADES!$O$4:$O$1503,"SÍ")&gt;0,"No","Sí"))</f>
        <v/>
      </c>
      <c r="Q2656" s="28">
        <f>IF(OR($A2656="",$L2656=""),"",IF(AND($N2656="Sí",$P2656="Sí"),"OTIF","Falló"))</f>
        <v/>
      </c>
    </row>
    <row r="2657" ht="16" customHeight="1">
      <c r="A2657" s="48" t="n"/>
      <c r="B2657" s="48" t="n"/>
      <c r="C2657" s="47" t="n"/>
      <c r="D2657" s="50" t="n"/>
      <c r="E2657" s="50" t="n"/>
      <c r="F2657" s="50" t="n"/>
      <c r="G2657" s="50" t="n"/>
      <c r="H2657" s="48" t="n"/>
      <c r="I2657" s="51" t="n"/>
      <c r="J2657" s="52" t="n"/>
      <c r="K2657" s="47" t="n"/>
      <c r="L2657" s="47" t="n"/>
      <c r="M2657" s="24">
        <f>IF(OR($A2657="",$C2657=""),"",IF($L2657&lt;&gt;"",$L2657-$C2657,TODAY()-$C2657))</f>
        <v/>
      </c>
      <c r="N2657" s="28">
        <f>IF(OR($A2657="",$K2657=""),"",IF($L2657="",IF(TODAY()&gt;$K2657,"Atrasado","En ruta"),IF($L2657&lt;=$K2657,"Sí","No")))</f>
        <v/>
      </c>
      <c r="O2657" s="24">
        <f>IF($A2657="","",COUNTIFS(NOVEDADES!$D$4:$D$1503,$A2657))</f>
        <v/>
      </c>
      <c r="P2657" s="28">
        <f>IF($A2657="","",IF(COUNTIFS(NOVEDADES!$D$4:$D$1503,$A2657,NOVEDADES!$O$4:$O$1503,"SÍ")&gt;0,"No","Sí"))</f>
        <v/>
      </c>
      <c r="Q2657" s="28">
        <f>IF(OR($A2657="",$L2657=""),"",IF(AND($N2657="Sí",$P2657="Sí"),"OTIF","Falló"))</f>
        <v/>
      </c>
    </row>
    <row r="2658" ht="16" customHeight="1">
      <c r="A2658" s="48" t="n"/>
      <c r="B2658" s="48" t="n"/>
      <c r="C2658" s="47" t="n"/>
      <c r="D2658" s="50" t="n"/>
      <c r="E2658" s="50" t="n"/>
      <c r="F2658" s="50" t="n"/>
      <c r="G2658" s="50" t="n"/>
      <c r="H2658" s="48" t="n"/>
      <c r="I2658" s="51" t="n"/>
      <c r="J2658" s="52" t="n"/>
      <c r="K2658" s="47" t="n"/>
      <c r="L2658" s="47" t="n"/>
      <c r="M2658" s="24">
        <f>IF(OR($A2658="",$C2658=""),"",IF($L2658&lt;&gt;"",$L2658-$C2658,TODAY()-$C2658))</f>
        <v/>
      </c>
      <c r="N2658" s="28">
        <f>IF(OR($A2658="",$K2658=""),"",IF($L2658="",IF(TODAY()&gt;$K2658,"Atrasado","En ruta"),IF($L2658&lt;=$K2658,"Sí","No")))</f>
        <v/>
      </c>
      <c r="O2658" s="24">
        <f>IF($A2658="","",COUNTIFS(NOVEDADES!$D$4:$D$1503,$A2658))</f>
        <v/>
      </c>
      <c r="P2658" s="28">
        <f>IF($A2658="","",IF(COUNTIFS(NOVEDADES!$D$4:$D$1503,$A2658,NOVEDADES!$O$4:$O$1503,"SÍ")&gt;0,"No","Sí"))</f>
        <v/>
      </c>
      <c r="Q2658" s="28">
        <f>IF(OR($A2658="",$L2658=""),"",IF(AND($N2658="Sí",$P2658="Sí"),"OTIF","Falló"))</f>
        <v/>
      </c>
    </row>
    <row r="2659" ht="16" customHeight="1">
      <c r="A2659" s="48" t="n"/>
      <c r="B2659" s="48" t="n"/>
      <c r="C2659" s="47" t="n"/>
      <c r="D2659" s="50" t="n"/>
      <c r="E2659" s="50" t="n"/>
      <c r="F2659" s="50" t="n"/>
      <c r="G2659" s="50" t="n"/>
      <c r="H2659" s="48" t="n"/>
      <c r="I2659" s="51" t="n"/>
      <c r="J2659" s="52" t="n"/>
      <c r="K2659" s="47" t="n"/>
      <c r="L2659" s="47" t="n"/>
      <c r="M2659" s="24">
        <f>IF(OR($A2659="",$C2659=""),"",IF($L2659&lt;&gt;"",$L2659-$C2659,TODAY()-$C2659))</f>
        <v/>
      </c>
      <c r="N2659" s="28">
        <f>IF(OR($A2659="",$K2659=""),"",IF($L2659="",IF(TODAY()&gt;$K2659,"Atrasado","En ruta"),IF($L2659&lt;=$K2659,"Sí","No")))</f>
        <v/>
      </c>
      <c r="O2659" s="24">
        <f>IF($A2659="","",COUNTIFS(NOVEDADES!$D$4:$D$1503,$A2659))</f>
        <v/>
      </c>
      <c r="P2659" s="28">
        <f>IF($A2659="","",IF(COUNTIFS(NOVEDADES!$D$4:$D$1503,$A2659,NOVEDADES!$O$4:$O$1503,"SÍ")&gt;0,"No","Sí"))</f>
        <v/>
      </c>
      <c r="Q2659" s="28">
        <f>IF(OR($A2659="",$L2659=""),"",IF(AND($N2659="Sí",$P2659="Sí"),"OTIF","Falló"))</f>
        <v/>
      </c>
    </row>
    <row r="2660" ht="16" customHeight="1">
      <c r="A2660" s="48" t="n"/>
      <c r="B2660" s="48" t="n"/>
      <c r="C2660" s="47" t="n"/>
      <c r="D2660" s="50" t="n"/>
      <c r="E2660" s="50" t="n"/>
      <c r="F2660" s="50" t="n"/>
      <c r="G2660" s="50" t="n"/>
      <c r="H2660" s="48" t="n"/>
      <c r="I2660" s="51" t="n"/>
      <c r="J2660" s="52" t="n"/>
      <c r="K2660" s="47" t="n"/>
      <c r="L2660" s="47" t="n"/>
      <c r="M2660" s="24">
        <f>IF(OR($A2660="",$C2660=""),"",IF($L2660&lt;&gt;"",$L2660-$C2660,TODAY()-$C2660))</f>
        <v/>
      </c>
      <c r="N2660" s="28">
        <f>IF(OR($A2660="",$K2660=""),"",IF($L2660="",IF(TODAY()&gt;$K2660,"Atrasado","En ruta"),IF($L2660&lt;=$K2660,"Sí","No")))</f>
        <v/>
      </c>
      <c r="O2660" s="24">
        <f>IF($A2660="","",COUNTIFS(NOVEDADES!$D$4:$D$1503,$A2660))</f>
        <v/>
      </c>
      <c r="P2660" s="28">
        <f>IF($A2660="","",IF(COUNTIFS(NOVEDADES!$D$4:$D$1503,$A2660,NOVEDADES!$O$4:$O$1503,"SÍ")&gt;0,"No","Sí"))</f>
        <v/>
      </c>
      <c r="Q2660" s="28">
        <f>IF(OR($A2660="",$L2660=""),"",IF(AND($N2660="Sí",$P2660="Sí"),"OTIF","Falló"))</f>
        <v/>
      </c>
    </row>
    <row r="2661" ht="16" customHeight="1">
      <c r="A2661" s="48" t="n"/>
      <c r="B2661" s="48" t="n"/>
      <c r="C2661" s="47" t="n"/>
      <c r="D2661" s="50" t="n"/>
      <c r="E2661" s="50" t="n"/>
      <c r="F2661" s="50" t="n"/>
      <c r="G2661" s="50" t="n"/>
      <c r="H2661" s="48" t="n"/>
      <c r="I2661" s="51" t="n"/>
      <c r="J2661" s="52" t="n"/>
      <c r="K2661" s="47" t="n"/>
      <c r="L2661" s="47" t="n"/>
      <c r="M2661" s="24">
        <f>IF(OR($A2661="",$C2661=""),"",IF($L2661&lt;&gt;"",$L2661-$C2661,TODAY()-$C2661))</f>
        <v/>
      </c>
      <c r="N2661" s="28">
        <f>IF(OR($A2661="",$K2661=""),"",IF($L2661="",IF(TODAY()&gt;$K2661,"Atrasado","En ruta"),IF($L2661&lt;=$K2661,"Sí","No")))</f>
        <v/>
      </c>
      <c r="O2661" s="24">
        <f>IF($A2661="","",COUNTIFS(NOVEDADES!$D$4:$D$1503,$A2661))</f>
        <v/>
      </c>
      <c r="P2661" s="28">
        <f>IF($A2661="","",IF(COUNTIFS(NOVEDADES!$D$4:$D$1503,$A2661,NOVEDADES!$O$4:$O$1503,"SÍ")&gt;0,"No","Sí"))</f>
        <v/>
      </c>
      <c r="Q2661" s="28">
        <f>IF(OR($A2661="",$L2661=""),"",IF(AND($N2661="Sí",$P2661="Sí"),"OTIF","Falló"))</f>
        <v/>
      </c>
    </row>
    <row r="2662" ht="16" customHeight="1">
      <c r="A2662" s="48" t="n"/>
      <c r="B2662" s="48" t="n"/>
      <c r="C2662" s="47" t="n"/>
      <c r="D2662" s="50" t="n"/>
      <c r="E2662" s="50" t="n"/>
      <c r="F2662" s="50" t="n"/>
      <c r="G2662" s="50" t="n"/>
      <c r="H2662" s="48" t="n"/>
      <c r="I2662" s="51" t="n"/>
      <c r="J2662" s="52" t="n"/>
      <c r="K2662" s="47" t="n"/>
      <c r="L2662" s="47" t="n"/>
      <c r="M2662" s="24">
        <f>IF(OR($A2662="",$C2662=""),"",IF($L2662&lt;&gt;"",$L2662-$C2662,TODAY()-$C2662))</f>
        <v/>
      </c>
      <c r="N2662" s="28">
        <f>IF(OR($A2662="",$K2662=""),"",IF($L2662="",IF(TODAY()&gt;$K2662,"Atrasado","En ruta"),IF($L2662&lt;=$K2662,"Sí","No")))</f>
        <v/>
      </c>
      <c r="O2662" s="24">
        <f>IF($A2662="","",COUNTIFS(NOVEDADES!$D$4:$D$1503,$A2662))</f>
        <v/>
      </c>
      <c r="P2662" s="28">
        <f>IF($A2662="","",IF(COUNTIFS(NOVEDADES!$D$4:$D$1503,$A2662,NOVEDADES!$O$4:$O$1503,"SÍ")&gt;0,"No","Sí"))</f>
        <v/>
      </c>
      <c r="Q2662" s="28">
        <f>IF(OR($A2662="",$L2662=""),"",IF(AND($N2662="Sí",$P2662="Sí"),"OTIF","Falló"))</f>
        <v/>
      </c>
    </row>
    <row r="2663" ht="16" customHeight="1">
      <c r="A2663" s="48" t="n"/>
      <c r="B2663" s="48" t="n"/>
      <c r="C2663" s="47" t="n"/>
      <c r="D2663" s="50" t="n"/>
      <c r="E2663" s="50" t="n"/>
      <c r="F2663" s="50" t="n"/>
      <c r="G2663" s="50" t="n"/>
      <c r="H2663" s="48" t="n"/>
      <c r="I2663" s="51" t="n"/>
      <c r="J2663" s="52" t="n"/>
      <c r="K2663" s="47" t="n"/>
      <c r="L2663" s="47" t="n"/>
      <c r="M2663" s="24">
        <f>IF(OR($A2663="",$C2663=""),"",IF($L2663&lt;&gt;"",$L2663-$C2663,TODAY()-$C2663))</f>
        <v/>
      </c>
      <c r="N2663" s="28">
        <f>IF(OR($A2663="",$K2663=""),"",IF($L2663="",IF(TODAY()&gt;$K2663,"Atrasado","En ruta"),IF($L2663&lt;=$K2663,"Sí","No")))</f>
        <v/>
      </c>
      <c r="O2663" s="24">
        <f>IF($A2663="","",COUNTIFS(NOVEDADES!$D$4:$D$1503,$A2663))</f>
        <v/>
      </c>
      <c r="P2663" s="28">
        <f>IF($A2663="","",IF(COUNTIFS(NOVEDADES!$D$4:$D$1503,$A2663,NOVEDADES!$O$4:$O$1503,"SÍ")&gt;0,"No","Sí"))</f>
        <v/>
      </c>
      <c r="Q2663" s="28">
        <f>IF(OR($A2663="",$L2663=""),"",IF(AND($N2663="Sí",$P2663="Sí"),"OTIF","Falló"))</f>
        <v/>
      </c>
    </row>
    <row r="2664" ht="16" customHeight="1">
      <c r="A2664" s="48" t="n"/>
      <c r="B2664" s="48" t="n"/>
      <c r="C2664" s="47" t="n"/>
      <c r="D2664" s="50" t="n"/>
      <c r="E2664" s="50" t="n"/>
      <c r="F2664" s="50" t="n"/>
      <c r="G2664" s="50" t="n"/>
      <c r="H2664" s="48" t="n"/>
      <c r="I2664" s="51" t="n"/>
      <c r="J2664" s="52" t="n"/>
      <c r="K2664" s="47" t="n"/>
      <c r="L2664" s="47" t="n"/>
      <c r="M2664" s="24">
        <f>IF(OR($A2664="",$C2664=""),"",IF($L2664&lt;&gt;"",$L2664-$C2664,TODAY()-$C2664))</f>
        <v/>
      </c>
      <c r="N2664" s="28">
        <f>IF(OR($A2664="",$K2664=""),"",IF($L2664="",IF(TODAY()&gt;$K2664,"Atrasado","En ruta"),IF($L2664&lt;=$K2664,"Sí","No")))</f>
        <v/>
      </c>
      <c r="O2664" s="24">
        <f>IF($A2664="","",COUNTIFS(NOVEDADES!$D$4:$D$1503,$A2664))</f>
        <v/>
      </c>
      <c r="P2664" s="28">
        <f>IF($A2664="","",IF(COUNTIFS(NOVEDADES!$D$4:$D$1503,$A2664,NOVEDADES!$O$4:$O$1503,"SÍ")&gt;0,"No","Sí"))</f>
        <v/>
      </c>
      <c r="Q2664" s="28">
        <f>IF(OR($A2664="",$L2664=""),"",IF(AND($N2664="Sí",$P2664="Sí"),"OTIF","Falló"))</f>
        <v/>
      </c>
    </row>
    <row r="2665" ht="16" customHeight="1">
      <c r="A2665" s="48" t="n"/>
      <c r="B2665" s="48" t="n"/>
      <c r="C2665" s="47" t="n"/>
      <c r="D2665" s="50" t="n"/>
      <c r="E2665" s="50" t="n"/>
      <c r="F2665" s="50" t="n"/>
      <c r="G2665" s="50" t="n"/>
      <c r="H2665" s="48" t="n"/>
      <c r="I2665" s="51" t="n"/>
      <c r="J2665" s="52" t="n"/>
      <c r="K2665" s="47" t="n"/>
      <c r="L2665" s="47" t="n"/>
      <c r="M2665" s="24">
        <f>IF(OR($A2665="",$C2665=""),"",IF($L2665&lt;&gt;"",$L2665-$C2665,TODAY()-$C2665))</f>
        <v/>
      </c>
      <c r="N2665" s="28">
        <f>IF(OR($A2665="",$K2665=""),"",IF($L2665="",IF(TODAY()&gt;$K2665,"Atrasado","En ruta"),IF($L2665&lt;=$K2665,"Sí","No")))</f>
        <v/>
      </c>
      <c r="O2665" s="24">
        <f>IF($A2665="","",COUNTIFS(NOVEDADES!$D$4:$D$1503,$A2665))</f>
        <v/>
      </c>
      <c r="P2665" s="28">
        <f>IF($A2665="","",IF(COUNTIFS(NOVEDADES!$D$4:$D$1503,$A2665,NOVEDADES!$O$4:$O$1503,"SÍ")&gt;0,"No","Sí"))</f>
        <v/>
      </c>
      <c r="Q2665" s="28">
        <f>IF(OR($A2665="",$L2665=""),"",IF(AND($N2665="Sí",$P2665="Sí"),"OTIF","Falló"))</f>
        <v/>
      </c>
    </row>
    <row r="2666" ht="16" customHeight="1">
      <c r="A2666" s="48" t="n"/>
      <c r="B2666" s="48" t="n"/>
      <c r="C2666" s="47" t="n"/>
      <c r="D2666" s="50" t="n"/>
      <c r="E2666" s="50" t="n"/>
      <c r="F2666" s="50" t="n"/>
      <c r="G2666" s="50" t="n"/>
      <c r="H2666" s="48" t="n"/>
      <c r="I2666" s="51" t="n"/>
      <c r="J2666" s="52" t="n"/>
      <c r="K2666" s="47" t="n"/>
      <c r="L2666" s="47" t="n"/>
      <c r="M2666" s="24">
        <f>IF(OR($A2666="",$C2666=""),"",IF($L2666&lt;&gt;"",$L2666-$C2666,TODAY()-$C2666))</f>
        <v/>
      </c>
      <c r="N2666" s="28">
        <f>IF(OR($A2666="",$K2666=""),"",IF($L2666="",IF(TODAY()&gt;$K2666,"Atrasado","En ruta"),IF($L2666&lt;=$K2666,"Sí","No")))</f>
        <v/>
      </c>
      <c r="O2666" s="24">
        <f>IF($A2666="","",COUNTIFS(NOVEDADES!$D$4:$D$1503,$A2666))</f>
        <v/>
      </c>
      <c r="P2666" s="28">
        <f>IF($A2666="","",IF(COUNTIFS(NOVEDADES!$D$4:$D$1503,$A2666,NOVEDADES!$O$4:$O$1503,"SÍ")&gt;0,"No","Sí"))</f>
        <v/>
      </c>
      <c r="Q2666" s="28">
        <f>IF(OR($A2666="",$L2666=""),"",IF(AND($N2666="Sí",$P2666="Sí"),"OTIF","Falló"))</f>
        <v/>
      </c>
    </row>
    <row r="2667" ht="16" customHeight="1">
      <c r="A2667" s="48" t="n"/>
      <c r="B2667" s="48" t="n"/>
      <c r="C2667" s="47" t="n"/>
      <c r="D2667" s="50" t="n"/>
      <c r="E2667" s="50" t="n"/>
      <c r="F2667" s="50" t="n"/>
      <c r="G2667" s="50" t="n"/>
      <c r="H2667" s="48" t="n"/>
      <c r="I2667" s="51" t="n"/>
      <c r="J2667" s="52" t="n"/>
      <c r="K2667" s="47" t="n"/>
      <c r="L2667" s="47" t="n"/>
      <c r="M2667" s="24">
        <f>IF(OR($A2667="",$C2667=""),"",IF($L2667&lt;&gt;"",$L2667-$C2667,TODAY()-$C2667))</f>
        <v/>
      </c>
      <c r="N2667" s="28">
        <f>IF(OR($A2667="",$K2667=""),"",IF($L2667="",IF(TODAY()&gt;$K2667,"Atrasado","En ruta"),IF($L2667&lt;=$K2667,"Sí","No")))</f>
        <v/>
      </c>
      <c r="O2667" s="24">
        <f>IF($A2667="","",COUNTIFS(NOVEDADES!$D$4:$D$1503,$A2667))</f>
        <v/>
      </c>
      <c r="P2667" s="28">
        <f>IF($A2667="","",IF(COUNTIFS(NOVEDADES!$D$4:$D$1503,$A2667,NOVEDADES!$O$4:$O$1503,"SÍ")&gt;0,"No","Sí"))</f>
        <v/>
      </c>
      <c r="Q2667" s="28">
        <f>IF(OR($A2667="",$L2667=""),"",IF(AND($N2667="Sí",$P2667="Sí"),"OTIF","Falló"))</f>
        <v/>
      </c>
    </row>
    <row r="2668" ht="16" customHeight="1">
      <c r="A2668" s="48" t="n"/>
      <c r="B2668" s="48" t="n"/>
      <c r="C2668" s="47" t="n"/>
      <c r="D2668" s="50" t="n"/>
      <c r="E2668" s="50" t="n"/>
      <c r="F2668" s="50" t="n"/>
      <c r="G2668" s="50" t="n"/>
      <c r="H2668" s="48" t="n"/>
      <c r="I2668" s="51" t="n"/>
      <c r="J2668" s="52" t="n"/>
      <c r="K2668" s="47" t="n"/>
      <c r="L2668" s="47" t="n"/>
      <c r="M2668" s="24">
        <f>IF(OR($A2668="",$C2668=""),"",IF($L2668&lt;&gt;"",$L2668-$C2668,TODAY()-$C2668))</f>
        <v/>
      </c>
      <c r="N2668" s="28">
        <f>IF(OR($A2668="",$K2668=""),"",IF($L2668="",IF(TODAY()&gt;$K2668,"Atrasado","En ruta"),IF($L2668&lt;=$K2668,"Sí","No")))</f>
        <v/>
      </c>
      <c r="O2668" s="24">
        <f>IF($A2668="","",COUNTIFS(NOVEDADES!$D$4:$D$1503,$A2668))</f>
        <v/>
      </c>
      <c r="P2668" s="28">
        <f>IF($A2668="","",IF(COUNTIFS(NOVEDADES!$D$4:$D$1503,$A2668,NOVEDADES!$O$4:$O$1503,"SÍ")&gt;0,"No","Sí"))</f>
        <v/>
      </c>
      <c r="Q2668" s="28">
        <f>IF(OR($A2668="",$L2668=""),"",IF(AND($N2668="Sí",$P2668="Sí"),"OTIF","Falló"))</f>
        <v/>
      </c>
    </row>
    <row r="2669" ht="16" customHeight="1">
      <c r="A2669" s="48" t="n"/>
      <c r="B2669" s="48" t="n"/>
      <c r="C2669" s="47" t="n"/>
      <c r="D2669" s="50" t="n"/>
      <c r="E2669" s="50" t="n"/>
      <c r="F2669" s="50" t="n"/>
      <c r="G2669" s="50" t="n"/>
      <c r="H2669" s="48" t="n"/>
      <c r="I2669" s="51" t="n"/>
      <c r="J2669" s="52" t="n"/>
      <c r="K2669" s="47" t="n"/>
      <c r="L2669" s="47" t="n"/>
      <c r="M2669" s="24">
        <f>IF(OR($A2669="",$C2669=""),"",IF($L2669&lt;&gt;"",$L2669-$C2669,TODAY()-$C2669))</f>
        <v/>
      </c>
      <c r="N2669" s="28">
        <f>IF(OR($A2669="",$K2669=""),"",IF($L2669="",IF(TODAY()&gt;$K2669,"Atrasado","En ruta"),IF($L2669&lt;=$K2669,"Sí","No")))</f>
        <v/>
      </c>
      <c r="O2669" s="24">
        <f>IF($A2669="","",COUNTIFS(NOVEDADES!$D$4:$D$1503,$A2669))</f>
        <v/>
      </c>
      <c r="P2669" s="28">
        <f>IF($A2669="","",IF(COUNTIFS(NOVEDADES!$D$4:$D$1503,$A2669,NOVEDADES!$O$4:$O$1503,"SÍ")&gt;0,"No","Sí"))</f>
        <v/>
      </c>
      <c r="Q2669" s="28">
        <f>IF(OR($A2669="",$L2669=""),"",IF(AND($N2669="Sí",$P2669="Sí"),"OTIF","Falló"))</f>
        <v/>
      </c>
    </row>
    <row r="2670" ht="16" customHeight="1">
      <c r="A2670" s="48" t="n"/>
      <c r="B2670" s="48" t="n"/>
      <c r="C2670" s="47" t="n"/>
      <c r="D2670" s="50" t="n"/>
      <c r="E2670" s="50" t="n"/>
      <c r="F2670" s="50" t="n"/>
      <c r="G2670" s="50" t="n"/>
      <c r="H2670" s="48" t="n"/>
      <c r="I2670" s="51" t="n"/>
      <c r="J2670" s="52" t="n"/>
      <c r="K2670" s="47" t="n"/>
      <c r="L2670" s="47" t="n"/>
      <c r="M2670" s="24">
        <f>IF(OR($A2670="",$C2670=""),"",IF($L2670&lt;&gt;"",$L2670-$C2670,TODAY()-$C2670))</f>
        <v/>
      </c>
      <c r="N2670" s="28">
        <f>IF(OR($A2670="",$K2670=""),"",IF($L2670="",IF(TODAY()&gt;$K2670,"Atrasado","En ruta"),IF($L2670&lt;=$K2670,"Sí","No")))</f>
        <v/>
      </c>
      <c r="O2670" s="24">
        <f>IF($A2670="","",COUNTIFS(NOVEDADES!$D$4:$D$1503,$A2670))</f>
        <v/>
      </c>
      <c r="P2670" s="28">
        <f>IF($A2670="","",IF(COUNTIFS(NOVEDADES!$D$4:$D$1503,$A2670,NOVEDADES!$O$4:$O$1503,"SÍ")&gt;0,"No","Sí"))</f>
        <v/>
      </c>
      <c r="Q2670" s="28">
        <f>IF(OR($A2670="",$L2670=""),"",IF(AND($N2670="Sí",$P2670="Sí"),"OTIF","Falló"))</f>
        <v/>
      </c>
    </row>
    <row r="2671" ht="16" customHeight="1">
      <c r="A2671" s="48" t="n"/>
      <c r="B2671" s="48" t="n"/>
      <c r="C2671" s="47" t="n"/>
      <c r="D2671" s="50" t="n"/>
      <c r="E2671" s="50" t="n"/>
      <c r="F2671" s="50" t="n"/>
      <c r="G2671" s="50" t="n"/>
      <c r="H2671" s="48" t="n"/>
      <c r="I2671" s="51" t="n"/>
      <c r="J2671" s="52" t="n"/>
      <c r="K2671" s="47" t="n"/>
      <c r="L2671" s="47" t="n"/>
      <c r="M2671" s="24">
        <f>IF(OR($A2671="",$C2671=""),"",IF($L2671&lt;&gt;"",$L2671-$C2671,TODAY()-$C2671))</f>
        <v/>
      </c>
      <c r="N2671" s="28">
        <f>IF(OR($A2671="",$K2671=""),"",IF($L2671="",IF(TODAY()&gt;$K2671,"Atrasado","En ruta"),IF($L2671&lt;=$K2671,"Sí","No")))</f>
        <v/>
      </c>
      <c r="O2671" s="24">
        <f>IF($A2671="","",COUNTIFS(NOVEDADES!$D$4:$D$1503,$A2671))</f>
        <v/>
      </c>
      <c r="P2671" s="28">
        <f>IF($A2671="","",IF(COUNTIFS(NOVEDADES!$D$4:$D$1503,$A2671,NOVEDADES!$O$4:$O$1503,"SÍ")&gt;0,"No","Sí"))</f>
        <v/>
      </c>
      <c r="Q2671" s="28">
        <f>IF(OR($A2671="",$L2671=""),"",IF(AND($N2671="Sí",$P2671="Sí"),"OTIF","Falló"))</f>
        <v/>
      </c>
    </row>
    <row r="2672" ht="16" customHeight="1">
      <c r="A2672" s="48" t="n"/>
      <c r="B2672" s="48" t="n"/>
      <c r="C2672" s="47" t="n"/>
      <c r="D2672" s="50" t="n"/>
      <c r="E2672" s="50" t="n"/>
      <c r="F2672" s="50" t="n"/>
      <c r="G2672" s="50" t="n"/>
      <c r="H2672" s="48" t="n"/>
      <c r="I2672" s="51" t="n"/>
      <c r="J2672" s="52" t="n"/>
      <c r="K2672" s="47" t="n"/>
      <c r="L2672" s="47" t="n"/>
      <c r="M2672" s="24">
        <f>IF(OR($A2672="",$C2672=""),"",IF($L2672&lt;&gt;"",$L2672-$C2672,TODAY()-$C2672))</f>
        <v/>
      </c>
      <c r="N2672" s="28">
        <f>IF(OR($A2672="",$K2672=""),"",IF($L2672="",IF(TODAY()&gt;$K2672,"Atrasado","En ruta"),IF($L2672&lt;=$K2672,"Sí","No")))</f>
        <v/>
      </c>
      <c r="O2672" s="24">
        <f>IF($A2672="","",COUNTIFS(NOVEDADES!$D$4:$D$1503,$A2672))</f>
        <v/>
      </c>
      <c r="P2672" s="28">
        <f>IF($A2672="","",IF(COUNTIFS(NOVEDADES!$D$4:$D$1503,$A2672,NOVEDADES!$O$4:$O$1503,"SÍ")&gt;0,"No","Sí"))</f>
        <v/>
      </c>
      <c r="Q2672" s="28">
        <f>IF(OR($A2672="",$L2672=""),"",IF(AND($N2672="Sí",$P2672="Sí"),"OTIF","Falló"))</f>
        <v/>
      </c>
    </row>
    <row r="2673" ht="16" customHeight="1">
      <c r="A2673" s="48" t="n"/>
      <c r="B2673" s="48" t="n"/>
      <c r="C2673" s="47" t="n"/>
      <c r="D2673" s="50" t="n"/>
      <c r="E2673" s="50" t="n"/>
      <c r="F2673" s="50" t="n"/>
      <c r="G2673" s="50" t="n"/>
      <c r="H2673" s="48" t="n"/>
      <c r="I2673" s="51" t="n"/>
      <c r="J2673" s="52" t="n"/>
      <c r="K2673" s="47" t="n"/>
      <c r="L2673" s="47" t="n"/>
      <c r="M2673" s="24">
        <f>IF(OR($A2673="",$C2673=""),"",IF($L2673&lt;&gt;"",$L2673-$C2673,TODAY()-$C2673))</f>
        <v/>
      </c>
      <c r="N2673" s="28">
        <f>IF(OR($A2673="",$K2673=""),"",IF($L2673="",IF(TODAY()&gt;$K2673,"Atrasado","En ruta"),IF($L2673&lt;=$K2673,"Sí","No")))</f>
        <v/>
      </c>
      <c r="O2673" s="24">
        <f>IF($A2673="","",COUNTIFS(NOVEDADES!$D$4:$D$1503,$A2673))</f>
        <v/>
      </c>
      <c r="P2673" s="28">
        <f>IF($A2673="","",IF(COUNTIFS(NOVEDADES!$D$4:$D$1503,$A2673,NOVEDADES!$O$4:$O$1503,"SÍ")&gt;0,"No","Sí"))</f>
        <v/>
      </c>
      <c r="Q2673" s="28">
        <f>IF(OR($A2673="",$L2673=""),"",IF(AND($N2673="Sí",$P2673="Sí"),"OTIF","Falló"))</f>
        <v/>
      </c>
    </row>
    <row r="2674" ht="16" customHeight="1">
      <c r="A2674" s="48" t="n"/>
      <c r="B2674" s="48" t="n"/>
      <c r="C2674" s="47" t="n"/>
      <c r="D2674" s="50" t="n"/>
      <c r="E2674" s="50" t="n"/>
      <c r="F2674" s="50" t="n"/>
      <c r="G2674" s="50" t="n"/>
      <c r="H2674" s="48" t="n"/>
      <c r="I2674" s="51" t="n"/>
      <c r="J2674" s="52" t="n"/>
      <c r="K2674" s="47" t="n"/>
      <c r="L2674" s="47" t="n"/>
      <c r="M2674" s="24">
        <f>IF(OR($A2674="",$C2674=""),"",IF($L2674&lt;&gt;"",$L2674-$C2674,TODAY()-$C2674))</f>
        <v/>
      </c>
      <c r="N2674" s="28">
        <f>IF(OR($A2674="",$K2674=""),"",IF($L2674="",IF(TODAY()&gt;$K2674,"Atrasado","En ruta"),IF($L2674&lt;=$K2674,"Sí","No")))</f>
        <v/>
      </c>
      <c r="O2674" s="24">
        <f>IF($A2674="","",COUNTIFS(NOVEDADES!$D$4:$D$1503,$A2674))</f>
        <v/>
      </c>
      <c r="P2674" s="28">
        <f>IF($A2674="","",IF(COUNTIFS(NOVEDADES!$D$4:$D$1503,$A2674,NOVEDADES!$O$4:$O$1503,"SÍ")&gt;0,"No","Sí"))</f>
        <v/>
      </c>
      <c r="Q2674" s="28">
        <f>IF(OR($A2674="",$L2674=""),"",IF(AND($N2674="Sí",$P2674="Sí"),"OTIF","Falló"))</f>
        <v/>
      </c>
    </row>
    <row r="2675" ht="16" customHeight="1">
      <c r="A2675" s="48" t="n"/>
      <c r="B2675" s="48" t="n"/>
      <c r="C2675" s="47" t="n"/>
      <c r="D2675" s="50" t="n"/>
      <c r="E2675" s="50" t="n"/>
      <c r="F2675" s="50" t="n"/>
      <c r="G2675" s="50" t="n"/>
      <c r="H2675" s="48" t="n"/>
      <c r="I2675" s="51" t="n"/>
      <c r="J2675" s="52" t="n"/>
      <c r="K2675" s="47" t="n"/>
      <c r="L2675" s="47" t="n"/>
      <c r="M2675" s="24">
        <f>IF(OR($A2675="",$C2675=""),"",IF($L2675&lt;&gt;"",$L2675-$C2675,TODAY()-$C2675))</f>
        <v/>
      </c>
      <c r="N2675" s="28">
        <f>IF(OR($A2675="",$K2675=""),"",IF($L2675="",IF(TODAY()&gt;$K2675,"Atrasado","En ruta"),IF($L2675&lt;=$K2675,"Sí","No")))</f>
        <v/>
      </c>
      <c r="O2675" s="24">
        <f>IF($A2675="","",COUNTIFS(NOVEDADES!$D$4:$D$1503,$A2675))</f>
        <v/>
      </c>
      <c r="P2675" s="28">
        <f>IF($A2675="","",IF(COUNTIFS(NOVEDADES!$D$4:$D$1503,$A2675,NOVEDADES!$O$4:$O$1503,"SÍ")&gt;0,"No","Sí"))</f>
        <v/>
      </c>
      <c r="Q2675" s="28">
        <f>IF(OR($A2675="",$L2675=""),"",IF(AND($N2675="Sí",$P2675="Sí"),"OTIF","Falló"))</f>
        <v/>
      </c>
    </row>
    <row r="2676" ht="16" customHeight="1">
      <c r="A2676" s="48" t="n"/>
      <c r="B2676" s="48" t="n"/>
      <c r="C2676" s="47" t="n"/>
      <c r="D2676" s="50" t="n"/>
      <c r="E2676" s="50" t="n"/>
      <c r="F2676" s="50" t="n"/>
      <c r="G2676" s="50" t="n"/>
      <c r="H2676" s="48" t="n"/>
      <c r="I2676" s="51" t="n"/>
      <c r="J2676" s="52" t="n"/>
      <c r="K2676" s="47" t="n"/>
      <c r="L2676" s="47" t="n"/>
      <c r="M2676" s="24">
        <f>IF(OR($A2676="",$C2676=""),"",IF($L2676&lt;&gt;"",$L2676-$C2676,TODAY()-$C2676))</f>
        <v/>
      </c>
      <c r="N2676" s="28">
        <f>IF(OR($A2676="",$K2676=""),"",IF($L2676="",IF(TODAY()&gt;$K2676,"Atrasado","En ruta"),IF($L2676&lt;=$K2676,"Sí","No")))</f>
        <v/>
      </c>
      <c r="O2676" s="24">
        <f>IF($A2676="","",COUNTIFS(NOVEDADES!$D$4:$D$1503,$A2676))</f>
        <v/>
      </c>
      <c r="P2676" s="28">
        <f>IF($A2676="","",IF(COUNTIFS(NOVEDADES!$D$4:$D$1503,$A2676,NOVEDADES!$O$4:$O$1503,"SÍ")&gt;0,"No","Sí"))</f>
        <v/>
      </c>
      <c r="Q2676" s="28">
        <f>IF(OR($A2676="",$L2676=""),"",IF(AND($N2676="Sí",$P2676="Sí"),"OTIF","Falló"))</f>
        <v/>
      </c>
    </row>
    <row r="2677" ht="16" customHeight="1">
      <c r="A2677" s="48" t="n"/>
      <c r="B2677" s="48" t="n"/>
      <c r="C2677" s="47" t="n"/>
      <c r="D2677" s="50" t="n"/>
      <c r="E2677" s="50" t="n"/>
      <c r="F2677" s="50" t="n"/>
      <c r="G2677" s="50" t="n"/>
      <c r="H2677" s="48" t="n"/>
      <c r="I2677" s="51" t="n"/>
      <c r="J2677" s="52" t="n"/>
      <c r="K2677" s="47" t="n"/>
      <c r="L2677" s="47" t="n"/>
      <c r="M2677" s="24">
        <f>IF(OR($A2677="",$C2677=""),"",IF($L2677&lt;&gt;"",$L2677-$C2677,TODAY()-$C2677))</f>
        <v/>
      </c>
      <c r="N2677" s="28">
        <f>IF(OR($A2677="",$K2677=""),"",IF($L2677="",IF(TODAY()&gt;$K2677,"Atrasado","En ruta"),IF($L2677&lt;=$K2677,"Sí","No")))</f>
        <v/>
      </c>
      <c r="O2677" s="24">
        <f>IF($A2677="","",COUNTIFS(NOVEDADES!$D$4:$D$1503,$A2677))</f>
        <v/>
      </c>
      <c r="P2677" s="28">
        <f>IF($A2677="","",IF(COUNTIFS(NOVEDADES!$D$4:$D$1503,$A2677,NOVEDADES!$O$4:$O$1503,"SÍ")&gt;0,"No","Sí"))</f>
        <v/>
      </c>
      <c r="Q2677" s="28">
        <f>IF(OR($A2677="",$L2677=""),"",IF(AND($N2677="Sí",$P2677="Sí"),"OTIF","Falló"))</f>
        <v/>
      </c>
    </row>
    <row r="2678" ht="16" customHeight="1">
      <c r="A2678" s="48" t="n"/>
      <c r="B2678" s="48" t="n"/>
      <c r="C2678" s="47" t="n"/>
      <c r="D2678" s="50" t="n"/>
      <c r="E2678" s="50" t="n"/>
      <c r="F2678" s="50" t="n"/>
      <c r="G2678" s="50" t="n"/>
      <c r="H2678" s="48" t="n"/>
      <c r="I2678" s="51" t="n"/>
      <c r="J2678" s="52" t="n"/>
      <c r="K2678" s="47" t="n"/>
      <c r="L2678" s="47" t="n"/>
      <c r="M2678" s="24">
        <f>IF(OR($A2678="",$C2678=""),"",IF($L2678&lt;&gt;"",$L2678-$C2678,TODAY()-$C2678))</f>
        <v/>
      </c>
      <c r="N2678" s="28">
        <f>IF(OR($A2678="",$K2678=""),"",IF($L2678="",IF(TODAY()&gt;$K2678,"Atrasado","En ruta"),IF($L2678&lt;=$K2678,"Sí","No")))</f>
        <v/>
      </c>
      <c r="O2678" s="24">
        <f>IF($A2678="","",COUNTIFS(NOVEDADES!$D$4:$D$1503,$A2678))</f>
        <v/>
      </c>
      <c r="P2678" s="28">
        <f>IF($A2678="","",IF(COUNTIFS(NOVEDADES!$D$4:$D$1503,$A2678,NOVEDADES!$O$4:$O$1503,"SÍ")&gt;0,"No","Sí"))</f>
        <v/>
      </c>
      <c r="Q2678" s="28">
        <f>IF(OR($A2678="",$L2678=""),"",IF(AND($N2678="Sí",$P2678="Sí"),"OTIF","Falló"))</f>
        <v/>
      </c>
    </row>
    <row r="2679" ht="16" customHeight="1">
      <c r="A2679" s="48" t="n"/>
      <c r="B2679" s="48" t="n"/>
      <c r="C2679" s="47" t="n"/>
      <c r="D2679" s="50" t="n"/>
      <c r="E2679" s="50" t="n"/>
      <c r="F2679" s="50" t="n"/>
      <c r="G2679" s="50" t="n"/>
      <c r="H2679" s="48" t="n"/>
      <c r="I2679" s="51" t="n"/>
      <c r="J2679" s="52" t="n"/>
      <c r="K2679" s="47" t="n"/>
      <c r="L2679" s="47" t="n"/>
      <c r="M2679" s="24">
        <f>IF(OR($A2679="",$C2679=""),"",IF($L2679&lt;&gt;"",$L2679-$C2679,TODAY()-$C2679))</f>
        <v/>
      </c>
      <c r="N2679" s="28">
        <f>IF(OR($A2679="",$K2679=""),"",IF($L2679="",IF(TODAY()&gt;$K2679,"Atrasado","En ruta"),IF($L2679&lt;=$K2679,"Sí","No")))</f>
        <v/>
      </c>
      <c r="O2679" s="24">
        <f>IF($A2679="","",COUNTIFS(NOVEDADES!$D$4:$D$1503,$A2679))</f>
        <v/>
      </c>
      <c r="P2679" s="28">
        <f>IF($A2679="","",IF(COUNTIFS(NOVEDADES!$D$4:$D$1503,$A2679,NOVEDADES!$O$4:$O$1503,"SÍ")&gt;0,"No","Sí"))</f>
        <v/>
      </c>
      <c r="Q2679" s="28">
        <f>IF(OR($A2679="",$L2679=""),"",IF(AND($N2679="Sí",$P2679="Sí"),"OTIF","Falló"))</f>
        <v/>
      </c>
    </row>
    <row r="2680" ht="16" customHeight="1">
      <c r="A2680" s="48" t="n"/>
      <c r="B2680" s="48" t="n"/>
      <c r="C2680" s="47" t="n"/>
      <c r="D2680" s="50" t="n"/>
      <c r="E2680" s="50" t="n"/>
      <c r="F2680" s="50" t="n"/>
      <c r="G2680" s="50" t="n"/>
      <c r="H2680" s="48" t="n"/>
      <c r="I2680" s="51" t="n"/>
      <c r="J2680" s="52" t="n"/>
      <c r="K2680" s="47" t="n"/>
      <c r="L2680" s="47" t="n"/>
      <c r="M2680" s="24">
        <f>IF(OR($A2680="",$C2680=""),"",IF($L2680&lt;&gt;"",$L2680-$C2680,TODAY()-$C2680))</f>
        <v/>
      </c>
      <c r="N2680" s="28">
        <f>IF(OR($A2680="",$K2680=""),"",IF($L2680="",IF(TODAY()&gt;$K2680,"Atrasado","En ruta"),IF($L2680&lt;=$K2680,"Sí","No")))</f>
        <v/>
      </c>
      <c r="O2680" s="24">
        <f>IF($A2680="","",COUNTIFS(NOVEDADES!$D$4:$D$1503,$A2680))</f>
        <v/>
      </c>
      <c r="P2680" s="28">
        <f>IF($A2680="","",IF(COUNTIFS(NOVEDADES!$D$4:$D$1503,$A2680,NOVEDADES!$O$4:$O$1503,"SÍ")&gt;0,"No","Sí"))</f>
        <v/>
      </c>
      <c r="Q2680" s="28">
        <f>IF(OR($A2680="",$L2680=""),"",IF(AND($N2680="Sí",$P2680="Sí"),"OTIF","Falló"))</f>
        <v/>
      </c>
    </row>
    <row r="2681" ht="16" customHeight="1">
      <c r="A2681" s="48" t="n"/>
      <c r="B2681" s="48" t="n"/>
      <c r="C2681" s="47" t="n"/>
      <c r="D2681" s="50" t="n"/>
      <c r="E2681" s="50" t="n"/>
      <c r="F2681" s="50" t="n"/>
      <c r="G2681" s="50" t="n"/>
      <c r="H2681" s="48" t="n"/>
      <c r="I2681" s="51" t="n"/>
      <c r="J2681" s="52" t="n"/>
      <c r="K2681" s="47" t="n"/>
      <c r="L2681" s="47" t="n"/>
      <c r="M2681" s="24">
        <f>IF(OR($A2681="",$C2681=""),"",IF($L2681&lt;&gt;"",$L2681-$C2681,TODAY()-$C2681))</f>
        <v/>
      </c>
      <c r="N2681" s="28">
        <f>IF(OR($A2681="",$K2681=""),"",IF($L2681="",IF(TODAY()&gt;$K2681,"Atrasado","En ruta"),IF($L2681&lt;=$K2681,"Sí","No")))</f>
        <v/>
      </c>
      <c r="O2681" s="24">
        <f>IF($A2681="","",COUNTIFS(NOVEDADES!$D$4:$D$1503,$A2681))</f>
        <v/>
      </c>
      <c r="P2681" s="28">
        <f>IF($A2681="","",IF(COUNTIFS(NOVEDADES!$D$4:$D$1503,$A2681,NOVEDADES!$O$4:$O$1503,"SÍ")&gt;0,"No","Sí"))</f>
        <v/>
      </c>
      <c r="Q2681" s="28">
        <f>IF(OR($A2681="",$L2681=""),"",IF(AND($N2681="Sí",$P2681="Sí"),"OTIF","Falló"))</f>
        <v/>
      </c>
    </row>
    <row r="2682" ht="16" customHeight="1">
      <c r="A2682" s="48" t="n"/>
      <c r="B2682" s="48" t="n"/>
      <c r="C2682" s="47" t="n"/>
      <c r="D2682" s="50" t="n"/>
      <c r="E2682" s="50" t="n"/>
      <c r="F2682" s="50" t="n"/>
      <c r="G2682" s="50" t="n"/>
      <c r="H2682" s="48" t="n"/>
      <c r="I2682" s="51" t="n"/>
      <c r="J2682" s="52" t="n"/>
      <c r="K2682" s="47" t="n"/>
      <c r="L2682" s="47" t="n"/>
      <c r="M2682" s="24">
        <f>IF(OR($A2682="",$C2682=""),"",IF($L2682&lt;&gt;"",$L2682-$C2682,TODAY()-$C2682))</f>
        <v/>
      </c>
      <c r="N2682" s="28">
        <f>IF(OR($A2682="",$K2682=""),"",IF($L2682="",IF(TODAY()&gt;$K2682,"Atrasado","En ruta"),IF($L2682&lt;=$K2682,"Sí","No")))</f>
        <v/>
      </c>
      <c r="O2682" s="24">
        <f>IF($A2682="","",COUNTIFS(NOVEDADES!$D$4:$D$1503,$A2682))</f>
        <v/>
      </c>
      <c r="P2682" s="28">
        <f>IF($A2682="","",IF(COUNTIFS(NOVEDADES!$D$4:$D$1503,$A2682,NOVEDADES!$O$4:$O$1503,"SÍ")&gt;0,"No","Sí"))</f>
        <v/>
      </c>
      <c r="Q2682" s="28">
        <f>IF(OR($A2682="",$L2682=""),"",IF(AND($N2682="Sí",$P2682="Sí"),"OTIF","Falló"))</f>
        <v/>
      </c>
    </row>
    <row r="2683" ht="16" customHeight="1">
      <c r="A2683" s="48" t="n"/>
      <c r="B2683" s="48" t="n"/>
      <c r="C2683" s="47" t="n"/>
      <c r="D2683" s="50" t="n"/>
      <c r="E2683" s="50" t="n"/>
      <c r="F2683" s="50" t="n"/>
      <c r="G2683" s="50" t="n"/>
      <c r="H2683" s="48" t="n"/>
      <c r="I2683" s="51" t="n"/>
      <c r="J2683" s="52" t="n"/>
      <c r="K2683" s="47" t="n"/>
      <c r="L2683" s="47" t="n"/>
      <c r="M2683" s="24">
        <f>IF(OR($A2683="",$C2683=""),"",IF($L2683&lt;&gt;"",$L2683-$C2683,TODAY()-$C2683))</f>
        <v/>
      </c>
      <c r="N2683" s="28">
        <f>IF(OR($A2683="",$K2683=""),"",IF($L2683="",IF(TODAY()&gt;$K2683,"Atrasado","En ruta"),IF($L2683&lt;=$K2683,"Sí","No")))</f>
        <v/>
      </c>
      <c r="O2683" s="24">
        <f>IF($A2683="","",COUNTIFS(NOVEDADES!$D$4:$D$1503,$A2683))</f>
        <v/>
      </c>
      <c r="P2683" s="28">
        <f>IF($A2683="","",IF(COUNTIFS(NOVEDADES!$D$4:$D$1503,$A2683,NOVEDADES!$O$4:$O$1503,"SÍ")&gt;0,"No","Sí"))</f>
        <v/>
      </c>
      <c r="Q2683" s="28">
        <f>IF(OR($A2683="",$L2683=""),"",IF(AND($N2683="Sí",$P2683="Sí"),"OTIF","Falló"))</f>
        <v/>
      </c>
    </row>
    <row r="2684" ht="16" customHeight="1">
      <c r="A2684" s="48" t="n"/>
      <c r="B2684" s="48" t="n"/>
      <c r="C2684" s="47" t="n"/>
      <c r="D2684" s="50" t="n"/>
      <c r="E2684" s="50" t="n"/>
      <c r="F2684" s="50" t="n"/>
      <c r="G2684" s="50" t="n"/>
      <c r="H2684" s="48" t="n"/>
      <c r="I2684" s="51" t="n"/>
      <c r="J2684" s="52" t="n"/>
      <c r="K2684" s="47" t="n"/>
      <c r="L2684" s="47" t="n"/>
      <c r="M2684" s="24">
        <f>IF(OR($A2684="",$C2684=""),"",IF($L2684&lt;&gt;"",$L2684-$C2684,TODAY()-$C2684))</f>
        <v/>
      </c>
      <c r="N2684" s="28">
        <f>IF(OR($A2684="",$K2684=""),"",IF($L2684="",IF(TODAY()&gt;$K2684,"Atrasado","En ruta"),IF($L2684&lt;=$K2684,"Sí","No")))</f>
        <v/>
      </c>
      <c r="O2684" s="24">
        <f>IF($A2684="","",COUNTIFS(NOVEDADES!$D$4:$D$1503,$A2684))</f>
        <v/>
      </c>
      <c r="P2684" s="28">
        <f>IF($A2684="","",IF(COUNTIFS(NOVEDADES!$D$4:$D$1503,$A2684,NOVEDADES!$O$4:$O$1503,"SÍ")&gt;0,"No","Sí"))</f>
        <v/>
      </c>
      <c r="Q2684" s="28">
        <f>IF(OR($A2684="",$L2684=""),"",IF(AND($N2684="Sí",$P2684="Sí"),"OTIF","Falló"))</f>
        <v/>
      </c>
    </row>
    <row r="2685" ht="16" customHeight="1">
      <c r="A2685" s="48" t="n"/>
      <c r="B2685" s="48" t="n"/>
      <c r="C2685" s="47" t="n"/>
      <c r="D2685" s="50" t="n"/>
      <c r="E2685" s="50" t="n"/>
      <c r="F2685" s="50" t="n"/>
      <c r="G2685" s="50" t="n"/>
      <c r="H2685" s="48" t="n"/>
      <c r="I2685" s="51" t="n"/>
      <c r="J2685" s="52" t="n"/>
      <c r="K2685" s="47" t="n"/>
      <c r="L2685" s="47" t="n"/>
      <c r="M2685" s="24">
        <f>IF(OR($A2685="",$C2685=""),"",IF($L2685&lt;&gt;"",$L2685-$C2685,TODAY()-$C2685))</f>
        <v/>
      </c>
      <c r="N2685" s="28">
        <f>IF(OR($A2685="",$K2685=""),"",IF($L2685="",IF(TODAY()&gt;$K2685,"Atrasado","En ruta"),IF($L2685&lt;=$K2685,"Sí","No")))</f>
        <v/>
      </c>
      <c r="O2685" s="24">
        <f>IF($A2685="","",COUNTIFS(NOVEDADES!$D$4:$D$1503,$A2685))</f>
        <v/>
      </c>
      <c r="P2685" s="28">
        <f>IF($A2685="","",IF(COUNTIFS(NOVEDADES!$D$4:$D$1503,$A2685,NOVEDADES!$O$4:$O$1503,"SÍ")&gt;0,"No","Sí"))</f>
        <v/>
      </c>
      <c r="Q2685" s="28">
        <f>IF(OR($A2685="",$L2685=""),"",IF(AND($N2685="Sí",$P2685="Sí"),"OTIF","Falló"))</f>
        <v/>
      </c>
    </row>
    <row r="2686" ht="16" customHeight="1">
      <c r="A2686" s="48" t="n"/>
      <c r="B2686" s="48" t="n"/>
      <c r="C2686" s="47" t="n"/>
      <c r="D2686" s="50" t="n"/>
      <c r="E2686" s="50" t="n"/>
      <c r="F2686" s="50" t="n"/>
      <c r="G2686" s="50" t="n"/>
      <c r="H2686" s="48" t="n"/>
      <c r="I2686" s="51" t="n"/>
      <c r="J2686" s="52" t="n"/>
      <c r="K2686" s="47" t="n"/>
      <c r="L2686" s="47" t="n"/>
      <c r="M2686" s="24">
        <f>IF(OR($A2686="",$C2686=""),"",IF($L2686&lt;&gt;"",$L2686-$C2686,TODAY()-$C2686))</f>
        <v/>
      </c>
      <c r="N2686" s="28">
        <f>IF(OR($A2686="",$K2686=""),"",IF($L2686="",IF(TODAY()&gt;$K2686,"Atrasado","En ruta"),IF($L2686&lt;=$K2686,"Sí","No")))</f>
        <v/>
      </c>
      <c r="O2686" s="24">
        <f>IF($A2686="","",COUNTIFS(NOVEDADES!$D$4:$D$1503,$A2686))</f>
        <v/>
      </c>
      <c r="P2686" s="28">
        <f>IF($A2686="","",IF(COUNTIFS(NOVEDADES!$D$4:$D$1503,$A2686,NOVEDADES!$O$4:$O$1503,"SÍ")&gt;0,"No","Sí"))</f>
        <v/>
      </c>
      <c r="Q2686" s="28">
        <f>IF(OR($A2686="",$L2686=""),"",IF(AND($N2686="Sí",$P2686="Sí"),"OTIF","Falló"))</f>
        <v/>
      </c>
    </row>
    <row r="2687" ht="16" customHeight="1">
      <c r="A2687" s="48" t="n"/>
      <c r="B2687" s="48" t="n"/>
      <c r="C2687" s="47" t="n"/>
      <c r="D2687" s="50" t="n"/>
      <c r="E2687" s="50" t="n"/>
      <c r="F2687" s="50" t="n"/>
      <c r="G2687" s="50" t="n"/>
      <c r="H2687" s="48" t="n"/>
      <c r="I2687" s="51" t="n"/>
      <c r="J2687" s="52" t="n"/>
      <c r="K2687" s="47" t="n"/>
      <c r="L2687" s="47" t="n"/>
      <c r="M2687" s="24">
        <f>IF(OR($A2687="",$C2687=""),"",IF($L2687&lt;&gt;"",$L2687-$C2687,TODAY()-$C2687))</f>
        <v/>
      </c>
      <c r="N2687" s="28">
        <f>IF(OR($A2687="",$K2687=""),"",IF($L2687="",IF(TODAY()&gt;$K2687,"Atrasado","En ruta"),IF($L2687&lt;=$K2687,"Sí","No")))</f>
        <v/>
      </c>
      <c r="O2687" s="24">
        <f>IF($A2687="","",COUNTIFS(NOVEDADES!$D$4:$D$1503,$A2687))</f>
        <v/>
      </c>
      <c r="P2687" s="28">
        <f>IF($A2687="","",IF(COUNTIFS(NOVEDADES!$D$4:$D$1503,$A2687,NOVEDADES!$O$4:$O$1503,"SÍ")&gt;0,"No","Sí"))</f>
        <v/>
      </c>
      <c r="Q2687" s="28">
        <f>IF(OR($A2687="",$L2687=""),"",IF(AND($N2687="Sí",$P2687="Sí"),"OTIF","Falló"))</f>
        <v/>
      </c>
    </row>
    <row r="2688" ht="16" customHeight="1">
      <c r="A2688" s="48" t="n"/>
      <c r="B2688" s="48" t="n"/>
      <c r="C2688" s="47" t="n"/>
      <c r="D2688" s="50" t="n"/>
      <c r="E2688" s="50" t="n"/>
      <c r="F2688" s="50" t="n"/>
      <c r="G2688" s="50" t="n"/>
      <c r="H2688" s="48" t="n"/>
      <c r="I2688" s="51" t="n"/>
      <c r="J2688" s="52" t="n"/>
      <c r="K2688" s="47" t="n"/>
      <c r="L2688" s="47" t="n"/>
      <c r="M2688" s="24">
        <f>IF(OR($A2688="",$C2688=""),"",IF($L2688&lt;&gt;"",$L2688-$C2688,TODAY()-$C2688))</f>
        <v/>
      </c>
      <c r="N2688" s="28">
        <f>IF(OR($A2688="",$K2688=""),"",IF($L2688="",IF(TODAY()&gt;$K2688,"Atrasado","En ruta"),IF($L2688&lt;=$K2688,"Sí","No")))</f>
        <v/>
      </c>
      <c r="O2688" s="24">
        <f>IF($A2688="","",COUNTIFS(NOVEDADES!$D$4:$D$1503,$A2688))</f>
        <v/>
      </c>
      <c r="P2688" s="28">
        <f>IF($A2688="","",IF(COUNTIFS(NOVEDADES!$D$4:$D$1503,$A2688,NOVEDADES!$O$4:$O$1503,"SÍ")&gt;0,"No","Sí"))</f>
        <v/>
      </c>
      <c r="Q2688" s="28">
        <f>IF(OR($A2688="",$L2688=""),"",IF(AND($N2688="Sí",$P2688="Sí"),"OTIF","Falló"))</f>
        <v/>
      </c>
    </row>
    <row r="2689" ht="16" customHeight="1">
      <c r="A2689" s="48" t="n"/>
      <c r="B2689" s="48" t="n"/>
      <c r="C2689" s="47" t="n"/>
      <c r="D2689" s="50" t="n"/>
      <c r="E2689" s="50" t="n"/>
      <c r="F2689" s="50" t="n"/>
      <c r="G2689" s="50" t="n"/>
      <c r="H2689" s="48" t="n"/>
      <c r="I2689" s="51" t="n"/>
      <c r="J2689" s="52" t="n"/>
      <c r="K2689" s="47" t="n"/>
      <c r="L2689" s="47" t="n"/>
      <c r="M2689" s="24">
        <f>IF(OR($A2689="",$C2689=""),"",IF($L2689&lt;&gt;"",$L2689-$C2689,TODAY()-$C2689))</f>
        <v/>
      </c>
      <c r="N2689" s="28">
        <f>IF(OR($A2689="",$K2689=""),"",IF($L2689="",IF(TODAY()&gt;$K2689,"Atrasado","En ruta"),IF($L2689&lt;=$K2689,"Sí","No")))</f>
        <v/>
      </c>
      <c r="O2689" s="24">
        <f>IF($A2689="","",COUNTIFS(NOVEDADES!$D$4:$D$1503,$A2689))</f>
        <v/>
      </c>
      <c r="P2689" s="28">
        <f>IF($A2689="","",IF(COUNTIFS(NOVEDADES!$D$4:$D$1503,$A2689,NOVEDADES!$O$4:$O$1503,"SÍ")&gt;0,"No","Sí"))</f>
        <v/>
      </c>
      <c r="Q2689" s="28">
        <f>IF(OR($A2689="",$L2689=""),"",IF(AND($N2689="Sí",$P2689="Sí"),"OTIF","Falló"))</f>
        <v/>
      </c>
    </row>
    <row r="2690" ht="16" customHeight="1">
      <c r="A2690" s="48" t="n"/>
      <c r="B2690" s="48" t="n"/>
      <c r="C2690" s="47" t="n"/>
      <c r="D2690" s="50" t="n"/>
      <c r="E2690" s="50" t="n"/>
      <c r="F2690" s="50" t="n"/>
      <c r="G2690" s="50" t="n"/>
      <c r="H2690" s="48" t="n"/>
      <c r="I2690" s="51" t="n"/>
      <c r="J2690" s="52" t="n"/>
      <c r="K2690" s="47" t="n"/>
      <c r="L2690" s="47" t="n"/>
      <c r="M2690" s="24">
        <f>IF(OR($A2690="",$C2690=""),"",IF($L2690&lt;&gt;"",$L2690-$C2690,TODAY()-$C2690))</f>
        <v/>
      </c>
      <c r="N2690" s="28">
        <f>IF(OR($A2690="",$K2690=""),"",IF($L2690="",IF(TODAY()&gt;$K2690,"Atrasado","En ruta"),IF($L2690&lt;=$K2690,"Sí","No")))</f>
        <v/>
      </c>
      <c r="O2690" s="24">
        <f>IF($A2690="","",COUNTIFS(NOVEDADES!$D$4:$D$1503,$A2690))</f>
        <v/>
      </c>
      <c r="P2690" s="28">
        <f>IF($A2690="","",IF(COUNTIFS(NOVEDADES!$D$4:$D$1503,$A2690,NOVEDADES!$O$4:$O$1503,"SÍ")&gt;0,"No","Sí"))</f>
        <v/>
      </c>
      <c r="Q2690" s="28">
        <f>IF(OR($A2690="",$L2690=""),"",IF(AND($N2690="Sí",$P2690="Sí"),"OTIF","Falló"))</f>
        <v/>
      </c>
    </row>
    <row r="2691" ht="16" customHeight="1">
      <c r="A2691" s="48" t="n"/>
      <c r="B2691" s="48" t="n"/>
      <c r="C2691" s="47" t="n"/>
      <c r="D2691" s="50" t="n"/>
      <c r="E2691" s="50" t="n"/>
      <c r="F2691" s="50" t="n"/>
      <c r="G2691" s="50" t="n"/>
      <c r="H2691" s="48" t="n"/>
      <c r="I2691" s="51" t="n"/>
      <c r="J2691" s="52" t="n"/>
      <c r="K2691" s="47" t="n"/>
      <c r="L2691" s="47" t="n"/>
      <c r="M2691" s="24">
        <f>IF(OR($A2691="",$C2691=""),"",IF($L2691&lt;&gt;"",$L2691-$C2691,TODAY()-$C2691))</f>
        <v/>
      </c>
      <c r="N2691" s="28">
        <f>IF(OR($A2691="",$K2691=""),"",IF($L2691="",IF(TODAY()&gt;$K2691,"Atrasado","En ruta"),IF($L2691&lt;=$K2691,"Sí","No")))</f>
        <v/>
      </c>
      <c r="O2691" s="24">
        <f>IF($A2691="","",COUNTIFS(NOVEDADES!$D$4:$D$1503,$A2691))</f>
        <v/>
      </c>
      <c r="P2691" s="28">
        <f>IF($A2691="","",IF(COUNTIFS(NOVEDADES!$D$4:$D$1503,$A2691,NOVEDADES!$O$4:$O$1503,"SÍ")&gt;0,"No","Sí"))</f>
        <v/>
      </c>
      <c r="Q2691" s="28">
        <f>IF(OR($A2691="",$L2691=""),"",IF(AND($N2691="Sí",$P2691="Sí"),"OTIF","Falló"))</f>
        <v/>
      </c>
    </row>
    <row r="2692" ht="16" customHeight="1">
      <c r="A2692" s="48" t="n"/>
      <c r="B2692" s="48" t="n"/>
      <c r="C2692" s="47" t="n"/>
      <c r="D2692" s="50" t="n"/>
      <c r="E2692" s="50" t="n"/>
      <c r="F2692" s="50" t="n"/>
      <c r="G2692" s="50" t="n"/>
      <c r="H2692" s="48" t="n"/>
      <c r="I2692" s="51" t="n"/>
      <c r="J2692" s="52" t="n"/>
      <c r="K2692" s="47" t="n"/>
      <c r="L2692" s="47" t="n"/>
      <c r="M2692" s="24">
        <f>IF(OR($A2692="",$C2692=""),"",IF($L2692&lt;&gt;"",$L2692-$C2692,TODAY()-$C2692))</f>
        <v/>
      </c>
      <c r="N2692" s="28">
        <f>IF(OR($A2692="",$K2692=""),"",IF($L2692="",IF(TODAY()&gt;$K2692,"Atrasado","En ruta"),IF($L2692&lt;=$K2692,"Sí","No")))</f>
        <v/>
      </c>
      <c r="O2692" s="24">
        <f>IF($A2692="","",COUNTIFS(NOVEDADES!$D$4:$D$1503,$A2692))</f>
        <v/>
      </c>
      <c r="P2692" s="28">
        <f>IF($A2692="","",IF(COUNTIFS(NOVEDADES!$D$4:$D$1503,$A2692,NOVEDADES!$O$4:$O$1503,"SÍ")&gt;0,"No","Sí"))</f>
        <v/>
      </c>
      <c r="Q2692" s="28">
        <f>IF(OR($A2692="",$L2692=""),"",IF(AND($N2692="Sí",$P2692="Sí"),"OTIF","Falló"))</f>
        <v/>
      </c>
    </row>
    <row r="2693" ht="16" customHeight="1">
      <c r="A2693" s="48" t="n"/>
      <c r="B2693" s="48" t="n"/>
      <c r="C2693" s="47" t="n"/>
      <c r="D2693" s="50" t="n"/>
      <c r="E2693" s="50" t="n"/>
      <c r="F2693" s="50" t="n"/>
      <c r="G2693" s="50" t="n"/>
      <c r="H2693" s="48" t="n"/>
      <c r="I2693" s="51" t="n"/>
      <c r="J2693" s="52" t="n"/>
      <c r="K2693" s="47" t="n"/>
      <c r="L2693" s="47" t="n"/>
      <c r="M2693" s="24">
        <f>IF(OR($A2693="",$C2693=""),"",IF($L2693&lt;&gt;"",$L2693-$C2693,TODAY()-$C2693))</f>
        <v/>
      </c>
      <c r="N2693" s="28">
        <f>IF(OR($A2693="",$K2693=""),"",IF($L2693="",IF(TODAY()&gt;$K2693,"Atrasado","En ruta"),IF($L2693&lt;=$K2693,"Sí","No")))</f>
        <v/>
      </c>
      <c r="O2693" s="24">
        <f>IF($A2693="","",COUNTIFS(NOVEDADES!$D$4:$D$1503,$A2693))</f>
        <v/>
      </c>
      <c r="P2693" s="28">
        <f>IF($A2693="","",IF(COUNTIFS(NOVEDADES!$D$4:$D$1503,$A2693,NOVEDADES!$O$4:$O$1503,"SÍ")&gt;0,"No","Sí"))</f>
        <v/>
      </c>
      <c r="Q2693" s="28">
        <f>IF(OR($A2693="",$L2693=""),"",IF(AND($N2693="Sí",$P2693="Sí"),"OTIF","Falló"))</f>
        <v/>
      </c>
    </row>
    <row r="2694" ht="16" customHeight="1">
      <c r="A2694" s="48" t="n"/>
      <c r="B2694" s="48" t="n"/>
      <c r="C2694" s="47" t="n"/>
      <c r="D2694" s="50" t="n"/>
      <c r="E2694" s="50" t="n"/>
      <c r="F2694" s="50" t="n"/>
      <c r="G2694" s="50" t="n"/>
      <c r="H2694" s="48" t="n"/>
      <c r="I2694" s="51" t="n"/>
      <c r="J2694" s="52" t="n"/>
      <c r="K2694" s="47" t="n"/>
      <c r="L2694" s="47" t="n"/>
      <c r="M2694" s="24">
        <f>IF(OR($A2694="",$C2694=""),"",IF($L2694&lt;&gt;"",$L2694-$C2694,TODAY()-$C2694))</f>
        <v/>
      </c>
      <c r="N2694" s="28">
        <f>IF(OR($A2694="",$K2694=""),"",IF($L2694="",IF(TODAY()&gt;$K2694,"Atrasado","En ruta"),IF($L2694&lt;=$K2694,"Sí","No")))</f>
        <v/>
      </c>
      <c r="O2694" s="24">
        <f>IF($A2694="","",COUNTIFS(NOVEDADES!$D$4:$D$1503,$A2694))</f>
        <v/>
      </c>
      <c r="P2694" s="28">
        <f>IF($A2694="","",IF(COUNTIFS(NOVEDADES!$D$4:$D$1503,$A2694,NOVEDADES!$O$4:$O$1503,"SÍ")&gt;0,"No","Sí"))</f>
        <v/>
      </c>
      <c r="Q2694" s="28">
        <f>IF(OR($A2694="",$L2694=""),"",IF(AND($N2694="Sí",$P2694="Sí"),"OTIF","Falló"))</f>
        <v/>
      </c>
    </row>
    <row r="2695" ht="16" customHeight="1">
      <c r="A2695" s="48" t="n"/>
      <c r="B2695" s="48" t="n"/>
      <c r="C2695" s="47" t="n"/>
      <c r="D2695" s="50" t="n"/>
      <c r="E2695" s="50" t="n"/>
      <c r="F2695" s="50" t="n"/>
      <c r="G2695" s="50" t="n"/>
      <c r="H2695" s="48" t="n"/>
      <c r="I2695" s="51" t="n"/>
      <c r="J2695" s="52" t="n"/>
      <c r="K2695" s="47" t="n"/>
      <c r="L2695" s="47" t="n"/>
      <c r="M2695" s="24">
        <f>IF(OR($A2695="",$C2695=""),"",IF($L2695&lt;&gt;"",$L2695-$C2695,TODAY()-$C2695))</f>
        <v/>
      </c>
      <c r="N2695" s="28">
        <f>IF(OR($A2695="",$K2695=""),"",IF($L2695="",IF(TODAY()&gt;$K2695,"Atrasado","En ruta"),IF($L2695&lt;=$K2695,"Sí","No")))</f>
        <v/>
      </c>
      <c r="O2695" s="24">
        <f>IF($A2695="","",COUNTIFS(NOVEDADES!$D$4:$D$1503,$A2695))</f>
        <v/>
      </c>
      <c r="P2695" s="28">
        <f>IF($A2695="","",IF(COUNTIFS(NOVEDADES!$D$4:$D$1503,$A2695,NOVEDADES!$O$4:$O$1503,"SÍ")&gt;0,"No","Sí"))</f>
        <v/>
      </c>
      <c r="Q2695" s="28">
        <f>IF(OR($A2695="",$L2695=""),"",IF(AND($N2695="Sí",$P2695="Sí"),"OTIF","Falló"))</f>
        <v/>
      </c>
    </row>
    <row r="2696" ht="16" customHeight="1">
      <c r="A2696" s="48" t="n"/>
      <c r="B2696" s="48" t="n"/>
      <c r="C2696" s="47" t="n"/>
      <c r="D2696" s="50" t="n"/>
      <c r="E2696" s="50" t="n"/>
      <c r="F2696" s="50" t="n"/>
      <c r="G2696" s="50" t="n"/>
      <c r="H2696" s="48" t="n"/>
      <c r="I2696" s="51" t="n"/>
      <c r="J2696" s="52" t="n"/>
      <c r="K2696" s="47" t="n"/>
      <c r="L2696" s="47" t="n"/>
      <c r="M2696" s="24">
        <f>IF(OR($A2696="",$C2696=""),"",IF($L2696&lt;&gt;"",$L2696-$C2696,TODAY()-$C2696))</f>
        <v/>
      </c>
      <c r="N2696" s="28">
        <f>IF(OR($A2696="",$K2696=""),"",IF($L2696="",IF(TODAY()&gt;$K2696,"Atrasado","En ruta"),IF($L2696&lt;=$K2696,"Sí","No")))</f>
        <v/>
      </c>
      <c r="O2696" s="24">
        <f>IF($A2696="","",COUNTIFS(NOVEDADES!$D$4:$D$1503,$A2696))</f>
        <v/>
      </c>
      <c r="P2696" s="28">
        <f>IF($A2696="","",IF(COUNTIFS(NOVEDADES!$D$4:$D$1503,$A2696,NOVEDADES!$O$4:$O$1503,"SÍ")&gt;0,"No","Sí"))</f>
        <v/>
      </c>
      <c r="Q2696" s="28">
        <f>IF(OR($A2696="",$L2696=""),"",IF(AND($N2696="Sí",$P2696="Sí"),"OTIF","Falló"))</f>
        <v/>
      </c>
    </row>
    <row r="2697" ht="16" customHeight="1">
      <c r="A2697" s="48" t="n"/>
      <c r="B2697" s="48" t="n"/>
      <c r="C2697" s="47" t="n"/>
      <c r="D2697" s="50" t="n"/>
      <c r="E2697" s="50" t="n"/>
      <c r="F2697" s="50" t="n"/>
      <c r="G2697" s="50" t="n"/>
      <c r="H2697" s="48" t="n"/>
      <c r="I2697" s="51" t="n"/>
      <c r="J2697" s="52" t="n"/>
      <c r="K2697" s="47" t="n"/>
      <c r="L2697" s="47" t="n"/>
      <c r="M2697" s="24">
        <f>IF(OR($A2697="",$C2697=""),"",IF($L2697&lt;&gt;"",$L2697-$C2697,TODAY()-$C2697))</f>
        <v/>
      </c>
      <c r="N2697" s="28">
        <f>IF(OR($A2697="",$K2697=""),"",IF($L2697="",IF(TODAY()&gt;$K2697,"Atrasado","En ruta"),IF($L2697&lt;=$K2697,"Sí","No")))</f>
        <v/>
      </c>
      <c r="O2697" s="24">
        <f>IF($A2697="","",COUNTIFS(NOVEDADES!$D$4:$D$1503,$A2697))</f>
        <v/>
      </c>
      <c r="P2697" s="28">
        <f>IF($A2697="","",IF(COUNTIFS(NOVEDADES!$D$4:$D$1503,$A2697,NOVEDADES!$O$4:$O$1503,"SÍ")&gt;0,"No","Sí"))</f>
        <v/>
      </c>
      <c r="Q2697" s="28">
        <f>IF(OR($A2697="",$L2697=""),"",IF(AND($N2697="Sí",$P2697="Sí"),"OTIF","Falló"))</f>
        <v/>
      </c>
    </row>
    <row r="2698" ht="16" customHeight="1">
      <c r="A2698" s="48" t="n"/>
      <c r="B2698" s="48" t="n"/>
      <c r="C2698" s="47" t="n"/>
      <c r="D2698" s="50" t="n"/>
      <c r="E2698" s="50" t="n"/>
      <c r="F2698" s="50" t="n"/>
      <c r="G2698" s="50" t="n"/>
      <c r="H2698" s="48" t="n"/>
      <c r="I2698" s="51" t="n"/>
      <c r="J2698" s="52" t="n"/>
      <c r="K2698" s="47" t="n"/>
      <c r="L2698" s="47" t="n"/>
      <c r="M2698" s="24">
        <f>IF(OR($A2698="",$C2698=""),"",IF($L2698&lt;&gt;"",$L2698-$C2698,TODAY()-$C2698))</f>
        <v/>
      </c>
      <c r="N2698" s="28">
        <f>IF(OR($A2698="",$K2698=""),"",IF($L2698="",IF(TODAY()&gt;$K2698,"Atrasado","En ruta"),IF($L2698&lt;=$K2698,"Sí","No")))</f>
        <v/>
      </c>
      <c r="O2698" s="24">
        <f>IF($A2698="","",COUNTIFS(NOVEDADES!$D$4:$D$1503,$A2698))</f>
        <v/>
      </c>
      <c r="P2698" s="28">
        <f>IF($A2698="","",IF(COUNTIFS(NOVEDADES!$D$4:$D$1503,$A2698,NOVEDADES!$O$4:$O$1503,"SÍ")&gt;0,"No","Sí"))</f>
        <v/>
      </c>
      <c r="Q2698" s="28">
        <f>IF(OR($A2698="",$L2698=""),"",IF(AND($N2698="Sí",$P2698="Sí"),"OTIF","Falló"))</f>
        <v/>
      </c>
    </row>
    <row r="2699" ht="16" customHeight="1">
      <c r="A2699" s="48" t="n"/>
      <c r="B2699" s="48" t="n"/>
      <c r="C2699" s="47" t="n"/>
      <c r="D2699" s="50" t="n"/>
      <c r="E2699" s="50" t="n"/>
      <c r="F2699" s="50" t="n"/>
      <c r="G2699" s="50" t="n"/>
      <c r="H2699" s="48" t="n"/>
      <c r="I2699" s="51" t="n"/>
      <c r="J2699" s="52" t="n"/>
      <c r="K2699" s="47" t="n"/>
      <c r="L2699" s="47" t="n"/>
      <c r="M2699" s="24">
        <f>IF(OR($A2699="",$C2699=""),"",IF($L2699&lt;&gt;"",$L2699-$C2699,TODAY()-$C2699))</f>
        <v/>
      </c>
      <c r="N2699" s="28">
        <f>IF(OR($A2699="",$K2699=""),"",IF($L2699="",IF(TODAY()&gt;$K2699,"Atrasado","En ruta"),IF($L2699&lt;=$K2699,"Sí","No")))</f>
        <v/>
      </c>
      <c r="O2699" s="24">
        <f>IF($A2699="","",COUNTIFS(NOVEDADES!$D$4:$D$1503,$A2699))</f>
        <v/>
      </c>
      <c r="P2699" s="28">
        <f>IF($A2699="","",IF(COUNTIFS(NOVEDADES!$D$4:$D$1503,$A2699,NOVEDADES!$O$4:$O$1503,"SÍ")&gt;0,"No","Sí"))</f>
        <v/>
      </c>
      <c r="Q2699" s="28">
        <f>IF(OR($A2699="",$L2699=""),"",IF(AND($N2699="Sí",$P2699="Sí"),"OTIF","Falló"))</f>
        <v/>
      </c>
    </row>
    <row r="2700" ht="16" customHeight="1">
      <c r="A2700" s="48" t="n"/>
      <c r="B2700" s="48" t="n"/>
      <c r="C2700" s="47" t="n"/>
      <c r="D2700" s="50" t="n"/>
      <c r="E2700" s="50" t="n"/>
      <c r="F2700" s="50" t="n"/>
      <c r="G2700" s="50" t="n"/>
      <c r="H2700" s="48" t="n"/>
      <c r="I2700" s="51" t="n"/>
      <c r="J2700" s="52" t="n"/>
      <c r="K2700" s="47" t="n"/>
      <c r="L2700" s="47" t="n"/>
      <c r="M2700" s="24">
        <f>IF(OR($A2700="",$C2700=""),"",IF($L2700&lt;&gt;"",$L2700-$C2700,TODAY()-$C2700))</f>
        <v/>
      </c>
      <c r="N2700" s="28">
        <f>IF(OR($A2700="",$K2700=""),"",IF($L2700="",IF(TODAY()&gt;$K2700,"Atrasado","En ruta"),IF($L2700&lt;=$K2700,"Sí","No")))</f>
        <v/>
      </c>
      <c r="O2700" s="24">
        <f>IF($A2700="","",COUNTIFS(NOVEDADES!$D$4:$D$1503,$A2700))</f>
        <v/>
      </c>
      <c r="P2700" s="28">
        <f>IF($A2700="","",IF(COUNTIFS(NOVEDADES!$D$4:$D$1503,$A2700,NOVEDADES!$O$4:$O$1503,"SÍ")&gt;0,"No","Sí"))</f>
        <v/>
      </c>
      <c r="Q2700" s="28">
        <f>IF(OR($A2700="",$L2700=""),"",IF(AND($N2700="Sí",$P2700="Sí"),"OTIF","Falló"))</f>
        <v/>
      </c>
    </row>
    <row r="2701" ht="16" customHeight="1">
      <c r="A2701" s="48" t="n"/>
      <c r="B2701" s="48" t="n"/>
      <c r="C2701" s="47" t="n"/>
      <c r="D2701" s="50" t="n"/>
      <c r="E2701" s="50" t="n"/>
      <c r="F2701" s="50" t="n"/>
      <c r="G2701" s="50" t="n"/>
      <c r="H2701" s="48" t="n"/>
      <c r="I2701" s="51" t="n"/>
      <c r="J2701" s="52" t="n"/>
      <c r="K2701" s="47" t="n"/>
      <c r="L2701" s="47" t="n"/>
      <c r="M2701" s="24">
        <f>IF(OR($A2701="",$C2701=""),"",IF($L2701&lt;&gt;"",$L2701-$C2701,TODAY()-$C2701))</f>
        <v/>
      </c>
      <c r="N2701" s="28">
        <f>IF(OR($A2701="",$K2701=""),"",IF($L2701="",IF(TODAY()&gt;$K2701,"Atrasado","En ruta"),IF($L2701&lt;=$K2701,"Sí","No")))</f>
        <v/>
      </c>
      <c r="O2701" s="24">
        <f>IF($A2701="","",COUNTIFS(NOVEDADES!$D$4:$D$1503,$A2701))</f>
        <v/>
      </c>
      <c r="P2701" s="28">
        <f>IF($A2701="","",IF(COUNTIFS(NOVEDADES!$D$4:$D$1503,$A2701,NOVEDADES!$O$4:$O$1503,"SÍ")&gt;0,"No","Sí"))</f>
        <v/>
      </c>
      <c r="Q2701" s="28">
        <f>IF(OR($A2701="",$L2701=""),"",IF(AND($N2701="Sí",$P2701="Sí"),"OTIF","Falló"))</f>
        <v/>
      </c>
    </row>
    <row r="2702" ht="16" customHeight="1">
      <c r="A2702" s="48" t="n"/>
      <c r="B2702" s="48" t="n"/>
      <c r="C2702" s="47" t="n"/>
      <c r="D2702" s="50" t="n"/>
      <c r="E2702" s="50" t="n"/>
      <c r="F2702" s="50" t="n"/>
      <c r="G2702" s="50" t="n"/>
      <c r="H2702" s="48" t="n"/>
      <c r="I2702" s="51" t="n"/>
      <c r="J2702" s="52" t="n"/>
      <c r="K2702" s="47" t="n"/>
      <c r="L2702" s="47" t="n"/>
      <c r="M2702" s="24">
        <f>IF(OR($A2702="",$C2702=""),"",IF($L2702&lt;&gt;"",$L2702-$C2702,TODAY()-$C2702))</f>
        <v/>
      </c>
      <c r="N2702" s="28">
        <f>IF(OR($A2702="",$K2702=""),"",IF($L2702="",IF(TODAY()&gt;$K2702,"Atrasado","En ruta"),IF($L2702&lt;=$K2702,"Sí","No")))</f>
        <v/>
      </c>
      <c r="O2702" s="24">
        <f>IF($A2702="","",COUNTIFS(NOVEDADES!$D$4:$D$1503,$A2702))</f>
        <v/>
      </c>
      <c r="P2702" s="28">
        <f>IF($A2702="","",IF(COUNTIFS(NOVEDADES!$D$4:$D$1503,$A2702,NOVEDADES!$O$4:$O$1503,"SÍ")&gt;0,"No","Sí"))</f>
        <v/>
      </c>
      <c r="Q2702" s="28">
        <f>IF(OR($A2702="",$L2702=""),"",IF(AND($N2702="Sí",$P2702="Sí"),"OTIF","Falló"))</f>
        <v/>
      </c>
    </row>
    <row r="2703" ht="16" customHeight="1">
      <c r="A2703" s="48" t="n"/>
      <c r="B2703" s="48" t="n"/>
      <c r="C2703" s="47" t="n"/>
      <c r="D2703" s="50" t="n"/>
      <c r="E2703" s="50" t="n"/>
      <c r="F2703" s="50" t="n"/>
      <c r="G2703" s="50" t="n"/>
      <c r="H2703" s="48" t="n"/>
      <c r="I2703" s="51" t="n"/>
      <c r="J2703" s="52" t="n"/>
      <c r="K2703" s="47" t="n"/>
      <c r="L2703" s="47" t="n"/>
      <c r="M2703" s="24">
        <f>IF(OR($A2703="",$C2703=""),"",IF($L2703&lt;&gt;"",$L2703-$C2703,TODAY()-$C2703))</f>
        <v/>
      </c>
      <c r="N2703" s="28">
        <f>IF(OR($A2703="",$K2703=""),"",IF($L2703="",IF(TODAY()&gt;$K2703,"Atrasado","En ruta"),IF($L2703&lt;=$K2703,"Sí","No")))</f>
        <v/>
      </c>
      <c r="O2703" s="24">
        <f>IF($A2703="","",COUNTIFS(NOVEDADES!$D$4:$D$1503,$A2703))</f>
        <v/>
      </c>
      <c r="P2703" s="28">
        <f>IF($A2703="","",IF(COUNTIFS(NOVEDADES!$D$4:$D$1503,$A2703,NOVEDADES!$O$4:$O$1503,"SÍ")&gt;0,"No","Sí"))</f>
        <v/>
      </c>
      <c r="Q2703" s="28">
        <f>IF(OR($A2703="",$L2703=""),"",IF(AND($N2703="Sí",$P2703="Sí"),"OTIF","Falló"))</f>
        <v/>
      </c>
    </row>
    <row r="2704" ht="16" customHeight="1">
      <c r="A2704" s="48" t="n"/>
      <c r="B2704" s="48" t="n"/>
      <c r="C2704" s="47" t="n"/>
      <c r="D2704" s="50" t="n"/>
      <c r="E2704" s="50" t="n"/>
      <c r="F2704" s="50" t="n"/>
      <c r="G2704" s="50" t="n"/>
      <c r="H2704" s="48" t="n"/>
      <c r="I2704" s="51" t="n"/>
      <c r="J2704" s="52" t="n"/>
      <c r="K2704" s="47" t="n"/>
      <c r="L2704" s="47" t="n"/>
      <c r="M2704" s="24">
        <f>IF(OR($A2704="",$C2704=""),"",IF($L2704&lt;&gt;"",$L2704-$C2704,TODAY()-$C2704))</f>
        <v/>
      </c>
      <c r="N2704" s="28">
        <f>IF(OR($A2704="",$K2704=""),"",IF($L2704="",IF(TODAY()&gt;$K2704,"Atrasado","En ruta"),IF($L2704&lt;=$K2704,"Sí","No")))</f>
        <v/>
      </c>
      <c r="O2704" s="24">
        <f>IF($A2704="","",COUNTIFS(NOVEDADES!$D$4:$D$1503,$A2704))</f>
        <v/>
      </c>
      <c r="P2704" s="28">
        <f>IF($A2704="","",IF(COUNTIFS(NOVEDADES!$D$4:$D$1503,$A2704,NOVEDADES!$O$4:$O$1503,"SÍ")&gt;0,"No","Sí"))</f>
        <v/>
      </c>
      <c r="Q2704" s="28">
        <f>IF(OR($A2704="",$L2704=""),"",IF(AND($N2704="Sí",$P2704="Sí"),"OTIF","Falló"))</f>
        <v/>
      </c>
    </row>
    <row r="2705" ht="16" customHeight="1">
      <c r="A2705" s="48" t="n"/>
      <c r="B2705" s="48" t="n"/>
      <c r="C2705" s="47" t="n"/>
      <c r="D2705" s="50" t="n"/>
      <c r="E2705" s="50" t="n"/>
      <c r="F2705" s="50" t="n"/>
      <c r="G2705" s="50" t="n"/>
      <c r="H2705" s="48" t="n"/>
      <c r="I2705" s="51" t="n"/>
      <c r="J2705" s="52" t="n"/>
      <c r="K2705" s="47" t="n"/>
      <c r="L2705" s="47" t="n"/>
      <c r="M2705" s="24">
        <f>IF(OR($A2705="",$C2705=""),"",IF($L2705&lt;&gt;"",$L2705-$C2705,TODAY()-$C2705))</f>
        <v/>
      </c>
      <c r="N2705" s="28">
        <f>IF(OR($A2705="",$K2705=""),"",IF($L2705="",IF(TODAY()&gt;$K2705,"Atrasado","En ruta"),IF($L2705&lt;=$K2705,"Sí","No")))</f>
        <v/>
      </c>
      <c r="O2705" s="24">
        <f>IF($A2705="","",COUNTIFS(NOVEDADES!$D$4:$D$1503,$A2705))</f>
        <v/>
      </c>
      <c r="P2705" s="28">
        <f>IF($A2705="","",IF(COUNTIFS(NOVEDADES!$D$4:$D$1503,$A2705,NOVEDADES!$O$4:$O$1503,"SÍ")&gt;0,"No","Sí"))</f>
        <v/>
      </c>
      <c r="Q2705" s="28">
        <f>IF(OR($A2705="",$L2705=""),"",IF(AND($N2705="Sí",$P2705="Sí"),"OTIF","Falló"))</f>
        <v/>
      </c>
    </row>
    <row r="2706" ht="16" customHeight="1">
      <c r="A2706" s="48" t="n"/>
      <c r="B2706" s="48" t="n"/>
      <c r="C2706" s="47" t="n"/>
      <c r="D2706" s="50" t="n"/>
      <c r="E2706" s="50" t="n"/>
      <c r="F2706" s="50" t="n"/>
      <c r="G2706" s="50" t="n"/>
      <c r="H2706" s="48" t="n"/>
      <c r="I2706" s="51" t="n"/>
      <c r="J2706" s="52" t="n"/>
      <c r="K2706" s="47" t="n"/>
      <c r="L2706" s="47" t="n"/>
      <c r="M2706" s="24">
        <f>IF(OR($A2706="",$C2706=""),"",IF($L2706&lt;&gt;"",$L2706-$C2706,TODAY()-$C2706))</f>
        <v/>
      </c>
      <c r="N2706" s="28">
        <f>IF(OR($A2706="",$K2706=""),"",IF($L2706="",IF(TODAY()&gt;$K2706,"Atrasado","En ruta"),IF($L2706&lt;=$K2706,"Sí","No")))</f>
        <v/>
      </c>
      <c r="O2706" s="24">
        <f>IF($A2706="","",COUNTIFS(NOVEDADES!$D$4:$D$1503,$A2706))</f>
        <v/>
      </c>
      <c r="P2706" s="28">
        <f>IF($A2706="","",IF(COUNTIFS(NOVEDADES!$D$4:$D$1503,$A2706,NOVEDADES!$O$4:$O$1503,"SÍ")&gt;0,"No","Sí"))</f>
        <v/>
      </c>
      <c r="Q2706" s="28">
        <f>IF(OR($A2706="",$L2706=""),"",IF(AND($N2706="Sí",$P2706="Sí"),"OTIF","Falló"))</f>
        <v/>
      </c>
    </row>
    <row r="2707" ht="16" customHeight="1">
      <c r="A2707" s="48" t="n"/>
      <c r="B2707" s="48" t="n"/>
      <c r="C2707" s="47" t="n"/>
      <c r="D2707" s="50" t="n"/>
      <c r="E2707" s="50" t="n"/>
      <c r="F2707" s="50" t="n"/>
      <c r="G2707" s="50" t="n"/>
      <c r="H2707" s="48" t="n"/>
      <c r="I2707" s="51" t="n"/>
      <c r="J2707" s="52" t="n"/>
      <c r="K2707" s="47" t="n"/>
      <c r="L2707" s="47" t="n"/>
      <c r="M2707" s="24">
        <f>IF(OR($A2707="",$C2707=""),"",IF($L2707&lt;&gt;"",$L2707-$C2707,TODAY()-$C2707))</f>
        <v/>
      </c>
      <c r="N2707" s="28">
        <f>IF(OR($A2707="",$K2707=""),"",IF($L2707="",IF(TODAY()&gt;$K2707,"Atrasado","En ruta"),IF($L2707&lt;=$K2707,"Sí","No")))</f>
        <v/>
      </c>
      <c r="O2707" s="24">
        <f>IF($A2707="","",COUNTIFS(NOVEDADES!$D$4:$D$1503,$A2707))</f>
        <v/>
      </c>
      <c r="P2707" s="28">
        <f>IF($A2707="","",IF(COUNTIFS(NOVEDADES!$D$4:$D$1503,$A2707,NOVEDADES!$O$4:$O$1503,"SÍ")&gt;0,"No","Sí"))</f>
        <v/>
      </c>
      <c r="Q2707" s="28">
        <f>IF(OR($A2707="",$L2707=""),"",IF(AND($N2707="Sí",$P2707="Sí"),"OTIF","Falló"))</f>
        <v/>
      </c>
    </row>
    <row r="2708" ht="16" customHeight="1">
      <c r="A2708" s="48" t="n"/>
      <c r="B2708" s="48" t="n"/>
      <c r="C2708" s="47" t="n"/>
      <c r="D2708" s="50" t="n"/>
      <c r="E2708" s="50" t="n"/>
      <c r="F2708" s="50" t="n"/>
      <c r="G2708" s="50" t="n"/>
      <c r="H2708" s="48" t="n"/>
      <c r="I2708" s="51" t="n"/>
      <c r="J2708" s="52" t="n"/>
      <c r="K2708" s="47" t="n"/>
      <c r="L2708" s="47" t="n"/>
      <c r="M2708" s="24">
        <f>IF(OR($A2708="",$C2708=""),"",IF($L2708&lt;&gt;"",$L2708-$C2708,TODAY()-$C2708))</f>
        <v/>
      </c>
      <c r="N2708" s="28">
        <f>IF(OR($A2708="",$K2708=""),"",IF($L2708="",IF(TODAY()&gt;$K2708,"Atrasado","En ruta"),IF($L2708&lt;=$K2708,"Sí","No")))</f>
        <v/>
      </c>
      <c r="O2708" s="24">
        <f>IF($A2708="","",COUNTIFS(NOVEDADES!$D$4:$D$1503,$A2708))</f>
        <v/>
      </c>
      <c r="P2708" s="28">
        <f>IF($A2708="","",IF(COUNTIFS(NOVEDADES!$D$4:$D$1503,$A2708,NOVEDADES!$O$4:$O$1503,"SÍ")&gt;0,"No","Sí"))</f>
        <v/>
      </c>
      <c r="Q2708" s="28">
        <f>IF(OR($A2708="",$L2708=""),"",IF(AND($N2708="Sí",$P2708="Sí"),"OTIF","Falló"))</f>
        <v/>
      </c>
    </row>
    <row r="2709" ht="16" customHeight="1">
      <c r="A2709" s="48" t="n"/>
      <c r="B2709" s="48" t="n"/>
      <c r="C2709" s="47" t="n"/>
      <c r="D2709" s="50" t="n"/>
      <c r="E2709" s="50" t="n"/>
      <c r="F2709" s="50" t="n"/>
      <c r="G2709" s="50" t="n"/>
      <c r="H2709" s="48" t="n"/>
      <c r="I2709" s="51" t="n"/>
      <c r="J2709" s="52" t="n"/>
      <c r="K2709" s="47" t="n"/>
      <c r="L2709" s="47" t="n"/>
      <c r="M2709" s="24">
        <f>IF(OR($A2709="",$C2709=""),"",IF($L2709&lt;&gt;"",$L2709-$C2709,TODAY()-$C2709))</f>
        <v/>
      </c>
      <c r="N2709" s="28">
        <f>IF(OR($A2709="",$K2709=""),"",IF($L2709="",IF(TODAY()&gt;$K2709,"Atrasado","En ruta"),IF($L2709&lt;=$K2709,"Sí","No")))</f>
        <v/>
      </c>
      <c r="O2709" s="24">
        <f>IF($A2709="","",COUNTIFS(NOVEDADES!$D$4:$D$1503,$A2709))</f>
        <v/>
      </c>
      <c r="P2709" s="28">
        <f>IF($A2709="","",IF(COUNTIFS(NOVEDADES!$D$4:$D$1503,$A2709,NOVEDADES!$O$4:$O$1503,"SÍ")&gt;0,"No","Sí"))</f>
        <v/>
      </c>
      <c r="Q2709" s="28">
        <f>IF(OR($A2709="",$L2709=""),"",IF(AND($N2709="Sí",$P2709="Sí"),"OTIF","Falló"))</f>
        <v/>
      </c>
    </row>
    <row r="2710" ht="16" customHeight="1">
      <c r="A2710" s="48" t="n"/>
      <c r="B2710" s="48" t="n"/>
      <c r="C2710" s="47" t="n"/>
      <c r="D2710" s="50" t="n"/>
      <c r="E2710" s="50" t="n"/>
      <c r="F2710" s="50" t="n"/>
      <c r="G2710" s="50" t="n"/>
      <c r="H2710" s="48" t="n"/>
      <c r="I2710" s="51" t="n"/>
      <c r="J2710" s="52" t="n"/>
      <c r="K2710" s="47" t="n"/>
      <c r="L2710" s="47" t="n"/>
      <c r="M2710" s="24">
        <f>IF(OR($A2710="",$C2710=""),"",IF($L2710&lt;&gt;"",$L2710-$C2710,TODAY()-$C2710))</f>
        <v/>
      </c>
      <c r="N2710" s="28">
        <f>IF(OR($A2710="",$K2710=""),"",IF($L2710="",IF(TODAY()&gt;$K2710,"Atrasado","En ruta"),IF($L2710&lt;=$K2710,"Sí","No")))</f>
        <v/>
      </c>
      <c r="O2710" s="24">
        <f>IF($A2710="","",COUNTIFS(NOVEDADES!$D$4:$D$1503,$A2710))</f>
        <v/>
      </c>
      <c r="P2710" s="28">
        <f>IF($A2710="","",IF(COUNTIFS(NOVEDADES!$D$4:$D$1503,$A2710,NOVEDADES!$O$4:$O$1503,"SÍ")&gt;0,"No","Sí"))</f>
        <v/>
      </c>
      <c r="Q2710" s="28">
        <f>IF(OR($A2710="",$L2710=""),"",IF(AND($N2710="Sí",$P2710="Sí"),"OTIF","Falló"))</f>
        <v/>
      </c>
    </row>
    <row r="2711" ht="16" customHeight="1">
      <c r="A2711" s="48" t="n"/>
      <c r="B2711" s="48" t="n"/>
      <c r="C2711" s="47" t="n"/>
      <c r="D2711" s="50" t="n"/>
      <c r="E2711" s="50" t="n"/>
      <c r="F2711" s="50" t="n"/>
      <c r="G2711" s="50" t="n"/>
      <c r="H2711" s="48" t="n"/>
      <c r="I2711" s="51" t="n"/>
      <c r="J2711" s="52" t="n"/>
      <c r="K2711" s="47" t="n"/>
      <c r="L2711" s="47" t="n"/>
      <c r="M2711" s="24">
        <f>IF(OR($A2711="",$C2711=""),"",IF($L2711&lt;&gt;"",$L2711-$C2711,TODAY()-$C2711))</f>
        <v/>
      </c>
      <c r="N2711" s="28">
        <f>IF(OR($A2711="",$K2711=""),"",IF($L2711="",IF(TODAY()&gt;$K2711,"Atrasado","En ruta"),IF($L2711&lt;=$K2711,"Sí","No")))</f>
        <v/>
      </c>
      <c r="O2711" s="24">
        <f>IF($A2711="","",COUNTIFS(NOVEDADES!$D$4:$D$1503,$A2711))</f>
        <v/>
      </c>
      <c r="P2711" s="28">
        <f>IF($A2711="","",IF(COUNTIFS(NOVEDADES!$D$4:$D$1503,$A2711,NOVEDADES!$O$4:$O$1503,"SÍ")&gt;0,"No","Sí"))</f>
        <v/>
      </c>
      <c r="Q2711" s="28">
        <f>IF(OR($A2711="",$L2711=""),"",IF(AND($N2711="Sí",$P2711="Sí"),"OTIF","Falló"))</f>
        <v/>
      </c>
    </row>
    <row r="2712" ht="16" customHeight="1">
      <c r="A2712" s="48" t="n"/>
      <c r="B2712" s="48" t="n"/>
      <c r="C2712" s="47" t="n"/>
      <c r="D2712" s="50" t="n"/>
      <c r="E2712" s="50" t="n"/>
      <c r="F2712" s="50" t="n"/>
      <c r="G2712" s="50" t="n"/>
      <c r="H2712" s="48" t="n"/>
      <c r="I2712" s="51" t="n"/>
      <c r="J2712" s="52" t="n"/>
      <c r="K2712" s="47" t="n"/>
      <c r="L2712" s="47" t="n"/>
      <c r="M2712" s="24">
        <f>IF(OR($A2712="",$C2712=""),"",IF($L2712&lt;&gt;"",$L2712-$C2712,TODAY()-$C2712))</f>
        <v/>
      </c>
      <c r="N2712" s="28">
        <f>IF(OR($A2712="",$K2712=""),"",IF($L2712="",IF(TODAY()&gt;$K2712,"Atrasado","En ruta"),IF($L2712&lt;=$K2712,"Sí","No")))</f>
        <v/>
      </c>
      <c r="O2712" s="24">
        <f>IF($A2712="","",COUNTIFS(NOVEDADES!$D$4:$D$1503,$A2712))</f>
        <v/>
      </c>
      <c r="P2712" s="28">
        <f>IF($A2712="","",IF(COUNTIFS(NOVEDADES!$D$4:$D$1503,$A2712,NOVEDADES!$O$4:$O$1503,"SÍ")&gt;0,"No","Sí"))</f>
        <v/>
      </c>
      <c r="Q2712" s="28">
        <f>IF(OR($A2712="",$L2712=""),"",IF(AND($N2712="Sí",$P2712="Sí"),"OTIF","Falló"))</f>
        <v/>
      </c>
    </row>
    <row r="2713" ht="16" customHeight="1">
      <c r="A2713" s="48" t="n"/>
      <c r="B2713" s="48" t="n"/>
      <c r="C2713" s="47" t="n"/>
      <c r="D2713" s="50" t="n"/>
      <c r="E2713" s="50" t="n"/>
      <c r="F2713" s="50" t="n"/>
      <c r="G2713" s="50" t="n"/>
      <c r="H2713" s="48" t="n"/>
      <c r="I2713" s="51" t="n"/>
      <c r="J2713" s="52" t="n"/>
      <c r="K2713" s="47" t="n"/>
      <c r="L2713" s="47" t="n"/>
      <c r="M2713" s="24">
        <f>IF(OR($A2713="",$C2713=""),"",IF($L2713&lt;&gt;"",$L2713-$C2713,TODAY()-$C2713))</f>
        <v/>
      </c>
      <c r="N2713" s="28">
        <f>IF(OR($A2713="",$K2713=""),"",IF($L2713="",IF(TODAY()&gt;$K2713,"Atrasado","En ruta"),IF($L2713&lt;=$K2713,"Sí","No")))</f>
        <v/>
      </c>
      <c r="O2713" s="24">
        <f>IF($A2713="","",COUNTIFS(NOVEDADES!$D$4:$D$1503,$A2713))</f>
        <v/>
      </c>
      <c r="P2713" s="28">
        <f>IF($A2713="","",IF(COUNTIFS(NOVEDADES!$D$4:$D$1503,$A2713,NOVEDADES!$O$4:$O$1503,"SÍ")&gt;0,"No","Sí"))</f>
        <v/>
      </c>
      <c r="Q2713" s="28">
        <f>IF(OR($A2713="",$L2713=""),"",IF(AND($N2713="Sí",$P2713="Sí"),"OTIF","Falló"))</f>
        <v/>
      </c>
    </row>
    <row r="2714" ht="16" customHeight="1">
      <c r="A2714" s="48" t="n"/>
      <c r="B2714" s="48" t="n"/>
      <c r="C2714" s="47" t="n"/>
      <c r="D2714" s="50" t="n"/>
      <c r="E2714" s="50" t="n"/>
      <c r="F2714" s="50" t="n"/>
      <c r="G2714" s="50" t="n"/>
      <c r="H2714" s="48" t="n"/>
      <c r="I2714" s="51" t="n"/>
      <c r="J2714" s="52" t="n"/>
      <c r="K2714" s="47" t="n"/>
      <c r="L2714" s="47" t="n"/>
      <c r="M2714" s="24">
        <f>IF(OR($A2714="",$C2714=""),"",IF($L2714&lt;&gt;"",$L2714-$C2714,TODAY()-$C2714))</f>
        <v/>
      </c>
      <c r="N2714" s="28">
        <f>IF(OR($A2714="",$K2714=""),"",IF($L2714="",IF(TODAY()&gt;$K2714,"Atrasado","En ruta"),IF($L2714&lt;=$K2714,"Sí","No")))</f>
        <v/>
      </c>
      <c r="O2714" s="24">
        <f>IF($A2714="","",COUNTIFS(NOVEDADES!$D$4:$D$1503,$A2714))</f>
        <v/>
      </c>
      <c r="P2714" s="28">
        <f>IF($A2714="","",IF(COUNTIFS(NOVEDADES!$D$4:$D$1503,$A2714,NOVEDADES!$O$4:$O$1503,"SÍ")&gt;0,"No","Sí"))</f>
        <v/>
      </c>
      <c r="Q2714" s="28">
        <f>IF(OR($A2714="",$L2714=""),"",IF(AND($N2714="Sí",$P2714="Sí"),"OTIF","Falló"))</f>
        <v/>
      </c>
    </row>
    <row r="2715" ht="16" customHeight="1">
      <c r="A2715" s="48" t="n"/>
      <c r="B2715" s="48" t="n"/>
      <c r="C2715" s="47" t="n"/>
      <c r="D2715" s="50" t="n"/>
      <c r="E2715" s="50" t="n"/>
      <c r="F2715" s="50" t="n"/>
      <c r="G2715" s="50" t="n"/>
      <c r="H2715" s="48" t="n"/>
      <c r="I2715" s="51" t="n"/>
      <c r="J2715" s="52" t="n"/>
      <c r="K2715" s="47" t="n"/>
      <c r="L2715" s="47" t="n"/>
      <c r="M2715" s="24">
        <f>IF(OR($A2715="",$C2715=""),"",IF($L2715&lt;&gt;"",$L2715-$C2715,TODAY()-$C2715))</f>
        <v/>
      </c>
      <c r="N2715" s="28">
        <f>IF(OR($A2715="",$K2715=""),"",IF($L2715="",IF(TODAY()&gt;$K2715,"Atrasado","En ruta"),IF($L2715&lt;=$K2715,"Sí","No")))</f>
        <v/>
      </c>
      <c r="O2715" s="24">
        <f>IF($A2715="","",COUNTIFS(NOVEDADES!$D$4:$D$1503,$A2715))</f>
        <v/>
      </c>
      <c r="P2715" s="28">
        <f>IF($A2715="","",IF(COUNTIFS(NOVEDADES!$D$4:$D$1503,$A2715,NOVEDADES!$O$4:$O$1503,"SÍ")&gt;0,"No","Sí"))</f>
        <v/>
      </c>
      <c r="Q2715" s="28">
        <f>IF(OR($A2715="",$L2715=""),"",IF(AND($N2715="Sí",$P2715="Sí"),"OTIF","Falló"))</f>
        <v/>
      </c>
    </row>
    <row r="2716" ht="16" customHeight="1">
      <c r="A2716" s="48" t="n"/>
      <c r="B2716" s="48" t="n"/>
      <c r="C2716" s="47" t="n"/>
      <c r="D2716" s="50" t="n"/>
      <c r="E2716" s="50" t="n"/>
      <c r="F2716" s="50" t="n"/>
      <c r="G2716" s="50" t="n"/>
      <c r="H2716" s="48" t="n"/>
      <c r="I2716" s="51" t="n"/>
      <c r="J2716" s="52" t="n"/>
      <c r="K2716" s="47" t="n"/>
      <c r="L2716" s="47" t="n"/>
      <c r="M2716" s="24">
        <f>IF(OR($A2716="",$C2716=""),"",IF($L2716&lt;&gt;"",$L2716-$C2716,TODAY()-$C2716))</f>
        <v/>
      </c>
      <c r="N2716" s="28">
        <f>IF(OR($A2716="",$K2716=""),"",IF($L2716="",IF(TODAY()&gt;$K2716,"Atrasado","En ruta"),IF($L2716&lt;=$K2716,"Sí","No")))</f>
        <v/>
      </c>
      <c r="O2716" s="24">
        <f>IF($A2716="","",COUNTIFS(NOVEDADES!$D$4:$D$1503,$A2716))</f>
        <v/>
      </c>
      <c r="P2716" s="28">
        <f>IF($A2716="","",IF(COUNTIFS(NOVEDADES!$D$4:$D$1503,$A2716,NOVEDADES!$O$4:$O$1503,"SÍ")&gt;0,"No","Sí"))</f>
        <v/>
      </c>
      <c r="Q2716" s="28">
        <f>IF(OR($A2716="",$L2716=""),"",IF(AND($N2716="Sí",$P2716="Sí"),"OTIF","Falló"))</f>
        <v/>
      </c>
    </row>
    <row r="2717" ht="16" customHeight="1">
      <c r="A2717" s="48" t="n"/>
      <c r="B2717" s="48" t="n"/>
      <c r="C2717" s="47" t="n"/>
      <c r="D2717" s="50" t="n"/>
      <c r="E2717" s="50" t="n"/>
      <c r="F2717" s="50" t="n"/>
      <c r="G2717" s="50" t="n"/>
      <c r="H2717" s="48" t="n"/>
      <c r="I2717" s="51" t="n"/>
      <c r="J2717" s="52" t="n"/>
      <c r="K2717" s="47" t="n"/>
      <c r="L2717" s="47" t="n"/>
      <c r="M2717" s="24">
        <f>IF(OR($A2717="",$C2717=""),"",IF($L2717&lt;&gt;"",$L2717-$C2717,TODAY()-$C2717))</f>
        <v/>
      </c>
      <c r="N2717" s="28">
        <f>IF(OR($A2717="",$K2717=""),"",IF($L2717="",IF(TODAY()&gt;$K2717,"Atrasado","En ruta"),IF($L2717&lt;=$K2717,"Sí","No")))</f>
        <v/>
      </c>
      <c r="O2717" s="24">
        <f>IF($A2717="","",COUNTIFS(NOVEDADES!$D$4:$D$1503,$A2717))</f>
        <v/>
      </c>
      <c r="P2717" s="28">
        <f>IF($A2717="","",IF(COUNTIFS(NOVEDADES!$D$4:$D$1503,$A2717,NOVEDADES!$O$4:$O$1503,"SÍ")&gt;0,"No","Sí"))</f>
        <v/>
      </c>
      <c r="Q2717" s="28">
        <f>IF(OR($A2717="",$L2717=""),"",IF(AND($N2717="Sí",$P2717="Sí"),"OTIF","Falló"))</f>
        <v/>
      </c>
    </row>
    <row r="2718" ht="16" customHeight="1">
      <c r="A2718" s="48" t="n"/>
      <c r="B2718" s="48" t="n"/>
      <c r="C2718" s="47" t="n"/>
      <c r="D2718" s="50" t="n"/>
      <c r="E2718" s="50" t="n"/>
      <c r="F2718" s="50" t="n"/>
      <c r="G2718" s="50" t="n"/>
      <c r="H2718" s="48" t="n"/>
      <c r="I2718" s="51" t="n"/>
      <c r="J2718" s="52" t="n"/>
      <c r="K2718" s="47" t="n"/>
      <c r="L2718" s="47" t="n"/>
      <c r="M2718" s="24">
        <f>IF(OR($A2718="",$C2718=""),"",IF($L2718&lt;&gt;"",$L2718-$C2718,TODAY()-$C2718))</f>
        <v/>
      </c>
      <c r="N2718" s="28">
        <f>IF(OR($A2718="",$K2718=""),"",IF($L2718="",IF(TODAY()&gt;$K2718,"Atrasado","En ruta"),IF($L2718&lt;=$K2718,"Sí","No")))</f>
        <v/>
      </c>
      <c r="O2718" s="24">
        <f>IF($A2718="","",COUNTIFS(NOVEDADES!$D$4:$D$1503,$A2718))</f>
        <v/>
      </c>
      <c r="P2718" s="28">
        <f>IF($A2718="","",IF(COUNTIFS(NOVEDADES!$D$4:$D$1503,$A2718,NOVEDADES!$O$4:$O$1503,"SÍ")&gt;0,"No","Sí"))</f>
        <v/>
      </c>
      <c r="Q2718" s="28">
        <f>IF(OR($A2718="",$L2718=""),"",IF(AND($N2718="Sí",$P2718="Sí"),"OTIF","Falló"))</f>
        <v/>
      </c>
    </row>
    <row r="2719" ht="16" customHeight="1">
      <c r="A2719" s="48" t="n"/>
      <c r="B2719" s="48" t="n"/>
      <c r="C2719" s="47" t="n"/>
      <c r="D2719" s="50" t="n"/>
      <c r="E2719" s="50" t="n"/>
      <c r="F2719" s="50" t="n"/>
      <c r="G2719" s="50" t="n"/>
      <c r="H2719" s="48" t="n"/>
      <c r="I2719" s="51" t="n"/>
      <c r="J2719" s="52" t="n"/>
      <c r="K2719" s="47" t="n"/>
      <c r="L2719" s="47" t="n"/>
      <c r="M2719" s="24">
        <f>IF(OR($A2719="",$C2719=""),"",IF($L2719&lt;&gt;"",$L2719-$C2719,TODAY()-$C2719))</f>
        <v/>
      </c>
      <c r="N2719" s="28">
        <f>IF(OR($A2719="",$K2719=""),"",IF($L2719="",IF(TODAY()&gt;$K2719,"Atrasado","En ruta"),IF($L2719&lt;=$K2719,"Sí","No")))</f>
        <v/>
      </c>
      <c r="O2719" s="24">
        <f>IF($A2719="","",COUNTIFS(NOVEDADES!$D$4:$D$1503,$A2719))</f>
        <v/>
      </c>
      <c r="P2719" s="28">
        <f>IF($A2719="","",IF(COUNTIFS(NOVEDADES!$D$4:$D$1503,$A2719,NOVEDADES!$O$4:$O$1503,"SÍ")&gt;0,"No","Sí"))</f>
        <v/>
      </c>
      <c r="Q2719" s="28">
        <f>IF(OR($A2719="",$L2719=""),"",IF(AND($N2719="Sí",$P2719="Sí"),"OTIF","Falló"))</f>
        <v/>
      </c>
    </row>
    <row r="2720" ht="16" customHeight="1">
      <c r="A2720" s="48" t="n"/>
      <c r="B2720" s="48" t="n"/>
      <c r="C2720" s="47" t="n"/>
      <c r="D2720" s="50" t="n"/>
      <c r="E2720" s="50" t="n"/>
      <c r="F2720" s="50" t="n"/>
      <c r="G2720" s="50" t="n"/>
      <c r="H2720" s="48" t="n"/>
      <c r="I2720" s="51" t="n"/>
      <c r="J2720" s="52" t="n"/>
      <c r="K2720" s="47" t="n"/>
      <c r="L2720" s="47" t="n"/>
      <c r="M2720" s="24">
        <f>IF(OR($A2720="",$C2720=""),"",IF($L2720&lt;&gt;"",$L2720-$C2720,TODAY()-$C2720))</f>
        <v/>
      </c>
      <c r="N2720" s="28">
        <f>IF(OR($A2720="",$K2720=""),"",IF($L2720="",IF(TODAY()&gt;$K2720,"Atrasado","En ruta"),IF($L2720&lt;=$K2720,"Sí","No")))</f>
        <v/>
      </c>
      <c r="O2720" s="24">
        <f>IF($A2720="","",COUNTIFS(NOVEDADES!$D$4:$D$1503,$A2720))</f>
        <v/>
      </c>
      <c r="P2720" s="28">
        <f>IF($A2720="","",IF(COUNTIFS(NOVEDADES!$D$4:$D$1503,$A2720,NOVEDADES!$O$4:$O$1503,"SÍ")&gt;0,"No","Sí"))</f>
        <v/>
      </c>
      <c r="Q2720" s="28">
        <f>IF(OR($A2720="",$L2720=""),"",IF(AND($N2720="Sí",$P2720="Sí"),"OTIF","Falló"))</f>
        <v/>
      </c>
    </row>
    <row r="2721" ht="16" customHeight="1">
      <c r="A2721" s="48" t="n"/>
      <c r="B2721" s="48" t="n"/>
      <c r="C2721" s="47" t="n"/>
      <c r="D2721" s="50" t="n"/>
      <c r="E2721" s="50" t="n"/>
      <c r="F2721" s="50" t="n"/>
      <c r="G2721" s="50" t="n"/>
      <c r="H2721" s="48" t="n"/>
      <c r="I2721" s="51" t="n"/>
      <c r="J2721" s="52" t="n"/>
      <c r="K2721" s="47" t="n"/>
      <c r="L2721" s="47" t="n"/>
      <c r="M2721" s="24">
        <f>IF(OR($A2721="",$C2721=""),"",IF($L2721&lt;&gt;"",$L2721-$C2721,TODAY()-$C2721))</f>
        <v/>
      </c>
      <c r="N2721" s="28">
        <f>IF(OR($A2721="",$K2721=""),"",IF($L2721="",IF(TODAY()&gt;$K2721,"Atrasado","En ruta"),IF($L2721&lt;=$K2721,"Sí","No")))</f>
        <v/>
      </c>
      <c r="O2721" s="24">
        <f>IF($A2721="","",COUNTIFS(NOVEDADES!$D$4:$D$1503,$A2721))</f>
        <v/>
      </c>
      <c r="P2721" s="28">
        <f>IF($A2721="","",IF(COUNTIFS(NOVEDADES!$D$4:$D$1503,$A2721,NOVEDADES!$O$4:$O$1503,"SÍ")&gt;0,"No","Sí"))</f>
        <v/>
      </c>
      <c r="Q2721" s="28">
        <f>IF(OR($A2721="",$L2721=""),"",IF(AND($N2721="Sí",$P2721="Sí"),"OTIF","Falló"))</f>
        <v/>
      </c>
    </row>
    <row r="2722" ht="16" customHeight="1">
      <c r="A2722" s="48" t="n"/>
      <c r="B2722" s="48" t="n"/>
      <c r="C2722" s="47" t="n"/>
      <c r="D2722" s="50" t="n"/>
      <c r="E2722" s="50" t="n"/>
      <c r="F2722" s="50" t="n"/>
      <c r="G2722" s="50" t="n"/>
      <c r="H2722" s="48" t="n"/>
      <c r="I2722" s="51" t="n"/>
      <c r="J2722" s="52" t="n"/>
      <c r="K2722" s="47" t="n"/>
      <c r="L2722" s="47" t="n"/>
      <c r="M2722" s="24">
        <f>IF(OR($A2722="",$C2722=""),"",IF($L2722&lt;&gt;"",$L2722-$C2722,TODAY()-$C2722))</f>
        <v/>
      </c>
      <c r="N2722" s="28">
        <f>IF(OR($A2722="",$K2722=""),"",IF($L2722="",IF(TODAY()&gt;$K2722,"Atrasado","En ruta"),IF($L2722&lt;=$K2722,"Sí","No")))</f>
        <v/>
      </c>
      <c r="O2722" s="24">
        <f>IF($A2722="","",COUNTIFS(NOVEDADES!$D$4:$D$1503,$A2722))</f>
        <v/>
      </c>
      <c r="P2722" s="28">
        <f>IF($A2722="","",IF(COUNTIFS(NOVEDADES!$D$4:$D$1503,$A2722,NOVEDADES!$O$4:$O$1503,"SÍ")&gt;0,"No","Sí"))</f>
        <v/>
      </c>
      <c r="Q2722" s="28">
        <f>IF(OR($A2722="",$L2722=""),"",IF(AND($N2722="Sí",$P2722="Sí"),"OTIF","Falló"))</f>
        <v/>
      </c>
    </row>
    <row r="2723" ht="16" customHeight="1">
      <c r="A2723" s="48" t="n"/>
      <c r="B2723" s="48" t="n"/>
      <c r="C2723" s="47" t="n"/>
      <c r="D2723" s="50" t="n"/>
      <c r="E2723" s="50" t="n"/>
      <c r="F2723" s="50" t="n"/>
      <c r="G2723" s="50" t="n"/>
      <c r="H2723" s="48" t="n"/>
      <c r="I2723" s="51" t="n"/>
      <c r="J2723" s="52" t="n"/>
      <c r="K2723" s="47" t="n"/>
      <c r="L2723" s="47" t="n"/>
      <c r="M2723" s="24">
        <f>IF(OR($A2723="",$C2723=""),"",IF($L2723&lt;&gt;"",$L2723-$C2723,TODAY()-$C2723))</f>
        <v/>
      </c>
      <c r="N2723" s="28">
        <f>IF(OR($A2723="",$K2723=""),"",IF($L2723="",IF(TODAY()&gt;$K2723,"Atrasado","En ruta"),IF($L2723&lt;=$K2723,"Sí","No")))</f>
        <v/>
      </c>
      <c r="O2723" s="24">
        <f>IF($A2723="","",COUNTIFS(NOVEDADES!$D$4:$D$1503,$A2723))</f>
        <v/>
      </c>
      <c r="P2723" s="28">
        <f>IF($A2723="","",IF(COUNTIFS(NOVEDADES!$D$4:$D$1503,$A2723,NOVEDADES!$O$4:$O$1503,"SÍ")&gt;0,"No","Sí"))</f>
        <v/>
      </c>
      <c r="Q2723" s="28">
        <f>IF(OR($A2723="",$L2723=""),"",IF(AND($N2723="Sí",$P2723="Sí"),"OTIF","Falló"))</f>
        <v/>
      </c>
    </row>
    <row r="2724" ht="16" customHeight="1">
      <c r="A2724" s="48" t="n"/>
      <c r="B2724" s="48" t="n"/>
      <c r="C2724" s="47" t="n"/>
      <c r="D2724" s="50" t="n"/>
      <c r="E2724" s="50" t="n"/>
      <c r="F2724" s="50" t="n"/>
      <c r="G2724" s="50" t="n"/>
      <c r="H2724" s="48" t="n"/>
      <c r="I2724" s="51" t="n"/>
      <c r="J2724" s="52" t="n"/>
      <c r="K2724" s="47" t="n"/>
      <c r="L2724" s="47" t="n"/>
      <c r="M2724" s="24">
        <f>IF(OR($A2724="",$C2724=""),"",IF($L2724&lt;&gt;"",$L2724-$C2724,TODAY()-$C2724))</f>
        <v/>
      </c>
      <c r="N2724" s="28">
        <f>IF(OR($A2724="",$K2724=""),"",IF($L2724="",IF(TODAY()&gt;$K2724,"Atrasado","En ruta"),IF($L2724&lt;=$K2724,"Sí","No")))</f>
        <v/>
      </c>
      <c r="O2724" s="24">
        <f>IF($A2724="","",COUNTIFS(NOVEDADES!$D$4:$D$1503,$A2724))</f>
        <v/>
      </c>
      <c r="P2724" s="28">
        <f>IF($A2724="","",IF(COUNTIFS(NOVEDADES!$D$4:$D$1503,$A2724,NOVEDADES!$O$4:$O$1503,"SÍ")&gt;0,"No","Sí"))</f>
        <v/>
      </c>
      <c r="Q2724" s="28">
        <f>IF(OR($A2724="",$L2724=""),"",IF(AND($N2724="Sí",$P2724="Sí"),"OTIF","Falló"))</f>
        <v/>
      </c>
    </row>
    <row r="2725" ht="16" customHeight="1">
      <c r="A2725" s="48" t="n"/>
      <c r="B2725" s="48" t="n"/>
      <c r="C2725" s="47" t="n"/>
      <c r="D2725" s="50" t="n"/>
      <c r="E2725" s="50" t="n"/>
      <c r="F2725" s="50" t="n"/>
      <c r="G2725" s="50" t="n"/>
      <c r="H2725" s="48" t="n"/>
      <c r="I2725" s="51" t="n"/>
      <c r="J2725" s="52" t="n"/>
      <c r="K2725" s="47" t="n"/>
      <c r="L2725" s="47" t="n"/>
      <c r="M2725" s="24">
        <f>IF(OR($A2725="",$C2725=""),"",IF($L2725&lt;&gt;"",$L2725-$C2725,TODAY()-$C2725))</f>
        <v/>
      </c>
      <c r="N2725" s="28">
        <f>IF(OR($A2725="",$K2725=""),"",IF($L2725="",IF(TODAY()&gt;$K2725,"Atrasado","En ruta"),IF($L2725&lt;=$K2725,"Sí","No")))</f>
        <v/>
      </c>
      <c r="O2725" s="24">
        <f>IF($A2725="","",COUNTIFS(NOVEDADES!$D$4:$D$1503,$A2725))</f>
        <v/>
      </c>
      <c r="P2725" s="28">
        <f>IF($A2725="","",IF(COUNTIFS(NOVEDADES!$D$4:$D$1503,$A2725,NOVEDADES!$O$4:$O$1503,"SÍ")&gt;0,"No","Sí"))</f>
        <v/>
      </c>
      <c r="Q2725" s="28">
        <f>IF(OR($A2725="",$L2725=""),"",IF(AND($N2725="Sí",$P2725="Sí"),"OTIF","Falló"))</f>
        <v/>
      </c>
    </row>
    <row r="2726" ht="16" customHeight="1">
      <c r="A2726" s="48" t="n"/>
      <c r="B2726" s="48" t="n"/>
      <c r="C2726" s="47" t="n"/>
      <c r="D2726" s="50" t="n"/>
      <c r="E2726" s="50" t="n"/>
      <c r="F2726" s="50" t="n"/>
      <c r="G2726" s="50" t="n"/>
      <c r="H2726" s="48" t="n"/>
      <c r="I2726" s="51" t="n"/>
      <c r="J2726" s="52" t="n"/>
      <c r="K2726" s="47" t="n"/>
      <c r="L2726" s="47" t="n"/>
      <c r="M2726" s="24">
        <f>IF(OR($A2726="",$C2726=""),"",IF($L2726&lt;&gt;"",$L2726-$C2726,TODAY()-$C2726))</f>
        <v/>
      </c>
      <c r="N2726" s="28">
        <f>IF(OR($A2726="",$K2726=""),"",IF($L2726="",IF(TODAY()&gt;$K2726,"Atrasado","En ruta"),IF($L2726&lt;=$K2726,"Sí","No")))</f>
        <v/>
      </c>
      <c r="O2726" s="24">
        <f>IF($A2726="","",COUNTIFS(NOVEDADES!$D$4:$D$1503,$A2726))</f>
        <v/>
      </c>
      <c r="P2726" s="28">
        <f>IF($A2726="","",IF(COUNTIFS(NOVEDADES!$D$4:$D$1503,$A2726,NOVEDADES!$O$4:$O$1503,"SÍ")&gt;0,"No","Sí"))</f>
        <v/>
      </c>
      <c r="Q2726" s="28">
        <f>IF(OR($A2726="",$L2726=""),"",IF(AND($N2726="Sí",$P2726="Sí"),"OTIF","Falló"))</f>
        <v/>
      </c>
    </row>
    <row r="2727" ht="16" customHeight="1">
      <c r="A2727" s="48" t="n"/>
      <c r="B2727" s="48" t="n"/>
      <c r="C2727" s="47" t="n"/>
      <c r="D2727" s="50" t="n"/>
      <c r="E2727" s="50" t="n"/>
      <c r="F2727" s="50" t="n"/>
      <c r="G2727" s="50" t="n"/>
      <c r="H2727" s="48" t="n"/>
      <c r="I2727" s="51" t="n"/>
      <c r="J2727" s="52" t="n"/>
      <c r="K2727" s="47" t="n"/>
      <c r="L2727" s="47" t="n"/>
      <c r="M2727" s="24">
        <f>IF(OR($A2727="",$C2727=""),"",IF($L2727&lt;&gt;"",$L2727-$C2727,TODAY()-$C2727))</f>
        <v/>
      </c>
      <c r="N2727" s="28">
        <f>IF(OR($A2727="",$K2727=""),"",IF($L2727="",IF(TODAY()&gt;$K2727,"Atrasado","En ruta"),IF($L2727&lt;=$K2727,"Sí","No")))</f>
        <v/>
      </c>
      <c r="O2727" s="24">
        <f>IF($A2727="","",COUNTIFS(NOVEDADES!$D$4:$D$1503,$A2727))</f>
        <v/>
      </c>
      <c r="P2727" s="28">
        <f>IF($A2727="","",IF(COUNTIFS(NOVEDADES!$D$4:$D$1503,$A2727,NOVEDADES!$O$4:$O$1503,"SÍ")&gt;0,"No","Sí"))</f>
        <v/>
      </c>
      <c r="Q2727" s="28">
        <f>IF(OR($A2727="",$L2727=""),"",IF(AND($N2727="Sí",$P2727="Sí"),"OTIF","Falló"))</f>
        <v/>
      </c>
    </row>
    <row r="2728" ht="16" customHeight="1">
      <c r="A2728" s="48" t="n"/>
      <c r="B2728" s="48" t="n"/>
      <c r="C2728" s="47" t="n"/>
      <c r="D2728" s="50" t="n"/>
      <c r="E2728" s="50" t="n"/>
      <c r="F2728" s="50" t="n"/>
      <c r="G2728" s="50" t="n"/>
      <c r="H2728" s="48" t="n"/>
      <c r="I2728" s="51" t="n"/>
      <c r="J2728" s="52" t="n"/>
      <c r="K2728" s="47" t="n"/>
      <c r="L2728" s="47" t="n"/>
      <c r="M2728" s="24">
        <f>IF(OR($A2728="",$C2728=""),"",IF($L2728&lt;&gt;"",$L2728-$C2728,TODAY()-$C2728))</f>
        <v/>
      </c>
      <c r="N2728" s="28">
        <f>IF(OR($A2728="",$K2728=""),"",IF($L2728="",IF(TODAY()&gt;$K2728,"Atrasado","En ruta"),IF($L2728&lt;=$K2728,"Sí","No")))</f>
        <v/>
      </c>
      <c r="O2728" s="24">
        <f>IF($A2728="","",COUNTIFS(NOVEDADES!$D$4:$D$1503,$A2728))</f>
        <v/>
      </c>
      <c r="P2728" s="28">
        <f>IF($A2728="","",IF(COUNTIFS(NOVEDADES!$D$4:$D$1503,$A2728,NOVEDADES!$O$4:$O$1503,"SÍ")&gt;0,"No","Sí"))</f>
        <v/>
      </c>
      <c r="Q2728" s="28">
        <f>IF(OR($A2728="",$L2728=""),"",IF(AND($N2728="Sí",$P2728="Sí"),"OTIF","Falló"))</f>
        <v/>
      </c>
    </row>
    <row r="2729" ht="16" customHeight="1">
      <c r="A2729" s="48" t="n"/>
      <c r="B2729" s="48" t="n"/>
      <c r="C2729" s="47" t="n"/>
      <c r="D2729" s="50" t="n"/>
      <c r="E2729" s="50" t="n"/>
      <c r="F2729" s="50" t="n"/>
      <c r="G2729" s="50" t="n"/>
      <c r="H2729" s="48" t="n"/>
      <c r="I2729" s="51" t="n"/>
      <c r="J2729" s="52" t="n"/>
      <c r="K2729" s="47" t="n"/>
      <c r="L2729" s="47" t="n"/>
      <c r="M2729" s="24">
        <f>IF(OR($A2729="",$C2729=""),"",IF($L2729&lt;&gt;"",$L2729-$C2729,TODAY()-$C2729))</f>
        <v/>
      </c>
      <c r="N2729" s="28">
        <f>IF(OR($A2729="",$K2729=""),"",IF($L2729="",IF(TODAY()&gt;$K2729,"Atrasado","En ruta"),IF($L2729&lt;=$K2729,"Sí","No")))</f>
        <v/>
      </c>
      <c r="O2729" s="24">
        <f>IF($A2729="","",COUNTIFS(NOVEDADES!$D$4:$D$1503,$A2729))</f>
        <v/>
      </c>
      <c r="P2729" s="28">
        <f>IF($A2729="","",IF(COUNTIFS(NOVEDADES!$D$4:$D$1503,$A2729,NOVEDADES!$O$4:$O$1503,"SÍ")&gt;0,"No","Sí"))</f>
        <v/>
      </c>
      <c r="Q2729" s="28">
        <f>IF(OR($A2729="",$L2729=""),"",IF(AND($N2729="Sí",$P2729="Sí"),"OTIF","Falló"))</f>
        <v/>
      </c>
    </row>
    <row r="2730" ht="16" customHeight="1">
      <c r="A2730" s="48" t="n"/>
      <c r="B2730" s="48" t="n"/>
      <c r="C2730" s="47" t="n"/>
      <c r="D2730" s="50" t="n"/>
      <c r="E2730" s="50" t="n"/>
      <c r="F2730" s="50" t="n"/>
      <c r="G2730" s="50" t="n"/>
      <c r="H2730" s="48" t="n"/>
      <c r="I2730" s="51" t="n"/>
      <c r="J2730" s="52" t="n"/>
      <c r="K2730" s="47" t="n"/>
      <c r="L2730" s="47" t="n"/>
      <c r="M2730" s="24">
        <f>IF(OR($A2730="",$C2730=""),"",IF($L2730&lt;&gt;"",$L2730-$C2730,TODAY()-$C2730))</f>
        <v/>
      </c>
      <c r="N2730" s="28">
        <f>IF(OR($A2730="",$K2730=""),"",IF($L2730="",IF(TODAY()&gt;$K2730,"Atrasado","En ruta"),IF($L2730&lt;=$K2730,"Sí","No")))</f>
        <v/>
      </c>
      <c r="O2730" s="24">
        <f>IF($A2730="","",COUNTIFS(NOVEDADES!$D$4:$D$1503,$A2730))</f>
        <v/>
      </c>
      <c r="P2730" s="28">
        <f>IF($A2730="","",IF(COUNTIFS(NOVEDADES!$D$4:$D$1503,$A2730,NOVEDADES!$O$4:$O$1503,"SÍ")&gt;0,"No","Sí"))</f>
        <v/>
      </c>
      <c r="Q2730" s="28">
        <f>IF(OR($A2730="",$L2730=""),"",IF(AND($N2730="Sí",$P2730="Sí"),"OTIF","Falló"))</f>
        <v/>
      </c>
    </row>
    <row r="2731" ht="16" customHeight="1">
      <c r="A2731" s="48" t="n"/>
      <c r="B2731" s="48" t="n"/>
      <c r="C2731" s="47" t="n"/>
      <c r="D2731" s="50" t="n"/>
      <c r="E2731" s="50" t="n"/>
      <c r="F2731" s="50" t="n"/>
      <c r="G2731" s="50" t="n"/>
      <c r="H2731" s="48" t="n"/>
      <c r="I2731" s="51" t="n"/>
      <c r="J2731" s="52" t="n"/>
      <c r="K2731" s="47" t="n"/>
      <c r="L2731" s="47" t="n"/>
      <c r="M2731" s="24">
        <f>IF(OR($A2731="",$C2731=""),"",IF($L2731&lt;&gt;"",$L2731-$C2731,TODAY()-$C2731))</f>
        <v/>
      </c>
      <c r="N2731" s="28">
        <f>IF(OR($A2731="",$K2731=""),"",IF($L2731="",IF(TODAY()&gt;$K2731,"Atrasado","En ruta"),IF($L2731&lt;=$K2731,"Sí","No")))</f>
        <v/>
      </c>
      <c r="O2731" s="24">
        <f>IF($A2731="","",COUNTIFS(NOVEDADES!$D$4:$D$1503,$A2731))</f>
        <v/>
      </c>
      <c r="P2731" s="28">
        <f>IF($A2731="","",IF(COUNTIFS(NOVEDADES!$D$4:$D$1503,$A2731,NOVEDADES!$O$4:$O$1503,"SÍ")&gt;0,"No","Sí"))</f>
        <v/>
      </c>
      <c r="Q2731" s="28">
        <f>IF(OR($A2731="",$L2731=""),"",IF(AND($N2731="Sí",$P2731="Sí"),"OTIF","Falló"))</f>
        <v/>
      </c>
    </row>
    <row r="2732" ht="16" customHeight="1">
      <c r="A2732" s="48" t="n"/>
      <c r="B2732" s="48" t="n"/>
      <c r="C2732" s="47" t="n"/>
      <c r="D2732" s="50" t="n"/>
      <c r="E2732" s="50" t="n"/>
      <c r="F2732" s="50" t="n"/>
      <c r="G2732" s="50" t="n"/>
      <c r="H2732" s="48" t="n"/>
      <c r="I2732" s="51" t="n"/>
      <c r="J2732" s="52" t="n"/>
      <c r="K2732" s="47" t="n"/>
      <c r="L2732" s="47" t="n"/>
      <c r="M2732" s="24">
        <f>IF(OR($A2732="",$C2732=""),"",IF($L2732&lt;&gt;"",$L2732-$C2732,TODAY()-$C2732))</f>
        <v/>
      </c>
      <c r="N2732" s="28">
        <f>IF(OR($A2732="",$K2732=""),"",IF($L2732="",IF(TODAY()&gt;$K2732,"Atrasado","En ruta"),IF($L2732&lt;=$K2732,"Sí","No")))</f>
        <v/>
      </c>
      <c r="O2732" s="24">
        <f>IF($A2732="","",COUNTIFS(NOVEDADES!$D$4:$D$1503,$A2732))</f>
        <v/>
      </c>
      <c r="P2732" s="28">
        <f>IF($A2732="","",IF(COUNTIFS(NOVEDADES!$D$4:$D$1503,$A2732,NOVEDADES!$O$4:$O$1503,"SÍ")&gt;0,"No","Sí"))</f>
        <v/>
      </c>
      <c r="Q2732" s="28">
        <f>IF(OR($A2732="",$L2732=""),"",IF(AND($N2732="Sí",$P2732="Sí"),"OTIF","Falló"))</f>
        <v/>
      </c>
    </row>
    <row r="2733" ht="16" customHeight="1">
      <c r="A2733" s="48" t="n"/>
      <c r="B2733" s="48" t="n"/>
      <c r="C2733" s="47" t="n"/>
      <c r="D2733" s="50" t="n"/>
      <c r="E2733" s="50" t="n"/>
      <c r="F2733" s="50" t="n"/>
      <c r="G2733" s="50" t="n"/>
      <c r="H2733" s="48" t="n"/>
      <c r="I2733" s="51" t="n"/>
      <c r="J2733" s="52" t="n"/>
      <c r="K2733" s="47" t="n"/>
      <c r="L2733" s="47" t="n"/>
      <c r="M2733" s="24">
        <f>IF(OR($A2733="",$C2733=""),"",IF($L2733&lt;&gt;"",$L2733-$C2733,TODAY()-$C2733))</f>
        <v/>
      </c>
      <c r="N2733" s="28">
        <f>IF(OR($A2733="",$K2733=""),"",IF($L2733="",IF(TODAY()&gt;$K2733,"Atrasado","En ruta"),IF($L2733&lt;=$K2733,"Sí","No")))</f>
        <v/>
      </c>
      <c r="O2733" s="24">
        <f>IF($A2733="","",COUNTIFS(NOVEDADES!$D$4:$D$1503,$A2733))</f>
        <v/>
      </c>
      <c r="P2733" s="28">
        <f>IF($A2733="","",IF(COUNTIFS(NOVEDADES!$D$4:$D$1503,$A2733,NOVEDADES!$O$4:$O$1503,"SÍ")&gt;0,"No","Sí"))</f>
        <v/>
      </c>
      <c r="Q2733" s="28">
        <f>IF(OR($A2733="",$L2733=""),"",IF(AND($N2733="Sí",$P2733="Sí"),"OTIF","Falló"))</f>
        <v/>
      </c>
    </row>
    <row r="2734" ht="16" customHeight="1">
      <c r="A2734" s="48" t="n"/>
      <c r="B2734" s="48" t="n"/>
      <c r="C2734" s="47" t="n"/>
      <c r="D2734" s="50" t="n"/>
      <c r="E2734" s="50" t="n"/>
      <c r="F2734" s="50" t="n"/>
      <c r="G2734" s="50" t="n"/>
      <c r="H2734" s="48" t="n"/>
      <c r="I2734" s="51" t="n"/>
      <c r="J2734" s="52" t="n"/>
      <c r="K2734" s="47" t="n"/>
      <c r="L2734" s="47" t="n"/>
      <c r="M2734" s="24">
        <f>IF(OR($A2734="",$C2734=""),"",IF($L2734&lt;&gt;"",$L2734-$C2734,TODAY()-$C2734))</f>
        <v/>
      </c>
      <c r="N2734" s="28">
        <f>IF(OR($A2734="",$K2734=""),"",IF($L2734="",IF(TODAY()&gt;$K2734,"Atrasado","En ruta"),IF($L2734&lt;=$K2734,"Sí","No")))</f>
        <v/>
      </c>
      <c r="O2734" s="24">
        <f>IF($A2734="","",COUNTIFS(NOVEDADES!$D$4:$D$1503,$A2734))</f>
        <v/>
      </c>
      <c r="P2734" s="28">
        <f>IF($A2734="","",IF(COUNTIFS(NOVEDADES!$D$4:$D$1503,$A2734,NOVEDADES!$O$4:$O$1503,"SÍ")&gt;0,"No","Sí"))</f>
        <v/>
      </c>
      <c r="Q2734" s="28">
        <f>IF(OR($A2734="",$L2734=""),"",IF(AND($N2734="Sí",$P2734="Sí"),"OTIF","Falló"))</f>
        <v/>
      </c>
    </row>
    <row r="2735" ht="16" customHeight="1">
      <c r="A2735" s="48" t="n"/>
      <c r="B2735" s="48" t="n"/>
      <c r="C2735" s="47" t="n"/>
      <c r="D2735" s="50" t="n"/>
      <c r="E2735" s="50" t="n"/>
      <c r="F2735" s="50" t="n"/>
      <c r="G2735" s="50" t="n"/>
      <c r="H2735" s="48" t="n"/>
      <c r="I2735" s="51" t="n"/>
      <c r="J2735" s="52" t="n"/>
      <c r="K2735" s="47" t="n"/>
      <c r="L2735" s="47" t="n"/>
      <c r="M2735" s="24">
        <f>IF(OR($A2735="",$C2735=""),"",IF($L2735&lt;&gt;"",$L2735-$C2735,TODAY()-$C2735))</f>
        <v/>
      </c>
      <c r="N2735" s="28">
        <f>IF(OR($A2735="",$K2735=""),"",IF($L2735="",IF(TODAY()&gt;$K2735,"Atrasado","En ruta"),IF($L2735&lt;=$K2735,"Sí","No")))</f>
        <v/>
      </c>
      <c r="O2735" s="24">
        <f>IF($A2735="","",COUNTIFS(NOVEDADES!$D$4:$D$1503,$A2735))</f>
        <v/>
      </c>
      <c r="P2735" s="28">
        <f>IF($A2735="","",IF(COUNTIFS(NOVEDADES!$D$4:$D$1503,$A2735,NOVEDADES!$O$4:$O$1503,"SÍ")&gt;0,"No","Sí"))</f>
        <v/>
      </c>
      <c r="Q2735" s="28">
        <f>IF(OR($A2735="",$L2735=""),"",IF(AND($N2735="Sí",$P2735="Sí"),"OTIF","Falló"))</f>
        <v/>
      </c>
    </row>
    <row r="2736" ht="16" customHeight="1">
      <c r="A2736" s="48" t="n"/>
      <c r="B2736" s="48" t="n"/>
      <c r="C2736" s="47" t="n"/>
      <c r="D2736" s="50" t="n"/>
      <c r="E2736" s="50" t="n"/>
      <c r="F2736" s="50" t="n"/>
      <c r="G2736" s="50" t="n"/>
      <c r="H2736" s="48" t="n"/>
      <c r="I2736" s="51" t="n"/>
      <c r="J2736" s="52" t="n"/>
      <c r="K2736" s="47" t="n"/>
      <c r="L2736" s="47" t="n"/>
      <c r="M2736" s="24">
        <f>IF(OR($A2736="",$C2736=""),"",IF($L2736&lt;&gt;"",$L2736-$C2736,TODAY()-$C2736))</f>
        <v/>
      </c>
      <c r="N2736" s="28">
        <f>IF(OR($A2736="",$K2736=""),"",IF($L2736="",IF(TODAY()&gt;$K2736,"Atrasado","En ruta"),IF($L2736&lt;=$K2736,"Sí","No")))</f>
        <v/>
      </c>
      <c r="O2736" s="24">
        <f>IF($A2736="","",COUNTIFS(NOVEDADES!$D$4:$D$1503,$A2736))</f>
        <v/>
      </c>
      <c r="P2736" s="28">
        <f>IF($A2736="","",IF(COUNTIFS(NOVEDADES!$D$4:$D$1503,$A2736,NOVEDADES!$O$4:$O$1503,"SÍ")&gt;0,"No","Sí"))</f>
        <v/>
      </c>
      <c r="Q2736" s="28">
        <f>IF(OR($A2736="",$L2736=""),"",IF(AND($N2736="Sí",$P2736="Sí"),"OTIF","Falló"))</f>
        <v/>
      </c>
    </row>
    <row r="2737" ht="16" customHeight="1">
      <c r="A2737" s="48" t="n"/>
      <c r="B2737" s="48" t="n"/>
      <c r="C2737" s="47" t="n"/>
      <c r="D2737" s="50" t="n"/>
      <c r="E2737" s="50" t="n"/>
      <c r="F2737" s="50" t="n"/>
      <c r="G2737" s="50" t="n"/>
      <c r="H2737" s="48" t="n"/>
      <c r="I2737" s="51" t="n"/>
      <c r="J2737" s="52" t="n"/>
      <c r="K2737" s="47" t="n"/>
      <c r="L2737" s="47" t="n"/>
      <c r="M2737" s="24">
        <f>IF(OR($A2737="",$C2737=""),"",IF($L2737&lt;&gt;"",$L2737-$C2737,TODAY()-$C2737))</f>
        <v/>
      </c>
      <c r="N2737" s="28">
        <f>IF(OR($A2737="",$K2737=""),"",IF($L2737="",IF(TODAY()&gt;$K2737,"Atrasado","En ruta"),IF($L2737&lt;=$K2737,"Sí","No")))</f>
        <v/>
      </c>
      <c r="O2737" s="24">
        <f>IF($A2737="","",COUNTIFS(NOVEDADES!$D$4:$D$1503,$A2737))</f>
        <v/>
      </c>
      <c r="P2737" s="28">
        <f>IF($A2737="","",IF(COUNTIFS(NOVEDADES!$D$4:$D$1503,$A2737,NOVEDADES!$O$4:$O$1503,"SÍ")&gt;0,"No","Sí"))</f>
        <v/>
      </c>
      <c r="Q2737" s="28">
        <f>IF(OR($A2737="",$L2737=""),"",IF(AND($N2737="Sí",$P2737="Sí"),"OTIF","Falló"))</f>
        <v/>
      </c>
    </row>
    <row r="2738" ht="16" customHeight="1">
      <c r="A2738" s="48" t="n"/>
      <c r="B2738" s="48" t="n"/>
      <c r="C2738" s="47" t="n"/>
      <c r="D2738" s="50" t="n"/>
      <c r="E2738" s="50" t="n"/>
      <c r="F2738" s="50" t="n"/>
      <c r="G2738" s="50" t="n"/>
      <c r="H2738" s="48" t="n"/>
      <c r="I2738" s="51" t="n"/>
      <c r="J2738" s="52" t="n"/>
      <c r="K2738" s="47" t="n"/>
      <c r="L2738" s="47" t="n"/>
      <c r="M2738" s="24">
        <f>IF(OR($A2738="",$C2738=""),"",IF($L2738&lt;&gt;"",$L2738-$C2738,TODAY()-$C2738))</f>
        <v/>
      </c>
      <c r="N2738" s="28">
        <f>IF(OR($A2738="",$K2738=""),"",IF($L2738="",IF(TODAY()&gt;$K2738,"Atrasado","En ruta"),IF($L2738&lt;=$K2738,"Sí","No")))</f>
        <v/>
      </c>
      <c r="O2738" s="24">
        <f>IF($A2738="","",COUNTIFS(NOVEDADES!$D$4:$D$1503,$A2738))</f>
        <v/>
      </c>
      <c r="P2738" s="28">
        <f>IF($A2738="","",IF(COUNTIFS(NOVEDADES!$D$4:$D$1503,$A2738,NOVEDADES!$O$4:$O$1503,"SÍ")&gt;0,"No","Sí"))</f>
        <v/>
      </c>
      <c r="Q2738" s="28">
        <f>IF(OR($A2738="",$L2738=""),"",IF(AND($N2738="Sí",$P2738="Sí"),"OTIF","Falló"))</f>
        <v/>
      </c>
    </row>
    <row r="2739" ht="16" customHeight="1">
      <c r="A2739" s="48" t="n"/>
      <c r="B2739" s="48" t="n"/>
      <c r="C2739" s="47" t="n"/>
      <c r="D2739" s="50" t="n"/>
      <c r="E2739" s="50" t="n"/>
      <c r="F2739" s="50" t="n"/>
      <c r="G2739" s="50" t="n"/>
      <c r="H2739" s="48" t="n"/>
      <c r="I2739" s="51" t="n"/>
      <c r="J2739" s="52" t="n"/>
      <c r="K2739" s="47" t="n"/>
      <c r="L2739" s="47" t="n"/>
      <c r="M2739" s="24">
        <f>IF(OR($A2739="",$C2739=""),"",IF($L2739&lt;&gt;"",$L2739-$C2739,TODAY()-$C2739))</f>
        <v/>
      </c>
      <c r="N2739" s="28">
        <f>IF(OR($A2739="",$K2739=""),"",IF($L2739="",IF(TODAY()&gt;$K2739,"Atrasado","En ruta"),IF($L2739&lt;=$K2739,"Sí","No")))</f>
        <v/>
      </c>
      <c r="O2739" s="24">
        <f>IF($A2739="","",COUNTIFS(NOVEDADES!$D$4:$D$1503,$A2739))</f>
        <v/>
      </c>
      <c r="P2739" s="28">
        <f>IF($A2739="","",IF(COUNTIFS(NOVEDADES!$D$4:$D$1503,$A2739,NOVEDADES!$O$4:$O$1503,"SÍ")&gt;0,"No","Sí"))</f>
        <v/>
      </c>
      <c r="Q2739" s="28">
        <f>IF(OR($A2739="",$L2739=""),"",IF(AND($N2739="Sí",$P2739="Sí"),"OTIF","Falló"))</f>
        <v/>
      </c>
    </row>
    <row r="2740" ht="16" customHeight="1">
      <c r="A2740" s="48" t="n"/>
      <c r="B2740" s="48" t="n"/>
      <c r="C2740" s="47" t="n"/>
      <c r="D2740" s="50" t="n"/>
      <c r="E2740" s="50" t="n"/>
      <c r="F2740" s="50" t="n"/>
      <c r="G2740" s="50" t="n"/>
      <c r="H2740" s="48" t="n"/>
      <c r="I2740" s="51" t="n"/>
      <c r="J2740" s="52" t="n"/>
      <c r="K2740" s="47" t="n"/>
      <c r="L2740" s="47" t="n"/>
      <c r="M2740" s="24">
        <f>IF(OR($A2740="",$C2740=""),"",IF($L2740&lt;&gt;"",$L2740-$C2740,TODAY()-$C2740))</f>
        <v/>
      </c>
      <c r="N2740" s="28">
        <f>IF(OR($A2740="",$K2740=""),"",IF($L2740="",IF(TODAY()&gt;$K2740,"Atrasado","En ruta"),IF($L2740&lt;=$K2740,"Sí","No")))</f>
        <v/>
      </c>
      <c r="O2740" s="24">
        <f>IF($A2740="","",COUNTIFS(NOVEDADES!$D$4:$D$1503,$A2740))</f>
        <v/>
      </c>
      <c r="P2740" s="28">
        <f>IF($A2740="","",IF(COUNTIFS(NOVEDADES!$D$4:$D$1503,$A2740,NOVEDADES!$O$4:$O$1503,"SÍ")&gt;0,"No","Sí"))</f>
        <v/>
      </c>
      <c r="Q2740" s="28">
        <f>IF(OR($A2740="",$L2740=""),"",IF(AND($N2740="Sí",$P2740="Sí"),"OTIF","Falló"))</f>
        <v/>
      </c>
    </row>
    <row r="2741" ht="16" customHeight="1">
      <c r="A2741" s="48" t="n"/>
      <c r="B2741" s="48" t="n"/>
      <c r="C2741" s="47" t="n"/>
      <c r="D2741" s="50" t="n"/>
      <c r="E2741" s="50" t="n"/>
      <c r="F2741" s="50" t="n"/>
      <c r="G2741" s="50" t="n"/>
      <c r="H2741" s="48" t="n"/>
      <c r="I2741" s="51" t="n"/>
      <c r="J2741" s="52" t="n"/>
      <c r="K2741" s="47" t="n"/>
      <c r="L2741" s="47" t="n"/>
      <c r="M2741" s="24">
        <f>IF(OR($A2741="",$C2741=""),"",IF($L2741&lt;&gt;"",$L2741-$C2741,TODAY()-$C2741))</f>
        <v/>
      </c>
      <c r="N2741" s="28">
        <f>IF(OR($A2741="",$K2741=""),"",IF($L2741="",IF(TODAY()&gt;$K2741,"Atrasado","En ruta"),IF($L2741&lt;=$K2741,"Sí","No")))</f>
        <v/>
      </c>
      <c r="O2741" s="24">
        <f>IF($A2741="","",COUNTIFS(NOVEDADES!$D$4:$D$1503,$A2741))</f>
        <v/>
      </c>
      <c r="P2741" s="28">
        <f>IF($A2741="","",IF(COUNTIFS(NOVEDADES!$D$4:$D$1503,$A2741,NOVEDADES!$O$4:$O$1503,"SÍ")&gt;0,"No","Sí"))</f>
        <v/>
      </c>
      <c r="Q2741" s="28">
        <f>IF(OR($A2741="",$L2741=""),"",IF(AND($N2741="Sí",$P2741="Sí"),"OTIF","Falló"))</f>
        <v/>
      </c>
    </row>
    <row r="2742" ht="16" customHeight="1">
      <c r="A2742" s="48" t="n"/>
      <c r="B2742" s="48" t="n"/>
      <c r="C2742" s="47" t="n"/>
      <c r="D2742" s="50" t="n"/>
      <c r="E2742" s="50" t="n"/>
      <c r="F2742" s="50" t="n"/>
      <c r="G2742" s="50" t="n"/>
      <c r="H2742" s="48" t="n"/>
      <c r="I2742" s="51" t="n"/>
      <c r="J2742" s="52" t="n"/>
      <c r="K2742" s="47" t="n"/>
      <c r="L2742" s="47" t="n"/>
      <c r="M2742" s="24">
        <f>IF(OR($A2742="",$C2742=""),"",IF($L2742&lt;&gt;"",$L2742-$C2742,TODAY()-$C2742))</f>
        <v/>
      </c>
      <c r="N2742" s="28">
        <f>IF(OR($A2742="",$K2742=""),"",IF($L2742="",IF(TODAY()&gt;$K2742,"Atrasado","En ruta"),IF($L2742&lt;=$K2742,"Sí","No")))</f>
        <v/>
      </c>
      <c r="O2742" s="24">
        <f>IF($A2742="","",COUNTIFS(NOVEDADES!$D$4:$D$1503,$A2742))</f>
        <v/>
      </c>
      <c r="P2742" s="28">
        <f>IF($A2742="","",IF(COUNTIFS(NOVEDADES!$D$4:$D$1503,$A2742,NOVEDADES!$O$4:$O$1503,"SÍ")&gt;0,"No","Sí"))</f>
        <v/>
      </c>
      <c r="Q2742" s="28">
        <f>IF(OR($A2742="",$L2742=""),"",IF(AND($N2742="Sí",$P2742="Sí"),"OTIF","Falló"))</f>
        <v/>
      </c>
    </row>
    <row r="2743" ht="16" customHeight="1">
      <c r="A2743" s="48" t="n"/>
      <c r="B2743" s="48" t="n"/>
      <c r="C2743" s="47" t="n"/>
      <c r="D2743" s="50" t="n"/>
      <c r="E2743" s="50" t="n"/>
      <c r="F2743" s="50" t="n"/>
      <c r="G2743" s="50" t="n"/>
      <c r="H2743" s="48" t="n"/>
      <c r="I2743" s="51" t="n"/>
      <c r="J2743" s="52" t="n"/>
      <c r="K2743" s="47" t="n"/>
      <c r="L2743" s="47" t="n"/>
      <c r="M2743" s="24">
        <f>IF(OR($A2743="",$C2743=""),"",IF($L2743&lt;&gt;"",$L2743-$C2743,TODAY()-$C2743))</f>
        <v/>
      </c>
      <c r="N2743" s="28">
        <f>IF(OR($A2743="",$K2743=""),"",IF($L2743="",IF(TODAY()&gt;$K2743,"Atrasado","En ruta"),IF($L2743&lt;=$K2743,"Sí","No")))</f>
        <v/>
      </c>
      <c r="O2743" s="24">
        <f>IF($A2743="","",COUNTIFS(NOVEDADES!$D$4:$D$1503,$A2743))</f>
        <v/>
      </c>
      <c r="P2743" s="28">
        <f>IF($A2743="","",IF(COUNTIFS(NOVEDADES!$D$4:$D$1503,$A2743,NOVEDADES!$O$4:$O$1503,"SÍ")&gt;0,"No","Sí"))</f>
        <v/>
      </c>
      <c r="Q2743" s="28">
        <f>IF(OR($A2743="",$L2743=""),"",IF(AND($N2743="Sí",$P2743="Sí"),"OTIF","Falló"))</f>
        <v/>
      </c>
    </row>
    <row r="2744" ht="16" customHeight="1">
      <c r="A2744" s="48" t="n"/>
      <c r="B2744" s="48" t="n"/>
      <c r="C2744" s="47" t="n"/>
      <c r="D2744" s="50" t="n"/>
      <c r="E2744" s="50" t="n"/>
      <c r="F2744" s="50" t="n"/>
      <c r="G2744" s="50" t="n"/>
      <c r="H2744" s="48" t="n"/>
      <c r="I2744" s="51" t="n"/>
      <c r="J2744" s="52" t="n"/>
      <c r="K2744" s="47" t="n"/>
      <c r="L2744" s="47" t="n"/>
      <c r="M2744" s="24">
        <f>IF(OR($A2744="",$C2744=""),"",IF($L2744&lt;&gt;"",$L2744-$C2744,TODAY()-$C2744))</f>
        <v/>
      </c>
      <c r="N2744" s="28">
        <f>IF(OR($A2744="",$K2744=""),"",IF($L2744="",IF(TODAY()&gt;$K2744,"Atrasado","En ruta"),IF($L2744&lt;=$K2744,"Sí","No")))</f>
        <v/>
      </c>
      <c r="O2744" s="24">
        <f>IF($A2744="","",COUNTIFS(NOVEDADES!$D$4:$D$1503,$A2744))</f>
        <v/>
      </c>
      <c r="P2744" s="28">
        <f>IF($A2744="","",IF(COUNTIFS(NOVEDADES!$D$4:$D$1503,$A2744,NOVEDADES!$O$4:$O$1503,"SÍ")&gt;0,"No","Sí"))</f>
        <v/>
      </c>
      <c r="Q2744" s="28">
        <f>IF(OR($A2744="",$L2744=""),"",IF(AND($N2744="Sí",$P2744="Sí"),"OTIF","Falló"))</f>
        <v/>
      </c>
    </row>
    <row r="2745" ht="16" customHeight="1">
      <c r="A2745" s="48" t="n"/>
      <c r="B2745" s="48" t="n"/>
      <c r="C2745" s="47" t="n"/>
      <c r="D2745" s="50" t="n"/>
      <c r="E2745" s="50" t="n"/>
      <c r="F2745" s="50" t="n"/>
      <c r="G2745" s="50" t="n"/>
      <c r="H2745" s="48" t="n"/>
      <c r="I2745" s="51" t="n"/>
      <c r="J2745" s="52" t="n"/>
      <c r="K2745" s="47" t="n"/>
      <c r="L2745" s="47" t="n"/>
      <c r="M2745" s="24">
        <f>IF(OR($A2745="",$C2745=""),"",IF($L2745&lt;&gt;"",$L2745-$C2745,TODAY()-$C2745))</f>
        <v/>
      </c>
      <c r="N2745" s="28">
        <f>IF(OR($A2745="",$K2745=""),"",IF($L2745="",IF(TODAY()&gt;$K2745,"Atrasado","En ruta"),IF($L2745&lt;=$K2745,"Sí","No")))</f>
        <v/>
      </c>
      <c r="O2745" s="24">
        <f>IF($A2745="","",COUNTIFS(NOVEDADES!$D$4:$D$1503,$A2745))</f>
        <v/>
      </c>
      <c r="P2745" s="28">
        <f>IF($A2745="","",IF(COUNTIFS(NOVEDADES!$D$4:$D$1503,$A2745,NOVEDADES!$O$4:$O$1503,"SÍ")&gt;0,"No","Sí"))</f>
        <v/>
      </c>
      <c r="Q2745" s="28">
        <f>IF(OR($A2745="",$L2745=""),"",IF(AND($N2745="Sí",$P2745="Sí"),"OTIF","Falló"))</f>
        <v/>
      </c>
    </row>
    <row r="2746" ht="16" customHeight="1">
      <c r="A2746" s="48" t="n"/>
      <c r="B2746" s="48" t="n"/>
      <c r="C2746" s="47" t="n"/>
      <c r="D2746" s="50" t="n"/>
      <c r="E2746" s="50" t="n"/>
      <c r="F2746" s="50" t="n"/>
      <c r="G2746" s="50" t="n"/>
      <c r="H2746" s="48" t="n"/>
      <c r="I2746" s="51" t="n"/>
      <c r="J2746" s="52" t="n"/>
      <c r="K2746" s="47" t="n"/>
      <c r="L2746" s="47" t="n"/>
      <c r="M2746" s="24">
        <f>IF(OR($A2746="",$C2746=""),"",IF($L2746&lt;&gt;"",$L2746-$C2746,TODAY()-$C2746))</f>
        <v/>
      </c>
      <c r="N2746" s="28">
        <f>IF(OR($A2746="",$K2746=""),"",IF($L2746="",IF(TODAY()&gt;$K2746,"Atrasado","En ruta"),IF($L2746&lt;=$K2746,"Sí","No")))</f>
        <v/>
      </c>
      <c r="O2746" s="24">
        <f>IF($A2746="","",COUNTIFS(NOVEDADES!$D$4:$D$1503,$A2746))</f>
        <v/>
      </c>
      <c r="P2746" s="28">
        <f>IF($A2746="","",IF(COUNTIFS(NOVEDADES!$D$4:$D$1503,$A2746,NOVEDADES!$O$4:$O$1503,"SÍ")&gt;0,"No","Sí"))</f>
        <v/>
      </c>
      <c r="Q2746" s="28">
        <f>IF(OR($A2746="",$L2746=""),"",IF(AND($N2746="Sí",$P2746="Sí"),"OTIF","Falló"))</f>
        <v/>
      </c>
    </row>
    <row r="2747" ht="16" customHeight="1">
      <c r="A2747" s="48" t="n"/>
      <c r="B2747" s="48" t="n"/>
      <c r="C2747" s="47" t="n"/>
      <c r="D2747" s="50" t="n"/>
      <c r="E2747" s="50" t="n"/>
      <c r="F2747" s="50" t="n"/>
      <c r="G2747" s="50" t="n"/>
      <c r="H2747" s="48" t="n"/>
      <c r="I2747" s="51" t="n"/>
      <c r="J2747" s="52" t="n"/>
      <c r="K2747" s="47" t="n"/>
      <c r="L2747" s="47" t="n"/>
      <c r="M2747" s="24">
        <f>IF(OR($A2747="",$C2747=""),"",IF($L2747&lt;&gt;"",$L2747-$C2747,TODAY()-$C2747))</f>
        <v/>
      </c>
      <c r="N2747" s="28">
        <f>IF(OR($A2747="",$K2747=""),"",IF($L2747="",IF(TODAY()&gt;$K2747,"Atrasado","En ruta"),IF($L2747&lt;=$K2747,"Sí","No")))</f>
        <v/>
      </c>
      <c r="O2747" s="24">
        <f>IF($A2747="","",COUNTIFS(NOVEDADES!$D$4:$D$1503,$A2747))</f>
        <v/>
      </c>
      <c r="P2747" s="28">
        <f>IF($A2747="","",IF(COUNTIFS(NOVEDADES!$D$4:$D$1503,$A2747,NOVEDADES!$O$4:$O$1503,"SÍ")&gt;0,"No","Sí"))</f>
        <v/>
      </c>
      <c r="Q2747" s="28">
        <f>IF(OR($A2747="",$L2747=""),"",IF(AND($N2747="Sí",$P2747="Sí"),"OTIF","Falló"))</f>
        <v/>
      </c>
    </row>
    <row r="2748" ht="16" customHeight="1">
      <c r="A2748" s="48" t="n"/>
      <c r="B2748" s="48" t="n"/>
      <c r="C2748" s="47" t="n"/>
      <c r="D2748" s="50" t="n"/>
      <c r="E2748" s="50" t="n"/>
      <c r="F2748" s="50" t="n"/>
      <c r="G2748" s="50" t="n"/>
      <c r="H2748" s="48" t="n"/>
      <c r="I2748" s="51" t="n"/>
      <c r="J2748" s="52" t="n"/>
      <c r="K2748" s="47" t="n"/>
      <c r="L2748" s="47" t="n"/>
      <c r="M2748" s="24">
        <f>IF(OR($A2748="",$C2748=""),"",IF($L2748&lt;&gt;"",$L2748-$C2748,TODAY()-$C2748))</f>
        <v/>
      </c>
      <c r="N2748" s="28">
        <f>IF(OR($A2748="",$K2748=""),"",IF($L2748="",IF(TODAY()&gt;$K2748,"Atrasado","En ruta"),IF($L2748&lt;=$K2748,"Sí","No")))</f>
        <v/>
      </c>
      <c r="O2748" s="24">
        <f>IF($A2748="","",COUNTIFS(NOVEDADES!$D$4:$D$1503,$A2748))</f>
        <v/>
      </c>
      <c r="P2748" s="28">
        <f>IF($A2748="","",IF(COUNTIFS(NOVEDADES!$D$4:$D$1503,$A2748,NOVEDADES!$O$4:$O$1503,"SÍ")&gt;0,"No","Sí"))</f>
        <v/>
      </c>
      <c r="Q2748" s="28">
        <f>IF(OR($A2748="",$L2748=""),"",IF(AND($N2748="Sí",$P2748="Sí"),"OTIF","Falló"))</f>
        <v/>
      </c>
    </row>
    <row r="2749" ht="16" customHeight="1">
      <c r="A2749" s="48" t="n"/>
      <c r="B2749" s="48" t="n"/>
      <c r="C2749" s="47" t="n"/>
      <c r="D2749" s="50" t="n"/>
      <c r="E2749" s="50" t="n"/>
      <c r="F2749" s="50" t="n"/>
      <c r="G2749" s="50" t="n"/>
      <c r="H2749" s="48" t="n"/>
      <c r="I2749" s="51" t="n"/>
      <c r="J2749" s="52" t="n"/>
      <c r="K2749" s="47" t="n"/>
      <c r="L2749" s="47" t="n"/>
      <c r="M2749" s="24">
        <f>IF(OR($A2749="",$C2749=""),"",IF($L2749&lt;&gt;"",$L2749-$C2749,TODAY()-$C2749))</f>
        <v/>
      </c>
      <c r="N2749" s="28">
        <f>IF(OR($A2749="",$K2749=""),"",IF($L2749="",IF(TODAY()&gt;$K2749,"Atrasado","En ruta"),IF($L2749&lt;=$K2749,"Sí","No")))</f>
        <v/>
      </c>
      <c r="O2749" s="24">
        <f>IF($A2749="","",COUNTIFS(NOVEDADES!$D$4:$D$1503,$A2749))</f>
        <v/>
      </c>
      <c r="P2749" s="28">
        <f>IF($A2749="","",IF(COUNTIFS(NOVEDADES!$D$4:$D$1503,$A2749,NOVEDADES!$O$4:$O$1503,"SÍ")&gt;0,"No","Sí"))</f>
        <v/>
      </c>
      <c r="Q2749" s="28">
        <f>IF(OR($A2749="",$L2749=""),"",IF(AND($N2749="Sí",$P2749="Sí"),"OTIF","Falló"))</f>
        <v/>
      </c>
    </row>
    <row r="2750" ht="16" customHeight="1">
      <c r="A2750" s="48" t="n"/>
      <c r="B2750" s="48" t="n"/>
      <c r="C2750" s="47" t="n"/>
      <c r="D2750" s="50" t="n"/>
      <c r="E2750" s="50" t="n"/>
      <c r="F2750" s="50" t="n"/>
      <c r="G2750" s="50" t="n"/>
      <c r="H2750" s="48" t="n"/>
      <c r="I2750" s="51" t="n"/>
      <c r="J2750" s="52" t="n"/>
      <c r="K2750" s="47" t="n"/>
      <c r="L2750" s="47" t="n"/>
      <c r="M2750" s="24">
        <f>IF(OR($A2750="",$C2750=""),"",IF($L2750&lt;&gt;"",$L2750-$C2750,TODAY()-$C2750))</f>
        <v/>
      </c>
      <c r="N2750" s="28">
        <f>IF(OR($A2750="",$K2750=""),"",IF($L2750="",IF(TODAY()&gt;$K2750,"Atrasado","En ruta"),IF($L2750&lt;=$K2750,"Sí","No")))</f>
        <v/>
      </c>
      <c r="O2750" s="24">
        <f>IF($A2750="","",COUNTIFS(NOVEDADES!$D$4:$D$1503,$A2750))</f>
        <v/>
      </c>
      <c r="P2750" s="28">
        <f>IF($A2750="","",IF(COUNTIFS(NOVEDADES!$D$4:$D$1503,$A2750,NOVEDADES!$O$4:$O$1503,"SÍ")&gt;0,"No","Sí"))</f>
        <v/>
      </c>
      <c r="Q2750" s="28">
        <f>IF(OR($A2750="",$L2750=""),"",IF(AND($N2750="Sí",$P2750="Sí"),"OTIF","Falló"))</f>
        <v/>
      </c>
    </row>
    <row r="2751" ht="16" customHeight="1">
      <c r="A2751" s="48" t="n"/>
      <c r="B2751" s="48" t="n"/>
      <c r="C2751" s="47" t="n"/>
      <c r="D2751" s="50" t="n"/>
      <c r="E2751" s="50" t="n"/>
      <c r="F2751" s="50" t="n"/>
      <c r="G2751" s="50" t="n"/>
      <c r="H2751" s="48" t="n"/>
      <c r="I2751" s="51" t="n"/>
      <c r="J2751" s="52" t="n"/>
      <c r="K2751" s="47" t="n"/>
      <c r="L2751" s="47" t="n"/>
      <c r="M2751" s="24">
        <f>IF(OR($A2751="",$C2751=""),"",IF($L2751&lt;&gt;"",$L2751-$C2751,TODAY()-$C2751))</f>
        <v/>
      </c>
      <c r="N2751" s="28">
        <f>IF(OR($A2751="",$K2751=""),"",IF($L2751="",IF(TODAY()&gt;$K2751,"Atrasado","En ruta"),IF($L2751&lt;=$K2751,"Sí","No")))</f>
        <v/>
      </c>
      <c r="O2751" s="24">
        <f>IF($A2751="","",COUNTIFS(NOVEDADES!$D$4:$D$1503,$A2751))</f>
        <v/>
      </c>
      <c r="P2751" s="28">
        <f>IF($A2751="","",IF(COUNTIFS(NOVEDADES!$D$4:$D$1503,$A2751,NOVEDADES!$O$4:$O$1503,"SÍ")&gt;0,"No","Sí"))</f>
        <v/>
      </c>
      <c r="Q2751" s="28">
        <f>IF(OR($A2751="",$L2751=""),"",IF(AND($N2751="Sí",$P2751="Sí"),"OTIF","Falló"))</f>
        <v/>
      </c>
    </row>
    <row r="2752" ht="16" customHeight="1">
      <c r="A2752" s="48" t="n"/>
      <c r="B2752" s="48" t="n"/>
      <c r="C2752" s="47" t="n"/>
      <c r="D2752" s="50" t="n"/>
      <c r="E2752" s="50" t="n"/>
      <c r="F2752" s="50" t="n"/>
      <c r="G2752" s="50" t="n"/>
      <c r="H2752" s="48" t="n"/>
      <c r="I2752" s="51" t="n"/>
      <c r="J2752" s="52" t="n"/>
      <c r="K2752" s="47" t="n"/>
      <c r="L2752" s="47" t="n"/>
      <c r="M2752" s="24">
        <f>IF(OR($A2752="",$C2752=""),"",IF($L2752&lt;&gt;"",$L2752-$C2752,TODAY()-$C2752))</f>
        <v/>
      </c>
      <c r="N2752" s="28">
        <f>IF(OR($A2752="",$K2752=""),"",IF($L2752="",IF(TODAY()&gt;$K2752,"Atrasado","En ruta"),IF($L2752&lt;=$K2752,"Sí","No")))</f>
        <v/>
      </c>
      <c r="O2752" s="24">
        <f>IF($A2752="","",COUNTIFS(NOVEDADES!$D$4:$D$1503,$A2752))</f>
        <v/>
      </c>
      <c r="P2752" s="28">
        <f>IF($A2752="","",IF(COUNTIFS(NOVEDADES!$D$4:$D$1503,$A2752,NOVEDADES!$O$4:$O$1503,"SÍ")&gt;0,"No","Sí"))</f>
        <v/>
      </c>
      <c r="Q2752" s="28">
        <f>IF(OR($A2752="",$L2752=""),"",IF(AND($N2752="Sí",$P2752="Sí"),"OTIF","Falló"))</f>
        <v/>
      </c>
    </row>
    <row r="2753" ht="16" customHeight="1">
      <c r="A2753" s="48" t="n"/>
      <c r="B2753" s="48" t="n"/>
      <c r="C2753" s="47" t="n"/>
      <c r="D2753" s="50" t="n"/>
      <c r="E2753" s="50" t="n"/>
      <c r="F2753" s="50" t="n"/>
      <c r="G2753" s="50" t="n"/>
      <c r="H2753" s="48" t="n"/>
      <c r="I2753" s="51" t="n"/>
      <c r="J2753" s="52" t="n"/>
      <c r="K2753" s="47" t="n"/>
      <c r="L2753" s="47" t="n"/>
      <c r="M2753" s="24">
        <f>IF(OR($A2753="",$C2753=""),"",IF($L2753&lt;&gt;"",$L2753-$C2753,TODAY()-$C2753))</f>
        <v/>
      </c>
      <c r="N2753" s="28">
        <f>IF(OR($A2753="",$K2753=""),"",IF($L2753="",IF(TODAY()&gt;$K2753,"Atrasado","En ruta"),IF($L2753&lt;=$K2753,"Sí","No")))</f>
        <v/>
      </c>
      <c r="O2753" s="24">
        <f>IF($A2753="","",COUNTIFS(NOVEDADES!$D$4:$D$1503,$A2753))</f>
        <v/>
      </c>
      <c r="P2753" s="28">
        <f>IF($A2753="","",IF(COUNTIFS(NOVEDADES!$D$4:$D$1503,$A2753,NOVEDADES!$O$4:$O$1503,"SÍ")&gt;0,"No","Sí"))</f>
        <v/>
      </c>
      <c r="Q2753" s="28">
        <f>IF(OR($A2753="",$L2753=""),"",IF(AND($N2753="Sí",$P2753="Sí"),"OTIF","Falló"))</f>
        <v/>
      </c>
    </row>
    <row r="2754" ht="16" customHeight="1">
      <c r="A2754" s="48" t="n"/>
      <c r="B2754" s="48" t="n"/>
      <c r="C2754" s="47" t="n"/>
      <c r="D2754" s="50" t="n"/>
      <c r="E2754" s="50" t="n"/>
      <c r="F2754" s="50" t="n"/>
      <c r="G2754" s="50" t="n"/>
      <c r="H2754" s="48" t="n"/>
      <c r="I2754" s="51" t="n"/>
      <c r="J2754" s="52" t="n"/>
      <c r="K2754" s="47" t="n"/>
      <c r="L2754" s="47" t="n"/>
      <c r="M2754" s="24">
        <f>IF(OR($A2754="",$C2754=""),"",IF($L2754&lt;&gt;"",$L2754-$C2754,TODAY()-$C2754))</f>
        <v/>
      </c>
      <c r="N2754" s="28">
        <f>IF(OR($A2754="",$K2754=""),"",IF($L2754="",IF(TODAY()&gt;$K2754,"Atrasado","En ruta"),IF($L2754&lt;=$K2754,"Sí","No")))</f>
        <v/>
      </c>
      <c r="O2754" s="24">
        <f>IF($A2754="","",COUNTIFS(NOVEDADES!$D$4:$D$1503,$A2754))</f>
        <v/>
      </c>
      <c r="P2754" s="28">
        <f>IF($A2754="","",IF(COUNTIFS(NOVEDADES!$D$4:$D$1503,$A2754,NOVEDADES!$O$4:$O$1503,"SÍ")&gt;0,"No","Sí"))</f>
        <v/>
      </c>
      <c r="Q2754" s="28">
        <f>IF(OR($A2754="",$L2754=""),"",IF(AND($N2754="Sí",$P2754="Sí"),"OTIF","Falló"))</f>
        <v/>
      </c>
    </row>
    <row r="2755" ht="16" customHeight="1">
      <c r="A2755" s="48" t="n"/>
      <c r="B2755" s="48" t="n"/>
      <c r="C2755" s="47" t="n"/>
      <c r="D2755" s="50" t="n"/>
      <c r="E2755" s="50" t="n"/>
      <c r="F2755" s="50" t="n"/>
      <c r="G2755" s="50" t="n"/>
      <c r="H2755" s="48" t="n"/>
      <c r="I2755" s="51" t="n"/>
      <c r="J2755" s="52" t="n"/>
      <c r="K2755" s="47" t="n"/>
      <c r="L2755" s="47" t="n"/>
      <c r="M2755" s="24">
        <f>IF(OR($A2755="",$C2755=""),"",IF($L2755&lt;&gt;"",$L2755-$C2755,TODAY()-$C2755))</f>
        <v/>
      </c>
      <c r="N2755" s="28">
        <f>IF(OR($A2755="",$K2755=""),"",IF($L2755="",IF(TODAY()&gt;$K2755,"Atrasado","En ruta"),IF($L2755&lt;=$K2755,"Sí","No")))</f>
        <v/>
      </c>
      <c r="O2755" s="24">
        <f>IF($A2755="","",COUNTIFS(NOVEDADES!$D$4:$D$1503,$A2755))</f>
        <v/>
      </c>
      <c r="P2755" s="28">
        <f>IF($A2755="","",IF(COUNTIFS(NOVEDADES!$D$4:$D$1503,$A2755,NOVEDADES!$O$4:$O$1503,"SÍ")&gt;0,"No","Sí"))</f>
        <v/>
      </c>
      <c r="Q2755" s="28">
        <f>IF(OR($A2755="",$L2755=""),"",IF(AND($N2755="Sí",$P2755="Sí"),"OTIF","Falló"))</f>
        <v/>
      </c>
    </row>
    <row r="2756" ht="16" customHeight="1">
      <c r="A2756" s="48" t="n"/>
      <c r="B2756" s="48" t="n"/>
      <c r="C2756" s="47" t="n"/>
      <c r="D2756" s="50" t="n"/>
      <c r="E2756" s="50" t="n"/>
      <c r="F2756" s="50" t="n"/>
      <c r="G2756" s="50" t="n"/>
      <c r="H2756" s="48" t="n"/>
      <c r="I2756" s="51" t="n"/>
      <c r="J2756" s="52" t="n"/>
      <c r="K2756" s="47" t="n"/>
      <c r="L2756" s="47" t="n"/>
      <c r="M2756" s="24">
        <f>IF(OR($A2756="",$C2756=""),"",IF($L2756&lt;&gt;"",$L2756-$C2756,TODAY()-$C2756))</f>
        <v/>
      </c>
      <c r="N2756" s="28">
        <f>IF(OR($A2756="",$K2756=""),"",IF($L2756="",IF(TODAY()&gt;$K2756,"Atrasado","En ruta"),IF($L2756&lt;=$K2756,"Sí","No")))</f>
        <v/>
      </c>
      <c r="O2756" s="24">
        <f>IF($A2756="","",COUNTIFS(NOVEDADES!$D$4:$D$1503,$A2756))</f>
        <v/>
      </c>
      <c r="P2756" s="28">
        <f>IF($A2756="","",IF(COUNTIFS(NOVEDADES!$D$4:$D$1503,$A2756,NOVEDADES!$O$4:$O$1503,"SÍ")&gt;0,"No","Sí"))</f>
        <v/>
      </c>
      <c r="Q2756" s="28">
        <f>IF(OR($A2756="",$L2756=""),"",IF(AND($N2756="Sí",$P2756="Sí"),"OTIF","Falló"))</f>
        <v/>
      </c>
    </row>
    <row r="2757" ht="16" customHeight="1">
      <c r="A2757" s="48" t="n"/>
      <c r="B2757" s="48" t="n"/>
      <c r="C2757" s="47" t="n"/>
      <c r="D2757" s="50" t="n"/>
      <c r="E2757" s="50" t="n"/>
      <c r="F2757" s="50" t="n"/>
      <c r="G2757" s="50" t="n"/>
      <c r="H2757" s="48" t="n"/>
      <c r="I2757" s="51" t="n"/>
      <c r="J2757" s="52" t="n"/>
      <c r="K2757" s="47" t="n"/>
      <c r="L2757" s="47" t="n"/>
      <c r="M2757" s="24">
        <f>IF(OR($A2757="",$C2757=""),"",IF($L2757&lt;&gt;"",$L2757-$C2757,TODAY()-$C2757))</f>
        <v/>
      </c>
      <c r="N2757" s="28">
        <f>IF(OR($A2757="",$K2757=""),"",IF($L2757="",IF(TODAY()&gt;$K2757,"Atrasado","En ruta"),IF($L2757&lt;=$K2757,"Sí","No")))</f>
        <v/>
      </c>
      <c r="O2757" s="24">
        <f>IF($A2757="","",COUNTIFS(NOVEDADES!$D$4:$D$1503,$A2757))</f>
        <v/>
      </c>
      <c r="P2757" s="28">
        <f>IF($A2757="","",IF(COUNTIFS(NOVEDADES!$D$4:$D$1503,$A2757,NOVEDADES!$O$4:$O$1503,"SÍ")&gt;0,"No","Sí"))</f>
        <v/>
      </c>
      <c r="Q2757" s="28">
        <f>IF(OR($A2757="",$L2757=""),"",IF(AND($N2757="Sí",$P2757="Sí"),"OTIF","Falló"))</f>
        <v/>
      </c>
    </row>
    <row r="2758" ht="16" customHeight="1">
      <c r="A2758" s="48" t="n"/>
      <c r="B2758" s="48" t="n"/>
      <c r="C2758" s="47" t="n"/>
      <c r="D2758" s="50" t="n"/>
      <c r="E2758" s="50" t="n"/>
      <c r="F2758" s="50" t="n"/>
      <c r="G2758" s="50" t="n"/>
      <c r="H2758" s="48" t="n"/>
      <c r="I2758" s="51" t="n"/>
      <c r="J2758" s="52" t="n"/>
      <c r="K2758" s="47" t="n"/>
      <c r="L2758" s="47" t="n"/>
      <c r="M2758" s="24">
        <f>IF(OR($A2758="",$C2758=""),"",IF($L2758&lt;&gt;"",$L2758-$C2758,TODAY()-$C2758))</f>
        <v/>
      </c>
      <c r="N2758" s="28">
        <f>IF(OR($A2758="",$K2758=""),"",IF($L2758="",IF(TODAY()&gt;$K2758,"Atrasado","En ruta"),IF($L2758&lt;=$K2758,"Sí","No")))</f>
        <v/>
      </c>
      <c r="O2758" s="24">
        <f>IF($A2758="","",COUNTIFS(NOVEDADES!$D$4:$D$1503,$A2758))</f>
        <v/>
      </c>
      <c r="P2758" s="28">
        <f>IF($A2758="","",IF(COUNTIFS(NOVEDADES!$D$4:$D$1503,$A2758,NOVEDADES!$O$4:$O$1503,"SÍ")&gt;0,"No","Sí"))</f>
        <v/>
      </c>
      <c r="Q2758" s="28">
        <f>IF(OR($A2758="",$L2758=""),"",IF(AND($N2758="Sí",$P2758="Sí"),"OTIF","Falló"))</f>
        <v/>
      </c>
    </row>
    <row r="2759" ht="16" customHeight="1">
      <c r="A2759" s="48" t="n"/>
      <c r="B2759" s="48" t="n"/>
      <c r="C2759" s="47" t="n"/>
      <c r="D2759" s="50" t="n"/>
      <c r="E2759" s="50" t="n"/>
      <c r="F2759" s="50" t="n"/>
      <c r="G2759" s="50" t="n"/>
      <c r="H2759" s="48" t="n"/>
      <c r="I2759" s="51" t="n"/>
      <c r="J2759" s="52" t="n"/>
      <c r="K2759" s="47" t="n"/>
      <c r="L2759" s="47" t="n"/>
      <c r="M2759" s="24">
        <f>IF(OR($A2759="",$C2759=""),"",IF($L2759&lt;&gt;"",$L2759-$C2759,TODAY()-$C2759))</f>
        <v/>
      </c>
      <c r="N2759" s="28">
        <f>IF(OR($A2759="",$K2759=""),"",IF($L2759="",IF(TODAY()&gt;$K2759,"Atrasado","En ruta"),IF($L2759&lt;=$K2759,"Sí","No")))</f>
        <v/>
      </c>
      <c r="O2759" s="24">
        <f>IF($A2759="","",COUNTIFS(NOVEDADES!$D$4:$D$1503,$A2759))</f>
        <v/>
      </c>
      <c r="P2759" s="28">
        <f>IF($A2759="","",IF(COUNTIFS(NOVEDADES!$D$4:$D$1503,$A2759,NOVEDADES!$O$4:$O$1503,"SÍ")&gt;0,"No","Sí"))</f>
        <v/>
      </c>
      <c r="Q2759" s="28">
        <f>IF(OR($A2759="",$L2759=""),"",IF(AND($N2759="Sí",$P2759="Sí"),"OTIF","Falló"))</f>
        <v/>
      </c>
    </row>
    <row r="2760" ht="16" customHeight="1">
      <c r="A2760" s="48" t="n"/>
      <c r="B2760" s="48" t="n"/>
      <c r="C2760" s="47" t="n"/>
      <c r="D2760" s="50" t="n"/>
      <c r="E2760" s="50" t="n"/>
      <c r="F2760" s="50" t="n"/>
      <c r="G2760" s="50" t="n"/>
      <c r="H2760" s="48" t="n"/>
      <c r="I2760" s="51" t="n"/>
      <c r="J2760" s="52" t="n"/>
      <c r="K2760" s="47" t="n"/>
      <c r="L2760" s="47" t="n"/>
      <c r="M2760" s="24">
        <f>IF(OR($A2760="",$C2760=""),"",IF($L2760&lt;&gt;"",$L2760-$C2760,TODAY()-$C2760))</f>
        <v/>
      </c>
      <c r="N2760" s="28">
        <f>IF(OR($A2760="",$K2760=""),"",IF($L2760="",IF(TODAY()&gt;$K2760,"Atrasado","En ruta"),IF($L2760&lt;=$K2760,"Sí","No")))</f>
        <v/>
      </c>
      <c r="O2760" s="24">
        <f>IF($A2760="","",COUNTIFS(NOVEDADES!$D$4:$D$1503,$A2760))</f>
        <v/>
      </c>
      <c r="P2760" s="28">
        <f>IF($A2760="","",IF(COUNTIFS(NOVEDADES!$D$4:$D$1503,$A2760,NOVEDADES!$O$4:$O$1503,"SÍ")&gt;0,"No","Sí"))</f>
        <v/>
      </c>
      <c r="Q2760" s="28">
        <f>IF(OR($A2760="",$L2760=""),"",IF(AND($N2760="Sí",$P2760="Sí"),"OTIF","Falló"))</f>
        <v/>
      </c>
    </row>
    <row r="2761" ht="16" customHeight="1">
      <c r="A2761" s="48" t="n"/>
      <c r="B2761" s="48" t="n"/>
      <c r="C2761" s="47" t="n"/>
      <c r="D2761" s="50" t="n"/>
      <c r="E2761" s="50" t="n"/>
      <c r="F2761" s="50" t="n"/>
      <c r="G2761" s="50" t="n"/>
      <c r="H2761" s="48" t="n"/>
      <c r="I2761" s="51" t="n"/>
      <c r="J2761" s="52" t="n"/>
      <c r="K2761" s="47" t="n"/>
      <c r="L2761" s="47" t="n"/>
      <c r="M2761" s="24">
        <f>IF(OR($A2761="",$C2761=""),"",IF($L2761&lt;&gt;"",$L2761-$C2761,TODAY()-$C2761))</f>
        <v/>
      </c>
      <c r="N2761" s="28">
        <f>IF(OR($A2761="",$K2761=""),"",IF($L2761="",IF(TODAY()&gt;$K2761,"Atrasado","En ruta"),IF($L2761&lt;=$K2761,"Sí","No")))</f>
        <v/>
      </c>
      <c r="O2761" s="24">
        <f>IF($A2761="","",COUNTIFS(NOVEDADES!$D$4:$D$1503,$A2761))</f>
        <v/>
      </c>
      <c r="P2761" s="28">
        <f>IF($A2761="","",IF(COUNTIFS(NOVEDADES!$D$4:$D$1503,$A2761,NOVEDADES!$O$4:$O$1503,"SÍ")&gt;0,"No","Sí"))</f>
        <v/>
      </c>
      <c r="Q2761" s="28">
        <f>IF(OR($A2761="",$L2761=""),"",IF(AND($N2761="Sí",$P2761="Sí"),"OTIF","Falló"))</f>
        <v/>
      </c>
    </row>
    <row r="2762" ht="16" customHeight="1">
      <c r="A2762" s="48" t="n"/>
      <c r="B2762" s="48" t="n"/>
      <c r="C2762" s="47" t="n"/>
      <c r="D2762" s="50" t="n"/>
      <c r="E2762" s="50" t="n"/>
      <c r="F2762" s="50" t="n"/>
      <c r="G2762" s="50" t="n"/>
      <c r="H2762" s="48" t="n"/>
      <c r="I2762" s="51" t="n"/>
      <c r="J2762" s="52" t="n"/>
      <c r="K2762" s="47" t="n"/>
      <c r="L2762" s="47" t="n"/>
      <c r="M2762" s="24">
        <f>IF(OR($A2762="",$C2762=""),"",IF($L2762&lt;&gt;"",$L2762-$C2762,TODAY()-$C2762))</f>
        <v/>
      </c>
      <c r="N2762" s="28">
        <f>IF(OR($A2762="",$K2762=""),"",IF($L2762="",IF(TODAY()&gt;$K2762,"Atrasado","En ruta"),IF($L2762&lt;=$K2762,"Sí","No")))</f>
        <v/>
      </c>
      <c r="O2762" s="24">
        <f>IF($A2762="","",COUNTIFS(NOVEDADES!$D$4:$D$1503,$A2762))</f>
        <v/>
      </c>
      <c r="P2762" s="28">
        <f>IF($A2762="","",IF(COUNTIFS(NOVEDADES!$D$4:$D$1503,$A2762,NOVEDADES!$O$4:$O$1503,"SÍ")&gt;0,"No","Sí"))</f>
        <v/>
      </c>
      <c r="Q2762" s="28">
        <f>IF(OR($A2762="",$L2762=""),"",IF(AND($N2762="Sí",$P2762="Sí"),"OTIF","Falló"))</f>
        <v/>
      </c>
    </row>
    <row r="2763" ht="16" customHeight="1">
      <c r="A2763" s="48" t="n"/>
      <c r="B2763" s="48" t="n"/>
      <c r="C2763" s="47" t="n"/>
      <c r="D2763" s="50" t="n"/>
      <c r="E2763" s="50" t="n"/>
      <c r="F2763" s="50" t="n"/>
      <c r="G2763" s="50" t="n"/>
      <c r="H2763" s="48" t="n"/>
      <c r="I2763" s="51" t="n"/>
      <c r="J2763" s="52" t="n"/>
      <c r="K2763" s="47" t="n"/>
      <c r="L2763" s="47" t="n"/>
      <c r="M2763" s="24">
        <f>IF(OR($A2763="",$C2763=""),"",IF($L2763&lt;&gt;"",$L2763-$C2763,TODAY()-$C2763))</f>
        <v/>
      </c>
      <c r="N2763" s="28">
        <f>IF(OR($A2763="",$K2763=""),"",IF($L2763="",IF(TODAY()&gt;$K2763,"Atrasado","En ruta"),IF($L2763&lt;=$K2763,"Sí","No")))</f>
        <v/>
      </c>
      <c r="O2763" s="24">
        <f>IF($A2763="","",COUNTIFS(NOVEDADES!$D$4:$D$1503,$A2763))</f>
        <v/>
      </c>
      <c r="P2763" s="28">
        <f>IF($A2763="","",IF(COUNTIFS(NOVEDADES!$D$4:$D$1503,$A2763,NOVEDADES!$O$4:$O$1503,"SÍ")&gt;0,"No","Sí"))</f>
        <v/>
      </c>
      <c r="Q2763" s="28">
        <f>IF(OR($A2763="",$L2763=""),"",IF(AND($N2763="Sí",$P2763="Sí"),"OTIF","Falló"))</f>
        <v/>
      </c>
    </row>
    <row r="2764" ht="16" customHeight="1">
      <c r="A2764" s="48" t="n"/>
      <c r="B2764" s="48" t="n"/>
      <c r="C2764" s="47" t="n"/>
      <c r="D2764" s="50" t="n"/>
      <c r="E2764" s="50" t="n"/>
      <c r="F2764" s="50" t="n"/>
      <c r="G2764" s="50" t="n"/>
      <c r="H2764" s="48" t="n"/>
      <c r="I2764" s="51" t="n"/>
      <c r="J2764" s="52" t="n"/>
      <c r="K2764" s="47" t="n"/>
      <c r="L2764" s="47" t="n"/>
      <c r="M2764" s="24">
        <f>IF(OR($A2764="",$C2764=""),"",IF($L2764&lt;&gt;"",$L2764-$C2764,TODAY()-$C2764))</f>
        <v/>
      </c>
      <c r="N2764" s="28">
        <f>IF(OR($A2764="",$K2764=""),"",IF($L2764="",IF(TODAY()&gt;$K2764,"Atrasado","En ruta"),IF($L2764&lt;=$K2764,"Sí","No")))</f>
        <v/>
      </c>
      <c r="O2764" s="24">
        <f>IF($A2764="","",COUNTIFS(NOVEDADES!$D$4:$D$1503,$A2764))</f>
        <v/>
      </c>
      <c r="P2764" s="28">
        <f>IF($A2764="","",IF(COUNTIFS(NOVEDADES!$D$4:$D$1503,$A2764,NOVEDADES!$O$4:$O$1503,"SÍ")&gt;0,"No","Sí"))</f>
        <v/>
      </c>
      <c r="Q2764" s="28">
        <f>IF(OR($A2764="",$L2764=""),"",IF(AND($N2764="Sí",$P2764="Sí"),"OTIF","Falló"))</f>
        <v/>
      </c>
    </row>
    <row r="2765" ht="16" customHeight="1">
      <c r="A2765" s="48" t="n"/>
      <c r="B2765" s="48" t="n"/>
      <c r="C2765" s="47" t="n"/>
      <c r="D2765" s="50" t="n"/>
      <c r="E2765" s="50" t="n"/>
      <c r="F2765" s="50" t="n"/>
      <c r="G2765" s="50" t="n"/>
      <c r="H2765" s="48" t="n"/>
      <c r="I2765" s="51" t="n"/>
      <c r="J2765" s="52" t="n"/>
      <c r="K2765" s="47" t="n"/>
      <c r="L2765" s="47" t="n"/>
      <c r="M2765" s="24">
        <f>IF(OR($A2765="",$C2765=""),"",IF($L2765&lt;&gt;"",$L2765-$C2765,TODAY()-$C2765))</f>
        <v/>
      </c>
      <c r="N2765" s="28">
        <f>IF(OR($A2765="",$K2765=""),"",IF($L2765="",IF(TODAY()&gt;$K2765,"Atrasado","En ruta"),IF($L2765&lt;=$K2765,"Sí","No")))</f>
        <v/>
      </c>
      <c r="O2765" s="24">
        <f>IF($A2765="","",COUNTIFS(NOVEDADES!$D$4:$D$1503,$A2765))</f>
        <v/>
      </c>
      <c r="P2765" s="28">
        <f>IF($A2765="","",IF(COUNTIFS(NOVEDADES!$D$4:$D$1503,$A2765,NOVEDADES!$O$4:$O$1503,"SÍ")&gt;0,"No","Sí"))</f>
        <v/>
      </c>
      <c r="Q2765" s="28">
        <f>IF(OR($A2765="",$L2765=""),"",IF(AND($N2765="Sí",$P2765="Sí"),"OTIF","Falló"))</f>
        <v/>
      </c>
    </row>
    <row r="2766" ht="16" customHeight="1">
      <c r="A2766" s="48" t="n"/>
      <c r="B2766" s="48" t="n"/>
      <c r="C2766" s="47" t="n"/>
      <c r="D2766" s="50" t="n"/>
      <c r="E2766" s="50" t="n"/>
      <c r="F2766" s="50" t="n"/>
      <c r="G2766" s="50" t="n"/>
      <c r="H2766" s="48" t="n"/>
      <c r="I2766" s="51" t="n"/>
      <c r="J2766" s="52" t="n"/>
      <c r="K2766" s="47" t="n"/>
      <c r="L2766" s="47" t="n"/>
      <c r="M2766" s="24">
        <f>IF(OR($A2766="",$C2766=""),"",IF($L2766&lt;&gt;"",$L2766-$C2766,TODAY()-$C2766))</f>
        <v/>
      </c>
      <c r="N2766" s="28">
        <f>IF(OR($A2766="",$K2766=""),"",IF($L2766="",IF(TODAY()&gt;$K2766,"Atrasado","En ruta"),IF($L2766&lt;=$K2766,"Sí","No")))</f>
        <v/>
      </c>
      <c r="O2766" s="24">
        <f>IF($A2766="","",COUNTIFS(NOVEDADES!$D$4:$D$1503,$A2766))</f>
        <v/>
      </c>
      <c r="P2766" s="28">
        <f>IF($A2766="","",IF(COUNTIFS(NOVEDADES!$D$4:$D$1503,$A2766,NOVEDADES!$O$4:$O$1503,"SÍ")&gt;0,"No","Sí"))</f>
        <v/>
      </c>
      <c r="Q2766" s="28">
        <f>IF(OR($A2766="",$L2766=""),"",IF(AND($N2766="Sí",$P2766="Sí"),"OTIF","Falló"))</f>
        <v/>
      </c>
    </row>
    <row r="2767" ht="16" customHeight="1">
      <c r="A2767" s="48" t="n"/>
      <c r="B2767" s="48" t="n"/>
      <c r="C2767" s="47" t="n"/>
      <c r="D2767" s="50" t="n"/>
      <c r="E2767" s="50" t="n"/>
      <c r="F2767" s="50" t="n"/>
      <c r="G2767" s="50" t="n"/>
      <c r="H2767" s="48" t="n"/>
      <c r="I2767" s="51" t="n"/>
      <c r="J2767" s="52" t="n"/>
      <c r="K2767" s="47" t="n"/>
      <c r="L2767" s="47" t="n"/>
      <c r="M2767" s="24">
        <f>IF(OR($A2767="",$C2767=""),"",IF($L2767&lt;&gt;"",$L2767-$C2767,TODAY()-$C2767))</f>
        <v/>
      </c>
      <c r="N2767" s="28">
        <f>IF(OR($A2767="",$K2767=""),"",IF($L2767="",IF(TODAY()&gt;$K2767,"Atrasado","En ruta"),IF($L2767&lt;=$K2767,"Sí","No")))</f>
        <v/>
      </c>
      <c r="O2767" s="24">
        <f>IF($A2767="","",COUNTIFS(NOVEDADES!$D$4:$D$1503,$A2767))</f>
        <v/>
      </c>
      <c r="P2767" s="28">
        <f>IF($A2767="","",IF(COUNTIFS(NOVEDADES!$D$4:$D$1503,$A2767,NOVEDADES!$O$4:$O$1503,"SÍ")&gt;0,"No","Sí"))</f>
        <v/>
      </c>
      <c r="Q2767" s="28">
        <f>IF(OR($A2767="",$L2767=""),"",IF(AND($N2767="Sí",$P2767="Sí"),"OTIF","Falló"))</f>
        <v/>
      </c>
    </row>
    <row r="2768" ht="16" customHeight="1">
      <c r="A2768" s="48" t="n"/>
      <c r="B2768" s="48" t="n"/>
      <c r="C2768" s="47" t="n"/>
      <c r="D2768" s="50" t="n"/>
      <c r="E2768" s="50" t="n"/>
      <c r="F2768" s="50" t="n"/>
      <c r="G2768" s="50" t="n"/>
      <c r="H2768" s="48" t="n"/>
      <c r="I2768" s="51" t="n"/>
      <c r="J2768" s="52" t="n"/>
      <c r="K2768" s="47" t="n"/>
      <c r="L2768" s="47" t="n"/>
      <c r="M2768" s="24">
        <f>IF(OR($A2768="",$C2768=""),"",IF($L2768&lt;&gt;"",$L2768-$C2768,TODAY()-$C2768))</f>
        <v/>
      </c>
      <c r="N2768" s="28">
        <f>IF(OR($A2768="",$K2768=""),"",IF($L2768="",IF(TODAY()&gt;$K2768,"Atrasado","En ruta"),IF($L2768&lt;=$K2768,"Sí","No")))</f>
        <v/>
      </c>
      <c r="O2768" s="24">
        <f>IF($A2768="","",COUNTIFS(NOVEDADES!$D$4:$D$1503,$A2768))</f>
        <v/>
      </c>
      <c r="P2768" s="28">
        <f>IF($A2768="","",IF(COUNTIFS(NOVEDADES!$D$4:$D$1503,$A2768,NOVEDADES!$O$4:$O$1503,"SÍ")&gt;0,"No","Sí"))</f>
        <v/>
      </c>
      <c r="Q2768" s="28">
        <f>IF(OR($A2768="",$L2768=""),"",IF(AND($N2768="Sí",$P2768="Sí"),"OTIF","Falló"))</f>
        <v/>
      </c>
    </row>
    <row r="2769" ht="16" customHeight="1">
      <c r="A2769" s="48" t="n"/>
      <c r="B2769" s="48" t="n"/>
      <c r="C2769" s="47" t="n"/>
      <c r="D2769" s="50" t="n"/>
      <c r="E2769" s="50" t="n"/>
      <c r="F2769" s="50" t="n"/>
      <c r="G2769" s="50" t="n"/>
      <c r="H2769" s="48" t="n"/>
      <c r="I2769" s="51" t="n"/>
      <c r="J2769" s="52" t="n"/>
      <c r="K2769" s="47" t="n"/>
      <c r="L2769" s="47" t="n"/>
      <c r="M2769" s="24">
        <f>IF(OR($A2769="",$C2769=""),"",IF($L2769&lt;&gt;"",$L2769-$C2769,TODAY()-$C2769))</f>
        <v/>
      </c>
      <c r="N2769" s="28">
        <f>IF(OR($A2769="",$K2769=""),"",IF($L2769="",IF(TODAY()&gt;$K2769,"Atrasado","En ruta"),IF($L2769&lt;=$K2769,"Sí","No")))</f>
        <v/>
      </c>
      <c r="O2769" s="24">
        <f>IF($A2769="","",COUNTIFS(NOVEDADES!$D$4:$D$1503,$A2769))</f>
        <v/>
      </c>
      <c r="P2769" s="28">
        <f>IF($A2769="","",IF(COUNTIFS(NOVEDADES!$D$4:$D$1503,$A2769,NOVEDADES!$O$4:$O$1503,"SÍ")&gt;0,"No","Sí"))</f>
        <v/>
      </c>
      <c r="Q2769" s="28">
        <f>IF(OR($A2769="",$L2769=""),"",IF(AND($N2769="Sí",$P2769="Sí"),"OTIF","Falló"))</f>
        <v/>
      </c>
    </row>
    <row r="2770" ht="16" customHeight="1">
      <c r="A2770" s="48" t="n"/>
      <c r="B2770" s="48" t="n"/>
      <c r="C2770" s="47" t="n"/>
      <c r="D2770" s="50" t="n"/>
      <c r="E2770" s="50" t="n"/>
      <c r="F2770" s="50" t="n"/>
      <c r="G2770" s="50" t="n"/>
      <c r="H2770" s="48" t="n"/>
      <c r="I2770" s="51" t="n"/>
      <c r="J2770" s="52" t="n"/>
      <c r="K2770" s="47" t="n"/>
      <c r="L2770" s="47" t="n"/>
      <c r="M2770" s="24">
        <f>IF(OR($A2770="",$C2770=""),"",IF($L2770&lt;&gt;"",$L2770-$C2770,TODAY()-$C2770))</f>
        <v/>
      </c>
      <c r="N2770" s="28">
        <f>IF(OR($A2770="",$K2770=""),"",IF($L2770="",IF(TODAY()&gt;$K2770,"Atrasado","En ruta"),IF($L2770&lt;=$K2770,"Sí","No")))</f>
        <v/>
      </c>
      <c r="O2770" s="24">
        <f>IF($A2770="","",COUNTIFS(NOVEDADES!$D$4:$D$1503,$A2770))</f>
        <v/>
      </c>
      <c r="P2770" s="28">
        <f>IF($A2770="","",IF(COUNTIFS(NOVEDADES!$D$4:$D$1503,$A2770,NOVEDADES!$O$4:$O$1503,"SÍ")&gt;0,"No","Sí"))</f>
        <v/>
      </c>
      <c r="Q2770" s="28">
        <f>IF(OR($A2770="",$L2770=""),"",IF(AND($N2770="Sí",$P2770="Sí"),"OTIF","Falló"))</f>
        <v/>
      </c>
    </row>
    <row r="2771" ht="16" customHeight="1">
      <c r="A2771" s="48" t="n"/>
      <c r="B2771" s="48" t="n"/>
      <c r="C2771" s="47" t="n"/>
      <c r="D2771" s="50" t="n"/>
      <c r="E2771" s="50" t="n"/>
      <c r="F2771" s="50" t="n"/>
      <c r="G2771" s="50" t="n"/>
      <c r="H2771" s="48" t="n"/>
      <c r="I2771" s="51" t="n"/>
      <c r="J2771" s="52" t="n"/>
      <c r="K2771" s="47" t="n"/>
      <c r="L2771" s="47" t="n"/>
      <c r="M2771" s="24">
        <f>IF(OR($A2771="",$C2771=""),"",IF($L2771&lt;&gt;"",$L2771-$C2771,TODAY()-$C2771))</f>
        <v/>
      </c>
      <c r="N2771" s="28">
        <f>IF(OR($A2771="",$K2771=""),"",IF($L2771="",IF(TODAY()&gt;$K2771,"Atrasado","En ruta"),IF($L2771&lt;=$K2771,"Sí","No")))</f>
        <v/>
      </c>
      <c r="O2771" s="24">
        <f>IF($A2771="","",COUNTIFS(NOVEDADES!$D$4:$D$1503,$A2771))</f>
        <v/>
      </c>
      <c r="P2771" s="28">
        <f>IF($A2771="","",IF(COUNTIFS(NOVEDADES!$D$4:$D$1503,$A2771,NOVEDADES!$O$4:$O$1503,"SÍ")&gt;0,"No","Sí"))</f>
        <v/>
      </c>
      <c r="Q2771" s="28">
        <f>IF(OR($A2771="",$L2771=""),"",IF(AND($N2771="Sí",$P2771="Sí"),"OTIF","Falló"))</f>
        <v/>
      </c>
    </row>
    <row r="2772" ht="16" customHeight="1">
      <c r="A2772" s="48" t="n"/>
      <c r="B2772" s="48" t="n"/>
      <c r="C2772" s="47" t="n"/>
      <c r="D2772" s="50" t="n"/>
      <c r="E2772" s="50" t="n"/>
      <c r="F2772" s="50" t="n"/>
      <c r="G2772" s="50" t="n"/>
      <c r="H2772" s="48" t="n"/>
      <c r="I2772" s="51" t="n"/>
      <c r="J2772" s="52" t="n"/>
      <c r="K2772" s="47" t="n"/>
      <c r="L2772" s="47" t="n"/>
      <c r="M2772" s="24">
        <f>IF(OR($A2772="",$C2772=""),"",IF($L2772&lt;&gt;"",$L2772-$C2772,TODAY()-$C2772))</f>
        <v/>
      </c>
      <c r="N2772" s="28">
        <f>IF(OR($A2772="",$K2772=""),"",IF($L2772="",IF(TODAY()&gt;$K2772,"Atrasado","En ruta"),IF($L2772&lt;=$K2772,"Sí","No")))</f>
        <v/>
      </c>
      <c r="O2772" s="24">
        <f>IF($A2772="","",COUNTIFS(NOVEDADES!$D$4:$D$1503,$A2772))</f>
        <v/>
      </c>
      <c r="P2772" s="28">
        <f>IF($A2772="","",IF(COUNTIFS(NOVEDADES!$D$4:$D$1503,$A2772,NOVEDADES!$O$4:$O$1503,"SÍ")&gt;0,"No","Sí"))</f>
        <v/>
      </c>
      <c r="Q2772" s="28">
        <f>IF(OR($A2772="",$L2772=""),"",IF(AND($N2772="Sí",$P2772="Sí"),"OTIF","Falló"))</f>
        <v/>
      </c>
    </row>
    <row r="2773" ht="16" customHeight="1">
      <c r="A2773" s="48" t="n"/>
      <c r="B2773" s="48" t="n"/>
      <c r="C2773" s="47" t="n"/>
      <c r="D2773" s="50" t="n"/>
      <c r="E2773" s="50" t="n"/>
      <c r="F2773" s="50" t="n"/>
      <c r="G2773" s="50" t="n"/>
      <c r="H2773" s="48" t="n"/>
      <c r="I2773" s="51" t="n"/>
      <c r="J2773" s="52" t="n"/>
      <c r="K2773" s="47" t="n"/>
      <c r="L2773" s="47" t="n"/>
      <c r="M2773" s="24">
        <f>IF(OR($A2773="",$C2773=""),"",IF($L2773&lt;&gt;"",$L2773-$C2773,TODAY()-$C2773))</f>
        <v/>
      </c>
      <c r="N2773" s="28">
        <f>IF(OR($A2773="",$K2773=""),"",IF($L2773="",IF(TODAY()&gt;$K2773,"Atrasado","En ruta"),IF($L2773&lt;=$K2773,"Sí","No")))</f>
        <v/>
      </c>
      <c r="O2773" s="24">
        <f>IF($A2773="","",COUNTIFS(NOVEDADES!$D$4:$D$1503,$A2773))</f>
        <v/>
      </c>
      <c r="P2773" s="28">
        <f>IF($A2773="","",IF(COUNTIFS(NOVEDADES!$D$4:$D$1503,$A2773,NOVEDADES!$O$4:$O$1503,"SÍ")&gt;0,"No","Sí"))</f>
        <v/>
      </c>
      <c r="Q2773" s="28">
        <f>IF(OR($A2773="",$L2773=""),"",IF(AND($N2773="Sí",$P2773="Sí"),"OTIF","Falló"))</f>
        <v/>
      </c>
    </row>
    <row r="2774" ht="16" customHeight="1">
      <c r="A2774" s="48" t="n"/>
      <c r="B2774" s="48" t="n"/>
      <c r="C2774" s="47" t="n"/>
      <c r="D2774" s="50" t="n"/>
      <c r="E2774" s="50" t="n"/>
      <c r="F2774" s="50" t="n"/>
      <c r="G2774" s="50" t="n"/>
      <c r="H2774" s="48" t="n"/>
      <c r="I2774" s="51" t="n"/>
      <c r="J2774" s="52" t="n"/>
      <c r="K2774" s="47" t="n"/>
      <c r="L2774" s="47" t="n"/>
      <c r="M2774" s="24">
        <f>IF(OR($A2774="",$C2774=""),"",IF($L2774&lt;&gt;"",$L2774-$C2774,TODAY()-$C2774))</f>
        <v/>
      </c>
      <c r="N2774" s="28">
        <f>IF(OR($A2774="",$K2774=""),"",IF($L2774="",IF(TODAY()&gt;$K2774,"Atrasado","En ruta"),IF($L2774&lt;=$K2774,"Sí","No")))</f>
        <v/>
      </c>
      <c r="O2774" s="24">
        <f>IF($A2774="","",COUNTIFS(NOVEDADES!$D$4:$D$1503,$A2774))</f>
        <v/>
      </c>
      <c r="P2774" s="28">
        <f>IF($A2774="","",IF(COUNTIFS(NOVEDADES!$D$4:$D$1503,$A2774,NOVEDADES!$O$4:$O$1503,"SÍ")&gt;0,"No","Sí"))</f>
        <v/>
      </c>
      <c r="Q2774" s="28">
        <f>IF(OR($A2774="",$L2774=""),"",IF(AND($N2774="Sí",$P2774="Sí"),"OTIF","Falló"))</f>
        <v/>
      </c>
    </row>
    <row r="2775" ht="16" customHeight="1">
      <c r="A2775" s="48" t="n"/>
      <c r="B2775" s="48" t="n"/>
      <c r="C2775" s="47" t="n"/>
      <c r="D2775" s="50" t="n"/>
      <c r="E2775" s="50" t="n"/>
      <c r="F2775" s="50" t="n"/>
      <c r="G2775" s="50" t="n"/>
      <c r="H2775" s="48" t="n"/>
      <c r="I2775" s="51" t="n"/>
      <c r="J2775" s="52" t="n"/>
      <c r="K2775" s="47" t="n"/>
      <c r="L2775" s="47" t="n"/>
      <c r="M2775" s="24">
        <f>IF(OR($A2775="",$C2775=""),"",IF($L2775&lt;&gt;"",$L2775-$C2775,TODAY()-$C2775))</f>
        <v/>
      </c>
      <c r="N2775" s="28">
        <f>IF(OR($A2775="",$K2775=""),"",IF($L2775="",IF(TODAY()&gt;$K2775,"Atrasado","En ruta"),IF($L2775&lt;=$K2775,"Sí","No")))</f>
        <v/>
      </c>
      <c r="O2775" s="24">
        <f>IF($A2775="","",COUNTIFS(NOVEDADES!$D$4:$D$1503,$A2775))</f>
        <v/>
      </c>
      <c r="P2775" s="28">
        <f>IF($A2775="","",IF(COUNTIFS(NOVEDADES!$D$4:$D$1503,$A2775,NOVEDADES!$O$4:$O$1503,"SÍ")&gt;0,"No","Sí"))</f>
        <v/>
      </c>
      <c r="Q2775" s="28">
        <f>IF(OR($A2775="",$L2775=""),"",IF(AND($N2775="Sí",$P2775="Sí"),"OTIF","Falló"))</f>
        <v/>
      </c>
    </row>
    <row r="2776" ht="16" customHeight="1">
      <c r="A2776" s="48" t="n"/>
      <c r="B2776" s="48" t="n"/>
      <c r="C2776" s="47" t="n"/>
      <c r="D2776" s="50" t="n"/>
      <c r="E2776" s="50" t="n"/>
      <c r="F2776" s="50" t="n"/>
      <c r="G2776" s="50" t="n"/>
      <c r="H2776" s="48" t="n"/>
      <c r="I2776" s="51" t="n"/>
      <c r="J2776" s="52" t="n"/>
      <c r="K2776" s="47" t="n"/>
      <c r="L2776" s="47" t="n"/>
      <c r="M2776" s="24">
        <f>IF(OR($A2776="",$C2776=""),"",IF($L2776&lt;&gt;"",$L2776-$C2776,TODAY()-$C2776))</f>
        <v/>
      </c>
      <c r="N2776" s="28">
        <f>IF(OR($A2776="",$K2776=""),"",IF($L2776="",IF(TODAY()&gt;$K2776,"Atrasado","En ruta"),IF($L2776&lt;=$K2776,"Sí","No")))</f>
        <v/>
      </c>
      <c r="O2776" s="24">
        <f>IF($A2776="","",COUNTIFS(NOVEDADES!$D$4:$D$1503,$A2776))</f>
        <v/>
      </c>
      <c r="P2776" s="28">
        <f>IF($A2776="","",IF(COUNTIFS(NOVEDADES!$D$4:$D$1503,$A2776,NOVEDADES!$O$4:$O$1503,"SÍ")&gt;0,"No","Sí"))</f>
        <v/>
      </c>
      <c r="Q2776" s="28">
        <f>IF(OR($A2776="",$L2776=""),"",IF(AND($N2776="Sí",$P2776="Sí"),"OTIF","Falló"))</f>
        <v/>
      </c>
    </row>
    <row r="2777" ht="16" customHeight="1">
      <c r="A2777" s="48" t="n"/>
      <c r="B2777" s="48" t="n"/>
      <c r="C2777" s="47" t="n"/>
      <c r="D2777" s="50" t="n"/>
      <c r="E2777" s="50" t="n"/>
      <c r="F2777" s="50" t="n"/>
      <c r="G2777" s="50" t="n"/>
      <c r="H2777" s="48" t="n"/>
      <c r="I2777" s="51" t="n"/>
      <c r="J2777" s="52" t="n"/>
      <c r="K2777" s="47" t="n"/>
      <c r="L2777" s="47" t="n"/>
      <c r="M2777" s="24">
        <f>IF(OR($A2777="",$C2777=""),"",IF($L2777&lt;&gt;"",$L2777-$C2777,TODAY()-$C2777))</f>
        <v/>
      </c>
      <c r="N2777" s="28">
        <f>IF(OR($A2777="",$K2777=""),"",IF($L2777="",IF(TODAY()&gt;$K2777,"Atrasado","En ruta"),IF($L2777&lt;=$K2777,"Sí","No")))</f>
        <v/>
      </c>
      <c r="O2777" s="24">
        <f>IF($A2777="","",COUNTIFS(NOVEDADES!$D$4:$D$1503,$A2777))</f>
        <v/>
      </c>
      <c r="P2777" s="28">
        <f>IF($A2777="","",IF(COUNTIFS(NOVEDADES!$D$4:$D$1503,$A2777,NOVEDADES!$O$4:$O$1503,"SÍ")&gt;0,"No","Sí"))</f>
        <v/>
      </c>
      <c r="Q2777" s="28">
        <f>IF(OR($A2777="",$L2777=""),"",IF(AND($N2777="Sí",$P2777="Sí"),"OTIF","Falló"))</f>
        <v/>
      </c>
    </row>
    <row r="2778" ht="16" customHeight="1">
      <c r="A2778" s="48" t="n"/>
      <c r="B2778" s="48" t="n"/>
      <c r="C2778" s="47" t="n"/>
      <c r="D2778" s="50" t="n"/>
      <c r="E2778" s="50" t="n"/>
      <c r="F2778" s="50" t="n"/>
      <c r="G2778" s="50" t="n"/>
      <c r="H2778" s="48" t="n"/>
      <c r="I2778" s="51" t="n"/>
      <c r="J2778" s="52" t="n"/>
      <c r="K2778" s="47" t="n"/>
      <c r="L2778" s="47" t="n"/>
      <c r="M2778" s="24">
        <f>IF(OR($A2778="",$C2778=""),"",IF($L2778&lt;&gt;"",$L2778-$C2778,TODAY()-$C2778))</f>
        <v/>
      </c>
      <c r="N2778" s="28">
        <f>IF(OR($A2778="",$K2778=""),"",IF($L2778="",IF(TODAY()&gt;$K2778,"Atrasado","En ruta"),IF($L2778&lt;=$K2778,"Sí","No")))</f>
        <v/>
      </c>
      <c r="O2778" s="24">
        <f>IF($A2778="","",COUNTIFS(NOVEDADES!$D$4:$D$1503,$A2778))</f>
        <v/>
      </c>
      <c r="P2778" s="28">
        <f>IF($A2778="","",IF(COUNTIFS(NOVEDADES!$D$4:$D$1503,$A2778,NOVEDADES!$O$4:$O$1503,"SÍ")&gt;0,"No","Sí"))</f>
        <v/>
      </c>
      <c r="Q2778" s="28">
        <f>IF(OR($A2778="",$L2778=""),"",IF(AND($N2778="Sí",$P2778="Sí"),"OTIF","Falló"))</f>
        <v/>
      </c>
    </row>
    <row r="2779" ht="16" customHeight="1">
      <c r="A2779" s="48" t="n"/>
      <c r="B2779" s="48" t="n"/>
      <c r="C2779" s="47" t="n"/>
      <c r="D2779" s="50" t="n"/>
      <c r="E2779" s="50" t="n"/>
      <c r="F2779" s="50" t="n"/>
      <c r="G2779" s="50" t="n"/>
      <c r="H2779" s="48" t="n"/>
      <c r="I2779" s="51" t="n"/>
      <c r="J2779" s="52" t="n"/>
      <c r="K2779" s="47" t="n"/>
      <c r="L2779" s="47" t="n"/>
      <c r="M2779" s="24">
        <f>IF(OR($A2779="",$C2779=""),"",IF($L2779&lt;&gt;"",$L2779-$C2779,TODAY()-$C2779))</f>
        <v/>
      </c>
      <c r="N2779" s="28">
        <f>IF(OR($A2779="",$K2779=""),"",IF($L2779="",IF(TODAY()&gt;$K2779,"Atrasado","En ruta"),IF($L2779&lt;=$K2779,"Sí","No")))</f>
        <v/>
      </c>
      <c r="O2779" s="24">
        <f>IF($A2779="","",COUNTIFS(NOVEDADES!$D$4:$D$1503,$A2779))</f>
        <v/>
      </c>
      <c r="P2779" s="28">
        <f>IF($A2779="","",IF(COUNTIFS(NOVEDADES!$D$4:$D$1503,$A2779,NOVEDADES!$O$4:$O$1503,"SÍ")&gt;0,"No","Sí"))</f>
        <v/>
      </c>
      <c r="Q2779" s="28">
        <f>IF(OR($A2779="",$L2779=""),"",IF(AND($N2779="Sí",$P2779="Sí"),"OTIF","Falló"))</f>
        <v/>
      </c>
    </row>
    <row r="2780" ht="16" customHeight="1">
      <c r="A2780" s="48" t="n"/>
      <c r="B2780" s="48" t="n"/>
      <c r="C2780" s="47" t="n"/>
      <c r="D2780" s="50" t="n"/>
      <c r="E2780" s="50" t="n"/>
      <c r="F2780" s="50" t="n"/>
      <c r="G2780" s="50" t="n"/>
      <c r="H2780" s="48" t="n"/>
      <c r="I2780" s="51" t="n"/>
      <c r="J2780" s="52" t="n"/>
      <c r="K2780" s="47" t="n"/>
      <c r="L2780" s="47" t="n"/>
      <c r="M2780" s="24">
        <f>IF(OR($A2780="",$C2780=""),"",IF($L2780&lt;&gt;"",$L2780-$C2780,TODAY()-$C2780))</f>
        <v/>
      </c>
      <c r="N2780" s="28">
        <f>IF(OR($A2780="",$K2780=""),"",IF($L2780="",IF(TODAY()&gt;$K2780,"Atrasado","En ruta"),IF($L2780&lt;=$K2780,"Sí","No")))</f>
        <v/>
      </c>
      <c r="O2780" s="24">
        <f>IF($A2780="","",COUNTIFS(NOVEDADES!$D$4:$D$1503,$A2780))</f>
        <v/>
      </c>
      <c r="P2780" s="28">
        <f>IF($A2780="","",IF(COUNTIFS(NOVEDADES!$D$4:$D$1503,$A2780,NOVEDADES!$O$4:$O$1503,"SÍ")&gt;0,"No","Sí"))</f>
        <v/>
      </c>
      <c r="Q2780" s="28">
        <f>IF(OR($A2780="",$L2780=""),"",IF(AND($N2780="Sí",$P2780="Sí"),"OTIF","Falló"))</f>
        <v/>
      </c>
    </row>
    <row r="2781" ht="16" customHeight="1">
      <c r="A2781" s="48" t="n"/>
      <c r="B2781" s="48" t="n"/>
      <c r="C2781" s="47" t="n"/>
      <c r="D2781" s="50" t="n"/>
      <c r="E2781" s="50" t="n"/>
      <c r="F2781" s="50" t="n"/>
      <c r="G2781" s="50" t="n"/>
      <c r="H2781" s="48" t="n"/>
      <c r="I2781" s="51" t="n"/>
      <c r="J2781" s="52" t="n"/>
      <c r="K2781" s="47" t="n"/>
      <c r="L2781" s="47" t="n"/>
      <c r="M2781" s="24">
        <f>IF(OR($A2781="",$C2781=""),"",IF($L2781&lt;&gt;"",$L2781-$C2781,TODAY()-$C2781))</f>
        <v/>
      </c>
      <c r="N2781" s="28">
        <f>IF(OR($A2781="",$K2781=""),"",IF($L2781="",IF(TODAY()&gt;$K2781,"Atrasado","En ruta"),IF($L2781&lt;=$K2781,"Sí","No")))</f>
        <v/>
      </c>
      <c r="O2781" s="24">
        <f>IF($A2781="","",COUNTIFS(NOVEDADES!$D$4:$D$1503,$A2781))</f>
        <v/>
      </c>
      <c r="P2781" s="28">
        <f>IF($A2781="","",IF(COUNTIFS(NOVEDADES!$D$4:$D$1503,$A2781,NOVEDADES!$O$4:$O$1503,"SÍ")&gt;0,"No","Sí"))</f>
        <v/>
      </c>
      <c r="Q2781" s="28">
        <f>IF(OR($A2781="",$L2781=""),"",IF(AND($N2781="Sí",$P2781="Sí"),"OTIF","Falló"))</f>
        <v/>
      </c>
    </row>
    <row r="2782" ht="16" customHeight="1">
      <c r="A2782" s="48" t="n"/>
      <c r="B2782" s="48" t="n"/>
      <c r="C2782" s="47" t="n"/>
      <c r="D2782" s="50" t="n"/>
      <c r="E2782" s="50" t="n"/>
      <c r="F2782" s="50" t="n"/>
      <c r="G2782" s="50" t="n"/>
      <c r="H2782" s="48" t="n"/>
      <c r="I2782" s="51" t="n"/>
      <c r="J2782" s="52" t="n"/>
      <c r="K2782" s="47" t="n"/>
      <c r="L2782" s="47" t="n"/>
      <c r="M2782" s="24">
        <f>IF(OR($A2782="",$C2782=""),"",IF($L2782&lt;&gt;"",$L2782-$C2782,TODAY()-$C2782))</f>
        <v/>
      </c>
      <c r="N2782" s="28">
        <f>IF(OR($A2782="",$K2782=""),"",IF($L2782="",IF(TODAY()&gt;$K2782,"Atrasado","En ruta"),IF($L2782&lt;=$K2782,"Sí","No")))</f>
        <v/>
      </c>
      <c r="O2782" s="24">
        <f>IF($A2782="","",COUNTIFS(NOVEDADES!$D$4:$D$1503,$A2782))</f>
        <v/>
      </c>
      <c r="P2782" s="28">
        <f>IF($A2782="","",IF(COUNTIFS(NOVEDADES!$D$4:$D$1503,$A2782,NOVEDADES!$O$4:$O$1503,"SÍ")&gt;0,"No","Sí"))</f>
        <v/>
      </c>
      <c r="Q2782" s="28">
        <f>IF(OR($A2782="",$L2782=""),"",IF(AND($N2782="Sí",$P2782="Sí"),"OTIF","Falló"))</f>
        <v/>
      </c>
    </row>
    <row r="2783" ht="16" customHeight="1">
      <c r="A2783" s="48" t="n"/>
      <c r="B2783" s="48" t="n"/>
      <c r="C2783" s="47" t="n"/>
      <c r="D2783" s="50" t="n"/>
      <c r="E2783" s="50" t="n"/>
      <c r="F2783" s="50" t="n"/>
      <c r="G2783" s="50" t="n"/>
      <c r="H2783" s="48" t="n"/>
      <c r="I2783" s="51" t="n"/>
      <c r="J2783" s="52" t="n"/>
      <c r="K2783" s="47" t="n"/>
      <c r="L2783" s="47" t="n"/>
      <c r="M2783" s="24">
        <f>IF(OR($A2783="",$C2783=""),"",IF($L2783&lt;&gt;"",$L2783-$C2783,TODAY()-$C2783))</f>
        <v/>
      </c>
      <c r="N2783" s="28">
        <f>IF(OR($A2783="",$K2783=""),"",IF($L2783="",IF(TODAY()&gt;$K2783,"Atrasado","En ruta"),IF($L2783&lt;=$K2783,"Sí","No")))</f>
        <v/>
      </c>
      <c r="O2783" s="24">
        <f>IF($A2783="","",COUNTIFS(NOVEDADES!$D$4:$D$1503,$A2783))</f>
        <v/>
      </c>
      <c r="P2783" s="28">
        <f>IF($A2783="","",IF(COUNTIFS(NOVEDADES!$D$4:$D$1503,$A2783,NOVEDADES!$O$4:$O$1503,"SÍ")&gt;0,"No","Sí"))</f>
        <v/>
      </c>
      <c r="Q2783" s="28">
        <f>IF(OR($A2783="",$L2783=""),"",IF(AND($N2783="Sí",$P2783="Sí"),"OTIF","Falló"))</f>
        <v/>
      </c>
    </row>
    <row r="2784" ht="16" customHeight="1">
      <c r="A2784" s="48" t="n"/>
      <c r="B2784" s="48" t="n"/>
      <c r="C2784" s="47" t="n"/>
      <c r="D2784" s="50" t="n"/>
      <c r="E2784" s="50" t="n"/>
      <c r="F2784" s="50" t="n"/>
      <c r="G2784" s="50" t="n"/>
      <c r="H2784" s="48" t="n"/>
      <c r="I2784" s="51" t="n"/>
      <c r="J2784" s="52" t="n"/>
      <c r="K2784" s="47" t="n"/>
      <c r="L2784" s="47" t="n"/>
      <c r="M2784" s="24">
        <f>IF(OR($A2784="",$C2784=""),"",IF($L2784&lt;&gt;"",$L2784-$C2784,TODAY()-$C2784))</f>
        <v/>
      </c>
      <c r="N2784" s="28">
        <f>IF(OR($A2784="",$K2784=""),"",IF($L2784="",IF(TODAY()&gt;$K2784,"Atrasado","En ruta"),IF($L2784&lt;=$K2784,"Sí","No")))</f>
        <v/>
      </c>
      <c r="O2784" s="24">
        <f>IF($A2784="","",COUNTIFS(NOVEDADES!$D$4:$D$1503,$A2784))</f>
        <v/>
      </c>
      <c r="P2784" s="28">
        <f>IF($A2784="","",IF(COUNTIFS(NOVEDADES!$D$4:$D$1503,$A2784,NOVEDADES!$O$4:$O$1503,"SÍ")&gt;0,"No","Sí"))</f>
        <v/>
      </c>
      <c r="Q2784" s="28">
        <f>IF(OR($A2784="",$L2784=""),"",IF(AND($N2784="Sí",$P2784="Sí"),"OTIF","Falló"))</f>
        <v/>
      </c>
    </row>
    <row r="2785" ht="16" customHeight="1">
      <c r="A2785" s="48" t="n"/>
      <c r="B2785" s="48" t="n"/>
      <c r="C2785" s="47" t="n"/>
      <c r="D2785" s="50" t="n"/>
      <c r="E2785" s="50" t="n"/>
      <c r="F2785" s="50" t="n"/>
      <c r="G2785" s="50" t="n"/>
      <c r="H2785" s="48" t="n"/>
      <c r="I2785" s="51" t="n"/>
      <c r="J2785" s="52" t="n"/>
      <c r="K2785" s="47" t="n"/>
      <c r="L2785" s="47" t="n"/>
      <c r="M2785" s="24">
        <f>IF(OR($A2785="",$C2785=""),"",IF($L2785&lt;&gt;"",$L2785-$C2785,TODAY()-$C2785))</f>
        <v/>
      </c>
      <c r="N2785" s="28">
        <f>IF(OR($A2785="",$K2785=""),"",IF($L2785="",IF(TODAY()&gt;$K2785,"Atrasado","En ruta"),IF($L2785&lt;=$K2785,"Sí","No")))</f>
        <v/>
      </c>
      <c r="O2785" s="24">
        <f>IF($A2785="","",COUNTIFS(NOVEDADES!$D$4:$D$1503,$A2785))</f>
        <v/>
      </c>
      <c r="P2785" s="28">
        <f>IF($A2785="","",IF(COUNTIFS(NOVEDADES!$D$4:$D$1503,$A2785,NOVEDADES!$O$4:$O$1503,"SÍ")&gt;0,"No","Sí"))</f>
        <v/>
      </c>
      <c r="Q2785" s="28">
        <f>IF(OR($A2785="",$L2785=""),"",IF(AND($N2785="Sí",$P2785="Sí"),"OTIF","Falló"))</f>
        <v/>
      </c>
    </row>
    <row r="2786" ht="16" customHeight="1">
      <c r="A2786" s="48" t="n"/>
      <c r="B2786" s="48" t="n"/>
      <c r="C2786" s="47" t="n"/>
      <c r="D2786" s="50" t="n"/>
      <c r="E2786" s="50" t="n"/>
      <c r="F2786" s="50" t="n"/>
      <c r="G2786" s="50" t="n"/>
      <c r="H2786" s="48" t="n"/>
      <c r="I2786" s="51" t="n"/>
      <c r="J2786" s="52" t="n"/>
      <c r="K2786" s="47" t="n"/>
      <c r="L2786" s="47" t="n"/>
      <c r="M2786" s="24">
        <f>IF(OR($A2786="",$C2786=""),"",IF($L2786&lt;&gt;"",$L2786-$C2786,TODAY()-$C2786))</f>
        <v/>
      </c>
      <c r="N2786" s="28">
        <f>IF(OR($A2786="",$K2786=""),"",IF($L2786="",IF(TODAY()&gt;$K2786,"Atrasado","En ruta"),IF($L2786&lt;=$K2786,"Sí","No")))</f>
        <v/>
      </c>
      <c r="O2786" s="24">
        <f>IF($A2786="","",COUNTIFS(NOVEDADES!$D$4:$D$1503,$A2786))</f>
        <v/>
      </c>
      <c r="P2786" s="28">
        <f>IF($A2786="","",IF(COUNTIFS(NOVEDADES!$D$4:$D$1503,$A2786,NOVEDADES!$O$4:$O$1503,"SÍ")&gt;0,"No","Sí"))</f>
        <v/>
      </c>
      <c r="Q2786" s="28">
        <f>IF(OR($A2786="",$L2786=""),"",IF(AND($N2786="Sí",$P2786="Sí"),"OTIF","Falló"))</f>
        <v/>
      </c>
    </row>
    <row r="2787" ht="16" customHeight="1">
      <c r="A2787" s="48" t="n"/>
      <c r="B2787" s="48" t="n"/>
      <c r="C2787" s="47" t="n"/>
      <c r="D2787" s="50" t="n"/>
      <c r="E2787" s="50" t="n"/>
      <c r="F2787" s="50" t="n"/>
      <c r="G2787" s="50" t="n"/>
      <c r="H2787" s="48" t="n"/>
      <c r="I2787" s="51" t="n"/>
      <c r="J2787" s="52" t="n"/>
      <c r="K2787" s="47" t="n"/>
      <c r="L2787" s="47" t="n"/>
      <c r="M2787" s="24">
        <f>IF(OR($A2787="",$C2787=""),"",IF($L2787&lt;&gt;"",$L2787-$C2787,TODAY()-$C2787))</f>
        <v/>
      </c>
      <c r="N2787" s="28">
        <f>IF(OR($A2787="",$K2787=""),"",IF($L2787="",IF(TODAY()&gt;$K2787,"Atrasado","En ruta"),IF($L2787&lt;=$K2787,"Sí","No")))</f>
        <v/>
      </c>
      <c r="O2787" s="24">
        <f>IF($A2787="","",COUNTIFS(NOVEDADES!$D$4:$D$1503,$A2787))</f>
        <v/>
      </c>
      <c r="P2787" s="28">
        <f>IF($A2787="","",IF(COUNTIFS(NOVEDADES!$D$4:$D$1503,$A2787,NOVEDADES!$O$4:$O$1503,"SÍ")&gt;0,"No","Sí"))</f>
        <v/>
      </c>
      <c r="Q2787" s="28">
        <f>IF(OR($A2787="",$L2787=""),"",IF(AND($N2787="Sí",$P2787="Sí"),"OTIF","Falló"))</f>
        <v/>
      </c>
    </row>
    <row r="2788" ht="16" customHeight="1">
      <c r="A2788" s="48" t="n"/>
      <c r="B2788" s="48" t="n"/>
      <c r="C2788" s="47" t="n"/>
      <c r="D2788" s="50" t="n"/>
      <c r="E2788" s="50" t="n"/>
      <c r="F2788" s="50" t="n"/>
      <c r="G2788" s="50" t="n"/>
      <c r="H2788" s="48" t="n"/>
      <c r="I2788" s="51" t="n"/>
      <c r="J2788" s="52" t="n"/>
      <c r="K2788" s="47" t="n"/>
      <c r="L2788" s="47" t="n"/>
      <c r="M2788" s="24">
        <f>IF(OR($A2788="",$C2788=""),"",IF($L2788&lt;&gt;"",$L2788-$C2788,TODAY()-$C2788))</f>
        <v/>
      </c>
      <c r="N2788" s="28">
        <f>IF(OR($A2788="",$K2788=""),"",IF($L2788="",IF(TODAY()&gt;$K2788,"Atrasado","En ruta"),IF($L2788&lt;=$K2788,"Sí","No")))</f>
        <v/>
      </c>
      <c r="O2788" s="24">
        <f>IF($A2788="","",COUNTIFS(NOVEDADES!$D$4:$D$1503,$A2788))</f>
        <v/>
      </c>
      <c r="P2788" s="28">
        <f>IF($A2788="","",IF(COUNTIFS(NOVEDADES!$D$4:$D$1503,$A2788,NOVEDADES!$O$4:$O$1503,"SÍ")&gt;0,"No","Sí"))</f>
        <v/>
      </c>
      <c r="Q2788" s="28">
        <f>IF(OR($A2788="",$L2788=""),"",IF(AND($N2788="Sí",$P2788="Sí"),"OTIF","Falló"))</f>
        <v/>
      </c>
    </row>
    <row r="2789" ht="16" customHeight="1">
      <c r="A2789" s="48" t="n"/>
      <c r="B2789" s="48" t="n"/>
      <c r="C2789" s="47" t="n"/>
      <c r="D2789" s="50" t="n"/>
      <c r="E2789" s="50" t="n"/>
      <c r="F2789" s="50" t="n"/>
      <c r="G2789" s="50" t="n"/>
      <c r="H2789" s="48" t="n"/>
      <c r="I2789" s="51" t="n"/>
      <c r="J2789" s="52" t="n"/>
      <c r="K2789" s="47" t="n"/>
      <c r="L2789" s="47" t="n"/>
      <c r="M2789" s="24">
        <f>IF(OR($A2789="",$C2789=""),"",IF($L2789&lt;&gt;"",$L2789-$C2789,TODAY()-$C2789))</f>
        <v/>
      </c>
      <c r="N2789" s="28">
        <f>IF(OR($A2789="",$K2789=""),"",IF($L2789="",IF(TODAY()&gt;$K2789,"Atrasado","En ruta"),IF($L2789&lt;=$K2789,"Sí","No")))</f>
        <v/>
      </c>
      <c r="O2789" s="24">
        <f>IF($A2789="","",COUNTIFS(NOVEDADES!$D$4:$D$1503,$A2789))</f>
        <v/>
      </c>
      <c r="P2789" s="28">
        <f>IF($A2789="","",IF(COUNTIFS(NOVEDADES!$D$4:$D$1503,$A2789,NOVEDADES!$O$4:$O$1503,"SÍ")&gt;0,"No","Sí"))</f>
        <v/>
      </c>
      <c r="Q2789" s="28">
        <f>IF(OR($A2789="",$L2789=""),"",IF(AND($N2789="Sí",$P2789="Sí"),"OTIF","Falló"))</f>
        <v/>
      </c>
    </row>
    <row r="2790" ht="16" customHeight="1">
      <c r="A2790" s="48" t="n"/>
      <c r="B2790" s="48" t="n"/>
      <c r="C2790" s="47" t="n"/>
      <c r="D2790" s="50" t="n"/>
      <c r="E2790" s="50" t="n"/>
      <c r="F2790" s="50" t="n"/>
      <c r="G2790" s="50" t="n"/>
      <c r="H2790" s="48" t="n"/>
      <c r="I2790" s="51" t="n"/>
      <c r="J2790" s="52" t="n"/>
      <c r="K2790" s="47" t="n"/>
      <c r="L2790" s="47" t="n"/>
      <c r="M2790" s="24">
        <f>IF(OR($A2790="",$C2790=""),"",IF($L2790&lt;&gt;"",$L2790-$C2790,TODAY()-$C2790))</f>
        <v/>
      </c>
      <c r="N2790" s="28">
        <f>IF(OR($A2790="",$K2790=""),"",IF($L2790="",IF(TODAY()&gt;$K2790,"Atrasado","En ruta"),IF($L2790&lt;=$K2790,"Sí","No")))</f>
        <v/>
      </c>
      <c r="O2790" s="24">
        <f>IF($A2790="","",COUNTIFS(NOVEDADES!$D$4:$D$1503,$A2790))</f>
        <v/>
      </c>
      <c r="P2790" s="28">
        <f>IF($A2790="","",IF(COUNTIFS(NOVEDADES!$D$4:$D$1503,$A2790,NOVEDADES!$O$4:$O$1503,"SÍ")&gt;0,"No","Sí"))</f>
        <v/>
      </c>
      <c r="Q2790" s="28">
        <f>IF(OR($A2790="",$L2790=""),"",IF(AND($N2790="Sí",$P2790="Sí"),"OTIF","Falló"))</f>
        <v/>
      </c>
    </row>
    <row r="2791" ht="16" customHeight="1">
      <c r="A2791" s="48" t="n"/>
      <c r="B2791" s="48" t="n"/>
      <c r="C2791" s="47" t="n"/>
      <c r="D2791" s="50" t="n"/>
      <c r="E2791" s="50" t="n"/>
      <c r="F2791" s="50" t="n"/>
      <c r="G2791" s="50" t="n"/>
      <c r="H2791" s="48" t="n"/>
      <c r="I2791" s="51" t="n"/>
      <c r="J2791" s="52" t="n"/>
      <c r="K2791" s="47" t="n"/>
      <c r="L2791" s="47" t="n"/>
      <c r="M2791" s="24">
        <f>IF(OR($A2791="",$C2791=""),"",IF($L2791&lt;&gt;"",$L2791-$C2791,TODAY()-$C2791))</f>
        <v/>
      </c>
      <c r="N2791" s="28">
        <f>IF(OR($A2791="",$K2791=""),"",IF($L2791="",IF(TODAY()&gt;$K2791,"Atrasado","En ruta"),IF($L2791&lt;=$K2791,"Sí","No")))</f>
        <v/>
      </c>
      <c r="O2791" s="24">
        <f>IF($A2791="","",COUNTIFS(NOVEDADES!$D$4:$D$1503,$A2791))</f>
        <v/>
      </c>
      <c r="P2791" s="28">
        <f>IF($A2791="","",IF(COUNTIFS(NOVEDADES!$D$4:$D$1503,$A2791,NOVEDADES!$O$4:$O$1503,"SÍ")&gt;0,"No","Sí"))</f>
        <v/>
      </c>
      <c r="Q2791" s="28">
        <f>IF(OR($A2791="",$L2791=""),"",IF(AND($N2791="Sí",$P2791="Sí"),"OTIF","Falló"))</f>
        <v/>
      </c>
    </row>
    <row r="2792" ht="16" customHeight="1">
      <c r="A2792" s="48" t="n"/>
      <c r="B2792" s="48" t="n"/>
      <c r="C2792" s="47" t="n"/>
      <c r="D2792" s="50" t="n"/>
      <c r="E2792" s="50" t="n"/>
      <c r="F2792" s="50" t="n"/>
      <c r="G2792" s="50" t="n"/>
      <c r="H2792" s="48" t="n"/>
      <c r="I2792" s="51" t="n"/>
      <c r="J2792" s="52" t="n"/>
      <c r="K2792" s="47" t="n"/>
      <c r="L2792" s="47" t="n"/>
      <c r="M2792" s="24">
        <f>IF(OR($A2792="",$C2792=""),"",IF($L2792&lt;&gt;"",$L2792-$C2792,TODAY()-$C2792))</f>
        <v/>
      </c>
      <c r="N2792" s="28">
        <f>IF(OR($A2792="",$K2792=""),"",IF($L2792="",IF(TODAY()&gt;$K2792,"Atrasado","En ruta"),IF($L2792&lt;=$K2792,"Sí","No")))</f>
        <v/>
      </c>
      <c r="O2792" s="24">
        <f>IF($A2792="","",COUNTIFS(NOVEDADES!$D$4:$D$1503,$A2792))</f>
        <v/>
      </c>
      <c r="P2792" s="28">
        <f>IF($A2792="","",IF(COUNTIFS(NOVEDADES!$D$4:$D$1503,$A2792,NOVEDADES!$O$4:$O$1503,"SÍ")&gt;0,"No","Sí"))</f>
        <v/>
      </c>
      <c r="Q2792" s="28">
        <f>IF(OR($A2792="",$L2792=""),"",IF(AND($N2792="Sí",$P2792="Sí"),"OTIF","Falló"))</f>
        <v/>
      </c>
    </row>
    <row r="2793" ht="16" customHeight="1">
      <c r="A2793" s="48" t="n"/>
      <c r="B2793" s="48" t="n"/>
      <c r="C2793" s="47" t="n"/>
      <c r="D2793" s="50" t="n"/>
      <c r="E2793" s="50" t="n"/>
      <c r="F2793" s="50" t="n"/>
      <c r="G2793" s="50" t="n"/>
      <c r="H2793" s="48" t="n"/>
      <c r="I2793" s="51" t="n"/>
      <c r="J2793" s="52" t="n"/>
      <c r="K2793" s="47" t="n"/>
      <c r="L2793" s="47" t="n"/>
      <c r="M2793" s="24">
        <f>IF(OR($A2793="",$C2793=""),"",IF($L2793&lt;&gt;"",$L2793-$C2793,TODAY()-$C2793))</f>
        <v/>
      </c>
      <c r="N2793" s="28">
        <f>IF(OR($A2793="",$K2793=""),"",IF($L2793="",IF(TODAY()&gt;$K2793,"Atrasado","En ruta"),IF($L2793&lt;=$K2793,"Sí","No")))</f>
        <v/>
      </c>
      <c r="O2793" s="24">
        <f>IF($A2793="","",COUNTIFS(NOVEDADES!$D$4:$D$1503,$A2793))</f>
        <v/>
      </c>
      <c r="P2793" s="28">
        <f>IF($A2793="","",IF(COUNTIFS(NOVEDADES!$D$4:$D$1503,$A2793,NOVEDADES!$O$4:$O$1503,"SÍ")&gt;0,"No","Sí"))</f>
        <v/>
      </c>
      <c r="Q2793" s="28">
        <f>IF(OR($A2793="",$L2793=""),"",IF(AND($N2793="Sí",$P2793="Sí"),"OTIF","Falló"))</f>
        <v/>
      </c>
    </row>
    <row r="2794" ht="16" customHeight="1">
      <c r="A2794" s="48" t="n"/>
      <c r="B2794" s="48" t="n"/>
      <c r="C2794" s="47" t="n"/>
      <c r="D2794" s="50" t="n"/>
      <c r="E2794" s="50" t="n"/>
      <c r="F2794" s="50" t="n"/>
      <c r="G2794" s="50" t="n"/>
      <c r="H2794" s="48" t="n"/>
      <c r="I2794" s="51" t="n"/>
      <c r="J2794" s="52" t="n"/>
      <c r="K2794" s="47" t="n"/>
      <c r="L2794" s="47" t="n"/>
      <c r="M2794" s="24">
        <f>IF(OR($A2794="",$C2794=""),"",IF($L2794&lt;&gt;"",$L2794-$C2794,TODAY()-$C2794))</f>
        <v/>
      </c>
      <c r="N2794" s="28">
        <f>IF(OR($A2794="",$K2794=""),"",IF($L2794="",IF(TODAY()&gt;$K2794,"Atrasado","En ruta"),IF($L2794&lt;=$K2794,"Sí","No")))</f>
        <v/>
      </c>
      <c r="O2794" s="24">
        <f>IF($A2794="","",COUNTIFS(NOVEDADES!$D$4:$D$1503,$A2794))</f>
        <v/>
      </c>
      <c r="P2794" s="28">
        <f>IF($A2794="","",IF(COUNTIFS(NOVEDADES!$D$4:$D$1503,$A2794,NOVEDADES!$O$4:$O$1503,"SÍ")&gt;0,"No","Sí"))</f>
        <v/>
      </c>
      <c r="Q2794" s="28">
        <f>IF(OR($A2794="",$L2794=""),"",IF(AND($N2794="Sí",$P2794="Sí"),"OTIF","Falló"))</f>
        <v/>
      </c>
    </row>
    <row r="2795" ht="16" customHeight="1">
      <c r="A2795" s="48" t="n"/>
      <c r="B2795" s="48" t="n"/>
      <c r="C2795" s="47" t="n"/>
      <c r="D2795" s="50" t="n"/>
      <c r="E2795" s="50" t="n"/>
      <c r="F2795" s="50" t="n"/>
      <c r="G2795" s="50" t="n"/>
      <c r="H2795" s="48" t="n"/>
      <c r="I2795" s="51" t="n"/>
      <c r="J2795" s="52" t="n"/>
      <c r="K2795" s="47" t="n"/>
      <c r="L2795" s="47" t="n"/>
      <c r="M2795" s="24">
        <f>IF(OR($A2795="",$C2795=""),"",IF($L2795&lt;&gt;"",$L2795-$C2795,TODAY()-$C2795))</f>
        <v/>
      </c>
      <c r="N2795" s="28">
        <f>IF(OR($A2795="",$K2795=""),"",IF($L2795="",IF(TODAY()&gt;$K2795,"Atrasado","En ruta"),IF($L2795&lt;=$K2795,"Sí","No")))</f>
        <v/>
      </c>
      <c r="O2795" s="24">
        <f>IF($A2795="","",COUNTIFS(NOVEDADES!$D$4:$D$1503,$A2795))</f>
        <v/>
      </c>
      <c r="P2795" s="28">
        <f>IF($A2795="","",IF(COUNTIFS(NOVEDADES!$D$4:$D$1503,$A2795,NOVEDADES!$O$4:$O$1503,"SÍ")&gt;0,"No","Sí"))</f>
        <v/>
      </c>
      <c r="Q2795" s="28">
        <f>IF(OR($A2795="",$L2795=""),"",IF(AND($N2795="Sí",$P2795="Sí"),"OTIF","Falló"))</f>
        <v/>
      </c>
    </row>
    <row r="2796" ht="16" customHeight="1">
      <c r="A2796" s="48" t="n"/>
      <c r="B2796" s="48" t="n"/>
      <c r="C2796" s="47" t="n"/>
      <c r="D2796" s="50" t="n"/>
      <c r="E2796" s="50" t="n"/>
      <c r="F2796" s="50" t="n"/>
      <c r="G2796" s="50" t="n"/>
      <c r="H2796" s="48" t="n"/>
      <c r="I2796" s="51" t="n"/>
      <c r="J2796" s="52" t="n"/>
      <c r="K2796" s="47" t="n"/>
      <c r="L2796" s="47" t="n"/>
      <c r="M2796" s="24">
        <f>IF(OR($A2796="",$C2796=""),"",IF($L2796&lt;&gt;"",$L2796-$C2796,TODAY()-$C2796))</f>
        <v/>
      </c>
      <c r="N2796" s="28">
        <f>IF(OR($A2796="",$K2796=""),"",IF($L2796="",IF(TODAY()&gt;$K2796,"Atrasado","En ruta"),IF($L2796&lt;=$K2796,"Sí","No")))</f>
        <v/>
      </c>
      <c r="O2796" s="24">
        <f>IF($A2796="","",COUNTIFS(NOVEDADES!$D$4:$D$1503,$A2796))</f>
        <v/>
      </c>
      <c r="P2796" s="28">
        <f>IF($A2796="","",IF(COUNTIFS(NOVEDADES!$D$4:$D$1503,$A2796,NOVEDADES!$O$4:$O$1503,"SÍ")&gt;0,"No","Sí"))</f>
        <v/>
      </c>
      <c r="Q2796" s="28">
        <f>IF(OR($A2796="",$L2796=""),"",IF(AND($N2796="Sí",$P2796="Sí"),"OTIF","Falló"))</f>
        <v/>
      </c>
    </row>
    <row r="2797" ht="16" customHeight="1">
      <c r="A2797" s="48" t="n"/>
      <c r="B2797" s="48" t="n"/>
      <c r="C2797" s="47" t="n"/>
      <c r="D2797" s="50" t="n"/>
      <c r="E2797" s="50" t="n"/>
      <c r="F2797" s="50" t="n"/>
      <c r="G2797" s="50" t="n"/>
      <c r="H2797" s="48" t="n"/>
      <c r="I2797" s="51" t="n"/>
      <c r="J2797" s="52" t="n"/>
      <c r="K2797" s="47" t="n"/>
      <c r="L2797" s="47" t="n"/>
      <c r="M2797" s="24">
        <f>IF(OR($A2797="",$C2797=""),"",IF($L2797&lt;&gt;"",$L2797-$C2797,TODAY()-$C2797))</f>
        <v/>
      </c>
      <c r="N2797" s="28">
        <f>IF(OR($A2797="",$K2797=""),"",IF($L2797="",IF(TODAY()&gt;$K2797,"Atrasado","En ruta"),IF($L2797&lt;=$K2797,"Sí","No")))</f>
        <v/>
      </c>
      <c r="O2797" s="24">
        <f>IF($A2797="","",COUNTIFS(NOVEDADES!$D$4:$D$1503,$A2797))</f>
        <v/>
      </c>
      <c r="P2797" s="28">
        <f>IF($A2797="","",IF(COUNTIFS(NOVEDADES!$D$4:$D$1503,$A2797,NOVEDADES!$O$4:$O$1503,"SÍ")&gt;0,"No","Sí"))</f>
        <v/>
      </c>
      <c r="Q2797" s="28">
        <f>IF(OR($A2797="",$L2797=""),"",IF(AND($N2797="Sí",$P2797="Sí"),"OTIF","Falló"))</f>
        <v/>
      </c>
    </row>
    <row r="2798" ht="16" customHeight="1">
      <c r="A2798" s="48" t="n"/>
      <c r="B2798" s="48" t="n"/>
      <c r="C2798" s="47" t="n"/>
      <c r="D2798" s="50" t="n"/>
      <c r="E2798" s="50" t="n"/>
      <c r="F2798" s="50" t="n"/>
      <c r="G2798" s="50" t="n"/>
      <c r="H2798" s="48" t="n"/>
      <c r="I2798" s="51" t="n"/>
      <c r="J2798" s="52" t="n"/>
      <c r="K2798" s="47" t="n"/>
      <c r="L2798" s="47" t="n"/>
      <c r="M2798" s="24">
        <f>IF(OR($A2798="",$C2798=""),"",IF($L2798&lt;&gt;"",$L2798-$C2798,TODAY()-$C2798))</f>
        <v/>
      </c>
      <c r="N2798" s="28">
        <f>IF(OR($A2798="",$K2798=""),"",IF($L2798="",IF(TODAY()&gt;$K2798,"Atrasado","En ruta"),IF($L2798&lt;=$K2798,"Sí","No")))</f>
        <v/>
      </c>
      <c r="O2798" s="24">
        <f>IF($A2798="","",COUNTIFS(NOVEDADES!$D$4:$D$1503,$A2798))</f>
        <v/>
      </c>
      <c r="P2798" s="28">
        <f>IF($A2798="","",IF(COUNTIFS(NOVEDADES!$D$4:$D$1503,$A2798,NOVEDADES!$O$4:$O$1503,"SÍ")&gt;0,"No","Sí"))</f>
        <v/>
      </c>
      <c r="Q2798" s="28">
        <f>IF(OR($A2798="",$L2798=""),"",IF(AND($N2798="Sí",$P2798="Sí"),"OTIF","Falló"))</f>
        <v/>
      </c>
    </row>
    <row r="2799" ht="16" customHeight="1">
      <c r="A2799" s="48" t="n"/>
      <c r="B2799" s="48" t="n"/>
      <c r="C2799" s="47" t="n"/>
      <c r="D2799" s="50" t="n"/>
      <c r="E2799" s="50" t="n"/>
      <c r="F2799" s="50" t="n"/>
      <c r="G2799" s="50" t="n"/>
      <c r="H2799" s="48" t="n"/>
      <c r="I2799" s="51" t="n"/>
      <c r="J2799" s="52" t="n"/>
      <c r="K2799" s="47" t="n"/>
      <c r="L2799" s="47" t="n"/>
      <c r="M2799" s="24">
        <f>IF(OR($A2799="",$C2799=""),"",IF($L2799&lt;&gt;"",$L2799-$C2799,TODAY()-$C2799))</f>
        <v/>
      </c>
      <c r="N2799" s="28">
        <f>IF(OR($A2799="",$K2799=""),"",IF($L2799="",IF(TODAY()&gt;$K2799,"Atrasado","En ruta"),IF($L2799&lt;=$K2799,"Sí","No")))</f>
        <v/>
      </c>
      <c r="O2799" s="24">
        <f>IF($A2799="","",COUNTIFS(NOVEDADES!$D$4:$D$1503,$A2799))</f>
        <v/>
      </c>
      <c r="P2799" s="28">
        <f>IF($A2799="","",IF(COUNTIFS(NOVEDADES!$D$4:$D$1503,$A2799,NOVEDADES!$O$4:$O$1503,"SÍ")&gt;0,"No","Sí"))</f>
        <v/>
      </c>
      <c r="Q2799" s="28">
        <f>IF(OR($A2799="",$L2799=""),"",IF(AND($N2799="Sí",$P2799="Sí"),"OTIF","Falló"))</f>
        <v/>
      </c>
    </row>
    <row r="2800" ht="16" customHeight="1">
      <c r="A2800" s="48" t="n"/>
      <c r="B2800" s="48" t="n"/>
      <c r="C2800" s="47" t="n"/>
      <c r="D2800" s="50" t="n"/>
      <c r="E2800" s="50" t="n"/>
      <c r="F2800" s="50" t="n"/>
      <c r="G2800" s="50" t="n"/>
      <c r="H2800" s="48" t="n"/>
      <c r="I2800" s="51" t="n"/>
      <c r="J2800" s="52" t="n"/>
      <c r="K2800" s="47" t="n"/>
      <c r="L2800" s="47" t="n"/>
      <c r="M2800" s="24">
        <f>IF(OR($A2800="",$C2800=""),"",IF($L2800&lt;&gt;"",$L2800-$C2800,TODAY()-$C2800))</f>
        <v/>
      </c>
      <c r="N2800" s="28">
        <f>IF(OR($A2800="",$K2800=""),"",IF($L2800="",IF(TODAY()&gt;$K2800,"Atrasado","En ruta"),IF($L2800&lt;=$K2800,"Sí","No")))</f>
        <v/>
      </c>
      <c r="O2800" s="24">
        <f>IF($A2800="","",COUNTIFS(NOVEDADES!$D$4:$D$1503,$A2800))</f>
        <v/>
      </c>
      <c r="P2800" s="28">
        <f>IF($A2800="","",IF(COUNTIFS(NOVEDADES!$D$4:$D$1503,$A2800,NOVEDADES!$O$4:$O$1503,"SÍ")&gt;0,"No","Sí"))</f>
        <v/>
      </c>
      <c r="Q2800" s="28">
        <f>IF(OR($A2800="",$L2800=""),"",IF(AND($N2800="Sí",$P2800="Sí"),"OTIF","Falló"))</f>
        <v/>
      </c>
    </row>
    <row r="2801" ht="16" customHeight="1">
      <c r="A2801" s="48" t="n"/>
      <c r="B2801" s="48" t="n"/>
      <c r="C2801" s="47" t="n"/>
      <c r="D2801" s="50" t="n"/>
      <c r="E2801" s="50" t="n"/>
      <c r="F2801" s="50" t="n"/>
      <c r="G2801" s="50" t="n"/>
      <c r="H2801" s="48" t="n"/>
      <c r="I2801" s="51" t="n"/>
      <c r="J2801" s="52" t="n"/>
      <c r="K2801" s="47" t="n"/>
      <c r="L2801" s="47" t="n"/>
      <c r="M2801" s="24">
        <f>IF(OR($A2801="",$C2801=""),"",IF($L2801&lt;&gt;"",$L2801-$C2801,TODAY()-$C2801))</f>
        <v/>
      </c>
      <c r="N2801" s="28">
        <f>IF(OR($A2801="",$K2801=""),"",IF($L2801="",IF(TODAY()&gt;$K2801,"Atrasado","En ruta"),IF($L2801&lt;=$K2801,"Sí","No")))</f>
        <v/>
      </c>
      <c r="O2801" s="24">
        <f>IF($A2801="","",COUNTIFS(NOVEDADES!$D$4:$D$1503,$A2801))</f>
        <v/>
      </c>
      <c r="P2801" s="28">
        <f>IF($A2801="","",IF(COUNTIFS(NOVEDADES!$D$4:$D$1503,$A2801,NOVEDADES!$O$4:$O$1503,"SÍ")&gt;0,"No","Sí"))</f>
        <v/>
      </c>
      <c r="Q2801" s="28">
        <f>IF(OR($A2801="",$L2801=""),"",IF(AND($N2801="Sí",$P2801="Sí"),"OTIF","Falló"))</f>
        <v/>
      </c>
    </row>
    <row r="2802" ht="16" customHeight="1">
      <c r="A2802" s="48" t="n"/>
      <c r="B2802" s="48" t="n"/>
      <c r="C2802" s="47" t="n"/>
      <c r="D2802" s="50" t="n"/>
      <c r="E2802" s="50" t="n"/>
      <c r="F2802" s="50" t="n"/>
      <c r="G2802" s="50" t="n"/>
      <c r="H2802" s="48" t="n"/>
      <c r="I2802" s="51" t="n"/>
      <c r="J2802" s="52" t="n"/>
      <c r="K2802" s="47" t="n"/>
      <c r="L2802" s="47" t="n"/>
      <c r="M2802" s="24">
        <f>IF(OR($A2802="",$C2802=""),"",IF($L2802&lt;&gt;"",$L2802-$C2802,TODAY()-$C2802))</f>
        <v/>
      </c>
      <c r="N2802" s="28">
        <f>IF(OR($A2802="",$K2802=""),"",IF($L2802="",IF(TODAY()&gt;$K2802,"Atrasado","En ruta"),IF($L2802&lt;=$K2802,"Sí","No")))</f>
        <v/>
      </c>
      <c r="O2802" s="24">
        <f>IF($A2802="","",COUNTIFS(NOVEDADES!$D$4:$D$1503,$A2802))</f>
        <v/>
      </c>
      <c r="P2802" s="28">
        <f>IF($A2802="","",IF(COUNTIFS(NOVEDADES!$D$4:$D$1503,$A2802,NOVEDADES!$O$4:$O$1503,"SÍ")&gt;0,"No","Sí"))</f>
        <v/>
      </c>
      <c r="Q2802" s="28">
        <f>IF(OR($A2802="",$L2802=""),"",IF(AND($N2802="Sí",$P2802="Sí"),"OTIF","Falló"))</f>
        <v/>
      </c>
    </row>
    <row r="2803" ht="16" customHeight="1">
      <c r="A2803" s="48" t="n"/>
      <c r="B2803" s="48" t="n"/>
      <c r="C2803" s="47" t="n"/>
      <c r="D2803" s="50" t="n"/>
      <c r="E2803" s="50" t="n"/>
      <c r="F2803" s="50" t="n"/>
      <c r="G2803" s="50" t="n"/>
      <c r="H2803" s="48" t="n"/>
      <c r="I2803" s="51" t="n"/>
      <c r="J2803" s="52" t="n"/>
      <c r="K2803" s="47" t="n"/>
      <c r="L2803" s="47" t="n"/>
      <c r="M2803" s="24">
        <f>IF(OR($A2803="",$C2803=""),"",IF($L2803&lt;&gt;"",$L2803-$C2803,TODAY()-$C2803))</f>
        <v/>
      </c>
      <c r="N2803" s="28">
        <f>IF(OR($A2803="",$K2803=""),"",IF($L2803="",IF(TODAY()&gt;$K2803,"Atrasado","En ruta"),IF($L2803&lt;=$K2803,"Sí","No")))</f>
        <v/>
      </c>
      <c r="O2803" s="24">
        <f>IF($A2803="","",COUNTIFS(NOVEDADES!$D$4:$D$1503,$A2803))</f>
        <v/>
      </c>
      <c r="P2803" s="28">
        <f>IF($A2803="","",IF(COUNTIFS(NOVEDADES!$D$4:$D$1503,$A2803,NOVEDADES!$O$4:$O$1503,"SÍ")&gt;0,"No","Sí"))</f>
        <v/>
      </c>
      <c r="Q2803" s="28">
        <f>IF(OR($A2803="",$L2803=""),"",IF(AND($N2803="Sí",$P2803="Sí"),"OTIF","Falló"))</f>
        <v/>
      </c>
    </row>
    <row r="2804" ht="16" customHeight="1">
      <c r="A2804" s="48" t="n"/>
      <c r="B2804" s="48" t="n"/>
      <c r="C2804" s="47" t="n"/>
      <c r="D2804" s="50" t="n"/>
      <c r="E2804" s="50" t="n"/>
      <c r="F2804" s="50" t="n"/>
      <c r="G2804" s="50" t="n"/>
      <c r="H2804" s="48" t="n"/>
      <c r="I2804" s="51" t="n"/>
      <c r="J2804" s="52" t="n"/>
      <c r="K2804" s="47" t="n"/>
      <c r="L2804" s="47" t="n"/>
      <c r="M2804" s="24">
        <f>IF(OR($A2804="",$C2804=""),"",IF($L2804&lt;&gt;"",$L2804-$C2804,TODAY()-$C2804))</f>
        <v/>
      </c>
      <c r="N2804" s="28">
        <f>IF(OR($A2804="",$K2804=""),"",IF($L2804="",IF(TODAY()&gt;$K2804,"Atrasado","En ruta"),IF($L2804&lt;=$K2804,"Sí","No")))</f>
        <v/>
      </c>
      <c r="O2804" s="24">
        <f>IF($A2804="","",COUNTIFS(NOVEDADES!$D$4:$D$1503,$A2804))</f>
        <v/>
      </c>
      <c r="P2804" s="28">
        <f>IF($A2804="","",IF(COUNTIFS(NOVEDADES!$D$4:$D$1503,$A2804,NOVEDADES!$O$4:$O$1503,"SÍ")&gt;0,"No","Sí"))</f>
        <v/>
      </c>
      <c r="Q2804" s="28">
        <f>IF(OR($A2804="",$L2804=""),"",IF(AND($N2804="Sí",$P2804="Sí"),"OTIF","Falló"))</f>
        <v/>
      </c>
    </row>
    <row r="2805" ht="16" customHeight="1">
      <c r="A2805" s="48" t="n"/>
      <c r="B2805" s="48" t="n"/>
      <c r="C2805" s="47" t="n"/>
      <c r="D2805" s="50" t="n"/>
      <c r="E2805" s="50" t="n"/>
      <c r="F2805" s="50" t="n"/>
      <c r="G2805" s="50" t="n"/>
      <c r="H2805" s="48" t="n"/>
      <c r="I2805" s="51" t="n"/>
      <c r="J2805" s="52" t="n"/>
      <c r="K2805" s="47" t="n"/>
      <c r="L2805" s="47" t="n"/>
      <c r="M2805" s="24">
        <f>IF(OR($A2805="",$C2805=""),"",IF($L2805&lt;&gt;"",$L2805-$C2805,TODAY()-$C2805))</f>
        <v/>
      </c>
      <c r="N2805" s="28">
        <f>IF(OR($A2805="",$K2805=""),"",IF($L2805="",IF(TODAY()&gt;$K2805,"Atrasado","En ruta"),IF($L2805&lt;=$K2805,"Sí","No")))</f>
        <v/>
      </c>
      <c r="O2805" s="24">
        <f>IF($A2805="","",COUNTIFS(NOVEDADES!$D$4:$D$1503,$A2805))</f>
        <v/>
      </c>
      <c r="P2805" s="28">
        <f>IF($A2805="","",IF(COUNTIFS(NOVEDADES!$D$4:$D$1503,$A2805,NOVEDADES!$O$4:$O$1503,"SÍ")&gt;0,"No","Sí"))</f>
        <v/>
      </c>
      <c r="Q2805" s="28">
        <f>IF(OR($A2805="",$L2805=""),"",IF(AND($N2805="Sí",$P2805="Sí"),"OTIF","Falló"))</f>
        <v/>
      </c>
    </row>
    <row r="2806" ht="16" customHeight="1">
      <c r="A2806" s="48" t="n"/>
      <c r="B2806" s="48" t="n"/>
      <c r="C2806" s="47" t="n"/>
      <c r="D2806" s="50" t="n"/>
      <c r="E2806" s="50" t="n"/>
      <c r="F2806" s="50" t="n"/>
      <c r="G2806" s="50" t="n"/>
      <c r="H2806" s="48" t="n"/>
      <c r="I2806" s="51" t="n"/>
      <c r="J2806" s="52" t="n"/>
      <c r="K2806" s="47" t="n"/>
      <c r="L2806" s="47" t="n"/>
      <c r="M2806" s="24">
        <f>IF(OR($A2806="",$C2806=""),"",IF($L2806&lt;&gt;"",$L2806-$C2806,TODAY()-$C2806))</f>
        <v/>
      </c>
      <c r="N2806" s="28">
        <f>IF(OR($A2806="",$K2806=""),"",IF($L2806="",IF(TODAY()&gt;$K2806,"Atrasado","En ruta"),IF($L2806&lt;=$K2806,"Sí","No")))</f>
        <v/>
      </c>
      <c r="O2806" s="24">
        <f>IF($A2806="","",COUNTIFS(NOVEDADES!$D$4:$D$1503,$A2806))</f>
        <v/>
      </c>
      <c r="P2806" s="28">
        <f>IF($A2806="","",IF(COUNTIFS(NOVEDADES!$D$4:$D$1503,$A2806,NOVEDADES!$O$4:$O$1503,"SÍ")&gt;0,"No","Sí"))</f>
        <v/>
      </c>
      <c r="Q2806" s="28">
        <f>IF(OR($A2806="",$L2806=""),"",IF(AND($N2806="Sí",$P2806="Sí"),"OTIF","Falló"))</f>
        <v/>
      </c>
    </row>
    <row r="2807" ht="16" customHeight="1">
      <c r="A2807" s="48" t="n"/>
      <c r="B2807" s="48" t="n"/>
      <c r="C2807" s="47" t="n"/>
      <c r="D2807" s="50" t="n"/>
      <c r="E2807" s="50" t="n"/>
      <c r="F2807" s="50" t="n"/>
      <c r="G2807" s="50" t="n"/>
      <c r="H2807" s="48" t="n"/>
      <c r="I2807" s="51" t="n"/>
      <c r="J2807" s="52" t="n"/>
      <c r="K2807" s="47" t="n"/>
      <c r="L2807" s="47" t="n"/>
      <c r="M2807" s="24">
        <f>IF(OR($A2807="",$C2807=""),"",IF($L2807&lt;&gt;"",$L2807-$C2807,TODAY()-$C2807))</f>
        <v/>
      </c>
      <c r="N2807" s="28">
        <f>IF(OR($A2807="",$K2807=""),"",IF($L2807="",IF(TODAY()&gt;$K2807,"Atrasado","En ruta"),IF($L2807&lt;=$K2807,"Sí","No")))</f>
        <v/>
      </c>
      <c r="O2807" s="24">
        <f>IF($A2807="","",COUNTIFS(NOVEDADES!$D$4:$D$1503,$A2807))</f>
        <v/>
      </c>
      <c r="P2807" s="28">
        <f>IF($A2807="","",IF(COUNTIFS(NOVEDADES!$D$4:$D$1503,$A2807,NOVEDADES!$O$4:$O$1503,"SÍ")&gt;0,"No","Sí"))</f>
        <v/>
      </c>
      <c r="Q2807" s="28">
        <f>IF(OR($A2807="",$L2807=""),"",IF(AND($N2807="Sí",$P2807="Sí"),"OTIF","Falló"))</f>
        <v/>
      </c>
    </row>
    <row r="2808" ht="16" customHeight="1">
      <c r="A2808" s="48" t="n"/>
      <c r="B2808" s="48" t="n"/>
      <c r="C2808" s="47" t="n"/>
      <c r="D2808" s="50" t="n"/>
      <c r="E2808" s="50" t="n"/>
      <c r="F2808" s="50" t="n"/>
      <c r="G2808" s="50" t="n"/>
      <c r="H2808" s="48" t="n"/>
      <c r="I2808" s="51" t="n"/>
      <c r="J2808" s="52" t="n"/>
      <c r="K2808" s="47" t="n"/>
      <c r="L2808" s="47" t="n"/>
      <c r="M2808" s="24">
        <f>IF(OR($A2808="",$C2808=""),"",IF($L2808&lt;&gt;"",$L2808-$C2808,TODAY()-$C2808))</f>
        <v/>
      </c>
      <c r="N2808" s="28">
        <f>IF(OR($A2808="",$K2808=""),"",IF($L2808="",IF(TODAY()&gt;$K2808,"Atrasado","En ruta"),IF($L2808&lt;=$K2808,"Sí","No")))</f>
        <v/>
      </c>
      <c r="O2808" s="24">
        <f>IF($A2808="","",COUNTIFS(NOVEDADES!$D$4:$D$1503,$A2808))</f>
        <v/>
      </c>
      <c r="P2808" s="28">
        <f>IF($A2808="","",IF(COUNTIFS(NOVEDADES!$D$4:$D$1503,$A2808,NOVEDADES!$O$4:$O$1503,"SÍ")&gt;0,"No","Sí"))</f>
        <v/>
      </c>
      <c r="Q2808" s="28">
        <f>IF(OR($A2808="",$L2808=""),"",IF(AND($N2808="Sí",$P2808="Sí"),"OTIF","Falló"))</f>
        <v/>
      </c>
    </row>
    <row r="2809" ht="16" customHeight="1">
      <c r="A2809" s="48" t="n"/>
      <c r="B2809" s="48" t="n"/>
      <c r="C2809" s="47" t="n"/>
      <c r="D2809" s="50" t="n"/>
      <c r="E2809" s="50" t="n"/>
      <c r="F2809" s="50" t="n"/>
      <c r="G2809" s="50" t="n"/>
      <c r="H2809" s="48" t="n"/>
      <c r="I2809" s="51" t="n"/>
      <c r="J2809" s="52" t="n"/>
      <c r="K2809" s="47" t="n"/>
      <c r="L2809" s="47" t="n"/>
      <c r="M2809" s="24">
        <f>IF(OR($A2809="",$C2809=""),"",IF($L2809&lt;&gt;"",$L2809-$C2809,TODAY()-$C2809))</f>
        <v/>
      </c>
      <c r="N2809" s="28">
        <f>IF(OR($A2809="",$K2809=""),"",IF($L2809="",IF(TODAY()&gt;$K2809,"Atrasado","En ruta"),IF($L2809&lt;=$K2809,"Sí","No")))</f>
        <v/>
      </c>
      <c r="O2809" s="24">
        <f>IF($A2809="","",COUNTIFS(NOVEDADES!$D$4:$D$1503,$A2809))</f>
        <v/>
      </c>
      <c r="P2809" s="28">
        <f>IF($A2809="","",IF(COUNTIFS(NOVEDADES!$D$4:$D$1503,$A2809,NOVEDADES!$O$4:$O$1503,"SÍ")&gt;0,"No","Sí"))</f>
        <v/>
      </c>
      <c r="Q2809" s="28">
        <f>IF(OR($A2809="",$L2809=""),"",IF(AND($N2809="Sí",$P2809="Sí"),"OTIF","Falló"))</f>
        <v/>
      </c>
    </row>
    <row r="2810" ht="16" customHeight="1">
      <c r="A2810" s="48" t="n"/>
      <c r="B2810" s="48" t="n"/>
      <c r="C2810" s="47" t="n"/>
      <c r="D2810" s="50" t="n"/>
      <c r="E2810" s="50" t="n"/>
      <c r="F2810" s="50" t="n"/>
      <c r="G2810" s="50" t="n"/>
      <c r="H2810" s="48" t="n"/>
      <c r="I2810" s="51" t="n"/>
      <c r="J2810" s="52" t="n"/>
      <c r="K2810" s="47" t="n"/>
      <c r="L2810" s="47" t="n"/>
      <c r="M2810" s="24">
        <f>IF(OR($A2810="",$C2810=""),"",IF($L2810&lt;&gt;"",$L2810-$C2810,TODAY()-$C2810))</f>
        <v/>
      </c>
      <c r="N2810" s="28">
        <f>IF(OR($A2810="",$K2810=""),"",IF($L2810="",IF(TODAY()&gt;$K2810,"Atrasado","En ruta"),IF($L2810&lt;=$K2810,"Sí","No")))</f>
        <v/>
      </c>
      <c r="O2810" s="24">
        <f>IF($A2810="","",COUNTIFS(NOVEDADES!$D$4:$D$1503,$A2810))</f>
        <v/>
      </c>
      <c r="P2810" s="28">
        <f>IF($A2810="","",IF(COUNTIFS(NOVEDADES!$D$4:$D$1503,$A2810,NOVEDADES!$O$4:$O$1503,"SÍ")&gt;0,"No","Sí"))</f>
        <v/>
      </c>
      <c r="Q2810" s="28">
        <f>IF(OR($A2810="",$L2810=""),"",IF(AND($N2810="Sí",$P2810="Sí"),"OTIF","Falló"))</f>
        <v/>
      </c>
    </row>
    <row r="2811" ht="16" customHeight="1">
      <c r="A2811" s="48" t="n"/>
      <c r="B2811" s="48" t="n"/>
      <c r="C2811" s="47" t="n"/>
      <c r="D2811" s="50" t="n"/>
      <c r="E2811" s="50" t="n"/>
      <c r="F2811" s="50" t="n"/>
      <c r="G2811" s="50" t="n"/>
      <c r="H2811" s="48" t="n"/>
      <c r="I2811" s="51" t="n"/>
      <c r="J2811" s="52" t="n"/>
      <c r="K2811" s="47" t="n"/>
      <c r="L2811" s="47" t="n"/>
      <c r="M2811" s="24">
        <f>IF(OR($A2811="",$C2811=""),"",IF($L2811&lt;&gt;"",$L2811-$C2811,TODAY()-$C2811))</f>
        <v/>
      </c>
      <c r="N2811" s="28">
        <f>IF(OR($A2811="",$K2811=""),"",IF($L2811="",IF(TODAY()&gt;$K2811,"Atrasado","En ruta"),IF($L2811&lt;=$K2811,"Sí","No")))</f>
        <v/>
      </c>
      <c r="O2811" s="24">
        <f>IF($A2811="","",COUNTIFS(NOVEDADES!$D$4:$D$1503,$A2811))</f>
        <v/>
      </c>
      <c r="P2811" s="28">
        <f>IF($A2811="","",IF(COUNTIFS(NOVEDADES!$D$4:$D$1503,$A2811,NOVEDADES!$O$4:$O$1503,"SÍ")&gt;0,"No","Sí"))</f>
        <v/>
      </c>
      <c r="Q2811" s="28">
        <f>IF(OR($A2811="",$L2811=""),"",IF(AND($N2811="Sí",$P2811="Sí"),"OTIF","Falló"))</f>
        <v/>
      </c>
    </row>
    <row r="2812" ht="16" customHeight="1">
      <c r="A2812" s="48" t="n"/>
      <c r="B2812" s="48" t="n"/>
      <c r="C2812" s="47" t="n"/>
      <c r="D2812" s="50" t="n"/>
      <c r="E2812" s="50" t="n"/>
      <c r="F2812" s="50" t="n"/>
      <c r="G2812" s="50" t="n"/>
      <c r="H2812" s="48" t="n"/>
      <c r="I2812" s="51" t="n"/>
      <c r="J2812" s="52" t="n"/>
      <c r="K2812" s="47" t="n"/>
      <c r="L2812" s="47" t="n"/>
      <c r="M2812" s="24">
        <f>IF(OR($A2812="",$C2812=""),"",IF($L2812&lt;&gt;"",$L2812-$C2812,TODAY()-$C2812))</f>
        <v/>
      </c>
      <c r="N2812" s="28">
        <f>IF(OR($A2812="",$K2812=""),"",IF($L2812="",IF(TODAY()&gt;$K2812,"Atrasado","En ruta"),IF($L2812&lt;=$K2812,"Sí","No")))</f>
        <v/>
      </c>
      <c r="O2812" s="24">
        <f>IF($A2812="","",COUNTIFS(NOVEDADES!$D$4:$D$1503,$A2812))</f>
        <v/>
      </c>
      <c r="P2812" s="28">
        <f>IF($A2812="","",IF(COUNTIFS(NOVEDADES!$D$4:$D$1503,$A2812,NOVEDADES!$O$4:$O$1503,"SÍ")&gt;0,"No","Sí"))</f>
        <v/>
      </c>
      <c r="Q2812" s="28">
        <f>IF(OR($A2812="",$L2812=""),"",IF(AND($N2812="Sí",$P2812="Sí"),"OTIF","Falló"))</f>
        <v/>
      </c>
    </row>
    <row r="2813" ht="16" customHeight="1">
      <c r="A2813" s="48" t="n"/>
      <c r="B2813" s="48" t="n"/>
      <c r="C2813" s="47" t="n"/>
      <c r="D2813" s="50" t="n"/>
      <c r="E2813" s="50" t="n"/>
      <c r="F2813" s="50" t="n"/>
      <c r="G2813" s="50" t="n"/>
      <c r="H2813" s="48" t="n"/>
      <c r="I2813" s="51" t="n"/>
      <c r="J2813" s="52" t="n"/>
      <c r="K2813" s="47" t="n"/>
      <c r="L2813" s="47" t="n"/>
      <c r="M2813" s="24">
        <f>IF(OR($A2813="",$C2813=""),"",IF($L2813&lt;&gt;"",$L2813-$C2813,TODAY()-$C2813))</f>
        <v/>
      </c>
      <c r="N2813" s="28">
        <f>IF(OR($A2813="",$K2813=""),"",IF($L2813="",IF(TODAY()&gt;$K2813,"Atrasado","En ruta"),IF($L2813&lt;=$K2813,"Sí","No")))</f>
        <v/>
      </c>
      <c r="O2813" s="24">
        <f>IF($A2813="","",COUNTIFS(NOVEDADES!$D$4:$D$1503,$A2813))</f>
        <v/>
      </c>
      <c r="P2813" s="28">
        <f>IF($A2813="","",IF(COUNTIFS(NOVEDADES!$D$4:$D$1503,$A2813,NOVEDADES!$O$4:$O$1503,"SÍ")&gt;0,"No","Sí"))</f>
        <v/>
      </c>
      <c r="Q2813" s="28">
        <f>IF(OR($A2813="",$L2813=""),"",IF(AND($N2813="Sí",$P2813="Sí"),"OTIF","Falló"))</f>
        <v/>
      </c>
    </row>
    <row r="2814" ht="16" customHeight="1">
      <c r="A2814" s="48" t="n"/>
      <c r="B2814" s="48" t="n"/>
      <c r="C2814" s="47" t="n"/>
      <c r="D2814" s="50" t="n"/>
      <c r="E2814" s="50" t="n"/>
      <c r="F2814" s="50" t="n"/>
      <c r="G2814" s="50" t="n"/>
      <c r="H2814" s="48" t="n"/>
      <c r="I2814" s="51" t="n"/>
      <c r="J2814" s="52" t="n"/>
      <c r="K2814" s="47" t="n"/>
      <c r="L2814" s="47" t="n"/>
      <c r="M2814" s="24">
        <f>IF(OR($A2814="",$C2814=""),"",IF($L2814&lt;&gt;"",$L2814-$C2814,TODAY()-$C2814))</f>
        <v/>
      </c>
      <c r="N2814" s="28">
        <f>IF(OR($A2814="",$K2814=""),"",IF($L2814="",IF(TODAY()&gt;$K2814,"Atrasado","En ruta"),IF($L2814&lt;=$K2814,"Sí","No")))</f>
        <v/>
      </c>
      <c r="O2814" s="24">
        <f>IF($A2814="","",COUNTIFS(NOVEDADES!$D$4:$D$1503,$A2814))</f>
        <v/>
      </c>
      <c r="P2814" s="28">
        <f>IF($A2814="","",IF(COUNTIFS(NOVEDADES!$D$4:$D$1503,$A2814,NOVEDADES!$O$4:$O$1503,"SÍ")&gt;0,"No","Sí"))</f>
        <v/>
      </c>
      <c r="Q2814" s="28">
        <f>IF(OR($A2814="",$L2814=""),"",IF(AND($N2814="Sí",$P2814="Sí"),"OTIF","Falló"))</f>
        <v/>
      </c>
    </row>
    <row r="2815" ht="16" customHeight="1">
      <c r="A2815" s="48" t="n"/>
      <c r="B2815" s="48" t="n"/>
      <c r="C2815" s="47" t="n"/>
      <c r="D2815" s="50" t="n"/>
      <c r="E2815" s="50" t="n"/>
      <c r="F2815" s="50" t="n"/>
      <c r="G2815" s="50" t="n"/>
      <c r="H2815" s="48" t="n"/>
      <c r="I2815" s="51" t="n"/>
      <c r="J2815" s="52" t="n"/>
      <c r="K2815" s="47" t="n"/>
      <c r="L2815" s="47" t="n"/>
      <c r="M2815" s="24">
        <f>IF(OR($A2815="",$C2815=""),"",IF($L2815&lt;&gt;"",$L2815-$C2815,TODAY()-$C2815))</f>
        <v/>
      </c>
      <c r="N2815" s="28">
        <f>IF(OR($A2815="",$K2815=""),"",IF($L2815="",IF(TODAY()&gt;$K2815,"Atrasado","En ruta"),IF($L2815&lt;=$K2815,"Sí","No")))</f>
        <v/>
      </c>
      <c r="O2815" s="24">
        <f>IF($A2815="","",COUNTIFS(NOVEDADES!$D$4:$D$1503,$A2815))</f>
        <v/>
      </c>
      <c r="P2815" s="28">
        <f>IF($A2815="","",IF(COUNTIFS(NOVEDADES!$D$4:$D$1503,$A2815,NOVEDADES!$O$4:$O$1503,"SÍ")&gt;0,"No","Sí"))</f>
        <v/>
      </c>
      <c r="Q2815" s="28">
        <f>IF(OR($A2815="",$L2815=""),"",IF(AND($N2815="Sí",$P2815="Sí"),"OTIF","Falló"))</f>
        <v/>
      </c>
    </row>
    <row r="2816" ht="16" customHeight="1">
      <c r="A2816" s="48" t="n"/>
      <c r="B2816" s="48" t="n"/>
      <c r="C2816" s="47" t="n"/>
      <c r="D2816" s="50" t="n"/>
      <c r="E2816" s="50" t="n"/>
      <c r="F2816" s="50" t="n"/>
      <c r="G2816" s="50" t="n"/>
      <c r="H2816" s="48" t="n"/>
      <c r="I2816" s="51" t="n"/>
      <c r="J2816" s="52" t="n"/>
      <c r="K2816" s="47" t="n"/>
      <c r="L2816" s="47" t="n"/>
      <c r="M2816" s="24">
        <f>IF(OR($A2816="",$C2816=""),"",IF($L2816&lt;&gt;"",$L2816-$C2816,TODAY()-$C2816))</f>
        <v/>
      </c>
      <c r="N2816" s="28">
        <f>IF(OR($A2816="",$K2816=""),"",IF($L2816="",IF(TODAY()&gt;$K2816,"Atrasado","En ruta"),IF($L2816&lt;=$K2816,"Sí","No")))</f>
        <v/>
      </c>
      <c r="O2816" s="24">
        <f>IF($A2816="","",COUNTIFS(NOVEDADES!$D$4:$D$1503,$A2816))</f>
        <v/>
      </c>
      <c r="P2816" s="28">
        <f>IF($A2816="","",IF(COUNTIFS(NOVEDADES!$D$4:$D$1503,$A2816,NOVEDADES!$O$4:$O$1503,"SÍ")&gt;0,"No","Sí"))</f>
        <v/>
      </c>
      <c r="Q2816" s="28">
        <f>IF(OR($A2816="",$L2816=""),"",IF(AND($N2816="Sí",$P2816="Sí"),"OTIF","Falló"))</f>
        <v/>
      </c>
    </row>
    <row r="2817" ht="16" customHeight="1">
      <c r="A2817" s="48" t="n"/>
      <c r="B2817" s="48" t="n"/>
      <c r="C2817" s="47" t="n"/>
      <c r="D2817" s="50" t="n"/>
      <c r="E2817" s="50" t="n"/>
      <c r="F2817" s="50" t="n"/>
      <c r="G2817" s="50" t="n"/>
      <c r="H2817" s="48" t="n"/>
      <c r="I2817" s="51" t="n"/>
      <c r="J2817" s="52" t="n"/>
      <c r="K2817" s="47" t="n"/>
      <c r="L2817" s="47" t="n"/>
      <c r="M2817" s="24">
        <f>IF(OR($A2817="",$C2817=""),"",IF($L2817&lt;&gt;"",$L2817-$C2817,TODAY()-$C2817))</f>
        <v/>
      </c>
      <c r="N2817" s="28">
        <f>IF(OR($A2817="",$K2817=""),"",IF($L2817="",IF(TODAY()&gt;$K2817,"Atrasado","En ruta"),IF($L2817&lt;=$K2817,"Sí","No")))</f>
        <v/>
      </c>
      <c r="O2817" s="24">
        <f>IF($A2817="","",COUNTIFS(NOVEDADES!$D$4:$D$1503,$A2817))</f>
        <v/>
      </c>
      <c r="P2817" s="28">
        <f>IF($A2817="","",IF(COUNTIFS(NOVEDADES!$D$4:$D$1503,$A2817,NOVEDADES!$O$4:$O$1503,"SÍ")&gt;0,"No","Sí"))</f>
        <v/>
      </c>
      <c r="Q2817" s="28">
        <f>IF(OR($A2817="",$L2817=""),"",IF(AND($N2817="Sí",$P2817="Sí"),"OTIF","Falló"))</f>
        <v/>
      </c>
    </row>
    <row r="2818" ht="16" customHeight="1">
      <c r="A2818" s="48" t="n"/>
      <c r="B2818" s="48" t="n"/>
      <c r="C2818" s="47" t="n"/>
      <c r="D2818" s="50" t="n"/>
      <c r="E2818" s="50" t="n"/>
      <c r="F2818" s="50" t="n"/>
      <c r="G2818" s="50" t="n"/>
      <c r="H2818" s="48" t="n"/>
      <c r="I2818" s="51" t="n"/>
      <c r="J2818" s="52" t="n"/>
      <c r="K2818" s="47" t="n"/>
      <c r="L2818" s="47" t="n"/>
      <c r="M2818" s="24">
        <f>IF(OR($A2818="",$C2818=""),"",IF($L2818&lt;&gt;"",$L2818-$C2818,TODAY()-$C2818))</f>
        <v/>
      </c>
      <c r="N2818" s="28">
        <f>IF(OR($A2818="",$K2818=""),"",IF($L2818="",IF(TODAY()&gt;$K2818,"Atrasado","En ruta"),IF($L2818&lt;=$K2818,"Sí","No")))</f>
        <v/>
      </c>
      <c r="O2818" s="24">
        <f>IF($A2818="","",COUNTIFS(NOVEDADES!$D$4:$D$1503,$A2818))</f>
        <v/>
      </c>
      <c r="P2818" s="28">
        <f>IF($A2818="","",IF(COUNTIFS(NOVEDADES!$D$4:$D$1503,$A2818,NOVEDADES!$O$4:$O$1503,"SÍ")&gt;0,"No","Sí"))</f>
        <v/>
      </c>
      <c r="Q2818" s="28">
        <f>IF(OR($A2818="",$L2818=""),"",IF(AND($N2818="Sí",$P2818="Sí"),"OTIF","Falló"))</f>
        <v/>
      </c>
    </row>
    <row r="2819" ht="16" customHeight="1">
      <c r="A2819" s="48" t="n"/>
      <c r="B2819" s="48" t="n"/>
      <c r="C2819" s="47" t="n"/>
      <c r="D2819" s="50" t="n"/>
      <c r="E2819" s="50" t="n"/>
      <c r="F2819" s="50" t="n"/>
      <c r="G2819" s="50" t="n"/>
      <c r="H2819" s="48" t="n"/>
      <c r="I2819" s="51" t="n"/>
      <c r="J2819" s="52" t="n"/>
      <c r="K2819" s="47" t="n"/>
      <c r="L2819" s="47" t="n"/>
      <c r="M2819" s="24">
        <f>IF(OR($A2819="",$C2819=""),"",IF($L2819&lt;&gt;"",$L2819-$C2819,TODAY()-$C2819))</f>
        <v/>
      </c>
      <c r="N2819" s="28">
        <f>IF(OR($A2819="",$K2819=""),"",IF($L2819="",IF(TODAY()&gt;$K2819,"Atrasado","En ruta"),IF($L2819&lt;=$K2819,"Sí","No")))</f>
        <v/>
      </c>
      <c r="O2819" s="24">
        <f>IF($A2819="","",COUNTIFS(NOVEDADES!$D$4:$D$1503,$A2819))</f>
        <v/>
      </c>
      <c r="P2819" s="28">
        <f>IF($A2819="","",IF(COUNTIFS(NOVEDADES!$D$4:$D$1503,$A2819,NOVEDADES!$O$4:$O$1503,"SÍ")&gt;0,"No","Sí"))</f>
        <v/>
      </c>
      <c r="Q2819" s="28">
        <f>IF(OR($A2819="",$L2819=""),"",IF(AND($N2819="Sí",$P2819="Sí"),"OTIF","Falló"))</f>
        <v/>
      </c>
    </row>
    <row r="2820" ht="16" customHeight="1">
      <c r="A2820" s="48" t="n"/>
      <c r="B2820" s="48" t="n"/>
      <c r="C2820" s="47" t="n"/>
      <c r="D2820" s="50" t="n"/>
      <c r="E2820" s="50" t="n"/>
      <c r="F2820" s="50" t="n"/>
      <c r="G2820" s="50" t="n"/>
      <c r="H2820" s="48" t="n"/>
      <c r="I2820" s="51" t="n"/>
      <c r="J2820" s="52" t="n"/>
      <c r="K2820" s="47" t="n"/>
      <c r="L2820" s="47" t="n"/>
      <c r="M2820" s="24">
        <f>IF(OR($A2820="",$C2820=""),"",IF($L2820&lt;&gt;"",$L2820-$C2820,TODAY()-$C2820))</f>
        <v/>
      </c>
      <c r="N2820" s="28">
        <f>IF(OR($A2820="",$K2820=""),"",IF($L2820="",IF(TODAY()&gt;$K2820,"Atrasado","En ruta"),IF($L2820&lt;=$K2820,"Sí","No")))</f>
        <v/>
      </c>
      <c r="O2820" s="24">
        <f>IF($A2820="","",COUNTIFS(NOVEDADES!$D$4:$D$1503,$A2820))</f>
        <v/>
      </c>
      <c r="P2820" s="28">
        <f>IF($A2820="","",IF(COUNTIFS(NOVEDADES!$D$4:$D$1503,$A2820,NOVEDADES!$O$4:$O$1503,"SÍ")&gt;0,"No","Sí"))</f>
        <v/>
      </c>
      <c r="Q2820" s="28">
        <f>IF(OR($A2820="",$L2820=""),"",IF(AND($N2820="Sí",$P2820="Sí"),"OTIF","Falló"))</f>
        <v/>
      </c>
    </row>
    <row r="2821" ht="16" customHeight="1">
      <c r="A2821" s="48" t="n"/>
      <c r="B2821" s="48" t="n"/>
      <c r="C2821" s="47" t="n"/>
      <c r="D2821" s="50" t="n"/>
      <c r="E2821" s="50" t="n"/>
      <c r="F2821" s="50" t="n"/>
      <c r="G2821" s="50" t="n"/>
      <c r="H2821" s="48" t="n"/>
      <c r="I2821" s="51" t="n"/>
      <c r="J2821" s="52" t="n"/>
      <c r="K2821" s="47" t="n"/>
      <c r="L2821" s="47" t="n"/>
      <c r="M2821" s="24">
        <f>IF(OR($A2821="",$C2821=""),"",IF($L2821&lt;&gt;"",$L2821-$C2821,TODAY()-$C2821))</f>
        <v/>
      </c>
      <c r="N2821" s="28">
        <f>IF(OR($A2821="",$K2821=""),"",IF($L2821="",IF(TODAY()&gt;$K2821,"Atrasado","En ruta"),IF($L2821&lt;=$K2821,"Sí","No")))</f>
        <v/>
      </c>
      <c r="O2821" s="24">
        <f>IF($A2821="","",COUNTIFS(NOVEDADES!$D$4:$D$1503,$A2821))</f>
        <v/>
      </c>
      <c r="P2821" s="28">
        <f>IF($A2821="","",IF(COUNTIFS(NOVEDADES!$D$4:$D$1503,$A2821,NOVEDADES!$O$4:$O$1503,"SÍ")&gt;0,"No","Sí"))</f>
        <v/>
      </c>
      <c r="Q2821" s="28">
        <f>IF(OR($A2821="",$L2821=""),"",IF(AND($N2821="Sí",$P2821="Sí"),"OTIF","Falló"))</f>
        <v/>
      </c>
    </row>
    <row r="2822" ht="16" customHeight="1">
      <c r="A2822" s="48" t="n"/>
      <c r="B2822" s="48" t="n"/>
      <c r="C2822" s="47" t="n"/>
      <c r="D2822" s="50" t="n"/>
      <c r="E2822" s="50" t="n"/>
      <c r="F2822" s="50" t="n"/>
      <c r="G2822" s="50" t="n"/>
      <c r="H2822" s="48" t="n"/>
      <c r="I2822" s="51" t="n"/>
      <c r="J2822" s="52" t="n"/>
      <c r="K2822" s="47" t="n"/>
      <c r="L2822" s="47" t="n"/>
      <c r="M2822" s="24">
        <f>IF(OR($A2822="",$C2822=""),"",IF($L2822&lt;&gt;"",$L2822-$C2822,TODAY()-$C2822))</f>
        <v/>
      </c>
      <c r="N2822" s="28">
        <f>IF(OR($A2822="",$K2822=""),"",IF($L2822="",IF(TODAY()&gt;$K2822,"Atrasado","En ruta"),IF($L2822&lt;=$K2822,"Sí","No")))</f>
        <v/>
      </c>
      <c r="O2822" s="24">
        <f>IF($A2822="","",COUNTIFS(NOVEDADES!$D$4:$D$1503,$A2822))</f>
        <v/>
      </c>
      <c r="P2822" s="28">
        <f>IF($A2822="","",IF(COUNTIFS(NOVEDADES!$D$4:$D$1503,$A2822,NOVEDADES!$O$4:$O$1503,"SÍ")&gt;0,"No","Sí"))</f>
        <v/>
      </c>
      <c r="Q2822" s="28">
        <f>IF(OR($A2822="",$L2822=""),"",IF(AND($N2822="Sí",$P2822="Sí"),"OTIF","Falló"))</f>
        <v/>
      </c>
    </row>
    <row r="2823" ht="16" customHeight="1">
      <c r="A2823" s="48" t="n"/>
      <c r="B2823" s="48" t="n"/>
      <c r="C2823" s="47" t="n"/>
      <c r="D2823" s="50" t="n"/>
      <c r="E2823" s="50" t="n"/>
      <c r="F2823" s="50" t="n"/>
      <c r="G2823" s="50" t="n"/>
      <c r="H2823" s="48" t="n"/>
      <c r="I2823" s="51" t="n"/>
      <c r="J2823" s="52" t="n"/>
      <c r="K2823" s="47" t="n"/>
      <c r="L2823" s="47" t="n"/>
      <c r="M2823" s="24">
        <f>IF(OR($A2823="",$C2823=""),"",IF($L2823&lt;&gt;"",$L2823-$C2823,TODAY()-$C2823))</f>
        <v/>
      </c>
      <c r="N2823" s="28">
        <f>IF(OR($A2823="",$K2823=""),"",IF($L2823="",IF(TODAY()&gt;$K2823,"Atrasado","En ruta"),IF($L2823&lt;=$K2823,"Sí","No")))</f>
        <v/>
      </c>
      <c r="O2823" s="24">
        <f>IF($A2823="","",COUNTIFS(NOVEDADES!$D$4:$D$1503,$A2823))</f>
        <v/>
      </c>
      <c r="P2823" s="28">
        <f>IF($A2823="","",IF(COUNTIFS(NOVEDADES!$D$4:$D$1503,$A2823,NOVEDADES!$O$4:$O$1503,"SÍ")&gt;0,"No","Sí"))</f>
        <v/>
      </c>
      <c r="Q2823" s="28">
        <f>IF(OR($A2823="",$L2823=""),"",IF(AND($N2823="Sí",$P2823="Sí"),"OTIF","Falló"))</f>
        <v/>
      </c>
    </row>
    <row r="2824" ht="16" customHeight="1">
      <c r="A2824" s="48" t="n"/>
      <c r="B2824" s="48" t="n"/>
      <c r="C2824" s="47" t="n"/>
      <c r="D2824" s="50" t="n"/>
      <c r="E2824" s="50" t="n"/>
      <c r="F2824" s="50" t="n"/>
      <c r="G2824" s="50" t="n"/>
      <c r="H2824" s="48" t="n"/>
      <c r="I2824" s="51" t="n"/>
      <c r="J2824" s="52" t="n"/>
      <c r="K2824" s="47" t="n"/>
      <c r="L2824" s="47" t="n"/>
      <c r="M2824" s="24">
        <f>IF(OR($A2824="",$C2824=""),"",IF($L2824&lt;&gt;"",$L2824-$C2824,TODAY()-$C2824))</f>
        <v/>
      </c>
      <c r="N2824" s="28">
        <f>IF(OR($A2824="",$K2824=""),"",IF($L2824="",IF(TODAY()&gt;$K2824,"Atrasado","En ruta"),IF($L2824&lt;=$K2824,"Sí","No")))</f>
        <v/>
      </c>
      <c r="O2824" s="24">
        <f>IF($A2824="","",COUNTIFS(NOVEDADES!$D$4:$D$1503,$A2824))</f>
        <v/>
      </c>
      <c r="P2824" s="28">
        <f>IF($A2824="","",IF(COUNTIFS(NOVEDADES!$D$4:$D$1503,$A2824,NOVEDADES!$O$4:$O$1503,"SÍ")&gt;0,"No","Sí"))</f>
        <v/>
      </c>
      <c r="Q2824" s="28">
        <f>IF(OR($A2824="",$L2824=""),"",IF(AND($N2824="Sí",$P2824="Sí"),"OTIF","Falló"))</f>
        <v/>
      </c>
    </row>
    <row r="2825" ht="16" customHeight="1">
      <c r="A2825" s="48" t="n"/>
      <c r="B2825" s="48" t="n"/>
      <c r="C2825" s="47" t="n"/>
      <c r="D2825" s="50" t="n"/>
      <c r="E2825" s="50" t="n"/>
      <c r="F2825" s="50" t="n"/>
      <c r="G2825" s="50" t="n"/>
      <c r="H2825" s="48" t="n"/>
      <c r="I2825" s="51" t="n"/>
      <c r="J2825" s="52" t="n"/>
      <c r="K2825" s="47" t="n"/>
      <c r="L2825" s="47" t="n"/>
      <c r="M2825" s="24">
        <f>IF(OR($A2825="",$C2825=""),"",IF($L2825&lt;&gt;"",$L2825-$C2825,TODAY()-$C2825))</f>
        <v/>
      </c>
      <c r="N2825" s="28">
        <f>IF(OR($A2825="",$K2825=""),"",IF($L2825="",IF(TODAY()&gt;$K2825,"Atrasado","En ruta"),IF($L2825&lt;=$K2825,"Sí","No")))</f>
        <v/>
      </c>
      <c r="O2825" s="24">
        <f>IF($A2825="","",COUNTIFS(NOVEDADES!$D$4:$D$1503,$A2825))</f>
        <v/>
      </c>
      <c r="P2825" s="28">
        <f>IF($A2825="","",IF(COUNTIFS(NOVEDADES!$D$4:$D$1503,$A2825,NOVEDADES!$O$4:$O$1503,"SÍ")&gt;0,"No","Sí"))</f>
        <v/>
      </c>
      <c r="Q2825" s="28">
        <f>IF(OR($A2825="",$L2825=""),"",IF(AND($N2825="Sí",$P2825="Sí"),"OTIF","Falló"))</f>
        <v/>
      </c>
    </row>
    <row r="2826" ht="16" customHeight="1">
      <c r="A2826" s="48" t="n"/>
      <c r="B2826" s="48" t="n"/>
      <c r="C2826" s="47" t="n"/>
      <c r="D2826" s="50" t="n"/>
      <c r="E2826" s="50" t="n"/>
      <c r="F2826" s="50" t="n"/>
      <c r="G2826" s="50" t="n"/>
      <c r="H2826" s="48" t="n"/>
      <c r="I2826" s="51" t="n"/>
      <c r="J2826" s="52" t="n"/>
      <c r="K2826" s="47" t="n"/>
      <c r="L2826" s="47" t="n"/>
      <c r="M2826" s="24">
        <f>IF(OR($A2826="",$C2826=""),"",IF($L2826&lt;&gt;"",$L2826-$C2826,TODAY()-$C2826))</f>
        <v/>
      </c>
      <c r="N2826" s="28">
        <f>IF(OR($A2826="",$K2826=""),"",IF($L2826="",IF(TODAY()&gt;$K2826,"Atrasado","En ruta"),IF($L2826&lt;=$K2826,"Sí","No")))</f>
        <v/>
      </c>
      <c r="O2826" s="24">
        <f>IF($A2826="","",COUNTIFS(NOVEDADES!$D$4:$D$1503,$A2826))</f>
        <v/>
      </c>
      <c r="P2826" s="28">
        <f>IF($A2826="","",IF(COUNTIFS(NOVEDADES!$D$4:$D$1503,$A2826,NOVEDADES!$O$4:$O$1503,"SÍ")&gt;0,"No","Sí"))</f>
        <v/>
      </c>
      <c r="Q2826" s="28">
        <f>IF(OR($A2826="",$L2826=""),"",IF(AND($N2826="Sí",$P2826="Sí"),"OTIF","Falló"))</f>
        <v/>
      </c>
    </row>
    <row r="2827" ht="16" customHeight="1">
      <c r="A2827" s="48" t="n"/>
      <c r="B2827" s="48" t="n"/>
      <c r="C2827" s="47" t="n"/>
      <c r="D2827" s="50" t="n"/>
      <c r="E2827" s="50" t="n"/>
      <c r="F2827" s="50" t="n"/>
      <c r="G2827" s="50" t="n"/>
      <c r="H2827" s="48" t="n"/>
      <c r="I2827" s="51" t="n"/>
      <c r="J2827" s="52" t="n"/>
      <c r="K2827" s="47" t="n"/>
      <c r="L2827" s="47" t="n"/>
      <c r="M2827" s="24">
        <f>IF(OR($A2827="",$C2827=""),"",IF($L2827&lt;&gt;"",$L2827-$C2827,TODAY()-$C2827))</f>
        <v/>
      </c>
      <c r="N2827" s="28">
        <f>IF(OR($A2827="",$K2827=""),"",IF($L2827="",IF(TODAY()&gt;$K2827,"Atrasado","En ruta"),IF($L2827&lt;=$K2827,"Sí","No")))</f>
        <v/>
      </c>
      <c r="O2827" s="24">
        <f>IF($A2827="","",COUNTIFS(NOVEDADES!$D$4:$D$1503,$A2827))</f>
        <v/>
      </c>
      <c r="P2827" s="28">
        <f>IF($A2827="","",IF(COUNTIFS(NOVEDADES!$D$4:$D$1503,$A2827,NOVEDADES!$O$4:$O$1503,"SÍ")&gt;0,"No","Sí"))</f>
        <v/>
      </c>
      <c r="Q2827" s="28">
        <f>IF(OR($A2827="",$L2827=""),"",IF(AND($N2827="Sí",$P2827="Sí"),"OTIF","Falló"))</f>
        <v/>
      </c>
    </row>
    <row r="2828" ht="16" customHeight="1">
      <c r="A2828" s="48" t="n"/>
      <c r="B2828" s="48" t="n"/>
      <c r="C2828" s="47" t="n"/>
      <c r="D2828" s="50" t="n"/>
      <c r="E2828" s="50" t="n"/>
      <c r="F2828" s="50" t="n"/>
      <c r="G2828" s="50" t="n"/>
      <c r="H2828" s="48" t="n"/>
      <c r="I2828" s="51" t="n"/>
      <c r="J2828" s="52" t="n"/>
      <c r="K2828" s="47" t="n"/>
      <c r="L2828" s="47" t="n"/>
      <c r="M2828" s="24">
        <f>IF(OR($A2828="",$C2828=""),"",IF($L2828&lt;&gt;"",$L2828-$C2828,TODAY()-$C2828))</f>
        <v/>
      </c>
      <c r="N2828" s="28">
        <f>IF(OR($A2828="",$K2828=""),"",IF($L2828="",IF(TODAY()&gt;$K2828,"Atrasado","En ruta"),IF($L2828&lt;=$K2828,"Sí","No")))</f>
        <v/>
      </c>
      <c r="O2828" s="24">
        <f>IF($A2828="","",COUNTIFS(NOVEDADES!$D$4:$D$1503,$A2828))</f>
        <v/>
      </c>
      <c r="P2828" s="28">
        <f>IF($A2828="","",IF(COUNTIFS(NOVEDADES!$D$4:$D$1503,$A2828,NOVEDADES!$O$4:$O$1503,"SÍ")&gt;0,"No","Sí"))</f>
        <v/>
      </c>
      <c r="Q2828" s="28">
        <f>IF(OR($A2828="",$L2828=""),"",IF(AND($N2828="Sí",$P2828="Sí"),"OTIF","Falló"))</f>
        <v/>
      </c>
    </row>
    <row r="2829" ht="16" customHeight="1">
      <c r="A2829" s="48" t="n"/>
      <c r="B2829" s="48" t="n"/>
      <c r="C2829" s="47" t="n"/>
      <c r="D2829" s="50" t="n"/>
      <c r="E2829" s="50" t="n"/>
      <c r="F2829" s="50" t="n"/>
      <c r="G2829" s="50" t="n"/>
      <c r="H2829" s="48" t="n"/>
      <c r="I2829" s="51" t="n"/>
      <c r="J2829" s="52" t="n"/>
      <c r="K2829" s="47" t="n"/>
      <c r="L2829" s="47" t="n"/>
      <c r="M2829" s="24">
        <f>IF(OR($A2829="",$C2829=""),"",IF($L2829&lt;&gt;"",$L2829-$C2829,TODAY()-$C2829))</f>
        <v/>
      </c>
      <c r="N2829" s="28">
        <f>IF(OR($A2829="",$K2829=""),"",IF($L2829="",IF(TODAY()&gt;$K2829,"Atrasado","En ruta"),IF($L2829&lt;=$K2829,"Sí","No")))</f>
        <v/>
      </c>
      <c r="O2829" s="24">
        <f>IF($A2829="","",COUNTIFS(NOVEDADES!$D$4:$D$1503,$A2829))</f>
        <v/>
      </c>
      <c r="P2829" s="28">
        <f>IF($A2829="","",IF(COUNTIFS(NOVEDADES!$D$4:$D$1503,$A2829,NOVEDADES!$O$4:$O$1503,"SÍ")&gt;0,"No","Sí"))</f>
        <v/>
      </c>
      <c r="Q2829" s="28">
        <f>IF(OR($A2829="",$L2829=""),"",IF(AND($N2829="Sí",$P2829="Sí"),"OTIF","Falló"))</f>
        <v/>
      </c>
    </row>
    <row r="2830" ht="16" customHeight="1">
      <c r="A2830" s="48" t="n"/>
      <c r="B2830" s="48" t="n"/>
      <c r="C2830" s="47" t="n"/>
      <c r="D2830" s="50" t="n"/>
      <c r="E2830" s="50" t="n"/>
      <c r="F2830" s="50" t="n"/>
      <c r="G2830" s="50" t="n"/>
      <c r="H2830" s="48" t="n"/>
      <c r="I2830" s="51" t="n"/>
      <c r="J2830" s="52" t="n"/>
      <c r="K2830" s="47" t="n"/>
      <c r="L2830" s="47" t="n"/>
      <c r="M2830" s="24">
        <f>IF(OR($A2830="",$C2830=""),"",IF($L2830&lt;&gt;"",$L2830-$C2830,TODAY()-$C2830))</f>
        <v/>
      </c>
      <c r="N2830" s="28">
        <f>IF(OR($A2830="",$K2830=""),"",IF($L2830="",IF(TODAY()&gt;$K2830,"Atrasado","En ruta"),IF($L2830&lt;=$K2830,"Sí","No")))</f>
        <v/>
      </c>
      <c r="O2830" s="24">
        <f>IF($A2830="","",COUNTIFS(NOVEDADES!$D$4:$D$1503,$A2830))</f>
        <v/>
      </c>
      <c r="P2830" s="28">
        <f>IF($A2830="","",IF(COUNTIFS(NOVEDADES!$D$4:$D$1503,$A2830,NOVEDADES!$O$4:$O$1503,"SÍ")&gt;0,"No","Sí"))</f>
        <v/>
      </c>
      <c r="Q2830" s="28">
        <f>IF(OR($A2830="",$L2830=""),"",IF(AND($N2830="Sí",$P2830="Sí"),"OTIF","Falló"))</f>
        <v/>
      </c>
    </row>
    <row r="2831" ht="16" customHeight="1">
      <c r="A2831" s="48" t="n"/>
      <c r="B2831" s="48" t="n"/>
      <c r="C2831" s="47" t="n"/>
      <c r="D2831" s="50" t="n"/>
      <c r="E2831" s="50" t="n"/>
      <c r="F2831" s="50" t="n"/>
      <c r="G2831" s="50" t="n"/>
      <c r="H2831" s="48" t="n"/>
      <c r="I2831" s="51" t="n"/>
      <c r="J2831" s="52" t="n"/>
      <c r="K2831" s="47" t="n"/>
      <c r="L2831" s="47" t="n"/>
      <c r="M2831" s="24">
        <f>IF(OR($A2831="",$C2831=""),"",IF($L2831&lt;&gt;"",$L2831-$C2831,TODAY()-$C2831))</f>
        <v/>
      </c>
      <c r="N2831" s="28">
        <f>IF(OR($A2831="",$K2831=""),"",IF($L2831="",IF(TODAY()&gt;$K2831,"Atrasado","En ruta"),IF($L2831&lt;=$K2831,"Sí","No")))</f>
        <v/>
      </c>
      <c r="O2831" s="24">
        <f>IF($A2831="","",COUNTIFS(NOVEDADES!$D$4:$D$1503,$A2831))</f>
        <v/>
      </c>
      <c r="P2831" s="28">
        <f>IF($A2831="","",IF(COUNTIFS(NOVEDADES!$D$4:$D$1503,$A2831,NOVEDADES!$O$4:$O$1503,"SÍ")&gt;0,"No","Sí"))</f>
        <v/>
      </c>
      <c r="Q2831" s="28">
        <f>IF(OR($A2831="",$L2831=""),"",IF(AND($N2831="Sí",$P2831="Sí"),"OTIF","Falló"))</f>
        <v/>
      </c>
    </row>
    <row r="2832" ht="16" customHeight="1">
      <c r="A2832" s="48" t="n"/>
      <c r="B2832" s="48" t="n"/>
      <c r="C2832" s="47" t="n"/>
      <c r="D2832" s="50" t="n"/>
      <c r="E2832" s="50" t="n"/>
      <c r="F2832" s="50" t="n"/>
      <c r="G2832" s="50" t="n"/>
      <c r="H2832" s="48" t="n"/>
      <c r="I2832" s="51" t="n"/>
      <c r="J2832" s="52" t="n"/>
      <c r="K2832" s="47" t="n"/>
      <c r="L2832" s="47" t="n"/>
      <c r="M2832" s="24">
        <f>IF(OR($A2832="",$C2832=""),"",IF($L2832&lt;&gt;"",$L2832-$C2832,TODAY()-$C2832))</f>
        <v/>
      </c>
      <c r="N2832" s="28">
        <f>IF(OR($A2832="",$K2832=""),"",IF($L2832="",IF(TODAY()&gt;$K2832,"Atrasado","En ruta"),IF($L2832&lt;=$K2832,"Sí","No")))</f>
        <v/>
      </c>
      <c r="O2832" s="24">
        <f>IF($A2832="","",COUNTIFS(NOVEDADES!$D$4:$D$1503,$A2832))</f>
        <v/>
      </c>
      <c r="P2832" s="28">
        <f>IF($A2832="","",IF(COUNTIFS(NOVEDADES!$D$4:$D$1503,$A2832,NOVEDADES!$O$4:$O$1503,"SÍ")&gt;0,"No","Sí"))</f>
        <v/>
      </c>
      <c r="Q2832" s="28">
        <f>IF(OR($A2832="",$L2832=""),"",IF(AND($N2832="Sí",$P2832="Sí"),"OTIF","Falló"))</f>
        <v/>
      </c>
    </row>
    <row r="2833" ht="16" customHeight="1">
      <c r="A2833" s="48" t="n"/>
      <c r="B2833" s="48" t="n"/>
      <c r="C2833" s="47" t="n"/>
      <c r="D2833" s="50" t="n"/>
      <c r="E2833" s="50" t="n"/>
      <c r="F2833" s="50" t="n"/>
      <c r="G2833" s="50" t="n"/>
      <c r="H2833" s="48" t="n"/>
      <c r="I2833" s="51" t="n"/>
      <c r="J2833" s="52" t="n"/>
      <c r="K2833" s="47" t="n"/>
      <c r="L2833" s="47" t="n"/>
      <c r="M2833" s="24">
        <f>IF(OR($A2833="",$C2833=""),"",IF($L2833&lt;&gt;"",$L2833-$C2833,TODAY()-$C2833))</f>
        <v/>
      </c>
      <c r="N2833" s="28">
        <f>IF(OR($A2833="",$K2833=""),"",IF($L2833="",IF(TODAY()&gt;$K2833,"Atrasado","En ruta"),IF($L2833&lt;=$K2833,"Sí","No")))</f>
        <v/>
      </c>
      <c r="O2833" s="24">
        <f>IF($A2833="","",COUNTIFS(NOVEDADES!$D$4:$D$1503,$A2833))</f>
        <v/>
      </c>
      <c r="P2833" s="28">
        <f>IF($A2833="","",IF(COUNTIFS(NOVEDADES!$D$4:$D$1503,$A2833,NOVEDADES!$O$4:$O$1503,"SÍ")&gt;0,"No","Sí"))</f>
        <v/>
      </c>
      <c r="Q2833" s="28">
        <f>IF(OR($A2833="",$L2833=""),"",IF(AND($N2833="Sí",$P2833="Sí"),"OTIF","Falló"))</f>
        <v/>
      </c>
    </row>
    <row r="2834" ht="16" customHeight="1">
      <c r="A2834" s="48" t="n"/>
      <c r="B2834" s="48" t="n"/>
      <c r="C2834" s="47" t="n"/>
      <c r="D2834" s="50" t="n"/>
      <c r="E2834" s="50" t="n"/>
      <c r="F2834" s="50" t="n"/>
      <c r="G2834" s="50" t="n"/>
      <c r="H2834" s="48" t="n"/>
      <c r="I2834" s="51" t="n"/>
      <c r="J2834" s="52" t="n"/>
      <c r="K2834" s="47" t="n"/>
      <c r="L2834" s="47" t="n"/>
      <c r="M2834" s="24">
        <f>IF(OR($A2834="",$C2834=""),"",IF($L2834&lt;&gt;"",$L2834-$C2834,TODAY()-$C2834))</f>
        <v/>
      </c>
      <c r="N2834" s="28">
        <f>IF(OR($A2834="",$K2834=""),"",IF($L2834="",IF(TODAY()&gt;$K2834,"Atrasado","En ruta"),IF($L2834&lt;=$K2834,"Sí","No")))</f>
        <v/>
      </c>
      <c r="O2834" s="24">
        <f>IF($A2834="","",COUNTIFS(NOVEDADES!$D$4:$D$1503,$A2834))</f>
        <v/>
      </c>
      <c r="P2834" s="28">
        <f>IF($A2834="","",IF(COUNTIFS(NOVEDADES!$D$4:$D$1503,$A2834,NOVEDADES!$O$4:$O$1503,"SÍ")&gt;0,"No","Sí"))</f>
        <v/>
      </c>
      <c r="Q2834" s="28">
        <f>IF(OR($A2834="",$L2834=""),"",IF(AND($N2834="Sí",$P2834="Sí"),"OTIF","Falló"))</f>
        <v/>
      </c>
    </row>
    <row r="2835" ht="16" customHeight="1">
      <c r="A2835" s="48" t="n"/>
      <c r="B2835" s="48" t="n"/>
      <c r="C2835" s="47" t="n"/>
      <c r="D2835" s="50" t="n"/>
      <c r="E2835" s="50" t="n"/>
      <c r="F2835" s="50" t="n"/>
      <c r="G2835" s="50" t="n"/>
      <c r="H2835" s="48" t="n"/>
      <c r="I2835" s="51" t="n"/>
      <c r="J2835" s="52" t="n"/>
      <c r="K2835" s="47" t="n"/>
      <c r="L2835" s="47" t="n"/>
      <c r="M2835" s="24">
        <f>IF(OR($A2835="",$C2835=""),"",IF($L2835&lt;&gt;"",$L2835-$C2835,TODAY()-$C2835))</f>
        <v/>
      </c>
      <c r="N2835" s="28">
        <f>IF(OR($A2835="",$K2835=""),"",IF($L2835="",IF(TODAY()&gt;$K2835,"Atrasado","En ruta"),IF($L2835&lt;=$K2835,"Sí","No")))</f>
        <v/>
      </c>
      <c r="O2835" s="24">
        <f>IF($A2835="","",COUNTIFS(NOVEDADES!$D$4:$D$1503,$A2835))</f>
        <v/>
      </c>
      <c r="P2835" s="28">
        <f>IF($A2835="","",IF(COUNTIFS(NOVEDADES!$D$4:$D$1503,$A2835,NOVEDADES!$O$4:$O$1503,"SÍ")&gt;0,"No","Sí"))</f>
        <v/>
      </c>
      <c r="Q2835" s="28">
        <f>IF(OR($A2835="",$L2835=""),"",IF(AND($N2835="Sí",$P2835="Sí"),"OTIF","Falló"))</f>
        <v/>
      </c>
    </row>
    <row r="2836" ht="16" customHeight="1">
      <c r="A2836" s="48" t="n"/>
      <c r="B2836" s="48" t="n"/>
      <c r="C2836" s="47" t="n"/>
      <c r="D2836" s="50" t="n"/>
      <c r="E2836" s="50" t="n"/>
      <c r="F2836" s="50" t="n"/>
      <c r="G2836" s="50" t="n"/>
      <c r="H2836" s="48" t="n"/>
      <c r="I2836" s="51" t="n"/>
      <c r="J2836" s="52" t="n"/>
      <c r="K2836" s="47" t="n"/>
      <c r="L2836" s="47" t="n"/>
      <c r="M2836" s="24">
        <f>IF(OR($A2836="",$C2836=""),"",IF($L2836&lt;&gt;"",$L2836-$C2836,TODAY()-$C2836))</f>
        <v/>
      </c>
      <c r="N2836" s="28">
        <f>IF(OR($A2836="",$K2836=""),"",IF($L2836="",IF(TODAY()&gt;$K2836,"Atrasado","En ruta"),IF($L2836&lt;=$K2836,"Sí","No")))</f>
        <v/>
      </c>
      <c r="O2836" s="24">
        <f>IF($A2836="","",COUNTIFS(NOVEDADES!$D$4:$D$1503,$A2836))</f>
        <v/>
      </c>
      <c r="P2836" s="28">
        <f>IF($A2836="","",IF(COUNTIFS(NOVEDADES!$D$4:$D$1503,$A2836,NOVEDADES!$O$4:$O$1503,"SÍ")&gt;0,"No","Sí"))</f>
        <v/>
      </c>
      <c r="Q2836" s="28">
        <f>IF(OR($A2836="",$L2836=""),"",IF(AND($N2836="Sí",$P2836="Sí"),"OTIF","Falló"))</f>
        <v/>
      </c>
    </row>
    <row r="2837" ht="16" customHeight="1">
      <c r="A2837" s="48" t="n"/>
      <c r="B2837" s="48" t="n"/>
      <c r="C2837" s="47" t="n"/>
      <c r="D2837" s="50" t="n"/>
      <c r="E2837" s="50" t="n"/>
      <c r="F2837" s="50" t="n"/>
      <c r="G2837" s="50" t="n"/>
      <c r="H2837" s="48" t="n"/>
      <c r="I2837" s="51" t="n"/>
      <c r="J2837" s="52" t="n"/>
      <c r="K2837" s="47" t="n"/>
      <c r="L2837" s="47" t="n"/>
      <c r="M2837" s="24">
        <f>IF(OR($A2837="",$C2837=""),"",IF($L2837&lt;&gt;"",$L2837-$C2837,TODAY()-$C2837))</f>
        <v/>
      </c>
      <c r="N2837" s="28">
        <f>IF(OR($A2837="",$K2837=""),"",IF($L2837="",IF(TODAY()&gt;$K2837,"Atrasado","En ruta"),IF($L2837&lt;=$K2837,"Sí","No")))</f>
        <v/>
      </c>
      <c r="O2837" s="24">
        <f>IF($A2837="","",COUNTIFS(NOVEDADES!$D$4:$D$1503,$A2837))</f>
        <v/>
      </c>
      <c r="P2837" s="28">
        <f>IF($A2837="","",IF(COUNTIFS(NOVEDADES!$D$4:$D$1503,$A2837,NOVEDADES!$O$4:$O$1503,"SÍ")&gt;0,"No","Sí"))</f>
        <v/>
      </c>
      <c r="Q2837" s="28">
        <f>IF(OR($A2837="",$L2837=""),"",IF(AND($N2837="Sí",$P2837="Sí"),"OTIF","Falló"))</f>
        <v/>
      </c>
    </row>
    <row r="2838" ht="16" customHeight="1">
      <c r="A2838" s="48" t="n"/>
      <c r="B2838" s="48" t="n"/>
      <c r="C2838" s="47" t="n"/>
      <c r="D2838" s="50" t="n"/>
      <c r="E2838" s="50" t="n"/>
      <c r="F2838" s="50" t="n"/>
      <c r="G2838" s="50" t="n"/>
      <c r="H2838" s="48" t="n"/>
      <c r="I2838" s="51" t="n"/>
      <c r="J2838" s="52" t="n"/>
      <c r="K2838" s="47" t="n"/>
      <c r="L2838" s="47" t="n"/>
      <c r="M2838" s="24">
        <f>IF(OR($A2838="",$C2838=""),"",IF($L2838&lt;&gt;"",$L2838-$C2838,TODAY()-$C2838))</f>
        <v/>
      </c>
      <c r="N2838" s="28">
        <f>IF(OR($A2838="",$K2838=""),"",IF($L2838="",IF(TODAY()&gt;$K2838,"Atrasado","En ruta"),IF($L2838&lt;=$K2838,"Sí","No")))</f>
        <v/>
      </c>
      <c r="O2838" s="24">
        <f>IF($A2838="","",COUNTIFS(NOVEDADES!$D$4:$D$1503,$A2838))</f>
        <v/>
      </c>
      <c r="P2838" s="28">
        <f>IF($A2838="","",IF(COUNTIFS(NOVEDADES!$D$4:$D$1503,$A2838,NOVEDADES!$O$4:$O$1503,"SÍ")&gt;0,"No","Sí"))</f>
        <v/>
      </c>
      <c r="Q2838" s="28">
        <f>IF(OR($A2838="",$L2838=""),"",IF(AND($N2838="Sí",$P2838="Sí"),"OTIF","Falló"))</f>
        <v/>
      </c>
    </row>
    <row r="2839" ht="16" customHeight="1">
      <c r="A2839" s="48" t="n"/>
      <c r="B2839" s="48" t="n"/>
      <c r="C2839" s="47" t="n"/>
      <c r="D2839" s="50" t="n"/>
      <c r="E2839" s="50" t="n"/>
      <c r="F2839" s="50" t="n"/>
      <c r="G2839" s="50" t="n"/>
      <c r="H2839" s="48" t="n"/>
      <c r="I2839" s="51" t="n"/>
      <c r="J2839" s="52" t="n"/>
      <c r="K2839" s="47" t="n"/>
      <c r="L2839" s="47" t="n"/>
      <c r="M2839" s="24">
        <f>IF(OR($A2839="",$C2839=""),"",IF($L2839&lt;&gt;"",$L2839-$C2839,TODAY()-$C2839))</f>
        <v/>
      </c>
      <c r="N2839" s="28">
        <f>IF(OR($A2839="",$K2839=""),"",IF($L2839="",IF(TODAY()&gt;$K2839,"Atrasado","En ruta"),IF($L2839&lt;=$K2839,"Sí","No")))</f>
        <v/>
      </c>
      <c r="O2839" s="24">
        <f>IF($A2839="","",COUNTIFS(NOVEDADES!$D$4:$D$1503,$A2839))</f>
        <v/>
      </c>
      <c r="P2839" s="28">
        <f>IF($A2839="","",IF(COUNTIFS(NOVEDADES!$D$4:$D$1503,$A2839,NOVEDADES!$O$4:$O$1503,"SÍ")&gt;0,"No","Sí"))</f>
        <v/>
      </c>
      <c r="Q2839" s="28">
        <f>IF(OR($A2839="",$L2839=""),"",IF(AND($N2839="Sí",$P2839="Sí"),"OTIF","Falló"))</f>
        <v/>
      </c>
    </row>
    <row r="2840" ht="16" customHeight="1">
      <c r="A2840" s="48" t="n"/>
      <c r="B2840" s="48" t="n"/>
      <c r="C2840" s="47" t="n"/>
      <c r="D2840" s="50" t="n"/>
      <c r="E2840" s="50" t="n"/>
      <c r="F2840" s="50" t="n"/>
      <c r="G2840" s="50" t="n"/>
      <c r="H2840" s="48" t="n"/>
      <c r="I2840" s="51" t="n"/>
      <c r="J2840" s="52" t="n"/>
      <c r="K2840" s="47" t="n"/>
      <c r="L2840" s="47" t="n"/>
      <c r="M2840" s="24">
        <f>IF(OR($A2840="",$C2840=""),"",IF($L2840&lt;&gt;"",$L2840-$C2840,TODAY()-$C2840))</f>
        <v/>
      </c>
      <c r="N2840" s="28">
        <f>IF(OR($A2840="",$K2840=""),"",IF($L2840="",IF(TODAY()&gt;$K2840,"Atrasado","En ruta"),IF($L2840&lt;=$K2840,"Sí","No")))</f>
        <v/>
      </c>
      <c r="O2840" s="24">
        <f>IF($A2840="","",COUNTIFS(NOVEDADES!$D$4:$D$1503,$A2840))</f>
        <v/>
      </c>
      <c r="P2840" s="28">
        <f>IF($A2840="","",IF(COUNTIFS(NOVEDADES!$D$4:$D$1503,$A2840,NOVEDADES!$O$4:$O$1503,"SÍ")&gt;0,"No","Sí"))</f>
        <v/>
      </c>
      <c r="Q2840" s="28">
        <f>IF(OR($A2840="",$L2840=""),"",IF(AND($N2840="Sí",$P2840="Sí"),"OTIF","Falló"))</f>
        <v/>
      </c>
    </row>
    <row r="2841" ht="16" customHeight="1">
      <c r="A2841" s="48" t="n"/>
      <c r="B2841" s="48" t="n"/>
      <c r="C2841" s="47" t="n"/>
      <c r="D2841" s="50" t="n"/>
      <c r="E2841" s="50" t="n"/>
      <c r="F2841" s="50" t="n"/>
      <c r="G2841" s="50" t="n"/>
      <c r="H2841" s="48" t="n"/>
      <c r="I2841" s="51" t="n"/>
      <c r="J2841" s="52" t="n"/>
      <c r="K2841" s="47" t="n"/>
      <c r="L2841" s="47" t="n"/>
      <c r="M2841" s="24">
        <f>IF(OR($A2841="",$C2841=""),"",IF($L2841&lt;&gt;"",$L2841-$C2841,TODAY()-$C2841))</f>
        <v/>
      </c>
      <c r="N2841" s="28">
        <f>IF(OR($A2841="",$K2841=""),"",IF($L2841="",IF(TODAY()&gt;$K2841,"Atrasado","En ruta"),IF($L2841&lt;=$K2841,"Sí","No")))</f>
        <v/>
      </c>
      <c r="O2841" s="24">
        <f>IF($A2841="","",COUNTIFS(NOVEDADES!$D$4:$D$1503,$A2841))</f>
        <v/>
      </c>
      <c r="P2841" s="28">
        <f>IF($A2841="","",IF(COUNTIFS(NOVEDADES!$D$4:$D$1503,$A2841,NOVEDADES!$O$4:$O$1503,"SÍ")&gt;0,"No","Sí"))</f>
        <v/>
      </c>
      <c r="Q2841" s="28">
        <f>IF(OR($A2841="",$L2841=""),"",IF(AND($N2841="Sí",$P2841="Sí"),"OTIF","Falló"))</f>
        <v/>
      </c>
    </row>
    <row r="2842" ht="16" customHeight="1">
      <c r="A2842" s="48" t="n"/>
      <c r="B2842" s="48" t="n"/>
      <c r="C2842" s="47" t="n"/>
      <c r="D2842" s="50" t="n"/>
      <c r="E2842" s="50" t="n"/>
      <c r="F2842" s="50" t="n"/>
      <c r="G2842" s="50" t="n"/>
      <c r="H2842" s="48" t="n"/>
      <c r="I2842" s="51" t="n"/>
      <c r="J2842" s="52" t="n"/>
      <c r="K2842" s="47" t="n"/>
      <c r="L2842" s="47" t="n"/>
      <c r="M2842" s="24">
        <f>IF(OR($A2842="",$C2842=""),"",IF($L2842&lt;&gt;"",$L2842-$C2842,TODAY()-$C2842))</f>
        <v/>
      </c>
      <c r="N2842" s="28">
        <f>IF(OR($A2842="",$K2842=""),"",IF($L2842="",IF(TODAY()&gt;$K2842,"Atrasado","En ruta"),IF($L2842&lt;=$K2842,"Sí","No")))</f>
        <v/>
      </c>
      <c r="O2842" s="24">
        <f>IF($A2842="","",COUNTIFS(NOVEDADES!$D$4:$D$1503,$A2842))</f>
        <v/>
      </c>
      <c r="P2842" s="28">
        <f>IF($A2842="","",IF(COUNTIFS(NOVEDADES!$D$4:$D$1503,$A2842,NOVEDADES!$O$4:$O$1503,"SÍ")&gt;0,"No","Sí"))</f>
        <v/>
      </c>
      <c r="Q2842" s="28">
        <f>IF(OR($A2842="",$L2842=""),"",IF(AND($N2842="Sí",$P2842="Sí"),"OTIF","Falló"))</f>
        <v/>
      </c>
    </row>
    <row r="2843" ht="16" customHeight="1">
      <c r="A2843" s="48" t="n"/>
      <c r="B2843" s="48" t="n"/>
      <c r="C2843" s="47" t="n"/>
      <c r="D2843" s="50" t="n"/>
      <c r="E2843" s="50" t="n"/>
      <c r="F2843" s="50" t="n"/>
      <c r="G2843" s="50" t="n"/>
      <c r="H2843" s="48" t="n"/>
      <c r="I2843" s="51" t="n"/>
      <c r="J2843" s="52" t="n"/>
      <c r="K2843" s="47" t="n"/>
      <c r="L2843" s="47" t="n"/>
      <c r="M2843" s="24">
        <f>IF(OR($A2843="",$C2843=""),"",IF($L2843&lt;&gt;"",$L2843-$C2843,TODAY()-$C2843))</f>
        <v/>
      </c>
      <c r="N2843" s="28">
        <f>IF(OR($A2843="",$K2843=""),"",IF($L2843="",IF(TODAY()&gt;$K2843,"Atrasado","En ruta"),IF($L2843&lt;=$K2843,"Sí","No")))</f>
        <v/>
      </c>
      <c r="O2843" s="24">
        <f>IF($A2843="","",COUNTIFS(NOVEDADES!$D$4:$D$1503,$A2843))</f>
        <v/>
      </c>
      <c r="P2843" s="28">
        <f>IF($A2843="","",IF(COUNTIFS(NOVEDADES!$D$4:$D$1503,$A2843,NOVEDADES!$O$4:$O$1503,"SÍ")&gt;0,"No","Sí"))</f>
        <v/>
      </c>
      <c r="Q2843" s="28">
        <f>IF(OR($A2843="",$L2843=""),"",IF(AND($N2843="Sí",$P2843="Sí"),"OTIF","Falló"))</f>
        <v/>
      </c>
    </row>
    <row r="2844" ht="16" customHeight="1">
      <c r="A2844" s="48" t="n"/>
      <c r="B2844" s="48" t="n"/>
      <c r="C2844" s="47" t="n"/>
      <c r="D2844" s="50" t="n"/>
      <c r="E2844" s="50" t="n"/>
      <c r="F2844" s="50" t="n"/>
      <c r="G2844" s="50" t="n"/>
      <c r="H2844" s="48" t="n"/>
      <c r="I2844" s="51" t="n"/>
      <c r="J2844" s="52" t="n"/>
      <c r="K2844" s="47" t="n"/>
      <c r="L2844" s="47" t="n"/>
      <c r="M2844" s="24">
        <f>IF(OR($A2844="",$C2844=""),"",IF($L2844&lt;&gt;"",$L2844-$C2844,TODAY()-$C2844))</f>
        <v/>
      </c>
      <c r="N2844" s="28">
        <f>IF(OR($A2844="",$K2844=""),"",IF($L2844="",IF(TODAY()&gt;$K2844,"Atrasado","En ruta"),IF($L2844&lt;=$K2844,"Sí","No")))</f>
        <v/>
      </c>
      <c r="O2844" s="24">
        <f>IF($A2844="","",COUNTIFS(NOVEDADES!$D$4:$D$1503,$A2844))</f>
        <v/>
      </c>
      <c r="P2844" s="28">
        <f>IF($A2844="","",IF(COUNTIFS(NOVEDADES!$D$4:$D$1503,$A2844,NOVEDADES!$O$4:$O$1503,"SÍ")&gt;0,"No","Sí"))</f>
        <v/>
      </c>
      <c r="Q2844" s="28">
        <f>IF(OR($A2844="",$L2844=""),"",IF(AND($N2844="Sí",$P2844="Sí"),"OTIF","Falló"))</f>
        <v/>
      </c>
    </row>
    <row r="2845" ht="16" customHeight="1">
      <c r="A2845" s="48" t="n"/>
      <c r="B2845" s="48" t="n"/>
      <c r="C2845" s="47" t="n"/>
      <c r="D2845" s="50" t="n"/>
      <c r="E2845" s="50" t="n"/>
      <c r="F2845" s="50" t="n"/>
      <c r="G2845" s="50" t="n"/>
      <c r="H2845" s="48" t="n"/>
      <c r="I2845" s="51" t="n"/>
      <c r="J2845" s="52" t="n"/>
      <c r="K2845" s="47" t="n"/>
      <c r="L2845" s="47" t="n"/>
      <c r="M2845" s="24">
        <f>IF(OR($A2845="",$C2845=""),"",IF($L2845&lt;&gt;"",$L2845-$C2845,TODAY()-$C2845))</f>
        <v/>
      </c>
      <c r="N2845" s="28">
        <f>IF(OR($A2845="",$K2845=""),"",IF($L2845="",IF(TODAY()&gt;$K2845,"Atrasado","En ruta"),IF($L2845&lt;=$K2845,"Sí","No")))</f>
        <v/>
      </c>
      <c r="O2845" s="24">
        <f>IF($A2845="","",COUNTIFS(NOVEDADES!$D$4:$D$1503,$A2845))</f>
        <v/>
      </c>
      <c r="P2845" s="28">
        <f>IF($A2845="","",IF(COUNTIFS(NOVEDADES!$D$4:$D$1503,$A2845,NOVEDADES!$O$4:$O$1503,"SÍ")&gt;0,"No","Sí"))</f>
        <v/>
      </c>
      <c r="Q2845" s="28">
        <f>IF(OR($A2845="",$L2845=""),"",IF(AND($N2845="Sí",$P2845="Sí"),"OTIF","Falló"))</f>
        <v/>
      </c>
    </row>
    <row r="2846" ht="16" customHeight="1">
      <c r="A2846" s="48" t="n"/>
      <c r="B2846" s="48" t="n"/>
      <c r="C2846" s="47" t="n"/>
      <c r="D2846" s="50" t="n"/>
      <c r="E2846" s="50" t="n"/>
      <c r="F2846" s="50" t="n"/>
      <c r="G2846" s="50" t="n"/>
      <c r="H2846" s="48" t="n"/>
      <c r="I2846" s="51" t="n"/>
      <c r="J2846" s="52" t="n"/>
      <c r="K2846" s="47" t="n"/>
      <c r="L2846" s="47" t="n"/>
      <c r="M2846" s="24">
        <f>IF(OR($A2846="",$C2846=""),"",IF($L2846&lt;&gt;"",$L2846-$C2846,TODAY()-$C2846))</f>
        <v/>
      </c>
      <c r="N2846" s="28">
        <f>IF(OR($A2846="",$K2846=""),"",IF($L2846="",IF(TODAY()&gt;$K2846,"Atrasado","En ruta"),IF($L2846&lt;=$K2846,"Sí","No")))</f>
        <v/>
      </c>
      <c r="O2846" s="24">
        <f>IF($A2846="","",COUNTIFS(NOVEDADES!$D$4:$D$1503,$A2846))</f>
        <v/>
      </c>
      <c r="P2846" s="28">
        <f>IF($A2846="","",IF(COUNTIFS(NOVEDADES!$D$4:$D$1503,$A2846,NOVEDADES!$O$4:$O$1503,"SÍ")&gt;0,"No","Sí"))</f>
        <v/>
      </c>
      <c r="Q2846" s="28">
        <f>IF(OR($A2846="",$L2846=""),"",IF(AND($N2846="Sí",$P2846="Sí"),"OTIF","Falló"))</f>
        <v/>
      </c>
    </row>
    <row r="2847" ht="16" customHeight="1">
      <c r="A2847" s="48" t="n"/>
      <c r="B2847" s="48" t="n"/>
      <c r="C2847" s="47" t="n"/>
      <c r="D2847" s="50" t="n"/>
      <c r="E2847" s="50" t="n"/>
      <c r="F2847" s="50" t="n"/>
      <c r="G2847" s="50" t="n"/>
      <c r="H2847" s="48" t="n"/>
      <c r="I2847" s="51" t="n"/>
      <c r="J2847" s="52" t="n"/>
      <c r="K2847" s="47" t="n"/>
      <c r="L2847" s="47" t="n"/>
      <c r="M2847" s="24">
        <f>IF(OR($A2847="",$C2847=""),"",IF($L2847&lt;&gt;"",$L2847-$C2847,TODAY()-$C2847))</f>
        <v/>
      </c>
      <c r="N2847" s="28">
        <f>IF(OR($A2847="",$K2847=""),"",IF($L2847="",IF(TODAY()&gt;$K2847,"Atrasado","En ruta"),IF($L2847&lt;=$K2847,"Sí","No")))</f>
        <v/>
      </c>
      <c r="O2847" s="24">
        <f>IF($A2847="","",COUNTIFS(NOVEDADES!$D$4:$D$1503,$A2847))</f>
        <v/>
      </c>
      <c r="P2847" s="28">
        <f>IF($A2847="","",IF(COUNTIFS(NOVEDADES!$D$4:$D$1503,$A2847,NOVEDADES!$O$4:$O$1503,"SÍ")&gt;0,"No","Sí"))</f>
        <v/>
      </c>
      <c r="Q2847" s="28">
        <f>IF(OR($A2847="",$L2847=""),"",IF(AND($N2847="Sí",$P2847="Sí"),"OTIF","Falló"))</f>
        <v/>
      </c>
    </row>
    <row r="2848" ht="16" customHeight="1">
      <c r="A2848" s="48" t="n"/>
      <c r="B2848" s="48" t="n"/>
      <c r="C2848" s="47" t="n"/>
      <c r="D2848" s="50" t="n"/>
      <c r="E2848" s="50" t="n"/>
      <c r="F2848" s="50" t="n"/>
      <c r="G2848" s="50" t="n"/>
      <c r="H2848" s="48" t="n"/>
      <c r="I2848" s="51" t="n"/>
      <c r="J2848" s="52" t="n"/>
      <c r="K2848" s="47" t="n"/>
      <c r="L2848" s="47" t="n"/>
      <c r="M2848" s="24">
        <f>IF(OR($A2848="",$C2848=""),"",IF($L2848&lt;&gt;"",$L2848-$C2848,TODAY()-$C2848))</f>
        <v/>
      </c>
      <c r="N2848" s="28">
        <f>IF(OR($A2848="",$K2848=""),"",IF($L2848="",IF(TODAY()&gt;$K2848,"Atrasado","En ruta"),IF($L2848&lt;=$K2848,"Sí","No")))</f>
        <v/>
      </c>
      <c r="O2848" s="24">
        <f>IF($A2848="","",COUNTIFS(NOVEDADES!$D$4:$D$1503,$A2848))</f>
        <v/>
      </c>
      <c r="P2848" s="28">
        <f>IF($A2848="","",IF(COUNTIFS(NOVEDADES!$D$4:$D$1503,$A2848,NOVEDADES!$O$4:$O$1503,"SÍ")&gt;0,"No","Sí"))</f>
        <v/>
      </c>
      <c r="Q2848" s="28">
        <f>IF(OR($A2848="",$L2848=""),"",IF(AND($N2848="Sí",$P2848="Sí"),"OTIF","Falló"))</f>
        <v/>
      </c>
    </row>
    <row r="2849" ht="16" customHeight="1">
      <c r="A2849" s="48" t="n"/>
      <c r="B2849" s="48" t="n"/>
      <c r="C2849" s="47" t="n"/>
      <c r="D2849" s="50" t="n"/>
      <c r="E2849" s="50" t="n"/>
      <c r="F2849" s="50" t="n"/>
      <c r="G2849" s="50" t="n"/>
      <c r="H2849" s="48" t="n"/>
      <c r="I2849" s="51" t="n"/>
      <c r="J2849" s="52" t="n"/>
      <c r="K2849" s="47" t="n"/>
      <c r="L2849" s="47" t="n"/>
      <c r="M2849" s="24">
        <f>IF(OR($A2849="",$C2849=""),"",IF($L2849&lt;&gt;"",$L2849-$C2849,TODAY()-$C2849))</f>
        <v/>
      </c>
      <c r="N2849" s="28">
        <f>IF(OR($A2849="",$K2849=""),"",IF($L2849="",IF(TODAY()&gt;$K2849,"Atrasado","En ruta"),IF($L2849&lt;=$K2849,"Sí","No")))</f>
        <v/>
      </c>
      <c r="O2849" s="24">
        <f>IF($A2849="","",COUNTIFS(NOVEDADES!$D$4:$D$1503,$A2849))</f>
        <v/>
      </c>
      <c r="P2849" s="28">
        <f>IF($A2849="","",IF(COUNTIFS(NOVEDADES!$D$4:$D$1503,$A2849,NOVEDADES!$O$4:$O$1503,"SÍ")&gt;0,"No","Sí"))</f>
        <v/>
      </c>
      <c r="Q2849" s="28">
        <f>IF(OR($A2849="",$L2849=""),"",IF(AND($N2849="Sí",$P2849="Sí"),"OTIF","Falló"))</f>
        <v/>
      </c>
    </row>
    <row r="2850" ht="16" customHeight="1">
      <c r="A2850" s="48" t="n"/>
      <c r="B2850" s="48" t="n"/>
      <c r="C2850" s="47" t="n"/>
      <c r="D2850" s="50" t="n"/>
      <c r="E2850" s="50" t="n"/>
      <c r="F2850" s="50" t="n"/>
      <c r="G2850" s="50" t="n"/>
      <c r="H2850" s="48" t="n"/>
      <c r="I2850" s="51" t="n"/>
      <c r="J2850" s="52" t="n"/>
      <c r="K2850" s="47" t="n"/>
      <c r="L2850" s="47" t="n"/>
      <c r="M2850" s="24">
        <f>IF(OR($A2850="",$C2850=""),"",IF($L2850&lt;&gt;"",$L2850-$C2850,TODAY()-$C2850))</f>
        <v/>
      </c>
      <c r="N2850" s="28">
        <f>IF(OR($A2850="",$K2850=""),"",IF($L2850="",IF(TODAY()&gt;$K2850,"Atrasado","En ruta"),IF($L2850&lt;=$K2850,"Sí","No")))</f>
        <v/>
      </c>
      <c r="O2850" s="24">
        <f>IF($A2850="","",COUNTIFS(NOVEDADES!$D$4:$D$1503,$A2850))</f>
        <v/>
      </c>
      <c r="P2850" s="28">
        <f>IF($A2850="","",IF(COUNTIFS(NOVEDADES!$D$4:$D$1503,$A2850,NOVEDADES!$O$4:$O$1503,"SÍ")&gt;0,"No","Sí"))</f>
        <v/>
      </c>
      <c r="Q2850" s="28">
        <f>IF(OR($A2850="",$L2850=""),"",IF(AND($N2850="Sí",$P2850="Sí"),"OTIF","Falló"))</f>
        <v/>
      </c>
    </row>
    <row r="2851" ht="16" customHeight="1">
      <c r="A2851" s="48" t="n"/>
      <c r="B2851" s="48" t="n"/>
      <c r="C2851" s="47" t="n"/>
      <c r="D2851" s="50" t="n"/>
      <c r="E2851" s="50" t="n"/>
      <c r="F2851" s="50" t="n"/>
      <c r="G2851" s="50" t="n"/>
      <c r="H2851" s="48" t="n"/>
      <c r="I2851" s="51" t="n"/>
      <c r="J2851" s="52" t="n"/>
      <c r="K2851" s="47" t="n"/>
      <c r="L2851" s="47" t="n"/>
      <c r="M2851" s="24">
        <f>IF(OR($A2851="",$C2851=""),"",IF($L2851&lt;&gt;"",$L2851-$C2851,TODAY()-$C2851))</f>
        <v/>
      </c>
      <c r="N2851" s="28">
        <f>IF(OR($A2851="",$K2851=""),"",IF($L2851="",IF(TODAY()&gt;$K2851,"Atrasado","En ruta"),IF($L2851&lt;=$K2851,"Sí","No")))</f>
        <v/>
      </c>
      <c r="O2851" s="24">
        <f>IF($A2851="","",COUNTIFS(NOVEDADES!$D$4:$D$1503,$A2851))</f>
        <v/>
      </c>
      <c r="P2851" s="28">
        <f>IF($A2851="","",IF(COUNTIFS(NOVEDADES!$D$4:$D$1503,$A2851,NOVEDADES!$O$4:$O$1503,"SÍ")&gt;0,"No","Sí"))</f>
        <v/>
      </c>
      <c r="Q2851" s="28">
        <f>IF(OR($A2851="",$L2851=""),"",IF(AND($N2851="Sí",$P2851="Sí"),"OTIF","Falló"))</f>
        <v/>
      </c>
    </row>
    <row r="2852" ht="16" customHeight="1">
      <c r="A2852" s="48" t="n"/>
      <c r="B2852" s="48" t="n"/>
      <c r="C2852" s="47" t="n"/>
      <c r="D2852" s="50" t="n"/>
      <c r="E2852" s="50" t="n"/>
      <c r="F2852" s="50" t="n"/>
      <c r="G2852" s="50" t="n"/>
      <c r="H2852" s="48" t="n"/>
      <c r="I2852" s="51" t="n"/>
      <c r="J2852" s="52" t="n"/>
      <c r="K2852" s="47" t="n"/>
      <c r="L2852" s="47" t="n"/>
      <c r="M2852" s="24">
        <f>IF(OR($A2852="",$C2852=""),"",IF($L2852&lt;&gt;"",$L2852-$C2852,TODAY()-$C2852))</f>
        <v/>
      </c>
      <c r="N2852" s="28">
        <f>IF(OR($A2852="",$K2852=""),"",IF($L2852="",IF(TODAY()&gt;$K2852,"Atrasado","En ruta"),IF($L2852&lt;=$K2852,"Sí","No")))</f>
        <v/>
      </c>
      <c r="O2852" s="24">
        <f>IF($A2852="","",COUNTIFS(NOVEDADES!$D$4:$D$1503,$A2852))</f>
        <v/>
      </c>
      <c r="P2852" s="28">
        <f>IF($A2852="","",IF(COUNTIFS(NOVEDADES!$D$4:$D$1503,$A2852,NOVEDADES!$O$4:$O$1503,"SÍ")&gt;0,"No","Sí"))</f>
        <v/>
      </c>
      <c r="Q2852" s="28">
        <f>IF(OR($A2852="",$L2852=""),"",IF(AND($N2852="Sí",$P2852="Sí"),"OTIF","Falló"))</f>
        <v/>
      </c>
    </row>
    <row r="2853" ht="16" customHeight="1">
      <c r="A2853" s="48" t="n"/>
      <c r="B2853" s="48" t="n"/>
      <c r="C2853" s="47" t="n"/>
      <c r="D2853" s="50" t="n"/>
      <c r="E2853" s="50" t="n"/>
      <c r="F2853" s="50" t="n"/>
      <c r="G2853" s="50" t="n"/>
      <c r="H2853" s="48" t="n"/>
      <c r="I2853" s="51" t="n"/>
      <c r="J2853" s="52" t="n"/>
      <c r="K2853" s="47" t="n"/>
      <c r="L2853" s="47" t="n"/>
      <c r="M2853" s="24">
        <f>IF(OR($A2853="",$C2853=""),"",IF($L2853&lt;&gt;"",$L2853-$C2853,TODAY()-$C2853))</f>
        <v/>
      </c>
      <c r="N2853" s="28">
        <f>IF(OR($A2853="",$K2853=""),"",IF($L2853="",IF(TODAY()&gt;$K2853,"Atrasado","En ruta"),IF($L2853&lt;=$K2853,"Sí","No")))</f>
        <v/>
      </c>
      <c r="O2853" s="24">
        <f>IF($A2853="","",COUNTIFS(NOVEDADES!$D$4:$D$1503,$A2853))</f>
        <v/>
      </c>
      <c r="P2853" s="28">
        <f>IF($A2853="","",IF(COUNTIFS(NOVEDADES!$D$4:$D$1503,$A2853,NOVEDADES!$O$4:$O$1503,"SÍ")&gt;0,"No","Sí"))</f>
        <v/>
      </c>
      <c r="Q2853" s="28">
        <f>IF(OR($A2853="",$L2853=""),"",IF(AND($N2853="Sí",$P2853="Sí"),"OTIF","Falló"))</f>
        <v/>
      </c>
    </row>
    <row r="2854" ht="16" customHeight="1">
      <c r="A2854" s="48" t="n"/>
      <c r="B2854" s="48" t="n"/>
      <c r="C2854" s="47" t="n"/>
      <c r="D2854" s="50" t="n"/>
      <c r="E2854" s="50" t="n"/>
      <c r="F2854" s="50" t="n"/>
      <c r="G2854" s="50" t="n"/>
      <c r="H2854" s="48" t="n"/>
      <c r="I2854" s="51" t="n"/>
      <c r="J2854" s="52" t="n"/>
      <c r="K2854" s="47" t="n"/>
      <c r="L2854" s="47" t="n"/>
      <c r="M2854" s="24">
        <f>IF(OR($A2854="",$C2854=""),"",IF($L2854&lt;&gt;"",$L2854-$C2854,TODAY()-$C2854))</f>
        <v/>
      </c>
      <c r="N2854" s="28">
        <f>IF(OR($A2854="",$K2854=""),"",IF($L2854="",IF(TODAY()&gt;$K2854,"Atrasado","En ruta"),IF($L2854&lt;=$K2854,"Sí","No")))</f>
        <v/>
      </c>
      <c r="O2854" s="24">
        <f>IF($A2854="","",COUNTIFS(NOVEDADES!$D$4:$D$1503,$A2854))</f>
        <v/>
      </c>
      <c r="P2854" s="28">
        <f>IF($A2854="","",IF(COUNTIFS(NOVEDADES!$D$4:$D$1503,$A2854,NOVEDADES!$O$4:$O$1503,"SÍ")&gt;0,"No","Sí"))</f>
        <v/>
      </c>
      <c r="Q2854" s="28">
        <f>IF(OR($A2854="",$L2854=""),"",IF(AND($N2854="Sí",$P2854="Sí"),"OTIF","Falló"))</f>
        <v/>
      </c>
    </row>
    <row r="2855" ht="16" customHeight="1">
      <c r="A2855" s="48" t="n"/>
      <c r="B2855" s="48" t="n"/>
      <c r="C2855" s="47" t="n"/>
      <c r="D2855" s="50" t="n"/>
      <c r="E2855" s="50" t="n"/>
      <c r="F2855" s="50" t="n"/>
      <c r="G2855" s="50" t="n"/>
      <c r="H2855" s="48" t="n"/>
      <c r="I2855" s="51" t="n"/>
      <c r="J2855" s="52" t="n"/>
      <c r="K2855" s="47" t="n"/>
      <c r="L2855" s="47" t="n"/>
      <c r="M2855" s="24">
        <f>IF(OR($A2855="",$C2855=""),"",IF($L2855&lt;&gt;"",$L2855-$C2855,TODAY()-$C2855))</f>
        <v/>
      </c>
      <c r="N2855" s="28">
        <f>IF(OR($A2855="",$K2855=""),"",IF($L2855="",IF(TODAY()&gt;$K2855,"Atrasado","En ruta"),IF($L2855&lt;=$K2855,"Sí","No")))</f>
        <v/>
      </c>
      <c r="O2855" s="24">
        <f>IF($A2855="","",COUNTIFS(NOVEDADES!$D$4:$D$1503,$A2855))</f>
        <v/>
      </c>
      <c r="P2855" s="28">
        <f>IF($A2855="","",IF(COUNTIFS(NOVEDADES!$D$4:$D$1503,$A2855,NOVEDADES!$O$4:$O$1503,"SÍ")&gt;0,"No","Sí"))</f>
        <v/>
      </c>
      <c r="Q2855" s="28">
        <f>IF(OR($A2855="",$L2855=""),"",IF(AND($N2855="Sí",$P2855="Sí"),"OTIF","Falló"))</f>
        <v/>
      </c>
    </row>
    <row r="2856" ht="16" customHeight="1">
      <c r="A2856" s="48" t="n"/>
      <c r="B2856" s="48" t="n"/>
      <c r="C2856" s="47" t="n"/>
      <c r="D2856" s="50" t="n"/>
      <c r="E2856" s="50" t="n"/>
      <c r="F2856" s="50" t="n"/>
      <c r="G2856" s="50" t="n"/>
      <c r="H2856" s="48" t="n"/>
      <c r="I2856" s="51" t="n"/>
      <c r="J2856" s="52" t="n"/>
      <c r="K2856" s="47" t="n"/>
      <c r="L2856" s="47" t="n"/>
      <c r="M2856" s="24">
        <f>IF(OR($A2856="",$C2856=""),"",IF($L2856&lt;&gt;"",$L2856-$C2856,TODAY()-$C2856))</f>
        <v/>
      </c>
      <c r="N2856" s="28">
        <f>IF(OR($A2856="",$K2856=""),"",IF($L2856="",IF(TODAY()&gt;$K2856,"Atrasado","En ruta"),IF($L2856&lt;=$K2856,"Sí","No")))</f>
        <v/>
      </c>
      <c r="O2856" s="24">
        <f>IF($A2856="","",COUNTIFS(NOVEDADES!$D$4:$D$1503,$A2856))</f>
        <v/>
      </c>
      <c r="P2856" s="28">
        <f>IF($A2856="","",IF(COUNTIFS(NOVEDADES!$D$4:$D$1503,$A2856,NOVEDADES!$O$4:$O$1503,"SÍ")&gt;0,"No","Sí"))</f>
        <v/>
      </c>
      <c r="Q2856" s="28">
        <f>IF(OR($A2856="",$L2856=""),"",IF(AND($N2856="Sí",$P2856="Sí"),"OTIF","Falló"))</f>
        <v/>
      </c>
    </row>
    <row r="2857" ht="16" customHeight="1">
      <c r="A2857" s="48" t="n"/>
      <c r="B2857" s="48" t="n"/>
      <c r="C2857" s="47" t="n"/>
      <c r="D2857" s="50" t="n"/>
      <c r="E2857" s="50" t="n"/>
      <c r="F2857" s="50" t="n"/>
      <c r="G2857" s="50" t="n"/>
      <c r="H2857" s="48" t="n"/>
      <c r="I2857" s="51" t="n"/>
      <c r="J2857" s="52" t="n"/>
      <c r="K2857" s="47" t="n"/>
      <c r="L2857" s="47" t="n"/>
      <c r="M2857" s="24">
        <f>IF(OR($A2857="",$C2857=""),"",IF($L2857&lt;&gt;"",$L2857-$C2857,TODAY()-$C2857))</f>
        <v/>
      </c>
      <c r="N2857" s="28">
        <f>IF(OR($A2857="",$K2857=""),"",IF($L2857="",IF(TODAY()&gt;$K2857,"Atrasado","En ruta"),IF($L2857&lt;=$K2857,"Sí","No")))</f>
        <v/>
      </c>
      <c r="O2857" s="24">
        <f>IF($A2857="","",COUNTIFS(NOVEDADES!$D$4:$D$1503,$A2857))</f>
        <v/>
      </c>
      <c r="P2857" s="28">
        <f>IF($A2857="","",IF(COUNTIFS(NOVEDADES!$D$4:$D$1503,$A2857,NOVEDADES!$O$4:$O$1503,"SÍ")&gt;0,"No","Sí"))</f>
        <v/>
      </c>
      <c r="Q2857" s="28">
        <f>IF(OR($A2857="",$L2857=""),"",IF(AND($N2857="Sí",$P2857="Sí"),"OTIF","Falló"))</f>
        <v/>
      </c>
    </row>
    <row r="2858" ht="16" customHeight="1">
      <c r="A2858" s="48" t="n"/>
      <c r="B2858" s="48" t="n"/>
      <c r="C2858" s="47" t="n"/>
      <c r="D2858" s="50" t="n"/>
      <c r="E2858" s="50" t="n"/>
      <c r="F2858" s="50" t="n"/>
      <c r="G2858" s="50" t="n"/>
      <c r="H2858" s="48" t="n"/>
      <c r="I2858" s="51" t="n"/>
      <c r="J2858" s="52" t="n"/>
      <c r="K2858" s="47" t="n"/>
      <c r="L2858" s="47" t="n"/>
      <c r="M2858" s="24">
        <f>IF(OR($A2858="",$C2858=""),"",IF($L2858&lt;&gt;"",$L2858-$C2858,TODAY()-$C2858))</f>
        <v/>
      </c>
      <c r="N2858" s="28">
        <f>IF(OR($A2858="",$K2858=""),"",IF($L2858="",IF(TODAY()&gt;$K2858,"Atrasado","En ruta"),IF($L2858&lt;=$K2858,"Sí","No")))</f>
        <v/>
      </c>
      <c r="O2858" s="24">
        <f>IF($A2858="","",COUNTIFS(NOVEDADES!$D$4:$D$1503,$A2858))</f>
        <v/>
      </c>
      <c r="P2858" s="28">
        <f>IF($A2858="","",IF(COUNTIFS(NOVEDADES!$D$4:$D$1503,$A2858,NOVEDADES!$O$4:$O$1503,"SÍ")&gt;0,"No","Sí"))</f>
        <v/>
      </c>
      <c r="Q2858" s="28">
        <f>IF(OR($A2858="",$L2858=""),"",IF(AND($N2858="Sí",$P2858="Sí"),"OTIF","Falló"))</f>
        <v/>
      </c>
    </row>
    <row r="2859" ht="16" customHeight="1">
      <c r="A2859" s="48" t="n"/>
      <c r="B2859" s="48" t="n"/>
      <c r="C2859" s="47" t="n"/>
      <c r="D2859" s="50" t="n"/>
      <c r="E2859" s="50" t="n"/>
      <c r="F2859" s="50" t="n"/>
      <c r="G2859" s="50" t="n"/>
      <c r="H2859" s="48" t="n"/>
      <c r="I2859" s="51" t="n"/>
      <c r="J2859" s="52" t="n"/>
      <c r="K2859" s="47" t="n"/>
      <c r="L2859" s="47" t="n"/>
      <c r="M2859" s="24">
        <f>IF(OR($A2859="",$C2859=""),"",IF($L2859&lt;&gt;"",$L2859-$C2859,TODAY()-$C2859))</f>
        <v/>
      </c>
      <c r="N2859" s="28">
        <f>IF(OR($A2859="",$K2859=""),"",IF($L2859="",IF(TODAY()&gt;$K2859,"Atrasado","En ruta"),IF($L2859&lt;=$K2859,"Sí","No")))</f>
        <v/>
      </c>
      <c r="O2859" s="24">
        <f>IF($A2859="","",COUNTIFS(NOVEDADES!$D$4:$D$1503,$A2859))</f>
        <v/>
      </c>
      <c r="P2859" s="28">
        <f>IF($A2859="","",IF(COUNTIFS(NOVEDADES!$D$4:$D$1503,$A2859,NOVEDADES!$O$4:$O$1503,"SÍ")&gt;0,"No","Sí"))</f>
        <v/>
      </c>
      <c r="Q2859" s="28">
        <f>IF(OR($A2859="",$L2859=""),"",IF(AND($N2859="Sí",$P2859="Sí"),"OTIF","Falló"))</f>
        <v/>
      </c>
    </row>
    <row r="2860" ht="16" customHeight="1">
      <c r="A2860" s="48" t="n"/>
      <c r="B2860" s="48" t="n"/>
      <c r="C2860" s="47" t="n"/>
      <c r="D2860" s="50" t="n"/>
      <c r="E2860" s="50" t="n"/>
      <c r="F2860" s="50" t="n"/>
      <c r="G2860" s="50" t="n"/>
      <c r="H2860" s="48" t="n"/>
      <c r="I2860" s="51" t="n"/>
      <c r="J2860" s="52" t="n"/>
      <c r="K2860" s="47" t="n"/>
      <c r="L2860" s="47" t="n"/>
      <c r="M2860" s="24">
        <f>IF(OR($A2860="",$C2860=""),"",IF($L2860&lt;&gt;"",$L2860-$C2860,TODAY()-$C2860))</f>
        <v/>
      </c>
      <c r="N2860" s="28">
        <f>IF(OR($A2860="",$K2860=""),"",IF($L2860="",IF(TODAY()&gt;$K2860,"Atrasado","En ruta"),IF($L2860&lt;=$K2860,"Sí","No")))</f>
        <v/>
      </c>
      <c r="O2860" s="24">
        <f>IF($A2860="","",COUNTIFS(NOVEDADES!$D$4:$D$1503,$A2860))</f>
        <v/>
      </c>
      <c r="P2860" s="28">
        <f>IF($A2860="","",IF(COUNTIFS(NOVEDADES!$D$4:$D$1503,$A2860,NOVEDADES!$O$4:$O$1503,"SÍ")&gt;0,"No","Sí"))</f>
        <v/>
      </c>
      <c r="Q2860" s="28">
        <f>IF(OR($A2860="",$L2860=""),"",IF(AND($N2860="Sí",$P2860="Sí"),"OTIF","Falló"))</f>
        <v/>
      </c>
    </row>
    <row r="2861" ht="16" customHeight="1">
      <c r="A2861" s="48" t="n"/>
      <c r="B2861" s="48" t="n"/>
      <c r="C2861" s="47" t="n"/>
      <c r="D2861" s="50" t="n"/>
      <c r="E2861" s="50" t="n"/>
      <c r="F2861" s="50" t="n"/>
      <c r="G2861" s="50" t="n"/>
      <c r="H2861" s="48" t="n"/>
      <c r="I2861" s="51" t="n"/>
      <c r="J2861" s="52" t="n"/>
      <c r="K2861" s="47" t="n"/>
      <c r="L2861" s="47" t="n"/>
      <c r="M2861" s="24">
        <f>IF(OR($A2861="",$C2861=""),"",IF($L2861&lt;&gt;"",$L2861-$C2861,TODAY()-$C2861))</f>
        <v/>
      </c>
      <c r="N2861" s="28">
        <f>IF(OR($A2861="",$K2861=""),"",IF($L2861="",IF(TODAY()&gt;$K2861,"Atrasado","En ruta"),IF($L2861&lt;=$K2861,"Sí","No")))</f>
        <v/>
      </c>
      <c r="O2861" s="24">
        <f>IF($A2861="","",COUNTIFS(NOVEDADES!$D$4:$D$1503,$A2861))</f>
        <v/>
      </c>
      <c r="P2861" s="28">
        <f>IF($A2861="","",IF(COUNTIFS(NOVEDADES!$D$4:$D$1503,$A2861,NOVEDADES!$O$4:$O$1503,"SÍ")&gt;0,"No","Sí"))</f>
        <v/>
      </c>
      <c r="Q2861" s="28">
        <f>IF(OR($A2861="",$L2861=""),"",IF(AND($N2861="Sí",$P2861="Sí"),"OTIF","Falló"))</f>
        <v/>
      </c>
    </row>
    <row r="2862" ht="16" customHeight="1">
      <c r="A2862" s="48" t="n"/>
      <c r="B2862" s="48" t="n"/>
      <c r="C2862" s="47" t="n"/>
      <c r="D2862" s="50" t="n"/>
      <c r="E2862" s="50" t="n"/>
      <c r="F2862" s="50" t="n"/>
      <c r="G2862" s="50" t="n"/>
      <c r="H2862" s="48" t="n"/>
      <c r="I2862" s="51" t="n"/>
      <c r="J2862" s="52" t="n"/>
      <c r="K2862" s="47" t="n"/>
      <c r="L2862" s="47" t="n"/>
      <c r="M2862" s="24">
        <f>IF(OR($A2862="",$C2862=""),"",IF($L2862&lt;&gt;"",$L2862-$C2862,TODAY()-$C2862))</f>
        <v/>
      </c>
      <c r="N2862" s="28">
        <f>IF(OR($A2862="",$K2862=""),"",IF($L2862="",IF(TODAY()&gt;$K2862,"Atrasado","En ruta"),IF($L2862&lt;=$K2862,"Sí","No")))</f>
        <v/>
      </c>
      <c r="O2862" s="24">
        <f>IF($A2862="","",COUNTIFS(NOVEDADES!$D$4:$D$1503,$A2862))</f>
        <v/>
      </c>
      <c r="P2862" s="28">
        <f>IF($A2862="","",IF(COUNTIFS(NOVEDADES!$D$4:$D$1503,$A2862,NOVEDADES!$O$4:$O$1503,"SÍ")&gt;0,"No","Sí"))</f>
        <v/>
      </c>
      <c r="Q2862" s="28">
        <f>IF(OR($A2862="",$L2862=""),"",IF(AND($N2862="Sí",$P2862="Sí"),"OTIF","Falló"))</f>
        <v/>
      </c>
    </row>
    <row r="2863" ht="16" customHeight="1">
      <c r="A2863" s="48" t="n"/>
      <c r="B2863" s="48" t="n"/>
      <c r="C2863" s="47" t="n"/>
      <c r="D2863" s="50" t="n"/>
      <c r="E2863" s="50" t="n"/>
      <c r="F2863" s="50" t="n"/>
      <c r="G2863" s="50" t="n"/>
      <c r="H2863" s="48" t="n"/>
      <c r="I2863" s="51" t="n"/>
      <c r="J2863" s="52" t="n"/>
      <c r="K2863" s="47" t="n"/>
      <c r="L2863" s="47" t="n"/>
      <c r="M2863" s="24">
        <f>IF(OR($A2863="",$C2863=""),"",IF($L2863&lt;&gt;"",$L2863-$C2863,TODAY()-$C2863))</f>
        <v/>
      </c>
      <c r="N2863" s="28">
        <f>IF(OR($A2863="",$K2863=""),"",IF($L2863="",IF(TODAY()&gt;$K2863,"Atrasado","En ruta"),IF($L2863&lt;=$K2863,"Sí","No")))</f>
        <v/>
      </c>
      <c r="O2863" s="24">
        <f>IF($A2863="","",COUNTIFS(NOVEDADES!$D$4:$D$1503,$A2863))</f>
        <v/>
      </c>
      <c r="P2863" s="28">
        <f>IF($A2863="","",IF(COUNTIFS(NOVEDADES!$D$4:$D$1503,$A2863,NOVEDADES!$O$4:$O$1503,"SÍ")&gt;0,"No","Sí"))</f>
        <v/>
      </c>
      <c r="Q2863" s="28">
        <f>IF(OR($A2863="",$L2863=""),"",IF(AND($N2863="Sí",$P2863="Sí"),"OTIF","Falló"))</f>
        <v/>
      </c>
    </row>
    <row r="2864" ht="16" customHeight="1">
      <c r="A2864" s="48" t="n"/>
      <c r="B2864" s="48" t="n"/>
      <c r="C2864" s="47" t="n"/>
      <c r="D2864" s="50" t="n"/>
      <c r="E2864" s="50" t="n"/>
      <c r="F2864" s="50" t="n"/>
      <c r="G2864" s="50" t="n"/>
      <c r="H2864" s="48" t="n"/>
      <c r="I2864" s="51" t="n"/>
      <c r="J2864" s="52" t="n"/>
      <c r="K2864" s="47" t="n"/>
      <c r="L2864" s="47" t="n"/>
      <c r="M2864" s="24">
        <f>IF(OR($A2864="",$C2864=""),"",IF($L2864&lt;&gt;"",$L2864-$C2864,TODAY()-$C2864))</f>
        <v/>
      </c>
      <c r="N2864" s="28">
        <f>IF(OR($A2864="",$K2864=""),"",IF($L2864="",IF(TODAY()&gt;$K2864,"Atrasado","En ruta"),IF($L2864&lt;=$K2864,"Sí","No")))</f>
        <v/>
      </c>
      <c r="O2864" s="24">
        <f>IF($A2864="","",COUNTIFS(NOVEDADES!$D$4:$D$1503,$A2864))</f>
        <v/>
      </c>
      <c r="P2864" s="28">
        <f>IF($A2864="","",IF(COUNTIFS(NOVEDADES!$D$4:$D$1503,$A2864,NOVEDADES!$O$4:$O$1503,"SÍ")&gt;0,"No","Sí"))</f>
        <v/>
      </c>
      <c r="Q2864" s="28">
        <f>IF(OR($A2864="",$L2864=""),"",IF(AND($N2864="Sí",$P2864="Sí"),"OTIF","Falló"))</f>
        <v/>
      </c>
    </row>
    <row r="2865" ht="16" customHeight="1">
      <c r="A2865" s="48" t="n"/>
      <c r="B2865" s="48" t="n"/>
      <c r="C2865" s="47" t="n"/>
      <c r="D2865" s="50" t="n"/>
      <c r="E2865" s="50" t="n"/>
      <c r="F2865" s="50" t="n"/>
      <c r="G2865" s="50" t="n"/>
      <c r="H2865" s="48" t="n"/>
      <c r="I2865" s="51" t="n"/>
      <c r="J2865" s="52" t="n"/>
      <c r="K2865" s="47" t="n"/>
      <c r="L2865" s="47" t="n"/>
      <c r="M2865" s="24">
        <f>IF(OR($A2865="",$C2865=""),"",IF($L2865&lt;&gt;"",$L2865-$C2865,TODAY()-$C2865))</f>
        <v/>
      </c>
      <c r="N2865" s="28">
        <f>IF(OR($A2865="",$K2865=""),"",IF($L2865="",IF(TODAY()&gt;$K2865,"Atrasado","En ruta"),IF($L2865&lt;=$K2865,"Sí","No")))</f>
        <v/>
      </c>
      <c r="O2865" s="24">
        <f>IF($A2865="","",COUNTIFS(NOVEDADES!$D$4:$D$1503,$A2865))</f>
        <v/>
      </c>
      <c r="P2865" s="28">
        <f>IF($A2865="","",IF(COUNTIFS(NOVEDADES!$D$4:$D$1503,$A2865,NOVEDADES!$O$4:$O$1503,"SÍ")&gt;0,"No","Sí"))</f>
        <v/>
      </c>
      <c r="Q2865" s="28">
        <f>IF(OR($A2865="",$L2865=""),"",IF(AND($N2865="Sí",$P2865="Sí"),"OTIF","Falló"))</f>
        <v/>
      </c>
    </row>
    <row r="2866" ht="16" customHeight="1">
      <c r="A2866" s="48" t="n"/>
      <c r="B2866" s="48" t="n"/>
      <c r="C2866" s="47" t="n"/>
      <c r="D2866" s="50" t="n"/>
      <c r="E2866" s="50" t="n"/>
      <c r="F2866" s="50" t="n"/>
      <c r="G2866" s="50" t="n"/>
      <c r="H2866" s="48" t="n"/>
      <c r="I2866" s="51" t="n"/>
      <c r="J2866" s="52" t="n"/>
      <c r="K2866" s="47" t="n"/>
      <c r="L2866" s="47" t="n"/>
      <c r="M2866" s="24">
        <f>IF(OR($A2866="",$C2866=""),"",IF($L2866&lt;&gt;"",$L2866-$C2866,TODAY()-$C2866))</f>
        <v/>
      </c>
      <c r="N2866" s="28">
        <f>IF(OR($A2866="",$K2866=""),"",IF($L2866="",IF(TODAY()&gt;$K2866,"Atrasado","En ruta"),IF($L2866&lt;=$K2866,"Sí","No")))</f>
        <v/>
      </c>
      <c r="O2866" s="24">
        <f>IF($A2866="","",COUNTIFS(NOVEDADES!$D$4:$D$1503,$A2866))</f>
        <v/>
      </c>
      <c r="P2866" s="28">
        <f>IF($A2866="","",IF(COUNTIFS(NOVEDADES!$D$4:$D$1503,$A2866,NOVEDADES!$O$4:$O$1503,"SÍ")&gt;0,"No","Sí"))</f>
        <v/>
      </c>
      <c r="Q2866" s="28">
        <f>IF(OR($A2866="",$L2866=""),"",IF(AND($N2866="Sí",$P2866="Sí"),"OTIF","Falló"))</f>
        <v/>
      </c>
    </row>
    <row r="2867" ht="16" customHeight="1">
      <c r="A2867" s="48" t="n"/>
      <c r="B2867" s="48" t="n"/>
      <c r="C2867" s="47" t="n"/>
      <c r="D2867" s="50" t="n"/>
      <c r="E2867" s="50" t="n"/>
      <c r="F2867" s="50" t="n"/>
      <c r="G2867" s="50" t="n"/>
      <c r="H2867" s="48" t="n"/>
      <c r="I2867" s="51" t="n"/>
      <c r="J2867" s="52" t="n"/>
      <c r="K2867" s="47" t="n"/>
      <c r="L2867" s="47" t="n"/>
      <c r="M2867" s="24">
        <f>IF(OR($A2867="",$C2867=""),"",IF($L2867&lt;&gt;"",$L2867-$C2867,TODAY()-$C2867))</f>
        <v/>
      </c>
      <c r="N2867" s="28">
        <f>IF(OR($A2867="",$K2867=""),"",IF($L2867="",IF(TODAY()&gt;$K2867,"Atrasado","En ruta"),IF($L2867&lt;=$K2867,"Sí","No")))</f>
        <v/>
      </c>
      <c r="O2867" s="24">
        <f>IF($A2867="","",COUNTIFS(NOVEDADES!$D$4:$D$1503,$A2867))</f>
        <v/>
      </c>
      <c r="P2867" s="28">
        <f>IF($A2867="","",IF(COUNTIFS(NOVEDADES!$D$4:$D$1503,$A2867,NOVEDADES!$O$4:$O$1503,"SÍ")&gt;0,"No","Sí"))</f>
        <v/>
      </c>
      <c r="Q2867" s="28">
        <f>IF(OR($A2867="",$L2867=""),"",IF(AND($N2867="Sí",$P2867="Sí"),"OTIF","Falló"))</f>
        <v/>
      </c>
    </row>
    <row r="2868" ht="16" customHeight="1">
      <c r="A2868" s="48" t="n"/>
      <c r="B2868" s="48" t="n"/>
      <c r="C2868" s="47" t="n"/>
      <c r="D2868" s="50" t="n"/>
      <c r="E2868" s="50" t="n"/>
      <c r="F2868" s="50" t="n"/>
      <c r="G2868" s="50" t="n"/>
      <c r="H2868" s="48" t="n"/>
      <c r="I2868" s="51" t="n"/>
      <c r="J2868" s="52" t="n"/>
      <c r="K2868" s="47" t="n"/>
      <c r="L2868" s="47" t="n"/>
      <c r="M2868" s="24">
        <f>IF(OR($A2868="",$C2868=""),"",IF($L2868&lt;&gt;"",$L2868-$C2868,TODAY()-$C2868))</f>
        <v/>
      </c>
      <c r="N2868" s="28">
        <f>IF(OR($A2868="",$K2868=""),"",IF($L2868="",IF(TODAY()&gt;$K2868,"Atrasado","En ruta"),IF($L2868&lt;=$K2868,"Sí","No")))</f>
        <v/>
      </c>
      <c r="O2868" s="24">
        <f>IF($A2868="","",COUNTIFS(NOVEDADES!$D$4:$D$1503,$A2868))</f>
        <v/>
      </c>
      <c r="P2868" s="28">
        <f>IF($A2868="","",IF(COUNTIFS(NOVEDADES!$D$4:$D$1503,$A2868,NOVEDADES!$O$4:$O$1503,"SÍ")&gt;0,"No","Sí"))</f>
        <v/>
      </c>
      <c r="Q2868" s="28">
        <f>IF(OR($A2868="",$L2868=""),"",IF(AND($N2868="Sí",$P2868="Sí"),"OTIF","Falló"))</f>
        <v/>
      </c>
    </row>
    <row r="2869" ht="16" customHeight="1">
      <c r="A2869" s="48" t="n"/>
      <c r="B2869" s="48" t="n"/>
      <c r="C2869" s="47" t="n"/>
      <c r="D2869" s="50" t="n"/>
      <c r="E2869" s="50" t="n"/>
      <c r="F2869" s="50" t="n"/>
      <c r="G2869" s="50" t="n"/>
      <c r="H2869" s="48" t="n"/>
      <c r="I2869" s="51" t="n"/>
      <c r="J2869" s="52" t="n"/>
      <c r="K2869" s="47" t="n"/>
      <c r="L2869" s="47" t="n"/>
      <c r="M2869" s="24">
        <f>IF(OR($A2869="",$C2869=""),"",IF($L2869&lt;&gt;"",$L2869-$C2869,TODAY()-$C2869))</f>
        <v/>
      </c>
      <c r="N2869" s="28">
        <f>IF(OR($A2869="",$K2869=""),"",IF($L2869="",IF(TODAY()&gt;$K2869,"Atrasado","En ruta"),IF($L2869&lt;=$K2869,"Sí","No")))</f>
        <v/>
      </c>
      <c r="O2869" s="24">
        <f>IF($A2869="","",COUNTIFS(NOVEDADES!$D$4:$D$1503,$A2869))</f>
        <v/>
      </c>
      <c r="P2869" s="28">
        <f>IF($A2869="","",IF(COUNTIFS(NOVEDADES!$D$4:$D$1503,$A2869,NOVEDADES!$O$4:$O$1503,"SÍ")&gt;0,"No","Sí"))</f>
        <v/>
      </c>
      <c r="Q2869" s="28">
        <f>IF(OR($A2869="",$L2869=""),"",IF(AND($N2869="Sí",$P2869="Sí"),"OTIF","Falló"))</f>
        <v/>
      </c>
    </row>
    <row r="2870" ht="16" customHeight="1">
      <c r="A2870" s="48" t="n"/>
      <c r="B2870" s="48" t="n"/>
      <c r="C2870" s="47" t="n"/>
      <c r="D2870" s="50" t="n"/>
      <c r="E2870" s="50" t="n"/>
      <c r="F2870" s="50" t="n"/>
      <c r="G2870" s="50" t="n"/>
      <c r="H2870" s="48" t="n"/>
      <c r="I2870" s="51" t="n"/>
      <c r="J2870" s="52" t="n"/>
      <c r="K2870" s="47" t="n"/>
      <c r="L2870" s="47" t="n"/>
      <c r="M2870" s="24">
        <f>IF(OR($A2870="",$C2870=""),"",IF($L2870&lt;&gt;"",$L2870-$C2870,TODAY()-$C2870))</f>
        <v/>
      </c>
      <c r="N2870" s="28">
        <f>IF(OR($A2870="",$K2870=""),"",IF($L2870="",IF(TODAY()&gt;$K2870,"Atrasado","En ruta"),IF($L2870&lt;=$K2870,"Sí","No")))</f>
        <v/>
      </c>
      <c r="O2870" s="24">
        <f>IF($A2870="","",COUNTIFS(NOVEDADES!$D$4:$D$1503,$A2870))</f>
        <v/>
      </c>
      <c r="P2870" s="28">
        <f>IF($A2870="","",IF(COUNTIFS(NOVEDADES!$D$4:$D$1503,$A2870,NOVEDADES!$O$4:$O$1503,"SÍ")&gt;0,"No","Sí"))</f>
        <v/>
      </c>
      <c r="Q2870" s="28">
        <f>IF(OR($A2870="",$L2870=""),"",IF(AND($N2870="Sí",$P2870="Sí"),"OTIF","Falló"))</f>
        <v/>
      </c>
    </row>
    <row r="2871" ht="16" customHeight="1">
      <c r="A2871" s="48" t="n"/>
      <c r="B2871" s="48" t="n"/>
      <c r="C2871" s="47" t="n"/>
      <c r="D2871" s="50" t="n"/>
      <c r="E2871" s="50" t="n"/>
      <c r="F2871" s="50" t="n"/>
      <c r="G2871" s="50" t="n"/>
      <c r="H2871" s="48" t="n"/>
      <c r="I2871" s="51" t="n"/>
      <c r="J2871" s="52" t="n"/>
      <c r="K2871" s="47" t="n"/>
      <c r="L2871" s="47" t="n"/>
      <c r="M2871" s="24">
        <f>IF(OR($A2871="",$C2871=""),"",IF($L2871&lt;&gt;"",$L2871-$C2871,TODAY()-$C2871))</f>
        <v/>
      </c>
      <c r="N2871" s="28">
        <f>IF(OR($A2871="",$K2871=""),"",IF($L2871="",IF(TODAY()&gt;$K2871,"Atrasado","En ruta"),IF($L2871&lt;=$K2871,"Sí","No")))</f>
        <v/>
      </c>
      <c r="O2871" s="24">
        <f>IF($A2871="","",COUNTIFS(NOVEDADES!$D$4:$D$1503,$A2871))</f>
        <v/>
      </c>
      <c r="P2871" s="28">
        <f>IF($A2871="","",IF(COUNTIFS(NOVEDADES!$D$4:$D$1503,$A2871,NOVEDADES!$O$4:$O$1503,"SÍ")&gt;0,"No","Sí"))</f>
        <v/>
      </c>
      <c r="Q2871" s="28">
        <f>IF(OR($A2871="",$L2871=""),"",IF(AND($N2871="Sí",$P2871="Sí"),"OTIF","Falló"))</f>
        <v/>
      </c>
    </row>
    <row r="2872" ht="16" customHeight="1">
      <c r="A2872" s="48" t="n"/>
      <c r="B2872" s="48" t="n"/>
      <c r="C2872" s="47" t="n"/>
      <c r="D2872" s="50" t="n"/>
      <c r="E2872" s="50" t="n"/>
      <c r="F2872" s="50" t="n"/>
      <c r="G2872" s="50" t="n"/>
      <c r="H2872" s="48" t="n"/>
      <c r="I2872" s="51" t="n"/>
      <c r="J2872" s="52" t="n"/>
      <c r="K2872" s="47" t="n"/>
      <c r="L2872" s="47" t="n"/>
      <c r="M2872" s="24">
        <f>IF(OR($A2872="",$C2872=""),"",IF($L2872&lt;&gt;"",$L2872-$C2872,TODAY()-$C2872))</f>
        <v/>
      </c>
      <c r="N2872" s="28">
        <f>IF(OR($A2872="",$K2872=""),"",IF($L2872="",IF(TODAY()&gt;$K2872,"Atrasado","En ruta"),IF($L2872&lt;=$K2872,"Sí","No")))</f>
        <v/>
      </c>
      <c r="O2872" s="24">
        <f>IF($A2872="","",COUNTIFS(NOVEDADES!$D$4:$D$1503,$A2872))</f>
        <v/>
      </c>
      <c r="P2872" s="28">
        <f>IF($A2872="","",IF(COUNTIFS(NOVEDADES!$D$4:$D$1503,$A2872,NOVEDADES!$O$4:$O$1503,"SÍ")&gt;0,"No","Sí"))</f>
        <v/>
      </c>
      <c r="Q2872" s="28">
        <f>IF(OR($A2872="",$L2872=""),"",IF(AND($N2872="Sí",$P2872="Sí"),"OTIF","Falló"))</f>
        <v/>
      </c>
    </row>
    <row r="2873" ht="16" customHeight="1">
      <c r="A2873" s="48" t="n"/>
      <c r="B2873" s="48" t="n"/>
      <c r="C2873" s="47" t="n"/>
      <c r="D2873" s="50" t="n"/>
      <c r="E2873" s="50" t="n"/>
      <c r="F2873" s="50" t="n"/>
      <c r="G2873" s="50" t="n"/>
      <c r="H2873" s="48" t="n"/>
      <c r="I2873" s="51" t="n"/>
      <c r="J2873" s="52" t="n"/>
      <c r="K2873" s="47" t="n"/>
      <c r="L2873" s="47" t="n"/>
      <c r="M2873" s="24">
        <f>IF(OR($A2873="",$C2873=""),"",IF($L2873&lt;&gt;"",$L2873-$C2873,TODAY()-$C2873))</f>
        <v/>
      </c>
      <c r="N2873" s="28">
        <f>IF(OR($A2873="",$K2873=""),"",IF($L2873="",IF(TODAY()&gt;$K2873,"Atrasado","En ruta"),IF($L2873&lt;=$K2873,"Sí","No")))</f>
        <v/>
      </c>
      <c r="O2873" s="24">
        <f>IF($A2873="","",COUNTIFS(NOVEDADES!$D$4:$D$1503,$A2873))</f>
        <v/>
      </c>
      <c r="P2873" s="28">
        <f>IF($A2873="","",IF(COUNTIFS(NOVEDADES!$D$4:$D$1503,$A2873,NOVEDADES!$O$4:$O$1503,"SÍ")&gt;0,"No","Sí"))</f>
        <v/>
      </c>
      <c r="Q2873" s="28">
        <f>IF(OR($A2873="",$L2873=""),"",IF(AND($N2873="Sí",$P2873="Sí"),"OTIF","Falló"))</f>
        <v/>
      </c>
    </row>
    <row r="2874" ht="16" customHeight="1">
      <c r="A2874" s="48" t="n"/>
      <c r="B2874" s="48" t="n"/>
      <c r="C2874" s="47" t="n"/>
      <c r="D2874" s="50" t="n"/>
      <c r="E2874" s="50" t="n"/>
      <c r="F2874" s="50" t="n"/>
      <c r="G2874" s="50" t="n"/>
      <c r="H2874" s="48" t="n"/>
      <c r="I2874" s="51" t="n"/>
      <c r="J2874" s="52" t="n"/>
      <c r="K2874" s="47" t="n"/>
      <c r="L2874" s="47" t="n"/>
      <c r="M2874" s="24">
        <f>IF(OR($A2874="",$C2874=""),"",IF($L2874&lt;&gt;"",$L2874-$C2874,TODAY()-$C2874))</f>
        <v/>
      </c>
      <c r="N2874" s="28">
        <f>IF(OR($A2874="",$K2874=""),"",IF($L2874="",IF(TODAY()&gt;$K2874,"Atrasado","En ruta"),IF($L2874&lt;=$K2874,"Sí","No")))</f>
        <v/>
      </c>
      <c r="O2874" s="24">
        <f>IF($A2874="","",COUNTIFS(NOVEDADES!$D$4:$D$1503,$A2874))</f>
        <v/>
      </c>
      <c r="P2874" s="28">
        <f>IF($A2874="","",IF(COUNTIFS(NOVEDADES!$D$4:$D$1503,$A2874,NOVEDADES!$O$4:$O$1503,"SÍ")&gt;0,"No","Sí"))</f>
        <v/>
      </c>
      <c r="Q2874" s="28">
        <f>IF(OR($A2874="",$L2874=""),"",IF(AND($N2874="Sí",$P2874="Sí"),"OTIF","Falló"))</f>
        <v/>
      </c>
    </row>
    <row r="2875" ht="16" customHeight="1">
      <c r="A2875" s="48" t="n"/>
      <c r="B2875" s="48" t="n"/>
      <c r="C2875" s="47" t="n"/>
      <c r="D2875" s="50" t="n"/>
      <c r="E2875" s="50" t="n"/>
      <c r="F2875" s="50" t="n"/>
      <c r="G2875" s="50" t="n"/>
      <c r="H2875" s="48" t="n"/>
      <c r="I2875" s="51" t="n"/>
      <c r="J2875" s="52" t="n"/>
      <c r="K2875" s="47" t="n"/>
      <c r="L2875" s="47" t="n"/>
      <c r="M2875" s="24">
        <f>IF(OR($A2875="",$C2875=""),"",IF($L2875&lt;&gt;"",$L2875-$C2875,TODAY()-$C2875))</f>
        <v/>
      </c>
      <c r="N2875" s="28">
        <f>IF(OR($A2875="",$K2875=""),"",IF($L2875="",IF(TODAY()&gt;$K2875,"Atrasado","En ruta"),IF($L2875&lt;=$K2875,"Sí","No")))</f>
        <v/>
      </c>
      <c r="O2875" s="24">
        <f>IF($A2875="","",COUNTIFS(NOVEDADES!$D$4:$D$1503,$A2875))</f>
        <v/>
      </c>
      <c r="P2875" s="28">
        <f>IF($A2875="","",IF(COUNTIFS(NOVEDADES!$D$4:$D$1503,$A2875,NOVEDADES!$O$4:$O$1503,"SÍ")&gt;0,"No","Sí"))</f>
        <v/>
      </c>
      <c r="Q2875" s="28">
        <f>IF(OR($A2875="",$L2875=""),"",IF(AND($N2875="Sí",$P2875="Sí"),"OTIF","Falló"))</f>
        <v/>
      </c>
    </row>
    <row r="2876" ht="16" customHeight="1">
      <c r="A2876" s="48" t="n"/>
      <c r="B2876" s="48" t="n"/>
      <c r="C2876" s="47" t="n"/>
      <c r="D2876" s="50" t="n"/>
      <c r="E2876" s="50" t="n"/>
      <c r="F2876" s="50" t="n"/>
      <c r="G2876" s="50" t="n"/>
      <c r="H2876" s="48" t="n"/>
      <c r="I2876" s="51" t="n"/>
      <c r="J2876" s="52" t="n"/>
      <c r="K2876" s="47" t="n"/>
      <c r="L2876" s="47" t="n"/>
      <c r="M2876" s="24">
        <f>IF(OR($A2876="",$C2876=""),"",IF($L2876&lt;&gt;"",$L2876-$C2876,TODAY()-$C2876))</f>
        <v/>
      </c>
      <c r="N2876" s="28">
        <f>IF(OR($A2876="",$K2876=""),"",IF($L2876="",IF(TODAY()&gt;$K2876,"Atrasado","En ruta"),IF($L2876&lt;=$K2876,"Sí","No")))</f>
        <v/>
      </c>
      <c r="O2876" s="24">
        <f>IF($A2876="","",COUNTIFS(NOVEDADES!$D$4:$D$1503,$A2876))</f>
        <v/>
      </c>
      <c r="P2876" s="28">
        <f>IF($A2876="","",IF(COUNTIFS(NOVEDADES!$D$4:$D$1503,$A2876,NOVEDADES!$O$4:$O$1503,"SÍ")&gt;0,"No","Sí"))</f>
        <v/>
      </c>
      <c r="Q2876" s="28">
        <f>IF(OR($A2876="",$L2876=""),"",IF(AND($N2876="Sí",$P2876="Sí"),"OTIF","Falló"))</f>
        <v/>
      </c>
    </row>
    <row r="2877" ht="16" customHeight="1">
      <c r="A2877" s="48" t="n"/>
      <c r="B2877" s="48" t="n"/>
      <c r="C2877" s="47" t="n"/>
      <c r="D2877" s="50" t="n"/>
      <c r="E2877" s="50" t="n"/>
      <c r="F2877" s="50" t="n"/>
      <c r="G2877" s="50" t="n"/>
      <c r="H2877" s="48" t="n"/>
      <c r="I2877" s="51" t="n"/>
      <c r="J2877" s="52" t="n"/>
      <c r="K2877" s="47" t="n"/>
      <c r="L2877" s="47" t="n"/>
      <c r="M2877" s="24">
        <f>IF(OR($A2877="",$C2877=""),"",IF($L2877&lt;&gt;"",$L2877-$C2877,TODAY()-$C2877))</f>
        <v/>
      </c>
      <c r="N2877" s="28">
        <f>IF(OR($A2877="",$K2877=""),"",IF($L2877="",IF(TODAY()&gt;$K2877,"Atrasado","En ruta"),IF($L2877&lt;=$K2877,"Sí","No")))</f>
        <v/>
      </c>
      <c r="O2877" s="24">
        <f>IF($A2877="","",COUNTIFS(NOVEDADES!$D$4:$D$1503,$A2877))</f>
        <v/>
      </c>
      <c r="P2877" s="28">
        <f>IF($A2877="","",IF(COUNTIFS(NOVEDADES!$D$4:$D$1503,$A2877,NOVEDADES!$O$4:$O$1503,"SÍ")&gt;0,"No","Sí"))</f>
        <v/>
      </c>
      <c r="Q2877" s="28">
        <f>IF(OR($A2877="",$L2877=""),"",IF(AND($N2877="Sí",$P2877="Sí"),"OTIF","Falló"))</f>
        <v/>
      </c>
    </row>
    <row r="2878" ht="16" customHeight="1">
      <c r="A2878" s="48" t="n"/>
      <c r="B2878" s="48" t="n"/>
      <c r="C2878" s="47" t="n"/>
      <c r="D2878" s="50" t="n"/>
      <c r="E2878" s="50" t="n"/>
      <c r="F2878" s="50" t="n"/>
      <c r="G2878" s="50" t="n"/>
      <c r="H2878" s="48" t="n"/>
      <c r="I2878" s="51" t="n"/>
      <c r="J2878" s="52" t="n"/>
      <c r="K2878" s="47" t="n"/>
      <c r="L2878" s="47" t="n"/>
      <c r="M2878" s="24">
        <f>IF(OR($A2878="",$C2878=""),"",IF($L2878&lt;&gt;"",$L2878-$C2878,TODAY()-$C2878))</f>
        <v/>
      </c>
      <c r="N2878" s="28">
        <f>IF(OR($A2878="",$K2878=""),"",IF($L2878="",IF(TODAY()&gt;$K2878,"Atrasado","En ruta"),IF($L2878&lt;=$K2878,"Sí","No")))</f>
        <v/>
      </c>
      <c r="O2878" s="24">
        <f>IF($A2878="","",COUNTIFS(NOVEDADES!$D$4:$D$1503,$A2878))</f>
        <v/>
      </c>
      <c r="P2878" s="28">
        <f>IF($A2878="","",IF(COUNTIFS(NOVEDADES!$D$4:$D$1503,$A2878,NOVEDADES!$O$4:$O$1503,"SÍ")&gt;0,"No","Sí"))</f>
        <v/>
      </c>
      <c r="Q2878" s="28">
        <f>IF(OR($A2878="",$L2878=""),"",IF(AND($N2878="Sí",$P2878="Sí"),"OTIF","Falló"))</f>
        <v/>
      </c>
    </row>
    <row r="2879" ht="16" customHeight="1">
      <c r="A2879" s="48" t="n"/>
      <c r="B2879" s="48" t="n"/>
      <c r="C2879" s="47" t="n"/>
      <c r="D2879" s="50" t="n"/>
      <c r="E2879" s="50" t="n"/>
      <c r="F2879" s="50" t="n"/>
      <c r="G2879" s="50" t="n"/>
      <c r="H2879" s="48" t="n"/>
      <c r="I2879" s="51" t="n"/>
      <c r="J2879" s="52" t="n"/>
      <c r="K2879" s="47" t="n"/>
      <c r="L2879" s="47" t="n"/>
      <c r="M2879" s="24">
        <f>IF(OR($A2879="",$C2879=""),"",IF($L2879&lt;&gt;"",$L2879-$C2879,TODAY()-$C2879))</f>
        <v/>
      </c>
      <c r="N2879" s="28">
        <f>IF(OR($A2879="",$K2879=""),"",IF($L2879="",IF(TODAY()&gt;$K2879,"Atrasado","En ruta"),IF($L2879&lt;=$K2879,"Sí","No")))</f>
        <v/>
      </c>
      <c r="O2879" s="24">
        <f>IF($A2879="","",COUNTIFS(NOVEDADES!$D$4:$D$1503,$A2879))</f>
        <v/>
      </c>
      <c r="P2879" s="28">
        <f>IF($A2879="","",IF(COUNTIFS(NOVEDADES!$D$4:$D$1503,$A2879,NOVEDADES!$O$4:$O$1503,"SÍ")&gt;0,"No","Sí"))</f>
        <v/>
      </c>
      <c r="Q2879" s="28">
        <f>IF(OR($A2879="",$L2879=""),"",IF(AND($N2879="Sí",$P2879="Sí"),"OTIF","Falló"))</f>
        <v/>
      </c>
    </row>
    <row r="2880" ht="16" customHeight="1">
      <c r="A2880" s="48" t="n"/>
      <c r="B2880" s="48" t="n"/>
      <c r="C2880" s="47" t="n"/>
      <c r="D2880" s="50" t="n"/>
      <c r="E2880" s="50" t="n"/>
      <c r="F2880" s="50" t="n"/>
      <c r="G2880" s="50" t="n"/>
      <c r="H2880" s="48" t="n"/>
      <c r="I2880" s="51" t="n"/>
      <c r="J2880" s="52" t="n"/>
      <c r="K2880" s="47" t="n"/>
      <c r="L2880" s="47" t="n"/>
      <c r="M2880" s="24">
        <f>IF(OR($A2880="",$C2880=""),"",IF($L2880&lt;&gt;"",$L2880-$C2880,TODAY()-$C2880))</f>
        <v/>
      </c>
      <c r="N2880" s="28">
        <f>IF(OR($A2880="",$K2880=""),"",IF($L2880="",IF(TODAY()&gt;$K2880,"Atrasado","En ruta"),IF($L2880&lt;=$K2880,"Sí","No")))</f>
        <v/>
      </c>
      <c r="O2880" s="24">
        <f>IF($A2880="","",COUNTIFS(NOVEDADES!$D$4:$D$1503,$A2880))</f>
        <v/>
      </c>
      <c r="P2880" s="28">
        <f>IF($A2880="","",IF(COUNTIFS(NOVEDADES!$D$4:$D$1503,$A2880,NOVEDADES!$O$4:$O$1503,"SÍ")&gt;0,"No","Sí"))</f>
        <v/>
      </c>
      <c r="Q2880" s="28">
        <f>IF(OR($A2880="",$L2880=""),"",IF(AND($N2880="Sí",$P2880="Sí"),"OTIF","Falló"))</f>
        <v/>
      </c>
    </row>
    <row r="2881" ht="16" customHeight="1">
      <c r="A2881" s="48" t="n"/>
      <c r="B2881" s="48" t="n"/>
      <c r="C2881" s="47" t="n"/>
      <c r="D2881" s="50" t="n"/>
      <c r="E2881" s="50" t="n"/>
      <c r="F2881" s="50" t="n"/>
      <c r="G2881" s="50" t="n"/>
      <c r="H2881" s="48" t="n"/>
      <c r="I2881" s="51" t="n"/>
      <c r="J2881" s="52" t="n"/>
      <c r="K2881" s="47" t="n"/>
      <c r="L2881" s="47" t="n"/>
      <c r="M2881" s="24">
        <f>IF(OR($A2881="",$C2881=""),"",IF($L2881&lt;&gt;"",$L2881-$C2881,TODAY()-$C2881))</f>
        <v/>
      </c>
      <c r="N2881" s="28">
        <f>IF(OR($A2881="",$K2881=""),"",IF($L2881="",IF(TODAY()&gt;$K2881,"Atrasado","En ruta"),IF($L2881&lt;=$K2881,"Sí","No")))</f>
        <v/>
      </c>
      <c r="O2881" s="24">
        <f>IF($A2881="","",COUNTIFS(NOVEDADES!$D$4:$D$1503,$A2881))</f>
        <v/>
      </c>
      <c r="P2881" s="28">
        <f>IF($A2881="","",IF(COUNTIFS(NOVEDADES!$D$4:$D$1503,$A2881,NOVEDADES!$O$4:$O$1503,"SÍ")&gt;0,"No","Sí"))</f>
        <v/>
      </c>
      <c r="Q2881" s="28">
        <f>IF(OR($A2881="",$L2881=""),"",IF(AND($N2881="Sí",$P2881="Sí"),"OTIF","Falló"))</f>
        <v/>
      </c>
    </row>
    <row r="2882" ht="16" customHeight="1">
      <c r="A2882" s="48" t="n"/>
      <c r="B2882" s="48" t="n"/>
      <c r="C2882" s="47" t="n"/>
      <c r="D2882" s="50" t="n"/>
      <c r="E2882" s="50" t="n"/>
      <c r="F2882" s="50" t="n"/>
      <c r="G2882" s="50" t="n"/>
      <c r="H2882" s="48" t="n"/>
      <c r="I2882" s="51" t="n"/>
      <c r="J2882" s="52" t="n"/>
      <c r="K2882" s="47" t="n"/>
      <c r="L2882" s="47" t="n"/>
      <c r="M2882" s="24">
        <f>IF(OR($A2882="",$C2882=""),"",IF($L2882&lt;&gt;"",$L2882-$C2882,TODAY()-$C2882))</f>
        <v/>
      </c>
      <c r="N2882" s="28">
        <f>IF(OR($A2882="",$K2882=""),"",IF($L2882="",IF(TODAY()&gt;$K2882,"Atrasado","En ruta"),IF($L2882&lt;=$K2882,"Sí","No")))</f>
        <v/>
      </c>
      <c r="O2882" s="24">
        <f>IF($A2882="","",COUNTIFS(NOVEDADES!$D$4:$D$1503,$A2882))</f>
        <v/>
      </c>
      <c r="P2882" s="28">
        <f>IF($A2882="","",IF(COUNTIFS(NOVEDADES!$D$4:$D$1503,$A2882,NOVEDADES!$O$4:$O$1503,"SÍ")&gt;0,"No","Sí"))</f>
        <v/>
      </c>
      <c r="Q2882" s="28">
        <f>IF(OR($A2882="",$L2882=""),"",IF(AND($N2882="Sí",$P2882="Sí"),"OTIF","Falló"))</f>
        <v/>
      </c>
    </row>
    <row r="2883" ht="16" customHeight="1">
      <c r="A2883" s="48" t="n"/>
      <c r="B2883" s="48" t="n"/>
      <c r="C2883" s="47" t="n"/>
      <c r="D2883" s="50" t="n"/>
      <c r="E2883" s="50" t="n"/>
      <c r="F2883" s="50" t="n"/>
      <c r="G2883" s="50" t="n"/>
      <c r="H2883" s="48" t="n"/>
      <c r="I2883" s="51" t="n"/>
      <c r="J2883" s="52" t="n"/>
      <c r="K2883" s="47" t="n"/>
      <c r="L2883" s="47" t="n"/>
      <c r="M2883" s="24">
        <f>IF(OR($A2883="",$C2883=""),"",IF($L2883&lt;&gt;"",$L2883-$C2883,TODAY()-$C2883))</f>
        <v/>
      </c>
      <c r="N2883" s="28">
        <f>IF(OR($A2883="",$K2883=""),"",IF($L2883="",IF(TODAY()&gt;$K2883,"Atrasado","En ruta"),IF($L2883&lt;=$K2883,"Sí","No")))</f>
        <v/>
      </c>
      <c r="O2883" s="24">
        <f>IF($A2883="","",COUNTIFS(NOVEDADES!$D$4:$D$1503,$A2883))</f>
        <v/>
      </c>
      <c r="P2883" s="28">
        <f>IF($A2883="","",IF(COUNTIFS(NOVEDADES!$D$4:$D$1503,$A2883,NOVEDADES!$O$4:$O$1503,"SÍ")&gt;0,"No","Sí"))</f>
        <v/>
      </c>
      <c r="Q2883" s="28">
        <f>IF(OR($A2883="",$L2883=""),"",IF(AND($N2883="Sí",$P2883="Sí"),"OTIF","Falló"))</f>
        <v/>
      </c>
    </row>
    <row r="2884" ht="16" customHeight="1">
      <c r="A2884" s="48" t="n"/>
      <c r="B2884" s="48" t="n"/>
      <c r="C2884" s="47" t="n"/>
      <c r="D2884" s="50" t="n"/>
      <c r="E2884" s="50" t="n"/>
      <c r="F2884" s="50" t="n"/>
      <c r="G2884" s="50" t="n"/>
      <c r="H2884" s="48" t="n"/>
      <c r="I2884" s="51" t="n"/>
      <c r="J2884" s="52" t="n"/>
      <c r="K2884" s="47" t="n"/>
      <c r="L2884" s="47" t="n"/>
      <c r="M2884" s="24">
        <f>IF(OR($A2884="",$C2884=""),"",IF($L2884&lt;&gt;"",$L2884-$C2884,TODAY()-$C2884))</f>
        <v/>
      </c>
      <c r="N2884" s="28">
        <f>IF(OR($A2884="",$K2884=""),"",IF($L2884="",IF(TODAY()&gt;$K2884,"Atrasado","En ruta"),IF($L2884&lt;=$K2884,"Sí","No")))</f>
        <v/>
      </c>
      <c r="O2884" s="24">
        <f>IF($A2884="","",COUNTIFS(NOVEDADES!$D$4:$D$1503,$A2884))</f>
        <v/>
      </c>
      <c r="P2884" s="28">
        <f>IF($A2884="","",IF(COUNTIFS(NOVEDADES!$D$4:$D$1503,$A2884,NOVEDADES!$O$4:$O$1503,"SÍ")&gt;0,"No","Sí"))</f>
        <v/>
      </c>
      <c r="Q2884" s="28">
        <f>IF(OR($A2884="",$L2884=""),"",IF(AND($N2884="Sí",$P2884="Sí"),"OTIF","Falló"))</f>
        <v/>
      </c>
    </row>
    <row r="2885" ht="16" customHeight="1">
      <c r="A2885" s="48" t="n"/>
      <c r="B2885" s="48" t="n"/>
      <c r="C2885" s="47" t="n"/>
      <c r="D2885" s="50" t="n"/>
      <c r="E2885" s="50" t="n"/>
      <c r="F2885" s="50" t="n"/>
      <c r="G2885" s="50" t="n"/>
      <c r="H2885" s="48" t="n"/>
      <c r="I2885" s="51" t="n"/>
      <c r="J2885" s="52" t="n"/>
      <c r="K2885" s="47" t="n"/>
      <c r="L2885" s="47" t="n"/>
      <c r="M2885" s="24">
        <f>IF(OR($A2885="",$C2885=""),"",IF($L2885&lt;&gt;"",$L2885-$C2885,TODAY()-$C2885))</f>
        <v/>
      </c>
      <c r="N2885" s="28">
        <f>IF(OR($A2885="",$K2885=""),"",IF($L2885="",IF(TODAY()&gt;$K2885,"Atrasado","En ruta"),IF($L2885&lt;=$K2885,"Sí","No")))</f>
        <v/>
      </c>
      <c r="O2885" s="24">
        <f>IF($A2885="","",COUNTIFS(NOVEDADES!$D$4:$D$1503,$A2885))</f>
        <v/>
      </c>
      <c r="P2885" s="28">
        <f>IF($A2885="","",IF(COUNTIFS(NOVEDADES!$D$4:$D$1503,$A2885,NOVEDADES!$O$4:$O$1503,"SÍ")&gt;0,"No","Sí"))</f>
        <v/>
      </c>
      <c r="Q2885" s="28">
        <f>IF(OR($A2885="",$L2885=""),"",IF(AND($N2885="Sí",$P2885="Sí"),"OTIF","Falló"))</f>
        <v/>
      </c>
    </row>
    <row r="2886" ht="16" customHeight="1">
      <c r="A2886" s="48" t="n"/>
      <c r="B2886" s="48" t="n"/>
      <c r="C2886" s="47" t="n"/>
      <c r="D2886" s="50" t="n"/>
      <c r="E2886" s="50" t="n"/>
      <c r="F2886" s="50" t="n"/>
      <c r="G2886" s="50" t="n"/>
      <c r="H2886" s="48" t="n"/>
      <c r="I2886" s="51" t="n"/>
      <c r="J2886" s="52" t="n"/>
      <c r="K2886" s="47" t="n"/>
      <c r="L2886" s="47" t="n"/>
      <c r="M2886" s="24">
        <f>IF(OR($A2886="",$C2886=""),"",IF($L2886&lt;&gt;"",$L2886-$C2886,TODAY()-$C2886))</f>
        <v/>
      </c>
      <c r="N2886" s="28">
        <f>IF(OR($A2886="",$K2886=""),"",IF($L2886="",IF(TODAY()&gt;$K2886,"Atrasado","En ruta"),IF($L2886&lt;=$K2886,"Sí","No")))</f>
        <v/>
      </c>
      <c r="O2886" s="24">
        <f>IF($A2886="","",COUNTIFS(NOVEDADES!$D$4:$D$1503,$A2886))</f>
        <v/>
      </c>
      <c r="P2886" s="28">
        <f>IF($A2886="","",IF(COUNTIFS(NOVEDADES!$D$4:$D$1503,$A2886,NOVEDADES!$O$4:$O$1503,"SÍ")&gt;0,"No","Sí"))</f>
        <v/>
      </c>
      <c r="Q2886" s="28">
        <f>IF(OR($A2886="",$L2886=""),"",IF(AND($N2886="Sí",$P2886="Sí"),"OTIF","Falló"))</f>
        <v/>
      </c>
    </row>
    <row r="2887" ht="16" customHeight="1">
      <c r="A2887" s="48" t="n"/>
      <c r="B2887" s="48" t="n"/>
      <c r="C2887" s="47" t="n"/>
      <c r="D2887" s="50" t="n"/>
      <c r="E2887" s="50" t="n"/>
      <c r="F2887" s="50" t="n"/>
      <c r="G2887" s="50" t="n"/>
      <c r="H2887" s="48" t="n"/>
      <c r="I2887" s="51" t="n"/>
      <c r="J2887" s="52" t="n"/>
      <c r="K2887" s="47" t="n"/>
      <c r="L2887" s="47" t="n"/>
      <c r="M2887" s="24">
        <f>IF(OR($A2887="",$C2887=""),"",IF($L2887&lt;&gt;"",$L2887-$C2887,TODAY()-$C2887))</f>
        <v/>
      </c>
      <c r="N2887" s="28">
        <f>IF(OR($A2887="",$K2887=""),"",IF($L2887="",IF(TODAY()&gt;$K2887,"Atrasado","En ruta"),IF($L2887&lt;=$K2887,"Sí","No")))</f>
        <v/>
      </c>
      <c r="O2887" s="24">
        <f>IF($A2887="","",COUNTIFS(NOVEDADES!$D$4:$D$1503,$A2887))</f>
        <v/>
      </c>
      <c r="P2887" s="28">
        <f>IF($A2887="","",IF(COUNTIFS(NOVEDADES!$D$4:$D$1503,$A2887,NOVEDADES!$O$4:$O$1503,"SÍ")&gt;0,"No","Sí"))</f>
        <v/>
      </c>
      <c r="Q2887" s="28">
        <f>IF(OR($A2887="",$L2887=""),"",IF(AND($N2887="Sí",$P2887="Sí"),"OTIF","Falló"))</f>
        <v/>
      </c>
    </row>
    <row r="2888" ht="16" customHeight="1">
      <c r="A2888" s="48" t="n"/>
      <c r="B2888" s="48" t="n"/>
      <c r="C2888" s="47" t="n"/>
      <c r="D2888" s="50" t="n"/>
      <c r="E2888" s="50" t="n"/>
      <c r="F2888" s="50" t="n"/>
      <c r="G2888" s="50" t="n"/>
      <c r="H2888" s="48" t="n"/>
      <c r="I2888" s="51" t="n"/>
      <c r="J2888" s="52" t="n"/>
      <c r="K2888" s="47" t="n"/>
      <c r="L2888" s="47" t="n"/>
      <c r="M2888" s="24">
        <f>IF(OR($A2888="",$C2888=""),"",IF($L2888&lt;&gt;"",$L2888-$C2888,TODAY()-$C2888))</f>
        <v/>
      </c>
      <c r="N2888" s="28">
        <f>IF(OR($A2888="",$K2888=""),"",IF($L2888="",IF(TODAY()&gt;$K2888,"Atrasado","En ruta"),IF($L2888&lt;=$K2888,"Sí","No")))</f>
        <v/>
      </c>
      <c r="O2888" s="24">
        <f>IF($A2888="","",COUNTIFS(NOVEDADES!$D$4:$D$1503,$A2888))</f>
        <v/>
      </c>
      <c r="P2888" s="28">
        <f>IF($A2888="","",IF(COUNTIFS(NOVEDADES!$D$4:$D$1503,$A2888,NOVEDADES!$O$4:$O$1503,"SÍ")&gt;0,"No","Sí"))</f>
        <v/>
      </c>
      <c r="Q2888" s="28">
        <f>IF(OR($A2888="",$L2888=""),"",IF(AND($N2888="Sí",$P2888="Sí"),"OTIF","Falló"))</f>
        <v/>
      </c>
    </row>
    <row r="2889" ht="16" customHeight="1">
      <c r="A2889" s="48" t="n"/>
      <c r="B2889" s="48" t="n"/>
      <c r="C2889" s="47" t="n"/>
      <c r="D2889" s="50" t="n"/>
      <c r="E2889" s="50" t="n"/>
      <c r="F2889" s="50" t="n"/>
      <c r="G2889" s="50" t="n"/>
      <c r="H2889" s="48" t="n"/>
      <c r="I2889" s="51" t="n"/>
      <c r="J2889" s="52" t="n"/>
      <c r="K2889" s="47" t="n"/>
      <c r="L2889" s="47" t="n"/>
      <c r="M2889" s="24">
        <f>IF(OR($A2889="",$C2889=""),"",IF($L2889&lt;&gt;"",$L2889-$C2889,TODAY()-$C2889))</f>
        <v/>
      </c>
      <c r="N2889" s="28">
        <f>IF(OR($A2889="",$K2889=""),"",IF($L2889="",IF(TODAY()&gt;$K2889,"Atrasado","En ruta"),IF($L2889&lt;=$K2889,"Sí","No")))</f>
        <v/>
      </c>
      <c r="O2889" s="24">
        <f>IF($A2889="","",COUNTIFS(NOVEDADES!$D$4:$D$1503,$A2889))</f>
        <v/>
      </c>
      <c r="P2889" s="28">
        <f>IF($A2889="","",IF(COUNTIFS(NOVEDADES!$D$4:$D$1503,$A2889,NOVEDADES!$O$4:$O$1503,"SÍ")&gt;0,"No","Sí"))</f>
        <v/>
      </c>
      <c r="Q2889" s="28">
        <f>IF(OR($A2889="",$L2889=""),"",IF(AND($N2889="Sí",$P2889="Sí"),"OTIF","Falló"))</f>
        <v/>
      </c>
    </row>
    <row r="2890" ht="16" customHeight="1">
      <c r="A2890" s="48" t="n"/>
      <c r="B2890" s="48" t="n"/>
      <c r="C2890" s="47" t="n"/>
      <c r="D2890" s="50" t="n"/>
      <c r="E2890" s="50" t="n"/>
      <c r="F2890" s="50" t="n"/>
      <c r="G2890" s="50" t="n"/>
      <c r="H2890" s="48" t="n"/>
      <c r="I2890" s="51" t="n"/>
      <c r="J2890" s="52" t="n"/>
      <c r="K2890" s="47" t="n"/>
      <c r="L2890" s="47" t="n"/>
      <c r="M2890" s="24">
        <f>IF(OR($A2890="",$C2890=""),"",IF($L2890&lt;&gt;"",$L2890-$C2890,TODAY()-$C2890))</f>
        <v/>
      </c>
      <c r="N2890" s="28">
        <f>IF(OR($A2890="",$K2890=""),"",IF($L2890="",IF(TODAY()&gt;$K2890,"Atrasado","En ruta"),IF($L2890&lt;=$K2890,"Sí","No")))</f>
        <v/>
      </c>
      <c r="O2890" s="24">
        <f>IF($A2890="","",COUNTIFS(NOVEDADES!$D$4:$D$1503,$A2890))</f>
        <v/>
      </c>
      <c r="P2890" s="28">
        <f>IF($A2890="","",IF(COUNTIFS(NOVEDADES!$D$4:$D$1503,$A2890,NOVEDADES!$O$4:$O$1503,"SÍ")&gt;0,"No","Sí"))</f>
        <v/>
      </c>
      <c r="Q2890" s="28">
        <f>IF(OR($A2890="",$L2890=""),"",IF(AND($N2890="Sí",$P2890="Sí"),"OTIF","Falló"))</f>
        <v/>
      </c>
    </row>
    <row r="2891" ht="16" customHeight="1">
      <c r="A2891" s="48" t="n"/>
      <c r="B2891" s="48" t="n"/>
      <c r="C2891" s="47" t="n"/>
      <c r="D2891" s="50" t="n"/>
      <c r="E2891" s="50" t="n"/>
      <c r="F2891" s="50" t="n"/>
      <c r="G2891" s="50" t="n"/>
      <c r="H2891" s="48" t="n"/>
      <c r="I2891" s="51" t="n"/>
      <c r="J2891" s="52" t="n"/>
      <c r="K2891" s="47" t="n"/>
      <c r="L2891" s="47" t="n"/>
      <c r="M2891" s="24">
        <f>IF(OR($A2891="",$C2891=""),"",IF($L2891&lt;&gt;"",$L2891-$C2891,TODAY()-$C2891))</f>
        <v/>
      </c>
      <c r="N2891" s="28">
        <f>IF(OR($A2891="",$K2891=""),"",IF($L2891="",IF(TODAY()&gt;$K2891,"Atrasado","En ruta"),IF($L2891&lt;=$K2891,"Sí","No")))</f>
        <v/>
      </c>
      <c r="O2891" s="24">
        <f>IF($A2891="","",COUNTIFS(NOVEDADES!$D$4:$D$1503,$A2891))</f>
        <v/>
      </c>
      <c r="P2891" s="28">
        <f>IF($A2891="","",IF(COUNTIFS(NOVEDADES!$D$4:$D$1503,$A2891,NOVEDADES!$O$4:$O$1503,"SÍ")&gt;0,"No","Sí"))</f>
        <v/>
      </c>
      <c r="Q2891" s="28">
        <f>IF(OR($A2891="",$L2891=""),"",IF(AND($N2891="Sí",$P2891="Sí"),"OTIF","Falló"))</f>
        <v/>
      </c>
    </row>
    <row r="2892" ht="16" customHeight="1">
      <c r="A2892" s="48" t="n"/>
      <c r="B2892" s="48" t="n"/>
      <c r="C2892" s="47" t="n"/>
      <c r="D2892" s="50" t="n"/>
      <c r="E2892" s="50" t="n"/>
      <c r="F2892" s="50" t="n"/>
      <c r="G2892" s="50" t="n"/>
      <c r="H2892" s="48" t="n"/>
      <c r="I2892" s="51" t="n"/>
      <c r="J2892" s="52" t="n"/>
      <c r="K2892" s="47" t="n"/>
      <c r="L2892" s="47" t="n"/>
      <c r="M2892" s="24">
        <f>IF(OR($A2892="",$C2892=""),"",IF($L2892&lt;&gt;"",$L2892-$C2892,TODAY()-$C2892))</f>
        <v/>
      </c>
      <c r="N2892" s="28">
        <f>IF(OR($A2892="",$K2892=""),"",IF($L2892="",IF(TODAY()&gt;$K2892,"Atrasado","En ruta"),IF($L2892&lt;=$K2892,"Sí","No")))</f>
        <v/>
      </c>
      <c r="O2892" s="24">
        <f>IF($A2892="","",COUNTIFS(NOVEDADES!$D$4:$D$1503,$A2892))</f>
        <v/>
      </c>
      <c r="P2892" s="28">
        <f>IF($A2892="","",IF(COUNTIFS(NOVEDADES!$D$4:$D$1503,$A2892,NOVEDADES!$O$4:$O$1503,"SÍ")&gt;0,"No","Sí"))</f>
        <v/>
      </c>
      <c r="Q2892" s="28">
        <f>IF(OR($A2892="",$L2892=""),"",IF(AND($N2892="Sí",$P2892="Sí"),"OTIF","Falló"))</f>
        <v/>
      </c>
    </row>
    <row r="2893" ht="16" customHeight="1">
      <c r="A2893" s="48" t="n"/>
      <c r="B2893" s="48" t="n"/>
      <c r="C2893" s="47" t="n"/>
      <c r="D2893" s="50" t="n"/>
      <c r="E2893" s="50" t="n"/>
      <c r="F2893" s="50" t="n"/>
      <c r="G2893" s="50" t="n"/>
      <c r="H2893" s="48" t="n"/>
      <c r="I2893" s="51" t="n"/>
      <c r="J2893" s="52" t="n"/>
      <c r="K2893" s="47" t="n"/>
      <c r="L2893" s="47" t="n"/>
      <c r="M2893" s="24">
        <f>IF(OR($A2893="",$C2893=""),"",IF($L2893&lt;&gt;"",$L2893-$C2893,TODAY()-$C2893))</f>
        <v/>
      </c>
      <c r="N2893" s="28">
        <f>IF(OR($A2893="",$K2893=""),"",IF($L2893="",IF(TODAY()&gt;$K2893,"Atrasado","En ruta"),IF($L2893&lt;=$K2893,"Sí","No")))</f>
        <v/>
      </c>
      <c r="O2893" s="24">
        <f>IF($A2893="","",COUNTIFS(NOVEDADES!$D$4:$D$1503,$A2893))</f>
        <v/>
      </c>
      <c r="P2893" s="28">
        <f>IF($A2893="","",IF(COUNTIFS(NOVEDADES!$D$4:$D$1503,$A2893,NOVEDADES!$O$4:$O$1503,"SÍ")&gt;0,"No","Sí"))</f>
        <v/>
      </c>
      <c r="Q2893" s="28">
        <f>IF(OR($A2893="",$L2893=""),"",IF(AND($N2893="Sí",$P2893="Sí"),"OTIF","Falló"))</f>
        <v/>
      </c>
    </row>
    <row r="2894" ht="16" customHeight="1">
      <c r="A2894" s="48" t="n"/>
      <c r="B2894" s="48" t="n"/>
      <c r="C2894" s="47" t="n"/>
      <c r="D2894" s="50" t="n"/>
      <c r="E2894" s="50" t="n"/>
      <c r="F2894" s="50" t="n"/>
      <c r="G2894" s="50" t="n"/>
      <c r="H2894" s="48" t="n"/>
      <c r="I2894" s="51" t="n"/>
      <c r="J2894" s="52" t="n"/>
      <c r="K2894" s="47" t="n"/>
      <c r="L2894" s="47" t="n"/>
      <c r="M2894" s="24">
        <f>IF(OR($A2894="",$C2894=""),"",IF($L2894&lt;&gt;"",$L2894-$C2894,TODAY()-$C2894))</f>
        <v/>
      </c>
      <c r="N2894" s="28">
        <f>IF(OR($A2894="",$K2894=""),"",IF($L2894="",IF(TODAY()&gt;$K2894,"Atrasado","En ruta"),IF($L2894&lt;=$K2894,"Sí","No")))</f>
        <v/>
      </c>
      <c r="O2894" s="24">
        <f>IF($A2894="","",COUNTIFS(NOVEDADES!$D$4:$D$1503,$A2894))</f>
        <v/>
      </c>
      <c r="P2894" s="28">
        <f>IF($A2894="","",IF(COUNTIFS(NOVEDADES!$D$4:$D$1503,$A2894,NOVEDADES!$O$4:$O$1503,"SÍ")&gt;0,"No","Sí"))</f>
        <v/>
      </c>
      <c r="Q2894" s="28">
        <f>IF(OR($A2894="",$L2894=""),"",IF(AND($N2894="Sí",$P2894="Sí"),"OTIF","Falló"))</f>
        <v/>
      </c>
    </row>
    <row r="2895" ht="16" customHeight="1">
      <c r="A2895" s="48" t="n"/>
      <c r="B2895" s="48" t="n"/>
      <c r="C2895" s="47" t="n"/>
      <c r="D2895" s="50" t="n"/>
      <c r="E2895" s="50" t="n"/>
      <c r="F2895" s="50" t="n"/>
      <c r="G2895" s="50" t="n"/>
      <c r="H2895" s="48" t="n"/>
      <c r="I2895" s="51" t="n"/>
      <c r="J2895" s="52" t="n"/>
      <c r="K2895" s="47" t="n"/>
      <c r="L2895" s="47" t="n"/>
      <c r="M2895" s="24">
        <f>IF(OR($A2895="",$C2895=""),"",IF($L2895&lt;&gt;"",$L2895-$C2895,TODAY()-$C2895))</f>
        <v/>
      </c>
      <c r="N2895" s="28">
        <f>IF(OR($A2895="",$K2895=""),"",IF($L2895="",IF(TODAY()&gt;$K2895,"Atrasado","En ruta"),IF($L2895&lt;=$K2895,"Sí","No")))</f>
        <v/>
      </c>
      <c r="O2895" s="24">
        <f>IF($A2895="","",COUNTIFS(NOVEDADES!$D$4:$D$1503,$A2895))</f>
        <v/>
      </c>
      <c r="P2895" s="28">
        <f>IF($A2895="","",IF(COUNTIFS(NOVEDADES!$D$4:$D$1503,$A2895,NOVEDADES!$O$4:$O$1503,"SÍ")&gt;0,"No","Sí"))</f>
        <v/>
      </c>
      <c r="Q2895" s="28">
        <f>IF(OR($A2895="",$L2895=""),"",IF(AND($N2895="Sí",$P2895="Sí"),"OTIF","Falló"))</f>
        <v/>
      </c>
    </row>
    <row r="2896" ht="16" customHeight="1">
      <c r="A2896" s="48" t="n"/>
      <c r="B2896" s="48" t="n"/>
      <c r="C2896" s="47" t="n"/>
      <c r="D2896" s="50" t="n"/>
      <c r="E2896" s="50" t="n"/>
      <c r="F2896" s="50" t="n"/>
      <c r="G2896" s="50" t="n"/>
      <c r="H2896" s="48" t="n"/>
      <c r="I2896" s="51" t="n"/>
      <c r="J2896" s="52" t="n"/>
      <c r="K2896" s="47" t="n"/>
      <c r="L2896" s="47" t="n"/>
      <c r="M2896" s="24">
        <f>IF(OR($A2896="",$C2896=""),"",IF($L2896&lt;&gt;"",$L2896-$C2896,TODAY()-$C2896))</f>
        <v/>
      </c>
      <c r="N2896" s="28">
        <f>IF(OR($A2896="",$K2896=""),"",IF($L2896="",IF(TODAY()&gt;$K2896,"Atrasado","En ruta"),IF($L2896&lt;=$K2896,"Sí","No")))</f>
        <v/>
      </c>
      <c r="O2896" s="24">
        <f>IF($A2896="","",COUNTIFS(NOVEDADES!$D$4:$D$1503,$A2896))</f>
        <v/>
      </c>
      <c r="P2896" s="28">
        <f>IF($A2896="","",IF(COUNTIFS(NOVEDADES!$D$4:$D$1503,$A2896,NOVEDADES!$O$4:$O$1503,"SÍ")&gt;0,"No","Sí"))</f>
        <v/>
      </c>
      <c r="Q2896" s="28">
        <f>IF(OR($A2896="",$L2896=""),"",IF(AND($N2896="Sí",$P2896="Sí"),"OTIF","Falló"))</f>
        <v/>
      </c>
    </row>
    <row r="2897" ht="16" customHeight="1">
      <c r="A2897" s="48" t="n"/>
      <c r="B2897" s="48" t="n"/>
      <c r="C2897" s="47" t="n"/>
      <c r="D2897" s="50" t="n"/>
      <c r="E2897" s="50" t="n"/>
      <c r="F2897" s="50" t="n"/>
      <c r="G2897" s="50" t="n"/>
      <c r="H2897" s="48" t="n"/>
      <c r="I2897" s="51" t="n"/>
      <c r="J2897" s="52" t="n"/>
      <c r="K2897" s="47" t="n"/>
      <c r="L2897" s="47" t="n"/>
      <c r="M2897" s="24">
        <f>IF(OR($A2897="",$C2897=""),"",IF($L2897&lt;&gt;"",$L2897-$C2897,TODAY()-$C2897))</f>
        <v/>
      </c>
      <c r="N2897" s="28">
        <f>IF(OR($A2897="",$K2897=""),"",IF($L2897="",IF(TODAY()&gt;$K2897,"Atrasado","En ruta"),IF($L2897&lt;=$K2897,"Sí","No")))</f>
        <v/>
      </c>
      <c r="O2897" s="24">
        <f>IF($A2897="","",COUNTIFS(NOVEDADES!$D$4:$D$1503,$A2897))</f>
        <v/>
      </c>
      <c r="P2897" s="28">
        <f>IF($A2897="","",IF(COUNTIFS(NOVEDADES!$D$4:$D$1503,$A2897,NOVEDADES!$O$4:$O$1503,"SÍ")&gt;0,"No","Sí"))</f>
        <v/>
      </c>
      <c r="Q2897" s="28">
        <f>IF(OR($A2897="",$L2897=""),"",IF(AND($N2897="Sí",$P2897="Sí"),"OTIF","Falló"))</f>
        <v/>
      </c>
    </row>
    <row r="2898" ht="16" customHeight="1">
      <c r="A2898" s="48" t="n"/>
      <c r="B2898" s="48" t="n"/>
      <c r="C2898" s="47" t="n"/>
      <c r="D2898" s="50" t="n"/>
      <c r="E2898" s="50" t="n"/>
      <c r="F2898" s="50" t="n"/>
      <c r="G2898" s="50" t="n"/>
      <c r="H2898" s="48" t="n"/>
      <c r="I2898" s="51" t="n"/>
      <c r="J2898" s="52" t="n"/>
      <c r="K2898" s="47" t="n"/>
      <c r="L2898" s="47" t="n"/>
      <c r="M2898" s="24">
        <f>IF(OR($A2898="",$C2898=""),"",IF($L2898&lt;&gt;"",$L2898-$C2898,TODAY()-$C2898))</f>
        <v/>
      </c>
      <c r="N2898" s="28">
        <f>IF(OR($A2898="",$K2898=""),"",IF($L2898="",IF(TODAY()&gt;$K2898,"Atrasado","En ruta"),IF($L2898&lt;=$K2898,"Sí","No")))</f>
        <v/>
      </c>
      <c r="O2898" s="24">
        <f>IF($A2898="","",COUNTIFS(NOVEDADES!$D$4:$D$1503,$A2898))</f>
        <v/>
      </c>
      <c r="P2898" s="28">
        <f>IF($A2898="","",IF(COUNTIFS(NOVEDADES!$D$4:$D$1503,$A2898,NOVEDADES!$O$4:$O$1503,"SÍ")&gt;0,"No","Sí"))</f>
        <v/>
      </c>
      <c r="Q2898" s="28">
        <f>IF(OR($A2898="",$L2898=""),"",IF(AND($N2898="Sí",$P2898="Sí"),"OTIF","Falló"))</f>
        <v/>
      </c>
    </row>
    <row r="2899" ht="16" customHeight="1">
      <c r="A2899" s="48" t="n"/>
      <c r="B2899" s="48" t="n"/>
      <c r="C2899" s="47" t="n"/>
      <c r="D2899" s="50" t="n"/>
      <c r="E2899" s="50" t="n"/>
      <c r="F2899" s="50" t="n"/>
      <c r="G2899" s="50" t="n"/>
      <c r="H2899" s="48" t="n"/>
      <c r="I2899" s="51" t="n"/>
      <c r="J2899" s="52" t="n"/>
      <c r="K2899" s="47" t="n"/>
      <c r="L2899" s="47" t="n"/>
      <c r="M2899" s="24">
        <f>IF(OR($A2899="",$C2899=""),"",IF($L2899&lt;&gt;"",$L2899-$C2899,TODAY()-$C2899))</f>
        <v/>
      </c>
      <c r="N2899" s="28">
        <f>IF(OR($A2899="",$K2899=""),"",IF($L2899="",IF(TODAY()&gt;$K2899,"Atrasado","En ruta"),IF($L2899&lt;=$K2899,"Sí","No")))</f>
        <v/>
      </c>
      <c r="O2899" s="24">
        <f>IF($A2899="","",COUNTIFS(NOVEDADES!$D$4:$D$1503,$A2899))</f>
        <v/>
      </c>
      <c r="P2899" s="28">
        <f>IF($A2899="","",IF(COUNTIFS(NOVEDADES!$D$4:$D$1503,$A2899,NOVEDADES!$O$4:$O$1503,"SÍ")&gt;0,"No","Sí"))</f>
        <v/>
      </c>
      <c r="Q2899" s="28">
        <f>IF(OR($A2899="",$L2899=""),"",IF(AND($N2899="Sí",$P2899="Sí"),"OTIF","Falló"))</f>
        <v/>
      </c>
    </row>
    <row r="2900" ht="16" customHeight="1">
      <c r="A2900" s="48" t="n"/>
      <c r="B2900" s="48" t="n"/>
      <c r="C2900" s="47" t="n"/>
      <c r="D2900" s="50" t="n"/>
      <c r="E2900" s="50" t="n"/>
      <c r="F2900" s="50" t="n"/>
      <c r="G2900" s="50" t="n"/>
      <c r="H2900" s="48" t="n"/>
      <c r="I2900" s="51" t="n"/>
      <c r="J2900" s="52" t="n"/>
      <c r="K2900" s="47" t="n"/>
      <c r="L2900" s="47" t="n"/>
      <c r="M2900" s="24">
        <f>IF(OR($A2900="",$C2900=""),"",IF($L2900&lt;&gt;"",$L2900-$C2900,TODAY()-$C2900))</f>
        <v/>
      </c>
      <c r="N2900" s="28">
        <f>IF(OR($A2900="",$K2900=""),"",IF($L2900="",IF(TODAY()&gt;$K2900,"Atrasado","En ruta"),IF($L2900&lt;=$K2900,"Sí","No")))</f>
        <v/>
      </c>
      <c r="O2900" s="24">
        <f>IF($A2900="","",COUNTIFS(NOVEDADES!$D$4:$D$1503,$A2900))</f>
        <v/>
      </c>
      <c r="P2900" s="28">
        <f>IF($A2900="","",IF(COUNTIFS(NOVEDADES!$D$4:$D$1503,$A2900,NOVEDADES!$O$4:$O$1503,"SÍ")&gt;0,"No","Sí"))</f>
        <v/>
      </c>
      <c r="Q2900" s="28">
        <f>IF(OR($A2900="",$L2900=""),"",IF(AND($N2900="Sí",$P2900="Sí"),"OTIF","Falló"))</f>
        <v/>
      </c>
    </row>
    <row r="2901" ht="16" customHeight="1">
      <c r="A2901" s="48" t="n"/>
      <c r="B2901" s="48" t="n"/>
      <c r="C2901" s="47" t="n"/>
      <c r="D2901" s="50" t="n"/>
      <c r="E2901" s="50" t="n"/>
      <c r="F2901" s="50" t="n"/>
      <c r="G2901" s="50" t="n"/>
      <c r="H2901" s="48" t="n"/>
      <c r="I2901" s="51" t="n"/>
      <c r="J2901" s="52" t="n"/>
      <c r="K2901" s="47" t="n"/>
      <c r="L2901" s="47" t="n"/>
      <c r="M2901" s="24">
        <f>IF(OR($A2901="",$C2901=""),"",IF($L2901&lt;&gt;"",$L2901-$C2901,TODAY()-$C2901))</f>
        <v/>
      </c>
      <c r="N2901" s="28">
        <f>IF(OR($A2901="",$K2901=""),"",IF($L2901="",IF(TODAY()&gt;$K2901,"Atrasado","En ruta"),IF($L2901&lt;=$K2901,"Sí","No")))</f>
        <v/>
      </c>
      <c r="O2901" s="24">
        <f>IF($A2901="","",COUNTIFS(NOVEDADES!$D$4:$D$1503,$A2901))</f>
        <v/>
      </c>
      <c r="P2901" s="28">
        <f>IF($A2901="","",IF(COUNTIFS(NOVEDADES!$D$4:$D$1503,$A2901,NOVEDADES!$O$4:$O$1503,"SÍ")&gt;0,"No","Sí"))</f>
        <v/>
      </c>
      <c r="Q2901" s="28">
        <f>IF(OR($A2901="",$L2901=""),"",IF(AND($N2901="Sí",$P2901="Sí"),"OTIF","Falló"))</f>
        <v/>
      </c>
    </row>
    <row r="2902" ht="16" customHeight="1">
      <c r="A2902" s="48" t="n"/>
      <c r="B2902" s="48" t="n"/>
      <c r="C2902" s="47" t="n"/>
      <c r="D2902" s="50" t="n"/>
      <c r="E2902" s="50" t="n"/>
      <c r="F2902" s="50" t="n"/>
      <c r="G2902" s="50" t="n"/>
      <c r="H2902" s="48" t="n"/>
      <c r="I2902" s="51" t="n"/>
      <c r="J2902" s="52" t="n"/>
      <c r="K2902" s="47" t="n"/>
      <c r="L2902" s="47" t="n"/>
      <c r="M2902" s="24">
        <f>IF(OR($A2902="",$C2902=""),"",IF($L2902&lt;&gt;"",$L2902-$C2902,TODAY()-$C2902))</f>
        <v/>
      </c>
      <c r="N2902" s="28">
        <f>IF(OR($A2902="",$K2902=""),"",IF($L2902="",IF(TODAY()&gt;$K2902,"Atrasado","En ruta"),IF($L2902&lt;=$K2902,"Sí","No")))</f>
        <v/>
      </c>
      <c r="O2902" s="24">
        <f>IF($A2902="","",COUNTIFS(NOVEDADES!$D$4:$D$1503,$A2902))</f>
        <v/>
      </c>
      <c r="P2902" s="28">
        <f>IF($A2902="","",IF(COUNTIFS(NOVEDADES!$D$4:$D$1503,$A2902,NOVEDADES!$O$4:$O$1503,"SÍ")&gt;0,"No","Sí"))</f>
        <v/>
      </c>
      <c r="Q2902" s="28">
        <f>IF(OR($A2902="",$L2902=""),"",IF(AND($N2902="Sí",$P2902="Sí"),"OTIF","Falló"))</f>
        <v/>
      </c>
    </row>
    <row r="2903" ht="16" customHeight="1">
      <c r="A2903" s="48" t="n"/>
      <c r="B2903" s="48" t="n"/>
      <c r="C2903" s="47" t="n"/>
      <c r="D2903" s="50" t="n"/>
      <c r="E2903" s="50" t="n"/>
      <c r="F2903" s="50" t="n"/>
      <c r="G2903" s="50" t="n"/>
      <c r="H2903" s="48" t="n"/>
      <c r="I2903" s="51" t="n"/>
      <c r="J2903" s="52" t="n"/>
      <c r="K2903" s="47" t="n"/>
      <c r="L2903" s="47" t="n"/>
      <c r="M2903" s="24">
        <f>IF(OR($A2903="",$C2903=""),"",IF($L2903&lt;&gt;"",$L2903-$C2903,TODAY()-$C2903))</f>
        <v/>
      </c>
      <c r="N2903" s="28">
        <f>IF(OR($A2903="",$K2903=""),"",IF($L2903="",IF(TODAY()&gt;$K2903,"Atrasado","En ruta"),IF($L2903&lt;=$K2903,"Sí","No")))</f>
        <v/>
      </c>
      <c r="O2903" s="24">
        <f>IF($A2903="","",COUNTIFS(NOVEDADES!$D$4:$D$1503,$A2903))</f>
        <v/>
      </c>
      <c r="P2903" s="28">
        <f>IF($A2903="","",IF(COUNTIFS(NOVEDADES!$D$4:$D$1503,$A2903,NOVEDADES!$O$4:$O$1503,"SÍ")&gt;0,"No","Sí"))</f>
        <v/>
      </c>
      <c r="Q2903" s="28">
        <f>IF(OR($A2903="",$L2903=""),"",IF(AND($N2903="Sí",$P2903="Sí"),"OTIF","Falló"))</f>
        <v/>
      </c>
    </row>
    <row r="2904" ht="16" customHeight="1">
      <c r="A2904" s="48" t="n"/>
      <c r="B2904" s="48" t="n"/>
      <c r="C2904" s="47" t="n"/>
      <c r="D2904" s="50" t="n"/>
      <c r="E2904" s="50" t="n"/>
      <c r="F2904" s="50" t="n"/>
      <c r="G2904" s="50" t="n"/>
      <c r="H2904" s="48" t="n"/>
      <c r="I2904" s="51" t="n"/>
      <c r="J2904" s="52" t="n"/>
      <c r="K2904" s="47" t="n"/>
      <c r="L2904" s="47" t="n"/>
      <c r="M2904" s="24">
        <f>IF(OR($A2904="",$C2904=""),"",IF($L2904&lt;&gt;"",$L2904-$C2904,TODAY()-$C2904))</f>
        <v/>
      </c>
      <c r="N2904" s="28">
        <f>IF(OR($A2904="",$K2904=""),"",IF($L2904="",IF(TODAY()&gt;$K2904,"Atrasado","En ruta"),IF($L2904&lt;=$K2904,"Sí","No")))</f>
        <v/>
      </c>
      <c r="O2904" s="24">
        <f>IF($A2904="","",COUNTIFS(NOVEDADES!$D$4:$D$1503,$A2904))</f>
        <v/>
      </c>
      <c r="P2904" s="28">
        <f>IF($A2904="","",IF(COUNTIFS(NOVEDADES!$D$4:$D$1503,$A2904,NOVEDADES!$O$4:$O$1503,"SÍ")&gt;0,"No","Sí"))</f>
        <v/>
      </c>
      <c r="Q2904" s="28">
        <f>IF(OR($A2904="",$L2904=""),"",IF(AND($N2904="Sí",$P2904="Sí"),"OTIF","Falló"))</f>
        <v/>
      </c>
    </row>
    <row r="2905" ht="16" customHeight="1">
      <c r="A2905" s="48" t="n"/>
      <c r="B2905" s="48" t="n"/>
      <c r="C2905" s="47" t="n"/>
      <c r="D2905" s="50" t="n"/>
      <c r="E2905" s="50" t="n"/>
      <c r="F2905" s="50" t="n"/>
      <c r="G2905" s="50" t="n"/>
      <c r="H2905" s="48" t="n"/>
      <c r="I2905" s="51" t="n"/>
      <c r="J2905" s="52" t="n"/>
      <c r="K2905" s="47" t="n"/>
      <c r="L2905" s="47" t="n"/>
      <c r="M2905" s="24">
        <f>IF(OR($A2905="",$C2905=""),"",IF($L2905&lt;&gt;"",$L2905-$C2905,TODAY()-$C2905))</f>
        <v/>
      </c>
      <c r="N2905" s="28">
        <f>IF(OR($A2905="",$K2905=""),"",IF($L2905="",IF(TODAY()&gt;$K2905,"Atrasado","En ruta"),IF($L2905&lt;=$K2905,"Sí","No")))</f>
        <v/>
      </c>
      <c r="O2905" s="24">
        <f>IF($A2905="","",COUNTIFS(NOVEDADES!$D$4:$D$1503,$A2905))</f>
        <v/>
      </c>
      <c r="P2905" s="28">
        <f>IF($A2905="","",IF(COUNTIFS(NOVEDADES!$D$4:$D$1503,$A2905,NOVEDADES!$O$4:$O$1503,"SÍ")&gt;0,"No","Sí"))</f>
        <v/>
      </c>
      <c r="Q2905" s="28">
        <f>IF(OR($A2905="",$L2905=""),"",IF(AND($N2905="Sí",$P2905="Sí"),"OTIF","Falló"))</f>
        <v/>
      </c>
    </row>
    <row r="2906" ht="16" customHeight="1">
      <c r="A2906" s="48" t="n"/>
      <c r="B2906" s="48" t="n"/>
      <c r="C2906" s="47" t="n"/>
      <c r="D2906" s="50" t="n"/>
      <c r="E2906" s="50" t="n"/>
      <c r="F2906" s="50" t="n"/>
      <c r="G2906" s="50" t="n"/>
      <c r="H2906" s="48" t="n"/>
      <c r="I2906" s="51" t="n"/>
      <c r="J2906" s="52" t="n"/>
      <c r="K2906" s="47" t="n"/>
      <c r="L2906" s="47" t="n"/>
      <c r="M2906" s="24">
        <f>IF(OR($A2906="",$C2906=""),"",IF($L2906&lt;&gt;"",$L2906-$C2906,TODAY()-$C2906))</f>
        <v/>
      </c>
      <c r="N2906" s="28">
        <f>IF(OR($A2906="",$K2906=""),"",IF($L2906="",IF(TODAY()&gt;$K2906,"Atrasado","En ruta"),IF($L2906&lt;=$K2906,"Sí","No")))</f>
        <v/>
      </c>
      <c r="O2906" s="24">
        <f>IF($A2906="","",COUNTIFS(NOVEDADES!$D$4:$D$1503,$A2906))</f>
        <v/>
      </c>
      <c r="P2906" s="28">
        <f>IF($A2906="","",IF(COUNTIFS(NOVEDADES!$D$4:$D$1503,$A2906,NOVEDADES!$O$4:$O$1503,"SÍ")&gt;0,"No","Sí"))</f>
        <v/>
      </c>
      <c r="Q2906" s="28">
        <f>IF(OR($A2906="",$L2906=""),"",IF(AND($N2906="Sí",$P2906="Sí"),"OTIF","Falló"))</f>
        <v/>
      </c>
    </row>
    <row r="2907" ht="16" customHeight="1">
      <c r="A2907" s="48" t="n"/>
      <c r="B2907" s="48" t="n"/>
      <c r="C2907" s="47" t="n"/>
      <c r="D2907" s="50" t="n"/>
      <c r="E2907" s="50" t="n"/>
      <c r="F2907" s="50" t="n"/>
      <c r="G2907" s="50" t="n"/>
      <c r="H2907" s="48" t="n"/>
      <c r="I2907" s="51" t="n"/>
      <c r="J2907" s="52" t="n"/>
      <c r="K2907" s="47" t="n"/>
      <c r="L2907" s="47" t="n"/>
      <c r="M2907" s="24">
        <f>IF(OR($A2907="",$C2907=""),"",IF($L2907&lt;&gt;"",$L2907-$C2907,TODAY()-$C2907))</f>
        <v/>
      </c>
      <c r="N2907" s="28">
        <f>IF(OR($A2907="",$K2907=""),"",IF($L2907="",IF(TODAY()&gt;$K2907,"Atrasado","En ruta"),IF($L2907&lt;=$K2907,"Sí","No")))</f>
        <v/>
      </c>
      <c r="O2907" s="24">
        <f>IF($A2907="","",COUNTIFS(NOVEDADES!$D$4:$D$1503,$A2907))</f>
        <v/>
      </c>
      <c r="P2907" s="28">
        <f>IF($A2907="","",IF(COUNTIFS(NOVEDADES!$D$4:$D$1503,$A2907,NOVEDADES!$O$4:$O$1503,"SÍ")&gt;0,"No","Sí"))</f>
        <v/>
      </c>
      <c r="Q2907" s="28">
        <f>IF(OR($A2907="",$L2907=""),"",IF(AND($N2907="Sí",$P2907="Sí"),"OTIF","Falló"))</f>
        <v/>
      </c>
    </row>
    <row r="2908" ht="16" customHeight="1">
      <c r="A2908" s="48" t="n"/>
      <c r="B2908" s="48" t="n"/>
      <c r="C2908" s="47" t="n"/>
      <c r="D2908" s="50" t="n"/>
      <c r="E2908" s="50" t="n"/>
      <c r="F2908" s="50" t="n"/>
      <c r="G2908" s="50" t="n"/>
      <c r="H2908" s="48" t="n"/>
      <c r="I2908" s="51" t="n"/>
      <c r="J2908" s="52" t="n"/>
      <c r="K2908" s="47" t="n"/>
      <c r="L2908" s="47" t="n"/>
      <c r="M2908" s="24">
        <f>IF(OR($A2908="",$C2908=""),"",IF($L2908&lt;&gt;"",$L2908-$C2908,TODAY()-$C2908))</f>
        <v/>
      </c>
      <c r="N2908" s="28">
        <f>IF(OR($A2908="",$K2908=""),"",IF($L2908="",IF(TODAY()&gt;$K2908,"Atrasado","En ruta"),IF($L2908&lt;=$K2908,"Sí","No")))</f>
        <v/>
      </c>
      <c r="O2908" s="24">
        <f>IF($A2908="","",COUNTIFS(NOVEDADES!$D$4:$D$1503,$A2908))</f>
        <v/>
      </c>
      <c r="P2908" s="28">
        <f>IF($A2908="","",IF(COUNTIFS(NOVEDADES!$D$4:$D$1503,$A2908,NOVEDADES!$O$4:$O$1503,"SÍ")&gt;0,"No","Sí"))</f>
        <v/>
      </c>
      <c r="Q2908" s="28">
        <f>IF(OR($A2908="",$L2908=""),"",IF(AND($N2908="Sí",$P2908="Sí"),"OTIF","Falló"))</f>
        <v/>
      </c>
    </row>
    <row r="2909" ht="16" customHeight="1">
      <c r="A2909" s="48" t="n"/>
      <c r="B2909" s="48" t="n"/>
      <c r="C2909" s="47" t="n"/>
      <c r="D2909" s="50" t="n"/>
      <c r="E2909" s="50" t="n"/>
      <c r="F2909" s="50" t="n"/>
      <c r="G2909" s="50" t="n"/>
      <c r="H2909" s="48" t="n"/>
      <c r="I2909" s="51" t="n"/>
      <c r="J2909" s="52" t="n"/>
      <c r="K2909" s="47" t="n"/>
      <c r="L2909" s="47" t="n"/>
      <c r="M2909" s="24">
        <f>IF(OR($A2909="",$C2909=""),"",IF($L2909&lt;&gt;"",$L2909-$C2909,TODAY()-$C2909))</f>
        <v/>
      </c>
      <c r="N2909" s="28">
        <f>IF(OR($A2909="",$K2909=""),"",IF($L2909="",IF(TODAY()&gt;$K2909,"Atrasado","En ruta"),IF($L2909&lt;=$K2909,"Sí","No")))</f>
        <v/>
      </c>
      <c r="O2909" s="24">
        <f>IF($A2909="","",COUNTIFS(NOVEDADES!$D$4:$D$1503,$A2909))</f>
        <v/>
      </c>
      <c r="P2909" s="28">
        <f>IF($A2909="","",IF(COUNTIFS(NOVEDADES!$D$4:$D$1503,$A2909,NOVEDADES!$O$4:$O$1503,"SÍ")&gt;0,"No","Sí"))</f>
        <v/>
      </c>
      <c r="Q2909" s="28">
        <f>IF(OR($A2909="",$L2909=""),"",IF(AND($N2909="Sí",$P2909="Sí"),"OTIF","Falló"))</f>
        <v/>
      </c>
    </row>
    <row r="2910" ht="16" customHeight="1">
      <c r="A2910" s="48" t="n"/>
      <c r="B2910" s="48" t="n"/>
      <c r="C2910" s="47" t="n"/>
      <c r="D2910" s="50" t="n"/>
      <c r="E2910" s="50" t="n"/>
      <c r="F2910" s="50" t="n"/>
      <c r="G2910" s="50" t="n"/>
      <c r="H2910" s="48" t="n"/>
      <c r="I2910" s="51" t="n"/>
      <c r="J2910" s="52" t="n"/>
      <c r="K2910" s="47" t="n"/>
      <c r="L2910" s="47" t="n"/>
      <c r="M2910" s="24">
        <f>IF(OR($A2910="",$C2910=""),"",IF($L2910&lt;&gt;"",$L2910-$C2910,TODAY()-$C2910))</f>
        <v/>
      </c>
      <c r="N2910" s="28">
        <f>IF(OR($A2910="",$K2910=""),"",IF($L2910="",IF(TODAY()&gt;$K2910,"Atrasado","En ruta"),IF($L2910&lt;=$K2910,"Sí","No")))</f>
        <v/>
      </c>
      <c r="O2910" s="24">
        <f>IF($A2910="","",COUNTIFS(NOVEDADES!$D$4:$D$1503,$A2910))</f>
        <v/>
      </c>
      <c r="P2910" s="28">
        <f>IF($A2910="","",IF(COUNTIFS(NOVEDADES!$D$4:$D$1503,$A2910,NOVEDADES!$O$4:$O$1503,"SÍ")&gt;0,"No","Sí"))</f>
        <v/>
      </c>
      <c r="Q2910" s="28">
        <f>IF(OR($A2910="",$L2910=""),"",IF(AND($N2910="Sí",$P2910="Sí"),"OTIF","Falló"))</f>
        <v/>
      </c>
    </row>
    <row r="2911" ht="16" customHeight="1">
      <c r="A2911" s="48" t="n"/>
      <c r="B2911" s="48" t="n"/>
      <c r="C2911" s="47" t="n"/>
      <c r="D2911" s="50" t="n"/>
      <c r="E2911" s="50" t="n"/>
      <c r="F2911" s="50" t="n"/>
      <c r="G2911" s="50" t="n"/>
      <c r="H2911" s="48" t="n"/>
      <c r="I2911" s="51" t="n"/>
      <c r="J2911" s="52" t="n"/>
      <c r="K2911" s="47" t="n"/>
      <c r="L2911" s="47" t="n"/>
      <c r="M2911" s="24">
        <f>IF(OR($A2911="",$C2911=""),"",IF($L2911&lt;&gt;"",$L2911-$C2911,TODAY()-$C2911))</f>
        <v/>
      </c>
      <c r="N2911" s="28">
        <f>IF(OR($A2911="",$K2911=""),"",IF($L2911="",IF(TODAY()&gt;$K2911,"Atrasado","En ruta"),IF($L2911&lt;=$K2911,"Sí","No")))</f>
        <v/>
      </c>
      <c r="O2911" s="24">
        <f>IF($A2911="","",COUNTIFS(NOVEDADES!$D$4:$D$1503,$A2911))</f>
        <v/>
      </c>
      <c r="P2911" s="28">
        <f>IF($A2911="","",IF(COUNTIFS(NOVEDADES!$D$4:$D$1503,$A2911,NOVEDADES!$O$4:$O$1503,"SÍ")&gt;0,"No","Sí"))</f>
        <v/>
      </c>
      <c r="Q2911" s="28">
        <f>IF(OR($A2911="",$L2911=""),"",IF(AND($N2911="Sí",$P2911="Sí"),"OTIF","Falló"))</f>
        <v/>
      </c>
    </row>
    <row r="2912" ht="16" customHeight="1">
      <c r="A2912" s="48" t="n"/>
      <c r="B2912" s="48" t="n"/>
      <c r="C2912" s="47" t="n"/>
      <c r="D2912" s="50" t="n"/>
      <c r="E2912" s="50" t="n"/>
      <c r="F2912" s="50" t="n"/>
      <c r="G2912" s="50" t="n"/>
      <c r="H2912" s="48" t="n"/>
      <c r="I2912" s="51" t="n"/>
      <c r="J2912" s="52" t="n"/>
      <c r="K2912" s="47" t="n"/>
      <c r="L2912" s="47" t="n"/>
      <c r="M2912" s="24">
        <f>IF(OR($A2912="",$C2912=""),"",IF($L2912&lt;&gt;"",$L2912-$C2912,TODAY()-$C2912))</f>
        <v/>
      </c>
      <c r="N2912" s="28">
        <f>IF(OR($A2912="",$K2912=""),"",IF($L2912="",IF(TODAY()&gt;$K2912,"Atrasado","En ruta"),IF($L2912&lt;=$K2912,"Sí","No")))</f>
        <v/>
      </c>
      <c r="O2912" s="24">
        <f>IF($A2912="","",COUNTIFS(NOVEDADES!$D$4:$D$1503,$A2912))</f>
        <v/>
      </c>
      <c r="P2912" s="28">
        <f>IF($A2912="","",IF(COUNTIFS(NOVEDADES!$D$4:$D$1503,$A2912,NOVEDADES!$O$4:$O$1503,"SÍ")&gt;0,"No","Sí"))</f>
        <v/>
      </c>
      <c r="Q2912" s="28">
        <f>IF(OR($A2912="",$L2912=""),"",IF(AND($N2912="Sí",$P2912="Sí"),"OTIF","Falló"))</f>
        <v/>
      </c>
    </row>
    <row r="2913" ht="16" customHeight="1">
      <c r="A2913" s="48" t="n"/>
      <c r="B2913" s="48" t="n"/>
      <c r="C2913" s="47" t="n"/>
      <c r="D2913" s="50" t="n"/>
      <c r="E2913" s="50" t="n"/>
      <c r="F2913" s="50" t="n"/>
      <c r="G2913" s="50" t="n"/>
      <c r="H2913" s="48" t="n"/>
      <c r="I2913" s="51" t="n"/>
      <c r="J2913" s="52" t="n"/>
      <c r="K2913" s="47" t="n"/>
      <c r="L2913" s="47" t="n"/>
      <c r="M2913" s="24">
        <f>IF(OR($A2913="",$C2913=""),"",IF($L2913&lt;&gt;"",$L2913-$C2913,TODAY()-$C2913))</f>
        <v/>
      </c>
      <c r="N2913" s="28">
        <f>IF(OR($A2913="",$K2913=""),"",IF($L2913="",IF(TODAY()&gt;$K2913,"Atrasado","En ruta"),IF($L2913&lt;=$K2913,"Sí","No")))</f>
        <v/>
      </c>
      <c r="O2913" s="24">
        <f>IF($A2913="","",COUNTIFS(NOVEDADES!$D$4:$D$1503,$A2913))</f>
        <v/>
      </c>
      <c r="P2913" s="28">
        <f>IF($A2913="","",IF(COUNTIFS(NOVEDADES!$D$4:$D$1503,$A2913,NOVEDADES!$O$4:$O$1503,"SÍ")&gt;0,"No","Sí"))</f>
        <v/>
      </c>
      <c r="Q2913" s="28">
        <f>IF(OR($A2913="",$L2913=""),"",IF(AND($N2913="Sí",$P2913="Sí"),"OTIF","Falló"))</f>
        <v/>
      </c>
    </row>
    <row r="2914" ht="16" customHeight="1">
      <c r="A2914" s="48" t="n"/>
      <c r="B2914" s="48" t="n"/>
      <c r="C2914" s="47" t="n"/>
      <c r="D2914" s="50" t="n"/>
      <c r="E2914" s="50" t="n"/>
      <c r="F2914" s="50" t="n"/>
      <c r="G2914" s="50" t="n"/>
      <c r="H2914" s="48" t="n"/>
      <c r="I2914" s="51" t="n"/>
      <c r="J2914" s="52" t="n"/>
      <c r="K2914" s="47" t="n"/>
      <c r="L2914" s="47" t="n"/>
      <c r="M2914" s="24">
        <f>IF(OR($A2914="",$C2914=""),"",IF($L2914&lt;&gt;"",$L2914-$C2914,TODAY()-$C2914))</f>
        <v/>
      </c>
      <c r="N2914" s="28">
        <f>IF(OR($A2914="",$K2914=""),"",IF($L2914="",IF(TODAY()&gt;$K2914,"Atrasado","En ruta"),IF($L2914&lt;=$K2914,"Sí","No")))</f>
        <v/>
      </c>
      <c r="O2914" s="24">
        <f>IF($A2914="","",COUNTIFS(NOVEDADES!$D$4:$D$1503,$A2914))</f>
        <v/>
      </c>
      <c r="P2914" s="28">
        <f>IF($A2914="","",IF(COUNTIFS(NOVEDADES!$D$4:$D$1503,$A2914,NOVEDADES!$O$4:$O$1503,"SÍ")&gt;0,"No","Sí"))</f>
        <v/>
      </c>
      <c r="Q2914" s="28">
        <f>IF(OR($A2914="",$L2914=""),"",IF(AND($N2914="Sí",$P2914="Sí"),"OTIF","Falló"))</f>
        <v/>
      </c>
    </row>
    <row r="2915" ht="16" customHeight="1">
      <c r="A2915" s="48" t="n"/>
      <c r="B2915" s="48" t="n"/>
      <c r="C2915" s="47" t="n"/>
      <c r="D2915" s="50" t="n"/>
      <c r="E2915" s="50" t="n"/>
      <c r="F2915" s="50" t="n"/>
      <c r="G2915" s="50" t="n"/>
      <c r="H2915" s="48" t="n"/>
      <c r="I2915" s="51" t="n"/>
      <c r="J2915" s="52" t="n"/>
      <c r="K2915" s="47" t="n"/>
      <c r="L2915" s="47" t="n"/>
      <c r="M2915" s="24">
        <f>IF(OR($A2915="",$C2915=""),"",IF($L2915&lt;&gt;"",$L2915-$C2915,TODAY()-$C2915))</f>
        <v/>
      </c>
      <c r="N2915" s="28">
        <f>IF(OR($A2915="",$K2915=""),"",IF($L2915="",IF(TODAY()&gt;$K2915,"Atrasado","En ruta"),IF($L2915&lt;=$K2915,"Sí","No")))</f>
        <v/>
      </c>
      <c r="O2915" s="24">
        <f>IF($A2915="","",COUNTIFS(NOVEDADES!$D$4:$D$1503,$A2915))</f>
        <v/>
      </c>
      <c r="P2915" s="28">
        <f>IF($A2915="","",IF(COUNTIFS(NOVEDADES!$D$4:$D$1503,$A2915,NOVEDADES!$O$4:$O$1503,"SÍ")&gt;0,"No","Sí"))</f>
        <v/>
      </c>
      <c r="Q2915" s="28">
        <f>IF(OR($A2915="",$L2915=""),"",IF(AND($N2915="Sí",$P2915="Sí"),"OTIF","Falló"))</f>
        <v/>
      </c>
    </row>
    <row r="2916" ht="16" customHeight="1">
      <c r="A2916" s="48" t="n"/>
      <c r="B2916" s="48" t="n"/>
      <c r="C2916" s="47" t="n"/>
      <c r="D2916" s="50" t="n"/>
      <c r="E2916" s="50" t="n"/>
      <c r="F2916" s="50" t="n"/>
      <c r="G2916" s="50" t="n"/>
      <c r="H2916" s="48" t="n"/>
      <c r="I2916" s="51" t="n"/>
      <c r="J2916" s="52" t="n"/>
      <c r="K2916" s="47" t="n"/>
      <c r="L2916" s="47" t="n"/>
      <c r="M2916" s="24">
        <f>IF(OR($A2916="",$C2916=""),"",IF($L2916&lt;&gt;"",$L2916-$C2916,TODAY()-$C2916))</f>
        <v/>
      </c>
      <c r="N2916" s="28">
        <f>IF(OR($A2916="",$K2916=""),"",IF($L2916="",IF(TODAY()&gt;$K2916,"Atrasado","En ruta"),IF($L2916&lt;=$K2916,"Sí","No")))</f>
        <v/>
      </c>
      <c r="O2916" s="24">
        <f>IF($A2916="","",COUNTIFS(NOVEDADES!$D$4:$D$1503,$A2916))</f>
        <v/>
      </c>
      <c r="P2916" s="28">
        <f>IF($A2916="","",IF(COUNTIFS(NOVEDADES!$D$4:$D$1503,$A2916,NOVEDADES!$O$4:$O$1503,"SÍ")&gt;0,"No","Sí"))</f>
        <v/>
      </c>
      <c r="Q2916" s="28">
        <f>IF(OR($A2916="",$L2916=""),"",IF(AND($N2916="Sí",$P2916="Sí"),"OTIF","Falló"))</f>
        <v/>
      </c>
    </row>
    <row r="2917" ht="16" customHeight="1">
      <c r="A2917" s="48" t="n"/>
      <c r="B2917" s="48" t="n"/>
      <c r="C2917" s="47" t="n"/>
      <c r="D2917" s="50" t="n"/>
      <c r="E2917" s="50" t="n"/>
      <c r="F2917" s="50" t="n"/>
      <c r="G2917" s="50" t="n"/>
      <c r="H2917" s="48" t="n"/>
      <c r="I2917" s="51" t="n"/>
      <c r="J2917" s="52" t="n"/>
      <c r="K2917" s="47" t="n"/>
      <c r="L2917" s="47" t="n"/>
      <c r="M2917" s="24">
        <f>IF(OR($A2917="",$C2917=""),"",IF($L2917&lt;&gt;"",$L2917-$C2917,TODAY()-$C2917))</f>
        <v/>
      </c>
      <c r="N2917" s="28">
        <f>IF(OR($A2917="",$K2917=""),"",IF($L2917="",IF(TODAY()&gt;$K2917,"Atrasado","En ruta"),IF($L2917&lt;=$K2917,"Sí","No")))</f>
        <v/>
      </c>
      <c r="O2917" s="24">
        <f>IF($A2917="","",COUNTIFS(NOVEDADES!$D$4:$D$1503,$A2917))</f>
        <v/>
      </c>
      <c r="P2917" s="28">
        <f>IF($A2917="","",IF(COUNTIFS(NOVEDADES!$D$4:$D$1503,$A2917,NOVEDADES!$O$4:$O$1503,"SÍ")&gt;0,"No","Sí"))</f>
        <v/>
      </c>
      <c r="Q2917" s="28">
        <f>IF(OR($A2917="",$L2917=""),"",IF(AND($N2917="Sí",$P2917="Sí"),"OTIF","Falló"))</f>
        <v/>
      </c>
    </row>
    <row r="2918" ht="16" customHeight="1">
      <c r="A2918" s="48" t="n"/>
      <c r="B2918" s="48" t="n"/>
      <c r="C2918" s="47" t="n"/>
      <c r="D2918" s="50" t="n"/>
      <c r="E2918" s="50" t="n"/>
      <c r="F2918" s="50" t="n"/>
      <c r="G2918" s="50" t="n"/>
      <c r="H2918" s="48" t="n"/>
      <c r="I2918" s="51" t="n"/>
      <c r="J2918" s="52" t="n"/>
      <c r="K2918" s="47" t="n"/>
      <c r="L2918" s="47" t="n"/>
      <c r="M2918" s="24">
        <f>IF(OR($A2918="",$C2918=""),"",IF($L2918&lt;&gt;"",$L2918-$C2918,TODAY()-$C2918))</f>
        <v/>
      </c>
      <c r="N2918" s="28">
        <f>IF(OR($A2918="",$K2918=""),"",IF($L2918="",IF(TODAY()&gt;$K2918,"Atrasado","En ruta"),IF($L2918&lt;=$K2918,"Sí","No")))</f>
        <v/>
      </c>
      <c r="O2918" s="24">
        <f>IF($A2918="","",COUNTIFS(NOVEDADES!$D$4:$D$1503,$A2918))</f>
        <v/>
      </c>
      <c r="P2918" s="28">
        <f>IF($A2918="","",IF(COUNTIFS(NOVEDADES!$D$4:$D$1503,$A2918,NOVEDADES!$O$4:$O$1503,"SÍ")&gt;0,"No","Sí"))</f>
        <v/>
      </c>
      <c r="Q2918" s="28">
        <f>IF(OR($A2918="",$L2918=""),"",IF(AND($N2918="Sí",$P2918="Sí"),"OTIF","Falló"))</f>
        <v/>
      </c>
    </row>
    <row r="2919" ht="16" customHeight="1">
      <c r="A2919" s="48" t="n"/>
      <c r="B2919" s="48" t="n"/>
      <c r="C2919" s="47" t="n"/>
      <c r="D2919" s="50" t="n"/>
      <c r="E2919" s="50" t="n"/>
      <c r="F2919" s="50" t="n"/>
      <c r="G2919" s="50" t="n"/>
      <c r="H2919" s="48" t="n"/>
      <c r="I2919" s="51" t="n"/>
      <c r="J2919" s="52" t="n"/>
      <c r="K2919" s="47" t="n"/>
      <c r="L2919" s="47" t="n"/>
      <c r="M2919" s="24">
        <f>IF(OR($A2919="",$C2919=""),"",IF($L2919&lt;&gt;"",$L2919-$C2919,TODAY()-$C2919))</f>
        <v/>
      </c>
      <c r="N2919" s="28">
        <f>IF(OR($A2919="",$K2919=""),"",IF($L2919="",IF(TODAY()&gt;$K2919,"Atrasado","En ruta"),IF($L2919&lt;=$K2919,"Sí","No")))</f>
        <v/>
      </c>
      <c r="O2919" s="24">
        <f>IF($A2919="","",COUNTIFS(NOVEDADES!$D$4:$D$1503,$A2919))</f>
        <v/>
      </c>
      <c r="P2919" s="28">
        <f>IF($A2919="","",IF(COUNTIFS(NOVEDADES!$D$4:$D$1503,$A2919,NOVEDADES!$O$4:$O$1503,"SÍ")&gt;0,"No","Sí"))</f>
        <v/>
      </c>
      <c r="Q2919" s="28">
        <f>IF(OR($A2919="",$L2919=""),"",IF(AND($N2919="Sí",$P2919="Sí"),"OTIF","Falló"))</f>
        <v/>
      </c>
    </row>
    <row r="2920" ht="16" customHeight="1">
      <c r="A2920" s="48" t="n"/>
      <c r="B2920" s="48" t="n"/>
      <c r="C2920" s="47" t="n"/>
      <c r="D2920" s="50" t="n"/>
      <c r="E2920" s="50" t="n"/>
      <c r="F2920" s="50" t="n"/>
      <c r="G2920" s="50" t="n"/>
      <c r="H2920" s="48" t="n"/>
      <c r="I2920" s="51" t="n"/>
      <c r="J2920" s="52" t="n"/>
      <c r="K2920" s="47" t="n"/>
      <c r="L2920" s="47" t="n"/>
      <c r="M2920" s="24">
        <f>IF(OR($A2920="",$C2920=""),"",IF($L2920&lt;&gt;"",$L2920-$C2920,TODAY()-$C2920))</f>
        <v/>
      </c>
      <c r="N2920" s="28">
        <f>IF(OR($A2920="",$K2920=""),"",IF($L2920="",IF(TODAY()&gt;$K2920,"Atrasado","En ruta"),IF($L2920&lt;=$K2920,"Sí","No")))</f>
        <v/>
      </c>
      <c r="O2920" s="24">
        <f>IF($A2920="","",COUNTIFS(NOVEDADES!$D$4:$D$1503,$A2920))</f>
        <v/>
      </c>
      <c r="P2920" s="28">
        <f>IF($A2920="","",IF(COUNTIFS(NOVEDADES!$D$4:$D$1503,$A2920,NOVEDADES!$O$4:$O$1503,"SÍ")&gt;0,"No","Sí"))</f>
        <v/>
      </c>
      <c r="Q2920" s="28">
        <f>IF(OR($A2920="",$L2920=""),"",IF(AND($N2920="Sí",$P2920="Sí"),"OTIF","Falló"))</f>
        <v/>
      </c>
    </row>
    <row r="2921" ht="16" customHeight="1">
      <c r="A2921" s="48" t="n"/>
      <c r="B2921" s="48" t="n"/>
      <c r="C2921" s="47" t="n"/>
      <c r="D2921" s="50" t="n"/>
      <c r="E2921" s="50" t="n"/>
      <c r="F2921" s="50" t="n"/>
      <c r="G2921" s="50" t="n"/>
      <c r="H2921" s="48" t="n"/>
      <c r="I2921" s="51" t="n"/>
      <c r="J2921" s="52" t="n"/>
      <c r="K2921" s="47" t="n"/>
      <c r="L2921" s="47" t="n"/>
      <c r="M2921" s="24">
        <f>IF(OR($A2921="",$C2921=""),"",IF($L2921&lt;&gt;"",$L2921-$C2921,TODAY()-$C2921))</f>
        <v/>
      </c>
      <c r="N2921" s="28">
        <f>IF(OR($A2921="",$K2921=""),"",IF($L2921="",IF(TODAY()&gt;$K2921,"Atrasado","En ruta"),IF($L2921&lt;=$K2921,"Sí","No")))</f>
        <v/>
      </c>
      <c r="O2921" s="24">
        <f>IF($A2921="","",COUNTIFS(NOVEDADES!$D$4:$D$1503,$A2921))</f>
        <v/>
      </c>
      <c r="P2921" s="28">
        <f>IF($A2921="","",IF(COUNTIFS(NOVEDADES!$D$4:$D$1503,$A2921,NOVEDADES!$O$4:$O$1503,"SÍ")&gt;0,"No","Sí"))</f>
        <v/>
      </c>
      <c r="Q2921" s="28">
        <f>IF(OR($A2921="",$L2921=""),"",IF(AND($N2921="Sí",$P2921="Sí"),"OTIF","Falló"))</f>
        <v/>
      </c>
    </row>
    <row r="2922" ht="16" customHeight="1">
      <c r="A2922" s="48" t="n"/>
      <c r="B2922" s="48" t="n"/>
      <c r="C2922" s="47" t="n"/>
      <c r="D2922" s="50" t="n"/>
      <c r="E2922" s="50" t="n"/>
      <c r="F2922" s="50" t="n"/>
      <c r="G2922" s="50" t="n"/>
      <c r="H2922" s="48" t="n"/>
      <c r="I2922" s="51" t="n"/>
      <c r="J2922" s="52" t="n"/>
      <c r="K2922" s="47" t="n"/>
      <c r="L2922" s="47" t="n"/>
      <c r="M2922" s="24">
        <f>IF(OR($A2922="",$C2922=""),"",IF($L2922&lt;&gt;"",$L2922-$C2922,TODAY()-$C2922))</f>
        <v/>
      </c>
      <c r="N2922" s="28">
        <f>IF(OR($A2922="",$K2922=""),"",IF($L2922="",IF(TODAY()&gt;$K2922,"Atrasado","En ruta"),IF($L2922&lt;=$K2922,"Sí","No")))</f>
        <v/>
      </c>
      <c r="O2922" s="24">
        <f>IF($A2922="","",COUNTIFS(NOVEDADES!$D$4:$D$1503,$A2922))</f>
        <v/>
      </c>
      <c r="P2922" s="28">
        <f>IF($A2922="","",IF(COUNTIFS(NOVEDADES!$D$4:$D$1503,$A2922,NOVEDADES!$O$4:$O$1503,"SÍ")&gt;0,"No","Sí"))</f>
        <v/>
      </c>
      <c r="Q2922" s="28">
        <f>IF(OR($A2922="",$L2922=""),"",IF(AND($N2922="Sí",$P2922="Sí"),"OTIF","Falló"))</f>
        <v/>
      </c>
    </row>
    <row r="2923" ht="16" customHeight="1">
      <c r="A2923" s="48" t="n"/>
      <c r="B2923" s="48" t="n"/>
      <c r="C2923" s="47" t="n"/>
      <c r="D2923" s="50" t="n"/>
      <c r="E2923" s="50" t="n"/>
      <c r="F2923" s="50" t="n"/>
      <c r="G2923" s="50" t="n"/>
      <c r="H2923" s="48" t="n"/>
      <c r="I2923" s="51" t="n"/>
      <c r="J2923" s="52" t="n"/>
      <c r="K2923" s="47" t="n"/>
      <c r="L2923" s="47" t="n"/>
      <c r="M2923" s="24">
        <f>IF(OR($A2923="",$C2923=""),"",IF($L2923&lt;&gt;"",$L2923-$C2923,TODAY()-$C2923))</f>
        <v/>
      </c>
      <c r="N2923" s="28">
        <f>IF(OR($A2923="",$K2923=""),"",IF($L2923="",IF(TODAY()&gt;$K2923,"Atrasado","En ruta"),IF($L2923&lt;=$K2923,"Sí","No")))</f>
        <v/>
      </c>
      <c r="O2923" s="24">
        <f>IF($A2923="","",COUNTIFS(NOVEDADES!$D$4:$D$1503,$A2923))</f>
        <v/>
      </c>
      <c r="P2923" s="28">
        <f>IF($A2923="","",IF(COUNTIFS(NOVEDADES!$D$4:$D$1503,$A2923,NOVEDADES!$O$4:$O$1503,"SÍ")&gt;0,"No","Sí"))</f>
        <v/>
      </c>
      <c r="Q2923" s="28">
        <f>IF(OR($A2923="",$L2923=""),"",IF(AND($N2923="Sí",$P2923="Sí"),"OTIF","Falló"))</f>
        <v/>
      </c>
    </row>
    <row r="2924" ht="16" customHeight="1">
      <c r="A2924" s="48" t="n"/>
      <c r="B2924" s="48" t="n"/>
      <c r="C2924" s="47" t="n"/>
      <c r="D2924" s="50" t="n"/>
      <c r="E2924" s="50" t="n"/>
      <c r="F2924" s="50" t="n"/>
      <c r="G2924" s="50" t="n"/>
      <c r="H2924" s="48" t="n"/>
      <c r="I2924" s="51" t="n"/>
      <c r="J2924" s="52" t="n"/>
      <c r="K2924" s="47" t="n"/>
      <c r="L2924" s="47" t="n"/>
      <c r="M2924" s="24">
        <f>IF(OR($A2924="",$C2924=""),"",IF($L2924&lt;&gt;"",$L2924-$C2924,TODAY()-$C2924))</f>
        <v/>
      </c>
      <c r="N2924" s="28">
        <f>IF(OR($A2924="",$K2924=""),"",IF($L2924="",IF(TODAY()&gt;$K2924,"Atrasado","En ruta"),IF($L2924&lt;=$K2924,"Sí","No")))</f>
        <v/>
      </c>
      <c r="O2924" s="24">
        <f>IF($A2924="","",COUNTIFS(NOVEDADES!$D$4:$D$1503,$A2924))</f>
        <v/>
      </c>
      <c r="P2924" s="28">
        <f>IF($A2924="","",IF(COUNTIFS(NOVEDADES!$D$4:$D$1503,$A2924,NOVEDADES!$O$4:$O$1503,"SÍ")&gt;0,"No","Sí"))</f>
        <v/>
      </c>
      <c r="Q2924" s="28">
        <f>IF(OR($A2924="",$L2924=""),"",IF(AND($N2924="Sí",$P2924="Sí"),"OTIF","Falló"))</f>
        <v/>
      </c>
    </row>
    <row r="2925" ht="16" customHeight="1">
      <c r="A2925" s="48" t="n"/>
      <c r="B2925" s="48" t="n"/>
      <c r="C2925" s="47" t="n"/>
      <c r="D2925" s="50" t="n"/>
      <c r="E2925" s="50" t="n"/>
      <c r="F2925" s="50" t="n"/>
      <c r="G2925" s="50" t="n"/>
      <c r="H2925" s="48" t="n"/>
      <c r="I2925" s="51" t="n"/>
      <c r="J2925" s="52" t="n"/>
      <c r="K2925" s="47" t="n"/>
      <c r="L2925" s="47" t="n"/>
      <c r="M2925" s="24">
        <f>IF(OR($A2925="",$C2925=""),"",IF($L2925&lt;&gt;"",$L2925-$C2925,TODAY()-$C2925))</f>
        <v/>
      </c>
      <c r="N2925" s="28">
        <f>IF(OR($A2925="",$K2925=""),"",IF($L2925="",IF(TODAY()&gt;$K2925,"Atrasado","En ruta"),IF($L2925&lt;=$K2925,"Sí","No")))</f>
        <v/>
      </c>
      <c r="O2925" s="24">
        <f>IF($A2925="","",COUNTIFS(NOVEDADES!$D$4:$D$1503,$A2925))</f>
        <v/>
      </c>
      <c r="P2925" s="28">
        <f>IF($A2925="","",IF(COUNTIFS(NOVEDADES!$D$4:$D$1503,$A2925,NOVEDADES!$O$4:$O$1503,"SÍ")&gt;0,"No","Sí"))</f>
        <v/>
      </c>
      <c r="Q2925" s="28">
        <f>IF(OR($A2925="",$L2925=""),"",IF(AND($N2925="Sí",$P2925="Sí"),"OTIF","Falló"))</f>
        <v/>
      </c>
    </row>
    <row r="2926" ht="16" customHeight="1">
      <c r="A2926" s="48" t="n"/>
      <c r="B2926" s="48" t="n"/>
      <c r="C2926" s="47" t="n"/>
      <c r="D2926" s="50" t="n"/>
      <c r="E2926" s="50" t="n"/>
      <c r="F2926" s="50" t="n"/>
      <c r="G2926" s="50" t="n"/>
      <c r="H2926" s="48" t="n"/>
      <c r="I2926" s="51" t="n"/>
      <c r="J2926" s="52" t="n"/>
      <c r="K2926" s="47" t="n"/>
      <c r="L2926" s="47" t="n"/>
      <c r="M2926" s="24">
        <f>IF(OR($A2926="",$C2926=""),"",IF($L2926&lt;&gt;"",$L2926-$C2926,TODAY()-$C2926))</f>
        <v/>
      </c>
      <c r="N2926" s="28">
        <f>IF(OR($A2926="",$K2926=""),"",IF($L2926="",IF(TODAY()&gt;$K2926,"Atrasado","En ruta"),IF($L2926&lt;=$K2926,"Sí","No")))</f>
        <v/>
      </c>
      <c r="O2926" s="24">
        <f>IF($A2926="","",COUNTIFS(NOVEDADES!$D$4:$D$1503,$A2926))</f>
        <v/>
      </c>
      <c r="P2926" s="28">
        <f>IF($A2926="","",IF(COUNTIFS(NOVEDADES!$D$4:$D$1503,$A2926,NOVEDADES!$O$4:$O$1503,"SÍ")&gt;0,"No","Sí"))</f>
        <v/>
      </c>
      <c r="Q2926" s="28">
        <f>IF(OR($A2926="",$L2926=""),"",IF(AND($N2926="Sí",$P2926="Sí"),"OTIF","Falló"))</f>
        <v/>
      </c>
    </row>
    <row r="2927" ht="16" customHeight="1">
      <c r="A2927" s="48" t="n"/>
      <c r="B2927" s="48" t="n"/>
      <c r="C2927" s="47" t="n"/>
      <c r="D2927" s="50" t="n"/>
      <c r="E2927" s="50" t="n"/>
      <c r="F2927" s="50" t="n"/>
      <c r="G2927" s="50" t="n"/>
      <c r="H2927" s="48" t="n"/>
      <c r="I2927" s="51" t="n"/>
      <c r="J2927" s="52" t="n"/>
      <c r="K2927" s="47" t="n"/>
      <c r="L2927" s="47" t="n"/>
      <c r="M2927" s="24">
        <f>IF(OR($A2927="",$C2927=""),"",IF($L2927&lt;&gt;"",$L2927-$C2927,TODAY()-$C2927))</f>
        <v/>
      </c>
      <c r="N2927" s="28">
        <f>IF(OR($A2927="",$K2927=""),"",IF($L2927="",IF(TODAY()&gt;$K2927,"Atrasado","En ruta"),IF($L2927&lt;=$K2927,"Sí","No")))</f>
        <v/>
      </c>
      <c r="O2927" s="24">
        <f>IF($A2927="","",COUNTIFS(NOVEDADES!$D$4:$D$1503,$A2927))</f>
        <v/>
      </c>
      <c r="P2927" s="28">
        <f>IF($A2927="","",IF(COUNTIFS(NOVEDADES!$D$4:$D$1503,$A2927,NOVEDADES!$O$4:$O$1503,"SÍ")&gt;0,"No","Sí"))</f>
        <v/>
      </c>
      <c r="Q2927" s="28">
        <f>IF(OR($A2927="",$L2927=""),"",IF(AND($N2927="Sí",$P2927="Sí"),"OTIF","Falló"))</f>
        <v/>
      </c>
    </row>
    <row r="2928" ht="16" customHeight="1">
      <c r="A2928" s="48" t="n"/>
      <c r="B2928" s="48" t="n"/>
      <c r="C2928" s="47" t="n"/>
      <c r="D2928" s="50" t="n"/>
      <c r="E2928" s="50" t="n"/>
      <c r="F2928" s="50" t="n"/>
      <c r="G2928" s="50" t="n"/>
      <c r="H2928" s="48" t="n"/>
      <c r="I2928" s="51" t="n"/>
      <c r="J2928" s="52" t="n"/>
      <c r="K2928" s="47" t="n"/>
      <c r="L2928" s="47" t="n"/>
      <c r="M2928" s="24">
        <f>IF(OR($A2928="",$C2928=""),"",IF($L2928&lt;&gt;"",$L2928-$C2928,TODAY()-$C2928))</f>
        <v/>
      </c>
      <c r="N2928" s="28">
        <f>IF(OR($A2928="",$K2928=""),"",IF($L2928="",IF(TODAY()&gt;$K2928,"Atrasado","En ruta"),IF($L2928&lt;=$K2928,"Sí","No")))</f>
        <v/>
      </c>
      <c r="O2928" s="24">
        <f>IF($A2928="","",COUNTIFS(NOVEDADES!$D$4:$D$1503,$A2928))</f>
        <v/>
      </c>
      <c r="P2928" s="28">
        <f>IF($A2928="","",IF(COUNTIFS(NOVEDADES!$D$4:$D$1503,$A2928,NOVEDADES!$O$4:$O$1503,"SÍ")&gt;0,"No","Sí"))</f>
        <v/>
      </c>
      <c r="Q2928" s="28">
        <f>IF(OR($A2928="",$L2928=""),"",IF(AND($N2928="Sí",$P2928="Sí"),"OTIF","Falló"))</f>
        <v/>
      </c>
    </row>
    <row r="2929" ht="16" customHeight="1">
      <c r="A2929" s="48" t="n"/>
      <c r="B2929" s="48" t="n"/>
      <c r="C2929" s="47" t="n"/>
      <c r="D2929" s="50" t="n"/>
      <c r="E2929" s="50" t="n"/>
      <c r="F2929" s="50" t="n"/>
      <c r="G2929" s="50" t="n"/>
      <c r="H2929" s="48" t="n"/>
      <c r="I2929" s="51" t="n"/>
      <c r="J2929" s="52" t="n"/>
      <c r="K2929" s="47" t="n"/>
      <c r="L2929" s="47" t="n"/>
      <c r="M2929" s="24">
        <f>IF(OR($A2929="",$C2929=""),"",IF($L2929&lt;&gt;"",$L2929-$C2929,TODAY()-$C2929))</f>
        <v/>
      </c>
      <c r="N2929" s="28">
        <f>IF(OR($A2929="",$K2929=""),"",IF($L2929="",IF(TODAY()&gt;$K2929,"Atrasado","En ruta"),IF($L2929&lt;=$K2929,"Sí","No")))</f>
        <v/>
      </c>
      <c r="O2929" s="24">
        <f>IF($A2929="","",COUNTIFS(NOVEDADES!$D$4:$D$1503,$A2929))</f>
        <v/>
      </c>
      <c r="P2929" s="28">
        <f>IF($A2929="","",IF(COUNTIFS(NOVEDADES!$D$4:$D$1503,$A2929,NOVEDADES!$O$4:$O$1503,"SÍ")&gt;0,"No","Sí"))</f>
        <v/>
      </c>
      <c r="Q2929" s="28">
        <f>IF(OR($A2929="",$L2929=""),"",IF(AND($N2929="Sí",$P2929="Sí"),"OTIF","Falló"))</f>
        <v/>
      </c>
    </row>
    <row r="2930" ht="16" customHeight="1">
      <c r="A2930" s="48" t="n"/>
      <c r="B2930" s="48" t="n"/>
      <c r="C2930" s="47" t="n"/>
      <c r="D2930" s="50" t="n"/>
      <c r="E2930" s="50" t="n"/>
      <c r="F2930" s="50" t="n"/>
      <c r="G2930" s="50" t="n"/>
      <c r="H2930" s="48" t="n"/>
      <c r="I2930" s="51" t="n"/>
      <c r="J2930" s="52" t="n"/>
      <c r="K2930" s="47" t="n"/>
      <c r="L2930" s="47" t="n"/>
      <c r="M2930" s="24">
        <f>IF(OR($A2930="",$C2930=""),"",IF($L2930&lt;&gt;"",$L2930-$C2930,TODAY()-$C2930))</f>
        <v/>
      </c>
      <c r="N2930" s="28">
        <f>IF(OR($A2930="",$K2930=""),"",IF($L2930="",IF(TODAY()&gt;$K2930,"Atrasado","En ruta"),IF($L2930&lt;=$K2930,"Sí","No")))</f>
        <v/>
      </c>
      <c r="O2930" s="24">
        <f>IF($A2930="","",COUNTIFS(NOVEDADES!$D$4:$D$1503,$A2930))</f>
        <v/>
      </c>
      <c r="P2930" s="28">
        <f>IF($A2930="","",IF(COUNTIFS(NOVEDADES!$D$4:$D$1503,$A2930,NOVEDADES!$O$4:$O$1503,"SÍ")&gt;0,"No","Sí"))</f>
        <v/>
      </c>
      <c r="Q2930" s="28">
        <f>IF(OR($A2930="",$L2930=""),"",IF(AND($N2930="Sí",$P2930="Sí"),"OTIF","Falló"))</f>
        <v/>
      </c>
    </row>
    <row r="2931" ht="16" customHeight="1">
      <c r="A2931" s="48" t="n"/>
      <c r="B2931" s="48" t="n"/>
      <c r="C2931" s="47" t="n"/>
      <c r="D2931" s="50" t="n"/>
      <c r="E2931" s="50" t="n"/>
      <c r="F2931" s="50" t="n"/>
      <c r="G2931" s="50" t="n"/>
      <c r="H2931" s="48" t="n"/>
      <c r="I2931" s="51" t="n"/>
      <c r="J2931" s="52" t="n"/>
      <c r="K2931" s="47" t="n"/>
      <c r="L2931" s="47" t="n"/>
      <c r="M2931" s="24">
        <f>IF(OR($A2931="",$C2931=""),"",IF($L2931&lt;&gt;"",$L2931-$C2931,TODAY()-$C2931))</f>
        <v/>
      </c>
      <c r="N2931" s="28">
        <f>IF(OR($A2931="",$K2931=""),"",IF($L2931="",IF(TODAY()&gt;$K2931,"Atrasado","En ruta"),IF($L2931&lt;=$K2931,"Sí","No")))</f>
        <v/>
      </c>
      <c r="O2931" s="24">
        <f>IF($A2931="","",COUNTIFS(NOVEDADES!$D$4:$D$1503,$A2931))</f>
        <v/>
      </c>
      <c r="P2931" s="28">
        <f>IF($A2931="","",IF(COUNTIFS(NOVEDADES!$D$4:$D$1503,$A2931,NOVEDADES!$O$4:$O$1503,"SÍ")&gt;0,"No","Sí"))</f>
        <v/>
      </c>
      <c r="Q2931" s="28">
        <f>IF(OR($A2931="",$L2931=""),"",IF(AND($N2931="Sí",$P2931="Sí"),"OTIF","Falló"))</f>
        <v/>
      </c>
    </row>
    <row r="2932" ht="16" customHeight="1">
      <c r="A2932" s="48" t="n"/>
      <c r="B2932" s="48" t="n"/>
      <c r="C2932" s="47" t="n"/>
      <c r="D2932" s="50" t="n"/>
      <c r="E2932" s="50" t="n"/>
      <c r="F2932" s="50" t="n"/>
      <c r="G2932" s="50" t="n"/>
      <c r="H2932" s="48" t="n"/>
      <c r="I2932" s="51" t="n"/>
      <c r="J2932" s="52" t="n"/>
      <c r="K2932" s="47" t="n"/>
      <c r="L2932" s="47" t="n"/>
      <c r="M2932" s="24">
        <f>IF(OR($A2932="",$C2932=""),"",IF($L2932&lt;&gt;"",$L2932-$C2932,TODAY()-$C2932))</f>
        <v/>
      </c>
      <c r="N2932" s="28">
        <f>IF(OR($A2932="",$K2932=""),"",IF($L2932="",IF(TODAY()&gt;$K2932,"Atrasado","En ruta"),IF($L2932&lt;=$K2932,"Sí","No")))</f>
        <v/>
      </c>
      <c r="O2932" s="24">
        <f>IF($A2932="","",COUNTIFS(NOVEDADES!$D$4:$D$1503,$A2932))</f>
        <v/>
      </c>
      <c r="P2932" s="28">
        <f>IF($A2932="","",IF(COUNTIFS(NOVEDADES!$D$4:$D$1503,$A2932,NOVEDADES!$O$4:$O$1503,"SÍ")&gt;0,"No","Sí"))</f>
        <v/>
      </c>
      <c r="Q2932" s="28">
        <f>IF(OR($A2932="",$L2932=""),"",IF(AND($N2932="Sí",$P2932="Sí"),"OTIF","Falló"))</f>
        <v/>
      </c>
    </row>
    <row r="2933" ht="16" customHeight="1">
      <c r="A2933" s="48" t="n"/>
      <c r="B2933" s="48" t="n"/>
      <c r="C2933" s="47" t="n"/>
      <c r="D2933" s="50" t="n"/>
      <c r="E2933" s="50" t="n"/>
      <c r="F2933" s="50" t="n"/>
      <c r="G2933" s="50" t="n"/>
      <c r="H2933" s="48" t="n"/>
      <c r="I2933" s="51" t="n"/>
      <c r="J2933" s="52" t="n"/>
      <c r="K2933" s="47" t="n"/>
      <c r="L2933" s="47" t="n"/>
      <c r="M2933" s="24">
        <f>IF(OR($A2933="",$C2933=""),"",IF($L2933&lt;&gt;"",$L2933-$C2933,TODAY()-$C2933))</f>
        <v/>
      </c>
      <c r="N2933" s="28">
        <f>IF(OR($A2933="",$K2933=""),"",IF($L2933="",IF(TODAY()&gt;$K2933,"Atrasado","En ruta"),IF($L2933&lt;=$K2933,"Sí","No")))</f>
        <v/>
      </c>
      <c r="O2933" s="24">
        <f>IF($A2933="","",COUNTIFS(NOVEDADES!$D$4:$D$1503,$A2933))</f>
        <v/>
      </c>
      <c r="P2933" s="28">
        <f>IF($A2933="","",IF(COUNTIFS(NOVEDADES!$D$4:$D$1503,$A2933,NOVEDADES!$O$4:$O$1503,"SÍ")&gt;0,"No","Sí"))</f>
        <v/>
      </c>
      <c r="Q2933" s="28">
        <f>IF(OR($A2933="",$L2933=""),"",IF(AND($N2933="Sí",$P2933="Sí"),"OTIF","Falló"))</f>
        <v/>
      </c>
    </row>
    <row r="2934" ht="16" customHeight="1">
      <c r="A2934" s="48" t="n"/>
      <c r="B2934" s="48" t="n"/>
      <c r="C2934" s="47" t="n"/>
      <c r="D2934" s="50" t="n"/>
      <c r="E2934" s="50" t="n"/>
      <c r="F2934" s="50" t="n"/>
      <c r="G2934" s="50" t="n"/>
      <c r="H2934" s="48" t="n"/>
      <c r="I2934" s="51" t="n"/>
      <c r="J2934" s="52" t="n"/>
      <c r="K2934" s="47" t="n"/>
      <c r="L2934" s="47" t="n"/>
      <c r="M2934" s="24">
        <f>IF(OR($A2934="",$C2934=""),"",IF($L2934&lt;&gt;"",$L2934-$C2934,TODAY()-$C2934))</f>
        <v/>
      </c>
      <c r="N2934" s="28">
        <f>IF(OR($A2934="",$K2934=""),"",IF($L2934="",IF(TODAY()&gt;$K2934,"Atrasado","En ruta"),IF($L2934&lt;=$K2934,"Sí","No")))</f>
        <v/>
      </c>
      <c r="O2934" s="24">
        <f>IF($A2934="","",COUNTIFS(NOVEDADES!$D$4:$D$1503,$A2934))</f>
        <v/>
      </c>
      <c r="P2934" s="28">
        <f>IF($A2934="","",IF(COUNTIFS(NOVEDADES!$D$4:$D$1503,$A2934,NOVEDADES!$O$4:$O$1503,"SÍ")&gt;0,"No","Sí"))</f>
        <v/>
      </c>
      <c r="Q2934" s="28">
        <f>IF(OR($A2934="",$L2934=""),"",IF(AND($N2934="Sí",$P2934="Sí"),"OTIF","Falló"))</f>
        <v/>
      </c>
    </row>
    <row r="2935" ht="16" customHeight="1">
      <c r="A2935" s="48" t="n"/>
      <c r="B2935" s="48" t="n"/>
      <c r="C2935" s="47" t="n"/>
      <c r="D2935" s="50" t="n"/>
      <c r="E2935" s="50" t="n"/>
      <c r="F2935" s="50" t="n"/>
      <c r="G2935" s="50" t="n"/>
      <c r="H2935" s="48" t="n"/>
      <c r="I2935" s="51" t="n"/>
      <c r="J2935" s="52" t="n"/>
      <c r="K2935" s="47" t="n"/>
      <c r="L2935" s="47" t="n"/>
      <c r="M2935" s="24">
        <f>IF(OR($A2935="",$C2935=""),"",IF($L2935&lt;&gt;"",$L2935-$C2935,TODAY()-$C2935))</f>
        <v/>
      </c>
      <c r="N2935" s="28">
        <f>IF(OR($A2935="",$K2935=""),"",IF($L2935="",IF(TODAY()&gt;$K2935,"Atrasado","En ruta"),IF($L2935&lt;=$K2935,"Sí","No")))</f>
        <v/>
      </c>
      <c r="O2935" s="24">
        <f>IF($A2935="","",COUNTIFS(NOVEDADES!$D$4:$D$1503,$A2935))</f>
        <v/>
      </c>
      <c r="P2935" s="28">
        <f>IF($A2935="","",IF(COUNTIFS(NOVEDADES!$D$4:$D$1503,$A2935,NOVEDADES!$O$4:$O$1503,"SÍ")&gt;0,"No","Sí"))</f>
        <v/>
      </c>
      <c r="Q2935" s="28">
        <f>IF(OR($A2935="",$L2935=""),"",IF(AND($N2935="Sí",$P2935="Sí"),"OTIF","Falló"))</f>
        <v/>
      </c>
    </row>
    <row r="2936" ht="16" customHeight="1">
      <c r="A2936" s="48" t="n"/>
      <c r="B2936" s="48" t="n"/>
      <c r="C2936" s="47" t="n"/>
      <c r="D2936" s="50" t="n"/>
      <c r="E2936" s="50" t="n"/>
      <c r="F2936" s="50" t="n"/>
      <c r="G2936" s="50" t="n"/>
      <c r="H2936" s="48" t="n"/>
      <c r="I2936" s="51" t="n"/>
      <c r="J2936" s="52" t="n"/>
      <c r="K2936" s="47" t="n"/>
      <c r="L2936" s="47" t="n"/>
      <c r="M2936" s="24">
        <f>IF(OR($A2936="",$C2936=""),"",IF($L2936&lt;&gt;"",$L2936-$C2936,TODAY()-$C2936))</f>
        <v/>
      </c>
      <c r="N2936" s="28">
        <f>IF(OR($A2936="",$K2936=""),"",IF($L2936="",IF(TODAY()&gt;$K2936,"Atrasado","En ruta"),IF($L2936&lt;=$K2936,"Sí","No")))</f>
        <v/>
      </c>
      <c r="O2936" s="24">
        <f>IF($A2936="","",COUNTIFS(NOVEDADES!$D$4:$D$1503,$A2936))</f>
        <v/>
      </c>
      <c r="P2936" s="28">
        <f>IF($A2936="","",IF(COUNTIFS(NOVEDADES!$D$4:$D$1503,$A2936,NOVEDADES!$O$4:$O$1503,"SÍ")&gt;0,"No","Sí"))</f>
        <v/>
      </c>
      <c r="Q2936" s="28">
        <f>IF(OR($A2936="",$L2936=""),"",IF(AND($N2936="Sí",$P2936="Sí"),"OTIF","Falló"))</f>
        <v/>
      </c>
    </row>
    <row r="2937" ht="16" customHeight="1">
      <c r="A2937" s="48" t="n"/>
      <c r="B2937" s="48" t="n"/>
      <c r="C2937" s="47" t="n"/>
      <c r="D2937" s="50" t="n"/>
      <c r="E2937" s="50" t="n"/>
      <c r="F2937" s="50" t="n"/>
      <c r="G2937" s="50" t="n"/>
      <c r="H2937" s="48" t="n"/>
      <c r="I2937" s="51" t="n"/>
      <c r="J2937" s="52" t="n"/>
      <c r="K2937" s="47" t="n"/>
      <c r="L2937" s="47" t="n"/>
      <c r="M2937" s="24">
        <f>IF(OR($A2937="",$C2937=""),"",IF($L2937&lt;&gt;"",$L2937-$C2937,TODAY()-$C2937))</f>
        <v/>
      </c>
      <c r="N2937" s="28">
        <f>IF(OR($A2937="",$K2937=""),"",IF($L2937="",IF(TODAY()&gt;$K2937,"Atrasado","En ruta"),IF($L2937&lt;=$K2937,"Sí","No")))</f>
        <v/>
      </c>
      <c r="O2937" s="24">
        <f>IF($A2937="","",COUNTIFS(NOVEDADES!$D$4:$D$1503,$A2937))</f>
        <v/>
      </c>
      <c r="P2937" s="28">
        <f>IF($A2937="","",IF(COUNTIFS(NOVEDADES!$D$4:$D$1503,$A2937,NOVEDADES!$O$4:$O$1503,"SÍ")&gt;0,"No","Sí"))</f>
        <v/>
      </c>
      <c r="Q2937" s="28">
        <f>IF(OR($A2937="",$L2937=""),"",IF(AND($N2937="Sí",$P2937="Sí"),"OTIF","Falló"))</f>
        <v/>
      </c>
    </row>
    <row r="2938" ht="16" customHeight="1">
      <c r="A2938" s="48" t="n"/>
      <c r="B2938" s="48" t="n"/>
      <c r="C2938" s="47" t="n"/>
      <c r="D2938" s="50" t="n"/>
      <c r="E2938" s="50" t="n"/>
      <c r="F2938" s="50" t="n"/>
      <c r="G2938" s="50" t="n"/>
      <c r="H2938" s="48" t="n"/>
      <c r="I2938" s="51" t="n"/>
      <c r="J2938" s="52" t="n"/>
      <c r="K2938" s="47" t="n"/>
      <c r="L2938" s="47" t="n"/>
      <c r="M2938" s="24">
        <f>IF(OR($A2938="",$C2938=""),"",IF($L2938&lt;&gt;"",$L2938-$C2938,TODAY()-$C2938))</f>
        <v/>
      </c>
      <c r="N2938" s="28">
        <f>IF(OR($A2938="",$K2938=""),"",IF($L2938="",IF(TODAY()&gt;$K2938,"Atrasado","En ruta"),IF($L2938&lt;=$K2938,"Sí","No")))</f>
        <v/>
      </c>
      <c r="O2938" s="24">
        <f>IF($A2938="","",COUNTIFS(NOVEDADES!$D$4:$D$1503,$A2938))</f>
        <v/>
      </c>
      <c r="P2938" s="28">
        <f>IF($A2938="","",IF(COUNTIFS(NOVEDADES!$D$4:$D$1503,$A2938,NOVEDADES!$O$4:$O$1503,"SÍ")&gt;0,"No","Sí"))</f>
        <v/>
      </c>
      <c r="Q2938" s="28">
        <f>IF(OR($A2938="",$L2938=""),"",IF(AND($N2938="Sí",$P2938="Sí"),"OTIF","Falló"))</f>
        <v/>
      </c>
    </row>
    <row r="2939" ht="16" customHeight="1">
      <c r="A2939" s="48" t="n"/>
      <c r="B2939" s="48" t="n"/>
      <c r="C2939" s="47" t="n"/>
      <c r="D2939" s="50" t="n"/>
      <c r="E2939" s="50" t="n"/>
      <c r="F2939" s="50" t="n"/>
      <c r="G2939" s="50" t="n"/>
      <c r="H2939" s="48" t="n"/>
      <c r="I2939" s="51" t="n"/>
      <c r="J2939" s="52" t="n"/>
      <c r="K2939" s="47" t="n"/>
      <c r="L2939" s="47" t="n"/>
      <c r="M2939" s="24">
        <f>IF(OR($A2939="",$C2939=""),"",IF($L2939&lt;&gt;"",$L2939-$C2939,TODAY()-$C2939))</f>
        <v/>
      </c>
      <c r="N2939" s="28">
        <f>IF(OR($A2939="",$K2939=""),"",IF($L2939="",IF(TODAY()&gt;$K2939,"Atrasado","En ruta"),IF($L2939&lt;=$K2939,"Sí","No")))</f>
        <v/>
      </c>
      <c r="O2939" s="24">
        <f>IF($A2939="","",COUNTIFS(NOVEDADES!$D$4:$D$1503,$A2939))</f>
        <v/>
      </c>
      <c r="P2939" s="28">
        <f>IF($A2939="","",IF(COUNTIFS(NOVEDADES!$D$4:$D$1503,$A2939,NOVEDADES!$O$4:$O$1503,"SÍ")&gt;0,"No","Sí"))</f>
        <v/>
      </c>
      <c r="Q2939" s="28">
        <f>IF(OR($A2939="",$L2939=""),"",IF(AND($N2939="Sí",$P2939="Sí"),"OTIF","Falló"))</f>
        <v/>
      </c>
    </row>
    <row r="2940" ht="16" customHeight="1">
      <c r="A2940" s="48" t="n"/>
      <c r="B2940" s="48" t="n"/>
      <c r="C2940" s="47" t="n"/>
      <c r="D2940" s="50" t="n"/>
      <c r="E2940" s="50" t="n"/>
      <c r="F2940" s="50" t="n"/>
      <c r="G2940" s="50" t="n"/>
      <c r="H2940" s="48" t="n"/>
      <c r="I2940" s="51" t="n"/>
      <c r="J2940" s="52" t="n"/>
      <c r="K2940" s="47" t="n"/>
      <c r="L2940" s="47" t="n"/>
      <c r="M2940" s="24">
        <f>IF(OR($A2940="",$C2940=""),"",IF($L2940&lt;&gt;"",$L2940-$C2940,TODAY()-$C2940))</f>
        <v/>
      </c>
      <c r="N2940" s="28">
        <f>IF(OR($A2940="",$K2940=""),"",IF($L2940="",IF(TODAY()&gt;$K2940,"Atrasado","En ruta"),IF($L2940&lt;=$K2940,"Sí","No")))</f>
        <v/>
      </c>
      <c r="O2940" s="24">
        <f>IF($A2940="","",COUNTIFS(NOVEDADES!$D$4:$D$1503,$A2940))</f>
        <v/>
      </c>
      <c r="P2940" s="28">
        <f>IF($A2940="","",IF(COUNTIFS(NOVEDADES!$D$4:$D$1503,$A2940,NOVEDADES!$O$4:$O$1503,"SÍ")&gt;0,"No","Sí"))</f>
        <v/>
      </c>
      <c r="Q2940" s="28">
        <f>IF(OR($A2940="",$L2940=""),"",IF(AND($N2940="Sí",$P2940="Sí"),"OTIF","Falló"))</f>
        <v/>
      </c>
    </row>
    <row r="2941" ht="16" customHeight="1">
      <c r="A2941" s="48" t="n"/>
      <c r="B2941" s="48" t="n"/>
      <c r="C2941" s="47" t="n"/>
      <c r="D2941" s="50" t="n"/>
      <c r="E2941" s="50" t="n"/>
      <c r="F2941" s="50" t="n"/>
      <c r="G2941" s="50" t="n"/>
      <c r="H2941" s="48" t="n"/>
      <c r="I2941" s="51" t="n"/>
      <c r="J2941" s="52" t="n"/>
      <c r="K2941" s="47" t="n"/>
      <c r="L2941" s="47" t="n"/>
      <c r="M2941" s="24">
        <f>IF(OR($A2941="",$C2941=""),"",IF($L2941&lt;&gt;"",$L2941-$C2941,TODAY()-$C2941))</f>
        <v/>
      </c>
      <c r="N2941" s="28">
        <f>IF(OR($A2941="",$K2941=""),"",IF($L2941="",IF(TODAY()&gt;$K2941,"Atrasado","En ruta"),IF($L2941&lt;=$K2941,"Sí","No")))</f>
        <v/>
      </c>
      <c r="O2941" s="24">
        <f>IF($A2941="","",COUNTIFS(NOVEDADES!$D$4:$D$1503,$A2941))</f>
        <v/>
      </c>
      <c r="P2941" s="28">
        <f>IF($A2941="","",IF(COUNTIFS(NOVEDADES!$D$4:$D$1503,$A2941,NOVEDADES!$O$4:$O$1503,"SÍ")&gt;0,"No","Sí"))</f>
        <v/>
      </c>
      <c r="Q2941" s="28">
        <f>IF(OR($A2941="",$L2941=""),"",IF(AND($N2941="Sí",$P2941="Sí"),"OTIF","Falló"))</f>
        <v/>
      </c>
    </row>
    <row r="2942" ht="16" customHeight="1">
      <c r="A2942" s="48" t="n"/>
      <c r="B2942" s="48" t="n"/>
      <c r="C2942" s="47" t="n"/>
      <c r="D2942" s="50" t="n"/>
      <c r="E2942" s="50" t="n"/>
      <c r="F2942" s="50" t="n"/>
      <c r="G2942" s="50" t="n"/>
      <c r="H2942" s="48" t="n"/>
      <c r="I2942" s="51" t="n"/>
      <c r="J2942" s="52" t="n"/>
      <c r="K2942" s="47" t="n"/>
      <c r="L2942" s="47" t="n"/>
      <c r="M2942" s="24">
        <f>IF(OR($A2942="",$C2942=""),"",IF($L2942&lt;&gt;"",$L2942-$C2942,TODAY()-$C2942))</f>
        <v/>
      </c>
      <c r="N2942" s="28">
        <f>IF(OR($A2942="",$K2942=""),"",IF($L2942="",IF(TODAY()&gt;$K2942,"Atrasado","En ruta"),IF($L2942&lt;=$K2942,"Sí","No")))</f>
        <v/>
      </c>
      <c r="O2942" s="24">
        <f>IF($A2942="","",COUNTIFS(NOVEDADES!$D$4:$D$1503,$A2942))</f>
        <v/>
      </c>
      <c r="P2942" s="28">
        <f>IF($A2942="","",IF(COUNTIFS(NOVEDADES!$D$4:$D$1503,$A2942,NOVEDADES!$O$4:$O$1503,"SÍ")&gt;0,"No","Sí"))</f>
        <v/>
      </c>
      <c r="Q2942" s="28">
        <f>IF(OR($A2942="",$L2942=""),"",IF(AND($N2942="Sí",$P2942="Sí"),"OTIF","Falló"))</f>
        <v/>
      </c>
    </row>
    <row r="2943" ht="16" customHeight="1">
      <c r="A2943" s="48" t="n"/>
      <c r="B2943" s="48" t="n"/>
      <c r="C2943" s="47" t="n"/>
      <c r="D2943" s="50" t="n"/>
      <c r="E2943" s="50" t="n"/>
      <c r="F2943" s="50" t="n"/>
      <c r="G2943" s="50" t="n"/>
      <c r="H2943" s="48" t="n"/>
      <c r="I2943" s="51" t="n"/>
      <c r="J2943" s="52" t="n"/>
      <c r="K2943" s="47" t="n"/>
      <c r="L2943" s="47" t="n"/>
      <c r="M2943" s="24">
        <f>IF(OR($A2943="",$C2943=""),"",IF($L2943&lt;&gt;"",$L2943-$C2943,TODAY()-$C2943))</f>
        <v/>
      </c>
      <c r="N2943" s="28">
        <f>IF(OR($A2943="",$K2943=""),"",IF($L2943="",IF(TODAY()&gt;$K2943,"Atrasado","En ruta"),IF($L2943&lt;=$K2943,"Sí","No")))</f>
        <v/>
      </c>
      <c r="O2943" s="24">
        <f>IF($A2943="","",COUNTIFS(NOVEDADES!$D$4:$D$1503,$A2943))</f>
        <v/>
      </c>
      <c r="P2943" s="28">
        <f>IF($A2943="","",IF(COUNTIFS(NOVEDADES!$D$4:$D$1503,$A2943,NOVEDADES!$O$4:$O$1503,"SÍ")&gt;0,"No","Sí"))</f>
        <v/>
      </c>
      <c r="Q2943" s="28">
        <f>IF(OR($A2943="",$L2943=""),"",IF(AND($N2943="Sí",$P2943="Sí"),"OTIF","Falló"))</f>
        <v/>
      </c>
    </row>
    <row r="2944" ht="16" customHeight="1">
      <c r="A2944" s="48" t="n"/>
      <c r="B2944" s="48" t="n"/>
      <c r="C2944" s="47" t="n"/>
      <c r="D2944" s="50" t="n"/>
      <c r="E2944" s="50" t="n"/>
      <c r="F2944" s="50" t="n"/>
      <c r="G2944" s="50" t="n"/>
      <c r="H2944" s="48" t="n"/>
      <c r="I2944" s="51" t="n"/>
      <c r="J2944" s="52" t="n"/>
      <c r="K2944" s="47" t="n"/>
      <c r="L2944" s="47" t="n"/>
      <c r="M2944" s="24">
        <f>IF(OR($A2944="",$C2944=""),"",IF($L2944&lt;&gt;"",$L2944-$C2944,TODAY()-$C2944))</f>
        <v/>
      </c>
      <c r="N2944" s="28">
        <f>IF(OR($A2944="",$K2944=""),"",IF($L2944="",IF(TODAY()&gt;$K2944,"Atrasado","En ruta"),IF($L2944&lt;=$K2944,"Sí","No")))</f>
        <v/>
      </c>
      <c r="O2944" s="24">
        <f>IF($A2944="","",COUNTIFS(NOVEDADES!$D$4:$D$1503,$A2944))</f>
        <v/>
      </c>
      <c r="P2944" s="28">
        <f>IF($A2944="","",IF(COUNTIFS(NOVEDADES!$D$4:$D$1503,$A2944,NOVEDADES!$O$4:$O$1503,"SÍ")&gt;0,"No","Sí"))</f>
        <v/>
      </c>
      <c r="Q2944" s="28">
        <f>IF(OR($A2944="",$L2944=""),"",IF(AND($N2944="Sí",$P2944="Sí"),"OTIF","Falló"))</f>
        <v/>
      </c>
    </row>
    <row r="2945" ht="16" customHeight="1">
      <c r="A2945" s="48" t="n"/>
      <c r="B2945" s="48" t="n"/>
      <c r="C2945" s="47" t="n"/>
      <c r="D2945" s="50" t="n"/>
      <c r="E2945" s="50" t="n"/>
      <c r="F2945" s="50" t="n"/>
      <c r="G2945" s="50" t="n"/>
      <c r="H2945" s="48" t="n"/>
      <c r="I2945" s="51" t="n"/>
      <c r="J2945" s="52" t="n"/>
      <c r="K2945" s="47" t="n"/>
      <c r="L2945" s="47" t="n"/>
      <c r="M2945" s="24">
        <f>IF(OR($A2945="",$C2945=""),"",IF($L2945&lt;&gt;"",$L2945-$C2945,TODAY()-$C2945))</f>
        <v/>
      </c>
      <c r="N2945" s="28">
        <f>IF(OR($A2945="",$K2945=""),"",IF($L2945="",IF(TODAY()&gt;$K2945,"Atrasado","En ruta"),IF($L2945&lt;=$K2945,"Sí","No")))</f>
        <v/>
      </c>
      <c r="O2945" s="24">
        <f>IF($A2945="","",COUNTIFS(NOVEDADES!$D$4:$D$1503,$A2945))</f>
        <v/>
      </c>
      <c r="P2945" s="28">
        <f>IF($A2945="","",IF(COUNTIFS(NOVEDADES!$D$4:$D$1503,$A2945,NOVEDADES!$O$4:$O$1503,"SÍ")&gt;0,"No","Sí"))</f>
        <v/>
      </c>
      <c r="Q2945" s="28">
        <f>IF(OR($A2945="",$L2945=""),"",IF(AND($N2945="Sí",$P2945="Sí"),"OTIF","Falló"))</f>
        <v/>
      </c>
    </row>
    <row r="2946" ht="16" customHeight="1">
      <c r="A2946" s="48" t="n"/>
      <c r="B2946" s="48" t="n"/>
      <c r="C2946" s="47" t="n"/>
      <c r="D2946" s="50" t="n"/>
      <c r="E2946" s="50" t="n"/>
      <c r="F2946" s="50" t="n"/>
      <c r="G2946" s="50" t="n"/>
      <c r="H2946" s="48" t="n"/>
      <c r="I2946" s="51" t="n"/>
      <c r="J2946" s="52" t="n"/>
      <c r="K2946" s="47" t="n"/>
      <c r="L2946" s="47" t="n"/>
      <c r="M2946" s="24">
        <f>IF(OR($A2946="",$C2946=""),"",IF($L2946&lt;&gt;"",$L2946-$C2946,TODAY()-$C2946))</f>
        <v/>
      </c>
      <c r="N2946" s="28">
        <f>IF(OR($A2946="",$K2946=""),"",IF($L2946="",IF(TODAY()&gt;$K2946,"Atrasado","En ruta"),IF($L2946&lt;=$K2946,"Sí","No")))</f>
        <v/>
      </c>
      <c r="O2946" s="24">
        <f>IF($A2946="","",COUNTIFS(NOVEDADES!$D$4:$D$1503,$A2946))</f>
        <v/>
      </c>
      <c r="P2946" s="28">
        <f>IF($A2946="","",IF(COUNTIFS(NOVEDADES!$D$4:$D$1503,$A2946,NOVEDADES!$O$4:$O$1503,"SÍ")&gt;0,"No","Sí"))</f>
        <v/>
      </c>
      <c r="Q2946" s="28">
        <f>IF(OR($A2946="",$L2946=""),"",IF(AND($N2946="Sí",$P2946="Sí"),"OTIF","Falló"))</f>
        <v/>
      </c>
    </row>
    <row r="2947" ht="16" customHeight="1">
      <c r="A2947" s="48" t="n"/>
      <c r="B2947" s="48" t="n"/>
      <c r="C2947" s="47" t="n"/>
      <c r="D2947" s="50" t="n"/>
      <c r="E2947" s="50" t="n"/>
      <c r="F2947" s="50" t="n"/>
      <c r="G2947" s="50" t="n"/>
      <c r="H2947" s="48" t="n"/>
      <c r="I2947" s="51" t="n"/>
      <c r="J2947" s="52" t="n"/>
      <c r="K2947" s="47" t="n"/>
      <c r="L2947" s="47" t="n"/>
      <c r="M2947" s="24">
        <f>IF(OR($A2947="",$C2947=""),"",IF($L2947&lt;&gt;"",$L2947-$C2947,TODAY()-$C2947))</f>
        <v/>
      </c>
      <c r="N2947" s="28">
        <f>IF(OR($A2947="",$K2947=""),"",IF($L2947="",IF(TODAY()&gt;$K2947,"Atrasado","En ruta"),IF($L2947&lt;=$K2947,"Sí","No")))</f>
        <v/>
      </c>
      <c r="O2947" s="24">
        <f>IF($A2947="","",COUNTIFS(NOVEDADES!$D$4:$D$1503,$A2947))</f>
        <v/>
      </c>
      <c r="P2947" s="28">
        <f>IF($A2947="","",IF(COUNTIFS(NOVEDADES!$D$4:$D$1503,$A2947,NOVEDADES!$O$4:$O$1503,"SÍ")&gt;0,"No","Sí"))</f>
        <v/>
      </c>
      <c r="Q2947" s="28">
        <f>IF(OR($A2947="",$L2947=""),"",IF(AND($N2947="Sí",$P2947="Sí"),"OTIF","Falló"))</f>
        <v/>
      </c>
    </row>
    <row r="2948" ht="16" customHeight="1">
      <c r="A2948" s="48" t="n"/>
      <c r="B2948" s="48" t="n"/>
      <c r="C2948" s="47" t="n"/>
      <c r="D2948" s="50" t="n"/>
      <c r="E2948" s="50" t="n"/>
      <c r="F2948" s="50" t="n"/>
      <c r="G2948" s="50" t="n"/>
      <c r="H2948" s="48" t="n"/>
      <c r="I2948" s="51" t="n"/>
      <c r="J2948" s="52" t="n"/>
      <c r="K2948" s="47" t="n"/>
      <c r="L2948" s="47" t="n"/>
      <c r="M2948" s="24">
        <f>IF(OR($A2948="",$C2948=""),"",IF($L2948&lt;&gt;"",$L2948-$C2948,TODAY()-$C2948))</f>
        <v/>
      </c>
      <c r="N2948" s="28">
        <f>IF(OR($A2948="",$K2948=""),"",IF($L2948="",IF(TODAY()&gt;$K2948,"Atrasado","En ruta"),IF($L2948&lt;=$K2948,"Sí","No")))</f>
        <v/>
      </c>
      <c r="O2948" s="24">
        <f>IF($A2948="","",COUNTIFS(NOVEDADES!$D$4:$D$1503,$A2948))</f>
        <v/>
      </c>
      <c r="P2948" s="28">
        <f>IF($A2948="","",IF(COUNTIFS(NOVEDADES!$D$4:$D$1503,$A2948,NOVEDADES!$O$4:$O$1503,"SÍ")&gt;0,"No","Sí"))</f>
        <v/>
      </c>
      <c r="Q2948" s="28">
        <f>IF(OR($A2948="",$L2948=""),"",IF(AND($N2948="Sí",$P2948="Sí"),"OTIF","Falló"))</f>
        <v/>
      </c>
    </row>
    <row r="2949" ht="16" customHeight="1">
      <c r="A2949" s="48" t="n"/>
      <c r="B2949" s="48" t="n"/>
      <c r="C2949" s="47" t="n"/>
      <c r="D2949" s="50" t="n"/>
      <c r="E2949" s="50" t="n"/>
      <c r="F2949" s="50" t="n"/>
      <c r="G2949" s="50" t="n"/>
      <c r="H2949" s="48" t="n"/>
      <c r="I2949" s="51" t="n"/>
      <c r="J2949" s="52" t="n"/>
      <c r="K2949" s="47" t="n"/>
      <c r="L2949" s="47" t="n"/>
      <c r="M2949" s="24">
        <f>IF(OR($A2949="",$C2949=""),"",IF($L2949&lt;&gt;"",$L2949-$C2949,TODAY()-$C2949))</f>
        <v/>
      </c>
      <c r="N2949" s="28">
        <f>IF(OR($A2949="",$K2949=""),"",IF($L2949="",IF(TODAY()&gt;$K2949,"Atrasado","En ruta"),IF($L2949&lt;=$K2949,"Sí","No")))</f>
        <v/>
      </c>
      <c r="O2949" s="24">
        <f>IF($A2949="","",COUNTIFS(NOVEDADES!$D$4:$D$1503,$A2949))</f>
        <v/>
      </c>
      <c r="P2949" s="28">
        <f>IF($A2949="","",IF(COUNTIFS(NOVEDADES!$D$4:$D$1503,$A2949,NOVEDADES!$O$4:$O$1503,"SÍ")&gt;0,"No","Sí"))</f>
        <v/>
      </c>
      <c r="Q2949" s="28">
        <f>IF(OR($A2949="",$L2949=""),"",IF(AND($N2949="Sí",$P2949="Sí"),"OTIF","Falló"))</f>
        <v/>
      </c>
    </row>
    <row r="2950" ht="16" customHeight="1">
      <c r="A2950" s="48" t="n"/>
      <c r="B2950" s="48" t="n"/>
      <c r="C2950" s="47" t="n"/>
      <c r="D2950" s="50" t="n"/>
      <c r="E2950" s="50" t="n"/>
      <c r="F2950" s="50" t="n"/>
      <c r="G2950" s="50" t="n"/>
      <c r="H2950" s="48" t="n"/>
      <c r="I2950" s="51" t="n"/>
      <c r="J2950" s="52" t="n"/>
      <c r="K2950" s="47" t="n"/>
      <c r="L2950" s="47" t="n"/>
      <c r="M2950" s="24">
        <f>IF(OR($A2950="",$C2950=""),"",IF($L2950&lt;&gt;"",$L2950-$C2950,TODAY()-$C2950))</f>
        <v/>
      </c>
      <c r="N2950" s="28">
        <f>IF(OR($A2950="",$K2950=""),"",IF($L2950="",IF(TODAY()&gt;$K2950,"Atrasado","En ruta"),IF($L2950&lt;=$K2950,"Sí","No")))</f>
        <v/>
      </c>
      <c r="O2950" s="24">
        <f>IF($A2950="","",COUNTIFS(NOVEDADES!$D$4:$D$1503,$A2950))</f>
        <v/>
      </c>
      <c r="P2950" s="28">
        <f>IF($A2950="","",IF(COUNTIFS(NOVEDADES!$D$4:$D$1503,$A2950,NOVEDADES!$O$4:$O$1503,"SÍ")&gt;0,"No","Sí"))</f>
        <v/>
      </c>
      <c r="Q2950" s="28">
        <f>IF(OR($A2950="",$L2950=""),"",IF(AND($N2950="Sí",$P2950="Sí"),"OTIF","Falló"))</f>
        <v/>
      </c>
    </row>
    <row r="2951" ht="16" customHeight="1">
      <c r="A2951" s="48" t="n"/>
      <c r="B2951" s="48" t="n"/>
      <c r="C2951" s="47" t="n"/>
      <c r="D2951" s="50" t="n"/>
      <c r="E2951" s="50" t="n"/>
      <c r="F2951" s="50" t="n"/>
      <c r="G2951" s="50" t="n"/>
      <c r="H2951" s="48" t="n"/>
      <c r="I2951" s="51" t="n"/>
      <c r="J2951" s="52" t="n"/>
      <c r="K2951" s="47" t="n"/>
      <c r="L2951" s="47" t="n"/>
      <c r="M2951" s="24">
        <f>IF(OR($A2951="",$C2951=""),"",IF($L2951&lt;&gt;"",$L2951-$C2951,TODAY()-$C2951))</f>
        <v/>
      </c>
      <c r="N2951" s="28">
        <f>IF(OR($A2951="",$K2951=""),"",IF($L2951="",IF(TODAY()&gt;$K2951,"Atrasado","En ruta"),IF($L2951&lt;=$K2951,"Sí","No")))</f>
        <v/>
      </c>
      <c r="O2951" s="24">
        <f>IF($A2951="","",COUNTIFS(NOVEDADES!$D$4:$D$1503,$A2951))</f>
        <v/>
      </c>
      <c r="P2951" s="28">
        <f>IF($A2951="","",IF(COUNTIFS(NOVEDADES!$D$4:$D$1503,$A2951,NOVEDADES!$O$4:$O$1503,"SÍ")&gt;0,"No","Sí"))</f>
        <v/>
      </c>
      <c r="Q2951" s="28">
        <f>IF(OR($A2951="",$L2951=""),"",IF(AND($N2951="Sí",$P2951="Sí"),"OTIF","Falló"))</f>
        <v/>
      </c>
    </row>
    <row r="2952" ht="16" customHeight="1">
      <c r="A2952" s="48" t="n"/>
      <c r="B2952" s="48" t="n"/>
      <c r="C2952" s="47" t="n"/>
      <c r="D2952" s="50" t="n"/>
      <c r="E2952" s="50" t="n"/>
      <c r="F2952" s="50" t="n"/>
      <c r="G2952" s="50" t="n"/>
      <c r="H2952" s="48" t="n"/>
      <c r="I2952" s="51" t="n"/>
      <c r="J2952" s="52" t="n"/>
      <c r="K2952" s="47" t="n"/>
      <c r="L2952" s="47" t="n"/>
      <c r="M2952" s="24">
        <f>IF(OR($A2952="",$C2952=""),"",IF($L2952&lt;&gt;"",$L2952-$C2952,TODAY()-$C2952))</f>
        <v/>
      </c>
      <c r="N2952" s="28">
        <f>IF(OR($A2952="",$K2952=""),"",IF($L2952="",IF(TODAY()&gt;$K2952,"Atrasado","En ruta"),IF($L2952&lt;=$K2952,"Sí","No")))</f>
        <v/>
      </c>
      <c r="O2952" s="24">
        <f>IF($A2952="","",COUNTIFS(NOVEDADES!$D$4:$D$1503,$A2952))</f>
        <v/>
      </c>
      <c r="P2952" s="28">
        <f>IF($A2952="","",IF(COUNTIFS(NOVEDADES!$D$4:$D$1503,$A2952,NOVEDADES!$O$4:$O$1503,"SÍ")&gt;0,"No","Sí"))</f>
        <v/>
      </c>
      <c r="Q2952" s="28">
        <f>IF(OR($A2952="",$L2952=""),"",IF(AND($N2952="Sí",$P2952="Sí"),"OTIF","Falló"))</f>
        <v/>
      </c>
    </row>
    <row r="2953" ht="16" customHeight="1">
      <c r="A2953" s="48" t="n"/>
      <c r="B2953" s="48" t="n"/>
      <c r="C2953" s="47" t="n"/>
      <c r="D2953" s="50" t="n"/>
      <c r="E2953" s="50" t="n"/>
      <c r="F2953" s="50" t="n"/>
      <c r="G2953" s="50" t="n"/>
      <c r="H2953" s="48" t="n"/>
      <c r="I2953" s="51" t="n"/>
      <c r="J2953" s="52" t="n"/>
      <c r="K2953" s="47" t="n"/>
      <c r="L2953" s="47" t="n"/>
      <c r="M2953" s="24">
        <f>IF(OR($A2953="",$C2953=""),"",IF($L2953&lt;&gt;"",$L2953-$C2953,TODAY()-$C2953))</f>
        <v/>
      </c>
      <c r="N2953" s="28">
        <f>IF(OR($A2953="",$K2953=""),"",IF($L2953="",IF(TODAY()&gt;$K2953,"Atrasado","En ruta"),IF($L2953&lt;=$K2953,"Sí","No")))</f>
        <v/>
      </c>
      <c r="O2953" s="24">
        <f>IF($A2953="","",COUNTIFS(NOVEDADES!$D$4:$D$1503,$A2953))</f>
        <v/>
      </c>
      <c r="P2953" s="28">
        <f>IF($A2953="","",IF(COUNTIFS(NOVEDADES!$D$4:$D$1503,$A2953,NOVEDADES!$O$4:$O$1503,"SÍ")&gt;0,"No","Sí"))</f>
        <v/>
      </c>
      <c r="Q2953" s="28">
        <f>IF(OR($A2953="",$L2953=""),"",IF(AND($N2953="Sí",$P2953="Sí"),"OTIF","Falló"))</f>
        <v/>
      </c>
    </row>
    <row r="2954" ht="16" customHeight="1">
      <c r="A2954" s="48" t="n"/>
      <c r="B2954" s="48" t="n"/>
      <c r="C2954" s="47" t="n"/>
      <c r="D2954" s="50" t="n"/>
      <c r="E2954" s="50" t="n"/>
      <c r="F2954" s="50" t="n"/>
      <c r="G2954" s="50" t="n"/>
      <c r="H2954" s="48" t="n"/>
      <c r="I2954" s="51" t="n"/>
      <c r="J2954" s="52" t="n"/>
      <c r="K2954" s="47" t="n"/>
      <c r="L2954" s="47" t="n"/>
      <c r="M2954" s="24">
        <f>IF(OR($A2954="",$C2954=""),"",IF($L2954&lt;&gt;"",$L2954-$C2954,TODAY()-$C2954))</f>
        <v/>
      </c>
      <c r="N2954" s="28">
        <f>IF(OR($A2954="",$K2954=""),"",IF($L2954="",IF(TODAY()&gt;$K2954,"Atrasado","En ruta"),IF($L2954&lt;=$K2954,"Sí","No")))</f>
        <v/>
      </c>
      <c r="O2954" s="24">
        <f>IF($A2954="","",COUNTIFS(NOVEDADES!$D$4:$D$1503,$A2954))</f>
        <v/>
      </c>
      <c r="P2954" s="28">
        <f>IF($A2954="","",IF(COUNTIFS(NOVEDADES!$D$4:$D$1503,$A2954,NOVEDADES!$O$4:$O$1503,"SÍ")&gt;0,"No","Sí"))</f>
        <v/>
      </c>
      <c r="Q2954" s="28">
        <f>IF(OR($A2954="",$L2954=""),"",IF(AND($N2954="Sí",$P2954="Sí"),"OTIF","Falló"))</f>
        <v/>
      </c>
    </row>
    <row r="2955" ht="16" customHeight="1">
      <c r="A2955" s="48" t="n"/>
      <c r="B2955" s="48" t="n"/>
      <c r="C2955" s="47" t="n"/>
      <c r="D2955" s="50" t="n"/>
      <c r="E2955" s="50" t="n"/>
      <c r="F2955" s="50" t="n"/>
      <c r="G2955" s="50" t="n"/>
      <c r="H2955" s="48" t="n"/>
      <c r="I2955" s="51" t="n"/>
      <c r="J2955" s="52" t="n"/>
      <c r="K2955" s="47" t="n"/>
      <c r="L2955" s="47" t="n"/>
      <c r="M2955" s="24">
        <f>IF(OR($A2955="",$C2955=""),"",IF($L2955&lt;&gt;"",$L2955-$C2955,TODAY()-$C2955))</f>
        <v/>
      </c>
      <c r="N2955" s="28">
        <f>IF(OR($A2955="",$K2955=""),"",IF($L2955="",IF(TODAY()&gt;$K2955,"Atrasado","En ruta"),IF($L2955&lt;=$K2955,"Sí","No")))</f>
        <v/>
      </c>
      <c r="O2955" s="24">
        <f>IF($A2955="","",COUNTIFS(NOVEDADES!$D$4:$D$1503,$A2955))</f>
        <v/>
      </c>
      <c r="P2955" s="28">
        <f>IF($A2955="","",IF(COUNTIFS(NOVEDADES!$D$4:$D$1503,$A2955,NOVEDADES!$O$4:$O$1503,"SÍ")&gt;0,"No","Sí"))</f>
        <v/>
      </c>
      <c r="Q2955" s="28">
        <f>IF(OR($A2955="",$L2955=""),"",IF(AND($N2955="Sí",$P2955="Sí"),"OTIF","Falló"))</f>
        <v/>
      </c>
    </row>
    <row r="2956" ht="16" customHeight="1">
      <c r="A2956" s="48" t="n"/>
      <c r="B2956" s="48" t="n"/>
      <c r="C2956" s="47" t="n"/>
      <c r="D2956" s="50" t="n"/>
      <c r="E2956" s="50" t="n"/>
      <c r="F2956" s="50" t="n"/>
      <c r="G2956" s="50" t="n"/>
      <c r="H2956" s="48" t="n"/>
      <c r="I2956" s="51" t="n"/>
      <c r="J2956" s="52" t="n"/>
      <c r="K2956" s="47" t="n"/>
      <c r="L2956" s="47" t="n"/>
      <c r="M2956" s="24">
        <f>IF(OR($A2956="",$C2956=""),"",IF($L2956&lt;&gt;"",$L2956-$C2956,TODAY()-$C2956))</f>
        <v/>
      </c>
      <c r="N2956" s="28">
        <f>IF(OR($A2956="",$K2956=""),"",IF($L2956="",IF(TODAY()&gt;$K2956,"Atrasado","En ruta"),IF($L2956&lt;=$K2956,"Sí","No")))</f>
        <v/>
      </c>
      <c r="O2956" s="24">
        <f>IF($A2956="","",COUNTIFS(NOVEDADES!$D$4:$D$1503,$A2956))</f>
        <v/>
      </c>
      <c r="P2956" s="28">
        <f>IF($A2956="","",IF(COUNTIFS(NOVEDADES!$D$4:$D$1503,$A2956,NOVEDADES!$O$4:$O$1503,"SÍ")&gt;0,"No","Sí"))</f>
        <v/>
      </c>
      <c r="Q2956" s="28">
        <f>IF(OR($A2956="",$L2956=""),"",IF(AND($N2956="Sí",$P2956="Sí"),"OTIF","Falló"))</f>
        <v/>
      </c>
    </row>
    <row r="2957" ht="16" customHeight="1">
      <c r="A2957" s="48" t="n"/>
      <c r="B2957" s="48" t="n"/>
      <c r="C2957" s="47" t="n"/>
      <c r="D2957" s="50" t="n"/>
      <c r="E2957" s="50" t="n"/>
      <c r="F2957" s="50" t="n"/>
      <c r="G2957" s="50" t="n"/>
      <c r="H2957" s="48" t="n"/>
      <c r="I2957" s="51" t="n"/>
      <c r="J2957" s="52" t="n"/>
      <c r="K2957" s="47" t="n"/>
      <c r="L2957" s="47" t="n"/>
      <c r="M2957" s="24">
        <f>IF(OR($A2957="",$C2957=""),"",IF($L2957&lt;&gt;"",$L2957-$C2957,TODAY()-$C2957))</f>
        <v/>
      </c>
      <c r="N2957" s="28">
        <f>IF(OR($A2957="",$K2957=""),"",IF($L2957="",IF(TODAY()&gt;$K2957,"Atrasado","En ruta"),IF($L2957&lt;=$K2957,"Sí","No")))</f>
        <v/>
      </c>
      <c r="O2957" s="24">
        <f>IF($A2957="","",COUNTIFS(NOVEDADES!$D$4:$D$1503,$A2957))</f>
        <v/>
      </c>
      <c r="P2957" s="28">
        <f>IF($A2957="","",IF(COUNTIFS(NOVEDADES!$D$4:$D$1503,$A2957,NOVEDADES!$O$4:$O$1503,"SÍ")&gt;0,"No","Sí"))</f>
        <v/>
      </c>
      <c r="Q2957" s="28">
        <f>IF(OR($A2957="",$L2957=""),"",IF(AND($N2957="Sí",$P2957="Sí"),"OTIF","Falló"))</f>
        <v/>
      </c>
    </row>
    <row r="2958" ht="16" customHeight="1">
      <c r="A2958" s="48" t="n"/>
      <c r="B2958" s="48" t="n"/>
      <c r="C2958" s="47" t="n"/>
      <c r="D2958" s="50" t="n"/>
      <c r="E2958" s="50" t="n"/>
      <c r="F2958" s="50" t="n"/>
      <c r="G2958" s="50" t="n"/>
      <c r="H2958" s="48" t="n"/>
      <c r="I2958" s="51" t="n"/>
      <c r="J2958" s="52" t="n"/>
      <c r="K2958" s="47" t="n"/>
      <c r="L2958" s="47" t="n"/>
      <c r="M2958" s="24">
        <f>IF(OR($A2958="",$C2958=""),"",IF($L2958&lt;&gt;"",$L2958-$C2958,TODAY()-$C2958))</f>
        <v/>
      </c>
      <c r="N2958" s="28">
        <f>IF(OR($A2958="",$K2958=""),"",IF($L2958="",IF(TODAY()&gt;$K2958,"Atrasado","En ruta"),IF($L2958&lt;=$K2958,"Sí","No")))</f>
        <v/>
      </c>
      <c r="O2958" s="24">
        <f>IF($A2958="","",COUNTIFS(NOVEDADES!$D$4:$D$1503,$A2958))</f>
        <v/>
      </c>
      <c r="P2958" s="28">
        <f>IF($A2958="","",IF(COUNTIFS(NOVEDADES!$D$4:$D$1503,$A2958,NOVEDADES!$O$4:$O$1503,"SÍ")&gt;0,"No","Sí"))</f>
        <v/>
      </c>
      <c r="Q2958" s="28">
        <f>IF(OR($A2958="",$L2958=""),"",IF(AND($N2958="Sí",$P2958="Sí"),"OTIF","Falló"))</f>
        <v/>
      </c>
    </row>
    <row r="2959" ht="16" customHeight="1">
      <c r="A2959" s="48" t="n"/>
      <c r="B2959" s="48" t="n"/>
      <c r="C2959" s="47" t="n"/>
      <c r="D2959" s="50" t="n"/>
      <c r="E2959" s="50" t="n"/>
      <c r="F2959" s="50" t="n"/>
      <c r="G2959" s="50" t="n"/>
      <c r="H2959" s="48" t="n"/>
      <c r="I2959" s="51" t="n"/>
      <c r="J2959" s="52" t="n"/>
      <c r="K2959" s="47" t="n"/>
      <c r="L2959" s="47" t="n"/>
      <c r="M2959" s="24">
        <f>IF(OR($A2959="",$C2959=""),"",IF($L2959&lt;&gt;"",$L2959-$C2959,TODAY()-$C2959))</f>
        <v/>
      </c>
      <c r="N2959" s="28">
        <f>IF(OR($A2959="",$K2959=""),"",IF($L2959="",IF(TODAY()&gt;$K2959,"Atrasado","En ruta"),IF($L2959&lt;=$K2959,"Sí","No")))</f>
        <v/>
      </c>
      <c r="O2959" s="24">
        <f>IF($A2959="","",COUNTIFS(NOVEDADES!$D$4:$D$1503,$A2959))</f>
        <v/>
      </c>
      <c r="P2959" s="28">
        <f>IF($A2959="","",IF(COUNTIFS(NOVEDADES!$D$4:$D$1503,$A2959,NOVEDADES!$O$4:$O$1503,"SÍ")&gt;0,"No","Sí"))</f>
        <v/>
      </c>
      <c r="Q2959" s="28">
        <f>IF(OR($A2959="",$L2959=""),"",IF(AND($N2959="Sí",$P2959="Sí"),"OTIF","Falló"))</f>
        <v/>
      </c>
    </row>
    <row r="2960" ht="16" customHeight="1">
      <c r="A2960" s="48" t="n"/>
      <c r="B2960" s="48" t="n"/>
      <c r="C2960" s="47" t="n"/>
      <c r="D2960" s="50" t="n"/>
      <c r="E2960" s="50" t="n"/>
      <c r="F2960" s="50" t="n"/>
      <c r="G2960" s="50" t="n"/>
      <c r="H2960" s="48" t="n"/>
      <c r="I2960" s="51" t="n"/>
      <c r="J2960" s="52" t="n"/>
      <c r="K2960" s="47" t="n"/>
      <c r="L2960" s="47" t="n"/>
      <c r="M2960" s="24">
        <f>IF(OR($A2960="",$C2960=""),"",IF($L2960&lt;&gt;"",$L2960-$C2960,TODAY()-$C2960))</f>
        <v/>
      </c>
      <c r="N2960" s="28">
        <f>IF(OR($A2960="",$K2960=""),"",IF($L2960="",IF(TODAY()&gt;$K2960,"Atrasado","En ruta"),IF($L2960&lt;=$K2960,"Sí","No")))</f>
        <v/>
      </c>
      <c r="O2960" s="24">
        <f>IF($A2960="","",COUNTIFS(NOVEDADES!$D$4:$D$1503,$A2960))</f>
        <v/>
      </c>
      <c r="P2960" s="28">
        <f>IF($A2960="","",IF(COUNTIFS(NOVEDADES!$D$4:$D$1503,$A2960,NOVEDADES!$O$4:$O$1503,"SÍ")&gt;0,"No","Sí"))</f>
        <v/>
      </c>
      <c r="Q2960" s="28">
        <f>IF(OR($A2960="",$L2960=""),"",IF(AND($N2960="Sí",$P2960="Sí"),"OTIF","Falló"))</f>
        <v/>
      </c>
    </row>
    <row r="2961" ht="16" customHeight="1">
      <c r="A2961" s="48" t="n"/>
      <c r="B2961" s="48" t="n"/>
      <c r="C2961" s="47" t="n"/>
      <c r="D2961" s="50" t="n"/>
      <c r="E2961" s="50" t="n"/>
      <c r="F2961" s="50" t="n"/>
      <c r="G2961" s="50" t="n"/>
      <c r="H2961" s="48" t="n"/>
      <c r="I2961" s="51" t="n"/>
      <c r="J2961" s="52" t="n"/>
      <c r="K2961" s="47" t="n"/>
      <c r="L2961" s="47" t="n"/>
      <c r="M2961" s="24">
        <f>IF(OR($A2961="",$C2961=""),"",IF($L2961&lt;&gt;"",$L2961-$C2961,TODAY()-$C2961))</f>
        <v/>
      </c>
      <c r="N2961" s="28">
        <f>IF(OR($A2961="",$K2961=""),"",IF($L2961="",IF(TODAY()&gt;$K2961,"Atrasado","En ruta"),IF($L2961&lt;=$K2961,"Sí","No")))</f>
        <v/>
      </c>
      <c r="O2961" s="24">
        <f>IF($A2961="","",COUNTIFS(NOVEDADES!$D$4:$D$1503,$A2961))</f>
        <v/>
      </c>
      <c r="P2961" s="28">
        <f>IF($A2961="","",IF(COUNTIFS(NOVEDADES!$D$4:$D$1503,$A2961,NOVEDADES!$O$4:$O$1503,"SÍ")&gt;0,"No","Sí"))</f>
        <v/>
      </c>
      <c r="Q2961" s="28">
        <f>IF(OR($A2961="",$L2961=""),"",IF(AND($N2961="Sí",$P2961="Sí"),"OTIF","Falló"))</f>
        <v/>
      </c>
    </row>
    <row r="2962" ht="16" customHeight="1">
      <c r="A2962" s="48" t="n"/>
      <c r="B2962" s="48" t="n"/>
      <c r="C2962" s="47" t="n"/>
      <c r="D2962" s="50" t="n"/>
      <c r="E2962" s="50" t="n"/>
      <c r="F2962" s="50" t="n"/>
      <c r="G2962" s="50" t="n"/>
      <c r="H2962" s="48" t="n"/>
      <c r="I2962" s="51" t="n"/>
      <c r="J2962" s="52" t="n"/>
      <c r="K2962" s="47" t="n"/>
      <c r="L2962" s="47" t="n"/>
      <c r="M2962" s="24">
        <f>IF(OR($A2962="",$C2962=""),"",IF($L2962&lt;&gt;"",$L2962-$C2962,TODAY()-$C2962))</f>
        <v/>
      </c>
      <c r="N2962" s="28">
        <f>IF(OR($A2962="",$K2962=""),"",IF($L2962="",IF(TODAY()&gt;$K2962,"Atrasado","En ruta"),IF($L2962&lt;=$K2962,"Sí","No")))</f>
        <v/>
      </c>
      <c r="O2962" s="24">
        <f>IF($A2962="","",COUNTIFS(NOVEDADES!$D$4:$D$1503,$A2962))</f>
        <v/>
      </c>
      <c r="P2962" s="28">
        <f>IF($A2962="","",IF(COUNTIFS(NOVEDADES!$D$4:$D$1503,$A2962,NOVEDADES!$O$4:$O$1503,"SÍ")&gt;0,"No","Sí"))</f>
        <v/>
      </c>
      <c r="Q2962" s="28">
        <f>IF(OR($A2962="",$L2962=""),"",IF(AND($N2962="Sí",$P2962="Sí"),"OTIF","Falló"))</f>
        <v/>
      </c>
    </row>
    <row r="2963" ht="16" customHeight="1">
      <c r="A2963" s="48" t="n"/>
      <c r="B2963" s="48" t="n"/>
      <c r="C2963" s="47" t="n"/>
      <c r="D2963" s="50" t="n"/>
      <c r="E2963" s="50" t="n"/>
      <c r="F2963" s="50" t="n"/>
      <c r="G2963" s="50" t="n"/>
      <c r="H2963" s="48" t="n"/>
      <c r="I2963" s="51" t="n"/>
      <c r="J2963" s="52" t="n"/>
      <c r="K2963" s="47" t="n"/>
      <c r="L2963" s="47" t="n"/>
      <c r="M2963" s="24">
        <f>IF(OR($A2963="",$C2963=""),"",IF($L2963&lt;&gt;"",$L2963-$C2963,TODAY()-$C2963))</f>
        <v/>
      </c>
      <c r="N2963" s="28">
        <f>IF(OR($A2963="",$K2963=""),"",IF($L2963="",IF(TODAY()&gt;$K2963,"Atrasado","En ruta"),IF($L2963&lt;=$K2963,"Sí","No")))</f>
        <v/>
      </c>
      <c r="O2963" s="24">
        <f>IF($A2963="","",COUNTIFS(NOVEDADES!$D$4:$D$1503,$A2963))</f>
        <v/>
      </c>
      <c r="P2963" s="28">
        <f>IF($A2963="","",IF(COUNTIFS(NOVEDADES!$D$4:$D$1503,$A2963,NOVEDADES!$O$4:$O$1503,"SÍ")&gt;0,"No","Sí"))</f>
        <v/>
      </c>
      <c r="Q2963" s="28">
        <f>IF(OR($A2963="",$L2963=""),"",IF(AND($N2963="Sí",$P2963="Sí"),"OTIF","Falló"))</f>
        <v/>
      </c>
    </row>
    <row r="2964" ht="16" customHeight="1">
      <c r="A2964" s="48" t="n"/>
      <c r="B2964" s="48" t="n"/>
      <c r="C2964" s="47" t="n"/>
      <c r="D2964" s="50" t="n"/>
      <c r="E2964" s="50" t="n"/>
      <c r="F2964" s="50" t="n"/>
      <c r="G2964" s="50" t="n"/>
      <c r="H2964" s="48" t="n"/>
      <c r="I2964" s="51" t="n"/>
      <c r="J2964" s="52" t="n"/>
      <c r="K2964" s="47" t="n"/>
      <c r="L2964" s="47" t="n"/>
      <c r="M2964" s="24">
        <f>IF(OR($A2964="",$C2964=""),"",IF($L2964&lt;&gt;"",$L2964-$C2964,TODAY()-$C2964))</f>
        <v/>
      </c>
      <c r="N2964" s="28">
        <f>IF(OR($A2964="",$K2964=""),"",IF($L2964="",IF(TODAY()&gt;$K2964,"Atrasado","En ruta"),IF($L2964&lt;=$K2964,"Sí","No")))</f>
        <v/>
      </c>
      <c r="O2964" s="24">
        <f>IF($A2964="","",COUNTIFS(NOVEDADES!$D$4:$D$1503,$A2964))</f>
        <v/>
      </c>
      <c r="P2964" s="28">
        <f>IF($A2964="","",IF(COUNTIFS(NOVEDADES!$D$4:$D$1503,$A2964,NOVEDADES!$O$4:$O$1503,"SÍ")&gt;0,"No","Sí"))</f>
        <v/>
      </c>
      <c r="Q2964" s="28">
        <f>IF(OR($A2964="",$L2964=""),"",IF(AND($N2964="Sí",$P2964="Sí"),"OTIF","Falló"))</f>
        <v/>
      </c>
    </row>
    <row r="2965" ht="16" customHeight="1">
      <c r="A2965" s="48" t="n"/>
      <c r="B2965" s="48" t="n"/>
      <c r="C2965" s="47" t="n"/>
      <c r="D2965" s="50" t="n"/>
      <c r="E2965" s="50" t="n"/>
      <c r="F2965" s="50" t="n"/>
      <c r="G2965" s="50" t="n"/>
      <c r="H2965" s="48" t="n"/>
      <c r="I2965" s="51" t="n"/>
      <c r="J2965" s="52" t="n"/>
      <c r="K2965" s="47" t="n"/>
      <c r="L2965" s="47" t="n"/>
      <c r="M2965" s="24">
        <f>IF(OR($A2965="",$C2965=""),"",IF($L2965&lt;&gt;"",$L2965-$C2965,TODAY()-$C2965))</f>
        <v/>
      </c>
      <c r="N2965" s="28">
        <f>IF(OR($A2965="",$K2965=""),"",IF($L2965="",IF(TODAY()&gt;$K2965,"Atrasado","En ruta"),IF($L2965&lt;=$K2965,"Sí","No")))</f>
        <v/>
      </c>
      <c r="O2965" s="24">
        <f>IF($A2965="","",COUNTIFS(NOVEDADES!$D$4:$D$1503,$A2965))</f>
        <v/>
      </c>
      <c r="P2965" s="28">
        <f>IF($A2965="","",IF(COUNTIFS(NOVEDADES!$D$4:$D$1503,$A2965,NOVEDADES!$O$4:$O$1503,"SÍ")&gt;0,"No","Sí"))</f>
        <v/>
      </c>
      <c r="Q2965" s="28">
        <f>IF(OR($A2965="",$L2965=""),"",IF(AND($N2965="Sí",$P2965="Sí"),"OTIF","Falló"))</f>
        <v/>
      </c>
    </row>
    <row r="2966" ht="16" customHeight="1">
      <c r="A2966" s="48" t="n"/>
      <c r="B2966" s="48" t="n"/>
      <c r="C2966" s="47" t="n"/>
      <c r="D2966" s="50" t="n"/>
      <c r="E2966" s="50" t="n"/>
      <c r="F2966" s="50" t="n"/>
      <c r="G2966" s="50" t="n"/>
      <c r="H2966" s="48" t="n"/>
      <c r="I2966" s="51" t="n"/>
      <c r="J2966" s="52" t="n"/>
      <c r="K2966" s="47" t="n"/>
      <c r="L2966" s="47" t="n"/>
      <c r="M2966" s="24">
        <f>IF(OR($A2966="",$C2966=""),"",IF($L2966&lt;&gt;"",$L2966-$C2966,TODAY()-$C2966))</f>
        <v/>
      </c>
      <c r="N2966" s="28">
        <f>IF(OR($A2966="",$K2966=""),"",IF($L2966="",IF(TODAY()&gt;$K2966,"Atrasado","En ruta"),IF($L2966&lt;=$K2966,"Sí","No")))</f>
        <v/>
      </c>
      <c r="O2966" s="24">
        <f>IF($A2966="","",COUNTIFS(NOVEDADES!$D$4:$D$1503,$A2966))</f>
        <v/>
      </c>
      <c r="P2966" s="28">
        <f>IF($A2966="","",IF(COUNTIFS(NOVEDADES!$D$4:$D$1503,$A2966,NOVEDADES!$O$4:$O$1503,"SÍ")&gt;0,"No","Sí"))</f>
        <v/>
      </c>
      <c r="Q2966" s="28">
        <f>IF(OR($A2966="",$L2966=""),"",IF(AND($N2966="Sí",$P2966="Sí"),"OTIF","Falló"))</f>
        <v/>
      </c>
    </row>
    <row r="2967" ht="16" customHeight="1">
      <c r="A2967" s="48" t="n"/>
      <c r="B2967" s="48" t="n"/>
      <c r="C2967" s="47" t="n"/>
      <c r="D2967" s="50" t="n"/>
      <c r="E2967" s="50" t="n"/>
      <c r="F2967" s="50" t="n"/>
      <c r="G2967" s="50" t="n"/>
      <c r="H2967" s="48" t="n"/>
      <c r="I2967" s="51" t="n"/>
      <c r="J2967" s="52" t="n"/>
      <c r="K2967" s="47" t="n"/>
      <c r="L2967" s="47" t="n"/>
      <c r="M2967" s="24">
        <f>IF(OR($A2967="",$C2967=""),"",IF($L2967&lt;&gt;"",$L2967-$C2967,TODAY()-$C2967))</f>
        <v/>
      </c>
      <c r="N2967" s="28">
        <f>IF(OR($A2967="",$K2967=""),"",IF($L2967="",IF(TODAY()&gt;$K2967,"Atrasado","En ruta"),IF($L2967&lt;=$K2967,"Sí","No")))</f>
        <v/>
      </c>
      <c r="O2967" s="24">
        <f>IF($A2967="","",COUNTIFS(NOVEDADES!$D$4:$D$1503,$A2967))</f>
        <v/>
      </c>
      <c r="P2967" s="28">
        <f>IF($A2967="","",IF(COUNTIFS(NOVEDADES!$D$4:$D$1503,$A2967,NOVEDADES!$O$4:$O$1503,"SÍ")&gt;0,"No","Sí"))</f>
        <v/>
      </c>
      <c r="Q2967" s="28">
        <f>IF(OR($A2967="",$L2967=""),"",IF(AND($N2967="Sí",$P2967="Sí"),"OTIF","Falló"))</f>
        <v/>
      </c>
    </row>
    <row r="2968" ht="16" customHeight="1">
      <c r="A2968" s="48" t="n"/>
      <c r="B2968" s="48" t="n"/>
      <c r="C2968" s="47" t="n"/>
      <c r="D2968" s="50" t="n"/>
      <c r="E2968" s="50" t="n"/>
      <c r="F2968" s="50" t="n"/>
      <c r="G2968" s="50" t="n"/>
      <c r="H2968" s="48" t="n"/>
      <c r="I2968" s="51" t="n"/>
      <c r="J2968" s="52" t="n"/>
      <c r="K2968" s="47" t="n"/>
      <c r="L2968" s="47" t="n"/>
      <c r="M2968" s="24">
        <f>IF(OR($A2968="",$C2968=""),"",IF($L2968&lt;&gt;"",$L2968-$C2968,TODAY()-$C2968))</f>
        <v/>
      </c>
      <c r="N2968" s="28">
        <f>IF(OR($A2968="",$K2968=""),"",IF($L2968="",IF(TODAY()&gt;$K2968,"Atrasado","En ruta"),IF($L2968&lt;=$K2968,"Sí","No")))</f>
        <v/>
      </c>
      <c r="O2968" s="24">
        <f>IF($A2968="","",COUNTIFS(NOVEDADES!$D$4:$D$1503,$A2968))</f>
        <v/>
      </c>
      <c r="P2968" s="28">
        <f>IF($A2968="","",IF(COUNTIFS(NOVEDADES!$D$4:$D$1503,$A2968,NOVEDADES!$O$4:$O$1503,"SÍ")&gt;0,"No","Sí"))</f>
        <v/>
      </c>
      <c r="Q2968" s="28">
        <f>IF(OR($A2968="",$L2968=""),"",IF(AND($N2968="Sí",$P2968="Sí"),"OTIF","Falló"))</f>
        <v/>
      </c>
    </row>
    <row r="2969" ht="16" customHeight="1">
      <c r="A2969" s="48" t="n"/>
      <c r="B2969" s="48" t="n"/>
      <c r="C2969" s="47" t="n"/>
      <c r="D2969" s="50" t="n"/>
      <c r="E2969" s="50" t="n"/>
      <c r="F2969" s="50" t="n"/>
      <c r="G2969" s="50" t="n"/>
      <c r="H2969" s="48" t="n"/>
      <c r="I2969" s="51" t="n"/>
      <c r="J2969" s="52" t="n"/>
      <c r="K2969" s="47" t="n"/>
      <c r="L2969" s="47" t="n"/>
      <c r="M2969" s="24">
        <f>IF(OR($A2969="",$C2969=""),"",IF($L2969&lt;&gt;"",$L2969-$C2969,TODAY()-$C2969))</f>
        <v/>
      </c>
      <c r="N2969" s="28">
        <f>IF(OR($A2969="",$K2969=""),"",IF($L2969="",IF(TODAY()&gt;$K2969,"Atrasado","En ruta"),IF($L2969&lt;=$K2969,"Sí","No")))</f>
        <v/>
      </c>
      <c r="O2969" s="24">
        <f>IF($A2969="","",COUNTIFS(NOVEDADES!$D$4:$D$1503,$A2969))</f>
        <v/>
      </c>
      <c r="P2969" s="28">
        <f>IF($A2969="","",IF(COUNTIFS(NOVEDADES!$D$4:$D$1503,$A2969,NOVEDADES!$O$4:$O$1503,"SÍ")&gt;0,"No","Sí"))</f>
        <v/>
      </c>
      <c r="Q2969" s="28">
        <f>IF(OR($A2969="",$L2969=""),"",IF(AND($N2969="Sí",$P2969="Sí"),"OTIF","Falló"))</f>
        <v/>
      </c>
    </row>
    <row r="2970" ht="16" customHeight="1">
      <c r="A2970" s="48" t="n"/>
      <c r="B2970" s="48" t="n"/>
      <c r="C2970" s="47" t="n"/>
      <c r="D2970" s="50" t="n"/>
      <c r="E2970" s="50" t="n"/>
      <c r="F2970" s="50" t="n"/>
      <c r="G2970" s="50" t="n"/>
      <c r="H2970" s="48" t="n"/>
      <c r="I2970" s="51" t="n"/>
      <c r="J2970" s="52" t="n"/>
      <c r="K2970" s="47" t="n"/>
      <c r="L2970" s="47" t="n"/>
      <c r="M2970" s="24">
        <f>IF(OR($A2970="",$C2970=""),"",IF($L2970&lt;&gt;"",$L2970-$C2970,TODAY()-$C2970))</f>
        <v/>
      </c>
      <c r="N2970" s="28">
        <f>IF(OR($A2970="",$K2970=""),"",IF($L2970="",IF(TODAY()&gt;$K2970,"Atrasado","En ruta"),IF($L2970&lt;=$K2970,"Sí","No")))</f>
        <v/>
      </c>
      <c r="O2970" s="24">
        <f>IF($A2970="","",COUNTIFS(NOVEDADES!$D$4:$D$1503,$A2970))</f>
        <v/>
      </c>
      <c r="P2970" s="28">
        <f>IF($A2970="","",IF(COUNTIFS(NOVEDADES!$D$4:$D$1503,$A2970,NOVEDADES!$O$4:$O$1503,"SÍ")&gt;0,"No","Sí"))</f>
        <v/>
      </c>
      <c r="Q2970" s="28">
        <f>IF(OR($A2970="",$L2970=""),"",IF(AND($N2970="Sí",$P2970="Sí"),"OTIF","Falló"))</f>
        <v/>
      </c>
    </row>
    <row r="2971" ht="16" customHeight="1">
      <c r="A2971" s="48" t="n"/>
      <c r="B2971" s="48" t="n"/>
      <c r="C2971" s="47" t="n"/>
      <c r="D2971" s="50" t="n"/>
      <c r="E2971" s="50" t="n"/>
      <c r="F2971" s="50" t="n"/>
      <c r="G2971" s="50" t="n"/>
      <c r="H2971" s="48" t="n"/>
      <c r="I2971" s="51" t="n"/>
      <c r="J2971" s="52" t="n"/>
      <c r="K2971" s="47" t="n"/>
      <c r="L2971" s="47" t="n"/>
      <c r="M2971" s="24">
        <f>IF(OR($A2971="",$C2971=""),"",IF($L2971&lt;&gt;"",$L2971-$C2971,TODAY()-$C2971))</f>
        <v/>
      </c>
      <c r="N2971" s="28">
        <f>IF(OR($A2971="",$K2971=""),"",IF($L2971="",IF(TODAY()&gt;$K2971,"Atrasado","En ruta"),IF($L2971&lt;=$K2971,"Sí","No")))</f>
        <v/>
      </c>
      <c r="O2971" s="24">
        <f>IF($A2971="","",COUNTIFS(NOVEDADES!$D$4:$D$1503,$A2971))</f>
        <v/>
      </c>
      <c r="P2971" s="28">
        <f>IF($A2971="","",IF(COUNTIFS(NOVEDADES!$D$4:$D$1503,$A2971,NOVEDADES!$O$4:$O$1503,"SÍ")&gt;0,"No","Sí"))</f>
        <v/>
      </c>
      <c r="Q2971" s="28">
        <f>IF(OR($A2971="",$L2971=""),"",IF(AND($N2971="Sí",$P2971="Sí"),"OTIF","Falló"))</f>
        <v/>
      </c>
    </row>
    <row r="2972" ht="16" customHeight="1">
      <c r="A2972" s="48" t="n"/>
      <c r="B2972" s="48" t="n"/>
      <c r="C2972" s="47" t="n"/>
      <c r="D2972" s="50" t="n"/>
      <c r="E2972" s="50" t="n"/>
      <c r="F2972" s="50" t="n"/>
      <c r="G2972" s="50" t="n"/>
      <c r="H2972" s="48" t="n"/>
      <c r="I2972" s="51" t="n"/>
      <c r="J2972" s="52" t="n"/>
      <c r="K2972" s="47" t="n"/>
      <c r="L2972" s="47" t="n"/>
      <c r="M2972" s="24">
        <f>IF(OR($A2972="",$C2972=""),"",IF($L2972&lt;&gt;"",$L2972-$C2972,TODAY()-$C2972))</f>
        <v/>
      </c>
      <c r="N2972" s="28">
        <f>IF(OR($A2972="",$K2972=""),"",IF($L2972="",IF(TODAY()&gt;$K2972,"Atrasado","En ruta"),IF($L2972&lt;=$K2972,"Sí","No")))</f>
        <v/>
      </c>
      <c r="O2972" s="24">
        <f>IF($A2972="","",COUNTIFS(NOVEDADES!$D$4:$D$1503,$A2972))</f>
        <v/>
      </c>
      <c r="P2972" s="28">
        <f>IF($A2972="","",IF(COUNTIFS(NOVEDADES!$D$4:$D$1503,$A2972,NOVEDADES!$O$4:$O$1503,"SÍ")&gt;0,"No","Sí"))</f>
        <v/>
      </c>
      <c r="Q2972" s="28">
        <f>IF(OR($A2972="",$L2972=""),"",IF(AND($N2972="Sí",$P2972="Sí"),"OTIF","Falló"))</f>
        <v/>
      </c>
    </row>
    <row r="2973" ht="16" customHeight="1">
      <c r="A2973" s="48" t="n"/>
      <c r="B2973" s="48" t="n"/>
      <c r="C2973" s="47" t="n"/>
      <c r="D2973" s="50" t="n"/>
      <c r="E2973" s="50" t="n"/>
      <c r="F2973" s="50" t="n"/>
      <c r="G2973" s="50" t="n"/>
      <c r="H2973" s="48" t="n"/>
      <c r="I2973" s="51" t="n"/>
      <c r="J2973" s="52" t="n"/>
      <c r="K2973" s="47" t="n"/>
      <c r="L2973" s="47" t="n"/>
      <c r="M2973" s="24">
        <f>IF(OR($A2973="",$C2973=""),"",IF($L2973&lt;&gt;"",$L2973-$C2973,TODAY()-$C2973))</f>
        <v/>
      </c>
      <c r="N2973" s="28">
        <f>IF(OR($A2973="",$K2973=""),"",IF($L2973="",IF(TODAY()&gt;$K2973,"Atrasado","En ruta"),IF($L2973&lt;=$K2973,"Sí","No")))</f>
        <v/>
      </c>
      <c r="O2973" s="24">
        <f>IF($A2973="","",COUNTIFS(NOVEDADES!$D$4:$D$1503,$A2973))</f>
        <v/>
      </c>
      <c r="P2973" s="28">
        <f>IF($A2973="","",IF(COUNTIFS(NOVEDADES!$D$4:$D$1503,$A2973,NOVEDADES!$O$4:$O$1503,"SÍ")&gt;0,"No","Sí"))</f>
        <v/>
      </c>
      <c r="Q2973" s="28">
        <f>IF(OR($A2973="",$L2973=""),"",IF(AND($N2973="Sí",$P2973="Sí"),"OTIF","Falló"))</f>
        <v/>
      </c>
    </row>
    <row r="2974" ht="16" customHeight="1">
      <c r="A2974" s="48" t="n"/>
      <c r="B2974" s="48" t="n"/>
      <c r="C2974" s="47" t="n"/>
      <c r="D2974" s="50" t="n"/>
      <c r="E2974" s="50" t="n"/>
      <c r="F2974" s="50" t="n"/>
      <c r="G2974" s="50" t="n"/>
      <c r="H2974" s="48" t="n"/>
      <c r="I2974" s="51" t="n"/>
      <c r="J2974" s="52" t="n"/>
      <c r="K2974" s="47" t="n"/>
      <c r="L2974" s="47" t="n"/>
      <c r="M2974" s="24">
        <f>IF(OR($A2974="",$C2974=""),"",IF($L2974&lt;&gt;"",$L2974-$C2974,TODAY()-$C2974))</f>
        <v/>
      </c>
      <c r="N2974" s="28">
        <f>IF(OR($A2974="",$K2974=""),"",IF($L2974="",IF(TODAY()&gt;$K2974,"Atrasado","En ruta"),IF($L2974&lt;=$K2974,"Sí","No")))</f>
        <v/>
      </c>
      <c r="O2974" s="24">
        <f>IF($A2974="","",COUNTIFS(NOVEDADES!$D$4:$D$1503,$A2974))</f>
        <v/>
      </c>
      <c r="P2974" s="28">
        <f>IF($A2974="","",IF(COUNTIFS(NOVEDADES!$D$4:$D$1503,$A2974,NOVEDADES!$O$4:$O$1503,"SÍ")&gt;0,"No","Sí"))</f>
        <v/>
      </c>
      <c r="Q2974" s="28">
        <f>IF(OR($A2974="",$L2974=""),"",IF(AND($N2974="Sí",$P2974="Sí"),"OTIF","Falló"))</f>
        <v/>
      </c>
    </row>
    <row r="2975" ht="16" customHeight="1">
      <c r="A2975" s="48" t="n"/>
      <c r="B2975" s="48" t="n"/>
      <c r="C2975" s="47" t="n"/>
      <c r="D2975" s="50" t="n"/>
      <c r="E2975" s="50" t="n"/>
      <c r="F2975" s="50" t="n"/>
      <c r="G2975" s="50" t="n"/>
      <c r="H2975" s="48" t="n"/>
      <c r="I2975" s="51" t="n"/>
      <c r="J2975" s="52" t="n"/>
      <c r="K2975" s="47" t="n"/>
      <c r="L2975" s="47" t="n"/>
      <c r="M2975" s="24">
        <f>IF(OR($A2975="",$C2975=""),"",IF($L2975&lt;&gt;"",$L2975-$C2975,TODAY()-$C2975))</f>
        <v/>
      </c>
      <c r="N2975" s="28">
        <f>IF(OR($A2975="",$K2975=""),"",IF($L2975="",IF(TODAY()&gt;$K2975,"Atrasado","En ruta"),IF($L2975&lt;=$K2975,"Sí","No")))</f>
        <v/>
      </c>
      <c r="O2975" s="24">
        <f>IF($A2975="","",COUNTIFS(NOVEDADES!$D$4:$D$1503,$A2975))</f>
        <v/>
      </c>
      <c r="P2975" s="28">
        <f>IF($A2975="","",IF(COUNTIFS(NOVEDADES!$D$4:$D$1503,$A2975,NOVEDADES!$O$4:$O$1503,"SÍ")&gt;0,"No","Sí"))</f>
        <v/>
      </c>
      <c r="Q2975" s="28">
        <f>IF(OR($A2975="",$L2975=""),"",IF(AND($N2975="Sí",$P2975="Sí"),"OTIF","Falló"))</f>
        <v/>
      </c>
    </row>
    <row r="2976" ht="16" customHeight="1">
      <c r="A2976" s="48" t="n"/>
      <c r="B2976" s="48" t="n"/>
      <c r="C2976" s="47" t="n"/>
      <c r="D2976" s="50" t="n"/>
      <c r="E2976" s="50" t="n"/>
      <c r="F2976" s="50" t="n"/>
      <c r="G2976" s="50" t="n"/>
      <c r="H2976" s="48" t="n"/>
      <c r="I2976" s="51" t="n"/>
      <c r="J2976" s="52" t="n"/>
      <c r="K2976" s="47" t="n"/>
      <c r="L2976" s="47" t="n"/>
      <c r="M2976" s="24">
        <f>IF(OR($A2976="",$C2976=""),"",IF($L2976&lt;&gt;"",$L2976-$C2976,TODAY()-$C2976))</f>
        <v/>
      </c>
      <c r="N2976" s="28">
        <f>IF(OR($A2976="",$K2976=""),"",IF($L2976="",IF(TODAY()&gt;$K2976,"Atrasado","En ruta"),IF($L2976&lt;=$K2976,"Sí","No")))</f>
        <v/>
      </c>
      <c r="O2976" s="24">
        <f>IF($A2976="","",COUNTIFS(NOVEDADES!$D$4:$D$1503,$A2976))</f>
        <v/>
      </c>
      <c r="P2976" s="28">
        <f>IF($A2976="","",IF(COUNTIFS(NOVEDADES!$D$4:$D$1503,$A2976,NOVEDADES!$O$4:$O$1503,"SÍ")&gt;0,"No","Sí"))</f>
        <v/>
      </c>
      <c r="Q2976" s="28">
        <f>IF(OR($A2976="",$L2976=""),"",IF(AND($N2976="Sí",$P2976="Sí"),"OTIF","Falló"))</f>
        <v/>
      </c>
    </row>
    <row r="2977" ht="16" customHeight="1">
      <c r="A2977" s="48" t="n"/>
      <c r="B2977" s="48" t="n"/>
      <c r="C2977" s="47" t="n"/>
      <c r="D2977" s="50" t="n"/>
      <c r="E2977" s="50" t="n"/>
      <c r="F2977" s="50" t="n"/>
      <c r="G2977" s="50" t="n"/>
      <c r="H2977" s="48" t="n"/>
      <c r="I2977" s="51" t="n"/>
      <c r="J2977" s="52" t="n"/>
      <c r="K2977" s="47" t="n"/>
      <c r="L2977" s="47" t="n"/>
      <c r="M2977" s="24">
        <f>IF(OR($A2977="",$C2977=""),"",IF($L2977&lt;&gt;"",$L2977-$C2977,TODAY()-$C2977))</f>
        <v/>
      </c>
      <c r="N2977" s="28">
        <f>IF(OR($A2977="",$K2977=""),"",IF($L2977="",IF(TODAY()&gt;$K2977,"Atrasado","En ruta"),IF($L2977&lt;=$K2977,"Sí","No")))</f>
        <v/>
      </c>
      <c r="O2977" s="24">
        <f>IF($A2977="","",COUNTIFS(NOVEDADES!$D$4:$D$1503,$A2977))</f>
        <v/>
      </c>
      <c r="P2977" s="28">
        <f>IF($A2977="","",IF(COUNTIFS(NOVEDADES!$D$4:$D$1503,$A2977,NOVEDADES!$O$4:$O$1503,"SÍ")&gt;0,"No","Sí"))</f>
        <v/>
      </c>
      <c r="Q2977" s="28">
        <f>IF(OR($A2977="",$L2977=""),"",IF(AND($N2977="Sí",$P2977="Sí"),"OTIF","Falló"))</f>
        <v/>
      </c>
    </row>
    <row r="2978" ht="16" customHeight="1">
      <c r="A2978" s="48" t="n"/>
      <c r="B2978" s="48" t="n"/>
      <c r="C2978" s="47" t="n"/>
      <c r="D2978" s="50" t="n"/>
      <c r="E2978" s="50" t="n"/>
      <c r="F2978" s="50" t="n"/>
      <c r="G2978" s="50" t="n"/>
      <c r="H2978" s="48" t="n"/>
      <c r="I2978" s="51" t="n"/>
      <c r="J2978" s="52" t="n"/>
      <c r="K2978" s="47" t="n"/>
      <c r="L2978" s="47" t="n"/>
      <c r="M2978" s="24">
        <f>IF(OR($A2978="",$C2978=""),"",IF($L2978&lt;&gt;"",$L2978-$C2978,TODAY()-$C2978))</f>
        <v/>
      </c>
      <c r="N2978" s="28">
        <f>IF(OR($A2978="",$K2978=""),"",IF($L2978="",IF(TODAY()&gt;$K2978,"Atrasado","En ruta"),IF($L2978&lt;=$K2978,"Sí","No")))</f>
        <v/>
      </c>
      <c r="O2978" s="24">
        <f>IF($A2978="","",COUNTIFS(NOVEDADES!$D$4:$D$1503,$A2978))</f>
        <v/>
      </c>
      <c r="P2978" s="28">
        <f>IF($A2978="","",IF(COUNTIFS(NOVEDADES!$D$4:$D$1503,$A2978,NOVEDADES!$O$4:$O$1503,"SÍ")&gt;0,"No","Sí"))</f>
        <v/>
      </c>
      <c r="Q2978" s="28">
        <f>IF(OR($A2978="",$L2978=""),"",IF(AND($N2978="Sí",$P2978="Sí"),"OTIF","Falló"))</f>
        <v/>
      </c>
    </row>
    <row r="2979" ht="16" customHeight="1">
      <c r="A2979" s="48" t="n"/>
      <c r="B2979" s="48" t="n"/>
      <c r="C2979" s="47" t="n"/>
      <c r="D2979" s="50" t="n"/>
      <c r="E2979" s="50" t="n"/>
      <c r="F2979" s="50" t="n"/>
      <c r="G2979" s="50" t="n"/>
      <c r="H2979" s="48" t="n"/>
      <c r="I2979" s="51" t="n"/>
      <c r="J2979" s="52" t="n"/>
      <c r="K2979" s="47" t="n"/>
      <c r="L2979" s="47" t="n"/>
      <c r="M2979" s="24">
        <f>IF(OR($A2979="",$C2979=""),"",IF($L2979&lt;&gt;"",$L2979-$C2979,TODAY()-$C2979))</f>
        <v/>
      </c>
      <c r="N2979" s="28">
        <f>IF(OR($A2979="",$K2979=""),"",IF($L2979="",IF(TODAY()&gt;$K2979,"Atrasado","En ruta"),IF($L2979&lt;=$K2979,"Sí","No")))</f>
        <v/>
      </c>
      <c r="O2979" s="24">
        <f>IF($A2979="","",COUNTIFS(NOVEDADES!$D$4:$D$1503,$A2979))</f>
        <v/>
      </c>
      <c r="P2979" s="28">
        <f>IF($A2979="","",IF(COUNTIFS(NOVEDADES!$D$4:$D$1503,$A2979,NOVEDADES!$O$4:$O$1503,"SÍ")&gt;0,"No","Sí"))</f>
        <v/>
      </c>
      <c r="Q2979" s="28">
        <f>IF(OR($A2979="",$L2979=""),"",IF(AND($N2979="Sí",$P2979="Sí"),"OTIF","Falló"))</f>
        <v/>
      </c>
    </row>
    <row r="2980" ht="16" customHeight="1">
      <c r="A2980" s="48" t="n"/>
      <c r="B2980" s="48" t="n"/>
      <c r="C2980" s="47" t="n"/>
      <c r="D2980" s="50" t="n"/>
      <c r="E2980" s="50" t="n"/>
      <c r="F2980" s="50" t="n"/>
      <c r="G2980" s="50" t="n"/>
      <c r="H2980" s="48" t="n"/>
      <c r="I2980" s="51" t="n"/>
      <c r="J2980" s="52" t="n"/>
      <c r="K2980" s="47" t="n"/>
      <c r="L2980" s="47" t="n"/>
      <c r="M2980" s="24">
        <f>IF(OR($A2980="",$C2980=""),"",IF($L2980&lt;&gt;"",$L2980-$C2980,TODAY()-$C2980))</f>
        <v/>
      </c>
      <c r="N2980" s="28">
        <f>IF(OR($A2980="",$K2980=""),"",IF($L2980="",IF(TODAY()&gt;$K2980,"Atrasado","En ruta"),IF($L2980&lt;=$K2980,"Sí","No")))</f>
        <v/>
      </c>
      <c r="O2980" s="24">
        <f>IF($A2980="","",COUNTIFS(NOVEDADES!$D$4:$D$1503,$A2980))</f>
        <v/>
      </c>
      <c r="P2980" s="28">
        <f>IF($A2980="","",IF(COUNTIFS(NOVEDADES!$D$4:$D$1503,$A2980,NOVEDADES!$O$4:$O$1503,"SÍ")&gt;0,"No","Sí"))</f>
        <v/>
      </c>
      <c r="Q2980" s="28">
        <f>IF(OR($A2980="",$L2980=""),"",IF(AND($N2980="Sí",$P2980="Sí"),"OTIF","Falló"))</f>
        <v/>
      </c>
    </row>
    <row r="2981" ht="16" customHeight="1">
      <c r="A2981" s="48" t="n"/>
      <c r="B2981" s="48" t="n"/>
      <c r="C2981" s="47" t="n"/>
      <c r="D2981" s="50" t="n"/>
      <c r="E2981" s="50" t="n"/>
      <c r="F2981" s="50" t="n"/>
      <c r="G2981" s="50" t="n"/>
      <c r="H2981" s="48" t="n"/>
      <c r="I2981" s="51" t="n"/>
      <c r="J2981" s="52" t="n"/>
      <c r="K2981" s="47" t="n"/>
      <c r="L2981" s="47" t="n"/>
      <c r="M2981" s="24">
        <f>IF(OR($A2981="",$C2981=""),"",IF($L2981&lt;&gt;"",$L2981-$C2981,TODAY()-$C2981))</f>
        <v/>
      </c>
      <c r="N2981" s="28">
        <f>IF(OR($A2981="",$K2981=""),"",IF($L2981="",IF(TODAY()&gt;$K2981,"Atrasado","En ruta"),IF($L2981&lt;=$K2981,"Sí","No")))</f>
        <v/>
      </c>
      <c r="O2981" s="24">
        <f>IF($A2981="","",COUNTIFS(NOVEDADES!$D$4:$D$1503,$A2981))</f>
        <v/>
      </c>
      <c r="P2981" s="28">
        <f>IF($A2981="","",IF(COUNTIFS(NOVEDADES!$D$4:$D$1503,$A2981,NOVEDADES!$O$4:$O$1503,"SÍ")&gt;0,"No","Sí"))</f>
        <v/>
      </c>
      <c r="Q2981" s="28">
        <f>IF(OR($A2981="",$L2981=""),"",IF(AND($N2981="Sí",$P2981="Sí"),"OTIF","Falló"))</f>
        <v/>
      </c>
    </row>
    <row r="2982" ht="16" customHeight="1">
      <c r="A2982" s="48" t="n"/>
      <c r="B2982" s="48" t="n"/>
      <c r="C2982" s="47" t="n"/>
      <c r="D2982" s="50" t="n"/>
      <c r="E2982" s="50" t="n"/>
      <c r="F2982" s="50" t="n"/>
      <c r="G2982" s="50" t="n"/>
      <c r="H2982" s="48" t="n"/>
      <c r="I2982" s="51" t="n"/>
      <c r="J2982" s="52" t="n"/>
      <c r="K2982" s="47" t="n"/>
      <c r="L2982" s="47" t="n"/>
      <c r="M2982" s="24">
        <f>IF(OR($A2982="",$C2982=""),"",IF($L2982&lt;&gt;"",$L2982-$C2982,TODAY()-$C2982))</f>
        <v/>
      </c>
      <c r="N2982" s="28">
        <f>IF(OR($A2982="",$K2982=""),"",IF($L2982="",IF(TODAY()&gt;$K2982,"Atrasado","En ruta"),IF($L2982&lt;=$K2982,"Sí","No")))</f>
        <v/>
      </c>
      <c r="O2982" s="24">
        <f>IF($A2982="","",COUNTIFS(NOVEDADES!$D$4:$D$1503,$A2982))</f>
        <v/>
      </c>
      <c r="P2982" s="28">
        <f>IF($A2982="","",IF(COUNTIFS(NOVEDADES!$D$4:$D$1503,$A2982,NOVEDADES!$O$4:$O$1503,"SÍ")&gt;0,"No","Sí"))</f>
        <v/>
      </c>
      <c r="Q2982" s="28">
        <f>IF(OR($A2982="",$L2982=""),"",IF(AND($N2982="Sí",$P2982="Sí"),"OTIF","Falló"))</f>
        <v/>
      </c>
    </row>
    <row r="2983" ht="16" customHeight="1">
      <c r="A2983" s="48" t="n"/>
      <c r="B2983" s="48" t="n"/>
      <c r="C2983" s="47" t="n"/>
      <c r="D2983" s="50" t="n"/>
      <c r="E2983" s="50" t="n"/>
      <c r="F2983" s="50" t="n"/>
      <c r="G2983" s="50" t="n"/>
      <c r="H2983" s="48" t="n"/>
      <c r="I2983" s="51" t="n"/>
      <c r="J2983" s="52" t="n"/>
      <c r="K2983" s="47" t="n"/>
      <c r="L2983" s="47" t="n"/>
      <c r="M2983" s="24">
        <f>IF(OR($A2983="",$C2983=""),"",IF($L2983&lt;&gt;"",$L2983-$C2983,TODAY()-$C2983))</f>
        <v/>
      </c>
      <c r="N2983" s="28">
        <f>IF(OR($A2983="",$K2983=""),"",IF($L2983="",IF(TODAY()&gt;$K2983,"Atrasado","En ruta"),IF($L2983&lt;=$K2983,"Sí","No")))</f>
        <v/>
      </c>
      <c r="O2983" s="24">
        <f>IF($A2983="","",COUNTIFS(NOVEDADES!$D$4:$D$1503,$A2983))</f>
        <v/>
      </c>
      <c r="P2983" s="28">
        <f>IF($A2983="","",IF(COUNTIFS(NOVEDADES!$D$4:$D$1503,$A2983,NOVEDADES!$O$4:$O$1503,"SÍ")&gt;0,"No","Sí"))</f>
        <v/>
      </c>
      <c r="Q2983" s="28">
        <f>IF(OR($A2983="",$L2983=""),"",IF(AND($N2983="Sí",$P2983="Sí"),"OTIF","Falló"))</f>
        <v/>
      </c>
    </row>
    <row r="2984" ht="16" customHeight="1">
      <c r="A2984" s="48" t="n"/>
      <c r="B2984" s="48" t="n"/>
      <c r="C2984" s="47" t="n"/>
      <c r="D2984" s="50" t="n"/>
      <c r="E2984" s="50" t="n"/>
      <c r="F2984" s="50" t="n"/>
      <c r="G2984" s="50" t="n"/>
      <c r="H2984" s="48" t="n"/>
      <c r="I2984" s="51" t="n"/>
      <c r="J2984" s="52" t="n"/>
      <c r="K2984" s="47" t="n"/>
      <c r="L2984" s="47" t="n"/>
      <c r="M2984" s="24">
        <f>IF(OR($A2984="",$C2984=""),"",IF($L2984&lt;&gt;"",$L2984-$C2984,TODAY()-$C2984))</f>
        <v/>
      </c>
      <c r="N2984" s="28">
        <f>IF(OR($A2984="",$K2984=""),"",IF($L2984="",IF(TODAY()&gt;$K2984,"Atrasado","En ruta"),IF($L2984&lt;=$K2984,"Sí","No")))</f>
        <v/>
      </c>
      <c r="O2984" s="24">
        <f>IF($A2984="","",COUNTIFS(NOVEDADES!$D$4:$D$1503,$A2984))</f>
        <v/>
      </c>
      <c r="P2984" s="28">
        <f>IF($A2984="","",IF(COUNTIFS(NOVEDADES!$D$4:$D$1503,$A2984,NOVEDADES!$O$4:$O$1503,"SÍ")&gt;0,"No","Sí"))</f>
        <v/>
      </c>
      <c r="Q2984" s="28">
        <f>IF(OR($A2984="",$L2984=""),"",IF(AND($N2984="Sí",$P2984="Sí"),"OTIF","Falló"))</f>
        <v/>
      </c>
    </row>
    <row r="2985" ht="16" customHeight="1">
      <c r="A2985" s="48" t="n"/>
      <c r="B2985" s="48" t="n"/>
      <c r="C2985" s="47" t="n"/>
      <c r="D2985" s="50" t="n"/>
      <c r="E2985" s="50" t="n"/>
      <c r="F2985" s="50" t="n"/>
      <c r="G2985" s="50" t="n"/>
      <c r="H2985" s="48" t="n"/>
      <c r="I2985" s="51" t="n"/>
      <c r="J2985" s="52" t="n"/>
      <c r="K2985" s="47" t="n"/>
      <c r="L2985" s="47" t="n"/>
      <c r="M2985" s="24">
        <f>IF(OR($A2985="",$C2985=""),"",IF($L2985&lt;&gt;"",$L2985-$C2985,TODAY()-$C2985))</f>
        <v/>
      </c>
      <c r="N2985" s="28">
        <f>IF(OR($A2985="",$K2985=""),"",IF($L2985="",IF(TODAY()&gt;$K2985,"Atrasado","En ruta"),IF($L2985&lt;=$K2985,"Sí","No")))</f>
        <v/>
      </c>
      <c r="O2985" s="24">
        <f>IF($A2985="","",COUNTIFS(NOVEDADES!$D$4:$D$1503,$A2985))</f>
        <v/>
      </c>
      <c r="P2985" s="28">
        <f>IF($A2985="","",IF(COUNTIFS(NOVEDADES!$D$4:$D$1503,$A2985,NOVEDADES!$O$4:$O$1503,"SÍ")&gt;0,"No","Sí"))</f>
        <v/>
      </c>
      <c r="Q2985" s="28">
        <f>IF(OR($A2985="",$L2985=""),"",IF(AND($N2985="Sí",$P2985="Sí"),"OTIF","Falló"))</f>
        <v/>
      </c>
    </row>
    <row r="2986" ht="16" customHeight="1">
      <c r="A2986" s="48" t="n"/>
      <c r="B2986" s="48" t="n"/>
      <c r="C2986" s="47" t="n"/>
      <c r="D2986" s="50" t="n"/>
      <c r="E2986" s="50" t="n"/>
      <c r="F2986" s="50" t="n"/>
      <c r="G2986" s="50" t="n"/>
      <c r="H2986" s="48" t="n"/>
      <c r="I2986" s="51" t="n"/>
      <c r="J2986" s="52" t="n"/>
      <c r="K2986" s="47" t="n"/>
      <c r="L2986" s="47" t="n"/>
      <c r="M2986" s="24">
        <f>IF(OR($A2986="",$C2986=""),"",IF($L2986&lt;&gt;"",$L2986-$C2986,TODAY()-$C2986))</f>
        <v/>
      </c>
      <c r="N2986" s="28">
        <f>IF(OR($A2986="",$K2986=""),"",IF($L2986="",IF(TODAY()&gt;$K2986,"Atrasado","En ruta"),IF($L2986&lt;=$K2986,"Sí","No")))</f>
        <v/>
      </c>
      <c r="O2986" s="24">
        <f>IF($A2986="","",COUNTIFS(NOVEDADES!$D$4:$D$1503,$A2986))</f>
        <v/>
      </c>
      <c r="P2986" s="28">
        <f>IF($A2986="","",IF(COUNTIFS(NOVEDADES!$D$4:$D$1503,$A2986,NOVEDADES!$O$4:$O$1503,"SÍ")&gt;0,"No","Sí"))</f>
        <v/>
      </c>
      <c r="Q2986" s="28">
        <f>IF(OR($A2986="",$L2986=""),"",IF(AND($N2986="Sí",$P2986="Sí"),"OTIF","Falló"))</f>
        <v/>
      </c>
    </row>
    <row r="2987" ht="16" customHeight="1">
      <c r="A2987" s="48" t="n"/>
      <c r="B2987" s="48" t="n"/>
      <c r="C2987" s="47" t="n"/>
      <c r="D2987" s="50" t="n"/>
      <c r="E2987" s="50" t="n"/>
      <c r="F2987" s="50" t="n"/>
      <c r="G2987" s="50" t="n"/>
      <c r="H2987" s="48" t="n"/>
      <c r="I2987" s="51" t="n"/>
      <c r="J2987" s="52" t="n"/>
      <c r="K2987" s="47" t="n"/>
      <c r="L2987" s="47" t="n"/>
      <c r="M2987" s="24">
        <f>IF(OR($A2987="",$C2987=""),"",IF($L2987&lt;&gt;"",$L2987-$C2987,TODAY()-$C2987))</f>
        <v/>
      </c>
      <c r="N2987" s="28">
        <f>IF(OR($A2987="",$K2987=""),"",IF($L2987="",IF(TODAY()&gt;$K2987,"Atrasado","En ruta"),IF($L2987&lt;=$K2987,"Sí","No")))</f>
        <v/>
      </c>
      <c r="O2987" s="24">
        <f>IF($A2987="","",COUNTIFS(NOVEDADES!$D$4:$D$1503,$A2987))</f>
        <v/>
      </c>
      <c r="P2987" s="28">
        <f>IF($A2987="","",IF(COUNTIFS(NOVEDADES!$D$4:$D$1503,$A2987,NOVEDADES!$O$4:$O$1503,"SÍ")&gt;0,"No","Sí"))</f>
        <v/>
      </c>
      <c r="Q2987" s="28">
        <f>IF(OR($A2987="",$L2987=""),"",IF(AND($N2987="Sí",$P2987="Sí"),"OTIF","Falló"))</f>
        <v/>
      </c>
    </row>
    <row r="2988" ht="16" customHeight="1">
      <c r="A2988" s="48" t="n"/>
      <c r="B2988" s="48" t="n"/>
      <c r="C2988" s="47" t="n"/>
      <c r="D2988" s="50" t="n"/>
      <c r="E2988" s="50" t="n"/>
      <c r="F2988" s="50" t="n"/>
      <c r="G2988" s="50" t="n"/>
      <c r="H2988" s="48" t="n"/>
      <c r="I2988" s="51" t="n"/>
      <c r="J2988" s="52" t="n"/>
      <c r="K2988" s="47" t="n"/>
      <c r="L2988" s="47" t="n"/>
      <c r="M2988" s="24">
        <f>IF(OR($A2988="",$C2988=""),"",IF($L2988&lt;&gt;"",$L2988-$C2988,TODAY()-$C2988))</f>
        <v/>
      </c>
      <c r="N2988" s="28">
        <f>IF(OR($A2988="",$K2988=""),"",IF($L2988="",IF(TODAY()&gt;$K2988,"Atrasado","En ruta"),IF($L2988&lt;=$K2988,"Sí","No")))</f>
        <v/>
      </c>
      <c r="O2988" s="24">
        <f>IF($A2988="","",COUNTIFS(NOVEDADES!$D$4:$D$1503,$A2988))</f>
        <v/>
      </c>
      <c r="P2988" s="28">
        <f>IF($A2988="","",IF(COUNTIFS(NOVEDADES!$D$4:$D$1503,$A2988,NOVEDADES!$O$4:$O$1503,"SÍ")&gt;0,"No","Sí"))</f>
        <v/>
      </c>
      <c r="Q2988" s="28">
        <f>IF(OR($A2988="",$L2988=""),"",IF(AND($N2988="Sí",$P2988="Sí"),"OTIF","Falló"))</f>
        <v/>
      </c>
    </row>
    <row r="2989" ht="16" customHeight="1">
      <c r="A2989" s="48" t="n"/>
      <c r="B2989" s="48" t="n"/>
      <c r="C2989" s="47" t="n"/>
      <c r="D2989" s="50" t="n"/>
      <c r="E2989" s="50" t="n"/>
      <c r="F2989" s="50" t="n"/>
      <c r="G2989" s="50" t="n"/>
      <c r="H2989" s="48" t="n"/>
      <c r="I2989" s="51" t="n"/>
      <c r="J2989" s="52" t="n"/>
      <c r="K2989" s="47" t="n"/>
      <c r="L2989" s="47" t="n"/>
      <c r="M2989" s="24">
        <f>IF(OR($A2989="",$C2989=""),"",IF($L2989&lt;&gt;"",$L2989-$C2989,TODAY()-$C2989))</f>
        <v/>
      </c>
      <c r="N2989" s="28">
        <f>IF(OR($A2989="",$K2989=""),"",IF($L2989="",IF(TODAY()&gt;$K2989,"Atrasado","En ruta"),IF($L2989&lt;=$K2989,"Sí","No")))</f>
        <v/>
      </c>
      <c r="O2989" s="24">
        <f>IF($A2989="","",COUNTIFS(NOVEDADES!$D$4:$D$1503,$A2989))</f>
        <v/>
      </c>
      <c r="P2989" s="28">
        <f>IF($A2989="","",IF(COUNTIFS(NOVEDADES!$D$4:$D$1503,$A2989,NOVEDADES!$O$4:$O$1503,"SÍ")&gt;0,"No","Sí"))</f>
        <v/>
      </c>
      <c r="Q2989" s="28">
        <f>IF(OR($A2989="",$L2989=""),"",IF(AND($N2989="Sí",$P2989="Sí"),"OTIF","Falló"))</f>
        <v/>
      </c>
    </row>
    <row r="2990" ht="16" customHeight="1">
      <c r="A2990" s="48" t="n"/>
      <c r="B2990" s="48" t="n"/>
      <c r="C2990" s="47" t="n"/>
      <c r="D2990" s="50" t="n"/>
      <c r="E2990" s="50" t="n"/>
      <c r="F2990" s="50" t="n"/>
      <c r="G2990" s="50" t="n"/>
      <c r="H2990" s="48" t="n"/>
      <c r="I2990" s="51" t="n"/>
      <c r="J2990" s="52" t="n"/>
      <c r="K2990" s="47" t="n"/>
      <c r="L2990" s="47" t="n"/>
      <c r="M2990" s="24">
        <f>IF(OR($A2990="",$C2990=""),"",IF($L2990&lt;&gt;"",$L2990-$C2990,TODAY()-$C2990))</f>
        <v/>
      </c>
      <c r="N2990" s="28">
        <f>IF(OR($A2990="",$K2990=""),"",IF($L2990="",IF(TODAY()&gt;$K2990,"Atrasado","En ruta"),IF($L2990&lt;=$K2990,"Sí","No")))</f>
        <v/>
      </c>
      <c r="O2990" s="24">
        <f>IF($A2990="","",COUNTIFS(NOVEDADES!$D$4:$D$1503,$A2990))</f>
        <v/>
      </c>
      <c r="P2990" s="28">
        <f>IF($A2990="","",IF(COUNTIFS(NOVEDADES!$D$4:$D$1503,$A2990,NOVEDADES!$O$4:$O$1503,"SÍ")&gt;0,"No","Sí"))</f>
        <v/>
      </c>
      <c r="Q2990" s="28">
        <f>IF(OR($A2990="",$L2990=""),"",IF(AND($N2990="Sí",$P2990="Sí"),"OTIF","Falló"))</f>
        <v/>
      </c>
    </row>
    <row r="2991" ht="16" customHeight="1">
      <c r="A2991" s="48" t="n"/>
      <c r="B2991" s="48" t="n"/>
      <c r="C2991" s="47" t="n"/>
      <c r="D2991" s="50" t="n"/>
      <c r="E2991" s="50" t="n"/>
      <c r="F2991" s="50" t="n"/>
      <c r="G2991" s="50" t="n"/>
      <c r="H2991" s="48" t="n"/>
      <c r="I2991" s="51" t="n"/>
      <c r="J2991" s="52" t="n"/>
      <c r="K2991" s="47" t="n"/>
      <c r="L2991" s="47" t="n"/>
      <c r="M2991" s="24">
        <f>IF(OR($A2991="",$C2991=""),"",IF($L2991&lt;&gt;"",$L2991-$C2991,TODAY()-$C2991))</f>
        <v/>
      </c>
      <c r="N2991" s="28">
        <f>IF(OR($A2991="",$K2991=""),"",IF($L2991="",IF(TODAY()&gt;$K2991,"Atrasado","En ruta"),IF($L2991&lt;=$K2991,"Sí","No")))</f>
        <v/>
      </c>
      <c r="O2991" s="24">
        <f>IF($A2991="","",COUNTIFS(NOVEDADES!$D$4:$D$1503,$A2991))</f>
        <v/>
      </c>
      <c r="P2991" s="28">
        <f>IF($A2991="","",IF(COUNTIFS(NOVEDADES!$D$4:$D$1503,$A2991,NOVEDADES!$O$4:$O$1503,"SÍ")&gt;0,"No","Sí"))</f>
        <v/>
      </c>
      <c r="Q2991" s="28">
        <f>IF(OR($A2991="",$L2991=""),"",IF(AND($N2991="Sí",$P2991="Sí"),"OTIF","Falló"))</f>
        <v/>
      </c>
    </row>
    <row r="2992" ht="16" customHeight="1">
      <c r="A2992" s="48" t="n"/>
      <c r="B2992" s="48" t="n"/>
      <c r="C2992" s="47" t="n"/>
      <c r="D2992" s="50" t="n"/>
      <c r="E2992" s="50" t="n"/>
      <c r="F2992" s="50" t="n"/>
      <c r="G2992" s="50" t="n"/>
      <c r="H2992" s="48" t="n"/>
      <c r="I2992" s="51" t="n"/>
      <c r="J2992" s="52" t="n"/>
      <c r="K2992" s="47" t="n"/>
      <c r="L2992" s="47" t="n"/>
      <c r="M2992" s="24">
        <f>IF(OR($A2992="",$C2992=""),"",IF($L2992&lt;&gt;"",$L2992-$C2992,TODAY()-$C2992))</f>
        <v/>
      </c>
      <c r="N2992" s="28">
        <f>IF(OR($A2992="",$K2992=""),"",IF($L2992="",IF(TODAY()&gt;$K2992,"Atrasado","En ruta"),IF($L2992&lt;=$K2992,"Sí","No")))</f>
        <v/>
      </c>
      <c r="O2992" s="24">
        <f>IF($A2992="","",COUNTIFS(NOVEDADES!$D$4:$D$1503,$A2992))</f>
        <v/>
      </c>
      <c r="P2992" s="28">
        <f>IF($A2992="","",IF(COUNTIFS(NOVEDADES!$D$4:$D$1503,$A2992,NOVEDADES!$O$4:$O$1503,"SÍ")&gt;0,"No","Sí"))</f>
        <v/>
      </c>
      <c r="Q2992" s="28">
        <f>IF(OR($A2992="",$L2992=""),"",IF(AND($N2992="Sí",$P2992="Sí"),"OTIF","Falló"))</f>
        <v/>
      </c>
    </row>
    <row r="2993" ht="16" customHeight="1">
      <c r="A2993" s="48" t="n"/>
      <c r="B2993" s="48" t="n"/>
      <c r="C2993" s="47" t="n"/>
      <c r="D2993" s="50" t="n"/>
      <c r="E2993" s="50" t="n"/>
      <c r="F2993" s="50" t="n"/>
      <c r="G2993" s="50" t="n"/>
      <c r="H2993" s="48" t="n"/>
      <c r="I2993" s="51" t="n"/>
      <c r="J2993" s="52" t="n"/>
      <c r="K2993" s="47" t="n"/>
      <c r="L2993" s="47" t="n"/>
      <c r="M2993" s="24">
        <f>IF(OR($A2993="",$C2993=""),"",IF($L2993&lt;&gt;"",$L2993-$C2993,TODAY()-$C2993))</f>
        <v/>
      </c>
      <c r="N2993" s="28">
        <f>IF(OR($A2993="",$K2993=""),"",IF($L2993="",IF(TODAY()&gt;$K2993,"Atrasado","En ruta"),IF($L2993&lt;=$K2993,"Sí","No")))</f>
        <v/>
      </c>
      <c r="O2993" s="24">
        <f>IF($A2993="","",COUNTIFS(NOVEDADES!$D$4:$D$1503,$A2993))</f>
        <v/>
      </c>
      <c r="P2993" s="28">
        <f>IF($A2993="","",IF(COUNTIFS(NOVEDADES!$D$4:$D$1503,$A2993,NOVEDADES!$O$4:$O$1503,"SÍ")&gt;0,"No","Sí"))</f>
        <v/>
      </c>
      <c r="Q2993" s="28">
        <f>IF(OR($A2993="",$L2993=""),"",IF(AND($N2993="Sí",$P2993="Sí"),"OTIF","Falló"))</f>
        <v/>
      </c>
    </row>
    <row r="2994" ht="16" customHeight="1">
      <c r="A2994" s="48" t="n"/>
      <c r="B2994" s="48" t="n"/>
      <c r="C2994" s="47" t="n"/>
      <c r="D2994" s="50" t="n"/>
      <c r="E2994" s="50" t="n"/>
      <c r="F2994" s="50" t="n"/>
      <c r="G2994" s="50" t="n"/>
      <c r="H2994" s="48" t="n"/>
      <c r="I2994" s="51" t="n"/>
      <c r="J2994" s="52" t="n"/>
      <c r="K2994" s="47" t="n"/>
      <c r="L2994" s="47" t="n"/>
      <c r="M2994" s="24">
        <f>IF(OR($A2994="",$C2994=""),"",IF($L2994&lt;&gt;"",$L2994-$C2994,TODAY()-$C2994))</f>
        <v/>
      </c>
      <c r="N2994" s="28">
        <f>IF(OR($A2994="",$K2994=""),"",IF($L2994="",IF(TODAY()&gt;$K2994,"Atrasado","En ruta"),IF($L2994&lt;=$K2994,"Sí","No")))</f>
        <v/>
      </c>
      <c r="O2994" s="24">
        <f>IF($A2994="","",COUNTIFS(NOVEDADES!$D$4:$D$1503,$A2994))</f>
        <v/>
      </c>
      <c r="P2994" s="28">
        <f>IF($A2994="","",IF(COUNTIFS(NOVEDADES!$D$4:$D$1503,$A2994,NOVEDADES!$O$4:$O$1503,"SÍ")&gt;0,"No","Sí"))</f>
        <v/>
      </c>
      <c r="Q2994" s="28">
        <f>IF(OR($A2994="",$L2994=""),"",IF(AND($N2994="Sí",$P2994="Sí"),"OTIF","Falló"))</f>
        <v/>
      </c>
    </row>
    <row r="2995" ht="16" customHeight="1">
      <c r="A2995" s="48" t="n"/>
      <c r="B2995" s="48" t="n"/>
      <c r="C2995" s="47" t="n"/>
      <c r="D2995" s="50" t="n"/>
      <c r="E2995" s="50" t="n"/>
      <c r="F2995" s="50" t="n"/>
      <c r="G2995" s="50" t="n"/>
      <c r="H2995" s="48" t="n"/>
      <c r="I2995" s="51" t="n"/>
      <c r="J2995" s="52" t="n"/>
      <c r="K2995" s="47" t="n"/>
      <c r="L2995" s="47" t="n"/>
      <c r="M2995" s="24">
        <f>IF(OR($A2995="",$C2995=""),"",IF($L2995&lt;&gt;"",$L2995-$C2995,TODAY()-$C2995))</f>
        <v/>
      </c>
      <c r="N2995" s="28">
        <f>IF(OR($A2995="",$K2995=""),"",IF($L2995="",IF(TODAY()&gt;$K2995,"Atrasado","En ruta"),IF($L2995&lt;=$K2995,"Sí","No")))</f>
        <v/>
      </c>
      <c r="O2995" s="24">
        <f>IF($A2995="","",COUNTIFS(NOVEDADES!$D$4:$D$1503,$A2995))</f>
        <v/>
      </c>
      <c r="P2995" s="28">
        <f>IF($A2995="","",IF(COUNTIFS(NOVEDADES!$D$4:$D$1503,$A2995,NOVEDADES!$O$4:$O$1503,"SÍ")&gt;0,"No","Sí"))</f>
        <v/>
      </c>
      <c r="Q2995" s="28">
        <f>IF(OR($A2995="",$L2995=""),"",IF(AND($N2995="Sí",$P2995="Sí"),"OTIF","Falló"))</f>
        <v/>
      </c>
    </row>
    <row r="2996" ht="16" customHeight="1">
      <c r="A2996" s="48" t="n"/>
      <c r="B2996" s="48" t="n"/>
      <c r="C2996" s="47" t="n"/>
      <c r="D2996" s="50" t="n"/>
      <c r="E2996" s="50" t="n"/>
      <c r="F2996" s="50" t="n"/>
      <c r="G2996" s="50" t="n"/>
      <c r="H2996" s="48" t="n"/>
      <c r="I2996" s="51" t="n"/>
      <c r="J2996" s="52" t="n"/>
      <c r="K2996" s="47" t="n"/>
      <c r="L2996" s="47" t="n"/>
      <c r="M2996" s="24">
        <f>IF(OR($A2996="",$C2996=""),"",IF($L2996&lt;&gt;"",$L2996-$C2996,TODAY()-$C2996))</f>
        <v/>
      </c>
      <c r="N2996" s="28">
        <f>IF(OR($A2996="",$K2996=""),"",IF($L2996="",IF(TODAY()&gt;$K2996,"Atrasado","En ruta"),IF($L2996&lt;=$K2996,"Sí","No")))</f>
        <v/>
      </c>
      <c r="O2996" s="24">
        <f>IF($A2996="","",COUNTIFS(NOVEDADES!$D$4:$D$1503,$A2996))</f>
        <v/>
      </c>
      <c r="P2996" s="28">
        <f>IF($A2996="","",IF(COUNTIFS(NOVEDADES!$D$4:$D$1503,$A2996,NOVEDADES!$O$4:$O$1503,"SÍ")&gt;0,"No","Sí"))</f>
        <v/>
      </c>
      <c r="Q2996" s="28">
        <f>IF(OR($A2996="",$L2996=""),"",IF(AND($N2996="Sí",$P2996="Sí"),"OTIF","Falló"))</f>
        <v/>
      </c>
    </row>
    <row r="2997" ht="16" customHeight="1">
      <c r="A2997" s="48" t="n"/>
      <c r="B2997" s="48" t="n"/>
      <c r="C2997" s="47" t="n"/>
      <c r="D2997" s="50" t="n"/>
      <c r="E2997" s="50" t="n"/>
      <c r="F2997" s="50" t="n"/>
      <c r="G2997" s="50" t="n"/>
      <c r="H2997" s="48" t="n"/>
      <c r="I2997" s="51" t="n"/>
      <c r="J2997" s="52" t="n"/>
      <c r="K2997" s="47" t="n"/>
      <c r="L2997" s="47" t="n"/>
      <c r="M2997" s="24">
        <f>IF(OR($A2997="",$C2997=""),"",IF($L2997&lt;&gt;"",$L2997-$C2997,TODAY()-$C2997))</f>
        <v/>
      </c>
      <c r="N2997" s="28">
        <f>IF(OR($A2997="",$K2997=""),"",IF($L2997="",IF(TODAY()&gt;$K2997,"Atrasado","En ruta"),IF($L2997&lt;=$K2997,"Sí","No")))</f>
        <v/>
      </c>
      <c r="O2997" s="24">
        <f>IF($A2997="","",COUNTIFS(NOVEDADES!$D$4:$D$1503,$A2997))</f>
        <v/>
      </c>
      <c r="P2997" s="28">
        <f>IF($A2997="","",IF(COUNTIFS(NOVEDADES!$D$4:$D$1503,$A2997,NOVEDADES!$O$4:$O$1503,"SÍ")&gt;0,"No","Sí"))</f>
        <v/>
      </c>
      <c r="Q2997" s="28">
        <f>IF(OR($A2997="",$L2997=""),"",IF(AND($N2997="Sí",$P2997="Sí"),"OTIF","Falló"))</f>
        <v/>
      </c>
    </row>
    <row r="2998" ht="16" customHeight="1">
      <c r="A2998" s="48" t="n"/>
      <c r="B2998" s="48" t="n"/>
      <c r="C2998" s="47" t="n"/>
      <c r="D2998" s="50" t="n"/>
      <c r="E2998" s="50" t="n"/>
      <c r="F2998" s="50" t="n"/>
      <c r="G2998" s="50" t="n"/>
      <c r="H2998" s="48" t="n"/>
      <c r="I2998" s="51" t="n"/>
      <c r="J2998" s="52" t="n"/>
      <c r="K2998" s="47" t="n"/>
      <c r="L2998" s="47" t="n"/>
      <c r="M2998" s="24">
        <f>IF(OR($A2998="",$C2998=""),"",IF($L2998&lt;&gt;"",$L2998-$C2998,TODAY()-$C2998))</f>
        <v/>
      </c>
      <c r="N2998" s="28">
        <f>IF(OR($A2998="",$K2998=""),"",IF($L2998="",IF(TODAY()&gt;$K2998,"Atrasado","En ruta"),IF($L2998&lt;=$K2998,"Sí","No")))</f>
        <v/>
      </c>
      <c r="O2998" s="24">
        <f>IF($A2998="","",COUNTIFS(NOVEDADES!$D$4:$D$1503,$A2998))</f>
        <v/>
      </c>
      <c r="P2998" s="28">
        <f>IF($A2998="","",IF(COUNTIFS(NOVEDADES!$D$4:$D$1503,$A2998,NOVEDADES!$O$4:$O$1503,"SÍ")&gt;0,"No","Sí"))</f>
        <v/>
      </c>
      <c r="Q2998" s="28">
        <f>IF(OR($A2998="",$L2998=""),"",IF(AND($N2998="Sí",$P2998="Sí"),"OTIF","Falló"))</f>
        <v/>
      </c>
    </row>
    <row r="2999" ht="16" customHeight="1">
      <c r="A2999" s="48" t="n"/>
      <c r="B2999" s="48" t="n"/>
      <c r="C2999" s="47" t="n"/>
      <c r="D2999" s="50" t="n"/>
      <c r="E2999" s="50" t="n"/>
      <c r="F2999" s="50" t="n"/>
      <c r="G2999" s="50" t="n"/>
      <c r="H2999" s="48" t="n"/>
      <c r="I2999" s="51" t="n"/>
      <c r="J2999" s="52" t="n"/>
      <c r="K2999" s="47" t="n"/>
      <c r="L2999" s="47" t="n"/>
      <c r="M2999" s="24">
        <f>IF(OR($A2999="",$C2999=""),"",IF($L2999&lt;&gt;"",$L2999-$C2999,TODAY()-$C2999))</f>
        <v/>
      </c>
      <c r="N2999" s="28">
        <f>IF(OR($A2999="",$K2999=""),"",IF($L2999="",IF(TODAY()&gt;$K2999,"Atrasado","En ruta"),IF($L2999&lt;=$K2999,"Sí","No")))</f>
        <v/>
      </c>
      <c r="O2999" s="24">
        <f>IF($A2999="","",COUNTIFS(NOVEDADES!$D$4:$D$1503,$A2999))</f>
        <v/>
      </c>
      <c r="P2999" s="28">
        <f>IF($A2999="","",IF(COUNTIFS(NOVEDADES!$D$4:$D$1503,$A2999,NOVEDADES!$O$4:$O$1503,"SÍ")&gt;0,"No","Sí"))</f>
        <v/>
      </c>
      <c r="Q2999" s="28">
        <f>IF(OR($A2999="",$L2999=""),"",IF(AND($N2999="Sí",$P2999="Sí"),"OTIF","Falló"))</f>
        <v/>
      </c>
    </row>
    <row r="3000" ht="16" customHeight="1">
      <c r="A3000" s="48" t="n"/>
      <c r="B3000" s="48" t="n"/>
      <c r="C3000" s="47" t="n"/>
      <c r="D3000" s="50" t="n"/>
      <c r="E3000" s="50" t="n"/>
      <c r="F3000" s="50" t="n"/>
      <c r="G3000" s="50" t="n"/>
      <c r="H3000" s="48" t="n"/>
      <c r="I3000" s="51" t="n"/>
      <c r="J3000" s="52" t="n"/>
      <c r="K3000" s="47" t="n"/>
      <c r="L3000" s="47" t="n"/>
      <c r="M3000" s="24">
        <f>IF(OR($A3000="",$C3000=""),"",IF($L3000&lt;&gt;"",$L3000-$C3000,TODAY()-$C3000))</f>
        <v/>
      </c>
      <c r="N3000" s="28">
        <f>IF(OR($A3000="",$K3000=""),"",IF($L3000="",IF(TODAY()&gt;$K3000,"Atrasado","En ruta"),IF($L3000&lt;=$K3000,"Sí","No")))</f>
        <v/>
      </c>
      <c r="O3000" s="24">
        <f>IF($A3000="","",COUNTIFS(NOVEDADES!$D$4:$D$1503,$A3000))</f>
        <v/>
      </c>
      <c r="P3000" s="28">
        <f>IF($A3000="","",IF(COUNTIFS(NOVEDADES!$D$4:$D$1503,$A3000,NOVEDADES!$O$4:$O$1503,"SÍ")&gt;0,"No","Sí"))</f>
        <v/>
      </c>
      <c r="Q3000" s="28">
        <f>IF(OR($A3000="",$L3000=""),"",IF(AND($N3000="Sí",$P3000="Sí"),"OTIF","Falló"))</f>
        <v/>
      </c>
    </row>
    <row r="3001" ht="16" customHeight="1">
      <c r="A3001" s="48" t="n"/>
      <c r="B3001" s="48" t="n"/>
      <c r="C3001" s="47" t="n"/>
      <c r="D3001" s="50" t="n"/>
      <c r="E3001" s="50" t="n"/>
      <c r="F3001" s="50" t="n"/>
      <c r="G3001" s="50" t="n"/>
      <c r="H3001" s="48" t="n"/>
      <c r="I3001" s="51" t="n"/>
      <c r="J3001" s="52" t="n"/>
      <c r="K3001" s="47" t="n"/>
      <c r="L3001" s="47" t="n"/>
      <c r="M3001" s="24">
        <f>IF(OR($A3001="",$C3001=""),"",IF($L3001&lt;&gt;"",$L3001-$C3001,TODAY()-$C3001))</f>
        <v/>
      </c>
      <c r="N3001" s="28">
        <f>IF(OR($A3001="",$K3001=""),"",IF($L3001="",IF(TODAY()&gt;$K3001,"Atrasado","En ruta"),IF($L3001&lt;=$K3001,"Sí","No")))</f>
        <v/>
      </c>
      <c r="O3001" s="24">
        <f>IF($A3001="","",COUNTIFS(NOVEDADES!$D$4:$D$1503,$A3001))</f>
        <v/>
      </c>
      <c r="P3001" s="28">
        <f>IF($A3001="","",IF(COUNTIFS(NOVEDADES!$D$4:$D$1503,$A3001,NOVEDADES!$O$4:$O$1503,"SÍ")&gt;0,"No","Sí"))</f>
        <v/>
      </c>
      <c r="Q3001" s="28">
        <f>IF(OR($A3001="",$L3001=""),"",IF(AND($N3001="Sí",$P3001="Sí"),"OTIF","Falló"))</f>
        <v/>
      </c>
    </row>
    <row r="3002" ht="16" customHeight="1">
      <c r="A3002" s="48" t="n"/>
      <c r="B3002" s="48" t="n"/>
      <c r="C3002" s="47" t="n"/>
      <c r="D3002" s="50" t="n"/>
      <c r="E3002" s="50" t="n"/>
      <c r="F3002" s="50" t="n"/>
      <c r="G3002" s="50" t="n"/>
      <c r="H3002" s="48" t="n"/>
      <c r="I3002" s="51" t="n"/>
      <c r="J3002" s="52" t="n"/>
      <c r="K3002" s="47" t="n"/>
      <c r="L3002" s="47" t="n"/>
      <c r="M3002" s="24">
        <f>IF(OR($A3002="",$C3002=""),"",IF($L3002&lt;&gt;"",$L3002-$C3002,TODAY()-$C3002))</f>
        <v/>
      </c>
      <c r="N3002" s="28">
        <f>IF(OR($A3002="",$K3002=""),"",IF($L3002="",IF(TODAY()&gt;$K3002,"Atrasado","En ruta"),IF($L3002&lt;=$K3002,"Sí","No")))</f>
        <v/>
      </c>
      <c r="O3002" s="24">
        <f>IF($A3002="","",COUNTIFS(NOVEDADES!$D$4:$D$1503,$A3002))</f>
        <v/>
      </c>
      <c r="P3002" s="28">
        <f>IF($A3002="","",IF(COUNTIFS(NOVEDADES!$D$4:$D$1503,$A3002,NOVEDADES!$O$4:$O$1503,"SÍ")&gt;0,"No","Sí"))</f>
        <v/>
      </c>
      <c r="Q3002" s="28">
        <f>IF(OR($A3002="",$L3002=""),"",IF(AND($N3002="Sí",$P3002="Sí"),"OTIF","Falló"))</f>
        <v/>
      </c>
    </row>
    <row r="3003" ht="16" customHeight="1">
      <c r="A3003" s="48" t="n"/>
      <c r="B3003" s="48" t="n"/>
      <c r="C3003" s="47" t="n"/>
      <c r="D3003" s="50" t="n"/>
      <c r="E3003" s="50" t="n"/>
      <c r="F3003" s="50" t="n"/>
      <c r="G3003" s="50" t="n"/>
      <c r="H3003" s="48" t="n"/>
      <c r="I3003" s="51" t="n"/>
      <c r="J3003" s="52" t="n"/>
      <c r="K3003" s="47" t="n"/>
      <c r="L3003" s="47" t="n"/>
      <c r="M3003" s="24">
        <f>IF(OR($A3003="",$C3003=""),"",IF($L3003&lt;&gt;"",$L3003-$C3003,TODAY()-$C3003))</f>
        <v/>
      </c>
      <c r="N3003" s="28">
        <f>IF(OR($A3003="",$K3003=""),"",IF($L3003="",IF(TODAY()&gt;$K3003,"Atrasado","En ruta"),IF($L3003&lt;=$K3003,"Sí","No")))</f>
        <v/>
      </c>
      <c r="O3003" s="24">
        <f>IF($A3003="","",COUNTIFS(NOVEDADES!$D$4:$D$1503,$A3003))</f>
        <v/>
      </c>
      <c r="P3003" s="28">
        <f>IF($A3003="","",IF(COUNTIFS(NOVEDADES!$D$4:$D$1503,$A3003,NOVEDADES!$O$4:$O$1503,"SÍ")&gt;0,"No","Sí"))</f>
        <v/>
      </c>
      <c r="Q3003" s="28">
        <f>IF(OR($A3003="",$L3003=""),"",IF(AND($N3003="Sí",$P3003="Sí"),"OTIF","Falló"))</f>
        <v/>
      </c>
    </row>
  </sheetData>
  <sheetProtection selectLockedCells="0" selectUnlockedCells="0" sheet="1" objects="0" insertRows="1" insertHyperlinks="1" autoFilter="0" scenarios="0" formatColumns="0" deleteColumns="1" insertColumns="1" pivotTables="1" deleteRows="1" formatCells="1" formatRows="0" sort="0"/>
  <autoFilter ref="A3:Q3003"/>
  <mergeCells count="4">
    <mergeCell ref="A2:K2"/>
    <mergeCell ref="A1:Q1"/>
    <mergeCell ref="L2"/>
    <mergeCell ref="M2:Q2"/>
  </mergeCells>
  <conditionalFormatting sqref="N4:N3003">
    <cfRule type="cellIs" priority="1" operator="equal" dxfId="4">
      <formula>"Sí"</formula>
    </cfRule>
    <cfRule type="cellIs" priority="2" operator="equal" dxfId="7">
      <formula>"No"</formula>
    </cfRule>
    <cfRule type="cellIs" priority="3" operator="equal" dxfId="9">
      <formula>"En ruta"</formula>
    </cfRule>
    <cfRule type="cellIs" priority="4" operator="equal" dxfId="7">
      <formula>"Atrasado"</formula>
    </cfRule>
  </conditionalFormatting>
  <conditionalFormatting sqref="P4:P3003">
    <cfRule type="cellIs" priority="5" operator="equal" dxfId="4">
      <formula>"Sí"</formula>
    </cfRule>
    <cfRule type="cellIs" priority="6" operator="equal" dxfId="7">
      <formula>"No"</formula>
    </cfRule>
  </conditionalFormatting>
  <conditionalFormatting sqref="Q4:Q3003">
    <cfRule type="cellIs" priority="7" operator="equal" dxfId="4">
      <formula>"OTIF"</formula>
    </cfRule>
    <cfRule type="cellIs" priority="8" operator="equal" dxfId="7">
      <formula>"Falló"</formula>
    </cfRule>
  </conditionalFormatting>
  <conditionalFormatting sqref="O4:O3003">
    <cfRule type="cellIs" priority="9" operator="greaterThan" dxfId="6">
      <formula>0</formula>
    </cfRule>
  </conditionalFormatting>
  <conditionalFormatting sqref="A4:P3003">
    <cfRule type="expression" priority="10" dxfId="13">
      <formula>AND($A4&lt;&gt;"",COUNTIFS($A$4:$A$3003,$A4)&gt;1)</formula>
    </cfRule>
  </conditionalFormatting>
  <dataValidations count="6">
    <dataValidation sqref="F4:F3003" showDropDown="0" showInputMessage="0" showErrorMessage="1" allowBlank="1" errorTitle="Transportadora nueva" error="No está en CONFIG. Si es correcta, agréguela en CONFIG columna R para que entre al tablero." type="list" errorStyle="warning">
      <formula1>TRANSPORTADORAS</formula1>
    </dataValidation>
    <dataValidation sqref="B4:B3003" showDropDown="0" showInputMessage="0" showErrorMessage="1" allowBlank="1" errorTitle="Fecha no válida" error="Escriba una fecha real (dd/mm/aaaa)." type="date" errorStyle="warning" operator="between">
      <formula1>DATE(2020,1,1)</formula1>
      <formula2>DATE(2040,12,31)</formula2>
    </dataValidation>
    <dataValidation sqref="J4:J3003" showDropDown="0" showInputMessage="0" showErrorMessage="1" allowBlank="1" errorTitle="Fecha no válida" error="Escriba una fecha real (dd/mm/aaaa)." type="date" errorStyle="warning" operator="between">
      <formula1>DATE(2020,1,1)</formula1>
      <formula2>DATE(2040,12,31)</formula2>
    </dataValidation>
    <dataValidation sqref="K4:K3003" showDropDown="0" showInputMessage="0" showErrorMessage="1" allowBlank="1" errorTitle="Fecha no válida" error="Escriba una fecha real (dd/mm/aaaa)." type="date" errorStyle="warning" operator="between">
      <formula1>DATE(2020,1,1)</formula1>
      <formula2>DATE(2040,12,31)</formula2>
    </dataValidation>
    <dataValidation sqref="H4:H3003" showDropDown="0" showInputMessage="0" showErrorMessage="1" allowBlank="1" errorTitle="Valor inválido" error="Debe ser un número mayor o igual a 0." type="decimal" errorStyle="warning" operator="greaterThanOrEqual">
      <formula1>0</formula1>
    </dataValidation>
    <dataValidation sqref="I4:I3003" showDropDown="0" showInputMessage="0" showErrorMessage="1" allowBlank="1" errorTitle="Valor inválido" error="Debe ser un número mayor o igual a 0." type="decimal" errorStyle="warning" operator="greaterThanOrEqual">
      <formula1>0</formula1>
    </dataValidation>
  </dataValidations>
  <pageMargins left="0.75" right="0.75" top="1" bottom="1" header="0.5" footer="0.5"/>
</worksheet>
</file>

<file path=xl/worksheets/sheet5.xml><?xml version="1.0" encoding="utf-8"?>
<worksheet xmlns="http://schemas.openxmlformats.org/spreadsheetml/2006/main">
  <sheetPr>
    <tabColor rgb="FF64748B"/>
    <outlinePr summaryBelow="1" summaryRight="1"/>
    <pageSetUpPr/>
  </sheetPr>
  <dimension ref="A1:X34"/>
  <sheetViews>
    <sheetView showGridLines="0" workbookViewId="0">
      <pane ySplit="3" topLeftCell="A4" activePane="bottomLeft" state="frozen"/>
      <selection pane="bottomLeft" activeCell="A1" sqref="A1"/>
    </sheetView>
  </sheetViews>
  <sheetFormatPr baseColWidth="8" defaultRowHeight="15"/>
  <cols>
    <col width="42" customWidth="1" min="1" max="1"/>
    <col width="11" customWidth="1" min="2" max="2"/>
    <col width="11" customWidth="1" min="3" max="3"/>
    <col width="15" customWidth="1" min="4" max="4"/>
    <col width="18" customWidth="1" min="5" max="5"/>
    <col width="2" customWidth="1" min="6" max="6"/>
    <col width="40" customWidth="1" min="7" max="7"/>
    <col width="16" customWidth="1" min="8" max="8"/>
    <col width="16" customWidth="1" min="9" max="9"/>
    <col width="2" customWidth="1" min="10" max="10"/>
    <col width="28" customWidth="1" min="11" max="11"/>
    <col width="16" customWidth="1" min="12" max="12"/>
    <col width="2" customWidth="1" min="13" max="13"/>
    <col width="28" customWidth="1" min="14" max="14"/>
    <col width="2" customWidth="1" min="15" max="15"/>
    <col width="12" customWidth="1" min="16" max="16"/>
    <col width="2" customWidth="1" min="17" max="17"/>
    <col width="24" customWidth="1" min="18" max="18"/>
    <col width="2" customWidth="1" min="19" max="19"/>
    <col width="26" customWidth="1" min="20" max="20"/>
    <col width="2" customWidth="1" min="21" max="21"/>
    <col width="30" customWidth="1" min="22" max="22"/>
    <col width="2" customWidth="1" min="23" max="23"/>
    <col width="28" customWidth="1" min="24" max="24"/>
  </cols>
  <sheetData>
    <row r="1" ht="34" customHeight="1">
      <c r="A1" s="1" t="inlineStr">
        <is>
          <t>CONFIG · catálogos y reglas de negocio</t>
        </is>
      </c>
    </row>
    <row r="2">
      <c r="A2" s="7" t="inlineStr">
        <is>
          <t>Aquí se cambia el comportamiento de toda la matriz sin tocar una sola fórmula. Agregue filas hacia abajo: las listas desplegables crecen solas.</t>
        </is>
      </c>
    </row>
    <row r="3" ht="30" customHeight="1">
      <c r="A3" s="46" t="inlineStr">
        <is>
          <t>TIPO DE NOVEDAD</t>
        </is>
      </c>
      <c r="B3" s="46" t="inlineStr">
        <is>
          <t>ÁMBITO</t>
        </is>
      </c>
      <c r="C3" s="46" t="inlineStr">
        <is>
          <t>GRAVEDAD</t>
        </is>
      </c>
      <c r="D3" s="46" t="inlineStr">
        <is>
          <t>SLA (días hábiles)</t>
        </is>
      </c>
      <c r="E3" s="46" t="inlineStr">
        <is>
          <t>¿AFECTA LA ENTREGA?</t>
        </is>
      </c>
      <c r="G3" s="46" t="inlineStr">
        <is>
          <t>CAUSA RAÍZ</t>
        </is>
      </c>
      <c r="H3" s="46" t="inlineStr">
        <is>
          <t>FAMILIA (6M)</t>
        </is>
      </c>
      <c r="I3" s="46" t="inlineStr">
        <is>
          <t>ÁREA RESPONSABLE</t>
        </is>
      </c>
      <c r="K3" s="46" t="inlineStr">
        <is>
          <t>ESTADO</t>
        </is>
      </c>
      <c r="L3" s="46" t="inlineStr">
        <is>
          <t>¿CIERRA EL CASO?</t>
        </is>
      </c>
      <c r="N3" s="46" t="inlineStr">
        <is>
          <t>PUNTO DE OCURRENCIA</t>
        </is>
      </c>
      <c r="P3" s="46" t="inlineStr">
        <is>
          <t>ORIGEN</t>
        </is>
      </c>
      <c r="R3" s="46" t="inlineStr">
        <is>
          <t>TRANSPORTADORA</t>
        </is>
      </c>
      <c r="T3" s="46" t="inlineStr">
        <is>
          <t>RESPONSABLE</t>
        </is>
      </c>
      <c r="V3" s="8" t="inlineStr">
        <is>
          <t>⚙ CÁLCULO DEL TABLERO — no borrar</t>
        </is>
      </c>
      <c r="X3" s="8" t="inlineStr">
        <is>
          <t>⚙ BUSCADOR — fila del envío</t>
        </is>
      </c>
    </row>
    <row r="4" ht="16" customHeight="1">
      <c r="A4" s="50" t="inlineStr">
        <is>
          <t>Cliente ausente / no atiende</t>
        </is>
      </c>
      <c r="B4" s="48" t="inlineStr">
        <is>
          <t>En ruta</t>
        </is>
      </c>
      <c r="C4" s="48" t="inlineStr">
        <is>
          <t>Media</t>
        </is>
      </c>
      <c r="D4" s="51" t="n">
        <v>2</v>
      </c>
      <c r="E4" s="48" t="inlineStr">
        <is>
          <t>SÍ</t>
        </is>
      </c>
      <c r="G4" s="50" t="inlineStr">
        <is>
          <t>Error de alistamiento (picking)</t>
        </is>
      </c>
      <c r="H4" s="48" t="inlineStr">
        <is>
          <t>Método</t>
        </is>
      </c>
      <c r="I4" s="48" t="inlineStr">
        <is>
          <t>Bodega</t>
        </is>
      </c>
      <c r="K4" s="50" t="inlineStr">
        <is>
          <t>Sin gestionar</t>
        </is>
      </c>
      <c r="L4" s="48" t="inlineStr">
        <is>
          <t>NO</t>
        </is>
      </c>
      <c r="N4" s="50" t="inlineStr">
        <is>
          <t>En ruta / entrega al cliente</t>
        </is>
      </c>
      <c r="P4" s="50" t="inlineStr">
        <is>
          <t>En ruta</t>
        </is>
      </c>
      <c r="R4" s="50" t="inlineStr">
        <is>
          <t>Transportadora A</t>
        </is>
      </c>
      <c r="T4" s="50" t="inlineStr">
        <is>
          <t>Coordinador de logística</t>
        </is>
      </c>
      <c r="V4" s="59">
        <f>IF($G4="","",COUNTIFS(NOVEDADES!$Q$4:$Q$1503,$G4,NOVEDADES!$B$4:$B$1503,"&gt;="&amp;TABLERO!$E$4,NOVEDADES!$B$4:$B$1503,"&lt;="&amp;TABLERO!$G$4)+ROW()/100000)</f>
        <v/>
      </c>
      <c r="X4" s="28">
        <f>IFERROR(MATCH(TABLERO!$D$113,ENVIOS!$A$4:$A$3003,0),IFERROR(MATCH(TABLERO!$D$113,ENVIOS!$B$4:$B$3003,0),""))</f>
        <v/>
      </c>
    </row>
    <row r="5" ht="16" customHeight="1">
      <c r="A5" s="50" t="inlineStr">
        <is>
          <t>Cliente rechaza el envío</t>
        </is>
      </c>
      <c r="B5" s="48" t="inlineStr">
        <is>
          <t>En ruta</t>
        </is>
      </c>
      <c r="C5" s="48" t="inlineStr">
        <is>
          <t>Alta</t>
        </is>
      </c>
      <c r="D5" s="51" t="n">
        <v>2</v>
      </c>
      <c r="E5" s="48" t="inlineStr">
        <is>
          <t>SÍ</t>
        </is>
      </c>
      <c r="G5" s="50" t="inlineStr">
        <is>
          <t>Embalaje o estibado deficiente</t>
        </is>
      </c>
      <c r="H5" s="48" t="inlineStr">
        <is>
          <t>Material</t>
        </is>
      </c>
      <c r="I5" s="48" t="inlineStr">
        <is>
          <t>Bodega</t>
        </is>
      </c>
      <c r="K5" s="50" t="inlineStr">
        <is>
          <t>En gestión</t>
        </is>
      </c>
      <c r="L5" s="48" t="inlineStr">
        <is>
          <t>NO</t>
        </is>
      </c>
      <c r="N5" s="50" t="inlineStr">
        <is>
          <t>Recepción de proveedor</t>
        </is>
      </c>
      <c r="P5" s="50" t="inlineStr">
        <is>
          <t>Interna</t>
        </is>
      </c>
      <c r="R5" s="50" t="inlineStr">
        <is>
          <t>Transportadora B</t>
        </is>
      </c>
      <c r="T5" s="50" t="inlineStr">
        <is>
          <t>Jefe de bodega</t>
        </is>
      </c>
      <c r="V5" s="59">
        <f>IF($G5="","",COUNTIFS(NOVEDADES!$Q$4:$Q$1503,$G5,NOVEDADES!$B$4:$B$1503,"&gt;="&amp;TABLERO!$E$4,NOVEDADES!$B$4:$B$1503,"&lt;="&amp;TABLERO!$G$4)+ROW()/100000)</f>
        <v/>
      </c>
    </row>
    <row r="6" ht="16" customHeight="1">
      <c r="A6" s="50" t="inlineStr">
        <is>
          <t>Dirección errada o incompleta</t>
        </is>
      </c>
      <c r="B6" s="48" t="inlineStr">
        <is>
          <t>En ruta</t>
        </is>
      </c>
      <c r="C6" s="48" t="inlineStr">
        <is>
          <t>Media</t>
        </is>
      </c>
      <c r="D6" s="51" t="n">
        <v>2</v>
      </c>
      <c r="E6" s="48" t="inlineStr">
        <is>
          <t>SÍ</t>
        </is>
      </c>
      <c r="G6" s="50" t="inlineStr">
        <is>
          <t>Inventario descuadrado</t>
        </is>
      </c>
      <c r="H6" s="48" t="inlineStr">
        <is>
          <t>Medición</t>
        </is>
      </c>
      <c r="I6" s="48" t="inlineStr">
        <is>
          <t>Bodega</t>
        </is>
      </c>
      <c r="K6" s="50" t="inlineStr">
        <is>
          <t>Esperando a la transportadora</t>
        </is>
      </c>
      <c r="L6" s="48" t="inlineStr">
        <is>
          <t>NO</t>
        </is>
      </c>
      <c r="N6" s="50" t="inlineStr">
        <is>
          <t>Almacenamiento</t>
        </is>
      </c>
      <c r="R6" s="50" t="inlineStr">
        <is>
          <t>Transportadora C</t>
        </is>
      </c>
      <c r="T6" s="50" t="inlineStr">
        <is>
          <t>Analista de transporte</t>
        </is>
      </c>
      <c r="V6" s="59">
        <f>IF($G6="","",COUNTIFS(NOVEDADES!$Q$4:$Q$1503,$G6,NOVEDADES!$B$4:$B$1503,"&gt;="&amp;TABLERO!$E$4,NOVEDADES!$B$4:$B$1503,"&lt;="&amp;TABLERO!$G$4)+ROW()/100000)</f>
        <v/>
      </c>
    </row>
    <row r="7" ht="16" customHeight="1">
      <c r="A7" s="50" t="inlineStr">
        <is>
          <t>Cliente cerrado / fuera de horario</t>
        </is>
      </c>
      <c r="B7" s="48" t="inlineStr">
        <is>
          <t>En ruta</t>
        </is>
      </c>
      <c r="C7" s="48" t="inlineStr">
        <is>
          <t>Media</t>
        </is>
      </c>
      <c r="D7" s="51" t="n">
        <v>2</v>
      </c>
      <c r="E7" s="48" t="inlineStr">
        <is>
          <t>SÍ</t>
        </is>
      </c>
      <c r="G7" s="50" t="inlineStr">
        <is>
          <t>Falta de espacio u orden en bodega</t>
        </is>
      </c>
      <c r="H7" s="48" t="inlineStr">
        <is>
          <t>Método</t>
        </is>
      </c>
      <c r="I7" s="48" t="inlineStr">
        <is>
          <t>Bodega</t>
        </is>
      </c>
      <c r="K7" s="50" t="inlineStr">
        <is>
          <t>Esperando al cliente</t>
        </is>
      </c>
      <c r="L7" s="48" t="inlineStr">
        <is>
          <t>NO</t>
        </is>
      </c>
      <c r="N7" s="50" t="inlineStr">
        <is>
          <t>Alistamiento (picking)</t>
        </is>
      </c>
      <c r="R7" s="50" t="inlineStr">
        <is>
          <t>Flota propia</t>
        </is>
      </c>
      <c r="T7" s="50" t="inlineStr">
        <is>
          <t>Servicio al cliente</t>
        </is>
      </c>
      <c r="V7" s="59">
        <f>IF($G7="","",COUNTIFS(NOVEDADES!$Q$4:$Q$1503,$G7,NOVEDADES!$B$4:$B$1503,"&gt;="&amp;TABLERO!$E$4,NOVEDADES!$B$4:$B$1503,"&lt;="&amp;TABLERO!$G$4)+ROW()/100000)</f>
        <v/>
      </c>
    </row>
    <row r="8" ht="16" customHeight="1">
      <c r="A8" s="50" t="inlineStr">
        <is>
          <t>Zona restringida o sin acceso</t>
        </is>
      </c>
      <c r="B8" s="48" t="inlineStr">
        <is>
          <t>En ruta</t>
        </is>
      </c>
      <c r="C8" s="48" t="inlineStr">
        <is>
          <t>Media</t>
        </is>
      </c>
      <c r="D8" s="51" t="n">
        <v>3</v>
      </c>
      <c r="E8" s="48" t="inlineStr">
        <is>
          <t>SÍ</t>
        </is>
      </c>
      <c r="G8" s="50" t="inlineStr">
        <is>
          <t>Personal insuficiente en el turno</t>
        </is>
      </c>
      <c r="H8" s="48" t="inlineStr">
        <is>
          <t>Mano de obra</t>
        </is>
      </c>
      <c r="I8" s="48" t="inlineStr">
        <is>
          <t>Bodega</t>
        </is>
      </c>
      <c r="K8" s="50" t="inlineStr">
        <is>
          <t>Resuelta</t>
        </is>
      </c>
      <c r="L8" s="48" t="inlineStr">
        <is>
          <t>SÍ</t>
        </is>
      </c>
      <c r="N8" s="50" t="inlineStr">
        <is>
          <t>Empaque</t>
        </is>
      </c>
      <c r="T8" s="50" t="inlineStr">
        <is>
          <t>Comercial</t>
        </is>
      </c>
      <c r="V8" s="59">
        <f>IF($G8="","",COUNTIFS(NOVEDADES!$Q$4:$Q$1503,$G8,NOVEDADES!$B$4:$B$1503,"&gt;="&amp;TABLERO!$E$4,NOVEDADES!$B$4:$B$1503,"&lt;="&amp;TABLERO!$G$4)+ROW()/100000)</f>
        <v/>
      </c>
    </row>
    <row r="9" ht="16" customHeight="1">
      <c r="A9" s="50" t="inlineStr">
        <is>
          <t>Pago contraentrega fallido</t>
        </is>
      </c>
      <c r="B9" s="48" t="inlineStr">
        <is>
          <t>En ruta</t>
        </is>
      </c>
      <c r="C9" s="48" t="inlineStr">
        <is>
          <t>Alta</t>
        </is>
      </c>
      <c r="D9" s="51" t="n">
        <v>2</v>
      </c>
      <c r="E9" s="48" t="inlineStr">
        <is>
          <t>SÍ</t>
        </is>
      </c>
      <c r="G9" s="50" t="inlineStr">
        <is>
          <t>Equipo de bodega fuera de servicio</t>
        </is>
      </c>
      <c r="H9" s="48" t="inlineStr">
        <is>
          <t>Máquina</t>
        </is>
      </c>
      <c r="I9" s="48" t="inlineStr">
        <is>
          <t>Bodega</t>
        </is>
      </c>
      <c r="K9" s="50" t="inlineStr">
        <is>
          <t>Anulada</t>
        </is>
      </c>
      <c r="L9" s="48" t="inlineStr">
        <is>
          <t>SÍ</t>
        </is>
      </c>
      <c r="N9" s="50" t="inlineStr">
        <is>
          <t>Cargue del vehículo</t>
        </is>
      </c>
      <c r="T9" s="50" t="inlineStr">
        <is>
          <t>Facturación</t>
        </is>
      </c>
      <c r="V9" s="59">
        <f>IF($G9="","",COUNTIFS(NOVEDADES!$Q$4:$Q$1503,$G9,NOVEDADES!$B$4:$B$1503,"&gt;="&amp;TABLERO!$E$4,NOVEDADES!$B$4:$B$1503,"&lt;="&amp;TABLERO!$G$4)+ROW()/100000)</f>
        <v/>
      </c>
    </row>
    <row r="10" ht="16" customHeight="1">
      <c r="A10" s="50" t="inlineStr">
        <is>
          <t>Avería / producto dañado</t>
        </is>
      </c>
      <c r="B10" s="48" t="inlineStr">
        <is>
          <t>En ruta</t>
        </is>
      </c>
      <c r="C10" s="48" t="inlineStr">
        <is>
          <t>Alta</t>
        </is>
      </c>
      <c r="D10" s="51" t="n">
        <v>3</v>
      </c>
      <c r="E10" s="48" t="inlineStr">
        <is>
          <t>SÍ</t>
        </is>
      </c>
      <c r="G10" s="50" t="inlineStr">
        <is>
          <t>Manipulación brusca en cargue/descargue</t>
        </is>
      </c>
      <c r="H10" s="48" t="inlineStr">
        <is>
          <t>Mano de obra</t>
        </is>
      </c>
      <c r="I10" s="48" t="inlineStr">
        <is>
          <t>Transporte</t>
        </is>
      </c>
      <c r="N10" s="50" t="inlineStr">
        <is>
          <t>Despacho y coordinación</t>
        </is>
      </c>
      <c r="T10" s="50" t="inlineStr">
        <is>
          <t>Cartera</t>
        </is>
      </c>
      <c r="V10" s="59">
        <f>IF($G10="","",COUNTIFS(NOVEDADES!$Q$4:$Q$1503,$G10,NOVEDADES!$B$4:$B$1503,"&gt;="&amp;TABLERO!$E$4,NOVEDADES!$B$4:$B$1503,"&lt;="&amp;TABLERO!$G$4)+ROW()/100000)</f>
        <v/>
      </c>
    </row>
    <row r="11" ht="16" customHeight="1">
      <c r="A11" s="50" t="inlineStr">
        <is>
          <t>Faltante (llegó de menos)</t>
        </is>
      </c>
      <c r="B11" s="48" t="inlineStr">
        <is>
          <t>En ruta</t>
        </is>
      </c>
      <c r="C11" s="48" t="inlineStr">
        <is>
          <t>Alta</t>
        </is>
      </c>
      <c r="D11" s="51" t="n">
        <v>2</v>
      </c>
      <c r="E11" s="48" t="inlineStr">
        <is>
          <t>SÍ</t>
        </is>
      </c>
      <c r="G11" s="50" t="inlineStr">
        <is>
          <t>Sobrecupo o mal acomodo en el vehículo</t>
        </is>
      </c>
      <c r="H11" s="48" t="inlineStr">
        <is>
          <t>Método</t>
        </is>
      </c>
      <c r="I11" s="48" t="inlineStr">
        <is>
          <t>Transporte</t>
        </is>
      </c>
      <c r="N11" s="50" t="inlineStr">
        <is>
          <t>Facturación y documentos</t>
        </is>
      </c>
      <c r="T11" s="50" t="inlineStr">
        <is>
          <t>Calidad</t>
        </is>
      </c>
      <c r="V11" s="59">
        <f>IF($G11="","",COUNTIFS(NOVEDADES!$Q$4:$Q$1503,$G11,NOVEDADES!$B$4:$B$1503,"&gt;="&amp;TABLERO!$E$4,NOVEDADES!$B$4:$B$1503,"&lt;="&amp;TABLERO!$G$4)+ROW()/100000)</f>
        <v/>
      </c>
    </row>
    <row r="12" ht="16" customHeight="1">
      <c r="A12" s="50" t="inlineStr">
        <is>
          <t>Sobrante (llegó de más)</t>
        </is>
      </c>
      <c r="B12" s="48" t="inlineStr">
        <is>
          <t>En ruta</t>
        </is>
      </c>
      <c r="C12" s="48" t="inlineStr">
        <is>
          <t>Baja</t>
        </is>
      </c>
      <c r="D12" s="51" t="n">
        <v>5</v>
      </c>
      <c r="E12" s="48" t="inlineStr">
        <is>
          <t>NO</t>
        </is>
      </c>
      <c r="G12" s="50" t="inlineStr">
        <is>
          <t>Conductor sin capacitación o procedimiento</t>
        </is>
      </c>
      <c r="H12" s="48" t="inlineStr">
        <is>
          <t>Mano de obra</t>
        </is>
      </c>
      <c r="I12" s="48" t="inlineStr">
        <is>
          <t>Transporte</t>
        </is>
      </c>
      <c r="N12" s="50" t="inlineStr">
        <is>
          <t>Bodega de devoluciones</t>
        </is>
      </c>
      <c r="T12" s="50" t="inlineStr">
        <is>
          <t>Jefe de operaciones</t>
        </is>
      </c>
      <c r="V12" s="59">
        <f>IF($G12="","",COUNTIFS(NOVEDADES!$Q$4:$Q$1503,$G12,NOVEDADES!$B$4:$B$1503,"&gt;="&amp;TABLERO!$E$4,NOVEDADES!$B$4:$B$1503,"&lt;="&amp;TABLERO!$G$4)+ROW()/100000)</f>
        <v/>
      </c>
    </row>
    <row r="13" ht="16" customHeight="1">
      <c r="A13" s="50" t="inlineStr">
        <is>
          <t>Producto equivocado</t>
        </is>
      </c>
      <c r="B13" s="48" t="inlineStr">
        <is>
          <t>En ruta</t>
        </is>
      </c>
      <c r="C13" s="48" t="inlineStr">
        <is>
          <t>Alta</t>
        </is>
      </c>
      <c r="D13" s="51" t="n">
        <v>2</v>
      </c>
      <c r="E13" s="48" t="inlineStr">
        <is>
          <t>SÍ</t>
        </is>
      </c>
      <c r="G13" s="50" t="inlineStr">
        <is>
          <t>Falla mecánica del vehículo</t>
        </is>
      </c>
      <c r="H13" s="48" t="inlineStr">
        <is>
          <t>Máquina</t>
        </is>
      </c>
      <c r="I13" s="48" t="inlineStr">
        <is>
          <t>Transporte</t>
        </is>
      </c>
      <c r="N13" s="50" t="inlineStr">
        <is>
          <t>Patio / zona de maniobras</t>
        </is>
      </c>
      <c r="T13" s="50" t="inlineStr">
        <is>
          <t>Seguridad y salud</t>
        </is>
      </c>
      <c r="V13" s="59">
        <f>IF($G13="","",COUNTIFS(NOVEDADES!$Q$4:$Q$1503,$G13,NOVEDADES!$B$4:$B$1503,"&gt;="&amp;TABLERO!$E$4,NOVEDADES!$B$4:$B$1503,"&lt;="&amp;TABLERO!$G$4)+ROW()/100000)</f>
        <v/>
      </c>
    </row>
    <row r="14" ht="16" customHeight="1">
      <c r="A14" s="50" t="inlineStr">
        <is>
          <t>Producto vencido o próximo a vencer</t>
        </is>
      </c>
      <c r="B14" s="48" t="inlineStr">
        <is>
          <t>En ruta</t>
        </is>
      </c>
      <c r="C14" s="48" t="inlineStr">
        <is>
          <t>Alta</t>
        </is>
      </c>
      <c r="D14" s="51" t="n">
        <v>3</v>
      </c>
      <c r="E14" s="48" t="inlineStr">
        <is>
          <t>SÍ</t>
        </is>
      </c>
      <c r="G14" s="50" t="inlineStr">
        <is>
          <t>Ruta mal planeada o secuencia errada</t>
        </is>
      </c>
      <c r="H14" s="48" t="inlineStr">
        <is>
          <t>Método</t>
        </is>
      </c>
      <c r="I14" s="48" t="inlineStr">
        <is>
          <t>Planeación</t>
        </is>
      </c>
      <c r="N14" s="50" t="inlineStr">
        <is>
          <t>Oficina / administrativo</t>
        </is>
      </c>
      <c r="V14" s="59">
        <f>IF($G14="","",COUNTIFS(NOVEDADES!$Q$4:$Q$1503,$G14,NOVEDADES!$B$4:$B$1503,"&gt;="&amp;TABLERO!$E$4,NOVEDADES!$B$4:$B$1503,"&lt;="&amp;TABLERO!$G$4)+ROW()/100000)</f>
        <v/>
      </c>
    </row>
    <row r="15" ht="16" customHeight="1">
      <c r="A15" s="50" t="inlineStr">
        <is>
          <t>Empaque en mal estado</t>
        </is>
      </c>
      <c r="B15" s="48" t="inlineStr">
        <is>
          <t>En ruta</t>
        </is>
      </c>
      <c r="C15" s="48" t="inlineStr">
        <is>
          <t>Media</t>
        </is>
      </c>
      <c r="D15" s="51" t="n">
        <v>3</v>
      </c>
      <c r="E15" s="48" t="inlineStr">
        <is>
          <t>NO</t>
        </is>
      </c>
      <c r="G15" s="50" t="inlineStr">
        <is>
          <t>Promesa de entrega irreal</t>
        </is>
      </c>
      <c r="H15" s="48" t="inlineStr">
        <is>
          <t>Método</t>
        </is>
      </c>
      <c r="I15" s="48" t="inlineStr">
        <is>
          <t>Planeación</t>
        </is>
      </c>
      <c r="N15" s="50" t="inlineStr">
        <is>
          <t>Otro</t>
        </is>
      </c>
      <c r="V15" s="59">
        <f>IF($G15="","",COUNTIFS(NOVEDADES!$Q$4:$Q$1503,$G15,NOVEDADES!$B$4:$B$1503,"&gt;="&amp;TABLERO!$E$4,NOVEDADES!$B$4:$B$1503,"&lt;="&amp;TABLERO!$G$4)+ROW()/100000)</f>
        <v/>
      </c>
    </row>
    <row r="16" ht="16" customHeight="1">
      <c r="A16" s="50" t="inlineStr">
        <is>
          <t>Retraso en vía</t>
        </is>
      </c>
      <c r="B16" s="48" t="inlineStr">
        <is>
          <t>En ruta</t>
        </is>
      </c>
      <c r="C16" s="48" t="inlineStr">
        <is>
          <t>Alta</t>
        </is>
      </c>
      <c r="D16" s="51" t="n">
        <v>1</v>
      </c>
      <c r="E16" s="48" t="inlineStr">
        <is>
          <t>NO</t>
        </is>
      </c>
      <c r="G16" s="50" t="inlineStr">
        <is>
          <t>Procedimiento no seguido</t>
        </is>
      </c>
      <c r="H16" s="48" t="inlineStr">
        <is>
          <t>Método</t>
        </is>
      </c>
      <c r="I16" s="48" t="inlineStr">
        <is>
          <t>Operaciones</t>
        </is>
      </c>
      <c r="V16" s="59">
        <f>IF($G16="","",COUNTIFS(NOVEDADES!$Q$4:$Q$1503,$G16,NOVEDADES!$B$4:$B$1503,"&gt;="&amp;TABLERO!$E$4,NOVEDADES!$B$4:$B$1503,"&lt;="&amp;TABLERO!$G$4)+ROW()/100000)</f>
        <v/>
      </c>
    </row>
    <row r="17" ht="16" customHeight="1">
      <c r="A17" s="50" t="inlineStr">
        <is>
          <t>Vehículo varado / falla mecánica</t>
        </is>
      </c>
      <c r="B17" s="48" t="inlineStr">
        <is>
          <t>En ruta</t>
        </is>
      </c>
      <c r="C17" s="48" t="inlineStr">
        <is>
          <t>Crítica</t>
        </is>
      </c>
      <c r="D17" s="51" t="n">
        <v>1</v>
      </c>
      <c r="E17" s="48" t="inlineStr">
        <is>
          <t>SÍ</t>
        </is>
      </c>
      <c r="G17" s="50" t="inlineStr">
        <is>
          <t>Datos del cliente desactualizados</t>
        </is>
      </c>
      <c r="H17" s="48" t="inlineStr">
        <is>
          <t>Medición</t>
        </is>
      </c>
      <c r="I17" s="48" t="inlineStr">
        <is>
          <t>Comercial</t>
        </is>
      </c>
      <c r="V17" s="59">
        <f>IF($G17="","",COUNTIFS(NOVEDADES!$Q$4:$Q$1503,$G17,NOVEDADES!$B$4:$B$1503,"&gt;="&amp;TABLERO!$E$4,NOVEDADES!$B$4:$B$1503,"&lt;="&amp;TABLERO!$G$4)+ROW()/100000)</f>
        <v/>
      </c>
    </row>
    <row r="18" ht="16" customHeight="1">
      <c r="A18" s="50" t="inlineStr">
        <is>
          <t>Pérdida o robo de mercancía</t>
        </is>
      </c>
      <c r="B18" s="48" t="inlineStr">
        <is>
          <t>En ruta</t>
        </is>
      </c>
      <c r="C18" s="48" t="inlineStr">
        <is>
          <t>Crítica</t>
        </is>
      </c>
      <c r="D18" s="51" t="n">
        <v>1</v>
      </c>
      <c r="E18" s="48" t="inlineStr">
        <is>
          <t>SÍ</t>
        </is>
      </c>
      <c r="G18" s="50" t="inlineStr">
        <is>
          <t>Error de digitación del pedido</t>
        </is>
      </c>
      <c r="H18" s="48" t="inlineStr">
        <is>
          <t>Mano de obra</t>
        </is>
      </c>
      <c r="I18" s="48" t="inlineStr">
        <is>
          <t>Comercial</t>
        </is>
      </c>
      <c r="V18" s="59">
        <f>IF($G18="","",COUNTIFS(NOVEDADES!$Q$4:$Q$1503,$G18,NOVEDADES!$B$4:$B$1503,"&gt;="&amp;TABLERO!$E$4,NOVEDADES!$B$4:$B$1503,"&lt;="&amp;TABLERO!$G$4)+ROW()/100000)</f>
        <v/>
      </c>
    </row>
    <row r="19" ht="16" customHeight="1">
      <c r="A19" s="50" t="inlineStr">
        <is>
          <t>Entrega parcial acordada</t>
        </is>
      </c>
      <c r="B19" s="48" t="inlineStr">
        <is>
          <t>En ruta</t>
        </is>
      </c>
      <c r="C19" s="48" t="inlineStr">
        <is>
          <t>Baja</t>
        </is>
      </c>
      <c r="D19" s="51" t="n">
        <v>5</v>
      </c>
      <c r="E19" s="48" t="inlineStr">
        <is>
          <t>SÍ</t>
        </is>
      </c>
      <c r="G19" s="50" t="inlineStr">
        <is>
          <t>Cliente cambió de decisión</t>
        </is>
      </c>
      <c r="H19" s="48" t="inlineStr">
        <is>
          <t>Externo</t>
        </is>
      </c>
      <c r="I19" s="48" t="inlineStr">
        <is>
          <t>Comercial</t>
        </is>
      </c>
      <c r="V19" s="59">
        <f>IF($G19="","",COUNTIFS(NOVEDADES!$Q$4:$Q$1503,$G19,NOVEDADES!$B$4:$B$1503,"&gt;="&amp;TABLERO!$E$4,NOVEDADES!$B$4:$B$1503,"&lt;="&amp;TABLERO!$G$4)+ROW()/100000)</f>
        <v/>
      </c>
    </row>
    <row r="20" ht="16" customHeight="1">
      <c r="A20" s="50" t="inlineStr">
        <is>
          <t>Soporte de entrega sin firmar</t>
        </is>
      </c>
      <c r="B20" s="48" t="inlineStr">
        <is>
          <t>En ruta</t>
        </is>
      </c>
      <c r="C20" s="48" t="inlineStr">
        <is>
          <t>Media</t>
        </is>
      </c>
      <c r="D20" s="51" t="n">
        <v>4</v>
      </c>
      <c r="E20" s="48" t="inlineStr">
        <is>
          <t>NO</t>
        </is>
      </c>
      <c r="G20" s="50" t="inlineStr">
        <is>
          <t>Documentación incompleta</t>
        </is>
      </c>
      <c r="H20" s="48" t="inlineStr">
        <is>
          <t>Método</t>
        </is>
      </c>
      <c r="I20" s="48" t="inlineStr">
        <is>
          <t>Facturación</t>
        </is>
      </c>
      <c r="V20" s="59">
        <f>IF($G20="","",COUNTIFS(NOVEDADES!$Q$4:$Q$1503,$G20,NOVEDADES!$B$4:$B$1503,"&gt;="&amp;TABLERO!$E$4,NOVEDADES!$B$4:$B$1503,"&lt;="&amp;TABLERO!$G$4)+ROW()/100000)</f>
        <v/>
      </c>
    </row>
    <row r="21" ht="16" customHeight="1">
      <c r="A21" s="50" t="inlineStr">
        <is>
          <t>Error en factura o precio</t>
        </is>
      </c>
      <c r="B21" s="48" t="inlineStr">
        <is>
          <t>En ruta</t>
        </is>
      </c>
      <c r="C21" s="48" t="inlineStr">
        <is>
          <t>Media</t>
        </is>
      </c>
      <c r="D21" s="51" t="n">
        <v>5</v>
      </c>
      <c r="E21" s="48" t="inlineStr">
        <is>
          <t>NO</t>
        </is>
      </c>
      <c r="G21" s="50" t="inlineStr">
        <is>
          <t>Error en facturación o precio</t>
        </is>
      </c>
      <c r="H21" s="48" t="inlineStr">
        <is>
          <t>Método</t>
        </is>
      </c>
      <c r="I21" s="48" t="inlineStr">
        <is>
          <t>Facturación</t>
        </is>
      </c>
      <c r="V21" s="59">
        <f>IF($G21="","",COUNTIFS(NOVEDADES!$Q$4:$Q$1503,$G21,NOVEDADES!$B$4:$B$1503,"&gt;="&amp;TABLERO!$E$4,NOVEDADES!$B$4:$B$1503,"&lt;="&amp;TABLERO!$G$4)+ROW()/100000)</f>
        <v/>
      </c>
    </row>
    <row r="22" ht="16" customHeight="1">
      <c r="A22" s="50" t="inlineStr">
        <is>
          <t>Flete no liquidado</t>
        </is>
      </c>
      <c r="B22" s="48" t="inlineStr">
        <is>
          <t>En ruta</t>
        </is>
      </c>
      <c r="C22" s="48" t="inlineStr">
        <is>
          <t>Baja</t>
        </is>
      </c>
      <c r="D22" s="51" t="n">
        <v>5</v>
      </c>
      <c r="E22" s="48" t="inlineStr">
        <is>
          <t>NO</t>
        </is>
      </c>
      <c r="G22" s="50" t="inlineStr">
        <is>
          <t>Cliente sin cupo / cartera bloqueada</t>
        </is>
      </c>
      <c r="H22" s="48" t="inlineStr">
        <is>
          <t>Método</t>
        </is>
      </c>
      <c r="I22" s="48" t="inlineStr">
        <is>
          <t>Cartera</t>
        </is>
      </c>
      <c r="V22" s="59">
        <f>IF($G22="","",COUNTIFS(NOVEDADES!$Q$4:$Q$1503,$G22,NOVEDADES!$B$4:$B$1503,"&gt;="&amp;TABLERO!$E$4,NOVEDADES!$B$4:$B$1503,"&lt;="&amp;TABLERO!$G$4)+ROW()/100000)</f>
        <v/>
      </c>
    </row>
    <row r="23" ht="16" customHeight="1">
      <c r="A23" s="50" t="inlineStr">
        <is>
          <t>Error de alistamiento detectado en bodega</t>
        </is>
      </c>
      <c r="B23" s="48" t="inlineStr">
        <is>
          <t>Interna</t>
        </is>
      </c>
      <c r="C23" s="48" t="inlineStr">
        <is>
          <t>Media</t>
        </is>
      </c>
      <c r="D23" s="51" t="n">
        <v>1</v>
      </c>
      <c r="E23" s="48" t="inlineStr">
        <is>
          <t>NO</t>
        </is>
      </c>
      <c r="G23" s="50" t="inlineStr">
        <is>
          <t>Producto con calidad o rotación deficiente</t>
        </is>
      </c>
      <c r="H23" s="48" t="inlineStr">
        <is>
          <t>Material</t>
        </is>
      </c>
      <c r="I23" s="48" t="inlineStr">
        <is>
          <t>Calidad</t>
        </is>
      </c>
      <c r="V23" s="59">
        <f>IF($G23="","",COUNTIFS(NOVEDADES!$Q$4:$Q$1503,$G23,NOVEDADES!$B$4:$B$1503,"&gt;="&amp;TABLERO!$E$4,NOVEDADES!$B$4:$B$1503,"&lt;="&amp;TABLERO!$G$4)+ROW()/100000)</f>
        <v/>
      </c>
    </row>
    <row r="24" ht="16" customHeight="1">
      <c r="A24" s="50" t="inlineStr">
        <is>
          <t>Diferencia de inventario</t>
        </is>
      </c>
      <c r="B24" s="48" t="inlineStr">
        <is>
          <t>Interna</t>
        </is>
      </c>
      <c r="C24" s="48" t="inlineStr">
        <is>
          <t>Alta</t>
        </is>
      </c>
      <c r="D24" s="51" t="n">
        <v>3</v>
      </c>
      <c r="E24" s="48" t="inlineStr">
        <is>
          <t>NO</t>
        </is>
      </c>
      <c r="G24" s="50" t="inlineStr">
        <is>
          <t>Tráfico, cierre vial u orden público</t>
        </is>
      </c>
      <c r="H24" s="48" t="inlineStr">
        <is>
          <t>Medio ambiente</t>
        </is>
      </c>
      <c r="I24" s="48" t="inlineStr">
        <is>
          <t>Externo</t>
        </is>
      </c>
      <c r="V24" s="59">
        <f>IF($G24="","",COUNTIFS(NOVEDADES!$Q$4:$Q$1503,$G24,NOVEDADES!$B$4:$B$1503,"&gt;="&amp;TABLERO!$E$4,NOVEDADES!$B$4:$B$1503,"&lt;="&amp;TABLERO!$G$4)+ROW()/100000)</f>
        <v/>
      </c>
    </row>
    <row r="25" ht="16" customHeight="1">
      <c r="A25" s="50" t="inlineStr">
        <is>
          <t>Producto averiado en bodega</t>
        </is>
      </c>
      <c r="B25" s="48" t="inlineStr">
        <is>
          <t>Interna</t>
        </is>
      </c>
      <c r="C25" s="48" t="inlineStr">
        <is>
          <t>Alta</t>
        </is>
      </c>
      <c r="D25" s="51" t="n">
        <v>2</v>
      </c>
      <c r="E25" s="48" t="inlineStr">
        <is>
          <t>NO</t>
        </is>
      </c>
      <c r="G25" s="50" t="inlineStr">
        <is>
          <t>Clima adverso</t>
        </is>
      </c>
      <c r="H25" s="48" t="inlineStr">
        <is>
          <t>Medio ambiente</t>
        </is>
      </c>
      <c r="I25" s="48" t="inlineStr">
        <is>
          <t>Externo</t>
        </is>
      </c>
      <c r="V25" s="59">
        <f>IF($G25="","",COUNTIFS(NOVEDADES!$Q$4:$Q$1503,$G25,NOVEDADES!$B$4:$B$1503,"&gt;="&amp;TABLERO!$E$4,NOVEDADES!$B$4:$B$1503,"&lt;="&amp;TABLERO!$G$4)+ROW()/100000)</f>
        <v/>
      </c>
    </row>
    <row r="26" ht="16" customHeight="1">
      <c r="A26" s="50" t="inlineStr">
        <is>
          <t>Producto vencido en bodega</t>
        </is>
      </c>
      <c r="B26" s="48" t="inlineStr">
        <is>
          <t>Interna</t>
        </is>
      </c>
      <c r="C26" s="48" t="inlineStr">
        <is>
          <t>Alta</t>
        </is>
      </c>
      <c r="D26" s="51" t="n">
        <v>3</v>
      </c>
      <c r="E26" s="48" t="inlineStr">
        <is>
          <t>NO</t>
        </is>
      </c>
      <c r="G26" s="50" t="inlineStr">
        <is>
          <t>Sin clasificar aún</t>
        </is>
      </c>
      <c r="H26" s="48" t="inlineStr">
        <is>
          <t>Por definir</t>
        </is>
      </c>
      <c r="I26" s="48" t="inlineStr">
        <is>
          <t>Por definir</t>
        </is>
      </c>
      <c r="V26" s="59">
        <f>IF($G26="","",COUNTIFS(NOVEDADES!$Q$4:$Q$1503,$G26,NOVEDADES!$B$4:$B$1503,"&gt;="&amp;TABLERO!$E$4,NOVEDADES!$B$4:$B$1503,"&lt;="&amp;TABLERO!$G$4)+ROW()/100000)</f>
        <v/>
      </c>
    </row>
    <row r="27" ht="16" customHeight="1">
      <c r="A27" s="50" t="inlineStr">
        <is>
          <t>Derrame o daño en manipulación interna</t>
        </is>
      </c>
      <c r="B27" s="48" t="inlineStr">
        <is>
          <t>Interna</t>
        </is>
      </c>
      <c r="C27" s="48" t="inlineStr">
        <is>
          <t>Alta</t>
        </is>
      </c>
      <c r="D27" s="51" t="n">
        <v>2</v>
      </c>
      <c r="E27" s="48" t="inlineStr">
        <is>
          <t>NO</t>
        </is>
      </c>
      <c r="V27" s="59">
        <f>IF($G27="","",COUNTIFS(NOVEDADES!$Q$4:$Q$1503,$G27,NOVEDADES!$B$4:$B$1503,"&gt;="&amp;TABLERO!$E$4,NOVEDADES!$B$4:$B$1503,"&lt;="&amp;TABLERO!$G$4)+ROW()/100000)</f>
        <v/>
      </c>
    </row>
    <row r="28" ht="16" customHeight="1">
      <c r="A28" s="50" t="inlineStr">
        <is>
          <t>Demora en el cargue</t>
        </is>
      </c>
      <c r="B28" s="48" t="inlineStr">
        <is>
          <t>Interna</t>
        </is>
      </c>
      <c r="C28" s="48" t="inlineStr">
        <is>
          <t>Media</t>
        </is>
      </c>
      <c r="D28" s="51" t="n">
        <v>1</v>
      </c>
      <c r="E28" s="48" t="inlineStr">
        <is>
          <t>NO</t>
        </is>
      </c>
      <c r="V28" s="59">
        <f>IF($G28="","",COUNTIFS(NOVEDADES!$Q$4:$Q$1503,$G28,NOVEDADES!$B$4:$B$1503,"&gt;="&amp;TABLERO!$E$4,NOVEDADES!$B$4:$B$1503,"&lt;="&amp;TABLERO!$G$4)+ROW()/100000)</f>
        <v/>
      </c>
    </row>
    <row r="29" ht="16" customHeight="1">
      <c r="A29" s="50" t="inlineStr">
        <is>
          <t>Demora en facturación o documentos</t>
        </is>
      </c>
      <c r="B29" s="48" t="inlineStr">
        <is>
          <t>Interna</t>
        </is>
      </c>
      <c r="C29" s="48" t="inlineStr">
        <is>
          <t>Media</t>
        </is>
      </c>
      <c r="D29" s="51" t="n">
        <v>2</v>
      </c>
      <c r="E29" s="48" t="inlineStr">
        <is>
          <t>NO</t>
        </is>
      </c>
      <c r="V29" s="59">
        <f>IF($G29="","",COUNTIFS(NOVEDADES!$Q$4:$Q$1503,$G29,NOVEDADES!$B$4:$B$1503,"&gt;="&amp;TABLERO!$E$4,NOVEDADES!$B$4:$B$1503,"&lt;="&amp;TABLERO!$G$4)+ROW()/100000)</f>
        <v/>
      </c>
    </row>
    <row r="30" ht="16" customHeight="1">
      <c r="A30" s="50" t="inlineStr">
        <is>
          <t>Pedido mal digitado (antes del despacho)</t>
        </is>
      </c>
      <c r="B30" s="48" t="inlineStr">
        <is>
          <t>Interna</t>
        </is>
      </c>
      <c r="C30" s="48" t="inlineStr">
        <is>
          <t>Media</t>
        </is>
      </c>
      <c r="D30" s="51" t="n">
        <v>1</v>
      </c>
      <c r="E30" s="48" t="inlineStr">
        <is>
          <t>NO</t>
        </is>
      </c>
      <c r="V30" s="59">
        <f>IF($G30="","",COUNTIFS(NOVEDADES!$Q$4:$Q$1503,$G30,NOVEDADES!$B$4:$B$1503,"&gt;="&amp;TABLERO!$E$4,NOVEDADES!$B$4:$B$1503,"&lt;="&amp;TABLERO!$G$4)+ROW()/100000)</f>
        <v/>
      </c>
    </row>
    <row r="31" ht="16" customHeight="1">
      <c r="A31" s="50" t="inlineStr">
        <is>
          <t>Devolución recibida sin soporte</t>
        </is>
      </c>
      <c r="B31" s="48" t="inlineStr">
        <is>
          <t>Interna</t>
        </is>
      </c>
      <c r="C31" s="48" t="inlineStr">
        <is>
          <t>Media</t>
        </is>
      </c>
      <c r="D31" s="51" t="n">
        <v>3</v>
      </c>
      <c r="E31" s="48" t="inlineStr">
        <is>
          <t>NO</t>
        </is>
      </c>
      <c r="V31" s="59">
        <f>IF($G31="","",COUNTIFS(NOVEDADES!$Q$4:$Q$1503,$G31,NOVEDADES!$B$4:$B$1503,"&gt;="&amp;TABLERO!$E$4,NOVEDADES!$B$4:$B$1503,"&lt;="&amp;TABLERO!$G$4)+ROW()/100000)</f>
        <v/>
      </c>
    </row>
    <row r="32" ht="16" customHeight="1">
      <c r="A32" s="50" t="inlineStr">
        <is>
          <t>Falla de equipo en bodega</t>
        </is>
      </c>
      <c r="B32" s="48" t="inlineStr">
        <is>
          <t>Interna</t>
        </is>
      </c>
      <c r="C32" s="48" t="inlineStr">
        <is>
          <t>Alta</t>
        </is>
      </c>
      <c r="D32" s="51" t="n">
        <v>1</v>
      </c>
      <c r="E32" s="48" t="inlineStr">
        <is>
          <t>NO</t>
        </is>
      </c>
      <c r="V32" s="59">
        <f>IF($G32="","",COUNTIFS(NOVEDADES!$Q$4:$Q$1503,$G32,NOVEDADES!$B$4:$B$1503,"&gt;="&amp;TABLERO!$E$4,NOVEDADES!$B$4:$B$1503,"&lt;="&amp;TABLERO!$G$4)+ROW()/100000)</f>
        <v/>
      </c>
    </row>
    <row r="33" ht="16" customHeight="1">
      <c r="A33" s="50" t="inlineStr">
        <is>
          <t>Faltante de personal en el turno</t>
        </is>
      </c>
      <c r="B33" s="48" t="inlineStr">
        <is>
          <t>Interna</t>
        </is>
      </c>
      <c r="C33" s="48" t="inlineStr">
        <is>
          <t>Media</t>
        </is>
      </c>
      <c r="D33" s="51" t="n">
        <v>1</v>
      </c>
      <c r="E33" s="48" t="inlineStr">
        <is>
          <t>NO</t>
        </is>
      </c>
      <c r="V33" s="59">
        <f>IF($G33="","",COUNTIFS(NOVEDADES!$Q$4:$Q$1503,$G33,NOVEDADES!$B$4:$B$1503,"&gt;="&amp;TABLERO!$E$4,NOVEDADES!$B$4:$B$1503,"&lt;="&amp;TABLERO!$G$4)+ROW()/100000)</f>
        <v/>
      </c>
    </row>
    <row r="34" ht="16" customHeight="1">
      <c r="A34" s="50" t="inlineStr">
        <is>
          <t>Incidente de seguridad o accidente laboral</t>
        </is>
      </c>
      <c r="B34" s="48" t="inlineStr">
        <is>
          <t>Interna</t>
        </is>
      </c>
      <c r="C34" s="48" t="inlineStr">
        <is>
          <t>Crítica</t>
        </is>
      </c>
      <c r="D34" s="51" t="n">
        <v>1</v>
      </c>
      <c r="E34" s="48" t="inlineStr">
        <is>
          <t>NO</t>
        </is>
      </c>
    </row>
    <row r="35" ht="16" customHeight="1"/>
    <row r="36" ht="16" customHeight="1"/>
    <row r="37" ht="16" customHeight="1"/>
    <row r="38" ht="16" customHeight="1"/>
    <row r="39" ht="16" customHeight="1"/>
    <row r="40" ht="16" customHeight="1"/>
    <row r="41" ht="16" customHeight="1"/>
    <row r="42" ht="16" customHeight="1"/>
    <row r="43" ht="16" customHeight="1"/>
    <row r="44" ht="16" customHeight="1"/>
    <row r="45" ht="16" customHeight="1"/>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sheetData>
  <mergeCells count="2">
    <mergeCell ref="A1:T1"/>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2026-09-10T11:23:34Z</dcterms:created>
  <dcterms:modified xsi:type="dcterms:W3CDTF">2026-09-10T11:23:42Z</dcterms:modified>
</cp:coreProperties>
</file>